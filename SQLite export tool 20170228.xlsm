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SQLite\XLSM test\"/>
    </mc:Choice>
  </mc:AlternateContent>
  <bookViews>
    <workbookView xWindow="0" yWindow="0" windowWidth="9600" windowHeight="2685"/>
  </bookViews>
  <sheets>
    <sheet name="Choose database" sheetId="2" r:id="rId1"/>
    <sheet name="Queries_BB3" sheetId="13" r:id="rId2"/>
    <sheet name="Queries_BB4" sheetId="5" r:id="rId3"/>
    <sheet name="Electricity generation - Annual" sheetId="6" r:id="rId4"/>
    <sheet name="Electricity generation - Time" sheetId="12" r:id="rId5"/>
    <sheet name="Electricity prices" sheetId="14" r:id="rId6"/>
    <sheet name="Heat Generation - Annual" sheetId="9" r:id="rId7"/>
    <sheet name="Heat Generation - Time" sheetId="8" r:id="rId8"/>
    <sheet name="Fuel Consumption - Annual" sheetId="10" r:id="rId9"/>
    <sheet name="Emissions" sheetId="11" r:id="rId10"/>
    <sheet name="Heat Storage - Time" sheetId="16" r:id="rId11"/>
    <sheet name="Hydro storage - Time" sheetId="18" r:id="rId12"/>
    <sheet name="Electricity transmission - Time" sheetId="19" r:id="rId13"/>
    <sheet name="El transmission - Annual" sheetId="20" r:id="rId14"/>
  </sheets>
  <definedNames>
    <definedName name="DE">'Choose database'!$D$22</definedName>
    <definedName name="IGK">'Choose database'!$D$20</definedName>
    <definedName name="O_Model">'Choose database'!$D$13</definedName>
    <definedName name="QEEQ">'Choose database'!$D$18</definedName>
    <definedName name="QHEQ">'Choose database'!$D$19</definedName>
    <definedName name="STO">'Choose database'!$D$23</definedName>
    <definedName name="VGE_T">'Choose database'!$D$16</definedName>
    <definedName name="VGF_T">'Choose database'!$D$21</definedName>
    <definedName name="VGH_T">'Choose database'!$D$17</definedName>
    <definedName name="VX_T">'Choose database'!$D$24</definedName>
  </definedNames>
  <calcPr calcId="152511"/>
  <pivotCaches>
    <pivotCache cacheId="71" r:id="rId15"/>
    <pivotCache cacheId="73" r:id="rId16"/>
    <pivotCache cacheId="76" r:id="rId17"/>
    <pivotCache cacheId="77" r:id="rId18"/>
    <pivotCache cacheId="78" r:id="rId19"/>
    <pivotCache cacheId="74" r:id="rId20"/>
    <pivotCache cacheId="75" r:id="rId21"/>
    <pivotCache cacheId="79" r:id="rId22"/>
    <pivotCache cacheId="72" r:id="rId23"/>
    <pivotCache cacheId="70" r:id="rId24"/>
    <pivotCache cacheId="69" r:id="rId2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4" i="5" l="1"/>
  <c r="C65" i="5"/>
  <c r="C66" i="5"/>
  <c r="C62" i="5"/>
  <c r="C63" i="5"/>
  <c r="C61" i="5"/>
  <c r="C60" i="5" l="1"/>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1" i="5"/>
  <c r="C62" i="13"/>
  <c r="C63" i="13"/>
  <c r="C64" i="13"/>
  <c r="C65" i="13"/>
  <c r="C66" i="13"/>
  <c r="C61" i="13"/>
  <c r="C50" i="13"/>
  <c r="C51" i="13"/>
  <c r="C52" i="13"/>
  <c r="C53" i="13"/>
  <c r="C54" i="13"/>
  <c r="C55" i="13"/>
  <c r="C56" i="13"/>
  <c r="C57" i="13"/>
  <c r="C58" i="13"/>
  <c r="C59" i="13"/>
  <c r="C60" i="13"/>
  <c r="C49" i="13"/>
  <c r="C44" i="13"/>
  <c r="C45" i="13"/>
  <c r="C46" i="13"/>
  <c r="C47" i="13"/>
  <c r="C48" i="13"/>
  <c r="C43" i="13"/>
  <c r="C38" i="13"/>
  <c r="C39" i="13"/>
  <c r="C40" i="13"/>
  <c r="C41" i="13"/>
  <c r="C42" i="13"/>
  <c r="C37" i="13"/>
  <c r="C32" i="13"/>
  <c r="C33" i="13"/>
  <c r="C34" i="13"/>
  <c r="C35" i="13"/>
  <c r="C36" i="13"/>
  <c r="C31" i="13"/>
  <c r="C23" i="13"/>
  <c r="C24" i="13"/>
  <c r="C25" i="13"/>
  <c r="C26" i="13"/>
  <c r="C27" i="13"/>
  <c r="C28" i="13"/>
  <c r="C29" i="13"/>
  <c r="C30" i="13"/>
  <c r="C22" i="13"/>
  <c r="C14" i="13"/>
  <c r="C15" i="13"/>
  <c r="C16" i="13"/>
  <c r="C17" i="13"/>
  <c r="C18" i="13"/>
  <c r="C19" i="13"/>
  <c r="C20" i="13"/>
  <c r="C21" i="13"/>
  <c r="C13" i="13"/>
  <c r="C11" i="13"/>
  <c r="C12" i="13"/>
  <c r="C10" i="13"/>
  <c r="C2" i="13"/>
  <c r="C3" i="13"/>
  <c r="C4" i="13"/>
  <c r="C5" i="13"/>
  <c r="C6" i="13"/>
  <c r="C7" i="13"/>
  <c r="C8" i="13"/>
  <c r="C9" i="13"/>
  <c r="C1" i="13"/>
</calcChain>
</file>

<file path=xl/comments1.xml><?xml version="1.0" encoding="utf-8"?>
<comments xmlns="http://schemas.openxmlformats.org/spreadsheetml/2006/main">
  <authors>
    <author>Hardi Koduvere</author>
  </authors>
  <commentList>
    <comment ref="E75" authorId="0" shapeId="0">
      <text>
        <r>
          <rPr>
            <b/>
            <sz val="9"/>
            <color indexed="81"/>
            <rFont val="Tahoma"/>
            <family val="2"/>
            <charset val="186"/>
          </rPr>
          <t>Hardi Koduvere:</t>
        </r>
        <r>
          <rPr>
            <sz val="9"/>
            <color indexed="81"/>
            <rFont val="Tahoma"/>
            <family val="2"/>
            <charset val="186"/>
          </rPr>
          <t xml:space="preserve">
Add joining of ICA, RRRAAA</t>
        </r>
      </text>
    </comment>
  </commentList>
</comments>
</file>

<file path=xl/connections.xml><?xml version="1.0" encoding="utf-8"?>
<connections xmlns="http://schemas.openxmlformats.org/spreadsheetml/2006/main">
  <connection id="1" odcFile="C:\Doc\Balmorel\BASE-Results.db" name="main El Transmission between Countries" type="1" refreshedVersion="5">
    <dbPr connection="DRIVER=SQLite3 ODBC Driver;Database=C:\Doc\Balmorel\BASE-Results.db;LongNames=0;Timeout=1000;NoTXN=0;SyncPragma=NORMAL;StepAPI=0" command="SELECT * FROM &quot;main&quot;.&quot;El Transmission between Countries&quot;"/>
  </connection>
  <connection id="2" odcFile="C:\Doc\Balmorel\BASE-Results.db" name="main El Transmission between regions net - Term" type="1" refreshedVersion="5">
    <dbPr connection="DRIVER=SQLite3 ODBC Driver;Database=C:\Doc\Balmorel\BASE-Results.db;LongNames=0;Timeout=1000;NoTXN=0;SyncPragma=NORMAL;StepAPI=0" command="SELECT * FROM &quot;main&quot;.&quot;El Transmission between regions net - Term&quot;"/>
  </connection>
  <connection id="3" odcFile="C:\Doc\Balmorel\BASE-Results.db" name="main Electricity generation - Annual" type="1" refreshedVersion="5">
    <dbPr connection="DRIVER=SQLite3 ODBC Driver;Database=C:\Doc\Balmorel\BASE-Results.db;LongNames=0;Timeout=1000;NoTXN=0;SyncPragma=NORMAL;StepAPI=0" command="SELECT * FROM &quot;main&quot;.&quot;Electricity generation - Annual&quot;"/>
  </connection>
  <connection id="4" odcFile="C:\Doc\Balmorel\BASE-Results.db" name="main Electricity generation - Annual1" type="1" refreshedVersion="5">
    <dbPr connection="DRIVER=SQLite3 ODBC Driver;Database=C:\Doc\Balmorel\BASE-Results.db;LongNames=0;Timeout=1000;NoTXN=0;SyncPragma=NORMAL;StepAPI=0" command="SELECT * FROM &quot;main&quot;.&quot;Electricity generation - Annual&quot;"/>
  </connection>
  <connection id="5" odcFile="C:\Doc\Balmorel\BASE-Results.db" name="main Electricity generation - Term" type="1" refreshedVersion="5">
    <dbPr connection="DRIVER=SQLite3 ODBC Driver;Database=C:\Doc\Balmorel\BASE-Results.db;LongNames=0;Timeout=1000;NoTXN=0;SyncPragma=NORMAL;StepAPI=0" command="SELECT * FROM &quot;main&quot;.&quot;Electricity generation - Term&quot;"/>
  </connection>
  <connection id="6" odcFile="C:\Doc\Balmorel\BASE-Results.db" name="main Electricity generation - Timestep" type="1" refreshedVersion="5">
    <dbPr connection="DRIVER=SQLite3 ODBC Driver;Database=C:\Doc\Balmorel\BASE-Results.db;LongNames=0;Timeout=1000;NoTXN=0;SyncPragma=NORMAL;StepAPI=0" command="SELECT * FROM &quot;main&quot;.&quot;Electricity generation - Timestep&quot;"/>
  </connection>
  <connection id="7" odcFile="C:\Doc\Balmorel\BASE-Results.db" name="main Electricity_price" type="1" refreshedVersion="5">
    <dbPr connection="DRIVER=SQLite3 ODBC Driver;Database=C:\Doc\Balmorel\BASE-Results.db;LongNames=0;Timeout=1000;NoTXN=0;SyncPragma=NORMAL;StepAPI=0" command="SELECT * FROM &quot;main&quot;.&quot;Electricity_price&quot;"/>
  </connection>
  <connection id="8" odcFile="C:\Doc\Balmorel\BASE-Results.db" name="main Emissions - Annual" type="1" refreshedVersion="5">
    <dbPr connection="DRIVER=SQLite3 ODBC Driver;Database=C:\Doc\Balmorel\BASE-Results.db;LongNames=0;Timeout=1000;NoTXN=0;SyncPragma=NORMAL;StepAPI=0" command="SELECT * FROM &quot;main&quot;.&quot;Emissions - Annual&quot;"/>
  </connection>
  <connection id="9" odcFile="C:\Doc\Balmorel\BASE-Results.db" name="main Fuel Consumption - Annual" type="1" refreshedVersion="5">
    <dbPr connection="DRIVER=SQLite3 ODBC Driver;Database=C:\Doc\Balmorel\BASE-Results.db;LongNames=0;Timeout=1000;NoTXN=0;SyncPragma=NORMAL;StepAPI=0" command="SELECT * FROM &quot;main&quot;.&quot;Fuel Consumption - Annual&quot;"/>
  </connection>
  <connection id="10" odcFile="C:\Doc\Balmorel\BASE-Results.db" name="main Heat Generation - Annual" type="1" refreshedVersion="5">
    <dbPr connection="DRIVER=SQLite3 ODBC Driver;Database=C:\Doc\Balmorel\BASE-Results.db;LongNames=0;Timeout=1000;NoTXN=0;SyncPragma=NORMAL;StepAPI=0" command="SELECT * FROM &quot;main&quot;.&quot;Heat Generation - Annual&quot;"/>
  </connection>
  <connection id="11" odcFile="C:\Doc\Balmorel\BASE-Results.db" name="main Heat Generation - Term" type="1" refreshedVersion="5">
    <dbPr connection="DRIVER=SQLite3 ODBC Driver;Database=C:\Doc\Balmorel\BASE-Results.db;LongNames=0;Timeout=1000;NoTXN=0;SyncPragma=NORMAL;StepAPI=0" command="SELECT * FROM &quot;main&quot;.&quot;Heat Generation - Term&quot;"/>
  </connection>
  <connection id="12" odcFile="C:\Doc\Balmorel\BASE-Results.db" name="main Heat Storage volume" type="1" refreshedVersion="5">
    <dbPr connection="DRIVER=SQLite3 ODBC Driver;Database=C:\Doc\Balmorel\BASE-Results.db;LongNames=0;Timeout=1000;NoTXN=0;SyncPragma=NORMAL;StepAPI=0" command="SELECT * FROM &quot;main&quot;.&quot;Heat Storage volume&quot;"/>
  </connection>
  <connection id="13" odcFile="C:\Doc\Balmorel\BASE-Results.db" name="main Weekly Hydro Storage Volume" type="1" refreshedVersion="5">
    <dbPr connection="DRIVER=SQLite3 ODBC Driver;Database=C:\Doc\Balmorel\BASE-Results.db;LongNames=0;Timeout=1000;NoTXN=0;SyncPragma=NORMAL;StepAPI=0" command="SELECT * FROM &quot;main&quot;.&quot;Weekly Hydro Storage Volume&quot;"/>
  </connection>
  <connection id="14" odcFile="C:\Doc\Balmorel\BASE-Results.db" name="main VGE_T" type="1" refreshedVersion="5" background="1" saveData="1">
    <dbPr connection="DRIVER=SQLite3 ODBC Driver;Database=C:\Doc\Balmorel\BASE-Results.db;LongNames=0;Timeout=1000;NoTXN=0;SyncPragma=NORMAL;StepAPI=0" command="SELECT * FROM &quot;main&quot;.&quot;VGE_T&quot;"/>
  </connection>
  <connection id="15" odcFile="C:\Doc\Balmorel\BASE-Results.db" name="main WND_VAR_T" type="1" refreshedVersion="5">
    <dbPr connection="DRIVER=SQLite3 ODBC Driver;Database=C:\Doc\Balmorel\BASE-Results.db;LongNames=0;Timeout=1000;NoTXN=0;SyncPragma=NORMAL;StepAPI=0" command="SELECT * FROM &quot;main&quot;.&quot;WND_VAR_T&quot;"/>
  </connection>
</connections>
</file>

<file path=xl/sharedStrings.xml><?xml version="1.0" encoding="utf-8"?>
<sst xmlns="http://schemas.openxmlformats.org/spreadsheetml/2006/main" count="785" uniqueCount="230">
  <si>
    <t>Grand Total</t>
  </si>
  <si>
    <t>S01</t>
  </si>
  <si>
    <t xml:space="preserve">Create </t>
  </si>
  <si>
    <t>Drop</t>
  </si>
  <si>
    <t>Populate</t>
  </si>
  <si>
    <t>El_Gen</t>
  </si>
  <si>
    <t>Electricity generation - annual</t>
  </si>
  <si>
    <t>DENMARK</t>
  </si>
  <si>
    <t>NORWAY</t>
  </si>
  <si>
    <t>SWEDEN</t>
  </si>
  <si>
    <t>SUN</t>
  </si>
  <si>
    <t>ELECTRIC</t>
  </si>
  <si>
    <t>STRAW</t>
  </si>
  <si>
    <t>WATER</t>
  </si>
  <si>
    <t>WIND</t>
  </si>
  <si>
    <t>Country</t>
  </si>
  <si>
    <t>Fuel</t>
  </si>
  <si>
    <t>Sum of TWh</t>
  </si>
  <si>
    <t>Sum of MW</t>
  </si>
  <si>
    <t>Season</t>
  </si>
  <si>
    <t>NUCLEAR</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</si>
  <si>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</si>
  <si>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</si>
  <si>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</si>
  <si>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</si>
  <si>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</si>
  <si>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</si>
  <si>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</si>
  <si>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</si>
  <si>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</si>
  <si>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</si>
  <si>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</si>
  <si>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</si>
  <si>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</si>
  <si>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</si>
  <si>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</si>
  <si>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</si>
  <si>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</si>
  <si>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</si>
  <si>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</si>
  <si>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</si>
  <si>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</si>
  <si>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</si>
  <si>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</si>
  <si>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</si>
  <si>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</si>
  <si>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</si>
  <si>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</si>
  <si>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</si>
  <si>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</si>
  <si>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</si>
  <si>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</si>
  <si>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</si>
  <si>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</si>
  <si>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</si>
  <si>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</si>
  <si>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</si>
  <si>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T007</t>
  </si>
  <si>
    <t>T008</t>
  </si>
  <si>
    <t>T009</t>
  </si>
  <si>
    <t>T010</t>
  </si>
  <si>
    <t>T011</t>
  </si>
  <si>
    <t>T012</t>
  </si>
  <si>
    <t>Sum of PJ</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</si>
  <si>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</si>
  <si>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</si>
  <si>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</si>
  <si>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</si>
  <si>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</si>
  <si>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</si>
  <si>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</si>
  <si>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</si>
  <si>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</si>
  <si>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</si>
  <si>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</si>
  <si>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</si>
  <si>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</si>
  <si>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</si>
  <si>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</si>
  <si>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</si>
  <si>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</si>
  <si>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</si>
  <si>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</si>
  <si>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</si>
  <si>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</si>
  <si>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</si>
  <si>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INSERT INTO EL_Gen(Case1, Y1, Area, Technology, Season, Term, Generation_MW) SELECT  VGE_T, VGE_T2, VGE_T3, VGE_T4, VGE_T5, VGE_T6,  level FROM VGE_T WHERE level &gt;0;</t>
  </si>
  <si>
    <t>CREATE TABLE `Heat_Gen` (`Case1` TEXT,    `Y1`    TEXT,     `Area`  TEXT,    `Technology`    TEXT, `Season` TEXT, `Term` TEXT,    `Generation_MW`    REAL);</t>
  </si>
  <si>
    <t>INSERT INTO Heat_Gen(Case1, Y1,  Area, Technology, Season, Term, Generation_MW) SELECT  VGH_T, VGH_T2, VGH_T3, VGH_T4, VGH_T5, VGH_T6, level FROM VGH_T WHERE level &gt;0;</t>
  </si>
  <si>
    <t>INSERT INTO `Electricity_price`(`Case1`,`Year1`,`Year2`,`Country`,`Region`,`Season`,`Term`,`OMONEY/MWh`) SELECT QEEQ.QEEQ AS [Case1], QEEQ.QEEQ2 AS [Year1],QEEQ.QEEQ3 AS [Year2], CCCRRR.CCCRRR AS Country, QEEQ.QEEQ4 AS Region, QEEQ.QEEQ5 AS Season, QEEQ.QEEQ6 AS Term, Avg([QEEQ].[marginal]/[IHOURSINST].[value]*[OMONEY].[value]) AS [OMONEY/MWh] FROM CCCRRR INNER JOIN (OMONEY INNER JOIN (QEEQ INNER JOIN IHOURSINST ON (QEEQ.QEEQ6 = IHOURSINST.IHOURSINST4) AND (QEEQ.QEEQ = IHOURSINST.IHOURSINST) AND (QEEQ.QEEQ5 = IHOURSINST.IHOURSINST3)) ON OMONEY.OMONEY = QEEQ.QEEQ) ON (CCCRRR.CCCRRR4 = QEEQ.QEEQ4) AND (CCCRRR.CCCRRR = QEEQ.QEEQ) GROUP BY QEEQ.QEEQ, QEEQ.QEEQ2, CCCRRR.CCCRRR3, QEEQ.QEEQ3, QEEQ.QEEQ4, QEEQ.QEEQ5, QEEQ.QEEQ6;</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</si>
  <si>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</si>
  <si>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</si>
  <si>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</si>
  <si>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</si>
  <si>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INSERT INTO Fuel_Con(Case1, Year1, Area, Technology, Season,Term, MW) SELECT  VGF_T, VGF_T2, VGF_T3, VGF_T4, VGF_T5, VGF_T6, level FROM VGF_T WHERE level &gt;0;</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</si>
  <si>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</si>
  <si>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</si>
  <si>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</si>
  <si>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</si>
  <si>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</si>
  <si>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</si>
  <si>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</si>
  <si>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</si>
  <si>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</si>
  <si>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</si>
  <si>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</si>
  <si>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</si>
  <si>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</si>
  <si>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</si>
  <si>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</si>
  <si>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</si>
  <si>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</si>
  <si>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</si>
  <si>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</si>
  <si>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</si>
  <si>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</si>
  <si>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</si>
  <si>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</si>
  <si>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</si>
  <si>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CREATE TABLE `Electricity Demand - Term`(`Case` TEXT, Year TEXT, Country TEXT, Region TEXT, Season TEXT, Term TEXT, MW REAL, MWh REAL);</t>
  </si>
  <si>
    <t>INSERT INTO `Electricity Demand - Term`(`Case`,Year,Country,Region,Season,Term,MW,MWh) SELECT DE.DE AS [Case], DE.DE3 AS [Year], CCCRRR.CCCRRR3 AS Country, DE.DE4 AS Region, DE_VAR_T.DE_VAR_T4 AS Season, DE_VAR_T.DE_VAR_T5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INNER JOIN IDE_SUMST ON (DE.DE = IDE_SUMST.IDE_SUMST) AND (DE_VAR_T.DE_VAR_T3 = IDE_SUMST.IDE_SUMST3)) ON (Y.Y = DE.DE) AND (Y.Y3 = DE.DE3)) ON (DE_VAR_T.DE_VAR_T5 = IHOURSINST.IHOURSINST4) AND (DE_VAR_T.DE_VAR_T4 = IHOURSINST.IHOURSINST3) AND (IHOURSINST.IHOURSINST = DE_VAR_T.DE_VAR_T) GROUP BY DE.DE, DE.DE3, CCCRRR.CCCRRR3, DE.DE4, DE_VAR_T.DE_VAR_T4, DE_VAR_T.DE_VAR_T5;</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</si>
  <si>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</si>
  <si>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</si>
  <si>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</si>
  <si>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</si>
  <si>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</si>
  <si>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</si>
  <si>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</si>
  <si>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CREATE TABLE `Electricity Demand - Annual`(`Case` TEXT, Year TEXT, Country TEXT, Region TEXT, TWh REAL, GWh REAL);</t>
  </si>
  <si>
    <t>INSERT INTO `Electricity Demand - Annual`(`Case` , Year , Country , Region, TWh , GWh) SELECT [Electricity demand - Term].`Case`, [Electricity demand - Term].Year, [Electricity demand - Term].Country, [Electricity demand - Term].Region, Sum([MWH])/1000000 AS TWh, Sum([MWH])/1000 AS GWh FROM [Electricity demand - Term] GROUP BY [Electricity demand - Term].`Case`, [Electricity demand - Term].Year, [Electricity demand - Term].Country, [Electricity demand - Term].Region;</t>
  </si>
  <si>
    <t>CREATE TABLE `Heat Demand - Annual`(`Case` TEXT, Year TEXT, Country TEXT, Region TEXT, Area TEXT, TWh REAL, PJ REAL);</t>
  </si>
  <si>
    <t>INSERT INTO `Heat Demand - Annual`(`Case`, Year, Country, Region,Area,TWh,PJ) SELECT [Heat demand - Term].`Case`, [Heat demand - Term].Year, [Heat demand - Term].Country, [Heat demand - Term].Region, [Heat demand - Term].Area, Sum([MWh]/1000000) AS TWh, Sum([MWh]/1000000)*3.6 AS PJ FROM [Heat demand - Term] GROUP BY [Heat demand - Term].`Case`, [Heat demand - Term].Year, [Heat demand - Term].Country, [Heat demand - Term].Region, [Heat demand - Term].Area;</t>
  </si>
  <si>
    <t>CREATE TABLE `Heat Demand - Term`(`Case` TEXT, Year TEXT, Country TEXT, Region TEXT, Area TEXT,Season TEXT, Term TEXT, MW REAL, MWh REAL, GJ REAL);</t>
  </si>
  <si>
    <t>INSERT INTO `Heat Demand - Term`(`Case`,Year,Country,Region,Area,Season,Term,MW,MWh,GJ)  SELECT DH.DH AS [Case], DH.DH3 AS [Year], ICA.ICA3 AS Country, RRRAAA.RRRAAA3 AS Region, DH.DH4 AS Area, DH_VAR_T.DH_VAR_T4 AS Season, DH_VAR_T.DH_VAR_T5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</si>
  <si>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Heat Price - Marginal</t>
  </si>
  <si>
    <t>DROP TABLE if exists`Heat Price - Marginal`;</t>
  </si>
  <si>
    <t>CREATE TABLE `Heat price - Marginal`(`Case` TEXT, Year1 TEXT, Year2 TEXT, Country TEXT, Region TEXT, Area TEXT, Season TEXT, Term TEXT, `OMONEY/GJ` REAL,`OMONEY/MWh` REAL);</t>
  </si>
  <si>
    <t>INSERT INTO `Heat price - Marginal`(`Case`,Year1,Year2,Country,Region,Area,Season,Term,`OMONEY/GJ`,`OMONEY/MWh`)</t>
  </si>
  <si>
    <t>SELECT QHEQ.QHEQ AS [`Case`], QHEQ.QHEQ2 AS [Year1], QHEQ.QHEQ3 AS [Year2], ICA.ICA3 AS Country, RRRAAA.RRRAAA3 AS Region,QHEQ.QHEQ4 AS Area, QHEQ.QHEQ5 AS Season, QHEQ.QHEQ6 AS TERM,  (Avg([QHEQ].[marginal]*[OMONEY].[value]/[IHOURSINST].[value])*1000000)/3.6 AS [OMONEY/GJ], (Avg([QHEQ].[marginal]*[OMONEY].[value]/[IHOURSINST].[value])*1000000) AS [OMONEY/MWh]</t>
  </si>
  <si>
    <t xml:space="preserve">FROM OMONEY INNER JOIN </t>
  </si>
  <si>
    <t>(IHOURSINST INNER JOIN QHEQ ON (IHOURSINST.IHOURSINST4 = QHEQ.QHEQ6) AND (IHOURSINST.IHOURSINST3 = QHEQ.QHEQ5) AND (IHOURSINST.IHOURSINST = QHEQ.QHEQ))</t>
  </si>
  <si>
    <t>ON OMONEY.OMONEY = QHEQ.QHEQ</t>
  </si>
  <si>
    <t>GROUP BY QHEQ.QHEQ, QHEQ.QHEQ2, QHEQ.QHEQ3, QHEQ.QHEQ4, QHEQ.QHEQ5, QHEQ.QHEQ6;</t>
  </si>
  <si>
    <t>S02</t>
  </si>
  <si>
    <t>S03</t>
  </si>
  <si>
    <t>S04</t>
  </si>
  <si>
    <t>S05</t>
  </si>
  <si>
    <t>FUELOIL</t>
  </si>
  <si>
    <t>Sum of MWh</t>
  </si>
  <si>
    <t>Sum of SO2 kilotons</t>
  </si>
  <si>
    <t>Sum of N2O kilotons</t>
  </si>
  <si>
    <t>Average of OMONEY/MWh</t>
  </si>
  <si>
    <t>Technology</t>
  </si>
  <si>
    <t>(Multiple Items)</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</si>
  <si>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</si>
  <si>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</si>
  <si>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</si>
  <si>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</si>
  <si>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CREATE TABLE `Exogenous Generation Technology - MW`(`Case` TEXT,`Year` TEXT,`Country` TEXT, `Region` TEXT, `Area` TEXT, `Fuel` TEXT, `Technology` TEXT, `MW` TEXT);</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</si>
  <si>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</si>
  <si>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</si>
  <si>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</si>
  <si>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CREATE TABLE `Exogenous Electricity Generation Technology - MW`(`Case` TEXT,`Year` TEXT,`Country` TEXT, `Region` TEXT, `Area` TEXT, `Fuel` TEXT, `Technology` TEXT, `MW` TEXT);</t>
  </si>
  <si>
    <t>INSERT INTO `Exogenous Electricity Generation Technology - MW`(`Case`,Year,Country,Region,Area,Fuel,Technology,MW)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</si>
  <si>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</si>
  <si>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</si>
  <si>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</si>
  <si>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</si>
  <si>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</si>
  <si>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</si>
  <si>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</si>
  <si>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</si>
  <si>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</si>
  <si>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</si>
  <si>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</si>
  <si>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</si>
  <si>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</si>
  <si>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</si>
  <si>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</si>
  <si>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S06</t>
  </si>
  <si>
    <t>S07</t>
  </si>
  <si>
    <t>S08</t>
  </si>
  <si>
    <t>S09</t>
  </si>
  <si>
    <t>S10</t>
  </si>
  <si>
    <t>S11</t>
  </si>
  <si>
    <t>S12</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</si>
  <si>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</si>
  <si>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</si>
  <si>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</si>
  <si>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</si>
  <si>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</si>
  <si>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</si>
  <si>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</si>
  <si>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</si>
  <si>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</si>
  <si>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UNITED_KINGDOM</t>
  </si>
  <si>
    <t>BB3 Model</t>
  </si>
  <si>
    <t>BB4 Model</t>
  </si>
  <si>
    <t>NATGAS</t>
  </si>
  <si>
    <t>WOODCHIPS</t>
  </si>
  <si>
    <t>RETORTGAS</t>
  </si>
  <si>
    <t>SHALE</t>
  </si>
  <si>
    <t>MUNIWASTE</t>
  </si>
  <si>
    <t>WOODWASTE</t>
  </si>
  <si>
    <t>LIGNITE</t>
  </si>
  <si>
    <t>NETHERLANDS</t>
  </si>
  <si>
    <t>NATGAS_EXETS</t>
  </si>
  <si>
    <t>COAL_EXETS</t>
  </si>
  <si>
    <t>PEAT</t>
  </si>
  <si>
    <t>C:\Doc\Balmorel\BASE-Results.db</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</si>
  <si>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</si>
  <si>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</si>
  <si>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</si>
  <si>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</si>
  <si>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</si>
  <si>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DK1</t>
  </si>
  <si>
    <t>NE</t>
  </si>
  <si>
    <t>NO1</t>
  </si>
  <si>
    <t>NO2</t>
  </si>
  <si>
    <t>NO3</t>
  </si>
  <si>
    <t>NO4</t>
  </si>
  <si>
    <t>NO5</t>
  </si>
  <si>
    <t>SE2</t>
  </si>
  <si>
    <t>SE3</t>
  </si>
  <si>
    <t>Sum of GW</t>
  </si>
  <si>
    <t>Source</t>
  </si>
  <si>
    <t>Destination</t>
  </si>
  <si>
    <t>Year1</t>
  </si>
  <si>
    <t>(All)</t>
  </si>
  <si>
    <t>Sum of GWh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</si>
</sst>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4" x14ac:knownFonts="1">
    <font>
      <sz val="11"/>
      <color theme="1"/>
      <name val="Calibri"/>
      <family val="2"/>
      <charset val="186"/>
      <scheme val="minor"/>
    </font>
    <font>
      <sz val="11"/>
      <color rgb="FF000000"/>
      <name val="Calibri"/>
      <family val="2"/>
      <charset val="186"/>
    </font>
    <font>
      <sz val="9"/>
      <color indexed="81"/>
      <name val="Tahoma"/>
      <family val="2"/>
      <charset val="186"/>
    </font>
    <font>
      <b/>
      <sz val="9"/>
      <color indexed="81"/>
      <name val="Tahoma"/>
      <family val="2"/>
      <charset val="186"/>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cellXfs>
  <cellStyles count="1">
    <cellStyle name="Normal" xfId="0" builtinId="0"/>
  </cellStyles>
  <dxfs count="13">
    <dxf>
      <font>
        <color rgb="FF006100"/>
      </font>
      <fill>
        <patternFill>
          <bgColor rgb="FFC6EFCE"/>
        </patternFill>
      </fill>
    </dxf>
    <dxf>
      <font>
        <color rgb="FF006100"/>
      </font>
      <fill>
        <patternFill>
          <bgColor rgb="FFC6EFCE"/>
        </patternFill>
      </fill>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pivotCacheDefinition" Target="pivotCache/pivotCacheDefinition1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0.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openxmlformats.org/officeDocument/2006/relationships/connections" Target="connection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20170228.xlsm]Electricity generation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'Electricity generation - Annual'!$C$3:$C$4</c:f>
              <c:strCache>
                <c:ptCount val="1"/>
                <c:pt idx="0">
                  <c:v>SUN</c:v>
                </c:pt>
              </c:strCache>
            </c:strRef>
          </c:tx>
          <c:spPr>
            <a:solidFill>
              <a:schemeClr val="accent1"/>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Annual'!$C$5:$C$16</c:f>
              <c:numCache>
                <c:formatCode>0.000</c:formatCode>
                <c:ptCount val="11"/>
                <c:pt idx="0">
                  <c:v>46.178989812620401</c:v>
                </c:pt>
                <c:pt idx="1">
                  <c:v>19.636471559039869</c:v>
                </c:pt>
                <c:pt idx="2">
                  <c:v>58.893862466485842</c:v>
                </c:pt>
                <c:pt idx="4">
                  <c:v>56.409332050095593</c:v>
                </c:pt>
                <c:pt idx="5">
                  <c:v>32.801769</c:v>
                </c:pt>
                <c:pt idx="9">
                  <c:v>0.36244500000000002</c:v>
                </c:pt>
                <c:pt idx="10">
                  <c:v>1.682248</c:v>
                </c:pt>
              </c:numCache>
            </c:numRef>
          </c:val>
        </c:ser>
        <c:ser>
          <c:idx val="1"/>
          <c:order val="1"/>
          <c:tx>
            <c:strRef>
              <c:f>'Electricity generation - Annual'!$D$3:$D$4</c:f>
              <c:strCache>
                <c:ptCount val="1"/>
                <c:pt idx="0">
                  <c:v>ELECTRIC</c:v>
                </c:pt>
              </c:strCache>
            </c:strRef>
          </c:tx>
          <c:spPr>
            <a:solidFill>
              <a:schemeClr val="accent2"/>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Annual'!$D$5:$D$16</c:f>
              <c:numCache>
                <c:formatCode>0.000</c:formatCode>
                <c:ptCount val="11"/>
                <c:pt idx="0">
                  <c:v>3.4303632500000001</c:v>
                </c:pt>
                <c:pt idx="7">
                  <c:v>9.2971899357745899E-2</c:v>
                </c:pt>
              </c:numCache>
            </c:numRef>
          </c:val>
        </c:ser>
        <c:ser>
          <c:idx val="2"/>
          <c:order val="2"/>
          <c:tx>
            <c:strRef>
              <c:f>'Electricity generation - Annual'!$E$3:$E$4</c:f>
              <c:strCache>
                <c:ptCount val="1"/>
                <c:pt idx="0">
                  <c:v>WATER</c:v>
                </c:pt>
              </c:strCache>
            </c:strRef>
          </c:tx>
          <c:spPr>
            <a:solidFill>
              <a:schemeClr val="accent3"/>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Annual'!$E$5:$E$16</c:f>
              <c:numCache>
                <c:formatCode>0.000</c:formatCode>
                <c:ptCount val="11"/>
                <c:pt idx="1">
                  <c:v>128.03684101989825</c:v>
                </c:pt>
                <c:pt idx="2">
                  <c:v>79.112340271493167</c:v>
                </c:pt>
                <c:pt idx="4">
                  <c:v>16.777955000000009</c:v>
                </c:pt>
                <c:pt idx="5">
                  <c:v>47.956654222715102</c:v>
                </c:pt>
                <c:pt idx="6">
                  <c:v>3.1671950000000013</c:v>
                </c:pt>
                <c:pt idx="7">
                  <c:v>0.52273774403363593</c:v>
                </c:pt>
                <c:pt idx="8">
                  <c:v>2.3110249999999999</c:v>
                </c:pt>
                <c:pt idx="9">
                  <c:v>0.15540000000000001</c:v>
                </c:pt>
                <c:pt idx="10">
                  <c:v>5.1395607069672202</c:v>
                </c:pt>
              </c:numCache>
            </c:numRef>
          </c:val>
        </c:ser>
        <c:ser>
          <c:idx val="3"/>
          <c:order val="3"/>
          <c:tx>
            <c:strRef>
              <c:f>'Electricity generation - Annual'!$F$3:$F$4</c:f>
              <c:strCache>
                <c:ptCount val="1"/>
                <c:pt idx="0">
                  <c:v>WIND</c:v>
                </c:pt>
              </c:strCache>
            </c:strRef>
          </c:tx>
          <c:spPr>
            <a:solidFill>
              <a:schemeClr val="accent4"/>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Annual'!$F$5:$F$16</c:f>
              <c:numCache>
                <c:formatCode>0.000</c:formatCode>
                <c:ptCount val="11"/>
                <c:pt idx="0">
                  <c:v>6.7024476999999996</c:v>
                </c:pt>
                <c:pt idx="1">
                  <c:v>1.4274821948060454</c:v>
                </c:pt>
                <c:pt idx="2">
                  <c:v>7.5495799999999997</c:v>
                </c:pt>
                <c:pt idx="3">
                  <c:v>0.66047999999999996</c:v>
                </c:pt>
                <c:pt idx="4">
                  <c:v>0.42531999999999998</c:v>
                </c:pt>
                <c:pt idx="5">
                  <c:v>68.427627999999999</c:v>
                </c:pt>
                <c:pt idx="6">
                  <c:v>0.23753400000000002</c:v>
                </c:pt>
                <c:pt idx="7">
                  <c:v>0.197379</c:v>
                </c:pt>
                <c:pt idx="8">
                  <c:v>2.3858999999999999</c:v>
                </c:pt>
                <c:pt idx="9">
                  <c:v>5.1874800000000008</c:v>
                </c:pt>
                <c:pt idx="10">
                  <c:v>23.971475999999999</c:v>
                </c:pt>
              </c:numCache>
            </c:numRef>
          </c:val>
        </c:ser>
        <c:ser>
          <c:idx val="4"/>
          <c:order val="4"/>
          <c:tx>
            <c:strRef>
              <c:f>'Electricity generation - Annual'!$G$3:$G$4</c:f>
              <c:strCache>
                <c:ptCount val="1"/>
                <c:pt idx="0">
                  <c:v>NUCLEAR</c:v>
                </c:pt>
              </c:strCache>
            </c:strRef>
          </c:tx>
          <c:spPr>
            <a:solidFill>
              <a:schemeClr val="accent5"/>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Annual'!$G$5:$G$16</c:f>
              <c:numCache>
                <c:formatCode>General</c:formatCode>
                <c:ptCount val="11"/>
                <c:pt idx="5">
                  <c:v>104.64208130476899</c:v>
                </c:pt>
                <c:pt idx="9">
                  <c:v>4.33635701765993</c:v>
                </c:pt>
                <c:pt idx="10">
                  <c:v>65.045349120033194</c:v>
                </c:pt>
              </c:numCache>
            </c:numRef>
          </c:val>
        </c:ser>
        <c:ser>
          <c:idx val="5"/>
          <c:order val="5"/>
          <c:tx>
            <c:strRef>
              <c:f>'Electricity generation - Annual'!$H$3:$H$4</c:f>
              <c:strCache>
                <c:ptCount val="1"/>
                <c:pt idx="0">
                  <c:v>COAL</c:v>
                </c:pt>
              </c:strCache>
            </c:strRef>
          </c:tx>
          <c:spPr>
            <a:solidFill>
              <a:schemeClr val="accent6"/>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Annual'!$H$5:$H$16</c:f>
              <c:numCache>
                <c:formatCode>General</c:formatCode>
                <c:ptCount val="11"/>
                <c:pt idx="6">
                  <c:v>2.6279999999999901E-2</c:v>
                </c:pt>
                <c:pt idx="8">
                  <c:v>108.57152152965992</c:v>
                </c:pt>
              </c:numCache>
            </c:numRef>
          </c:val>
        </c:ser>
        <c:ser>
          <c:idx val="6"/>
          <c:order val="6"/>
          <c:tx>
            <c:strRef>
              <c:f>'Electricity generation - Annual'!$I$3:$I$4</c:f>
              <c:strCache>
                <c:ptCount val="1"/>
                <c:pt idx="0">
                  <c:v>NATGAS</c:v>
                </c:pt>
              </c:strCache>
            </c:strRef>
          </c:tx>
          <c:spPr>
            <a:solidFill>
              <a:schemeClr val="accent1">
                <a:lumMod val="60000"/>
              </a:schemeClr>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Annual'!$I$5:$I$16</c:f>
              <c:numCache>
                <c:formatCode>General</c:formatCode>
                <c:ptCount val="11"/>
                <c:pt idx="3">
                  <c:v>0.138028167531103</c:v>
                </c:pt>
                <c:pt idx="6">
                  <c:v>0.78617330630113746</c:v>
                </c:pt>
              </c:numCache>
            </c:numRef>
          </c:val>
        </c:ser>
        <c:ser>
          <c:idx val="7"/>
          <c:order val="7"/>
          <c:tx>
            <c:strRef>
              <c:f>'Electricity generation - Annual'!$J$3:$J$4</c:f>
              <c:strCache>
                <c:ptCount val="1"/>
                <c:pt idx="0">
                  <c:v>WOODCHIPS</c:v>
                </c:pt>
              </c:strCache>
            </c:strRef>
          </c:tx>
          <c:spPr>
            <a:solidFill>
              <a:schemeClr val="accent2">
                <a:lumMod val="60000"/>
              </a:schemeClr>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Annual'!$J$5:$J$16</c:f>
              <c:numCache>
                <c:formatCode>General</c:formatCode>
                <c:ptCount val="11"/>
                <c:pt idx="3">
                  <c:v>0.51526099680360815</c:v>
                </c:pt>
                <c:pt idx="6">
                  <c:v>0.1118454045566207</c:v>
                </c:pt>
              </c:numCache>
            </c:numRef>
          </c:val>
        </c:ser>
        <c:ser>
          <c:idx val="8"/>
          <c:order val="8"/>
          <c:tx>
            <c:strRef>
              <c:f>'Electricity generation - Annual'!$K$3:$K$4</c:f>
              <c:strCache>
                <c:ptCount val="1"/>
                <c:pt idx="0">
                  <c:v>RETORTGAS</c:v>
                </c:pt>
              </c:strCache>
            </c:strRef>
          </c:tx>
          <c:spPr>
            <a:solidFill>
              <a:schemeClr val="accent3">
                <a:lumMod val="60000"/>
              </a:schemeClr>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Annual'!$K$5:$K$16</c:f>
              <c:numCache>
                <c:formatCode>General</c:formatCode>
                <c:ptCount val="11"/>
                <c:pt idx="3">
                  <c:v>0.13139999999999999</c:v>
                </c:pt>
              </c:numCache>
            </c:numRef>
          </c:val>
        </c:ser>
        <c:ser>
          <c:idx val="9"/>
          <c:order val="9"/>
          <c:tx>
            <c:strRef>
              <c:f>'Electricity generation - Annual'!$L$3:$L$4</c:f>
              <c:strCache>
                <c:ptCount val="1"/>
                <c:pt idx="0">
                  <c:v>SHALE</c:v>
                </c:pt>
              </c:strCache>
            </c:strRef>
          </c:tx>
          <c:spPr>
            <a:solidFill>
              <a:schemeClr val="accent4">
                <a:lumMod val="60000"/>
              </a:schemeClr>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Annual'!$L$5:$L$16</c:f>
              <c:numCache>
                <c:formatCode>General</c:formatCode>
                <c:ptCount val="11"/>
                <c:pt idx="3">
                  <c:v>10.267821921103302</c:v>
                </c:pt>
              </c:numCache>
            </c:numRef>
          </c:val>
        </c:ser>
        <c:ser>
          <c:idx val="10"/>
          <c:order val="10"/>
          <c:tx>
            <c:strRef>
              <c:f>'Electricity generation - Annual'!$M$3:$M$4</c:f>
              <c:strCache>
                <c:ptCount val="1"/>
                <c:pt idx="0">
                  <c:v>MUNIWASTE</c:v>
                </c:pt>
              </c:strCache>
            </c:strRef>
          </c:tx>
          <c:spPr>
            <a:solidFill>
              <a:schemeClr val="accent5">
                <a:lumMod val="60000"/>
              </a:schemeClr>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Annual'!$M$5:$M$16</c:f>
              <c:numCache>
                <c:formatCode>General</c:formatCode>
                <c:ptCount val="11"/>
                <c:pt idx="6">
                  <c:v>0.13139999999999999</c:v>
                </c:pt>
                <c:pt idx="8">
                  <c:v>0.29784000000000099</c:v>
                </c:pt>
              </c:numCache>
            </c:numRef>
          </c:val>
        </c:ser>
        <c:ser>
          <c:idx val="11"/>
          <c:order val="11"/>
          <c:tx>
            <c:strRef>
              <c:f>'Electricity generation - Annual'!$N$3:$N$4</c:f>
              <c:strCache>
                <c:ptCount val="1"/>
                <c:pt idx="0">
                  <c:v>WOODWASTE</c:v>
                </c:pt>
              </c:strCache>
            </c:strRef>
          </c:tx>
          <c:spPr>
            <a:solidFill>
              <a:schemeClr val="accent6">
                <a:lumMod val="60000"/>
              </a:schemeClr>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Annual'!$N$5:$N$16</c:f>
              <c:numCache>
                <c:formatCode>General</c:formatCode>
                <c:ptCount val="11"/>
                <c:pt idx="6">
                  <c:v>0.26105871783394324</c:v>
                </c:pt>
                <c:pt idx="7">
                  <c:v>2.3736071892399999</c:v>
                </c:pt>
              </c:numCache>
            </c:numRef>
          </c:val>
        </c:ser>
        <c:ser>
          <c:idx val="12"/>
          <c:order val="12"/>
          <c:tx>
            <c:strRef>
              <c:f>'Electricity generation - Annual'!$O$3:$O$4</c:f>
              <c:strCache>
                <c:ptCount val="1"/>
                <c:pt idx="0">
                  <c:v>LIGNITE</c:v>
                </c:pt>
              </c:strCache>
            </c:strRef>
          </c:tx>
          <c:spPr>
            <a:solidFill>
              <a:schemeClr val="accent1">
                <a:lumMod val="80000"/>
                <a:lumOff val="20000"/>
              </a:schemeClr>
            </a:solidFill>
            <a:ln>
              <a:noFill/>
            </a:ln>
            <a:effectLst/>
          </c:spPr>
          <c:invertIfNegative val="0"/>
          <c:cat>
            <c:strRef>
              <c:f>'Electricity generation - Annual'!$B$5:$B$16</c:f>
              <c:strCache>
                <c:ptCount val="11"/>
                <c:pt idx="0">
                  <c:v>DENMARK</c:v>
                </c:pt>
                <c:pt idx="1">
                  <c:v>NORWAY</c:v>
                </c:pt>
                <c:pt idx="2">
                  <c:v>SWEDEN</c:v>
                </c:pt>
                <c:pt idx="3">
                  <c:v>ESTONIA</c:v>
                </c:pt>
                <c:pt idx="4">
                  <c:v>FINLAND</c:v>
                </c:pt>
                <c:pt idx="5">
                  <c:v>GERMANY</c:v>
                </c:pt>
                <c:pt idx="6">
                  <c:v>LATVIA</c:v>
                </c:pt>
                <c:pt idx="7">
                  <c:v>LITHUANIA</c:v>
                </c:pt>
                <c:pt idx="8">
                  <c:v>POLAND</c:v>
                </c:pt>
                <c:pt idx="9">
                  <c:v>NETHERLANDS</c:v>
                </c:pt>
                <c:pt idx="10">
                  <c:v>UNITED_KINGDOM</c:v>
                </c:pt>
              </c:strCache>
            </c:strRef>
          </c:cat>
          <c:val>
            <c:numRef>
              <c:f>'Electricity generation - Annual'!$O$5:$O$16</c:f>
              <c:numCache>
                <c:formatCode>General</c:formatCode>
                <c:ptCount val="11"/>
                <c:pt idx="8">
                  <c:v>22.512753470340026</c:v>
                </c:pt>
              </c:numCache>
            </c:numRef>
          </c:val>
        </c:ser>
        <c:dLbls>
          <c:showLegendKey val="0"/>
          <c:showVal val="0"/>
          <c:showCatName val="0"/>
          <c:showSerName val="0"/>
          <c:showPercent val="0"/>
          <c:showBubbleSize val="0"/>
        </c:dLbls>
        <c:gapWidth val="219"/>
        <c:overlap val="100"/>
        <c:axId val="137886640"/>
        <c:axId val="279464792"/>
      </c:barChart>
      <c:catAx>
        <c:axId val="13788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9464792"/>
        <c:crosses val="autoZero"/>
        <c:auto val="1"/>
        <c:lblAlgn val="ctr"/>
        <c:lblOffset val="100"/>
        <c:noMultiLvlLbl val="0"/>
      </c:catAx>
      <c:valAx>
        <c:axId val="2794647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7886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20170228.xlsm]Electricity generation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s>
    <c:plotArea>
      <c:layout/>
      <c:areaChart>
        <c:grouping val="stacked"/>
        <c:varyColors val="0"/>
        <c:ser>
          <c:idx val="0"/>
          <c:order val="0"/>
          <c:tx>
            <c:strRef>
              <c:f>'Electricity generation - Time'!$D$4:$D$5</c:f>
              <c:strCache>
                <c:ptCount val="1"/>
                <c:pt idx="0">
                  <c:v>Grand Total</c:v>
                </c:pt>
              </c:strCache>
            </c:strRef>
          </c:tx>
          <c:spPr>
            <a:solidFill>
              <a:schemeClr val="accent1"/>
            </a:solidFill>
            <a:ln>
              <a:noFill/>
            </a:ln>
            <a:effectLst/>
          </c:spPr>
          <c:cat>
            <c:strRef>
              <c:f>'Electricity generation - Time'!$B$6:$C$6</c:f>
              <c:strCache>
                <c:ptCount val="1"/>
                <c:pt idx="0">
                  <c:v>Grand Total</c:v>
                </c:pt>
              </c:strCache>
            </c:strRef>
          </c:cat>
          <c:val>
            <c:numRef>
              <c:f>'Electricity generation - Time'!$D$6</c:f>
              <c:numCache>
                <c:formatCode>General</c:formatCode>
                <c:ptCount val="1"/>
              </c:numCache>
            </c:numRef>
          </c:val>
        </c:ser>
        <c:dLbls>
          <c:showLegendKey val="0"/>
          <c:showVal val="0"/>
          <c:showCatName val="0"/>
          <c:showSerName val="0"/>
          <c:showPercent val="0"/>
          <c:showBubbleSize val="0"/>
        </c:dLbls>
        <c:axId val="279460304"/>
        <c:axId val="279291520"/>
      </c:areaChart>
      <c:catAx>
        <c:axId val="279460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9291520"/>
        <c:crosses val="autoZero"/>
        <c:auto val="1"/>
        <c:lblAlgn val="ctr"/>
        <c:lblOffset val="100"/>
        <c:noMultiLvlLbl val="0"/>
      </c:catAx>
      <c:valAx>
        <c:axId val="279291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94603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20170228.xlsm]Electricity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ln w="28575" cap="rnd">
            <a:solidFill>
              <a:schemeClr val="accent1"/>
            </a:solidFill>
            <a:round/>
          </a:ln>
          <a:effectLst/>
        </c:spPr>
        <c:marker>
          <c:symbol val="none"/>
        </c:marker>
      </c:pivotFmt>
    </c:pivotFmts>
    <c:plotArea>
      <c:layout/>
      <c:lineChart>
        <c:grouping val="standard"/>
        <c:varyColors val="0"/>
        <c:ser>
          <c:idx val="0"/>
          <c:order val="0"/>
          <c:tx>
            <c:strRef>
              <c:f>'Electricity prices'!$D$4:$D$5</c:f>
              <c:strCache>
                <c:ptCount val="1"/>
                <c:pt idx="0">
                  <c:v>Grand Total</c:v>
                </c:pt>
              </c:strCache>
            </c:strRef>
          </c:tx>
          <c:spPr>
            <a:ln w="28575" cap="rnd">
              <a:solidFill>
                <a:schemeClr val="accent1"/>
              </a:solidFill>
              <a:round/>
            </a:ln>
            <a:effectLst/>
          </c:spPr>
          <c:marker>
            <c:symbol val="none"/>
          </c:marker>
          <c:cat>
            <c:strRef>
              <c:f>'Electricity prices'!$B$6:$C$6</c:f>
              <c:strCache>
                <c:ptCount val="1"/>
                <c:pt idx="0">
                  <c:v>Grand Total</c:v>
                </c:pt>
              </c:strCache>
            </c:strRef>
          </c:cat>
          <c:val>
            <c:numRef>
              <c:f>'Electricity prices'!$D$6</c:f>
              <c:numCache>
                <c:formatCode>General</c:formatCode>
                <c:ptCount val="1"/>
              </c:numCache>
            </c:numRef>
          </c:val>
          <c:smooth val="0"/>
        </c:ser>
        <c:dLbls>
          <c:showLegendKey val="0"/>
          <c:showVal val="0"/>
          <c:showCatName val="0"/>
          <c:showSerName val="0"/>
          <c:showPercent val="0"/>
          <c:showBubbleSize val="0"/>
        </c:dLbls>
        <c:smooth val="0"/>
        <c:axId val="281026416"/>
        <c:axId val="257813632"/>
      </c:lineChart>
      <c:catAx>
        <c:axId val="28102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57813632"/>
        <c:crosses val="autoZero"/>
        <c:auto val="1"/>
        <c:lblAlgn val="ctr"/>
        <c:lblOffset val="100"/>
        <c:noMultiLvlLbl val="0"/>
      </c:catAx>
      <c:valAx>
        <c:axId val="25781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81026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20170228.xlsm]Heat Generation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s>
    <c:plotArea>
      <c:layout/>
      <c:barChart>
        <c:barDir val="col"/>
        <c:grouping val="stacked"/>
        <c:varyColors val="0"/>
        <c:ser>
          <c:idx val="0"/>
          <c:order val="0"/>
          <c:tx>
            <c:strRef>
              <c:f>'Heat Generation - Annual'!$C$2:$C$3</c:f>
              <c:strCache>
                <c:ptCount val="1"/>
                <c:pt idx="0">
                  <c:v>COAL</c:v>
                </c:pt>
              </c:strCache>
            </c:strRef>
          </c:tx>
          <c:spPr>
            <a:solidFill>
              <a:schemeClr val="accent1"/>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Annual'!$C$4:$C$13</c:f>
              <c:numCache>
                <c:formatCode>General</c:formatCode>
                <c:ptCount val="9"/>
                <c:pt idx="3">
                  <c:v>0.215018181818182</c:v>
                </c:pt>
                <c:pt idx="6">
                  <c:v>310.5116734874083</c:v>
                </c:pt>
              </c:numCache>
            </c:numRef>
          </c:val>
        </c:ser>
        <c:ser>
          <c:idx val="1"/>
          <c:order val="1"/>
          <c:tx>
            <c:strRef>
              <c:f>'Heat Generation - Annual'!$D$2:$D$3</c:f>
              <c:strCache>
                <c:ptCount val="1"/>
                <c:pt idx="0">
                  <c:v>ELECTRIC</c:v>
                </c:pt>
              </c:strCache>
            </c:strRef>
          </c:tx>
          <c:spPr>
            <a:solidFill>
              <a:schemeClr val="accent2"/>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Annual'!$D$4:$D$13</c:f>
              <c:numCache>
                <c:formatCode>General</c:formatCode>
                <c:ptCount val="9"/>
                <c:pt idx="0">
                  <c:v>34.578061560000002</c:v>
                </c:pt>
                <c:pt idx="4">
                  <c:v>0.90368686175729096</c:v>
                </c:pt>
              </c:numCache>
            </c:numRef>
          </c:val>
        </c:ser>
        <c:ser>
          <c:idx val="2"/>
          <c:order val="2"/>
          <c:tx>
            <c:strRef>
              <c:f>'Heat Generation - Annual'!$E$2:$E$3</c:f>
              <c:strCache>
                <c:ptCount val="1"/>
                <c:pt idx="0">
                  <c:v>FUELOIL</c:v>
                </c:pt>
              </c:strCache>
            </c:strRef>
          </c:tx>
          <c:spPr>
            <a:solidFill>
              <a:schemeClr val="accent3"/>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Annual'!$E$4:$E$13</c:f>
              <c:numCache>
                <c:formatCode>General</c:formatCode>
                <c:ptCount val="9"/>
                <c:pt idx="1">
                  <c:v>9.5387364336974298E-2</c:v>
                </c:pt>
              </c:numCache>
            </c:numRef>
          </c:val>
        </c:ser>
        <c:ser>
          <c:idx val="3"/>
          <c:order val="3"/>
          <c:tx>
            <c:strRef>
              <c:f>'Heat Generation - Annual'!$F$2:$F$3</c:f>
              <c:strCache>
                <c:ptCount val="1"/>
                <c:pt idx="0">
                  <c:v>STRAW</c:v>
                </c:pt>
              </c:strCache>
            </c:strRef>
          </c:tx>
          <c:spPr>
            <a:solidFill>
              <a:schemeClr val="accent4"/>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Annual'!$F$4:$F$13</c:f>
              <c:numCache>
                <c:formatCode>General</c:formatCode>
                <c:ptCount val="9"/>
                <c:pt idx="3">
                  <c:v>5.3238899999999902E-2</c:v>
                </c:pt>
              </c:numCache>
            </c:numRef>
          </c:val>
        </c:ser>
        <c:ser>
          <c:idx val="4"/>
          <c:order val="4"/>
          <c:tx>
            <c:strRef>
              <c:f>'Heat Generation - Annual'!$G$2:$G$3</c:f>
              <c:strCache>
                <c:ptCount val="1"/>
                <c:pt idx="0">
                  <c:v>SUN</c:v>
                </c:pt>
              </c:strCache>
            </c:strRef>
          </c:tx>
          <c:spPr>
            <a:solidFill>
              <a:schemeClr val="accent5"/>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Annual'!$G$4:$G$13</c:f>
              <c:numCache>
                <c:formatCode>General</c:formatCode>
                <c:ptCount val="9"/>
                <c:pt idx="0">
                  <c:v>101.69688744</c:v>
                </c:pt>
                <c:pt idx="2">
                  <c:v>133.66548</c:v>
                </c:pt>
                <c:pt idx="5">
                  <c:v>16.999131599999998</c:v>
                </c:pt>
                <c:pt idx="7">
                  <c:v>200.22623999999996</c:v>
                </c:pt>
                <c:pt idx="8">
                  <c:v>3.6</c:v>
                </c:pt>
              </c:numCache>
            </c:numRef>
          </c:val>
        </c:ser>
        <c:ser>
          <c:idx val="5"/>
          <c:order val="5"/>
          <c:tx>
            <c:strRef>
              <c:f>'Heat Generation - Annual'!$H$2:$H$3</c:f>
              <c:strCache>
                <c:ptCount val="1"/>
                <c:pt idx="0">
                  <c:v>NATGAS</c:v>
                </c:pt>
              </c:strCache>
            </c:strRef>
          </c:tx>
          <c:spPr>
            <a:solidFill>
              <a:schemeClr val="accent6"/>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Annual'!$H$4:$H$13</c:f>
              <c:numCache>
                <c:formatCode>General</c:formatCode>
                <c:ptCount val="9"/>
                <c:pt idx="1">
                  <c:v>6.5362516876714079</c:v>
                </c:pt>
                <c:pt idx="3">
                  <c:v>8.8858680153540881</c:v>
                </c:pt>
              </c:numCache>
            </c:numRef>
          </c:val>
        </c:ser>
        <c:ser>
          <c:idx val="6"/>
          <c:order val="6"/>
          <c:tx>
            <c:strRef>
              <c:f>'Heat Generation - Annual'!$I$2:$I$3</c:f>
              <c:strCache>
                <c:ptCount val="1"/>
                <c:pt idx="0">
                  <c:v>WOODCHIPS</c:v>
                </c:pt>
              </c:strCache>
            </c:strRef>
          </c:tx>
          <c:spPr>
            <a:solidFill>
              <a:schemeClr val="accent1">
                <a:lumMod val="6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Annual'!$I$4:$I$13</c:f>
              <c:numCache>
                <c:formatCode>General</c:formatCode>
                <c:ptCount val="9"/>
                <c:pt idx="1">
                  <c:v>3.9991285479916181</c:v>
                </c:pt>
                <c:pt idx="3">
                  <c:v>2.541798767904401</c:v>
                </c:pt>
              </c:numCache>
            </c:numRef>
          </c:val>
        </c:ser>
        <c:ser>
          <c:idx val="7"/>
          <c:order val="7"/>
          <c:tx>
            <c:strRef>
              <c:f>'Heat Generation - Annual'!$J$2:$J$3</c:f>
              <c:strCache>
                <c:ptCount val="1"/>
                <c:pt idx="0">
                  <c:v>RETORTGAS</c:v>
                </c:pt>
              </c:strCache>
            </c:strRef>
          </c:tx>
          <c:spPr>
            <a:solidFill>
              <a:schemeClr val="accent2">
                <a:lumMod val="6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Annual'!$J$4:$J$13</c:f>
              <c:numCache>
                <c:formatCode>General</c:formatCode>
                <c:ptCount val="9"/>
                <c:pt idx="1">
                  <c:v>3.5734583583077697</c:v>
                </c:pt>
              </c:numCache>
            </c:numRef>
          </c:val>
        </c:ser>
        <c:ser>
          <c:idx val="8"/>
          <c:order val="8"/>
          <c:tx>
            <c:strRef>
              <c:f>'Heat Generation - Annual'!$K$2:$K$3</c:f>
              <c:strCache>
                <c:ptCount val="1"/>
                <c:pt idx="0">
                  <c:v>SHALE</c:v>
                </c:pt>
              </c:strCache>
            </c:strRef>
          </c:tx>
          <c:spPr>
            <a:solidFill>
              <a:schemeClr val="accent3">
                <a:lumMod val="6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Annual'!$K$4:$K$13</c:f>
              <c:numCache>
                <c:formatCode>General</c:formatCode>
                <c:ptCount val="9"/>
                <c:pt idx="1">
                  <c:v>1.6431000416922306</c:v>
                </c:pt>
              </c:numCache>
            </c:numRef>
          </c:val>
        </c:ser>
        <c:ser>
          <c:idx val="9"/>
          <c:order val="9"/>
          <c:tx>
            <c:strRef>
              <c:f>'Heat Generation - Annual'!$L$2:$L$3</c:f>
              <c:strCache>
                <c:ptCount val="1"/>
                <c:pt idx="0">
                  <c:v>MUNIWASTE</c:v>
                </c:pt>
              </c:strCache>
            </c:strRef>
          </c:tx>
          <c:spPr>
            <a:solidFill>
              <a:schemeClr val="accent4">
                <a:lumMod val="6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Annual'!$L$4:$L$13</c:f>
              <c:numCache>
                <c:formatCode>General</c:formatCode>
                <c:ptCount val="9"/>
                <c:pt idx="3">
                  <c:v>0.94607999999999803</c:v>
                </c:pt>
                <c:pt idx="6">
                  <c:v>4.9411244239631502</c:v>
                </c:pt>
              </c:numCache>
            </c:numRef>
          </c:val>
        </c:ser>
        <c:ser>
          <c:idx val="10"/>
          <c:order val="10"/>
          <c:tx>
            <c:strRef>
              <c:f>'Heat Generation - Annual'!$M$2:$M$3</c:f>
              <c:strCache>
                <c:ptCount val="1"/>
                <c:pt idx="0">
                  <c:v>NATGAS_EXETS</c:v>
                </c:pt>
              </c:strCache>
            </c:strRef>
          </c:tx>
          <c:spPr>
            <a:solidFill>
              <a:schemeClr val="accent5">
                <a:lumMod val="6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Annual'!$M$4:$M$13</c:f>
              <c:numCache>
                <c:formatCode>General</c:formatCode>
                <c:ptCount val="9"/>
                <c:pt idx="3">
                  <c:v>1.17792776536721</c:v>
                </c:pt>
              </c:numCache>
            </c:numRef>
          </c:val>
        </c:ser>
        <c:ser>
          <c:idx val="11"/>
          <c:order val="11"/>
          <c:tx>
            <c:strRef>
              <c:f>'Heat Generation - Annual'!$N$2:$N$3</c:f>
              <c:strCache>
                <c:ptCount val="1"/>
                <c:pt idx="0">
                  <c:v>WOODWASTE</c:v>
                </c:pt>
              </c:strCache>
            </c:strRef>
          </c:tx>
          <c:spPr>
            <a:solidFill>
              <a:schemeClr val="accent6">
                <a:lumMod val="6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Annual'!$N$4:$N$13</c:f>
              <c:numCache>
                <c:formatCode>General</c:formatCode>
                <c:ptCount val="9"/>
                <c:pt idx="3">
                  <c:v>7.8923235695561056</c:v>
                </c:pt>
                <c:pt idx="4">
                  <c:v>25.064553138242758</c:v>
                </c:pt>
              </c:numCache>
            </c:numRef>
          </c:val>
        </c:ser>
        <c:ser>
          <c:idx val="12"/>
          <c:order val="12"/>
          <c:tx>
            <c:strRef>
              <c:f>'Heat Generation - Annual'!$O$2:$O$3</c:f>
              <c:strCache>
                <c:ptCount val="1"/>
                <c:pt idx="0">
                  <c:v>COAL_EXETS</c:v>
                </c:pt>
              </c:strCache>
            </c:strRef>
          </c:tx>
          <c:spPr>
            <a:solidFill>
              <a:schemeClr val="accent1">
                <a:lumMod val="80000"/>
                <a:lumOff val="2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Annual'!$O$4:$O$13</c:f>
              <c:numCache>
                <c:formatCode>General</c:formatCode>
                <c:ptCount val="9"/>
                <c:pt idx="3">
                  <c:v>0.28382399999999997</c:v>
                </c:pt>
                <c:pt idx="4">
                  <c:v>0.63072000000000095</c:v>
                </c:pt>
              </c:numCache>
            </c:numRef>
          </c:val>
        </c:ser>
        <c:ser>
          <c:idx val="13"/>
          <c:order val="13"/>
          <c:tx>
            <c:strRef>
              <c:f>'Heat Generation - Annual'!$P$2:$P$3</c:f>
              <c:strCache>
                <c:ptCount val="1"/>
                <c:pt idx="0">
                  <c:v>PEAT</c:v>
                </c:pt>
              </c:strCache>
            </c:strRef>
          </c:tx>
          <c:spPr>
            <a:solidFill>
              <a:schemeClr val="accent2">
                <a:lumMod val="80000"/>
                <a:lumOff val="2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Annual'!$P$4:$P$13</c:f>
              <c:numCache>
                <c:formatCode>General</c:formatCode>
                <c:ptCount val="9"/>
                <c:pt idx="4">
                  <c:v>0.47303999999999902</c:v>
                </c:pt>
              </c:numCache>
            </c:numRef>
          </c:val>
        </c:ser>
        <c:ser>
          <c:idx val="14"/>
          <c:order val="14"/>
          <c:tx>
            <c:strRef>
              <c:f>'Heat Generation - Annual'!$Q$2:$Q$3</c:f>
              <c:strCache>
                <c:ptCount val="1"/>
                <c:pt idx="0">
                  <c:v>LIGNITE</c:v>
                </c:pt>
              </c:strCache>
            </c:strRef>
          </c:tx>
          <c:spPr>
            <a:solidFill>
              <a:schemeClr val="accent3">
                <a:lumMod val="80000"/>
                <a:lumOff val="20000"/>
              </a:schemeClr>
            </a:solidFill>
            <a:ln>
              <a:noFill/>
            </a:ln>
            <a:effectLst/>
          </c:spPr>
          <c:invertIfNegative val="0"/>
          <c:cat>
            <c:strRef>
              <c:f>'Heat Generation - Annual'!$B$4:$B$13</c:f>
              <c:strCache>
                <c:ptCount val="9"/>
                <c:pt idx="0">
                  <c:v>DENMARK</c:v>
                </c:pt>
                <c:pt idx="1">
                  <c:v>ESTONIA</c:v>
                </c:pt>
                <c:pt idx="2">
                  <c:v>FINLAND</c:v>
                </c:pt>
                <c:pt idx="3">
                  <c:v>LATVIA</c:v>
                </c:pt>
                <c:pt idx="4">
                  <c:v>LITHUANIA</c:v>
                </c:pt>
                <c:pt idx="5">
                  <c:v>NORWAY</c:v>
                </c:pt>
                <c:pt idx="6">
                  <c:v>POLAND</c:v>
                </c:pt>
                <c:pt idx="7">
                  <c:v>SWEDEN</c:v>
                </c:pt>
                <c:pt idx="8">
                  <c:v>NETHERLANDS</c:v>
                </c:pt>
              </c:strCache>
            </c:strRef>
          </c:cat>
          <c:val>
            <c:numRef>
              <c:f>'Heat Generation - Annual'!$Q$4:$Q$13</c:f>
              <c:numCache>
                <c:formatCode>General</c:formatCode>
                <c:ptCount val="9"/>
                <c:pt idx="6">
                  <c:v>7.4563444886270798</c:v>
                </c:pt>
              </c:numCache>
            </c:numRef>
          </c:val>
        </c:ser>
        <c:dLbls>
          <c:showLegendKey val="0"/>
          <c:showVal val="0"/>
          <c:showCatName val="0"/>
          <c:showSerName val="0"/>
          <c:showPercent val="0"/>
          <c:showBubbleSize val="0"/>
        </c:dLbls>
        <c:gapWidth val="150"/>
        <c:overlap val="100"/>
        <c:axId val="257814416"/>
        <c:axId val="257814808"/>
      </c:barChart>
      <c:catAx>
        <c:axId val="25781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57814808"/>
        <c:crosses val="autoZero"/>
        <c:auto val="1"/>
        <c:lblAlgn val="ctr"/>
        <c:lblOffset val="100"/>
        <c:noMultiLvlLbl val="0"/>
      </c:catAx>
      <c:valAx>
        <c:axId val="257814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57814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20170228.xlsm]Heat Generation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s>
    <c:plotArea>
      <c:layout/>
      <c:areaChart>
        <c:grouping val="stacked"/>
        <c:varyColors val="0"/>
        <c:ser>
          <c:idx val="0"/>
          <c:order val="0"/>
          <c:tx>
            <c:strRef>
              <c:f>'Heat Generation - Time'!$D$3:$D$4</c:f>
              <c:strCache>
                <c:ptCount val="1"/>
                <c:pt idx="0">
                  <c:v>Grand Total</c:v>
                </c:pt>
              </c:strCache>
            </c:strRef>
          </c:tx>
          <c:spPr>
            <a:solidFill>
              <a:schemeClr val="accent1"/>
            </a:solidFill>
            <a:ln>
              <a:noFill/>
            </a:ln>
            <a:effectLst/>
          </c:spPr>
          <c:cat>
            <c:strRef>
              <c:f>'Heat Generation - Time'!$B$5:$C$5</c:f>
              <c:strCache>
                <c:ptCount val="1"/>
                <c:pt idx="0">
                  <c:v>Grand Total</c:v>
                </c:pt>
              </c:strCache>
            </c:strRef>
          </c:cat>
          <c:val>
            <c:numRef>
              <c:f>'Heat Generation - Time'!$D$5</c:f>
              <c:numCache>
                <c:formatCode>General</c:formatCode>
                <c:ptCount val="1"/>
              </c:numCache>
            </c:numRef>
          </c:val>
        </c:ser>
        <c:dLbls>
          <c:showLegendKey val="0"/>
          <c:showVal val="0"/>
          <c:showCatName val="0"/>
          <c:showSerName val="0"/>
          <c:showPercent val="0"/>
          <c:showBubbleSize val="0"/>
        </c:dLbls>
        <c:axId val="257815592"/>
        <c:axId val="257815984"/>
      </c:areaChart>
      <c:catAx>
        <c:axId val="257815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57815984"/>
        <c:crosses val="autoZero"/>
        <c:auto val="1"/>
        <c:lblAlgn val="ctr"/>
        <c:lblOffset val="100"/>
        <c:noMultiLvlLbl val="0"/>
      </c:catAx>
      <c:valAx>
        <c:axId val="257815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57815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20170228.xlsm]Fuel Consumption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s>
    <c:plotArea>
      <c:layout/>
      <c:barChart>
        <c:barDir val="col"/>
        <c:grouping val="stacked"/>
        <c:varyColors val="0"/>
        <c:ser>
          <c:idx val="0"/>
          <c:order val="0"/>
          <c:tx>
            <c:strRef>
              <c:f>'Fuel Consumption - Annual'!$C$3:$C$4</c:f>
              <c:strCache>
                <c:ptCount val="1"/>
                <c:pt idx="0">
                  <c:v>SUN</c:v>
                </c:pt>
              </c:strCache>
            </c:strRef>
          </c:tx>
          <c:spPr>
            <a:solidFill>
              <a:schemeClr val="accent1"/>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Annual'!$C$5:$C$16</c:f>
              <c:numCache>
                <c:formatCode>General</c:formatCode>
                <c:ptCount val="11"/>
                <c:pt idx="0">
                  <c:v>74.428125212620387</c:v>
                </c:pt>
                <c:pt idx="2">
                  <c:v>93.5386320500956</c:v>
                </c:pt>
                <c:pt idx="3">
                  <c:v>32.801769</c:v>
                </c:pt>
                <c:pt idx="6">
                  <c:v>24.358452559039868</c:v>
                </c:pt>
                <c:pt idx="8">
                  <c:v>114.51226246648584</c:v>
                </c:pt>
                <c:pt idx="9">
                  <c:v>1.362444999999999</c:v>
                </c:pt>
                <c:pt idx="10">
                  <c:v>1.682248</c:v>
                </c:pt>
              </c:numCache>
            </c:numRef>
          </c:val>
        </c:ser>
        <c:ser>
          <c:idx val="1"/>
          <c:order val="1"/>
          <c:tx>
            <c:strRef>
              <c:f>'Fuel Consumption - Annual'!$D$3:$D$4</c:f>
              <c:strCache>
                <c:ptCount val="1"/>
                <c:pt idx="0">
                  <c:v>COAL</c:v>
                </c:pt>
              </c:strCache>
            </c:strRef>
          </c:tx>
          <c:spPr>
            <a:solidFill>
              <a:schemeClr val="accent2"/>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Annual'!$D$5:$D$16</c:f>
              <c:numCache>
                <c:formatCode>General</c:formatCode>
                <c:ptCount val="11"/>
                <c:pt idx="4">
                  <c:v>9.6637385086823499E-2</c:v>
                </c:pt>
                <c:pt idx="7">
                  <c:v>315.87478248767053</c:v>
                </c:pt>
              </c:numCache>
            </c:numRef>
          </c:val>
        </c:ser>
        <c:ser>
          <c:idx val="2"/>
          <c:order val="2"/>
          <c:tx>
            <c:strRef>
              <c:f>'Fuel Consumption - Annual'!$E$3:$E$4</c:f>
              <c:strCache>
                <c:ptCount val="1"/>
                <c:pt idx="0">
                  <c:v>ELECTRIC</c:v>
                </c:pt>
              </c:strCache>
            </c:strRef>
          </c:tx>
          <c:spPr>
            <a:solidFill>
              <a:schemeClr val="accent3"/>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Annual'!$E$5:$E$16</c:f>
              <c:numCache>
                <c:formatCode>General</c:formatCode>
                <c:ptCount val="11"/>
                <c:pt idx="0">
                  <c:v>3.4303632500000001</c:v>
                </c:pt>
              </c:numCache>
            </c:numRef>
          </c:val>
        </c:ser>
        <c:ser>
          <c:idx val="3"/>
          <c:order val="3"/>
          <c:tx>
            <c:strRef>
              <c:f>'Fuel Consumption - Annual'!$F$3:$F$4</c:f>
              <c:strCache>
                <c:ptCount val="1"/>
                <c:pt idx="0">
                  <c:v>FUELOIL</c:v>
                </c:pt>
              </c:strCache>
            </c:strRef>
          </c:tx>
          <c:spPr>
            <a:solidFill>
              <a:schemeClr val="accent4"/>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Annual'!$F$5:$F$16</c:f>
              <c:numCache>
                <c:formatCode>General</c:formatCode>
                <c:ptCount val="11"/>
                <c:pt idx="1">
                  <c:v>3.1172341286592901E-2</c:v>
                </c:pt>
              </c:numCache>
            </c:numRef>
          </c:val>
        </c:ser>
        <c:ser>
          <c:idx val="4"/>
          <c:order val="4"/>
          <c:tx>
            <c:strRef>
              <c:f>'Fuel Consumption - Annual'!$G$3:$G$4</c:f>
              <c:strCache>
                <c:ptCount val="1"/>
                <c:pt idx="0">
                  <c:v>NUCLEAR</c:v>
                </c:pt>
              </c:strCache>
            </c:strRef>
          </c:tx>
          <c:spPr>
            <a:solidFill>
              <a:schemeClr val="accent5"/>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Annual'!$G$5:$G$16</c:f>
              <c:numCache>
                <c:formatCode>General</c:formatCode>
                <c:ptCount val="11"/>
                <c:pt idx="3">
                  <c:v>298.97737515648299</c:v>
                </c:pt>
                <c:pt idx="9">
                  <c:v>12.3895914790284</c:v>
                </c:pt>
                <c:pt idx="10">
                  <c:v>185.84385462866601</c:v>
                </c:pt>
              </c:numCache>
            </c:numRef>
          </c:val>
        </c:ser>
        <c:ser>
          <c:idx val="5"/>
          <c:order val="5"/>
          <c:tx>
            <c:strRef>
              <c:f>'Fuel Consumption - Annual'!$H$3:$H$4</c:f>
              <c:strCache>
                <c:ptCount val="1"/>
                <c:pt idx="0">
                  <c:v>STRAW</c:v>
                </c:pt>
              </c:strCache>
            </c:strRef>
          </c:tx>
          <c:spPr>
            <a:solidFill>
              <a:schemeClr val="accent6"/>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Annual'!$H$5:$H$16</c:f>
              <c:numCache>
                <c:formatCode>General</c:formatCode>
                <c:ptCount val="11"/>
                <c:pt idx="4">
                  <c:v>1.7398333333333401E-2</c:v>
                </c:pt>
              </c:numCache>
            </c:numRef>
          </c:val>
        </c:ser>
        <c:ser>
          <c:idx val="6"/>
          <c:order val="6"/>
          <c:tx>
            <c:strRef>
              <c:f>'Fuel Consumption - Annual'!$I$3:$I$4</c:f>
              <c:strCache>
                <c:ptCount val="1"/>
                <c:pt idx="0">
                  <c:v>WATER</c:v>
                </c:pt>
              </c:strCache>
            </c:strRef>
          </c:tx>
          <c:spPr>
            <a:solidFill>
              <a:schemeClr val="accent1">
                <a:lumMod val="6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Annual'!$I$5:$I$16</c:f>
              <c:numCache>
                <c:formatCode>General</c:formatCode>
                <c:ptCount val="11"/>
                <c:pt idx="2">
                  <c:v>16.777955000000009</c:v>
                </c:pt>
                <c:pt idx="3">
                  <c:v>47.956654222715102</c:v>
                </c:pt>
                <c:pt idx="4">
                  <c:v>3.1671950000000013</c:v>
                </c:pt>
                <c:pt idx="5">
                  <c:v>0.53749131115782767</c:v>
                </c:pt>
                <c:pt idx="6">
                  <c:v>128.03684101989825</c:v>
                </c:pt>
                <c:pt idx="7">
                  <c:v>2.3110249999999999</c:v>
                </c:pt>
                <c:pt idx="8">
                  <c:v>79.112340271493167</c:v>
                </c:pt>
                <c:pt idx="9">
                  <c:v>0.15540000000000001</c:v>
                </c:pt>
                <c:pt idx="10">
                  <c:v>5.1395607069672202</c:v>
                </c:pt>
              </c:numCache>
            </c:numRef>
          </c:val>
        </c:ser>
        <c:ser>
          <c:idx val="7"/>
          <c:order val="7"/>
          <c:tx>
            <c:strRef>
              <c:f>'Fuel Consumption - Annual'!$J$3:$J$4</c:f>
              <c:strCache>
                <c:ptCount val="1"/>
                <c:pt idx="0">
                  <c:v>WIND</c:v>
                </c:pt>
              </c:strCache>
            </c:strRef>
          </c:tx>
          <c:spPr>
            <a:solidFill>
              <a:schemeClr val="accent2">
                <a:lumMod val="6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Annual'!$J$5:$J$16</c:f>
              <c:numCache>
                <c:formatCode>General</c:formatCode>
                <c:ptCount val="11"/>
                <c:pt idx="0">
                  <c:v>6.7024476999999996</c:v>
                </c:pt>
                <c:pt idx="1">
                  <c:v>0.66047999999999996</c:v>
                </c:pt>
                <c:pt idx="2">
                  <c:v>0.42531999999999998</c:v>
                </c:pt>
                <c:pt idx="3">
                  <c:v>68.427627999999999</c:v>
                </c:pt>
                <c:pt idx="4">
                  <c:v>0.23753400000000002</c:v>
                </c:pt>
                <c:pt idx="5">
                  <c:v>0.197379</c:v>
                </c:pt>
                <c:pt idx="6">
                  <c:v>1.4274821948060454</c:v>
                </c:pt>
                <c:pt idx="7">
                  <c:v>2.3858999999999999</c:v>
                </c:pt>
                <c:pt idx="8">
                  <c:v>7.5495799999999997</c:v>
                </c:pt>
                <c:pt idx="9">
                  <c:v>5.1874800000000008</c:v>
                </c:pt>
                <c:pt idx="10">
                  <c:v>23.971475999999999</c:v>
                </c:pt>
              </c:numCache>
            </c:numRef>
          </c:val>
        </c:ser>
        <c:ser>
          <c:idx val="8"/>
          <c:order val="8"/>
          <c:tx>
            <c:strRef>
              <c:f>'Fuel Consumption - Annual'!$K$3:$K$4</c:f>
              <c:strCache>
                <c:ptCount val="1"/>
                <c:pt idx="0">
                  <c:v>NATGAS</c:v>
                </c:pt>
              </c:strCache>
            </c:strRef>
          </c:tx>
          <c:spPr>
            <a:solidFill>
              <a:schemeClr val="accent3">
                <a:lumMod val="6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Annual'!$K$5:$K$16</c:f>
              <c:numCache>
                <c:formatCode>General</c:formatCode>
                <c:ptCount val="11"/>
                <c:pt idx="1">
                  <c:v>2.2777077430173973</c:v>
                </c:pt>
                <c:pt idx="4">
                  <c:v>3.7178112727015282</c:v>
                </c:pt>
              </c:numCache>
            </c:numRef>
          </c:val>
        </c:ser>
        <c:ser>
          <c:idx val="9"/>
          <c:order val="9"/>
          <c:tx>
            <c:strRef>
              <c:f>'Fuel Consumption - Annual'!$L$3:$L$4</c:f>
              <c:strCache>
                <c:ptCount val="1"/>
                <c:pt idx="0">
                  <c:v>WOODCHIPS</c:v>
                </c:pt>
              </c:strCache>
            </c:strRef>
          </c:tx>
          <c:spPr>
            <a:solidFill>
              <a:schemeClr val="accent4">
                <a:lumMod val="6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Annual'!$L$5:$L$16</c:f>
              <c:numCache>
                <c:formatCode>General</c:formatCode>
                <c:ptCount val="11"/>
                <c:pt idx="1">
                  <c:v>1.7763351842108319</c:v>
                </c:pt>
                <c:pt idx="4">
                  <c:v>0.91783139433193706</c:v>
                </c:pt>
              </c:numCache>
            </c:numRef>
          </c:val>
        </c:ser>
        <c:ser>
          <c:idx val="10"/>
          <c:order val="10"/>
          <c:tx>
            <c:strRef>
              <c:f>'Fuel Consumption - Annual'!$M$3:$M$4</c:f>
              <c:strCache>
                <c:ptCount val="1"/>
                <c:pt idx="0">
                  <c:v>RETORTGAS</c:v>
                </c:pt>
              </c:strCache>
            </c:strRef>
          </c:tx>
          <c:spPr>
            <a:solidFill>
              <a:schemeClr val="accent5">
                <a:lumMod val="6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Annual'!$M$5:$M$16</c:f>
              <c:numCache>
                <c:formatCode>General</c:formatCode>
                <c:ptCount val="11"/>
                <c:pt idx="1">
                  <c:v>1.6370825634059001</c:v>
                </c:pt>
              </c:numCache>
            </c:numRef>
          </c:val>
        </c:ser>
        <c:ser>
          <c:idx val="11"/>
          <c:order val="11"/>
          <c:tx>
            <c:strRef>
              <c:f>'Fuel Consumption - Annual'!$N$3:$N$4</c:f>
              <c:strCache>
                <c:ptCount val="1"/>
                <c:pt idx="0">
                  <c:v>SHALE</c:v>
                </c:pt>
              </c:strCache>
            </c:strRef>
          </c:tx>
          <c:spPr>
            <a:solidFill>
              <a:schemeClr val="accent6">
                <a:lumMod val="6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Annual'!$N$5:$N$16</c:f>
              <c:numCache>
                <c:formatCode>General</c:formatCode>
                <c:ptCount val="11"/>
                <c:pt idx="1">
                  <c:v>33.154005056340715</c:v>
                </c:pt>
              </c:numCache>
            </c:numRef>
          </c:val>
        </c:ser>
        <c:ser>
          <c:idx val="12"/>
          <c:order val="12"/>
          <c:tx>
            <c:strRef>
              <c:f>'Fuel Consumption - Annual'!$O$3:$O$4</c:f>
              <c:strCache>
                <c:ptCount val="1"/>
                <c:pt idx="0">
                  <c:v>MUNIWASTE</c:v>
                </c:pt>
              </c:strCache>
            </c:strRef>
          </c:tx>
          <c:spPr>
            <a:solidFill>
              <a:schemeClr val="accent1">
                <a:lumMod val="80000"/>
                <a:lumOff val="2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Annual'!$O$5:$O$16</c:f>
              <c:numCache>
                <c:formatCode>General</c:formatCode>
                <c:ptCount val="11"/>
                <c:pt idx="4">
                  <c:v>0.438</c:v>
                </c:pt>
                <c:pt idx="7">
                  <c:v>1.8981529116045299</c:v>
                </c:pt>
              </c:numCache>
            </c:numRef>
          </c:val>
        </c:ser>
        <c:ser>
          <c:idx val="13"/>
          <c:order val="13"/>
          <c:tx>
            <c:strRef>
              <c:f>'Fuel Consumption - Annual'!$P$3:$P$4</c:f>
              <c:strCache>
                <c:ptCount val="1"/>
                <c:pt idx="0">
                  <c:v>NATGAS_EXETS</c:v>
                </c:pt>
              </c:strCache>
            </c:strRef>
          </c:tx>
          <c:spPr>
            <a:solidFill>
              <a:schemeClr val="accent2">
                <a:lumMod val="80000"/>
                <a:lumOff val="2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Annual'!$P$5:$P$16</c:f>
              <c:numCache>
                <c:formatCode>General</c:formatCode>
                <c:ptCount val="11"/>
                <c:pt idx="4">
                  <c:v>0.38494371417229201</c:v>
                </c:pt>
              </c:numCache>
            </c:numRef>
          </c:val>
        </c:ser>
        <c:ser>
          <c:idx val="14"/>
          <c:order val="14"/>
          <c:tx>
            <c:strRef>
              <c:f>'Fuel Consumption - Annual'!$Q$3:$Q$4</c:f>
              <c:strCache>
                <c:ptCount val="1"/>
                <c:pt idx="0">
                  <c:v>WOODWASTE</c:v>
                </c:pt>
              </c:strCache>
            </c:strRef>
          </c:tx>
          <c:spPr>
            <a:solidFill>
              <a:schemeClr val="accent3">
                <a:lumMod val="80000"/>
                <a:lumOff val="2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Annual'!$Q$5:$Q$16</c:f>
              <c:numCache>
                <c:formatCode>General</c:formatCode>
                <c:ptCount val="11"/>
                <c:pt idx="4">
                  <c:v>2.8539693808105033</c:v>
                </c:pt>
                <c:pt idx="5">
                  <c:v>10.70258980996878</c:v>
                </c:pt>
              </c:numCache>
            </c:numRef>
          </c:val>
        </c:ser>
        <c:ser>
          <c:idx val="15"/>
          <c:order val="15"/>
          <c:tx>
            <c:strRef>
              <c:f>'Fuel Consumption - Annual'!$R$3:$R$4</c:f>
              <c:strCache>
                <c:ptCount val="1"/>
                <c:pt idx="0">
                  <c:v>COAL_EXETS</c:v>
                </c:pt>
              </c:strCache>
            </c:strRef>
          </c:tx>
          <c:spPr>
            <a:solidFill>
              <a:schemeClr val="accent4">
                <a:lumMod val="80000"/>
                <a:lumOff val="2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Annual'!$R$5:$R$16</c:f>
              <c:numCache>
                <c:formatCode>General</c:formatCode>
                <c:ptCount val="11"/>
                <c:pt idx="4">
                  <c:v>9.855000000000011E-2</c:v>
                </c:pt>
                <c:pt idx="5">
                  <c:v>0.219</c:v>
                </c:pt>
              </c:numCache>
            </c:numRef>
          </c:val>
        </c:ser>
        <c:ser>
          <c:idx val="16"/>
          <c:order val="16"/>
          <c:tx>
            <c:strRef>
              <c:f>'Fuel Consumption - Annual'!$S$3:$S$4</c:f>
              <c:strCache>
                <c:ptCount val="1"/>
                <c:pt idx="0">
                  <c:v>PEAT</c:v>
                </c:pt>
              </c:strCache>
            </c:strRef>
          </c:tx>
          <c:spPr>
            <a:solidFill>
              <a:schemeClr val="accent5">
                <a:lumMod val="80000"/>
                <a:lumOff val="2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Annual'!$S$5:$S$16</c:f>
              <c:numCache>
                <c:formatCode>General</c:formatCode>
                <c:ptCount val="11"/>
                <c:pt idx="5">
                  <c:v>0.16425000000000101</c:v>
                </c:pt>
              </c:numCache>
            </c:numRef>
          </c:val>
        </c:ser>
        <c:ser>
          <c:idx val="17"/>
          <c:order val="17"/>
          <c:tx>
            <c:strRef>
              <c:f>'Fuel Consumption - Annual'!$T$3:$T$4</c:f>
              <c:strCache>
                <c:ptCount val="1"/>
                <c:pt idx="0">
                  <c:v>LIGNITE</c:v>
                </c:pt>
              </c:strCache>
            </c:strRef>
          </c:tx>
          <c:spPr>
            <a:solidFill>
              <a:schemeClr val="accent6">
                <a:lumMod val="80000"/>
                <a:lumOff val="20000"/>
              </a:schemeClr>
            </a:solidFill>
            <a:ln>
              <a:noFill/>
            </a:ln>
            <a:effectLst/>
          </c:spPr>
          <c:invertIfNegative val="0"/>
          <c:cat>
            <c:strRef>
              <c:f>'Fuel Consumption - Annual'!$B$5:$B$16</c:f>
              <c:strCache>
                <c:ptCount val="11"/>
                <c:pt idx="0">
                  <c:v>DENMARK</c:v>
                </c:pt>
                <c:pt idx="1">
                  <c:v>ESTONIA</c:v>
                </c:pt>
                <c:pt idx="2">
                  <c:v>FINLAND</c:v>
                </c:pt>
                <c:pt idx="3">
                  <c:v>GERMANY</c:v>
                </c:pt>
                <c:pt idx="4">
                  <c:v>LATVIA</c:v>
                </c:pt>
                <c:pt idx="5">
                  <c:v>LITHUANIA</c:v>
                </c:pt>
                <c:pt idx="6">
                  <c:v>NORWAY</c:v>
                </c:pt>
                <c:pt idx="7">
                  <c:v>POLAND</c:v>
                </c:pt>
                <c:pt idx="8">
                  <c:v>SWEDEN</c:v>
                </c:pt>
                <c:pt idx="9">
                  <c:v>NETHERLANDS</c:v>
                </c:pt>
                <c:pt idx="10">
                  <c:v>UNITED_KINGDOM</c:v>
                </c:pt>
              </c:strCache>
            </c:strRef>
          </c:cat>
          <c:val>
            <c:numRef>
              <c:f>'Fuel Consumption - Annual'!$T$5:$T$16</c:f>
              <c:numCache>
                <c:formatCode>General</c:formatCode>
                <c:ptCount val="11"/>
                <c:pt idx="7">
                  <c:v>63.756099778022673</c:v>
                </c:pt>
              </c:numCache>
            </c:numRef>
          </c:val>
        </c:ser>
        <c:dLbls>
          <c:showLegendKey val="0"/>
          <c:showVal val="0"/>
          <c:showCatName val="0"/>
          <c:showSerName val="0"/>
          <c:showPercent val="0"/>
          <c:showBubbleSize val="0"/>
        </c:dLbls>
        <c:gapWidth val="150"/>
        <c:overlap val="100"/>
        <c:axId val="257816768"/>
        <c:axId val="257817160"/>
      </c:barChart>
      <c:catAx>
        <c:axId val="25781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57817160"/>
        <c:crosses val="autoZero"/>
        <c:auto val="1"/>
        <c:lblAlgn val="ctr"/>
        <c:lblOffset val="100"/>
        <c:noMultiLvlLbl val="0"/>
      </c:catAx>
      <c:valAx>
        <c:axId val="257817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57816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20170228.xlsm]Emissions!PivotTable3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Emissions!$C$3</c:f>
              <c:strCache>
                <c:ptCount val="1"/>
                <c:pt idx="0">
                  <c:v>Sum of CO2 megatons</c:v>
                </c:pt>
              </c:strCache>
            </c:strRef>
          </c:tx>
          <c:spPr>
            <a:solidFill>
              <a:schemeClr val="accent1"/>
            </a:solidFill>
            <a:ln>
              <a:noFill/>
            </a:ln>
            <a:effectLst/>
          </c:spPr>
          <c:invertIfNegative val="0"/>
          <c:cat>
            <c:strRef>
              <c:f>Emissions!$B$4:$B$8</c:f>
              <c:strCache>
                <c:ptCount val="4"/>
                <c:pt idx="0">
                  <c:v>ESTONIA</c:v>
                </c:pt>
                <c:pt idx="1">
                  <c:v>LATVIA</c:v>
                </c:pt>
                <c:pt idx="2">
                  <c:v>LITHUANIA</c:v>
                </c:pt>
                <c:pt idx="3">
                  <c:v>POLAND</c:v>
                </c:pt>
              </c:strCache>
            </c:strRef>
          </c:cat>
          <c:val>
            <c:numRef>
              <c:f>Emissions!$C$4:$C$8</c:f>
              <c:numCache>
                <c:formatCode>General</c:formatCode>
                <c:ptCount val="4"/>
                <c:pt idx="0">
                  <c:v>10.291441732043427</c:v>
                </c:pt>
                <c:pt idx="1">
                  <c:v>3.29108278651686E-2</c:v>
                </c:pt>
                <c:pt idx="2">
                  <c:v>6.3269100000000106E-2</c:v>
                </c:pt>
                <c:pt idx="3">
                  <c:v>133.07420559121863</c:v>
                </c:pt>
              </c:numCache>
            </c:numRef>
          </c:val>
        </c:ser>
        <c:ser>
          <c:idx val="1"/>
          <c:order val="1"/>
          <c:tx>
            <c:strRef>
              <c:f>Emissions!$D$3</c:f>
              <c:strCache>
                <c:ptCount val="1"/>
                <c:pt idx="0">
                  <c:v>Sum of SO2 kilotons</c:v>
                </c:pt>
              </c:strCache>
            </c:strRef>
          </c:tx>
          <c:spPr>
            <a:solidFill>
              <a:schemeClr val="accent2"/>
            </a:solidFill>
            <a:ln>
              <a:noFill/>
            </a:ln>
            <a:effectLst/>
          </c:spPr>
          <c:invertIfNegative val="0"/>
          <c:cat>
            <c:strRef>
              <c:f>Emissions!$B$4:$B$8</c:f>
              <c:strCache>
                <c:ptCount val="4"/>
                <c:pt idx="0">
                  <c:v>ESTONIA</c:v>
                </c:pt>
                <c:pt idx="1">
                  <c:v>LATVIA</c:v>
                </c:pt>
                <c:pt idx="2">
                  <c:v>LITHUANIA</c:v>
                </c:pt>
                <c:pt idx="3">
                  <c:v>POLAND</c:v>
                </c:pt>
              </c:strCache>
            </c:strRef>
          </c:cat>
          <c:val>
            <c:numRef>
              <c:f>Emissions!$D$4:$D$8</c:f>
              <c:numCache>
                <c:formatCode>General</c:formatCode>
                <c:ptCount val="4"/>
                <c:pt idx="0">
                  <c:v>27.49547680965653</c:v>
                </c:pt>
                <c:pt idx="1">
                  <c:v>0.24839673462717199</c:v>
                </c:pt>
                <c:pt idx="2">
                  <c:v>0.14191200000000001</c:v>
                </c:pt>
                <c:pt idx="3">
                  <c:v>75.492409011610789</c:v>
                </c:pt>
              </c:numCache>
            </c:numRef>
          </c:val>
        </c:ser>
        <c:ser>
          <c:idx val="2"/>
          <c:order val="2"/>
          <c:tx>
            <c:strRef>
              <c:f>Emissions!$E$3</c:f>
              <c:strCache>
                <c:ptCount val="1"/>
                <c:pt idx="0">
                  <c:v>Sum of N2O kilotons</c:v>
                </c:pt>
              </c:strCache>
            </c:strRef>
          </c:tx>
          <c:spPr>
            <a:solidFill>
              <a:schemeClr val="accent3"/>
            </a:solidFill>
            <a:ln>
              <a:noFill/>
            </a:ln>
            <a:effectLst/>
          </c:spPr>
          <c:invertIfNegative val="0"/>
          <c:cat>
            <c:strRef>
              <c:f>Emissions!$B$4:$B$8</c:f>
              <c:strCache>
                <c:ptCount val="4"/>
                <c:pt idx="0">
                  <c:v>ESTONIA</c:v>
                </c:pt>
                <c:pt idx="1">
                  <c:v>LATVIA</c:v>
                </c:pt>
                <c:pt idx="2">
                  <c:v>LITHUANIA</c:v>
                </c:pt>
                <c:pt idx="3">
                  <c:v>POLAND</c:v>
                </c:pt>
              </c:strCache>
            </c:strRef>
          </c:cat>
          <c:val>
            <c:numRef>
              <c:f>Emissions!$E$4:$E$8</c:f>
              <c:numCache>
                <c:formatCode>General</c:formatCode>
                <c:ptCount val="4"/>
                <c:pt idx="0">
                  <c:v>0.30266965910210725</c:v>
                </c:pt>
                <c:pt idx="1">
                  <c:v>1.0436837589376899E-3</c:v>
                </c:pt>
                <c:pt idx="2">
                  <c:v>1.7738999999999999E-3</c:v>
                </c:pt>
                <c:pt idx="3">
                  <c:v>4.1000135284694812</c:v>
                </c:pt>
              </c:numCache>
            </c:numRef>
          </c:val>
        </c:ser>
        <c:dLbls>
          <c:showLegendKey val="0"/>
          <c:showVal val="0"/>
          <c:showCatName val="0"/>
          <c:showSerName val="0"/>
          <c:showPercent val="0"/>
          <c:showBubbleSize val="0"/>
        </c:dLbls>
        <c:gapWidth val="219"/>
        <c:overlap val="-27"/>
        <c:axId val="285125240"/>
        <c:axId val="285125632"/>
      </c:barChart>
      <c:catAx>
        <c:axId val="285125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85125632"/>
        <c:crosses val="autoZero"/>
        <c:auto val="1"/>
        <c:lblAlgn val="ctr"/>
        <c:lblOffset val="100"/>
        <c:noMultiLvlLbl val="0"/>
      </c:catAx>
      <c:valAx>
        <c:axId val="285125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85125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20170228.xlsm]Heat Storage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'Heat Storage - Time'!$D$5:$D$6</c:f>
              <c:strCache>
                <c:ptCount val="1"/>
                <c:pt idx="0">
                  <c:v>Grand Total</c:v>
                </c:pt>
              </c:strCache>
            </c:strRef>
          </c:tx>
          <c:spPr>
            <a:ln w="28575" cap="rnd">
              <a:solidFill>
                <a:schemeClr val="accent1"/>
              </a:solidFill>
              <a:round/>
            </a:ln>
            <a:effectLst/>
          </c:spPr>
          <c:marker>
            <c:symbol val="none"/>
          </c:marker>
          <c:cat>
            <c:strRef>
              <c:f>'Heat Storage - Time'!$C$7</c:f>
              <c:strCache>
                <c:ptCount val="1"/>
                <c:pt idx="0">
                  <c:v>Grand Total</c:v>
                </c:pt>
              </c:strCache>
            </c:strRef>
          </c:cat>
          <c:val>
            <c:numRef>
              <c:f>'Heat Storage - Time'!$D$7</c:f>
              <c:numCache>
                <c:formatCode>General</c:formatCode>
                <c:ptCount val="1"/>
              </c:numCache>
            </c:numRef>
          </c:val>
          <c:smooth val="0"/>
        </c:ser>
        <c:dLbls>
          <c:showLegendKey val="0"/>
          <c:showVal val="0"/>
          <c:showCatName val="0"/>
          <c:showSerName val="0"/>
          <c:showPercent val="0"/>
          <c:showBubbleSize val="0"/>
        </c:dLbls>
        <c:smooth val="0"/>
        <c:axId val="285126416"/>
        <c:axId val="285126808"/>
      </c:lineChart>
      <c:catAx>
        <c:axId val="28512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85126808"/>
        <c:crosses val="autoZero"/>
        <c:auto val="1"/>
        <c:lblAlgn val="ctr"/>
        <c:lblOffset val="100"/>
        <c:noMultiLvlLbl val="0"/>
      </c:catAx>
      <c:valAx>
        <c:axId val="285126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85126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20170228.xlsm]Hydro storage - Time!PivotTable2</c:name>
    <c:fmtId val="1"/>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'Hydro storage - Time'!$D$4:$D$5</c:f>
              <c:strCache>
                <c:ptCount val="1"/>
                <c:pt idx="0">
                  <c:v>FINLAND</c:v>
                </c:pt>
              </c:strCache>
            </c:strRef>
          </c:tx>
          <c:spPr>
            <a:ln w="28575" cap="rnd">
              <a:solidFill>
                <a:schemeClr val="accent1"/>
              </a:solidFill>
              <a:round/>
            </a:ln>
            <a:effectLst/>
          </c:spPr>
          <c:marker>
            <c:symbol val="none"/>
          </c:marker>
          <c:cat>
            <c:strRef>
              <c:f>'Hydro storage - Time'!$C$6:$C$18</c:f>
              <c:strCache>
                <c:ptCount val="12"/>
                <c:pt idx="0">
                  <c:v>S01</c:v>
                </c:pt>
                <c:pt idx="1">
                  <c:v>S02</c:v>
                </c:pt>
                <c:pt idx="2">
                  <c:v>S03</c:v>
                </c:pt>
                <c:pt idx="3">
                  <c:v>S04</c:v>
                </c:pt>
                <c:pt idx="4">
                  <c:v>S05</c:v>
                </c:pt>
                <c:pt idx="5">
                  <c:v>S06</c:v>
                </c:pt>
                <c:pt idx="6">
                  <c:v>S07</c:v>
                </c:pt>
                <c:pt idx="7">
                  <c:v>S08</c:v>
                </c:pt>
                <c:pt idx="8">
                  <c:v>S09</c:v>
                </c:pt>
                <c:pt idx="9">
                  <c:v>S10</c:v>
                </c:pt>
                <c:pt idx="10">
                  <c:v>S11</c:v>
                </c:pt>
                <c:pt idx="11">
                  <c:v>S12</c:v>
                </c:pt>
              </c:strCache>
            </c:strRef>
          </c:cat>
          <c:val>
            <c:numRef>
              <c:f>'Hydro storage - Time'!$D$6:$D$18</c:f>
              <c:numCache>
                <c:formatCode>General</c:formatCode>
                <c:ptCount val="12"/>
                <c:pt idx="0">
                  <c:v>0</c:v>
                </c:pt>
                <c:pt idx="1">
                  <c:v>866297.29420252796</c:v>
                </c:pt>
                <c:pt idx="2">
                  <c:v>1691857.08544988</c:v>
                </c:pt>
                <c:pt idx="3">
                  <c:v>2491777.26409167</c:v>
                </c:pt>
                <c:pt idx="4">
                  <c:v>3239882.1977466098</c:v>
                </c:pt>
                <c:pt idx="5">
                  <c:v>2791687.5992247299</c:v>
                </c:pt>
                <c:pt idx="6">
                  <c:v>2367167.2074640798</c:v>
                </c:pt>
                <c:pt idx="7">
                  <c:v>1904768.0848854701</c:v>
                </c:pt>
                <c:pt idx="8">
                  <c:v>2178891.3058688198</c:v>
                </c:pt>
                <c:pt idx="9">
                  <c:v>1651455.11716878</c:v>
                </c:pt>
                <c:pt idx="10">
                  <c:v>1111243.7904806</c:v>
                </c:pt>
                <c:pt idx="11">
                  <c:v>559061.35546787595</c:v>
                </c:pt>
              </c:numCache>
            </c:numRef>
          </c:val>
          <c:smooth val="0"/>
        </c:ser>
        <c:ser>
          <c:idx val="1"/>
          <c:order val="1"/>
          <c:tx>
            <c:strRef>
              <c:f>'Hydro storage - Time'!$E$4:$E$5</c:f>
              <c:strCache>
                <c:ptCount val="1"/>
                <c:pt idx="0">
                  <c:v>GERMANY</c:v>
                </c:pt>
              </c:strCache>
            </c:strRef>
          </c:tx>
          <c:spPr>
            <a:ln w="28575" cap="rnd">
              <a:solidFill>
                <a:schemeClr val="accent2"/>
              </a:solidFill>
              <a:round/>
            </a:ln>
            <a:effectLst/>
          </c:spPr>
          <c:marker>
            <c:symbol val="none"/>
          </c:marker>
          <c:cat>
            <c:strRef>
              <c:f>'Hydro storage - Time'!$C$6:$C$18</c:f>
              <c:strCache>
                <c:ptCount val="12"/>
                <c:pt idx="0">
                  <c:v>S01</c:v>
                </c:pt>
                <c:pt idx="1">
                  <c:v>S02</c:v>
                </c:pt>
                <c:pt idx="2">
                  <c:v>S03</c:v>
                </c:pt>
                <c:pt idx="3">
                  <c:v>S04</c:v>
                </c:pt>
                <c:pt idx="4">
                  <c:v>S05</c:v>
                </c:pt>
                <c:pt idx="5">
                  <c:v>S06</c:v>
                </c:pt>
                <c:pt idx="6">
                  <c:v>S07</c:v>
                </c:pt>
                <c:pt idx="7">
                  <c:v>S08</c:v>
                </c:pt>
                <c:pt idx="8">
                  <c:v>S09</c:v>
                </c:pt>
                <c:pt idx="9">
                  <c:v>S10</c:v>
                </c:pt>
                <c:pt idx="10">
                  <c:v>S11</c:v>
                </c:pt>
                <c:pt idx="11">
                  <c:v>S12</c:v>
                </c:pt>
              </c:strCache>
            </c:strRef>
          </c:cat>
          <c:val>
            <c:numRef>
              <c:f>'Hydro storage - Time'!$E$6:$E$18</c:f>
              <c:numCache>
                <c:formatCode>General</c:formatCode>
                <c:ptCount val="12"/>
                <c:pt idx="0">
                  <c:v>0</c:v>
                </c:pt>
                <c:pt idx="1">
                  <c:v>2467608.3010840002</c:v>
                </c:pt>
                <c:pt idx="2">
                  <c:v>5004472.4033087203</c:v>
                </c:pt>
                <c:pt idx="3">
                  <c:v>7580002.3563597398</c:v>
                </c:pt>
                <c:pt idx="4">
                  <c:v>10182950.5624392</c:v>
                </c:pt>
                <c:pt idx="5">
                  <c:v>8122776.3459598701</c:v>
                </c:pt>
                <c:pt idx="6">
                  <c:v>6079919.1988840699</c:v>
                </c:pt>
                <c:pt idx="7">
                  <c:v>5887254.7357525704</c:v>
                </c:pt>
                <c:pt idx="8">
                  <c:v>8480006.4083699305</c:v>
                </c:pt>
                <c:pt idx="9">
                  <c:v>6346271.8896259703</c:v>
                </c:pt>
                <c:pt idx="10">
                  <c:v>4209175.5511090299</c:v>
                </c:pt>
                <c:pt idx="11">
                  <c:v>2092162.8198104701</c:v>
                </c:pt>
              </c:numCache>
            </c:numRef>
          </c:val>
          <c:smooth val="0"/>
        </c:ser>
        <c:ser>
          <c:idx val="2"/>
          <c:order val="2"/>
          <c:tx>
            <c:strRef>
              <c:f>'Hydro storage - Time'!$F$4:$F$5</c:f>
              <c:strCache>
                <c:ptCount val="1"/>
                <c:pt idx="0">
                  <c:v>LATVIA</c:v>
                </c:pt>
              </c:strCache>
            </c:strRef>
          </c:tx>
          <c:spPr>
            <a:ln w="28575" cap="rnd">
              <a:solidFill>
                <a:schemeClr val="accent3"/>
              </a:solidFill>
              <a:round/>
            </a:ln>
            <a:effectLst/>
          </c:spPr>
          <c:marker>
            <c:symbol val="none"/>
          </c:marker>
          <c:cat>
            <c:strRef>
              <c:f>'Hydro storage - Time'!$C$6:$C$18</c:f>
              <c:strCache>
                <c:ptCount val="12"/>
                <c:pt idx="0">
                  <c:v>S01</c:v>
                </c:pt>
                <c:pt idx="1">
                  <c:v>S02</c:v>
                </c:pt>
                <c:pt idx="2">
                  <c:v>S03</c:v>
                </c:pt>
                <c:pt idx="3">
                  <c:v>S04</c:v>
                </c:pt>
                <c:pt idx="4">
                  <c:v>S05</c:v>
                </c:pt>
                <c:pt idx="5">
                  <c:v>S06</c:v>
                </c:pt>
                <c:pt idx="6">
                  <c:v>S07</c:v>
                </c:pt>
                <c:pt idx="7">
                  <c:v>S08</c:v>
                </c:pt>
                <c:pt idx="8">
                  <c:v>S09</c:v>
                </c:pt>
                <c:pt idx="9">
                  <c:v>S10</c:v>
                </c:pt>
                <c:pt idx="10">
                  <c:v>S11</c:v>
                </c:pt>
                <c:pt idx="11">
                  <c:v>S12</c:v>
                </c:pt>
              </c:strCache>
            </c:strRef>
          </c:cat>
          <c:val>
            <c:numRef>
              <c:f>'Hydro storage - Time'!$F$6:$F$18</c:f>
              <c:numCache>
                <c:formatCode>General</c:formatCode>
                <c:ptCount val="12"/>
                <c:pt idx="0">
                  <c:v>0</c:v>
                </c:pt>
                <c:pt idx="1">
                  <c:v>296360.10125672701</c:v>
                </c:pt>
                <c:pt idx="2">
                  <c:v>370689.29599008599</c:v>
                </c:pt>
                <c:pt idx="3">
                  <c:v>463892.41578081797</c:v>
                </c:pt>
                <c:pt idx="4">
                  <c:v>446406.305941795</c:v>
                </c:pt>
                <c:pt idx="5">
                  <c:v>364543.131862109</c:v>
                </c:pt>
                <c:pt idx="6">
                  <c:v>332341.40650222398</c:v>
                </c:pt>
                <c:pt idx="7">
                  <c:v>287513.97071891901</c:v>
                </c:pt>
                <c:pt idx="8">
                  <c:v>235877.18327888101</c:v>
                </c:pt>
                <c:pt idx="9">
                  <c:v>114832.235239225</c:v>
                </c:pt>
                <c:pt idx="10">
                  <c:v>36232.4094899954</c:v>
                </c:pt>
                <c:pt idx="11">
                  <c:v>24314.965418974702</c:v>
                </c:pt>
              </c:numCache>
            </c:numRef>
          </c:val>
          <c:smooth val="0"/>
        </c:ser>
        <c:ser>
          <c:idx val="3"/>
          <c:order val="3"/>
          <c:tx>
            <c:strRef>
              <c:f>'Hydro storage - Time'!$G$4:$G$5</c:f>
              <c:strCache>
                <c:ptCount val="1"/>
                <c:pt idx="0">
                  <c:v>NORWAY</c:v>
                </c:pt>
              </c:strCache>
            </c:strRef>
          </c:tx>
          <c:spPr>
            <a:ln w="28575" cap="rnd">
              <a:solidFill>
                <a:schemeClr val="accent4"/>
              </a:solidFill>
              <a:round/>
            </a:ln>
            <a:effectLst/>
          </c:spPr>
          <c:marker>
            <c:symbol val="none"/>
          </c:marker>
          <c:cat>
            <c:strRef>
              <c:f>'Hydro storage - Time'!$C$6:$C$18</c:f>
              <c:strCache>
                <c:ptCount val="12"/>
                <c:pt idx="0">
                  <c:v>S01</c:v>
                </c:pt>
                <c:pt idx="1">
                  <c:v>S02</c:v>
                </c:pt>
                <c:pt idx="2">
                  <c:v>S03</c:v>
                </c:pt>
                <c:pt idx="3">
                  <c:v>S04</c:v>
                </c:pt>
                <c:pt idx="4">
                  <c:v>S05</c:v>
                </c:pt>
                <c:pt idx="5">
                  <c:v>S06</c:v>
                </c:pt>
                <c:pt idx="6">
                  <c:v>S07</c:v>
                </c:pt>
                <c:pt idx="7">
                  <c:v>S08</c:v>
                </c:pt>
                <c:pt idx="8">
                  <c:v>S09</c:v>
                </c:pt>
                <c:pt idx="9">
                  <c:v>S10</c:v>
                </c:pt>
                <c:pt idx="10">
                  <c:v>S11</c:v>
                </c:pt>
                <c:pt idx="11">
                  <c:v>S12</c:v>
                </c:pt>
              </c:strCache>
            </c:strRef>
          </c:cat>
          <c:val>
            <c:numRef>
              <c:f>'Hydro storage - Time'!$G$6:$G$18</c:f>
              <c:numCache>
                <c:formatCode>General</c:formatCode>
                <c:ptCount val="12"/>
                <c:pt idx="0">
                  <c:v>5245721.2028937191</c:v>
                </c:pt>
                <c:pt idx="1">
                  <c:v>15293949.381459892</c:v>
                </c:pt>
                <c:pt idx="2">
                  <c:v>22993323.381400853</c:v>
                </c:pt>
                <c:pt idx="3">
                  <c:v>30543166.786181178</c:v>
                </c:pt>
                <c:pt idx="4">
                  <c:v>35861383.495611973</c:v>
                </c:pt>
                <c:pt idx="5">
                  <c:v>28875220.960648686</c:v>
                </c:pt>
                <c:pt idx="6">
                  <c:v>21571906.837930571</c:v>
                </c:pt>
                <c:pt idx="7">
                  <c:v>15571326.753917105</c:v>
                </c:pt>
                <c:pt idx="8">
                  <c:v>10134085.917273404</c:v>
                </c:pt>
                <c:pt idx="9">
                  <c:v>6205408.3440648103</c:v>
                </c:pt>
                <c:pt idx="10">
                  <c:v>1644674.4807452923</c:v>
                </c:pt>
                <c:pt idx="11">
                  <c:v>0</c:v>
                </c:pt>
              </c:numCache>
            </c:numRef>
          </c:val>
          <c:smooth val="0"/>
        </c:ser>
        <c:ser>
          <c:idx val="4"/>
          <c:order val="4"/>
          <c:tx>
            <c:strRef>
              <c:f>'Hydro storage - Time'!$H$4:$H$5</c:f>
              <c:strCache>
                <c:ptCount val="1"/>
                <c:pt idx="0">
                  <c:v>SWEDEN</c:v>
                </c:pt>
              </c:strCache>
            </c:strRef>
          </c:tx>
          <c:spPr>
            <a:ln w="28575" cap="rnd">
              <a:solidFill>
                <a:schemeClr val="accent5"/>
              </a:solidFill>
              <a:round/>
            </a:ln>
            <a:effectLst/>
          </c:spPr>
          <c:marker>
            <c:symbol val="none"/>
          </c:marker>
          <c:cat>
            <c:strRef>
              <c:f>'Hydro storage - Time'!$C$6:$C$18</c:f>
              <c:strCache>
                <c:ptCount val="12"/>
                <c:pt idx="0">
                  <c:v>S01</c:v>
                </c:pt>
                <c:pt idx="1">
                  <c:v>S02</c:v>
                </c:pt>
                <c:pt idx="2">
                  <c:v>S03</c:v>
                </c:pt>
                <c:pt idx="3">
                  <c:v>S04</c:v>
                </c:pt>
                <c:pt idx="4">
                  <c:v>S05</c:v>
                </c:pt>
                <c:pt idx="5">
                  <c:v>S06</c:v>
                </c:pt>
                <c:pt idx="6">
                  <c:v>S07</c:v>
                </c:pt>
                <c:pt idx="7">
                  <c:v>S08</c:v>
                </c:pt>
                <c:pt idx="8">
                  <c:v>S09</c:v>
                </c:pt>
                <c:pt idx="9">
                  <c:v>S10</c:v>
                </c:pt>
                <c:pt idx="10">
                  <c:v>S11</c:v>
                </c:pt>
                <c:pt idx="11">
                  <c:v>S12</c:v>
                </c:pt>
              </c:strCache>
            </c:strRef>
          </c:cat>
          <c:val>
            <c:numRef>
              <c:f>'Hydro storage - Time'!$H$6:$H$18</c:f>
              <c:numCache>
                <c:formatCode>General</c:formatCode>
                <c:ptCount val="12"/>
                <c:pt idx="0">
                  <c:v>1660969.3669154758</c:v>
                </c:pt>
                <c:pt idx="1">
                  <c:v>9297028.6056698021</c:v>
                </c:pt>
                <c:pt idx="2">
                  <c:v>15768614.573197082</c:v>
                </c:pt>
                <c:pt idx="3">
                  <c:v>22085624.442773879</c:v>
                </c:pt>
                <c:pt idx="4">
                  <c:v>26764127.674075469</c:v>
                </c:pt>
                <c:pt idx="5">
                  <c:v>22658038.213291731</c:v>
                </c:pt>
                <c:pt idx="6">
                  <c:v>18173799.698084045</c:v>
                </c:pt>
                <c:pt idx="7">
                  <c:v>14529720.524286915</c:v>
                </c:pt>
                <c:pt idx="8">
                  <c:v>11541336.051322717</c:v>
                </c:pt>
                <c:pt idx="9">
                  <c:v>7538328.1758574825</c:v>
                </c:pt>
                <c:pt idx="10">
                  <c:v>3102365.0169748086</c:v>
                </c:pt>
                <c:pt idx="11">
                  <c:v>240282.99174874008</c:v>
                </c:pt>
              </c:numCache>
            </c:numRef>
          </c:val>
          <c:smooth val="0"/>
        </c:ser>
        <c:ser>
          <c:idx val="5"/>
          <c:order val="5"/>
          <c:tx>
            <c:strRef>
              <c:f>'Hydro storage - Time'!$I$4:$I$5</c:f>
              <c:strCache>
                <c:ptCount val="1"/>
                <c:pt idx="0">
                  <c:v>UNITED_KINGDOM</c:v>
                </c:pt>
              </c:strCache>
            </c:strRef>
          </c:tx>
          <c:spPr>
            <a:ln w="28575" cap="rnd">
              <a:solidFill>
                <a:schemeClr val="accent6"/>
              </a:solidFill>
              <a:round/>
            </a:ln>
            <a:effectLst/>
          </c:spPr>
          <c:marker>
            <c:symbol val="none"/>
          </c:marker>
          <c:cat>
            <c:strRef>
              <c:f>'Hydro storage - Time'!$C$6:$C$18</c:f>
              <c:strCache>
                <c:ptCount val="12"/>
                <c:pt idx="0">
                  <c:v>S01</c:v>
                </c:pt>
                <c:pt idx="1">
                  <c:v>S02</c:v>
                </c:pt>
                <c:pt idx="2">
                  <c:v>S03</c:v>
                </c:pt>
                <c:pt idx="3">
                  <c:v>S04</c:v>
                </c:pt>
                <c:pt idx="4">
                  <c:v>S05</c:v>
                </c:pt>
                <c:pt idx="5">
                  <c:v>S06</c:v>
                </c:pt>
                <c:pt idx="6">
                  <c:v>S07</c:v>
                </c:pt>
                <c:pt idx="7">
                  <c:v>S08</c:v>
                </c:pt>
                <c:pt idx="8">
                  <c:v>S09</c:v>
                </c:pt>
                <c:pt idx="9">
                  <c:v>S10</c:v>
                </c:pt>
                <c:pt idx="10">
                  <c:v>S11</c:v>
                </c:pt>
                <c:pt idx="11">
                  <c:v>S12</c:v>
                </c:pt>
              </c:strCache>
            </c:strRef>
          </c:cat>
          <c:val>
            <c:numRef>
              <c:f>'Hydro storage - Time'!$I$6:$I$18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285127592"/>
        <c:axId val="285127984"/>
      </c:lineChart>
      <c:catAx>
        <c:axId val="285127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85127984"/>
        <c:crosses val="autoZero"/>
        <c:auto val="1"/>
        <c:lblAlgn val="ctr"/>
        <c:lblOffset val="100"/>
        <c:noMultiLvlLbl val="0"/>
      </c:catAx>
      <c:valAx>
        <c:axId val="285127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851275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D16" lockText="1" noThreeD="1"/>
</file>

<file path=xl/ctrlProps/ctrlProp3.xml><?xml version="1.0" encoding="utf-8"?>
<formControlPr xmlns="http://schemas.microsoft.com/office/spreadsheetml/2009/9/main" objectType="CheckBox" checked="Checked" fmlaLink="D17" lockText="1" noThreeD="1"/>
</file>

<file path=xl/ctrlProps/ctrlProp4.xml><?xml version="1.0" encoding="utf-8"?>
<formControlPr xmlns="http://schemas.microsoft.com/office/spreadsheetml/2009/9/main" objectType="CheckBox" checked="Checked" fmlaLink="D18" lockText="1" noThreeD="1"/>
</file>

<file path=xl/ctrlProps/ctrlProp5.xml><?xml version="1.0" encoding="utf-8"?>
<formControlPr xmlns="http://schemas.microsoft.com/office/spreadsheetml/2009/9/main" objectType="CheckBox" checked="Checked" fmlaLink="D19" lockText="1" noThreeD="1"/>
</file>

<file path=xl/ctrlProps/ctrlProp6.xml><?xml version="1.0" encoding="utf-8"?>
<formControlPr xmlns="http://schemas.microsoft.com/office/spreadsheetml/2009/9/main" objectType="CheckBox" checked="Checked" fmlaLink="D20" lockText="1" noThreeD="1"/>
</file>

<file path=xl/ctrlProps/ctrlProp7.xml><?xml version="1.0" encoding="utf-8"?>
<formControlPr xmlns="http://schemas.microsoft.com/office/spreadsheetml/2009/9/main" objectType="CheckBox" checked="Checked" fmlaLink="D21" lockText="1" noThreeD="1"/>
</file>

<file path=xl/ctrlProps/ctrlProp8.xml><?xml version="1.0" encoding="utf-8"?>
<formControlPr xmlns="http://schemas.microsoft.com/office/spreadsheetml/2009/9/main" objectType="CheckBox" checked="Checked" fmlaLink="D22" lockText="1" noThreeD="1"/>
</file>

<file path=xl/ctrlProps/ctrlProp9.xml><?xml version="1.0" encoding="utf-8"?>
<formControlPr xmlns="http://schemas.microsoft.com/office/spreadsheetml/2009/9/main" objectType="CheckBox" checked="Checked" fmlaLink="D23" lockText="1" noThreeD="1"/>
</file>

<file path=xl/ctrlProps/ctrlProp10.xml><?xml version="1.0" encoding="utf-8"?>
<formControlPr xmlns="http://schemas.microsoft.com/office/spreadsheetml/2009/9/main" objectType="CheckBox" checked="Checked" fmlaLink="D24"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D13" lockText="1" noThreeD="1"/>
</file>

<file path=xl/ctrlProps/ctrlProp14.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xdr:row>
          <xdr:rowOff>180975</xdr:rowOff>
        </xdr:from>
        <xdr:to>
          <xdr:col>5</xdr:col>
          <xdr:colOff>9525</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171450</xdr:rowOff>
        </xdr:from>
        <xdr:to>
          <xdr:col>4</xdr:col>
          <xdr:colOff>123825</xdr:colOff>
          <xdr:row>16</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171450</xdr:rowOff>
        </xdr:from>
        <xdr:to>
          <xdr:col>4</xdr:col>
          <xdr:colOff>123825</xdr:colOff>
          <xdr:row>17</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171450</xdr:rowOff>
        </xdr:from>
        <xdr:to>
          <xdr:col>4</xdr:col>
          <xdr:colOff>123825</xdr:colOff>
          <xdr:row>18</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171450</xdr:rowOff>
        </xdr:from>
        <xdr:to>
          <xdr:col>4</xdr:col>
          <xdr:colOff>123825</xdr:colOff>
          <xdr:row>19</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171450</xdr:rowOff>
        </xdr:from>
        <xdr:to>
          <xdr:col>4</xdr:col>
          <xdr:colOff>123825</xdr:colOff>
          <xdr:row>20</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171450</xdr:rowOff>
        </xdr:from>
        <xdr:to>
          <xdr:col>4</xdr:col>
          <xdr:colOff>123825</xdr:colOff>
          <xdr:row>21</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171450</xdr:rowOff>
        </xdr:from>
        <xdr:to>
          <xdr:col>4</xdr:col>
          <xdr:colOff>123825</xdr:colOff>
          <xdr:row>22</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171450</xdr:rowOff>
        </xdr:from>
        <xdr:to>
          <xdr:col>4</xdr:col>
          <xdr:colOff>123825</xdr:colOff>
          <xdr:row>23</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171450</xdr:rowOff>
        </xdr:from>
        <xdr:to>
          <xdr:col>4</xdr:col>
          <xdr:colOff>123825</xdr:colOff>
          <xdr:row>24</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4</xdr:col>
          <xdr:colOff>504825</xdr:colOff>
          <xdr:row>9</xdr:row>
          <xdr:rowOff>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495300</xdr:colOff>
          <xdr:row>6</xdr:row>
          <xdr:rowOff>0</xdr:rowOff>
        </xdr:from>
        <xdr:to>
          <xdr:col>5</xdr:col>
          <xdr:colOff>9525</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12</xdr:row>
          <xdr:rowOff>0</xdr:rowOff>
        </xdr:from>
        <xdr:to>
          <xdr:col>3</xdr:col>
          <xdr:colOff>180975</xdr:colOff>
          <xdr:row>13</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13</xdr:row>
          <xdr:rowOff>0</xdr:rowOff>
        </xdr:from>
        <xdr:to>
          <xdr:col>3</xdr:col>
          <xdr:colOff>180975</xdr:colOff>
          <xdr:row>14</xdr:row>
          <xdr:rowOff>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771525</xdr:colOff>
      <xdr:row>4</xdr:row>
      <xdr:rowOff>133350</xdr:rowOff>
    </xdr:from>
    <xdr:to>
      <xdr:col>8</xdr:col>
      <xdr:colOff>266700</xdr:colOff>
      <xdr:row>20</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579663</xdr:colOff>
      <xdr:row>5</xdr:row>
      <xdr:rowOff>155121</xdr:rowOff>
    </xdr:from>
    <xdr:to>
      <xdr:col>10</xdr:col>
      <xdr:colOff>1061356</xdr:colOff>
      <xdr:row>40</xdr:row>
      <xdr:rowOff>27214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24493</xdr:colOff>
      <xdr:row>5</xdr:row>
      <xdr:rowOff>76799</xdr:rowOff>
    </xdr:from>
    <xdr:to>
      <xdr:col>21</xdr:col>
      <xdr:colOff>544285</xdr:colOff>
      <xdr:row>35</xdr:row>
      <xdr:rowOff>54429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119061</xdr:rowOff>
    </xdr:from>
    <xdr:to>
      <xdr:col>9</xdr:col>
      <xdr:colOff>733425</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683559</xdr:colOff>
      <xdr:row>16</xdr:row>
      <xdr:rowOff>100853</xdr:rowOff>
    </xdr:from>
    <xdr:to>
      <xdr:col>11</xdr:col>
      <xdr:colOff>717175</xdr:colOff>
      <xdr:row>42</xdr:row>
      <xdr:rowOff>89646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1323975</xdr:colOff>
      <xdr:row>4</xdr:row>
      <xdr:rowOff>152400</xdr:rowOff>
    </xdr:from>
    <xdr:to>
      <xdr:col>8</xdr:col>
      <xdr:colOff>228600</xdr:colOff>
      <xdr:row>25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238124</xdr:colOff>
      <xdr:row>9</xdr:row>
      <xdr:rowOff>66675</xdr:rowOff>
    </xdr:from>
    <xdr:to>
      <xdr:col>11</xdr:col>
      <xdr:colOff>590549</xdr:colOff>
      <xdr:row>29</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2794.554827430555" createdVersion="5" refreshedVersion="5" minRefreshableVersion="3" recordCount="136">
  <cacheSource type="external" connectionId="4"/>
  <cacheFields count="11">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5">
        <s v="DENMARK"/>
        <s v="ESTONIA"/>
        <s v="FINLAND"/>
        <s v="GERMANY"/>
        <s v="LATVIA"/>
        <s v="LITHUANIA"/>
        <s v="NETHERLANDS"/>
        <s v="NORWAY"/>
        <s v="POLAND"/>
        <s v="SWEDEN"/>
        <s v="UNITED_KINGDOM"/>
        <s v="FRANCE" u="1"/>
        <s v="HOLLAND" u="1"/>
        <s v="GREAT_BRITAIN" u="1"/>
        <s v="BELGIUM" u="1"/>
      </sharedItems>
    </cacheField>
    <cacheField name="Region" numFmtId="0" sqlType="-10">
      <sharedItems count="19">
        <s v="DK1"/>
        <s v="DK2"/>
        <s v="EE"/>
        <s v="FIN"/>
        <s v="GER"/>
        <s v="LV"/>
        <s v="LT"/>
        <s v="NE"/>
        <s v="NO1"/>
        <s v="NO2"/>
        <s v="NO3"/>
        <s v="NO4"/>
        <s v="NO5"/>
        <s v="PL"/>
        <s v="SE1"/>
        <s v="SE2"/>
        <s v="SE3"/>
        <s v="SE4"/>
        <s v="UK"/>
      </sharedItems>
    </cacheField>
    <cacheField name="Area" numFmtId="0" sqlType="-10">
      <sharedItems/>
    </cacheField>
    <cacheField name="Fuel" numFmtId="0" sqlType="-10">
      <sharedItems count="25">
        <s v="WIND"/>
        <s v="SUN"/>
        <s v="ELECTRIC"/>
        <s v="NATGAS"/>
        <s v="WOODCHIPS"/>
        <s v="RETORTGAS"/>
        <s v="SHALE"/>
        <s v="WATER"/>
        <s v="NUCLEAR"/>
        <s v="MUNIWASTE"/>
        <s v="WOODWASTE"/>
        <s v="COAL"/>
        <s v="LIGNITE"/>
        <s v="MUNI_WASTE" u="1"/>
        <s v="WOOD_PELLETS" u="1"/>
        <s v="NG_CCS" u="1"/>
        <s v="STRAW" u="1"/>
        <s v="NAT_GAS" u="1"/>
        <s v="BIOGAS_net" u="1"/>
        <s v="COAL_CCS" u="1"/>
        <s v="WOOD" u="1"/>
        <s v="WOOD_WASTE" u="1"/>
        <s v="GeoEl" u="1"/>
        <s v="BIOGAS" u="1"/>
        <s v="WP_CCS" u="1"/>
      </sharedItems>
    </cacheField>
    <cacheField name="Technology Type" numFmtId="0" sqlType="-10">
      <sharedItems count="9">
        <s v="2.13e+303"/>
        <s v="2.11e+303"/>
        <s v="2.33e+303"/>
        <s v="2.18e+303"/>
        <s v="2.15e+303"/>
        <s v="1.99e+303"/>
        <s v="2.08e+303"/>
        <s v="2.1e+303"/>
        <s v="2.38e+303"/>
      </sharedItems>
    </cacheField>
    <cacheField name="Technology" numFmtId="0" sqlType="-10">
      <sharedItems/>
    </cacheField>
    <cacheField name="TWh" numFmtId="0" sqlType="8">
      <sharedItems containsSemiMixedTypes="0" containsString="0" containsNumber="1" minValue="3.0386572569951801E-3" maxValue="104.64208130476899"/>
    </cacheField>
    <cacheField name="PJ" numFmtId="0" sqlType="8">
      <sharedItems containsSemiMixedTypes="0" containsString="0" containsNumber="1" minValue="1.0939166125182601E-2" maxValue="376.7114926971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2794.55482824074" createdVersion="5" refreshedVersion="5" minRefreshableVersion="3" recordCount="2736">
  <cacheSource type="external" connectionId="7"/>
  <cacheFields count="8">
    <cacheField name="Case1"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BASE"/>
      </sharedItems>
    </cacheField>
    <cacheField name="Region" numFmtId="0" sqlType="-10">
      <sharedItems count="93">
        <s v="DK1"/>
        <s v="DK2"/>
        <s v="EE"/>
        <s v="FIN"/>
        <s v="GER"/>
        <s v="LV"/>
        <s v="LT"/>
        <s v="NE"/>
        <s v="NO1"/>
        <s v="NO2"/>
        <s v="NO3"/>
        <s v="NO4"/>
        <s v="NO5"/>
        <s v="PL"/>
        <s v="SE1"/>
        <s v="SE2"/>
        <s v="SE3"/>
        <s v="SE4"/>
        <s v="UK"/>
        <s v="NO_M" u="1"/>
        <s v="SE_M_EV" u="1"/>
        <s v="DE_CS" u="1"/>
        <s v="DE_NE" u="1"/>
        <s v="SE_S_EV" u="1"/>
        <s v="PL_DECZ" u="1"/>
        <s v="NO_MW_EHP" u="1"/>
        <s v="NO_M_EHP" u="1"/>
        <s v="NL_R_EV" u="1"/>
        <s v="LV_R_EV" u="1"/>
        <s v="NO_SW_EHP" u="1"/>
        <s v="DK_KF" u="1"/>
        <s v="NO_N" u="1"/>
        <s v="SE_N1_EV" u="1"/>
        <s v="SE_M" u="1"/>
        <s v="BE_R_EV" u="1"/>
        <s v="SE_S" u="1"/>
        <s v="FR_R_EV" u="1"/>
        <s v="NO_N_EHP" u="1"/>
        <s v="NL_R" u="1"/>
        <s v="LV_R" u="1"/>
        <s v="NO_SE_EHP" u="1"/>
        <s v="DE_ME_EHP" u="1"/>
        <s v="DE_NW_EHP" u="1"/>
        <s v="SE_M_EHP" u="1"/>
        <s v="SE_N2_EHP" u="1"/>
        <s v="SE_S_EHP" u="1"/>
        <s v="GB_R_EV" u="1"/>
        <s v="BE_R" u="1"/>
        <s v="NO_MW_EV" u="1"/>
        <s v="NL_R_EHP" u="1"/>
        <s v="LT_R_EV" u="1"/>
        <s v="SE_N1" u="1"/>
        <s v="LV_R_EHP" u="1"/>
        <s v="FR_R" u="1"/>
        <s v="NO_SW_EV" u="1"/>
        <s v="EE_R_EV" u="1"/>
        <s v="DE_CS_EHP" u="1"/>
        <s v="DE_NE_EHP" u="1"/>
        <s v="BE_R_EHP" u="1"/>
        <s v="FR_R_EHP" u="1"/>
        <s v="GB_R" u="1"/>
        <s v="DK_E_EV" u="1"/>
        <s v="LT_R" u="1"/>
        <s v="FI_R_EV" u="1"/>
        <s v="PL_R_EV" u="1"/>
        <s v="NO_SE_EV" u="1"/>
        <s v="DE_ME_EV" u="1"/>
        <s v="DE_NW_EV" u="1"/>
        <s v="EE_R" u="1"/>
        <s v="SE_N2_EV" u="1"/>
        <s v="DK_W_EV" u="1"/>
        <s v="NO_MW" u="1"/>
        <s v="NO_SW" u="1"/>
        <s v="GB_R_EHP" u="1"/>
        <s v="LT_R_EHP" u="1"/>
        <s v="DK_E" u="1"/>
        <s v="EE_R_EHP" u="1"/>
        <s v="DE_CS_EV" u="1"/>
        <s v="FI_R" u="1"/>
        <s v="PL_R" u="1"/>
        <s v="DE_NE_EV" u="1"/>
        <s v="NO_M_EV" u="1"/>
        <s v="DK_W" u="1"/>
        <s v="SE_N1_EHP" u="1"/>
        <s v="NO_SE" u="1"/>
        <s v="DK_E_EHP" u="1"/>
        <s v="DE_ME" u="1"/>
        <s v="DE_NW" u="1"/>
        <s v="FI_R_EHP" u="1"/>
        <s v="PL_R_EHP" u="1"/>
        <s v="SE_N2" u="1"/>
        <s v="DK_W_EHP" u="1"/>
        <s v="NO_N_EV" u="1"/>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OMONEY/MWh" numFmtId="0" sqlType="8">
      <sharedItems containsSemiMixedTypes="0" containsString="0" containsNumber="1" minValue="3854.0936835001298" maxValue="104600.1940791459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2794.55482928241" createdVersion="5" refreshedVersion="5" minRefreshableVersion="3" recordCount="84">
  <cacheSource type="external" connectionId="10"/>
  <cacheFields count="10">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0">
        <s v="DENMARK"/>
        <s v="ESTONIA"/>
        <s v="FINLAND"/>
        <s v="LATVIA"/>
        <s v="LITHUANIA"/>
        <s v="NETHERLANDS"/>
        <s v="NORWAY"/>
        <s v="POLAND"/>
        <s v="SWEDEN"/>
        <s v="GERMANY" u="1"/>
      </sharedItems>
    </cacheField>
    <cacheField name="Region" numFmtId="0" sqlType="-10">
      <sharedItems count="17">
        <s v="DK1"/>
        <s v="DK2"/>
        <s v="EE"/>
        <s v="FIN"/>
        <s v="LV"/>
        <s v="LT"/>
        <s v="NE"/>
        <s v="NO1"/>
        <s v="NO2"/>
        <s v="NO3"/>
        <s v="NO4"/>
        <s v="NO5"/>
        <s v="PL"/>
        <s v="SE1"/>
        <s v="SE2"/>
        <s v="SE3"/>
        <s v="SE4"/>
      </sharedItems>
    </cacheField>
    <cacheField name="Area" numFmtId="0" sqlType="-10">
      <sharedItems/>
    </cacheField>
    <cacheField name="Fuel" numFmtId="0" sqlType="-10">
      <sharedItems count="29">
        <s v="SUN"/>
        <s v="ELECTRIC"/>
        <s v="FUELOIL"/>
        <s v="NATGAS"/>
        <s v="WOODCHIPS"/>
        <s v="RETORTGAS"/>
        <s v="SHALE"/>
        <s v="MUNIWASTE"/>
        <s v="NATGAS_EXETS"/>
        <s v="WOODWASTE"/>
        <s v="COAL_EXETS"/>
        <s v="COAL"/>
        <s v="STRAW"/>
        <s v="PEAT"/>
        <s v="LIGNITE"/>
        <s v="MUNI_WASTE" u="1"/>
        <s v="WOOD_PELLETS" u="1"/>
        <s v="NG_CCS" u="1"/>
        <s v="BIOOIL" u="1"/>
        <s v="NAT_GAS" u="1"/>
        <s v="SURPLUS_H" u="1"/>
        <s v="BIOGAS_net" u="1"/>
        <s v="COAL_CCS" u="1"/>
        <s v="WOOD" u="1"/>
        <s v="LIGHTOIL" u="1"/>
        <s v="WOOD_WASTE" u="1"/>
        <s v="BIOGAS" u="1"/>
        <s v="WP_CCS" u="1"/>
        <s v="HEAT" u="1"/>
      </sharedItems>
    </cacheField>
    <cacheField name="Technology" numFmtId="0" sqlType="-10">
      <sharedItems count="30">
        <s v="SolarDH-10_19"/>
        <s v="HeatPump-EL-10_19"/>
        <s v="GHOB_FUELOIL"/>
        <s v="GBPR_NATGAS"/>
        <s v="GBPR_WOODCHIPS"/>
        <s v="GHOB_RETORTGAS"/>
        <s v="GEXT_SHALE_NARVA_TG11"/>
        <s v="GBPR_WOODCHIPS_TARTU"/>
        <s v="GEXT_SHALE_SILLAMAE"/>
        <s v="GHOB_SHALE"/>
        <s v="GHOB_NATGAS"/>
        <s v="ST-B1-waste-LV"/>
        <s v="GEXT_NATGAS"/>
        <s v="GHOB_NATGAS_EXETS"/>
        <s v="GHOB_WOODCHIPS"/>
        <s v="GBPR_WOODWASTE"/>
        <s v="GBPR_WOODWASTE_IND"/>
        <s v="GHOB_COAL_EXETS"/>
        <s v="GHOB_WOODWASTE"/>
        <s v="GBPR_COAL"/>
        <s v="GHOB_STRAW"/>
        <s v="GETOH_HEATPUMP"/>
        <s v="GHOB_PEAT"/>
        <s v="GBPR-CO-07"/>
        <s v="GBPR-CO-09"/>
        <s v="GEXT-CO-025"/>
        <s v="GEXT-CO-04"/>
        <s v="GBRP-LIGNITE-047"/>
        <s v="GEXT-LIGNITE-036"/>
        <s v="GBPR-WASTE"/>
      </sharedItems>
    </cacheField>
    <cacheField name="TWh" numFmtId="0" sqlType="8">
      <sharedItems containsSemiMixedTypes="0" containsString="0" containsNumber="1" minValue="2.54222379492899E-3" maxValue="79.511990517477301"/>
    </cacheField>
    <cacheField name="PJ" numFmtId="0" sqlType="8">
      <sharedItems containsSemiMixedTypes="0" containsString="0" containsNumber="1" minValue="9.1520056617443498E-3" maxValue="286.2431658629179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2794.554831481481" createdVersion="5" refreshedVersion="5" minRefreshableVersion="3" recordCount="10692">
  <cacheSource type="external" connectionId="11"/>
  <cacheFields count="13">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9">
        <s v="DENMARK"/>
        <s v="ESTONIA"/>
        <s v="FINLAND"/>
        <s v="LATVIA"/>
        <s v="LITHUANIA"/>
        <s v="NETHERLANDS"/>
        <s v="NORWAY"/>
        <s v="POLAND"/>
        <s v="SWEDEN"/>
      </sharedItems>
    </cacheField>
    <cacheField name="Region" numFmtId="0" sqlType="-10">
      <sharedItems count="37">
        <s v="DK1"/>
        <s v="DK2"/>
        <s v="EE"/>
        <s v="FIN"/>
        <s v="LV"/>
        <s v="LT"/>
        <s v="NE"/>
        <s v="NO1"/>
        <s v="NO2"/>
        <s v="NO3"/>
        <s v="NO4"/>
        <s v="NO5"/>
        <s v="PL"/>
        <s v="SE1"/>
        <s v="SE2"/>
        <s v="SE3"/>
        <s v="SE4"/>
        <s v="NO_SE" u="1"/>
        <s v="PL_R" u="1"/>
        <s v="DE_NE" u="1"/>
        <s v="DE_ME" u="1"/>
        <s v="NO_N" u="1"/>
        <s v="SE_M" u="1"/>
        <s v="NO_SW" u="1"/>
        <s v="FI_R" u="1"/>
        <s v="NO_M" u="1"/>
        <s v="DE_NW" u="1"/>
        <s v="SE_N2" u="1"/>
        <s v="SE_N1" u="1"/>
        <s v="LT_R" u="1"/>
        <s v="LV_R" u="1"/>
        <s v="SE_S" u="1"/>
        <s v="DK_E" u="1"/>
        <s v="EE_R" u="1"/>
        <s v="NO_MW" u="1"/>
        <s v="DK_W" u="1"/>
        <s v="DE_CS" u="1"/>
      </sharedItems>
    </cacheField>
    <cacheField name="Area" numFmtId="0" sqlType="-10">
      <sharedItems/>
    </cacheField>
    <cacheField name="Fuel" numFmtId="0" sqlType="-10">
      <sharedItems count="15">
        <s v="SUN"/>
        <s v="ELECTRIC"/>
        <s v="FUELOIL"/>
        <s v="NATGAS"/>
        <s v="WOODCHIPS"/>
        <s v="RETORTGAS"/>
        <s v="SHALE"/>
        <s v="MUNIWASTE"/>
        <s v="NATGAS_EXETS"/>
        <s v="WOODWASTE"/>
        <s v="COAL_EXETS"/>
        <s v="COAL"/>
        <s v="STRAW"/>
        <s v="PEAT"/>
        <s v="LIGNITE"/>
      </sharedItems>
    </cacheField>
    <cacheField name="Technology" numFmtId="0" sqlType="-10">
      <sharedItems count="144">
        <s v="SolarDH-10_19"/>
        <s v="HeatPump-EL-10_19"/>
        <s v="GHOB_FUELOIL"/>
        <s v="GBPR_NATGAS"/>
        <s v="GBPR_WOODCHIPS"/>
        <s v="GHOB_RETORTGAS"/>
        <s v="GEXT_SHALE_NARVA_TG11"/>
        <s v="GBPR_WOODCHIPS_TARTU"/>
        <s v="GEXT_SHALE_SILLAMAE"/>
        <s v="GHOB_SHALE"/>
        <s v="GHOB_NATGAS"/>
        <s v="ST-B1-waste-LV"/>
        <s v="GEXT_NATGAS"/>
        <s v="GHOB_NATGAS_EXETS"/>
        <s v="GHOB_WOODCHIPS"/>
        <s v="GBPR_WOODWASTE"/>
        <s v="GBPR_WOODWASTE_IND"/>
        <s v="GHOB_COAL_EXETS"/>
        <s v="GHOB_WOODWASTE"/>
        <s v="GBPR_COAL"/>
        <s v="GHOB_STRAW"/>
        <s v="GETOH_HEATPUMP"/>
        <s v="GHOB_PEAT"/>
        <s v="GBPR-CO-07"/>
        <s v="GBPR-CO-09"/>
        <s v="GEXT-CO-025"/>
        <s v="GEXT-CO-04"/>
        <s v="GBRP-LIGNITE-047"/>
        <s v="GEXT-LIGNITE-036"/>
        <s v="GBPR-WASTE"/>
        <s v="DE_CS_WASTE_ST_EXT" u="1"/>
        <s v="Central-CHP-BG-15" u="1"/>
        <s v="DE_CS_NGAS_CCGT_EXT_80" u="1"/>
        <s v="DK_CA_Aarhus_Boiler_MW" u="1"/>
        <s v="FI_R_Rural_ST-B9-WW" u="1"/>
        <s v="HOB-CO" u="1"/>
        <s v="FI_Rural_ST-B9-MW" u="1"/>
        <s v="SteamTur-EXT-CO-20_29" u="1"/>
        <s v="GasTurCC-EXT-NGccs-30_50" u="1"/>
        <s v="ST-B9-WW" u="1"/>
        <s v="Mongstad_CC_NG" u="1"/>
        <s v="DK_SA_SurpHeat_FF" u="1"/>
        <s v="DE_ME_NGAS_CCGT_EXT_2000" u="1"/>
        <s v="DK_CA_TVIS_SurpHeat_FF" u="1"/>
        <s v="DE_ME_WOOD_ST_BP_Medium" u="1"/>
        <s v="DK_CA_Aarhus_Boiler_LO" u="1"/>
        <s v="FI_R_Rural_ST-E9-WW" u="1"/>
        <s v="GasTurCC-EXT-NG-30_49" u="1"/>
        <s v="DK_CA_Aarhus_Boiler_EL" u="1"/>
        <s v="DK_CA_Aarhus_SteamTur_MW" u="1"/>
        <s v="SteamTur-Medi-BP-WW-10" u="1"/>
        <s v="DK_MAM_Nyborg_SurpHeat_FF" u="1"/>
        <s v="DK_MAM_Skagen_SurpHeat_FF" u="1"/>
        <s v="DK_MA_Grenaa_Boiler_WO" u="1"/>
        <s v="DE_ME_NGAS_CCGT_EXT_post2010" u="1"/>
        <s v="HO-B8-FO" u="1"/>
        <s v="SE_S_Rural_ST-B9-ST" u="1"/>
        <s v="FI_R_Industry_ST-B9-WW" u="1"/>
        <s v="DK_MAM_Had_Boiler_WO" u="1"/>
        <s v="DK_MA_Sndborg_CHP_NG" u="1"/>
        <s v="HOB-STR" u="1"/>
        <s v="DK_CA_Aal_SurpHeat_FF" u="1"/>
        <s v="DK_CA_Esb_SurpHeat_FF" u="1"/>
        <s v="DE_NW_NGAS_CCGT_EXT_2000" u="1"/>
        <s v="DK_E_DTU_CHP_NG" u="1"/>
        <s v="DE_NE_WOOD_ST_BP_Medium" u="1"/>
        <s v="DE_NW_WOOD_ST_BP_Medium" u="1"/>
        <s v="DK_MA_Viborg_Boiler_BG" u="1"/>
        <s v="SE_SURPLUS_H" u="1"/>
        <s v="CHP_AUTO4-MUN" u="1"/>
        <s v="DK_CA_Aarhus_Engine_BG" u="1"/>
        <s v="Aros_ST_E0_Wosn" u="1"/>
        <s v="DK_W_Industry_A_Engine_NG" u="1"/>
        <s v="DE_NW_NGAS_CCGT_EXT_post2010" u="1"/>
        <s v="FI_Rural_ST-B9-WO" u="1"/>
        <s v="BER-VATF_NGAS_BHKW" u="1"/>
        <s v="DK_MA_Brndslv_Boiler_EL" u="1"/>
        <s v="Biofuel_SURPLUS_H" u="1"/>
        <s v="DE_CS_NGAS_CCGT_EXT_2000" u="1"/>
        <s v="El-Boiler" u="1"/>
        <s v="Boiler-ST" u="1"/>
        <s v="DE_CS_WOOD_ST_BP_Medium" u="1"/>
        <s v="Boiler-WASTE" u="1"/>
        <s v="GasTur-EXT-NG-20" u="1"/>
        <s v="DK_MA_Skive_Boiler_WO" u="1"/>
        <s v="DE_ME_MISC" u="1"/>
        <s v="DK_W_Aarhus_BP-ST" u="1"/>
        <s v="DE_NW_MISC" u="1"/>
        <s v="Oresund_CC-NGn" u="1"/>
        <s v="DK_MA_Skive_Engine_WP" u="1"/>
        <s v="DK_CA_Aarhus_Boiler_WO" u="1"/>
        <s v="DE_CS_NGAS_CCGT_EXT_post2010" u="1"/>
        <s v="DK_CA_Aarhus_Boiler_WP" u="1"/>
        <s v="SteamTur-Medi-BP-WO-10" u="1"/>
        <s v="Reuter-M_WASTE_ST_EXT" u="1"/>
        <s v="DK_MAM_Nyborg_Boiler_BG" u="1"/>
        <s v="DK_SA_Boiler_WP" u="1"/>
        <s v="DK_SA_GasTur_NG" u="1"/>
        <s v="DK_MA_Brndslv_Engine_NG" u="1"/>
        <s v="SteamTur-LARGE-EXT-WO-30" u="1"/>
        <s v="Engine-NG-30_49" u="1"/>
        <s v="DK_MAM_Hobro_SurpHeat_FF" u="1"/>
        <s v="SteamTur-LARGE-BP-WO-30" u="1"/>
        <s v="Fyris_ST_B9_WO" u="1"/>
        <s v="DK_E_Industry_A_SteamTur_NG" u="1"/>
        <s v="DK_MA_Grenaa_GF_WO" u="1"/>
        <s v="DE_ME_NGAS_CCGT_EXT_90" u="1"/>
        <s v="G-HSTORE-10" u="1"/>
        <s v="Rya_CC_NG" u="1"/>
        <s v="DE_CS_MISC" u="1"/>
        <s v="HeatPump-EL-50" u="1"/>
        <s v="DK_MA_Viborg_CHP_NG" u="1"/>
        <s v="DE_ME_WASTE_ST_EXT" u="1"/>
        <s v="LappeenrantaKT_EXT_WW" u="1"/>
        <s v="Moabit-A_COAL_ST_EXT_post90" u="1"/>
        <s v="DK_SA_Engine_NG" u="1"/>
        <s v="DK_CA_KBH_SteamTur_MW" u="1"/>
        <s v="DK_MA_Silk_CHP_NG" u="1"/>
        <s v="DE_NE_NGAS_CCGT_EXT_90" u="1"/>
        <s v="DE_NW_NGAS_CCGT_EXT_90" u="1"/>
        <s v="SteamTur-EXT-COccs-30_50" u="1"/>
        <s v="SteamTur-EXT-WPccs-30_50" u="1"/>
        <s v="DE_CS_NGAS_GT_BP" u="1"/>
        <s v="Naturkraft_I_CCGT" u="1"/>
        <s v="Charlottenburg_NGAS_GT_BP" u="1"/>
        <s v="HOB-NG" u="1"/>
        <s v="DK_SA_CHP_NG" u="1"/>
        <s v="Mitte_NGAS_CCGT_EXT_90" u="1"/>
        <s v="HOB-WO" u="1"/>
        <s v="G-HSTORE" u="1"/>
        <s v="Aaby_ST_E0_Wosn" u="1"/>
        <s v="DE_CS_NGAS_CCGT_EXT_90" u="1"/>
        <s v="DE_BIOGAS_IC_BP" u="1"/>
        <s v="DE_NGAS_BHKW" u="1"/>
        <s v="Anjalankoski_BP_WW" u="1"/>
        <s v="DE_NE_WASTE_ST_EXT" u="1"/>
        <s v="DE_NW_WASTE_ST_EXT" u="1"/>
        <s v="DK_CA_Aab_Boiler_ST" u="1"/>
        <s v="DE_NE_NGAS_CCGT_BP" u="1"/>
        <s v="Boiler-NG" u="1"/>
        <s v="SE_S_Rural_ST-E9-WO" u="1"/>
        <s v="HeatPump-EL-30_49" u="1"/>
        <s v="ST-B9-MW" u="1"/>
        <s v="DK_MA_NrdOstSj_GasTur_NG" u="1"/>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 numFmtId="0" sqlType="8">
      <sharedItems containsSemiMixedTypes="0" containsString="0" containsNumber="1" minValue="2.80492811678528E-2" maxValue="13020.706455542"/>
    </cacheField>
    <cacheField name="MWh" numFmtId="0" sqlType="8">
      <sharedItems containsSemiMixedTypes="0" containsString="0" containsNumber="1" minValue="1.7063312710443801" maxValue="792092.97604547301"/>
    </cacheField>
    <cacheField name="GJ" numFmtId="0" sqlType="8">
      <sharedItems containsSemiMixedTypes="0" containsString="0" containsNumber="1" minValue="6.1427925757597599" maxValue="2851534.7137636999"/>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2794.554832870374" createdVersion="5" refreshedVersion="5" minRefreshableVersion="3" recordCount="6480">
  <cacheSource type="external" connectionId="12"/>
  <cacheFields count="10">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7">
        <s v="DENMARK"/>
        <s v="FINLAND"/>
        <s v="GERMANY"/>
        <s v="NETHERLANDS"/>
        <s v="NORWAY"/>
        <s v="SWEDEN"/>
        <s v="UNITED_KINGDOM"/>
      </sharedItems>
    </cacheField>
    <cacheField name="Region" numFmtId="0" sqlType="-10">
      <sharedItems count="35">
        <s v="DK1"/>
        <s v="DK2"/>
        <s v="FIN"/>
        <s v="GER"/>
        <s v="NE"/>
        <s v="NO1"/>
        <s v="NO2"/>
        <s v="NO3"/>
        <s v="NO4"/>
        <s v="NO5"/>
        <s v="SE1"/>
        <s v="SE2"/>
        <s v="SE3"/>
        <s v="SE4"/>
        <s v="UK"/>
        <s v="NO_SE" u="1"/>
        <s v="PL_R" u="1"/>
        <s v="DE_NE" u="1"/>
        <s v="DE_ME" u="1"/>
        <s v="NO_N" u="1"/>
        <s v="SE_M" u="1"/>
        <s v="NO_SW" u="1"/>
        <s v="FI_R" u="1"/>
        <s v="NO_M" u="1"/>
        <s v="DE_NW" u="1"/>
        <s v="SE_N2" u="1"/>
        <s v="SE_N1" u="1"/>
        <s v="LT_R" u="1"/>
        <s v="LV_R" u="1"/>
        <s v="SE_S" u="1"/>
        <s v="DK_E" u="1"/>
        <s v="EE_R" u="1"/>
        <s v="NO_MW" u="1"/>
        <s v="DK_W" u="1"/>
        <s v="DE_CS" u="1"/>
      </sharedItems>
    </cacheField>
    <cacheField name="Area" numFmtId="0" sqlType="-10">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h" numFmtId="0" sqlType="8">
      <sharedItems containsSemiMixedTypes="0" containsString="0" containsNumber="1" containsInteger="1" minValue="0" maxValue="0" count="1">
        <n v="0"/>
      </sharedItems>
    </cacheField>
    <cacheField name="GJ" numFmtId="0" sqlType="8">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2794.554833333335" createdVersion="5" refreshedVersion="5" minRefreshableVersion="3" recordCount="26">
  <cacheSource type="external" connectionId="8"/>
  <cacheFields count="14">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3">
        <s v="ESTONIA"/>
        <s v="LATVIA"/>
        <s v="LITHUANIA"/>
        <s v="POLAND"/>
        <s v="DENMARK" u="1"/>
        <s v="GERMANY" u="1"/>
        <s v="FRANCE" u="1"/>
        <s v="SWEDEN" u="1"/>
        <s v="HOLLAND" u="1"/>
        <s v="FINLAND" u="1"/>
        <s v="NORWAY" u="1"/>
        <s v="GREAT_BRITAIN" u="1"/>
        <s v="BELGIUM" u="1"/>
      </sharedItems>
    </cacheField>
    <cacheField name="Region" numFmtId="0" sqlType="-10">
      <sharedItems count="4">
        <s v="EE"/>
        <s v="LV"/>
        <s v="LT"/>
        <s v="PL"/>
      </sharedItems>
    </cacheField>
    <cacheField name="Area" numFmtId="0" sqlType="-10">
      <sharedItems count="7">
        <s v="EE_Industry"/>
        <s v="EE_Narva"/>
        <s v="EE_Small"/>
        <s v="LV_A3"/>
        <s v="LT_A1"/>
        <s v="PL_A"/>
        <s v="PL_A1"/>
      </sharedItems>
    </cacheField>
    <cacheField name="Fuel" numFmtId="0" sqlType="-10">
      <sharedItems count="5">
        <s v="FUELOIL"/>
        <s v="SHALE"/>
        <s v="COAL"/>
        <s v="PEAT"/>
        <s v="LIGNITE"/>
      </sharedItems>
    </cacheField>
    <cacheField name="Technology" numFmtId="0" sqlType="-10">
      <sharedItems count="26">
        <s v="GHOB_FUELOIL"/>
        <s v="GEXT_SHALE_NARVA_TG11"/>
        <s v="Narva-EJ-TG1"/>
        <s v="Narva-EJ-TG11"/>
        <s v="Narva-EJ-TG12"/>
        <s v="Narva-EJ-TG2"/>
        <s v="Narva-EJ-TG3"/>
        <s v="Narva-EJ-TG4"/>
        <s v="Narva-EJ-TG5"/>
        <s v="Narva-EJ-TG6"/>
        <s v="Narva-EJ-TG7"/>
        <s v="Narva-EJ-TG9"/>
        <s v="GEXT_SHALE_SILLAMAE"/>
        <s v="GHOB_SHALE"/>
        <s v="GBPR_COAL"/>
        <s v="GHOB_PEAT"/>
        <s v="GCND-CO-038"/>
        <s v="GCND-CO-039"/>
        <s v="GCND-CO-040"/>
        <s v="GCND-LI"/>
        <s v="GBPR-CO-07"/>
        <s v="GBPR-CO-09"/>
        <s v="GEXT-CO-025"/>
        <s v="GEXT-CO-04"/>
        <s v="GBRP-LIGNITE-047"/>
        <s v="GEXT-LIGNITE-036"/>
      </sharedItems>
    </cacheField>
    <cacheField name="CO2 kilotons" numFmtId="0" sqlType="8">
      <sharedItems containsSemiMixedTypes="0" containsString="0" containsNumber="1" minValue="2.7865808283520099" maxValue="38111.071877390401" count="26">
        <n v="8.3043117187483499"/>
        <n v="1715.5583999999999"/>
        <n v="1618.86100204022"/>
        <n v="1871.51825454545"/>
        <n v="47.119160095997003"/>
        <n v="742.39869166006304"/>
        <n v="914.15335970801004"/>
        <n v="1402.3023233257099"/>
        <n v="789.52983704589894"/>
        <n v="398.29872510819098"/>
        <n v="460.10206524612602"/>
        <n v="296.224071922755"/>
        <n v="24.2849487979055"/>
        <n v="2.7865808283520099"/>
        <n v="32.9108278651685"/>
        <n v="63.269100000000002"/>
        <n v="257.30954831373901"/>
        <n v="23619.099502499899"/>
        <n v="38111.071877390401"/>
        <n v="22915.813796407201"/>
        <n v="3985.14780157629"/>
        <n v="37563.927398658801"/>
        <n v="697.57829086567801"/>
        <n v="3340.18150469599"/>
        <n v="1283.9123526717001"/>
        <n v="1300.16351813902"/>
      </sharedItems>
    </cacheField>
    <cacheField name="CO2 megatons" numFmtId="0" sqlType="8">
      <sharedItems containsSemiMixedTypes="0" containsString="0" containsNumber="1" minValue="2.7865808283520101E-3" maxValue="38.111071877390501" count="26">
        <n v="8.3043117187483508E-3"/>
        <n v="1.7155583999999999"/>
        <n v="1.6188610020402201"/>
        <n v="1.8715182545454501"/>
        <n v="4.7119160095997002E-2"/>
        <n v="0.742398691660064"/>
        <n v="0.91415335970801104"/>
        <n v="1.4023023233257099"/>
        <n v="0.78952983704589896"/>
        <n v="0.39829872510819098"/>
        <n v="0.46010206524612601"/>
        <n v="0.29622407192275502"/>
        <n v="2.4284948797905499E-2"/>
        <n v="2.7865808283520101E-3"/>
        <n v="3.29108278651686E-2"/>
        <n v="6.3269100000000106E-2"/>
        <n v="0.25730954831373898"/>
        <n v="23.6190995024999"/>
        <n v="38.111071877390501"/>
        <n v="22.9158137964071"/>
        <n v="3.9851478015762898"/>
        <n v="37.563927398658699"/>
        <n v="0.69757829086567802"/>
        <n v="3.3401815046959999"/>
        <n v="1.2839123526717"/>
        <n v="1.3001635181390201"/>
      </sharedItems>
    </cacheField>
    <cacheField name="SO2 kilotons" numFmtId="0" sqlType="8">
      <sharedItems containsSemiMixedTypes="0" containsString="0" containsNumber="1" minValue="8.4997320792669206E-3" maxValue="16.711372672389999" count="26">
        <n v="5.00503111697536E-2"/>
        <n v="0.600445440000002"/>
        <n v="6.3459351279976799"/>
        <n v="0.65503138909091096"/>
        <n v="0.18470710757630801"/>
        <n v="2.9102028713074501"/>
        <n v="3.5834811700554101"/>
        <n v="5.4970251074367704"/>
        <n v="3.0949569612199199"/>
        <n v="1.56133100242411"/>
        <n v="1.8036000957648199"/>
        <n v="1.1611983619371999"/>
        <n v="8.4997320792669206E-3"/>
        <n v="3.90121315969282E-2"/>
        <n v="0.24839673462717199"/>
        <n v="0.14191200000000001"/>
        <n v="9.7103074786474702E-2"/>
        <n v="8.9133388185966904"/>
        <n v="14.3822966810026"/>
        <n v="14.7271746630376"/>
        <n v="1.50390884266674"/>
        <n v="14.1758161536165"/>
        <n v="2.8957610446400799"/>
        <n v="1.26051247058824"/>
        <n v="0.82512459028586504"/>
        <n v="16.711372672389999"/>
      </sharedItems>
    </cacheField>
    <cacheField name="SO2 megatons" numFmtId="0" sqlType="8">
      <sharedItems containsSemiMixedTypes="0" containsString="0" containsNumber="1" minValue="8.4997320792669205E-6" maxValue="1.6711372672389899E-2" count="26">
        <n v="5.0050311169753603E-5"/>
        <n v="6.0044544000000097E-4"/>
        <n v="6.3459351279976503E-3"/>
        <n v="6.5503138909090797E-4"/>
        <n v="1.8470710757630799E-4"/>
        <n v="2.91020287130744E-3"/>
        <n v="3.5834811700553998E-3"/>
        <n v="5.4970251074367704E-3"/>
        <n v="3.0949569612199299E-3"/>
        <n v="1.56133100242411E-3"/>
        <n v="1.80360009576481E-3"/>
        <n v="1.1611983619372001E-3"/>
        <n v="8.4997320792669205E-6"/>
        <n v="3.9012131596928198E-5"/>
        <n v="2.4839673462716998E-4"/>
        <n v="1.4191200000000001E-4"/>
        <n v="9.7103074786474697E-5"/>
        <n v="8.9133388185966902E-3"/>
        <n v="1.4382296681002601E-2"/>
        <n v="1.47271746630376E-2"/>
        <n v="1.50390884266673E-3"/>
        <n v="1.4175816153616501E-2"/>
        <n v="2.89576104464008E-3"/>
        <n v="1.2605124705882399E-3"/>
        <n v="8.2512459028586099E-4"/>
        <n v="1.6711372672389899E-2"/>
      </sharedItems>
    </cacheField>
    <cacheField name="N2O kilotons" numFmtId="0" sqlType="8">
      <sharedItems containsSemiMixedTypes="0" containsString="0" containsNumber="1" minValue="8.1958259657412098E-5" maxValue="1.20859635974812" count="26">
        <n v="2.2444085726346899E-4"/>
        <n v="5.0457600000000102E-2"/>
        <n v="4.7613558883535897E-2"/>
        <n v="5.5044654545454701E-2"/>
        <n v="1.3858576498822701E-3"/>
        <n v="2.1835255637060701E-2"/>
        <n v="2.6886863520823801E-2"/>
        <n v="4.1244185980167901E-2"/>
        <n v="2.3221465795467602E-2"/>
        <n v="1.1714668385535001E-2"/>
        <n v="1.3532413683709599E-2"/>
        <n v="8.7124727036104396E-3"/>
        <n v="7.1426319993839595E-4"/>
        <n v="8.1958259657412098E-5"/>
        <n v="1.0436837589376899E-3"/>
        <n v="1.7738999999999999E-3"/>
        <n v="8.1599222509642494E-3"/>
        <n v="0.74902006878963701"/>
        <n v="1.20859635974812"/>
        <n v="0.618788851388134"/>
        <n v="0.12637889434174199"/>
        <n v="1.1912450549257501"/>
        <n v="2.2121933114133501E-2"/>
        <n v="0.10592541769649"/>
        <n v="3.4669100432179099E-2"/>
        <n v="3.5107925782331698E-2"/>
      </sharedItems>
    </cacheField>
    <cacheField name="N2O megatons" numFmtId="0" sqlType="8">
      <sharedItems containsSemiMixedTypes="0" containsString="0" containsNumber="1" minValue="8.19582596574121E-8" maxValue="1.2085963597481199E-3" count="26">
        <n v="2.2444085726346899E-7"/>
        <n v="5.0457600000000098E-5"/>
        <n v="4.7613558883536001E-5"/>
        <n v="5.5044654545454401E-5"/>
        <n v="1.3858576498822701E-6"/>
        <n v="2.1835255637060599E-5"/>
        <n v="2.68868635208239E-5"/>
        <n v="4.1244185980167803E-5"/>
        <n v="2.32214657954676E-5"/>
        <n v="1.1714668385535E-5"/>
        <n v="1.3532413683709599E-5"/>
        <n v="8.7124727036104403E-6"/>
        <n v="7.1426319993839604E-7"/>
        <n v="8.19582596574121E-8"/>
        <n v="1.04368375893769E-6"/>
        <n v="1.7738999999999899E-6"/>
        <n v="8.1599222509642492E-6"/>
        <n v="7.4902006878963803E-4"/>
        <n v="1.2085963597481199E-3"/>
        <n v="6.1878885138813198E-4"/>
        <n v="1.2637889434174301E-4"/>
        <n v="1.19124505492575E-3"/>
        <n v="2.2121933114133501E-5"/>
        <n v="1.0592541769649E-4"/>
        <n v="3.46691004321793E-5"/>
        <n v="3.5107925782331697E-5"/>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2794.554833796297" createdVersion="5" refreshedVersion="5" minRefreshableVersion="3" recordCount="191">
  <cacheSource type="external" connectionId="9"/>
  <cacheFields count="10">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5">
        <s v="DENMARK"/>
        <s v="ESTONIA"/>
        <s v="FINLAND"/>
        <s v="GERMANY"/>
        <s v="LATVIA"/>
        <s v="LITHUANIA"/>
        <s v="NETHERLANDS"/>
        <s v="NORWAY"/>
        <s v="POLAND"/>
        <s v="SWEDEN"/>
        <s v="UNITED_KINGDOM"/>
        <s v="FRANCE" u="1"/>
        <s v="HOLLAND" u="1"/>
        <s v="GREAT_BRITAIN" u="1"/>
        <s v="BELGIUM" u="1"/>
      </sharedItems>
    </cacheField>
    <cacheField name="Region" numFmtId="0" sqlType="-10">
      <sharedItems count="19">
        <s v="DK1"/>
        <s v="DK2"/>
        <s v="EE"/>
        <s v="FIN"/>
        <s v="GER"/>
        <s v="LV"/>
        <s v="LT"/>
        <s v="NE"/>
        <s v="NO1"/>
        <s v="NO2"/>
        <s v="NO3"/>
        <s v="NO4"/>
        <s v="NO5"/>
        <s v="PL"/>
        <s v="SE1"/>
        <s v="SE2"/>
        <s v="SE3"/>
        <s v="SE4"/>
        <s v="UK"/>
      </sharedItems>
    </cacheField>
    <cacheField name="Area" numFmtId="0" sqlType="-10">
      <sharedItems/>
    </cacheField>
    <cacheField name="Fuel" numFmtId="0" sqlType="-10">
      <sharedItems count="32">
        <s v="SUN"/>
        <s v="WIND"/>
        <s v="ELECTRIC"/>
        <s v="FUELOIL"/>
        <s v="NATGAS"/>
        <s v="WOODCHIPS"/>
        <s v="RETORTGAS"/>
        <s v="SHALE"/>
        <s v="WATER"/>
        <s v="NUCLEAR"/>
        <s v="MUNIWASTE"/>
        <s v="NATGAS_EXETS"/>
        <s v="WOODWASTE"/>
        <s v="COAL_EXETS"/>
        <s v="COAL"/>
        <s v="STRAW"/>
        <s v="PEAT"/>
        <s v="LIGNITE"/>
        <s v="MUNI_WASTE" u="1"/>
        <s v="WOOD_PELLETS" u="1"/>
        <s v="NG_CCS" u="1"/>
        <s v="BIOOIL" u="1"/>
        <s v="NAT_GAS" u="1"/>
        <s v="SURPLUS_H" u="1"/>
        <s v="BIOGAS_net" u="1"/>
        <s v="COAL_CCS" u="1"/>
        <s v="WOOD" u="1"/>
        <s v="LIGHTOIL" u="1"/>
        <s v="WOOD_WASTE" u="1"/>
        <s v="GeoEl" u="1"/>
        <s v="BIOGAS" u="1"/>
        <s v="WP_CCS" u="1"/>
      </sharedItems>
    </cacheField>
    <cacheField name="Technology" numFmtId="0" sqlType="-10">
      <sharedItems/>
    </cacheField>
    <cacheField name="TWh" numFmtId="0" sqlType="8">
      <sharedItems containsSemiMixedTypes="0" containsString="0" containsNumber="1" minValue="7.5887277460566799E-3" maxValue="298.97737515648299"/>
    </cacheField>
    <cacheField name="PJ" numFmtId="0" sqlType="8">
      <sharedItems containsSemiMixedTypes="0" containsString="0" containsNumber="1" minValue="2.7319419885804001E-2" maxValue="1076.318550563340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2794.554834259259" createdVersion="5" refreshedVersion="5" minRefreshableVersion="3" recordCount="156">
  <cacheSource type="external" connectionId="13"/>
  <cacheFields count="8">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8">
        <s v="FINLAND"/>
        <s v="GERMANY"/>
        <s v="SWEDEN"/>
        <s v="UNITED_KINGDOM"/>
        <s v="LATVIA"/>
        <s v="NORWAY"/>
        <s v="GREAT_BRITAIN" u="1"/>
        <s v="FRANCE" u="1"/>
      </sharedItems>
    </cacheField>
    <cacheField name="Region" numFmtId="0" sqlType="-10">
      <sharedItems count="13">
        <s v="FIN"/>
        <s v="GER"/>
        <s v="SE1"/>
        <s v="SE2"/>
        <s v="SE3"/>
        <s v="SE4"/>
        <s v="UK"/>
        <s v="LV"/>
        <s v="NO1"/>
        <s v="NO2"/>
        <s v="NO3"/>
        <s v="NO4"/>
        <s v="NO5"/>
      </sharedItems>
    </cacheField>
    <cacheField name="Area" numFmtId="0" sqlType="-10">
      <sharedItems count="13">
        <s v="FinA"/>
        <s v="GerA"/>
        <s v="SE1A"/>
        <s v="SE2A"/>
        <s v="SE3A"/>
        <s v="SE4A"/>
        <s v="UKA"/>
        <s v="LV_A"/>
        <s v="NO1_A1"/>
        <s v="NO2_A1"/>
        <s v="NO3_A1"/>
        <s v="NO4_A1"/>
        <s v="NO5_A1"/>
      </sharedItems>
    </cacheField>
    <cacheField name="Week" numFmtId="0" sqlType="-10">
      <sharedItems count="12">
        <s v="S01"/>
        <s v="S02"/>
        <s v="S03"/>
        <s v="S04"/>
        <s v="S05"/>
        <s v="S06"/>
        <s v="S07"/>
        <s v="S08"/>
        <s v="S09"/>
        <s v="S10"/>
        <s v="S11"/>
        <s v="S12"/>
      </sharedItems>
    </cacheField>
    <cacheField name="MWh" numFmtId="0" sqlType="8">
      <sharedItems containsSemiMixedTypes="0" containsString="0" containsNumber="1" minValue="0" maxValue="14006337.37068990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2794.554836805553" createdVersion="5" refreshedVersion="5" minRefreshableVersion="3" recordCount="14154">
  <cacheSource type="external" connectionId="5"/>
  <cacheFields count="14">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44">
        <s v="DK1"/>
        <s v="DK2"/>
        <s v="EE"/>
        <s v="FIN"/>
        <s v="GER"/>
        <s v="LV"/>
        <s v="LT"/>
        <s v="NE"/>
        <s v="NO1"/>
        <s v="NO2"/>
        <s v="NO3"/>
        <s v="NO4"/>
        <s v="NO5"/>
        <s v="PL"/>
        <s v="SE1"/>
        <s v="SE2"/>
        <s v="SE3"/>
        <s v="SE4"/>
        <s v="UK"/>
        <s v="NO_SE" u="1"/>
        <s v="GB_R" u="1"/>
        <s v="PL_R" u="1"/>
        <s v="DE_NE" u="1"/>
        <s v="DE_ME" u="1"/>
        <s v="NO_N" u="1"/>
        <s v="SE_M" u="1"/>
        <s v="NL_R" u="1"/>
        <s v="NO_SW" u="1"/>
        <s v="FI_R" u="1"/>
        <s v="NO_M" u="1"/>
        <s v="DE_NW" u="1"/>
        <s v="DK_KF" u="1"/>
        <s v="SE_N2" u="1"/>
        <s v="BE_R" u="1"/>
        <s v="SE_N1" u="1"/>
        <s v="LT_R" u="1"/>
        <s v="LV_R" u="1"/>
        <s v="SE_S" u="1"/>
        <s v="DK_E" u="1"/>
        <s v="EE_R" u="1"/>
        <s v="NO_MW" u="1"/>
        <s v="FR_R" u="1"/>
        <s v="DK_W" u="1"/>
        <s v="DE_CS" u="1"/>
      </sharedItems>
    </cacheField>
    <cacheField name="Area" numFmtId="0" sqlType="-10">
      <sharedItems/>
    </cacheField>
    <cacheField name="Fuel" numFmtId="0" sqlType="-10">
      <sharedItems count="25">
        <s v="WIND"/>
        <s v="SUN"/>
        <s v="ELECTRIC"/>
        <s v="NATGAS"/>
        <s v="WOODCHIPS"/>
        <s v="RETORTGAS"/>
        <s v="SHALE"/>
        <s v="WATER"/>
        <s v="NUCLEAR"/>
        <s v="MUNIWASTE"/>
        <s v="WOODWASTE"/>
        <s v="COAL"/>
        <s v="LIGNITE"/>
        <s v="MUNI_WASTE" u="1"/>
        <s v="WOOD_PELLETS" u="1"/>
        <s v="NG_CCS" u="1"/>
        <s v="STRAW" u="1"/>
        <s v="NAT_GAS" u="1"/>
        <s v="BIOGAS_net" u="1"/>
        <s v="COAL_CCS" u="1"/>
        <s v="WOOD" u="1"/>
        <s v="WOOD_WASTE" u="1"/>
        <s v="GeoEl" u="1"/>
        <s v="BIOGAS" u="1"/>
        <s v="WP_CCS" u="1"/>
      </sharedItems>
    </cacheField>
    <cacheField name="Technology Type" numFmtId="0" sqlType="-10">
      <sharedItems count="9">
        <s v="2.13e+303"/>
        <s v="2.11e+303"/>
        <s v="2.33e+303"/>
        <s v="2.18e+303"/>
        <s v="2.15e+303"/>
        <s v="1.99e+303"/>
        <s v="2.08e+303"/>
        <s v="2.1e+303"/>
        <s v="2.38e+303"/>
      </sharedItems>
    </cacheField>
    <cacheField name="Technology" numFmtId="0" sqlType="-10">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 numFmtId="0" sqlType="8">
      <sharedItems containsSemiMixedTypes="0" containsString="0" containsNumber="1" minValue="9.7032353889600093E-3" maxValue="32860.601067571399"/>
    </cacheField>
    <cacheField name="MWh" numFmtId="0" sqlType="8">
      <sharedItems containsSemiMixedTypes="0" containsString="0" containsNumber="1" minValue="0.59028015282839996" maxValue="1999019.8982772599"/>
    </cacheField>
    <cacheField name="GJ" numFmtId="0" sqlType="8">
      <sharedItems containsSemiMixedTypes="0" containsString="0" containsNumber="1" minValue="2.12500855018224" maxValue="7196471.633798140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2794.57504502315" createdVersion="5" refreshedVersion="5" minRefreshableVersion="3" recordCount="7776">
  <cacheSource type="external" connectionId="2"/>
  <cacheFields count="8">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Source" numFmtId="0" sqlType="-10">
      <sharedItems count="19">
        <s v="DK1"/>
        <s v="DK2"/>
        <s v="EE"/>
        <s v="FIN"/>
        <s v="GER"/>
        <s v="LT"/>
        <s v="LV"/>
        <s v="NE"/>
        <s v="NO1"/>
        <s v="NO2"/>
        <s v="NO3"/>
        <s v="NO4"/>
        <s v="NO5"/>
        <s v="PL"/>
        <s v="SE1"/>
        <s v="SE2"/>
        <s v="SE3"/>
        <s v="SE4"/>
        <s v="UK"/>
      </sharedItems>
    </cacheField>
    <cacheField name="Destination" numFmtId="0" sqlType="-10">
      <sharedItems count="19">
        <s v="DK2"/>
        <s v="GER"/>
        <s v="NO2"/>
        <s v="SE3"/>
        <s v="DK1"/>
        <s v="SE4"/>
        <s v="FIN"/>
        <s v="LV"/>
        <s v="EE"/>
        <s v="SE1"/>
        <s v="NE"/>
        <s v="PL"/>
        <s v="LT"/>
        <s v="UK"/>
        <s v="NO3"/>
        <s v="NO1"/>
        <s v="NO5"/>
        <s v="NO4"/>
        <s v="SE2"/>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GW" numFmtId="0" sqlType="8">
      <sharedItems containsSemiMixedTypes="0" containsString="0" containsNumber="1" minValue="-7.3" maxValue="7.3"/>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2794.576715509262" createdVersion="5" refreshedVersion="5" minRefreshableVersion="3" recordCount="56">
  <cacheSource type="external" connectionId="1"/>
  <cacheFields count="8">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1" numFmtId="0" sqlType="-10">
      <sharedItems count="11">
        <s v="DENMARK"/>
        <s v="ESTONIA"/>
        <s v="FINLAND"/>
        <s v="GERMANY"/>
        <s v="LATVIA"/>
        <s v="LITHUANIA"/>
        <s v="NETHERLANDS"/>
        <s v="NORWAY"/>
        <s v="POLAND"/>
        <s v="SWEDEN"/>
        <s v="UNITED_KINGDOM"/>
      </sharedItems>
    </cacheField>
    <cacheField name="Region1" numFmtId="0" sqlType="-10">
      <sharedItems count="19">
        <s v="DK1"/>
        <s v="DK2"/>
        <s v="EE"/>
        <s v="FIN"/>
        <s v="GER"/>
        <s v="LV"/>
        <s v="LT"/>
        <s v="NE"/>
        <s v="NO1"/>
        <s v="NO2"/>
        <s v="NO3"/>
        <s v="NO4"/>
        <s v="NO5"/>
        <s v="PL"/>
        <s v="SE1"/>
        <s v="SE2"/>
        <s v="SE3"/>
        <s v="SE4"/>
        <s v="UK"/>
      </sharedItems>
    </cacheField>
    <cacheField name="Country2" numFmtId="0" sqlType="-10">
      <sharedItems count="11">
        <s v="DENMARK"/>
        <s v="GERMANY"/>
        <s v="NORWAY"/>
        <s v="SWEDEN"/>
        <s v="FINLAND"/>
        <s v="LATVIA"/>
        <s v="ESTONIA"/>
        <s v="NETHERLANDS"/>
        <s v="POLAND"/>
        <s v="LITHUANIA"/>
        <s v="UNITED_KINGDOM"/>
      </sharedItems>
    </cacheField>
    <cacheField name="Region2" numFmtId="0" sqlType="-10">
      <sharedItems count="19">
        <s v="DK2"/>
        <s v="GER"/>
        <s v="NO2"/>
        <s v="SE3"/>
        <s v="DK1"/>
        <s v="SE4"/>
        <s v="FIN"/>
        <s v="LV"/>
        <s v="EE"/>
        <s v="NO4"/>
        <s v="SE1"/>
        <s v="NE"/>
        <s v="PL"/>
        <s v="LT"/>
        <s v="UK"/>
        <s v="NO3"/>
        <s v="NO1"/>
        <s v="NO5"/>
        <s v="SE2"/>
      </sharedItems>
    </cacheField>
    <cacheField name="GWh" numFmtId="0" sqlType="8">
      <sharedItems containsSemiMixedTypes="0" containsString="0" containsNumber="1" minValue="0" maxValue="39790.72846894500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6">
  <r>
    <x v="0"/>
    <x v="0"/>
    <x v="0"/>
    <x v="0"/>
    <x v="0"/>
    <s v="DK1_Large"/>
    <x v="0"/>
    <x v="0"/>
    <s v="WI-L10"/>
    <n v="1.2087479999999999"/>
    <n v="4.3514927999999999"/>
  </r>
  <r>
    <x v="0"/>
    <x v="0"/>
    <x v="0"/>
    <x v="0"/>
    <x v="0"/>
    <s v="DK1_MedSmall"/>
    <x v="0"/>
    <x v="0"/>
    <s v="DK1_Rural_WI"/>
    <n v="1.4010731999999999"/>
    <n v="5.0438635200000004"/>
  </r>
  <r>
    <x v="0"/>
    <x v="0"/>
    <x v="0"/>
    <x v="0"/>
    <x v="0"/>
    <s v="DK1_Medium"/>
    <x v="0"/>
    <x v="0"/>
    <s v="DK1_Rural_WI"/>
    <n v="2.4100964"/>
    <n v="8.6763470399999996"/>
  </r>
  <r>
    <x v="0"/>
    <x v="0"/>
    <x v="0"/>
    <x v="0"/>
    <x v="0"/>
    <s v="DK1_Rural"/>
    <x v="1"/>
    <x v="1"/>
    <s v="SolarPV-50"/>
    <n v="25.047665006325701"/>
    <n v="90.171594022772396"/>
  </r>
  <r>
    <x v="0"/>
    <x v="0"/>
    <x v="0"/>
    <x v="0"/>
    <x v="0"/>
    <s v="DK1_Small"/>
    <x v="0"/>
    <x v="0"/>
    <s v="DK1_Rural_WI"/>
    <n v="0.59032240000000002"/>
    <n v="2.1251606399999998"/>
  </r>
  <r>
    <x v="0"/>
    <x v="0"/>
    <x v="0"/>
    <x v="0"/>
    <x v="1"/>
    <s v="DK2_Large"/>
    <x v="2"/>
    <x v="2"/>
    <s v="HeatPump-EL-10_19"/>
    <n v="3.4303632500000001"/>
    <n v="12.349307700000001"/>
  </r>
  <r>
    <x v="0"/>
    <x v="0"/>
    <x v="0"/>
    <x v="0"/>
    <x v="1"/>
    <s v="DK2_Large"/>
    <x v="0"/>
    <x v="0"/>
    <s v="WI-L10"/>
    <n v="7.4555100000000096E-2"/>
    <n v="0.26839836"/>
  </r>
  <r>
    <x v="0"/>
    <x v="0"/>
    <x v="0"/>
    <x v="0"/>
    <x v="1"/>
    <s v="DK2_MedSmall"/>
    <x v="0"/>
    <x v="0"/>
    <s v="DK2_Rural_WI"/>
    <n v="0.66544800000000004"/>
    <n v="2.3956127999999999"/>
  </r>
  <r>
    <x v="0"/>
    <x v="0"/>
    <x v="0"/>
    <x v="0"/>
    <x v="1"/>
    <s v="DK2_Medium"/>
    <x v="0"/>
    <x v="0"/>
    <s v="DK2_Rural_WI"/>
    <n v="0.28500560000000003"/>
    <n v="1.0260201600000001"/>
  </r>
  <r>
    <x v="0"/>
    <x v="0"/>
    <x v="0"/>
    <x v="0"/>
    <x v="1"/>
    <s v="DK2_Rural"/>
    <x v="1"/>
    <x v="1"/>
    <s v="SolarPV-50"/>
    <n v="21.1313248062947"/>
    <n v="76.072769302661101"/>
  </r>
  <r>
    <x v="0"/>
    <x v="0"/>
    <x v="0"/>
    <x v="0"/>
    <x v="1"/>
    <s v="DK2_Small"/>
    <x v="0"/>
    <x v="0"/>
    <s v="DK2_Rural_WI"/>
    <n v="6.7198999999999995E-2"/>
    <n v="0.2419164"/>
  </r>
  <r>
    <x v="0"/>
    <x v="0"/>
    <x v="0"/>
    <x v="1"/>
    <x v="2"/>
    <s v="EE_A"/>
    <x v="0"/>
    <x v="0"/>
    <s v="WI-L10"/>
    <n v="0.66047999999999996"/>
    <n v="2.3777279999999998"/>
  </r>
  <r>
    <x v="0"/>
    <x v="0"/>
    <x v="0"/>
    <x v="1"/>
    <x v="2"/>
    <s v="EE_Industry"/>
    <x v="3"/>
    <x v="3"/>
    <s v="GBPR_NATGAS"/>
    <n v="0.138028167531103"/>
    <n v="0.49690140311196901"/>
  </r>
  <r>
    <x v="0"/>
    <x v="0"/>
    <x v="0"/>
    <x v="1"/>
    <x v="2"/>
    <s v="EE_Industry"/>
    <x v="4"/>
    <x v="3"/>
    <s v="GBPR_WOODCHIPS"/>
    <n v="5.6940000000000102E-2"/>
    <n v="0.204983999999999"/>
  </r>
  <r>
    <x v="0"/>
    <x v="0"/>
    <x v="0"/>
    <x v="1"/>
    <x v="2"/>
    <s v="EE_Kohtla_Jarve"/>
    <x v="5"/>
    <x v="4"/>
    <s v="GEXT_RETORTGAS"/>
    <n v="0.13139999999999999"/>
    <n v="0.47303999999999902"/>
  </r>
  <r>
    <x v="0"/>
    <x v="0"/>
    <x v="0"/>
    <x v="1"/>
    <x v="2"/>
    <s v="EE_Narva"/>
    <x v="6"/>
    <x v="5"/>
    <s v="Narva-EJ-TG1"/>
    <n v="1.2785122292801401"/>
    <n v="4.6026440254084804"/>
  </r>
  <r>
    <x v="0"/>
    <x v="0"/>
    <x v="0"/>
    <x v="1"/>
    <x v="2"/>
    <s v="EE_Narva"/>
    <x v="6"/>
    <x v="5"/>
    <s v="Narva-EJ-TG12"/>
    <n v="3.7212844302394202E-2"/>
    <n v="0.13396623948861899"/>
  </r>
  <r>
    <x v="0"/>
    <x v="0"/>
    <x v="0"/>
    <x v="1"/>
    <x v="2"/>
    <s v="EE_Narva"/>
    <x v="6"/>
    <x v="5"/>
    <s v="Narva-EJ-TG2"/>
    <n v="0.58631704951366603"/>
    <n v="2.1107413782491999"/>
  </r>
  <r>
    <x v="0"/>
    <x v="0"/>
    <x v="0"/>
    <x v="1"/>
    <x v="2"/>
    <s v="EE_Narva"/>
    <x v="6"/>
    <x v="5"/>
    <s v="Narva-EJ-TG3"/>
    <n v="0.72196207602212203"/>
    <n v="2.5990634736796401"/>
  </r>
  <r>
    <x v="0"/>
    <x v="0"/>
    <x v="0"/>
    <x v="1"/>
    <x v="2"/>
    <s v="EE_Narva"/>
    <x v="6"/>
    <x v="5"/>
    <s v="Narva-EJ-TG4"/>
    <n v="1.10748277168969"/>
    <n v="3.98693797808289"/>
  </r>
  <r>
    <x v="0"/>
    <x v="0"/>
    <x v="0"/>
    <x v="1"/>
    <x v="2"/>
    <s v="EE_Narva"/>
    <x v="6"/>
    <x v="5"/>
    <s v="Narva-EJ-TG5"/>
    <n v="0.62353935932274096"/>
    <n v="2.24474169356187"/>
  </r>
  <r>
    <x v="0"/>
    <x v="0"/>
    <x v="0"/>
    <x v="1"/>
    <x v="2"/>
    <s v="EE_Narva"/>
    <x v="6"/>
    <x v="5"/>
    <s v="Narva-EJ-TG6"/>
    <n v="0.31456053998195899"/>
    <n v="1.1324179439350499"/>
  </r>
  <r>
    <x v="0"/>
    <x v="0"/>
    <x v="0"/>
    <x v="1"/>
    <x v="2"/>
    <s v="EE_Narva"/>
    <x v="6"/>
    <x v="5"/>
    <s v="Narva-EJ-TG7"/>
    <n v="0.36337036743294299"/>
    <n v="1.3081333227585901"/>
  </r>
  <r>
    <x v="0"/>
    <x v="0"/>
    <x v="0"/>
    <x v="1"/>
    <x v="2"/>
    <s v="EE_Narva"/>
    <x v="6"/>
    <x v="5"/>
    <s v="Narva-EJ-TG8"/>
    <n v="1.6994400000000001"/>
    <n v="6.1179839999999999"/>
  </r>
  <r>
    <x v="0"/>
    <x v="0"/>
    <x v="0"/>
    <x v="1"/>
    <x v="2"/>
    <s v="EE_Narva"/>
    <x v="6"/>
    <x v="5"/>
    <s v="Narva-EJ-TG9"/>
    <n v="0.23394602630065101"/>
    <n v="0.84220569468234296"/>
  </r>
  <r>
    <x v="0"/>
    <x v="0"/>
    <x v="0"/>
    <x v="1"/>
    <x v="2"/>
    <s v="EE_Narva"/>
    <x v="6"/>
    <x v="4"/>
    <s v="GEXT_SHALE_NARVA_TG11"/>
    <n v="1.61652"/>
    <n v="5.8194720000000002"/>
  </r>
  <r>
    <x v="0"/>
    <x v="0"/>
    <x v="0"/>
    <x v="1"/>
    <x v="2"/>
    <s v="EE_Narva"/>
    <x v="6"/>
    <x v="4"/>
    <s v="Narva-EJ-TG11"/>
    <n v="1.6819200000000001"/>
    <n v="6.0549120000000096"/>
  </r>
  <r>
    <x v="0"/>
    <x v="0"/>
    <x v="0"/>
    <x v="1"/>
    <x v="2"/>
    <s v="EE_Parnu"/>
    <x v="4"/>
    <x v="3"/>
    <s v="GBPR_WOODCHIPS_TARTU"/>
    <n v="8.0121800000000007E-2"/>
    <n v="0.28843848"/>
  </r>
  <r>
    <x v="0"/>
    <x v="0"/>
    <x v="0"/>
    <x v="1"/>
    <x v="2"/>
    <s v="EE_Small"/>
    <x v="6"/>
    <x v="4"/>
    <s v="GEXT_SHALE_SILLAMAE"/>
    <n v="3.0386572569951801E-3"/>
    <n v="1.0939166125182601E-2"/>
  </r>
  <r>
    <x v="0"/>
    <x v="0"/>
    <x v="0"/>
    <x v="1"/>
    <x v="2"/>
    <s v="EE_Tallinn"/>
    <x v="4"/>
    <x v="3"/>
    <s v="GBPR_WOODCHIPS_TARTU"/>
    <n v="0.19272"/>
    <n v="0.69379199999999897"/>
  </r>
  <r>
    <x v="0"/>
    <x v="0"/>
    <x v="0"/>
    <x v="1"/>
    <x v="2"/>
    <s v="EE_Tartu"/>
    <x v="4"/>
    <x v="3"/>
    <s v="GBPR_WOODCHIPS_TARTU"/>
    <n v="0.185479196803608"/>
    <n v="0.66772510849298905"/>
  </r>
  <r>
    <x v="0"/>
    <x v="0"/>
    <x v="0"/>
    <x v="2"/>
    <x v="3"/>
    <s v="FIN_EL"/>
    <x v="1"/>
    <x v="1"/>
    <s v="SolarPV-50"/>
    <n v="7.61437568607617"/>
    <n v="27.411752469874202"/>
  </r>
  <r>
    <x v="0"/>
    <x v="0"/>
    <x v="0"/>
    <x v="2"/>
    <x v="3"/>
    <s v="FIN_ESPOO"/>
    <x v="1"/>
    <x v="1"/>
    <s v="SolarPV-50"/>
    <n v="2.64614411550752"/>
    <n v="9.5261188158270702"/>
  </r>
  <r>
    <x v="0"/>
    <x v="0"/>
    <x v="0"/>
    <x v="2"/>
    <x v="3"/>
    <s v="FIN_GAS"/>
    <x v="1"/>
    <x v="1"/>
    <s v="SolarPV-50"/>
    <n v="13.1883593182026"/>
    <n v="47.478093545529497"/>
  </r>
  <r>
    <x v="0"/>
    <x v="0"/>
    <x v="0"/>
    <x v="2"/>
    <x v="3"/>
    <s v="FIN_HELS"/>
    <x v="1"/>
    <x v="1"/>
    <s v="SolarPV-50"/>
    <n v="14.1121117026238"/>
    <n v="50.8036021294457"/>
  </r>
  <r>
    <x v="0"/>
    <x v="0"/>
    <x v="0"/>
    <x v="2"/>
    <x v="3"/>
    <s v="FIN_HP"/>
    <x v="1"/>
    <x v="1"/>
    <s v="SolarPV-50"/>
    <n v="3.2379692008144798"/>
    <n v="11.6566891229321"/>
  </r>
  <r>
    <x v="0"/>
    <x v="0"/>
    <x v="0"/>
    <x v="2"/>
    <x v="3"/>
    <s v="FIN_OTHER"/>
    <x v="1"/>
    <x v="1"/>
    <s v="SolarPV-50"/>
    <n v="8.1163588076673197"/>
    <n v="29.218891707602399"/>
  </r>
  <r>
    <x v="0"/>
    <x v="0"/>
    <x v="0"/>
    <x v="2"/>
    <x v="3"/>
    <s v="FIN_TAMP"/>
    <x v="1"/>
    <x v="1"/>
    <s v="SolarPV-50"/>
    <n v="7.4940132192037003"/>
    <n v="26.9784475891333"/>
  </r>
  <r>
    <x v="0"/>
    <x v="0"/>
    <x v="0"/>
    <x v="2"/>
    <x v="3"/>
    <s v="FinA"/>
    <x v="7"/>
    <x v="6"/>
    <s v="GHYRR_WATER"/>
    <n v="8.3889774999999993"/>
    <n v="30.200319"/>
  </r>
  <r>
    <x v="0"/>
    <x v="0"/>
    <x v="0"/>
    <x v="2"/>
    <x v="3"/>
    <s v="FinA"/>
    <x v="7"/>
    <x v="7"/>
    <s v="GHYRS_WATER"/>
    <n v="8.38897750000001"/>
    <n v="30.200319"/>
  </r>
  <r>
    <x v="0"/>
    <x v="0"/>
    <x v="0"/>
    <x v="2"/>
    <x v="3"/>
    <s v="FinA"/>
    <x v="0"/>
    <x v="0"/>
    <s v="GWND_WIND"/>
    <n v="0.42531999999999998"/>
    <n v="1.5311520000000001"/>
  </r>
  <r>
    <x v="0"/>
    <x v="0"/>
    <x v="0"/>
    <x v="3"/>
    <x v="4"/>
    <s v="GER_OFFSHORE"/>
    <x v="0"/>
    <x v="0"/>
    <s v="GWND_WIND"/>
    <n v="0.92942400000000103"/>
    <n v="3.3459264000000002"/>
  </r>
  <r>
    <x v="0"/>
    <x v="0"/>
    <x v="0"/>
    <x v="3"/>
    <x v="4"/>
    <s v="GerA"/>
    <x v="8"/>
    <x v="5"/>
    <s v="GCND_NUCLEAR"/>
    <n v="104.64208130476899"/>
    <n v="376.71149269717"/>
  </r>
  <r>
    <x v="0"/>
    <x v="0"/>
    <x v="0"/>
    <x v="3"/>
    <x v="4"/>
    <s v="GerA"/>
    <x v="1"/>
    <x v="1"/>
    <s v="GSOLE_SUN"/>
    <n v="32.801769"/>
    <n v="118.0863684"/>
  </r>
  <r>
    <x v="0"/>
    <x v="0"/>
    <x v="0"/>
    <x v="3"/>
    <x v="4"/>
    <s v="GerA"/>
    <x v="7"/>
    <x v="6"/>
    <s v="GHYRR_WATER"/>
    <n v="16.980884762280901"/>
    <n v="61.131185144211102"/>
  </r>
  <r>
    <x v="0"/>
    <x v="0"/>
    <x v="0"/>
    <x v="3"/>
    <x v="4"/>
    <s v="GerA"/>
    <x v="7"/>
    <x v="7"/>
    <s v="GHYRS_WATER"/>
    <n v="30.975769460434201"/>
    <n v="111.512770057563"/>
  </r>
  <r>
    <x v="0"/>
    <x v="0"/>
    <x v="0"/>
    <x v="3"/>
    <x v="4"/>
    <s v="GerA"/>
    <x v="0"/>
    <x v="0"/>
    <s v="GWND_WIND"/>
    <n v="67.498204000000001"/>
    <n v="242.99353439999999"/>
  </r>
  <r>
    <x v="0"/>
    <x v="0"/>
    <x v="0"/>
    <x v="4"/>
    <x v="5"/>
    <s v="LV_A"/>
    <x v="9"/>
    <x v="3"/>
    <s v="ST-B1-waste-LV"/>
    <n v="0.13139999999999999"/>
    <n v="0.47303999999999902"/>
  </r>
  <r>
    <x v="0"/>
    <x v="0"/>
    <x v="0"/>
    <x v="4"/>
    <x v="5"/>
    <s v="LV_A"/>
    <x v="3"/>
    <x v="4"/>
    <s v="GE-BP-LV-G"/>
    <n v="2.92E-2"/>
    <n v="0.10512000000000001"/>
  </r>
  <r>
    <x v="0"/>
    <x v="0"/>
    <x v="0"/>
    <x v="4"/>
    <x v="5"/>
    <s v="LV_A"/>
    <x v="7"/>
    <x v="6"/>
    <s v="NEW-HYDRO-LV"/>
    <n v="1.4789999999999999E-2"/>
    <n v="5.3244E-2"/>
  </r>
  <r>
    <x v="0"/>
    <x v="0"/>
    <x v="0"/>
    <x v="4"/>
    <x v="5"/>
    <s v="LV_A"/>
    <x v="7"/>
    <x v="6"/>
    <s v="Riga-HPP"/>
    <n v="0.97860499999999795"/>
    <n v="3.5229780000000099"/>
  </r>
  <r>
    <x v="0"/>
    <x v="0"/>
    <x v="0"/>
    <x v="4"/>
    <x v="5"/>
    <s v="LV_A"/>
    <x v="7"/>
    <x v="6"/>
    <s v="SM-HPP-LV"/>
    <n v="8.8739999999999805E-2"/>
    <n v="0.31946400000000003"/>
  </r>
  <r>
    <x v="0"/>
    <x v="0"/>
    <x v="0"/>
    <x v="4"/>
    <x v="5"/>
    <s v="LV_A"/>
    <x v="7"/>
    <x v="7"/>
    <s v="Keguma-HPP-1"/>
    <n v="8.4806141213734004E-2"/>
    <n v="0.30530210836944199"/>
  </r>
  <r>
    <x v="0"/>
    <x v="0"/>
    <x v="0"/>
    <x v="4"/>
    <x v="5"/>
    <s v="LV_A"/>
    <x v="7"/>
    <x v="7"/>
    <s v="Keguma-HPP-2"/>
    <n v="0.76052270676885003"/>
    <n v="2.73788174436786"/>
  </r>
  <r>
    <x v="0"/>
    <x v="0"/>
    <x v="0"/>
    <x v="4"/>
    <x v="5"/>
    <s v="LV_A"/>
    <x v="7"/>
    <x v="7"/>
    <s v="Planivas-HPP"/>
    <n v="1.2397311520174199"/>
    <n v="4.4630321472626999"/>
  </r>
  <r>
    <x v="0"/>
    <x v="0"/>
    <x v="0"/>
    <x v="4"/>
    <x v="5"/>
    <s v="LV_A"/>
    <x v="0"/>
    <x v="0"/>
    <s v="WI-L10"/>
    <n v="0.13688400000000001"/>
    <n v="0.49278240000000001"/>
  </r>
  <r>
    <x v="0"/>
    <x v="0"/>
    <x v="0"/>
    <x v="4"/>
    <x v="5"/>
    <s v="LV_A"/>
    <x v="0"/>
    <x v="0"/>
    <s v="WI-L9"/>
    <n v="0.10065"/>
    <n v="0.36234"/>
  </r>
  <r>
    <x v="0"/>
    <x v="0"/>
    <x v="0"/>
    <x v="4"/>
    <x v="5"/>
    <s v="LV_A1"/>
    <x v="3"/>
    <x v="4"/>
    <s v="GEXT_NATGAS"/>
    <n v="4.2062654815744702E-3"/>
    <n v="1.51425557336681E-2"/>
  </r>
  <r>
    <x v="0"/>
    <x v="0"/>
    <x v="0"/>
    <x v="4"/>
    <x v="5"/>
    <s v="LV_A1"/>
    <x v="3"/>
    <x v="3"/>
    <s v="GBPR_NATGAS"/>
    <n v="0.75276704081956303"/>
    <n v="2.70996134695043"/>
  </r>
  <r>
    <x v="0"/>
    <x v="0"/>
    <x v="0"/>
    <x v="4"/>
    <x v="5"/>
    <s v="LV_A1"/>
    <x v="10"/>
    <x v="3"/>
    <s v="GBPR_WOODWASTE"/>
    <n v="3.5040000000000099E-2"/>
    <n v="0.12614400000000001"/>
  </r>
  <r>
    <x v="0"/>
    <x v="0"/>
    <x v="0"/>
    <x v="4"/>
    <x v="5"/>
    <s v="LV_A1"/>
    <x v="10"/>
    <x v="3"/>
    <s v="GBPR_WOODWASTE_IND"/>
    <n v="8.7600000000000195E-3"/>
    <n v="3.1536000000000099E-2"/>
  </r>
  <r>
    <x v="0"/>
    <x v="0"/>
    <x v="0"/>
    <x v="4"/>
    <x v="5"/>
    <s v="LV_A2"/>
    <x v="4"/>
    <x v="3"/>
    <s v="GBPR_WOODCHIPS"/>
    <n v="9.0339497113165607E-2"/>
    <n v="0.32522218960739602"/>
  </r>
  <r>
    <x v="0"/>
    <x v="0"/>
    <x v="0"/>
    <x v="4"/>
    <x v="5"/>
    <s v="LV_A2"/>
    <x v="10"/>
    <x v="3"/>
    <s v="GBPR_WOODWASTE"/>
    <n v="5.4202500000000001E-2"/>
    <n v="0.195129"/>
  </r>
  <r>
    <x v="0"/>
    <x v="0"/>
    <x v="0"/>
    <x v="4"/>
    <x v="5"/>
    <s v="LV_A2"/>
    <x v="10"/>
    <x v="3"/>
    <s v="GBPR_WOODWASTE_IND"/>
    <n v="3.5040000000000099E-2"/>
    <n v="0.12614400000000001"/>
  </r>
  <r>
    <x v="0"/>
    <x v="0"/>
    <x v="0"/>
    <x v="4"/>
    <x v="5"/>
    <s v="LV_A3"/>
    <x v="11"/>
    <x v="3"/>
    <s v="GBPR_COAL"/>
    <n v="2.6279999999999901E-2"/>
    <n v="9.4608000000000206E-2"/>
  </r>
  <r>
    <x v="0"/>
    <x v="0"/>
    <x v="0"/>
    <x v="4"/>
    <x v="5"/>
    <s v="LV_A3"/>
    <x v="4"/>
    <x v="3"/>
    <s v="GBPR_WOODCHIPS"/>
    <n v="2.15059074434551E-2"/>
    <n v="7.7421266796438404E-2"/>
  </r>
  <r>
    <x v="0"/>
    <x v="0"/>
    <x v="0"/>
    <x v="4"/>
    <x v="5"/>
    <s v="LV_A3"/>
    <x v="10"/>
    <x v="3"/>
    <s v="GBPR_WOODWASTE"/>
    <n v="0.12801621783394301"/>
    <n v="0.46085838420219399"/>
  </r>
  <r>
    <x v="0"/>
    <x v="0"/>
    <x v="0"/>
    <x v="5"/>
    <x v="6"/>
    <s v="LT_A"/>
    <x v="7"/>
    <x v="6"/>
    <s v="KaunasHPP"/>
    <n v="0.48480000000000001"/>
    <n v="1.74527999999999"/>
  </r>
  <r>
    <x v="0"/>
    <x v="0"/>
    <x v="0"/>
    <x v="5"/>
    <x v="6"/>
    <s v="LT_A"/>
    <x v="7"/>
    <x v="8"/>
    <s v="Kruonis"/>
    <n v="3.7937744033635902E-2"/>
    <n v="0.13657587852108899"/>
  </r>
  <r>
    <x v="0"/>
    <x v="0"/>
    <x v="0"/>
    <x v="5"/>
    <x v="6"/>
    <s v="LT_A"/>
    <x v="0"/>
    <x v="0"/>
    <s v="WI-L10"/>
    <n v="0.197379"/>
    <n v="0.71056439999999998"/>
  </r>
  <r>
    <x v="0"/>
    <x v="0"/>
    <x v="0"/>
    <x v="5"/>
    <x v="6"/>
    <s v="LT_A1"/>
    <x v="2"/>
    <x v="2"/>
    <s v="GETOH_HEATPUMP"/>
    <n v="9.2971899357745899E-2"/>
    <n v="0.334698837687885"/>
  </r>
  <r>
    <x v="0"/>
    <x v="0"/>
    <x v="0"/>
    <x v="5"/>
    <x v="6"/>
    <s v="LT_A1"/>
    <x v="10"/>
    <x v="3"/>
    <s v="GBPR_WOODWASTE"/>
    <n v="2.3736071892399999"/>
    <n v="8.5449858812639796"/>
  </r>
  <r>
    <x v="0"/>
    <x v="0"/>
    <x v="0"/>
    <x v="6"/>
    <x v="7"/>
    <s v="NE_OFFSHORE"/>
    <x v="0"/>
    <x v="0"/>
    <s v="GWND_WIND"/>
    <n v="0.77748000000000095"/>
    <n v="2.7989280000000001"/>
  </r>
  <r>
    <x v="0"/>
    <x v="0"/>
    <x v="0"/>
    <x v="6"/>
    <x v="7"/>
    <s v="NeA"/>
    <x v="8"/>
    <x v="5"/>
    <s v="GCND_NUCLEAR"/>
    <n v="4.33635701765993"/>
    <n v="15.610885263575801"/>
  </r>
  <r>
    <x v="0"/>
    <x v="0"/>
    <x v="0"/>
    <x v="6"/>
    <x v="7"/>
    <s v="NeA"/>
    <x v="1"/>
    <x v="1"/>
    <s v="GSOLE_SUN"/>
    <n v="0.36244500000000002"/>
    <n v="1.304802"/>
  </r>
  <r>
    <x v="0"/>
    <x v="0"/>
    <x v="0"/>
    <x v="6"/>
    <x v="7"/>
    <s v="NeA"/>
    <x v="7"/>
    <x v="6"/>
    <s v="GHYRR_WATER"/>
    <n v="0.15540000000000001"/>
    <n v="0.55943999999999905"/>
  </r>
  <r>
    <x v="0"/>
    <x v="0"/>
    <x v="0"/>
    <x v="6"/>
    <x v="7"/>
    <s v="NeA"/>
    <x v="0"/>
    <x v="0"/>
    <s v="GWND_WIND"/>
    <n v="4.41"/>
    <n v="15.875999999999999"/>
  </r>
  <r>
    <x v="0"/>
    <x v="0"/>
    <x v="0"/>
    <x v="7"/>
    <x v="8"/>
    <s v="NO1_A1"/>
    <x v="7"/>
    <x v="6"/>
    <s v="GHYRR_WATER"/>
    <n v="10.2271633350166"/>
    <n v="36.817788006059601"/>
  </r>
  <r>
    <x v="0"/>
    <x v="0"/>
    <x v="0"/>
    <x v="7"/>
    <x v="8"/>
    <s v="NO1_A1"/>
    <x v="7"/>
    <x v="7"/>
    <s v="GHYRS_WATER"/>
    <n v="30.3408069508613"/>
    <n v="109.226905023101"/>
  </r>
  <r>
    <x v="0"/>
    <x v="0"/>
    <x v="0"/>
    <x v="7"/>
    <x v="8"/>
    <s v="NO1_A2"/>
    <x v="1"/>
    <x v="1"/>
    <s v="SolarPV-50"/>
    <n v="9.3684036248473692"/>
    <n v="33.726253049450499"/>
  </r>
  <r>
    <x v="0"/>
    <x v="0"/>
    <x v="0"/>
    <x v="7"/>
    <x v="9"/>
    <s v="NO2_A1"/>
    <x v="7"/>
    <x v="6"/>
    <s v="GHYRR_WATER"/>
    <n v="11.1349730113717"/>
    <n v="40.085902840937997"/>
  </r>
  <r>
    <x v="0"/>
    <x v="0"/>
    <x v="0"/>
    <x v="7"/>
    <x v="9"/>
    <s v="NO2_A1"/>
    <x v="7"/>
    <x v="7"/>
    <s v="GHYRS_WATER"/>
    <n v="24.4824985281981"/>
    <n v="88.136994701513103"/>
  </r>
  <r>
    <x v="0"/>
    <x v="0"/>
    <x v="0"/>
    <x v="7"/>
    <x v="9"/>
    <s v="NO2_A1"/>
    <x v="0"/>
    <x v="0"/>
    <s v="GWND_WIND"/>
    <n v="0.18081498347241301"/>
    <n v="0.65093394050068598"/>
  </r>
  <r>
    <x v="0"/>
    <x v="0"/>
    <x v="0"/>
    <x v="7"/>
    <x v="10"/>
    <s v="NO3_A1"/>
    <x v="7"/>
    <x v="6"/>
    <s v="GHYRR_WATER"/>
    <n v="6.6387986823861098"/>
    <n v="23.899675256590001"/>
  </r>
  <r>
    <x v="0"/>
    <x v="0"/>
    <x v="0"/>
    <x v="7"/>
    <x v="10"/>
    <s v="NO3_A1"/>
    <x v="7"/>
    <x v="7"/>
    <s v="GHYRS_WATER"/>
    <n v="14.7618662902597"/>
    <n v="53.142718644934902"/>
  </r>
  <r>
    <x v="0"/>
    <x v="0"/>
    <x v="0"/>
    <x v="7"/>
    <x v="10"/>
    <s v="NO3_A1"/>
    <x v="0"/>
    <x v="0"/>
    <s v="GWND_WIND"/>
    <n v="0.94817012325233696"/>
    <n v="3.4134124437084101"/>
  </r>
  <r>
    <x v="0"/>
    <x v="0"/>
    <x v="0"/>
    <x v="7"/>
    <x v="10"/>
    <s v="NO3_A2"/>
    <x v="1"/>
    <x v="1"/>
    <s v="SolarPV-50"/>
    <n v="10.2680679341925"/>
    <n v="36.965044563093102"/>
  </r>
  <r>
    <x v="0"/>
    <x v="0"/>
    <x v="0"/>
    <x v="7"/>
    <x v="11"/>
    <s v="NO4_A1"/>
    <x v="7"/>
    <x v="6"/>
    <s v="GHYRR_WATER"/>
    <n v="5.1852603013375997"/>
    <n v="18.666937084815299"/>
  </r>
  <r>
    <x v="0"/>
    <x v="0"/>
    <x v="0"/>
    <x v="7"/>
    <x v="11"/>
    <s v="NO4_A1"/>
    <x v="7"/>
    <x v="7"/>
    <s v="GHYRS_WATER"/>
    <n v="11.457208036614499"/>
    <n v="41.245948931812201"/>
  </r>
  <r>
    <x v="0"/>
    <x v="0"/>
    <x v="0"/>
    <x v="7"/>
    <x v="11"/>
    <s v="NO4_A1"/>
    <x v="0"/>
    <x v="0"/>
    <s v="GWND_WIND"/>
    <n v="0.28869564084143201"/>
    <n v="1.0393043070291601"/>
  </r>
  <r>
    <x v="0"/>
    <x v="0"/>
    <x v="0"/>
    <x v="7"/>
    <x v="12"/>
    <s v="NO5_A1"/>
    <x v="7"/>
    <x v="6"/>
    <s v="GHYRR_WATER"/>
    <n v="3.9736818429202798"/>
    <n v="14.305254634513"/>
  </r>
  <r>
    <x v="0"/>
    <x v="0"/>
    <x v="0"/>
    <x v="7"/>
    <x v="12"/>
    <s v="NO5_A1"/>
    <x v="7"/>
    <x v="7"/>
    <s v="GHYRS_WATER"/>
    <n v="9.8345840409323504"/>
    <n v="35.4045025473565"/>
  </r>
  <r>
    <x v="0"/>
    <x v="0"/>
    <x v="0"/>
    <x v="7"/>
    <x v="12"/>
    <s v="NO5_A1"/>
    <x v="0"/>
    <x v="0"/>
    <s v="GWND_WIND"/>
    <n v="9.8014472398632296E-3"/>
    <n v="3.5285210063507599E-2"/>
  </r>
  <r>
    <x v="0"/>
    <x v="0"/>
    <x v="0"/>
    <x v="8"/>
    <x v="13"/>
    <s v="PL_A"/>
    <x v="11"/>
    <x v="5"/>
    <s v="GCND-CO-038"/>
    <n v="0.28710837549689"/>
    <n v="1.03359015178881"/>
  </r>
  <r>
    <x v="0"/>
    <x v="0"/>
    <x v="0"/>
    <x v="8"/>
    <x v="13"/>
    <s v="PL_A"/>
    <x v="11"/>
    <x v="5"/>
    <s v="GCND-CO-039"/>
    <n v="27.047946928514701"/>
    <n v="97.372608942652903"/>
  </r>
  <r>
    <x v="0"/>
    <x v="0"/>
    <x v="0"/>
    <x v="8"/>
    <x v="13"/>
    <s v="PL_A"/>
    <x v="11"/>
    <x v="5"/>
    <s v="GCND-CO-040"/>
    <n v="44.762828138819103"/>
    <n v="161.14618129974801"/>
  </r>
  <r>
    <x v="0"/>
    <x v="0"/>
    <x v="0"/>
    <x v="8"/>
    <x v="13"/>
    <s v="PL_A"/>
    <x v="12"/>
    <x v="5"/>
    <s v="GCND-LI"/>
    <n v="21.050279999999901"/>
    <n v="75.781008000000099"/>
  </r>
  <r>
    <x v="0"/>
    <x v="0"/>
    <x v="0"/>
    <x v="8"/>
    <x v="13"/>
    <s v="PL_A"/>
    <x v="7"/>
    <x v="6"/>
    <s v="HY-ROR"/>
    <n v="2.3110249999999999"/>
    <n v="8.3196899999999996"/>
  </r>
  <r>
    <x v="0"/>
    <x v="0"/>
    <x v="0"/>
    <x v="8"/>
    <x v="13"/>
    <s v="PL_A"/>
    <x v="0"/>
    <x v="0"/>
    <s v="WI-L9"/>
    <n v="2.3858999999999999"/>
    <n v="8.5892400000000109"/>
  </r>
  <r>
    <x v="0"/>
    <x v="0"/>
    <x v="0"/>
    <x v="8"/>
    <x v="13"/>
    <s v="PL_A1"/>
    <x v="11"/>
    <x v="4"/>
    <s v="GEXT-CO-025"/>
    <n v="0.325306658435011"/>
    <n v="1.17110397036604"/>
  </r>
  <r>
    <x v="0"/>
    <x v="0"/>
    <x v="0"/>
    <x v="8"/>
    <x v="13"/>
    <s v="PL_A1"/>
    <x v="11"/>
    <x v="4"/>
    <s v="GEXT-CO-04"/>
    <n v="3.5191537424547201"/>
    <n v="12.668953472837"/>
  </r>
  <r>
    <x v="0"/>
    <x v="0"/>
    <x v="0"/>
    <x v="8"/>
    <x v="13"/>
    <s v="PL_A1"/>
    <x v="11"/>
    <x v="3"/>
    <s v="GBPR-CO-07"/>
    <n v="6.5174399999999899"/>
    <n v="23.4627839999999"/>
  </r>
  <r>
    <x v="0"/>
    <x v="0"/>
    <x v="0"/>
    <x v="8"/>
    <x v="13"/>
    <s v="PL_A1"/>
    <x v="11"/>
    <x v="3"/>
    <s v="GBPR-CO-09"/>
    <n v="26.111737685939499"/>
    <n v="94.002255669382393"/>
  </r>
  <r>
    <x v="0"/>
    <x v="0"/>
    <x v="0"/>
    <x v="8"/>
    <x v="13"/>
    <s v="PL_A1"/>
    <x v="12"/>
    <x v="4"/>
    <s v="GEXT-LIGNITE-036"/>
    <n v="0.963153470340125"/>
    <n v="3.4673524932244599"/>
  </r>
  <r>
    <x v="0"/>
    <x v="0"/>
    <x v="0"/>
    <x v="8"/>
    <x v="13"/>
    <s v="PL_A1"/>
    <x v="12"/>
    <x v="3"/>
    <s v="GBRP-LIGNITE-047"/>
    <n v="0.49932000000000099"/>
    <n v="1.797552"/>
  </r>
  <r>
    <x v="0"/>
    <x v="0"/>
    <x v="0"/>
    <x v="8"/>
    <x v="13"/>
    <s v="PL_A1"/>
    <x v="9"/>
    <x v="3"/>
    <s v="GBPR-WASTE"/>
    <n v="0.29784000000000099"/>
    <n v="1.0722240000000001"/>
  </r>
  <r>
    <x v="0"/>
    <x v="0"/>
    <x v="0"/>
    <x v="9"/>
    <x v="14"/>
    <s v="SE1A"/>
    <x v="7"/>
    <x v="6"/>
    <s v="GHYRR_WATER"/>
    <n v="5.1327420814479696"/>
    <n v="18.4778714932127"/>
  </r>
  <r>
    <x v="0"/>
    <x v="0"/>
    <x v="0"/>
    <x v="9"/>
    <x v="14"/>
    <s v="SE1A"/>
    <x v="7"/>
    <x v="7"/>
    <s v="GHYRS_WATER"/>
    <n v="20.5261031674208"/>
    <n v="73.893971402714897"/>
  </r>
  <r>
    <x v="0"/>
    <x v="0"/>
    <x v="0"/>
    <x v="9"/>
    <x v="14"/>
    <s v="SE1A"/>
    <x v="0"/>
    <x v="0"/>
    <s v="GWND_WIND"/>
    <n v="0.59501999999999999"/>
    <n v="2.1420720000000002"/>
  </r>
  <r>
    <x v="0"/>
    <x v="0"/>
    <x v="0"/>
    <x v="9"/>
    <x v="14"/>
    <s v="SE1_EL"/>
    <x v="1"/>
    <x v="1"/>
    <s v="SolarPV-50"/>
    <n v="1.70719801979624"/>
    <n v="6.1459128712664599"/>
  </r>
  <r>
    <x v="0"/>
    <x v="0"/>
    <x v="0"/>
    <x v="9"/>
    <x v="14"/>
    <s v="SE1_OTHER"/>
    <x v="1"/>
    <x v="1"/>
    <s v="SolarPV-50"/>
    <n v="1.3595529401219999"/>
    <n v="4.8943905844392104"/>
  </r>
  <r>
    <x v="0"/>
    <x v="0"/>
    <x v="0"/>
    <x v="9"/>
    <x v="15"/>
    <s v="SE2A"/>
    <x v="7"/>
    <x v="6"/>
    <s v="GHYRR_WATER"/>
    <n v="7.7745230769230904"/>
    <n v="27.9882830769231"/>
  </r>
  <r>
    <x v="0"/>
    <x v="0"/>
    <x v="0"/>
    <x v="9"/>
    <x v="15"/>
    <s v="SE2A"/>
    <x v="7"/>
    <x v="7"/>
    <s v="GHYRS_WATER"/>
    <n v="31.102957466063302"/>
    <n v="111.970646877828"/>
  </r>
  <r>
    <x v="0"/>
    <x v="0"/>
    <x v="0"/>
    <x v="9"/>
    <x v="15"/>
    <s v="SE2A"/>
    <x v="0"/>
    <x v="0"/>
    <s v="GWND_WIND"/>
    <n v="1.2216899999999999"/>
    <n v="4.3980839999999999"/>
  </r>
  <r>
    <x v="0"/>
    <x v="0"/>
    <x v="0"/>
    <x v="9"/>
    <x v="15"/>
    <s v="SE2_EL"/>
    <x v="1"/>
    <x v="1"/>
    <s v="SolarPV-50"/>
    <n v="1.3963003667712"/>
    <n v="5.0266813203763201"/>
  </r>
  <r>
    <x v="0"/>
    <x v="0"/>
    <x v="0"/>
    <x v="9"/>
    <x v="15"/>
    <s v="SE2_OTHER"/>
    <x v="1"/>
    <x v="1"/>
    <s v="SolarPV-50"/>
    <n v="0.73169667466464605"/>
    <n v="2.6341080287927299"/>
  </r>
  <r>
    <x v="0"/>
    <x v="0"/>
    <x v="0"/>
    <x v="9"/>
    <x v="16"/>
    <s v="SE3A"/>
    <x v="7"/>
    <x v="6"/>
    <s v="GHYRR_WATER"/>
    <n v="2.4423095022624501"/>
    <n v="8.7923142081448091"/>
  </r>
  <r>
    <x v="0"/>
    <x v="0"/>
    <x v="0"/>
    <x v="9"/>
    <x v="16"/>
    <s v="SE3A"/>
    <x v="7"/>
    <x v="7"/>
    <s v="GHYRS_WATER"/>
    <n v="9.7789683257918494"/>
    <n v="35.204285972850698"/>
  </r>
  <r>
    <x v="0"/>
    <x v="0"/>
    <x v="0"/>
    <x v="9"/>
    <x v="16"/>
    <s v="SE3A"/>
    <x v="0"/>
    <x v="0"/>
    <s v="GWND_WIND"/>
    <n v="3.29793"/>
    <n v="11.872548"/>
  </r>
  <r>
    <x v="0"/>
    <x v="0"/>
    <x v="0"/>
    <x v="9"/>
    <x v="16"/>
    <s v="SE3_EL"/>
    <x v="1"/>
    <x v="1"/>
    <s v="SolarPV-50"/>
    <n v="5.1326410268372502"/>
    <n v="18.477507696614101"/>
  </r>
  <r>
    <x v="0"/>
    <x v="0"/>
    <x v="0"/>
    <x v="9"/>
    <x v="16"/>
    <s v="SE3_GOT"/>
    <x v="1"/>
    <x v="1"/>
    <s v="SolarPV-50"/>
    <n v="0.32708816704566401"/>
    <n v="1.1775174013643901"/>
  </r>
  <r>
    <x v="0"/>
    <x v="0"/>
    <x v="0"/>
    <x v="9"/>
    <x v="16"/>
    <s v="SE3_HP"/>
    <x v="1"/>
    <x v="1"/>
    <s v="SolarPV-50"/>
    <n v="10.6412993297001"/>
    <n v="38.308677586920503"/>
  </r>
  <r>
    <x v="0"/>
    <x v="0"/>
    <x v="0"/>
    <x v="9"/>
    <x v="16"/>
    <s v="SE3_OTHER"/>
    <x v="1"/>
    <x v="1"/>
    <s v="SolarPV-50"/>
    <n v="5.5596519666196498"/>
    <n v="20.014747079830698"/>
  </r>
  <r>
    <x v="0"/>
    <x v="0"/>
    <x v="0"/>
    <x v="9"/>
    <x v="16"/>
    <s v="SE3_STO"/>
    <x v="1"/>
    <x v="1"/>
    <s v="SolarPV-50"/>
    <n v="6.7732279516912897"/>
    <n v="24.3836206260886"/>
  </r>
  <r>
    <x v="0"/>
    <x v="0"/>
    <x v="0"/>
    <x v="9"/>
    <x v="17"/>
    <s v="SE4A"/>
    <x v="7"/>
    <x v="6"/>
    <s v="GHYRR_WATER"/>
    <n v="0.695717647058823"/>
    <n v="2.5045835294117702"/>
  </r>
  <r>
    <x v="0"/>
    <x v="0"/>
    <x v="0"/>
    <x v="9"/>
    <x v="17"/>
    <s v="SE4A"/>
    <x v="7"/>
    <x v="7"/>
    <s v="GHYRS_WATER"/>
    <n v="1.65901900452488"/>
    <n v="5.9724684162895798"/>
  </r>
  <r>
    <x v="0"/>
    <x v="0"/>
    <x v="0"/>
    <x v="9"/>
    <x v="17"/>
    <s v="SE4A"/>
    <x v="0"/>
    <x v="0"/>
    <s v="GWND_WIND"/>
    <n v="2.4349400000000001"/>
    <n v="8.7657839999999894"/>
  </r>
  <r>
    <x v="0"/>
    <x v="0"/>
    <x v="0"/>
    <x v="9"/>
    <x v="17"/>
    <s v="SE4_EL"/>
    <x v="1"/>
    <x v="1"/>
    <s v="SolarPV-50"/>
    <n v="4.4673576867000202"/>
    <n v="16.082487672120099"/>
  </r>
  <r>
    <x v="0"/>
    <x v="0"/>
    <x v="0"/>
    <x v="9"/>
    <x v="17"/>
    <s v="SE4_HP"/>
    <x v="1"/>
    <x v="1"/>
    <s v="SolarPV-50"/>
    <n v="6.8304851925885899"/>
    <n v="24.589746693318901"/>
  </r>
  <r>
    <x v="0"/>
    <x v="0"/>
    <x v="0"/>
    <x v="9"/>
    <x v="17"/>
    <s v="SE4_MAL"/>
    <x v="1"/>
    <x v="1"/>
    <s v="SolarPV-50"/>
    <n v="7.2702792792308601"/>
    <n v="26.173005405231098"/>
  </r>
  <r>
    <x v="0"/>
    <x v="0"/>
    <x v="0"/>
    <x v="9"/>
    <x v="17"/>
    <s v="SE4_OTHER"/>
    <x v="1"/>
    <x v="1"/>
    <s v="SolarPV-50"/>
    <n v="6.6970838647183202"/>
    <n v="24.109501912985898"/>
  </r>
  <r>
    <x v="0"/>
    <x v="0"/>
    <x v="0"/>
    <x v="10"/>
    <x v="18"/>
    <s v="UKA"/>
    <x v="8"/>
    <x v="5"/>
    <s v="GCND_NUCLEAR"/>
    <n v="65.045349120033194"/>
    <n v="234.163256832119"/>
  </r>
  <r>
    <x v="0"/>
    <x v="0"/>
    <x v="0"/>
    <x v="10"/>
    <x v="18"/>
    <s v="UKA"/>
    <x v="1"/>
    <x v="1"/>
    <s v="GSOLE_SUN"/>
    <n v="1.682248"/>
    <n v="6.0560928000000001"/>
  </r>
  <r>
    <x v="0"/>
    <x v="0"/>
    <x v="0"/>
    <x v="10"/>
    <x v="18"/>
    <s v="UKA"/>
    <x v="7"/>
    <x v="6"/>
    <s v="GHYRR_WATER"/>
    <n v="5.1395607069672202"/>
    <n v="18.502418545082001"/>
  </r>
  <r>
    <x v="0"/>
    <x v="0"/>
    <x v="0"/>
    <x v="10"/>
    <x v="18"/>
    <s v="UKA"/>
    <x v="0"/>
    <x v="0"/>
    <s v="GWND_WIND"/>
    <n v="14.016095999999999"/>
    <n v="50.457945600000002"/>
  </r>
  <r>
    <x v="0"/>
    <x v="0"/>
    <x v="0"/>
    <x v="10"/>
    <x v="18"/>
    <s v="UK_OFFSHORE"/>
    <x v="0"/>
    <x v="0"/>
    <s v="GWND_WIND"/>
    <n v="9.9553799999999999"/>
    <n v="35.839368"/>
  </r>
</pivotCacheRecords>
</file>

<file path=xl/pivotCache/pivotCacheRecords2.xml><?xml version="1.0" encoding="utf-8"?>
<pivotCacheRecords xmlns="http://schemas.openxmlformats.org/spreadsheetml/2006/main" xmlns:r="http://schemas.openxmlformats.org/officeDocument/2006/relationships" count="2736">
  <r>
    <x v="0"/>
    <x v="0"/>
    <x v="0"/>
    <x v="0"/>
    <x v="0"/>
    <x v="0"/>
    <x v="0"/>
    <n v="11439.226000000001"/>
  </r>
  <r>
    <x v="0"/>
    <x v="0"/>
    <x v="0"/>
    <x v="0"/>
    <x v="0"/>
    <x v="0"/>
    <x v="1"/>
    <n v="11439.226000000001"/>
  </r>
  <r>
    <x v="0"/>
    <x v="0"/>
    <x v="0"/>
    <x v="0"/>
    <x v="0"/>
    <x v="0"/>
    <x v="2"/>
    <n v="11439.226000000001"/>
  </r>
  <r>
    <x v="0"/>
    <x v="0"/>
    <x v="0"/>
    <x v="0"/>
    <x v="0"/>
    <x v="0"/>
    <x v="3"/>
    <n v="11439.226000000001"/>
  </r>
  <r>
    <x v="0"/>
    <x v="0"/>
    <x v="0"/>
    <x v="0"/>
    <x v="0"/>
    <x v="0"/>
    <x v="4"/>
    <n v="11439.226000000001"/>
  </r>
  <r>
    <x v="0"/>
    <x v="0"/>
    <x v="0"/>
    <x v="0"/>
    <x v="0"/>
    <x v="0"/>
    <x v="5"/>
    <n v="11439.226000000001"/>
  </r>
  <r>
    <x v="0"/>
    <x v="0"/>
    <x v="0"/>
    <x v="0"/>
    <x v="0"/>
    <x v="0"/>
    <x v="6"/>
    <n v="11439.226000000001"/>
  </r>
  <r>
    <x v="0"/>
    <x v="0"/>
    <x v="0"/>
    <x v="0"/>
    <x v="0"/>
    <x v="0"/>
    <x v="7"/>
    <n v="11439.226000000001"/>
  </r>
  <r>
    <x v="0"/>
    <x v="0"/>
    <x v="0"/>
    <x v="0"/>
    <x v="0"/>
    <x v="0"/>
    <x v="8"/>
    <n v="11439.226000000001"/>
  </r>
  <r>
    <x v="0"/>
    <x v="0"/>
    <x v="0"/>
    <x v="0"/>
    <x v="0"/>
    <x v="0"/>
    <x v="9"/>
    <n v="11439.226000000001"/>
  </r>
  <r>
    <x v="0"/>
    <x v="0"/>
    <x v="0"/>
    <x v="0"/>
    <x v="0"/>
    <x v="0"/>
    <x v="10"/>
    <n v="11439.226000000001"/>
  </r>
  <r>
    <x v="0"/>
    <x v="0"/>
    <x v="0"/>
    <x v="0"/>
    <x v="0"/>
    <x v="0"/>
    <x v="11"/>
    <n v="11439.226000000001"/>
  </r>
  <r>
    <x v="0"/>
    <x v="0"/>
    <x v="0"/>
    <x v="0"/>
    <x v="0"/>
    <x v="1"/>
    <x v="0"/>
    <n v="11439.226000000001"/>
  </r>
  <r>
    <x v="0"/>
    <x v="0"/>
    <x v="0"/>
    <x v="0"/>
    <x v="0"/>
    <x v="1"/>
    <x v="1"/>
    <n v="11439.226000000001"/>
  </r>
  <r>
    <x v="0"/>
    <x v="0"/>
    <x v="0"/>
    <x v="0"/>
    <x v="0"/>
    <x v="1"/>
    <x v="2"/>
    <n v="11439.226000000001"/>
  </r>
  <r>
    <x v="0"/>
    <x v="0"/>
    <x v="0"/>
    <x v="0"/>
    <x v="0"/>
    <x v="1"/>
    <x v="3"/>
    <n v="11439.226000000001"/>
  </r>
  <r>
    <x v="0"/>
    <x v="0"/>
    <x v="0"/>
    <x v="0"/>
    <x v="0"/>
    <x v="1"/>
    <x v="4"/>
    <n v="11439.226000000001"/>
  </r>
  <r>
    <x v="0"/>
    <x v="0"/>
    <x v="0"/>
    <x v="0"/>
    <x v="0"/>
    <x v="1"/>
    <x v="5"/>
    <n v="11439.226000000001"/>
  </r>
  <r>
    <x v="0"/>
    <x v="0"/>
    <x v="0"/>
    <x v="0"/>
    <x v="0"/>
    <x v="1"/>
    <x v="6"/>
    <n v="11439.226000000001"/>
  </r>
  <r>
    <x v="0"/>
    <x v="0"/>
    <x v="0"/>
    <x v="0"/>
    <x v="0"/>
    <x v="1"/>
    <x v="7"/>
    <n v="11439.226000000001"/>
  </r>
  <r>
    <x v="0"/>
    <x v="0"/>
    <x v="0"/>
    <x v="0"/>
    <x v="0"/>
    <x v="1"/>
    <x v="8"/>
    <n v="11439.226000000001"/>
  </r>
  <r>
    <x v="0"/>
    <x v="0"/>
    <x v="0"/>
    <x v="0"/>
    <x v="0"/>
    <x v="1"/>
    <x v="9"/>
    <n v="11439.226000000001"/>
  </r>
  <r>
    <x v="0"/>
    <x v="0"/>
    <x v="0"/>
    <x v="0"/>
    <x v="0"/>
    <x v="1"/>
    <x v="10"/>
    <n v="11439.226000000001"/>
  </r>
  <r>
    <x v="0"/>
    <x v="0"/>
    <x v="0"/>
    <x v="0"/>
    <x v="0"/>
    <x v="1"/>
    <x v="11"/>
    <n v="11439.226000000001"/>
  </r>
  <r>
    <x v="0"/>
    <x v="0"/>
    <x v="0"/>
    <x v="0"/>
    <x v="0"/>
    <x v="2"/>
    <x v="0"/>
    <n v="11439.226000000001"/>
  </r>
  <r>
    <x v="0"/>
    <x v="0"/>
    <x v="0"/>
    <x v="0"/>
    <x v="0"/>
    <x v="2"/>
    <x v="1"/>
    <n v="11439.226000000001"/>
  </r>
  <r>
    <x v="0"/>
    <x v="0"/>
    <x v="0"/>
    <x v="0"/>
    <x v="0"/>
    <x v="2"/>
    <x v="2"/>
    <n v="11439.226000000001"/>
  </r>
  <r>
    <x v="0"/>
    <x v="0"/>
    <x v="0"/>
    <x v="0"/>
    <x v="0"/>
    <x v="2"/>
    <x v="3"/>
    <n v="11439.226000000001"/>
  </r>
  <r>
    <x v="0"/>
    <x v="0"/>
    <x v="0"/>
    <x v="0"/>
    <x v="0"/>
    <x v="2"/>
    <x v="4"/>
    <n v="11439.226000000001"/>
  </r>
  <r>
    <x v="0"/>
    <x v="0"/>
    <x v="0"/>
    <x v="0"/>
    <x v="0"/>
    <x v="2"/>
    <x v="5"/>
    <n v="11439.226000000001"/>
  </r>
  <r>
    <x v="0"/>
    <x v="0"/>
    <x v="0"/>
    <x v="0"/>
    <x v="0"/>
    <x v="2"/>
    <x v="6"/>
    <n v="11439.226000000001"/>
  </r>
  <r>
    <x v="0"/>
    <x v="0"/>
    <x v="0"/>
    <x v="0"/>
    <x v="0"/>
    <x v="2"/>
    <x v="7"/>
    <n v="11439.226000000001"/>
  </r>
  <r>
    <x v="0"/>
    <x v="0"/>
    <x v="0"/>
    <x v="0"/>
    <x v="0"/>
    <x v="2"/>
    <x v="8"/>
    <n v="11439.226000000001"/>
  </r>
  <r>
    <x v="0"/>
    <x v="0"/>
    <x v="0"/>
    <x v="0"/>
    <x v="0"/>
    <x v="2"/>
    <x v="9"/>
    <n v="11439.226000000001"/>
  </r>
  <r>
    <x v="0"/>
    <x v="0"/>
    <x v="0"/>
    <x v="0"/>
    <x v="0"/>
    <x v="2"/>
    <x v="10"/>
    <n v="11439.226000000001"/>
  </r>
  <r>
    <x v="0"/>
    <x v="0"/>
    <x v="0"/>
    <x v="0"/>
    <x v="0"/>
    <x v="2"/>
    <x v="11"/>
    <n v="11439.226000000001"/>
  </r>
  <r>
    <x v="0"/>
    <x v="0"/>
    <x v="0"/>
    <x v="0"/>
    <x v="0"/>
    <x v="3"/>
    <x v="0"/>
    <n v="11439.226000000001"/>
  </r>
  <r>
    <x v="0"/>
    <x v="0"/>
    <x v="0"/>
    <x v="0"/>
    <x v="0"/>
    <x v="3"/>
    <x v="1"/>
    <n v="11439.226000000001"/>
  </r>
  <r>
    <x v="0"/>
    <x v="0"/>
    <x v="0"/>
    <x v="0"/>
    <x v="0"/>
    <x v="3"/>
    <x v="2"/>
    <n v="11439.226000000001"/>
  </r>
  <r>
    <x v="0"/>
    <x v="0"/>
    <x v="0"/>
    <x v="0"/>
    <x v="0"/>
    <x v="3"/>
    <x v="3"/>
    <n v="11439.226000000001"/>
  </r>
  <r>
    <x v="0"/>
    <x v="0"/>
    <x v="0"/>
    <x v="0"/>
    <x v="0"/>
    <x v="3"/>
    <x v="4"/>
    <n v="11439.226000000001"/>
  </r>
  <r>
    <x v="0"/>
    <x v="0"/>
    <x v="0"/>
    <x v="0"/>
    <x v="0"/>
    <x v="3"/>
    <x v="5"/>
    <n v="11439.226000000001"/>
  </r>
  <r>
    <x v="0"/>
    <x v="0"/>
    <x v="0"/>
    <x v="0"/>
    <x v="0"/>
    <x v="3"/>
    <x v="6"/>
    <n v="11439.226000000001"/>
  </r>
  <r>
    <x v="0"/>
    <x v="0"/>
    <x v="0"/>
    <x v="0"/>
    <x v="0"/>
    <x v="3"/>
    <x v="7"/>
    <n v="11439.226000000001"/>
  </r>
  <r>
    <x v="0"/>
    <x v="0"/>
    <x v="0"/>
    <x v="0"/>
    <x v="0"/>
    <x v="3"/>
    <x v="8"/>
    <n v="11439.226000000001"/>
  </r>
  <r>
    <x v="0"/>
    <x v="0"/>
    <x v="0"/>
    <x v="0"/>
    <x v="0"/>
    <x v="3"/>
    <x v="9"/>
    <n v="11439.226000000001"/>
  </r>
  <r>
    <x v="0"/>
    <x v="0"/>
    <x v="0"/>
    <x v="0"/>
    <x v="0"/>
    <x v="3"/>
    <x v="10"/>
    <n v="11439.226000000001"/>
  </r>
  <r>
    <x v="0"/>
    <x v="0"/>
    <x v="0"/>
    <x v="0"/>
    <x v="0"/>
    <x v="3"/>
    <x v="11"/>
    <n v="11439.226000000001"/>
  </r>
  <r>
    <x v="0"/>
    <x v="0"/>
    <x v="0"/>
    <x v="0"/>
    <x v="0"/>
    <x v="4"/>
    <x v="0"/>
    <n v="11439.226000000001"/>
  </r>
  <r>
    <x v="0"/>
    <x v="0"/>
    <x v="0"/>
    <x v="0"/>
    <x v="0"/>
    <x v="4"/>
    <x v="1"/>
    <n v="11439.226000000001"/>
  </r>
  <r>
    <x v="0"/>
    <x v="0"/>
    <x v="0"/>
    <x v="0"/>
    <x v="0"/>
    <x v="4"/>
    <x v="2"/>
    <n v="11439.226000000001"/>
  </r>
  <r>
    <x v="0"/>
    <x v="0"/>
    <x v="0"/>
    <x v="0"/>
    <x v="0"/>
    <x v="4"/>
    <x v="3"/>
    <n v="11439.226000000001"/>
  </r>
  <r>
    <x v="0"/>
    <x v="0"/>
    <x v="0"/>
    <x v="0"/>
    <x v="0"/>
    <x v="4"/>
    <x v="4"/>
    <n v="11439.226000000001"/>
  </r>
  <r>
    <x v="0"/>
    <x v="0"/>
    <x v="0"/>
    <x v="0"/>
    <x v="0"/>
    <x v="4"/>
    <x v="5"/>
    <n v="11439.226000000001"/>
  </r>
  <r>
    <x v="0"/>
    <x v="0"/>
    <x v="0"/>
    <x v="0"/>
    <x v="0"/>
    <x v="4"/>
    <x v="6"/>
    <n v="11439.226000000001"/>
  </r>
  <r>
    <x v="0"/>
    <x v="0"/>
    <x v="0"/>
    <x v="0"/>
    <x v="0"/>
    <x v="4"/>
    <x v="7"/>
    <n v="11439.226000000001"/>
  </r>
  <r>
    <x v="0"/>
    <x v="0"/>
    <x v="0"/>
    <x v="0"/>
    <x v="0"/>
    <x v="4"/>
    <x v="8"/>
    <n v="11439.226000000001"/>
  </r>
  <r>
    <x v="0"/>
    <x v="0"/>
    <x v="0"/>
    <x v="0"/>
    <x v="0"/>
    <x v="4"/>
    <x v="9"/>
    <n v="11439.226000000001"/>
  </r>
  <r>
    <x v="0"/>
    <x v="0"/>
    <x v="0"/>
    <x v="0"/>
    <x v="0"/>
    <x v="4"/>
    <x v="10"/>
    <n v="11439.226000000001"/>
  </r>
  <r>
    <x v="0"/>
    <x v="0"/>
    <x v="0"/>
    <x v="0"/>
    <x v="0"/>
    <x v="4"/>
    <x v="11"/>
    <n v="11439.226000000001"/>
  </r>
  <r>
    <x v="0"/>
    <x v="0"/>
    <x v="0"/>
    <x v="0"/>
    <x v="0"/>
    <x v="5"/>
    <x v="0"/>
    <n v="11439.226000000001"/>
  </r>
  <r>
    <x v="0"/>
    <x v="0"/>
    <x v="0"/>
    <x v="0"/>
    <x v="0"/>
    <x v="5"/>
    <x v="1"/>
    <n v="11439.226000000001"/>
  </r>
  <r>
    <x v="0"/>
    <x v="0"/>
    <x v="0"/>
    <x v="0"/>
    <x v="0"/>
    <x v="5"/>
    <x v="2"/>
    <n v="11439.226000000001"/>
  </r>
  <r>
    <x v="0"/>
    <x v="0"/>
    <x v="0"/>
    <x v="0"/>
    <x v="0"/>
    <x v="5"/>
    <x v="3"/>
    <n v="11439.226000000001"/>
  </r>
  <r>
    <x v="0"/>
    <x v="0"/>
    <x v="0"/>
    <x v="0"/>
    <x v="0"/>
    <x v="5"/>
    <x v="4"/>
    <n v="11439.226000000001"/>
  </r>
  <r>
    <x v="0"/>
    <x v="0"/>
    <x v="0"/>
    <x v="0"/>
    <x v="0"/>
    <x v="5"/>
    <x v="5"/>
    <n v="11439.226000000001"/>
  </r>
  <r>
    <x v="0"/>
    <x v="0"/>
    <x v="0"/>
    <x v="0"/>
    <x v="0"/>
    <x v="5"/>
    <x v="6"/>
    <n v="11439.226000000001"/>
  </r>
  <r>
    <x v="0"/>
    <x v="0"/>
    <x v="0"/>
    <x v="0"/>
    <x v="0"/>
    <x v="5"/>
    <x v="7"/>
    <n v="11439.226000000001"/>
  </r>
  <r>
    <x v="0"/>
    <x v="0"/>
    <x v="0"/>
    <x v="0"/>
    <x v="0"/>
    <x v="5"/>
    <x v="8"/>
    <n v="11439.226000000001"/>
  </r>
  <r>
    <x v="0"/>
    <x v="0"/>
    <x v="0"/>
    <x v="0"/>
    <x v="0"/>
    <x v="5"/>
    <x v="9"/>
    <n v="11439.226000000001"/>
  </r>
  <r>
    <x v="0"/>
    <x v="0"/>
    <x v="0"/>
    <x v="0"/>
    <x v="0"/>
    <x v="5"/>
    <x v="10"/>
    <n v="11439.226000000001"/>
  </r>
  <r>
    <x v="0"/>
    <x v="0"/>
    <x v="0"/>
    <x v="0"/>
    <x v="0"/>
    <x v="5"/>
    <x v="11"/>
    <n v="11439.226000000001"/>
  </r>
  <r>
    <x v="0"/>
    <x v="0"/>
    <x v="0"/>
    <x v="0"/>
    <x v="0"/>
    <x v="6"/>
    <x v="0"/>
    <n v="11439.226000000001"/>
  </r>
  <r>
    <x v="0"/>
    <x v="0"/>
    <x v="0"/>
    <x v="0"/>
    <x v="0"/>
    <x v="6"/>
    <x v="1"/>
    <n v="11439.226000000001"/>
  </r>
  <r>
    <x v="0"/>
    <x v="0"/>
    <x v="0"/>
    <x v="0"/>
    <x v="0"/>
    <x v="6"/>
    <x v="2"/>
    <n v="11439.226000000001"/>
  </r>
  <r>
    <x v="0"/>
    <x v="0"/>
    <x v="0"/>
    <x v="0"/>
    <x v="0"/>
    <x v="6"/>
    <x v="3"/>
    <n v="11439.226000000001"/>
  </r>
  <r>
    <x v="0"/>
    <x v="0"/>
    <x v="0"/>
    <x v="0"/>
    <x v="0"/>
    <x v="6"/>
    <x v="4"/>
    <n v="11439.226000000001"/>
  </r>
  <r>
    <x v="0"/>
    <x v="0"/>
    <x v="0"/>
    <x v="0"/>
    <x v="0"/>
    <x v="6"/>
    <x v="5"/>
    <n v="11439.226000000001"/>
  </r>
  <r>
    <x v="0"/>
    <x v="0"/>
    <x v="0"/>
    <x v="0"/>
    <x v="0"/>
    <x v="6"/>
    <x v="6"/>
    <n v="11439.226000000001"/>
  </r>
  <r>
    <x v="0"/>
    <x v="0"/>
    <x v="0"/>
    <x v="0"/>
    <x v="0"/>
    <x v="6"/>
    <x v="7"/>
    <n v="11439.226000000001"/>
  </r>
  <r>
    <x v="0"/>
    <x v="0"/>
    <x v="0"/>
    <x v="0"/>
    <x v="0"/>
    <x v="6"/>
    <x v="8"/>
    <n v="11439.226000000001"/>
  </r>
  <r>
    <x v="0"/>
    <x v="0"/>
    <x v="0"/>
    <x v="0"/>
    <x v="0"/>
    <x v="6"/>
    <x v="9"/>
    <n v="11439.226000000001"/>
  </r>
  <r>
    <x v="0"/>
    <x v="0"/>
    <x v="0"/>
    <x v="0"/>
    <x v="0"/>
    <x v="6"/>
    <x v="10"/>
    <n v="11439.226000000001"/>
  </r>
  <r>
    <x v="0"/>
    <x v="0"/>
    <x v="0"/>
    <x v="0"/>
    <x v="0"/>
    <x v="6"/>
    <x v="11"/>
    <n v="11439.226000000001"/>
  </r>
  <r>
    <x v="0"/>
    <x v="0"/>
    <x v="0"/>
    <x v="0"/>
    <x v="0"/>
    <x v="7"/>
    <x v="0"/>
    <n v="11439.226000000001"/>
  </r>
  <r>
    <x v="0"/>
    <x v="0"/>
    <x v="0"/>
    <x v="0"/>
    <x v="0"/>
    <x v="7"/>
    <x v="1"/>
    <n v="11439.226000000001"/>
  </r>
  <r>
    <x v="0"/>
    <x v="0"/>
    <x v="0"/>
    <x v="0"/>
    <x v="0"/>
    <x v="7"/>
    <x v="2"/>
    <n v="11439.226000000001"/>
  </r>
  <r>
    <x v="0"/>
    <x v="0"/>
    <x v="0"/>
    <x v="0"/>
    <x v="0"/>
    <x v="7"/>
    <x v="3"/>
    <n v="11439.226000000001"/>
  </r>
  <r>
    <x v="0"/>
    <x v="0"/>
    <x v="0"/>
    <x v="0"/>
    <x v="0"/>
    <x v="7"/>
    <x v="4"/>
    <n v="11439.226000000001"/>
  </r>
  <r>
    <x v="0"/>
    <x v="0"/>
    <x v="0"/>
    <x v="0"/>
    <x v="0"/>
    <x v="7"/>
    <x v="5"/>
    <n v="11439.226000000001"/>
  </r>
  <r>
    <x v="0"/>
    <x v="0"/>
    <x v="0"/>
    <x v="0"/>
    <x v="0"/>
    <x v="7"/>
    <x v="6"/>
    <n v="11439.226000000001"/>
  </r>
  <r>
    <x v="0"/>
    <x v="0"/>
    <x v="0"/>
    <x v="0"/>
    <x v="0"/>
    <x v="7"/>
    <x v="7"/>
    <n v="11439.226000000001"/>
  </r>
  <r>
    <x v="0"/>
    <x v="0"/>
    <x v="0"/>
    <x v="0"/>
    <x v="0"/>
    <x v="7"/>
    <x v="8"/>
    <n v="11439.226000000001"/>
  </r>
  <r>
    <x v="0"/>
    <x v="0"/>
    <x v="0"/>
    <x v="0"/>
    <x v="0"/>
    <x v="7"/>
    <x v="9"/>
    <n v="11439.226000000001"/>
  </r>
  <r>
    <x v="0"/>
    <x v="0"/>
    <x v="0"/>
    <x v="0"/>
    <x v="0"/>
    <x v="7"/>
    <x v="10"/>
    <n v="11439.226000000001"/>
  </r>
  <r>
    <x v="0"/>
    <x v="0"/>
    <x v="0"/>
    <x v="0"/>
    <x v="0"/>
    <x v="7"/>
    <x v="11"/>
    <n v="11439.226000000001"/>
  </r>
  <r>
    <x v="0"/>
    <x v="0"/>
    <x v="0"/>
    <x v="0"/>
    <x v="0"/>
    <x v="8"/>
    <x v="0"/>
    <n v="11439.226000000001"/>
  </r>
  <r>
    <x v="0"/>
    <x v="0"/>
    <x v="0"/>
    <x v="0"/>
    <x v="0"/>
    <x v="8"/>
    <x v="1"/>
    <n v="11439.226000000001"/>
  </r>
  <r>
    <x v="0"/>
    <x v="0"/>
    <x v="0"/>
    <x v="0"/>
    <x v="0"/>
    <x v="8"/>
    <x v="2"/>
    <n v="11439.226000000001"/>
  </r>
  <r>
    <x v="0"/>
    <x v="0"/>
    <x v="0"/>
    <x v="0"/>
    <x v="0"/>
    <x v="8"/>
    <x v="3"/>
    <n v="11439.226000000001"/>
  </r>
  <r>
    <x v="0"/>
    <x v="0"/>
    <x v="0"/>
    <x v="0"/>
    <x v="0"/>
    <x v="8"/>
    <x v="4"/>
    <n v="11439.226000000001"/>
  </r>
  <r>
    <x v="0"/>
    <x v="0"/>
    <x v="0"/>
    <x v="0"/>
    <x v="0"/>
    <x v="8"/>
    <x v="5"/>
    <n v="11439.226000000001"/>
  </r>
  <r>
    <x v="0"/>
    <x v="0"/>
    <x v="0"/>
    <x v="0"/>
    <x v="0"/>
    <x v="8"/>
    <x v="6"/>
    <n v="11439.226000000001"/>
  </r>
  <r>
    <x v="0"/>
    <x v="0"/>
    <x v="0"/>
    <x v="0"/>
    <x v="0"/>
    <x v="8"/>
    <x v="7"/>
    <n v="11439.226000000001"/>
  </r>
  <r>
    <x v="0"/>
    <x v="0"/>
    <x v="0"/>
    <x v="0"/>
    <x v="0"/>
    <x v="8"/>
    <x v="8"/>
    <n v="11439.226000000001"/>
  </r>
  <r>
    <x v="0"/>
    <x v="0"/>
    <x v="0"/>
    <x v="0"/>
    <x v="0"/>
    <x v="8"/>
    <x v="9"/>
    <n v="11439.226000000001"/>
  </r>
  <r>
    <x v="0"/>
    <x v="0"/>
    <x v="0"/>
    <x v="0"/>
    <x v="0"/>
    <x v="8"/>
    <x v="10"/>
    <n v="11439.226000000001"/>
  </r>
  <r>
    <x v="0"/>
    <x v="0"/>
    <x v="0"/>
    <x v="0"/>
    <x v="0"/>
    <x v="8"/>
    <x v="11"/>
    <n v="11439.226000000001"/>
  </r>
  <r>
    <x v="0"/>
    <x v="0"/>
    <x v="0"/>
    <x v="0"/>
    <x v="0"/>
    <x v="9"/>
    <x v="0"/>
    <n v="11439.226000000001"/>
  </r>
  <r>
    <x v="0"/>
    <x v="0"/>
    <x v="0"/>
    <x v="0"/>
    <x v="0"/>
    <x v="9"/>
    <x v="1"/>
    <n v="11439.226000000001"/>
  </r>
  <r>
    <x v="0"/>
    <x v="0"/>
    <x v="0"/>
    <x v="0"/>
    <x v="0"/>
    <x v="9"/>
    <x v="2"/>
    <n v="11439.226000000001"/>
  </r>
  <r>
    <x v="0"/>
    <x v="0"/>
    <x v="0"/>
    <x v="0"/>
    <x v="0"/>
    <x v="9"/>
    <x v="3"/>
    <n v="11439.226000000001"/>
  </r>
  <r>
    <x v="0"/>
    <x v="0"/>
    <x v="0"/>
    <x v="0"/>
    <x v="0"/>
    <x v="9"/>
    <x v="4"/>
    <n v="11439.226000000001"/>
  </r>
  <r>
    <x v="0"/>
    <x v="0"/>
    <x v="0"/>
    <x v="0"/>
    <x v="0"/>
    <x v="9"/>
    <x v="5"/>
    <n v="11439.226000000001"/>
  </r>
  <r>
    <x v="0"/>
    <x v="0"/>
    <x v="0"/>
    <x v="0"/>
    <x v="0"/>
    <x v="9"/>
    <x v="6"/>
    <n v="11439.226000000001"/>
  </r>
  <r>
    <x v="0"/>
    <x v="0"/>
    <x v="0"/>
    <x v="0"/>
    <x v="0"/>
    <x v="9"/>
    <x v="7"/>
    <n v="11439.226000000001"/>
  </r>
  <r>
    <x v="0"/>
    <x v="0"/>
    <x v="0"/>
    <x v="0"/>
    <x v="0"/>
    <x v="9"/>
    <x v="8"/>
    <n v="11439.226000000001"/>
  </r>
  <r>
    <x v="0"/>
    <x v="0"/>
    <x v="0"/>
    <x v="0"/>
    <x v="0"/>
    <x v="9"/>
    <x v="9"/>
    <n v="11439.226000000001"/>
  </r>
  <r>
    <x v="0"/>
    <x v="0"/>
    <x v="0"/>
    <x v="0"/>
    <x v="0"/>
    <x v="9"/>
    <x v="10"/>
    <n v="11439.226000000001"/>
  </r>
  <r>
    <x v="0"/>
    <x v="0"/>
    <x v="0"/>
    <x v="0"/>
    <x v="0"/>
    <x v="9"/>
    <x v="11"/>
    <n v="11439.226000000001"/>
  </r>
  <r>
    <x v="0"/>
    <x v="0"/>
    <x v="0"/>
    <x v="0"/>
    <x v="0"/>
    <x v="10"/>
    <x v="0"/>
    <n v="11439.226000000001"/>
  </r>
  <r>
    <x v="0"/>
    <x v="0"/>
    <x v="0"/>
    <x v="0"/>
    <x v="0"/>
    <x v="10"/>
    <x v="1"/>
    <n v="11439.226000000001"/>
  </r>
  <r>
    <x v="0"/>
    <x v="0"/>
    <x v="0"/>
    <x v="0"/>
    <x v="0"/>
    <x v="10"/>
    <x v="2"/>
    <n v="11439.226000000001"/>
  </r>
  <r>
    <x v="0"/>
    <x v="0"/>
    <x v="0"/>
    <x v="0"/>
    <x v="0"/>
    <x v="10"/>
    <x v="3"/>
    <n v="11439.226000000001"/>
  </r>
  <r>
    <x v="0"/>
    <x v="0"/>
    <x v="0"/>
    <x v="0"/>
    <x v="0"/>
    <x v="10"/>
    <x v="4"/>
    <n v="11439.226000000001"/>
  </r>
  <r>
    <x v="0"/>
    <x v="0"/>
    <x v="0"/>
    <x v="0"/>
    <x v="0"/>
    <x v="10"/>
    <x v="5"/>
    <n v="11439.226000000001"/>
  </r>
  <r>
    <x v="0"/>
    <x v="0"/>
    <x v="0"/>
    <x v="0"/>
    <x v="0"/>
    <x v="10"/>
    <x v="6"/>
    <n v="11439.226000000001"/>
  </r>
  <r>
    <x v="0"/>
    <x v="0"/>
    <x v="0"/>
    <x v="0"/>
    <x v="0"/>
    <x v="10"/>
    <x v="7"/>
    <n v="11439.226000000001"/>
  </r>
  <r>
    <x v="0"/>
    <x v="0"/>
    <x v="0"/>
    <x v="0"/>
    <x v="0"/>
    <x v="10"/>
    <x v="8"/>
    <n v="11439.226000000001"/>
  </r>
  <r>
    <x v="0"/>
    <x v="0"/>
    <x v="0"/>
    <x v="0"/>
    <x v="0"/>
    <x v="10"/>
    <x v="9"/>
    <n v="11439.226000000001"/>
  </r>
  <r>
    <x v="0"/>
    <x v="0"/>
    <x v="0"/>
    <x v="0"/>
    <x v="0"/>
    <x v="10"/>
    <x v="10"/>
    <n v="11439.226000000001"/>
  </r>
  <r>
    <x v="0"/>
    <x v="0"/>
    <x v="0"/>
    <x v="0"/>
    <x v="0"/>
    <x v="10"/>
    <x v="11"/>
    <n v="11439.226000000001"/>
  </r>
  <r>
    <x v="0"/>
    <x v="0"/>
    <x v="0"/>
    <x v="0"/>
    <x v="0"/>
    <x v="11"/>
    <x v="0"/>
    <n v="11439.226000000001"/>
  </r>
  <r>
    <x v="0"/>
    <x v="0"/>
    <x v="0"/>
    <x v="0"/>
    <x v="0"/>
    <x v="11"/>
    <x v="1"/>
    <n v="11439.226000000001"/>
  </r>
  <r>
    <x v="0"/>
    <x v="0"/>
    <x v="0"/>
    <x v="0"/>
    <x v="0"/>
    <x v="11"/>
    <x v="2"/>
    <n v="11439.226000000001"/>
  </r>
  <r>
    <x v="0"/>
    <x v="0"/>
    <x v="0"/>
    <x v="0"/>
    <x v="0"/>
    <x v="11"/>
    <x v="3"/>
    <n v="11439.226000000001"/>
  </r>
  <r>
    <x v="0"/>
    <x v="0"/>
    <x v="0"/>
    <x v="0"/>
    <x v="0"/>
    <x v="11"/>
    <x v="4"/>
    <n v="11439.226000000001"/>
  </r>
  <r>
    <x v="0"/>
    <x v="0"/>
    <x v="0"/>
    <x v="0"/>
    <x v="0"/>
    <x v="11"/>
    <x v="5"/>
    <n v="11439.226000000001"/>
  </r>
  <r>
    <x v="0"/>
    <x v="0"/>
    <x v="0"/>
    <x v="0"/>
    <x v="0"/>
    <x v="11"/>
    <x v="6"/>
    <n v="11439.226000000001"/>
  </r>
  <r>
    <x v="0"/>
    <x v="0"/>
    <x v="0"/>
    <x v="0"/>
    <x v="0"/>
    <x v="11"/>
    <x v="7"/>
    <n v="11439.226000000001"/>
  </r>
  <r>
    <x v="0"/>
    <x v="0"/>
    <x v="0"/>
    <x v="0"/>
    <x v="0"/>
    <x v="11"/>
    <x v="8"/>
    <n v="11439.226000000001"/>
  </r>
  <r>
    <x v="0"/>
    <x v="0"/>
    <x v="0"/>
    <x v="0"/>
    <x v="0"/>
    <x v="11"/>
    <x v="9"/>
    <n v="11439.226000000001"/>
  </r>
  <r>
    <x v="0"/>
    <x v="0"/>
    <x v="0"/>
    <x v="0"/>
    <x v="0"/>
    <x v="11"/>
    <x v="10"/>
    <n v="11439.226000000001"/>
  </r>
  <r>
    <x v="0"/>
    <x v="0"/>
    <x v="0"/>
    <x v="0"/>
    <x v="0"/>
    <x v="11"/>
    <x v="11"/>
    <n v="11439.226000000001"/>
  </r>
  <r>
    <x v="0"/>
    <x v="0"/>
    <x v="0"/>
    <x v="0"/>
    <x v="1"/>
    <x v="0"/>
    <x v="0"/>
    <n v="11439.226000000001"/>
  </r>
  <r>
    <x v="0"/>
    <x v="0"/>
    <x v="0"/>
    <x v="0"/>
    <x v="1"/>
    <x v="0"/>
    <x v="1"/>
    <n v="11439.226000000001"/>
  </r>
  <r>
    <x v="0"/>
    <x v="0"/>
    <x v="0"/>
    <x v="0"/>
    <x v="1"/>
    <x v="0"/>
    <x v="2"/>
    <n v="11439.226000000001"/>
  </r>
  <r>
    <x v="0"/>
    <x v="0"/>
    <x v="0"/>
    <x v="0"/>
    <x v="1"/>
    <x v="0"/>
    <x v="3"/>
    <n v="11439.226000000001"/>
  </r>
  <r>
    <x v="0"/>
    <x v="0"/>
    <x v="0"/>
    <x v="0"/>
    <x v="1"/>
    <x v="0"/>
    <x v="4"/>
    <n v="11439.226000000001"/>
  </r>
  <r>
    <x v="0"/>
    <x v="0"/>
    <x v="0"/>
    <x v="0"/>
    <x v="1"/>
    <x v="0"/>
    <x v="5"/>
    <n v="11439.226000000001"/>
  </r>
  <r>
    <x v="0"/>
    <x v="0"/>
    <x v="0"/>
    <x v="0"/>
    <x v="1"/>
    <x v="0"/>
    <x v="6"/>
    <n v="11439.226000000001"/>
  </r>
  <r>
    <x v="0"/>
    <x v="0"/>
    <x v="0"/>
    <x v="0"/>
    <x v="1"/>
    <x v="0"/>
    <x v="7"/>
    <n v="11439.226000000001"/>
  </r>
  <r>
    <x v="0"/>
    <x v="0"/>
    <x v="0"/>
    <x v="0"/>
    <x v="1"/>
    <x v="0"/>
    <x v="8"/>
    <n v="11439.226000000001"/>
  </r>
  <r>
    <x v="0"/>
    <x v="0"/>
    <x v="0"/>
    <x v="0"/>
    <x v="1"/>
    <x v="0"/>
    <x v="9"/>
    <n v="11439.226000000001"/>
  </r>
  <r>
    <x v="0"/>
    <x v="0"/>
    <x v="0"/>
    <x v="0"/>
    <x v="1"/>
    <x v="0"/>
    <x v="10"/>
    <n v="11439.226000000001"/>
  </r>
  <r>
    <x v="0"/>
    <x v="0"/>
    <x v="0"/>
    <x v="0"/>
    <x v="1"/>
    <x v="0"/>
    <x v="11"/>
    <n v="11439.226000000001"/>
  </r>
  <r>
    <x v="0"/>
    <x v="0"/>
    <x v="0"/>
    <x v="0"/>
    <x v="1"/>
    <x v="1"/>
    <x v="0"/>
    <n v="11439.226000000001"/>
  </r>
  <r>
    <x v="0"/>
    <x v="0"/>
    <x v="0"/>
    <x v="0"/>
    <x v="1"/>
    <x v="1"/>
    <x v="1"/>
    <n v="11439.226000000001"/>
  </r>
  <r>
    <x v="0"/>
    <x v="0"/>
    <x v="0"/>
    <x v="0"/>
    <x v="1"/>
    <x v="1"/>
    <x v="2"/>
    <n v="11439.226000000001"/>
  </r>
  <r>
    <x v="0"/>
    <x v="0"/>
    <x v="0"/>
    <x v="0"/>
    <x v="1"/>
    <x v="1"/>
    <x v="3"/>
    <n v="11439.226000000001"/>
  </r>
  <r>
    <x v="0"/>
    <x v="0"/>
    <x v="0"/>
    <x v="0"/>
    <x v="1"/>
    <x v="1"/>
    <x v="4"/>
    <n v="11439.226000000001"/>
  </r>
  <r>
    <x v="0"/>
    <x v="0"/>
    <x v="0"/>
    <x v="0"/>
    <x v="1"/>
    <x v="1"/>
    <x v="5"/>
    <n v="11439.226000000001"/>
  </r>
  <r>
    <x v="0"/>
    <x v="0"/>
    <x v="0"/>
    <x v="0"/>
    <x v="1"/>
    <x v="1"/>
    <x v="6"/>
    <n v="11439.226000000001"/>
  </r>
  <r>
    <x v="0"/>
    <x v="0"/>
    <x v="0"/>
    <x v="0"/>
    <x v="1"/>
    <x v="1"/>
    <x v="7"/>
    <n v="11439.226000000001"/>
  </r>
  <r>
    <x v="0"/>
    <x v="0"/>
    <x v="0"/>
    <x v="0"/>
    <x v="1"/>
    <x v="1"/>
    <x v="8"/>
    <n v="11439.226000000001"/>
  </r>
  <r>
    <x v="0"/>
    <x v="0"/>
    <x v="0"/>
    <x v="0"/>
    <x v="1"/>
    <x v="1"/>
    <x v="9"/>
    <n v="11439.226000000001"/>
  </r>
  <r>
    <x v="0"/>
    <x v="0"/>
    <x v="0"/>
    <x v="0"/>
    <x v="1"/>
    <x v="1"/>
    <x v="10"/>
    <n v="11439.226000000001"/>
  </r>
  <r>
    <x v="0"/>
    <x v="0"/>
    <x v="0"/>
    <x v="0"/>
    <x v="1"/>
    <x v="1"/>
    <x v="11"/>
    <n v="11439.226000000001"/>
  </r>
  <r>
    <x v="0"/>
    <x v="0"/>
    <x v="0"/>
    <x v="0"/>
    <x v="1"/>
    <x v="2"/>
    <x v="0"/>
    <n v="11439.226000000001"/>
  </r>
  <r>
    <x v="0"/>
    <x v="0"/>
    <x v="0"/>
    <x v="0"/>
    <x v="1"/>
    <x v="2"/>
    <x v="1"/>
    <n v="11439.226000000001"/>
  </r>
  <r>
    <x v="0"/>
    <x v="0"/>
    <x v="0"/>
    <x v="0"/>
    <x v="1"/>
    <x v="2"/>
    <x v="2"/>
    <n v="11439.226000000001"/>
  </r>
  <r>
    <x v="0"/>
    <x v="0"/>
    <x v="0"/>
    <x v="0"/>
    <x v="1"/>
    <x v="2"/>
    <x v="3"/>
    <n v="11439.226000000001"/>
  </r>
  <r>
    <x v="0"/>
    <x v="0"/>
    <x v="0"/>
    <x v="0"/>
    <x v="1"/>
    <x v="2"/>
    <x v="4"/>
    <n v="11439.226000000001"/>
  </r>
  <r>
    <x v="0"/>
    <x v="0"/>
    <x v="0"/>
    <x v="0"/>
    <x v="1"/>
    <x v="2"/>
    <x v="5"/>
    <n v="11439.226000000001"/>
  </r>
  <r>
    <x v="0"/>
    <x v="0"/>
    <x v="0"/>
    <x v="0"/>
    <x v="1"/>
    <x v="2"/>
    <x v="6"/>
    <n v="11439.226000000001"/>
  </r>
  <r>
    <x v="0"/>
    <x v="0"/>
    <x v="0"/>
    <x v="0"/>
    <x v="1"/>
    <x v="2"/>
    <x v="7"/>
    <n v="11439.226000000001"/>
  </r>
  <r>
    <x v="0"/>
    <x v="0"/>
    <x v="0"/>
    <x v="0"/>
    <x v="1"/>
    <x v="2"/>
    <x v="8"/>
    <n v="11439.226000000001"/>
  </r>
  <r>
    <x v="0"/>
    <x v="0"/>
    <x v="0"/>
    <x v="0"/>
    <x v="1"/>
    <x v="2"/>
    <x v="9"/>
    <n v="11439.226000000001"/>
  </r>
  <r>
    <x v="0"/>
    <x v="0"/>
    <x v="0"/>
    <x v="0"/>
    <x v="1"/>
    <x v="2"/>
    <x v="10"/>
    <n v="11439.226000000001"/>
  </r>
  <r>
    <x v="0"/>
    <x v="0"/>
    <x v="0"/>
    <x v="0"/>
    <x v="1"/>
    <x v="2"/>
    <x v="11"/>
    <n v="11439.226000000001"/>
  </r>
  <r>
    <x v="0"/>
    <x v="0"/>
    <x v="0"/>
    <x v="0"/>
    <x v="1"/>
    <x v="3"/>
    <x v="0"/>
    <n v="11439.226000000001"/>
  </r>
  <r>
    <x v="0"/>
    <x v="0"/>
    <x v="0"/>
    <x v="0"/>
    <x v="1"/>
    <x v="3"/>
    <x v="1"/>
    <n v="11439.226000000001"/>
  </r>
  <r>
    <x v="0"/>
    <x v="0"/>
    <x v="0"/>
    <x v="0"/>
    <x v="1"/>
    <x v="3"/>
    <x v="2"/>
    <n v="11439.226000000001"/>
  </r>
  <r>
    <x v="0"/>
    <x v="0"/>
    <x v="0"/>
    <x v="0"/>
    <x v="1"/>
    <x v="3"/>
    <x v="3"/>
    <n v="11439.226000000001"/>
  </r>
  <r>
    <x v="0"/>
    <x v="0"/>
    <x v="0"/>
    <x v="0"/>
    <x v="1"/>
    <x v="3"/>
    <x v="4"/>
    <n v="11439.226000000001"/>
  </r>
  <r>
    <x v="0"/>
    <x v="0"/>
    <x v="0"/>
    <x v="0"/>
    <x v="1"/>
    <x v="3"/>
    <x v="5"/>
    <n v="11439.226000000001"/>
  </r>
  <r>
    <x v="0"/>
    <x v="0"/>
    <x v="0"/>
    <x v="0"/>
    <x v="1"/>
    <x v="3"/>
    <x v="6"/>
    <n v="11439.226000000001"/>
  </r>
  <r>
    <x v="0"/>
    <x v="0"/>
    <x v="0"/>
    <x v="0"/>
    <x v="1"/>
    <x v="3"/>
    <x v="7"/>
    <n v="11439.226000000001"/>
  </r>
  <r>
    <x v="0"/>
    <x v="0"/>
    <x v="0"/>
    <x v="0"/>
    <x v="1"/>
    <x v="3"/>
    <x v="8"/>
    <n v="11439.226000000001"/>
  </r>
  <r>
    <x v="0"/>
    <x v="0"/>
    <x v="0"/>
    <x v="0"/>
    <x v="1"/>
    <x v="3"/>
    <x v="9"/>
    <n v="11439.226000000001"/>
  </r>
  <r>
    <x v="0"/>
    <x v="0"/>
    <x v="0"/>
    <x v="0"/>
    <x v="1"/>
    <x v="3"/>
    <x v="10"/>
    <n v="11439.226000000001"/>
  </r>
  <r>
    <x v="0"/>
    <x v="0"/>
    <x v="0"/>
    <x v="0"/>
    <x v="1"/>
    <x v="3"/>
    <x v="11"/>
    <n v="11439.226000000001"/>
  </r>
  <r>
    <x v="0"/>
    <x v="0"/>
    <x v="0"/>
    <x v="0"/>
    <x v="1"/>
    <x v="4"/>
    <x v="0"/>
    <n v="11439.226000000001"/>
  </r>
  <r>
    <x v="0"/>
    <x v="0"/>
    <x v="0"/>
    <x v="0"/>
    <x v="1"/>
    <x v="4"/>
    <x v="1"/>
    <n v="11439.226000000001"/>
  </r>
  <r>
    <x v="0"/>
    <x v="0"/>
    <x v="0"/>
    <x v="0"/>
    <x v="1"/>
    <x v="4"/>
    <x v="2"/>
    <n v="11439.226000000001"/>
  </r>
  <r>
    <x v="0"/>
    <x v="0"/>
    <x v="0"/>
    <x v="0"/>
    <x v="1"/>
    <x v="4"/>
    <x v="3"/>
    <n v="11439.226000000001"/>
  </r>
  <r>
    <x v="0"/>
    <x v="0"/>
    <x v="0"/>
    <x v="0"/>
    <x v="1"/>
    <x v="4"/>
    <x v="4"/>
    <n v="11439.226000000001"/>
  </r>
  <r>
    <x v="0"/>
    <x v="0"/>
    <x v="0"/>
    <x v="0"/>
    <x v="1"/>
    <x v="4"/>
    <x v="5"/>
    <n v="11439.226000000001"/>
  </r>
  <r>
    <x v="0"/>
    <x v="0"/>
    <x v="0"/>
    <x v="0"/>
    <x v="1"/>
    <x v="4"/>
    <x v="6"/>
    <n v="11439.226000000001"/>
  </r>
  <r>
    <x v="0"/>
    <x v="0"/>
    <x v="0"/>
    <x v="0"/>
    <x v="1"/>
    <x v="4"/>
    <x v="7"/>
    <n v="11439.226000000001"/>
  </r>
  <r>
    <x v="0"/>
    <x v="0"/>
    <x v="0"/>
    <x v="0"/>
    <x v="1"/>
    <x v="4"/>
    <x v="8"/>
    <n v="11439.226000000001"/>
  </r>
  <r>
    <x v="0"/>
    <x v="0"/>
    <x v="0"/>
    <x v="0"/>
    <x v="1"/>
    <x v="4"/>
    <x v="9"/>
    <n v="11439.226000000001"/>
  </r>
  <r>
    <x v="0"/>
    <x v="0"/>
    <x v="0"/>
    <x v="0"/>
    <x v="1"/>
    <x v="4"/>
    <x v="10"/>
    <n v="11439.226000000001"/>
  </r>
  <r>
    <x v="0"/>
    <x v="0"/>
    <x v="0"/>
    <x v="0"/>
    <x v="1"/>
    <x v="4"/>
    <x v="11"/>
    <n v="11439.226000000001"/>
  </r>
  <r>
    <x v="0"/>
    <x v="0"/>
    <x v="0"/>
    <x v="0"/>
    <x v="1"/>
    <x v="5"/>
    <x v="0"/>
    <n v="11439.226000000001"/>
  </r>
  <r>
    <x v="0"/>
    <x v="0"/>
    <x v="0"/>
    <x v="0"/>
    <x v="1"/>
    <x v="5"/>
    <x v="1"/>
    <n v="11439.226000000001"/>
  </r>
  <r>
    <x v="0"/>
    <x v="0"/>
    <x v="0"/>
    <x v="0"/>
    <x v="1"/>
    <x v="5"/>
    <x v="2"/>
    <n v="11439.226000000001"/>
  </r>
  <r>
    <x v="0"/>
    <x v="0"/>
    <x v="0"/>
    <x v="0"/>
    <x v="1"/>
    <x v="5"/>
    <x v="3"/>
    <n v="11439.226000000001"/>
  </r>
  <r>
    <x v="0"/>
    <x v="0"/>
    <x v="0"/>
    <x v="0"/>
    <x v="1"/>
    <x v="5"/>
    <x v="4"/>
    <n v="11439.226000000001"/>
  </r>
  <r>
    <x v="0"/>
    <x v="0"/>
    <x v="0"/>
    <x v="0"/>
    <x v="1"/>
    <x v="5"/>
    <x v="5"/>
    <n v="11439.226000000001"/>
  </r>
  <r>
    <x v="0"/>
    <x v="0"/>
    <x v="0"/>
    <x v="0"/>
    <x v="1"/>
    <x v="5"/>
    <x v="6"/>
    <n v="11439.226000000001"/>
  </r>
  <r>
    <x v="0"/>
    <x v="0"/>
    <x v="0"/>
    <x v="0"/>
    <x v="1"/>
    <x v="5"/>
    <x v="7"/>
    <n v="11439.226000000001"/>
  </r>
  <r>
    <x v="0"/>
    <x v="0"/>
    <x v="0"/>
    <x v="0"/>
    <x v="1"/>
    <x v="5"/>
    <x v="8"/>
    <n v="11439.226000000001"/>
  </r>
  <r>
    <x v="0"/>
    <x v="0"/>
    <x v="0"/>
    <x v="0"/>
    <x v="1"/>
    <x v="5"/>
    <x v="9"/>
    <n v="11439.226000000001"/>
  </r>
  <r>
    <x v="0"/>
    <x v="0"/>
    <x v="0"/>
    <x v="0"/>
    <x v="1"/>
    <x v="5"/>
    <x v="10"/>
    <n v="11439.226000000001"/>
  </r>
  <r>
    <x v="0"/>
    <x v="0"/>
    <x v="0"/>
    <x v="0"/>
    <x v="1"/>
    <x v="5"/>
    <x v="11"/>
    <n v="11439.226000000001"/>
  </r>
  <r>
    <x v="0"/>
    <x v="0"/>
    <x v="0"/>
    <x v="0"/>
    <x v="1"/>
    <x v="6"/>
    <x v="0"/>
    <n v="11439.226000000001"/>
  </r>
  <r>
    <x v="0"/>
    <x v="0"/>
    <x v="0"/>
    <x v="0"/>
    <x v="1"/>
    <x v="6"/>
    <x v="1"/>
    <n v="11439.226000000001"/>
  </r>
  <r>
    <x v="0"/>
    <x v="0"/>
    <x v="0"/>
    <x v="0"/>
    <x v="1"/>
    <x v="6"/>
    <x v="2"/>
    <n v="11439.226000000001"/>
  </r>
  <r>
    <x v="0"/>
    <x v="0"/>
    <x v="0"/>
    <x v="0"/>
    <x v="1"/>
    <x v="6"/>
    <x v="3"/>
    <n v="11439.226000000001"/>
  </r>
  <r>
    <x v="0"/>
    <x v="0"/>
    <x v="0"/>
    <x v="0"/>
    <x v="1"/>
    <x v="6"/>
    <x v="4"/>
    <n v="11439.226000000001"/>
  </r>
  <r>
    <x v="0"/>
    <x v="0"/>
    <x v="0"/>
    <x v="0"/>
    <x v="1"/>
    <x v="6"/>
    <x v="5"/>
    <n v="11439.226000000001"/>
  </r>
  <r>
    <x v="0"/>
    <x v="0"/>
    <x v="0"/>
    <x v="0"/>
    <x v="1"/>
    <x v="6"/>
    <x v="6"/>
    <n v="11439.226000000001"/>
  </r>
  <r>
    <x v="0"/>
    <x v="0"/>
    <x v="0"/>
    <x v="0"/>
    <x v="1"/>
    <x v="6"/>
    <x v="7"/>
    <n v="11439.226000000001"/>
  </r>
  <r>
    <x v="0"/>
    <x v="0"/>
    <x v="0"/>
    <x v="0"/>
    <x v="1"/>
    <x v="6"/>
    <x v="8"/>
    <n v="11439.226000000001"/>
  </r>
  <r>
    <x v="0"/>
    <x v="0"/>
    <x v="0"/>
    <x v="0"/>
    <x v="1"/>
    <x v="6"/>
    <x v="9"/>
    <n v="11439.226000000001"/>
  </r>
  <r>
    <x v="0"/>
    <x v="0"/>
    <x v="0"/>
    <x v="0"/>
    <x v="1"/>
    <x v="6"/>
    <x v="10"/>
    <n v="11439.226000000001"/>
  </r>
  <r>
    <x v="0"/>
    <x v="0"/>
    <x v="0"/>
    <x v="0"/>
    <x v="1"/>
    <x v="6"/>
    <x v="11"/>
    <n v="11439.226000000001"/>
  </r>
  <r>
    <x v="0"/>
    <x v="0"/>
    <x v="0"/>
    <x v="0"/>
    <x v="1"/>
    <x v="7"/>
    <x v="0"/>
    <n v="11439.226000000001"/>
  </r>
  <r>
    <x v="0"/>
    <x v="0"/>
    <x v="0"/>
    <x v="0"/>
    <x v="1"/>
    <x v="7"/>
    <x v="1"/>
    <n v="11439.226000000001"/>
  </r>
  <r>
    <x v="0"/>
    <x v="0"/>
    <x v="0"/>
    <x v="0"/>
    <x v="1"/>
    <x v="7"/>
    <x v="2"/>
    <n v="11439.226000000001"/>
  </r>
  <r>
    <x v="0"/>
    <x v="0"/>
    <x v="0"/>
    <x v="0"/>
    <x v="1"/>
    <x v="7"/>
    <x v="3"/>
    <n v="11439.226000000001"/>
  </r>
  <r>
    <x v="0"/>
    <x v="0"/>
    <x v="0"/>
    <x v="0"/>
    <x v="1"/>
    <x v="7"/>
    <x v="4"/>
    <n v="11439.226000000001"/>
  </r>
  <r>
    <x v="0"/>
    <x v="0"/>
    <x v="0"/>
    <x v="0"/>
    <x v="1"/>
    <x v="7"/>
    <x v="5"/>
    <n v="11439.226000000001"/>
  </r>
  <r>
    <x v="0"/>
    <x v="0"/>
    <x v="0"/>
    <x v="0"/>
    <x v="1"/>
    <x v="7"/>
    <x v="6"/>
    <n v="11439.226000000001"/>
  </r>
  <r>
    <x v="0"/>
    <x v="0"/>
    <x v="0"/>
    <x v="0"/>
    <x v="1"/>
    <x v="7"/>
    <x v="7"/>
    <n v="11439.226000000001"/>
  </r>
  <r>
    <x v="0"/>
    <x v="0"/>
    <x v="0"/>
    <x v="0"/>
    <x v="1"/>
    <x v="7"/>
    <x v="8"/>
    <n v="11439.226000000001"/>
  </r>
  <r>
    <x v="0"/>
    <x v="0"/>
    <x v="0"/>
    <x v="0"/>
    <x v="1"/>
    <x v="7"/>
    <x v="9"/>
    <n v="11439.226000000001"/>
  </r>
  <r>
    <x v="0"/>
    <x v="0"/>
    <x v="0"/>
    <x v="0"/>
    <x v="1"/>
    <x v="7"/>
    <x v="10"/>
    <n v="11439.226000000001"/>
  </r>
  <r>
    <x v="0"/>
    <x v="0"/>
    <x v="0"/>
    <x v="0"/>
    <x v="1"/>
    <x v="7"/>
    <x v="11"/>
    <n v="11439.226000000001"/>
  </r>
  <r>
    <x v="0"/>
    <x v="0"/>
    <x v="0"/>
    <x v="0"/>
    <x v="1"/>
    <x v="8"/>
    <x v="0"/>
    <n v="11439.226000000001"/>
  </r>
  <r>
    <x v="0"/>
    <x v="0"/>
    <x v="0"/>
    <x v="0"/>
    <x v="1"/>
    <x v="8"/>
    <x v="1"/>
    <n v="11439.226000000001"/>
  </r>
  <r>
    <x v="0"/>
    <x v="0"/>
    <x v="0"/>
    <x v="0"/>
    <x v="1"/>
    <x v="8"/>
    <x v="2"/>
    <n v="11439.226000000001"/>
  </r>
  <r>
    <x v="0"/>
    <x v="0"/>
    <x v="0"/>
    <x v="0"/>
    <x v="1"/>
    <x v="8"/>
    <x v="3"/>
    <n v="11439.226000000001"/>
  </r>
  <r>
    <x v="0"/>
    <x v="0"/>
    <x v="0"/>
    <x v="0"/>
    <x v="1"/>
    <x v="8"/>
    <x v="4"/>
    <n v="11439.226000000001"/>
  </r>
  <r>
    <x v="0"/>
    <x v="0"/>
    <x v="0"/>
    <x v="0"/>
    <x v="1"/>
    <x v="8"/>
    <x v="5"/>
    <n v="11439.226000000001"/>
  </r>
  <r>
    <x v="0"/>
    <x v="0"/>
    <x v="0"/>
    <x v="0"/>
    <x v="1"/>
    <x v="8"/>
    <x v="6"/>
    <n v="11439.226000000001"/>
  </r>
  <r>
    <x v="0"/>
    <x v="0"/>
    <x v="0"/>
    <x v="0"/>
    <x v="1"/>
    <x v="8"/>
    <x v="7"/>
    <n v="11439.226000000001"/>
  </r>
  <r>
    <x v="0"/>
    <x v="0"/>
    <x v="0"/>
    <x v="0"/>
    <x v="1"/>
    <x v="8"/>
    <x v="8"/>
    <n v="11439.226000000001"/>
  </r>
  <r>
    <x v="0"/>
    <x v="0"/>
    <x v="0"/>
    <x v="0"/>
    <x v="1"/>
    <x v="8"/>
    <x v="9"/>
    <n v="11439.226000000001"/>
  </r>
  <r>
    <x v="0"/>
    <x v="0"/>
    <x v="0"/>
    <x v="0"/>
    <x v="1"/>
    <x v="8"/>
    <x v="10"/>
    <n v="11439.226000000001"/>
  </r>
  <r>
    <x v="0"/>
    <x v="0"/>
    <x v="0"/>
    <x v="0"/>
    <x v="1"/>
    <x v="8"/>
    <x v="11"/>
    <n v="11439.226000000001"/>
  </r>
  <r>
    <x v="0"/>
    <x v="0"/>
    <x v="0"/>
    <x v="0"/>
    <x v="1"/>
    <x v="9"/>
    <x v="0"/>
    <n v="11439.226000000001"/>
  </r>
  <r>
    <x v="0"/>
    <x v="0"/>
    <x v="0"/>
    <x v="0"/>
    <x v="1"/>
    <x v="9"/>
    <x v="1"/>
    <n v="11439.226000000001"/>
  </r>
  <r>
    <x v="0"/>
    <x v="0"/>
    <x v="0"/>
    <x v="0"/>
    <x v="1"/>
    <x v="9"/>
    <x v="2"/>
    <n v="11439.226000000001"/>
  </r>
  <r>
    <x v="0"/>
    <x v="0"/>
    <x v="0"/>
    <x v="0"/>
    <x v="1"/>
    <x v="9"/>
    <x v="3"/>
    <n v="11439.226000000001"/>
  </r>
  <r>
    <x v="0"/>
    <x v="0"/>
    <x v="0"/>
    <x v="0"/>
    <x v="1"/>
    <x v="9"/>
    <x v="4"/>
    <n v="11439.226000000001"/>
  </r>
  <r>
    <x v="0"/>
    <x v="0"/>
    <x v="0"/>
    <x v="0"/>
    <x v="1"/>
    <x v="9"/>
    <x v="5"/>
    <n v="11439.226000000001"/>
  </r>
  <r>
    <x v="0"/>
    <x v="0"/>
    <x v="0"/>
    <x v="0"/>
    <x v="1"/>
    <x v="9"/>
    <x v="6"/>
    <n v="11439.226000000001"/>
  </r>
  <r>
    <x v="0"/>
    <x v="0"/>
    <x v="0"/>
    <x v="0"/>
    <x v="1"/>
    <x v="9"/>
    <x v="7"/>
    <n v="11439.226000000001"/>
  </r>
  <r>
    <x v="0"/>
    <x v="0"/>
    <x v="0"/>
    <x v="0"/>
    <x v="1"/>
    <x v="9"/>
    <x v="8"/>
    <n v="11439.226000000001"/>
  </r>
  <r>
    <x v="0"/>
    <x v="0"/>
    <x v="0"/>
    <x v="0"/>
    <x v="1"/>
    <x v="9"/>
    <x v="9"/>
    <n v="11439.226000000001"/>
  </r>
  <r>
    <x v="0"/>
    <x v="0"/>
    <x v="0"/>
    <x v="0"/>
    <x v="1"/>
    <x v="9"/>
    <x v="10"/>
    <n v="11439.226000000001"/>
  </r>
  <r>
    <x v="0"/>
    <x v="0"/>
    <x v="0"/>
    <x v="0"/>
    <x v="1"/>
    <x v="9"/>
    <x v="11"/>
    <n v="11439.226000000001"/>
  </r>
  <r>
    <x v="0"/>
    <x v="0"/>
    <x v="0"/>
    <x v="0"/>
    <x v="1"/>
    <x v="10"/>
    <x v="0"/>
    <n v="11439.226000000001"/>
  </r>
  <r>
    <x v="0"/>
    <x v="0"/>
    <x v="0"/>
    <x v="0"/>
    <x v="1"/>
    <x v="10"/>
    <x v="1"/>
    <n v="11439.226000000001"/>
  </r>
  <r>
    <x v="0"/>
    <x v="0"/>
    <x v="0"/>
    <x v="0"/>
    <x v="1"/>
    <x v="10"/>
    <x v="2"/>
    <n v="11439.226000000001"/>
  </r>
  <r>
    <x v="0"/>
    <x v="0"/>
    <x v="0"/>
    <x v="0"/>
    <x v="1"/>
    <x v="10"/>
    <x v="3"/>
    <n v="11439.226000000001"/>
  </r>
  <r>
    <x v="0"/>
    <x v="0"/>
    <x v="0"/>
    <x v="0"/>
    <x v="1"/>
    <x v="10"/>
    <x v="4"/>
    <n v="11439.226000000001"/>
  </r>
  <r>
    <x v="0"/>
    <x v="0"/>
    <x v="0"/>
    <x v="0"/>
    <x v="1"/>
    <x v="10"/>
    <x v="5"/>
    <n v="11439.226000000001"/>
  </r>
  <r>
    <x v="0"/>
    <x v="0"/>
    <x v="0"/>
    <x v="0"/>
    <x v="1"/>
    <x v="10"/>
    <x v="6"/>
    <n v="11439.226000000001"/>
  </r>
  <r>
    <x v="0"/>
    <x v="0"/>
    <x v="0"/>
    <x v="0"/>
    <x v="1"/>
    <x v="10"/>
    <x v="7"/>
    <n v="11439.226000000001"/>
  </r>
  <r>
    <x v="0"/>
    <x v="0"/>
    <x v="0"/>
    <x v="0"/>
    <x v="1"/>
    <x v="10"/>
    <x v="8"/>
    <n v="11439.226000000001"/>
  </r>
  <r>
    <x v="0"/>
    <x v="0"/>
    <x v="0"/>
    <x v="0"/>
    <x v="1"/>
    <x v="10"/>
    <x v="9"/>
    <n v="11439.226000000001"/>
  </r>
  <r>
    <x v="0"/>
    <x v="0"/>
    <x v="0"/>
    <x v="0"/>
    <x v="1"/>
    <x v="10"/>
    <x v="10"/>
    <n v="11439.226000000001"/>
  </r>
  <r>
    <x v="0"/>
    <x v="0"/>
    <x v="0"/>
    <x v="0"/>
    <x v="1"/>
    <x v="10"/>
    <x v="11"/>
    <n v="11439.226000000001"/>
  </r>
  <r>
    <x v="0"/>
    <x v="0"/>
    <x v="0"/>
    <x v="0"/>
    <x v="1"/>
    <x v="11"/>
    <x v="0"/>
    <n v="11439.226000000001"/>
  </r>
  <r>
    <x v="0"/>
    <x v="0"/>
    <x v="0"/>
    <x v="0"/>
    <x v="1"/>
    <x v="11"/>
    <x v="1"/>
    <n v="11439.226000000001"/>
  </r>
  <r>
    <x v="0"/>
    <x v="0"/>
    <x v="0"/>
    <x v="0"/>
    <x v="1"/>
    <x v="11"/>
    <x v="2"/>
    <n v="11439.226000000001"/>
  </r>
  <r>
    <x v="0"/>
    <x v="0"/>
    <x v="0"/>
    <x v="0"/>
    <x v="1"/>
    <x v="11"/>
    <x v="3"/>
    <n v="11439.226000000001"/>
  </r>
  <r>
    <x v="0"/>
    <x v="0"/>
    <x v="0"/>
    <x v="0"/>
    <x v="1"/>
    <x v="11"/>
    <x v="4"/>
    <n v="11439.226000000001"/>
  </r>
  <r>
    <x v="0"/>
    <x v="0"/>
    <x v="0"/>
    <x v="0"/>
    <x v="1"/>
    <x v="11"/>
    <x v="5"/>
    <n v="11439.226000000001"/>
  </r>
  <r>
    <x v="0"/>
    <x v="0"/>
    <x v="0"/>
    <x v="0"/>
    <x v="1"/>
    <x v="11"/>
    <x v="6"/>
    <n v="11439.226000000001"/>
  </r>
  <r>
    <x v="0"/>
    <x v="0"/>
    <x v="0"/>
    <x v="0"/>
    <x v="1"/>
    <x v="11"/>
    <x v="7"/>
    <n v="11439.226000000001"/>
  </r>
  <r>
    <x v="0"/>
    <x v="0"/>
    <x v="0"/>
    <x v="0"/>
    <x v="1"/>
    <x v="11"/>
    <x v="8"/>
    <n v="11439.226000000001"/>
  </r>
  <r>
    <x v="0"/>
    <x v="0"/>
    <x v="0"/>
    <x v="0"/>
    <x v="1"/>
    <x v="11"/>
    <x v="9"/>
    <n v="11439.226000000001"/>
  </r>
  <r>
    <x v="0"/>
    <x v="0"/>
    <x v="0"/>
    <x v="0"/>
    <x v="1"/>
    <x v="11"/>
    <x v="10"/>
    <n v="11439.226000000001"/>
  </r>
  <r>
    <x v="0"/>
    <x v="0"/>
    <x v="0"/>
    <x v="0"/>
    <x v="1"/>
    <x v="11"/>
    <x v="11"/>
    <n v="11439.226000000001"/>
  </r>
  <r>
    <x v="0"/>
    <x v="0"/>
    <x v="0"/>
    <x v="0"/>
    <x v="2"/>
    <x v="0"/>
    <x v="0"/>
    <n v="55506.098565517197"/>
  </r>
  <r>
    <x v="0"/>
    <x v="0"/>
    <x v="0"/>
    <x v="0"/>
    <x v="2"/>
    <x v="0"/>
    <x v="1"/>
    <n v="55506.098565517197"/>
  </r>
  <r>
    <x v="0"/>
    <x v="0"/>
    <x v="0"/>
    <x v="0"/>
    <x v="2"/>
    <x v="0"/>
    <x v="2"/>
    <n v="55506.098565517197"/>
  </r>
  <r>
    <x v="0"/>
    <x v="0"/>
    <x v="0"/>
    <x v="0"/>
    <x v="2"/>
    <x v="0"/>
    <x v="3"/>
    <n v="55506.098565517197"/>
  </r>
  <r>
    <x v="0"/>
    <x v="0"/>
    <x v="0"/>
    <x v="0"/>
    <x v="2"/>
    <x v="0"/>
    <x v="4"/>
    <n v="55506.098565517197"/>
  </r>
  <r>
    <x v="0"/>
    <x v="0"/>
    <x v="0"/>
    <x v="0"/>
    <x v="2"/>
    <x v="0"/>
    <x v="5"/>
    <n v="55506.098565517197"/>
  </r>
  <r>
    <x v="0"/>
    <x v="0"/>
    <x v="0"/>
    <x v="0"/>
    <x v="2"/>
    <x v="0"/>
    <x v="6"/>
    <n v="55506.098565517197"/>
  </r>
  <r>
    <x v="0"/>
    <x v="0"/>
    <x v="0"/>
    <x v="0"/>
    <x v="2"/>
    <x v="0"/>
    <x v="7"/>
    <n v="55506.098565517197"/>
  </r>
  <r>
    <x v="0"/>
    <x v="0"/>
    <x v="0"/>
    <x v="0"/>
    <x v="2"/>
    <x v="0"/>
    <x v="8"/>
    <n v="55506.098565517197"/>
  </r>
  <r>
    <x v="0"/>
    <x v="0"/>
    <x v="0"/>
    <x v="0"/>
    <x v="2"/>
    <x v="0"/>
    <x v="9"/>
    <n v="55506.098565517197"/>
  </r>
  <r>
    <x v="0"/>
    <x v="0"/>
    <x v="0"/>
    <x v="0"/>
    <x v="2"/>
    <x v="0"/>
    <x v="10"/>
    <n v="55506.098565517197"/>
  </r>
  <r>
    <x v="0"/>
    <x v="0"/>
    <x v="0"/>
    <x v="0"/>
    <x v="2"/>
    <x v="0"/>
    <x v="11"/>
    <n v="55506.098565517197"/>
  </r>
  <r>
    <x v="0"/>
    <x v="0"/>
    <x v="0"/>
    <x v="0"/>
    <x v="2"/>
    <x v="1"/>
    <x v="0"/>
    <n v="55506.098565517197"/>
  </r>
  <r>
    <x v="0"/>
    <x v="0"/>
    <x v="0"/>
    <x v="0"/>
    <x v="2"/>
    <x v="1"/>
    <x v="1"/>
    <n v="55506.098565517197"/>
  </r>
  <r>
    <x v="0"/>
    <x v="0"/>
    <x v="0"/>
    <x v="0"/>
    <x v="2"/>
    <x v="1"/>
    <x v="2"/>
    <n v="55506.098565517197"/>
  </r>
  <r>
    <x v="0"/>
    <x v="0"/>
    <x v="0"/>
    <x v="0"/>
    <x v="2"/>
    <x v="1"/>
    <x v="3"/>
    <n v="55506.098565517197"/>
  </r>
  <r>
    <x v="0"/>
    <x v="0"/>
    <x v="0"/>
    <x v="0"/>
    <x v="2"/>
    <x v="1"/>
    <x v="4"/>
    <n v="55506.098565517197"/>
  </r>
  <r>
    <x v="0"/>
    <x v="0"/>
    <x v="0"/>
    <x v="0"/>
    <x v="2"/>
    <x v="1"/>
    <x v="5"/>
    <n v="55506.098565517197"/>
  </r>
  <r>
    <x v="0"/>
    <x v="0"/>
    <x v="0"/>
    <x v="0"/>
    <x v="2"/>
    <x v="1"/>
    <x v="6"/>
    <n v="55506.098565517197"/>
  </r>
  <r>
    <x v="0"/>
    <x v="0"/>
    <x v="0"/>
    <x v="0"/>
    <x v="2"/>
    <x v="1"/>
    <x v="7"/>
    <n v="55506.098565517197"/>
  </r>
  <r>
    <x v="0"/>
    <x v="0"/>
    <x v="0"/>
    <x v="0"/>
    <x v="2"/>
    <x v="1"/>
    <x v="8"/>
    <n v="55506.098565517197"/>
  </r>
  <r>
    <x v="0"/>
    <x v="0"/>
    <x v="0"/>
    <x v="0"/>
    <x v="2"/>
    <x v="1"/>
    <x v="9"/>
    <n v="55506.098565517197"/>
  </r>
  <r>
    <x v="0"/>
    <x v="0"/>
    <x v="0"/>
    <x v="0"/>
    <x v="2"/>
    <x v="1"/>
    <x v="10"/>
    <n v="55506.098565517197"/>
  </r>
  <r>
    <x v="0"/>
    <x v="0"/>
    <x v="0"/>
    <x v="0"/>
    <x v="2"/>
    <x v="1"/>
    <x v="11"/>
    <n v="55506.098565517197"/>
  </r>
  <r>
    <x v="0"/>
    <x v="0"/>
    <x v="0"/>
    <x v="0"/>
    <x v="2"/>
    <x v="2"/>
    <x v="0"/>
    <n v="55506.098565517197"/>
  </r>
  <r>
    <x v="0"/>
    <x v="0"/>
    <x v="0"/>
    <x v="0"/>
    <x v="2"/>
    <x v="2"/>
    <x v="1"/>
    <n v="55506.098565517197"/>
  </r>
  <r>
    <x v="0"/>
    <x v="0"/>
    <x v="0"/>
    <x v="0"/>
    <x v="2"/>
    <x v="2"/>
    <x v="2"/>
    <n v="55506.098565517197"/>
  </r>
  <r>
    <x v="0"/>
    <x v="0"/>
    <x v="0"/>
    <x v="0"/>
    <x v="2"/>
    <x v="2"/>
    <x v="3"/>
    <n v="55506.098565517197"/>
  </r>
  <r>
    <x v="0"/>
    <x v="0"/>
    <x v="0"/>
    <x v="0"/>
    <x v="2"/>
    <x v="2"/>
    <x v="4"/>
    <n v="55506.098565517197"/>
  </r>
  <r>
    <x v="0"/>
    <x v="0"/>
    <x v="0"/>
    <x v="0"/>
    <x v="2"/>
    <x v="2"/>
    <x v="5"/>
    <n v="55506.098565517197"/>
  </r>
  <r>
    <x v="0"/>
    <x v="0"/>
    <x v="0"/>
    <x v="0"/>
    <x v="2"/>
    <x v="2"/>
    <x v="6"/>
    <n v="55506.098565517197"/>
  </r>
  <r>
    <x v="0"/>
    <x v="0"/>
    <x v="0"/>
    <x v="0"/>
    <x v="2"/>
    <x v="2"/>
    <x v="7"/>
    <n v="55506.098565517197"/>
  </r>
  <r>
    <x v="0"/>
    <x v="0"/>
    <x v="0"/>
    <x v="0"/>
    <x v="2"/>
    <x v="2"/>
    <x v="8"/>
    <n v="55506.098565517197"/>
  </r>
  <r>
    <x v="0"/>
    <x v="0"/>
    <x v="0"/>
    <x v="0"/>
    <x v="2"/>
    <x v="2"/>
    <x v="9"/>
    <n v="55506.098565517197"/>
  </r>
  <r>
    <x v="0"/>
    <x v="0"/>
    <x v="0"/>
    <x v="0"/>
    <x v="2"/>
    <x v="2"/>
    <x v="10"/>
    <n v="55506.098565517197"/>
  </r>
  <r>
    <x v="0"/>
    <x v="0"/>
    <x v="0"/>
    <x v="0"/>
    <x v="2"/>
    <x v="2"/>
    <x v="11"/>
    <n v="55506.098565517197"/>
  </r>
  <r>
    <x v="0"/>
    <x v="0"/>
    <x v="0"/>
    <x v="0"/>
    <x v="2"/>
    <x v="3"/>
    <x v="0"/>
    <n v="55506.098565517197"/>
  </r>
  <r>
    <x v="0"/>
    <x v="0"/>
    <x v="0"/>
    <x v="0"/>
    <x v="2"/>
    <x v="3"/>
    <x v="1"/>
    <n v="55506.098565517197"/>
  </r>
  <r>
    <x v="0"/>
    <x v="0"/>
    <x v="0"/>
    <x v="0"/>
    <x v="2"/>
    <x v="3"/>
    <x v="2"/>
    <n v="55506.098565517197"/>
  </r>
  <r>
    <x v="0"/>
    <x v="0"/>
    <x v="0"/>
    <x v="0"/>
    <x v="2"/>
    <x v="3"/>
    <x v="3"/>
    <n v="55506.098565517197"/>
  </r>
  <r>
    <x v="0"/>
    <x v="0"/>
    <x v="0"/>
    <x v="0"/>
    <x v="2"/>
    <x v="3"/>
    <x v="4"/>
    <n v="55506.098565517197"/>
  </r>
  <r>
    <x v="0"/>
    <x v="0"/>
    <x v="0"/>
    <x v="0"/>
    <x v="2"/>
    <x v="3"/>
    <x v="5"/>
    <n v="55506.098565517197"/>
  </r>
  <r>
    <x v="0"/>
    <x v="0"/>
    <x v="0"/>
    <x v="0"/>
    <x v="2"/>
    <x v="3"/>
    <x v="6"/>
    <n v="55506.098565517197"/>
  </r>
  <r>
    <x v="0"/>
    <x v="0"/>
    <x v="0"/>
    <x v="0"/>
    <x v="2"/>
    <x v="3"/>
    <x v="7"/>
    <n v="55506.098565517197"/>
  </r>
  <r>
    <x v="0"/>
    <x v="0"/>
    <x v="0"/>
    <x v="0"/>
    <x v="2"/>
    <x v="3"/>
    <x v="8"/>
    <n v="55506.098565517197"/>
  </r>
  <r>
    <x v="0"/>
    <x v="0"/>
    <x v="0"/>
    <x v="0"/>
    <x v="2"/>
    <x v="3"/>
    <x v="9"/>
    <n v="55506.098565517197"/>
  </r>
  <r>
    <x v="0"/>
    <x v="0"/>
    <x v="0"/>
    <x v="0"/>
    <x v="2"/>
    <x v="3"/>
    <x v="10"/>
    <n v="55506.098565517197"/>
  </r>
  <r>
    <x v="0"/>
    <x v="0"/>
    <x v="0"/>
    <x v="0"/>
    <x v="2"/>
    <x v="3"/>
    <x v="11"/>
    <n v="55506.098565517197"/>
  </r>
  <r>
    <x v="0"/>
    <x v="0"/>
    <x v="0"/>
    <x v="0"/>
    <x v="2"/>
    <x v="4"/>
    <x v="0"/>
    <n v="55506.098565517197"/>
  </r>
  <r>
    <x v="0"/>
    <x v="0"/>
    <x v="0"/>
    <x v="0"/>
    <x v="2"/>
    <x v="4"/>
    <x v="1"/>
    <n v="55506.098565517197"/>
  </r>
  <r>
    <x v="0"/>
    <x v="0"/>
    <x v="0"/>
    <x v="0"/>
    <x v="2"/>
    <x v="4"/>
    <x v="2"/>
    <n v="55506.098565517197"/>
  </r>
  <r>
    <x v="0"/>
    <x v="0"/>
    <x v="0"/>
    <x v="0"/>
    <x v="2"/>
    <x v="4"/>
    <x v="3"/>
    <n v="55506.098565517197"/>
  </r>
  <r>
    <x v="0"/>
    <x v="0"/>
    <x v="0"/>
    <x v="0"/>
    <x v="2"/>
    <x v="4"/>
    <x v="4"/>
    <n v="55506.098565517197"/>
  </r>
  <r>
    <x v="0"/>
    <x v="0"/>
    <x v="0"/>
    <x v="0"/>
    <x v="2"/>
    <x v="4"/>
    <x v="5"/>
    <n v="55506.098565517197"/>
  </r>
  <r>
    <x v="0"/>
    <x v="0"/>
    <x v="0"/>
    <x v="0"/>
    <x v="2"/>
    <x v="4"/>
    <x v="6"/>
    <n v="55506.098565517197"/>
  </r>
  <r>
    <x v="0"/>
    <x v="0"/>
    <x v="0"/>
    <x v="0"/>
    <x v="2"/>
    <x v="4"/>
    <x v="7"/>
    <n v="55506.098565517197"/>
  </r>
  <r>
    <x v="0"/>
    <x v="0"/>
    <x v="0"/>
    <x v="0"/>
    <x v="2"/>
    <x v="4"/>
    <x v="8"/>
    <n v="55506.098565517197"/>
  </r>
  <r>
    <x v="0"/>
    <x v="0"/>
    <x v="0"/>
    <x v="0"/>
    <x v="2"/>
    <x v="4"/>
    <x v="9"/>
    <n v="55506.098565517197"/>
  </r>
  <r>
    <x v="0"/>
    <x v="0"/>
    <x v="0"/>
    <x v="0"/>
    <x v="2"/>
    <x v="4"/>
    <x v="10"/>
    <n v="55506.098565517197"/>
  </r>
  <r>
    <x v="0"/>
    <x v="0"/>
    <x v="0"/>
    <x v="0"/>
    <x v="2"/>
    <x v="4"/>
    <x v="11"/>
    <n v="55506.098565517197"/>
  </r>
  <r>
    <x v="0"/>
    <x v="0"/>
    <x v="0"/>
    <x v="0"/>
    <x v="2"/>
    <x v="5"/>
    <x v="0"/>
    <n v="55506.098565517197"/>
  </r>
  <r>
    <x v="0"/>
    <x v="0"/>
    <x v="0"/>
    <x v="0"/>
    <x v="2"/>
    <x v="5"/>
    <x v="1"/>
    <n v="55506.098565517197"/>
  </r>
  <r>
    <x v="0"/>
    <x v="0"/>
    <x v="0"/>
    <x v="0"/>
    <x v="2"/>
    <x v="5"/>
    <x v="2"/>
    <n v="55506.098565517197"/>
  </r>
  <r>
    <x v="0"/>
    <x v="0"/>
    <x v="0"/>
    <x v="0"/>
    <x v="2"/>
    <x v="5"/>
    <x v="3"/>
    <n v="55506.098565517197"/>
  </r>
  <r>
    <x v="0"/>
    <x v="0"/>
    <x v="0"/>
    <x v="0"/>
    <x v="2"/>
    <x v="5"/>
    <x v="4"/>
    <n v="55506.098565517197"/>
  </r>
  <r>
    <x v="0"/>
    <x v="0"/>
    <x v="0"/>
    <x v="0"/>
    <x v="2"/>
    <x v="5"/>
    <x v="5"/>
    <n v="55506.098565517197"/>
  </r>
  <r>
    <x v="0"/>
    <x v="0"/>
    <x v="0"/>
    <x v="0"/>
    <x v="2"/>
    <x v="5"/>
    <x v="6"/>
    <n v="55506.098565517197"/>
  </r>
  <r>
    <x v="0"/>
    <x v="0"/>
    <x v="0"/>
    <x v="0"/>
    <x v="2"/>
    <x v="5"/>
    <x v="7"/>
    <n v="55506.098565517197"/>
  </r>
  <r>
    <x v="0"/>
    <x v="0"/>
    <x v="0"/>
    <x v="0"/>
    <x v="2"/>
    <x v="5"/>
    <x v="8"/>
    <n v="55506.098565517197"/>
  </r>
  <r>
    <x v="0"/>
    <x v="0"/>
    <x v="0"/>
    <x v="0"/>
    <x v="2"/>
    <x v="5"/>
    <x v="9"/>
    <n v="55506.098565517197"/>
  </r>
  <r>
    <x v="0"/>
    <x v="0"/>
    <x v="0"/>
    <x v="0"/>
    <x v="2"/>
    <x v="5"/>
    <x v="10"/>
    <n v="55506.098565517197"/>
  </r>
  <r>
    <x v="0"/>
    <x v="0"/>
    <x v="0"/>
    <x v="0"/>
    <x v="2"/>
    <x v="5"/>
    <x v="11"/>
    <n v="55506.098565517197"/>
  </r>
  <r>
    <x v="0"/>
    <x v="0"/>
    <x v="0"/>
    <x v="0"/>
    <x v="2"/>
    <x v="6"/>
    <x v="0"/>
    <n v="55506.098565517197"/>
  </r>
  <r>
    <x v="0"/>
    <x v="0"/>
    <x v="0"/>
    <x v="0"/>
    <x v="2"/>
    <x v="6"/>
    <x v="1"/>
    <n v="55506.098565517197"/>
  </r>
  <r>
    <x v="0"/>
    <x v="0"/>
    <x v="0"/>
    <x v="0"/>
    <x v="2"/>
    <x v="6"/>
    <x v="2"/>
    <n v="55506.098565517197"/>
  </r>
  <r>
    <x v="0"/>
    <x v="0"/>
    <x v="0"/>
    <x v="0"/>
    <x v="2"/>
    <x v="6"/>
    <x v="3"/>
    <n v="55506.098565517197"/>
  </r>
  <r>
    <x v="0"/>
    <x v="0"/>
    <x v="0"/>
    <x v="0"/>
    <x v="2"/>
    <x v="6"/>
    <x v="4"/>
    <n v="55506.098565517197"/>
  </r>
  <r>
    <x v="0"/>
    <x v="0"/>
    <x v="0"/>
    <x v="0"/>
    <x v="2"/>
    <x v="6"/>
    <x v="5"/>
    <n v="55506.098565517197"/>
  </r>
  <r>
    <x v="0"/>
    <x v="0"/>
    <x v="0"/>
    <x v="0"/>
    <x v="2"/>
    <x v="6"/>
    <x v="6"/>
    <n v="55506.098565517197"/>
  </r>
  <r>
    <x v="0"/>
    <x v="0"/>
    <x v="0"/>
    <x v="0"/>
    <x v="2"/>
    <x v="6"/>
    <x v="7"/>
    <n v="55506.098565517197"/>
  </r>
  <r>
    <x v="0"/>
    <x v="0"/>
    <x v="0"/>
    <x v="0"/>
    <x v="2"/>
    <x v="6"/>
    <x v="8"/>
    <n v="55506.098565517197"/>
  </r>
  <r>
    <x v="0"/>
    <x v="0"/>
    <x v="0"/>
    <x v="0"/>
    <x v="2"/>
    <x v="6"/>
    <x v="9"/>
    <n v="55506.098565517197"/>
  </r>
  <r>
    <x v="0"/>
    <x v="0"/>
    <x v="0"/>
    <x v="0"/>
    <x v="2"/>
    <x v="6"/>
    <x v="10"/>
    <n v="55506.098565517197"/>
  </r>
  <r>
    <x v="0"/>
    <x v="0"/>
    <x v="0"/>
    <x v="0"/>
    <x v="2"/>
    <x v="6"/>
    <x v="11"/>
    <n v="55506.098565517197"/>
  </r>
  <r>
    <x v="0"/>
    <x v="0"/>
    <x v="0"/>
    <x v="0"/>
    <x v="2"/>
    <x v="7"/>
    <x v="0"/>
    <n v="55506.098565517197"/>
  </r>
  <r>
    <x v="0"/>
    <x v="0"/>
    <x v="0"/>
    <x v="0"/>
    <x v="2"/>
    <x v="7"/>
    <x v="1"/>
    <n v="55506.098565517197"/>
  </r>
  <r>
    <x v="0"/>
    <x v="0"/>
    <x v="0"/>
    <x v="0"/>
    <x v="2"/>
    <x v="7"/>
    <x v="2"/>
    <n v="55506.098565517197"/>
  </r>
  <r>
    <x v="0"/>
    <x v="0"/>
    <x v="0"/>
    <x v="0"/>
    <x v="2"/>
    <x v="7"/>
    <x v="3"/>
    <n v="55506.098565517197"/>
  </r>
  <r>
    <x v="0"/>
    <x v="0"/>
    <x v="0"/>
    <x v="0"/>
    <x v="2"/>
    <x v="7"/>
    <x v="4"/>
    <n v="55506.098565517197"/>
  </r>
  <r>
    <x v="0"/>
    <x v="0"/>
    <x v="0"/>
    <x v="0"/>
    <x v="2"/>
    <x v="7"/>
    <x v="5"/>
    <n v="55506.098565517197"/>
  </r>
  <r>
    <x v="0"/>
    <x v="0"/>
    <x v="0"/>
    <x v="0"/>
    <x v="2"/>
    <x v="7"/>
    <x v="6"/>
    <n v="55506.098565517197"/>
  </r>
  <r>
    <x v="0"/>
    <x v="0"/>
    <x v="0"/>
    <x v="0"/>
    <x v="2"/>
    <x v="7"/>
    <x v="7"/>
    <n v="55506.098565517197"/>
  </r>
  <r>
    <x v="0"/>
    <x v="0"/>
    <x v="0"/>
    <x v="0"/>
    <x v="2"/>
    <x v="7"/>
    <x v="8"/>
    <n v="55506.098565517197"/>
  </r>
  <r>
    <x v="0"/>
    <x v="0"/>
    <x v="0"/>
    <x v="0"/>
    <x v="2"/>
    <x v="7"/>
    <x v="9"/>
    <n v="55506.098565517197"/>
  </r>
  <r>
    <x v="0"/>
    <x v="0"/>
    <x v="0"/>
    <x v="0"/>
    <x v="2"/>
    <x v="7"/>
    <x v="10"/>
    <n v="55506.098565517197"/>
  </r>
  <r>
    <x v="0"/>
    <x v="0"/>
    <x v="0"/>
    <x v="0"/>
    <x v="2"/>
    <x v="7"/>
    <x v="11"/>
    <n v="55506.098565517197"/>
  </r>
  <r>
    <x v="0"/>
    <x v="0"/>
    <x v="0"/>
    <x v="0"/>
    <x v="2"/>
    <x v="8"/>
    <x v="0"/>
    <n v="55506.098565517197"/>
  </r>
  <r>
    <x v="0"/>
    <x v="0"/>
    <x v="0"/>
    <x v="0"/>
    <x v="2"/>
    <x v="8"/>
    <x v="1"/>
    <n v="55506.098565517197"/>
  </r>
  <r>
    <x v="0"/>
    <x v="0"/>
    <x v="0"/>
    <x v="0"/>
    <x v="2"/>
    <x v="8"/>
    <x v="2"/>
    <n v="55506.098565517197"/>
  </r>
  <r>
    <x v="0"/>
    <x v="0"/>
    <x v="0"/>
    <x v="0"/>
    <x v="2"/>
    <x v="8"/>
    <x v="3"/>
    <n v="55506.098565517197"/>
  </r>
  <r>
    <x v="0"/>
    <x v="0"/>
    <x v="0"/>
    <x v="0"/>
    <x v="2"/>
    <x v="8"/>
    <x v="4"/>
    <n v="55506.098565517197"/>
  </r>
  <r>
    <x v="0"/>
    <x v="0"/>
    <x v="0"/>
    <x v="0"/>
    <x v="2"/>
    <x v="8"/>
    <x v="5"/>
    <n v="55506.098565517197"/>
  </r>
  <r>
    <x v="0"/>
    <x v="0"/>
    <x v="0"/>
    <x v="0"/>
    <x v="2"/>
    <x v="8"/>
    <x v="6"/>
    <n v="55506.098565517197"/>
  </r>
  <r>
    <x v="0"/>
    <x v="0"/>
    <x v="0"/>
    <x v="0"/>
    <x v="2"/>
    <x v="8"/>
    <x v="7"/>
    <n v="55506.098565517197"/>
  </r>
  <r>
    <x v="0"/>
    <x v="0"/>
    <x v="0"/>
    <x v="0"/>
    <x v="2"/>
    <x v="8"/>
    <x v="8"/>
    <n v="55506.098565517197"/>
  </r>
  <r>
    <x v="0"/>
    <x v="0"/>
    <x v="0"/>
    <x v="0"/>
    <x v="2"/>
    <x v="8"/>
    <x v="9"/>
    <n v="55506.098565517197"/>
  </r>
  <r>
    <x v="0"/>
    <x v="0"/>
    <x v="0"/>
    <x v="0"/>
    <x v="2"/>
    <x v="8"/>
    <x v="10"/>
    <n v="55506.098565517197"/>
  </r>
  <r>
    <x v="0"/>
    <x v="0"/>
    <x v="0"/>
    <x v="0"/>
    <x v="2"/>
    <x v="8"/>
    <x v="11"/>
    <n v="55506.098565517197"/>
  </r>
  <r>
    <x v="0"/>
    <x v="0"/>
    <x v="0"/>
    <x v="0"/>
    <x v="2"/>
    <x v="9"/>
    <x v="0"/>
    <n v="55506.098565517197"/>
  </r>
  <r>
    <x v="0"/>
    <x v="0"/>
    <x v="0"/>
    <x v="0"/>
    <x v="2"/>
    <x v="9"/>
    <x v="1"/>
    <n v="55506.098565517197"/>
  </r>
  <r>
    <x v="0"/>
    <x v="0"/>
    <x v="0"/>
    <x v="0"/>
    <x v="2"/>
    <x v="9"/>
    <x v="2"/>
    <n v="55506.098565517197"/>
  </r>
  <r>
    <x v="0"/>
    <x v="0"/>
    <x v="0"/>
    <x v="0"/>
    <x v="2"/>
    <x v="9"/>
    <x v="3"/>
    <n v="55506.098565517197"/>
  </r>
  <r>
    <x v="0"/>
    <x v="0"/>
    <x v="0"/>
    <x v="0"/>
    <x v="2"/>
    <x v="9"/>
    <x v="4"/>
    <n v="55506.098565517197"/>
  </r>
  <r>
    <x v="0"/>
    <x v="0"/>
    <x v="0"/>
    <x v="0"/>
    <x v="2"/>
    <x v="9"/>
    <x v="5"/>
    <n v="55506.098565517197"/>
  </r>
  <r>
    <x v="0"/>
    <x v="0"/>
    <x v="0"/>
    <x v="0"/>
    <x v="2"/>
    <x v="9"/>
    <x v="6"/>
    <n v="55506.098565517197"/>
  </r>
  <r>
    <x v="0"/>
    <x v="0"/>
    <x v="0"/>
    <x v="0"/>
    <x v="2"/>
    <x v="9"/>
    <x v="7"/>
    <n v="55506.098565517197"/>
  </r>
  <r>
    <x v="0"/>
    <x v="0"/>
    <x v="0"/>
    <x v="0"/>
    <x v="2"/>
    <x v="9"/>
    <x v="8"/>
    <n v="55506.098565517197"/>
  </r>
  <r>
    <x v="0"/>
    <x v="0"/>
    <x v="0"/>
    <x v="0"/>
    <x v="2"/>
    <x v="9"/>
    <x v="9"/>
    <n v="55506.098565517197"/>
  </r>
  <r>
    <x v="0"/>
    <x v="0"/>
    <x v="0"/>
    <x v="0"/>
    <x v="2"/>
    <x v="9"/>
    <x v="10"/>
    <n v="55506.098565517197"/>
  </r>
  <r>
    <x v="0"/>
    <x v="0"/>
    <x v="0"/>
    <x v="0"/>
    <x v="2"/>
    <x v="9"/>
    <x v="11"/>
    <n v="55506.098565517197"/>
  </r>
  <r>
    <x v="0"/>
    <x v="0"/>
    <x v="0"/>
    <x v="0"/>
    <x v="2"/>
    <x v="10"/>
    <x v="0"/>
    <n v="55506.098565517197"/>
  </r>
  <r>
    <x v="0"/>
    <x v="0"/>
    <x v="0"/>
    <x v="0"/>
    <x v="2"/>
    <x v="10"/>
    <x v="1"/>
    <n v="55506.098565517197"/>
  </r>
  <r>
    <x v="0"/>
    <x v="0"/>
    <x v="0"/>
    <x v="0"/>
    <x v="2"/>
    <x v="10"/>
    <x v="2"/>
    <n v="55506.098565517197"/>
  </r>
  <r>
    <x v="0"/>
    <x v="0"/>
    <x v="0"/>
    <x v="0"/>
    <x v="2"/>
    <x v="10"/>
    <x v="3"/>
    <n v="55506.098565517197"/>
  </r>
  <r>
    <x v="0"/>
    <x v="0"/>
    <x v="0"/>
    <x v="0"/>
    <x v="2"/>
    <x v="10"/>
    <x v="4"/>
    <n v="55506.098565517197"/>
  </r>
  <r>
    <x v="0"/>
    <x v="0"/>
    <x v="0"/>
    <x v="0"/>
    <x v="2"/>
    <x v="10"/>
    <x v="5"/>
    <n v="55506.098565517197"/>
  </r>
  <r>
    <x v="0"/>
    <x v="0"/>
    <x v="0"/>
    <x v="0"/>
    <x v="2"/>
    <x v="10"/>
    <x v="6"/>
    <n v="55506.098565517197"/>
  </r>
  <r>
    <x v="0"/>
    <x v="0"/>
    <x v="0"/>
    <x v="0"/>
    <x v="2"/>
    <x v="10"/>
    <x v="7"/>
    <n v="55506.098565517197"/>
  </r>
  <r>
    <x v="0"/>
    <x v="0"/>
    <x v="0"/>
    <x v="0"/>
    <x v="2"/>
    <x v="10"/>
    <x v="8"/>
    <n v="55506.098565517197"/>
  </r>
  <r>
    <x v="0"/>
    <x v="0"/>
    <x v="0"/>
    <x v="0"/>
    <x v="2"/>
    <x v="10"/>
    <x v="9"/>
    <n v="55506.098565517197"/>
  </r>
  <r>
    <x v="0"/>
    <x v="0"/>
    <x v="0"/>
    <x v="0"/>
    <x v="2"/>
    <x v="10"/>
    <x v="10"/>
    <n v="55506.098565517197"/>
  </r>
  <r>
    <x v="0"/>
    <x v="0"/>
    <x v="0"/>
    <x v="0"/>
    <x v="2"/>
    <x v="10"/>
    <x v="11"/>
    <n v="55506.098565517197"/>
  </r>
  <r>
    <x v="0"/>
    <x v="0"/>
    <x v="0"/>
    <x v="0"/>
    <x v="2"/>
    <x v="11"/>
    <x v="0"/>
    <n v="55506.098565517197"/>
  </r>
  <r>
    <x v="0"/>
    <x v="0"/>
    <x v="0"/>
    <x v="0"/>
    <x v="2"/>
    <x v="11"/>
    <x v="1"/>
    <n v="55506.098565517197"/>
  </r>
  <r>
    <x v="0"/>
    <x v="0"/>
    <x v="0"/>
    <x v="0"/>
    <x v="2"/>
    <x v="11"/>
    <x v="2"/>
    <n v="55506.098565517197"/>
  </r>
  <r>
    <x v="0"/>
    <x v="0"/>
    <x v="0"/>
    <x v="0"/>
    <x v="2"/>
    <x v="11"/>
    <x v="3"/>
    <n v="55506.098565517197"/>
  </r>
  <r>
    <x v="0"/>
    <x v="0"/>
    <x v="0"/>
    <x v="0"/>
    <x v="2"/>
    <x v="11"/>
    <x v="4"/>
    <n v="55506.098565517197"/>
  </r>
  <r>
    <x v="0"/>
    <x v="0"/>
    <x v="0"/>
    <x v="0"/>
    <x v="2"/>
    <x v="11"/>
    <x v="5"/>
    <n v="55506.098565517197"/>
  </r>
  <r>
    <x v="0"/>
    <x v="0"/>
    <x v="0"/>
    <x v="0"/>
    <x v="2"/>
    <x v="11"/>
    <x v="6"/>
    <n v="55506.098565517197"/>
  </r>
  <r>
    <x v="0"/>
    <x v="0"/>
    <x v="0"/>
    <x v="0"/>
    <x v="2"/>
    <x v="11"/>
    <x v="7"/>
    <n v="55506.098565517197"/>
  </r>
  <r>
    <x v="0"/>
    <x v="0"/>
    <x v="0"/>
    <x v="0"/>
    <x v="2"/>
    <x v="11"/>
    <x v="8"/>
    <n v="55506.098565517197"/>
  </r>
  <r>
    <x v="0"/>
    <x v="0"/>
    <x v="0"/>
    <x v="0"/>
    <x v="2"/>
    <x v="11"/>
    <x v="9"/>
    <n v="55506.098565517197"/>
  </r>
  <r>
    <x v="0"/>
    <x v="0"/>
    <x v="0"/>
    <x v="0"/>
    <x v="2"/>
    <x v="11"/>
    <x v="10"/>
    <n v="55506.098565517197"/>
  </r>
  <r>
    <x v="0"/>
    <x v="0"/>
    <x v="0"/>
    <x v="0"/>
    <x v="2"/>
    <x v="11"/>
    <x v="11"/>
    <n v="55506.098565517197"/>
  </r>
  <r>
    <x v="0"/>
    <x v="0"/>
    <x v="0"/>
    <x v="0"/>
    <x v="3"/>
    <x v="0"/>
    <x v="0"/>
    <n v="11439.226000000001"/>
  </r>
  <r>
    <x v="0"/>
    <x v="0"/>
    <x v="0"/>
    <x v="0"/>
    <x v="3"/>
    <x v="0"/>
    <x v="1"/>
    <n v="11439.226000000001"/>
  </r>
  <r>
    <x v="0"/>
    <x v="0"/>
    <x v="0"/>
    <x v="0"/>
    <x v="3"/>
    <x v="0"/>
    <x v="2"/>
    <n v="11439.226000000001"/>
  </r>
  <r>
    <x v="0"/>
    <x v="0"/>
    <x v="0"/>
    <x v="0"/>
    <x v="3"/>
    <x v="0"/>
    <x v="3"/>
    <n v="11439.226000000001"/>
  </r>
  <r>
    <x v="0"/>
    <x v="0"/>
    <x v="0"/>
    <x v="0"/>
    <x v="3"/>
    <x v="0"/>
    <x v="4"/>
    <n v="11439.226000000001"/>
  </r>
  <r>
    <x v="0"/>
    <x v="0"/>
    <x v="0"/>
    <x v="0"/>
    <x v="3"/>
    <x v="0"/>
    <x v="5"/>
    <n v="11439.226000000001"/>
  </r>
  <r>
    <x v="0"/>
    <x v="0"/>
    <x v="0"/>
    <x v="0"/>
    <x v="3"/>
    <x v="0"/>
    <x v="6"/>
    <n v="11439.226000000001"/>
  </r>
  <r>
    <x v="0"/>
    <x v="0"/>
    <x v="0"/>
    <x v="0"/>
    <x v="3"/>
    <x v="0"/>
    <x v="7"/>
    <n v="11439.226000000001"/>
  </r>
  <r>
    <x v="0"/>
    <x v="0"/>
    <x v="0"/>
    <x v="0"/>
    <x v="3"/>
    <x v="0"/>
    <x v="8"/>
    <n v="11439.226000000001"/>
  </r>
  <r>
    <x v="0"/>
    <x v="0"/>
    <x v="0"/>
    <x v="0"/>
    <x v="3"/>
    <x v="0"/>
    <x v="9"/>
    <n v="11439.226000000001"/>
  </r>
  <r>
    <x v="0"/>
    <x v="0"/>
    <x v="0"/>
    <x v="0"/>
    <x v="3"/>
    <x v="0"/>
    <x v="10"/>
    <n v="11439.226000000001"/>
  </r>
  <r>
    <x v="0"/>
    <x v="0"/>
    <x v="0"/>
    <x v="0"/>
    <x v="3"/>
    <x v="0"/>
    <x v="11"/>
    <n v="11439.226000000001"/>
  </r>
  <r>
    <x v="0"/>
    <x v="0"/>
    <x v="0"/>
    <x v="0"/>
    <x v="3"/>
    <x v="1"/>
    <x v="0"/>
    <n v="11439.226000000001"/>
  </r>
  <r>
    <x v="0"/>
    <x v="0"/>
    <x v="0"/>
    <x v="0"/>
    <x v="3"/>
    <x v="1"/>
    <x v="1"/>
    <n v="11439.226000000001"/>
  </r>
  <r>
    <x v="0"/>
    <x v="0"/>
    <x v="0"/>
    <x v="0"/>
    <x v="3"/>
    <x v="1"/>
    <x v="2"/>
    <n v="11439.226000000001"/>
  </r>
  <r>
    <x v="0"/>
    <x v="0"/>
    <x v="0"/>
    <x v="0"/>
    <x v="3"/>
    <x v="1"/>
    <x v="3"/>
    <n v="11439.226000000001"/>
  </r>
  <r>
    <x v="0"/>
    <x v="0"/>
    <x v="0"/>
    <x v="0"/>
    <x v="3"/>
    <x v="1"/>
    <x v="4"/>
    <n v="11439.226000000001"/>
  </r>
  <r>
    <x v="0"/>
    <x v="0"/>
    <x v="0"/>
    <x v="0"/>
    <x v="3"/>
    <x v="1"/>
    <x v="5"/>
    <n v="11439.226000000001"/>
  </r>
  <r>
    <x v="0"/>
    <x v="0"/>
    <x v="0"/>
    <x v="0"/>
    <x v="3"/>
    <x v="1"/>
    <x v="6"/>
    <n v="11439.226000000001"/>
  </r>
  <r>
    <x v="0"/>
    <x v="0"/>
    <x v="0"/>
    <x v="0"/>
    <x v="3"/>
    <x v="1"/>
    <x v="7"/>
    <n v="11439.226000000001"/>
  </r>
  <r>
    <x v="0"/>
    <x v="0"/>
    <x v="0"/>
    <x v="0"/>
    <x v="3"/>
    <x v="1"/>
    <x v="8"/>
    <n v="11439.226000000001"/>
  </r>
  <r>
    <x v="0"/>
    <x v="0"/>
    <x v="0"/>
    <x v="0"/>
    <x v="3"/>
    <x v="1"/>
    <x v="9"/>
    <n v="11439.226000000001"/>
  </r>
  <r>
    <x v="0"/>
    <x v="0"/>
    <x v="0"/>
    <x v="0"/>
    <x v="3"/>
    <x v="1"/>
    <x v="10"/>
    <n v="11439.226000000001"/>
  </r>
  <r>
    <x v="0"/>
    <x v="0"/>
    <x v="0"/>
    <x v="0"/>
    <x v="3"/>
    <x v="1"/>
    <x v="11"/>
    <n v="11439.226000000001"/>
  </r>
  <r>
    <x v="0"/>
    <x v="0"/>
    <x v="0"/>
    <x v="0"/>
    <x v="3"/>
    <x v="2"/>
    <x v="0"/>
    <n v="11439.226000000001"/>
  </r>
  <r>
    <x v="0"/>
    <x v="0"/>
    <x v="0"/>
    <x v="0"/>
    <x v="3"/>
    <x v="2"/>
    <x v="1"/>
    <n v="11439.226000000001"/>
  </r>
  <r>
    <x v="0"/>
    <x v="0"/>
    <x v="0"/>
    <x v="0"/>
    <x v="3"/>
    <x v="2"/>
    <x v="2"/>
    <n v="11439.226000000001"/>
  </r>
  <r>
    <x v="0"/>
    <x v="0"/>
    <x v="0"/>
    <x v="0"/>
    <x v="3"/>
    <x v="2"/>
    <x v="3"/>
    <n v="11439.226000000001"/>
  </r>
  <r>
    <x v="0"/>
    <x v="0"/>
    <x v="0"/>
    <x v="0"/>
    <x v="3"/>
    <x v="2"/>
    <x v="4"/>
    <n v="11439.226000000001"/>
  </r>
  <r>
    <x v="0"/>
    <x v="0"/>
    <x v="0"/>
    <x v="0"/>
    <x v="3"/>
    <x v="2"/>
    <x v="5"/>
    <n v="11439.226000000001"/>
  </r>
  <r>
    <x v="0"/>
    <x v="0"/>
    <x v="0"/>
    <x v="0"/>
    <x v="3"/>
    <x v="2"/>
    <x v="6"/>
    <n v="11439.226000000001"/>
  </r>
  <r>
    <x v="0"/>
    <x v="0"/>
    <x v="0"/>
    <x v="0"/>
    <x v="3"/>
    <x v="2"/>
    <x v="7"/>
    <n v="11439.226000000001"/>
  </r>
  <r>
    <x v="0"/>
    <x v="0"/>
    <x v="0"/>
    <x v="0"/>
    <x v="3"/>
    <x v="2"/>
    <x v="8"/>
    <n v="11439.226000000001"/>
  </r>
  <r>
    <x v="0"/>
    <x v="0"/>
    <x v="0"/>
    <x v="0"/>
    <x v="3"/>
    <x v="2"/>
    <x v="9"/>
    <n v="11439.226000000001"/>
  </r>
  <r>
    <x v="0"/>
    <x v="0"/>
    <x v="0"/>
    <x v="0"/>
    <x v="3"/>
    <x v="2"/>
    <x v="10"/>
    <n v="11439.226000000001"/>
  </r>
  <r>
    <x v="0"/>
    <x v="0"/>
    <x v="0"/>
    <x v="0"/>
    <x v="3"/>
    <x v="2"/>
    <x v="11"/>
    <n v="11439.226000000001"/>
  </r>
  <r>
    <x v="0"/>
    <x v="0"/>
    <x v="0"/>
    <x v="0"/>
    <x v="3"/>
    <x v="3"/>
    <x v="0"/>
    <n v="11439.226000000001"/>
  </r>
  <r>
    <x v="0"/>
    <x v="0"/>
    <x v="0"/>
    <x v="0"/>
    <x v="3"/>
    <x v="3"/>
    <x v="1"/>
    <n v="11439.226000000001"/>
  </r>
  <r>
    <x v="0"/>
    <x v="0"/>
    <x v="0"/>
    <x v="0"/>
    <x v="3"/>
    <x v="3"/>
    <x v="2"/>
    <n v="11439.226000000001"/>
  </r>
  <r>
    <x v="0"/>
    <x v="0"/>
    <x v="0"/>
    <x v="0"/>
    <x v="3"/>
    <x v="3"/>
    <x v="3"/>
    <n v="11439.226000000001"/>
  </r>
  <r>
    <x v="0"/>
    <x v="0"/>
    <x v="0"/>
    <x v="0"/>
    <x v="3"/>
    <x v="3"/>
    <x v="4"/>
    <n v="11439.226000000001"/>
  </r>
  <r>
    <x v="0"/>
    <x v="0"/>
    <x v="0"/>
    <x v="0"/>
    <x v="3"/>
    <x v="3"/>
    <x v="5"/>
    <n v="11439.226000000001"/>
  </r>
  <r>
    <x v="0"/>
    <x v="0"/>
    <x v="0"/>
    <x v="0"/>
    <x v="3"/>
    <x v="3"/>
    <x v="6"/>
    <n v="11439.226000000001"/>
  </r>
  <r>
    <x v="0"/>
    <x v="0"/>
    <x v="0"/>
    <x v="0"/>
    <x v="3"/>
    <x v="3"/>
    <x v="7"/>
    <n v="11439.226000000001"/>
  </r>
  <r>
    <x v="0"/>
    <x v="0"/>
    <x v="0"/>
    <x v="0"/>
    <x v="3"/>
    <x v="3"/>
    <x v="8"/>
    <n v="11439.226000000001"/>
  </r>
  <r>
    <x v="0"/>
    <x v="0"/>
    <x v="0"/>
    <x v="0"/>
    <x v="3"/>
    <x v="3"/>
    <x v="9"/>
    <n v="11439.226000000001"/>
  </r>
  <r>
    <x v="0"/>
    <x v="0"/>
    <x v="0"/>
    <x v="0"/>
    <x v="3"/>
    <x v="3"/>
    <x v="10"/>
    <n v="11439.226000000001"/>
  </r>
  <r>
    <x v="0"/>
    <x v="0"/>
    <x v="0"/>
    <x v="0"/>
    <x v="3"/>
    <x v="3"/>
    <x v="11"/>
    <n v="11439.226000000001"/>
  </r>
  <r>
    <x v="0"/>
    <x v="0"/>
    <x v="0"/>
    <x v="0"/>
    <x v="3"/>
    <x v="4"/>
    <x v="0"/>
    <n v="11439.226000000001"/>
  </r>
  <r>
    <x v="0"/>
    <x v="0"/>
    <x v="0"/>
    <x v="0"/>
    <x v="3"/>
    <x v="4"/>
    <x v="1"/>
    <n v="11439.226000000001"/>
  </r>
  <r>
    <x v="0"/>
    <x v="0"/>
    <x v="0"/>
    <x v="0"/>
    <x v="3"/>
    <x v="4"/>
    <x v="2"/>
    <n v="11439.226000000001"/>
  </r>
  <r>
    <x v="0"/>
    <x v="0"/>
    <x v="0"/>
    <x v="0"/>
    <x v="3"/>
    <x v="4"/>
    <x v="3"/>
    <n v="11439.226000000001"/>
  </r>
  <r>
    <x v="0"/>
    <x v="0"/>
    <x v="0"/>
    <x v="0"/>
    <x v="3"/>
    <x v="4"/>
    <x v="4"/>
    <n v="11439.226000000001"/>
  </r>
  <r>
    <x v="0"/>
    <x v="0"/>
    <x v="0"/>
    <x v="0"/>
    <x v="3"/>
    <x v="4"/>
    <x v="5"/>
    <n v="11439.226000000001"/>
  </r>
  <r>
    <x v="0"/>
    <x v="0"/>
    <x v="0"/>
    <x v="0"/>
    <x v="3"/>
    <x v="4"/>
    <x v="6"/>
    <n v="11439.226000000001"/>
  </r>
  <r>
    <x v="0"/>
    <x v="0"/>
    <x v="0"/>
    <x v="0"/>
    <x v="3"/>
    <x v="4"/>
    <x v="7"/>
    <n v="11439.226000000001"/>
  </r>
  <r>
    <x v="0"/>
    <x v="0"/>
    <x v="0"/>
    <x v="0"/>
    <x v="3"/>
    <x v="4"/>
    <x v="8"/>
    <n v="11439.226000000001"/>
  </r>
  <r>
    <x v="0"/>
    <x v="0"/>
    <x v="0"/>
    <x v="0"/>
    <x v="3"/>
    <x v="4"/>
    <x v="9"/>
    <n v="11439.226000000001"/>
  </r>
  <r>
    <x v="0"/>
    <x v="0"/>
    <x v="0"/>
    <x v="0"/>
    <x v="3"/>
    <x v="4"/>
    <x v="10"/>
    <n v="11439.226000000001"/>
  </r>
  <r>
    <x v="0"/>
    <x v="0"/>
    <x v="0"/>
    <x v="0"/>
    <x v="3"/>
    <x v="4"/>
    <x v="11"/>
    <n v="11439.226000000001"/>
  </r>
  <r>
    <x v="0"/>
    <x v="0"/>
    <x v="0"/>
    <x v="0"/>
    <x v="3"/>
    <x v="5"/>
    <x v="0"/>
    <n v="11439.226000000001"/>
  </r>
  <r>
    <x v="0"/>
    <x v="0"/>
    <x v="0"/>
    <x v="0"/>
    <x v="3"/>
    <x v="5"/>
    <x v="1"/>
    <n v="11439.226000000001"/>
  </r>
  <r>
    <x v="0"/>
    <x v="0"/>
    <x v="0"/>
    <x v="0"/>
    <x v="3"/>
    <x v="5"/>
    <x v="2"/>
    <n v="11439.226000000001"/>
  </r>
  <r>
    <x v="0"/>
    <x v="0"/>
    <x v="0"/>
    <x v="0"/>
    <x v="3"/>
    <x v="5"/>
    <x v="3"/>
    <n v="11439.226000000001"/>
  </r>
  <r>
    <x v="0"/>
    <x v="0"/>
    <x v="0"/>
    <x v="0"/>
    <x v="3"/>
    <x v="5"/>
    <x v="4"/>
    <n v="11439.226000000001"/>
  </r>
  <r>
    <x v="0"/>
    <x v="0"/>
    <x v="0"/>
    <x v="0"/>
    <x v="3"/>
    <x v="5"/>
    <x v="5"/>
    <n v="11439.226000000001"/>
  </r>
  <r>
    <x v="0"/>
    <x v="0"/>
    <x v="0"/>
    <x v="0"/>
    <x v="3"/>
    <x v="5"/>
    <x v="6"/>
    <n v="11439.226000000001"/>
  </r>
  <r>
    <x v="0"/>
    <x v="0"/>
    <x v="0"/>
    <x v="0"/>
    <x v="3"/>
    <x v="5"/>
    <x v="7"/>
    <n v="11439.226000000001"/>
  </r>
  <r>
    <x v="0"/>
    <x v="0"/>
    <x v="0"/>
    <x v="0"/>
    <x v="3"/>
    <x v="5"/>
    <x v="8"/>
    <n v="11439.226000000001"/>
  </r>
  <r>
    <x v="0"/>
    <x v="0"/>
    <x v="0"/>
    <x v="0"/>
    <x v="3"/>
    <x v="5"/>
    <x v="9"/>
    <n v="11439.226000000001"/>
  </r>
  <r>
    <x v="0"/>
    <x v="0"/>
    <x v="0"/>
    <x v="0"/>
    <x v="3"/>
    <x v="5"/>
    <x v="10"/>
    <n v="11439.226000000001"/>
  </r>
  <r>
    <x v="0"/>
    <x v="0"/>
    <x v="0"/>
    <x v="0"/>
    <x v="3"/>
    <x v="5"/>
    <x v="11"/>
    <n v="11439.226000000001"/>
  </r>
  <r>
    <x v="0"/>
    <x v="0"/>
    <x v="0"/>
    <x v="0"/>
    <x v="3"/>
    <x v="6"/>
    <x v="0"/>
    <n v="11439.226000000001"/>
  </r>
  <r>
    <x v="0"/>
    <x v="0"/>
    <x v="0"/>
    <x v="0"/>
    <x v="3"/>
    <x v="6"/>
    <x v="1"/>
    <n v="11439.226000000001"/>
  </r>
  <r>
    <x v="0"/>
    <x v="0"/>
    <x v="0"/>
    <x v="0"/>
    <x v="3"/>
    <x v="6"/>
    <x v="2"/>
    <n v="11439.226000000001"/>
  </r>
  <r>
    <x v="0"/>
    <x v="0"/>
    <x v="0"/>
    <x v="0"/>
    <x v="3"/>
    <x v="6"/>
    <x v="3"/>
    <n v="11439.226000000001"/>
  </r>
  <r>
    <x v="0"/>
    <x v="0"/>
    <x v="0"/>
    <x v="0"/>
    <x v="3"/>
    <x v="6"/>
    <x v="4"/>
    <n v="11439.226000000001"/>
  </r>
  <r>
    <x v="0"/>
    <x v="0"/>
    <x v="0"/>
    <x v="0"/>
    <x v="3"/>
    <x v="6"/>
    <x v="5"/>
    <n v="11439.226000000001"/>
  </r>
  <r>
    <x v="0"/>
    <x v="0"/>
    <x v="0"/>
    <x v="0"/>
    <x v="3"/>
    <x v="6"/>
    <x v="6"/>
    <n v="11439.226000000001"/>
  </r>
  <r>
    <x v="0"/>
    <x v="0"/>
    <x v="0"/>
    <x v="0"/>
    <x v="3"/>
    <x v="6"/>
    <x v="7"/>
    <n v="11439.226000000001"/>
  </r>
  <r>
    <x v="0"/>
    <x v="0"/>
    <x v="0"/>
    <x v="0"/>
    <x v="3"/>
    <x v="6"/>
    <x v="8"/>
    <n v="11439.226000000001"/>
  </r>
  <r>
    <x v="0"/>
    <x v="0"/>
    <x v="0"/>
    <x v="0"/>
    <x v="3"/>
    <x v="6"/>
    <x v="9"/>
    <n v="11439.226000000001"/>
  </r>
  <r>
    <x v="0"/>
    <x v="0"/>
    <x v="0"/>
    <x v="0"/>
    <x v="3"/>
    <x v="6"/>
    <x v="10"/>
    <n v="11439.226000000001"/>
  </r>
  <r>
    <x v="0"/>
    <x v="0"/>
    <x v="0"/>
    <x v="0"/>
    <x v="3"/>
    <x v="6"/>
    <x v="11"/>
    <n v="11439.226000000001"/>
  </r>
  <r>
    <x v="0"/>
    <x v="0"/>
    <x v="0"/>
    <x v="0"/>
    <x v="3"/>
    <x v="7"/>
    <x v="0"/>
    <n v="11439.226000000001"/>
  </r>
  <r>
    <x v="0"/>
    <x v="0"/>
    <x v="0"/>
    <x v="0"/>
    <x v="3"/>
    <x v="7"/>
    <x v="1"/>
    <n v="11439.226000000001"/>
  </r>
  <r>
    <x v="0"/>
    <x v="0"/>
    <x v="0"/>
    <x v="0"/>
    <x v="3"/>
    <x v="7"/>
    <x v="2"/>
    <n v="11439.226000000001"/>
  </r>
  <r>
    <x v="0"/>
    <x v="0"/>
    <x v="0"/>
    <x v="0"/>
    <x v="3"/>
    <x v="7"/>
    <x v="3"/>
    <n v="11439.226000000001"/>
  </r>
  <r>
    <x v="0"/>
    <x v="0"/>
    <x v="0"/>
    <x v="0"/>
    <x v="3"/>
    <x v="7"/>
    <x v="4"/>
    <n v="11439.226000000001"/>
  </r>
  <r>
    <x v="0"/>
    <x v="0"/>
    <x v="0"/>
    <x v="0"/>
    <x v="3"/>
    <x v="7"/>
    <x v="5"/>
    <n v="11439.226000000001"/>
  </r>
  <r>
    <x v="0"/>
    <x v="0"/>
    <x v="0"/>
    <x v="0"/>
    <x v="3"/>
    <x v="7"/>
    <x v="6"/>
    <n v="11439.226000000001"/>
  </r>
  <r>
    <x v="0"/>
    <x v="0"/>
    <x v="0"/>
    <x v="0"/>
    <x v="3"/>
    <x v="7"/>
    <x v="7"/>
    <n v="11439.226000000001"/>
  </r>
  <r>
    <x v="0"/>
    <x v="0"/>
    <x v="0"/>
    <x v="0"/>
    <x v="3"/>
    <x v="7"/>
    <x v="8"/>
    <n v="11439.226000000001"/>
  </r>
  <r>
    <x v="0"/>
    <x v="0"/>
    <x v="0"/>
    <x v="0"/>
    <x v="3"/>
    <x v="7"/>
    <x v="9"/>
    <n v="11439.226000000001"/>
  </r>
  <r>
    <x v="0"/>
    <x v="0"/>
    <x v="0"/>
    <x v="0"/>
    <x v="3"/>
    <x v="7"/>
    <x v="10"/>
    <n v="11439.226000000001"/>
  </r>
  <r>
    <x v="0"/>
    <x v="0"/>
    <x v="0"/>
    <x v="0"/>
    <x v="3"/>
    <x v="7"/>
    <x v="11"/>
    <n v="11439.226000000001"/>
  </r>
  <r>
    <x v="0"/>
    <x v="0"/>
    <x v="0"/>
    <x v="0"/>
    <x v="3"/>
    <x v="8"/>
    <x v="0"/>
    <n v="11439.226000000001"/>
  </r>
  <r>
    <x v="0"/>
    <x v="0"/>
    <x v="0"/>
    <x v="0"/>
    <x v="3"/>
    <x v="8"/>
    <x v="1"/>
    <n v="11439.226000000001"/>
  </r>
  <r>
    <x v="0"/>
    <x v="0"/>
    <x v="0"/>
    <x v="0"/>
    <x v="3"/>
    <x v="8"/>
    <x v="2"/>
    <n v="11439.226000000001"/>
  </r>
  <r>
    <x v="0"/>
    <x v="0"/>
    <x v="0"/>
    <x v="0"/>
    <x v="3"/>
    <x v="8"/>
    <x v="3"/>
    <n v="11439.226000000001"/>
  </r>
  <r>
    <x v="0"/>
    <x v="0"/>
    <x v="0"/>
    <x v="0"/>
    <x v="3"/>
    <x v="8"/>
    <x v="4"/>
    <n v="11439.226000000001"/>
  </r>
  <r>
    <x v="0"/>
    <x v="0"/>
    <x v="0"/>
    <x v="0"/>
    <x v="3"/>
    <x v="8"/>
    <x v="5"/>
    <n v="11439.226000000001"/>
  </r>
  <r>
    <x v="0"/>
    <x v="0"/>
    <x v="0"/>
    <x v="0"/>
    <x v="3"/>
    <x v="8"/>
    <x v="6"/>
    <n v="11439.226000000001"/>
  </r>
  <r>
    <x v="0"/>
    <x v="0"/>
    <x v="0"/>
    <x v="0"/>
    <x v="3"/>
    <x v="8"/>
    <x v="7"/>
    <n v="11439.226000000001"/>
  </r>
  <r>
    <x v="0"/>
    <x v="0"/>
    <x v="0"/>
    <x v="0"/>
    <x v="3"/>
    <x v="8"/>
    <x v="8"/>
    <n v="11439.226000000001"/>
  </r>
  <r>
    <x v="0"/>
    <x v="0"/>
    <x v="0"/>
    <x v="0"/>
    <x v="3"/>
    <x v="8"/>
    <x v="9"/>
    <n v="11439.226000000001"/>
  </r>
  <r>
    <x v="0"/>
    <x v="0"/>
    <x v="0"/>
    <x v="0"/>
    <x v="3"/>
    <x v="8"/>
    <x v="10"/>
    <n v="11439.226000000001"/>
  </r>
  <r>
    <x v="0"/>
    <x v="0"/>
    <x v="0"/>
    <x v="0"/>
    <x v="3"/>
    <x v="8"/>
    <x v="11"/>
    <n v="11439.226000000001"/>
  </r>
  <r>
    <x v="0"/>
    <x v="0"/>
    <x v="0"/>
    <x v="0"/>
    <x v="3"/>
    <x v="9"/>
    <x v="0"/>
    <n v="11439.226000000001"/>
  </r>
  <r>
    <x v="0"/>
    <x v="0"/>
    <x v="0"/>
    <x v="0"/>
    <x v="3"/>
    <x v="9"/>
    <x v="1"/>
    <n v="11439.226000000001"/>
  </r>
  <r>
    <x v="0"/>
    <x v="0"/>
    <x v="0"/>
    <x v="0"/>
    <x v="3"/>
    <x v="9"/>
    <x v="2"/>
    <n v="11439.226000000001"/>
  </r>
  <r>
    <x v="0"/>
    <x v="0"/>
    <x v="0"/>
    <x v="0"/>
    <x v="3"/>
    <x v="9"/>
    <x v="3"/>
    <n v="11439.226000000001"/>
  </r>
  <r>
    <x v="0"/>
    <x v="0"/>
    <x v="0"/>
    <x v="0"/>
    <x v="3"/>
    <x v="9"/>
    <x v="4"/>
    <n v="11439.226000000001"/>
  </r>
  <r>
    <x v="0"/>
    <x v="0"/>
    <x v="0"/>
    <x v="0"/>
    <x v="3"/>
    <x v="9"/>
    <x v="5"/>
    <n v="11439.226000000001"/>
  </r>
  <r>
    <x v="0"/>
    <x v="0"/>
    <x v="0"/>
    <x v="0"/>
    <x v="3"/>
    <x v="9"/>
    <x v="6"/>
    <n v="11439.226000000001"/>
  </r>
  <r>
    <x v="0"/>
    <x v="0"/>
    <x v="0"/>
    <x v="0"/>
    <x v="3"/>
    <x v="9"/>
    <x v="7"/>
    <n v="11439.226000000001"/>
  </r>
  <r>
    <x v="0"/>
    <x v="0"/>
    <x v="0"/>
    <x v="0"/>
    <x v="3"/>
    <x v="9"/>
    <x v="8"/>
    <n v="11439.226000000001"/>
  </r>
  <r>
    <x v="0"/>
    <x v="0"/>
    <x v="0"/>
    <x v="0"/>
    <x v="3"/>
    <x v="9"/>
    <x v="9"/>
    <n v="11439.226000000001"/>
  </r>
  <r>
    <x v="0"/>
    <x v="0"/>
    <x v="0"/>
    <x v="0"/>
    <x v="3"/>
    <x v="9"/>
    <x v="10"/>
    <n v="11439.226000000001"/>
  </r>
  <r>
    <x v="0"/>
    <x v="0"/>
    <x v="0"/>
    <x v="0"/>
    <x v="3"/>
    <x v="9"/>
    <x v="11"/>
    <n v="11439.226000000001"/>
  </r>
  <r>
    <x v="0"/>
    <x v="0"/>
    <x v="0"/>
    <x v="0"/>
    <x v="3"/>
    <x v="10"/>
    <x v="0"/>
    <n v="11439.226000000001"/>
  </r>
  <r>
    <x v="0"/>
    <x v="0"/>
    <x v="0"/>
    <x v="0"/>
    <x v="3"/>
    <x v="10"/>
    <x v="1"/>
    <n v="11439.226000000001"/>
  </r>
  <r>
    <x v="0"/>
    <x v="0"/>
    <x v="0"/>
    <x v="0"/>
    <x v="3"/>
    <x v="10"/>
    <x v="2"/>
    <n v="11439.226000000001"/>
  </r>
  <r>
    <x v="0"/>
    <x v="0"/>
    <x v="0"/>
    <x v="0"/>
    <x v="3"/>
    <x v="10"/>
    <x v="3"/>
    <n v="11439.226000000001"/>
  </r>
  <r>
    <x v="0"/>
    <x v="0"/>
    <x v="0"/>
    <x v="0"/>
    <x v="3"/>
    <x v="10"/>
    <x v="4"/>
    <n v="11439.226000000001"/>
  </r>
  <r>
    <x v="0"/>
    <x v="0"/>
    <x v="0"/>
    <x v="0"/>
    <x v="3"/>
    <x v="10"/>
    <x v="5"/>
    <n v="11439.226000000001"/>
  </r>
  <r>
    <x v="0"/>
    <x v="0"/>
    <x v="0"/>
    <x v="0"/>
    <x v="3"/>
    <x v="10"/>
    <x v="6"/>
    <n v="11439.226000000001"/>
  </r>
  <r>
    <x v="0"/>
    <x v="0"/>
    <x v="0"/>
    <x v="0"/>
    <x v="3"/>
    <x v="10"/>
    <x v="7"/>
    <n v="11439.226000000001"/>
  </r>
  <r>
    <x v="0"/>
    <x v="0"/>
    <x v="0"/>
    <x v="0"/>
    <x v="3"/>
    <x v="10"/>
    <x v="8"/>
    <n v="11439.226000000001"/>
  </r>
  <r>
    <x v="0"/>
    <x v="0"/>
    <x v="0"/>
    <x v="0"/>
    <x v="3"/>
    <x v="10"/>
    <x v="9"/>
    <n v="11439.226000000001"/>
  </r>
  <r>
    <x v="0"/>
    <x v="0"/>
    <x v="0"/>
    <x v="0"/>
    <x v="3"/>
    <x v="10"/>
    <x v="10"/>
    <n v="11439.226000000001"/>
  </r>
  <r>
    <x v="0"/>
    <x v="0"/>
    <x v="0"/>
    <x v="0"/>
    <x v="3"/>
    <x v="10"/>
    <x v="11"/>
    <n v="11439.226000000001"/>
  </r>
  <r>
    <x v="0"/>
    <x v="0"/>
    <x v="0"/>
    <x v="0"/>
    <x v="3"/>
    <x v="11"/>
    <x v="0"/>
    <n v="11439.226000000001"/>
  </r>
  <r>
    <x v="0"/>
    <x v="0"/>
    <x v="0"/>
    <x v="0"/>
    <x v="3"/>
    <x v="11"/>
    <x v="1"/>
    <n v="11439.226000000001"/>
  </r>
  <r>
    <x v="0"/>
    <x v="0"/>
    <x v="0"/>
    <x v="0"/>
    <x v="3"/>
    <x v="11"/>
    <x v="2"/>
    <n v="11439.226000000001"/>
  </r>
  <r>
    <x v="0"/>
    <x v="0"/>
    <x v="0"/>
    <x v="0"/>
    <x v="3"/>
    <x v="11"/>
    <x v="3"/>
    <n v="11439.226000000001"/>
  </r>
  <r>
    <x v="0"/>
    <x v="0"/>
    <x v="0"/>
    <x v="0"/>
    <x v="3"/>
    <x v="11"/>
    <x v="4"/>
    <n v="11439.226000000001"/>
  </r>
  <r>
    <x v="0"/>
    <x v="0"/>
    <x v="0"/>
    <x v="0"/>
    <x v="3"/>
    <x v="11"/>
    <x v="5"/>
    <n v="11439.226000000001"/>
  </r>
  <r>
    <x v="0"/>
    <x v="0"/>
    <x v="0"/>
    <x v="0"/>
    <x v="3"/>
    <x v="11"/>
    <x v="6"/>
    <n v="11439.226000000001"/>
  </r>
  <r>
    <x v="0"/>
    <x v="0"/>
    <x v="0"/>
    <x v="0"/>
    <x v="3"/>
    <x v="11"/>
    <x v="7"/>
    <n v="11439.226000000001"/>
  </r>
  <r>
    <x v="0"/>
    <x v="0"/>
    <x v="0"/>
    <x v="0"/>
    <x v="3"/>
    <x v="11"/>
    <x v="8"/>
    <n v="11439.226000000001"/>
  </r>
  <r>
    <x v="0"/>
    <x v="0"/>
    <x v="0"/>
    <x v="0"/>
    <x v="3"/>
    <x v="11"/>
    <x v="9"/>
    <n v="11439.226000000001"/>
  </r>
  <r>
    <x v="0"/>
    <x v="0"/>
    <x v="0"/>
    <x v="0"/>
    <x v="3"/>
    <x v="11"/>
    <x v="10"/>
    <n v="11439.226000000001"/>
  </r>
  <r>
    <x v="0"/>
    <x v="0"/>
    <x v="0"/>
    <x v="0"/>
    <x v="3"/>
    <x v="11"/>
    <x v="11"/>
    <n v="11439.226000000001"/>
  </r>
  <r>
    <x v="0"/>
    <x v="0"/>
    <x v="0"/>
    <x v="0"/>
    <x v="4"/>
    <x v="0"/>
    <x v="0"/>
    <n v="29149.051200000002"/>
  </r>
  <r>
    <x v="0"/>
    <x v="0"/>
    <x v="0"/>
    <x v="0"/>
    <x v="4"/>
    <x v="0"/>
    <x v="1"/>
    <n v="29149.051200000002"/>
  </r>
  <r>
    <x v="0"/>
    <x v="0"/>
    <x v="0"/>
    <x v="0"/>
    <x v="4"/>
    <x v="0"/>
    <x v="2"/>
    <n v="29149.051200000002"/>
  </r>
  <r>
    <x v="0"/>
    <x v="0"/>
    <x v="0"/>
    <x v="0"/>
    <x v="4"/>
    <x v="0"/>
    <x v="3"/>
    <n v="29149.051200000002"/>
  </r>
  <r>
    <x v="0"/>
    <x v="0"/>
    <x v="0"/>
    <x v="0"/>
    <x v="4"/>
    <x v="0"/>
    <x v="4"/>
    <n v="29149.051200000002"/>
  </r>
  <r>
    <x v="0"/>
    <x v="0"/>
    <x v="0"/>
    <x v="0"/>
    <x v="4"/>
    <x v="0"/>
    <x v="5"/>
    <n v="29149.051200000002"/>
  </r>
  <r>
    <x v="0"/>
    <x v="0"/>
    <x v="0"/>
    <x v="0"/>
    <x v="4"/>
    <x v="0"/>
    <x v="6"/>
    <n v="29149.051200000002"/>
  </r>
  <r>
    <x v="0"/>
    <x v="0"/>
    <x v="0"/>
    <x v="0"/>
    <x v="4"/>
    <x v="0"/>
    <x v="7"/>
    <n v="29149.051200000002"/>
  </r>
  <r>
    <x v="0"/>
    <x v="0"/>
    <x v="0"/>
    <x v="0"/>
    <x v="4"/>
    <x v="0"/>
    <x v="8"/>
    <n v="29149.051200000002"/>
  </r>
  <r>
    <x v="0"/>
    <x v="0"/>
    <x v="0"/>
    <x v="0"/>
    <x v="4"/>
    <x v="0"/>
    <x v="9"/>
    <n v="29149.051200000002"/>
  </r>
  <r>
    <x v="0"/>
    <x v="0"/>
    <x v="0"/>
    <x v="0"/>
    <x v="4"/>
    <x v="0"/>
    <x v="10"/>
    <n v="29149.051200000002"/>
  </r>
  <r>
    <x v="0"/>
    <x v="0"/>
    <x v="0"/>
    <x v="0"/>
    <x v="4"/>
    <x v="0"/>
    <x v="11"/>
    <n v="29149.051200000002"/>
  </r>
  <r>
    <x v="0"/>
    <x v="0"/>
    <x v="0"/>
    <x v="0"/>
    <x v="4"/>
    <x v="1"/>
    <x v="0"/>
    <n v="29149.051200000002"/>
  </r>
  <r>
    <x v="0"/>
    <x v="0"/>
    <x v="0"/>
    <x v="0"/>
    <x v="4"/>
    <x v="1"/>
    <x v="1"/>
    <n v="29149.051200000002"/>
  </r>
  <r>
    <x v="0"/>
    <x v="0"/>
    <x v="0"/>
    <x v="0"/>
    <x v="4"/>
    <x v="1"/>
    <x v="2"/>
    <n v="29149.051200000002"/>
  </r>
  <r>
    <x v="0"/>
    <x v="0"/>
    <x v="0"/>
    <x v="0"/>
    <x v="4"/>
    <x v="1"/>
    <x v="3"/>
    <n v="29149.051200000002"/>
  </r>
  <r>
    <x v="0"/>
    <x v="0"/>
    <x v="0"/>
    <x v="0"/>
    <x v="4"/>
    <x v="1"/>
    <x v="4"/>
    <n v="29149.051200000002"/>
  </r>
  <r>
    <x v="0"/>
    <x v="0"/>
    <x v="0"/>
    <x v="0"/>
    <x v="4"/>
    <x v="1"/>
    <x v="5"/>
    <n v="29149.051200000002"/>
  </r>
  <r>
    <x v="0"/>
    <x v="0"/>
    <x v="0"/>
    <x v="0"/>
    <x v="4"/>
    <x v="1"/>
    <x v="6"/>
    <n v="29149.051200000002"/>
  </r>
  <r>
    <x v="0"/>
    <x v="0"/>
    <x v="0"/>
    <x v="0"/>
    <x v="4"/>
    <x v="1"/>
    <x v="7"/>
    <n v="29149.051200000002"/>
  </r>
  <r>
    <x v="0"/>
    <x v="0"/>
    <x v="0"/>
    <x v="0"/>
    <x v="4"/>
    <x v="1"/>
    <x v="8"/>
    <n v="29149.051200000002"/>
  </r>
  <r>
    <x v="0"/>
    <x v="0"/>
    <x v="0"/>
    <x v="0"/>
    <x v="4"/>
    <x v="1"/>
    <x v="9"/>
    <n v="29149.051200000002"/>
  </r>
  <r>
    <x v="0"/>
    <x v="0"/>
    <x v="0"/>
    <x v="0"/>
    <x v="4"/>
    <x v="1"/>
    <x v="10"/>
    <n v="29149.051200000002"/>
  </r>
  <r>
    <x v="0"/>
    <x v="0"/>
    <x v="0"/>
    <x v="0"/>
    <x v="4"/>
    <x v="1"/>
    <x v="11"/>
    <n v="29149.051200000002"/>
  </r>
  <r>
    <x v="0"/>
    <x v="0"/>
    <x v="0"/>
    <x v="0"/>
    <x v="4"/>
    <x v="2"/>
    <x v="0"/>
    <n v="29149.051200000002"/>
  </r>
  <r>
    <x v="0"/>
    <x v="0"/>
    <x v="0"/>
    <x v="0"/>
    <x v="4"/>
    <x v="2"/>
    <x v="1"/>
    <n v="29149.051200000002"/>
  </r>
  <r>
    <x v="0"/>
    <x v="0"/>
    <x v="0"/>
    <x v="0"/>
    <x v="4"/>
    <x v="2"/>
    <x v="2"/>
    <n v="29149.051200000002"/>
  </r>
  <r>
    <x v="0"/>
    <x v="0"/>
    <x v="0"/>
    <x v="0"/>
    <x v="4"/>
    <x v="2"/>
    <x v="3"/>
    <n v="29149.051200000002"/>
  </r>
  <r>
    <x v="0"/>
    <x v="0"/>
    <x v="0"/>
    <x v="0"/>
    <x v="4"/>
    <x v="2"/>
    <x v="4"/>
    <n v="29149.051200000002"/>
  </r>
  <r>
    <x v="0"/>
    <x v="0"/>
    <x v="0"/>
    <x v="0"/>
    <x v="4"/>
    <x v="2"/>
    <x v="5"/>
    <n v="29149.051200000002"/>
  </r>
  <r>
    <x v="0"/>
    <x v="0"/>
    <x v="0"/>
    <x v="0"/>
    <x v="4"/>
    <x v="2"/>
    <x v="6"/>
    <n v="29149.051200000002"/>
  </r>
  <r>
    <x v="0"/>
    <x v="0"/>
    <x v="0"/>
    <x v="0"/>
    <x v="4"/>
    <x v="2"/>
    <x v="7"/>
    <n v="29149.051200000002"/>
  </r>
  <r>
    <x v="0"/>
    <x v="0"/>
    <x v="0"/>
    <x v="0"/>
    <x v="4"/>
    <x v="2"/>
    <x v="8"/>
    <n v="29149.051200000002"/>
  </r>
  <r>
    <x v="0"/>
    <x v="0"/>
    <x v="0"/>
    <x v="0"/>
    <x v="4"/>
    <x v="2"/>
    <x v="9"/>
    <n v="29149.051200000002"/>
  </r>
  <r>
    <x v="0"/>
    <x v="0"/>
    <x v="0"/>
    <x v="0"/>
    <x v="4"/>
    <x v="2"/>
    <x v="10"/>
    <n v="29149.051200000002"/>
  </r>
  <r>
    <x v="0"/>
    <x v="0"/>
    <x v="0"/>
    <x v="0"/>
    <x v="4"/>
    <x v="2"/>
    <x v="11"/>
    <n v="29149.051200000002"/>
  </r>
  <r>
    <x v="0"/>
    <x v="0"/>
    <x v="0"/>
    <x v="0"/>
    <x v="4"/>
    <x v="3"/>
    <x v="0"/>
    <n v="29149.051200000002"/>
  </r>
  <r>
    <x v="0"/>
    <x v="0"/>
    <x v="0"/>
    <x v="0"/>
    <x v="4"/>
    <x v="3"/>
    <x v="1"/>
    <n v="29149.051200000002"/>
  </r>
  <r>
    <x v="0"/>
    <x v="0"/>
    <x v="0"/>
    <x v="0"/>
    <x v="4"/>
    <x v="3"/>
    <x v="2"/>
    <n v="29149.051200000002"/>
  </r>
  <r>
    <x v="0"/>
    <x v="0"/>
    <x v="0"/>
    <x v="0"/>
    <x v="4"/>
    <x v="3"/>
    <x v="3"/>
    <n v="29149.051200000002"/>
  </r>
  <r>
    <x v="0"/>
    <x v="0"/>
    <x v="0"/>
    <x v="0"/>
    <x v="4"/>
    <x v="3"/>
    <x v="4"/>
    <n v="29149.051200000002"/>
  </r>
  <r>
    <x v="0"/>
    <x v="0"/>
    <x v="0"/>
    <x v="0"/>
    <x v="4"/>
    <x v="3"/>
    <x v="5"/>
    <n v="29149.051200000002"/>
  </r>
  <r>
    <x v="0"/>
    <x v="0"/>
    <x v="0"/>
    <x v="0"/>
    <x v="4"/>
    <x v="3"/>
    <x v="6"/>
    <n v="29149.051200000002"/>
  </r>
  <r>
    <x v="0"/>
    <x v="0"/>
    <x v="0"/>
    <x v="0"/>
    <x v="4"/>
    <x v="3"/>
    <x v="7"/>
    <n v="29149.051200000002"/>
  </r>
  <r>
    <x v="0"/>
    <x v="0"/>
    <x v="0"/>
    <x v="0"/>
    <x v="4"/>
    <x v="3"/>
    <x v="8"/>
    <n v="29149.051200000002"/>
  </r>
  <r>
    <x v="0"/>
    <x v="0"/>
    <x v="0"/>
    <x v="0"/>
    <x v="4"/>
    <x v="3"/>
    <x v="9"/>
    <n v="29149.051200000002"/>
  </r>
  <r>
    <x v="0"/>
    <x v="0"/>
    <x v="0"/>
    <x v="0"/>
    <x v="4"/>
    <x v="3"/>
    <x v="10"/>
    <n v="29149.051200000002"/>
  </r>
  <r>
    <x v="0"/>
    <x v="0"/>
    <x v="0"/>
    <x v="0"/>
    <x v="4"/>
    <x v="3"/>
    <x v="11"/>
    <n v="29149.051200000002"/>
  </r>
  <r>
    <x v="0"/>
    <x v="0"/>
    <x v="0"/>
    <x v="0"/>
    <x v="4"/>
    <x v="4"/>
    <x v="0"/>
    <n v="29149.051200000002"/>
  </r>
  <r>
    <x v="0"/>
    <x v="0"/>
    <x v="0"/>
    <x v="0"/>
    <x v="4"/>
    <x v="4"/>
    <x v="1"/>
    <n v="29149.051200000002"/>
  </r>
  <r>
    <x v="0"/>
    <x v="0"/>
    <x v="0"/>
    <x v="0"/>
    <x v="4"/>
    <x v="4"/>
    <x v="2"/>
    <n v="29149.051200000002"/>
  </r>
  <r>
    <x v="0"/>
    <x v="0"/>
    <x v="0"/>
    <x v="0"/>
    <x v="4"/>
    <x v="4"/>
    <x v="3"/>
    <n v="29149.051200000002"/>
  </r>
  <r>
    <x v="0"/>
    <x v="0"/>
    <x v="0"/>
    <x v="0"/>
    <x v="4"/>
    <x v="4"/>
    <x v="4"/>
    <n v="29149.051200000002"/>
  </r>
  <r>
    <x v="0"/>
    <x v="0"/>
    <x v="0"/>
    <x v="0"/>
    <x v="4"/>
    <x v="4"/>
    <x v="5"/>
    <n v="29149.051200000002"/>
  </r>
  <r>
    <x v="0"/>
    <x v="0"/>
    <x v="0"/>
    <x v="0"/>
    <x v="4"/>
    <x v="4"/>
    <x v="6"/>
    <n v="29149.051200000002"/>
  </r>
  <r>
    <x v="0"/>
    <x v="0"/>
    <x v="0"/>
    <x v="0"/>
    <x v="4"/>
    <x v="4"/>
    <x v="7"/>
    <n v="29149.051200000002"/>
  </r>
  <r>
    <x v="0"/>
    <x v="0"/>
    <x v="0"/>
    <x v="0"/>
    <x v="4"/>
    <x v="4"/>
    <x v="8"/>
    <n v="29149.051200000002"/>
  </r>
  <r>
    <x v="0"/>
    <x v="0"/>
    <x v="0"/>
    <x v="0"/>
    <x v="4"/>
    <x v="4"/>
    <x v="9"/>
    <n v="29149.051200000002"/>
  </r>
  <r>
    <x v="0"/>
    <x v="0"/>
    <x v="0"/>
    <x v="0"/>
    <x v="4"/>
    <x v="4"/>
    <x v="10"/>
    <n v="29149.051200000002"/>
  </r>
  <r>
    <x v="0"/>
    <x v="0"/>
    <x v="0"/>
    <x v="0"/>
    <x v="4"/>
    <x v="4"/>
    <x v="11"/>
    <n v="29149.051200000002"/>
  </r>
  <r>
    <x v="0"/>
    <x v="0"/>
    <x v="0"/>
    <x v="0"/>
    <x v="4"/>
    <x v="5"/>
    <x v="0"/>
    <n v="29149.051200000002"/>
  </r>
  <r>
    <x v="0"/>
    <x v="0"/>
    <x v="0"/>
    <x v="0"/>
    <x v="4"/>
    <x v="5"/>
    <x v="1"/>
    <n v="29149.051200000002"/>
  </r>
  <r>
    <x v="0"/>
    <x v="0"/>
    <x v="0"/>
    <x v="0"/>
    <x v="4"/>
    <x v="5"/>
    <x v="2"/>
    <n v="29149.051200000002"/>
  </r>
  <r>
    <x v="0"/>
    <x v="0"/>
    <x v="0"/>
    <x v="0"/>
    <x v="4"/>
    <x v="5"/>
    <x v="3"/>
    <n v="29149.051200000002"/>
  </r>
  <r>
    <x v="0"/>
    <x v="0"/>
    <x v="0"/>
    <x v="0"/>
    <x v="4"/>
    <x v="5"/>
    <x v="4"/>
    <n v="29149.051200000002"/>
  </r>
  <r>
    <x v="0"/>
    <x v="0"/>
    <x v="0"/>
    <x v="0"/>
    <x v="4"/>
    <x v="5"/>
    <x v="5"/>
    <n v="29149.051200000002"/>
  </r>
  <r>
    <x v="0"/>
    <x v="0"/>
    <x v="0"/>
    <x v="0"/>
    <x v="4"/>
    <x v="5"/>
    <x v="6"/>
    <n v="29149.051200000002"/>
  </r>
  <r>
    <x v="0"/>
    <x v="0"/>
    <x v="0"/>
    <x v="0"/>
    <x v="4"/>
    <x v="5"/>
    <x v="7"/>
    <n v="29149.051200000002"/>
  </r>
  <r>
    <x v="0"/>
    <x v="0"/>
    <x v="0"/>
    <x v="0"/>
    <x v="4"/>
    <x v="5"/>
    <x v="8"/>
    <n v="29149.051200000002"/>
  </r>
  <r>
    <x v="0"/>
    <x v="0"/>
    <x v="0"/>
    <x v="0"/>
    <x v="4"/>
    <x v="5"/>
    <x v="9"/>
    <n v="29149.051200000002"/>
  </r>
  <r>
    <x v="0"/>
    <x v="0"/>
    <x v="0"/>
    <x v="0"/>
    <x v="4"/>
    <x v="5"/>
    <x v="10"/>
    <n v="29149.051200000002"/>
  </r>
  <r>
    <x v="0"/>
    <x v="0"/>
    <x v="0"/>
    <x v="0"/>
    <x v="4"/>
    <x v="5"/>
    <x v="11"/>
    <n v="29149.051200000002"/>
  </r>
  <r>
    <x v="0"/>
    <x v="0"/>
    <x v="0"/>
    <x v="0"/>
    <x v="4"/>
    <x v="6"/>
    <x v="0"/>
    <n v="29149.051200000002"/>
  </r>
  <r>
    <x v="0"/>
    <x v="0"/>
    <x v="0"/>
    <x v="0"/>
    <x v="4"/>
    <x v="6"/>
    <x v="1"/>
    <n v="29149.051200000002"/>
  </r>
  <r>
    <x v="0"/>
    <x v="0"/>
    <x v="0"/>
    <x v="0"/>
    <x v="4"/>
    <x v="6"/>
    <x v="2"/>
    <n v="29149.051200000002"/>
  </r>
  <r>
    <x v="0"/>
    <x v="0"/>
    <x v="0"/>
    <x v="0"/>
    <x v="4"/>
    <x v="6"/>
    <x v="3"/>
    <n v="29149.051200000002"/>
  </r>
  <r>
    <x v="0"/>
    <x v="0"/>
    <x v="0"/>
    <x v="0"/>
    <x v="4"/>
    <x v="6"/>
    <x v="4"/>
    <n v="29149.051200000002"/>
  </r>
  <r>
    <x v="0"/>
    <x v="0"/>
    <x v="0"/>
    <x v="0"/>
    <x v="4"/>
    <x v="6"/>
    <x v="5"/>
    <n v="29149.051200000002"/>
  </r>
  <r>
    <x v="0"/>
    <x v="0"/>
    <x v="0"/>
    <x v="0"/>
    <x v="4"/>
    <x v="6"/>
    <x v="6"/>
    <n v="29149.051200000002"/>
  </r>
  <r>
    <x v="0"/>
    <x v="0"/>
    <x v="0"/>
    <x v="0"/>
    <x v="4"/>
    <x v="6"/>
    <x v="7"/>
    <n v="29149.051200000002"/>
  </r>
  <r>
    <x v="0"/>
    <x v="0"/>
    <x v="0"/>
    <x v="0"/>
    <x v="4"/>
    <x v="6"/>
    <x v="8"/>
    <n v="29149.051200000002"/>
  </r>
  <r>
    <x v="0"/>
    <x v="0"/>
    <x v="0"/>
    <x v="0"/>
    <x v="4"/>
    <x v="6"/>
    <x v="9"/>
    <n v="29149.051200000002"/>
  </r>
  <r>
    <x v="0"/>
    <x v="0"/>
    <x v="0"/>
    <x v="0"/>
    <x v="4"/>
    <x v="6"/>
    <x v="10"/>
    <n v="29149.051200000002"/>
  </r>
  <r>
    <x v="0"/>
    <x v="0"/>
    <x v="0"/>
    <x v="0"/>
    <x v="4"/>
    <x v="6"/>
    <x v="11"/>
    <n v="29149.051200000002"/>
  </r>
  <r>
    <x v="0"/>
    <x v="0"/>
    <x v="0"/>
    <x v="0"/>
    <x v="4"/>
    <x v="7"/>
    <x v="0"/>
    <n v="29149.051200000002"/>
  </r>
  <r>
    <x v="0"/>
    <x v="0"/>
    <x v="0"/>
    <x v="0"/>
    <x v="4"/>
    <x v="7"/>
    <x v="1"/>
    <n v="29149.051200000002"/>
  </r>
  <r>
    <x v="0"/>
    <x v="0"/>
    <x v="0"/>
    <x v="0"/>
    <x v="4"/>
    <x v="7"/>
    <x v="2"/>
    <n v="29149.051200000002"/>
  </r>
  <r>
    <x v="0"/>
    <x v="0"/>
    <x v="0"/>
    <x v="0"/>
    <x v="4"/>
    <x v="7"/>
    <x v="3"/>
    <n v="29149.051200000002"/>
  </r>
  <r>
    <x v="0"/>
    <x v="0"/>
    <x v="0"/>
    <x v="0"/>
    <x v="4"/>
    <x v="7"/>
    <x v="4"/>
    <n v="29149.051200000002"/>
  </r>
  <r>
    <x v="0"/>
    <x v="0"/>
    <x v="0"/>
    <x v="0"/>
    <x v="4"/>
    <x v="7"/>
    <x v="5"/>
    <n v="29149.051200000002"/>
  </r>
  <r>
    <x v="0"/>
    <x v="0"/>
    <x v="0"/>
    <x v="0"/>
    <x v="4"/>
    <x v="7"/>
    <x v="6"/>
    <n v="29149.051200000002"/>
  </r>
  <r>
    <x v="0"/>
    <x v="0"/>
    <x v="0"/>
    <x v="0"/>
    <x v="4"/>
    <x v="7"/>
    <x v="7"/>
    <n v="29149.051200000002"/>
  </r>
  <r>
    <x v="0"/>
    <x v="0"/>
    <x v="0"/>
    <x v="0"/>
    <x v="4"/>
    <x v="7"/>
    <x v="8"/>
    <n v="29149.051200000002"/>
  </r>
  <r>
    <x v="0"/>
    <x v="0"/>
    <x v="0"/>
    <x v="0"/>
    <x v="4"/>
    <x v="7"/>
    <x v="9"/>
    <n v="29149.051200000002"/>
  </r>
  <r>
    <x v="0"/>
    <x v="0"/>
    <x v="0"/>
    <x v="0"/>
    <x v="4"/>
    <x v="7"/>
    <x v="10"/>
    <n v="29149.051200000002"/>
  </r>
  <r>
    <x v="0"/>
    <x v="0"/>
    <x v="0"/>
    <x v="0"/>
    <x v="4"/>
    <x v="7"/>
    <x v="11"/>
    <n v="29149.051200000002"/>
  </r>
  <r>
    <x v="0"/>
    <x v="0"/>
    <x v="0"/>
    <x v="0"/>
    <x v="4"/>
    <x v="8"/>
    <x v="0"/>
    <n v="29149.051200000002"/>
  </r>
  <r>
    <x v="0"/>
    <x v="0"/>
    <x v="0"/>
    <x v="0"/>
    <x v="4"/>
    <x v="8"/>
    <x v="1"/>
    <n v="29149.051200000002"/>
  </r>
  <r>
    <x v="0"/>
    <x v="0"/>
    <x v="0"/>
    <x v="0"/>
    <x v="4"/>
    <x v="8"/>
    <x v="2"/>
    <n v="29149.051200000002"/>
  </r>
  <r>
    <x v="0"/>
    <x v="0"/>
    <x v="0"/>
    <x v="0"/>
    <x v="4"/>
    <x v="8"/>
    <x v="3"/>
    <n v="29149.051200000002"/>
  </r>
  <r>
    <x v="0"/>
    <x v="0"/>
    <x v="0"/>
    <x v="0"/>
    <x v="4"/>
    <x v="8"/>
    <x v="4"/>
    <n v="29149.051200000002"/>
  </r>
  <r>
    <x v="0"/>
    <x v="0"/>
    <x v="0"/>
    <x v="0"/>
    <x v="4"/>
    <x v="8"/>
    <x v="5"/>
    <n v="29149.051200000002"/>
  </r>
  <r>
    <x v="0"/>
    <x v="0"/>
    <x v="0"/>
    <x v="0"/>
    <x v="4"/>
    <x v="8"/>
    <x v="6"/>
    <n v="29149.051200000002"/>
  </r>
  <r>
    <x v="0"/>
    <x v="0"/>
    <x v="0"/>
    <x v="0"/>
    <x v="4"/>
    <x v="8"/>
    <x v="7"/>
    <n v="29149.051200000002"/>
  </r>
  <r>
    <x v="0"/>
    <x v="0"/>
    <x v="0"/>
    <x v="0"/>
    <x v="4"/>
    <x v="8"/>
    <x v="8"/>
    <n v="29149.051200000002"/>
  </r>
  <r>
    <x v="0"/>
    <x v="0"/>
    <x v="0"/>
    <x v="0"/>
    <x v="4"/>
    <x v="8"/>
    <x v="9"/>
    <n v="29149.051200000002"/>
  </r>
  <r>
    <x v="0"/>
    <x v="0"/>
    <x v="0"/>
    <x v="0"/>
    <x v="4"/>
    <x v="8"/>
    <x v="10"/>
    <n v="29149.051200000002"/>
  </r>
  <r>
    <x v="0"/>
    <x v="0"/>
    <x v="0"/>
    <x v="0"/>
    <x v="4"/>
    <x v="8"/>
    <x v="11"/>
    <n v="29149.051200000002"/>
  </r>
  <r>
    <x v="0"/>
    <x v="0"/>
    <x v="0"/>
    <x v="0"/>
    <x v="4"/>
    <x v="9"/>
    <x v="0"/>
    <n v="29149.051200000002"/>
  </r>
  <r>
    <x v="0"/>
    <x v="0"/>
    <x v="0"/>
    <x v="0"/>
    <x v="4"/>
    <x v="9"/>
    <x v="1"/>
    <n v="29149.051200000002"/>
  </r>
  <r>
    <x v="0"/>
    <x v="0"/>
    <x v="0"/>
    <x v="0"/>
    <x v="4"/>
    <x v="9"/>
    <x v="2"/>
    <n v="29149.051200000002"/>
  </r>
  <r>
    <x v="0"/>
    <x v="0"/>
    <x v="0"/>
    <x v="0"/>
    <x v="4"/>
    <x v="9"/>
    <x v="3"/>
    <n v="29149.051200000002"/>
  </r>
  <r>
    <x v="0"/>
    <x v="0"/>
    <x v="0"/>
    <x v="0"/>
    <x v="4"/>
    <x v="9"/>
    <x v="4"/>
    <n v="29149.051200000002"/>
  </r>
  <r>
    <x v="0"/>
    <x v="0"/>
    <x v="0"/>
    <x v="0"/>
    <x v="4"/>
    <x v="9"/>
    <x v="5"/>
    <n v="29149.051200000002"/>
  </r>
  <r>
    <x v="0"/>
    <x v="0"/>
    <x v="0"/>
    <x v="0"/>
    <x v="4"/>
    <x v="9"/>
    <x v="6"/>
    <n v="29149.051200000002"/>
  </r>
  <r>
    <x v="0"/>
    <x v="0"/>
    <x v="0"/>
    <x v="0"/>
    <x v="4"/>
    <x v="9"/>
    <x v="7"/>
    <n v="29149.051200000002"/>
  </r>
  <r>
    <x v="0"/>
    <x v="0"/>
    <x v="0"/>
    <x v="0"/>
    <x v="4"/>
    <x v="9"/>
    <x v="8"/>
    <n v="29149.051200000002"/>
  </r>
  <r>
    <x v="0"/>
    <x v="0"/>
    <x v="0"/>
    <x v="0"/>
    <x v="4"/>
    <x v="9"/>
    <x v="9"/>
    <n v="29149.051200000002"/>
  </r>
  <r>
    <x v="0"/>
    <x v="0"/>
    <x v="0"/>
    <x v="0"/>
    <x v="4"/>
    <x v="9"/>
    <x v="10"/>
    <n v="29149.051200000002"/>
  </r>
  <r>
    <x v="0"/>
    <x v="0"/>
    <x v="0"/>
    <x v="0"/>
    <x v="4"/>
    <x v="9"/>
    <x v="11"/>
    <n v="29149.051200000002"/>
  </r>
  <r>
    <x v="0"/>
    <x v="0"/>
    <x v="0"/>
    <x v="0"/>
    <x v="4"/>
    <x v="10"/>
    <x v="0"/>
    <n v="29149.051200000002"/>
  </r>
  <r>
    <x v="0"/>
    <x v="0"/>
    <x v="0"/>
    <x v="0"/>
    <x v="4"/>
    <x v="10"/>
    <x v="1"/>
    <n v="29149.051200000002"/>
  </r>
  <r>
    <x v="0"/>
    <x v="0"/>
    <x v="0"/>
    <x v="0"/>
    <x v="4"/>
    <x v="10"/>
    <x v="2"/>
    <n v="29149.051200000002"/>
  </r>
  <r>
    <x v="0"/>
    <x v="0"/>
    <x v="0"/>
    <x v="0"/>
    <x v="4"/>
    <x v="10"/>
    <x v="3"/>
    <n v="29149.051200000002"/>
  </r>
  <r>
    <x v="0"/>
    <x v="0"/>
    <x v="0"/>
    <x v="0"/>
    <x v="4"/>
    <x v="10"/>
    <x v="4"/>
    <n v="29149.051200000002"/>
  </r>
  <r>
    <x v="0"/>
    <x v="0"/>
    <x v="0"/>
    <x v="0"/>
    <x v="4"/>
    <x v="10"/>
    <x v="5"/>
    <n v="29149.051200000002"/>
  </r>
  <r>
    <x v="0"/>
    <x v="0"/>
    <x v="0"/>
    <x v="0"/>
    <x v="4"/>
    <x v="10"/>
    <x v="6"/>
    <n v="29149.051200000002"/>
  </r>
  <r>
    <x v="0"/>
    <x v="0"/>
    <x v="0"/>
    <x v="0"/>
    <x v="4"/>
    <x v="10"/>
    <x v="7"/>
    <n v="29149.051200000002"/>
  </r>
  <r>
    <x v="0"/>
    <x v="0"/>
    <x v="0"/>
    <x v="0"/>
    <x v="4"/>
    <x v="10"/>
    <x v="8"/>
    <n v="29149.051200000002"/>
  </r>
  <r>
    <x v="0"/>
    <x v="0"/>
    <x v="0"/>
    <x v="0"/>
    <x v="4"/>
    <x v="10"/>
    <x v="9"/>
    <n v="29149.051200000002"/>
  </r>
  <r>
    <x v="0"/>
    <x v="0"/>
    <x v="0"/>
    <x v="0"/>
    <x v="4"/>
    <x v="10"/>
    <x v="10"/>
    <n v="29149.051200000002"/>
  </r>
  <r>
    <x v="0"/>
    <x v="0"/>
    <x v="0"/>
    <x v="0"/>
    <x v="4"/>
    <x v="10"/>
    <x v="11"/>
    <n v="29149.051200000002"/>
  </r>
  <r>
    <x v="0"/>
    <x v="0"/>
    <x v="0"/>
    <x v="0"/>
    <x v="4"/>
    <x v="11"/>
    <x v="0"/>
    <n v="29149.051200000002"/>
  </r>
  <r>
    <x v="0"/>
    <x v="0"/>
    <x v="0"/>
    <x v="0"/>
    <x v="4"/>
    <x v="11"/>
    <x v="1"/>
    <n v="29149.051200000002"/>
  </r>
  <r>
    <x v="0"/>
    <x v="0"/>
    <x v="0"/>
    <x v="0"/>
    <x v="4"/>
    <x v="11"/>
    <x v="2"/>
    <n v="29149.051200000002"/>
  </r>
  <r>
    <x v="0"/>
    <x v="0"/>
    <x v="0"/>
    <x v="0"/>
    <x v="4"/>
    <x v="11"/>
    <x v="3"/>
    <n v="29149.051200000002"/>
  </r>
  <r>
    <x v="0"/>
    <x v="0"/>
    <x v="0"/>
    <x v="0"/>
    <x v="4"/>
    <x v="11"/>
    <x v="4"/>
    <n v="29149.051200000002"/>
  </r>
  <r>
    <x v="0"/>
    <x v="0"/>
    <x v="0"/>
    <x v="0"/>
    <x v="4"/>
    <x v="11"/>
    <x v="5"/>
    <n v="29149.051200000002"/>
  </r>
  <r>
    <x v="0"/>
    <x v="0"/>
    <x v="0"/>
    <x v="0"/>
    <x v="4"/>
    <x v="11"/>
    <x v="6"/>
    <n v="29149.051200000002"/>
  </r>
  <r>
    <x v="0"/>
    <x v="0"/>
    <x v="0"/>
    <x v="0"/>
    <x v="4"/>
    <x v="11"/>
    <x v="7"/>
    <n v="29149.051200000002"/>
  </r>
  <r>
    <x v="0"/>
    <x v="0"/>
    <x v="0"/>
    <x v="0"/>
    <x v="4"/>
    <x v="11"/>
    <x v="8"/>
    <n v="29149.051200000002"/>
  </r>
  <r>
    <x v="0"/>
    <x v="0"/>
    <x v="0"/>
    <x v="0"/>
    <x v="4"/>
    <x v="11"/>
    <x v="9"/>
    <n v="29149.051200000002"/>
  </r>
  <r>
    <x v="0"/>
    <x v="0"/>
    <x v="0"/>
    <x v="0"/>
    <x v="4"/>
    <x v="11"/>
    <x v="10"/>
    <n v="29149.051200000002"/>
  </r>
  <r>
    <x v="0"/>
    <x v="0"/>
    <x v="0"/>
    <x v="0"/>
    <x v="4"/>
    <x v="11"/>
    <x v="11"/>
    <n v="29149.051200000002"/>
  </r>
  <r>
    <x v="0"/>
    <x v="0"/>
    <x v="0"/>
    <x v="0"/>
    <x v="5"/>
    <x v="0"/>
    <x v="0"/>
    <n v="96405.561937949096"/>
  </r>
  <r>
    <x v="0"/>
    <x v="0"/>
    <x v="0"/>
    <x v="0"/>
    <x v="5"/>
    <x v="0"/>
    <x v="1"/>
    <n v="82392.698359592498"/>
  </r>
  <r>
    <x v="0"/>
    <x v="0"/>
    <x v="0"/>
    <x v="0"/>
    <x v="5"/>
    <x v="0"/>
    <x v="2"/>
    <n v="70269.345506366793"/>
  </r>
  <r>
    <x v="0"/>
    <x v="0"/>
    <x v="0"/>
    <x v="0"/>
    <x v="5"/>
    <x v="0"/>
    <x v="3"/>
    <n v="67317.831795099395"/>
  </r>
  <r>
    <x v="0"/>
    <x v="0"/>
    <x v="0"/>
    <x v="0"/>
    <x v="5"/>
    <x v="0"/>
    <x v="4"/>
    <n v="67317.831795099395"/>
  </r>
  <r>
    <x v="0"/>
    <x v="0"/>
    <x v="0"/>
    <x v="0"/>
    <x v="5"/>
    <x v="0"/>
    <x v="5"/>
    <n v="67317.831795099395"/>
  </r>
  <r>
    <x v="0"/>
    <x v="0"/>
    <x v="0"/>
    <x v="0"/>
    <x v="5"/>
    <x v="0"/>
    <x v="6"/>
    <n v="67317.831795099395"/>
  </r>
  <r>
    <x v="0"/>
    <x v="0"/>
    <x v="0"/>
    <x v="0"/>
    <x v="5"/>
    <x v="0"/>
    <x v="7"/>
    <n v="67317.831795099395"/>
  </r>
  <r>
    <x v="0"/>
    <x v="0"/>
    <x v="0"/>
    <x v="0"/>
    <x v="5"/>
    <x v="0"/>
    <x v="8"/>
    <n v="67317.831795099395"/>
  </r>
  <r>
    <x v="0"/>
    <x v="0"/>
    <x v="0"/>
    <x v="0"/>
    <x v="5"/>
    <x v="0"/>
    <x v="9"/>
    <n v="67317.831795099395"/>
  </r>
  <r>
    <x v="0"/>
    <x v="0"/>
    <x v="0"/>
    <x v="0"/>
    <x v="5"/>
    <x v="0"/>
    <x v="10"/>
    <n v="67317.831795099395"/>
  </r>
  <r>
    <x v="0"/>
    <x v="0"/>
    <x v="0"/>
    <x v="0"/>
    <x v="5"/>
    <x v="0"/>
    <x v="11"/>
    <n v="67317.831795099395"/>
  </r>
  <r>
    <x v="0"/>
    <x v="0"/>
    <x v="0"/>
    <x v="0"/>
    <x v="5"/>
    <x v="1"/>
    <x v="0"/>
    <n v="95017.241920262095"/>
  </r>
  <r>
    <x v="0"/>
    <x v="0"/>
    <x v="0"/>
    <x v="0"/>
    <x v="5"/>
    <x v="1"/>
    <x v="1"/>
    <n v="74287.800046003598"/>
  </r>
  <r>
    <x v="0"/>
    <x v="0"/>
    <x v="0"/>
    <x v="0"/>
    <x v="5"/>
    <x v="1"/>
    <x v="2"/>
    <n v="70054.712203807896"/>
  </r>
  <r>
    <x v="0"/>
    <x v="0"/>
    <x v="0"/>
    <x v="0"/>
    <x v="5"/>
    <x v="1"/>
    <x v="3"/>
    <n v="70054.712203807896"/>
  </r>
  <r>
    <x v="0"/>
    <x v="0"/>
    <x v="0"/>
    <x v="0"/>
    <x v="5"/>
    <x v="1"/>
    <x v="4"/>
    <n v="74287.800046003598"/>
  </r>
  <r>
    <x v="0"/>
    <x v="0"/>
    <x v="0"/>
    <x v="0"/>
    <x v="5"/>
    <x v="1"/>
    <x v="5"/>
    <n v="95017.241920262095"/>
  </r>
  <r>
    <x v="0"/>
    <x v="0"/>
    <x v="0"/>
    <x v="0"/>
    <x v="5"/>
    <x v="1"/>
    <x v="6"/>
    <n v="100206.784727822"/>
  </r>
  <r>
    <x v="0"/>
    <x v="0"/>
    <x v="0"/>
    <x v="0"/>
    <x v="5"/>
    <x v="1"/>
    <x v="7"/>
    <n v="100206.784727822"/>
  </r>
  <r>
    <x v="0"/>
    <x v="0"/>
    <x v="0"/>
    <x v="0"/>
    <x v="5"/>
    <x v="1"/>
    <x v="8"/>
    <n v="100206.784727822"/>
  </r>
  <r>
    <x v="0"/>
    <x v="0"/>
    <x v="0"/>
    <x v="0"/>
    <x v="5"/>
    <x v="1"/>
    <x v="9"/>
    <n v="100206.784727822"/>
  </r>
  <r>
    <x v="0"/>
    <x v="0"/>
    <x v="0"/>
    <x v="0"/>
    <x v="5"/>
    <x v="1"/>
    <x v="10"/>
    <n v="100206.784727822"/>
  </r>
  <r>
    <x v="0"/>
    <x v="0"/>
    <x v="0"/>
    <x v="0"/>
    <x v="5"/>
    <x v="1"/>
    <x v="11"/>
    <n v="100206.784727822"/>
  </r>
  <r>
    <x v="0"/>
    <x v="0"/>
    <x v="0"/>
    <x v="0"/>
    <x v="5"/>
    <x v="2"/>
    <x v="0"/>
    <n v="57939.770110143298"/>
  </r>
  <r>
    <x v="0"/>
    <x v="0"/>
    <x v="0"/>
    <x v="0"/>
    <x v="5"/>
    <x v="2"/>
    <x v="1"/>
    <n v="57939.770110143298"/>
  </r>
  <r>
    <x v="0"/>
    <x v="0"/>
    <x v="0"/>
    <x v="0"/>
    <x v="5"/>
    <x v="2"/>
    <x v="2"/>
    <n v="57939.770110143298"/>
  </r>
  <r>
    <x v="0"/>
    <x v="0"/>
    <x v="0"/>
    <x v="0"/>
    <x v="5"/>
    <x v="2"/>
    <x v="3"/>
    <n v="67317.831795099395"/>
  </r>
  <r>
    <x v="0"/>
    <x v="0"/>
    <x v="0"/>
    <x v="0"/>
    <x v="5"/>
    <x v="2"/>
    <x v="4"/>
    <n v="67317.831795099395"/>
  </r>
  <r>
    <x v="0"/>
    <x v="0"/>
    <x v="0"/>
    <x v="0"/>
    <x v="5"/>
    <x v="2"/>
    <x v="5"/>
    <n v="74287.800046003598"/>
  </r>
  <r>
    <x v="0"/>
    <x v="0"/>
    <x v="0"/>
    <x v="0"/>
    <x v="5"/>
    <x v="2"/>
    <x v="6"/>
    <n v="100206.784727822"/>
  </r>
  <r>
    <x v="0"/>
    <x v="0"/>
    <x v="0"/>
    <x v="0"/>
    <x v="5"/>
    <x v="2"/>
    <x v="7"/>
    <n v="100206.784727822"/>
  </r>
  <r>
    <x v="0"/>
    <x v="0"/>
    <x v="0"/>
    <x v="0"/>
    <x v="5"/>
    <x v="2"/>
    <x v="8"/>
    <n v="100206.784727822"/>
  </r>
  <r>
    <x v="0"/>
    <x v="0"/>
    <x v="0"/>
    <x v="0"/>
    <x v="5"/>
    <x v="2"/>
    <x v="9"/>
    <n v="100206.784727822"/>
  </r>
  <r>
    <x v="0"/>
    <x v="0"/>
    <x v="0"/>
    <x v="0"/>
    <x v="5"/>
    <x v="2"/>
    <x v="10"/>
    <n v="100206.784727822"/>
  </r>
  <r>
    <x v="0"/>
    <x v="0"/>
    <x v="0"/>
    <x v="0"/>
    <x v="5"/>
    <x v="2"/>
    <x v="11"/>
    <n v="100206.784727822"/>
  </r>
  <r>
    <x v="0"/>
    <x v="0"/>
    <x v="0"/>
    <x v="0"/>
    <x v="5"/>
    <x v="3"/>
    <x v="0"/>
    <n v="67317.831795099395"/>
  </r>
  <r>
    <x v="0"/>
    <x v="0"/>
    <x v="0"/>
    <x v="0"/>
    <x v="5"/>
    <x v="3"/>
    <x v="1"/>
    <n v="67317.831795099395"/>
  </r>
  <r>
    <x v="0"/>
    <x v="0"/>
    <x v="0"/>
    <x v="0"/>
    <x v="5"/>
    <x v="3"/>
    <x v="2"/>
    <n v="67317.831795099395"/>
  </r>
  <r>
    <x v="0"/>
    <x v="0"/>
    <x v="0"/>
    <x v="0"/>
    <x v="5"/>
    <x v="3"/>
    <x v="3"/>
    <n v="67317.831795099395"/>
  </r>
  <r>
    <x v="0"/>
    <x v="0"/>
    <x v="0"/>
    <x v="0"/>
    <x v="5"/>
    <x v="3"/>
    <x v="4"/>
    <n v="82392.698359592498"/>
  </r>
  <r>
    <x v="0"/>
    <x v="0"/>
    <x v="0"/>
    <x v="0"/>
    <x v="5"/>
    <x v="3"/>
    <x v="5"/>
    <n v="100206.784727822"/>
  </r>
  <r>
    <x v="0"/>
    <x v="0"/>
    <x v="0"/>
    <x v="0"/>
    <x v="5"/>
    <x v="3"/>
    <x v="6"/>
    <n v="100206.784727822"/>
  </r>
  <r>
    <x v="0"/>
    <x v="0"/>
    <x v="0"/>
    <x v="0"/>
    <x v="5"/>
    <x v="3"/>
    <x v="7"/>
    <n v="100206.784727822"/>
  </r>
  <r>
    <x v="0"/>
    <x v="0"/>
    <x v="0"/>
    <x v="0"/>
    <x v="5"/>
    <x v="3"/>
    <x v="8"/>
    <n v="100206.784727822"/>
  </r>
  <r>
    <x v="0"/>
    <x v="0"/>
    <x v="0"/>
    <x v="0"/>
    <x v="5"/>
    <x v="3"/>
    <x v="9"/>
    <n v="100206.784727822"/>
  </r>
  <r>
    <x v="0"/>
    <x v="0"/>
    <x v="0"/>
    <x v="0"/>
    <x v="5"/>
    <x v="3"/>
    <x v="10"/>
    <n v="100206.784727822"/>
  </r>
  <r>
    <x v="0"/>
    <x v="0"/>
    <x v="0"/>
    <x v="0"/>
    <x v="5"/>
    <x v="3"/>
    <x v="11"/>
    <n v="100206.784727822"/>
  </r>
  <r>
    <x v="0"/>
    <x v="0"/>
    <x v="0"/>
    <x v="0"/>
    <x v="5"/>
    <x v="4"/>
    <x v="0"/>
    <n v="67317.831795099395"/>
  </r>
  <r>
    <x v="0"/>
    <x v="0"/>
    <x v="0"/>
    <x v="0"/>
    <x v="5"/>
    <x v="4"/>
    <x v="1"/>
    <n v="67317.831795099395"/>
  </r>
  <r>
    <x v="0"/>
    <x v="0"/>
    <x v="0"/>
    <x v="0"/>
    <x v="5"/>
    <x v="4"/>
    <x v="2"/>
    <n v="67317.831795099395"/>
  </r>
  <r>
    <x v="0"/>
    <x v="0"/>
    <x v="0"/>
    <x v="0"/>
    <x v="5"/>
    <x v="4"/>
    <x v="3"/>
    <n v="67317.831795099395"/>
  </r>
  <r>
    <x v="0"/>
    <x v="0"/>
    <x v="0"/>
    <x v="0"/>
    <x v="5"/>
    <x v="4"/>
    <x v="4"/>
    <n v="67317.831795099395"/>
  </r>
  <r>
    <x v="0"/>
    <x v="0"/>
    <x v="0"/>
    <x v="0"/>
    <x v="5"/>
    <x v="4"/>
    <x v="5"/>
    <n v="82392.698359592498"/>
  </r>
  <r>
    <x v="0"/>
    <x v="0"/>
    <x v="0"/>
    <x v="0"/>
    <x v="5"/>
    <x v="4"/>
    <x v="6"/>
    <n v="95017.241920262095"/>
  </r>
  <r>
    <x v="0"/>
    <x v="0"/>
    <x v="0"/>
    <x v="0"/>
    <x v="5"/>
    <x v="4"/>
    <x v="7"/>
    <n v="95017.241920262095"/>
  </r>
  <r>
    <x v="0"/>
    <x v="0"/>
    <x v="0"/>
    <x v="0"/>
    <x v="5"/>
    <x v="4"/>
    <x v="8"/>
    <n v="95017.241920262095"/>
  </r>
  <r>
    <x v="0"/>
    <x v="0"/>
    <x v="0"/>
    <x v="0"/>
    <x v="5"/>
    <x v="4"/>
    <x v="9"/>
    <n v="95017.241920262095"/>
  </r>
  <r>
    <x v="0"/>
    <x v="0"/>
    <x v="0"/>
    <x v="0"/>
    <x v="5"/>
    <x v="4"/>
    <x v="10"/>
    <n v="95017.241920262095"/>
  </r>
  <r>
    <x v="0"/>
    <x v="0"/>
    <x v="0"/>
    <x v="0"/>
    <x v="5"/>
    <x v="4"/>
    <x v="11"/>
    <n v="95017.241920262095"/>
  </r>
  <r>
    <x v="0"/>
    <x v="0"/>
    <x v="0"/>
    <x v="0"/>
    <x v="5"/>
    <x v="5"/>
    <x v="0"/>
    <n v="57939.770110143298"/>
  </r>
  <r>
    <x v="0"/>
    <x v="0"/>
    <x v="0"/>
    <x v="0"/>
    <x v="5"/>
    <x v="5"/>
    <x v="1"/>
    <n v="57939.770110143298"/>
  </r>
  <r>
    <x v="0"/>
    <x v="0"/>
    <x v="0"/>
    <x v="0"/>
    <x v="5"/>
    <x v="5"/>
    <x v="2"/>
    <n v="57939.770110143298"/>
  </r>
  <r>
    <x v="0"/>
    <x v="0"/>
    <x v="0"/>
    <x v="0"/>
    <x v="5"/>
    <x v="5"/>
    <x v="3"/>
    <n v="67317.831795099395"/>
  </r>
  <r>
    <x v="0"/>
    <x v="0"/>
    <x v="0"/>
    <x v="0"/>
    <x v="5"/>
    <x v="5"/>
    <x v="4"/>
    <n v="67317.831795099395"/>
  </r>
  <r>
    <x v="0"/>
    <x v="0"/>
    <x v="0"/>
    <x v="0"/>
    <x v="5"/>
    <x v="5"/>
    <x v="5"/>
    <n v="76837.023232545995"/>
  </r>
  <r>
    <x v="0"/>
    <x v="0"/>
    <x v="0"/>
    <x v="0"/>
    <x v="5"/>
    <x v="5"/>
    <x v="6"/>
    <n v="95017.241920262095"/>
  </r>
  <r>
    <x v="0"/>
    <x v="0"/>
    <x v="0"/>
    <x v="0"/>
    <x v="5"/>
    <x v="5"/>
    <x v="7"/>
    <n v="95017.241920262095"/>
  </r>
  <r>
    <x v="0"/>
    <x v="0"/>
    <x v="0"/>
    <x v="0"/>
    <x v="5"/>
    <x v="5"/>
    <x v="8"/>
    <n v="95017.241920262095"/>
  </r>
  <r>
    <x v="0"/>
    <x v="0"/>
    <x v="0"/>
    <x v="0"/>
    <x v="5"/>
    <x v="5"/>
    <x v="9"/>
    <n v="95017.241920262095"/>
  </r>
  <r>
    <x v="0"/>
    <x v="0"/>
    <x v="0"/>
    <x v="0"/>
    <x v="5"/>
    <x v="5"/>
    <x v="10"/>
    <n v="95017.241920262095"/>
  </r>
  <r>
    <x v="0"/>
    <x v="0"/>
    <x v="0"/>
    <x v="0"/>
    <x v="5"/>
    <x v="5"/>
    <x v="11"/>
    <n v="95017.241920262095"/>
  </r>
  <r>
    <x v="0"/>
    <x v="0"/>
    <x v="0"/>
    <x v="0"/>
    <x v="5"/>
    <x v="6"/>
    <x v="0"/>
    <n v="67317.831795099395"/>
  </r>
  <r>
    <x v="0"/>
    <x v="0"/>
    <x v="0"/>
    <x v="0"/>
    <x v="5"/>
    <x v="6"/>
    <x v="1"/>
    <n v="57939.770110143298"/>
  </r>
  <r>
    <x v="0"/>
    <x v="0"/>
    <x v="0"/>
    <x v="0"/>
    <x v="5"/>
    <x v="6"/>
    <x v="2"/>
    <n v="57939.770110143298"/>
  </r>
  <r>
    <x v="0"/>
    <x v="0"/>
    <x v="0"/>
    <x v="0"/>
    <x v="5"/>
    <x v="6"/>
    <x v="3"/>
    <n v="67317.831795099395"/>
  </r>
  <r>
    <x v="0"/>
    <x v="0"/>
    <x v="0"/>
    <x v="0"/>
    <x v="5"/>
    <x v="6"/>
    <x v="4"/>
    <n v="67720.122319824397"/>
  </r>
  <r>
    <x v="0"/>
    <x v="0"/>
    <x v="0"/>
    <x v="0"/>
    <x v="5"/>
    <x v="6"/>
    <x v="5"/>
    <n v="95017.241920262095"/>
  </r>
  <r>
    <x v="0"/>
    <x v="0"/>
    <x v="0"/>
    <x v="0"/>
    <x v="5"/>
    <x v="6"/>
    <x v="6"/>
    <n v="95017.241920262095"/>
  </r>
  <r>
    <x v="0"/>
    <x v="0"/>
    <x v="0"/>
    <x v="0"/>
    <x v="5"/>
    <x v="6"/>
    <x v="7"/>
    <n v="95017.241920262095"/>
  </r>
  <r>
    <x v="0"/>
    <x v="0"/>
    <x v="0"/>
    <x v="0"/>
    <x v="5"/>
    <x v="6"/>
    <x v="8"/>
    <n v="95017.241920262095"/>
  </r>
  <r>
    <x v="0"/>
    <x v="0"/>
    <x v="0"/>
    <x v="0"/>
    <x v="5"/>
    <x v="6"/>
    <x v="9"/>
    <n v="95017.241920262095"/>
  </r>
  <r>
    <x v="0"/>
    <x v="0"/>
    <x v="0"/>
    <x v="0"/>
    <x v="5"/>
    <x v="6"/>
    <x v="10"/>
    <n v="95017.241920262095"/>
  </r>
  <r>
    <x v="0"/>
    <x v="0"/>
    <x v="0"/>
    <x v="0"/>
    <x v="5"/>
    <x v="6"/>
    <x v="11"/>
    <n v="95017.241920262095"/>
  </r>
  <r>
    <x v="0"/>
    <x v="0"/>
    <x v="0"/>
    <x v="0"/>
    <x v="5"/>
    <x v="7"/>
    <x v="0"/>
    <n v="67317.831795099395"/>
  </r>
  <r>
    <x v="0"/>
    <x v="0"/>
    <x v="0"/>
    <x v="0"/>
    <x v="5"/>
    <x v="7"/>
    <x v="1"/>
    <n v="67317.831795099395"/>
  </r>
  <r>
    <x v="0"/>
    <x v="0"/>
    <x v="0"/>
    <x v="0"/>
    <x v="5"/>
    <x v="7"/>
    <x v="2"/>
    <n v="67317.831795099395"/>
  </r>
  <r>
    <x v="0"/>
    <x v="0"/>
    <x v="0"/>
    <x v="0"/>
    <x v="5"/>
    <x v="7"/>
    <x v="3"/>
    <n v="67317.831795099395"/>
  </r>
  <r>
    <x v="0"/>
    <x v="0"/>
    <x v="0"/>
    <x v="0"/>
    <x v="5"/>
    <x v="7"/>
    <x v="4"/>
    <n v="67720.122319824397"/>
  </r>
  <r>
    <x v="0"/>
    <x v="0"/>
    <x v="0"/>
    <x v="0"/>
    <x v="5"/>
    <x v="7"/>
    <x v="5"/>
    <n v="95017.241920262095"/>
  </r>
  <r>
    <x v="0"/>
    <x v="0"/>
    <x v="0"/>
    <x v="0"/>
    <x v="5"/>
    <x v="7"/>
    <x v="6"/>
    <n v="95017.241920262095"/>
  </r>
  <r>
    <x v="0"/>
    <x v="0"/>
    <x v="0"/>
    <x v="0"/>
    <x v="5"/>
    <x v="7"/>
    <x v="7"/>
    <n v="95017.241920262095"/>
  </r>
  <r>
    <x v="0"/>
    <x v="0"/>
    <x v="0"/>
    <x v="0"/>
    <x v="5"/>
    <x v="7"/>
    <x v="8"/>
    <n v="95017.241920262095"/>
  </r>
  <r>
    <x v="0"/>
    <x v="0"/>
    <x v="0"/>
    <x v="0"/>
    <x v="5"/>
    <x v="7"/>
    <x v="9"/>
    <n v="95017.241920262095"/>
  </r>
  <r>
    <x v="0"/>
    <x v="0"/>
    <x v="0"/>
    <x v="0"/>
    <x v="5"/>
    <x v="7"/>
    <x v="10"/>
    <n v="95017.241920262095"/>
  </r>
  <r>
    <x v="0"/>
    <x v="0"/>
    <x v="0"/>
    <x v="0"/>
    <x v="5"/>
    <x v="7"/>
    <x v="11"/>
    <n v="95017.241920262095"/>
  </r>
  <r>
    <x v="0"/>
    <x v="0"/>
    <x v="0"/>
    <x v="0"/>
    <x v="5"/>
    <x v="8"/>
    <x v="0"/>
    <n v="76837.023232545995"/>
  </r>
  <r>
    <x v="0"/>
    <x v="0"/>
    <x v="0"/>
    <x v="0"/>
    <x v="5"/>
    <x v="8"/>
    <x v="1"/>
    <n v="67720.122319824397"/>
  </r>
  <r>
    <x v="0"/>
    <x v="0"/>
    <x v="0"/>
    <x v="0"/>
    <x v="5"/>
    <x v="8"/>
    <x v="2"/>
    <n v="92119.931438462096"/>
  </r>
  <r>
    <x v="0"/>
    <x v="0"/>
    <x v="0"/>
    <x v="0"/>
    <x v="5"/>
    <x v="8"/>
    <x v="3"/>
    <n v="92119.931438462096"/>
  </r>
  <r>
    <x v="0"/>
    <x v="0"/>
    <x v="0"/>
    <x v="0"/>
    <x v="5"/>
    <x v="8"/>
    <x v="4"/>
    <n v="92119.931438462096"/>
  </r>
  <r>
    <x v="0"/>
    <x v="0"/>
    <x v="0"/>
    <x v="0"/>
    <x v="5"/>
    <x v="8"/>
    <x v="5"/>
    <n v="92119.931438462096"/>
  </r>
  <r>
    <x v="0"/>
    <x v="0"/>
    <x v="0"/>
    <x v="0"/>
    <x v="5"/>
    <x v="8"/>
    <x v="6"/>
    <n v="92119.931438462096"/>
  </r>
  <r>
    <x v="0"/>
    <x v="0"/>
    <x v="0"/>
    <x v="0"/>
    <x v="5"/>
    <x v="8"/>
    <x v="7"/>
    <n v="92119.931438462096"/>
  </r>
  <r>
    <x v="0"/>
    <x v="0"/>
    <x v="0"/>
    <x v="0"/>
    <x v="5"/>
    <x v="8"/>
    <x v="8"/>
    <n v="92119.931438462096"/>
  </r>
  <r>
    <x v="0"/>
    <x v="0"/>
    <x v="0"/>
    <x v="0"/>
    <x v="5"/>
    <x v="8"/>
    <x v="9"/>
    <n v="92119.931438462096"/>
  </r>
  <r>
    <x v="0"/>
    <x v="0"/>
    <x v="0"/>
    <x v="0"/>
    <x v="5"/>
    <x v="8"/>
    <x v="10"/>
    <n v="92119.931438462096"/>
  </r>
  <r>
    <x v="0"/>
    <x v="0"/>
    <x v="0"/>
    <x v="0"/>
    <x v="5"/>
    <x v="8"/>
    <x v="11"/>
    <n v="92119.931438462096"/>
  </r>
  <r>
    <x v="0"/>
    <x v="0"/>
    <x v="0"/>
    <x v="0"/>
    <x v="5"/>
    <x v="9"/>
    <x v="0"/>
    <n v="82392.698359592498"/>
  </r>
  <r>
    <x v="0"/>
    <x v="0"/>
    <x v="0"/>
    <x v="0"/>
    <x v="5"/>
    <x v="9"/>
    <x v="1"/>
    <n v="82392.698359592498"/>
  </r>
  <r>
    <x v="0"/>
    <x v="0"/>
    <x v="0"/>
    <x v="0"/>
    <x v="5"/>
    <x v="9"/>
    <x v="2"/>
    <n v="92119.931438462096"/>
  </r>
  <r>
    <x v="0"/>
    <x v="0"/>
    <x v="0"/>
    <x v="0"/>
    <x v="5"/>
    <x v="9"/>
    <x v="3"/>
    <n v="82392.698359592498"/>
  </r>
  <r>
    <x v="0"/>
    <x v="0"/>
    <x v="0"/>
    <x v="0"/>
    <x v="5"/>
    <x v="9"/>
    <x v="4"/>
    <n v="82392.698359592498"/>
  </r>
  <r>
    <x v="0"/>
    <x v="0"/>
    <x v="0"/>
    <x v="0"/>
    <x v="5"/>
    <x v="9"/>
    <x v="5"/>
    <n v="92119.931438462096"/>
  </r>
  <r>
    <x v="0"/>
    <x v="0"/>
    <x v="0"/>
    <x v="0"/>
    <x v="5"/>
    <x v="9"/>
    <x v="6"/>
    <n v="92119.931438462096"/>
  </r>
  <r>
    <x v="0"/>
    <x v="0"/>
    <x v="0"/>
    <x v="0"/>
    <x v="5"/>
    <x v="9"/>
    <x v="7"/>
    <n v="92119.931438462096"/>
  </r>
  <r>
    <x v="0"/>
    <x v="0"/>
    <x v="0"/>
    <x v="0"/>
    <x v="5"/>
    <x v="9"/>
    <x v="8"/>
    <n v="92119.931438462096"/>
  </r>
  <r>
    <x v="0"/>
    <x v="0"/>
    <x v="0"/>
    <x v="0"/>
    <x v="5"/>
    <x v="9"/>
    <x v="9"/>
    <n v="92119.931438462096"/>
  </r>
  <r>
    <x v="0"/>
    <x v="0"/>
    <x v="0"/>
    <x v="0"/>
    <x v="5"/>
    <x v="9"/>
    <x v="10"/>
    <n v="92119.931438462096"/>
  </r>
  <r>
    <x v="0"/>
    <x v="0"/>
    <x v="0"/>
    <x v="0"/>
    <x v="5"/>
    <x v="9"/>
    <x v="11"/>
    <n v="92119.931438462096"/>
  </r>
  <r>
    <x v="0"/>
    <x v="0"/>
    <x v="0"/>
    <x v="0"/>
    <x v="5"/>
    <x v="10"/>
    <x v="0"/>
    <n v="64232.177835468698"/>
  </r>
  <r>
    <x v="0"/>
    <x v="0"/>
    <x v="0"/>
    <x v="0"/>
    <x v="5"/>
    <x v="10"/>
    <x v="1"/>
    <n v="64232.177835468698"/>
  </r>
  <r>
    <x v="0"/>
    <x v="0"/>
    <x v="0"/>
    <x v="0"/>
    <x v="5"/>
    <x v="10"/>
    <x v="2"/>
    <n v="82392.698359592498"/>
  </r>
  <r>
    <x v="0"/>
    <x v="0"/>
    <x v="0"/>
    <x v="0"/>
    <x v="5"/>
    <x v="10"/>
    <x v="3"/>
    <n v="82392.698359592498"/>
  </r>
  <r>
    <x v="0"/>
    <x v="0"/>
    <x v="0"/>
    <x v="0"/>
    <x v="5"/>
    <x v="10"/>
    <x v="4"/>
    <n v="82392.698359592498"/>
  </r>
  <r>
    <x v="0"/>
    <x v="0"/>
    <x v="0"/>
    <x v="0"/>
    <x v="5"/>
    <x v="10"/>
    <x v="5"/>
    <n v="92119.931438462096"/>
  </r>
  <r>
    <x v="0"/>
    <x v="0"/>
    <x v="0"/>
    <x v="0"/>
    <x v="5"/>
    <x v="10"/>
    <x v="6"/>
    <n v="92119.931438462096"/>
  </r>
  <r>
    <x v="0"/>
    <x v="0"/>
    <x v="0"/>
    <x v="0"/>
    <x v="5"/>
    <x v="10"/>
    <x v="7"/>
    <n v="92119.931438462096"/>
  </r>
  <r>
    <x v="0"/>
    <x v="0"/>
    <x v="0"/>
    <x v="0"/>
    <x v="5"/>
    <x v="10"/>
    <x v="8"/>
    <n v="92119.931438462096"/>
  </r>
  <r>
    <x v="0"/>
    <x v="0"/>
    <x v="0"/>
    <x v="0"/>
    <x v="5"/>
    <x v="10"/>
    <x v="9"/>
    <n v="92119.931438462096"/>
  </r>
  <r>
    <x v="0"/>
    <x v="0"/>
    <x v="0"/>
    <x v="0"/>
    <x v="5"/>
    <x v="10"/>
    <x v="10"/>
    <n v="92119.931438462096"/>
  </r>
  <r>
    <x v="0"/>
    <x v="0"/>
    <x v="0"/>
    <x v="0"/>
    <x v="5"/>
    <x v="10"/>
    <x v="11"/>
    <n v="92119.931438462096"/>
  </r>
  <r>
    <x v="0"/>
    <x v="0"/>
    <x v="0"/>
    <x v="0"/>
    <x v="5"/>
    <x v="11"/>
    <x v="0"/>
    <n v="57939.770110143298"/>
  </r>
  <r>
    <x v="0"/>
    <x v="0"/>
    <x v="0"/>
    <x v="0"/>
    <x v="5"/>
    <x v="11"/>
    <x v="1"/>
    <n v="57939.770110143298"/>
  </r>
  <r>
    <x v="0"/>
    <x v="0"/>
    <x v="0"/>
    <x v="0"/>
    <x v="5"/>
    <x v="11"/>
    <x v="2"/>
    <n v="57939.770110143298"/>
  </r>
  <r>
    <x v="0"/>
    <x v="0"/>
    <x v="0"/>
    <x v="0"/>
    <x v="5"/>
    <x v="11"/>
    <x v="3"/>
    <n v="57939.770110143298"/>
  </r>
  <r>
    <x v="0"/>
    <x v="0"/>
    <x v="0"/>
    <x v="0"/>
    <x v="5"/>
    <x v="11"/>
    <x v="4"/>
    <n v="67317.831795099395"/>
  </r>
  <r>
    <x v="0"/>
    <x v="0"/>
    <x v="0"/>
    <x v="0"/>
    <x v="5"/>
    <x v="11"/>
    <x v="5"/>
    <n v="67317.831795099395"/>
  </r>
  <r>
    <x v="0"/>
    <x v="0"/>
    <x v="0"/>
    <x v="0"/>
    <x v="5"/>
    <x v="11"/>
    <x v="6"/>
    <n v="92119.931438462096"/>
  </r>
  <r>
    <x v="0"/>
    <x v="0"/>
    <x v="0"/>
    <x v="0"/>
    <x v="5"/>
    <x v="11"/>
    <x v="7"/>
    <n v="92119.931438462096"/>
  </r>
  <r>
    <x v="0"/>
    <x v="0"/>
    <x v="0"/>
    <x v="0"/>
    <x v="5"/>
    <x v="11"/>
    <x v="8"/>
    <n v="92119.931438462096"/>
  </r>
  <r>
    <x v="0"/>
    <x v="0"/>
    <x v="0"/>
    <x v="0"/>
    <x v="5"/>
    <x v="11"/>
    <x v="9"/>
    <n v="92119.931438462096"/>
  </r>
  <r>
    <x v="0"/>
    <x v="0"/>
    <x v="0"/>
    <x v="0"/>
    <x v="5"/>
    <x v="11"/>
    <x v="10"/>
    <n v="92119.931438462096"/>
  </r>
  <r>
    <x v="0"/>
    <x v="0"/>
    <x v="0"/>
    <x v="0"/>
    <x v="5"/>
    <x v="11"/>
    <x v="11"/>
    <n v="92119.931438462096"/>
  </r>
  <r>
    <x v="0"/>
    <x v="0"/>
    <x v="0"/>
    <x v="0"/>
    <x v="6"/>
    <x v="0"/>
    <x v="0"/>
    <n v="100632.32060328699"/>
  </r>
  <r>
    <x v="0"/>
    <x v="0"/>
    <x v="0"/>
    <x v="0"/>
    <x v="6"/>
    <x v="0"/>
    <x v="1"/>
    <n v="86005.114362831504"/>
  </r>
  <r>
    <x v="0"/>
    <x v="0"/>
    <x v="0"/>
    <x v="0"/>
    <x v="6"/>
    <x v="0"/>
    <x v="2"/>
    <n v="73350.257522303495"/>
  </r>
  <r>
    <x v="0"/>
    <x v="0"/>
    <x v="0"/>
    <x v="0"/>
    <x v="6"/>
    <x v="0"/>
    <x v="3"/>
    <n v="70269.345506366793"/>
  </r>
  <r>
    <x v="0"/>
    <x v="0"/>
    <x v="0"/>
    <x v="0"/>
    <x v="6"/>
    <x v="0"/>
    <x v="4"/>
    <n v="70269.345506366793"/>
  </r>
  <r>
    <x v="0"/>
    <x v="0"/>
    <x v="0"/>
    <x v="0"/>
    <x v="6"/>
    <x v="0"/>
    <x v="5"/>
    <n v="70269.345506366793"/>
  </r>
  <r>
    <x v="0"/>
    <x v="0"/>
    <x v="0"/>
    <x v="0"/>
    <x v="6"/>
    <x v="0"/>
    <x v="6"/>
    <n v="70269.345506366793"/>
  </r>
  <r>
    <x v="0"/>
    <x v="0"/>
    <x v="0"/>
    <x v="0"/>
    <x v="6"/>
    <x v="0"/>
    <x v="7"/>
    <n v="70269.345506366793"/>
  </r>
  <r>
    <x v="0"/>
    <x v="0"/>
    <x v="0"/>
    <x v="0"/>
    <x v="6"/>
    <x v="0"/>
    <x v="8"/>
    <n v="70269.345506366793"/>
  </r>
  <r>
    <x v="0"/>
    <x v="0"/>
    <x v="0"/>
    <x v="0"/>
    <x v="6"/>
    <x v="0"/>
    <x v="9"/>
    <n v="70269.345506366793"/>
  </r>
  <r>
    <x v="0"/>
    <x v="0"/>
    <x v="0"/>
    <x v="0"/>
    <x v="6"/>
    <x v="0"/>
    <x v="10"/>
    <n v="70269.345506366793"/>
  </r>
  <r>
    <x v="0"/>
    <x v="0"/>
    <x v="0"/>
    <x v="0"/>
    <x v="6"/>
    <x v="0"/>
    <x v="11"/>
    <n v="70269.345506366793"/>
  </r>
  <r>
    <x v="0"/>
    <x v="0"/>
    <x v="0"/>
    <x v="0"/>
    <x v="6"/>
    <x v="1"/>
    <x v="0"/>
    <n v="99183.134781066896"/>
  </r>
  <r>
    <x v="0"/>
    <x v="0"/>
    <x v="0"/>
    <x v="0"/>
    <x v="6"/>
    <x v="1"/>
    <x v="1"/>
    <n v="77544.886478083106"/>
  </r>
  <r>
    <x v="0"/>
    <x v="0"/>
    <x v="0"/>
    <x v="0"/>
    <x v="6"/>
    <x v="1"/>
    <x v="2"/>
    <n v="73126.214408985295"/>
  </r>
  <r>
    <x v="0"/>
    <x v="0"/>
    <x v="0"/>
    <x v="0"/>
    <x v="6"/>
    <x v="1"/>
    <x v="3"/>
    <n v="73126.214408985295"/>
  </r>
  <r>
    <x v="0"/>
    <x v="0"/>
    <x v="0"/>
    <x v="0"/>
    <x v="6"/>
    <x v="1"/>
    <x v="4"/>
    <n v="77544.886478083106"/>
  </r>
  <r>
    <x v="0"/>
    <x v="0"/>
    <x v="0"/>
    <x v="0"/>
    <x v="6"/>
    <x v="1"/>
    <x v="5"/>
    <n v="99183.134781066896"/>
  </r>
  <r>
    <x v="0"/>
    <x v="0"/>
    <x v="0"/>
    <x v="0"/>
    <x v="6"/>
    <x v="1"/>
    <x v="6"/>
    <n v="104600.19407914599"/>
  </r>
  <r>
    <x v="0"/>
    <x v="0"/>
    <x v="0"/>
    <x v="0"/>
    <x v="6"/>
    <x v="1"/>
    <x v="7"/>
    <n v="104600.19407914599"/>
  </r>
  <r>
    <x v="0"/>
    <x v="0"/>
    <x v="0"/>
    <x v="0"/>
    <x v="6"/>
    <x v="1"/>
    <x v="8"/>
    <n v="104600.19407914599"/>
  </r>
  <r>
    <x v="0"/>
    <x v="0"/>
    <x v="0"/>
    <x v="0"/>
    <x v="6"/>
    <x v="1"/>
    <x v="9"/>
    <n v="104600.19407914599"/>
  </r>
  <r>
    <x v="0"/>
    <x v="0"/>
    <x v="0"/>
    <x v="0"/>
    <x v="6"/>
    <x v="1"/>
    <x v="10"/>
    <n v="104600.19407914599"/>
  </r>
  <r>
    <x v="0"/>
    <x v="0"/>
    <x v="0"/>
    <x v="0"/>
    <x v="6"/>
    <x v="1"/>
    <x v="11"/>
    <n v="104600.19407914599"/>
  </r>
  <r>
    <x v="0"/>
    <x v="0"/>
    <x v="0"/>
    <x v="0"/>
    <x v="6"/>
    <x v="2"/>
    <x v="0"/>
    <n v="60480.137066955402"/>
  </r>
  <r>
    <x v="0"/>
    <x v="0"/>
    <x v="0"/>
    <x v="0"/>
    <x v="6"/>
    <x v="2"/>
    <x v="1"/>
    <n v="60480.137066955402"/>
  </r>
  <r>
    <x v="0"/>
    <x v="0"/>
    <x v="0"/>
    <x v="0"/>
    <x v="6"/>
    <x v="2"/>
    <x v="2"/>
    <n v="60480.137066955402"/>
  </r>
  <r>
    <x v="0"/>
    <x v="0"/>
    <x v="0"/>
    <x v="0"/>
    <x v="6"/>
    <x v="2"/>
    <x v="3"/>
    <n v="70269.345506366793"/>
  </r>
  <r>
    <x v="0"/>
    <x v="0"/>
    <x v="0"/>
    <x v="0"/>
    <x v="6"/>
    <x v="2"/>
    <x v="4"/>
    <n v="70269.345506366793"/>
  </r>
  <r>
    <x v="0"/>
    <x v="0"/>
    <x v="0"/>
    <x v="0"/>
    <x v="6"/>
    <x v="2"/>
    <x v="5"/>
    <n v="77544.886478083106"/>
  </r>
  <r>
    <x v="0"/>
    <x v="0"/>
    <x v="0"/>
    <x v="0"/>
    <x v="6"/>
    <x v="2"/>
    <x v="6"/>
    <n v="104600.19407914599"/>
  </r>
  <r>
    <x v="0"/>
    <x v="0"/>
    <x v="0"/>
    <x v="0"/>
    <x v="6"/>
    <x v="2"/>
    <x v="7"/>
    <n v="104600.19407914599"/>
  </r>
  <r>
    <x v="0"/>
    <x v="0"/>
    <x v="0"/>
    <x v="0"/>
    <x v="6"/>
    <x v="2"/>
    <x v="8"/>
    <n v="104600.19407914599"/>
  </r>
  <r>
    <x v="0"/>
    <x v="0"/>
    <x v="0"/>
    <x v="0"/>
    <x v="6"/>
    <x v="2"/>
    <x v="9"/>
    <n v="104600.19407914599"/>
  </r>
  <r>
    <x v="0"/>
    <x v="0"/>
    <x v="0"/>
    <x v="0"/>
    <x v="6"/>
    <x v="2"/>
    <x v="10"/>
    <n v="104600.19407914599"/>
  </r>
  <r>
    <x v="0"/>
    <x v="0"/>
    <x v="0"/>
    <x v="0"/>
    <x v="6"/>
    <x v="2"/>
    <x v="11"/>
    <n v="104600.19407914599"/>
  </r>
  <r>
    <x v="0"/>
    <x v="0"/>
    <x v="0"/>
    <x v="0"/>
    <x v="6"/>
    <x v="3"/>
    <x v="0"/>
    <n v="70269.345506366793"/>
  </r>
  <r>
    <x v="0"/>
    <x v="0"/>
    <x v="0"/>
    <x v="0"/>
    <x v="6"/>
    <x v="3"/>
    <x v="1"/>
    <n v="70269.345506366793"/>
  </r>
  <r>
    <x v="0"/>
    <x v="0"/>
    <x v="0"/>
    <x v="0"/>
    <x v="6"/>
    <x v="3"/>
    <x v="2"/>
    <n v="70269.345506366793"/>
  </r>
  <r>
    <x v="0"/>
    <x v="0"/>
    <x v="0"/>
    <x v="0"/>
    <x v="6"/>
    <x v="3"/>
    <x v="3"/>
    <n v="70269.345506366793"/>
  </r>
  <r>
    <x v="0"/>
    <x v="0"/>
    <x v="0"/>
    <x v="0"/>
    <x v="6"/>
    <x v="3"/>
    <x v="4"/>
    <n v="86005.114362831504"/>
  </r>
  <r>
    <x v="0"/>
    <x v="0"/>
    <x v="0"/>
    <x v="0"/>
    <x v="6"/>
    <x v="3"/>
    <x v="5"/>
    <n v="104600.19407914599"/>
  </r>
  <r>
    <x v="0"/>
    <x v="0"/>
    <x v="0"/>
    <x v="0"/>
    <x v="6"/>
    <x v="3"/>
    <x v="6"/>
    <n v="104600.19407914599"/>
  </r>
  <r>
    <x v="0"/>
    <x v="0"/>
    <x v="0"/>
    <x v="0"/>
    <x v="6"/>
    <x v="3"/>
    <x v="7"/>
    <n v="104600.19407914599"/>
  </r>
  <r>
    <x v="0"/>
    <x v="0"/>
    <x v="0"/>
    <x v="0"/>
    <x v="6"/>
    <x v="3"/>
    <x v="8"/>
    <n v="104600.19407914599"/>
  </r>
  <r>
    <x v="0"/>
    <x v="0"/>
    <x v="0"/>
    <x v="0"/>
    <x v="6"/>
    <x v="3"/>
    <x v="9"/>
    <n v="104600.19407914599"/>
  </r>
  <r>
    <x v="0"/>
    <x v="0"/>
    <x v="0"/>
    <x v="0"/>
    <x v="6"/>
    <x v="3"/>
    <x v="10"/>
    <n v="104600.19407914599"/>
  </r>
  <r>
    <x v="0"/>
    <x v="0"/>
    <x v="0"/>
    <x v="0"/>
    <x v="6"/>
    <x v="3"/>
    <x v="11"/>
    <n v="104600.19407914599"/>
  </r>
  <r>
    <x v="0"/>
    <x v="0"/>
    <x v="0"/>
    <x v="0"/>
    <x v="6"/>
    <x v="4"/>
    <x v="0"/>
    <n v="70269.345506366793"/>
  </r>
  <r>
    <x v="0"/>
    <x v="0"/>
    <x v="0"/>
    <x v="0"/>
    <x v="6"/>
    <x v="4"/>
    <x v="1"/>
    <n v="70269.345506366793"/>
  </r>
  <r>
    <x v="0"/>
    <x v="0"/>
    <x v="0"/>
    <x v="0"/>
    <x v="6"/>
    <x v="4"/>
    <x v="2"/>
    <n v="70269.345506366793"/>
  </r>
  <r>
    <x v="0"/>
    <x v="0"/>
    <x v="0"/>
    <x v="0"/>
    <x v="6"/>
    <x v="4"/>
    <x v="3"/>
    <n v="70269.345506366793"/>
  </r>
  <r>
    <x v="0"/>
    <x v="0"/>
    <x v="0"/>
    <x v="0"/>
    <x v="6"/>
    <x v="4"/>
    <x v="4"/>
    <n v="70269.345506366793"/>
  </r>
  <r>
    <x v="0"/>
    <x v="0"/>
    <x v="0"/>
    <x v="0"/>
    <x v="6"/>
    <x v="4"/>
    <x v="5"/>
    <n v="86005.114362831504"/>
  </r>
  <r>
    <x v="0"/>
    <x v="0"/>
    <x v="0"/>
    <x v="0"/>
    <x v="6"/>
    <x v="4"/>
    <x v="6"/>
    <n v="99183.134781066896"/>
  </r>
  <r>
    <x v="0"/>
    <x v="0"/>
    <x v="0"/>
    <x v="0"/>
    <x v="6"/>
    <x v="4"/>
    <x v="7"/>
    <n v="99183.134781066896"/>
  </r>
  <r>
    <x v="0"/>
    <x v="0"/>
    <x v="0"/>
    <x v="0"/>
    <x v="6"/>
    <x v="4"/>
    <x v="8"/>
    <n v="99183.134781066896"/>
  </r>
  <r>
    <x v="0"/>
    <x v="0"/>
    <x v="0"/>
    <x v="0"/>
    <x v="6"/>
    <x v="4"/>
    <x v="9"/>
    <n v="99183.134781066896"/>
  </r>
  <r>
    <x v="0"/>
    <x v="0"/>
    <x v="0"/>
    <x v="0"/>
    <x v="6"/>
    <x v="4"/>
    <x v="10"/>
    <n v="99183.134781066896"/>
  </r>
  <r>
    <x v="0"/>
    <x v="0"/>
    <x v="0"/>
    <x v="0"/>
    <x v="6"/>
    <x v="4"/>
    <x v="11"/>
    <n v="99183.134781066896"/>
  </r>
  <r>
    <x v="0"/>
    <x v="0"/>
    <x v="0"/>
    <x v="0"/>
    <x v="6"/>
    <x v="5"/>
    <x v="0"/>
    <n v="60480.137066955402"/>
  </r>
  <r>
    <x v="0"/>
    <x v="0"/>
    <x v="0"/>
    <x v="0"/>
    <x v="6"/>
    <x v="5"/>
    <x v="1"/>
    <n v="60480.137066955402"/>
  </r>
  <r>
    <x v="0"/>
    <x v="0"/>
    <x v="0"/>
    <x v="0"/>
    <x v="6"/>
    <x v="5"/>
    <x v="2"/>
    <n v="60480.137066955402"/>
  </r>
  <r>
    <x v="0"/>
    <x v="0"/>
    <x v="0"/>
    <x v="0"/>
    <x v="6"/>
    <x v="5"/>
    <x v="3"/>
    <n v="70269.345506366793"/>
  </r>
  <r>
    <x v="0"/>
    <x v="0"/>
    <x v="0"/>
    <x v="0"/>
    <x v="6"/>
    <x v="5"/>
    <x v="4"/>
    <n v="70269.345506366793"/>
  </r>
  <r>
    <x v="0"/>
    <x v="0"/>
    <x v="0"/>
    <x v="0"/>
    <x v="6"/>
    <x v="5"/>
    <x v="5"/>
    <n v="80205.8710151837"/>
  </r>
  <r>
    <x v="0"/>
    <x v="0"/>
    <x v="0"/>
    <x v="0"/>
    <x v="6"/>
    <x v="5"/>
    <x v="6"/>
    <n v="99183.134781066896"/>
  </r>
  <r>
    <x v="0"/>
    <x v="0"/>
    <x v="0"/>
    <x v="0"/>
    <x v="6"/>
    <x v="5"/>
    <x v="7"/>
    <n v="99183.134781066896"/>
  </r>
  <r>
    <x v="0"/>
    <x v="0"/>
    <x v="0"/>
    <x v="0"/>
    <x v="6"/>
    <x v="5"/>
    <x v="8"/>
    <n v="99183.134781066896"/>
  </r>
  <r>
    <x v="0"/>
    <x v="0"/>
    <x v="0"/>
    <x v="0"/>
    <x v="6"/>
    <x v="5"/>
    <x v="9"/>
    <n v="99183.134781066896"/>
  </r>
  <r>
    <x v="0"/>
    <x v="0"/>
    <x v="0"/>
    <x v="0"/>
    <x v="6"/>
    <x v="5"/>
    <x v="10"/>
    <n v="99183.134781066896"/>
  </r>
  <r>
    <x v="0"/>
    <x v="0"/>
    <x v="0"/>
    <x v="0"/>
    <x v="6"/>
    <x v="5"/>
    <x v="11"/>
    <n v="99183.134781066896"/>
  </r>
  <r>
    <x v="0"/>
    <x v="0"/>
    <x v="0"/>
    <x v="0"/>
    <x v="6"/>
    <x v="6"/>
    <x v="0"/>
    <n v="70269.345506366793"/>
  </r>
  <r>
    <x v="0"/>
    <x v="0"/>
    <x v="0"/>
    <x v="0"/>
    <x v="6"/>
    <x v="6"/>
    <x v="1"/>
    <n v="60480.137066955402"/>
  </r>
  <r>
    <x v="0"/>
    <x v="0"/>
    <x v="0"/>
    <x v="0"/>
    <x v="6"/>
    <x v="6"/>
    <x v="2"/>
    <n v="60480.137066955402"/>
  </r>
  <r>
    <x v="0"/>
    <x v="0"/>
    <x v="0"/>
    <x v="0"/>
    <x v="6"/>
    <x v="6"/>
    <x v="3"/>
    <n v="70269.345506366793"/>
  </r>
  <r>
    <x v="0"/>
    <x v="0"/>
    <x v="0"/>
    <x v="0"/>
    <x v="6"/>
    <x v="6"/>
    <x v="4"/>
    <n v="70689.272985202901"/>
  </r>
  <r>
    <x v="0"/>
    <x v="0"/>
    <x v="0"/>
    <x v="0"/>
    <x v="6"/>
    <x v="6"/>
    <x v="5"/>
    <n v="99183.134781066896"/>
  </r>
  <r>
    <x v="0"/>
    <x v="0"/>
    <x v="0"/>
    <x v="0"/>
    <x v="6"/>
    <x v="6"/>
    <x v="6"/>
    <n v="99183.134781066896"/>
  </r>
  <r>
    <x v="0"/>
    <x v="0"/>
    <x v="0"/>
    <x v="0"/>
    <x v="6"/>
    <x v="6"/>
    <x v="7"/>
    <n v="99183.134781066896"/>
  </r>
  <r>
    <x v="0"/>
    <x v="0"/>
    <x v="0"/>
    <x v="0"/>
    <x v="6"/>
    <x v="6"/>
    <x v="8"/>
    <n v="99183.134781066896"/>
  </r>
  <r>
    <x v="0"/>
    <x v="0"/>
    <x v="0"/>
    <x v="0"/>
    <x v="6"/>
    <x v="6"/>
    <x v="9"/>
    <n v="99183.134781066896"/>
  </r>
  <r>
    <x v="0"/>
    <x v="0"/>
    <x v="0"/>
    <x v="0"/>
    <x v="6"/>
    <x v="6"/>
    <x v="10"/>
    <n v="99183.134781066896"/>
  </r>
  <r>
    <x v="0"/>
    <x v="0"/>
    <x v="0"/>
    <x v="0"/>
    <x v="6"/>
    <x v="6"/>
    <x v="11"/>
    <n v="99183.134781066896"/>
  </r>
  <r>
    <x v="0"/>
    <x v="0"/>
    <x v="0"/>
    <x v="0"/>
    <x v="6"/>
    <x v="7"/>
    <x v="0"/>
    <n v="70269.345506366793"/>
  </r>
  <r>
    <x v="0"/>
    <x v="0"/>
    <x v="0"/>
    <x v="0"/>
    <x v="6"/>
    <x v="7"/>
    <x v="1"/>
    <n v="70269.345506366793"/>
  </r>
  <r>
    <x v="0"/>
    <x v="0"/>
    <x v="0"/>
    <x v="0"/>
    <x v="6"/>
    <x v="7"/>
    <x v="2"/>
    <n v="70269.345506366793"/>
  </r>
  <r>
    <x v="0"/>
    <x v="0"/>
    <x v="0"/>
    <x v="0"/>
    <x v="6"/>
    <x v="7"/>
    <x v="3"/>
    <n v="70269.345506366793"/>
  </r>
  <r>
    <x v="0"/>
    <x v="0"/>
    <x v="0"/>
    <x v="0"/>
    <x v="6"/>
    <x v="7"/>
    <x v="4"/>
    <n v="70689.272985202901"/>
  </r>
  <r>
    <x v="0"/>
    <x v="0"/>
    <x v="0"/>
    <x v="0"/>
    <x v="6"/>
    <x v="7"/>
    <x v="5"/>
    <n v="99183.134781066896"/>
  </r>
  <r>
    <x v="0"/>
    <x v="0"/>
    <x v="0"/>
    <x v="0"/>
    <x v="6"/>
    <x v="7"/>
    <x v="6"/>
    <n v="99183.134781066896"/>
  </r>
  <r>
    <x v="0"/>
    <x v="0"/>
    <x v="0"/>
    <x v="0"/>
    <x v="6"/>
    <x v="7"/>
    <x v="7"/>
    <n v="99183.134781066896"/>
  </r>
  <r>
    <x v="0"/>
    <x v="0"/>
    <x v="0"/>
    <x v="0"/>
    <x v="6"/>
    <x v="7"/>
    <x v="8"/>
    <n v="99183.134781066896"/>
  </r>
  <r>
    <x v="0"/>
    <x v="0"/>
    <x v="0"/>
    <x v="0"/>
    <x v="6"/>
    <x v="7"/>
    <x v="9"/>
    <n v="99183.134781066896"/>
  </r>
  <r>
    <x v="0"/>
    <x v="0"/>
    <x v="0"/>
    <x v="0"/>
    <x v="6"/>
    <x v="7"/>
    <x v="10"/>
    <n v="99183.134781066896"/>
  </r>
  <r>
    <x v="0"/>
    <x v="0"/>
    <x v="0"/>
    <x v="0"/>
    <x v="6"/>
    <x v="7"/>
    <x v="11"/>
    <n v="99183.134781066896"/>
  </r>
  <r>
    <x v="0"/>
    <x v="0"/>
    <x v="0"/>
    <x v="0"/>
    <x v="6"/>
    <x v="8"/>
    <x v="0"/>
    <n v="80205.8710151837"/>
  </r>
  <r>
    <x v="0"/>
    <x v="0"/>
    <x v="0"/>
    <x v="0"/>
    <x v="6"/>
    <x v="8"/>
    <x v="1"/>
    <n v="70689.272985202901"/>
  </r>
  <r>
    <x v="0"/>
    <x v="0"/>
    <x v="0"/>
    <x v="0"/>
    <x v="6"/>
    <x v="8"/>
    <x v="2"/>
    <n v="96158.802336599299"/>
  </r>
  <r>
    <x v="0"/>
    <x v="0"/>
    <x v="0"/>
    <x v="0"/>
    <x v="6"/>
    <x v="8"/>
    <x v="3"/>
    <n v="96158.802336599299"/>
  </r>
  <r>
    <x v="0"/>
    <x v="0"/>
    <x v="0"/>
    <x v="0"/>
    <x v="6"/>
    <x v="8"/>
    <x v="4"/>
    <n v="96158.802336599299"/>
  </r>
  <r>
    <x v="0"/>
    <x v="0"/>
    <x v="0"/>
    <x v="0"/>
    <x v="6"/>
    <x v="8"/>
    <x v="5"/>
    <n v="96158.802336599299"/>
  </r>
  <r>
    <x v="0"/>
    <x v="0"/>
    <x v="0"/>
    <x v="0"/>
    <x v="6"/>
    <x v="8"/>
    <x v="6"/>
    <n v="96158.802336599299"/>
  </r>
  <r>
    <x v="0"/>
    <x v="0"/>
    <x v="0"/>
    <x v="0"/>
    <x v="6"/>
    <x v="8"/>
    <x v="7"/>
    <n v="96158.802336599299"/>
  </r>
  <r>
    <x v="0"/>
    <x v="0"/>
    <x v="0"/>
    <x v="0"/>
    <x v="6"/>
    <x v="8"/>
    <x v="8"/>
    <n v="96158.802336599299"/>
  </r>
  <r>
    <x v="0"/>
    <x v="0"/>
    <x v="0"/>
    <x v="0"/>
    <x v="6"/>
    <x v="8"/>
    <x v="9"/>
    <n v="96158.802336599299"/>
  </r>
  <r>
    <x v="0"/>
    <x v="0"/>
    <x v="0"/>
    <x v="0"/>
    <x v="6"/>
    <x v="8"/>
    <x v="10"/>
    <n v="96158.802336599299"/>
  </r>
  <r>
    <x v="0"/>
    <x v="0"/>
    <x v="0"/>
    <x v="0"/>
    <x v="6"/>
    <x v="8"/>
    <x v="11"/>
    <n v="96158.802336599299"/>
  </r>
  <r>
    <x v="0"/>
    <x v="0"/>
    <x v="0"/>
    <x v="0"/>
    <x v="6"/>
    <x v="9"/>
    <x v="0"/>
    <n v="86005.114362831504"/>
  </r>
  <r>
    <x v="0"/>
    <x v="0"/>
    <x v="0"/>
    <x v="0"/>
    <x v="6"/>
    <x v="9"/>
    <x v="1"/>
    <n v="86005.114362831504"/>
  </r>
  <r>
    <x v="0"/>
    <x v="0"/>
    <x v="0"/>
    <x v="0"/>
    <x v="6"/>
    <x v="9"/>
    <x v="2"/>
    <n v="96158.802336599299"/>
  </r>
  <r>
    <x v="0"/>
    <x v="0"/>
    <x v="0"/>
    <x v="0"/>
    <x v="6"/>
    <x v="9"/>
    <x v="3"/>
    <n v="86005.114362831504"/>
  </r>
  <r>
    <x v="0"/>
    <x v="0"/>
    <x v="0"/>
    <x v="0"/>
    <x v="6"/>
    <x v="9"/>
    <x v="4"/>
    <n v="86005.114362831504"/>
  </r>
  <r>
    <x v="0"/>
    <x v="0"/>
    <x v="0"/>
    <x v="0"/>
    <x v="6"/>
    <x v="9"/>
    <x v="5"/>
    <n v="96158.802336599299"/>
  </r>
  <r>
    <x v="0"/>
    <x v="0"/>
    <x v="0"/>
    <x v="0"/>
    <x v="6"/>
    <x v="9"/>
    <x v="6"/>
    <n v="96158.802336599299"/>
  </r>
  <r>
    <x v="0"/>
    <x v="0"/>
    <x v="0"/>
    <x v="0"/>
    <x v="6"/>
    <x v="9"/>
    <x v="7"/>
    <n v="96158.802336599299"/>
  </r>
  <r>
    <x v="0"/>
    <x v="0"/>
    <x v="0"/>
    <x v="0"/>
    <x v="6"/>
    <x v="9"/>
    <x v="8"/>
    <n v="96158.802336599299"/>
  </r>
  <r>
    <x v="0"/>
    <x v="0"/>
    <x v="0"/>
    <x v="0"/>
    <x v="6"/>
    <x v="9"/>
    <x v="9"/>
    <n v="96158.802336599299"/>
  </r>
  <r>
    <x v="0"/>
    <x v="0"/>
    <x v="0"/>
    <x v="0"/>
    <x v="6"/>
    <x v="9"/>
    <x v="10"/>
    <n v="96158.802336599299"/>
  </r>
  <r>
    <x v="0"/>
    <x v="0"/>
    <x v="0"/>
    <x v="0"/>
    <x v="6"/>
    <x v="9"/>
    <x v="11"/>
    <n v="96158.802336599299"/>
  </r>
  <r>
    <x v="0"/>
    <x v="0"/>
    <x v="0"/>
    <x v="0"/>
    <x v="6"/>
    <x v="10"/>
    <x v="0"/>
    <n v="67048.412354351502"/>
  </r>
  <r>
    <x v="0"/>
    <x v="0"/>
    <x v="0"/>
    <x v="0"/>
    <x v="6"/>
    <x v="10"/>
    <x v="1"/>
    <n v="67048.412354351502"/>
  </r>
  <r>
    <x v="0"/>
    <x v="0"/>
    <x v="0"/>
    <x v="0"/>
    <x v="6"/>
    <x v="10"/>
    <x v="2"/>
    <n v="86005.114362831504"/>
  </r>
  <r>
    <x v="0"/>
    <x v="0"/>
    <x v="0"/>
    <x v="0"/>
    <x v="6"/>
    <x v="10"/>
    <x v="3"/>
    <n v="86005.114362831504"/>
  </r>
  <r>
    <x v="0"/>
    <x v="0"/>
    <x v="0"/>
    <x v="0"/>
    <x v="6"/>
    <x v="10"/>
    <x v="4"/>
    <n v="86005.114362831504"/>
  </r>
  <r>
    <x v="0"/>
    <x v="0"/>
    <x v="0"/>
    <x v="0"/>
    <x v="6"/>
    <x v="10"/>
    <x v="5"/>
    <n v="96158.802336599299"/>
  </r>
  <r>
    <x v="0"/>
    <x v="0"/>
    <x v="0"/>
    <x v="0"/>
    <x v="6"/>
    <x v="10"/>
    <x v="6"/>
    <n v="96158.802336599299"/>
  </r>
  <r>
    <x v="0"/>
    <x v="0"/>
    <x v="0"/>
    <x v="0"/>
    <x v="6"/>
    <x v="10"/>
    <x v="7"/>
    <n v="96158.802336599299"/>
  </r>
  <r>
    <x v="0"/>
    <x v="0"/>
    <x v="0"/>
    <x v="0"/>
    <x v="6"/>
    <x v="10"/>
    <x v="8"/>
    <n v="96158.802336599299"/>
  </r>
  <r>
    <x v="0"/>
    <x v="0"/>
    <x v="0"/>
    <x v="0"/>
    <x v="6"/>
    <x v="10"/>
    <x v="9"/>
    <n v="96158.802336599299"/>
  </r>
  <r>
    <x v="0"/>
    <x v="0"/>
    <x v="0"/>
    <x v="0"/>
    <x v="6"/>
    <x v="10"/>
    <x v="10"/>
    <n v="96158.802336599299"/>
  </r>
  <r>
    <x v="0"/>
    <x v="0"/>
    <x v="0"/>
    <x v="0"/>
    <x v="6"/>
    <x v="10"/>
    <x v="11"/>
    <n v="96158.802336599299"/>
  </r>
  <r>
    <x v="0"/>
    <x v="0"/>
    <x v="0"/>
    <x v="0"/>
    <x v="6"/>
    <x v="11"/>
    <x v="0"/>
    <n v="60480.137066955402"/>
  </r>
  <r>
    <x v="0"/>
    <x v="0"/>
    <x v="0"/>
    <x v="0"/>
    <x v="6"/>
    <x v="11"/>
    <x v="1"/>
    <n v="60480.137066955402"/>
  </r>
  <r>
    <x v="0"/>
    <x v="0"/>
    <x v="0"/>
    <x v="0"/>
    <x v="6"/>
    <x v="11"/>
    <x v="2"/>
    <n v="60480.137066955402"/>
  </r>
  <r>
    <x v="0"/>
    <x v="0"/>
    <x v="0"/>
    <x v="0"/>
    <x v="6"/>
    <x v="11"/>
    <x v="3"/>
    <n v="60480.137066955402"/>
  </r>
  <r>
    <x v="0"/>
    <x v="0"/>
    <x v="0"/>
    <x v="0"/>
    <x v="6"/>
    <x v="11"/>
    <x v="4"/>
    <n v="70269.345506366793"/>
  </r>
  <r>
    <x v="0"/>
    <x v="0"/>
    <x v="0"/>
    <x v="0"/>
    <x v="6"/>
    <x v="11"/>
    <x v="5"/>
    <n v="70269.345506366793"/>
  </r>
  <r>
    <x v="0"/>
    <x v="0"/>
    <x v="0"/>
    <x v="0"/>
    <x v="6"/>
    <x v="11"/>
    <x v="6"/>
    <n v="96158.802336599299"/>
  </r>
  <r>
    <x v="0"/>
    <x v="0"/>
    <x v="0"/>
    <x v="0"/>
    <x v="6"/>
    <x v="11"/>
    <x v="7"/>
    <n v="96158.802336599299"/>
  </r>
  <r>
    <x v="0"/>
    <x v="0"/>
    <x v="0"/>
    <x v="0"/>
    <x v="6"/>
    <x v="11"/>
    <x v="8"/>
    <n v="96158.802336599299"/>
  </r>
  <r>
    <x v="0"/>
    <x v="0"/>
    <x v="0"/>
    <x v="0"/>
    <x v="6"/>
    <x v="11"/>
    <x v="9"/>
    <n v="96158.802336599299"/>
  </r>
  <r>
    <x v="0"/>
    <x v="0"/>
    <x v="0"/>
    <x v="0"/>
    <x v="6"/>
    <x v="11"/>
    <x v="10"/>
    <n v="96158.802336599299"/>
  </r>
  <r>
    <x v="0"/>
    <x v="0"/>
    <x v="0"/>
    <x v="0"/>
    <x v="6"/>
    <x v="11"/>
    <x v="11"/>
    <n v="96158.802336599299"/>
  </r>
  <r>
    <x v="0"/>
    <x v="0"/>
    <x v="0"/>
    <x v="0"/>
    <x v="7"/>
    <x v="0"/>
    <x v="0"/>
    <n v="29149.051200000002"/>
  </r>
  <r>
    <x v="0"/>
    <x v="0"/>
    <x v="0"/>
    <x v="0"/>
    <x v="7"/>
    <x v="0"/>
    <x v="1"/>
    <n v="29149.051200000002"/>
  </r>
  <r>
    <x v="0"/>
    <x v="0"/>
    <x v="0"/>
    <x v="0"/>
    <x v="7"/>
    <x v="0"/>
    <x v="2"/>
    <n v="29149.051200000002"/>
  </r>
  <r>
    <x v="0"/>
    <x v="0"/>
    <x v="0"/>
    <x v="0"/>
    <x v="7"/>
    <x v="0"/>
    <x v="3"/>
    <n v="29149.051200000002"/>
  </r>
  <r>
    <x v="0"/>
    <x v="0"/>
    <x v="0"/>
    <x v="0"/>
    <x v="7"/>
    <x v="0"/>
    <x v="4"/>
    <n v="29149.051200000002"/>
  </r>
  <r>
    <x v="0"/>
    <x v="0"/>
    <x v="0"/>
    <x v="0"/>
    <x v="7"/>
    <x v="0"/>
    <x v="5"/>
    <n v="29149.051200000002"/>
  </r>
  <r>
    <x v="0"/>
    <x v="0"/>
    <x v="0"/>
    <x v="0"/>
    <x v="7"/>
    <x v="0"/>
    <x v="6"/>
    <n v="29149.051200000002"/>
  </r>
  <r>
    <x v="0"/>
    <x v="0"/>
    <x v="0"/>
    <x v="0"/>
    <x v="7"/>
    <x v="0"/>
    <x v="7"/>
    <n v="29149.051200000002"/>
  </r>
  <r>
    <x v="0"/>
    <x v="0"/>
    <x v="0"/>
    <x v="0"/>
    <x v="7"/>
    <x v="0"/>
    <x v="8"/>
    <n v="29149.051200000002"/>
  </r>
  <r>
    <x v="0"/>
    <x v="0"/>
    <x v="0"/>
    <x v="0"/>
    <x v="7"/>
    <x v="0"/>
    <x v="9"/>
    <n v="29149.051200000002"/>
  </r>
  <r>
    <x v="0"/>
    <x v="0"/>
    <x v="0"/>
    <x v="0"/>
    <x v="7"/>
    <x v="0"/>
    <x v="10"/>
    <n v="29149.051200000002"/>
  </r>
  <r>
    <x v="0"/>
    <x v="0"/>
    <x v="0"/>
    <x v="0"/>
    <x v="7"/>
    <x v="0"/>
    <x v="11"/>
    <n v="29149.051200000002"/>
  </r>
  <r>
    <x v="0"/>
    <x v="0"/>
    <x v="0"/>
    <x v="0"/>
    <x v="7"/>
    <x v="1"/>
    <x v="0"/>
    <n v="29149.051200000002"/>
  </r>
  <r>
    <x v="0"/>
    <x v="0"/>
    <x v="0"/>
    <x v="0"/>
    <x v="7"/>
    <x v="1"/>
    <x v="1"/>
    <n v="29149.051200000002"/>
  </r>
  <r>
    <x v="0"/>
    <x v="0"/>
    <x v="0"/>
    <x v="0"/>
    <x v="7"/>
    <x v="1"/>
    <x v="2"/>
    <n v="29149.051200000002"/>
  </r>
  <r>
    <x v="0"/>
    <x v="0"/>
    <x v="0"/>
    <x v="0"/>
    <x v="7"/>
    <x v="1"/>
    <x v="3"/>
    <n v="29149.051200000002"/>
  </r>
  <r>
    <x v="0"/>
    <x v="0"/>
    <x v="0"/>
    <x v="0"/>
    <x v="7"/>
    <x v="1"/>
    <x v="4"/>
    <n v="29149.051200000002"/>
  </r>
  <r>
    <x v="0"/>
    <x v="0"/>
    <x v="0"/>
    <x v="0"/>
    <x v="7"/>
    <x v="1"/>
    <x v="5"/>
    <n v="29149.051200000002"/>
  </r>
  <r>
    <x v="0"/>
    <x v="0"/>
    <x v="0"/>
    <x v="0"/>
    <x v="7"/>
    <x v="1"/>
    <x v="6"/>
    <n v="29149.051200000002"/>
  </r>
  <r>
    <x v="0"/>
    <x v="0"/>
    <x v="0"/>
    <x v="0"/>
    <x v="7"/>
    <x v="1"/>
    <x v="7"/>
    <n v="29149.051200000002"/>
  </r>
  <r>
    <x v="0"/>
    <x v="0"/>
    <x v="0"/>
    <x v="0"/>
    <x v="7"/>
    <x v="1"/>
    <x v="8"/>
    <n v="29149.051200000002"/>
  </r>
  <r>
    <x v="0"/>
    <x v="0"/>
    <x v="0"/>
    <x v="0"/>
    <x v="7"/>
    <x v="1"/>
    <x v="9"/>
    <n v="29149.051200000002"/>
  </r>
  <r>
    <x v="0"/>
    <x v="0"/>
    <x v="0"/>
    <x v="0"/>
    <x v="7"/>
    <x v="1"/>
    <x v="10"/>
    <n v="29149.051200000002"/>
  </r>
  <r>
    <x v="0"/>
    <x v="0"/>
    <x v="0"/>
    <x v="0"/>
    <x v="7"/>
    <x v="1"/>
    <x v="11"/>
    <n v="29149.051200000002"/>
  </r>
  <r>
    <x v="0"/>
    <x v="0"/>
    <x v="0"/>
    <x v="0"/>
    <x v="7"/>
    <x v="2"/>
    <x v="0"/>
    <n v="29149.051200000002"/>
  </r>
  <r>
    <x v="0"/>
    <x v="0"/>
    <x v="0"/>
    <x v="0"/>
    <x v="7"/>
    <x v="2"/>
    <x v="1"/>
    <n v="29149.051200000002"/>
  </r>
  <r>
    <x v="0"/>
    <x v="0"/>
    <x v="0"/>
    <x v="0"/>
    <x v="7"/>
    <x v="2"/>
    <x v="2"/>
    <n v="29149.051200000002"/>
  </r>
  <r>
    <x v="0"/>
    <x v="0"/>
    <x v="0"/>
    <x v="0"/>
    <x v="7"/>
    <x v="2"/>
    <x v="3"/>
    <n v="29149.051200000002"/>
  </r>
  <r>
    <x v="0"/>
    <x v="0"/>
    <x v="0"/>
    <x v="0"/>
    <x v="7"/>
    <x v="2"/>
    <x v="4"/>
    <n v="29149.051200000002"/>
  </r>
  <r>
    <x v="0"/>
    <x v="0"/>
    <x v="0"/>
    <x v="0"/>
    <x v="7"/>
    <x v="2"/>
    <x v="5"/>
    <n v="29149.051200000002"/>
  </r>
  <r>
    <x v="0"/>
    <x v="0"/>
    <x v="0"/>
    <x v="0"/>
    <x v="7"/>
    <x v="2"/>
    <x v="6"/>
    <n v="29149.051200000002"/>
  </r>
  <r>
    <x v="0"/>
    <x v="0"/>
    <x v="0"/>
    <x v="0"/>
    <x v="7"/>
    <x v="2"/>
    <x v="7"/>
    <n v="29149.051200000002"/>
  </r>
  <r>
    <x v="0"/>
    <x v="0"/>
    <x v="0"/>
    <x v="0"/>
    <x v="7"/>
    <x v="2"/>
    <x v="8"/>
    <n v="29149.051200000002"/>
  </r>
  <r>
    <x v="0"/>
    <x v="0"/>
    <x v="0"/>
    <x v="0"/>
    <x v="7"/>
    <x v="2"/>
    <x v="9"/>
    <n v="29149.051200000002"/>
  </r>
  <r>
    <x v="0"/>
    <x v="0"/>
    <x v="0"/>
    <x v="0"/>
    <x v="7"/>
    <x v="2"/>
    <x v="10"/>
    <n v="29149.051200000002"/>
  </r>
  <r>
    <x v="0"/>
    <x v="0"/>
    <x v="0"/>
    <x v="0"/>
    <x v="7"/>
    <x v="2"/>
    <x v="11"/>
    <n v="29149.051200000002"/>
  </r>
  <r>
    <x v="0"/>
    <x v="0"/>
    <x v="0"/>
    <x v="0"/>
    <x v="7"/>
    <x v="3"/>
    <x v="0"/>
    <n v="29149.051200000002"/>
  </r>
  <r>
    <x v="0"/>
    <x v="0"/>
    <x v="0"/>
    <x v="0"/>
    <x v="7"/>
    <x v="3"/>
    <x v="1"/>
    <n v="29149.051200000002"/>
  </r>
  <r>
    <x v="0"/>
    <x v="0"/>
    <x v="0"/>
    <x v="0"/>
    <x v="7"/>
    <x v="3"/>
    <x v="2"/>
    <n v="29149.051200000002"/>
  </r>
  <r>
    <x v="0"/>
    <x v="0"/>
    <x v="0"/>
    <x v="0"/>
    <x v="7"/>
    <x v="3"/>
    <x v="3"/>
    <n v="29149.051200000002"/>
  </r>
  <r>
    <x v="0"/>
    <x v="0"/>
    <x v="0"/>
    <x v="0"/>
    <x v="7"/>
    <x v="3"/>
    <x v="4"/>
    <n v="29149.051200000002"/>
  </r>
  <r>
    <x v="0"/>
    <x v="0"/>
    <x v="0"/>
    <x v="0"/>
    <x v="7"/>
    <x v="3"/>
    <x v="5"/>
    <n v="29149.051200000002"/>
  </r>
  <r>
    <x v="0"/>
    <x v="0"/>
    <x v="0"/>
    <x v="0"/>
    <x v="7"/>
    <x v="3"/>
    <x v="6"/>
    <n v="29149.051200000002"/>
  </r>
  <r>
    <x v="0"/>
    <x v="0"/>
    <x v="0"/>
    <x v="0"/>
    <x v="7"/>
    <x v="3"/>
    <x v="7"/>
    <n v="29149.051200000002"/>
  </r>
  <r>
    <x v="0"/>
    <x v="0"/>
    <x v="0"/>
    <x v="0"/>
    <x v="7"/>
    <x v="3"/>
    <x v="8"/>
    <n v="29149.051200000002"/>
  </r>
  <r>
    <x v="0"/>
    <x v="0"/>
    <x v="0"/>
    <x v="0"/>
    <x v="7"/>
    <x v="3"/>
    <x v="9"/>
    <n v="29149.051200000002"/>
  </r>
  <r>
    <x v="0"/>
    <x v="0"/>
    <x v="0"/>
    <x v="0"/>
    <x v="7"/>
    <x v="3"/>
    <x v="10"/>
    <n v="29149.051200000002"/>
  </r>
  <r>
    <x v="0"/>
    <x v="0"/>
    <x v="0"/>
    <x v="0"/>
    <x v="7"/>
    <x v="3"/>
    <x v="11"/>
    <n v="29149.051200000002"/>
  </r>
  <r>
    <x v="0"/>
    <x v="0"/>
    <x v="0"/>
    <x v="0"/>
    <x v="7"/>
    <x v="4"/>
    <x v="0"/>
    <n v="29149.051200000002"/>
  </r>
  <r>
    <x v="0"/>
    <x v="0"/>
    <x v="0"/>
    <x v="0"/>
    <x v="7"/>
    <x v="4"/>
    <x v="1"/>
    <n v="29149.051200000002"/>
  </r>
  <r>
    <x v="0"/>
    <x v="0"/>
    <x v="0"/>
    <x v="0"/>
    <x v="7"/>
    <x v="4"/>
    <x v="2"/>
    <n v="29149.051200000002"/>
  </r>
  <r>
    <x v="0"/>
    <x v="0"/>
    <x v="0"/>
    <x v="0"/>
    <x v="7"/>
    <x v="4"/>
    <x v="3"/>
    <n v="29149.051200000002"/>
  </r>
  <r>
    <x v="0"/>
    <x v="0"/>
    <x v="0"/>
    <x v="0"/>
    <x v="7"/>
    <x v="4"/>
    <x v="4"/>
    <n v="29149.051200000002"/>
  </r>
  <r>
    <x v="0"/>
    <x v="0"/>
    <x v="0"/>
    <x v="0"/>
    <x v="7"/>
    <x v="4"/>
    <x v="5"/>
    <n v="29149.051200000002"/>
  </r>
  <r>
    <x v="0"/>
    <x v="0"/>
    <x v="0"/>
    <x v="0"/>
    <x v="7"/>
    <x v="4"/>
    <x v="6"/>
    <n v="29149.051200000002"/>
  </r>
  <r>
    <x v="0"/>
    <x v="0"/>
    <x v="0"/>
    <x v="0"/>
    <x v="7"/>
    <x v="4"/>
    <x v="7"/>
    <n v="29149.051200000002"/>
  </r>
  <r>
    <x v="0"/>
    <x v="0"/>
    <x v="0"/>
    <x v="0"/>
    <x v="7"/>
    <x v="4"/>
    <x v="8"/>
    <n v="29149.051200000002"/>
  </r>
  <r>
    <x v="0"/>
    <x v="0"/>
    <x v="0"/>
    <x v="0"/>
    <x v="7"/>
    <x v="4"/>
    <x v="9"/>
    <n v="29149.051200000002"/>
  </r>
  <r>
    <x v="0"/>
    <x v="0"/>
    <x v="0"/>
    <x v="0"/>
    <x v="7"/>
    <x v="4"/>
    <x v="10"/>
    <n v="29149.051200000002"/>
  </r>
  <r>
    <x v="0"/>
    <x v="0"/>
    <x v="0"/>
    <x v="0"/>
    <x v="7"/>
    <x v="4"/>
    <x v="11"/>
    <n v="29149.051200000002"/>
  </r>
  <r>
    <x v="0"/>
    <x v="0"/>
    <x v="0"/>
    <x v="0"/>
    <x v="7"/>
    <x v="5"/>
    <x v="0"/>
    <n v="29149.051200000002"/>
  </r>
  <r>
    <x v="0"/>
    <x v="0"/>
    <x v="0"/>
    <x v="0"/>
    <x v="7"/>
    <x v="5"/>
    <x v="1"/>
    <n v="29149.051200000002"/>
  </r>
  <r>
    <x v="0"/>
    <x v="0"/>
    <x v="0"/>
    <x v="0"/>
    <x v="7"/>
    <x v="5"/>
    <x v="2"/>
    <n v="29149.051200000002"/>
  </r>
  <r>
    <x v="0"/>
    <x v="0"/>
    <x v="0"/>
    <x v="0"/>
    <x v="7"/>
    <x v="5"/>
    <x v="3"/>
    <n v="29149.051200000002"/>
  </r>
  <r>
    <x v="0"/>
    <x v="0"/>
    <x v="0"/>
    <x v="0"/>
    <x v="7"/>
    <x v="5"/>
    <x v="4"/>
    <n v="29149.051200000002"/>
  </r>
  <r>
    <x v="0"/>
    <x v="0"/>
    <x v="0"/>
    <x v="0"/>
    <x v="7"/>
    <x v="5"/>
    <x v="5"/>
    <n v="29149.051200000002"/>
  </r>
  <r>
    <x v="0"/>
    <x v="0"/>
    <x v="0"/>
    <x v="0"/>
    <x v="7"/>
    <x v="5"/>
    <x v="6"/>
    <n v="29149.051200000002"/>
  </r>
  <r>
    <x v="0"/>
    <x v="0"/>
    <x v="0"/>
    <x v="0"/>
    <x v="7"/>
    <x v="5"/>
    <x v="7"/>
    <n v="29149.051200000002"/>
  </r>
  <r>
    <x v="0"/>
    <x v="0"/>
    <x v="0"/>
    <x v="0"/>
    <x v="7"/>
    <x v="5"/>
    <x v="8"/>
    <n v="29149.051200000002"/>
  </r>
  <r>
    <x v="0"/>
    <x v="0"/>
    <x v="0"/>
    <x v="0"/>
    <x v="7"/>
    <x v="5"/>
    <x v="9"/>
    <n v="29149.051200000002"/>
  </r>
  <r>
    <x v="0"/>
    <x v="0"/>
    <x v="0"/>
    <x v="0"/>
    <x v="7"/>
    <x v="5"/>
    <x v="10"/>
    <n v="29149.051200000002"/>
  </r>
  <r>
    <x v="0"/>
    <x v="0"/>
    <x v="0"/>
    <x v="0"/>
    <x v="7"/>
    <x v="5"/>
    <x v="11"/>
    <n v="29149.051200000002"/>
  </r>
  <r>
    <x v="0"/>
    <x v="0"/>
    <x v="0"/>
    <x v="0"/>
    <x v="7"/>
    <x v="6"/>
    <x v="0"/>
    <n v="29149.051200000002"/>
  </r>
  <r>
    <x v="0"/>
    <x v="0"/>
    <x v="0"/>
    <x v="0"/>
    <x v="7"/>
    <x v="6"/>
    <x v="1"/>
    <n v="29149.051200000002"/>
  </r>
  <r>
    <x v="0"/>
    <x v="0"/>
    <x v="0"/>
    <x v="0"/>
    <x v="7"/>
    <x v="6"/>
    <x v="2"/>
    <n v="29149.051200000002"/>
  </r>
  <r>
    <x v="0"/>
    <x v="0"/>
    <x v="0"/>
    <x v="0"/>
    <x v="7"/>
    <x v="6"/>
    <x v="3"/>
    <n v="29149.051200000002"/>
  </r>
  <r>
    <x v="0"/>
    <x v="0"/>
    <x v="0"/>
    <x v="0"/>
    <x v="7"/>
    <x v="6"/>
    <x v="4"/>
    <n v="29149.051200000002"/>
  </r>
  <r>
    <x v="0"/>
    <x v="0"/>
    <x v="0"/>
    <x v="0"/>
    <x v="7"/>
    <x v="6"/>
    <x v="5"/>
    <n v="29149.051200000002"/>
  </r>
  <r>
    <x v="0"/>
    <x v="0"/>
    <x v="0"/>
    <x v="0"/>
    <x v="7"/>
    <x v="6"/>
    <x v="6"/>
    <n v="29149.051200000002"/>
  </r>
  <r>
    <x v="0"/>
    <x v="0"/>
    <x v="0"/>
    <x v="0"/>
    <x v="7"/>
    <x v="6"/>
    <x v="7"/>
    <n v="29149.051200000002"/>
  </r>
  <r>
    <x v="0"/>
    <x v="0"/>
    <x v="0"/>
    <x v="0"/>
    <x v="7"/>
    <x v="6"/>
    <x v="8"/>
    <n v="29149.051200000002"/>
  </r>
  <r>
    <x v="0"/>
    <x v="0"/>
    <x v="0"/>
    <x v="0"/>
    <x v="7"/>
    <x v="6"/>
    <x v="9"/>
    <n v="29149.051200000002"/>
  </r>
  <r>
    <x v="0"/>
    <x v="0"/>
    <x v="0"/>
    <x v="0"/>
    <x v="7"/>
    <x v="6"/>
    <x v="10"/>
    <n v="29149.051200000002"/>
  </r>
  <r>
    <x v="0"/>
    <x v="0"/>
    <x v="0"/>
    <x v="0"/>
    <x v="7"/>
    <x v="6"/>
    <x v="11"/>
    <n v="29149.051200000002"/>
  </r>
  <r>
    <x v="0"/>
    <x v="0"/>
    <x v="0"/>
    <x v="0"/>
    <x v="7"/>
    <x v="7"/>
    <x v="0"/>
    <n v="29149.051200000002"/>
  </r>
  <r>
    <x v="0"/>
    <x v="0"/>
    <x v="0"/>
    <x v="0"/>
    <x v="7"/>
    <x v="7"/>
    <x v="1"/>
    <n v="29149.051200000002"/>
  </r>
  <r>
    <x v="0"/>
    <x v="0"/>
    <x v="0"/>
    <x v="0"/>
    <x v="7"/>
    <x v="7"/>
    <x v="2"/>
    <n v="29149.051200000002"/>
  </r>
  <r>
    <x v="0"/>
    <x v="0"/>
    <x v="0"/>
    <x v="0"/>
    <x v="7"/>
    <x v="7"/>
    <x v="3"/>
    <n v="29149.051200000002"/>
  </r>
  <r>
    <x v="0"/>
    <x v="0"/>
    <x v="0"/>
    <x v="0"/>
    <x v="7"/>
    <x v="7"/>
    <x v="4"/>
    <n v="29149.051200000002"/>
  </r>
  <r>
    <x v="0"/>
    <x v="0"/>
    <x v="0"/>
    <x v="0"/>
    <x v="7"/>
    <x v="7"/>
    <x v="5"/>
    <n v="29149.051200000002"/>
  </r>
  <r>
    <x v="0"/>
    <x v="0"/>
    <x v="0"/>
    <x v="0"/>
    <x v="7"/>
    <x v="7"/>
    <x v="6"/>
    <n v="29149.051200000002"/>
  </r>
  <r>
    <x v="0"/>
    <x v="0"/>
    <x v="0"/>
    <x v="0"/>
    <x v="7"/>
    <x v="7"/>
    <x v="7"/>
    <n v="29149.051200000002"/>
  </r>
  <r>
    <x v="0"/>
    <x v="0"/>
    <x v="0"/>
    <x v="0"/>
    <x v="7"/>
    <x v="7"/>
    <x v="8"/>
    <n v="29149.051200000002"/>
  </r>
  <r>
    <x v="0"/>
    <x v="0"/>
    <x v="0"/>
    <x v="0"/>
    <x v="7"/>
    <x v="7"/>
    <x v="9"/>
    <n v="29149.051200000002"/>
  </r>
  <r>
    <x v="0"/>
    <x v="0"/>
    <x v="0"/>
    <x v="0"/>
    <x v="7"/>
    <x v="7"/>
    <x v="10"/>
    <n v="29149.051200000002"/>
  </r>
  <r>
    <x v="0"/>
    <x v="0"/>
    <x v="0"/>
    <x v="0"/>
    <x v="7"/>
    <x v="7"/>
    <x v="11"/>
    <n v="29149.051200000002"/>
  </r>
  <r>
    <x v="0"/>
    <x v="0"/>
    <x v="0"/>
    <x v="0"/>
    <x v="7"/>
    <x v="8"/>
    <x v="0"/>
    <n v="29149.051200000002"/>
  </r>
  <r>
    <x v="0"/>
    <x v="0"/>
    <x v="0"/>
    <x v="0"/>
    <x v="7"/>
    <x v="8"/>
    <x v="1"/>
    <n v="29149.051200000002"/>
  </r>
  <r>
    <x v="0"/>
    <x v="0"/>
    <x v="0"/>
    <x v="0"/>
    <x v="7"/>
    <x v="8"/>
    <x v="2"/>
    <n v="29149.051200000002"/>
  </r>
  <r>
    <x v="0"/>
    <x v="0"/>
    <x v="0"/>
    <x v="0"/>
    <x v="7"/>
    <x v="8"/>
    <x v="3"/>
    <n v="29149.051200000002"/>
  </r>
  <r>
    <x v="0"/>
    <x v="0"/>
    <x v="0"/>
    <x v="0"/>
    <x v="7"/>
    <x v="8"/>
    <x v="4"/>
    <n v="29149.051200000002"/>
  </r>
  <r>
    <x v="0"/>
    <x v="0"/>
    <x v="0"/>
    <x v="0"/>
    <x v="7"/>
    <x v="8"/>
    <x v="5"/>
    <n v="29149.051200000002"/>
  </r>
  <r>
    <x v="0"/>
    <x v="0"/>
    <x v="0"/>
    <x v="0"/>
    <x v="7"/>
    <x v="8"/>
    <x v="6"/>
    <n v="29149.051200000002"/>
  </r>
  <r>
    <x v="0"/>
    <x v="0"/>
    <x v="0"/>
    <x v="0"/>
    <x v="7"/>
    <x v="8"/>
    <x v="7"/>
    <n v="29149.051200000002"/>
  </r>
  <r>
    <x v="0"/>
    <x v="0"/>
    <x v="0"/>
    <x v="0"/>
    <x v="7"/>
    <x v="8"/>
    <x v="8"/>
    <n v="29149.051200000002"/>
  </r>
  <r>
    <x v="0"/>
    <x v="0"/>
    <x v="0"/>
    <x v="0"/>
    <x v="7"/>
    <x v="8"/>
    <x v="9"/>
    <n v="29149.051200000002"/>
  </r>
  <r>
    <x v="0"/>
    <x v="0"/>
    <x v="0"/>
    <x v="0"/>
    <x v="7"/>
    <x v="8"/>
    <x v="10"/>
    <n v="29149.051200000002"/>
  </r>
  <r>
    <x v="0"/>
    <x v="0"/>
    <x v="0"/>
    <x v="0"/>
    <x v="7"/>
    <x v="8"/>
    <x v="11"/>
    <n v="29149.051200000002"/>
  </r>
  <r>
    <x v="0"/>
    <x v="0"/>
    <x v="0"/>
    <x v="0"/>
    <x v="7"/>
    <x v="9"/>
    <x v="0"/>
    <n v="29149.051200000002"/>
  </r>
  <r>
    <x v="0"/>
    <x v="0"/>
    <x v="0"/>
    <x v="0"/>
    <x v="7"/>
    <x v="9"/>
    <x v="1"/>
    <n v="29149.051200000002"/>
  </r>
  <r>
    <x v="0"/>
    <x v="0"/>
    <x v="0"/>
    <x v="0"/>
    <x v="7"/>
    <x v="9"/>
    <x v="2"/>
    <n v="29149.051200000002"/>
  </r>
  <r>
    <x v="0"/>
    <x v="0"/>
    <x v="0"/>
    <x v="0"/>
    <x v="7"/>
    <x v="9"/>
    <x v="3"/>
    <n v="29149.051200000002"/>
  </r>
  <r>
    <x v="0"/>
    <x v="0"/>
    <x v="0"/>
    <x v="0"/>
    <x v="7"/>
    <x v="9"/>
    <x v="4"/>
    <n v="29149.051200000002"/>
  </r>
  <r>
    <x v="0"/>
    <x v="0"/>
    <x v="0"/>
    <x v="0"/>
    <x v="7"/>
    <x v="9"/>
    <x v="5"/>
    <n v="29149.051200000002"/>
  </r>
  <r>
    <x v="0"/>
    <x v="0"/>
    <x v="0"/>
    <x v="0"/>
    <x v="7"/>
    <x v="9"/>
    <x v="6"/>
    <n v="29149.051200000002"/>
  </r>
  <r>
    <x v="0"/>
    <x v="0"/>
    <x v="0"/>
    <x v="0"/>
    <x v="7"/>
    <x v="9"/>
    <x v="7"/>
    <n v="29149.051200000002"/>
  </r>
  <r>
    <x v="0"/>
    <x v="0"/>
    <x v="0"/>
    <x v="0"/>
    <x v="7"/>
    <x v="9"/>
    <x v="8"/>
    <n v="29149.051200000002"/>
  </r>
  <r>
    <x v="0"/>
    <x v="0"/>
    <x v="0"/>
    <x v="0"/>
    <x v="7"/>
    <x v="9"/>
    <x v="9"/>
    <n v="29149.051200000002"/>
  </r>
  <r>
    <x v="0"/>
    <x v="0"/>
    <x v="0"/>
    <x v="0"/>
    <x v="7"/>
    <x v="9"/>
    <x v="10"/>
    <n v="29149.051200000002"/>
  </r>
  <r>
    <x v="0"/>
    <x v="0"/>
    <x v="0"/>
    <x v="0"/>
    <x v="7"/>
    <x v="9"/>
    <x v="11"/>
    <n v="29149.051200000002"/>
  </r>
  <r>
    <x v="0"/>
    <x v="0"/>
    <x v="0"/>
    <x v="0"/>
    <x v="7"/>
    <x v="10"/>
    <x v="0"/>
    <n v="29149.051200000002"/>
  </r>
  <r>
    <x v="0"/>
    <x v="0"/>
    <x v="0"/>
    <x v="0"/>
    <x v="7"/>
    <x v="10"/>
    <x v="1"/>
    <n v="29149.051200000002"/>
  </r>
  <r>
    <x v="0"/>
    <x v="0"/>
    <x v="0"/>
    <x v="0"/>
    <x v="7"/>
    <x v="10"/>
    <x v="2"/>
    <n v="29149.051200000002"/>
  </r>
  <r>
    <x v="0"/>
    <x v="0"/>
    <x v="0"/>
    <x v="0"/>
    <x v="7"/>
    <x v="10"/>
    <x v="3"/>
    <n v="29149.051200000002"/>
  </r>
  <r>
    <x v="0"/>
    <x v="0"/>
    <x v="0"/>
    <x v="0"/>
    <x v="7"/>
    <x v="10"/>
    <x v="4"/>
    <n v="29149.051200000002"/>
  </r>
  <r>
    <x v="0"/>
    <x v="0"/>
    <x v="0"/>
    <x v="0"/>
    <x v="7"/>
    <x v="10"/>
    <x v="5"/>
    <n v="29149.051200000002"/>
  </r>
  <r>
    <x v="0"/>
    <x v="0"/>
    <x v="0"/>
    <x v="0"/>
    <x v="7"/>
    <x v="10"/>
    <x v="6"/>
    <n v="29149.051200000002"/>
  </r>
  <r>
    <x v="0"/>
    <x v="0"/>
    <x v="0"/>
    <x v="0"/>
    <x v="7"/>
    <x v="10"/>
    <x v="7"/>
    <n v="29149.051200000002"/>
  </r>
  <r>
    <x v="0"/>
    <x v="0"/>
    <x v="0"/>
    <x v="0"/>
    <x v="7"/>
    <x v="10"/>
    <x v="8"/>
    <n v="29149.051200000002"/>
  </r>
  <r>
    <x v="0"/>
    <x v="0"/>
    <x v="0"/>
    <x v="0"/>
    <x v="7"/>
    <x v="10"/>
    <x v="9"/>
    <n v="29149.051200000002"/>
  </r>
  <r>
    <x v="0"/>
    <x v="0"/>
    <x v="0"/>
    <x v="0"/>
    <x v="7"/>
    <x v="10"/>
    <x v="10"/>
    <n v="29149.051200000002"/>
  </r>
  <r>
    <x v="0"/>
    <x v="0"/>
    <x v="0"/>
    <x v="0"/>
    <x v="7"/>
    <x v="10"/>
    <x v="11"/>
    <n v="29149.051200000002"/>
  </r>
  <r>
    <x v="0"/>
    <x v="0"/>
    <x v="0"/>
    <x v="0"/>
    <x v="7"/>
    <x v="11"/>
    <x v="0"/>
    <n v="29149.051200000002"/>
  </r>
  <r>
    <x v="0"/>
    <x v="0"/>
    <x v="0"/>
    <x v="0"/>
    <x v="7"/>
    <x v="11"/>
    <x v="1"/>
    <n v="29149.051200000002"/>
  </r>
  <r>
    <x v="0"/>
    <x v="0"/>
    <x v="0"/>
    <x v="0"/>
    <x v="7"/>
    <x v="11"/>
    <x v="2"/>
    <n v="29149.051200000002"/>
  </r>
  <r>
    <x v="0"/>
    <x v="0"/>
    <x v="0"/>
    <x v="0"/>
    <x v="7"/>
    <x v="11"/>
    <x v="3"/>
    <n v="29149.051200000002"/>
  </r>
  <r>
    <x v="0"/>
    <x v="0"/>
    <x v="0"/>
    <x v="0"/>
    <x v="7"/>
    <x v="11"/>
    <x v="4"/>
    <n v="29149.051200000002"/>
  </r>
  <r>
    <x v="0"/>
    <x v="0"/>
    <x v="0"/>
    <x v="0"/>
    <x v="7"/>
    <x v="11"/>
    <x v="5"/>
    <n v="29149.051200000002"/>
  </r>
  <r>
    <x v="0"/>
    <x v="0"/>
    <x v="0"/>
    <x v="0"/>
    <x v="7"/>
    <x v="11"/>
    <x v="6"/>
    <n v="29149.051200000002"/>
  </r>
  <r>
    <x v="0"/>
    <x v="0"/>
    <x v="0"/>
    <x v="0"/>
    <x v="7"/>
    <x v="11"/>
    <x v="7"/>
    <n v="29149.051200000002"/>
  </r>
  <r>
    <x v="0"/>
    <x v="0"/>
    <x v="0"/>
    <x v="0"/>
    <x v="7"/>
    <x v="11"/>
    <x v="8"/>
    <n v="29149.051200000002"/>
  </r>
  <r>
    <x v="0"/>
    <x v="0"/>
    <x v="0"/>
    <x v="0"/>
    <x v="7"/>
    <x v="11"/>
    <x v="9"/>
    <n v="29149.051200000002"/>
  </r>
  <r>
    <x v="0"/>
    <x v="0"/>
    <x v="0"/>
    <x v="0"/>
    <x v="7"/>
    <x v="11"/>
    <x v="10"/>
    <n v="29149.051200000002"/>
  </r>
  <r>
    <x v="0"/>
    <x v="0"/>
    <x v="0"/>
    <x v="0"/>
    <x v="7"/>
    <x v="11"/>
    <x v="11"/>
    <n v="29149.051200000002"/>
  </r>
  <r>
    <x v="0"/>
    <x v="0"/>
    <x v="0"/>
    <x v="0"/>
    <x v="8"/>
    <x v="0"/>
    <x v="0"/>
    <n v="11439.226000000001"/>
  </r>
  <r>
    <x v="0"/>
    <x v="0"/>
    <x v="0"/>
    <x v="0"/>
    <x v="8"/>
    <x v="0"/>
    <x v="1"/>
    <n v="11439.226000000001"/>
  </r>
  <r>
    <x v="0"/>
    <x v="0"/>
    <x v="0"/>
    <x v="0"/>
    <x v="8"/>
    <x v="0"/>
    <x v="2"/>
    <n v="11439.226000000001"/>
  </r>
  <r>
    <x v="0"/>
    <x v="0"/>
    <x v="0"/>
    <x v="0"/>
    <x v="8"/>
    <x v="0"/>
    <x v="3"/>
    <n v="11439.226000000001"/>
  </r>
  <r>
    <x v="0"/>
    <x v="0"/>
    <x v="0"/>
    <x v="0"/>
    <x v="8"/>
    <x v="0"/>
    <x v="4"/>
    <n v="11439.226000000001"/>
  </r>
  <r>
    <x v="0"/>
    <x v="0"/>
    <x v="0"/>
    <x v="0"/>
    <x v="8"/>
    <x v="0"/>
    <x v="5"/>
    <n v="11439.226000000001"/>
  </r>
  <r>
    <x v="0"/>
    <x v="0"/>
    <x v="0"/>
    <x v="0"/>
    <x v="8"/>
    <x v="0"/>
    <x v="6"/>
    <n v="11439.226000000001"/>
  </r>
  <r>
    <x v="0"/>
    <x v="0"/>
    <x v="0"/>
    <x v="0"/>
    <x v="8"/>
    <x v="0"/>
    <x v="7"/>
    <n v="11439.226000000001"/>
  </r>
  <r>
    <x v="0"/>
    <x v="0"/>
    <x v="0"/>
    <x v="0"/>
    <x v="8"/>
    <x v="0"/>
    <x v="8"/>
    <n v="11439.226000000001"/>
  </r>
  <r>
    <x v="0"/>
    <x v="0"/>
    <x v="0"/>
    <x v="0"/>
    <x v="8"/>
    <x v="0"/>
    <x v="9"/>
    <n v="11439.226000000001"/>
  </r>
  <r>
    <x v="0"/>
    <x v="0"/>
    <x v="0"/>
    <x v="0"/>
    <x v="8"/>
    <x v="0"/>
    <x v="10"/>
    <n v="11439.226000000001"/>
  </r>
  <r>
    <x v="0"/>
    <x v="0"/>
    <x v="0"/>
    <x v="0"/>
    <x v="8"/>
    <x v="0"/>
    <x v="11"/>
    <n v="11439.226000000001"/>
  </r>
  <r>
    <x v="0"/>
    <x v="0"/>
    <x v="0"/>
    <x v="0"/>
    <x v="8"/>
    <x v="1"/>
    <x v="0"/>
    <n v="11439.226000000001"/>
  </r>
  <r>
    <x v="0"/>
    <x v="0"/>
    <x v="0"/>
    <x v="0"/>
    <x v="8"/>
    <x v="1"/>
    <x v="1"/>
    <n v="11439.226000000001"/>
  </r>
  <r>
    <x v="0"/>
    <x v="0"/>
    <x v="0"/>
    <x v="0"/>
    <x v="8"/>
    <x v="1"/>
    <x v="2"/>
    <n v="11439.226000000001"/>
  </r>
  <r>
    <x v="0"/>
    <x v="0"/>
    <x v="0"/>
    <x v="0"/>
    <x v="8"/>
    <x v="1"/>
    <x v="3"/>
    <n v="11439.226000000001"/>
  </r>
  <r>
    <x v="0"/>
    <x v="0"/>
    <x v="0"/>
    <x v="0"/>
    <x v="8"/>
    <x v="1"/>
    <x v="4"/>
    <n v="11439.226000000001"/>
  </r>
  <r>
    <x v="0"/>
    <x v="0"/>
    <x v="0"/>
    <x v="0"/>
    <x v="8"/>
    <x v="1"/>
    <x v="5"/>
    <n v="11439.226000000001"/>
  </r>
  <r>
    <x v="0"/>
    <x v="0"/>
    <x v="0"/>
    <x v="0"/>
    <x v="8"/>
    <x v="1"/>
    <x v="6"/>
    <n v="11439.226000000001"/>
  </r>
  <r>
    <x v="0"/>
    <x v="0"/>
    <x v="0"/>
    <x v="0"/>
    <x v="8"/>
    <x v="1"/>
    <x v="7"/>
    <n v="11439.226000000001"/>
  </r>
  <r>
    <x v="0"/>
    <x v="0"/>
    <x v="0"/>
    <x v="0"/>
    <x v="8"/>
    <x v="1"/>
    <x v="8"/>
    <n v="11439.226000000001"/>
  </r>
  <r>
    <x v="0"/>
    <x v="0"/>
    <x v="0"/>
    <x v="0"/>
    <x v="8"/>
    <x v="1"/>
    <x v="9"/>
    <n v="11439.226000000001"/>
  </r>
  <r>
    <x v="0"/>
    <x v="0"/>
    <x v="0"/>
    <x v="0"/>
    <x v="8"/>
    <x v="1"/>
    <x v="10"/>
    <n v="11439.226000000001"/>
  </r>
  <r>
    <x v="0"/>
    <x v="0"/>
    <x v="0"/>
    <x v="0"/>
    <x v="8"/>
    <x v="1"/>
    <x v="11"/>
    <n v="11439.226000000001"/>
  </r>
  <r>
    <x v="0"/>
    <x v="0"/>
    <x v="0"/>
    <x v="0"/>
    <x v="8"/>
    <x v="2"/>
    <x v="0"/>
    <n v="11439.226000000001"/>
  </r>
  <r>
    <x v="0"/>
    <x v="0"/>
    <x v="0"/>
    <x v="0"/>
    <x v="8"/>
    <x v="2"/>
    <x v="1"/>
    <n v="11439.226000000001"/>
  </r>
  <r>
    <x v="0"/>
    <x v="0"/>
    <x v="0"/>
    <x v="0"/>
    <x v="8"/>
    <x v="2"/>
    <x v="2"/>
    <n v="11439.226000000001"/>
  </r>
  <r>
    <x v="0"/>
    <x v="0"/>
    <x v="0"/>
    <x v="0"/>
    <x v="8"/>
    <x v="2"/>
    <x v="3"/>
    <n v="11439.226000000001"/>
  </r>
  <r>
    <x v="0"/>
    <x v="0"/>
    <x v="0"/>
    <x v="0"/>
    <x v="8"/>
    <x v="2"/>
    <x v="4"/>
    <n v="11439.226000000001"/>
  </r>
  <r>
    <x v="0"/>
    <x v="0"/>
    <x v="0"/>
    <x v="0"/>
    <x v="8"/>
    <x v="2"/>
    <x v="5"/>
    <n v="11439.226000000001"/>
  </r>
  <r>
    <x v="0"/>
    <x v="0"/>
    <x v="0"/>
    <x v="0"/>
    <x v="8"/>
    <x v="2"/>
    <x v="6"/>
    <n v="11439.226000000001"/>
  </r>
  <r>
    <x v="0"/>
    <x v="0"/>
    <x v="0"/>
    <x v="0"/>
    <x v="8"/>
    <x v="2"/>
    <x v="7"/>
    <n v="11439.226000000001"/>
  </r>
  <r>
    <x v="0"/>
    <x v="0"/>
    <x v="0"/>
    <x v="0"/>
    <x v="8"/>
    <x v="2"/>
    <x v="8"/>
    <n v="11439.226000000001"/>
  </r>
  <r>
    <x v="0"/>
    <x v="0"/>
    <x v="0"/>
    <x v="0"/>
    <x v="8"/>
    <x v="2"/>
    <x v="9"/>
    <n v="11439.226000000001"/>
  </r>
  <r>
    <x v="0"/>
    <x v="0"/>
    <x v="0"/>
    <x v="0"/>
    <x v="8"/>
    <x v="2"/>
    <x v="10"/>
    <n v="11439.226000000001"/>
  </r>
  <r>
    <x v="0"/>
    <x v="0"/>
    <x v="0"/>
    <x v="0"/>
    <x v="8"/>
    <x v="2"/>
    <x v="11"/>
    <n v="11439.226000000001"/>
  </r>
  <r>
    <x v="0"/>
    <x v="0"/>
    <x v="0"/>
    <x v="0"/>
    <x v="8"/>
    <x v="3"/>
    <x v="0"/>
    <n v="11439.226000000001"/>
  </r>
  <r>
    <x v="0"/>
    <x v="0"/>
    <x v="0"/>
    <x v="0"/>
    <x v="8"/>
    <x v="3"/>
    <x v="1"/>
    <n v="11439.226000000001"/>
  </r>
  <r>
    <x v="0"/>
    <x v="0"/>
    <x v="0"/>
    <x v="0"/>
    <x v="8"/>
    <x v="3"/>
    <x v="2"/>
    <n v="11439.226000000001"/>
  </r>
  <r>
    <x v="0"/>
    <x v="0"/>
    <x v="0"/>
    <x v="0"/>
    <x v="8"/>
    <x v="3"/>
    <x v="3"/>
    <n v="11439.226000000001"/>
  </r>
  <r>
    <x v="0"/>
    <x v="0"/>
    <x v="0"/>
    <x v="0"/>
    <x v="8"/>
    <x v="3"/>
    <x v="4"/>
    <n v="11439.226000000001"/>
  </r>
  <r>
    <x v="0"/>
    <x v="0"/>
    <x v="0"/>
    <x v="0"/>
    <x v="8"/>
    <x v="3"/>
    <x v="5"/>
    <n v="11439.226000000001"/>
  </r>
  <r>
    <x v="0"/>
    <x v="0"/>
    <x v="0"/>
    <x v="0"/>
    <x v="8"/>
    <x v="3"/>
    <x v="6"/>
    <n v="11439.226000000001"/>
  </r>
  <r>
    <x v="0"/>
    <x v="0"/>
    <x v="0"/>
    <x v="0"/>
    <x v="8"/>
    <x v="3"/>
    <x v="7"/>
    <n v="11439.226000000001"/>
  </r>
  <r>
    <x v="0"/>
    <x v="0"/>
    <x v="0"/>
    <x v="0"/>
    <x v="8"/>
    <x v="3"/>
    <x v="8"/>
    <n v="11439.226000000001"/>
  </r>
  <r>
    <x v="0"/>
    <x v="0"/>
    <x v="0"/>
    <x v="0"/>
    <x v="8"/>
    <x v="3"/>
    <x v="9"/>
    <n v="11439.226000000001"/>
  </r>
  <r>
    <x v="0"/>
    <x v="0"/>
    <x v="0"/>
    <x v="0"/>
    <x v="8"/>
    <x v="3"/>
    <x v="10"/>
    <n v="11439.226000000001"/>
  </r>
  <r>
    <x v="0"/>
    <x v="0"/>
    <x v="0"/>
    <x v="0"/>
    <x v="8"/>
    <x v="3"/>
    <x v="11"/>
    <n v="11439.226000000001"/>
  </r>
  <r>
    <x v="0"/>
    <x v="0"/>
    <x v="0"/>
    <x v="0"/>
    <x v="8"/>
    <x v="4"/>
    <x v="0"/>
    <n v="6920.5828027813504"/>
  </r>
  <r>
    <x v="0"/>
    <x v="0"/>
    <x v="0"/>
    <x v="0"/>
    <x v="8"/>
    <x v="4"/>
    <x v="1"/>
    <n v="6920.5828027813504"/>
  </r>
  <r>
    <x v="0"/>
    <x v="0"/>
    <x v="0"/>
    <x v="0"/>
    <x v="8"/>
    <x v="4"/>
    <x v="2"/>
    <n v="6920.5828027813504"/>
  </r>
  <r>
    <x v="0"/>
    <x v="0"/>
    <x v="0"/>
    <x v="0"/>
    <x v="8"/>
    <x v="4"/>
    <x v="3"/>
    <n v="6920.5828027813504"/>
  </r>
  <r>
    <x v="0"/>
    <x v="0"/>
    <x v="0"/>
    <x v="0"/>
    <x v="8"/>
    <x v="4"/>
    <x v="4"/>
    <n v="6920.5828027813504"/>
  </r>
  <r>
    <x v="0"/>
    <x v="0"/>
    <x v="0"/>
    <x v="0"/>
    <x v="8"/>
    <x v="4"/>
    <x v="5"/>
    <n v="6920.5828027813504"/>
  </r>
  <r>
    <x v="0"/>
    <x v="0"/>
    <x v="0"/>
    <x v="0"/>
    <x v="8"/>
    <x v="4"/>
    <x v="6"/>
    <n v="6920.5828027813504"/>
  </r>
  <r>
    <x v="0"/>
    <x v="0"/>
    <x v="0"/>
    <x v="0"/>
    <x v="8"/>
    <x v="4"/>
    <x v="7"/>
    <n v="7047.6047654489903"/>
  </r>
  <r>
    <x v="0"/>
    <x v="0"/>
    <x v="0"/>
    <x v="0"/>
    <x v="8"/>
    <x v="4"/>
    <x v="8"/>
    <n v="7047.6047654489903"/>
  </r>
  <r>
    <x v="0"/>
    <x v="0"/>
    <x v="0"/>
    <x v="0"/>
    <x v="8"/>
    <x v="4"/>
    <x v="9"/>
    <n v="7047.6047654489903"/>
  </r>
  <r>
    <x v="0"/>
    <x v="0"/>
    <x v="0"/>
    <x v="0"/>
    <x v="8"/>
    <x v="4"/>
    <x v="10"/>
    <n v="7047.6047654489903"/>
  </r>
  <r>
    <x v="0"/>
    <x v="0"/>
    <x v="0"/>
    <x v="0"/>
    <x v="8"/>
    <x v="4"/>
    <x v="11"/>
    <n v="7047.6047654489903"/>
  </r>
  <r>
    <x v="0"/>
    <x v="0"/>
    <x v="0"/>
    <x v="0"/>
    <x v="8"/>
    <x v="5"/>
    <x v="0"/>
    <n v="6920.5828027813504"/>
  </r>
  <r>
    <x v="0"/>
    <x v="0"/>
    <x v="0"/>
    <x v="0"/>
    <x v="8"/>
    <x v="5"/>
    <x v="1"/>
    <n v="6920.5828027813504"/>
  </r>
  <r>
    <x v="0"/>
    <x v="0"/>
    <x v="0"/>
    <x v="0"/>
    <x v="8"/>
    <x v="5"/>
    <x v="2"/>
    <n v="6920.5828027813504"/>
  </r>
  <r>
    <x v="0"/>
    <x v="0"/>
    <x v="0"/>
    <x v="0"/>
    <x v="8"/>
    <x v="5"/>
    <x v="3"/>
    <n v="6920.5828027813504"/>
  </r>
  <r>
    <x v="0"/>
    <x v="0"/>
    <x v="0"/>
    <x v="0"/>
    <x v="8"/>
    <x v="5"/>
    <x v="4"/>
    <n v="6920.5828027813504"/>
  </r>
  <r>
    <x v="0"/>
    <x v="0"/>
    <x v="0"/>
    <x v="0"/>
    <x v="8"/>
    <x v="5"/>
    <x v="5"/>
    <n v="6920.5828027813504"/>
  </r>
  <r>
    <x v="0"/>
    <x v="0"/>
    <x v="0"/>
    <x v="0"/>
    <x v="8"/>
    <x v="5"/>
    <x v="6"/>
    <n v="7047.6047654489903"/>
  </r>
  <r>
    <x v="0"/>
    <x v="0"/>
    <x v="0"/>
    <x v="0"/>
    <x v="8"/>
    <x v="5"/>
    <x v="7"/>
    <n v="7047.6047654489903"/>
  </r>
  <r>
    <x v="0"/>
    <x v="0"/>
    <x v="0"/>
    <x v="0"/>
    <x v="8"/>
    <x v="5"/>
    <x v="8"/>
    <n v="7047.6047654489903"/>
  </r>
  <r>
    <x v="0"/>
    <x v="0"/>
    <x v="0"/>
    <x v="0"/>
    <x v="8"/>
    <x v="5"/>
    <x v="9"/>
    <n v="7047.6047654489903"/>
  </r>
  <r>
    <x v="0"/>
    <x v="0"/>
    <x v="0"/>
    <x v="0"/>
    <x v="8"/>
    <x v="5"/>
    <x v="10"/>
    <n v="7047.6047654489903"/>
  </r>
  <r>
    <x v="0"/>
    <x v="0"/>
    <x v="0"/>
    <x v="0"/>
    <x v="8"/>
    <x v="5"/>
    <x v="11"/>
    <n v="7047.6047654489903"/>
  </r>
  <r>
    <x v="0"/>
    <x v="0"/>
    <x v="0"/>
    <x v="0"/>
    <x v="8"/>
    <x v="6"/>
    <x v="0"/>
    <n v="6920.5828027813504"/>
  </r>
  <r>
    <x v="0"/>
    <x v="0"/>
    <x v="0"/>
    <x v="0"/>
    <x v="8"/>
    <x v="6"/>
    <x v="1"/>
    <n v="6920.5828027813504"/>
  </r>
  <r>
    <x v="0"/>
    <x v="0"/>
    <x v="0"/>
    <x v="0"/>
    <x v="8"/>
    <x v="6"/>
    <x v="2"/>
    <n v="6920.5828027813504"/>
  </r>
  <r>
    <x v="0"/>
    <x v="0"/>
    <x v="0"/>
    <x v="0"/>
    <x v="8"/>
    <x v="6"/>
    <x v="3"/>
    <n v="6920.5828027813504"/>
  </r>
  <r>
    <x v="0"/>
    <x v="0"/>
    <x v="0"/>
    <x v="0"/>
    <x v="8"/>
    <x v="6"/>
    <x v="4"/>
    <n v="6920.5828027813504"/>
  </r>
  <r>
    <x v="0"/>
    <x v="0"/>
    <x v="0"/>
    <x v="0"/>
    <x v="8"/>
    <x v="6"/>
    <x v="5"/>
    <n v="6920.5828027813504"/>
  </r>
  <r>
    <x v="0"/>
    <x v="0"/>
    <x v="0"/>
    <x v="0"/>
    <x v="8"/>
    <x v="6"/>
    <x v="6"/>
    <n v="7047.6047654489903"/>
  </r>
  <r>
    <x v="0"/>
    <x v="0"/>
    <x v="0"/>
    <x v="0"/>
    <x v="8"/>
    <x v="6"/>
    <x v="7"/>
    <n v="7047.6047654489903"/>
  </r>
  <r>
    <x v="0"/>
    <x v="0"/>
    <x v="0"/>
    <x v="0"/>
    <x v="8"/>
    <x v="6"/>
    <x v="8"/>
    <n v="7047.6047654489903"/>
  </r>
  <r>
    <x v="0"/>
    <x v="0"/>
    <x v="0"/>
    <x v="0"/>
    <x v="8"/>
    <x v="6"/>
    <x v="9"/>
    <n v="7047.6047654489903"/>
  </r>
  <r>
    <x v="0"/>
    <x v="0"/>
    <x v="0"/>
    <x v="0"/>
    <x v="8"/>
    <x v="6"/>
    <x v="10"/>
    <n v="7047.6047654489903"/>
  </r>
  <r>
    <x v="0"/>
    <x v="0"/>
    <x v="0"/>
    <x v="0"/>
    <x v="8"/>
    <x v="6"/>
    <x v="11"/>
    <n v="7047.6047654489903"/>
  </r>
  <r>
    <x v="0"/>
    <x v="0"/>
    <x v="0"/>
    <x v="0"/>
    <x v="8"/>
    <x v="7"/>
    <x v="0"/>
    <n v="6920.5828027813504"/>
  </r>
  <r>
    <x v="0"/>
    <x v="0"/>
    <x v="0"/>
    <x v="0"/>
    <x v="8"/>
    <x v="7"/>
    <x v="1"/>
    <n v="6920.5828027813504"/>
  </r>
  <r>
    <x v="0"/>
    <x v="0"/>
    <x v="0"/>
    <x v="0"/>
    <x v="8"/>
    <x v="7"/>
    <x v="2"/>
    <n v="6920.5828027813504"/>
  </r>
  <r>
    <x v="0"/>
    <x v="0"/>
    <x v="0"/>
    <x v="0"/>
    <x v="8"/>
    <x v="7"/>
    <x v="3"/>
    <n v="6920.5828027813504"/>
  </r>
  <r>
    <x v="0"/>
    <x v="0"/>
    <x v="0"/>
    <x v="0"/>
    <x v="8"/>
    <x v="7"/>
    <x v="4"/>
    <n v="6920.5828027813504"/>
  </r>
  <r>
    <x v="0"/>
    <x v="0"/>
    <x v="0"/>
    <x v="0"/>
    <x v="8"/>
    <x v="7"/>
    <x v="5"/>
    <n v="6920.5828027813504"/>
  </r>
  <r>
    <x v="0"/>
    <x v="0"/>
    <x v="0"/>
    <x v="0"/>
    <x v="8"/>
    <x v="7"/>
    <x v="6"/>
    <n v="6920.5828027813504"/>
  </r>
  <r>
    <x v="0"/>
    <x v="0"/>
    <x v="0"/>
    <x v="0"/>
    <x v="8"/>
    <x v="7"/>
    <x v="7"/>
    <n v="7047.6047654489903"/>
  </r>
  <r>
    <x v="0"/>
    <x v="0"/>
    <x v="0"/>
    <x v="0"/>
    <x v="8"/>
    <x v="7"/>
    <x v="8"/>
    <n v="7047.6047654489903"/>
  </r>
  <r>
    <x v="0"/>
    <x v="0"/>
    <x v="0"/>
    <x v="0"/>
    <x v="8"/>
    <x v="7"/>
    <x v="9"/>
    <n v="7047.6047654489903"/>
  </r>
  <r>
    <x v="0"/>
    <x v="0"/>
    <x v="0"/>
    <x v="0"/>
    <x v="8"/>
    <x v="7"/>
    <x v="10"/>
    <n v="7047.6047654489903"/>
  </r>
  <r>
    <x v="0"/>
    <x v="0"/>
    <x v="0"/>
    <x v="0"/>
    <x v="8"/>
    <x v="7"/>
    <x v="11"/>
    <n v="7047.6047654489903"/>
  </r>
  <r>
    <x v="0"/>
    <x v="0"/>
    <x v="0"/>
    <x v="0"/>
    <x v="8"/>
    <x v="8"/>
    <x v="0"/>
    <n v="4023.2723209813498"/>
  </r>
  <r>
    <x v="0"/>
    <x v="0"/>
    <x v="0"/>
    <x v="0"/>
    <x v="8"/>
    <x v="8"/>
    <x v="1"/>
    <n v="4023.2723209813498"/>
  </r>
  <r>
    <x v="0"/>
    <x v="0"/>
    <x v="0"/>
    <x v="0"/>
    <x v="8"/>
    <x v="8"/>
    <x v="2"/>
    <n v="4023.2723209813498"/>
  </r>
  <r>
    <x v="0"/>
    <x v="0"/>
    <x v="0"/>
    <x v="0"/>
    <x v="8"/>
    <x v="8"/>
    <x v="3"/>
    <n v="4023.2723209813498"/>
  </r>
  <r>
    <x v="0"/>
    <x v="0"/>
    <x v="0"/>
    <x v="0"/>
    <x v="8"/>
    <x v="8"/>
    <x v="4"/>
    <n v="4023.2723209813498"/>
  </r>
  <r>
    <x v="0"/>
    <x v="0"/>
    <x v="0"/>
    <x v="0"/>
    <x v="8"/>
    <x v="8"/>
    <x v="5"/>
    <n v="4023.2723209813498"/>
  </r>
  <r>
    <x v="0"/>
    <x v="0"/>
    <x v="0"/>
    <x v="0"/>
    <x v="8"/>
    <x v="8"/>
    <x v="6"/>
    <n v="4023.2723209813498"/>
  </r>
  <r>
    <x v="0"/>
    <x v="0"/>
    <x v="0"/>
    <x v="0"/>
    <x v="8"/>
    <x v="8"/>
    <x v="7"/>
    <n v="4023.2723209813498"/>
  </r>
  <r>
    <x v="0"/>
    <x v="0"/>
    <x v="0"/>
    <x v="0"/>
    <x v="8"/>
    <x v="8"/>
    <x v="8"/>
    <n v="4023.2723209813498"/>
  </r>
  <r>
    <x v="0"/>
    <x v="0"/>
    <x v="0"/>
    <x v="0"/>
    <x v="8"/>
    <x v="8"/>
    <x v="9"/>
    <n v="4023.2723209813498"/>
  </r>
  <r>
    <x v="0"/>
    <x v="0"/>
    <x v="0"/>
    <x v="0"/>
    <x v="8"/>
    <x v="8"/>
    <x v="10"/>
    <n v="4023.2723209813498"/>
  </r>
  <r>
    <x v="0"/>
    <x v="0"/>
    <x v="0"/>
    <x v="0"/>
    <x v="8"/>
    <x v="8"/>
    <x v="11"/>
    <n v="4023.2723209813498"/>
  </r>
  <r>
    <x v="0"/>
    <x v="0"/>
    <x v="0"/>
    <x v="0"/>
    <x v="8"/>
    <x v="9"/>
    <x v="0"/>
    <n v="4023.2723209813498"/>
  </r>
  <r>
    <x v="0"/>
    <x v="0"/>
    <x v="0"/>
    <x v="0"/>
    <x v="8"/>
    <x v="9"/>
    <x v="1"/>
    <n v="4023.2723209813498"/>
  </r>
  <r>
    <x v="0"/>
    <x v="0"/>
    <x v="0"/>
    <x v="0"/>
    <x v="8"/>
    <x v="9"/>
    <x v="2"/>
    <n v="4023.2723209813498"/>
  </r>
  <r>
    <x v="0"/>
    <x v="0"/>
    <x v="0"/>
    <x v="0"/>
    <x v="8"/>
    <x v="9"/>
    <x v="3"/>
    <n v="4023.2723209813498"/>
  </r>
  <r>
    <x v="0"/>
    <x v="0"/>
    <x v="0"/>
    <x v="0"/>
    <x v="8"/>
    <x v="9"/>
    <x v="4"/>
    <n v="4023.2723209813498"/>
  </r>
  <r>
    <x v="0"/>
    <x v="0"/>
    <x v="0"/>
    <x v="0"/>
    <x v="8"/>
    <x v="9"/>
    <x v="5"/>
    <n v="4023.2723209813498"/>
  </r>
  <r>
    <x v="0"/>
    <x v="0"/>
    <x v="0"/>
    <x v="0"/>
    <x v="8"/>
    <x v="9"/>
    <x v="6"/>
    <n v="4023.2723209813498"/>
  </r>
  <r>
    <x v="0"/>
    <x v="0"/>
    <x v="0"/>
    <x v="0"/>
    <x v="8"/>
    <x v="9"/>
    <x v="7"/>
    <n v="4023.2723209813498"/>
  </r>
  <r>
    <x v="0"/>
    <x v="0"/>
    <x v="0"/>
    <x v="0"/>
    <x v="8"/>
    <x v="9"/>
    <x v="8"/>
    <n v="4023.2723209813498"/>
  </r>
  <r>
    <x v="0"/>
    <x v="0"/>
    <x v="0"/>
    <x v="0"/>
    <x v="8"/>
    <x v="9"/>
    <x v="9"/>
    <n v="4023.2723209813498"/>
  </r>
  <r>
    <x v="0"/>
    <x v="0"/>
    <x v="0"/>
    <x v="0"/>
    <x v="8"/>
    <x v="9"/>
    <x v="10"/>
    <n v="4023.2723209813498"/>
  </r>
  <r>
    <x v="0"/>
    <x v="0"/>
    <x v="0"/>
    <x v="0"/>
    <x v="8"/>
    <x v="9"/>
    <x v="11"/>
    <n v="4023.2723209813498"/>
  </r>
  <r>
    <x v="0"/>
    <x v="0"/>
    <x v="0"/>
    <x v="0"/>
    <x v="8"/>
    <x v="10"/>
    <x v="0"/>
    <n v="4023.2723209813498"/>
  </r>
  <r>
    <x v="0"/>
    <x v="0"/>
    <x v="0"/>
    <x v="0"/>
    <x v="8"/>
    <x v="10"/>
    <x v="1"/>
    <n v="4023.2723209813498"/>
  </r>
  <r>
    <x v="0"/>
    <x v="0"/>
    <x v="0"/>
    <x v="0"/>
    <x v="8"/>
    <x v="10"/>
    <x v="2"/>
    <n v="4023.2723209813498"/>
  </r>
  <r>
    <x v="0"/>
    <x v="0"/>
    <x v="0"/>
    <x v="0"/>
    <x v="8"/>
    <x v="10"/>
    <x v="3"/>
    <n v="4023.2723209813498"/>
  </r>
  <r>
    <x v="0"/>
    <x v="0"/>
    <x v="0"/>
    <x v="0"/>
    <x v="8"/>
    <x v="10"/>
    <x v="4"/>
    <n v="4023.2723209813498"/>
  </r>
  <r>
    <x v="0"/>
    <x v="0"/>
    <x v="0"/>
    <x v="0"/>
    <x v="8"/>
    <x v="10"/>
    <x v="5"/>
    <n v="4023.2723209813498"/>
  </r>
  <r>
    <x v="0"/>
    <x v="0"/>
    <x v="0"/>
    <x v="0"/>
    <x v="8"/>
    <x v="10"/>
    <x v="6"/>
    <n v="4023.2723209813498"/>
  </r>
  <r>
    <x v="0"/>
    <x v="0"/>
    <x v="0"/>
    <x v="0"/>
    <x v="8"/>
    <x v="10"/>
    <x v="7"/>
    <n v="4023.2723209813498"/>
  </r>
  <r>
    <x v="0"/>
    <x v="0"/>
    <x v="0"/>
    <x v="0"/>
    <x v="8"/>
    <x v="10"/>
    <x v="8"/>
    <n v="4023.2723209813498"/>
  </r>
  <r>
    <x v="0"/>
    <x v="0"/>
    <x v="0"/>
    <x v="0"/>
    <x v="8"/>
    <x v="10"/>
    <x v="9"/>
    <n v="4023.2723209813498"/>
  </r>
  <r>
    <x v="0"/>
    <x v="0"/>
    <x v="0"/>
    <x v="0"/>
    <x v="8"/>
    <x v="10"/>
    <x v="10"/>
    <n v="4023.2723209813498"/>
  </r>
  <r>
    <x v="0"/>
    <x v="0"/>
    <x v="0"/>
    <x v="0"/>
    <x v="8"/>
    <x v="10"/>
    <x v="11"/>
    <n v="4023.2723209813498"/>
  </r>
  <r>
    <x v="0"/>
    <x v="0"/>
    <x v="0"/>
    <x v="0"/>
    <x v="8"/>
    <x v="11"/>
    <x v="0"/>
    <n v="4023.2723209813498"/>
  </r>
  <r>
    <x v="0"/>
    <x v="0"/>
    <x v="0"/>
    <x v="0"/>
    <x v="8"/>
    <x v="11"/>
    <x v="1"/>
    <n v="4023.2723209813498"/>
  </r>
  <r>
    <x v="0"/>
    <x v="0"/>
    <x v="0"/>
    <x v="0"/>
    <x v="8"/>
    <x v="11"/>
    <x v="2"/>
    <n v="4023.2723209813498"/>
  </r>
  <r>
    <x v="0"/>
    <x v="0"/>
    <x v="0"/>
    <x v="0"/>
    <x v="8"/>
    <x v="11"/>
    <x v="3"/>
    <n v="4023.2723209813498"/>
  </r>
  <r>
    <x v="0"/>
    <x v="0"/>
    <x v="0"/>
    <x v="0"/>
    <x v="8"/>
    <x v="11"/>
    <x v="4"/>
    <n v="4023.2723209813498"/>
  </r>
  <r>
    <x v="0"/>
    <x v="0"/>
    <x v="0"/>
    <x v="0"/>
    <x v="8"/>
    <x v="11"/>
    <x v="5"/>
    <n v="4023.2723209813498"/>
  </r>
  <r>
    <x v="0"/>
    <x v="0"/>
    <x v="0"/>
    <x v="0"/>
    <x v="8"/>
    <x v="11"/>
    <x v="6"/>
    <n v="4023.2723209813498"/>
  </r>
  <r>
    <x v="0"/>
    <x v="0"/>
    <x v="0"/>
    <x v="0"/>
    <x v="8"/>
    <x v="11"/>
    <x v="7"/>
    <n v="4023.2723209813498"/>
  </r>
  <r>
    <x v="0"/>
    <x v="0"/>
    <x v="0"/>
    <x v="0"/>
    <x v="8"/>
    <x v="11"/>
    <x v="8"/>
    <n v="4023.2723209813498"/>
  </r>
  <r>
    <x v="0"/>
    <x v="0"/>
    <x v="0"/>
    <x v="0"/>
    <x v="8"/>
    <x v="11"/>
    <x v="9"/>
    <n v="4023.2723209813498"/>
  </r>
  <r>
    <x v="0"/>
    <x v="0"/>
    <x v="0"/>
    <x v="0"/>
    <x v="8"/>
    <x v="11"/>
    <x v="10"/>
    <n v="4023.2723209813498"/>
  </r>
  <r>
    <x v="0"/>
    <x v="0"/>
    <x v="0"/>
    <x v="0"/>
    <x v="8"/>
    <x v="11"/>
    <x v="11"/>
    <n v="4023.2723209813498"/>
  </r>
  <r>
    <x v="0"/>
    <x v="0"/>
    <x v="0"/>
    <x v="0"/>
    <x v="9"/>
    <x v="0"/>
    <x v="0"/>
    <n v="11940.9469728601"/>
  </r>
  <r>
    <x v="0"/>
    <x v="0"/>
    <x v="0"/>
    <x v="0"/>
    <x v="9"/>
    <x v="0"/>
    <x v="1"/>
    <n v="11940.9469728601"/>
  </r>
  <r>
    <x v="0"/>
    <x v="0"/>
    <x v="0"/>
    <x v="0"/>
    <x v="9"/>
    <x v="0"/>
    <x v="2"/>
    <n v="11940.9469728601"/>
  </r>
  <r>
    <x v="0"/>
    <x v="0"/>
    <x v="0"/>
    <x v="0"/>
    <x v="9"/>
    <x v="0"/>
    <x v="3"/>
    <n v="11940.9469728601"/>
  </r>
  <r>
    <x v="0"/>
    <x v="0"/>
    <x v="0"/>
    <x v="0"/>
    <x v="9"/>
    <x v="0"/>
    <x v="4"/>
    <n v="11940.9469728601"/>
  </r>
  <r>
    <x v="0"/>
    <x v="0"/>
    <x v="0"/>
    <x v="0"/>
    <x v="9"/>
    <x v="0"/>
    <x v="5"/>
    <n v="11940.9469728601"/>
  </r>
  <r>
    <x v="0"/>
    <x v="0"/>
    <x v="0"/>
    <x v="0"/>
    <x v="9"/>
    <x v="0"/>
    <x v="6"/>
    <n v="11940.9469728601"/>
  </r>
  <r>
    <x v="0"/>
    <x v="0"/>
    <x v="0"/>
    <x v="0"/>
    <x v="9"/>
    <x v="0"/>
    <x v="7"/>
    <n v="11940.9469728601"/>
  </r>
  <r>
    <x v="0"/>
    <x v="0"/>
    <x v="0"/>
    <x v="0"/>
    <x v="9"/>
    <x v="0"/>
    <x v="8"/>
    <n v="11940.9469728601"/>
  </r>
  <r>
    <x v="0"/>
    <x v="0"/>
    <x v="0"/>
    <x v="0"/>
    <x v="9"/>
    <x v="0"/>
    <x v="9"/>
    <n v="11940.9469728601"/>
  </r>
  <r>
    <x v="0"/>
    <x v="0"/>
    <x v="0"/>
    <x v="0"/>
    <x v="9"/>
    <x v="0"/>
    <x v="10"/>
    <n v="11940.9469728601"/>
  </r>
  <r>
    <x v="0"/>
    <x v="0"/>
    <x v="0"/>
    <x v="0"/>
    <x v="9"/>
    <x v="0"/>
    <x v="11"/>
    <n v="11940.9469728601"/>
  </r>
  <r>
    <x v="0"/>
    <x v="0"/>
    <x v="0"/>
    <x v="0"/>
    <x v="9"/>
    <x v="1"/>
    <x v="0"/>
    <n v="11940.9469728601"/>
  </r>
  <r>
    <x v="0"/>
    <x v="0"/>
    <x v="0"/>
    <x v="0"/>
    <x v="9"/>
    <x v="1"/>
    <x v="1"/>
    <n v="11940.9469728601"/>
  </r>
  <r>
    <x v="0"/>
    <x v="0"/>
    <x v="0"/>
    <x v="0"/>
    <x v="9"/>
    <x v="1"/>
    <x v="2"/>
    <n v="11940.9469728601"/>
  </r>
  <r>
    <x v="0"/>
    <x v="0"/>
    <x v="0"/>
    <x v="0"/>
    <x v="9"/>
    <x v="1"/>
    <x v="3"/>
    <n v="11940.9469728601"/>
  </r>
  <r>
    <x v="0"/>
    <x v="0"/>
    <x v="0"/>
    <x v="0"/>
    <x v="9"/>
    <x v="1"/>
    <x v="4"/>
    <n v="11940.9469728601"/>
  </r>
  <r>
    <x v="0"/>
    <x v="0"/>
    <x v="0"/>
    <x v="0"/>
    <x v="9"/>
    <x v="1"/>
    <x v="5"/>
    <n v="11940.9469728601"/>
  </r>
  <r>
    <x v="0"/>
    <x v="0"/>
    <x v="0"/>
    <x v="0"/>
    <x v="9"/>
    <x v="1"/>
    <x v="6"/>
    <n v="11940.9469728601"/>
  </r>
  <r>
    <x v="0"/>
    <x v="0"/>
    <x v="0"/>
    <x v="0"/>
    <x v="9"/>
    <x v="1"/>
    <x v="7"/>
    <n v="11940.9469728601"/>
  </r>
  <r>
    <x v="0"/>
    <x v="0"/>
    <x v="0"/>
    <x v="0"/>
    <x v="9"/>
    <x v="1"/>
    <x v="8"/>
    <n v="11940.9469728601"/>
  </r>
  <r>
    <x v="0"/>
    <x v="0"/>
    <x v="0"/>
    <x v="0"/>
    <x v="9"/>
    <x v="1"/>
    <x v="9"/>
    <n v="11940.9469728601"/>
  </r>
  <r>
    <x v="0"/>
    <x v="0"/>
    <x v="0"/>
    <x v="0"/>
    <x v="9"/>
    <x v="1"/>
    <x v="10"/>
    <n v="11940.9469728601"/>
  </r>
  <r>
    <x v="0"/>
    <x v="0"/>
    <x v="0"/>
    <x v="0"/>
    <x v="9"/>
    <x v="1"/>
    <x v="11"/>
    <n v="11940.9469728601"/>
  </r>
  <r>
    <x v="0"/>
    <x v="0"/>
    <x v="0"/>
    <x v="0"/>
    <x v="9"/>
    <x v="2"/>
    <x v="0"/>
    <n v="11940.9469728601"/>
  </r>
  <r>
    <x v="0"/>
    <x v="0"/>
    <x v="0"/>
    <x v="0"/>
    <x v="9"/>
    <x v="2"/>
    <x v="1"/>
    <n v="11940.9469728601"/>
  </r>
  <r>
    <x v="0"/>
    <x v="0"/>
    <x v="0"/>
    <x v="0"/>
    <x v="9"/>
    <x v="2"/>
    <x v="2"/>
    <n v="11940.9469728601"/>
  </r>
  <r>
    <x v="0"/>
    <x v="0"/>
    <x v="0"/>
    <x v="0"/>
    <x v="9"/>
    <x v="2"/>
    <x v="3"/>
    <n v="11940.9469728601"/>
  </r>
  <r>
    <x v="0"/>
    <x v="0"/>
    <x v="0"/>
    <x v="0"/>
    <x v="9"/>
    <x v="2"/>
    <x v="4"/>
    <n v="11940.9469728601"/>
  </r>
  <r>
    <x v="0"/>
    <x v="0"/>
    <x v="0"/>
    <x v="0"/>
    <x v="9"/>
    <x v="2"/>
    <x v="5"/>
    <n v="11940.9469728601"/>
  </r>
  <r>
    <x v="0"/>
    <x v="0"/>
    <x v="0"/>
    <x v="0"/>
    <x v="9"/>
    <x v="2"/>
    <x v="6"/>
    <n v="11940.9469728601"/>
  </r>
  <r>
    <x v="0"/>
    <x v="0"/>
    <x v="0"/>
    <x v="0"/>
    <x v="9"/>
    <x v="2"/>
    <x v="7"/>
    <n v="11940.9469728601"/>
  </r>
  <r>
    <x v="0"/>
    <x v="0"/>
    <x v="0"/>
    <x v="0"/>
    <x v="9"/>
    <x v="2"/>
    <x v="8"/>
    <n v="11940.9469728601"/>
  </r>
  <r>
    <x v="0"/>
    <x v="0"/>
    <x v="0"/>
    <x v="0"/>
    <x v="9"/>
    <x v="2"/>
    <x v="9"/>
    <n v="11940.9469728601"/>
  </r>
  <r>
    <x v="0"/>
    <x v="0"/>
    <x v="0"/>
    <x v="0"/>
    <x v="9"/>
    <x v="2"/>
    <x v="10"/>
    <n v="11940.9469728601"/>
  </r>
  <r>
    <x v="0"/>
    <x v="0"/>
    <x v="0"/>
    <x v="0"/>
    <x v="9"/>
    <x v="2"/>
    <x v="11"/>
    <n v="11940.9469728601"/>
  </r>
  <r>
    <x v="0"/>
    <x v="0"/>
    <x v="0"/>
    <x v="0"/>
    <x v="9"/>
    <x v="3"/>
    <x v="0"/>
    <n v="11940.9469728601"/>
  </r>
  <r>
    <x v="0"/>
    <x v="0"/>
    <x v="0"/>
    <x v="0"/>
    <x v="9"/>
    <x v="3"/>
    <x v="1"/>
    <n v="11940.9469728601"/>
  </r>
  <r>
    <x v="0"/>
    <x v="0"/>
    <x v="0"/>
    <x v="0"/>
    <x v="9"/>
    <x v="3"/>
    <x v="2"/>
    <n v="11940.9469728601"/>
  </r>
  <r>
    <x v="0"/>
    <x v="0"/>
    <x v="0"/>
    <x v="0"/>
    <x v="9"/>
    <x v="3"/>
    <x v="3"/>
    <n v="11940.9469728601"/>
  </r>
  <r>
    <x v="0"/>
    <x v="0"/>
    <x v="0"/>
    <x v="0"/>
    <x v="9"/>
    <x v="3"/>
    <x v="4"/>
    <n v="11940.9469728601"/>
  </r>
  <r>
    <x v="0"/>
    <x v="0"/>
    <x v="0"/>
    <x v="0"/>
    <x v="9"/>
    <x v="3"/>
    <x v="5"/>
    <n v="11940.9469728601"/>
  </r>
  <r>
    <x v="0"/>
    <x v="0"/>
    <x v="0"/>
    <x v="0"/>
    <x v="9"/>
    <x v="3"/>
    <x v="6"/>
    <n v="11940.9469728601"/>
  </r>
  <r>
    <x v="0"/>
    <x v="0"/>
    <x v="0"/>
    <x v="0"/>
    <x v="9"/>
    <x v="3"/>
    <x v="7"/>
    <n v="11940.9469728601"/>
  </r>
  <r>
    <x v="0"/>
    <x v="0"/>
    <x v="0"/>
    <x v="0"/>
    <x v="9"/>
    <x v="3"/>
    <x v="8"/>
    <n v="11940.9469728601"/>
  </r>
  <r>
    <x v="0"/>
    <x v="0"/>
    <x v="0"/>
    <x v="0"/>
    <x v="9"/>
    <x v="3"/>
    <x v="9"/>
    <n v="11940.9469728601"/>
  </r>
  <r>
    <x v="0"/>
    <x v="0"/>
    <x v="0"/>
    <x v="0"/>
    <x v="9"/>
    <x v="3"/>
    <x v="10"/>
    <n v="11940.9469728601"/>
  </r>
  <r>
    <x v="0"/>
    <x v="0"/>
    <x v="0"/>
    <x v="0"/>
    <x v="9"/>
    <x v="3"/>
    <x v="11"/>
    <n v="11940.9469728601"/>
  </r>
  <r>
    <x v="0"/>
    <x v="0"/>
    <x v="0"/>
    <x v="0"/>
    <x v="9"/>
    <x v="4"/>
    <x v="0"/>
    <n v="6751.4041653001304"/>
  </r>
  <r>
    <x v="0"/>
    <x v="0"/>
    <x v="0"/>
    <x v="0"/>
    <x v="9"/>
    <x v="4"/>
    <x v="1"/>
    <n v="6751.4041653001304"/>
  </r>
  <r>
    <x v="0"/>
    <x v="0"/>
    <x v="0"/>
    <x v="0"/>
    <x v="9"/>
    <x v="4"/>
    <x v="2"/>
    <n v="6751.4041653001304"/>
  </r>
  <r>
    <x v="0"/>
    <x v="0"/>
    <x v="0"/>
    <x v="0"/>
    <x v="9"/>
    <x v="4"/>
    <x v="3"/>
    <n v="6751.4041653001304"/>
  </r>
  <r>
    <x v="0"/>
    <x v="0"/>
    <x v="0"/>
    <x v="0"/>
    <x v="9"/>
    <x v="4"/>
    <x v="4"/>
    <n v="6751.4041653001304"/>
  </r>
  <r>
    <x v="0"/>
    <x v="0"/>
    <x v="0"/>
    <x v="0"/>
    <x v="9"/>
    <x v="4"/>
    <x v="5"/>
    <n v="6751.4041653001304"/>
  </r>
  <r>
    <x v="0"/>
    <x v="0"/>
    <x v="0"/>
    <x v="0"/>
    <x v="9"/>
    <x v="4"/>
    <x v="6"/>
    <n v="6751.4041653001304"/>
  </r>
  <r>
    <x v="0"/>
    <x v="0"/>
    <x v="0"/>
    <x v="0"/>
    <x v="9"/>
    <x v="4"/>
    <x v="7"/>
    <n v="6751.4041653001304"/>
  </r>
  <r>
    <x v="0"/>
    <x v="0"/>
    <x v="0"/>
    <x v="0"/>
    <x v="9"/>
    <x v="4"/>
    <x v="8"/>
    <n v="6751.4041653001304"/>
  </r>
  <r>
    <x v="0"/>
    <x v="0"/>
    <x v="0"/>
    <x v="0"/>
    <x v="9"/>
    <x v="4"/>
    <x v="9"/>
    <n v="6751.4041653001304"/>
  </r>
  <r>
    <x v="0"/>
    <x v="0"/>
    <x v="0"/>
    <x v="0"/>
    <x v="9"/>
    <x v="4"/>
    <x v="10"/>
    <n v="6751.4041653001304"/>
  </r>
  <r>
    <x v="0"/>
    <x v="0"/>
    <x v="0"/>
    <x v="0"/>
    <x v="9"/>
    <x v="4"/>
    <x v="11"/>
    <n v="6751.4041653001304"/>
  </r>
  <r>
    <x v="0"/>
    <x v="0"/>
    <x v="0"/>
    <x v="0"/>
    <x v="9"/>
    <x v="5"/>
    <x v="0"/>
    <n v="6751.4041653001304"/>
  </r>
  <r>
    <x v="0"/>
    <x v="0"/>
    <x v="0"/>
    <x v="0"/>
    <x v="9"/>
    <x v="5"/>
    <x v="1"/>
    <n v="6751.4041653001304"/>
  </r>
  <r>
    <x v="0"/>
    <x v="0"/>
    <x v="0"/>
    <x v="0"/>
    <x v="9"/>
    <x v="5"/>
    <x v="2"/>
    <n v="6751.4041653001304"/>
  </r>
  <r>
    <x v="0"/>
    <x v="0"/>
    <x v="0"/>
    <x v="0"/>
    <x v="9"/>
    <x v="5"/>
    <x v="3"/>
    <n v="6751.4041653001304"/>
  </r>
  <r>
    <x v="0"/>
    <x v="0"/>
    <x v="0"/>
    <x v="0"/>
    <x v="9"/>
    <x v="5"/>
    <x v="4"/>
    <n v="6751.4041653001304"/>
  </r>
  <r>
    <x v="0"/>
    <x v="0"/>
    <x v="0"/>
    <x v="0"/>
    <x v="9"/>
    <x v="5"/>
    <x v="5"/>
    <n v="6751.4041653001304"/>
  </r>
  <r>
    <x v="0"/>
    <x v="0"/>
    <x v="0"/>
    <x v="0"/>
    <x v="9"/>
    <x v="5"/>
    <x v="6"/>
    <n v="6751.4041653001304"/>
  </r>
  <r>
    <x v="0"/>
    <x v="0"/>
    <x v="0"/>
    <x v="0"/>
    <x v="9"/>
    <x v="5"/>
    <x v="7"/>
    <n v="6751.4041653001304"/>
  </r>
  <r>
    <x v="0"/>
    <x v="0"/>
    <x v="0"/>
    <x v="0"/>
    <x v="9"/>
    <x v="5"/>
    <x v="8"/>
    <n v="6751.4041653001304"/>
  </r>
  <r>
    <x v="0"/>
    <x v="0"/>
    <x v="0"/>
    <x v="0"/>
    <x v="9"/>
    <x v="5"/>
    <x v="9"/>
    <n v="6751.4041653001304"/>
  </r>
  <r>
    <x v="0"/>
    <x v="0"/>
    <x v="0"/>
    <x v="0"/>
    <x v="9"/>
    <x v="5"/>
    <x v="10"/>
    <n v="6751.4041653001304"/>
  </r>
  <r>
    <x v="0"/>
    <x v="0"/>
    <x v="0"/>
    <x v="0"/>
    <x v="9"/>
    <x v="5"/>
    <x v="11"/>
    <n v="6751.4041653001304"/>
  </r>
  <r>
    <x v="0"/>
    <x v="0"/>
    <x v="0"/>
    <x v="0"/>
    <x v="9"/>
    <x v="6"/>
    <x v="0"/>
    <n v="6751.4041653001304"/>
  </r>
  <r>
    <x v="0"/>
    <x v="0"/>
    <x v="0"/>
    <x v="0"/>
    <x v="9"/>
    <x v="6"/>
    <x v="1"/>
    <n v="6751.4041653001304"/>
  </r>
  <r>
    <x v="0"/>
    <x v="0"/>
    <x v="0"/>
    <x v="0"/>
    <x v="9"/>
    <x v="6"/>
    <x v="2"/>
    <n v="6751.4041653001304"/>
  </r>
  <r>
    <x v="0"/>
    <x v="0"/>
    <x v="0"/>
    <x v="0"/>
    <x v="9"/>
    <x v="6"/>
    <x v="3"/>
    <n v="6751.4041653001304"/>
  </r>
  <r>
    <x v="0"/>
    <x v="0"/>
    <x v="0"/>
    <x v="0"/>
    <x v="9"/>
    <x v="6"/>
    <x v="4"/>
    <n v="6751.4041653001304"/>
  </r>
  <r>
    <x v="0"/>
    <x v="0"/>
    <x v="0"/>
    <x v="0"/>
    <x v="9"/>
    <x v="6"/>
    <x v="5"/>
    <n v="6751.4041653001304"/>
  </r>
  <r>
    <x v="0"/>
    <x v="0"/>
    <x v="0"/>
    <x v="0"/>
    <x v="9"/>
    <x v="6"/>
    <x v="6"/>
    <n v="6751.4041653001304"/>
  </r>
  <r>
    <x v="0"/>
    <x v="0"/>
    <x v="0"/>
    <x v="0"/>
    <x v="9"/>
    <x v="6"/>
    <x v="7"/>
    <n v="6751.4041653001304"/>
  </r>
  <r>
    <x v="0"/>
    <x v="0"/>
    <x v="0"/>
    <x v="0"/>
    <x v="9"/>
    <x v="6"/>
    <x v="8"/>
    <n v="6751.4041653001304"/>
  </r>
  <r>
    <x v="0"/>
    <x v="0"/>
    <x v="0"/>
    <x v="0"/>
    <x v="9"/>
    <x v="6"/>
    <x v="9"/>
    <n v="6751.4041653001304"/>
  </r>
  <r>
    <x v="0"/>
    <x v="0"/>
    <x v="0"/>
    <x v="0"/>
    <x v="9"/>
    <x v="6"/>
    <x v="10"/>
    <n v="6751.4041653001304"/>
  </r>
  <r>
    <x v="0"/>
    <x v="0"/>
    <x v="0"/>
    <x v="0"/>
    <x v="9"/>
    <x v="6"/>
    <x v="11"/>
    <n v="6751.4041653001304"/>
  </r>
  <r>
    <x v="0"/>
    <x v="0"/>
    <x v="0"/>
    <x v="0"/>
    <x v="9"/>
    <x v="7"/>
    <x v="0"/>
    <n v="6751.4041653001304"/>
  </r>
  <r>
    <x v="0"/>
    <x v="0"/>
    <x v="0"/>
    <x v="0"/>
    <x v="9"/>
    <x v="7"/>
    <x v="1"/>
    <n v="6751.4041653001304"/>
  </r>
  <r>
    <x v="0"/>
    <x v="0"/>
    <x v="0"/>
    <x v="0"/>
    <x v="9"/>
    <x v="7"/>
    <x v="2"/>
    <n v="6751.4041653001304"/>
  </r>
  <r>
    <x v="0"/>
    <x v="0"/>
    <x v="0"/>
    <x v="0"/>
    <x v="9"/>
    <x v="7"/>
    <x v="3"/>
    <n v="6751.4041653001304"/>
  </r>
  <r>
    <x v="0"/>
    <x v="0"/>
    <x v="0"/>
    <x v="0"/>
    <x v="9"/>
    <x v="7"/>
    <x v="4"/>
    <n v="6751.4041653001304"/>
  </r>
  <r>
    <x v="0"/>
    <x v="0"/>
    <x v="0"/>
    <x v="0"/>
    <x v="9"/>
    <x v="7"/>
    <x v="5"/>
    <n v="6751.4041653001304"/>
  </r>
  <r>
    <x v="0"/>
    <x v="0"/>
    <x v="0"/>
    <x v="0"/>
    <x v="9"/>
    <x v="7"/>
    <x v="6"/>
    <n v="6751.4041653001304"/>
  </r>
  <r>
    <x v="0"/>
    <x v="0"/>
    <x v="0"/>
    <x v="0"/>
    <x v="9"/>
    <x v="7"/>
    <x v="7"/>
    <n v="6751.4041653001304"/>
  </r>
  <r>
    <x v="0"/>
    <x v="0"/>
    <x v="0"/>
    <x v="0"/>
    <x v="9"/>
    <x v="7"/>
    <x v="8"/>
    <n v="6751.4041653001304"/>
  </r>
  <r>
    <x v="0"/>
    <x v="0"/>
    <x v="0"/>
    <x v="0"/>
    <x v="9"/>
    <x v="7"/>
    <x v="9"/>
    <n v="6751.4041653001304"/>
  </r>
  <r>
    <x v="0"/>
    <x v="0"/>
    <x v="0"/>
    <x v="0"/>
    <x v="9"/>
    <x v="7"/>
    <x v="10"/>
    <n v="6751.4041653001304"/>
  </r>
  <r>
    <x v="0"/>
    <x v="0"/>
    <x v="0"/>
    <x v="0"/>
    <x v="9"/>
    <x v="7"/>
    <x v="11"/>
    <n v="6751.4041653001304"/>
  </r>
  <r>
    <x v="0"/>
    <x v="0"/>
    <x v="0"/>
    <x v="0"/>
    <x v="9"/>
    <x v="8"/>
    <x v="0"/>
    <n v="3854.0936835001298"/>
  </r>
  <r>
    <x v="0"/>
    <x v="0"/>
    <x v="0"/>
    <x v="0"/>
    <x v="9"/>
    <x v="8"/>
    <x v="1"/>
    <n v="3854.0936835001298"/>
  </r>
  <r>
    <x v="0"/>
    <x v="0"/>
    <x v="0"/>
    <x v="0"/>
    <x v="9"/>
    <x v="8"/>
    <x v="2"/>
    <n v="3854.0936835001298"/>
  </r>
  <r>
    <x v="0"/>
    <x v="0"/>
    <x v="0"/>
    <x v="0"/>
    <x v="9"/>
    <x v="8"/>
    <x v="3"/>
    <n v="3854.0936835001298"/>
  </r>
  <r>
    <x v="0"/>
    <x v="0"/>
    <x v="0"/>
    <x v="0"/>
    <x v="9"/>
    <x v="8"/>
    <x v="4"/>
    <n v="3854.0936835001298"/>
  </r>
  <r>
    <x v="0"/>
    <x v="0"/>
    <x v="0"/>
    <x v="0"/>
    <x v="9"/>
    <x v="8"/>
    <x v="5"/>
    <n v="3854.0936835001298"/>
  </r>
  <r>
    <x v="0"/>
    <x v="0"/>
    <x v="0"/>
    <x v="0"/>
    <x v="9"/>
    <x v="8"/>
    <x v="6"/>
    <n v="3854.0936835001298"/>
  </r>
  <r>
    <x v="0"/>
    <x v="0"/>
    <x v="0"/>
    <x v="0"/>
    <x v="9"/>
    <x v="8"/>
    <x v="7"/>
    <n v="3854.0936835001298"/>
  </r>
  <r>
    <x v="0"/>
    <x v="0"/>
    <x v="0"/>
    <x v="0"/>
    <x v="9"/>
    <x v="8"/>
    <x v="8"/>
    <n v="3854.0936835001298"/>
  </r>
  <r>
    <x v="0"/>
    <x v="0"/>
    <x v="0"/>
    <x v="0"/>
    <x v="9"/>
    <x v="8"/>
    <x v="9"/>
    <n v="3854.0936835001298"/>
  </r>
  <r>
    <x v="0"/>
    <x v="0"/>
    <x v="0"/>
    <x v="0"/>
    <x v="9"/>
    <x v="8"/>
    <x v="10"/>
    <n v="3854.0936835001298"/>
  </r>
  <r>
    <x v="0"/>
    <x v="0"/>
    <x v="0"/>
    <x v="0"/>
    <x v="9"/>
    <x v="8"/>
    <x v="11"/>
    <n v="3854.0936835001298"/>
  </r>
  <r>
    <x v="0"/>
    <x v="0"/>
    <x v="0"/>
    <x v="0"/>
    <x v="9"/>
    <x v="9"/>
    <x v="0"/>
    <n v="3854.0936835001298"/>
  </r>
  <r>
    <x v="0"/>
    <x v="0"/>
    <x v="0"/>
    <x v="0"/>
    <x v="9"/>
    <x v="9"/>
    <x v="1"/>
    <n v="3854.0936835001298"/>
  </r>
  <r>
    <x v="0"/>
    <x v="0"/>
    <x v="0"/>
    <x v="0"/>
    <x v="9"/>
    <x v="9"/>
    <x v="2"/>
    <n v="3854.0936835001298"/>
  </r>
  <r>
    <x v="0"/>
    <x v="0"/>
    <x v="0"/>
    <x v="0"/>
    <x v="9"/>
    <x v="9"/>
    <x v="3"/>
    <n v="3854.0936835001298"/>
  </r>
  <r>
    <x v="0"/>
    <x v="0"/>
    <x v="0"/>
    <x v="0"/>
    <x v="9"/>
    <x v="9"/>
    <x v="4"/>
    <n v="3854.0936835001298"/>
  </r>
  <r>
    <x v="0"/>
    <x v="0"/>
    <x v="0"/>
    <x v="0"/>
    <x v="9"/>
    <x v="9"/>
    <x v="5"/>
    <n v="3854.0936835001298"/>
  </r>
  <r>
    <x v="0"/>
    <x v="0"/>
    <x v="0"/>
    <x v="0"/>
    <x v="9"/>
    <x v="9"/>
    <x v="6"/>
    <n v="3854.0936835001298"/>
  </r>
  <r>
    <x v="0"/>
    <x v="0"/>
    <x v="0"/>
    <x v="0"/>
    <x v="9"/>
    <x v="9"/>
    <x v="7"/>
    <n v="3854.0936835001298"/>
  </r>
  <r>
    <x v="0"/>
    <x v="0"/>
    <x v="0"/>
    <x v="0"/>
    <x v="9"/>
    <x v="9"/>
    <x v="8"/>
    <n v="3854.0936835001298"/>
  </r>
  <r>
    <x v="0"/>
    <x v="0"/>
    <x v="0"/>
    <x v="0"/>
    <x v="9"/>
    <x v="9"/>
    <x v="9"/>
    <n v="3854.0936835001298"/>
  </r>
  <r>
    <x v="0"/>
    <x v="0"/>
    <x v="0"/>
    <x v="0"/>
    <x v="9"/>
    <x v="9"/>
    <x v="10"/>
    <n v="3854.0936835001298"/>
  </r>
  <r>
    <x v="0"/>
    <x v="0"/>
    <x v="0"/>
    <x v="0"/>
    <x v="9"/>
    <x v="9"/>
    <x v="11"/>
    <n v="3854.0936835001298"/>
  </r>
  <r>
    <x v="0"/>
    <x v="0"/>
    <x v="0"/>
    <x v="0"/>
    <x v="9"/>
    <x v="10"/>
    <x v="0"/>
    <n v="3854.0936835001298"/>
  </r>
  <r>
    <x v="0"/>
    <x v="0"/>
    <x v="0"/>
    <x v="0"/>
    <x v="9"/>
    <x v="10"/>
    <x v="1"/>
    <n v="3854.0936835001298"/>
  </r>
  <r>
    <x v="0"/>
    <x v="0"/>
    <x v="0"/>
    <x v="0"/>
    <x v="9"/>
    <x v="10"/>
    <x v="2"/>
    <n v="3854.0936835001298"/>
  </r>
  <r>
    <x v="0"/>
    <x v="0"/>
    <x v="0"/>
    <x v="0"/>
    <x v="9"/>
    <x v="10"/>
    <x v="3"/>
    <n v="3854.0936835001298"/>
  </r>
  <r>
    <x v="0"/>
    <x v="0"/>
    <x v="0"/>
    <x v="0"/>
    <x v="9"/>
    <x v="10"/>
    <x v="4"/>
    <n v="3854.0936835001298"/>
  </r>
  <r>
    <x v="0"/>
    <x v="0"/>
    <x v="0"/>
    <x v="0"/>
    <x v="9"/>
    <x v="10"/>
    <x v="5"/>
    <n v="3854.0936835001298"/>
  </r>
  <r>
    <x v="0"/>
    <x v="0"/>
    <x v="0"/>
    <x v="0"/>
    <x v="9"/>
    <x v="10"/>
    <x v="6"/>
    <n v="3854.0936835001298"/>
  </r>
  <r>
    <x v="0"/>
    <x v="0"/>
    <x v="0"/>
    <x v="0"/>
    <x v="9"/>
    <x v="10"/>
    <x v="7"/>
    <n v="3854.0936835001298"/>
  </r>
  <r>
    <x v="0"/>
    <x v="0"/>
    <x v="0"/>
    <x v="0"/>
    <x v="9"/>
    <x v="10"/>
    <x v="8"/>
    <n v="3854.0936835001298"/>
  </r>
  <r>
    <x v="0"/>
    <x v="0"/>
    <x v="0"/>
    <x v="0"/>
    <x v="9"/>
    <x v="10"/>
    <x v="9"/>
    <n v="3854.0936835001298"/>
  </r>
  <r>
    <x v="0"/>
    <x v="0"/>
    <x v="0"/>
    <x v="0"/>
    <x v="9"/>
    <x v="10"/>
    <x v="10"/>
    <n v="3854.0936835001298"/>
  </r>
  <r>
    <x v="0"/>
    <x v="0"/>
    <x v="0"/>
    <x v="0"/>
    <x v="9"/>
    <x v="10"/>
    <x v="11"/>
    <n v="3854.0936835001298"/>
  </r>
  <r>
    <x v="0"/>
    <x v="0"/>
    <x v="0"/>
    <x v="0"/>
    <x v="9"/>
    <x v="11"/>
    <x v="0"/>
    <n v="3854.0936835001298"/>
  </r>
  <r>
    <x v="0"/>
    <x v="0"/>
    <x v="0"/>
    <x v="0"/>
    <x v="9"/>
    <x v="11"/>
    <x v="1"/>
    <n v="3854.0936835001298"/>
  </r>
  <r>
    <x v="0"/>
    <x v="0"/>
    <x v="0"/>
    <x v="0"/>
    <x v="9"/>
    <x v="11"/>
    <x v="2"/>
    <n v="3854.0936835001298"/>
  </r>
  <r>
    <x v="0"/>
    <x v="0"/>
    <x v="0"/>
    <x v="0"/>
    <x v="9"/>
    <x v="11"/>
    <x v="3"/>
    <n v="3854.0936835001298"/>
  </r>
  <r>
    <x v="0"/>
    <x v="0"/>
    <x v="0"/>
    <x v="0"/>
    <x v="9"/>
    <x v="11"/>
    <x v="4"/>
    <n v="3854.0936835001298"/>
  </r>
  <r>
    <x v="0"/>
    <x v="0"/>
    <x v="0"/>
    <x v="0"/>
    <x v="9"/>
    <x v="11"/>
    <x v="5"/>
    <n v="3854.0936835001298"/>
  </r>
  <r>
    <x v="0"/>
    <x v="0"/>
    <x v="0"/>
    <x v="0"/>
    <x v="9"/>
    <x v="11"/>
    <x v="6"/>
    <n v="3854.0936835001298"/>
  </r>
  <r>
    <x v="0"/>
    <x v="0"/>
    <x v="0"/>
    <x v="0"/>
    <x v="9"/>
    <x v="11"/>
    <x v="7"/>
    <n v="3854.0936835001298"/>
  </r>
  <r>
    <x v="0"/>
    <x v="0"/>
    <x v="0"/>
    <x v="0"/>
    <x v="9"/>
    <x v="11"/>
    <x v="8"/>
    <n v="3854.0936835001298"/>
  </r>
  <r>
    <x v="0"/>
    <x v="0"/>
    <x v="0"/>
    <x v="0"/>
    <x v="9"/>
    <x v="11"/>
    <x v="9"/>
    <n v="3854.0936835001298"/>
  </r>
  <r>
    <x v="0"/>
    <x v="0"/>
    <x v="0"/>
    <x v="0"/>
    <x v="9"/>
    <x v="11"/>
    <x v="10"/>
    <n v="3854.0936835001298"/>
  </r>
  <r>
    <x v="0"/>
    <x v="0"/>
    <x v="0"/>
    <x v="0"/>
    <x v="9"/>
    <x v="11"/>
    <x v="11"/>
    <n v="3854.0936835001298"/>
  </r>
  <r>
    <x v="0"/>
    <x v="0"/>
    <x v="0"/>
    <x v="0"/>
    <x v="10"/>
    <x v="0"/>
    <x v="0"/>
    <n v="11439.226000000001"/>
  </r>
  <r>
    <x v="0"/>
    <x v="0"/>
    <x v="0"/>
    <x v="0"/>
    <x v="10"/>
    <x v="0"/>
    <x v="1"/>
    <n v="11439.226000000001"/>
  </r>
  <r>
    <x v="0"/>
    <x v="0"/>
    <x v="0"/>
    <x v="0"/>
    <x v="10"/>
    <x v="0"/>
    <x v="2"/>
    <n v="11439.226000000001"/>
  </r>
  <r>
    <x v="0"/>
    <x v="0"/>
    <x v="0"/>
    <x v="0"/>
    <x v="10"/>
    <x v="0"/>
    <x v="3"/>
    <n v="11439.226000000001"/>
  </r>
  <r>
    <x v="0"/>
    <x v="0"/>
    <x v="0"/>
    <x v="0"/>
    <x v="10"/>
    <x v="0"/>
    <x v="4"/>
    <n v="11439.226000000001"/>
  </r>
  <r>
    <x v="0"/>
    <x v="0"/>
    <x v="0"/>
    <x v="0"/>
    <x v="10"/>
    <x v="0"/>
    <x v="5"/>
    <n v="11439.226000000001"/>
  </r>
  <r>
    <x v="0"/>
    <x v="0"/>
    <x v="0"/>
    <x v="0"/>
    <x v="10"/>
    <x v="0"/>
    <x v="6"/>
    <n v="11439.226000000001"/>
  </r>
  <r>
    <x v="0"/>
    <x v="0"/>
    <x v="0"/>
    <x v="0"/>
    <x v="10"/>
    <x v="0"/>
    <x v="7"/>
    <n v="11439.226000000001"/>
  </r>
  <r>
    <x v="0"/>
    <x v="0"/>
    <x v="0"/>
    <x v="0"/>
    <x v="10"/>
    <x v="0"/>
    <x v="8"/>
    <n v="11439.226000000001"/>
  </r>
  <r>
    <x v="0"/>
    <x v="0"/>
    <x v="0"/>
    <x v="0"/>
    <x v="10"/>
    <x v="0"/>
    <x v="9"/>
    <n v="11439.226000000001"/>
  </r>
  <r>
    <x v="0"/>
    <x v="0"/>
    <x v="0"/>
    <x v="0"/>
    <x v="10"/>
    <x v="0"/>
    <x v="10"/>
    <n v="11439.226000000001"/>
  </r>
  <r>
    <x v="0"/>
    <x v="0"/>
    <x v="0"/>
    <x v="0"/>
    <x v="10"/>
    <x v="0"/>
    <x v="11"/>
    <n v="11439.226000000001"/>
  </r>
  <r>
    <x v="0"/>
    <x v="0"/>
    <x v="0"/>
    <x v="0"/>
    <x v="10"/>
    <x v="1"/>
    <x v="0"/>
    <n v="11439.226000000001"/>
  </r>
  <r>
    <x v="0"/>
    <x v="0"/>
    <x v="0"/>
    <x v="0"/>
    <x v="10"/>
    <x v="1"/>
    <x v="1"/>
    <n v="11439.226000000001"/>
  </r>
  <r>
    <x v="0"/>
    <x v="0"/>
    <x v="0"/>
    <x v="0"/>
    <x v="10"/>
    <x v="1"/>
    <x v="2"/>
    <n v="11439.226000000001"/>
  </r>
  <r>
    <x v="0"/>
    <x v="0"/>
    <x v="0"/>
    <x v="0"/>
    <x v="10"/>
    <x v="1"/>
    <x v="3"/>
    <n v="11439.226000000001"/>
  </r>
  <r>
    <x v="0"/>
    <x v="0"/>
    <x v="0"/>
    <x v="0"/>
    <x v="10"/>
    <x v="1"/>
    <x v="4"/>
    <n v="11439.226000000001"/>
  </r>
  <r>
    <x v="0"/>
    <x v="0"/>
    <x v="0"/>
    <x v="0"/>
    <x v="10"/>
    <x v="1"/>
    <x v="5"/>
    <n v="11439.226000000001"/>
  </r>
  <r>
    <x v="0"/>
    <x v="0"/>
    <x v="0"/>
    <x v="0"/>
    <x v="10"/>
    <x v="1"/>
    <x v="6"/>
    <n v="11439.226000000001"/>
  </r>
  <r>
    <x v="0"/>
    <x v="0"/>
    <x v="0"/>
    <x v="0"/>
    <x v="10"/>
    <x v="1"/>
    <x v="7"/>
    <n v="11439.226000000001"/>
  </r>
  <r>
    <x v="0"/>
    <x v="0"/>
    <x v="0"/>
    <x v="0"/>
    <x v="10"/>
    <x v="1"/>
    <x v="8"/>
    <n v="11439.226000000001"/>
  </r>
  <r>
    <x v="0"/>
    <x v="0"/>
    <x v="0"/>
    <x v="0"/>
    <x v="10"/>
    <x v="1"/>
    <x v="9"/>
    <n v="11439.226000000001"/>
  </r>
  <r>
    <x v="0"/>
    <x v="0"/>
    <x v="0"/>
    <x v="0"/>
    <x v="10"/>
    <x v="1"/>
    <x v="10"/>
    <n v="11439.226000000001"/>
  </r>
  <r>
    <x v="0"/>
    <x v="0"/>
    <x v="0"/>
    <x v="0"/>
    <x v="10"/>
    <x v="1"/>
    <x v="11"/>
    <n v="11439.226000000001"/>
  </r>
  <r>
    <x v="0"/>
    <x v="0"/>
    <x v="0"/>
    <x v="0"/>
    <x v="10"/>
    <x v="2"/>
    <x v="0"/>
    <n v="11439.226000000001"/>
  </r>
  <r>
    <x v="0"/>
    <x v="0"/>
    <x v="0"/>
    <x v="0"/>
    <x v="10"/>
    <x v="2"/>
    <x v="1"/>
    <n v="11439.226000000001"/>
  </r>
  <r>
    <x v="0"/>
    <x v="0"/>
    <x v="0"/>
    <x v="0"/>
    <x v="10"/>
    <x v="2"/>
    <x v="2"/>
    <n v="11439.226000000001"/>
  </r>
  <r>
    <x v="0"/>
    <x v="0"/>
    <x v="0"/>
    <x v="0"/>
    <x v="10"/>
    <x v="2"/>
    <x v="3"/>
    <n v="11439.226000000001"/>
  </r>
  <r>
    <x v="0"/>
    <x v="0"/>
    <x v="0"/>
    <x v="0"/>
    <x v="10"/>
    <x v="2"/>
    <x v="4"/>
    <n v="11439.226000000001"/>
  </r>
  <r>
    <x v="0"/>
    <x v="0"/>
    <x v="0"/>
    <x v="0"/>
    <x v="10"/>
    <x v="2"/>
    <x v="5"/>
    <n v="11439.226000000001"/>
  </r>
  <r>
    <x v="0"/>
    <x v="0"/>
    <x v="0"/>
    <x v="0"/>
    <x v="10"/>
    <x v="2"/>
    <x v="6"/>
    <n v="11439.226000000001"/>
  </r>
  <r>
    <x v="0"/>
    <x v="0"/>
    <x v="0"/>
    <x v="0"/>
    <x v="10"/>
    <x v="2"/>
    <x v="7"/>
    <n v="11439.226000000001"/>
  </r>
  <r>
    <x v="0"/>
    <x v="0"/>
    <x v="0"/>
    <x v="0"/>
    <x v="10"/>
    <x v="2"/>
    <x v="8"/>
    <n v="11439.226000000001"/>
  </r>
  <r>
    <x v="0"/>
    <x v="0"/>
    <x v="0"/>
    <x v="0"/>
    <x v="10"/>
    <x v="2"/>
    <x v="9"/>
    <n v="11439.226000000001"/>
  </r>
  <r>
    <x v="0"/>
    <x v="0"/>
    <x v="0"/>
    <x v="0"/>
    <x v="10"/>
    <x v="2"/>
    <x v="10"/>
    <n v="11439.226000000001"/>
  </r>
  <r>
    <x v="0"/>
    <x v="0"/>
    <x v="0"/>
    <x v="0"/>
    <x v="10"/>
    <x v="2"/>
    <x v="11"/>
    <n v="11439.226000000001"/>
  </r>
  <r>
    <x v="0"/>
    <x v="0"/>
    <x v="0"/>
    <x v="0"/>
    <x v="10"/>
    <x v="3"/>
    <x v="0"/>
    <n v="11439.226000000001"/>
  </r>
  <r>
    <x v="0"/>
    <x v="0"/>
    <x v="0"/>
    <x v="0"/>
    <x v="10"/>
    <x v="3"/>
    <x v="1"/>
    <n v="11439.226000000001"/>
  </r>
  <r>
    <x v="0"/>
    <x v="0"/>
    <x v="0"/>
    <x v="0"/>
    <x v="10"/>
    <x v="3"/>
    <x v="2"/>
    <n v="11439.226000000001"/>
  </r>
  <r>
    <x v="0"/>
    <x v="0"/>
    <x v="0"/>
    <x v="0"/>
    <x v="10"/>
    <x v="3"/>
    <x v="3"/>
    <n v="11439.226000000001"/>
  </r>
  <r>
    <x v="0"/>
    <x v="0"/>
    <x v="0"/>
    <x v="0"/>
    <x v="10"/>
    <x v="3"/>
    <x v="4"/>
    <n v="11439.226000000001"/>
  </r>
  <r>
    <x v="0"/>
    <x v="0"/>
    <x v="0"/>
    <x v="0"/>
    <x v="10"/>
    <x v="3"/>
    <x v="5"/>
    <n v="11439.226000000001"/>
  </r>
  <r>
    <x v="0"/>
    <x v="0"/>
    <x v="0"/>
    <x v="0"/>
    <x v="10"/>
    <x v="3"/>
    <x v="6"/>
    <n v="11439.226000000001"/>
  </r>
  <r>
    <x v="0"/>
    <x v="0"/>
    <x v="0"/>
    <x v="0"/>
    <x v="10"/>
    <x v="3"/>
    <x v="7"/>
    <n v="11439.226000000001"/>
  </r>
  <r>
    <x v="0"/>
    <x v="0"/>
    <x v="0"/>
    <x v="0"/>
    <x v="10"/>
    <x v="3"/>
    <x v="8"/>
    <n v="11439.226000000001"/>
  </r>
  <r>
    <x v="0"/>
    <x v="0"/>
    <x v="0"/>
    <x v="0"/>
    <x v="10"/>
    <x v="3"/>
    <x v="9"/>
    <n v="11439.226000000001"/>
  </r>
  <r>
    <x v="0"/>
    <x v="0"/>
    <x v="0"/>
    <x v="0"/>
    <x v="10"/>
    <x v="3"/>
    <x v="10"/>
    <n v="11439.226000000001"/>
  </r>
  <r>
    <x v="0"/>
    <x v="0"/>
    <x v="0"/>
    <x v="0"/>
    <x v="10"/>
    <x v="3"/>
    <x v="11"/>
    <n v="11439.226000000001"/>
  </r>
  <r>
    <x v="0"/>
    <x v="0"/>
    <x v="0"/>
    <x v="0"/>
    <x v="10"/>
    <x v="4"/>
    <x v="0"/>
    <n v="7097.1784577721801"/>
  </r>
  <r>
    <x v="0"/>
    <x v="0"/>
    <x v="0"/>
    <x v="0"/>
    <x v="10"/>
    <x v="4"/>
    <x v="1"/>
    <n v="7097.1784577721801"/>
  </r>
  <r>
    <x v="0"/>
    <x v="0"/>
    <x v="0"/>
    <x v="0"/>
    <x v="10"/>
    <x v="4"/>
    <x v="2"/>
    <n v="7097.1784577721801"/>
  </r>
  <r>
    <x v="0"/>
    <x v="0"/>
    <x v="0"/>
    <x v="0"/>
    <x v="10"/>
    <x v="4"/>
    <x v="3"/>
    <n v="7097.1784577721801"/>
  </r>
  <r>
    <x v="0"/>
    <x v="0"/>
    <x v="0"/>
    <x v="0"/>
    <x v="10"/>
    <x v="4"/>
    <x v="4"/>
    <n v="7097.1784577721801"/>
  </r>
  <r>
    <x v="0"/>
    <x v="0"/>
    <x v="0"/>
    <x v="0"/>
    <x v="10"/>
    <x v="4"/>
    <x v="5"/>
    <n v="7097.1784577721801"/>
  </r>
  <r>
    <x v="0"/>
    <x v="0"/>
    <x v="0"/>
    <x v="0"/>
    <x v="10"/>
    <x v="4"/>
    <x v="6"/>
    <n v="7097.1784577721801"/>
  </r>
  <r>
    <x v="0"/>
    <x v="0"/>
    <x v="0"/>
    <x v="0"/>
    <x v="10"/>
    <x v="4"/>
    <x v="7"/>
    <n v="7224.2004204398199"/>
  </r>
  <r>
    <x v="0"/>
    <x v="0"/>
    <x v="0"/>
    <x v="0"/>
    <x v="10"/>
    <x v="4"/>
    <x v="8"/>
    <n v="7224.2004204398199"/>
  </r>
  <r>
    <x v="0"/>
    <x v="0"/>
    <x v="0"/>
    <x v="0"/>
    <x v="10"/>
    <x v="4"/>
    <x v="9"/>
    <n v="7224.2004204398199"/>
  </r>
  <r>
    <x v="0"/>
    <x v="0"/>
    <x v="0"/>
    <x v="0"/>
    <x v="10"/>
    <x v="4"/>
    <x v="10"/>
    <n v="7224.2004204398199"/>
  </r>
  <r>
    <x v="0"/>
    <x v="0"/>
    <x v="0"/>
    <x v="0"/>
    <x v="10"/>
    <x v="4"/>
    <x v="11"/>
    <n v="7224.2004204398199"/>
  </r>
  <r>
    <x v="0"/>
    <x v="0"/>
    <x v="0"/>
    <x v="0"/>
    <x v="10"/>
    <x v="5"/>
    <x v="0"/>
    <n v="7097.1784577721801"/>
  </r>
  <r>
    <x v="0"/>
    <x v="0"/>
    <x v="0"/>
    <x v="0"/>
    <x v="10"/>
    <x v="5"/>
    <x v="1"/>
    <n v="7097.1784577721801"/>
  </r>
  <r>
    <x v="0"/>
    <x v="0"/>
    <x v="0"/>
    <x v="0"/>
    <x v="10"/>
    <x v="5"/>
    <x v="2"/>
    <n v="7097.1784577721801"/>
  </r>
  <r>
    <x v="0"/>
    <x v="0"/>
    <x v="0"/>
    <x v="0"/>
    <x v="10"/>
    <x v="5"/>
    <x v="3"/>
    <n v="7097.1784577721801"/>
  </r>
  <r>
    <x v="0"/>
    <x v="0"/>
    <x v="0"/>
    <x v="0"/>
    <x v="10"/>
    <x v="5"/>
    <x v="4"/>
    <n v="7097.1784577721801"/>
  </r>
  <r>
    <x v="0"/>
    <x v="0"/>
    <x v="0"/>
    <x v="0"/>
    <x v="10"/>
    <x v="5"/>
    <x v="5"/>
    <n v="7097.1784577721801"/>
  </r>
  <r>
    <x v="0"/>
    <x v="0"/>
    <x v="0"/>
    <x v="0"/>
    <x v="10"/>
    <x v="5"/>
    <x v="6"/>
    <n v="7097.1784577721801"/>
  </r>
  <r>
    <x v="0"/>
    <x v="0"/>
    <x v="0"/>
    <x v="0"/>
    <x v="10"/>
    <x v="5"/>
    <x v="7"/>
    <n v="7097.1784577721801"/>
  </r>
  <r>
    <x v="0"/>
    <x v="0"/>
    <x v="0"/>
    <x v="0"/>
    <x v="10"/>
    <x v="5"/>
    <x v="8"/>
    <n v="7097.1784577721801"/>
  </r>
  <r>
    <x v="0"/>
    <x v="0"/>
    <x v="0"/>
    <x v="0"/>
    <x v="10"/>
    <x v="5"/>
    <x v="9"/>
    <n v="7097.1784577721801"/>
  </r>
  <r>
    <x v="0"/>
    <x v="0"/>
    <x v="0"/>
    <x v="0"/>
    <x v="10"/>
    <x v="5"/>
    <x v="10"/>
    <n v="7224.2004204398199"/>
  </r>
  <r>
    <x v="0"/>
    <x v="0"/>
    <x v="0"/>
    <x v="0"/>
    <x v="10"/>
    <x v="5"/>
    <x v="11"/>
    <n v="7097.1784577721801"/>
  </r>
  <r>
    <x v="0"/>
    <x v="0"/>
    <x v="0"/>
    <x v="0"/>
    <x v="10"/>
    <x v="6"/>
    <x v="0"/>
    <n v="7097.1784577721801"/>
  </r>
  <r>
    <x v="0"/>
    <x v="0"/>
    <x v="0"/>
    <x v="0"/>
    <x v="10"/>
    <x v="6"/>
    <x v="1"/>
    <n v="7097.1784577721801"/>
  </r>
  <r>
    <x v="0"/>
    <x v="0"/>
    <x v="0"/>
    <x v="0"/>
    <x v="10"/>
    <x v="6"/>
    <x v="2"/>
    <n v="7097.1784577721801"/>
  </r>
  <r>
    <x v="0"/>
    <x v="0"/>
    <x v="0"/>
    <x v="0"/>
    <x v="10"/>
    <x v="6"/>
    <x v="3"/>
    <n v="7097.1784577721801"/>
  </r>
  <r>
    <x v="0"/>
    <x v="0"/>
    <x v="0"/>
    <x v="0"/>
    <x v="10"/>
    <x v="6"/>
    <x v="4"/>
    <n v="7097.1784577721801"/>
  </r>
  <r>
    <x v="0"/>
    <x v="0"/>
    <x v="0"/>
    <x v="0"/>
    <x v="10"/>
    <x v="6"/>
    <x v="5"/>
    <n v="7097.1784577721801"/>
  </r>
  <r>
    <x v="0"/>
    <x v="0"/>
    <x v="0"/>
    <x v="0"/>
    <x v="10"/>
    <x v="6"/>
    <x v="6"/>
    <n v="7097.1784577721801"/>
  </r>
  <r>
    <x v="0"/>
    <x v="0"/>
    <x v="0"/>
    <x v="0"/>
    <x v="10"/>
    <x v="6"/>
    <x v="7"/>
    <n v="7097.1784577721801"/>
  </r>
  <r>
    <x v="0"/>
    <x v="0"/>
    <x v="0"/>
    <x v="0"/>
    <x v="10"/>
    <x v="6"/>
    <x v="8"/>
    <n v="7097.1784577721801"/>
  </r>
  <r>
    <x v="0"/>
    <x v="0"/>
    <x v="0"/>
    <x v="0"/>
    <x v="10"/>
    <x v="6"/>
    <x v="9"/>
    <n v="7097.1784577721801"/>
  </r>
  <r>
    <x v="0"/>
    <x v="0"/>
    <x v="0"/>
    <x v="0"/>
    <x v="10"/>
    <x v="6"/>
    <x v="10"/>
    <n v="7097.1784577721801"/>
  </r>
  <r>
    <x v="0"/>
    <x v="0"/>
    <x v="0"/>
    <x v="0"/>
    <x v="10"/>
    <x v="6"/>
    <x v="11"/>
    <n v="7097.1784577721801"/>
  </r>
  <r>
    <x v="0"/>
    <x v="0"/>
    <x v="0"/>
    <x v="0"/>
    <x v="10"/>
    <x v="7"/>
    <x v="0"/>
    <n v="7097.1784577721801"/>
  </r>
  <r>
    <x v="0"/>
    <x v="0"/>
    <x v="0"/>
    <x v="0"/>
    <x v="10"/>
    <x v="7"/>
    <x v="1"/>
    <n v="7097.1784577721801"/>
  </r>
  <r>
    <x v="0"/>
    <x v="0"/>
    <x v="0"/>
    <x v="0"/>
    <x v="10"/>
    <x v="7"/>
    <x v="2"/>
    <n v="7097.1784577721801"/>
  </r>
  <r>
    <x v="0"/>
    <x v="0"/>
    <x v="0"/>
    <x v="0"/>
    <x v="10"/>
    <x v="7"/>
    <x v="3"/>
    <n v="7097.1784577721801"/>
  </r>
  <r>
    <x v="0"/>
    <x v="0"/>
    <x v="0"/>
    <x v="0"/>
    <x v="10"/>
    <x v="7"/>
    <x v="4"/>
    <n v="7097.1784577721801"/>
  </r>
  <r>
    <x v="0"/>
    <x v="0"/>
    <x v="0"/>
    <x v="0"/>
    <x v="10"/>
    <x v="7"/>
    <x v="5"/>
    <n v="7097.1784577721801"/>
  </r>
  <r>
    <x v="0"/>
    <x v="0"/>
    <x v="0"/>
    <x v="0"/>
    <x v="10"/>
    <x v="7"/>
    <x v="6"/>
    <n v="7097.1784577721801"/>
  </r>
  <r>
    <x v="0"/>
    <x v="0"/>
    <x v="0"/>
    <x v="0"/>
    <x v="10"/>
    <x v="7"/>
    <x v="7"/>
    <n v="7097.1784577721801"/>
  </r>
  <r>
    <x v="0"/>
    <x v="0"/>
    <x v="0"/>
    <x v="0"/>
    <x v="10"/>
    <x v="7"/>
    <x v="8"/>
    <n v="7097.1784577721801"/>
  </r>
  <r>
    <x v="0"/>
    <x v="0"/>
    <x v="0"/>
    <x v="0"/>
    <x v="10"/>
    <x v="7"/>
    <x v="9"/>
    <n v="7097.1784577721801"/>
  </r>
  <r>
    <x v="0"/>
    <x v="0"/>
    <x v="0"/>
    <x v="0"/>
    <x v="10"/>
    <x v="7"/>
    <x v="10"/>
    <n v="7097.1784577721801"/>
  </r>
  <r>
    <x v="0"/>
    <x v="0"/>
    <x v="0"/>
    <x v="0"/>
    <x v="10"/>
    <x v="7"/>
    <x v="11"/>
    <n v="7097.1784577721801"/>
  </r>
  <r>
    <x v="0"/>
    <x v="0"/>
    <x v="0"/>
    <x v="0"/>
    <x v="10"/>
    <x v="8"/>
    <x v="0"/>
    <n v="4199.8679759721799"/>
  </r>
  <r>
    <x v="0"/>
    <x v="0"/>
    <x v="0"/>
    <x v="0"/>
    <x v="10"/>
    <x v="8"/>
    <x v="1"/>
    <n v="4199.8679759721799"/>
  </r>
  <r>
    <x v="0"/>
    <x v="0"/>
    <x v="0"/>
    <x v="0"/>
    <x v="10"/>
    <x v="8"/>
    <x v="2"/>
    <n v="4199.8679759721799"/>
  </r>
  <r>
    <x v="0"/>
    <x v="0"/>
    <x v="0"/>
    <x v="0"/>
    <x v="10"/>
    <x v="8"/>
    <x v="3"/>
    <n v="4199.8679759721799"/>
  </r>
  <r>
    <x v="0"/>
    <x v="0"/>
    <x v="0"/>
    <x v="0"/>
    <x v="10"/>
    <x v="8"/>
    <x v="4"/>
    <n v="4199.8679759721799"/>
  </r>
  <r>
    <x v="0"/>
    <x v="0"/>
    <x v="0"/>
    <x v="0"/>
    <x v="10"/>
    <x v="8"/>
    <x v="5"/>
    <n v="4199.8679759721799"/>
  </r>
  <r>
    <x v="0"/>
    <x v="0"/>
    <x v="0"/>
    <x v="0"/>
    <x v="10"/>
    <x v="8"/>
    <x v="6"/>
    <n v="4199.8679759721799"/>
  </r>
  <r>
    <x v="0"/>
    <x v="0"/>
    <x v="0"/>
    <x v="0"/>
    <x v="10"/>
    <x v="8"/>
    <x v="7"/>
    <n v="4199.8679759721799"/>
  </r>
  <r>
    <x v="0"/>
    <x v="0"/>
    <x v="0"/>
    <x v="0"/>
    <x v="10"/>
    <x v="8"/>
    <x v="8"/>
    <n v="4199.8679759721799"/>
  </r>
  <r>
    <x v="0"/>
    <x v="0"/>
    <x v="0"/>
    <x v="0"/>
    <x v="10"/>
    <x v="8"/>
    <x v="9"/>
    <n v="4199.8679759721799"/>
  </r>
  <r>
    <x v="0"/>
    <x v="0"/>
    <x v="0"/>
    <x v="0"/>
    <x v="10"/>
    <x v="8"/>
    <x v="10"/>
    <n v="4199.8679759721799"/>
  </r>
  <r>
    <x v="0"/>
    <x v="0"/>
    <x v="0"/>
    <x v="0"/>
    <x v="10"/>
    <x v="8"/>
    <x v="11"/>
    <n v="4199.8679759721799"/>
  </r>
  <r>
    <x v="0"/>
    <x v="0"/>
    <x v="0"/>
    <x v="0"/>
    <x v="10"/>
    <x v="9"/>
    <x v="0"/>
    <n v="4199.8679759721799"/>
  </r>
  <r>
    <x v="0"/>
    <x v="0"/>
    <x v="0"/>
    <x v="0"/>
    <x v="10"/>
    <x v="9"/>
    <x v="1"/>
    <n v="4199.8679759721799"/>
  </r>
  <r>
    <x v="0"/>
    <x v="0"/>
    <x v="0"/>
    <x v="0"/>
    <x v="10"/>
    <x v="9"/>
    <x v="2"/>
    <n v="4199.8679759721799"/>
  </r>
  <r>
    <x v="0"/>
    <x v="0"/>
    <x v="0"/>
    <x v="0"/>
    <x v="10"/>
    <x v="9"/>
    <x v="3"/>
    <n v="4199.8679759721799"/>
  </r>
  <r>
    <x v="0"/>
    <x v="0"/>
    <x v="0"/>
    <x v="0"/>
    <x v="10"/>
    <x v="9"/>
    <x v="4"/>
    <n v="4199.8679759721799"/>
  </r>
  <r>
    <x v="0"/>
    <x v="0"/>
    <x v="0"/>
    <x v="0"/>
    <x v="10"/>
    <x v="9"/>
    <x v="5"/>
    <n v="4199.8679759721799"/>
  </r>
  <r>
    <x v="0"/>
    <x v="0"/>
    <x v="0"/>
    <x v="0"/>
    <x v="10"/>
    <x v="9"/>
    <x v="6"/>
    <n v="4199.8679759721799"/>
  </r>
  <r>
    <x v="0"/>
    <x v="0"/>
    <x v="0"/>
    <x v="0"/>
    <x v="10"/>
    <x v="9"/>
    <x v="7"/>
    <n v="4199.8679759721799"/>
  </r>
  <r>
    <x v="0"/>
    <x v="0"/>
    <x v="0"/>
    <x v="0"/>
    <x v="10"/>
    <x v="9"/>
    <x v="8"/>
    <n v="4199.8679759721799"/>
  </r>
  <r>
    <x v="0"/>
    <x v="0"/>
    <x v="0"/>
    <x v="0"/>
    <x v="10"/>
    <x v="9"/>
    <x v="9"/>
    <n v="4199.8679759721799"/>
  </r>
  <r>
    <x v="0"/>
    <x v="0"/>
    <x v="0"/>
    <x v="0"/>
    <x v="10"/>
    <x v="9"/>
    <x v="10"/>
    <n v="4199.8679759721799"/>
  </r>
  <r>
    <x v="0"/>
    <x v="0"/>
    <x v="0"/>
    <x v="0"/>
    <x v="10"/>
    <x v="9"/>
    <x v="11"/>
    <n v="4199.8679759721799"/>
  </r>
  <r>
    <x v="0"/>
    <x v="0"/>
    <x v="0"/>
    <x v="0"/>
    <x v="10"/>
    <x v="10"/>
    <x v="0"/>
    <n v="4199.8679759721799"/>
  </r>
  <r>
    <x v="0"/>
    <x v="0"/>
    <x v="0"/>
    <x v="0"/>
    <x v="10"/>
    <x v="10"/>
    <x v="1"/>
    <n v="4199.8679759721799"/>
  </r>
  <r>
    <x v="0"/>
    <x v="0"/>
    <x v="0"/>
    <x v="0"/>
    <x v="10"/>
    <x v="10"/>
    <x v="2"/>
    <n v="4199.8679759721799"/>
  </r>
  <r>
    <x v="0"/>
    <x v="0"/>
    <x v="0"/>
    <x v="0"/>
    <x v="10"/>
    <x v="10"/>
    <x v="3"/>
    <n v="4199.8679759721799"/>
  </r>
  <r>
    <x v="0"/>
    <x v="0"/>
    <x v="0"/>
    <x v="0"/>
    <x v="10"/>
    <x v="10"/>
    <x v="4"/>
    <n v="4199.8679759721799"/>
  </r>
  <r>
    <x v="0"/>
    <x v="0"/>
    <x v="0"/>
    <x v="0"/>
    <x v="10"/>
    <x v="10"/>
    <x v="5"/>
    <n v="4199.8679759721799"/>
  </r>
  <r>
    <x v="0"/>
    <x v="0"/>
    <x v="0"/>
    <x v="0"/>
    <x v="10"/>
    <x v="10"/>
    <x v="6"/>
    <n v="4199.8679759721799"/>
  </r>
  <r>
    <x v="0"/>
    <x v="0"/>
    <x v="0"/>
    <x v="0"/>
    <x v="10"/>
    <x v="10"/>
    <x v="7"/>
    <n v="4199.8679759721799"/>
  </r>
  <r>
    <x v="0"/>
    <x v="0"/>
    <x v="0"/>
    <x v="0"/>
    <x v="10"/>
    <x v="10"/>
    <x v="8"/>
    <n v="4199.8679759721799"/>
  </r>
  <r>
    <x v="0"/>
    <x v="0"/>
    <x v="0"/>
    <x v="0"/>
    <x v="10"/>
    <x v="10"/>
    <x v="9"/>
    <n v="4199.8679759721799"/>
  </r>
  <r>
    <x v="0"/>
    <x v="0"/>
    <x v="0"/>
    <x v="0"/>
    <x v="10"/>
    <x v="10"/>
    <x v="10"/>
    <n v="4199.8679759721799"/>
  </r>
  <r>
    <x v="0"/>
    <x v="0"/>
    <x v="0"/>
    <x v="0"/>
    <x v="10"/>
    <x v="10"/>
    <x v="11"/>
    <n v="4199.8679759721799"/>
  </r>
  <r>
    <x v="0"/>
    <x v="0"/>
    <x v="0"/>
    <x v="0"/>
    <x v="10"/>
    <x v="11"/>
    <x v="0"/>
    <n v="4199.8679759721799"/>
  </r>
  <r>
    <x v="0"/>
    <x v="0"/>
    <x v="0"/>
    <x v="0"/>
    <x v="10"/>
    <x v="11"/>
    <x v="1"/>
    <n v="4199.8679759721799"/>
  </r>
  <r>
    <x v="0"/>
    <x v="0"/>
    <x v="0"/>
    <x v="0"/>
    <x v="10"/>
    <x v="11"/>
    <x v="2"/>
    <n v="4199.8679759721799"/>
  </r>
  <r>
    <x v="0"/>
    <x v="0"/>
    <x v="0"/>
    <x v="0"/>
    <x v="10"/>
    <x v="11"/>
    <x v="3"/>
    <n v="4199.8679759721799"/>
  </r>
  <r>
    <x v="0"/>
    <x v="0"/>
    <x v="0"/>
    <x v="0"/>
    <x v="10"/>
    <x v="11"/>
    <x v="4"/>
    <n v="4199.8679759721799"/>
  </r>
  <r>
    <x v="0"/>
    <x v="0"/>
    <x v="0"/>
    <x v="0"/>
    <x v="10"/>
    <x v="11"/>
    <x v="5"/>
    <n v="4199.8679759721799"/>
  </r>
  <r>
    <x v="0"/>
    <x v="0"/>
    <x v="0"/>
    <x v="0"/>
    <x v="10"/>
    <x v="11"/>
    <x v="6"/>
    <n v="4199.8679759721799"/>
  </r>
  <r>
    <x v="0"/>
    <x v="0"/>
    <x v="0"/>
    <x v="0"/>
    <x v="10"/>
    <x v="11"/>
    <x v="7"/>
    <n v="4199.8679759721799"/>
  </r>
  <r>
    <x v="0"/>
    <x v="0"/>
    <x v="0"/>
    <x v="0"/>
    <x v="10"/>
    <x v="11"/>
    <x v="8"/>
    <n v="4199.8679759721799"/>
  </r>
  <r>
    <x v="0"/>
    <x v="0"/>
    <x v="0"/>
    <x v="0"/>
    <x v="10"/>
    <x v="11"/>
    <x v="9"/>
    <n v="4199.8679759721799"/>
  </r>
  <r>
    <x v="0"/>
    <x v="0"/>
    <x v="0"/>
    <x v="0"/>
    <x v="10"/>
    <x v="11"/>
    <x v="10"/>
    <n v="4199.8679759721799"/>
  </r>
  <r>
    <x v="0"/>
    <x v="0"/>
    <x v="0"/>
    <x v="0"/>
    <x v="10"/>
    <x v="11"/>
    <x v="11"/>
    <n v="4199.8679759721799"/>
  </r>
  <r>
    <x v="0"/>
    <x v="0"/>
    <x v="0"/>
    <x v="0"/>
    <x v="11"/>
    <x v="0"/>
    <x v="0"/>
    <n v="11940.9469728601"/>
  </r>
  <r>
    <x v="0"/>
    <x v="0"/>
    <x v="0"/>
    <x v="0"/>
    <x v="11"/>
    <x v="0"/>
    <x v="1"/>
    <n v="11940.9469728601"/>
  </r>
  <r>
    <x v="0"/>
    <x v="0"/>
    <x v="0"/>
    <x v="0"/>
    <x v="11"/>
    <x v="0"/>
    <x v="2"/>
    <n v="11940.9469728601"/>
  </r>
  <r>
    <x v="0"/>
    <x v="0"/>
    <x v="0"/>
    <x v="0"/>
    <x v="11"/>
    <x v="0"/>
    <x v="3"/>
    <n v="11940.9469728601"/>
  </r>
  <r>
    <x v="0"/>
    <x v="0"/>
    <x v="0"/>
    <x v="0"/>
    <x v="11"/>
    <x v="0"/>
    <x v="4"/>
    <n v="11940.9469728601"/>
  </r>
  <r>
    <x v="0"/>
    <x v="0"/>
    <x v="0"/>
    <x v="0"/>
    <x v="11"/>
    <x v="0"/>
    <x v="5"/>
    <n v="11940.9469728601"/>
  </r>
  <r>
    <x v="0"/>
    <x v="0"/>
    <x v="0"/>
    <x v="0"/>
    <x v="11"/>
    <x v="0"/>
    <x v="6"/>
    <n v="11940.9469728601"/>
  </r>
  <r>
    <x v="0"/>
    <x v="0"/>
    <x v="0"/>
    <x v="0"/>
    <x v="11"/>
    <x v="0"/>
    <x v="7"/>
    <n v="11940.9469728601"/>
  </r>
  <r>
    <x v="0"/>
    <x v="0"/>
    <x v="0"/>
    <x v="0"/>
    <x v="11"/>
    <x v="0"/>
    <x v="8"/>
    <n v="11940.9469728601"/>
  </r>
  <r>
    <x v="0"/>
    <x v="0"/>
    <x v="0"/>
    <x v="0"/>
    <x v="11"/>
    <x v="0"/>
    <x v="9"/>
    <n v="11940.9469728601"/>
  </r>
  <r>
    <x v="0"/>
    <x v="0"/>
    <x v="0"/>
    <x v="0"/>
    <x v="11"/>
    <x v="0"/>
    <x v="10"/>
    <n v="11940.9469728601"/>
  </r>
  <r>
    <x v="0"/>
    <x v="0"/>
    <x v="0"/>
    <x v="0"/>
    <x v="11"/>
    <x v="0"/>
    <x v="11"/>
    <n v="11940.9469728601"/>
  </r>
  <r>
    <x v="0"/>
    <x v="0"/>
    <x v="0"/>
    <x v="0"/>
    <x v="11"/>
    <x v="1"/>
    <x v="0"/>
    <n v="11940.9469728601"/>
  </r>
  <r>
    <x v="0"/>
    <x v="0"/>
    <x v="0"/>
    <x v="0"/>
    <x v="11"/>
    <x v="1"/>
    <x v="1"/>
    <n v="11940.9469728601"/>
  </r>
  <r>
    <x v="0"/>
    <x v="0"/>
    <x v="0"/>
    <x v="0"/>
    <x v="11"/>
    <x v="1"/>
    <x v="2"/>
    <n v="11940.9469728601"/>
  </r>
  <r>
    <x v="0"/>
    <x v="0"/>
    <x v="0"/>
    <x v="0"/>
    <x v="11"/>
    <x v="1"/>
    <x v="3"/>
    <n v="11940.9469728601"/>
  </r>
  <r>
    <x v="0"/>
    <x v="0"/>
    <x v="0"/>
    <x v="0"/>
    <x v="11"/>
    <x v="1"/>
    <x v="4"/>
    <n v="11940.9469728601"/>
  </r>
  <r>
    <x v="0"/>
    <x v="0"/>
    <x v="0"/>
    <x v="0"/>
    <x v="11"/>
    <x v="1"/>
    <x v="5"/>
    <n v="11940.9469728601"/>
  </r>
  <r>
    <x v="0"/>
    <x v="0"/>
    <x v="0"/>
    <x v="0"/>
    <x v="11"/>
    <x v="1"/>
    <x v="6"/>
    <n v="11940.9469728601"/>
  </r>
  <r>
    <x v="0"/>
    <x v="0"/>
    <x v="0"/>
    <x v="0"/>
    <x v="11"/>
    <x v="1"/>
    <x v="7"/>
    <n v="12110.1256103413"/>
  </r>
  <r>
    <x v="0"/>
    <x v="0"/>
    <x v="0"/>
    <x v="0"/>
    <x v="11"/>
    <x v="1"/>
    <x v="8"/>
    <n v="12110.1256103413"/>
  </r>
  <r>
    <x v="0"/>
    <x v="0"/>
    <x v="0"/>
    <x v="0"/>
    <x v="11"/>
    <x v="1"/>
    <x v="9"/>
    <n v="12110.1256103413"/>
  </r>
  <r>
    <x v="0"/>
    <x v="0"/>
    <x v="0"/>
    <x v="0"/>
    <x v="11"/>
    <x v="1"/>
    <x v="10"/>
    <n v="12110.1256103413"/>
  </r>
  <r>
    <x v="0"/>
    <x v="0"/>
    <x v="0"/>
    <x v="0"/>
    <x v="11"/>
    <x v="1"/>
    <x v="11"/>
    <n v="12110.1256103413"/>
  </r>
  <r>
    <x v="0"/>
    <x v="0"/>
    <x v="0"/>
    <x v="0"/>
    <x v="11"/>
    <x v="2"/>
    <x v="0"/>
    <n v="11940.9469728601"/>
  </r>
  <r>
    <x v="0"/>
    <x v="0"/>
    <x v="0"/>
    <x v="0"/>
    <x v="11"/>
    <x v="2"/>
    <x v="1"/>
    <n v="11940.9469728601"/>
  </r>
  <r>
    <x v="0"/>
    <x v="0"/>
    <x v="0"/>
    <x v="0"/>
    <x v="11"/>
    <x v="2"/>
    <x v="2"/>
    <n v="11940.9469728601"/>
  </r>
  <r>
    <x v="0"/>
    <x v="0"/>
    <x v="0"/>
    <x v="0"/>
    <x v="11"/>
    <x v="2"/>
    <x v="3"/>
    <n v="11940.9469728601"/>
  </r>
  <r>
    <x v="0"/>
    <x v="0"/>
    <x v="0"/>
    <x v="0"/>
    <x v="11"/>
    <x v="2"/>
    <x v="4"/>
    <n v="11940.9469728601"/>
  </r>
  <r>
    <x v="0"/>
    <x v="0"/>
    <x v="0"/>
    <x v="0"/>
    <x v="11"/>
    <x v="2"/>
    <x v="5"/>
    <n v="11940.9469728601"/>
  </r>
  <r>
    <x v="0"/>
    <x v="0"/>
    <x v="0"/>
    <x v="0"/>
    <x v="11"/>
    <x v="2"/>
    <x v="6"/>
    <n v="11940.9469728601"/>
  </r>
  <r>
    <x v="0"/>
    <x v="0"/>
    <x v="0"/>
    <x v="0"/>
    <x v="11"/>
    <x v="2"/>
    <x v="7"/>
    <n v="11940.9469728601"/>
  </r>
  <r>
    <x v="0"/>
    <x v="0"/>
    <x v="0"/>
    <x v="0"/>
    <x v="11"/>
    <x v="2"/>
    <x v="8"/>
    <n v="11940.9469728601"/>
  </r>
  <r>
    <x v="0"/>
    <x v="0"/>
    <x v="0"/>
    <x v="0"/>
    <x v="11"/>
    <x v="2"/>
    <x v="9"/>
    <n v="11940.9469728601"/>
  </r>
  <r>
    <x v="0"/>
    <x v="0"/>
    <x v="0"/>
    <x v="0"/>
    <x v="11"/>
    <x v="2"/>
    <x v="10"/>
    <n v="11940.9469728601"/>
  </r>
  <r>
    <x v="0"/>
    <x v="0"/>
    <x v="0"/>
    <x v="0"/>
    <x v="11"/>
    <x v="2"/>
    <x v="11"/>
    <n v="11940.9469728601"/>
  </r>
  <r>
    <x v="0"/>
    <x v="0"/>
    <x v="0"/>
    <x v="0"/>
    <x v="11"/>
    <x v="3"/>
    <x v="0"/>
    <n v="12110.1256103413"/>
  </r>
  <r>
    <x v="0"/>
    <x v="0"/>
    <x v="0"/>
    <x v="0"/>
    <x v="11"/>
    <x v="3"/>
    <x v="1"/>
    <n v="11940.9469728601"/>
  </r>
  <r>
    <x v="0"/>
    <x v="0"/>
    <x v="0"/>
    <x v="0"/>
    <x v="11"/>
    <x v="3"/>
    <x v="2"/>
    <n v="11940.9469728601"/>
  </r>
  <r>
    <x v="0"/>
    <x v="0"/>
    <x v="0"/>
    <x v="0"/>
    <x v="11"/>
    <x v="3"/>
    <x v="3"/>
    <n v="11940.9469728601"/>
  </r>
  <r>
    <x v="0"/>
    <x v="0"/>
    <x v="0"/>
    <x v="0"/>
    <x v="11"/>
    <x v="3"/>
    <x v="4"/>
    <n v="12110.1256103413"/>
  </r>
  <r>
    <x v="0"/>
    <x v="0"/>
    <x v="0"/>
    <x v="0"/>
    <x v="11"/>
    <x v="3"/>
    <x v="5"/>
    <n v="12110.1256103413"/>
  </r>
  <r>
    <x v="0"/>
    <x v="0"/>
    <x v="0"/>
    <x v="0"/>
    <x v="11"/>
    <x v="3"/>
    <x v="6"/>
    <n v="12110.1256103413"/>
  </r>
  <r>
    <x v="0"/>
    <x v="0"/>
    <x v="0"/>
    <x v="0"/>
    <x v="11"/>
    <x v="3"/>
    <x v="7"/>
    <n v="12110.1256103413"/>
  </r>
  <r>
    <x v="0"/>
    <x v="0"/>
    <x v="0"/>
    <x v="0"/>
    <x v="11"/>
    <x v="3"/>
    <x v="8"/>
    <n v="12110.1256103413"/>
  </r>
  <r>
    <x v="0"/>
    <x v="0"/>
    <x v="0"/>
    <x v="0"/>
    <x v="11"/>
    <x v="3"/>
    <x v="9"/>
    <n v="12110.1256103413"/>
  </r>
  <r>
    <x v="0"/>
    <x v="0"/>
    <x v="0"/>
    <x v="0"/>
    <x v="11"/>
    <x v="3"/>
    <x v="10"/>
    <n v="12110.1256103413"/>
  </r>
  <r>
    <x v="0"/>
    <x v="0"/>
    <x v="0"/>
    <x v="0"/>
    <x v="11"/>
    <x v="3"/>
    <x v="11"/>
    <n v="12110.1256103413"/>
  </r>
  <r>
    <x v="0"/>
    <x v="0"/>
    <x v="0"/>
    <x v="0"/>
    <x v="11"/>
    <x v="4"/>
    <x v="0"/>
    <n v="6920.5828027813504"/>
  </r>
  <r>
    <x v="0"/>
    <x v="0"/>
    <x v="0"/>
    <x v="0"/>
    <x v="11"/>
    <x v="4"/>
    <x v="1"/>
    <n v="6920.5828027813504"/>
  </r>
  <r>
    <x v="0"/>
    <x v="0"/>
    <x v="0"/>
    <x v="0"/>
    <x v="11"/>
    <x v="4"/>
    <x v="2"/>
    <n v="6920.5828027813504"/>
  </r>
  <r>
    <x v="0"/>
    <x v="0"/>
    <x v="0"/>
    <x v="0"/>
    <x v="11"/>
    <x v="4"/>
    <x v="3"/>
    <n v="6920.5828027813504"/>
  </r>
  <r>
    <x v="0"/>
    <x v="0"/>
    <x v="0"/>
    <x v="0"/>
    <x v="11"/>
    <x v="4"/>
    <x v="4"/>
    <n v="6920.5828027813504"/>
  </r>
  <r>
    <x v="0"/>
    <x v="0"/>
    <x v="0"/>
    <x v="0"/>
    <x v="11"/>
    <x v="4"/>
    <x v="5"/>
    <n v="6920.5828027813504"/>
  </r>
  <r>
    <x v="0"/>
    <x v="0"/>
    <x v="0"/>
    <x v="0"/>
    <x v="11"/>
    <x v="4"/>
    <x v="6"/>
    <n v="6920.5828027813504"/>
  </r>
  <r>
    <x v="0"/>
    <x v="0"/>
    <x v="0"/>
    <x v="0"/>
    <x v="11"/>
    <x v="4"/>
    <x v="7"/>
    <n v="6920.5828027813504"/>
  </r>
  <r>
    <x v="0"/>
    <x v="0"/>
    <x v="0"/>
    <x v="0"/>
    <x v="11"/>
    <x v="4"/>
    <x v="8"/>
    <n v="6920.5828027813504"/>
  </r>
  <r>
    <x v="0"/>
    <x v="0"/>
    <x v="0"/>
    <x v="0"/>
    <x v="11"/>
    <x v="4"/>
    <x v="9"/>
    <n v="6920.5828027813504"/>
  </r>
  <r>
    <x v="0"/>
    <x v="0"/>
    <x v="0"/>
    <x v="0"/>
    <x v="11"/>
    <x v="4"/>
    <x v="10"/>
    <n v="6920.5828027813504"/>
  </r>
  <r>
    <x v="0"/>
    <x v="0"/>
    <x v="0"/>
    <x v="0"/>
    <x v="11"/>
    <x v="4"/>
    <x v="11"/>
    <n v="6920.5828027813504"/>
  </r>
  <r>
    <x v="0"/>
    <x v="0"/>
    <x v="0"/>
    <x v="0"/>
    <x v="11"/>
    <x v="5"/>
    <x v="0"/>
    <n v="6920.5828027813504"/>
  </r>
  <r>
    <x v="0"/>
    <x v="0"/>
    <x v="0"/>
    <x v="0"/>
    <x v="11"/>
    <x v="5"/>
    <x v="1"/>
    <n v="6920.5828027813504"/>
  </r>
  <r>
    <x v="0"/>
    <x v="0"/>
    <x v="0"/>
    <x v="0"/>
    <x v="11"/>
    <x v="5"/>
    <x v="2"/>
    <n v="6920.5828027813504"/>
  </r>
  <r>
    <x v="0"/>
    <x v="0"/>
    <x v="0"/>
    <x v="0"/>
    <x v="11"/>
    <x v="5"/>
    <x v="3"/>
    <n v="6920.5828027813504"/>
  </r>
  <r>
    <x v="0"/>
    <x v="0"/>
    <x v="0"/>
    <x v="0"/>
    <x v="11"/>
    <x v="5"/>
    <x v="4"/>
    <n v="6920.5828027813504"/>
  </r>
  <r>
    <x v="0"/>
    <x v="0"/>
    <x v="0"/>
    <x v="0"/>
    <x v="11"/>
    <x v="5"/>
    <x v="5"/>
    <n v="6920.5828027813504"/>
  </r>
  <r>
    <x v="0"/>
    <x v="0"/>
    <x v="0"/>
    <x v="0"/>
    <x v="11"/>
    <x v="5"/>
    <x v="6"/>
    <n v="6920.5828027813504"/>
  </r>
  <r>
    <x v="0"/>
    <x v="0"/>
    <x v="0"/>
    <x v="0"/>
    <x v="11"/>
    <x v="5"/>
    <x v="7"/>
    <n v="6920.5828027813504"/>
  </r>
  <r>
    <x v="0"/>
    <x v="0"/>
    <x v="0"/>
    <x v="0"/>
    <x v="11"/>
    <x v="5"/>
    <x v="8"/>
    <n v="6920.5828027813504"/>
  </r>
  <r>
    <x v="0"/>
    <x v="0"/>
    <x v="0"/>
    <x v="0"/>
    <x v="11"/>
    <x v="5"/>
    <x v="9"/>
    <n v="6920.5828027813504"/>
  </r>
  <r>
    <x v="0"/>
    <x v="0"/>
    <x v="0"/>
    <x v="0"/>
    <x v="11"/>
    <x v="5"/>
    <x v="10"/>
    <n v="6920.5828027813504"/>
  </r>
  <r>
    <x v="0"/>
    <x v="0"/>
    <x v="0"/>
    <x v="0"/>
    <x v="11"/>
    <x v="5"/>
    <x v="11"/>
    <n v="6920.5828027813504"/>
  </r>
  <r>
    <x v="0"/>
    <x v="0"/>
    <x v="0"/>
    <x v="0"/>
    <x v="11"/>
    <x v="6"/>
    <x v="0"/>
    <n v="6920.5828027813504"/>
  </r>
  <r>
    <x v="0"/>
    <x v="0"/>
    <x v="0"/>
    <x v="0"/>
    <x v="11"/>
    <x v="6"/>
    <x v="1"/>
    <n v="6920.5828027813504"/>
  </r>
  <r>
    <x v="0"/>
    <x v="0"/>
    <x v="0"/>
    <x v="0"/>
    <x v="11"/>
    <x v="6"/>
    <x v="2"/>
    <n v="6920.5828027813504"/>
  </r>
  <r>
    <x v="0"/>
    <x v="0"/>
    <x v="0"/>
    <x v="0"/>
    <x v="11"/>
    <x v="6"/>
    <x v="3"/>
    <n v="6920.5828027813504"/>
  </r>
  <r>
    <x v="0"/>
    <x v="0"/>
    <x v="0"/>
    <x v="0"/>
    <x v="11"/>
    <x v="6"/>
    <x v="4"/>
    <n v="6920.5828027813504"/>
  </r>
  <r>
    <x v="0"/>
    <x v="0"/>
    <x v="0"/>
    <x v="0"/>
    <x v="11"/>
    <x v="6"/>
    <x v="5"/>
    <n v="6920.5828027813504"/>
  </r>
  <r>
    <x v="0"/>
    <x v="0"/>
    <x v="0"/>
    <x v="0"/>
    <x v="11"/>
    <x v="6"/>
    <x v="6"/>
    <n v="6920.5828027813504"/>
  </r>
  <r>
    <x v="0"/>
    <x v="0"/>
    <x v="0"/>
    <x v="0"/>
    <x v="11"/>
    <x v="6"/>
    <x v="7"/>
    <n v="6920.5828027813504"/>
  </r>
  <r>
    <x v="0"/>
    <x v="0"/>
    <x v="0"/>
    <x v="0"/>
    <x v="11"/>
    <x v="6"/>
    <x v="8"/>
    <n v="6920.5828027813504"/>
  </r>
  <r>
    <x v="0"/>
    <x v="0"/>
    <x v="0"/>
    <x v="0"/>
    <x v="11"/>
    <x v="6"/>
    <x v="9"/>
    <n v="6920.5828027813504"/>
  </r>
  <r>
    <x v="0"/>
    <x v="0"/>
    <x v="0"/>
    <x v="0"/>
    <x v="11"/>
    <x v="6"/>
    <x v="10"/>
    <n v="6920.5828027813504"/>
  </r>
  <r>
    <x v="0"/>
    <x v="0"/>
    <x v="0"/>
    <x v="0"/>
    <x v="11"/>
    <x v="6"/>
    <x v="11"/>
    <n v="6920.5828027813504"/>
  </r>
  <r>
    <x v="0"/>
    <x v="0"/>
    <x v="0"/>
    <x v="0"/>
    <x v="11"/>
    <x v="7"/>
    <x v="0"/>
    <n v="6920.5828027813504"/>
  </r>
  <r>
    <x v="0"/>
    <x v="0"/>
    <x v="0"/>
    <x v="0"/>
    <x v="11"/>
    <x v="7"/>
    <x v="1"/>
    <n v="6920.5828027813504"/>
  </r>
  <r>
    <x v="0"/>
    <x v="0"/>
    <x v="0"/>
    <x v="0"/>
    <x v="11"/>
    <x v="7"/>
    <x v="2"/>
    <n v="6920.5828027813504"/>
  </r>
  <r>
    <x v="0"/>
    <x v="0"/>
    <x v="0"/>
    <x v="0"/>
    <x v="11"/>
    <x v="7"/>
    <x v="3"/>
    <n v="6920.5828027813504"/>
  </r>
  <r>
    <x v="0"/>
    <x v="0"/>
    <x v="0"/>
    <x v="0"/>
    <x v="11"/>
    <x v="7"/>
    <x v="4"/>
    <n v="6920.5828027813504"/>
  </r>
  <r>
    <x v="0"/>
    <x v="0"/>
    <x v="0"/>
    <x v="0"/>
    <x v="11"/>
    <x v="7"/>
    <x v="5"/>
    <n v="6920.5828027813504"/>
  </r>
  <r>
    <x v="0"/>
    <x v="0"/>
    <x v="0"/>
    <x v="0"/>
    <x v="11"/>
    <x v="7"/>
    <x v="6"/>
    <n v="6920.5828027813504"/>
  </r>
  <r>
    <x v="0"/>
    <x v="0"/>
    <x v="0"/>
    <x v="0"/>
    <x v="11"/>
    <x v="7"/>
    <x v="7"/>
    <n v="6920.5828027813504"/>
  </r>
  <r>
    <x v="0"/>
    <x v="0"/>
    <x v="0"/>
    <x v="0"/>
    <x v="11"/>
    <x v="7"/>
    <x v="8"/>
    <n v="6920.5828027813504"/>
  </r>
  <r>
    <x v="0"/>
    <x v="0"/>
    <x v="0"/>
    <x v="0"/>
    <x v="11"/>
    <x v="7"/>
    <x v="9"/>
    <n v="6920.5828027813504"/>
  </r>
  <r>
    <x v="0"/>
    <x v="0"/>
    <x v="0"/>
    <x v="0"/>
    <x v="11"/>
    <x v="7"/>
    <x v="10"/>
    <n v="6920.5828027813504"/>
  </r>
  <r>
    <x v="0"/>
    <x v="0"/>
    <x v="0"/>
    <x v="0"/>
    <x v="11"/>
    <x v="7"/>
    <x v="11"/>
    <n v="6920.5828027813504"/>
  </r>
  <r>
    <x v="0"/>
    <x v="0"/>
    <x v="0"/>
    <x v="0"/>
    <x v="11"/>
    <x v="8"/>
    <x v="0"/>
    <n v="4023.2723209813498"/>
  </r>
  <r>
    <x v="0"/>
    <x v="0"/>
    <x v="0"/>
    <x v="0"/>
    <x v="11"/>
    <x v="8"/>
    <x v="1"/>
    <n v="4023.2723209813498"/>
  </r>
  <r>
    <x v="0"/>
    <x v="0"/>
    <x v="0"/>
    <x v="0"/>
    <x v="11"/>
    <x v="8"/>
    <x v="2"/>
    <n v="4023.2723209813498"/>
  </r>
  <r>
    <x v="0"/>
    <x v="0"/>
    <x v="0"/>
    <x v="0"/>
    <x v="11"/>
    <x v="8"/>
    <x v="3"/>
    <n v="4023.2723209813498"/>
  </r>
  <r>
    <x v="0"/>
    <x v="0"/>
    <x v="0"/>
    <x v="0"/>
    <x v="11"/>
    <x v="8"/>
    <x v="4"/>
    <n v="4023.2723209813498"/>
  </r>
  <r>
    <x v="0"/>
    <x v="0"/>
    <x v="0"/>
    <x v="0"/>
    <x v="11"/>
    <x v="8"/>
    <x v="5"/>
    <n v="4023.2723209813498"/>
  </r>
  <r>
    <x v="0"/>
    <x v="0"/>
    <x v="0"/>
    <x v="0"/>
    <x v="11"/>
    <x v="8"/>
    <x v="6"/>
    <n v="4023.2723209813498"/>
  </r>
  <r>
    <x v="0"/>
    <x v="0"/>
    <x v="0"/>
    <x v="0"/>
    <x v="11"/>
    <x v="8"/>
    <x v="7"/>
    <n v="4023.2723209813498"/>
  </r>
  <r>
    <x v="0"/>
    <x v="0"/>
    <x v="0"/>
    <x v="0"/>
    <x v="11"/>
    <x v="8"/>
    <x v="8"/>
    <n v="4023.2723209813498"/>
  </r>
  <r>
    <x v="0"/>
    <x v="0"/>
    <x v="0"/>
    <x v="0"/>
    <x v="11"/>
    <x v="8"/>
    <x v="9"/>
    <n v="4023.2723209813498"/>
  </r>
  <r>
    <x v="0"/>
    <x v="0"/>
    <x v="0"/>
    <x v="0"/>
    <x v="11"/>
    <x v="8"/>
    <x v="10"/>
    <n v="4023.2723209813498"/>
  </r>
  <r>
    <x v="0"/>
    <x v="0"/>
    <x v="0"/>
    <x v="0"/>
    <x v="11"/>
    <x v="8"/>
    <x v="11"/>
    <n v="4023.2723209813498"/>
  </r>
  <r>
    <x v="0"/>
    <x v="0"/>
    <x v="0"/>
    <x v="0"/>
    <x v="11"/>
    <x v="9"/>
    <x v="0"/>
    <n v="4023.2723209813498"/>
  </r>
  <r>
    <x v="0"/>
    <x v="0"/>
    <x v="0"/>
    <x v="0"/>
    <x v="11"/>
    <x v="9"/>
    <x v="1"/>
    <n v="4023.2723209813498"/>
  </r>
  <r>
    <x v="0"/>
    <x v="0"/>
    <x v="0"/>
    <x v="0"/>
    <x v="11"/>
    <x v="9"/>
    <x v="2"/>
    <n v="4023.2723209813498"/>
  </r>
  <r>
    <x v="0"/>
    <x v="0"/>
    <x v="0"/>
    <x v="0"/>
    <x v="11"/>
    <x v="9"/>
    <x v="3"/>
    <n v="4023.2723209813498"/>
  </r>
  <r>
    <x v="0"/>
    <x v="0"/>
    <x v="0"/>
    <x v="0"/>
    <x v="11"/>
    <x v="9"/>
    <x v="4"/>
    <n v="4023.2723209813498"/>
  </r>
  <r>
    <x v="0"/>
    <x v="0"/>
    <x v="0"/>
    <x v="0"/>
    <x v="11"/>
    <x v="9"/>
    <x v="5"/>
    <n v="4023.2723209813498"/>
  </r>
  <r>
    <x v="0"/>
    <x v="0"/>
    <x v="0"/>
    <x v="0"/>
    <x v="11"/>
    <x v="9"/>
    <x v="6"/>
    <n v="4023.2723209813498"/>
  </r>
  <r>
    <x v="0"/>
    <x v="0"/>
    <x v="0"/>
    <x v="0"/>
    <x v="11"/>
    <x v="9"/>
    <x v="7"/>
    <n v="4023.2723209813498"/>
  </r>
  <r>
    <x v="0"/>
    <x v="0"/>
    <x v="0"/>
    <x v="0"/>
    <x v="11"/>
    <x v="9"/>
    <x v="8"/>
    <n v="4023.2723209813498"/>
  </r>
  <r>
    <x v="0"/>
    <x v="0"/>
    <x v="0"/>
    <x v="0"/>
    <x v="11"/>
    <x v="9"/>
    <x v="9"/>
    <n v="4023.2723209813498"/>
  </r>
  <r>
    <x v="0"/>
    <x v="0"/>
    <x v="0"/>
    <x v="0"/>
    <x v="11"/>
    <x v="9"/>
    <x v="10"/>
    <n v="4023.2723209813498"/>
  </r>
  <r>
    <x v="0"/>
    <x v="0"/>
    <x v="0"/>
    <x v="0"/>
    <x v="11"/>
    <x v="9"/>
    <x v="11"/>
    <n v="4023.2723209813498"/>
  </r>
  <r>
    <x v="0"/>
    <x v="0"/>
    <x v="0"/>
    <x v="0"/>
    <x v="11"/>
    <x v="10"/>
    <x v="0"/>
    <n v="4023.2723209813498"/>
  </r>
  <r>
    <x v="0"/>
    <x v="0"/>
    <x v="0"/>
    <x v="0"/>
    <x v="11"/>
    <x v="10"/>
    <x v="1"/>
    <n v="4023.2723209813498"/>
  </r>
  <r>
    <x v="0"/>
    <x v="0"/>
    <x v="0"/>
    <x v="0"/>
    <x v="11"/>
    <x v="10"/>
    <x v="2"/>
    <n v="4023.2723209813498"/>
  </r>
  <r>
    <x v="0"/>
    <x v="0"/>
    <x v="0"/>
    <x v="0"/>
    <x v="11"/>
    <x v="10"/>
    <x v="3"/>
    <n v="4023.2723209813498"/>
  </r>
  <r>
    <x v="0"/>
    <x v="0"/>
    <x v="0"/>
    <x v="0"/>
    <x v="11"/>
    <x v="10"/>
    <x v="4"/>
    <n v="4023.2723209813498"/>
  </r>
  <r>
    <x v="0"/>
    <x v="0"/>
    <x v="0"/>
    <x v="0"/>
    <x v="11"/>
    <x v="10"/>
    <x v="5"/>
    <n v="4023.2723209813498"/>
  </r>
  <r>
    <x v="0"/>
    <x v="0"/>
    <x v="0"/>
    <x v="0"/>
    <x v="11"/>
    <x v="10"/>
    <x v="6"/>
    <n v="4023.2723209813498"/>
  </r>
  <r>
    <x v="0"/>
    <x v="0"/>
    <x v="0"/>
    <x v="0"/>
    <x v="11"/>
    <x v="10"/>
    <x v="7"/>
    <n v="4023.2723209813498"/>
  </r>
  <r>
    <x v="0"/>
    <x v="0"/>
    <x v="0"/>
    <x v="0"/>
    <x v="11"/>
    <x v="10"/>
    <x v="8"/>
    <n v="4023.2723209813498"/>
  </r>
  <r>
    <x v="0"/>
    <x v="0"/>
    <x v="0"/>
    <x v="0"/>
    <x v="11"/>
    <x v="10"/>
    <x v="9"/>
    <n v="4023.2723209813498"/>
  </r>
  <r>
    <x v="0"/>
    <x v="0"/>
    <x v="0"/>
    <x v="0"/>
    <x v="11"/>
    <x v="10"/>
    <x v="10"/>
    <n v="4023.2723209813498"/>
  </r>
  <r>
    <x v="0"/>
    <x v="0"/>
    <x v="0"/>
    <x v="0"/>
    <x v="11"/>
    <x v="10"/>
    <x v="11"/>
    <n v="4023.2723209813498"/>
  </r>
  <r>
    <x v="0"/>
    <x v="0"/>
    <x v="0"/>
    <x v="0"/>
    <x v="11"/>
    <x v="11"/>
    <x v="0"/>
    <n v="4023.2723209813498"/>
  </r>
  <r>
    <x v="0"/>
    <x v="0"/>
    <x v="0"/>
    <x v="0"/>
    <x v="11"/>
    <x v="11"/>
    <x v="1"/>
    <n v="4023.2723209813498"/>
  </r>
  <r>
    <x v="0"/>
    <x v="0"/>
    <x v="0"/>
    <x v="0"/>
    <x v="11"/>
    <x v="11"/>
    <x v="2"/>
    <n v="4023.2723209813498"/>
  </r>
  <r>
    <x v="0"/>
    <x v="0"/>
    <x v="0"/>
    <x v="0"/>
    <x v="11"/>
    <x v="11"/>
    <x v="3"/>
    <n v="4023.2723209813498"/>
  </r>
  <r>
    <x v="0"/>
    <x v="0"/>
    <x v="0"/>
    <x v="0"/>
    <x v="11"/>
    <x v="11"/>
    <x v="4"/>
    <n v="4023.2723209813498"/>
  </r>
  <r>
    <x v="0"/>
    <x v="0"/>
    <x v="0"/>
    <x v="0"/>
    <x v="11"/>
    <x v="11"/>
    <x v="5"/>
    <n v="4023.2723209813498"/>
  </r>
  <r>
    <x v="0"/>
    <x v="0"/>
    <x v="0"/>
    <x v="0"/>
    <x v="11"/>
    <x v="11"/>
    <x v="6"/>
    <n v="4023.2723209813498"/>
  </r>
  <r>
    <x v="0"/>
    <x v="0"/>
    <x v="0"/>
    <x v="0"/>
    <x v="11"/>
    <x v="11"/>
    <x v="7"/>
    <n v="4023.2723209813498"/>
  </r>
  <r>
    <x v="0"/>
    <x v="0"/>
    <x v="0"/>
    <x v="0"/>
    <x v="11"/>
    <x v="11"/>
    <x v="8"/>
    <n v="4023.2723209813498"/>
  </r>
  <r>
    <x v="0"/>
    <x v="0"/>
    <x v="0"/>
    <x v="0"/>
    <x v="11"/>
    <x v="11"/>
    <x v="9"/>
    <n v="4023.2723209813498"/>
  </r>
  <r>
    <x v="0"/>
    <x v="0"/>
    <x v="0"/>
    <x v="0"/>
    <x v="11"/>
    <x v="11"/>
    <x v="10"/>
    <n v="4023.2723209813498"/>
  </r>
  <r>
    <x v="0"/>
    <x v="0"/>
    <x v="0"/>
    <x v="0"/>
    <x v="11"/>
    <x v="11"/>
    <x v="11"/>
    <n v="4023.2723209813498"/>
  </r>
  <r>
    <x v="0"/>
    <x v="0"/>
    <x v="0"/>
    <x v="0"/>
    <x v="12"/>
    <x v="0"/>
    <x v="0"/>
    <n v="12110.1256103413"/>
  </r>
  <r>
    <x v="0"/>
    <x v="0"/>
    <x v="0"/>
    <x v="0"/>
    <x v="12"/>
    <x v="0"/>
    <x v="1"/>
    <n v="12110.1256103413"/>
  </r>
  <r>
    <x v="0"/>
    <x v="0"/>
    <x v="0"/>
    <x v="0"/>
    <x v="12"/>
    <x v="0"/>
    <x v="2"/>
    <n v="12110.1256103413"/>
  </r>
  <r>
    <x v="0"/>
    <x v="0"/>
    <x v="0"/>
    <x v="0"/>
    <x v="12"/>
    <x v="0"/>
    <x v="3"/>
    <n v="12110.1256103413"/>
  </r>
  <r>
    <x v="0"/>
    <x v="0"/>
    <x v="0"/>
    <x v="0"/>
    <x v="12"/>
    <x v="0"/>
    <x v="4"/>
    <n v="12110.1256103413"/>
  </r>
  <r>
    <x v="0"/>
    <x v="0"/>
    <x v="0"/>
    <x v="0"/>
    <x v="12"/>
    <x v="0"/>
    <x v="5"/>
    <n v="12110.1256103413"/>
  </r>
  <r>
    <x v="0"/>
    <x v="0"/>
    <x v="0"/>
    <x v="0"/>
    <x v="12"/>
    <x v="0"/>
    <x v="6"/>
    <n v="12110.1256103413"/>
  </r>
  <r>
    <x v="0"/>
    <x v="0"/>
    <x v="0"/>
    <x v="0"/>
    <x v="12"/>
    <x v="0"/>
    <x v="7"/>
    <n v="12110.1256103413"/>
  </r>
  <r>
    <x v="0"/>
    <x v="0"/>
    <x v="0"/>
    <x v="0"/>
    <x v="12"/>
    <x v="0"/>
    <x v="8"/>
    <n v="12110.1256103413"/>
  </r>
  <r>
    <x v="0"/>
    <x v="0"/>
    <x v="0"/>
    <x v="0"/>
    <x v="12"/>
    <x v="0"/>
    <x v="9"/>
    <n v="12110.1256103413"/>
  </r>
  <r>
    <x v="0"/>
    <x v="0"/>
    <x v="0"/>
    <x v="0"/>
    <x v="12"/>
    <x v="0"/>
    <x v="10"/>
    <n v="12110.1256103413"/>
  </r>
  <r>
    <x v="0"/>
    <x v="0"/>
    <x v="0"/>
    <x v="0"/>
    <x v="12"/>
    <x v="0"/>
    <x v="11"/>
    <n v="12110.1256103413"/>
  </r>
  <r>
    <x v="0"/>
    <x v="0"/>
    <x v="0"/>
    <x v="0"/>
    <x v="12"/>
    <x v="1"/>
    <x v="0"/>
    <n v="12110.1256103413"/>
  </r>
  <r>
    <x v="0"/>
    <x v="0"/>
    <x v="0"/>
    <x v="0"/>
    <x v="12"/>
    <x v="1"/>
    <x v="1"/>
    <n v="12110.1256103413"/>
  </r>
  <r>
    <x v="0"/>
    <x v="0"/>
    <x v="0"/>
    <x v="0"/>
    <x v="12"/>
    <x v="1"/>
    <x v="2"/>
    <n v="12110.1256103413"/>
  </r>
  <r>
    <x v="0"/>
    <x v="0"/>
    <x v="0"/>
    <x v="0"/>
    <x v="12"/>
    <x v="1"/>
    <x v="3"/>
    <n v="12110.1256103413"/>
  </r>
  <r>
    <x v="0"/>
    <x v="0"/>
    <x v="0"/>
    <x v="0"/>
    <x v="12"/>
    <x v="1"/>
    <x v="4"/>
    <n v="12110.1256103413"/>
  </r>
  <r>
    <x v="0"/>
    <x v="0"/>
    <x v="0"/>
    <x v="0"/>
    <x v="12"/>
    <x v="1"/>
    <x v="5"/>
    <n v="12110.1256103413"/>
  </r>
  <r>
    <x v="0"/>
    <x v="0"/>
    <x v="0"/>
    <x v="0"/>
    <x v="12"/>
    <x v="1"/>
    <x v="6"/>
    <n v="12110.1256103413"/>
  </r>
  <r>
    <x v="0"/>
    <x v="0"/>
    <x v="0"/>
    <x v="0"/>
    <x v="12"/>
    <x v="1"/>
    <x v="7"/>
    <n v="12110.1256103413"/>
  </r>
  <r>
    <x v="0"/>
    <x v="0"/>
    <x v="0"/>
    <x v="0"/>
    <x v="12"/>
    <x v="1"/>
    <x v="8"/>
    <n v="12110.1256103413"/>
  </r>
  <r>
    <x v="0"/>
    <x v="0"/>
    <x v="0"/>
    <x v="0"/>
    <x v="12"/>
    <x v="1"/>
    <x v="9"/>
    <n v="12110.1256103413"/>
  </r>
  <r>
    <x v="0"/>
    <x v="0"/>
    <x v="0"/>
    <x v="0"/>
    <x v="12"/>
    <x v="1"/>
    <x v="10"/>
    <n v="12110.1256103413"/>
  </r>
  <r>
    <x v="0"/>
    <x v="0"/>
    <x v="0"/>
    <x v="0"/>
    <x v="12"/>
    <x v="1"/>
    <x v="11"/>
    <n v="12110.1256103413"/>
  </r>
  <r>
    <x v="0"/>
    <x v="0"/>
    <x v="0"/>
    <x v="0"/>
    <x v="12"/>
    <x v="2"/>
    <x v="0"/>
    <n v="12110.1256103413"/>
  </r>
  <r>
    <x v="0"/>
    <x v="0"/>
    <x v="0"/>
    <x v="0"/>
    <x v="12"/>
    <x v="2"/>
    <x v="1"/>
    <n v="12110.1256103413"/>
  </r>
  <r>
    <x v="0"/>
    <x v="0"/>
    <x v="0"/>
    <x v="0"/>
    <x v="12"/>
    <x v="2"/>
    <x v="2"/>
    <n v="12110.1256103413"/>
  </r>
  <r>
    <x v="0"/>
    <x v="0"/>
    <x v="0"/>
    <x v="0"/>
    <x v="12"/>
    <x v="2"/>
    <x v="3"/>
    <n v="12110.1256103413"/>
  </r>
  <r>
    <x v="0"/>
    <x v="0"/>
    <x v="0"/>
    <x v="0"/>
    <x v="12"/>
    <x v="2"/>
    <x v="4"/>
    <n v="12110.1256103413"/>
  </r>
  <r>
    <x v="0"/>
    <x v="0"/>
    <x v="0"/>
    <x v="0"/>
    <x v="12"/>
    <x v="2"/>
    <x v="5"/>
    <n v="12110.1256103413"/>
  </r>
  <r>
    <x v="0"/>
    <x v="0"/>
    <x v="0"/>
    <x v="0"/>
    <x v="12"/>
    <x v="2"/>
    <x v="6"/>
    <n v="12110.1256103413"/>
  </r>
  <r>
    <x v="0"/>
    <x v="0"/>
    <x v="0"/>
    <x v="0"/>
    <x v="12"/>
    <x v="2"/>
    <x v="7"/>
    <n v="12110.1256103413"/>
  </r>
  <r>
    <x v="0"/>
    <x v="0"/>
    <x v="0"/>
    <x v="0"/>
    <x v="12"/>
    <x v="2"/>
    <x v="8"/>
    <n v="12110.1256103413"/>
  </r>
  <r>
    <x v="0"/>
    <x v="0"/>
    <x v="0"/>
    <x v="0"/>
    <x v="12"/>
    <x v="2"/>
    <x v="9"/>
    <n v="12110.1256103413"/>
  </r>
  <r>
    <x v="0"/>
    <x v="0"/>
    <x v="0"/>
    <x v="0"/>
    <x v="12"/>
    <x v="2"/>
    <x v="10"/>
    <n v="12110.1256103413"/>
  </r>
  <r>
    <x v="0"/>
    <x v="0"/>
    <x v="0"/>
    <x v="0"/>
    <x v="12"/>
    <x v="2"/>
    <x v="11"/>
    <n v="12110.1256103413"/>
  </r>
  <r>
    <x v="0"/>
    <x v="0"/>
    <x v="0"/>
    <x v="0"/>
    <x v="12"/>
    <x v="3"/>
    <x v="0"/>
    <n v="12110.1256103413"/>
  </r>
  <r>
    <x v="0"/>
    <x v="0"/>
    <x v="0"/>
    <x v="0"/>
    <x v="12"/>
    <x v="3"/>
    <x v="1"/>
    <n v="12110.1256103413"/>
  </r>
  <r>
    <x v="0"/>
    <x v="0"/>
    <x v="0"/>
    <x v="0"/>
    <x v="12"/>
    <x v="3"/>
    <x v="2"/>
    <n v="12110.1256103413"/>
  </r>
  <r>
    <x v="0"/>
    <x v="0"/>
    <x v="0"/>
    <x v="0"/>
    <x v="12"/>
    <x v="3"/>
    <x v="3"/>
    <n v="12110.1256103413"/>
  </r>
  <r>
    <x v="0"/>
    <x v="0"/>
    <x v="0"/>
    <x v="0"/>
    <x v="12"/>
    <x v="3"/>
    <x v="4"/>
    <n v="12110.1256103413"/>
  </r>
  <r>
    <x v="0"/>
    <x v="0"/>
    <x v="0"/>
    <x v="0"/>
    <x v="12"/>
    <x v="3"/>
    <x v="5"/>
    <n v="12110.1256103413"/>
  </r>
  <r>
    <x v="0"/>
    <x v="0"/>
    <x v="0"/>
    <x v="0"/>
    <x v="12"/>
    <x v="3"/>
    <x v="6"/>
    <n v="12110.1256103413"/>
  </r>
  <r>
    <x v="0"/>
    <x v="0"/>
    <x v="0"/>
    <x v="0"/>
    <x v="12"/>
    <x v="3"/>
    <x v="7"/>
    <n v="12110.1256103413"/>
  </r>
  <r>
    <x v="0"/>
    <x v="0"/>
    <x v="0"/>
    <x v="0"/>
    <x v="12"/>
    <x v="3"/>
    <x v="8"/>
    <n v="12110.1256103413"/>
  </r>
  <r>
    <x v="0"/>
    <x v="0"/>
    <x v="0"/>
    <x v="0"/>
    <x v="12"/>
    <x v="3"/>
    <x v="9"/>
    <n v="12110.1256103413"/>
  </r>
  <r>
    <x v="0"/>
    <x v="0"/>
    <x v="0"/>
    <x v="0"/>
    <x v="12"/>
    <x v="3"/>
    <x v="10"/>
    <n v="12110.1256103413"/>
  </r>
  <r>
    <x v="0"/>
    <x v="0"/>
    <x v="0"/>
    <x v="0"/>
    <x v="12"/>
    <x v="3"/>
    <x v="11"/>
    <n v="12110.1256103413"/>
  </r>
  <r>
    <x v="0"/>
    <x v="0"/>
    <x v="0"/>
    <x v="0"/>
    <x v="12"/>
    <x v="4"/>
    <x v="0"/>
    <n v="6920.5828027813504"/>
  </r>
  <r>
    <x v="0"/>
    <x v="0"/>
    <x v="0"/>
    <x v="0"/>
    <x v="12"/>
    <x v="4"/>
    <x v="1"/>
    <n v="6920.5828027813504"/>
  </r>
  <r>
    <x v="0"/>
    <x v="0"/>
    <x v="0"/>
    <x v="0"/>
    <x v="12"/>
    <x v="4"/>
    <x v="2"/>
    <n v="6920.5828027813504"/>
  </r>
  <r>
    <x v="0"/>
    <x v="0"/>
    <x v="0"/>
    <x v="0"/>
    <x v="12"/>
    <x v="4"/>
    <x v="3"/>
    <n v="6920.5828027813504"/>
  </r>
  <r>
    <x v="0"/>
    <x v="0"/>
    <x v="0"/>
    <x v="0"/>
    <x v="12"/>
    <x v="4"/>
    <x v="4"/>
    <n v="6920.5828027813504"/>
  </r>
  <r>
    <x v="0"/>
    <x v="0"/>
    <x v="0"/>
    <x v="0"/>
    <x v="12"/>
    <x v="4"/>
    <x v="5"/>
    <n v="6920.5828027813504"/>
  </r>
  <r>
    <x v="0"/>
    <x v="0"/>
    <x v="0"/>
    <x v="0"/>
    <x v="12"/>
    <x v="4"/>
    <x v="6"/>
    <n v="6920.5828027813504"/>
  </r>
  <r>
    <x v="0"/>
    <x v="0"/>
    <x v="0"/>
    <x v="0"/>
    <x v="12"/>
    <x v="4"/>
    <x v="7"/>
    <n v="6920.5828027813504"/>
  </r>
  <r>
    <x v="0"/>
    <x v="0"/>
    <x v="0"/>
    <x v="0"/>
    <x v="12"/>
    <x v="4"/>
    <x v="8"/>
    <n v="6920.5828027813504"/>
  </r>
  <r>
    <x v="0"/>
    <x v="0"/>
    <x v="0"/>
    <x v="0"/>
    <x v="12"/>
    <x v="4"/>
    <x v="9"/>
    <n v="6920.5828027813504"/>
  </r>
  <r>
    <x v="0"/>
    <x v="0"/>
    <x v="0"/>
    <x v="0"/>
    <x v="12"/>
    <x v="4"/>
    <x v="10"/>
    <n v="6920.5828027813504"/>
  </r>
  <r>
    <x v="0"/>
    <x v="0"/>
    <x v="0"/>
    <x v="0"/>
    <x v="12"/>
    <x v="4"/>
    <x v="11"/>
    <n v="6920.5828027813504"/>
  </r>
  <r>
    <x v="0"/>
    <x v="0"/>
    <x v="0"/>
    <x v="0"/>
    <x v="12"/>
    <x v="5"/>
    <x v="0"/>
    <n v="6920.5828027813504"/>
  </r>
  <r>
    <x v="0"/>
    <x v="0"/>
    <x v="0"/>
    <x v="0"/>
    <x v="12"/>
    <x v="5"/>
    <x v="1"/>
    <n v="6920.5828027813504"/>
  </r>
  <r>
    <x v="0"/>
    <x v="0"/>
    <x v="0"/>
    <x v="0"/>
    <x v="12"/>
    <x v="5"/>
    <x v="2"/>
    <n v="6920.5828027813504"/>
  </r>
  <r>
    <x v="0"/>
    <x v="0"/>
    <x v="0"/>
    <x v="0"/>
    <x v="12"/>
    <x v="5"/>
    <x v="3"/>
    <n v="6920.5828027813504"/>
  </r>
  <r>
    <x v="0"/>
    <x v="0"/>
    <x v="0"/>
    <x v="0"/>
    <x v="12"/>
    <x v="5"/>
    <x v="4"/>
    <n v="6920.5828027813504"/>
  </r>
  <r>
    <x v="0"/>
    <x v="0"/>
    <x v="0"/>
    <x v="0"/>
    <x v="12"/>
    <x v="5"/>
    <x v="5"/>
    <n v="6920.5828027813504"/>
  </r>
  <r>
    <x v="0"/>
    <x v="0"/>
    <x v="0"/>
    <x v="0"/>
    <x v="12"/>
    <x v="5"/>
    <x v="6"/>
    <n v="6920.5828027813504"/>
  </r>
  <r>
    <x v="0"/>
    <x v="0"/>
    <x v="0"/>
    <x v="0"/>
    <x v="12"/>
    <x v="5"/>
    <x v="7"/>
    <n v="7047.6047654489903"/>
  </r>
  <r>
    <x v="0"/>
    <x v="0"/>
    <x v="0"/>
    <x v="0"/>
    <x v="12"/>
    <x v="5"/>
    <x v="8"/>
    <n v="7047.6047654489903"/>
  </r>
  <r>
    <x v="0"/>
    <x v="0"/>
    <x v="0"/>
    <x v="0"/>
    <x v="12"/>
    <x v="5"/>
    <x v="9"/>
    <n v="6920.5828027813504"/>
  </r>
  <r>
    <x v="0"/>
    <x v="0"/>
    <x v="0"/>
    <x v="0"/>
    <x v="12"/>
    <x v="5"/>
    <x v="10"/>
    <n v="6920.5828027813504"/>
  </r>
  <r>
    <x v="0"/>
    <x v="0"/>
    <x v="0"/>
    <x v="0"/>
    <x v="12"/>
    <x v="5"/>
    <x v="11"/>
    <n v="6920.5828027813504"/>
  </r>
  <r>
    <x v="0"/>
    <x v="0"/>
    <x v="0"/>
    <x v="0"/>
    <x v="12"/>
    <x v="6"/>
    <x v="0"/>
    <n v="6920.5828027813504"/>
  </r>
  <r>
    <x v="0"/>
    <x v="0"/>
    <x v="0"/>
    <x v="0"/>
    <x v="12"/>
    <x v="6"/>
    <x v="1"/>
    <n v="6920.5828027813504"/>
  </r>
  <r>
    <x v="0"/>
    <x v="0"/>
    <x v="0"/>
    <x v="0"/>
    <x v="12"/>
    <x v="6"/>
    <x v="2"/>
    <n v="6920.5828027813504"/>
  </r>
  <r>
    <x v="0"/>
    <x v="0"/>
    <x v="0"/>
    <x v="0"/>
    <x v="12"/>
    <x v="6"/>
    <x v="3"/>
    <n v="6920.5828027813504"/>
  </r>
  <r>
    <x v="0"/>
    <x v="0"/>
    <x v="0"/>
    <x v="0"/>
    <x v="12"/>
    <x v="6"/>
    <x v="4"/>
    <n v="6920.5828027813504"/>
  </r>
  <r>
    <x v="0"/>
    <x v="0"/>
    <x v="0"/>
    <x v="0"/>
    <x v="12"/>
    <x v="6"/>
    <x v="5"/>
    <n v="6920.5828027813504"/>
  </r>
  <r>
    <x v="0"/>
    <x v="0"/>
    <x v="0"/>
    <x v="0"/>
    <x v="12"/>
    <x v="6"/>
    <x v="6"/>
    <n v="6920.5828027813504"/>
  </r>
  <r>
    <x v="0"/>
    <x v="0"/>
    <x v="0"/>
    <x v="0"/>
    <x v="12"/>
    <x v="6"/>
    <x v="7"/>
    <n v="6920.5828027813504"/>
  </r>
  <r>
    <x v="0"/>
    <x v="0"/>
    <x v="0"/>
    <x v="0"/>
    <x v="12"/>
    <x v="6"/>
    <x v="8"/>
    <n v="6920.5828027813504"/>
  </r>
  <r>
    <x v="0"/>
    <x v="0"/>
    <x v="0"/>
    <x v="0"/>
    <x v="12"/>
    <x v="6"/>
    <x v="9"/>
    <n v="6920.5828027813504"/>
  </r>
  <r>
    <x v="0"/>
    <x v="0"/>
    <x v="0"/>
    <x v="0"/>
    <x v="12"/>
    <x v="6"/>
    <x v="10"/>
    <n v="6920.5828027813504"/>
  </r>
  <r>
    <x v="0"/>
    <x v="0"/>
    <x v="0"/>
    <x v="0"/>
    <x v="12"/>
    <x v="6"/>
    <x v="11"/>
    <n v="6920.5828027813504"/>
  </r>
  <r>
    <x v="0"/>
    <x v="0"/>
    <x v="0"/>
    <x v="0"/>
    <x v="12"/>
    <x v="7"/>
    <x v="0"/>
    <n v="6920.5828027813504"/>
  </r>
  <r>
    <x v="0"/>
    <x v="0"/>
    <x v="0"/>
    <x v="0"/>
    <x v="12"/>
    <x v="7"/>
    <x v="1"/>
    <n v="6920.5828027813504"/>
  </r>
  <r>
    <x v="0"/>
    <x v="0"/>
    <x v="0"/>
    <x v="0"/>
    <x v="12"/>
    <x v="7"/>
    <x v="2"/>
    <n v="6920.5828027813504"/>
  </r>
  <r>
    <x v="0"/>
    <x v="0"/>
    <x v="0"/>
    <x v="0"/>
    <x v="12"/>
    <x v="7"/>
    <x v="3"/>
    <n v="6920.5828027813504"/>
  </r>
  <r>
    <x v="0"/>
    <x v="0"/>
    <x v="0"/>
    <x v="0"/>
    <x v="12"/>
    <x v="7"/>
    <x v="4"/>
    <n v="6920.5828027813504"/>
  </r>
  <r>
    <x v="0"/>
    <x v="0"/>
    <x v="0"/>
    <x v="0"/>
    <x v="12"/>
    <x v="7"/>
    <x v="5"/>
    <n v="6920.5828027813504"/>
  </r>
  <r>
    <x v="0"/>
    <x v="0"/>
    <x v="0"/>
    <x v="0"/>
    <x v="12"/>
    <x v="7"/>
    <x v="6"/>
    <n v="6920.5828027813504"/>
  </r>
  <r>
    <x v="0"/>
    <x v="0"/>
    <x v="0"/>
    <x v="0"/>
    <x v="12"/>
    <x v="7"/>
    <x v="7"/>
    <n v="6920.5828027813504"/>
  </r>
  <r>
    <x v="0"/>
    <x v="0"/>
    <x v="0"/>
    <x v="0"/>
    <x v="12"/>
    <x v="7"/>
    <x v="8"/>
    <n v="6920.5828027813504"/>
  </r>
  <r>
    <x v="0"/>
    <x v="0"/>
    <x v="0"/>
    <x v="0"/>
    <x v="12"/>
    <x v="7"/>
    <x v="9"/>
    <n v="6920.5828027813504"/>
  </r>
  <r>
    <x v="0"/>
    <x v="0"/>
    <x v="0"/>
    <x v="0"/>
    <x v="12"/>
    <x v="7"/>
    <x v="10"/>
    <n v="6920.5828027813504"/>
  </r>
  <r>
    <x v="0"/>
    <x v="0"/>
    <x v="0"/>
    <x v="0"/>
    <x v="12"/>
    <x v="7"/>
    <x v="11"/>
    <n v="6920.5828027813504"/>
  </r>
  <r>
    <x v="0"/>
    <x v="0"/>
    <x v="0"/>
    <x v="0"/>
    <x v="12"/>
    <x v="8"/>
    <x v="0"/>
    <n v="4023.2723209813498"/>
  </r>
  <r>
    <x v="0"/>
    <x v="0"/>
    <x v="0"/>
    <x v="0"/>
    <x v="12"/>
    <x v="8"/>
    <x v="1"/>
    <n v="4023.2723209813498"/>
  </r>
  <r>
    <x v="0"/>
    <x v="0"/>
    <x v="0"/>
    <x v="0"/>
    <x v="12"/>
    <x v="8"/>
    <x v="2"/>
    <n v="4023.2723209813498"/>
  </r>
  <r>
    <x v="0"/>
    <x v="0"/>
    <x v="0"/>
    <x v="0"/>
    <x v="12"/>
    <x v="8"/>
    <x v="3"/>
    <n v="4023.2723209813498"/>
  </r>
  <r>
    <x v="0"/>
    <x v="0"/>
    <x v="0"/>
    <x v="0"/>
    <x v="12"/>
    <x v="8"/>
    <x v="4"/>
    <n v="4023.2723209813498"/>
  </r>
  <r>
    <x v="0"/>
    <x v="0"/>
    <x v="0"/>
    <x v="0"/>
    <x v="12"/>
    <x v="8"/>
    <x v="5"/>
    <n v="4023.2723209813498"/>
  </r>
  <r>
    <x v="0"/>
    <x v="0"/>
    <x v="0"/>
    <x v="0"/>
    <x v="12"/>
    <x v="8"/>
    <x v="6"/>
    <n v="4023.2723209813498"/>
  </r>
  <r>
    <x v="0"/>
    <x v="0"/>
    <x v="0"/>
    <x v="0"/>
    <x v="12"/>
    <x v="8"/>
    <x v="7"/>
    <n v="4023.2723209813498"/>
  </r>
  <r>
    <x v="0"/>
    <x v="0"/>
    <x v="0"/>
    <x v="0"/>
    <x v="12"/>
    <x v="8"/>
    <x v="8"/>
    <n v="4023.2723209813498"/>
  </r>
  <r>
    <x v="0"/>
    <x v="0"/>
    <x v="0"/>
    <x v="0"/>
    <x v="12"/>
    <x v="8"/>
    <x v="9"/>
    <n v="4023.2723209813498"/>
  </r>
  <r>
    <x v="0"/>
    <x v="0"/>
    <x v="0"/>
    <x v="0"/>
    <x v="12"/>
    <x v="8"/>
    <x v="10"/>
    <n v="4023.2723209813498"/>
  </r>
  <r>
    <x v="0"/>
    <x v="0"/>
    <x v="0"/>
    <x v="0"/>
    <x v="12"/>
    <x v="8"/>
    <x v="11"/>
    <n v="4023.2723209813498"/>
  </r>
  <r>
    <x v="0"/>
    <x v="0"/>
    <x v="0"/>
    <x v="0"/>
    <x v="12"/>
    <x v="9"/>
    <x v="0"/>
    <n v="4023.2723209813498"/>
  </r>
  <r>
    <x v="0"/>
    <x v="0"/>
    <x v="0"/>
    <x v="0"/>
    <x v="12"/>
    <x v="9"/>
    <x v="1"/>
    <n v="4023.2723209813498"/>
  </r>
  <r>
    <x v="0"/>
    <x v="0"/>
    <x v="0"/>
    <x v="0"/>
    <x v="12"/>
    <x v="9"/>
    <x v="2"/>
    <n v="4023.2723209813498"/>
  </r>
  <r>
    <x v="0"/>
    <x v="0"/>
    <x v="0"/>
    <x v="0"/>
    <x v="12"/>
    <x v="9"/>
    <x v="3"/>
    <n v="4023.2723209813498"/>
  </r>
  <r>
    <x v="0"/>
    <x v="0"/>
    <x v="0"/>
    <x v="0"/>
    <x v="12"/>
    <x v="9"/>
    <x v="4"/>
    <n v="4023.2723209813498"/>
  </r>
  <r>
    <x v="0"/>
    <x v="0"/>
    <x v="0"/>
    <x v="0"/>
    <x v="12"/>
    <x v="9"/>
    <x v="5"/>
    <n v="4023.2723209813498"/>
  </r>
  <r>
    <x v="0"/>
    <x v="0"/>
    <x v="0"/>
    <x v="0"/>
    <x v="12"/>
    <x v="9"/>
    <x v="6"/>
    <n v="4023.2723209813498"/>
  </r>
  <r>
    <x v="0"/>
    <x v="0"/>
    <x v="0"/>
    <x v="0"/>
    <x v="12"/>
    <x v="9"/>
    <x v="7"/>
    <n v="4023.2723209813498"/>
  </r>
  <r>
    <x v="0"/>
    <x v="0"/>
    <x v="0"/>
    <x v="0"/>
    <x v="12"/>
    <x v="9"/>
    <x v="8"/>
    <n v="4023.2723209813498"/>
  </r>
  <r>
    <x v="0"/>
    <x v="0"/>
    <x v="0"/>
    <x v="0"/>
    <x v="12"/>
    <x v="9"/>
    <x v="9"/>
    <n v="4023.2723209813498"/>
  </r>
  <r>
    <x v="0"/>
    <x v="0"/>
    <x v="0"/>
    <x v="0"/>
    <x v="12"/>
    <x v="9"/>
    <x v="10"/>
    <n v="4023.2723209813498"/>
  </r>
  <r>
    <x v="0"/>
    <x v="0"/>
    <x v="0"/>
    <x v="0"/>
    <x v="12"/>
    <x v="9"/>
    <x v="11"/>
    <n v="4023.2723209813498"/>
  </r>
  <r>
    <x v="0"/>
    <x v="0"/>
    <x v="0"/>
    <x v="0"/>
    <x v="12"/>
    <x v="10"/>
    <x v="0"/>
    <n v="4023.2723209813498"/>
  </r>
  <r>
    <x v="0"/>
    <x v="0"/>
    <x v="0"/>
    <x v="0"/>
    <x v="12"/>
    <x v="10"/>
    <x v="1"/>
    <n v="4023.2723209813498"/>
  </r>
  <r>
    <x v="0"/>
    <x v="0"/>
    <x v="0"/>
    <x v="0"/>
    <x v="12"/>
    <x v="10"/>
    <x v="2"/>
    <n v="4023.2723209813498"/>
  </r>
  <r>
    <x v="0"/>
    <x v="0"/>
    <x v="0"/>
    <x v="0"/>
    <x v="12"/>
    <x v="10"/>
    <x v="3"/>
    <n v="4023.2723209813498"/>
  </r>
  <r>
    <x v="0"/>
    <x v="0"/>
    <x v="0"/>
    <x v="0"/>
    <x v="12"/>
    <x v="10"/>
    <x v="4"/>
    <n v="4023.2723209813498"/>
  </r>
  <r>
    <x v="0"/>
    <x v="0"/>
    <x v="0"/>
    <x v="0"/>
    <x v="12"/>
    <x v="10"/>
    <x v="5"/>
    <n v="4023.2723209813498"/>
  </r>
  <r>
    <x v="0"/>
    <x v="0"/>
    <x v="0"/>
    <x v="0"/>
    <x v="12"/>
    <x v="10"/>
    <x v="6"/>
    <n v="4023.2723209813498"/>
  </r>
  <r>
    <x v="0"/>
    <x v="0"/>
    <x v="0"/>
    <x v="0"/>
    <x v="12"/>
    <x v="10"/>
    <x v="7"/>
    <n v="4023.2723209813498"/>
  </r>
  <r>
    <x v="0"/>
    <x v="0"/>
    <x v="0"/>
    <x v="0"/>
    <x v="12"/>
    <x v="10"/>
    <x v="8"/>
    <n v="4023.2723209813498"/>
  </r>
  <r>
    <x v="0"/>
    <x v="0"/>
    <x v="0"/>
    <x v="0"/>
    <x v="12"/>
    <x v="10"/>
    <x v="9"/>
    <n v="4023.2723209813498"/>
  </r>
  <r>
    <x v="0"/>
    <x v="0"/>
    <x v="0"/>
    <x v="0"/>
    <x v="12"/>
    <x v="10"/>
    <x v="10"/>
    <n v="4023.2723209813498"/>
  </r>
  <r>
    <x v="0"/>
    <x v="0"/>
    <x v="0"/>
    <x v="0"/>
    <x v="12"/>
    <x v="10"/>
    <x v="11"/>
    <n v="4023.2723209813498"/>
  </r>
  <r>
    <x v="0"/>
    <x v="0"/>
    <x v="0"/>
    <x v="0"/>
    <x v="12"/>
    <x v="11"/>
    <x v="0"/>
    <n v="4023.2723209813498"/>
  </r>
  <r>
    <x v="0"/>
    <x v="0"/>
    <x v="0"/>
    <x v="0"/>
    <x v="12"/>
    <x v="11"/>
    <x v="1"/>
    <n v="4023.2723209813498"/>
  </r>
  <r>
    <x v="0"/>
    <x v="0"/>
    <x v="0"/>
    <x v="0"/>
    <x v="12"/>
    <x v="11"/>
    <x v="2"/>
    <n v="4023.2723209813498"/>
  </r>
  <r>
    <x v="0"/>
    <x v="0"/>
    <x v="0"/>
    <x v="0"/>
    <x v="12"/>
    <x v="11"/>
    <x v="3"/>
    <n v="4023.2723209813498"/>
  </r>
  <r>
    <x v="0"/>
    <x v="0"/>
    <x v="0"/>
    <x v="0"/>
    <x v="12"/>
    <x v="11"/>
    <x v="4"/>
    <n v="4023.2723209813498"/>
  </r>
  <r>
    <x v="0"/>
    <x v="0"/>
    <x v="0"/>
    <x v="0"/>
    <x v="12"/>
    <x v="11"/>
    <x v="5"/>
    <n v="4023.2723209813498"/>
  </r>
  <r>
    <x v="0"/>
    <x v="0"/>
    <x v="0"/>
    <x v="0"/>
    <x v="12"/>
    <x v="11"/>
    <x v="6"/>
    <n v="4023.2723209813498"/>
  </r>
  <r>
    <x v="0"/>
    <x v="0"/>
    <x v="0"/>
    <x v="0"/>
    <x v="12"/>
    <x v="11"/>
    <x v="7"/>
    <n v="4023.2723209813498"/>
  </r>
  <r>
    <x v="0"/>
    <x v="0"/>
    <x v="0"/>
    <x v="0"/>
    <x v="12"/>
    <x v="11"/>
    <x v="8"/>
    <n v="4023.2723209813498"/>
  </r>
  <r>
    <x v="0"/>
    <x v="0"/>
    <x v="0"/>
    <x v="0"/>
    <x v="12"/>
    <x v="11"/>
    <x v="9"/>
    <n v="4023.2723209813498"/>
  </r>
  <r>
    <x v="0"/>
    <x v="0"/>
    <x v="0"/>
    <x v="0"/>
    <x v="12"/>
    <x v="11"/>
    <x v="10"/>
    <n v="4023.2723209813498"/>
  </r>
  <r>
    <x v="0"/>
    <x v="0"/>
    <x v="0"/>
    <x v="0"/>
    <x v="12"/>
    <x v="11"/>
    <x v="11"/>
    <n v="4023.2723209813498"/>
  </r>
  <r>
    <x v="0"/>
    <x v="0"/>
    <x v="0"/>
    <x v="0"/>
    <x v="13"/>
    <x v="0"/>
    <x v="0"/>
    <n v="60999.069446368201"/>
  </r>
  <r>
    <x v="0"/>
    <x v="0"/>
    <x v="0"/>
    <x v="0"/>
    <x v="13"/>
    <x v="0"/>
    <x v="1"/>
    <n v="59552.467241240003"/>
  </r>
  <r>
    <x v="0"/>
    <x v="0"/>
    <x v="0"/>
    <x v="0"/>
    <x v="13"/>
    <x v="0"/>
    <x v="2"/>
    <n v="59552.467241240003"/>
  </r>
  <r>
    <x v="0"/>
    <x v="0"/>
    <x v="0"/>
    <x v="0"/>
    <x v="13"/>
    <x v="0"/>
    <x v="3"/>
    <n v="59552.467241240003"/>
  </r>
  <r>
    <x v="0"/>
    <x v="0"/>
    <x v="0"/>
    <x v="0"/>
    <x v="13"/>
    <x v="0"/>
    <x v="4"/>
    <n v="59552.467241240003"/>
  </r>
  <r>
    <x v="0"/>
    <x v="0"/>
    <x v="0"/>
    <x v="0"/>
    <x v="13"/>
    <x v="0"/>
    <x v="5"/>
    <n v="59552.467241240003"/>
  </r>
  <r>
    <x v="0"/>
    <x v="0"/>
    <x v="0"/>
    <x v="0"/>
    <x v="13"/>
    <x v="0"/>
    <x v="6"/>
    <n v="59552.467241240003"/>
  </r>
  <r>
    <x v="0"/>
    <x v="0"/>
    <x v="0"/>
    <x v="0"/>
    <x v="13"/>
    <x v="0"/>
    <x v="7"/>
    <n v="59552.467241240003"/>
  </r>
  <r>
    <x v="0"/>
    <x v="0"/>
    <x v="0"/>
    <x v="0"/>
    <x v="13"/>
    <x v="0"/>
    <x v="8"/>
    <n v="59552.467241240003"/>
  </r>
  <r>
    <x v="0"/>
    <x v="0"/>
    <x v="0"/>
    <x v="0"/>
    <x v="13"/>
    <x v="0"/>
    <x v="9"/>
    <n v="59552.467241240003"/>
  </r>
  <r>
    <x v="0"/>
    <x v="0"/>
    <x v="0"/>
    <x v="0"/>
    <x v="13"/>
    <x v="0"/>
    <x v="10"/>
    <n v="59552.467241240003"/>
  </r>
  <r>
    <x v="0"/>
    <x v="0"/>
    <x v="0"/>
    <x v="0"/>
    <x v="13"/>
    <x v="0"/>
    <x v="11"/>
    <n v="59552.467241240003"/>
  </r>
  <r>
    <x v="0"/>
    <x v="0"/>
    <x v="0"/>
    <x v="0"/>
    <x v="13"/>
    <x v="1"/>
    <x v="0"/>
    <n v="59552.467241240003"/>
  </r>
  <r>
    <x v="0"/>
    <x v="0"/>
    <x v="0"/>
    <x v="0"/>
    <x v="13"/>
    <x v="1"/>
    <x v="1"/>
    <n v="59552.467241240003"/>
  </r>
  <r>
    <x v="0"/>
    <x v="0"/>
    <x v="0"/>
    <x v="0"/>
    <x v="13"/>
    <x v="1"/>
    <x v="2"/>
    <n v="59552.467241240003"/>
  </r>
  <r>
    <x v="0"/>
    <x v="0"/>
    <x v="0"/>
    <x v="0"/>
    <x v="13"/>
    <x v="1"/>
    <x v="3"/>
    <n v="59552.467241240003"/>
  </r>
  <r>
    <x v="0"/>
    <x v="0"/>
    <x v="0"/>
    <x v="0"/>
    <x v="13"/>
    <x v="1"/>
    <x v="4"/>
    <n v="60999.069446368201"/>
  </r>
  <r>
    <x v="0"/>
    <x v="0"/>
    <x v="0"/>
    <x v="0"/>
    <x v="13"/>
    <x v="1"/>
    <x v="5"/>
    <n v="60999.069446368201"/>
  </r>
  <r>
    <x v="0"/>
    <x v="0"/>
    <x v="0"/>
    <x v="0"/>
    <x v="13"/>
    <x v="1"/>
    <x v="6"/>
    <n v="60999.069446368201"/>
  </r>
  <r>
    <x v="0"/>
    <x v="0"/>
    <x v="0"/>
    <x v="0"/>
    <x v="13"/>
    <x v="1"/>
    <x v="7"/>
    <n v="60999.069446368201"/>
  </r>
  <r>
    <x v="0"/>
    <x v="0"/>
    <x v="0"/>
    <x v="0"/>
    <x v="13"/>
    <x v="1"/>
    <x v="8"/>
    <n v="60999.069446368201"/>
  </r>
  <r>
    <x v="0"/>
    <x v="0"/>
    <x v="0"/>
    <x v="0"/>
    <x v="13"/>
    <x v="1"/>
    <x v="9"/>
    <n v="60999.069446368201"/>
  </r>
  <r>
    <x v="0"/>
    <x v="0"/>
    <x v="0"/>
    <x v="0"/>
    <x v="13"/>
    <x v="1"/>
    <x v="10"/>
    <n v="60999.069446368201"/>
  </r>
  <r>
    <x v="0"/>
    <x v="0"/>
    <x v="0"/>
    <x v="0"/>
    <x v="13"/>
    <x v="1"/>
    <x v="11"/>
    <n v="60999.069446368201"/>
  </r>
  <r>
    <x v="0"/>
    <x v="0"/>
    <x v="0"/>
    <x v="0"/>
    <x v="13"/>
    <x v="2"/>
    <x v="0"/>
    <n v="60999.069446368201"/>
  </r>
  <r>
    <x v="0"/>
    <x v="0"/>
    <x v="0"/>
    <x v="0"/>
    <x v="13"/>
    <x v="2"/>
    <x v="1"/>
    <n v="60999.069446368201"/>
  </r>
  <r>
    <x v="0"/>
    <x v="0"/>
    <x v="0"/>
    <x v="0"/>
    <x v="13"/>
    <x v="2"/>
    <x v="2"/>
    <n v="59552.467241240003"/>
  </r>
  <r>
    <x v="0"/>
    <x v="0"/>
    <x v="0"/>
    <x v="0"/>
    <x v="13"/>
    <x v="2"/>
    <x v="3"/>
    <n v="60999.069446368201"/>
  </r>
  <r>
    <x v="0"/>
    <x v="0"/>
    <x v="0"/>
    <x v="0"/>
    <x v="13"/>
    <x v="2"/>
    <x v="4"/>
    <n v="60999.069446368201"/>
  </r>
  <r>
    <x v="0"/>
    <x v="0"/>
    <x v="0"/>
    <x v="0"/>
    <x v="13"/>
    <x v="2"/>
    <x v="5"/>
    <n v="60999.069446368201"/>
  </r>
  <r>
    <x v="0"/>
    <x v="0"/>
    <x v="0"/>
    <x v="0"/>
    <x v="13"/>
    <x v="2"/>
    <x v="6"/>
    <n v="60999.069446368201"/>
  </r>
  <r>
    <x v="0"/>
    <x v="0"/>
    <x v="0"/>
    <x v="0"/>
    <x v="13"/>
    <x v="2"/>
    <x v="7"/>
    <n v="60999.069446368201"/>
  </r>
  <r>
    <x v="0"/>
    <x v="0"/>
    <x v="0"/>
    <x v="0"/>
    <x v="13"/>
    <x v="2"/>
    <x v="8"/>
    <n v="60999.069446368201"/>
  </r>
  <r>
    <x v="0"/>
    <x v="0"/>
    <x v="0"/>
    <x v="0"/>
    <x v="13"/>
    <x v="2"/>
    <x v="9"/>
    <n v="60999.069446368201"/>
  </r>
  <r>
    <x v="0"/>
    <x v="0"/>
    <x v="0"/>
    <x v="0"/>
    <x v="13"/>
    <x v="2"/>
    <x v="10"/>
    <n v="60999.069446368201"/>
  </r>
  <r>
    <x v="0"/>
    <x v="0"/>
    <x v="0"/>
    <x v="0"/>
    <x v="13"/>
    <x v="2"/>
    <x v="11"/>
    <n v="60999.069446368201"/>
  </r>
  <r>
    <x v="0"/>
    <x v="0"/>
    <x v="0"/>
    <x v="0"/>
    <x v="13"/>
    <x v="3"/>
    <x v="0"/>
    <n v="60999.069446368201"/>
  </r>
  <r>
    <x v="0"/>
    <x v="0"/>
    <x v="0"/>
    <x v="0"/>
    <x v="13"/>
    <x v="3"/>
    <x v="1"/>
    <n v="59552.467241240003"/>
  </r>
  <r>
    <x v="0"/>
    <x v="0"/>
    <x v="0"/>
    <x v="0"/>
    <x v="13"/>
    <x v="3"/>
    <x v="2"/>
    <n v="59552.467241240003"/>
  </r>
  <r>
    <x v="0"/>
    <x v="0"/>
    <x v="0"/>
    <x v="0"/>
    <x v="13"/>
    <x v="3"/>
    <x v="3"/>
    <n v="59552.467241240003"/>
  </r>
  <r>
    <x v="0"/>
    <x v="0"/>
    <x v="0"/>
    <x v="0"/>
    <x v="13"/>
    <x v="3"/>
    <x v="4"/>
    <n v="60999.069446368201"/>
  </r>
  <r>
    <x v="0"/>
    <x v="0"/>
    <x v="0"/>
    <x v="0"/>
    <x v="13"/>
    <x v="3"/>
    <x v="5"/>
    <n v="60999.069446368201"/>
  </r>
  <r>
    <x v="0"/>
    <x v="0"/>
    <x v="0"/>
    <x v="0"/>
    <x v="13"/>
    <x v="3"/>
    <x v="6"/>
    <n v="60999.069446368201"/>
  </r>
  <r>
    <x v="0"/>
    <x v="0"/>
    <x v="0"/>
    <x v="0"/>
    <x v="13"/>
    <x v="3"/>
    <x v="7"/>
    <n v="60999.069446368201"/>
  </r>
  <r>
    <x v="0"/>
    <x v="0"/>
    <x v="0"/>
    <x v="0"/>
    <x v="13"/>
    <x v="3"/>
    <x v="8"/>
    <n v="60999.069446368201"/>
  </r>
  <r>
    <x v="0"/>
    <x v="0"/>
    <x v="0"/>
    <x v="0"/>
    <x v="13"/>
    <x v="3"/>
    <x v="9"/>
    <n v="60999.069446368201"/>
  </r>
  <r>
    <x v="0"/>
    <x v="0"/>
    <x v="0"/>
    <x v="0"/>
    <x v="13"/>
    <x v="3"/>
    <x v="10"/>
    <n v="60999.069446368201"/>
  </r>
  <r>
    <x v="0"/>
    <x v="0"/>
    <x v="0"/>
    <x v="0"/>
    <x v="13"/>
    <x v="3"/>
    <x v="11"/>
    <n v="62521.8086096611"/>
  </r>
  <r>
    <x v="0"/>
    <x v="0"/>
    <x v="0"/>
    <x v="0"/>
    <x v="13"/>
    <x v="4"/>
    <x v="0"/>
    <n v="59552.467241240003"/>
  </r>
  <r>
    <x v="0"/>
    <x v="0"/>
    <x v="0"/>
    <x v="0"/>
    <x v="13"/>
    <x v="4"/>
    <x v="1"/>
    <n v="59552.467241240003"/>
  </r>
  <r>
    <x v="0"/>
    <x v="0"/>
    <x v="0"/>
    <x v="0"/>
    <x v="13"/>
    <x v="4"/>
    <x v="2"/>
    <n v="59552.467241240003"/>
  </r>
  <r>
    <x v="0"/>
    <x v="0"/>
    <x v="0"/>
    <x v="0"/>
    <x v="13"/>
    <x v="4"/>
    <x v="3"/>
    <n v="59552.467241240003"/>
  </r>
  <r>
    <x v="0"/>
    <x v="0"/>
    <x v="0"/>
    <x v="0"/>
    <x v="13"/>
    <x v="4"/>
    <x v="4"/>
    <n v="59552.467241240003"/>
  </r>
  <r>
    <x v="0"/>
    <x v="0"/>
    <x v="0"/>
    <x v="0"/>
    <x v="13"/>
    <x v="4"/>
    <x v="5"/>
    <n v="60999.069446368201"/>
  </r>
  <r>
    <x v="0"/>
    <x v="0"/>
    <x v="0"/>
    <x v="0"/>
    <x v="13"/>
    <x v="4"/>
    <x v="6"/>
    <n v="60999.069446368201"/>
  </r>
  <r>
    <x v="0"/>
    <x v="0"/>
    <x v="0"/>
    <x v="0"/>
    <x v="13"/>
    <x v="4"/>
    <x v="7"/>
    <n v="60999.069446368201"/>
  </r>
  <r>
    <x v="0"/>
    <x v="0"/>
    <x v="0"/>
    <x v="0"/>
    <x v="13"/>
    <x v="4"/>
    <x v="8"/>
    <n v="60999.069446368201"/>
  </r>
  <r>
    <x v="0"/>
    <x v="0"/>
    <x v="0"/>
    <x v="0"/>
    <x v="13"/>
    <x v="4"/>
    <x v="9"/>
    <n v="60999.069446368201"/>
  </r>
  <r>
    <x v="0"/>
    <x v="0"/>
    <x v="0"/>
    <x v="0"/>
    <x v="13"/>
    <x v="4"/>
    <x v="10"/>
    <n v="60999.069446368201"/>
  </r>
  <r>
    <x v="0"/>
    <x v="0"/>
    <x v="0"/>
    <x v="0"/>
    <x v="13"/>
    <x v="4"/>
    <x v="11"/>
    <n v="60999.069446368201"/>
  </r>
  <r>
    <x v="0"/>
    <x v="0"/>
    <x v="0"/>
    <x v="0"/>
    <x v="13"/>
    <x v="5"/>
    <x v="0"/>
    <n v="59552.467241240003"/>
  </r>
  <r>
    <x v="0"/>
    <x v="0"/>
    <x v="0"/>
    <x v="0"/>
    <x v="13"/>
    <x v="5"/>
    <x v="1"/>
    <n v="59552.467241240003"/>
  </r>
  <r>
    <x v="0"/>
    <x v="0"/>
    <x v="0"/>
    <x v="0"/>
    <x v="13"/>
    <x v="5"/>
    <x v="2"/>
    <n v="59552.467241240003"/>
  </r>
  <r>
    <x v="0"/>
    <x v="0"/>
    <x v="0"/>
    <x v="0"/>
    <x v="13"/>
    <x v="5"/>
    <x v="3"/>
    <n v="59552.467241240003"/>
  </r>
  <r>
    <x v="0"/>
    <x v="0"/>
    <x v="0"/>
    <x v="0"/>
    <x v="13"/>
    <x v="5"/>
    <x v="4"/>
    <n v="59552.467241240003"/>
  </r>
  <r>
    <x v="0"/>
    <x v="0"/>
    <x v="0"/>
    <x v="0"/>
    <x v="13"/>
    <x v="5"/>
    <x v="5"/>
    <n v="60999.069446368201"/>
  </r>
  <r>
    <x v="0"/>
    <x v="0"/>
    <x v="0"/>
    <x v="0"/>
    <x v="13"/>
    <x v="5"/>
    <x v="6"/>
    <n v="60999.069446368201"/>
  </r>
  <r>
    <x v="0"/>
    <x v="0"/>
    <x v="0"/>
    <x v="0"/>
    <x v="13"/>
    <x v="5"/>
    <x v="7"/>
    <n v="60999.069446368201"/>
  </r>
  <r>
    <x v="0"/>
    <x v="0"/>
    <x v="0"/>
    <x v="0"/>
    <x v="13"/>
    <x v="5"/>
    <x v="8"/>
    <n v="60999.069446368201"/>
  </r>
  <r>
    <x v="0"/>
    <x v="0"/>
    <x v="0"/>
    <x v="0"/>
    <x v="13"/>
    <x v="5"/>
    <x v="9"/>
    <n v="60999.069446368201"/>
  </r>
  <r>
    <x v="0"/>
    <x v="0"/>
    <x v="0"/>
    <x v="0"/>
    <x v="13"/>
    <x v="5"/>
    <x v="10"/>
    <n v="60999.069446368201"/>
  </r>
  <r>
    <x v="0"/>
    <x v="0"/>
    <x v="0"/>
    <x v="0"/>
    <x v="13"/>
    <x v="5"/>
    <x v="11"/>
    <n v="60999.069446368201"/>
  </r>
  <r>
    <x v="0"/>
    <x v="0"/>
    <x v="0"/>
    <x v="0"/>
    <x v="13"/>
    <x v="6"/>
    <x v="0"/>
    <n v="60999.069446368201"/>
  </r>
  <r>
    <x v="0"/>
    <x v="0"/>
    <x v="0"/>
    <x v="0"/>
    <x v="13"/>
    <x v="6"/>
    <x v="1"/>
    <n v="60999.069446368201"/>
  </r>
  <r>
    <x v="0"/>
    <x v="0"/>
    <x v="0"/>
    <x v="0"/>
    <x v="13"/>
    <x v="6"/>
    <x v="2"/>
    <n v="60999.069446368201"/>
  </r>
  <r>
    <x v="0"/>
    <x v="0"/>
    <x v="0"/>
    <x v="0"/>
    <x v="13"/>
    <x v="6"/>
    <x v="3"/>
    <n v="60999.069446368201"/>
  </r>
  <r>
    <x v="0"/>
    <x v="0"/>
    <x v="0"/>
    <x v="0"/>
    <x v="13"/>
    <x v="6"/>
    <x v="4"/>
    <n v="60999.069446368201"/>
  </r>
  <r>
    <x v="0"/>
    <x v="0"/>
    <x v="0"/>
    <x v="0"/>
    <x v="13"/>
    <x v="6"/>
    <x v="5"/>
    <n v="60999.069446368201"/>
  </r>
  <r>
    <x v="0"/>
    <x v="0"/>
    <x v="0"/>
    <x v="0"/>
    <x v="13"/>
    <x v="6"/>
    <x v="6"/>
    <n v="60999.069446368201"/>
  </r>
  <r>
    <x v="0"/>
    <x v="0"/>
    <x v="0"/>
    <x v="0"/>
    <x v="13"/>
    <x v="6"/>
    <x v="7"/>
    <n v="60999.069446368201"/>
  </r>
  <r>
    <x v="0"/>
    <x v="0"/>
    <x v="0"/>
    <x v="0"/>
    <x v="13"/>
    <x v="6"/>
    <x v="8"/>
    <n v="60999.069446368201"/>
  </r>
  <r>
    <x v="0"/>
    <x v="0"/>
    <x v="0"/>
    <x v="0"/>
    <x v="13"/>
    <x v="6"/>
    <x v="9"/>
    <n v="60999.069446368201"/>
  </r>
  <r>
    <x v="0"/>
    <x v="0"/>
    <x v="0"/>
    <x v="0"/>
    <x v="13"/>
    <x v="6"/>
    <x v="10"/>
    <n v="62521.8086096611"/>
  </r>
  <r>
    <x v="0"/>
    <x v="0"/>
    <x v="0"/>
    <x v="0"/>
    <x v="13"/>
    <x v="6"/>
    <x v="11"/>
    <n v="62521.8086096611"/>
  </r>
  <r>
    <x v="0"/>
    <x v="0"/>
    <x v="0"/>
    <x v="0"/>
    <x v="13"/>
    <x v="7"/>
    <x v="0"/>
    <n v="59552.467241240003"/>
  </r>
  <r>
    <x v="0"/>
    <x v="0"/>
    <x v="0"/>
    <x v="0"/>
    <x v="13"/>
    <x v="7"/>
    <x v="1"/>
    <n v="59552.467241240003"/>
  </r>
  <r>
    <x v="0"/>
    <x v="0"/>
    <x v="0"/>
    <x v="0"/>
    <x v="13"/>
    <x v="7"/>
    <x v="2"/>
    <n v="59552.467241240003"/>
  </r>
  <r>
    <x v="0"/>
    <x v="0"/>
    <x v="0"/>
    <x v="0"/>
    <x v="13"/>
    <x v="7"/>
    <x v="3"/>
    <n v="60999.069446368201"/>
  </r>
  <r>
    <x v="0"/>
    <x v="0"/>
    <x v="0"/>
    <x v="0"/>
    <x v="13"/>
    <x v="7"/>
    <x v="4"/>
    <n v="60999.069446368201"/>
  </r>
  <r>
    <x v="0"/>
    <x v="0"/>
    <x v="0"/>
    <x v="0"/>
    <x v="13"/>
    <x v="7"/>
    <x v="5"/>
    <n v="60999.069446368201"/>
  </r>
  <r>
    <x v="0"/>
    <x v="0"/>
    <x v="0"/>
    <x v="0"/>
    <x v="13"/>
    <x v="7"/>
    <x v="6"/>
    <n v="60999.069446368201"/>
  </r>
  <r>
    <x v="0"/>
    <x v="0"/>
    <x v="0"/>
    <x v="0"/>
    <x v="13"/>
    <x v="7"/>
    <x v="7"/>
    <n v="60999.069446368201"/>
  </r>
  <r>
    <x v="0"/>
    <x v="0"/>
    <x v="0"/>
    <x v="0"/>
    <x v="13"/>
    <x v="7"/>
    <x v="8"/>
    <n v="60999.069446368201"/>
  </r>
  <r>
    <x v="0"/>
    <x v="0"/>
    <x v="0"/>
    <x v="0"/>
    <x v="13"/>
    <x v="7"/>
    <x v="9"/>
    <n v="62521.8086096611"/>
  </r>
  <r>
    <x v="0"/>
    <x v="0"/>
    <x v="0"/>
    <x v="0"/>
    <x v="13"/>
    <x v="7"/>
    <x v="10"/>
    <n v="62521.8086096611"/>
  </r>
  <r>
    <x v="0"/>
    <x v="0"/>
    <x v="0"/>
    <x v="0"/>
    <x v="13"/>
    <x v="7"/>
    <x v="11"/>
    <n v="62521.8086096611"/>
  </r>
  <r>
    <x v="0"/>
    <x v="0"/>
    <x v="0"/>
    <x v="0"/>
    <x v="13"/>
    <x v="8"/>
    <x v="0"/>
    <n v="60999.069446368201"/>
  </r>
  <r>
    <x v="0"/>
    <x v="0"/>
    <x v="0"/>
    <x v="0"/>
    <x v="13"/>
    <x v="8"/>
    <x v="1"/>
    <n v="60999.069446368201"/>
  </r>
  <r>
    <x v="0"/>
    <x v="0"/>
    <x v="0"/>
    <x v="0"/>
    <x v="13"/>
    <x v="8"/>
    <x v="2"/>
    <n v="60999.069446368201"/>
  </r>
  <r>
    <x v="0"/>
    <x v="0"/>
    <x v="0"/>
    <x v="0"/>
    <x v="13"/>
    <x v="8"/>
    <x v="3"/>
    <n v="60999.069446368201"/>
  </r>
  <r>
    <x v="0"/>
    <x v="0"/>
    <x v="0"/>
    <x v="0"/>
    <x v="13"/>
    <x v="8"/>
    <x v="4"/>
    <n v="60999.069446368201"/>
  </r>
  <r>
    <x v="0"/>
    <x v="0"/>
    <x v="0"/>
    <x v="0"/>
    <x v="13"/>
    <x v="8"/>
    <x v="5"/>
    <n v="60999.069446368201"/>
  </r>
  <r>
    <x v="0"/>
    <x v="0"/>
    <x v="0"/>
    <x v="0"/>
    <x v="13"/>
    <x v="8"/>
    <x v="6"/>
    <n v="60999.069446368201"/>
  </r>
  <r>
    <x v="0"/>
    <x v="0"/>
    <x v="0"/>
    <x v="0"/>
    <x v="13"/>
    <x v="8"/>
    <x v="7"/>
    <n v="60999.069446368201"/>
  </r>
  <r>
    <x v="0"/>
    <x v="0"/>
    <x v="0"/>
    <x v="0"/>
    <x v="13"/>
    <x v="8"/>
    <x v="8"/>
    <n v="62521.8086096611"/>
  </r>
  <r>
    <x v="0"/>
    <x v="0"/>
    <x v="0"/>
    <x v="0"/>
    <x v="13"/>
    <x v="8"/>
    <x v="9"/>
    <n v="62521.8086096611"/>
  </r>
  <r>
    <x v="0"/>
    <x v="0"/>
    <x v="0"/>
    <x v="0"/>
    <x v="13"/>
    <x v="8"/>
    <x v="10"/>
    <n v="62521.8086096611"/>
  </r>
  <r>
    <x v="0"/>
    <x v="0"/>
    <x v="0"/>
    <x v="0"/>
    <x v="13"/>
    <x v="8"/>
    <x v="11"/>
    <n v="62521.8086096611"/>
  </r>
  <r>
    <x v="0"/>
    <x v="0"/>
    <x v="0"/>
    <x v="0"/>
    <x v="13"/>
    <x v="9"/>
    <x v="0"/>
    <n v="60999.069446368201"/>
  </r>
  <r>
    <x v="0"/>
    <x v="0"/>
    <x v="0"/>
    <x v="0"/>
    <x v="13"/>
    <x v="9"/>
    <x v="1"/>
    <n v="60999.069446368201"/>
  </r>
  <r>
    <x v="0"/>
    <x v="0"/>
    <x v="0"/>
    <x v="0"/>
    <x v="13"/>
    <x v="9"/>
    <x v="2"/>
    <n v="60999.069446368201"/>
  </r>
  <r>
    <x v="0"/>
    <x v="0"/>
    <x v="0"/>
    <x v="0"/>
    <x v="13"/>
    <x v="9"/>
    <x v="3"/>
    <n v="60999.069446368201"/>
  </r>
  <r>
    <x v="0"/>
    <x v="0"/>
    <x v="0"/>
    <x v="0"/>
    <x v="13"/>
    <x v="9"/>
    <x v="4"/>
    <n v="60999.069446368201"/>
  </r>
  <r>
    <x v="0"/>
    <x v="0"/>
    <x v="0"/>
    <x v="0"/>
    <x v="13"/>
    <x v="9"/>
    <x v="5"/>
    <n v="60999.069446368201"/>
  </r>
  <r>
    <x v="0"/>
    <x v="0"/>
    <x v="0"/>
    <x v="0"/>
    <x v="13"/>
    <x v="9"/>
    <x v="6"/>
    <n v="60999.069446368201"/>
  </r>
  <r>
    <x v="0"/>
    <x v="0"/>
    <x v="0"/>
    <x v="0"/>
    <x v="13"/>
    <x v="9"/>
    <x v="7"/>
    <n v="60999.069446368201"/>
  </r>
  <r>
    <x v="0"/>
    <x v="0"/>
    <x v="0"/>
    <x v="0"/>
    <x v="13"/>
    <x v="9"/>
    <x v="8"/>
    <n v="60999.069446368201"/>
  </r>
  <r>
    <x v="0"/>
    <x v="0"/>
    <x v="0"/>
    <x v="0"/>
    <x v="13"/>
    <x v="9"/>
    <x v="9"/>
    <n v="60999.069446368201"/>
  </r>
  <r>
    <x v="0"/>
    <x v="0"/>
    <x v="0"/>
    <x v="0"/>
    <x v="13"/>
    <x v="9"/>
    <x v="10"/>
    <n v="60999.069446368201"/>
  </r>
  <r>
    <x v="0"/>
    <x v="0"/>
    <x v="0"/>
    <x v="0"/>
    <x v="13"/>
    <x v="9"/>
    <x v="11"/>
    <n v="60999.069446368201"/>
  </r>
  <r>
    <x v="0"/>
    <x v="0"/>
    <x v="0"/>
    <x v="0"/>
    <x v="13"/>
    <x v="10"/>
    <x v="0"/>
    <n v="60999.069446368201"/>
  </r>
  <r>
    <x v="0"/>
    <x v="0"/>
    <x v="0"/>
    <x v="0"/>
    <x v="13"/>
    <x v="10"/>
    <x v="1"/>
    <n v="59552.467241240003"/>
  </r>
  <r>
    <x v="0"/>
    <x v="0"/>
    <x v="0"/>
    <x v="0"/>
    <x v="13"/>
    <x v="10"/>
    <x v="2"/>
    <n v="59552.467241240003"/>
  </r>
  <r>
    <x v="0"/>
    <x v="0"/>
    <x v="0"/>
    <x v="0"/>
    <x v="13"/>
    <x v="10"/>
    <x v="3"/>
    <n v="59552.467241240003"/>
  </r>
  <r>
    <x v="0"/>
    <x v="0"/>
    <x v="0"/>
    <x v="0"/>
    <x v="13"/>
    <x v="10"/>
    <x v="4"/>
    <n v="60999.069446368201"/>
  </r>
  <r>
    <x v="0"/>
    <x v="0"/>
    <x v="0"/>
    <x v="0"/>
    <x v="13"/>
    <x v="10"/>
    <x v="5"/>
    <n v="60999.069446368201"/>
  </r>
  <r>
    <x v="0"/>
    <x v="0"/>
    <x v="0"/>
    <x v="0"/>
    <x v="13"/>
    <x v="10"/>
    <x v="6"/>
    <n v="60999.069446368201"/>
  </r>
  <r>
    <x v="0"/>
    <x v="0"/>
    <x v="0"/>
    <x v="0"/>
    <x v="13"/>
    <x v="10"/>
    <x v="7"/>
    <n v="60999.069446368201"/>
  </r>
  <r>
    <x v="0"/>
    <x v="0"/>
    <x v="0"/>
    <x v="0"/>
    <x v="13"/>
    <x v="10"/>
    <x v="8"/>
    <n v="60999.069446368201"/>
  </r>
  <r>
    <x v="0"/>
    <x v="0"/>
    <x v="0"/>
    <x v="0"/>
    <x v="13"/>
    <x v="10"/>
    <x v="9"/>
    <n v="60999.069446368201"/>
  </r>
  <r>
    <x v="0"/>
    <x v="0"/>
    <x v="0"/>
    <x v="0"/>
    <x v="13"/>
    <x v="10"/>
    <x v="10"/>
    <n v="60999.069446368201"/>
  </r>
  <r>
    <x v="0"/>
    <x v="0"/>
    <x v="0"/>
    <x v="0"/>
    <x v="13"/>
    <x v="10"/>
    <x v="11"/>
    <n v="60999.069446368201"/>
  </r>
  <r>
    <x v="0"/>
    <x v="0"/>
    <x v="0"/>
    <x v="0"/>
    <x v="13"/>
    <x v="11"/>
    <x v="0"/>
    <n v="60999.069446368201"/>
  </r>
  <r>
    <x v="0"/>
    <x v="0"/>
    <x v="0"/>
    <x v="0"/>
    <x v="13"/>
    <x v="11"/>
    <x v="1"/>
    <n v="59552.467241240003"/>
  </r>
  <r>
    <x v="0"/>
    <x v="0"/>
    <x v="0"/>
    <x v="0"/>
    <x v="13"/>
    <x v="11"/>
    <x v="2"/>
    <n v="59552.467241240003"/>
  </r>
  <r>
    <x v="0"/>
    <x v="0"/>
    <x v="0"/>
    <x v="0"/>
    <x v="13"/>
    <x v="11"/>
    <x v="3"/>
    <n v="59552.467241240003"/>
  </r>
  <r>
    <x v="0"/>
    <x v="0"/>
    <x v="0"/>
    <x v="0"/>
    <x v="13"/>
    <x v="11"/>
    <x v="4"/>
    <n v="60999.069446368201"/>
  </r>
  <r>
    <x v="0"/>
    <x v="0"/>
    <x v="0"/>
    <x v="0"/>
    <x v="13"/>
    <x v="11"/>
    <x v="5"/>
    <n v="60999.069446368201"/>
  </r>
  <r>
    <x v="0"/>
    <x v="0"/>
    <x v="0"/>
    <x v="0"/>
    <x v="13"/>
    <x v="11"/>
    <x v="6"/>
    <n v="60999.069446368201"/>
  </r>
  <r>
    <x v="0"/>
    <x v="0"/>
    <x v="0"/>
    <x v="0"/>
    <x v="13"/>
    <x v="11"/>
    <x v="7"/>
    <n v="60999.069446368201"/>
  </r>
  <r>
    <x v="0"/>
    <x v="0"/>
    <x v="0"/>
    <x v="0"/>
    <x v="13"/>
    <x v="11"/>
    <x v="8"/>
    <n v="60999.069446368201"/>
  </r>
  <r>
    <x v="0"/>
    <x v="0"/>
    <x v="0"/>
    <x v="0"/>
    <x v="13"/>
    <x v="11"/>
    <x v="9"/>
    <n v="60999.069446368201"/>
  </r>
  <r>
    <x v="0"/>
    <x v="0"/>
    <x v="0"/>
    <x v="0"/>
    <x v="13"/>
    <x v="11"/>
    <x v="10"/>
    <n v="60999.069446368201"/>
  </r>
  <r>
    <x v="0"/>
    <x v="0"/>
    <x v="0"/>
    <x v="0"/>
    <x v="13"/>
    <x v="11"/>
    <x v="11"/>
    <n v="60999.069446368201"/>
  </r>
  <r>
    <x v="0"/>
    <x v="0"/>
    <x v="0"/>
    <x v="0"/>
    <x v="14"/>
    <x v="0"/>
    <x v="0"/>
    <n v="11439.226000000001"/>
  </r>
  <r>
    <x v="0"/>
    <x v="0"/>
    <x v="0"/>
    <x v="0"/>
    <x v="14"/>
    <x v="0"/>
    <x v="1"/>
    <n v="11439.226000000001"/>
  </r>
  <r>
    <x v="0"/>
    <x v="0"/>
    <x v="0"/>
    <x v="0"/>
    <x v="14"/>
    <x v="0"/>
    <x v="2"/>
    <n v="11439.226000000001"/>
  </r>
  <r>
    <x v="0"/>
    <x v="0"/>
    <x v="0"/>
    <x v="0"/>
    <x v="14"/>
    <x v="0"/>
    <x v="3"/>
    <n v="11439.226000000001"/>
  </r>
  <r>
    <x v="0"/>
    <x v="0"/>
    <x v="0"/>
    <x v="0"/>
    <x v="14"/>
    <x v="0"/>
    <x v="4"/>
    <n v="11439.226000000001"/>
  </r>
  <r>
    <x v="0"/>
    <x v="0"/>
    <x v="0"/>
    <x v="0"/>
    <x v="14"/>
    <x v="0"/>
    <x v="5"/>
    <n v="11439.226000000001"/>
  </r>
  <r>
    <x v="0"/>
    <x v="0"/>
    <x v="0"/>
    <x v="0"/>
    <x v="14"/>
    <x v="0"/>
    <x v="6"/>
    <n v="11439.226000000001"/>
  </r>
  <r>
    <x v="0"/>
    <x v="0"/>
    <x v="0"/>
    <x v="0"/>
    <x v="14"/>
    <x v="0"/>
    <x v="7"/>
    <n v="11439.226000000001"/>
  </r>
  <r>
    <x v="0"/>
    <x v="0"/>
    <x v="0"/>
    <x v="0"/>
    <x v="14"/>
    <x v="0"/>
    <x v="8"/>
    <n v="11439.226000000001"/>
  </r>
  <r>
    <x v="0"/>
    <x v="0"/>
    <x v="0"/>
    <x v="0"/>
    <x v="14"/>
    <x v="0"/>
    <x v="9"/>
    <n v="11439.226000000001"/>
  </r>
  <r>
    <x v="0"/>
    <x v="0"/>
    <x v="0"/>
    <x v="0"/>
    <x v="14"/>
    <x v="0"/>
    <x v="10"/>
    <n v="11439.226000000001"/>
  </r>
  <r>
    <x v="0"/>
    <x v="0"/>
    <x v="0"/>
    <x v="0"/>
    <x v="14"/>
    <x v="0"/>
    <x v="11"/>
    <n v="11439.226000000001"/>
  </r>
  <r>
    <x v="0"/>
    <x v="0"/>
    <x v="0"/>
    <x v="0"/>
    <x v="14"/>
    <x v="1"/>
    <x v="0"/>
    <n v="11439.226000000001"/>
  </r>
  <r>
    <x v="0"/>
    <x v="0"/>
    <x v="0"/>
    <x v="0"/>
    <x v="14"/>
    <x v="1"/>
    <x v="1"/>
    <n v="11439.226000000001"/>
  </r>
  <r>
    <x v="0"/>
    <x v="0"/>
    <x v="0"/>
    <x v="0"/>
    <x v="14"/>
    <x v="1"/>
    <x v="2"/>
    <n v="11439.226000000001"/>
  </r>
  <r>
    <x v="0"/>
    <x v="0"/>
    <x v="0"/>
    <x v="0"/>
    <x v="14"/>
    <x v="1"/>
    <x v="3"/>
    <n v="11439.226000000001"/>
  </r>
  <r>
    <x v="0"/>
    <x v="0"/>
    <x v="0"/>
    <x v="0"/>
    <x v="14"/>
    <x v="1"/>
    <x v="4"/>
    <n v="11439.226000000001"/>
  </r>
  <r>
    <x v="0"/>
    <x v="0"/>
    <x v="0"/>
    <x v="0"/>
    <x v="14"/>
    <x v="1"/>
    <x v="5"/>
    <n v="11439.226000000001"/>
  </r>
  <r>
    <x v="0"/>
    <x v="0"/>
    <x v="0"/>
    <x v="0"/>
    <x v="14"/>
    <x v="1"/>
    <x v="6"/>
    <n v="11439.226000000001"/>
  </r>
  <r>
    <x v="0"/>
    <x v="0"/>
    <x v="0"/>
    <x v="0"/>
    <x v="14"/>
    <x v="1"/>
    <x v="7"/>
    <n v="11439.226000000001"/>
  </r>
  <r>
    <x v="0"/>
    <x v="0"/>
    <x v="0"/>
    <x v="0"/>
    <x v="14"/>
    <x v="1"/>
    <x v="8"/>
    <n v="11439.226000000001"/>
  </r>
  <r>
    <x v="0"/>
    <x v="0"/>
    <x v="0"/>
    <x v="0"/>
    <x v="14"/>
    <x v="1"/>
    <x v="9"/>
    <n v="11439.226000000001"/>
  </r>
  <r>
    <x v="0"/>
    <x v="0"/>
    <x v="0"/>
    <x v="0"/>
    <x v="14"/>
    <x v="1"/>
    <x v="10"/>
    <n v="11439.226000000001"/>
  </r>
  <r>
    <x v="0"/>
    <x v="0"/>
    <x v="0"/>
    <x v="0"/>
    <x v="14"/>
    <x v="1"/>
    <x v="11"/>
    <n v="11439.226000000001"/>
  </r>
  <r>
    <x v="0"/>
    <x v="0"/>
    <x v="0"/>
    <x v="0"/>
    <x v="14"/>
    <x v="2"/>
    <x v="0"/>
    <n v="11439.226000000001"/>
  </r>
  <r>
    <x v="0"/>
    <x v="0"/>
    <x v="0"/>
    <x v="0"/>
    <x v="14"/>
    <x v="2"/>
    <x v="1"/>
    <n v="11439.226000000001"/>
  </r>
  <r>
    <x v="0"/>
    <x v="0"/>
    <x v="0"/>
    <x v="0"/>
    <x v="14"/>
    <x v="2"/>
    <x v="2"/>
    <n v="11439.226000000001"/>
  </r>
  <r>
    <x v="0"/>
    <x v="0"/>
    <x v="0"/>
    <x v="0"/>
    <x v="14"/>
    <x v="2"/>
    <x v="3"/>
    <n v="11439.226000000001"/>
  </r>
  <r>
    <x v="0"/>
    <x v="0"/>
    <x v="0"/>
    <x v="0"/>
    <x v="14"/>
    <x v="2"/>
    <x v="4"/>
    <n v="11439.226000000001"/>
  </r>
  <r>
    <x v="0"/>
    <x v="0"/>
    <x v="0"/>
    <x v="0"/>
    <x v="14"/>
    <x v="2"/>
    <x v="5"/>
    <n v="11439.226000000001"/>
  </r>
  <r>
    <x v="0"/>
    <x v="0"/>
    <x v="0"/>
    <x v="0"/>
    <x v="14"/>
    <x v="2"/>
    <x v="6"/>
    <n v="11439.226000000001"/>
  </r>
  <r>
    <x v="0"/>
    <x v="0"/>
    <x v="0"/>
    <x v="0"/>
    <x v="14"/>
    <x v="2"/>
    <x v="7"/>
    <n v="11439.226000000001"/>
  </r>
  <r>
    <x v="0"/>
    <x v="0"/>
    <x v="0"/>
    <x v="0"/>
    <x v="14"/>
    <x v="2"/>
    <x v="8"/>
    <n v="11439.226000000001"/>
  </r>
  <r>
    <x v="0"/>
    <x v="0"/>
    <x v="0"/>
    <x v="0"/>
    <x v="14"/>
    <x v="2"/>
    <x v="9"/>
    <n v="11439.226000000001"/>
  </r>
  <r>
    <x v="0"/>
    <x v="0"/>
    <x v="0"/>
    <x v="0"/>
    <x v="14"/>
    <x v="2"/>
    <x v="10"/>
    <n v="11439.226000000001"/>
  </r>
  <r>
    <x v="0"/>
    <x v="0"/>
    <x v="0"/>
    <x v="0"/>
    <x v="14"/>
    <x v="2"/>
    <x v="11"/>
    <n v="11439.226000000001"/>
  </r>
  <r>
    <x v="0"/>
    <x v="0"/>
    <x v="0"/>
    <x v="0"/>
    <x v="14"/>
    <x v="3"/>
    <x v="0"/>
    <n v="11439.226000000001"/>
  </r>
  <r>
    <x v="0"/>
    <x v="0"/>
    <x v="0"/>
    <x v="0"/>
    <x v="14"/>
    <x v="3"/>
    <x v="1"/>
    <n v="11439.226000000001"/>
  </r>
  <r>
    <x v="0"/>
    <x v="0"/>
    <x v="0"/>
    <x v="0"/>
    <x v="14"/>
    <x v="3"/>
    <x v="2"/>
    <n v="11439.226000000001"/>
  </r>
  <r>
    <x v="0"/>
    <x v="0"/>
    <x v="0"/>
    <x v="0"/>
    <x v="14"/>
    <x v="3"/>
    <x v="3"/>
    <n v="11439.226000000001"/>
  </r>
  <r>
    <x v="0"/>
    <x v="0"/>
    <x v="0"/>
    <x v="0"/>
    <x v="14"/>
    <x v="3"/>
    <x v="4"/>
    <n v="11439.226000000001"/>
  </r>
  <r>
    <x v="0"/>
    <x v="0"/>
    <x v="0"/>
    <x v="0"/>
    <x v="14"/>
    <x v="3"/>
    <x v="5"/>
    <n v="11439.226000000001"/>
  </r>
  <r>
    <x v="0"/>
    <x v="0"/>
    <x v="0"/>
    <x v="0"/>
    <x v="14"/>
    <x v="3"/>
    <x v="6"/>
    <n v="11439.226000000001"/>
  </r>
  <r>
    <x v="0"/>
    <x v="0"/>
    <x v="0"/>
    <x v="0"/>
    <x v="14"/>
    <x v="3"/>
    <x v="7"/>
    <n v="11439.226000000001"/>
  </r>
  <r>
    <x v="0"/>
    <x v="0"/>
    <x v="0"/>
    <x v="0"/>
    <x v="14"/>
    <x v="3"/>
    <x v="8"/>
    <n v="11439.226000000001"/>
  </r>
  <r>
    <x v="0"/>
    <x v="0"/>
    <x v="0"/>
    <x v="0"/>
    <x v="14"/>
    <x v="3"/>
    <x v="9"/>
    <n v="11439.226000000001"/>
  </r>
  <r>
    <x v="0"/>
    <x v="0"/>
    <x v="0"/>
    <x v="0"/>
    <x v="14"/>
    <x v="3"/>
    <x v="10"/>
    <n v="11439.226000000001"/>
  </r>
  <r>
    <x v="0"/>
    <x v="0"/>
    <x v="0"/>
    <x v="0"/>
    <x v="14"/>
    <x v="3"/>
    <x v="11"/>
    <n v="11439.226000000001"/>
  </r>
  <r>
    <x v="0"/>
    <x v="0"/>
    <x v="0"/>
    <x v="0"/>
    <x v="14"/>
    <x v="4"/>
    <x v="0"/>
    <n v="10498.115861064"/>
  </r>
  <r>
    <x v="0"/>
    <x v="0"/>
    <x v="0"/>
    <x v="0"/>
    <x v="14"/>
    <x v="4"/>
    <x v="1"/>
    <n v="10498.115861064"/>
  </r>
  <r>
    <x v="0"/>
    <x v="0"/>
    <x v="0"/>
    <x v="0"/>
    <x v="14"/>
    <x v="4"/>
    <x v="2"/>
    <n v="10498.115861064"/>
  </r>
  <r>
    <x v="0"/>
    <x v="0"/>
    <x v="0"/>
    <x v="0"/>
    <x v="14"/>
    <x v="4"/>
    <x v="3"/>
    <n v="10498.115861064"/>
  </r>
  <r>
    <x v="0"/>
    <x v="0"/>
    <x v="0"/>
    <x v="0"/>
    <x v="14"/>
    <x v="4"/>
    <x v="4"/>
    <n v="10498.115861064"/>
  </r>
  <r>
    <x v="0"/>
    <x v="0"/>
    <x v="0"/>
    <x v="0"/>
    <x v="14"/>
    <x v="4"/>
    <x v="5"/>
    <n v="10498.115861064"/>
  </r>
  <r>
    <x v="0"/>
    <x v="0"/>
    <x v="0"/>
    <x v="0"/>
    <x v="14"/>
    <x v="4"/>
    <x v="6"/>
    <n v="10498.115861064"/>
  </r>
  <r>
    <x v="0"/>
    <x v="0"/>
    <x v="0"/>
    <x v="0"/>
    <x v="14"/>
    <x v="4"/>
    <x v="7"/>
    <n v="10498.115861064"/>
  </r>
  <r>
    <x v="0"/>
    <x v="0"/>
    <x v="0"/>
    <x v="0"/>
    <x v="14"/>
    <x v="4"/>
    <x v="8"/>
    <n v="10498.115861064"/>
  </r>
  <r>
    <x v="0"/>
    <x v="0"/>
    <x v="0"/>
    <x v="0"/>
    <x v="14"/>
    <x v="4"/>
    <x v="9"/>
    <n v="10498.115861064"/>
  </r>
  <r>
    <x v="0"/>
    <x v="0"/>
    <x v="0"/>
    <x v="0"/>
    <x v="14"/>
    <x v="4"/>
    <x v="10"/>
    <n v="10498.115861064"/>
  </r>
  <r>
    <x v="0"/>
    <x v="0"/>
    <x v="0"/>
    <x v="0"/>
    <x v="14"/>
    <x v="4"/>
    <x v="11"/>
    <n v="10498.115861064"/>
  </r>
  <r>
    <x v="0"/>
    <x v="0"/>
    <x v="0"/>
    <x v="0"/>
    <x v="14"/>
    <x v="5"/>
    <x v="0"/>
    <n v="10498.115861064"/>
  </r>
  <r>
    <x v="0"/>
    <x v="0"/>
    <x v="0"/>
    <x v="0"/>
    <x v="14"/>
    <x v="5"/>
    <x v="1"/>
    <n v="10498.115861064"/>
  </r>
  <r>
    <x v="0"/>
    <x v="0"/>
    <x v="0"/>
    <x v="0"/>
    <x v="14"/>
    <x v="5"/>
    <x v="2"/>
    <n v="10498.115861064"/>
  </r>
  <r>
    <x v="0"/>
    <x v="0"/>
    <x v="0"/>
    <x v="0"/>
    <x v="14"/>
    <x v="5"/>
    <x v="3"/>
    <n v="10498.115861064"/>
  </r>
  <r>
    <x v="0"/>
    <x v="0"/>
    <x v="0"/>
    <x v="0"/>
    <x v="14"/>
    <x v="5"/>
    <x v="4"/>
    <n v="10498.115861064"/>
  </r>
  <r>
    <x v="0"/>
    <x v="0"/>
    <x v="0"/>
    <x v="0"/>
    <x v="14"/>
    <x v="5"/>
    <x v="5"/>
    <n v="10498.115861064"/>
  </r>
  <r>
    <x v="0"/>
    <x v="0"/>
    <x v="0"/>
    <x v="0"/>
    <x v="14"/>
    <x v="5"/>
    <x v="6"/>
    <n v="10498.115861064"/>
  </r>
  <r>
    <x v="0"/>
    <x v="0"/>
    <x v="0"/>
    <x v="0"/>
    <x v="14"/>
    <x v="5"/>
    <x v="7"/>
    <n v="10498.115861064"/>
  </r>
  <r>
    <x v="0"/>
    <x v="0"/>
    <x v="0"/>
    <x v="0"/>
    <x v="14"/>
    <x v="5"/>
    <x v="8"/>
    <n v="10498.115861064"/>
  </r>
  <r>
    <x v="0"/>
    <x v="0"/>
    <x v="0"/>
    <x v="0"/>
    <x v="14"/>
    <x v="5"/>
    <x v="9"/>
    <n v="10498.115861064"/>
  </r>
  <r>
    <x v="0"/>
    <x v="0"/>
    <x v="0"/>
    <x v="0"/>
    <x v="14"/>
    <x v="5"/>
    <x v="10"/>
    <n v="10498.115861064"/>
  </r>
  <r>
    <x v="0"/>
    <x v="0"/>
    <x v="0"/>
    <x v="0"/>
    <x v="14"/>
    <x v="5"/>
    <x v="11"/>
    <n v="10498.115861064"/>
  </r>
  <r>
    <x v="0"/>
    <x v="0"/>
    <x v="0"/>
    <x v="0"/>
    <x v="14"/>
    <x v="6"/>
    <x v="0"/>
    <n v="10498.115861064"/>
  </r>
  <r>
    <x v="0"/>
    <x v="0"/>
    <x v="0"/>
    <x v="0"/>
    <x v="14"/>
    <x v="6"/>
    <x v="1"/>
    <n v="10498.115861064"/>
  </r>
  <r>
    <x v="0"/>
    <x v="0"/>
    <x v="0"/>
    <x v="0"/>
    <x v="14"/>
    <x v="6"/>
    <x v="2"/>
    <n v="10498.115861064"/>
  </r>
  <r>
    <x v="0"/>
    <x v="0"/>
    <x v="0"/>
    <x v="0"/>
    <x v="14"/>
    <x v="6"/>
    <x v="3"/>
    <n v="10498.115861064"/>
  </r>
  <r>
    <x v="0"/>
    <x v="0"/>
    <x v="0"/>
    <x v="0"/>
    <x v="14"/>
    <x v="6"/>
    <x v="4"/>
    <n v="10498.115861064"/>
  </r>
  <r>
    <x v="0"/>
    <x v="0"/>
    <x v="0"/>
    <x v="0"/>
    <x v="14"/>
    <x v="6"/>
    <x v="5"/>
    <n v="10498.115861064"/>
  </r>
  <r>
    <x v="0"/>
    <x v="0"/>
    <x v="0"/>
    <x v="0"/>
    <x v="14"/>
    <x v="6"/>
    <x v="6"/>
    <n v="10498.115861064"/>
  </r>
  <r>
    <x v="0"/>
    <x v="0"/>
    <x v="0"/>
    <x v="0"/>
    <x v="14"/>
    <x v="6"/>
    <x v="7"/>
    <n v="10498.115861064"/>
  </r>
  <r>
    <x v="0"/>
    <x v="0"/>
    <x v="0"/>
    <x v="0"/>
    <x v="14"/>
    <x v="6"/>
    <x v="8"/>
    <n v="10498.115861064"/>
  </r>
  <r>
    <x v="0"/>
    <x v="0"/>
    <x v="0"/>
    <x v="0"/>
    <x v="14"/>
    <x v="6"/>
    <x v="9"/>
    <n v="10498.115861064"/>
  </r>
  <r>
    <x v="0"/>
    <x v="0"/>
    <x v="0"/>
    <x v="0"/>
    <x v="14"/>
    <x v="6"/>
    <x v="10"/>
    <n v="10498.115861064"/>
  </r>
  <r>
    <x v="0"/>
    <x v="0"/>
    <x v="0"/>
    <x v="0"/>
    <x v="14"/>
    <x v="6"/>
    <x v="11"/>
    <n v="10498.115861064"/>
  </r>
  <r>
    <x v="0"/>
    <x v="0"/>
    <x v="0"/>
    <x v="0"/>
    <x v="14"/>
    <x v="7"/>
    <x v="0"/>
    <n v="10498.115861064"/>
  </r>
  <r>
    <x v="0"/>
    <x v="0"/>
    <x v="0"/>
    <x v="0"/>
    <x v="14"/>
    <x v="7"/>
    <x v="1"/>
    <n v="10498.115861064"/>
  </r>
  <r>
    <x v="0"/>
    <x v="0"/>
    <x v="0"/>
    <x v="0"/>
    <x v="14"/>
    <x v="7"/>
    <x v="2"/>
    <n v="10498.115861064"/>
  </r>
  <r>
    <x v="0"/>
    <x v="0"/>
    <x v="0"/>
    <x v="0"/>
    <x v="14"/>
    <x v="7"/>
    <x v="3"/>
    <n v="10498.115861064"/>
  </r>
  <r>
    <x v="0"/>
    <x v="0"/>
    <x v="0"/>
    <x v="0"/>
    <x v="14"/>
    <x v="7"/>
    <x v="4"/>
    <n v="10498.115861064"/>
  </r>
  <r>
    <x v="0"/>
    <x v="0"/>
    <x v="0"/>
    <x v="0"/>
    <x v="14"/>
    <x v="7"/>
    <x v="5"/>
    <n v="10498.115861064"/>
  </r>
  <r>
    <x v="0"/>
    <x v="0"/>
    <x v="0"/>
    <x v="0"/>
    <x v="14"/>
    <x v="7"/>
    <x v="6"/>
    <n v="10498.115861064"/>
  </r>
  <r>
    <x v="0"/>
    <x v="0"/>
    <x v="0"/>
    <x v="0"/>
    <x v="14"/>
    <x v="7"/>
    <x v="7"/>
    <n v="10498.115861064"/>
  </r>
  <r>
    <x v="0"/>
    <x v="0"/>
    <x v="0"/>
    <x v="0"/>
    <x v="14"/>
    <x v="7"/>
    <x v="8"/>
    <n v="10498.115861064"/>
  </r>
  <r>
    <x v="0"/>
    <x v="0"/>
    <x v="0"/>
    <x v="0"/>
    <x v="14"/>
    <x v="7"/>
    <x v="9"/>
    <n v="10498.115861064"/>
  </r>
  <r>
    <x v="0"/>
    <x v="0"/>
    <x v="0"/>
    <x v="0"/>
    <x v="14"/>
    <x v="7"/>
    <x v="10"/>
    <n v="10498.115861064"/>
  </r>
  <r>
    <x v="0"/>
    <x v="0"/>
    <x v="0"/>
    <x v="0"/>
    <x v="14"/>
    <x v="7"/>
    <x v="11"/>
    <n v="10498.115861064"/>
  </r>
  <r>
    <x v="0"/>
    <x v="0"/>
    <x v="0"/>
    <x v="0"/>
    <x v="14"/>
    <x v="8"/>
    <x v="0"/>
    <n v="7722.4924194996001"/>
  </r>
  <r>
    <x v="0"/>
    <x v="0"/>
    <x v="0"/>
    <x v="0"/>
    <x v="14"/>
    <x v="8"/>
    <x v="1"/>
    <n v="7722.4924194996001"/>
  </r>
  <r>
    <x v="0"/>
    <x v="0"/>
    <x v="0"/>
    <x v="0"/>
    <x v="14"/>
    <x v="8"/>
    <x v="2"/>
    <n v="7722.4924194996001"/>
  </r>
  <r>
    <x v="0"/>
    <x v="0"/>
    <x v="0"/>
    <x v="0"/>
    <x v="14"/>
    <x v="8"/>
    <x v="3"/>
    <n v="7722.4924194996001"/>
  </r>
  <r>
    <x v="0"/>
    <x v="0"/>
    <x v="0"/>
    <x v="0"/>
    <x v="14"/>
    <x v="8"/>
    <x v="4"/>
    <n v="7722.4924194996001"/>
  </r>
  <r>
    <x v="0"/>
    <x v="0"/>
    <x v="0"/>
    <x v="0"/>
    <x v="14"/>
    <x v="8"/>
    <x v="5"/>
    <n v="7722.4924194996001"/>
  </r>
  <r>
    <x v="0"/>
    <x v="0"/>
    <x v="0"/>
    <x v="0"/>
    <x v="14"/>
    <x v="8"/>
    <x v="6"/>
    <n v="7722.4924194996001"/>
  </r>
  <r>
    <x v="0"/>
    <x v="0"/>
    <x v="0"/>
    <x v="0"/>
    <x v="14"/>
    <x v="8"/>
    <x v="7"/>
    <n v="7722.4924194996001"/>
  </r>
  <r>
    <x v="0"/>
    <x v="0"/>
    <x v="0"/>
    <x v="0"/>
    <x v="14"/>
    <x v="8"/>
    <x v="8"/>
    <n v="7722.4924194996001"/>
  </r>
  <r>
    <x v="0"/>
    <x v="0"/>
    <x v="0"/>
    <x v="0"/>
    <x v="14"/>
    <x v="8"/>
    <x v="9"/>
    <n v="7722.4924194996001"/>
  </r>
  <r>
    <x v="0"/>
    <x v="0"/>
    <x v="0"/>
    <x v="0"/>
    <x v="14"/>
    <x v="8"/>
    <x v="10"/>
    <n v="7722.4924194996001"/>
  </r>
  <r>
    <x v="0"/>
    <x v="0"/>
    <x v="0"/>
    <x v="0"/>
    <x v="14"/>
    <x v="8"/>
    <x v="11"/>
    <n v="7722.4924194996001"/>
  </r>
  <r>
    <x v="0"/>
    <x v="0"/>
    <x v="0"/>
    <x v="0"/>
    <x v="14"/>
    <x v="9"/>
    <x v="0"/>
    <n v="7722.4924194996001"/>
  </r>
  <r>
    <x v="0"/>
    <x v="0"/>
    <x v="0"/>
    <x v="0"/>
    <x v="14"/>
    <x v="9"/>
    <x v="1"/>
    <n v="7722.4924194996001"/>
  </r>
  <r>
    <x v="0"/>
    <x v="0"/>
    <x v="0"/>
    <x v="0"/>
    <x v="14"/>
    <x v="9"/>
    <x v="2"/>
    <n v="7722.4924194996001"/>
  </r>
  <r>
    <x v="0"/>
    <x v="0"/>
    <x v="0"/>
    <x v="0"/>
    <x v="14"/>
    <x v="9"/>
    <x v="3"/>
    <n v="7722.4924194996001"/>
  </r>
  <r>
    <x v="0"/>
    <x v="0"/>
    <x v="0"/>
    <x v="0"/>
    <x v="14"/>
    <x v="9"/>
    <x v="4"/>
    <n v="7722.4924194996001"/>
  </r>
  <r>
    <x v="0"/>
    <x v="0"/>
    <x v="0"/>
    <x v="0"/>
    <x v="14"/>
    <x v="9"/>
    <x v="5"/>
    <n v="7722.4924194996001"/>
  </r>
  <r>
    <x v="0"/>
    <x v="0"/>
    <x v="0"/>
    <x v="0"/>
    <x v="14"/>
    <x v="9"/>
    <x v="6"/>
    <n v="7722.4924194996001"/>
  </r>
  <r>
    <x v="0"/>
    <x v="0"/>
    <x v="0"/>
    <x v="0"/>
    <x v="14"/>
    <x v="9"/>
    <x v="7"/>
    <n v="7722.4924194996001"/>
  </r>
  <r>
    <x v="0"/>
    <x v="0"/>
    <x v="0"/>
    <x v="0"/>
    <x v="14"/>
    <x v="9"/>
    <x v="8"/>
    <n v="7722.4924194996001"/>
  </r>
  <r>
    <x v="0"/>
    <x v="0"/>
    <x v="0"/>
    <x v="0"/>
    <x v="14"/>
    <x v="9"/>
    <x v="9"/>
    <n v="7722.4924194996001"/>
  </r>
  <r>
    <x v="0"/>
    <x v="0"/>
    <x v="0"/>
    <x v="0"/>
    <x v="14"/>
    <x v="9"/>
    <x v="10"/>
    <n v="7722.4924194996001"/>
  </r>
  <r>
    <x v="0"/>
    <x v="0"/>
    <x v="0"/>
    <x v="0"/>
    <x v="14"/>
    <x v="9"/>
    <x v="11"/>
    <n v="7722.4924194996001"/>
  </r>
  <r>
    <x v="0"/>
    <x v="0"/>
    <x v="0"/>
    <x v="0"/>
    <x v="14"/>
    <x v="10"/>
    <x v="0"/>
    <n v="7722.4924194996001"/>
  </r>
  <r>
    <x v="0"/>
    <x v="0"/>
    <x v="0"/>
    <x v="0"/>
    <x v="14"/>
    <x v="10"/>
    <x v="1"/>
    <n v="7722.4924194996001"/>
  </r>
  <r>
    <x v="0"/>
    <x v="0"/>
    <x v="0"/>
    <x v="0"/>
    <x v="14"/>
    <x v="10"/>
    <x v="2"/>
    <n v="7722.4924194996001"/>
  </r>
  <r>
    <x v="0"/>
    <x v="0"/>
    <x v="0"/>
    <x v="0"/>
    <x v="14"/>
    <x v="10"/>
    <x v="3"/>
    <n v="7722.4924194996001"/>
  </r>
  <r>
    <x v="0"/>
    <x v="0"/>
    <x v="0"/>
    <x v="0"/>
    <x v="14"/>
    <x v="10"/>
    <x v="4"/>
    <n v="7722.4924194996001"/>
  </r>
  <r>
    <x v="0"/>
    <x v="0"/>
    <x v="0"/>
    <x v="0"/>
    <x v="14"/>
    <x v="10"/>
    <x v="5"/>
    <n v="7722.4924194996001"/>
  </r>
  <r>
    <x v="0"/>
    <x v="0"/>
    <x v="0"/>
    <x v="0"/>
    <x v="14"/>
    <x v="10"/>
    <x v="6"/>
    <n v="7722.4924194996001"/>
  </r>
  <r>
    <x v="0"/>
    <x v="0"/>
    <x v="0"/>
    <x v="0"/>
    <x v="14"/>
    <x v="10"/>
    <x v="7"/>
    <n v="7722.4924194996001"/>
  </r>
  <r>
    <x v="0"/>
    <x v="0"/>
    <x v="0"/>
    <x v="0"/>
    <x v="14"/>
    <x v="10"/>
    <x v="8"/>
    <n v="7722.4924194996001"/>
  </r>
  <r>
    <x v="0"/>
    <x v="0"/>
    <x v="0"/>
    <x v="0"/>
    <x v="14"/>
    <x v="10"/>
    <x v="9"/>
    <n v="7722.4924194996001"/>
  </r>
  <r>
    <x v="0"/>
    <x v="0"/>
    <x v="0"/>
    <x v="0"/>
    <x v="14"/>
    <x v="10"/>
    <x v="10"/>
    <n v="7722.4924194996001"/>
  </r>
  <r>
    <x v="0"/>
    <x v="0"/>
    <x v="0"/>
    <x v="0"/>
    <x v="14"/>
    <x v="10"/>
    <x v="11"/>
    <n v="7722.4924194996001"/>
  </r>
  <r>
    <x v="0"/>
    <x v="0"/>
    <x v="0"/>
    <x v="0"/>
    <x v="14"/>
    <x v="11"/>
    <x v="0"/>
    <n v="7722.4924194996001"/>
  </r>
  <r>
    <x v="0"/>
    <x v="0"/>
    <x v="0"/>
    <x v="0"/>
    <x v="14"/>
    <x v="11"/>
    <x v="1"/>
    <n v="7722.4924194996001"/>
  </r>
  <r>
    <x v="0"/>
    <x v="0"/>
    <x v="0"/>
    <x v="0"/>
    <x v="14"/>
    <x v="11"/>
    <x v="2"/>
    <n v="7722.4924194996001"/>
  </r>
  <r>
    <x v="0"/>
    <x v="0"/>
    <x v="0"/>
    <x v="0"/>
    <x v="14"/>
    <x v="11"/>
    <x v="3"/>
    <n v="7722.4924194996001"/>
  </r>
  <r>
    <x v="0"/>
    <x v="0"/>
    <x v="0"/>
    <x v="0"/>
    <x v="14"/>
    <x v="11"/>
    <x v="4"/>
    <n v="7722.4924194996001"/>
  </r>
  <r>
    <x v="0"/>
    <x v="0"/>
    <x v="0"/>
    <x v="0"/>
    <x v="14"/>
    <x v="11"/>
    <x v="5"/>
    <n v="7722.4924194996001"/>
  </r>
  <r>
    <x v="0"/>
    <x v="0"/>
    <x v="0"/>
    <x v="0"/>
    <x v="14"/>
    <x v="11"/>
    <x v="6"/>
    <n v="7722.4924194996001"/>
  </r>
  <r>
    <x v="0"/>
    <x v="0"/>
    <x v="0"/>
    <x v="0"/>
    <x v="14"/>
    <x v="11"/>
    <x v="7"/>
    <n v="7722.4924194996001"/>
  </r>
  <r>
    <x v="0"/>
    <x v="0"/>
    <x v="0"/>
    <x v="0"/>
    <x v="14"/>
    <x v="11"/>
    <x v="8"/>
    <n v="7722.4924194996001"/>
  </r>
  <r>
    <x v="0"/>
    <x v="0"/>
    <x v="0"/>
    <x v="0"/>
    <x v="14"/>
    <x v="11"/>
    <x v="9"/>
    <n v="7722.4924194996001"/>
  </r>
  <r>
    <x v="0"/>
    <x v="0"/>
    <x v="0"/>
    <x v="0"/>
    <x v="14"/>
    <x v="11"/>
    <x v="10"/>
    <n v="7722.4924194996001"/>
  </r>
  <r>
    <x v="0"/>
    <x v="0"/>
    <x v="0"/>
    <x v="0"/>
    <x v="14"/>
    <x v="11"/>
    <x v="11"/>
    <n v="7722.4924194996001"/>
  </r>
  <r>
    <x v="0"/>
    <x v="0"/>
    <x v="0"/>
    <x v="0"/>
    <x v="15"/>
    <x v="0"/>
    <x v="0"/>
    <n v="11439.226000000001"/>
  </r>
  <r>
    <x v="0"/>
    <x v="0"/>
    <x v="0"/>
    <x v="0"/>
    <x v="15"/>
    <x v="0"/>
    <x v="1"/>
    <n v="11439.226000000001"/>
  </r>
  <r>
    <x v="0"/>
    <x v="0"/>
    <x v="0"/>
    <x v="0"/>
    <x v="15"/>
    <x v="0"/>
    <x v="2"/>
    <n v="11439.226000000001"/>
  </r>
  <r>
    <x v="0"/>
    <x v="0"/>
    <x v="0"/>
    <x v="0"/>
    <x v="15"/>
    <x v="0"/>
    <x v="3"/>
    <n v="11439.226000000001"/>
  </r>
  <r>
    <x v="0"/>
    <x v="0"/>
    <x v="0"/>
    <x v="0"/>
    <x v="15"/>
    <x v="0"/>
    <x v="4"/>
    <n v="11439.226000000001"/>
  </r>
  <r>
    <x v="0"/>
    <x v="0"/>
    <x v="0"/>
    <x v="0"/>
    <x v="15"/>
    <x v="0"/>
    <x v="5"/>
    <n v="11439.226000000001"/>
  </r>
  <r>
    <x v="0"/>
    <x v="0"/>
    <x v="0"/>
    <x v="0"/>
    <x v="15"/>
    <x v="0"/>
    <x v="6"/>
    <n v="11439.226000000001"/>
  </r>
  <r>
    <x v="0"/>
    <x v="0"/>
    <x v="0"/>
    <x v="0"/>
    <x v="15"/>
    <x v="0"/>
    <x v="7"/>
    <n v="11439.226000000001"/>
  </r>
  <r>
    <x v="0"/>
    <x v="0"/>
    <x v="0"/>
    <x v="0"/>
    <x v="15"/>
    <x v="0"/>
    <x v="8"/>
    <n v="11439.226000000001"/>
  </r>
  <r>
    <x v="0"/>
    <x v="0"/>
    <x v="0"/>
    <x v="0"/>
    <x v="15"/>
    <x v="0"/>
    <x v="9"/>
    <n v="11439.226000000001"/>
  </r>
  <r>
    <x v="0"/>
    <x v="0"/>
    <x v="0"/>
    <x v="0"/>
    <x v="15"/>
    <x v="0"/>
    <x v="10"/>
    <n v="11439.226000000001"/>
  </r>
  <r>
    <x v="0"/>
    <x v="0"/>
    <x v="0"/>
    <x v="0"/>
    <x v="15"/>
    <x v="0"/>
    <x v="11"/>
    <n v="11439.226000000001"/>
  </r>
  <r>
    <x v="0"/>
    <x v="0"/>
    <x v="0"/>
    <x v="0"/>
    <x v="15"/>
    <x v="1"/>
    <x v="0"/>
    <n v="11439.226000000001"/>
  </r>
  <r>
    <x v="0"/>
    <x v="0"/>
    <x v="0"/>
    <x v="0"/>
    <x v="15"/>
    <x v="1"/>
    <x v="1"/>
    <n v="11439.226000000001"/>
  </r>
  <r>
    <x v="0"/>
    <x v="0"/>
    <x v="0"/>
    <x v="0"/>
    <x v="15"/>
    <x v="1"/>
    <x v="2"/>
    <n v="11439.226000000001"/>
  </r>
  <r>
    <x v="0"/>
    <x v="0"/>
    <x v="0"/>
    <x v="0"/>
    <x v="15"/>
    <x v="1"/>
    <x v="3"/>
    <n v="11439.226000000001"/>
  </r>
  <r>
    <x v="0"/>
    <x v="0"/>
    <x v="0"/>
    <x v="0"/>
    <x v="15"/>
    <x v="1"/>
    <x v="4"/>
    <n v="11439.226000000001"/>
  </r>
  <r>
    <x v="0"/>
    <x v="0"/>
    <x v="0"/>
    <x v="0"/>
    <x v="15"/>
    <x v="1"/>
    <x v="5"/>
    <n v="11439.226000000001"/>
  </r>
  <r>
    <x v="0"/>
    <x v="0"/>
    <x v="0"/>
    <x v="0"/>
    <x v="15"/>
    <x v="1"/>
    <x v="6"/>
    <n v="11439.226000000001"/>
  </r>
  <r>
    <x v="0"/>
    <x v="0"/>
    <x v="0"/>
    <x v="0"/>
    <x v="15"/>
    <x v="1"/>
    <x v="7"/>
    <n v="11439.226000000001"/>
  </r>
  <r>
    <x v="0"/>
    <x v="0"/>
    <x v="0"/>
    <x v="0"/>
    <x v="15"/>
    <x v="1"/>
    <x v="8"/>
    <n v="11439.226000000001"/>
  </r>
  <r>
    <x v="0"/>
    <x v="0"/>
    <x v="0"/>
    <x v="0"/>
    <x v="15"/>
    <x v="1"/>
    <x v="9"/>
    <n v="11439.226000000001"/>
  </r>
  <r>
    <x v="0"/>
    <x v="0"/>
    <x v="0"/>
    <x v="0"/>
    <x v="15"/>
    <x v="1"/>
    <x v="10"/>
    <n v="11439.226000000001"/>
  </r>
  <r>
    <x v="0"/>
    <x v="0"/>
    <x v="0"/>
    <x v="0"/>
    <x v="15"/>
    <x v="1"/>
    <x v="11"/>
    <n v="11439.226000000001"/>
  </r>
  <r>
    <x v="0"/>
    <x v="0"/>
    <x v="0"/>
    <x v="0"/>
    <x v="15"/>
    <x v="2"/>
    <x v="0"/>
    <n v="11439.226000000001"/>
  </r>
  <r>
    <x v="0"/>
    <x v="0"/>
    <x v="0"/>
    <x v="0"/>
    <x v="15"/>
    <x v="2"/>
    <x v="1"/>
    <n v="11439.226000000001"/>
  </r>
  <r>
    <x v="0"/>
    <x v="0"/>
    <x v="0"/>
    <x v="0"/>
    <x v="15"/>
    <x v="2"/>
    <x v="2"/>
    <n v="11439.226000000001"/>
  </r>
  <r>
    <x v="0"/>
    <x v="0"/>
    <x v="0"/>
    <x v="0"/>
    <x v="15"/>
    <x v="2"/>
    <x v="3"/>
    <n v="11439.226000000001"/>
  </r>
  <r>
    <x v="0"/>
    <x v="0"/>
    <x v="0"/>
    <x v="0"/>
    <x v="15"/>
    <x v="2"/>
    <x v="4"/>
    <n v="11439.226000000001"/>
  </r>
  <r>
    <x v="0"/>
    <x v="0"/>
    <x v="0"/>
    <x v="0"/>
    <x v="15"/>
    <x v="2"/>
    <x v="5"/>
    <n v="11439.226000000001"/>
  </r>
  <r>
    <x v="0"/>
    <x v="0"/>
    <x v="0"/>
    <x v="0"/>
    <x v="15"/>
    <x v="2"/>
    <x v="6"/>
    <n v="11439.226000000001"/>
  </r>
  <r>
    <x v="0"/>
    <x v="0"/>
    <x v="0"/>
    <x v="0"/>
    <x v="15"/>
    <x v="2"/>
    <x v="7"/>
    <n v="11439.226000000001"/>
  </r>
  <r>
    <x v="0"/>
    <x v="0"/>
    <x v="0"/>
    <x v="0"/>
    <x v="15"/>
    <x v="2"/>
    <x v="8"/>
    <n v="11439.226000000001"/>
  </r>
  <r>
    <x v="0"/>
    <x v="0"/>
    <x v="0"/>
    <x v="0"/>
    <x v="15"/>
    <x v="2"/>
    <x v="9"/>
    <n v="11439.226000000001"/>
  </r>
  <r>
    <x v="0"/>
    <x v="0"/>
    <x v="0"/>
    <x v="0"/>
    <x v="15"/>
    <x v="2"/>
    <x v="10"/>
    <n v="11439.226000000001"/>
  </r>
  <r>
    <x v="0"/>
    <x v="0"/>
    <x v="0"/>
    <x v="0"/>
    <x v="15"/>
    <x v="2"/>
    <x v="11"/>
    <n v="11439.226000000001"/>
  </r>
  <r>
    <x v="0"/>
    <x v="0"/>
    <x v="0"/>
    <x v="0"/>
    <x v="15"/>
    <x v="3"/>
    <x v="0"/>
    <n v="11439.226000000001"/>
  </r>
  <r>
    <x v="0"/>
    <x v="0"/>
    <x v="0"/>
    <x v="0"/>
    <x v="15"/>
    <x v="3"/>
    <x v="1"/>
    <n v="11439.226000000001"/>
  </r>
  <r>
    <x v="0"/>
    <x v="0"/>
    <x v="0"/>
    <x v="0"/>
    <x v="15"/>
    <x v="3"/>
    <x v="2"/>
    <n v="11439.226000000001"/>
  </r>
  <r>
    <x v="0"/>
    <x v="0"/>
    <x v="0"/>
    <x v="0"/>
    <x v="15"/>
    <x v="3"/>
    <x v="3"/>
    <n v="11439.226000000001"/>
  </r>
  <r>
    <x v="0"/>
    <x v="0"/>
    <x v="0"/>
    <x v="0"/>
    <x v="15"/>
    <x v="3"/>
    <x v="4"/>
    <n v="11439.226000000001"/>
  </r>
  <r>
    <x v="0"/>
    <x v="0"/>
    <x v="0"/>
    <x v="0"/>
    <x v="15"/>
    <x v="3"/>
    <x v="5"/>
    <n v="11439.226000000001"/>
  </r>
  <r>
    <x v="0"/>
    <x v="0"/>
    <x v="0"/>
    <x v="0"/>
    <x v="15"/>
    <x v="3"/>
    <x v="6"/>
    <n v="11439.226000000001"/>
  </r>
  <r>
    <x v="0"/>
    <x v="0"/>
    <x v="0"/>
    <x v="0"/>
    <x v="15"/>
    <x v="3"/>
    <x v="7"/>
    <n v="11439.226000000001"/>
  </r>
  <r>
    <x v="0"/>
    <x v="0"/>
    <x v="0"/>
    <x v="0"/>
    <x v="15"/>
    <x v="3"/>
    <x v="8"/>
    <n v="11439.226000000001"/>
  </r>
  <r>
    <x v="0"/>
    <x v="0"/>
    <x v="0"/>
    <x v="0"/>
    <x v="15"/>
    <x v="3"/>
    <x v="9"/>
    <n v="11439.226000000001"/>
  </r>
  <r>
    <x v="0"/>
    <x v="0"/>
    <x v="0"/>
    <x v="0"/>
    <x v="15"/>
    <x v="3"/>
    <x v="10"/>
    <n v="11439.226000000001"/>
  </r>
  <r>
    <x v="0"/>
    <x v="0"/>
    <x v="0"/>
    <x v="0"/>
    <x v="15"/>
    <x v="3"/>
    <x v="11"/>
    <n v="11439.226000000001"/>
  </r>
  <r>
    <x v="0"/>
    <x v="0"/>
    <x v="0"/>
    <x v="0"/>
    <x v="15"/>
    <x v="4"/>
    <x v="0"/>
    <n v="10958.577308"/>
  </r>
  <r>
    <x v="0"/>
    <x v="0"/>
    <x v="0"/>
    <x v="0"/>
    <x v="15"/>
    <x v="4"/>
    <x v="1"/>
    <n v="10958.577308"/>
  </r>
  <r>
    <x v="0"/>
    <x v="0"/>
    <x v="0"/>
    <x v="0"/>
    <x v="15"/>
    <x v="4"/>
    <x v="2"/>
    <n v="10958.577308"/>
  </r>
  <r>
    <x v="0"/>
    <x v="0"/>
    <x v="0"/>
    <x v="0"/>
    <x v="15"/>
    <x v="4"/>
    <x v="3"/>
    <n v="10958.577308"/>
  </r>
  <r>
    <x v="0"/>
    <x v="0"/>
    <x v="0"/>
    <x v="0"/>
    <x v="15"/>
    <x v="4"/>
    <x v="4"/>
    <n v="10958.577308"/>
  </r>
  <r>
    <x v="0"/>
    <x v="0"/>
    <x v="0"/>
    <x v="0"/>
    <x v="15"/>
    <x v="4"/>
    <x v="5"/>
    <n v="10958.577308"/>
  </r>
  <r>
    <x v="0"/>
    <x v="0"/>
    <x v="0"/>
    <x v="0"/>
    <x v="15"/>
    <x v="4"/>
    <x v="6"/>
    <n v="10958.577308"/>
  </r>
  <r>
    <x v="0"/>
    <x v="0"/>
    <x v="0"/>
    <x v="0"/>
    <x v="15"/>
    <x v="4"/>
    <x v="7"/>
    <n v="10958.577308"/>
  </r>
  <r>
    <x v="0"/>
    <x v="0"/>
    <x v="0"/>
    <x v="0"/>
    <x v="15"/>
    <x v="4"/>
    <x v="8"/>
    <n v="10958.577308"/>
  </r>
  <r>
    <x v="0"/>
    <x v="0"/>
    <x v="0"/>
    <x v="0"/>
    <x v="15"/>
    <x v="4"/>
    <x v="9"/>
    <n v="10958.577308"/>
  </r>
  <r>
    <x v="0"/>
    <x v="0"/>
    <x v="0"/>
    <x v="0"/>
    <x v="15"/>
    <x v="4"/>
    <x v="10"/>
    <n v="10958.577308"/>
  </r>
  <r>
    <x v="0"/>
    <x v="0"/>
    <x v="0"/>
    <x v="0"/>
    <x v="15"/>
    <x v="4"/>
    <x v="11"/>
    <n v="10958.577308"/>
  </r>
  <r>
    <x v="0"/>
    <x v="0"/>
    <x v="0"/>
    <x v="0"/>
    <x v="15"/>
    <x v="5"/>
    <x v="0"/>
    <n v="10958.577308"/>
  </r>
  <r>
    <x v="0"/>
    <x v="0"/>
    <x v="0"/>
    <x v="0"/>
    <x v="15"/>
    <x v="5"/>
    <x v="1"/>
    <n v="10958.577308"/>
  </r>
  <r>
    <x v="0"/>
    <x v="0"/>
    <x v="0"/>
    <x v="0"/>
    <x v="15"/>
    <x v="5"/>
    <x v="2"/>
    <n v="10958.577308"/>
  </r>
  <r>
    <x v="0"/>
    <x v="0"/>
    <x v="0"/>
    <x v="0"/>
    <x v="15"/>
    <x v="5"/>
    <x v="3"/>
    <n v="10958.577308"/>
  </r>
  <r>
    <x v="0"/>
    <x v="0"/>
    <x v="0"/>
    <x v="0"/>
    <x v="15"/>
    <x v="5"/>
    <x v="4"/>
    <n v="10958.577308"/>
  </r>
  <r>
    <x v="0"/>
    <x v="0"/>
    <x v="0"/>
    <x v="0"/>
    <x v="15"/>
    <x v="5"/>
    <x v="5"/>
    <n v="10958.577308"/>
  </r>
  <r>
    <x v="0"/>
    <x v="0"/>
    <x v="0"/>
    <x v="0"/>
    <x v="15"/>
    <x v="5"/>
    <x v="6"/>
    <n v="10958.577308"/>
  </r>
  <r>
    <x v="0"/>
    <x v="0"/>
    <x v="0"/>
    <x v="0"/>
    <x v="15"/>
    <x v="5"/>
    <x v="7"/>
    <n v="10958.577308"/>
  </r>
  <r>
    <x v="0"/>
    <x v="0"/>
    <x v="0"/>
    <x v="0"/>
    <x v="15"/>
    <x v="5"/>
    <x v="8"/>
    <n v="10958.577308"/>
  </r>
  <r>
    <x v="0"/>
    <x v="0"/>
    <x v="0"/>
    <x v="0"/>
    <x v="15"/>
    <x v="5"/>
    <x v="9"/>
    <n v="10958.577308"/>
  </r>
  <r>
    <x v="0"/>
    <x v="0"/>
    <x v="0"/>
    <x v="0"/>
    <x v="15"/>
    <x v="5"/>
    <x v="10"/>
    <n v="10958.577308"/>
  </r>
  <r>
    <x v="0"/>
    <x v="0"/>
    <x v="0"/>
    <x v="0"/>
    <x v="15"/>
    <x v="5"/>
    <x v="11"/>
    <n v="10958.577308"/>
  </r>
  <r>
    <x v="0"/>
    <x v="0"/>
    <x v="0"/>
    <x v="0"/>
    <x v="15"/>
    <x v="6"/>
    <x v="0"/>
    <n v="10958.577308"/>
  </r>
  <r>
    <x v="0"/>
    <x v="0"/>
    <x v="0"/>
    <x v="0"/>
    <x v="15"/>
    <x v="6"/>
    <x v="1"/>
    <n v="10958.577308"/>
  </r>
  <r>
    <x v="0"/>
    <x v="0"/>
    <x v="0"/>
    <x v="0"/>
    <x v="15"/>
    <x v="6"/>
    <x v="2"/>
    <n v="10958.577308"/>
  </r>
  <r>
    <x v="0"/>
    <x v="0"/>
    <x v="0"/>
    <x v="0"/>
    <x v="15"/>
    <x v="6"/>
    <x v="3"/>
    <n v="10958.577308"/>
  </r>
  <r>
    <x v="0"/>
    <x v="0"/>
    <x v="0"/>
    <x v="0"/>
    <x v="15"/>
    <x v="6"/>
    <x v="4"/>
    <n v="10958.577308"/>
  </r>
  <r>
    <x v="0"/>
    <x v="0"/>
    <x v="0"/>
    <x v="0"/>
    <x v="15"/>
    <x v="6"/>
    <x v="5"/>
    <n v="10958.577308"/>
  </r>
  <r>
    <x v="0"/>
    <x v="0"/>
    <x v="0"/>
    <x v="0"/>
    <x v="15"/>
    <x v="6"/>
    <x v="6"/>
    <n v="10958.577308"/>
  </r>
  <r>
    <x v="0"/>
    <x v="0"/>
    <x v="0"/>
    <x v="0"/>
    <x v="15"/>
    <x v="6"/>
    <x v="7"/>
    <n v="10958.577308"/>
  </r>
  <r>
    <x v="0"/>
    <x v="0"/>
    <x v="0"/>
    <x v="0"/>
    <x v="15"/>
    <x v="6"/>
    <x v="8"/>
    <n v="10958.577308"/>
  </r>
  <r>
    <x v="0"/>
    <x v="0"/>
    <x v="0"/>
    <x v="0"/>
    <x v="15"/>
    <x v="6"/>
    <x v="9"/>
    <n v="10958.577308"/>
  </r>
  <r>
    <x v="0"/>
    <x v="0"/>
    <x v="0"/>
    <x v="0"/>
    <x v="15"/>
    <x v="6"/>
    <x v="10"/>
    <n v="10958.577308"/>
  </r>
  <r>
    <x v="0"/>
    <x v="0"/>
    <x v="0"/>
    <x v="0"/>
    <x v="15"/>
    <x v="6"/>
    <x v="11"/>
    <n v="10958.577308"/>
  </r>
  <r>
    <x v="0"/>
    <x v="0"/>
    <x v="0"/>
    <x v="0"/>
    <x v="15"/>
    <x v="7"/>
    <x v="0"/>
    <n v="10958.577308"/>
  </r>
  <r>
    <x v="0"/>
    <x v="0"/>
    <x v="0"/>
    <x v="0"/>
    <x v="15"/>
    <x v="7"/>
    <x v="1"/>
    <n v="10958.577308"/>
  </r>
  <r>
    <x v="0"/>
    <x v="0"/>
    <x v="0"/>
    <x v="0"/>
    <x v="15"/>
    <x v="7"/>
    <x v="2"/>
    <n v="10958.577308"/>
  </r>
  <r>
    <x v="0"/>
    <x v="0"/>
    <x v="0"/>
    <x v="0"/>
    <x v="15"/>
    <x v="7"/>
    <x v="3"/>
    <n v="10958.577308"/>
  </r>
  <r>
    <x v="0"/>
    <x v="0"/>
    <x v="0"/>
    <x v="0"/>
    <x v="15"/>
    <x v="7"/>
    <x v="4"/>
    <n v="10958.577308"/>
  </r>
  <r>
    <x v="0"/>
    <x v="0"/>
    <x v="0"/>
    <x v="0"/>
    <x v="15"/>
    <x v="7"/>
    <x v="5"/>
    <n v="10958.577308"/>
  </r>
  <r>
    <x v="0"/>
    <x v="0"/>
    <x v="0"/>
    <x v="0"/>
    <x v="15"/>
    <x v="7"/>
    <x v="6"/>
    <n v="10958.577308"/>
  </r>
  <r>
    <x v="0"/>
    <x v="0"/>
    <x v="0"/>
    <x v="0"/>
    <x v="15"/>
    <x v="7"/>
    <x v="7"/>
    <n v="10958.577308"/>
  </r>
  <r>
    <x v="0"/>
    <x v="0"/>
    <x v="0"/>
    <x v="0"/>
    <x v="15"/>
    <x v="7"/>
    <x v="8"/>
    <n v="10958.577308"/>
  </r>
  <r>
    <x v="0"/>
    <x v="0"/>
    <x v="0"/>
    <x v="0"/>
    <x v="15"/>
    <x v="7"/>
    <x v="9"/>
    <n v="10958.577308"/>
  </r>
  <r>
    <x v="0"/>
    <x v="0"/>
    <x v="0"/>
    <x v="0"/>
    <x v="15"/>
    <x v="7"/>
    <x v="10"/>
    <n v="10958.577308"/>
  </r>
  <r>
    <x v="0"/>
    <x v="0"/>
    <x v="0"/>
    <x v="0"/>
    <x v="15"/>
    <x v="7"/>
    <x v="11"/>
    <n v="10958.577308"/>
  </r>
  <r>
    <x v="0"/>
    <x v="0"/>
    <x v="0"/>
    <x v="0"/>
    <x v="15"/>
    <x v="8"/>
    <x v="0"/>
    <n v="8061.2668261999997"/>
  </r>
  <r>
    <x v="0"/>
    <x v="0"/>
    <x v="0"/>
    <x v="0"/>
    <x v="15"/>
    <x v="8"/>
    <x v="1"/>
    <n v="8061.2668261999997"/>
  </r>
  <r>
    <x v="0"/>
    <x v="0"/>
    <x v="0"/>
    <x v="0"/>
    <x v="15"/>
    <x v="8"/>
    <x v="2"/>
    <n v="8061.2668261999997"/>
  </r>
  <r>
    <x v="0"/>
    <x v="0"/>
    <x v="0"/>
    <x v="0"/>
    <x v="15"/>
    <x v="8"/>
    <x v="3"/>
    <n v="8061.2668261999997"/>
  </r>
  <r>
    <x v="0"/>
    <x v="0"/>
    <x v="0"/>
    <x v="0"/>
    <x v="15"/>
    <x v="8"/>
    <x v="4"/>
    <n v="8061.2668261999997"/>
  </r>
  <r>
    <x v="0"/>
    <x v="0"/>
    <x v="0"/>
    <x v="0"/>
    <x v="15"/>
    <x v="8"/>
    <x v="5"/>
    <n v="8061.2668261999997"/>
  </r>
  <r>
    <x v="0"/>
    <x v="0"/>
    <x v="0"/>
    <x v="0"/>
    <x v="15"/>
    <x v="8"/>
    <x v="6"/>
    <n v="8061.2668261999997"/>
  </r>
  <r>
    <x v="0"/>
    <x v="0"/>
    <x v="0"/>
    <x v="0"/>
    <x v="15"/>
    <x v="8"/>
    <x v="7"/>
    <n v="8061.2668261999997"/>
  </r>
  <r>
    <x v="0"/>
    <x v="0"/>
    <x v="0"/>
    <x v="0"/>
    <x v="15"/>
    <x v="8"/>
    <x v="8"/>
    <n v="8061.2668261999997"/>
  </r>
  <r>
    <x v="0"/>
    <x v="0"/>
    <x v="0"/>
    <x v="0"/>
    <x v="15"/>
    <x v="8"/>
    <x v="9"/>
    <n v="8061.2668261999997"/>
  </r>
  <r>
    <x v="0"/>
    <x v="0"/>
    <x v="0"/>
    <x v="0"/>
    <x v="15"/>
    <x v="8"/>
    <x v="10"/>
    <n v="8061.2668261999997"/>
  </r>
  <r>
    <x v="0"/>
    <x v="0"/>
    <x v="0"/>
    <x v="0"/>
    <x v="15"/>
    <x v="8"/>
    <x v="11"/>
    <n v="8061.2668261999997"/>
  </r>
  <r>
    <x v="0"/>
    <x v="0"/>
    <x v="0"/>
    <x v="0"/>
    <x v="15"/>
    <x v="9"/>
    <x v="0"/>
    <n v="8061.2668261999997"/>
  </r>
  <r>
    <x v="0"/>
    <x v="0"/>
    <x v="0"/>
    <x v="0"/>
    <x v="15"/>
    <x v="9"/>
    <x v="1"/>
    <n v="8061.2668261999997"/>
  </r>
  <r>
    <x v="0"/>
    <x v="0"/>
    <x v="0"/>
    <x v="0"/>
    <x v="15"/>
    <x v="9"/>
    <x v="2"/>
    <n v="8061.2668261999997"/>
  </r>
  <r>
    <x v="0"/>
    <x v="0"/>
    <x v="0"/>
    <x v="0"/>
    <x v="15"/>
    <x v="9"/>
    <x v="3"/>
    <n v="8061.2668261999997"/>
  </r>
  <r>
    <x v="0"/>
    <x v="0"/>
    <x v="0"/>
    <x v="0"/>
    <x v="15"/>
    <x v="9"/>
    <x v="4"/>
    <n v="8061.2668261999997"/>
  </r>
  <r>
    <x v="0"/>
    <x v="0"/>
    <x v="0"/>
    <x v="0"/>
    <x v="15"/>
    <x v="9"/>
    <x v="5"/>
    <n v="8061.2668261999997"/>
  </r>
  <r>
    <x v="0"/>
    <x v="0"/>
    <x v="0"/>
    <x v="0"/>
    <x v="15"/>
    <x v="9"/>
    <x v="6"/>
    <n v="8061.2668261999997"/>
  </r>
  <r>
    <x v="0"/>
    <x v="0"/>
    <x v="0"/>
    <x v="0"/>
    <x v="15"/>
    <x v="9"/>
    <x v="7"/>
    <n v="8061.2668261999997"/>
  </r>
  <r>
    <x v="0"/>
    <x v="0"/>
    <x v="0"/>
    <x v="0"/>
    <x v="15"/>
    <x v="9"/>
    <x v="8"/>
    <n v="8061.2668261999997"/>
  </r>
  <r>
    <x v="0"/>
    <x v="0"/>
    <x v="0"/>
    <x v="0"/>
    <x v="15"/>
    <x v="9"/>
    <x v="9"/>
    <n v="8061.2668261999997"/>
  </r>
  <r>
    <x v="0"/>
    <x v="0"/>
    <x v="0"/>
    <x v="0"/>
    <x v="15"/>
    <x v="9"/>
    <x v="10"/>
    <n v="8061.2668261999997"/>
  </r>
  <r>
    <x v="0"/>
    <x v="0"/>
    <x v="0"/>
    <x v="0"/>
    <x v="15"/>
    <x v="9"/>
    <x v="11"/>
    <n v="8061.2668261999997"/>
  </r>
  <r>
    <x v="0"/>
    <x v="0"/>
    <x v="0"/>
    <x v="0"/>
    <x v="15"/>
    <x v="10"/>
    <x v="0"/>
    <n v="8061.2668261999997"/>
  </r>
  <r>
    <x v="0"/>
    <x v="0"/>
    <x v="0"/>
    <x v="0"/>
    <x v="15"/>
    <x v="10"/>
    <x v="1"/>
    <n v="8061.2668261999997"/>
  </r>
  <r>
    <x v="0"/>
    <x v="0"/>
    <x v="0"/>
    <x v="0"/>
    <x v="15"/>
    <x v="10"/>
    <x v="2"/>
    <n v="8061.2668261999997"/>
  </r>
  <r>
    <x v="0"/>
    <x v="0"/>
    <x v="0"/>
    <x v="0"/>
    <x v="15"/>
    <x v="10"/>
    <x v="3"/>
    <n v="8061.2668261999997"/>
  </r>
  <r>
    <x v="0"/>
    <x v="0"/>
    <x v="0"/>
    <x v="0"/>
    <x v="15"/>
    <x v="10"/>
    <x v="4"/>
    <n v="8061.2668261999997"/>
  </r>
  <r>
    <x v="0"/>
    <x v="0"/>
    <x v="0"/>
    <x v="0"/>
    <x v="15"/>
    <x v="10"/>
    <x v="5"/>
    <n v="8061.2668261999997"/>
  </r>
  <r>
    <x v="0"/>
    <x v="0"/>
    <x v="0"/>
    <x v="0"/>
    <x v="15"/>
    <x v="10"/>
    <x v="6"/>
    <n v="8061.2668261999997"/>
  </r>
  <r>
    <x v="0"/>
    <x v="0"/>
    <x v="0"/>
    <x v="0"/>
    <x v="15"/>
    <x v="10"/>
    <x v="7"/>
    <n v="8061.2668261999997"/>
  </r>
  <r>
    <x v="0"/>
    <x v="0"/>
    <x v="0"/>
    <x v="0"/>
    <x v="15"/>
    <x v="10"/>
    <x v="8"/>
    <n v="8061.2668261999997"/>
  </r>
  <r>
    <x v="0"/>
    <x v="0"/>
    <x v="0"/>
    <x v="0"/>
    <x v="15"/>
    <x v="10"/>
    <x v="9"/>
    <n v="8061.2668261999997"/>
  </r>
  <r>
    <x v="0"/>
    <x v="0"/>
    <x v="0"/>
    <x v="0"/>
    <x v="15"/>
    <x v="10"/>
    <x v="10"/>
    <n v="8061.2668261999997"/>
  </r>
  <r>
    <x v="0"/>
    <x v="0"/>
    <x v="0"/>
    <x v="0"/>
    <x v="15"/>
    <x v="10"/>
    <x v="11"/>
    <n v="8061.2668261999997"/>
  </r>
  <r>
    <x v="0"/>
    <x v="0"/>
    <x v="0"/>
    <x v="0"/>
    <x v="15"/>
    <x v="11"/>
    <x v="0"/>
    <n v="8061.2668261999997"/>
  </r>
  <r>
    <x v="0"/>
    <x v="0"/>
    <x v="0"/>
    <x v="0"/>
    <x v="15"/>
    <x v="11"/>
    <x v="1"/>
    <n v="8061.2668261999997"/>
  </r>
  <r>
    <x v="0"/>
    <x v="0"/>
    <x v="0"/>
    <x v="0"/>
    <x v="15"/>
    <x v="11"/>
    <x v="2"/>
    <n v="8061.2668261999997"/>
  </r>
  <r>
    <x v="0"/>
    <x v="0"/>
    <x v="0"/>
    <x v="0"/>
    <x v="15"/>
    <x v="11"/>
    <x v="3"/>
    <n v="8061.2668261999997"/>
  </r>
  <r>
    <x v="0"/>
    <x v="0"/>
    <x v="0"/>
    <x v="0"/>
    <x v="15"/>
    <x v="11"/>
    <x v="4"/>
    <n v="8061.2668261999997"/>
  </r>
  <r>
    <x v="0"/>
    <x v="0"/>
    <x v="0"/>
    <x v="0"/>
    <x v="15"/>
    <x v="11"/>
    <x v="5"/>
    <n v="8061.2668261999997"/>
  </r>
  <r>
    <x v="0"/>
    <x v="0"/>
    <x v="0"/>
    <x v="0"/>
    <x v="15"/>
    <x v="11"/>
    <x v="6"/>
    <n v="8061.2668261999997"/>
  </r>
  <r>
    <x v="0"/>
    <x v="0"/>
    <x v="0"/>
    <x v="0"/>
    <x v="15"/>
    <x v="11"/>
    <x v="7"/>
    <n v="8061.2668261999997"/>
  </r>
  <r>
    <x v="0"/>
    <x v="0"/>
    <x v="0"/>
    <x v="0"/>
    <x v="15"/>
    <x v="11"/>
    <x v="8"/>
    <n v="8061.2668261999997"/>
  </r>
  <r>
    <x v="0"/>
    <x v="0"/>
    <x v="0"/>
    <x v="0"/>
    <x v="15"/>
    <x v="11"/>
    <x v="9"/>
    <n v="8061.2668261999997"/>
  </r>
  <r>
    <x v="0"/>
    <x v="0"/>
    <x v="0"/>
    <x v="0"/>
    <x v="15"/>
    <x v="11"/>
    <x v="10"/>
    <n v="8061.2668261999997"/>
  </r>
  <r>
    <x v="0"/>
    <x v="0"/>
    <x v="0"/>
    <x v="0"/>
    <x v="15"/>
    <x v="11"/>
    <x v="11"/>
    <n v="8061.2668261999997"/>
  </r>
  <r>
    <x v="0"/>
    <x v="0"/>
    <x v="0"/>
    <x v="0"/>
    <x v="16"/>
    <x v="0"/>
    <x v="0"/>
    <n v="11439.226000000001"/>
  </r>
  <r>
    <x v="0"/>
    <x v="0"/>
    <x v="0"/>
    <x v="0"/>
    <x v="16"/>
    <x v="0"/>
    <x v="1"/>
    <n v="11439.226000000001"/>
  </r>
  <r>
    <x v="0"/>
    <x v="0"/>
    <x v="0"/>
    <x v="0"/>
    <x v="16"/>
    <x v="0"/>
    <x v="2"/>
    <n v="11439.226000000001"/>
  </r>
  <r>
    <x v="0"/>
    <x v="0"/>
    <x v="0"/>
    <x v="0"/>
    <x v="16"/>
    <x v="0"/>
    <x v="3"/>
    <n v="11439.226000000001"/>
  </r>
  <r>
    <x v="0"/>
    <x v="0"/>
    <x v="0"/>
    <x v="0"/>
    <x v="16"/>
    <x v="0"/>
    <x v="4"/>
    <n v="11439.226000000001"/>
  </r>
  <r>
    <x v="0"/>
    <x v="0"/>
    <x v="0"/>
    <x v="0"/>
    <x v="16"/>
    <x v="0"/>
    <x v="5"/>
    <n v="11439.226000000001"/>
  </r>
  <r>
    <x v="0"/>
    <x v="0"/>
    <x v="0"/>
    <x v="0"/>
    <x v="16"/>
    <x v="0"/>
    <x v="6"/>
    <n v="11439.226000000001"/>
  </r>
  <r>
    <x v="0"/>
    <x v="0"/>
    <x v="0"/>
    <x v="0"/>
    <x v="16"/>
    <x v="0"/>
    <x v="7"/>
    <n v="11439.226000000001"/>
  </r>
  <r>
    <x v="0"/>
    <x v="0"/>
    <x v="0"/>
    <x v="0"/>
    <x v="16"/>
    <x v="0"/>
    <x v="8"/>
    <n v="11439.226000000001"/>
  </r>
  <r>
    <x v="0"/>
    <x v="0"/>
    <x v="0"/>
    <x v="0"/>
    <x v="16"/>
    <x v="0"/>
    <x v="9"/>
    <n v="11439.226000000001"/>
  </r>
  <r>
    <x v="0"/>
    <x v="0"/>
    <x v="0"/>
    <x v="0"/>
    <x v="16"/>
    <x v="0"/>
    <x v="10"/>
    <n v="11439.226000000001"/>
  </r>
  <r>
    <x v="0"/>
    <x v="0"/>
    <x v="0"/>
    <x v="0"/>
    <x v="16"/>
    <x v="0"/>
    <x v="11"/>
    <n v="11439.226000000001"/>
  </r>
  <r>
    <x v="0"/>
    <x v="0"/>
    <x v="0"/>
    <x v="0"/>
    <x v="16"/>
    <x v="1"/>
    <x v="0"/>
    <n v="11439.226000000001"/>
  </r>
  <r>
    <x v="0"/>
    <x v="0"/>
    <x v="0"/>
    <x v="0"/>
    <x v="16"/>
    <x v="1"/>
    <x v="1"/>
    <n v="11439.226000000001"/>
  </r>
  <r>
    <x v="0"/>
    <x v="0"/>
    <x v="0"/>
    <x v="0"/>
    <x v="16"/>
    <x v="1"/>
    <x v="2"/>
    <n v="11439.226000000001"/>
  </r>
  <r>
    <x v="0"/>
    <x v="0"/>
    <x v="0"/>
    <x v="0"/>
    <x v="16"/>
    <x v="1"/>
    <x v="3"/>
    <n v="11439.226000000001"/>
  </r>
  <r>
    <x v="0"/>
    <x v="0"/>
    <x v="0"/>
    <x v="0"/>
    <x v="16"/>
    <x v="1"/>
    <x v="4"/>
    <n v="11439.226000000001"/>
  </r>
  <r>
    <x v="0"/>
    <x v="0"/>
    <x v="0"/>
    <x v="0"/>
    <x v="16"/>
    <x v="1"/>
    <x v="5"/>
    <n v="11439.226000000001"/>
  </r>
  <r>
    <x v="0"/>
    <x v="0"/>
    <x v="0"/>
    <x v="0"/>
    <x v="16"/>
    <x v="1"/>
    <x v="6"/>
    <n v="11439.226000000001"/>
  </r>
  <r>
    <x v="0"/>
    <x v="0"/>
    <x v="0"/>
    <x v="0"/>
    <x v="16"/>
    <x v="1"/>
    <x v="7"/>
    <n v="11439.226000000001"/>
  </r>
  <r>
    <x v="0"/>
    <x v="0"/>
    <x v="0"/>
    <x v="0"/>
    <x v="16"/>
    <x v="1"/>
    <x v="8"/>
    <n v="11439.226000000001"/>
  </r>
  <r>
    <x v="0"/>
    <x v="0"/>
    <x v="0"/>
    <x v="0"/>
    <x v="16"/>
    <x v="1"/>
    <x v="9"/>
    <n v="11439.226000000001"/>
  </r>
  <r>
    <x v="0"/>
    <x v="0"/>
    <x v="0"/>
    <x v="0"/>
    <x v="16"/>
    <x v="1"/>
    <x v="10"/>
    <n v="11439.226000000001"/>
  </r>
  <r>
    <x v="0"/>
    <x v="0"/>
    <x v="0"/>
    <x v="0"/>
    <x v="16"/>
    <x v="1"/>
    <x v="11"/>
    <n v="11439.226000000001"/>
  </r>
  <r>
    <x v="0"/>
    <x v="0"/>
    <x v="0"/>
    <x v="0"/>
    <x v="16"/>
    <x v="2"/>
    <x v="0"/>
    <n v="11439.226000000001"/>
  </r>
  <r>
    <x v="0"/>
    <x v="0"/>
    <x v="0"/>
    <x v="0"/>
    <x v="16"/>
    <x v="2"/>
    <x v="1"/>
    <n v="11439.226000000001"/>
  </r>
  <r>
    <x v="0"/>
    <x v="0"/>
    <x v="0"/>
    <x v="0"/>
    <x v="16"/>
    <x v="2"/>
    <x v="2"/>
    <n v="11439.226000000001"/>
  </r>
  <r>
    <x v="0"/>
    <x v="0"/>
    <x v="0"/>
    <x v="0"/>
    <x v="16"/>
    <x v="2"/>
    <x v="3"/>
    <n v="11439.226000000001"/>
  </r>
  <r>
    <x v="0"/>
    <x v="0"/>
    <x v="0"/>
    <x v="0"/>
    <x v="16"/>
    <x v="2"/>
    <x v="4"/>
    <n v="11439.226000000001"/>
  </r>
  <r>
    <x v="0"/>
    <x v="0"/>
    <x v="0"/>
    <x v="0"/>
    <x v="16"/>
    <x v="2"/>
    <x v="5"/>
    <n v="11439.226000000001"/>
  </r>
  <r>
    <x v="0"/>
    <x v="0"/>
    <x v="0"/>
    <x v="0"/>
    <x v="16"/>
    <x v="2"/>
    <x v="6"/>
    <n v="11439.226000000001"/>
  </r>
  <r>
    <x v="0"/>
    <x v="0"/>
    <x v="0"/>
    <x v="0"/>
    <x v="16"/>
    <x v="2"/>
    <x v="7"/>
    <n v="11439.226000000001"/>
  </r>
  <r>
    <x v="0"/>
    <x v="0"/>
    <x v="0"/>
    <x v="0"/>
    <x v="16"/>
    <x v="2"/>
    <x v="8"/>
    <n v="11439.226000000001"/>
  </r>
  <r>
    <x v="0"/>
    <x v="0"/>
    <x v="0"/>
    <x v="0"/>
    <x v="16"/>
    <x v="2"/>
    <x v="9"/>
    <n v="11439.226000000001"/>
  </r>
  <r>
    <x v="0"/>
    <x v="0"/>
    <x v="0"/>
    <x v="0"/>
    <x v="16"/>
    <x v="2"/>
    <x v="10"/>
    <n v="11439.226000000001"/>
  </r>
  <r>
    <x v="0"/>
    <x v="0"/>
    <x v="0"/>
    <x v="0"/>
    <x v="16"/>
    <x v="2"/>
    <x v="11"/>
    <n v="11439.226000000001"/>
  </r>
  <r>
    <x v="0"/>
    <x v="0"/>
    <x v="0"/>
    <x v="0"/>
    <x v="16"/>
    <x v="3"/>
    <x v="0"/>
    <n v="11439.226000000001"/>
  </r>
  <r>
    <x v="0"/>
    <x v="0"/>
    <x v="0"/>
    <x v="0"/>
    <x v="16"/>
    <x v="3"/>
    <x v="1"/>
    <n v="11439.226000000001"/>
  </r>
  <r>
    <x v="0"/>
    <x v="0"/>
    <x v="0"/>
    <x v="0"/>
    <x v="16"/>
    <x v="3"/>
    <x v="2"/>
    <n v="11439.226000000001"/>
  </r>
  <r>
    <x v="0"/>
    <x v="0"/>
    <x v="0"/>
    <x v="0"/>
    <x v="16"/>
    <x v="3"/>
    <x v="3"/>
    <n v="11439.226000000001"/>
  </r>
  <r>
    <x v="0"/>
    <x v="0"/>
    <x v="0"/>
    <x v="0"/>
    <x v="16"/>
    <x v="3"/>
    <x v="4"/>
    <n v="11439.226000000001"/>
  </r>
  <r>
    <x v="0"/>
    <x v="0"/>
    <x v="0"/>
    <x v="0"/>
    <x v="16"/>
    <x v="3"/>
    <x v="5"/>
    <n v="11439.226000000001"/>
  </r>
  <r>
    <x v="0"/>
    <x v="0"/>
    <x v="0"/>
    <x v="0"/>
    <x v="16"/>
    <x v="3"/>
    <x v="6"/>
    <n v="11439.226000000001"/>
  </r>
  <r>
    <x v="0"/>
    <x v="0"/>
    <x v="0"/>
    <x v="0"/>
    <x v="16"/>
    <x v="3"/>
    <x v="7"/>
    <n v="11439.226000000001"/>
  </r>
  <r>
    <x v="0"/>
    <x v="0"/>
    <x v="0"/>
    <x v="0"/>
    <x v="16"/>
    <x v="3"/>
    <x v="8"/>
    <n v="11439.226000000001"/>
  </r>
  <r>
    <x v="0"/>
    <x v="0"/>
    <x v="0"/>
    <x v="0"/>
    <x v="16"/>
    <x v="3"/>
    <x v="9"/>
    <n v="11439.226000000001"/>
  </r>
  <r>
    <x v="0"/>
    <x v="0"/>
    <x v="0"/>
    <x v="0"/>
    <x v="16"/>
    <x v="3"/>
    <x v="10"/>
    <n v="11439.226000000001"/>
  </r>
  <r>
    <x v="0"/>
    <x v="0"/>
    <x v="0"/>
    <x v="0"/>
    <x v="16"/>
    <x v="3"/>
    <x v="11"/>
    <n v="11439.226000000001"/>
  </r>
  <r>
    <x v="0"/>
    <x v="0"/>
    <x v="0"/>
    <x v="0"/>
    <x v="16"/>
    <x v="4"/>
    <x v="0"/>
    <n v="11439.226000000001"/>
  </r>
  <r>
    <x v="0"/>
    <x v="0"/>
    <x v="0"/>
    <x v="0"/>
    <x v="16"/>
    <x v="4"/>
    <x v="1"/>
    <n v="11439.226000000001"/>
  </r>
  <r>
    <x v="0"/>
    <x v="0"/>
    <x v="0"/>
    <x v="0"/>
    <x v="16"/>
    <x v="4"/>
    <x v="2"/>
    <n v="11439.226000000001"/>
  </r>
  <r>
    <x v="0"/>
    <x v="0"/>
    <x v="0"/>
    <x v="0"/>
    <x v="16"/>
    <x v="4"/>
    <x v="3"/>
    <n v="11439.226000000001"/>
  </r>
  <r>
    <x v="0"/>
    <x v="0"/>
    <x v="0"/>
    <x v="0"/>
    <x v="16"/>
    <x v="4"/>
    <x v="4"/>
    <n v="11439.226000000001"/>
  </r>
  <r>
    <x v="0"/>
    <x v="0"/>
    <x v="0"/>
    <x v="0"/>
    <x v="16"/>
    <x v="4"/>
    <x v="5"/>
    <n v="11439.226000000001"/>
  </r>
  <r>
    <x v="0"/>
    <x v="0"/>
    <x v="0"/>
    <x v="0"/>
    <x v="16"/>
    <x v="4"/>
    <x v="6"/>
    <n v="11439.226000000001"/>
  </r>
  <r>
    <x v="0"/>
    <x v="0"/>
    <x v="0"/>
    <x v="0"/>
    <x v="16"/>
    <x v="4"/>
    <x v="7"/>
    <n v="11439.226000000001"/>
  </r>
  <r>
    <x v="0"/>
    <x v="0"/>
    <x v="0"/>
    <x v="0"/>
    <x v="16"/>
    <x v="4"/>
    <x v="8"/>
    <n v="11439.226000000001"/>
  </r>
  <r>
    <x v="0"/>
    <x v="0"/>
    <x v="0"/>
    <x v="0"/>
    <x v="16"/>
    <x v="4"/>
    <x v="9"/>
    <n v="11439.226000000001"/>
  </r>
  <r>
    <x v="0"/>
    <x v="0"/>
    <x v="0"/>
    <x v="0"/>
    <x v="16"/>
    <x v="4"/>
    <x v="10"/>
    <n v="11439.226000000001"/>
  </r>
  <r>
    <x v="0"/>
    <x v="0"/>
    <x v="0"/>
    <x v="0"/>
    <x v="16"/>
    <x v="4"/>
    <x v="11"/>
    <n v="11439.226000000001"/>
  </r>
  <r>
    <x v="0"/>
    <x v="0"/>
    <x v="0"/>
    <x v="0"/>
    <x v="16"/>
    <x v="5"/>
    <x v="0"/>
    <n v="11439.226000000001"/>
  </r>
  <r>
    <x v="0"/>
    <x v="0"/>
    <x v="0"/>
    <x v="0"/>
    <x v="16"/>
    <x v="5"/>
    <x v="1"/>
    <n v="11439.226000000001"/>
  </r>
  <r>
    <x v="0"/>
    <x v="0"/>
    <x v="0"/>
    <x v="0"/>
    <x v="16"/>
    <x v="5"/>
    <x v="2"/>
    <n v="11439.226000000001"/>
  </r>
  <r>
    <x v="0"/>
    <x v="0"/>
    <x v="0"/>
    <x v="0"/>
    <x v="16"/>
    <x v="5"/>
    <x v="3"/>
    <n v="11439.226000000001"/>
  </r>
  <r>
    <x v="0"/>
    <x v="0"/>
    <x v="0"/>
    <x v="0"/>
    <x v="16"/>
    <x v="5"/>
    <x v="4"/>
    <n v="11439.226000000001"/>
  </r>
  <r>
    <x v="0"/>
    <x v="0"/>
    <x v="0"/>
    <x v="0"/>
    <x v="16"/>
    <x v="5"/>
    <x v="5"/>
    <n v="11439.226000000001"/>
  </r>
  <r>
    <x v="0"/>
    <x v="0"/>
    <x v="0"/>
    <x v="0"/>
    <x v="16"/>
    <x v="5"/>
    <x v="6"/>
    <n v="11439.226000000001"/>
  </r>
  <r>
    <x v="0"/>
    <x v="0"/>
    <x v="0"/>
    <x v="0"/>
    <x v="16"/>
    <x v="5"/>
    <x v="7"/>
    <n v="11439.226000000001"/>
  </r>
  <r>
    <x v="0"/>
    <x v="0"/>
    <x v="0"/>
    <x v="0"/>
    <x v="16"/>
    <x v="5"/>
    <x v="8"/>
    <n v="11439.226000000001"/>
  </r>
  <r>
    <x v="0"/>
    <x v="0"/>
    <x v="0"/>
    <x v="0"/>
    <x v="16"/>
    <x v="5"/>
    <x v="9"/>
    <n v="11439.226000000001"/>
  </r>
  <r>
    <x v="0"/>
    <x v="0"/>
    <x v="0"/>
    <x v="0"/>
    <x v="16"/>
    <x v="5"/>
    <x v="10"/>
    <n v="11439.226000000001"/>
  </r>
  <r>
    <x v="0"/>
    <x v="0"/>
    <x v="0"/>
    <x v="0"/>
    <x v="16"/>
    <x v="5"/>
    <x v="11"/>
    <n v="11439.226000000001"/>
  </r>
  <r>
    <x v="0"/>
    <x v="0"/>
    <x v="0"/>
    <x v="0"/>
    <x v="16"/>
    <x v="6"/>
    <x v="0"/>
    <n v="11439.226000000001"/>
  </r>
  <r>
    <x v="0"/>
    <x v="0"/>
    <x v="0"/>
    <x v="0"/>
    <x v="16"/>
    <x v="6"/>
    <x v="1"/>
    <n v="11439.226000000001"/>
  </r>
  <r>
    <x v="0"/>
    <x v="0"/>
    <x v="0"/>
    <x v="0"/>
    <x v="16"/>
    <x v="6"/>
    <x v="2"/>
    <n v="11439.226000000001"/>
  </r>
  <r>
    <x v="0"/>
    <x v="0"/>
    <x v="0"/>
    <x v="0"/>
    <x v="16"/>
    <x v="6"/>
    <x v="3"/>
    <n v="11439.226000000001"/>
  </r>
  <r>
    <x v="0"/>
    <x v="0"/>
    <x v="0"/>
    <x v="0"/>
    <x v="16"/>
    <x v="6"/>
    <x v="4"/>
    <n v="11439.226000000001"/>
  </r>
  <r>
    <x v="0"/>
    <x v="0"/>
    <x v="0"/>
    <x v="0"/>
    <x v="16"/>
    <x v="6"/>
    <x v="5"/>
    <n v="11439.226000000001"/>
  </r>
  <r>
    <x v="0"/>
    <x v="0"/>
    <x v="0"/>
    <x v="0"/>
    <x v="16"/>
    <x v="6"/>
    <x v="6"/>
    <n v="11439.226000000001"/>
  </r>
  <r>
    <x v="0"/>
    <x v="0"/>
    <x v="0"/>
    <x v="0"/>
    <x v="16"/>
    <x v="6"/>
    <x v="7"/>
    <n v="11439.226000000001"/>
  </r>
  <r>
    <x v="0"/>
    <x v="0"/>
    <x v="0"/>
    <x v="0"/>
    <x v="16"/>
    <x v="6"/>
    <x v="8"/>
    <n v="11439.226000000001"/>
  </r>
  <r>
    <x v="0"/>
    <x v="0"/>
    <x v="0"/>
    <x v="0"/>
    <x v="16"/>
    <x v="6"/>
    <x v="9"/>
    <n v="11439.226000000001"/>
  </r>
  <r>
    <x v="0"/>
    <x v="0"/>
    <x v="0"/>
    <x v="0"/>
    <x v="16"/>
    <x v="6"/>
    <x v="10"/>
    <n v="11439.226000000001"/>
  </r>
  <r>
    <x v="0"/>
    <x v="0"/>
    <x v="0"/>
    <x v="0"/>
    <x v="16"/>
    <x v="6"/>
    <x v="11"/>
    <n v="11439.226000000001"/>
  </r>
  <r>
    <x v="0"/>
    <x v="0"/>
    <x v="0"/>
    <x v="0"/>
    <x v="16"/>
    <x v="7"/>
    <x v="0"/>
    <n v="11439.226000000001"/>
  </r>
  <r>
    <x v="0"/>
    <x v="0"/>
    <x v="0"/>
    <x v="0"/>
    <x v="16"/>
    <x v="7"/>
    <x v="1"/>
    <n v="11439.226000000001"/>
  </r>
  <r>
    <x v="0"/>
    <x v="0"/>
    <x v="0"/>
    <x v="0"/>
    <x v="16"/>
    <x v="7"/>
    <x v="2"/>
    <n v="11439.226000000001"/>
  </r>
  <r>
    <x v="0"/>
    <x v="0"/>
    <x v="0"/>
    <x v="0"/>
    <x v="16"/>
    <x v="7"/>
    <x v="3"/>
    <n v="11439.226000000001"/>
  </r>
  <r>
    <x v="0"/>
    <x v="0"/>
    <x v="0"/>
    <x v="0"/>
    <x v="16"/>
    <x v="7"/>
    <x v="4"/>
    <n v="11439.226000000001"/>
  </r>
  <r>
    <x v="0"/>
    <x v="0"/>
    <x v="0"/>
    <x v="0"/>
    <x v="16"/>
    <x v="7"/>
    <x v="5"/>
    <n v="11439.226000000001"/>
  </r>
  <r>
    <x v="0"/>
    <x v="0"/>
    <x v="0"/>
    <x v="0"/>
    <x v="16"/>
    <x v="7"/>
    <x v="6"/>
    <n v="11439.226000000001"/>
  </r>
  <r>
    <x v="0"/>
    <x v="0"/>
    <x v="0"/>
    <x v="0"/>
    <x v="16"/>
    <x v="7"/>
    <x v="7"/>
    <n v="11439.226000000001"/>
  </r>
  <r>
    <x v="0"/>
    <x v="0"/>
    <x v="0"/>
    <x v="0"/>
    <x v="16"/>
    <x v="7"/>
    <x v="8"/>
    <n v="11439.226000000001"/>
  </r>
  <r>
    <x v="0"/>
    <x v="0"/>
    <x v="0"/>
    <x v="0"/>
    <x v="16"/>
    <x v="7"/>
    <x v="9"/>
    <n v="11439.226000000001"/>
  </r>
  <r>
    <x v="0"/>
    <x v="0"/>
    <x v="0"/>
    <x v="0"/>
    <x v="16"/>
    <x v="7"/>
    <x v="10"/>
    <n v="11439.226000000001"/>
  </r>
  <r>
    <x v="0"/>
    <x v="0"/>
    <x v="0"/>
    <x v="0"/>
    <x v="16"/>
    <x v="7"/>
    <x v="11"/>
    <n v="11439.226000000001"/>
  </r>
  <r>
    <x v="0"/>
    <x v="0"/>
    <x v="0"/>
    <x v="0"/>
    <x v="16"/>
    <x v="8"/>
    <x v="0"/>
    <n v="10958.577308"/>
  </r>
  <r>
    <x v="0"/>
    <x v="0"/>
    <x v="0"/>
    <x v="0"/>
    <x v="16"/>
    <x v="8"/>
    <x v="1"/>
    <n v="10958.577308"/>
  </r>
  <r>
    <x v="0"/>
    <x v="0"/>
    <x v="0"/>
    <x v="0"/>
    <x v="16"/>
    <x v="8"/>
    <x v="2"/>
    <n v="10958.577308"/>
  </r>
  <r>
    <x v="0"/>
    <x v="0"/>
    <x v="0"/>
    <x v="0"/>
    <x v="16"/>
    <x v="8"/>
    <x v="3"/>
    <n v="10958.577308"/>
  </r>
  <r>
    <x v="0"/>
    <x v="0"/>
    <x v="0"/>
    <x v="0"/>
    <x v="16"/>
    <x v="8"/>
    <x v="4"/>
    <n v="10958.577308"/>
  </r>
  <r>
    <x v="0"/>
    <x v="0"/>
    <x v="0"/>
    <x v="0"/>
    <x v="16"/>
    <x v="8"/>
    <x v="5"/>
    <n v="10958.577308"/>
  </r>
  <r>
    <x v="0"/>
    <x v="0"/>
    <x v="0"/>
    <x v="0"/>
    <x v="16"/>
    <x v="8"/>
    <x v="6"/>
    <n v="10958.577308"/>
  </r>
  <r>
    <x v="0"/>
    <x v="0"/>
    <x v="0"/>
    <x v="0"/>
    <x v="16"/>
    <x v="8"/>
    <x v="7"/>
    <n v="10958.577308"/>
  </r>
  <r>
    <x v="0"/>
    <x v="0"/>
    <x v="0"/>
    <x v="0"/>
    <x v="16"/>
    <x v="8"/>
    <x v="8"/>
    <n v="10958.577308"/>
  </r>
  <r>
    <x v="0"/>
    <x v="0"/>
    <x v="0"/>
    <x v="0"/>
    <x v="16"/>
    <x v="8"/>
    <x v="9"/>
    <n v="10958.577308"/>
  </r>
  <r>
    <x v="0"/>
    <x v="0"/>
    <x v="0"/>
    <x v="0"/>
    <x v="16"/>
    <x v="8"/>
    <x v="10"/>
    <n v="10958.577308"/>
  </r>
  <r>
    <x v="0"/>
    <x v="0"/>
    <x v="0"/>
    <x v="0"/>
    <x v="16"/>
    <x v="8"/>
    <x v="11"/>
    <n v="10958.577308"/>
  </r>
  <r>
    <x v="0"/>
    <x v="0"/>
    <x v="0"/>
    <x v="0"/>
    <x v="16"/>
    <x v="9"/>
    <x v="0"/>
    <n v="10958.577308"/>
  </r>
  <r>
    <x v="0"/>
    <x v="0"/>
    <x v="0"/>
    <x v="0"/>
    <x v="16"/>
    <x v="9"/>
    <x v="1"/>
    <n v="10958.577308"/>
  </r>
  <r>
    <x v="0"/>
    <x v="0"/>
    <x v="0"/>
    <x v="0"/>
    <x v="16"/>
    <x v="9"/>
    <x v="2"/>
    <n v="10958.577308"/>
  </r>
  <r>
    <x v="0"/>
    <x v="0"/>
    <x v="0"/>
    <x v="0"/>
    <x v="16"/>
    <x v="9"/>
    <x v="3"/>
    <n v="10958.577308"/>
  </r>
  <r>
    <x v="0"/>
    <x v="0"/>
    <x v="0"/>
    <x v="0"/>
    <x v="16"/>
    <x v="9"/>
    <x v="4"/>
    <n v="10958.577308"/>
  </r>
  <r>
    <x v="0"/>
    <x v="0"/>
    <x v="0"/>
    <x v="0"/>
    <x v="16"/>
    <x v="9"/>
    <x v="5"/>
    <n v="10958.577308"/>
  </r>
  <r>
    <x v="0"/>
    <x v="0"/>
    <x v="0"/>
    <x v="0"/>
    <x v="16"/>
    <x v="9"/>
    <x v="6"/>
    <n v="10958.577308"/>
  </r>
  <r>
    <x v="0"/>
    <x v="0"/>
    <x v="0"/>
    <x v="0"/>
    <x v="16"/>
    <x v="9"/>
    <x v="7"/>
    <n v="10958.577308"/>
  </r>
  <r>
    <x v="0"/>
    <x v="0"/>
    <x v="0"/>
    <x v="0"/>
    <x v="16"/>
    <x v="9"/>
    <x v="8"/>
    <n v="11439.226000000001"/>
  </r>
  <r>
    <x v="0"/>
    <x v="0"/>
    <x v="0"/>
    <x v="0"/>
    <x v="16"/>
    <x v="9"/>
    <x v="9"/>
    <n v="10958.577308"/>
  </r>
  <r>
    <x v="0"/>
    <x v="0"/>
    <x v="0"/>
    <x v="0"/>
    <x v="16"/>
    <x v="9"/>
    <x v="10"/>
    <n v="10958.577308"/>
  </r>
  <r>
    <x v="0"/>
    <x v="0"/>
    <x v="0"/>
    <x v="0"/>
    <x v="16"/>
    <x v="9"/>
    <x v="11"/>
    <n v="10958.577308"/>
  </r>
  <r>
    <x v="0"/>
    <x v="0"/>
    <x v="0"/>
    <x v="0"/>
    <x v="16"/>
    <x v="10"/>
    <x v="0"/>
    <n v="10498.115861064"/>
  </r>
  <r>
    <x v="0"/>
    <x v="0"/>
    <x v="0"/>
    <x v="0"/>
    <x v="16"/>
    <x v="10"/>
    <x v="1"/>
    <n v="10498.115861064"/>
  </r>
  <r>
    <x v="0"/>
    <x v="0"/>
    <x v="0"/>
    <x v="0"/>
    <x v="16"/>
    <x v="10"/>
    <x v="2"/>
    <n v="10498.115861064"/>
  </r>
  <r>
    <x v="0"/>
    <x v="0"/>
    <x v="0"/>
    <x v="0"/>
    <x v="16"/>
    <x v="10"/>
    <x v="3"/>
    <n v="10498.115861064"/>
  </r>
  <r>
    <x v="0"/>
    <x v="0"/>
    <x v="0"/>
    <x v="0"/>
    <x v="16"/>
    <x v="10"/>
    <x v="4"/>
    <n v="10498.115861064"/>
  </r>
  <r>
    <x v="0"/>
    <x v="0"/>
    <x v="0"/>
    <x v="0"/>
    <x v="16"/>
    <x v="10"/>
    <x v="5"/>
    <n v="10958.577308"/>
  </r>
  <r>
    <x v="0"/>
    <x v="0"/>
    <x v="0"/>
    <x v="0"/>
    <x v="16"/>
    <x v="10"/>
    <x v="6"/>
    <n v="10958.577308"/>
  </r>
  <r>
    <x v="0"/>
    <x v="0"/>
    <x v="0"/>
    <x v="0"/>
    <x v="16"/>
    <x v="10"/>
    <x v="7"/>
    <n v="10958.577308"/>
  </r>
  <r>
    <x v="0"/>
    <x v="0"/>
    <x v="0"/>
    <x v="0"/>
    <x v="16"/>
    <x v="10"/>
    <x v="8"/>
    <n v="10958.577308"/>
  </r>
  <r>
    <x v="0"/>
    <x v="0"/>
    <x v="0"/>
    <x v="0"/>
    <x v="16"/>
    <x v="10"/>
    <x v="9"/>
    <n v="10958.577308"/>
  </r>
  <r>
    <x v="0"/>
    <x v="0"/>
    <x v="0"/>
    <x v="0"/>
    <x v="16"/>
    <x v="10"/>
    <x v="10"/>
    <n v="10958.577308"/>
  </r>
  <r>
    <x v="0"/>
    <x v="0"/>
    <x v="0"/>
    <x v="0"/>
    <x v="16"/>
    <x v="10"/>
    <x v="11"/>
    <n v="10958.577308"/>
  </r>
  <r>
    <x v="0"/>
    <x v="0"/>
    <x v="0"/>
    <x v="0"/>
    <x v="16"/>
    <x v="11"/>
    <x v="0"/>
    <n v="10498.115861064"/>
  </r>
  <r>
    <x v="0"/>
    <x v="0"/>
    <x v="0"/>
    <x v="0"/>
    <x v="16"/>
    <x v="11"/>
    <x v="1"/>
    <n v="10498.115861064"/>
  </r>
  <r>
    <x v="0"/>
    <x v="0"/>
    <x v="0"/>
    <x v="0"/>
    <x v="16"/>
    <x v="11"/>
    <x v="2"/>
    <n v="8541.9155182000104"/>
  </r>
  <r>
    <x v="0"/>
    <x v="0"/>
    <x v="0"/>
    <x v="0"/>
    <x v="16"/>
    <x v="11"/>
    <x v="3"/>
    <n v="8541.9155182000104"/>
  </r>
  <r>
    <x v="0"/>
    <x v="0"/>
    <x v="0"/>
    <x v="0"/>
    <x v="16"/>
    <x v="11"/>
    <x v="4"/>
    <n v="8541.9155182000104"/>
  </r>
  <r>
    <x v="0"/>
    <x v="0"/>
    <x v="0"/>
    <x v="0"/>
    <x v="16"/>
    <x v="11"/>
    <x v="5"/>
    <n v="10498.115861064"/>
  </r>
  <r>
    <x v="0"/>
    <x v="0"/>
    <x v="0"/>
    <x v="0"/>
    <x v="16"/>
    <x v="11"/>
    <x v="6"/>
    <n v="10958.577308"/>
  </r>
  <r>
    <x v="0"/>
    <x v="0"/>
    <x v="0"/>
    <x v="0"/>
    <x v="16"/>
    <x v="11"/>
    <x v="7"/>
    <n v="10958.577308"/>
  </r>
  <r>
    <x v="0"/>
    <x v="0"/>
    <x v="0"/>
    <x v="0"/>
    <x v="16"/>
    <x v="11"/>
    <x v="8"/>
    <n v="10958.577308"/>
  </r>
  <r>
    <x v="0"/>
    <x v="0"/>
    <x v="0"/>
    <x v="0"/>
    <x v="16"/>
    <x v="11"/>
    <x v="9"/>
    <n v="10958.577308"/>
  </r>
  <r>
    <x v="0"/>
    <x v="0"/>
    <x v="0"/>
    <x v="0"/>
    <x v="16"/>
    <x v="11"/>
    <x v="10"/>
    <n v="10958.577308"/>
  </r>
  <r>
    <x v="0"/>
    <x v="0"/>
    <x v="0"/>
    <x v="0"/>
    <x v="16"/>
    <x v="11"/>
    <x v="11"/>
    <n v="10958.577308"/>
  </r>
  <r>
    <x v="0"/>
    <x v="0"/>
    <x v="0"/>
    <x v="0"/>
    <x v="17"/>
    <x v="0"/>
    <x v="0"/>
    <n v="11439.226000000001"/>
  </r>
  <r>
    <x v="0"/>
    <x v="0"/>
    <x v="0"/>
    <x v="0"/>
    <x v="17"/>
    <x v="0"/>
    <x v="1"/>
    <n v="11439.226000000001"/>
  </r>
  <r>
    <x v="0"/>
    <x v="0"/>
    <x v="0"/>
    <x v="0"/>
    <x v="17"/>
    <x v="0"/>
    <x v="2"/>
    <n v="11439.226000000001"/>
  </r>
  <r>
    <x v="0"/>
    <x v="0"/>
    <x v="0"/>
    <x v="0"/>
    <x v="17"/>
    <x v="0"/>
    <x v="3"/>
    <n v="11439.226000000001"/>
  </r>
  <r>
    <x v="0"/>
    <x v="0"/>
    <x v="0"/>
    <x v="0"/>
    <x v="17"/>
    <x v="0"/>
    <x v="4"/>
    <n v="11439.226000000001"/>
  </r>
  <r>
    <x v="0"/>
    <x v="0"/>
    <x v="0"/>
    <x v="0"/>
    <x v="17"/>
    <x v="0"/>
    <x v="5"/>
    <n v="11439.226000000001"/>
  </r>
  <r>
    <x v="0"/>
    <x v="0"/>
    <x v="0"/>
    <x v="0"/>
    <x v="17"/>
    <x v="0"/>
    <x v="6"/>
    <n v="11439.226000000001"/>
  </r>
  <r>
    <x v="0"/>
    <x v="0"/>
    <x v="0"/>
    <x v="0"/>
    <x v="17"/>
    <x v="0"/>
    <x v="7"/>
    <n v="11439.226000000001"/>
  </r>
  <r>
    <x v="0"/>
    <x v="0"/>
    <x v="0"/>
    <x v="0"/>
    <x v="17"/>
    <x v="0"/>
    <x v="8"/>
    <n v="11439.226000000001"/>
  </r>
  <r>
    <x v="0"/>
    <x v="0"/>
    <x v="0"/>
    <x v="0"/>
    <x v="17"/>
    <x v="0"/>
    <x v="9"/>
    <n v="11439.226000000001"/>
  </r>
  <r>
    <x v="0"/>
    <x v="0"/>
    <x v="0"/>
    <x v="0"/>
    <x v="17"/>
    <x v="0"/>
    <x v="10"/>
    <n v="11439.226000000001"/>
  </r>
  <r>
    <x v="0"/>
    <x v="0"/>
    <x v="0"/>
    <x v="0"/>
    <x v="17"/>
    <x v="0"/>
    <x v="11"/>
    <n v="11439.226000000001"/>
  </r>
  <r>
    <x v="0"/>
    <x v="0"/>
    <x v="0"/>
    <x v="0"/>
    <x v="17"/>
    <x v="1"/>
    <x v="0"/>
    <n v="11439.226000000001"/>
  </r>
  <r>
    <x v="0"/>
    <x v="0"/>
    <x v="0"/>
    <x v="0"/>
    <x v="17"/>
    <x v="1"/>
    <x v="1"/>
    <n v="11439.226000000001"/>
  </r>
  <r>
    <x v="0"/>
    <x v="0"/>
    <x v="0"/>
    <x v="0"/>
    <x v="17"/>
    <x v="1"/>
    <x v="2"/>
    <n v="11439.226000000001"/>
  </r>
  <r>
    <x v="0"/>
    <x v="0"/>
    <x v="0"/>
    <x v="0"/>
    <x v="17"/>
    <x v="1"/>
    <x v="3"/>
    <n v="11439.226000000001"/>
  </r>
  <r>
    <x v="0"/>
    <x v="0"/>
    <x v="0"/>
    <x v="0"/>
    <x v="17"/>
    <x v="1"/>
    <x v="4"/>
    <n v="11439.226000000001"/>
  </r>
  <r>
    <x v="0"/>
    <x v="0"/>
    <x v="0"/>
    <x v="0"/>
    <x v="17"/>
    <x v="1"/>
    <x v="5"/>
    <n v="11439.226000000001"/>
  </r>
  <r>
    <x v="0"/>
    <x v="0"/>
    <x v="0"/>
    <x v="0"/>
    <x v="17"/>
    <x v="1"/>
    <x v="6"/>
    <n v="11439.226000000001"/>
  </r>
  <r>
    <x v="0"/>
    <x v="0"/>
    <x v="0"/>
    <x v="0"/>
    <x v="17"/>
    <x v="1"/>
    <x v="7"/>
    <n v="11439.226000000001"/>
  </r>
  <r>
    <x v="0"/>
    <x v="0"/>
    <x v="0"/>
    <x v="0"/>
    <x v="17"/>
    <x v="1"/>
    <x v="8"/>
    <n v="11439.226000000001"/>
  </r>
  <r>
    <x v="0"/>
    <x v="0"/>
    <x v="0"/>
    <x v="0"/>
    <x v="17"/>
    <x v="1"/>
    <x v="9"/>
    <n v="11439.226000000001"/>
  </r>
  <r>
    <x v="0"/>
    <x v="0"/>
    <x v="0"/>
    <x v="0"/>
    <x v="17"/>
    <x v="1"/>
    <x v="10"/>
    <n v="11439.226000000001"/>
  </r>
  <r>
    <x v="0"/>
    <x v="0"/>
    <x v="0"/>
    <x v="0"/>
    <x v="17"/>
    <x v="1"/>
    <x v="11"/>
    <n v="11439.226000000001"/>
  </r>
  <r>
    <x v="0"/>
    <x v="0"/>
    <x v="0"/>
    <x v="0"/>
    <x v="17"/>
    <x v="2"/>
    <x v="0"/>
    <n v="11439.226000000001"/>
  </r>
  <r>
    <x v="0"/>
    <x v="0"/>
    <x v="0"/>
    <x v="0"/>
    <x v="17"/>
    <x v="2"/>
    <x v="1"/>
    <n v="11439.226000000001"/>
  </r>
  <r>
    <x v="0"/>
    <x v="0"/>
    <x v="0"/>
    <x v="0"/>
    <x v="17"/>
    <x v="2"/>
    <x v="2"/>
    <n v="11439.226000000001"/>
  </r>
  <r>
    <x v="0"/>
    <x v="0"/>
    <x v="0"/>
    <x v="0"/>
    <x v="17"/>
    <x v="2"/>
    <x v="3"/>
    <n v="11439.226000000001"/>
  </r>
  <r>
    <x v="0"/>
    <x v="0"/>
    <x v="0"/>
    <x v="0"/>
    <x v="17"/>
    <x v="2"/>
    <x v="4"/>
    <n v="11439.226000000001"/>
  </r>
  <r>
    <x v="0"/>
    <x v="0"/>
    <x v="0"/>
    <x v="0"/>
    <x v="17"/>
    <x v="2"/>
    <x v="5"/>
    <n v="11439.226000000001"/>
  </r>
  <r>
    <x v="0"/>
    <x v="0"/>
    <x v="0"/>
    <x v="0"/>
    <x v="17"/>
    <x v="2"/>
    <x v="6"/>
    <n v="11439.226000000001"/>
  </r>
  <r>
    <x v="0"/>
    <x v="0"/>
    <x v="0"/>
    <x v="0"/>
    <x v="17"/>
    <x v="2"/>
    <x v="7"/>
    <n v="11439.226000000001"/>
  </r>
  <r>
    <x v="0"/>
    <x v="0"/>
    <x v="0"/>
    <x v="0"/>
    <x v="17"/>
    <x v="2"/>
    <x v="8"/>
    <n v="11439.226000000001"/>
  </r>
  <r>
    <x v="0"/>
    <x v="0"/>
    <x v="0"/>
    <x v="0"/>
    <x v="17"/>
    <x v="2"/>
    <x v="9"/>
    <n v="11439.226000000001"/>
  </r>
  <r>
    <x v="0"/>
    <x v="0"/>
    <x v="0"/>
    <x v="0"/>
    <x v="17"/>
    <x v="2"/>
    <x v="10"/>
    <n v="11439.226000000001"/>
  </r>
  <r>
    <x v="0"/>
    <x v="0"/>
    <x v="0"/>
    <x v="0"/>
    <x v="17"/>
    <x v="2"/>
    <x v="11"/>
    <n v="11439.226000000001"/>
  </r>
  <r>
    <x v="0"/>
    <x v="0"/>
    <x v="0"/>
    <x v="0"/>
    <x v="17"/>
    <x v="3"/>
    <x v="0"/>
    <n v="11439.226000000001"/>
  </r>
  <r>
    <x v="0"/>
    <x v="0"/>
    <x v="0"/>
    <x v="0"/>
    <x v="17"/>
    <x v="3"/>
    <x v="1"/>
    <n v="11439.226000000001"/>
  </r>
  <r>
    <x v="0"/>
    <x v="0"/>
    <x v="0"/>
    <x v="0"/>
    <x v="17"/>
    <x v="3"/>
    <x v="2"/>
    <n v="11439.226000000001"/>
  </r>
  <r>
    <x v="0"/>
    <x v="0"/>
    <x v="0"/>
    <x v="0"/>
    <x v="17"/>
    <x v="3"/>
    <x v="3"/>
    <n v="11439.226000000001"/>
  </r>
  <r>
    <x v="0"/>
    <x v="0"/>
    <x v="0"/>
    <x v="0"/>
    <x v="17"/>
    <x v="3"/>
    <x v="4"/>
    <n v="11439.226000000001"/>
  </r>
  <r>
    <x v="0"/>
    <x v="0"/>
    <x v="0"/>
    <x v="0"/>
    <x v="17"/>
    <x v="3"/>
    <x v="5"/>
    <n v="11439.226000000001"/>
  </r>
  <r>
    <x v="0"/>
    <x v="0"/>
    <x v="0"/>
    <x v="0"/>
    <x v="17"/>
    <x v="3"/>
    <x v="6"/>
    <n v="11439.226000000001"/>
  </r>
  <r>
    <x v="0"/>
    <x v="0"/>
    <x v="0"/>
    <x v="0"/>
    <x v="17"/>
    <x v="3"/>
    <x v="7"/>
    <n v="11439.226000000001"/>
  </r>
  <r>
    <x v="0"/>
    <x v="0"/>
    <x v="0"/>
    <x v="0"/>
    <x v="17"/>
    <x v="3"/>
    <x v="8"/>
    <n v="11439.226000000001"/>
  </r>
  <r>
    <x v="0"/>
    <x v="0"/>
    <x v="0"/>
    <x v="0"/>
    <x v="17"/>
    <x v="3"/>
    <x v="9"/>
    <n v="11439.226000000001"/>
  </r>
  <r>
    <x v="0"/>
    <x v="0"/>
    <x v="0"/>
    <x v="0"/>
    <x v="17"/>
    <x v="3"/>
    <x v="10"/>
    <n v="11439.226000000001"/>
  </r>
  <r>
    <x v="0"/>
    <x v="0"/>
    <x v="0"/>
    <x v="0"/>
    <x v="17"/>
    <x v="3"/>
    <x v="11"/>
    <n v="11439.226000000001"/>
  </r>
  <r>
    <x v="0"/>
    <x v="0"/>
    <x v="0"/>
    <x v="0"/>
    <x v="17"/>
    <x v="4"/>
    <x v="0"/>
    <n v="11439.226000000001"/>
  </r>
  <r>
    <x v="0"/>
    <x v="0"/>
    <x v="0"/>
    <x v="0"/>
    <x v="17"/>
    <x v="4"/>
    <x v="1"/>
    <n v="11439.226000000001"/>
  </r>
  <r>
    <x v="0"/>
    <x v="0"/>
    <x v="0"/>
    <x v="0"/>
    <x v="17"/>
    <x v="4"/>
    <x v="2"/>
    <n v="11439.226000000001"/>
  </r>
  <r>
    <x v="0"/>
    <x v="0"/>
    <x v="0"/>
    <x v="0"/>
    <x v="17"/>
    <x v="4"/>
    <x v="3"/>
    <n v="11439.226000000001"/>
  </r>
  <r>
    <x v="0"/>
    <x v="0"/>
    <x v="0"/>
    <x v="0"/>
    <x v="17"/>
    <x v="4"/>
    <x v="4"/>
    <n v="11439.226000000001"/>
  </r>
  <r>
    <x v="0"/>
    <x v="0"/>
    <x v="0"/>
    <x v="0"/>
    <x v="17"/>
    <x v="4"/>
    <x v="5"/>
    <n v="11439.226000000001"/>
  </r>
  <r>
    <x v="0"/>
    <x v="0"/>
    <x v="0"/>
    <x v="0"/>
    <x v="17"/>
    <x v="4"/>
    <x v="6"/>
    <n v="11439.226000000001"/>
  </r>
  <r>
    <x v="0"/>
    <x v="0"/>
    <x v="0"/>
    <x v="0"/>
    <x v="17"/>
    <x v="4"/>
    <x v="7"/>
    <n v="11439.226000000001"/>
  </r>
  <r>
    <x v="0"/>
    <x v="0"/>
    <x v="0"/>
    <x v="0"/>
    <x v="17"/>
    <x v="4"/>
    <x v="8"/>
    <n v="11439.226000000001"/>
  </r>
  <r>
    <x v="0"/>
    <x v="0"/>
    <x v="0"/>
    <x v="0"/>
    <x v="17"/>
    <x v="4"/>
    <x v="9"/>
    <n v="11439.226000000001"/>
  </r>
  <r>
    <x v="0"/>
    <x v="0"/>
    <x v="0"/>
    <x v="0"/>
    <x v="17"/>
    <x v="4"/>
    <x v="10"/>
    <n v="11439.226000000001"/>
  </r>
  <r>
    <x v="0"/>
    <x v="0"/>
    <x v="0"/>
    <x v="0"/>
    <x v="17"/>
    <x v="4"/>
    <x v="11"/>
    <n v="11439.226000000001"/>
  </r>
  <r>
    <x v="0"/>
    <x v="0"/>
    <x v="0"/>
    <x v="0"/>
    <x v="17"/>
    <x v="5"/>
    <x v="0"/>
    <n v="11439.226000000001"/>
  </r>
  <r>
    <x v="0"/>
    <x v="0"/>
    <x v="0"/>
    <x v="0"/>
    <x v="17"/>
    <x v="5"/>
    <x v="1"/>
    <n v="11439.226000000001"/>
  </r>
  <r>
    <x v="0"/>
    <x v="0"/>
    <x v="0"/>
    <x v="0"/>
    <x v="17"/>
    <x v="5"/>
    <x v="2"/>
    <n v="11439.226000000001"/>
  </r>
  <r>
    <x v="0"/>
    <x v="0"/>
    <x v="0"/>
    <x v="0"/>
    <x v="17"/>
    <x v="5"/>
    <x v="3"/>
    <n v="11439.226000000001"/>
  </r>
  <r>
    <x v="0"/>
    <x v="0"/>
    <x v="0"/>
    <x v="0"/>
    <x v="17"/>
    <x v="5"/>
    <x v="4"/>
    <n v="11439.226000000001"/>
  </r>
  <r>
    <x v="0"/>
    <x v="0"/>
    <x v="0"/>
    <x v="0"/>
    <x v="17"/>
    <x v="5"/>
    <x v="5"/>
    <n v="11439.226000000001"/>
  </r>
  <r>
    <x v="0"/>
    <x v="0"/>
    <x v="0"/>
    <x v="0"/>
    <x v="17"/>
    <x v="5"/>
    <x v="6"/>
    <n v="11439.226000000001"/>
  </r>
  <r>
    <x v="0"/>
    <x v="0"/>
    <x v="0"/>
    <x v="0"/>
    <x v="17"/>
    <x v="5"/>
    <x v="7"/>
    <n v="11439.226000000001"/>
  </r>
  <r>
    <x v="0"/>
    <x v="0"/>
    <x v="0"/>
    <x v="0"/>
    <x v="17"/>
    <x v="5"/>
    <x v="8"/>
    <n v="11439.226000000001"/>
  </r>
  <r>
    <x v="0"/>
    <x v="0"/>
    <x v="0"/>
    <x v="0"/>
    <x v="17"/>
    <x v="5"/>
    <x v="9"/>
    <n v="11439.226000000001"/>
  </r>
  <r>
    <x v="0"/>
    <x v="0"/>
    <x v="0"/>
    <x v="0"/>
    <x v="17"/>
    <x v="5"/>
    <x v="10"/>
    <n v="11439.226000000001"/>
  </r>
  <r>
    <x v="0"/>
    <x v="0"/>
    <x v="0"/>
    <x v="0"/>
    <x v="17"/>
    <x v="5"/>
    <x v="11"/>
    <n v="11439.226000000001"/>
  </r>
  <r>
    <x v="0"/>
    <x v="0"/>
    <x v="0"/>
    <x v="0"/>
    <x v="17"/>
    <x v="6"/>
    <x v="0"/>
    <n v="11439.226000000001"/>
  </r>
  <r>
    <x v="0"/>
    <x v="0"/>
    <x v="0"/>
    <x v="0"/>
    <x v="17"/>
    <x v="6"/>
    <x v="1"/>
    <n v="11439.226000000001"/>
  </r>
  <r>
    <x v="0"/>
    <x v="0"/>
    <x v="0"/>
    <x v="0"/>
    <x v="17"/>
    <x v="6"/>
    <x v="2"/>
    <n v="11439.226000000001"/>
  </r>
  <r>
    <x v="0"/>
    <x v="0"/>
    <x v="0"/>
    <x v="0"/>
    <x v="17"/>
    <x v="6"/>
    <x v="3"/>
    <n v="11439.226000000001"/>
  </r>
  <r>
    <x v="0"/>
    <x v="0"/>
    <x v="0"/>
    <x v="0"/>
    <x v="17"/>
    <x v="6"/>
    <x v="4"/>
    <n v="11439.226000000001"/>
  </r>
  <r>
    <x v="0"/>
    <x v="0"/>
    <x v="0"/>
    <x v="0"/>
    <x v="17"/>
    <x v="6"/>
    <x v="5"/>
    <n v="11439.226000000001"/>
  </r>
  <r>
    <x v="0"/>
    <x v="0"/>
    <x v="0"/>
    <x v="0"/>
    <x v="17"/>
    <x v="6"/>
    <x v="6"/>
    <n v="11439.226000000001"/>
  </r>
  <r>
    <x v="0"/>
    <x v="0"/>
    <x v="0"/>
    <x v="0"/>
    <x v="17"/>
    <x v="6"/>
    <x v="7"/>
    <n v="11439.226000000001"/>
  </r>
  <r>
    <x v="0"/>
    <x v="0"/>
    <x v="0"/>
    <x v="0"/>
    <x v="17"/>
    <x v="6"/>
    <x v="8"/>
    <n v="11439.226000000001"/>
  </r>
  <r>
    <x v="0"/>
    <x v="0"/>
    <x v="0"/>
    <x v="0"/>
    <x v="17"/>
    <x v="6"/>
    <x v="9"/>
    <n v="11439.226000000001"/>
  </r>
  <r>
    <x v="0"/>
    <x v="0"/>
    <x v="0"/>
    <x v="0"/>
    <x v="17"/>
    <x v="6"/>
    <x v="10"/>
    <n v="11439.226000000001"/>
  </r>
  <r>
    <x v="0"/>
    <x v="0"/>
    <x v="0"/>
    <x v="0"/>
    <x v="17"/>
    <x v="6"/>
    <x v="11"/>
    <n v="11439.226000000001"/>
  </r>
  <r>
    <x v="0"/>
    <x v="0"/>
    <x v="0"/>
    <x v="0"/>
    <x v="17"/>
    <x v="7"/>
    <x v="0"/>
    <n v="11439.226000000001"/>
  </r>
  <r>
    <x v="0"/>
    <x v="0"/>
    <x v="0"/>
    <x v="0"/>
    <x v="17"/>
    <x v="7"/>
    <x v="1"/>
    <n v="11439.226000000001"/>
  </r>
  <r>
    <x v="0"/>
    <x v="0"/>
    <x v="0"/>
    <x v="0"/>
    <x v="17"/>
    <x v="7"/>
    <x v="2"/>
    <n v="11439.226000000001"/>
  </r>
  <r>
    <x v="0"/>
    <x v="0"/>
    <x v="0"/>
    <x v="0"/>
    <x v="17"/>
    <x v="7"/>
    <x v="3"/>
    <n v="11439.226000000001"/>
  </r>
  <r>
    <x v="0"/>
    <x v="0"/>
    <x v="0"/>
    <x v="0"/>
    <x v="17"/>
    <x v="7"/>
    <x v="4"/>
    <n v="11439.226000000001"/>
  </r>
  <r>
    <x v="0"/>
    <x v="0"/>
    <x v="0"/>
    <x v="0"/>
    <x v="17"/>
    <x v="7"/>
    <x v="5"/>
    <n v="11439.226000000001"/>
  </r>
  <r>
    <x v="0"/>
    <x v="0"/>
    <x v="0"/>
    <x v="0"/>
    <x v="17"/>
    <x v="7"/>
    <x v="6"/>
    <n v="11439.226000000001"/>
  </r>
  <r>
    <x v="0"/>
    <x v="0"/>
    <x v="0"/>
    <x v="0"/>
    <x v="17"/>
    <x v="7"/>
    <x v="7"/>
    <n v="11439.226000000001"/>
  </r>
  <r>
    <x v="0"/>
    <x v="0"/>
    <x v="0"/>
    <x v="0"/>
    <x v="17"/>
    <x v="7"/>
    <x v="8"/>
    <n v="11439.226000000001"/>
  </r>
  <r>
    <x v="0"/>
    <x v="0"/>
    <x v="0"/>
    <x v="0"/>
    <x v="17"/>
    <x v="7"/>
    <x v="9"/>
    <n v="11439.226000000001"/>
  </r>
  <r>
    <x v="0"/>
    <x v="0"/>
    <x v="0"/>
    <x v="0"/>
    <x v="17"/>
    <x v="7"/>
    <x v="10"/>
    <n v="11439.226000000001"/>
  </r>
  <r>
    <x v="0"/>
    <x v="0"/>
    <x v="0"/>
    <x v="0"/>
    <x v="17"/>
    <x v="7"/>
    <x v="11"/>
    <n v="11439.226000000001"/>
  </r>
  <r>
    <x v="0"/>
    <x v="0"/>
    <x v="0"/>
    <x v="0"/>
    <x v="17"/>
    <x v="8"/>
    <x v="0"/>
    <n v="11439.226000000001"/>
  </r>
  <r>
    <x v="0"/>
    <x v="0"/>
    <x v="0"/>
    <x v="0"/>
    <x v="17"/>
    <x v="8"/>
    <x v="1"/>
    <n v="11439.226000000001"/>
  </r>
  <r>
    <x v="0"/>
    <x v="0"/>
    <x v="0"/>
    <x v="0"/>
    <x v="17"/>
    <x v="8"/>
    <x v="2"/>
    <n v="11439.226000000001"/>
  </r>
  <r>
    <x v="0"/>
    <x v="0"/>
    <x v="0"/>
    <x v="0"/>
    <x v="17"/>
    <x v="8"/>
    <x v="3"/>
    <n v="11439.226000000001"/>
  </r>
  <r>
    <x v="0"/>
    <x v="0"/>
    <x v="0"/>
    <x v="0"/>
    <x v="17"/>
    <x v="8"/>
    <x v="4"/>
    <n v="11439.226000000001"/>
  </r>
  <r>
    <x v="0"/>
    <x v="0"/>
    <x v="0"/>
    <x v="0"/>
    <x v="17"/>
    <x v="8"/>
    <x v="5"/>
    <n v="11439.226000000001"/>
  </r>
  <r>
    <x v="0"/>
    <x v="0"/>
    <x v="0"/>
    <x v="0"/>
    <x v="17"/>
    <x v="8"/>
    <x v="6"/>
    <n v="11439.226000000001"/>
  </r>
  <r>
    <x v="0"/>
    <x v="0"/>
    <x v="0"/>
    <x v="0"/>
    <x v="17"/>
    <x v="8"/>
    <x v="7"/>
    <n v="11439.226000000001"/>
  </r>
  <r>
    <x v="0"/>
    <x v="0"/>
    <x v="0"/>
    <x v="0"/>
    <x v="17"/>
    <x v="8"/>
    <x v="8"/>
    <n v="11439.226000000001"/>
  </r>
  <r>
    <x v="0"/>
    <x v="0"/>
    <x v="0"/>
    <x v="0"/>
    <x v="17"/>
    <x v="8"/>
    <x v="9"/>
    <n v="11439.226000000001"/>
  </r>
  <r>
    <x v="0"/>
    <x v="0"/>
    <x v="0"/>
    <x v="0"/>
    <x v="17"/>
    <x v="8"/>
    <x v="10"/>
    <n v="11439.226000000001"/>
  </r>
  <r>
    <x v="0"/>
    <x v="0"/>
    <x v="0"/>
    <x v="0"/>
    <x v="17"/>
    <x v="8"/>
    <x v="11"/>
    <n v="11439.226000000001"/>
  </r>
  <r>
    <x v="0"/>
    <x v="0"/>
    <x v="0"/>
    <x v="0"/>
    <x v="17"/>
    <x v="9"/>
    <x v="0"/>
    <n v="11439.226000000001"/>
  </r>
  <r>
    <x v="0"/>
    <x v="0"/>
    <x v="0"/>
    <x v="0"/>
    <x v="17"/>
    <x v="9"/>
    <x v="1"/>
    <n v="11439.226000000001"/>
  </r>
  <r>
    <x v="0"/>
    <x v="0"/>
    <x v="0"/>
    <x v="0"/>
    <x v="17"/>
    <x v="9"/>
    <x v="2"/>
    <n v="11439.226000000001"/>
  </r>
  <r>
    <x v="0"/>
    <x v="0"/>
    <x v="0"/>
    <x v="0"/>
    <x v="17"/>
    <x v="9"/>
    <x v="3"/>
    <n v="11439.226000000001"/>
  </r>
  <r>
    <x v="0"/>
    <x v="0"/>
    <x v="0"/>
    <x v="0"/>
    <x v="17"/>
    <x v="9"/>
    <x v="4"/>
    <n v="11439.226000000001"/>
  </r>
  <r>
    <x v="0"/>
    <x v="0"/>
    <x v="0"/>
    <x v="0"/>
    <x v="17"/>
    <x v="9"/>
    <x v="5"/>
    <n v="11439.226000000001"/>
  </r>
  <r>
    <x v="0"/>
    <x v="0"/>
    <x v="0"/>
    <x v="0"/>
    <x v="17"/>
    <x v="9"/>
    <x v="6"/>
    <n v="11439.226000000001"/>
  </r>
  <r>
    <x v="0"/>
    <x v="0"/>
    <x v="0"/>
    <x v="0"/>
    <x v="17"/>
    <x v="9"/>
    <x v="7"/>
    <n v="11439.226000000001"/>
  </r>
  <r>
    <x v="0"/>
    <x v="0"/>
    <x v="0"/>
    <x v="0"/>
    <x v="17"/>
    <x v="9"/>
    <x v="8"/>
    <n v="11439.226000000001"/>
  </r>
  <r>
    <x v="0"/>
    <x v="0"/>
    <x v="0"/>
    <x v="0"/>
    <x v="17"/>
    <x v="9"/>
    <x v="9"/>
    <n v="11439.226000000001"/>
  </r>
  <r>
    <x v="0"/>
    <x v="0"/>
    <x v="0"/>
    <x v="0"/>
    <x v="17"/>
    <x v="9"/>
    <x v="10"/>
    <n v="11439.226000000001"/>
  </r>
  <r>
    <x v="0"/>
    <x v="0"/>
    <x v="0"/>
    <x v="0"/>
    <x v="17"/>
    <x v="9"/>
    <x v="11"/>
    <n v="11439.226000000001"/>
  </r>
  <r>
    <x v="0"/>
    <x v="0"/>
    <x v="0"/>
    <x v="0"/>
    <x v="17"/>
    <x v="10"/>
    <x v="0"/>
    <n v="10958.577308"/>
  </r>
  <r>
    <x v="0"/>
    <x v="0"/>
    <x v="0"/>
    <x v="0"/>
    <x v="17"/>
    <x v="10"/>
    <x v="1"/>
    <n v="10958.577308"/>
  </r>
  <r>
    <x v="0"/>
    <x v="0"/>
    <x v="0"/>
    <x v="0"/>
    <x v="17"/>
    <x v="10"/>
    <x v="2"/>
    <n v="10958.577308"/>
  </r>
  <r>
    <x v="0"/>
    <x v="0"/>
    <x v="0"/>
    <x v="0"/>
    <x v="17"/>
    <x v="10"/>
    <x v="3"/>
    <n v="10958.577308"/>
  </r>
  <r>
    <x v="0"/>
    <x v="0"/>
    <x v="0"/>
    <x v="0"/>
    <x v="17"/>
    <x v="10"/>
    <x v="4"/>
    <n v="10958.577308"/>
  </r>
  <r>
    <x v="0"/>
    <x v="0"/>
    <x v="0"/>
    <x v="0"/>
    <x v="17"/>
    <x v="10"/>
    <x v="5"/>
    <n v="11439.226000000001"/>
  </r>
  <r>
    <x v="0"/>
    <x v="0"/>
    <x v="0"/>
    <x v="0"/>
    <x v="17"/>
    <x v="10"/>
    <x v="6"/>
    <n v="11439.226000000001"/>
  </r>
  <r>
    <x v="0"/>
    <x v="0"/>
    <x v="0"/>
    <x v="0"/>
    <x v="17"/>
    <x v="10"/>
    <x v="7"/>
    <n v="11439.226000000001"/>
  </r>
  <r>
    <x v="0"/>
    <x v="0"/>
    <x v="0"/>
    <x v="0"/>
    <x v="17"/>
    <x v="10"/>
    <x v="8"/>
    <n v="11439.226000000001"/>
  </r>
  <r>
    <x v="0"/>
    <x v="0"/>
    <x v="0"/>
    <x v="0"/>
    <x v="17"/>
    <x v="10"/>
    <x v="9"/>
    <n v="11439.226000000001"/>
  </r>
  <r>
    <x v="0"/>
    <x v="0"/>
    <x v="0"/>
    <x v="0"/>
    <x v="17"/>
    <x v="10"/>
    <x v="10"/>
    <n v="11439.226000000001"/>
  </r>
  <r>
    <x v="0"/>
    <x v="0"/>
    <x v="0"/>
    <x v="0"/>
    <x v="17"/>
    <x v="10"/>
    <x v="11"/>
    <n v="11439.226000000001"/>
  </r>
  <r>
    <x v="0"/>
    <x v="0"/>
    <x v="0"/>
    <x v="0"/>
    <x v="17"/>
    <x v="11"/>
    <x v="0"/>
    <n v="10958.577308"/>
  </r>
  <r>
    <x v="0"/>
    <x v="0"/>
    <x v="0"/>
    <x v="0"/>
    <x v="17"/>
    <x v="11"/>
    <x v="1"/>
    <n v="10958.577308"/>
  </r>
  <r>
    <x v="0"/>
    <x v="0"/>
    <x v="0"/>
    <x v="0"/>
    <x v="17"/>
    <x v="11"/>
    <x v="2"/>
    <n v="8916.6145283924907"/>
  </r>
  <r>
    <x v="0"/>
    <x v="0"/>
    <x v="0"/>
    <x v="0"/>
    <x v="17"/>
    <x v="11"/>
    <x v="3"/>
    <n v="8916.6145283924907"/>
  </r>
  <r>
    <x v="0"/>
    <x v="0"/>
    <x v="0"/>
    <x v="0"/>
    <x v="17"/>
    <x v="11"/>
    <x v="4"/>
    <n v="8916.6145283924907"/>
  </r>
  <r>
    <x v="0"/>
    <x v="0"/>
    <x v="0"/>
    <x v="0"/>
    <x v="17"/>
    <x v="11"/>
    <x v="5"/>
    <n v="10958.577308"/>
  </r>
  <r>
    <x v="0"/>
    <x v="0"/>
    <x v="0"/>
    <x v="0"/>
    <x v="17"/>
    <x v="11"/>
    <x v="6"/>
    <n v="11439.226000000001"/>
  </r>
  <r>
    <x v="0"/>
    <x v="0"/>
    <x v="0"/>
    <x v="0"/>
    <x v="17"/>
    <x v="11"/>
    <x v="7"/>
    <n v="11439.226000000001"/>
  </r>
  <r>
    <x v="0"/>
    <x v="0"/>
    <x v="0"/>
    <x v="0"/>
    <x v="17"/>
    <x v="11"/>
    <x v="8"/>
    <n v="11439.226000000001"/>
  </r>
  <r>
    <x v="0"/>
    <x v="0"/>
    <x v="0"/>
    <x v="0"/>
    <x v="17"/>
    <x v="11"/>
    <x v="9"/>
    <n v="11439.226000000001"/>
  </r>
  <r>
    <x v="0"/>
    <x v="0"/>
    <x v="0"/>
    <x v="0"/>
    <x v="17"/>
    <x v="11"/>
    <x v="10"/>
    <n v="11439.226000000001"/>
  </r>
  <r>
    <x v="0"/>
    <x v="0"/>
    <x v="0"/>
    <x v="0"/>
    <x v="17"/>
    <x v="11"/>
    <x v="11"/>
    <n v="11439.226000000001"/>
  </r>
  <r>
    <x v="0"/>
    <x v="0"/>
    <x v="0"/>
    <x v="0"/>
    <x v="18"/>
    <x v="0"/>
    <x v="0"/>
    <n v="29149.051200000002"/>
  </r>
  <r>
    <x v="0"/>
    <x v="0"/>
    <x v="0"/>
    <x v="0"/>
    <x v="18"/>
    <x v="0"/>
    <x v="1"/>
    <n v="29149.051200000002"/>
  </r>
  <r>
    <x v="0"/>
    <x v="0"/>
    <x v="0"/>
    <x v="0"/>
    <x v="18"/>
    <x v="0"/>
    <x v="2"/>
    <n v="29149.051200000002"/>
  </r>
  <r>
    <x v="0"/>
    <x v="0"/>
    <x v="0"/>
    <x v="0"/>
    <x v="18"/>
    <x v="0"/>
    <x v="3"/>
    <n v="29149.051200000002"/>
  </r>
  <r>
    <x v="0"/>
    <x v="0"/>
    <x v="0"/>
    <x v="0"/>
    <x v="18"/>
    <x v="0"/>
    <x v="4"/>
    <n v="29149.051200000002"/>
  </r>
  <r>
    <x v="0"/>
    <x v="0"/>
    <x v="0"/>
    <x v="0"/>
    <x v="18"/>
    <x v="0"/>
    <x v="5"/>
    <n v="29149.051200000002"/>
  </r>
  <r>
    <x v="0"/>
    <x v="0"/>
    <x v="0"/>
    <x v="0"/>
    <x v="18"/>
    <x v="0"/>
    <x v="6"/>
    <n v="29149.051200000002"/>
  </r>
  <r>
    <x v="0"/>
    <x v="0"/>
    <x v="0"/>
    <x v="0"/>
    <x v="18"/>
    <x v="0"/>
    <x v="7"/>
    <n v="29149.051200000002"/>
  </r>
  <r>
    <x v="0"/>
    <x v="0"/>
    <x v="0"/>
    <x v="0"/>
    <x v="18"/>
    <x v="0"/>
    <x v="8"/>
    <n v="29149.051200000002"/>
  </r>
  <r>
    <x v="0"/>
    <x v="0"/>
    <x v="0"/>
    <x v="0"/>
    <x v="18"/>
    <x v="0"/>
    <x v="9"/>
    <n v="29149.051200000002"/>
  </r>
  <r>
    <x v="0"/>
    <x v="0"/>
    <x v="0"/>
    <x v="0"/>
    <x v="18"/>
    <x v="0"/>
    <x v="10"/>
    <n v="29149.051200000002"/>
  </r>
  <r>
    <x v="0"/>
    <x v="0"/>
    <x v="0"/>
    <x v="0"/>
    <x v="18"/>
    <x v="0"/>
    <x v="11"/>
    <n v="29149.051200000002"/>
  </r>
  <r>
    <x v="0"/>
    <x v="0"/>
    <x v="0"/>
    <x v="0"/>
    <x v="18"/>
    <x v="1"/>
    <x v="0"/>
    <n v="29149.051200000002"/>
  </r>
  <r>
    <x v="0"/>
    <x v="0"/>
    <x v="0"/>
    <x v="0"/>
    <x v="18"/>
    <x v="1"/>
    <x v="1"/>
    <n v="29149.051200000002"/>
  </r>
  <r>
    <x v="0"/>
    <x v="0"/>
    <x v="0"/>
    <x v="0"/>
    <x v="18"/>
    <x v="1"/>
    <x v="2"/>
    <n v="29149.051200000002"/>
  </r>
  <r>
    <x v="0"/>
    <x v="0"/>
    <x v="0"/>
    <x v="0"/>
    <x v="18"/>
    <x v="1"/>
    <x v="3"/>
    <n v="29149.051200000002"/>
  </r>
  <r>
    <x v="0"/>
    <x v="0"/>
    <x v="0"/>
    <x v="0"/>
    <x v="18"/>
    <x v="1"/>
    <x v="4"/>
    <n v="29149.051200000002"/>
  </r>
  <r>
    <x v="0"/>
    <x v="0"/>
    <x v="0"/>
    <x v="0"/>
    <x v="18"/>
    <x v="1"/>
    <x v="5"/>
    <n v="29149.051200000002"/>
  </r>
  <r>
    <x v="0"/>
    <x v="0"/>
    <x v="0"/>
    <x v="0"/>
    <x v="18"/>
    <x v="1"/>
    <x v="6"/>
    <n v="29149.051200000002"/>
  </r>
  <r>
    <x v="0"/>
    <x v="0"/>
    <x v="0"/>
    <x v="0"/>
    <x v="18"/>
    <x v="1"/>
    <x v="7"/>
    <n v="29149.051200000002"/>
  </r>
  <r>
    <x v="0"/>
    <x v="0"/>
    <x v="0"/>
    <x v="0"/>
    <x v="18"/>
    <x v="1"/>
    <x v="8"/>
    <n v="29149.051200000002"/>
  </r>
  <r>
    <x v="0"/>
    <x v="0"/>
    <x v="0"/>
    <x v="0"/>
    <x v="18"/>
    <x v="1"/>
    <x v="9"/>
    <n v="29149.051200000002"/>
  </r>
  <r>
    <x v="0"/>
    <x v="0"/>
    <x v="0"/>
    <x v="0"/>
    <x v="18"/>
    <x v="1"/>
    <x v="10"/>
    <n v="29149.051200000002"/>
  </r>
  <r>
    <x v="0"/>
    <x v="0"/>
    <x v="0"/>
    <x v="0"/>
    <x v="18"/>
    <x v="1"/>
    <x v="11"/>
    <n v="29149.051200000002"/>
  </r>
  <r>
    <x v="0"/>
    <x v="0"/>
    <x v="0"/>
    <x v="0"/>
    <x v="18"/>
    <x v="2"/>
    <x v="0"/>
    <n v="29149.051200000002"/>
  </r>
  <r>
    <x v="0"/>
    <x v="0"/>
    <x v="0"/>
    <x v="0"/>
    <x v="18"/>
    <x v="2"/>
    <x v="1"/>
    <n v="29149.051200000002"/>
  </r>
  <r>
    <x v="0"/>
    <x v="0"/>
    <x v="0"/>
    <x v="0"/>
    <x v="18"/>
    <x v="2"/>
    <x v="2"/>
    <n v="29149.051200000002"/>
  </r>
  <r>
    <x v="0"/>
    <x v="0"/>
    <x v="0"/>
    <x v="0"/>
    <x v="18"/>
    <x v="2"/>
    <x v="3"/>
    <n v="29149.051200000002"/>
  </r>
  <r>
    <x v="0"/>
    <x v="0"/>
    <x v="0"/>
    <x v="0"/>
    <x v="18"/>
    <x v="2"/>
    <x v="4"/>
    <n v="29149.051200000002"/>
  </r>
  <r>
    <x v="0"/>
    <x v="0"/>
    <x v="0"/>
    <x v="0"/>
    <x v="18"/>
    <x v="2"/>
    <x v="5"/>
    <n v="29149.051200000002"/>
  </r>
  <r>
    <x v="0"/>
    <x v="0"/>
    <x v="0"/>
    <x v="0"/>
    <x v="18"/>
    <x v="2"/>
    <x v="6"/>
    <n v="29149.051200000002"/>
  </r>
  <r>
    <x v="0"/>
    <x v="0"/>
    <x v="0"/>
    <x v="0"/>
    <x v="18"/>
    <x v="2"/>
    <x v="7"/>
    <n v="29149.051200000002"/>
  </r>
  <r>
    <x v="0"/>
    <x v="0"/>
    <x v="0"/>
    <x v="0"/>
    <x v="18"/>
    <x v="2"/>
    <x v="8"/>
    <n v="29149.051200000002"/>
  </r>
  <r>
    <x v="0"/>
    <x v="0"/>
    <x v="0"/>
    <x v="0"/>
    <x v="18"/>
    <x v="2"/>
    <x v="9"/>
    <n v="29149.051200000002"/>
  </r>
  <r>
    <x v="0"/>
    <x v="0"/>
    <x v="0"/>
    <x v="0"/>
    <x v="18"/>
    <x v="2"/>
    <x v="10"/>
    <n v="29149.051200000002"/>
  </r>
  <r>
    <x v="0"/>
    <x v="0"/>
    <x v="0"/>
    <x v="0"/>
    <x v="18"/>
    <x v="2"/>
    <x v="11"/>
    <n v="29149.051200000002"/>
  </r>
  <r>
    <x v="0"/>
    <x v="0"/>
    <x v="0"/>
    <x v="0"/>
    <x v="18"/>
    <x v="3"/>
    <x v="0"/>
    <n v="29149.051200000002"/>
  </r>
  <r>
    <x v="0"/>
    <x v="0"/>
    <x v="0"/>
    <x v="0"/>
    <x v="18"/>
    <x v="3"/>
    <x v="1"/>
    <n v="29149.051200000002"/>
  </r>
  <r>
    <x v="0"/>
    <x v="0"/>
    <x v="0"/>
    <x v="0"/>
    <x v="18"/>
    <x v="3"/>
    <x v="2"/>
    <n v="29149.051200000002"/>
  </r>
  <r>
    <x v="0"/>
    <x v="0"/>
    <x v="0"/>
    <x v="0"/>
    <x v="18"/>
    <x v="3"/>
    <x v="3"/>
    <n v="29149.051200000002"/>
  </r>
  <r>
    <x v="0"/>
    <x v="0"/>
    <x v="0"/>
    <x v="0"/>
    <x v="18"/>
    <x v="3"/>
    <x v="4"/>
    <n v="29149.051200000002"/>
  </r>
  <r>
    <x v="0"/>
    <x v="0"/>
    <x v="0"/>
    <x v="0"/>
    <x v="18"/>
    <x v="3"/>
    <x v="5"/>
    <n v="29149.051200000002"/>
  </r>
  <r>
    <x v="0"/>
    <x v="0"/>
    <x v="0"/>
    <x v="0"/>
    <x v="18"/>
    <x v="3"/>
    <x v="6"/>
    <n v="29149.051200000002"/>
  </r>
  <r>
    <x v="0"/>
    <x v="0"/>
    <x v="0"/>
    <x v="0"/>
    <x v="18"/>
    <x v="3"/>
    <x v="7"/>
    <n v="29149.051200000002"/>
  </r>
  <r>
    <x v="0"/>
    <x v="0"/>
    <x v="0"/>
    <x v="0"/>
    <x v="18"/>
    <x v="3"/>
    <x v="8"/>
    <n v="29149.051200000002"/>
  </r>
  <r>
    <x v="0"/>
    <x v="0"/>
    <x v="0"/>
    <x v="0"/>
    <x v="18"/>
    <x v="3"/>
    <x v="9"/>
    <n v="29149.051200000002"/>
  </r>
  <r>
    <x v="0"/>
    <x v="0"/>
    <x v="0"/>
    <x v="0"/>
    <x v="18"/>
    <x v="3"/>
    <x v="10"/>
    <n v="29149.051200000002"/>
  </r>
  <r>
    <x v="0"/>
    <x v="0"/>
    <x v="0"/>
    <x v="0"/>
    <x v="18"/>
    <x v="3"/>
    <x v="11"/>
    <n v="29149.051200000002"/>
  </r>
  <r>
    <x v="0"/>
    <x v="0"/>
    <x v="0"/>
    <x v="0"/>
    <x v="18"/>
    <x v="4"/>
    <x v="0"/>
    <n v="29149.051200000002"/>
  </r>
  <r>
    <x v="0"/>
    <x v="0"/>
    <x v="0"/>
    <x v="0"/>
    <x v="18"/>
    <x v="4"/>
    <x v="1"/>
    <n v="29149.051200000002"/>
  </r>
  <r>
    <x v="0"/>
    <x v="0"/>
    <x v="0"/>
    <x v="0"/>
    <x v="18"/>
    <x v="4"/>
    <x v="2"/>
    <n v="29149.051200000002"/>
  </r>
  <r>
    <x v="0"/>
    <x v="0"/>
    <x v="0"/>
    <x v="0"/>
    <x v="18"/>
    <x v="4"/>
    <x v="3"/>
    <n v="29149.051200000002"/>
  </r>
  <r>
    <x v="0"/>
    <x v="0"/>
    <x v="0"/>
    <x v="0"/>
    <x v="18"/>
    <x v="4"/>
    <x v="4"/>
    <n v="29149.051200000002"/>
  </r>
  <r>
    <x v="0"/>
    <x v="0"/>
    <x v="0"/>
    <x v="0"/>
    <x v="18"/>
    <x v="4"/>
    <x v="5"/>
    <n v="29149.051200000002"/>
  </r>
  <r>
    <x v="0"/>
    <x v="0"/>
    <x v="0"/>
    <x v="0"/>
    <x v="18"/>
    <x v="4"/>
    <x v="6"/>
    <n v="29149.051200000002"/>
  </r>
  <r>
    <x v="0"/>
    <x v="0"/>
    <x v="0"/>
    <x v="0"/>
    <x v="18"/>
    <x v="4"/>
    <x v="7"/>
    <n v="29149.051200000002"/>
  </r>
  <r>
    <x v="0"/>
    <x v="0"/>
    <x v="0"/>
    <x v="0"/>
    <x v="18"/>
    <x v="4"/>
    <x v="8"/>
    <n v="29149.051200000002"/>
  </r>
  <r>
    <x v="0"/>
    <x v="0"/>
    <x v="0"/>
    <x v="0"/>
    <x v="18"/>
    <x v="4"/>
    <x v="9"/>
    <n v="29149.051200000002"/>
  </r>
  <r>
    <x v="0"/>
    <x v="0"/>
    <x v="0"/>
    <x v="0"/>
    <x v="18"/>
    <x v="4"/>
    <x v="10"/>
    <n v="29149.051200000002"/>
  </r>
  <r>
    <x v="0"/>
    <x v="0"/>
    <x v="0"/>
    <x v="0"/>
    <x v="18"/>
    <x v="4"/>
    <x v="11"/>
    <n v="29149.051200000002"/>
  </r>
  <r>
    <x v="0"/>
    <x v="0"/>
    <x v="0"/>
    <x v="0"/>
    <x v="18"/>
    <x v="5"/>
    <x v="0"/>
    <n v="29149.051200000002"/>
  </r>
  <r>
    <x v="0"/>
    <x v="0"/>
    <x v="0"/>
    <x v="0"/>
    <x v="18"/>
    <x v="5"/>
    <x v="1"/>
    <n v="29149.051200000002"/>
  </r>
  <r>
    <x v="0"/>
    <x v="0"/>
    <x v="0"/>
    <x v="0"/>
    <x v="18"/>
    <x v="5"/>
    <x v="2"/>
    <n v="29149.051200000002"/>
  </r>
  <r>
    <x v="0"/>
    <x v="0"/>
    <x v="0"/>
    <x v="0"/>
    <x v="18"/>
    <x v="5"/>
    <x v="3"/>
    <n v="29149.051200000002"/>
  </r>
  <r>
    <x v="0"/>
    <x v="0"/>
    <x v="0"/>
    <x v="0"/>
    <x v="18"/>
    <x v="5"/>
    <x v="4"/>
    <n v="29149.051200000002"/>
  </r>
  <r>
    <x v="0"/>
    <x v="0"/>
    <x v="0"/>
    <x v="0"/>
    <x v="18"/>
    <x v="5"/>
    <x v="5"/>
    <n v="29149.051200000002"/>
  </r>
  <r>
    <x v="0"/>
    <x v="0"/>
    <x v="0"/>
    <x v="0"/>
    <x v="18"/>
    <x v="5"/>
    <x v="6"/>
    <n v="29149.051200000002"/>
  </r>
  <r>
    <x v="0"/>
    <x v="0"/>
    <x v="0"/>
    <x v="0"/>
    <x v="18"/>
    <x v="5"/>
    <x v="7"/>
    <n v="29149.051200000002"/>
  </r>
  <r>
    <x v="0"/>
    <x v="0"/>
    <x v="0"/>
    <x v="0"/>
    <x v="18"/>
    <x v="5"/>
    <x v="8"/>
    <n v="29149.051200000002"/>
  </r>
  <r>
    <x v="0"/>
    <x v="0"/>
    <x v="0"/>
    <x v="0"/>
    <x v="18"/>
    <x v="5"/>
    <x v="9"/>
    <n v="29149.051200000002"/>
  </r>
  <r>
    <x v="0"/>
    <x v="0"/>
    <x v="0"/>
    <x v="0"/>
    <x v="18"/>
    <x v="5"/>
    <x v="10"/>
    <n v="29149.051200000002"/>
  </r>
  <r>
    <x v="0"/>
    <x v="0"/>
    <x v="0"/>
    <x v="0"/>
    <x v="18"/>
    <x v="5"/>
    <x v="11"/>
    <n v="29149.051200000002"/>
  </r>
  <r>
    <x v="0"/>
    <x v="0"/>
    <x v="0"/>
    <x v="0"/>
    <x v="18"/>
    <x v="6"/>
    <x v="0"/>
    <n v="29149.051200000002"/>
  </r>
  <r>
    <x v="0"/>
    <x v="0"/>
    <x v="0"/>
    <x v="0"/>
    <x v="18"/>
    <x v="6"/>
    <x v="1"/>
    <n v="29149.051200000002"/>
  </r>
  <r>
    <x v="0"/>
    <x v="0"/>
    <x v="0"/>
    <x v="0"/>
    <x v="18"/>
    <x v="6"/>
    <x v="2"/>
    <n v="29149.051200000002"/>
  </r>
  <r>
    <x v="0"/>
    <x v="0"/>
    <x v="0"/>
    <x v="0"/>
    <x v="18"/>
    <x v="6"/>
    <x v="3"/>
    <n v="29149.051200000002"/>
  </r>
  <r>
    <x v="0"/>
    <x v="0"/>
    <x v="0"/>
    <x v="0"/>
    <x v="18"/>
    <x v="6"/>
    <x v="4"/>
    <n v="29149.051200000002"/>
  </r>
  <r>
    <x v="0"/>
    <x v="0"/>
    <x v="0"/>
    <x v="0"/>
    <x v="18"/>
    <x v="6"/>
    <x v="5"/>
    <n v="29149.051200000002"/>
  </r>
  <r>
    <x v="0"/>
    <x v="0"/>
    <x v="0"/>
    <x v="0"/>
    <x v="18"/>
    <x v="6"/>
    <x v="6"/>
    <n v="29149.051200000002"/>
  </r>
  <r>
    <x v="0"/>
    <x v="0"/>
    <x v="0"/>
    <x v="0"/>
    <x v="18"/>
    <x v="6"/>
    <x v="7"/>
    <n v="29149.051200000002"/>
  </r>
  <r>
    <x v="0"/>
    <x v="0"/>
    <x v="0"/>
    <x v="0"/>
    <x v="18"/>
    <x v="6"/>
    <x v="8"/>
    <n v="29149.051200000002"/>
  </r>
  <r>
    <x v="0"/>
    <x v="0"/>
    <x v="0"/>
    <x v="0"/>
    <x v="18"/>
    <x v="6"/>
    <x v="9"/>
    <n v="29149.051200000002"/>
  </r>
  <r>
    <x v="0"/>
    <x v="0"/>
    <x v="0"/>
    <x v="0"/>
    <x v="18"/>
    <x v="6"/>
    <x v="10"/>
    <n v="29149.051200000002"/>
  </r>
  <r>
    <x v="0"/>
    <x v="0"/>
    <x v="0"/>
    <x v="0"/>
    <x v="18"/>
    <x v="6"/>
    <x v="11"/>
    <n v="29149.051200000002"/>
  </r>
  <r>
    <x v="0"/>
    <x v="0"/>
    <x v="0"/>
    <x v="0"/>
    <x v="18"/>
    <x v="7"/>
    <x v="0"/>
    <n v="29149.051200000002"/>
  </r>
  <r>
    <x v="0"/>
    <x v="0"/>
    <x v="0"/>
    <x v="0"/>
    <x v="18"/>
    <x v="7"/>
    <x v="1"/>
    <n v="29149.051200000002"/>
  </r>
  <r>
    <x v="0"/>
    <x v="0"/>
    <x v="0"/>
    <x v="0"/>
    <x v="18"/>
    <x v="7"/>
    <x v="2"/>
    <n v="29149.051200000002"/>
  </r>
  <r>
    <x v="0"/>
    <x v="0"/>
    <x v="0"/>
    <x v="0"/>
    <x v="18"/>
    <x v="7"/>
    <x v="3"/>
    <n v="29149.051200000002"/>
  </r>
  <r>
    <x v="0"/>
    <x v="0"/>
    <x v="0"/>
    <x v="0"/>
    <x v="18"/>
    <x v="7"/>
    <x v="4"/>
    <n v="29149.051200000002"/>
  </r>
  <r>
    <x v="0"/>
    <x v="0"/>
    <x v="0"/>
    <x v="0"/>
    <x v="18"/>
    <x v="7"/>
    <x v="5"/>
    <n v="29149.051200000002"/>
  </r>
  <r>
    <x v="0"/>
    <x v="0"/>
    <x v="0"/>
    <x v="0"/>
    <x v="18"/>
    <x v="7"/>
    <x v="6"/>
    <n v="29149.051200000002"/>
  </r>
  <r>
    <x v="0"/>
    <x v="0"/>
    <x v="0"/>
    <x v="0"/>
    <x v="18"/>
    <x v="7"/>
    <x v="7"/>
    <n v="29149.051200000002"/>
  </r>
  <r>
    <x v="0"/>
    <x v="0"/>
    <x v="0"/>
    <x v="0"/>
    <x v="18"/>
    <x v="7"/>
    <x v="8"/>
    <n v="29149.051200000002"/>
  </r>
  <r>
    <x v="0"/>
    <x v="0"/>
    <x v="0"/>
    <x v="0"/>
    <x v="18"/>
    <x v="7"/>
    <x v="9"/>
    <n v="29149.051200000002"/>
  </r>
  <r>
    <x v="0"/>
    <x v="0"/>
    <x v="0"/>
    <x v="0"/>
    <x v="18"/>
    <x v="7"/>
    <x v="10"/>
    <n v="29149.051200000002"/>
  </r>
  <r>
    <x v="0"/>
    <x v="0"/>
    <x v="0"/>
    <x v="0"/>
    <x v="18"/>
    <x v="7"/>
    <x v="11"/>
    <n v="29149.051200000002"/>
  </r>
  <r>
    <x v="0"/>
    <x v="0"/>
    <x v="0"/>
    <x v="0"/>
    <x v="18"/>
    <x v="8"/>
    <x v="0"/>
    <n v="29149.051200000002"/>
  </r>
  <r>
    <x v="0"/>
    <x v="0"/>
    <x v="0"/>
    <x v="0"/>
    <x v="18"/>
    <x v="8"/>
    <x v="1"/>
    <n v="29149.051200000002"/>
  </r>
  <r>
    <x v="0"/>
    <x v="0"/>
    <x v="0"/>
    <x v="0"/>
    <x v="18"/>
    <x v="8"/>
    <x v="2"/>
    <n v="29149.051200000002"/>
  </r>
  <r>
    <x v="0"/>
    <x v="0"/>
    <x v="0"/>
    <x v="0"/>
    <x v="18"/>
    <x v="8"/>
    <x v="3"/>
    <n v="29149.051200000002"/>
  </r>
  <r>
    <x v="0"/>
    <x v="0"/>
    <x v="0"/>
    <x v="0"/>
    <x v="18"/>
    <x v="8"/>
    <x v="4"/>
    <n v="29149.051200000002"/>
  </r>
  <r>
    <x v="0"/>
    <x v="0"/>
    <x v="0"/>
    <x v="0"/>
    <x v="18"/>
    <x v="8"/>
    <x v="5"/>
    <n v="29149.051200000002"/>
  </r>
  <r>
    <x v="0"/>
    <x v="0"/>
    <x v="0"/>
    <x v="0"/>
    <x v="18"/>
    <x v="8"/>
    <x v="6"/>
    <n v="29149.051200000002"/>
  </r>
  <r>
    <x v="0"/>
    <x v="0"/>
    <x v="0"/>
    <x v="0"/>
    <x v="18"/>
    <x v="8"/>
    <x v="7"/>
    <n v="29149.051200000002"/>
  </r>
  <r>
    <x v="0"/>
    <x v="0"/>
    <x v="0"/>
    <x v="0"/>
    <x v="18"/>
    <x v="8"/>
    <x v="8"/>
    <n v="29149.051200000002"/>
  </r>
  <r>
    <x v="0"/>
    <x v="0"/>
    <x v="0"/>
    <x v="0"/>
    <x v="18"/>
    <x v="8"/>
    <x v="9"/>
    <n v="29149.051200000002"/>
  </r>
  <r>
    <x v="0"/>
    <x v="0"/>
    <x v="0"/>
    <x v="0"/>
    <x v="18"/>
    <x v="8"/>
    <x v="10"/>
    <n v="29149.051200000002"/>
  </r>
  <r>
    <x v="0"/>
    <x v="0"/>
    <x v="0"/>
    <x v="0"/>
    <x v="18"/>
    <x v="8"/>
    <x v="11"/>
    <n v="29149.051200000002"/>
  </r>
  <r>
    <x v="0"/>
    <x v="0"/>
    <x v="0"/>
    <x v="0"/>
    <x v="18"/>
    <x v="9"/>
    <x v="0"/>
    <n v="29149.051200000002"/>
  </r>
  <r>
    <x v="0"/>
    <x v="0"/>
    <x v="0"/>
    <x v="0"/>
    <x v="18"/>
    <x v="9"/>
    <x v="1"/>
    <n v="29149.051200000002"/>
  </r>
  <r>
    <x v="0"/>
    <x v="0"/>
    <x v="0"/>
    <x v="0"/>
    <x v="18"/>
    <x v="9"/>
    <x v="2"/>
    <n v="29149.051200000002"/>
  </r>
  <r>
    <x v="0"/>
    <x v="0"/>
    <x v="0"/>
    <x v="0"/>
    <x v="18"/>
    <x v="9"/>
    <x v="3"/>
    <n v="29149.051200000002"/>
  </r>
  <r>
    <x v="0"/>
    <x v="0"/>
    <x v="0"/>
    <x v="0"/>
    <x v="18"/>
    <x v="9"/>
    <x v="4"/>
    <n v="29149.051200000002"/>
  </r>
  <r>
    <x v="0"/>
    <x v="0"/>
    <x v="0"/>
    <x v="0"/>
    <x v="18"/>
    <x v="9"/>
    <x v="5"/>
    <n v="29149.051200000002"/>
  </r>
  <r>
    <x v="0"/>
    <x v="0"/>
    <x v="0"/>
    <x v="0"/>
    <x v="18"/>
    <x v="9"/>
    <x v="6"/>
    <n v="29149.051200000002"/>
  </r>
  <r>
    <x v="0"/>
    <x v="0"/>
    <x v="0"/>
    <x v="0"/>
    <x v="18"/>
    <x v="9"/>
    <x v="7"/>
    <n v="29149.051200000002"/>
  </r>
  <r>
    <x v="0"/>
    <x v="0"/>
    <x v="0"/>
    <x v="0"/>
    <x v="18"/>
    <x v="9"/>
    <x v="8"/>
    <n v="29149.051200000002"/>
  </r>
  <r>
    <x v="0"/>
    <x v="0"/>
    <x v="0"/>
    <x v="0"/>
    <x v="18"/>
    <x v="9"/>
    <x v="9"/>
    <n v="29149.051200000002"/>
  </r>
  <r>
    <x v="0"/>
    <x v="0"/>
    <x v="0"/>
    <x v="0"/>
    <x v="18"/>
    <x v="9"/>
    <x v="10"/>
    <n v="29149.051200000002"/>
  </r>
  <r>
    <x v="0"/>
    <x v="0"/>
    <x v="0"/>
    <x v="0"/>
    <x v="18"/>
    <x v="9"/>
    <x v="11"/>
    <n v="29149.051200000002"/>
  </r>
  <r>
    <x v="0"/>
    <x v="0"/>
    <x v="0"/>
    <x v="0"/>
    <x v="18"/>
    <x v="10"/>
    <x v="0"/>
    <n v="29149.051200000002"/>
  </r>
  <r>
    <x v="0"/>
    <x v="0"/>
    <x v="0"/>
    <x v="0"/>
    <x v="18"/>
    <x v="10"/>
    <x v="1"/>
    <n v="29149.051200000002"/>
  </r>
  <r>
    <x v="0"/>
    <x v="0"/>
    <x v="0"/>
    <x v="0"/>
    <x v="18"/>
    <x v="10"/>
    <x v="2"/>
    <n v="29149.051200000002"/>
  </r>
  <r>
    <x v="0"/>
    <x v="0"/>
    <x v="0"/>
    <x v="0"/>
    <x v="18"/>
    <x v="10"/>
    <x v="3"/>
    <n v="29149.051200000002"/>
  </r>
  <r>
    <x v="0"/>
    <x v="0"/>
    <x v="0"/>
    <x v="0"/>
    <x v="18"/>
    <x v="10"/>
    <x v="4"/>
    <n v="29149.051200000002"/>
  </r>
  <r>
    <x v="0"/>
    <x v="0"/>
    <x v="0"/>
    <x v="0"/>
    <x v="18"/>
    <x v="10"/>
    <x v="5"/>
    <n v="29149.051200000002"/>
  </r>
  <r>
    <x v="0"/>
    <x v="0"/>
    <x v="0"/>
    <x v="0"/>
    <x v="18"/>
    <x v="10"/>
    <x v="6"/>
    <n v="29149.051200000002"/>
  </r>
  <r>
    <x v="0"/>
    <x v="0"/>
    <x v="0"/>
    <x v="0"/>
    <x v="18"/>
    <x v="10"/>
    <x v="7"/>
    <n v="29149.051200000002"/>
  </r>
  <r>
    <x v="0"/>
    <x v="0"/>
    <x v="0"/>
    <x v="0"/>
    <x v="18"/>
    <x v="10"/>
    <x v="8"/>
    <n v="29149.051200000002"/>
  </r>
  <r>
    <x v="0"/>
    <x v="0"/>
    <x v="0"/>
    <x v="0"/>
    <x v="18"/>
    <x v="10"/>
    <x v="9"/>
    <n v="29149.051200000002"/>
  </r>
  <r>
    <x v="0"/>
    <x v="0"/>
    <x v="0"/>
    <x v="0"/>
    <x v="18"/>
    <x v="10"/>
    <x v="10"/>
    <n v="29149.051200000002"/>
  </r>
  <r>
    <x v="0"/>
    <x v="0"/>
    <x v="0"/>
    <x v="0"/>
    <x v="18"/>
    <x v="10"/>
    <x v="11"/>
    <n v="29149.051200000002"/>
  </r>
  <r>
    <x v="0"/>
    <x v="0"/>
    <x v="0"/>
    <x v="0"/>
    <x v="18"/>
    <x v="11"/>
    <x v="0"/>
    <n v="29149.051200000002"/>
  </r>
  <r>
    <x v="0"/>
    <x v="0"/>
    <x v="0"/>
    <x v="0"/>
    <x v="18"/>
    <x v="11"/>
    <x v="1"/>
    <n v="29149.051200000002"/>
  </r>
  <r>
    <x v="0"/>
    <x v="0"/>
    <x v="0"/>
    <x v="0"/>
    <x v="18"/>
    <x v="11"/>
    <x v="2"/>
    <n v="29149.051200000002"/>
  </r>
  <r>
    <x v="0"/>
    <x v="0"/>
    <x v="0"/>
    <x v="0"/>
    <x v="18"/>
    <x v="11"/>
    <x v="3"/>
    <n v="29149.051200000002"/>
  </r>
  <r>
    <x v="0"/>
    <x v="0"/>
    <x v="0"/>
    <x v="0"/>
    <x v="18"/>
    <x v="11"/>
    <x v="4"/>
    <n v="29149.051200000002"/>
  </r>
  <r>
    <x v="0"/>
    <x v="0"/>
    <x v="0"/>
    <x v="0"/>
    <x v="18"/>
    <x v="11"/>
    <x v="5"/>
    <n v="29149.051200000002"/>
  </r>
  <r>
    <x v="0"/>
    <x v="0"/>
    <x v="0"/>
    <x v="0"/>
    <x v="18"/>
    <x v="11"/>
    <x v="6"/>
    <n v="29149.051200000002"/>
  </r>
  <r>
    <x v="0"/>
    <x v="0"/>
    <x v="0"/>
    <x v="0"/>
    <x v="18"/>
    <x v="11"/>
    <x v="7"/>
    <n v="29149.051200000002"/>
  </r>
  <r>
    <x v="0"/>
    <x v="0"/>
    <x v="0"/>
    <x v="0"/>
    <x v="18"/>
    <x v="11"/>
    <x v="8"/>
    <n v="29149.051200000002"/>
  </r>
  <r>
    <x v="0"/>
    <x v="0"/>
    <x v="0"/>
    <x v="0"/>
    <x v="18"/>
    <x v="11"/>
    <x v="9"/>
    <n v="29149.051200000002"/>
  </r>
  <r>
    <x v="0"/>
    <x v="0"/>
    <x v="0"/>
    <x v="0"/>
    <x v="18"/>
    <x v="11"/>
    <x v="10"/>
    <n v="29149.051200000002"/>
  </r>
  <r>
    <x v="0"/>
    <x v="0"/>
    <x v="0"/>
    <x v="0"/>
    <x v="18"/>
    <x v="11"/>
    <x v="11"/>
    <n v="29149.051200000002"/>
  </r>
</pivotCacheRecords>
</file>

<file path=xl/pivotCache/pivotCacheRecords3.xml><?xml version="1.0" encoding="utf-8"?>
<pivotCacheRecords xmlns="http://schemas.openxmlformats.org/spreadsheetml/2006/main" xmlns:r="http://schemas.openxmlformats.org/officeDocument/2006/relationships" count="84">
  <r>
    <x v="0"/>
    <x v="0"/>
    <x v="0"/>
    <x v="0"/>
    <x v="0"/>
    <s v="DK1_Large"/>
    <x v="0"/>
    <x v="0"/>
    <n v="10.1024586"/>
    <n v="36.368850960000003"/>
  </r>
  <r>
    <x v="0"/>
    <x v="0"/>
    <x v="0"/>
    <x v="0"/>
    <x v="0"/>
    <s v="DK1_MedSmall"/>
    <x v="0"/>
    <x v="0"/>
    <n v="2.1230258000000002"/>
    <n v="7.6428928799999998"/>
  </r>
  <r>
    <x v="0"/>
    <x v="0"/>
    <x v="0"/>
    <x v="0"/>
    <x v="0"/>
    <s v="DK1_Medium"/>
    <x v="0"/>
    <x v="0"/>
    <n v="4.4767533000000004"/>
    <n v="16.116311880000001"/>
  </r>
  <r>
    <x v="0"/>
    <x v="0"/>
    <x v="0"/>
    <x v="0"/>
    <x v="0"/>
    <s v="DK1_Rural"/>
    <x v="0"/>
    <x v="0"/>
    <n v="6.0381289000000002"/>
    <n v="21.737264039999999"/>
  </r>
  <r>
    <x v="0"/>
    <x v="0"/>
    <x v="0"/>
    <x v="0"/>
    <x v="0"/>
    <s v="DK1_Small"/>
    <x v="0"/>
    <x v="0"/>
    <n v="0.52204249999999996"/>
    <n v="1.8793530000000001"/>
  </r>
  <r>
    <x v="0"/>
    <x v="0"/>
    <x v="0"/>
    <x v="0"/>
    <x v="1"/>
    <s v="DK2_Large"/>
    <x v="1"/>
    <x v="1"/>
    <n v="9.6050170999999995"/>
    <n v="34.578061560000002"/>
  </r>
  <r>
    <x v="0"/>
    <x v="0"/>
    <x v="0"/>
    <x v="0"/>
    <x v="1"/>
    <s v="DK2_MedSmall"/>
    <x v="0"/>
    <x v="0"/>
    <n v="0.74839270000000002"/>
    <n v="2.69421372"/>
  </r>
  <r>
    <x v="0"/>
    <x v="0"/>
    <x v="0"/>
    <x v="0"/>
    <x v="1"/>
    <s v="DK2_Medium"/>
    <x v="0"/>
    <x v="0"/>
    <n v="1.8731586"/>
    <n v="6.74337096"/>
  </r>
  <r>
    <x v="0"/>
    <x v="0"/>
    <x v="0"/>
    <x v="0"/>
    <x v="1"/>
    <s v="DK2_Rural"/>
    <x v="0"/>
    <x v="0"/>
    <n v="2.1893465999999999"/>
    <n v="7.8816477599999999"/>
  </r>
  <r>
    <x v="0"/>
    <x v="0"/>
    <x v="0"/>
    <x v="0"/>
    <x v="1"/>
    <s v="DK2_Small"/>
    <x v="0"/>
    <x v="0"/>
    <n v="0.1758284"/>
    <n v="0.63298224000000003"/>
  </r>
  <r>
    <x v="0"/>
    <x v="0"/>
    <x v="0"/>
    <x v="1"/>
    <x v="2"/>
    <s v="EE_Industry"/>
    <x v="2"/>
    <x v="2"/>
    <n v="2.6496490093604001E-2"/>
    <n v="9.5387364336974298E-2"/>
  </r>
  <r>
    <x v="0"/>
    <x v="0"/>
    <x v="0"/>
    <x v="1"/>
    <x v="2"/>
    <s v="EE_Industry"/>
    <x v="3"/>
    <x v="3"/>
    <n v="0.395496182037543"/>
    <n v="1.4237862553351599"/>
  </r>
  <r>
    <x v="0"/>
    <x v="0"/>
    <x v="0"/>
    <x v="1"/>
    <x v="2"/>
    <s v="EE_Industry"/>
    <x v="4"/>
    <x v="4"/>
    <n v="0.116680327868853"/>
    <n v="0.42004918032786798"/>
  </r>
  <r>
    <x v="0"/>
    <x v="0"/>
    <x v="0"/>
    <x v="1"/>
    <x v="2"/>
    <s v="EE_Kohtla_Jarve"/>
    <x v="5"/>
    <x v="5"/>
    <n v="0.29425800000000002"/>
    <n v="1.0593288000000001"/>
  </r>
  <r>
    <x v="0"/>
    <x v="0"/>
    <x v="0"/>
    <x v="1"/>
    <x v="2"/>
    <s v="EE_Narva"/>
    <x v="6"/>
    <x v="6"/>
    <n v="0.436"/>
    <n v="1.5696000000000001"/>
  </r>
  <r>
    <x v="0"/>
    <x v="0"/>
    <x v="0"/>
    <x v="1"/>
    <x v="2"/>
    <s v="EE_Parnu"/>
    <x v="4"/>
    <x v="7"/>
    <n v="0.17380000000000001"/>
    <n v="0.62568000000000001"/>
  </r>
  <r>
    <x v="0"/>
    <x v="0"/>
    <x v="0"/>
    <x v="1"/>
    <x v="2"/>
    <s v="EE_Small"/>
    <x v="5"/>
    <x v="5"/>
    <n v="0.69836932175215805"/>
    <n v="2.5141295583077699"/>
  </r>
  <r>
    <x v="0"/>
    <x v="0"/>
    <x v="0"/>
    <x v="1"/>
    <x v="2"/>
    <s v="EE_Small"/>
    <x v="6"/>
    <x v="8"/>
    <n v="1.7874454452912799E-2"/>
    <n v="6.4348036030486097E-2"/>
  </r>
  <r>
    <x v="0"/>
    <x v="0"/>
    <x v="0"/>
    <x v="1"/>
    <x v="2"/>
    <s v="EE_Small"/>
    <x v="6"/>
    <x v="9"/>
    <n v="2.54222379492899E-3"/>
    <n v="9.1520056617443498E-3"/>
  </r>
  <r>
    <x v="0"/>
    <x v="0"/>
    <x v="0"/>
    <x v="1"/>
    <x v="2"/>
    <s v="EE_Tallinn"/>
    <x v="3"/>
    <x v="10"/>
    <n v="1.36675227765727"/>
    <n v="4.9203081995661604"/>
  </r>
  <r>
    <x v="0"/>
    <x v="0"/>
    <x v="0"/>
    <x v="1"/>
    <x v="2"/>
    <s v="EE_Tallinn"/>
    <x v="4"/>
    <x v="7"/>
    <n v="0.41804772234273202"/>
    <n v="1.5049718004338399"/>
  </r>
  <r>
    <x v="0"/>
    <x v="0"/>
    <x v="0"/>
    <x v="1"/>
    <x v="2"/>
    <s v="EE_Tartu"/>
    <x v="3"/>
    <x v="10"/>
    <n v="5.33770091028022E-2"/>
    <n v="0.192157232770088"/>
  </r>
  <r>
    <x v="0"/>
    <x v="0"/>
    <x v="0"/>
    <x v="1"/>
    <x v="2"/>
    <s v="EE_Tartu"/>
    <x v="4"/>
    <x v="7"/>
    <n v="0.40234099089719799"/>
    <n v="1.4484275672299101"/>
  </r>
  <r>
    <x v="0"/>
    <x v="0"/>
    <x v="0"/>
    <x v="2"/>
    <x v="3"/>
    <s v="FIN_EL"/>
    <x v="0"/>
    <x v="0"/>
    <n v="2.6110000000000002"/>
    <n v="9.3996000000000102"/>
  </r>
  <r>
    <x v="0"/>
    <x v="0"/>
    <x v="0"/>
    <x v="2"/>
    <x v="3"/>
    <s v="FIN_ESPOO"/>
    <x v="0"/>
    <x v="0"/>
    <n v="2.3525"/>
    <n v="8.4689999999999994"/>
  </r>
  <r>
    <x v="0"/>
    <x v="0"/>
    <x v="0"/>
    <x v="2"/>
    <x v="3"/>
    <s v="FIN_GAS"/>
    <x v="0"/>
    <x v="0"/>
    <n v="1.2396"/>
    <n v="4.4625599999999999"/>
  </r>
  <r>
    <x v="0"/>
    <x v="0"/>
    <x v="0"/>
    <x v="2"/>
    <x v="3"/>
    <s v="FIN_HELS"/>
    <x v="0"/>
    <x v="0"/>
    <n v="9.1858000000000004"/>
    <n v="33.06888"/>
  </r>
  <r>
    <x v="0"/>
    <x v="0"/>
    <x v="0"/>
    <x v="2"/>
    <x v="3"/>
    <s v="FIN_HP"/>
    <x v="0"/>
    <x v="0"/>
    <n v="2.6017999999999999"/>
    <n v="9.3664799999999993"/>
  </r>
  <r>
    <x v="0"/>
    <x v="0"/>
    <x v="0"/>
    <x v="2"/>
    <x v="3"/>
    <s v="FIN_OTHER"/>
    <x v="0"/>
    <x v="0"/>
    <n v="16.749400000000001"/>
    <n v="60.297840000000001"/>
  </r>
  <r>
    <x v="0"/>
    <x v="0"/>
    <x v="0"/>
    <x v="2"/>
    <x v="3"/>
    <s v="FIN_TAMP"/>
    <x v="0"/>
    <x v="0"/>
    <n v="2.3892000000000002"/>
    <n v="8.6011200000000105"/>
  </r>
  <r>
    <x v="0"/>
    <x v="0"/>
    <x v="0"/>
    <x v="3"/>
    <x v="4"/>
    <s v="LV_A"/>
    <x v="7"/>
    <x v="11"/>
    <n v="0.26279999999999898"/>
    <n v="0.94607999999999803"/>
  </r>
  <r>
    <x v="0"/>
    <x v="0"/>
    <x v="0"/>
    <x v="3"/>
    <x v="4"/>
    <s v="LV_A1"/>
    <x v="3"/>
    <x v="3"/>
    <n v="2.1569256183941699"/>
    <n v="7.7649322262189902"/>
  </r>
  <r>
    <x v="0"/>
    <x v="0"/>
    <x v="0"/>
    <x v="3"/>
    <x v="4"/>
    <s v="LV_A1"/>
    <x v="3"/>
    <x v="12"/>
    <n v="4.6736283128605196E-3"/>
    <n v="1.6825061926297898E-2"/>
  </r>
  <r>
    <x v="0"/>
    <x v="0"/>
    <x v="0"/>
    <x v="3"/>
    <x v="4"/>
    <s v="LV_A1"/>
    <x v="3"/>
    <x v="10"/>
    <n v="0.306697424224667"/>
    <n v="1.1041107272088"/>
  </r>
  <r>
    <x v="0"/>
    <x v="0"/>
    <x v="0"/>
    <x v="3"/>
    <x v="4"/>
    <s v="LV_A1"/>
    <x v="8"/>
    <x v="13"/>
    <n v="0.327202157046449"/>
    <n v="1.17792776536721"/>
  </r>
  <r>
    <x v="0"/>
    <x v="0"/>
    <x v="0"/>
    <x v="3"/>
    <x v="4"/>
    <s v="LV_A1"/>
    <x v="4"/>
    <x v="14"/>
    <n v="0.14892"/>
    <n v="0.53611199999999903"/>
  </r>
  <r>
    <x v="0"/>
    <x v="0"/>
    <x v="0"/>
    <x v="3"/>
    <x v="4"/>
    <s v="LV_A1"/>
    <x v="9"/>
    <x v="15"/>
    <n v="7.1803278688524597E-2"/>
    <n v="0.25849180327868898"/>
  </r>
  <r>
    <x v="0"/>
    <x v="0"/>
    <x v="0"/>
    <x v="3"/>
    <x v="4"/>
    <s v="LV_A1"/>
    <x v="9"/>
    <x v="16"/>
    <n v="2.4333333333333401E-2"/>
    <n v="8.7600000000000205E-2"/>
  </r>
  <r>
    <x v="0"/>
    <x v="0"/>
    <x v="0"/>
    <x v="3"/>
    <x v="4"/>
    <s v="LV_A2"/>
    <x v="10"/>
    <x v="17"/>
    <n v="3.5040000000000099E-2"/>
    <n v="0.12614400000000001"/>
  </r>
  <r>
    <x v="0"/>
    <x v="0"/>
    <x v="0"/>
    <x v="3"/>
    <x v="4"/>
    <s v="LV_A2"/>
    <x v="4"/>
    <x v="4"/>
    <n v="0.18512192031386401"/>
    <n v="0.66643891312990999"/>
  </r>
  <r>
    <x v="0"/>
    <x v="0"/>
    <x v="0"/>
    <x v="3"/>
    <x v="4"/>
    <s v="LV_A2"/>
    <x v="4"/>
    <x v="14"/>
    <n v="0.200447250045732"/>
    <n v="0.721610100164636"/>
  </r>
  <r>
    <x v="0"/>
    <x v="0"/>
    <x v="0"/>
    <x v="3"/>
    <x v="4"/>
    <s v="LV_A2"/>
    <x v="9"/>
    <x v="15"/>
    <n v="0.11107069672131201"/>
    <n v="0.39985450819672103"/>
  </r>
  <r>
    <x v="0"/>
    <x v="0"/>
    <x v="0"/>
    <x v="3"/>
    <x v="4"/>
    <s v="LV_A2"/>
    <x v="9"/>
    <x v="16"/>
    <n v="9.7333333333333494E-2"/>
    <n v="0.35040000000000099"/>
  </r>
  <r>
    <x v="0"/>
    <x v="0"/>
    <x v="0"/>
    <x v="3"/>
    <x v="4"/>
    <s v="LV_A2"/>
    <x v="9"/>
    <x v="18"/>
    <n v="7.2653439585758997E-2"/>
    <n v="0.26155238250873297"/>
  </r>
  <r>
    <x v="0"/>
    <x v="0"/>
    <x v="0"/>
    <x v="3"/>
    <x v="4"/>
    <s v="LV_A3"/>
    <x v="11"/>
    <x v="19"/>
    <n v="5.97272727272729E-2"/>
    <n v="0.215018181818182"/>
  </r>
  <r>
    <x v="0"/>
    <x v="0"/>
    <x v="0"/>
    <x v="3"/>
    <x v="4"/>
    <s v="LV_A3"/>
    <x v="10"/>
    <x v="17"/>
    <n v="4.3800000000000103E-2"/>
    <n v="0.15767999999999999"/>
  </r>
  <r>
    <x v="0"/>
    <x v="0"/>
    <x v="0"/>
    <x v="3"/>
    <x v="4"/>
    <s v="LV_A3"/>
    <x v="12"/>
    <x v="20"/>
    <n v="1.4788583333333299E-2"/>
    <n v="5.3238899999999902E-2"/>
  </r>
  <r>
    <x v="0"/>
    <x v="0"/>
    <x v="0"/>
    <x v="3"/>
    <x v="4"/>
    <s v="LV_A3"/>
    <x v="4"/>
    <x v="4"/>
    <n v="4.4069482466096398E-2"/>
    <n v="0.15865013687794799"/>
  </r>
  <r>
    <x v="0"/>
    <x v="0"/>
    <x v="0"/>
    <x v="3"/>
    <x v="4"/>
    <s v="LV_A3"/>
    <x v="4"/>
    <x v="14"/>
    <n v="0.12749656048108601"/>
    <n v="0.45898761773190799"/>
  </r>
  <r>
    <x v="0"/>
    <x v="0"/>
    <x v="0"/>
    <x v="3"/>
    <x v="4"/>
    <s v="LV_A3"/>
    <x v="9"/>
    <x v="15"/>
    <n v="0.26232831523348898"/>
    <n v="0.94438193484056199"/>
  </r>
  <r>
    <x v="0"/>
    <x v="0"/>
    <x v="0"/>
    <x v="3"/>
    <x v="4"/>
    <s v="LV_A3"/>
    <x v="9"/>
    <x v="18"/>
    <n v="1.5527897057587201"/>
    <n v="5.5900429407313998"/>
  </r>
  <r>
    <x v="0"/>
    <x v="0"/>
    <x v="0"/>
    <x v="4"/>
    <x v="5"/>
    <s v="LT_A1"/>
    <x v="10"/>
    <x v="17"/>
    <n v="0.17519999999999999"/>
    <n v="0.63072000000000095"/>
  </r>
  <r>
    <x v="0"/>
    <x v="0"/>
    <x v="0"/>
    <x v="4"/>
    <x v="5"/>
    <s v="LT_A1"/>
    <x v="1"/>
    <x v="21"/>
    <n v="0.25102412826591303"/>
    <n v="0.90368686175729096"/>
  </r>
  <r>
    <x v="0"/>
    <x v="0"/>
    <x v="0"/>
    <x v="4"/>
    <x v="5"/>
    <s v="LT_A1"/>
    <x v="13"/>
    <x v="22"/>
    <n v="0.13139999999999999"/>
    <n v="0.47303999999999902"/>
  </r>
  <r>
    <x v="0"/>
    <x v="0"/>
    <x v="0"/>
    <x v="4"/>
    <x v="5"/>
    <s v="LT_A1"/>
    <x v="9"/>
    <x v="15"/>
    <n v="4.8639491582786798"/>
    <n v="17.510216969803299"/>
  </r>
  <r>
    <x v="0"/>
    <x v="0"/>
    <x v="0"/>
    <x v="4"/>
    <x v="5"/>
    <s v="LT_A1"/>
    <x v="9"/>
    <x v="18"/>
    <n v="2.0984267134554"/>
    <n v="7.5543361684394599"/>
  </r>
  <r>
    <x v="0"/>
    <x v="0"/>
    <x v="0"/>
    <x v="5"/>
    <x v="6"/>
    <s v="NeA"/>
    <x v="0"/>
    <x v="0"/>
    <n v="0.999999999999999"/>
    <n v="3.6"/>
  </r>
  <r>
    <x v="0"/>
    <x v="0"/>
    <x v="0"/>
    <x v="6"/>
    <x v="7"/>
    <s v="NO1_A1"/>
    <x v="0"/>
    <x v="0"/>
    <n v="1.2971269999999999"/>
    <n v="4.6696571999999996"/>
  </r>
  <r>
    <x v="0"/>
    <x v="0"/>
    <x v="0"/>
    <x v="6"/>
    <x v="7"/>
    <s v="NO1_A2"/>
    <x v="0"/>
    <x v="0"/>
    <n v="1.6611320000000001"/>
    <n v="5.9800751999999999"/>
  </r>
  <r>
    <x v="0"/>
    <x v="0"/>
    <x v="0"/>
    <x v="6"/>
    <x v="8"/>
    <s v="NO2_A1"/>
    <x v="0"/>
    <x v="0"/>
    <n v="0.38394400000000001"/>
    <n v="1.3821984"/>
  </r>
  <r>
    <x v="0"/>
    <x v="0"/>
    <x v="0"/>
    <x v="6"/>
    <x v="9"/>
    <s v="NO3_A1"/>
    <x v="0"/>
    <x v="0"/>
    <n v="0.21962100000000001"/>
    <n v="0.79063559999999999"/>
  </r>
  <r>
    <x v="0"/>
    <x v="0"/>
    <x v="0"/>
    <x v="6"/>
    <x v="9"/>
    <s v="NO3_A2"/>
    <x v="0"/>
    <x v="0"/>
    <n v="0.618058"/>
    <n v="2.2250087999999999"/>
  </r>
  <r>
    <x v="0"/>
    <x v="0"/>
    <x v="0"/>
    <x v="6"/>
    <x v="10"/>
    <s v="NO4_A1"/>
    <x v="0"/>
    <x v="0"/>
    <n v="0.24431800000000001"/>
    <n v="0.87954480000000002"/>
  </r>
  <r>
    <x v="0"/>
    <x v="0"/>
    <x v="0"/>
    <x v="6"/>
    <x v="11"/>
    <s v="NO5_A1"/>
    <x v="0"/>
    <x v="0"/>
    <n v="0.29778100000000002"/>
    <n v="1.0720116"/>
  </r>
  <r>
    <x v="0"/>
    <x v="0"/>
    <x v="0"/>
    <x v="7"/>
    <x v="12"/>
    <s v="PL_A1"/>
    <x v="11"/>
    <x v="23"/>
    <n v="2.97735952489721"/>
    <n v="10.71849428963"/>
  </r>
  <r>
    <x v="0"/>
    <x v="0"/>
    <x v="0"/>
    <x v="7"/>
    <x v="12"/>
    <s v="PL_A1"/>
    <x v="11"/>
    <x v="24"/>
    <n v="79.511990517477301"/>
    <n v="286.24316586291798"/>
  </r>
  <r>
    <x v="0"/>
    <x v="0"/>
    <x v="0"/>
    <x v="7"/>
    <x v="12"/>
    <s v="PL_A1"/>
    <x v="11"/>
    <x v="25"/>
    <n v="1.2687467177652501"/>
    <n v="4.56748818395491"/>
  </r>
  <r>
    <x v="0"/>
    <x v="0"/>
    <x v="0"/>
    <x v="7"/>
    <x v="12"/>
    <s v="PL_A1"/>
    <x v="11"/>
    <x v="26"/>
    <n v="2.4951458752515099"/>
    <n v="8.98252515090544"/>
  </r>
  <r>
    <x v="0"/>
    <x v="0"/>
    <x v="0"/>
    <x v="7"/>
    <x v="12"/>
    <s v="PL_A1"/>
    <x v="14"/>
    <x v="27"/>
    <n v="1.01777415409703"/>
    <n v="3.6639869547493"/>
  </r>
  <r>
    <x v="0"/>
    <x v="0"/>
    <x v="0"/>
    <x v="7"/>
    <x v="12"/>
    <s v="PL_A1"/>
    <x v="14"/>
    <x v="28"/>
    <n v="1.0534326482993801"/>
    <n v="3.7923575338777802"/>
  </r>
  <r>
    <x v="0"/>
    <x v="0"/>
    <x v="0"/>
    <x v="7"/>
    <x v="12"/>
    <s v="PL_A1"/>
    <x v="7"/>
    <x v="29"/>
    <n v="1.37253456221198"/>
    <n v="4.9411244239631502"/>
  </r>
  <r>
    <x v="0"/>
    <x v="0"/>
    <x v="0"/>
    <x v="8"/>
    <x v="13"/>
    <s v="SE1_EL"/>
    <x v="0"/>
    <x v="0"/>
    <n v="1.2397800000000001"/>
    <n v="4.4632079999999998"/>
  </r>
  <r>
    <x v="0"/>
    <x v="0"/>
    <x v="0"/>
    <x v="8"/>
    <x v="13"/>
    <s v="SE1_OTHER"/>
    <x v="0"/>
    <x v="0"/>
    <n v="1.13686"/>
    <n v="4.0926960000000001"/>
  </r>
  <r>
    <x v="0"/>
    <x v="0"/>
    <x v="0"/>
    <x v="8"/>
    <x v="14"/>
    <s v="SE2_EL"/>
    <x v="0"/>
    <x v="0"/>
    <n v="2.6497600000000001"/>
    <n v="9.5391359999999992"/>
  </r>
  <r>
    <x v="0"/>
    <x v="0"/>
    <x v="0"/>
    <x v="8"/>
    <x v="14"/>
    <s v="SE2_OTHER"/>
    <x v="0"/>
    <x v="0"/>
    <n v="1.8559099999999999"/>
    <n v="6.6812760000000004"/>
  </r>
  <r>
    <x v="0"/>
    <x v="0"/>
    <x v="0"/>
    <x v="8"/>
    <x v="15"/>
    <s v="SE3_EL"/>
    <x v="0"/>
    <x v="0"/>
    <n v="10.494770000000001"/>
    <n v="37.781171999999998"/>
  </r>
  <r>
    <x v="0"/>
    <x v="0"/>
    <x v="0"/>
    <x v="8"/>
    <x v="15"/>
    <s v="SE3_GOT"/>
    <x v="0"/>
    <x v="0"/>
    <n v="4.2590000000000003"/>
    <n v="15.3324"/>
  </r>
  <r>
    <x v="0"/>
    <x v="0"/>
    <x v="0"/>
    <x v="8"/>
    <x v="15"/>
    <s v="SE3_HP"/>
    <x v="0"/>
    <x v="0"/>
    <n v="4.0759999999999996"/>
    <n v="14.6736"/>
  </r>
  <r>
    <x v="0"/>
    <x v="0"/>
    <x v="0"/>
    <x v="8"/>
    <x v="15"/>
    <s v="SE3_OTHER"/>
    <x v="0"/>
    <x v="0"/>
    <n v="12.289720000000001"/>
    <n v="44.242992000000001"/>
  </r>
  <r>
    <x v="0"/>
    <x v="0"/>
    <x v="0"/>
    <x v="8"/>
    <x v="15"/>
    <s v="SE3_STO"/>
    <x v="0"/>
    <x v="0"/>
    <n v="8.0440000000000005"/>
    <n v="28.958400000000001"/>
  </r>
  <r>
    <x v="0"/>
    <x v="0"/>
    <x v="0"/>
    <x v="8"/>
    <x v="16"/>
    <s v="SE4_EL"/>
    <x v="0"/>
    <x v="0"/>
    <n v="1.17876"/>
    <n v="4.2435359999999998"/>
  </r>
  <r>
    <x v="0"/>
    <x v="0"/>
    <x v="0"/>
    <x v="8"/>
    <x v="16"/>
    <s v="SE4_HP"/>
    <x v="0"/>
    <x v="0"/>
    <n v="1.1307"/>
    <n v="4.0705200000000001"/>
  </r>
  <r>
    <x v="0"/>
    <x v="0"/>
    <x v="0"/>
    <x v="8"/>
    <x v="16"/>
    <s v="SE4_MAL"/>
    <x v="0"/>
    <x v="0"/>
    <n v="2.2440000000000002"/>
    <n v="8.0784000000000002"/>
  </r>
  <r>
    <x v="0"/>
    <x v="0"/>
    <x v="0"/>
    <x v="8"/>
    <x v="16"/>
    <s v="SE4_OTHER"/>
    <x v="0"/>
    <x v="0"/>
    <n v="5.0191400000000002"/>
    <n v="18.068904"/>
  </r>
</pivotCacheRecords>
</file>

<file path=xl/pivotCache/pivotCacheRecords4.xml><?xml version="1.0" encoding="utf-8"?>
<pivotCacheRecords xmlns="http://schemas.openxmlformats.org/spreadsheetml/2006/main" xmlns:r="http://schemas.openxmlformats.org/officeDocument/2006/relationships" count="10692">
  <r>
    <x v="0"/>
    <x v="0"/>
    <x v="0"/>
    <x v="0"/>
    <x v="0"/>
    <s v="DK1_Large"/>
    <x v="0"/>
    <x v="0"/>
    <x v="0"/>
    <x v="0"/>
    <n v="1029.15625023491"/>
    <n v="62607.005222623702"/>
    <n v="225385.21880144501"/>
  </r>
  <r>
    <x v="0"/>
    <x v="0"/>
    <x v="0"/>
    <x v="0"/>
    <x v="0"/>
    <s v="DK1_Large"/>
    <x v="0"/>
    <x v="0"/>
    <x v="0"/>
    <x v="1"/>
    <n v="1029.15625023491"/>
    <n v="62607.005222623702"/>
    <n v="225385.21880144501"/>
  </r>
  <r>
    <x v="0"/>
    <x v="0"/>
    <x v="0"/>
    <x v="0"/>
    <x v="0"/>
    <s v="DK1_Large"/>
    <x v="0"/>
    <x v="0"/>
    <x v="0"/>
    <x v="2"/>
    <n v="1029.15625023491"/>
    <n v="62607.005222623702"/>
    <n v="225385.21880144501"/>
  </r>
  <r>
    <x v="0"/>
    <x v="0"/>
    <x v="0"/>
    <x v="0"/>
    <x v="0"/>
    <s v="DK1_Large"/>
    <x v="0"/>
    <x v="0"/>
    <x v="0"/>
    <x v="3"/>
    <n v="1040.5438712610201"/>
    <n v="63299.7521683788"/>
    <n v="227879.10780616399"/>
  </r>
  <r>
    <x v="0"/>
    <x v="0"/>
    <x v="0"/>
    <x v="0"/>
    <x v="0"/>
    <s v="DK1_Large"/>
    <x v="0"/>
    <x v="0"/>
    <x v="0"/>
    <x v="4"/>
    <n v="1052.6432186012701"/>
    <n v="64035.7957982437"/>
    <n v="230528.864873677"/>
  </r>
  <r>
    <x v="0"/>
    <x v="0"/>
    <x v="0"/>
    <x v="0"/>
    <x v="0"/>
    <s v="DK1_Large"/>
    <x v="0"/>
    <x v="0"/>
    <x v="0"/>
    <x v="5"/>
    <n v="1075.41846065349"/>
    <n v="65421.2896897541"/>
    <n v="235516.64288311501"/>
  </r>
  <r>
    <x v="0"/>
    <x v="0"/>
    <x v="0"/>
    <x v="0"/>
    <x v="0"/>
    <s v="DK1_Large"/>
    <x v="0"/>
    <x v="0"/>
    <x v="0"/>
    <x v="6"/>
    <n v="1098.9054290198501"/>
    <n v="66850.080265374098"/>
    <n v="240660.288955347"/>
  </r>
  <r>
    <x v="0"/>
    <x v="0"/>
    <x v="0"/>
    <x v="0"/>
    <x v="0"/>
    <s v="DK1_Large"/>
    <x v="0"/>
    <x v="0"/>
    <x v="0"/>
    <x v="7"/>
    <n v="1145.1676394384299"/>
    <n v="69664.364732504502"/>
    <n v="250791.71303701599"/>
  </r>
  <r>
    <x v="0"/>
    <x v="0"/>
    <x v="0"/>
    <x v="0"/>
    <x v="0"/>
    <s v="DK1_Large"/>
    <x v="0"/>
    <x v="0"/>
    <x v="0"/>
    <x v="8"/>
    <n v="1179.3305025167699"/>
    <n v="71742.605569770007"/>
    <n v="258273.38005117199"/>
  </r>
  <r>
    <x v="0"/>
    <x v="0"/>
    <x v="0"/>
    <x v="0"/>
    <x v="0"/>
    <s v="DK1_Large"/>
    <x v="0"/>
    <x v="0"/>
    <x v="0"/>
    <x v="9"/>
    <n v="1237.6920602755899"/>
    <n v="75292.933666765297"/>
    <n v="271054.561200355"/>
  </r>
  <r>
    <x v="0"/>
    <x v="0"/>
    <x v="0"/>
    <x v="0"/>
    <x v="0"/>
    <s v="DK1_Large"/>
    <x v="0"/>
    <x v="0"/>
    <x v="0"/>
    <x v="10"/>
    <n v="1260.4673023278201"/>
    <n v="76678.427558275594"/>
    <n v="276042.33920979197"/>
  </r>
  <r>
    <x v="0"/>
    <x v="0"/>
    <x v="0"/>
    <x v="0"/>
    <x v="0"/>
    <s v="DK1_Large"/>
    <x v="0"/>
    <x v="0"/>
    <x v="0"/>
    <x v="11"/>
    <n v="1249.07968130171"/>
    <n v="75985.680612520402"/>
    <n v="273548.45020507398"/>
  </r>
  <r>
    <x v="0"/>
    <x v="0"/>
    <x v="0"/>
    <x v="0"/>
    <x v="0"/>
    <s v="DK1_Large"/>
    <x v="0"/>
    <x v="0"/>
    <x v="1"/>
    <x v="0"/>
    <n v="884.67580846610895"/>
    <n v="53817.778348354899"/>
    <n v="193744.00205407801"/>
  </r>
  <r>
    <x v="0"/>
    <x v="0"/>
    <x v="0"/>
    <x v="0"/>
    <x v="0"/>
    <s v="DK1_Large"/>
    <x v="0"/>
    <x v="0"/>
    <x v="1"/>
    <x v="1"/>
    <n v="894.63997686395703"/>
    <n v="54423.931925890698"/>
    <n v="195926.154933207"/>
  </r>
  <r>
    <x v="0"/>
    <x v="0"/>
    <x v="0"/>
    <x v="0"/>
    <x v="0"/>
    <s v="DK1_Large"/>
    <x v="0"/>
    <x v="0"/>
    <x v="1"/>
    <x v="2"/>
    <n v="904.604145261805"/>
    <n v="55030.085503426497"/>
    <n v="198108.307812335"/>
  </r>
  <r>
    <x v="0"/>
    <x v="0"/>
    <x v="0"/>
    <x v="0"/>
    <x v="0"/>
    <s v="DK1_Large"/>
    <x v="0"/>
    <x v="0"/>
    <x v="1"/>
    <x v="3"/>
    <n v="914.568313659654"/>
    <n v="55636.239080962303"/>
    <n v="200290.46069146399"/>
  </r>
  <r>
    <x v="0"/>
    <x v="0"/>
    <x v="0"/>
    <x v="0"/>
    <x v="0"/>
    <s v="DK1_Large"/>
    <x v="0"/>
    <x v="0"/>
    <x v="1"/>
    <x v="4"/>
    <n v="945.17254516733101"/>
    <n v="57497.996497679298"/>
    <n v="206992.78739164499"/>
  </r>
  <r>
    <x v="0"/>
    <x v="0"/>
    <x v="0"/>
    <x v="0"/>
    <x v="0"/>
    <s v="DK1_Large"/>
    <x v="0"/>
    <x v="0"/>
    <x v="1"/>
    <x v="5"/>
    <n v="1004.95755555442"/>
    <n v="61134.917962893902"/>
    <n v="220085.70466641799"/>
  </r>
  <r>
    <x v="0"/>
    <x v="0"/>
    <x v="0"/>
    <x v="0"/>
    <x v="0"/>
    <s v="DK1_Large"/>
    <x v="0"/>
    <x v="0"/>
    <x v="1"/>
    <x v="6"/>
    <n v="1055.49012385779"/>
    <n v="64208.982534682502"/>
    <n v="231152.337124857"/>
  </r>
  <r>
    <x v="0"/>
    <x v="0"/>
    <x v="0"/>
    <x v="0"/>
    <x v="0"/>
    <s v="DK1_Large"/>
    <x v="0"/>
    <x v="0"/>
    <x v="1"/>
    <x v="7"/>
    <n v="1096.05852376332"/>
    <n v="66676.893528935296"/>
    <n v="240036.81670416699"/>
  </r>
  <r>
    <x v="0"/>
    <x v="0"/>
    <x v="0"/>
    <x v="0"/>
    <x v="0"/>
    <s v="DK1_Large"/>
    <x v="0"/>
    <x v="0"/>
    <x v="1"/>
    <x v="8"/>
    <n v="1106.02269216117"/>
    <n v="67283.047106471102"/>
    <n v="242218.96958329601"/>
  </r>
  <r>
    <x v="0"/>
    <x v="0"/>
    <x v="0"/>
    <x v="0"/>
    <x v="0"/>
    <s v="DK1_Large"/>
    <x v="0"/>
    <x v="0"/>
    <x v="1"/>
    <x v="9"/>
    <n v="1075.41846065349"/>
    <n v="65421.2896897541"/>
    <n v="235516.64288311501"/>
  </r>
  <r>
    <x v="0"/>
    <x v="0"/>
    <x v="0"/>
    <x v="0"/>
    <x v="0"/>
    <s v="DK1_Large"/>
    <x v="0"/>
    <x v="0"/>
    <x v="1"/>
    <x v="10"/>
    <n v="1045.52595545995"/>
    <n v="63602.828957146703"/>
    <n v="228970.18424572801"/>
  </r>
  <r>
    <x v="0"/>
    <x v="0"/>
    <x v="0"/>
    <x v="0"/>
    <x v="0"/>
    <s v="DK1_Large"/>
    <x v="0"/>
    <x v="0"/>
    <x v="1"/>
    <x v="11"/>
    <n v="1025.5976186642499"/>
    <n v="62390.5218020752"/>
    <n v="224605.878487471"/>
  </r>
  <r>
    <x v="0"/>
    <x v="0"/>
    <x v="0"/>
    <x v="0"/>
    <x v="0"/>
    <s v="DK1_Large"/>
    <x v="0"/>
    <x v="0"/>
    <x v="2"/>
    <x v="0"/>
    <n v="1123.81585001447"/>
    <n v="68365.464209213605"/>
    <n v="246115.67115316901"/>
  </r>
  <r>
    <x v="0"/>
    <x v="0"/>
    <x v="0"/>
    <x v="0"/>
    <x v="0"/>
    <s v="DK1_Large"/>
    <x v="0"/>
    <x v="0"/>
    <x v="2"/>
    <x v="1"/>
    <n v="1136.6269236688499"/>
    <n v="69144.804523188097"/>
    <n v="248921.29628347699"/>
  </r>
  <r>
    <x v="0"/>
    <x v="0"/>
    <x v="0"/>
    <x v="0"/>
    <x v="0"/>
    <s v="DK1_Large"/>
    <x v="0"/>
    <x v="0"/>
    <x v="2"/>
    <x v="2"/>
    <n v="1149.4379973232201"/>
    <n v="69924.144837162705"/>
    <n v="251726.92141378601"/>
  </r>
  <r>
    <x v="0"/>
    <x v="0"/>
    <x v="0"/>
    <x v="0"/>
    <x v="0"/>
    <s v="DK1_Large"/>
    <x v="0"/>
    <x v="0"/>
    <x v="2"/>
    <x v="3"/>
    <n v="1162.2490709776"/>
    <n v="70703.485151137298"/>
    <n v="254532.54654409399"/>
  </r>
  <r>
    <x v="0"/>
    <x v="0"/>
    <x v="0"/>
    <x v="0"/>
    <x v="0"/>
    <s v="DK1_Large"/>
    <x v="0"/>
    <x v="0"/>
    <x v="2"/>
    <x v="4"/>
    <n v="1199.9705656266001"/>
    <n v="72998.209408951298"/>
    <n v="262793.55387222499"/>
  </r>
  <r>
    <x v="0"/>
    <x v="0"/>
    <x v="0"/>
    <x v="0"/>
    <x v="0"/>
    <s v="DK1_Large"/>
    <x v="0"/>
    <x v="0"/>
    <x v="2"/>
    <x v="5"/>
    <n v="1276.8370075528501"/>
    <n v="77674.251292798697"/>
    <n v="279627.30465407501"/>
  </r>
  <r>
    <x v="0"/>
    <x v="0"/>
    <x v="0"/>
    <x v="0"/>
    <x v="0"/>
    <s v="DK1_Large"/>
    <x v="0"/>
    <x v="0"/>
    <x v="2"/>
    <x v="6"/>
    <n v="1340.8923758247399"/>
    <n v="81570.952862671504"/>
    <n v="293655.43030561699"/>
  </r>
  <r>
    <x v="0"/>
    <x v="0"/>
    <x v="0"/>
    <x v="0"/>
    <x v="0"/>
    <s v="DK1_Large"/>
    <x v="0"/>
    <x v="0"/>
    <x v="2"/>
    <x v="7"/>
    <n v="1392.1366704422401"/>
    <n v="84688.314118569804"/>
    <n v="304877.93082685099"/>
  </r>
  <r>
    <x v="0"/>
    <x v="0"/>
    <x v="0"/>
    <x v="0"/>
    <x v="0"/>
    <s v="DK1_Large"/>
    <x v="0"/>
    <x v="0"/>
    <x v="2"/>
    <x v="8"/>
    <n v="1404.2360177824901"/>
    <n v="85424.357748434704"/>
    <n v="307527.68789436499"/>
  </r>
  <r>
    <x v="0"/>
    <x v="0"/>
    <x v="0"/>
    <x v="0"/>
    <x v="0"/>
    <s v="DK1_Large"/>
    <x v="0"/>
    <x v="0"/>
    <x v="2"/>
    <x v="9"/>
    <n v="1366.51452313349"/>
    <n v="83129.633490620705"/>
    <n v="299266.68056623399"/>
  </r>
  <r>
    <x v="0"/>
    <x v="0"/>
    <x v="0"/>
    <x v="0"/>
    <x v="0"/>
    <s v="DK1_Large"/>
    <x v="0"/>
    <x v="0"/>
    <x v="2"/>
    <x v="10"/>
    <n v="1328.08130217036"/>
    <n v="80791.612548696896"/>
    <n v="290849.80517530901"/>
  </r>
  <r>
    <x v="0"/>
    <x v="0"/>
    <x v="0"/>
    <x v="0"/>
    <x v="0"/>
    <s v="DK1_Large"/>
    <x v="0"/>
    <x v="0"/>
    <x v="2"/>
    <x v="11"/>
    <n v="1302.4591548616099"/>
    <n v="79232.931920747797"/>
    <n v="285238.55491469201"/>
  </r>
  <r>
    <x v="0"/>
    <x v="0"/>
    <x v="0"/>
    <x v="0"/>
    <x v="0"/>
    <s v="DK1_Large"/>
    <x v="0"/>
    <x v="0"/>
    <x v="3"/>
    <x v="0"/>
    <n v="1078.9770922241501"/>
    <n v="65637.773110302602"/>
    <n v="236295.98319708899"/>
  </r>
  <r>
    <x v="0"/>
    <x v="0"/>
    <x v="0"/>
    <x v="0"/>
    <x v="0"/>
    <s v="DK1_Large"/>
    <x v="0"/>
    <x v="0"/>
    <x v="3"/>
    <x v="1"/>
    <n v="1091.78816587853"/>
    <n v="66417.113424277093"/>
    <n v="239101.60832739799"/>
  </r>
  <r>
    <x v="0"/>
    <x v="0"/>
    <x v="0"/>
    <x v="0"/>
    <x v="0"/>
    <s v="DK1_Large"/>
    <x v="0"/>
    <x v="0"/>
    <x v="3"/>
    <x v="2"/>
    <n v="1103.88751321877"/>
    <n v="67153.157054141993"/>
    <n v="241751.365394911"/>
  </r>
  <r>
    <x v="0"/>
    <x v="0"/>
    <x v="0"/>
    <x v="0"/>
    <x v="0"/>
    <s v="DK1_Large"/>
    <x v="0"/>
    <x v="0"/>
    <x v="3"/>
    <x v="3"/>
    <n v="1115.98686055902"/>
    <n v="67889.200684006893"/>
    <n v="244401.122462425"/>
  </r>
  <r>
    <x v="0"/>
    <x v="0"/>
    <x v="0"/>
    <x v="0"/>
    <x v="0"/>
    <s v="DK1_Large"/>
    <x v="0"/>
    <x v="0"/>
    <x v="3"/>
    <x v="4"/>
    <n v="1152.9966288938799"/>
    <n v="70140.6282577112"/>
    <n v="252506.26172775999"/>
  </r>
  <r>
    <x v="0"/>
    <x v="0"/>
    <x v="0"/>
    <x v="0"/>
    <x v="0"/>
    <s v="DK1_Large"/>
    <x v="0"/>
    <x v="0"/>
    <x v="3"/>
    <x v="5"/>
    <n v="1226.3044392494801"/>
    <n v="74600.186721010105"/>
    <n v="268560.67219563603"/>
  </r>
  <r>
    <x v="0"/>
    <x v="0"/>
    <x v="0"/>
    <x v="0"/>
    <x v="0"/>
    <s v="DK1_Large"/>
    <x v="0"/>
    <x v="0"/>
    <x v="3"/>
    <x v="6"/>
    <n v="1287.51290226484"/>
    <n v="78323.701554444095"/>
    <n v="281965.32559599902"/>
  </r>
  <r>
    <x v="0"/>
    <x v="0"/>
    <x v="0"/>
    <x v="0"/>
    <x v="0"/>
    <s v="DK1_Large"/>
    <x v="0"/>
    <x v="0"/>
    <x v="3"/>
    <x v="7"/>
    <n v="1336.62201793995"/>
    <n v="81311.172758013301"/>
    <n v="292720.22192884801"/>
  </r>
  <r>
    <x v="0"/>
    <x v="0"/>
    <x v="0"/>
    <x v="0"/>
    <x v="0"/>
    <s v="DK1_Large"/>
    <x v="0"/>
    <x v="0"/>
    <x v="3"/>
    <x v="8"/>
    <n v="1349.4330915943201"/>
    <n v="82090.513071987894"/>
    <n v="295525.84705915599"/>
  </r>
  <r>
    <x v="0"/>
    <x v="0"/>
    <x v="0"/>
    <x v="0"/>
    <x v="0"/>
    <s v="DK1_Large"/>
    <x v="0"/>
    <x v="0"/>
    <x v="3"/>
    <x v="9"/>
    <n v="1312.4233232594599"/>
    <n v="79839.085498283603"/>
    <n v="287420.707793821"/>
  </r>
  <r>
    <x v="0"/>
    <x v="0"/>
    <x v="0"/>
    <x v="0"/>
    <x v="0"/>
    <s v="DK1_Large"/>
    <x v="0"/>
    <x v="0"/>
    <x v="3"/>
    <x v="10"/>
    <n v="1275.41355492459"/>
    <n v="77587.657924579296"/>
    <n v="279315.56852848502"/>
  </r>
  <r>
    <x v="0"/>
    <x v="0"/>
    <x v="0"/>
    <x v="0"/>
    <x v="0"/>
    <s v="DK1_Large"/>
    <x v="0"/>
    <x v="0"/>
    <x v="3"/>
    <x v="11"/>
    <n v="1251.2148602441"/>
    <n v="76115.570664849496"/>
    <n v="274016.05439345801"/>
  </r>
  <r>
    <x v="0"/>
    <x v="0"/>
    <x v="0"/>
    <x v="0"/>
    <x v="0"/>
    <s v="DK1_Large"/>
    <x v="0"/>
    <x v="0"/>
    <x v="4"/>
    <x v="0"/>
    <n v="944.46081885319904"/>
    <n v="57454.699813569598"/>
    <n v="206836.91932885"/>
  </r>
  <r>
    <x v="0"/>
    <x v="0"/>
    <x v="0"/>
    <x v="0"/>
    <x v="0"/>
    <s v="DK1_Large"/>
    <x v="0"/>
    <x v="0"/>
    <x v="4"/>
    <x v="1"/>
    <n v="955.13671356517898"/>
    <n v="58104.150075215097"/>
    <n v="209174.94027077401"/>
  </r>
  <r>
    <x v="0"/>
    <x v="0"/>
    <x v="0"/>
    <x v="0"/>
    <x v="0"/>
    <s v="DK1_Large"/>
    <x v="0"/>
    <x v="0"/>
    <x v="4"/>
    <x v="2"/>
    <n v="965.81260827715903"/>
    <n v="58753.600336860502"/>
    <n v="211512.96121269799"/>
  </r>
  <r>
    <x v="0"/>
    <x v="0"/>
    <x v="0"/>
    <x v="0"/>
    <x v="0"/>
    <s v="DK1_Large"/>
    <x v="0"/>
    <x v="0"/>
    <x v="4"/>
    <x v="3"/>
    <n v="976.48850298913999"/>
    <n v="59403.050598506001"/>
    <n v="213850.982154622"/>
  </r>
  <r>
    <x v="0"/>
    <x v="0"/>
    <x v="0"/>
    <x v="0"/>
    <x v="0"/>
    <s v="DK1_Large"/>
    <x v="0"/>
    <x v="0"/>
    <x v="4"/>
    <x v="4"/>
    <n v="1008.51618712508"/>
    <n v="61351.401383442397"/>
    <n v="220865.044980393"/>
  </r>
  <r>
    <x v="0"/>
    <x v="0"/>
    <x v="0"/>
    <x v="0"/>
    <x v="0"/>
    <s v="DK1_Large"/>
    <x v="0"/>
    <x v="0"/>
    <x v="4"/>
    <x v="5"/>
    <n v="1073.2832817111"/>
    <n v="65291.399637424998"/>
    <n v="235049.03869473"/>
  </r>
  <r>
    <x v="0"/>
    <x v="0"/>
    <x v="0"/>
    <x v="0"/>
    <x v="0"/>
    <s v="DK1_Large"/>
    <x v="0"/>
    <x v="0"/>
    <x v="4"/>
    <x v="6"/>
    <n v="1126.6627552709999"/>
    <n v="68538.650945652305"/>
    <n v="246739.143404348"/>
  </r>
  <r>
    <x v="0"/>
    <x v="0"/>
    <x v="0"/>
    <x v="0"/>
    <x v="0"/>
    <s v="DK1_Large"/>
    <x v="0"/>
    <x v="0"/>
    <x v="4"/>
    <x v="7"/>
    <n v="1169.3663341189199"/>
    <n v="71136.451992234201"/>
    <n v="256091.227172043"/>
  </r>
  <r>
    <x v="0"/>
    <x v="0"/>
    <x v="0"/>
    <x v="0"/>
    <x v="0"/>
    <s v="DK1_Large"/>
    <x v="0"/>
    <x v="0"/>
    <x v="4"/>
    <x v="8"/>
    <n v="1180.0422288309001"/>
    <n v="71785.9022538797"/>
    <n v="258429.24811396701"/>
  </r>
  <r>
    <x v="0"/>
    <x v="0"/>
    <x v="0"/>
    <x v="0"/>
    <x v="0"/>
    <s v="DK1_Large"/>
    <x v="0"/>
    <x v="0"/>
    <x v="4"/>
    <x v="9"/>
    <n v="1148.01454469496"/>
    <n v="69837.551468943304"/>
    <n v="251415.18528819599"/>
  </r>
  <r>
    <x v="0"/>
    <x v="0"/>
    <x v="0"/>
    <x v="0"/>
    <x v="0"/>
    <s v="DK1_Large"/>
    <x v="0"/>
    <x v="0"/>
    <x v="4"/>
    <x v="10"/>
    <n v="1115.98686055902"/>
    <n v="67889.200684006893"/>
    <n v="244401.122462425"/>
  </r>
  <r>
    <x v="0"/>
    <x v="0"/>
    <x v="0"/>
    <x v="0"/>
    <x v="0"/>
    <s v="DK1_Large"/>
    <x v="0"/>
    <x v="0"/>
    <x v="4"/>
    <x v="11"/>
    <n v="1094.6350711350599"/>
    <n v="66590.300160715895"/>
    <n v="239725.08057857701"/>
  </r>
  <r>
    <x v="0"/>
    <x v="0"/>
    <x v="0"/>
    <x v="0"/>
    <x v="0"/>
    <s v="DK1_Large"/>
    <x v="0"/>
    <x v="0"/>
    <x v="5"/>
    <x v="0"/>
    <n v="1287.51290226484"/>
    <n v="78323.701554444095"/>
    <n v="281965.32559599902"/>
  </r>
  <r>
    <x v="0"/>
    <x v="0"/>
    <x v="0"/>
    <x v="0"/>
    <x v="0"/>
    <s v="DK1_Large"/>
    <x v="0"/>
    <x v="0"/>
    <x v="5"/>
    <x v="1"/>
    <n v="1301.74742854748"/>
    <n v="79189.635236638103"/>
    <n v="285082.68685189699"/>
  </r>
  <r>
    <x v="0"/>
    <x v="0"/>
    <x v="0"/>
    <x v="0"/>
    <x v="0"/>
    <s v="DK1_Large"/>
    <x v="0"/>
    <x v="0"/>
    <x v="5"/>
    <x v="2"/>
    <n v="1316.6936811442499"/>
    <n v="80098.865602941805"/>
    <n v="288355.91617058998"/>
  </r>
  <r>
    <x v="0"/>
    <x v="0"/>
    <x v="0"/>
    <x v="0"/>
    <x v="0"/>
    <s v="DK1_Large"/>
    <x v="0"/>
    <x v="0"/>
    <x v="5"/>
    <x v="3"/>
    <n v="1331.6399337410201"/>
    <n v="81008.095969245405"/>
    <n v="291629.14548928401"/>
  </r>
  <r>
    <x v="0"/>
    <x v="0"/>
    <x v="0"/>
    <x v="0"/>
    <x v="0"/>
    <s v="DK1_Large"/>
    <x v="0"/>
    <x v="0"/>
    <x v="5"/>
    <x v="4"/>
    <n v="1375.0552389030699"/>
    <n v="83649.193699936994"/>
    <n v="301137.09731977299"/>
  </r>
  <r>
    <x v="0"/>
    <x v="0"/>
    <x v="0"/>
    <x v="0"/>
    <x v="0"/>
    <s v="DK1_Large"/>
    <x v="0"/>
    <x v="0"/>
    <x v="5"/>
    <x v="5"/>
    <n v="1463.30930185545"/>
    <n v="89017.9825295396"/>
    <n v="320464.73710634297"/>
  </r>
  <r>
    <x v="0"/>
    <x v="0"/>
    <x v="0"/>
    <x v="0"/>
    <x v="0"/>
    <s v="DK1_Large"/>
    <x v="0"/>
    <x v="0"/>
    <x v="5"/>
    <x v="6"/>
    <n v="1535.90538589691"/>
    <n v="93434.244308728797"/>
    <n v="336363.27951142401"/>
  </r>
  <r>
    <x v="0"/>
    <x v="0"/>
    <x v="0"/>
    <x v="0"/>
    <x v="0"/>
    <s v="DK1_Large"/>
    <x v="0"/>
    <x v="0"/>
    <x v="5"/>
    <x v="7"/>
    <n v="1594.97866996987"/>
    <n v="97027.869089833795"/>
    <n v="349300.328723402"/>
  </r>
  <r>
    <x v="0"/>
    <x v="0"/>
    <x v="0"/>
    <x v="0"/>
    <x v="0"/>
    <s v="DK1_Large"/>
    <x v="0"/>
    <x v="0"/>
    <x v="5"/>
    <x v="8"/>
    <n v="1609.21319625251"/>
    <n v="97893.802772027702"/>
    <n v="352417.68997930002"/>
  </r>
  <r>
    <x v="0"/>
    <x v="0"/>
    <x v="0"/>
    <x v="0"/>
    <x v="0"/>
    <s v="DK1_Large"/>
    <x v="0"/>
    <x v="0"/>
    <x v="5"/>
    <x v="9"/>
    <n v="1565.08616477633"/>
    <n v="95209.408357226494"/>
    <n v="342753.87008601503"/>
  </r>
  <r>
    <x v="0"/>
    <x v="0"/>
    <x v="0"/>
    <x v="0"/>
    <x v="0"/>
    <s v="DK1_Large"/>
    <x v="0"/>
    <x v="0"/>
    <x v="5"/>
    <x v="10"/>
    <n v="1521.6708596142701"/>
    <n v="92568.310626534905"/>
    <n v="333245.91825552599"/>
  </r>
  <r>
    <x v="0"/>
    <x v="0"/>
    <x v="0"/>
    <x v="0"/>
    <x v="0"/>
    <s v="DK1_Large"/>
    <x v="0"/>
    <x v="0"/>
    <x v="5"/>
    <x v="11"/>
    <n v="1492.4900807348599"/>
    <n v="90793.146578037195"/>
    <n v="326855.32768093399"/>
  </r>
  <r>
    <x v="0"/>
    <x v="0"/>
    <x v="0"/>
    <x v="0"/>
    <x v="0"/>
    <s v="DK1_Large"/>
    <x v="0"/>
    <x v="0"/>
    <x v="6"/>
    <x v="0"/>
    <n v="855.49502958669495"/>
    <n v="52042.614299857298"/>
    <n v="187353.41147948601"/>
  </r>
  <r>
    <x v="0"/>
    <x v="0"/>
    <x v="0"/>
    <x v="0"/>
    <x v="0"/>
    <s v="DK1_Large"/>
    <x v="0"/>
    <x v="0"/>
    <x v="6"/>
    <x v="1"/>
    <n v="865.45919798454395"/>
    <n v="52648.767877393097"/>
    <n v="189535.564358615"/>
  </r>
  <r>
    <x v="0"/>
    <x v="0"/>
    <x v="0"/>
    <x v="0"/>
    <x v="0"/>
    <s v="DK1_Large"/>
    <x v="0"/>
    <x v="0"/>
    <x v="6"/>
    <x v="2"/>
    <n v="874.71164006825995"/>
    <n v="53211.624770819202"/>
    <n v="191561.84917494899"/>
  </r>
  <r>
    <x v="0"/>
    <x v="0"/>
    <x v="0"/>
    <x v="0"/>
    <x v="0"/>
    <s v="DK1_Large"/>
    <x v="0"/>
    <x v="0"/>
    <x v="6"/>
    <x v="3"/>
    <n v="884.67580846610895"/>
    <n v="53817.778348354899"/>
    <n v="193744.00205407801"/>
  </r>
  <r>
    <x v="0"/>
    <x v="0"/>
    <x v="0"/>
    <x v="0"/>
    <x v="0"/>
    <s v="DK1_Large"/>
    <x v="0"/>
    <x v="0"/>
    <x v="6"/>
    <x v="4"/>
    <n v="913.85658734552203"/>
    <n v="55592.942396852603"/>
    <n v="200134.59262866899"/>
  </r>
  <r>
    <x v="0"/>
    <x v="0"/>
    <x v="0"/>
    <x v="0"/>
    <x v="0"/>
    <s v="DK1_Large"/>
    <x v="0"/>
    <x v="0"/>
    <x v="6"/>
    <x v="5"/>
    <n v="972.21814510434797"/>
    <n v="59143.270493847798"/>
    <n v="212915.77377785201"/>
  </r>
  <r>
    <x v="0"/>
    <x v="0"/>
    <x v="0"/>
    <x v="0"/>
    <x v="0"/>
    <s v="DK1_Large"/>
    <x v="0"/>
    <x v="0"/>
    <x v="6"/>
    <x v="6"/>
    <n v="1020.61553446533"/>
    <n v="62087.445013307297"/>
    <n v="223514.80204790601"/>
  </r>
  <r>
    <x v="0"/>
    <x v="0"/>
    <x v="0"/>
    <x v="0"/>
    <x v="0"/>
    <s v="DK1_Large"/>
    <x v="0"/>
    <x v="0"/>
    <x v="6"/>
    <x v="7"/>
    <n v="1059.7604817425899"/>
    <n v="64468.762639340697"/>
    <n v="232087.545501627"/>
  </r>
  <r>
    <x v="0"/>
    <x v="0"/>
    <x v="0"/>
    <x v="0"/>
    <x v="0"/>
    <s v="DK1_Large"/>
    <x v="0"/>
    <x v="0"/>
    <x v="6"/>
    <x v="8"/>
    <n v="1069.0129238263"/>
    <n v="65031.619532766803"/>
    <n v="234113.83031796"/>
  </r>
  <r>
    <x v="0"/>
    <x v="0"/>
    <x v="0"/>
    <x v="0"/>
    <x v="0"/>
    <s v="DK1_Large"/>
    <x v="0"/>
    <x v="0"/>
    <x v="6"/>
    <x v="9"/>
    <n v="1039.8321449468899"/>
    <n v="63256.455484269201"/>
    <n v="227723.23974336899"/>
  </r>
  <r>
    <x v="0"/>
    <x v="0"/>
    <x v="0"/>
    <x v="0"/>
    <x v="0"/>
    <s v="DK1_Large"/>
    <x v="0"/>
    <x v="0"/>
    <x v="6"/>
    <x v="10"/>
    <n v="1010.65136606748"/>
    <n v="61481.291435771498"/>
    <n v="221332.64916877801"/>
  </r>
  <r>
    <x v="0"/>
    <x v="0"/>
    <x v="0"/>
    <x v="0"/>
    <x v="0"/>
    <s v="DK1_Large"/>
    <x v="0"/>
    <x v="0"/>
    <x v="6"/>
    <x v="11"/>
    <n v="991.43475558591194"/>
    <n v="60312.280964809703"/>
    <n v="217124.21147331499"/>
  </r>
  <r>
    <x v="0"/>
    <x v="0"/>
    <x v="0"/>
    <x v="0"/>
    <x v="0"/>
    <s v="DK1_Large"/>
    <x v="0"/>
    <x v="0"/>
    <x v="7"/>
    <x v="0"/>
    <n v="928.09111362816202"/>
    <n v="56458.876079046502"/>
    <n v="203251.95388456699"/>
  </r>
  <r>
    <x v="0"/>
    <x v="0"/>
    <x v="0"/>
    <x v="0"/>
    <x v="0"/>
    <s v="DK1_Large"/>
    <x v="0"/>
    <x v="0"/>
    <x v="7"/>
    <x v="1"/>
    <n v="938.76700834014196"/>
    <n v="57108.326340692001"/>
    <n v="205589.974826491"/>
  </r>
  <r>
    <x v="0"/>
    <x v="0"/>
    <x v="0"/>
    <x v="0"/>
    <x v="0"/>
    <s v="DK1_Large"/>
    <x v="0"/>
    <x v="0"/>
    <x v="7"/>
    <x v="2"/>
    <n v="949.44290305212303"/>
    <n v="57757.776602337501"/>
    <n v="207927.99576841501"/>
  </r>
  <r>
    <x v="0"/>
    <x v="0"/>
    <x v="0"/>
    <x v="0"/>
    <x v="0"/>
    <s v="DK1_Large"/>
    <x v="0"/>
    <x v="0"/>
    <x v="7"/>
    <x v="3"/>
    <n v="960.11879776410296"/>
    <n v="58407.226863983"/>
    <n v="210266.016710339"/>
  </r>
  <r>
    <x v="0"/>
    <x v="0"/>
    <x v="0"/>
    <x v="0"/>
    <x v="0"/>
    <s v="DK1_Large"/>
    <x v="0"/>
    <x v="0"/>
    <x v="7"/>
    <x v="4"/>
    <n v="991.43475558591194"/>
    <n v="60312.280964809703"/>
    <n v="217124.21147331499"/>
  </r>
  <r>
    <x v="0"/>
    <x v="0"/>
    <x v="0"/>
    <x v="0"/>
    <x v="0"/>
    <s v="DK1_Large"/>
    <x v="0"/>
    <x v="0"/>
    <x v="7"/>
    <x v="5"/>
    <n v="1054.77839754366"/>
    <n v="64165.685850572801"/>
    <n v="230996.46906206201"/>
  </r>
  <r>
    <x v="0"/>
    <x v="0"/>
    <x v="0"/>
    <x v="0"/>
    <x v="0"/>
    <s v="DK1_Large"/>
    <x v="0"/>
    <x v="0"/>
    <x v="7"/>
    <x v="6"/>
    <n v="1107.44614478943"/>
    <n v="67369.640474690503"/>
    <n v="242530.705708886"/>
  </r>
  <r>
    <x v="0"/>
    <x v="0"/>
    <x v="0"/>
    <x v="0"/>
    <x v="0"/>
    <s v="DK1_Large"/>
    <x v="0"/>
    <x v="0"/>
    <x v="7"/>
    <x v="7"/>
    <n v="1149.4379973232201"/>
    <n v="69924.144837162705"/>
    <n v="251726.92141378601"/>
  </r>
  <r>
    <x v="0"/>
    <x v="0"/>
    <x v="0"/>
    <x v="0"/>
    <x v="0"/>
    <s v="DK1_Large"/>
    <x v="0"/>
    <x v="0"/>
    <x v="7"/>
    <x v="8"/>
    <n v="1160.1138920352"/>
    <n v="70573.595098808204"/>
    <n v="254064.942355709"/>
  </r>
  <r>
    <x v="0"/>
    <x v="0"/>
    <x v="0"/>
    <x v="0"/>
    <x v="0"/>
    <s v="DK1_Large"/>
    <x v="0"/>
    <x v="0"/>
    <x v="7"/>
    <x v="9"/>
    <n v="1128.7979342133899"/>
    <n v="68668.540997981399"/>
    <n v="247206.74759273301"/>
  </r>
  <r>
    <x v="0"/>
    <x v="0"/>
    <x v="0"/>
    <x v="0"/>
    <x v="0"/>
    <s v="DK1_Large"/>
    <x v="0"/>
    <x v="0"/>
    <x v="7"/>
    <x v="10"/>
    <n v="1096.7702500774501"/>
    <n v="66720.190213045003"/>
    <n v="240192.68476696199"/>
  </r>
  <r>
    <x v="0"/>
    <x v="0"/>
    <x v="0"/>
    <x v="0"/>
    <x v="0"/>
    <s v="DK1_Large"/>
    <x v="0"/>
    <x v="0"/>
    <x v="7"/>
    <x v="11"/>
    <n v="1076.1301869676199"/>
    <n v="65464.5863738638"/>
    <n v="235672.51094591001"/>
  </r>
  <r>
    <x v="0"/>
    <x v="0"/>
    <x v="0"/>
    <x v="0"/>
    <x v="0"/>
    <s v="DK1_Large"/>
    <x v="0"/>
    <x v="0"/>
    <x v="8"/>
    <x v="0"/>
    <n v="1084.6709027372101"/>
    <n v="65984.146583180103"/>
    <n v="237542.92769944901"/>
  </r>
  <r>
    <x v="0"/>
    <x v="0"/>
    <x v="0"/>
    <x v="0"/>
    <x v="0"/>
    <s v="DK1_Large"/>
    <x v="0"/>
    <x v="0"/>
    <x v="8"/>
    <x v="1"/>
    <n v="1097.48197639158"/>
    <n v="66763.486897154697"/>
    <n v="240348.55282975701"/>
  </r>
  <r>
    <x v="0"/>
    <x v="0"/>
    <x v="0"/>
    <x v="0"/>
    <x v="0"/>
    <s v="DK1_Large"/>
    <x v="0"/>
    <x v="0"/>
    <x v="8"/>
    <x v="2"/>
    <n v="1109.58132373183"/>
    <n v="67499.530527019597"/>
    <n v="242998.30989727"/>
  </r>
  <r>
    <x v="0"/>
    <x v="0"/>
    <x v="0"/>
    <x v="0"/>
    <x v="0"/>
    <s v="DK1_Large"/>
    <x v="0"/>
    <x v="0"/>
    <x v="8"/>
    <x v="3"/>
    <n v="1121.68067107207"/>
    <n v="68235.574156884395"/>
    <n v="245648.066964784"/>
  </r>
  <r>
    <x v="0"/>
    <x v="0"/>
    <x v="0"/>
    <x v="0"/>
    <x v="0"/>
    <s v="DK1_Large"/>
    <x v="0"/>
    <x v="0"/>
    <x v="8"/>
    <x v="4"/>
    <n v="1158.69043940694"/>
    <n v="70487.001730588803"/>
    <n v="253753.20623012001"/>
  </r>
  <r>
    <x v="0"/>
    <x v="0"/>
    <x v="0"/>
    <x v="0"/>
    <x v="0"/>
    <s v="DK1_Large"/>
    <x v="0"/>
    <x v="0"/>
    <x v="8"/>
    <x v="5"/>
    <n v="1232.70997607667"/>
    <n v="74989.856877997401"/>
    <n v="269963.48476079101"/>
  </r>
  <r>
    <x v="0"/>
    <x v="0"/>
    <x v="0"/>
    <x v="0"/>
    <x v="0"/>
    <s v="DK1_Large"/>
    <x v="0"/>
    <x v="0"/>
    <x v="8"/>
    <x v="6"/>
    <n v="1294.6301654061599"/>
    <n v="78756.668395541099"/>
    <n v="283524.00622394797"/>
  </r>
  <r>
    <x v="0"/>
    <x v="0"/>
    <x v="0"/>
    <x v="0"/>
    <x v="0"/>
    <s v="DK1_Large"/>
    <x v="0"/>
    <x v="0"/>
    <x v="8"/>
    <x v="7"/>
    <n v="1343.7392810812701"/>
    <n v="81744.139599110305"/>
    <n v="294278.90255679702"/>
  </r>
  <r>
    <x v="0"/>
    <x v="0"/>
    <x v="0"/>
    <x v="0"/>
    <x v="0"/>
    <s v="DK1_Large"/>
    <x v="0"/>
    <x v="0"/>
    <x v="8"/>
    <x v="8"/>
    <n v="1355.8386284215101"/>
    <n v="82480.183228975206"/>
    <n v="296928.65962431103"/>
  </r>
  <r>
    <x v="0"/>
    <x v="0"/>
    <x v="0"/>
    <x v="0"/>
    <x v="0"/>
    <s v="DK1_Large"/>
    <x v="0"/>
    <x v="0"/>
    <x v="8"/>
    <x v="9"/>
    <n v="1318.8288600866399"/>
    <n v="80228.755655270899"/>
    <n v="288823.52035897499"/>
  </r>
  <r>
    <x v="0"/>
    <x v="0"/>
    <x v="0"/>
    <x v="0"/>
    <x v="0"/>
    <s v="DK1_Large"/>
    <x v="0"/>
    <x v="0"/>
    <x v="8"/>
    <x v="10"/>
    <n v="1281.81909175178"/>
    <n v="77977.328081566593"/>
    <n v="280718.38109364"/>
  </r>
  <r>
    <x v="0"/>
    <x v="0"/>
    <x v="0"/>
    <x v="0"/>
    <x v="0"/>
    <s v="DK1_Large"/>
    <x v="0"/>
    <x v="0"/>
    <x v="8"/>
    <x v="11"/>
    <n v="1257.62039707129"/>
    <n v="76505.240821836793"/>
    <n v="275418.86695861298"/>
  </r>
  <r>
    <x v="0"/>
    <x v="0"/>
    <x v="0"/>
    <x v="0"/>
    <x v="0"/>
    <s v="DK1_Large"/>
    <x v="0"/>
    <x v="0"/>
    <x v="9"/>
    <x v="0"/>
    <n v="1044.1025028316801"/>
    <n v="63516.235588927302"/>
    <n v="228658.448120138"/>
  </r>
  <r>
    <x v="0"/>
    <x v="0"/>
    <x v="0"/>
    <x v="0"/>
    <x v="0"/>
    <s v="DK1_Large"/>
    <x v="0"/>
    <x v="0"/>
    <x v="9"/>
    <x v="1"/>
    <n v="1044.1025028316801"/>
    <n v="63516.235588927302"/>
    <n v="228658.448120138"/>
  </r>
  <r>
    <x v="0"/>
    <x v="0"/>
    <x v="0"/>
    <x v="0"/>
    <x v="0"/>
    <s v="DK1_Large"/>
    <x v="0"/>
    <x v="0"/>
    <x v="9"/>
    <x v="2"/>
    <n v="1056.2018501719299"/>
    <n v="64252.279218792202"/>
    <n v="231308.205187652"/>
  </r>
  <r>
    <x v="0"/>
    <x v="0"/>
    <x v="0"/>
    <x v="0"/>
    <x v="0"/>
    <s v="DK1_Large"/>
    <x v="0"/>
    <x v="0"/>
    <x v="9"/>
    <x v="3"/>
    <n v="1128.7979342133899"/>
    <n v="68668.540997981399"/>
    <n v="247206.74759273301"/>
  </r>
  <r>
    <x v="0"/>
    <x v="0"/>
    <x v="0"/>
    <x v="0"/>
    <x v="0"/>
    <s v="DK1_Large"/>
    <x v="0"/>
    <x v="0"/>
    <x v="9"/>
    <x v="4"/>
    <n v="1238.4037865897301"/>
    <n v="75336.230350875005"/>
    <n v="271210.42926315003"/>
  </r>
  <r>
    <x v="0"/>
    <x v="0"/>
    <x v="0"/>
    <x v="0"/>
    <x v="0"/>
    <s v="DK1_Large"/>
    <x v="0"/>
    <x v="0"/>
    <x v="9"/>
    <x v="5"/>
    <n v="1419.8939966933899"/>
    <n v="86376.884798847997"/>
    <n v="310956.78527585301"/>
  </r>
  <r>
    <x v="0"/>
    <x v="0"/>
    <x v="0"/>
    <x v="0"/>
    <x v="0"/>
    <s v="DK1_Large"/>
    <x v="0"/>
    <x v="0"/>
    <x v="9"/>
    <x v="6"/>
    <n v="1444.8044176880101"/>
    <n v="87892.268742687505"/>
    <n v="316412.16747367498"/>
  </r>
  <r>
    <x v="0"/>
    <x v="0"/>
    <x v="0"/>
    <x v="0"/>
    <x v="0"/>
    <s v="DK1_Large"/>
    <x v="0"/>
    <x v="0"/>
    <x v="9"/>
    <x v="7"/>
    <n v="1431.9933440336399"/>
    <n v="87112.928428712898"/>
    <n v="313606.54234336602"/>
  </r>
  <r>
    <x v="0"/>
    <x v="0"/>
    <x v="0"/>
    <x v="0"/>
    <x v="0"/>
    <s v="DK1_Large"/>
    <x v="0"/>
    <x v="0"/>
    <x v="9"/>
    <x v="8"/>
    <n v="1395.6953020128999"/>
    <n v="84904.797539118299"/>
    <n v="305657.27114082599"/>
  </r>
  <r>
    <x v="0"/>
    <x v="0"/>
    <x v="0"/>
    <x v="0"/>
    <x v="0"/>
    <s v="DK1_Large"/>
    <x v="0"/>
    <x v="0"/>
    <x v="9"/>
    <x v="9"/>
    <n v="1310.9998706311901"/>
    <n v="79752.492130064202"/>
    <n v="287108.97166823101"/>
  </r>
  <r>
    <x v="0"/>
    <x v="0"/>
    <x v="0"/>
    <x v="0"/>
    <x v="0"/>
    <s v="DK1_Large"/>
    <x v="0"/>
    <x v="0"/>
    <x v="9"/>
    <x v="10"/>
    <n v="1250.5031339299701"/>
    <n v="76072.273980739803"/>
    <n v="273860.18633066298"/>
  </r>
  <r>
    <x v="0"/>
    <x v="0"/>
    <x v="0"/>
    <x v="0"/>
    <x v="0"/>
    <s v="DK1_Large"/>
    <x v="0"/>
    <x v="0"/>
    <x v="9"/>
    <x v="11"/>
    <n v="1189.2946709146199"/>
    <n v="72348.759147305798"/>
    <n v="260455.53293030101"/>
  </r>
  <r>
    <x v="0"/>
    <x v="0"/>
    <x v="0"/>
    <x v="0"/>
    <x v="0"/>
    <s v="DK1_Large"/>
    <x v="0"/>
    <x v="0"/>
    <x v="10"/>
    <x v="0"/>
    <n v="757.98852455060796"/>
    <n v="46110.9685768286"/>
    <n v="165999.48687658299"/>
  </r>
  <r>
    <x v="0"/>
    <x v="0"/>
    <x v="0"/>
    <x v="0"/>
    <x v="0"/>
    <s v="DK1_Large"/>
    <x v="0"/>
    <x v="0"/>
    <x v="10"/>
    <x v="1"/>
    <n v="757.98852455060796"/>
    <n v="46110.9685768286"/>
    <n v="165999.48687658299"/>
  </r>
  <r>
    <x v="0"/>
    <x v="0"/>
    <x v="0"/>
    <x v="0"/>
    <x v="0"/>
    <s v="DK1_Large"/>
    <x v="0"/>
    <x v="0"/>
    <x v="10"/>
    <x v="2"/>
    <n v="766.529240320192"/>
    <n v="46630.528786144998"/>
    <n v="167869.90363012199"/>
  </r>
  <r>
    <x v="0"/>
    <x v="0"/>
    <x v="0"/>
    <x v="0"/>
    <x v="0"/>
    <s v="DK1_Large"/>
    <x v="0"/>
    <x v="0"/>
    <x v="10"/>
    <x v="3"/>
    <n v="819.19698756596199"/>
    <n v="49834.483410262699"/>
    <n v="179404.14027694601"/>
  </r>
  <r>
    <x v="0"/>
    <x v="0"/>
    <x v="0"/>
    <x v="0"/>
    <x v="0"/>
    <s v="DK1_Large"/>
    <x v="0"/>
    <x v="0"/>
    <x v="10"/>
    <x v="4"/>
    <n v="898.91033474874905"/>
    <n v="54683.712030548901"/>
    <n v="196861.363309976"/>
  </r>
  <r>
    <x v="0"/>
    <x v="0"/>
    <x v="0"/>
    <x v="0"/>
    <x v="0"/>
    <s v="DK1_Large"/>
    <x v="0"/>
    <x v="0"/>
    <x v="10"/>
    <x v="5"/>
    <n v="1030.57970286317"/>
    <n v="62693.598590843103"/>
    <n v="225696.954927035"/>
  </r>
  <r>
    <x v="0"/>
    <x v="0"/>
    <x v="0"/>
    <x v="0"/>
    <x v="0"/>
    <s v="DK1_Large"/>
    <x v="0"/>
    <x v="0"/>
    <x v="10"/>
    <x v="6"/>
    <n v="1048.3728607164701"/>
    <n v="63776.015693585498"/>
    <n v="229593.65649690799"/>
  </r>
  <r>
    <x v="0"/>
    <x v="0"/>
    <x v="0"/>
    <x v="0"/>
    <x v="0"/>
    <s v="DK1_Large"/>
    <x v="0"/>
    <x v="0"/>
    <x v="10"/>
    <x v="7"/>
    <n v="1039.8321449468899"/>
    <n v="63256.455484269201"/>
    <n v="227723.23974336899"/>
  </r>
  <r>
    <x v="0"/>
    <x v="0"/>
    <x v="0"/>
    <x v="0"/>
    <x v="0"/>
    <s v="DK1_Large"/>
    <x v="0"/>
    <x v="0"/>
    <x v="10"/>
    <x v="8"/>
    <n v="1013.49827132401"/>
    <n v="61654.4781722103"/>
    <n v="221956.12141995699"/>
  </r>
  <r>
    <x v="0"/>
    <x v="0"/>
    <x v="0"/>
    <x v="0"/>
    <x v="0"/>
    <s v="DK1_Large"/>
    <x v="0"/>
    <x v="0"/>
    <x v="10"/>
    <x v="9"/>
    <n v="951.57808199451904"/>
    <n v="57887.666654666602"/>
    <n v="208395.5999568"/>
  </r>
  <r>
    <x v="0"/>
    <x v="0"/>
    <x v="0"/>
    <x v="0"/>
    <x v="0"/>
    <s v="DK1_Large"/>
    <x v="0"/>
    <x v="0"/>
    <x v="10"/>
    <x v="10"/>
    <n v="907.45105051833298"/>
    <n v="55203.272239865299"/>
    <n v="198731.78006351501"/>
  </r>
  <r>
    <x v="0"/>
    <x v="0"/>
    <x v="0"/>
    <x v="0"/>
    <x v="0"/>
    <s v="DK1_Large"/>
    <x v="0"/>
    <x v="0"/>
    <x v="10"/>
    <x v="11"/>
    <n v="863.32401904214805"/>
    <n v="52518.877825064003"/>
    <n v="189067.96017023001"/>
  </r>
  <r>
    <x v="0"/>
    <x v="0"/>
    <x v="0"/>
    <x v="0"/>
    <x v="0"/>
    <s v="DK1_Large"/>
    <x v="0"/>
    <x v="0"/>
    <x v="11"/>
    <x v="0"/>
    <n v="1130.9331131557899"/>
    <n v="68798.431050310493"/>
    <n v="247674.35178111799"/>
  </r>
  <r>
    <x v="0"/>
    <x v="0"/>
    <x v="0"/>
    <x v="0"/>
    <x v="0"/>
    <s v="DK1_Large"/>
    <x v="0"/>
    <x v="0"/>
    <x v="11"/>
    <x v="1"/>
    <n v="1130.9331131557899"/>
    <n v="68798.431050310493"/>
    <n v="247674.35178111799"/>
  </r>
  <r>
    <x v="0"/>
    <x v="0"/>
    <x v="0"/>
    <x v="0"/>
    <x v="0"/>
    <s v="DK1_Large"/>
    <x v="0"/>
    <x v="0"/>
    <x v="11"/>
    <x v="2"/>
    <n v="1144.4559131243"/>
    <n v="69621.068048394794"/>
    <n v="250635.84497422099"/>
  </r>
  <r>
    <x v="0"/>
    <x v="0"/>
    <x v="0"/>
    <x v="0"/>
    <x v="0"/>
    <s v="DK1_Large"/>
    <x v="0"/>
    <x v="0"/>
    <x v="11"/>
    <x v="3"/>
    <n v="1222.74580767882"/>
    <n v="74383.703300461595"/>
    <n v="267781.33188166202"/>
  </r>
  <r>
    <x v="0"/>
    <x v="0"/>
    <x v="0"/>
    <x v="0"/>
    <x v="0"/>
    <s v="DK1_Large"/>
    <x v="0"/>
    <x v="0"/>
    <x v="11"/>
    <x v="4"/>
    <n v="1341.6041021388701"/>
    <n v="81614.249546781197"/>
    <n v="293811.29836841201"/>
  </r>
  <r>
    <x v="0"/>
    <x v="0"/>
    <x v="0"/>
    <x v="0"/>
    <x v="0"/>
    <s v="DK1_Large"/>
    <x v="0"/>
    <x v="0"/>
    <x v="11"/>
    <x v="5"/>
    <n v="1538.75229115344"/>
    <n v="93607.431045167599"/>
    <n v="336986.751762603"/>
  </r>
  <r>
    <x v="0"/>
    <x v="0"/>
    <x v="0"/>
    <x v="0"/>
    <x v="0"/>
    <s v="DK1_Large"/>
    <x v="0"/>
    <x v="0"/>
    <x v="11"/>
    <x v="6"/>
    <n v="1565.08616477633"/>
    <n v="95209.408357226494"/>
    <n v="342753.87008601503"/>
  </r>
  <r>
    <x v="0"/>
    <x v="0"/>
    <x v="0"/>
    <x v="0"/>
    <x v="0"/>
    <s v="DK1_Large"/>
    <x v="0"/>
    <x v="0"/>
    <x v="11"/>
    <x v="7"/>
    <n v="1551.5633648078201"/>
    <n v="94386.771359142207"/>
    <n v="339792.37689291203"/>
  </r>
  <r>
    <x v="0"/>
    <x v="0"/>
    <x v="0"/>
    <x v="0"/>
    <x v="0"/>
    <s v="DK1_Large"/>
    <x v="0"/>
    <x v="0"/>
    <x v="11"/>
    <x v="8"/>
    <n v="1512.41841753056"/>
    <n v="92005.453733108807"/>
    <n v="331219.63343919202"/>
  </r>
  <r>
    <x v="0"/>
    <x v="0"/>
    <x v="0"/>
    <x v="0"/>
    <x v="0"/>
    <s v="DK1_Large"/>
    <x v="0"/>
    <x v="0"/>
    <x v="11"/>
    <x v="9"/>
    <n v="1420.6057230075201"/>
    <n v="86420.181482957705"/>
    <n v="311112.65333864797"/>
  </r>
  <r>
    <x v="0"/>
    <x v="0"/>
    <x v="0"/>
    <x v="0"/>
    <x v="0"/>
    <s v="DK1_Large"/>
    <x v="0"/>
    <x v="0"/>
    <x v="11"/>
    <x v="10"/>
    <n v="1354.41517579325"/>
    <n v="82393.589860755805"/>
    <n v="296616.92349872098"/>
  </r>
  <r>
    <x v="0"/>
    <x v="0"/>
    <x v="0"/>
    <x v="0"/>
    <x v="0"/>
    <s v="DK1_Large"/>
    <x v="0"/>
    <x v="0"/>
    <x v="11"/>
    <x v="11"/>
    <n v="1288.9363548931001"/>
    <n v="78410.294922663496"/>
    <n v="282277.06172158901"/>
  </r>
  <r>
    <x v="0"/>
    <x v="0"/>
    <x v="0"/>
    <x v="0"/>
    <x v="0"/>
    <s v="DK1_MedSmall"/>
    <x v="0"/>
    <x v="0"/>
    <x v="0"/>
    <x v="0"/>
    <n v="251.63359895239299"/>
    <n v="15307.710602937301"/>
    <n v="55107.758170574198"/>
  </r>
  <r>
    <x v="0"/>
    <x v="0"/>
    <x v="0"/>
    <x v="0"/>
    <x v="0"/>
    <s v="DK1_MedSmall"/>
    <x v="0"/>
    <x v="0"/>
    <x v="0"/>
    <x v="1"/>
    <n v="249.395434793986"/>
    <n v="15171.555616634099"/>
    <n v="54617.600219882901"/>
  </r>
  <r>
    <x v="0"/>
    <x v="0"/>
    <x v="0"/>
    <x v="0"/>
    <x v="0"/>
    <s v="DK1_MedSmall"/>
    <x v="0"/>
    <x v="0"/>
    <x v="0"/>
    <x v="2"/>
    <n v="246.35792629329001"/>
    <n v="14986.7738495085"/>
    <n v="53952.385858230497"/>
  </r>
  <r>
    <x v="0"/>
    <x v="0"/>
    <x v="0"/>
    <x v="0"/>
    <x v="0"/>
    <s v="DK1_MedSmall"/>
    <x v="0"/>
    <x v="0"/>
    <x v="0"/>
    <x v="3"/>
    <n v="245.558581951001"/>
    <n v="14938.147068685899"/>
    <n v="53777.329447269301"/>
  </r>
  <r>
    <x v="0"/>
    <x v="0"/>
    <x v="0"/>
    <x v="0"/>
    <x v="0"/>
    <s v="DK1_MedSmall"/>
    <x v="0"/>
    <x v="0"/>
    <x v="0"/>
    <x v="4"/>
    <n v="244.59936874025499"/>
    <n v="14879.7949316989"/>
    <n v="53567.261754115898"/>
  </r>
  <r>
    <x v="0"/>
    <x v="0"/>
    <x v="0"/>
    <x v="0"/>
    <x v="0"/>
    <s v="DK1_MedSmall"/>
    <x v="0"/>
    <x v="0"/>
    <x v="0"/>
    <x v="5"/>
    <n v="244.59936874025499"/>
    <n v="14879.7949316989"/>
    <n v="53567.261754115898"/>
  </r>
  <r>
    <x v="0"/>
    <x v="0"/>
    <x v="0"/>
    <x v="0"/>
    <x v="0"/>
    <s v="DK1_MedSmall"/>
    <x v="0"/>
    <x v="0"/>
    <x v="0"/>
    <x v="6"/>
    <n v="249.23556592552799"/>
    <n v="15161.8302604696"/>
    <n v="54582.5889376907"/>
  </r>
  <r>
    <x v="0"/>
    <x v="0"/>
    <x v="0"/>
    <x v="0"/>
    <x v="0"/>
    <s v="DK1_MedSmall"/>
    <x v="0"/>
    <x v="0"/>
    <x v="0"/>
    <x v="7"/>
    <n v="253.871763110801"/>
    <n v="15443.8655892404"/>
    <n v="55597.9161212654"/>
  </r>
  <r>
    <x v="0"/>
    <x v="0"/>
    <x v="0"/>
    <x v="0"/>
    <x v="0"/>
    <s v="DK1_MedSmall"/>
    <x v="0"/>
    <x v="0"/>
    <x v="0"/>
    <x v="8"/>
    <n v="255.63032066383499"/>
    <n v="15550.84450705"/>
    <n v="55983.040225379998"/>
  </r>
  <r>
    <x v="0"/>
    <x v="0"/>
    <x v="0"/>
    <x v="0"/>
    <x v="0"/>
    <s v="DK1_MedSmall"/>
    <x v="0"/>
    <x v="0"/>
    <x v="0"/>
    <x v="9"/>
    <n v="258.82769803298902"/>
    <n v="15745.351630340199"/>
    <n v="56683.265869224597"/>
  </r>
  <r>
    <x v="0"/>
    <x v="0"/>
    <x v="0"/>
    <x v="0"/>
    <x v="0"/>
    <s v="DK1_MedSmall"/>
    <x v="0"/>
    <x v="0"/>
    <x v="0"/>
    <x v="10"/>
    <n v="262.66455087597399"/>
    <n v="15978.760178288399"/>
    <n v="57523.536641838196"/>
  </r>
  <r>
    <x v="0"/>
    <x v="0"/>
    <x v="0"/>
    <x v="0"/>
    <x v="0"/>
    <s v="DK1_MedSmall"/>
    <x v="0"/>
    <x v="0"/>
    <x v="0"/>
    <x v="11"/>
    <n v="263.14415748134701"/>
    <n v="16007.936246781899"/>
    <n v="57628.570488414902"/>
  </r>
  <r>
    <x v="0"/>
    <x v="0"/>
    <x v="0"/>
    <x v="0"/>
    <x v="0"/>
    <s v="DK1_MedSmall"/>
    <x v="0"/>
    <x v="0"/>
    <x v="1"/>
    <x v="0"/>
    <n v="161.46755714226001"/>
    <n v="9822.6097261541508"/>
    <n v="35361.395014155001"/>
  </r>
  <r>
    <x v="0"/>
    <x v="0"/>
    <x v="0"/>
    <x v="0"/>
    <x v="0"/>
    <s v="DK1_MedSmall"/>
    <x v="0"/>
    <x v="0"/>
    <x v="1"/>
    <x v="1"/>
    <n v="159.70899958922601"/>
    <n v="9715.6308083445601"/>
    <n v="34976.270910040403"/>
  </r>
  <r>
    <x v="0"/>
    <x v="0"/>
    <x v="0"/>
    <x v="0"/>
    <x v="0"/>
    <s v="DK1_MedSmall"/>
    <x v="0"/>
    <x v="0"/>
    <x v="1"/>
    <x v="2"/>
    <n v="158.110310904649"/>
    <n v="9618.3772466994596"/>
    <n v="34626.1580881181"/>
  </r>
  <r>
    <x v="0"/>
    <x v="0"/>
    <x v="0"/>
    <x v="0"/>
    <x v="0"/>
    <s v="DK1_MedSmall"/>
    <x v="0"/>
    <x v="0"/>
    <x v="1"/>
    <x v="3"/>
    <n v="160.50834393151399"/>
    <n v="9764.2575891671004"/>
    <n v="35151.327321001598"/>
  </r>
  <r>
    <x v="0"/>
    <x v="0"/>
    <x v="0"/>
    <x v="0"/>
    <x v="0"/>
    <s v="DK1_MedSmall"/>
    <x v="0"/>
    <x v="0"/>
    <x v="1"/>
    <x v="4"/>
    <n v="162.26690148454901"/>
    <n v="9871.2365069767002"/>
    <n v="35536.451425116102"/>
  </r>
  <r>
    <x v="0"/>
    <x v="0"/>
    <x v="0"/>
    <x v="0"/>
    <x v="0"/>
    <s v="DK1_MedSmall"/>
    <x v="0"/>
    <x v="0"/>
    <x v="1"/>
    <x v="5"/>
    <n v="190.243953464643"/>
    <n v="11573.1738357658"/>
    <n v="41663.425808756801"/>
  </r>
  <r>
    <x v="0"/>
    <x v="0"/>
    <x v="0"/>
    <x v="0"/>
    <x v="0"/>
    <s v="DK1_MedSmall"/>
    <x v="0"/>
    <x v="0"/>
    <x v="1"/>
    <x v="6"/>
    <n v="260.26651784910803"/>
    <n v="15832.879835820801"/>
    <n v="56998.367408954698"/>
  </r>
  <r>
    <x v="0"/>
    <x v="0"/>
    <x v="0"/>
    <x v="0"/>
    <x v="0"/>
    <s v="DK1_MedSmall"/>
    <x v="0"/>
    <x v="0"/>
    <x v="1"/>
    <x v="7"/>
    <n v="301.99229251656402"/>
    <n v="18371.197794757602"/>
    <n v="66136.312061127406"/>
  </r>
  <r>
    <x v="0"/>
    <x v="0"/>
    <x v="0"/>
    <x v="0"/>
    <x v="0"/>
    <s v="DK1_MedSmall"/>
    <x v="0"/>
    <x v="0"/>
    <x v="1"/>
    <x v="8"/>
    <n v="308.22717838641302"/>
    <n v="18750.486685173499"/>
    <n v="67501.752066624496"/>
  </r>
  <r>
    <x v="0"/>
    <x v="0"/>
    <x v="0"/>
    <x v="0"/>
    <x v="0"/>
    <s v="DK1_MedSmall"/>
    <x v="0"/>
    <x v="0"/>
    <x v="1"/>
    <x v="9"/>
    <n v="307.42783404412501"/>
    <n v="18701.859904350898"/>
    <n v="67326.695655663294"/>
  </r>
  <r>
    <x v="0"/>
    <x v="0"/>
    <x v="0"/>
    <x v="0"/>
    <x v="0"/>
    <s v="DK1_MedSmall"/>
    <x v="0"/>
    <x v="0"/>
    <x v="1"/>
    <x v="10"/>
    <n v="308.86665386024401"/>
    <n v="18789.3881098315"/>
    <n v="67641.797195393505"/>
  </r>
  <r>
    <x v="0"/>
    <x v="0"/>
    <x v="0"/>
    <x v="0"/>
    <x v="0"/>
    <s v="DK1_MedSmall"/>
    <x v="0"/>
    <x v="0"/>
    <x v="1"/>
    <x v="11"/>
    <n v="307.42783404412501"/>
    <n v="18701.859904350898"/>
    <n v="67326.695655663294"/>
  </r>
  <r>
    <x v="0"/>
    <x v="0"/>
    <x v="0"/>
    <x v="0"/>
    <x v="0"/>
    <s v="DK1_MedSmall"/>
    <x v="0"/>
    <x v="0"/>
    <x v="2"/>
    <x v="0"/>
    <n v="210.54729975876899"/>
    <n v="12808.294068658401"/>
    <n v="46109.858647170397"/>
  </r>
  <r>
    <x v="0"/>
    <x v="0"/>
    <x v="0"/>
    <x v="0"/>
    <x v="0"/>
    <s v="DK1_MedSmall"/>
    <x v="0"/>
    <x v="0"/>
    <x v="2"/>
    <x v="1"/>
    <n v="205.59136483658099"/>
    <n v="12506.8080275587"/>
    <n v="45024.5088992112"/>
  </r>
  <r>
    <x v="0"/>
    <x v="0"/>
    <x v="0"/>
    <x v="0"/>
    <x v="0"/>
    <s v="DK1_MedSmall"/>
    <x v="0"/>
    <x v="0"/>
    <x v="2"/>
    <x v="2"/>
    <n v="203.99267615200401"/>
    <n v="12409.554465913599"/>
    <n v="44674.396077288802"/>
  </r>
  <r>
    <x v="0"/>
    <x v="0"/>
    <x v="0"/>
    <x v="0"/>
    <x v="0"/>
    <s v="DK1_MedSmall"/>
    <x v="0"/>
    <x v="0"/>
    <x v="2"/>
    <x v="3"/>
    <n v="203.03346294125799"/>
    <n v="12351.2023289265"/>
    <n v="44464.328384135399"/>
  </r>
  <r>
    <x v="0"/>
    <x v="0"/>
    <x v="0"/>
    <x v="0"/>
    <x v="0"/>
    <s v="DK1_MedSmall"/>
    <x v="0"/>
    <x v="0"/>
    <x v="2"/>
    <x v="4"/>
    <n v="203.51306954663099"/>
    <n v="12380.37839742"/>
    <n v="44569.362230712097"/>
  </r>
  <r>
    <x v="0"/>
    <x v="0"/>
    <x v="0"/>
    <x v="0"/>
    <x v="0"/>
    <s v="DK1_MedSmall"/>
    <x v="0"/>
    <x v="0"/>
    <x v="2"/>
    <x v="5"/>
    <n v="213.10520165409201"/>
    <n v="12963.899767290601"/>
    <n v="46670.039162246103"/>
  </r>
  <r>
    <x v="0"/>
    <x v="0"/>
    <x v="0"/>
    <x v="0"/>
    <x v="0"/>
    <s v="DK1_MedSmall"/>
    <x v="0"/>
    <x v="0"/>
    <x v="2"/>
    <x v="6"/>
    <n v="258.348091427616"/>
    <n v="15716.1755618466"/>
    <n v="56578.232022647899"/>
  </r>
  <r>
    <x v="0"/>
    <x v="0"/>
    <x v="0"/>
    <x v="0"/>
    <x v="0"/>
    <s v="DK1_MedSmall"/>
    <x v="0"/>
    <x v="0"/>
    <x v="2"/>
    <x v="7"/>
    <n v="300.39360383198698"/>
    <n v="18273.944233112499"/>
    <n v="65786.199239205103"/>
  </r>
  <r>
    <x v="0"/>
    <x v="0"/>
    <x v="0"/>
    <x v="0"/>
    <x v="0"/>
    <s v="DK1_MedSmall"/>
    <x v="0"/>
    <x v="0"/>
    <x v="2"/>
    <x v="8"/>
    <n v="304.07058780651403"/>
    <n v="18497.6274248962"/>
    <n v="66591.458729626494"/>
  </r>
  <r>
    <x v="0"/>
    <x v="0"/>
    <x v="0"/>
    <x v="0"/>
    <x v="0"/>
    <s v="DK1_MedSmall"/>
    <x v="0"/>
    <x v="0"/>
    <x v="2"/>
    <x v="9"/>
    <n v="301.19294817427499"/>
    <n v="18322.571013935099"/>
    <n v="65961.255650166306"/>
  </r>
  <r>
    <x v="0"/>
    <x v="0"/>
    <x v="0"/>
    <x v="0"/>
    <x v="0"/>
    <s v="DK1_MedSmall"/>
    <x v="0"/>
    <x v="0"/>
    <x v="2"/>
    <x v="10"/>
    <n v="303.11137459576702"/>
    <n v="18439.2752879092"/>
    <n v="66381.391036473098"/>
  </r>
  <r>
    <x v="0"/>
    <x v="0"/>
    <x v="0"/>
    <x v="0"/>
    <x v="0"/>
    <s v="DK1_MedSmall"/>
    <x v="0"/>
    <x v="0"/>
    <x v="2"/>
    <x v="11"/>
    <n v="301.512685911191"/>
    <n v="18342.021726264102"/>
    <n v="66031.278214550694"/>
  </r>
  <r>
    <x v="0"/>
    <x v="0"/>
    <x v="0"/>
    <x v="0"/>
    <x v="0"/>
    <s v="DK1_MedSmall"/>
    <x v="0"/>
    <x v="0"/>
    <x v="3"/>
    <x v="0"/>
    <n v="207.669660126531"/>
    <n v="12633.2376576973"/>
    <n v="45479.655567710201"/>
  </r>
  <r>
    <x v="0"/>
    <x v="0"/>
    <x v="0"/>
    <x v="0"/>
    <x v="0"/>
    <s v="DK1_MedSmall"/>
    <x v="0"/>
    <x v="0"/>
    <x v="3"/>
    <x v="1"/>
    <n v="203.193331809715"/>
    <n v="12360.927685090999"/>
    <n v="44499.339666327702"/>
  </r>
  <r>
    <x v="0"/>
    <x v="0"/>
    <x v="0"/>
    <x v="0"/>
    <x v="0"/>
    <s v="DK1_MedSmall"/>
    <x v="0"/>
    <x v="0"/>
    <x v="3"/>
    <x v="2"/>
    <n v="198.23739688752701"/>
    <n v="12059.4416439912"/>
    <n v="43413.989918368497"/>
  </r>
  <r>
    <x v="0"/>
    <x v="0"/>
    <x v="0"/>
    <x v="0"/>
    <x v="0"/>
    <s v="DK1_MedSmall"/>
    <x v="0"/>
    <x v="0"/>
    <x v="3"/>
    <x v="3"/>
    <n v="197.917659150612"/>
    <n v="12039.9909316622"/>
    <n v="43343.967353984001"/>
  </r>
  <r>
    <x v="0"/>
    <x v="0"/>
    <x v="0"/>
    <x v="0"/>
    <x v="0"/>
    <s v="DK1_MedSmall"/>
    <x v="0"/>
    <x v="0"/>
    <x v="3"/>
    <x v="4"/>
    <n v="199.67621670364599"/>
    <n v="12146.9698494718"/>
    <n v="43729.091458098599"/>
  </r>
  <r>
    <x v="0"/>
    <x v="0"/>
    <x v="0"/>
    <x v="0"/>
    <x v="0"/>
    <s v="DK1_MedSmall"/>
    <x v="0"/>
    <x v="0"/>
    <x v="3"/>
    <x v="5"/>
    <n v="211.98611957488799"/>
    <n v="12895.822274139"/>
    <n v="46424.960186900498"/>
  </r>
  <r>
    <x v="0"/>
    <x v="0"/>
    <x v="0"/>
    <x v="0"/>
    <x v="0"/>
    <s v="DK1_MedSmall"/>
    <x v="0"/>
    <x v="0"/>
    <x v="3"/>
    <x v="6"/>
    <n v="255.790189532293"/>
    <n v="15560.569863214499"/>
    <n v="56018.0515075722"/>
  </r>
  <r>
    <x v="0"/>
    <x v="0"/>
    <x v="0"/>
    <x v="0"/>
    <x v="0"/>
    <s v="DK1_MedSmall"/>
    <x v="0"/>
    <x v="0"/>
    <x v="3"/>
    <x v="7"/>
    <n v="289.36265190840697"/>
    <n v="17602.894657761401"/>
    <n v="63370.420767941097"/>
  </r>
  <r>
    <x v="0"/>
    <x v="0"/>
    <x v="0"/>
    <x v="0"/>
    <x v="0"/>
    <s v="DK1_MedSmall"/>
    <x v="0"/>
    <x v="0"/>
    <x v="3"/>
    <x v="8"/>
    <n v="291.60081606681399"/>
    <n v="17739.0496440645"/>
    <n v="63860.5787186323"/>
  </r>
  <r>
    <x v="0"/>
    <x v="0"/>
    <x v="0"/>
    <x v="0"/>
    <x v="0"/>
    <s v="DK1_MedSmall"/>
    <x v="0"/>
    <x v="0"/>
    <x v="3"/>
    <x v="9"/>
    <n v="290.96134059298299"/>
    <n v="17700.148219406499"/>
    <n v="63720.5335898634"/>
  </r>
  <r>
    <x v="0"/>
    <x v="0"/>
    <x v="0"/>
    <x v="0"/>
    <x v="0"/>
    <s v="DK1_MedSmall"/>
    <x v="0"/>
    <x v="0"/>
    <x v="3"/>
    <x v="10"/>
    <n v="290.641602856068"/>
    <n v="17680.697507077501"/>
    <n v="63650.511025478903"/>
  </r>
  <r>
    <x v="0"/>
    <x v="0"/>
    <x v="0"/>
    <x v="0"/>
    <x v="0"/>
    <s v="DK1_MedSmall"/>
    <x v="0"/>
    <x v="0"/>
    <x v="3"/>
    <x v="11"/>
    <n v="291.281078329899"/>
    <n v="17719.598931735502"/>
    <n v="63790.556154247897"/>
  </r>
  <r>
    <x v="0"/>
    <x v="0"/>
    <x v="0"/>
    <x v="0"/>
    <x v="0"/>
    <s v="DK1_MedSmall"/>
    <x v="0"/>
    <x v="0"/>
    <x v="4"/>
    <x v="0"/>
    <n v="188.965002516982"/>
    <n v="11495.3709864497"/>
    <n v="41383.335551219003"/>
  </r>
  <r>
    <x v="0"/>
    <x v="0"/>
    <x v="0"/>
    <x v="0"/>
    <x v="0"/>
    <s v="DK1_MedSmall"/>
    <x v="0"/>
    <x v="0"/>
    <x v="4"/>
    <x v="1"/>
    <n v="194.080806307627"/>
    <n v="11806.582383714"/>
    <n v="42503.696581370401"/>
  </r>
  <r>
    <x v="0"/>
    <x v="0"/>
    <x v="0"/>
    <x v="0"/>
    <x v="0"/>
    <s v="DK1_MedSmall"/>
    <x v="0"/>
    <x v="0"/>
    <x v="4"/>
    <x v="2"/>
    <n v="195.04001951837401"/>
    <n v="11864.934520701099"/>
    <n v="42713.764274523797"/>
  </r>
  <r>
    <x v="0"/>
    <x v="0"/>
    <x v="0"/>
    <x v="0"/>
    <x v="0"/>
    <s v="DK1_MedSmall"/>
    <x v="0"/>
    <x v="0"/>
    <x v="4"/>
    <x v="3"/>
    <n v="195.519626123747"/>
    <n v="11894.110589194601"/>
    <n v="42818.798121100503"/>
  </r>
  <r>
    <x v="0"/>
    <x v="0"/>
    <x v="0"/>
    <x v="0"/>
    <x v="0"/>
    <s v="DK1_MedSmall"/>
    <x v="0"/>
    <x v="0"/>
    <x v="4"/>
    <x v="4"/>
    <n v="197.75779028215399"/>
    <n v="12030.2655754977"/>
    <n v="43308.956071791799"/>
  </r>
  <r>
    <x v="0"/>
    <x v="0"/>
    <x v="0"/>
    <x v="0"/>
    <x v="0"/>
    <s v="DK1_MedSmall"/>
    <x v="0"/>
    <x v="0"/>
    <x v="4"/>
    <x v="5"/>
    <n v="213.265070522549"/>
    <n v="12973.6251234551"/>
    <n v="46705.050444438297"/>
  </r>
  <r>
    <x v="0"/>
    <x v="0"/>
    <x v="0"/>
    <x v="0"/>
    <x v="0"/>
    <s v="DK1_MedSmall"/>
    <x v="0"/>
    <x v="0"/>
    <x v="4"/>
    <x v="6"/>
    <n v="256.42966500612403"/>
    <n v="15599.4712878725"/>
    <n v="56158.096636341099"/>
  </r>
  <r>
    <x v="0"/>
    <x v="0"/>
    <x v="0"/>
    <x v="0"/>
    <x v="0"/>
    <s v="DK1_MedSmall"/>
    <x v="0"/>
    <x v="0"/>
    <x v="4"/>
    <x v="7"/>
    <n v="286.64488114462603"/>
    <n v="17437.563602964801"/>
    <n v="62775.228970673103"/>
  </r>
  <r>
    <x v="0"/>
    <x v="0"/>
    <x v="0"/>
    <x v="0"/>
    <x v="0"/>
    <s v="DK1_MedSmall"/>
    <x v="0"/>
    <x v="0"/>
    <x v="4"/>
    <x v="8"/>
    <n v="292.24029154064499"/>
    <n v="17777.951068722599"/>
    <n v="64000.623847401199"/>
  </r>
  <r>
    <x v="0"/>
    <x v="0"/>
    <x v="0"/>
    <x v="0"/>
    <x v="0"/>
    <s v="DK1_MedSmall"/>
    <x v="0"/>
    <x v="0"/>
    <x v="4"/>
    <x v="9"/>
    <n v="293.039635882933"/>
    <n v="17826.577849545101"/>
    <n v="64175.680258362401"/>
  </r>
  <r>
    <x v="0"/>
    <x v="0"/>
    <x v="0"/>
    <x v="0"/>
    <x v="0"/>
    <s v="DK1_MedSmall"/>
    <x v="0"/>
    <x v="0"/>
    <x v="4"/>
    <x v="10"/>
    <n v="293.35937361984901"/>
    <n v="17846.0285618741"/>
    <n v="64245.702822746898"/>
  </r>
  <r>
    <x v="0"/>
    <x v="0"/>
    <x v="0"/>
    <x v="0"/>
    <x v="0"/>
    <s v="DK1_MedSmall"/>
    <x v="0"/>
    <x v="0"/>
    <x v="4"/>
    <x v="11"/>
    <n v="294.318586830595"/>
    <n v="17904.380698861201"/>
    <n v="64455.770515900302"/>
  </r>
  <r>
    <x v="0"/>
    <x v="0"/>
    <x v="0"/>
    <x v="0"/>
    <x v="0"/>
    <s v="DK1_MedSmall"/>
    <x v="0"/>
    <x v="0"/>
    <x v="5"/>
    <x v="0"/>
    <n v="248.27635271478201"/>
    <n v="15103.4781234826"/>
    <n v="54372.521244537304"/>
  </r>
  <r>
    <x v="0"/>
    <x v="0"/>
    <x v="0"/>
    <x v="0"/>
    <x v="0"/>
    <s v="DK1_MedSmall"/>
    <x v="0"/>
    <x v="0"/>
    <x v="5"/>
    <x v="1"/>
    <n v="247.15727063557799"/>
    <n v="15035.400630331"/>
    <n v="54127.442269191699"/>
  </r>
  <r>
    <x v="0"/>
    <x v="0"/>
    <x v="0"/>
    <x v="0"/>
    <x v="0"/>
    <s v="DK1_MedSmall"/>
    <x v="0"/>
    <x v="0"/>
    <x v="5"/>
    <x v="2"/>
    <n v="247.31713950403599"/>
    <n v="15045.125986495499"/>
    <n v="54162.4535513839"/>
  </r>
  <r>
    <x v="0"/>
    <x v="0"/>
    <x v="0"/>
    <x v="0"/>
    <x v="0"/>
    <s v="DK1_MedSmall"/>
    <x v="0"/>
    <x v="0"/>
    <x v="5"/>
    <x v="3"/>
    <n v="245.71845081945901"/>
    <n v="14947.8724248504"/>
    <n v="53812.340729461597"/>
  </r>
  <r>
    <x v="0"/>
    <x v="0"/>
    <x v="0"/>
    <x v="0"/>
    <x v="0"/>
    <s v="DK1_MedSmall"/>
    <x v="0"/>
    <x v="0"/>
    <x v="5"/>
    <x v="4"/>
    <n v="246.35792629329001"/>
    <n v="14986.7738495085"/>
    <n v="53952.385858230497"/>
  </r>
  <r>
    <x v="0"/>
    <x v="0"/>
    <x v="0"/>
    <x v="0"/>
    <x v="0"/>
    <s v="DK1_MedSmall"/>
    <x v="0"/>
    <x v="0"/>
    <x v="5"/>
    <x v="5"/>
    <n v="247.63687724095101"/>
    <n v="15064.5766988245"/>
    <n v="54232.476115768397"/>
  </r>
  <r>
    <x v="0"/>
    <x v="0"/>
    <x v="0"/>
    <x v="0"/>
    <x v="0"/>
    <s v="DK1_MedSmall"/>
    <x v="0"/>
    <x v="0"/>
    <x v="5"/>
    <x v="6"/>
    <n v="258.66782916453099"/>
    <n v="15735.6262741757"/>
    <n v="56648.254587032403"/>
  </r>
  <r>
    <x v="0"/>
    <x v="0"/>
    <x v="0"/>
    <x v="0"/>
    <x v="0"/>
    <s v="DK1_MedSmall"/>
    <x v="0"/>
    <x v="0"/>
    <x v="5"/>
    <x v="7"/>
    <n v="276.89288016870699"/>
    <n v="16844.316876929701"/>
    <n v="60639.540756946903"/>
  </r>
  <r>
    <x v="0"/>
    <x v="0"/>
    <x v="0"/>
    <x v="0"/>
    <x v="0"/>
    <s v="DK1_MedSmall"/>
    <x v="0"/>
    <x v="0"/>
    <x v="5"/>
    <x v="8"/>
    <n v="277.69222451099603"/>
    <n v="16892.943657752199"/>
    <n v="60814.597167908098"/>
  </r>
  <r>
    <x v="0"/>
    <x v="0"/>
    <x v="0"/>
    <x v="0"/>
    <x v="0"/>
    <s v="DK1_MedSmall"/>
    <x v="0"/>
    <x v="0"/>
    <x v="5"/>
    <x v="9"/>
    <n v="279.29091319557301"/>
    <n v="16990.197219397302"/>
    <n v="61164.7099898304"/>
  </r>
  <r>
    <x v="0"/>
    <x v="0"/>
    <x v="0"/>
    <x v="0"/>
    <x v="0"/>
    <s v="DK1_MedSmall"/>
    <x v="0"/>
    <x v="0"/>
    <x v="5"/>
    <x v="10"/>
    <n v="281.68894622243801"/>
    <n v="17136.077561865"/>
    <n v="61689.879222713898"/>
  </r>
  <r>
    <x v="0"/>
    <x v="0"/>
    <x v="0"/>
    <x v="0"/>
    <x v="0"/>
    <s v="DK1_MedSmall"/>
    <x v="0"/>
    <x v="0"/>
    <x v="5"/>
    <x v="11"/>
    <n v="279.77051980094598"/>
    <n v="17019.3732878909"/>
    <n v="61269.743836407099"/>
  </r>
  <r>
    <x v="0"/>
    <x v="0"/>
    <x v="0"/>
    <x v="0"/>
    <x v="0"/>
    <s v="DK1_MedSmall"/>
    <x v="0"/>
    <x v="0"/>
    <x v="6"/>
    <x v="0"/>
    <n v="193.76106857071201"/>
    <n v="11787.131671384999"/>
    <n v="42433.674016985999"/>
  </r>
  <r>
    <x v="0"/>
    <x v="0"/>
    <x v="0"/>
    <x v="0"/>
    <x v="0"/>
    <s v="DK1_MedSmall"/>
    <x v="0"/>
    <x v="0"/>
    <x v="6"/>
    <x v="1"/>
    <n v="191.522904412305"/>
    <n v="11650.9766850819"/>
    <n v="41943.516066294702"/>
  </r>
  <r>
    <x v="0"/>
    <x v="0"/>
    <x v="0"/>
    <x v="0"/>
    <x v="0"/>
    <s v="DK1_MedSmall"/>
    <x v="0"/>
    <x v="0"/>
    <x v="6"/>
    <x v="2"/>
    <n v="189.44460912235499"/>
    <n v="11524.547054943199"/>
    <n v="41488.369397795701"/>
  </r>
  <r>
    <x v="0"/>
    <x v="0"/>
    <x v="0"/>
    <x v="0"/>
    <x v="0"/>
    <s v="DK1_MedSmall"/>
    <x v="0"/>
    <x v="0"/>
    <x v="6"/>
    <x v="3"/>
    <n v="188.16565817469299"/>
    <n v="11446.744205627199"/>
    <n v="41208.2791402578"/>
  </r>
  <r>
    <x v="0"/>
    <x v="0"/>
    <x v="0"/>
    <x v="0"/>
    <x v="0"/>
    <s v="DK1_MedSmall"/>
    <x v="0"/>
    <x v="0"/>
    <x v="6"/>
    <x v="4"/>
    <n v="186.24723175320099"/>
    <n v="11330.0399316531"/>
    <n v="40788.143753951001"/>
  </r>
  <r>
    <x v="0"/>
    <x v="0"/>
    <x v="0"/>
    <x v="0"/>
    <x v="0"/>
    <s v="DK1_MedSmall"/>
    <x v="0"/>
    <x v="0"/>
    <x v="6"/>
    <x v="5"/>
    <n v="194.56041291300099"/>
    <n v="11835.758452207499"/>
    <n v="42608.730427947099"/>
  </r>
  <r>
    <x v="0"/>
    <x v="0"/>
    <x v="0"/>
    <x v="0"/>
    <x v="0"/>
    <s v="DK1_MedSmall"/>
    <x v="0"/>
    <x v="0"/>
    <x v="6"/>
    <x v="6"/>
    <n v="239.32369608115201"/>
    <n v="14558.8581782701"/>
    <n v="52411.889441772197"/>
  </r>
  <r>
    <x v="0"/>
    <x v="0"/>
    <x v="0"/>
    <x v="0"/>
    <x v="0"/>
    <s v="DK1_MedSmall"/>
    <x v="0"/>
    <x v="0"/>
    <x v="6"/>
    <x v="7"/>
    <n v="274.65471601029998"/>
    <n v="16708.161890626601"/>
    <n v="60149.3828062557"/>
  </r>
  <r>
    <x v="0"/>
    <x v="0"/>
    <x v="0"/>
    <x v="0"/>
    <x v="0"/>
    <s v="DK1_MedSmall"/>
    <x v="0"/>
    <x v="0"/>
    <x v="6"/>
    <x v="8"/>
    <n v="277.53235564253799"/>
    <n v="16883.218301587702"/>
    <n v="60779.585885715802"/>
  </r>
  <r>
    <x v="0"/>
    <x v="0"/>
    <x v="0"/>
    <x v="0"/>
    <x v="0"/>
    <s v="DK1_MedSmall"/>
    <x v="0"/>
    <x v="0"/>
    <x v="6"/>
    <x v="9"/>
    <n v="279.45078206403002"/>
    <n v="16999.922575561799"/>
    <n v="61199.721272022602"/>
  </r>
  <r>
    <x v="0"/>
    <x v="0"/>
    <x v="0"/>
    <x v="0"/>
    <x v="0"/>
    <s v="DK1_MedSmall"/>
    <x v="0"/>
    <x v="0"/>
    <x v="6"/>
    <x v="10"/>
    <n v="281.68894622243801"/>
    <n v="17136.077561865"/>
    <n v="61689.879222713898"/>
  </r>
  <r>
    <x v="0"/>
    <x v="0"/>
    <x v="0"/>
    <x v="0"/>
    <x v="0"/>
    <s v="DK1_MedSmall"/>
    <x v="0"/>
    <x v="0"/>
    <x v="6"/>
    <x v="11"/>
    <n v="283.447503775472"/>
    <n v="17243.0564796746"/>
    <n v="62075.003326828402"/>
  </r>
  <r>
    <x v="0"/>
    <x v="0"/>
    <x v="0"/>
    <x v="0"/>
    <x v="0"/>
    <s v="DK1_MedSmall"/>
    <x v="0"/>
    <x v="0"/>
    <x v="7"/>
    <x v="0"/>
    <n v="155.552409009326"/>
    <n v="9462.7715480673196"/>
    <n v="34065.977573042299"/>
  </r>
  <r>
    <x v="0"/>
    <x v="0"/>
    <x v="0"/>
    <x v="0"/>
    <x v="0"/>
    <s v="DK1_MedSmall"/>
    <x v="0"/>
    <x v="0"/>
    <x v="7"/>
    <x v="1"/>
    <n v="155.71227787778301"/>
    <n v="9472.4969042318298"/>
    <n v="34100.988855234602"/>
  </r>
  <r>
    <x v="0"/>
    <x v="0"/>
    <x v="0"/>
    <x v="0"/>
    <x v="0"/>
    <s v="DK1_MedSmall"/>
    <x v="0"/>
    <x v="0"/>
    <x v="7"/>
    <x v="2"/>
    <n v="153.47411371937599"/>
    <n v="9336.3419179286993"/>
    <n v="33610.830904543298"/>
  </r>
  <r>
    <x v="0"/>
    <x v="0"/>
    <x v="0"/>
    <x v="0"/>
    <x v="0"/>
    <s v="DK1_MedSmall"/>
    <x v="0"/>
    <x v="0"/>
    <x v="7"/>
    <x v="3"/>
    <n v="153.79385145629101"/>
    <n v="9355.7926302577198"/>
    <n v="33680.853468927802"/>
  </r>
  <r>
    <x v="0"/>
    <x v="0"/>
    <x v="0"/>
    <x v="0"/>
    <x v="0"/>
    <s v="DK1_MedSmall"/>
    <x v="0"/>
    <x v="0"/>
    <x v="7"/>
    <x v="4"/>
    <n v="156.35175335161401"/>
    <n v="9511.3983288898598"/>
    <n v="34241.033984003501"/>
  </r>
  <r>
    <x v="0"/>
    <x v="0"/>
    <x v="0"/>
    <x v="0"/>
    <x v="0"/>
    <s v="DK1_MedSmall"/>
    <x v="0"/>
    <x v="0"/>
    <x v="7"/>
    <x v="5"/>
    <n v="177.454443988028"/>
    <n v="10795.145342605099"/>
    <n v="38862.523233378197"/>
  </r>
  <r>
    <x v="0"/>
    <x v="0"/>
    <x v="0"/>
    <x v="0"/>
    <x v="0"/>
    <s v="DK1_MedSmall"/>
    <x v="0"/>
    <x v="0"/>
    <x v="7"/>
    <x v="6"/>
    <n v="246.837532898663"/>
    <n v="15015.949918001999"/>
    <n v="54057.419704807202"/>
  </r>
  <r>
    <x v="0"/>
    <x v="0"/>
    <x v="0"/>
    <x v="0"/>
    <x v="0"/>
    <s v="DK1_MedSmall"/>
    <x v="0"/>
    <x v="0"/>
    <x v="7"/>
    <x v="7"/>
    <n v="287.44422548691398"/>
    <n v="17486.1903837873"/>
    <n v="62950.285381634298"/>
  </r>
  <r>
    <x v="0"/>
    <x v="0"/>
    <x v="0"/>
    <x v="0"/>
    <x v="0"/>
    <s v="DK1_MedSmall"/>
    <x v="0"/>
    <x v="0"/>
    <x v="7"/>
    <x v="8"/>
    <n v="292.40016040910302"/>
    <n v="17787.6764248871"/>
    <n v="64035.635129593502"/>
  </r>
  <r>
    <x v="0"/>
    <x v="0"/>
    <x v="0"/>
    <x v="0"/>
    <x v="0"/>
    <s v="DK1_MedSmall"/>
    <x v="0"/>
    <x v="0"/>
    <x v="7"/>
    <x v="9"/>
    <n v="301.19294817427499"/>
    <n v="18322.571013935099"/>
    <n v="65961.255650166306"/>
  </r>
  <r>
    <x v="0"/>
    <x v="0"/>
    <x v="0"/>
    <x v="0"/>
    <x v="0"/>
    <s v="DK1_MedSmall"/>
    <x v="0"/>
    <x v="0"/>
    <x v="7"/>
    <x v="10"/>
    <n v="303.91071893805599"/>
    <n v="18487.902068731699"/>
    <n v="66556.447447434199"/>
  </r>
  <r>
    <x v="0"/>
    <x v="0"/>
    <x v="0"/>
    <x v="0"/>
    <x v="0"/>
    <s v="DK1_MedSmall"/>
    <x v="0"/>
    <x v="0"/>
    <x v="7"/>
    <x v="11"/>
    <n v="302.79163685885197"/>
    <n v="18419.824575580202"/>
    <n v="66311.368472088594"/>
  </r>
  <r>
    <x v="0"/>
    <x v="0"/>
    <x v="0"/>
    <x v="0"/>
    <x v="0"/>
    <s v="DK1_MedSmall"/>
    <x v="0"/>
    <x v="0"/>
    <x v="8"/>
    <x v="0"/>
    <n v="198.07752801907"/>
    <n v="12049.716287826701"/>
    <n v="43378.978636176202"/>
  </r>
  <r>
    <x v="0"/>
    <x v="0"/>
    <x v="0"/>
    <x v="0"/>
    <x v="0"/>
    <s v="DK1_MedSmall"/>
    <x v="0"/>
    <x v="0"/>
    <x v="8"/>
    <x v="1"/>
    <n v="197.75779028215399"/>
    <n v="12030.2655754977"/>
    <n v="43308.956071791799"/>
  </r>
  <r>
    <x v="0"/>
    <x v="0"/>
    <x v="0"/>
    <x v="0"/>
    <x v="0"/>
    <s v="DK1_MedSmall"/>
    <x v="0"/>
    <x v="0"/>
    <x v="8"/>
    <x v="2"/>
    <n v="196.31897046603501"/>
    <n v="11942.737370017099"/>
    <n v="42993.854532061698"/>
  </r>
  <r>
    <x v="0"/>
    <x v="0"/>
    <x v="0"/>
    <x v="0"/>
    <x v="0"/>
    <s v="DK1_MedSmall"/>
    <x v="0"/>
    <x v="0"/>
    <x v="8"/>
    <x v="3"/>
    <n v="197.11831480832299"/>
    <n v="11991.3641508397"/>
    <n v="43168.910943022798"/>
  </r>
  <r>
    <x v="0"/>
    <x v="0"/>
    <x v="0"/>
    <x v="0"/>
    <x v="0"/>
    <s v="DK1_MedSmall"/>
    <x v="0"/>
    <x v="0"/>
    <x v="8"/>
    <x v="4"/>
    <n v="206.55057804732701"/>
    <n v="12565.160164545699"/>
    <n v="45234.576592364603"/>
  </r>
  <r>
    <x v="0"/>
    <x v="0"/>
    <x v="0"/>
    <x v="0"/>
    <x v="0"/>
    <s v="DK1_MedSmall"/>
    <x v="0"/>
    <x v="0"/>
    <x v="8"/>
    <x v="5"/>
    <n v="212.145988443346"/>
    <n v="12905.547630303499"/>
    <n v="46459.971469092699"/>
  </r>
  <r>
    <x v="0"/>
    <x v="0"/>
    <x v="0"/>
    <x v="0"/>
    <x v="0"/>
    <s v="DK1_MedSmall"/>
    <x v="0"/>
    <x v="0"/>
    <x v="8"/>
    <x v="6"/>
    <n v="245.07897534562801"/>
    <n v="14908.9710001924"/>
    <n v="53672.295600692603"/>
  </r>
  <r>
    <x v="0"/>
    <x v="0"/>
    <x v="0"/>
    <x v="0"/>
    <x v="0"/>
    <s v="DK1_MedSmall"/>
    <x v="0"/>
    <x v="0"/>
    <x v="8"/>
    <x v="7"/>
    <n v="283.76724151238801"/>
    <n v="17262.507192003599"/>
    <n v="62145.025891212899"/>
  </r>
  <r>
    <x v="0"/>
    <x v="0"/>
    <x v="0"/>
    <x v="0"/>
    <x v="0"/>
    <s v="DK1_MedSmall"/>
    <x v="0"/>
    <x v="0"/>
    <x v="8"/>
    <x v="8"/>
    <n v="283.76724151238801"/>
    <n v="17262.507192003599"/>
    <n v="62145.025891212899"/>
  </r>
  <r>
    <x v="0"/>
    <x v="0"/>
    <x v="0"/>
    <x v="0"/>
    <x v="0"/>
    <s v="DK1_MedSmall"/>
    <x v="0"/>
    <x v="0"/>
    <x v="8"/>
    <x v="9"/>
    <n v="283.447503775472"/>
    <n v="17243.0564796746"/>
    <n v="62075.003326828402"/>
  </r>
  <r>
    <x v="0"/>
    <x v="0"/>
    <x v="0"/>
    <x v="0"/>
    <x v="0"/>
    <s v="DK1_MedSmall"/>
    <x v="0"/>
    <x v="0"/>
    <x v="8"/>
    <x v="10"/>
    <n v="287.60409435537201"/>
    <n v="17495.915739951801"/>
    <n v="62985.296663826499"/>
  </r>
  <r>
    <x v="0"/>
    <x v="0"/>
    <x v="0"/>
    <x v="0"/>
    <x v="0"/>
    <s v="DK1_MedSmall"/>
    <x v="0"/>
    <x v="0"/>
    <x v="8"/>
    <x v="11"/>
    <n v="288.88304530303401"/>
    <n v="17573.718589267901"/>
    <n v="63265.386921364399"/>
  </r>
  <r>
    <x v="0"/>
    <x v="0"/>
    <x v="0"/>
    <x v="0"/>
    <x v="0"/>
    <s v="DK1_MedSmall"/>
    <x v="0"/>
    <x v="0"/>
    <x v="9"/>
    <x v="0"/>
    <n v="224.29602244613"/>
    <n v="13644.6746988062"/>
    <n v="49120.828915702397"/>
  </r>
  <r>
    <x v="0"/>
    <x v="0"/>
    <x v="0"/>
    <x v="0"/>
    <x v="0"/>
    <s v="DK1_MedSmall"/>
    <x v="0"/>
    <x v="0"/>
    <x v="9"/>
    <x v="1"/>
    <n v="220.61903847160301"/>
    <n v="13420.9915070225"/>
    <n v="48315.569425280999"/>
  </r>
  <r>
    <x v="0"/>
    <x v="0"/>
    <x v="0"/>
    <x v="0"/>
    <x v="0"/>
    <s v="DK1_MedSmall"/>
    <x v="0"/>
    <x v="0"/>
    <x v="9"/>
    <x v="2"/>
    <n v="224.61576018304501"/>
    <n v="13664.125411135199"/>
    <n v="49190.8514800868"/>
  </r>
  <r>
    <x v="0"/>
    <x v="0"/>
    <x v="0"/>
    <x v="0"/>
    <x v="0"/>
    <s v="DK1_MedSmall"/>
    <x v="0"/>
    <x v="0"/>
    <x v="9"/>
    <x v="3"/>
    <n v="235.64671210662499"/>
    <n v="14335.1749864864"/>
    <n v="51606.6299513509"/>
  </r>
  <r>
    <x v="0"/>
    <x v="0"/>
    <x v="0"/>
    <x v="0"/>
    <x v="0"/>
    <s v="DK1_MedSmall"/>
    <x v="0"/>
    <x v="0"/>
    <x v="9"/>
    <x v="4"/>
    <n v="240.60264702881301"/>
    <n v="14636.6610275861"/>
    <n v="52691.979699310097"/>
  </r>
  <r>
    <x v="0"/>
    <x v="0"/>
    <x v="0"/>
    <x v="0"/>
    <x v="0"/>
    <s v="DK1_MedSmall"/>
    <x v="0"/>
    <x v="0"/>
    <x v="9"/>
    <x v="5"/>
    <n v="242.361204581848"/>
    <n v="14743.6399453957"/>
    <n v="53077.103803424703"/>
  </r>
  <r>
    <x v="0"/>
    <x v="0"/>
    <x v="0"/>
    <x v="0"/>
    <x v="0"/>
    <s v="DK1_MedSmall"/>
    <x v="0"/>
    <x v="0"/>
    <x v="9"/>
    <x v="6"/>
    <n v="282.80802830164203"/>
    <n v="17204.155055016501"/>
    <n v="61934.958198059503"/>
  </r>
  <r>
    <x v="0"/>
    <x v="0"/>
    <x v="0"/>
    <x v="0"/>
    <x v="0"/>
    <s v="DK1_MedSmall"/>
    <x v="0"/>
    <x v="0"/>
    <x v="9"/>
    <x v="7"/>
    <n v="298.47517741049501"/>
    <n v="18157.239959138398"/>
    <n v="65366.063852898304"/>
  </r>
  <r>
    <x v="0"/>
    <x v="0"/>
    <x v="0"/>
    <x v="0"/>
    <x v="0"/>
    <s v="DK1_MedSmall"/>
    <x v="0"/>
    <x v="0"/>
    <x v="9"/>
    <x v="8"/>
    <n v="301.83242364810599"/>
    <n v="18361.4724385931"/>
    <n v="66101.300778935198"/>
  </r>
  <r>
    <x v="0"/>
    <x v="0"/>
    <x v="0"/>
    <x v="0"/>
    <x v="0"/>
    <s v="DK1_MedSmall"/>
    <x v="0"/>
    <x v="0"/>
    <x v="9"/>
    <x v="9"/>
    <n v="302.47189912193699"/>
    <n v="18400.373863251101"/>
    <n v="66241.345907704104"/>
  </r>
  <r>
    <x v="0"/>
    <x v="0"/>
    <x v="0"/>
    <x v="0"/>
    <x v="0"/>
    <s v="DK1_MedSmall"/>
    <x v="0"/>
    <x v="0"/>
    <x v="9"/>
    <x v="10"/>
    <n v="302.15216138502097"/>
    <n v="18380.923150922099"/>
    <n v="66171.323343319702"/>
  </r>
  <r>
    <x v="0"/>
    <x v="0"/>
    <x v="0"/>
    <x v="0"/>
    <x v="0"/>
    <s v="DK1_MedSmall"/>
    <x v="0"/>
    <x v="0"/>
    <x v="9"/>
    <x v="11"/>
    <n v="301.19294817427499"/>
    <n v="18322.571013935099"/>
    <n v="65961.255650166306"/>
  </r>
  <r>
    <x v="0"/>
    <x v="0"/>
    <x v="0"/>
    <x v="0"/>
    <x v="0"/>
    <s v="DK1_MedSmall"/>
    <x v="0"/>
    <x v="0"/>
    <x v="10"/>
    <x v="0"/>
    <n v="153.633982587834"/>
    <n v="9346.0672740932096"/>
    <n v="33645.842186735601"/>
  </r>
  <r>
    <x v="0"/>
    <x v="0"/>
    <x v="0"/>
    <x v="0"/>
    <x v="0"/>
    <s v="DK1_MedSmall"/>
    <x v="0"/>
    <x v="0"/>
    <x v="10"/>
    <x v="1"/>
    <n v="150.91621182405299"/>
    <n v="9180.7362192965593"/>
    <n v="33050.650389467599"/>
  </r>
  <r>
    <x v="0"/>
    <x v="0"/>
    <x v="0"/>
    <x v="0"/>
    <x v="0"/>
    <s v="DK1_MedSmall"/>
    <x v="0"/>
    <x v="0"/>
    <x v="10"/>
    <x v="2"/>
    <n v="148.83791653410299"/>
    <n v="9054.3065891579408"/>
    <n v="32595.503720968602"/>
  </r>
  <r>
    <x v="0"/>
    <x v="0"/>
    <x v="0"/>
    <x v="0"/>
    <x v="0"/>
    <s v="DK1_MedSmall"/>
    <x v="0"/>
    <x v="0"/>
    <x v="10"/>
    <x v="3"/>
    <n v="148.19844106027199"/>
    <n v="9015.4051644998999"/>
    <n v="32455.4585921996"/>
  </r>
  <r>
    <x v="0"/>
    <x v="0"/>
    <x v="0"/>
    <x v="0"/>
    <x v="0"/>
    <s v="DK1_MedSmall"/>
    <x v="0"/>
    <x v="0"/>
    <x v="10"/>
    <x v="4"/>
    <n v="148.99778540256099"/>
    <n v="9064.0319453224492"/>
    <n v="32630.515003160799"/>
  </r>
  <r>
    <x v="0"/>
    <x v="0"/>
    <x v="0"/>
    <x v="0"/>
    <x v="0"/>
    <s v="DK1_MedSmall"/>
    <x v="0"/>
    <x v="0"/>
    <x v="10"/>
    <x v="5"/>
    <n v="168.66165622285601"/>
    <n v="10260.2507535571"/>
    <n v="36936.9027128054"/>
  </r>
  <r>
    <x v="0"/>
    <x v="0"/>
    <x v="0"/>
    <x v="0"/>
    <x v="0"/>
    <s v="DK1_MedSmall"/>
    <x v="0"/>
    <x v="0"/>
    <x v="10"/>
    <x v="6"/>
    <n v="220.77890734006101"/>
    <n v="13430.716863187001"/>
    <n v="48350.580707473302"/>
  </r>
  <r>
    <x v="0"/>
    <x v="0"/>
    <x v="0"/>
    <x v="0"/>
    <x v="0"/>
    <s v="DK1_MedSmall"/>
    <x v="0"/>
    <x v="0"/>
    <x v="10"/>
    <x v="7"/>
    <n v="277.69222451099603"/>
    <n v="16892.943657752199"/>
    <n v="60814.597167908098"/>
  </r>
  <r>
    <x v="0"/>
    <x v="0"/>
    <x v="0"/>
    <x v="0"/>
    <x v="0"/>
    <s v="DK1_MedSmall"/>
    <x v="0"/>
    <x v="0"/>
    <x v="10"/>
    <x v="8"/>
    <n v="290.16199625069498"/>
    <n v="17651.521438584001"/>
    <n v="63545.477178902198"/>
  </r>
  <r>
    <x v="0"/>
    <x v="0"/>
    <x v="0"/>
    <x v="0"/>
    <x v="0"/>
    <s v="DK1_MedSmall"/>
    <x v="0"/>
    <x v="0"/>
    <x v="10"/>
    <x v="9"/>
    <n v="296.23701325208702"/>
    <n v="18021.084972835299"/>
    <n v="64875.905902207101"/>
  </r>
  <r>
    <x v="0"/>
    <x v="0"/>
    <x v="0"/>
    <x v="0"/>
    <x v="0"/>
    <s v="DK1_MedSmall"/>
    <x v="0"/>
    <x v="0"/>
    <x v="10"/>
    <x v="10"/>
    <n v="296.71661985745999"/>
    <n v="18050.261041328798"/>
    <n v="64980.9397487838"/>
  </r>
  <r>
    <x v="0"/>
    <x v="0"/>
    <x v="0"/>
    <x v="0"/>
    <x v="0"/>
    <s v="DK1_MedSmall"/>
    <x v="0"/>
    <x v="0"/>
    <x v="10"/>
    <x v="11"/>
    <n v="295.27780004134098"/>
    <n v="17962.732835848201"/>
    <n v="64665.838209053698"/>
  </r>
  <r>
    <x v="0"/>
    <x v="0"/>
    <x v="0"/>
    <x v="0"/>
    <x v="0"/>
    <s v="DK1_MedSmall"/>
    <x v="0"/>
    <x v="0"/>
    <x v="11"/>
    <x v="0"/>
    <n v="215.98284128633"/>
    <n v="13138.956178251699"/>
    <n v="47300.242241706299"/>
  </r>
  <r>
    <x v="0"/>
    <x v="0"/>
    <x v="0"/>
    <x v="0"/>
    <x v="0"/>
    <s v="DK1_MedSmall"/>
    <x v="0"/>
    <x v="0"/>
    <x v="11"/>
    <x v="1"/>
    <n v="213.58480825946501"/>
    <n v="12993.0758357841"/>
    <n v="46775.073008822801"/>
  </r>
  <r>
    <x v="0"/>
    <x v="0"/>
    <x v="0"/>
    <x v="0"/>
    <x v="0"/>
    <s v="DK1_MedSmall"/>
    <x v="0"/>
    <x v="0"/>
    <x v="11"/>
    <x v="2"/>
    <n v="211.82625070642999"/>
    <n v="12886.096917974501"/>
    <n v="46389.948904708202"/>
  </r>
  <r>
    <x v="0"/>
    <x v="0"/>
    <x v="0"/>
    <x v="0"/>
    <x v="0"/>
    <s v="DK1_MedSmall"/>
    <x v="0"/>
    <x v="0"/>
    <x v="11"/>
    <x v="3"/>
    <n v="213.10520165409201"/>
    <n v="12963.899767290601"/>
    <n v="46670.039162246103"/>
  </r>
  <r>
    <x v="0"/>
    <x v="0"/>
    <x v="0"/>
    <x v="0"/>
    <x v="0"/>
    <s v="DK1_MedSmall"/>
    <x v="0"/>
    <x v="0"/>
    <x v="11"/>
    <x v="4"/>
    <n v="219.34008752394101"/>
    <n v="13343.1886577064"/>
    <n v="48035.4791677432"/>
  </r>
  <r>
    <x v="0"/>
    <x v="0"/>
    <x v="0"/>
    <x v="0"/>
    <x v="0"/>
    <s v="DK1_MedSmall"/>
    <x v="0"/>
    <x v="0"/>
    <x v="11"/>
    <x v="5"/>
    <n v="223.97628470921401"/>
    <n v="13625.2239864772"/>
    <n v="49050.8063513179"/>
  </r>
  <r>
    <x v="0"/>
    <x v="0"/>
    <x v="0"/>
    <x v="0"/>
    <x v="0"/>
    <s v="DK1_MedSmall"/>
    <x v="0"/>
    <x v="0"/>
    <x v="11"/>
    <x v="6"/>
    <n v="253.23228763697"/>
    <n v="15404.964164582399"/>
    <n v="55457.870992496501"/>
  </r>
  <r>
    <x v="0"/>
    <x v="0"/>
    <x v="0"/>
    <x v="0"/>
    <x v="0"/>
    <s v="DK1_MedSmall"/>
    <x v="0"/>
    <x v="0"/>
    <x v="11"/>
    <x v="7"/>
    <n v="281.20933961706498"/>
    <n v="17106.901493371399"/>
    <n v="61584.8453761372"/>
  </r>
  <r>
    <x v="0"/>
    <x v="0"/>
    <x v="0"/>
    <x v="0"/>
    <x v="0"/>
    <s v="DK1_MedSmall"/>
    <x v="0"/>
    <x v="0"/>
    <x v="11"/>
    <x v="8"/>
    <n v="287.923832092287"/>
    <n v="17515.366452280799"/>
    <n v="63055.319228211003"/>
  </r>
  <r>
    <x v="0"/>
    <x v="0"/>
    <x v="0"/>
    <x v="0"/>
    <x v="0"/>
    <s v="DK1_MedSmall"/>
    <x v="0"/>
    <x v="0"/>
    <x v="11"/>
    <x v="9"/>
    <n v="291.44094719835601"/>
    <n v="17729.324287899999"/>
    <n v="63825.567436440098"/>
  </r>
  <r>
    <x v="0"/>
    <x v="0"/>
    <x v="0"/>
    <x v="0"/>
    <x v="0"/>
    <s v="DK1_MedSmall"/>
    <x v="0"/>
    <x v="0"/>
    <x v="11"/>
    <x v="10"/>
    <n v="290.48173398761003"/>
    <n v="17670.972150912999"/>
    <n v="63615.499743286702"/>
  </r>
  <r>
    <x v="0"/>
    <x v="0"/>
    <x v="0"/>
    <x v="0"/>
    <x v="0"/>
    <s v="DK1_MedSmall"/>
    <x v="0"/>
    <x v="0"/>
    <x v="11"/>
    <x v="11"/>
    <n v="290.641602856068"/>
    <n v="17680.697507077501"/>
    <n v="63650.511025478903"/>
  </r>
  <r>
    <x v="0"/>
    <x v="0"/>
    <x v="0"/>
    <x v="0"/>
    <x v="0"/>
    <s v="DK1_Medium"/>
    <x v="0"/>
    <x v="0"/>
    <x v="0"/>
    <x v="0"/>
    <n v="530.61133053635206"/>
    <n v="32278.855940961399"/>
    <n v="116203.88138746101"/>
  </r>
  <r>
    <x v="0"/>
    <x v="0"/>
    <x v="0"/>
    <x v="0"/>
    <x v="0"/>
    <s v="DK1_Medium"/>
    <x v="0"/>
    <x v="0"/>
    <x v="0"/>
    <x v="1"/>
    <n v="525.89178884162004"/>
    <n v="31991.7504878652"/>
    <n v="115170.30175631501"/>
  </r>
  <r>
    <x v="0"/>
    <x v="0"/>
    <x v="0"/>
    <x v="0"/>
    <x v="0"/>
    <s v="DK1_Medium"/>
    <x v="0"/>
    <x v="0"/>
    <x v="0"/>
    <x v="2"/>
    <n v="519.48669654162597"/>
    <n v="31602.1073729489"/>
    <n v="113767.586542616"/>
  </r>
  <r>
    <x v="0"/>
    <x v="0"/>
    <x v="0"/>
    <x v="0"/>
    <x v="0"/>
    <s v="DK1_Medium"/>
    <x v="0"/>
    <x v="0"/>
    <x v="0"/>
    <x v="3"/>
    <n v="517.80114593636404"/>
    <n v="31499.569711128799"/>
    <n v="113398.450960064"/>
  </r>
  <r>
    <x v="0"/>
    <x v="0"/>
    <x v="0"/>
    <x v="0"/>
    <x v="0"/>
    <s v="DK1_Medium"/>
    <x v="0"/>
    <x v="0"/>
    <x v="0"/>
    <x v="4"/>
    <n v="515.77848521005001"/>
    <n v="31376.524516944701"/>
    <n v="112955.488261001"/>
  </r>
  <r>
    <x v="0"/>
    <x v="0"/>
    <x v="0"/>
    <x v="0"/>
    <x v="0"/>
    <s v="DK1_Medium"/>
    <x v="0"/>
    <x v="0"/>
    <x v="0"/>
    <x v="5"/>
    <n v="515.77848521005001"/>
    <n v="31376.524516944701"/>
    <n v="112955.488261001"/>
  </r>
  <r>
    <x v="0"/>
    <x v="0"/>
    <x v="0"/>
    <x v="0"/>
    <x v="0"/>
    <s v="DK1_Medium"/>
    <x v="0"/>
    <x v="0"/>
    <x v="0"/>
    <x v="6"/>
    <n v="525.55467872056795"/>
    <n v="31971.242955501199"/>
    <n v="115096.474639804"/>
  </r>
  <r>
    <x v="0"/>
    <x v="0"/>
    <x v="0"/>
    <x v="0"/>
    <x v="0"/>
    <s v="DK1_Medium"/>
    <x v="0"/>
    <x v="0"/>
    <x v="0"/>
    <x v="7"/>
    <n v="535.33087223108498"/>
    <n v="32565.9613940577"/>
    <n v="117237.461018608"/>
  </r>
  <r>
    <x v="0"/>
    <x v="0"/>
    <x v="0"/>
    <x v="0"/>
    <x v="0"/>
    <s v="DK1_Medium"/>
    <x v="0"/>
    <x v="0"/>
    <x v="0"/>
    <x v="8"/>
    <n v="539.03908356266004"/>
    <n v="32791.544250061801"/>
    <n v="118049.559300223"/>
  </r>
  <r>
    <x v="0"/>
    <x v="0"/>
    <x v="0"/>
    <x v="0"/>
    <x v="0"/>
    <s v="DK1_Medium"/>
    <x v="0"/>
    <x v="0"/>
    <x v="0"/>
    <x v="9"/>
    <n v="545.78128598370699"/>
    <n v="33201.694897342197"/>
    <n v="119526.10163043199"/>
  </r>
  <r>
    <x v="0"/>
    <x v="0"/>
    <x v="0"/>
    <x v="0"/>
    <x v="0"/>
    <s v="DK1_Medium"/>
    <x v="0"/>
    <x v="0"/>
    <x v="0"/>
    <x v="10"/>
    <n v="553.87192888896197"/>
    <n v="33693.875674078503"/>
    <n v="121297.952426683"/>
  </r>
  <r>
    <x v="0"/>
    <x v="0"/>
    <x v="0"/>
    <x v="0"/>
    <x v="0"/>
    <s v="DK1_Medium"/>
    <x v="0"/>
    <x v="0"/>
    <x v="0"/>
    <x v="11"/>
    <n v="554.88325925211905"/>
    <n v="33755.398271170598"/>
    <n v="121519.43377621401"/>
  </r>
  <r>
    <x v="0"/>
    <x v="0"/>
    <x v="0"/>
    <x v="0"/>
    <x v="0"/>
    <s v="DK1_Medium"/>
    <x v="0"/>
    <x v="0"/>
    <x v="1"/>
    <x v="0"/>
    <n v="340.48122226284403"/>
    <n v="20712.607687656298"/>
    <n v="74565.387675562801"/>
  </r>
  <r>
    <x v="0"/>
    <x v="0"/>
    <x v="0"/>
    <x v="0"/>
    <x v="0"/>
    <s v="DK1_Medium"/>
    <x v="0"/>
    <x v="0"/>
    <x v="1"/>
    <x v="1"/>
    <n v="336.773010931268"/>
    <n v="20487.024831652099"/>
    <n v="73753.289393947707"/>
  </r>
  <r>
    <x v="0"/>
    <x v="0"/>
    <x v="0"/>
    <x v="0"/>
    <x v="0"/>
    <s v="DK1_Medium"/>
    <x v="0"/>
    <x v="0"/>
    <x v="1"/>
    <x v="2"/>
    <n v="333.40190972074498"/>
    <n v="20281.949508012"/>
    <n v="73015.018228843095"/>
  </r>
  <r>
    <x v="0"/>
    <x v="0"/>
    <x v="0"/>
    <x v="0"/>
    <x v="0"/>
    <s v="DK1_Medium"/>
    <x v="0"/>
    <x v="0"/>
    <x v="1"/>
    <x v="3"/>
    <n v="338.45856153653"/>
    <n v="20589.5624934722"/>
    <n v="74122.424976499999"/>
  </r>
  <r>
    <x v="0"/>
    <x v="0"/>
    <x v="0"/>
    <x v="0"/>
    <x v="0"/>
    <s v="DK1_Medium"/>
    <x v="0"/>
    <x v="0"/>
    <x v="1"/>
    <x v="4"/>
    <n v="342.166772868105"/>
    <n v="20815.145349476399"/>
    <n v="74934.523258115005"/>
  </r>
  <r>
    <x v="0"/>
    <x v="0"/>
    <x v="0"/>
    <x v="0"/>
    <x v="0"/>
    <s v="DK1_Medium"/>
    <x v="0"/>
    <x v="0"/>
    <x v="1"/>
    <x v="5"/>
    <n v="401.16104405226099"/>
    <n v="24403.963513179198"/>
    <n v="87854.268647445206"/>
  </r>
  <r>
    <x v="0"/>
    <x v="0"/>
    <x v="0"/>
    <x v="0"/>
    <x v="0"/>
    <s v="DK1_Medium"/>
    <x v="0"/>
    <x v="0"/>
    <x v="1"/>
    <x v="6"/>
    <n v="548.81527707317798"/>
    <n v="33386.262688618299"/>
    <n v="120190.54567902601"/>
  </r>
  <r>
    <x v="0"/>
    <x v="0"/>
    <x v="0"/>
    <x v="0"/>
    <x v="0"/>
    <s v="DK1_Medium"/>
    <x v="0"/>
    <x v="0"/>
    <x v="1"/>
    <x v="7"/>
    <n v="636.80101866783298"/>
    <n v="38738.728635626503"/>
    <n v="139459.42308825499"/>
  </r>
  <r>
    <x v="0"/>
    <x v="0"/>
    <x v="0"/>
    <x v="0"/>
    <x v="0"/>
    <s v="DK1_Medium"/>
    <x v="0"/>
    <x v="0"/>
    <x v="1"/>
    <x v="8"/>
    <n v="649.948313388874"/>
    <n v="39538.522397823202"/>
    <n v="142338.68063216301"/>
  </r>
  <r>
    <x v="0"/>
    <x v="0"/>
    <x v="0"/>
    <x v="0"/>
    <x v="0"/>
    <s v="DK1_Medium"/>
    <x v="0"/>
    <x v="0"/>
    <x v="1"/>
    <x v="9"/>
    <n v="648.26276278361195"/>
    <n v="39435.984736003098"/>
    <n v="141969.54504961101"/>
  </r>
  <r>
    <x v="0"/>
    <x v="0"/>
    <x v="0"/>
    <x v="0"/>
    <x v="0"/>
    <s v="DK1_Medium"/>
    <x v="0"/>
    <x v="0"/>
    <x v="1"/>
    <x v="10"/>
    <n v="651.29675387308305"/>
    <n v="39620.5525272792"/>
    <n v="142633.989098205"/>
  </r>
  <r>
    <x v="0"/>
    <x v="0"/>
    <x v="0"/>
    <x v="0"/>
    <x v="0"/>
    <s v="DK1_Medium"/>
    <x v="0"/>
    <x v="0"/>
    <x v="1"/>
    <x v="11"/>
    <n v="648.26276278361195"/>
    <n v="39435.984736003098"/>
    <n v="141969.54504961101"/>
  </r>
  <r>
    <x v="0"/>
    <x v="0"/>
    <x v="0"/>
    <x v="0"/>
    <x v="0"/>
    <s v="DK1_Medium"/>
    <x v="0"/>
    <x v="0"/>
    <x v="2"/>
    <x v="0"/>
    <n v="443.974029425906"/>
    <n v="27008.420123409302"/>
    <n v="97230.312444273397"/>
  </r>
  <r>
    <x v="0"/>
    <x v="0"/>
    <x v="0"/>
    <x v="0"/>
    <x v="0"/>
    <s v="DK1_Medium"/>
    <x v="0"/>
    <x v="0"/>
    <x v="2"/>
    <x v="1"/>
    <n v="433.52361567328398"/>
    <n v="26372.686620124801"/>
    <n v="94941.671832449196"/>
  </r>
  <r>
    <x v="0"/>
    <x v="0"/>
    <x v="0"/>
    <x v="0"/>
    <x v="0"/>
    <s v="DK1_Medium"/>
    <x v="0"/>
    <x v="0"/>
    <x v="2"/>
    <x v="2"/>
    <n v="430.15251446276102"/>
    <n v="26167.6112964846"/>
    <n v="94203.400667344598"/>
  </r>
  <r>
    <x v="0"/>
    <x v="0"/>
    <x v="0"/>
    <x v="0"/>
    <x v="0"/>
    <s v="DK1_Medium"/>
    <x v="0"/>
    <x v="0"/>
    <x v="2"/>
    <x v="3"/>
    <n v="428.12985373644699"/>
    <n v="26044.566102300501"/>
    <n v="93760.437968281898"/>
  </r>
  <r>
    <x v="0"/>
    <x v="0"/>
    <x v="0"/>
    <x v="0"/>
    <x v="0"/>
    <s v="DK1_Medium"/>
    <x v="0"/>
    <x v="0"/>
    <x v="2"/>
    <x v="4"/>
    <n v="429.141184099604"/>
    <n v="26106.0886993926"/>
    <n v="93981.919317813299"/>
  </r>
  <r>
    <x v="0"/>
    <x v="0"/>
    <x v="0"/>
    <x v="0"/>
    <x v="0"/>
    <s v="DK1_Medium"/>
    <x v="0"/>
    <x v="0"/>
    <x v="2"/>
    <x v="5"/>
    <n v="449.36779136274299"/>
    <n v="27336.5406412335"/>
    <n v="98411.546308440695"/>
  </r>
  <r>
    <x v="0"/>
    <x v="0"/>
    <x v="0"/>
    <x v="0"/>
    <x v="0"/>
    <s v="DK1_Medium"/>
    <x v="0"/>
    <x v="0"/>
    <x v="2"/>
    <x v="6"/>
    <n v="544.76995562055004"/>
    <n v="33140.172300250102"/>
    <n v="119304.6202809"/>
  </r>
  <r>
    <x v="0"/>
    <x v="0"/>
    <x v="0"/>
    <x v="0"/>
    <x v="0"/>
    <s v="DK1_Medium"/>
    <x v="0"/>
    <x v="0"/>
    <x v="2"/>
    <x v="7"/>
    <n v="633.42991745731001"/>
    <n v="38533.653311986403"/>
    <n v="138721.15192315099"/>
  </r>
  <r>
    <x v="0"/>
    <x v="0"/>
    <x v="0"/>
    <x v="0"/>
    <x v="0"/>
    <s v="DK1_Medium"/>
    <x v="0"/>
    <x v="0"/>
    <x v="2"/>
    <x v="8"/>
    <n v="641.18345024151301"/>
    <n v="39005.326556358697"/>
    <n v="140419.17560289099"/>
  </r>
  <r>
    <x v="0"/>
    <x v="0"/>
    <x v="0"/>
    <x v="0"/>
    <x v="0"/>
    <s v="DK1_Medium"/>
    <x v="0"/>
    <x v="0"/>
    <x v="2"/>
    <x v="9"/>
    <n v="635.11546806257195"/>
    <n v="38636.190973806399"/>
    <n v="139090.28750570299"/>
  </r>
  <r>
    <x v="0"/>
    <x v="0"/>
    <x v="0"/>
    <x v="0"/>
    <x v="0"/>
    <s v="DK1_Medium"/>
    <x v="0"/>
    <x v="0"/>
    <x v="2"/>
    <x v="10"/>
    <n v="639.16078951520001"/>
    <n v="38882.281362174603"/>
    <n v="139976.212903829"/>
  </r>
  <r>
    <x v="0"/>
    <x v="0"/>
    <x v="0"/>
    <x v="0"/>
    <x v="0"/>
    <s v="DK1_Medium"/>
    <x v="0"/>
    <x v="0"/>
    <x v="2"/>
    <x v="11"/>
    <n v="635.78968830467602"/>
    <n v="38677.206038534503"/>
    <n v="139237.94173872401"/>
  </r>
  <r>
    <x v="0"/>
    <x v="0"/>
    <x v="0"/>
    <x v="0"/>
    <x v="0"/>
    <s v="DK1_Medium"/>
    <x v="0"/>
    <x v="0"/>
    <x v="3"/>
    <x v="0"/>
    <n v="437.90604724696402"/>
    <n v="26639.284540856999"/>
    <n v="95901.424347085194"/>
  </r>
  <r>
    <x v="0"/>
    <x v="0"/>
    <x v="0"/>
    <x v="0"/>
    <x v="0"/>
    <s v="DK1_Medium"/>
    <x v="0"/>
    <x v="0"/>
    <x v="3"/>
    <x v="1"/>
    <n v="428.46696385749902"/>
    <n v="26065.073634664499"/>
    <n v="93834.265084792307"/>
  </r>
  <r>
    <x v="0"/>
    <x v="0"/>
    <x v="0"/>
    <x v="0"/>
    <x v="0"/>
    <s v="DK1_Medium"/>
    <x v="0"/>
    <x v="0"/>
    <x v="3"/>
    <x v="2"/>
    <n v="418.01655010487701"/>
    <n v="25429.340131379999"/>
    <n v="91545.624472968106"/>
  </r>
  <r>
    <x v="0"/>
    <x v="0"/>
    <x v="0"/>
    <x v="0"/>
    <x v="0"/>
    <s v="DK1_Medium"/>
    <x v="0"/>
    <x v="0"/>
    <x v="3"/>
    <x v="3"/>
    <n v="417.342329862773"/>
    <n v="25388.325066652"/>
    <n v="91397.970239947201"/>
  </r>
  <r>
    <x v="0"/>
    <x v="0"/>
    <x v="0"/>
    <x v="0"/>
    <x v="0"/>
    <s v="DK1_Medium"/>
    <x v="0"/>
    <x v="0"/>
    <x v="3"/>
    <x v="4"/>
    <n v="421.050541194348"/>
    <n v="25613.907922656199"/>
    <n v="92210.068521562294"/>
  </r>
  <r>
    <x v="0"/>
    <x v="0"/>
    <x v="0"/>
    <x v="0"/>
    <x v="0"/>
    <s v="DK1_Medium"/>
    <x v="0"/>
    <x v="0"/>
    <x v="3"/>
    <x v="5"/>
    <n v="447.00802051537698"/>
    <n v="27192.9879146854"/>
    <n v="97894.756492867498"/>
  </r>
  <r>
    <x v="0"/>
    <x v="0"/>
    <x v="0"/>
    <x v="0"/>
    <x v="0"/>
    <s v="DK1_Medium"/>
    <x v="0"/>
    <x v="0"/>
    <x v="3"/>
    <x v="6"/>
    <n v="539.37619368371304"/>
    <n v="32812.0517824259"/>
    <n v="118123.386416733"/>
  </r>
  <r>
    <x v="0"/>
    <x v="0"/>
    <x v="0"/>
    <x v="0"/>
    <x v="0"/>
    <s v="DK1_Medium"/>
    <x v="0"/>
    <x v="0"/>
    <x v="3"/>
    <x v="7"/>
    <n v="610.16931910469998"/>
    <n v="37118.633578869303"/>
    <n v="133627.08088392901"/>
  </r>
  <r>
    <x v="0"/>
    <x v="0"/>
    <x v="0"/>
    <x v="0"/>
    <x v="0"/>
    <s v="DK1_Medium"/>
    <x v="0"/>
    <x v="0"/>
    <x v="3"/>
    <x v="8"/>
    <n v="614.888860799432"/>
    <n v="37405.739031965502"/>
    <n v="134660.66051507599"/>
  </r>
  <r>
    <x v="0"/>
    <x v="0"/>
    <x v="0"/>
    <x v="0"/>
    <x v="0"/>
    <s v="DK1_Medium"/>
    <x v="0"/>
    <x v="0"/>
    <x v="3"/>
    <x v="9"/>
    <n v="613.54042031522295"/>
    <n v="37323.708902509403"/>
    <n v="134365.352049034"/>
  </r>
  <r>
    <x v="0"/>
    <x v="0"/>
    <x v="0"/>
    <x v="0"/>
    <x v="0"/>
    <s v="DK1_Medium"/>
    <x v="0"/>
    <x v="0"/>
    <x v="3"/>
    <x v="10"/>
    <n v="612.86620007311899"/>
    <n v="37282.6938377814"/>
    <n v="134217.69781601301"/>
  </r>
  <r>
    <x v="0"/>
    <x v="0"/>
    <x v="0"/>
    <x v="0"/>
    <x v="0"/>
    <s v="DK1_Medium"/>
    <x v="0"/>
    <x v="0"/>
    <x v="3"/>
    <x v="11"/>
    <n v="614.21464055732804"/>
    <n v="37364.723967237398"/>
    <n v="134513.00628205499"/>
  </r>
  <r>
    <x v="0"/>
    <x v="0"/>
    <x v="0"/>
    <x v="0"/>
    <x v="0"/>
    <s v="DK1_Medium"/>
    <x v="0"/>
    <x v="0"/>
    <x v="4"/>
    <x v="0"/>
    <n v="398.464163083843"/>
    <n v="24239.903254267101"/>
    <n v="87263.651715361601"/>
  </r>
  <r>
    <x v="0"/>
    <x v="0"/>
    <x v="0"/>
    <x v="0"/>
    <x v="0"/>
    <s v="DK1_Medium"/>
    <x v="0"/>
    <x v="0"/>
    <x v="4"/>
    <x v="1"/>
    <n v="409.25168695751699"/>
    <n v="24896.144289915599"/>
    <n v="89626.119443696196"/>
  </r>
  <r>
    <x v="0"/>
    <x v="0"/>
    <x v="0"/>
    <x v="0"/>
    <x v="0"/>
    <s v="DK1_Medium"/>
    <x v="0"/>
    <x v="0"/>
    <x v="4"/>
    <x v="2"/>
    <n v="411.27434768383102"/>
    <n v="25019.189484099701"/>
    <n v="90069.082142758998"/>
  </r>
  <r>
    <x v="0"/>
    <x v="0"/>
    <x v="0"/>
    <x v="0"/>
    <x v="0"/>
    <s v="DK1_Medium"/>
    <x v="0"/>
    <x v="0"/>
    <x v="4"/>
    <x v="3"/>
    <n v="412.28567804698798"/>
    <n v="25080.712081191799"/>
    <n v="90290.563492290297"/>
  </r>
  <r>
    <x v="0"/>
    <x v="0"/>
    <x v="0"/>
    <x v="0"/>
    <x v="0"/>
    <s v="DK1_Medium"/>
    <x v="0"/>
    <x v="0"/>
    <x v="4"/>
    <x v="4"/>
    <n v="417.00521974172"/>
    <n v="25367.817534287999"/>
    <n v="91324.143123436806"/>
  </r>
  <r>
    <x v="0"/>
    <x v="0"/>
    <x v="0"/>
    <x v="0"/>
    <x v="0"/>
    <s v="DK1_Medium"/>
    <x v="0"/>
    <x v="0"/>
    <x v="4"/>
    <x v="5"/>
    <n v="449.70490148379503"/>
    <n v="27357.048173597599"/>
    <n v="98485.373424951205"/>
  </r>
  <r>
    <x v="0"/>
    <x v="0"/>
    <x v="0"/>
    <x v="0"/>
    <x v="0"/>
    <s v="DK1_Medium"/>
    <x v="0"/>
    <x v="0"/>
    <x v="4"/>
    <x v="6"/>
    <n v="540.72463416792198"/>
    <n v="32894.081911881898"/>
    <n v="118418.694882775"/>
  </r>
  <r>
    <x v="0"/>
    <x v="0"/>
    <x v="0"/>
    <x v="0"/>
    <x v="0"/>
    <s v="DK1_Medium"/>
    <x v="0"/>
    <x v="0"/>
    <x v="4"/>
    <x v="7"/>
    <n v="604.43844704680998"/>
    <n v="36770.005528681002"/>
    <n v="132372.01990325199"/>
  </r>
  <r>
    <x v="0"/>
    <x v="0"/>
    <x v="0"/>
    <x v="0"/>
    <x v="0"/>
    <s v="DK1_Medium"/>
    <x v="0"/>
    <x v="0"/>
    <x v="4"/>
    <x v="8"/>
    <n v="616.23730128364195"/>
    <n v="37487.7691614215"/>
    <n v="134955.968981118"/>
  </r>
  <r>
    <x v="0"/>
    <x v="0"/>
    <x v="0"/>
    <x v="0"/>
    <x v="0"/>
    <s v="DK1_Medium"/>
    <x v="0"/>
    <x v="0"/>
    <x v="4"/>
    <x v="9"/>
    <n v="617.92285188890298"/>
    <n v="37590.306823241597"/>
    <n v="135325.10456367"/>
  </r>
  <r>
    <x v="0"/>
    <x v="0"/>
    <x v="0"/>
    <x v="0"/>
    <x v="0"/>
    <s v="DK1_Medium"/>
    <x v="0"/>
    <x v="0"/>
    <x v="4"/>
    <x v="10"/>
    <n v="618.59707213100796"/>
    <n v="37631.3218879696"/>
    <n v="135472.75879669099"/>
  </r>
  <r>
    <x v="0"/>
    <x v="0"/>
    <x v="0"/>
    <x v="0"/>
    <x v="0"/>
    <s v="DK1_Medium"/>
    <x v="0"/>
    <x v="0"/>
    <x v="4"/>
    <x v="11"/>
    <n v="620.61973285732199"/>
    <n v="37754.367082153803"/>
    <n v="135915.721495754"/>
  </r>
  <r>
    <x v="0"/>
    <x v="0"/>
    <x v="0"/>
    <x v="0"/>
    <x v="0"/>
    <s v="DK1_Medium"/>
    <x v="0"/>
    <x v="0"/>
    <x v="5"/>
    <x v="0"/>
    <n v="523.53201799425403"/>
    <n v="31848.1977613171"/>
    <n v="114653.511940742"/>
  </r>
  <r>
    <x v="0"/>
    <x v="0"/>
    <x v="0"/>
    <x v="0"/>
    <x v="0"/>
    <s v="DK1_Medium"/>
    <x v="0"/>
    <x v="0"/>
    <x v="5"/>
    <x v="1"/>
    <n v="521.172247146887"/>
    <n v="31704.645034769001"/>
    <n v="114136.722125168"/>
  </r>
  <r>
    <x v="0"/>
    <x v="0"/>
    <x v="0"/>
    <x v="0"/>
    <x v="0"/>
    <s v="DK1_Medium"/>
    <x v="0"/>
    <x v="0"/>
    <x v="5"/>
    <x v="2"/>
    <n v="521.50935726794"/>
    <n v="31725.152567132998"/>
    <n v="114210.54924167899"/>
  </r>
  <r>
    <x v="0"/>
    <x v="0"/>
    <x v="0"/>
    <x v="0"/>
    <x v="0"/>
    <s v="DK1_Medium"/>
    <x v="0"/>
    <x v="0"/>
    <x v="5"/>
    <x v="3"/>
    <n v="518.13825605741704"/>
    <n v="31520.0772434928"/>
    <n v="113472.278076574"/>
  </r>
  <r>
    <x v="0"/>
    <x v="0"/>
    <x v="0"/>
    <x v="0"/>
    <x v="0"/>
    <s v="DK1_Medium"/>
    <x v="0"/>
    <x v="0"/>
    <x v="5"/>
    <x v="4"/>
    <n v="519.48669654162597"/>
    <n v="31602.1073729489"/>
    <n v="113767.586542616"/>
  </r>
  <r>
    <x v="0"/>
    <x v="0"/>
    <x v="0"/>
    <x v="0"/>
    <x v="0"/>
    <s v="DK1_Medium"/>
    <x v="0"/>
    <x v="0"/>
    <x v="5"/>
    <x v="5"/>
    <n v="522.18357751004396"/>
    <n v="31766.167631861001"/>
    <n v="114358.2034747"/>
  </r>
  <r>
    <x v="0"/>
    <x v="0"/>
    <x v="0"/>
    <x v="0"/>
    <x v="0"/>
    <s v="DK1_Medium"/>
    <x v="0"/>
    <x v="0"/>
    <x v="5"/>
    <x v="6"/>
    <n v="545.44417586265502"/>
    <n v="33181.187364978097"/>
    <n v="119452.274513921"/>
  </r>
  <r>
    <x v="0"/>
    <x v="0"/>
    <x v="0"/>
    <x v="0"/>
    <x v="0"/>
    <s v="DK1_Medium"/>
    <x v="0"/>
    <x v="0"/>
    <x v="5"/>
    <x v="7"/>
    <n v="583.87472966261896"/>
    <n v="35519.046054475999"/>
    <n v="127868.565796114"/>
  </r>
  <r>
    <x v="0"/>
    <x v="0"/>
    <x v="0"/>
    <x v="0"/>
    <x v="0"/>
    <s v="DK1_Medium"/>
    <x v="0"/>
    <x v="0"/>
    <x v="5"/>
    <x v="8"/>
    <n v="585.56028026788101"/>
    <n v="35621.583716296103"/>
    <n v="128237.701378666"/>
  </r>
  <r>
    <x v="0"/>
    <x v="0"/>
    <x v="0"/>
    <x v="0"/>
    <x v="0"/>
    <s v="DK1_Medium"/>
    <x v="0"/>
    <x v="0"/>
    <x v="5"/>
    <x v="9"/>
    <n v="588.93138147840398"/>
    <n v="35826.659039936203"/>
    <n v="128975.97254377"/>
  </r>
  <r>
    <x v="0"/>
    <x v="0"/>
    <x v="0"/>
    <x v="0"/>
    <x v="0"/>
    <s v="DK1_Medium"/>
    <x v="0"/>
    <x v="0"/>
    <x v="5"/>
    <x v="10"/>
    <n v="593.98803329418899"/>
    <n v="36134.272025396502"/>
    <n v="130083.379291427"/>
  </r>
  <r>
    <x v="0"/>
    <x v="0"/>
    <x v="0"/>
    <x v="0"/>
    <x v="0"/>
    <s v="DK1_Medium"/>
    <x v="0"/>
    <x v="0"/>
    <x v="5"/>
    <x v="11"/>
    <n v="589.94271184156105"/>
    <n v="35888.181637028298"/>
    <n v="129197.45389330199"/>
  </r>
  <r>
    <x v="0"/>
    <x v="0"/>
    <x v="0"/>
    <x v="0"/>
    <x v="0"/>
    <s v="DK1_Medium"/>
    <x v="0"/>
    <x v="0"/>
    <x v="6"/>
    <x v="0"/>
    <n v="408.57746671541202"/>
    <n v="24855.1292251876"/>
    <n v="89478.465210675306"/>
  </r>
  <r>
    <x v="0"/>
    <x v="0"/>
    <x v="0"/>
    <x v="0"/>
    <x v="0"/>
    <s v="DK1_Medium"/>
    <x v="0"/>
    <x v="0"/>
    <x v="6"/>
    <x v="1"/>
    <n v="403.85792502068"/>
    <n v="24568.023772091401"/>
    <n v="88444.885579528898"/>
  </r>
  <r>
    <x v="0"/>
    <x v="0"/>
    <x v="0"/>
    <x v="0"/>
    <x v="0"/>
    <s v="DK1_Medium"/>
    <x v="0"/>
    <x v="0"/>
    <x v="6"/>
    <x v="2"/>
    <n v="399.47549344700002"/>
    <n v="24301.425851359101"/>
    <n v="87485.1330648929"/>
  </r>
  <r>
    <x v="0"/>
    <x v="0"/>
    <x v="0"/>
    <x v="0"/>
    <x v="0"/>
    <s v="DK1_Medium"/>
    <x v="0"/>
    <x v="0"/>
    <x v="6"/>
    <x v="3"/>
    <n v="396.77861247858101"/>
    <n v="24137.365592447"/>
    <n v="86894.516132809295"/>
  </r>
  <r>
    <x v="0"/>
    <x v="0"/>
    <x v="0"/>
    <x v="0"/>
    <x v="0"/>
    <s v="DK1_Medium"/>
    <x v="0"/>
    <x v="0"/>
    <x v="6"/>
    <x v="4"/>
    <n v="392.73329102595301"/>
    <n v="23891.2752040788"/>
    <n v="86008.590734683807"/>
  </r>
  <r>
    <x v="0"/>
    <x v="0"/>
    <x v="0"/>
    <x v="0"/>
    <x v="0"/>
    <s v="DK1_Medium"/>
    <x v="0"/>
    <x v="0"/>
    <x v="6"/>
    <x v="5"/>
    <n v="410.26301732067401"/>
    <n v="24957.666887007701"/>
    <n v="89847.600793227597"/>
  </r>
  <r>
    <x v="0"/>
    <x v="0"/>
    <x v="0"/>
    <x v="0"/>
    <x v="0"/>
    <s v="DK1_Medium"/>
    <x v="0"/>
    <x v="0"/>
    <x v="6"/>
    <x v="6"/>
    <n v="504.65385121532398"/>
    <n v="30699.775948932202"/>
    <n v="110519.19341615601"/>
  </r>
  <r>
    <x v="0"/>
    <x v="0"/>
    <x v="0"/>
    <x v="0"/>
    <x v="0"/>
    <s v="DK1_Medium"/>
    <x v="0"/>
    <x v="0"/>
    <x v="6"/>
    <x v="7"/>
    <n v="579.15518796788695"/>
    <n v="35231.9406013798"/>
    <n v="126834.98616496701"/>
  </r>
  <r>
    <x v="0"/>
    <x v="0"/>
    <x v="0"/>
    <x v="0"/>
    <x v="0"/>
    <s v="DK1_Medium"/>
    <x v="0"/>
    <x v="0"/>
    <x v="6"/>
    <x v="8"/>
    <n v="585.22317014682801"/>
    <n v="35601.076183931997"/>
    <n v="128163.874262155"/>
  </r>
  <r>
    <x v="0"/>
    <x v="0"/>
    <x v="0"/>
    <x v="0"/>
    <x v="0"/>
    <s v="DK1_Medium"/>
    <x v="0"/>
    <x v="0"/>
    <x v="6"/>
    <x v="9"/>
    <n v="589.26849159945596"/>
    <n v="35847.166572300201"/>
    <n v="129049.799660281"/>
  </r>
  <r>
    <x v="0"/>
    <x v="0"/>
    <x v="0"/>
    <x v="0"/>
    <x v="0"/>
    <s v="DK1_Medium"/>
    <x v="0"/>
    <x v="0"/>
    <x v="6"/>
    <x v="10"/>
    <n v="593.98803329418899"/>
    <n v="36134.272025396502"/>
    <n v="130083.379291427"/>
  </r>
  <r>
    <x v="0"/>
    <x v="0"/>
    <x v="0"/>
    <x v="0"/>
    <x v="0"/>
    <s v="DK1_Medium"/>
    <x v="0"/>
    <x v="0"/>
    <x v="6"/>
    <x v="11"/>
    <n v="597.69624462576405"/>
    <n v="36359.854881400599"/>
    <n v="130895.47757304199"/>
  </r>
  <r>
    <x v="0"/>
    <x v="0"/>
    <x v="0"/>
    <x v="0"/>
    <x v="0"/>
    <s v="DK1_Medium"/>
    <x v="0"/>
    <x v="0"/>
    <x v="7"/>
    <x v="0"/>
    <n v="328.00814778390799"/>
    <n v="19953.8289901877"/>
    <n v="71833.784364675797"/>
  </r>
  <r>
    <x v="0"/>
    <x v="0"/>
    <x v="0"/>
    <x v="0"/>
    <x v="0"/>
    <s v="DK1_Medium"/>
    <x v="0"/>
    <x v="0"/>
    <x v="7"/>
    <x v="1"/>
    <n v="328.34525790496002"/>
    <n v="19974.336522551701"/>
    <n v="71907.611481186294"/>
  </r>
  <r>
    <x v="0"/>
    <x v="0"/>
    <x v="0"/>
    <x v="0"/>
    <x v="0"/>
    <s v="DK1_Medium"/>
    <x v="0"/>
    <x v="0"/>
    <x v="7"/>
    <x v="2"/>
    <n v="323.62571621022801"/>
    <n v="19687.231069455502"/>
    <n v="70874.031850039901"/>
  </r>
  <r>
    <x v="0"/>
    <x v="0"/>
    <x v="0"/>
    <x v="0"/>
    <x v="0"/>
    <s v="DK1_Medium"/>
    <x v="0"/>
    <x v="0"/>
    <x v="7"/>
    <x v="3"/>
    <n v="324.29993645233202"/>
    <n v="19728.246134183501"/>
    <n v="71021.686083060704"/>
  </r>
  <r>
    <x v="0"/>
    <x v="0"/>
    <x v="0"/>
    <x v="0"/>
    <x v="0"/>
    <s v="DK1_Medium"/>
    <x v="0"/>
    <x v="0"/>
    <x v="7"/>
    <x v="4"/>
    <n v="329.69369838916901"/>
    <n v="20056.3666520078"/>
    <n v="72202.919947228103"/>
  </r>
  <r>
    <x v="0"/>
    <x v="0"/>
    <x v="0"/>
    <x v="0"/>
    <x v="0"/>
    <s v="DK1_Medium"/>
    <x v="0"/>
    <x v="0"/>
    <x v="7"/>
    <x v="5"/>
    <n v="374.19223436807602"/>
    <n v="22763.360924057899"/>
    <n v="81948.099326608601"/>
  </r>
  <r>
    <x v="0"/>
    <x v="0"/>
    <x v="0"/>
    <x v="0"/>
    <x v="0"/>
    <s v="DK1_Medium"/>
    <x v="0"/>
    <x v="0"/>
    <x v="7"/>
    <x v="6"/>
    <n v="520.49802690478305"/>
    <n v="31663.629970041002"/>
    <n v="113989.067892147"/>
  </r>
  <r>
    <x v="0"/>
    <x v="0"/>
    <x v="0"/>
    <x v="0"/>
    <x v="0"/>
    <s v="DK1_Medium"/>
    <x v="0"/>
    <x v="0"/>
    <x v="7"/>
    <x v="7"/>
    <n v="606.12399765207203"/>
    <n v="36872.543190500997"/>
    <n v="132741.15548580399"/>
  </r>
  <r>
    <x v="0"/>
    <x v="0"/>
    <x v="0"/>
    <x v="0"/>
    <x v="0"/>
    <s v="DK1_Medium"/>
    <x v="0"/>
    <x v="0"/>
    <x v="7"/>
    <x v="8"/>
    <n v="616.57441140469405"/>
    <n v="37508.276693785599"/>
    <n v="135029.79609762799"/>
  </r>
  <r>
    <x v="0"/>
    <x v="0"/>
    <x v="0"/>
    <x v="0"/>
    <x v="0"/>
    <s v="DK1_Medium"/>
    <x v="0"/>
    <x v="0"/>
    <x v="7"/>
    <x v="9"/>
    <n v="635.11546806257195"/>
    <n v="38636.190973806399"/>
    <n v="139090.28750570299"/>
  </r>
  <r>
    <x v="0"/>
    <x v="0"/>
    <x v="0"/>
    <x v="0"/>
    <x v="0"/>
    <s v="DK1_Medium"/>
    <x v="0"/>
    <x v="0"/>
    <x v="7"/>
    <x v="10"/>
    <n v="640.84634012046104"/>
    <n v="38984.8190239947"/>
    <n v="140345.348486381"/>
  </r>
  <r>
    <x v="0"/>
    <x v="0"/>
    <x v="0"/>
    <x v="0"/>
    <x v="0"/>
    <s v="DK1_Medium"/>
    <x v="0"/>
    <x v="0"/>
    <x v="7"/>
    <x v="11"/>
    <n v="638.48656927309503"/>
    <n v="38841.2662974466"/>
    <n v="139828.55867080801"/>
  </r>
  <r>
    <x v="0"/>
    <x v="0"/>
    <x v="0"/>
    <x v="0"/>
    <x v="0"/>
    <s v="DK1_Medium"/>
    <x v="0"/>
    <x v="0"/>
    <x v="8"/>
    <x v="0"/>
    <n v="417.67943998382498"/>
    <n v="25408.832599016001"/>
    <n v="91471.797356457697"/>
  </r>
  <r>
    <x v="0"/>
    <x v="0"/>
    <x v="0"/>
    <x v="0"/>
    <x v="0"/>
    <s v="DK1_Medium"/>
    <x v="0"/>
    <x v="0"/>
    <x v="8"/>
    <x v="1"/>
    <n v="417.00521974172"/>
    <n v="25367.817534287999"/>
    <n v="91324.143123436806"/>
  </r>
  <r>
    <x v="0"/>
    <x v="0"/>
    <x v="0"/>
    <x v="0"/>
    <x v="0"/>
    <s v="DK1_Medium"/>
    <x v="0"/>
    <x v="0"/>
    <x v="8"/>
    <x v="2"/>
    <n v="413.97122865224998"/>
    <n v="25183.249743011798"/>
    <n v="90659.699074842603"/>
  </r>
  <r>
    <x v="0"/>
    <x v="0"/>
    <x v="0"/>
    <x v="0"/>
    <x v="0"/>
    <s v="DK1_Medium"/>
    <x v="0"/>
    <x v="0"/>
    <x v="8"/>
    <x v="3"/>
    <n v="415.656779257511"/>
    <n v="25285.787404831899"/>
    <n v="91028.834657394895"/>
  </r>
  <r>
    <x v="0"/>
    <x v="0"/>
    <x v="0"/>
    <x v="0"/>
    <x v="0"/>
    <s v="DK1_Medium"/>
    <x v="0"/>
    <x v="0"/>
    <x v="8"/>
    <x v="4"/>
    <n v="435.54627639959801"/>
    <n v="26495.7318143089"/>
    <n v="95384.634531511998"/>
  </r>
  <r>
    <x v="0"/>
    <x v="0"/>
    <x v="0"/>
    <x v="0"/>
    <x v="0"/>
    <s v="DK1_Medium"/>
    <x v="0"/>
    <x v="0"/>
    <x v="8"/>
    <x v="5"/>
    <n v="447.34513063642902"/>
    <n v="27213.495447049401"/>
    <n v="97968.583609377994"/>
  </r>
  <r>
    <x v="0"/>
    <x v="0"/>
    <x v="0"/>
    <x v="0"/>
    <x v="0"/>
    <s v="DK1_Medium"/>
    <x v="0"/>
    <x v="0"/>
    <x v="8"/>
    <x v="6"/>
    <n v="516.78981557320697"/>
    <n v="31438.047114036799"/>
    <n v="113176.969610532"/>
  </r>
  <r>
    <x v="0"/>
    <x v="0"/>
    <x v="0"/>
    <x v="0"/>
    <x v="0"/>
    <s v="DK1_Medium"/>
    <x v="0"/>
    <x v="0"/>
    <x v="8"/>
    <x v="7"/>
    <n v="598.37046486786903"/>
    <n v="36400.869946128703"/>
    <n v="131043.131806063"/>
  </r>
  <r>
    <x v="0"/>
    <x v="0"/>
    <x v="0"/>
    <x v="0"/>
    <x v="0"/>
    <s v="DK1_Medium"/>
    <x v="0"/>
    <x v="0"/>
    <x v="8"/>
    <x v="8"/>
    <n v="598.37046486786903"/>
    <n v="36400.869946128703"/>
    <n v="131043.131806063"/>
  </r>
  <r>
    <x v="0"/>
    <x v="0"/>
    <x v="0"/>
    <x v="0"/>
    <x v="0"/>
    <s v="DK1_Medium"/>
    <x v="0"/>
    <x v="0"/>
    <x v="8"/>
    <x v="9"/>
    <n v="597.69624462576405"/>
    <n v="36359.854881400599"/>
    <n v="130895.47757304199"/>
  </r>
  <r>
    <x v="0"/>
    <x v="0"/>
    <x v="0"/>
    <x v="0"/>
    <x v="0"/>
    <s v="DK1_Medium"/>
    <x v="0"/>
    <x v="0"/>
    <x v="8"/>
    <x v="10"/>
    <n v="606.46110777312401"/>
    <n v="36893.050722865097"/>
    <n v="132814.982602314"/>
  </r>
  <r>
    <x v="0"/>
    <x v="0"/>
    <x v="0"/>
    <x v="0"/>
    <x v="0"/>
    <s v="DK1_Medium"/>
    <x v="0"/>
    <x v="0"/>
    <x v="8"/>
    <x v="11"/>
    <n v="609.15798874154302"/>
    <n v="37057.110981777201"/>
    <n v="133405.599534398"/>
  </r>
  <r>
    <x v="0"/>
    <x v="0"/>
    <x v="0"/>
    <x v="0"/>
    <x v="0"/>
    <s v="DK1_Medium"/>
    <x v="0"/>
    <x v="0"/>
    <x v="9"/>
    <x v="0"/>
    <n v="472.96549983640602"/>
    <n v="28772.067906714699"/>
    <n v="103579.44446417299"/>
  </r>
  <r>
    <x v="0"/>
    <x v="0"/>
    <x v="0"/>
    <x v="0"/>
    <x v="0"/>
    <s v="DK1_Medium"/>
    <x v="0"/>
    <x v="0"/>
    <x v="9"/>
    <x v="1"/>
    <n v="465.211967052202"/>
    <n v="28300.3946623423"/>
    <n v="101881.420784432"/>
  </r>
  <r>
    <x v="0"/>
    <x v="0"/>
    <x v="0"/>
    <x v="0"/>
    <x v="0"/>
    <s v="DK1_Medium"/>
    <x v="0"/>
    <x v="0"/>
    <x v="9"/>
    <x v="2"/>
    <n v="473.63972007850998"/>
    <n v="28813.082971442702"/>
    <n v="103727.098697194"/>
  </r>
  <r>
    <x v="0"/>
    <x v="0"/>
    <x v="0"/>
    <x v="0"/>
    <x v="0"/>
    <s v="DK1_Medium"/>
    <x v="0"/>
    <x v="0"/>
    <x v="9"/>
    <x v="3"/>
    <n v="496.90031843112001"/>
    <n v="30228.102704559798"/>
    <n v="108821.169736415"/>
  </r>
  <r>
    <x v="0"/>
    <x v="0"/>
    <x v="0"/>
    <x v="0"/>
    <x v="0"/>
    <s v="DK1_Medium"/>
    <x v="0"/>
    <x v="0"/>
    <x v="9"/>
    <x v="4"/>
    <n v="507.35073218374202"/>
    <n v="30863.836207844299"/>
    <n v="111109.81034824"/>
  </r>
  <r>
    <x v="0"/>
    <x v="0"/>
    <x v="0"/>
    <x v="0"/>
    <x v="0"/>
    <s v="DK1_Medium"/>
    <x v="0"/>
    <x v="0"/>
    <x v="9"/>
    <x v="5"/>
    <n v="511.05894351531799"/>
    <n v="31089.419063848502"/>
    <n v="111921.908629855"/>
  </r>
  <r>
    <x v="0"/>
    <x v="0"/>
    <x v="0"/>
    <x v="0"/>
    <x v="0"/>
    <s v="DK1_Medium"/>
    <x v="0"/>
    <x v="0"/>
    <x v="9"/>
    <x v="6"/>
    <n v="596.347804141555"/>
    <n v="36277.824751944601"/>
    <n v="130600.169107001"/>
  </r>
  <r>
    <x v="0"/>
    <x v="0"/>
    <x v="0"/>
    <x v="0"/>
    <x v="0"/>
    <s v="DK1_Medium"/>
    <x v="0"/>
    <x v="0"/>
    <x v="9"/>
    <x v="7"/>
    <n v="629.38459600468195"/>
    <n v="38287.562923618199"/>
    <n v="137835.22652502501"/>
  </r>
  <r>
    <x v="0"/>
    <x v="0"/>
    <x v="0"/>
    <x v="0"/>
    <x v="0"/>
    <s v="DK1_Medium"/>
    <x v="0"/>
    <x v="0"/>
    <x v="9"/>
    <x v="8"/>
    <n v="636.463908546781"/>
    <n v="38718.221103262498"/>
    <n v="139385.595971745"/>
  </r>
  <r>
    <x v="0"/>
    <x v="0"/>
    <x v="0"/>
    <x v="0"/>
    <x v="0"/>
    <s v="DK1_Medium"/>
    <x v="0"/>
    <x v="0"/>
    <x v="9"/>
    <x v="9"/>
    <n v="637.81234903099005"/>
    <n v="38800.251232718598"/>
    <n v="139680.90443778699"/>
  </r>
  <r>
    <x v="0"/>
    <x v="0"/>
    <x v="0"/>
    <x v="0"/>
    <x v="0"/>
    <s v="DK1_Medium"/>
    <x v="0"/>
    <x v="0"/>
    <x v="9"/>
    <x v="10"/>
    <n v="637.13812878888598"/>
    <n v="38759.236167990501"/>
    <n v="139533.25020476599"/>
  </r>
  <r>
    <x v="0"/>
    <x v="0"/>
    <x v="0"/>
    <x v="0"/>
    <x v="0"/>
    <s v="DK1_Medium"/>
    <x v="0"/>
    <x v="0"/>
    <x v="9"/>
    <x v="11"/>
    <n v="635.11546806257195"/>
    <n v="38636.190973806399"/>
    <n v="139090.28750570299"/>
  </r>
  <r>
    <x v="0"/>
    <x v="0"/>
    <x v="0"/>
    <x v="0"/>
    <x v="0"/>
    <s v="DK1_Medium"/>
    <x v="0"/>
    <x v="0"/>
    <x v="10"/>
    <x v="0"/>
    <n v="323.96282633127998"/>
    <n v="19707.738601819499"/>
    <n v="70947.858966550295"/>
  </r>
  <r>
    <x v="0"/>
    <x v="0"/>
    <x v="0"/>
    <x v="0"/>
    <x v="0"/>
    <s v="DK1_Medium"/>
    <x v="0"/>
    <x v="0"/>
    <x v="10"/>
    <x v="1"/>
    <n v="318.23195427338999"/>
    <n v="19359.1105516313"/>
    <n v="69692.797985872501"/>
  </r>
  <r>
    <x v="0"/>
    <x v="0"/>
    <x v="0"/>
    <x v="0"/>
    <x v="0"/>
    <s v="DK1_Medium"/>
    <x v="0"/>
    <x v="0"/>
    <x v="10"/>
    <x v="2"/>
    <n v="313.84952269971001"/>
    <n v="19092.512630899"/>
    <n v="68733.045471236604"/>
  </r>
  <r>
    <x v="0"/>
    <x v="0"/>
    <x v="0"/>
    <x v="0"/>
    <x v="0"/>
    <s v="DK1_Medium"/>
    <x v="0"/>
    <x v="0"/>
    <x v="10"/>
    <x v="3"/>
    <n v="312.50108221550101"/>
    <n v="19010.482501442999"/>
    <n v="68437.737005194693"/>
  </r>
  <r>
    <x v="0"/>
    <x v="0"/>
    <x v="0"/>
    <x v="0"/>
    <x v="0"/>
    <s v="DK1_Medium"/>
    <x v="0"/>
    <x v="0"/>
    <x v="10"/>
    <x v="4"/>
    <n v="314.18663282076301"/>
    <n v="19113.0201632631"/>
    <n v="68806.872587746999"/>
  </r>
  <r>
    <x v="0"/>
    <x v="0"/>
    <x v="0"/>
    <x v="0"/>
    <x v="0"/>
    <s v="DK1_Medium"/>
    <x v="0"/>
    <x v="0"/>
    <x v="10"/>
    <x v="5"/>
    <n v="355.651177710198"/>
    <n v="21635.446644037002"/>
    <n v="77887.607918533395"/>
  </r>
  <r>
    <x v="0"/>
    <x v="0"/>
    <x v="0"/>
    <x v="0"/>
    <x v="0"/>
    <s v="DK1_Medium"/>
    <x v="0"/>
    <x v="0"/>
    <x v="10"/>
    <x v="6"/>
    <n v="465.549077173255"/>
    <n v="28320.902194706301"/>
    <n v="101955.247900943"/>
  </r>
  <r>
    <x v="0"/>
    <x v="0"/>
    <x v="0"/>
    <x v="0"/>
    <x v="0"/>
    <s v="DK1_Medium"/>
    <x v="0"/>
    <x v="0"/>
    <x v="10"/>
    <x v="7"/>
    <n v="585.56028026788101"/>
    <n v="35621.583716296103"/>
    <n v="128237.701378666"/>
  </r>
  <r>
    <x v="0"/>
    <x v="0"/>
    <x v="0"/>
    <x v="0"/>
    <x v="0"/>
    <s v="DK1_Medium"/>
    <x v="0"/>
    <x v="0"/>
    <x v="10"/>
    <x v="8"/>
    <n v="611.85486970996203"/>
    <n v="37221.171240689298"/>
    <n v="133996.216466482"/>
  </r>
  <r>
    <x v="0"/>
    <x v="0"/>
    <x v="0"/>
    <x v="0"/>
    <x v="0"/>
    <s v="DK1_Medium"/>
    <x v="0"/>
    <x v="0"/>
    <x v="10"/>
    <x v="9"/>
    <n v="624.66505430995005"/>
    <n v="38000.457470521898"/>
    <n v="136801.64689387899"/>
  </r>
  <r>
    <x v="0"/>
    <x v="0"/>
    <x v="0"/>
    <x v="0"/>
    <x v="0"/>
    <s v="DK1_Medium"/>
    <x v="0"/>
    <x v="0"/>
    <x v="10"/>
    <x v="10"/>
    <n v="625.67638467310701"/>
    <n v="38061.980067614"/>
    <n v="137023.12824341"/>
  </r>
  <r>
    <x v="0"/>
    <x v="0"/>
    <x v="0"/>
    <x v="0"/>
    <x v="0"/>
    <s v="DK1_Medium"/>
    <x v="0"/>
    <x v="0"/>
    <x v="10"/>
    <x v="11"/>
    <n v="622.64239358363602"/>
    <n v="37877.412276337804"/>
    <n v="136358.68419481601"/>
  </r>
  <r>
    <x v="0"/>
    <x v="0"/>
    <x v="0"/>
    <x v="0"/>
    <x v="0"/>
    <s v="DK1_Medium"/>
    <x v="0"/>
    <x v="0"/>
    <x v="11"/>
    <x v="0"/>
    <n v="455.43577354168502"/>
    <n v="27705.676223785798"/>
    <n v="99740.434405628999"/>
  </r>
  <r>
    <x v="0"/>
    <x v="0"/>
    <x v="0"/>
    <x v="0"/>
    <x v="0"/>
    <s v="DK1_Medium"/>
    <x v="0"/>
    <x v="0"/>
    <x v="11"/>
    <x v="1"/>
    <n v="450.37912172590001"/>
    <n v="27398.063238325602"/>
    <n v="98633.027657972096"/>
  </r>
  <r>
    <x v="0"/>
    <x v="0"/>
    <x v="0"/>
    <x v="0"/>
    <x v="0"/>
    <s v="DK1_Medium"/>
    <x v="0"/>
    <x v="0"/>
    <x v="11"/>
    <x v="2"/>
    <n v="446.67091039432501"/>
    <n v="27172.480382321399"/>
    <n v="97820.929376357104"/>
  </r>
  <r>
    <x v="0"/>
    <x v="0"/>
    <x v="0"/>
    <x v="0"/>
    <x v="0"/>
    <s v="DK1_Medium"/>
    <x v="0"/>
    <x v="0"/>
    <x v="11"/>
    <x v="3"/>
    <n v="449.36779136274299"/>
    <n v="27336.5406412335"/>
    <n v="98411.546308440695"/>
  </r>
  <r>
    <x v="0"/>
    <x v="0"/>
    <x v="0"/>
    <x v="0"/>
    <x v="0"/>
    <s v="DK1_Medium"/>
    <x v="0"/>
    <x v="0"/>
    <x v="11"/>
    <x v="4"/>
    <n v="462.51508608378401"/>
    <n v="28136.334403430199"/>
    <n v="101290.803852349"/>
  </r>
  <r>
    <x v="0"/>
    <x v="0"/>
    <x v="0"/>
    <x v="0"/>
    <x v="0"/>
    <s v="DK1_Medium"/>
    <x v="0"/>
    <x v="0"/>
    <x v="11"/>
    <x v="5"/>
    <n v="472.29127959430099"/>
    <n v="28731.052841986599"/>
    <n v="103431.790231152"/>
  </r>
  <r>
    <x v="0"/>
    <x v="0"/>
    <x v="0"/>
    <x v="0"/>
    <x v="0"/>
    <s v="DK1_Medium"/>
    <x v="0"/>
    <x v="0"/>
    <x v="11"/>
    <x v="6"/>
    <n v="533.98243174687502"/>
    <n v="32483.931264601601"/>
    <n v="116942.152552566"/>
  </r>
  <r>
    <x v="0"/>
    <x v="0"/>
    <x v="0"/>
    <x v="0"/>
    <x v="0"/>
    <s v="DK1_Medium"/>
    <x v="0"/>
    <x v="0"/>
    <x v="11"/>
    <x v="7"/>
    <n v="592.97670293103204"/>
    <n v="36072.7494283044"/>
    <n v="129861.89794189599"/>
  </r>
  <r>
    <x v="0"/>
    <x v="0"/>
    <x v="0"/>
    <x v="0"/>
    <x v="0"/>
    <s v="DK1_Medium"/>
    <x v="0"/>
    <x v="0"/>
    <x v="11"/>
    <x v="8"/>
    <n v="607.13532801522899"/>
    <n v="36934.065787593099"/>
    <n v="132962.636835335"/>
  </r>
  <r>
    <x v="0"/>
    <x v="0"/>
    <x v="0"/>
    <x v="0"/>
    <x v="0"/>
    <s v="DK1_Medium"/>
    <x v="0"/>
    <x v="0"/>
    <x v="11"/>
    <x v="9"/>
    <n v="614.55175067838002"/>
    <n v="37385.231499601497"/>
    <n v="134586.83339856501"/>
  </r>
  <r>
    <x v="0"/>
    <x v="0"/>
    <x v="0"/>
    <x v="0"/>
    <x v="0"/>
    <s v="DK1_Medium"/>
    <x v="0"/>
    <x v="0"/>
    <x v="11"/>
    <x v="10"/>
    <n v="612.52908995206599"/>
    <n v="37262.186305417403"/>
    <n v="134143.870699502"/>
  </r>
  <r>
    <x v="0"/>
    <x v="0"/>
    <x v="0"/>
    <x v="0"/>
    <x v="0"/>
    <s v="DK1_Medium"/>
    <x v="0"/>
    <x v="0"/>
    <x v="11"/>
    <x v="11"/>
    <n v="612.86620007311899"/>
    <n v="37282.6938377814"/>
    <n v="134217.69781601301"/>
  </r>
  <r>
    <x v="0"/>
    <x v="0"/>
    <x v="0"/>
    <x v="0"/>
    <x v="0"/>
    <s v="DK1_Rural"/>
    <x v="0"/>
    <x v="0"/>
    <x v="0"/>
    <x v="0"/>
    <n v="715.67481942304096"/>
    <n v="43536.884848235"/>
    <n v="156732.78545364601"/>
  </r>
  <r>
    <x v="0"/>
    <x v="0"/>
    <x v="0"/>
    <x v="0"/>
    <x v="0"/>
    <s v="DK1_Rural"/>
    <x v="0"/>
    <x v="0"/>
    <x v="0"/>
    <x v="1"/>
    <n v="709.30922382461495"/>
    <n v="43149.644449330699"/>
    <n v="155338.720017591"/>
  </r>
  <r>
    <x v="0"/>
    <x v="0"/>
    <x v="0"/>
    <x v="0"/>
    <x v="0"/>
    <s v="DK1_Rural"/>
    <x v="0"/>
    <x v="0"/>
    <x v="0"/>
    <x v="2"/>
    <n v="700.67020122675103"/>
    <n v="42624.1039079607"/>
    <n v="153446.77406865801"/>
  </r>
  <r>
    <x v="0"/>
    <x v="0"/>
    <x v="0"/>
    <x v="0"/>
    <x v="0"/>
    <s v="DK1_Rural"/>
    <x v="0"/>
    <x v="0"/>
    <x v="0"/>
    <x v="3"/>
    <n v="698.39677422731302"/>
    <n v="42485.8037654949"/>
    <n v="152948.89355578201"/>
  </r>
  <r>
    <x v="0"/>
    <x v="0"/>
    <x v="0"/>
    <x v="0"/>
    <x v="0"/>
    <s v="DK1_Rural"/>
    <x v="0"/>
    <x v="0"/>
    <x v="0"/>
    <x v="4"/>
    <n v="695.66866182798697"/>
    <n v="42319.843594535902"/>
    <n v="152351.436940329"/>
  </r>
  <r>
    <x v="0"/>
    <x v="0"/>
    <x v="0"/>
    <x v="0"/>
    <x v="0"/>
    <s v="DK1_Rural"/>
    <x v="0"/>
    <x v="0"/>
    <x v="0"/>
    <x v="5"/>
    <n v="695.66866182798697"/>
    <n v="42319.843594535902"/>
    <n v="152351.436940329"/>
  </r>
  <r>
    <x v="0"/>
    <x v="0"/>
    <x v="0"/>
    <x v="0"/>
    <x v="0"/>
    <s v="DK1_Rural"/>
    <x v="0"/>
    <x v="0"/>
    <x v="0"/>
    <x v="6"/>
    <n v="708.85453842472702"/>
    <n v="43121.984420837602"/>
    <n v="155239.14391501501"/>
  </r>
  <r>
    <x v="0"/>
    <x v="0"/>
    <x v="0"/>
    <x v="0"/>
    <x v="0"/>
    <s v="DK1_Rural"/>
    <x v="0"/>
    <x v="0"/>
    <x v="0"/>
    <x v="7"/>
    <n v="722.04041502146697"/>
    <n v="43924.1252471392"/>
    <n v="158126.85088970099"/>
  </r>
  <r>
    <x v="0"/>
    <x v="0"/>
    <x v="0"/>
    <x v="0"/>
    <x v="0"/>
    <s v="DK1_Rural"/>
    <x v="0"/>
    <x v="0"/>
    <x v="0"/>
    <x v="8"/>
    <n v="727.04195442023001"/>
    <n v="44228.385560563998"/>
    <n v="159222.18801802999"/>
  </r>
  <r>
    <x v="0"/>
    <x v="0"/>
    <x v="0"/>
    <x v="0"/>
    <x v="0"/>
    <s v="DK1_Rural"/>
    <x v="0"/>
    <x v="0"/>
    <x v="0"/>
    <x v="9"/>
    <n v="736.13566241798196"/>
    <n v="44781.586130427197"/>
    <n v="161213.71006953801"/>
  </r>
  <r>
    <x v="0"/>
    <x v="0"/>
    <x v="0"/>
    <x v="0"/>
    <x v="0"/>
    <s v="DK1_Rural"/>
    <x v="0"/>
    <x v="0"/>
    <x v="0"/>
    <x v="10"/>
    <n v="747.04811201528298"/>
    <n v="45445.426814263097"/>
    <n v="163603.536531347"/>
  </r>
  <r>
    <x v="0"/>
    <x v="0"/>
    <x v="0"/>
    <x v="0"/>
    <x v="0"/>
    <s v="DK1_Rural"/>
    <x v="0"/>
    <x v="0"/>
    <x v="0"/>
    <x v="11"/>
    <n v="748.41216821494595"/>
    <n v="45528.4068997426"/>
    <n v="163902.264839073"/>
  </r>
  <r>
    <x v="0"/>
    <x v="0"/>
    <x v="0"/>
    <x v="0"/>
    <x v="0"/>
    <s v="DK1_Rural"/>
    <x v="0"/>
    <x v="0"/>
    <x v="1"/>
    <x v="0"/>
    <n v="459.23225388644897"/>
    <n v="27936.628778092301"/>
    <n v="100571.863601132"/>
  </r>
  <r>
    <x v="0"/>
    <x v="0"/>
    <x v="0"/>
    <x v="0"/>
    <x v="0"/>
    <s v="DK1_Rural"/>
    <x v="0"/>
    <x v="0"/>
    <x v="1"/>
    <x v="1"/>
    <n v="454.23071448768599"/>
    <n v="27632.368464667601"/>
    <n v="99476.526472803205"/>
  </r>
  <r>
    <x v="0"/>
    <x v="0"/>
    <x v="0"/>
    <x v="0"/>
    <x v="0"/>
    <s v="DK1_Rural"/>
    <x v="0"/>
    <x v="0"/>
    <x v="1"/>
    <x v="2"/>
    <n v="449.68386048881001"/>
    <n v="27355.768179735998"/>
    <n v="98480.765447049504"/>
  </r>
  <r>
    <x v="0"/>
    <x v="0"/>
    <x v="0"/>
    <x v="0"/>
    <x v="0"/>
    <s v="DK1_Rural"/>
    <x v="0"/>
    <x v="0"/>
    <x v="1"/>
    <x v="3"/>
    <n v="456.504141487124"/>
    <n v="27770.668607133401"/>
    <n v="99974.406985680107"/>
  </r>
  <r>
    <x v="0"/>
    <x v="0"/>
    <x v="0"/>
    <x v="0"/>
    <x v="0"/>
    <s v="DK1_Rural"/>
    <x v="0"/>
    <x v="0"/>
    <x v="1"/>
    <x v="4"/>
    <n v="461.50568088588699"/>
    <n v="28074.928920558101"/>
    <n v="101069.74411400899"/>
  </r>
  <r>
    <x v="0"/>
    <x v="0"/>
    <x v="0"/>
    <x v="0"/>
    <x v="0"/>
    <s v="DK1_Rural"/>
    <x v="0"/>
    <x v="0"/>
    <x v="1"/>
    <x v="5"/>
    <n v="541.07562586621304"/>
    <n v="32915.433906861297"/>
    <n v="118495.56206470099"/>
  </r>
  <r>
    <x v="0"/>
    <x v="0"/>
    <x v="0"/>
    <x v="0"/>
    <x v="0"/>
    <s v="DK1_Rural"/>
    <x v="0"/>
    <x v="0"/>
    <x v="1"/>
    <x v="6"/>
    <n v="740.22783101696996"/>
    <n v="45030.526386865698"/>
    <n v="162109.894992716"/>
  </r>
  <r>
    <x v="0"/>
    <x v="0"/>
    <x v="0"/>
    <x v="0"/>
    <x v="0"/>
    <s v="DK1_Rural"/>
    <x v="0"/>
    <x v="0"/>
    <x v="1"/>
    <x v="7"/>
    <n v="858.90072038762605"/>
    <n v="52249.7938235806"/>
    <n v="188099.25776489"/>
  </r>
  <r>
    <x v="0"/>
    <x v="0"/>
    <x v="0"/>
    <x v="0"/>
    <x v="0"/>
    <s v="DK1_Rural"/>
    <x v="0"/>
    <x v="0"/>
    <x v="1"/>
    <x v="8"/>
    <n v="876.63345098324203"/>
    <n v="53328.534934813899"/>
    <n v="191982.72576532999"/>
  </r>
  <r>
    <x v="0"/>
    <x v="0"/>
    <x v="0"/>
    <x v="0"/>
    <x v="0"/>
    <s v="DK1_Rural"/>
    <x v="0"/>
    <x v="0"/>
    <x v="1"/>
    <x v="9"/>
    <n v="874.36002398380401"/>
    <n v="53190.234792348099"/>
    <n v="191484.845252453"/>
  </r>
  <r>
    <x v="0"/>
    <x v="0"/>
    <x v="0"/>
    <x v="0"/>
    <x v="0"/>
    <s v="DK1_Rural"/>
    <x v="0"/>
    <x v="0"/>
    <x v="1"/>
    <x v="10"/>
    <n v="878.45219258279201"/>
    <n v="53439.175048786499"/>
    <n v="192381.03017563099"/>
  </r>
  <r>
    <x v="0"/>
    <x v="0"/>
    <x v="0"/>
    <x v="0"/>
    <x v="0"/>
    <s v="DK1_Rural"/>
    <x v="0"/>
    <x v="0"/>
    <x v="1"/>
    <x v="11"/>
    <n v="874.36002398380401"/>
    <n v="53190.234792348099"/>
    <n v="191484.845252453"/>
  </r>
  <r>
    <x v="0"/>
    <x v="0"/>
    <x v="0"/>
    <x v="0"/>
    <x v="0"/>
    <s v="DK1_Rural"/>
    <x v="0"/>
    <x v="0"/>
    <x v="2"/>
    <x v="0"/>
    <n v="598.82067165193405"/>
    <n v="36428.2575254927"/>
    <n v="131141.727091774"/>
  </r>
  <r>
    <x v="0"/>
    <x v="0"/>
    <x v="0"/>
    <x v="0"/>
    <x v="0"/>
    <s v="DK1_Rural"/>
    <x v="0"/>
    <x v="0"/>
    <x v="2"/>
    <x v="1"/>
    <n v="584.72542425541997"/>
    <n v="35570.796642204703"/>
    <n v="128054.86791193701"/>
  </r>
  <r>
    <x v="0"/>
    <x v="0"/>
    <x v="0"/>
    <x v="0"/>
    <x v="0"/>
    <s v="DK1_Rural"/>
    <x v="0"/>
    <x v="0"/>
    <x v="2"/>
    <x v="2"/>
    <n v="580.17857025654405"/>
    <n v="35294.196357273097"/>
    <n v="127059.106886183"/>
  </r>
  <r>
    <x v="0"/>
    <x v="0"/>
    <x v="0"/>
    <x v="0"/>
    <x v="0"/>
    <s v="DK1_Rural"/>
    <x v="0"/>
    <x v="0"/>
    <x v="2"/>
    <x v="3"/>
    <n v="577.450457857218"/>
    <n v="35128.236186314098"/>
    <n v="126461.650270731"/>
  </r>
  <r>
    <x v="0"/>
    <x v="0"/>
    <x v="0"/>
    <x v="0"/>
    <x v="0"/>
    <s v="DK1_Rural"/>
    <x v="0"/>
    <x v="0"/>
    <x v="2"/>
    <x v="4"/>
    <n v="578.81451405688097"/>
    <n v="35211.216271793601"/>
    <n v="126760.37857845701"/>
  </r>
  <r>
    <x v="0"/>
    <x v="0"/>
    <x v="0"/>
    <x v="0"/>
    <x v="0"/>
    <s v="DK1_Rural"/>
    <x v="0"/>
    <x v="0"/>
    <x v="2"/>
    <x v="5"/>
    <n v="606.09563805013602"/>
    <n v="36870.817981383203"/>
    <n v="132734.94473297999"/>
  </r>
  <r>
    <x v="0"/>
    <x v="0"/>
    <x v="0"/>
    <x v="0"/>
    <x v="0"/>
    <s v="DK1_Rural"/>
    <x v="0"/>
    <x v="0"/>
    <x v="2"/>
    <x v="6"/>
    <n v="734.77160621831899"/>
    <n v="44698.606044947701"/>
    <n v="160914.981761812"/>
  </r>
  <r>
    <x v="0"/>
    <x v="0"/>
    <x v="0"/>
    <x v="0"/>
    <x v="0"/>
    <s v="DK1_Rural"/>
    <x v="0"/>
    <x v="0"/>
    <x v="2"/>
    <x v="7"/>
    <n v="854.35386638875104"/>
    <n v="51973.193538649"/>
    <n v="187103.496739136"/>
  </r>
  <r>
    <x v="0"/>
    <x v="0"/>
    <x v="0"/>
    <x v="0"/>
    <x v="0"/>
    <s v="DK1_Rural"/>
    <x v="0"/>
    <x v="0"/>
    <x v="2"/>
    <x v="8"/>
    <n v="864.81163058616505"/>
    <n v="52609.374193991702"/>
    <n v="189393.74709836999"/>
  </r>
  <r>
    <x v="0"/>
    <x v="0"/>
    <x v="0"/>
    <x v="0"/>
    <x v="0"/>
    <s v="DK1_Rural"/>
    <x v="0"/>
    <x v="0"/>
    <x v="2"/>
    <x v="9"/>
    <n v="856.62729338818895"/>
    <n v="52111.4936811148"/>
    <n v="187601.37725201299"/>
  </r>
  <r>
    <x v="0"/>
    <x v="0"/>
    <x v="0"/>
    <x v="0"/>
    <x v="0"/>
    <s v="DK1_Rural"/>
    <x v="0"/>
    <x v="0"/>
    <x v="2"/>
    <x v="10"/>
    <n v="862.083518186839"/>
    <n v="52443.414023032703"/>
    <n v="188796.290482918"/>
  </r>
  <r>
    <x v="0"/>
    <x v="0"/>
    <x v="0"/>
    <x v="0"/>
    <x v="0"/>
    <s v="DK1_Rural"/>
    <x v="0"/>
    <x v="0"/>
    <x v="2"/>
    <x v="11"/>
    <n v="857.53666418796399"/>
    <n v="52166.813738101097"/>
    <n v="187800.529457164"/>
  </r>
  <r>
    <x v="0"/>
    <x v="0"/>
    <x v="0"/>
    <x v="0"/>
    <x v="0"/>
    <s v="DK1_Rural"/>
    <x v="0"/>
    <x v="0"/>
    <x v="3"/>
    <x v="0"/>
    <n v="590.63633445395806"/>
    <n v="35930.377012615798"/>
    <n v="129349.35724541701"/>
  </r>
  <r>
    <x v="0"/>
    <x v="0"/>
    <x v="0"/>
    <x v="0"/>
    <x v="0"/>
    <s v="DK1_Rural"/>
    <x v="0"/>
    <x v="0"/>
    <x v="3"/>
    <x v="1"/>
    <n v="577.90514325710603"/>
    <n v="35155.896214807297"/>
    <n v="126561.226373306"/>
  </r>
  <r>
    <x v="0"/>
    <x v="0"/>
    <x v="0"/>
    <x v="0"/>
    <x v="0"/>
    <s v="DK1_Rural"/>
    <x v="0"/>
    <x v="0"/>
    <x v="3"/>
    <x v="2"/>
    <n v="563.80989586059104"/>
    <n v="34298.4353315193"/>
    <n v="123474.36719346901"/>
  </r>
  <r>
    <x v="0"/>
    <x v="0"/>
    <x v="0"/>
    <x v="0"/>
    <x v="0"/>
    <s v="DK1_Rural"/>
    <x v="0"/>
    <x v="0"/>
    <x v="3"/>
    <x v="3"/>
    <n v="562.90052506081599"/>
    <n v="34243.115274532996"/>
    <n v="123275.214988319"/>
  </r>
  <r>
    <x v="0"/>
    <x v="0"/>
    <x v="0"/>
    <x v="0"/>
    <x v="0"/>
    <s v="DK1_Rural"/>
    <x v="0"/>
    <x v="0"/>
    <x v="3"/>
    <x v="4"/>
    <n v="567.90206445957904"/>
    <n v="34547.3755879577"/>
    <n v="124370.552116648"/>
  </r>
  <r>
    <x v="0"/>
    <x v="0"/>
    <x v="0"/>
    <x v="0"/>
    <x v="0"/>
    <s v="DK1_Rural"/>
    <x v="0"/>
    <x v="0"/>
    <x v="3"/>
    <x v="5"/>
    <n v="602.91284025092295"/>
    <n v="36677.1977819311"/>
    <n v="132037.91201495199"/>
  </r>
  <r>
    <x v="0"/>
    <x v="0"/>
    <x v="0"/>
    <x v="0"/>
    <x v="0"/>
    <s v="DK1_Rural"/>
    <x v="0"/>
    <x v="0"/>
    <x v="3"/>
    <x v="6"/>
    <n v="727.49663982011805"/>
    <n v="44256.045589057198"/>
    <n v="159321.76412060601"/>
  </r>
  <r>
    <x v="0"/>
    <x v="0"/>
    <x v="0"/>
    <x v="0"/>
    <x v="0"/>
    <s v="DK1_Rural"/>
    <x v="0"/>
    <x v="0"/>
    <x v="3"/>
    <x v="7"/>
    <n v="822.980573796508"/>
    <n v="50064.651572620904"/>
    <n v="180232.74566143501"/>
  </r>
  <r>
    <x v="0"/>
    <x v="0"/>
    <x v="0"/>
    <x v="0"/>
    <x v="0"/>
    <s v="DK1_Rural"/>
    <x v="0"/>
    <x v="0"/>
    <x v="3"/>
    <x v="8"/>
    <n v="829.34616939493401"/>
    <n v="50451.891971525198"/>
    <n v="181626.81109749101"/>
  </r>
  <r>
    <x v="0"/>
    <x v="0"/>
    <x v="0"/>
    <x v="0"/>
    <x v="0"/>
    <s v="DK1_Rural"/>
    <x v="0"/>
    <x v="0"/>
    <x v="3"/>
    <x v="9"/>
    <n v="827.52742779538403"/>
    <n v="50341.251857552503"/>
    <n v="181228.50668718899"/>
  </r>
  <r>
    <x v="0"/>
    <x v="0"/>
    <x v="0"/>
    <x v="0"/>
    <x v="0"/>
    <s v="DK1_Rural"/>
    <x v="0"/>
    <x v="0"/>
    <x v="3"/>
    <x v="10"/>
    <n v="826.61805699560898"/>
    <n v="50285.931800566199"/>
    <n v="181029.354482038"/>
  </r>
  <r>
    <x v="0"/>
    <x v="0"/>
    <x v="0"/>
    <x v="0"/>
    <x v="0"/>
    <s v="DK1_Rural"/>
    <x v="0"/>
    <x v="0"/>
    <x v="3"/>
    <x v="11"/>
    <n v="828.43679859515896"/>
    <n v="50396.571914538799"/>
    <n v="181427.65889234"/>
  </r>
  <r>
    <x v="0"/>
    <x v="0"/>
    <x v="0"/>
    <x v="0"/>
    <x v="0"/>
    <s v="DK1_Rural"/>
    <x v="0"/>
    <x v="0"/>
    <x v="4"/>
    <x v="0"/>
    <n v="537.43814266711195"/>
    <n v="32694.153678916002"/>
    <n v="117698.953244098"/>
  </r>
  <r>
    <x v="0"/>
    <x v="0"/>
    <x v="0"/>
    <x v="0"/>
    <x v="0"/>
    <s v="DK1_Rural"/>
    <x v="0"/>
    <x v="0"/>
    <x v="4"/>
    <x v="1"/>
    <n v="551.98807546351395"/>
    <n v="33579.274590697103"/>
    <n v="120885.38852651"/>
  </r>
  <r>
    <x v="0"/>
    <x v="0"/>
    <x v="0"/>
    <x v="0"/>
    <x v="0"/>
    <s v="DK1_Rural"/>
    <x v="0"/>
    <x v="0"/>
    <x v="4"/>
    <x v="2"/>
    <n v="554.71618786284"/>
    <n v="33745.234761656102"/>
    <n v="121482.845141962"/>
  </r>
  <r>
    <x v="0"/>
    <x v="0"/>
    <x v="0"/>
    <x v="0"/>
    <x v="0"/>
    <s v="DK1_Rural"/>
    <x v="0"/>
    <x v="0"/>
    <x v="4"/>
    <x v="3"/>
    <n v="556.08024406250195"/>
    <n v="33828.214847135598"/>
    <n v="121781.573449688"/>
  </r>
  <r>
    <x v="0"/>
    <x v="0"/>
    <x v="0"/>
    <x v="0"/>
    <x v="0"/>
    <s v="DK1_Rural"/>
    <x v="0"/>
    <x v="0"/>
    <x v="4"/>
    <x v="4"/>
    <n v="562.44583966092796"/>
    <n v="34215.455246039797"/>
    <n v="123175.638885743"/>
  </r>
  <r>
    <x v="0"/>
    <x v="0"/>
    <x v="0"/>
    <x v="0"/>
    <x v="0"/>
    <s v="DK1_Rural"/>
    <x v="0"/>
    <x v="0"/>
    <x v="4"/>
    <x v="5"/>
    <n v="606.55032345002303"/>
    <n v="36898.478009876402"/>
    <n v="132834.52083555501"/>
  </r>
  <r>
    <x v="0"/>
    <x v="0"/>
    <x v="0"/>
    <x v="0"/>
    <x v="0"/>
    <s v="DK1_Rural"/>
    <x v="0"/>
    <x v="0"/>
    <x v="4"/>
    <x v="6"/>
    <n v="729.31538141966803"/>
    <n v="44366.685703029798"/>
    <n v="159720.06853090701"/>
  </r>
  <r>
    <x v="0"/>
    <x v="0"/>
    <x v="0"/>
    <x v="0"/>
    <x v="0"/>
    <s v="DK1_Rural"/>
    <x v="0"/>
    <x v="0"/>
    <x v="4"/>
    <x v="7"/>
    <n v="815.25092199841902"/>
    <n v="49594.431088237201"/>
    <n v="178539.95191765399"/>
  </r>
  <r>
    <x v="0"/>
    <x v="0"/>
    <x v="0"/>
    <x v="0"/>
    <x v="0"/>
    <s v="DK1_Rural"/>
    <x v="0"/>
    <x v="0"/>
    <x v="4"/>
    <x v="8"/>
    <n v="831.16491099448501"/>
    <n v="50562.532085497798"/>
    <n v="182025.11550779201"/>
  </r>
  <r>
    <x v="0"/>
    <x v="0"/>
    <x v="0"/>
    <x v="0"/>
    <x v="0"/>
    <s v="DK1_Rural"/>
    <x v="0"/>
    <x v="0"/>
    <x v="4"/>
    <x v="9"/>
    <n v="833.438337993922"/>
    <n v="50700.832227963598"/>
    <n v="182522.996020669"/>
  </r>
  <r>
    <x v="0"/>
    <x v="0"/>
    <x v="0"/>
    <x v="0"/>
    <x v="0"/>
    <s v="DK1_Rural"/>
    <x v="0"/>
    <x v="0"/>
    <x v="4"/>
    <x v="10"/>
    <n v="834.34770879369705"/>
    <n v="50756.152284949902"/>
    <n v="182722.14822582001"/>
  </r>
  <r>
    <x v="0"/>
    <x v="0"/>
    <x v="0"/>
    <x v="0"/>
    <x v="0"/>
    <s v="DK1_Rural"/>
    <x v="0"/>
    <x v="0"/>
    <x v="4"/>
    <x v="11"/>
    <n v="837.07582119302299"/>
    <n v="50922.1124559089"/>
    <n v="183319.604841272"/>
  </r>
  <r>
    <x v="0"/>
    <x v="0"/>
    <x v="0"/>
    <x v="0"/>
    <x v="0"/>
    <s v="DK1_Rural"/>
    <x v="0"/>
    <x v="0"/>
    <x v="5"/>
    <x v="0"/>
    <n v="706.126426025402"/>
    <n v="42956.024249878603"/>
    <n v="154641.687299563"/>
  </r>
  <r>
    <x v="0"/>
    <x v="0"/>
    <x v="0"/>
    <x v="0"/>
    <x v="0"/>
    <s v="DK1_Rural"/>
    <x v="0"/>
    <x v="0"/>
    <x v="5"/>
    <x v="1"/>
    <n v="702.94362822618905"/>
    <n v="42762.404050426499"/>
    <n v="153944.654581535"/>
  </r>
  <r>
    <x v="0"/>
    <x v="0"/>
    <x v="0"/>
    <x v="0"/>
    <x v="0"/>
    <s v="DK1_Rural"/>
    <x v="0"/>
    <x v="0"/>
    <x v="5"/>
    <x v="2"/>
    <n v="703.39831362607595"/>
    <n v="42790.064078919597"/>
    <n v="154044.23068411101"/>
  </r>
  <r>
    <x v="0"/>
    <x v="0"/>
    <x v="0"/>
    <x v="0"/>
    <x v="0"/>
    <s v="DK1_Rural"/>
    <x v="0"/>
    <x v="0"/>
    <x v="5"/>
    <x v="3"/>
    <n v="698.85145962720105"/>
    <n v="42513.463793987998"/>
    <n v="153048.469658357"/>
  </r>
  <r>
    <x v="0"/>
    <x v="0"/>
    <x v="0"/>
    <x v="0"/>
    <x v="0"/>
    <s v="DK1_Rural"/>
    <x v="0"/>
    <x v="0"/>
    <x v="5"/>
    <x v="4"/>
    <n v="700.67020122675103"/>
    <n v="42624.1039079607"/>
    <n v="153446.77406865801"/>
  </r>
  <r>
    <x v="0"/>
    <x v="0"/>
    <x v="0"/>
    <x v="0"/>
    <x v="0"/>
    <s v="DK1_Rural"/>
    <x v="0"/>
    <x v="0"/>
    <x v="5"/>
    <x v="5"/>
    <n v="704.30768442585099"/>
    <n v="42845.384135906002"/>
    <n v="154243.382889261"/>
  </r>
  <r>
    <x v="0"/>
    <x v="0"/>
    <x v="0"/>
    <x v="0"/>
    <x v="0"/>
    <s v="DK1_Rural"/>
    <x v="0"/>
    <x v="0"/>
    <x v="5"/>
    <x v="6"/>
    <n v="735.68097701809404"/>
    <n v="44753.926101933997"/>
    <n v="161114.13396696301"/>
  </r>
  <r>
    <x v="0"/>
    <x v="0"/>
    <x v="0"/>
    <x v="0"/>
    <x v="0"/>
    <s v="DK1_Rural"/>
    <x v="0"/>
    <x v="0"/>
    <x v="5"/>
    <x v="7"/>
    <n v="787.51511260527695"/>
    <n v="47907.1693501544"/>
    <n v="172465.809660556"/>
  </r>
  <r>
    <x v="0"/>
    <x v="0"/>
    <x v="0"/>
    <x v="0"/>
    <x v="0"/>
    <s v="DK1_Rural"/>
    <x v="0"/>
    <x v="0"/>
    <x v="5"/>
    <x v="8"/>
    <n v="789.78853960471497"/>
    <n v="48045.469492620199"/>
    <n v="172963.69017343299"/>
  </r>
  <r>
    <x v="0"/>
    <x v="0"/>
    <x v="0"/>
    <x v="0"/>
    <x v="0"/>
    <s v="DK1_Rural"/>
    <x v="0"/>
    <x v="0"/>
    <x v="5"/>
    <x v="9"/>
    <n v="794.335393603591"/>
    <n v="48322.069777551798"/>
    <n v="173959.45119918601"/>
  </r>
  <r>
    <x v="0"/>
    <x v="0"/>
    <x v="0"/>
    <x v="0"/>
    <x v="0"/>
    <s v="DK1_Rural"/>
    <x v="0"/>
    <x v="0"/>
    <x v="5"/>
    <x v="10"/>
    <n v="801.15567460190505"/>
    <n v="48736.970204949197"/>
    <n v="175453.092737817"/>
  </r>
  <r>
    <x v="0"/>
    <x v="0"/>
    <x v="0"/>
    <x v="0"/>
    <x v="0"/>
    <s v="DK1_Rural"/>
    <x v="0"/>
    <x v="0"/>
    <x v="5"/>
    <x v="11"/>
    <n v="795.69944980325397"/>
    <n v="48405.049863031301"/>
    <n v="174258.179506913"/>
  </r>
  <r>
    <x v="0"/>
    <x v="0"/>
    <x v="0"/>
    <x v="0"/>
    <x v="0"/>
    <s v="DK1_Rural"/>
    <x v="0"/>
    <x v="0"/>
    <x v="6"/>
    <x v="0"/>
    <n v="551.07870466373902"/>
    <n v="33523.954533710799"/>
    <n v="120686.236321359"/>
  </r>
  <r>
    <x v="0"/>
    <x v="0"/>
    <x v="0"/>
    <x v="0"/>
    <x v="0"/>
    <s v="DK1_Rural"/>
    <x v="0"/>
    <x v="0"/>
    <x v="6"/>
    <x v="1"/>
    <n v="544.71310906531301"/>
    <n v="33136.714134806498"/>
    <n v="119292.170885304"/>
  </r>
  <r>
    <x v="0"/>
    <x v="0"/>
    <x v="0"/>
    <x v="0"/>
    <x v="0"/>
    <s v="DK1_Rural"/>
    <x v="0"/>
    <x v="0"/>
    <x v="6"/>
    <x v="2"/>
    <n v="538.80219886677503"/>
    <n v="32777.133764395498"/>
    <n v="117997.681551824"/>
  </r>
  <r>
    <x v="0"/>
    <x v="0"/>
    <x v="0"/>
    <x v="0"/>
    <x v="0"/>
    <s v="DK1_Rural"/>
    <x v="0"/>
    <x v="0"/>
    <x v="6"/>
    <x v="3"/>
    <n v="535.16471566767405"/>
    <n v="32555.853536450199"/>
    <n v="117201.07273122099"/>
  </r>
  <r>
    <x v="0"/>
    <x v="0"/>
    <x v="0"/>
    <x v="0"/>
    <x v="0"/>
    <s v="DK1_Rural"/>
    <x v="0"/>
    <x v="0"/>
    <x v="6"/>
    <x v="4"/>
    <n v="529.70849086902297"/>
    <n v="32223.933194532201"/>
    <n v="116006.159500316"/>
  </r>
  <r>
    <x v="0"/>
    <x v="0"/>
    <x v="0"/>
    <x v="0"/>
    <x v="0"/>
    <s v="DK1_Rural"/>
    <x v="0"/>
    <x v="0"/>
    <x v="6"/>
    <x v="5"/>
    <n v="553.35213166317703"/>
    <n v="33662.254676176599"/>
    <n v="121184.116834236"/>
  </r>
  <r>
    <x v="0"/>
    <x v="0"/>
    <x v="0"/>
    <x v="0"/>
    <x v="0"/>
    <s v="DK1_Rural"/>
    <x v="0"/>
    <x v="0"/>
    <x v="6"/>
    <x v="6"/>
    <n v="680.66404363169795"/>
    <n v="41407.062654261601"/>
    <n v="149065.42555534199"/>
  </r>
  <r>
    <x v="0"/>
    <x v="0"/>
    <x v="0"/>
    <x v="0"/>
    <x v="0"/>
    <s v="DK1_Rural"/>
    <x v="0"/>
    <x v="0"/>
    <x v="6"/>
    <x v="7"/>
    <n v="781.14951700685106"/>
    <n v="47519.928951250098"/>
    <n v="171071.7442245"/>
  </r>
  <r>
    <x v="0"/>
    <x v="0"/>
    <x v="0"/>
    <x v="0"/>
    <x v="0"/>
    <s v="DK1_Rural"/>
    <x v="0"/>
    <x v="0"/>
    <x v="6"/>
    <x v="8"/>
    <n v="789.33385420482796"/>
    <n v="48017.809464127"/>
    <n v="172864.114070857"/>
  </r>
  <r>
    <x v="0"/>
    <x v="0"/>
    <x v="0"/>
    <x v="0"/>
    <x v="0"/>
    <s v="DK1_Rural"/>
    <x v="0"/>
    <x v="0"/>
    <x v="6"/>
    <x v="9"/>
    <n v="794.79007900347904"/>
    <n v="48349.729806044998"/>
    <n v="174059.02730176199"/>
  </r>
  <r>
    <x v="0"/>
    <x v="0"/>
    <x v="0"/>
    <x v="0"/>
    <x v="0"/>
    <s v="DK1_Rural"/>
    <x v="0"/>
    <x v="0"/>
    <x v="6"/>
    <x v="10"/>
    <n v="801.15567460190505"/>
    <n v="48736.970204949197"/>
    <n v="175453.092737817"/>
  </r>
  <r>
    <x v="0"/>
    <x v="0"/>
    <x v="0"/>
    <x v="0"/>
    <x v="0"/>
    <s v="DK1_Rural"/>
    <x v="0"/>
    <x v="0"/>
    <x v="6"/>
    <x v="11"/>
    <n v="806.15721400066798"/>
    <n v="49041.230518374003"/>
    <n v="176548.42986614601"/>
  </r>
  <r>
    <x v="0"/>
    <x v="0"/>
    <x v="0"/>
    <x v="0"/>
    <x v="0"/>
    <s v="DK1_Rural"/>
    <x v="0"/>
    <x v="0"/>
    <x v="7"/>
    <x v="0"/>
    <n v="442.40889409060901"/>
    <n v="26913.2077238454"/>
    <n v="96887.547805843395"/>
  </r>
  <r>
    <x v="0"/>
    <x v="0"/>
    <x v="0"/>
    <x v="0"/>
    <x v="0"/>
    <s v="DK1_Rural"/>
    <x v="0"/>
    <x v="0"/>
    <x v="7"/>
    <x v="1"/>
    <n v="442.86357949049699"/>
    <n v="26940.867752338501"/>
    <n v="96987.123908418798"/>
  </r>
  <r>
    <x v="0"/>
    <x v="0"/>
    <x v="0"/>
    <x v="0"/>
    <x v="0"/>
    <s v="DK1_Rural"/>
    <x v="0"/>
    <x v="0"/>
    <x v="7"/>
    <x v="2"/>
    <n v="436.49798389207098"/>
    <n v="26553.627353434302"/>
    <n v="95593.058472363497"/>
  </r>
  <r>
    <x v="0"/>
    <x v="0"/>
    <x v="0"/>
    <x v="0"/>
    <x v="0"/>
    <s v="DK1_Rural"/>
    <x v="0"/>
    <x v="0"/>
    <x v="7"/>
    <x v="3"/>
    <n v="437.40735469184602"/>
    <n v="26608.947410420598"/>
    <n v="95792.210677514202"/>
  </r>
  <r>
    <x v="0"/>
    <x v="0"/>
    <x v="0"/>
    <x v="0"/>
    <x v="0"/>
    <s v="DK1_Rural"/>
    <x v="0"/>
    <x v="0"/>
    <x v="7"/>
    <x v="4"/>
    <n v="444.68232109004703"/>
    <n v="27051.5078663112"/>
    <n v="97385.428318720296"/>
  </r>
  <r>
    <x v="0"/>
    <x v="0"/>
    <x v="0"/>
    <x v="0"/>
    <x v="0"/>
    <s v="DK1_Rural"/>
    <x v="0"/>
    <x v="0"/>
    <x v="7"/>
    <x v="5"/>
    <n v="504.70079387520701"/>
    <n v="30702.631627408398"/>
    <n v="110529.47385867"/>
  </r>
  <r>
    <x v="0"/>
    <x v="0"/>
    <x v="0"/>
    <x v="0"/>
    <x v="0"/>
    <s v="DK1_Rural"/>
    <x v="0"/>
    <x v="0"/>
    <x v="7"/>
    <x v="6"/>
    <n v="702.034257426414"/>
    <n v="42707.083993440203"/>
    <n v="153745.502376385"/>
  </r>
  <r>
    <x v="0"/>
    <x v="0"/>
    <x v="0"/>
    <x v="0"/>
    <x v="0"/>
    <s v="DK1_Rural"/>
    <x v="0"/>
    <x v="0"/>
    <x v="7"/>
    <x v="7"/>
    <n v="817.52434899785703"/>
    <n v="49732.731230703001"/>
    <n v="179037.83243053101"/>
  </r>
  <r>
    <x v="0"/>
    <x v="0"/>
    <x v="0"/>
    <x v="0"/>
    <x v="0"/>
    <s v="DK1_Rural"/>
    <x v="0"/>
    <x v="0"/>
    <x v="7"/>
    <x v="8"/>
    <n v="831.61959639437202"/>
    <n v="50590.192113990997"/>
    <n v="182124.691610368"/>
  </r>
  <r>
    <x v="0"/>
    <x v="0"/>
    <x v="0"/>
    <x v="0"/>
    <x v="0"/>
    <s v="DK1_Rural"/>
    <x v="0"/>
    <x v="0"/>
    <x v="7"/>
    <x v="9"/>
    <n v="856.62729338818895"/>
    <n v="52111.4936811148"/>
    <n v="187601.37725201299"/>
  </r>
  <r>
    <x v="0"/>
    <x v="0"/>
    <x v="0"/>
    <x v="0"/>
    <x v="0"/>
    <s v="DK1_Rural"/>
    <x v="0"/>
    <x v="0"/>
    <x v="7"/>
    <x v="10"/>
    <n v="864.35694518627702"/>
    <n v="52581.714165498503"/>
    <n v="189294.17099579499"/>
  </r>
  <r>
    <x v="0"/>
    <x v="0"/>
    <x v="0"/>
    <x v="0"/>
    <x v="0"/>
    <s v="DK1_Rural"/>
    <x v="0"/>
    <x v="0"/>
    <x v="7"/>
    <x v="11"/>
    <n v="861.17414738706395"/>
    <n v="52388.093966046399"/>
    <n v="188597.13827776699"/>
  </r>
  <r>
    <x v="0"/>
    <x v="0"/>
    <x v="0"/>
    <x v="0"/>
    <x v="0"/>
    <s v="DK1_Rural"/>
    <x v="0"/>
    <x v="0"/>
    <x v="8"/>
    <x v="0"/>
    <n v="563.35521046070403"/>
    <n v="34270.775303026101"/>
    <n v="123374.791090894"/>
  </r>
  <r>
    <x v="0"/>
    <x v="0"/>
    <x v="0"/>
    <x v="0"/>
    <x v="0"/>
    <s v="DK1_Rural"/>
    <x v="0"/>
    <x v="0"/>
    <x v="8"/>
    <x v="1"/>
    <n v="562.44583966092796"/>
    <n v="34215.455246039797"/>
    <n v="123175.638885743"/>
  </r>
  <r>
    <x v="0"/>
    <x v="0"/>
    <x v="0"/>
    <x v="0"/>
    <x v="0"/>
    <s v="DK1_Rural"/>
    <x v="0"/>
    <x v="0"/>
    <x v="8"/>
    <x v="2"/>
    <n v="558.35367106193996"/>
    <n v="33966.514989601397"/>
    <n v="122279.45396256501"/>
  </r>
  <r>
    <x v="0"/>
    <x v="0"/>
    <x v="0"/>
    <x v="0"/>
    <x v="0"/>
    <s v="DK1_Rural"/>
    <x v="0"/>
    <x v="0"/>
    <x v="8"/>
    <x v="3"/>
    <n v="560.62709806137798"/>
    <n v="34104.815132067197"/>
    <n v="122777.334475442"/>
  </r>
  <r>
    <x v="0"/>
    <x v="0"/>
    <x v="0"/>
    <x v="0"/>
    <x v="0"/>
    <s v="DK1_Rural"/>
    <x v="0"/>
    <x v="0"/>
    <x v="8"/>
    <x v="4"/>
    <n v="587.45353665474499"/>
    <n v="35736.756813163702"/>
    <n v="128652.32452738901"/>
  </r>
  <r>
    <x v="0"/>
    <x v="0"/>
    <x v="0"/>
    <x v="0"/>
    <x v="0"/>
    <s v="DK1_Rural"/>
    <x v="0"/>
    <x v="0"/>
    <x v="8"/>
    <x v="5"/>
    <n v="603.36752565080997"/>
    <n v="36704.857810424299"/>
    <n v="132137.48811752701"/>
  </r>
  <r>
    <x v="0"/>
    <x v="0"/>
    <x v="0"/>
    <x v="0"/>
    <x v="0"/>
    <s v="DK1_Rural"/>
    <x v="0"/>
    <x v="0"/>
    <x v="8"/>
    <x v="6"/>
    <n v="697.03271802765005"/>
    <n v="42402.823680015397"/>
    <n v="152650.16524805501"/>
  </r>
  <r>
    <x v="0"/>
    <x v="0"/>
    <x v="0"/>
    <x v="0"/>
    <x v="0"/>
    <s v="DK1_Rural"/>
    <x v="0"/>
    <x v="0"/>
    <x v="8"/>
    <x v="7"/>
    <n v="807.06658480044302"/>
    <n v="49096.550575360299"/>
    <n v="176747.58207129699"/>
  </r>
  <r>
    <x v="0"/>
    <x v="0"/>
    <x v="0"/>
    <x v="0"/>
    <x v="0"/>
    <s v="DK1_Rural"/>
    <x v="0"/>
    <x v="0"/>
    <x v="8"/>
    <x v="8"/>
    <n v="807.06658480044302"/>
    <n v="49096.550575360299"/>
    <n v="176747.58207129699"/>
  </r>
  <r>
    <x v="0"/>
    <x v="0"/>
    <x v="0"/>
    <x v="0"/>
    <x v="0"/>
    <s v="DK1_Rural"/>
    <x v="0"/>
    <x v="0"/>
    <x v="8"/>
    <x v="9"/>
    <n v="806.15721400066798"/>
    <n v="49041.230518374003"/>
    <n v="176548.42986614601"/>
  </r>
  <r>
    <x v="0"/>
    <x v="0"/>
    <x v="0"/>
    <x v="0"/>
    <x v="0"/>
    <s v="DK1_Rural"/>
    <x v="0"/>
    <x v="0"/>
    <x v="8"/>
    <x v="10"/>
    <n v="817.97903439774495"/>
    <n v="49760.391259196098"/>
    <n v="179137.40853310601"/>
  </r>
  <r>
    <x v="0"/>
    <x v="0"/>
    <x v="0"/>
    <x v="0"/>
    <x v="0"/>
    <s v="DK1_Rural"/>
    <x v="0"/>
    <x v="0"/>
    <x v="8"/>
    <x v="11"/>
    <n v="821.61651759684503"/>
    <n v="49981.671487141401"/>
    <n v="179934.017353709"/>
  </r>
  <r>
    <x v="0"/>
    <x v="0"/>
    <x v="0"/>
    <x v="0"/>
    <x v="0"/>
    <s v="DK1_Rural"/>
    <x v="0"/>
    <x v="0"/>
    <x v="9"/>
    <x v="0"/>
    <n v="637.92361604226596"/>
    <n v="38807.019975904499"/>
    <n v="139705.271913256"/>
  </r>
  <r>
    <x v="0"/>
    <x v="0"/>
    <x v="0"/>
    <x v="0"/>
    <x v="0"/>
    <s v="DK1_Rural"/>
    <x v="0"/>
    <x v="0"/>
    <x v="9"/>
    <x v="1"/>
    <n v="627.46585184485195"/>
    <n v="38170.839320561798"/>
    <n v="137415.02155402201"/>
  </r>
  <r>
    <x v="0"/>
    <x v="0"/>
    <x v="0"/>
    <x v="0"/>
    <x v="0"/>
    <s v="DK1_Rural"/>
    <x v="0"/>
    <x v="0"/>
    <x v="9"/>
    <x v="2"/>
    <n v="638.83298684204101"/>
    <n v="38862.340032890803"/>
    <n v="139904.42411840701"/>
  </r>
  <r>
    <x v="0"/>
    <x v="0"/>
    <x v="0"/>
    <x v="0"/>
    <x v="0"/>
    <s v="DK1_Rural"/>
    <x v="0"/>
    <x v="0"/>
    <x v="9"/>
    <x v="3"/>
    <n v="670.20627943428303"/>
    <n v="40770.8819989189"/>
    <n v="146775.175196108"/>
  </r>
  <r>
    <x v="0"/>
    <x v="0"/>
    <x v="0"/>
    <x v="0"/>
    <x v="0"/>
    <s v="DK1_Rural"/>
    <x v="0"/>
    <x v="0"/>
    <x v="9"/>
    <x v="4"/>
    <n v="684.30152683079803"/>
    <n v="41628.342882206904"/>
    <n v="149862.03437594499"/>
  </r>
  <r>
    <x v="0"/>
    <x v="0"/>
    <x v="0"/>
    <x v="0"/>
    <x v="0"/>
    <s v="DK1_Rural"/>
    <x v="0"/>
    <x v="0"/>
    <x v="9"/>
    <x v="5"/>
    <n v="689.30306622956095"/>
    <n v="41932.603195631702"/>
    <n v="150957.37150427399"/>
  </r>
  <r>
    <x v="0"/>
    <x v="0"/>
    <x v="0"/>
    <x v="0"/>
    <x v="0"/>
    <s v="DK1_Rural"/>
    <x v="0"/>
    <x v="0"/>
    <x v="9"/>
    <x v="6"/>
    <n v="804.338472401118"/>
    <n v="48930.5904044013"/>
    <n v="176150.125455845"/>
  </r>
  <r>
    <x v="0"/>
    <x v="0"/>
    <x v="0"/>
    <x v="0"/>
    <x v="0"/>
    <s v="DK1_Rural"/>
    <x v="0"/>
    <x v="0"/>
    <x v="9"/>
    <x v="7"/>
    <n v="848.89764159009997"/>
    <n v="51641.273196731097"/>
    <n v="185908.583508232"/>
  </r>
  <r>
    <x v="0"/>
    <x v="0"/>
    <x v="0"/>
    <x v="0"/>
    <x v="0"/>
    <s v="DK1_Rural"/>
    <x v="0"/>
    <x v="0"/>
    <x v="9"/>
    <x v="8"/>
    <n v="858.44603498773904"/>
    <n v="52222.1337950874"/>
    <n v="187999.68166231501"/>
  </r>
  <r>
    <x v="0"/>
    <x v="0"/>
    <x v="0"/>
    <x v="0"/>
    <x v="0"/>
    <s v="DK1_Rural"/>
    <x v="0"/>
    <x v="0"/>
    <x v="9"/>
    <x v="9"/>
    <n v="860.26477658728902"/>
    <n v="52332.773909060103"/>
    <n v="188397.98607261601"/>
  </r>
  <r>
    <x v="0"/>
    <x v="0"/>
    <x v="0"/>
    <x v="0"/>
    <x v="0"/>
    <s v="DK1_Rural"/>
    <x v="0"/>
    <x v="0"/>
    <x v="9"/>
    <x v="10"/>
    <n v="859.35540578751397"/>
    <n v="52277.453852073799"/>
    <n v="188198.83386746599"/>
  </r>
  <r>
    <x v="0"/>
    <x v="0"/>
    <x v="0"/>
    <x v="0"/>
    <x v="0"/>
    <s v="DK1_Rural"/>
    <x v="0"/>
    <x v="0"/>
    <x v="9"/>
    <x v="11"/>
    <n v="856.62729338818895"/>
    <n v="52111.4936811148"/>
    <n v="187601.37725201299"/>
  </r>
  <r>
    <x v="0"/>
    <x v="0"/>
    <x v="0"/>
    <x v="0"/>
    <x v="0"/>
    <s v="DK1_Rural"/>
    <x v="0"/>
    <x v="0"/>
    <x v="10"/>
    <x v="0"/>
    <n v="436.95266929195799"/>
    <n v="26581.287381927501"/>
    <n v="95692.634574938798"/>
  </r>
  <r>
    <x v="0"/>
    <x v="0"/>
    <x v="0"/>
    <x v="0"/>
    <x v="0"/>
    <s v="DK1_Rural"/>
    <x v="0"/>
    <x v="0"/>
    <x v="10"/>
    <x v="1"/>
    <n v="429.22301749386901"/>
    <n v="26111.0668975437"/>
    <n v="93999.840831157402"/>
  </r>
  <r>
    <x v="0"/>
    <x v="0"/>
    <x v="0"/>
    <x v="0"/>
    <x v="0"/>
    <s v="DK1_Rural"/>
    <x v="0"/>
    <x v="0"/>
    <x v="10"/>
    <x v="2"/>
    <n v="423.31210729533097"/>
    <n v="25751.486527132602"/>
    <n v="92705.351497677504"/>
  </r>
  <r>
    <x v="0"/>
    <x v="0"/>
    <x v="0"/>
    <x v="0"/>
    <x v="0"/>
    <s v="DK1_Rural"/>
    <x v="0"/>
    <x v="0"/>
    <x v="10"/>
    <x v="3"/>
    <n v="421.49336569578099"/>
    <n v="25640.846413160001"/>
    <n v="92307.047087376006"/>
  </r>
  <r>
    <x v="0"/>
    <x v="0"/>
    <x v="0"/>
    <x v="0"/>
    <x v="0"/>
    <s v="DK1_Rural"/>
    <x v="0"/>
    <x v="0"/>
    <x v="10"/>
    <x v="4"/>
    <n v="423.76679269521901"/>
    <n v="25779.146555625801"/>
    <n v="92804.927600252893"/>
  </r>
  <r>
    <x v="0"/>
    <x v="0"/>
    <x v="0"/>
    <x v="0"/>
    <x v="0"/>
    <s v="DK1_Rural"/>
    <x v="0"/>
    <x v="0"/>
    <x v="10"/>
    <x v="5"/>
    <n v="479.69309688138998"/>
    <n v="29181.330060284599"/>
    <n v="105052.788217024"/>
  </r>
  <r>
    <x v="0"/>
    <x v="0"/>
    <x v="0"/>
    <x v="0"/>
    <x v="0"/>
    <s v="DK1_Rural"/>
    <x v="0"/>
    <x v="0"/>
    <x v="10"/>
    <x v="6"/>
    <n v="627.92053724473897"/>
    <n v="38198.499349054997"/>
    <n v="137514.59765659799"/>
  </r>
  <r>
    <x v="0"/>
    <x v="0"/>
    <x v="0"/>
    <x v="0"/>
    <x v="0"/>
    <s v="DK1_Rural"/>
    <x v="0"/>
    <x v="0"/>
    <x v="10"/>
    <x v="7"/>
    <n v="789.78853960471497"/>
    <n v="48045.469492620199"/>
    <n v="172963.69017343299"/>
  </r>
  <r>
    <x v="0"/>
    <x v="0"/>
    <x v="0"/>
    <x v="0"/>
    <x v="0"/>
    <s v="DK1_Rural"/>
    <x v="0"/>
    <x v="0"/>
    <x v="10"/>
    <x v="8"/>
    <n v="825.25400079594601"/>
    <n v="50202.951715086703"/>
    <n v="180730.626174312"/>
  </r>
  <r>
    <x v="0"/>
    <x v="0"/>
    <x v="0"/>
    <x v="0"/>
    <x v="0"/>
    <s v="DK1_Rural"/>
    <x v="0"/>
    <x v="0"/>
    <x v="10"/>
    <x v="9"/>
    <n v="842.53204599167395"/>
    <n v="51254.032797826803"/>
    <n v="184514.51807217699"/>
  </r>
  <r>
    <x v="0"/>
    <x v="0"/>
    <x v="0"/>
    <x v="0"/>
    <x v="0"/>
    <s v="DK1_Rural"/>
    <x v="0"/>
    <x v="0"/>
    <x v="10"/>
    <x v="10"/>
    <n v="843.89610219133704"/>
    <n v="51337.012883306299"/>
    <n v="184813.24637990299"/>
  </r>
  <r>
    <x v="0"/>
    <x v="0"/>
    <x v="0"/>
    <x v="0"/>
    <x v="0"/>
    <s v="DK1_Rural"/>
    <x v="0"/>
    <x v="0"/>
    <x v="10"/>
    <x v="11"/>
    <n v="839.80393359234802"/>
    <n v="51088.072626867899"/>
    <n v="183917.06145672401"/>
  </r>
  <r>
    <x v="0"/>
    <x v="0"/>
    <x v="0"/>
    <x v="0"/>
    <x v="0"/>
    <s v="DK1_Rural"/>
    <x v="0"/>
    <x v="0"/>
    <x v="11"/>
    <x v="0"/>
    <n v="614.27997524811201"/>
    <n v="37368.698494260098"/>
    <n v="134527.31457933699"/>
  </r>
  <r>
    <x v="0"/>
    <x v="0"/>
    <x v="0"/>
    <x v="0"/>
    <x v="0"/>
    <s v="DK1_Rural"/>
    <x v="0"/>
    <x v="0"/>
    <x v="11"/>
    <x v="1"/>
    <n v="607.45969424979796"/>
    <n v="36953.798066862699"/>
    <n v="133033.67304070599"/>
  </r>
  <r>
    <x v="0"/>
    <x v="0"/>
    <x v="0"/>
    <x v="0"/>
    <x v="0"/>
    <s v="DK1_Rural"/>
    <x v="0"/>
    <x v="0"/>
    <x v="11"/>
    <x v="2"/>
    <n v="602.45815485103503"/>
    <n v="36649.537753438002"/>
    <n v="131938.33591237699"/>
  </r>
  <r>
    <x v="0"/>
    <x v="0"/>
    <x v="0"/>
    <x v="0"/>
    <x v="0"/>
    <s v="DK1_Rural"/>
    <x v="0"/>
    <x v="0"/>
    <x v="11"/>
    <x v="3"/>
    <n v="606.09563805013602"/>
    <n v="36870.817981383203"/>
    <n v="132734.94473297999"/>
  </r>
  <r>
    <x v="0"/>
    <x v="0"/>
    <x v="0"/>
    <x v="0"/>
    <x v="0"/>
    <s v="DK1_Rural"/>
    <x v="0"/>
    <x v="0"/>
    <x v="11"/>
    <x v="4"/>
    <n v="623.82836864575097"/>
    <n v="37949.559092616502"/>
    <n v="136618.41273341901"/>
  </r>
  <r>
    <x v="0"/>
    <x v="0"/>
    <x v="0"/>
    <x v="0"/>
    <x v="0"/>
    <s v="DK1_Rural"/>
    <x v="0"/>
    <x v="0"/>
    <x v="11"/>
    <x v="5"/>
    <n v="637.01424524249103"/>
    <n v="38751.699918918202"/>
    <n v="139506.11970810499"/>
  </r>
  <r>
    <x v="0"/>
    <x v="0"/>
    <x v="0"/>
    <x v="0"/>
    <x v="0"/>
    <s v="DK1_Rural"/>
    <x v="0"/>
    <x v="0"/>
    <x v="11"/>
    <x v="6"/>
    <n v="720.22167342191597"/>
    <n v="43813.4851331666"/>
    <n v="157728.54647940001"/>
  </r>
  <r>
    <x v="0"/>
    <x v="0"/>
    <x v="0"/>
    <x v="0"/>
    <x v="0"/>
    <s v="DK1_Rural"/>
    <x v="0"/>
    <x v="0"/>
    <x v="11"/>
    <x v="7"/>
    <n v="799.79161840224197"/>
    <n v="48653.990119469701"/>
    <n v="175154.36443009099"/>
  </r>
  <r>
    <x v="0"/>
    <x v="0"/>
    <x v="0"/>
    <x v="0"/>
    <x v="0"/>
    <s v="DK1_Rural"/>
    <x v="0"/>
    <x v="0"/>
    <x v="11"/>
    <x v="8"/>
    <n v="818.88840519752"/>
    <n v="49815.711316182496"/>
    <n v="179336.56073825699"/>
  </r>
  <r>
    <x v="0"/>
    <x v="0"/>
    <x v="0"/>
    <x v="0"/>
    <x v="0"/>
    <s v="DK1_Rural"/>
    <x v="0"/>
    <x v="0"/>
    <x v="11"/>
    <x v="9"/>
    <n v="828.891483995047"/>
    <n v="50424.231943031999"/>
    <n v="181527.23499491499"/>
  </r>
  <r>
    <x v="0"/>
    <x v="0"/>
    <x v="0"/>
    <x v="0"/>
    <x v="0"/>
    <s v="DK1_Rural"/>
    <x v="0"/>
    <x v="0"/>
    <x v="11"/>
    <x v="10"/>
    <n v="826.16337159572095"/>
    <n v="50258.271772073"/>
    <n v="180929.77837946301"/>
  </r>
  <r>
    <x v="0"/>
    <x v="0"/>
    <x v="0"/>
    <x v="0"/>
    <x v="0"/>
    <s v="DK1_Rural"/>
    <x v="0"/>
    <x v="0"/>
    <x v="11"/>
    <x v="11"/>
    <n v="826.61805699560898"/>
    <n v="50285.931800566199"/>
    <n v="181029.354482038"/>
  </r>
  <r>
    <x v="0"/>
    <x v="0"/>
    <x v="0"/>
    <x v="0"/>
    <x v="0"/>
    <s v="DK1_Small"/>
    <x v="0"/>
    <x v="0"/>
    <x v="0"/>
    <x v="0"/>
    <n v="61.875570744879703"/>
    <n v="3764.0972203135202"/>
    <n v="13550.7499931287"/>
  </r>
  <r>
    <x v="0"/>
    <x v="0"/>
    <x v="0"/>
    <x v="0"/>
    <x v="0"/>
    <s v="DK1_Small"/>
    <x v="0"/>
    <x v="0"/>
    <x v="0"/>
    <x v="1"/>
    <n v="61.325216240160302"/>
    <n v="3730.6173212764202"/>
    <n v="13430.222356595101"/>
  </r>
  <r>
    <x v="0"/>
    <x v="0"/>
    <x v="0"/>
    <x v="0"/>
    <x v="0"/>
    <s v="DK1_Small"/>
    <x v="0"/>
    <x v="0"/>
    <x v="0"/>
    <x v="2"/>
    <n v="60.578306555184"/>
    <n v="3685.1803154403601"/>
    <n v="13266.6491355853"/>
  </r>
  <r>
    <x v="0"/>
    <x v="0"/>
    <x v="0"/>
    <x v="0"/>
    <x v="0"/>
    <s v="DK1_Small"/>
    <x v="0"/>
    <x v="0"/>
    <x v="0"/>
    <x v="3"/>
    <n v="60.381751374927099"/>
    <n v="3673.2232086414001"/>
    <n v="13223.603551108999"/>
  </r>
  <r>
    <x v="0"/>
    <x v="0"/>
    <x v="0"/>
    <x v="0"/>
    <x v="0"/>
    <s v="DK1_Small"/>
    <x v="0"/>
    <x v="0"/>
    <x v="0"/>
    <x v="4"/>
    <n v="60.145885158618803"/>
    <n v="3658.8746804826401"/>
    <n v="13171.9488497375"/>
  </r>
  <r>
    <x v="0"/>
    <x v="0"/>
    <x v="0"/>
    <x v="0"/>
    <x v="0"/>
    <s v="DK1_Small"/>
    <x v="0"/>
    <x v="0"/>
    <x v="0"/>
    <x v="5"/>
    <n v="60.145885158618803"/>
    <n v="3658.8746804826401"/>
    <n v="13171.9488497375"/>
  </r>
  <r>
    <x v="0"/>
    <x v="0"/>
    <x v="0"/>
    <x v="0"/>
    <x v="0"/>
    <s v="DK1_Small"/>
    <x v="0"/>
    <x v="0"/>
    <x v="0"/>
    <x v="6"/>
    <n v="61.2859052041089"/>
    <n v="3728.2258999166302"/>
    <n v="13421.6132396999"/>
  </r>
  <r>
    <x v="0"/>
    <x v="0"/>
    <x v="0"/>
    <x v="0"/>
    <x v="0"/>
    <s v="DK1_Small"/>
    <x v="0"/>
    <x v="0"/>
    <x v="0"/>
    <x v="7"/>
    <n v="62.425925249599103"/>
    <n v="3797.5771193506098"/>
    <n v="13671.2776296622"/>
  </r>
  <r>
    <x v="0"/>
    <x v="0"/>
    <x v="0"/>
    <x v="0"/>
    <x v="0"/>
    <s v="DK1_Small"/>
    <x v="0"/>
    <x v="0"/>
    <x v="0"/>
    <x v="8"/>
    <n v="62.8583466461643"/>
    <n v="3823.8827543083298"/>
    <n v="13765.97791551"/>
  </r>
  <r>
    <x v="0"/>
    <x v="0"/>
    <x v="0"/>
    <x v="0"/>
    <x v="0"/>
    <s v="DK1_Small"/>
    <x v="0"/>
    <x v="0"/>
    <x v="0"/>
    <x v="9"/>
    <n v="63.644567367192003"/>
    <n v="3871.7111815041799"/>
    <n v="13938.160253415101"/>
  </r>
  <r>
    <x v="0"/>
    <x v="0"/>
    <x v="0"/>
    <x v="0"/>
    <x v="0"/>
    <s v="DK1_Small"/>
    <x v="0"/>
    <x v="0"/>
    <x v="0"/>
    <x v="10"/>
    <n v="64.588032232425306"/>
    <n v="3929.1052941391999"/>
    <n v="14144.7790589011"/>
  </r>
  <r>
    <x v="0"/>
    <x v="0"/>
    <x v="0"/>
    <x v="0"/>
    <x v="0"/>
    <s v="DK1_Small"/>
    <x v="0"/>
    <x v="0"/>
    <x v="0"/>
    <x v="11"/>
    <n v="64.705965340579397"/>
    <n v="3936.27955821858"/>
    <n v="14170.606409586901"/>
  </r>
  <r>
    <x v="0"/>
    <x v="0"/>
    <x v="0"/>
    <x v="0"/>
    <x v="0"/>
    <s v="DK1_Small"/>
    <x v="0"/>
    <x v="0"/>
    <x v="1"/>
    <x v="0"/>
    <n v="39.704146411898698"/>
    <n v="2415.3355733905"/>
    <n v="8695.2080642058099"/>
  </r>
  <r>
    <x v="0"/>
    <x v="0"/>
    <x v="0"/>
    <x v="0"/>
    <x v="0"/>
    <s v="DK1_Small"/>
    <x v="0"/>
    <x v="0"/>
    <x v="1"/>
    <x v="1"/>
    <n v="39.271725015333402"/>
    <n v="2389.02993843278"/>
    <n v="8600.50777835802"/>
  </r>
  <r>
    <x v="0"/>
    <x v="0"/>
    <x v="0"/>
    <x v="0"/>
    <x v="0"/>
    <s v="DK1_Small"/>
    <x v="0"/>
    <x v="0"/>
    <x v="1"/>
    <x v="2"/>
    <n v="38.8786146548196"/>
    <n v="2365.11572483486"/>
    <n v="8514.4166094054908"/>
  </r>
  <r>
    <x v="0"/>
    <x v="0"/>
    <x v="0"/>
    <x v="0"/>
    <x v="0"/>
    <s v="DK1_Small"/>
    <x v="0"/>
    <x v="0"/>
    <x v="1"/>
    <x v="3"/>
    <n v="39.468280195590403"/>
    <n v="2400.98704523175"/>
    <n v="8643.5533628342891"/>
  </r>
  <r>
    <x v="0"/>
    <x v="0"/>
    <x v="0"/>
    <x v="0"/>
    <x v="0"/>
    <s v="DK1_Small"/>
    <x v="0"/>
    <x v="0"/>
    <x v="1"/>
    <x v="4"/>
    <n v="39.900701592155599"/>
    <n v="2427.29268018947"/>
    <n v="8738.2536486820809"/>
  </r>
  <r>
    <x v="0"/>
    <x v="0"/>
    <x v="0"/>
    <x v="0"/>
    <x v="0"/>
    <s v="DK1_Small"/>
    <x v="0"/>
    <x v="0"/>
    <x v="1"/>
    <x v="5"/>
    <n v="46.780132901147901"/>
    <n v="2845.7914181531701"/>
    <n v="10244.849105351401"/>
  </r>
  <r>
    <x v="0"/>
    <x v="0"/>
    <x v="0"/>
    <x v="0"/>
    <x v="0"/>
    <s v="DK1_Small"/>
    <x v="0"/>
    <x v="0"/>
    <x v="1"/>
    <x v="6"/>
    <n v="63.998366691654503"/>
    <n v="3893.2339737423199"/>
    <n v="14015.6423054723"/>
  </r>
  <r>
    <x v="0"/>
    <x v="0"/>
    <x v="0"/>
    <x v="0"/>
    <x v="0"/>
    <s v="DK1_Small"/>
    <x v="0"/>
    <x v="0"/>
    <x v="1"/>
    <x v="7"/>
    <n v="74.258547101065901"/>
    <n v="4517.3949486481797"/>
    <n v="16262.6218151334"/>
  </r>
  <r>
    <x v="0"/>
    <x v="0"/>
    <x v="0"/>
    <x v="0"/>
    <x v="0"/>
    <s v="DK1_Small"/>
    <x v="0"/>
    <x v="0"/>
    <x v="1"/>
    <x v="8"/>
    <n v="75.791677507069906"/>
    <n v="4610.6603816800898"/>
    <n v="16598.377374048301"/>
  </r>
  <r>
    <x v="0"/>
    <x v="0"/>
    <x v="0"/>
    <x v="0"/>
    <x v="0"/>
    <s v="DK1_Small"/>
    <x v="0"/>
    <x v="0"/>
    <x v="1"/>
    <x v="9"/>
    <n v="75.595122326812998"/>
    <n v="4598.7032748811298"/>
    <n v="16555.331789572101"/>
  </r>
  <r>
    <x v="0"/>
    <x v="0"/>
    <x v="0"/>
    <x v="0"/>
    <x v="0"/>
    <s v="DK1_Small"/>
    <x v="0"/>
    <x v="0"/>
    <x v="1"/>
    <x v="10"/>
    <n v="75.948921651275498"/>
    <n v="4620.2260671192598"/>
    <n v="16632.8138416293"/>
  </r>
  <r>
    <x v="0"/>
    <x v="0"/>
    <x v="0"/>
    <x v="0"/>
    <x v="0"/>
    <s v="DK1_Small"/>
    <x v="0"/>
    <x v="0"/>
    <x v="1"/>
    <x v="11"/>
    <n v="75.595122326812998"/>
    <n v="4598.7032748811298"/>
    <n v="16555.331789572101"/>
  </r>
  <r>
    <x v="0"/>
    <x v="0"/>
    <x v="0"/>
    <x v="0"/>
    <x v="0"/>
    <s v="DK1_Small"/>
    <x v="0"/>
    <x v="0"/>
    <x v="2"/>
    <x v="0"/>
    <n v="51.772634479673798"/>
    <n v="3149.50193084682"/>
    <n v="11338.2069510486"/>
  </r>
  <r>
    <x v="0"/>
    <x v="0"/>
    <x v="0"/>
    <x v="0"/>
    <x v="0"/>
    <s v="DK1_Small"/>
    <x v="0"/>
    <x v="0"/>
    <x v="2"/>
    <x v="1"/>
    <n v="50.553992362080898"/>
    <n v="3075.3678686932499"/>
    <n v="11071.324327295701"/>
  </r>
  <r>
    <x v="0"/>
    <x v="0"/>
    <x v="0"/>
    <x v="0"/>
    <x v="0"/>
    <s v="DK1_Small"/>
    <x v="0"/>
    <x v="0"/>
    <x v="2"/>
    <x v="2"/>
    <n v="50.160882001567003"/>
    <n v="3051.4536550953299"/>
    <n v="10985.233158343201"/>
  </r>
  <r>
    <x v="0"/>
    <x v="0"/>
    <x v="0"/>
    <x v="0"/>
    <x v="0"/>
    <s v="DK1_Small"/>
    <x v="0"/>
    <x v="0"/>
    <x v="2"/>
    <x v="3"/>
    <n v="49.925015785258701"/>
    <n v="3037.1051269365698"/>
    <n v="10933.5784569717"/>
  </r>
  <r>
    <x v="0"/>
    <x v="0"/>
    <x v="0"/>
    <x v="0"/>
    <x v="0"/>
    <s v="DK1_Small"/>
    <x v="0"/>
    <x v="0"/>
    <x v="2"/>
    <x v="4"/>
    <n v="50.042948893412898"/>
    <n v="3044.2793910159498"/>
    <n v="10959.4058076574"/>
  </r>
  <r>
    <x v="0"/>
    <x v="0"/>
    <x v="0"/>
    <x v="0"/>
    <x v="0"/>
    <s v="DK1_Small"/>
    <x v="0"/>
    <x v="0"/>
    <x v="2"/>
    <x v="5"/>
    <n v="52.401611056496002"/>
    <n v="3187.7646726035"/>
    <n v="11475.952821372601"/>
  </r>
  <r>
    <x v="0"/>
    <x v="0"/>
    <x v="0"/>
    <x v="0"/>
    <x v="0"/>
    <s v="DK1_Small"/>
    <x v="0"/>
    <x v="0"/>
    <x v="2"/>
    <x v="6"/>
    <n v="63.526634259037898"/>
    <n v="3864.5369174247999"/>
    <n v="13912.3329027293"/>
  </r>
  <r>
    <x v="0"/>
    <x v="0"/>
    <x v="0"/>
    <x v="0"/>
    <x v="0"/>
    <s v="DK1_Small"/>
    <x v="0"/>
    <x v="0"/>
    <x v="2"/>
    <x v="7"/>
    <n v="73.865436740552099"/>
    <n v="4493.4807350502497"/>
    <n v="16176.5306461809"/>
  </r>
  <r>
    <x v="0"/>
    <x v="0"/>
    <x v="0"/>
    <x v="0"/>
    <x v="0"/>
    <s v="DK1_Small"/>
    <x v="0"/>
    <x v="0"/>
    <x v="2"/>
    <x v="8"/>
    <n v="74.769590569733893"/>
    <n v="4548.4834263254797"/>
    <n v="16374.5403347717"/>
  </r>
  <r>
    <x v="0"/>
    <x v="0"/>
    <x v="0"/>
    <x v="0"/>
    <x v="0"/>
    <s v="DK1_Small"/>
    <x v="0"/>
    <x v="0"/>
    <x v="2"/>
    <x v="9"/>
    <n v="74.061991920809007"/>
    <n v="4505.4378418492197"/>
    <n v="16219.5762306572"/>
  </r>
  <r>
    <x v="0"/>
    <x v="0"/>
    <x v="0"/>
    <x v="0"/>
    <x v="0"/>
    <s v="DK1_Small"/>
    <x v="0"/>
    <x v="0"/>
    <x v="2"/>
    <x v="10"/>
    <n v="74.533724353425598"/>
    <n v="4534.1348981667297"/>
    <n v="16322.885633400199"/>
  </r>
  <r>
    <x v="0"/>
    <x v="0"/>
    <x v="0"/>
    <x v="0"/>
    <x v="0"/>
    <s v="DK1_Small"/>
    <x v="0"/>
    <x v="0"/>
    <x v="2"/>
    <x v="11"/>
    <n v="74.140613992911796"/>
    <n v="4510.2206845687997"/>
    <n v="16236.794464447699"/>
  </r>
  <r>
    <x v="0"/>
    <x v="0"/>
    <x v="0"/>
    <x v="0"/>
    <x v="0"/>
    <s v="DK1_Small"/>
    <x v="0"/>
    <x v="0"/>
    <x v="3"/>
    <x v="0"/>
    <n v="51.065035830748897"/>
    <n v="3106.4563463705599"/>
    <n v="11183.242846933999"/>
  </r>
  <r>
    <x v="0"/>
    <x v="0"/>
    <x v="0"/>
    <x v="0"/>
    <x v="0"/>
    <s v="DK1_Small"/>
    <x v="0"/>
    <x v="0"/>
    <x v="3"/>
    <x v="1"/>
    <n v="49.964326821310102"/>
    <n v="3039.4965482963698"/>
    <n v="10942.1875738669"/>
  </r>
  <r>
    <x v="0"/>
    <x v="0"/>
    <x v="0"/>
    <x v="0"/>
    <x v="0"/>
    <s v="DK1_Small"/>
    <x v="0"/>
    <x v="0"/>
    <x v="3"/>
    <x v="2"/>
    <n v="48.745684703717203"/>
    <n v="2965.3624861427902"/>
    <n v="10675.304950114099"/>
  </r>
  <r>
    <x v="0"/>
    <x v="0"/>
    <x v="0"/>
    <x v="0"/>
    <x v="0"/>
    <s v="DK1_Small"/>
    <x v="0"/>
    <x v="0"/>
    <x v="3"/>
    <x v="3"/>
    <n v="48.667062631614399"/>
    <n v="2960.5796434232102"/>
    <n v="10658.0867163236"/>
  </r>
  <r>
    <x v="0"/>
    <x v="0"/>
    <x v="0"/>
    <x v="0"/>
    <x v="0"/>
    <s v="DK1_Small"/>
    <x v="0"/>
    <x v="0"/>
    <x v="3"/>
    <x v="4"/>
    <n v="49.099484028179702"/>
    <n v="2986.8852783809298"/>
    <n v="10752.787002171301"/>
  </r>
  <r>
    <x v="0"/>
    <x v="0"/>
    <x v="0"/>
    <x v="0"/>
    <x v="0"/>
    <s v="DK1_Small"/>
    <x v="0"/>
    <x v="0"/>
    <x v="3"/>
    <x v="5"/>
    <n v="52.126433804136298"/>
    <n v="3171.02472308496"/>
    <n v="11415.689003105799"/>
  </r>
  <r>
    <x v="0"/>
    <x v="0"/>
    <x v="0"/>
    <x v="0"/>
    <x v="0"/>
    <s v="DK1_Small"/>
    <x v="0"/>
    <x v="0"/>
    <x v="3"/>
    <x v="6"/>
    <n v="62.897657682215701"/>
    <n v="3826.2741756681198"/>
    <n v="13774.587032405199"/>
  </r>
  <r>
    <x v="0"/>
    <x v="0"/>
    <x v="0"/>
    <x v="0"/>
    <x v="0"/>
    <s v="DK1_Small"/>
    <x v="0"/>
    <x v="0"/>
    <x v="3"/>
    <x v="7"/>
    <n v="71.152975253006502"/>
    <n v="4328.4726612245604"/>
    <n v="15582.5015804084"/>
  </r>
  <r>
    <x v="0"/>
    <x v="0"/>
    <x v="0"/>
    <x v="0"/>
    <x v="0"/>
    <s v="DK1_Small"/>
    <x v="0"/>
    <x v="0"/>
    <x v="3"/>
    <x v="8"/>
    <n v="71.703329757725896"/>
    <n v="4361.9525602616604"/>
    <n v="15703.029216942001"/>
  </r>
  <r>
    <x v="0"/>
    <x v="0"/>
    <x v="0"/>
    <x v="0"/>
    <x v="0"/>
    <s v="DK1_Small"/>
    <x v="0"/>
    <x v="0"/>
    <x v="3"/>
    <x v="9"/>
    <n v="71.546085613520404"/>
    <n v="4352.3868748224904"/>
    <n v="15668.592749361"/>
  </r>
  <r>
    <x v="0"/>
    <x v="0"/>
    <x v="0"/>
    <x v="0"/>
    <x v="0"/>
    <s v="DK1_Small"/>
    <x v="0"/>
    <x v="0"/>
    <x v="3"/>
    <x v="10"/>
    <n v="71.467463541417601"/>
    <n v="4347.6040321029104"/>
    <n v="15651.3745155705"/>
  </r>
  <r>
    <x v="0"/>
    <x v="0"/>
    <x v="0"/>
    <x v="0"/>
    <x v="0"/>
    <s v="DK1_Small"/>
    <x v="0"/>
    <x v="0"/>
    <x v="3"/>
    <x v="11"/>
    <n v="71.624707685623207"/>
    <n v="4357.1697175420804"/>
    <n v="15685.810983151499"/>
  </r>
  <r>
    <x v="0"/>
    <x v="0"/>
    <x v="0"/>
    <x v="0"/>
    <x v="0"/>
    <s v="DK1_Small"/>
    <x v="0"/>
    <x v="0"/>
    <x v="4"/>
    <x v="0"/>
    <n v="46.465644612736902"/>
    <n v="2826.66004727483"/>
    <n v="10175.9761701894"/>
  </r>
  <r>
    <x v="0"/>
    <x v="0"/>
    <x v="0"/>
    <x v="0"/>
    <x v="0"/>
    <s v="DK1_Small"/>
    <x v="0"/>
    <x v="0"/>
    <x v="4"/>
    <x v="1"/>
    <n v="47.723597766381197"/>
    <n v="2903.1855307881901"/>
    <n v="10451.4679108375"/>
  </r>
  <r>
    <x v="0"/>
    <x v="0"/>
    <x v="0"/>
    <x v="0"/>
    <x v="0"/>
    <s v="DK1_Small"/>
    <x v="0"/>
    <x v="0"/>
    <x v="4"/>
    <x v="2"/>
    <n v="47.959463982689499"/>
    <n v="2917.5340589469401"/>
    <n v="10503.122612208999"/>
  </r>
  <r>
    <x v="0"/>
    <x v="0"/>
    <x v="0"/>
    <x v="0"/>
    <x v="0"/>
    <s v="DK1_Small"/>
    <x v="0"/>
    <x v="0"/>
    <x v="4"/>
    <x v="3"/>
    <n v="48.077397090843597"/>
    <n v="2924.7083230263202"/>
    <n v="10528.9499628948"/>
  </r>
  <r>
    <x v="0"/>
    <x v="0"/>
    <x v="0"/>
    <x v="0"/>
    <x v="0"/>
    <s v="DK1_Small"/>
    <x v="0"/>
    <x v="0"/>
    <x v="4"/>
    <x v="4"/>
    <n v="48.627751595562998"/>
    <n v="2958.1882220634202"/>
    <n v="10649.477599428301"/>
  </r>
  <r>
    <x v="0"/>
    <x v="0"/>
    <x v="0"/>
    <x v="0"/>
    <x v="0"/>
    <s v="DK1_Small"/>
    <x v="0"/>
    <x v="0"/>
    <x v="4"/>
    <x v="5"/>
    <n v="52.440922092547403"/>
    <n v="3190.1560939633"/>
    <n v="11484.5619382679"/>
  </r>
  <r>
    <x v="0"/>
    <x v="0"/>
    <x v="0"/>
    <x v="0"/>
    <x v="0"/>
    <s v="DK1_Small"/>
    <x v="0"/>
    <x v="0"/>
    <x v="4"/>
    <x v="6"/>
    <n v="63.0549018264213"/>
    <n v="3835.8398611072898"/>
    <n v="13809.023499986301"/>
  </r>
  <r>
    <x v="0"/>
    <x v="0"/>
    <x v="0"/>
    <x v="0"/>
    <x v="0"/>
    <s v="DK1_Small"/>
    <x v="0"/>
    <x v="0"/>
    <x v="4"/>
    <x v="7"/>
    <n v="70.484687640133004"/>
    <n v="4287.8184981080904"/>
    <n v="15436.1465931891"/>
  </r>
  <r>
    <x v="0"/>
    <x v="0"/>
    <x v="0"/>
    <x v="0"/>
    <x v="0"/>
    <s v="DK1_Small"/>
    <x v="0"/>
    <x v="0"/>
    <x v="4"/>
    <x v="8"/>
    <n v="71.860573901931502"/>
    <n v="4371.5182457008304"/>
    <n v="15737.465684523"/>
  </r>
  <r>
    <x v="0"/>
    <x v="0"/>
    <x v="0"/>
    <x v="0"/>
    <x v="0"/>
    <s v="DK1_Small"/>
    <x v="0"/>
    <x v="0"/>
    <x v="4"/>
    <x v="9"/>
    <n v="72.057129082188396"/>
    <n v="4383.4753524997896"/>
    <n v="15780.5112689993"/>
  </r>
  <r>
    <x v="0"/>
    <x v="0"/>
    <x v="0"/>
    <x v="0"/>
    <x v="0"/>
    <s v="DK1_Small"/>
    <x v="0"/>
    <x v="0"/>
    <x v="4"/>
    <x v="10"/>
    <n v="72.135751154291199"/>
    <n v="4388.2581952193796"/>
    <n v="15797.7295027898"/>
  </r>
  <r>
    <x v="0"/>
    <x v="0"/>
    <x v="0"/>
    <x v="0"/>
    <x v="0"/>
    <s v="DK1_Small"/>
    <x v="0"/>
    <x v="0"/>
    <x v="4"/>
    <x v="11"/>
    <n v="72.371617370599495"/>
    <n v="4402.6067233781296"/>
    <n v="15849.384204161301"/>
  </r>
  <r>
    <x v="0"/>
    <x v="0"/>
    <x v="0"/>
    <x v="0"/>
    <x v="0"/>
    <s v="DK1_Small"/>
    <x v="0"/>
    <x v="0"/>
    <x v="5"/>
    <x v="0"/>
    <n v="61.050038987800598"/>
    <n v="3713.8773717578702"/>
    <n v="13369.958538328299"/>
  </r>
  <r>
    <x v="0"/>
    <x v="0"/>
    <x v="0"/>
    <x v="0"/>
    <x v="0"/>
    <s v="DK1_Small"/>
    <x v="0"/>
    <x v="0"/>
    <x v="5"/>
    <x v="1"/>
    <n v="60.774861735440901"/>
    <n v="3697.1374222393201"/>
    <n v="13309.6947200616"/>
  </r>
  <r>
    <x v="0"/>
    <x v="0"/>
    <x v="0"/>
    <x v="0"/>
    <x v="0"/>
    <s v="DK1_Small"/>
    <x v="0"/>
    <x v="0"/>
    <x v="5"/>
    <x v="2"/>
    <n v="60.814172771492302"/>
    <n v="3699.5288435991201"/>
    <n v="13318.3038369568"/>
  </r>
  <r>
    <x v="0"/>
    <x v="0"/>
    <x v="0"/>
    <x v="0"/>
    <x v="0"/>
    <s v="DK1_Small"/>
    <x v="0"/>
    <x v="0"/>
    <x v="5"/>
    <x v="3"/>
    <n v="60.4210624109785"/>
    <n v="3675.6146300011901"/>
    <n v="13232.2126680043"/>
  </r>
  <r>
    <x v="0"/>
    <x v="0"/>
    <x v="0"/>
    <x v="0"/>
    <x v="0"/>
    <s v="DK1_Small"/>
    <x v="0"/>
    <x v="0"/>
    <x v="5"/>
    <x v="4"/>
    <n v="60.578306555184"/>
    <n v="3685.1803154403601"/>
    <n v="13266.6491355853"/>
  </r>
  <r>
    <x v="0"/>
    <x v="0"/>
    <x v="0"/>
    <x v="0"/>
    <x v="0"/>
    <s v="DK1_Small"/>
    <x v="0"/>
    <x v="0"/>
    <x v="5"/>
    <x v="5"/>
    <n v="60.892794843595098"/>
    <n v="3704.3116863187001"/>
    <n v="13335.5220707473"/>
  </r>
  <r>
    <x v="0"/>
    <x v="0"/>
    <x v="0"/>
    <x v="0"/>
    <x v="0"/>
    <s v="DK1_Small"/>
    <x v="0"/>
    <x v="0"/>
    <x v="5"/>
    <x v="6"/>
    <n v="63.605256331140602"/>
    <n v="3869.3197601443899"/>
    <n v="13929.5511365198"/>
  </r>
  <r>
    <x v="0"/>
    <x v="0"/>
    <x v="0"/>
    <x v="0"/>
    <x v="0"/>
    <s v="DK1_Small"/>
    <x v="0"/>
    <x v="0"/>
    <x v="5"/>
    <x v="7"/>
    <n v="68.086714440998506"/>
    <n v="4141.9417951607402"/>
    <n v="14910.9904625787"/>
  </r>
  <r>
    <x v="0"/>
    <x v="0"/>
    <x v="0"/>
    <x v="0"/>
    <x v="0"/>
    <s v="DK1_Small"/>
    <x v="0"/>
    <x v="0"/>
    <x v="5"/>
    <x v="8"/>
    <n v="68.2832696212554"/>
    <n v="4153.8989019597102"/>
    <n v="14954.0360470549"/>
  </r>
  <r>
    <x v="0"/>
    <x v="0"/>
    <x v="0"/>
    <x v="0"/>
    <x v="0"/>
    <s v="DK1_Small"/>
    <x v="0"/>
    <x v="0"/>
    <x v="5"/>
    <x v="9"/>
    <n v="68.676379981769301"/>
    <n v="4177.8131155576302"/>
    <n v="15040.1272160075"/>
  </r>
  <r>
    <x v="0"/>
    <x v="0"/>
    <x v="0"/>
    <x v="0"/>
    <x v="0"/>
    <s v="DK1_Small"/>
    <x v="0"/>
    <x v="0"/>
    <x v="5"/>
    <x v="10"/>
    <n v="69.266045522540097"/>
    <n v="4213.6844359545203"/>
    <n v="15169.263969436301"/>
  </r>
  <r>
    <x v="0"/>
    <x v="0"/>
    <x v="0"/>
    <x v="0"/>
    <x v="0"/>
    <s v="DK1_Small"/>
    <x v="0"/>
    <x v="0"/>
    <x v="5"/>
    <x v="11"/>
    <n v="68.794313089923406"/>
    <n v="4184.9873796370102"/>
    <n v="15065.954566693201"/>
  </r>
  <r>
    <x v="0"/>
    <x v="0"/>
    <x v="0"/>
    <x v="0"/>
    <x v="0"/>
    <s v="DK1_Small"/>
    <x v="0"/>
    <x v="0"/>
    <x v="6"/>
    <x v="0"/>
    <n v="47.644975694278401"/>
    <n v="2898.4026880686001"/>
    <n v="10434.249677047001"/>
  </r>
  <r>
    <x v="0"/>
    <x v="0"/>
    <x v="0"/>
    <x v="0"/>
    <x v="0"/>
    <s v="DK1_Small"/>
    <x v="0"/>
    <x v="0"/>
    <x v="6"/>
    <x v="1"/>
    <n v="47.094621189559"/>
    <n v="2864.9227890315101"/>
    <n v="10313.722040513399"/>
  </r>
  <r>
    <x v="0"/>
    <x v="0"/>
    <x v="0"/>
    <x v="0"/>
    <x v="0"/>
    <s v="DK1_Small"/>
    <x v="0"/>
    <x v="0"/>
    <x v="6"/>
    <x v="2"/>
    <n v="46.583577720891"/>
    <n v="2833.8343113542001"/>
    <n v="10201.803520875101"/>
  </r>
  <r>
    <x v="0"/>
    <x v="0"/>
    <x v="0"/>
    <x v="0"/>
    <x v="0"/>
    <s v="DK1_Small"/>
    <x v="0"/>
    <x v="0"/>
    <x v="6"/>
    <x v="3"/>
    <n v="46.269089432479902"/>
    <n v="2814.70294047586"/>
    <n v="10132.9305857131"/>
  </r>
  <r>
    <x v="0"/>
    <x v="0"/>
    <x v="0"/>
    <x v="0"/>
    <x v="0"/>
    <s v="DK1_Small"/>
    <x v="0"/>
    <x v="0"/>
    <x v="6"/>
    <x v="4"/>
    <n v="45.797356999863297"/>
    <n v="2786.00588415835"/>
    <n v="10029.621182970101"/>
  </r>
  <r>
    <x v="0"/>
    <x v="0"/>
    <x v="0"/>
    <x v="0"/>
    <x v="0"/>
    <s v="DK1_Small"/>
    <x v="0"/>
    <x v="0"/>
    <x v="6"/>
    <x v="5"/>
    <n v="47.841530874535302"/>
    <n v="2910.3597948675701"/>
    <n v="10477.295261523201"/>
  </r>
  <r>
    <x v="0"/>
    <x v="0"/>
    <x v="0"/>
    <x v="0"/>
    <x v="0"/>
    <s v="DK1_Small"/>
    <x v="0"/>
    <x v="0"/>
    <x v="6"/>
    <x v="6"/>
    <n v="58.8486209689231"/>
    <n v="3579.95777560949"/>
    <n v="12887.8479921942"/>
  </r>
  <r>
    <x v="0"/>
    <x v="0"/>
    <x v="0"/>
    <x v="0"/>
    <x v="0"/>
    <s v="DK1_Small"/>
    <x v="0"/>
    <x v="0"/>
    <x v="6"/>
    <x v="7"/>
    <n v="67.536359936279098"/>
    <n v="4108.4618961236501"/>
    <n v="14790.462826045101"/>
  </r>
  <r>
    <x v="0"/>
    <x v="0"/>
    <x v="0"/>
    <x v="0"/>
    <x v="0"/>
    <s v="DK1_Small"/>
    <x v="0"/>
    <x v="0"/>
    <x v="6"/>
    <x v="8"/>
    <n v="68.243958585204098"/>
    <n v="4151.5074805999102"/>
    <n v="14945.4269301597"/>
  </r>
  <r>
    <x v="0"/>
    <x v="0"/>
    <x v="0"/>
    <x v="0"/>
    <x v="0"/>
    <s v="DK1_Small"/>
    <x v="0"/>
    <x v="0"/>
    <x v="6"/>
    <x v="9"/>
    <n v="68.715691017820703"/>
    <n v="4180.2045369174302"/>
    <n v="15048.736332902699"/>
  </r>
  <r>
    <x v="0"/>
    <x v="0"/>
    <x v="0"/>
    <x v="0"/>
    <x v="0"/>
    <s v="DK1_Small"/>
    <x v="0"/>
    <x v="0"/>
    <x v="6"/>
    <x v="10"/>
    <n v="69.266045522540097"/>
    <n v="4213.6844359545203"/>
    <n v="15169.263969436301"/>
  </r>
  <r>
    <x v="0"/>
    <x v="0"/>
    <x v="0"/>
    <x v="0"/>
    <x v="0"/>
    <s v="DK1_Small"/>
    <x v="0"/>
    <x v="0"/>
    <x v="6"/>
    <x v="11"/>
    <n v="69.6984669191053"/>
    <n v="4239.9900709122403"/>
    <n v="15263.9642552841"/>
  </r>
  <r>
    <x v="0"/>
    <x v="0"/>
    <x v="0"/>
    <x v="0"/>
    <x v="0"/>
    <s v="DK1_Small"/>
    <x v="0"/>
    <x v="0"/>
    <x v="7"/>
    <x v="0"/>
    <n v="38.249638077997403"/>
    <n v="2326.8529830781799"/>
    <n v="8376.6707390814408"/>
  </r>
  <r>
    <x v="0"/>
    <x v="0"/>
    <x v="0"/>
    <x v="0"/>
    <x v="0"/>
    <s v="DK1_Small"/>
    <x v="0"/>
    <x v="0"/>
    <x v="7"/>
    <x v="1"/>
    <n v="38.288949114048798"/>
    <n v="2329.2444044379699"/>
    <n v="8385.2798559766907"/>
  </r>
  <r>
    <x v="0"/>
    <x v="0"/>
    <x v="0"/>
    <x v="0"/>
    <x v="0"/>
    <s v="DK1_Small"/>
    <x v="0"/>
    <x v="0"/>
    <x v="7"/>
    <x v="2"/>
    <n v="37.738594609329397"/>
    <n v="2295.7645054008699"/>
    <n v="8264.7522194431494"/>
  </r>
  <r>
    <x v="0"/>
    <x v="0"/>
    <x v="0"/>
    <x v="0"/>
    <x v="0"/>
    <s v="DK1_Small"/>
    <x v="0"/>
    <x v="0"/>
    <x v="7"/>
    <x v="3"/>
    <n v="37.8172166814322"/>
    <n v="2300.5473481204599"/>
    <n v="8281.9704532336491"/>
  </r>
  <r>
    <x v="0"/>
    <x v="0"/>
    <x v="0"/>
    <x v="0"/>
    <x v="0"/>
    <s v="DK1_Small"/>
    <x v="0"/>
    <x v="0"/>
    <x v="7"/>
    <x v="4"/>
    <n v="38.446193258254397"/>
    <n v="2338.8100898771399"/>
    <n v="8419.71632355771"/>
  </r>
  <r>
    <x v="0"/>
    <x v="0"/>
    <x v="0"/>
    <x v="0"/>
    <x v="0"/>
    <s v="DK1_Small"/>
    <x v="0"/>
    <x v="0"/>
    <x v="7"/>
    <x v="5"/>
    <n v="43.635250017037201"/>
    <n v="2654.4777093697599"/>
    <n v="9556.11975373114"/>
  </r>
  <r>
    <x v="0"/>
    <x v="0"/>
    <x v="0"/>
    <x v="0"/>
    <x v="0"/>
    <s v="DK1_Small"/>
    <x v="0"/>
    <x v="0"/>
    <x v="7"/>
    <x v="6"/>
    <n v="60.696239663338197"/>
    <n v="3692.3545795197401"/>
    <n v="13292.4764862711"/>
  </r>
  <r>
    <x v="0"/>
    <x v="0"/>
    <x v="0"/>
    <x v="0"/>
    <x v="0"/>
    <s v="DK1_Small"/>
    <x v="0"/>
    <x v="0"/>
    <x v="7"/>
    <x v="7"/>
    <n v="70.681242820389897"/>
    <n v="4299.7756049070504"/>
    <n v="15479.1921776654"/>
  </r>
  <r>
    <x v="0"/>
    <x v="0"/>
    <x v="0"/>
    <x v="0"/>
    <x v="0"/>
    <s v="DK1_Small"/>
    <x v="0"/>
    <x v="0"/>
    <x v="7"/>
    <x v="8"/>
    <n v="71.899884937982804"/>
    <n v="4373.9096670606204"/>
    <n v="15746.074801418201"/>
  </r>
  <r>
    <x v="0"/>
    <x v="0"/>
    <x v="0"/>
    <x v="0"/>
    <x v="0"/>
    <s v="DK1_Small"/>
    <x v="0"/>
    <x v="0"/>
    <x v="7"/>
    <x v="9"/>
    <n v="74.061991920809007"/>
    <n v="4505.4378418492197"/>
    <n v="16219.5762306572"/>
  </r>
  <r>
    <x v="0"/>
    <x v="0"/>
    <x v="0"/>
    <x v="0"/>
    <x v="0"/>
    <s v="DK1_Small"/>
    <x v="0"/>
    <x v="0"/>
    <x v="7"/>
    <x v="10"/>
    <n v="74.730279533682506"/>
    <n v="4546.0920049656897"/>
    <n v="16365.931217876499"/>
  </r>
  <r>
    <x v="0"/>
    <x v="0"/>
    <x v="0"/>
    <x v="0"/>
    <x v="0"/>
    <s v="DK1_Small"/>
    <x v="0"/>
    <x v="0"/>
    <x v="7"/>
    <x v="11"/>
    <n v="74.455102281322894"/>
    <n v="4529.3520554471397"/>
    <n v="16305.6673996097"/>
  </r>
  <r>
    <x v="0"/>
    <x v="0"/>
    <x v="0"/>
    <x v="0"/>
    <x v="0"/>
    <s v="DK1_Small"/>
    <x v="0"/>
    <x v="0"/>
    <x v="8"/>
    <x v="0"/>
    <n v="48.706373667665801"/>
    <n v="2962.9710647830002"/>
    <n v="10666.695833218801"/>
  </r>
  <r>
    <x v="0"/>
    <x v="0"/>
    <x v="0"/>
    <x v="0"/>
    <x v="0"/>
    <s v="DK1_Small"/>
    <x v="0"/>
    <x v="0"/>
    <x v="8"/>
    <x v="1"/>
    <n v="48.627751595562998"/>
    <n v="2958.1882220634202"/>
    <n v="10649.477599428301"/>
  </r>
  <r>
    <x v="0"/>
    <x v="0"/>
    <x v="0"/>
    <x v="0"/>
    <x v="0"/>
    <s v="DK1_Small"/>
    <x v="0"/>
    <x v="0"/>
    <x v="8"/>
    <x v="2"/>
    <n v="48.273952271100597"/>
    <n v="2936.6654298252802"/>
    <n v="10571.995547371"/>
  </r>
  <r>
    <x v="0"/>
    <x v="0"/>
    <x v="0"/>
    <x v="0"/>
    <x v="0"/>
    <s v="DK1_Small"/>
    <x v="0"/>
    <x v="0"/>
    <x v="8"/>
    <x v="3"/>
    <n v="48.470507451357498"/>
    <n v="2948.6225366242502"/>
    <n v="10615.0411318473"/>
  </r>
  <r>
    <x v="0"/>
    <x v="0"/>
    <x v="0"/>
    <x v="0"/>
    <x v="0"/>
    <s v="DK1_Small"/>
    <x v="0"/>
    <x v="0"/>
    <x v="8"/>
    <x v="4"/>
    <n v="50.7898585783892"/>
    <n v="3089.7163968520099"/>
    <n v="11122.9790286672"/>
  </r>
  <r>
    <x v="0"/>
    <x v="0"/>
    <x v="0"/>
    <x v="0"/>
    <x v="0"/>
    <s v="DK1_Small"/>
    <x v="0"/>
    <x v="0"/>
    <x v="8"/>
    <x v="5"/>
    <n v="52.165744840187699"/>
    <n v="3173.41614444475"/>
    <n v="11424.2981200011"/>
  </r>
  <r>
    <x v="0"/>
    <x v="0"/>
    <x v="0"/>
    <x v="0"/>
    <x v="0"/>
    <s v="DK1_Small"/>
    <x v="0"/>
    <x v="0"/>
    <x v="8"/>
    <x v="6"/>
    <n v="60.263818266772901"/>
    <n v="3666.0489445620201"/>
    <n v="13197.776200423301"/>
  </r>
  <r>
    <x v="0"/>
    <x v="0"/>
    <x v="0"/>
    <x v="0"/>
    <x v="0"/>
    <s v="DK1_Small"/>
    <x v="0"/>
    <x v="0"/>
    <x v="8"/>
    <x v="7"/>
    <n v="69.777088991208103"/>
    <n v="4244.7729136318203"/>
    <n v="15281.182489074599"/>
  </r>
  <r>
    <x v="0"/>
    <x v="0"/>
    <x v="0"/>
    <x v="0"/>
    <x v="0"/>
    <s v="DK1_Small"/>
    <x v="0"/>
    <x v="0"/>
    <x v="8"/>
    <x v="8"/>
    <n v="69.777088991208103"/>
    <n v="4244.7729136318203"/>
    <n v="15281.182489074599"/>
  </r>
  <r>
    <x v="0"/>
    <x v="0"/>
    <x v="0"/>
    <x v="0"/>
    <x v="0"/>
    <s v="DK1_Small"/>
    <x v="0"/>
    <x v="0"/>
    <x v="8"/>
    <x v="9"/>
    <n v="69.6984669191053"/>
    <n v="4239.9900709122403"/>
    <n v="15263.9642552841"/>
  </r>
  <r>
    <x v="0"/>
    <x v="0"/>
    <x v="0"/>
    <x v="0"/>
    <x v="0"/>
    <s v="DK1_Small"/>
    <x v="0"/>
    <x v="0"/>
    <x v="8"/>
    <x v="10"/>
    <n v="70.720553856441299"/>
    <n v="4302.1670262668504"/>
    <n v="15487.801294560601"/>
  </r>
  <r>
    <x v="0"/>
    <x v="0"/>
    <x v="0"/>
    <x v="0"/>
    <x v="0"/>
    <s v="DK1_Small"/>
    <x v="0"/>
    <x v="0"/>
    <x v="8"/>
    <x v="11"/>
    <n v="71.035042144852397"/>
    <n v="4321.2983971451904"/>
    <n v="15556.674229722699"/>
  </r>
  <r>
    <x v="0"/>
    <x v="0"/>
    <x v="0"/>
    <x v="0"/>
    <x v="0"/>
    <s v="DK1_Small"/>
    <x v="0"/>
    <x v="0"/>
    <x v="9"/>
    <x v="0"/>
    <n v="55.1533835800929"/>
    <n v="3355.1641677889902"/>
    <n v="12078.5910040403"/>
  </r>
  <r>
    <x v="0"/>
    <x v="0"/>
    <x v="0"/>
    <x v="0"/>
    <x v="0"/>
    <s v="DK1_Small"/>
    <x v="0"/>
    <x v="0"/>
    <x v="9"/>
    <x v="1"/>
    <n v="54.249229750911098"/>
    <n v="3300.1614765137601"/>
    <n v="11880.581315449501"/>
  </r>
  <r>
    <x v="0"/>
    <x v="0"/>
    <x v="0"/>
    <x v="0"/>
    <x v="0"/>
    <s v="DK1_Small"/>
    <x v="0"/>
    <x v="0"/>
    <x v="9"/>
    <x v="2"/>
    <n v="55.232005652195703"/>
    <n v="3359.9470105085702"/>
    <n v="12095.809237830899"/>
  </r>
  <r>
    <x v="0"/>
    <x v="0"/>
    <x v="0"/>
    <x v="0"/>
    <x v="0"/>
    <s v="DK1_Small"/>
    <x v="0"/>
    <x v="0"/>
    <x v="9"/>
    <x v="3"/>
    <n v="57.944467139741199"/>
    <n v="3524.9550843342599"/>
    <n v="12689.838303603299"/>
  </r>
  <r>
    <x v="0"/>
    <x v="0"/>
    <x v="0"/>
    <x v="0"/>
    <x v="0"/>
    <s v="DK1_Small"/>
    <x v="0"/>
    <x v="0"/>
    <x v="9"/>
    <x v="4"/>
    <n v="59.163109257334199"/>
    <n v="3599.08914648783"/>
    <n v="12956.7209273562"/>
  </r>
  <r>
    <x v="0"/>
    <x v="0"/>
    <x v="0"/>
    <x v="0"/>
    <x v="0"/>
    <s v="DK1_Small"/>
    <x v="0"/>
    <x v="0"/>
    <x v="9"/>
    <x v="5"/>
    <n v="59.595530653899402"/>
    <n v="3625.3947814455501"/>
    <n v="13051.421213203999"/>
  </r>
  <r>
    <x v="0"/>
    <x v="0"/>
    <x v="0"/>
    <x v="0"/>
    <x v="0"/>
    <s v="DK1_Small"/>
    <x v="0"/>
    <x v="0"/>
    <x v="9"/>
    <x v="6"/>
    <n v="69.541222774899794"/>
    <n v="4230.4243854730703"/>
    <n v="15229.527787703"/>
  </r>
  <r>
    <x v="0"/>
    <x v="0"/>
    <x v="0"/>
    <x v="0"/>
    <x v="0"/>
    <s v="DK1_Small"/>
    <x v="0"/>
    <x v="0"/>
    <x v="9"/>
    <x v="7"/>
    <n v="73.393704307935494"/>
    <n v="4464.7836787327396"/>
    <n v="16073.2212434379"/>
  </r>
  <r>
    <x v="0"/>
    <x v="0"/>
    <x v="0"/>
    <x v="0"/>
    <x v="0"/>
    <s v="DK1_Small"/>
    <x v="0"/>
    <x v="0"/>
    <x v="9"/>
    <x v="8"/>
    <n v="74.219236065014499"/>
    <n v="4515.0035272883897"/>
    <n v="16254.012698238201"/>
  </r>
  <r>
    <x v="0"/>
    <x v="0"/>
    <x v="0"/>
    <x v="0"/>
    <x v="0"/>
    <s v="DK1_Small"/>
    <x v="0"/>
    <x v="0"/>
    <x v="9"/>
    <x v="9"/>
    <n v="74.376480209220105"/>
    <n v="4524.5692127275597"/>
    <n v="16288.4491658192"/>
  </r>
  <r>
    <x v="0"/>
    <x v="0"/>
    <x v="0"/>
    <x v="0"/>
    <x v="0"/>
    <s v="DK1_Small"/>
    <x v="0"/>
    <x v="0"/>
    <x v="9"/>
    <x v="10"/>
    <n v="74.297858137117302"/>
    <n v="4519.7863700079697"/>
    <n v="16271.2309320287"/>
  </r>
  <r>
    <x v="0"/>
    <x v="0"/>
    <x v="0"/>
    <x v="0"/>
    <x v="0"/>
    <s v="DK1_Small"/>
    <x v="0"/>
    <x v="0"/>
    <x v="9"/>
    <x v="11"/>
    <n v="74.061991920809007"/>
    <n v="4505.4378418492197"/>
    <n v="16219.5762306572"/>
  </r>
  <r>
    <x v="0"/>
    <x v="0"/>
    <x v="0"/>
    <x v="0"/>
    <x v="0"/>
    <s v="DK1_Small"/>
    <x v="0"/>
    <x v="0"/>
    <x v="10"/>
    <x v="0"/>
    <n v="37.777905645380798"/>
    <n v="2298.1559267606699"/>
    <n v="8273.3613363383993"/>
  </r>
  <r>
    <x v="0"/>
    <x v="0"/>
    <x v="0"/>
    <x v="0"/>
    <x v="0"/>
    <s v="DK1_Small"/>
    <x v="0"/>
    <x v="0"/>
    <x v="10"/>
    <x v="1"/>
    <n v="37.109618032507299"/>
    <n v="2257.5017636441899"/>
    <n v="8127.0063491190904"/>
  </r>
  <r>
    <x v="0"/>
    <x v="0"/>
    <x v="0"/>
    <x v="0"/>
    <x v="0"/>
    <s v="DK1_Small"/>
    <x v="0"/>
    <x v="0"/>
    <x v="10"/>
    <x v="2"/>
    <n v="36.5985745638393"/>
    <n v="2226.4132859668898"/>
    <n v="8015.0878294807999"/>
  </r>
  <r>
    <x v="0"/>
    <x v="0"/>
    <x v="0"/>
    <x v="0"/>
    <x v="0"/>
    <s v="DK1_Small"/>
    <x v="0"/>
    <x v="0"/>
    <x v="10"/>
    <x v="3"/>
    <n v="36.441330419633701"/>
    <n v="2216.8476005277198"/>
    <n v="7980.6513618997897"/>
  </r>
  <r>
    <x v="0"/>
    <x v="0"/>
    <x v="0"/>
    <x v="0"/>
    <x v="0"/>
    <s v="DK1_Small"/>
    <x v="0"/>
    <x v="0"/>
    <x v="10"/>
    <x v="4"/>
    <n v="36.637885599890701"/>
    <n v="2228.8047073266798"/>
    <n v="8023.6969463760497"/>
  </r>
  <r>
    <x v="0"/>
    <x v="0"/>
    <x v="0"/>
    <x v="0"/>
    <x v="0"/>
    <s v="DK1_Small"/>
    <x v="0"/>
    <x v="0"/>
    <x v="10"/>
    <x v="5"/>
    <n v="41.473143034210999"/>
    <n v="2522.9495345811702"/>
    <n v="9082.6183244922104"/>
  </r>
  <r>
    <x v="0"/>
    <x v="0"/>
    <x v="0"/>
    <x v="0"/>
    <x v="0"/>
    <s v="DK1_Small"/>
    <x v="0"/>
    <x v="0"/>
    <x v="10"/>
    <x v="6"/>
    <n v="54.2885407869624"/>
    <n v="3302.5528978735501"/>
    <n v="11889.1904323448"/>
  </r>
  <r>
    <x v="0"/>
    <x v="0"/>
    <x v="0"/>
    <x v="0"/>
    <x v="0"/>
    <s v="DK1_Small"/>
    <x v="0"/>
    <x v="0"/>
    <x v="10"/>
    <x v="7"/>
    <n v="68.2832696212554"/>
    <n v="4153.8989019597102"/>
    <n v="14954.0360470549"/>
  </r>
  <r>
    <x v="0"/>
    <x v="0"/>
    <x v="0"/>
    <x v="0"/>
    <x v="0"/>
    <s v="DK1_Small"/>
    <x v="0"/>
    <x v="0"/>
    <x v="10"/>
    <x v="8"/>
    <n v="71.349530433263496"/>
    <n v="4340.4297680235304"/>
    <n v="15625.5471648847"/>
  </r>
  <r>
    <x v="0"/>
    <x v="0"/>
    <x v="0"/>
    <x v="0"/>
    <x v="0"/>
    <s v="DK1_Small"/>
    <x v="0"/>
    <x v="0"/>
    <x v="10"/>
    <x v="9"/>
    <n v="72.8433498032161"/>
    <n v="4431.3037796956496"/>
    <n v="15952.6936069043"/>
  </r>
  <r>
    <x v="0"/>
    <x v="0"/>
    <x v="0"/>
    <x v="0"/>
    <x v="0"/>
    <s v="DK1_Small"/>
    <x v="0"/>
    <x v="0"/>
    <x v="10"/>
    <x v="10"/>
    <n v="72.961282911370205"/>
    <n v="4438.4780437750196"/>
    <n v="15978.520957590101"/>
  </r>
  <r>
    <x v="0"/>
    <x v="0"/>
    <x v="0"/>
    <x v="0"/>
    <x v="0"/>
    <s v="DK1_Small"/>
    <x v="0"/>
    <x v="0"/>
    <x v="10"/>
    <x v="11"/>
    <n v="72.607483586907804"/>
    <n v="4416.9552515368896"/>
    <n v="15901.0389055328"/>
  </r>
  <r>
    <x v="0"/>
    <x v="0"/>
    <x v="0"/>
    <x v="0"/>
    <x v="0"/>
    <s v="DK1_Small"/>
    <x v="0"/>
    <x v="0"/>
    <x v="11"/>
    <x v="0"/>
    <n v="53.109209705420902"/>
    <n v="3230.8102570797701"/>
    <n v="11630.916925487199"/>
  </r>
  <r>
    <x v="0"/>
    <x v="0"/>
    <x v="0"/>
    <x v="0"/>
    <x v="0"/>
    <s v="DK1_Small"/>
    <x v="0"/>
    <x v="0"/>
    <x v="11"/>
    <x v="1"/>
    <n v="52.5195441646501"/>
    <n v="3194.93893668288"/>
    <n v="11501.780172058399"/>
  </r>
  <r>
    <x v="0"/>
    <x v="0"/>
    <x v="0"/>
    <x v="0"/>
    <x v="0"/>
    <s v="DK1_Small"/>
    <x v="0"/>
    <x v="0"/>
    <x v="11"/>
    <x v="2"/>
    <n v="52.087122768084903"/>
    <n v="3168.63330172516"/>
    <n v="11407.0798862106"/>
  </r>
  <r>
    <x v="0"/>
    <x v="0"/>
    <x v="0"/>
    <x v="0"/>
    <x v="0"/>
    <s v="DK1_Small"/>
    <x v="0"/>
    <x v="0"/>
    <x v="11"/>
    <x v="3"/>
    <n v="52.401611056496002"/>
    <n v="3187.7646726035"/>
    <n v="11475.952821372601"/>
  </r>
  <r>
    <x v="0"/>
    <x v="0"/>
    <x v="0"/>
    <x v="0"/>
    <x v="0"/>
    <s v="DK1_Small"/>
    <x v="0"/>
    <x v="0"/>
    <x v="11"/>
    <x v="4"/>
    <n v="53.9347414625"/>
    <n v="3281.0301056354201"/>
    <n v="11811.7083802875"/>
  </r>
  <r>
    <x v="0"/>
    <x v="0"/>
    <x v="0"/>
    <x v="0"/>
    <x v="0"/>
    <s v="DK1_Small"/>
    <x v="0"/>
    <x v="0"/>
    <x v="11"/>
    <x v="5"/>
    <n v="55.074761507990097"/>
    <n v="3350.3813250694002"/>
    <n v="12061.3727702498"/>
  </r>
  <r>
    <x v="0"/>
    <x v="0"/>
    <x v="0"/>
    <x v="0"/>
    <x v="0"/>
    <s v="DK1_Small"/>
    <x v="0"/>
    <x v="0"/>
    <x v="11"/>
    <x v="6"/>
    <n v="62.268681105393597"/>
    <n v="3788.0114339114398"/>
    <n v="13636.8411620812"/>
  </r>
  <r>
    <x v="0"/>
    <x v="0"/>
    <x v="0"/>
    <x v="0"/>
    <x v="0"/>
    <s v="DK1_Small"/>
    <x v="0"/>
    <x v="0"/>
    <x v="11"/>
    <x v="7"/>
    <n v="69.148112414385906"/>
    <n v="4206.5101718751403"/>
    <n v="15143.4366187505"/>
  </r>
  <r>
    <x v="0"/>
    <x v="0"/>
    <x v="0"/>
    <x v="0"/>
    <x v="0"/>
    <s v="DK1_Small"/>
    <x v="0"/>
    <x v="0"/>
    <x v="11"/>
    <x v="8"/>
    <n v="70.799175928544102"/>
    <n v="4306.9498689864304"/>
    <n v="15505.0195283512"/>
  </r>
  <r>
    <x v="0"/>
    <x v="0"/>
    <x v="0"/>
    <x v="0"/>
    <x v="0"/>
    <s v="DK1_Small"/>
    <x v="0"/>
    <x v="0"/>
    <x v="11"/>
    <x v="9"/>
    <n v="71.664018721674495"/>
    <n v="4359.5611389018704"/>
    <n v="15694.4201000467"/>
  </r>
  <r>
    <x v="0"/>
    <x v="0"/>
    <x v="0"/>
    <x v="0"/>
    <x v="0"/>
    <s v="DK1_Small"/>
    <x v="0"/>
    <x v="0"/>
    <x v="11"/>
    <x v="10"/>
    <n v="71.428152505366199"/>
    <n v="4345.2126107431104"/>
    <n v="15642.765398675199"/>
  </r>
  <r>
    <x v="0"/>
    <x v="0"/>
    <x v="0"/>
    <x v="0"/>
    <x v="0"/>
    <s v="DK1_Small"/>
    <x v="0"/>
    <x v="0"/>
    <x v="11"/>
    <x v="11"/>
    <n v="71.467463541417601"/>
    <n v="4347.6040321029104"/>
    <n v="15651.3745155705"/>
  </r>
  <r>
    <x v="0"/>
    <x v="0"/>
    <x v="0"/>
    <x v="0"/>
    <x v="1"/>
    <s v="DK2_Large"/>
    <x v="1"/>
    <x v="1"/>
    <x v="0"/>
    <x v="0"/>
    <n v="978.65316112041796"/>
    <n v="59534.733968158798"/>
    <n v="214325.04228537099"/>
  </r>
  <r>
    <x v="0"/>
    <x v="0"/>
    <x v="0"/>
    <x v="0"/>
    <x v="1"/>
    <s v="DK2_Large"/>
    <x v="1"/>
    <x v="1"/>
    <x v="0"/>
    <x v="1"/>
    <n v="978.65316112041796"/>
    <n v="59534.733968158798"/>
    <n v="214325.04228537099"/>
  </r>
  <r>
    <x v="0"/>
    <x v="0"/>
    <x v="0"/>
    <x v="0"/>
    <x v="1"/>
    <s v="DK2_Large"/>
    <x v="1"/>
    <x v="1"/>
    <x v="0"/>
    <x v="2"/>
    <n v="978.65316112041796"/>
    <n v="59534.733968158798"/>
    <n v="214325.04228537099"/>
  </r>
  <r>
    <x v="0"/>
    <x v="0"/>
    <x v="0"/>
    <x v="0"/>
    <x v="1"/>
    <s v="DK2_Large"/>
    <x v="1"/>
    <x v="1"/>
    <x v="0"/>
    <x v="3"/>
    <n v="989.70247100403503"/>
    <n v="60206.900319412198"/>
    <n v="216744.84114988401"/>
  </r>
  <r>
    <x v="0"/>
    <x v="0"/>
    <x v="0"/>
    <x v="0"/>
    <x v="1"/>
    <s v="DK2_Large"/>
    <x v="1"/>
    <x v="1"/>
    <x v="0"/>
    <x v="4"/>
    <n v="1000.7517808876501"/>
    <n v="60879.066670665597"/>
    <n v="219164.64001439599"/>
  </r>
  <r>
    <x v="0"/>
    <x v="0"/>
    <x v="0"/>
    <x v="0"/>
    <x v="1"/>
    <s v="DK2_Large"/>
    <x v="1"/>
    <x v="1"/>
    <x v="0"/>
    <x v="5"/>
    <n v="1022.85040065489"/>
    <n v="62223.399373172397"/>
    <n v="224004.23774342099"/>
  </r>
  <r>
    <x v="0"/>
    <x v="0"/>
    <x v="0"/>
    <x v="0"/>
    <x v="1"/>
    <s v="DK2_Large"/>
    <x v="1"/>
    <x v="1"/>
    <x v="0"/>
    <x v="6"/>
    <n v="1044.1597840018701"/>
    <n v="63519.720193446803"/>
    <n v="228670.99269640801"/>
  </r>
  <r>
    <x v="0"/>
    <x v="0"/>
    <x v="0"/>
    <x v="0"/>
    <x v="1"/>
    <s v="DK2_Large"/>
    <x v="1"/>
    <x v="1"/>
    <x v="0"/>
    <x v="7"/>
    <n v="1088.35702353634"/>
    <n v="66208.385598460402"/>
    <n v="238350.18815445699"/>
  </r>
  <r>
    <x v="0"/>
    <x v="0"/>
    <x v="0"/>
    <x v="0"/>
    <x v="1"/>
    <s v="DK2_Large"/>
    <x v="1"/>
    <x v="1"/>
    <x v="0"/>
    <x v="8"/>
    <n v="1121.50495318719"/>
    <n v="68224.8846522206"/>
    <n v="245609.584747994"/>
  </r>
  <r>
    <x v="0"/>
    <x v="0"/>
    <x v="0"/>
    <x v="0"/>
    <x v="1"/>
    <s v="DK2_Large"/>
    <x v="1"/>
    <x v="1"/>
    <x v="0"/>
    <x v="9"/>
    <n v="1176.7515026052799"/>
    <n v="71585.7164084877"/>
    <n v="257708.57907055601"/>
  </r>
  <r>
    <x v="0"/>
    <x v="0"/>
    <x v="0"/>
    <x v="0"/>
    <x v="1"/>
    <s v="DK2_Large"/>
    <x v="1"/>
    <x v="1"/>
    <x v="0"/>
    <x v="10"/>
    <n v="1198.85012237251"/>
    <n v="72930.0491109945"/>
    <n v="262548.17679957999"/>
  </r>
  <r>
    <x v="0"/>
    <x v="0"/>
    <x v="0"/>
    <x v="0"/>
    <x v="1"/>
    <s v="DK2_Large"/>
    <x v="1"/>
    <x v="1"/>
    <x v="0"/>
    <x v="11"/>
    <n v="1187.80081248889"/>
    <n v="72257.8827597411"/>
    <n v="260128.37793506801"/>
  </r>
  <r>
    <x v="0"/>
    <x v="0"/>
    <x v="0"/>
    <x v="0"/>
    <x v="1"/>
    <s v="DK2_Large"/>
    <x v="1"/>
    <x v="1"/>
    <x v="1"/>
    <x v="0"/>
    <n v="841.32602399545601"/>
    <n v="51180.666459723601"/>
    <n v="184250.399255005"/>
  </r>
  <r>
    <x v="0"/>
    <x v="0"/>
    <x v="0"/>
    <x v="0"/>
    <x v="1"/>
    <s v="DK2_Large"/>
    <x v="1"/>
    <x v="1"/>
    <x v="1"/>
    <x v="1"/>
    <n v="850.79686103855704"/>
    <n v="51756.8090465122"/>
    <n v="186324.51256744401"/>
  </r>
  <r>
    <x v="0"/>
    <x v="0"/>
    <x v="0"/>
    <x v="0"/>
    <x v="1"/>
    <s v="DK2_Large"/>
    <x v="1"/>
    <x v="1"/>
    <x v="1"/>
    <x v="2"/>
    <n v="860.26769808165795"/>
    <n v="52332.9516333008"/>
    <n v="188398.62587988301"/>
  </r>
  <r>
    <x v="0"/>
    <x v="0"/>
    <x v="0"/>
    <x v="0"/>
    <x v="1"/>
    <s v="DK2_Large"/>
    <x v="1"/>
    <x v="1"/>
    <x v="1"/>
    <x v="3"/>
    <n v="869.73853512475796"/>
    <n v="52909.094220089501"/>
    <n v="190472.73919232201"/>
  </r>
  <r>
    <x v="0"/>
    <x v="0"/>
    <x v="0"/>
    <x v="0"/>
    <x v="1"/>
    <s v="DK2_Large"/>
    <x v="1"/>
    <x v="1"/>
    <x v="1"/>
    <x v="4"/>
    <n v="898.15104625406104"/>
    <n v="54637.5219804554"/>
    <n v="196695.07912963899"/>
  </r>
  <r>
    <x v="0"/>
    <x v="0"/>
    <x v="0"/>
    <x v="0"/>
    <x v="1"/>
    <s v="DK2_Large"/>
    <x v="1"/>
    <x v="1"/>
    <x v="1"/>
    <x v="5"/>
    <n v="955.76530493292398"/>
    <n v="58142.389383419599"/>
    <n v="209312.60178031001"/>
  </r>
  <r>
    <x v="0"/>
    <x v="0"/>
    <x v="0"/>
    <x v="0"/>
    <x v="1"/>
    <s v="DK2_Large"/>
    <x v="1"/>
    <x v="1"/>
    <x v="1"/>
    <x v="6"/>
    <n v="1003.90872656869"/>
    <n v="61071.114199595097"/>
    <n v="219856.011118542"/>
  </r>
  <r>
    <x v="0"/>
    <x v="0"/>
    <x v="0"/>
    <x v="0"/>
    <x v="1"/>
    <s v="DK2_Large"/>
    <x v="1"/>
    <x v="1"/>
    <x v="1"/>
    <x v="7"/>
    <n v="1041.7920747410899"/>
    <n v="63375.684546749602"/>
    <n v="228152.464368299"/>
  </r>
  <r>
    <x v="0"/>
    <x v="0"/>
    <x v="0"/>
    <x v="0"/>
    <x v="1"/>
    <s v="DK2_Large"/>
    <x v="1"/>
    <x v="1"/>
    <x v="1"/>
    <x v="8"/>
    <n v="1051.26291178419"/>
    <n v="63951.827133538303"/>
    <n v="230226.577680738"/>
  </r>
  <r>
    <x v="0"/>
    <x v="0"/>
    <x v="0"/>
    <x v="0"/>
    <x v="1"/>
    <s v="DK2_Large"/>
    <x v="1"/>
    <x v="1"/>
    <x v="1"/>
    <x v="9"/>
    <n v="1022.85040065489"/>
    <n v="62223.399373172397"/>
    <n v="224004.23774342099"/>
  </r>
  <r>
    <x v="0"/>
    <x v="0"/>
    <x v="0"/>
    <x v="0"/>
    <x v="1"/>
    <s v="DK2_Large"/>
    <x v="1"/>
    <x v="1"/>
    <x v="1"/>
    <x v="10"/>
    <n v="993.64865310532696"/>
    <n v="60446.959730574097"/>
    <n v="217609.05503006699"/>
  </r>
  <r>
    <x v="0"/>
    <x v="0"/>
    <x v="0"/>
    <x v="0"/>
    <x v="1"/>
    <s v="DK2_Large"/>
    <x v="1"/>
    <x v="1"/>
    <x v="1"/>
    <x v="11"/>
    <n v="974.70697901912604"/>
    <n v="59294.674556996797"/>
    <n v="213460.82840518901"/>
  </r>
  <r>
    <x v="0"/>
    <x v="0"/>
    <x v="0"/>
    <x v="0"/>
    <x v="1"/>
    <s v="DK2_Large"/>
    <x v="1"/>
    <x v="1"/>
    <x v="2"/>
    <x v="0"/>
    <n v="1068.6261130298799"/>
    <n v="65008.088542650803"/>
    <n v="234029.11875354301"/>
  </r>
  <r>
    <x v="0"/>
    <x v="0"/>
    <x v="0"/>
    <x v="0"/>
    <x v="1"/>
    <s v="DK2_Large"/>
    <x v="1"/>
    <x v="1"/>
    <x v="2"/>
    <x v="1"/>
    <n v="1080.46465933375"/>
    <n v="65728.266776136603"/>
    <n v="236621.76039409201"/>
  </r>
  <r>
    <x v="0"/>
    <x v="0"/>
    <x v="0"/>
    <x v="0"/>
    <x v="1"/>
    <s v="DK2_Large"/>
    <x v="1"/>
    <x v="1"/>
    <x v="2"/>
    <x v="2"/>
    <n v="1092.3032056376301"/>
    <n v="66448.445009622301"/>
    <n v="239214.40203463999"/>
  </r>
  <r>
    <x v="0"/>
    <x v="0"/>
    <x v="0"/>
    <x v="0"/>
    <x v="1"/>
    <s v="DK2_Large"/>
    <x v="1"/>
    <x v="1"/>
    <x v="2"/>
    <x v="3"/>
    <n v="1104.93098836176"/>
    <n v="67216.635125340501"/>
    <n v="241979.88645122599"/>
  </r>
  <r>
    <x v="0"/>
    <x v="0"/>
    <x v="0"/>
    <x v="0"/>
    <x v="1"/>
    <s v="DK2_Large"/>
    <x v="1"/>
    <x v="1"/>
    <x v="2"/>
    <x v="4"/>
    <n v="1141.2358636936499"/>
    <n v="69425.181708030301"/>
    <n v="249930.654148909"/>
  </r>
  <r>
    <x v="0"/>
    <x v="0"/>
    <x v="0"/>
    <x v="0"/>
    <x v="1"/>
    <s v="DK2_Large"/>
    <x v="1"/>
    <x v="1"/>
    <x v="2"/>
    <x v="5"/>
    <n v="1213.8456143574199"/>
    <n v="73842.274873409799"/>
    <n v="265832.189544275"/>
  </r>
  <r>
    <x v="0"/>
    <x v="0"/>
    <x v="0"/>
    <x v="0"/>
    <x v="1"/>
    <s v="DK2_Large"/>
    <x v="1"/>
    <x v="1"/>
    <x v="2"/>
    <x v="6"/>
    <n v="1274.61681871732"/>
    <n v="77539.189805303497"/>
    <n v="279141.08329909301"/>
  </r>
  <r>
    <x v="0"/>
    <x v="0"/>
    <x v="0"/>
    <x v="0"/>
    <x v="1"/>
    <s v="DK2_Large"/>
    <x v="1"/>
    <x v="1"/>
    <x v="2"/>
    <x v="7"/>
    <n v="1323.5494767733401"/>
    <n v="80515.926503711496"/>
    <n v="289857.33541336103"/>
  </r>
  <r>
    <x v="0"/>
    <x v="0"/>
    <x v="0"/>
    <x v="0"/>
    <x v="1"/>
    <s v="DK2_Large"/>
    <x v="1"/>
    <x v="1"/>
    <x v="2"/>
    <x v="8"/>
    <n v="1335.3880230772199"/>
    <n v="81236.104737197296"/>
    <n v="292449.97705391003"/>
  </r>
  <r>
    <x v="0"/>
    <x v="0"/>
    <x v="0"/>
    <x v="0"/>
    <x v="1"/>
    <s v="DK2_Large"/>
    <x v="1"/>
    <x v="1"/>
    <x v="2"/>
    <x v="9"/>
    <n v="1299.0831477453301"/>
    <n v="79027.558154507497"/>
    <n v="284499.20935622702"/>
  </r>
  <r>
    <x v="0"/>
    <x v="0"/>
    <x v="0"/>
    <x v="0"/>
    <x v="1"/>
    <s v="DK2_Large"/>
    <x v="1"/>
    <x v="1"/>
    <x v="2"/>
    <x v="10"/>
    <n v="1262.7782724134399"/>
    <n v="76819.011571817697"/>
    <n v="276548.441658544"/>
  </r>
  <r>
    <x v="0"/>
    <x v="0"/>
    <x v="0"/>
    <x v="0"/>
    <x v="1"/>
    <s v="DK2_Large"/>
    <x v="1"/>
    <x v="1"/>
    <x v="2"/>
    <x v="11"/>
    <n v="1238.3119433854299"/>
    <n v="75330.643222613799"/>
    <n v="271190.31560140999"/>
  </r>
  <r>
    <x v="0"/>
    <x v="0"/>
    <x v="0"/>
    <x v="0"/>
    <x v="1"/>
    <s v="DK2_Large"/>
    <x v="1"/>
    <x v="1"/>
    <x v="3"/>
    <x v="0"/>
    <n v="1026.0073463359199"/>
    <n v="62415.446902101903"/>
    <n v="224695.608847567"/>
  </r>
  <r>
    <x v="0"/>
    <x v="0"/>
    <x v="0"/>
    <x v="0"/>
    <x v="1"/>
    <s v="DK2_Large"/>
    <x v="1"/>
    <x v="1"/>
    <x v="3"/>
    <x v="1"/>
    <n v="1037.8458926398"/>
    <n v="63135.625135587703"/>
    <n v="227288.250488116"/>
  </r>
  <r>
    <x v="0"/>
    <x v="0"/>
    <x v="0"/>
    <x v="0"/>
    <x v="1"/>
    <s v="DK2_Large"/>
    <x v="1"/>
    <x v="1"/>
    <x v="3"/>
    <x v="2"/>
    <n v="1049.6844389436701"/>
    <n v="63855.803369073503"/>
    <n v="229880.892128665"/>
  </r>
  <r>
    <x v="0"/>
    <x v="0"/>
    <x v="0"/>
    <x v="0"/>
    <x v="1"/>
    <s v="DK2_Large"/>
    <x v="1"/>
    <x v="1"/>
    <x v="3"/>
    <x v="3"/>
    <n v="1060.7337488272899"/>
    <n v="64527.969720326902"/>
    <n v="232300.69099317701"/>
  </r>
  <r>
    <x v="0"/>
    <x v="0"/>
    <x v="0"/>
    <x v="0"/>
    <x v="1"/>
    <s v="DK2_Large"/>
    <x v="1"/>
    <x v="1"/>
    <x v="3"/>
    <x v="4"/>
    <n v="1096.2493877389199"/>
    <n v="66688.504420784302"/>
    <n v="240078.61591482299"/>
  </r>
  <r>
    <x v="0"/>
    <x v="0"/>
    <x v="0"/>
    <x v="0"/>
    <x v="1"/>
    <s v="DK2_Large"/>
    <x v="1"/>
    <x v="1"/>
    <x v="3"/>
    <x v="5"/>
    <n v="1165.7021927216599"/>
    <n v="70913.550057234199"/>
    <n v="255288.78020604301"/>
  </r>
  <r>
    <x v="0"/>
    <x v="0"/>
    <x v="0"/>
    <x v="0"/>
    <x v="1"/>
    <s v="DK2_Large"/>
    <x v="1"/>
    <x v="1"/>
    <x v="3"/>
    <x v="6"/>
    <n v="1224.1056878207801"/>
    <n v="74466.429342430798"/>
    <n v="268079.14563275099"/>
  </r>
  <r>
    <x v="0"/>
    <x v="0"/>
    <x v="0"/>
    <x v="0"/>
    <x v="1"/>
    <s v="DK2_Large"/>
    <x v="1"/>
    <x v="1"/>
    <x v="3"/>
    <x v="7"/>
    <n v="1270.6706366160299"/>
    <n v="77299.130394141597"/>
    <n v="278276.86941891001"/>
  </r>
  <r>
    <x v="0"/>
    <x v="0"/>
    <x v="0"/>
    <x v="0"/>
    <x v="1"/>
    <s v="DK2_Large"/>
    <x v="1"/>
    <x v="1"/>
    <x v="3"/>
    <x v="8"/>
    <n v="1282.5091829199"/>
    <n v="78019.308627627397"/>
    <n v="280869.51105945901"/>
  </r>
  <r>
    <x v="0"/>
    <x v="0"/>
    <x v="0"/>
    <x v="0"/>
    <x v="1"/>
    <s v="DK2_Large"/>
    <x v="1"/>
    <x v="1"/>
    <x v="3"/>
    <x v="9"/>
    <n v="1247.78278042853"/>
    <n v="75906.785809402398"/>
    <n v="273264.428913849"/>
  </r>
  <r>
    <x v="0"/>
    <x v="0"/>
    <x v="0"/>
    <x v="0"/>
    <x v="1"/>
    <s v="DK2_Large"/>
    <x v="1"/>
    <x v="1"/>
    <x v="3"/>
    <x v="10"/>
    <n v="1213.0563779371601"/>
    <n v="73794.262991177398"/>
    <n v="265659.34676823899"/>
  </r>
  <r>
    <x v="0"/>
    <x v="0"/>
    <x v="0"/>
    <x v="0"/>
    <x v="1"/>
    <s v="DK2_Large"/>
    <x v="1"/>
    <x v="1"/>
    <x v="3"/>
    <x v="11"/>
    <n v="1189.3792853294101"/>
    <n v="72353.906524205799"/>
    <n v="260474.06348714099"/>
  </r>
  <r>
    <x v="0"/>
    <x v="0"/>
    <x v="0"/>
    <x v="0"/>
    <x v="1"/>
    <s v="DK2_Large"/>
    <x v="1"/>
    <x v="1"/>
    <x v="4"/>
    <x v="0"/>
    <n v="898.15104625406104"/>
    <n v="54637.5219804554"/>
    <n v="196695.07912963899"/>
  </r>
  <r>
    <x v="0"/>
    <x v="0"/>
    <x v="0"/>
    <x v="0"/>
    <x v="1"/>
    <s v="DK2_Large"/>
    <x v="1"/>
    <x v="1"/>
    <x v="4"/>
    <x v="1"/>
    <n v="907.62188329716196"/>
    <n v="55213.664567243999"/>
    <n v="198769.192442078"/>
  </r>
  <r>
    <x v="0"/>
    <x v="0"/>
    <x v="0"/>
    <x v="0"/>
    <x v="1"/>
    <s v="DK2_Large"/>
    <x v="1"/>
    <x v="1"/>
    <x v="4"/>
    <x v="2"/>
    <n v="917.88195676052101"/>
    <n v="55837.819036264998"/>
    <n v="201016.148530554"/>
  </r>
  <r>
    <x v="0"/>
    <x v="0"/>
    <x v="0"/>
    <x v="0"/>
    <x v="1"/>
    <s v="DK2_Large"/>
    <x v="1"/>
    <x v="1"/>
    <x v="4"/>
    <x v="3"/>
    <n v="928.14203022388006"/>
    <n v="56461.973505285998"/>
    <n v="203263.10461903"/>
  </r>
  <r>
    <x v="0"/>
    <x v="0"/>
    <x v="0"/>
    <x v="0"/>
    <x v="1"/>
    <s v="DK2_Large"/>
    <x v="1"/>
    <x v="1"/>
    <x v="4"/>
    <x v="4"/>
    <n v="958.922250613958"/>
    <n v="58334.436912349098"/>
    <n v="210003.97288445701"/>
  </r>
  <r>
    <x v="0"/>
    <x v="0"/>
    <x v="0"/>
    <x v="0"/>
    <x v="1"/>
    <s v="DK2_Large"/>
    <x v="1"/>
    <x v="1"/>
    <x v="4"/>
    <x v="5"/>
    <n v="1020.48269139411"/>
    <n v="62079.363726475203"/>
    <n v="223485.70941531099"/>
  </r>
  <r>
    <x v="0"/>
    <x v="0"/>
    <x v="0"/>
    <x v="0"/>
    <x v="1"/>
    <s v="DK2_Large"/>
    <x v="1"/>
    <x v="1"/>
    <x v="4"/>
    <x v="6"/>
    <n v="1070.9938222906501"/>
    <n v="65152.124189347902"/>
    <n v="234547.64708165199"/>
  </r>
  <r>
    <x v="0"/>
    <x v="0"/>
    <x v="0"/>
    <x v="0"/>
    <x v="1"/>
    <s v="DK2_Large"/>
    <x v="1"/>
    <x v="1"/>
    <x v="4"/>
    <x v="7"/>
    <n v="1112.0341161440899"/>
    <n v="67648.742065432001"/>
    <n v="243535.47143555499"/>
  </r>
  <r>
    <x v="0"/>
    <x v="0"/>
    <x v="0"/>
    <x v="0"/>
    <x v="1"/>
    <s v="DK2_Large"/>
    <x v="1"/>
    <x v="1"/>
    <x v="4"/>
    <x v="8"/>
    <n v="1122.2941896074501"/>
    <n v="68272.896534453001"/>
    <n v="245782.42752403099"/>
  </r>
  <r>
    <x v="0"/>
    <x v="0"/>
    <x v="0"/>
    <x v="0"/>
    <x v="1"/>
    <s v="DK2_Large"/>
    <x v="1"/>
    <x v="1"/>
    <x v="4"/>
    <x v="9"/>
    <n v="1091.51396921737"/>
    <n v="66400.433127390002"/>
    <n v="239041.55925860399"/>
  </r>
  <r>
    <x v="0"/>
    <x v="0"/>
    <x v="0"/>
    <x v="0"/>
    <x v="1"/>
    <s v="DK2_Large"/>
    <x v="1"/>
    <x v="1"/>
    <x v="4"/>
    <x v="10"/>
    <n v="1060.7337488272899"/>
    <n v="64527.969720326902"/>
    <n v="232300.69099317701"/>
  </r>
  <r>
    <x v="0"/>
    <x v="0"/>
    <x v="0"/>
    <x v="0"/>
    <x v="1"/>
    <s v="DK2_Large"/>
    <x v="1"/>
    <x v="1"/>
    <x v="4"/>
    <x v="11"/>
    <n v="1040.21360190057"/>
    <n v="63279.660782284896"/>
    <n v="227806.77881622501"/>
  </r>
  <r>
    <x v="0"/>
    <x v="0"/>
    <x v="0"/>
    <x v="0"/>
    <x v="1"/>
    <s v="DK2_Large"/>
    <x v="1"/>
    <x v="1"/>
    <x v="5"/>
    <x v="0"/>
    <n v="1224.1056878207801"/>
    <n v="74466.429342430798"/>
    <n v="268079.14563275099"/>
  </r>
  <r>
    <x v="0"/>
    <x v="0"/>
    <x v="0"/>
    <x v="0"/>
    <x v="1"/>
    <s v="DK2_Large"/>
    <x v="1"/>
    <x v="1"/>
    <x v="5"/>
    <x v="1"/>
    <n v="1238.3119433854299"/>
    <n v="75330.643222613799"/>
    <n v="271190.31560140999"/>
  </r>
  <r>
    <x v="0"/>
    <x v="0"/>
    <x v="0"/>
    <x v="0"/>
    <x v="1"/>
    <s v="DK2_Large"/>
    <x v="1"/>
    <x v="1"/>
    <x v="5"/>
    <x v="2"/>
    <n v="1251.7289625298199"/>
    <n v="76146.845220564297"/>
    <n v="274128.642794032"/>
  </r>
  <r>
    <x v="0"/>
    <x v="0"/>
    <x v="0"/>
    <x v="0"/>
    <x v="1"/>
    <s v="DK2_Large"/>
    <x v="1"/>
    <x v="1"/>
    <x v="5"/>
    <x v="3"/>
    <n v="1265.93521809448"/>
    <n v="77011.059100747298"/>
    <n v="277239.81276269001"/>
  </r>
  <r>
    <x v="0"/>
    <x v="0"/>
    <x v="0"/>
    <x v="0"/>
    <x v="1"/>
    <s v="DK2_Large"/>
    <x v="1"/>
    <x v="1"/>
    <x v="5"/>
    <x v="4"/>
    <n v="1307.7647483681701"/>
    <n v="79555.688859063695"/>
    <n v="286400.47989262902"/>
  </r>
  <r>
    <x v="0"/>
    <x v="0"/>
    <x v="0"/>
    <x v="0"/>
    <x v="1"/>
    <s v="DK2_Large"/>
    <x v="1"/>
    <x v="1"/>
    <x v="5"/>
    <x v="5"/>
    <n v="1390.6345724953001"/>
    <n v="84596.936493464294"/>
    <n v="304548.97137647099"/>
  </r>
  <r>
    <x v="0"/>
    <x v="0"/>
    <x v="0"/>
    <x v="0"/>
    <x v="1"/>
    <s v="DK2_Large"/>
    <x v="1"/>
    <x v="1"/>
    <x v="5"/>
    <x v="6"/>
    <n v="1460.8766138983001"/>
    <n v="88869.994012146606"/>
    <n v="319931.978443728"/>
  </r>
  <r>
    <x v="0"/>
    <x v="0"/>
    <x v="0"/>
    <x v="0"/>
    <x v="1"/>
    <s v="DK2_Large"/>
    <x v="1"/>
    <x v="1"/>
    <x v="5"/>
    <x v="7"/>
    <n v="1516.12316331639"/>
    <n v="92230.825768413706"/>
    <n v="332030.97276628902"/>
  </r>
  <r>
    <x v="0"/>
    <x v="0"/>
    <x v="0"/>
    <x v="0"/>
    <x v="1"/>
    <s v="DK2_Large"/>
    <x v="1"/>
    <x v="1"/>
    <x v="5"/>
    <x v="8"/>
    <n v="1530.3294188810401"/>
    <n v="93095.039648596605"/>
    <n v="335142.14273494802"/>
  </r>
  <r>
    <x v="0"/>
    <x v="0"/>
    <x v="0"/>
    <x v="0"/>
    <x v="1"/>
    <s v="DK2_Large"/>
    <x v="1"/>
    <x v="1"/>
    <x v="5"/>
    <x v="9"/>
    <n v="1488.4998886073399"/>
    <n v="90550.409890280207"/>
    <n v="325981.47560500901"/>
  </r>
  <r>
    <x v="0"/>
    <x v="0"/>
    <x v="0"/>
    <x v="0"/>
    <x v="1"/>
    <s v="DK2_Large"/>
    <x v="1"/>
    <x v="1"/>
    <x v="5"/>
    <x v="10"/>
    <n v="1446.67035833365"/>
    <n v="88005.780131963693"/>
    <n v="316820.808475069"/>
  </r>
  <r>
    <x v="0"/>
    <x v="0"/>
    <x v="0"/>
    <x v="0"/>
    <x v="1"/>
    <s v="DK2_Large"/>
    <x v="1"/>
    <x v="1"/>
    <x v="5"/>
    <x v="11"/>
    <n v="1419.04708362461"/>
    <n v="86325.364253830194"/>
    <n v="310771.31131378899"/>
  </r>
  <r>
    <x v="0"/>
    <x v="0"/>
    <x v="0"/>
    <x v="0"/>
    <x v="1"/>
    <s v="DK2_Large"/>
    <x v="1"/>
    <x v="1"/>
    <x v="6"/>
    <x v="0"/>
    <n v="813.70274928641197"/>
    <n v="49500.250581590102"/>
    <n v="178200.902093724"/>
  </r>
  <r>
    <x v="0"/>
    <x v="0"/>
    <x v="0"/>
    <x v="0"/>
    <x v="1"/>
    <s v="DK2_Large"/>
    <x v="1"/>
    <x v="1"/>
    <x v="6"/>
    <x v="1"/>
    <n v="822.38434990925396"/>
    <n v="50028.381286146301"/>
    <n v="180102.172630127"/>
  </r>
  <r>
    <x v="0"/>
    <x v="0"/>
    <x v="0"/>
    <x v="0"/>
    <x v="1"/>
    <s v="DK2_Large"/>
    <x v="1"/>
    <x v="1"/>
    <x v="6"/>
    <x v="2"/>
    <n v="831.85518695235498"/>
    <n v="50604.5238729349"/>
    <n v="182176.285942566"/>
  </r>
  <r>
    <x v="0"/>
    <x v="0"/>
    <x v="0"/>
    <x v="0"/>
    <x v="1"/>
    <s v="DK2_Large"/>
    <x v="1"/>
    <x v="1"/>
    <x v="6"/>
    <x v="3"/>
    <n v="841.32602399545601"/>
    <n v="51180.666459723601"/>
    <n v="184250.399255005"/>
  </r>
  <r>
    <x v="0"/>
    <x v="0"/>
    <x v="0"/>
    <x v="0"/>
    <x v="1"/>
    <s v="DK2_Large"/>
    <x v="1"/>
    <x v="1"/>
    <x v="6"/>
    <x v="4"/>
    <n v="868.94929870450005"/>
    <n v="52861.0823378571"/>
    <n v="190299.89641628601"/>
  </r>
  <r>
    <x v="0"/>
    <x v="0"/>
    <x v="0"/>
    <x v="0"/>
    <x v="1"/>
    <s v="DK2_Large"/>
    <x v="1"/>
    <x v="1"/>
    <x v="6"/>
    <x v="5"/>
    <n v="924.19584812258802"/>
    <n v="56221.914094124098"/>
    <n v="202398.890738847"/>
  </r>
  <r>
    <x v="0"/>
    <x v="0"/>
    <x v="0"/>
    <x v="0"/>
    <x v="1"/>
    <s v="DK2_Large"/>
    <x v="1"/>
    <x v="1"/>
    <x v="6"/>
    <x v="6"/>
    <n v="970.760796917834"/>
    <n v="59054.615145834898"/>
    <n v="212596.61452500601"/>
  </r>
  <r>
    <x v="0"/>
    <x v="0"/>
    <x v="0"/>
    <x v="0"/>
    <x v="1"/>
    <s v="DK2_Large"/>
    <x v="1"/>
    <x v="1"/>
    <x v="6"/>
    <x v="7"/>
    <n v="1007.06567224972"/>
    <n v="61263.161728524698"/>
    <n v="220547.38222268899"/>
  </r>
  <r>
    <x v="0"/>
    <x v="0"/>
    <x v="0"/>
    <x v="0"/>
    <x v="1"/>
    <s v="DK2_Large"/>
    <x v="1"/>
    <x v="1"/>
    <x v="6"/>
    <x v="8"/>
    <n v="1016.53650929282"/>
    <n v="61839.304315313297"/>
    <n v="222621.49553512799"/>
  </r>
  <r>
    <x v="0"/>
    <x v="0"/>
    <x v="0"/>
    <x v="0"/>
    <x v="1"/>
    <s v="DK2_Large"/>
    <x v="1"/>
    <x v="1"/>
    <x v="6"/>
    <x v="9"/>
    <n v="988.91323458377701"/>
    <n v="60158.888437179798"/>
    <n v="216571.99837384699"/>
  </r>
  <r>
    <x v="0"/>
    <x v="0"/>
    <x v="0"/>
    <x v="0"/>
    <x v="1"/>
    <s v="DK2_Large"/>
    <x v="1"/>
    <x v="1"/>
    <x v="6"/>
    <x v="10"/>
    <n v="961.28995987473297"/>
    <n v="58478.472559046197"/>
    <n v="210522.501212567"/>
  </r>
  <r>
    <x v="0"/>
    <x v="0"/>
    <x v="0"/>
    <x v="0"/>
    <x v="1"/>
    <s v="DK2_Large"/>
    <x v="1"/>
    <x v="1"/>
    <x v="6"/>
    <x v="11"/>
    <n v="942.34828578853103"/>
    <n v="57326.187385468998"/>
    <n v="206374.27458768801"/>
  </r>
  <r>
    <x v="0"/>
    <x v="0"/>
    <x v="0"/>
    <x v="0"/>
    <x v="1"/>
    <s v="DK2_Large"/>
    <x v="1"/>
    <x v="1"/>
    <x v="7"/>
    <x v="0"/>
    <n v="882.366317848893"/>
    <n v="53677.284335807701"/>
    <n v="193238.22360890801"/>
  </r>
  <r>
    <x v="0"/>
    <x v="0"/>
    <x v="0"/>
    <x v="0"/>
    <x v="1"/>
    <s v="DK2_Large"/>
    <x v="1"/>
    <x v="1"/>
    <x v="7"/>
    <x v="1"/>
    <n v="892.62639131225205"/>
    <n v="54301.4388048287"/>
    <n v="195485.17969738299"/>
  </r>
  <r>
    <x v="0"/>
    <x v="0"/>
    <x v="0"/>
    <x v="0"/>
    <x v="1"/>
    <s v="DK2_Large"/>
    <x v="1"/>
    <x v="1"/>
    <x v="7"/>
    <x v="2"/>
    <n v="902.88646477561099"/>
    <n v="54925.593273849699"/>
    <n v="197732.13578585899"/>
  </r>
  <r>
    <x v="0"/>
    <x v="0"/>
    <x v="0"/>
    <x v="0"/>
    <x v="1"/>
    <s v="DK2_Large"/>
    <x v="1"/>
    <x v="1"/>
    <x v="7"/>
    <x v="3"/>
    <n v="912.35730181871202"/>
    <n v="55501.735860638299"/>
    <n v="199806.24909829799"/>
  </r>
  <r>
    <x v="0"/>
    <x v="0"/>
    <x v="0"/>
    <x v="0"/>
    <x v="1"/>
    <s v="DK2_Large"/>
    <x v="1"/>
    <x v="1"/>
    <x v="7"/>
    <x v="4"/>
    <n v="942.34828578853103"/>
    <n v="57326.187385468998"/>
    <n v="206374.27458768801"/>
  </r>
  <r>
    <x v="0"/>
    <x v="0"/>
    <x v="0"/>
    <x v="0"/>
    <x v="1"/>
    <s v="DK2_Large"/>
    <x v="1"/>
    <x v="1"/>
    <x v="7"/>
    <x v="5"/>
    <n v="1003.11949014843"/>
    <n v="61023.102317362704"/>
    <n v="219683.16834250599"/>
  </r>
  <r>
    <x v="0"/>
    <x v="0"/>
    <x v="0"/>
    <x v="0"/>
    <x v="1"/>
    <s v="DK2_Large"/>
    <x v="1"/>
    <x v="1"/>
    <x v="7"/>
    <x v="6"/>
    <n v="1052.8413846247099"/>
    <n v="64047.850898003002"/>
    <n v="230572.263232811"/>
  </r>
  <r>
    <x v="0"/>
    <x v="0"/>
    <x v="0"/>
    <x v="0"/>
    <x v="1"/>
    <s v="DK2_Large"/>
    <x v="1"/>
    <x v="1"/>
    <x v="7"/>
    <x v="7"/>
    <n v="1093.0924420578899"/>
    <n v="66496.456891854701"/>
    <n v="239387.24481067699"/>
  </r>
  <r>
    <x v="0"/>
    <x v="0"/>
    <x v="0"/>
    <x v="0"/>
    <x v="1"/>
    <s v="DK2_Large"/>
    <x v="1"/>
    <x v="1"/>
    <x v="7"/>
    <x v="8"/>
    <n v="1103.3525155212501"/>
    <n v="67120.6113608757"/>
    <n v="241634.20089915299"/>
  </r>
  <r>
    <x v="0"/>
    <x v="0"/>
    <x v="0"/>
    <x v="0"/>
    <x v="1"/>
    <s v="DK2_Large"/>
    <x v="1"/>
    <x v="1"/>
    <x v="7"/>
    <x v="9"/>
    <n v="1073.3615315514301"/>
    <n v="65296.159836045103"/>
    <n v="235066.17540976201"/>
  </r>
  <r>
    <x v="0"/>
    <x v="0"/>
    <x v="0"/>
    <x v="0"/>
    <x v="1"/>
    <s v="DK2_Large"/>
    <x v="1"/>
    <x v="1"/>
    <x v="7"/>
    <x v="10"/>
    <n v="1042.58131116135"/>
    <n v="63423.696428982003"/>
    <n v="228325.30714433501"/>
  </r>
  <r>
    <x v="0"/>
    <x v="0"/>
    <x v="0"/>
    <x v="0"/>
    <x v="1"/>
    <s v="DK2_Large"/>
    <x v="1"/>
    <x v="1"/>
    <x v="7"/>
    <x v="11"/>
    <n v="1022.85040065489"/>
    <n v="62223.399373172397"/>
    <n v="224004.23774342099"/>
  </r>
  <r>
    <x v="0"/>
    <x v="0"/>
    <x v="0"/>
    <x v="0"/>
    <x v="1"/>
    <s v="DK2_Large"/>
    <x v="1"/>
    <x v="1"/>
    <x v="8"/>
    <x v="0"/>
    <n v="1031.5320012777299"/>
    <n v="62751.530077728603"/>
    <n v="225905.508279823"/>
  </r>
  <r>
    <x v="0"/>
    <x v="0"/>
    <x v="0"/>
    <x v="0"/>
    <x v="1"/>
    <s v="DK2_Large"/>
    <x v="1"/>
    <x v="1"/>
    <x v="8"/>
    <x v="1"/>
    <n v="1043.37054758161"/>
    <n v="63471.708311214403"/>
    <n v="228498.149920372"/>
  </r>
  <r>
    <x v="0"/>
    <x v="0"/>
    <x v="0"/>
    <x v="0"/>
    <x v="1"/>
    <s v="DK2_Large"/>
    <x v="1"/>
    <x v="1"/>
    <x v="8"/>
    <x v="2"/>
    <n v="1055.2090938854799"/>
    <n v="64191.886544700203"/>
    <n v="231090.791560921"/>
  </r>
  <r>
    <x v="0"/>
    <x v="0"/>
    <x v="0"/>
    <x v="0"/>
    <x v="1"/>
    <s v="DK2_Large"/>
    <x v="1"/>
    <x v="1"/>
    <x v="8"/>
    <x v="3"/>
    <n v="1066.2584037690999"/>
    <n v="64864.052895953602"/>
    <n v="233510.59042543301"/>
  </r>
  <r>
    <x v="0"/>
    <x v="0"/>
    <x v="0"/>
    <x v="0"/>
    <x v="1"/>
    <s v="DK2_Large"/>
    <x v="1"/>
    <x v="1"/>
    <x v="8"/>
    <x v="4"/>
    <n v="1101.77404268073"/>
    <n v="67024.587596411002"/>
    <n v="241288.51534708001"/>
  </r>
  <r>
    <x v="0"/>
    <x v="0"/>
    <x v="0"/>
    <x v="0"/>
    <x v="1"/>
    <s v="DK2_Large"/>
    <x v="1"/>
    <x v="1"/>
    <x v="8"/>
    <x v="5"/>
    <n v="1172.01608408373"/>
    <n v="71297.645115093299"/>
    <n v="256671.52241433601"/>
  </r>
  <r>
    <x v="0"/>
    <x v="0"/>
    <x v="0"/>
    <x v="0"/>
    <x v="1"/>
    <s v="DK2_Large"/>
    <x v="1"/>
    <x v="1"/>
    <x v="8"/>
    <x v="6"/>
    <n v="1230.4195791828499"/>
    <n v="74850.524400289898"/>
    <n v="269461.88784104399"/>
  </r>
  <r>
    <x v="0"/>
    <x v="0"/>
    <x v="0"/>
    <x v="0"/>
    <x v="1"/>
    <s v="DK2_Large"/>
    <x v="1"/>
    <x v="1"/>
    <x v="8"/>
    <x v="7"/>
    <n v="1277.7737643983501"/>
    <n v="77731.237334233097"/>
    <n v="279832.45440323901"/>
  </r>
  <r>
    <x v="0"/>
    <x v="0"/>
    <x v="0"/>
    <x v="0"/>
    <x v="1"/>
    <s v="DK2_Large"/>
    <x v="1"/>
    <x v="1"/>
    <x v="8"/>
    <x v="8"/>
    <n v="1289.6123107022299"/>
    <n v="78451.415567718897"/>
    <n v="282425.09604378801"/>
  </r>
  <r>
    <x v="0"/>
    <x v="0"/>
    <x v="0"/>
    <x v="0"/>
    <x v="1"/>
    <s v="DK2_Large"/>
    <x v="1"/>
    <x v="1"/>
    <x v="8"/>
    <x v="9"/>
    <n v="1254.0966717906001"/>
    <n v="76290.880867261498"/>
    <n v="274647.17112214101"/>
  </r>
  <r>
    <x v="0"/>
    <x v="0"/>
    <x v="0"/>
    <x v="0"/>
    <x v="1"/>
    <s v="DK2_Large"/>
    <x v="1"/>
    <x v="1"/>
    <x v="8"/>
    <x v="10"/>
    <n v="1218.5810328789701"/>
    <n v="74130.346166804098"/>
    <n v="266869.24620049499"/>
  </r>
  <r>
    <x v="0"/>
    <x v="0"/>
    <x v="0"/>
    <x v="0"/>
    <x v="1"/>
    <s v="DK2_Large"/>
    <x v="1"/>
    <x v="1"/>
    <x v="8"/>
    <x v="11"/>
    <n v="1195.6931766914799"/>
    <n v="72738.001582064899"/>
    <n v="261856.80569543401"/>
  </r>
  <r>
    <x v="0"/>
    <x v="0"/>
    <x v="0"/>
    <x v="0"/>
    <x v="1"/>
    <s v="DK2_Large"/>
    <x v="1"/>
    <x v="1"/>
    <x v="9"/>
    <x v="0"/>
    <n v="992.85941668506905"/>
    <n v="60398.947848341697"/>
    <n v="217436.21225402999"/>
  </r>
  <r>
    <x v="0"/>
    <x v="0"/>
    <x v="0"/>
    <x v="0"/>
    <x v="1"/>
    <s v="DK2_Large"/>
    <x v="1"/>
    <x v="1"/>
    <x v="9"/>
    <x v="1"/>
    <n v="992.85941668506905"/>
    <n v="60398.947848341697"/>
    <n v="217436.21225402999"/>
  </r>
  <r>
    <x v="0"/>
    <x v="0"/>
    <x v="0"/>
    <x v="0"/>
    <x v="1"/>
    <s v="DK2_Large"/>
    <x v="1"/>
    <x v="1"/>
    <x v="9"/>
    <x v="2"/>
    <n v="1003.90872656869"/>
    <n v="61071.114199595097"/>
    <n v="219856.011118542"/>
  </r>
  <r>
    <x v="0"/>
    <x v="0"/>
    <x v="0"/>
    <x v="0"/>
    <x v="1"/>
    <s v="DK2_Large"/>
    <x v="1"/>
    <x v="1"/>
    <x v="9"/>
    <x v="3"/>
    <n v="1073.3615315514301"/>
    <n v="65296.159836045103"/>
    <n v="235066.17540976201"/>
  </r>
  <r>
    <x v="0"/>
    <x v="0"/>
    <x v="0"/>
    <x v="0"/>
    <x v="1"/>
    <s v="DK2_Large"/>
    <x v="1"/>
    <x v="1"/>
    <x v="9"/>
    <x v="4"/>
    <n v="1177.54073902553"/>
    <n v="71633.728290719999"/>
    <n v="257881.42184659201"/>
  </r>
  <r>
    <x v="0"/>
    <x v="0"/>
    <x v="0"/>
    <x v="0"/>
    <x v="1"/>
    <s v="DK2_Large"/>
    <x v="1"/>
    <x v="1"/>
    <x v="9"/>
    <x v="5"/>
    <n v="1350.3835150621201"/>
    <n v="82148.330499612595"/>
    <n v="295733.98979860498"/>
  </r>
  <r>
    <x v="0"/>
    <x v="0"/>
    <x v="0"/>
    <x v="0"/>
    <x v="1"/>
    <s v="DK2_Large"/>
    <x v="1"/>
    <x v="1"/>
    <x v="9"/>
    <x v="6"/>
    <n v="1373.27137124962"/>
    <n v="83540.675084351795"/>
    <n v="300746.43030366598"/>
  </r>
  <r>
    <x v="0"/>
    <x v="0"/>
    <x v="0"/>
    <x v="0"/>
    <x v="1"/>
    <s v="DK2_Large"/>
    <x v="1"/>
    <x v="1"/>
    <x v="9"/>
    <x v="7"/>
    <n v="1361.4328249457401"/>
    <n v="82820.496850865995"/>
    <n v="298153.78866311797"/>
  </r>
  <r>
    <x v="0"/>
    <x v="0"/>
    <x v="0"/>
    <x v="0"/>
    <x v="1"/>
    <s v="DK2_Large"/>
    <x v="1"/>
    <x v="1"/>
    <x v="9"/>
    <x v="8"/>
    <n v="1327.49565887463"/>
    <n v="80755.985914873396"/>
    <n v="290721.54929354403"/>
  </r>
  <r>
    <x v="0"/>
    <x v="0"/>
    <x v="0"/>
    <x v="0"/>
    <x v="1"/>
    <s v="DK2_Large"/>
    <x v="1"/>
    <x v="1"/>
    <x v="9"/>
    <x v="9"/>
    <n v="1246.2043075880199"/>
    <n v="75810.762044937597"/>
    <n v="272918.74336177501"/>
  </r>
  <r>
    <x v="0"/>
    <x v="0"/>
    <x v="0"/>
    <x v="0"/>
    <x v="1"/>
    <s v="DK2_Large"/>
    <x v="1"/>
    <x v="1"/>
    <x v="9"/>
    <x v="10"/>
    <n v="1188.59004890915"/>
    <n v="72305.894641973398"/>
    <n v="260301.22071110399"/>
  </r>
  <r>
    <x v="0"/>
    <x v="0"/>
    <x v="0"/>
    <x v="0"/>
    <x v="1"/>
    <s v="DK2_Large"/>
    <x v="1"/>
    <x v="1"/>
    <x v="9"/>
    <x v="11"/>
    <n v="1130.9757902302899"/>
    <n v="68801.027239009301"/>
    <n v="247683.698060433"/>
  </r>
  <r>
    <x v="0"/>
    <x v="0"/>
    <x v="0"/>
    <x v="0"/>
    <x v="1"/>
    <s v="DK2_Large"/>
    <x v="1"/>
    <x v="1"/>
    <x v="10"/>
    <x v="0"/>
    <n v="720.57285169592103"/>
    <n v="43834.848478168497"/>
    <n v="157805.45452140699"/>
  </r>
  <r>
    <x v="0"/>
    <x v="0"/>
    <x v="0"/>
    <x v="0"/>
    <x v="1"/>
    <s v="DK2_Large"/>
    <x v="1"/>
    <x v="1"/>
    <x v="10"/>
    <x v="1"/>
    <n v="720.57285169592103"/>
    <n v="43834.848478168497"/>
    <n v="157805.45452140699"/>
  </r>
  <r>
    <x v="0"/>
    <x v="0"/>
    <x v="0"/>
    <x v="0"/>
    <x v="1"/>
    <s v="DK2_Large"/>
    <x v="1"/>
    <x v="1"/>
    <x v="10"/>
    <x v="2"/>
    <n v="728.46521589850397"/>
    <n v="44314.967300492397"/>
    <n v="159533.88228177201"/>
  </r>
  <r>
    <x v="0"/>
    <x v="0"/>
    <x v="0"/>
    <x v="0"/>
    <x v="1"/>
    <s v="DK2_Large"/>
    <x v="1"/>
    <x v="1"/>
    <x v="10"/>
    <x v="3"/>
    <n v="778.97634679504199"/>
    <n v="47387.727763365103"/>
    <n v="170595.81994811399"/>
  </r>
  <r>
    <x v="0"/>
    <x v="0"/>
    <x v="0"/>
    <x v="0"/>
    <x v="1"/>
    <s v="DK2_Large"/>
    <x v="1"/>
    <x v="1"/>
    <x v="10"/>
    <x v="4"/>
    <n v="854.74304313984896"/>
    <n v="51996.8684576741"/>
    <n v="187188.72644762701"/>
  </r>
  <r>
    <x v="0"/>
    <x v="0"/>
    <x v="0"/>
    <x v="0"/>
    <x v="1"/>
    <s v="DK2_Large"/>
    <x v="1"/>
    <x v="1"/>
    <x v="10"/>
    <x v="5"/>
    <n v="980.231633960934"/>
    <n v="59630.757732623497"/>
    <n v="214670.72783744501"/>
  </r>
  <r>
    <x v="0"/>
    <x v="0"/>
    <x v="0"/>
    <x v="0"/>
    <x v="1"/>
    <s v="DK2_Large"/>
    <x v="1"/>
    <x v="1"/>
    <x v="10"/>
    <x v="6"/>
    <n v="996.80559878636097"/>
    <n v="60639.007259503604"/>
    <n v="218300.42613421299"/>
  </r>
  <r>
    <x v="0"/>
    <x v="0"/>
    <x v="0"/>
    <x v="0"/>
    <x v="1"/>
    <s v="DK2_Large"/>
    <x v="1"/>
    <x v="1"/>
    <x v="10"/>
    <x v="7"/>
    <n v="988.12399816351797"/>
    <n v="60110.876554947397"/>
    <n v="216399.15559781101"/>
  </r>
  <r>
    <x v="0"/>
    <x v="0"/>
    <x v="0"/>
    <x v="0"/>
    <x v="1"/>
    <s v="DK2_Large"/>
    <x v="1"/>
    <x v="1"/>
    <x v="10"/>
    <x v="8"/>
    <n v="963.65766913550794"/>
    <n v="58622.508205743397"/>
    <n v="211041.02954067601"/>
  </r>
  <r>
    <x v="0"/>
    <x v="0"/>
    <x v="0"/>
    <x v="0"/>
    <x v="1"/>
    <s v="DK2_Large"/>
    <x v="1"/>
    <x v="1"/>
    <x v="10"/>
    <x v="9"/>
    <n v="904.46493761612805"/>
    <n v="55021.6170383145"/>
    <n v="198077.82133793199"/>
  </r>
  <r>
    <x v="0"/>
    <x v="0"/>
    <x v="0"/>
    <x v="0"/>
    <x v="1"/>
    <s v="DK2_Large"/>
    <x v="1"/>
    <x v="1"/>
    <x v="10"/>
    <x v="10"/>
    <n v="862.63540734243304"/>
    <n v="52476.987279998"/>
    <n v="188917.15420799301"/>
  </r>
  <r>
    <x v="0"/>
    <x v="0"/>
    <x v="0"/>
    <x v="0"/>
    <x v="1"/>
    <s v="DK2_Large"/>
    <x v="1"/>
    <x v="1"/>
    <x v="10"/>
    <x v="11"/>
    <n v="820.805877068737"/>
    <n v="49932.357521681501"/>
    <n v="179756.48707805399"/>
  </r>
  <r>
    <x v="0"/>
    <x v="0"/>
    <x v="0"/>
    <x v="0"/>
    <x v="1"/>
    <s v="DK2_Large"/>
    <x v="1"/>
    <x v="1"/>
    <x v="11"/>
    <x v="0"/>
    <n v="1074.94000439194"/>
    <n v="65392.183600509903"/>
    <n v="235411.86096183499"/>
  </r>
  <r>
    <x v="0"/>
    <x v="0"/>
    <x v="0"/>
    <x v="0"/>
    <x v="1"/>
    <s v="DK2_Large"/>
    <x v="1"/>
    <x v="1"/>
    <x v="11"/>
    <x v="1"/>
    <n v="1074.94000439194"/>
    <n v="65392.183600509903"/>
    <n v="235411.86096183499"/>
  </r>
  <r>
    <x v="0"/>
    <x v="0"/>
    <x v="0"/>
    <x v="0"/>
    <x v="1"/>
    <s v="DK2_Large"/>
    <x v="1"/>
    <x v="1"/>
    <x v="11"/>
    <x v="2"/>
    <n v="1087.5677871160799"/>
    <n v="66160.373716228001"/>
    <n v="238177.34537842101"/>
  </r>
  <r>
    <x v="0"/>
    <x v="0"/>
    <x v="0"/>
    <x v="0"/>
    <x v="1"/>
    <s v="DK2_Large"/>
    <x v="1"/>
    <x v="1"/>
    <x v="11"/>
    <x v="3"/>
    <n v="1162.5452470406301"/>
    <n v="70721.5025283047"/>
    <n v="254597.40910189701"/>
  </r>
  <r>
    <x v="0"/>
    <x v="0"/>
    <x v="0"/>
    <x v="0"/>
    <x v="1"/>
    <s v="DK2_Large"/>
    <x v="1"/>
    <x v="1"/>
    <x v="11"/>
    <x v="4"/>
    <n v="1275.4060551375801"/>
    <n v="77587.201687535897"/>
    <n v="279313.92607512901"/>
  </r>
  <r>
    <x v="0"/>
    <x v="0"/>
    <x v="0"/>
    <x v="0"/>
    <x v="1"/>
    <s v="DK2_Large"/>
    <x v="1"/>
    <x v="1"/>
    <x v="11"/>
    <x v="5"/>
    <n v="1463.2443231590801"/>
    <n v="89014.029658843807"/>
    <n v="320450.506771838"/>
  </r>
  <r>
    <x v="0"/>
    <x v="0"/>
    <x v="0"/>
    <x v="0"/>
    <x v="1"/>
    <s v="DK2_Large"/>
    <x v="1"/>
    <x v="1"/>
    <x v="11"/>
    <x v="6"/>
    <n v="1487.7106521870901"/>
    <n v="90502.398008047807"/>
    <n v="325808.63282897201"/>
  </r>
  <r>
    <x v="0"/>
    <x v="0"/>
    <x v="0"/>
    <x v="0"/>
    <x v="1"/>
    <s v="DK2_Large"/>
    <x v="1"/>
    <x v="1"/>
    <x v="11"/>
    <x v="7"/>
    <n v="1475.0828694629499"/>
    <n v="89734.207892329607"/>
    <n v="323043.14841238601"/>
  </r>
  <r>
    <x v="0"/>
    <x v="0"/>
    <x v="0"/>
    <x v="0"/>
    <x v="1"/>
    <s v="DK2_Large"/>
    <x v="1"/>
    <x v="1"/>
    <x v="11"/>
    <x v="8"/>
    <n v="1437.98875771081"/>
    <n v="87477.649427407494"/>
    <n v="314919.537938667"/>
  </r>
  <r>
    <x v="0"/>
    <x v="0"/>
    <x v="0"/>
    <x v="0"/>
    <x v="1"/>
    <s v="DK2_Large"/>
    <x v="1"/>
    <x v="1"/>
    <x v="11"/>
    <x v="9"/>
    <n v="1350.3835150621201"/>
    <n v="82148.330499612595"/>
    <n v="295733.98979860498"/>
  </r>
  <r>
    <x v="0"/>
    <x v="0"/>
    <x v="0"/>
    <x v="0"/>
    <x v="1"/>
    <s v="DK2_Large"/>
    <x v="1"/>
    <x v="1"/>
    <x v="11"/>
    <x v="10"/>
    <n v="1288.03383786171"/>
    <n v="78355.391803254097"/>
    <n v="282079.41049171501"/>
  </r>
  <r>
    <x v="0"/>
    <x v="0"/>
    <x v="0"/>
    <x v="0"/>
    <x v="1"/>
    <s v="DK2_Large"/>
    <x v="1"/>
    <x v="1"/>
    <x v="11"/>
    <x v="11"/>
    <n v="1225.6841606613"/>
    <n v="74562.453106895598"/>
    <n v="268424.831184824"/>
  </r>
  <r>
    <x v="0"/>
    <x v="0"/>
    <x v="0"/>
    <x v="0"/>
    <x v="1"/>
    <s v="DK2_MedSmall"/>
    <x v="0"/>
    <x v="0"/>
    <x v="0"/>
    <x v="0"/>
    <n v="88.703937809280902"/>
    <n v="5396.1562167312604"/>
    <n v="19426.162380232501"/>
  </r>
  <r>
    <x v="0"/>
    <x v="0"/>
    <x v="0"/>
    <x v="0"/>
    <x v="1"/>
    <s v="DK2_MedSmall"/>
    <x v="0"/>
    <x v="0"/>
    <x v="0"/>
    <x v="1"/>
    <n v="87.914957422159006"/>
    <n v="5348.1599098480101"/>
    <n v="19253.3756754528"/>
  </r>
  <r>
    <x v="0"/>
    <x v="0"/>
    <x v="0"/>
    <x v="0"/>
    <x v="1"/>
    <s v="DK2_MedSmall"/>
    <x v="0"/>
    <x v="0"/>
    <x v="0"/>
    <x v="2"/>
    <n v="86.844198325350604"/>
    <n v="5283.0220647921597"/>
    <n v="19018.879433251801"/>
  </r>
  <r>
    <x v="0"/>
    <x v="0"/>
    <x v="0"/>
    <x v="0"/>
    <x v="1"/>
    <s v="DK2_MedSmall"/>
    <x v="0"/>
    <x v="0"/>
    <x v="0"/>
    <x v="3"/>
    <n v="86.562419615664197"/>
    <n v="5265.8805266195704"/>
    <n v="18957.169895830499"/>
  </r>
  <r>
    <x v="0"/>
    <x v="0"/>
    <x v="0"/>
    <x v="0"/>
    <x v="1"/>
    <s v="DK2_MedSmall"/>
    <x v="0"/>
    <x v="0"/>
    <x v="0"/>
    <x v="4"/>
    <n v="86.224285164040595"/>
    <n v="5245.3106808124703"/>
    <n v="18883.1184509249"/>
  </r>
  <r>
    <x v="0"/>
    <x v="0"/>
    <x v="0"/>
    <x v="0"/>
    <x v="1"/>
    <s v="DK2_MedSmall"/>
    <x v="0"/>
    <x v="0"/>
    <x v="0"/>
    <x v="5"/>
    <n v="86.224285164040595"/>
    <n v="5245.3106808124703"/>
    <n v="18883.1184509249"/>
  </r>
  <r>
    <x v="0"/>
    <x v="0"/>
    <x v="0"/>
    <x v="0"/>
    <x v="1"/>
    <s v="DK2_MedSmall"/>
    <x v="0"/>
    <x v="0"/>
    <x v="0"/>
    <x v="6"/>
    <n v="87.858601680221696"/>
    <n v="5344.7316022134901"/>
    <n v="19241.033767968602"/>
  </r>
  <r>
    <x v="0"/>
    <x v="0"/>
    <x v="0"/>
    <x v="0"/>
    <x v="1"/>
    <s v="DK2_MedSmall"/>
    <x v="0"/>
    <x v="0"/>
    <x v="0"/>
    <x v="7"/>
    <n v="89.492918196402897"/>
    <n v="5444.1525236145098"/>
    <n v="19598.949085012198"/>
  </r>
  <r>
    <x v="0"/>
    <x v="0"/>
    <x v="0"/>
    <x v="0"/>
    <x v="1"/>
    <s v="DK2_MedSmall"/>
    <x v="0"/>
    <x v="0"/>
    <x v="0"/>
    <x v="8"/>
    <n v="90.112831357713006"/>
    <n v="5481.8639075942101"/>
    <n v="19734.7100673391"/>
  </r>
  <r>
    <x v="0"/>
    <x v="0"/>
    <x v="0"/>
    <x v="0"/>
    <x v="1"/>
    <s v="DK2_MedSmall"/>
    <x v="0"/>
    <x v="0"/>
    <x v="0"/>
    <x v="9"/>
    <n v="91.239946196458604"/>
    <n v="5550.4300602845597"/>
    <n v="19981.548217024399"/>
  </r>
  <r>
    <x v="0"/>
    <x v="0"/>
    <x v="0"/>
    <x v="0"/>
    <x v="1"/>
    <s v="DK2_MedSmall"/>
    <x v="0"/>
    <x v="0"/>
    <x v="0"/>
    <x v="10"/>
    <n v="92.592484002953299"/>
    <n v="5632.7094435129902"/>
    <n v="20277.753996646799"/>
  </r>
  <r>
    <x v="0"/>
    <x v="0"/>
    <x v="0"/>
    <x v="0"/>
    <x v="1"/>
    <s v="DK2_MedSmall"/>
    <x v="0"/>
    <x v="0"/>
    <x v="0"/>
    <x v="11"/>
    <n v="92.7615512287652"/>
    <n v="5642.9943664165503"/>
    <n v="20314.779719099599"/>
  </r>
  <r>
    <x v="0"/>
    <x v="0"/>
    <x v="0"/>
    <x v="0"/>
    <x v="1"/>
    <s v="DK2_MedSmall"/>
    <x v="0"/>
    <x v="0"/>
    <x v="1"/>
    <x v="0"/>
    <n v="56.9192993566542"/>
    <n v="3462.59071086313"/>
    <n v="12465.3265591073"/>
  </r>
  <r>
    <x v="0"/>
    <x v="0"/>
    <x v="0"/>
    <x v="0"/>
    <x v="1"/>
    <s v="DK2_MedSmall"/>
    <x v="0"/>
    <x v="0"/>
    <x v="1"/>
    <x v="1"/>
    <n v="56.299386195344098"/>
    <n v="3424.8793268834302"/>
    <n v="12329.5655767804"/>
  </r>
  <r>
    <x v="0"/>
    <x v="0"/>
    <x v="0"/>
    <x v="0"/>
    <x v="1"/>
    <s v="DK2_MedSmall"/>
    <x v="0"/>
    <x v="0"/>
    <x v="1"/>
    <x v="2"/>
    <n v="55.735828775971299"/>
    <n v="3390.5962505382499"/>
    <n v="12206.146501937699"/>
  </r>
  <r>
    <x v="0"/>
    <x v="0"/>
    <x v="0"/>
    <x v="0"/>
    <x v="1"/>
    <s v="DK2_MedSmall"/>
    <x v="0"/>
    <x v="0"/>
    <x v="1"/>
    <x v="3"/>
    <n v="56.581164905030498"/>
    <n v="3442.0208650560198"/>
    <n v="12391.2751142017"/>
  </r>
  <r>
    <x v="0"/>
    <x v="0"/>
    <x v="0"/>
    <x v="0"/>
    <x v="1"/>
    <s v="DK2_MedSmall"/>
    <x v="0"/>
    <x v="0"/>
    <x v="1"/>
    <x v="4"/>
    <n v="57.2010780663406"/>
    <n v="3479.7322490357201"/>
    <n v="12527.0360965286"/>
  </r>
  <r>
    <x v="0"/>
    <x v="0"/>
    <x v="0"/>
    <x v="0"/>
    <x v="1"/>
    <s v="DK2_MedSmall"/>
    <x v="0"/>
    <x v="0"/>
    <x v="1"/>
    <x v="5"/>
    <n v="67.063332905364902"/>
    <n v="4079.6860850763601"/>
    <n v="14686.8699062749"/>
  </r>
  <r>
    <x v="0"/>
    <x v="0"/>
    <x v="0"/>
    <x v="0"/>
    <x v="1"/>
    <s v="DK2_MedSmall"/>
    <x v="0"/>
    <x v="0"/>
    <x v="1"/>
    <x v="6"/>
    <n v="91.747147873894093"/>
    <n v="5581.2848289952299"/>
    <n v="20092.625384382802"/>
  </r>
  <r>
    <x v="0"/>
    <x v="0"/>
    <x v="0"/>
    <x v="0"/>
    <x v="1"/>
    <s v="DK2_MedSmall"/>
    <x v="0"/>
    <x v="0"/>
    <x v="1"/>
    <x v="7"/>
    <n v="106.455996519525"/>
    <n v="6476.0731216044096"/>
    <n v="23313.863237775899"/>
  </r>
  <r>
    <x v="0"/>
    <x v="0"/>
    <x v="0"/>
    <x v="0"/>
    <x v="1"/>
    <s v="DK2_MedSmall"/>
    <x v="0"/>
    <x v="0"/>
    <x v="1"/>
    <x v="8"/>
    <n v="108.653870455079"/>
    <n v="6609.7771193506096"/>
    <n v="23795.197629662202"/>
  </r>
  <r>
    <x v="0"/>
    <x v="0"/>
    <x v="0"/>
    <x v="0"/>
    <x v="1"/>
    <s v="DK2_MedSmall"/>
    <x v="0"/>
    <x v="0"/>
    <x v="1"/>
    <x v="9"/>
    <n v="108.372091745392"/>
    <n v="6592.6355811780204"/>
    <n v="23733.488092240899"/>
  </r>
  <r>
    <x v="0"/>
    <x v="0"/>
    <x v="0"/>
    <x v="0"/>
    <x v="1"/>
    <s v="DK2_MedSmall"/>
    <x v="0"/>
    <x v="0"/>
    <x v="1"/>
    <x v="10"/>
    <n v="108.879293422828"/>
    <n v="6623.4903498886797"/>
    <n v="23844.565259599301"/>
  </r>
  <r>
    <x v="0"/>
    <x v="0"/>
    <x v="0"/>
    <x v="0"/>
    <x v="1"/>
    <s v="DK2_MedSmall"/>
    <x v="0"/>
    <x v="0"/>
    <x v="1"/>
    <x v="11"/>
    <n v="108.372091745392"/>
    <n v="6592.6355811780204"/>
    <n v="23733.488092240899"/>
  </r>
  <r>
    <x v="0"/>
    <x v="0"/>
    <x v="0"/>
    <x v="0"/>
    <x v="1"/>
    <s v="DK2_MedSmall"/>
    <x v="0"/>
    <x v="0"/>
    <x v="2"/>
    <x v="0"/>
    <n v="74.220512131399602"/>
    <n v="4515.0811546601399"/>
    <n v="16254.292156776501"/>
  </r>
  <r>
    <x v="0"/>
    <x v="0"/>
    <x v="0"/>
    <x v="0"/>
    <x v="1"/>
    <s v="DK2_MedSmall"/>
    <x v="0"/>
    <x v="0"/>
    <x v="2"/>
    <x v="1"/>
    <n v="72.473484131343895"/>
    <n v="4408.8036179900901"/>
    <n v="15871.693024764299"/>
  </r>
  <r>
    <x v="0"/>
    <x v="0"/>
    <x v="0"/>
    <x v="0"/>
    <x v="1"/>
    <s v="DK2_MedSmall"/>
    <x v="0"/>
    <x v="0"/>
    <x v="2"/>
    <x v="2"/>
    <n v="71.909926711971096"/>
    <n v="4374.5205416449098"/>
    <n v="15748.2739499217"/>
  </r>
  <r>
    <x v="0"/>
    <x v="0"/>
    <x v="0"/>
    <x v="0"/>
    <x v="1"/>
    <s v="DK2_MedSmall"/>
    <x v="0"/>
    <x v="0"/>
    <x v="2"/>
    <x v="3"/>
    <n v="71.571792260347394"/>
    <n v="4353.9506958377997"/>
    <n v="15674.2225050161"/>
  </r>
  <r>
    <x v="0"/>
    <x v="0"/>
    <x v="0"/>
    <x v="0"/>
    <x v="1"/>
    <s v="DK2_MedSmall"/>
    <x v="0"/>
    <x v="0"/>
    <x v="2"/>
    <x v="4"/>
    <n v="71.740859486159195"/>
    <n v="4364.2356187413498"/>
    <n v="15711.248227468899"/>
  </r>
  <r>
    <x v="0"/>
    <x v="0"/>
    <x v="0"/>
    <x v="0"/>
    <x v="1"/>
    <s v="DK2_MedSmall"/>
    <x v="0"/>
    <x v="0"/>
    <x v="2"/>
    <x v="5"/>
    <n v="75.122204002396103"/>
    <n v="4569.9340768124302"/>
    <n v="16451.762676524701"/>
  </r>
  <r>
    <x v="0"/>
    <x v="0"/>
    <x v="0"/>
    <x v="0"/>
    <x v="1"/>
    <s v="DK2_MedSmall"/>
    <x v="0"/>
    <x v="0"/>
    <x v="2"/>
    <x v="6"/>
    <n v="91.070878970646703"/>
    <n v="5540.1451373810096"/>
    <n v="19944.5224945716"/>
  </r>
  <r>
    <x v="0"/>
    <x v="0"/>
    <x v="0"/>
    <x v="0"/>
    <x v="1"/>
    <s v="DK2_MedSmall"/>
    <x v="0"/>
    <x v="0"/>
    <x v="2"/>
    <x v="7"/>
    <n v="105.892439100152"/>
    <n v="6441.7900452592303"/>
    <n v="23190.4441629332"/>
  </r>
  <r>
    <x v="0"/>
    <x v="0"/>
    <x v="0"/>
    <x v="0"/>
    <x v="1"/>
    <s v="DK2_MedSmall"/>
    <x v="0"/>
    <x v="0"/>
    <x v="2"/>
    <x v="8"/>
    <n v="107.18862116470901"/>
    <n v="6520.6411208531499"/>
    <n v="23474.308035071299"/>
  </r>
  <r>
    <x v="0"/>
    <x v="0"/>
    <x v="0"/>
    <x v="0"/>
    <x v="1"/>
    <s v="DK2_MedSmall"/>
    <x v="0"/>
    <x v="0"/>
    <x v="2"/>
    <x v="9"/>
    <n v="106.174217809838"/>
    <n v="6458.9315834318204"/>
    <n v="23252.1537003546"/>
  </r>
  <r>
    <x v="0"/>
    <x v="0"/>
    <x v="0"/>
    <x v="0"/>
    <x v="1"/>
    <s v="DK2_MedSmall"/>
    <x v="0"/>
    <x v="0"/>
    <x v="2"/>
    <x v="10"/>
    <n v="106.850486713086"/>
    <n v="6500.0712750460398"/>
    <n v="23400.2565901657"/>
  </r>
  <r>
    <x v="0"/>
    <x v="0"/>
    <x v="0"/>
    <x v="0"/>
    <x v="1"/>
    <s v="DK2_MedSmall"/>
    <x v="0"/>
    <x v="0"/>
    <x v="2"/>
    <x v="11"/>
    <n v="106.286929293713"/>
    <n v="6465.7881987008604"/>
    <n v="23276.837515323099"/>
  </r>
  <r>
    <x v="0"/>
    <x v="0"/>
    <x v="0"/>
    <x v="0"/>
    <x v="1"/>
    <s v="DK2_MedSmall"/>
    <x v="0"/>
    <x v="0"/>
    <x v="3"/>
    <x v="0"/>
    <n v="73.206108776528495"/>
    <n v="4453.3716172388204"/>
    <n v="16032.1378220598"/>
  </r>
  <r>
    <x v="0"/>
    <x v="0"/>
    <x v="0"/>
    <x v="0"/>
    <x v="1"/>
    <s v="DK2_MedSmall"/>
    <x v="0"/>
    <x v="0"/>
    <x v="3"/>
    <x v="1"/>
    <n v="71.628148002284703"/>
    <n v="4357.3790034723197"/>
    <n v="15686.5644125003"/>
  </r>
  <r>
    <x v="0"/>
    <x v="0"/>
    <x v="0"/>
    <x v="0"/>
    <x v="1"/>
    <s v="DK2_MedSmall"/>
    <x v="0"/>
    <x v="0"/>
    <x v="3"/>
    <x v="2"/>
    <n v="69.881120002228897"/>
    <n v="4251.1014668022599"/>
    <n v="15303.965280488101"/>
  </r>
  <r>
    <x v="0"/>
    <x v="0"/>
    <x v="0"/>
    <x v="0"/>
    <x v="1"/>
    <s v="DK2_MedSmall"/>
    <x v="0"/>
    <x v="0"/>
    <x v="3"/>
    <x v="3"/>
    <n v="69.768408518354406"/>
    <n v="4244.2448515332198"/>
    <n v="15279.2814655196"/>
  </r>
  <r>
    <x v="0"/>
    <x v="0"/>
    <x v="0"/>
    <x v="0"/>
    <x v="1"/>
    <s v="DK2_MedSmall"/>
    <x v="0"/>
    <x v="0"/>
    <x v="3"/>
    <x v="4"/>
    <n v="70.3883216796645"/>
    <n v="4281.9562355129201"/>
    <n v="15415.042447846499"/>
  </r>
  <r>
    <x v="0"/>
    <x v="0"/>
    <x v="0"/>
    <x v="0"/>
    <x v="1"/>
    <s v="DK2_MedSmall"/>
    <x v="0"/>
    <x v="0"/>
    <x v="3"/>
    <x v="5"/>
    <n v="74.727713808835105"/>
    <n v="4545.9359233708001"/>
    <n v="16365.369324134899"/>
  </r>
  <r>
    <x v="0"/>
    <x v="0"/>
    <x v="0"/>
    <x v="0"/>
    <x v="1"/>
    <s v="DK2_MedSmall"/>
    <x v="0"/>
    <x v="0"/>
    <x v="3"/>
    <x v="6"/>
    <n v="90.169187099650202"/>
    <n v="5485.2922152287201"/>
    <n v="19747.0519748234"/>
  </r>
  <r>
    <x v="0"/>
    <x v="0"/>
    <x v="0"/>
    <x v="0"/>
    <x v="1"/>
    <s v="DK2_MedSmall"/>
    <x v="0"/>
    <x v="0"/>
    <x v="3"/>
    <x v="7"/>
    <n v="102.003892906479"/>
    <n v="6205.2368184774896"/>
    <n v="22338.852546519"/>
  </r>
  <r>
    <x v="0"/>
    <x v="0"/>
    <x v="0"/>
    <x v="0"/>
    <x v="1"/>
    <s v="DK2_MedSmall"/>
    <x v="0"/>
    <x v="0"/>
    <x v="3"/>
    <x v="8"/>
    <n v="102.79287329360101"/>
    <n v="6253.2331253607499"/>
    <n v="22511.6392512987"/>
  </r>
  <r>
    <x v="0"/>
    <x v="0"/>
    <x v="0"/>
    <x v="0"/>
    <x v="1"/>
    <s v="DK2_MedSmall"/>
    <x v="0"/>
    <x v="0"/>
    <x v="3"/>
    <x v="9"/>
    <n v="102.56745032585199"/>
    <n v="6239.5198948226698"/>
    <n v="22462.2716213616"/>
  </r>
  <r>
    <x v="0"/>
    <x v="0"/>
    <x v="0"/>
    <x v="0"/>
    <x v="1"/>
    <s v="DK2_MedSmall"/>
    <x v="0"/>
    <x v="0"/>
    <x v="3"/>
    <x v="10"/>
    <n v="102.454738841978"/>
    <n v="6232.6632795536398"/>
    <n v="22437.587806393101"/>
  </r>
  <r>
    <x v="0"/>
    <x v="0"/>
    <x v="0"/>
    <x v="0"/>
    <x v="1"/>
    <s v="DK2_MedSmall"/>
    <x v="0"/>
    <x v="0"/>
    <x v="3"/>
    <x v="11"/>
    <n v="102.680161809727"/>
    <n v="6246.3765100917099"/>
    <n v="22486.955436330201"/>
  </r>
  <r>
    <x v="0"/>
    <x v="0"/>
    <x v="0"/>
    <x v="0"/>
    <x v="1"/>
    <s v="DK2_MedSmall"/>
    <x v="0"/>
    <x v="0"/>
    <x v="4"/>
    <x v="0"/>
    <n v="66.612486969866595"/>
    <n v="4052.2596240002199"/>
    <n v="14588.1346464008"/>
  </r>
  <r>
    <x v="0"/>
    <x v="0"/>
    <x v="0"/>
    <x v="0"/>
    <x v="1"/>
    <s v="DK2_MedSmall"/>
    <x v="0"/>
    <x v="0"/>
    <x v="4"/>
    <x v="1"/>
    <n v="68.415870711859597"/>
    <n v="4161.9654683047902"/>
    <n v="14983.0756858973"/>
  </r>
  <r>
    <x v="0"/>
    <x v="0"/>
    <x v="0"/>
    <x v="0"/>
    <x v="1"/>
    <s v="DK2_MedSmall"/>
    <x v="0"/>
    <x v="0"/>
    <x v="4"/>
    <x v="2"/>
    <n v="68.754005163483299"/>
    <n v="4182.5353141119003"/>
    <n v="15057.127130802801"/>
  </r>
  <r>
    <x v="0"/>
    <x v="0"/>
    <x v="0"/>
    <x v="0"/>
    <x v="1"/>
    <s v="DK2_MedSmall"/>
    <x v="0"/>
    <x v="0"/>
    <x v="4"/>
    <x v="3"/>
    <n v="68.9230723892951"/>
    <n v="4192.8202370154504"/>
    <n v="15094.1528532556"/>
  </r>
  <r>
    <x v="0"/>
    <x v="0"/>
    <x v="0"/>
    <x v="0"/>
    <x v="1"/>
    <s v="DK2_MedSmall"/>
    <x v="0"/>
    <x v="0"/>
    <x v="4"/>
    <x v="4"/>
    <n v="69.712052776417096"/>
    <n v="4240.8165438987098"/>
    <n v="15266.939558035299"/>
  </r>
  <r>
    <x v="0"/>
    <x v="0"/>
    <x v="0"/>
    <x v="0"/>
    <x v="1"/>
    <s v="DK2_MedSmall"/>
    <x v="0"/>
    <x v="0"/>
    <x v="4"/>
    <x v="5"/>
    <n v="75.178559744333398"/>
    <n v="4573.3623844469503"/>
    <n v="16464.104584009001"/>
  </r>
  <r>
    <x v="0"/>
    <x v="0"/>
    <x v="0"/>
    <x v="0"/>
    <x v="1"/>
    <s v="DK2_MedSmall"/>
    <x v="0"/>
    <x v="0"/>
    <x v="4"/>
    <x v="6"/>
    <n v="90.394610067399398"/>
    <n v="5499.0054457667902"/>
    <n v="19796.4196047605"/>
  </r>
  <r>
    <x v="0"/>
    <x v="0"/>
    <x v="0"/>
    <x v="0"/>
    <x v="1"/>
    <s v="DK2_MedSmall"/>
    <x v="0"/>
    <x v="0"/>
    <x v="4"/>
    <x v="7"/>
    <n v="101.04584529354599"/>
    <n v="6146.9555886906901"/>
    <n v="22129.040119286499"/>
  </r>
  <r>
    <x v="0"/>
    <x v="0"/>
    <x v="0"/>
    <x v="0"/>
    <x v="1"/>
    <s v="DK2_MedSmall"/>
    <x v="0"/>
    <x v="0"/>
    <x v="4"/>
    <x v="8"/>
    <n v="103.01829626135"/>
    <n v="6266.94635589882"/>
    <n v="22561.006881235699"/>
  </r>
  <r>
    <x v="0"/>
    <x v="0"/>
    <x v="0"/>
    <x v="0"/>
    <x v="1"/>
    <s v="DK2_MedSmall"/>
    <x v="0"/>
    <x v="0"/>
    <x v="4"/>
    <x v="9"/>
    <n v="103.30007497103701"/>
    <n v="6284.0878940714101"/>
    <n v="22622.716418657099"/>
  </r>
  <r>
    <x v="0"/>
    <x v="0"/>
    <x v="0"/>
    <x v="0"/>
    <x v="1"/>
    <s v="DK2_MedSmall"/>
    <x v="0"/>
    <x v="0"/>
    <x v="4"/>
    <x v="10"/>
    <n v="103.412786454911"/>
    <n v="6290.9445093404402"/>
    <n v="22647.400233625602"/>
  </r>
  <r>
    <x v="0"/>
    <x v="0"/>
    <x v="0"/>
    <x v="0"/>
    <x v="1"/>
    <s v="DK2_MedSmall"/>
    <x v="0"/>
    <x v="0"/>
    <x v="4"/>
    <x v="11"/>
    <n v="103.750920906535"/>
    <n v="6311.5143551475503"/>
    <n v="22721.451678531201"/>
  </r>
  <r>
    <x v="0"/>
    <x v="0"/>
    <x v="0"/>
    <x v="0"/>
    <x v="1"/>
    <s v="DK2_MedSmall"/>
    <x v="0"/>
    <x v="0"/>
    <x v="5"/>
    <x v="0"/>
    <n v="87.520467228597994"/>
    <n v="5324.1617564063799"/>
    <n v="19166.982323062999"/>
  </r>
  <r>
    <x v="0"/>
    <x v="0"/>
    <x v="0"/>
    <x v="0"/>
    <x v="1"/>
    <s v="DK2_MedSmall"/>
    <x v="0"/>
    <x v="0"/>
    <x v="5"/>
    <x v="1"/>
    <n v="87.125977035036996"/>
    <n v="5300.1636029647498"/>
    <n v="19080.5889706731"/>
  </r>
  <r>
    <x v="0"/>
    <x v="0"/>
    <x v="0"/>
    <x v="0"/>
    <x v="1"/>
    <s v="DK2_MedSmall"/>
    <x v="0"/>
    <x v="0"/>
    <x v="5"/>
    <x v="2"/>
    <n v="87.182332776974306"/>
    <n v="5303.5919105992698"/>
    <n v="19092.9308781574"/>
  </r>
  <r>
    <x v="0"/>
    <x v="0"/>
    <x v="0"/>
    <x v="0"/>
    <x v="1"/>
    <s v="DK2_MedSmall"/>
    <x v="0"/>
    <x v="0"/>
    <x v="5"/>
    <x v="3"/>
    <n v="86.618775357601507"/>
    <n v="5269.3088342540896"/>
    <n v="18969.511803314701"/>
  </r>
  <r>
    <x v="0"/>
    <x v="0"/>
    <x v="0"/>
    <x v="0"/>
    <x v="1"/>
    <s v="DK2_MedSmall"/>
    <x v="0"/>
    <x v="0"/>
    <x v="5"/>
    <x v="4"/>
    <n v="86.844198325350604"/>
    <n v="5283.0220647921597"/>
    <n v="19018.879433251801"/>
  </r>
  <r>
    <x v="0"/>
    <x v="0"/>
    <x v="0"/>
    <x v="0"/>
    <x v="1"/>
    <s v="DK2_MedSmall"/>
    <x v="0"/>
    <x v="0"/>
    <x v="5"/>
    <x v="5"/>
    <n v="87.295044260848897"/>
    <n v="5310.4485258683098"/>
    <n v="19117.614693125899"/>
  </r>
  <r>
    <x v="0"/>
    <x v="0"/>
    <x v="0"/>
    <x v="0"/>
    <x v="1"/>
    <s v="DK2_MedSmall"/>
    <x v="0"/>
    <x v="0"/>
    <x v="5"/>
    <x v="6"/>
    <n v="91.183590454521294"/>
    <n v="5547.0017526500496"/>
    <n v="19969.206309540201"/>
  </r>
  <r>
    <x v="0"/>
    <x v="0"/>
    <x v="0"/>
    <x v="0"/>
    <x v="1"/>
    <s v="DK2_MedSmall"/>
    <x v="0"/>
    <x v="0"/>
    <x v="5"/>
    <x v="7"/>
    <n v="97.608145035371393"/>
    <n v="5937.8288229850896"/>
    <n v="21376.183762746299"/>
  </r>
  <r>
    <x v="0"/>
    <x v="0"/>
    <x v="0"/>
    <x v="0"/>
    <x v="1"/>
    <s v="DK2_MedSmall"/>
    <x v="0"/>
    <x v="0"/>
    <x v="5"/>
    <x v="8"/>
    <n v="97.8899237450578"/>
    <n v="5954.9703611576797"/>
    <n v="21437.8933001677"/>
  </r>
  <r>
    <x v="0"/>
    <x v="0"/>
    <x v="0"/>
    <x v="0"/>
    <x v="1"/>
    <s v="DK2_MedSmall"/>
    <x v="0"/>
    <x v="0"/>
    <x v="5"/>
    <x v="9"/>
    <n v="98.453481164430599"/>
    <n v="5989.2534375028599"/>
    <n v="21561.3123750103"/>
  </r>
  <r>
    <x v="0"/>
    <x v="0"/>
    <x v="0"/>
    <x v="0"/>
    <x v="1"/>
    <s v="DK2_MedSmall"/>
    <x v="0"/>
    <x v="0"/>
    <x v="5"/>
    <x v="10"/>
    <n v="99.298817293489805"/>
    <n v="6040.6780520206303"/>
    <n v="21746.440987274302"/>
  </r>
  <r>
    <x v="0"/>
    <x v="0"/>
    <x v="0"/>
    <x v="0"/>
    <x v="1"/>
    <s v="DK2_MedSmall"/>
    <x v="0"/>
    <x v="0"/>
    <x v="5"/>
    <x v="11"/>
    <n v="98.6225483902425"/>
    <n v="5999.53836040642"/>
    <n v="21598.3380974631"/>
  </r>
  <r>
    <x v="0"/>
    <x v="0"/>
    <x v="0"/>
    <x v="0"/>
    <x v="1"/>
    <s v="DK2_MedSmall"/>
    <x v="0"/>
    <x v="0"/>
    <x v="6"/>
    <x v="0"/>
    <n v="68.303159227985105"/>
    <n v="4155.1088530357601"/>
    <n v="14958.391870928701"/>
  </r>
  <r>
    <x v="0"/>
    <x v="0"/>
    <x v="0"/>
    <x v="0"/>
    <x v="1"/>
    <s v="DK2_MedSmall"/>
    <x v="0"/>
    <x v="0"/>
    <x v="6"/>
    <x v="1"/>
    <n v="67.514178840863096"/>
    <n v="4107.1125461525098"/>
    <n v="14785.605166149"/>
  </r>
  <r>
    <x v="0"/>
    <x v="0"/>
    <x v="0"/>
    <x v="0"/>
    <x v="1"/>
    <s v="DK2_MedSmall"/>
    <x v="0"/>
    <x v="0"/>
    <x v="6"/>
    <x v="2"/>
    <n v="66.781554195678495"/>
    <n v="4062.54454690377"/>
    <n v="14625.1603688536"/>
  </r>
  <r>
    <x v="0"/>
    <x v="0"/>
    <x v="0"/>
    <x v="0"/>
    <x v="1"/>
    <s v="DK2_MedSmall"/>
    <x v="0"/>
    <x v="0"/>
    <x v="6"/>
    <x v="3"/>
    <n v="66.330708260180202"/>
    <n v="4035.1180858276298"/>
    <n v="14526.4251089795"/>
  </r>
  <r>
    <x v="0"/>
    <x v="0"/>
    <x v="0"/>
    <x v="0"/>
    <x v="1"/>
    <s v="DK2_MedSmall"/>
    <x v="0"/>
    <x v="0"/>
    <x v="6"/>
    <x v="4"/>
    <n v="65.654439356932798"/>
    <n v="3993.97839421341"/>
    <n v="14378.3222191683"/>
  </r>
  <r>
    <x v="0"/>
    <x v="0"/>
    <x v="0"/>
    <x v="0"/>
    <x v="1"/>
    <s v="DK2_MedSmall"/>
    <x v="0"/>
    <x v="0"/>
    <x v="6"/>
    <x v="5"/>
    <n v="68.584937937671498"/>
    <n v="4172.2503912083503"/>
    <n v="15020.1014083501"/>
  </r>
  <r>
    <x v="0"/>
    <x v="0"/>
    <x v="0"/>
    <x v="0"/>
    <x v="1"/>
    <s v="DK2_MedSmall"/>
    <x v="0"/>
    <x v="0"/>
    <x v="6"/>
    <x v="6"/>
    <n v="84.364545680110297"/>
    <n v="5132.1765288733704"/>
    <n v="18475.835503944199"/>
  </r>
  <r>
    <x v="0"/>
    <x v="0"/>
    <x v="0"/>
    <x v="0"/>
    <x v="1"/>
    <s v="DK2_MedSmall"/>
    <x v="0"/>
    <x v="0"/>
    <x v="6"/>
    <x v="7"/>
    <n v="96.819164648249398"/>
    <n v="5889.8325161018402"/>
    <n v="21203.397057966598"/>
  </r>
  <r>
    <x v="0"/>
    <x v="0"/>
    <x v="0"/>
    <x v="0"/>
    <x v="1"/>
    <s v="DK2_MedSmall"/>
    <x v="0"/>
    <x v="0"/>
    <x v="6"/>
    <x v="8"/>
    <n v="97.833568003120504"/>
    <n v="5951.5420535231597"/>
    <n v="21425.551392683399"/>
  </r>
  <r>
    <x v="0"/>
    <x v="0"/>
    <x v="0"/>
    <x v="0"/>
    <x v="1"/>
    <s v="DK2_MedSmall"/>
    <x v="0"/>
    <x v="0"/>
    <x v="6"/>
    <x v="9"/>
    <n v="98.509836906367894"/>
    <n v="5992.6817451373799"/>
    <n v="21573.654282494601"/>
  </r>
  <r>
    <x v="0"/>
    <x v="0"/>
    <x v="0"/>
    <x v="0"/>
    <x v="1"/>
    <s v="DK2_MedSmall"/>
    <x v="0"/>
    <x v="0"/>
    <x v="6"/>
    <x v="10"/>
    <n v="99.298817293489805"/>
    <n v="6040.6780520206303"/>
    <n v="21746.440987274302"/>
  </r>
  <r>
    <x v="0"/>
    <x v="0"/>
    <x v="0"/>
    <x v="0"/>
    <x v="1"/>
    <s v="DK2_MedSmall"/>
    <x v="0"/>
    <x v="0"/>
    <x v="6"/>
    <x v="11"/>
    <n v="99.918730454799899"/>
    <n v="6078.3894360003296"/>
    <n v="21882.201969601199"/>
  </r>
  <r>
    <x v="0"/>
    <x v="0"/>
    <x v="0"/>
    <x v="0"/>
    <x v="1"/>
    <s v="DK2_MedSmall"/>
    <x v="0"/>
    <x v="0"/>
    <x v="7"/>
    <x v="0"/>
    <n v="54.834136904974798"/>
    <n v="3335.74332838597"/>
    <n v="12008.675982189499"/>
  </r>
  <r>
    <x v="0"/>
    <x v="0"/>
    <x v="0"/>
    <x v="0"/>
    <x v="1"/>
    <s v="DK2_MedSmall"/>
    <x v="0"/>
    <x v="0"/>
    <x v="7"/>
    <x v="1"/>
    <n v="54.890492646912101"/>
    <n v="3339.17163602049"/>
    <n v="12021.0178896737"/>
  </r>
  <r>
    <x v="0"/>
    <x v="0"/>
    <x v="0"/>
    <x v="0"/>
    <x v="1"/>
    <s v="DK2_MedSmall"/>
    <x v="0"/>
    <x v="0"/>
    <x v="7"/>
    <x v="2"/>
    <n v="54.101512259790198"/>
    <n v="3291.1753291372302"/>
    <n v="11848.231184894001"/>
  </r>
  <r>
    <x v="0"/>
    <x v="0"/>
    <x v="0"/>
    <x v="0"/>
    <x v="1"/>
    <s v="DK2_MedSmall"/>
    <x v="0"/>
    <x v="0"/>
    <x v="7"/>
    <x v="3"/>
    <n v="54.214223743664697"/>
    <n v="3298.0319444062702"/>
    <n v="11872.9149998626"/>
  </r>
  <r>
    <x v="0"/>
    <x v="0"/>
    <x v="0"/>
    <x v="0"/>
    <x v="1"/>
    <s v="DK2_MedSmall"/>
    <x v="0"/>
    <x v="0"/>
    <x v="7"/>
    <x v="4"/>
    <n v="55.115915614661198"/>
    <n v="3352.8848665585601"/>
    <n v="12070.3855196108"/>
  </r>
  <r>
    <x v="0"/>
    <x v="0"/>
    <x v="0"/>
    <x v="0"/>
    <x v="1"/>
    <s v="DK2_MedSmall"/>
    <x v="0"/>
    <x v="0"/>
    <x v="7"/>
    <x v="5"/>
    <n v="62.554873550382403"/>
    <n v="3805.42147431493"/>
    <n v="13699.517307533701"/>
  </r>
  <r>
    <x v="0"/>
    <x v="0"/>
    <x v="0"/>
    <x v="0"/>
    <x v="1"/>
    <s v="DK2_MedSmall"/>
    <x v="0"/>
    <x v="0"/>
    <x v="7"/>
    <x v="6"/>
    <n v="87.013265551162505"/>
    <n v="5293.3069876957197"/>
    <n v="19055.9051557046"/>
  </r>
  <r>
    <x v="0"/>
    <x v="0"/>
    <x v="0"/>
    <x v="0"/>
    <x v="1"/>
    <s v="DK2_MedSmall"/>
    <x v="0"/>
    <x v="0"/>
    <x v="7"/>
    <x v="7"/>
    <n v="101.327624003232"/>
    <n v="6164.0971268632802"/>
    <n v="22190.749656707801"/>
  </r>
  <r>
    <x v="0"/>
    <x v="0"/>
    <x v="0"/>
    <x v="0"/>
    <x v="1"/>
    <s v="DK2_MedSmall"/>
    <x v="0"/>
    <x v="0"/>
    <x v="7"/>
    <x v="8"/>
    <n v="103.07465200328799"/>
    <n v="6270.37466353333"/>
    <n v="22573.348788719999"/>
  </r>
  <r>
    <x v="0"/>
    <x v="0"/>
    <x v="0"/>
    <x v="0"/>
    <x v="1"/>
    <s v="DK2_MedSmall"/>
    <x v="0"/>
    <x v="0"/>
    <x v="7"/>
    <x v="9"/>
    <n v="106.174217809838"/>
    <n v="6458.9315834318204"/>
    <n v="23252.1537003546"/>
  </r>
  <r>
    <x v="0"/>
    <x v="0"/>
    <x v="0"/>
    <x v="0"/>
    <x v="1"/>
    <s v="DK2_MedSmall"/>
    <x v="0"/>
    <x v="0"/>
    <x v="7"/>
    <x v="10"/>
    <n v="107.13226542277199"/>
    <n v="6517.2128132186299"/>
    <n v="23461.9661275871"/>
  </r>
  <r>
    <x v="0"/>
    <x v="0"/>
    <x v="0"/>
    <x v="0"/>
    <x v="1"/>
    <s v="DK2_MedSmall"/>
    <x v="0"/>
    <x v="0"/>
    <x v="7"/>
    <x v="11"/>
    <n v="106.737775229211"/>
    <n v="6493.2146597769997"/>
    <n v="23375.572775197201"/>
  </r>
  <r>
    <x v="0"/>
    <x v="0"/>
    <x v="0"/>
    <x v="0"/>
    <x v="1"/>
    <s v="DK2_MedSmall"/>
    <x v="0"/>
    <x v="0"/>
    <x v="8"/>
    <x v="0"/>
    <n v="69.824764260291701"/>
    <n v="4247.6731591677399"/>
    <n v="15291.6233730039"/>
  </r>
  <r>
    <x v="0"/>
    <x v="0"/>
    <x v="0"/>
    <x v="0"/>
    <x v="1"/>
    <s v="DK2_MedSmall"/>
    <x v="0"/>
    <x v="0"/>
    <x v="8"/>
    <x v="1"/>
    <n v="69.712052776417096"/>
    <n v="4240.8165438987098"/>
    <n v="15266.939558035299"/>
  </r>
  <r>
    <x v="0"/>
    <x v="0"/>
    <x v="0"/>
    <x v="0"/>
    <x v="1"/>
    <s v="DK2_MedSmall"/>
    <x v="0"/>
    <x v="0"/>
    <x v="8"/>
    <x v="2"/>
    <n v="69.204851098981607"/>
    <n v="4209.9617751880396"/>
    <n v="15155.862390677001"/>
  </r>
  <r>
    <x v="0"/>
    <x v="0"/>
    <x v="0"/>
    <x v="0"/>
    <x v="1"/>
    <s v="DK2_MedSmall"/>
    <x v="0"/>
    <x v="0"/>
    <x v="8"/>
    <x v="3"/>
    <n v="69.486629808667999"/>
    <n v="4227.1033133606297"/>
    <n v="15217.571928098299"/>
  </r>
  <r>
    <x v="0"/>
    <x v="0"/>
    <x v="0"/>
    <x v="0"/>
    <x v="1"/>
    <s v="DK2_MedSmall"/>
    <x v="0"/>
    <x v="0"/>
    <x v="8"/>
    <x v="4"/>
    <n v="72.811618582967597"/>
    <n v="4429.3734637971902"/>
    <n v="15945.7444696699"/>
  </r>
  <r>
    <x v="0"/>
    <x v="0"/>
    <x v="0"/>
    <x v="0"/>
    <x v="1"/>
    <s v="DK2_MedSmall"/>
    <x v="0"/>
    <x v="0"/>
    <x v="8"/>
    <x v="5"/>
    <n v="74.784069550772401"/>
    <n v="4549.3642310053201"/>
    <n v="16377.7112316192"/>
  </r>
  <r>
    <x v="0"/>
    <x v="0"/>
    <x v="0"/>
    <x v="0"/>
    <x v="1"/>
    <s v="DK2_MedSmall"/>
    <x v="0"/>
    <x v="0"/>
    <x v="8"/>
    <x v="6"/>
    <n v="86.393352389852396"/>
    <n v="5255.5956037160204"/>
    <n v="18920.144173377699"/>
  </r>
  <r>
    <x v="0"/>
    <x v="0"/>
    <x v="0"/>
    <x v="0"/>
    <x v="1"/>
    <s v="DK2_MedSmall"/>
    <x v="0"/>
    <x v="0"/>
    <x v="8"/>
    <x v="7"/>
    <n v="100.03144193867401"/>
    <n v="6085.2460512693697"/>
    <n v="21906.885784569698"/>
  </r>
  <r>
    <x v="0"/>
    <x v="0"/>
    <x v="0"/>
    <x v="0"/>
    <x v="1"/>
    <s v="DK2_MedSmall"/>
    <x v="0"/>
    <x v="0"/>
    <x v="8"/>
    <x v="8"/>
    <n v="100.03144193867401"/>
    <n v="6085.2460512693697"/>
    <n v="21906.885784569698"/>
  </r>
  <r>
    <x v="0"/>
    <x v="0"/>
    <x v="0"/>
    <x v="0"/>
    <x v="1"/>
    <s v="DK2_MedSmall"/>
    <x v="0"/>
    <x v="0"/>
    <x v="8"/>
    <x v="9"/>
    <n v="99.918730454799899"/>
    <n v="6078.3894360003296"/>
    <n v="21882.201969601199"/>
  </r>
  <r>
    <x v="0"/>
    <x v="0"/>
    <x v="0"/>
    <x v="0"/>
    <x v="1"/>
    <s v="DK2_MedSmall"/>
    <x v="0"/>
    <x v="0"/>
    <x v="8"/>
    <x v="10"/>
    <n v="101.383979745169"/>
    <n v="6167.5254344978002"/>
    <n v="22203.091564192098"/>
  </r>
  <r>
    <x v="0"/>
    <x v="0"/>
    <x v="0"/>
    <x v="0"/>
    <x v="1"/>
    <s v="DK2_MedSmall"/>
    <x v="0"/>
    <x v="0"/>
    <x v="8"/>
    <x v="11"/>
    <n v="101.834825680667"/>
    <n v="6194.9518955739404"/>
    <n v="22301.8268240662"/>
  </r>
  <r>
    <x v="0"/>
    <x v="0"/>
    <x v="0"/>
    <x v="0"/>
    <x v="1"/>
    <s v="DK2_MedSmall"/>
    <x v="0"/>
    <x v="0"/>
    <x v="9"/>
    <x v="0"/>
    <n v="79.067105938005795"/>
    <n v="4809.9156112286901"/>
    <n v="17315.696200423299"/>
  </r>
  <r>
    <x v="0"/>
    <x v="0"/>
    <x v="0"/>
    <x v="0"/>
    <x v="1"/>
    <s v="DK2_MedSmall"/>
    <x v="0"/>
    <x v="0"/>
    <x v="9"/>
    <x v="1"/>
    <n v="77.770923873448297"/>
    <n v="4731.0645356347704"/>
    <n v="17031.8323282852"/>
  </r>
  <r>
    <x v="0"/>
    <x v="0"/>
    <x v="0"/>
    <x v="0"/>
    <x v="1"/>
    <s v="DK2_MedSmall"/>
    <x v="0"/>
    <x v="0"/>
    <x v="9"/>
    <x v="2"/>
    <n v="79.179817421880401"/>
    <n v="4816.7722264977201"/>
    <n v="17340.380015391798"/>
  </r>
  <r>
    <x v="0"/>
    <x v="0"/>
    <x v="0"/>
    <x v="0"/>
    <x v="1"/>
    <s v="DK2_MedSmall"/>
    <x v="0"/>
    <x v="0"/>
    <x v="9"/>
    <x v="3"/>
    <n v="83.068363615552798"/>
    <n v="5053.3254532794599"/>
    <n v="18191.9716318061"/>
  </r>
  <r>
    <x v="0"/>
    <x v="0"/>
    <x v="0"/>
    <x v="0"/>
    <x v="1"/>
    <s v="DK2_MedSmall"/>
    <x v="0"/>
    <x v="0"/>
    <x v="9"/>
    <x v="4"/>
    <n v="84.815391615608505"/>
    <n v="5159.6029899495197"/>
    <n v="18574.570763818301"/>
  </r>
  <r>
    <x v="0"/>
    <x v="0"/>
    <x v="0"/>
    <x v="0"/>
    <x v="1"/>
    <s v="DK2_MedSmall"/>
    <x v="0"/>
    <x v="0"/>
    <x v="9"/>
    <x v="5"/>
    <n v="85.435304776918599"/>
    <n v="5197.31437392922"/>
    <n v="18710.331746145199"/>
  </r>
  <r>
    <x v="0"/>
    <x v="0"/>
    <x v="0"/>
    <x v="0"/>
    <x v="1"/>
    <s v="DK2_MedSmall"/>
    <x v="0"/>
    <x v="0"/>
    <x v="9"/>
    <x v="6"/>
    <n v="99.693307487050802"/>
    <n v="6064.6762054622604"/>
    <n v="21832.834339664099"/>
  </r>
  <r>
    <x v="0"/>
    <x v="0"/>
    <x v="0"/>
    <x v="0"/>
    <x v="1"/>
    <s v="DK2_MedSmall"/>
    <x v="0"/>
    <x v="0"/>
    <x v="9"/>
    <x v="7"/>
    <n v="105.216170196904"/>
    <n v="6400.65035364502"/>
    <n v="23042.3412731221"/>
  </r>
  <r>
    <x v="0"/>
    <x v="0"/>
    <x v="0"/>
    <x v="0"/>
    <x v="1"/>
    <s v="DK2_MedSmall"/>
    <x v="0"/>
    <x v="0"/>
    <x v="9"/>
    <x v="8"/>
    <n v="106.399640777587"/>
    <n v="6472.6448139698896"/>
    <n v="23301.521330291602"/>
  </r>
  <r>
    <x v="0"/>
    <x v="0"/>
    <x v="0"/>
    <x v="0"/>
    <x v="1"/>
    <s v="DK2_MedSmall"/>
    <x v="0"/>
    <x v="0"/>
    <x v="9"/>
    <x v="9"/>
    <n v="106.62506374533601"/>
    <n v="6486.3580445079697"/>
    <n v="23350.888960228702"/>
  </r>
  <r>
    <x v="0"/>
    <x v="0"/>
    <x v="0"/>
    <x v="0"/>
    <x v="1"/>
    <s v="DK2_MedSmall"/>
    <x v="0"/>
    <x v="0"/>
    <x v="9"/>
    <x v="10"/>
    <n v="106.512352261462"/>
    <n v="6479.5014292389296"/>
    <n v="23326.205145260101"/>
  </r>
  <r>
    <x v="0"/>
    <x v="0"/>
    <x v="0"/>
    <x v="0"/>
    <x v="1"/>
    <s v="DK2_MedSmall"/>
    <x v="0"/>
    <x v="0"/>
    <x v="9"/>
    <x v="11"/>
    <n v="106.174217809838"/>
    <n v="6458.9315834318204"/>
    <n v="23252.1537003546"/>
  </r>
  <r>
    <x v="0"/>
    <x v="0"/>
    <x v="0"/>
    <x v="0"/>
    <x v="1"/>
    <s v="DK2_MedSmall"/>
    <x v="0"/>
    <x v="0"/>
    <x v="10"/>
    <x v="0"/>
    <n v="54.157868001727401"/>
    <n v="3294.6036367717502"/>
    <n v="11860.573092378299"/>
  </r>
  <r>
    <x v="0"/>
    <x v="0"/>
    <x v="0"/>
    <x v="0"/>
    <x v="1"/>
    <s v="DK2_MedSmall"/>
    <x v="0"/>
    <x v="0"/>
    <x v="10"/>
    <x v="1"/>
    <n v="53.199820388793597"/>
    <n v="3236.3224069849498"/>
    <n v="11650.760665145801"/>
  </r>
  <r>
    <x v="0"/>
    <x v="0"/>
    <x v="0"/>
    <x v="0"/>
    <x v="1"/>
    <s v="DK2_MedSmall"/>
    <x v="0"/>
    <x v="0"/>
    <x v="10"/>
    <x v="2"/>
    <n v="52.467195743608997"/>
    <n v="3191.7544077362099"/>
    <n v="11490.315867850401"/>
  </r>
  <r>
    <x v="0"/>
    <x v="0"/>
    <x v="0"/>
    <x v="0"/>
    <x v="1"/>
    <s v="DK2_MedSmall"/>
    <x v="0"/>
    <x v="0"/>
    <x v="10"/>
    <x v="3"/>
    <n v="52.2417727758599"/>
    <n v="3178.0411771981398"/>
    <n v="11440.948237913301"/>
  </r>
  <r>
    <x v="0"/>
    <x v="0"/>
    <x v="0"/>
    <x v="0"/>
    <x v="1"/>
    <s v="DK2_MedSmall"/>
    <x v="0"/>
    <x v="0"/>
    <x v="10"/>
    <x v="4"/>
    <n v="52.523551485546299"/>
    <n v="3195.18271537073"/>
    <n v="11502.657775334599"/>
  </r>
  <r>
    <x v="0"/>
    <x v="0"/>
    <x v="0"/>
    <x v="0"/>
    <x v="1"/>
    <s v="DK2_MedSmall"/>
    <x v="0"/>
    <x v="0"/>
    <x v="10"/>
    <x v="5"/>
    <n v="59.455307743831902"/>
    <n v="3616.8645544164401"/>
    <n v="13020.7123958992"/>
  </r>
  <r>
    <x v="0"/>
    <x v="0"/>
    <x v="0"/>
    <x v="0"/>
    <x v="1"/>
    <s v="DK2_MedSmall"/>
    <x v="0"/>
    <x v="0"/>
    <x v="10"/>
    <x v="6"/>
    <n v="77.827279615385606"/>
    <n v="4734.4928432692896"/>
    <n v="17044.174235769398"/>
  </r>
  <r>
    <x v="0"/>
    <x v="0"/>
    <x v="0"/>
    <x v="0"/>
    <x v="1"/>
    <s v="DK2_MedSmall"/>
    <x v="0"/>
    <x v="0"/>
    <x v="10"/>
    <x v="7"/>
    <n v="97.8899237450578"/>
    <n v="5954.9703611576797"/>
    <n v="21437.8933001677"/>
  </r>
  <r>
    <x v="0"/>
    <x v="0"/>
    <x v="0"/>
    <x v="0"/>
    <x v="1"/>
    <s v="DK2_MedSmall"/>
    <x v="0"/>
    <x v="0"/>
    <x v="10"/>
    <x v="8"/>
    <n v="102.285671616166"/>
    <n v="6222.3783566500797"/>
    <n v="22400.562083940302"/>
  </r>
  <r>
    <x v="0"/>
    <x v="0"/>
    <x v="0"/>
    <x v="0"/>
    <x v="1"/>
    <s v="DK2_MedSmall"/>
    <x v="0"/>
    <x v="0"/>
    <x v="10"/>
    <x v="9"/>
    <n v="104.42718980978201"/>
    <n v="6352.6540467617697"/>
    <n v="22869.554568342399"/>
  </r>
  <r>
    <x v="0"/>
    <x v="0"/>
    <x v="0"/>
    <x v="0"/>
    <x v="1"/>
    <s v="DK2_MedSmall"/>
    <x v="0"/>
    <x v="0"/>
    <x v="10"/>
    <x v="10"/>
    <n v="104.59625703559399"/>
    <n v="6362.9389696653197"/>
    <n v="22906.5802907951"/>
  </r>
  <r>
    <x v="0"/>
    <x v="0"/>
    <x v="0"/>
    <x v="0"/>
    <x v="1"/>
    <s v="DK2_MedSmall"/>
    <x v="0"/>
    <x v="0"/>
    <x v="10"/>
    <x v="11"/>
    <n v="104.089055358159"/>
    <n v="6332.0842009546604"/>
    <n v="22795.5031234368"/>
  </r>
  <r>
    <x v="0"/>
    <x v="0"/>
    <x v="0"/>
    <x v="0"/>
    <x v="1"/>
    <s v="DK2_MedSmall"/>
    <x v="0"/>
    <x v="0"/>
    <x v="11"/>
    <x v="0"/>
    <n v="76.136607357267195"/>
    <n v="4631.6436142337498"/>
    <n v="16673.917011241501"/>
  </r>
  <r>
    <x v="0"/>
    <x v="0"/>
    <x v="0"/>
    <x v="0"/>
    <x v="1"/>
    <s v="DK2_MedSmall"/>
    <x v="0"/>
    <x v="0"/>
    <x v="11"/>
    <x v="1"/>
    <n v="75.291271228207904"/>
    <n v="4580.2189997159803"/>
    <n v="16488.7883989775"/>
  </r>
  <r>
    <x v="0"/>
    <x v="0"/>
    <x v="0"/>
    <x v="0"/>
    <x v="1"/>
    <s v="DK2_MedSmall"/>
    <x v="0"/>
    <x v="0"/>
    <x v="11"/>
    <x v="2"/>
    <n v="74.671358066897895"/>
    <n v="4542.5076157362901"/>
    <n v="16353.027416650601"/>
  </r>
  <r>
    <x v="0"/>
    <x v="0"/>
    <x v="0"/>
    <x v="0"/>
    <x v="1"/>
    <s v="DK2_MedSmall"/>
    <x v="0"/>
    <x v="0"/>
    <x v="11"/>
    <x v="3"/>
    <n v="75.122204002396103"/>
    <n v="4569.9340768124302"/>
    <n v="16451.762676524701"/>
  </r>
  <r>
    <x v="0"/>
    <x v="0"/>
    <x v="0"/>
    <x v="0"/>
    <x v="1"/>
    <s v="DK2_MedSmall"/>
    <x v="0"/>
    <x v="0"/>
    <x v="11"/>
    <x v="4"/>
    <n v="77.320077937950103"/>
    <n v="4703.6380745586303"/>
    <n v="16933.097068411102"/>
  </r>
  <r>
    <x v="0"/>
    <x v="0"/>
    <x v="0"/>
    <x v="0"/>
    <x v="1"/>
    <s v="DK2_MedSmall"/>
    <x v="0"/>
    <x v="0"/>
    <x v="11"/>
    <x v="5"/>
    <n v="78.954394454131304"/>
    <n v="4803.05899595965"/>
    <n v="17291.012385454698"/>
  </r>
  <r>
    <x v="0"/>
    <x v="0"/>
    <x v="0"/>
    <x v="0"/>
    <x v="1"/>
    <s v="DK2_MedSmall"/>
    <x v="0"/>
    <x v="0"/>
    <x v="11"/>
    <x v="6"/>
    <n v="89.2674952286538"/>
    <n v="5430.4392930764398"/>
    <n v="19549.5814550752"/>
  </r>
  <r>
    <x v="0"/>
    <x v="0"/>
    <x v="0"/>
    <x v="0"/>
    <x v="1"/>
    <s v="DK2_MedSmall"/>
    <x v="0"/>
    <x v="0"/>
    <x v="11"/>
    <x v="7"/>
    <n v="99.129750067678003"/>
    <n v="6030.3931291170802"/>
    <n v="21709.415264821499"/>
  </r>
  <r>
    <x v="0"/>
    <x v="0"/>
    <x v="0"/>
    <x v="0"/>
    <x v="1"/>
    <s v="DK2_MedSmall"/>
    <x v="0"/>
    <x v="0"/>
    <x v="11"/>
    <x v="8"/>
    <n v="101.496691229044"/>
    <n v="6174.3820497668303"/>
    <n v="22227.775379160601"/>
  </r>
  <r>
    <x v="0"/>
    <x v="0"/>
    <x v="0"/>
    <x v="0"/>
    <x v="1"/>
    <s v="DK2_MedSmall"/>
    <x v="0"/>
    <x v="0"/>
    <x v="11"/>
    <x v="9"/>
    <n v="102.73651755166399"/>
    <n v="6249.8048177262299"/>
    <n v="22499.2973438144"/>
  </r>
  <r>
    <x v="0"/>
    <x v="0"/>
    <x v="0"/>
    <x v="0"/>
    <x v="1"/>
    <s v="DK2_MedSmall"/>
    <x v="0"/>
    <x v="0"/>
    <x v="11"/>
    <x v="10"/>
    <n v="102.39838310003999"/>
    <n v="6229.2349719191197"/>
    <n v="22425.245898908801"/>
  </r>
  <r>
    <x v="0"/>
    <x v="0"/>
    <x v="0"/>
    <x v="0"/>
    <x v="1"/>
    <s v="DK2_MedSmall"/>
    <x v="0"/>
    <x v="0"/>
    <x v="11"/>
    <x v="11"/>
    <n v="102.454738841978"/>
    <n v="6232.6632795536398"/>
    <n v="22437.587806393101"/>
  </r>
  <r>
    <x v="0"/>
    <x v="0"/>
    <x v="0"/>
    <x v="0"/>
    <x v="1"/>
    <s v="DK2_Medium"/>
    <x v="0"/>
    <x v="0"/>
    <x v="0"/>
    <x v="0"/>
    <n v="201.63812405508401"/>
    <n v="12266.319213351"/>
    <n v="44158.749168063499"/>
  </r>
  <r>
    <x v="0"/>
    <x v="0"/>
    <x v="0"/>
    <x v="0"/>
    <x v="1"/>
    <s v="DK2_Medium"/>
    <x v="0"/>
    <x v="0"/>
    <x v="0"/>
    <x v="1"/>
    <n v="202.920401473559"/>
    <n v="12344.3244229748"/>
    <n v="44439.567922709299"/>
  </r>
  <r>
    <x v="0"/>
    <x v="0"/>
    <x v="0"/>
    <x v="0"/>
    <x v="1"/>
    <s v="DK2_Medium"/>
    <x v="0"/>
    <x v="0"/>
    <x v="0"/>
    <x v="2"/>
    <n v="201.63812405508401"/>
    <n v="12266.319213351"/>
    <n v="44158.749168063499"/>
  </r>
  <r>
    <x v="0"/>
    <x v="0"/>
    <x v="0"/>
    <x v="0"/>
    <x v="1"/>
    <s v="DK2_Medium"/>
    <x v="0"/>
    <x v="0"/>
    <x v="0"/>
    <x v="3"/>
    <n v="201.31755470046599"/>
    <n v="12246.817910944999"/>
    <n v="44088.544479402"/>
  </r>
  <r>
    <x v="0"/>
    <x v="0"/>
    <x v="0"/>
    <x v="0"/>
    <x v="1"/>
    <s v="DK2_Medium"/>
    <x v="0"/>
    <x v="0"/>
    <x v="0"/>
    <x v="4"/>
    <n v="204.523248246652"/>
    <n v="12441.8309350046"/>
    <n v="44790.591366016699"/>
  </r>
  <r>
    <x v="0"/>
    <x v="0"/>
    <x v="0"/>
    <x v="0"/>
    <x v="1"/>
    <s v="DK2_Medium"/>
    <x v="0"/>
    <x v="0"/>
    <x v="0"/>
    <x v="5"/>
    <n v="213.81975953059001"/>
    <n v="13007.3687047776"/>
    <n v="46826.527337199303"/>
  </r>
  <r>
    <x v="0"/>
    <x v="0"/>
    <x v="0"/>
    <x v="0"/>
    <x v="1"/>
    <s v="DK2_Medium"/>
    <x v="0"/>
    <x v="0"/>
    <x v="0"/>
    <x v="6"/>
    <n v="220.55171597757999"/>
    <n v="13416.896055302799"/>
    <n v="48300.825799090097"/>
  </r>
  <r>
    <x v="0"/>
    <x v="0"/>
    <x v="0"/>
    <x v="0"/>
    <x v="1"/>
    <s v="DK2_Medium"/>
    <x v="0"/>
    <x v="0"/>
    <x v="0"/>
    <x v="7"/>
    <n v="223.43684016914699"/>
    <n v="13592.407776956499"/>
    <n v="48932.667997043303"/>
  </r>
  <r>
    <x v="0"/>
    <x v="0"/>
    <x v="0"/>
    <x v="0"/>
    <x v="1"/>
    <s v="DK2_Medium"/>
    <x v="0"/>
    <x v="0"/>
    <x v="0"/>
    <x v="8"/>
    <n v="232.09221274384899"/>
    <n v="14118.942941917499"/>
    <n v="50828.194590902902"/>
  </r>
  <r>
    <x v="0"/>
    <x v="0"/>
    <x v="0"/>
    <x v="0"/>
    <x v="1"/>
    <s v="DK2_Medium"/>
    <x v="0"/>
    <x v="0"/>
    <x v="0"/>
    <x v="9"/>
    <n v="240.74758531855099"/>
    <n v="14645.4781068785"/>
    <n v="52723.721184762602"/>
  </r>
  <r>
    <x v="0"/>
    <x v="0"/>
    <x v="0"/>
    <x v="0"/>
    <x v="1"/>
    <s v="DK2_Medium"/>
    <x v="0"/>
    <x v="0"/>
    <x v="0"/>
    <x v="10"/>
    <n v="242.350432091643"/>
    <n v="14742.9846189083"/>
    <n v="53074.744628069901"/>
  </r>
  <r>
    <x v="0"/>
    <x v="0"/>
    <x v="0"/>
    <x v="0"/>
    <x v="1"/>
    <s v="DK2_Medium"/>
    <x v="0"/>
    <x v="0"/>
    <x v="0"/>
    <x v="11"/>
    <n v="242.02986273702501"/>
    <n v="14723.483316502299"/>
    <n v="53004.539939408402"/>
  </r>
  <r>
    <x v="0"/>
    <x v="0"/>
    <x v="0"/>
    <x v="0"/>
    <x v="1"/>
    <s v="DK2_Medium"/>
    <x v="0"/>
    <x v="0"/>
    <x v="1"/>
    <x v="0"/>
    <n v="162.52866279161799"/>
    <n v="9887.1603198234297"/>
    <n v="35593.777151364397"/>
  </r>
  <r>
    <x v="0"/>
    <x v="0"/>
    <x v="0"/>
    <x v="0"/>
    <x v="1"/>
    <s v="DK2_Medium"/>
    <x v="0"/>
    <x v="0"/>
    <x v="1"/>
    <x v="1"/>
    <n v="157.720122472339"/>
    <n v="9594.6407837339793"/>
    <n v="34540.706821442298"/>
  </r>
  <r>
    <x v="0"/>
    <x v="0"/>
    <x v="0"/>
    <x v="0"/>
    <x v="1"/>
    <s v="DK2_Medium"/>
    <x v="0"/>
    <x v="0"/>
    <x v="1"/>
    <x v="2"/>
    <n v="157.078983763102"/>
    <n v="9555.6381789220504"/>
    <n v="34400.297444119402"/>
  </r>
  <r>
    <x v="0"/>
    <x v="0"/>
    <x v="0"/>
    <x v="0"/>
    <x v="1"/>
    <s v="DK2_Medium"/>
    <x v="0"/>
    <x v="0"/>
    <x v="1"/>
    <x v="3"/>
    <n v="155.15556763539101"/>
    <n v="9438.6303644862692"/>
    <n v="33979.069312150597"/>
  </r>
  <r>
    <x v="0"/>
    <x v="0"/>
    <x v="0"/>
    <x v="0"/>
    <x v="1"/>
    <s v="DK2_Medium"/>
    <x v="0"/>
    <x v="0"/>
    <x v="1"/>
    <x v="4"/>
    <n v="158.36126118157699"/>
    <n v="9633.6433885459101"/>
    <n v="34681.116198765303"/>
  </r>
  <r>
    <x v="0"/>
    <x v="0"/>
    <x v="0"/>
    <x v="0"/>
    <x v="1"/>
    <s v="DK2_Medium"/>
    <x v="0"/>
    <x v="0"/>
    <x v="1"/>
    <x v="5"/>
    <n v="184.64794826030001"/>
    <n v="11232.750185834901"/>
    <n v="40437.900669005699"/>
  </r>
  <r>
    <x v="0"/>
    <x v="0"/>
    <x v="0"/>
    <x v="0"/>
    <x v="1"/>
    <s v="DK2_Medium"/>
    <x v="0"/>
    <x v="0"/>
    <x v="1"/>
    <x v="6"/>
    <n v="211.89634340287901"/>
    <n v="12890.360890341801"/>
    <n v="46405.299205230498"/>
  </r>
  <r>
    <x v="0"/>
    <x v="0"/>
    <x v="0"/>
    <x v="0"/>
    <x v="1"/>
    <s v="DK2_Medium"/>
    <x v="0"/>
    <x v="0"/>
    <x v="1"/>
    <x v="7"/>
    <n v="224.398548233003"/>
    <n v="13650.9116841744"/>
    <n v="49143.282063027698"/>
  </r>
  <r>
    <x v="0"/>
    <x v="0"/>
    <x v="0"/>
    <x v="0"/>
    <x v="1"/>
    <s v="DK2_Medium"/>
    <x v="0"/>
    <x v="0"/>
    <x v="1"/>
    <x v="8"/>
    <n v="229.5276579069"/>
    <n v="13962.9325226698"/>
    <n v="50266.557081611201"/>
  </r>
  <r>
    <x v="0"/>
    <x v="0"/>
    <x v="0"/>
    <x v="0"/>
    <x v="1"/>
    <s v="DK2_Medium"/>
    <x v="0"/>
    <x v="0"/>
    <x v="1"/>
    <x v="9"/>
    <n v="230.80993532537499"/>
    <n v="14040.9377322936"/>
    <n v="50547.375836257102"/>
  </r>
  <r>
    <x v="0"/>
    <x v="0"/>
    <x v="0"/>
    <x v="0"/>
    <x v="1"/>
    <s v="DK2_Medium"/>
    <x v="0"/>
    <x v="0"/>
    <x v="1"/>
    <x v="10"/>
    <n v="233.37449016232301"/>
    <n v="14196.948151541301"/>
    <n v="51109.013345548803"/>
  </r>
  <r>
    <x v="0"/>
    <x v="0"/>
    <x v="0"/>
    <x v="0"/>
    <x v="1"/>
    <s v="DK2_Medium"/>
    <x v="0"/>
    <x v="0"/>
    <x v="1"/>
    <x v="11"/>
    <n v="234.01562887156001"/>
    <n v="14235.950756353301"/>
    <n v="51249.422722871801"/>
  </r>
  <r>
    <x v="0"/>
    <x v="0"/>
    <x v="0"/>
    <x v="0"/>
    <x v="1"/>
    <s v="DK2_Medium"/>
    <x v="0"/>
    <x v="0"/>
    <x v="2"/>
    <x v="0"/>
    <n v="221.513424041436"/>
    <n v="13475.3999625207"/>
    <n v="48511.439865074499"/>
  </r>
  <r>
    <x v="0"/>
    <x v="0"/>
    <x v="0"/>
    <x v="0"/>
    <x v="1"/>
    <s v="DK2_Medium"/>
    <x v="0"/>
    <x v="0"/>
    <x v="2"/>
    <x v="1"/>
    <n v="218.30773049525001"/>
    <n v="13280.386938461101"/>
    <n v="47809.3929784598"/>
  </r>
  <r>
    <x v="0"/>
    <x v="0"/>
    <x v="0"/>
    <x v="0"/>
    <x v="1"/>
    <s v="DK2_Medium"/>
    <x v="0"/>
    <x v="0"/>
    <x v="2"/>
    <x v="2"/>
    <n v="219.91057726834299"/>
    <n v="13377.893450490899"/>
    <n v="48160.416421767201"/>
  </r>
  <r>
    <x v="0"/>
    <x v="0"/>
    <x v="0"/>
    <x v="0"/>
    <x v="1"/>
    <s v="DK2_Medium"/>
    <x v="0"/>
    <x v="0"/>
    <x v="2"/>
    <x v="3"/>
    <n v="211.89634340287901"/>
    <n v="12890.360890341801"/>
    <n v="46405.299205230498"/>
  </r>
  <r>
    <x v="0"/>
    <x v="0"/>
    <x v="0"/>
    <x v="0"/>
    <x v="1"/>
    <s v="DK2_Medium"/>
    <x v="0"/>
    <x v="0"/>
    <x v="2"/>
    <x v="4"/>
    <n v="204.523248246652"/>
    <n v="12441.8309350046"/>
    <n v="44790.591366016699"/>
  </r>
  <r>
    <x v="0"/>
    <x v="0"/>
    <x v="0"/>
    <x v="0"/>
    <x v="1"/>
    <s v="DK2_Medium"/>
    <x v="0"/>
    <x v="0"/>
    <x v="2"/>
    <x v="5"/>
    <n v="209.972927275167"/>
    <n v="12773.353075906"/>
    <n v="45984.071073261599"/>
  </r>
  <r>
    <x v="0"/>
    <x v="0"/>
    <x v="0"/>
    <x v="0"/>
    <x v="1"/>
    <s v="DK2_Medium"/>
    <x v="0"/>
    <x v="0"/>
    <x v="2"/>
    <x v="6"/>
    <n v="229.5276579069"/>
    <n v="13962.9325226698"/>
    <n v="50266.557081611201"/>
  </r>
  <r>
    <x v="0"/>
    <x v="0"/>
    <x v="0"/>
    <x v="0"/>
    <x v="1"/>
    <s v="DK2_Medium"/>
    <x v="0"/>
    <x v="0"/>
    <x v="2"/>
    <x v="7"/>
    <n v="248.120680474778"/>
    <n v="15094.0080622157"/>
    <n v="54338.4290239763"/>
  </r>
  <r>
    <x v="0"/>
    <x v="0"/>
    <x v="0"/>
    <x v="0"/>
    <x v="1"/>
    <s v="DK2_Medium"/>
    <x v="0"/>
    <x v="0"/>
    <x v="2"/>
    <x v="8"/>
    <n v="253.249790148675"/>
    <n v="15406.028900711101"/>
    <n v="55461.704042559802"/>
  </r>
  <r>
    <x v="0"/>
    <x v="0"/>
    <x v="0"/>
    <x v="0"/>
    <x v="1"/>
    <s v="DK2_Medium"/>
    <x v="0"/>
    <x v="0"/>
    <x v="2"/>
    <x v="9"/>
    <n v="259.34060788642802"/>
    <n v="15776.5536464244"/>
    <n v="56795.5931271277"/>
  </r>
  <r>
    <x v="0"/>
    <x v="0"/>
    <x v="0"/>
    <x v="0"/>
    <x v="1"/>
    <s v="DK2_Medium"/>
    <x v="0"/>
    <x v="0"/>
    <x v="2"/>
    <x v="10"/>
    <n v="259.98174659566502"/>
    <n v="15815.556251236299"/>
    <n v="56936.002504450698"/>
  </r>
  <r>
    <x v="0"/>
    <x v="0"/>
    <x v="0"/>
    <x v="0"/>
    <x v="1"/>
    <s v="DK2_Medium"/>
    <x v="0"/>
    <x v="0"/>
    <x v="2"/>
    <x v="11"/>
    <n v="259.34060788642802"/>
    <n v="15776.5536464244"/>
    <n v="56795.5931271277"/>
  </r>
  <r>
    <x v="0"/>
    <x v="0"/>
    <x v="0"/>
    <x v="0"/>
    <x v="1"/>
    <s v="DK2_Medium"/>
    <x v="0"/>
    <x v="0"/>
    <x v="3"/>
    <x v="0"/>
    <n v="204.523248246652"/>
    <n v="12441.8309350046"/>
    <n v="44790.591366016699"/>
  </r>
  <r>
    <x v="0"/>
    <x v="0"/>
    <x v="0"/>
    <x v="0"/>
    <x v="1"/>
    <s v="DK2_Medium"/>
    <x v="0"/>
    <x v="0"/>
    <x v="3"/>
    <x v="1"/>
    <n v="203.24097082817701"/>
    <n v="12363.825725380801"/>
    <n v="44509.772611370798"/>
  </r>
  <r>
    <x v="0"/>
    <x v="0"/>
    <x v="0"/>
    <x v="0"/>
    <x v="1"/>
    <s v="DK2_Medium"/>
    <x v="0"/>
    <x v="0"/>
    <x v="3"/>
    <x v="2"/>
    <n v="203.24097082817701"/>
    <n v="12363.825725380801"/>
    <n v="44509.772611370798"/>
  </r>
  <r>
    <x v="0"/>
    <x v="0"/>
    <x v="0"/>
    <x v="0"/>
    <x v="1"/>
    <s v="DK2_Medium"/>
    <x v="0"/>
    <x v="0"/>
    <x v="3"/>
    <x v="3"/>
    <n v="200.35584663661001"/>
    <n v="12188.3140037271"/>
    <n v="43877.930413417598"/>
  </r>
  <r>
    <x v="0"/>
    <x v="0"/>
    <x v="0"/>
    <x v="0"/>
    <x v="1"/>
    <s v="DK2_Medium"/>
    <x v="0"/>
    <x v="0"/>
    <x v="3"/>
    <x v="4"/>
    <n v="202.279262764321"/>
    <n v="12305.3218181629"/>
    <n v="44299.158545386403"/>
  </r>
  <r>
    <x v="0"/>
    <x v="0"/>
    <x v="0"/>
    <x v="0"/>
    <x v="1"/>
    <s v="DK2_Medium"/>
    <x v="0"/>
    <x v="0"/>
    <x v="3"/>
    <x v="5"/>
    <n v="208.690649856693"/>
    <n v="12695.3478662822"/>
    <n v="45703.2523186158"/>
  </r>
  <r>
    <x v="0"/>
    <x v="0"/>
    <x v="0"/>
    <x v="0"/>
    <x v="1"/>
    <s v="DK2_Medium"/>
    <x v="0"/>
    <x v="0"/>
    <x v="3"/>
    <x v="6"/>
    <n v="224.71911758762201"/>
    <n v="13670.412986580301"/>
    <n v="49213.486751689197"/>
  </r>
  <r>
    <x v="0"/>
    <x v="0"/>
    <x v="0"/>
    <x v="0"/>
    <x v="1"/>
    <s v="DK2_Medium"/>
    <x v="0"/>
    <x v="0"/>
    <x v="3"/>
    <x v="7"/>
    <n v="230.80993532537499"/>
    <n v="14040.9377322936"/>
    <n v="50547.375836257102"/>
  </r>
  <r>
    <x v="0"/>
    <x v="0"/>
    <x v="0"/>
    <x v="0"/>
    <x v="1"/>
    <s v="DK2_Medium"/>
    <x v="0"/>
    <x v="0"/>
    <x v="3"/>
    <x v="8"/>
    <n v="244.27384821935499"/>
    <n v="14859.992433344099"/>
    <n v="53495.972760038698"/>
  </r>
  <r>
    <x v="0"/>
    <x v="0"/>
    <x v="0"/>
    <x v="0"/>
    <x v="1"/>
    <s v="DK2_Medium"/>
    <x v="0"/>
    <x v="0"/>
    <x v="3"/>
    <x v="9"/>
    <n v="246.19726434706601"/>
    <n v="14977.000247779901"/>
    <n v="53917.200892007502"/>
  </r>
  <r>
    <x v="0"/>
    <x v="0"/>
    <x v="0"/>
    <x v="0"/>
    <x v="1"/>
    <s v="DK2_Medium"/>
    <x v="0"/>
    <x v="0"/>
    <x v="3"/>
    <x v="10"/>
    <n v="247.479541765541"/>
    <n v="15055.0054574037"/>
    <n v="54198.019646653403"/>
  </r>
  <r>
    <x v="0"/>
    <x v="0"/>
    <x v="0"/>
    <x v="0"/>
    <x v="1"/>
    <s v="DK2_Medium"/>
    <x v="0"/>
    <x v="0"/>
    <x v="3"/>
    <x v="11"/>
    <n v="246.51783370168499"/>
    <n v="14996.5015501858"/>
    <n v="53987.405580669001"/>
  </r>
  <r>
    <x v="0"/>
    <x v="0"/>
    <x v="0"/>
    <x v="0"/>
    <x v="1"/>
    <s v="DK2_Medium"/>
    <x v="0"/>
    <x v="0"/>
    <x v="4"/>
    <x v="0"/>
    <n v="185.28908696953701"/>
    <n v="11271.7527906468"/>
    <n v="40578.310046328603"/>
  </r>
  <r>
    <x v="0"/>
    <x v="0"/>
    <x v="0"/>
    <x v="0"/>
    <x v="1"/>
    <s v="DK2_Medium"/>
    <x v="0"/>
    <x v="0"/>
    <x v="4"/>
    <x v="1"/>
    <n v="189.13591922495999"/>
    <n v="11505.768419518399"/>
    <n v="41420.766310266197"/>
  </r>
  <r>
    <x v="0"/>
    <x v="0"/>
    <x v="0"/>
    <x v="0"/>
    <x v="1"/>
    <s v="DK2_Medium"/>
    <x v="0"/>
    <x v="0"/>
    <x v="4"/>
    <x v="2"/>
    <n v="192.02104341652699"/>
    <n v="11681.280141172099"/>
    <n v="42052.608508219397"/>
  </r>
  <r>
    <x v="0"/>
    <x v="0"/>
    <x v="0"/>
    <x v="0"/>
    <x v="1"/>
    <s v="DK2_Medium"/>
    <x v="0"/>
    <x v="0"/>
    <x v="4"/>
    <x v="3"/>
    <n v="193.94445954423799"/>
    <n v="11798.287955607801"/>
    <n v="42473.836640188201"/>
  </r>
  <r>
    <x v="0"/>
    <x v="0"/>
    <x v="0"/>
    <x v="0"/>
    <x v="1"/>
    <s v="DK2_Medium"/>
    <x v="0"/>
    <x v="0"/>
    <x v="4"/>
    <x v="4"/>
    <n v="202.59983211893999"/>
    <n v="12324.823120568901"/>
    <n v="44369.363234047902"/>
  </r>
  <r>
    <x v="0"/>
    <x v="0"/>
    <x v="0"/>
    <x v="0"/>
    <x v="1"/>
    <s v="DK2_Medium"/>
    <x v="0"/>
    <x v="0"/>
    <x v="4"/>
    <x v="5"/>
    <n v="210.61406598440399"/>
    <n v="12812.355680717899"/>
    <n v="46124.480450584597"/>
  </r>
  <r>
    <x v="0"/>
    <x v="0"/>
    <x v="0"/>
    <x v="0"/>
    <x v="1"/>
    <s v="DK2_Medium"/>
    <x v="0"/>
    <x v="0"/>
    <x v="4"/>
    <x v="6"/>
    <n v="225.68082565147799"/>
    <n v="13728.916893798199"/>
    <n v="49424.1008176736"/>
  </r>
  <r>
    <x v="0"/>
    <x v="0"/>
    <x v="0"/>
    <x v="0"/>
    <x v="1"/>
    <s v="DK2_Medium"/>
    <x v="0"/>
    <x v="0"/>
    <x v="4"/>
    <x v="7"/>
    <n v="233.053920807705"/>
    <n v="14177.4468491354"/>
    <n v="51038.808656887399"/>
  </r>
  <r>
    <x v="0"/>
    <x v="0"/>
    <x v="0"/>
    <x v="0"/>
    <x v="1"/>
    <s v="DK2_Medium"/>
    <x v="0"/>
    <x v="0"/>
    <x v="4"/>
    <x v="8"/>
    <n v="248.44124982939601"/>
    <n v="15113.509364621599"/>
    <n v="54408.633712637798"/>
  </r>
  <r>
    <x v="0"/>
    <x v="0"/>
    <x v="0"/>
    <x v="0"/>
    <x v="1"/>
    <s v="DK2_Medium"/>
    <x v="0"/>
    <x v="0"/>
    <x v="4"/>
    <x v="9"/>
    <n v="251.005804666345"/>
    <n v="15269.5197838693"/>
    <n v="54970.271221929601"/>
  </r>
  <r>
    <x v="0"/>
    <x v="0"/>
    <x v="0"/>
    <x v="0"/>
    <x v="1"/>
    <s v="DK2_Medium"/>
    <x v="0"/>
    <x v="0"/>
    <x v="4"/>
    <x v="10"/>
    <n v="252.288082084819"/>
    <n v="15347.5249934932"/>
    <n v="55251.0899765754"/>
  </r>
  <r>
    <x v="0"/>
    <x v="0"/>
    <x v="0"/>
    <x v="0"/>
    <x v="1"/>
    <s v="DK2_Medium"/>
    <x v="0"/>
    <x v="0"/>
    <x v="4"/>
    <x v="11"/>
    <n v="249.40295789325199"/>
    <n v="15172.0132718395"/>
    <n v="54619.247778622201"/>
  </r>
  <r>
    <x v="0"/>
    <x v="0"/>
    <x v="0"/>
    <x v="0"/>
    <x v="1"/>
    <s v="DK2_Medium"/>
    <x v="0"/>
    <x v="0"/>
    <x v="5"/>
    <x v="0"/>
    <n v="211.89634340287901"/>
    <n v="12890.360890341801"/>
    <n v="46405.299205230498"/>
  </r>
  <r>
    <x v="0"/>
    <x v="0"/>
    <x v="0"/>
    <x v="0"/>
    <x v="1"/>
    <s v="DK2_Medium"/>
    <x v="0"/>
    <x v="0"/>
    <x v="5"/>
    <x v="1"/>
    <n v="210.29349662978601"/>
    <n v="12792.854378312"/>
    <n v="46054.275761923098"/>
  </r>
  <r>
    <x v="0"/>
    <x v="0"/>
    <x v="0"/>
    <x v="0"/>
    <x v="1"/>
    <s v="DK2_Medium"/>
    <x v="0"/>
    <x v="0"/>
    <x v="5"/>
    <x v="2"/>
    <n v="205.805525665126"/>
    <n v="12519.8361446285"/>
    <n v="45071.4101206626"/>
  </r>
  <r>
    <x v="0"/>
    <x v="0"/>
    <x v="0"/>
    <x v="0"/>
    <x v="1"/>
    <s v="DK2_Medium"/>
    <x v="0"/>
    <x v="0"/>
    <x v="5"/>
    <x v="3"/>
    <n v="203.88210953741401"/>
    <n v="12402.8283301927"/>
    <n v="44650.181988693803"/>
  </r>
  <r>
    <x v="0"/>
    <x v="0"/>
    <x v="0"/>
    <x v="0"/>
    <x v="1"/>
    <s v="DK2_Medium"/>
    <x v="0"/>
    <x v="0"/>
    <x v="5"/>
    <x v="4"/>
    <n v="204.20267889203299"/>
    <n v="12422.329632598699"/>
    <n v="44720.3866773552"/>
  </r>
  <r>
    <x v="0"/>
    <x v="0"/>
    <x v="0"/>
    <x v="0"/>
    <x v="1"/>
    <s v="DK2_Medium"/>
    <x v="0"/>
    <x v="0"/>
    <x v="5"/>
    <x v="5"/>
    <n v="195.22673696271301"/>
    <n v="11876.2931652317"/>
    <n v="42754.655394834102"/>
  </r>
  <r>
    <x v="0"/>
    <x v="0"/>
    <x v="0"/>
    <x v="0"/>
    <x v="1"/>
    <s v="DK2_Medium"/>
    <x v="0"/>
    <x v="0"/>
    <x v="5"/>
    <x v="6"/>
    <n v="198.43243050889899"/>
    <n v="12071.306189291299"/>
    <n v="43456.702281448801"/>
  </r>
  <r>
    <x v="0"/>
    <x v="0"/>
    <x v="0"/>
    <x v="0"/>
    <x v="1"/>
    <s v="DK2_Medium"/>
    <x v="0"/>
    <x v="0"/>
    <x v="5"/>
    <x v="7"/>
    <n v="206.12609501974401"/>
    <n v="12539.337447034401"/>
    <n v="45141.614809323997"/>
  </r>
  <r>
    <x v="0"/>
    <x v="0"/>
    <x v="0"/>
    <x v="0"/>
    <x v="1"/>
    <s v="DK2_Medium"/>
    <x v="0"/>
    <x v="0"/>
    <x v="5"/>
    <x v="8"/>
    <n v="218.94886920448701"/>
    <n v="13319.389543273001"/>
    <n v="47949.802355782798"/>
  </r>
  <r>
    <x v="0"/>
    <x v="0"/>
    <x v="0"/>
    <x v="0"/>
    <x v="1"/>
    <s v="DK2_Medium"/>
    <x v="0"/>
    <x v="0"/>
    <x v="5"/>
    <x v="9"/>
    <n v="221.513424041436"/>
    <n v="13475.3999625207"/>
    <n v="48511.439865074499"/>
  </r>
  <r>
    <x v="0"/>
    <x v="0"/>
    <x v="0"/>
    <x v="0"/>
    <x v="1"/>
    <s v="DK2_Medium"/>
    <x v="0"/>
    <x v="0"/>
    <x v="5"/>
    <x v="10"/>
    <n v="220.55171597757999"/>
    <n v="13416.896055302799"/>
    <n v="48300.825799090097"/>
  </r>
  <r>
    <x v="0"/>
    <x v="0"/>
    <x v="0"/>
    <x v="0"/>
    <x v="1"/>
    <s v="DK2_Medium"/>
    <x v="0"/>
    <x v="0"/>
    <x v="5"/>
    <x v="11"/>
    <n v="219.91057726834299"/>
    <n v="13377.893450490899"/>
    <n v="48160.416421767201"/>
  </r>
  <r>
    <x v="0"/>
    <x v="0"/>
    <x v="0"/>
    <x v="0"/>
    <x v="1"/>
    <s v="DK2_Medium"/>
    <x v="0"/>
    <x v="0"/>
    <x v="6"/>
    <x v="0"/>
    <n v="185.60965632415599"/>
    <n v="11291.254093052799"/>
    <n v="40648.514734990102"/>
  </r>
  <r>
    <x v="0"/>
    <x v="0"/>
    <x v="0"/>
    <x v="0"/>
    <x v="1"/>
    <s v="DK2_Medium"/>
    <x v="0"/>
    <x v="0"/>
    <x v="6"/>
    <x v="1"/>
    <n v="182.40396277797001"/>
    <n v="11096.2410689932"/>
    <n v="39946.467848375403"/>
  </r>
  <r>
    <x v="0"/>
    <x v="0"/>
    <x v="0"/>
    <x v="0"/>
    <x v="1"/>
    <s v="DK2_Medium"/>
    <x v="0"/>
    <x v="0"/>
    <x v="6"/>
    <x v="2"/>
    <n v="180.15997729564"/>
    <n v="10959.7319521514"/>
    <n v="39455.0350277451"/>
  </r>
  <r>
    <x v="0"/>
    <x v="0"/>
    <x v="0"/>
    <x v="0"/>
    <x v="1"/>
    <s v="DK2_Medium"/>
    <x v="0"/>
    <x v="0"/>
    <x v="6"/>
    <x v="3"/>
    <n v="178.23656116792799"/>
    <n v="10842.724137715601"/>
    <n v="39033.806895776303"/>
  </r>
  <r>
    <x v="0"/>
    <x v="0"/>
    <x v="0"/>
    <x v="0"/>
    <x v="1"/>
    <s v="DK2_Medium"/>
    <x v="0"/>
    <x v="0"/>
    <x v="6"/>
    <x v="4"/>
    <n v="176.63371439483501"/>
    <n v="10745.2176256858"/>
    <n v="38682.783452468902"/>
  </r>
  <r>
    <x v="0"/>
    <x v="0"/>
    <x v="0"/>
    <x v="0"/>
    <x v="1"/>
    <s v="DK2_Medium"/>
    <x v="0"/>
    <x v="0"/>
    <x v="6"/>
    <x v="5"/>
    <n v="182.40396277797001"/>
    <n v="11096.2410689932"/>
    <n v="39946.467848375403"/>
  </r>
  <r>
    <x v="0"/>
    <x v="0"/>
    <x v="0"/>
    <x v="0"/>
    <x v="1"/>
    <s v="DK2_Medium"/>
    <x v="0"/>
    <x v="0"/>
    <x v="6"/>
    <x v="6"/>
    <n v="217.987161140632"/>
    <n v="13260.8856360551"/>
    <n v="47739.188289798301"/>
  </r>
  <r>
    <x v="0"/>
    <x v="0"/>
    <x v="0"/>
    <x v="0"/>
    <x v="1"/>
    <s v="DK2_Medium"/>
    <x v="0"/>
    <x v="0"/>
    <x v="6"/>
    <x v="7"/>
    <n v="231.77164338923001"/>
    <n v="14099.4416395115"/>
    <n v="50757.989902241497"/>
  </r>
  <r>
    <x v="0"/>
    <x v="0"/>
    <x v="0"/>
    <x v="0"/>
    <x v="1"/>
    <s v="DK2_Medium"/>
    <x v="0"/>
    <x v="0"/>
    <x v="6"/>
    <x v="8"/>
    <n v="248.44124982939601"/>
    <n v="15113.509364621599"/>
    <n v="54408.633712637798"/>
  </r>
  <r>
    <x v="0"/>
    <x v="0"/>
    <x v="0"/>
    <x v="0"/>
    <x v="1"/>
    <s v="DK2_Medium"/>
    <x v="0"/>
    <x v="0"/>
    <x v="6"/>
    <x v="9"/>
    <n v="249.08238853863401"/>
    <n v="15152.511969433501"/>
    <n v="54549.043089960804"/>
  </r>
  <r>
    <x v="0"/>
    <x v="0"/>
    <x v="0"/>
    <x v="0"/>
    <x v="1"/>
    <s v="DK2_Medium"/>
    <x v="0"/>
    <x v="0"/>
    <x v="6"/>
    <x v="10"/>
    <n v="250.68523531172599"/>
    <n v="15250.018481463399"/>
    <n v="54900.066533268102"/>
  </r>
  <r>
    <x v="0"/>
    <x v="0"/>
    <x v="0"/>
    <x v="0"/>
    <x v="1"/>
    <s v="DK2_Medium"/>
    <x v="0"/>
    <x v="0"/>
    <x v="6"/>
    <x v="11"/>
    <n v="249.40295789325199"/>
    <n v="15172.0132718395"/>
    <n v="54619.247778622201"/>
  </r>
  <r>
    <x v="0"/>
    <x v="0"/>
    <x v="0"/>
    <x v="0"/>
    <x v="1"/>
    <s v="DK2_Medium"/>
    <x v="0"/>
    <x v="0"/>
    <x v="7"/>
    <x v="0"/>
    <n v="195.86787567195"/>
    <n v="11915.2957700436"/>
    <n v="42895.064772156999"/>
  </r>
  <r>
    <x v="0"/>
    <x v="0"/>
    <x v="0"/>
    <x v="0"/>
    <x v="1"/>
    <s v="DK2_Medium"/>
    <x v="0"/>
    <x v="0"/>
    <x v="7"/>
    <x v="1"/>
    <n v="193.94445954423799"/>
    <n v="11798.287955607801"/>
    <n v="42473.836640188201"/>
  </r>
  <r>
    <x v="0"/>
    <x v="0"/>
    <x v="0"/>
    <x v="0"/>
    <x v="1"/>
    <s v="DK2_Medium"/>
    <x v="0"/>
    <x v="0"/>
    <x v="7"/>
    <x v="2"/>
    <n v="191.37990470729"/>
    <n v="11642.277536360099"/>
    <n v="41912.199130896501"/>
  </r>
  <r>
    <x v="0"/>
    <x v="0"/>
    <x v="0"/>
    <x v="0"/>
    <x v="1"/>
    <s v="DK2_Medium"/>
    <x v="0"/>
    <x v="0"/>
    <x v="7"/>
    <x v="3"/>
    <n v="199.71470792737301"/>
    <n v="12149.311398915201"/>
    <n v="43737.521036094702"/>
  </r>
  <r>
    <x v="0"/>
    <x v="0"/>
    <x v="0"/>
    <x v="0"/>
    <x v="1"/>
    <s v="DK2_Medium"/>
    <x v="0"/>
    <x v="0"/>
    <x v="7"/>
    <x v="4"/>
    <n v="200.035277281991"/>
    <n v="12168.8127013211"/>
    <n v="43807.725724756099"/>
  </r>
  <r>
    <x v="0"/>
    <x v="0"/>
    <x v="0"/>
    <x v="0"/>
    <x v="1"/>
    <s v="DK2_Medium"/>
    <x v="0"/>
    <x v="0"/>
    <x v="7"/>
    <x v="5"/>
    <n v="207.408372438219"/>
    <n v="12617.3426566583"/>
    <n v="45422.433563969898"/>
  </r>
  <r>
    <x v="0"/>
    <x v="0"/>
    <x v="0"/>
    <x v="0"/>
    <x v="1"/>
    <s v="DK2_Medium"/>
    <x v="0"/>
    <x v="0"/>
    <x v="7"/>
    <x v="6"/>
    <n v="226.001395006096"/>
    <n v="13748.4181962042"/>
    <n v="49494.305506334997"/>
  </r>
  <r>
    <x v="0"/>
    <x v="0"/>
    <x v="0"/>
    <x v="0"/>
    <x v="1"/>
    <s v="DK2_Medium"/>
    <x v="0"/>
    <x v="0"/>
    <x v="7"/>
    <x v="7"/>
    <n v="233.37449016232301"/>
    <n v="14196.948151541301"/>
    <n v="51109.013345548803"/>
  </r>
  <r>
    <x v="0"/>
    <x v="0"/>
    <x v="0"/>
    <x v="0"/>
    <x v="1"/>
    <s v="DK2_Medium"/>
    <x v="0"/>
    <x v="0"/>
    <x v="7"/>
    <x v="8"/>
    <n v="248.44124982939601"/>
    <n v="15113.509364621599"/>
    <n v="54408.633712637798"/>
  </r>
  <r>
    <x v="0"/>
    <x v="0"/>
    <x v="0"/>
    <x v="0"/>
    <x v="1"/>
    <s v="DK2_Medium"/>
    <x v="0"/>
    <x v="0"/>
    <x v="7"/>
    <x v="9"/>
    <n v="252.60865143943801"/>
    <n v="15367.026295899101"/>
    <n v="55321.294665236899"/>
  </r>
  <r>
    <x v="0"/>
    <x v="0"/>
    <x v="0"/>
    <x v="0"/>
    <x v="1"/>
    <s v="DK2_Medium"/>
    <x v="0"/>
    <x v="0"/>
    <x v="7"/>
    <x v="10"/>
    <n v="250.364665957108"/>
    <n v="15230.5171790574"/>
    <n v="54829.861844606603"/>
  </r>
  <r>
    <x v="0"/>
    <x v="0"/>
    <x v="0"/>
    <x v="0"/>
    <x v="1"/>
    <s v="DK2_Medium"/>
    <x v="0"/>
    <x v="0"/>
    <x v="7"/>
    <x v="11"/>
    <n v="249.08238853863401"/>
    <n v="15152.511969433501"/>
    <n v="54549.043089960804"/>
  </r>
  <r>
    <x v="0"/>
    <x v="0"/>
    <x v="0"/>
    <x v="0"/>
    <x v="1"/>
    <s v="DK2_Medium"/>
    <x v="0"/>
    <x v="0"/>
    <x v="8"/>
    <x v="0"/>
    <n v="201.31755470046599"/>
    <n v="12246.817910944999"/>
    <n v="44088.544479402"/>
  </r>
  <r>
    <x v="0"/>
    <x v="0"/>
    <x v="0"/>
    <x v="0"/>
    <x v="1"/>
    <s v="DK2_Medium"/>
    <x v="0"/>
    <x v="0"/>
    <x v="8"/>
    <x v="1"/>
    <n v="197.791291799661"/>
    <n v="12032.303584479399"/>
    <n v="43316.292904125898"/>
  </r>
  <r>
    <x v="0"/>
    <x v="0"/>
    <x v="0"/>
    <x v="0"/>
    <x v="1"/>
    <s v="DK2_Medium"/>
    <x v="0"/>
    <x v="0"/>
    <x v="8"/>
    <x v="2"/>
    <n v="198.752999863517"/>
    <n v="12090.8074916973"/>
    <n v="43526.9069701103"/>
  </r>
  <r>
    <x v="0"/>
    <x v="0"/>
    <x v="0"/>
    <x v="0"/>
    <x v="1"/>
    <s v="DK2_Medium"/>
    <x v="0"/>
    <x v="0"/>
    <x v="8"/>
    <x v="3"/>
    <n v="197.47072244504301"/>
    <n v="12012.8022820734"/>
    <n v="43246.088215464399"/>
  </r>
  <r>
    <x v="0"/>
    <x v="0"/>
    <x v="0"/>
    <x v="0"/>
    <x v="1"/>
    <s v="DK2_Medium"/>
    <x v="0"/>
    <x v="0"/>
    <x v="8"/>
    <x v="4"/>
    <n v="198.43243050889899"/>
    <n v="12071.306189291299"/>
    <n v="43456.702281448801"/>
  </r>
  <r>
    <x v="0"/>
    <x v="0"/>
    <x v="0"/>
    <x v="0"/>
    <x v="1"/>
    <s v="DK2_Medium"/>
    <x v="0"/>
    <x v="0"/>
    <x v="8"/>
    <x v="5"/>
    <n v="205.805525665126"/>
    <n v="12519.8361446285"/>
    <n v="45071.4101206626"/>
  </r>
  <r>
    <x v="0"/>
    <x v="0"/>
    <x v="0"/>
    <x v="0"/>
    <x v="1"/>
    <s v="DK2_Medium"/>
    <x v="0"/>
    <x v="0"/>
    <x v="8"/>
    <x v="6"/>
    <n v="218.94886920448701"/>
    <n v="13319.389543273001"/>
    <n v="47949.802355782798"/>
  </r>
  <r>
    <x v="0"/>
    <x v="0"/>
    <x v="0"/>
    <x v="0"/>
    <x v="1"/>
    <s v="DK2_Medium"/>
    <x v="0"/>
    <x v="0"/>
    <x v="8"/>
    <x v="7"/>
    <n v="227.28367242457"/>
    <n v="13826.423405828"/>
    <n v="49775.124260980898"/>
  </r>
  <r>
    <x v="0"/>
    <x v="0"/>
    <x v="0"/>
    <x v="0"/>
    <x v="1"/>
    <s v="DK2_Medium"/>
    <x v="0"/>
    <x v="0"/>
    <x v="8"/>
    <x v="8"/>
    <n v="247.15897241092199"/>
    <n v="15035.5041549978"/>
    <n v="54127.814957991897"/>
  </r>
  <r>
    <x v="0"/>
    <x v="0"/>
    <x v="0"/>
    <x v="0"/>
    <x v="1"/>
    <s v="DK2_Medium"/>
    <x v="0"/>
    <x v="0"/>
    <x v="8"/>
    <x v="9"/>
    <n v="252.288082084819"/>
    <n v="15347.5249934932"/>
    <n v="55251.0899765754"/>
  </r>
  <r>
    <x v="0"/>
    <x v="0"/>
    <x v="0"/>
    <x v="0"/>
    <x v="1"/>
    <s v="DK2_Medium"/>
    <x v="0"/>
    <x v="0"/>
    <x v="8"/>
    <x v="10"/>
    <n v="251.32637402096401"/>
    <n v="15289.021086275299"/>
    <n v="55040.475910590998"/>
  </r>
  <r>
    <x v="0"/>
    <x v="0"/>
    <x v="0"/>
    <x v="0"/>
    <x v="1"/>
    <s v="DK2_Medium"/>
    <x v="0"/>
    <x v="0"/>
    <x v="8"/>
    <x v="11"/>
    <n v="249.40295789325199"/>
    <n v="15172.0132718395"/>
    <n v="54619.247778622201"/>
  </r>
  <r>
    <x v="0"/>
    <x v="0"/>
    <x v="0"/>
    <x v="0"/>
    <x v="1"/>
    <s v="DK2_Medium"/>
    <x v="0"/>
    <x v="0"/>
    <x v="9"/>
    <x v="0"/>
    <n v="209.33178856593"/>
    <n v="12734.3504710941"/>
    <n v="45843.661695938703"/>
  </r>
  <r>
    <x v="0"/>
    <x v="0"/>
    <x v="0"/>
    <x v="0"/>
    <x v="1"/>
    <s v="DK2_Medium"/>
    <x v="0"/>
    <x v="0"/>
    <x v="9"/>
    <x v="1"/>
    <n v="210.61406598440399"/>
    <n v="12812.355680717899"/>
    <n v="46124.480450584597"/>
  </r>
  <r>
    <x v="0"/>
    <x v="0"/>
    <x v="0"/>
    <x v="0"/>
    <x v="1"/>
    <s v="DK2_Medium"/>
    <x v="0"/>
    <x v="0"/>
    <x v="9"/>
    <x v="2"/>
    <n v="210.934635339023"/>
    <n v="12831.8569831239"/>
    <n v="46194.685139246001"/>
  </r>
  <r>
    <x v="0"/>
    <x v="0"/>
    <x v="0"/>
    <x v="0"/>
    <x v="1"/>
    <s v="DK2_Medium"/>
    <x v="0"/>
    <x v="0"/>
    <x v="9"/>
    <x v="3"/>
    <n v="209.65235792054901"/>
    <n v="12753.8517735"/>
    <n v="45913.866384600202"/>
  </r>
  <r>
    <x v="0"/>
    <x v="0"/>
    <x v="0"/>
    <x v="0"/>
    <x v="1"/>
    <s v="DK2_Medium"/>
    <x v="0"/>
    <x v="0"/>
    <x v="9"/>
    <x v="4"/>
    <n v="203.56154018279599"/>
    <n v="12383.3270277867"/>
    <n v="44579.977300032297"/>
  </r>
  <r>
    <x v="0"/>
    <x v="0"/>
    <x v="0"/>
    <x v="0"/>
    <x v="1"/>
    <s v="DK2_Medium"/>
    <x v="0"/>
    <x v="0"/>
    <x v="9"/>
    <x v="5"/>
    <n v="210.61406598440399"/>
    <n v="12812.355680717899"/>
    <n v="46124.480450584597"/>
  </r>
  <r>
    <x v="0"/>
    <x v="0"/>
    <x v="0"/>
    <x v="0"/>
    <x v="1"/>
    <s v="DK2_Medium"/>
    <x v="0"/>
    <x v="0"/>
    <x v="9"/>
    <x v="6"/>
    <n v="223.757409523766"/>
    <n v="13611.9090793624"/>
    <n v="49002.872685704802"/>
  </r>
  <r>
    <x v="0"/>
    <x v="0"/>
    <x v="0"/>
    <x v="0"/>
    <x v="1"/>
    <s v="DK2_Medium"/>
    <x v="0"/>
    <x v="0"/>
    <x v="9"/>
    <x v="7"/>
    <n v="230.48936597075601"/>
    <n v="14021.436429887701"/>
    <n v="50477.171147595604"/>
  </r>
  <r>
    <x v="0"/>
    <x v="0"/>
    <x v="0"/>
    <x v="0"/>
    <x v="1"/>
    <s v="DK2_Medium"/>
    <x v="0"/>
    <x v="0"/>
    <x v="9"/>
    <x v="8"/>
    <n v="244.27384821935499"/>
    <n v="14859.992433344099"/>
    <n v="53495.972760038698"/>
  </r>
  <r>
    <x v="0"/>
    <x v="0"/>
    <x v="0"/>
    <x v="0"/>
    <x v="1"/>
    <s v="DK2_Medium"/>
    <x v="0"/>
    <x v="0"/>
    <x v="9"/>
    <x v="9"/>
    <n v="248.120680474778"/>
    <n v="15094.0080622157"/>
    <n v="54338.4290239763"/>
  </r>
  <r>
    <x v="0"/>
    <x v="0"/>
    <x v="0"/>
    <x v="0"/>
    <x v="1"/>
    <s v="DK2_Medium"/>
    <x v="0"/>
    <x v="0"/>
    <x v="9"/>
    <x v="10"/>
    <n v="247.479541765541"/>
    <n v="15055.0054574037"/>
    <n v="54198.019646653403"/>
  </r>
  <r>
    <x v="0"/>
    <x v="0"/>
    <x v="0"/>
    <x v="0"/>
    <x v="1"/>
    <s v="DK2_Medium"/>
    <x v="0"/>
    <x v="0"/>
    <x v="9"/>
    <x v="11"/>
    <n v="249.40295789325199"/>
    <n v="15172.0132718395"/>
    <n v="54619.247778622201"/>
  </r>
  <r>
    <x v="0"/>
    <x v="0"/>
    <x v="0"/>
    <x v="0"/>
    <x v="1"/>
    <s v="DK2_Medium"/>
    <x v="0"/>
    <x v="0"/>
    <x v="10"/>
    <x v="0"/>
    <n v="125.02204830124499"/>
    <n v="7605.5079383257198"/>
    <n v="27379.828577972599"/>
  </r>
  <r>
    <x v="0"/>
    <x v="0"/>
    <x v="0"/>
    <x v="0"/>
    <x v="1"/>
    <s v="DK2_Medium"/>
    <x v="0"/>
    <x v="0"/>
    <x v="10"/>
    <x v="1"/>
    <n v="123.09863217353301"/>
    <n v="7488.5001238899404"/>
    <n v="26958.600446003798"/>
  </r>
  <r>
    <x v="0"/>
    <x v="0"/>
    <x v="0"/>
    <x v="0"/>
    <x v="1"/>
    <s v="DK2_Medium"/>
    <x v="0"/>
    <x v="0"/>
    <x v="10"/>
    <x v="2"/>
    <n v="125.66318701048201"/>
    <n v="7644.5105431376396"/>
    <n v="27520.237955295499"/>
  </r>
  <r>
    <x v="0"/>
    <x v="0"/>
    <x v="0"/>
    <x v="0"/>
    <x v="1"/>
    <s v="DK2_Medium"/>
    <x v="0"/>
    <x v="0"/>
    <x v="10"/>
    <x v="3"/>
    <n v="125.98375636510001"/>
    <n v="7664.0118455436104"/>
    <n v="27590.442643957002"/>
  </r>
  <r>
    <x v="0"/>
    <x v="0"/>
    <x v="0"/>
    <x v="0"/>
    <x v="1"/>
    <s v="DK2_Medium"/>
    <x v="0"/>
    <x v="0"/>
    <x v="10"/>
    <x v="4"/>
    <n v="126.945464428956"/>
    <n v="7722.5157527615002"/>
    <n v="27801.0567099414"/>
  </r>
  <r>
    <x v="0"/>
    <x v="0"/>
    <x v="0"/>
    <x v="0"/>
    <x v="1"/>
    <s v="DK2_Medium"/>
    <x v="0"/>
    <x v="0"/>
    <x v="10"/>
    <x v="5"/>
    <n v="137.52425313136899"/>
    <n v="8366.0587321582898"/>
    <n v="30117.8114357698"/>
  </r>
  <r>
    <x v="0"/>
    <x v="0"/>
    <x v="0"/>
    <x v="0"/>
    <x v="1"/>
    <s v="DK2_Medium"/>
    <x v="0"/>
    <x v="0"/>
    <x v="10"/>
    <x v="6"/>
    <n v="190.738765998053"/>
    <n v="11603.2749315482"/>
    <n v="41771.789753573503"/>
  </r>
  <r>
    <x v="0"/>
    <x v="0"/>
    <x v="0"/>
    <x v="0"/>
    <x v="1"/>
    <s v="DK2_Medium"/>
    <x v="0"/>
    <x v="0"/>
    <x v="10"/>
    <x v="7"/>
    <n v="212.53748211211601"/>
    <n v="12929.363495153701"/>
    <n v="46545.708582553401"/>
  </r>
  <r>
    <x v="0"/>
    <x v="0"/>
    <x v="0"/>
    <x v="0"/>
    <x v="1"/>
    <s v="DK2_Medium"/>
    <x v="0"/>
    <x v="0"/>
    <x v="10"/>
    <x v="8"/>
    <n v="235.61847564465299"/>
    <n v="14333.457268383099"/>
    <n v="51600.446166179099"/>
  </r>
  <r>
    <x v="0"/>
    <x v="0"/>
    <x v="0"/>
    <x v="0"/>
    <x v="1"/>
    <s v="DK2_Medium"/>
    <x v="0"/>
    <x v="0"/>
    <x v="10"/>
    <x v="9"/>
    <n v="235.297906290035"/>
    <n v="14313.9559659771"/>
    <n v="51530.2414775176"/>
  </r>
  <r>
    <x v="0"/>
    <x v="0"/>
    <x v="0"/>
    <x v="0"/>
    <x v="1"/>
    <s v="DK2_Medium"/>
    <x v="0"/>
    <x v="0"/>
    <x v="10"/>
    <x v="10"/>
    <n v="233.695059516942"/>
    <n v="14216.4494539473"/>
    <n v="51179.218034210302"/>
  </r>
  <r>
    <x v="0"/>
    <x v="0"/>
    <x v="0"/>
    <x v="0"/>
    <x v="1"/>
    <s v="DK2_Medium"/>
    <x v="0"/>
    <x v="0"/>
    <x v="10"/>
    <x v="11"/>
    <n v="234.33619822617899"/>
    <n v="14255.4520587592"/>
    <n v="51319.627411533198"/>
  </r>
  <r>
    <x v="0"/>
    <x v="0"/>
    <x v="0"/>
    <x v="0"/>
    <x v="1"/>
    <s v="DK2_Medium"/>
    <x v="0"/>
    <x v="0"/>
    <x v="11"/>
    <x v="0"/>
    <n v="194.90616760809399"/>
    <n v="11856.791862825699"/>
    <n v="42684.450706172604"/>
  </r>
  <r>
    <x v="0"/>
    <x v="0"/>
    <x v="0"/>
    <x v="0"/>
    <x v="1"/>
    <s v="DK2_Medium"/>
    <x v="0"/>
    <x v="0"/>
    <x v="11"/>
    <x v="1"/>
    <n v="191.70047406190801"/>
    <n v="11661.7788387661"/>
    <n v="41982.403819558"/>
  </r>
  <r>
    <x v="0"/>
    <x v="0"/>
    <x v="0"/>
    <x v="0"/>
    <x v="1"/>
    <s v="DK2_Medium"/>
    <x v="0"/>
    <x v="0"/>
    <x v="11"/>
    <x v="2"/>
    <n v="193.62389018962"/>
    <n v="11778.7866532019"/>
    <n v="42403.631951526797"/>
  </r>
  <r>
    <x v="0"/>
    <x v="0"/>
    <x v="0"/>
    <x v="0"/>
    <x v="1"/>
    <s v="DK2_Medium"/>
    <x v="0"/>
    <x v="0"/>
    <x v="11"/>
    <x v="3"/>
    <n v="195.22673696271301"/>
    <n v="11876.2931652317"/>
    <n v="42754.655394834102"/>
  </r>
  <r>
    <x v="0"/>
    <x v="0"/>
    <x v="0"/>
    <x v="0"/>
    <x v="1"/>
    <s v="DK2_Medium"/>
    <x v="0"/>
    <x v="0"/>
    <x v="11"/>
    <x v="4"/>
    <n v="194.58559825347601"/>
    <n v="11837.2905604198"/>
    <n v="42614.246017511199"/>
  </r>
  <r>
    <x v="0"/>
    <x v="0"/>
    <x v="0"/>
    <x v="0"/>
    <x v="1"/>
    <s v="DK2_Medium"/>
    <x v="0"/>
    <x v="0"/>
    <x v="11"/>
    <x v="5"/>
    <n v="203.24097082817701"/>
    <n v="12363.825725380801"/>
    <n v="44509.772611370798"/>
  </r>
  <r>
    <x v="0"/>
    <x v="0"/>
    <x v="0"/>
    <x v="0"/>
    <x v="1"/>
    <s v="DK2_Medium"/>
    <x v="0"/>
    <x v="0"/>
    <x v="11"/>
    <x v="6"/>
    <n v="225.68082565147799"/>
    <n v="13728.916893798199"/>
    <n v="49424.1008176736"/>
  </r>
  <r>
    <x v="0"/>
    <x v="0"/>
    <x v="0"/>
    <x v="0"/>
    <x v="1"/>
    <s v="DK2_Medium"/>
    <x v="0"/>
    <x v="0"/>
    <x v="11"/>
    <x v="7"/>
    <n v="234.33619822617899"/>
    <n v="14255.4520587592"/>
    <n v="51319.627411533198"/>
  </r>
  <r>
    <x v="0"/>
    <x v="0"/>
    <x v="0"/>
    <x v="0"/>
    <x v="1"/>
    <s v="DK2_Medium"/>
    <x v="0"/>
    <x v="0"/>
    <x v="11"/>
    <x v="8"/>
    <n v="238.50359983622101"/>
    <n v="14508.968990036799"/>
    <n v="52232.288364132299"/>
  </r>
  <r>
    <x v="0"/>
    <x v="0"/>
    <x v="0"/>
    <x v="0"/>
    <x v="1"/>
    <s v="DK2_Medium"/>
    <x v="0"/>
    <x v="0"/>
    <x v="11"/>
    <x v="9"/>
    <n v="238.183030481602"/>
    <n v="14489.4676876308"/>
    <n v="52162.0836754708"/>
  </r>
  <r>
    <x v="0"/>
    <x v="0"/>
    <x v="0"/>
    <x v="0"/>
    <x v="1"/>
    <s v="DK2_Medium"/>
    <x v="0"/>
    <x v="0"/>
    <x v="11"/>
    <x v="10"/>
    <n v="239.14473854545801"/>
    <n v="14547.971594848699"/>
    <n v="52372.697741455297"/>
  </r>
  <r>
    <x v="0"/>
    <x v="0"/>
    <x v="0"/>
    <x v="0"/>
    <x v="1"/>
    <s v="DK2_Medium"/>
    <x v="0"/>
    <x v="0"/>
    <x v="11"/>
    <x v="11"/>
    <n v="235.939044999272"/>
    <n v="14352.958570789"/>
    <n v="51670.650854840598"/>
  </r>
  <r>
    <x v="0"/>
    <x v="0"/>
    <x v="0"/>
    <x v="0"/>
    <x v="1"/>
    <s v="DK2_Rural"/>
    <x v="0"/>
    <x v="0"/>
    <x v="0"/>
    <x v="0"/>
    <n v="259.49433318812498"/>
    <n v="15785.9052689443"/>
    <n v="56829.2589681994"/>
  </r>
  <r>
    <x v="0"/>
    <x v="0"/>
    <x v="0"/>
    <x v="0"/>
    <x v="1"/>
    <s v="DK2_Rural"/>
    <x v="0"/>
    <x v="0"/>
    <x v="0"/>
    <x v="1"/>
    <n v="257.18625144439397"/>
    <n v="15645.496962867301"/>
    <n v="56323.789066322199"/>
  </r>
  <r>
    <x v="0"/>
    <x v="0"/>
    <x v="0"/>
    <x v="0"/>
    <x v="1"/>
    <s v="DK2_Rural"/>
    <x v="0"/>
    <x v="0"/>
    <x v="0"/>
    <x v="2"/>
    <n v="254.053854792186"/>
    <n v="15454.9428331913"/>
    <n v="55637.794199488802"/>
  </r>
  <r>
    <x v="0"/>
    <x v="0"/>
    <x v="0"/>
    <x v="0"/>
    <x v="1"/>
    <s v="DK2_Rural"/>
    <x v="0"/>
    <x v="0"/>
    <x v="0"/>
    <x v="3"/>
    <n v="253.229539883711"/>
    <n v="15404.797009592399"/>
    <n v="55457.2692345326"/>
  </r>
  <r>
    <x v="0"/>
    <x v="0"/>
    <x v="0"/>
    <x v="0"/>
    <x v="1"/>
    <s v="DK2_Rural"/>
    <x v="0"/>
    <x v="0"/>
    <x v="0"/>
    <x v="4"/>
    <n v="252.24036199354001"/>
    <n v="15344.622021273701"/>
    <n v="55240.6392765852"/>
  </r>
  <r>
    <x v="0"/>
    <x v="0"/>
    <x v="0"/>
    <x v="0"/>
    <x v="1"/>
    <s v="DK2_Rural"/>
    <x v="0"/>
    <x v="0"/>
    <x v="0"/>
    <x v="5"/>
    <n v="252.24036199354001"/>
    <n v="15344.622021273701"/>
    <n v="55240.6392765852"/>
  </r>
  <r>
    <x v="0"/>
    <x v="0"/>
    <x v="0"/>
    <x v="0"/>
    <x v="1"/>
    <s v="DK2_Rural"/>
    <x v="0"/>
    <x v="0"/>
    <x v="0"/>
    <x v="6"/>
    <n v="257.02138846269798"/>
    <n v="15635.4677981475"/>
    <n v="56287.684073331002"/>
  </r>
  <r>
    <x v="0"/>
    <x v="0"/>
    <x v="0"/>
    <x v="0"/>
    <x v="1"/>
    <s v="DK2_Rural"/>
    <x v="0"/>
    <x v="0"/>
    <x v="0"/>
    <x v="7"/>
    <n v="261.80241493185702"/>
    <n v="15926.3135750213"/>
    <n v="57334.728870076702"/>
  </r>
  <r>
    <x v="0"/>
    <x v="0"/>
    <x v="0"/>
    <x v="0"/>
    <x v="1"/>
    <s v="DK2_Rural"/>
    <x v="0"/>
    <x v="0"/>
    <x v="0"/>
    <x v="8"/>
    <n v="263.61590773050301"/>
    <n v="16036.634386939"/>
    <n v="57731.883792980203"/>
  </r>
  <r>
    <x v="0"/>
    <x v="0"/>
    <x v="0"/>
    <x v="0"/>
    <x v="1"/>
    <s v="DK2_Rural"/>
    <x v="0"/>
    <x v="0"/>
    <x v="0"/>
    <x v="9"/>
    <n v="266.91316736440598"/>
    <n v="16237.2176813347"/>
    <n v="58453.983652804898"/>
  </r>
  <r>
    <x v="0"/>
    <x v="0"/>
    <x v="0"/>
    <x v="0"/>
    <x v="1"/>
    <s v="DK2_Rural"/>
    <x v="0"/>
    <x v="0"/>
    <x v="0"/>
    <x v="10"/>
    <n v="270.86987892508898"/>
    <n v="16477.917634609599"/>
    <n v="59320.503484594497"/>
  </r>
  <r>
    <x v="0"/>
    <x v="0"/>
    <x v="0"/>
    <x v="0"/>
    <x v="1"/>
    <s v="DK2_Rural"/>
    <x v="0"/>
    <x v="0"/>
    <x v="0"/>
    <x v="11"/>
    <n v="271.364467870174"/>
    <n v="16508.005128768898"/>
    <n v="59428.818463568103"/>
  </r>
  <r>
    <x v="0"/>
    <x v="0"/>
    <x v="0"/>
    <x v="0"/>
    <x v="1"/>
    <s v="DK2_Rural"/>
    <x v="0"/>
    <x v="0"/>
    <x v="1"/>
    <x v="0"/>
    <n v="166.51161151207501"/>
    <n v="10129.456366984599"/>
    <n v="36466.042921144501"/>
  </r>
  <r>
    <x v="0"/>
    <x v="0"/>
    <x v="0"/>
    <x v="0"/>
    <x v="1"/>
    <s v="DK2_Rural"/>
    <x v="0"/>
    <x v="0"/>
    <x v="1"/>
    <x v="1"/>
    <n v="164.69811871342901"/>
    <n v="10019.1355550669"/>
    <n v="36068.887998240898"/>
  </r>
  <r>
    <x v="0"/>
    <x v="0"/>
    <x v="0"/>
    <x v="0"/>
    <x v="1"/>
    <s v="DK2_Rural"/>
    <x v="0"/>
    <x v="0"/>
    <x v="1"/>
    <x v="2"/>
    <n v="163.04948889647801"/>
    <n v="9918.8439078690608"/>
    <n v="35707.838068328601"/>
  </r>
  <r>
    <x v="0"/>
    <x v="0"/>
    <x v="0"/>
    <x v="0"/>
    <x v="1"/>
    <s v="DK2_Rural"/>
    <x v="0"/>
    <x v="0"/>
    <x v="1"/>
    <x v="3"/>
    <n v="165.52243362190501"/>
    <n v="10069.281378665901"/>
    <n v="36249.412963197101"/>
  </r>
  <r>
    <x v="0"/>
    <x v="0"/>
    <x v="0"/>
    <x v="0"/>
    <x v="1"/>
    <s v="DK2_Rural"/>
    <x v="0"/>
    <x v="0"/>
    <x v="1"/>
    <x v="4"/>
    <n v="167.335926420551"/>
    <n v="10179.6021905835"/>
    <n v="36646.567886100602"/>
  </r>
  <r>
    <x v="0"/>
    <x v="0"/>
    <x v="0"/>
    <x v="0"/>
    <x v="1"/>
    <s v="DK2_Rural"/>
    <x v="0"/>
    <x v="0"/>
    <x v="1"/>
    <x v="5"/>
    <n v="196.18694821719799"/>
    <n v="11934.706016546201"/>
    <n v="42964.941659566299"/>
  </r>
  <r>
    <x v="0"/>
    <x v="0"/>
    <x v="0"/>
    <x v="0"/>
    <x v="1"/>
    <s v="DK2_Rural"/>
    <x v="0"/>
    <x v="0"/>
    <x v="1"/>
    <x v="6"/>
    <n v="268.39693419966198"/>
    <n v="16327.480163812799"/>
    <n v="58778.928589725998"/>
  </r>
  <r>
    <x v="0"/>
    <x v="0"/>
    <x v="0"/>
    <x v="0"/>
    <x v="1"/>
    <s v="DK2_Rural"/>
    <x v="0"/>
    <x v="0"/>
    <x v="1"/>
    <x v="7"/>
    <n v="311.426172422089"/>
    <n v="18945.092155677099"/>
    <n v="68202.331760437606"/>
  </r>
  <r>
    <x v="0"/>
    <x v="0"/>
    <x v="0"/>
    <x v="0"/>
    <x v="1"/>
    <s v="DK2_Rural"/>
    <x v="0"/>
    <x v="0"/>
    <x v="1"/>
    <x v="8"/>
    <n v="317.855828708199"/>
    <n v="19336.2295797488"/>
    <n v="69610.426487095596"/>
  </r>
  <r>
    <x v="0"/>
    <x v="0"/>
    <x v="0"/>
    <x v="0"/>
    <x v="1"/>
    <s v="DK2_Rural"/>
    <x v="0"/>
    <x v="0"/>
    <x v="1"/>
    <x v="9"/>
    <n v="317.031513799724"/>
    <n v="19286.083756149801"/>
    <n v="69429.901522139495"/>
  </r>
  <r>
    <x v="0"/>
    <x v="0"/>
    <x v="0"/>
    <x v="0"/>
    <x v="1"/>
    <s v="DK2_Rural"/>
    <x v="0"/>
    <x v="0"/>
    <x v="1"/>
    <x v="10"/>
    <n v="318.51528063498"/>
    <n v="19376.346238627899"/>
    <n v="69754.846459060602"/>
  </r>
  <r>
    <x v="0"/>
    <x v="0"/>
    <x v="0"/>
    <x v="0"/>
    <x v="1"/>
    <s v="DK2_Rural"/>
    <x v="0"/>
    <x v="0"/>
    <x v="1"/>
    <x v="11"/>
    <n v="317.031513799724"/>
    <n v="19286.083756149801"/>
    <n v="69429.901522139495"/>
  </r>
  <r>
    <x v="0"/>
    <x v="0"/>
    <x v="0"/>
    <x v="0"/>
    <x v="1"/>
    <s v="DK2_Rural"/>
    <x v="0"/>
    <x v="0"/>
    <x v="2"/>
    <x v="0"/>
    <n v="217.12454689247801"/>
    <n v="13208.4099359591"/>
    <n v="47550.275769452797"/>
  </r>
  <r>
    <x v="0"/>
    <x v="0"/>
    <x v="0"/>
    <x v="0"/>
    <x v="1"/>
    <s v="DK2_Rural"/>
    <x v="0"/>
    <x v="0"/>
    <x v="2"/>
    <x v="1"/>
    <n v="212.01379445992899"/>
    <n v="12897.505829645699"/>
    <n v="46431.020986724601"/>
  </r>
  <r>
    <x v="0"/>
    <x v="0"/>
    <x v="0"/>
    <x v="0"/>
    <x v="1"/>
    <s v="DK2_Rural"/>
    <x v="0"/>
    <x v="0"/>
    <x v="2"/>
    <x v="2"/>
    <n v="210.36516464297799"/>
    <n v="12797.2141824478"/>
    <n v="46069.971056812203"/>
  </r>
  <r>
    <x v="0"/>
    <x v="0"/>
    <x v="0"/>
    <x v="0"/>
    <x v="1"/>
    <s v="DK2_Rural"/>
    <x v="0"/>
    <x v="0"/>
    <x v="2"/>
    <x v="3"/>
    <n v="209.37598675280799"/>
    <n v="12737.0391941291"/>
    <n v="45853.341098864898"/>
  </r>
  <r>
    <x v="0"/>
    <x v="0"/>
    <x v="0"/>
    <x v="0"/>
    <x v="1"/>
    <s v="DK2_Rural"/>
    <x v="0"/>
    <x v="0"/>
    <x v="2"/>
    <x v="4"/>
    <n v="209.870575697893"/>
    <n v="12767.126688288499"/>
    <n v="45961.656077838597"/>
  </r>
  <r>
    <x v="0"/>
    <x v="0"/>
    <x v="0"/>
    <x v="0"/>
    <x v="1"/>
    <s v="DK2_Rural"/>
    <x v="0"/>
    <x v="0"/>
    <x v="2"/>
    <x v="5"/>
    <n v="219.7623545996"/>
    <n v="13368.876571475699"/>
    <n v="48127.955657312501"/>
  </r>
  <r>
    <x v="0"/>
    <x v="0"/>
    <x v="0"/>
    <x v="0"/>
    <x v="1"/>
    <s v="DK2_Rural"/>
    <x v="0"/>
    <x v="0"/>
    <x v="2"/>
    <x v="6"/>
    <n v="266.41857841932"/>
    <n v="16207.1301871753"/>
    <n v="58345.668673831198"/>
  </r>
  <r>
    <x v="0"/>
    <x v="0"/>
    <x v="0"/>
    <x v="0"/>
    <x v="1"/>
    <s v="DK2_Rural"/>
    <x v="0"/>
    <x v="0"/>
    <x v="2"/>
    <x v="7"/>
    <n v="309.77754260513802"/>
    <n v="18844.800508479198"/>
    <n v="67841.2818305252"/>
  </r>
  <r>
    <x v="0"/>
    <x v="0"/>
    <x v="0"/>
    <x v="0"/>
    <x v="1"/>
    <s v="DK2_Rural"/>
    <x v="0"/>
    <x v="0"/>
    <x v="2"/>
    <x v="8"/>
    <n v="313.569391184126"/>
    <n v="19075.471297034299"/>
    <n v="68671.696669323603"/>
  </r>
  <r>
    <x v="0"/>
    <x v="0"/>
    <x v="0"/>
    <x v="0"/>
    <x v="1"/>
    <s v="DK2_Rural"/>
    <x v="0"/>
    <x v="0"/>
    <x v="2"/>
    <x v="9"/>
    <n v="310.60185751361399"/>
    <n v="18894.946332078202"/>
    <n v="68021.806795481403"/>
  </r>
  <r>
    <x v="0"/>
    <x v="0"/>
    <x v="0"/>
    <x v="0"/>
    <x v="1"/>
    <s v="DK2_Rural"/>
    <x v="0"/>
    <x v="0"/>
    <x v="2"/>
    <x v="10"/>
    <n v="312.58021329395501"/>
    <n v="19015.296308715599"/>
    <n v="68455.066711376203"/>
  </r>
  <r>
    <x v="0"/>
    <x v="0"/>
    <x v="0"/>
    <x v="0"/>
    <x v="1"/>
    <s v="DK2_Rural"/>
    <x v="0"/>
    <x v="0"/>
    <x v="2"/>
    <x v="11"/>
    <n v="310.93158347700398"/>
    <n v="18915.004661517702"/>
    <n v="68094.016781463899"/>
  </r>
  <r>
    <x v="0"/>
    <x v="0"/>
    <x v="0"/>
    <x v="0"/>
    <x v="1"/>
    <s v="DK2_Rural"/>
    <x v="0"/>
    <x v="0"/>
    <x v="3"/>
    <x v="0"/>
    <n v="214.157013221966"/>
    <n v="13027.884971002901"/>
    <n v="46900.385895610598"/>
  </r>
  <r>
    <x v="0"/>
    <x v="0"/>
    <x v="0"/>
    <x v="0"/>
    <x v="1"/>
    <s v="DK2_Rural"/>
    <x v="0"/>
    <x v="0"/>
    <x v="3"/>
    <x v="1"/>
    <n v="209.54084973450301"/>
    <n v="12747.068358848899"/>
    <n v="45889.446091856102"/>
  </r>
  <r>
    <x v="0"/>
    <x v="0"/>
    <x v="0"/>
    <x v="0"/>
    <x v="1"/>
    <s v="DK2_Rural"/>
    <x v="0"/>
    <x v="0"/>
    <x v="3"/>
    <x v="2"/>
    <n v="204.43009730195399"/>
    <n v="12436.1642525355"/>
    <n v="44770.191309127898"/>
  </r>
  <r>
    <x v="0"/>
    <x v="0"/>
    <x v="0"/>
    <x v="0"/>
    <x v="1"/>
    <s v="DK2_Rural"/>
    <x v="0"/>
    <x v="0"/>
    <x v="3"/>
    <x v="3"/>
    <n v="204.100371338564"/>
    <n v="12416.105923096"/>
    <n v="44697.981323145403"/>
  </r>
  <r>
    <x v="0"/>
    <x v="0"/>
    <x v="0"/>
    <x v="0"/>
    <x v="1"/>
    <s v="DK2_Rural"/>
    <x v="0"/>
    <x v="0"/>
    <x v="3"/>
    <x v="4"/>
    <n v="205.91386413721"/>
    <n v="12526.4267350136"/>
    <n v="45095.136246048998"/>
  </r>
  <r>
    <x v="0"/>
    <x v="0"/>
    <x v="0"/>
    <x v="0"/>
    <x v="1"/>
    <s v="DK2_Rural"/>
    <x v="0"/>
    <x v="0"/>
    <x v="3"/>
    <x v="5"/>
    <n v="218.60831372773399"/>
    <n v="13298.6724184372"/>
    <n v="47875.220706373897"/>
  </r>
  <r>
    <x v="0"/>
    <x v="0"/>
    <x v="0"/>
    <x v="0"/>
    <x v="1"/>
    <s v="DK2_Rural"/>
    <x v="0"/>
    <x v="0"/>
    <x v="3"/>
    <x v="6"/>
    <n v="263.78077071219798"/>
    <n v="16046.663551658699"/>
    <n v="57767.988785971502"/>
  </r>
  <r>
    <x v="0"/>
    <x v="0"/>
    <x v="0"/>
    <x v="0"/>
    <x v="1"/>
    <s v="DK2_Rural"/>
    <x v="0"/>
    <x v="0"/>
    <x v="3"/>
    <x v="7"/>
    <n v="298.40199686817402"/>
    <n v="18152.788142813901"/>
    <n v="65350.037314130197"/>
  </r>
  <r>
    <x v="0"/>
    <x v="0"/>
    <x v="0"/>
    <x v="0"/>
    <x v="1"/>
    <s v="DK2_Rural"/>
    <x v="0"/>
    <x v="0"/>
    <x v="3"/>
    <x v="8"/>
    <n v="300.710078611906"/>
    <n v="18293.196448891002"/>
    <n v="65855.507216007507"/>
  </r>
  <r>
    <x v="0"/>
    <x v="0"/>
    <x v="0"/>
    <x v="0"/>
    <x v="1"/>
    <s v="DK2_Rural"/>
    <x v="0"/>
    <x v="0"/>
    <x v="3"/>
    <x v="9"/>
    <n v="300.05062668512602"/>
    <n v="18253.079790011801"/>
    <n v="65711.087244042501"/>
  </r>
  <r>
    <x v="0"/>
    <x v="0"/>
    <x v="0"/>
    <x v="0"/>
    <x v="1"/>
    <s v="DK2_Rural"/>
    <x v="0"/>
    <x v="0"/>
    <x v="3"/>
    <x v="10"/>
    <n v="299.72090072173597"/>
    <n v="18233.021460572199"/>
    <n v="65638.877258060107"/>
  </r>
  <r>
    <x v="0"/>
    <x v="0"/>
    <x v="0"/>
    <x v="0"/>
    <x v="1"/>
    <s v="DK2_Rural"/>
    <x v="0"/>
    <x v="0"/>
    <x v="3"/>
    <x v="11"/>
    <n v="300.38035264851601"/>
    <n v="18273.1381194514"/>
    <n v="65783.297230024997"/>
  </r>
  <r>
    <x v="0"/>
    <x v="0"/>
    <x v="0"/>
    <x v="0"/>
    <x v="1"/>
    <s v="DK2_Rural"/>
    <x v="0"/>
    <x v="0"/>
    <x v="4"/>
    <x v="0"/>
    <n v="194.86804436363701"/>
    <n v="11854.4726987879"/>
    <n v="42676.101715636403"/>
  </r>
  <r>
    <x v="0"/>
    <x v="0"/>
    <x v="0"/>
    <x v="0"/>
    <x v="1"/>
    <s v="DK2_Rural"/>
    <x v="0"/>
    <x v="0"/>
    <x v="4"/>
    <x v="1"/>
    <n v="200.143659777881"/>
    <n v="12175.4059698211"/>
    <n v="43831.461491355898"/>
  </r>
  <r>
    <x v="0"/>
    <x v="0"/>
    <x v="0"/>
    <x v="0"/>
    <x v="1"/>
    <s v="DK2_Rural"/>
    <x v="0"/>
    <x v="0"/>
    <x v="4"/>
    <x v="2"/>
    <n v="201.132837668051"/>
    <n v="12235.580958139801"/>
    <n v="44048.091449303298"/>
  </r>
  <r>
    <x v="0"/>
    <x v="0"/>
    <x v="0"/>
    <x v="0"/>
    <x v="1"/>
    <s v="DK2_Rural"/>
    <x v="0"/>
    <x v="0"/>
    <x v="4"/>
    <x v="3"/>
    <n v="201.627426613137"/>
    <n v="12265.6684522992"/>
    <n v="44156.406428276998"/>
  </r>
  <r>
    <x v="0"/>
    <x v="0"/>
    <x v="0"/>
    <x v="0"/>
    <x v="1"/>
    <s v="DK2_Rural"/>
    <x v="0"/>
    <x v="0"/>
    <x v="4"/>
    <x v="4"/>
    <n v="203.93550835686801"/>
    <n v="12406.076758376201"/>
    <n v="44661.876330154199"/>
  </r>
  <r>
    <x v="0"/>
    <x v="0"/>
    <x v="0"/>
    <x v="0"/>
    <x v="1"/>
    <s v="DK2_Rural"/>
    <x v="0"/>
    <x v="0"/>
    <x v="4"/>
    <x v="5"/>
    <n v="219.927217581295"/>
    <n v="13378.9057361955"/>
    <n v="48164.060650303698"/>
  </r>
  <r>
    <x v="0"/>
    <x v="0"/>
    <x v="0"/>
    <x v="0"/>
    <x v="1"/>
    <s v="DK2_Rural"/>
    <x v="0"/>
    <x v="0"/>
    <x v="4"/>
    <x v="6"/>
    <n v="264.44022263897898"/>
    <n v="16086.7802105379"/>
    <n v="57912.408757936399"/>
  </r>
  <r>
    <x v="0"/>
    <x v="0"/>
    <x v="0"/>
    <x v="0"/>
    <x v="1"/>
    <s v="DK2_Rural"/>
    <x v="0"/>
    <x v="0"/>
    <x v="4"/>
    <x v="7"/>
    <n v="295.59932617935698"/>
    <n v="17982.292342577599"/>
    <n v="64736.252433279296"/>
  </r>
  <r>
    <x v="0"/>
    <x v="0"/>
    <x v="0"/>
    <x v="0"/>
    <x v="1"/>
    <s v="DK2_Rural"/>
    <x v="0"/>
    <x v="0"/>
    <x v="4"/>
    <x v="8"/>
    <n v="301.369530538687"/>
    <n v="18333.3131077701"/>
    <n v="65999.927187972396"/>
  </r>
  <r>
    <x v="0"/>
    <x v="0"/>
    <x v="0"/>
    <x v="0"/>
    <x v="1"/>
    <s v="DK2_Rural"/>
    <x v="0"/>
    <x v="0"/>
    <x v="4"/>
    <x v="9"/>
    <n v="302.193845447162"/>
    <n v="18383.458931369001"/>
    <n v="66180.452152928599"/>
  </r>
  <r>
    <x v="0"/>
    <x v="0"/>
    <x v="0"/>
    <x v="0"/>
    <x v="1"/>
    <s v="DK2_Rural"/>
    <x v="0"/>
    <x v="0"/>
    <x v="4"/>
    <x v="10"/>
    <n v="302.52357141055302"/>
    <n v="18403.5172608086"/>
    <n v="66252.662138910993"/>
  </r>
  <r>
    <x v="0"/>
    <x v="0"/>
    <x v="0"/>
    <x v="0"/>
    <x v="1"/>
    <s v="DK2_Rural"/>
    <x v="0"/>
    <x v="0"/>
    <x v="4"/>
    <x v="11"/>
    <n v="303.51274930072299"/>
    <n v="18463.6922491273"/>
    <n v="66469.292096858393"/>
  </r>
  <r>
    <x v="0"/>
    <x v="0"/>
    <x v="0"/>
    <x v="0"/>
    <x v="1"/>
    <s v="DK2_Rural"/>
    <x v="0"/>
    <x v="0"/>
    <x v="5"/>
    <x v="0"/>
    <n v="256.03221057252802"/>
    <n v="15575.292809828799"/>
    <n v="56071.054115383602"/>
  </r>
  <r>
    <x v="0"/>
    <x v="0"/>
    <x v="0"/>
    <x v="0"/>
    <x v="1"/>
    <s v="DK2_Rural"/>
    <x v="0"/>
    <x v="0"/>
    <x v="5"/>
    <x v="1"/>
    <n v="254.878169700662"/>
    <n v="15505.0886567903"/>
    <n v="55818.319164444903"/>
  </r>
  <r>
    <x v="0"/>
    <x v="0"/>
    <x v="0"/>
    <x v="0"/>
    <x v="1"/>
    <s v="DK2_Rural"/>
    <x v="0"/>
    <x v="0"/>
    <x v="5"/>
    <x v="2"/>
    <n v="255.04303268235699"/>
    <n v="15515.117821510001"/>
    <n v="55854.424157436202"/>
  </r>
  <r>
    <x v="0"/>
    <x v="0"/>
    <x v="0"/>
    <x v="0"/>
    <x v="1"/>
    <s v="DK2_Rural"/>
    <x v="0"/>
    <x v="0"/>
    <x v="5"/>
    <x v="3"/>
    <n v="253.39440286540599"/>
    <n v="15414.8261743122"/>
    <n v="55493.374227523796"/>
  </r>
  <r>
    <x v="0"/>
    <x v="0"/>
    <x v="0"/>
    <x v="0"/>
    <x v="1"/>
    <s v="DK2_Rural"/>
    <x v="0"/>
    <x v="0"/>
    <x v="5"/>
    <x v="4"/>
    <n v="254.053854792186"/>
    <n v="15454.9428331913"/>
    <n v="55637.794199488802"/>
  </r>
  <r>
    <x v="0"/>
    <x v="0"/>
    <x v="0"/>
    <x v="0"/>
    <x v="1"/>
    <s v="DK2_Rural"/>
    <x v="0"/>
    <x v="0"/>
    <x v="5"/>
    <x v="5"/>
    <n v="255.37275864574701"/>
    <n v="15535.176150949599"/>
    <n v="55926.634143418603"/>
  </r>
  <r>
    <x v="0"/>
    <x v="0"/>
    <x v="0"/>
    <x v="0"/>
    <x v="1"/>
    <s v="DK2_Rural"/>
    <x v="0"/>
    <x v="0"/>
    <x v="5"/>
    <x v="6"/>
    <n v="266.74830438271101"/>
    <n v="16227.1885166149"/>
    <n v="58417.878659813701"/>
  </r>
  <r>
    <x v="0"/>
    <x v="0"/>
    <x v="0"/>
    <x v="0"/>
    <x v="1"/>
    <s v="DK2_Rural"/>
    <x v="0"/>
    <x v="0"/>
    <x v="5"/>
    <x v="7"/>
    <n v="285.54268429595498"/>
    <n v="17370.5132946706"/>
    <n v="62533.847860814101"/>
  </r>
  <r>
    <x v="0"/>
    <x v="0"/>
    <x v="0"/>
    <x v="0"/>
    <x v="1"/>
    <s v="DK2_Rural"/>
    <x v="0"/>
    <x v="0"/>
    <x v="5"/>
    <x v="8"/>
    <n v="286.36699920442999"/>
    <n v="17420.659118269501"/>
    <n v="62714.372825770297"/>
  </r>
  <r>
    <x v="0"/>
    <x v="0"/>
    <x v="0"/>
    <x v="0"/>
    <x v="1"/>
    <s v="DK2_Rural"/>
    <x v="0"/>
    <x v="0"/>
    <x v="5"/>
    <x v="9"/>
    <n v="288.01562902138198"/>
    <n v="17520.950765467402"/>
    <n v="63075.422755682601"/>
  </r>
  <r>
    <x v="0"/>
    <x v="0"/>
    <x v="0"/>
    <x v="0"/>
    <x v="1"/>
    <s v="DK2_Rural"/>
    <x v="0"/>
    <x v="0"/>
    <x v="5"/>
    <x v="10"/>
    <n v="290.48857374680898"/>
    <n v="17671.3882362642"/>
    <n v="63616.9976505511"/>
  </r>
  <r>
    <x v="0"/>
    <x v="0"/>
    <x v="0"/>
    <x v="0"/>
    <x v="1"/>
    <s v="DK2_Rural"/>
    <x v="0"/>
    <x v="0"/>
    <x v="5"/>
    <x v="11"/>
    <n v="288.510217966467"/>
    <n v="17551.038259626701"/>
    <n v="63183.737734656301"/>
  </r>
  <r>
    <x v="0"/>
    <x v="0"/>
    <x v="0"/>
    <x v="0"/>
    <x v="1"/>
    <s v="DK2_Rural"/>
    <x v="0"/>
    <x v="0"/>
    <x v="6"/>
    <x v="0"/>
    <n v="199.81393381449001"/>
    <n v="12155.3476403815"/>
    <n v="43759.251505373402"/>
  </r>
  <r>
    <x v="0"/>
    <x v="0"/>
    <x v="0"/>
    <x v="0"/>
    <x v="1"/>
    <s v="DK2_Rural"/>
    <x v="0"/>
    <x v="0"/>
    <x v="6"/>
    <x v="1"/>
    <n v="197.505852070759"/>
    <n v="12014.939334304499"/>
    <n v="43253.7816034961"/>
  </r>
  <r>
    <x v="0"/>
    <x v="0"/>
    <x v="0"/>
    <x v="0"/>
    <x v="1"/>
    <s v="DK2_Rural"/>
    <x v="0"/>
    <x v="0"/>
    <x v="6"/>
    <x v="2"/>
    <n v="195.362633308722"/>
    <n v="11884.5601929473"/>
    <n v="42784.416694610103"/>
  </r>
  <r>
    <x v="0"/>
    <x v="0"/>
    <x v="0"/>
    <x v="0"/>
    <x v="1"/>
    <s v="DK2_Rural"/>
    <x v="0"/>
    <x v="0"/>
    <x v="6"/>
    <x v="3"/>
    <n v="194.04372945516101"/>
    <n v="11804.326875188999"/>
    <n v="42495.576750680302"/>
  </r>
  <r>
    <x v="0"/>
    <x v="0"/>
    <x v="0"/>
    <x v="0"/>
    <x v="1"/>
    <s v="DK2_Rural"/>
    <x v="0"/>
    <x v="0"/>
    <x v="6"/>
    <x v="4"/>
    <n v="192.06537367481999"/>
    <n v="11683.9768985515"/>
    <n v="42062.316834785503"/>
  </r>
  <r>
    <x v="0"/>
    <x v="0"/>
    <x v="0"/>
    <x v="0"/>
    <x v="1"/>
    <s v="DK2_Rural"/>
    <x v="0"/>
    <x v="0"/>
    <x v="6"/>
    <x v="5"/>
    <n v="200.63824872296601"/>
    <n v="12205.4934639804"/>
    <n v="43939.776470329598"/>
  </r>
  <r>
    <x v="0"/>
    <x v="0"/>
    <x v="0"/>
    <x v="0"/>
    <x v="1"/>
    <s v="DK2_Rural"/>
    <x v="0"/>
    <x v="0"/>
    <x v="6"/>
    <x v="6"/>
    <n v="246.799883597601"/>
    <n v="15013.6595855207"/>
    <n v="54049.174507874603"/>
  </r>
  <r>
    <x v="0"/>
    <x v="0"/>
    <x v="0"/>
    <x v="0"/>
    <x v="1"/>
    <s v="DK2_Rural"/>
    <x v="0"/>
    <x v="0"/>
    <x v="6"/>
    <x v="7"/>
    <n v="283.23460255222301"/>
    <n v="17230.104988593601"/>
    <n v="62028.377958936901"/>
  </r>
  <r>
    <x v="0"/>
    <x v="0"/>
    <x v="0"/>
    <x v="0"/>
    <x v="1"/>
    <s v="DK2_Rural"/>
    <x v="0"/>
    <x v="0"/>
    <x v="6"/>
    <x v="8"/>
    <n v="286.20213622273502"/>
    <n v="17410.629953549698"/>
    <n v="62678.2678327791"/>
  </r>
  <r>
    <x v="0"/>
    <x v="0"/>
    <x v="0"/>
    <x v="0"/>
    <x v="1"/>
    <s v="DK2_Rural"/>
    <x v="0"/>
    <x v="0"/>
    <x v="6"/>
    <x v="9"/>
    <n v="288.18049200307701"/>
    <n v="17530.979930187201"/>
    <n v="63111.527748673798"/>
  </r>
  <r>
    <x v="0"/>
    <x v="0"/>
    <x v="0"/>
    <x v="0"/>
    <x v="1"/>
    <s v="DK2_Rural"/>
    <x v="0"/>
    <x v="0"/>
    <x v="6"/>
    <x v="10"/>
    <n v="290.48857374680898"/>
    <n v="17671.3882362642"/>
    <n v="63616.9976505511"/>
  </r>
  <r>
    <x v="0"/>
    <x v="0"/>
    <x v="0"/>
    <x v="0"/>
    <x v="1"/>
    <s v="DK2_Rural"/>
    <x v="0"/>
    <x v="0"/>
    <x v="6"/>
    <x v="11"/>
    <n v="292.30206654545498"/>
    <n v="17781.709048181801"/>
    <n v="64014.152573454601"/>
  </r>
  <r>
    <x v="0"/>
    <x v="0"/>
    <x v="0"/>
    <x v="0"/>
    <x v="1"/>
    <s v="DK2_Rural"/>
    <x v="0"/>
    <x v="0"/>
    <x v="7"/>
    <x v="0"/>
    <n v="160.41168118935599"/>
    <n v="9758.3772723524708"/>
    <n v="35130.158180468898"/>
  </r>
  <r>
    <x v="0"/>
    <x v="0"/>
    <x v="0"/>
    <x v="0"/>
    <x v="1"/>
    <s v="DK2_Rural"/>
    <x v="0"/>
    <x v="0"/>
    <x v="7"/>
    <x v="1"/>
    <n v="160.57654417105101"/>
    <n v="9768.4064370722608"/>
    <n v="35166.263173460102"/>
  </r>
  <r>
    <x v="0"/>
    <x v="0"/>
    <x v="0"/>
    <x v="0"/>
    <x v="1"/>
    <s v="DK2_Rural"/>
    <x v="0"/>
    <x v="0"/>
    <x v="7"/>
    <x v="2"/>
    <n v="158.26846242731901"/>
    <n v="9627.99813099524"/>
    <n v="34660.793271582901"/>
  </r>
  <r>
    <x v="0"/>
    <x v="0"/>
    <x v="0"/>
    <x v="0"/>
    <x v="1"/>
    <s v="DK2_Rural"/>
    <x v="0"/>
    <x v="0"/>
    <x v="7"/>
    <x v="3"/>
    <n v="158.598188390709"/>
    <n v="9648.0564604348201"/>
    <n v="34733.003257565302"/>
  </r>
  <r>
    <x v="0"/>
    <x v="0"/>
    <x v="0"/>
    <x v="0"/>
    <x v="1"/>
    <s v="DK2_Rural"/>
    <x v="0"/>
    <x v="0"/>
    <x v="7"/>
    <x v="4"/>
    <n v="161.23599609783099"/>
    <n v="9808.5230959514101"/>
    <n v="35310.683145425101"/>
  </r>
  <r>
    <x v="0"/>
    <x v="0"/>
    <x v="0"/>
    <x v="0"/>
    <x v="1"/>
    <s v="DK2_Rural"/>
    <x v="0"/>
    <x v="0"/>
    <x v="7"/>
    <x v="5"/>
    <n v="182.997909681588"/>
    <n v="11132.3728389633"/>
    <n v="40076.5422202677"/>
  </r>
  <r>
    <x v="0"/>
    <x v="0"/>
    <x v="0"/>
    <x v="0"/>
    <x v="1"/>
    <s v="DK2_Rural"/>
    <x v="0"/>
    <x v="0"/>
    <x v="7"/>
    <x v="6"/>
    <n v="254.54844373727201"/>
    <n v="15485.0303273507"/>
    <n v="55746.109178462502"/>
  </r>
  <r>
    <x v="0"/>
    <x v="0"/>
    <x v="0"/>
    <x v="0"/>
    <x v="1"/>
    <s v="DK2_Rural"/>
    <x v="0"/>
    <x v="0"/>
    <x v="7"/>
    <x v="7"/>
    <n v="296.423641087833"/>
    <n v="18032.4381661765"/>
    <n v="64916.777398235397"/>
  </r>
  <r>
    <x v="0"/>
    <x v="0"/>
    <x v="0"/>
    <x v="0"/>
    <x v="1"/>
    <s v="DK2_Rural"/>
    <x v="0"/>
    <x v="0"/>
    <x v="7"/>
    <x v="8"/>
    <n v="301.53439352038203"/>
    <n v="18343.342272489899"/>
    <n v="66036.032180963593"/>
  </r>
  <r>
    <x v="0"/>
    <x v="0"/>
    <x v="0"/>
    <x v="0"/>
    <x v="1"/>
    <s v="DK2_Rural"/>
    <x v="0"/>
    <x v="0"/>
    <x v="7"/>
    <x v="9"/>
    <n v="310.60185751361399"/>
    <n v="18894.946332078202"/>
    <n v="68021.806795481403"/>
  </r>
  <r>
    <x v="0"/>
    <x v="0"/>
    <x v="0"/>
    <x v="0"/>
    <x v="1"/>
    <s v="DK2_Rural"/>
    <x v="0"/>
    <x v="0"/>
    <x v="7"/>
    <x v="10"/>
    <n v="313.40452820243098"/>
    <n v="19065.4421323145"/>
    <n v="68635.591676332406"/>
  </r>
  <r>
    <x v="0"/>
    <x v="0"/>
    <x v="0"/>
    <x v="0"/>
    <x v="1"/>
    <s v="DK2_Rural"/>
    <x v="0"/>
    <x v="0"/>
    <x v="7"/>
    <x v="11"/>
    <n v="312.25048733056502"/>
    <n v="18995.237979276"/>
    <n v="68382.856725393707"/>
  </r>
  <r>
    <x v="0"/>
    <x v="0"/>
    <x v="0"/>
    <x v="0"/>
    <x v="1"/>
    <s v="DK2_Rural"/>
    <x v="0"/>
    <x v="0"/>
    <x v="8"/>
    <x v="0"/>
    <n v="204.265234320259"/>
    <n v="12426.135087815701"/>
    <n v="44734.086316136701"/>
  </r>
  <r>
    <x v="0"/>
    <x v="0"/>
    <x v="0"/>
    <x v="0"/>
    <x v="1"/>
    <s v="DK2_Rural"/>
    <x v="0"/>
    <x v="0"/>
    <x v="8"/>
    <x v="1"/>
    <n v="203.93550835686801"/>
    <n v="12406.076758376201"/>
    <n v="44661.876330154199"/>
  </r>
  <r>
    <x v="0"/>
    <x v="0"/>
    <x v="0"/>
    <x v="0"/>
    <x v="1"/>
    <s v="DK2_Rural"/>
    <x v="0"/>
    <x v="0"/>
    <x v="8"/>
    <x v="2"/>
    <n v="202.45174152161201"/>
    <n v="12315.814275898099"/>
    <n v="44336.931393233099"/>
  </r>
  <r>
    <x v="0"/>
    <x v="0"/>
    <x v="0"/>
    <x v="0"/>
    <x v="1"/>
    <s v="DK2_Rural"/>
    <x v="0"/>
    <x v="0"/>
    <x v="8"/>
    <x v="3"/>
    <n v="203.276056430088"/>
    <n v="12365.960099497001"/>
    <n v="44517.456358189302"/>
  </r>
  <r>
    <x v="0"/>
    <x v="0"/>
    <x v="0"/>
    <x v="0"/>
    <x v="1"/>
    <s v="DK2_Rural"/>
    <x v="0"/>
    <x v="0"/>
    <x v="8"/>
    <x v="4"/>
    <n v="213.00297235010001"/>
    <n v="12957.680817964399"/>
    <n v="46647.650944672001"/>
  </r>
  <r>
    <x v="0"/>
    <x v="0"/>
    <x v="0"/>
    <x v="0"/>
    <x v="1"/>
    <s v="DK2_Rural"/>
    <x v="0"/>
    <x v="0"/>
    <x v="8"/>
    <x v="5"/>
    <n v="218.77317670943"/>
    <n v="13308.701583157001"/>
    <n v="47911.325699365101"/>
  </r>
  <r>
    <x v="0"/>
    <x v="0"/>
    <x v="0"/>
    <x v="0"/>
    <x v="1"/>
    <s v="DK2_Rural"/>
    <x v="0"/>
    <x v="0"/>
    <x v="8"/>
    <x v="6"/>
    <n v="252.73495093862499"/>
    <n v="15374.709515433"/>
    <n v="55348.9542555589"/>
  </r>
  <r>
    <x v="0"/>
    <x v="0"/>
    <x v="0"/>
    <x v="0"/>
    <x v="1"/>
    <s v="DK2_Rural"/>
    <x v="0"/>
    <x v="0"/>
    <x v="8"/>
    <x v="7"/>
    <n v="292.63179250884502"/>
    <n v="17801.7673776214"/>
    <n v="64086.362559437097"/>
  </r>
  <r>
    <x v="0"/>
    <x v="0"/>
    <x v="0"/>
    <x v="0"/>
    <x v="1"/>
    <s v="DK2_Rural"/>
    <x v="0"/>
    <x v="0"/>
    <x v="8"/>
    <x v="8"/>
    <n v="292.63179250884502"/>
    <n v="17801.7673776214"/>
    <n v="64086.362559437097"/>
  </r>
  <r>
    <x v="0"/>
    <x v="0"/>
    <x v="0"/>
    <x v="0"/>
    <x v="1"/>
    <s v="DK2_Rural"/>
    <x v="0"/>
    <x v="0"/>
    <x v="8"/>
    <x v="9"/>
    <n v="292.30206654545498"/>
    <n v="17781.709048181801"/>
    <n v="64014.152573454601"/>
  </r>
  <r>
    <x v="0"/>
    <x v="0"/>
    <x v="0"/>
    <x v="0"/>
    <x v="1"/>
    <s v="DK2_Rural"/>
    <x v="0"/>
    <x v="0"/>
    <x v="8"/>
    <x v="10"/>
    <n v="296.58850406952803"/>
    <n v="18042.467330896299"/>
    <n v="64952.882391226703"/>
  </r>
  <r>
    <x v="0"/>
    <x v="0"/>
    <x v="0"/>
    <x v="0"/>
    <x v="1"/>
    <s v="DK2_Rural"/>
    <x v="0"/>
    <x v="0"/>
    <x v="8"/>
    <x v="11"/>
    <n v="297.90740792308901"/>
    <n v="18122.700648654602"/>
    <n v="65241.722335156497"/>
  </r>
  <r>
    <x v="0"/>
    <x v="0"/>
    <x v="0"/>
    <x v="0"/>
    <x v="1"/>
    <s v="DK2_Rural"/>
    <x v="0"/>
    <x v="0"/>
    <x v="9"/>
    <x v="0"/>
    <n v="231.302763318259"/>
    <n v="14070.9181018608"/>
    <n v="50655.305166698701"/>
  </r>
  <r>
    <x v="0"/>
    <x v="0"/>
    <x v="0"/>
    <x v="0"/>
    <x v="1"/>
    <s v="DK2_Rural"/>
    <x v="0"/>
    <x v="0"/>
    <x v="9"/>
    <x v="1"/>
    <n v="227.51091473927099"/>
    <n v="13840.247313305699"/>
    <n v="49824.890327900401"/>
  </r>
  <r>
    <x v="0"/>
    <x v="0"/>
    <x v="0"/>
    <x v="0"/>
    <x v="1"/>
    <s v="DK2_Rural"/>
    <x v="0"/>
    <x v="0"/>
    <x v="9"/>
    <x v="2"/>
    <n v="231.63248928164899"/>
    <n v="14090.9764313003"/>
    <n v="50727.515152681197"/>
  </r>
  <r>
    <x v="0"/>
    <x v="0"/>
    <x v="0"/>
    <x v="0"/>
    <x v="1"/>
    <s v="DK2_Rural"/>
    <x v="0"/>
    <x v="0"/>
    <x v="9"/>
    <x v="3"/>
    <n v="243.00803501861299"/>
    <n v="14782.988796965599"/>
    <n v="53218.7596690762"/>
  </r>
  <r>
    <x v="0"/>
    <x v="0"/>
    <x v="0"/>
    <x v="0"/>
    <x v="1"/>
    <s v="DK2_Rural"/>
    <x v="0"/>
    <x v="0"/>
    <x v="9"/>
    <x v="4"/>
    <n v="248.11878745116201"/>
    <n v="15093.892903279"/>
    <n v="54338.014451804404"/>
  </r>
  <r>
    <x v="0"/>
    <x v="0"/>
    <x v="0"/>
    <x v="0"/>
    <x v="1"/>
    <s v="DK2_Rural"/>
    <x v="0"/>
    <x v="0"/>
    <x v="9"/>
    <x v="5"/>
    <n v="249.932280249808"/>
    <n v="15204.2137151967"/>
    <n v="54735.169374707999"/>
  </r>
  <r>
    <x v="0"/>
    <x v="0"/>
    <x v="0"/>
    <x v="0"/>
    <x v="1"/>
    <s v="DK2_Rural"/>
    <x v="0"/>
    <x v="0"/>
    <x v="9"/>
    <x v="6"/>
    <n v="291.64261461867397"/>
    <n v="17741.592389302699"/>
    <n v="63869.732601489697"/>
  </r>
  <r>
    <x v="0"/>
    <x v="0"/>
    <x v="0"/>
    <x v="0"/>
    <x v="1"/>
    <s v="DK2_Rural"/>
    <x v="0"/>
    <x v="0"/>
    <x v="9"/>
    <x v="7"/>
    <n v="307.799186824797"/>
    <n v="18724.450531841801"/>
    <n v="67408.021914630503"/>
  </r>
  <r>
    <x v="0"/>
    <x v="0"/>
    <x v="0"/>
    <x v="0"/>
    <x v="1"/>
    <s v="DK2_Rural"/>
    <x v="0"/>
    <x v="0"/>
    <x v="9"/>
    <x v="8"/>
    <n v="311.26130944039397"/>
    <n v="18935.0629909573"/>
    <n v="68166.226767446293"/>
  </r>
  <r>
    <x v="0"/>
    <x v="0"/>
    <x v="0"/>
    <x v="0"/>
    <x v="1"/>
    <s v="DK2_Rural"/>
    <x v="0"/>
    <x v="0"/>
    <x v="9"/>
    <x v="9"/>
    <n v="311.92076136717498"/>
    <n v="18975.1796498365"/>
    <n v="68310.646739411299"/>
  </r>
  <r>
    <x v="0"/>
    <x v="0"/>
    <x v="0"/>
    <x v="0"/>
    <x v="1"/>
    <s v="DK2_Rural"/>
    <x v="0"/>
    <x v="0"/>
    <x v="9"/>
    <x v="10"/>
    <n v="311.59103540378402"/>
    <n v="18955.121320396898"/>
    <n v="68238.436753428803"/>
  </r>
  <r>
    <x v="0"/>
    <x v="0"/>
    <x v="0"/>
    <x v="0"/>
    <x v="1"/>
    <s v="DK2_Rural"/>
    <x v="0"/>
    <x v="0"/>
    <x v="9"/>
    <x v="11"/>
    <n v="310.60185751361399"/>
    <n v="18894.946332078202"/>
    <n v="68021.806795481403"/>
  </r>
  <r>
    <x v="0"/>
    <x v="0"/>
    <x v="0"/>
    <x v="0"/>
    <x v="1"/>
    <s v="DK2_Rural"/>
    <x v="0"/>
    <x v="0"/>
    <x v="10"/>
    <x v="0"/>
    <n v="158.433325409014"/>
    <n v="9638.02729571503"/>
    <n v="34696.898264574098"/>
  </r>
  <r>
    <x v="0"/>
    <x v="0"/>
    <x v="0"/>
    <x v="0"/>
    <x v="1"/>
    <s v="DK2_Rural"/>
    <x v="0"/>
    <x v="0"/>
    <x v="10"/>
    <x v="1"/>
    <n v="155.63065472019699"/>
    <n v="9467.5314954786609"/>
    <n v="34083.113383723197"/>
  </r>
  <r>
    <x v="0"/>
    <x v="0"/>
    <x v="0"/>
    <x v="0"/>
    <x v="1"/>
    <s v="DK2_Rural"/>
    <x v="0"/>
    <x v="0"/>
    <x v="10"/>
    <x v="2"/>
    <n v="153.48743595816001"/>
    <n v="9337.1523541214301"/>
    <n v="33613.748474837099"/>
  </r>
  <r>
    <x v="0"/>
    <x v="0"/>
    <x v="0"/>
    <x v="0"/>
    <x v="1"/>
    <s v="DK2_Rural"/>
    <x v="0"/>
    <x v="0"/>
    <x v="10"/>
    <x v="3"/>
    <n v="152.82798403138"/>
    <n v="9297.0356952422808"/>
    <n v="33469.328502872202"/>
  </r>
  <r>
    <x v="0"/>
    <x v="0"/>
    <x v="0"/>
    <x v="0"/>
    <x v="1"/>
    <s v="DK2_Rural"/>
    <x v="0"/>
    <x v="0"/>
    <x v="10"/>
    <x v="4"/>
    <n v="153.652298939856"/>
    <n v="9347.1815188412202"/>
    <n v="33649.853467828398"/>
  </r>
  <r>
    <x v="0"/>
    <x v="0"/>
    <x v="0"/>
    <x v="0"/>
    <x v="1"/>
    <s v="DK2_Rural"/>
    <x v="0"/>
    <x v="0"/>
    <x v="10"/>
    <x v="5"/>
    <n v="173.930445688356"/>
    <n v="10580.768779374999"/>
    <n v="38090.767605749897"/>
  </r>
  <r>
    <x v="0"/>
    <x v="0"/>
    <x v="0"/>
    <x v="0"/>
    <x v="1"/>
    <s v="DK2_Rural"/>
    <x v="0"/>
    <x v="0"/>
    <x v="10"/>
    <x v="6"/>
    <n v="227.67577772096601"/>
    <n v="13850.2764780255"/>
    <n v="49860.995320891598"/>
  </r>
  <r>
    <x v="0"/>
    <x v="0"/>
    <x v="0"/>
    <x v="0"/>
    <x v="1"/>
    <s v="DK2_Rural"/>
    <x v="0"/>
    <x v="0"/>
    <x v="10"/>
    <x v="7"/>
    <n v="286.36699920442999"/>
    <n v="17420.659118269501"/>
    <n v="62714.372825770297"/>
  </r>
  <r>
    <x v="0"/>
    <x v="0"/>
    <x v="0"/>
    <x v="0"/>
    <x v="1"/>
    <s v="DK2_Rural"/>
    <x v="0"/>
    <x v="0"/>
    <x v="10"/>
    <x v="8"/>
    <n v="299.22631177664999"/>
    <n v="18202.9339664129"/>
    <n v="65530.5622790864"/>
  </r>
  <r>
    <x v="0"/>
    <x v="0"/>
    <x v="0"/>
    <x v="0"/>
    <x v="1"/>
    <s v="DK2_Rural"/>
    <x v="0"/>
    <x v="0"/>
    <x v="10"/>
    <x v="9"/>
    <n v="305.49110508106497"/>
    <n v="18584.042225764799"/>
    <n v="66902.552012753207"/>
  </r>
  <r>
    <x v="0"/>
    <x v="0"/>
    <x v="0"/>
    <x v="0"/>
    <x v="1"/>
    <s v="DK2_Rural"/>
    <x v="0"/>
    <x v="0"/>
    <x v="10"/>
    <x v="10"/>
    <n v="305.98569402614999"/>
    <n v="18614.129719924102"/>
    <n v="67010.8669917269"/>
  </r>
  <r>
    <x v="0"/>
    <x v="0"/>
    <x v="0"/>
    <x v="0"/>
    <x v="1"/>
    <s v="DK2_Rural"/>
    <x v="0"/>
    <x v="0"/>
    <x v="10"/>
    <x v="11"/>
    <n v="304.50192719089398"/>
    <n v="18523.867237446098"/>
    <n v="66685.922054805793"/>
  </r>
  <r>
    <x v="0"/>
    <x v="0"/>
    <x v="0"/>
    <x v="0"/>
    <x v="1"/>
    <s v="DK2_Rural"/>
    <x v="0"/>
    <x v="0"/>
    <x v="11"/>
    <x v="0"/>
    <n v="222.72988827011301"/>
    <n v="13549.4015364318"/>
    <n v="48777.845531154599"/>
  </r>
  <r>
    <x v="0"/>
    <x v="0"/>
    <x v="0"/>
    <x v="0"/>
    <x v="1"/>
    <s v="DK2_Rural"/>
    <x v="0"/>
    <x v="0"/>
    <x v="11"/>
    <x v="1"/>
    <n v="220.25694354468601"/>
    <n v="13398.964065635"/>
    <n v="48236.270636286201"/>
  </r>
  <r>
    <x v="0"/>
    <x v="0"/>
    <x v="0"/>
    <x v="0"/>
    <x v="1"/>
    <s v="DK2_Rural"/>
    <x v="0"/>
    <x v="0"/>
    <x v="11"/>
    <x v="2"/>
    <n v="218.44345074603899"/>
    <n v="13288.643253717401"/>
    <n v="47839.115713382598"/>
  </r>
  <r>
    <x v="0"/>
    <x v="0"/>
    <x v="0"/>
    <x v="0"/>
    <x v="1"/>
    <s v="DK2_Rural"/>
    <x v="0"/>
    <x v="0"/>
    <x v="11"/>
    <x v="3"/>
    <n v="219.7623545996"/>
    <n v="13368.876571475699"/>
    <n v="48127.955657312501"/>
  </r>
  <r>
    <x v="0"/>
    <x v="0"/>
    <x v="0"/>
    <x v="0"/>
    <x v="1"/>
    <s v="DK2_Rural"/>
    <x v="0"/>
    <x v="0"/>
    <x v="11"/>
    <x v="4"/>
    <n v="226.19201088571"/>
    <n v="13760.013995547401"/>
    <n v="49536.050383970498"/>
  </r>
  <r>
    <x v="0"/>
    <x v="0"/>
    <x v="0"/>
    <x v="0"/>
    <x v="1"/>
    <s v="DK2_Rural"/>
    <x v="0"/>
    <x v="0"/>
    <x v="11"/>
    <x v="5"/>
    <n v="230.97303735486901"/>
    <n v="14050.8597724212"/>
    <n v="50583.0951807163"/>
  </r>
  <r>
    <x v="0"/>
    <x v="0"/>
    <x v="0"/>
    <x v="0"/>
    <x v="1"/>
    <s v="DK2_Rural"/>
    <x v="0"/>
    <x v="0"/>
    <x v="11"/>
    <x v="6"/>
    <n v="261.14296300507601"/>
    <n v="15886.1969161422"/>
    <n v="57190.308898111798"/>
  </r>
  <r>
    <x v="0"/>
    <x v="0"/>
    <x v="0"/>
    <x v="0"/>
    <x v="1"/>
    <s v="DK2_Rural"/>
    <x v="0"/>
    <x v="0"/>
    <x v="11"/>
    <x v="7"/>
    <n v="289.993984801723"/>
    <n v="17641.300742104799"/>
    <n v="63508.6826715774"/>
  </r>
  <r>
    <x v="0"/>
    <x v="0"/>
    <x v="0"/>
    <x v="0"/>
    <x v="1"/>
    <s v="DK2_Rural"/>
    <x v="0"/>
    <x v="0"/>
    <x v="11"/>
    <x v="8"/>
    <n v="296.91823003291802"/>
    <n v="18062.525660335901"/>
    <n v="65025.092377209097"/>
  </r>
  <r>
    <x v="0"/>
    <x v="0"/>
    <x v="0"/>
    <x v="0"/>
    <x v="1"/>
    <s v="DK2_Rural"/>
    <x v="0"/>
    <x v="0"/>
    <x v="11"/>
    <x v="9"/>
    <n v="300.54521563021098"/>
    <n v="18283.167284171199"/>
    <n v="65819.402223016194"/>
  </r>
  <r>
    <x v="0"/>
    <x v="0"/>
    <x v="0"/>
    <x v="0"/>
    <x v="1"/>
    <s v="DK2_Rural"/>
    <x v="0"/>
    <x v="0"/>
    <x v="11"/>
    <x v="10"/>
    <n v="299.55603774003998"/>
    <n v="18222.992295852499"/>
    <n v="65602.772265068896"/>
  </r>
  <r>
    <x v="0"/>
    <x v="0"/>
    <x v="0"/>
    <x v="0"/>
    <x v="1"/>
    <s v="DK2_Rural"/>
    <x v="0"/>
    <x v="0"/>
    <x v="11"/>
    <x v="11"/>
    <n v="299.72090072173597"/>
    <n v="18233.021460572199"/>
    <n v="65638.877258060107"/>
  </r>
  <r>
    <x v="0"/>
    <x v="0"/>
    <x v="0"/>
    <x v="0"/>
    <x v="1"/>
    <s v="DK2_Small"/>
    <x v="0"/>
    <x v="0"/>
    <x v="0"/>
    <x v="0"/>
    <n v="20.840223934179701"/>
    <n v="1267.7802893292701"/>
    <n v="4564.0090415853501"/>
  </r>
  <r>
    <x v="0"/>
    <x v="0"/>
    <x v="0"/>
    <x v="0"/>
    <x v="1"/>
    <s v="DK2_Small"/>
    <x v="0"/>
    <x v="0"/>
    <x v="0"/>
    <x v="1"/>
    <n v="20.654859807700301"/>
    <n v="1256.5039716351"/>
    <n v="4523.4142978863802"/>
  </r>
  <r>
    <x v="0"/>
    <x v="0"/>
    <x v="0"/>
    <x v="0"/>
    <x v="1"/>
    <s v="DK2_Small"/>
    <x v="0"/>
    <x v="0"/>
    <x v="0"/>
    <x v="2"/>
    <n v="20.4032942074783"/>
    <n v="1241.2003976215999"/>
    <n v="4468.3214314377601"/>
  </r>
  <r>
    <x v="0"/>
    <x v="0"/>
    <x v="0"/>
    <x v="0"/>
    <x v="1"/>
    <s v="DK2_Small"/>
    <x v="0"/>
    <x v="0"/>
    <x v="0"/>
    <x v="3"/>
    <n v="20.337092733735702"/>
    <n v="1237.1731413022601"/>
    <n v="4453.8233086881201"/>
  </r>
  <r>
    <x v="0"/>
    <x v="0"/>
    <x v="0"/>
    <x v="0"/>
    <x v="1"/>
    <s v="DK2_Small"/>
    <x v="0"/>
    <x v="0"/>
    <x v="0"/>
    <x v="4"/>
    <n v="20.257650965244601"/>
    <n v="1232.34043371904"/>
    <n v="4436.4255613885598"/>
  </r>
  <r>
    <x v="0"/>
    <x v="0"/>
    <x v="0"/>
    <x v="0"/>
    <x v="1"/>
    <s v="DK2_Small"/>
    <x v="0"/>
    <x v="0"/>
    <x v="0"/>
    <x v="5"/>
    <n v="20.257650965244601"/>
    <n v="1232.34043371904"/>
    <n v="4436.4255613885598"/>
  </r>
  <r>
    <x v="0"/>
    <x v="0"/>
    <x v="0"/>
    <x v="0"/>
    <x v="1"/>
    <s v="DK2_Small"/>
    <x v="0"/>
    <x v="0"/>
    <x v="0"/>
    <x v="6"/>
    <n v="20.641619512951799"/>
    <n v="1255.69852037124"/>
    <n v="4520.51467333645"/>
  </r>
  <r>
    <x v="0"/>
    <x v="0"/>
    <x v="0"/>
    <x v="0"/>
    <x v="1"/>
    <s v="DK2_Small"/>
    <x v="0"/>
    <x v="0"/>
    <x v="0"/>
    <x v="7"/>
    <n v="21.0255880606591"/>
    <n v="1279.0566070234299"/>
    <n v="4604.6037852843401"/>
  </r>
  <r>
    <x v="0"/>
    <x v="0"/>
    <x v="0"/>
    <x v="0"/>
    <x v="1"/>
    <s v="DK2_Small"/>
    <x v="0"/>
    <x v="0"/>
    <x v="0"/>
    <x v="8"/>
    <n v="21.171231302892799"/>
    <n v="1287.9165709259801"/>
    <n v="4636.4996553335304"/>
  </r>
  <r>
    <x v="0"/>
    <x v="0"/>
    <x v="0"/>
    <x v="0"/>
    <x v="1"/>
    <s v="DK2_Small"/>
    <x v="0"/>
    <x v="0"/>
    <x v="0"/>
    <x v="9"/>
    <n v="21.436037197863399"/>
    <n v="1304.02559620335"/>
    <n v="4694.4921463320798"/>
  </r>
  <r>
    <x v="0"/>
    <x v="0"/>
    <x v="0"/>
    <x v="0"/>
    <x v="1"/>
    <s v="DK2_Small"/>
    <x v="0"/>
    <x v="0"/>
    <x v="0"/>
    <x v="10"/>
    <n v="21.753804271827999"/>
    <n v="1323.3564265361999"/>
    <n v="4764.0831355303299"/>
  </r>
  <r>
    <x v="0"/>
    <x v="0"/>
    <x v="0"/>
    <x v="0"/>
    <x v="1"/>
    <s v="DK2_Small"/>
    <x v="0"/>
    <x v="0"/>
    <x v="0"/>
    <x v="11"/>
    <n v="21.793525156073599"/>
    <n v="1325.7727803278101"/>
    <n v="4772.7820091801104"/>
  </r>
  <r>
    <x v="0"/>
    <x v="0"/>
    <x v="0"/>
    <x v="0"/>
    <x v="1"/>
    <s v="DK2_Small"/>
    <x v="0"/>
    <x v="0"/>
    <x v="1"/>
    <x v="0"/>
    <n v="13.3726976960111"/>
    <n v="813.50577650734294"/>
    <n v="2928.6207954264401"/>
  </r>
  <r>
    <x v="0"/>
    <x v="0"/>
    <x v="0"/>
    <x v="0"/>
    <x v="1"/>
    <s v="DK2_Small"/>
    <x v="0"/>
    <x v="0"/>
    <x v="1"/>
    <x v="1"/>
    <n v="13.227054453777299"/>
    <n v="804.64581260478803"/>
    <n v="2896.7249253772402"/>
  </r>
  <r>
    <x v="0"/>
    <x v="0"/>
    <x v="0"/>
    <x v="0"/>
    <x v="1"/>
    <s v="DK2_Small"/>
    <x v="0"/>
    <x v="0"/>
    <x v="1"/>
    <x v="2"/>
    <n v="13.094651506292101"/>
    <n v="796.59129996610102"/>
    <n v="2867.7286798779601"/>
  </r>
  <r>
    <x v="0"/>
    <x v="0"/>
    <x v="0"/>
    <x v="0"/>
    <x v="1"/>
    <s v="DK2_Small"/>
    <x v="0"/>
    <x v="0"/>
    <x v="1"/>
    <x v="3"/>
    <n v="13.293255927520001"/>
    <n v="808.67306892413103"/>
    <n v="2911.2230481268698"/>
  </r>
  <r>
    <x v="0"/>
    <x v="0"/>
    <x v="0"/>
    <x v="0"/>
    <x v="1"/>
    <s v="DK2_Small"/>
    <x v="0"/>
    <x v="0"/>
    <x v="1"/>
    <x v="4"/>
    <n v="13.4388991697537"/>
    <n v="817.53303282668605"/>
    <n v="2943.1189181760701"/>
  </r>
  <r>
    <x v="0"/>
    <x v="0"/>
    <x v="0"/>
    <x v="0"/>
    <x v="1"/>
    <s v="DK2_Small"/>
    <x v="0"/>
    <x v="0"/>
    <x v="1"/>
    <x v="5"/>
    <n v="15.7559507507458"/>
    <n v="958.48700400370103"/>
    <n v="3450.5532144133199"/>
  </r>
  <r>
    <x v="0"/>
    <x v="0"/>
    <x v="0"/>
    <x v="0"/>
    <x v="1"/>
    <s v="DK2_Small"/>
    <x v="0"/>
    <x v="0"/>
    <x v="1"/>
    <x v="6"/>
    <n v="21.555199850600101"/>
    <n v="1311.27465757817"/>
    <n v="4720.5887672814197"/>
  </r>
  <r>
    <x v="0"/>
    <x v="0"/>
    <x v="0"/>
    <x v="0"/>
    <x v="1"/>
    <s v="DK2_Small"/>
    <x v="0"/>
    <x v="0"/>
    <x v="1"/>
    <x v="7"/>
    <n v="25.010916779965299"/>
    <n v="1521.49743744789"/>
    <n v="5477.3907748124102"/>
  </r>
  <r>
    <x v="0"/>
    <x v="0"/>
    <x v="0"/>
    <x v="0"/>
    <x v="1"/>
    <s v="DK2_Small"/>
    <x v="0"/>
    <x v="0"/>
    <x v="1"/>
    <x v="8"/>
    <n v="25.5272882751579"/>
    <n v="1552.91003673877"/>
    <n v="5590.4761322595696"/>
  </r>
  <r>
    <x v="0"/>
    <x v="0"/>
    <x v="0"/>
    <x v="0"/>
    <x v="1"/>
    <s v="DK2_Small"/>
    <x v="0"/>
    <x v="0"/>
    <x v="1"/>
    <x v="9"/>
    <n v="25.461086801415199"/>
    <n v="1548.88278041943"/>
    <n v="5575.9780095099404"/>
  </r>
  <r>
    <x v="0"/>
    <x v="0"/>
    <x v="0"/>
    <x v="0"/>
    <x v="1"/>
    <s v="DK2_Small"/>
    <x v="0"/>
    <x v="0"/>
    <x v="1"/>
    <x v="10"/>
    <n v="25.580249454152"/>
    <n v="1556.13184179424"/>
    <n v="5602.0746304592803"/>
  </r>
  <r>
    <x v="0"/>
    <x v="0"/>
    <x v="0"/>
    <x v="0"/>
    <x v="1"/>
    <s v="DK2_Small"/>
    <x v="0"/>
    <x v="0"/>
    <x v="1"/>
    <x v="11"/>
    <n v="25.461086801415199"/>
    <n v="1548.88278041943"/>
    <n v="5575.9780095099404"/>
  </r>
  <r>
    <x v="0"/>
    <x v="0"/>
    <x v="0"/>
    <x v="0"/>
    <x v="1"/>
    <s v="DK2_Small"/>
    <x v="0"/>
    <x v="0"/>
    <x v="2"/>
    <x v="0"/>
    <n v="17.437468183808601"/>
    <n v="1060.7793145150199"/>
    <n v="3818.8055322540699"/>
  </r>
  <r>
    <x v="0"/>
    <x v="0"/>
    <x v="0"/>
    <x v="0"/>
    <x v="1"/>
    <s v="DK2_Small"/>
    <x v="0"/>
    <x v="0"/>
    <x v="2"/>
    <x v="1"/>
    <n v="17.027019046604298"/>
    <n v="1035.8103253350901"/>
    <n v="3728.9171712063298"/>
  </r>
  <r>
    <x v="0"/>
    <x v="0"/>
    <x v="0"/>
    <x v="0"/>
    <x v="1"/>
    <s v="DK2_Small"/>
    <x v="0"/>
    <x v="0"/>
    <x v="2"/>
    <x v="2"/>
    <n v="16.894616099118998"/>
    <n v="1027.75581269641"/>
    <n v="3699.9209257070602"/>
  </r>
  <r>
    <x v="0"/>
    <x v="0"/>
    <x v="0"/>
    <x v="0"/>
    <x v="1"/>
    <s v="DK2_Small"/>
    <x v="0"/>
    <x v="0"/>
    <x v="2"/>
    <x v="3"/>
    <n v="16.815174330627801"/>
    <n v="1022.92310511319"/>
    <n v="3682.5231784074999"/>
  </r>
  <r>
    <x v="0"/>
    <x v="0"/>
    <x v="0"/>
    <x v="0"/>
    <x v="1"/>
    <s v="DK2_Small"/>
    <x v="0"/>
    <x v="0"/>
    <x v="2"/>
    <x v="4"/>
    <n v="16.854895214873402"/>
    <n v="1025.3394589048"/>
    <n v="3691.2220520572801"/>
  </r>
  <r>
    <x v="0"/>
    <x v="0"/>
    <x v="0"/>
    <x v="0"/>
    <x v="1"/>
    <s v="DK2_Small"/>
    <x v="0"/>
    <x v="0"/>
    <x v="2"/>
    <x v="5"/>
    <n v="17.649312899784999"/>
    <n v="1073.6665347369201"/>
    <n v="3865.1995250529098"/>
  </r>
  <r>
    <x v="0"/>
    <x v="0"/>
    <x v="0"/>
    <x v="0"/>
    <x v="1"/>
    <s v="DK2_Small"/>
    <x v="0"/>
    <x v="0"/>
    <x v="2"/>
    <x v="6"/>
    <n v="21.396316313617799"/>
    <n v="1301.6092424117501"/>
    <n v="4685.7932726823001"/>
  </r>
  <r>
    <x v="0"/>
    <x v="0"/>
    <x v="0"/>
    <x v="0"/>
    <x v="1"/>
    <s v="DK2_Small"/>
    <x v="0"/>
    <x v="0"/>
    <x v="2"/>
    <x v="7"/>
    <n v="24.878513832480099"/>
    <n v="1513.4429248092099"/>
    <n v="5448.3945293131401"/>
  </r>
  <r>
    <x v="0"/>
    <x v="0"/>
    <x v="0"/>
    <x v="0"/>
    <x v="1"/>
    <s v="DK2_Small"/>
    <x v="0"/>
    <x v="0"/>
    <x v="2"/>
    <x v="8"/>
    <n v="25.1830406116962"/>
    <n v="1531.96830387818"/>
    <n v="5515.08589396147"/>
  </r>
  <r>
    <x v="0"/>
    <x v="0"/>
    <x v="0"/>
    <x v="0"/>
    <x v="1"/>
    <s v="DK2_Small"/>
    <x v="0"/>
    <x v="0"/>
    <x v="2"/>
    <x v="9"/>
    <n v="24.944715306222701"/>
    <n v="1517.4701811285499"/>
    <n v="5462.8926520627801"/>
  </r>
  <r>
    <x v="0"/>
    <x v="0"/>
    <x v="0"/>
    <x v="0"/>
    <x v="1"/>
    <s v="DK2_Small"/>
    <x v="0"/>
    <x v="0"/>
    <x v="2"/>
    <x v="10"/>
    <n v="25.103598843204999"/>
    <n v="1527.1355962949699"/>
    <n v="5497.6881466618997"/>
  </r>
  <r>
    <x v="0"/>
    <x v="0"/>
    <x v="0"/>
    <x v="0"/>
    <x v="1"/>
    <s v="DK2_Small"/>
    <x v="0"/>
    <x v="0"/>
    <x v="2"/>
    <x v="11"/>
    <n v="24.971195895719799"/>
    <n v="1519.08108365629"/>
    <n v="5468.6919011626296"/>
  </r>
  <r>
    <x v="0"/>
    <x v="0"/>
    <x v="0"/>
    <x v="0"/>
    <x v="1"/>
    <s v="DK2_Small"/>
    <x v="0"/>
    <x v="0"/>
    <x v="3"/>
    <x v="0"/>
    <n v="17.199142878335099"/>
    <n v="1046.2811917653901"/>
    <n v="3766.6122903553901"/>
  </r>
  <r>
    <x v="0"/>
    <x v="0"/>
    <x v="0"/>
    <x v="0"/>
    <x v="1"/>
    <s v="DK2_Small"/>
    <x v="0"/>
    <x v="0"/>
    <x v="3"/>
    <x v="1"/>
    <n v="16.8284146253764"/>
    <n v="1023.72855637706"/>
    <n v="3685.4228029574201"/>
  </r>
  <r>
    <x v="0"/>
    <x v="0"/>
    <x v="0"/>
    <x v="0"/>
    <x v="1"/>
    <s v="DK2_Small"/>
    <x v="0"/>
    <x v="0"/>
    <x v="3"/>
    <x v="2"/>
    <n v="16.417965488172101"/>
    <n v="998.75956719713395"/>
    <n v="3595.53444190968"/>
  </r>
  <r>
    <x v="0"/>
    <x v="0"/>
    <x v="0"/>
    <x v="0"/>
    <x v="1"/>
    <s v="DK2_Small"/>
    <x v="0"/>
    <x v="0"/>
    <x v="3"/>
    <x v="3"/>
    <n v="16.391484898674999"/>
    <n v="997.14866466939702"/>
    <n v="3589.7351928098301"/>
  </r>
  <r>
    <x v="0"/>
    <x v="0"/>
    <x v="0"/>
    <x v="0"/>
    <x v="1"/>
    <s v="DK2_Small"/>
    <x v="0"/>
    <x v="0"/>
    <x v="3"/>
    <x v="4"/>
    <n v="16.537128140908798"/>
    <n v="1006.00862857195"/>
    <n v="3621.63106285903"/>
  </r>
  <r>
    <x v="0"/>
    <x v="0"/>
    <x v="0"/>
    <x v="0"/>
    <x v="1"/>
    <s v="DK2_Small"/>
    <x v="0"/>
    <x v="0"/>
    <x v="3"/>
    <x v="5"/>
    <n v="17.556630836545299"/>
    <n v="1068.0283758898399"/>
    <n v="3844.9021532034199"/>
  </r>
  <r>
    <x v="0"/>
    <x v="0"/>
    <x v="0"/>
    <x v="0"/>
    <x v="1"/>
    <s v="DK2_Small"/>
    <x v="0"/>
    <x v="0"/>
    <x v="3"/>
    <x v="6"/>
    <n v="21.184471597641402"/>
    <n v="1288.7220221898499"/>
    <n v="4639.3992798834597"/>
  </r>
  <r>
    <x v="0"/>
    <x v="0"/>
    <x v="0"/>
    <x v="0"/>
    <x v="1"/>
    <s v="DK2_Small"/>
    <x v="0"/>
    <x v="0"/>
    <x v="3"/>
    <x v="7"/>
    <n v="23.964933494831801"/>
    <n v="1457.8667876022701"/>
    <n v="5248.3204353681704"/>
  </r>
  <r>
    <x v="0"/>
    <x v="0"/>
    <x v="0"/>
    <x v="0"/>
    <x v="1"/>
    <s v="DK2_Small"/>
    <x v="0"/>
    <x v="0"/>
    <x v="3"/>
    <x v="8"/>
    <n v="24.1502976213112"/>
    <n v="1469.1431052964299"/>
    <n v="5288.9151790671503"/>
  </r>
  <r>
    <x v="0"/>
    <x v="0"/>
    <x v="0"/>
    <x v="0"/>
    <x v="1"/>
    <s v="DK2_Small"/>
    <x v="0"/>
    <x v="0"/>
    <x v="3"/>
    <x v="9"/>
    <n v="24.097336442317101"/>
    <n v="1465.9213002409599"/>
    <n v="5277.3166808674396"/>
  </r>
  <r>
    <x v="0"/>
    <x v="0"/>
    <x v="0"/>
    <x v="0"/>
    <x v="1"/>
    <s v="DK2_Small"/>
    <x v="0"/>
    <x v="0"/>
    <x v="3"/>
    <x v="10"/>
    <n v="24.070855852819999"/>
    <n v="1464.31039771322"/>
    <n v="5271.5174317675801"/>
  </r>
  <r>
    <x v="0"/>
    <x v="0"/>
    <x v="0"/>
    <x v="0"/>
    <x v="1"/>
    <s v="DK2_Small"/>
    <x v="0"/>
    <x v="0"/>
    <x v="3"/>
    <x v="11"/>
    <n v="24.123817031814099"/>
    <n v="1467.53220276869"/>
    <n v="5283.11592996729"/>
  </r>
  <r>
    <x v="0"/>
    <x v="0"/>
    <x v="0"/>
    <x v="0"/>
    <x v="1"/>
    <s v="DK2_Small"/>
    <x v="0"/>
    <x v="0"/>
    <x v="4"/>
    <x v="0"/>
    <n v="15.6500283927576"/>
    <n v="952.04339389275196"/>
    <n v="3427.3562180139102"/>
  </r>
  <r>
    <x v="0"/>
    <x v="0"/>
    <x v="0"/>
    <x v="0"/>
    <x v="1"/>
    <s v="DK2_Small"/>
    <x v="0"/>
    <x v="0"/>
    <x v="4"/>
    <x v="1"/>
    <n v="16.0737178247104"/>
    <n v="977.81783433654903"/>
    <n v="3520.14420361158"/>
  </r>
  <r>
    <x v="0"/>
    <x v="0"/>
    <x v="0"/>
    <x v="0"/>
    <x v="1"/>
    <s v="DK2_Small"/>
    <x v="0"/>
    <x v="0"/>
    <x v="4"/>
    <x v="2"/>
    <n v="16.1531595932016"/>
    <n v="982.65054191976105"/>
    <n v="3537.5419509111398"/>
  </r>
  <r>
    <x v="0"/>
    <x v="0"/>
    <x v="0"/>
    <x v="0"/>
    <x v="1"/>
    <s v="DK2_Small"/>
    <x v="0"/>
    <x v="0"/>
    <x v="4"/>
    <x v="3"/>
    <n v="16.192880477447101"/>
    <n v="985.06689571136701"/>
    <n v="3546.2408245609199"/>
  </r>
  <r>
    <x v="0"/>
    <x v="0"/>
    <x v="0"/>
    <x v="0"/>
    <x v="1"/>
    <s v="DK2_Small"/>
    <x v="0"/>
    <x v="0"/>
    <x v="4"/>
    <x v="4"/>
    <n v="16.3782446039265"/>
    <n v="996.34321340552799"/>
    <n v="3586.8355682598999"/>
  </r>
  <r>
    <x v="0"/>
    <x v="0"/>
    <x v="0"/>
    <x v="0"/>
    <x v="1"/>
    <s v="DK2_Small"/>
    <x v="0"/>
    <x v="0"/>
    <x v="4"/>
    <x v="5"/>
    <n v="17.662553194533501"/>
    <n v="1074.4719860007899"/>
    <n v="3868.09914960284"/>
  </r>
  <r>
    <x v="0"/>
    <x v="0"/>
    <x v="0"/>
    <x v="0"/>
    <x v="1"/>
    <s v="DK2_Small"/>
    <x v="0"/>
    <x v="0"/>
    <x v="4"/>
    <x v="6"/>
    <n v="21.237432776635501"/>
    <n v="1291.9438272453301"/>
    <n v="4650.9977780831696"/>
  </r>
  <r>
    <x v="0"/>
    <x v="0"/>
    <x v="0"/>
    <x v="0"/>
    <x v="1"/>
    <s v="DK2_Small"/>
    <x v="0"/>
    <x v="0"/>
    <x v="4"/>
    <x v="7"/>
    <n v="23.739848484106901"/>
    <n v="1444.1741161165"/>
    <n v="5199.0268180193998"/>
  </r>
  <r>
    <x v="0"/>
    <x v="0"/>
    <x v="0"/>
    <x v="0"/>
    <x v="1"/>
    <s v="DK2_Small"/>
    <x v="0"/>
    <x v="0"/>
    <x v="4"/>
    <x v="8"/>
    <n v="24.203258800305299"/>
    <n v="1472.3649103519001"/>
    <n v="5300.5136772668502"/>
  </r>
  <r>
    <x v="0"/>
    <x v="0"/>
    <x v="0"/>
    <x v="0"/>
    <x v="1"/>
    <s v="DK2_Small"/>
    <x v="0"/>
    <x v="0"/>
    <x v="4"/>
    <x v="9"/>
    <n v="24.269460274047901"/>
    <n v="1476.3921666712499"/>
    <n v="5315.0118000164903"/>
  </r>
  <r>
    <x v="0"/>
    <x v="0"/>
    <x v="0"/>
    <x v="0"/>
    <x v="1"/>
    <s v="DK2_Small"/>
    <x v="0"/>
    <x v="0"/>
    <x v="4"/>
    <x v="10"/>
    <n v="24.295940863544999"/>
    <n v="1478.00306919898"/>
    <n v="5320.8110491163497"/>
  </r>
  <r>
    <x v="0"/>
    <x v="0"/>
    <x v="0"/>
    <x v="0"/>
    <x v="1"/>
    <s v="DK2_Small"/>
    <x v="0"/>
    <x v="0"/>
    <x v="4"/>
    <x v="11"/>
    <n v="24.3753826320361"/>
    <n v="1482.8357767821999"/>
    <n v="5338.20879641591"/>
  </r>
  <r>
    <x v="0"/>
    <x v="0"/>
    <x v="0"/>
    <x v="0"/>
    <x v="1"/>
    <s v="DK2_Small"/>
    <x v="0"/>
    <x v="0"/>
    <x v="5"/>
    <x v="0"/>
    <n v="20.562177744460701"/>
    <n v="1250.8658127880201"/>
    <n v="4503.1169260368897"/>
  </r>
  <r>
    <x v="0"/>
    <x v="0"/>
    <x v="0"/>
    <x v="0"/>
    <x v="1"/>
    <s v="DK2_Small"/>
    <x v="0"/>
    <x v="0"/>
    <x v="5"/>
    <x v="1"/>
    <n v="20.469495681221002"/>
    <n v="1245.2276539409399"/>
    <n v="4482.8195541874002"/>
  </r>
  <r>
    <x v="0"/>
    <x v="0"/>
    <x v="0"/>
    <x v="0"/>
    <x v="1"/>
    <s v="DK2_Small"/>
    <x v="0"/>
    <x v="0"/>
    <x v="5"/>
    <x v="2"/>
    <n v="20.482735975969501"/>
    <n v="1246.03310520481"/>
    <n v="4485.7191787373204"/>
  </r>
  <r>
    <x v="0"/>
    <x v="0"/>
    <x v="0"/>
    <x v="0"/>
    <x v="1"/>
    <s v="DK2_Small"/>
    <x v="0"/>
    <x v="0"/>
    <x v="5"/>
    <x v="3"/>
    <n v="20.350333028484201"/>
    <n v="1237.9785925661299"/>
    <n v="4456.7229332380502"/>
  </r>
  <r>
    <x v="0"/>
    <x v="0"/>
    <x v="0"/>
    <x v="0"/>
    <x v="1"/>
    <s v="DK2_Small"/>
    <x v="0"/>
    <x v="0"/>
    <x v="5"/>
    <x v="4"/>
    <n v="20.4032942074783"/>
    <n v="1241.2003976215999"/>
    <n v="4468.3214314377601"/>
  </r>
  <r>
    <x v="0"/>
    <x v="0"/>
    <x v="0"/>
    <x v="0"/>
    <x v="1"/>
    <s v="DK2_Small"/>
    <x v="0"/>
    <x v="0"/>
    <x v="5"/>
    <x v="5"/>
    <n v="20.509216565466598"/>
    <n v="1247.6440077325501"/>
    <n v="4491.5184278371798"/>
  </r>
  <r>
    <x v="0"/>
    <x v="0"/>
    <x v="0"/>
    <x v="0"/>
    <x v="1"/>
    <s v="DK2_Small"/>
    <x v="0"/>
    <x v="0"/>
    <x v="5"/>
    <x v="6"/>
    <n v="21.422796903114801"/>
    <n v="1303.22014493949"/>
    <n v="4691.5925217821496"/>
  </r>
  <r>
    <x v="0"/>
    <x v="0"/>
    <x v="0"/>
    <x v="0"/>
    <x v="1"/>
    <s v="DK2_Small"/>
    <x v="0"/>
    <x v="0"/>
    <x v="5"/>
    <x v="7"/>
    <n v="22.932190504446801"/>
    <n v="1395.0415890205099"/>
    <n v="5022.1497204738498"/>
  </r>
  <r>
    <x v="0"/>
    <x v="0"/>
    <x v="0"/>
    <x v="0"/>
    <x v="1"/>
    <s v="DK2_Small"/>
    <x v="0"/>
    <x v="0"/>
    <x v="5"/>
    <x v="8"/>
    <n v="22.9983919781894"/>
    <n v="1399.06884533986"/>
    <n v="5036.6478432234799"/>
  </r>
  <r>
    <x v="0"/>
    <x v="0"/>
    <x v="0"/>
    <x v="0"/>
    <x v="1"/>
    <s v="DK2_Small"/>
    <x v="0"/>
    <x v="0"/>
    <x v="5"/>
    <x v="9"/>
    <n v="23.130794925674699"/>
    <n v="1407.1233579785401"/>
    <n v="5065.64408872276"/>
  </r>
  <r>
    <x v="0"/>
    <x v="0"/>
    <x v="0"/>
    <x v="0"/>
    <x v="1"/>
    <s v="DK2_Small"/>
    <x v="0"/>
    <x v="0"/>
    <x v="5"/>
    <x v="10"/>
    <n v="23.329399346902601"/>
    <n v="1419.20512693657"/>
    <n v="5109.1384569716602"/>
  </r>
  <r>
    <x v="0"/>
    <x v="0"/>
    <x v="0"/>
    <x v="0"/>
    <x v="1"/>
    <s v="DK2_Small"/>
    <x v="0"/>
    <x v="0"/>
    <x v="5"/>
    <x v="11"/>
    <n v="23.1705158099203"/>
    <n v="1409.53971177015"/>
    <n v="5074.3429623725397"/>
  </r>
  <r>
    <x v="0"/>
    <x v="0"/>
    <x v="0"/>
    <x v="0"/>
    <x v="1"/>
    <s v="DK2_Small"/>
    <x v="0"/>
    <x v="0"/>
    <x v="6"/>
    <x v="0"/>
    <n v="16.047237235213299"/>
    <n v="976.20693180881199"/>
    <n v="3514.3449545117201"/>
  </r>
  <r>
    <x v="0"/>
    <x v="0"/>
    <x v="0"/>
    <x v="0"/>
    <x v="1"/>
    <s v="DK2_Small"/>
    <x v="0"/>
    <x v="0"/>
    <x v="6"/>
    <x v="1"/>
    <n v="15.861873108734001"/>
    <n v="964.93061411464998"/>
    <n v="3473.7502108127401"/>
  </r>
  <r>
    <x v="0"/>
    <x v="0"/>
    <x v="0"/>
    <x v="0"/>
    <x v="1"/>
    <s v="DK2_Small"/>
    <x v="0"/>
    <x v="0"/>
    <x v="6"/>
    <x v="2"/>
    <n v="15.6897492770031"/>
    <n v="954.45974768435804"/>
    <n v="3436.0550916636898"/>
  </r>
  <r>
    <x v="0"/>
    <x v="0"/>
    <x v="0"/>
    <x v="0"/>
    <x v="1"/>
    <s v="DK2_Small"/>
    <x v="0"/>
    <x v="0"/>
    <x v="6"/>
    <x v="3"/>
    <n v="15.5838269190149"/>
    <n v="948.01613757340897"/>
    <n v="3412.8580952642701"/>
  </r>
  <r>
    <x v="0"/>
    <x v="0"/>
    <x v="0"/>
    <x v="0"/>
    <x v="1"/>
    <s v="DK2_Small"/>
    <x v="0"/>
    <x v="0"/>
    <x v="6"/>
    <x v="4"/>
    <n v="15.4249433820326"/>
    <n v="938.35072240698503"/>
    <n v="3378.0626006651501"/>
  </r>
  <r>
    <x v="0"/>
    <x v="0"/>
    <x v="0"/>
    <x v="0"/>
    <x v="1"/>
    <s v="DK2_Small"/>
    <x v="0"/>
    <x v="0"/>
    <x v="6"/>
    <x v="5"/>
    <n v="16.113438708956"/>
    <n v="980.23418812815498"/>
    <n v="3528.8430772613601"/>
  </r>
  <r>
    <x v="0"/>
    <x v="0"/>
    <x v="0"/>
    <x v="0"/>
    <x v="1"/>
    <s v="DK2_Small"/>
    <x v="0"/>
    <x v="0"/>
    <x v="6"/>
    <x v="6"/>
    <n v="19.8207212385432"/>
    <n v="1205.76054201138"/>
    <n v="4340.7379512409598"/>
  </r>
  <r>
    <x v="0"/>
    <x v="0"/>
    <x v="0"/>
    <x v="0"/>
    <x v="1"/>
    <s v="DK2_Small"/>
    <x v="0"/>
    <x v="0"/>
    <x v="6"/>
    <x v="7"/>
    <n v="22.746826377967398"/>
    <n v="1383.7652713263501"/>
    <n v="4981.5549767748698"/>
  </r>
  <r>
    <x v="0"/>
    <x v="0"/>
    <x v="0"/>
    <x v="0"/>
    <x v="1"/>
    <s v="DK2_Small"/>
    <x v="0"/>
    <x v="0"/>
    <x v="6"/>
    <x v="8"/>
    <n v="22.9851516834409"/>
    <n v="1398.2633940759899"/>
    <n v="5033.7482186735597"/>
  </r>
  <r>
    <x v="0"/>
    <x v="0"/>
    <x v="0"/>
    <x v="0"/>
    <x v="1"/>
    <s v="DK2_Small"/>
    <x v="0"/>
    <x v="0"/>
    <x v="6"/>
    <x v="9"/>
    <n v="23.144035220423198"/>
    <n v="1407.9288092424099"/>
    <n v="5068.5437132726802"/>
  </r>
  <r>
    <x v="0"/>
    <x v="0"/>
    <x v="0"/>
    <x v="0"/>
    <x v="1"/>
    <s v="DK2_Small"/>
    <x v="0"/>
    <x v="0"/>
    <x v="6"/>
    <x v="10"/>
    <n v="23.329399346902601"/>
    <n v="1419.20512693657"/>
    <n v="5109.1384569716602"/>
  </r>
  <r>
    <x v="0"/>
    <x v="0"/>
    <x v="0"/>
    <x v="0"/>
    <x v="1"/>
    <s v="DK2_Small"/>
    <x v="0"/>
    <x v="0"/>
    <x v="6"/>
    <x v="11"/>
    <n v="23.4750425891364"/>
    <n v="1428.0650908391301"/>
    <n v="5141.0343270208596"/>
  </r>
  <r>
    <x v="0"/>
    <x v="0"/>
    <x v="0"/>
    <x v="0"/>
    <x v="1"/>
    <s v="DK2_Small"/>
    <x v="0"/>
    <x v="0"/>
    <x v="7"/>
    <x v="0"/>
    <n v="12.8828067903157"/>
    <n v="783.704079744203"/>
    <n v="2821.3346870791302"/>
  </r>
  <r>
    <x v="0"/>
    <x v="0"/>
    <x v="0"/>
    <x v="0"/>
    <x v="1"/>
    <s v="DK2_Small"/>
    <x v="0"/>
    <x v="0"/>
    <x v="7"/>
    <x v="1"/>
    <n v="12.8960470850642"/>
    <n v="784.50953100807101"/>
    <n v="2824.2343116290599"/>
  </r>
  <r>
    <x v="0"/>
    <x v="0"/>
    <x v="0"/>
    <x v="0"/>
    <x v="1"/>
    <s v="DK2_Small"/>
    <x v="0"/>
    <x v="0"/>
    <x v="7"/>
    <x v="2"/>
    <n v="12.710682958584799"/>
    <n v="773.23321331391003"/>
    <n v="2783.6395679300799"/>
  </r>
  <r>
    <x v="0"/>
    <x v="0"/>
    <x v="0"/>
    <x v="0"/>
    <x v="1"/>
    <s v="DK2_Small"/>
    <x v="0"/>
    <x v="0"/>
    <x v="7"/>
    <x v="3"/>
    <n v="12.737163548081901"/>
    <n v="774.84411584164798"/>
    <n v="2789.4388170299299"/>
  </r>
  <r>
    <x v="0"/>
    <x v="0"/>
    <x v="0"/>
    <x v="0"/>
    <x v="1"/>
    <s v="DK2_Small"/>
    <x v="0"/>
    <x v="0"/>
    <x v="7"/>
    <x v="4"/>
    <n v="12.9490082640583"/>
    <n v="787.731336063546"/>
    <n v="2835.8328098287702"/>
  </r>
  <r>
    <x v="0"/>
    <x v="0"/>
    <x v="0"/>
    <x v="0"/>
    <x v="1"/>
    <s v="DK2_Small"/>
    <x v="0"/>
    <x v="0"/>
    <x v="7"/>
    <x v="5"/>
    <n v="14.696727170863699"/>
    <n v="894.050902894209"/>
    <n v="3218.5832504191499"/>
  </r>
  <r>
    <x v="0"/>
    <x v="0"/>
    <x v="0"/>
    <x v="0"/>
    <x v="1"/>
    <s v="DK2_Small"/>
    <x v="0"/>
    <x v="0"/>
    <x v="7"/>
    <x v="6"/>
    <n v="20.4430150917239"/>
    <n v="1243.6167514132101"/>
    <n v="4477.0203050875398"/>
  </r>
  <r>
    <x v="0"/>
    <x v="0"/>
    <x v="0"/>
    <x v="0"/>
    <x v="1"/>
    <s v="DK2_Small"/>
    <x v="0"/>
    <x v="0"/>
    <x v="7"/>
    <x v="7"/>
    <n v="23.806049957849499"/>
    <n v="1448.2013724358401"/>
    <n v="5213.5249407690399"/>
  </r>
  <r>
    <x v="0"/>
    <x v="0"/>
    <x v="0"/>
    <x v="0"/>
    <x v="1"/>
    <s v="DK2_Small"/>
    <x v="0"/>
    <x v="0"/>
    <x v="7"/>
    <x v="8"/>
    <n v="24.216499095053798"/>
    <n v="1473.1703616157699"/>
    <n v="5303.4133018167804"/>
  </r>
  <r>
    <x v="0"/>
    <x v="0"/>
    <x v="0"/>
    <x v="0"/>
    <x v="1"/>
    <s v="DK2_Small"/>
    <x v="0"/>
    <x v="0"/>
    <x v="7"/>
    <x v="9"/>
    <n v="24.944715306222701"/>
    <n v="1517.4701811285499"/>
    <n v="5462.8926520627801"/>
  </r>
  <r>
    <x v="0"/>
    <x v="0"/>
    <x v="0"/>
    <x v="0"/>
    <x v="1"/>
    <s v="DK2_Small"/>
    <x v="0"/>
    <x v="0"/>
    <x v="7"/>
    <x v="10"/>
    <n v="25.1698003169477"/>
    <n v="1531.1628526143199"/>
    <n v="5512.1862694115398"/>
  </r>
  <r>
    <x v="0"/>
    <x v="0"/>
    <x v="0"/>
    <x v="0"/>
    <x v="1"/>
    <s v="DK2_Small"/>
    <x v="0"/>
    <x v="0"/>
    <x v="7"/>
    <x v="11"/>
    <n v="25.077118253708001"/>
    <n v="1525.52469376724"/>
    <n v="5491.8888975620503"/>
  </r>
  <r>
    <x v="0"/>
    <x v="0"/>
    <x v="0"/>
    <x v="0"/>
    <x v="1"/>
    <s v="DK2_Small"/>
    <x v="0"/>
    <x v="0"/>
    <x v="8"/>
    <x v="0"/>
    <n v="16.404725193423499"/>
    <n v="997.95411593326605"/>
    <n v="3592.6348173597598"/>
  </r>
  <r>
    <x v="0"/>
    <x v="0"/>
    <x v="0"/>
    <x v="0"/>
    <x v="1"/>
    <s v="DK2_Small"/>
    <x v="0"/>
    <x v="0"/>
    <x v="8"/>
    <x v="1"/>
    <n v="16.3782446039265"/>
    <n v="996.34321340552799"/>
    <n v="3586.8355682598999"/>
  </r>
  <r>
    <x v="0"/>
    <x v="0"/>
    <x v="0"/>
    <x v="0"/>
    <x v="1"/>
    <s v="DK2_Small"/>
    <x v="0"/>
    <x v="0"/>
    <x v="8"/>
    <x v="2"/>
    <n v="16.259081951189799"/>
    <n v="989.09415203071001"/>
    <n v="3560.73894731056"/>
  </r>
  <r>
    <x v="0"/>
    <x v="0"/>
    <x v="0"/>
    <x v="0"/>
    <x v="1"/>
    <s v="DK2_Small"/>
    <x v="0"/>
    <x v="0"/>
    <x v="8"/>
    <x v="3"/>
    <n v="16.325283424932401"/>
    <n v="993.121408350053"/>
    <n v="3575.23707006019"/>
  </r>
  <r>
    <x v="0"/>
    <x v="0"/>
    <x v="0"/>
    <x v="0"/>
    <x v="1"/>
    <s v="DK2_Small"/>
    <x v="0"/>
    <x v="0"/>
    <x v="8"/>
    <x v="4"/>
    <n v="17.106460815095399"/>
    <n v="1040.6430329182999"/>
    <n v="3746.3149185059001"/>
  </r>
  <r>
    <x v="0"/>
    <x v="0"/>
    <x v="0"/>
    <x v="0"/>
    <x v="1"/>
    <s v="DK2_Small"/>
    <x v="0"/>
    <x v="0"/>
    <x v="8"/>
    <x v="5"/>
    <n v="17.569871131293802"/>
    <n v="1068.83382715371"/>
    <n v="3847.8017777533501"/>
  </r>
  <r>
    <x v="0"/>
    <x v="0"/>
    <x v="0"/>
    <x v="0"/>
    <x v="1"/>
    <s v="DK2_Small"/>
    <x v="0"/>
    <x v="0"/>
    <x v="8"/>
    <x v="6"/>
    <n v="20.297371849490101"/>
    <n v="1234.7567875106499"/>
    <n v="4445.1244350383404"/>
  </r>
  <r>
    <x v="0"/>
    <x v="0"/>
    <x v="0"/>
    <x v="0"/>
    <x v="1"/>
    <s v="DK2_Small"/>
    <x v="0"/>
    <x v="0"/>
    <x v="8"/>
    <x v="7"/>
    <n v="23.501523178633398"/>
    <n v="1429.67599336687"/>
    <n v="5146.83357612072"/>
  </r>
  <r>
    <x v="0"/>
    <x v="0"/>
    <x v="0"/>
    <x v="0"/>
    <x v="1"/>
    <s v="DK2_Small"/>
    <x v="0"/>
    <x v="0"/>
    <x v="8"/>
    <x v="8"/>
    <n v="23.501523178633398"/>
    <n v="1429.67599336687"/>
    <n v="5146.83357612072"/>
  </r>
  <r>
    <x v="0"/>
    <x v="0"/>
    <x v="0"/>
    <x v="0"/>
    <x v="1"/>
    <s v="DK2_Small"/>
    <x v="0"/>
    <x v="0"/>
    <x v="8"/>
    <x v="9"/>
    <n v="23.4750425891364"/>
    <n v="1428.0650908391301"/>
    <n v="5141.0343270208596"/>
  </r>
  <r>
    <x v="0"/>
    <x v="0"/>
    <x v="0"/>
    <x v="0"/>
    <x v="1"/>
    <s v="DK2_Small"/>
    <x v="0"/>
    <x v="0"/>
    <x v="8"/>
    <x v="10"/>
    <n v="23.819290252598002"/>
    <n v="1449.0068236997099"/>
    <n v="5216.4245653189701"/>
  </r>
  <r>
    <x v="0"/>
    <x v="0"/>
    <x v="0"/>
    <x v="0"/>
    <x v="1"/>
    <s v="DK2_Small"/>
    <x v="0"/>
    <x v="0"/>
    <x v="8"/>
    <x v="11"/>
    <n v="23.9252126105862"/>
    <n v="1455.4504338106599"/>
    <n v="5239.6215617183798"/>
  </r>
  <r>
    <x v="0"/>
    <x v="0"/>
    <x v="0"/>
    <x v="0"/>
    <x v="1"/>
    <s v="DK2_Small"/>
    <x v="0"/>
    <x v="0"/>
    <x v="9"/>
    <x v="0"/>
    <n v="18.5761335321818"/>
    <n v="1130.04812320773"/>
    <n v="4068.1732435478102"/>
  </r>
  <r>
    <x v="0"/>
    <x v="0"/>
    <x v="0"/>
    <x v="0"/>
    <x v="1"/>
    <s v="DK2_Small"/>
    <x v="0"/>
    <x v="0"/>
    <x v="9"/>
    <x v="1"/>
    <n v="18.271606752965699"/>
    <n v="1111.5227441387501"/>
    <n v="4001.4818788994899"/>
  </r>
  <r>
    <x v="0"/>
    <x v="0"/>
    <x v="0"/>
    <x v="0"/>
    <x v="1"/>
    <s v="DK2_Small"/>
    <x v="0"/>
    <x v="0"/>
    <x v="9"/>
    <x v="2"/>
    <n v="18.602614121678801"/>
    <n v="1131.6590257354601"/>
    <n v="4073.9724926476601"/>
  </r>
  <r>
    <x v="0"/>
    <x v="0"/>
    <x v="0"/>
    <x v="0"/>
    <x v="1"/>
    <s v="DK2_Small"/>
    <x v="0"/>
    <x v="0"/>
    <x v="9"/>
    <x v="3"/>
    <n v="19.5161944593271"/>
    <n v="1187.2351629423999"/>
    <n v="4274.0465865926399"/>
  </r>
  <r>
    <x v="0"/>
    <x v="0"/>
    <x v="0"/>
    <x v="0"/>
    <x v="1"/>
    <s v="DK2_Small"/>
    <x v="0"/>
    <x v="0"/>
    <x v="9"/>
    <x v="4"/>
    <n v="19.926643596531399"/>
    <n v="1212.20415212233"/>
    <n v="4363.9349476403804"/>
  </r>
  <r>
    <x v="0"/>
    <x v="0"/>
    <x v="0"/>
    <x v="0"/>
    <x v="1"/>
    <s v="DK2_Small"/>
    <x v="0"/>
    <x v="0"/>
    <x v="9"/>
    <x v="5"/>
    <n v="20.072286838765201"/>
    <n v="1221.0641160248799"/>
    <n v="4395.8308176895798"/>
  </r>
  <r>
    <x v="0"/>
    <x v="0"/>
    <x v="0"/>
    <x v="0"/>
    <x v="1"/>
    <s v="DK2_Small"/>
    <x v="0"/>
    <x v="0"/>
    <x v="9"/>
    <x v="6"/>
    <n v="23.422081410142201"/>
    <n v="1424.8432857836499"/>
    <n v="5129.4358288211497"/>
  </r>
  <r>
    <x v="0"/>
    <x v="0"/>
    <x v="0"/>
    <x v="0"/>
    <x v="1"/>
    <s v="DK2_Small"/>
    <x v="0"/>
    <x v="0"/>
    <x v="9"/>
    <x v="7"/>
    <n v="24.719630295497801"/>
    <n v="1503.7775096427799"/>
    <n v="5413.5990347140096"/>
  </r>
  <r>
    <x v="0"/>
    <x v="0"/>
    <x v="0"/>
    <x v="0"/>
    <x v="1"/>
    <s v="DK2_Small"/>
    <x v="0"/>
    <x v="0"/>
    <x v="9"/>
    <x v="8"/>
    <n v="24.9976764852168"/>
    <n v="1520.6919861840199"/>
    <n v="5474.49115026249"/>
  </r>
  <r>
    <x v="0"/>
    <x v="0"/>
    <x v="0"/>
    <x v="0"/>
    <x v="1"/>
    <s v="DK2_Small"/>
    <x v="0"/>
    <x v="0"/>
    <x v="9"/>
    <x v="9"/>
    <n v="25.0506376642109"/>
    <n v="1523.9137912394999"/>
    <n v="5486.0896484621899"/>
  </r>
  <r>
    <x v="0"/>
    <x v="0"/>
    <x v="0"/>
    <x v="0"/>
    <x v="1"/>
    <s v="DK2_Small"/>
    <x v="0"/>
    <x v="0"/>
    <x v="9"/>
    <x v="10"/>
    <n v="25.024157074713901"/>
    <n v="1522.30288871176"/>
    <n v="5480.2903993623404"/>
  </r>
  <r>
    <x v="0"/>
    <x v="0"/>
    <x v="0"/>
    <x v="0"/>
    <x v="1"/>
    <s v="DK2_Small"/>
    <x v="0"/>
    <x v="0"/>
    <x v="9"/>
    <x v="11"/>
    <n v="24.944715306222701"/>
    <n v="1517.4701811285499"/>
    <n v="5462.8926520627801"/>
  </r>
  <r>
    <x v="0"/>
    <x v="0"/>
    <x v="0"/>
    <x v="0"/>
    <x v="1"/>
    <s v="DK2_Small"/>
    <x v="0"/>
    <x v="0"/>
    <x v="10"/>
    <x v="0"/>
    <n v="12.7239232533334"/>
    <n v="774.03866457777895"/>
    <n v="2786.5391924800001"/>
  </r>
  <r>
    <x v="0"/>
    <x v="0"/>
    <x v="0"/>
    <x v="0"/>
    <x v="1"/>
    <s v="DK2_Small"/>
    <x v="0"/>
    <x v="0"/>
    <x v="10"/>
    <x v="1"/>
    <n v="12.4988382426084"/>
    <n v="760.34599309201201"/>
    <n v="2737.24557513124"/>
  </r>
  <r>
    <x v="0"/>
    <x v="0"/>
    <x v="0"/>
    <x v="0"/>
    <x v="1"/>
    <s v="DK2_Small"/>
    <x v="0"/>
    <x v="0"/>
    <x v="10"/>
    <x v="2"/>
    <n v="12.326714410877599"/>
    <n v="749.87512666171904"/>
    <n v="2699.5504559821902"/>
  </r>
  <r>
    <x v="0"/>
    <x v="0"/>
    <x v="0"/>
    <x v="0"/>
    <x v="1"/>
    <s v="DK2_Small"/>
    <x v="0"/>
    <x v="0"/>
    <x v="10"/>
    <x v="3"/>
    <n v="12.2737532318835"/>
    <n v="746.65332160624496"/>
    <n v="2687.9519577824799"/>
  </r>
  <r>
    <x v="0"/>
    <x v="0"/>
    <x v="0"/>
    <x v="0"/>
    <x v="1"/>
    <s v="DK2_Small"/>
    <x v="0"/>
    <x v="0"/>
    <x v="10"/>
    <x v="4"/>
    <n v="12.3399547056261"/>
    <n v="750.68057792558795"/>
    <n v="2702.45008053212"/>
  </r>
  <r>
    <x v="0"/>
    <x v="0"/>
    <x v="0"/>
    <x v="0"/>
    <x v="1"/>
    <s v="DK2_Small"/>
    <x v="0"/>
    <x v="0"/>
    <x v="10"/>
    <x v="5"/>
    <n v="13.9685109596948"/>
    <n v="849.75108338143298"/>
    <n v="3059.1039001731601"/>
  </r>
  <r>
    <x v="0"/>
    <x v="0"/>
    <x v="0"/>
    <x v="0"/>
    <x v="1"/>
    <s v="DK2_Small"/>
    <x v="0"/>
    <x v="0"/>
    <x v="10"/>
    <x v="6"/>
    <n v="18.284847047714202"/>
    <n v="1112.3281954026099"/>
    <n v="4004.38150344941"/>
  </r>
  <r>
    <x v="0"/>
    <x v="0"/>
    <x v="0"/>
    <x v="0"/>
    <x v="1"/>
    <s v="DK2_Small"/>
    <x v="0"/>
    <x v="0"/>
    <x v="10"/>
    <x v="7"/>
    <n v="22.9983919781894"/>
    <n v="1399.06884533986"/>
    <n v="5036.6478432234799"/>
  </r>
  <r>
    <x v="0"/>
    <x v="0"/>
    <x v="0"/>
    <x v="0"/>
    <x v="1"/>
    <s v="DK2_Small"/>
    <x v="0"/>
    <x v="0"/>
    <x v="10"/>
    <x v="8"/>
    <n v="24.031134968574399"/>
    <n v="1461.8940439216101"/>
    <n v="5262.8185581178004"/>
  </r>
  <r>
    <x v="0"/>
    <x v="0"/>
    <x v="0"/>
    <x v="0"/>
    <x v="1"/>
    <s v="DK2_Small"/>
    <x v="0"/>
    <x v="0"/>
    <x v="10"/>
    <x v="9"/>
    <n v="24.534266169018402"/>
    <n v="1492.5011919486201"/>
    <n v="5373.0042910150296"/>
  </r>
  <r>
    <x v="0"/>
    <x v="0"/>
    <x v="0"/>
    <x v="0"/>
    <x v="1"/>
    <s v="DK2_Small"/>
    <x v="0"/>
    <x v="0"/>
    <x v="10"/>
    <x v="10"/>
    <n v="24.573987053263998"/>
    <n v="1494.91754574023"/>
    <n v="5381.7031646648202"/>
  </r>
  <r>
    <x v="0"/>
    <x v="0"/>
    <x v="0"/>
    <x v="0"/>
    <x v="1"/>
    <s v="DK2_Small"/>
    <x v="0"/>
    <x v="0"/>
    <x v="10"/>
    <x v="11"/>
    <n v="24.454824400527301"/>
    <n v="1487.66848436541"/>
    <n v="5355.6065437154703"/>
  </r>
  <r>
    <x v="0"/>
    <x v="0"/>
    <x v="0"/>
    <x v="0"/>
    <x v="1"/>
    <s v="DK2_Small"/>
    <x v="0"/>
    <x v="0"/>
    <x v="11"/>
    <x v="0"/>
    <n v="17.887638205258401"/>
    <n v="1088.1646574865599"/>
    <n v="3917.3927669516002"/>
  </r>
  <r>
    <x v="0"/>
    <x v="0"/>
    <x v="0"/>
    <x v="0"/>
    <x v="1"/>
    <s v="DK2_Small"/>
    <x v="0"/>
    <x v="0"/>
    <x v="11"/>
    <x v="1"/>
    <n v="17.689033784030599"/>
    <n v="1076.08288852853"/>
    <n v="3873.89839870269"/>
  </r>
  <r>
    <x v="0"/>
    <x v="0"/>
    <x v="0"/>
    <x v="0"/>
    <x v="1"/>
    <s v="DK2_Small"/>
    <x v="0"/>
    <x v="0"/>
    <x v="11"/>
    <x v="2"/>
    <n v="17.5433905417968"/>
    <n v="1067.2229246259701"/>
    <n v="3842.0025286534901"/>
  </r>
  <r>
    <x v="0"/>
    <x v="0"/>
    <x v="0"/>
    <x v="0"/>
    <x v="1"/>
    <s v="DK2_Small"/>
    <x v="0"/>
    <x v="0"/>
    <x v="11"/>
    <x v="3"/>
    <n v="17.649312899784999"/>
    <n v="1073.6665347369201"/>
    <n v="3865.1995250529098"/>
  </r>
  <r>
    <x v="0"/>
    <x v="0"/>
    <x v="0"/>
    <x v="0"/>
    <x v="1"/>
    <s v="DK2_Small"/>
    <x v="0"/>
    <x v="0"/>
    <x v="11"/>
    <x v="4"/>
    <n v="18.1656843949775"/>
    <n v="1105.0791340277999"/>
    <n v="3978.2848825000701"/>
  </r>
  <r>
    <x v="0"/>
    <x v="0"/>
    <x v="0"/>
    <x v="0"/>
    <x v="1"/>
    <s v="DK2_Small"/>
    <x v="0"/>
    <x v="0"/>
    <x v="11"/>
    <x v="5"/>
    <n v="18.549652942684698"/>
    <n v="1128.4372206799901"/>
    <n v="4062.3739944479598"/>
  </r>
  <r>
    <x v="0"/>
    <x v="0"/>
    <x v="0"/>
    <x v="0"/>
    <x v="1"/>
    <s v="DK2_Small"/>
    <x v="0"/>
    <x v="0"/>
    <x v="11"/>
    <x v="6"/>
    <n v="20.972626881665001"/>
    <n v="1275.8348019679499"/>
    <n v="4593.0052870846303"/>
  </r>
  <r>
    <x v="0"/>
    <x v="0"/>
    <x v="0"/>
    <x v="0"/>
    <x v="1"/>
    <s v="DK2_Small"/>
    <x v="0"/>
    <x v="0"/>
    <x v="11"/>
    <x v="7"/>
    <n v="23.289678462657001"/>
    <n v="1416.78877314497"/>
    <n v="5100.4395833218796"/>
  </r>
  <r>
    <x v="0"/>
    <x v="0"/>
    <x v="0"/>
    <x v="0"/>
    <x v="1"/>
    <s v="DK2_Small"/>
    <x v="0"/>
    <x v="0"/>
    <x v="11"/>
    <x v="8"/>
    <n v="23.845770842095099"/>
    <n v="1450.61772622745"/>
    <n v="5222.2238144188204"/>
  </r>
  <r>
    <x v="0"/>
    <x v="0"/>
    <x v="0"/>
    <x v="0"/>
    <x v="1"/>
    <s v="DK2_Small"/>
    <x v="0"/>
    <x v="0"/>
    <x v="11"/>
    <x v="9"/>
    <n v="24.137057326562601"/>
    <n v="1468.3376540325601"/>
    <n v="5286.0155545172202"/>
  </r>
  <r>
    <x v="0"/>
    <x v="0"/>
    <x v="0"/>
    <x v="0"/>
    <x v="1"/>
    <s v="DK2_Small"/>
    <x v="0"/>
    <x v="0"/>
    <x v="11"/>
    <x v="10"/>
    <n v="24.0576155580715"/>
    <n v="1463.50494644935"/>
    <n v="5268.6178072176599"/>
  </r>
  <r>
    <x v="0"/>
    <x v="0"/>
    <x v="0"/>
    <x v="0"/>
    <x v="1"/>
    <s v="DK2_Small"/>
    <x v="0"/>
    <x v="0"/>
    <x v="11"/>
    <x v="11"/>
    <n v="24.070855852819999"/>
    <n v="1464.31039771322"/>
    <n v="5271.5174317675801"/>
  </r>
  <r>
    <x v="0"/>
    <x v="0"/>
    <x v="0"/>
    <x v="1"/>
    <x v="2"/>
    <s v="EE_Industry"/>
    <x v="2"/>
    <x v="2"/>
    <x v="1"/>
    <x v="0"/>
    <n v="2.9477394758584898"/>
    <n v="179.320818114725"/>
    <n v="645.55494521300795"/>
  </r>
  <r>
    <x v="0"/>
    <x v="0"/>
    <x v="0"/>
    <x v="1"/>
    <x v="2"/>
    <s v="EE_Industry"/>
    <x v="2"/>
    <x v="2"/>
    <x v="1"/>
    <x v="1"/>
    <n v="3.39304491363254"/>
    <n v="206.41023224597899"/>
    <n v="743.076836085526"/>
  </r>
  <r>
    <x v="0"/>
    <x v="0"/>
    <x v="0"/>
    <x v="1"/>
    <x v="2"/>
    <s v="EE_Industry"/>
    <x v="2"/>
    <x v="2"/>
    <x v="1"/>
    <x v="2"/>
    <n v="3.53220286293663"/>
    <n v="214.875674161978"/>
    <n v="773.55242698312202"/>
  </r>
  <r>
    <x v="0"/>
    <x v="0"/>
    <x v="0"/>
    <x v="1"/>
    <x v="2"/>
    <s v="EE_Industry"/>
    <x v="2"/>
    <x v="2"/>
    <x v="1"/>
    <x v="3"/>
    <n v="3.1147290150237601"/>
    <n v="189.47934841394499"/>
    <n v="682.12565429020299"/>
  </r>
  <r>
    <x v="0"/>
    <x v="0"/>
    <x v="0"/>
    <x v="1"/>
    <x v="2"/>
    <s v="EE_Industry"/>
    <x v="2"/>
    <x v="2"/>
    <x v="1"/>
    <x v="4"/>
    <n v="2.1962865496144999"/>
    <n v="133.60743176821501"/>
    <n v="480.98675436557602"/>
  </r>
  <r>
    <x v="0"/>
    <x v="0"/>
    <x v="0"/>
    <x v="1"/>
    <x v="2"/>
    <s v="EE_Industry"/>
    <x v="2"/>
    <x v="2"/>
    <x v="1"/>
    <x v="5"/>
    <n v="0.86037023629238396"/>
    <n v="52.339189374453397"/>
    <n v="188.42108174803201"/>
  </r>
  <r>
    <x v="0"/>
    <x v="0"/>
    <x v="0"/>
    <x v="1"/>
    <x v="2"/>
    <s v="EE_Industry"/>
    <x v="2"/>
    <x v="2"/>
    <x v="4"/>
    <x v="0"/>
    <n v="11.380711203704699"/>
    <n v="692.32659822537096"/>
    <n v="2492.3757536113299"/>
  </r>
  <r>
    <x v="0"/>
    <x v="0"/>
    <x v="0"/>
    <x v="1"/>
    <x v="2"/>
    <s v="EE_Industry"/>
    <x v="2"/>
    <x v="2"/>
    <x v="4"/>
    <x v="1"/>
    <n v="11.408542793565299"/>
    <n v="694.01968660855596"/>
    <n v="2498.4708717908002"/>
  </r>
  <r>
    <x v="0"/>
    <x v="0"/>
    <x v="0"/>
    <x v="1"/>
    <x v="2"/>
    <s v="EE_Industry"/>
    <x v="2"/>
    <x v="2"/>
    <x v="4"/>
    <x v="2"/>
    <n v="10.8797425862089"/>
    <n v="661.851007327709"/>
    <n v="2382.66362637975"/>
  </r>
  <r>
    <x v="0"/>
    <x v="0"/>
    <x v="0"/>
    <x v="1"/>
    <x v="2"/>
    <s v="EE_Industry"/>
    <x v="2"/>
    <x v="2"/>
    <x v="4"/>
    <x v="3"/>
    <n v="9.9613001207996508"/>
    <n v="605.97909068197896"/>
    <n v="2181.5247264551199"/>
  </r>
  <r>
    <x v="0"/>
    <x v="0"/>
    <x v="0"/>
    <x v="1"/>
    <x v="2"/>
    <s v="EE_Industry"/>
    <x v="2"/>
    <x v="2"/>
    <x v="4"/>
    <x v="4"/>
    <n v="9.0150260655298293"/>
    <n v="548.41408565306403"/>
    <n v="1974.2907083510299"/>
  </r>
  <r>
    <x v="0"/>
    <x v="0"/>
    <x v="0"/>
    <x v="1"/>
    <x v="2"/>
    <s v="EE_Industry"/>
    <x v="2"/>
    <x v="2"/>
    <x v="4"/>
    <x v="5"/>
    <n v="7.7347729319294602"/>
    <n v="470.53202002570902"/>
    <n v="1693.9152720925499"/>
  </r>
  <r>
    <x v="0"/>
    <x v="0"/>
    <x v="0"/>
    <x v="1"/>
    <x v="2"/>
    <s v="EE_Industry"/>
    <x v="2"/>
    <x v="2"/>
    <x v="4"/>
    <x v="6"/>
    <n v="6.1205407199985498"/>
    <n v="372.33289379991197"/>
    <n v="1340.3984176796801"/>
  </r>
  <r>
    <x v="0"/>
    <x v="0"/>
    <x v="0"/>
    <x v="1"/>
    <x v="2"/>
    <s v="EE_Industry"/>
    <x v="2"/>
    <x v="2"/>
    <x v="4"/>
    <x v="7"/>
    <n v="4.4228137384847104"/>
    <n v="269.05450242448597"/>
    <n v="968.59620872815105"/>
  </r>
  <r>
    <x v="0"/>
    <x v="0"/>
    <x v="0"/>
    <x v="1"/>
    <x v="2"/>
    <s v="EE_Industry"/>
    <x v="2"/>
    <x v="2"/>
    <x v="4"/>
    <x v="8"/>
    <n v="3.0590658353020102"/>
    <n v="186.09317164753901"/>
    <n v="669.93541793114002"/>
  </r>
  <r>
    <x v="0"/>
    <x v="0"/>
    <x v="0"/>
    <x v="1"/>
    <x v="2"/>
    <s v="EE_Industry"/>
    <x v="2"/>
    <x v="2"/>
    <x v="4"/>
    <x v="9"/>
    <n v="2.33544449891918"/>
    <n v="142.07287368425"/>
    <n v="511.46234526329903"/>
  </r>
  <r>
    <x v="0"/>
    <x v="0"/>
    <x v="0"/>
    <x v="1"/>
    <x v="2"/>
    <s v="EE_Industry"/>
    <x v="2"/>
    <x v="2"/>
    <x v="4"/>
    <x v="10"/>
    <n v="2.0849601901709902"/>
    <n v="126.83507823540199"/>
    <n v="456.60628164744702"/>
  </r>
  <r>
    <x v="0"/>
    <x v="0"/>
    <x v="0"/>
    <x v="1"/>
    <x v="2"/>
    <s v="EE_Industry"/>
    <x v="2"/>
    <x v="2"/>
    <x v="4"/>
    <x v="11"/>
    <n v="2.0292970104492398"/>
    <n v="123.448901468996"/>
    <n v="444.416045288384"/>
  </r>
  <r>
    <x v="0"/>
    <x v="0"/>
    <x v="0"/>
    <x v="1"/>
    <x v="2"/>
    <s v="EE_Industry"/>
    <x v="2"/>
    <x v="2"/>
    <x v="5"/>
    <x v="0"/>
    <n v="34.620088737537898"/>
    <n v="2106.0553982002202"/>
    <n v="7581.7994335207904"/>
  </r>
  <r>
    <x v="0"/>
    <x v="0"/>
    <x v="0"/>
    <x v="1"/>
    <x v="2"/>
    <s v="EE_Industry"/>
    <x v="2"/>
    <x v="2"/>
    <x v="5"/>
    <x v="1"/>
    <n v="34.620088737537898"/>
    <n v="2106.0553982002202"/>
    <n v="7581.7994335207904"/>
  </r>
  <r>
    <x v="0"/>
    <x v="0"/>
    <x v="0"/>
    <x v="1"/>
    <x v="2"/>
    <s v="EE_Industry"/>
    <x v="2"/>
    <x v="2"/>
    <x v="5"/>
    <x v="2"/>
    <n v="34.508762378094403"/>
    <n v="2099.2830446674102"/>
    <n v="7557.41896080267"/>
  </r>
  <r>
    <x v="0"/>
    <x v="0"/>
    <x v="0"/>
    <x v="1"/>
    <x v="2"/>
    <s v="EE_Industry"/>
    <x v="2"/>
    <x v="2"/>
    <x v="5"/>
    <x v="3"/>
    <n v="33.534656732963299"/>
    <n v="2040.02495125527"/>
    <n v="7344.0898245189701"/>
  </r>
  <r>
    <x v="0"/>
    <x v="0"/>
    <x v="0"/>
    <x v="1"/>
    <x v="2"/>
    <s v="EE_Industry"/>
    <x v="2"/>
    <x v="2"/>
    <x v="5"/>
    <x v="4"/>
    <n v="32.170908829780601"/>
    <n v="1957.06362047832"/>
    <n v="7045.42903372196"/>
  </r>
  <r>
    <x v="0"/>
    <x v="0"/>
    <x v="0"/>
    <x v="1"/>
    <x v="2"/>
    <s v="EE_Industry"/>
    <x v="2"/>
    <x v="2"/>
    <x v="5"/>
    <x v="5"/>
    <n v="29.916550051049299"/>
    <n v="1819.9234614388299"/>
    <n v="6551.7244611797896"/>
  </r>
  <r>
    <x v="0"/>
    <x v="0"/>
    <x v="0"/>
    <x v="1"/>
    <x v="2"/>
    <s v="EE_Industry"/>
    <x v="2"/>
    <x v="2"/>
    <x v="5"/>
    <x v="6"/>
    <n v="27.5508649128749"/>
    <n v="1676.0109488665601"/>
    <n v="6033.6394159196097"/>
  </r>
  <r>
    <x v="0"/>
    <x v="0"/>
    <x v="0"/>
    <x v="1"/>
    <x v="2"/>
    <s v="EE_Industry"/>
    <x v="2"/>
    <x v="2"/>
    <x v="5"/>
    <x v="7"/>
    <n v="24.851200696369499"/>
    <n v="1511.7813756958101"/>
    <n v="5442.4129525049302"/>
  </r>
  <r>
    <x v="0"/>
    <x v="0"/>
    <x v="0"/>
    <x v="1"/>
    <x v="2"/>
    <s v="EE_Industry"/>
    <x v="2"/>
    <x v="2"/>
    <x v="5"/>
    <x v="8"/>
    <n v="22.290694429168799"/>
    <n v="1356.0172444411"/>
    <n v="4881.6620799879602"/>
  </r>
  <r>
    <x v="0"/>
    <x v="0"/>
    <x v="0"/>
    <x v="1"/>
    <x v="2"/>
    <s v="EE_Industry"/>
    <x v="2"/>
    <x v="2"/>
    <x v="5"/>
    <x v="9"/>
    <n v="20.1198304200203"/>
    <n v="1223.9563505512399"/>
    <n v="4406.2428619844504"/>
  </r>
  <r>
    <x v="0"/>
    <x v="0"/>
    <x v="0"/>
    <x v="1"/>
    <x v="2"/>
    <s v="EE_Industry"/>
    <x v="2"/>
    <x v="2"/>
    <x v="5"/>
    <x v="10"/>
    <n v="18.728250926976401"/>
    <n v="1139.30193139107"/>
    <n v="4101.4869530078404"/>
  </r>
  <r>
    <x v="0"/>
    <x v="0"/>
    <x v="0"/>
    <x v="1"/>
    <x v="2"/>
    <s v="EE_Industry"/>
    <x v="2"/>
    <x v="2"/>
    <x v="5"/>
    <x v="11"/>
    <n v="17.7819768717066"/>
    <n v="1081.7369263621499"/>
    <n v="3894.25293490374"/>
  </r>
  <r>
    <x v="0"/>
    <x v="0"/>
    <x v="0"/>
    <x v="1"/>
    <x v="2"/>
    <s v="EE_Industry"/>
    <x v="2"/>
    <x v="2"/>
    <x v="6"/>
    <x v="0"/>
    <n v="1.86230747128397"/>
    <n v="113.290371169775"/>
    <n v="407.84533621118999"/>
  </r>
  <r>
    <x v="0"/>
    <x v="0"/>
    <x v="0"/>
    <x v="1"/>
    <x v="2"/>
    <s v="EE_Industry"/>
    <x v="2"/>
    <x v="2"/>
    <x v="6"/>
    <x v="1"/>
    <n v="1.77881270170163"/>
    <n v="108.211106020182"/>
    <n v="389.55998167265602"/>
  </r>
  <r>
    <x v="0"/>
    <x v="0"/>
    <x v="0"/>
    <x v="1"/>
    <x v="2"/>
    <s v="EE_Industry"/>
    <x v="2"/>
    <x v="2"/>
    <x v="6"/>
    <x v="2"/>
    <n v="1.5839915726751901"/>
    <n v="96.359487337740703"/>
    <n v="346.89415441586698"/>
  </r>
  <r>
    <x v="0"/>
    <x v="0"/>
    <x v="0"/>
    <x v="1"/>
    <x v="2"/>
    <s v="EE_Industry"/>
    <x v="2"/>
    <x v="2"/>
    <x v="6"/>
    <x v="3"/>
    <n v="1.3056756740664199"/>
    <n v="79.4286035057074"/>
    <n v="285.94297262054698"/>
  </r>
  <r>
    <x v="0"/>
    <x v="0"/>
    <x v="0"/>
    <x v="1"/>
    <x v="2"/>
    <s v="EE_Industry"/>
    <x v="2"/>
    <x v="2"/>
    <x v="6"/>
    <x v="4"/>
    <n v="0.97169659573587996"/>
    <n v="59.111542907265999"/>
    <n v="212.801554466158"/>
  </r>
  <r>
    <x v="0"/>
    <x v="0"/>
    <x v="0"/>
    <x v="1"/>
    <x v="2"/>
    <s v="EE_Industry"/>
    <x v="2"/>
    <x v="2"/>
    <x v="6"/>
    <x v="5"/>
    <n v="0.66554910726651595"/>
    <n v="40.487570692046397"/>
    <n v="145.755254491367"/>
  </r>
  <r>
    <x v="0"/>
    <x v="0"/>
    <x v="0"/>
    <x v="1"/>
    <x v="2"/>
    <s v="EE_Industry"/>
    <x v="2"/>
    <x v="2"/>
    <x v="6"/>
    <x v="6"/>
    <n v="0.22024366949247701"/>
    <n v="13.398156560792399"/>
    <n v="48.2333636188526"/>
  </r>
  <r>
    <x v="0"/>
    <x v="0"/>
    <x v="0"/>
    <x v="1"/>
    <x v="2"/>
    <s v="EE_Industry"/>
    <x v="3"/>
    <x v="3"/>
    <x v="0"/>
    <x v="0"/>
    <n v="39.476853834938197"/>
    <n v="2401.5086082920802"/>
    <n v="8645.4309898514693"/>
  </r>
  <r>
    <x v="0"/>
    <x v="0"/>
    <x v="0"/>
    <x v="1"/>
    <x v="2"/>
    <s v="EE_Industry"/>
    <x v="3"/>
    <x v="3"/>
    <x v="0"/>
    <x v="1"/>
    <n v="39.449022245077302"/>
    <n v="2399.8155199088701"/>
    <n v="8639.3358716719395"/>
  </r>
  <r>
    <x v="0"/>
    <x v="0"/>
    <x v="0"/>
    <x v="1"/>
    <x v="2"/>
    <s v="EE_Industry"/>
    <x v="3"/>
    <x v="3"/>
    <x v="0"/>
    <x v="2"/>
    <n v="39.476853834938197"/>
    <n v="2401.5086082920802"/>
    <n v="8645.4309898514693"/>
  </r>
  <r>
    <x v="0"/>
    <x v="0"/>
    <x v="0"/>
    <x v="1"/>
    <x v="2"/>
    <s v="EE_Industry"/>
    <x v="3"/>
    <x v="3"/>
    <x v="0"/>
    <x v="3"/>
    <n v="39.504685424799099"/>
    <n v="2403.2016966752799"/>
    <n v="8651.5261080310102"/>
  </r>
  <r>
    <x v="0"/>
    <x v="0"/>
    <x v="0"/>
    <x v="1"/>
    <x v="2"/>
    <s v="EE_Industry"/>
    <x v="3"/>
    <x v="3"/>
    <x v="0"/>
    <x v="4"/>
    <n v="39.504685424799099"/>
    <n v="2403.2016966752799"/>
    <n v="8651.5261080310102"/>
  </r>
  <r>
    <x v="0"/>
    <x v="0"/>
    <x v="0"/>
    <x v="1"/>
    <x v="2"/>
    <s v="EE_Industry"/>
    <x v="3"/>
    <x v="3"/>
    <x v="0"/>
    <x v="5"/>
    <n v="39.449022245077302"/>
    <n v="2399.8155199088701"/>
    <n v="8639.3358716719395"/>
  </r>
  <r>
    <x v="0"/>
    <x v="0"/>
    <x v="0"/>
    <x v="1"/>
    <x v="2"/>
    <s v="EE_Industry"/>
    <x v="3"/>
    <x v="3"/>
    <x v="0"/>
    <x v="6"/>
    <n v="39.337695885633799"/>
    <n v="2393.0431663760601"/>
    <n v="8614.9553989538108"/>
  </r>
  <r>
    <x v="0"/>
    <x v="0"/>
    <x v="0"/>
    <x v="1"/>
    <x v="2"/>
    <s v="EE_Industry"/>
    <x v="3"/>
    <x v="3"/>
    <x v="0"/>
    <x v="7"/>
    <n v="39.254201116051199"/>
    <n v="2387.9639012264502"/>
    <n v="8596.6700444152102"/>
  </r>
  <r>
    <x v="0"/>
    <x v="0"/>
    <x v="0"/>
    <x v="1"/>
    <x v="2"/>
    <s v="EE_Industry"/>
    <x v="3"/>
    <x v="3"/>
    <x v="0"/>
    <x v="8"/>
    <n v="39.532517014660002"/>
    <n v="2404.89478505848"/>
    <n v="8657.62122621054"/>
  </r>
  <r>
    <x v="0"/>
    <x v="0"/>
    <x v="0"/>
    <x v="1"/>
    <x v="2"/>
    <s v="EE_Industry"/>
    <x v="3"/>
    <x v="3"/>
    <x v="0"/>
    <x v="9"/>
    <n v="39.9221592727123"/>
    <n v="2428.5980224233299"/>
    <n v="8742.9528807239894"/>
  </r>
  <r>
    <x v="0"/>
    <x v="0"/>
    <x v="0"/>
    <x v="1"/>
    <x v="2"/>
    <s v="EE_Industry"/>
    <x v="3"/>
    <x v="3"/>
    <x v="0"/>
    <x v="10"/>
    <n v="40.478791069929798"/>
    <n v="2462.4597900874001"/>
    <n v="8864.8552443146309"/>
  </r>
  <r>
    <x v="0"/>
    <x v="0"/>
    <x v="0"/>
    <x v="1"/>
    <x v="2"/>
    <s v="EE_Industry"/>
    <x v="3"/>
    <x v="3"/>
    <x v="0"/>
    <x v="11"/>
    <n v="41.146749226590899"/>
    <n v="2503.0939112842798"/>
    <n v="9011.1380806234192"/>
  </r>
  <r>
    <x v="0"/>
    <x v="0"/>
    <x v="0"/>
    <x v="1"/>
    <x v="2"/>
    <s v="EE_Industry"/>
    <x v="3"/>
    <x v="3"/>
    <x v="1"/>
    <x v="0"/>
    <n v="53.868194842406901"/>
    <n v="3276.9818529130898"/>
    <n v="11797.134670487099"/>
  </r>
  <r>
    <x v="0"/>
    <x v="0"/>
    <x v="0"/>
    <x v="1"/>
    <x v="2"/>
    <s v="EE_Industry"/>
    <x v="3"/>
    <x v="3"/>
    <x v="1"/>
    <x v="1"/>
    <n v="53.868194842406901"/>
    <n v="3276.9818529130898"/>
    <n v="11797.134670487099"/>
  </r>
  <r>
    <x v="0"/>
    <x v="0"/>
    <x v="0"/>
    <x v="1"/>
    <x v="2"/>
    <s v="EE_Industry"/>
    <x v="3"/>
    <x v="3"/>
    <x v="1"/>
    <x v="2"/>
    <n v="53.868194842406901"/>
    <n v="3276.9818529130898"/>
    <n v="11797.134670487099"/>
  </r>
  <r>
    <x v="0"/>
    <x v="0"/>
    <x v="0"/>
    <x v="1"/>
    <x v="2"/>
    <s v="EE_Industry"/>
    <x v="3"/>
    <x v="3"/>
    <x v="1"/>
    <x v="3"/>
    <n v="53.868194842406901"/>
    <n v="3276.9818529130898"/>
    <n v="11797.134670487099"/>
  </r>
  <r>
    <x v="0"/>
    <x v="0"/>
    <x v="0"/>
    <x v="1"/>
    <x v="2"/>
    <s v="EE_Industry"/>
    <x v="3"/>
    <x v="3"/>
    <x v="1"/>
    <x v="4"/>
    <n v="53.868194842406901"/>
    <n v="3276.9818529130898"/>
    <n v="11797.134670487099"/>
  </r>
  <r>
    <x v="0"/>
    <x v="0"/>
    <x v="0"/>
    <x v="1"/>
    <x v="2"/>
    <s v="EE_Industry"/>
    <x v="3"/>
    <x v="3"/>
    <x v="1"/>
    <x v="5"/>
    <n v="53.868194842406901"/>
    <n v="3276.9818529130898"/>
    <n v="11797.134670487099"/>
  </r>
  <r>
    <x v="0"/>
    <x v="0"/>
    <x v="0"/>
    <x v="1"/>
    <x v="2"/>
    <s v="EE_Industry"/>
    <x v="3"/>
    <x v="3"/>
    <x v="1"/>
    <x v="6"/>
    <n v="53.030838097185999"/>
    <n v="3226.0426509121498"/>
    <n v="11613.753543283699"/>
  </r>
  <r>
    <x v="0"/>
    <x v="0"/>
    <x v="0"/>
    <x v="1"/>
    <x v="2"/>
    <s v="EE_Industry"/>
    <x v="3"/>
    <x v="3"/>
    <x v="1"/>
    <x v="7"/>
    <n v="50.943468857619898"/>
    <n v="3099.0610221718798"/>
    <n v="11156.619679818799"/>
  </r>
  <r>
    <x v="0"/>
    <x v="0"/>
    <x v="0"/>
    <x v="1"/>
    <x v="2"/>
    <s v="EE_Industry"/>
    <x v="3"/>
    <x v="3"/>
    <x v="1"/>
    <x v="8"/>
    <n v="49.134415516663097"/>
    <n v="2989.0102772636701"/>
    <n v="10760.4369981492"/>
  </r>
  <r>
    <x v="0"/>
    <x v="0"/>
    <x v="0"/>
    <x v="1"/>
    <x v="2"/>
    <s v="EE_Industry"/>
    <x v="3"/>
    <x v="3"/>
    <x v="1"/>
    <x v="9"/>
    <n v="47.492351714871099"/>
    <n v="2889.1180626546602"/>
    <n v="10400.8250255568"/>
  </r>
  <r>
    <x v="0"/>
    <x v="0"/>
    <x v="0"/>
    <x v="1"/>
    <x v="2"/>
    <s v="EE_Industry"/>
    <x v="3"/>
    <x v="3"/>
    <x v="1"/>
    <x v="10"/>
    <n v="46.017277452244798"/>
    <n v="2799.3843783448901"/>
    <n v="10077.783762041599"/>
  </r>
  <r>
    <x v="0"/>
    <x v="0"/>
    <x v="0"/>
    <x v="1"/>
    <x v="2"/>
    <s v="EE_Industry"/>
    <x v="3"/>
    <x v="3"/>
    <x v="1"/>
    <x v="11"/>
    <n v="44.792687498366199"/>
    <n v="2724.8884894839398"/>
    <n v="9809.5985621422005"/>
  </r>
  <r>
    <x v="0"/>
    <x v="0"/>
    <x v="0"/>
    <x v="1"/>
    <x v="2"/>
    <s v="EE_Industry"/>
    <x v="3"/>
    <x v="3"/>
    <x v="2"/>
    <x v="0"/>
    <n v="42.593991899356602"/>
    <n v="2591.1345072108602"/>
    <n v="9328.08422595909"/>
  </r>
  <r>
    <x v="0"/>
    <x v="0"/>
    <x v="0"/>
    <x v="1"/>
    <x v="2"/>
    <s v="EE_Industry"/>
    <x v="3"/>
    <x v="3"/>
    <x v="2"/>
    <x v="1"/>
    <n v="42.6496550790783"/>
    <n v="2594.52068397727"/>
    <n v="9340.2744623181497"/>
  </r>
  <r>
    <x v="0"/>
    <x v="0"/>
    <x v="0"/>
    <x v="1"/>
    <x v="2"/>
    <s v="EE_Industry"/>
    <x v="3"/>
    <x v="3"/>
    <x v="2"/>
    <x v="2"/>
    <n v="42.705318258800098"/>
    <n v="2597.9068607436702"/>
    <n v="9352.4646986772204"/>
  </r>
  <r>
    <x v="0"/>
    <x v="0"/>
    <x v="0"/>
    <x v="1"/>
    <x v="2"/>
    <s v="EE_Industry"/>
    <x v="3"/>
    <x v="3"/>
    <x v="2"/>
    <x v="3"/>
    <n v="42.844476208104503"/>
    <n v="2606.3723026596899"/>
    <n v="9382.9402895748808"/>
  </r>
  <r>
    <x v="0"/>
    <x v="0"/>
    <x v="0"/>
    <x v="1"/>
    <x v="2"/>
    <s v="EE_Industry"/>
    <x v="3"/>
    <x v="3"/>
    <x v="2"/>
    <x v="4"/>
    <n v="43.011465747269803"/>
    <n v="2616.5308329589102"/>
    <n v="9419.5109986520802"/>
  </r>
  <r>
    <x v="0"/>
    <x v="0"/>
    <x v="0"/>
    <x v="1"/>
    <x v="2"/>
    <s v="EE_Industry"/>
    <x v="3"/>
    <x v="3"/>
    <x v="2"/>
    <x v="5"/>
    <n v="43.206286876295898"/>
    <n v="2628.3824516413301"/>
    <n v="9462.1768259088003"/>
  </r>
  <r>
    <x v="0"/>
    <x v="0"/>
    <x v="0"/>
    <x v="1"/>
    <x v="2"/>
    <s v="EE_Industry"/>
    <x v="3"/>
    <x v="3"/>
    <x v="2"/>
    <x v="6"/>
    <n v="43.484602774904701"/>
    <n v="2645.31333547337"/>
    <n v="9523.1280077041301"/>
  </r>
  <r>
    <x v="0"/>
    <x v="0"/>
    <x v="0"/>
    <x v="1"/>
    <x v="2"/>
    <s v="EE_Industry"/>
    <x v="3"/>
    <x v="3"/>
    <x v="2"/>
    <x v="7"/>
    <n v="43.707255493791699"/>
    <n v="2658.85804253899"/>
    <n v="9571.8889531403802"/>
  </r>
  <r>
    <x v="0"/>
    <x v="0"/>
    <x v="0"/>
    <x v="1"/>
    <x v="2"/>
    <s v="EE_Industry"/>
    <x v="3"/>
    <x v="3"/>
    <x v="2"/>
    <x v="8"/>
    <n v="43.902076622817802"/>
    <n v="2670.70966122142"/>
    <n v="9614.5547803971094"/>
  </r>
  <r>
    <x v="0"/>
    <x v="0"/>
    <x v="0"/>
    <x v="1"/>
    <x v="2"/>
    <s v="EE_Industry"/>
    <x v="3"/>
    <x v="3"/>
    <x v="2"/>
    <x v="9"/>
    <n v="44.152560931565802"/>
    <n v="2685.9474566702502"/>
    <n v="9669.4108440129094"/>
  </r>
  <r>
    <x v="0"/>
    <x v="0"/>
    <x v="0"/>
    <x v="1"/>
    <x v="2"/>
    <s v="EE_Industry"/>
    <x v="3"/>
    <x v="3"/>
    <x v="2"/>
    <x v="10"/>
    <n v="44.263887291009198"/>
    <n v="2692.7198102030602"/>
    <n v="9693.7913167310198"/>
  </r>
  <r>
    <x v="0"/>
    <x v="0"/>
    <x v="0"/>
    <x v="1"/>
    <x v="2"/>
    <s v="EE_Industry"/>
    <x v="3"/>
    <x v="3"/>
    <x v="2"/>
    <x v="11"/>
    <n v="44.096897751843997"/>
    <n v="2682.5612799038399"/>
    <n v="9657.2206076538296"/>
  </r>
  <r>
    <x v="0"/>
    <x v="0"/>
    <x v="0"/>
    <x v="1"/>
    <x v="2"/>
    <s v="EE_Industry"/>
    <x v="3"/>
    <x v="3"/>
    <x v="3"/>
    <x v="0"/>
    <n v="44.319550470731102"/>
    <n v="2696.10598696947"/>
    <n v="9705.9815530900996"/>
  </r>
  <r>
    <x v="0"/>
    <x v="0"/>
    <x v="0"/>
    <x v="1"/>
    <x v="2"/>
    <s v="EE_Industry"/>
    <x v="3"/>
    <x v="3"/>
    <x v="3"/>
    <x v="1"/>
    <n v="45.210161346279101"/>
    <n v="2750.2848152319798"/>
    <n v="9901.0253348351198"/>
  </r>
  <r>
    <x v="0"/>
    <x v="0"/>
    <x v="0"/>
    <x v="1"/>
    <x v="2"/>
    <s v="EE_Industry"/>
    <x v="3"/>
    <x v="3"/>
    <x v="3"/>
    <x v="2"/>
    <n v="45.933782682661899"/>
    <n v="2794.3051131952702"/>
    <n v="10059.498407503001"/>
  </r>
  <r>
    <x v="0"/>
    <x v="0"/>
    <x v="0"/>
    <x v="1"/>
    <x v="2"/>
    <s v="EE_Industry"/>
    <x v="3"/>
    <x v="3"/>
    <x v="3"/>
    <x v="3"/>
    <n v="46.546077659601202"/>
    <n v="2831.5530576257402"/>
    <n v="10193.5910074527"/>
  </r>
  <r>
    <x v="0"/>
    <x v="0"/>
    <x v="0"/>
    <x v="1"/>
    <x v="2"/>
    <s v="EE_Industry"/>
    <x v="3"/>
    <x v="3"/>
    <x v="3"/>
    <x v="4"/>
    <n v="47.019214687236399"/>
    <n v="2860.33556014022"/>
    <n v="10297.208016504799"/>
  </r>
  <r>
    <x v="0"/>
    <x v="0"/>
    <x v="0"/>
    <x v="1"/>
    <x v="2"/>
    <s v="EE_Industry"/>
    <x v="3"/>
    <x v="3"/>
    <x v="3"/>
    <x v="5"/>
    <n v="47.186204226401699"/>
    <n v="2870.4940904394398"/>
    <n v="10333.778725582"/>
  </r>
  <r>
    <x v="0"/>
    <x v="0"/>
    <x v="0"/>
    <x v="1"/>
    <x v="2"/>
    <s v="EE_Industry"/>
    <x v="3"/>
    <x v="3"/>
    <x v="3"/>
    <x v="6"/>
    <n v="47.158372636540498"/>
    <n v="2868.8010020562101"/>
    <n v="10327.6836074024"/>
  </r>
  <r>
    <x v="0"/>
    <x v="0"/>
    <x v="0"/>
    <x v="1"/>
    <x v="2"/>
    <s v="EE_Industry"/>
    <x v="3"/>
    <x v="3"/>
    <x v="3"/>
    <x v="7"/>
    <n v="46.963551507514701"/>
    <n v="2856.9493833738102"/>
    <n v="10285.017780145699"/>
  </r>
  <r>
    <x v="0"/>
    <x v="0"/>
    <x v="0"/>
    <x v="1"/>
    <x v="2"/>
    <s v="EE_Industry"/>
    <x v="3"/>
    <x v="3"/>
    <x v="3"/>
    <x v="8"/>
    <n v="46.713067198766502"/>
    <n v="2841.71158792496"/>
    <n v="10230.161716529899"/>
  </r>
  <r>
    <x v="0"/>
    <x v="0"/>
    <x v="0"/>
    <x v="1"/>
    <x v="2"/>
    <s v="EE_Industry"/>
    <x v="3"/>
    <x v="3"/>
    <x v="3"/>
    <x v="9"/>
    <n v="46.379088120435902"/>
    <n v="2821.3945273265199"/>
    <n v="10157.020298375501"/>
  </r>
  <r>
    <x v="0"/>
    <x v="0"/>
    <x v="0"/>
    <x v="1"/>
    <x v="2"/>
    <s v="EE_Industry"/>
    <x v="3"/>
    <x v="3"/>
    <x v="3"/>
    <x v="10"/>
    <n v="45.989445862383697"/>
    <n v="2797.69128996167"/>
    <n v="10071.688643862"/>
  </r>
  <r>
    <x v="0"/>
    <x v="0"/>
    <x v="0"/>
    <x v="1"/>
    <x v="2"/>
    <s v="EE_Industry"/>
    <x v="3"/>
    <x v="3"/>
    <x v="3"/>
    <x v="11"/>
    <n v="45.599803604331399"/>
    <n v="2773.9880525968301"/>
    <n v="9986.3569893485692"/>
  </r>
  <r>
    <x v="0"/>
    <x v="0"/>
    <x v="0"/>
    <x v="1"/>
    <x v="2"/>
    <s v="EE_Industry"/>
    <x v="3"/>
    <x v="3"/>
    <x v="4"/>
    <x v="0"/>
    <n v="53.868194842406901"/>
    <n v="3276.9818529130898"/>
    <n v="11797.134670487099"/>
  </r>
  <r>
    <x v="0"/>
    <x v="0"/>
    <x v="0"/>
    <x v="1"/>
    <x v="2"/>
    <s v="EE_Industry"/>
    <x v="3"/>
    <x v="3"/>
    <x v="4"/>
    <x v="1"/>
    <n v="53.868194842406901"/>
    <n v="3276.9818529130898"/>
    <n v="11797.134670487099"/>
  </r>
  <r>
    <x v="0"/>
    <x v="0"/>
    <x v="0"/>
    <x v="1"/>
    <x v="2"/>
    <s v="EE_Industry"/>
    <x v="3"/>
    <x v="3"/>
    <x v="4"/>
    <x v="2"/>
    <n v="53.868194842406901"/>
    <n v="3276.9818529130898"/>
    <n v="11797.134670487099"/>
  </r>
  <r>
    <x v="0"/>
    <x v="0"/>
    <x v="0"/>
    <x v="1"/>
    <x v="2"/>
    <s v="EE_Industry"/>
    <x v="3"/>
    <x v="3"/>
    <x v="4"/>
    <x v="3"/>
    <n v="53.868194842406901"/>
    <n v="3276.9818529130898"/>
    <n v="11797.134670487099"/>
  </r>
  <r>
    <x v="0"/>
    <x v="0"/>
    <x v="0"/>
    <x v="1"/>
    <x v="2"/>
    <s v="EE_Industry"/>
    <x v="3"/>
    <x v="3"/>
    <x v="4"/>
    <x v="4"/>
    <n v="53.868194842406901"/>
    <n v="3276.9818529130898"/>
    <n v="11797.134670487099"/>
  </r>
  <r>
    <x v="0"/>
    <x v="0"/>
    <x v="0"/>
    <x v="1"/>
    <x v="2"/>
    <s v="EE_Industry"/>
    <x v="3"/>
    <x v="3"/>
    <x v="4"/>
    <x v="5"/>
    <n v="53.868194842406901"/>
    <n v="3276.9818529130898"/>
    <n v="11797.134670487099"/>
  </r>
  <r>
    <x v="0"/>
    <x v="0"/>
    <x v="0"/>
    <x v="1"/>
    <x v="2"/>
    <s v="EE_Industry"/>
    <x v="3"/>
    <x v="3"/>
    <x v="4"/>
    <x v="6"/>
    <n v="53.868194842406901"/>
    <n v="3276.9818529130898"/>
    <n v="11797.134670487099"/>
  </r>
  <r>
    <x v="0"/>
    <x v="0"/>
    <x v="0"/>
    <x v="1"/>
    <x v="2"/>
    <s v="EE_Industry"/>
    <x v="3"/>
    <x v="3"/>
    <x v="4"/>
    <x v="7"/>
    <n v="53.868194842406901"/>
    <n v="3276.9818529130898"/>
    <n v="11797.134670487099"/>
  </r>
  <r>
    <x v="0"/>
    <x v="0"/>
    <x v="0"/>
    <x v="1"/>
    <x v="2"/>
    <s v="EE_Industry"/>
    <x v="3"/>
    <x v="3"/>
    <x v="4"/>
    <x v="8"/>
    <n v="53.868194842406901"/>
    <n v="3276.9818529130898"/>
    <n v="11797.134670487099"/>
  </r>
  <r>
    <x v="0"/>
    <x v="0"/>
    <x v="0"/>
    <x v="1"/>
    <x v="2"/>
    <s v="EE_Industry"/>
    <x v="3"/>
    <x v="3"/>
    <x v="4"/>
    <x v="9"/>
    <n v="53.868194842406901"/>
    <n v="3276.9818529130898"/>
    <n v="11797.134670487099"/>
  </r>
  <r>
    <x v="0"/>
    <x v="0"/>
    <x v="0"/>
    <x v="1"/>
    <x v="2"/>
    <s v="EE_Industry"/>
    <x v="3"/>
    <x v="3"/>
    <x v="4"/>
    <x v="10"/>
    <n v="53.868194842406901"/>
    <n v="3276.9818529130898"/>
    <n v="11797.134670487099"/>
  </r>
  <r>
    <x v="0"/>
    <x v="0"/>
    <x v="0"/>
    <x v="1"/>
    <x v="2"/>
    <s v="EE_Industry"/>
    <x v="3"/>
    <x v="3"/>
    <x v="4"/>
    <x v="11"/>
    <n v="53.868194842406901"/>
    <n v="3276.9818529130898"/>
    <n v="11797.134670487099"/>
  </r>
  <r>
    <x v="0"/>
    <x v="0"/>
    <x v="0"/>
    <x v="1"/>
    <x v="2"/>
    <s v="EE_Industry"/>
    <x v="3"/>
    <x v="3"/>
    <x v="5"/>
    <x v="0"/>
    <n v="53.868194842406901"/>
    <n v="3276.9818529130898"/>
    <n v="11797.134670487099"/>
  </r>
  <r>
    <x v="0"/>
    <x v="0"/>
    <x v="0"/>
    <x v="1"/>
    <x v="2"/>
    <s v="EE_Industry"/>
    <x v="3"/>
    <x v="3"/>
    <x v="5"/>
    <x v="1"/>
    <n v="53.868194842406901"/>
    <n v="3276.9818529130898"/>
    <n v="11797.134670487099"/>
  </r>
  <r>
    <x v="0"/>
    <x v="0"/>
    <x v="0"/>
    <x v="1"/>
    <x v="2"/>
    <s v="EE_Industry"/>
    <x v="3"/>
    <x v="3"/>
    <x v="5"/>
    <x v="2"/>
    <n v="53.868194842406901"/>
    <n v="3276.9818529130898"/>
    <n v="11797.134670487099"/>
  </r>
  <r>
    <x v="0"/>
    <x v="0"/>
    <x v="0"/>
    <x v="1"/>
    <x v="2"/>
    <s v="EE_Industry"/>
    <x v="3"/>
    <x v="3"/>
    <x v="5"/>
    <x v="3"/>
    <n v="53.868194842406901"/>
    <n v="3276.9818529130898"/>
    <n v="11797.134670487099"/>
  </r>
  <r>
    <x v="0"/>
    <x v="0"/>
    <x v="0"/>
    <x v="1"/>
    <x v="2"/>
    <s v="EE_Industry"/>
    <x v="3"/>
    <x v="3"/>
    <x v="5"/>
    <x v="4"/>
    <n v="53.868194842406901"/>
    <n v="3276.9818529130898"/>
    <n v="11797.134670487099"/>
  </r>
  <r>
    <x v="0"/>
    <x v="0"/>
    <x v="0"/>
    <x v="1"/>
    <x v="2"/>
    <s v="EE_Industry"/>
    <x v="3"/>
    <x v="3"/>
    <x v="5"/>
    <x v="5"/>
    <n v="53.868194842406901"/>
    <n v="3276.9818529130898"/>
    <n v="11797.134670487099"/>
  </r>
  <r>
    <x v="0"/>
    <x v="0"/>
    <x v="0"/>
    <x v="1"/>
    <x v="2"/>
    <s v="EE_Industry"/>
    <x v="3"/>
    <x v="3"/>
    <x v="5"/>
    <x v="6"/>
    <n v="53.868194842406901"/>
    <n v="3276.9818529130898"/>
    <n v="11797.134670487099"/>
  </r>
  <r>
    <x v="0"/>
    <x v="0"/>
    <x v="0"/>
    <x v="1"/>
    <x v="2"/>
    <s v="EE_Industry"/>
    <x v="3"/>
    <x v="3"/>
    <x v="5"/>
    <x v="7"/>
    <n v="53.868194842406901"/>
    <n v="3276.9818529130898"/>
    <n v="11797.134670487099"/>
  </r>
  <r>
    <x v="0"/>
    <x v="0"/>
    <x v="0"/>
    <x v="1"/>
    <x v="2"/>
    <s v="EE_Industry"/>
    <x v="3"/>
    <x v="3"/>
    <x v="5"/>
    <x v="8"/>
    <n v="53.868194842406901"/>
    <n v="3276.9818529130898"/>
    <n v="11797.134670487099"/>
  </r>
  <r>
    <x v="0"/>
    <x v="0"/>
    <x v="0"/>
    <x v="1"/>
    <x v="2"/>
    <s v="EE_Industry"/>
    <x v="3"/>
    <x v="3"/>
    <x v="5"/>
    <x v="9"/>
    <n v="53.868194842406901"/>
    <n v="3276.9818529130898"/>
    <n v="11797.134670487099"/>
  </r>
  <r>
    <x v="0"/>
    <x v="0"/>
    <x v="0"/>
    <x v="1"/>
    <x v="2"/>
    <s v="EE_Industry"/>
    <x v="3"/>
    <x v="3"/>
    <x v="5"/>
    <x v="10"/>
    <n v="53.868194842406901"/>
    <n v="3276.9818529130898"/>
    <n v="11797.134670487099"/>
  </r>
  <r>
    <x v="0"/>
    <x v="0"/>
    <x v="0"/>
    <x v="1"/>
    <x v="2"/>
    <s v="EE_Industry"/>
    <x v="3"/>
    <x v="3"/>
    <x v="5"/>
    <x v="11"/>
    <n v="53.868194842406901"/>
    <n v="3276.9818529130898"/>
    <n v="11797.134670487099"/>
  </r>
  <r>
    <x v="0"/>
    <x v="0"/>
    <x v="0"/>
    <x v="1"/>
    <x v="2"/>
    <s v="EE_Industry"/>
    <x v="3"/>
    <x v="3"/>
    <x v="6"/>
    <x v="0"/>
    <n v="53.868194842406901"/>
    <n v="3276.9818529130898"/>
    <n v="11797.134670487099"/>
  </r>
  <r>
    <x v="0"/>
    <x v="0"/>
    <x v="0"/>
    <x v="1"/>
    <x v="2"/>
    <s v="EE_Industry"/>
    <x v="3"/>
    <x v="3"/>
    <x v="6"/>
    <x v="1"/>
    <n v="53.868194842406901"/>
    <n v="3276.9818529130898"/>
    <n v="11797.134670487099"/>
  </r>
  <r>
    <x v="0"/>
    <x v="0"/>
    <x v="0"/>
    <x v="1"/>
    <x v="2"/>
    <s v="EE_Industry"/>
    <x v="3"/>
    <x v="3"/>
    <x v="6"/>
    <x v="2"/>
    <n v="53.868194842406901"/>
    <n v="3276.9818529130898"/>
    <n v="11797.134670487099"/>
  </r>
  <r>
    <x v="0"/>
    <x v="0"/>
    <x v="0"/>
    <x v="1"/>
    <x v="2"/>
    <s v="EE_Industry"/>
    <x v="3"/>
    <x v="3"/>
    <x v="6"/>
    <x v="3"/>
    <n v="53.868194842406901"/>
    <n v="3276.9818529130898"/>
    <n v="11797.134670487099"/>
  </r>
  <r>
    <x v="0"/>
    <x v="0"/>
    <x v="0"/>
    <x v="1"/>
    <x v="2"/>
    <s v="EE_Industry"/>
    <x v="3"/>
    <x v="3"/>
    <x v="6"/>
    <x v="4"/>
    <n v="53.868194842406901"/>
    <n v="3276.9818529130898"/>
    <n v="11797.134670487099"/>
  </r>
  <r>
    <x v="0"/>
    <x v="0"/>
    <x v="0"/>
    <x v="1"/>
    <x v="2"/>
    <s v="EE_Industry"/>
    <x v="3"/>
    <x v="3"/>
    <x v="6"/>
    <x v="5"/>
    <n v="53.868194842406901"/>
    <n v="3276.9818529130898"/>
    <n v="11797.134670487099"/>
  </r>
  <r>
    <x v="0"/>
    <x v="0"/>
    <x v="0"/>
    <x v="1"/>
    <x v="2"/>
    <s v="EE_Industry"/>
    <x v="3"/>
    <x v="3"/>
    <x v="6"/>
    <x v="6"/>
    <n v="53.868194842406901"/>
    <n v="3276.9818529130898"/>
    <n v="11797.134670487099"/>
  </r>
  <r>
    <x v="0"/>
    <x v="0"/>
    <x v="0"/>
    <x v="1"/>
    <x v="2"/>
    <s v="EE_Industry"/>
    <x v="3"/>
    <x v="3"/>
    <x v="6"/>
    <x v="7"/>
    <n v="53.670964663985899"/>
    <n v="3264.9836837258099"/>
    <n v="11753.9412614129"/>
  </r>
  <r>
    <x v="0"/>
    <x v="0"/>
    <x v="0"/>
    <x v="1"/>
    <x v="2"/>
    <s v="EE_Industry"/>
    <x v="3"/>
    <x v="3"/>
    <x v="6"/>
    <x v="8"/>
    <n v="53.225659226211903"/>
    <n v="3237.8942695945502"/>
    <n v="11656.4193705404"/>
  </r>
  <r>
    <x v="0"/>
    <x v="0"/>
    <x v="0"/>
    <x v="1"/>
    <x v="2"/>
    <s v="EE_Industry"/>
    <x v="3"/>
    <x v="3"/>
    <x v="6"/>
    <x v="9"/>
    <n v="52.808185378299001"/>
    <n v="3212.4979438465198"/>
    <n v="11564.9925978475"/>
  </r>
  <r>
    <x v="0"/>
    <x v="0"/>
    <x v="0"/>
    <x v="1"/>
    <x v="2"/>
    <s v="EE_Industry"/>
    <x v="3"/>
    <x v="3"/>
    <x v="6"/>
    <x v="10"/>
    <n v="52.418543120246703"/>
    <n v="3188.7947064816699"/>
    <n v="11479.660943334"/>
  </r>
  <r>
    <x v="0"/>
    <x v="0"/>
    <x v="0"/>
    <x v="1"/>
    <x v="2"/>
    <s v="EE_Industry"/>
    <x v="3"/>
    <x v="3"/>
    <x v="6"/>
    <x v="11"/>
    <n v="52.1402272216379"/>
    <n v="3171.86382264964"/>
    <n v="11418.709761538699"/>
  </r>
  <r>
    <x v="0"/>
    <x v="0"/>
    <x v="0"/>
    <x v="1"/>
    <x v="2"/>
    <s v="EE_Industry"/>
    <x v="3"/>
    <x v="3"/>
    <x v="7"/>
    <x v="0"/>
    <n v="51.611427014280999"/>
    <n v="3139.69514336876"/>
    <n v="11302.9025161275"/>
  </r>
  <r>
    <x v="0"/>
    <x v="0"/>
    <x v="0"/>
    <x v="1"/>
    <x v="2"/>
    <s v="EE_Industry"/>
    <x v="3"/>
    <x v="3"/>
    <x v="7"/>
    <x v="1"/>
    <n v="51.054795217063401"/>
    <n v="3105.8333757046898"/>
    <n v="11181.000152536901"/>
  </r>
  <r>
    <x v="0"/>
    <x v="0"/>
    <x v="0"/>
    <x v="1"/>
    <x v="2"/>
    <s v="EE_Industry"/>
    <x v="3"/>
    <x v="3"/>
    <x v="7"/>
    <x v="2"/>
    <n v="50.414668650263501"/>
    <n v="3066.8923428910298"/>
    <n v="11040.8124344077"/>
  </r>
  <r>
    <x v="0"/>
    <x v="0"/>
    <x v="0"/>
    <x v="1"/>
    <x v="2"/>
    <s v="EE_Industry"/>
    <x v="3"/>
    <x v="3"/>
    <x v="7"/>
    <x v="3"/>
    <n v="49.663215724019501"/>
    <n v="3021.1789565445201"/>
    <n v="10876.244243560301"/>
  </r>
  <r>
    <x v="0"/>
    <x v="0"/>
    <x v="0"/>
    <x v="1"/>
    <x v="2"/>
    <s v="EE_Industry"/>
    <x v="3"/>
    <x v="3"/>
    <x v="7"/>
    <x v="4"/>
    <n v="48.744773258610799"/>
    <n v="2965.3070398988302"/>
    <n v="10675.1053436358"/>
  </r>
  <r>
    <x v="0"/>
    <x v="0"/>
    <x v="0"/>
    <x v="1"/>
    <x v="2"/>
    <s v="EE_Industry"/>
    <x v="3"/>
    <x v="3"/>
    <x v="7"/>
    <x v="5"/>
    <n v="47.770667613479802"/>
    <n v="2906.0489464866901"/>
    <n v="10461.776207352101"/>
  </r>
  <r>
    <x v="0"/>
    <x v="0"/>
    <x v="0"/>
    <x v="1"/>
    <x v="2"/>
    <s v="EE_Industry"/>
    <x v="3"/>
    <x v="3"/>
    <x v="7"/>
    <x v="6"/>
    <n v="46.713067198766502"/>
    <n v="2841.71158792496"/>
    <n v="10230.161716529899"/>
  </r>
  <r>
    <x v="0"/>
    <x v="0"/>
    <x v="0"/>
    <x v="1"/>
    <x v="2"/>
    <s v="EE_Industry"/>
    <x v="3"/>
    <x v="3"/>
    <x v="7"/>
    <x v="7"/>
    <n v="45.571972014470802"/>
    <n v="2772.29496421364"/>
    <n v="9980.2618711690993"/>
  </r>
  <r>
    <x v="0"/>
    <x v="0"/>
    <x v="0"/>
    <x v="1"/>
    <x v="2"/>
    <s v="EE_Industry"/>
    <x v="3"/>
    <x v="3"/>
    <x v="7"/>
    <x v="8"/>
    <n v="44.570034779479201"/>
    <n v="2711.3437824183202"/>
    <n v="9760.8376167059396"/>
  </r>
  <r>
    <x v="0"/>
    <x v="0"/>
    <x v="0"/>
    <x v="1"/>
    <x v="2"/>
    <s v="EE_Industry"/>
    <x v="3"/>
    <x v="3"/>
    <x v="7"/>
    <x v="9"/>
    <n v="43.762918673513497"/>
    <n v="2662.2442193053998"/>
    <n v="9584.07918949944"/>
  </r>
  <r>
    <x v="0"/>
    <x v="0"/>
    <x v="0"/>
    <x v="1"/>
    <x v="2"/>
    <s v="EE_Industry"/>
    <x v="3"/>
    <x v="3"/>
    <x v="7"/>
    <x v="10"/>
    <n v="43.122792106713298"/>
    <n v="2623.3031864917202"/>
    <n v="9443.8914713702106"/>
  </r>
  <r>
    <x v="0"/>
    <x v="0"/>
    <x v="0"/>
    <x v="1"/>
    <x v="2"/>
    <s v="EE_Industry"/>
    <x v="3"/>
    <x v="3"/>
    <x v="7"/>
    <x v="11"/>
    <n v="42.6496550790783"/>
    <n v="2594.52068397727"/>
    <n v="9340.2744623181497"/>
  </r>
  <r>
    <x v="0"/>
    <x v="0"/>
    <x v="0"/>
    <x v="1"/>
    <x v="2"/>
    <s v="EE_Industry"/>
    <x v="3"/>
    <x v="3"/>
    <x v="8"/>
    <x v="0"/>
    <n v="44.514371599757403"/>
    <n v="2707.9576056519099"/>
    <n v="9748.6473803468798"/>
  </r>
  <r>
    <x v="0"/>
    <x v="0"/>
    <x v="0"/>
    <x v="1"/>
    <x v="2"/>
    <s v="EE_Industry"/>
    <x v="3"/>
    <x v="3"/>
    <x v="8"/>
    <x v="1"/>
    <n v="45.015340217253197"/>
    <n v="2738.4331965495699"/>
    <n v="9858.3595075784597"/>
  </r>
  <r>
    <x v="0"/>
    <x v="0"/>
    <x v="0"/>
    <x v="1"/>
    <x v="2"/>
    <s v="EE_Industry"/>
    <x v="3"/>
    <x v="3"/>
    <x v="8"/>
    <x v="2"/>
    <n v="45.432814065166099"/>
    <n v="2763.8295222975999"/>
    <n v="9949.7862802713807"/>
  </r>
  <r>
    <x v="0"/>
    <x v="0"/>
    <x v="0"/>
    <x v="1"/>
    <x v="2"/>
    <s v="EE_Industry"/>
    <x v="3"/>
    <x v="3"/>
    <x v="8"/>
    <x v="3"/>
    <n v="45.905951092801303"/>
    <n v="2792.6120248120801"/>
    <n v="10053.4032893235"/>
  </r>
  <r>
    <x v="0"/>
    <x v="0"/>
    <x v="0"/>
    <x v="1"/>
    <x v="2"/>
    <s v="EE_Industry"/>
    <x v="3"/>
    <x v="3"/>
    <x v="8"/>
    <x v="4"/>
    <n v="46.2677617609924"/>
    <n v="2814.6221737937099"/>
    <n v="10132.639825657299"/>
  </r>
  <r>
    <x v="0"/>
    <x v="0"/>
    <x v="0"/>
    <x v="1"/>
    <x v="2"/>
    <s v="EE_Industry"/>
    <x v="3"/>
    <x v="3"/>
    <x v="8"/>
    <x v="5"/>
    <n v="46.462582890018901"/>
    <n v="2826.4737924761498"/>
    <n v="10175.305652914099"/>
  </r>
  <r>
    <x v="0"/>
    <x v="0"/>
    <x v="0"/>
    <x v="1"/>
    <x v="2"/>
    <s v="EE_Industry"/>
    <x v="3"/>
    <x v="3"/>
    <x v="8"/>
    <x v="6"/>
    <n v="46.406919710297103"/>
    <n v="2823.08761570974"/>
    <n v="10163.1154165551"/>
  </r>
  <r>
    <x v="0"/>
    <x v="0"/>
    <x v="0"/>
    <x v="1"/>
    <x v="2"/>
    <s v="EE_Industry"/>
    <x v="3"/>
    <x v="3"/>
    <x v="8"/>
    <x v="7"/>
    <n v="46.100772221827199"/>
    <n v="2804.46364349449"/>
    <n v="10096.0691165802"/>
  </r>
  <r>
    <x v="0"/>
    <x v="0"/>
    <x v="0"/>
    <x v="1"/>
    <x v="2"/>
    <s v="EE_Industry"/>
    <x v="3"/>
    <x v="3"/>
    <x v="8"/>
    <x v="8"/>
    <n v="45.599803604331399"/>
    <n v="2773.9880525968301"/>
    <n v="9986.3569893485692"/>
  </r>
  <r>
    <x v="0"/>
    <x v="0"/>
    <x v="0"/>
    <x v="1"/>
    <x v="2"/>
    <s v="EE_Industry"/>
    <x v="3"/>
    <x v="3"/>
    <x v="8"/>
    <x v="9"/>
    <n v="45.237992936140301"/>
    <n v="2751.9779036151999"/>
    <n v="9907.1204530147206"/>
  </r>
  <r>
    <x v="0"/>
    <x v="0"/>
    <x v="0"/>
    <x v="1"/>
    <x v="2"/>
    <s v="EE_Industry"/>
    <x v="3"/>
    <x v="3"/>
    <x v="8"/>
    <x v="10"/>
    <n v="44.764855908504998"/>
    <n v="2723.1954011007201"/>
    <n v="9803.5034439625997"/>
  </r>
  <r>
    <x v="0"/>
    <x v="0"/>
    <x v="0"/>
    <x v="1"/>
    <x v="2"/>
    <s v="EE_Industry"/>
    <x v="3"/>
    <x v="3"/>
    <x v="8"/>
    <x v="11"/>
    <n v="44.319550470731102"/>
    <n v="2696.10598696947"/>
    <n v="9705.9815530900996"/>
  </r>
  <r>
    <x v="0"/>
    <x v="0"/>
    <x v="0"/>
    <x v="1"/>
    <x v="2"/>
    <s v="EE_Industry"/>
    <x v="3"/>
    <x v="3"/>
    <x v="9"/>
    <x v="0"/>
    <n v="41.313738765756199"/>
    <n v="2513.2524415835001"/>
    <n v="9047.7087897006095"/>
  </r>
  <r>
    <x v="0"/>
    <x v="0"/>
    <x v="0"/>
    <x v="1"/>
    <x v="2"/>
    <s v="EE_Industry"/>
    <x v="3"/>
    <x v="3"/>
    <x v="9"/>
    <x v="1"/>
    <n v="41.703381023808497"/>
    <n v="2536.9556789483499"/>
    <n v="9133.0404442140607"/>
  </r>
  <r>
    <x v="0"/>
    <x v="0"/>
    <x v="0"/>
    <x v="1"/>
    <x v="2"/>
    <s v="EE_Industry"/>
    <x v="3"/>
    <x v="3"/>
    <x v="9"/>
    <x v="2"/>
    <n v="41.8982021528346"/>
    <n v="2548.8072976307699"/>
    <n v="9175.7062714707899"/>
  </r>
  <r>
    <x v="0"/>
    <x v="0"/>
    <x v="0"/>
    <x v="1"/>
    <x v="2"/>
    <s v="EE_Industry"/>
    <x v="3"/>
    <x v="3"/>
    <x v="9"/>
    <x v="3"/>
    <n v="41.814707383251999"/>
    <n v="2543.72803248116"/>
    <n v="9157.4209169321894"/>
  </r>
  <r>
    <x v="0"/>
    <x v="0"/>
    <x v="0"/>
    <x v="1"/>
    <x v="2"/>
    <s v="EE_Industry"/>
    <x v="3"/>
    <x v="3"/>
    <x v="9"/>
    <x v="4"/>
    <n v="41.564223074504099"/>
    <n v="2528.4902370323298"/>
    <n v="9102.5648533164003"/>
  </r>
  <r>
    <x v="0"/>
    <x v="0"/>
    <x v="0"/>
    <x v="1"/>
    <x v="2"/>
    <s v="EE_Industry"/>
    <x v="3"/>
    <x v="3"/>
    <x v="9"/>
    <x v="5"/>
    <n v="41.202412406312703"/>
    <n v="2506.48008805069"/>
    <n v="9023.3283169824808"/>
  </r>
  <r>
    <x v="0"/>
    <x v="0"/>
    <x v="0"/>
    <x v="1"/>
    <x v="2"/>
    <s v="EE_Industry"/>
    <x v="3"/>
    <x v="3"/>
    <x v="9"/>
    <x v="6"/>
    <n v="40.645780609095098"/>
    <n v="2472.6183203866199"/>
    <n v="8901.4259533918303"/>
  </r>
  <r>
    <x v="0"/>
    <x v="0"/>
    <x v="0"/>
    <x v="1"/>
    <x v="2"/>
    <s v="EE_Industry"/>
    <x v="3"/>
    <x v="3"/>
    <x v="9"/>
    <x v="7"/>
    <n v="39.977822452433998"/>
    <n v="2431.9841991897401"/>
    <n v="8755.1431170830492"/>
  </r>
  <r>
    <x v="0"/>
    <x v="0"/>
    <x v="0"/>
    <x v="1"/>
    <x v="2"/>
    <s v="EE_Industry"/>
    <x v="3"/>
    <x v="3"/>
    <x v="9"/>
    <x v="8"/>
    <n v="39.476853834938197"/>
    <n v="2401.5086082920802"/>
    <n v="8645.4309898514693"/>
  </r>
  <r>
    <x v="0"/>
    <x v="0"/>
    <x v="0"/>
    <x v="1"/>
    <x v="2"/>
    <s v="EE_Industry"/>
    <x v="3"/>
    <x v="3"/>
    <x v="9"/>
    <x v="9"/>
    <n v="39.115043166746801"/>
    <n v="2379.49845931043"/>
    <n v="8566.1944535175498"/>
  </r>
  <r>
    <x v="0"/>
    <x v="0"/>
    <x v="0"/>
    <x v="1"/>
    <x v="2"/>
    <s v="EE_Industry"/>
    <x v="3"/>
    <x v="3"/>
    <x v="9"/>
    <x v="10"/>
    <n v="39.003716807303299"/>
    <n v="2372.72610577762"/>
    <n v="8541.8139807994303"/>
  </r>
  <r>
    <x v="0"/>
    <x v="0"/>
    <x v="0"/>
    <x v="1"/>
    <x v="2"/>
    <s v="EE_Industry"/>
    <x v="3"/>
    <x v="3"/>
    <x v="9"/>
    <x v="11"/>
    <n v="39.337695885633799"/>
    <n v="2393.0431663760601"/>
    <n v="8614.9553989538108"/>
  </r>
  <r>
    <x v="0"/>
    <x v="0"/>
    <x v="0"/>
    <x v="1"/>
    <x v="2"/>
    <s v="EE_Industry"/>
    <x v="3"/>
    <x v="3"/>
    <x v="10"/>
    <x v="0"/>
    <n v="35.218620586223899"/>
    <n v="2142.4660856619498"/>
    <n v="7712.8779083830304"/>
  </r>
  <r>
    <x v="0"/>
    <x v="0"/>
    <x v="0"/>
    <x v="1"/>
    <x v="2"/>
    <s v="EE_Industry"/>
    <x v="3"/>
    <x v="3"/>
    <x v="10"/>
    <x v="1"/>
    <n v="35.190788996362997"/>
    <n v="2140.7729972787502"/>
    <n v="7706.7827902034996"/>
  </r>
  <r>
    <x v="0"/>
    <x v="0"/>
    <x v="0"/>
    <x v="1"/>
    <x v="2"/>
    <s v="EE_Industry"/>
    <x v="3"/>
    <x v="3"/>
    <x v="10"/>
    <x v="2"/>
    <n v="34.995967867336901"/>
    <n v="2128.9213785963302"/>
    <n v="7664.1169629467704"/>
  </r>
  <r>
    <x v="0"/>
    <x v="0"/>
    <x v="0"/>
    <x v="1"/>
    <x v="2"/>
    <s v="EE_Industry"/>
    <x v="3"/>
    <x v="3"/>
    <x v="10"/>
    <x v="3"/>
    <n v="34.801146738310699"/>
    <n v="2117.0697599138998"/>
    <n v="7621.4511356900503"/>
  </r>
  <r>
    <x v="0"/>
    <x v="0"/>
    <x v="0"/>
    <x v="1"/>
    <x v="2"/>
    <s v="EE_Industry"/>
    <x v="3"/>
    <x v="3"/>
    <x v="10"/>
    <x v="4"/>
    <n v="34.467167659980198"/>
    <n v="2096.7526993154602"/>
    <n v="7548.3097175356597"/>
  </r>
  <r>
    <x v="0"/>
    <x v="0"/>
    <x v="0"/>
    <x v="1"/>
    <x v="2"/>
    <s v="EE_Industry"/>
    <x v="3"/>
    <x v="3"/>
    <x v="10"/>
    <x v="5"/>
    <n v="33.966199042484398"/>
    <n v="2066.2771084177998"/>
    <n v="7438.5975903040799"/>
  </r>
  <r>
    <x v="0"/>
    <x v="0"/>
    <x v="0"/>
    <x v="1"/>
    <x v="2"/>
    <s v="EE_Industry"/>
    <x v="3"/>
    <x v="3"/>
    <x v="10"/>
    <x v="6"/>
    <n v="33.381735655405997"/>
    <n v="2030.72225237053"/>
    <n v="7310.6001085339003"/>
  </r>
  <r>
    <x v="0"/>
    <x v="0"/>
    <x v="0"/>
    <x v="1"/>
    <x v="2"/>
    <s v="EE_Industry"/>
    <x v="3"/>
    <x v="3"/>
    <x v="10"/>
    <x v="7"/>
    <n v="32.825103858188399"/>
    <n v="1996.8604847064601"/>
    <n v="7188.6977449432597"/>
  </r>
  <r>
    <x v="0"/>
    <x v="0"/>
    <x v="0"/>
    <x v="1"/>
    <x v="2"/>
    <s v="EE_Industry"/>
    <x v="3"/>
    <x v="3"/>
    <x v="10"/>
    <x v="8"/>
    <n v="32.240640471109899"/>
    <n v="1961.30562865919"/>
    <n v="7060.7002631730702"/>
  </r>
  <r>
    <x v="0"/>
    <x v="0"/>
    <x v="0"/>
    <x v="1"/>
    <x v="2"/>
    <s v="EE_Industry"/>
    <x v="3"/>
    <x v="3"/>
    <x v="10"/>
    <x v="9"/>
    <n v="31.6840086738924"/>
    <n v="1927.4438609951201"/>
    <n v="6938.7978995824296"/>
  </r>
  <r>
    <x v="0"/>
    <x v="0"/>
    <x v="0"/>
    <x v="1"/>
    <x v="2"/>
    <s v="EE_Industry"/>
    <x v="3"/>
    <x v="3"/>
    <x v="10"/>
    <x v="10"/>
    <n v="31.405692775283601"/>
    <n v="1910.51297716308"/>
    <n v="6877.8467177870998"/>
  </r>
  <r>
    <x v="0"/>
    <x v="0"/>
    <x v="0"/>
    <x v="1"/>
    <x v="2"/>
    <s v="EE_Industry"/>
    <x v="3"/>
    <x v="3"/>
    <x v="10"/>
    <x v="11"/>
    <n v="31.6005139043097"/>
    <n v="1922.3645958455099"/>
    <n v="6920.51254504383"/>
  </r>
  <r>
    <x v="0"/>
    <x v="0"/>
    <x v="0"/>
    <x v="1"/>
    <x v="2"/>
    <s v="EE_Industry"/>
    <x v="3"/>
    <x v="3"/>
    <x v="11"/>
    <x v="0"/>
    <n v="34.578494019423701"/>
    <n v="2103.5250528482702"/>
    <n v="7572.6901902537902"/>
  </r>
  <r>
    <x v="0"/>
    <x v="0"/>
    <x v="0"/>
    <x v="1"/>
    <x v="2"/>
    <s v="EE_Industry"/>
    <x v="3"/>
    <x v="3"/>
    <x v="11"/>
    <x v="1"/>
    <n v="35.107294226780397"/>
    <n v="2135.6937321291398"/>
    <n v="7688.4974356649"/>
  </r>
  <r>
    <x v="0"/>
    <x v="0"/>
    <x v="0"/>
    <x v="1"/>
    <x v="2"/>
    <s v="EE_Industry"/>
    <x v="3"/>
    <x v="3"/>
    <x v="11"/>
    <x v="2"/>
    <n v="35.4691048949718"/>
    <n v="2157.70388111078"/>
    <n v="7767.7339719988204"/>
  </r>
  <r>
    <x v="0"/>
    <x v="0"/>
    <x v="0"/>
    <x v="1"/>
    <x v="2"/>
    <s v="EE_Industry"/>
    <x v="3"/>
    <x v="3"/>
    <x v="11"/>
    <x v="3"/>
    <n v="35.580431254415302"/>
    <n v="2164.4762346436"/>
    <n v="7792.1144447169499"/>
  </r>
  <r>
    <x v="0"/>
    <x v="0"/>
    <x v="0"/>
    <x v="1"/>
    <x v="2"/>
    <s v="EE_Industry"/>
    <x v="3"/>
    <x v="3"/>
    <x v="11"/>
    <x v="4"/>
    <n v="35.413441715250002"/>
    <n v="2154.3177043443802"/>
    <n v="7755.5437356397597"/>
  </r>
  <r>
    <x v="0"/>
    <x v="0"/>
    <x v="0"/>
    <x v="1"/>
    <x v="2"/>
    <s v="EE_Industry"/>
    <x v="3"/>
    <x v="3"/>
    <x v="11"/>
    <x v="5"/>
    <n v="34.940304687615097"/>
    <n v="2125.53520182992"/>
    <n v="7651.9267265877097"/>
  </r>
  <r>
    <x v="0"/>
    <x v="0"/>
    <x v="0"/>
    <x v="1"/>
    <x v="2"/>
    <s v="EE_Industry"/>
    <x v="3"/>
    <x v="3"/>
    <x v="11"/>
    <x v="6"/>
    <n v="34.049693812066998"/>
    <n v="2071.3563735674102"/>
    <n v="7456.8829448426804"/>
  </r>
  <r>
    <x v="0"/>
    <x v="0"/>
    <x v="0"/>
    <x v="1"/>
    <x v="2"/>
    <s v="EE_Industry"/>
    <x v="3"/>
    <x v="3"/>
    <x v="11"/>
    <x v="7"/>
    <n v="32.908598627770999"/>
    <n v="2001.93974985607"/>
    <n v="7206.9830994818603"/>
  </r>
  <r>
    <x v="0"/>
    <x v="0"/>
    <x v="0"/>
    <x v="1"/>
    <x v="2"/>
    <s v="EE_Industry"/>
    <x v="3"/>
    <x v="3"/>
    <x v="11"/>
    <x v="8"/>
    <n v="31.850998213057601"/>
    <n v="1937.6023912943399"/>
    <n v="6975.3686086596199"/>
  </r>
  <r>
    <x v="0"/>
    <x v="0"/>
    <x v="0"/>
    <x v="1"/>
    <x v="2"/>
    <s v="EE_Industry"/>
    <x v="3"/>
    <x v="3"/>
    <x v="11"/>
    <x v="9"/>
    <n v="30.821229388205101"/>
    <n v="1874.9581211158099"/>
    <n v="6749.8492360169303"/>
  </r>
  <r>
    <x v="0"/>
    <x v="0"/>
    <x v="0"/>
    <x v="1"/>
    <x v="2"/>
    <s v="EE_Industry"/>
    <x v="3"/>
    <x v="3"/>
    <x v="11"/>
    <x v="10"/>
    <n v="29.902786922796199"/>
    <n v="1819.0862044701"/>
    <n v="6548.7103360923702"/>
  </r>
  <r>
    <x v="0"/>
    <x v="0"/>
    <x v="0"/>
    <x v="1"/>
    <x v="2"/>
    <s v="EE_Industry"/>
    <x v="3"/>
    <x v="3"/>
    <x v="11"/>
    <x v="11"/>
    <n v="29.2069971762742"/>
    <n v="1776.7589948900199"/>
    <n v="6396.3323816040602"/>
  </r>
  <r>
    <x v="0"/>
    <x v="0"/>
    <x v="0"/>
    <x v="1"/>
    <x v="2"/>
    <s v="EE_Industry"/>
    <x v="4"/>
    <x v="4"/>
    <x v="0"/>
    <x v="0"/>
    <n v="13.319672131147501"/>
    <n v="810.28005464480896"/>
    <n v="2917.00819672131"/>
  </r>
  <r>
    <x v="0"/>
    <x v="0"/>
    <x v="0"/>
    <x v="1"/>
    <x v="2"/>
    <s v="EE_Industry"/>
    <x v="4"/>
    <x v="4"/>
    <x v="0"/>
    <x v="1"/>
    <n v="13.319672131147501"/>
    <n v="810.28005464480896"/>
    <n v="2917.00819672131"/>
  </r>
  <r>
    <x v="0"/>
    <x v="0"/>
    <x v="0"/>
    <x v="1"/>
    <x v="2"/>
    <s v="EE_Industry"/>
    <x v="4"/>
    <x v="4"/>
    <x v="0"/>
    <x v="2"/>
    <n v="13.319672131147501"/>
    <n v="810.28005464480896"/>
    <n v="2917.00819672131"/>
  </r>
  <r>
    <x v="0"/>
    <x v="0"/>
    <x v="0"/>
    <x v="1"/>
    <x v="2"/>
    <s v="EE_Industry"/>
    <x v="4"/>
    <x v="4"/>
    <x v="0"/>
    <x v="3"/>
    <n v="13.319672131147501"/>
    <n v="810.28005464480896"/>
    <n v="2917.00819672131"/>
  </r>
  <r>
    <x v="0"/>
    <x v="0"/>
    <x v="0"/>
    <x v="1"/>
    <x v="2"/>
    <s v="EE_Industry"/>
    <x v="4"/>
    <x v="4"/>
    <x v="0"/>
    <x v="4"/>
    <n v="13.319672131147501"/>
    <n v="810.28005464480896"/>
    <n v="2917.00819672131"/>
  </r>
  <r>
    <x v="0"/>
    <x v="0"/>
    <x v="0"/>
    <x v="1"/>
    <x v="2"/>
    <s v="EE_Industry"/>
    <x v="4"/>
    <x v="4"/>
    <x v="0"/>
    <x v="5"/>
    <n v="13.319672131147501"/>
    <n v="810.28005464480896"/>
    <n v="2917.00819672131"/>
  </r>
  <r>
    <x v="0"/>
    <x v="0"/>
    <x v="0"/>
    <x v="1"/>
    <x v="2"/>
    <s v="EE_Industry"/>
    <x v="4"/>
    <x v="4"/>
    <x v="0"/>
    <x v="6"/>
    <n v="13.319672131147501"/>
    <n v="810.28005464480896"/>
    <n v="2917.00819672131"/>
  </r>
  <r>
    <x v="0"/>
    <x v="0"/>
    <x v="0"/>
    <x v="1"/>
    <x v="2"/>
    <s v="EE_Industry"/>
    <x v="4"/>
    <x v="4"/>
    <x v="0"/>
    <x v="7"/>
    <n v="13.319672131147501"/>
    <n v="810.28005464480896"/>
    <n v="2917.00819672131"/>
  </r>
  <r>
    <x v="0"/>
    <x v="0"/>
    <x v="0"/>
    <x v="1"/>
    <x v="2"/>
    <s v="EE_Industry"/>
    <x v="4"/>
    <x v="4"/>
    <x v="0"/>
    <x v="8"/>
    <n v="13.319672131147501"/>
    <n v="810.28005464480896"/>
    <n v="2917.00819672131"/>
  </r>
  <r>
    <x v="0"/>
    <x v="0"/>
    <x v="0"/>
    <x v="1"/>
    <x v="2"/>
    <s v="EE_Industry"/>
    <x v="4"/>
    <x v="4"/>
    <x v="0"/>
    <x v="9"/>
    <n v="13.319672131147501"/>
    <n v="810.28005464480896"/>
    <n v="2917.00819672131"/>
  </r>
  <r>
    <x v="0"/>
    <x v="0"/>
    <x v="0"/>
    <x v="1"/>
    <x v="2"/>
    <s v="EE_Industry"/>
    <x v="4"/>
    <x v="4"/>
    <x v="0"/>
    <x v="10"/>
    <n v="13.319672131147501"/>
    <n v="810.28005464480896"/>
    <n v="2917.00819672131"/>
  </r>
  <r>
    <x v="0"/>
    <x v="0"/>
    <x v="0"/>
    <x v="1"/>
    <x v="2"/>
    <s v="EE_Industry"/>
    <x v="4"/>
    <x v="4"/>
    <x v="0"/>
    <x v="11"/>
    <n v="13.319672131147501"/>
    <n v="810.28005464480896"/>
    <n v="2917.00819672131"/>
  </r>
  <r>
    <x v="0"/>
    <x v="0"/>
    <x v="0"/>
    <x v="1"/>
    <x v="2"/>
    <s v="EE_Industry"/>
    <x v="4"/>
    <x v="4"/>
    <x v="1"/>
    <x v="0"/>
    <n v="13.319672131147501"/>
    <n v="810.28005464480896"/>
    <n v="2917.00819672131"/>
  </r>
  <r>
    <x v="0"/>
    <x v="0"/>
    <x v="0"/>
    <x v="1"/>
    <x v="2"/>
    <s v="EE_Industry"/>
    <x v="4"/>
    <x v="4"/>
    <x v="1"/>
    <x v="1"/>
    <n v="13.319672131147501"/>
    <n v="810.28005464480896"/>
    <n v="2917.00819672131"/>
  </r>
  <r>
    <x v="0"/>
    <x v="0"/>
    <x v="0"/>
    <x v="1"/>
    <x v="2"/>
    <s v="EE_Industry"/>
    <x v="4"/>
    <x v="4"/>
    <x v="1"/>
    <x v="2"/>
    <n v="13.319672131147501"/>
    <n v="810.28005464480896"/>
    <n v="2917.00819672131"/>
  </r>
  <r>
    <x v="0"/>
    <x v="0"/>
    <x v="0"/>
    <x v="1"/>
    <x v="2"/>
    <s v="EE_Industry"/>
    <x v="4"/>
    <x v="4"/>
    <x v="1"/>
    <x v="3"/>
    <n v="13.319672131147501"/>
    <n v="810.28005464480896"/>
    <n v="2917.00819672131"/>
  </r>
  <r>
    <x v="0"/>
    <x v="0"/>
    <x v="0"/>
    <x v="1"/>
    <x v="2"/>
    <s v="EE_Industry"/>
    <x v="4"/>
    <x v="4"/>
    <x v="1"/>
    <x v="4"/>
    <n v="13.319672131147501"/>
    <n v="810.28005464480896"/>
    <n v="2917.00819672131"/>
  </r>
  <r>
    <x v="0"/>
    <x v="0"/>
    <x v="0"/>
    <x v="1"/>
    <x v="2"/>
    <s v="EE_Industry"/>
    <x v="4"/>
    <x v="4"/>
    <x v="1"/>
    <x v="5"/>
    <n v="13.319672131147501"/>
    <n v="810.28005464480896"/>
    <n v="2917.00819672131"/>
  </r>
  <r>
    <x v="0"/>
    <x v="0"/>
    <x v="0"/>
    <x v="1"/>
    <x v="2"/>
    <s v="EE_Industry"/>
    <x v="4"/>
    <x v="4"/>
    <x v="1"/>
    <x v="6"/>
    <n v="13.319672131147501"/>
    <n v="810.28005464480896"/>
    <n v="2917.00819672131"/>
  </r>
  <r>
    <x v="0"/>
    <x v="0"/>
    <x v="0"/>
    <x v="1"/>
    <x v="2"/>
    <s v="EE_Industry"/>
    <x v="4"/>
    <x v="4"/>
    <x v="1"/>
    <x v="7"/>
    <n v="13.319672131147501"/>
    <n v="810.28005464480896"/>
    <n v="2917.00819672131"/>
  </r>
  <r>
    <x v="0"/>
    <x v="0"/>
    <x v="0"/>
    <x v="1"/>
    <x v="2"/>
    <s v="EE_Industry"/>
    <x v="4"/>
    <x v="4"/>
    <x v="1"/>
    <x v="8"/>
    <n v="13.319672131147501"/>
    <n v="810.28005464480896"/>
    <n v="2917.00819672131"/>
  </r>
  <r>
    <x v="0"/>
    <x v="0"/>
    <x v="0"/>
    <x v="1"/>
    <x v="2"/>
    <s v="EE_Industry"/>
    <x v="4"/>
    <x v="4"/>
    <x v="1"/>
    <x v="9"/>
    <n v="13.319672131147501"/>
    <n v="810.28005464480896"/>
    <n v="2917.00819672131"/>
  </r>
  <r>
    <x v="0"/>
    <x v="0"/>
    <x v="0"/>
    <x v="1"/>
    <x v="2"/>
    <s v="EE_Industry"/>
    <x v="4"/>
    <x v="4"/>
    <x v="1"/>
    <x v="10"/>
    <n v="13.319672131147501"/>
    <n v="810.28005464480896"/>
    <n v="2917.00819672131"/>
  </r>
  <r>
    <x v="0"/>
    <x v="0"/>
    <x v="0"/>
    <x v="1"/>
    <x v="2"/>
    <s v="EE_Industry"/>
    <x v="4"/>
    <x v="4"/>
    <x v="1"/>
    <x v="11"/>
    <n v="13.319672131147501"/>
    <n v="810.28005464480896"/>
    <n v="2917.00819672131"/>
  </r>
  <r>
    <x v="0"/>
    <x v="0"/>
    <x v="0"/>
    <x v="1"/>
    <x v="2"/>
    <s v="EE_Industry"/>
    <x v="4"/>
    <x v="4"/>
    <x v="2"/>
    <x v="0"/>
    <n v="13.319672131147501"/>
    <n v="810.28005464480896"/>
    <n v="2917.00819672131"/>
  </r>
  <r>
    <x v="0"/>
    <x v="0"/>
    <x v="0"/>
    <x v="1"/>
    <x v="2"/>
    <s v="EE_Industry"/>
    <x v="4"/>
    <x v="4"/>
    <x v="2"/>
    <x v="1"/>
    <n v="13.319672131147501"/>
    <n v="810.28005464480896"/>
    <n v="2917.00819672131"/>
  </r>
  <r>
    <x v="0"/>
    <x v="0"/>
    <x v="0"/>
    <x v="1"/>
    <x v="2"/>
    <s v="EE_Industry"/>
    <x v="4"/>
    <x v="4"/>
    <x v="2"/>
    <x v="2"/>
    <n v="13.319672131147501"/>
    <n v="810.28005464480896"/>
    <n v="2917.00819672131"/>
  </r>
  <r>
    <x v="0"/>
    <x v="0"/>
    <x v="0"/>
    <x v="1"/>
    <x v="2"/>
    <s v="EE_Industry"/>
    <x v="4"/>
    <x v="4"/>
    <x v="2"/>
    <x v="3"/>
    <n v="13.319672131147501"/>
    <n v="810.28005464480896"/>
    <n v="2917.00819672131"/>
  </r>
  <r>
    <x v="0"/>
    <x v="0"/>
    <x v="0"/>
    <x v="1"/>
    <x v="2"/>
    <s v="EE_Industry"/>
    <x v="4"/>
    <x v="4"/>
    <x v="2"/>
    <x v="4"/>
    <n v="13.319672131147501"/>
    <n v="810.28005464480896"/>
    <n v="2917.00819672131"/>
  </r>
  <r>
    <x v="0"/>
    <x v="0"/>
    <x v="0"/>
    <x v="1"/>
    <x v="2"/>
    <s v="EE_Industry"/>
    <x v="4"/>
    <x v="4"/>
    <x v="2"/>
    <x v="5"/>
    <n v="13.319672131147501"/>
    <n v="810.28005464480896"/>
    <n v="2917.00819672131"/>
  </r>
  <r>
    <x v="0"/>
    <x v="0"/>
    <x v="0"/>
    <x v="1"/>
    <x v="2"/>
    <s v="EE_Industry"/>
    <x v="4"/>
    <x v="4"/>
    <x v="2"/>
    <x v="6"/>
    <n v="13.319672131147501"/>
    <n v="810.28005464480896"/>
    <n v="2917.00819672131"/>
  </r>
  <r>
    <x v="0"/>
    <x v="0"/>
    <x v="0"/>
    <x v="1"/>
    <x v="2"/>
    <s v="EE_Industry"/>
    <x v="4"/>
    <x v="4"/>
    <x v="2"/>
    <x v="7"/>
    <n v="13.319672131147501"/>
    <n v="810.28005464480896"/>
    <n v="2917.00819672131"/>
  </r>
  <r>
    <x v="0"/>
    <x v="0"/>
    <x v="0"/>
    <x v="1"/>
    <x v="2"/>
    <s v="EE_Industry"/>
    <x v="4"/>
    <x v="4"/>
    <x v="2"/>
    <x v="8"/>
    <n v="13.319672131147501"/>
    <n v="810.28005464480896"/>
    <n v="2917.00819672131"/>
  </r>
  <r>
    <x v="0"/>
    <x v="0"/>
    <x v="0"/>
    <x v="1"/>
    <x v="2"/>
    <s v="EE_Industry"/>
    <x v="4"/>
    <x v="4"/>
    <x v="2"/>
    <x v="9"/>
    <n v="13.319672131147501"/>
    <n v="810.28005464480896"/>
    <n v="2917.00819672131"/>
  </r>
  <r>
    <x v="0"/>
    <x v="0"/>
    <x v="0"/>
    <x v="1"/>
    <x v="2"/>
    <s v="EE_Industry"/>
    <x v="4"/>
    <x v="4"/>
    <x v="2"/>
    <x v="10"/>
    <n v="13.319672131147501"/>
    <n v="810.28005464480896"/>
    <n v="2917.00819672131"/>
  </r>
  <r>
    <x v="0"/>
    <x v="0"/>
    <x v="0"/>
    <x v="1"/>
    <x v="2"/>
    <s v="EE_Industry"/>
    <x v="4"/>
    <x v="4"/>
    <x v="2"/>
    <x v="11"/>
    <n v="13.319672131147501"/>
    <n v="810.28005464480896"/>
    <n v="2917.00819672131"/>
  </r>
  <r>
    <x v="0"/>
    <x v="0"/>
    <x v="0"/>
    <x v="1"/>
    <x v="2"/>
    <s v="EE_Industry"/>
    <x v="4"/>
    <x v="4"/>
    <x v="3"/>
    <x v="0"/>
    <n v="13.319672131147501"/>
    <n v="810.28005464480896"/>
    <n v="2917.00819672131"/>
  </r>
  <r>
    <x v="0"/>
    <x v="0"/>
    <x v="0"/>
    <x v="1"/>
    <x v="2"/>
    <s v="EE_Industry"/>
    <x v="4"/>
    <x v="4"/>
    <x v="3"/>
    <x v="1"/>
    <n v="13.319672131147501"/>
    <n v="810.28005464480896"/>
    <n v="2917.00819672131"/>
  </r>
  <r>
    <x v="0"/>
    <x v="0"/>
    <x v="0"/>
    <x v="1"/>
    <x v="2"/>
    <s v="EE_Industry"/>
    <x v="4"/>
    <x v="4"/>
    <x v="3"/>
    <x v="2"/>
    <n v="13.319672131147501"/>
    <n v="810.28005464480896"/>
    <n v="2917.00819672131"/>
  </r>
  <r>
    <x v="0"/>
    <x v="0"/>
    <x v="0"/>
    <x v="1"/>
    <x v="2"/>
    <s v="EE_Industry"/>
    <x v="4"/>
    <x v="4"/>
    <x v="3"/>
    <x v="3"/>
    <n v="13.319672131147501"/>
    <n v="810.28005464480896"/>
    <n v="2917.00819672131"/>
  </r>
  <r>
    <x v="0"/>
    <x v="0"/>
    <x v="0"/>
    <x v="1"/>
    <x v="2"/>
    <s v="EE_Industry"/>
    <x v="4"/>
    <x v="4"/>
    <x v="3"/>
    <x v="4"/>
    <n v="13.319672131147501"/>
    <n v="810.28005464480896"/>
    <n v="2917.00819672131"/>
  </r>
  <r>
    <x v="0"/>
    <x v="0"/>
    <x v="0"/>
    <x v="1"/>
    <x v="2"/>
    <s v="EE_Industry"/>
    <x v="4"/>
    <x v="4"/>
    <x v="3"/>
    <x v="5"/>
    <n v="13.319672131147501"/>
    <n v="810.28005464480896"/>
    <n v="2917.00819672131"/>
  </r>
  <r>
    <x v="0"/>
    <x v="0"/>
    <x v="0"/>
    <x v="1"/>
    <x v="2"/>
    <s v="EE_Industry"/>
    <x v="4"/>
    <x v="4"/>
    <x v="3"/>
    <x v="6"/>
    <n v="13.319672131147501"/>
    <n v="810.28005464480896"/>
    <n v="2917.00819672131"/>
  </r>
  <r>
    <x v="0"/>
    <x v="0"/>
    <x v="0"/>
    <x v="1"/>
    <x v="2"/>
    <s v="EE_Industry"/>
    <x v="4"/>
    <x v="4"/>
    <x v="3"/>
    <x v="7"/>
    <n v="13.319672131147501"/>
    <n v="810.28005464480896"/>
    <n v="2917.00819672131"/>
  </r>
  <r>
    <x v="0"/>
    <x v="0"/>
    <x v="0"/>
    <x v="1"/>
    <x v="2"/>
    <s v="EE_Industry"/>
    <x v="4"/>
    <x v="4"/>
    <x v="3"/>
    <x v="8"/>
    <n v="13.319672131147501"/>
    <n v="810.28005464480896"/>
    <n v="2917.00819672131"/>
  </r>
  <r>
    <x v="0"/>
    <x v="0"/>
    <x v="0"/>
    <x v="1"/>
    <x v="2"/>
    <s v="EE_Industry"/>
    <x v="4"/>
    <x v="4"/>
    <x v="3"/>
    <x v="9"/>
    <n v="13.319672131147501"/>
    <n v="810.28005464480896"/>
    <n v="2917.00819672131"/>
  </r>
  <r>
    <x v="0"/>
    <x v="0"/>
    <x v="0"/>
    <x v="1"/>
    <x v="2"/>
    <s v="EE_Industry"/>
    <x v="4"/>
    <x v="4"/>
    <x v="3"/>
    <x v="10"/>
    <n v="13.319672131147501"/>
    <n v="810.28005464480896"/>
    <n v="2917.00819672131"/>
  </r>
  <r>
    <x v="0"/>
    <x v="0"/>
    <x v="0"/>
    <x v="1"/>
    <x v="2"/>
    <s v="EE_Industry"/>
    <x v="4"/>
    <x v="4"/>
    <x v="3"/>
    <x v="11"/>
    <n v="13.319672131147501"/>
    <n v="810.28005464480896"/>
    <n v="2917.00819672131"/>
  </r>
  <r>
    <x v="0"/>
    <x v="0"/>
    <x v="0"/>
    <x v="1"/>
    <x v="2"/>
    <s v="EE_Industry"/>
    <x v="4"/>
    <x v="4"/>
    <x v="4"/>
    <x v="0"/>
    <n v="13.319672131147501"/>
    <n v="810.28005464480896"/>
    <n v="2917.00819672131"/>
  </r>
  <r>
    <x v="0"/>
    <x v="0"/>
    <x v="0"/>
    <x v="1"/>
    <x v="2"/>
    <s v="EE_Industry"/>
    <x v="4"/>
    <x v="4"/>
    <x v="4"/>
    <x v="1"/>
    <n v="13.319672131147501"/>
    <n v="810.28005464480896"/>
    <n v="2917.00819672131"/>
  </r>
  <r>
    <x v="0"/>
    <x v="0"/>
    <x v="0"/>
    <x v="1"/>
    <x v="2"/>
    <s v="EE_Industry"/>
    <x v="4"/>
    <x v="4"/>
    <x v="4"/>
    <x v="2"/>
    <n v="13.319672131147501"/>
    <n v="810.28005464480896"/>
    <n v="2917.00819672131"/>
  </r>
  <r>
    <x v="0"/>
    <x v="0"/>
    <x v="0"/>
    <x v="1"/>
    <x v="2"/>
    <s v="EE_Industry"/>
    <x v="4"/>
    <x v="4"/>
    <x v="4"/>
    <x v="3"/>
    <n v="13.319672131147501"/>
    <n v="810.28005464480896"/>
    <n v="2917.00819672131"/>
  </r>
  <r>
    <x v="0"/>
    <x v="0"/>
    <x v="0"/>
    <x v="1"/>
    <x v="2"/>
    <s v="EE_Industry"/>
    <x v="4"/>
    <x v="4"/>
    <x v="4"/>
    <x v="4"/>
    <n v="13.319672131147501"/>
    <n v="810.28005464480896"/>
    <n v="2917.00819672131"/>
  </r>
  <r>
    <x v="0"/>
    <x v="0"/>
    <x v="0"/>
    <x v="1"/>
    <x v="2"/>
    <s v="EE_Industry"/>
    <x v="4"/>
    <x v="4"/>
    <x v="4"/>
    <x v="5"/>
    <n v="13.319672131147501"/>
    <n v="810.28005464480896"/>
    <n v="2917.00819672131"/>
  </r>
  <r>
    <x v="0"/>
    <x v="0"/>
    <x v="0"/>
    <x v="1"/>
    <x v="2"/>
    <s v="EE_Industry"/>
    <x v="4"/>
    <x v="4"/>
    <x v="4"/>
    <x v="6"/>
    <n v="13.319672131147501"/>
    <n v="810.28005464480896"/>
    <n v="2917.00819672131"/>
  </r>
  <r>
    <x v="0"/>
    <x v="0"/>
    <x v="0"/>
    <x v="1"/>
    <x v="2"/>
    <s v="EE_Industry"/>
    <x v="4"/>
    <x v="4"/>
    <x v="4"/>
    <x v="7"/>
    <n v="13.319672131147501"/>
    <n v="810.28005464480896"/>
    <n v="2917.00819672131"/>
  </r>
  <r>
    <x v="0"/>
    <x v="0"/>
    <x v="0"/>
    <x v="1"/>
    <x v="2"/>
    <s v="EE_Industry"/>
    <x v="4"/>
    <x v="4"/>
    <x v="4"/>
    <x v="8"/>
    <n v="13.319672131147501"/>
    <n v="810.28005464480896"/>
    <n v="2917.00819672131"/>
  </r>
  <r>
    <x v="0"/>
    <x v="0"/>
    <x v="0"/>
    <x v="1"/>
    <x v="2"/>
    <s v="EE_Industry"/>
    <x v="4"/>
    <x v="4"/>
    <x v="4"/>
    <x v="9"/>
    <n v="13.319672131147501"/>
    <n v="810.28005464480896"/>
    <n v="2917.00819672131"/>
  </r>
  <r>
    <x v="0"/>
    <x v="0"/>
    <x v="0"/>
    <x v="1"/>
    <x v="2"/>
    <s v="EE_Industry"/>
    <x v="4"/>
    <x v="4"/>
    <x v="4"/>
    <x v="10"/>
    <n v="13.319672131147501"/>
    <n v="810.28005464480896"/>
    <n v="2917.00819672131"/>
  </r>
  <r>
    <x v="0"/>
    <x v="0"/>
    <x v="0"/>
    <x v="1"/>
    <x v="2"/>
    <s v="EE_Industry"/>
    <x v="4"/>
    <x v="4"/>
    <x v="4"/>
    <x v="11"/>
    <n v="13.319672131147501"/>
    <n v="810.28005464480896"/>
    <n v="2917.00819672131"/>
  </r>
  <r>
    <x v="0"/>
    <x v="0"/>
    <x v="0"/>
    <x v="1"/>
    <x v="2"/>
    <s v="EE_Industry"/>
    <x v="4"/>
    <x v="4"/>
    <x v="5"/>
    <x v="0"/>
    <n v="13.319672131147501"/>
    <n v="810.28005464480896"/>
    <n v="2917.00819672131"/>
  </r>
  <r>
    <x v="0"/>
    <x v="0"/>
    <x v="0"/>
    <x v="1"/>
    <x v="2"/>
    <s v="EE_Industry"/>
    <x v="4"/>
    <x v="4"/>
    <x v="5"/>
    <x v="1"/>
    <n v="13.319672131147501"/>
    <n v="810.28005464480896"/>
    <n v="2917.00819672131"/>
  </r>
  <r>
    <x v="0"/>
    <x v="0"/>
    <x v="0"/>
    <x v="1"/>
    <x v="2"/>
    <s v="EE_Industry"/>
    <x v="4"/>
    <x v="4"/>
    <x v="5"/>
    <x v="2"/>
    <n v="13.319672131147501"/>
    <n v="810.28005464480896"/>
    <n v="2917.00819672131"/>
  </r>
  <r>
    <x v="0"/>
    <x v="0"/>
    <x v="0"/>
    <x v="1"/>
    <x v="2"/>
    <s v="EE_Industry"/>
    <x v="4"/>
    <x v="4"/>
    <x v="5"/>
    <x v="3"/>
    <n v="13.319672131147501"/>
    <n v="810.28005464480896"/>
    <n v="2917.00819672131"/>
  </r>
  <r>
    <x v="0"/>
    <x v="0"/>
    <x v="0"/>
    <x v="1"/>
    <x v="2"/>
    <s v="EE_Industry"/>
    <x v="4"/>
    <x v="4"/>
    <x v="5"/>
    <x v="4"/>
    <n v="13.319672131147501"/>
    <n v="810.28005464480896"/>
    <n v="2917.00819672131"/>
  </r>
  <r>
    <x v="0"/>
    <x v="0"/>
    <x v="0"/>
    <x v="1"/>
    <x v="2"/>
    <s v="EE_Industry"/>
    <x v="4"/>
    <x v="4"/>
    <x v="5"/>
    <x v="5"/>
    <n v="13.319672131147501"/>
    <n v="810.28005464480896"/>
    <n v="2917.00819672131"/>
  </r>
  <r>
    <x v="0"/>
    <x v="0"/>
    <x v="0"/>
    <x v="1"/>
    <x v="2"/>
    <s v="EE_Industry"/>
    <x v="4"/>
    <x v="4"/>
    <x v="5"/>
    <x v="6"/>
    <n v="13.319672131147501"/>
    <n v="810.28005464480896"/>
    <n v="2917.00819672131"/>
  </r>
  <r>
    <x v="0"/>
    <x v="0"/>
    <x v="0"/>
    <x v="1"/>
    <x v="2"/>
    <s v="EE_Industry"/>
    <x v="4"/>
    <x v="4"/>
    <x v="5"/>
    <x v="7"/>
    <n v="13.319672131147501"/>
    <n v="810.28005464480896"/>
    <n v="2917.00819672131"/>
  </r>
  <r>
    <x v="0"/>
    <x v="0"/>
    <x v="0"/>
    <x v="1"/>
    <x v="2"/>
    <s v="EE_Industry"/>
    <x v="4"/>
    <x v="4"/>
    <x v="5"/>
    <x v="8"/>
    <n v="13.319672131147501"/>
    <n v="810.28005464480896"/>
    <n v="2917.00819672131"/>
  </r>
  <r>
    <x v="0"/>
    <x v="0"/>
    <x v="0"/>
    <x v="1"/>
    <x v="2"/>
    <s v="EE_Industry"/>
    <x v="4"/>
    <x v="4"/>
    <x v="5"/>
    <x v="9"/>
    <n v="13.319672131147501"/>
    <n v="810.28005464480896"/>
    <n v="2917.00819672131"/>
  </r>
  <r>
    <x v="0"/>
    <x v="0"/>
    <x v="0"/>
    <x v="1"/>
    <x v="2"/>
    <s v="EE_Industry"/>
    <x v="4"/>
    <x v="4"/>
    <x v="5"/>
    <x v="10"/>
    <n v="13.319672131147501"/>
    <n v="810.28005464480896"/>
    <n v="2917.00819672131"/>
  </r>
  <r>
    <x v="0"/>
    <x v="0"/>
    <x v="0"/>
    <x v="1"/>
    <x v="2"/>
    <s v="EE_Industry"/>
    <x v="4"/>
    <x v="4"/>
    <x v="5"/>
    <x v="11"/>
    <n v="13.319672131147501"/>
    <n v="810.28005464480896"/>
    <n v="2917.00819672131"/>
  </r>
  <r>
    <x v="0"/>
    <x v="0"/>
    <x v="0"/>
    <x v="1"/>
    <x v="2"/>
    <s v="EE_Industry"/>
    <x v="4"/>
    <x v="4"/>
    <x v="6"/>
    <x v="0"/>
    <n v="13.319672131147501"/>
    <n v="810.28005464480896"/>
    <n v="2917.00819672131"/>
  </r>
  <r>
    <x v="0"/>
    <x v="0"/>
    <x v="0"/>
    <x v="1"/>
    <x v="2"/>
    <s v="EE_Industry"/>
    <x v="4"/>
    <x v="4"/>
    <x v="6"/>
    <x v="1"/>
    <n v="13.319672131147501"/>
    <n v="810.28005464480896"/>
    <n v="2917.00819672131"/>
  </r>
  <r>
    <x v="0"/>
    <x v="0"/>
    <x v="0"/>
    <x v="1"/>
    <x v="2"/>
    <s v="EE_Industry"/>
    <x v="4"/>
    <x v="4"/>
    <x v="6"/>
    <x v="2"/>
    <n v="13.319672131147501"/>
    <n v="810.28005464480896"/>
    <n v="2917.00819672131"/>
  </r>
  <r>
    <x v="0"/>
    <x v="0"/>
    <x v="0"/>
    <x v="1"/>
    <x v="2"/>
    <s v="EE_Industry"/>
    <x v="4"/>
    <x v="4"/>
    <x v="6"/>
    <x v="3"/>
    <n v="13.319672131147501"/>
    <n v="810.28005464480896"/>
    <n v="2917.00819672131"/>
  </r>
  <r>
    <x v="0"/>
    <x v="0"/>
    <x v="0"/>
    <x v="1"/>
    <x v="2"/>
    <s v="EE_Industry"/>
    <x v="4"/>
    <x v="4"/>
    <x v="6"/>
    <x v="4"/>
    <n v="13.319672131147501"/>
    <n v="810.28005464480896"/>
    <n v="2917.00819672131"/>
  </r>
  <r>
    <x v="0"/>
    <x v="0"/>
    <x v="0"/>
    <x v="1"/>
    <x v="2"/>
    <s v="EE_Industry"/>
    <x v="4"/>
    <x v="4"/>
    <x v="6"/>
    <x v="5"/>
    <n v="13.319672131147501"/>
    <n v="810.28005464480896"/>
    <n v="2917.00819672131"/>
  </r>
  <r>
    <x v="0"/>
    <x v="0"/>
    <x v="0"/>
    <x v="1"/>
    <x v="2"/>
    <s v="EE_Industry"/>
    <x v="4"/>
    <x v="4"/>
    <x v="6"/>
    <x v="6"/>
    <n v="13.319672131147501"/>
    <n v="810.28005464480896"/>
    <n v="2917.00819672131"/>
  </r>
  <r>
    <x v="0"/>
    <x v="0"/>
    <x v="0"/>
    <x v="1"/>
    <x v="2"/>
    <s v="EE_Industry"/>
    <x v="4"/>
    <x v="4"/>
    <x v="6"/>
    <x v="7"/>
    <n v="13.319672131147501"/>
    <n v="810.28005464480896"/>
    <n v="2917.00819672131"/>
  </r>
  <r>
    <x v="0"/>
    <x v="0"/>
    <x v="0"/>
    <x v="1"/>
    <x v="2"/>
    <s v="EE_Industry"/>
    <x v="4"/>
    <x v="4"/>
    <x v="6"/>
    <x v="8"/>
    <n v="13.319672131147501"/>
    <n v="810.28005464480896"/>
    <n v="2917.00819672131"/>
  </r>
  <r>
    <x v="0"/>
    <x v="0"/>
    <x v="0"/>
    <x v="1"/>
    <x v="2"/>
    <s v="EE_Industry"/>
    <x v="4"/>
    <x v="4"/>
    <x v="6"/>
    <x v="9"/>
    <n v="13.319672131147501"/>
    <n v="810.28005464480896"/>
    <n v="2917.00819672131"/>
  </r>
  <r>
    <x v="0"/>
    <x v="0"/>
    <x v="0"/>
    <x v="1"/>
    <x v="2"/>
    <s v="EE_Industry"/>
    <x v="4"/>
    <x v="4"/>
    <x v="6"/>
    <x v="10"/>
    <n v="13.319672131147501"/>
    <n v="810.28005464480896"/>
    <n v="2917.00819672131"/>
  </r>
  <r>
    <x v="0"/>
    <x v="0"/>
    <x v="0"/>
    <x v="1"/>
    <x v="2"/>
    <s v="EE_Industry"/>
    <x v="4"/>
    <x v="4"/>
    <x v="6"/>
    <x v="11"/>
    <n v="13.319672131147501"/>
    <n v="810.28005464480896"/>
    <n v="2917.00819672131"/>
  </r>
  <r>
    <x v="0"/>
    <x v="0"/>
    <x v="0"/>
    <x v="1"/>
    <x v="2"/>
    <s v="EE_Industry"/>
    <x v="4"/>
    <x v="4"/>
    <x v="7"/>
    <x v="0"/>
    <n v="13.319672131147501"/>
    <n v="810.28005464480896"/>
    <n v="2917.00819672131"/>
  </r>
  <r>
    <x v="0"/>
    <x v="0"/>
    <x v="0"/>
    <x v="1"/>
    <x v="2"/>
    <s v="EE_Industry"/>
    <x v="4"/>
    <x v="4"/>
    <x v="7"/>
    <x v="1"/>
    <n v="13.319672131147501"/>
    <n v="810.28005464480896"/>
    <n v="2917.00819672131"/>
  </r>
  <r>
    <x v="0"/>
    <x v="0"/>
    <x v="0"/>
    <x v="1"/>
    <x v="2"/>
    <s v="EE_Industry"/>
    <x v="4"/>
    <x v="4"/>
    <x v="7"/>
    <x v="2"/>
    <n v="13.319672131147501"/>
    <n v="810.28005464480896"/>
    <n v="2917.00819672131"/>
  </r>
  <r>
    <x v="0"/>
    <x v="0"/>
    <x v="0"/>
    <x v="1"/>
    <x v="2"/>
    <s v="EE_Industry"/>
    <x v="4"/>
    <x v="4"/>
    <x v="7"/>
    <x v="3"/>
    <n v="13.319672131147501"/>
    <n v="810.28005464480896"/>
    <n v="2917.00819672131"/>
  </r>
  <r>
    <x v="0"/>
    <x v="0"/>
    <x v="0"/>
    <x v="1"/>
    <x v="2"/>
    <s v="EE_Industry"/>
    <x v="4"/>
    <x v="4"/>
    <x v="7"/>
    <x v="4"/>
    <n v="13.319672131147501"/>
    <n v="810.28005464480896"/>
    <n v="2917.00819672131"/>
  </r>
  <r>
    <x v="0"/>
    <x v="0"/>
    <x v="0"/>
    <x v="1"/>
    <x v="2"/>
    <s v="EE_Industry"/>
    <x v="4"/>
    <x v="4"/>
    <x v="7"/>
    <x v="5"/>
    <n v="13.319672131147501"/>
    <n v="810.28005464480896"/>
    <n v="2917.00819672131"/>
  </r>
  <r>
    <x v="0"/>
    <x v="0"/>
    <x v="0"/>
    <x v="1"/>
    <x v="2"/>
    <s v="EE_Industry"/>
    <x v="4"/>
    <x v="4"/>
    <x v="7"/>
    <x v="6"/>
    <n v="13.319672131147501"/>
    <n v="810.28005464480896"/>
    <n v="2917.00819672131"/>
  </r>
  <r>
    <x v="0"/>
    <x v="0"/>
    <x v="0"/>
    <x v="1"/>
    <x v="2"/>
    <s v="EE_Industry"/>
    <x v="4"/>
    <x v="4"/>
    <x v="7"/>
    <x v="7"/>
    <n v="13.319672131147501"/>
    <n v="810.28005464480896"/>
    <n v="2917.00819672131"/>
  </r>
  <r>
    <x v="0"/>
    <x v="0"/>
    <x v="0"/>
    <x v="1"/>
    <x v="2"/>
    <s v="EE_Industry"/>
    <x v="4"/>
    <x v="4"/>
    <x v="7"/>
    <x v="8"/>
    <n v="13.319672131147501"/>
    <n v="810.28005464480896"/>
    <n v="2917.00819672131"/>
  </r>
  <r>
    <x v="0"/>
    <x v="0"/>
    <x v="0"/>
    <x v="1"/>
    <x v="2"/>
    <s v="EE_Industry"/>
    <x v="4"/>
    <x v="4"/>
    <x v="7"/>
    <x v="9"/>
    <n v="13.319672131147501"/>
    <n v="810.28005464480896"/>
    <n v="2917.00819672131"/>
  </r>
  <r>
    <x v="0"/>
    <x v="0"/>
    <x v="0"/>
    <x v="1"/>
    <x v="2"/>
    <s v="EE_Industry"/>
    <x v="4"/>
    <x v="4"/>
    <x v="7"/>
    <x v="10"/>
    <n v="13.319672131147501"/>
    <n v="810.28005464480896"/>
    <n v="2917.00819672131"/>
  </r>
  <r>
    <x v="0"/>
    <x v="0"/>
    <x v="0"/>
    <x v="1"/>
    <x v="2"/>
    <s v="EE_Industry"/>
    <x v="4"/>
    <x v="4"/>
    <x v="7"/>
    <x v="11"/>
    <n v="13.319672131147501"/>
    <n v="810.28005464480896"/>
    <n v="2917.00819672131"/>
  </r>
  <r>
    <x v="0"/>
    <x v="0"/>
    <x v="0"/>
    <x v="1"/>
    <x v="2"/>
    <s v="EE_Industry"/>
    <x v="4"/>
    <x v="4"/>
    <x v="8"/>
    <x v="0"/>
    <n v="13.319672131147501"/>
    <n v="810.28005464480896"/>
    <n v="2917.00819672131"/>
  </r>
  <r>
    <x v="0"/>
    <x v="0"/>
    <x v="0"/>
    <x v="1"/>
    <x v="2"/>
    <s v="EE_Industry"/>
    <x v="4"/>
    <x v="4"/>
    <x v="8"/>
    <x v="1"/>
    <n v="13.319672131147501"/>
    <n v="810.28005464480896"/>
    <n v="2917.00819672131"/>
  </r>
  <r>
    <x v="0"/>
    <x v="0"/>
    <x v="0"/>
    <x v="1"/>
    <x v="2"/>
    <s v="EE_Industry"/>
    <x v="4"/>
    <x v="4"/>
    <x v="8"/>
    <x v="2"/>
    <n v="13.319672131147501"/>
    <n v="810.28005464480896"/>
    <n v="2917.00819672131"/>
  </r>
  <r>
    <x v="0"/>
    <x v="0"/>
    <x v="0"/>
    <x v="1"/>
    <x v="2"/>
    <s v="EE_Industry"/>
    <x v="4"/>
    <x v="4"/>
    <x v="8"/>
    <x v="3"/>
    <n v="13.319672131147501"/>
    <n v="810.28005464480896"/>
    <n v="2917.00819672131"/>
  </r>
  <r>
    <x v="0"/>
    <x v="0"/>
    <x v="0"/>
    <x v="1"/>
    <x v="2"/>
    <s v="EE_Industry"/>
    <x v="4"/>
    <x v="4"/>
    <x v="8"/>
    <x v="4"/>
    <n v="13.319672131147501"/>
    <n v="810.28005464480896"/>
    <n v="2917.00819672131"/>
  </r>
  <r>
    <x v="0"/>
    <x v="0"/>
    <x v="0"/>
    <x v="1"/>
    <x v="2"/>
    <s v="EE_Industry"/>
    <x v="4"/>
    <x v="4"/>
    <x v="8"/>
    <x v="5"/>
    <n v="13.319672131147501"/>
    <n v="810.28005464480896"/>
    <n v="2917.00819672131"/>
  </r>
  <r>
    <x v="0"/>
    <x v="0"/>
    <x v="0"/>
    <x v="1"/>
    <x v="2"/>
    <s v="EE_Industry"/>
    <x v="4"/>
    <x v="4"/>
    <x v="8"/>
    <x v="6"/>
    <n v="13.319672131147501"/>
    <n v="810.28005464480896"/>
    <n v="2917.00819672131"/>
  </r>
  <r>
    <x v="0"/>
    <x v="0"/>
    <x v="0"/>
    <x v="1"/>
    <x v="2"/>
    <s v="EE_Industry"/>
    <x v="4"/>
    <x v="4"/>
    <x v="8"/>
    <x v="7"/>
    <n v="13.319672131147501"/>
    <n v="810.28005464480896"/>
    <n v="2917.00819672131"/>
  </r>
  <r>
    <x v="0"/>
    <x v="0"/>
    <x v="0"/>
    <x v="1"/>
    <x v="2"/>
    <s v="EE_Industry"/>
    <x v="4"/>
    <x v="4"/>
    <x v="8"/>
    <x v="8"/>
    <n v="13.319672131147501"/>
    <n v="810.28005464480896"/>
    <n v="2917.00819672131"/>
  </r>
  <r>
    <x v="0"/>
    <x v="0"/>
    <x v="0"/>
    <x v="1"/>
    <x v="2"/>
    <s v="EE_Industry"/>
    <x v="4"/>
    <x v="4"/>
    <x v="8"/>
    <x v="9"/>
    <n v="13.319672131147501"/>
    <n v="810.28005464480896"/>
    <n v="2917.00819672131"/>
  </r>
  <r>
    <x v="0"/>
    <x v="0"/>
    <x v="0"/>
    <x v="1"/>
    <x v="2"/>
    <s v="EE_Industry"/>
    <x v="4"/>
    <x v="4"/>
    <x v="8"/>
    <x v="10"/>
    <n v="13.319672131147501"/>
    <n v="810.28005464480896"/>
    <n v="2917.00819672131"/>
  </r>
  <r>
    <x v="0"/>
    <x v="0"/>
    <x v="0"/>
    <x v="1"/>
    <x v="2"/>
    <s v="EE_Industry"/>
    <x v="4"/>
    <x v="4"/>
    <x v="8"/>
    <x v="11"/>
    <n v="13.319672131147501"/>
    <n v="810.28005464480896"/>
    <n v="2917.00819672131"/>
  </r>
  <r>
    <x v="0"/>
    <x v="0"/>
    <x v="0"/>
    <x v="1"/>
    <x v="2"/>
    <s v="EE_Industry"/>
    <x v="4"/>
    <x v="4"/>
    <x v="9"/>
    <x v="0"/>
    <n v="13.319672131147501"/>
    <n v="810.28005464480896"/>
    <n v="2917.00819672131"/>
  </r>
  <r>
    <x v="0"/>
    <x v="0"/>
    <x v="0"/>
    <x v="1"/>
    <x v="2"/>
    <s v="EE_Industry"/>
    <x v="4"/>
    <x v="4"/>
    <x v="9"/>
    <x v="1"/>
    <n v="13.319672131147501"/>
    <n v="810.28005464480896"/>
    <n v="2917.00819672131"/>
  </r>
  <r>
    <x v="0"/>
    <x v="0"/>
    <x v="0"/>
    <x v="1"/>
    <x v="2"/>
    <s v="EE_Industry"/>
    <x v="4"/>
    <x v="4"/>
    <x v="9"/>
    <x v="2"/>
    <n v="13.319672131147501"/>
    <n v="810.28005464480896"/>
    <n v="2917.00819672131"/>
  </r>
  <r>
    <x v="0"/>
    <x v="0"/>
    <x v="0"/>
    <x v="1"/>
    <x v="2"/>
    <s v="EE_Industry"/>
    <x v="4"/>
    <x v="4"/>
    <x v="9"/>
    <x v="3"/>
    <n v="13.319672131147501"/>
    <n v="810.28005464480896"/>
    <n v="2917.00819672131"/>
  </r>
  <r>
    <x v="0"/>
    <x v="0"/>
    <x v="0"/>
    <x v="1"/>
    <x v="2"/>
    <s v="EE_Industry"/>
    <x v="4"/>
    <x v="4"/>
    <x v="9"/>
    <x v="4"/>
    <n v="13.319672131147501"/>
    <n v="810.28005464480896"/>
    <n v="2917.00819672131"/>
  </r>
  <r>
    <x v="0"/>
    <x v="0"/>
    <x v="0"/>
    <x v="1"/>
    <x v="2"/>
    <s v="EE_Industry"/>
    <x v="4"/>
    <x v="4"/>
    <x v="9"/>
    <x v="5"/>
    <n v="13.319672131147501"/>
    <n v="810.28005464480896"/>
    <n v="2917.00819672131"/>
  </r>
  <r>
    <x v="0"/>
    <x v="0"/>
    <x v="0"/>
    <x v="1"/>
    <x v="2"/>
    <s v="EE_Industry"/>
    <x v="4"/>
    <x v="4"/>
    <x v="9"/>
    <x v="6"/>
    <n v="13.319672131147501"/>
    <n v="810.28005464480896"/>
    <n v="2917.00819672131"/>
  </r>
  <r>
    <x v="0"/>
    <x v="0"/>
    <x v="0"/>
    <x v="1"/>
    <x v="2"/>
    <s v="EE_Industry"/>
    <x v="4"/>
    <x v="4"/>
    <x v="9"/>
    <x v="7"/>
    <n v="13.319672131147501"/>
    <n v="810.28005464480896"/>
    <n v="2917.00819672131"/>
  </r>
  <r>
    <x v="0"/>
    <x v="0"/>
    <x v="0"/>
    <x v="1"/>
    <x v="2"/>
    <s v="EE_Industry"/>
    <x v="4"/>
    <x v="4"/>
    <x v="9"/>
    <x v="8"/>
    <n v="13.319672131147501"/>
    <n v="810.28005464480896"/>
    <n v="2917.00819672131"/>
  </r>
  <r>
    <x v="0"/>
    <x v="0"/>
    <x v="0"/>
    <x v="1"/>
    <x v="2"/>
    <s v="EE_Industry"/>
    <x v="4"/>
    <x v="4"/>
    <x v="9"/>
    <x v="9"/>
    <n v="13.319672131147501"/>
    <n v="810.28005464480896"/>
    <n v="2917.00819672131"/>
  </r>
  <r>
    <x v="0"/>
    <x v="0"/>
    <x v="0"/>
    <x v="1"/>
    <x v="2"/>
    <s v="EE_Industry"/>
    <x v="4"/>
    <x v="4"/>
    <x v="9"/>
    <x v="10"/>
    <n v="13.319672131147501"/>
    <n v="810.28005464480896"/>
    <n v="2917.00819672131"/>
  </r>
  <r>
    <x v="0"/>
    <x v="0"/>
    <x v="0"/>
    <x v="1"/>
    <x v="2"/>
    <s v="EE_Industry"/>
    <x v="4"/>
    <x v="4"/>
    <x v="9"/>
    <x v="11"/>
    <n v="13.319672131147501"/>
    <n v="810.28005464480896"/>
    <n v="2917.00819672131"/>
  </r>
  <r>
    <x v="0"/>
    <x v="0"/>
    <x v="0"/>
    <x v="1"/>
    <x v="2"/>
    <s v="EE_Industry"/>
    <x v="4"/>
    <x v="4"/>
    <x v="10"/>
    <x v="0"/>
    <n v="13.319672131147501"/>
    <n v="810.28005464480896"/>
    <n v="2917.00819672131"/>
  </r>
  <r>
    <x v="0"/>
    <x v="0"/>
    <x v="0"/>
    <x v="1"/>
    <x v="2"/>
    <s v="EE_Industry"/>
    <x v="4"/>
    <x v="4"/>
    <x v="10"/>
    <x v="1"/>
    <n v="13.319672131147501"/>
    <n v="810.28005464480896"/>
    <n v="2917.00819672131"/>
  </r>
  <r>
    <x v="0"/>
    <x v="0"/>
    <x v="0"/>
    <x v="1"/>
    <x v="2"/>
    <s v="EE_Industry"/>
    <x v="4"/>
    <x v="4"/>
    <x v="10"/>
    <x v="2"/>
    <n v="13.319672131147501"/>
    <n v="810.28005464480896"/>
    <n v="2917.00819672131"/>
  </r>
  <r>
    <x v="0"/>
    <x v="0"/>
    <x v="0"/>
    <x v="1"/>
    <x v="2"/>
    <s v="EE_Industry"/>
    <x v="4"/>
    <x v="4"/>
    <x v="10"/>
    <x v="3"/>
    <n v="13.319672131147501"/>
    <n v="810.28005464480896"/>
    <n v="2917.00819672131"/>
  </r>
  <r>
    <x v="0"/>
    <x v="0"/>
    <x v="0"/>
    <x v="1"/>
    <x v="2"/>
    <s v="EE_Industry"/>
    <x v="4"/>
    <x v="4"/>
    <x v="10"/>
    <x v="4"/>
    <n v="13.319672131147501"/>
    <n v="810.28005464480896"/>
    <n v="2917.00819672131"/>
  </r>
  <r>
    <x v="0"/>
    <x v="0"/>
    <x v="0"/>
    <x v="1"/>
    <x v="2"/>
    <s v="EE_Industry"/>
    <x v="4"/>
    <x v="4"/>
    <x v="10"/>
    <x v="5"/>
    <n v="13.319672131147501"/>
    <n v="810.28005464480896"/>
    <n v="2917.00819672131"/>
  </r>
  <r>
    <x v="0"/>
    <x v="0"/>
    <x v="0"/>
    <x v="1"/>
    <x v="2"/>
    <s v="EE_Industry"/>
    <x v="4"/>
    <x v="4"/>
    <x v="10"/>
    <x v="6"/>
    <n v="13.319672131147501"/>
    <n v="810.28005464480896"/>
    <n v="2917.00819672131"/>
  </r>
  <r>
    <x v="0"/>
    <x v="0"/>
    <x v="0"/>
    <x v="1"/>
    <x v="2"/>
    <s v="EE_Industry"/>
    <x v="4"/>
    <x v="4"/>
    <x v="10"/>
    <x v="7"/>
    <n v="13.319672131147501"/>
    <n v="810.28005464480896"/>
    <n v="2917.00819672131"/>
  </r>
  <r>
    <x v="0"/>
    <x v="0"/>
    <x v="0"/>
    <x v="1"/>
    <x v="2"/>
    <s v="EE_Industry"/>
    <x v="4"/>
    <x v="4"/>
    <x v="10"/>
    <x v="8"/>
    <n v="13.319672131147501"/>
    <n v="810.28005464480896"/>
    <n v="2917.00819672131"/>
  </r>
  <r>
    <x v="0"/>
    <x v="0"/>
    <x v="0"/>
    <x v="1"/>
    <x v="2"/>
    <s v="EE_Industry"/>
    <x v="4"/>
    <x v="4"/>
    <x v="10"/>
    <x v="9"/>
    <n v="13.319672131147501"/>
    <n v="810.28005464480896"/>
    <n v="2917.00819672131"/>
  </r>
  <r>
    <x v="0"/>
    <x v="0"/>
    <x v="0"/>
    <x v="1"/>
    <x v="2"/>
    <s v="EE_Industry"/>
    <x v="4"/>
    <x v="4"/>
    <x v="10"/>
    <x v="10"/>
    <n v="13.319672131147501"/>
    <n v="810.28005464480896"/>
    <n v="2917.00819672131"/>
  </r>
  <r>
    <x v="0"/>
    <x v="0"/>
    <x v="0"/>
    <x v="1"/>
    <x v="2"/>
    <s v="EE_Industry"/>
    <x v="4"/>
    <x v="4"/>
    <x v="10"/>
    <x v="11"/>
    <n v="13.319672131147501"/>
    <n v="810.28005464480896"/>
    <n v="2917.00819672131"/>
  </r>
  <r>
    <x v="0"/>
    <x v="0"/>
    <x v="0"/>
    <x v="1"/>
    <x v="2"/>
    <s v="EE_Industry"/>
    <x v="4"/>
    <x v="4"/>
    <x v="11"/>
    <x v="0"/>
    <n v="13.319672131147501"/>
    <n v="810.28005464480896"/>
    <n v="2917.00819672131"/>
  </r>
  <r>
    <x v="0"/>
    <x v="0"/>
    <x v="0"/>
    <x v="1"/>
    <x v="2"/>
    <s v="EE_Industry"/>
    <x v="4"/>
    <x v="4"/>
    <x v="11"/>
    <x v="1"/>
    <n v="13.319672131147501"/>
    <n v="810.28005464480896"/>
    <n v="2917.00819672131"/>
  </r>
  <r>
    <x v="0"/>
    <x v="0"/>
    <x v="0"/>
    <x v="1"/>
    <x v="2"/>
    <s v="EE_Industry"/>
    <x v="4"/>
    <x v="4"/>
    <x v="11"/>
    <x v="2"/>
    <n v="13.319672131147501"/>
    <n v="810.28005464480896"/>
    <n v="2917.00819672131"/>
  </r>
  <r>
    <x v="0"/>
    <x v="0"/>
    <x v="0"/>
    <x v="1"/>
    <x v="2"/>
    <s v="EE_Industry"/>
    <x v="4"/>
    <x v="4"/>
    <x v="11"/>
    <x v="3"/>
    <n v="13.319672131147501"/>
    <n v="810.28005464480896"/>
    <n v="2917.00819672131"/>
  </r>
  <r>
    <x v="0"/>
    <x v="0"/>
    <x v="0"/>
    <x v="1"/>
    <x v="2"/>
    <s v="EE_Industry"/>
    <x v="4"/>
    <x v="4"/>
    <x v="11"/>
    <x v="4"/>
    <n v="13.319672131147501"/>
    <n v="810.28005464480896"/>
    <n v="2917.00819672131"/>
  </r>
  <r>
    <x v="0"/>
    <x v="0"/>
    <x v="0"/>
    <x v="1"/>
    <x v="2"/>
    <s v="EE_Industry"/>
    <x v="4"/>
    <x v="4"/>
    <x v="11"/>
    <x v="5"/>
    <n v="13.319672131147501"/>
    <n v="810.28005464480896"/>
    <n v="2917.00819672131"/>
  </r>
  <r>
    <x v="0"/>
    <x v="0"/>
    <x v="0"/>
    <x v="1"/>
    <x v="2"/>
    <s v="EE_Industry"/>
    <x v="4"/>
    <x v="4"/>
    <x v="11"/>
    <x v="6"/>
    <n v="13.319672131147501"/>
    <n v="810.28005464480896"/>
    <n v="2917.00819672131"/>
  </r>
  <r>
    <x v="0"/>
    <x v="0"/>
    <x v="0"/>
    <x v="1"/>
    <x v="2"/>
    <s v="EE_Industry"/>
    <x v="4"/>
    <x v="4"/>
    <x v="11"/>
    <x v="7"/>
    <n v="13.319672131147501"/>
    <n v="810.28005464480896"/>
    <n v="2917.00819672131"/>
  </r>
  <r>
    <x v="0"/>
    <x v="0"/>
    <x v="0"/>
    <x v="1"/>
    <x v="2"/>
    <s v="EE_Industry"/>
    <x v="4"/>
    <x v="4"/>
    <x v="11"/>
    <x v="8"/>
    <n v="13.319672131147501"/>
    <n v="810.28005464480896"/>
    <n v="2917.00819672131"/>
  </r>
  <r>
    <x v="0"/>
    <x v="0"/>
    <x v="0"/>
    <x v="1"/>
    <x v="2"/>
    <s v="EE_Industry"/>
    <x v="4"/>
    <x v="4"/>
    <x v="11"/>
    <x v="9"/>
    <n v="13.319672131147501"/>
    <n v="810.28005464480896"/>
    <n v="2917.00819672131"/>
  </r>
  <r>
    <x v="0"/>
    <x v="0"/>
    <x v="0"/>
    <x v="1"/>
    <x v="2"/>
    <s v="EE_Industry"/>
    <x v="4"/>
    <x v="4"/>
    <x v="11"/>
    <x v="10"/>
    <n v="13.319672131147501"/>
    <n v="810.28005464480896"/>
    <n v="2917.00819672131"/>
  </r>
  <r>
    <x v="0"/>
    <x v="0"/>
    <x v="0"/>
    <x v="1"/>
    <x v="2"/>
    <s v="EE_Industry"/>
    <x v="4"/>
    <x v="4"/>
    <x v="11"/>
    <x v="11"/>
    <n v="13.319672131147501"/>
    <n v="810.28005464480896"/>
    <n v="2917.00819672131"/>
  </r>
  <r>
    <x v="0"/>
    <x v="0"/>
    <x v="0"/>
    <x v="1"/>
    <x v="2"/>
    <s v="EE_Kohtla_Jarve"/>
    <x v="5"/>
    <x v="5"/>
    <x v="0"/>
    <x v="0"/>
    <n v="28.840874032536401"/>
    <n v="1754.4865036459601"/>
    <n v="6316.1514131254698"/>
  </r>
  <r>
    <x v="0"/>
    <x v="0"/>
    <x v="0"/>
    <x v="1"/>
    <x v="2"/>
    <s v="EE_Kohtla_Jarve"/>
    <x v="5"/>
    <x v="5"/>
    <x v="0"/>
    <x v="1"/>
    <n v="28.825670619762299"/>
    <n v="1753.5616293688699"/>
    <n v="6312.8218657279403"/>
  </r>
  <r>
    <x v="0"/>
    <x v="0"/>
    <x v="0"/>
    <x v="1"/>
    <x v="2"/>
    <s v="EE_Kohtla_Jarve"/>
    <x v="5"/>
    <x v="5"/>
    <x v="0"/>
    <x v="2"/>
    <n v="28.840874032536401"/>
    <n v="1754.4865036459601"/>
    <n v="6316.1514131254698"/>
  </r>
  <r>
    <x v="0"/>
    <x v="0"/>
    <x v="0"/>
    <x v="1"/>
    <x v="2"/>
    <s v="EE_Kohtla_Jarve"/>
    <x v="5"/>
    <x v="5"/>
    <x v="0"/>
    <x v="3"/>
    <n v="28.8560774453105"/>
    <n v="1755.4113779230599"/>
    <n v="6319.4809605230103"/>
  </r>
  <r>
    <x v="0"/>
    <x v="0"/>
    <x v="0"/>
    <x v="1"/>
    <x v="2"/>
    <s v="EE_Kohtla_Jarve"/>
    <x v="5"/>
    <x v="5"/>
    <x v="0"/>
    <x v="4"/>
    <n v="28.8560774453105"/>
    <n v="1755.4113779230599"/>
    <n v="6319.4809605230103"/>
  </r>
  <r>
    <x v="0"/>
    <x v="0"/>
    <x v="0"/>
    <x v="1"/>
    <x v="2"/>
    <s v="EE_Kohtla_Jarve"/>
    <x v="5"/>
    <x v="5"/>
    <x v="0"/>
    <x v="5"/>
    <n v="28.825670619762199"/>
    <n v="1753.5616293688699"/>
    <n v="6312.8218657279303"/>
  </r>
  <r>
    <x v="0"/>
    <x v="0"/>
    <x v="0"/>
    <x v="1"/>
    <x v="2"/>
    <s v="EE_Kohtla_Jarve"/>
    <x v="5"/>
    <x v="5"/>
    <x v="0"/>
    <x v="6"/>
    <n v="28.764856968665701"/>
    <n v="1749.8621322604999"/>
    <n v="6299.5036761377996"/>
  </r>
  <r>
    <x v="0"/>
    <x v="0"/>
    <x v="0"/>
    <x v="1"/>
    <x v="2"/>
    <s v="EE_Kohtla_Jarve"/>
    <x v="5"/>
    <x v="5"/>
    <x v="0"/>
    <x v="7"/>
    <n v="28.719246730343301"/>
    <n v="1747.0875094292201"/>
    <n v="6289.5150339451802"/>
  </r>
  <r>
    <x v="0"/>
    <x v="0"/>
    <x v="0"/>
    <x v="1"/>
    <x v="2"/>
    <s v="EE_Kohtla_Jarve"/>
    <x v="5"/>
    <x v="5"/>
    <x v="0"/>
    <x v="8"/>
    <n v="28.871280858084699"/>
    <n v="1756.3362522001501"/>
    <n v="6322.8105079205397"/>
  </r>
  <r>
    <x v="0"/>
    <x v="0"/>
    <x v="0"/>
    <x v="1"/>
    <x v="2"/>
    <s v="EE_Kohtla_Jarve"/>
    <x v="5"/>
    <x v="5"/>
    <x v="0"/>
    <x v="9"/>
    <n v="29.0841286369225"/>
    <n v="1769.2844920794601"/>
    <n v="6369.42417148604"/>
  </r>
  <r>
    <x v="0"/>
    <x v="0"/>
    <x v="0"/>
    <x v="1"/>
    <x v="2"/>
    <s v="EE_Kohtla_Jarve"/>
    <x v="5"/>
    <x v="5"/>
    <x v="0"/>
    <x v="10"/>
    <n v="29.388196892405301"/>
    <n v="1787.78197762132"/>
    <n v="6436.01511943675"/>
  </r>
  <r>
    <x v="0"/>
    <x v="0"/>
    <x v="0"/>
    <x v="1"/>
    <x v="2"/>
    <s v="EE_Kohtla_Jarve"/>
    <x v="5"/>
    <x v="5"/>
    <x v="0"/>
    <x v="11"/>
    <n v="29.7530787989846"/>
    <n v="1809.97896027156"/>
    <n v="6515.9242569776197"/>
  </r>
  <r>
    <x v="0"/>
    <x v="0"/>
    <x v="0"/>
    <x v="1"/>
    <x v="2"/>
    <s v="EE_Kohtla_Jarve"/>
    <x v="5"/>
    <x v="5"/>
    <x v="1"/>
    <x v="0"/>
    <n v="38.312600190823296"/>
    <n v="2330.6831782750801"/>
    <n v="8390.4594417903008"/>
  </r>
  <r>
    <x v="0"/>
    <x v="0"/>
    <x v="0"/>
    <x v="1"/>
    <x v="2"/>
    <s v="EE_Kohtla_Jarve"/>
    <x v="5"/>
    <x v="5"/>
    <x v="1"/>
    <x v="1"/>
    <n v="38.555854795209399"/>
    <n v="2345.4811667085701"/>
    <n v="8443.7322001508692"/>
  </r>
  <r>
    <x v="0"/>
    <x v="0"/>
    <x v="0"/>
    <x v="1"/>
    <x v="2"/>
    <s v="EE_Kohtla_Jarve"/>
    <x v="5"/>
    <x v="5"/>
    <x v="1"/>
    <x v="2"/>
    <n v="38.6318718590801"/>
    <n v="2350.1055380940402"/>
    <n v="8460.3799371385503"/>
  </r>
  <r>
    <x v="0"/>
    <x v="0"/>
    <x v="0"/>
    <x v="1"/>
    <x v="2"/>
    <s v="EE_Kohtla_Jarve"/>
    <x v="5"/>
    <x v="5"/>
    <x v="1"/>
    <x v="3"/>
    <n v="38.403820667468104"/>
    <n v="2336.2324239376399"/>
    <n v="8410.4367261754996"/>
  </r>
  <r>
    <x v="0"/>
    <x v="0"/>
    <x v="0"/>
    <x v="1"/>
    <x v="2"/>
    <s v="EE_Kohtla_Jarve"/>
    <x v="5"/>
    <x v="5"/>
    <x v="1"/>
    <x v="4"/>
    <n v="37.902108045921601"/>
    <n v="2305.7115727935602"/>
    <n v="8300.5616620568198"/>
  </r>
  <r>
    <x v="0"/>
    <x v="0"/>
    <x v="0"/>
    <x v="1"/>
    <x v="2"/>
    <s v="EE_Kohtla_Jarve"/>
    <x v="5"/>
    <x v="5"/>
    <x v="1"/>
    <x v="5"/>
    <n v="37.172344232763002"/>
    <n v="2261.3176074930798"/>
    <n v="8140.7433869751103"/>
  </r>
  <r>
    <x v="0"/>
    <x v="0"/>
    <x v="0"/>
    <x v="1"/>
    <x v="2"/>
    <s v="EE_Kohtla_Jarve"/>
    <x v="5"/>
    <x v="5"/>
    <x v="1"/>
    <x v="6"/>
    <n v="36.244936053540698"/>
    <n v="2204.9002765904002"/>
    <n v="7937.64099572542"/>
  </r>
  <r>
    <x v="0"/>
    <x v="0"/>
    <x v="0"/>
    <x v="1"/>
    <x v="2"/>
    <s v="EE_Kohtla_Jarve"/>
    <x v="5"/>
    <x v="5"/>
    <x v="1"/>
    <x v="7"/>
    <n v="35.104680095480497"/>
    <n v="2135.5347058083998"/>
    <n v="7687.9249409102304"/>
  </r>
  <r>
    <x v="0"/>
    <x v="0"/>
    <x v="0"/>
    <x v="1"/>
    <x v="2"/>
    <s v="EE_Kohtla_Jarve"/>
    <x v="5"/>
    <x v="5"/>
    <x v="1"/>
    <x v="8"/>
    <n v="34.116458265161697"/>
    <n v="2075.4178777973302"/>
    <n v="7471.5043600704103"/>
  </r>
  <r>
    <x v="0"/>
    <x v="0"/>
    <x v="0"/>
    <x v="1"/>
    <x v="2"/>
    <s v="EE_Kohtla_Jarve"/>
    <x v="5"/>
    <x v="5"/>
    <x v="1"/>
    <x v="9"/>
    <n v="33.219456911487597"/>
    <n v="2020.8502954488299"/>
    <n v="7275.0610636157899"/>
  </r>
  <r>
    <x v="0"/>
    <x v="0"/>
    <x v="0"/>
    <x v="1"/>
    <x v="2"/>
    <s v="EE_Kohtla_Jarve"/>
    <x v="5"/>
    <x v="5"/>
    <x v="1"/>
    <x v="10"/>
    <n v="32.413676034458398"/>
    <n v="1971.8319587628901"/>
    <n v="7098.5950515463901"/>
  </r>
  <r>
    <x v="0"/>
    <x v="0"/>
    <x v="0"/>
    <x v="1"/>
    <x v="2"/>
    <s v="EE_Kohtla_Jarve"/>
    <x v="5"/>
    <x v="5"/>
    <x v="1"/>
    <x v="11"/>
    <n v="31.744725872396401"/>
    <n v="1931.1374905707801"/>
    <n v="6952.0949660548204"/>
  </r>
  <r>
    <x v="0"/>
    <x v="0"/>
    <x v="0"/>
    <x v="1"/>
    <x v="2"/>
    <s v="EE_Kohtla_Jarve"/>
    <x v="5"/>
    <x v="5"/>
    <x v="2"/>
    <x v="0"/>
    <n v="30.543656263239601"/>
    <n v="1858.07242268041"/>
    <n v="6689.06072164948"/>
  </r>
  <r>
    <x v="0"/>
    <x v="0"/>
    <x v="0"/>
    <x v="1"/>
    <x v="2"/>
    <s v="EE_Kohtla_Jarve"/>
    <x v="5"/>
    <x v="5"/>
    <x v="2"/>
    <x v="1"/>
    <n v="30.574063088787899"/>
    <n v="1859.9221712346"/>
    <n v="6695.7198164445599"/>
  </r>
  <r>
    <x v="0"/>
    <x v="0"/>
    <x v="0"/>
    <x v="1"/>
    <x v="2"/>
    <s v="EE_Kohtla_Jarve"/>
    <x v="5"/>
    <x v="5"/>
    <x v="2"/>
    <x v="2"/>
    <n v="30.6044699143362"/>
    <n v="1861.77191978879"/>
    <n v="6702.3789112396298"/>
  </r>
  <r>
    <x v="0"/>
    <x v="0"/>
    <x v="0"/>
    <x v="1"/>
    <x v="2"/>
    <s v="EE_Kohtla_Jarve"/>
    <x v="5"/>
    <x v="5"/>
    <x v="2"/>
    <x v="3"/>
    <n v="30.680486978206901"/>
    <n v="1866.3962911742501"/>
    <n v="6719.02664822731"/>
  </r>
  <r>
    <x v="0"/>
    <x v="0"/>
    <x v="0"/>
    <x v="1"/>
    <x v="2"/>
    <s v="EE_Kohtla_Jarve"/>
    <x v="5"/>
    <x v="5"/>
    <x v="2"/>
    <x v="4"/>
    <n v="30.7717074548517"/>
    <n v="1871.9455368368101"/>
    <n v="6739.0039326125197"/>
  </r>
  <r>
    <x v="0"/>
    <x v="0"/>
    <x v="0"/>
    <x v="1"/>
    <x v="2"/>
    <s v="EE_Kohtla_Jarve"/>
    <x v="5"/>
    <x v="5"/>
    <x v="2"/>
    <x v="5"/>
    <n v="30.878131344270699"/>
    <n v="1878.41965677647"/>
    <n v="6762.3107643952799"/>
  </r>
  <r>
    <x v="0"/>
    <x v="0"/>
    <x v="0"/>
    <x v="1"/>
    <x v="2"/>
    <s v="EE_Kohtla_Jarve"/>
    <x v="5"/>
    <x v="5"/>
    <x v="2"/>
    <x v="6"/>
    <n v="31.030165472012001"/>
    <n v="1887.6683995474"/>
    <n v="6795.6062383706303"/>
  </r>
  <r>
    <x v="0"/>
    <x v="0"/>
    <x v="0"/>
    <x v="1"/>
    <x v="2"/>
    <s v="EE_Kohtla_Jarve"/>
    <x v="5"/>
    <x v="5"/>
    <x v="2"/>
    <x v="7"/>
    <n v="31.151792774205099"/>
    <n v="1895.06739376414"/>
    <n v="6822.2426175509099"/>
  </r>
  <r>
    <x v="0"/>
    <x v="0"/>
    <x v="0"/>
    <x v="1"/>
    <x v="2"/>
    <s v="EE_Kohtla_Jarve"/>
    <x v="5"/>
    <x v="5"/>
    <x v="2"/>
    <x v="8"/>
    <n v="31.258216663624101"/>
    <n v="1901.5415137038001"/>
    <n v="6845.5494493336701"/>
  </r>
  <r>
    <x v="0"/>
    <x v="0"/>
    <x v="0"/>
    <x v="1"/>
    <x v="2"/>
    <s v="EE_Kohtla_Jarve"/>
    <x v="5"/>
    <x v="5"/>
    <x v="2"/>
    <x v="9"/>
    <n v="31.3950473785913"/>
    <n v="1909.86538219763"/>
    <n v="6875.5153759114901"/>
  </r>
  <r>
    <x v="0"/>
    <x v="0"/>
    <x v="0"/>
    <x v="1"/>
    <x v="2"/>
    <s v="EE_Kohtla_Jarve"/>
    <x v="5"/>
    <x v="5"/>
    <x v="2"/>
    <x v="10"/>
    <n v="31.455861029687799"/>
    <n v="1913.56487930601"/>
    <n v="6888.8335655016299"/>
  </r>
  <r>
    <x v="0"/>
    <x v="0"/>
    <x v="0"/>
    <x v="1"/>
    <x v="2"/>
    <s v="EE_Kohtla_Jarve"/>
    <x v="5"/>
    <x v="5"/>
    <x v="2"/>
    <x v="11"/>
    <n v="31.364640553042999"/>
    <n v="1908.01563364345"/>
    <n v="6868.8562811164202"/>
  </r>
  <r>
    <x v="0"/>
    <x v="0"/>
    <x v="0"/>
    <x v="1"/>
    <x v="2"/>
    <s v="EE_Kohtla_Jarve"/>
    <x v="5"/>
    <x v="5"/>
    <x v="3"/>
    <x v="0"/>
    <n v="31.4862678552361"/>
    <n v="1915.4146278602"/>
    <n v="6895.4926602967098"/>
  </r>
  <r>
    <x v="0"/>
    <x v="0"/>
    <x v="0"/>
    <x v="1"/>
    <x v="2"/>
    <s v="EE_Kohtla_Jarve"/>
    <x v="5"/>
    <x v="5"/>
    <x v="3"/>
    <x v="1"/>
    <n v="31.972777064008401"/>
    <n v="1945.01060472718"/>
    <n v="7002.0381770178501"/>
  </r>
  <r>
    <x v="0"/>
    <x v="0"/>
    <x v="0"/>
    <x v="1"/>
    <x v="2"/>
    <s v="EE_Kohtla_Jarve"/>
    <x v="5"/>
    <x v="5"/>
    <x v="3"/>
    <x v="2"/>
    <n v="32.368065796136001"/>
    <n v="1969.0573359316099"/>
    <n v="7088.6064093537798"/>
  </r>
  <r>
    <x v="0"/>
    <x v="0"/>
    <x v="0"/>
    <x v="1"/>
    <x v="2"/>
    <s v="EE_Kohtla_Jarve"/>
    <x v="5"/>
    <x v="5"/>
    <x v="3"/>
    <x v="3"/>
    <n v="32.702540877167003"/>
    <n v="1989.4045700276599"/>
    <n v="7161.8564520995797"/>
  </r>
  <r>
    <x v="0"/>
    <x v="0"/>
    <x v="0"/>
    <x v="1"/>
    <x v="2"/>
    <s v="EE_Kohtla_Jarve"/>
    <x v="5"/>
    <x v="5"/>
    <x v="3"/>
    <x v="4"/>
    <n v="32.960998894327297"/>
    <n v="2005.12743273824"/>
    <n v="7218.4587578576802"/>
  </r>
  <r>
    <x v="0"/>
    <x v="0"/>
    <x v="0"/>
    <x v="1"/>
    <x v="2"/>
    <s v="EE_Kohtla_Jarve"/>
    <x v="5"/>
    <x v="5"/>
    <x v="3"/>
    <x v="5"/>
    <n v="33.052219370972097"/>
    <n v="2010.6766784008"/>
    <n v="7238.4360422428999"/>
  </r>
  <r>
    <x v="0"/>
    <x v="0"/>
    <x v="0"/>
    <x v="1"/>
    <x v="2"/>
    <s v="EE_Kohtla_Jarve"/>
    <x v="5"/>
    <x v="5"/>
    <x v="3"/>
    <x v="6"/>
    <n v="33.037015958197998"/>
    <n v="2009.7518041237099"/>
    <n v="7235.1064948453604"/>
  </r>
  <r>
    <x v="0"/>
    <x v="0"/>
    <x v="0"/>
    <x v="1"/>
    <x v="2"/>
    <s v="EE_Kohtla_Jarve"/>
    <x v="5"/>
    <x v="5"/>
    <x v="3"/>
    <x v="7"/>
    <n v="32.930592068778999"/>
    <n v="2003.27768418406"/>
    <n v="7211.7996630626103"/>
  </r>
  <r>
    <x v="0"/>
    <x v="0"/>
    <x v="0"/>
    <x v="1"/>
    <x v="2"/>
    <s v="EE_Kohtla_Jarve"/>
    <x v="5"/>
    <x v="5"/>
    <x v="3"/>
    <x v="8"/>
    <n v="32.793761353811803"/>
    <n v="1994.9538156902199"/>
    <n v="7181.8337364847903"/>
  </r>
  <r>
    <x v="0"/>
    <x v="0"/>
    <x v="0"/>
    <x v="1"/>
    <x v="2"/>
    <s v="EE_Kohtla_Jarve"/>
    <x v="5"/>
    <x v="5"/>
    <x v="3"/>
    <x v="9"/>
    <n v="32.611320400522203"/>
    <n v="1983.8553243650999"/>
    <n v="7141.8791677143599"/>
  </r>
  <r>
    <x v="0"/>
    <x v="0"/>
    <x v="0"/>
    <x v="1"/>
    <x v="2"/>
    <s v="EE_Kohtla_Jarve"/>
    <x v="5"/>
    <x v="5"/>
    <x v="3"/>
    <x v="10"/>
    <n v="32.398472621684199"/>
    <n v="1970.9070844857899"/>
    <n v="7095.2655041488497"/>
  </r>
  <r>
    <x v="0"/>
    <x v="0"/>
    <x v="0"/>
    <x v="1"/>
    <x v="2"/>
    <s v="EE_Kohtla_Jarve"/>
    <x v="5"/>
    <x v="5"/>
    <x v="3"/>
    <x v="11"/>
    <n v="32.185624842846401"/>
    <n v="1957.9588446064899"/>
    <n v="7048.6518405833604"/>
  </r>
  <r>
    <x v="0"/>
    <x v="0"/>
    <x v="0"/>
    <x v="1"/>
    <x v="2"/>
    <s v="EE_Kohtla_Jarve"/>
    <x v="5"/>
    <x v="5"/>
    <x v="4"/>
    <x v="0"/>
    <n v="42.919234261386499"/>
    <n v="2610.9200842343498"/>
    <n v="9399.3123032436506"/>
  </r>
  <r>
    <x v="0"/>
    <x v="0"/>
    <x v="0"/>
    <x v="1"/>
    <x v="2"/>
    <s v="EE_Kohtla_Jarve"/>
    <x v="5"/>
    <x v="5"/>
    <x v="4"/>
    <x v="1"/>
    <n v="42.934437674160698"/>
    <n v="2611.8449585114399"/>
    <n v="9402.6418506411901"/>
  </r>
  <r>
    <x v="0"/>
    <x v="0"/>
    <x v="0"/>
    <x v="1"/>
    <x v="2"/>
    <s v="EE_Kohtla_Jarve"/>
    <x v="5"/>
    <x v="5"/>
    <x v="4"/>
    <x v="2"/>
    <n v="42.6455728314521"/>
    <n v="2594.2723472466701"/>
    <n v="9339.3804500879996"/>
  </r>
  <r>
    <x v="0"/>
    <x v="0"/>
    <x v="0"/>
    <x v="1"/>
    <x v="2"/>
    <s v="EE_Kohtla_Jarve"/>
    <x v="5"/>
    <x v="5"/>
    <x v="4"/>
    <x v="3"/>
    <n v="42.143860209905597"/>
    <n v="2563.75149610259"/>
    <n v="9229.5053859693198"/>
  </r>
  <r>
    <x v="0"/>
    <x v="0"/>
    <x v="0"/>
    <x v="1"/>
    <x v="2"/>
    <s v="EE_Kohtla_Jarve"/>
    <x v="5"/>
    <x v="5"/>
    <x v="4"/>
    <x v="4"/>
    <n v="41.626944175584903"/>
    <n v="2532.3057706814202"/>
    <n v="9116.3007744531005"/>
  </r>
  <r>
    <x v="0"/>
    <x v="0"/>
    <x v="0"/>
    <x v="1"/>
    <x v="2"/>
    <s v="EE_Kohtla_Jarve"/>
    <x v="5"/>
    <x v="5"/>
    <x v="4"/>
    <x v="5"/>
    <n v="40.927587187974702"/>
    <n v="2489.76155393513"/>
    <n v="8963.14159416646"/>
  </r>
  <r>
    <x v="0"/>
    <x v="0"/>
    <x v="0"/>
    <x v="1"/>
    <x v="2"/>
    <s v="EE_Kohtla_Jarve"/>
    <x v="5"/>
    <x v="5"/>
    <x v="4"/>
    <x v="6"/>
    <n v="40.045789247074801"/>
    <n v="2436.1188458637198"/>
    <n v="8770.02784510938"/>
  </r>
  <r>
    <x v="0"/>
    <x v="0"/>
    <x v="0"/>
    <x v="1"/>
    <x v="2"/>
    <s v="EE_Kohtla_Jarve"/>
    <x v="5"/>
    <x v="5"/>
    <x v="4"/>
    <x v="7"/>
    <n v="39.118381067852503"/>
    <n v="2379.7015149610302"/>
    <n v="8566.9254538596906"/>
  </r>
  <r>
    <x v="0"/>
    <x v="0"/>
    <x v="0"/>
    <x v="1"/>
    <x v="2"/>
    <s v="EE_Kohtla_Jarve"/>
    <x v="5"/>
    <x v="5"/>
    <x v="4"/>
    <x v="8"/>
    <n v="38.373413841919799"/>
    <n v="2334.3826753834601"/>
    <n v="8403.7776313804407"/>
  </r>
  <r>
    <x v="0"/>
    <x v="0"/>
    <x v="0"/>
    <x v="1"/>
    <x v="2"/>
    <s v="EE_Kohtla_Jarve"/>
    <x v="5"/>
    <x v="5"/>
    <x v="4"/>
    <x v="9"/>
    <n v="37.978125109792302"/>
    <n v="2310.3359441790299"/>
    <n v="8317.2093990445101"/>
  </r>
  <r>
    <x v="0"/>
    <x v="0"/>
    <x v="0"/>
    <x v="1"/>
    <x v="2"/>
    <s v="EE_Kohtla_Jarve"/>
    <x v="5"/>
    <x v="5"/>
    <x v="4"/>
    <x v="10"/>
    <n v="37.841294394824999"/>
    <n v="2302.0120756851902"/>
    <n v="8287.24347246668"/>
  </r>
  <r>
    <x v="0"/>
    <x v="0"/>
    <x v="0"/>
    <x v="1"/>
    <x v="2"/>
    <s v="EE_Kohtla_Jarve"/>
    <x v="5"/>
    <x v="5"/>
    <x v="4"/>
    <x v="11"/>
    <n v="37.810887569276801"/>
    <n v="2300.162327131"/>
    <n v="8280.5843776716101"/>
  </r>
  <r>
    <x v="0"/>
    <x v="0"/>
    <x v="0"/>
    <x v="1"/>
    <x v="2"/>
    <s v="EE_Kohtla_Jarve"/>
    <x v="5"/>
    <x v="5"/>
    <x v="5"/>
    <x v="0"/>
    <n v="55.614083927790297"/>
    <n v="3383.1901056072402"/>
    <n v="12179.484380186101"/>
  </r>
  <r>
    <x v="0"/>
    <x v="0"/>
    <x v="0"/>
    <x v="1"/>
    <x v="2"/>
    <s v="EE_Kohtla_Jarve"/>
    <x v="5"/>
    <x v="5"/>
    <x v="5"/>
    <x v="1"/>
    <n v="55.614083927790297"/>
    <n v="3383.1901056072402"/>
    <n v="12179.484380186101"/>
  </r>
  <r>
    <x v="0"/>
    <x v="0"/>
    <x v="0"/>
    <x v="1"/>
    <x v="2"/>
    <s v="EE_Kohtla_Jarve"/>
    <x v="5"/>
    <x v="5"/>
    <x v="5"/>
    <x v="2"/>
    <n v="55.553270276693702"/>
    <n v="3379.4906084988702"/>
    <n v="12166.166190595901"/>
  </r>
  <r>
    <x v="0"/>
    <x v="0"/>
    <x v="0"/>
    <x v="1"/>
    <x v="2"/>
    <s v="EE_Kohtla_Jarve"/>
    <x v="5"/>
    <x v="5"/>
    <x v="5"/>
    <x v="3"/>
    <n v="55.021150829598902"/>
    <n v="3347.1200088005999"/>
    <n v="12049.6320316822"/>
  </r>
  <r>
    <x v="0"/>
    <x v="0"/>
    <x v="0"/>
    <x v="1"/>
    <x v="2"/>
    <s v="EE_Kohtla_Jarve"/>
    <x v="5"/>
    <x v="5"/>
    <x v="5"/>
    <x v="4"/>
    <n v="54.276183603666297"/>
    <n v="3301.8011692230298"/>
    <n v="11886.484209202899"/>
  </r>
  <r>
    <x v="0"/>
    <x v="0"/>
    <x v="0"/>
    <x v="1"/>
    <x v="2"/>
    <s v="EE_Kohtla_Jarve"/>
    <x v="5"/>
    <x v="5"/>
    <x v="5"/>
    <x v="5"/>
    <n v="53.044707168961303"/>
    <n v="3226.8863527784802"/>
    <n v="11616.7908700025"/>
  </r>
  <r>
    <x v="0"/>
    <x v="0"/>
    <x v="0"/>
    <x v="1"/>
    <x v="2"/>
    <s v="EE_Kohtla_Jarve"/>
    <x v="5"/>
    <x v="5"/>
    <x v="5"/>
    <x v="6"/>
    <n v="51.752417083159699"/>
    <n v="3148.2720392255501"/>
    <n v="11333.779341212001"/>
  </r>
  <r>
    <x v="0"/>
    <x v="0"/>
    <x v="0"/>
    <x v="1"/>
    <x v="2"/>
    <s v="EE_Kohtla_Jarve"/>
    <x v="5"/>
    <x v="5"/>
    <x v="5"/>
    <x v="7"/>
    <n v="50.277686044068403"/>
    <n v="3058.5592343475"/>
    <n v="11010.813243651"/>
  </r>
  <r>
    <x v="0"/>
    <x v="0"/>
    <x v="0"/>
    <x v="1"/>
    <x v="2"/>
    <s v="EE_Kohtla_Jarve"/>
    <x v="5"/>
    <x v="5"/>
    <x v="5"/>
    <x v="8"/>
    <n v="48.878972068847901"/>
    <n v="2973.4708008549101"/>
    <n v="10704.494883077699"/>
  </r>
  <r>
    <x v="0"/>
    <x v="0"/>
    <x v="0"/>
    <x v="1"/>
    <x v="2"/>
    <s v="EE_Kohtla_Jarve"/>
    <x v="5"/>
    <x v="5"/>
    <x v="5"/>
    <x v="9"/>
    <n v="47.693105872465303"/>
    <n v="2901.3306072416399"/>
    <n v="10444.7901860699"/>
  </r>
  <r>
    <x v="0"/>
    <x v="0"/>
    <x v="0"/>
    <x v="1"/>
    <x v="2"/>
    <s v="EE_Kohtla_Jarve"/>
    <x v="5"/>
    <x v="5"/>
    <x v="5"/>
    <x v="10"/>
    <n v="46.932935233758499"/>
    <n v="2855.0868933869801"/>
    <n v="10278.3128161931"/>
  </r>
  <r>
    <x v="0"/>
    <x v="0"/>
    <x v="0"/>
    <x v="1"/>
    <x v="2"/>
    <s v="EE_Kohtla_Jarve"/>
    <x v="5"/>
    <x v="5"/>
    <x v="5"/>
    <x v="11"/>
    <n v="46.416019199437898"/>
    <n v="2823.6411679657999"/>
    <n v="10165.108204676901"/>
  </r>
  <r>
    <x v="0"/>
    <x v="0"/>
    <x v="0"/>
    <x v="1"/>
    <x v="2"/>
    <s v="EE_Kohtla_Jarve"/>
    <x v="5"/>
    <x v="5"/>
    <x v="6"/>
    <x v="0"/>
    <n v="37.719667092631902"/>
    <n v="2294.6130814684402"/>
    <n v="8260.6070932863895"/>
  </r>
  <r>
    <x v="0"/>
    <x v="0"/>
    <x v="0"/>
    <x v="1"/>
    <x v="2"/>
    <s v="EE_Kohtla_Jarve"/>
    <x v="5"/>
    <x v="5"/>
    <x v="6"/>
    <x v="1"/>
    <n v="37.674056854309498"/>
    <n v="2291.8384586371599"/>
    <n v="8250.6184510937892"/>
  </r>
  <r>
    <x v="0"/>
    <x v="0"/>
    <x v="0"/>
    <x v="1"/>
    <x v="2"/>
    <s v="EE_Kohtla_Jarve"/>
    <x v="5"/>
    <x v="5"/>
    <x v="6"/>
    <x v="2"/>
    <n v="37.567632964890599"/>
    <n v="2285.36433869751"/>
    <n v="8227.31161931104"/>
  </r>
  <r>
    <x v="0"/>
    <x v="0"/>
    <x v="0"/>
    <x v="1"/>
    <x v="2"/>
    <s v="EE_Kohtla_Jarve"/>
    <x v="5"/>
    <x v="5"/>
    <x v="6"/>
    <x v="3"/>
    <n v="37.415598837149197"/>
    <n v="2276.1155959265802"/>
    <n v="8194.0161453356795"/>
  </r>
  <r>
    <x v="0"/>
    <x v="0"/>
    <x v="0"/>
    <x v="1"/>
    <x v="2"/>
    <s v="EE_Kohtla_Jarve"/>
    <x v="5"/>
    <x v="5"/>
    <x v="6"/>
    <x v="4"/>
    <n v="37.233157883859597"/>
    <n v="2265.0171046014598"/>
    <n v="8154.0615765652501"/>
  </r>
  <r>
    <x v="0"/>
    <x v="0"/>
    <x v="0"/>
    <x v="1"/>
    <x v="2"/>
    <s v="EE_Kohtla_Jarve"/>
    <x v="5"/>
    <x v="5"/>
    <x v="6"/>
    <x v="5"/>
    <n v="37.065920343344096"/>
    <n v="2254.8434875534299"/>
    <n v="8117.4365551923602"/>
  </r>
  <r>
    <x v="0"/>
    <x v="0"/>
    <x v="0"/>
    <x v="1"/>
    <x v="2"/>
    <s v="EE_Kohtla_Jarve"/>
    <x v="5"/>
    <x v="5"/>
    <x v="6"/>
    <x v="6"/>
    <n v="36.822665738957902"/>
    <n v="2240.0454991199399"/>
    <n v="8064.16379683179"/>
  </r>
  <r>
    <x v="0"/>
    <x v="0"/>
    <x v="0"/>
    <x v="1"/>
    <x v="2"/>
    <s v="EE_Kohtla_Jarve"/>
    <x v="5"/>
    <x v="5"/>
    <x v="6"/>
    <x v="7"/>
    <n v="36.594614547345799"/>
    <n v="2226.17238496354"/>
    <n v="8014.2205858687403"/>
  </r>
  <r>
    <x v="0"/>
    <x v="0"/>
    <x v="0"/>
    <x v="1"/>
    <x v="2"/>
    <s v="EE_Kohtla_Jarve"/>
    <x v="5"/>
    <x v="5"/>
    <x v="6"/>
    <x v="8"/>
    <n v="36.351359942959697"/>
    <n v="2211.37439653005"/>
    <n v="7960.9478275081701"/>
  </r>
  <r>
    <x v="0"/>
    <x v="0"/>
    <x v="0"/>
    <x v="1"/>
    <x v="2"/>
    <s v="EE_Kohtla_Jarve"/>
    <x v="5"/>
    <x v="5"/>
    <x v="6"/>
    <x v="9"/>
    <n v="36.1233087513477"/>
    <n v="2197.5012823736502"/>
    <n v="7911.0046165451404"/>
  </r>
  <r>
    <x v="0"/>
    <x v="0"/>
    <x v="0"/>
    <x v="1"/>
    <x v="2"/>
    <s v="EE_Kohtla_Jarve"/>
    <x v="5"/>
    <x v="5"/>
    <x v="6"/>
    <x v="10"/>
    <n v="35.910460972509703"/>
    <n v="2184.5530424943399"/>
    <n v="7864.3909529796301"/>
  </r>
  <r>
    <x v="0"/>
    <x v="0"/>
    <x v="0"/>
    <x v="1"/>
    <x v="2"/>
    <s v="EE_Kohtla_Jarve"/>
    <x v="5"/>
    <x v="5"/>
    <x v="6"/>
    <x v="11"/>
    <n v="35.758426844768401"/>
    <n v="2175.3042997234102"/>
    <n v="7831.0954790042797"/>
  </r>
  <r>
    <x v="0"/>
    <x v="0"/>
    <x v="0"/>
    <x v="1"/>
    <x v="2"/>
    <s v="EE_Kohtla_Jarve"/>
    <x v="5"/>
    <x v="5"/>
    <x v="7"/>
    <x v="0"/>
    <n v="35.469562002059803"/>
    <n v="2157.7316884586398"/>
    <n v="7767.8340784510901"/>
  </r>
  <r>
    <x v="0"/>
    <x v="0"/>
    <x v="0"/>
    <x v="1"/>
    <x v="2"/>
    <s v="EE_Kohtla_Jarve"/>
    <x v="5"/>
    <x v="5"/>
    <x v="7"/>
    <x v="1"/>
    <n v="35.165493746576999"/>
    <n v="2139.2342029167698"/>
    <n v="7701.2431305003802"/>
  </r>
  <r>
    <x v="0"/>
    <x v="0"/>
    <x v="0"/>
    <x v="1"/>
    <x v="2"/>
    <s v="EE_Kohtla_Jarve"/>
    <x v="5"/>
    <x v="5"/>
    <x v="7"/>
    <x v="2"/>
    <n v="34.815815252771898"/>
    <n v="2117.96209454363"/>
    <n v="7624.6635403570599"/>
  </r>
  <r>
    <x v="0"/>
    <x v="0"/>
    <x v="0"/>
    <x v="1"/>
    <x v="2"/>
    <s v="EE_Kohtla_Jarve"/>
    <x v="5"/>
    <x v="5"/>
    <x v="7"/>
    <x v="3"/>
    <n v="34.405323107870203"/>
    <n v="2092.9904890621101"/>
    <n v="7534.7657606235798"/>
  </r>
  <r>
    <x v="0"/>
    <x v="0"/>
    <x v="0"/>
    <x v="1"/>
    <x v="2"/>
    <s v="EE_Kohtla_Jarve"/>
    <x v="5"/>
    <x v="5"/>
    <x v="7"/>
    <x v="4"/>
    <n v="33.9036104863237"/>
    <n v="2062.46963791803"/>
    <n v="7424.8906965049"/>
  </r>
  <r>
    <x v="0"/>
    <x v="0"/>
    <x v="0"/>
    <x v="1"/>
    <x v="2"/>
    <s v="EE_Kohtla_Jarve"/>
    <x v="5"/>
    <x v="5"/>
    <x v="7"/>
    <x v="5"/>
    <n v="33.371491039228999"/>
    <n v="2030.0990382197599"/>
    <n v="7308.3565375911503"/>
  </r>
  <r>
    <x v="0"/>
    <x v="0"/>
    <x v="0"/>
    <x v="1"/>
    <x v="2"/>
    <s v="EE_Kohtla_Jarve"/>
    <x v="5"/>
    <x v="5"/>
    <x v="7"/>
    <x v="6"/>
    <n v="32.793761353811803"/>
    <n v="1994.9538156902199"/>
    <n v="7181.8337364847903"/>
  </r>
  <r>
    <x v="0"/>
    <x v="0"/>
    <x v="0"/>
    <x v="1"/>
    <x v="2"/>
    <s v="EE_Kohtla_Jarve"/>
    <x v="5"/>
    <x v="5"/>
    <x v="7"/>
    <x v="7"/>
    <n v="32.170421430072203"/>
    <n v="1957.0339703293901"/>
    <n v="7045.3222931858199"/>
  </r>
  <r>
    <x v="0"/>
    <x v="0"/>
    <x v="0"/>
    <x v="1"/>
    <x v="2"/>
    <s v="EE_Kohtla_Jarve"/>
    <x v="5"/>
    <x v="5"/>
    <x v="7"/>
    <x v="8"/>
    <n v="31.6230985702033"/>
    <n v="1923.7384963540401"/>
    <n v="6925.4585868745298"/>
  </r>
  <r>
    <x v="0"/>
    <x v="0"/>
    <x v="0"/>
    <x v="1"/>
    <x v="2"/>
    <s v="EE_Kohtla_Jarve"/>
    <x v="5"/>
    <x v="5"/>
    <x v="7"/>
    <x v="9"/>
    <n v="31.1821995997534"/>
    <n v="1896.91714231833"/>
    <n v="6828.9017123459898"/>
  </r>
  <r>
    <x v="0"/>
    <x v="0"/>
    <x v="0"/>
    <x v="1"/>
    <x v="2"/>
    <s v="EE_Kohtla_Jarve"/>
    <x v="5"/>
    <x v="5"/>
    <x v="7"/>
    <x v="10"/>
    <n v="30.832521105948199"/>
    <n v="1875.6450339451801"/>
    <n v="6752.3221222026596"/>
  </r>
  <r>
    <x v="0"/>
    <x v="0"/>
    <x v="0"/>
    <x v="1"/>
    <x v="2"/>
    <s v="EE_Kohtla_Jarve"/>
    <x v="5"/>
    <x v="5"/>
    <x v="7"/>
    <x v="11"/>
    <n v="30.574063088787899"/>
    <n v="1859.9221712346"/>
    <n v="6695.7198164445599"/>
  </r>
  <r>
    <x v="0"/>
    <x v="0"/>
    <x v="0"/>
    <x v="1"/>
    <x v="2"/>
    <s v="EE_Kohtla_Jarve"/>
    <x v="5"/>
    <x v="5"/>
    <x v="8"/>
    <x v="0"/>
    <n v="31.592691744654999"/>
    <n v="1921.8887477998501"/>
    <n v="6918.7994920794499"/>
  </r>
  <r>
    <x v="0"/>
    <x v="0"/>
    <x v="0"/>
    <x v="1"/>
    <x v="2"/>
    <s v="EE_Kohtla_Jarve"/>
    <x v="5"/>
    <x v="5"/>
    <x v="8"/>
    <x v="1"/>
    <n v="31.866353174589499"/>
    <n v="1938.5364847875301"/>
    <n v="6978.7313452351"/>
  </r>
  <r>
    <x v="0"/>
    <x v="0"/>
    <x v="0"/>
    <x v="1"/>
    <x v="2"/>
    <s v="EE_Kohtla_Jarve"/>
    <x v="5"/>
    <x v="5"/>
    <x v="8"/>
    <x v="2"/>
    <n v="32.094404366201502"/>
    <n v="1952.40959894393"/>
    <n v="7028.6745561981297"/>
  </r>
  <r>
    <x v="0"/>
    <x v="0"/>
    <x v="0"/>
    <x v="1"/>
    <x v="2"/>
    <s v="EE_Kohtla_Jarve"/>
    <x v="5"/>
    <x v="5"/>
    <x v="8"/>
    <x v="3"/>
    <n v="32.352862383361902"/>
    <n v="1968.1324616545101"/>
    <n v="7085.2768619562503"/>
  </r>
  <r>
    <x v="0"/>
    <x v="0"/>
    <x v="0"/>
    <x v="1"/>
    <x v="2"/>
    <s v="EE_Kohtla_Jarve"/>
    <x v="5"/>
    <x v="5"/>
    <x v="8"/>
    <x v="4"/>
    <n v="32.550506749425601"/>
    <n v="1980.1558272567299"/>
    <n v="7128.5609781242201"/>
  </r>
  <r>
    <x v="0"/>
    <x v="0"/>
    <x v="0"/>
    <x v="1"/>
    <x v="2"/>
    <s v="EE_Kohtla_Jarve"/>
    <x v="5"/>
    <x v="5"/>
    <x v="8"/>
    <x v="5"/>
    <n v="32.656930638844599"/>
    <n v="1986.62994719638"/>
    <n v="7151.8678099069602"/>
  </r>
  <r>
    <x v="0"/>
    <x v="0"/>
    <x v="0"/>
    <x v="1"/>
    <x v="2"/>
    <s v="EE_Kohtla_Jarve"/>
    <x v="5"/>
    <x v="5"/>
    <x v="8"/>
    <x v="6"/>
    <n v="32.626523813296302"/>
    <n v="1984.78019864219"/>
    <n v="7145.2087151119003"/>
  </r>
  <r>
    <x v="0"/>
    <x v="0"/>
    <x v="0"/>
    <x v="1"/>
    <x v="2"/>
    <s v="EE_Kohtla_Jarve"/>
    <x v="5"/>
    <x v="5"/>
    <x v="8"/>
    <x v="7"/>
    <n v="32.459286272780801"/>
    <n v="1974.6065815941599"/>
    <n v="7108.5836937389904"/>
  </r>
  <r>
    <x v="0"/>
    <x v="0"/>
    <x v="0"/>
    <x v="1"/>
    <x v="2"/>
    <s v="EE_Kohtla_Jarve"/>
    <x v="5"/>
    <x v="5"/>
    <x v="8"/>
    <x v="8"/>
    <n v="32.185624842846401"/>
    <n v="1957.9588446064899"/>
    <n v="7048.6518405833604"/>
  </r>
  <r>
    <x v="0"/>
    <x v="0"/>
    <x v="0"/>
    <x v="1"/>
    <x v="2"/>
    <s v="EE_Kohtla_Jarve"/>
    <x v="5"/>
    <x v="5"/>
    <x v="8"/>
    <x v="9"/>
    <n v="31.987980476782599"/>
    <n v="1945.9354790042701"/>
    <n v="7005.3677244153896"/>
  </r>
  <r>
    <x v="0"/>
    <x v="0"/>
    <x v="0"/>
    <x v="1"/>
    <x v="2"/>
    <s v="EE_Kohtla_Jarve"/>
    <x v="5"/>
    <x v="5"/>
    <x v="8"/>
    <x v="10"/>
    <n v="31.729522459622299"/>
    <n v="1930.21261629369"/>
    <n v="6948.76541865728"/>
  </r>
  <r>
    <x v="0"/>
    <x v="0"/>
    <x v="0"/>
    <x v="1"/>
    <x v="2"/>
    <s v="EE_Kohtla_Jarve"/>
    <x v="5"/>
    <x v="5"/>
    <x v="8"/>
    <x v="11"/>
    <n v="31.4862678552361"/>
    <n v="1915.4146278602"/>
    <n v="6895.4926602967098"/>
  </r>
  <r>
    <x v="0"/>
    <x v="0"/>
    <x v="0"/>
    <x v="1"/>
    <x v="2"/>
    <s v="EE_Kohtla_Jarve"/>
    <x v="5"/>
    <x v="5"/>
    <x v="9"/>
    <x v="0"/>
    <n v="29.8442992756294"/>
    <n v="1815.52820593412"/>
    <n v="6535.9015413628304"/>
  </r>
  <r>
    <x v="0"/>
    <x v="0"/>
    <x v="0"/>
    <x v="1"/>
    <x v="2"/>
    <s v="EE_Kohtla_Jarve"/>
    <x v="5"/>
    <x v="5"/>
    <x v="9"/>
    <x v="1"/>
    <n v="30.057147054467301"/>
    <n v="1828.47644581343"/>
    <n v="6582.5152049283397"/>
  </r>
  <r>
    <x v="0"/>
    <x v="0"/>
    <x v="0"/>
    <x v="1"/>
    <x v="2"/>
    <s v="EE_Kohtla_Jarve"/>
    <x v="5"/>
    <x v="5"/>
    <x v="9"/>
    <x v="2"/>
    <n v="30.163570943886199"/>
    <n v="1834.9505657530799"/>
    <n v="6605.8220367110898"/>
  </r>
  <r>
    <x v="0"/>
    <x v="0"/>
    <x v="0"/>
    <x v="1"/>
    <x v="2"/>
    <s v="EE_Kohtla_Jarve"/>
    <x v="5"/>
    <x v="5"/>
    <x v="9"/>
    <x v="3"/>
    <n v="30.117960705563799"/>
    <n v="1832.1759429218"/>
    <n v="6595.8333945184804"/>
  </r>
  <r>
    <x v="0"/>
    <x v="0"/>
    <x v="0"/>
    <x v="1"/>
    <x v="2"/>
    <s v="EE_Kohtla_Jarve"/>
    <x v="5"/>
    <x v="5"/>
    <x v="9"/>
    <x v="4"/>
    <n v="29.9811299905966"/>
    <n v="1823.8520744279599"/>
    <n v="6565.8674679406604"/>
  </r>
  <r>
    <x v="0"/>
    <x v="0"/>
    <x v="0"/>
    <x v="1"/>
    <x v="2"/>
    <s v="EE_Kohtla_Jarve"/>
    <x v="5"/>
    <x v="5"/>
    <x v="9"/>
    <x v="5"/>
    <n v="29.783485624532801"/>
    <n v="1811.82870882575"/>
    <n v="6522.5833517726896"/>
  </r>
  <r>
    <x v="0"/>
    <x v="0"/>
    <x v="0"/>
    <x v="1"/>
    <x v="2"/>
    <s v="EE_Kohtla_Jarve"/>
    <x v="5"/>
    <x v="5"/>
    <x v="9"/>
    <x v="6"/>
    <n v="29.4794173690501"/>
    <n v="1793.33122328388"/>
    <n v="6455.9924038219697"/>
  </r>
  <r>
    <x v="0"/>
    <x v="0"/>
    <x v="0"/>
    <x v="1"/>
    <x v="2"/>
    <s v="EE_Kohtla_Jarve"/>
    <x v="5"/>
    <x v="5"/>
    <x v="9"/>
    <x v="7"/>
    <n v="29.114535462470901"/>
    <n v="1771.13424063364"/>
    <n v="6376.0832662811199"/>
  </r>
  <r>
    <x v="0"/>
    <x v="0"/>
    <x v="0"/>
    <x v="1"/>
    <x v="2"/>
    <s v="EE_Kohtla_Jarve"/>
    <x v="5"/>
    <x v="5"/>
    <x v="9"/>
    <x v="8"/>
    <n v="28.840874032536401"/>
    <n v="1754.4865036459601"/>
    <n v="6316.1514131254698"/>
  </r>
  <r>
    <x v="0"/>
    <x v="0"/>
    <x v="0"/>
    <x v="1"/>
    <x v="2"/>
    <s v="EE_Kohtla_Jarve"/>
    <x v="5"/>
    <x v="5"/>
    <x v="9"/>
    <x v="9"/>
    <n v="28.6432296664726"/>
    <n v="1742.46313804375"/>
    <n v="6272.8672969575"/>
  </r>
  <r>
    <x v="0"/>
    <x v="0"/>
    <x v="0"/>
    <x v="1"/>
    <x v="2"/>
    <s v="EE_Kohtla_Jarve"/>
    <x v="5"/>
    <x v="5"/>
    <x v="9"/>
    <x v="10"/>
    <n v="28.582416015376101"/>
    <n v="1738.76364093538"/>
    <n v="6259.5491073673602"/>
  </r>
  <r>
    <x v="0"/>
    <x v="0"/>
    <x v="0"/>
    <x v="1"/>
    <x v="2"/>
    <s v="EE_Kohtla_Jarve"/>
    <x v="5"/>
    <x v="5"/>
    <x v="9"/>
    <x v="11"/>
    <n v="28.764856968665701"/>
    <n v="1749.8621322604999"/>
    <n v="6299.5036761377996"/>
  </r>
  <r>
    <x v="0"/>
    <x v="0"/>
    <x v="0"/>
    <x v="1"/>
    <x v="2"/>
    <s v="EE_Kohtla_Jarve"/>
    <x v="5"/>
    <x v="5"/>
    <x v="10"/>
    <x v="0"/>
    <n v="26.514751878093598"/>
    <n v="1612.98073925069"/>
    <n v="5806.7306613024903"/>
  </r>
  <r>
    <x v="0"/>
    <x v="0"/>
    <x v="0"/>
    <x v="1"/>
    <x v="2"/>
    <s v="EE_Kohtla_Jarve"/>
    <x v="5"/>
    <x v="5"/>
    <x v="10"/>
    <x v="1"/>
    <n v="26.4995484653194"/>
    <n v="1612.0558649735999"/>
    <n v="5803.4011139049599"/>
  </r>
  <r>
    <x v="0"/>
    <x v="0"/>
    <x v="0"/>
    <x v="1"/>
    <x v="2"/>
    <s v="EE_Kohtla_Jarve"/>
    <x v="5"/>
    <x v="5"/>
    <x v="10"/>
    <x v="2"/>
    <n v="26.393124575900501"/>
    <n v="1605.58174503395"/>
    <n v="5780.0942821222097"/>
  </r>
  <r>
    <x v="0"/>
    <x v="0"/>
    <x v="0"/>
    <x v="1"/>
    <x v="2"/>
    <s v="EE_Kohtla_Jarve"/>
    <x v="5"/>
    <x v="5"/>
    <x v="10"/>
    <x v="3"/>
    <n v="26.286700686481499"/>
    <n v="1599.1076250942899"/>
    <n v="5756.7874503394496"/>
  </r>
  <r>
    <x v="0"/>
    <x v="0"/>
    <x v="0"/>
    <x v="1"/>
    <x v="2"/>
    <s v="EE_Kohtla_Jarve"/>
    <x v="5"/>
    <x v="5"/>
    <x v="10"/>
    <x v="4"/>
    <n v="26.104259733191899"/>
    <n v="1588.0091337691699"/>
    <n v="5716.8328815690202"/>
  </r>
  <r>
    <x v="0"/>
    <x v="0"/>
    <x v="0"/>
    <x v="1"/>
    <x v="2"/>
    <s v="EE_Kohtla_Jarve"/>
    <x v="5"/>
    <x v="5"/>
    <x v="10"/>
    <x v="5"/>
    <n v="25.8305983032574"/>
    <n v="1571.3613967814999"/>
    <n v="5656.9010284133801"/>
  </r>
  <r>
    <x v="0"/>
    <x v="0"/>
    <x v="0"/>
    <x v="1"/>
    <x v="2"/>
    <s v="EE_Kohtla_Jarve"/>
    <x v="5"/>
    <x v="5"/>
    <x v="10"/>
    <x v="6"/>
    <n v="25.5113266350006"/>
    <n v="1551.9390369625401"/>
    <n v="5586.9805330651297"/>
  </r>
  <r>
    <x v="0"/>
    <x v="0"/>
    <x v="0"/>
    <x v="1"/>
    <x v="2"/>
    <s v="EE_Kohtla_Jarve"/>
    <x v="5"/>
    <x v="5"/>
    <x v="10"/>
    <x v="7"/>
    <n v="25.2072583795178"/>
    <n v="1533.4415514206701"/>
    <n v="5520.3895851143998"/>
  </r>
  <r>
    <x v="0"/>
    <x v="0"/>
    <x v="0"/>
    <x v="1"/>
    <x v="2"/>
    <s v="EE_Kohtla_Jarve"/>
    <x v="5"/>
    <x v="5"/>
    <x v="10"/>
    <x v="8"/>
    <n v="24.887986711261"/>
    <n v="1514.01919160171"/>
    <n v="5450.4690897661603"/>
  </r>
  <r>
    <x v="0"/>
    <x v="0"/>
    <x v="0"/>
    <x v="1"/>
    <x v="2"/>
    <s v="EE_Kohtla_Jarve"/>
    <x v="5"/>
    <x v="5"/>
    <x v="10"/>
    <x v="9"/>
    <n v="24.583918455778299"/>
    <n v="1495.52170605985"/>
    <n v="5383.8781418154504"/>
  </r>
  <r>
    <x v="0"/>
    <x v="0"/>
    <x v="0"/>
    <x v="1"/>
    <x v="2"/>
    <s v="EE_Kohtla_Jarve"/>
    <x v="5"/>
    <x v="5"/>
    <x v="10"/>
    <x v="10"/>
    <n v="24.431884328036901"/>
    <n v="1486.27296328891"/>
    <n v="5350.5826678400799"/>
  </r>
  <r>
    <x v="0"/>
    <x v="0"/>
    <x v="0"/>
    <x v="1"/>
    <x v="2"/>
    <s v="EE_Kohtla_Jarve"/>
    <x v="5"/>
    <x v="5"/>
    <x v="10"/>
    <x v="11"/>
    <n v="24.5383082174558"/>
    <n v="1492.7470832285601"/>
    <n v="5373.88949962283"/>
  </r>
  <r>
    <x v="0"/>
    <x v="0"/>
    <x v="0"/>
    <x v="1"/>
    <x v="2"/>
    <s v="EE_Kohtla_Jarve"/>
    <x v="5"/>
    <x v="5"/>
    <x v="11"/>
    <x v="0"/>
    <n v="26.165073384288402"/>
    <n v="1591.7086308775499"/>
    <n v="5730.15107115916"/>
  </r>
  <r>
    <x v="0"/>
    <x v="0"/>
    <x v="0"/>
    <x v="1"/>
    <x v="2"/>
    <s v="EE_Kohtla_Jarve"/>
    <x v="5"/>
    <x v="5"/>
    <x v="11"/>
    <x v="1"/>
    <n v="26.453938226997"/>
    <n v="1609.28124214232"/>
    <n v="5793.4124717123404"/>
  </r>
  <r>
    <x v="0"/>
    <x v="0"/>
    <x v="0"/>
    <x v="1"/>
    <x v="2"/>
    <s v="EE_Kohtla_Jarve"/>
    <x v="5"/>
    <x v="5"/>
    <x v="11"/>
    <x v="2"/>
    <n v="26.651582593060802"/>
    <n v="1621.3046077445299"/>
    <n v="5836.6965878803103"/>
  </r>
  <r>
    <x v="0"/>
    <x v="0"/>
    <x v="0"/>
    <x v="1"/>
    <x v="2"/>
    <s v="EE_Kohtla_Jarve"/>
    <x v="5"/>
    <x v="5"/>
    <x v="11"/>
    <x v="3"/>
    <n v="26.712396244157301"/>
    <n v="1625.0041048528999"/>
    <n v="5850.0147774704501"/>
  </r>
  <r>
    <x v="0"/>
    <x v="0"/>
    <x v="0"/>
    <x v="1"/>
    <x v="2"/>
    <s v="EE_Kohtla_Jarve"/>
    <x v="5"/>
    <x v="5"/>
    <x v="11"/>
    <x v="4"/>
    <n v="26.621175767512501"/>
    <n v="1619.4548591903399"/>
    <n v="5830.0374930852404"/>
  </r>
  <r>
    <x v="0"/>
    <x v="0"/>
    <x v="0"/>
    <x v="1"/>
    <x v="2"/>
    <s v="EE_Kohtla_Jarve"/>
    <x v="5"/>
    <x v="5"/>
    <x v="11"/>
    <x v="5"/>
    <n v="26.3627177503522"/>
    <n v="1603.73199647976"/>
    <n v="5773.4351873271298"/>
  </r>
  <r>
    <x v="0"/>
    <x v="0"/>
    <x v="0"/>
    <x v="1"/>
    <x v="2"/>
    <s v="EE_Kohtla_Jarve"/>
    <x v="5"/>
    <x v="5"/>
    <x v="11"/>
    <x v="6"/>
    <n v="25.8762085415798"/>
    <n v="1574.13601961277"/>
    <n v="5666.8896706059904"/>
  </r>
  <r>
    <x v="0"/>
    <x v="0"/>
    <x v="0"/>
    <x v="1"/>
    <x v="2"/>
    <s v="EE_Kohtla_Jarve"/>
    <x v="5"/>
    <x v="5"/>
    <x v="11"/>
    <x v="7"/>
    <n v="25.252868617840299"/>
    <n v="1536.21617425195"/>
    <n v="5530.3782273070201"/>
  </r>
  <r>
    <x v="0"/>
    <x v="0"/>
    <x v="0"/>
    <x v="1"/>
    <x v="2"/>
    <s v="EE_Kohtla_Jarve"/>
    <x v="5"/>
    <x v="5"/>
    <x v="11"/>
    <x v="8"/>
    <n v="24.675138932423099"/>
    <n v="1501.0709517224"/>
    <n v="5403.8554262006501"/>
  </r>
  <r>
    <x v="0"/>
    <x v="0"/>
    <x v="0"/>
    <x v="1"/>
    <x v="2"/>
    <s v="EE_Kohtla_Jarve"/>
    <x v="5"/>
    <x v="5"/>
    <x v="11"/>
    <x v="9"/>
    <n v="24.112612659780002"/>
    <n v="1466.8506034699501"/>
    <n v="5280.6621724918296"/>
  </r>
  <r>
    <x v="0"/>
    <x v="0"/>
    <x v="0"/>
    <x v="1"/>
    <x v="2"/>
    <s v="EE_Kohtla_Jarve"/>
    <x v="5"/>
    <x v="5"/>
    <x v="11"/>
    <x v="10"/>
    <n v="23.610900038233499"/>
    <n v="1436.32975232587"/>
    <n v="5170.7871083731397"/>
  </r>
  <r>
    <x v="0"/>
    <x v="0"/>
    <x v="0"/>
    <x v="1"/>
    <x v="2"/>
    <s v="EE_Kohtla_Jarve"/>
    <x v="5"/>
    <x v="5"/>
    <x v="11"/>
    <x v="11"/>
    <n v="23.230814718880101"/>
    <n v="1413.2078953985399"/>
    <n v="5087.5484234347496"/>
  </r>
  <r>
    <x v="0"/>
    <x v="0"/>
    <x v="0"/>
    <x v="1"/>
    <x v="2"/>
    <s v="EE_Narva"/>
    <x v="6"/>
    <x v="6"/>
    <x v="0"/>
    <x v="0"/>
    <n v="42.733319325849699"/>
    <n v="2599.6102589891898"/>
    <n v="9358.5969323610807"/>
  </r>
  <r>
    <x v="0"/>
    <x v="0"/>
    <x v="0"/>
    <x v="1"/>
    <x v="2"/>
    <s v="EE_Narva"/>
    <x v="6"/>
    <x v="6"/>
    <x v="0"/>
    <x v="1"/>
    <n v="42.710792536537198"/>
    <n v="2598.2398793060102"/>
    <n v="9353.6635655016398"/>
  </r>
  <r>
    <x v="0"/>
    <x v="0"/>
    <x v="0"/>
    <x v="1"/>
    <x v="2"/>
    <s v="EE_Narva"/>
    <x v="6"/>
    <x v="6"/>
    <x v="0"/>
    <x v="2"/>
    <n v="42.733319325849699"/>
    <n v="2599.6102589891898"/>
    <n v="9358.5969323610807"/>
  </r>
  <r>
    <x v="0"/>
    <x v="0"/>
    <x v="0"/>
    <x v="1"/>
    <x v="2"/>
    <s v="EE_Narva"/>
    <x v="6"/>
    <x v="6"/>
    <x v="0"/>
    <x v="3"/>
    <n v="42.7558461151622"/>
    <n v="2600.9806386723699"/>
    <n v="9363.5302992205197"/>
  </r>
  <r>
    <x v="0"/>
    <x v="0"/>
    <x v="0"/>
    <x v="1"/>
    <x v="2"/>
    <s v="EE_Narva"/>
    <x v="6"/>
    <x v="6"/>
    <x v="0"/>
    <x v="4"/>
    <n v="42.7558461151622"/>
    <n v="2600.9806386723699"/>
    <n v="9363.5302992205197"/>
  </r>
  <r>
    <x v="0"/>
    <x v="0"/>
    <x v="0"/>
    <x v="1"/>
    <x v="2"/>
    <s v="EE_Narva"/>
    <x v="6"/>
    <x v="6"/>
    <x v="0"/>
    <x v="5"/>
    <n v="42.710792536537198"/>
    <n v="2598.2398793060102"/>
    <n v="9353.6635655016398"/>
  </r>
  <r>
    <x v="0"/>
    <x v="0"/>
    <x v="0"/>
    <x v="1"/>
    <x v="2"/>
    <s v="EE_Narva"/>
    <x v="6"/>
    <x v="6"/>
    <x v="0"/>
    <x v="6"/>
    <n v="42.620685379287103"/>
    <n v="2592.7583605732998"/>
    <n v="9333.9300980638709"/>
  </r>
  <r>
    <x v="0"/>
    <x v="0"/>
    <x v="0"/>
    <x v="1"/>
    <x v="2"/>
    <s v="EE_Narva"/>
    <x v="6"/>
    <x v="6"/>
    <x v="0"/>
    <x v="7"/>
    <n v="42.553105011349501"/>
    <n v="2588.64722152376"/>
    <n v="9319.1299974855392"/>
  </r>
  <r>
    <x v="0"/>
    <x v="0"/>
    <x v="0"/>
    <x v="1"/>
    <x v="2"/>
    <s v="EE_Narva"/>
    <x v="6"/>
    <x v="6"/>
    <x v="0"/>
    <x v="8"/>
    <n v="42.778372904474701"/>
    <n v="2602.35101835554"/>
    <n v="9368.4636660799606"/>
  </r>
  <r>
    <x v="0"/>
    <x v="0"/>
    <x v="0"/>
    <x v="1"/>
    <x v="2"/>
    <s v="EE_Narva"/>
    <x v="6"/>
    <x v="6"/>
    <x v="0"/>
    <x v="9"/>
    <n v="43.093747954850002"/>
    <n v="2621.5363339200399"/>
    <n v="9437.53080211214"/>
  </r>
  <r>
    <x v="0"/>
    <x v="0"/>
    <x v="0"/>
    <x v="1"/>
    <x v="2"/>
    <s v="EE_Narva"/>
    <x v="6"/>
    <x v="6"/>
    <x v="0"/>
    <x v="10"/>
    <n v="43.544283741100301"/>
    <n v="2648.9439275835998"/>
    <n v="9536.1981393009792"/>
  </r>
  <r>
    <x v="0"/>
    <x v="0"/>
    <x v="0"/>
    <x v="1"/>
    <x v="2"/>
    <s v="EE_Narva"/>
    <x v="6"/>
    <x v="6"/>
    <x v="0"/>
    <x v="11"/>
    <n v="44.084926684600802"/>
    <n v="2681.8330399798801"/>
    <n v="9654.59894392758"/>
  </r>
  <r>
    <x v="0"/>
    <x v="0"/>
    <x v="0"/>
    <x v="1"/>
    <x v="2"/>
    <s v="EE_Narva"/>
    <x v="6"/>
    <x v="6"/>
    <x v="1"/>
    <x v="0"/>
    <n v="56.767509067549298"/>
    <n v="3453.3568016092499"/>
    <n v="12432.084485793301"/>
  </r>
  <r>
    <x v="0"/>
    <x v="0"/>
    <x v="0"/>
    <x v="1"/>
    <x v="2"/>
    <s v="EE_Narva"/>
    <x v="6"/>
    <x v="6"/>
    <x v="1"/>
    <x v="1"/>
    <n v="57.127937696549701"/>
    <n v="3475.28287654011"/>
    <n v="12511.0183555444"/>
  </r>
  <r>
    <x v="0"/>
    <x v="0"/>
    <x v="0"/>
    <x v="1"/>
    <x v="2"/>
    <s v="EE_Narva"/>
    <x v="6"/>
    <x v="6"/>
    <x v="1"/>
    <x v="2"/>
    <n v="57.240571643112297"/>
    <n v="3482.134774956"/>
    <n v="12535.685189841601"/>
  </r>
  <r>
    <x v="0"/>
    <x v="0"/>
    <x v="0"/>
    <x v="1"/>
    <x v="2"/>
    <s v="EE_Narva"/>
    <x v="6"/>
    <x v="6"/>
    <x v="1"/>
    <x v="3"/>
    <n v="56.902669803424502"/>
    <n v="3461.57907970832"/>
    <n v="12461.68468695"/>
  </r>
  <r>
    <x v="0"/>
    <x v="0"/>
    <x v="0"/>
    <x v="1"/>
    <x v="2"/>
    <s v="EE_Narva"/>
    <x v="6"/>
    <x v="6"/>
    <x v="1"/>
    <x v="4"/>
    <n v="56.159285756111402"/>
    <n v="3416.3565501634398"/>
    <n v="12298.883580588399"/>
  </r>
  <r>
    <x v="0"/>
    <x v="0"/>
    <x v="0"/>
    <x v="1"/>
    <x v="2"/>
    <s v="EE_Narva"/>
    <x v="6"/>
    <x v="6"/>
    <x v="1"/>
    <x v="5"/>
    <n v="55.0779998691104"/>
    <n v="3350.5783253708801"/>
    <n v="12062.081971335199"/>
  </r>
  <r>
    <x v="0"/>
    <x v="0"/>
    <x v="0"/>
    <x v="1"/>
    <x v="2"/>
    <s v="EE_Narva"/>
    <x v="6"/>
    <x v="6"/>
    <x v="1"/>
    <x v="6"/>
    <n v="53.703865721046697"/>
    <n v="3266.9851646970101"/>
    <n v="11761.146592909199"/>
  </r>
  <r>
    <x v="0"/>
    <x v="0"/>
    <x v="0"/>
    <x v="1"/>
    <x v="2"/>
    <s v="EE_Narva"/>
    <x v="6"/>
    <x v="6"/>
    <x v="1"/>
    <x v="7"/>
    <n v="52.014356522607699"/>
    <n v="3164.2066884586402"/>
    <n v="11391.1440784511"/>
  </r>
  <r>
    <x v="0"/>
    <x v="0"/>
    <x v="0"/>
    <x v="1"/>
    <x v="2"/>
    <s v="EE_Narva"/>
    <x v="6"/>
    <x v="6"/>
    <x v="1"/>
    <x v="8"/>
    <n v="50.5501152172939"/>
    <n v="3075.1320090520499"/>
    <n v="11070.4752325874"/>
  </r>
  <r>
    <x v="0"/>
    <x v="0"/>
    <x v="0"/>
    <x v="1"/>
    <x v="2"/>
    <s v="EE_Narva"/>
    <x v="6"/>
    <x v="6"/>
    <x v="1"/>
    <x v="9"/>
    <n v="49.221034647855298"/>
    <n v="2994.27960774453"/>
    <n v="10779.406587880299"/>
  </r>
  <r>
    <x v="0"/>
    <x v="0"/>
    <x v="0"/>
    <x v="1"/>
    <x v="2"/>
    <s v="EE_Narva"/>
    <x v="6"/>
    <x v="6"/>
    <x v="1"/>
    <x v="10"/>
    <n v="48.027114814291799"/>
    <n v="2921.6494845360799"/>
    <n v="10517.938144329901"/>
  </r>
  <r>
    <x v="0"/>
    <x v="0"/>
    <x v="0"/>
    <x v="1"/>
    <x v="2"/>
    <s v="EE_Narva"/>
    <x v="6"/>
    <x v="6"/>
    <x v="1"/>
    <x v="11"/>
    <n v="47.0359360845409"/>
    <n v="2861.35277847624"/>
    <n v="10300.870002514501"/>
  </r>
  <r>
    <x v="0"/>
    <x v="0"/>
    <x v="0"/>
    <x v="1"/>
    <x v="2"/>
    <s v="EE_Narva"/>
    <x v="6"/>
    <x v="6"/>
    <x v="2"/>
    <x v="0"/>
    <n v="45.2563197288518"/>
    <n v="2753.0927835051498"/>
    <n v="9911.1340206185505"/>
  </r>
  <r>
    <x v="0"/>
    <x v="0"/>
    <x v="0"/>
    <x v="1"/>
    <x v="2"/>
    <s v="EE_Narva"/>
    <x v="6"/>
    <x v="6"/>
    <x v="2"/>
    <x v="1"/>
    <n v="45.301373307476901"/>
    <n v="2755.83354287151"/>
    <n v="9921.0007543374395"/>
  </r>
  <r>
    <x v="0"/>
    <x v="0"/>
    <x v="0"/>
    <x v="1"/>
    <x v="2"/>
    <s v="EE_Narva"/>
    <x v="6"/>
    <x v="6"/>
    <x v="2"/>
    <x v="2"/>
    <n v="45.346426886101902"/>
    <n v="2758.5743022378701"/>
    <n v="9930.8674880563194"/>
  </r>
  <r>
    <x v="0"/>
    <x v="0"/>
    <x v="0"/>
    <x v="1"/>
    <x v="2"/>
    <s v="EE_Narva"/>
    <x v="6"/>
    <x v="6"/>
    <x v="2"/>
    <x v="3"/>
    <n v="45.459060832664498"/>
    <n v="2765.4262006537601"/>
    <n v="9955.5343223535292"/>
  </r>
  <r>
    <x v="0"/>
    <x v="0"/>
    <x v="0"/>
    <x v="1"/>
    <x v="2"/>
    <s v="EE_Narva"/>
    <x v="6"/>
    <x v="6"/>
    <x v="2"/>
    <x v="4"/>
    <n v="45.594221568539602"/>
    <n v="2773.6484787528302"/>
    <n v="9985.1345235101799"/>
  </r>
  <r>
    <x v="0"/>
    <x v="0"/>
    <x v="0"/>
    <x v="1"/>
    <x v="2"/>
    <s v="EE_Narva"/>
    <x v="6"/>
    <x v="6"/>
    <x v="2"/>
    <x v="5"/>
    <n v="45.751909093727299"/>
    <n v="2783.2411365350799"/>
    <n v="10019.6680915263"/>
  </r>
  <r>
    <x v="0"/>
    <x v="0"/>
    <x v="0"/>
    <x v="1"/>
    <x v="2"/>
    <s v="EE_Narva"/>
    <x v="6"/>
    <x v="6"/>
    <x v="2"/>
    <x v="6"/>
    <n v="45.977176986852498"/>
    <n v="2796.9449333668599"/>
    <n v="10069.0017601207"/>
  </r>
  <r>
    <x v="0"/>
    <x v="0"/>
    <x v="0"/>
    <x v="1"/>
    <x v="2"/>
    <s v="EE_Narva"/>
    <x v="6"/>
    <x v="6"/>
    <x v="2"/>
    <x v="7"/>
    <n v="46.157391301352703"/>
    <n v="2807.9079708322902"/>
    <n v="10108.4686949962"/>
  </r>
  <r>
    <x v="0"/>
    <x v="0"/>
    <x v="0"/>
    <x v="1"/>
    <x v="2"/>
    <s v="EE_Narva"/>
    <x v="6"/>
    <x v="6"/>
    <x v="2"/>
    <x v="8"/>
    <n v="46.315078826540301"/>
    <n v="2817.5006286145299"/>
    <n v="10143.0022630123"/>
  </r>
  <r>
    <x v="0"/>
    <x v="0"/>
    <x v="0"/>
    <x v="1"/>
    <x v="2"/>
    <s v="EE_Narva"/>
    <x v="6"/>
    <x v="6"/>
    <x v="2"/>
    <x v="9"/>
    <n v="46.5178199303529"/>
    <n v="2829.8340457631398"/>
    <n v="10187.402564747301"/>
  </r>
  <r>
    <x v="0"/>
    <x v="0"/>
    <x v="0"/>
    <x v="1"/>
    <x v="2"/>
    <s v="EE_Narva"/>
    <x v="6"/>
    <x v="6"/>
    <x v="2"/>
    <x v="10"/>
    <n v="46.607927087603002"/>
    <n v="2835.3155644958501"/>
    <n v="10207.136032185101"/>
  </r>
  <r>
    <x v="0"/>
    <x v="0"/>
    <x v="0"/>
    <x v="1"/>
    <x v="2"/>
    <s v="EE_Narva"/>
    <x v="6"/>
    <x v="6"/>
    <x v="2"/>
    <x v="11"/>
    <n v="46.472766351727898"/>
    <n v="2827.0932863967801"/>
    <n v="10177.535831028399"/>
  </r>
  <r>
    <x v="0"/>
    <x v="0"/>
    <x v="0"/>
    <x v="1"/>
    <x v="2"/>
    <s v="EE_Narva"/>
    <x v="6"/>
    <x v="6"/>
    <x v="3"/>
    <x v="0"/>
    <n v="46.652980666228103"/>
    <n v="2838.0563238622099"/>
    <n v="10217.002765903901"/>
  </r>
  <r>
    <x v="0"/>
    <x v="0"/>
    <x v="0"/>
    <x v="1"/>
    <x v="2"/>
    <s v="EE_Narva"/>
    <x v="6"/>
    <x v="6"/>
    <x v="3"/>
    <x v="1"/>
    <n v="47.373837924228702"/>
    <n v="2881.90847372391"/>
    <n v="10374.870505406099"/>
  </r>
  <r>
    <x v="0"/>
    <x v="0"/>
    <x v="0"/>
    <x v="1"/>
    <x v="2"/>
    <s v="EE_Narva"/>
    <x v="6"/>
    <x v="6"/>
    <x v="3"/>
    <x v="2"/>
    <n v="47.959534446354198"/>
    <n v="2917.53834548655"/>
    <n v="10503.1380437516"/>
  </r>
  <r>
    <x v="0"/>
    <x v="0"/>
    <x v="0"/>
    <x v="1"/>
    <x v="2"/>
    <s v="EE_Narva"/>
    <x v="6"/>
    <x v="6"/>
    <x v="3"/>
    <x v="3"/>
    <n v="48.455123811229598"/>
    <n v="2947.6866985164702"/>
    <n v="10611.672114659301"/>
  </r>
  <r>
    <x v="0"/>
    <x v="0"/>
    <x v="0"/>
    <x v="1"/>
    <x v="2"/>
    <s v="EE_Narva"/>
    <x v="6"/>
    <x v="6"/>
    <x v="3"/>
    <x v="4"/>
    <n v="48.838079229542402"/>
    <n v="2970.9831531304999"/>
    <n v="10695.539351269799"/>
  </r>
  <r>
    <x v="0"/>
    <x v="0"/>
    <x v="0"/>
    <x v="1"/>
    <x v="2"/>
    <s v="EE_Narva"/>
    <x v="6"/>
    <x v="6"/>
    <x v="3"/>
    <x v="5"/>
    <n v="48.973239965417598"/>
    <n v="2979.20543122957"/>
    <n v="10725.139552426501"/>
  </r>
  <r>
    <x v="0"/>
    <x v="0"/>
    <x v="0"/>
    <x v="1"/>
    <x v="2"/>
    <s v="EE_Narva"/>
    <x v="6"/>
    <x v="6"/>
    <x v="3"/>
    <x v="6"/>
    <n v="48.950713176105097"/>
    <n v="2977.8350515463899"/>
    <n v="10720.206185567"/>
  </r>
  <r>
    <x v="0"/>
    <x v="0"/>
    <x v="0"/>
    <x v="1"/>
    <x v="2"/>
    <s v="EE_Narva"/>
    <x v="6"/>
    <x v="6"/>
    <x v="3"/>
    <x v="7"/>
    <n v="48.7930256509174"/>
    <n v="2968.2423937641402"/>
    <n v="10685.672617550899"/>
  </r>
  <r>
    <x v="0"/>
    <x v="0"/>
    <x v="0"/>
    <x v="1"/>
    <x v="2"/>
    <s v="EE_Narva"/>
    <x v="6"/>
    <x v="6"/>
    <x v="3"/>
    <x v="8"/>
    <n v="48.590284547104702"/>
    <n v="2955.9089766155398"/>
    <n v="10641.272315815901"/>
  </r>
  <r>
    <x v="0"/>
    <x v="0"/>
    <x v="0"/>
    <x v="1"/>
    <x v="2"/>
    <s v="EE_Narva"/>
    <x v="6"/>
    <x v="6"/>
    <x v="3"/>
    <x v="9"/>
    <n v="48.319963075354501"/>
    <n v="2939.4644204174001"/>
    <n v="10582.071913502599"/>
  </r>
  <r>
    <x v="0"/>
    <x v="0"/>
    <x v="0"/>
    <x v="1"/>
    <x v="2"/>
    <s v="EE_Narva"/>
    <x v="6"/>
    <x v="6"/>
    <x v="3"/>
    <x v="10"/>
    <n v="48.004588024979299"/>
    <n v="2920.2791048529002"/>
    <n v="10513.0047774705"/>
  </r>
  <r>
    <x v="0"/>
    <x v="0"/>
    <x v="0"/>
    <x v="1"/>
    <x v="2"/>
    <s v="EE_Narva"/>
    <x v="6"/>
    <x v="6"/>
    <x v="3"/>
    <x v="11"/>
    <n v="47.689212974603997"/>
    <n v="2901.0937892884099"/>
    <n v="10443.9376414383"/>
  </r>
  <r>
    <x v="0"/>
    <x v="0"/>
    <x v="0"/>
    <x v="1"/>
    <x v="2"/>
    <s v="EE_Narva"/>
    <x v="6"/>
    <x v="6"/>
    <x v="4"/>
    <x v="0"/>
    <n v="63.593126229242699"/>
    <n v="3868.5818456122602"/>
    <n v="13926.8946442041"/>
  </r>
  <r>
    <x v="0"/>
    <x v="0"/>
    <x v="0"/>
    <x v="1"/>
    <x v="2"/>
    <s v="EE_Narva"/>
    <x v="6"/>
    <x v="6"/>
    <x v="4"/>
    <x v="1"/>
    <n v="63.6156530185552"/>
    <n v="3869.9522252954398"/>
    <n v="13931.828011063601"/>
  </r>
  <r>
    <x v="0"/>
    <x v="0"/>
    <x v="0"/>
    <x v="1"/>
    <x v="2"/>
    <s v="EE_Narva"/>
    <x v="6"/>
    <x v="6"/>
    <x v="4"/>
    <x v="2"/>
    <n v="63.187644021617601"/>
    <n v="3843.9150113150699"/>
    <n v="13838.0940407342"/>
  </r>
  <r>
    <x v="0"/>
    <x v="0"/>
    <x v="0"/>
    <x v="1"/>
    <x v="2"/>
    <s v="EE_Narva"/>
    <x v="6"/>
    <x v="6"/>
    <x v="4"/>
    <x v="3"/>
    <n v="62.444259974304202"/>
    <n v="3798.6924817701702"/>
    <n v="13675.292934372599"/>
  </r>
  <r>
    <x v="0"/>
    <x v="0"/>
    <x v="0"/>
    <x v="1"/>
    <x v="2"/>
    <s v="EE_Narva"/>
    <x v="6"/>
    <x v="6"/>
    <x v="4"/>
    <x v="4"/>
    <n v="61.678349137678403"/>
    <n v="3752.0995725420998"/>
    <n v="13507.558461151601"/>
  </r>
  <r>
    <x v="0"/>
    <x v="0"/>
    <x v="0"/>
    <x v="1"/>
    <x v="2"/>
    <s v="EE_Narva"/>
    <x v="6"/>
    <x v="6"/>
    <x v="4"/>
    <x v="5"/>
    <n v="60.642116829302502"/>
    <n v="3689.0621071158998"/>
    <n v="13280.623585617201"/>
  </r>
  <r>
    <x v="0"/>
    <x v="0"/>
    <x v="0"/>
    <x v="1"/>
    <x v="2"/>
    <s v="EE_Narva"/>
    <x v="6"/>
    <x v="6"/>
    <x v="4"/>
    <x v="6"/>
    <n v="59.3355630491765"/>
    <n v="3609.5800854915701"/>
    <n v="12994.488307769599"/>
  </r>
  <r>
    <x v="0"/>
    <x v="0"/>
    <x v="0"/>
    <x v="1"/>
    <x v="2"/>
    <s v="EE_Narva"/>
    <x v="6"/>
    <x v="6"/>
    <x v="4"/>
    <x v="7"/>
    <n v="57.961428901112903"/>
    <n v="3525.9869248177001"/>
    <n v="12693.552929343699"/>
  </r>
  <r>
    <x v="0"/>
    <x v="0"/>
    <x v="0"/>
    <x v="1"/>
    <x v="2"/>
    <s v="EE_Narva"/>
    <x v="6"/>
    <x v="6"/>
    <x v="4"/>
    <x v="8"/>
    <n v="56.857616224799401"/>
    <n v="3458.8383203419698"/>
    <n v="12451.817953231101"/>
  </r>
  <r>
    <x v="0"/>
    <x v="0"/>
    <x v="0"/>
    <x v="1"/>
    <x v="2"/>
    <s v="EE_Narva"/>
    <x v="6"/>
    <x v="6"/>
    <x v="4"/>
    <x v="9"/>
    <n v="56.271919702673898"/>
    <n v="3423.2084485793298"/>
    <n v="12323.5504148856"/>
  </r>
  <r>
    <x v="0"/>
    <x v="0"/>
    <x v="0"/>
    <x v="1"/>
    <x v="2"/>
    <s v="EE_Narva"/>
    <x v="6"/>
    <x v="6"/>
    <x v="4"/>
    <x v="10"/>
    <n v="56.069178598861299"/>
    <n v="3410.8750314307299"/>
    <n v="12279.150113150599"/>
  </r>
  <r>
    <x v="0"/>
    <x v="0"/>
    <x v="0"/>
    <x v="1"/>
    <x v="2"/>
    <s v="EE_Narva"/>
    <x v="6"/>
    <x v="6"/>
    <x v="4"/>
    <x v="11"/>
    <n v="56.024125020236198"/>
    <n v="3408.1342720643702"/>
    <n v="12269.283379431699"/>
  </r>
  <r>
    <x v="0"/>
    <x v="0"/>
    <x v="0"/>
    <x v="1"/>
    <x v="2"/>
    <s v="EE_Narva"/>
    <x v="6"/>
    <x v="6"/>
    <x v="5"/>
    <x v="0"/>
    <n v="82.402995305196796"/>
    <n v="5012.8488810661402"/>
    <n v="18046.255971838102"/>
  </r>
  <r>
    <x v="0"/>
    <x v="0"/>
    <x v="0"/>
    <x v="1"/>
    <x v="2"/>
    <s v="EE_Narva"/>
    <x v="6"/>
    <x v="6"/>
    <x v="5"/>
    <x v="1"/>
    <n v="82.402995305196796"/>
    <n v="5012.8488810661402"/>
    <n v="18046.255971838102"/>
  </r>
  <r>
    <x v="0"/>
    <x v="0"/>
    <x v="0"/>
    <x v="1"/>
    <x v="2"/>
    <s v="EE_Narva"/>
    <x v="6"/>
    <x v="6"/>
    <x v="5"/>
    <x v="2"/>
    <n v="82.312888147946794"/>
    <n v="5007.3673623334298"/>
    <n v="18026.5225044004"/>
  </r>
  <r>
    <x v="0"/>
    <x v="0"/>
    <x v="0"/>
    <x v="1"/>
    <x v="2"/>
    <s v="EE_Narva"/>
    <x v="6"/>
    <x v="6"/>
    <x v="5"/>
    <x v="3"/>
    <n v="81.524450522008493"/>
    <n v="4959.4040734221799"/>
    <n v="17853.854664319901"/>
  </r>
  <r>
    <x v="0"/>
    <x v="0"/>
    <x v="0"/>
    <x v="1"/>
    <x v="2"/>
    <s v="EE_Narva"/>
    <x v="6"/>
    <x v="6"/>
    <x v="5"/>
    <x v="4"/>
    <n v="80.420637845694998"/>
    <n v="4892.2554689464496"/>
    <n v="17612.1196882072"/>
  </r>
  <r>
    <x v="0"/>
    <x v="0"/>
    <x v="0"/>
    <x v="1"/>
    <x v="2"/>
    <s v="EE_Narva"/>
    <x v="6"/>
    <x v="6"/>
    <x v="5"/>
    <x v="5"/>
    <n v="78.595967911380797"/>
    <n v="4781.2547146090001"/>
    <n v="17212.516972592399"/>
  </r>
  <r>
    <x v="0"/>
    <x v="0"/>
    <x v="0"/>
    <x v="1"/>
    <x v="2"/>
    <s v="EE_Narva"/>
    <x v="6"/>
    <x v="6"/>
    <x v="5"/>
    <x v="6"/>
    <n v="76.681190819816507"/>
    <n v="4664.7724415388402"/>
    <n v="16793.180789539801"/>
  </r>
  <r>
    <x v="0"/>
    <x v="0"/>
    <x v="0"/>
    <x v="1"/>
    <x v="2"/>
    <s v="EE_Narva"/>
    <x v="6"/>
    <x v="6"/>
    <x v="5"/>
    <x v="7"/>
    <n v="74.496092256502095"/>
    <n v="4531.8456122705402"/>
    <n v="16314.644204173999"/>
  </r>
  <r>
    <x v="0"/>
    <x v="0"/>
    <x v="0"/>
    <x v="1"/>
    <x v="2"/>
    <s v="EE_Narva"/>
    <x v="6"/>
    <x v="6"/>
    <x v="5"/>
    <x v="8"/>
    <n v="72.423627639750194"/>
    <n v="4405.7706814181402"/>
    <n v="15860.774453105299"/>
  </r>
  <r>
    <x v="0"/>
    <x v="0"/>
    <x v="0"/>
    <x v="1"/>
    <x v="2"/>
    <s v="EE_Narva"/>
    <x v="6"/>
    <x v="6"/>
    <x v="5"/>
    <x v="9"/>
    <n v="70.666538073374099"/>
    <n v="4298.8810661302596"/>
    <n v="15475.971838068899"/>
  </r>
  <r>
    <x v="0"/>
    <x v="0"/>
    <x v="0"/>
    <x v="1"/>
    <x v="2"/>
    <s v="EE_Narva"/>
    <x v="6"/>
    <x v="6"/>
    <x v="5"/>
    <x v="10"/>
    <n v="69.540198607748096"/>
    <n v="4230.3620819713396"/>
    <n v="15229.303495096799"/>
  </r>
  <r>
    <x v="0"/>
    <x v="0"/>
    <x v="0"/>
    <x v="1"/>
    <x v="2"/>
    <s v="EE_Narva"/>
    <x v="6"/>
    <x v="6"/>
    <x v="5"/>
    <x v="11"/>
    <n v="68.774287771122303"/>
    <n v="4183.7691727432702"/>
    <n v="15061.569021875801"/>
  </r>
  <r>
    <x v="0"/>
    <x v="0"/>
    <x v="0"/>
    <x v="1"/>
    <x v="2"/>
    <s v="EE_Narva"/>
    <x v="6"/>
    <x v="6"/>
    <x v="6"/>
    <x v="0"/>
    <n v="55.888964284361101"/>
    <n v="3399.9119939653001"/>
    <n v="12239.6831782751"/>
  </r>
  <r>
    <x v="0"/>
    <x v="0"/>
    <x v="0"/>
    <x v="1"/>
    <x v="2"/>
    <s v="EE_Narva"/>
    <x v="6"/>
    <x v="6"/>
    <x v="6"/>
    <x v="1"/>
    <n v="55.821383916423599"/>
    <n v="3395.8008549157698"/>
    <n v="12224.883077696801"/>
  </r>
  <r>
    <x v="0"/>
    <x v="0"/>
    <x v="0"/>
    <x v="1"/>
    <x v="2"/>
    <s v="EE_Narva"/>
    <x v="6"/>
    <x v="6"/>
    <x v="6"/>
    <x v="2"/>
    <n v="55.663696391235902"/>
    <n v="3386.2081971335201"/>
    <n v="12190.3495096807"/>
  </r>
  <r>
    <x v="0"/>
    <x v="0"/>
    <x v="0"/>
    <x v="1"/>
    <x v="2"/>
    <s v="EE_Narva"/>
    <x v="6"/>
    <x v="6"/>
    <x v="6"/>
    <x v="3"/>
    <n v="55.438428498110703"/>
    <n v="3372.5044003017301"/>
    <n v="12141.0158410862"/>
  </r>
  <r>
    <x v="0"/>
    <x v="0"/>
    <x v="0"/>
    <x v="1"/>
    <x v="2"/>
    <s v="EE_Narva"/>
    <x v="6"/>
    <x v="6"/>
    <x v="6"/>
    <x v="4"/>
    <n v="55.168107026360403"/>
    <n v="3356.05984410359"/>
    <n v="12081.815438772899"/>
  </r>
  <r>
    <x v="0"/>
    <x v="0"/>
    <x v="0"/>
    <x v="1"/>
    <x v="2"/>
    <s v="EE_Narva"/>
    <x v="6"/>
    <x v="6"/>
    <x v="6"/>
    <x v="5"/>
    <n v="54.920312343922703"/>
    <n v="3340.9856675886299"/>
    <n v="12027.548403319101"/>
  </r>
  <r>
    <x v="0"/>
    <x v="0"/>
    <x v="0"/>
    <x v="1"/>
    <x v="2"/>
    <s v="EE_Narva"/>
    <x v="6"/>
    <x v="6"/>
    <x v="6"/>
    <x v="6"/>
    <n v="54.559883714922499"/>
    <n v="3319.0595926577798"/>
    <n v="11948.614533567999"/>
  </r>
  <r>
    <x v="0"/>
    <x v="0"/>
    <x v="0"/>
    <x v="1"/>
    <x v="2"/>
    <s v="EE_Narva"/>
    <x v="6"/>
    <x v="6"/>
    <x v="6"/>
    <x v="7"/>
    <n v="54.221981875234697"/>
    <n v="3298.5038974101099"/>
    <n v="11874.614030676399"/>
  </r>
  <r>
    <x v="0"/>
    <x v="0"/>
    <x v="0"/>
    <x v="1"/>
    <x v="2"/>
    <s v="EE_Narva"/>
    <x v="6"/>
    <x v="6"/>
    <x v="6"/>
    <x v="8"/>
    <n v="53.861553246234301"/>
    <n v="3276.5778224792498"/>
    <n v="11795.6801609253"/>
  </r>
  <r>
    <x v="0"/>
    <x v="0"/>
    <x v="0"/>
    <x v="1"/>
    <x v="2"/>
    <s v="EE_Narva"/>
    <x v="6"/>
    <x v="6"/>
    <x v="6"/>
    <x v="9"/>
    <n v="53.523651406546499"/>
    <n v="3256.0221272315798"/>
    <n v="11721.6796580337"/>
  </r>
  <r>
    <x v="0"/>
    <x v="0"/>
    <x v="0"/>
    <x v="1"/>
    <x v="2"/>
    <s v="EE_Narva"/>
    <x v="6"/>
    <x v="6"/>
    <x v="6"/>
    <x v="10"/>
    <n v="53.208276356171297"/>
    <n v="3236.8368116670799"/>
    <n v="11652.6125220015"/>
  </r>
  <r>
    <x v="0"/>
    <x v="0"/>
    <x v="0"/>
    <x v="1"/>
    <x v="2"/>
    <s v="EE_Narva"/>
    <x v="6"/>
    <x v="6"/>
    <x v="6"/>
    <x v="11"/>
    <n v="52.983008463046097"/>
    <n v="3223.1330148352999"/>
    <n v="11603.278853407101"/>
  </r>
  <r>
    <x v="0"/>
    <x v="0"/>
    <x v="0"/>
    <x v="1"/>
    <x v="2"/>
    <s v="EE_Narva"/>
    <x v="6"/>
    <x v="6"/>
    <x v="7"/>
    <x v="0"/>
    <n v="52.5549994661082"/>
    <n v="3197.0958008549101"/>
    <n v="11509.5448830777"/>
  </r>
  <r>
    <x v="0"/>
    <x v="0"/>
    <x v="0"/>
    <x v="1"/>
    <x v="2"/>
    <s v="EE_Narva"/>
    <x v="6"/>
    <x v="6"/>
    <x v="7"/>
    <x v="1"/>
    <n v="52.104463679857801"/>
    <n v="3169.6882071913501"/>
    <n v="11410.877545888899"/>
  </r>
  <r>
    <x v="0"/>
    <x v="0"/>
    <x v="0"/>
    <x v="1"/>
    <x v="2"/>
    <s v="EE_Narva"/>
    <x v="6"/>
    <x v="6"/>
    <x v="7"/>
    <x v="2"/>
    <n v="51.586347525669801"/>
    <n v="3138.1694744782499"/>
    <n v="11297.4101081217"/>
  </r>
  <r>
    <x v="0"/>
    <x v="0"/>
    <x v="0"/>
    <x v="1"/>
    <x v="2"/>
    <s v="EE_Narva"/>
    <x v="6"/>
    <x v="6"/>
    <x v="7"/>
    <x v="3"/>
    <n v="50.978124214231897"/>
    <n v="3101.1692230324402"/>
    <n v="11164.2092029168"/>
  </r>
  <r>
    <x v="0"/>
    <x v="0"/>
    <x v="0"/>
    <x v="1"/>
    <x v="2"/>
    <s v="EE_Narva"/>
    <x v="6"/>
    <x v="6"/>
    <x v="7"/>
    <x v="4"/>
    <n v="50.234740166918698"/>
    <n v="3055.94669348755"/>
    <n v="11001.4080965552"/>
  </r>
  <r>
    <x v="0"/>
    <x v="0"/>
    <x v="0"/>
    <x v="1"/>
    <x v="2"/>
    <s v="EE_Narva"/>
    <x v="6"/>
    <x v="6"/>
    <x v="7"/>
    <x v="5"/>
    <n v="49.446302540980497"/>
    <n v="3007.98340457631"/>
    <n v="10828.740256474701"/>
  </r>
  <r>
    <x v="0"/>
    <x v="0"/>
    <x v="0"/>
    <x v="1"/>
    <x v="2"/>
    <s v="EE_Narva"/>
    <x v="6"/>
    <x v="6"/>
    <x v="7"/>
    <x v="6"/>
    <n v="48.590284547104702"/>
    <n v="2955.9089766155398"/>
    <n v="10641.272315815901"/>
  </r>
  <r>
    <x v="0"/>
    <x v="0"/>
    <x v="0"/>
    <x v="1"/>
    <x v="2"/>
    <s v="EE_Narva"/>
    <x v="6"/>
    <x v="6"/>
    <x v="7"/>
    <x v="7"/>
    <n v="47.666686185291503"/>
    <n v="2899.7234096052298"/>
    <n v="10439.0042745788"/>
  </r>
  <r>
    <x v="0"/>
    <x v="0"/>
    <x v="0"/>
    <x v="1"/>
    <x v="2"/>
    <s v="EE_Narva"/>
    <x v="6"/>
    <x v="6"/>
    <x v="7"/>
    <x v="8"/>
    <n v="46.855721770040702"/>
    <n v="2850.3897410108102"/>
    <n v="10261.403067638899"/>
  </r>
  <r>
    <x v="0"/>
    <x v="0"/>
    <x v="0"/>
    <x v="1"/>
    <x v="2"/>
    <s v="EE_Narva"/>
    <x v="6"/>
    <x v="6"/>
    <x v="7"/>
    <x v="9"/>
    <n v="46.202444879977698"/>
    <n v="2810.6487301986399"/>
    <n v="10118.3354287151"/>
  </r>
  <r>
    <x v="0"/>
    <x v="0"/>
    <x v="0"/>
    <x v="1"/>
    <x v="2"/>
    <s v="EE_Narva"/>
    <x v="6"/>
    <x v="6"/>
    <x v="7"/>
    <x v="10"/>
    <n v="45.684328725789698"/>
    <n v="2779.1299974855401"/>
    <n v="10004.8679909479"/>
  </r>
  <r>
    <x v="0"/>
    <x v="0"/>
    <x v="0"/>
    <x v="1"/>
    <x v="2"/>
    <s v="EE_Narva"/>
    <x v="6"/>
    <x v="6"/>
    <x v="7"/>
    <x v="11"/>
    <n v="45.301373307476901"/>
    <n v="2755.83354287151"/>
    <n v="9921.0007543374395"/>
  </r>
  <r>
    <x v="0"/>
    <x v="0"/>
    <x v="0"/>
    <x v="1"/>
    <x v="2"/>
    <s v="EE_Narva"/>
    <x v="6"/>
    <x v="6"/>
    <x v="8"/>
    <x v="0"/>
    <n v="46.810668191415701"/>
    <n v="2847.64898164446"/>
    <n v="10251.536333919999"/>
  </r>
  <r>
    <x v="0"/>
    <x v="0"/>
    <x v="0"/>
    <x v="1"/>
    <x v="2"/>
    <s v="EE_Narva"/>
    <x v="6"/>
    <x v="6"/>
    <x v="8"/>
    <x v="1"/>
    <n v="47.216150399041098"/>
    <n v="2872.3158159416698"/>
    <n v="10340.33693739"/>
  </r>
  <r>
    <x v="0"/>
    <x v="0"/>
    <x v="0"/>
    <x v="1"/>
    <x v="2"/>
    <s v="EE_Narva"/>
    <x v="6"/>
    <x v="6"/>
    <x v="8"/>
    <x v="2"/>
    <n v="47.5540522387289"/>
    <n v="2892.8715111893398"/>
    <n v="10414.337440281601"/>
  </r>
  <r>
    <x v="0"/>
    <x v="0"/>
    <x v="0"/>
    <x v="1"/>
    <x v="2"/>
    <s v="EE_Narva"/>
    <x v="6"/>
    <x v="6"/>
    <x v="8"/>
    <x v="3"/>
    <n v="47.937007657041697"/>
    <n v="2916.16796580337"/>
    <n v="10498.204676892101"/>
  </r>
  <r>
    <x v="0"/>
    <x v="0"/>
    <x v="0"/>
    <x v="1"/>
    <x v="2"/>
    <s v="EE_Narva"/>
    <x v="6"/>
    <x v="6"/>
    <x v="8"/>
    <x v="4"/>
    <n v="48.229855918104398"/>
    <n v="2933.9829016846902"/>
    <n v="10562.338446064899"/>
  </r>
  <r>
    <x v="0"/>
    <x v="0"/>
    <x v="0"/>
    <x v="1"/>
    <x v="2"/>
    <s v="EE_Narva"/>
    <x v="6"/>
    <x v="6"/>
    <x v="8"/>
    <x v="5"/>
    <n v="48.387543443292103"/>
    <n v="2943.5755594669299"/>
    <n v="10596.872014081"/>
  </r>
  <r>
    <x v="0"/>
    <x v="0"/>
    <x v="0"/>
    <x v="1"/>
    <x v="2"/>
    <s v="EE_Narva"/>
    <x v="6"/>
    <x v="6"/>
    <x v="8"/>
    <x v="6"/>
    <n v="48.342489864667002"/>
    <n v="2940.8348001005802"/>
    <n v="10587.0052803621"/>
  </r>
  <r>
    <x v="0"/>
    <x v="0"/>
    <x v="0"/>
    <x v="1"/>
    <x v="2"/>
    <s v="EE_Narva"/>
    <x v="6"/>
    <x v="6"/>
    <x v="8"/>
    <x v="7"/>
    <n v="48.094695182229302"/>
    <n v="2925.7606235856201"/>
    <n v="10532.7382449082"/>
  </r>
  <r>
    <x v="0"/>
    <x v="0"/>
    <x v="0"/>
    <x v="1"/>
    <x v="2"/>
    <s v="EE_Narva"/>
    <x v="6"/>
    <x v="6"/>
    <x v="8"/>
    <x v="8"/>
    <n v="47.689212974603997"/>
    <n v="2901.0937892884099"/>
    <n v="10443.9376414383"/>
  </r>
  <r>
    <x v="0"/>
    <x v="0"/>
    <x v="0"/>
    <x v="1"/>
    <x v="2"/>
    <s v="EE_Narva"/>
    <x v="6"/>
    <x v="6"/>
    <x v="8"/>
    <x v="9"/>
    <n v="47.396364713541203"/>
    <n v="2883.2788534070901"/>
    <n v="10379.8038722655"/>
  </r>
  <r>
    <x v="0"/>
    <x v="0"/>
    <x v="0"/>
    <x v="1"/>
    <x v="2"/>
    <s v="EE_Narva"/>
    <x v="6"/>
    <x v="6"/>
    <x v="8"/>
    <x v="10"/>
    <n v="47.013409295228399"/>
    <n v="2859.9823987930599"/>
    <n v="10295.936635655"/>
  </r>
  <r>
    <x v="0"/>
    <x v="0"/>
    <x v="0"/>
    <x v="1"/>
    <x v="2"/>
    <s v="EE_Narva"/>
    <x v="6"/>
    <x v="6"/>
    <x v="8"/>
    <x v="11"/>
    <n v="46.652980666228103"/>
    <n v="2838.0563238622099"/>
    <n v="10217.002765903901"/>
  </r>
  <r>
    <x v="0"/>
    <x v="0"/>
    <x v="0"/>
    <x v="1"/>
    <x v="2"/>
    <s v="EE_Narva"/>
    <x v="6"/>
    <x v="6"/>
    <x v="9"/>
    <x v="0"/>
    <n v="44.220087420475899"/>
    <n v="2690.0553180789502"/>
    <n v="9684.1991450842306"/>
  </r>
  <r>
    <x v="0"/>
    <x v="0"/>
    <x v="0"/>
    <x v="1"/>
    <x v="2"/>
    <s v="EE_Narva"/>
    <x v="6"/>
    <x v="6"/>
    <x v="9"/>
    <x v="1"/>
    <n v="44.535462470851201"/>
    <n v="2709.2406336434501"/>
    <n v="9753.26628111641"/>
  </r>
  <r>
    <x v="0"/>
    <x v="0"/>
    <x v="0"/>
    <x v="1"/>
    <x v="2"/>
    <s v="EE_Narva"/>
    <x v="6"/>
    <x v="6"/>
    <x v="9"/>
    <x v="2"/>
    <n v="44.693149996038898"/>
    <n v="2718.8332914256998"/>
    <n v="9787.7998491325106"/>
  </r>
  <r>
    <x v="0"/>
    <x v="0"/>
    <x v="0"/>
    <x v="1"/>
    <x v="2"/>
    <s v="EE_Narva"/>
    <x v="6"/>
    <x v="6"/>
    <x v="9"/>
    <x v="3"/>
    <n v="44.625569628101303"/>
    <n v="2714.72215237616"/>
    <n v="9772.9997485541808"/>
  </r>
  <r>
    <x v="0"/>
    <x v="0"/>
    <x v="0"/>
    <x v="1"/>
    <x v="2"/>
    <s v="EE_Narva"/>
    <x v="6"/>
    <x v="6"/>
    <x v="9"/>
    <x v="4"/>
    <n v="44.422828524288597"/>
    <n v="2702.3887352275601"/>
    <n v="9728.5994468192002"/>
  </r>
  <r>
    <x v="0"/>
    <x v="0"/>
    <x v="0"/>
    <x v="1"/>
    <x v="2"/>
    <s v="EE_Narva"/>
    <x v="6"/>
    <x v="6"/>
    <x v="9"/>
    <x v="5"/>
    <n v="44.129980263225903"/>
    <n v="2684.5737993462399"/>
    <n v="9664.4656776464708"/>
  </r>
  <r>
    <x v="0"/>
    <x v="0"/>
    <x v="0"/>
    <x v="1"/>
    <x v="2"/>
    <s v="EE_Narva"/>
    <x v="6"/>
    <x v="6"/>
    <x v="9"/>
    <x v="6"/>
    <n v="43.679444476975398"/>
    <n v="2657.1662056826699"/>
    <n v="9565.7983404576207"/>
  </r>
  <r>
    <x v="0"/>
    <x v="0"/>
    <x v="0"/>
    <x v="1"/>
    <x v="2"/>
    <s v="EE_Narva"/>
    <x v="6"/>
    <x v="6"/>
    <x v="9"/>
    <x v="7"/>
    <n v="43.138801533474997"/>
    <n v="2624.27709328639"/>
    <n v="9447.3975358310199"/>
  </r>
  <r>
    <x v="0"/>
    <x v="0"/>
    <x v="0"/>
    <x v="1"/>
    <x v="2"/>
    <s v="EE_Narva"/>
    <x v="6"/>
    <x v="6"/>
    <x v="9"/>
    <x v="8"/>
    <n v="42.733319325849699"/>
    <n v="2599.6102589891898"/>
    <n v="9358.5969323610807"/>
  </r>
  <r>
    <x v="0"/>
    <x v="0"/>
    <x v="0"/>
    <x v="1"/>
    <x v="2"/>
    <s v="EE_Narva"/>
    <x v="6"/>
    <x v="6"/>
    <x v="9"/>
    <x v="9"/>
    <n v="42.440471064786898"/>
    <n v="2581.79532310787"/>
    <n v="9294.4631631883294"/>
  </r>
  <r>
    <x v="0"/>
    <x v="0"/>
    <x v="0"/>
    <x v="1"/>
    <x v="2"/>
    <s v="EE_Narva"/>
    <x v="6"/>
    <x v="6"/>
    <x v="9"/>
    <x v="10"/>
    <n v="42.350363907536803"/>
    <n v="2576.3138043751601"/>
    <n v="9274.7296957505605"/>
  </r>
  <r>
    <x v="0"/>
    <x v="0"/>
    <x v="0"/>
    <x v="1"/>
    <x v="2"/>
    <s v="EE_Narva"/>
    <x v="6"/>
    <x v="6"/>
    <x v="9"/>
    <x v="11"/>
    <n v="42.620685379287103"/>
    <n v="2592.7583605732998"/>
    <n v="9333.9300980638709"/>
  </r>
  <r>
    <x v="0"/>
    <x v="0"/>
    <x v="0"/>
    <x v="1"/>
    <x v="2"/>
    <s v="EE_Narva"/>
    <x v="6"/>
    <x v="6"/>
    <x v="10"/>
    <x v="0"/>
    <n v="39.286720561034201"/>
    <n v="2389.9421674629102"/>
    <n v="8603.7918028664899"/>
  </r>
  <r>
    <x v="0"/>
    <x v="0"/>
    <x v="0"/>
    <x v="1"/>
    <x v="2"/>
    <s v="EE_Narva"/>
    <x v="6"/>
    <x v="6"/>
    <x v="10"/>
    <x v="1"/>
    <n v="39.264193771721601"/>
    <n v="2388.5717877797301"/>
    <n v="8598.8584360070308"/>
  </r>
  <r>
    <x v="0"/>
    <x v="0"/>
    <x v="0"/>
    <x v="1"/>
    <x v="2"/>
    <s v="EE_Narva"/>
    <x v="6"/>
    <x v="6"/>
    <x v="10"/>
    <x v="2"/>
    <n v="39.106506246534003"/>
    <n v="2378.97912999749"/>
    <n v="8564.3248679909502"/>
  </r>
  <r>
    <x v="0"/>
    <x v="0"/>
    <x v="0"/>
    <x v="1"/>
    <x v="2"/>
    <s v="EE_Narva"/>
    <x v="6"/>
    <x v="6"/>
    <x v="10"/>
    <x v="3"/>
    <n v="38.948818721346399"/>
    <n v="2369.3864722152398"/>
    <n v="8529.7912999748605"/>
  </r>
  <r>
    <x v="0"/>
    <x v="0"/>
    <x v="0"/>
    <x v="1"/>
    <x v="2"/>
    <s v="EE_Narva"/>
    <x v="6"/>
    <x v="6"/>
    <x v="10"/>
    <x v="4"/>
    <n v="38.678497249596099"/>
    <n v="2352.9419160171001"/>
    <n v="8470.5908976615501"/>
  </r>
  <r>
    <x v="0"/>
    <x v="0"/>
    <x v="0"/>
    <x v="1"/>
    <x v="2"/>
    <s v="EE_Narva"/>
    <x v="6"/>
    <x v="6"/>
    <x v="10"/>
    <x v="5"/>
    <n v="38.273015041970801"/>
    <n v="2328.2750817198898"/>
    <n v="8381.7902941916"/>
  </r>
  <r>
    <x v="0"/>
    <x v="0"/>
    <x v="0"/>
    <x v="1"/>
    <x v="2"/>
    <s v="EE_Narva"/>
    <x v="6"/>
    <x v="6"/>
    <x v="10"/>
    <x v="6"/>
    <n v="37.799952466407902"/>
    <n v="2299.4971083731498"/>
    <n v="8278.1895901433309"/>
  </r>
  <r>
    <x v="0"/>
    <x v="0"/>
    <x v="0"/>
    <x v="1"/>
    <x v="2"/>
    <s v="EE_Narva"/>
    <x v="6"/>
    <x v="6"/>
    <x v="10"/>
    <x v="7"/>
    <n v="37.349416680157503"/>
    <n v="2272.0895147095798"/>
    <n v="8179.5222529544899"/>
  </r>
  <r>
    <x v="0"/>
    <x v="0"/>
    <x v="0"/>
    <x v="1"/>
    <x v="2"/>
    <s v="EE_Narva"/>
    <x v="6"/>
    <x v="6"/>
    <x v="10"/>
    <x v="8"/>
    <n v="36.876354104594498"/>
    <n v="2243.3115413628402"/>
    <n v="8075.9215489062099"/>
  </r>
  <r>
    <x v="0"/>
    <x v="0"/>
    <x v="0"/>
    <x v="1"/>
    <x v="2"/>
    <s v="EE_Narva"/>
    <x v="6"/>
    <x v="6"/>
    <x v="10"/>
    <x v="9"/>
    <n v="36.425818318344199"/>
    <n v="2215.9039476992698"/>
    <n v="7977.2542117173698"/>
  </r>
  <r>
    <x v="0"/>
    <x v="0"/>
    <x v="0"/>
    <x v="1"/>
    <x v="2"/>
    <s v="EE_Narva"/>
    <x v="6"/>
    <x v="6"/>
    <x v="10"/>
    <x v="10"/>
    <n v="36.200550425218999"/>
    <n v="2202.2001508674898"/>
    <n v="7927.9205431229602"/>
  </r>
  <r>
    <x v="0"/>
    <x v="0"/>
    <x v="0"/>
    <x v="1"/>
    <x v="2"/>
    <s v="EE_Narva"/>
    <x v="6"/>
    <x v="6"/>
    <x v="10"/>
    <x v="11"/>
    <n v="36.358237950406597"/>
    <n v="2211.79280864973"/>
    <n v="7962.4541111390499"/>
  </r>
  <r>
    <x v="0"/>
    <x v="0"/>
    <x v="0"/>
    <x v="1"/>
    <x v="2"/>
    <s v="EE_Narva"/>
    <x v="6"/>
    <x v="6"/>
    <x v="11"/>
    <x v="0"/>
    <n v="38.768604406846201"/>
    <n v="2358.42343474981"/>
    <n v="8490.3243650993209"/>
  </r>
  <r>
    <x v="0"/>
    <x v="0"/>
    <x v="0"/>
    <x v="1"/>
    <x v="2"/>
    <s v="EE_Narva"/>
    <x v="6"/>
    <x v="6"/>
    <x v="11"/>
    <x v="1"/>
    <n v="39.196613403784099"/>
    <n v="2384.4606487301999"/>
    <n v="8584.0583354287191"/>
  </r>
  <r>
    <x v="0"/>
    <x v="0"/>
    <x v="0"/>
    <x v="1"/>
    <x v="2"/>
    <s v="EE_Narva"/>
    <x v="6"/>
    <x v="6"/>
    <x v="11"/>
    <x v="2"/>
    <n v="39.4894616648469"/>
    <n v="2402.2755846115201"/>
    <n v="8648.1921046014595"/>
  </r>
  <r>
    <x v="0"/>
    <x v="0"/>
    <x v="0"/>
    <x v="1"/>
    <x v="2"/>
    <s v="EE_Narva"/>
    <x v="6"/>
    <x v="6"/>
    <x v="11"/>
    <x v="3"/>
    <n v="39.579568822096903"/>
    <n v="2407.75710334423"/>
    <n v="8667.9255720392193"/>
  </r>
  <r>
    <x v="0"/>
    <x v="0"/>
    <x v="0"/>
    <x v="1"/>
    <x v="2"/>
    <s v="EE_Narva"/>
    <x v="6"/>
    <x v="6"/>
    <x v="11"/>
    <x v="4"/>
    <n v="39.444408086221799"/>
    <n v="2399.5348252451599"/>
    <n v="8638.3253708825705"/>
  </r>
  <r>
    <x v="0"/>
    <x v="0"/>
    <x v="0"/>
    <x v="1"/>
    <x v="2"/>
    <s v="EE_Narva"/>
    <x v="6"/>
    <x v="6"/>
    <x v="11"/>
    <x v="5"/>
    <n v="39.061452667909002"/>
    <n v="2376.2383706311298"/>
    <n v="8554.4581342720703"/>
  </r>
  <r>
    <x v="0"/>
    <x v="0"/>
    <x v="0"/>
    <x v="1"/>
    <x v="2"/>
    <s v="EE_Narva"/>
    <x v="6"/>
    <x v="6"/>
    <x v="11"/>
    <x v="6"/>
    <n v="38.340595409908303"/>
    <n v="2332.3862207694201"/>
    <n v="8396.5903947699298"/>
  </r>
  <r>
    <x v="0"/>
    <x v="0"/>
    <x v="0"/>
    <x v="1"/>
    <x v="2"/>
    <s v="EE_Narva"/>
    <x v="6"/>
    <x v="6"/>
    <x v="11"/>
    <x v="7"/>
    <n v="37.416997048094998"/>
    <n v="2276.2006537591101"/>
    <n v="8194.3223535328107"/>
  </r>
  <r>
    <x v="0"/>
    <x v="0"/>
    <x v="0"/>
    <x v="1"/>
    <x v="2"/>
    <s v="EE_Narva"/>
    <x v="6"/>
    <x v="6"/>
    <x v="11"/>
    <x v="8"/>
    <n v="36.560979054219302"/>
    <n v="2224.1262257983399"/>
    <n v="8006.8544128740205"/>
  </r>
  <r>
    <x v="0"/>
    <x v="0"/>
    <x v="0"/>
    <x v="1"/>
    <x v="2"/>
    <s v="EE_Narva"/>
    <x v="6"/>
    <x v="6"/>
    <x v="11"/>
    <x v="9"/>
    <n v="35.727487849656001"/>
    <n v="2173.4221775207402"/>
    <n v="7824.3198390746702"/>
  </r>
  <r>
    <x v="0"/>
    <x v="0"/>
    <x v="0"/>
    <x v="1"/>
    <x v="2"/>
    <s v="EE_Narva"/>
    <x v="6"/>
    <x v="6"/>
    <x v="11"/>
    <x v="10"/>
    <n v="34.984103802342901"/>
    <n v="2128.19964797586"/>
    <n v="7661.5187327130998"/>
  </r>
  <r>
    <x v="0"/>
    <x v="0"/>
    <x v="0"/>
    <x v="1"/>
    <x v="2"/>
    <s v="EE_Narva"/>
    <x v="6"/>
    <x v="6"/>
    <x v="11"/>
    <x v="11"/>
    <n v="34.420934069529899"/>
    <n v="2093.9401558964"/>
    <n v="7538.1845612270499"/>
  </r>
  <r>
    <x v="0"/>
    <x v="0"/>
    <x v="0"/>
    <x v="1"/>
    <x v="2"/>
    <s v="EE_Parnu"/>
    <x v="4"/>
    <x v="7"/>
    <x v="0"/>
    <x v="0"/>
    <n v="17.034520410166699"/>
    <n v="1036.26665828514"/>
    <n v="3730.55996982651"/>
  </r>
  <r>
    <x v="0"/>
    <x v="0"/>
    <x v="0"/>
    <x v="1"/>
    <x v="2"/>
    <s v="EE_Parnu"/>
    <x v="4"/>
    <x v="7"/>
    <x v="0"/>
    <x v="1"/>
    <n v="17.025540694610399"/>
    <n v="1035.72039225547"/>
    <n v="3728.5934121196801"/>
  </r>
  <r>
    <x v="0"/>
    <x v="0"/>
    <x v="0"/>
    <x v="1"/>
    <x v="2"/>
    <s v="EE_Parnu"/>
    <x v="4"/>
    <x v="7"/>
    <x v="0"/>
    <x v="2"/>
    <n v="17.034520410166699"/>
    <n v="1036.26665828514"/>
    <n v="3730.55996982651"/>
  </r>
  <r>
    <x v="0"/>
    <x v="0"/>
    <x v="0"/>
    <x v="1"/>
    <x v="2"/>
    <s v="EE_Parnu"/>
    <x v="4"/>
    <x v="7"/>
    <x v="0"/>
    <x v="3"/>
    <n v="17.0435001257229"/>
    <n v="1036.8129243148101"/>
    <n v="3732.5265275333199"/>
  </r>
  <r>
    <x v="0"/>
    <x v="0"/>
    <x v="0"/>
    <x v="1"/>
    <x v="2"/>
    <s v="EE_Parnu"/>
    <x v="4"/>
    <x v="7"/>
    <x v="0"/>
    <x v="4"/>
    <n v="17.0435001257229"/>
    <n v="1036.8129243148101"/>
    <n v="3732.5265275333199"/>
  </r>
  <r>
    <x v="0"/>
    <x v="0"/>
    <x v="0"/>
    <x v="1"/>
    <x v="2"/>
    <s v="EE_Parnu"/>
    <x v="4"/>
    <x v="7"/>
    <x v="0"/>
    <x v="5"/>
    <n v="17.025540694610399"/>
    <n v="1035.72039225547"/>
    <n v="3728.5934121196801"/>
  </r>
  <r>
    <x v="0"/>
    <x v="0"/>
    <x v="0"/>
    <x v="1"/>
    <x v="2"/>
    <s v="EE_Parnu"/>
    <x v="4"/>
    <x v="7"/>
    <x v="0"/>
    <x v="6"/>
    <n v="16.989621832385499"/>
    <n v="1033.53532813679"/>
    <n v="3720.72718129243"/>
  </r>
  <r>
    <x v="0"/>
    <x v="0"/>
    <x v="0"/>
    <x v="1"/>
    <x v="2"/>
    <s v="EE_Parnu"/>
    <x v="4"/>
    <x v="7"/>
    <x v="0"/>
    <x v="7"/>
    <n v="16.9626826857168"/>
    <n v="1031.8965300477701"/>
    <n v="3714.8275081719898"/>
  </r>
  <r>
    <x v="0"/>
    <x v="0"/>
    <x v="0"/>
    <x v="1"/>
    <x v="2"/>
    <s v="EE_Parnu"/>
    <x v="4"/>
    <x v="7"/>
    <x v="0"/>
    <x v="8"/>
    <n v="17.052479841279101"/>
    <n v="1037.3591903444801"/>
    <n v="3734.4930852401299"/>
  </r>
  <r>
    <x v="0"/>
    <x v="0"/>
    <x v="0"/>
    <x v="1"/>
    <x v="2"/>
    <s v="EE_Parnu"/>
    <x v="4"/>
    <x v="7"/>
    <x v="0"/>
    <x v="9"/>
    <n v="17.1781958590663"/>
    <n v="1045.0069147598699"/>
    <n v="3762.02489313552"/>
  </r>
  <r>
    <x v="0"/>
    <x v="0"/>
    <x v="0"/>
    <x v="1"/>
    <x v="2"/>
    <s v="EE_Parnu"/>
    <x v="4"/>
    <x v="7"/>
    <x v="0"/>
    <x v="10"/>
    <n v="17.357790170190899"/>
    <n v="1055.93223535328"/>
    <n v="3801.35604727181"/>
  </r>
  <r>
    <x v="0"/>
    <x v="0"/>
    <x v="0"/>
    <x v="1"/>
    <x v="2"/>
    <s v="EE_Parnu"/>
    <x v="4"/>
    <x v="7"/>
    <x v="0"/>
    <x v="11"/>
    <n v="17.573303343540498"/>
    <n v="1069.0426200653801"/>
    <n v="3848.5534322353601"/>
  </r>
  <r>
    <x v="0"/>
    <x v="0"/>
    <x v="0"/>
    <x v="1"/>
    <x v="2"/>
    <s v="EE_Parnu"/>
    <x v="4"/>
    <x v="7"/>
    <x v="1"/>
    <x v="0"/>
    <n v="22.628883201697398"/>
    <n v="1376.5903947699301"/>
    <n v="4955.72542117174"/>
  </r>
  <r>
    <x v="0"/>
    <x v="0"/>
    <x v="0"/>
    <x v="1"/>
    <x v="2"/>
    <s v="EE_Parnu"/>
    <x v="4"/>
    <x v="7"/>
    <x v="1"/>
    <x v="1"/>
    <n v="22.772558650597102"/>
    <n v="1385.33065124466"/>
    <n v="4987.1903444807704"/>
  </r>
  <r>
    <x v="0"/>
    <x v="0"/>
    <x v="0"/>
    <x v="1"/>
    <x v="2"/>
    <s v="EE_Parnu"/>
    <x v="4"/>
    <x v="7"/>
    <x v="1"/>
    <x v="2"/>
    <n v="22.817457228378199"/>
    <n v="1388.06198139301"/>
    <n v="4997.0231330148299"/>
  </r>
  <r>
    <x v="0"/>
    <x v="0"/>
    <x v="0"/>
    <x v="1"/>
    <x v="2"/>
    <s v="EE_Parnu"/>
    <x v="4"/>
    <x v="7"/>
    <x v="1"/>
    <x v="3"/>
    <n v="22.6827614950348"/>
    <n v="1379.8679909479499"/>
    <n v="4967.5247674126304"/>
  </r>
  <r>
    <x v="0"/>
    <x v="0"/>
    <x v="0"/>
    <x v="1"/>
    <x v="2"/>
    <s v="EE_Parnu"/>
    <x v="4"/>
    <x v="7"/>
    <x v="1"/>
    <x v="4"/>
    <n v="22.386430881679299"/>
    <n v="1361.8412119688201"/>
    <n v="4902.6283630877597"/>
  </r>
  <r>
    <x v="0"/>
    <x v="0"/>
    <x v="0"/>
    <x v="1"/>
    <x v="2"/>
    <s v="EE_Parnu"/>
    <x v="4"/>
    <x v="7"/>
    <x v="1"/>
    <x v="5"/>
    <n v="21.9554045349802"/>
    <n v="1335.6204425446299"/>
    <n v="4808.2335931606704"/>
  </r>
  <r>
    <x v="0"/>
    <x v="0"/>
    <x v="0"/>
    <x v="1"/>
    <x v="2"/>
    <s v="EE_Parnu"/>
    <x v="4"/>
    <x v="7"/>
    <x v="1"/>
    <x v="6"/>
    <n v="21.4076418860502"/>
    <n v="1302.29821473472"/>
    <n v="4688.2735730450104"/>
  </r>
  <r>
    <x v="0"/>
    <x v="0"/>
    <x v="0"/>
    <x v="1"/>
    <x v="2"/>
    <s v="EE_Parnu"/>
    <x v="4"/>
    <x v="7"/>
    <x v="1"/>
    <x v="7"/>
    <n v="20.734163219333102"/>
    <n v="1261.32826250943"/>
    <n v="4540.7817450339498"/>
  </r>
  <r>
    <x v="0"/>
    <x v="0"/>
    <x v="0"/>
    <x v="1"/>
    <x v="2"/>
    <s v="EE_Parnu"/>
    <x v="4"/>
    <x v="7"/>
    <x v="1"/>
    <x v="8"/>
    <n v="20.150481708178202"/>
    <n v="1225.8209705808399"/>
    <n v="4412.9554940910202"/>
  </r>
  <r>
    <x v="0"/>
    <x v="0"/>
    <x v="0"/>
    <x v="1"/>
    <x v="2"/>
    <s v="EE_Parnu"/>
    <x v="4"/>
    <x v="7"/>
    <x v="1"/>
    <x v="9"/>
    <n v="19.620678490360699"/>
    <n v="1193.5912748302701"/>
    <n v="4296.9285893889901"/>
  </r>
  <r>
    <x v="0"/>
    <x v="0"/>
    <x v="0"/>
    <x v="1"/>
    <x v="2"/>
    <s v="EE_Parnu"/>
    <x v="4"/>
    <x v="7"/>
    <x v="1"/>
    <x v="10"/>
    <n v="19.144753565880499"/>
    <n v="1164.6391752577299"/>
    <n v="4192.7010309278403"/>
  </r>
  <r>
    <x v="0"/>
    <x v="0"/>
    <x v="0"/>
    <x v="1"/>
    <x v="2"/>
    <s v="EE_Parnu"/>
    <x v="4"/>
    <x v="7"/>
    <x v="1"/>
    <x v="11"/>
    <n v="18.7496460814065"/>
    <n v="1140.6034699522299"/>
    <n v="4106.1724918280197"/>
  </r>
  <r>
    <x v="0"/>
    <x v="0"/>
    <x v="0"/>
    <x v="1"/>
    <x v="2"/>
    <s v="EE_Parnu"/>
    <x v="4"/>
    <x v="7"/>
    <x v="2"/>
    <x v="0"/>
    <n v="18.040248552464298"/>
    <n v="1097.44845360825"/>
    <n v="3950.81443298969"/>
  </r>
  <r>
    <x v="0"/>
    <x v="0"/>
    <x v="0"/>
    <x v="1"/>
    <x v="2"/>
    <s v="EE_Parnu"/>
    <x v="4"/>
    <x v="7"/>
    <x v="2"/>
    <x v="1"/>
    <n v="18.0582079835768"/>
    <n v="1098.5409856675899"/>
    <n v="3954.7475484033198"/>
  </r>
  <r>
    <x v="0"/>
    <x v="0"/>
    <x v="0"/>
    <x v="1"/>
    <x v="2"/>
    <s v="EE_Parnu"/>
    <x v="4"/>
    <x v="7"/>
    <x v="2"/>
    <x v="2"/>
    <n v="18.076167414689198"/>
    <n v="1099.63351772693"/>
    <n v="3958.6806638169401"/>
  </r>
  <r>
    <x v="0"/>
    <x v="0"/>
    <x v="0"/>
    <x v="1"/>
    <x v="2"/>
    <s v="EE_Parnu"/>
    <x v="4"/>
    <x v="7"/>
    <x v="2"/>
    <x v="3"/>
    <n v="18.121065992470399"/>
    <n v="1102.36484787528"/>
    <n v="3968.5134523510201"/>
  </r>
  <r>
    <x v="0"/>
    <x v="0"/>
    <x v="0"/>
    <x v="1"/>
    <x v="2"/>
    <s v="EE_Parnu"/>
    <x v="4"/>
    <x v="7"/>
    <x v="2"/>
    <x v="4"/>
    <n v="18.174944285807801"/>
    <n v="1105.6424440533101"/>
    <n v="3980.31279859191"/>
  </r>
  <r>
    <x v="0"/>
    <x v="0"/>
    <x v="0"/>
    <x v="1"/>
    <x v="2"/>
    <s v="EE_Parnu"/>
    <x v="4"/>
    <x v="7"/>
    <x v="2"/>
    <x v="5"/>
    <n v="18.2378022947014"/>
    <n v="1109.466306261"/>
    <n v="3994.0787025396098"/>
  </r>
  <r>
    <x v="0"/>
    <x v="0"/>
    <x v="0"/>
    <x v="1"/>
    <x v="2"/>
    <s v="EE_Parnu"/>
    <x v="4"/>
    <x v="7"/>
    <x v="2"/>
    <x v="6"/>
    <n v="18.327599450263701"/>
    <n v="1114.9289665577101"/>
    <n v="4013.7442796077498"/>
  </r>
  <r>
    <x v="0"/>
    <x v="0"/>
    <x v="0"/>
    <x v="1"/>
    <x v="2"/>
    <s v="EE_Parnu"/>
    <x v="4"/>
    <x v="7"/>
    <x v="2"/>
    <x v="7"/>
    <n v="18.399437174713501"/>
    <n v="1119.29909479507"/>
    <n v="4029.47674126226"/>
  </r>
  <r>
    <x v="0"/>
    <x v="0"/>
    <x v="0"/>
    <x v="1"/>
    <x v="2"/>
    <s v="EE_Parnu"/>
    <x v="4"/>
    <x v="7"/>
    <x v="2"/>
    <x v="8"/>
    <n v="18.4622951836071"/>
    <n v="1123.1229570027699"/>
    <n v="4043.2426452099598"/>
  </r>
  <r>
    <x v="0"/>
    <x v="0"/>
    <x v="0"/>
    <x v="1"/>
    <x v="2"/>
    <s v="EE_Parnu"/>
    <x v="4"/>
    <x v="7"/>
    <x v="2"/>
    <x v="9"/>
    <n v="18.543112623613201"/>
    <n v="1128.0393512697999"/>
    <n v="4060.9416645712899"/>
  </r>
  <r>
    <x v="0"/>
    <x v="0"/>
    <x v="0"/>
    <x v="1"/>
    <x v="2"/>
    <s v="EE_Parnu"/>
    <x v="4"/>
    <x v="7"/>
    <x v="2"/>
    <x v="10"/>
    <n v="18.579031485838101"/>
    <n v="1130.2244153884801"/>
    <n v="4068.80789539854"/>
  </r>
  <r>
    <x v="0"/>
    <x v="0"/>
    <x v="0"/>
    <x v="1"/>
    <x v="2"/>
    <s v="EE_Parnu"/>
    <x v="4"/>
    <x v="7"/>
    <x v="2"/>
    <x v="11"/>
    <n v="18.525153192500699"/>
    <n v="1126.94681921046"/>
    <n v="4057.0085491576601"/>
  </r>
  <r>
    <x v="0"/>
    <x v="0"/>
    <x v="0"/>
    <x v="1"/>
    <x v="2"/>
    <s v="EE_Parnu"/>
    <x v="4"/>
    <x v="7"/>
    <x v="3"/>
    <x v="0"/>
    <n v="18.596990916950599"/>
    <n v="1131.31694744783"/>
    <n v="4072.7410108121699"/>
  </r>
  <r>
    <x v="0"/>
    <x v="0"/>
    <x v="0"/>
    <x v="1"/>
    <x v="2"/>
    <s v="EE_Parnu"/>
    <x v="4"/>
    <x v="7"/>
    <x v="3"/>
    <x v="1"/>
    <n v="18.884341814749899"/>
    <n v="1148.79746039728"/>
    <n v="4135.6708574302202"/>
  </r>
  <r>
    <x v="0"/>
    <x v="0"/>
    <x v="0"/>
    <x v="1"/>
    <x v="2"/>
    <s v="EE_Parnu"/>
    <x v="4"/>
    <x v="7"/>
    <x v="3"/>
    <x v="2"/>
    <n v="19.1178144192118"/>
    <n v="1163.00037716872"/>
    <n v="4186.8013578073896"/>
  </r>
  <r>
    <x v="0"/>
    <x v="0"/>
    <x v="0"/>
    <x v="1"/>
    <x v="2"/>
    <s v="EE_Parnu"/>
    <x v="4"/>
    <x v="7"/>
    <x v="3"/>
    <x v="3"/>
    <n v="19.315368161448902"/>
    <n v="1175.01822982147"/>
    <n v="4230.0656273573104"/>
  </r>
  <r>
    <x v="0"/>
    <x v="0"/>
    <x v="0"/>
    <x v="1"/>
    <x v="2"/>
    <s v="EE_Parnu"/>
    <x v="4"/>
    <x v="7"/>
    <x v="3"/>
    <x v="4"/>
    <n v="19.468023325904799"/>
    <n v="1184.3047523258799"/>
    <n v="4263.4971083731498"/>
  </r>
  <r>
    <x v="0"/>
    <x v="0"/>
    <x v="0"/>
    <x v="1"/>
    <x v="2"/>
    <s v="EE_Parnu"/>
    <x v="4"/>
    <x v="7"/>
    <x v="3"/>
    <x v="5"/>
    <n v="19.521901619242101"/>
    <n v="1187.5823485039"/>
    <n v="4275.2964546140302"/>
  </r>
  <r>
    <x v="0"/>
    <x v="0"/>
    <x v="0"/>
    <x v="1"/>
    <x v="2"/>
    <s v="EE_Parnu"/>
    <x v="4"/>
    <x v="7"/>
    <x v="3"/>
    <x v="6"/>
    <n v="19.5129219036859"/>
    <n v="1187.0360824742299"/>
    <n v="4273.3298969072102"/>
  </r>
  <r>
    <x v="0"/>
    <x v="0"/>
    <x v="0"/>
    <x v="1"/>
    <x v="2"/>
    <s v="EE_Parnu"/>
    <x v="4"/>
    <x v="7"/>
    <x v="3"/>
    <x v="7"/>
    <n v="19.450063894792301"/>
    <n v="1183.21222026653"/>
    <n v="4259.56399295952"/>
  </r>
  <r>
    <x v="0"/>
    <x v="0"/>
    <x v="0"/>
    <x v="1"/>
    <x v="2"/>
    <s v="EE_Parnu"/>
    <x v="4"/>
    <x v="7"/>
    <x v="3"/>
    <x v="8"/>
    <n v="19.3692464547862"/>
    <n v="1178.2958259995"/>
    <n v="4241.8649735981899"/>
  </r>
  <r>
    <x v="0"/>
    <x v="0"/>
    <x v="0"/>
    <x v="1"/>
    <x v="2"/>
    <s v="EE_Parnu"/>
    <x v="4"/>
    <x v="7"/>
    <x v="3"/>
    <x v="9"/>
    <n v="19.2614898681115"/>
    <n v="1171.7406336434501"/>
    <n v="4218.26628111642"/>
  </r>
  <r>
    <x v="0"/>
    <x v="0"/>
    <x v="0"/>
    <x v="1"/>
    <x v="2"/>
    <s v="EE_Parnu"/>
    <x v="4"/>
    <x v="7"/>
    <x v="3"/>
    <x v="10"/>
    <n v="19.135773850324298"/>
    <n v="1164.0929092280601"/>
    <n v="4190.7344732210304"/>
  </r>
  <r>
    <x v="0"/>
    <x v="0"/>
    <x v="0"/>
    <x v="1"/>
    <x v="2"/>
    <s v="EE_Parnu"/>
    <x v="4"/>
    <x v="7"/>
    <x v="3"/>
    <x v="11"/>
    <n v="19.0100578325371"/>
    <n v="1156.44518481267"/>
    <n v="4163.2026653256198"/>
  </r>
  <r>
    <x v="0"/>
    <x v="0"/>
    <x v="0"/>
    <x v="1"/>
    <x v="2"/>
    <s v="EE_Parnu"/>
    <x v="4"/>
    <x v="7"/>
    <x v="4"/>
    <x v="0"/>
    <n v="25.349737015234901"/>
    <n v="1542.10900176012"/>
    <n v="5551.59240633644"/>
  </r>
  <r>
    <x v="0"/>
    <x v="0"/>
    <x v="0"/>
    <x v="1"/>
    <x v="2"/>
    <s v="EE_Parnu"/>
    <x v="4"/>
    <x v="7"/>
    <x v="4"/>
    <x v="1"/>
    <n v="25.358716730791102"/>
    <n v="1542.6552677897901"/>
    <n v="5553.5589640432499"/>
  </r>
  <r>
    <x v="0"/>
    <x v="0"/>
    <x v="0"/>
    <x v="1"/>
    <x v="2"/>
    <s v="EE_Parnu"/>
    <x v="4"/>
    <x v="7"/>
    <x v="4"/>
    <x v="2"/>
    <n v="25.188102135222699"/>
    <n v="1532.27621322605"/>
    <n v="5516.1943676137798"/>
  </r>
  <r>
    <x v="0"/>
    <x v="0"/>
    <x v="0"/>
    <x v="1"/>
    <x v="2"/>
    <s v="EE_Parnu"/>
    <x v="4"/>
    <x v="7"/>
    <x v="4"/>
    <x v="3"/>
    <n v="24.891771521867099"/>
    <n v="1514.2494342469199"/>
    <n v="5451.2979632889101"/>
  </r>
  <r>
    <x v="0"/>
    <x v="0"/>
    <x v="0"/>
    <x v="1"/>
    <x v="2"/>
    <s v="EE_Parnu"/>
    <x v="4"/>
    <x v="7"/>
    <x v="4"/>
    <x v="4"/>
    <n v="24.586461192955401"/>
    <n v="1495.67638923812"/>
    <n v="5384.4350012572304"/>
  </r>
  <r>
    <x v="0"/>
    <x v="0"/>
    <x v="0"/>
    <x v="1"/>
    <x v="2"/>
    <s v="EE_Parnu"/>
    <x v="4"/>
    <x v="7"/>
    <x v="4"/>
    <x v="5"/>
    <n v="24.1733942773688"/>
    <n v="1470.5481518732699"/>
    <n v="5293.97334674377"/>
  </r>
  <r>
    <x v="0"/>
    <x v="0"/>
    <x v="0"/>
    <x v="1"/>
    <x v="2"/>
    <s v="EE_Parnu"/>
    <x v="4"/>
    <x v="7"/>
    <x v="4"/>
    <x v="6"/>
    <n v="23.652570775107499"/>
    <n v="1438.86472215238"/>
    <n v="5179.9129997485497"/>
  </r>
  <r>
    <x v="0"/>
    <x v="0"/>
    <x v="0"/>
    <x v="1"/>
    <x v="2"/>
    <s v="EE_Parnu"/>
    <x v="4"/>
    <x v="7"/>
    <x v="4"/>
    <x v="7"/>
    <n v="23.104808126177598"/>
    <n v="1405.54249434247"/>
    <n v="5059.9529796328898"/>
  </r>
  <r>
    <x v="0"/>
    <x v="0"/>
    <x v="0"/>
    <x v="1"/>
    <x v="2"/>
    <s v="EE_Parnu"/>
    <x v="4"/>
    <x v="7"/>
    <x v="4"/>
    <x v="8"/>
    <n v="22.664802063922298"/>
    <n v="1378.77545888861"/>
    <n v="4963.5916519989896"/>
  </r>
  <r>
    <x v="0"/>
    <x v="0"/>
    <x v="0"/>
    <x v="1"/>
    <x v="2"/>
    <s v="EE_Parnu"/>
    <x v="4"/>
    <x v="7"/>
    <x v="4"/>
    <x v="9"/>
    <n v="22.4313294594604"/>
    <n v="1364.5725421171701"/>
    <n v="4912.4611516218201"/>
  </r>
  <r>
    <x v="0"/>
    <x v="0"/>
    <x v="0"/>
    <x v="1"/>
    <x v="2"/>
    <s v="EE_Parnu"/>
    <x v="4"/>
    <x v="7"/>
    <x v="4"/>
    <x v="10"/>
    <n v="22.3505120194543"/>
    <n v="1359.6561478501401"/>
    <n v="4894.7621322605"/>
  </r>
  <r>
    <x v="0"/>
    <x v="0"/>
    <x v="0"/>
    <x v="1"/>
    <x v="2"/>
    <s v="EE_Parnu"/>
    <x v="4"/>
    <x v="7"/>
    <x v="4"/>
    <x v="11"/>
    <n v="22.332552588341901"/>
    <n v="1358.5636157908"/>
    <n v="4890.8290168468702"/>
  </r>
  <r>
    <x v="0"/>
    <x v="0"/>
    <x v="0"/>
    <x v="1"/>
    <x v="2"/>
    <s v="EE_Parnu"/>
    <x v="4"/>
    <x v="7"/>
    <x v="5"/>
    <x v="0"/>
    <n v="32.847799504686201"/>
    <n v="1998.2411365350799"/>
    <n v="7193.6680915262696"/>
  </r>
  <r>
    <x v="0"/>
    <x v="0"/>
    <x v="0"/>
    <x v="1"/>
    <x v="2"/>
    <s v="EE_Parnu"/>
    <x v="4"/>
    <x v="7"/>
    <x v="5"/>
    <x v="1"/>
    <n v="32.847799504686201"/>
    <n v="1998.2411365350799"/>
    <n v="7193.6680915262696"/>
  </r>
  <r>
    <x v="0"/>
    <x v="0"/>
    <x v="0"/>
    <x v="1"/>
    <x v="2"/>
    <s v="EE_Parnu"/>
    <x v="4"/>
    <x v="7"/>
    <x v="5"/>
    <x v="2"/>
    <n v="32.811880642461297"/>
    <n v="1996.05607241639"/>
    <n v="7185.8018606990199"/>
  </r>
  <r>
    <x v="0"/>
    <x v="0"/>
    <x v="0"/>
    <x v="1"/>
    <x v="2"/>
    <s v="EE_Parnu"/>
    <x v="4"/>
    <x v="7"/>
    <x v="5"/>
    <x v="3"/>
    <n v="32.497590597993302"/>
    <n v="1976.93676137792"/>
    <n v="7116.9723409605303"/>
  </r>
  <r>
    <x v="0"/>
    <x v="0"/>
    <x v="0"/>
    <x v="1"/>
    <x v="2"/>
    <s v="EE_Parnu"/>
    <x v="4"/>
    <x v="7"/>
    <x v="5"/>
    <x v="4"/>
    <n v="32.057584535738002"/>
    <n v="1950.16972592406"/>
    <n v="7020.6110133266302"/>
  </r>
  <r>
    <x v="0"/>
    <x v="0"/>
    <x v="0"/>
    <x v="1"/>
    <x v="2"/>
    <s v="EE_Parnu"/>
    <x v="4"/>
    <x v="7"/>
    <x v="5"/>
    <x v="5"/>
    <n v="31.330227575683502"/>
    <n v="1905.92217752074"/>
    <n v="6861.3198390746802"/>
  </r>
  <r>
    <x v="0"/>
    <x v="0"/>
    <x v="0"/>
    <x v="1"/>
    <x v="2"/>
    <s v="EE_Parnu"/>
    <x v="4"/>
    <x v="7"/>
    <x v="5"/>
    <x v="6"/>
    <n v="30.566951753403998"/>
    <n v="1859.48956499874"/>
    <n v="6694.1624339954797"/>
  </r>
  <r>
    <x v="0"/>
    <x v="0"/>
    <x v="0"/>
    <x v="1"/>
    <x v="2"/>
    <s v="EE_Parnu"/>
    <x v="4"/>
    <x v="7"/>
    <x v="5"/>
    <x v="7"/>
    <n v="29.695919344449699"/>
    <n v="1806.5017601206901"/>
    <n v="6503.4063364344902"/>
  </r>
  <r>
    <x v="0"/>
    <x v="0"/>
    <x v="0"/>
    <x v="1"/>
    <x v="2"/>
    <s v="EE_Parnu"/>
    <x v="4"/>
    <x v="7"/>
    <x v="5"/>
    <x v="8"/>
    <n v="28.8697855132767"/>
    <n v="1756.2452853909999"/>
    <n v="6322.4830274075903"/>
  </r>
  <r>
    <x v="0"/>
    <x v="0"/>
    <x v="0"/>
    <x v="1"/>
    <x v="2"/>
    <s v="EE_Parnu"/>
    <x v="4"/>
    <x v="7"/>
    <x v="5"/>
    <x v="9"/>
    <n v="28.169367699890799"/>
    <n v="1713.6365350766901"/>
    <n v="6169.09152627609"/>
  </r>
  <r>
    <x v="0"/>
    <x v="0"/>
    <x v="0"/>
    <x v="1"/>
    <x v="2"/>
    <s v="EE_Parnu"/>
    <x v="4"/>
    <x v="7"/>
    <x v="5"/>
    <x v="10"/>
    <n v="27.720381922079401"/>
    <n v="1686.32323359316"/>
    <n v="6070.76364093538"/>
  </r>
  <r>
    <x v="0"/>
    <x v="0"/>
    <x v="0"/>
    <x v="1"/>
    <x v="2"/>
    <s v="EE_Parnu"/>
    <x v="4"/>
    <x v="7"/>
    <x v="5"/>
    <x v="11"/>
    <n v="27.4150715931675"/>
    <n v="1667.7501885843601"/>
    <n v="6003.9006789036903"/>
  </r>
  <r>
    <x v="0"/>
    <x v="0"/>
    <x v="0"/>
    <x v="1"/>
    <x v="2"/>
    <s v="EE_Parnu"/>
    <x v="4"/>
    <x v="7"/>
    <x v="6"/>
    <x v="0"/>
    <n v="22.2786742950045"/>
    <n v="1355.2860196127699"/>
    <n v="4879.0296706059798"/>
  </r>
  <r>
    <x v="0"/>
    <x v="0"/>
    <x v="0"/>
    <x v="1"/>
    <x v="2"/>
    <s v="EE_Parnu"/>
    <x v="4"/>
    <x v="7"/>
    <x v="6"/>
    <x v="1"/>
    <n v="22.251735148335801"/>
    <n v="1353.64722152376"/>
    <n v="4873.1299974855401"/>
  </r>
  <r>
    <x v="0"/>
    <x v="0"/>
    <x v="0"/>
    <x v="1"/>
    <x v="2"/>
    <s v="EE_Parnu"/>
    <x v="4"/>
    <x v="7"/>
    <x v="6"/>
    <x v="2"/>
    <n v="22.188877139442202"/>
    <n v="1349.8233593160701"/>
    <n v="4859.3640935378398"/>
  </r>
  <r>
    <x v="0"/>
    <x v="0"/>
    <x v="0"/>
    <x v="1"/>
    <x v="2"/>
    <s v="EE_Parnu"/>
    <x v="4"/>
    <x v="7"/>
    <x v="6"/>
    <x v="3"/>
    <n v="22.0990799838799"/>
    <n v="1344.36069901936"/>
    <n v="4839.6985164696998"/>
  </r>
  <r>
    <x v="0"/>
    <x v="0"/>
    <x v="0"/>
    <x v="1"/>
    <x v="2"/>
    <s v="EE_Parnu"/>
    <x v="4"/>
    <x v="7"/>
    <x v="6"/>
    <x v="4"/>
    <n v="21.9913233972052"/>
    <n v="1337.8055066633201"/>
    <n v="4816.09982398793"/>
  </r>
  <r>
    <x v="0"/>
    <x v="0"/>
    <x v="0"/>
    <x v="1"/>
    <x v="2"/>
    <s v="EE_Parnu"/>
    <x v="4"/>
    <x v="7"/>
    <x v="6"/>
    <x v="5"/>
    <n v="21.892546526086601"/>
    <n v="1331.79658033694"/>
    <n v="4794.4676892129701"/>
  </r>
  <r>
    <x v="0"/>
    <x v="0"/>
    <x v="0"/>
    <x v="1"/>
    <x v="2"/>
    <s v="EE_Parnu"/>
    <x v="4"/>
    <x v="7"/>
    <x v="6"/>
    <x v="6"/>
    <n v="21.748871077187001"/>
    <n v="1323.0563238622101"/>
    <n v="4763.0027659039497"/>
  </r>
  <r>
    <x v="0"/>
    <x v="0"/>
    <x v="0"/>
    <x v="1"/>
    <x v="2"/>
    <s v="EE_Parnu"/>
    <x v="4"/>
    <x v="7"/>
    <x v="6"/>
    <x v="7"/>
    <n v="21.614175343843499"/>
    <n v="1314.86233341715"/>
    <n v="4733.5044003017301"/>
  </r>
  <r>
    <x v="0"/>
    <x v="0"/>
    <x v="0"/>
    <x v="1"/>
    <x v="2"/>
    <s v="EE_Parnu"/>
    <x v="4"/>
    <x v="7"/>
    <x v="6"/>
    <x v="8"/>
    <n v="21.470499894943799"/>
    <n v="1306.1220769424201"/>
    <n v="4702.0394769926997"/>
  </r>
  <r>
    <x v="0"/>
    <x v="0"/>
    <x v="0"/>
    <x v="1"/>
    <x v="2"/>
    <s v="EE_Parnu"/>
    <x v="4"/>
    <x v="7"/>
    <x v="6"/>
    <x v="9"/>
    <n v="21.3358041616004"/>
    <n v="1297.92808649736"/>
    <n v="4672.5411113905002"/>
  </r>
  <r>
    <x v="0"/>
    <x v="0"/>
    <x v="0"/>
    <x v="1"/>
    <x v="2"/>
    <s v="EE_Parnu"/>
    <x v="4"/>
    <x v="7"/>
    <x v="6"/>
    <x v="10"/>
    <n v="21.210088143813199"/>
    <n v="1290.28036208197"/>
    <n v="4645.0093034950996"/>
  </r>
  <r>
    <x v="0"/>
    <x v="0"/>
    <x v="0"/>
    <x v="1"/>
    <x v="2"/>
    <s v="EE_Parnu"/>
    <x v="4"/>
    <x v="7"/>
    <x v="6"/>
    <x v="11"/>
    <n v="21.120290988251"/>
    <n v="1284.8177017852699"/>
    <n v="4625.3437264269596"/>
  </r>
  <r>
    <x v="0"/>
    <x v="0"/>
    <x v="0"/>
    <x v="1"/>
    <x v="2"/>
    <s v="EE_Parnu"/>
    <x v="4"/>
    <x v="7"/>
    <x v="7"/>
    <x v="0"/>
    <n v="20.949676392682601"/>
    <n v="1274.4386472215199"/>
    <n v="4587.9791299974904"/>
  </r>
  <r>
    <x v="0"/>
    <x v="0"/>
    <x v="0"/>
    <x v="1"/>
    <x v="2"/>
    <s v="EE_Parnu"/>
    <x v="4"/>
    <x v="7"/>
    <x v="7"/>
    <x v="1"/>
    <n v="20.770082081558002"/>
    <n v="1263.51332662811"/>
    <n v="4548.6479758612004"/>
  </r>
  <r>
    <x v="0"/>
    <x v="0"/>
    <x v="0"/>
    <x v="1"/>
    <x v="2"/>
    <s v="EE_Parnu"/>
    <x v="4"/>
    <x v="7"/>
    <x v="7"/>
    <x v="2"/>
    <n v="20.563548623764699"/>
    <n v="1250.94920794569"/>
    <n v="4503.4171486044697"/>
  </r>
  <r>
    <x v="0"/>
    <x v="0"/>
    <x v="0"/>
    <x v="1"/>
    <x v="2"/>
    <s v="EE_Parnu"/>
    <x v="4"/>
    <x v="7"/>
    <x v="7"/>
    <x v="3"/>
    <n v="20.321096303746501"/>
    <n v="1236.20002514458"/>
    <n v="4450.3200905204903"/>
  </r>
  <r>
    <x v="0"/>
    <x v="0"/>
    <x v="0"/>
    <x v="1"/>
    <x v="2"/>
    <s v="EE_Parnu"/>
    <x v="4"/>
    <x v="7"/>
    <x v="7"/>
    <x v="4"/>
    <n v="20.024765690391"/>
    <n v="1218.1732461654501"/>
    <n v="4385.4236861956197"/>
  </r>
  <r>
    <x v="0"/>
    <x v="0"/>
    <x v="0"/>
    <x v="1"/>
    <x v="2"/>
    <s v="EE_Parnu"/>
    <x v="4"/>
    <x v="7"/>
    <x v="7"/>
    <x v="5"/>
    <n v="19.710475645923001"/>
    <n v="1199.0539351269799"/>
    <n v="4316.5941664571301"/>
  </r>
  <r>
    <x v="0"/>
    <x v="0"/>
    <x v="0"/>
    <x v="1"/>
    <x v="2"/>
    <s v="EE_Parnu"/>
    <x v="4"/>
    <x v="7"/>
    <x v="7"/>
    <x v="6"/>
    <n v="19.3692464547862"/>
    <n v="1178.2958259995"/>
    <n v="4241.8649735981899"/>
  </r>
  <r>
    <x v="0"/>
    <x v="0"/>
    <x v="0"/>
    <x v="1"/>
    <x v="2"/>
    <s v="EE_Parnu"/>
    <x v="4"/>
    <x v="7"/>
    <x v="7"/>
    <x v="7"/>
    <n v="19.001078116980899"/>
    <n v="1155.898918783"/>
    <n v="4161.2361076188099"/>
  </r>
  <r>
    <x v="0"/>
    <x v="0"/>
    <x v="0"/>
    <x v="1"/>
    <x v="2"/>
    <s v="EE_Parnu"/>
    <x v="4"/>
    <x v="7"/>
    <x v="7"/>
    <x v="8"/>
    <n v="18.6778083569566"/>
    <n v="1136.23334171486"/>
    <n v="4090.4400301735"/>
  </r>
  <r>
    <x v="0"/>
    <x v="0"/>
    <x v="0"/>
    <x v="1"/>
    <x v="2"/>
    <s v="EE_Parnu"/>
    <x v="4"/>
    <x v="7"/>
    <x v="7"/>
    <x v="9"/>
    <n v="18.417396605825999"/>
    <n v="1120.3916268544101"/>
    <n v="4033.4098566758898"/>
  </r>
  <r>
    <x v="0"/>
    <x v="0"/>
    <x v="0"/>
    <x v="1"/>
    <x v="2"/>
    <s v="EE_Parnu"/>
    <x v="4"/>
    <x v="7"/>
    <x v="7"/>
    <x v="10"/>
    <n v="18.210863148032701"/>
    <n v="1107.8275081719901"/>
    <n v="3988.1790294191601"/>
  </r>
  <r>
    <x v="0"/>
    <x v="0"/>
    <x v="0"/>
    <x v="1"/>
    <x v="2"/>
    <s v="EE_Parnu"/>
    <x v="4"/>
    <x v="7"/>
    <x v="7"/>
    <x v="11"/>
    <n v="18.0582079835768"/>
    <n v="1098.5409856675899"/>
    <n v="3954.7475484033198"/>
  </r>
  <r>
    <x v="0"/>
    <x v="0"/>
    <x v="0"/>
    <x v="1"/>
    <x v="2"/>
    <s v="EE_Parnu"/>
    <x v="4"/>
    <x v="7"/>
    <x v="8"/>
    <x v="0"/>
    <n v="18.659848925844202"/>
    <n v="1135.1408096555199"/>
    <n v="4086.5069147598701"/>
  </r>
  <r>
    <x v="0"/>
    <x v="0"/>
    <x v="0"/>
    <x v="1"/>
    <x v="2"/>
    <s v="EE_Parnu"/>
    <x v="4"/>
    <x v="7"/>
    <x v="8"/>
    <x v="1"/>
    <n v="18.8214838058563"/>
    <n v="1144.9735981895899"/>
    <n v="4121.9049534825199"/>
  </r>
  <r>
    <x v="0"/>
    <x v="0"/>
    <x v="0"/>
    <x v="1"/>
    <x v="2"/>
    <s v="EE_Parnu"/>
    <x v="4"/>
    <x v="7"/>
    <x v="8"/>
    <x v="2"/>
    <n v="18.956179539199699"/>
    <n v="1153.16758863465"/>
    <n v="4151.4033190847404"/>
  </r>
  <r>
    <x v="0"/>
    <x v="0"/>
    <x v="0"/>
    <x v="1"/>
    <x v="2"/>
    <s v="EE_Parnu"/>
    <x v="4"/>
    <x v="7"/>
    <x v="8"/>
    <x v="3"/>
    <n v="19.108834703655599"/>
    <n v="1162.4541111390499"/>
    <n v="4184.8348001005797"/>
  </r>
  <r>
    <x v="0"/>
    <x v="0"/>
    <x v="0"/>
    <x v="1"/>
    <x v="2"/>
    <s v="EE_Parnu"/>
    <x v="4"/>
    <x v="7"/>
    <x v="8"/>
    <x v="4"/>
    <n v="19.2255710058866"/>
    <n v="1169.5555695247699"/>
    <n v="4210.4000502891704"/>
  </r>
  <r>
    <x v="0"/>
    <x v="0"/>
    <x v="0"/>
    <x v="1"/>
    <x v="2"/>
    <s v="EE_Parnu"/>
    <x v="4"/>
    <x v="7"/>
    <x v="8"/>
    <x v="5"/>
    <n v="19.288429014780199"/>
    <n v="1173.37943173246"/>
    <n v="4224.1659542368698"/>
  </r>
  <r>
    <x v="0"/>
    <x v="0"/>
    <x v="0"/>
    <x v="1"/>
    <x v="2"/>
    <s v="EE_Parnu"/>
    <x v="4"/>
    <x v="7"/>
    <x v="8"/>
    <x v="6"/>
    <n v="19.270469583667701"/>
    <n v="1172.2868996731199"/>
    <n v="4220.2328388232299"/>
  </r>
  <r>
    <x v="0"/>
    <x v="0"/>
    <x v="0"/>
    <x v="1"/>
    <x v="2"/>
    <s v="EE_Parnu"/>
    <x v="4"/>
    <x v="7"/>
    <x v="8"/>
    <x v="7"/>
    <n v="19.171692712549198"/>
    <n v="1166.2779733467401"/>
    <n v="4198.60070404828"/>
  </r>
  <r>
    <x v="0"/>
    <x v="0"/>
    <x v="0"/>
    <x v="1"/>
    <x v="2"/>
    <s v="EE_Parnu"/>
    <x v="4"/>
    <x v="7"/>
    <x v="8"/>
    <x v="8"/>
    <n v="19.0100578325371"/>
    <n v="1156.44518481267"/>
    <n v="4163.2026653256198"/>
  </r>
  <r>
    <x v="0"/>
    <x v="0"/>
    <x v="0"/>
    <x v="1"/>
    <x v="2"/>
    <s v="EE_Parnu"/>
    <x v="4"/>
    <x v="7"/>
    <x v="8"/>
    <x v="9"/>
    <n v="18.8933215303061"/>
    <n v="1149.3437264269501"/>
    <n v="4137.6374151370301"/>
  </r>
  <r>
    <x v="0"/>
    <x v="0"/>
    <x v="0"/>
    <x v="1"/>
    <x v="2"/>
    <s v="EE_Parnu"/>
    <x v="4"/>
    <x v="7"/>
    <x v="8"/>
    <x v="10"/>
    <n v="18.740666365850199"/>
    <n v="1140.0572039225499"/>
    <n v="4104.2059341211898"/>
  </r>
  <r>
    <x v="0"/>
    <x v="0"/>
    <x v="0"/>
    <x v="1"/>
    <x v="2"/>
    <s v="EE_Parnu"/>
    <x v="4"/>
    <x v="7"/>
    <x v="8"/>
    <x v="11"/>
    <n v="18.596990916950599"/>
    <n v="1131.31694744783"/>
    <n v="4072.7410108121699"/>
  </r>
  <r>
    <x v="0"/>
    <x v="0"/>
    <x v="0"/>
    <x v="1"/>
    <x v="2"/>
    <s v="EE_Parnu"/>
    <x v="4"/>
    <x v="7"/>
    <x v="9"/>
    <x v="0"/>
    <n v="17.6271816368778"/>
    <n v="1072.3202162434"/>
    <n v="3860.35277847623"/>
  </r>
  <r>
    <x v="0"/>
    <x v="0"/>
    <x v="0"/>
    <x v="1"/>
    <x v="2"/>
    <s v="EE_Parnu"/>
    <x v="4"/>
    <x v="7"/>
    <x v="9"/>
    <x v="1"/>
    <n v="17.752897654664999"/>
    <n v="1079.96794065879"/>
    <n v="3887.8845863716301"/>
  </r>
  <r>
    <x v="0"/>
    <x v="0"/>
    <x v="0"/>
    <x v="1"/>
    <x v="2"/>
    <s v="EE_Parnu"/>
    <x v="4"/>
    <x v="7"/>
    <x v="9"/>
    <x v="2"/>
    <n v="17.815755663558601"/>
    <n v="1083.7918028664801"/>
    <n v="3901.65049031934"/>
  </r>
  <r>
    <x v="0"/>
    <x v="0"/>
    <x v="0"/>
    <x v="1"/>
    <x v="2"/>
    <s v="EE_Parnu"/>
    <x v="4"/>
    <x v="7"/>
    <x v="9"/>
    <x v="3"/>
    <n v="17.788816516889899"/>
    <n v="1082.15300477747"/>
    <n v="3895.7508171989002"/>
  </r>
  <r>
    <x v="0"/>
    <x v="0"/>
    <x v="0"/>
    <x v="1"/>
    <x v="2"/>
    <s v="EE_Parnu"/>
    <x v="4"/>
    <x v="7"/>
    <x v="9"/>
    <x v="4"/>
    <n v="17.707999076883901"/>
    <n v="1077.23661051044"/>
    <n v="3878.0517978375701"/>
  </r>
  <r>
    <x v="0"/>
    <x v="0"/>
    <x v="0"/>
    <x v="1"/>
    <x v="2"/>
    <s v="EE_Parnu"/>
    <x v="4"/>
    <x v="7"/>
    <x v="9"/>
    <x v="5"/>
    <n v="17.5912627746529"/>
    <n v="1070.13515212472"/>
    <n v="3852.4865476489799"/>
  </r>
  <r>
    <x v="0"/>
    <x v="0"/>
    <x v="0"/>
    <x v="1"/>
    <x v="2"/>
    <s v="EE_Parnu"/>
    <x v="4"/>
    <x v="7"/>
    <x v="9"/>
    <x v="6"/>
    <n v="17.411668463528301"/>
    <n v="1059.2098315313001"/>
    <n v="3813.1553935126999"/>
  </r>
  <r>
    <x v="0"/>
    <x v="0"/>
    <x v="0"/>
    <x v="1"/>
    <x v="2"/>
    <s v="EE_Parnu"/>
    <x v="4"/>
    <x v="7"/>
    <x v="9"/>
    <x v="7"/>
    <n v="17.196155290178801"/>
    <n v="1046.09944681921"/>
    <n v="3765.9580085491598"/>
  </r>
  <r>
    <x v="0"/>
    <x v="0"/>
    <x v="0"/>
    <x v="1"/>
    <x v="2"/>
    <s v="EE_Parnu"/>
    <x v="4"/>
    <x v="7"/>
    <x v="9"/>
    <x v="8"/>
    <n v="17.034520410166699"/>
    <n v="1036.26665828514"/>
    <n v="3730.55996982651"/>
  </r>
  <r>
    <x v="0"/>
    <x v="0"/>
    <x v="0"/>
    <x v="1"/>
    <x v="2"/>
    <s v="EE_Parnu"/>
    <x v="4"/>
    <x v="7"/>
    <x v="9"/>
    <x v="9"/>
    <n v="16.917784107935699"/>
    <n v="1029.16519989942"/>
    <n v="3704.9947196379198"/>
  </r>
  <r>
    <x v="0"/>
    <x v="0"/>
    <x v="0"/>
    <x v="1"/>
    <x v="2"/>
    <s v="EE_Parnu"/>
    <x v="4"/>
    <x v="7"/>
    <x v="9"/>
    <x v="10"/>
    <n v="16.881865245710799"/>
    <n v="1026.9801357807401"/>
    <n v="3697.1284888106602"/>
  </r>
  <r>
    <x v="0"/>
    <x v="0"/>
    <x v="0"/>
    <x v="1"/>
    <x v="2"/>
    <s v="EE_Parnu"/>
    <x v="4"/>
    <x v="7"/>
    <x v="9"/>
    <x v="11"/>
    <n v="16.989621832385499"/>
    <n v="1033.53532813679"/>
    <n v="3720.72718129243"/>
  </r>
  <r>
    <x v="0"/>
    <x v="0"/>
    <x v="0"/>
    <x v="1"/>
    <x v="2"/>
    <s v="EE_Parnu"/>
    <x v="4"/>
    <x v="7"/>
    <x v="10"/>
    <x v="0"/>
    <n v="15.660623930063601"/>
    <n v="952.68795574553803"/>
    <n v="3429.6766406839301"/>
  </r>
  <r>
    <x v="0"/>
    <x v="0"/>
    <x v="0"/>
    <x v="1"/>
    <x v="2"/>
    <s v="EE_Parnu"/>
    <x v="4"/>
    <x v="7"/>
    <x v="10"/>
    <x v="1"/>
    <n v="15.6516442145074"/>
    <n v="952.141689715864"/>
    <n v="3427.7100829771098"/>
  </r>
  <r>
    <x v="0"/>
    <x v="0"/>
    <x v="0"/>
    <x v="1"/>
    <x v="2"/>
    <s v="EE_Parnu"/>
    <x v="4"/>
    <x v="7"/>
    <x v="10"/>
    <x v="2"/>
    <n v="15.5887862056138"/>
    <n v="948.31782750817104"/>
    <n v="3413.94417902941"/>
  </r>
  <r>
    <x v="0"/>
    <x v="0"/>
    <x v="0"/>
    <x v="1"/>
    <x v="2"/>
    <s v="EE_Parnu"/>
    <x v="4"/>
    <x v="7"/>
    <x v="10"/>
    <x v="3"/>
    <n v="15.5259281967202"/>
    <n v="944.49396530047704"/>
    <n v="3400.1782750817201"/>
  </r>
  <r>
    <x v="0"/>
    <x v="0"/>
    <x v="0"/>
    <x v="1"/>
    <x v="2"/>
    <s v="EE_Parnu"/>
    <x v="4"/>
    <x v="7"/>
    <x v="10"/>
    <x v="4"/>
    <n v="15.4181716100454"/>
    <n v="937.93877294443098"/>
    <n v="3376.5795825999498"/>
  </r>
  <r>
    <x v="0"/>
    <x v="0"/>
    <x v="0"/>
    <x v="1"/>
    <x v="2"/>
    <s v="EE_Parnu"/>
    <x v="4"/>
    <x v="7"/>
    <x v="10"/>
    <x v="5"/>
    <n v="15.2565367300333"/>
    <n v="928.10598441035802"/>
    <n v="3341.1815438772901"/>
  </r>
  <r>
    <x v="0"/>
    <x v="0"/>
    <x v="0"/>
    <x v="1"/>
    <x v="2"/>
    <s v="EE_Parnu"/>
    <x v="4"/>
    <x v="7"/>
    <x v="10"/>
    <x v="6"/>
    <n v="15.067962703352499"/>
    <n v="916.63439778727695"/>
    <n v="3299.8838320342002"/>
  </r>
  <r>
    <x v="0"/>
    <x v="0"/>
    <x v="0"/>
    <x v="1"/>
    <x v="2"/>
    <s v="EE_Parnu"/>
    <x v="4"/>
    <x v="7"/>
    <x v="10"/>
    <x v="7"/>
    <n v="14.8883683922279"/>
    <n v="905.70907719386503"/>
    <n v="3260.5526778979101"/>
  </r>
  <r>
    <x v="0"/>
    <x v="0"/>
    <x v="0"/>
    <x v="1"/>
    <x v="2"/>
    <s v="EE_Parnu"/>
    <x v="4"/>
    <x v="7"/>
    <x v="10"/>
    <x v="8"/>
    <n v="14.699794365547101"/>
    <n v="894.23749057078305"/>
    <n v="3219.2549660548202"/>
  </r>
  <r>
    <x v="0"/>
    <x v="0"/>
    <x v="0"/>
    <x v="1"/>
    <x v="2"/>
    <s v="EE_Parnu"/>
    <x v="4"/>
    <x v="7"/>
    <x v="10"/>
    <x v="9"/>
    <n v="14.520200054422499"/>
    <n v="883.31216997736999"/>
    <n v="3179.9238119185302"/>
  </r>
  <r>
    <x v="0"/>
    <x v="0"/>
    <x v="0"/>
    <x v="1"/>
    <x v="2"/>
    <s v="EE_Parnu"/>
    <x v="4"/>
    <x v="7"/>
    <x v="10"/>
    <x v="10"/>
    <n v="14.4304028988602"/>
    <n v="877.84950968066403"/>
    <n v="3160.2582348503902"/>
  </r>
  <r>
    <x v="0"/>
    <x v="0"/>
    <x v="0"/>
    <x v="1"/>
    <x v="2"/>
    <s v="EE_Parnu"/>
    <x v="4"/>
    <x v="7"/>
    <x v="10"/>
    <x v="11"/>
    <n v="14.4932609077538"/>
    <n v="881.67337188835802"/>
    <n v="3174.02413879809"/>
  </r>
  <r>
    <x v="0"/>
    <x v="0"/>
    <x v="0"/>
    <x v="1"/>
    <x v="2"/>
    <s v="EE_Parnu"/>
    <x v="4"/>
    <x v="7"/>
    <x v="11"/>
    <x v="0"/>
    <n v="15.4540904722704"/>
    <n v="940.123837063113"/>
    <n v="3384.4458134272099"/>
  </r>
  <r>
    <x v="0"/>
    <x v="0"/>
    <x v="0"/>
    <x v="1"/>
    <x v="2"/>
    <s v="EE_Parnu"/>
    <x v="4"/>
    <x v="7"/>
    <x v="11"/>
    <x v="1"/>
    <n v="15.624705067838701"/>
    <n v="950.50289162685601"/>
    <n v="3421.8104098566801"/>
  </r>
  <r>
    <x v="0"/>
    <x v="0"/>
    <x v="0"/>
    <x v="1"/>
    <x v="2"/>
    <s v="EE_Parnu"/>
    <x v="4"/>
    <x v="7"/>
    <x v="11"/>
    <x v="2"/>
    <n v="15.741441370069699"/>
    <n v="957.60435001257099"/>
    <n v="3447.3756600452498"/>
  </r>
  <r>
    <x v="0"/>
    <x v="0"/>
    <x v="0"/>
    <x v="1"/>
    <x v="2"/>
    <s v="EE_Parnu"/>
    <x v="4"/>
    <x v="7"/>
    <x v="11"/>
    <x v="3"/>
    <n v="15.777360232294599"/>
    <n v="959.78941413125597"/>
    <n v="3455.2418908725199"/>
  </r>
  <r>
    <x v="0"/>
    <x v="0"/>
    <x v="0"/>
    <x v="1"/>
    <x v="2"/>
    <s v="EE_Parnu"/>
    <x v="4"/>
    <x v="7"/>
    <x v="11"/>
    <x v="4"/>
    <n v="15.7234819389572"/>
    <n v="956.51181795323203"/>
    <n v="3443.44254463163"/>
  </r>
  <r>
    <x v="0"/>
    <x v="0"/>
    <x v="0"/>
    <x v="1"/>
    <x v="2"/>
    <s v="EE_Parnu"/>
    <x v="4"/>
    <x v="7"/>
    <x v="11"/>
    <x v="5"/>
    <n v="15.570826774501301"/>
    <n v="947.22529544883196"/>
    <n v="3410.0110636157901"/>
  </r>
  <r>
    <x v="0"/>
    <x v="0"/>
    <x v="0"/>
    <x v="1"/>
    <x v="2"/>
    <s v="EE_Parnu"/>
    <x v="4"/>
    <x v="7"/>
    <x v="11"/>
    <x v="6"/>
    <n v="15.283475876701999"/>
    <n v="929.74478249936999"/>
    <n v="3347.0812169977298"/>
  </r>
  <r>
    <x v="0"/>
    <x v="0"/>
    <x v="0"/>
    <x v="1"/>
    <x v="2"/>
    <s v="EE_Parnu"/>
    <x v="4"/>
    <x v="7"/>
    <x v="11"/>
    <x v="7"/>
    <n v="14.915307538896601"/>
    <n v="907.347875282877"/>
    <n v="3266.4523510183599"/>
  </r>
  <r>
    <x v="0"/>
    <x v="0"/>
    <x v="0"/>
    <x v="1"/>
    <x v="2"/>
    <s v="EE_Parnu"/>
    <x v="4"/>
    <x v="7"/>
    <x v="11"/>
    <x v="8"/>
    <n v="14.574078347759899"/>
    <n v="886.58976615539495"/>
    <n v="3191.7231581594201"/>
  </r>
  <r>
    <x v="0"/>
    <x v="0"/>
    <x v="0"/>
    <x v="1"/>
    <x v="2"/>
    <s v="EE_Parnu"/>
    <x v="4"/>
    <x v="7"/>
    <x v="11"/>
    <x v="9"/>
    <n v="14.241828872179401"/>
    <n v="866.37792305757898"/>
    <n v="3118.9605230072898"/>
  </r>
  <r>
    <x v="0"/>
    <x v="0"/>
    <x v="0"/>
    <x v="1"/>
    <x v="2"/>
    <s v="EE_Parnu"/>
    <x v="4"/>
    <x v="7"/>
    <x v="11"/>
    <x v="10"/>
    <n v="13.9454982588239"/>
    <n v="848.35114407845197"/>
    <n v="3054.06411868243"/>
  </r>
  <r>
    <x v="0"/>
    <x v="0"/>
    <x v="0"/>
    <x v="1"/>
    <x v="2"/>
    <s v="EE_Parnu"/>
    <x v="4"/>
    <x v="7"/>
    <x v="11"/>
    <x v="11"/>
    <n v="13.7210053699181"/>
    <n v="834.69449333668501"/>
    <n v="3004.90017601207"/>
  </r>
  <r>
    <x v="0"/>
    <x v="0"/>
    <x v="0"/>
    <x v="1"/>
    <x v="2"/>
    <s v="EE_Small"/>
    <x v="5"/>
    <x v="5"/>
    <x v="0"/>
    <x v="0"/>
    <n v="70.449797396674796"/>
    <n v="4285.6960082977203"/>
    <n v="15428.505629871799"/>
  </r>
  <r>
    <x v="0"/>
    <x v="0"/>
    <x v="0"/>
    <x v="1"/>
    <x v="2"/>
    <s v="EE_Small"/>
    <x v="5"/>
    <x v="5"/>
    <x v="0"/>
    <x v="1"/>
    <n v="70.412659917815006"/>
    <n v="4283.4368116670803"/>
    <n v="15420.3725220015"/>
  </r>
  <r>
    <x v="0"/>
    <x v="0"/>
    <x v="0"/>
    <x v="1"/>
    <x v="2"/>
    <s v="EE_Small"/>
    <x v="5"/>
    <x v="5"/>
    <x v="0"/>
    <x v="2"/>
    <n v="70.449797396674796"/>
    <n v="4285.6960082977203"/>
    <n v="15428.505629871799"/>
  </r>
  <r>
    <x v="0"/>
    <x v="0"/>
    <x v="0"/>
    <x v="1"/>
    <x v="2"/>
    <s v="EE_Small"/>
    <x v="5"/>
    <x v="5"/>
    <x v="0"/>
    <x v="3"/>
    <n v="70.486934875534104"/>
    <n v="4287.9552049283202"/>
    <n v="15436.638737742"/>
  </r>
  <r>
    <x v="0"/>
    <x v="0"/>
    <x v="0"/>
    <x v="1"/>
    <x v="2"/>
    <s v="EE_Small"/>
    <x v="5"/>
    <x v="5"/>
    <x v="0"/>
    <x v="4"/>
    <n v="70.486934875534104"/>
    <n v="4287.9552049283202"/>
    <n v="15436.638737742"/>
  </r>
  <r>
    <x v="0"/>
    <x v="0"/>
    <x v="0"/>
    <x v="1"/>
    <x v="2"/>
    <s v="EE_Small"/>
    <x v="5"/>
    <x v="5"/>
    <x v="0"/>
    <x v="5"/>
    <n v="70.412659917815006"/>
    <n v="4283.4368116670803"/>
    <n v="15420.3725220015"/>
  </r>
  <r>
    <x v="0"/>
    <x v="0"/>
    <x v="0"/>
    <x v="1"/>
    <x v="2"/>
    <s v="EE_Small"/>
    <x v="5"/>
    <x v="5"/>
    <x v="0"/>
    <x v="6"/>
    <n v="70.264110002376398"/>
    <n v="4274.4000251445595"/>
    <n v="15387.8400905204"/>
  </r>
  <r>
    <x v="0"/>
    <x v="0"/>
    <x v="0"/>
    <x v="1"/>
    <x v="2"/>
    <s v="EE_Small"/>
    <x v="5"/>
    <x v="5"/>
    <x v="0"/>
    <x v="7"/>
    <n v="70.152697565797595"/>
    <n v="4267.6224352526897"/>
    <n v="15363.4407669097"/>
  </r>
  <r>
    <x v="0"/>
    <x v="0"/>
    <x v="0"/>
    <x v="1"/>
    <x v="2"/>
    <s v="EE_Small"/>
    <x v="5"/>
    <x v="5"/>
    <x v="0"/>
    <x v="8"/>
    <n v="70.524072354393894"/>
    <n v="4290.2144015589602"/>
    <n v="15444.7718456123"/>
  </r>
  <r>
    <x v="0"/>
    <x v="0"/>
    <x v="0"/>
    <x v="1"/>
    <x v="2"/>
    <s v="EE_Small"/>
    <x v="5"/>
    <x v="5"/>
    <x v="0"/>
    <x v="9"/>
    <n v="71.043997058428104"/>
    <n v="4321.8431543877095"/>
    <n v="15558.635355795799"/>
  </r>
  <r>
    <x v="0"/>
    <x v="0"/>
    <x v="0"/>
    <x v="1"/>
    <x v="2"/>
    <s v="EE_Small"/>
    <x v="5"/>
    <x v="5"/>
    <x v="0"/>
    <x v="10"/>
    <n v="71.786746635620702"/>
    <n v="4367.0270870002596"/>
    <n v="15721.2975132009"/>
  </r>
  <r>
    <x v="0"/>
    <x v="0"/>
    <x v="0"/>
    <x v="1"/>
    <x v="2"/>
    <s v="EE_Small"/>
    <x v="5"/>
    <x v="5"/>
    <x v="0"/>
    <x v="11"/>
    <n v="72.678046128251196"/>
    <n v="4421.2478061352804"/>
    <n v="15916.492102087001"/>
  </r>
  <r>
    <x v="0"/>
    <x v="0"/>
    <x v="0"/>
    <x v="1"/>
    <x v="2"/>
    <s v="EE_Small"/>
    <x v="5"/>
    <x v="5"/>
    <x v="1"/>
    <x v="0"/>
    <n v="93.5864467262099"/>
    <n v="5693.1755091777704"/>
    <n v="20495.431833039998"/>
  </r>
  <r>
    <x v="0"/>
    <x v="0"/>
    <x v="0"/>
    <x v="1"/>
    <x v="2"/>
    <s v="EE_Small"/>
    <x v="5"/>
    <x v="5"/>
    <x v="1"/>
    <x v="1"/>
    <n v="94.180646387963805"/>
    <n v="5729.3226552677997"/>
    <n v="20625.561558964098"/>
  </r>
  <r>
    <x v="0"/>
    <x v="0"/>
    <x v="0"/>
    <x v="1"/>
    <x v="2"/>
    <s v="EE_Small"/>
    <x v="5"/>
    <x v="5"/>
    <x v="1"/>
    <x v="2"/>
    <n v="94.366333782261606"/>
    <n v="5740.6186384209104"/>
    <n v="20666.227098315299"/>
  </r>
  <r>
    <x v="0"/>
    <x v="0"/>
    <x v="0"/>
    <x v="1"/>
    <x v="2"/>
    <s v="EE_Small"/>
    <x v="5"/>
    <x v="5"/>
    <x v="1"/>
    <x v="3"/>
    <n v="93.809271599367506"/>
    <n v="5706.7306889615202"/>
    <n v="20544.2304802615"/>
  </r>
  <r>
    <x v="0"/>
    <x v="0"/>
    <x v="0"/>
    <x v="1"/>
    <x v="2"/>
    <s v="EE_Small"/>
    <x v="5"/>
    <x v="5"/>
    <x v="1"/>
    <x v="4"/>
    <n v="92.583734797000503"/>
    <n v="5632.1772001508598"/>
    <n v="20275.837920543101"/>
  </r>
  <r>
    <x v="0"/>
    <x v="0"/>
    <x v="0"/>
    <x v="1"/>
    <x v="2"/>
    <s v="EE_Small"/>
    <x v="5"/>
    <x v="5"/>
    <x v="1"/>
    <x v="5"/>
    <n v="90.8011358117394"/>
    <n v="5523.7357618808101"/>
    <n v="19885.448742770899"/>
  </r>
  <r>
    <x v="0"/>
    <x v="0"/>
    <x v="0"/>
    <x v="1"/>
    <x v="2"/>
    <s v="EE_Small"/>
    <x v="5"/>
    <x v="5"/>
    <x v="1"/>
    <x v="6"/>
    <n v="88.535749601303195"/>
    <n v="5385.92476741261"/>
    <n v="19389.329162685401"/>
  </r>
  <r>
    <x v="0"/>
    <x v="0"/>
    <x v="0"/>
    <x v="1"/>
    <x v="2"/>
    <s v="EE_Small"/>
    <x v="5"/>
    <x v="5"/>
    <x v="1"/>
    <x v="7"/>
    <n v="85.750438686832794"/>
    <n v="5216.4850201156596"/>
    <n v="18779.3460724164"/>
  </r>
  <r>
    <x v="0"/>
    <x v="0"/>
    <x v="0"/>
    <x v="1"/>
    <x v="2"/>
    <s v="EE_Small"/>
    <x v="5"/>
    <x v="5"/>
    <x v="1"/>
    <x v="8"/>
    <n v="83.336502560958493"/>
    <n v="5069.6372391249797"/>
    <n v="18250.694060849899"/>
  </r>
  <r>
    <x v="0"/>
    <x v="0"/>
    <x v="0"/>
    <x v="1"/>
    <x v="2"/>
    <s v="EE_Small"/>
    <x v="5"/>
    <x v="5"/>
    <x v="1"/>
    <x v="9"/>
    <n v="81.1453913082414"/>
    <n v="4936.3446379180205"/>
    <n v="17770.8406965049"/>
  </r>
  <r>
    <x v="0"/>
    <x v="0"/>
    <x v="0"/>
    <x v="1"/>
    <x v="2"/>
    <s v="EE_Small"/>
    <x v="5"/>
    <x v="5"/>
    <x v="1"/>
    <x v="10"/>
    <n v="79.177104928682496"/>
    <n v="4816.60721649485"/>
    <n v="17339.785979381501"/>
  </r>
  <r>
    <x v="0"/>
    <x v="0"/>
    <x v="0"/>
    <x v="1"/>
    <x v="2"/>
    <s v="EE_Small"/>
    <x v="5"/>
    <x v="5"/>
    <x v="1"/>
    <x v="11"/>
    <n v="77.543055858859404"/>
    <n v="4717.2025647472801"/>
    <n v="16981.929233090199"/>
  </r>
  <r>
    <x v="0"/>
    <x v="0"/>
    <x v="0"/>
    <x v="1"/>
    <x v="2"/>
    <s v="EE_Small"/>
    <x v="5"/>
    <x v="5"/>
    <x v="2"/>
    <x v="0"/>
    <n v="74.609195028950893"/>
    <n v="4538.7260309278499"/>
    <n v="16339.413711340299"/>
  </r>
  <r>
    <x v="0"/>
    <x v="0"/>
    <x v="0"/>
    <x v="1"/>
    <x v="2"/>
    <s v="EE_Small"/>
    <x v="5"/>
    <x v="5"/>
    <x v="2"/>
    <x v="1"/>
    <n v="74.683469986669905"/>
    <n v="4543.2444241890898"/>
    <n v="16355.679927080701"/>
  </r>
  <r>
    <x v="0"/>
    <x v="0"/>
    <x v="0"/>
    <x v="1"/>
    <x v="2"/>
    <s v="EE_Small"/>
    <x v="5"/>
    <x v="5"/>
    <x v="2"/>
    <x v="2"/>
    <n v="74.757744944388904"/>
    <n v="4547.7628174503297"/>
    <n v="16371.9461428212"/>
  </r>
  <r>
    <x v="0"/>
    <x v="0"/>
    <x v="0"/>
    <x v="1"/>
    <x v="2"/>
    <s v="EE_Small"/>
    <x v="5"/>
    <x v="5"/>
    <x v="2"/>
    <x v="3"/>
    <n v="74.943432338687401"/>
    <n v="4559.0588006034804"/>
    <n v="16412.611682172501"/>
  </r>
  <r>
    <x v="0"/>
    <x v="0"/>
    <x v="0"/>
    <x v="1"/>
    <x v="2"/>
    <s v="EE_Small"/>
    <x v="5"/>
    <x v="5"/>
    <x v="2"/>
    <x v="4"/>
    <n v="75.166257211844993"/>
    <n v="4572.6139803872402"/>
    <n v="16461.410329394101"/>
  </r>
  <r>
    <x v="0"/>
    <x v="0"/>
    <x v="0"/>
    <x v="1"/>
    <x v="2"/>
    <s v="EE_Small"/>
    <x v="5"/>
    <x v="5"/>
    <x v="2"/>
    <x v="5"/>
    <n v="75.426219563861906"/>
    <n v="4588.4283568015999"/>
    <n v="16518.342084485801"/>
  </r>
  <r>
    <x v="0"/>
    <x v="0"/>
    <x v="0"/>
    <x v="1"/>
    <x v="2"/>
    <s v="EE_Small"/>
    <x v="5"/>
    <x v="5"/>
    <x v="2"/>
    <x v="6"/>
    <n v="75.797594352458106"/>
    <n v="4611.0203231078704"/>
    <n v="16599.673163188301"/>
  </r>
  <r>
    <x v="0"/>
    <x v="0"/>
    <x v="0"/>
    <x v="1"/>
    <x v="2"/>
    <s v="EE_Small"/>
    <x v="5"/>
    <x v="5"/>
    <x v="2"/>
    <x v="7"/>
    <n v="76.094694183334795"/>
    <n v="4629.09389615287"/>
    <n v="16664.738026150299"/>
  </r>
  <r>
    <x v="0"/>
    <x v="0"/>
    <x v="0"/>
    <x v="1"/>
    <x v="2"/>
    <s v="EE_Small"/>
    <x v="5"/>
    <x v="5"/>
    <x v="2"/>
    <x v="8"/>
    <n v="76.354656535352206"/>
    <n v="4644.9082725672597"/>
    <n v="16721.669781242101"/>
  </r>
  <r>
    <x v="0"/>
    <x v="0"/>
    <x v="0"/>
    <x v="1"/>
    <x v="2"/>
    <s v="EE_Small"/>
    <x v="5"/>
    <x v="5"/>
    <x v="2"/>
    <x v="9"/>
    <n v="76.6888938450887"/>
    <n v="4665.2410422428902"/>
    <n v="16794.867752074399"/>
  </r>
  <r>
    <x v="0"/>
    <x v="0"/>
    <x v="0"/>
    <x v="1"/>
    <x v="2"/>
    <s v="EE_Small"/>
    <x v="5"/>
    <x v="5"/>
    <x v="2"/>
    <x v="10"/>
    <n v="76.837443760527293"/>
    <n v="4674.27782876541"/>
    <n v="16827.400183555499"/>
  </r>
  <r>
    <x v="0"/>
    <x v="0"/>
    <x v="0"/>
    <x v="1"/>
    <x v="2"/>
    <s v="EE_Small"/>
    <x v="5"/>
    <x v="5"/>
    <x v="2"/>
    <x v="11"/>
    <n v="76.614618887369602"/>
    <n v="4660.7226489816503"/>
    <n v="16778.601536334001"/>
  </r>
  <r>
    <x v="0"/>
    <x v="0"/>
    <x v="0"/>
    <x v="1"/>
    <x v="2"/>
    <s v="EE_Small"/>
    <x v="5"/>
    <x v="5"/>
    <x v="3"/>
    <x v="0"/>
    <n v="76.911718718246306"/>
    <n v="4678.79622202665"/>
    <n v="16843.6663992959"/>
  </r>
  <r>
    <x v="0"/>
    <x v="0"/>
    <x v="0"/>
    <x v="1"/>
    <x v="2"/>
    <s v="EE_Small"/>
    <x v="5"/>
    <x v="5"/>
    <x v="3"/>
    <x v="1"/>
    <n v="78.100118041753504"/>
    <n v="4751.0905142066704"/>
    <n v="17103.925851143998"/>
  </r>
  <r>
    <x v="0"/>
    <x v="0"/>
    <x v="0"/>
    <x v="1"/>
    <x v="2"/>
    <s v="EE_Small"/>
    <x v="5"/>
    <x v="5"/>
    <x v="3"/>
    <x v="2"/>
    <n v="79.065692492103594"/>
    <n v="4809.8296266029702"/>
    <n v="17315.386655770701"/>
  </r>
  <r>
    <x v="0"/>
    <x v="0"/>
    <x v="0"/>
    <x v="1"/>
    <x v="2"/>
    <s v="EE_Small"/>
    <x v="5"/>
    <x v="5"/>
    <x v="3"/>
    <x v="3"/>
    <n v="79.882717027015204"/>
    <n v="4859.5319524767601"/>
    <n v="17494.315028916299"/>
  </r>
  <r>
    <x v="0"/>
    <x v="0"/>
    <x v="0"/>
    <x v="1"/>
    <x v="2"/>
    <s v="EE_Small"/>
    <x v="5"/>
    <x v="5"/>
    <x v="3"/>
    <x v="4"/>
    <n v="80.514054167628302"/>
    <n v="4897.9382951973903"/>
    <n v="17632.577862710601"/>
  </r>
  <r>
    <x v="0"/>
    <x v="0"/>
    <x v="0"/>
    <x v="1"/>
    <x v="2"/>
    <s v="EE_Small"/>
    <x v="5"/>
    <x v="5"/>
    <x v="3"/>
    <x v="5"/>
    <n v="80.736879040785894"/>
    <n v="4911.49347498114"/>
    <n v="17681.376509932099"/>
  </r>
  <r>
    <x v="0"/>
    <x v="0"/>
    <x v="0"/>
    <x v="1"/>
    <x v="2"/>
    <s v="EE_Small"/>
    <x v="5"/>
    <x v="5"/>
    <x v="3"/>
    <x v="6"/>
    <n v="80.699741561926103"/>
    <n v="4909.2342783505101"/>
    <n v="17673.243402061798"/>
  </r>
  <r>
    <x v="0"/>
    <x v="0"/>
    <x v="0"/>
    <x v="1"/>
    <x v="2"/>
    <s v="EE_Small"/>
    <x v="5"/>
    <x v="5"/>
    <x v="3"/>
    <x v="7"/>
    <n v="80.439779209909304"/>
    <n v="4893.4199019361504"/>
    <n v="17616.311646970102"/>
  </r>
  <r>
    <x v="0"/>
    <x v="0"/>
    <x v="0"/>
    <x v="1"/>
    <x v="2"/>
    <s v="EE_Small"/>
    <x v="5"/>
    <x v="5"/>
    <x v="3"/>
    <x v="8"/>
    <n v="80.105541900172796"/>
    <n v="4873.0871322605099"/>
    <n v="17543.1136761378"/>
  </r>
  <r>
    <x v="0"/>
    <x v="0"/>
    <x v="0"/>
    <x v="1"/>
    <x v="2"/>
    <s v="EE_Small"/>
    <x v="5"/>
    <x v="5"/>
    <x v="3"/>
    <x v="9"/>
    <n v="79.659892153857001"/>
    <n v="4845.9767726929704"/>
    <n v="17445.516381694699"/>
  </r>
  <r>
    <x v="0"/>
    <x v="0"/>
    <x v="0"/>
    <x v="1"/>
    <x v="2"/>
    <s v="EE_Small"/>
    <x v="5"/>
    <x v="5"/>
    <x v="3"/>
    <x v="10"/>
    <n v="79.139967449822706"/>
    <n v="4814.3480198642101"/>
    <n v="17331.6528715112"/>
  </r>
  <r>
    <x v="0"/>
    <x v="0"/>
    <x v="0"/>
    <x v="1"/>
    <x v="2"/>
    <s v="EE_Small"/>
    <x v="5"/>
    <x v="5"/>
    <x v="3"/>
    <x v="11"/>
    <n v="78.620042745788396"/>
    <n v="4782.7192670354598"/>
    <n v="17217.789361327701"/>
  </r>
  <r>
    <x v="0"/>
    <x v="0"/>
    <x v="0"/>
    <x v="1"/>
    <x v="2"/>
    <s v="EE_Small"/>
    <x v="5"/>
    <x v="5"/>
    <x v="4"/>
    <x v="0"/>
    <n v="100"/>
    <n v="6083.3333333333303"/>
    <n v="21900"/>
  </r>
  <r>
    <x v="0"/>
    <x v="0"/>
    <x v="0"/>
    <x v="1"/>
    <x v="2"/>
    <s v="EE_Small"/>
    <x v="5"/>
    <x v="5"/>
    <x v="4"/>
    <x v="1"/>
    <n v="100"/>
    <n v="6083.3333333333303"/>
    <n v="21900"/>
  </r>
  <r>
    <x v="0"/>
    <x v="0"/>
    <x v="0"/>
    <x v="1"/>
    <x v="2"/>
    <s v="EE_Small"/>
    <x v="5"/>
    <x v="5"/>
    <x v="4"/>
    <x v="2"/>
    <n v="100"/>
    <n v="6083.3333333333303"/>
    <n v="21900"/>
  </r>
  <r>
    <x v="0"/>
    <x v="0"/>
    <x v="0"/>
    <x v="1"/>
    <x v="2"/>
    <s v="EE_Small"/>
    <x v="5"/>
    <x v="5"/>
    <x v="4"/>
    <x v="3"/>
    <n v="100"/>
    <n v="6083.3333333333303"/>
    <n v="21900"/>
  </r>
  <r>
    <x v="0"/>
    <x v="0"/>
    <x v="0"/>
    <x v="1"/>
    <x v="2"/>
    <s v="EE_Small"/>
    <x v="5"/>
    <x v="5"/>
    <x v="4"/>
    <x v="4"/>
    <n v="100"/>
    <n v="6083.3333333333303"/>
    <n v="21900"/>
  </r>
  <r>
    <x v="0"/>
    <x v="0"/>
    <x v="0"/>
    <x v="1"/>
    <x v="2"/>
    <s v="EE_Small"/>
    <x v="5"/>
    <x v="5"/>
    <x v="4"/>
    <x v="5"/>
    <n v="99.974093090062297"/>
    <n v="6081.7573296454602"/>
    <n v="21894.326386723598"/>
  </r>
  <r>
    <x v="0"/>
    <x v="0"/>
    <x v="0"/>
    <x v="1"/>
    <x v="2"/>
    <s v="EE_Small"/>
    <x v="5"/>
    <x v="5"/>
    <x v="4"/>
    <x v="6"/>
    <n v="97.820119316204995"/>
    <n v="5950.72392506913"/>
    <n v="21422.6061302489"/>
  </r>
  <r>
    <x v="0"/>
    <x v="0"/>
    <x v="0"/>
    <x v="1"/>
    <x v="2"/>
    <s v="EE_Small"/>
    <x v="5"/>
    <x v="5"/>
    <x v="4"/>
    <x v="7"/>
    <n v="95.554733105769401"/>
    <n v="5812.91293060097"/>
    <n v="20926.486550163499"/>
  </r>
  <r>
    <x v="0"/>
    <x v="0"/>
    <x v="0"/>
    <x v="1"/>
    <x v="2"/>
    <s v="EE_Small"/>
    <x v="5"/>
    <x v="5"/>
    <x v="4"/>
    <x v="8"/>
    <n v="93.734996641648493"/>
    <n v="5702.2122957002803"/>
    <n v="20527.964264521001"/>
  </r>
  <r>
    <x v="0"/>
    <x v="0"/>
    <x v="0"/>
    <x v="1"/>
    <x v="2"/>
    <s v="EE_Small"/>
    <x v="5"/>
    <x v="5"/>
    <x v="4"/>
    <x v="9"/>
    <n v="92.769422191298304"/>
    <n v="5643.4731833039796"/>
    <n v="20316.503459894298"/>
  </r>
  <r>
    <x v="0"/>
    <x v="0"/>
    <x v="0"/>
    <x v="1"/>
    <x v="2"/>
    <s v="EE_Small"/>
    <x v="5"/>
    <x v="5"/>
    <x v="4"/>
    <x v="10"/>
    <n v="92.435184881561895"/>
    <n v="5623.14041362835"/>
    <n v="20243.305489062099"/>
  </r>
  <r>
    <x v="0"/>
    <x v="0"/>
    <x v="0"/>
    <x v="1"/>
    <x v="2"/>
    <s v="EE_Small"/>
    <x v="5"/>
    <x v="5"/>
    <x v="4"/>
    <x v="11"/>
    <n v="92.360909923842797"/>
    <n v="5618.6220203671101"/>
    <n v="20227.039273321599"/>
  </r>
  <r>
    <x v="0"/>
    <x v="0"/>
    <x v="0"/>
    <x v="1"/>
    <x v="2"/>
    <s v="EE_Small"/>
    <x v="5"/>
    <x v="5"/>
    <x v="5"/>
    <x v="0"/>
    <n v="100"/>
    <n v="6083.3333333333303"/>
    <n v="21900"/>
  </r>
  <r>
    <x v="0"/>
    <x v="0"/>
    <x v="0"/>
    <x v="1"/>
    <x v="2"/>
    <s v="EE_Small"/>
    <x v="5"/>
    <x v="5"/>
    <x v="5"/>
    <x v="1"/>
    <n v="100"/>
    <n v="6083.3333333333303"/>
    <n v="21900"/>
  </r>
  <r>
    <x v="0"/>
    <x v="0"/>
    <x v="0"/>
    <x v="1"/>
    <x v="2"/>
    <s v="EE_Small"/>
    <x v="5"/>
    <x v="5"/>
    <x v="5"/>
    <x v="2"/>
    <n v="100"/>
    <n v="6083.3333333333303"/>
    <n v="21900"/>
  </r>
  <r>
    <x v="0"/>
    <x v="0"/>
    <x v="0"/>
    <x v="1"/>
    <x v="2"/>
    <s v="EE_Small"/>
    <x v="5"/>
    <x v="5"/>
    <x v="5"/>
    <x v="3"/>
    <n v="100"/>
    <n v="6083.3333333333303"/>
    <n v="21900"/>
  </r>
  <r>
    <x v="0"/>
    <x v="0"/>
    <x v="0"/>
    <x v="1"/>
    <x v="2"/>
    <s v="EE_Small"/>
    <x v="5"/>
    <x v="5"/>
    <x v="5"/>
    <x v="4"/>
    <n v="100"/>
    <n v="6083.3333333333303"/>
    <n v="21900"/>
  </r>
  <r>
    <x v="0"/>
    <x v="0"/>
    <x v="0"/>
    <x v="1"/>
    <x v="2"/>
    <s v="EE_Small"/>
    <x v="5"/>
    <x v="5"/>
    <x v="5"/>
    <x v="5"/>
    <n v="100"/>
    <n v="6083.3333333333303"/>
    <n v="21900"/>
  </r>
  <r>
    <x v="0"/>
    <x v="0"/>
    <x v="0"/>
    <x v="1"/>
    <x v="2"/>
    <s v="EE_Small"/>
    <x v="5"/>
    <x v="5"/>
    <x v="5"/>
    <x v="6"/>
    <n v="100"/>
    <n v="6083.3333333333303"/>
    <n v="21900"/>
  </r>
  <r>
    <x v="0"/>
    <x v="0"/>
    <x v="0"/>
    <x v="1"/>
    <x v="2"/>
    <s v="EE_Small"/>
    <x v="5"/>
    <x v="5"/>
    <x v="5"/>
    <x v="7"/>
    <n v="100"/>
    <n v="6083.3333333333303"/>
    <n v="21900"/>
  </r>
  <r>
    <x v="0"/>
    <x v="0"/>
    <x v="0"/>
    <x v="1"/>
    <x v="2"/>
    <s v="EE_Small"/>
    <x v="5"/>
    <x v="5"/>
    <x v="5"/>
    <x v="8"/>
    <n v="100"/>
    <n v="6083.3333333333303"/>
    <n v="21900"/>
  </r>
  <r>
    <x v="0"/>
    <x v="0"/>
    <x v="0"/>
    <x v="1"/>
    <x v="2"/>
    <s v="EE_Small"/>
    <x v="5"/>
    <x v="5"/>
    <x v="5"/>
    <x v="9"/>
    <n v="100"/>
    <n v="6083.3333333333303"/>
    <n v="21900"/>
  </r>
  <r>
    <x v="0"/>
    <x v="0"/>
    <x v="0"/>
    <x v="1"/>
    <x v="2"/>
    <s v="EE_Small"/>
    <x v="5"/>
    <x v="5"/>
    <x v="5"/>
    <x v="10"/>
    <n v="100"/>
    <n v="6083.3333333333303"/>
    <n v="21900"/>
  </r>
  <r>
    <x v="0"/>
    <x v="0"/>
    <x v="0"/>
    <x v="1"/>
    <x v="2"/>
    <s v="EE_Small"/>
    <x v="5"/>
    <x v="5"/>
    <x v="5"/>
    <x v="11"/>
    <n v="100"/>
    <n v="6083.3333333333303"/>
    <n v="21900"/>
  </r>
  <r>
    <x v="0"/>
    <x v="0"/>
    <x v="0"/>
    <x v="1"/>
    <x v="2"/>
    <s v="EE_Small"/>
    <x v="5"/>
    <x v="5"/>
    <x v="6"/>
    <x v="0"/>
    <n v="92.138085050685206"/>
    <n v="5605.0668405833503"/>
    <n v="20178.240626100102"/>
  </r>
  <r>
    <x v="0"/>
    <x v="0"/>
    <x v="0"/>
    <x v="1"/>
    <x v="2"/>
    <s v="EE_Small"/>
    <x v="5"/>
    <x v="5"/>
    <x v="6"/>
    <x v="1"/>
    <n v="92.026672614106403"/>
    <n v="5598.2892506914704"/>
    <n v="20153.841302489302"/>
  </r>
  <r>
    <x v="0"/>
    <x v="0"/>
    <x v="0"/>
    <x v="1"/>
    <x v="2"/>
    <s v="EE_Small"/>
    <x v="5"/>
    <x v="5"/>
    <x v="6"/>
    <x v="2"/>
    <n v="91.766710262089006"/>
    <n v="5582.4748742770798"/>
    <n v="20096.909547397499"/>
  </r>
  <r>
    <x v="0"/>
    <x v="0"/>
    <x v="0"/>
    <x v="1"/>
    <x v="2"/>
    <s v="EE_Small"/>
    <x v="5"/>
    <x v="5"/>
    <x v="6"/>
    <x v="3"/>
    <n v="91.395335473493304"/>
    <n v="5559.8829079708403"/>
    <n v="20015.578468694999"/>
  </r>
  <r>
    <x v="0"/>
    <x v="0"/>
    <x v="0"/>
    <x v="1"/>
    <x v="2"/>
    <s v="EE_Small"/>
    <x v="5"/>
    <x v="5"/>
    <x v="6"/>
    <x v="4"/>
    <n v="90.949685727177993"/>
    <n v="5532.7725484033299"/>
    <n v="19917.981174252"/>
  </r>
  <r>
    <x v="0"/>
    <x v="0"/>
    <x v="0"/>
    <x v="1"/>
    <x v="2"/>
    <s v="EE_Small"/>
    <x v="5"/>
    <x v="5"/>
    <x v="6"/>
    <x v="5"/>
    <n v="90.541173459721904"/>
    <n v="5507.9213854664204"/>
    <n v="19828.516987679101"/>
  </r>
  <r>
    <x v="0"/>
    <x v="0"/>
    <x v="0"/>
    <x v="1"/>
    <x v="2"/>
    <s v="EE_Small"/>
    <x v="5"/>
    <x v="5"/>
    <x v="6"/>
    <x v="6"/>
    <n v="89.946973797968596"/>
    <n v="5471.7742393764302"/>
    <n v="19698.387261755099"/>
  </r>
  <r>
    <x v="0"/>
    <x v="0"/>
    <x v="0"/>
    <x v="1"/>
    <x v="2"/>
    <s v="EE_Small"/>
    <x v="5"/>
    <x v="5"/>
    <x v="6"/>
    <x v="7"/>
    <n v="89.389911615074496"/>
    <n v="5437.8862899170299"/>
    <n v="19576.390643701299"/>
  </r>
  <r>
    <x v="0"/>
    <x v="0"/>
    <x v="0"/>
    <x v="1"/>
    <x v="2"/>
    <s v="EE_Small"/>
    <x v="5"/>
    <x v="5"/>
    <x v="6"/>
    <x v="8"/>
    <n v="88.795711953320705"/>
    <n v="5401.7391438270097"/>
    <n v="19446.260917777199"/>
  </r>
  <r>
    <x v="0"/>
    <x v="0"/>
    <x v="0"/>
    <x v="1"/>
    <x v="2"/>
    <s v="EE_Small"/>
    <x v="5"/>
    <x v="5"/>
    <x v="6"/>
    <x v="9"/>
    <n v="88.238649770426605"/>
    <n v="5367.8511943676203"/>
    <n v="19324.2642997234"/>
  </r>
  <r>
    <x v="0"/>
    <x v="0"/>
    <x v="0"/>
    <x v="1"/>
    <x v="2"/>
    <s v="EE_Small"/>
    <x v="5"/>
    <x v="5"/>
    <x v="6"/>
    <x v="10"/>
    <n v="87.718725066392295"/>
    <n v="5336.22244153886"/>
    <n v="19210.400789539901"/>
  </r>
  <r>
    <x v="0"/>
    <x v="0"/>
    <x v="0"/>
    <x v="1"/>
    <x v="2"/>
    <s v="EE_Small"/>
    <x v="5"/>
    <x v="5"/>
    <x v="6"/>
    <x v="11"/>
    <n v="87.347350277795996"/>
    <n v="5313.6304752325896"/>
    <n v="19129.069710837299"/>
  </r>
  <r>
    <x v="0"/>
    <x v="0"/>
    <x v="0"/>
    <x v="1"/>
    <x v="2"/>
    <s v="EE_Small"/>
    <x v="5"/>
    <x v="5"/>
    <x v="7"/>
    <x v="0"/>
    <n v="86.641738179463303"/>
    <n v="5270.7057392506804"/>
    <n v="18974.540661302501"/>
  </r>
  <r>
    <x v="0"/>
    <x v="0"/>
    <x v="0"/>
    <x v="1"/>
    <x v="2"/>
    <s v="EE_Small"/>
    <x v="5"/>
    <x v="5"/>
    <x v="7"/>
    <x v="1"/>
    <n v="85.898988602271402"/>
    <n v="5225.5218066381804"/>
    <n v="18811.878503897398"/>
  </r>
  <r>
    <x v="0"/>
    <x v="0"/>
    <x v="0"/>
    <x v="1"/>
    <x v="2"/>
    <s v="EE_Small"/>
    <x v="5"/>
    <x v="5"/>
    <x v="7"/>
    <x v="2"/>
    <n v="85.044826588500101"/>
    <n v="5173.5602841337504"/>
    <n v="18624.8170228815"/>
  </r>
  <r>
    <x v="0"/>
    <x v="0"/>
    <x v="0"/>
    <x v="1"/>
    <x v="2"/>
    <s v="EE_Small"/>
    <x v="5"/>
    <x v="5"/>
    <x v="7"/>
    <x v="3"/>
    <n v="84.042114659290704"/>
    <n v="5112.5619751068498"/>
    <n v="18405.223110384701"/>
  </r>
  <r>
    <x v="0"/>
    <x v="0"/>
    <x v="0"/>
    <x v="1"/>
    <x v="2"/>
    <s v="EE_Small"/>
    <x v="5"/>
    <x v="5"/>
    <x v="7"/>
    <x v="4"/>
    <n v="82.816577856923701"/>
    <n v="5038.0084862961903"/>
    <n v="18136.830550666298"/>
  </r>
  <r>
    <x v="0"/>
    <x v="0"/>
    <x v="0"/>
    <x v="1"/>
    <x v="2"/>
    <s v="EE_Small"/>
    <x v="5"/>
    <x v="5"/>
    <x v="7"/>
    <x v="5"/>
    <n v="81.516766096837699"/>
    <n v="4958.93660422429"/>
    <n v="17852.1717752074"/>
  </r>
  <r>
    <x v="0"/>
    <x v="0"/>
    <x v="0"/>
    <x v="1"/>
    <x v="2"/>
    <s v="EE_Small"/>
    <x v="5"/>
    <x v="5"/>
    <x v="7"/>
    <x v="6"/>
    <n v="80.105541900172796"/>
    <n v="4873.0871322605099"/>
    <n v="17543.1136761378"/>
  </r>
  <r>
    <x v="0"/>
    <x v="0"/>
    <x v="0"/>
    <x v="1"/>
    <x v="2"/>
    <s v="EE_Small"/>
    <x v="5"/>
    <x v="5"/>
    <x v="7"/>
    <x v="7"/>
    <n v="78.582905266928606"/>
    <n v="4780.4600704048198"/>
    <n v="17209.6562534574"/>
  </r>
  <r>
    <x v="0"/>
    <x v="0"/>
    <x v="0"/>
    <x v="1"/>
    <x v="2"/>
    <s v="EE_Small"/>
    <x v="5"/>
    <x v="5"/>
    <x v="7"/>
    <x v="8"/>
    <n v="77.2459560279828"/>
    <n v="4699.1289917022896"/>
    <n v="16916.864370128202"/>
  </r>
  <r>
    <x v="0"/>
    <x v="0"/>
    <x v="0"/>
    <x v="1"/>
    <x v="2"/>
    <s v="EE_Small"/>
    <x v="5"/>
    <x v="5"/>
    <x v="7"/>
    <x v="9"/>
    <n v="76.168969141054404"/>
    <n v="4633.6122894141399"/>
    <n v="16681.0042418909"/>
  </r>
  <r>
    <x v="0"/>
    <x v="0"/>
    <x v="0"/>
    <x v="1"/>
    <x v="2"/>
    <s v="EE_Small"/>
    <x v="5"/>
    <x v="5"/>
    <x v="7"/>
    <x v="10"/>
    <n v="75.314807127283004"/>
    <n v="4581.65076690972"/>
    <n v="16493.942760875001"/>
  </r>
  <r>
    <x v="0"/>
    <x v="0"/>
    <x v="0"/>
    <x v="1"/>
    <x v="2"/>
    <s v="EE_Small"/>
    <x v="5"/>
    <x v="5"/>
    <x v="7"/>
    <x v="11"/>
    <n v="74.683469986669905"/>
    <n v="4543.2444241890898"/>
    <n v="16355.679927080701"/>
  </r>
  <r>
    <x v="0"/>
    <x v="0"/>
    <x v="0"/>
    <x v="1"/>
    <x v="2"/>
    <s v="EE_Small"/>
    <x v="5"/>
    <x v="5"/>
    <x v="8"/>
    <x v="0"/>
    <n v="77.171681070263702"/>
    <n v="4694.6105984410397"/>
    <n v="16900.598154387801"/>
  </r>
  <r>
    <x v="0"/>
    <x v="0"/>
    <x v="0"/>
    <x v="1"/>
    <x v="2"/>
    <s v="EE_Small"/>
    <x v="5"/>
    <x v="5"/>
    <x v="8"/>
    <x v="1"/>
    <n v="77.840155689736605"/>
    <n v="4735.2761377923098"/>
    <n v="17046.994096052302"/>
  </r>
  <r>
    <x v="0"/>
    <x v="0"/>
    <x v="0"/>
    <x v="1"/>
    <x v="2"/>
    <s v="EE_Small"/>
    <x v="5"/>
    <x v="5"/>
    <x v="8"/>
    <x v="2"/>
    <n v="78.397217872630705"/>
    <n v="4769.1640872517"/>
    <n v="17168.990714106101"/>
  </r>
  <r>
    <x v="0"/>
    <x v="0"/>
    <x v="0"/>
    <x v="1"/>
    <x v="2"/>
    <s v="EE_Small"/>
    <x v="5"/>
    <x v="5"/>
    <x v="8"/>
    <x v="3"/>
    <n v="79.028555013243903"/>
    <n v="4807.5704299723402"/>
    <n v="17307.2535479004"/>
  </r>
  <r>
    <x v="0"/>
    <x v="0"/>
    <x v="0"/>
    <x v="1"/>
    <x v="2"/>
    <s v="EE_Small"/>
    <x v="5"/>
    <x v="5"/>
    <x v="8"/>
    <x v="4"/>
    <n v="79.511342238418905"/>
    <n v="4836.9399861704796"/>
    <n v="17412.9839502137"/>
  </r>
  <r>
    <x v="0"/>
    <x v="0"/>
    <x v="0"/>
    <x v="1"/>
    <x v="2"/>
    <s v="EE_Small"/>
    <x v="5"/>
    <x v="5"/>
    <x v="8"/>
    <x v="5"/>
    <n v="79.771304590435804"/>
    <n v="4852.7543625848402"/>
    <n v="17469.9157053054"/>
  </r>
  <r>
    <x v="0"/>
    <x v="0"/>
    <x v="0"/>
    <x v="1"/>
    <x v="2"/>
    <s v="EE_Small"/>
    <x v="5"/>
    <x v="5"/>
    <x v="8"/>
    <x v="6"/>
    <n v="79.697029632716806"/>
    <n v="4848.2359693236003"/>
    <n v="17453.649489564999"/>
  </r>
  <r>
    <x v="0"/>
    <x v="0"/>
    <x v="0"/>
    <x v="1"/>
    <x v="2"/>
    <s v="EE_Small"/>
    <x v="5"/>
    <x v="5"/>
    <x v="8"/>
    <x v="7"/>
    <n v="79.288517365261299"/>
    <n v="4823.3848063867299"/>
    <n v="17364.185302992199"/>
  </r>
  <r>
    <x v="0"/>
    <x v="0"/>
    <x v="0"/>
    <x v="1"/>
    <x v="2"/>
    <s v="EE_Small"/>
    <x v="5"/>
    <x v="5"/>
    <x v="8"/>
    <x v="8"/>
    <n v="78.620042745788396"/>
    <n v="4782.7192670354598"/>
    <n v="17217.789361327701"/>
  </r>
  <r>
    <x v="0"/>
    <x v="0"/>
    <x v="0"/>
    <x v="1"/>
    <x v="2"/>
    <s v="EE_Small"/>
    <x v="5"/>
    <x v="5"/>
    <x v="8"/>
    <x v="9"/>
    <n v="78.137255520613294"/>
    <n v="4753.3497108373103"/>
    <n v="17112.058959014299"/>
  </r>
  <r>
    <x v="0"/>
    <x v="0"/>
    <x v="0"/>
    <x v="1"/>
    <x v="2"/>
    <s v="EE_Small"/>
    <x v="5"/>
    <x v="5"/>
    <x v="8"/>
    <x v="10"/>
    <n v="77.505918380000196"/>
    <n v="4714.9433681166802"/>
    <n v="16973.79612522"/>
  </r>
  <r>
    <x v="0"/>
    <x v="0"/>
    <x v="0"/>
    <x v="1"/>
    <x v="2"/>
    <s v="EE_Small"/>
    <x v="5"/>
    <x v="5"/>
    <x v="8"/>
    <x v="11"/>
    <n v="76.911718718246306"/>
    <n v="4678.79622202665"/>
    <n v="16843.6663992959"/>
  </r>
  <r>
    <x v="0"/>
    <x v="0"/>
    <x v="0"/>
    <x v="1"/>
    <x v="2"/>
    <s v="EE_Small"/>
    <x v="5"/>
    <x v="5"/>
    <x v="9"/>
    <x v="0"/>
    <n v="72.900871001408802"/>
    <n v="4434.8029859190401"/>
    <n v="15965.2907493085"/>
  </r>
  <r>
    <x v="0"/>
    <x v="0"/>
    <x v="0"/>
    <x v="1"/>
    <x v="2"/>
    <s v="EE_Small"/>
    <x v="5"/>
    <x v="5"/>
    <x v="9"/>
    <x v="1"/>
    <n v="73.420795705443098"/>
    <n v="4466.4317387477904"/>
    <n v="16079.154259491999"/>
  </r>
  <r>
    <x v="0"/>
    <x v="0"/>
    <x v="0"/>
    <x v="1"/>
    <x v="2"/>
    <s v="EE_Small"/>
    <x v="5"/>
    <x v="5"/>
    <x v="9"/>
    <x v="2"/>
    <n v="73.680758057460594"/>
    <n v="4482.2461151621801"/>
    <n v="16136.0860145839"/>
  </r>
  <r>
    <x v="0"/>
    <x v="0"/>
    <x v="0"/>
    <x v="1"/>
    <x v="2"/>
    <s v="EE_Small"/>
    <x v="5"/>
    <x v="5"/>
    <x v="9"/>
    <x v="3"/>
    <n v="73.569345620881705"/>
    <n v="4475.4685252703102"/>
    <n v="16111.6866909731"/>
  </r>
  <r>
    <x v="0"/>
    <x v="0"/>
    <x v="0"/>
    <x v="1"/>
    <x v="2"/>
    <s v="EE_Small"/>
    <x v="5"/>
    <x v="5"/>
    <x v="9"/>
    <x v="4"/>
    <n v="73.235108311145297"/>
    <n v="4455.1357555946697"/>
    <n v="16038.4887201408"/>
  </r>
  <r>
    <x v="0"/>
    <x v="0"/>
    <x v="0"/>
    <x v="1"/>
    <x v="2"/>
    <s v="EE_Small"/>
    <x v="5"/>
    <x v="5"/>
    <x v="9"/>
    <x v="5"/>
    <n v="72.752321085970195"/>
    <n v="4425.7661993965203"/>
    <n v="15932.7583178275"/>
  </r>
  <r>
    <x v="0"/>
    <x v="0"/>
    <x v="0"/>
    <x v="1"/>
    <x v="2"/>
    <s v="EE_Small"/>
    <x v="5"/>
    <x v="5"/>
    <x v="9"/>
    <x v="6"/>
    <n v="72.009571508778293"/>
    <n v="4380.5822667840102"/>
    <n v="15770.096160422399"/>
  </r>
  <r>
    <x v="0"/>
    <x v="0"/>
    <x v="0"/>
    <x v="1"/>
    <x v="2"/>
    <s v="EE_Small"/>
    <x v="5"/>
    <x v="5"/>
    <x v="9"/>
    <x v="7"/>
    <n v="71.118272016147699"/>
    <n v="4326.3615476489904"/>
    <n v="15574.9015715364"/>
  </r>
  <r>
    <x v="0"/>
    <x v="0"/>
    <x v="0"/>
    <x v="1"/>
    <x v="2"/>
    <s v="EE_Small"/>
    <x v="5"/>
    <x v="5"/>
    <x v="9"/>
    <x v="8"/>
    <n v="70.449797396674796"/>
    <n v="4285.6960082977203"/>
    <n v="15428.505629871799"/>
  </r>
  <r>
    <x v="0"/>
    <x v="0"/>
    <x v="0"/>
    <x v="1"/>
    <x v="2"/>
    <s v="EE_Small"/>
    <x v="5"/>
    <x v="5"/>
    <x v="9"/>
    <x v="9"/>
    <n v="69.967010171499794"/>
    <n v="4256.3264520995699"/>
    <n v="15322.775227558401"/>
  </r>
  <r>
    <x v="0"/>
    <x v="0"/>
    <x v="0"/>
    <x v="1"/>
    <x v="2"/>
    <s v="EE_Small"/>
    <x v="5"/>
    <x v="5"/>
    <x v="9"/>
    <x v="10"/>
    <n v="69.818460256061101"/>
    <n v="4247.2896655770501"/>
    <n v="15290.2427960774"/>
  </r>
  <r>
    <x v="0"/>
    <x v="0"/>
    <x v="0"/>
    <x v="1"/>
    <x v="2"/>
    <s v="EE_Small"/>
    <x v="5"/>
    <x v="5"/>
    <x v="9"/>
    <x v="11"/>
    <n v="70.264110002376398"/>
    <n v="4274.4000251445595"/>
    <n v="15387.8400905204"/>
  </r>
  <r>
    <x v="0"/>
    <x v="0"/>
    <x v="0"/>
    <x v="1"/>
    <x v="2"/>
    <s v="EE_Small"/>
    <x v="5"/>
    <x v="5"/>
    <x v="10"/>
    <x v="0"/>
    <n v="64.767763131154496"/>
    <n v="3940.0389238119001"/>
    <n v="14184.140125722801"/>
  </r>
  <r>
    <x v="0"/>
    <x v="0"/>
    <x v="0"/>
    <x v="1"/>
    <x v="2"/>
    <s v="EE_Small"/>
    <x v="5"/>
    <x v="5"/>
    <x v="10"/>
    <x v="1"/>
    <n v="64.730625652295302"/>
    <n v="3937.7797271813001"/>
    <n v="14176.0070178527"/>
  </r>
  <r>
    <x v="0"/>
    <x v="0"/>
    <x v="0"/>
    <x v="1"/>
    <x v="2"/>
    <s v="EE_Small"/>
    <x v="5"/>
    <x v="5"/>
    <x v="10"/>
    <x v="2"/>
    <n v="64.470663300277806"/>
    <n v="3921.9653507669"/>
    <n v="14119.0752627608"/>
  </r>
  <r>
    <x v="0"/>
    <x v="0"/>
    <x v="0"/>
    <x v="1"/>
    <x v="2"/>
    <s v="EE_Small"/>
    <x v="5"/>
    <x v="5"/>
    <x v="10"/>
    <x v="3"/>
    <n v="64.210700948260396"/>
    <n v="3906.1509743525098"/>
    <n v="14062.143507669"/>
  </r>
  <r>
    <x v="0"/>
    <x v="0"/>
    <x v="0"/>
    <x v="1"/>
    <x v="2"/>
    <s v="EE_Small"/>
    <x v="5"/>
    <x v="5"/>
    <x v="10"/>
    <x v="4"/>
    <n v="63.765051201945099"/>
    <n v="3879.0406147849999"/>
    <n v="13964.546213226"/>
  </r>
  <r>
    <x v="0"/>
    <x v="0"/>
    <x v="0"/>
    <x v="1"/>
    <x v="2"/>
    <s v="EE_Small"/>
    <x v="5"/>
    <x v="5"/>
    <x v="10"/>
    <x v="5"/>
    <n v="63.096576582472203"/>
    <n v="3838.3750754337302"/>
    <n v="13818.150271561401"/>
  </r>
  <r>
    <x v="0"/>
    <x v="0"/>
    <x v="0"/>
    <x v="1"/>
    <x v="2"/>
    <s v="EE_Small"/>
    <x v="5"/>
    <x v="5"/>
    <x v="10"/>
    <x v="6"/>
    <n v="62.316689526420497"/>
    <n v="3790.9319461905802"/>
    <n v="13647.3550062861"/>
  </r>
  <r>
    <x v="0"/>
    <x v="0"/>
    <x v="0"/>
    <x v="1"/>
    <x v="2"/>
    <s v="EE_Small"/>
    <x v="5"/>
    <x v="5"/>
    <x v="10"/>
    <x v="7"/>
    <n v="61.573939949228603"/>
    <n v="3745.7480135780702"/>
    <n v="13484.692848881101"/>
  </r>
  <r>
    <x v="0"/>
    <x v="0"/>
    <x v="0"/>
    <x v="1"/>
    <x v="2"/>
    <s v="EE_Small"/>
    <x v="5"/>
    <x v="5"/>
    <x v="10"/>
    <x v="8"/>
    <n v="60.794052893176797"/>
    <n v="3698.3048843349202"/>
    <n v="13313.8975836057"/>
  </r>
  <r>
    <x v="0"/>
    <x v="0"/>
    <x v="0"/>
    <x v="1"/>
    <x v="2"/>
    <s v="EE_Small"/>
    <x v="5"/>
    <x v="5"/>
    <x v="10"/>
    <x v="9"/>
    <n v="60.051303315984903"/>
    <n v="3653.1209517224102"/>
    <n v="13151.235426200699"/>
  </r>
  <r>
    <x v="0"/>
    <x v="0"/>
    <x v="0"/>
    <x v="1"/>
    <x v="2"/>
    <s v="EE_Small"/>
    <x v="5"/>
    <x v="5"/>
    <x v="10"/>
    <x v="10"/>
    <n v="59.679928527388697"/>
    <n v="3630.5289854161401"/>
    <n v="13069.904347498101"/>
  </r>
  <r>
    <x v="0"/>
    <x v="0"/>
    <x v="0"/>
    <x v="1"/>
    <x v="2"/>
    <s v="EE_Small"/>
    <x v="5"/>
    <x v="5"/>
    <x v="10"/>
    <x v="11"/>
    <n v="59.9398908794061"/>
    <n v="3646.3433618305398"/>
    <n v="13126.836102589899"/>
  </r>
  <r>
    <x v="0"/>
    <x v="0"/>
    <x v="0"/>
    <x v="1"/>
    <x v="2"/>
    <s v="EE_Small"/>
    <x v="5"/>
    <x v="5"/>
    <x v="11"/>
    <x v="0"/>
    <n v="63.913601117383799"/>
    <n v="3888.0774013075102"/>
    <n v="13997.078644707"/>
  </r>
  <r>
    <x v="0"/>
    <x v="0"/>
    <x v="0"/>
    <x v="1"/>
    <x v="2"/>
    <s v="EE_Small"/>
    <x v="5"/>
    <x v="5"/>
    <x v="11"/>
    <x v="1"/>
    <n v="64.619213215716499"/>
    <n v="3931.0021372894198"/>
    <n v="14151.6076942419"/>
  </r>
  <r>
    <x v="0"/>
    <x v="0"/>
    <x v="0"/>
    <x v="1"/>
    <x v="2"/>
    <s v="EE_Small"/>
    <x v="5"/>
    <x v="5"/>
    <x v="11"/>
    <x v="2"/>
    <n v="65.102000440891501"/>
    <n v="3960.3716934875702"/>
    <n v="14257.338096555201"/>
  </r>
  <r>
    <x v="0"/>
    <x v="0"/>
    <x v="0"/>
    <x v="1"/>
    <x v="2"/>
    <s v="EE_Small"/>
    <x v="5"/>
    <x v="5"/>
    <x v="11"/>
    <x v="3"/>
    <n v="65.250550356329597"/>
    <n v="3969.40848001005"/>
    <n v="14289.870528036199"/>
  </r>
  <r>
    <x v="0"/>
    <x v="0"/>
    <x v="0"/>
    <x v="1"/>
    <x v="2"/>
    <s v="EE_Small"/>
    <x v="5"/>
    <x v="5"/>
    <x v="11"/>
    <x v="4"/>
    <n v="65.027725483171906"/>
    <n v="3955.8533002262898"/>
    <n v="14241.071880814699"/>
  </r>
  <r>
    <x v="0"/>
    <x v="0"/>
    <x v="0"/>
    <x v="1"/>
    <x v="2"/>
    <s v="EE_Small"/>
    <x v="5"/>
    <x v="5"/>
    <x v="11"/>
    <x v="5"/>
    <n v="64.396388342558794"/>
    <n v="3917.4469575056601"/>
    <n v="14102.809047020401"/>
  </r>
  <r>
    <x v="0"/>
    <x v="0"/>
    <x v="0"/>
    <x v="1"/>
    <x v="2"/>
    <s v="EE_Small"/>
    <x v="5"/>
    <x v="5"/>
    <x v="11"/>
    <x v="6"/>
    <n v="63.207989019050999"/>
    <n v="3845.1526653256001"/>
    <n v="13842.5495951722"/>
  </r>
  <r>
    <x v="0"/>
    <x v="0"/>
    <x v="0"/>
    <x v="1"/>
    <x v="2"/>
    <s v="EE_Small"/>
    <x v="5"/>
    <x v="5"/>
    <x v="11"/>
    <x v="7"/>
    <n v="61.685352385807398"/>
    <n v="3752.5256034699501"/>
    <n v="13509.092172491801"/>
  </r>
  <r>
    <x v="0"/>
    <x v="0"/>
    <x v="0"/>
    <x v="1"/>
    <x v="2"/>
    <s v="EE_Small"/>
    <x v="5"/>
    <x v="5"/>
    <x v="11"/>
    <x v="8"/>
    <n v="60.274128189142502"/>
    <n v="3666.6761315061699"/>
    <n v="13200.034073422201"/>
  </r>
  <r>
    <x v="0"/>
    <x v="0"/>
    <x v="0"/>
    <x v="1"/>
    <x v="2"/>
    <s v="EE_Small"/>
    <x v="5"/>
    <x v="5"/>
    <x v="11"/>
    <x v="9"/>
    <n v="58.900041471336898"/>
    <n v="3583.0858561730001"/>
    <n v="12899.1090822228"/>
  </r>
  <r>
    <x v="0"/>
    <x v="0"/>
    <x v="0"/>
    <x v="1"/>
    <x v="2"/>
    <s v="EE_Small"/>
    <x v="5"/>
    <x v="5"/>
    <x v="11"/>
    <x v="10"/>
    <n v="57.674504668969902"/>
    <n v="3508.5323673623302"/>
    <n v="12630.716522504399"/>
  </r>
  <r>
    <x v="0"/>
    <x v="0"/>
    <x v="0"/>
    <x v="1"/>
    <x v="2"/>
    <s v="EE_Small"/>
    <x v="5"/>
    <x v="5"/>
    <x v="11"/>
    <x v="11"/>
    <n v="56.746067697479702"/>
    <n v="3452.0524515966799"/>
    <n v="12427.388825748099"/>
  </r>
  <r>
    <x v="0"/>
    <x v="0"/>
    <x v="0"/>
    <x v="1"/>
    <x v="2"/>
    <s v="EE_Small"/>
    <x v="6"/>
    <x v="8"/>
    <x v="4"/>
    <x v="0"/>
    <n v="4.8391028206711004"/>
    <n v="294.37875492415901"/>
    <n v="1059.7635177269699"/>
  </r>
  <r>
    <x v="0"/>
    <x v="0"/>
    <x v="0"/>
    <x v="1"/>
    <x v="2"/>
    <s v="EE_Small"/>
    <x v="6"/>
    <x v="8"/>
    <x v="4"/>
    <x v="1"/>
    <n v="4.87624029953031"/>
    <n v="296.63795155475998"/>
    <n v="1067.89662559714"/>
  </r>
  <r>
    <x v="0"/>
    <x v="0"/>
    <x v="0"/>
    <x v="1"/>
    <x v="2"/>
    <s v="EE_Small"/>
    <x v="6"/>
    <x v="8"/>
    <x v="4"/>
    <x v="2"/>
    <n v="4.1706282011981797"/>
    <n v="253.71321557288999"/>
    <n v="913.36757606240201"/>
  </r>
  <r>
    <x v="0"/>
    <x v="0"/>
    <x v="0"/>
    <x v="1"/>
    <x v="2"/>
    <s v="EE_Small"/>
    <x v="6"/>
    <x v="8"/>
    <x v="4"/>
    <x v="3"/>
    <n v="2.94509139883117"/>
    <n v="179.15972676222901"/>
    <n v="644.97501634402602"/>
  </r>
  <r>
    <x v="0"/>
    <x v="0"/>
    <x v="0"/>
    <x v="1"/>
    <x v="2"/>
    <s v="EE_Small"/>
    <x v="6"/>
    <x v="8"/>
    <x v="4"/>
    <x v="4"/>
    <n v="1.6824171176043701"/>
    <n v="102.347041320933"/>
    <n v="368.44934875535802"/>
  </r>
  <r>
    <x v="0"/>
    <x v="0"/>
    <x v="0"/>
    <x v="1"/>
    <x v="2"/>
    <s v="EE_Small"/>
    <x v="6"/>
    <x v="8"/>
    <x v="5"/>
    <x v="0"/>
    <n v="27.027027027027"/>
    <n v="1644.14414414414"/>
    <n v="5918.9189189189201"/>
  </r>
  <r>
    <x v="0"/>
    <x v="0"/>
    <x v="0"/>
    <x v="1"/>
    <x v="2"/>
    <s v="EE_Small"/>
    <x v="6"/>
    <x v="8"/>
    <x v="5"/>
    <x v="1"/>
    <n v="27.027027027027"/>
    <n v="1644.14414414414"/>
    <n v="5918.9189189189201"/>
  </r>
  <r>
    <x v="0"/>
    <x v="0"/>
    <x v="0"/>
    <x v="1"/>
    <x v="2"/>
    <s v="EE_Small"/>
    <x v="6"/>
    <x v="8"/>
    <x v="5"/>
    <x v="2"/>
    <n v="27.027027027027"/>
    <n v="1644.14414414414"/>
    <n v="5918.9189189189201"/>
  </r>
  <r>
    <x v="0"/>
    <x v="0"/>
    <x v="0"/>
    <x v="1"/>
    <x v="2"/>
    <s v="EE_Small"/>
    <x v="6"/>
    <x v="8"/>
    <x v="5"/>
    <x v="3"/>
    <n v="27.027027027027"/>
    <n v="1644.14414414414"/>
    <n v="5918.9189189189201"/>
  </r>
  <r>
    <x v="0"/>
    <x v="0"/>
    <x v="0"/>
    <x v="1"/>
    <x v="2"/>
    <s v="EE_Small"/>
    <x v="6"/>
    <x v="8"/>
    <x v="5"/>
    <x v="4"/>
    <n v="27.027027027027"/>
    <n v="1644.14414414414"/>
    <n v="5918.9189189189201"/>
  </r>
  <r>
    <x v="0"/>
    <x v="0"/>
    <x v="0"/>
    <x v="1"/>
    <x v="2"/>
    <s v="EE_Small"/>
    <x v="6"/>
    <x v="8"/>
    <x v="5"/>
    <x v="5"/>
    <n v="27.027027027027"/>
    <n v="1644.14414414414"/>
    <n v="5918.9189189189201"/>
  </r>
  <r>
    <x v="0"/>
    <x v="0"/>
    <x v="0"/>
    <x v="1"/>
    <x v="2"/>
    <s v="EE_Small"/>
    <x v="6"/>
    <x v="8"/>
    <x v="5"/>
    <x v="6"/>
    <n v="26.415978038102601"/>
    <n v="1606.9719973179101"/>
    <n v="5785.0991903444801"/>
  </r>
  <r>
    <x v="0"/>
    <x v="0"/>
    <x v="0"/>
    <x v="1"/>
    <x v="2"/>
    <s v="EE_Small"/>
    <x v="6"/>
    <x v="8"/>
    <x v="5"/>
    <x v="7"/>
    <n v="22.8136425887207"/>
    <n v="1387.82992414718"/>
    <n v="4996.1877269298302"/>
  </r>
  <r>
    <x v="0"/>
    <x v="0"/>
    <x v="0"/>
    <x v="1"/>
    <x v="2"/>
    <s v="EE_Small"/>
    <x v="6"/>
    <x v="8"/>
    <x v="5"/>
    <x v="8"/>
    <n v="19.396994533637098"/>
    <n v="1179.9838341295899"/>
    <n v="4247.9418028665305"/>
  </r>
  <r>
    <x v="0"/>
    <x v="0"/>
    <x v="0"/>
    <x v="1"/>
    <x v="2"/>
    <s v="EE_Small"/>
    <x v="6"/>
    <x v="8"/>
    <x v="5"/>
    <x v="9"/>
    <n v="16.500271182587198"/>
    <n v="1003.76649694072"/>
    <n v="3613.55938898661"/>
  </r>
  <r>
    <x v="0"/>
    <x v="0"/>
    <x v="0"/>
    <x v="1"/>
    <x v="2"/>
    <s v="EE_Small"/>
    <x v="6"/>
    <x v="8"/>
    <x v="5"/>
    <x v="10"/>
    <n v="14.643397239607101"/>
    <n v="890.806665409434"/>
    <n v="3206.9039954739601"/>
  </r>
  <r>
    <x v="0"/>
    <x v="0"/>
    <x v="0"/>
    <x v="1"/>
    <x v="2"/>
    <s v="EE_Small"/>
    <x v="6"/>
    <x v="8"/>
    <x v="5"/>
    <x v="11"/>
    <n v="13.3807229583803"/>
    <n v="813.99397996813605"/>
    <n v="2930.3783278852902"/>
  </r>
  <r>
    <x v="0"/>
    <x v="0"/>
    <x v="0"/>
    <x v="1"/>
    <x v="2"/>
    <s v="EE_Small"/>
    <x v="6"/>
    <x v="9"/>
    <x v="5"/>
    <x v="0"/>
    <n v="8.8218706414159893"/>
    <n v="536.663797352806"/>
    <n v="1931.9896704701"/>
  </r>
  <r>
    <x v="0"/>
    <x v="0"/>
    <x v="0"/>
    <x v="1"/>
    <x v="2"/>
    <s v="EE_Small"/>
    <x v="6"/>
    <x v="9"/>
    <x v="5"/>
    <x v="1"/>
    <n v="8.8218706414159804"/>
    <n v="536.663797352806"/>
    <n v="1931.9896704701"/>
  </r>
  <r>
    <x v="0"/>
    <x v="0"/>
    <x v="0"/>
    <x v="1"/>
    <x v="2"/>
    <s v="EE_Small"/>
    <x v="6"/>
    <x v="9"/>
    <x v="5"/>
    <x v="2"/>
    <n v="8.6733207259773604"/>
    <n v="527.62701083029003"/>
    <n v="1899.45723898904"/>
  </r>
  <r>
    <x v="0"/>
    <x v="0"/>
    <x v="0"/>
    <x v="1"/>
    <x v="2"/>
    <s v="EE_Small"/>
    <x v="6"/>
    <x v="9"/>
    <x v="5"/>
    <x v="3"/>
    <n v="7.3735089658913502"/>
    <n v="448.55512875839003"/>
    <n v="1614.79846353021"/>
  </r>
  <r>
    <x v="0"/>
    <x v="0"/>
    <x v="0"/>
    <x v="1"/>
    <x v="2"/>
    <s v="EE_Small"/>
    <x v="6"/>
    <x v="9"/>
    <x v="5"/>
    <x v="4"/>
    <n v="5.5537725017704496"/>
    <n v="337.85449385770301"/>
    <n v="1216.27617788773"/>
  </r>
  <r>
    <x v="0"/>
    <x v="0"/>
    <x v="0"/>
    <x v="1"/>
    <x v="2"/>
    <s v="EE_Small"/>
    <x v="6"/>
    <x v="9"/>
    <x v="5"/>
    <x v="5"/>
    <n v="2.5456367141423502"/>
    <n v="154.85956677699301"/>
    <n v="557.494440397174"/>
  </r>
  <r>
    <x v="0"/>
    <x v="0"/>
    <x v="0"/>
    <x v="1"/>
    <x v="2"/>
    <s v="EE_Tallinn"/>
    <x v="3"/>
    <x v="10"/>
    <x v="0"/>
    <x v="0"/>
    <n v="127.209832341987"/>
    <n v="7738.59813413752"/>
    <n v="27858.953282895101"/>
  </r>
  <r>
    <x v="0"/>
    <x v="0"/>
    <x v="0"/>
    <x v="1"/>
    <x v="2"/>
    <s v="EE_Tallinn"/>
    <x v="3"/>
    <x v="10"/>
    <x v="0"/>
    <x v="1"/>
    <n v="127.11761717325901"/>
    <n v="7732.9883780399496"/>
    <n v="27838.758160943798"/>
  </r>
  <r>
    <x v="0"/>
    <x v="0"/>
    <x v="0"/>
    <x v="1"/>
    <x v="2"/>
    <s v="EE_Tallinn"/>
    <x v="3"/>
    <x v="10"/>
    <x v="0"/>
    <x v="2"/>
    <n v="127.209832341987"/>
    <n v="7738.59813413752"/>
    <n v="27858.953282895101"/>
  </r>
  <r>
    <x v="0"/>
    <x v="0"/>
    <x v="0"/>
    <x v="1"/>
    <x v="2"/>
    <s v="EE_Tallinn"/>
    <x v="3"/>
    <x v="10"/>
    <x v="0"/>
    <x v="3"/>
    <n v="127.302047510713"/>
    <n v="7744.2078902350604"/>
    <n v="27879.148404846201"/>
  </r>
  <r>
    <x v="0"/>
    <x v="0"/>
    <x v="0"/>
    <x v="1"/>
    <x v="2"/>
    <s v="EE_Tallinn"/>
    <x v="3"/>
    <x v="10"/>
    <x v="0"/>
    <x v="4"/>
    <n v="127.302047510713"/>
    <n v="7744.2078902350604"/>
    <n v="27879.148404846201"/>
  </r>
  <r>
    <x v="0"/>
    <x v="0"/>
    <x v="0"/>
    <x v="1"/>
    <x v="2"/>
    <s v="EE_Tallinn"/>
    <x v="3"/>
    <x v="10"/>
    <x v="0"/>
    <x v="5"/>
    <n v="127.11761717325901"/>
    <n v="7732.9883780399496"/>
    <n v="27838.758160943798"/>
  </r>
  <r>
    <x v="0"/>
    <x v="0"/>
    <x v="0"/>
    <x v="1"/>
    <x v="2"/>
    <s v="EE_Tallinn"/>
    <x v="3"/>
    <x v="10"/>
    <x v="0"/>
    <x v="6"/>
    <n v="126.74875649835199"/>
    <n v="7710.5493536497197"/>
    <n v="27757.977673139001"/>
  </r>
  <r>
    <x v="0"/>
    <x v="0"/>
    <x v="0"/>
    <x v="1"/>
    <x v="2"/>
    <s v="EE_Tallinn"/>
    <x v="3"/>
    <x v="10"/>
    <x v="0"/>
    <x v="7"/>
    <n v="126.47211099217"/>
    <n v="7693.7200853570403"/>
    <n v="27697.392307285299"/>
  </r>
  <r>
    <x v="0"/>
    <x v="0"/>
    <x v="0"/>
    <x v="1"/>
    <x v="2"/>
    <s v="EE_Tallinn"/>
    <x v="3"/>
    <x v="10"/>
    <x v="0"/>
    <x v="8"/>
    <n v="127.394262679441"/>
    <n v="7749.8176463326399"/>
    <n v="27899.3435267975"/>
  </r>
  <r>
    <x v="0"/>
    <x v="0"/>
    <x v="0"/>
    <x v="1"/>
    <x v="2"/>
    <s v="EE_Tallinn"/>
    <x v="3"/>
    <x v="10"/>
    <x v="0"/>
    <x v="9"/>
    <n v="128.68527504161901"/>
    <n v="7828.3542316985004"/>
    <n v="28182.0752341146"/>
  </r>
  <r>
    <x v="0"/>
    <x v="0"/>
    <x v="0"/>
    <x v="1"/>
    <x v="2"/>
    <s v="EE_Tallinn"/>
    <x v="3"/>
    <x v="10"/>
    <x v="0"/>
    <x v="10"/>
    <n v="130.52957841616001"/>
    <n v="7940.5493536497097"/>
    <n v="28585.977673138899"/>
  </r>
  <r>
    <x v="0"/>
    <x v="0"/>
    <x v="0"/>
    <x v="1"/>
    <x v="2"/>
    <s v="EE_Tallinn"/>
    <x v="3"/>
    <x v="10"/>
    <x v="0"/>
    <x v="11"/>
    <n v="132.74274246560799"/>
    <n v="8075.1834999911798"/>
    <n v="29070.6605999682"/>
  </r>
  <r>
    <x v="0"/>
    <x v="0"/>
    <x v="0"/>
    <x v="1"/>
    <x v="2"/>
    <s v="EE_Tallinn"/>
    <x v="3"/>
    <x v="10"/>
    <x v="1"/>
    <x v="0"/>
    <n v="184.65988245892601"/>
    <n v="11233.476182918001"/>
    <n v="40440.514258504802"/>
  </r>
  <r>
    <x v="0"/>
    <x v="0"/>
    <x v="0"/>
    <x v="1"/>
    <x v="2"/>
    <s v="EE_Tallinn"/>
    <x v="3"/>
    <x v="10"/>
    <x v="1"/>
    <x v="1"/>
    <n v="186.135325158559"/>
    <n v="11323.232280479"/>
    <n v="40763.636209724304"/>
  </r>
  <r>
    <x v="0"/>
    <x v="0"/>
    <x v="0"/>
    <x v="1"/>
    <x v="2"/>
    <s v="EE_Tallinn"/>
    <x v="3"/>
    <x v="10"/>
    <x v="1"/>
    <x v="2"/>
    <n v="186.596401002194"/>
    <n v="11351.281060966799"/>
    <n v="40864.6118194804"/>
  </r>
  <r>
    <x v="0"/>
    <x v="0"/>
    <x v="0"/>
    <x v="1"/>
    <x v="2"/>
    <s v="EE_Tallinn"/>
    <x v="3"/>
    <x v="10"/>
    <x v="1"/>
    <x v="3"/>
    <n v="185.213173471288"/>
    <n v="11267.1347195034"/>
    <n v="40561.684990212198"/>
  </r>
  <r>
    <x v="0"/>
    <x v="0"/>
    <x v="0"/>
    <x v="1"/>
    <x v="2"/>
    <s v="EE_Tallinn"/>
    <x v="3"/>
    <x v="10"/>
    <x v="1"/>
    <x v="4"/>
    <n v="182.17007290329599"/>
    <n v="11082.012768283899"/>
    <n v="39895.245965821901"/>
  </r>
  <r>
    <x v="0"/>
    <x v="0"/>
    <x v="0"/>
    <x v="1"/>
    <x v="2"/>
    <s v="EE_Tallinn"/>
    <x v="3"/>
    <x v="10"/>
    <x v="1"/>
    <x v="5"/>
    <n v="177.743744804399"/>
    <n v="10812.744475600901"/>
    <n v="38925.880112163301"/>
  </r>
  <r>
    <x v="0"/>
    <x v="0"/>
    <x v="0"/>
    <x v="1"/>
    <x v="2"/>
    <s v="EE_Tallinn"/>
    <x v="3"/>
    <x v="10"/>
    <x v="1"/>
    <x v="6"/>
    <n v="172.11861951205"/>
    <n v="10470.5493536497"/>
    <n v="37693.977673139001"/>
  </r>
  <r>
    <x v="0"/>
    <x v="0"/>
    <x v="0"/>
    <x v="1"/>
    <x v="2"/>
    <s v="EE_Tallinn"/>
    <x v="3"/>
    <x v="10"/>
    <x v="1"/>
    <x v="7"/>
    <n v="165.202481857523"/>
    <n v="10049.8176463326"/>
    <n v="36179.3435267975"/>
  </r>
  <r>
    <x v="0"/>
    <x v="0"/>
    <x v="0"/>
    <x v="1"/>
    <x v="2"/>
    <s v="EE_Tallinn"/>
    <x v="3"/>
    <x v="10"/>
    <x v="1"/>
    <x v="8"/>
    <n v="159.20849589026599"/>
    <n v="9685.1834999911807"/>
    <n v="34866.6605999682"/>
  </r>
  <r>
    <x v="0"/>
    <x v="0"/>
    <x v="0"/>
    <x v="1"/>
    <x v="2"/>
    <s v="EE_Tallinn"/>
    <x v="3"/>
    <x v="10"/>
    <x v="1"/>
    <x v="9"/>
    <n v="153.76780093537101"/>
    <n v="9354.2078902350695"/>
    <n v="33675.148404846201"/>
  </r>
  <r>
    <x v="0"/>
    <x v="0"/>
    <x v="0"/>
    <x v="1"/>
    <x v="2"/>
    <s v="EE_Tallinn"/>
    <x v="3"/>
    <x v="10"/>
    <x v="1"/>
    <x v="10"/>
    <n v="148.880396992838"/>
    <n v="9056.8908170643299"/>
    <n v="32604.806941431601"/>
  </r>
  <r>
    <x v="0"/>
    <x v="0"/>
    <x v="0"/>
    <x v="1"/>
    <x v="2"/>
    <s v="EE_Tallinn"/>
    <x v="3"/>
    <x v="10"/>
    <x v="1"/>
    <x v="11"/>
    <n v="144.82292956884899"/>
    <n v="8810.0615487716605"/>
    <n v="31716.221575578002"/>
  </r>
  <r>
    <x v="0"/>
    <x v="0"/>
    <x v="0"/>
    <x v="1"/>
    <x v="2"/>
    <s v="EE_Tallinn"/>
    <x v="3"/>
    <x v="10"/>
    <x v="2"/>
    <x v="0"/>
    <n v="137.53793123941401"/>
    <n v="8366.8908170643408"/>
    <n v="30120.806941431601"/>
  </r>
  <r>
    <x v="0"/>
    <x v="0"/>
    <x v="0"/>
    <x v="1"/>
    <x v="2"/>
    <s v="EE_Tallinn"/>
    <x v="3"/>
    <x v="10"/>
    <x v="2"/>
    <x v="1"/>
    <n v="137.722361576868"/>
    <n v="8378.1103292594598"/>
    <n v="30161.197185334"/>
  </r>
  <r>
    <x v="0"/>
    <x v="0"/>
    <x v="0"/>
    <x v="1"/>
    <x v="2"/>
    <s v="EE_Tallinn"/>
    <x v="3"/>
    <x v="10"/>
    <x v="2"/>
    <x v="2"/>
    <n v="137.90679191432201"/>
    <n v="8389.3298414546007"/>
    <n v="30201.587429236599"/>
  </r>
  <r>
    <x v="0"/>
    <x v="0"/>
    <x v="0"/>
    <x v="1"/>
    <x v="2"/>
    <s v="EE_Tallinn"/>
    <x v="3"/>
    <x v="10"/>
    <x v="2"/>
    <x v="3"/>
    <n v="138.36786775795699"/>
    <n v="8417.3786219424001"/>
    <n v="30302.563038992699"/>
  </r>
  <r>
    <x v="0"/>
    <x v="0"/>
    <x v="0"/>
    <x v="1"/>
    <x v="2"/>
    <s v="EE_Tallinn"/>
    <x v="3"/>
    <x v="10"/>
    <x v="2"/>
    <x v="4"/>
    <n v="138.92115877031901"/>
    <n v="8451.0371585277408"/>
    <n v="30423.733770699899"/>
  </r>
  <r>
    <x v="0"/>
    <x v="0"/>
    <x v="0"/>
    <x v="1"/>
    <x v="2"/>
    <s v="EE_Tallinn"/>
    <x v="3"/>
    <x v="10"/>
    <x v="2"/>
    <x v="5"/>
    <n v="139.566664951409"/>
    <n v="8490.3054512106901"/>
    <n v="30565.0996243585"/>
  </r>
  <r>
    <x v="0"/>
    <x v="0"/>
    <x v="0"/>
    <x v="1"/>
    <x v="2"/>
    <s v="EE_Tallinn"/>
    <x v="3"/>
    <x v="10"/>
    <x v="2"/>
    <x v="6"/>
    <n v="140.488816638679"/>
    <n v="8546.4030121862997"/>
    <n v="30767.0508438707"/>
  </r>
  <r>
    <x v="0"/>
    <x v="0"/>
    <x v="0"/>
    <x v="1"/>
    <x v="2"/>
    <s v="EE_Tallinn"/>
    <x v="3"/>
    <x v="10"/>
    <x v="2"/>
    <x v="7"/>
    <n v="141.22653798849501"/>
    <n v="8591.2810609667904"/>
    <n v="30928.6118194804"/>
  </r>
  <r>
    <x v="0"/>
    <x v="0"/>
    <x v="0"/>
    <x v="1"/>
    <x v="2"/>
    <s v="EE_Tallinn"/>
    <x v="3"/>
    <x v="10"/>
    <x v="2"/>
    <x v="8"/>
    <n v="141.872044169584"/>
    <n v="8630.5493536496997"/>
    <n v="31069.977673138899"/>
  </r>
  <r>
    <x v="0"/>
    <x v="0"/>
    <x v="0"/>
    <x v="1"/>
    <x v="2"/>
    <s v="EE_Tallinn"/>
    <x v="3"/>
    <x v="10"/>
    <x v="2"/>
    <x v="9"/>
    <n v="142.701980688128"/>
    <n v="8681.0371585277608"/>
    <n v="31251.733770699899"/>
  </r>
  <r>
    <x v="0"/>
    <x v="0"/>
    <x v="0"/>
    <x v="1"/>
    <x v="2"/>
    <s v="EE_Tallinn"/>
    <x v="3"/>
    <x v="10"/>
    <x v="2"/>
    <x v="10"/>
    <n v="143.07084136303499"/>
    <n v="8703.4761829179897"/>
    <n v="31332.514258504802"/>
  </r>
  <r>
    <x v="0"/>
    <x v="0"/>
    <x v="0"/>
    <x v="1"/>
    <x v="2"/>
    <s v="EE_Tallinn"/>
    <x v="3"/>
    <x v="10"/>
    <x v="2"/>
    <x v="11"/>
    <n v="142.51755035067399"/>
    <n v="8669.8176463326508"/>
    <n v="31211.3435267975"/>
  </r>
  <r>
    <x v="0"/>
    <x v="0"/>
    <x v="0"/>
    <x v="1"/>
    <x v="2"/>
    <s v="EE_Tallinn"/>
    <x v="3"/>
    <x v="10"/>
    <x v="3"/>
    <x v="0"/>
    <n v="143.25527170049"/>
    <n v="8714.6956951131397"/>
    <n v="31372.904502407298"/>
  </r>
  <r>
    <x v="0"/>
    <x v="0"/>
    <x v="0"/>
    <x v="1"/>
    <x v="2"/>
    <s v="EE_Tallinn"/>
    <x v="3"/>
    <x v="10"/>
    <x v="3"/>
    <x v="1"/>
    <n v="146.20615709975399"/>
    <n v="8894.2078902350604"/>
    <n v="32019.148404846201"/>
  </r>
  <r>
    <x v="0"/>
    <x v="0"/>
    <x v="0"/>
    <x v="1"/>
    <x v="2"/>
    <s v="EE_Tallinn"/>
    <x v="3"/>
    <x v="10"/>
    <x v="3"/>
    <x v="2"/>
    <n v="148.60375148665699"/>
    <n v="9040.0615487716404"/>
    <n v="32544.2215755779"/>
  </r>
  <r>
    <x v="0"/>
    <x v="0"/>
    <x v="0"/>
    <x v="1"/>
    <x v="2"/>
    <s v="EE_Tallinn"/>
    <x v="3"/>
    <x v="10"/>
    <x v="3"/>
    <x v="3"/>
    <n v="150.63248519865201"/>
    <n v="9163.4761829180006"/>
    <n v="32988.514258504802"/>
  </r>
  <r>
    <x v="0"/>
    <x v="0"/>
    <x v="0"/>
    <x v="1"/>
    <x v="2"/>
    <s v="EE_Tallinn"/>
    <x v="3"/>
    <x v="10"/>
    <x v="3"/>
    <x v="4"/>
    <n v="152.20014306701199"/>
    <n v="9258.8420365765505"/>
    <n v="33331.831331675603"/>
  </r>
  <r>
    <x v="0"/>
    <x v="0"/>
    <x v="0"/>
    <x v="1"/>
    <x v="2"/>
    <s v="EE_Tallinn"/>
    <x v="3"/>
    <x v="10"/>
    <x v="3"/>
    <x v="5"/>
    <n v="152.75343407937399"/>
    <n v="9292.5005731618894"/>
    <n v="33453.002063382803"/>
  </r>
  <r>
    <x v="0"/>
    <x v="0"/>
    <x v="0"/>
    <x v="1"/>
    <x v="2"/>
    <s v="EE_Tallinn"/>
    <x v="3"/>
    <x v="10"/>
    <x v="3"/>
    <x v="6"/>
    <n v="152.66121891064699"/>
    <n v="9286.8908170643499"/>
    <n v="33432.8069414317"/>
  </r>
  <r>
    <x v="0"/>
    <x v="0"/>
    <x v="0"/>
    <x v="1"/>
    <x v="2"/>
    <s v="EE_Tallinn"/>
    <x v="3"/>
    <x v="10"/>
    <x v="3"/>
    <x v="7"/>
    <n v="152.01571272955701"/>
    <n v="9247.6225243814006"/>
    <n v="33291.441087772997"/>
  </r>
  <r>
    <x v="0"/>
    <x v="0"/>
    <x v="0"/>
    <x v="1"/>
    <x v="2"/>
    <s v="EE_Tallinn"/>
    <x v="3"/>
    <x v="10"/>
    <x v="3"/>
    <x v="8"/>
    <n v="151.185776211014"/>
    <n v="9197.1347195033704"/>
    <n v="33109.684990212103"/>
  </r>
  <r>
    <x v="0"/>
    <x v="0"/>
    <x v="0"/>
    <x v="1"/>
    <x v="2"/>
    <s v="EE_Tallinn"/>
    <x v="3"/>
    <x v="10"/>
    <x v="3"/>
    <x v="9"/>
    <n v="150.07919418629001"/>
    <n v="9129.8176463326199"/>
    <n v="32867.343526797398"/>
  </r>
  <r>
    <x v="0"/>
    <x v="0"/>
    <x v="0"/>
    <x v="1"/>
    <x v="2"/>
    <s v="EE_Tallinn"/>
    <x v="3"/>
    <x v="10"/>
    <x v="3"/>
    <x v="10"/>
    <n v="148.788181824112"/>
    <n v="9051.2810609667904"/>
    <n v="32584.6118194804"/>
  </r>
  <r>
    <x v="0"/>
    <x v="0"/>
    <x v="0"/>
    <x v="1"/>
    <x v="2"/>
    <s v="EE_Tallinn"/>
    <x v="3"/>
    <x v="10"/>
    <x v="3"/>
    <x v="11"/>
    <n v="147.497169461933"/>
    <n v="8972.7444756009209"/>
    <n v="32301.880112163301"/>
  </r>
  <r>
    <x v="0"/>
    <x v="0"/>
    <x v="0"/>
    <x v="1"/>
    <x v="2"/>
    <s v="EE_Tallinn"/>
    <x v="3"/>
    <x v="10"/>
    <x v="4"/>
    <x v="0"/>
    <n v="212.60107858321601"/>
    <n v="12933.232280479"/>
    <n v="46559.636209724398"/>
  </r>
  <r>
    <x v="0"/>
    <x v="0"/>
    <x v="0"/>
    <x v="1"/>
    <x v="2"/>
    <s v="EE_Tallinn"/>
    <x v="3"/>
    <x v="10"/>
    <x v="4"/>
    <x v="1"/>
    <n v="212.693293751943"/>
    <n v="12938.8420365765"/>
    <n v="46579.831331675501"/>
  </r>
  <r>
    <x v="0"/>
    <x v="0"/>
    <x v="0"/>
    <x v="1"/>
    <x v="2"/>
    <s v="EE_Tallinn"/>
    <x v="3"/>
    <x v="10"/>
    <x v="4"/>
    <x v="2"/>
    <n v="210.94120554612999"/>
    <n v="12832.2566707229"/>
    <n v="46196.124014602399"/>
  </r>
  <r>
    <x v="0"/>
    <x v="0"/>
    <x v="0"/>
    <x v="1"/>
    <x v="2"/>
    <s v="EE_Tallinn"/>
    <x v="3"/>
    <x v="10"/>
    <x v="4"/>
    <x v="3"/>
    <n v="207.89810497813701"/>
    <n v="12647.1347195034"/>
    <n v="45529.684990212103"/>
  </r>
  <r>
    <x v="0"/>
    <x v="0"/>
    <x v="0"/>
    <x v="1"/>
    <x v="2"/>
    <s v="EE_Tallinn"/>
    <x v="3"/>
    <x v="10"/>
    <x v="4"/>
    <x v="4"/>
    <n v="204.76278924141801"/>
    <n v="12456.4030121863"/>
    <n v="44843.050843870697"/>
  </r>
  <r>
    <x v="0"/>
    <x v="0"/>
    <x v="0"/>
    <x v="1"/>
    <x v="2"/>
    <s v="EE_Tallinn"/>
    <x v="3"/>
    <x v="10"/>
    <x v="4"/>
    <x v="5"/>
    <n v="200.52089147997501"/>
    <n v="12198.3542316985"/>
    <n v="43914.075234114498"/>
  </r>
  <r>
    <x v="0"/>
    <x v="0"/>
    <x v="0"/>
    <x v="1"/>
    <x v="2"/>
    <s v="EE_Tallinn"/>
    <x v="3"/>
    <x v="10"/>
    <x v="4"/>
    <x v="6"/>
    <n v="195.17241169380699"/>
    <n v="11872.9883780399"/>
    <n v="42742.758160943798"/>
  </r>
  <r>
    <x v="0"/>
    <x v="0"/>
    <x v="0"/>
    <x v="1"/>
    <x v="2"/>
    <s v="EE_Tallinn"/>
    <x v="3"/>
    <x v="10"/>
    <x v="4"/>
    <x v="7"/>
    <n v="189.54728640145899"/>
    <n v="11530.7932560887"/>
    <n v="41510.855721919499"/>
  </r>
  <r>
    <x v="0"/>
    <x v="0"/>
    <x v="0"/>
    <x v="1"/>
    <x v="2"/>
    <s v="EE_Tallinn"/>
    <x v="3"/>
    <x v="10"/>
    <x v="4"/>
    <x v="8"/>
    <n v="185.02874313383401"/>
    <n v="11255.9152073082"/>
    <n v="40521.294746309599"/>
  </r>
  <r>
    <x v="0"/>
    <x v="0"/>
    <x v="0"/>
    <x v="1"/>
    <x v="2"/>
    <s v="EE_Tallinn"/>
    <x v="3"/>
    <x v="10"/>
    <x v="4"/>
    <x v="9"/>
    <n v="182.63114874693099"/>
    <n v="11110.0615487717"/>
    <n v="39996.221575577903"/>
  </r>
  <r>
    <x v="0"/>
    <x v="0"/>
    <x v="0"/>
    <x v="1"/>
    <x v="2"/>
    <s v="EE_Tallinn"/>
    <x v="3"/>
    <x v="10"/>
    <x v="4"/>
    <x v="10"/>
    <n v="181.80121222838801"/>
    <n v="11059.573743893599"/>
    <n v="39814.465478017002"/>
  </r>
  <r>
    <x v="0"/>
    <x v="0"/>
    <x v="0"/>
    <x v="1"/>
    <x v="2"/>
    <s v="EE_Tallinn"/>
    <x v="3"/>
    <x v="10"/>
    <x v="4"/>
    <x v="11"/>
    <n v="181.61678189093399"/>
    <n v="11048.3542316985"/>
    <n v="39774.075234114498"/>
  </r>
  <r>
    <x v="0"/>
    <x v="0"/>
    <x v="0"/>
    <x v="1"/>
    <x v="2"/>
    <s v="EE_Tallinn"/>
    <x v="3"/>
    <x v="10"/>
    <x v="5"/>
    <x v="0"/>
    <n v="289.60074447028597"/>
    <n v="17617.3786219424"/>
    <n v="63422.563038992601"/>
  </r>
  <r>
    <x v="0"/>
    <x v="0"/>
    <x v="0"/>
    <x v="1"/>
    <x v="2"/>
    <s v="EE_Tallinn"/>
    <x v="3"/>
    <x v="10"/>
    <x v="5"/>
    <x v="1"/>
    <n v="289.60074447028597"/>
    <n v="17617.3786219424"/>
    <n v="63422.563038992601"/>
  </r>
  <r>
    <x v="0"/>
    <x v="0"/>
    <x v="0"/>
    <x v="1"/>
    <x v="2"/>
    <s v="EE_Tallinn"/>
    <x v="3"/>
    <x v="10"/>
    <x v="5"/>
    <x v="2"/>
    <n v="289.231883795378"/>
    <n v="17594.939597552198"/>
    <n v="63341.782551187804"/>
  </r>
  <r>
    <x v="0"/>
    <x v="0"/>
    <x v="0"/>
    <x v="1"/>
    <x v="2"/>
    <s v="EE_Tallinn"/>
    <x v="3"/>
    <x v="10"/>
    <x v="5"/>
    <x v="3"/>
    <n v="286.00435288993202"/>
    <n v="17398.598134137501"/>
    <n v="62634.953282895003"/>
  </r>
  <r>
    <x v="0"/>
    <x v="0"/>
    <x v="0"/>
    <x v="1"/>
    <x v="2"/>
    <s v="EE_Tallinn"/>
    <x v="3"/>
    <x v="10"/>
    <x v="5"/>
    <x v="4"/>
    <n v="281.48580962230699"/>
    <n v="17123.720085356999"/>
    <n v="61645.392307285299"/>
  </r>
  <r>
    <x v="0"/>
    <x v="0"/>
    <x v="0"/>
    <x v="1"/>
    <x v="2"/>
    <s v="EE_Tallinn"/>
    <x v="3"/>
    <x v="10"/>
    <x v="5"/>
    <x v="5"/>
    <n v="274.01638095541801"/>
    <n v="16669.329841454601"/>
    <n v="60009.587429236402"/>
  </r>
  <r>
    <x v="0"/>
    <x v="0"/>
    <x v="0"/>
    <x v="1"/>
    <x v="2"/>
    <s v="EE_Tallinn"/>
    <x v="3"/>
    <x v="10"/>
    <x v="5"/>
    <x v="6"/>
    <n v="266.17809161361998"/>
    <n v="16192.5005731619"/>
    <n v="58293.002063382897"/>
  </r>
  <r>
    <x v="0"/>
    <x v="0"/>
    <x v="0"/>
    <x v="1"/>
    <x v="2"/>
    <s v="EE_Tallinn"/>
    <x v="3"/>
    <x v="10"/>
    <x v="5"/>
    <x v="7"/>
    <n v="257.23322024709898"/>
    <n v="15648.3542316985"/>
    <n v="56334.0752341146"/>
  </r>
  <r>
    <x v="0"/>
    <x v="0"/>
    <x v="0"/>
    <x v="1"/>
    <x v="2"/>
    <s v="EE_Tallinn"/>
    <x v="3"/>
    <x v="10"/>
    <x v="5"/>
    <x v="8"/>
    <n v="248.74942472421199"/>
    <n v="15132.2566707229"/>
    <n v="54476.124014602399"/>
  </r>
  <r>
    <x v="0"/>
    <x v="0"/>
    <x v="0"/>
    <x v="1"/>
    <x v="2"/>
    <s v="EE_Tallinn"/>
    <x v="3"/>
    <x v="10"/>
    <x v="5"/>
    <x v="9"/>
    <n v="241.55664156350301"/>
    <n v="14694.6956951131"/>
    <n v="52900.904502407197"/>
  </r>
  <r>
    <x v="0"/>
    <x v="0"/>
    <x v="0"/>
    <x v="1"/>
    <x v="2"/>
    <s v="EE_Tallinn"/>
    <x v="3"/>
    <x v="10"/>
    <x v="5"/>
    <x v="10"/>
    <n v="236.945883127152"/>
    <n v="14414.2078902351"/>
    <n v="51891.148404846201"/>
  </r>
  <r>
    <x v="0"/>
    <x v="0"/>
    <x v="0"/>
    <x v="1"/>
    <x v="2"/>
    <s v="EE_Tallinn"/>
    <x v="3"/>
    <x v="10"/>
    <x v="5"/>
    <x v="11"/>
    <n v="233.81056739043299"/>
    <n v="14223.476182918001"/>
    <n v="51204.514258504802"/>
  </r>
  <r>
    <x v="0"/>
    <x v="0"/>
    <x v="0"/>
    <x v="1"/>
    <x v="2"/>
    <s v="EE_Tallinn"/>
    <x v="3"/>
    <x v="10"/>
    <x v="6"/>
    <x v="0"/>
    <n v="181.063490878572"/>
    <n v="11014.6956951131"/>
    <n v="39652.904502407298"/>
  </r>
  <r>
    <x v="0"/>
    <x v="0"/>
    <x v="0"/>
    <x v="1"/>
    <x v="2"/>
    <s v="EE_Tallinn"/>
    <x v="3"/>
    <x v="10"/>
    <x v="6"/>
    <x v="1"/>
    <n v="180.78684537239101"/>
    <n v="10997.866426820399"/>
    <n v="39592.319136553597"/>
  </r>
  <r>
    <x v="0"/>
    <x v="0"/>
    <x v="0"/>
    <x v="1"/>
    <x v="2"/>
    <s v="EE_Tallinn"/>
    <x v="3"/>
    <x v="10"/>
    <x v="6"/>
    <x v="2"/>
    <n v="180.141339191302"/>
    <n v="10958.598134137501"/>
    <n v="39450.953282895098"/>
  </r>
  <r>
    <x v="0"/>
    <x v="0"/>
    <x v="0"/>
    <x v="1"/>
    <x v="2"/>
    <s v="EE_Tallinn"/>
    <x v="3"/>
    <x v="10"/>
    <x v="6"/>
    <x v="3"/>
    <n v="179.219187504031"/>
    <n v="10902.5005731619"/>
    <n v="39249.002063382803"/>
  </r>
  <r>
    <x v="0"/>
    <x v="0"/>
    <x v="0"/>
    <x v="1"/>
    <x v="2"/>
    <s v="EE_Tallinn"/>
    <x v="3"/>
    <x v="10"/>
    <x v="6"/>
    <x v="4"/>
    <n v="178.11260547930701"/>
    <n v="10835.183499991201"/>
    <n v="39006.6605999682"/>
  </r>
  <r>
    <x v="0"/>
    <x v="0"/>
    <x v="0"/>
    <x v="1"/>
    <x v="2"/>
    <s v="EE_Tallinn"/>
    <x v="3"/>
    <x v="10"/>
    <x v="6"/>
    <x v="5"/>
    <n v="177.09823862331001"/>
    <n v="10773.476182918001"/>
    <n v="38784.514258504802"/>
  </r>
  <r>
    <x v="0"/>
    <x v="0"/>
    <x v="0"/>
    <x v="1"/>
    <x v="2"/>
    <s v="EE_Tallinn"/>
    <x v="3"/>
    <x v="10"/>
    <x v="6"/>
    <x v="6"/>
    <n v="175.62279592367699"/>
    <n v="10683.720085356999"/>
    <n v="38461.392307285299"/>
  </r>
  <r>
    <x v="0"/>
    <x v="0"/>
    <x v="0"/>
    <x v="1"/>
    <x v="2"/>
    <s v="EE_Tallinn"/>
    <x v="3"/>
    <x v="10"/>
    <x v="6"/>
    <x v="7"/>
    <n v="174.23956839277199"/>
    <n v="10599.573743893599"/>
    <n v="38158.465478017002"/>
  </r>
  <r>
    <x v="0"/>
    <x v="0"/>
    <x v="0"/>
    <x v="1"/>
    <x v="2"/>
    <s v="EE_Tallinn"/>
    <x v="3"/>
    <x v="10"/>
    <x v="6"/>
    <x v="8"/>
    <n v="172.76412569313899"/>
    <n v="10509.8176463326"/>
    <n v="37835.3435267975"/>
  </r>
  <r>
    <x v="0"/>
    <x v="0"/>
    <x v="0"/>
    <x v="1"/>
    <x v="2"/>
    <s v="EE_Tallinn"/>
    <x v="3"/>
    <x v="10"/>
    <x v="6"/>
    <x v="9"/>
    <n v="171.38089816223399"/>
    <n v="10425.6713048692"/>
    <n v="37532.416697529203"/>
  </r>
  <r>
    <x v="0"/>
    <x v="0"/>
    <x v="0"/>
    <x v="1"/>
    <x v="2"/>
    <s v="EE_Tallinn"/>
    <x v="3"/>
    <x v="10"/>
    <x v="6"/>
    <x v="10"/>
    <n v="170.08988580005499"/>
    <n v="10347.1347195034"/>
    <n v="37249.684990212103"/>
  </r>
  <r>
    <x v="0"/>
    <x v="0"/>
    <x v="0"/>
    <x v="1"/>
    <x v="2"/>
    <s v="EE_Tallinn"/>
    <x v="3"/>
    <x v="10"/>
    <x v="6"/>
    <x v="11"/>
    <n v="169.16773411278501"/>
    <n v="10291.037158527801"/>
    <n v="37047.733770699997"/>
  </r>
  <r>
    <x v="0"/>
    <x v="0"/>
    <x v="0"/>
    <x v="1"/>
    <x v="2"/>
    <s v="EE_Tallinn"/>
    <x v="3"/>
    <x v="10"/>
    <x v="7"/>
    <x v="0"/>
    <n v="167.415645906972"/>
    <n v="10184.451792674099"/>
    <n v="36664.026453626801"/>
  </r>
  <r>
    <x v="0"/>
    <x v="0"/>
    <x v="0"/>
    <x v="1"/>
    <x v="2"/>
    <s v="EE_Tallinn"/>
    <x v="3"/>
    <x v="10"/>
    <x v="7"/>
    <x v="1"/>
    <n v="165.571342532431"/>
    <n v="10072.2566707229"/>
    <n v="36260.124014602297"/>
  </r>
  <r>
    <x v="0"/>
    <x v="0"/>
    <x v="0"/>
    <x v="1"/>
    <x v="2"/>
    <s v="EE_Tallinn"/>
    <x v="3"/>
    <x v="10"/>
    <x v="7"/>
    <x v="2"/>
    <n v="163.45039365170899"/>
    <n v="9943.2322804789692"/>
    <n v="35795.636209724304"/>
  </r>
  <r>
    <x v="0"/>
    <x v="0"/>
    <x v="0"/>
    <x v="1"/>
    <x v="2"/>
    <s v="EE_Tallinn"/>
    <x v="3"/>
    <x v="10"/>
    <x v="7"/>
    <x v="3"/>
    <n v="160.96058409608"/>
    <n v="9791.7688658448496"/>
    <n v="35250.367917041403"/>
  </r>
  <r>
    <x v="0"/>
    <x v="0"/>
    <x v="0"/>
    <x v="1"/>
    <x v="2"/>
    <s v="EE_Tallinn"/>
    <x v="3"/>
    <x v="10"/>
    <x v="7"/>
    <x v="4"/>
    <n v="157.91748352808699"/>
    <n v="9606.6469146253203"/>
    <n v="34583.9288926511"/>
  </r>
  <r>
    <x v="0"/>
    <x v="0"/>
    <x v="0"/>
    <x v="1"/>
    <x v="2"/>
    <s v="EE_Tallinn"/>
    <x v="3"/>
    <x v="10"/>
    <x v="7"/>
    <x v="5"/>
    <n v="154.68995262264099"/>
    <n v="9410.3054512106701"/>
    <n v="33877.099624358401"/>
  </r>
  <r>
    <x v="0"/>
    <x v="0"/>
    <x v="0"/>
    <x v="1"/>
    <x v="2"/>
    <s v="EE_Tallinn"/>
    <x v="3"/>
    <x v="10"/>
    <x v="7"/>
    <x v="6"/>
    <n v="151.185776211014"/>
    <n v="9197.1347195033704"/>
    <n v="33109.684990212103"/>
  </r>
  <r>
    <x v="0"/>
    <x v="0"/>
    <x v="0"/>
    <x v="1"/>
    <x v="2"/>
    <s v="EE_Tallinn"/>
    <x v="3"/>
    <x v="10"/>
    <x v="7"/>
    <x v="7"/>
    <n v="147.404954293206"/>
    <n v="8967.1347195033504"/>
    <n v="32281.684990212099"/>
  </r>
  <r>
    <x v="0"/>
    <x v="0"/>
    <x v="0"/>
    <x v="1"/>
    <x v="2"/>
    <s v="EE_Tallinn"/>
    <x v="3"/>
    <x v="10"/>
    <x v="7"/>
    <x v="8"/>
    <n v="144.08520821903301"/>
    <n v="8765.1834999911698"/>
    <n v="31554.6605999682"/>
  </r>
  <r>
    <x v="0"/>
    <x v="0"/>
    <x v="0"/>
    <x v="1"/>
    <x v="2"/>
    <s v="EE_Tallinn"/>
    <x v="3"/>
    <x v="10"/>
    <x v="7"/>
    <x v="9"/>
    <n v="141.410968325949"/>
    <n v="8602.5005731619003"/>
    <n v="30969.002063382799"/>
  </r>
  <r>
    <x v="0"/>
    <x v="0"/>
    <x v="0"/>
    <x v="1"/>
    <x v="2"/>
    <s v="EE_Tallinn"/>
    <x v="3"/>
    <x v="10"/>
    <x v="7"/>
    <x v="10"/>
    <n v="139.29001944522699"/>
    <n v="8473.4761829180006"/>
    <n v="30504.514258504802"/>
  </r>
  <r>
    <x v="0"/>
    <x v="0"/>
    <x v="0"/>
    <x v="1"/>
    <x v="2"/>
    <s v="EE_Tallinn"/>
    <x v="3"/>
    <x v="10"/>
    <x v="7"/>
    <x v="11"/>
    <n v="137.722361576868"/>
    <n v="8378.1103292594598"/>
    <n v="30161.197185334"/>
  </r>
  <r>
    <x v="0"/>
    <x v="0"/>
    <x v="0"/>
    <x v="1"/>
    <x v="2"/>
    <s v="EE_Tallinn"/>
    <x v="3"/>
    <x v="10"/>
    <x v="8"/>
    <x v="0"/>
    <n v="143.90077788157899"/>
    <n v="8753.9639877960508"/>
    <n v="31514.270356065801"/>
  </r>
  <r>
    <x v="0"/>
    <x v="0"/>
    <x v="0"/>
    <x v="1"/>
    <x v="2"/>
    <s v="EE_Tallinn"/>
    <x v="3"/>
    <x v="10"/>
    <x v="8"/>
    <x v="1"/>
    <n v="145.560650918665"/>
    <n v="8854.9395975521493"/>
    <n v="31877.782551187702"/>
  </r>
  <r>
    <x v="0"/>
    <x v="0"/>
    <x v="0"/>
    <x v="1"/>
    <x v="2"/>
    <s v="EE_Tallinn"/>
    <x v="3"/>
    <x v="10"/>
    <x v="8"/>
    <x v="2"/>
    <n v="146.943878449571"/>
    <n v="8939.0859390155492"/>
    <n v="32180.709380455999"/>
  </r>
  <r>
    <x v="0"/>
    <x v="0"/>
    <x v="0"/>
    <x v="1"/>
    <x v="2"/>
    <s v="EE_Tallinn"/>
    <x v="3"/>
    <x v="10"/>
    <x v="8"/>
    <x v="3"/>
    <n v="148.51153631792999"/>
    <n v="9034.4517926740991"/>
    <n v="32524.026453626801"/>
  </r>
  <r>
    <x v="0"/>
    <x v="0"/>
    <x v="0"/>
    <x v="1"/>
    <x v="2"/>
    <s v="EE_Tallinn"/>
    <x v="3"/>
    <x v="10"/>
    <x v="8"/>
    <x v="4"/>
    <n v="149.710333511382"/>
    <n v="9107.3786219423891"/>
    <n v="32786.563038992601"/>
  </r>
  <r>
    <x v="0"/>
    <x v="0"/>
    <x v="0"/>
    <x v="1"/>
    <x v="2"/>
    <s v="EE_Tallinn"/>
    <x v="3"/>
    <x v="10"/>
    <x v="8"/>
    <x v="5"/>
    <n v="150.35583969247099"/>
    <n v="9146.6469146253094"/>
    <n v="32927.9288926511"/>
  </r>
  <r>
    <x v="0"/>
    <x v="0"/>
    <x v="0"/>
    <x v="1"/>
    <x v="2"/>
    <s v="EE_Tallinn"/>
    <x v="3"/>
    <x v="10"/>
    <x v="8"/>
    <x v="6"/>
    <n v="150.171409355017"/>
    <n v="9135.4274024301903"/>
    <n v="32887.538648748698"/>
  </r>
  <r>
    <x v="0"/>
    <x v="0"/>
    <x v="0"/>
    <x v="1"/>
    <x v="2"/>
    <s v="EE_Tallinn"/>
    <x v="3"/>
    <x v="10"/>
    <x v="8"/>
    <x v="7"/>
    <n v="149.15704249901901"/>
    <n v="9073.7200853570193"/>
    <n v="32665.392307285299"/>
  </r>
  <r>
    <x v="0"/>
    <x v="0"/>
    <x v="0"/>
    <x v="1"/>
    <x v="2"/>
    <s v="EE_Tallinn"/>
    <x v="3"/>
    <x v="10"/>
    <x v="8"/>
    <x v="8"/>
    <n v="147.497169461933"/>
    <n v="8972.7444756009209"/>
    <n v="32301.880112163301"/>
  </r>
  <r>
    <x v="0"/>
    <x v="0"/>
    <x v="0"/>
    <x v="1"/>
    <x v="2"/>
    <s v="EE_Tallinn"/>
    <x v="3"/>
    <x v="10"/>
    <x v="8"/>
    <x v="9"/>
    <n v="146.29837226848201"/>
    <n v="8899.8176463326399"/>
    <n v="32039.3435267975"/>
  </r>
  <r>
    <x v="0"/>
    <x v="0"/>
    <x v="0"/>
    <x v="1"/>
    <x v="2"/>
    <s v="EE_Tallinn"/>
    <x v="3"/>
    <x v="10"/>
    <x v="8"/>
    <x v="10"/>
    <n v="144.730714400122"/>
    <n v="8804.4517926741191"/>
    <n v="31696.026453626801"/>
  </r>
  <r>
    <x v="0"/>
    <x v="0"/>
    <x v="0"/>
    <x v="1"/>
    <x v="2"/>
    <s v="EE_Tallinn"/>
    <x v="3"/>
    <x v="10"/>
    <x v="8"/>
    <x v="11"/>
    <n v="143.25527170049"/>
    <n v="8714.6956951131397"/>
    <n v="31372.904502407298"/>
  </r>
  <r>
    <x v="0"/>
    <x v="0"/>
    <x v="0"/>
    <x v="1"/>
    <x v="2"/>
    <s v="EE_Tallinn"/>
    <x v="3"/>
    <x v="10"/>
    <x v="9"/>
    <x v="0"/>
    <n v="133.29603347797101"/>
    <n v="8108.8420365765496"/>
    <n v="29191.831331675599"/>
  </r>
  <r>
    <x v="0"/>
    <x v="0"/>
    <x v="0"/>
    <x v="1"/>
    <x v="2"/>
    <s v="EE_Tallinn"/>
    <x v="3"/>
    <x v="10"/>
    <x v="9"/>
    <x v="1"/>
    <n v="134.58704584014899"/>
    <n v="8187.3786219423801"/>
    <n v="29474.563038992601"/>
  </r>
  <r>
    <x v="0"/>
    <x v="0"/>
    <x v="0"/>
    <x v="1"/>
    <x v="2"/>
    <s v="EE_Tallinn"/>
    <x v="3"/>
    <x v="10"/>
    <x v="9"/>
    <x v="2"/>
    <n v="135.23255202123801"/>
    <n v="8226.6469146253294"/>
    <n v="29615.928892651202"/>
  </r>
  <r>
    <x v="0"/>
    <x v="0"/>
    <x v="0"/>
    <x v="1"/>
    <x v="2"/>
    <s v="EE_Tallinn"/>
    <x v="3"/>
    <x v="10"/>
    <x v="9"/>
    <x v="3"/>
    <n v="134.95590651505699"/>
    <n v="8209.8176463326399"/>
    <n v="29555.3435267975"/>
  </r>
  <r>
    <x v="0"/>
    <x v="0"/>
    <x v="0"/>
    <x v="1"/>
    <x v="2"/>
    <s v="EE_Tallinn"/>
    <x v="3"/>
    <x v="10"/>
    <x v="9"/>
    <x v="4"/>
    <n v="134.12596999651399"/>
    <n v="8159.3298414545798"/>
    <n v="29373.587429236501"/>
  </r>
  <r>
    <x v="0"/>
    <x v="0"/>
    <x v="0"/>
    <x v="1"/>
    <x v="2"/>
    <s v="EE_Tallinn"/>
    <x v="3"/>
    <x v="10"/>
    <x v="9"/>
    <x v="5"/>
    <n v="132.92717280306201"/>
    <n v="8086.4030121862897"/>
    <n v="29111.050843870598"/>
  </r>
  <r>
    <x v="0"/>
    <x v="0"/>
    <x v="0"/>
    <x v="1"/>
    <x v="2"/>
    <s v="EE_Tallinn"/>
    <x v="3"/>
    <x v="10"/>
    <x v="9"/>
    <x v="6"/>
    <n v="131.082869428522"/>
    <n v="7974.2078902350804"/>
    <n v="28707.148404846299"/>
  </r>
  <r>
    <x v="0"/>
    <x v="0"/>
    <x v="0"/>
    <x v="1"/>
    <x v="2"/>
    <s v="EE_Tallinn"/>
    <x v="3"/>
    <x v="10"/>
    <x v="9"/>
    <x v="7"/>
    <n v="128.869705379073"/>
    <n v="7839.5737438936203"/>
    <n v="28222.465478016999"/>
  </r>
  <r>
    <x v="0"/>
    <x v="0"/>
    <x v="0"/>
    <x v="1"/>
    <x v="2"/>
    <s v="EE_Tallinn"/>
    <x v="3"/>
    <x v="10"/>
    <x v="9"/>
    <x v="8"/>
    <n v="127.209832341987"/>
    <n v="7738.59813413752"/>
    <n v="27858.953282895101"/>
  </r>
  <r>
    <x v="0"/>
    <x v="0"/>
    <x v="0"/>
    <x v="1"/>
    <x v="2"/>
    <s v="EE_Tallinn"/>
    <x v="3"/>
    <x v="10"/>
    <x v="9"/>
    <x v="9"/>
    <n v="126.011035148535"/>
    <n v="7665.67130486923"/>
    <n v="27596.416697529199"/>
  </r>
  <r>
    <x v="0"/>
    <x v="0"/>
    <x v="0"/>
    <x v="1"/>
    <x v="2"/>
    <s v="EE_Tallinn"/>
    <x v="3"/>
    <x v="10"/>
    <x v="9"/>
    <x v="10"/>
    <n v="125.64217447362699"/>
    <n v="7643.2322804789701"/>
    <n v="27515.6362097243"/>
  </r>
  <r>
    <x v="0"/>
    <x v="0"/>
    <x v="0"/>
    <x v="1"/>
    <x v="2"/>
    <s v="EE_Tallinn"/>
    <x v="3"/>
    <x v="10"/>
    <x v="9"/>
    <x v="11"/>
    <n v="126.74875649835199"/>
    <n v="7710.5493536497197"/>
    <n v="27757.977673139001"/>
  </r>
  <r>
    <x v="0"/>
    <x v="0"/>
    <x v="0"/>
    <x v="1"/>
    <x v="2"/>
    <s v="EE_Tallinn"/>
    <x v="3"/>
    <x v="10"/>
    <x v="10"/>
    <x v="0"/>
    <n v="113.10091152675101"/>
    <n v="6880.3054512106901"/>
    <n v="24769.0996243585"/>
  </r>
  <r>
    <x v="0"/>
    <x v="0"/>
    <x v="0"/>
    <x v="1"/>
    <x v="2"/>
    <s v="EE_Tallinn"/>
    <x v="3"/>
    <x v="10"/>
    <x v="10"/>
    <x v="1"/>
    <n v="113.008696358024"/>
    <n v="6874.6956951131197"/>
    <n v="24748.9045024072"/>
  </r>
  <r>
    <x v="0"/>
    <x v="0"/>
    <x v="0"/>
    <x v="1"/>
    <x v="2"/>
    <s v="EE_Tallinn"/>
    <x v="3"/>
    <x v="10"/>
    <x v="10"/>
    <x v="2"/>
    <n v="112.36319017693501"/>
    <n v="6835.4274024302003"/>
    <n v="24607.538648748701"/>
  </r>
  <r>
    <x v="0"/>
    <x v="0"/>
    <x v="0"/>
    <x v="1"/>
    <x v="2"/>
    <s v="EE_Tallinn"/>
    <x v="3"/>
    <x v="10"/>
    <x v="10"/>
    <x v="3"/>
    <n v="111.717683995846"/>
    <n v="6796.1591097472901"/>
    <n v="24466.172795090199"/>
  </r>
  <r>
    <x v="0"/>
    <x v="0"/>
    <x v="0"/>
    <x v="1"/>
    <x v="2"/>
    <s v="EE_Tallinn"/>
    <x v="3"/>
    <x v="10"/>
    <x v="10"/>
    <x v="4"/>
    <n v="110.611101971121"/>
    <n v="6728.8420365765396"/>
    <n v="24223.831331675501"/>
  </r>
  <r>
    <x v="0"/>
    <x v="0"/>
    <x v="0"/>
    <x v="1"/>
    <x v="2"/>
    <s v="EE_Tallinn"/>
    <x v="3"/>
    <x v="10"/>
    <x v="10"/>
    <x v="5"/>
    <n v="108.951228934035"/>
    <n v="6627.8664268204402"/>
    <n v="23860.3191365536"/>
  </r>
  <r>
    <x v="0"/>
    <x v="0"/>
    <x v="0"/>
    <x v="1"/>
    <x v="2"/>
    <s v="EE_Tallinn"/>
    <x v="3"/>
    <x v="10"/>
    <x v="10"/>
    <x v="6"/>
    <n v="107.01471039076699"/>
    <n v="6510.0615487716595"/>
    <n v="23436.221575578002"/>
  </r>
  <r>
    <x v="0"/>
    <x v="0"/>
    <x v="0"/>
    <x v="1"/>
    <x v="2"/>
    <s v="EE_Tallinn"/>
    <x v="3"/>
    <x v="10"/>
    <x v="10"/>
    <x v="7"/>
    <n v="105.170407016227"/>
    <n v="6397.8664268204602"/>
    <n v="23032.3191365536"/>
  </r>
  <r>
    <x v="0"/>
    <x v="0"/>
    <x v="0"/>
    <x v="1"/>
    <x v="2"/>
    <s v="EE_Tallinn"/>
    <x v="3"/>
    <x v="10"/>
    <x v="10"/>
    <x v="8"/>
    <n v="103.23388847295899"/>
    <n v="6280.0615487716796"/>
    <n v="22608.221575578002"/>
  </r>
  <r>
    <x v="0"/>
    <x v="0"/>
    <x v="0"/>
    <x v="1"/>
    <x v="2"/>
    <s v="EE_Tallinn"/>
    <x v="3"/>
    <x v="10"/>
    <x v="10"/>
    <x v="9"/>
    <n v="101.389585098418"/>
    <n v="6167.8664268204402"/>
    <n v="22204.3191365536"/>
  </r>
  <r>
    <x v="0"/>
    <x v="0"/>
    <x v="0"/>
    <x v="1"/>
    <x v="2"/>
    <s v="EE_Tallinn"/>
    <x v="3"/>
    <x v="10"/>
    <x v="10"/>
    <x v="10"/>
    <n v="100.46743341114799"/>
    <n v="6111.7688658448296"/>
    <n v="22002.3679170414"/>
  </r>
  <r>
    <x v="0"/>
    <x v="0"/>
    <x v="0"/>
    <x v="1"/>
    <x v="2"/>
    <s v="EE_Tallinn"/>
    <x v="3"/>
    <x v="10"/>
    <x v="10"/>
    <x v="11"/>
    <n v="101.112939592237"/>
    <n v="6151.0371585277499"/>
    <n v="22143.733770699899"/>
  </r>
  <r>
    <x v="0"/>
    <x v="0"/>
    <x v="0"/>
    <x v="1"/>
    <x v="2"/>
    <s v="EE_Tallinn"/>
    <x v="3"/>
    <x v="10"/>
    <x v="11"/>
    <x v="0"/>
    <n v="110.97996264603"/>
    <n v="6751.2810609668004"/>
    <n v="24304.611819480499"/>
  </r>
  <r>
    <x v="0"/>
    <x v="0"/>
    <x v="0"/>
    <x v="1"/>
    <x v="2"/>
    <s v="EE_Tallinn"/>
    <x v="3"/>
    <x v="10"/>
    <x v="11"/>
    <x v="1"/>
    <n v="112.732050851843"/>
    <n v="6857.8664268204302"/>
    <n v="24688.319136553499"/>
  </r>
  <r>
    <x v="0"/>
    <x v="0"/>
    <x v="0"/>
    <x v="1"/>
    <x v="2"/>
    <s v="EE_Tallinn"/>
    <x v="3"/>
    <x v="10"/>
    <x v="11"/>
    <x v="2"/>
    <n v="113.93084804529499"/>
    <n v="6930.7932560887502"/>
    <n v="24950.855721919499"/>
  </r>
  <r>
    <x v="0"/>
    <x v="0"/>
    <x v="0"/>
    <x v="1"/>
    <x v="2"/>
    <s v="EE_Tallinn"/>
    <x v="3"/>
    <x v="10"/>
    <x v="11"/>
    <x v="3"/>
    <n v="114.29970872020201"/>
    <n v="6953.2322804789801"/>
    <n v="25031.6362097243"/>
  </r>
  <r>
    <x v="0"/>
    <x v="0"/>
    <x v="0"/>
    <x v="1"/>
    <x v="2"/>
    <s v="EE_Tallinn"/>
    <x v="3"/>
    <x v="10"/>
    <x v="11"/>
    <x v="4"/>
    <n v="113.74641770784"/>
    <n v="6919.5737438936003"/>
    <n v="24910.465478016999"/>
  </r>
  <r>
    <x v="0"/>
    <x v="0"/>
    <x v="0"/>
    <x v="1"/>
    <x v="2"/>
    <s v="EE_Tallinn"/>
    <x v="3"/>
    <x v="10"/>
    <x v="11"/>
    <x v="5"/>
    <n v="112.178759839481"/>
    <n v="6824.2078902350904"/>
    <n v="24567.148404846299"/>
  </r>
  <r>
    <x v="0"/>
    <x v="0"/>
    <x v="0"/>
    <x v="1"/>
    <x v="2"/>
    <s v="EE_Tallinn"/>
    <x v="3"/>
    <x v="10"/>
    <x v="11"/>
    <x v="6"/>
    <n v="109.227874440216"/>
    <n v="6644.6956951131297"/>
    <n v="23920.904502407298"/>
  </r>
  <r>
    <x v="0"/>
    <x v="0"/>
    <x v="0"/>
    <x v="1"/>
    <x v="2"/>
    <s v="EE_Tallinn"/>
    <x v="3"/>
    <x v="10"/>
    <x v="11"/>
    <x v="7"/>
    <n v="105.44705252240701"/>
    <n v="6414.6956951131097"/>
    <n v="23092.9045024072"/>
  </r>
  <r>
    <x v="0"/>
    <x v="0"/>
    <x v="0"/>
    <x v="1"/>
    <x v="2"/>
    <s v="EE_Tallinn"/>
    <x v="3"/>
    <x v="10"/>
    <x v="11"/>
    <x v="8"/>
    <n v="101.94287611078001"/>
    <n v="6201.52496340581"/>
    <n v="22325.489868260898"/>
  </r>
  <r>
    <x v="0"/>
    <x v="0"/>
    <x v="0"/>
    <x v="1"/>
    <x v="2"/>
    <s v="EE_Tallinn"/>
    <x v="3"/>
    <x v="10"/>
    <x v="11"/>
    <x v="9"/>
    <n v="98.530914867880398"/>
    <n v="5993.9639877960499"/>
    <n v="21578.270356065801"/>
  </r>
  <r>
    <x v="0"/>
    <x v="0"/>
    <x v="0"/>
    <x v="1"/>
    <x v="2"/>
    <s v="EE_Tallinn"/>
    <x v="3"/>
    <x v="10"/>
    <x v="11"/>
    <x v="10"/>
    <n v="95.487814299888001"/>
    <n v="5808.8420365765196"/>
    <n v="20911.831331675501"/>
  </r>
  <r>
    <x v="0"/>
    <x v="0"/>
    <x v="0"/>
    <x v="1"/>
    <x v="2"/>
    <s v="EE_Tallinn"/>
    <x v="3"/>
    <x v="10"/>
    <x v="11"/>
    <x v="11"/>
    <n v="93.182435081712597"/>
    <n v="5668.59813413752"/>
    <n v="20406.953282895101"/>
  </r>
  <r>
    <x v="0"/>
    <x v="0"/>
    <x v="0"/>
    <x v="1"/>
    <x v="2"/>
    <s v="EE_Tallinn"/>
    <x v="4"/>
    <x v="7"/>
    <x v="0"/>
    <x v="0"/>
    <n v="47.722342733188697"/>
    <n v="2903.1091829356501"/>
    <n v="10451.1930585683"/>
  </r>
  <r>
    <x v="0"/>
    <x v="0"/>
    <x v="0"/>
    <x v="1"/>
    <x v="2"/>
    <s v="EE_Tallinn"/>
    <x v="4"/>
    <x v="7"/>
    <x v="0"/>
    <x v="1"/>
    <n v="47.722342733188697"/>
    <n v="2903.1091829356501"/>
    <n v="10451.1930585683"/>
  </r>
  <r>
    <x v="0"/>
    <x v="0"/>
    <x v="0"/>
    <x v="1"/>
    <x v="2"/>
    <s v="EE_Tallinn"/>
    <x v="4"/>
    <x v="7"/>
    <x v="0"/>
    <x v="2"/>
    <n v="47.722342733188697"/>
    <n v="2903.1091829356501"/>
    <n v="10451.1930585683"/>
  </r>
  <r>
    <x v="0"/>
    <x v="0"/>
    <x v="0"/>
    <x v="1"/>
    <x v="2"/>
    <s v="EE_Tallinn"/>
    <x v="4"/>
    <x v="7"/>
    <x v="0"/>
    <x v="3"/>
    <n v="47.722342733188697"/>
    <n v="2903.1091829356501"/>
    <n v="10451.1930585683"/>
  </r>
  <r>
    <x v="0"/>
    <x v="0"/>
    <x v="0"/>
    <x v="1"/>
    <x v="2"/>
    <s v="EE_Tallinn"/>
    <x v="4"/>
    <x v="7"/>
    <x v="0"/>
    <x v="4"/>
    <n v="47.722342733188697"/>
    <n v="2903.1091829356501"/>
    <n v="10451.1930585683"/>
  </r>
  <r>
    <x v="0"/>
    <x v="0"/>
    <x v="0"/>
    <x v="1"/>
    <x v="2"/>
    <s v="EE_Tallinn"/>
    <x v="4"/>
    <x v="7"/>
    <x v="0"/>
    <x v="5"/>
    <n v="47.722342733188697"/>
    <n v="2903.1091829356501"/>
    <n v="10451.1930585683"/>
  </r>
  <r>
    <x v="0"/>
    <x v="0"/>
    <x v="0"/>
    <x v="1"/>
    <x v="2"/>
    <s v="EE_Tallinn"/>
    <x v="4"/>
    <x v="7"/>
    <x v="0"/>
    <x v="6"/>
    <n v="47.722342733188697"/>
    <n v="2903.1091829356501"/>
    <n v="10451.1930585683"/>
  </r>
  <r>
    <x v="0"/>
    <x v="0"/>
    <x v="0"/>
    <x v="1"/>
    <x v="2"/>
    <s v="EE_Tallinn"/>
    <x v="4"/>
    <x v="7"/>
    <x v="0"/>
    <x v="7"/>
    <n v="47.722342733188697"/>
    <n v="2903.1091829356501"/>
    <n v="10451.1930585683"/>
  </r>
  <r>
    <x v="0"/>
    <x v="0"/>
    <x v="0"/>
    <x v="1"/>
    <x v="2"/>
    <s v="EE_Tallinn"/>
    <x v="4"/>
    <x v="7"/>
    <x v="0"/>
    <x v="8"/>
    <n v="47.722342733188697"/>
    <n v="2903.1091829356501"/>
    <n v="10451.1930585683"/>
  </r>
  <r>
    <x v="0"/>
    <x v="0"/>
    <x v="0"/>
    <x v="1"/>
    <x v="2"/>
    <s v="EE_Tallinn"/>
    <x v="4"/>
    <x v="7"/>
    <x v="0"/>
    <x v="9"/>
    <n v="47.722342733188697"/>
    <n v="2903.1091829356501"/>
    <n v="10451.1930585683"/>
  </r>
  <r>
    <x v="0"/>
    <x v="0"/>
    <x v="0"/>
    <x v="1"/>
    <x v="2"/>
    <s v="EE_Tallinn"/>
    <x v="4"/>
    <x v="7"/>
    <x v="0"/>
    <x v="10"/>
    <n v="47.722342733188697"/>
    <n v="2903.1091829356501"/>
    <n v="10451.1930585683"/>
  </r>
  <r>
    <x v="0"/>
    <x v="0"/>
    <x v="0"/>
    <x v="1"/>
    <x v="2"/>
    <s v="EE_Tallinn"/>
    <x v="4"/>
    <x v="7"/>
    <x v="0"/>
    <x v="11"/>
    <n v="47.722342733188697"/>
    <n v="2903.1091829356501"/>
    <n v="10451.1930585683"/>
  </r>
  <r>
    <x v="0"/>
    <x v="0"/>
    <x v="0"/>
    <x v="1"/>
    <x v="2"/>
    <s v="EE_Tallinn"/>
    <x v="4"/>
    <x v="7"/>
    <x v="1"/>
    <x v="0"/>
    <n v="47.722342733188697"/>
    <n v="2903.1091829356501"/>
    <n v="10451.1930585683"/>
  </r>
  <r>
    <x v="0"/>
    <x v="0"/>
    <x v="0"/>
    <x v="1"/>
    <x v="2"/>
    <s v="EE_Tallinn"/>
    <x v="4"/>
    <x v="7"/>
    <x v="1"/>
    <x v="1"/>
    <n v="47.722342733188697"/>
    <n v="2903.1091829356501"/>
    <n v="10451.1930585683"/>
  </r>
  <r>
    <x v="0"/>
    <x v="0"/>
    <x v="0"/>
    <x v="1"/>
    <x v="2"/>
    <s v="EE_Tallinn"/>
    <x v="4"/>
    <x v="7"/>
    <x v="1"/>
    <x v="2"/>
    <n v="47.722342733188697"/>
    <n v="2903.1091829356501"/>
    <n v="10451.1930585683"/>
  </r>
  <r>
    <x v="0"/>
    <x v="0"/>
    <x v="0"/>
    <x v="1"/>
    <x v="2"/>
    <s v="EE_Tallinn"/>
    <x v="4"/>
    <x v="7"/>
    <x v="1"/>
    <x v="3"/>
    <n v="47.722342733188697"/>
    <n v="2903.1091829356501"/>
    <n v="10451.1930585683"/>
  </r>
  <r>
    <x v="0"/>
    <x v="0"/>
    <x v="0"/>
    <x v="1"/>
    <x v="2"/>
    <s v="EE_Tallinn"/>
    <x v="4"/>
    <x v="7"/>
    <x v="1"/>
    <x v="4"/>
    <n v="47.722342733188697"/>
    <n v="2903.1091829356501"/>
    <n v="10451.1930585683"/>
  </r>
  <r>
    <x v="0"/>
    <x v="0"/>
    <x v="0"/>
    <x v="1"/>
    <x v="2"/>
    <s v="EE_Tallinn"/>
    <x v="4"/>
    <x v="7"/>
    <x v="1"/>
    <x v="5"/>
    <n v="47.722342733188697"/>
    <n v="2903.1091829356501"/>
    <n v="10451.1930585683"/>
  </r>
  <r>
    <x v="0"/>
    <x v="0"/>
    <x v="0"/>
    <x v="1"/>
    <x v="2"/>
    <s v="EE_Tallinn"/>
    <x v="4"/>
    <x v="7"/>
    <x v="1"/>
    <x v="6"/>
    <n v="47.722342733188697"/>
    <n v="2903.1091829356501"/>
    <n v="10451.1930585683"/>
  </r>
  <r>
    <x v="0"/>
    <x v="0"/>
    <x v="0"/>
    <x v="1"/>
    <x v="2"/>
    <s v="EE_Tallinn"/>
    <x v="4"/>
    <x v="7"/>
    <x v="1"/>
    <x v="7"/>
    <n v="47.722342733188697"/>
    <n v="2903.1091829356501"/>
    <n v="10451.1930585683"/>
  </r>
  <r>
    <x v="0"/>
    <x v="0"/>
    <x v="0"/>
    <x v="1"/>
    <x v="2"/>
    <s v="EE_Tallinn"/>
    <x v="4"/>
    <x v="7"/>
    <x v="1"/>
    <x v="8"/>
    <n v="47.722342733188697"/>
    <n v="2903.1091829356501"/>
    <n v="10451.1930585683"/>
  </r>
  <r>
    <x v="0"/>
    <x v="0"/>
    <x v="0"/>
    <x v="1"/>
    <x v="2"/>
    <s v="EE_Tallinn"/>
    <x v="4"/>
    <x v="7"/>
    <x v="1"/>
    <x v="9"/>
    <n v="47.722342733188697"/>
    <n v="2903.1091829356501"/>
    <n v="10451.1930585683"/>
  </r>
  <r>
    <x v="0"/>
    <x v="0"/>
    <x v="0"/>
    <x v="1"/>
    <x v="2"/>
    <s v="EE_Tallinn"/>
    <x v="4"/>
    <x v="7"/>
    <x v="1"/>
    <x v="10"/>
    <n v="47.722342733188697"/>
    <n v="2903.1091829356501"/>
    <n v="10451.1930585683"/>
  </r>
  <r>
    <x v="0"/>
    <x v="0"/>
    <x v="0"/>
    <x v="1"/>
    <x v="2"/>
    <s v="EE_Tallinn"/>
    <x v="4"/>
    <x v="7"/>
    <x v="1"/>
    <x v="11"/>
    <n v="47.722342733188697"/>
    <n v="2903.1091829356501"/>
    <n v="10451.1930585683"/>
  </r>
  <r>
    <x v="0"/>
    <x v="0"/>
    <x v="0"/>
    <x v="1"/>
    <x v="2"/>
    <s v="EE_Tallinn"/>
    <x v="4"/>
    <x v="7"/>
    <x v="2"/>
    <x v="0"/>
    <n v="47.722342733188697"/>
    <n v="2903.1091829356501"/>
    <n v="10451.1930585683"/>
  </r>
  <r>
    <x v="0"/>
    <x v="0"/>
    <x v="0"/>
    <x v="1"/>
    <x v="2"/>
    <s v="EE_Tallinn"/>
    <x v="4"/>
    <x v="7"/>
    <x v="2"/>
    <x v="1"/>
    <n v="47.722342733188697"/>
    <n v="2903.1091829356501"/>
    <n v="10451.1930585683"/>
  </r>
  <r>
    <x v="0"/>
    <x v="0"/>
    <x v="0"/>
    <x v="1"/>
    <x v="2"/>
    <s v="EE_Tallinn"/>
    <x v="4"/>
    <x v="7"/>
    <x v="2"/>
    <x v="2"/>
    <n v="47.722342733188697"/>
    <n v="2903.1091829356501"/>
    <n v="10451.1930585683"/>
  </r>
  <r>
    <x v="0"/>
    <x v="0"/>
    <x v="0"/>
    <x v="1"/>
    <x v="2"/>
    <s v="EE_Tallinn"/>
    <x v="4"/>
    <x v="7"/>
    <x v="2"/>
    <x v="3"/>
    <n v="47.722342733188697"/>
    <n v="2903.1091829356501"/>
    <n v="10451.1930585683"/>
  </r>
  <r>
    <x v="0"/>
    <x v="0"/>
    <x v="0"/>
    <x v="1"/>
    <x v="2"/>
    <s v="EE_Tallinn"/>
    <x v="4"/>
    <x v="7"/>
    <x v="2"/>
    <x v="4"/>
    <n v="47.722342733188697"/>
    <n v="2903.1091829356501"/>
    <n v="10451.1930585683"/>
  </r>
  <r>
    <x v="0"/>
    <x v="0"/>
    <x v="0"/>
    <x v="1"/>
    <x v="2"/>
    <s v="EE_Tallinn"/>
    <x v="4"/>
    <x v="7"/>
    <x v="2"/>
    <x v="5"/>
    <n v="47.722342733188697"/>
    <n v="2903.1091829356501"/>
    <n v="10451.1930585683"/>
  </r>
  <r>
    <x v="0"/>
    <x v="0"/>
    <x v="0"/>
    <x v="1"/>
    <x v="2"/>
    <s v="EE_Tallinn"/>
    <x v="4"/>
    <x v="7"/>
    <x v="2"/>
    <x v="6"/>
    <n v="47.722342733188697"/>
    <n v="2903.1091829356501"/>
    <n v="10451.1930585683"/>
  </r>
  <r>
    <x v="0"/>
    <x v="0"/>
    <x v="0"/>
    <x v="1"/>
    <x v="2"/>
    <s v="EE_Tallinn"/>
    <x v="4"/>
    <x v="7"/>
    <x v="2"/>
    <x v="7"/>
    <n v="47.722342733188697"/>
    <n v="2903.1091829356501"/>
    <n v="10451.1930585683"/>
  </r>
  <r>
    <x v="0"/>
    <x v="0"/>
    <x v="0"/>
    <x v="1"/>
    <x v="2"/>
    <s v="EE_Tallinn"/>
    <x v="4"/>
    <x v="7"/>
    <x v="2"/>
    <x v="8"/>
    <n v="47.722342733188697"/>
    <n v="2903.1091829356501"/>
    <n v="10451.1930585683"/>
  </r>
  <r>
    <x v="0"/>
    <x v="0"/>
    <x v="0"/>
    <x v="1"/>
    <x v="2"/>
    <s v="EE_Tallinn"/>
    <x v="4"/>
    <x v="7"/>
    <x v="2"/>
    <x v="9"/>
    <n v="47.722342733188697"/>
    <n v="2903.1091829356501"/>
    <n v="10451.1930585683"/>
  </r>
  <r>
    <x v="0"/>
    <x v="0"/>
    <x v="0"/>
    <x v="1"/>
    <x v="2"/>
    <s v="EE_Tallinn"/>
    <x v="4"/>
    <x v="7"/>
    <x v="2"/>
    <x v="10"/>
    <n v="47.722342733188697"/>
    <n v="2903.1091829356501"/>
    <n v="10451.1930585683"/>
  </r>
  <r>
    <x v="0"/>
    <x v="0"/>
    <x v="0"/>
    <x v="1"/>
    <x v="2"/>
    <s v="EE_Tallinn"/>
    <x v="4"/>
    <x v="7"/>
    <x v="2"/>
    <x v="11"/>
    <n v="47.722342733188697"/>
    <n v="2903.1091829356501"/>
    <n v="10451.1930585683"/>
  </r>
  <r>
    <x v="0"/>
    <x v="0"/>
    <x v="0"/>
    <x v="1"/>
    <x v="2"/>
    <s v="EE_Tallinn"/>
    <x v="4"/>
    <x v="7"/>
    <x v="3"/>
    <x v="0"/>
    <n v="47.722342733188697"/>
    <n v="2903.1091829356501"/>
    <n v="10451.1930585683"/>
  </r>
  <r>
    <x v="0"/>
    <x v="0"/>
    <x v="0"/>
    <x v="1"/>
    <x v="2"/>
    <s v="EE_Tallinn"/>
    <x v="4"/>
    <x v="7"/>
    <x v="3"/>
    <x v="1"/>
    <n v="47.722342733188697"/>
    <n v="2903.1091829356501"/>
    <n v="10451.1930585683"/>
  </r>
  <r>
    <x v="0"/>
    <x v="0"/>
    <x v="0"/>
    <x v="1"/>
    <x v="2"/>
    <s v="EE_Tallinn"/>
    <x v="4"/>
    <x v="7"/>
    <x v="3"/>
    <x v="2"/>
    <n v="47.722342733188697"/>
    <n v="2903.1091829356501"/>
    <n v="10451.1930585683"/>
  </r>
  <r>
    <x v="0"/>
    <x v="0"/>
    <x v="0"/>
    <x v="1"/>
    <x v="2"/>
    <s v="EE_Tallinn"/>
    <x v="4"/>
    <x v="7"/>
    <x v="3"/>
    <x v="3"/>
    <n v="47.722342733188697"/>
    <n v="2903.1091829356501"/>
    <n v="10451.1930585683"/>
  </r>
  <r>
    <x v="0"/>
    <x v="0"/>
    <x v="0"/>
    <x v="1"/>
    <x v="2"/>
    <s v="EE_Tallinn"/>
    <x v="4"/>
    <x v="7"/>
    <x v="3"/>
    <x v="4"/>
    <n v="47.722342733188697"/>
    <n v="2903.1091829356501"/>
    <n v="10451.1930585683"/>
  </r>
  <r>
    <x v="0"/>
    <x v="0"/>
    <x v="0"/>
    <x v="1"/>
    <x v="2"/>
    <s v="EE_Tallinn"/>
    <x v="4"/>
    <x v="7"/>
    <x v="3"/>
    <x v="5"/>
    <n v="47.722342733188697"/>
    <n v="2903.1091829356501"/>
    <n v="10451.1930585683"/>
  </r>
  <r>
    <x v="0"/>
    <x v="0"/>
    <x v="0"/>
    <x v="1"/>
    <x v="2"/>
    <s v="EE_Tallinn"/>
    <x v="4"/>
    <x v="7"/>
    <x v="3"/>
    <x v="6"/>
    <n v="47.722342733188697"/>
    <n v="2903.1091829356501"/>
    <n v="10451.1930585683"/>
  </r>
  <r>
    <x v="0"/>
    <x v="0"/>
    <x v="0"/>
    <x v="1"/>
    <x v="2"/>
    <s v="EE_Tallinn"/>
    <x v="4"/>
    <x v="7"/>
    <x v="3"/>
    <x v="7"/>
    <n v="47.722342733188697"/>
    <n v="2903.1091829356501"/>
    <n v="10451.1930585683"/>
  </r>
  <r>
    <x v="0"/>
    <x v="0"/>
    <x v="0"/>
    <x v="1"/>
    <x v="2"/>
    <s v="EE_Tallinn"/>
    <x v="4"/>
    <x v="7"/>
    <x v="3"/>
    <x v="8"/>
    <n v="47.722342733188697"/>
    <n v="2903.1091829356501"/>
    <n v="10451.1930585683"/>
  </r>
  <r>
    <x v="0"/>
    <x v="0"/>
    <x v="0"/>
    <x v="1"/>
    <x v="2"/>
    <s v="EE_Tallinn"/>
    <x v="4"/>
    <x v="7"/>
    <x v="3"/>
    <x v="9"/>
    <n v="47.722342733188697"/>
    <n v="2903.1091829356501"/>
    <n v="10451.1930585683"/>
  </r>
  <r>
    <x v="0"/>
    <x v="0"/>
    <x v="0"/>
    <x v="1"/>
    <x v="2"/>
    <s v="EE_Tallinn"/>
    <x v="4"/>
    <x v="7"/>
    <x v="3"/>
    <x v="10"/>
    <n v="47.722342733188697"/>
    <n v="2903.1091829356501"/>
    <n v="10451.1930585683"/>
  </r>
  <r>
    <x v="0"/>
    <x v="0"/>
    <x v="0"/>
    <x v="1"/>
    <x v="2"/>
    <s v="EE_Tallinn"/>
    <x v="4"/>
    <x v="7"/>
    <x v="3"/>
    <x v="11"/>
    <n v="47.722342733188697"/>
    <n v="2903.1091829356501"/>
    <n v="10451.1930585683"/>
  </r>
  <r>
    <x v="0"/>
    <x v="0"/>
    <x v="0"/>
    <x v="1"/>
    <x v="2"/>
    <s v="EE_Tallinn"/>
    <x v="4"/>
    <x v="7"/>
    <x v="4"/>
    <x v="0"/>
    <n v="47.722342733188697"/>
    <n v="2903.1091829356501"/>
    <n v="10451.1930585683"/>
  </r>
  <r>
    <x v="0"/>
    <x v="0"/>
    <x v="0"/>
    <x v="1"/>
    <x v="2"/>
    <s v="EE_Tallinn"/>
    <x v="4"/>
    <x v="7"/>
    <x v="4"/>
    <x v="1"/>
    <n v="47.722342733188697"/>
    <n v="2903.1091829356501"/>
    <n v="10451.1930585683"/>
  </r>
  <r>
    <x v="0"/>
    <x v="0"/>
    <x v="0"/>
    <x v="1"/>
    <x v="2"/>
    <s v="EE_Tallinn"/>
    <x v="4"/>
    <x v="7"/>
    <x v="4"/>
    <x v="2"/>
    <n v="47.722342733188697"/>
    <n v="2903.1091829356501"/>
    <n v="10451.1930585683"/>
  </r>
  <r>
    <x v="0"/>
    <x v="0"/>
    <x v="0"/>
    <x v="1"/>
    <x v="2"/>
    <s v="EE_Tallinn"/>
    <x v="4"/>
    <x v="7"/>
    <x v="4"/>
    <x v="3"/>
    <n v="47.722342733188697"/>
    <n v="2903.1091829356501"/>
    <n v="10451.1930585683"/>
  </r>
  <r>
    <x v="0"/>
    <x v="0"/>
    <x v="0"/>
    <x v="1"/>
    <x v="2"/>
    <s v="EE_Tallinn"/>
    <x v="4"/>
    <x v="7"/>
    <x v="4"/>
    <x v="4"/>
    <n v="47.722342733188697"/>
    <n v="2903.1091829356501"/>
    <n v="10451.1930585683"/>
  </r>
  <r>
    <x v="0"/>
    <x v="0"/>
    <x v="0"/>
    <x v="1"/>
    <x v="2"/>
    <s v="EE_Tallinn"/>
    <x v="4"/>
    <x v="7"/>
    <x v="4"/>
    <x v="5"/>
    <n v="47.722342733188697"/>
    <n v="2903.1091829356501"/>
    <n v="10451.1930585683"/>
  </r>
  <r>
    <x v="0"/>
    <x v="0"/>
    <x v="0"/>
    <x v="1"/>
    <x v="2"/>
    <s v="EE_Tallinn"/>
    <x v="4"/>
    <x v="7"/>
    <x v="4"/>
    <x v="6"/>
    <n v="47.722342733188697"/>
    <n v="2903.1091829356501"/>
    <n v="10451.1930585683"/>
  </r>
  <r>
    <x v="0"/>
    <x v="0"/>
    <x v="0"/>
    <x v="1"/>
    <x v="2"/>
    <s v="EE_Tallinn"/>
    <x v="4"/>
    <x v="7"/>
    <x v="4"/>
    <x v="7"/>
    <n v="47.722342733188697"/>
    <n v="2903.1091829356501"/>
    <n v="10451.1930585683"/>
  </r>
  <r>
    <x v="0"/>
    <x v="0"/>
    <x v="0"/>
    <x v="1"/>
    <x v="2"/>
    <s v="EE_Tallinn"/>
    <x v="4"/>
    <x v="7"/>
    <x v="4"/>
    <x v="8"/>
    <n v="47.722342733188697"/>
    <n v="2903.1091829356501"/>
    <n v="10451.1930585683"/>
  </r>
  <r>
    <x v="0"/>
    <x v="0"/>
    <x v="0"/>
    <x v="1"/>
    <x v="2"/>
    <s v="EE_Tallinn"/>
    <x v="4"/>
    <x v="7"/>
    <x v="4"/>
    <x v="9"/>
    <n v="47.722342733188697"/>
    <n v="2903.1091829356501"/>
    <n v="10451.1930585683"/>
  </r>
  <r>
    <x v="0"/>
    <x v="0"/>
    <x v="0"/>
    <x v="1"/>
    <x v="2"/>
    <s v="EE_Tallinn"/>
    <x v="4"/>
    <x v="7"/>
    <x v="4"/>
    <x v="10"/>
    <n v="47.722342733188697"/>
    <n v="2903.1091829356501"/>
    <n v="10451.1930585683"/>
  </r>
  <r>
    <x v="0"/>
    <x v="0"/>
    <x v="0"/>
    <x v="1"/>
    <x v="2"/>
    <s v="EE_Tallinn"/>
    <x v="4"/>
    <x v="7"/>
    <x v="4"/>
    <x v="11"/>
    <n v="47.722342733188697"/>
    <n v="2903.1091829356501"/>
    <n v="10451.1930585683"/>
  </r>
  <r>
    <x v="0"/>
    <x v="0"/>
    <x v="0"/>
    <x v="1"/>
    <x v="2"/>
    <s v="EE_Tallinn"/>
    <x v="4"/>
    <x v="7"/>
    <x v="5"/>
    <x v="0"/>
    <n v="47.722342733188697"/>
    <n v="2903.1091829356501"/>
    <n v="10451.1930585683"/>
  </r>
  <r>
    <x v="0"/>
    <x v="0"/>
    <x v="0"/>
    <x v="1"/>
    <x v="2"/>
    <s v="EE_Tallinn"/>
    <x v="4"/>
    <x v="7"/>
    <x v="5"/>
    <x v="1"/>
    <n v="47.722342733188697"/>
    <n v="2903.1091829356501"/>
    <n v="10451.1930585683"/>
  </r>
  <r>
    <x v="0"/>
    <x v="0"/>
    <x v="0"/>
    <x v="1"/>
    <x v="2"/>
    <s v="EE_Tallinn"/>
    <x v="4"/>
    <x v="7"/>
    <x v="5"/>
    <x v="2"/>
    <n v="47.722342733188697"/>
    <n v="2903.1091829356501"/>
    <n v="10451.1930585683"/>
  </r>
  <r>
    <x v="0"/>
    <x v="0"/>
    <x v="0"/>
    <x v="1"/>
    <x v="2"/>
    <s v="EE_Tallinn"/>
    <x v="4"/>
    <x v="7"/>
    <x v="5"/>
    <x v="3"/>
    <n v="47.722342733188697"/>
    <n v="2903.1091829356501"/>
    <n v="10451.1930585683"/>
  </r>
  <r>
    <x v="0"/>
    <x v="0"/>
    <x v="0"/>
    <x v="1"/>
    <x v="2"/>
    <s v="EE_Tallinn"/>
    <x v="4"/>
    <x v="7"/>
    <x v="5"/>
    <x v="4"/>
    <n v="47.722342733188697"/>
    <n v="2903.1091829356501"/>
    <n v="10451.1930585683"/>
  </r>
  <r>
    <x v="0"/>
    <x v="0"/>
    <x v="0"/>
    <x v="1"/>
    <x v="2"/>
    <s v="EE_Tallinn"/>
    <x v="4"/>
    <x v="7"/>
    <x v="5"/>
    <x v="5"/>
    <n v="47.722342733188697"/>
    <n v="2903.1091829356501"/>
    <n v="10451.1930585683"/>
  </r>
  <r>
    <x v="0"/>
    <x v="0"/>
    <x v="0"/>
    <x v="1"/>
    <x v="2"/>
    <s v="EE_Tallinn"/>
    <x v="4"/>
    <x v="7"/>
    <x v="5"/>
    <x v="6"/>
    <n v="47.722342733188697"/>
    <n v="2903.1091829356501"/>
    <n v="10451.1930585683"/>
  </r>
  <r>
    <x v="0"/>
    <x v="0"/>
    <x v="0"/>
    <x v="1"/>
    <x v="2"/>
    <s v="EE_Tallinn"/>
    <x v="4"/>
    <x v="7"/>
    <x v="5"/>
    <x v="7"/>
    <n v="47.722342733188697"/>
    <n v="2903.1091829356501"/>
    <n v="10451.1930585683"/>
  </r>
  <r>
    <x v="0"/>
    <x v="0"/>
    <x v="0"/>
    <x v="1"/>
    <x v="2"/>
    <s v="EE_Tallinn"/>
    <x v="4"/>
    <x v="7"/>
    <x v="5"/>
    <x v="8"/>
    <n v="47.722342733188697"/>
    <n v="2903.1091829356501"/>
    <n v="10451.1930585683"/>
  </r>
  <r>
    <x v="0"/>
    <x v="0"/>
    <x v="0"/>
    <x v="1"/>
    <x v="2"/>
    <s v="EE_Tallinn"/>
    <x v="4"/>
    <x v="7"/>
    <x v="5"/>
    <x v="9"/>
    <n v="47.722342733188697"/>
    <n v="2903.1091829356501"/>
    <n v="10451.1930585683"/>
  </r>
  <r>
    <x v="0"/>
    <x v="0"/>
    <x v="0"/>
    <x v="1"/>
    <x v="2"/>
    <s v="EE_Tallinn"/>
    <x v="4"/>
    <x v="7"/>
    <x v="5"/>
    <x v="10"/>
    <n v="47.722342733188697"/>
    <n v="2903.1091829356501"/>
    <n v="10451.1930585683"/>
  </r>
  <r>
    <x v="0"/>
    <x v="0"/>
    <x v="0"/>
    <x v="1"/>
    <x v="2"/>
    <s v="EE_Tallinn"/>
    <x v="4"/>
    <x v="7"/>
    <x v="5"/>
    <x v="11"/>
    <n v="47.722342733188697"/>
    <n v="2903.1091829356501"/>
    <n v="10451.1930585683"/>
  </r>
  <r>
    <x v="0"/>
    <x v="0"/>
    <x v="0"/>
    <x v="1"/>
    <x v="2"/>
    <s v="EE_Tallinn"/>
    <x v="4"/>
    <x v="7"/>
    <x v="6"/>
    <x v="0"/>
    <n v="47.722342733188697"/>
    <n v="2903.1091829356501"/>
    <n v="10451.1930585683"/>
  </r>
  <r>
    <x v="0"/>
    <x v="0"/>
    <x v="0"/>
    <x v="1"/>
    <x v="2"/>
    <s v="EE_Tallinn"/>
    <x v="4"/>
    <x v="7"/>
    <x v="6"/>
    <x v="1"/>
    <n v="47.722342733188697"/>
    <n v="2903.1091829356501"/>
    <n v="10451.1930585683"/>
  </r>
  <r>
    <x v="0"/>
    <x v="0"/>
    <x v="0"/>
    <x v="1"/>
    <x v="2"/>
    <s v="EE_Tallinn"/>
    <x v="4"/>
    <x v="7"/>
    <x v="6"/>
    <x v="2"/>
    <n v="47.722342733188697"/>
    <n v="2903.1091829356501"/>
    <n v="10451.1930585683"/>
  </r>
  <r>
    <x v="0"/>
    <x v="0"/>
    <x v="0"/>
    <x v="1"/>
    <x v="2"/>
    <s v="EE_Tallinn"/>
    <x v="4"/>
    <x v="7"/>
    <x v="6"/>
    <x v="3"/>
    <n v="47.722342733188697"/>
    <n v="2903.1091829356501"/>
    <n v="10451.1930585683"/>
  </r>
  <r>
    <x v="0"/>
    <x v="0"/>
    <x v="0"/>
    <x v="1"/>
    <x v="2"/>
    <s v="EE_Tallinn"/>
    <x v="4"/>
    <x v="7"/>
    <x v="6"/>
    <x v="4"/>
    <n v="47.722342733188697"/>
    <n v="2903.1091829356501"/>
    <n v="10451.1930585683"/>
  </r>
  <r>
    <x v="0"/>
    <x v="0"/>
    <x v="0"/>
    <x v="1"/>
    <x v="2"/>
    <s v="EE_Tallinn"/>
    <x v="4"/>
    <x v="7"/>
    <x v="6"/>
    <x v="5"/>
    <n v="47.722342733188697"/>
    <n v="2903.1091829356501"/>
    <n v="10451.1930585683"/>
  </r>
  <r>
    <x v="0"/>
    <x v="0"/>
    <x v="0"/>
    <x v="1"/>
    <x v="2"/>
    <s v="EE_Tallinn"/>
    <x v="4"/>
    <x v="7"/>
    <x v="6"/>
    <x v="6"/>
    <n v="47.722342733188697"/>
    <n v="2903.1091829356501"/>
    <n v="10451.1930585683"/>
  </r>
  <r>
    <x v="0"/>
    <x v="0"/>
    <x v="0"/>
    <x v="1"/>
    <x v="2"/>
    <s v="EE_Tallinn"/>
    <x v="4"/>
    <x v="7"/>
    <x v="6"/>
    <x v="7"/>
    <n v="47.722342733188697"/>
    <n v="2903.1091829356501"/>
    <n v="10451.1930585683"/>
  </r>
  <r>
    <x v="0"/>
    <x v="0"/>
    <x v="0"/>
    <x v="1"/>
    <x v="2"/>
    <s v="EE_Tallinn"/>
    <x v="4"/>
    <x v="7"/>
    <x v="6"/>
    <x v="8"/>
    <n v="47.722342733188697"/>
    <n v="2903.1091829356501"/>
    <n v="10451.1930585683"/>
  </r>
  <r>
    <x v="0"/>
    <x v="0"/>
    <x v="0"/>
    <x v="1"/>
    <x v="2"/>
    <s v="EE_Tallinn"/>
    <x v="4"/>
    <x v="7"/>
    <x v="6"/>
    <x v="9"/>
    <n v="47.722342733188697"/>
    <n v="2903.1091829356501"/>
    <n v="10451.1930585683"/>
  </r>
  <r>
    <x v="0"/>
    <x v="0"/>
    <x v="0"/>
    <x v="1"/>
    <x v="2"/>
    <s v="EE_Tallinn"/>
    <x v="4"/>
    <x v="7"/>
    <x v="6"/>
    <x v="10"/>
    <n v="47.722342733188697"/>
    <n v="2903.1091829356501"/>
    <n v="10451.1930585683"/>
  </r>
  <r>
    <x v="0"/>
    <x v="0"/>
    <x v="0"/>
    <x v="1"/>
    <x v="2"/>
    <s v="EE_Tallinn"/>
    <x v="4"/>
    <x v="7"/>
    <x v="6"/>
    <x v="11"/>
    <n v="47.722342733188697"/>
    <n v="2903.1091829356501"/>
    <n v="10451.1930585683"/>
  </r>
  <r>
    <x v="0"/>
    <x v="0"/>
    <x v="0"/>
    <x v="1"/>
    <x v="2"/>
    <s v="EE_Tallinn"/>
    <x v="4"/>
    <x v="7"/>
    <x v="7"/>
    <x v="0"/>
    <n v="47.722342733188697"/>
    <n v="2903.1091829356501"/>
    <n v="10451.1930585683"/>
  </r>
  <r>
    <x v="0"/>
    <x v="0"/>
    <x v="0"/>
    <x v="1"/>
    <x v="2"/>
    <s v="EE_Tallinn"/>
    <x v="4"/>
    <x v="7"/>
    <x v="7"/>
    <x v="1"/>
    <n v="47.722342733188697"/>
    <n v="2903.1091829356501"/>
    <n v="10451.1930585683"/>
  </r>
  <r>
    <x v="0"/>
    <x v="0"/>
    <x v="0"/>
    <x v="1"/>
    <x v="2"/>
    <s v="EE_Tallinn"/>
    <x v="4"/>
    <x v="7"/>
    <x v="7"/>
    <x v="2"/>
    <n v="47.722342733188697"/>
    <n v="2903.1091829356501"/>
    <n v="10451.1930585683"/>
  </r>
  <r>
    <x v="0"/>
    <x v="0"/>
    <x v="0"/>
    <x v="1"/>
    <x v="2"/>
    <s v="EE_Tallinn"/>
    <x v="4"/>
    <x v="7"/>
    <x v="7"/>
    <x v="3"/>
    <n v="47.722342733188697"/>
    <n v="2903.1091829356501"/>
    <n v="10451.1930585683"/>
  </r>
  <r>
    <x v="0"/>
    <x v="0"/>
    <x v="0"/>
    <x v="1"/>
    <x v="2"/>
    <s v="EE_Tallinn"/>
    <x v="4"/>
    <x v="7"/>
    <x v="7"/>
    <x v="4"/>
    <n v="47.722342733188697"/>
    <n v="2903.1091829356501"/>
    <n v="10451.1930585683"/>
  </r>
  <r>
    <x v="0"/>
    <x v="0"/>
    <x v="0"/>
    <x v="1"/>
    <x v="2"/>
    <s v="EE_Tallinn"/>
    <x v="4"/>
    <x v="7"/>
    <x v="7"/>
    <x v="5"/>
    <n v="47.722342733188697"/>
    <n v="2903.1091829356501"/>
    <n v="10451.1930585683"/>
  </r>
  <r>
    <x v="0"/>
    <x v="0"/>
    <x v="0"/>
    <x v="1"/>
    <x v="2"/>
    <s v="EE_Tallinn"/>
    <x v="4"/>
    <x v="7"/>
    <x v="7"/>
    <x v="6"/>
    <n v="47.722342733188697"/>
    <n v="2903.1091829356501"/>
    <n v="10451.1930585683"/>
  </r>
  <r>
    <x v="0"/>
    <x v="0"/>
    <x v="0"/>
    <x v="1"/>
    <x v="2"/>
    <s v="EE_Tallinn"/>
    <x v="4"/>
    <x v="7"/>
    <x v="7"/>
    <x v="7"/>
    <n v="47.722342733188697"/>
    <n v="2903.1091829356501"/>
    <n v="10451.1930585683"/>
  </r>
  <r>
    <x v="0"/>
    <x v="0"/>
    <x v="0"/>
    <x v="1"/>
    <x v="2"/>
    <s v="EE_Tallinn"/>
    <x v="4"/>
    <x v="7"/>
    <x v="7"/>
    <x v="8"/>
    <n v="47.722342733188697"/>
    <n v="2903.1091829356501"/>
    <n v="10451.1930585683"/>
  </r>
  <r>
    <x v="0"/>
    <x v="0"/>
    <x v="0"/>
    <x v="1"/>
    <x v="2"/>
    <s v="EE_Tallinn"/>
    <x v="4"/>
    <x v="7"/>
    <x v="7"/>
    <x v="9"/>
    <n v="47.722342733188697"/>
    <n v="2903.1091829356501"/>
    <n v="10451.1930585683"/>
  </r>
  <r>
    <x v="0"/>
    <x v="0"/>
    <x v="0"/>
    <x v="1"/>
    <x v="2"/>
    <s v="EE_Tallinn"/>
    <x v="4"/>
    <x v="7"/>
    <x v="7"/>
    <x v="10"/>
    <n v="47.722342733188697"/>
    <n v="2903.1091829356501"/>
    <n v="10451.1930585683"/>
  </r>
  <r>
    <x v="0"/>
    <x v="0"/>
    <x v="0"/>
    <x v="1"/>
    <x v="2"/>
    <s v="EE_Tallinn"/>
    <x v="4"/>
    <x v="7"/>
    <x v="7"/>
    <x v="11"/>
    <n v="47.722342733188697"/>
    <n v="2903.1091829356501"/>
    <n v="10451.1930585683"/>
  </r>
  <r>
    <x v="0"/>
    <x v="0"/>
    <x v="0"/>
    <x v="1"/>
    <x v="2"/>
    <s v="EE_Tallinn"/>
    <x v="4"/>
    <x v="7"/>
    <x v="8"/>
    <x v="0"/>
    <n v="47.722342733188697"/>
    <n v="2903.1091829356501"/>
    <n v="10451.1930585683"/>
  </r>
  <r>
    <x v="0"/>
    <x v="0"/>
    <x v="0"/>
    <x v="1"/>
    <x v="2"/>
    <s v="EE_Tallinn"/>
    <x v="4"/>
    <x v="7"/>
    <x v="8"/>
    <x v="1"/>
    <n v="47.722342733188697"/>
    <n v="2903.1091829356501"/>
    <n v="10451.1930585683"/>
  </r>
  <r>
    <x v="0"/>
    <x v="0"/>
    <x v="0"/>
    <x v="1"/>
    <x v="2"/>
    <s v="EE_Tallinn"/>
    <x v="4"/>
    <x v="7"/>
    <x v="8"/>
    <x v="2"/>
    <n v="47.722342733188697"/>
    <n v="2903.1091829356501"/>
    <n v="10451.1930585683"/>
  </r>
  <r>
    <x v="0"/>
    <x v="0"/>
    <x v="0"/>
    <x v="1"/>
    <x v="2"/>
    <s v="EE_Tallinn"/>
    <x v="4"/>
    <x v="7"/>
    <x v="8"/>
    <x v="3"/>
    <n v="47.722342733188697"/>
    <n v="2903.1091829356501"/>
    <n v="10451.1930585683"/>
  </r>
  <r>
    <x v="0"/>
    <x v="0"/>
    <x v="0"/>
    <x v="1"/>
    <x v="2"/>
    <s v="EE_Tallinn"/>
    <x v="4"/>
    <x v="7"/>
    <x v="8"/>
    <x v="4"/>
    <n v="47.722342733188697"/>
    <n v="2903.1091829356501"/>
    <n v="10451.1930585683"/>
  </r>
  <r>
    <x v="0"/>
    <x v="0"/>
    <x v="0"/>
    <x v="1"/>
    <x v="2"/>
    <s v="EE_Tallinn"/>
    <x v="4"/>
    <x v="7"/>
    <x v="8"/>
    <x v="5"/>
    <n v="47.722342733188697"/>
    <n v="2903.1091829356501"/>
    <n v="10451.1930585683"/>
  </r>
  <r>
    <x v="0"/>
    <x v="0"/>
    <x v="0"/>
    <x v="1"/>
    <x v="2"/>
    <s v="EE_Tallinn"/>
    <x v="4"/>
    <x v="7"/>
    <x v="8"/>
    <x v="6"/>
    <n v="47.722342733188697"/>
    <n v="2903.1091829356501"/>
    <n v="10451.1930585683"/>
  </r>
  <r>
    <x v="0"/>
    <x v="0"/>
    <x v="0"/>
    <x v="1"/>
    <x v="2"/>
    <s v="EE_Tallinn"/>
    <x v="4"/>
    <x v="7"/>
    <x v="8"/>
    <x v="7"/>
    <n v="47.722342733188697"/>
    <n v="2903.1091829356501"/>
    <n v="10451.1930585683"/>
  </r>
  <r>
    <x v="0"/>
    <x v="0"/>
    <x v="0"/>
    <x v="1"/>
    <x v="2"/>
    <s v="EE_Tallinn"/>
    <x v="4"/>
    <x v="7"/>
    <x v="8"/>
    <x v="8"/>
    <n v="47.722342733188697"/>
    <n v="2903.1091829356501"/>
    <n v="10451.1930585683"/>
  </r>
  <r>
    <x v="0"/>
    <x v="0"/>
    <x v="0"/>
    <x v="1"/>
    <x v="2"/>
    <s v="EE_Tallinn"/>
    <x v="4"/>
    <x v="7"/>
    <x v="8"/>
    <x v="9"/>
    <n v="47.722342733188697"/>
    <n v="2903.1091829356501"/>
    <n v="10451.1930585683"/>
  </r>
  <r>
    <x v="0"/>
    <x v="0"/>
    <x v="0"/>
    <x v="1"/>
    <x v="2"/>
    <s v="EE_Tallinn"/>
    <x v="4"/>
    <x v="7"/>
    <x v="8"/>
    <x v="10"/>
    <n v="47.722342733188697"/>
    <n v="2903.1091829356501"/>
    <n v="10451.1930585683"/>
  </r>
  <r>
    <x v="0"/>
    <x v="0"/>
    <x v="0"/>
    <x v="1"/>
    <x v="2"/>
    <s v="EE_Tallinn"/>
    <x v="4"/>
    <x v="7"/>
    <x v="8"/>
    <x v="11"/>
    <n v="47.722342733188697"/>
    <n v="2903.1091829356501"/>
    <n v="10451.1930585683"/>
  </r>
  <r>
    <x v="0"/>
    <x v="0"/>
    <x v="0"/>
    <x v="1"/>
    <x v="2"/>
    <s v="EE_Tallinn"/>
    <x v="4"/>
    <x v="7"/>
    <x v="9"/>
    <x v="0"/>
    <n v="47.722342733188697"/>
    <n v="2903.1091829356501"/>
    <n v="10451.1930585683"/>
  </r>
  <r>
    <x v="0"/>
    <x v="0"/>
    <x v="0"/>
    <x v="1"/>
    <x v="2"/>
    <s v="EE_Tallinn"/>
    <x v="4"/>
    <x v="7"/>
    <x v="9"/>
    <x v="1"/>
    <n v="47.722342733188697"/>
    <n v="2903.1091829356501"/>
    <n v="10451.1930585683"/>
  </r>
  <r>
    <x v="0"/>
    <x v="0"/>
    <x v="0"/>
    <x v="1"/>
    <x v="2"/>
    <s v="EE_Tallinn"/>
    <x v="4"/>
    <x v="7"/>
    <x v="9"/>
    <x v="2"/>
    <n v="47.722342733188697"/>
    <n v="2903.1091829356501"/>
    <n v="10451.1930585683"/>
  </r>
  <r>
    <x v="0"/>
    <x v="0"/>
    <x v="0"/>
    <x v="1"/>
    <x v="2"/>
    <s v="EE_Tallinn"/>
    <x v="4"/>
    <x v="7"/>
    <x v="9"/>
    <x v="3"/>
    <n v="47.722342733188697"/>
    <n v="2903.1091829356501"/>
    <n v="10451.1930585683"/>
  </r>
  <r>
    <x v="0"/>
    <x v="0"/>
    <x v="0"/>
    <x v="1"/>
    <x v="2"/>
    <s v="EE_Tallinn"/>
    <x v="4"/>
    <x v="7"/>
    <x v="9"/>
    <x v="4"/>
    <n v="47.722342733188697"/>
    <n v="2903.1091829356501"/>
    <n v="10451.1930585683"/>
  </r>
  <r>
    <x v="0"/>
    <x v="0"/>
    <x v="0"/>
    <x v="1"/>
    <x v="2"/>
    <s v="EE_Tallinn"/>
    <x v="4"/>
    <x v="7"/>
    <x v="9"/>
    <x v="5"/>
    <n v="47.722342733188697"/>
    <n v="2903.1091829356501"/>
    <n v="10451.1930585683"/>
  </r>
  <r>
    <x v="0"/>
    <x v="0"/>
    <x v="0"/>
    <x v="1"/>
    <x v="2"/>
    <s v="EE_Tallinn"/>
    <x v="4"/>
    <x v="7"/>
    <x v="9"/>
    <x v="6"/>
    <n v="47.722342733188697"/>
    <n v="2903.1091829356501"/>
    <n v="10451.1930585683"/>
  </r>
  <r>
    <x v="0"/>
    <x v="0"/>
    <x v="0"/>
    <x v="1"/>
    <x v="2"/>
    <s v="EE_Tallinn"/>
    <x v="4"/>
    <x v="7"/>
    <x v="9"/>
    <x v="7"/>
    <n v="47.722342733188697"/>
    <n v="2903.1091829356501"/>
    <n v="10451.1930585683"/>
  </r>
  <r>
    <x v="0"/>
    <x v="0"/>
    <x v="0"/>
    <x v="1"/>
    <x v="2"/>
    <s v="EE_Tallinn"/>
    <x v="4"/>
    <x v="7"/>
    <x v="9"/>
    <x v="8"/>
    <n v="47.722342733188697"/>
    <n v="2903.1091829356501"/>
    <n v="10451.1930585683"/>
  </r>
  <r>
    <x v="0"/>
    <x v="0"/>
    <x v="0"/>
    <x v="1"/>
    <x v="2"/>
    <s v="EE_Tallinn"/>
    <x v="4"/>
    <x v="7"/>
    <x v="9"/>
    <x v="9"/>
    <n v="47.722342733188697"/>
    <n v="2903.1091829356501"/>
    <n v="10451.1930585683"/>
  </r>
  <r>
    <x v="0"/>
    <x v="0"/>
    <x v="0"/>
    <x v="1"/>
    <x v="2"/>
    <s v="EE_Tallinn"/>
    <x v="4"/>
    <x v="7"/>
    <x v="9"/>
    <x v="10"/>
    <n v="47.722342733188697"/>
    <n v="2903.1091829356501"/>
    <n v="10451.1930585683"/>
  </r>
  <r>
    <x v="0"/>
    <x v="0"/>
    <x v="0"/>
    <x v="1"/>
    <x v="2"/>
    <s v="EE_Tallinn"/>
    <x v="4"/>
    <x v="7"/>
    <x v="9"/>
    <x v="11"/>
    <n v="47.722342733188697"/>
    <n v="2903.1091829356501"/>
    <n v="10451.1930585683"/>
  </r>
  <r>
    <x v="0"/>
    <x v="0"/>
    <x v="0"/>
    <x v="1"/>
    <x v="2"/>
    <s v="EE_Tallinn"/>
    <x v="4"/>
    <x v="7"/>
    <x v="10"/>
    <x v="0"/>
    <n v="47.722342733188697"/>
    <n v="2903.1091829356501"/>
    <n v="10451.1930585683"/>
  </r>
  <r>
    <x v="0"/>
    <x v="0"/>
    <x v="0"/>
    <x v="1"/>
    <x v="2"/>
    <s v="EE_Tallinn"/>
    <x v="4"/>
    <x v="7"/>
    <x v="10"/>
    <x v="1"/>
    <n v="47.722342733188697"/>
    <n v="2903.1091829356501"/>
    <n v="10451.1930585683"/>
  </r>
  <r>
    <x v="0"/>
    <x v="0"/>
    <x v="0"/>
    <x v="1"/>
    <x v="2"/>
    <s v="EE_Tallinn"/>
    <x v="4"/>
    <x v="7"/>
    <x v="10"/>
    <x v="2"/>
    <n v="47.722342733188697"/>
    <n v="2903.1091829356501"/>
    <n v="10451.1930585683"/>
  </r>
  <r>
    <x v="0"/>
    <x v="0"/>
    <x v="0"/>
    <x v="1"/>
    <x v="2"/>
    <s v="EE_Tallinn"/>
    <x v="4"/>
    <x v="7"/>
    <x v="10"/>
    <x v="3"/>
    <n v="47.722342733188697"/>
    <n v="2903.1091829356501"/>
    <n v="10451.1930585683"/>
  </r>
  <r>
    <x v="0"/>
    <x v="0"/>
    <x v="0"/>
    <x v="1"/>
    <x v="2"/>
    <s v="EE_Tallinn"/>
    <x v="4"/>
    <x v="7"/>
    <x v="10"/>
    <x v="4"/>
    <n v="47.722342733188697"/>
    <n v="2903.1091829356501"/>
    <n v="10451.1930585683"/>
  </r>
  <r>
    <x v="0"/>
    <x v="0"/>
    <x v="0"/>
    <x v="1"/>
    <x v="2"/>
    <s v="EE_Tallinn"/>
    <x v="4"/>
    <x v="7"/>
    <x v="10"/>
    <x v="5"/>
    <n v="47.722342733188697"/>
    <n v="2903.1091829356501"/>
    <n v="10451.1930585683"/>
  </r>
  <r>
    <x v="0"/>
    <x v="0"/>
    <x v="0"/>
    <x v="1"/>
    <x v="2"/>
    <s v="EE_Tallinn"/>
    <x v="4"/>
    <x v="7"/>
    <x v="10"/>
    <x v="6"/>
    <n v="47.722342733188697"/>
    <n v="2903.1091829356501"/>
    <n v="10451.1930585683"/>
  </r>
  <r>
    <x v="0"/>
    <x v="0"/>
    <x v="0"/>
    <x v="1"/>
    <x v="2"/>
    <s v="EE_Tallinn"/>
    <x v="4"/>
    <x v="7"/>
    <x v="10"/>
    <x v="7"/>
    <n v="47.722342733188697"/>
    <n v="2903.1091829356501"/>
    <n v="10451.1930585683"/>
  </r>
  <r>
    <x v="0"/>
    <x v="0"/>
    <x v="0"/>
    <x v="1"/>
    <x v="2"/>
    <s v="EE_Tallinn"/>
    <x v="4"/>
    <x v="7"/>
    <x v="10"/>
    <x v="8"/>
    <n v="47.722342733188697"/>
    <n v="2903.1091829356501"/>
    <n v="10451.1930585683"/>
  </r>
  <r>
    <x v="0"/>
    <x v="0"/>
    <x v="0"/>
    <x v="1"/>
    <x v="2"/>
    <s v="EE_Tallinn"/>
    <x v="4"/>
    <x v="7"/>
    <x v="10"/>
    <x v="9"/>
    <n v="47.722342733188697"/>
    <n v="2903.1091829356501"/>
    <n v="10451.1930585683"/>
  </r>
  <r>
    <x v="0"/>
    <x v="0"/>
    <x v="0"/>
    <x v="1"/>
    <x v="2"/>
    <s v="EE_Tallinn"/>
    <x v="4"/>
    <x v="7"/>
    <x v="10"/>
    <x v="10"/>
    <n v="47.722342733188697"/>
    <n v="2903.1091829356501"/>
    <n v="10451.1930585683"/>
  </r>
  <r>
    <x v="0"/>
    <x v="0"/>
    <x v="0"/>
    <x v="1"/>
    <x v="2"/>
    <s v="EE_Tallinn"/>
    <x v="4"/>
    <x v="7"/>
    <x v="10"/>
    <x v="11"/>
    <n v="47.722342733188697"/>
    <n v="2903.1091829356501"/>
    <n v="10451.1930585683"/>
  </r>
  <r>
    <x v="0"/>
    <x v="0"/>
    <x v="0"/>
    <x v="1"/>
    <x v="2"/>
    <s v="EE_Tallinn"/>
    <x v="4"/>
    <x v="7"/>
    <x v="11"/>
    <x v="0"/>
    <n v="47.722342733188697"/>
    <n v="2903.1091829356501"/>
    <n v="10451.1930585683"/>
  </r>
  <r>
    <x v="0"/>
    <x v="0"/>
    <x v="0"/>
    <x v="1"/>
    <x v="2"/>
    <s v="EE_Tallinn"/>
    <x v="4"/>
    <x v="7"/>
    <x v="11"/>
    <x v="1"/>
    <n v="47.722342733188697"/>
    <n v="2903.1091829356501"/>
    <n v="10451.1930585683"/>
  </r>
  <r>
    <x v="0"/>
    <x v="0"/>
    <x v="0"/>
    <x v="1"/>
    <x v="2"/>
    <s v="EE_Tallinn"/>
    <x v="4"/>
    <x v="7"/>
    <x v="11"/>
    <x v="2"/>
    <n v="47.722342733188697"/>
    <n v="2903.1091829356501"/>
    <n v="10451.1930585683"/>
  </r>
  <r>
    <x v="0"/>
    <x v="0"/>
    <x v="0"/>
    <x v="1"/>
    <x v="2"/>
    <s v="EE_Tallinn"/>
    <x v="4"/>
    <x v="7"/>
    <x v="11"/>
    <x v="3"/>
    <n v="47.722342733188697"/>
    <n v="2903.1091829356501"/>
    <n v="10451.1930585683"/>
  </r>
  <r>
    <x v="0"/>
    <x v="0"/>
    <x v="0"/>
    <x v="1"/>
    <x v="2"/>
    <s v="EE_Tallinn"/>
    <x v="4"/>
    <x v="7"/>
    <x v="11"/>
    <x v="4"/>
    <n v="47.722342733188697"/>
    <n v="2903.1091829356501"/>
    <n v="10451.1930585683"/>
  </r>
  <r>
    <x v="0"/>
    <x v="0"/>
    <x v="0"/>
    <x v="1"/>
    <x v="2"/>
    <s v="EE_Tallinn"/>
    <x v="4"/>
    <x v="7"/>
    <x v="11"/>
    <x v="5"/>
    <n v="47.722342733188697"/>
    <n v="2903.1091829356501"/>
    <n v="10451.1930585683"/>
  </r>
  <r>
    <x v="0"/>
    <x v="0"/>
    <x v="0"/>
    <x v="1"/>
    <x v="2"/>
    <s v="EE_Tallinn"/>
    <x v="4"/>
    <x v="7"/>
    <x v="11"/>
    <x v="6"/>
    <n v="47.722342733188697"/>
    <n v="2903.1091829356501"/>
    <n v="10451.1930585683"/>
  </r>
  <r>
    <x v="0"/>
    <x v="0"/>
    <x v="0"/>
    <x v="1"/>
    <x v="2"/>
    <s v="EE_Tallinn"/>
    <x v="4"/>
    <x v="7"/>
    <x v="11"/>
    <x v="7"/>
    <n v="47.722342733188697"/>
    <n v="2903.1091829356501"/>
    <n v="10451.1930585683"/>
  </r>
  <r>
    <x v="0"/>
    <x v="0"/>
    <x v="0"/>
    <x v="1"/>
    <x v="2"/>
    <s v="EE_Tallinn"/>
    <x v="4"/>
    <x v="7"/>
    <x v="11"/>
    <x v="8"/>
    <n v="47.722342733188697"/>
    <n v="2903.1091829356501"/>
    <n v="10451.1930585683"/>
  </r>
  <r>
    <x v="0"/>
    <x v="0"/>
    <x v="0"/>
    <x v="1"/>
    <x v="2"/>
    <s v="EE_Tallinn"/>
    <x v="4"/>
    <x v="7"/>
    <x v="11"/>
    <x v="9"/>
    <n v="47.722342733188697"/>
    <n v="2903.1091829356501"/>
    <n v="10451.1930585683"/>
  </r>
  <r>
    <x v="0"/>
    <x v="0"/>
    <x v="0"/>
    <x v="1"/>
    <x v="2"/>
    <s v="EE_Tallinn"/>
    <x v="4"/>
    <x v="7"/>
    <x v="11"/>
    <x v="10"/>
    <n v="47.722342733188697"/>
    <n v="2903.1091829356501"/>
    <n v="10451.1930585683"/>
  </r>
  <r>
    <x v="0"/>
    <x v="0"/>
    <x v="0"/>
    <x v="1"/>
    <x v="2"/>
    <s v="EE_Tallinn"/>
    <x v="4"/>
    <x v="7"/>
    <x v="11"/>
    <x v="11"/>
    <n v="47.722342733188697"/>
    <n v="2903.1091829356501"/>
    <n v="10451.1930585683"/>
  </r>
  <r>
    <x v="0"/>
    <x v="0"/>
    <x v="0"/>
    <x v="1"/>
    <x v="2"/>
    <s v="EE_Tartu"/>
    <x v="3"/>
    <x v="10"/>
    <x v="1"/>
    <x v="0"/>
    <n v="11.6124639118697"/>
    <n v="706.424887972075"/>
    <n v="2543.1295966994699"/>
  </r>
  <r>
    <x v="0"/>
    <x v="0"/>
    <x v="0"/>
    <x v="1"/>
    <x v="2"/>
    <s v="EE_Tartu"/>
    <x v="3"/>
    <x v="10"/>
    <x v="1"/>
    <x v="1"/>
    <n v="11.989192842949601"/>
    <n v="729.34256461276902"/>
    <n v="2625.6332326059701"/>
  </r>
  <r>
    <x v="0"/>
    <x v="0"/>
    <x v="0"/>
    <x v="1"/>
    <x v="2"/>
    <s v="EE_Tartu"/>
    <x v="3"/>
    <x v="10"/>
    <x v="1"/>
    <x v="2"/>
    <n v="12.106920633912001"/>
    <n v="736.50433856297798"/>
    <n v="2651.4156188267202"/>
  </r>
  <r>
    <x v="0"/>
    <x v="0"/>
    <x v="0"/>
    <x v="1"/>
    <x v="2"/>
    <s v="EE_Tartu"/>
    <x v="3"/>
    <x v="10"/>
    <x v="1"/>
    <x v="3"/>
    <n v="11.7537372610244"/>
    <n v="715.01901671231803"/>
    <n v="2574.0684601643502"/>
  </r>
  <r>
    <x v="0"/>
    <x v="0"/>
    <x v="0"/>
    <x v="1"/>
    <x v="2"/>
    <s v="EE_Tartu"/>
    <x v="3"/>
    <x v="10"/>
    <x v="1"/>
    <x v="4"/>
    <n v="10.9767338406728"/>
    <n v="667.75130864093103"/>
    <n v="2403.9047111073501"/>
  </r>
  <r>
    <x v="0"/>
    <x v="0"/>
    <x v="0"/>
    <x v="1"/>
    <x v="2"/>
    <s v="EE_Tartu"/>
    <x v="3"/>
    <x v="10"/>
    <x v="1"/>
    <x v="5"/>
    <n v="9.8465470474334609"/>
    <n v="598.99827871886896"/>
    <n v="2156.3938033879299"/>
  </r>
  <r>
    <x v="0"/>
    <x v="0"/>
    <x v="0"/>
    <x v="1"/>
    <x v="2"/>
    <s v="EE_Tartu"/>
    <x v="3"/>
    <x v="10"/>
    <x v="1"/>
    <x v="6"/>
    <n v="8.4102679976919301"/>
    <n v="511.624636526259"/>
    <n v="1841.8486914945299"/>
  </r>
  <r>
    <x v="0"/>
    <x v="0"/>
    <x v="0"/>
    <x v="1"/>
    <x v="2"/>
    <s v="EE_Tartu"/>
    <x v="3"/>
    <x v="10"/>
    <x v="1"/>
    <x v="7"/>
    <n v="6.6443511332556504"/>
    <n v="404.19802727305199"/>
    <n v="1455.11289818299"/>
  </r>
  <r>
    <x v="0"/>
    <x v="0"/>
    <x v="0"/>
    <x v="1"/>
    <x v="2"/>
    <s v="EE_Tartu"/>
    <x v="3"/>
    <x v="10"/>
    <x v="1"/>
    <x v="8"/>
    <n v="5.1138898507442603"/>
    <n v="311.09496592027602"/>
    <n v="1119.9418773129901"/>
  </r>
  <r>
    <x v="0"/>
    <x v="0"/>
    <x v="0"/>
    <x v="1"/>
    <x v="2"/>
    <s v="EE_Tartu"/>
    <x v="3"/>
    <x v="10"/>
    <x v="1"/>
    <x v="9"/>
    <n v="3.7247019173877201"/>
    <n v="226.58603330775301"/>
    <n v="815.70971990791099"/>
  </r>
  <r>
    <x v="0"/>
    <x v="0"/>
    <x v="0"/>
    <x v="1"/>
    <x v="2"/>
    <s v="EE_Tartu"/>
    <x v="3"/>
    <x v="10"/>
    <x v="1"/>
    <x v="10"/>
    <n v="2.4767873331861399"/>
    <n v="150.67122943549001"/>
    <n v="542.41642596776398"/>
  </r>
  <r>
    <x v="0"/>
    <x v="0"/>
    <x v="0"/>
    <x v="1"/>
    <x v="2"/>
    <s v="EE_Tartu"/>
    <x v="3"/>
    <x v="10"/>
    <x v="1"/>
    <x v="11"/>
    <n v="1.4407827727168101"/>
    <n v="87.647618673605905"/>
    <n v="315.53142722498097"/>
  </r>
  <r>
    <x v="0"/>
    <x v="0"/>
    <x v="0"/>
    <x v="1"/>
    <x v="2"/>
    <s v="EE_Tartu"/>
    <x v="3"/>
    <x v="10"/>
    <x v="2"/>
    <x v="5"/>
    <n v="9.8685955745253295E-2"/>
    <n v="6.0033956411695799"/>
    <n v="21.6122243082105"/>
  </r>
  <r>
    <x v="0"/>
    <x v="0"/>
    <x v="0"/>
    <x v="1"/>
    <x v="2"/>
    <s v="EE_Tartu"/>
    <x v="3"/>
    <x v="10"/>
    <x v="2"/>
    <x v="6"/>
    <n v="0.334141537670128"/>
    <n v="20.326943541599402"/>
    <n v="73.176996749758004"/>
  </r>
  <r>
    <x v="0"/>
    <x v="0"/>
    <x v="0"/>
    <x v="1"/>
    <x v="2"/>
    <s v="EE_Tartu"/>
    <x v="3"/>
    <x v="10"/>
    <x v="2"/>
    <x v="7"/>
    <n v="0.52250600320996199"/>
    <n v="31.785781861939402"/>
    <n v="114.428814702982"/>
  </r>
  <r>
    <x v="0"/>
    <x v="0"/>
    <x v="0"/>
    <x v="1"/>
    <x v="2"/>
    <s v="EE_Tartu"/>
    <x v="3"/>
    <x v="10"/>
    <x v="2"/>
    <x v="8"/>
    <n v="0.68732491055734402"/>
    <n v="41.812265392238402"/>
    <n v="150.52415541205801"/>
  </r>
  <r>
    <x v="0"/>
    <x v="0"/>
    <x v="0"/>
    <x v="1"/>
    <x v="2"/>
    <s v="EE_Tartu"/>
    <x v="3"/>
    <x v="10"/>
    <x v="2"/>
    <x v="9"/>
    <n v="0.89923493428970203"/>
    <n v="54.703458502623498"/>
    <n v="196.932450609445"/>
  </r>
  <r>
    <x v="0"/>
    <x v="0"/>
    <x v="0"/>
    <x v="1"/>
    <x v="2"/>
    <s v="EE_Tartu"/>
    <x v="3"/>
    <x v="10"/>
    <x v="2"/>
    <x v="10"/>
    <n v="0.99341716705961902"/>
    <n v="60.432877662793501"/>
    <n v="217.55835958605601"/>
  </r>
  <r>
    <x v="0"/>
    <x v="0"/>
    <x v="0"/>
    <x v="1"/>
    <x v="2"/>
    <s v="EE_Tartu"/>
    <x v="3"/>
    <x v="10"/>
    <x v="2"/>
    <x v="11"/>
    <n v="0.85214381790476801"/>
    <n v="51.838748922539999"/>
    <n v="186.61949612114401"/>
  </r>
  <r>
    <x v="0"/>
    <x v="0"/>
    <x v="0"/>
    <x v="1"/>
    <x v="2"/>
    <s v="EE_Tartu"/>
    <x v="3"/>
    <x v="10"/>
    <x v="3"/>
    <x v="0"/>
    <n v="1.04050828344461"/>
    <n v="63.297587242880397"/>
    <n v="227.871314074369"/>
  </r>
  <r>
    <x v="0"/>
    <x v="0"/>
    <x v="0"/>
    <x v="1"/>
    <x v="2"/>
    <s v="EE_Tartu"/>
    <x v="3"/>
    <x v="10"/>
    <x v="3"/>
    <x v="1"/>
    <n v="1.7939661456040701"/>
    <n v="109.132940524247"/>
    <n v="392.87858588729102"/>
  </r>
  <r>
    <x v="0"/>
    <x v="0"/>
    <x v="0"/>
    <x v="1"/>
    <x v="2"/>
    <s v="EE_Tartu"/>
    <x v="3"/>
    <x v="10"/>
    <x v="3"/>
    <x v="2"/>
    <n v="2.40615065860869"/>
    <n v="146.37416506536201"/>
    <n v="526.94699423530301"/>
  </r>
  <r>
    <x v="0"/>
    <x v="0"/>
    <x v="0"/>
    <x v="1"/>
    <x v="2"/>
    <s v="EE_Tartu"/>
    <x v="3"/>
    <x v="10"/>
    <x v="3"/>
    <x v="3"/>
    <n v="2.9241529388433198"/>
    <n v="177.885970446302"/>
    <n v="640.38949360668698"/>
  </r>
  <r>
    <x v="0"/>
    <x v="0"/>
    <x v="0"/>
    <x v="1"/>
    <x v="2"/>
    <s v="EE_Tartu"/>
    <x v="3"/>
    <x v="10"/>
    <x v="3"/>
    <x v="4"/>
    <n v="3.3244274281155199"/>
    <n v="202.23600187702701"/>
    <n v="728.04960675729899"/>
  </r>
  <r>
    <x v="0"/>
    <x v="0"/>
    <x v="0"/>
    <x v="1"/>
    <x v="2"/>
    <s v="EE_Tartu"/>
    <x v="3"/>
    <x v="10"/>
    <x v="3"/>
    <x v="5"/>
    <n v="3.4657007772704298"/>
    <n v="210.830130617284"/>
    <n v="758.98847022222401"/>
  </r>
  <r>
    <x v="0"/>
    <x v="0"/>
    <x v="0"/>
    <x v="1"/>
    <x v="2"/>
    <s v="EE_Tartu"/>
    <x v="3"/>
    <x v="10"/>
    <x v="3"/>
    <x v="6"/>
    <n v="3.4421552190778999"/>
    <n v="209.397775827239"/>
    <n v="753.83199297806095"/>
  </r>
  <r>
    <x v="0"/>
    <x v="0"/>
    <x v="0"/>
    <x v="1"/>
    <x v="2"/>
    <s v="EE_Tartu"/>
    <x v="3"/>
    <x v="10"/>
    <x v="3"/>
    <x v="7"/>
    <n v="3.2773363117305401"/>
    <n v="199.37129229694099"/>
    <n v="717.736652268988"/>
  </r>
  <r>
    <x v="0"/>
    <x v="0"/>
    <x v="0"/>
    <x v="1"/>
    <x v="2"/>
    <s v="EE_Tartu"/>
    <x v="3"/>
    <x v="10"/>
    <x v="3"/>
    <x v="8"/>
    <n v="3.0654262879981702"/>
    <n v="186.48009918655501"/>
    <n v="671.32835707159995"/>
  </r>
  <r>
    <x v="0"/>
    <x v="0"/>
    <x v="0"/>
    <x v="1"/>
    <x v="2"/>
    <s v="EE_Tartu"/>
    <x v="3"/>
    <x v="10"/>
    <x v="3"/>
    <x v="9"/>
    <n v="2.78287958968841"/>
    <n v="169.29184170604501"/>
    <n v="609.45063014176299"/>
  </r>
  <r>
    <x v="0"/>
    <x v="0"/>
    <x v="0"/>
    <x v="1"/>
    <x v="2"/>
    <s v="EE_Tartu"/>
    <x v="3"/>
    <x v="10"/>
    <x v="3"/>
    <x v="10"/>
    <n v="2.45324177499361"/>
    <n v="149.23887464544501"/>
    <n v="537.25994872360195"/>
  </r>
  <r>
    <x v="0"/>
    <x v="0"/>
    <x v="0"/>
    <x v="1"/>
    <x v="2"/>
    <s v="EE_Tartu"/>
    <x v="3"/>
    <x v="10"/>
    <x v="3"/>
    <x v="11"/>
    <n v="2.1236039602988699"/>
    <n v="129.185907584848"/>
    <n v="465.06926730545302"/>
  </r>
  <r>
    <x v="0"/>
    <x v="0"/>
    <x v="0"/>
    <x v="1"/>
    <x v="2"/>
    <s v="EE_Tartu"/>
    <x v="3"/>
    <x v="10"/>
    <x v="4"/>
    <x v="0"/>
    <n v="18.746768044192098"/>
    <n v="1140.42838935502"/>
    <n v="4105.5422016780703"/>
  </r>
  <r>
    <x v="0"/>
    <x v="0"/>
    <x v="0"/>
    <x v="1"/>
    <x v="2"/>
    <s v="EE_Tartu"/>
    <x v="3"/>
    <x v="10"/>
    <x v="4"/>
    <x v="1"/>
    <n v="18.770313602384501"/>
    <n v="1141.8607441450599"/>
    <n v="4110.6986789222001"/>
  </r>
  <r>
    <x v="0"/>
    <x v="0"/>
    <x v="0"/>
    <x v="1"/>
    <x v="2"/>
    <s v="EE_Tartu"/>
    <x v="3"/>
    <x v="10"/>
    <x v="4"/>
    <x v="2"/>
    <n v="18.3229479967275"/>
    <n v="1114.6460031342599"/>
    <n v="4012.7256112833202"/>
  </r>
  <r>
    <x v="0"/>
    <x v="0"/>
    <x v="0"/>
    <x v="1"/>
    <x v="2"/>
    <s v="EE_Tartu"/>
    <x v="3"/>
    <x v="10"/>
    <x v="4"/>
    <x v="3"/>
    <n v="17.545944576375302"/>
    <n v="1067.3782950628299"/>
    <n v="3842.5618622262"/>
  </r>
  <r>
    <x v="0"/>
    <x v="0"/>
    <x v="0"/>
    <x v="1"/>
    <x v="2"/>
    <s v="EE_Tartu"/>
    <x v="3"/>
    <x v="10"/>
    <x v="4"/>
    <x v="4"/>
    <n v="16.7453955978308"/>
    <n v="1018.67823220138"/>
    <n v="3667.2416359249501"/>
  </r>
  <r>
    <x v="0"/>
    <x v="0"/>
    <x v="0"/>
    <x v="1"/>
    <x v="2"/>
    <s v="EE_Tartu"/>
    <x v="3"/>
    <x v="10"/>
    <x v="4"/>
    <x v="5"/>
    <n v="15.662299920977"/>
    <n v="952.789911859433"/>
    <n v="3430.0436826939599"/>
  </r>
  <r>
    <x v="0"/>
    <x v="0"/>
    <x v="0"/>
    <x v="1"/>
    <x v="2"/>
    <s v="EE_Tartu"/>
    <x v="3"/>
    <x v="10"/>
    <x v="4"/>
    <x v="6"/>
    <n v="14.2966575458126"/>
    <n v="869.71333403693404"/>
    <n v="3130.9680025329599"/>
  </r>
  <r>
    <x v="0"/>
    <x v="0"/>
    <x v="0"/>
    <x v="1"/>
    <x v="2"/>
    <s v="EE_Tartu"/>
    <x v="3"/>
    <x v="10"/>
    <x v="4"/>
    <x v="7"/>
    <n v="12.860378496071201"/>
    <n v="782.33969184433101"/>
    <n v="2816.4228906395902"/>
  </r>
  <r>
    <x v="0"/>
    <x v="0"/>
    <x v="0"/>
    <x v="1"/>
    <x v="2"/>
    <s v="EE_Tartu"/>
    <x v="3"/>
    <x v="10"/>
    <x v="4"/>
    <x v="8"/>
    <n v="11.7066461446397"/>
    <n v="712.15430713224896"/>
    <n v="2563.7555056760998"/>
  </r>
  <r>
    <x v="0"/>
    <x v="0"/>
    <x v="0"/>
    <x v="1"/>
    <x v="2"/>
    <s v="EE_Tartu"/>
    <x v="3"/>
    <x v="10"/>
    <x v="4"/>
    <x v="9"/>
    <n v="11.0944616316352"/>
    <n v="674.91308259113896"/>
    <n v="2429.6870973281002"/>
  </r>
  <r>
    <x v="0"/>
    <x v="0"/>
    <x v="0"/>
    <x v="1"/>
    <x v="2"/>
    <s v="EE_Tartu"/>
    <x v="3"/>
    <x v="10"/>
    <x v="4"/>
    <x v="10"/>
    <n v="10.8825516079028"/>
    <n v="662.02188948075695"/>
    <n v="2383.2788021307201"/>
  </r>
  <r>
    <x v="0"/>
    <x v="0"/>
    <x v="0"/>
    <x v="1"/>
    <x v="2"/>
    <s v="EE_Tartu"/>
    <x v="3"/>
    <x v="10"/>
    <x v="4"/>
    <x v="11"/>
    <n v="10.835460491517599"/>
    <n v="659.15717990065298"/>
    <n v="2372.9658476423501"/>
  </r>
  <r>
    <x v="0"/>
    <x v="0"/>
    <x v="0"/>
    <x v="1"/>
    <x v="2"/>
    <s v="EE_Tartu"/>
    <x v="3"/>
    <x v="10"/>
    <x v="5"/>
    <x v="0"/>
    <n v="38.407309134916098"/>
    <n v="2336.4446390407302"/>
    <n v="8411.2007005466294"/>
  </r>
  <r>
    <x v="0"/>
    <x v="0"/>
    <x v="0"/>
    <x v="1"/>
    <x v="2"/>
    <s v="EE_Tartu"/>
    <x v="3"/>
    <x v="10"/>
    <x v="5"/>
    <x v="1"/>
    <n v="38.407309134916098"/>
    <n v="2336.4446390407302"/>
    <n v="8411.2007005466294"/>
  </r>
  <r>
    <x v="0"/>
    <x v="0"/>
    <x v="0"/>
    <x v="1"/>
    <x v="2"/>
    <s v="EE_Tartu"/>
    <x v="3"/>
    <x v="10"/>
    <x v="5"/>
    <x v="2"/>
    <n v="38.313126902146102"/>
    <n v="2330.7152198805602"/>
    <n v="8390.5747915700103"/>
  </r>
  <r>
    <x v="0"/>
    <x v="0"/>
    <x v="0"/>
    <x v="1"/>
    <x v="2"/>
    <s v="EE_Tartu"/>
    <x v="3"/>
    <x v="10"/>
    <x v="5"/>
    <x v="3"/>
    <n v="37.489032365409301"/>
    <n v="2280.5828022290698"/>
    <n v="8210.0980880246407"/>
  </r>
  <r>
    <x v="0"/>
    <x v="0"/>
    <x v="0"/>
    <x v="1"/>
    <x v="2"/>
    <s v="EE_Tartu"/>
    <x v="3"/>
    <x v="10"/>
    <x v="5"/>
    <x v="4"/>
    <n v="36.335300013977204"/>
    <n v="2210.3974175169501"/>
    <n v="7957.4307030610098"/>
  </r>
  <r>
    <x v="0"/>
    <x v="0"/>
    <x v="0"/>
    <x v="1"/>
    <x v="2"/>
    <s v="EE_Tartu"/>
    <x v="3"/>
    <x v="10"/>
    <x v="5"/>
    <x v="5"/>
    <n v="34.428109800386501"/>
    <n v="2094.3766795235101"/>
    <n v="7539.7560462846504"/>
  </r>
  <r>
    <x v="0"/>
    <x v="0"/>
    <x v="0"/>
    <x v="1"/>
    <x v="2"/>
    <s v="EE_Tartu"/>
    <x v="3"/>
    <x v="10"/>
    <x v="5"/>
    <x v="6"/>
    <n v="32.4267373540252"/>
    <n v="1972.6265223698699"/>
    <n v="7101.4554805315302"/>
  </r>
  <r>
    <x v="0"/>
    <x v="0"/>
    <x v="0"/>
    <x v="1"/>
    <x v="2"/>
    <s v="EE_Tartu"/>
    <x v="3"/>
    <x v="10"/>
    <x v="5"/>
    <x v="7"/>
    <n v="30.142818209354001"/>
    <n v="1833.6881077357"/>
    <n v="6601.2771878485401"/>
  </r>
  <r>
    <x v="0"/>
    <x v="0"/>
    <x v="0"/>
    <x v="1"/>
    <x v="2"/>
    <s v="EE_Tartu"/>
    <x v="3"/>
    <x v="10"/>
    <x v="5"/>
    <x v="8"/>
    <n v="27.976626855645701"/>
    <n v="1701.9114670517799"/>
    <n v="6126.8812813864197"/>
  </r>
  <r>
    <x v="0"/>
    <x v="0"/>
    <x v="0"/>
    <x v="1"/>
    <x v="2"/>
    <s v="EE_Tartu"/>
    <x v="3"/>
    <x v="10"/>
    <x v="5"/>
    <x v="9"/>
    <n v="26.140073316632101"/>
    <n v="1590.18779342845"/>
    <n v="5724.6760563424205"/>
  </r>
  <r>
    <x v="0"/>
    <x v="0"/>
    <x v="0"/>
    <x v="1"/>
    <x v="2"/>
    <s v="EE_Tartu"/>
    <x v="3"/>
    <x v="10"/>
    <x v="5"/>
    <x v="10"/>
    <n v="24.9627954070077"/>
    <n v="1518.5700539263"/>
    <n v="5466.8521941346798"/>
  </r>
  <r>
    <x v="0"/>
    <x v="0"/>
    <x v="0"/>
    <x v="1"/>
    <x v="2"/>
    <s v="EE_Tartu"/>
    <x v="3"/>
    <x v="10"/>
    <x v="5"/>
    <x v="11"/>
    <n v="24.162246428463099"/>
    <n v="1469.86999106484"/>
    <n v="5291.5319678334299"/>
  </r>
  <r>
    <x v="0"/>
    <x v="0"/>
    <x v="0"/>
    <x v="1"/>
    <x v="2"/>
    <s v="EE_Tartu"/>
    <x v="3"/>
    <x v="10"/>
    <x v="6"/>
    <x v="0"/>
    <n v="10.6941871423629"/>
    <n v="650.56305116041005"/>
    <n v="2342.0269841774798"/>
  </r>
  <r>
    <x v="0"/>
    <x v="0"/>
    <x v="0"/>
    <x v="1"/>
    <x v="2"/>
    <s v="EE_Tartu"/>
    <x v="3"/>
    <x v="10"/>
    <x v="6"/>
    <x v="1"/>
    <n v="10.6235504677853"/>
    <n v="646.26598679027097"/>
    <n v="2326.55755244497"/>
  </r>
  <r>
    <x v="0"/>
    <x v="0"/>
    <x v="0"/>
    <x v="1"/>
    <x v="2"/>
    <s v="EE_Tartu"/>
    <x v="3"/>
    <x v="10"/>
    <x v="6"/>
    <x v="2"/>
    <n v="10.4587315604383"/>
    <n v="636.23950325999397"/>
    <n v="2290.46221173598"/>
  </r>
  <r>
    <x v="0"/>
    <x v="0"/>
    <x v="0"/>
    <x v="1"/>
    <x v="2"/>
    <s v="EE_Tartu"/>
    <x v="3"/>
    <x v="10"/>
    <x v="6"/>
    <x v="3"/>
    <n v="10.223275978513"/>
    <n v="621.91595535954195"/>
    <n v="2238.8974392943501"/>
  </r>
  <r>
    <x v="0"/>
    <x v="0"/>
    <x v="0"/>
    <x v="1"/>
    <x v="2"/>
    <s v="EE_Tartu"/>
    <x v="3"/>
    <x v="10"/>
    <x v="6"/>
    <x v="4"/>
    <n v="9.9407292802033798"/>
    <n v="604.72769787903906"/>
    <n v="2177.0197123645398"/>
  </r>
  <r>
    <x v="0"/>
    <x v="0"/>
    <x v="0"/>
    <x v="1"/>
    <x v="2"/>
    <s v="EE_Tartu"/>
    <x v="3"/>
    <x v="10"/>
    <x v="6"/>
    <x v="5"/>
    <n v="9.6817281400860296"/>
    <n v="588.97179518856694"/>
    <n v="2120.2984626788402"/>
  </r>
  <r>
    <x v="0"/>
    <x v="0"/>
    <x v="0"/>
    <x v="1"/>
    <x v="2"/>
    <s v="EE_Tartu"/>
    <x v="3"/>
    <x v="10"/>
    <x v="6"/>
    <x v="6"/>
    <n v="9.3049992090063007"/>
    <n v="566.05411854788304"/>
    <n v="2037.79482677238"/>
  </r>
  <r>
    <x v="0"/>
    <x v="0"/>
    <x v="0"/>
    <x v="1"/>
    <x v="2"/>
    <s v="EE_Tartu"/>
    <x v="3"/>
    <x v="10"/>
    <x v="6"/>
    <x v="7"/>
    <n v="8.9518158361190903"/>
    <n v="544.56879669724503"/>
    <n v="1960.44766811008"/>
  </r>
  <r>
    <x v="0"/>
    <x v="0"/>
    <x v="0"/>
    <x v="1"/>
    <x v="2"/>
    <s v="EE_Tartu"/>
    <x v="3"/>
    <x v="10"/>
    <x v="6"/>
    <x v="8"/>
    <n v="8.5750869050393597"/>
    <n v="521.65112005656101"/>
    <n v="1877.9440322036201"/>
  </r>
  <r>
    <x v="0"/>
    <x v="0"/>
    <x v="0"/>
    <x v="1"/>
    <x v="2"/>
    <s v="EE_Tartu"/>
    <x v="3"/>
    <x v="10"/>
    <x v="6"/>
    <x v="9"/>
    <n v="8.2219035321520906"/>
    <n v="500.16579820591897"/>
    <n v="1800.5968735413101"/>
  </r>
  <r>
    <x v="0"/>
    <x v="0"/>
    <x v="0"/>
    <x v="1"/>
    <x v="2"/>
    <s v="EE_Tartu"/>
    <x v="3"/>
    <x v="10"/>
    <x v="6"/>
    <x v="10"/>
    <n v="7.8922657174573496"/>
    <n v="480.11283114532199"/>
    <n v="1728.4061921231601"/>
  </r>
  <r>
    <x v="0"/>
    <x v="0"/>
    <x v="0"/>
    <x v="1"/>
    <x v="2"/>
    <s v="EE_Tartu"/>
    <x v="3"/>
    <x v="10"/>
    <x v="6"/>
    <x v="11"/>
    <n v="7.6568101355324698"/>
    <n v="465.78928324489198"/>
    <n v="1676.84141968161"/>
  </r>
  <r>
    <x v="0"/>
    <x v="0"/>
    <x v="0"/>
    <x v="1"/>
    <x v="2"/>
    <s v="EE_Tartu"/>
    <x v="3"/>
    <x v="10"/>
    <x v="7"/>
    <x v="0"/>
    <n v="7.2094445298752801"/>
    <n v="438.57454223408001"/>
    <n v="1578.86835204269"/>
  </r>
  <r>
    <x v="0"/>
    <x v="0"/>
    <x v="0"/>
    <x v="1"/>
    <x v="2"/>
    <s v="EE_Tartu"/>
    <x v="3"/>
    <x v="10"/>
    <x v="7"/>
    <x v="1"/>
    <n v="6.7385333660256403"/>
    <n v="409.92744643322601"/>
    <n v="1475.7388071596099"/>
  </r>
  <r>
    <x v="0"/>
    <x v="0"/>
    <x v="0"/>
    <x v="1"/>
    <x v="2"/>
    <s v="EE_Tartu"/>
    <x v="3"/>
    <x v="10"/>
    <x v="7"/>
    <x v="2"/>
    <n v="6.1969855275985299"/>
    <n v="376.98328626224401"/>
    <n v="1357.13983054408"/>
  </r>
  <r>
    <x v="0"/>
    <x v="0"/>
    <x v="0"/>
    <x v="1"/>
    <x v="2"/>
    <s v="EE_Tartu"/>
    <x v="3"/>
    <x v="10"/>
    <x v="7"/>
    <x v="3"/>
    <n v="5.5612554564014403"/>
    <n v="338.30970693108799"/>
    <n v="1217.91494495192"/>
  </r>
  <r>
    <x v="0"/>
    <x v="0"/>
    <x v="0"/>
    <x v="1"/>
    <x v="2"/>
    <s v="EE_Tartu"/>
    <x v="3"/>
    <x v="10"/>
    <x v="7"/>
    <x v="4"/>
    <n v="4.7842520360495202"/>
    <n v="291.04199885967898"/>
    <n v="1047.7511958948401"/>
  </r>
  <r>
    <x v="0"/>
    <x v="0"/>
    <x v="0"/>
    <x v="1"/>
    <x v="2"/>
    <s v="EE_Tartu"/>
    <x v="3"/>
    <x v="10"/>
    <x v="7"/>
    <x v="5"/>
    <n v="3.9601574993125399"/>
    <n v="240.90958120817899"/>
    <n v="867.27449234944595"/>
  </r>
  <r>
    <x v="0"/>
    <x v="0"/>
    <x v="0"/>
    <x v="1"/>
    <x v="2"/>
    <s v="EE_Tartu"/>
    <x v="3"/>
    <x v="10"/>
    <x v="7"/>
    <x v="6"/>
    <n v="3.0654262879981702"/>
    <n v="186.48009918655501"/>
    <n v="671.32835707159995"/>
  </r>
  <r>
    <x v="0"/>
    <x v="0"/>
    <x v="0"/>
    <x v="1"/>
    <x v="2"/>
    <s v="EE_Tartu"/>
    <x v="3"/>
    <x v="10"/>
    <x v="7"/>
    <x v="7"/>
    <n v="2.10005840210634"/>
    <n v="127.753552794802"/>
    <n v="459.912790061289"/>
  </r>
  <r>
    <x v="0"/>
    <x v="0"/>
    <x v="0"/>
    <x v="1"/>
    <x v="2"/>
    <s v="EE_Tartu"/>
    <x v="3"/>
    <x v="10"/>
    <x v="7"/>
    <x v="8"/>
    <n v="1.2524183071769699"/>
    <n v="76.188780353265898"/>
    <n v="274.27960927175701"/>
  </r>
  <r>
    <x v="0"/>
    <x v="0"/>
    <x v="0"/>
    <x v="1"/>
    <x v="2"/>
    <s v="EE_Tartu"/>
    <x v="3"/>
    <x v="10"/>
    <x v="7"/>
    <x v="9"/>
    <n v="0.56959711959495996"/>
    <n v="34.650491442026699"/>
    <n v="124.741769191296"/>
  </r>
  <r>
    <x v="0"/>
    <x v="0"/>
    <x v="0"/>
    <x v="1"/>
    <x v="2"/>
    <s v="EE_Tartu"/>
    <x v="3"/>
    <x v="10"/>
    <x v="7"/>
    <x v="10"/>
    <n v="2.80492811678528E-2"/>
    <n v="1.7063312710443801"/>
    <n v="6.1427925757597599"/>
  </r>
  <r>
    <x v="0"/>
    <x v="0"/>
    <x v="0"/>
    <x v="1"/>
    <x v="2"/>
    <s v="EE_Tartu"/>
    <x v="3"/>
    <x v="10"/>
    <x v="8"/>
    <x v="0"/>
    <n v="1.20532719079198"/>
    <n v="73.324070773178605"/>
    <n v="263.966654783443"/>
  </r>
  <r>
    <x v="0"/>
    <x v="0"/>
    <x v="0"/>
    <x v="1"/>
    <x v="2"/>
    <s v="EE_Tartu"/>
    <x v="3"/>
    <x v="10"/>
    <x v="8"/>
    <x v="1"/>
    <n v="1.6291472382567"/>
    <n v="99.106456993949195"/>
    <n v="356.78324517821699"/>
  </r>
  <r>
    <x v="0"/>
    <x v="0"/>
    <x v="0"/>
    <x v="1"/>
    <x v="2"/>
    <s v="EE_Tartu"/>
    <x v="3"/>
    <x v="10"/>
    <x v="8"/>
    <x v="2"/>
    <n v="1.98233061114397"/>
    <n v="120.591778844591"/>
    <n v="434.130403840528"/>
  </r>
  <r>
    <x v="0"/>
    <x v="0"/>
    <x v="0"/>
    <x v="1"/>
    <x v="2"/>
    <s v="EE_Tartu"/>
    <x v="3"/>
    <x v="10"/>
    <x v="8"/>
    <x v="3"/>
    <n v="2.3826051004161601"/>
    <n v="144.94181027531599"/>
    <n v="521.79051699113802"/>
  </r>
  <r>
    <x v="0"/>
    <x v="0"/>
    <x v="0"/>
    <x v="1"/>
    <x v="2"/>
    <s v="EE_Tartu"/>
    <x v="3"/>
    <x v="10"/>
    <x v="8"/>
    <x v="4"/>
    <n v="2.68869735691844"/>
    <n v="163.56242254587201"/>
    <n v="588.82472116513804"/>
  </r>
  <r>
    <x v="0"/>
    <x v="0"/>
    <x v="0"/>
    <x v="1"/>
    <x v="2"/>
    <s v="EE_Tartu"/>
    <x v="3"/>
    <x v="10"/>
    <x v="8"/>
    <x v="5"/>
    <n v="2.85351626426587"/>
    <n v="173.588906076174"/>
    <n v="624.92006187422601"/>
  </r>
  <r>
    <x v="0"/>
    <x v="0"/>
    <x v="0"/>
    <x v="1"/>
    <x v="2"/>
    <s v="EE_Tartu"/>
    <x v="3"/>
    <x v="10"/>
    <x v="8"/>
    <x v="6"/>
    <n v="2.8064251478808799"/>
    <n v="170.72419649608699"/>
    <n v="614.60710738591297"/>
  </r>
  <r>
    <x v="0"/>
    <x v="0"/>
    <x v="0"/>
    <x v="1"/>
    <x v="2"/>
    <s v="EE_Tartu"/>
    <x v="3"/>
    <x v="10"/>
    <x v="8"/>
    <x v="7"/>
    <n v="2.5474240077635399"/>
    <n v="154.96829380561499"/>
    <n v="557.88585770021496"/>
  </r>
  <r>
    <x v="0"/>
    <x v="0"/>
    <x v="0"/>
    <x v="1"/>
    <x v="2"/>
    <s v="EE_Tartu"/>
    <x v="3"/>
    <x v="10"/>
    <x v="8"/>
    <x v="8"/>
    <n v="2.1236039602988699"/>
    <n v="129.185907584848"/>
    <n v="465.06926730545302"/>
  </r>
  <r>
    <x v="0"/>
    <x v="0"/>
    <x v="0"/>
    <x v="1"/>
    <x v="2"/>
    <s v="EE_Tartu"/>
    <x v="3"/>
    <x v="10"/>
    <x v="8"/>
    <x v="9"/>
    <n v="1.81751170379653"/>
    <n v="110.565295314289"/>
    <n v="398.03506313144101"/>
  </r>
  <r>
    <x v="0"/>
    <x v="0"/>
    <x v="0"/>
    <x v="1"/>
    <x v="2"/>
    <s v="EE_Tartu"/>
    <x v="3"/>
    <x v="10"/>
    <x v="8"/>
    <x v="10"/>
    <n v="1.4172372145243399"/>
    <n v="86.215263883564106"/>
    <n v="310.37494998083099"/>
  </r>
  <r>
    <x v="0"/>
    <x v="0"/>
    <x v="0"/>
    <x v="1"/>
    <x v="2"/>
    <s v="EE_Tartu"/>
    <x v="3"/>
    <x v="10"/>
    <x v="8"/>
    <x v="11"/>
    <n v="1.04050828344461"/>
    <n v="63.297587242880397"/>
    <n v="227.871314074369"/>
  </r>
  <r>
    <x v="0"/>
    <x v="0"/>
    <x v="0"/>
    <x v="1"/>
    <x v="2"/>
    <s v="EE_Tartu"/>
    <x v="4"/>
    <x v="7"/>
    <x v="0"/>
    <x v="0"/>
    <n v="44.665923891141198"/>
    <n v="2717.1770367110898"/>
    <n v="9781.8373321599192"/>
  </r>
  <r>
    <x v="0"/>
    <x v="0"/>
    <x v="0"/>
    <x v="1"/>
    <x v="2"/>
    <s v="EE_Tartu"/>
    <x v="4"/>
    <x v="7"/>
    <x v="0"/>
    <x v="1"/>
    <n v="44.642378332948802"/>
    <n v="2715.74468192105"/>
    <n v="9776.6808549157795"/>
  </r>
  <r>
    <x v="0"/>
    <x v="0"/>
    <x v="0"/>
    <x v="1"/>
    <x v="2"/>
    <s v="EE_Tartu"/>
    <x v="4"/>
    <x v="7"/>
    <x v="0"/>
    <x v="2"/>
    <n v="44.665923891141198"/>
    <n v="2717.1770367110898"/>
    <n v="9781.8373321599192"/>
  </r>
  <r>
    <x v="0"/>
    <x v="0"/>
    <x v="0"/>
    <x v="1"/>
    <x v="2"/>
    <s v="EE_Tartu"/>
    <x v="4"/>
    <x v="7"/>
    <x v="0"/>
    <x v="3"/>
    <n v="44.6894694493337"/>
    <n v="2718.6093915011302"/>
    <n v="9786.9938094040808"/>
  </r>
  <r>
    <x v="0"/>
    <x v="0"/>
    <x v="0"/>
    <x v="1"/>
    <x v="2"/>
    <s v="EE_Tartu"/>
    <x v="4"/>
    <x v="7"/>
    <x v="0"/>
    <x v="4"/>
    <n v="44.6894694493337"/>
    <n v="2718.6093915011302"/>
    <n v="9786.9938094040808"/>
  </r>
  <r>
    <x v="0"/>
    <x v="0"/>
    <x v="0"/>
    <x v="1"/>
    <x v="2"/>
    <s v="EE_Tartu"/>
    <x v="4"/>
    <x v="7"/>
    <x v="0"/>
    <x v="5"/>
    <n v="44.642378332948802"/>
    <n v="2715.74468192105"/>
    <n v="9776.6808549157795"/>
  </r>
  <r>
    <x v="0"/>
    <x v="0"/>
    <x v="0"/>
    <x v="1"/>
    <x v="2"/>
    <s v="EE_Tartu"/>
    <x v="4"/>
    <x v="7"/>
    <x v="0"/>
    <x v="6"/>
    <n v="44.548196100178799"/>
    <n v="2710.01526276088"/>
    <n v="9756.0549459391495"/>
  </r>
  <r>
    <x v="0"/>
    <x v="0"/>
    <x v="0"/>
    <x v="1"/>
    <x v="2"/>
    <s v="EE_Tartu"/>
    <x v="4"/>
    <x v="7"/>
    <x v="0"/>
    <x v="7"/>
    <n v="44.477559425601299"/>
    <n v="2705.7181983907499"/>
    <n v="9740.5855142066903"/>
  </r>
  <r>
    <x v="0"/>
    <x v="0"/>
    <x v="0"/>
    <x v="1"/>
    <x v="2"/>
    <s v="EE_Tartu"/>
    <x v="4"/>
    <x v="7"/>
    <x v="0"/>
    <x v="8"/>
    <n v="44.713015007526202"/>
    <n v="2720.0417462911801"/>
    <n v="9792.1502866482406"/>
  </r>
  <r>
    <x v="0"/>
    <x v="0"/>
    <x v="0"/>
    <x v="1"/>
    <x v="2"/>
    <s v="EE_Tartu"/>
    <x v="4"/>
    <x v="7"/>
    <x v="0"/>
    <x v="9"/>
    <n v="45.042652822221001"/>
    <n v="2740.0947133517702"/>
    <n v="9864.3409680663899"/>
  </r>
  <r>
    <x v="0"/>
    <x v="0"/>
    <x v="0"/>
    <x v="1"/>
    <x v="2"/>
    <s v="EE_Tartu"/>
    <x v="4"/>
    <x v="7"/>
    <x v="0"/>
    <x v="10"/>
    <n v="45.513563986070601"/>
    <n v="2768.7418091526301"/>
    <n v="9967.4705129494596"/>
  </r>
  <r>
    <x v="0"/>
    <x v="0"/>
    <x v="0"/>
    <x v="1"/>
    <x v="2"/>
    <s v="EE_Tartu"/>
    <x v="4"/>
    <x v="7"/>
    <x v="0"/>
    <x v="11"/>
    <n v="46.078657382690203"/>
    <n v="2803.11832411366"/>
    <n v="10091.225966809199"/>
  </r>
  <r>
    <x v="0"/>
    <x v="0"/>
    <x v="0"/>
    <x v="1"/>
    <x v="2"/>
    <s v="EE_Tartu"/>
    <x v="4"/>
    <x v="7"/>
    <x v="1"/>
    <x v="0"/>
    <n v="47.722342733188697"/>
    <n v="2903.1091829356501"/>
    <n v="10451.1930585683"/>
  </r>
  <r>
    <x v="0"/>
    <x v="0"/>
    <x v="0"/>
    <x v="1"/>
    <x v="2"/>
    <s v="EE_Tartu"/>
    <x v="4"/>
    <x v="7"/>
    <x v="1"/>
    <x v="1"/>
    <n v="47.722342733188697"/>
    <n v="2903.1091829356501"/>
    <n v="10451.1930585683"/>
  </r>
  <r>
    <x v="0"/>
    <x v="0"/>
    <x v="0"/>
    <x v="1"/>
    <x v="2"/>
    <s v="EE_Tartu"/>
    <x v="4"/>
    <x v="7"/>
    <x v="1"/>
    <x v="2"/>
    <n v="47.722342733188697"/>
    <n v="2903.1091829356501"/>
    <n v="10451.1930585683"/>
  </r>
  <r>
    <x v="0"/>
    <x v="0"/>
    <x v="0"/>
    <x v="1"/>
    <x v="2"/>
    <s v="EE_Tartu"/>
    <x v="4"/>
    <x v="7"/>
    <x v="1"/>
    <x v="3"/>
    <n v="47.722342733188697"/>
    <n v="2903.1091829356501"/>
    <n v="10451.1930585683"/>
  </r>
  <r>
    <x v="0"/>
    <x v="0"/>
    <x v="0"/>
    <x v="1"/>
    <x v="2"/>
    <s v="EE_Tartu"/>
    <x v="4"/>
    <x v="7"/>
    <x v="1"/>
    <x v="4"/>
    <n v="47.722342733188697"/>
    <n v="2903.1091829356501"/>
    <n v="10451.1930585683"/>
  </r>
  <r>
    <x v="0"/>
    <x v="0"/>
    <x v="0"/>
    <x v="1"/>
    <x v="2"/>
    <s v="EE_Tartu"/>
    <x v="4"/>
    <x v="7"/>
    <x v="1"/>
    <x v="5"/>
    <n v="47.722342733188697"/>
    <n v="2903.1091829356501"/>
    <n v="10451.1930585683"/>
  </r>
  <r>
    <x v="0"/>
    <x v="0"/>
    <x v="0"/>
    <x v="1"/>
    <x v="2"/>
    <s v="EE_Tartu"/>
    <x v="4"/>
    <x v="7"/>
    <x v="1"/>
    <x v="6"/>
    <n v="47.722342733188697"/>
    <n v="2903.1091829356501"/>
    <n v="10451.1930585683"/>
  </r>
  <r>
    <x v="0"/>
    <x v="0"/>
    <x v="0"/>
    <x v="1"/>
    <x v="2"/>
    <s v="EE_Tartu"/>
    <x v="4"/>
    <x v="7"/>
    <x v="1"/>
    <x v="7"/>
    <n v="47.722342733188697"/>
    <n v="2903.1091829356501"/>
    <n v="10451.1930585683"/>
  </r>
  <r>
    <x v="0"/>
    <x v="0"/>
    <x v="0"/>
    <x v="1"/>
    <x v="2"/>
    <s v="EE_Tartu"/>
    <x v="4"/>
    <x v="7"/>
    <x v="1"/>
    <x v="8"/>
    <n v="47.722342733188697"/>
    <n v="2903.1091829356501"/>
    <n v="10451.1930585683"/>
  </r>
  <r>
    <x v="0"/>
    <x v="0"/>
    <x v="0"/>
    <x v="1"/>
    <x v="2"/>
    <s v="EE_Tartu"/>
    <x v="4"/>
    <x v="7"/>
    <x v="1"/>
    <x v="9"/>
    <n v="47.722342733188697"/>
    <n v="2903.1091829356501"/>
    <n v="10451.1930585683"/>
  </r>
  <r>
    <x v="0"/>
    <x v="0"/>
    <x v="0"/>
    <x v="1"/>
    <x v="2"/>
    <s v="EE_Tartu"/>
    <x v="4"/>
    <x v="7"/>
    <x v="1"/>
    <x v="10"/>
    <n v="47.722342733188697"/>
    <n v="2903.1091829356501"/>
    <n v="10451.1930585683"/>
  </r>
  <r>
    <x v="0"/>
    <x v="0"/>
    <x v="0"/>
    <x v="1"/>
    <x v="2"/>
    <s v="EE_Tartu"/>
    <x v="4"/>
    <x v="7"/>
    <x v="1"/>
    <x v="11"/>
    <n v="47.722342733188697"/>
    <n v="2903.1091829356501"/>
    <n v="10451.1930585683"/>
  </r>
  <r>
    <x v="0"/>
    <x v="0"/>
    <x v="0"/>
    <x v="1"/>
    <x v="2"/>
    <s v="EE_Tartu"/>
    <x v="4"/>
    <x v="7"/>
    <x v="2"/>
    <x v="0"/>
    <n v="47.303026408699303"/>
    <n v="2877.6007731958798"/>
    <n v="10359.362783505199"/>
  </r>
  <r>
    <x v="0"/>
    <x v="0"/>
    <x v="0"/>
    <x v="1"/>
    <x v="2"/>
    <s v="EE_Tartu"/>
    <x v="4"/>
    <x v="7"/>
    <x v="2"/>
    <x v="1"/>
    <n v="47.3501175250843"/>
    <n v="2880.46548277596"/>
    <n v="10369.675737993501"/>
  </r>
  <r>
    <x v="0"/>
    <x v="0"/>
    <x v="0"/>
    <x v="1"/>
    <x v="2"/>
    <s v="EE_Tartu"/>
    <x v="4"/>
    <x v="7"/>
    <x v="2"/>
    <x v="2"/>
    <n v="47.397208641469298"/>
    <n v="2883.3301923560498"/>
    <n v="10379.9886924818"/>
  </r>
  <r>
    <x v="0"/>
    <x v="0"/>
    <x v="0"/>
    <x v="1"/>
    <x v="2"/>
    <s v="EE_Tartu"/>
    <x v="4"/>
    <x v="7"/>
    <x v="2"/>
    <x v="3"/>
    <n v="47.514936432431703"/>
    <n v="2890.4919663062601"/>
    <n v="10405.771078702501"/>
  </r>
  <r>
    <x v="0"/>
    <x v="0"/>
    <x v="0"/>
    <x v="1"/>
    <x v="2"/>
    <s v="EE_Tartu"/>
    <x v="4"/>
    <x v="7"/>
    <x v="2"/>
    <x v="4"/>
    <n v="47.656209781586597"/>
    <n v="2899.0860950465199"/>
    <n v="10436.709942167499"/>
  </r>
  <r>
    <x v="0"/>
    <x v="0"/>
    <x v="0"/>
    <x v="1"/>
    <x v="2"/>
    <s v="EE_Tartu"/>
    <x v="4"/>
    <x v="7"/>
    <x v="2"/>
    <x v="5"/>
    <n v="47.722342733188697"/>
    <n v="2903.1091829356501"/>
    <n v="10451.1930585683"/>
  </r>
  <r>
    <x v="0"/>
    <x v="0"/>
    <x v="0"/>
    <x v="1"/>
    <x v="2"/>
    <s v="EE_Tartu"/>
    <x v="4"/>
    <x v="7"/>
    <x v="2"/>
    <x v="6"/>
    <n v="47.722342733188697"/>
    <n v="2903.1091829356501"/>
    <n v="10451.1930585683"/>
  </r>
  <r>
    <x v="0"/>
    <x v="0"/>
    <x v="0"/>
    <x v="1"/>
    <x v="2"/>
    <s v="EE_Tartu"/>
    <x v="4"/>
    <x v="7"/>
    <x v="2"/>
    <x v="7"/>
    <n v="47.722342733188697"/>
    <n v="2903.1091829356501"/>
    <n v="10451.1930585683"/>
  </r>
  <r>
    <x v="0"/>
    <x v="0"/>
    <x v="0"/>
    <x v="1"/>
    <x v="2"/>
    <s v="EE_Tartu"/>
    <x v="4"/>
    <x v="7"/>
    <x v="2"/>
    <x v="8"/>
    <n v="47.722342733188697"/>
    <n v="2903.1091829356501"/>
    <n v="10451.1930585683"/>
  </r>
  <r>
    <x v="0"/>
    <x v="0"/>
    <x v="0"/>
    <x v="1"/>
    <x v="2"/>
    <s v="EE_Tartu"/>
    <x v="4"/>
    <x v="7"/>
    <x v="2"/>
    <x v="9"/>
    <n v="47.722342733188697"/>
    <n v="2903.1091829356501"/>
    <n v="10451.1930585683"/>
  </r>
  <r>
    <x v="0"/>
    <x v="0"/>
    <x v="0"/>
    <x v="1"/>
    <x v="2"/>
    <s v="EE_Tartu"/>
    <x v="4"/>
    <x v="7"/>
    <x v="2"/>
    <x v="10"/>
    <n v="47.722342733188697"/>
    <n v="2903.1091829356501"/>
    <n v="10451.1930585683"/>
  </r>
  <r>
    <x v="0"/>
    <x v="0"/>
    <x v="0"/>
    <x v="1"/>
    <x v="2"/>
    <s v="EE_Tartu"/>
    <x v="4"/>
    <x v="7"/>
    <x v="2"/>
    <x v="11"/>
    <n v="47.722342733188697"/>
    <n v="2903.1091829356501"/>
    <n v="10451.1930585683"/>
  </r>
  <r>
    <x v="0"/>
    <x v="0"/>
    <x v="0"/>
    <x v="1"/>
    <x v="2"/>
    <s v="EE_Tartu"/>
    <x v="4"/>
    <x v="7"/>
    <x v="3"/>
    <x v="0"/>
    <n v="47.722342733188697"/>
    <n v="2903.1091829356501"/>
    <n v="10451.1930585683"/>
  </r>
  <r>
    <x v="0"/>
    <x v="0"/>
    <x v="0"/>
    <x v="1"/>
    <x v="2"/>
    <s v="EE_Tartu"/>
    <x v="4"/>
    <x v="7"/>
    <x v="3"/>
    <x v="1"/>
    <n v="47.722342733188697"/>
    <n v="2903.1091829356501"/>
    <n v="10451.1930585683"/>
  </r>
  <r>
    <x v="0"/>
    <x v="0"/>
    <x v="0"/>
    <x v="1"/>
    <x v="2"/>
    <s v="EE_Tartu"/>
    <x v="4"/>
    <x v="7"/>
    <x v="3"/>
    <x v="2"/>
    <n v="47.722342733188697"/>
    <n v="2903.1091829356501"/>
    <n v="10451.1930585683"/>
  </r>
  <r>
    <x v="0"/>
    <x v="0"/>
    <x v="0"/>
    <x v="1"/>
    <x v="2"/>
    <s v="EE_Tartu"/>
    <x v="4"/>
    <x v="7"/>
    <x v="3"/>
    <x v="3"/>
    <n v="47.722342733188697"/>
    <n v="2903.1091829356501"/>
    <n v="10451.1930585683"/>
  </r>
  <r>
    <x v="0"/>
    <x v="0"/>
    <x v="0"/>
    <x v="1"/>
    <x v="2"/>
    <s v="EE_Tartu"/>
    <x v="4"/>
    <x v="7"/>
    <x v="3"/>
    <x v="4"/>
    <n v="47.722342733188697"/>
    <n v="2903.1091829356501"/>
    <n v="10451.1930585683"/>
  </r>
  <r>
    <x v="0"/>
    <x v="0"/>
    <x v="0"/>
    <x v="1"/>
    <x v="2"/>
    <s v="EE_Tartu"/>
    <x v="4"/>
    <x v="7"/>
    <x v="3"/>
    <x v="5"/>
    <n v="47.722342733188697"/>
    <n v="2903.1091829356501"/>
    <n v="10451.1930585683"/>
  </r>
  <r>
    <x v="0"/>
    <x v="0"/>
    <x v="0"/>
    <x v="1"/>
    <x v="2"/>
    <s v="EE_Tartu"/>
    <x v="4"/>
    <x v="7"/>
    <x v="3"/>
    <x v="6"/>
    <n v="47.722342733188697"/>
    <n v="2903.1091829356501"/>
    <n v="10451.1930585683"/>
  </r>
  <r>
    <x v="0"/>
    <x v="0"/>
    <x v="0"/>
    <x v="1"/>
    <x v="2"/>
    <s v="EE_Tartu"/>
    <x v="4"/>
    <x v="7"/>
    <x v="3"/>
    <x v="7"/>
    <n v="47.722342733188697"/>
    <n v="2903.1091829356501"/>
    <n v="10451.1930585683"/>
  </r>
  <r>
    <x v="0"/>
    <x v="0"/>
    <x v="0"/>
    <x v="1"/>
    <x v="2"/>
    <s v="EE_Tartu"/>
    <x v="4"/>
    <x v="7"/>
    <x v="3"/>
    <x v="8"/>
    <n v="47.722342733188697"/>
    <n v="2903.1091829356501"/>
    <n v="10451.1930585683"/>
  </r>
  <r>
    <x v="0"/>
    <x v="0"/>
    <x v="0"/>
    <x v="1"/>
    <x v="2"/>
    <s v="EE_Tartu"/>
    <x v="4"/>
    <x v="7"/>
    <x v="3"/>
    <x v="9"/>
    <n v="47.722342733188697"/>
    <n v="2903.1091829356501"/>
    <n v="10451.1930585683"/>
  </r>
  <r>
    <x v="0"/>
    <x v="0"/>
    <x v="0"/>
    <x v="1"/>
    <x v="2"/>
    <s v="EE_Tartu"/>
    <x v="4"/>
    <x v="7"/>
    <x v="3"/>
    <x v="10"/>
    <n v="47.722342733188697"/>
    <n v="2903.1091829356501"/>
    <n v="10451.1930585683"/>
  </r>
  <r>
    <x v="0"/>
    <x v="0"/>
    <x v="0"/>
    <x v="1"/>
    <x v="2"/>
    <s v="EE_Tartu"/>
    <x v="4"/>
    <x v="7"/>
    <x v="3"/>
    <x v="11"/>
    <n v="47.722342733188697"/>
    <n v="2903.1091829356501"/>
    <n v="10451.1930585683"/>
  </r>
  <r>
    <x v="0"/>
    <x v="0"/>
    <x v="0"/>
    <x v="1"/>
    <x v="2"/>
    <s v="EE_Tartu"/>
    <x v="4"/>
    <x v="7"/>
    <x v="4"/>
    <x v="0"/>
    <n v="47.722342733188697"/>
    <n v="2903.1091829356501"/>
    <n v="10451.1930585683"/>
  </r>
  <r>
    <x v="0"/>
    <x v="0"/>
    <x v="0"/>
    <x v="1"/>
    <x v="2"/>
    <s v="EE_Tartu"/>
    <x v="4"/>
    <x v="7"/>
    <x v="4"/>
    <x v="1"/>
    <n v="47.722342733188697"/>
    <n v="2903.1091829356501"/>
    <n v="10451.1930585683"/>
  </r>
  <r>
    <x v="0"/>
    <x v="0"/>
    <x v="0"/>
    <x v="1"/>
    <x v="2"/>
    <s v="EE_Tartu"/>
    <x v="4"/>
    <x v="7"/>
    <x v="4"/>
    <x v="2"/>
    <n v="47.722342733188697"/>
    <n v="2903.1091829356501"/>
    <n v="10451.1930585683"/>
  </r>
  <r>
    <x v="0"/>
    <x v="0"/>
    <x v="0"/>
    <x v="1"/>
    <x v="2"/>
    <s v="EE_Tartu"/>
    <x v="4"/>
    <x v="7"/>
    <x v="4"/>
    <x v="3"/>
    <n v="47.722342733188697"/>
    <n v="2903.1091829356501"/>
    <n v="10451.1930585683"/>
  </r>
  <r>
    <x v="0"/>
    <x v="0"/>
    <x v="0"/>
    <x v="1"/>
    <x v="2"/>
    <s v="EE_Tartu"/>
    <x v="4"/>
    <x v="7"/>
    <x v="4"/>
    <x v="4"/>
    <n v="47.722342733188697"/>
    <n v="2903.1091829356501"/>
    <n v="10451.1930585683"/>
  </r>
  <r>
    <x v="0"/>
    <x v="0"/>
    <x v="0"/>
    <x v="1"/>
    <x v="2"/>
    <s v="EE_Tartu"/>
    <x v="4"/>
    <x v="7"/>
    <x v="4"/>
    <x v="5"/>
    <n v="47.722342733188697"/>
    <n v="2903.1091829356501"/>
    <n v="10451.1930585683"/>
  </r>
  <r>
    <x v="0"/>
    <x v="0"/>
    <x v="0"/>
    <x v="1"/>
    <x v="2"/>
    <s v="EE_Tartu"/>
    <x v="4"/>
    <x v="7"/>
    <x v="4"/>
    <x v="6"/>
    <n v="47.722342733188697"/>
    <n v="2903.1091829356501"/>
    <n v="10451.1930585683"/>
  </r>
  <r>
    <x v="0"/>
    <x v="0"/>
    <x v="0"/>
    <x v="1"/>
    <x v="2"/>
    <s v="EE_Tartu"/>
    <x v="4"/>
    <x v="7"/>
    <x v="4"/>
    <x v="7"/>
    <n v="47.722342733188697"/>
    <n v="2903.1091829356501"/>
    <n v="10451.1930585683"/>
  </r>
  <r>
    <x v="0"/>
    <x v="0"/>
    <x v="0"/>
    <x v="1"/>
    <x v="2"/>
    <s v="EE_Tartu"/>
    <x v="4"/>
    <x v="7"/>
    <x v="4"/>
    <x v="8"/>
    <n v="47.722342733188697"/>
    <n v="2903.1091829356501"/>
    <n v="10451.1930585683"/>
  </r>
  <r>
    <x v="0"/>
    <x v="0"/>
    <x v="0"/>
    <x v="1"/>
    <x v="2"/>
    <s v="EE_Tartu"/>
    <x v="4"/>
    <x v="7"/>
    <x v="4"/>
    <x v="9"/>
    <n v="47.722342733188697"/>
    <n v="2903.1091829356501"/>
    <n v="10451.1930585683"/>
  </r>
  <r>
    <x v="0"/>
    <x v="0"/>
    <x v="0"/>
    <x v="1"/>
    <x v="2"/>
    <s v="EE_Tartu"/>
    <x v="4"/>
    <x v="7"/>
    <x v="4"/>
    <x v="10"/>
    <n v="47.722342733188697"/>
    <n v="2903.1091829356501"/>
    <n v="10451.1930585683"/>
  </r>
  <r>
    <x v="0"/>
    <x v="0"/>
    <x v="0"/>
    <x v="1"/>
    <x v="2"/>
    <s v="EE_Tartu"/>
    <x v="4"/>
    <x v="7"/>
    <x v="4"/>
    <x v="11"/>
    <n v="47.722342733188697"/>
    <n v="2903.1091829356501"/>
    <n v="10451.1930585683"/>
  </r>
  <r>
    <x v="0"/>
    <x v="0"/>
    <x v="0"/>
    <x v="1"/>
    <x v="2"/>
    <s v="EE_Tartu"/>
    <x v="4"/>
    <x v="7"/>
    <x v="5"/>
    <x v="0"/>
    <n v="47.722342733188697"/>
    <n v="2903.1091829356501"/>
    <n v="10451.1930585683"/>
  </r>
  <r>
    <x v="0"/>
    <x v="0"/>
    <x v="0"/>
    <x v="1"/>
    <x v="2"/>
    <s v="EE_Tartu"/>
    <x v="4"/>
    <x v="7"/>
    <x v="5"/>
    <x v="1"/>
    <n v="47.722342733188697"/>
    <n v="2903.1091829356501"/>
    <n v="10451.1930585683"/>
  </r>
  <r>
    <x v="0"/>
    <x v="0"/>
    <x v="0"/>
    <x v="1"/>
    <x v="2"/>
    <s v="EE_Tartu"/>
    <x v="4"/>
    <x v="7"/>
    <x v="5"/>
    <x v="2"/>
    <n v="47.722342733188697"/>
    <n v="2903.1091829356501"/>
    <n v="10451.1930585683"/>
  </r>
  <r>
    <x v="0"/>
    <x v="0"/>
    <x v="0"/>
    <x v="1"/>
    <x v="2"/>
    <s v="EE_Tartu"/>
    <x v="4"/>
    <x v="7"/>
    <x v="5"/>
    <x v="3"/>
    <n v="47.722342733188697"/>
    <n v="2903.1091829356501"/>
    <n v="10451.1930585683"/>
  </r>
  <r>
    <x v="0"/>
    <x v="0"/>
    <x v="0"/>
    <x v="1"/>
    <x v="2"/>
    <s v="EE_Tartu"/>
    <x v="4"/>
    <x v="7"/>
    <x v="5"/>
    <x v="4"/>
    <n v="47.722342733188697"/>
    <n v="2903.1091829356501"/>
    <n v="10451.1930585683"/>
  </r>
  <r>
    <x v="0"/>
    <x v="0"/>
    <x v="0"/>
    <x v="1"/>
    <x v="2"/>
    <s v="EE_Tartu"/>
    <x v="4"/>
    <x v="7"/>
    <x v="5"/>
    <x v="5"/>
    <n v="47.722342733188697"/>
    <n v="2903.1091829356501"/>
    <n v="10451.1930585683"/>
  </r>
  <r>
    <x v="0"/>
    <x v="0"/>
    <x v="0"/>
    <x v="1"/>
    <x v="2"/>
    <s v="EE_Tartu"/>
    <x v="4"/>
    <x v="7"/>
    <x v="5"/>
    <x v="6"/>
    <n v="47.722342733188697"/>
    <n v="2903.1091829356501"/>
    <n v="10451.1930585683"/>
  </r>
  <r>
    <x v="0"/>
    <x v="0"/>
    <x v="0"/>
    <x v="1"/>
    <x v="2"/>
    <s v="EE_Tartu"/>
    <x v="4"/>
    <x v="7"/>
    <x v="5"/>
    <x v="7"/>
    <n v="47.722342733188697"/>
    <n v="2903.1091829356501"/>
    <n v="10451.1930585683"/>
  </r>
  <r>
    <x v="0"/>
    <x v="0"/>
    <x v="0"/>
    <x v="1"/>
    <x v="2"/>
    <s v="EE_Tartu"/>
    <x v="4"/>
    <x v="7"/>
    <x v="5"/>
    <x v="8"/>
    <n v="47.722342733188697"/>
    <n v="2903.1091829356501"/>
    <n v="10451.1930585683"/>
  </r>
  <r>
    <x v="0"/>
    <x v="0"/>
    <x v="0"/>
    <x v="1"/>
    <x v="2"/>
    <s v="EE_Tartu"/>
    <x v="4"/>
    <x v="7"/>
    <x v="5"/>
    <x v="9"/>
    <n v="47.722342733188697"/>
    <n v="2903.1091829356501"/>
    <n v="10451.1930585683"/>
  </r>
  <r>
    <x v="0"/>
    <x v="0"/>
    <x v="0"/>
    <x v="1"/>
    <x v="2"/>
    <s v="EE_Tartu"/>
    <x v="4"/>
    <x v="7"/>
    <x v="5"/>
    <x v="10"/>
    <n v="47.722342733188697"/>
    <n v="2903.1091829356501"/>
    <n v="10451.1930585683"/>
  </r>
  <r>
    <x v="0"/>
    <x v="0"/>
    <x v="0"/>
    <x v="1"/>
    <x v="2"/>
    <s v="EE_Tartu"/>
    <x v="4"/>
    <x v="7"/>
    <x v="5"/>
    <x v="11"/>
    <n v="47.722342733188697"/>
    <n v="2903.1091829356501"/>
    <n v="10451.1930585683"/>
  </r>
  <r>
    <x v="0"/>
    <x v="0"/>
    <x v="0"/>
    <x v="1"/>
    <x v="2"/>
    <s v="EE_Tartu"/>
    <x v="4"/>
    <x v="7"/>
    <x v="6"/>
    <x v="0"/>
    <n v="47.722342733188697"/>
    <n v="2903.1091829356501"/>
    <n v="10451.1930585683"/>
  </r>
  <r>
    <x v="0"/>
    <x v="0"/>
    <x v="0"/>
    <x v="1"/>
    <x v="2"/>
    <s v="EE_Tartu"/>
    <x v="4"/>
    <x v="7"/>
    <x v="6"/>
    <x v="1"/>
    <n v="47.722342733188697"/>
    <n v="2903.1091829356501"/>
    <n v="10451.1930585683"/>
  </r>
  <r>
    <x v="0"/>
    <x v="0"/>
    <x v="0"/>
    <x v="1"/>
    <x v="2"/>
    <s v="EE_Tartu"/>
    <x v="4"/>
    <x v="7"/>
    <x v="6"/>
    <x v="2"/>
    <n v="47.722342733188697"/>
    <n v="2903.1091829356501"/>
    <n v="10451.1930585683"/>
  </r>
  <r>
    <x v="0"/>
    <x v="0"/>
    <x v="0"/>
    <x v="1"/>
    <x v="2"/>
    <s v="EE_Tartu"/>
    <x v="4"/>
    <x v="7"/>
    <x v="6"/>
    <x v="3"/>
    <n v="47.722342733188697"/>
    <n v="2903.1091829356501"/>
    <n v="10451.1930585683"/>
  </r>
  <r>
    <x v="0"/>
    <x v="0"/>
    <x v="0"/>
    <x v="1"/>
    <x v="2"/>
    <s v="EE_Tartu"/>
    <x v="4"/>
    <x v="7"/>
    <x v="6"/>
    <x v="4"/>
    <n v="47.722342733188697"/>
    <n v="2903.1091829356501"/>
    <n v="10451.1930585683"/>
  </r>
  <r>
    <x v="0"/>
    <x v="0"/>
    <x v="0"/>
    <x v="1"/>
    <x v="2"/>
    <s v="EE_Tartu"/>
    <x v="4"/>
    <x v="7"/>
    <x v="6"/>
    <x v="5"/>
    <n v="47.722342733188697"/>
    <n v="2903.1091829356501"/>
    <n v="10451.1930585683"/>
  </r>
  <r>
    <x v="0"/>
    <x v="0"/>
    <x v="0"/>
    <x v="1"/>
    <x v="2"/>
    <s v="EE_Tartu"/>
    <x v="4"/>
    <x v="7"/>
    <x v="6"/>
    <x v="6"/>
    <n v="47.722342733188697"/>
    <n v="2903.1091829356501"/>
    <n v="10451.1930585683"/>
  </r>
  <r>
    <x v="0"/>
    <x v="0"/>
    <x v="0"/>
    <x v="1"/>
    <x v="2"/>
    <s v="EE_Tartu"/>
    <x v="4"/>
    <x v="7"/>
    <x v="6"/>
    <x v="7"/>
    <n v="47.722342733188697"/>
    <n v="2903.1091829356501"/>
    <n v="10451.1930585683"/>
  </r>
  <r>
    <x v="0"/>
    <x v="0"/>
    <x v="0"/>
    <x v="1"/>
    <x v="2"/>
    <s v="EE_Tartu"/>
    <x v="4"/>
    <x v="7"/>
    <x v="6"/>
    <x v="8"/>
    <n v="47.722342733188697"/>
    <n v="2903.1091829356501"/>
    <n v="10451.1930585683"/>
  </r>
  <r>
    <x v="0"/>
    <x v="0"/>
    <x v="0"/>
    <x v="1"/>
    <x v="2"/>
    <s v="EE_Tartu"/>
    <x v="4"/>
    <x v="7"/>
    <x v="6"/>
    <x v="9"/>
    <n v="47.722342733188697"/>
    <n v="2903.1091829356501"/>
    <n v="10451.1930585683"/>
  </r>
  <r>
    <x v="0"/>
    <x v="0"/>
    <x v="0"/>
    <x v="1"/>
    <x v="2"/>
    <s v="EE_Tartu"/>
    <x v="4"/>
    <x v="7"/>
    <x v="6"/>
    <x v="10"/>
    <n v="47.722342733188697"/>
    <n v="2903.1091829356501"/>
    <n v="10451.1930585683"/>
  </r>
  <r>
    <x v="0"/>
    <x v="0"/>
    <x v="0"/>
    <x v="1"/>
    <x v="2"/>
    <s v="EE_Tartu"/>
    <x v="4"/>
    <x v="7"/>
    <x v="6"/>
    <x v="11"/>
    <n v="47.722342733188697"/>
    <n v="2903.1091829356501"/>
    <n v="10451.1930585683"/>
  </r>
  <r>
    <x v="0"/>
    <x v="0"/>
    <x v="0"/>
    <x v="1"/>
    <x v="2"/>
    <s v="EE_Tartu"/>
    <x v="4"/>
    <x v="7"/>
    <x v="7"/>
    <x v="0"/>
    <n v="47.722342733188697"/>
    <n v="2903.1091829356501"/>
    <n v="10451.1930585683"/>
  </r>
  <r>
    <x v="0"/>
    <x v="0"/>
    <x v="0"/>
    <x v="1"/>
    <x v="2"/>
    <s v="EE_Tartu"/>
    <x v="4"/>
    <x v="7"/>
    <x v="7"/>
    <x v="1"/>
    <n v="47.722342733188697"/>
    <n v="2903.1091829356501"/>
    <n v="10451.1930585683"/>
  </r>
  <r>
    <x v="0"/>
    <x v="0"/>
    <x v="0"/>
    <x v="1"/>
    <x v="2"/>
    <s v="EE_Tartu"/>
    <x v="4"/>
    <x v="7"/>
    <x v="7"/>
    <x v="2"/>
    <n v="47.722342733188697"/>
    <n v="2903.1091829356501"/>
    <n v="10451.1930585683"/>
  </r>
  <r>
    <x v="0"/>
    <x v="0"/>
    <x v="0"/>
    <x v="1"/>
    <x v="2"/>
    <s v="EE_Tartu"/>
    <x v="4"/>
    <x v="7"/>
    <x v="7"/>
    <x v="3"/>
    <n v="47.722342733188697"/>
    <n v="2903.1091829356501"/>
    <n v="10451.1930585683"/>
  </r>
  <r>
    <x v="0"/>
    <x v="0"/>
    <x v="0"/>
    <x v="1"/>
    <x v="2"/>
    <s v="EE_Tartu"/>
    <x v="4"/>
    <x v="7"/>
    <x v="7"/>
    <x v="4"/>
    <n v="47.722342733188697"/>
    <n v="2903.1091829356501"/>
    <n v="10451.1930585683"/>
  </r>
  <r>
    <x v="0"/>
    <x v="0"/>
    <x v="0"/>
    <x v="1"/>
    <x v="2"/>
    <s v="EE_Tartu"/>
    <x v="4"/>
    <x v="7"/>
    <x v="7"/>
    <x v="5"/>
    <n v="47.722342733188697"/>
    <n v="2903.1091829356501"/>
    <n v="10451.1930585683"/>
  </r>
  <r>
    <x v="0"/>
    <x v="0"/>
    <x v="0"/>
    <x v="1"/>
    <x v="2"/>
    <s v="EE_Tartu"/>
    <x v="4"/>
    <x v="7"/>
    <x v="7"/>
    <x v="6"/>
    <n v="47.722342733188697"/>
    <n v="2903.1091829356501"/>
    <n v="10451.1930585683"/>
  </r>
  <r>
    <x v="0"/>
    <x v="0"/>
    <x v="0"/>
    <x v="1"/>
    <x v="2"/>
    <s v="EE_Tartu"/>
    <x v="4"/>
    <x v="7"/>
    <x v="7"/>
    <x v="7"/>
    <n v="47.722342733188697"/>
    <n v="2903.1091829356501"/>
    <n v="10451.1930585683"/>
  </r>
  <r>
    <x v="0"/>
    <x v="0"/>
    <x v="0"/>
    <x v="1"/>
    <x v="2"/>
    <s v="EE_Tartu"/>
    <x v="4"/>
    <x v="7"/>
    <x v="7"/>
    <x v="8"/>
    <n v="47.722342733188697"/>
    <n v="2903.1091829356501"/>
    <n v="10451.1930585683"/>
  </r>
  <r>
    <x v="0"/>
    <x v="0"/>
    <x v="0"/>
    <x v="1"/>
    <x v="2"/>
    <s v="EE_Tartu"/>
    <x v="4"/>
    <x v="7"/>
    <x v="7"/>
    <x v="9"/>
    <n v="47.722342733188697"/>
    <n v="2903.1091829356501"/>
    <n v="10451.1930585683"/>
  </r>
  <r>
    <x v="0"/>
    <x v="0"/>
    <x v="0"/>
    <x v="1"/>
    <x v="2"/>
    <s v="EE_Tartu"/>
    <x v="4"/>
    <x v="7"/>
    <x v="7"/>
    <x v="10"/>
    <n v="47.722342733188697"/>
    <n v="2903.1091829356501"/>
    <n v="10451.1930585683"/>
  </r>
  <r>
    <x v="0"/>
    <x v="0"/>
    <x v="0"/>
    <x v="1"/>
    <x v="2"/>
    <s v="EE_Tartu"/>
    <x v="4"/>
    <x v="7"/>
    <x v="7"/>
    <x v="11"/>
    <n v="47.3501175250843"/>
    <n v="2880.46548277596"/>
    <n v="10369.675737993501"/>
  </r>
  <r>
    <x v="0"/>
    <x v="0"/>
    <x v="0"/>
    <x v="1"/>
    <x v="2"/>
    <s v="EE_Tartu"/>
    <x v="4"/>
    <x v="7"/>
    <x v="8"/>
    <x v="0"/>
    <n v="47.722342733188697"/>
    <n v="2903.1091829356501"/>
    <n v="10451.1930585683"/>
  </r>
  <r>
    <x v="0"/>
    <x v="0"/>
    <x v="0"/>
    <x v="1"/>
    <x v="2"/>
    <s v="EE_Tartu"/>
    <x v="4"/>
    <x v="7"/>
    <x v="8"/>
    <x v="1"/>
    <n v="47.722342733188697"/>
    <n v="2903.1091829356501"/>
    <n v="10451.1930585683"/>
  </r>
  <r>
    <x v="0"/>
    <x v="0"/>
    <x v="0"/>
    <x v="1"/>
    <x v="2"/>
    <s v="EE_Tartu"/>
    <x v="4"/>
    <x v="7"/>
    <x v="8"/>
    <x v="2"/>
    <n v="47.722342733188697"/>
    <n v="2903.1091829356501"/>
    <n v="10451.1930585683"/>
  </r>
  <r>
    <x v="0"/>
    <x v="0"/>
    <x v="0"/>
    <x v="1"/>
    <x v="2"/>
    <s v="EE_Tartu"/>
    <x v="4"/>
    <x v="7"/>
    <x v="8"/>
    <x v="3"/>
    <n v="47.722342733188697"/>
    <n v="2903.1091829356501"/>
    <n v="10451.1930585683"/>
  </r>
  <r>
    <x v="0"/>
    <x v="0"/>
    <x v="0"/>
    <x v="1"/>
    <x v="2"/>
    <s v="EE_Tartu"/>
    <x v="4"/>
    <x v="7"/>
    <x v="8"/>
    <x v="4"/>
    <n v="47.722342733188697"/>
    <n v="2903.1091829356501"/>
    <n v="10451.1930585683"/>
  </r>
  <r>
    <x v="0"/>
    <x v="0"/>
    <x v="0"/>
    <x v="1"/>
    <x v="2"/>
    <s v="EE_Tartu"/>
    <x v="4"/>
    <x v="7"/>
    <x v="8"/>
    <x v="5"/>
    <n v="47.722342733188697"/>
    <n v="2903.1091829356501"/>
    <n v="10451.1930585683"/>
  </r>
  <r>
    <x v="0"/>
    <x v="0"/>
    <x v="0"/>
    <x v="1"/>
    <x v="2"/>
    <s v="EE_Tartu"/>
    <x v="4"/>
    <x v="7"/>
    <x v="8"/>
    <x v="6"/>
    <n v="47.722342733188697"/>
    <n v="2903.1091829356501"/>
    <n v="10451.1930585683"/>
  </r>
  <r>
    <x v="0"/>
    <x v="0"/>
    <x v="0"/>
    <x v="1"/>
    <x v="2"/>
    <s v="EE_Tartu"/>
    <x v="4"/>
    <x v="7"/>
    <x v="8"/>
    <x v="7"/>
    <n v="47.722342733188697"/>
    <n v="2903.1091829356501"/>
    <n v="10451.1930585683"/>
  </r>
  <r>
    <x v="0"/>
    <x v="0"/>
    <x v="0"/>
    <x v="1"/>
    <x v="2"/>
    <s v="EE_Tartu"/>
    <x v="4"/>
    <x v="7"/>
    <x v="8"/>
    <x v="8"/>
    <n v="47.722342733188697"/>
    <n v="2903.1091829356501"/>
    <n v="10451.1930585683"/>
  </r>
  <r>
    <x v="0"/>
    <x v="0"/>
    <x v="0"/>
    <x v="1"/>
    <x v="2"/>
    <s v="EE_Tartu"/>
    <x v="4"/>
    <x v="7"/>
    <x v="8"/>
    <x v="9"/>
    <n v="47.722342733188697"/>
    <n v="2903.1091829356501"/>
    <n v="10451.1930585683"/>
  </r>
  <r>
    <x v="0"/>
    <x v="0"/>
    <x v="0"/>
    <x v="1"/>
    <x v="2"/>
    <s v="EE_Tartu"/>
    <x v="4"/>
    <x v="7"/>
    <x v="8"/>
    <x v="10"/>
    <n v="47.722342733188697"/>
    <n v="2903.1091829356501"/>
    <n v="10451.1930585683"/>
  </r>
  <r>
    <x v="0"/>
    <x v="0"/>
    <x v="0"/>
    <x v="1"/>
    <x v="2"/>
    <s v="EE_Tartu"/>
    <x v="4"/>
    <x v="7"/>
    <x v="8"/>
    <x v="11"/>
    <n v="47.722342733188697"/>
    <n v="2903.1091829356501"/>
    <n v="10451.1930585683"/>
  </r>
  <r>
    <x v="0"/>
    <x v="0"/>
    <x v="0"/>
    <x v="1"/>
    <x v="2"/>
    <s v="EE_Tartu"/>
    <x v="4"/>
    <x v="7"/>
    <x v="9"/>
    <x v="0"/>
    <n v="46.219930731845103"/>
    <n v="2811.7124528539098"/>
    <n v="10122.1648302741"/>
  </r>
  <r>
    <x v="0"/>
    <x v="0"/>
    <x v="0"/>
    <x v="1"/>
    <x v="2"/>
    <s v="EE_Tartu"/>
    <x v="4"/>
    <x v="7"/>
    <x v="9"/>
    <x v="1"/>
    <n v="46.549568546539902"/>
    <n v="2831.7654199145099"/>
    <n v="10194.3555116922"/>
  </r>
  <r>
    <x v="0"/>
    <x v="0"/>
    <x v="0"/>
    <x v="1"/>
    <x v="2"/>
    <s v="EE_Tartu"/>
    <x v="4"/>
    <x v="7"/>
    <x v="9"/>
    <x v="2"/>
    <n v="46.714387453887298"/>
    <n v="2841.79190344481"/>
    <n v="10230.4508524013"/>
  </r>
  <r>
    <x v="0"/>
    <x v="0"/>
    <x v="0"/>
    <x v="1"/>
    <x v="2"/>
    <s v="EE_Tartu"/>
    <x v="4"/>
    <x v="7"/>
    <x v="9"/>
    <x v="3"/>
    <n v="46.643750779309798"/>
    <n v="2837.4948390746799"/>
    <n v="10214.981420668901"/>
  </r>
  <r>
    <x v="0"/>
    <x v="0"/>
    <x v="0"/>
    <x v="1"/>
    <x v="2"/>
    <s v="EE_Tartu"/>
    <x v="4"/>
    <x v="7"/>
    <x v="9"/>
    <x v="4"/>
    <n v="46.431840755577497"/>
    <n v="2824.6036459643001"/>
    <n v="10168.573125471499"/>
  </r>
  <r>
    <x v="0"/>
    <x v="0"/>
    <x v="0"/>
    <x v="1"/>
    <x v="2"/>
    <s v="EE_Tartu"/>
    <x v="4"/>
    <x v="7"/>
    <x v="9"/>
    <x v="5"/>
    <n v="46.1257484990752"/>
    <n v="2805.9830336937398"/>
    <n v="10101.538921297501"/>
  </r>
  <r>
    <x v="0"/>
    <x v="0"/>
    <x v="0"/>
    <x v="1"/>
    <x v="2"/>
    <s v="EE_Tartu"/>
    <x v="4"/>
    <x v="7"/>
    <x v="9"/>
    <x v="6"/>
    <n v="45.654837335225501"/>
    <n v="2777.3359378928899"/>
    <n v="9998.4093764143909"/>
  </r>
  <r>
    <x v="0"/>
    <x v="0"/>
    <x v="0"/>
    <x v="1"/>
    <x v="2"/>
    <s v="EE_Tartu"/>
    <x v="4"/>
    <x v="7"/>
    <x v="9"/>
    <x v="7"/>
    <n v="45.089743938605899"/>
    <n v="2742.95942293186"/>
    <n v="9874.6539225547003"/>
  </r>
  <r>
    <x v="0"/>
    <x v="0"/>
    <x v="0"/>
    <x v="1"/>
    <x v="2"/>
    <s v="EE_Tartu"/>
    <x v="4"/>
    <x v="7"/>
    <x v="9"/>
    <x v="8"/>
    <n v="44.665923891141198"/>
    <n v="2717.1770367110898"/>
    <n v="9781.8373321599192"/>
  </r>
  <r>
    <x v="0"/>
    <x v="0"/>
    <x v="0"/>
    <x v="1"/>
    <x v="2"/>
    <s v="EE_Tartu"/>
    <x v="4"/>
    <x v="7"/>
    <x v="9"/>
    <x v="9"/>
    <n v="44.359831634638901"/>
    <n v="2698.55642444054"/>
    <n v="9714.8031279859297"/>
  </r>
  <r>
    <x v="0"/>
    <x v="0"/>
    <x v="0"/>
    <x v="1"/>
    <x v="2"/>
    <s v="EE_Tartu"/>
    <x v="4"/>
    <x v="7"/>
    <x v="9"/>
    <x v="10"/>
    <n v="44.265649401868998"/>
    <n v="2692.82700528036"/>
    <n v="9694.1772190093106"/>
  </r>
  <r>
    <x v="0"/>
    <x v="0"/>
    <x v="0"/>
    <x v="1"/>
    <x v="2"/>
    <s v="EE_Tartu"/>
    <x v="4"/>
    <x v="7"/>
    <x v="9"/>
    <x v="11"/>
    <n v="44.548196100178799"/>
    <n v="2710.01526276088"/>
    <n v="9756.0549459391495"/>
  </r>
  <r>
    <x v="0"/>
    <x v="0"/>
    <x v="0"/>
    <x v="1"/>
    <x v="2"/>
    <s v="EE_Tartu"/>
    <x v="4"/>
    <x v="7"/>
    <x v="10"/>
    <x v="0"/>
    <n v="41.063453487691199"/>
    <n v="2498.0267538345502"/>
    <n v="8992.8963138043691"/>
  </r>
  <r>
    <x v="0"/>
    <x v="0"/>
    <x v="0"/>
    <x v="1"/>
    <x v="2"/>
    <s v="EE_Tartu"/>
    <x v="4"/>
    <x v="7"/>
    <x v="10"/>
    <x v="1"/>
    <n v="41.039907929498703"/>
    <n v="2496.5943990445098"/>
    <n v="8987.7398365602294"/>
  </r>
  <r>
    <x v="0"/>
    <x v="0"/>
    <x v="0"/>
    <x v="1"/>
    <x v="2"/>
    <s v="EE_Tartu"/>
    <x v="4"/>
    <x v="7"/>
    <x v="10"/>
    <x v="2"/>
    <n v="40.8750890221514"/>
    <n v="2486.5679155142102"/>
    <n v="8951.6444958511493"/>
  </r>
  <r>
    <x v="0"/>
    <x v="0"/>
    <x v="0"/>
    <x v="1"/>
    <x v="2"/>
    <s v="EE_Tartu"/>
    <x v="4"/>
    <x v="7"/>
    <x v="10"/>
    <x v="3"/>
    <n v="40.710270114803997"/>
    <n v="2476.5414319839101"/>
    <n v="8915.5491551420801"/>
  </r>
  <r>
    <x v="0"/>
    <x v="0"/>
    <x v="0"/>
    <x v="1"/>
    <x v="2"/>
    <s v="EE_Tartu"/>
    <x v="4"/>
    <x v="7"/>
    <x v="10"/>
    <x v="4"/>
    <n v="40.427723416494203"/>
    <n v="2459.3531745034002"/>
    <n v="8853.6714282122302"/>
  </r>
  <r>
    <x v="0"/>
    <x v="0"/>
    <x v="0"/>
    <x v="1"/>
    <x v="2"/>
    <s v="EE_Tartu"/>
    <x v="4"/>
    <x v="7"/>
    <x v="10"/>
    <x v="5"/>
    <n v="40.003903369029501"/>
    <n v="2433.57078828263"/>
    <n v="8760.8548378174601"/>
  </r>
  <r>
    <x v="0"/>
    <x v="0"/>
    <x v="0"/>
    <x v="1"/>
    <x v="2"/>
    <s v="EE_Tartu"/>
    <x v="4"/>
    <x v="7"/>
    <x v="10"/>
    <x v="6"/>
    <n v="39.5094466469873"/>
    <n v="2403.4913376917302"/>
    <n v="8652.5688156902197"/>
  </r>
  <r>
    <x v="0"/>
    <x v="0"/>
    <x v="0"/>
    <x v="1"/>
    <x v="2"/>
    <s v="EE_Tartu"/>
    <x v="4"/>
    <x v="7"/>
    <x v="10"/>
    <x v="7"/>
    <n v="39.038535483137601"/>
    <n v="2374.8442418908699"/>
    <n v="8549.43927080715"/>
  </r>
  <r>
    <x v="0"/>
    <x v="0"/>
    <x v="0"/>
    <x v="1"/>
    <x v="2"/>
    <s v="EE_Tartu"/>
    <x v="4"/>
    <x v="7"/>
    <x v="10"/>
    <x v="8"/>
    <n v="38.544078761095498"/>
    <n v="2344.7647912999701"/>
    <n v="8441.1532486799097"/>
  </r>
  <r>
    <x v="0"/>
    <x v="0"/>
    <x v="0"/>
    <x v="1"/>
    <x v="2"/>
    <s v="EE_Tartu"/>
    <x v="4"/>
    <x v="7"/>
    <x v="10"/>
    <x v="9"/>
    <n v="38.073167597245799"/>
    <n v="2316.1176954991201"/>
    <n v="8338.02370379684"/>
  </r>
  <r>
    <x v="0"/>
    <x v="0"/>
    <x v="0"/>
    <x v="1"/>
    <x v="2"/>
    <s v="EE_Tartu"/>
    <x v="4"/>
    <x v="7"/>
    <x v="10"/>
    <x v="10"/>
    <n v="37.837712015321003"/>
    <n v="2301.79414759869"/>
    <n v="8286.4589313553006"/>
  </r>
  <r>
    <x v="0"/>
    <x v="0"/>
    <x v="0"/>
    <x v="1"/>
    <x v="2"/>
    <s v="EE_Tartu"/>
    <x v="4"/>
    <x v="7"/>
    <x v="10"/>
    <x v="11"/>
    <n v="38.002530922668399"/>
    <n v="2311.82063112899"/>
    <n v="8322.5542720643807"/>
  </r>
  <r>
    <x v="0"/>
    <x v="0"/>
    <x v="0"/>
    <x v="1"/>
    <x v="2"/>
    <s v="EE_Tartu"/>
    <x v="4"/>
    <x v="7"/>
    <x v="11"/>
    <x v="0"/>
    <n v="40.521905649264099"/>
    <n v="2465.0825936635702"/>
    <n v="8874.2973371888402"/>
  </r>
  <r>
    <x v="0"/>
    <x v="0"/>
    <x v="0"/>
    <x v="1"/>
    <x v="2"/>
    <s v="EE_Tartu"/>
    <x v="4"/>
    <x v="7"/>
    <x v="11"/>
    <x v="1"/>
    <n v="40.969271254921303"/>
    <n v="2492.2973346743802"/>
    <n v="8972.2704048277592"/>
  </r>
  <r>
    <x v="0"/>
    <x v="0"/>
    <x v="0"/>
    <x v="1"/>
    <x v="2"/>
    <s v="EE_Tartu"/>
    <x v="4"/>
    <x v="7"/>
    <x v="11"/>
    <x v="2"/>
    <n v="41.275363511423599"/>
    <n v="2510.91794694493"/>
    <n v="9039.3046090017597"/>
  </r>
  <r>
    <x v="0"/>
    <x v="0"/>
    <x v="0"/>
    <x v="1"/>
    <x v="2"/>
    <s v="EE_Tartu"/>
    <x v="4"/>
    <x v="7"/>
    <x v="11"/>
    <x v="3"/>
    <n v="41.369545744193502"/>
    <n v="2516.6473661051"/>
    <n v="9059.9305179783696"/>
  </r>
  <r>
    <x v="0"/>
    <x v="0"/>
    <x v="0"/>
    <x v="1"/>
    <x v="2"/>
    <s v="EE_Tartu"/>
    <x v="4"/>
    <x v="7"/>
    <x v="11"/>
    <x v="4"/>
    <n v="41.228272395038601"/>
    <n v="2508.0532373648498"/>
    <n v="9028.9916545134602"/>
  </r>
  <r>
    <x v="0"/>
    <x v="0"/>
    <x v="0"/>
    <x v="1"/>
    <x v="2"/>
    <s v="EE_Tartu"/>
    <x v="4"/>
    <x v="7"/>
    <x v="11"/>
    <x v="5"/>
    <n v="40.827997905766402"/>
    <n v="2483.70320593412"/>
    <n v="8941.3315413628407"/>
  </r>
  <r>
    <x v="0"/>
    <x v="0"/>
    <x v="0"/>
    <x v="1"/>
    <x v="2"/>
    <s v="EE_Tartu"/>
    <x v="4"/>
    <x v="7"/>
    <x v="11"/>
    <x v="6"/>
    <n v="40.074540043606902"/>
    <n v="2437.8678526527601"/>
    <n v="8776.3242695499193"/>
  </r>
  <r>
    <x v="0"/>
    <x v="0"/>
    <x v="0"/>
    <x v="1"/>
    <x v="2"/>
    <s v="EE_Tartu"/>
    <x v="4"/>
    <x v="7"/>
    <x v="11"/>
    <x v="7"/>
    <n v="39.109172157715101"/>
    <n v="2379.141306261"/>
    <n v="8564.9087025396093"/>
  </r>
  <r>
    <x v="0"/>
    <x v="0"/>
    <x v="0"/>
    <x v="1"/>
    <x v="2"/>
    <s v="EE_Tartu"/>
    <x v="4"/>
    <x v="7"/>
    <x v="11"/>
    <x v="8"/>
    <n v="38.2144409464007"/>
    <n v="2324.7118242393799"/>
    <n v="8368.9625672617603"/>
  </r>
  <r>
    <x v="0"/>
    <x v="0"/>
    <x v="0"/>
    <x v="1"/>
    <x v="2"/>
    <s v="EE_Tartu"/>
    <x v="4"/>
    <x v="7"/>
    <x v="11"/>
    <x v="9"/>
    <n v="37.343255293278801"/>
    <n v="2271.7146970078002"/>
    <n v="8178.1729092280702"/>
  </r>
  <r>
    <x v="0"/>
    <x v="0"/>
    <x v="0"/>
    <x v="1"/>
    <x v="2"/>
    <s v="EE_Tartu"/>
    <x v="4"/>
    <x v="7"/>
    <x v="11"/>
    <x v="10"/>
    <n v="36.566251872926898"/>
    <n v="2224.44698893639"/>
    <n v="8008.0091601709901"/>
  </r>
  <r>
    <x v="0"/>
    <x v="0"/>
    <x v="0"/>
    <x v="1"/>
    <x v="2"/>
    <s v="EE_Tartu"/>
    <x v="4"/>
    <x v="7"/>
    <x v="11"/>
    <x v="11"/>
    <n v="35.977612918114801"/>
    <n v="2188.6381191853202"/>
    <n v="7879.0972290671398"/>
  </r>
  <r>
    <x v="0"/>
    <x v="0"/>
    <x v="0"/>
    <x v="2"/>
    <x v="3"/>
    <s v="FIN_EL"/>
    <x v="0"/>
    <x v="0"/>
    <x v="0"/>
    <x v="0"/>
    <n v="206.771181069036"/>
    <n v="12578.580181699699"/>
    <n v="45282.888654118899"/>
  </r>
  <r>
    <x v="0"/>
    <x v="0"/>
    <x v="0"/>
    <x v="2"/>
    <x v="3"/>
    <s v="FIN_EL"/>
    <x v="0"/>
    <x v="0"/>
    <x v="0"/>
    <x v="1"/>
    <n v="204.60762279896201"/>
    <n v="12446.9637202702"/>
    <n v="44809.069392972597"/>
  </r>
  <r>
    <x v="0"/>
    <x v="0"/>
    <x v="0"/>
    <x v="2"/>
    <x v="3"/>
    <s v="FIN_EL"/>
    <x v="0"/>
    <x v="0"/>
    <x v="0"/>
    <x v="2"/>
    <n v="203.799504691012"/>
    <n v="12397.803202036601"/>
    <n v="44632.0915273317"/>
  </r>
  <r>
    <x v="0"/>
    <x v="0"/>
    <x v="0"/>
    <x v="2"/>
    <x v="3"/>
    <s v="FIN_EL"/>
    <x v="0"/>
    <x v="0"/>
    <x v="0"/>
    <x v="3"/>
    <n v="206.7321079008"/>
    <n v="12576.203230632"/>
    <n v="45274.331630275199"/>
  </r>
  <r>
    <x v="0"/>
    <x v="0"/>
    <x v="0"/>
    <x v="2"/>
    <x v="3"/>
    <s v="FIN_EL"/>
    <x v="0"/>
    <x v="0"/>
    <x v="0"/>
    <x v="4"/>
    <n v="214.29593882140301"/>
    <n v="13036.336278302"/>
    <n v="46930.810601887199"/>
  </r>
  <r>
    <x v="0"/>
    <x v="0"/>
    <x v="0"/>
    <x v="2"/>
    <x v="3"/>
    <s v="FIN_EL"/>
    <x v="0"/>
    <x v="0"/>
    <x v="0"/>
    <x v="5"/>
    <n v="234.367993488623"/>
    <n v="14257.386270557899"/>
    <n v="51326.5905740085"/>
  </r>
  <r>
    <x v="0"/>
    <x v="0"/>
    <x v="0"/>
    <x v="2"/>
    <x v="3"/>
    <s v="FIN_EL"/>
    <x v="0"/>
    <x v="0"/>
    <x v="0"/>
    <x v="6"/>
    <n v="277.80563864309897"/>
    <n v="16899.843017455201"/>
    <n v="60839.434862838702"/>
  </r>
  <r>
    <x v="0"/>
    <x v="0"/>
    <x v="0"/>
    <x v="2"/>
    <x v="3"/>
    <s v="FIN_EL"/>
    <x v="0"/>
    <x v="0"/>
    <x v="0"/>
    <x v="7"/>
    <n v="299.72153970412398"/>
    <n v="18233.0603320009"/>
    <n v="65639.017195203196"/>
  </r>
  <r>
    <x v="0"/>
    <x v="0"/>
    <x v="0"/>
    <x v="2"/>
    <x v="3"/>
    <s v="FIN_EL"/>
    <x v="0"/>
    <x v="0"/>
    <x v="0"/>
    <x v="8"/>
    <n v="299.96835234527799"/>
    <n v="18248.0747676711"/>
    <n v="65693.069163615903"/>
  </r>
  <r>
    <x v="0"/>
    <x v="0"/>
    <x v="0"/>
    <x v="2"/>
    <x v="3"/>
    <s v="FIN_EL"/>
    <x v="0"/>
    <x v="0"/>
    <x v="0"/>
    <x v="9"/>
    <n v="293.22249759963302"/>
    <n v="17837.701937311002"/>
    <n v="64215.726974319703"/>
  </r>
  <r>
    <x v="0"/>
    <x v="0"/>
    <x v="0"/>
    <x v="2"/>
    <x v="3"/>
    <s v="FIN_EL"/>
    <x v="0"/>
    <x v="0"/>
    <x v="0"/>
    <x v="10"/>
    <n v="290.94289093766201"/>
    <n v="17699.025865374399"/>
    <n v="63716.493115347999"/>
  </r>
  <r>
    <x v="0"/>
    <x v="0"/>
    <x v="0"/>
    <x v="2"/>
    <x v="3"/>
    <s v="FIN_EL"/>
    <x v="0"/>
    <x v="0"/>
    <x v="0"/>
    <x v="11"/>
    <n v="290.15104692673799"/>
    <n v="17650.8553547099"/>
    <n v="63543.079276955599"/>
  </r>
  <r>
    <x v="0"/>
    <x v="0"/>
    <x v="0"/>
    <x v="2"/>
    <x v="3"/>
    <s v="FIN_EL"/>
    <x v="0"/>
    <x v="0"/>
    <x v="1"/>
    <x v="0"/>
    <n v="276.46554894851698"/>
    <n v="16818.320894368098"/>
    <n v="60545.955219725198"/>
  </r>
  <r>
    <x v="0"/>
    <x v="0"/>
    <x v="0"/>
    <x v="2"/>
    <x v="3"/>
    <s v="FIN_EL"/>
    <x v="0"/>
    <x v="0"/>
    <x v="1"/>
    <x v="1"/>
    <n v="273.56979459158998"/>
    <n v="16642.162504321801"/>
    <n v="59911.7850155583"/>
  </r>
  <r>
    <x v="0"/>
    <x v="0"/>
    <x v="0"/>
    <x v="2"/>
    <x v="3"/>
    <s v="FIN_EL"/>
    <x v="0"/>
    <x v="0"/>
    <x v="1"/>
    <x v="2"/>
    <n v="275.69953504213998"/>
    <n v="16771.721715063501"/>
    <n v="60378.198174228703"/>
  </r>
  <r>
    <x v="0"/>
    <x v="0"/>
    <x v="0"/>
    <x v="2"/>
    <x v="3"/>
    <s v="FIN_EL"/>
    <x v="0"/>
    <x v="0"/>
    <x v="1"/>
    <x v="3"/>
    <n v="283.82881132346103"/>
    <n v="17266.252688843899"/>
    <n v="62158.509679837902"/>
  </r>
  <r>
    <x v="0"/>
    <x v="0"/>
    <x v="0"/>
    <x v="2"/>
    <x v="3"/>
    <s v="FIN_EL"/>
    <x v="0"/>
    <x v="0"/>
    <x v="1"/>
    <x v="4"/>
    <n v="301.96733075978398"/>
    <n v="18369.679287886898"/>
    <n v="66130.845436392803"/>
  </r>
  <r>
    <x v="0"/>
    <x v="0"/>
    <x v="0"/>
    <x v="2"/>
    <x v="3"/>
    <s v="FIN_EL"/>
    <x v="0"/>
    <x v="0"/>
    <x v="1"/>
    <x v="5"/>
    <n v="329.37579436210501"/>
    <n v="20037.027490361401"/>
    <n v="72133.298965301001"/>
  </r>
  <r>
    <x v="0"/>
    <x v="0"/>
    <x v="0"/>
    <x v="2"/>
    <x v="3"/>
    <s v="FIN_EL"/>
    <x v="0"/>
    <x v="0"/>
    <x v="1"/>
    <x v="6"/>
    <n v="388.95721619479099"/>
    <n v="23661.5639851831"/>
    <n v="85181.630346659207"/>
  </r>
  <r>
    <x v="0"/>
    <x v="0"/>
    <x v="0"/>
    <x v="2"/>
    <x v="3"/>
    <s v="FIN_EL"/>
    <x v="0"/>
    <x v="0"/>
    <x v="1"/>
    <x v="7"/>
    <n v="425.12891510587099"/>
    <n v="25862.0090022738"/>
    <n v="93103.232408185693"/>
  </r>
  <r>
    <x v="0"/>
    <x v="0"/>
    <x v="0"/>
    <x v="2"/>
    <x v="3"/>
    <s v="FIN_EL"/>
    <x v="0"/>
    <x v="0"/>
    <x v="1"/>
    <x v="8"/>
    <n v="432.54899428126203"/>
    <n v="26313.397152110101"/>
    <n v="94728.229747596299"/>
  </r>
  <r>
    <x v="0"/>
    <x v="0"/>
    <x v="0"/>
    <x v="2"/>
    <x v="3"/>
    <s v="FIN_EL"/>
    <x v="0"/>
    <x v="0"/>
    <x v="1"/>
    <x v="9"/>
    <n v="435.69869991464299"/>
    <n v="26505.0042448075"/>
    <n v="95418.0152813069"/>
  </r>
  <r>
    <x v="0"/>
    <x v="0"/>
    <x v="0"/>
    <x v="2"/>
    <x v="3"/>
    <s v="FIN_EL"/>
    <x v="0"/>
    <x v="0"/>
    <x v="1"/>
    <x v="10"/>
    <n v="422.60475080858799"/>
    <n v="25708.455674189099"/>
    <n v="92550.440427080801"/>
  </r>
  <r>
    <x v="0"/>
    <x v="0"/>
    <x v="0"/>
    <x v="2"/>
    <x v="3"/>
    <s v="FIN_EL"/>
    <x v="0"/>
    <x v="0"/>
    <x v="1"/>
    <x v="11"/>
    <n v="415.940016593942"/>
    <n v="25303.017676131502"/>
    <n v="91090.863634073306"/>
  </r>
  <r>
    <x v="0"/>
    <x v="0"/>
    <x v="0"/>
    <x v="2"/>
    <x v="3"/>
    <s v="FIN_EL"/>
    <x v="0"/>
    <x v="0"/>
    <x v="2"/>
    <x v="0"/>
    <n v="345.83231915558002"/>
    <n v="21038.132748631098"/>
    <n v="75737.277895072097"/>
  </r>
  <r>
    <x v="0"/>
    <x v="0"/>
    <x v="0"/>
    <x v="2"/>
    <x v="3"/>
    <s v="FIN_EL"/>
    <x v="0"/>
    <x v="0"/>
    <x v="2"/>
    <x v="1"/>
    <n v="342.22172357733399"/>
    <n v="20818.488184287799"/>
    <n v="74946.557463436198"/>
  </r>
  <r>
    <x v="0"/>
    <x v="0"/>
    <x v="0"/>
    <x v="2"/>
    <x v="3"/>
    <s v="FIN_EL"/>
    <x v="0"/>
    <x v="0"/>
    <x v="2"/>
    <x v="2"/>
    <n v="346.65836257773998"/>
    <n v="21088.383723479201"/>
    <n v="75918.181404525094"/>
  </r>
  <r>
    <x v="0"/>
    <x v="0"/>
    <x v="0"/>
    <x v="2"/>
    <x v="3"/>
    <s v="FIN_EL"/>
    <x v="0"/>
    <x v="0"/>
    <x v="2"/>
    <x v="3"/>
    <n v="355.92237930971601"/>
    <n v="21651.944741341002"/>
    <n v="77947.001068827798"/>
  </r>
  <r>
    <x v="0"/>
    <x v="0"/>
    <x v="0"/>
    <x v="2"/>
    <x v="3"/>
    <s v="FIN_EL"/>
    <x v="0"/>
    <x v="0"/>
    <x v="2"/>
    <x v="4"/>
    <n v="370.26641532810203"/>
    <n v="22524.540265792901"/>
    <n v="81088.3449568543"/>
  </r>
  <r>
    <x v="0"/>
    <x v="0"/>
    <x v="0"/>
    <x v="2"/>
    <x v="3"/>
    <s v="FIN_EL"/>
    <x v="0"/>
    <x v="0"/>
    <x v="2"/>
    <x v="5"/>
    <n v="387.54564585093198"/>
    <n v="23575.693455931701"/>
    <n v="84872.496441354102"/>
  </r>
  <r>
    <x v="0"/>
    <x v="0"/>
    <x v="0"/>
    <x v="2"/>
    <x v="3"/>
    <s v="FIN_EL"/>
    <x v="0"/>
    <x v="0"/>
    <x v="2"/>
    <x v="6"/>
    <n v="449.632598793841"/>
    <n v="27352.6497599586"/>
    <n v="98469.539135851097"/>
  </r>
  <r>
    <x v="0"/>
    <x v="0"/>
    <x v="0"/>
    <x v="2"/>
    <x v="3"/>
    <s v="FIN_EL"/>
    <x v="0"/>
    <x v="0"/>
    <x v="2"/>
    <x v="7"/>
    <n v="483.37293448422702"/>
    <n v="29405.186847790501"/>
    <n v="105858.67265204601"/>
  </r>
  <r>
    <x v="0"/>
    <x v="0"/>
    <x v="0"/>
    <x v="2"/>
    <x v="3"/>
    <s v="FIN_EL"/>
    <x v="0"/>
    <x v="0"/>
    <x v="2"/>
    <x v="8"/>
    <n v="477.13764939692402"/>
    <n v="29025.873671646201"/>
    <n v="104493.14521792599"/>
  </r>
  <r>
    <x v="0"/>
    <x v="0"/>
    <x v="0"/>
    <x v="2"/>
    <x v="3"/>
    <s v="FIN_EL"/>
    <x v="0"/>
    <x v="0"/>
    <x v="2"/>
    <x v="9"/>
    <n v="464.33451186558699"/>
    <n v="28247.0161384899"/>
    <n v="101689.25809856399"/>
  </r>
  <r>
    <x v="0"/>
    <x v="0"/>
    <x v="0"/>
    <x v="2"/>
    <x v="3"/>
    <s v="FIN_EL"/>
    <x v="0"/>
    <x v="0"/>
    <x v="2"/>
    <x v="10"/>
    <n v="442.00227157989798"/>
    <n v="26888.471521110499"/>
    <n v="96798.497475997705"/>
  </r>
  <r>
    <x v="0"/>
    <x v="0"/>
    <x v="0"/>
    <x v="2"/>
    <x v="3"/>
    <s v="FIN_EL"/>
    <x v="0"/>
    <x v="0"/>
    <x v="2"/>
    <x v="11"/>
    <n v="424.983973429917"/>
    <n v="25853.191716986599"/>
    <n v="93071.490181151894"/>
  </r>
  <r>
    <x v="0"/>
    <x v="0"/>
    <x v="0"/>
    <x v="2"/>
    <x v="3"/>
    <s v="FIN_EL"/>
    <x v="0"/>
    <x v="0"/>
    <x v="3"/>
    <x v="0"/>
    <n v="252.48854598485701"/>
    <n v="15359.719880745401"/>
    <n v="55294.991570683596"/>
  </r>
  <r>
    <x v="0"/>
    <x v="0"/>
    <x v="0"/>
    <x v="2"/>
    <x v="3"/>
    <s v="FIN_EL"/>
    <x v="0"/>
    <x v="0"/>
    <x v="3"/>
    <x v="1"/>
    <n v="249.68816056953801"/>
    <n v="15189.3631013136"/>
    <n v="54681.707164728803"/>
  </r>
  <r>
    <x v="0"/>
    <x v="0"/>
    <x v="0"/>
    <x v="2"/>
    <x v="3"/>
    <s v="FIN_EL"/>
    <x v="0"/>
    <x v="0"/>
    <x v="3"/>
    <x v="2"/>
    <n v="250.566612423018"/>
    <n v="15242.802255733601"/>
    <n v="54874.088120640903"/>
  </r>
  <r>
    <x v="0"/>
    <x v="0"/>
    <x v="0"/>
    <x v="2"/>
    <x v="3"/>
    <s v="FIN_EL"/>
    <x v="0"/>
    <x v="0"/>
    <x v="3"/>
    <x v="3"/>
    <n v="255.15239435590999"/>
    <n v="15521.770656651201"/>
    <n v="55878.374363944298"/>
  </r>
  <r>
    <x v="0"/>
    <x v="0"/>
    <x v="0"/>
    <x v="2"/>
    <x v="3"/>
    <s v="FIN_EL"/>
    <x v="0"/>
    <x v="0"/>
    <x v="3"/>
    <x v="4"/>
    <n v="265.37298717840798"/>
    <n v="16143.5233866865"/>
    <n v="58116.684192071298"/>
  </r>
  <r>
    <x v="0"/>
    <x v="0"/>
    <x v="0"/>
    <x v="2"/>
    <x v="3"/>
    <s v="FIN_EL"/>
    <x v="0"/>
    <x v="0"/>
    <x v="3"/>
    <x v="5"/>
    <n v="284.76960263527798"/>
    <n v="17323.484160312699"/>
    <n v="62364.542977125799"/>
  </r>
  <r>
    <x v="0"/>
    <x v="0"/>
    <x v="0"/>
    <x v="2"/>
    <x v="3"/>
    <s v="FIN_EL"/>
    <x v="0"/>
    <x v="0"/>
    <x v="3"/>
    <x v="6"/>
    <n v="334.09183526901802"/>
    <n v="20323.919978865299"/>
    <n v="73166.111923914999"/>
  </r>
  <r>
    <x v="0"/>
    <x v="0"/>
    <x v="0"/>
    <x v="2"/>
    <x v="3"/>
    <s v="FIN_EL"/>
    <x v="0"/>
    <x v="0"/>
    <x v="3"/>
    <x v="7"/>
    <n v="359.48072647590499"/>
    <n v="21868.410860617601"/>
    <n v="78726.279098223298"/>
  </r>
  <r>
    <x v="0"/>
    <x v="0"/>
    <x v="0"/>
    <x v="2"/>
    <x v="3"/>
    <s v="FIN_EL"/>
    <x v="0"/>
    <x v="0"/>
    <x v="3"/>
    <x v="8"/>
    <n v="357.70918655642203"/>
    <n v="21760.642182182401"/>
    <n v="78338.311855856504"/>
  </r>
  <r>
    <x v="0"/>
    <x v="0"/>
    <x v="0"/>
    <x v="2"/>
    <x v="3"/>
    <s v="FIN_EL"/>
    <x v="0"/>
    <x v="0"/>
    <x v="3"/>
    <x v="9"/>
    <n v="348.50899577209998"/>
    <n v="21200.963909469399"/>
    <n v="76323.470074089899"/>
  </r>
  <r>
    <x v="0"/>
    <x v="0"/>
    <x v="0"/>
    <x v="2"/>
    <x v="3"/>
    <s v="FIN_EL"/>
    <x v="0"/>
    <x v="0"/>
    <x v="3"/>
    <x v="10"/>
    <n v="338.37808670994798"/>
    <n v="20584.666941521798"/>
    <n v="74104.800989478506"/>
  </r>
  <r>
    <x v="0"/>
    <x v="0"/>
    <x v="0"/>
    <x v="2"/>
    <x v="3"/>
    <s v="FIN_EL"/>
    <x v="0"/>
    <x v="0"/>
    <x v="3"/>
    <x v="11"/>
    <n v="331.70088513311498"/>
    <n v="20178.470512264499"/>
    <n v="72642.493844152195"/>
  </r>
  <r>
    <x v="0"/>
    <x v="0"/>
    <x v="0"/>
    <x v="2"/>
    <x v="3"/>
    <s v="FIN_EL"/>
    <x v="0"/>
    <x v="0"/>
    <x v="4"/>
    <x v="0"/>
    <n v="308.38892064465301"/>
    <n v="18760.3260058831"/>
    <n v="67537.173621178998"/>
  </r>
  <r>
    <x v="0"/>
    <x v="0"/>
    <x v="0"/>
    <x v="2"/>
    <x v="3"/>
    <s v="FIN_EL"/>
    <x v="0"/>
    <x v="0"/>
    <x v="4"/>
    <x v="1"/>
    <n v="305.01712746631699"/>
    <n v="18555.2085875343"/>
    <n v="66798.750915123499"/>
  </r>
  <r>
    <x v="0"/>
    <x v="0"/>
    <x v="0"/>
    <x v="2"/>
    <x v="3"/>
    <s v="FIN_EL"/>
    <x v="0"/>
    <x v="0"/>
    <x v="4"/>
    <x v="2"/>
    <n v="307.67602830939001"/>
    <n v="18716.9583888212"/>
    <n v="67381.050199756297"/>
  </r>
  <r>
    <x v="0"/>
    <x v="0"/>
    <x v="0"/>
    <x v="2"/>
    <x v="3"/>
    <s v="FIN_EL"/>
    <x v="0"/>
    <x v="0"/>
    <x v="4"/>
    <x v="3"/>
    <n v="317.03501087311298"/>
    <n v="19286.296494781"/>
    <n v="69430.667381211693"/>
  </r>
  <r>
    <x v="0"/>
    <x v="0"/>
    <x v="0"/>
    <x v="2"/>
    <x v="3"/>
    <s v="FIN_EL"/>
    <x v="0"/>
    <x v="0"/>
    <x v="4"/>
    <x v="4"/>
    <n v="333.884429407357"/>
    <n v="20311.302788947502"/>
    <n v="73120.690040211106"/>
  </r>
  <r>
    <x v="0"/>
    <x v="0"/>
    <x v="0"/>
    <x v="2"/>
    <x v="3"/>
    <s v="FIN_EL"/>
    <x v="0"/>
    <x v="0"/>
    <x v="4"/>
    <x v="5"/>
    <n v="354.27622958859899"/>
    <n v="21551.8039666398"/>
    <n v="77586.494279903302"/>
  </r>
  <r>
    <x v="0"/>
    <x v="0"/>
    <x v="0"/>
    <x v="2"/>
    <x v="3"/>
    <s v="FIN_EL"/>
    <x v="0"/>
    <x v="0"/>
    <x v="4"/>
    <x v="6"/>
    <n v="413.223337625704"/>
    <n v="25137.753038897001"/>
    <n v="90495.910940029207"/>
  </r>
  <r>
    <x v="0"/>
    <x v="0"/>
    <x v="0"/>
    <x v="2"/>
    <x v="3"/>
    <s v="FIN_EL"/>
    <x v="0"/>
    <x v="0"/>
    <x v="4"/>
    <x v="7"/>
    <n v="446.843843318783"/>
    <n v="27183.000468559301"/>
    <n v="97858.801686813604"/>
  </r>
  <r>
    <x v="0"/>
    <x v="0"/>
    <x v="0"/>
    <x v="2"/>
    <x v="3"/>
    <s v="FIN_EL"/>
    <x v="0"/>
    <x v="0"/>
    <x v="4"/>
    <x v="8"/>
    <n v="448.52129335941999"/>
    <n v="27285.045346031398"/>
    <n v="98226.163245713105"/>
  </r>
  <r>
    <x v="0"/>
    <x v="0"/>
    <x v="0"/>
    <x v="2"/>
    <x v="3"/>
    <s v="FIN_EL"/>
    <x v="0"/>
    <x v="0"/>
    <x v="4"/>
    <x v="9"/>
    <n v="445.024518940809"/>
    <n v="27072.3249022325"/>
    <n v="97460.369648037202"/>
  </r>
  <r>
    <x v="0"/>
    <x v="0"/>
    <x v="0"/>
    <x v="2"/>
    <x v="3"/>
    <s v="FIN_EL"/>
    <x v="0"/>
    <x v="0"/>
    <x v="4"/>
    <x v="10"/>
    <n v="428.45738413798699"/>
    <n v="26064.490868394201"/>
    <n v="93832.167126219094"/>
  </r>
  <r>
    <x v="0"/>
    <x v="0"/>
    <x v="0"/>
    <x v="2"/>
    <x v="3"/>
    <s v="FIN_EL"/>
    <x v="0"/>
    <x v="0"/>
    <x v="4"/>
    <x v="11"/>
    <n v="415.10427920178603"/>
    <n v="25252.176984775298"/>
    <n v="90907.837145191195"/>
  </r>
  <r>
    <x v="0"/>
    <x v="0"/>
    <x v="0"/>
    <x v="2"/>
    <x v="3"/>
    <s v="FIN_EL"/>
    <x v="0"/>
    <x v="0"/>
    <x v="5"/>
    <x v="0"/>
    <n v="264.69103410906501"/>
    <n v="16102.0379083014"/>
    <n v="57967.336469885202"/>
  </r>
  <r>
    <x v="0"/>
    <x v="0"/>
    <x v="0"/>
    <x v="2"/>
    <x v="3"/>
    <s v="FIN_EL"/>
    <x v="0"/>
    <x v="0"/>
    <x v="5"/>
    <x v="1"/>
    <n v="260.659462873042"/>
    <n v="15856.783991443401"/>
    <n v="57084.422369196203"/>
  </r>
  <r>
    <x v="0"/>
    <x v="0"/>
    <x v="0"/>
    <x v="2"/>
    <x v="3"/>
    <s v="FIN_EL"/>
    <x v="0"/>
    <x v="0"/>
    <x v="5"/>
    <x v="2"/>
    <n v="262.07927006920897"/>
    <n v="15943.1555958769"/>
    <n v="57395.360145156803"/>
  </r>
  <r>
    <x v="0"/>
    <x v="0"/>
    <x v="0"/>
    <x v="2"/>
    <x v="3"/>
    <s v="FIN_EL"/>
    <x v="0"/>
    <x v="0"/>
    <x v="5"/>
    <x v="3"/>
    <n v="266.71554857759298"/>
    <n v="16225.1958718036"/>
    <n v="58410.705138493002"/>
  </r>
  <r>
    <x v="0"/>
    <x v="0"/>
    <x v="0"/>
    <x v="2"/>
    <x v="3"/>
    <s v="FIN_EL"/>
    <x v="0"/>
    <x v="0"/>
    <x v="5"/>
    <x v="4"/>
    <n v="278.18322321408601"/>
    <n v="16922.812745523599"/>
    <n v="60922.125883884801"/>
  </r>
  <r>
    <x v="0"/>
    <x v="0"/>
    <x v="0"/>
    <x v="2"/>
    <x v="3"/>
    <s v="FIN_EL"/>
    <x v="0"/>
    <x v="0"/>
    <x v="5"/>
    <x v="5"/>
    <n v="297.37904898486897"/>
    <n v="18090.5588132462"/>
    <n v="65126.011727686302"/>
  </r>
  <r>
    <x v="0"/>
    <x v="0"/>
    <x v="0"/>
    <x v="2"/>
    <x v="3"/>
    <s v="FIN_EL"/>
    <x v="0"/>
    <x v="0"/>
    <x v="5"/>
    <x v="6"/>
    <n v="348.00340558888001"/>
    <n v="21170.207173323499"/>
    <n v="76212.745823964797"/>
  </r>
  <r>
    <x v="0"/>
    <x v="0"/>
    <x v="0"/>
    <x v="2"/>
    <x v="3"/>
    <s v="FIN_EL"/>
    <x v="0"/>
    <x v="0"/>
    <x v="5"/>
    <x v="7"/>
    <n v="376.40462917202899"/>
    <n v="22897.948274631701"/>
    <n v="82432.613788674294"/>
  </r>
  <r>
    <x v="0"/>
    <x v="0"/>
    <x v="0"/>
    <x v="2"/>
    <x v="3"/>
    <s v="FIN_EL"/>
    <x v="0"/>
    <x v="0"/>
    <x v="5"/>
    <x v="8"/>
    <n v="375.81759539642297"/>
    <n v="22862.237053282399"/>
    <n v="82304.053391816502"/>
  </r>
  <r>
    <x v="0"/>
    <x v="0"/>
    <x v="0"/>
    <x v="2"/>
    <x v="3"/>
    <s v="FIN_EL"/>
    <x v="0"/>
    <x v="0"/>
    <x v="5"/>
    <x v="9"/>
    <n v="368.61286614724298"/>
    <n v="22423.949357290599"/>
    <n v="80726.217686246193"/>
  </r>
  <r>
    <x v="0"/>
    <x v="0"/>
    <x v="0"/>
    <x v="2"/>
    <x v="3"/>
    <s v="FIN_EL"/>
    <x v="0"/>
    <x v="0"/>
    <x v="5"/>
    <x v="10"/>
    <n v="358.06292368822801"/>
    <n v="21782.161191033902"/>
    <n v="78415.780287721995"/>
  </r>
  <r>
    <x v="0"/>
    <x v="0"/>
    <x v="0"/>
    <x v="2"/>
    <x v="3"/>
    <s v="FIN_EL"/>
    <x v="0"/>
    <x v="0"/>
    <x v="5"/>
    <x v="11"/>
    <n v="352.99931274641"/>
    <n v="21474.12485874"/>
    <n v="77306.849491463901"/>
  </r>
  <r>
    <x v="0"/>
    <x v="0"/>
    <x v="0"/>
    <x v="2"/>
    <x v="3"/>
    <s v="FIN_EL"/>
    <x v="0"/>
    <x v="0"/>
    <x v="6"/>
    <x v="0"/>
    <n v="240.06743108019"/>
    <n v="14604.102057378201"/>
    <n v="52574.767406561703"/>
  </r>
  <r>
    <x v="0"/>
    <x v="0"/>
    <x v="0"/>
    <x v="2"/>
    <x v="3"/>
    <s v="FIN_EL"/>
    <x v="0"/>
    <x v="0"/>
    <x v="6"/>
    <x v="1"/>
    <n v="239.03928257029301"/>
    <n v="14541.556356359501"/>
    <n v="52349.6028828942"/>
  </r>
  <r>
    <x v="0"/>
    <x v="0"/>
    <x v="0"/>
    <x v="2"/>
    <x v="3"/>
    <s v="FIN_EL"/>
    <x v="0"/>
    <x v="0"/>
    <x v="6"/>
    <x v="2"/>
    <n v="240.75777880602499"/>
    <n v="14646.0982106998"/>
    <n v="52725.953558519403"/>
  </r>
  <r>
    <x v="0"/>
    <x v="0"/>
    <x v="0"/>
    <x v="2"/>
    <x v="3"/>
    <s v="FIN_EL"/>
    <x v="0"/>
    <x v="0"/>
    <x v="6"/>
    <x v="3"/>
    <n v="249.385700744871"/>
    <n v="15170.9634619797"/>
    <n v="54615.468463126897"/>
  </r>
  <r>
    <x v="0"/>
    <x v="0"/>
    <x v="0"/>
    <x v="2"/>
    <x v="3"/>
    <s v="FIN_EL"/>
    <x v="0"/>
    <x v="0"/>
    <x v="6"/>
    <x v="4"/>
    <n v="265.01979740912901"/>
    <n v="16122.037675722"/>
    <n v="58039.335632599301"/>
  </r>
  <r>
    <x v="0"/>
    <x v="0"/>
    <x v="0"/>
    <x v="2"/>
    <x v="3"/>
    <s v="FIN_EL"/>
    <x v="0"/>
    <x v="0"/>
    <x v="6"/>
    <x v="5"/>
    <n v="287.82784402117898"/>
    <n v="17509.527177954998"/>
    <n v="63034.297840638203"/>
  </r>
  <r>
    <x v="0"/>
    <x v="0"/>
    <x v="0"/>
    <x v="2"/>
    <x v="3"/>
    <s v="FIN_EL"/>
    <x v="0"/>
    <x v="0"/>
    <x v="6"/>
    <x v="6"/>
    <n v="339.469390552947"/>
    <n v="20651.0545919709"/>
    <n v="74343.7965310953"/>
  </r>
  <r>
    <x v="0"/>
    <x v="0"/>
    <x v="0"/>
    <x v="2"/>
    <x v="3"/>
    <s v="FIN_EL"/>
    <x v="0"/>
    <x v="0"/>
    <x v="6"/>
    <x v="7"/>
    <n v="368.46480848992798"/>
    <n v="22414.942516470601"/>
    <n v="80693.793059294301"/>
  </r>
  <r>
    <x v="0"/>
    <x v="0"/>
    <x v="0"/>
    <x v="2"/>
    <x v="3"/>
    <s v="FIN_EL"/>
    <x v="0"/>
    <x v="0"/>
    <x v="6"/>
    <x v="8"/>
    <n v="370.81174619203699"/>
    <n v="22557.7145600156"/>
    <n v="81207.772416056105"/>
  </r>
  <r>
    <x v="0"/>
    <x v="0"/>
    <x v="0"/>
    <x v="2"/>
    <x v="3"/>
    <s v="FIN_EL"/>
    <x v="0"/>
    <x v="0"/>
    <x v="6"/>
    <x v="9"/>
    <n v="367.06152652986498"/>
    <n v="22329.5761972334"/>
    <n v="80386.474310040299"/>
  </r>
  <r>
    <x v="0"/>
    <x v="0"/>
    <x v="0"/>
    <x v="2"/>
    <x v="3"/>
    <s v="FIN_EL"/>
    <x v="0"/>
    <x v="0"/>
    <x v="6"/>
    <x v="10"/>
    <n v="357.80025925465998"/>
    <n v="21766.1824379918"/>
    <n v="78358.256776770504"/>
  </r>
  <r>
    <x v="0"/>
    <x v="0"/>
    <x v="0"/>
    <x v="2"/>
    <x v="3"/>
    <s v="FIN_EL"/>
    <x v="0"/>
    <x v="0"/>
    <x v="6"/>
    <x v="11"/>
    <n v="353.57978382135599"/>
    <n v="21509.4368491325"/>
    <n v="77433.972656876897"/>
  </r>
  <r>
    <x v="0"/>
    <x v="0"/>
    <x v="0"/>
    <x v="2"/>
    <x v="3"/>
    <s v="FIN_EL"/>
    <x v="0"/>
    <x v="0"/>
    <x v="7"/>
    <x v="0"/>
    <n v="203.48636365516299"/>
    <n v="12378.753789022399"/>
    <n v="44563.5136404808"/>
  </r>
  <r>
    <x v="0"/>
    <x v="0"/>
    <x v="0"/>
    <x v="2"/>
    <x v="3"/>
    <s v="FIN_EL"/>
    <x v="0"/>
    <x v="0"/>
    <x v="7"/>
    <x v="1"/>
    <n v="202.955267677585"/>
    <n v="12346.4454503864"/>
    <n v="44447.203621391098"/>
  </r>
  <r>
    <x v="0"/>
    <x v="0"/>
    <x v="0"/>
    <x v="2"/>
    <x v="3"/>
    <s v="FIN_EL"/>
    <x v="0"/>
    <x v="0"/>
    <x v="7"/>
    <x v="2"/>
    <n v="203.710585109123"/>
    <n v="12392.393927471699"/>
    <n v="44612.618138897997"/>
  </r>
  <r>
    <x v="0"/>
    <x v="0"/>
    <x v="0"/>
    <x v="2"/>
    <x v="3"/>
    <s v="FIN_EL"/>
    <x v="0"/>
    <x v="0"/>
    <x v="7"/>
    <x v="3"/>
    <n v="210.765943585603"/>
    <n v="12821.5949014575"/>
    <n v="46157.741645247101"/>
  </r>
  <r>
    <x v="0"/>
    <x v="0"/>
    <x v="0"/>
    <x v="2"/>
    <x v="3"/>
    <s v="FIN_EL"/>
    <x v="0"/>
    <x v="0"/>
    <x v="7"/>
    <x v="4"/>
    <n v="224.546892152037"/>
    <n v="13659.9359392489"/>
    <n v="49175.769381295999"/>
  </r>
  <r>
    <x v="0"/>
    <x v="0"/>
    <x v="0"/>
    <x v="2"/>
    <x v="3"/>
    <s v="FIN_EL"/>
    <x v="0"/>
    <x v="0"/>
    <x v="7"/>
    <x v="5"/>
    <n v="248.141141706165"/>
    <n v="15095.252787125"/>
    <n v="54342.9100336501"/>
  </r>
  <r>
    <x v="0"/>
    <x v="0"/>
    <x v="0"/>
    <x v="2"/>
    <x v="3"/>
    <s v="FIN_EL"/>
    <x v="0"/>
    <x v="0"/>
    <x v="7"/>
    <x v="6"/>
    <n v="294.831155992341"/>
    <n v="17935.561989534101"/>
    <n v="64568.023162322701"/>
  </r>
  <r>
    <x v="0"/>
    <x v="0"/>
    <x v="0"/>
    <x v="2"/>
    <x v="3"/>
    <s v="FIN_EL"/>
    <x v="0"/>
    <x v="0"/>
    <x v="7"/>
    <x v="7"/>
    <n v="320.42608611524901"/>
    <n v="19492.586905344298"/>
    <n v="70173.312859239493"/>
  </r>
  <r>
    <x v="0"/>
    <x v="0"/>
    <x v="0"/>
    <x v="2"/>
    <x v="3"/>
    <s v="FIN_EL"/>
    <x v="0"/>
    <x v="0"/>
    <x v="7"/>
    <x v="8"/>
    <n v="322.75483296776099"/>
    <n v="19634.252338872098"/>
    <n v="70683.308419939596"/>
  </r>
  <r>
    <x v="0"/>
    <x v="0"/>
    <x v="0"/>
    <x v="2"/>
    <x v="3"/>
    <s v="FIN_EL"/>
    <x v="0"/>
    <x v="0"/>
    <x v="7"/>
    <x v="9"/>
    <n v="315.43130702006403"/>
    <n v="19188.737843720501"/>
    <n v="69079.456237393999"/>
  </r>
  <r>
    <x v="0"/>
    <x v="0"/>
    <x v="0"/>
    <x v="2"/>
    <x v="3"/>
    <s v="FIN_EL"/>
    <x v="0"/>
    <x v="0"/>
    <x v="7"/>
    <x v="10"/>
    <n v="309.03339559792801"/>
    <n v="18799.531565540601"/>
    <n v="67678.313635946193"/>
  </r>
  <r>
    <x v="0"/>
    <x v="0"/>
    <x v="0"/>
    <x v="2"/>
    <x v="3"/>
    <s v="FIN_EL"/>
    <x v="0"/>
    <x v="0"/>
    <x v="7"/>
    <x v="11"/>
    <n v="306.102824222945"/>
    <n v="18621.255140229099"/>
    <n v="67036.518504824897"/>
  </r>
  <r>
    <x v="0"/>
    <x v="0"/>
    <x v="0"/>
    <x v="2"/>
    <x v="3"/>
    <s v="FIN_EL"/>
    <x v="0"/>
    <x v="0"/>
    <x v="8"/>
    <x v="0"/>
    <n v="257.35792086393502"/>
    <n v="15655.9401858894"/>
    <n v="56361.384669201703"/>
  </r>
  <r>
    <x v="0"/>
    <x v="0"/>
    <x v="0"/>
    <x v="2"/>
    <x v="3"/>
    <s v="FIN_EL"/>
    <x v="0"/>
    <x v="0"/>
    <x v="8"/>
    <x v="1"/>
    <n v="257.24010187890201"/>
    <n v="15648.772864299901"/>
    <n v="56335.5823114796"/>
  </r>
  <r>
    <x v="0"/>
    <x v="0"/>
    <x v="0"/>
    <x v="2"/>
    <x v="3"/>
    <s v="FIN_EL"/>
    <x v="0"/>
    <x v="0"/>
    <x v="8"/>
    <x v="2"/>
    <n v="261.40393934517999"/>
    <n v="15902.0729768318"/>
    <n v="57247.462716594397"/>
  </r>
  <r>
    <x v="0"/>
    <x v="0"/>
    <x v="0"/>
    <x v="2"/>
    <x v="3"/>
    <s v="FIN_EL"/>
    <x v="0"/>
    <x v="0"/>
    <x v="8"/>
    <x v="3"/>
    <n v="266.61967387809199"/>
    <n v="16219.3634942506"/>
    <n v="58389.708579302103"/>
  </r>
  <r>
    <x v="0"/>
    <x v="0"/>
    <x v="0"/>
    <x v="2"/>
    <x v="3"/>
    <s v="FIN_EL"/>
    <x v="0"/>
    <x v="0"/>
    <x v="8"/>
    <x v="4"/>
    <n v="280.26707002553201"/>
    <n v="17049.5800932198"/>
    <n v="61378.488335591399"/>
  </r>
  <r>
    <x v="0"/>
    <x v="0"/>
    <x v="0"/>
    <x v="2"/>
    <x v="3"/>
    <s v="FIN_EL"/>
    <x v="0"/>
    <x v="0"/>
    <x v="8"/>
    <x v="5"/>
    <n v="298.74860764778498"/>
    <n v="18173.873631906899"/>
    <n v="65425.945074864903"/>
  </r>
  <r>
    <x v="0"/>
    <x v="0"/>
    <x v="0"/>
    <x v="2"/>
    <x v="3"/>
    <s v="FIN_EL"/>
    <x v="0"/>
    <x v="0"/>
    <x v="8"/>
    <x v="6"/>
    <n v="351.33428548923803"/>
    <n v="21372.8357005953"/>
    <n v="76942.208522143206"/>
  </r>
  <r>
    <x v="0"/>
    <x v="0"/>
    <x v="0"/>
    <x v="2"/>
    <x v="3"/>
    <s v="FIN_EL"/>
    <x v="0"/>
    <x v="0"/>
    <x v="8"/>
    <x v="7"/>
    <n v="374.87857146164401"/>
    <n v="22805.11309725"/>
    <n v="82098.4071501"/>
  </r>
  <r>
    <x v="0"/>
    <x v="0"/>
    <x v="0"/>
    <x v="2"/>
    <x v="3"/>
    <s v="FIN_EL"/>
    <x v="0"/>
    <x v="0"/>
    <x v="8"/>
    <x v="8"/>
    <n v="367.97237899402597"/>
    <n v="22384.9863888033"/>
    <n v="80585.950999691704"/>
  </r>
  <r>
    <x v="0"/>
    <x v="0"/>
    <x v="0"/>
    <x v="2"/>
    <x v="3"/>
    <s v="FIN_EL"/>
    <x v="0"/>
    <x v="0"/>
    <x v="8"/>
    <x v="9"/>
    <n v="350.96895169888597"/>
    <n v="21350.611228348898"/>
    <n v="76862.200422056005"/>
  </r>
  <r>
    <x v="0"/>
    <x v="0"/>
    <x v="0"/>
    <x v="2"/>
    <x v="3"/>
    <s v="FIN_EL"/>
    <x v="0"/>
    <x v="0"/>
    <x v="8"/>
    <x v="10"/>
    <n v="331.99476222000101"/>
    <n v="20196.348035050101"/>
    <n v="72706.852926180203"/>
  </r>
  <r>
    <x v="0"/>
    <x v="0"/>
    <x v="0"/>
    <x v="2"/>
    <x v="3"/>
    <s v="FIN_EL"/>
    <x v="0"/>
    <x v="0"/>
    <x v="8"/>
    <x v="11"/>
    <n v="317.74300042973499"/>
    <n v="19329.3658594755"/>
    <n v="69585.717094111897"/>
  </r>
  <r>
    <x v="0"/>
    <x v="0"/>
    <x v="0"/>
    <x v="2"/>
    <x v="3"/>
    <s v="FIN_EL"/>
    <x v="0"/>
    <x v="0"/>
    <x v="9"/>
    <x v="0"/>
    <n v="255.83831752030801"/>
    <n v="15563.497649152099"/>
    <n v="56028.591536947497"/>
  </r>
  <r>
    <x v="0"/>
    <x v="0"/>
    <x v="0"/>
    <x v="2"/>
    <x v="3"/>
    <s v="FIN_EL"/>
    <x v="0"/>
    <x v="0"/>
    <x v="9"/>
    <x v="1"/>
    <n v="258.38172524177003"/>
    <n v="15718.221618874401"/>
    <n v="56585.597827947699"/>
  </r>
  <r>
    <x v="0"/>
    <x v="0"/>
    <x v="0"/>
    <x v="2"/>
    <x v="3"/>
    <s v="FIN_EL"/>
    <x v="0"/>
    <x v="0"/>
    <x v="9"/>
    <x v="2"/>
    <n v="266.36420972034603"/>
    <n v="16203.8227579877"/>
    <n v="58333.761928755797"/>
  </r>
  <r>
    <x v="0"/>
    <x v="0"/>
    <x v="0"/>
    <x v="2"/>
    <x v="3"/>
    <s v="FIN_EL"/>
    <x v="0"/>
    <x v="0"/>
    <x v="9"/>
    <x v="3"/>
    <n v="273.02764624835299"/>
    <n v="16609.181813441501"/>
    <n v="59793.054528389301"/>
  </r>
  <r>
    <x v="0"/>
    <x v="0"/>
    <x v="0"/>
    <x v="2"/>
    <x v="3"/>
    <s v="FIN_EL"/>
    <x v="0"/>
    <x v="0"/>
    <x v="9"/>
    <x v="4"/>
    <n v="287.85635936291101"/>
    <n v="17511.261861243798"/>
    <n v="63040.542700477497"/>
  </r>
  <r>
    <x v="0"/>
    <x v="0"/>
    <x v="0"/>
    <x v="2"/>
    <x v="3"/>
    <s v="FIN_EL"/>
    <x v="0"/>
    <x v="0"/>
    <x v="9"/>
    <x v="5"/>
    <n v="307.30126997803302"/>
    <n v="18694.160590330299"/>
    <n v="67298.978125189198"/>
  </r>
  <r>
    <x v="0"/>
    <x v="0"/>
    <x v="0"/>
    <x v="2"/>
    <x v="3"/>
    <s v="FIN_EL"/>
    <x v="0"/>
    <x v="0"/>
    <x v="9"/>
    <x v="6"/>
    <n v="360.55447394881401"/>
    <n v="21933.730498552799"/>
    <n v="78961.429794790194"/>
  </r>
  <r>
    <x v="0"/>
    <x v="0"/>
    <x v="0"/>
    <x v="2"/>
    <x v="3"/>
    <s v="FIN_EL"/>
    <x v="0"/>
    <x v="0"/>
    <x v="9"/>
    <x v="7"/>
    <n v="380.40888910264903"/>
    <n v="23141.540753744499"/>
    <n v="83309.5467134801"/>
  </r>
  <r>
    <x v="0"/>
    <x v="0"/>
    <x v="0"/>
    <x v="2"/>
    <x v="3"/>
    <s v="FIN_EL"/>
    <x v="0"/>
    <x v="0"/>
    <x v="9"/>
    <x v="8"/>
    <n v="368.48290971303197"/>
    <n v="22416.043674209399"/>
    <n v="80697.757227153998"/>
  </r>
  <r>
    <x v="0"/>
    <x v="0"/>
    <x v="0"/>
    <x v="2"/>
    <x v="3"/>
    <s v="FIN_EL"/>
    <x v="0"/>
    <x v="0"/>
    <x v="9"/>
    <x v="9"/>
    <n v="344.54449302326799"/>
    <n v="20959.7899922488"/>
    <n v="75455.243972095603"/>
  </r>
  <r>
    <x v="0"/>
    <x v="0"/>
    <x v="0"/>
    <x v="2"/>
    <x v="3"/>
    <s v="FIN_EL"/>
    <x v="0"/>
    <x v="0"/>
    <x v="9"/>
    <x v="10"/>
    <n v="320.90450848853402"/>
    <n v="19521.690933052501"/>
    <n v="70278.087358988894"/>
  </r>
  <r>
    <x v="0"/>
    <x v="0"/>
    <x v="0"/>
    <x v="2"/>
    <x v="3"/>
    <s v="FIN_EL"/>
    <x v="0"/>
    <x v="0"/>
    <x v="9"/>
    <x v="11"/>
    <n v="306.76292721694801"/>
    <n v="18661.411405697701"/>
    <n v="67181.0810605117"/>
  </r>
  <r>
    <x v="0"/>
    <x v="0"/>
    <x v="0"/>
    <x v="2"/>
    <x v="3"/>
    <s v="FIN_EL"/>
    <x v="0"/>
    <x v="0"/>
    <x v="10"/>
    <x v="0"/>
    <n v="144.03916509651799"/>
    <n v="8762.3825433714901"/>
    <n v="31544.577156137399"/>
  </r>
  <r>
    <x v="0"/>
    <x v="0"/>
    <x v="0"/>
    <x v="2"/>
    <x v="3"/>
    <s v="FIN_EL"/>
    <x v="0"/>
    <x v="0"/>
    <x v="10"/>
    <x v="1"/>
    <n v="144.21422216813801"/>
    <n v="8773.0318485617008"/>
    <n v="31582.9146548221"/>
  </r>
  <r>
    <x v="0"/>
    <x v="0"/>
    <x v="0"/>
    <x v="2"/>
    <x v="3"/>
    <s v="FIN_EL"/>
    <x v="0"/>
    <x v="0"/>
    <x v="10"/>
    <x v="2"/>
    <n v="140.58556769535701"/>
    <n v="8552.2887014675598"/>
    <n v="30788.239325283201"/>
  </r>
  <r>
    <x v="0"/>
    <x v="0"/>
    <x v="0"/>
    <x v="2"/>
    <x v="3"/>
    <s v="FIN_EL"/>
    <x v="0"/>
    <x v="0"/>
    <x v="10"/>
    <x v="3"/>
    <n v="145.15103593947799"/>
    <n v="8830.0213529848807"/>
    <n v="31788.076870745601"/>
  </r>
  <r>
    <x v="0"/>
    <x v="0"/>
    <x v="0"/>
    <x v="2"/>
    <x v="3"/>
    <s v="FIN_EL"/>
    <x v="0"/>
    <x v="0"/>
    <x v="10"/>
    <x v="4"/>
    <n v="151.875024979096"/>
    <n v="9239.0640195616907"/>
    <n v="33260.630470422097"/>
  </r>
  <r>
    <x v="0"/>
    <x v="0"/>
    <x v="0"/>
    <x v="2"/>
    <x v="3"/>
    <s v="FIN_EL"/>
    <x v="0"/>
    <x v="0"/>
    <x v="10"/>
    <x v="5"/>
    <n v="170.72098312030499"/>
    <n v="10385.5264731519"/>
    <n v="37387.895303346697"/>
  </r>
  <r>
    <x v="0"/>
    <x v="0"/>
    <x v="0"/>
    <x v="2"/>
    <x v="3"/>
    <s v="FIN_EL"/>
    <x v="0"/>
    <x v="0"/>
    <x v="10"/>
    <x v="6"/>
    <n v="205.35172684449299"/>
    <n v="12492.230049706601"/>
    <n v="44972.028178943903"/>
  </r>
  <r>
    <x v="0"/>
    <x v="0"/>
    <x v="0"/>
    <x v="2"/>
    <x v="3"/>
    <s v="FIN_EL"/>
    <x v="0"/>
    <x v="0"/>
    <x v="10"/>
    <x v="7"/>
    <n v="214.43417866493601"/>
    <n v="13044.745868783601"/>
    <n v="46961.085127621001"/>
  </r>
  <r>
    <x v="0"/>
    <x v="0"/>
    <x v="0"/>
    <x v="2"/>
    <x v="3"/>
    <s v="FIN_EL"/>
    <x v="0"/>
    <x v="0"/>
    <x v="10"/>
    <x v="8"/>
    <n v="200.79156241382401"/>
    <n v="12214.820046841"/>
    <n v="43973.3521686276"/>
  </r>
  <r>
    <x v="0"/>
    <x v="0"/>
    <x v="0"/>
    <x v="2"/>
    <x v="3"/>
    <s v="FIN_EL"/>
    <x v="0"/>
    <x v="0"/>
    <x v="10"/>
    <x v="9"/>
    <n v="187.578767994467"/>
    <n v="11411.041719663401"/>
    <n v="41079.750190788203"/>
  </r>
  <r>
    <x v="0"/>
    <x v="0"/>
    <x v="0"/>
    <x v="2"/>
    <x v="3"/>
    <s v="FIN_EL"/>
    <x v="0"/>
    <x v="0"/>
    <x v="10"/>
    <x v="10"/>
    <n v="177.31649073764001"/>
    <n v="10786.7531865397"/>
    <n v="38832.3114715431"/>
  </r>
  <r>
    <x v="0"/>
    <x v="0"/>
    <x v="0"/>
    <x v="2"/>
    <x v="3"/>
    <s v="FIN_EL"/>
    <x v="0"/>
    <x v="0"/>
    <x v="10"/>
    <x v="11"/>
    <n v="172.614839207773"/>
    <n v="10500.7360518062"/>
    <n v="37802.649786502298"/>
  </r>
  <r>
    <x v="0"/>
    <x v="0"/>
    <x v="0"/>
    <x v="2"/>
    <x v="3"/>
    <s v="FIN_EL"/>
    <x v="0"/>
    <x v="0"/>
    <x v="11"/>
    <x v="0"/>
    <n v="162.80546328555101"/>
    <n v="9903.9990165377003"/>
    <n v="35654.396459535703"/>
  </r>
  <r>
    <x v="0"/>
    <x v="0"/>
    <x v="0"/>
    <x v="2"/>
    <x v="3"/>
    <s v="FIN_EL"/>
    <x v="0"/>
    <x v="0"/>
    <x v="11"/>
    <x v="1"/>
    <n v="164.063490605982"/>
    <n v="9980.5290118639095"/>
    <n v="35929.904442710103"/>
  </r>
  <r>
    <x v="0"/>
    <x v="0"/>
    <x v="0"/>
    <x v="2"/>
    <x v="3"/>
    <s v="FIN_EL"/>
    <x v="0"/>
    <x v="0"/>
    <x v="11"/>
    <x v="2"/>
    <n v="164.272901521508"/>
    <n v="9993.2681758917297"/>
    <n v="35975.765433210203"/>
  </r>
  <r>
    <x v="0"/>
    <x v="0"/>
    <x v="0"/>
    <x v="2"/>
    <x v="3"/>
    <s v="FIN_EL"/>
    <x v="0"/>
    <x v="0"/>
    <x v="11"/>
    <x v="3"/>
    <n v="170.922974556078"/>
    <n v="10397.8142854947"/>
    <n v="37432.131427781002"/>
  </r>
  <r>
    <x v="0"/>
    <x v="0"/>
    <x v="0"/>
    <x v="2"/>
    <x v="3"/>
    <s v="FIN_EL"/>
    <x v="0"/>
    <x v="0"/>
    <x v="11"/>
    <x v="4"/>
    <n v="179.88611205618301"/>
    <n v="10943.0718167512"/>
    <n v="39395.058540304199"/>
  </r>
  <r>
    <x v="0"/>
    <x v="0"/>
    <x v="0"/>
    <x v="2"/>
    <x v="3"/>
    <s v="FIN_EL"/>
    <x v="0"/>
    <x v="0"/>
    <x v="11"/>
    <x v="5"/>
    <n v="198.737493362972"/>
    <n v="12089.8641795808"/>
    <n v="43523.511046490901"/>
  </r>
  <r>
    <x v="0"/>
    <x v="0"/>
    <x v="0"/>
    <x v="2"/>
    <x v="3"/>
    <s v="FIN_EL"/>
    <x v="0"/>
    <x v="0"/>
    <x v="11"/>
    <x v="6"/>
    <n v="237.631316243877"/>
    <n v="14455.905071502501"/>
    <n v="52041.258257409201"/>
  </r>
  <r>
    <x v="0"/>
    <x v="0"/>
    <x v="0"/>
    <x v="2"/>
    <x v="3"/>
    <s v="FIN_EL"/>
    <x v="0"/>
    <x v="0"/>
    <x v="11"/>
    <x v="7"/>
    <n v="251.86210446578701"/>
    <n v="15321.611355002"/>
    <n v="55157.800878007401"/>
  </r>
  <r>
    <x v="0"/>
    <x v="0"/>
    <x v="0"/>
    <x v="2"/>
    <x v="3"/>
    <s v="FIN_EL"/>
    <x v="0"/>
    <x v="0"/>
    <x v="11"/>
    <x v="8"/>
    <n v="244.365774400465"/>
    <n v="14865.5846093616"/>
    <n v="53516.104593701901"/>
  </r>
  <r>
    <x v="0"/>
    <x v="0"/>
    <x v="0"/>
    <x v="2"/>
    <x v="3"/>
    <s v="FIN_EL"/>
    <x v="0"/>
    <x v="0"/>
    <x v="11"/>
    <x v="9"/>
    <n v="232.91335823568099"/>
    <n v="14168.8959593373"/>
    <n v="51008.0254536141"/>
  </r>
  <r>
    <x v="0"/>
    <x v="0"/>
    <x v="0"/>
    <x v="2"/>
    <x v="3"/>
    <s v="FIN_EL"/>
    <x v="0"/>
    <x v="0"/>
    <x v="11"/>
    <x v="10"/>
    <n v="220.04180588409901"/>
    <n v="13385.876524616"/>
    <n v="48189.155488617602"/>
  </r>
  <r>
    <x v="0"/>
    <x v="0"/>
    <x v="0"/>
    <x v="2"/>
    <x v="3"/>
    <s v="FIN_EL"/>
    <x v="0"/>
    <x v="0"/>
    <x v="11"/>
    <x v="11"/>
    <n v="214.89219624554701"/>
    <n v="13072.608604937501"/>
    <n v="47061.390977774798"/>
  </r>
  <r>
    <x v="0"/>
    <x v="0"/>
    <x v="0"/>
    <x v="2"/>
    <x v="3"/>
    <s v="FIN_ESPOO"/>
    <x v="0"/>
    <x v="0"/>
    <x v="0"/>
    <x v="0"/>
    <n v="194.451450499109"/>
    <n v="11829.129905362401"/>
    <n v="42584.8676593048"/>
  </r>
  <r>
    <x v="0"/>
    <x v="0"/>
    <x v="0"/>
    <x v="2"/>
    <x v="3"/>
    <s v="FIN_ESPOO"/>
    <x v="0"/>
    <x v="0"/>
    <x v="0"/>
    <x v="1"/>
    <n v="192.641352584478"/>
    <n v="11719.0156155557"/>
    <n v="42188.456216000603"/>
  </r>
  <r>
    <x v="0"/>
    <x v="0"/>
    <x v="0"/>
    <x v="2"/>
    <x v="3"/>
    <s v="FIN_ESPOO"/>
    <x v="0"/>
    <x v="0"/>
    <x v="0"/>
    <x v="2"/>
    <n v="191.07638246312999"/>
    <n v="11623.813266507101"/>
    <n v="41845.727759425499"/>
  </r>
  <r>
    <x v="0"/>
    <x v="0"/>
    <x v="0"/>
    <x v="2"/>
    <x v="3"/>
    <s v="FIN_ESPOO"/>
    <x v="0"/>
    <x v="0"/>
    <x v="0"/>
    <x v="3"/>
    <n v="192.28251500469801"/>
    <n v="11697.186329452399"/>
    <n v="42109.870786028798"/>
  </r>
  <r>
    <x v="0"/>
    <x v="0"/>
    <x v="0"/>
    <x v="2"/>
    <x v="3"/>
    <s v="FIN_ESPOO"/>
    <x v="0"/>
    <x v="0"/>
    <x v="0"/>
    <x v="4"/>
    <n v="196.613065863603"/>
    <n v="11960.628173369199"/>
    <n v="43058.261424129101"/>
  </r>
  <r>
    <x v="0"/>
    <x v="0"/>
    <x v="0"/>
    <x v="2"/>
    <x v="3"/>
    <s v="FIN_ESPOO"/>
    <x v="0"/>
    <x v="0"/>
    <x v="0"/>
    <x v="5"/>
    <n v="215.884309834574"/>
    <n v="13132.9621816033"/>
    <n v="47278.663853771701"/>
  </r>
  <r>
    <x v="0"/>
    <x v="0"/>
    <x v="0"/>
    <x v="2"/>
    <x v="3"/>
    <s v="FIN_ESPOO"/>
    <x v="0"/>
    <x v="0"/>
    <x v="0"/>
    <x v="6"/>
    <n v="255.60284312211499"/>
    <n v="15549.172956595299"/>
    <n v="55977.022643743097"/>
  </r>
  <r>
    <x v="0"/>
    <x v="0"/>
    <x v="0"/>
    <x v="2"/>
    <x v="3"/>
    <s v="FIN_ESPOO"/>
    <x v="0"/>
    <x v="0"/>
    <x v="0"/>
    <x v="7"/>
    <n v="273.47626117297301"/>
    <n v="16636.4725546892"/>
    <n v="59891.301196881199"/>
  </r>
  <r>
    <x v="0"/>
    <x v="0"/>
    <x v="0"/>
    <x v="2"/>
    <x v="3"/>
    <s v="FIN_ESPOO"/>
    <x v="0"/>
    <x v="0"/>
    <x v="0"/>
    <x v="8"/>
    <n v="271.335758608574"/>
    <n v="16506.258648688301"/>
    <n v="59422.531135277801"/>
  </r>
  <r>
    <x v="0"/>
    <x v="0"/>
    <x v="0"/>
    <x v="2"/>
    <x v="3"/>
    <s v="FIN_ESPOO"/>
    <x v="0"/>
    <x v="0"/>
    <x v="0"/>
    <x v="9"/>
    <n v="266.03436844307902"/>
    <n v="16183.7574136207"/>
    <n v="58261.526689034399"/>
  </r>
  <r>
    <x v="0"/>
    <x v="0"/>
    <x v="0"/>
    <x v="2"/>
    <x v="3"/>
    <s v="FIN_ESPOO"/>
    <x v="0"/>
    <x v="0"/>
    <x v="0"/>
    <x v="10"/>
    <n v="261.81456322283901"/>
    <n v="15927.052596056101"/>
    <n v="57337.389345801799"/>
  </r>
  <r>
    <x v="0"/>
    <x v="0"/>
    <x v="0"/>
    <x v="2"/>
    <x v="3"/>
    <s v="FIN_ESPOO"/>
    <x v="0"/>
    <x v="0"/>
    <x v="0"/>
    <x v="11"/>
    <n v="259.45165103318601"/>
    <n v="15783.308771185501"/>
    <n v="56819.911576267703"/>
  </r>
  <r>
    <x v="0"/>
    <x v="0"/>
    <x v="0"/>
    <x v="2"/>
    <x v="3"/>
    <s v="FIN_ESPOO"/>
    <x v="0"/>
    <x v="0"/>
    <x v="1"/>
    <x v="0"/>
    <n v="250.78317108373301"/>
    <n v="15255.976240927101"/>
    <n v="54921.514467337598"/>
  </r>
  <r>
    <x v="0"/>
    <x v="0"/>
    <x v="0"/>
    <x v="2"/>
    <x v="3"/>
    <s v="FIN_ESPOO"/>
    <x v="0"/>
    <x v="0"/>
    <x v="1"/>
    <x v="1"/>
    <n v="247.31758810623299"/>
    <n v="15045.153276462501"/>
    <n v="54162.551795264902"/>
  </r>
  <r>
    <x v="0"/>
    <x v="0"/>
    <x v="0"/>
    <x v="2"/>
    <x v="3"/>
    <s v="FIN_ESPOO"/>
    <x v="0"/>
    <x v="0"/>
    <x v="1"/>
    <x v="2"/>
    <n v="247.58231406904599"/>
    <n v="15061.257439200301"/>
    <n v="54220.526781121102"/>
  </r>
  <r>
    <x v="0"/>
    <x v="0"/>
    <x v="0"/>
    <x v="2"/>
    <x v="3"/>
    <s v="FIN_ESPOO"/>
    <x v="0"/>
    <x v="0"/>
    <x v="1"/>
    <x v="3"/>
    <n v="250.732630702763"/>
    <n v="15252.9017010847"/>
    <n v="54910.446123905"/>
  </r>
  <r>
    <x v="0"/>
    <x v="0"/>
    <x v="0"/>
    <x v="2"/>
    <x v="3"/>
    <s v="FIN_ESPOO"/>
    <x v="0"/>
    <x v="0"/>
    <x v="1"/>
    <x v="4"/>
    <n v="258.67783506037301"/>
    <n v="15736.2349661727"/>
    <n v="56650.445878221697"/>
  </r>
  <r>
    <x v="0"/>
    <x v="0"/>
    <x v="0"/>
    <x v="2"/>
    <x v="3"/>
    <s v="FIN_ESPOO"/>
    <x v="0"/>
    <x v="0"/>
    <x v="1"/>
    <x v="5"/>
    <n v="279.28644654488397"/>
    <n v="16989.925498147099"/>
    <n v="61163.731793329702"/>
  </r>
  <r>
    <x v="0"/>
    <x v="0"/>
    <x v="0"/>
    <x v="2"/>
    <x v="3"/>
    <s v="FIN_ESPOO"/>
    <x v="0"/>
    <x v="0"/>
    <x v="1"/>
    <x v="6"/>
    <n v="326.52000716267099"/>
    <n v="19863.300435729099"/>
    <n v="71507.8815686249"/>
  </r>
  <r>
    <x v="0"/>
    <x v="0"/>
    <x v="0"/>
    <x v="2"/>
    <x v="3"/>
    <s v="FIN_ESPOO"/>
    <x v="0"/>
    <x v="0"/>
    <x v="1"/>
    <x v="7"/>
    <n v="349.63490886350399"/>
    <n v="21269.456955863199"/>
    <n v="76570.045041107398"/>
  </r>
  <r>
    <x v="0"/>
    <x v="0"/>
    <x v="0"/>
    <x v="2"/>
    <x v="3"/>
    <s v="FIN_ESPOO"/>
    <x v="0"/>
    <x v="0"/>
    <x v="1"/>
    <x v="8"/>
    <n v="347.74898506588801"/>
    <n v="21154.7299248415"/>
    <n v="76157.027729429596"/>
  </r>
  <r>
    <x v="0"/>
    <x v="0"/>
    <x v="0"/>
    <x v="2"/>
    <x v="3"/>
    <s v="FIN_ESPOO"/>
    <x v="0"/>
    <x v="0"/>
    <x v="1"/>
    <x v="9"/>
    <n v="340.541747487208"/>
    <n v="20716.289638805101"/>
    <n v="74578.642699698496"/>
  </r>
  <r>
    <x v="0"/>
    <x v="0"/>
    <x v="0"/>
    <x v="2"/>
    <x v="3"/>
    <s v="FIN_ESPOO"/>
    <x v="0"/>
    <x v="0"/>
    <x v="1"/>
    <x v="10"/>
    <n v="329.54568558275099"/>
    <n v="20047.362539617399"/>
    <n v="72170.505142622598"/>
  </r>
  <r>
    <x v="0"/>
    <x v="0"/>
    <x v="0"/>
    <x v="2"/>
    <x v="3"/>
    <s v="FIN_ESPOO"/>
    <x v="0"/>
    <x v="0"/>
    <x v="1"/>
    <x v="11"/>
    <n v="319.99773039450599"/>
    <n v="19466.528598999099"/>
    <n v="70079.5029563969"/>
  </r>
  <r>
    <x v="0"/>
    <x v="0"/>
    <x v="0"/>
    <x v="2"/>
    <x v="3"/>
    <s v="FIN_ESPOO"/>
    <x v="0"/>
    <x v="0"/>
    <x v="2"/>
    <x v="0"/>
    <n v="279.17316454659903"/>
    <n v="16983.034176584799"/>
    <n v="61138.923035705098"/>
  </r>
  <r>
    <x v="0"/>
    <x v="0"/>
    <x v="0"/>
    <x v="2"/>
    <x v="3"/>
    <s v="FIN_ESPOO"/>
    <x v="0"/>
    <x v="0"/>
    <x v="2"/>
    <x v="1"/>
    <n v="277.56351806315899"/>
    <n v="16885.1140155088"/>
    <n v="60786.410455831698"/>
  </r>
  <r>
    <x v="0"/>
    <x v="0"/>
    <x v="0"/>
    <x v="2"/>
    <x v="3"/>
    <s v="FIN_ESPOO"/>
    <x v="0"/>
    <x v="0"/>
    <x v="2"/>
    <x v="2"/>
    <n v="281.18044457283997"/>
    <n v="17105.1437115144"/>
    <n v="61578.517361451901"/>
  </r>
  <r>
    <x v="0"/>
    <x v="0"/>
    <x v="0"/>
    <x v="2"/>
    <x v="3"/>
    <s v="FIN_ESPOO"/>
    <x v="0"/>
    <x v="0"/>
    <x v="2"/>
    <x v="3"/>
    <n v="288.34523875678002"/>
    <n v="17541.002024370799"/>
    <n v="63147.607287734798"/>
  </r>
  <r>
    <x v="0"/>
    <x v="0"/>
    <x v="0"/>
    <x v="2"/>
    <x v="3"/>
    <s v="FIN_ESPOO"/>
    <x v="0"/>
    <x v="0"/>
    <x v="2"/>
    <x v="4"/>
    <n v="302.89127345451698"/>
    <n v="18425.885801816501"/>
    <n v="66333.188886539298"/>
  </r>
  <r>
    <x v="0"/>
    <x v="0"/>
    <x v="0"/>
    <x v="2"/>
    <x v="3"/>
    <s v="FIN_ESPOO"/>
    <x v="0"/>
    <x v="0"/>
    <x v="2"/>
    <x v="5"/>
    <n v="329.01048458274897"/>
    <n v="20014.804478783899"/>
    <n v="72053.296123622"/>
  </r>
  <r>
    <x v="0"/>
    <x v="0"/>
    <x v="0"/>
    <x v="2"/>
    <x v="3"/>
    <s v="FIN_ESPOO"/>
    <x v="0"/>
    <x v="0"/>
    <x v="2"/>
    <x v="6"/>
    <n v="384.63273743103099"/>
    <n v="23398.491527054401"/>
    <n v="84234.569497395903"/>
  </r>
  <r>
    <x v="0"/>
    <x v="0"/>
    <x v="0"/>
    <x v="2"/>
    <x v="3"/>
    <s v="FIN_ESPOO"/>
    <x v="0"/>
    <x v="0"/>
    <x v="2"/>
    <x v="7"/>
    <n v="414.12908147981"/>
    <n v="25192.852456688499"/>
    <n v="90694.268844078397"/>
  </r>
  <r>
    <x v="0"/>
    <x v="0"/>
    <x v="0"/>
    <x v="2"/>
    <x v="3"/>
    <s v="FIN_ESPOO"/>
    <x v="0"/>
    <x v="0"/>
    <x v="2"/>
    <x v="8"/>
    <n v="413.81127159744199"/>
    <n v="25173.519022177701"/>
    <n v="90624.668479839806"/>
  </r>
  <r>
    <x v="0"/>
    <x v="0"/>
    <x v="0"/>
    <x v="2"/>
    <x v="3"/>
    <s v="FIN_ESPOO"/>
    <x v="0"/>
    <x v="0"/>
    <x v="2"/>
    <x v="9"/>
    <n v="406.74687752507299"/>
    <n v="24743.768382775299"/>
    <n v="89077.566177991001"/>
  </r>
  <r>
    <x v="0"/>
    <x v="0"/>
    <x v="0"/>
    <x v="2"/>
    <x v="3"/>
    <s v="FIN_ESPOO"/>
    <x v="0"/>
    <x v="0"/>
    <x v="2"/>
    <x v="10"/>
    <n v="392.09254743379802"/>
    <n v="23852.296635555998"/>
    <n v="85868.267888001705"/>
  </r>
  <r>
    <x v="0"/>
    <x v="0"/>
    <x v="0"/>
    <x v="2"/>
    <x v="3"/>
    <s v="FIN_ESPOO"/>
    <x v="0"/>
    <x v="0"/>
    <x v="2"/>
    <x v="11"/>
    <n v="379.02760607366599"/>
    <n v="23057.5127028147"/>
    <n v="83007.045730132799"/>
  </r>
  <r>
    <x v="0"/>
    <x v="0"/>
    <x v="0"/>
    <x v="2"/>
    <x v="3"/>
    <s v="FIN_ESPOO"/>
    <x v="0"/>
    <x v="0"/>
    <x v="3"/>
    <x v="0"/>
    <n v="208.914468578373"/>
    <n v="12708.9635051844"/>
    <n v="45752.2686186637"/>
  </r>
  <r>
    <x v="0"/>
    <x v="0"/>
    <x v="0"/>
    <x v="2"/>
    <x v="3"/>
    <s v="FIN_ESPOO"/>
    <x v="0"/>
    <x v="0"/>
    <x v="3"/>
    <x v="1"/>
    <n v="207.104938677143"/>
    <n v="12598.883769526199"/>
    <n v="45355.9815702942"/>
  </r>
  <r>
    <x v="0"/>
    <x v="0"/>
    <x v="0"/>
    <x v="2"/>
    <x v="3"/>
    <s v="FIN_ESPOO"/>
    <x v="0"/>
    <x v="0"/>
    <x v="3"/>
    <x v="2"/>
    <n v="206.277056374875"/>
    <n v="12548.520929471601"/>
    <n v="45174.675346097698"/>
  </r>
  <r>
    <x v="0"/>
    <x v="0"/>
    <x v="0"/>
    <x v="2"/>
    <x v="3"/>
    <s v="FIN_ESPOO"/>
    <x v="0"/>
    <x v="0"/>
    <x v="3"/>
    <x v="3"/>
    <n v="208.20762827650199"/>
    <n v="12665.9640534872"/>
    <n v="45597.470592553902"/>
  </r>
  <r>
    <x v="0"/>
    <x v="0"/>
    <x v="0"/>
    <x v="2"/>
    <x v="3"/>
    <s v="FIN_ESPOO"/>
    <x v="0"/>
    <x v="0"/>
    <x v="3"/>
    <x v="4"/>
    <n v="213.99652776273601"/>
    <n v="13018.122105566399"/>
    <n v="46865.239580039197"/>
  </r>
  <r>
    <x v="0"/>
    <x v="0"/>
    <x v="0"/>
    <x v="2"/>
    <x v="3"/>
    <s v="FIN_ESPOO"/>
    <x v="0"/>
    <x v="0"/>
    <x v="3"/>
    <x v="5"/>
    <n v="233.477203685993"/>
    <n v="14203.196557564601"/>
    <n v="51131.507607232503"/>
  </r>
  <r>
    <x v="0"/>
    <x v="0"/>
    <x v="0"/>
    <x v="2"/>
    <x v="3"/>
    <s v="FIN_ESPOO"/>
    <x v="0"/>
    <x v="0"/>
    <x v="3"/>
    <x v="6"/>
    <n v="275.160177719969"/>
    <n v="16738.910811298101"/>
    <n v="60260.078920673201"/>
  </r>
  <r>
    <x v="0"/>
    <x v="0"/>
    <x v="0"/>
    <x v="2"/>
    <x v="3"/>
    <s v="FIN_ESPOO"/>
    <x v="0"/>
    <x v="0"/>
    <x v="3"/>
    <x v="7"/>
    <n v="294.513639623014"/>
    <n v="17916.246410399999"/>
    <n v="64498.487077439997"/>
  </r>
  <r>
    <x v="0"/>
    <x v="0"/>
    <x v="0"/>
    <x v="2"/>
    <x v="3"/>
    <s v="FIN_ESPOO"/>
    <x v="0"/>
    <x v="0"/>
    <x v="3"/>
    <x v="8"/>
    <n v="293.82391031632301"/>
    <n v="17874.287877576298"/>
    <n v="64347.436359274703"/>
  </r>
  <r>
    <x v="0"/>
    <x v="0"/>
    <x v="0"/>
    <x v="2"/>
    <x v="3"/>
    <s v="FIN_ESPOO"/>
    <x v="0"/>
    <x v="0"/>
    <x v="3"/>
    <x v="9"/>
    <n v="290.72868435645"/>
    <n v="17685.994965017398"/>
    <n v="63669.581874062598"/>
  </r>
  <r>
    <x v="0"/>
    <x v="0"/>
    <x v="0"/>
    <x v="2"/>
    <x v="3"/>
    <s v="FIN_ESPOO"/>
    <x v="0"/>
    <x v="0"/>
    <x v="3"/>
    <x v="10"/>
    <n v="286.72172508332102"/>
    <n v="17442.238275902098"/>
    <n v="62792.057793247397"/>
  </r>
  <r>
    <x v="0"/>
    <x v="0"/>
    <x v="0"/>
    <x v="2"/>
    <x v="3"/>
    <s v="FIN_ESPOO"/>
    <x v="0"/>
    <x v="0"/>
    <x v="3"/>
    <x v="11"/>
    <n v="286.78543768741298"/>
    <n v="17446.114125984299"/>
    <n v="62806.010853543397"/>
  </r>
  <r>
    <x v="0"/>
    <x v="0"/>
    <x v="0"/>
    <x v="2"/>
    <x v="3"/>
    <s v="FIN_ESPOO"/>
    <x v="0"/>
    <x v="0"/>
    <x v="4"/>
    <x v="0"/>
    <n v="296.88511167116098"/>
    <n v="18060.510959995601"/>
    <n v="65017.839455984198"/>
  </r>
  <r>
    <x v="0"/>
    <x v="0"/>
    <x v="0"/>
    <x v="2"/>
    <x v="3"/>
    <s v="FIN_ESPOO"/>
    <x v="0"/>
    <x v="0"/>
    <x v="4"/>
    <x v="1"/>
    <n v="291.79232165696601"/>
    <n v="17750.699567465501"/>
    <n v="63902.518442875698"/>
  </r>
  <r>
    <x v="0"/>
    <x v="0"/>
    <x v="0"/>
    <x v="2"/>
    <x v="3"/>
    <s v="FIN_ESPOO"/>
    <x v="0"/>
    <x v="0"/>
    <x v="4"/>
    <x v="2"/>
    <n v="293.02035968761498"/>
    <n v="17825.405214329901"/>
    <n v="64171.458771587801"/>
  </r>
  <r>
    <x v="0"/>
    <x v="0"/>
    <x v="0"/>
    <x v="2"/>
    <x v="3"/>
    <s v="FIN_ESPOO"/>
    <x v="0"/>
    <x v="0"/>
    <x v="4"/>
    <x v="3"/>
    <n v="296.74162198832499"/>
    <n v="18051.782004289798"/>
    <n v="64986.415215443201"/>
  </r>
  <r>
    <x v="0"/>
    <x v="0"/>
    <x v="0"/>
    <x v="2"/>
    <x v="3"/>
    <s v="FIN_ESPOO"/>
    <x v="0"/>
    <x v="0"/>
    <x v="4"/>
    <x v="4"/>
    <n v="305.62445419856698"/>
    <n v="18592.154297079502"/>
    <n v="66931.755469486205"/>
  </r>
  <r>
    <x v="0"/>
    <x v="0"/>
    <x v="0"/>
    <x v="2"/>
    <x v="3"/>
    <s v="FIN_ESPOO"/>
    <x v="0"/>
    <x v="0"/>
    <x v="4"/>
    <x v="5"/>
    <n v="325.69345669181001"/>
    <n v="19813.018615418499"/>
    <n v="71326.867015506505"/>
  </r>
  <r>
    <x v="0"/>
    <x v="0"/>
    <x v="0"/>
    <x v="2"/>
    <x v="3"/>
    <s v="FIN_ESPOO"/>
    <x v="0"/>
    <x v="0"/>
    <x v="4"/>
    <x v="6"/>
    <n v="377.75141662756698"/>
    <n v="22979.877844843599"/>
    <n v="82727.560241437095"/>
  </r>
  <r>
    <x v="0"/>
    <x v="0"/>
    <x v="0"/>
    <x v="2"/>
    <x v="3"/>
    <s v="FIN_ESPOO"/>
    <x v="0"/>
    <x v="0"/>
    <x v="4"/>
    <x v="7"/>
    <n v="403.85299532297103"/>
    <n v="24567.723882147398"/>
    <n v="88443.805975730604"/>
  </r>
  <r>
    <x v="0"/>
    <x v="0"/>
    <x v="0"/>
    <x v="2"/>
    <x v="3"/>
    <s v="FIN_ESPOO"/>
    <x v="0"/>
    <x v="0"/>
    <x v="4"/>
    <x v="8"/>
    <n v="400.81565088713899"/>
    <n v="24382.9520956343"/>
    <n v="87778.627544283401"/>
  </r>
  <r>
    <x v="0"/>
    <x v="0"/>
    <x v="0"/>
    <x v="2"/>
    <x v="3"/>
    <s v="FIN_ESPOO"/>
    <x v="0"/>
    <x v="0"/>
    <x v="4"/>
    <x v="9"/>
    <n v="391.83961440801301"/>
    <n v="23836.909876487502"/>
    <n v="85812.875555354898"/>
  </r>
  <r>
    <x v="0"/>
    <x v="0"/>
    <x v="0"/>
    <x v="2"/>
    <x v="3"/>
    <s v="FIN_ESPOO"/>
    <x v="0"/>
    <x v="0"/>
    <x v="4"/>
    <x v="10"/>
    <n v="375.015947936629"/>
    <n v="22813.4701661449"/>
    <n v="82128.492598121695"/>
  </r>
  <r>
    <x v="0"/>
    <x v="0"/>
    <x v="0"/>
    <x v="2"/>
    <x v="3"/>
    <s v="FIN_ESPOO"/>
    <x v="0"/>
    <x v="0"/>
    <x v="4"/>
    <x v="11"/>
    <n v="361.011975543608"/>
    <n v="21961.5618455695"/>
    <n v="79061.622644050294"/>
  </r>
  <r>
    <x v="0"/>
    <x v="0"/>
    <x v="0"/>
    <x v="2"/>
    <x v="3"/>
    <s v="FIN_ESPOO"/>
    <x v="0"/>
    <x v="0"/>
    <x v="5"/>
    <x v="0"/>
    <n v="258.65737020378299"/>
    <n v="15734.9900207301"/>
    <n v="56645.964074628399"/>
  </r>
  <r>
    <x v="0"/>
    <x v="0"/>
    <x v="0"/>
    <x v="2"/>
    <x v="3"/>
    <s v="FIN_ESPOO"/>
    <x v="0"/>
    <x v="0"/>
    <x v="5"/>
    <x v="1"/>
    <n v="254.41742164814201"/>
    <n v="15477.0598169287"/>
    <n v="55717.415340943196"/>
  </r>
  <r>
    <x v="0"/>
    <x v="0"/>
    <x v="0"/>
    <x v="2"/>
    <x v="3"/>
    <s v="FIN_ESPOO"/>
    <x v="0"/>
    <x v="0"/>
    <x v="5"/>
    <x v="2"/>
    <n v="254.67197549995399"/>
    <n v="15492.5451762472"/>
    <n v="55773.16263449"/>
  </r>
  <r>
    <x v="0"/>
    <x v="0"/>
    <x v="0"/>
    <x v="2"/>
    <x v="3"/>
    <s v="FIN_ESPOO"/>
    <x v="0"/>
    <x v="0"/>
    <x v="5"/>
    <x v="3"/>
    <n v="255.88048789942201"/>
    <n v="15566.0630138815"/>
    <n v="56037.826849973397"/>
  </r>
  <r>
    <x v="0"/>
    <x v="0"/>
    <x v="0"/>
    <x v="2"/>
    <x v="3"/>
    <s v="FIN_ESPOO"/>
    <x v="0"/>
    <x v="0"/>
    <x v="5"/>
    <x v="4"/>
    <n v="260.23206953204601"/>
    <n v="15830.7842298661"/>
    <n v="56990.8232275181"/>
  </r>
  <r>
    <x v="0"/>
    <x v="0"/>
    <x v="0"/>
    <x v="2"/>
    <x v="3"/>
    <s v="FIN_ESPOO"/>
    <x v="0"/>
    <x v="0"/>
    <x v="5"/>
    <x v="5"/>
    <n v="280.17125461317198"/>
    <n v="17043.751322301301"/>
    <n v="61357.504760284603"/>
  </r>
  <r>
    <x v="0"/>
    <x v="0"/>
    <x v="0"/>
    <x v="2"/>
    <x v="3"/>
    <s v="FIN_ESPOO"/>
    <x v="0"/>
    <x v="0"/>
    <x v="5"/>
    <x v="6"/>
    <n v="326.73602723288599"/>
    <n v="19876.441656667201"/>
    <n v="71555.189964001998"/>
  </r>
  <r>
    <x v="0"/>
    <x v="0"/>
    <x v="0"/>
    <x v="2"/>
    <x v="3"/>
    <s v="FIN_ESPOO"/>
    <x v="0"/>
    <x v="0"/>
    <x v="5"/>
    <x v="7"/>
    <n v="348.648643934831"/>
    <n v="21209.459172702202"/>
    <n v="76354.053021728003"/>
  </r>
  <r>
    <x v="0"/>
    <x v="0"/>
    <x v="0"/>
    <x v="2"/>
    <x v="3"/>
    <s v="FIN_ESPOO"/>
    <x v="0"/>
    <x v="0"/>
    <x v="5"/>
    <x v="8"/>
    <n v="345.241837962945"/>
    <n v="21002.2118094125"/>
    <n v="75607.962513884893"/>
  </r>
  <r>
    <x v="0"/>
    <x v="0"/>
    <x v="0"/>
    <x v="2"/>
    <x v="3"/>
    <s v="FIN_ESPOO"/>
    <x v="0"/>
    <x v="0"/>
    <x v="5"/>
    <x v="9"/>
    <n v="336.97782076011498"/>
    <n v="20499.4840962403"/>
    <n v="73798.142746465106"/>
  </r>
  <r>
    <x v="0"/>
    <x v="0"/>
    <x v="0"/>
    <x v="2"/>
    <x v="3"/>
    <s v="FIN_ESPOO"/>
    <x v="0"/>
    <x v="0"/>
    <x v="5"/>
    <x v="10"/>
    <n v="326.75342518839102"/>
    <n v="19877.500032293799"/>
    <n v="71559.000116257695"/>
  </r>
  <r>
    <x v="0"/>
    <x v="0"/>
    <x v="0"/>
    <x v="2"/>
    <x v="3"/>
    <s v="FIN_ESPOO"/>
    <x v="0"/>
    <x v="0"/>
    <x v="5"/>
    <x v="11"/>
    <n v="321.71687948503399"/>
    <n v="19571.110168672902"/>
    <n v="70455.996607222594"/>
  </r>
  <r>
    <x v="0"/>
    <x v="0"/>
    <x v="0"/>
    <x v="2"/>
    <x v="3"/>
    <s v="FIN_ESPOO"/>
    <x v="0"/>
    <x v="0"/>
    <x v="6"/>
    <x v="0"/>
    <n v="244.02112905320701"/>
    <n v="14844.618684070099"/>
    <n v="53440.627262652299"/>
  </r>
  <r>
    <x v="0"/>
    <x v="0"/>
    <x v="0"/>
    <x v="2"/>
    <x v="3"/>
    <s v="FIN_ESPOO"/>
    <x v="0"/>
    <x v="0"/>
    <x v="6"/>
    <x v="1"/>
    <n v="242.253183356151"/>
    <n v="14737.0686541659"/>
    <n v="53053.447154997099"/>
  </r>
  <r>
    <x v="0"/>
    <x v="0"/>
    <x v="0"/>
    <x v="2"/>
    <x v="3"/>
    <s v="FIN_ESPOO"/>
    <x v="0"/>
    <x v="0"/>
    <x v="6"/>
    <x v="2"/>
    <n v="243.344190717104"/>
    <n v="14803.4382686238"/>
    <n v="53292.3777670458"/>
  </r>
  <r>
    <x v="0"/>
    <x v="0"/>
    <x v="0"/>
    <x v="2"/>
    <x v="3"/>
    <s v="FIN_ESPOO"/>
    <x v="0"/>
    <x v="0"/>
    <x v="6"/>
    <x v="3"/>
    <n v="247.47680448231901"/>
    <n v="15054.838939341"/>
    <n v="54197.4201816278"/>
  </r>
  <r>
    <x v="0"/>
    <x v="0"/>
    <x v="0"/>
    <x v="2"/>
    <x v="3"/>
    <s v="FIN_ESPOO"/>
    <x v="0"/>
    <x v="0"/>
    <x v="6"/>
    <x v="4"/>
    <n v="256.96250541819899"/>
    <n v="15631.8857462738"/>
    <n v="56274.7886865857"/>
  </r>
  <r>
    <x v="0"/>
    <x v="0"/>
    <x v="0"/>
    <x v="2"/>
    <x v="3"/>
    <s v="FIN_ESPOO"/>
    <x v="0"/>
    <x v="0"/>
    <x v="6"/>
    <x v="5"/>
    <n v="278.41567143571001"/>
    <n v="16936.953345672398"/>
    <n v="60973.032044420601"/>
  </r>
  <r>
    <x v="0"/>
    <x v="0"/>
    <x v="0"/>
    <x v="2"/>
    <x v="3"/>
    <s v="FIN_ESPOO"/>
    <x v="0"/>
    <x v="0"/>
    <x v="6"/>
    <x v="6"/>
    <n v="325.18739798692098"/>
    <n v="19782.233377537701"/>
    <n v="71216.040159135693"/>
  </r>
  <r>
    <x v="0"/>
    <x v="0"/>
    <x v="0"/>
    <x v="2"/>
    <x v="3"/>
    <s v="FIN_ESPOO"/>
    <x v="0"/>
    <x v="0"/>
    <x v="6"/>
    <x v="7"/>
    <n v="350.26813239547698"/>
    <n v="21307.9780540582"/>
    <n v="76708.720994609495"/>
  </r>
  <r>
    <x v="0"/>
    <x v="0"/>
    <x v="0"/>
    <x v="2"/>
    <x v="3"/>
    <s v="FIN_ESPOO"/>
    <x v="0"/>
    <x v="0"/>
    <x v="6"/>
    <x v="8"/>
    <n v="355.60288113564098"/>
    <n v="21632.508602418198"/>
    <n v="77877.030968705396"/>
  </r>
  <r>
    <x v="0"/>
    <x v="0"/>
    <x v="0"/>
    <x v="2"/>
    <x v="3"/>
    <s v="FIN_ESPOO"/>
    <x v="0"/>
    <x v="0"/>
    <x v="6"/>
    <x v="9"/>
    <n v="358.71522147010103"/>
    <n v="21821.842639431099"/>
    <n v="78558.633501952107"/>
  </r>
  <r>
    <x v="0"/>
    <x v="0"/>
    <x v="0"/>
    <x v="2"/>
    <x v="3"/>
    <s v="FIN_ESPOO"/>
    <x v="0"/>
    <x v="0"/>
    <x v="6"/>
    <x v="10"/>
    <n v="354.26718295619702"/>
    <n v="21551.253629835301"/>
    <n v="77584.513067407199"/>
  </r>
  <r>
    <x v="0"/>
    <x v="0"/>
    <x v="0"/>
    <x v="2"/>
    <x v="3"/>
    <s v="FIN_ESPOO"/>
    <x v="0"/>
    <x v="0"/>
    <x v="6"/>
    <x v="11"/>
    <n v="353.45950363803797"/>
    <n v="21502.1198046473"/>
    <n v="77407.631296730397"/>
  </r>
  <r>
    <x v="0"/>
    <x v="0"/>
    <x v="0"/>
    <x v="2"/>
    <x v="3"/>
    <s v="FIN_ESPOO"/>
    <x v="0"/>
    <x v="0"/>
    <x v="7"/>
    <x v="0"/>
    <n v="200.72288600445"/>
    <n v="12210.6422319374"/>
    <n v="43958.312034974602"/>
  </r>
  <r>
    <x v="0"/>
    <x v="0"/>
    <x v="0"/>
    <x v="2"/>
    <x v="3"/>
    <s v="FIN_ESPOO"/>
    <x v="0"/>
    <x v="0"/>
    <x v="7"/>
    <x v="1"/>
    <n v="198.26481492216701"/>
    <n v="12061.109574431801"/>
    <n v="43419.994467954602"/>
  </r>
  <r>
    <x v="0"/>
    <x v="0"/>
    <x v="0"/>
    <x v="2"/>
    <x v="3"/>
    <s v="FIN_ESPOO"/>
    <x v="0"/>
    <x v="0"/>
    <x v="7"/>
    <x v="2"/>
    <n v="196.68379250521099"/>
    <n v="11964.930710733701"/>
    <n v="43073.750558641201"/>
  </r>
  <r>
    <x v="0"/>
    <x v="0"/>
    <x v="0"/>
    <x v="2"/>
    <x v="3"/>
    <s v="FIN_ESPOO"/>
    <x v="0"/>
    <x v="0"/>
    <x v="7"/>
    <x v="3"/>
    <n v="197.383605945959"/>
    <n v="12007.5026950459"/>
    <n v="43227.009702165102"/>
  </r>
  <r>
    <x v="0"/>
    <x v="0"/>
    <x v="0"/>
    <x v="2"/>
    <x v="3"/>
    <s v="FIN_ESPOO"/>
    <x v="0"/>
    <x v="0"/>
    <x v="7"/>
    <x v="4"/>
    <n v="201.76108439130601"/>
    <n v="12273.799300471101"/>
    <n v="44185.677481696097"/>
  </r>
  <r>
    <x v="0"/>
    <x v="0"/>
    <x v="0"/>
    <x v="2"/>
    <x v="3"/>
    <s v="FIN_ESPOO"/>
    <x v="0"/>
    <x v="0"/>
    <x v="7"/>
    <x v="5"/>
    <n v="220.413978023976"/>
    <n v="13408.5169964585"/>
    <n v="48270.6611872508"/>
  </r>
  <r>
    <x v="0"/>
    <x v="0"/>
    <x v="0"/>
    <x v="2"/>
    <x v="3"/>
    <s v="FIN_ESPOO"/>
    <x v="0"/>
    <x v="0"/>
    <x v="7"/>
    <x v="6"/>
    <n v="260.26680539224401"/>
    <n v="15832.897328028201"/>
    <n v="56998.430380901402"/>
  </r>
  <r>
    <x v="0"/>
    <x v="0"/>
    <x v="0"/>
    <x v="2"/>
    <x v="3"/>
    <s v="FIN_ESPOO"/>
    <x v="0"/>
    <x v="0"/>
    <x v="7"/>
    <x v="7"/>
    <n v="277.898257351773"/>
    <n v="16905.477322232899"/>
    <n v="60859.718360038401"/>
  </r>
  <r>
    <x v="0"/>
    <x v="0"/>
    <x v="0"/>
    <x v="2"/>
    <x v="3"/>
    <s v="FIN_ESPOO"/>
    <x v="0"/>
    <x v="0"/>
    <x v="7"/>
    <x v="8"/>
    <n v="275.98745207670498"/>
    <n v="16789.236667999499"/>
    <n v="60441.252004798298"/>
  </r>
  <r>
    <x v="0"/>
    <x v="0"/>
    <x v="0"/>
    <x v="2"/>
    <x v="3"/>
    <s v="FIN_ESPOO"/>
    <x v="0"/>
    <x v="0"/>
    <x v="7"/>
    <x v="9"/>
    <n v="270.11796757123102"/>
    <n v="16432.176360583198"/>
    <n v="59155.834898099602"/>
  </r>
  <r>
    <x v="0"/>
    <x v="0"/>
    <x v="0"/>
    <x v="2"/>
    <x v="3"/>
    <s v="FIN_ESPOO"/>
    <x v="0"/>
    <x v="0"/>
    <x v="7"/>
    <x v="10"/>
    <n v="267.00752917649999"/>
    <n v="16242.958024903701"/>
    <n v="58474.648889653501"/>
  </r>
  <r>
    <x v="0"/>
    <x v="0"/>
    <x v="0"/>
    <x v="2"/>
    <x v="3"/>
    <s v="FIN_ESPOO"/>
    <x v="0"/>
    <x v="0"/>
    <x v="7"/>
    <x v="11"/>
    <n v="265.84388699878002"/>
    <n v="16172.169792425801"/>
    <n v="58219.811252732798"/>
  </r>
  <r>
    <x v="0"/>
    <x v="0"/>
    <x v="0"/>
    <x v="2"/>
    <x v="3"/>
    <s v="FIN_ESPOO"/>
    <x v="0"/>
    <x v="0"/>
    <x v="8"/>
    <x v="0"/>
    <n v="222.73713204351699"/>
    <n v="13549.8421993139"/>
    <n v="48779.431917530201"/>
  </r>
  <r>
    <x v="0"/>
    <x v="0"/>
    <x v="0"/>
    <x v="2"/>
    <x v="3"/>
    <s v="FIN_ESPOO"/>
    <x v="0"/>
    <x v="0"/>
    <x v="8"/>
    <x v="1"/>
    <n v="224.284245520935"/>
    <n v="13643.9582691902"/>
    <n v="49118.249769084701"/>
  </r>
  <r>
    <x v="0"/>
    <x v="0"/>
    <x v="0"/>
    <x v="2"/>
    <x v="3"/>
    <s v="FIN_ESPOO"/>
    <x v="0"/>
    <x v="0"/>
    <x v="8"/>
    <x v="2"/>
    <n v="227.303778915262"/>
    <n v="13827.646550678501"/>
    <n v="49779.527582442402"/>
  </r>
  <r>
    <x v="0"/>
    <x v="0"/>
    <x v="0"/>
    <x v="2"/>
    <x v="3"/>
    <s v="FIN_ESPOO"/>
    <x v="0"/>
    <x v="0"/>
    <x v="8"/>
    <x v="3"/>
    <n v="231.44861876524001"/>
    <n v="14079.7909748854"/>
    <n v="50687.2475095876"/>
  </r>
  <r>
    <x v="0"/>
    <x v="0"/>
    <x v="0"/>
    <x v="2"/>
    <x v="3"/>
    <s v="FIN_ESPOO"/>
    <x v="0"/>
    <x v="0"/>
    <x v="8"/>
    <x v="4"/>
    <n v="239.98375493994001"/>
    <n v="14599.0117588464"/>
    <n v="52556.442331847"/>
  </r>
  <r>
    <x v="0"/>
    <x v="0"/>
    <x v="0"/>
    <x v="2"/>
    <x v="3"/>
    <s v="FIN_ESPOO"/>
    <x v="0"/>
    <x v="0"/>
    <x v="8"/>
    <x v="5"/>
    <n v="258.84887753252201"/>
    <n v="15746.640049895101"/>
    <n v="56687.904179622397"/>
  </r>
  <r>
    <x v="0"/>
    <x v="0"/>
    <x v="0"/>
    <x v="2"/>
    <x v="3"/>
    <s v="FIN_ESPOO"/>
    <x v="0"/>
    <x v="0"/>
    <x v="8"/>
    <x v="6"/>
    <n v="305.11895673822499"/>
    <n v="18561.4032015753"/>
    <n v="66821.051525671195"/>
  </r>
  <r>
    <x v="0"/>
    <x v="0"/>
    <x v="0"/>
    <x v="2"/>
    <x v="3"/>
    <s v="FIN_ESPOO"/>
    <x v="0"/>
    <x v="0"/>
    <x v="8"/>
    <x v="7"/>
    <n v="324.73609681626499"/>
    <n v="19754.779222989499"/>
    <n v="71117.205202762096"/>
  </r>
  <r>
    <x v="0"/>
    <x v="0"/>
    <x v="0"/>
    <x v="2"/>
    <x v="3"/>
    <s v="FIN_ESPOO"/>
    <x v="0"/>
    <x v="0"/>
    <x v="8"/>
    <x v="8"/>
    <n v="324.392477470546"/>
    <n v="19733.8757127916"/>
    <n v="71041.952566049702"/>
  </r>
  <r>
    <x v="0"/>
    <x v="0"/>
    <x v="0"/>
    <x v="2"/>
    <x v="3"/>
    <s v="FIN_ESPOO"/>
    <x v="0"/>
    <x v="0"/>
    <x v="8"/>
    <x v="9"/>
    <n v="316.80850744514203"/>
    <n v="19272.517536246101"/>
    <n v="69381.063130486102"/>
  </r>
  <r>
    <x v="0"/>
    <x v="0"/>
    <x v="0"/>
    <x v="2"/>
    <x v="3"/>
    <s v="FIN_ESPOO"/>
    <x v="0"/>
    <x v="0"/>
    <x v="8"/>
    <x v="10"/>
    <n v="309.34760265931902"/>
    <n v="18818.645828441899"/>
    <n v="67747.124982390902"/>
  </r>
  <r>
    <x v="0"/>
    <x v="0"/>
    <x v="0"/>
    <x v="2"/>
    <x v="3"/>
    <s v="FIN_ESPOO"/>
    <x v="0"/>
    <x v="0"/>
    <x v="8"/>
    <x v="11"/>
    <n v="304.01013679951302"/>
    <n v="18493.949988636999"/>
    <n v="66578.219959093301"/>
  </r>
  <r>
    <x v="0"/>
    <x v="0"/>
    <x v="0"/>
    <x v="2"/>
    <x v="3"/>
    <s v="FIN_ESPOO"/>
    <x v="0"/>
    <x v="0"/>
    <x v="9"/>
    <x v="0"/>
    <n v="219.622152818449"/>
    <n v="13360.347629788999"/>
    <n v="48097.251467240298"/>
  </r>
  <r>
    <x v="0"/>
    <x v="0"/>
    <x v="0"/>
    <x v="2"/>
    <x v="3"/>
    <s v="FIN_ESPOO"/>
    <x v="0"/>
    <x v="0"/>
    <x v="9"/>
    <x v="1"/>
    <n v="221.943932630326"/>
    <n v="13501.589235011499"/>
    <n v="48605.721246041299"/>
  </r>
  <r>
    <x v="0"/>
    <x v="0"/>
    <x v="0"/>
    <x v="2"/>
    <x v="3"/>
    <s v="FIN_ESPOO"/>
    <x v="0"/>
    <x v="0"/>
    <x v="9"/>
    <x v="2"/>
    <n v="225.536713393349"/>
    <n v="13720.1500647621"/>
    <n v="49392.540233143503"/>
  </r>
  <r>
    <x v="0"/>
    <x v="0"/>
    <x v="0"/>
    <x v="2"/>
    <x v="3"/>
    <s v="FIN_ESPOO"/>
    <x v="0"/>
    <x v="0"/>
    <x v="9"/>
    <x v="3"/>
    <n v="230.98012531517901"/>
    <n v="14051.2909566734"/>
    <n v="50584.647444024202"/>
  </r>
  <r>
    <x v="0"/>
    <x v="0"/>
    <x v="0"/>
    <x v="2"/>
    <x v="3"/>
    <s v="FIN_ESPOO"/>
    <x v="0"/>
    <x v="0"/>
    <x v="9"/>
    <x v="4"/>
    <n v="241.36120736866201"/>
    <n v="14682.806781593599"/>
    <n v="52858.104413737099"/>
  </r>
  <r>
    <x v="0"/>
    <x v="0"/>
    <x v="0"/>
    <x v="2"/>
    <x v="3"/>
    <s v="FIN_ESPOO"/>
    <x v="0"/>
    <x v="0"/>
    <x v="9"/>
    <x v="5"/>
    <n v="260.85418416629"/>
    <n v="15868.629536782701"/>
    <n v="57127.066332417598"/>
  </r>
  <r>
    <x v="0"/>
    <x v="0"/>
    <x v="0"/>
    <x v="2"/>
    <x v="3"/>
    <s v="FIN_ESPOO"/>
    <x v="0"/>
    <x v="0"/>
    <x v="9"/>
    <x v="6"/>
    <n v="307.562754983893"/>
    <n v="18710.067594853499"/>
    <n v="67356.243341472597"/>
  </r>
  <r>
    <x v="0"/>
    <x v="0"/>
    <x v="0"/>
    <x v="2"/>
    <x v="3"/>
    <s v="FIN_ESPOO"/>
    <x v="0"/>
    <x v="0"/>
    <x v="9"/>
    <x v="7"/>
    <n v="326.19793645323102"/>
    <n v="19843.7078009049"/>
    <n v="71437.348083257704"/>
  </r>
  <r>
    <x v="0"/>
    <x v="0"/>
    <x v="0"/>
    <x v="2"/>
    <x v="3"/>
    <s v="FIN_ESPOO"/>
    <x v="0"/>
    <x v="0"/>
    <x v="9"/>
    <x v="8"/>
    <n v="321.196757632377"/>
    <n v="19539.469422636201"/>
    <n v="70342.089921490493"/>
  </r>
  <r>
    <x v="0"/>
    <x v="0"/>
    <x v="0"/>
    <x v="2"/>
    <x v="3"/>
    <s v="FIN_ESPOO"/>
    <x v="0"/>
    <x v="0"/>
    <x v="9"/>
    <x v="9"/>
    <n v="307.48289303548597"/>
    <n v="18705.209326325399"/>
    <n v="67338.753574771399"/>
  </r>
  <r>
    <x v="0"/>
    <x v="0"/>
    <x v="0"/>
    <x v="2"/>
    <x v="3"/>
    <s v="FIN_ESPOO"/>
    <x v="0"/>
    <x v="0"/>
    <x v="9"/>
    <x v="10"/>
    <n v="291.32039338692499"/>
    <n v="17721.9905977046"/>
    <n v="63799.166151736601"/>
  </r>
  <r>
    <x v="0"/>
    <x v="0"/>
    <x v="0"/>
    <x v="2"/>
    <x v="3"/>
    <s v="FIN_ESPOO"/>
    <x v="0"/>
    <x v="0"/>
    <x v="9"/>
    <x v="11"/>
    <n v="280.40585847545799"/>
    <n v="17058.023057257102"/>
    <n v="61408.883006125398"/>
  </r>
  <r>
    <x v="0"/>
    <x v="0"/>
    <x v="0"/>
    <x v="2"/>
    <x v="3"/>
    <s v="FIN_ESPOO"/>
    <x v="0"/>
    <x v="0"/>
    <x v="10"/>
    <x v="0"/>
    <n v="156.630598819987"/>
    <n v="9528.3614282158796"/>
    <n v="34302.101141577201"/>
  </r>
  <r>
    <x v="0"/>
    <x v="0"/>
    <x v="0"/>
    <x v="2"/>
    <x v="3"/>
    <s v="FIN_ESPOO"/>
    <x v="0"/>
    <x v="0"/>
    <x v="10"/>
    <x v="1"/>
    <n v="157.917839615361"/>
    <n v="9606.6685766011306"/>
    <n v="34584.006875764098"/>
  </r>
  <r>
    <x v="0"/>
    <x v="0"/>
    <x v="0"/>
    <x v="2"/>
    <x v="3"/>
    <s v="FIN_ESPOO"/>
    <x v="0"/>
    <x v="0"/>
    <x v="10"/>
    <x v="2"/>
    <n v="157.032270206459"/>
    <n v="9552.7964375596002"/>
    <n v="34390.067175214601"/>
  </r>
  <r>
    <x v="0"/>
    <x v="0"/>
    <x v="0"/>
    <x v="2"/>
    <x v="3"/>
    <s v="FIN_ESPOO"/>
    <x v="0"/>
    <x v="0"/>
    <x v="10"/>
    <x v="3"/>
    <n v="159.74285629429201"/>
    <n v="9717.6904245694295"/>
    <n v="34983.685528449903"/>
  </r>
  <r>
    <x v="0"/>
    <x v="0"/>
    <x v="0"/>
    <x v="2"/>
    <x v="3"/>
    <s v="FIN_ESPOO"/>
    <x v="0"/>
    <x v="0"/>
    <x v="10"/>
    <x v="4"/>
    <n v="164.107907516176"/>
    <n v="9983.2310405673907"/>
    <n v="35939.6317460426"/>
  </r>
  <r>
    <x v="0"/>
    <x v="0"/>
    <x v="0"/>
    <x v="2"/>
    <x v="3"/>
    <s v="FIN_ESPOO"/>
    <x v="0"/>
    <x v="0"/>
    <x v="10"/>
    <x v="5"/>
    <n v="181.59032701656699"/>
    <n v="11046.744893507799"/>
    <n v="39768.281616628097"/>
  </r>
  <r>
    <x v="0"/>
    <x v="0"/>
    <x v="0"/>
    <x v="2"/>
    <x v="3"/>
    <s v="FIN_ESPOO"/>
    <x v="0"/>
    <x v="0"/>
    <x v="10"/>
    <x v="6"/>
    <n v="216.12425909734699"/>
    <n v="13147.5590950886"/>
    <n v="47331.212742319098"/>
  </r>
  <r>
    <x v="0"/>
    <x v="0"/>
    <x v="0"/>
    <x v="2"/>
    <x v="3"/>
    <s v="FIN_ESPOO"/>
    <x v="0"/>
    <x v="0"/>
    <x v="10"/>
    <x v="7"/>
    <n v="221.65117869084199"/>
    <n v="13483.780037026199"/>
    <n v="48541.608133294401"/>
  </r>
  <r>
    <x v="0"/>
    <x v="0"/>
    <x v="0"/>
    <x v="2"/>
    <x v="3"/>
    <s v="FIN_ESPOO"/>
    <x v="0"/>
    <x v="0"/>
    <x v="10"/>
    <x v="8"/>
    <n v="205.74296536920599"/>
    <n v="12516.0303932933"/>
    <n v="45057.709415855999"/>
  </r>
  <r>
    <x v="0"/>
    <x v="0"/>
    <x v="0"/>
    <x v="2"/>
    <x v="3"/>
    <s v="FIN_ESPOO"/>
    <x v="0"/>
    <x v="0"/>
    <x v="10"/>
    <x v="9"/>
    <n v="189.37986458280301"/>
    <n v="11520.6084287872"/>
    <n v="41474.190343633803"/>
  </r>
  <r>
    <x v="0"/>
    <x v="0"/>
    <x v="0"/>
    <x v="2"/>
    <x v="3"/>
    <s v="FIN_ESPOO"/>
    <x v="0"/>
    <x v="0"/>
    <x v="10"/>
    <x v="10"/>
    <n v="176.244130874409"/>
    <n v="10721.517961526601"/>
    <n v="38597.464661495702"/>
  </r>
  <r>
    <x v="0"/>
    <x v="0"/>
    <x v="0"/>
    <x v="2"/>
    <x v="3"/>
    <s v="FIN_ESPOO"/>
    <x v="0"/>
    <x v="0"/>
    <x v="10"/>
    <x v="11"/>
    <n v="169.27353601004199"/>
    <n v="10297.4734406109"/>
    <n v="37070.904386199203"/>
  </r>
  <r>
    <x v="0"/>
    <x v="0"/>
    <x v="0"/>
    <x v="2"/>
    <x v="3"/>
    <s v="FIN_ESPOO"/>
    <x v="0"/>
    <x v="0"/>
    <x v="11"/>
    <x v="0"/>
    <n v="159.94021009236201"/>
    <n v="9729.6961139520499"/>
    <n v="35026.906010227402"/>
  </r>
  <r>
    <x v="0"/>
    <x v="0"/>
    <x v="0"/>
    <x v="2"/>
    <x v="3"/>
    <s v="FIN_ESPOO"/>
    <x v="0"/>
    <x v="0"/>
    <x v="11"/>
    <x v="1"/>
    <n v="160.769244254325"/>
    <n v="9780.1290254714204"/>
    <n v="35208.464491697101"/>
  </r>
  <r>
    <x v="0"/>
    <x v="0"/>
    <x v="0"/>
    <x v="2"/>
    <x v="3"/>
    <s v="FIN_ESPOO"/>
    <x v="0"/>
    <x v="0"/>
    <x v="11"/>
    <x v="2"/>
    <n v="160.496217127156"/>
    <n v="9763.5198752353299"/>
    <n v="35148.671550847197"/>
  </r>
  <r>
    <x v="0"/>
    <x v="0"/>
    <x v="0"/>
    <x v="2"/>
    <x v="3"/>
    <s v="FIN_ESPOO"/>
    <x v="0"/>
    <x v="0"/>
    <x v="11"/>
    <x v="3"/>
    <n v="164.514488002241"/>
    <n v="10007.964686802999"/>
    <n v="36028.672872490701"/>
  </r>
  <r>
    <x v="0"/>
    <x v="0"/>
    <x v="0"/>
    <x v="2"/>
    <x v="3"/>
    <s v="FIN_ESPOO"/>
    <x v="0"/>
    <x v="0"/>
    <x v="11"/>
    <x v="4"/>
    <n v="170.55434721041499"/>
    <n v="10375.389455300299"/>
    <n v="37351.402039080996"/>
  </r>
  <r>
    <x v="0"/>
    <x v="0"/>
    <x v="0"/>
    <x v="2"/>
    <x v="3"/>
    <s v="FIN_ESPOO"/>
    <x v="0"/>
    <x v="0"/>
    <x v="11"/>
    <x v="5"/>
    <n v="188.88268390427999"/>
    <n v="11490.3632708437"/>
    <n v="41365.3077750374"/>
  </r>
  <r>
    <x v="0"/>
    <x v="0"/>
    <x v="0"/>
    <x v="2"/>
    <x v="3"/>
    <s v="FIN_ESPOO"/>
    <x v="0"/>
    <x v="0"/>
    <x v="11"/>
    <x v="6"/>
    <n v="226.86362545832301"/>
    <n v="13800.8705487147"/>
    <n v="49683.133975372803"/>
  </r>
  <r>
    <x v="0"/>
    <x v="0"/>
    <x v="0"/>
    <x v="2"/>
    <x v="3"/>
    <s v="FIN_ESPOO"/>
    <x v="0"/>
    <x v="0"/>
    <x v="11"/>
    <x v="7"/>
    <n v="240.74797156958101"/>
    <n v="14645.501603816199"/>
    <n v="52723.805773738197"/>
  </r>
  <r>
    <x v="0"/>
    <x v="0"/>
    <x v="0"/>
    <x v="2"/>
    <x v="3"/>
    <s v="FIN_ESPOO"/>
    <x v="0"/>
    <x v="0"/>
    <x v="11"/>
    <x v="8"/>
    <n v="236.97835937703499"/>
    <n v="14416.183528769599"/>
    <n v="51898.260703570697"/>
  </r>
  <r>
    <x v="0"/>
    <x v="0"/>
    <x v="0"/>
    <x v="2"/>
    <x v="3"/>
    <s v="FIN_ESPOO"/>
    <x v="0"/>
    <x v="0"/>
    <x v="11"/>
    <x v="9"/>
    <n v="229.855920828173"/>
    <n v="13982.9018503805"/>
    <n v="50338.446661369897"/>
  </r>
  <r>
    <x v="0"/>
    <x v="0"/>
    <x v="0"/>
    <x v="2"/>
    <x v="3"/>
    <s v="FIN_ESPOO"/>
    <x v="0"/>
    <x v="0"/>
    <x v="11"/>
    <x v="10"/>
    <n v="224.75906135373501"/>
    <n v="13672.8428990189"/>
    <n v="49222.234436468098"/>
  </r>
  <r>
    <x v="0"/>
    <x v="0"/>
    <x v="0"/>
    <x v="2"/>
    <x v="3"/>
    <s v="FIN_ESPOO"/>
    <x v="0"/>
    <x v="0"/>
    <x v="11"/>
    <x v="11"/>
    <n v="222.12269751323899"/>
    <n v="13512.464098721999"/>
    <n v="48644.870755399199"/>
  </r>
  <r>
    <x v="0"/>
    <x v="0"/>
    <x v="0"/>
    <x v="2"/>
    <x v="3"/>
    <s v="FIN_GAS"/>
    <x v="0"/>
    <x v="0"/>
    <x v="0"/>
    <x v="0"/>
    <n v="98.996256824474997"/>
    <n v="6022.2722901555599"/>
    <n v="21680.180244560001"/>
  </r>
  <r>
    <x v="0"/>
    <x v="0"/>
    <x v="0"/>
    <x v="2"/>
    <x v="3"/>
    <s v="FIN_GAS"/>
    <x v="0"/>
    <x v="0"/>
    <x v="0"/>
    <x v="1"/>
    <n v="98.056341692299299"/>
    <n v="5965.0941196148697"/>
    <n v="21474.338830613498"/>
  </r>
  <r>
    <x v="0"/>
    <x v="0"/>
    <x v="0"/>
    <x v="2"/>
    <x v="3"/>
    <s v="FIN_GAS"/>
    <x v="0"/>
    <x v="0"/>
    <x v="0"/>
    <x v="2"/>
    <n v="97.436933624406905"/>
    <n v="5927.4134621514204"/>
    <n v="21338.6884637451"/>
  </r>
  <r>
    <x v="0"/>
    <x v="0"/>
    <x v="0"/>
    <x v="2"/>
    <x v="3"/>
    <s v="FIN_GAS"/>
    <x v="0"/>
    <x v="0"/>
    <x v="0"/>
    <x v="3"/>
    <n v="98.375637942800694"/>
    <n v="5984.5179748537103"/>
    <n v="21544.264709473398"/>
  </r>
  <r>
    <x v="0"/>
    <x v="0"/>
    <x v="0"/>
    <x v="2"/>
    <x v="3"/>
    <s v="FIN_GAS"/>
    <x v="0"/>
    <x v="0"/>
    <x v="0"/>
    <x v="4"/>
    <n v="101.089692119882"/>
    <n v="6149.6229372928001"/>
    <n v="22138.6425742541"/>
  </r>
  <r>
    <x v="0"/>
    <x v="0"/>
    <x v="0"/>
    <x v="2"/>
    <x v="3"/>
    <s v="FIN_GAS"/>
    <x v="0"/>
    <x v="0"/>
    <x v="0"/>
    <x v="5"/>
    <n v="110.852338035023"/>
    <n v="6743.51723046388"/>
    <n v="24276.6620296699"/>
  </r>
  <r>
    <x v="0"/>
    <x v="0"/>
    <x v="0"/>
    <x v="2"/>
    <x v="3"/>
    <s v="FIN_GAS"/>
    <x v="0"/>
    <x v="0"/>
    <x v="0"/>
    <x v="6"/>
    <n v="131.076971807729"/>
    <n v="7973.8491183035103"/>
    <n v="28705.856825892599"/>
  </r>
  <r>
    <x v="0"/>
    <x v="0"/>
    <x v="0"/>
    <x v="2"/>
    <x v="3"/>
    <s v="FIN_GAS"/>
    <x v="0"/>
    <x v="0"/>
    <x v="0"/>
    <x v="7"/>
    <n v="141.06808329042499"/>
    <n v="8581.6417335008391"/>
    <n v="30893.910240603"/>
  </r>
  <r>
    <x v="0"/>
    <x v="0"/>
    <x v="0"/>
    <x v="2"/>
    <x v="3"/>
    <s v="FIN_GAS"/>
    <x v="0"/>
    <x v="0"/>
    <x v="0"/>
    <x v="8"/>
    <n v="140.805761439018"/>
    <n v="8565.6838208736008"/>
    <n v="30836.461755144999"/>
  </r>
  <r>
    <x v="0"/>
    <x v="0"/>
    <x v="0"/>
    <x v="2"/>
    <x v="3"/>
    <s v="FIN_GAS"/>
    <x v="0"/>
    <x v="0"/>
    <x v="0"/>
    <x v="9"/>
    <n v="138.19272007878601"/>
    <n v="8406.7238047928404"/>
    <n v="30264.205697254201"/>
  </r>
  <r>
    <x v="0"/>
    <x v="0"/>
    <x v="0"/>
    <x v="2"/>
    <x v="3"/>
    <s v="FIN_GAS"/>
    <x v="0"/>
    <x v="0"/>
    <x v="0"/>
    <x v="10"/>
    <n v="136.78395448846001"/>
    <n v="8321.0238980479899"/>
    <n v="29955.686032972801"/>
  </r>
  <r>
    <x v="0"/>
    <x v="0"/>
    <x v="0"/>
    <x v="2"/>
    <x v="3"/>
    <s v="FIN_GAS"/>
    <x v="0"/>
    <x v="0"/>
    <x v="0"/>
    <x v="11"/>
    <n v="136.04003944299299"/>
    <n v="8275.7690661154102"/>
    <n v="29792.768638015499"/>
  </r>
  <r>
    <x v="0"/>
    <x v="0"/>
    <x v="0"/>
    <x v="2"/>
    <x v="3"/>
    <s v="FIN_GAS"/>
    <x v="0"/>
    <x v="0"/>
    <x v="1"/>
    <x v="0"/>
    <n v="132.17422186856899"/>
    <n v="8040.5984970046002"/>
    <n v="28946.154589216501"/>
  </r>
  <r>
    <x v="0"/>
    <x v="0"/>
    <x v="0"/>
    <x v="2"/>
    <x v="3"/>
    <s v="FIN_GAS"/>
    <x v="0"/>
    <x v="0"/>
    <x v="1"/>
    <x v="1"/>
    <n v="130.73069593551"/>
    <n v="7952.7840027435104"/>
    <n v="28630.022409876601"/>
  </r>
  <r>
    <x v="0"/>
    <x v="0"/>
    <x v="0"/>
    <x v="2"/>
    <x v="3"/>
    <s v="FIN_GAS"/>
    <x v="0"/>
    <x v="0"/>
    <x v="1"/>
    <x v="2"/>
    <n v="131.55366139094801"/>
    <n v="8002.8477346159898"/>
    <n v="28810.2518446176"/>
  </r>
  <r>
    <x v="0"/>
    <x v="0"/>
    <x v="0"/>
    <x v="2"/>
    <x v="3"/>
    <s v="FIN_GAS"/>
    <x v="0"/>
    <x v="0"/>
    <x v="1"/>
    <x v="3"/>
    <n v="134.58695506081301"/>
    <n v="8187.3730995327596"/>
    <n v="29474.543158317902"/>
  </r>
  <r>
    <x v="0"/>
    <x v="0"/>
    <x v="0"/>
    <x v="2"/>
    <x v="3"/>
    <s v="FIN_GAS"/>
    <x v="0"/>
    <x v="0"/>
    <x v="1"/>
    <x v="4"/>
    <n v="141.97771238398801"/>
    <n v="8636.9775033592505"/>
    <n v="31093.119012093299"/>
  </r>
  <r>
    <x v="0"/>
    <x v="0"/>
    <x v="0"/>
    <x v="2"/>
    <x v="3"/>
    <s v="FIN_GAS"/>
    <x v="0"/>
    <x v="0"/>
    <x v="1"/>
    <x v="5"/>
    <n v="155.639009154359"/>
    <n v="9468.0397235568507"/>
    <n v="34084.9430048047"/>
  </r>
  <r>
    <x v="0"/>
    <x v="0"/>
    <x v="0"/>
    <x v="2"/>
    <x v="3"/>
    <s v="FIN_GAS"/>
    <x v="0"/>
    <x v="0"/>
    <x v="1"/>
    <x v="6"/>
    <n v="183.19288443949799"/>
    <n v="11144.2338034028"/>
    <n v="40119.2416922501"/>
  </r>
  <r>
    <x v="0"/>
    <x v="0"/>
    <x v="0"/>
    <x v="2"/>
    <x v="3"/>
    <s v="FIN_GAS"/>
    <x v="0"/>
    <x v="0"/>
    <x v="1"/>
    <x v="7"/>
    <n v="199.61360889523999"/>
    <n v="12143.161207793701"/>
    <n v="43715.380348057501"/>
  </r>
  <r>
    <x v="0"/>
    <x v="0"/>
    <x v="0"/>
    <x v="2"/>
    <x v="3"/>
    <s v="FIN_GAS"/>
    <x v="0"/>
    <x v="0"/>
    <x v="1"/>
    <x v="8"/>
    <n v="203.73133473522"/>
    <n v="12393.6561963926"/>
    <n v="44617.162307013299"/>
  </r>
  <r>
    <x v="0"/>
    <x v="0"/>
    <x v="0"/>
    <x v="2"/>
    <x v="3"/>
    <s v="FIN_GAS"/>
    <x v="0"/>
    <x v="0"/>
    <x v="1"/>
    <x v="9"/>
    <n v="204.79395926383199"/>
    <n v="12458.2991885498"/>
    <n v="44849.877078779202"/>
  </r>
  <r>
    <x v="0"/>
    <x v="0"/>
    <x v="0"/>
    <x v="2"/>
    <x v="3"/>
    <s v="FIN_GAS"/>
    <x v="0"/>
    <x v="0"/>
    <x v="1"/>
    <x v="10"/>
    <n v="198.84288436866601"/>
    <n v="12096.2754657605"/>
    <n v="43546.5916767378"/>
  </r>
  <r>
    <x v="0"/>
    <x v="0"/>
    <x v="0"/>
    <x v="2"/>
    <x v="3"/>
    <s v="FIN_GAS"/>
    <x v="0"/>
    <x v="0"/>
    <x v="1"/>
    <x v="11"/>
    <n v="194.88327524054799"/>
    <n v="11855.3992438"/>
    <n v="42679.437277680001"/>
  </r>
  <r>
    <x v="0"/>
    <x v="0"/>
    <x v="0"/>
    <x v="2"/>
    <x v="3"/>
    <s v="FIN_GAS"/>
    <x v="0"/>
    <x v="0"/>
    <x v="2"/>
    <x v="0"/>
    <n v="165.96252316661199"/>
    <n v="10096.053492635499"/>
    <n v="36345.792573487997"/>
  </r>
  <r>
    <x v="0"/>
    <x v="0"/>
    <x v="0"/>
    <x v="2"/>
    <x v="3"/>
    <s v="FIN_GAS"/>
    <x v="0"/>
    <x v="0"/>
    <x v="2"/>
    <x v="1"/>
    <n v="163.94971528548001"/>
    <n v="9973.6076798667309"/>
    <n v="35904.987647520204"/>
  </r>
  <r>
    <x v="0"/>
    <x v="0"/>
    <x v="0"/>
    <x v="2"/>
    <x v="3"/>
    <s v="FIN_GAS"/>
    <x v="0"/>
    <x v="0"/>
    <x v="2"/>
    <x v="2"/>
    <n v="165.91835377588299"/>
    <n v="10093.366521366201"/>
    <n v="36336.1194769184"/>
  </r>
  <r>
    <x v="0"/>
    <x v="0"/>
    <x v="0"/>
    <x v="2"/>
    <x v="3"/>
    <s v="FIN_GAS"/>
    <x v="0"/>
    <x v="0"/>
    <x v="2"/>
    <x v="3"/>
    <n v="169.09486910221699"/>
    <n v="10286.6045370516"/>
    <n v="37031.776333385598"/>
  </r>
  <r>
    <x v="0"/>
    <x v="0"/>
    <x v="0"/>
    <x v="2"/>
    <x v="3"/>
    <s v="FIN_GAS"/>
    <x v="0"/>
    <x v="0"/>
    <x v="2"/>
    <x v="4"/>
    <n v="174.63597736396201"/>
    <n v="10623.6886229743"/>
    <n v="38245.279042707603"/>
  </r>
  <r>
    <x v="0"/>
    <x v="0"/>
    <x v="0"/>
    <x v="2"/>
    <x v="3"/>
    <s v="FIN_GAS"/>
    <x v="0"/>
    <x v="0"/>
    <x v="2"/>
    <x v="5"/>
    <n v="183.97318415154399"/>
    <n v="11191.702035885601"/>
    <n v="40290.127329188101"/>
  </r>
  <r>
    <x v="0"/>
    <x v="0"/>
    <x v="0"/>
    <x v="2"/>
    <x v="3"/>
    <s v="FIN_GAS"/>
    <x v="0"/>
    <x v="0"/>
    <x v="2"/>
    <x v="6"/>
    <n v="212.67928265281799"/>
    <n v="12937.9896947131"/>
    <n v="46576.762900967202"/>
  </r>
  <r>
    <x v="0"/>
    <x v="0"/>
    <x v="0"/>
    <x v="2"/>
    <x v="3"/>
    <s v="FIN_GAS"/>
    <x v="0"/>
    <x v="0"/>
    <x v="2"/>
    <x v="7"/>
    <n v="228.25278990539999"/>
    <n v="13885.378052578501"/>
    <n v="49987.360989282701"/>
  </r>
  <r>
    <x v="0"/>
    <x v="0"/>
    <x v="0"/>
    <x v="2"/>
    <x v="3"/>
    <s v="FIN_GAS"/>
    <x v="0"/>
    <x v="0"/>
    <x v="2"/>
    <x v="8"/>
    <n v="225.93860511753601"/>
    <n v="13744.5984779835"/>
    <n v="49480.554520740501"/>
  </r>
  <r>
    <x v="0"/>
    <x v="0"/>
    <x v="0"/>
    <x v="2"/>
    <x v="3"/>
    <s v="FIN_GAS"/>
    <x v="0"/>
    <x v="0"/>
    <x v="2"/>
    <x v="9"/>
    <n v="219.70336138572301"/>
    <n v="13365.287817631501"/>
    <n v="48115.0361434734"/>
  </r>
  <r>
    <x v="0"/>
    <x v="0"/>
    <x v="0"/>
    <x v="2"/>
    <x v="3"/>
    <s v="FIN_GAS"/>
    <x v="0"/>
    <x v="0"/>
    <x v="2"/>
    <x v="10"/>
    <n v="209.18569970772299"/>
    <n v="12725.463398886501"/>
    <n v="45811.668235991303"/>
  </r>
  <r>
    <x v="0"/>
    <x v="0"/>
    <x v="0"/>
    <x v="2"/>
    <x v="3"/>
    <s v="FIN_GAS"/>
    <x v="0"/>
    <x v="0"/>
    <x v="2"/>
    <x v="11"/>
    <n v="200.017973142811"/>
    <n v="12167.760032854399"/>
    <n v="43803.936118275698"/>
  </r>
  <r>
    <x v="0"/>
    <x v="0"/>
    <x v="0"/>
    <x v="2"/>
    <x v="3"/>
    <s v="FIN_GAS"/>
    <x v="0"/>
    <x v="0"/>
    <x v="3"/>
    <x v="0"/>
    <n v="120.83034154538301"/>
    <n v="7350.5124440108102"/>
    <n v="26461.844798438899"/>
  </r>
  <r>
    <x v="0"/>
    <x v="0"/>
    <x v="0"/>
    <x v="2"/>
    <x v="3"/>
    <s v="FIN_GAS"/>
    <x v="0"/>
    <x v="0"/>
    <x v="3"/>
    <x v="1"/>
    <n v="119.476593558584"/>
    <n v="7268.1594414805004"/>
    <n v="26165.373989329801"/>
  </r>
  <r>
    <x v="0"/>
    <x v="0"/>
    <x v="0"/>
    <x v="2"/>
    <x v="3"/>
    <s v="FIN_GAS"/>
    <x v="0"/>
    <x v="0"/>
    <x v="3"/>
    <x v="2"/>
    <n v="119.676329685658"/>
    <n v="7280.3100558775004"/>
    <n v="26209.116201158999"/>
  </r>
  <r>
    <x v="0"/>
    <x v="0"/>
    <x v="0"/>
    <x v="2"/>
    <x v="3"/>
    <s v="FIN_GAS"/>
    <x v="0"/>
    <x v="0"/>
    <x v="3"/>
    <x v="3"/>
    <n v="121.220496144534"/>
    <n v="7374.2468487924598"/>
    <n v="26547.288655652799"/>
  </r>
  <r>
    <x v="0"/>
    <x v="0"/>
    <x v="0"/>
    <x v="2"/>
    <x v="3"/>
    <s v="FIN_GAS"/>
    <x v="0"/>
    <x v="0"/>
    <x v="3"/>
    <x v="4"/>
    <n v="125.10902821294"/>
    <n v="7610.7992162871797"/>
    <n v="27398.8771786338"/>
  </r>
  <r>
    <x v="0"/>
    <x v="0"/>
    <x v="0"/>
    <x v="2"/>
    <x v="3"/>
    <s v="FIN_GAS"/>
    <x v="0"/>
    <x v="0"/>
    <x v="3"/>
    <x v="5"/>
    <n v="134.88016337814901"/>
    <n v="8205.2099388374008"/>
    <n v="29538.755779814699"/>
  </r>
  <r>
    <x v="0"/>
    <x v="0"/>
    <x v="0"/>
    <x v="2"/>
    <x v="3"/>
    <s v="FIN_GAS"/>
    <x v="0"/>
    <x v="0"/>
    <x v="3"/>
    <x v="6"/>
    <n v="157.794908325904"/>
    <n v="9599.1902564925003"/>
    <n v="34557.084923372997"/>
  </r>
  <r>
    <x v="0"/>
    <x v="0"/>
    <x v="0"/>
    <x v="2"/>
    <x v="3"/>
    <s v="FIN_GAS"/>
    <x v="0"/>
    <x v="0"/>
    <x v="3"/>
    <x v="7"/>
    <n v="169.464126424082"/>
    <n v="10309.0676907983"/>
    <n v="37112.643686873897"/>
  </r>
  <r>
    <x v="0"/>
    <x v="0"/>
    <x v="0"/>
    <x v="2"/>
    <x v="3"/>
    <s v="FIN_GAS"/>
    <x v="0"/>
    <x v="0"/>
    <x v="3"/>
    <x v="8"/>
    <n v="168.568664557624"/>
    <n v="10254.593760588799"/>
    <n v="36916.537538119599"/>
  </r>
  <r>
    <x v="0"/>
    <x v="0"/>
    <x v="0"/>
    <x v="2"/>
    <x v="3"/>
    <s v="FIN_GAS"/>
    <x v="0"/>
    <x v="0"/>
    <x v="3"/>
    <x v="9"/>
    <n v="164.572273610613"/>
    <n v="10011.479977978999"/>
    <n v="36041.327920724303"/>
  </r>
  <r>
    <x v="0"/>
    <x v="0"/>
    <x v="0"/>
    <x v="2"/>
    <x v="3"/>
    <s v="FIN_GAS"/>
    <x v="0"/>
    <x v="0"/>
    <x v="3"/>
    <x v="10"/>
    <n v="159.611490866921"/>
    <n v="9709.6990277376808"/>
    <n v="34954.916499855601"/>
  </r>
  <r>
    <x v="0"/>
    <x v="0"/>
    <x v="0"/>
    <x v="2"/>
    <x v="3"/>
    <s v="FIN_GAS"/>
    <x v="0"/>
    <x v="0"/>
    <x v="3"/>
    <x v="11"/>
    <n v="155.834200948502"/>
    <n v="9479.9138910338497"/>
    <n v="34127.690007721903"/>
  </r>
  <r>
    <x v="0"/>
    <x v="0"/>
    <x v="0"/>
    <x v="2"/>
    <x v="3"/>
    <s v="FIN_GAS"/>
    <x v="0"/>
    <x v="0"/>
    <x v="4"/>
    <x v="0"/>
    <n v="147.82131738030299"/>
    <n v="8992.4634739684207"/>
    <n v="32372.868506286301"/>
  </r>
  <r>
    <x v="0"/>
    <x v="0"/>
    <x v="0"/>
    <x v="2"/>
    <x v="3"/>
    <s v="FIN_GAS"/>
    <x v="0"/>
    <x v="0"/>
    <x v="4"/>
    <x v="1"/>
    <n v="146.03708993160001"/>
    <n v="8883.9229708390194"/>
    <n v="31982.122695020498"/>
  </r>
  <r>
    <x v="0"/>
    <x v="0"/>
    <x v="0"/>
    <x v="2"/>
    <x v="3"/>
    <s v="FIN_GAS"/>
    <x v="0"/>
    <x v="0"/>
    <x v="4"/>
    <x v="2"/>
    <n v="147.11356643606101"/>
    <n v="8949.4086248603799"/>
    <n v="32217.8710494974"/>
  </r>
  <r>
    <x v="0"/>
    <x v="0"/>
    <x v="0"/>
    <x v="2"/>
    <x v="3"/>
    <s v="FIN_GAS"/>
    <x v="0"/>
    <x v="0"/>
    <x v="4"/>
    <x v="3"/>
    <n v="150.49863232673101"/>
    <n v="9155.3334665428192"/>
    <n v="32959.2004795541"/>
  </r>
  <r>
    <x v="0"/>
    <x v="0"/>
    <x v="0"/>
    <x v="2"/>
    <x v="3"/>
    <s v="FIN_GAS"/>
    <x v="0"/>
    <x v="0"/>
    <x v="4"/>
    <x v="4"/>
    <n v="157.222588183548"/>
    <n v="9564.37411449914"/>
    <n v="34431.7468121969"/>
  </r>
  <r>
    <x v="0"/>
    <x v="0"/>
    <x v="0"/>
    <x v="2"/>
    <x v="3"/>
    <s v="FIN_GAS"/>
    <x v="0"/>
    <x v="0"/>
    <x v="4"/>
    <x v="5"/>
    <n v="167.87718314187899"/>
    <n v="10212.528641131001"/>
    <n v="36765.103108071402"/>
  </r>
  <r>
    <x v="0"/>
    <x v="0"/>
    <x v="0"/>
    <x v="2"/>
    <x v="3"/>
    <s v="FIN_GAS"/>
    <x v="0"/>
    <x v="0"/>
    <x v="4"/>
    <x v="6"/>
    <n v="195.17184484862"/>
    <n v="11872.9538949577"/>
    <n v="42742.634021847698"/>
  </r>
  <r>
    <x v="0"/>
    <x v="0"/>
    <x v="0"/>
    <x v="2"/>
    <x v="3"/>
    <s v="FIN_GAS"/>
    <x v="0"/>
    <x v="0"/>
    <x v="4"/>
    <x v="7"/>
    <n v="210.57018602450901"/>
    <n v="12809.686316490999"/>
    <n v="46114.870739367499"/>
  </r>
  <r>
    <x v="0"/>
    <x v="0"/>
    <x v="0"/>
    <x v="2"/>
    <x v="3"/>
    <s v="FIN_GAS"/>
    <x v="0"/>
    <x v="0"/>
    <x v="4"/>
    <x v="8"/>
    <n v="211.872024853"/>
    <n v="12888.881511890801"/>
    <n v="46399.973442807001"/>
  </r>
  <r>
    <x v="0"/>
    <x v="0"/>
    <x v="0"/>
    <x v="2"/>
    <x v="3"/>
    <s v="FIN_GAS"/>
    <x v="0"/>
    <x v="0"/>
    <x v="4"/>
    <x v="9"/>
    <n v="209.83315142722401"/>
    <n v="12764.850045156099"/>
    <n v="45953.460162561998"/>
  </r>
  <r>
    <x v="0"/>
    <x v="0"/>
    <x v="0"/>
    <x v="2"/>
    <x v="3"/>
    <s v="FIN_GAS"/>
    <x v="0"/>
    <x v="0"/>
    <x v="4"/>
    <x v="10"/>
    <n v="202.11790602947201"/>
    <n v="12295.5059501262"/>
    <n v="44263.821420454398"/>
  </r>
  <r>
    <x v="0"/>
    <x v="0"/>
    <x v="0"/>
    <x v="2"/>
    <x v="3"/>
    <s v="FIN_GAS"/>
    <x v="0"/>
    <x v="0"/>
    <x v="4"/>
    <x v="11"/>
    <n v="194.951550224621"/>
    <n v="11859.5526386645"/>
    <n v="42694.389499192097"/>
  </r>
  <r>
    <x v="0"/>
    <x v="0"/>
    <x v="0"/>
    <x v="2"/>
    <x v="3"/>
    <s v="FIN_GAS"/>
    <x v="0"/>
    <x v="0"/>
    <x v="5"/>
    <x v="0"/>
    <n v="126.43189231315399"/>
    <n v="7691.2734490502198"/>
    <n v="27688.584416580801"/>
  </r>
  <r>
    <x v="0"/>
    <x v="0"/>
    <x v="0"/>
    <x v="2"/>
    <x v="3"/>
    <s v="FIN_GAS"/>
    <x v="0"/>
    <x v="0"/>
    <x v="5"/>
    <x v="1"/>
    <n v="124.48543411816399"/>
    <n v="7572.8639088549598"/>
    <n v="27262.310071877801"/>
  </r>
  <r>
    <x v="0"/>
    <x v="0"/>
    <x v="0"/>
    <x v="2"/>
    <x v="3"/>
    <s v="FIN_GAS"/>
    <x v="0"/>
    <x v="0"/>
    <x v="5"/>
    <x v="2"/>
    <n v="124.94551212104901"/>
    <n v="7600.8519873637997"/>
    <n v="27363.067154509699"/>
  </r>
  <r>
    <x v="0"/>
    <x v="0"/>
    <x v="0"/>
    <x v="2"/>
    <x v="3"/>
    <s v="FIN_GAS"/>
    <x v="0"/>
    <x v="0"/>
    <x v="5"/>
    <x v="3"/>
    <n v="126.542434117292"/>
    <n v="7697.9980754686003"/>
    <n v="27712.793071686901"/>
  </r>
  <r>
    <x v="0"/>
    <x v="0"/>
    <x v="0"/>
    <x v="2"/>
    <x v="3"/>
    <s v="FIN_GAS"/>
    <x v="0"/>
    <x v="0"/>
    <x v="5"/>
    <x v="4"/>
    <n v="131.044896175378"/>
    <n v="7971.89785066885"/>
    <n v="28698.832262407799"/>
  </r>
  <r>
    <x v="0"/>
    <x v="0"/>
    <x v="0"/>
    <x v="2"/>
    <x v="3"/>
    <s v="FIN_GAS"/>
    <x v="0"/>
    <x v="0"/>
    <x v="5"/>
    <x v="5"/>
    <n v="140.855762504718"/>
    <n v="8568.7255523703607"/>
    <n v="30847.411988533298"/>
  </r>
  <r>
    <x v="0"/>
    <x v="0"/>
    <x v="0"/>
    <x v="2"/>
    <x v="3"/>
    <s v="FIN_GAS"/>
    <x v="0"/>
    <x v="0"/>
    <x v="5"/>
    <x v="6"/>
    <n v="164.37758005458701"/>
    <n v="9999.63611998737"/>
    <n v="35998.690031954502"/>
  </r>
  <r>
    <x v="0"/>
    <x v="0"/>
    <x v="0"/>
    <x v="2"/>
    <x v="3"/>
    <s v="FIN_GAS"/>
    <x v="0"/>
    <x v="0"/>
    <x v="5"/>
    <x v="7"/>
    <n v="177.32264737438399"/>
    <n v="10787.127715275001"/>
    <n v="38833.659774990098"/>
  </r>
  <r>
    <x v="0"/>
    <x v="0"/>
    <x v="0"/>
    <x v="2"/>
    <x v="3"/>
    <s v="FIN_GAS"/>
    <x v="0"/>
    <x v="0"/>
    <x v="5"/>
    <x v="8"/>
    <n v="177.13204165135301"/>
    <n v="10775.5325337906"/>
    <n v="38791.9171216463"/>
  </r>
  <r>
    <x v="0"/>
    <x v="0"/>
    <x v="0"/>
    <x v="2"/>
    <x v="3"/>
    <s v="FIN_GAS"/>
    <x v="0"/>
    <x v="0"/>
    <x v="5"/>
    <x v="9"/>
    <n v="173.91497962840299"/>
    <n v="10579.827927394501"/>
    <n v="38087.380538620302"/>
  </r>
  <r>
    <x v="0"/>
    <x v="0"/>
    <x v="0"/>
    <x v="2"/>
    <x v="3"/>
    <s v="FIN_GAS"/>
    <x v="0"/>
    <x v="0"/>
    <x v="5"/>
    <x v="10"/>
    <n v="168.811138881029"/>
    <n v="10269.344281929199"/>
    <n v="36969.639414945203"/>
  </r>
  <r>
    <x v="0"/>
    <x v="0"/>
    <x v="0"/>
    <x v="2"/>
    <x v="3"/>
    <s v="FIN_GAS"/>
    <x v="0"/>
    <x v="0"/>
    <x v="5"/>
    <x v="11"/>
    <n v="165.67870575999601"/>
    <n v="10078.7879337331"/>
    <n v="36283.636561439103"/>
  </r>
  <r>
    <x v="0"/>
    <x v="0"/>
    <x v="0"/>
    <x v="2"/>
    <x v="3"/>
    <s v="FIN_GAS"/>
    <x v="0"/>
    <x v="0"/>
    <x v="6"/>
    <x v="0"/>
    <n v="115.480106577649"/>
    <n v="7025.0398168070096"/>
    <n v="25290.143340505201"/>
  </r>
  <r>
    <x v="0"/>
    <x v="0"/>
    <x v="0"/>
    <x v="2"/>
    <x v="3"/>
    <s v="FIN_GAS"/>
    <x v="0"/>
    <x v="0"/>
    <x v="6"/>
    <x v="1"/>
    <n v="114.947501308041"/>
    <n v="6992.6396629058399"/>
    <n v="25173.502786460998"/>
  </r>
  <r>
    <x v="0"/>
    <x v="0"/>
    <x v="0"/>
    <x v="2"/>
    <x v="3"/>
    <s v="FIN_GAS"/>
    <x v="0"/>
    <x v="0"/>
    <x v="6"/>
    <x v="2"/>
    <n v="115.63789386196601"/>
    <n v="7034.6385432695797"/>
    <n v="25324.6987557705"/>
  </r>
  <r>
    <x v="0"/>
    <x v="0"/>
    <x v="0"/>
    <x v="2"/>
    <x v="3"/>
    <s v="FIN_GAS"/>
    <x v="0"/>
    <x v="0"/>
    <x v="6"/>
    <x v="3"/>
    <n v="118.766347325485"/>
    <n v="7224.9527956336497"/>
    <n v="26009.830064281101"/>
  </r>
  <r>
    <x v="0"/>
    <x v="0"/>
    <x v="0"/>
    <x v="2"/>
    <x v="3"/>
    <s v="FIN_GAS"/>
    <x v="0"/>
    <x v="0"/>
    <x v="6"/>
    <x v="4"/>
    <n v="124.82593313887"/>
    <n v="7593.5775992812796"/>
    <n v="27336.879357412599"/>
  </r>
  <r>
    <x v="0"/>
    <x v="0"/>
    <x v="0"/>
    <x v="2"/>
    <x v="3"/>
    <s v="FIN_GAS"/>
    <x v="0"/>
    <x v="0"/>
    <x v="6"/>
    <x v="5"/>
    <n v="136.132509228613"/>
    <n v="8281.3943114072899"/>
    <n v="29813.019521066199"/>
  </r>
  <r>
    <x v="0"/>
    <x v="0"/>
    <x v="0"/>
    <x v="2"/>
    <x v="3"/>
    <s v="FIN_GAS"/>
    <x v="0"/>
    <x v="0"/>
    <x v="6"/>
    <x v="6"/>
    <n v="160.087170157976"/>
    <n v="9738.63618461023"/>
    <n v="35059.090264596802"/>
  </r>
  <r>
    <x v="0"/>
    <x v="0"/>
    <x v="0"/>
    <x v="2"/>
    <x v="3"/>
    <s v="FIN_GAS"/>
    <x v="0"/>
    <x v="0"/>
    <x v="6"/>
    <x v="7"/>
    <n v="173.278753475234"/>
    <n v="10541.1241697434"/>
    <n v="37948.047011076298"/>
  </r>
  <r>
    <x v="0"/>
    <x v="0"/>
    <x v="0"/>
    <x v="2"/>
    <x v="3"/>
    <s v="FIN_GAS"/>
    <x v="0"/>
    <x v="0"/>
    <x v="6"/>
    <x v="8"/>
    <n v="174.51566391839501"/>
    <n v="10616.369555035701"/>
    <n v="38218.930398128497"/>
  </r>
  <r>
    <x v="0"/>
    <x v="0"/>
    <x v="0"/>
    <x v="2"/>
    <x v="3"/>
    <s v="FIN_GAS"/>
    <x v="0"/>
    <x v="0"/>
    <x v="6"/>
    <x v="9"/>
    <n v="172.866956103603"/>
    <n v="10516.0731629692"/>
    <n v="37857.863386689001"/>
  </r>
  <r>
    <x v="0"/>
    <x v="0"/>
    <x v="0"/>
    <x v="2"/>
    <x v="3"/>
    <s v="FIN_GAS"/>
    <x v="0"/>
    <x v="0"/>
    <x v="6"/>
    <x v="10"/>
    <n v="168.442722870876"/>
    <n v="10246.932307978301"/>
    <n v="36888.956308721899"/>
  </r>
  <r>
    <x v="0"/>
    <x v="0"/>
    <x v="0"/>
    <x v="2"/>
    <x v="3"/>
    <s v="FIN_GAS"/>
    <x v="0"/>
    <x v="0"/>
    <x v="6"/>
    <x v="11"/>
    <n v="165.79935268256"/>
    <n v="10086.1272881891"/>
    <n v="36310.058237480604"/>
  </r>
  <r>
    <x v="0"/>
    <x v="0"/>
    <x v="0"/>
    <x v="2"/>
    <x v="3"/>
    <s v="FIN_GAS"/>
    <x v="0"/>
    <x v="0"/>
    <x v="7"/>
    <x v="0"/>
    <n v="97.653619607560998"/>
    <n v="5940.5951927933002"/>
    <n v="21386.142694055899"/>
  </r>
  <r>
    <x v="0"/>
    <x v="0"/>
    <x v="0"/>
    <x v="2"/>
    <x v="3"/>
    <s v="FIN_GAS"/>
    <x v="0"/>
    <x v="0"/>
    <x v="7"/>
    <x v="1"/>
    <n v="97.479101711611506"/>
    <n v="5929.9786874563697"/>
    <n v="21347.923274842899"/>
  </r>
  <r>
    <x v="0"/>
    <x v="0"/>
    <x v="0"/>
    <x v="2"/>
    <x v="3"/>
    <s v="FIN_GAS"/>
    <x v="0"/>
    <x v="0"/>
    <x v="7"/>
    <x v="2"/>
    <n v="97.697774633666796"/>
    <n v="5943.2812902147298"/>
    <n v="21395.812644772999"/>
  </r>
  <r>
    <x v="0"/>
    <x v="0"/>
    <x v="0"/>
    <x v="2"/>
    <x v="3"/>
    <s v="FIN_GAS"/>
    <x v="0"/>
    <x v="0"/>
    <x v="7"/>
    <x v="3"/>
    <n v="100.328380287727"/>
    <n v="6103.3098008367497"/>
    <n v="21971.915283012298"/>
  </r>
  <r>
    <x v="0"/>
    <x v="0"/>
    <x v="0"/>
    <x v="2"/>
    <x v="3"/>
    <s v="FIN_GAS"/>
    <x v="0"/>
    <x v="0"/>
    <x v="7"/>
    <x v="4"/>
    <n v="105.684940793095"/>
    <n v="6429.1672315799397"/>
    <n v="23145.002033687801"/>
  </r>
  <r>
    <x v="0"/>
    <x v="0"/>
    <x v="0"/>
    <x v="2"/>
    <x v="3"/>
    <s v="FIN_GAS"/>
    <x v="0"/>
    <x v="0"/>
    <x v="7"/>
    <x v="5"/>
    <n v="117.163642139137"/>
    <n v="7127.4548967975097"/>
    <n v="25658.837628470999"/>
  </r>
  <r>
    <x v="0"/>
    <x v="0"/>
    <x v="0"/>
    <x v="2"/>
    <x v="3"/>
    <s v="FIN_GAS"/>
    <x v="0"/>
    <x v="0"/>
    <x v="7"/>
    <x v="6"/>
    <n v="138.87466028511901"/>
    <n v="8448.2085006780508"/>
    <n v="30413.550602440999"/>
  </r>
  <r>
    <x v="0"/>
    <x v="0"/>
    <x v="0"/>
    <x v="2"/>
    <x v="3"/>
    <s v="FIN_GAS"/>
    <x v="0"/>
    <x v="0"/>
    <x v="7"/>
    <x v="7"/>
    <n v="150.491414607498"/>
    <n v="9154.8943886228208"/>
    <n v="32957.619799042201"/>
  </r>
  <r>
    <x v="0"/>
    <x v="0"/>
    <x v="0"/>
    <x v="2"/>
    <x v="3"/>
    <s v="FIN_GAS"/>
    <x v="0"/>
    <x v="0"/>
    <x v="7"/>
    <x v="8"/>
    <n v="151.46529076559099"/>
    <n v="9214.1385215734208"/>
    <n v="33170.8986776643"/>
  </r>
  <r>
    <x v="0"/>
    <x v="0"/>
    <x v="0"/>
    <x v="2"/>
    <x v="3"/>
    <s v="FIN_GAS"/>
    <x v="0"/>
    <x v="0"/>
    <x v="7"/>
    <x v="9"/>
    <n v="148.62471796132701"/>
    <n v="9041.3370093140602"/>
    <n v="32548.8132335306"/>
  </r>
  <r>
    <x v="0"/>
    <x v="0"/>
    <x v="0"/>
    <x v="2"/>
    <x v="3"/>
    <s v="FIN_GAS"/>
    <x v="0"/>
    <x v="0"/>
    <x v="7"/>
    <x v="10"/>
    <n v="145.43862052676999"/>
    <n v="8847.5160820451692"/>
    <n v="31851.057895362599"/>
  </r>
  <r>
    <x v="0"/>
    <x v="0"/>
    <x v="0"/>
    <x v="2"/>
    <x v="3"/>
    <s v="FIN_GAS"/>
    <x v="0"/>
    <x v="0"/>
    <x v="7"/>
    <x v="11"/>
    <n v="143.612331620345"/>
    <n v="8736.4168402376308"/>
    <n v="31451.100624855499"/>
  </r>
  <r>
    <x v="0"/>
    <x v="0"/>
    <x v="0"/>
    <x v="2"/>
    <x v="3"/>
    <s v="FIN_GAS"/>
    <x v="0"/>
    <x v="0"/>
    <x v="8"/>
    <x v="0"/>
    <n v="123.16149556871"/>
    <n v="7492.3243137631798"/>
    <n v="26972.367529547399"/>
  </r>
  <r>
    <x v="0"/>
    <x v="0"/>
    <x v="0"/>
    <x v="2"/>
    <x v="3"/>
    <s v="FIN_GAS"/>
    <x v="0"/>
    <x v="0"/>
    <x v="8"/>
    <x v="1"/>
    <n v="123.34611261271"/>
    <n v="7503.5551839398304"/>
    <n v="27012.798662183399"/>
  </r>
  <r>
    <x v="0"/>
    <x v="0"/>
    <x v="0"/>
    <x v="2"/>
    <x v="3"/>
    <s v="FIN_GAS"/>
    <x v="0"/>
    <x v="0"/>
    <x v="8"/>
    <x v="2"/>
    <n v="124.76834517098099"/>
    <n v="7590.0743312346804"/>
    <n v="27324.267592444899"/>
  </r>
  <r>
    <x v="0"/>
    <x v="0"/>
    <x v="0"/>
    <x v="2"/>
    <x v="3"/>
    <s v="FIN_GAS"/>
    <x v="0"/>
    <x v="0"/>
    <x v="8"/>
    <x v="3"/>
    <n v="126.974179853688"/>
    <n v="7724.2626077660398"/>
    <n v="27807.345387957699"/>
  </r>
  <r>
    <x v="0"/>
    <x v="0"/>
    <x v="0"/>
    <x v="2"/>
    <x v="3"/>
    <s v="FIN_GAS"/>
    <x v="0"/>
    <x v="0"/>
    <x v="8"/>
    <x v="4"/>
    <n v="132.69709090306"/>
    <n v="8072.4063632694697"/>
    <n v="29060.6629077701"/>
  </r>
  <r>
    <x v="0"/>
    <x v="0"/>
    <x v="0"/>
    <x v="2"/>
    <x v="3"/>
    <s v="FIN_GAS"/>
    <x v="0"/>
    <x v="0"/>
    <x v="8"/>
    <x v="5"/>
    <n v="142.39021043551301"/>
    <n v="8662.0711348270397"/>
    <n v="31183.4560853773"/>
  </r>
  <r>
    <x v="0"/>
    <x v="0"/>
    <x v="0"/>
    <x v="2"/>
    <x v="3"/>
    <s v="FIN_GAS"/>
    <x v="0"/>
    <x v="0"/>
    <x v="8"/>
    <x v="6"/>
    <n v="167.18691476602999"/>
    <n v="10170.537314933499"/>
    <n v="36613.934333760502"/>
  </r>
  <r>
    <x v="0"/>
    <x v="0"/>
    <x v="0"/>
    <x v="2"/>
    <x v="3"/>
    <s v="FIN_GAS"/>
    <x v="0"/>
    <x v="0"/>
    <x v="8"/>
    <x v="7"/>
    <n v="178.40006939952201"/>
    <n v="10852.670888470901"/>
    <n v="39069.615198495398"/>
  </r>
  <r>
    <x v="0"/>
    <x v="0"/>
    <x v="0"/>
    <x v="2"/>
    <x v="3"/>
    <s v="FIN_GAS"/>
    <x v="0"/>
    <x v="0"/>
    <x v="8"/>
    <x v="8"/>
    <n v="175.49400317078201"/>
    <n v="10675.8851928892"/>
    <n v="38433.1866944012"/>
  </r>
  <r>
    <x v="0"/>
    <x v="0"/>
    <x v="0"/>
    <x v="2"/>
    <x v="3"/>
    <s v="FIN_GAS"/>
    <x v="0"/>
    <x v="0"/>
    <x v="8"/>
    <x v="9"/>
    <n v="167.55772371109001"/>
    <n v="10193.094859091299"/>
    <n v="36695.141492728697"/>
  </r>
  <r>
    <x v="0"/>
    <x v="0"/>
    <x v="0"/>
    <x v="2"/>
    <x v="3"/>
    <s v="FIN_GAS"/>
    <x v="0"/>
    <x v="0"/>
    <x v="8"/>
    <x v="10"/>
    <n v="158.596998338986"/>
    <n v="9647.9840656216493"/>
    <n v="34732.742636237897"/>
  </r>
  <r>
    <x v="0"/>
    <x v="0"/>
    <x v="0"/>
    <x v="2"/>
    <x v="3"/>
    <s v="FIN_GAS"/>
    <x v="0"/>
    <x v="0"/>
    <x v="8"/>
    <x v="11"/>
    <n v="151.41517401236899"/>
    <n v="9211.0897524190896"/>
    <n v="33159.923108708703"/>
  </r>
  <r>
    <x v="0"/>
    <x v="0"/>
    <x v="0"/>
    <x v="2"/>
    <x v="3"/>
    <s v="FIN_GAS"/>
    <x v="0"/>
    <x v="0"/>
    <x v="9"/>
    <x v="0"/>
    <n v="124.06903441986501"/>
    <n v="7547.53292720844"/>
    <n v="27171.118537950399"/>
  </r>
  <r>
    <x v="0"/>
    <x v="0"/>
    <x v="0"/>
    <x v="2"/>
    <x v="3"/>
    <s v="FIN_GAS"/>
    <x v="0"/>
    <x v="0"/>
    <x v="9"/>
    <x v="1"/>
    <n v="125.500731009048"/>
    <n v="7634.62780305045"/>
    <n v="27484.660090981601"/>
  </r>
  <r>
    <x v="0"/>
    <x v="0"/>
    <x v="0"/>
    <x v="2"/>
    <x v="3"/>
    <s v="FIN_GAS"/>
    <x v="0"/>
    <x v="0"/>
    <x v="9"/>
    <x v="2"/>
    <n v="128.407348219645"/>
    <n v="7811.4470166950896"/>
    <n v="28121.2092601023"/>
  </r>
  <r>
    <x v="0"/>
    <x v="0"/>
    <x v="0"/>
    <x v="2"/>
    <x v="3"/>
    <s v="FIN_GAS"/>
    <x v="0"/>
    <x v="0"/>
    <x v="9"/>
    <x v="3"/>
    <n v="130.93207689425901"/>
    <n v="7965.0346777341201"/>
    <n v="28674.1248398428"/>
  </r>
  <r>
    <x v="0"/>
    <x v="0"/>
    <x v="0"/>
    <x v="2"/>
    <x v="3"/>
    <s v="FIN_GAS"/>
    <x v="0"/>
    <x v="0"/>
    <x v="9"/>
    <x v="4"/>
    <n v="136.95298058593099"/>
    <n v="8331.3063189774603"/>
    <n v="29992.702748318901"/>
  </r>
  <r>
    <x v="0"/>
    <x v="0"/>
    <x v="0"/>
    <x v="2"/>
    <x v="3"/>
    <s v="FIN_GAS"/>
    <x v="0"/>
    <x v="0"/>
    <x v="9"/>
    <x v="5"/>
    <n v="147.004887453056"/>
    <n v="8942.7973200608994"/>
    <n v="32194.070352219202"/>
  </r>
  <r>
    <x v="0"/>
    <x v="0"/>
    <x v="0"/>
    <x v="2"/>
    <x v="3"/>
    <s v="FIN_GAS"/>
    <x v="0"/>
    <x v="0"/>
    <x v="9"/>
    <x v="6"/>
    <n v="172.15907802269999"/>
    <n v="10473.010579714301"/>
    <n v="37702.838086971402"/>
  </r>
  <r>
    <x v="0"/>
    <x v="0"/>
    <x v="0"/>
    <x v="2"/>
    <x v="3"/>
    <s v="FIN_GAS"/>
    <x v="0"/>
    <x v="0"/>
    <x v="9"/>
    <x v="7"/>
    <n v="181.43305790231099"/>
    <n v="11037.1776890572"/>
    <n v="39733.839680606099"/>
  </r>
  <r>
    <x v="0"/>
    <x v="0"/>
    <x v="0"/>
    <x v="2"/>
    <x v="3"/>
    <s v="FIN_GAS"/>
    <x v="0"/>
    <x v="0"/>
    <x v="9"/>
    <x v="8"/>
    <n v="176.040658557673"/>
    <n v="10709.140062258401"/>
    <n v="38552.904224130303"/>
  </r>
  <r>
    <x v="0"/>
    <x v="0"/>
    <x v="0"/>
    <x v="2"/>
    <x v="3"/>
    <s v="FIN_GAS"/>
    <x v="0"/>
    <x v="0"/>
    <x v="9"/>
    <x v="9"/>
    <n v="164.66217540509101"/>
    <n v="10016.949003809699"/>
    <n v="36061.016413714999"/>
  </r>
  <r>
    <x v="0"/>
    <x v="0"/>
    <x v="0"/>
    <x v="2"/>
    <x v="3"/>
    <s v="FIN_GAS"/>
    <x v="0"/>
    <x v="0"/>
    <x v="9"/>
    <x v="10"/>
    <n v="153.286744963198"/>
    <n v="9324.9436519279097"/>
    <n v="33569.797146940502"/>
  </r>
  <r>
    <x v="0"/>
    <x v="0"/>
    <x v="0"/>
    <x v="2"/>
    <x v="3"/>
    <s v="FIN_GAS"/>
    <x v="0"/>
    <x v="0"/>
    <x v="9"/>
    <x v="11"/>
    <n v="146.18733274018601"/>
    <n v="8893.0627416946299"/>
    <n v="32015.025870100701"/>
  </r>
  <r>
    <x v="0"/>
    <x v="0"/>
    <x v="0"/>
    <x v="2"/>
    <x v="3"/>
    <s v="FIN_GAS"/>
    <x v="0"/>
    <x v="0"/>
    <x v="10"/>
    <x v="0"/>
    <n v="70.407960606750905"/>
    <n v="4283.1509369106798"/>
    <n v="15419.3433728784"/>
  </r>
  <r>
    <x v="0"/>
    <x v="0"/>
    <x v="0"/>
    <x v="2"/>
    <x v="3"/>
    <s v="FIN_GAS"/>
    <x v="0"/>
    <x v="0"/>
    <x v="10"/>
    <x v="1"/>
    <n v="70.374914906744294"/>
    <n v="4281.1406568269504"/>
    <n v="15412.106364576999"/>
  </r>
  <r>
    <x v="0"/>
    <x v="0"/>
    <x v="0"/>
    <x v="2"/>
    <x v="3"/>
    <s v="FIN_GAS"/>
    <x v="0"/>
    <x v="0"/>
    <x v="10"/>
    <x v="2"/>
    <n v="68.7366760988523"/>
    <n v="4181.4811293468501"/>
    <n v="15053.332065648599"/>
  </r>
  <r>
    <x v="0"/>
    <x v="0"/>
    <x v="0"/>
    <x v="2"/>
    <x v="3"/>
    <s v="FIN_GAS"/>
    <x v="0"/>
    <x v="0"/>
    <x v="10"/>
    <x v="3"/>
    <n v="70.261298344224699"/>
    <n v="4274.228982607"/>
    <n v="15387.2243373852"/>
  </r>
  <r>
    <x v="0"/>
    <x v="0"/>
    <x v="0"/>
    <x v="2"/>
    <x v="3"/>
    <s v="FIN_GAS"/>
    <x v="0"/>
    <x v="0"/>
    <x v="10"/>
    <x v="4"/>
    <n v="72.881021926097205"/>
    <n v="4433.5955005042497"/>
    <n v="15960.9438018153"/>
  </r>
  <r>
    <x v="0"/>
    <x v="0"/>
    <x v="0"/>
    <x v="2"/>
    <x v="3"/>
    <s v="FIN_GAS"/>
    <x v="0"/>
    <x v="0"/>
    <x v="10"/>
    <x v="5"/>
    <n v="81.831375234877299"/>
    <n v="4978.0753267883701"/>
    <n v="17921.071176438101"/>
  </r>
  <r>
    <x v="0"/>
    <x v="0"/>
    <x v="0"/>
    <x v="2"/>
    <x v="3"/>
    <s v="FIN_GAS"/>
    <x v="0"/>
    <x v="0"/>
    <x v="10"/>
    <x v="6"/>
    <n v="98.280528386514803"/>
    <n v="5978.7321435129898"/>
    <n v="21523.435716646702"/>
  </r>
  <r>
    <x v="0"/>
    <x v="0"/>
    <x v="0"/>
    <x v="2"/>
    <x v="3"/>
    <s v="FIN_GAS"/>
    <x v="0"/>
    <x v="0"/>
    <x v="10"/>
    <x v="7"/>
    <n v="102.410428753532"/>
    <n v="6229.9677491732"/>
    <n v="22427.883897023501"/>
  </r>
  <r>
    <x v="0"/>
    <x v="0"/>
    <x v="0"/>
    <x v="2"/>
    <x v="3"/>
    <s v="FIN_GAS"/>
    <x v="0"/>
    <x v="0"/>
    <x v="10"/>
    <x v="8"/>
    <n v="96.218984716856895"/>
    <n v="5853.3215702754596"/>
    <n v="21071.957652991699"/>
  </r>
  <r>
    <x v="0"/>
    <x v="0"/>
    <x v="0"/>
    <x v="2"/>
    <x v="3"/>
    <s v="FIN_GAS"/>
    <x v="0"/>
    <x v="0"/>
    <x v="10"/>
    <x v="9"/>
    <n v="90.022667052555803"/>
    <n v="5476.3789123638098"/>
    <n v="19714.964084509698"/>
  </r>
  <r>
    <x v="0"/>
    <x v="0"/>
    <x v="0"/>
    <x v="2"/>
    <x v="3"/>
    <s v="FIN_GAS"/>
    <x v="0"/>
    <x v="0"/>
    <x v="10"/>
    <x v="10"/>
    <n v="85.2728144528229"/>
    <n v="5187.4295458800598"/>
    <n v="18674.746365168201"/>
  </r>
  <r>
    <x v="0"/>
    <x v="0"/>
    <x v="0"/>
    <x v="2"/>
    <x v="3"/>
    <s v="FIN_GAS"/>
    <x v="0"/>
    <x v="0"/>
    <x v="10"/>
    <x v="11"/>
    <n v="82.923604868661997"/>
    <n v="5044.5192961769399"/>
    <n v="18160.269466237001"/>
  </r>
  <r>
    <x v="0"/>
    <x v="0"/>
    <x v="0"/>
    <x v="2"/>
    <x v="3"/>
    <s v="FIN_GAS"/>
    <x v="0"/>
    <x v="0"/>
    <x v="11"/>
    <x v="0"/>
    <n v="79.413592581788905"/>
    <n v="4830.9935487254897"/>
    <n v="17391.576775411799"/>
  </r>
  <r>
    <x v="0"/>
    <x v="0"/>
    <x v="0"/>
    <x v="2"/>
    <x v="3"/>
    <s v="FIN_GAS"/>
    <x v="0"/>
    <x v="0"/>
    <x v="11"/>
    <x v="1"/>
    <n v="79.985102255131295"/>
    <n v="4865.7603871871597"/>
    <n v="17516.737393873798"/>
  </r>
  <r>
    <x v="0"/>
    <x v="0"/>
    <x v="0"/>
    <x v="2"/>
    <x v="3"/>
    <s v="FIN_GAS"/>
    <x v="0"/>
    <x v="0"/>
    <x v="11"/>
    <x v="2"/>
    <n v="79.929005644629001"/>
    <n v="4862.3478433815999"/>
    <n v="17504.452236173802"/>
  </r>
  <r>
    <x v="0"/>
    <x v="0"/>
    <x v="0"/>
    <x v="2"/>
    <x v="3"/>
    <s v="FIN_GAS"/>
    <x v="0"/>
    <x v="0"/>
    <x v="11"/>
    <x v="3"/>
    <n v="82.392941242223003"/>
    <n v="5012.2372589018996"/>
    <n v="18044.0541320468"/>
  </r>
  <r>
    <x v="0"/>
    <x v="0"/>
    <x v="0"/>
    <x v="2"/>
    <x v="3"/>
    <s v="FIN_GAS"/>
    <x v="0"/>
    <x v="0"/>
    <x v="11"/>
    <x v="4"/>
    <n v="85.916868259476203"/>
    <n v="5226.6094857848102"/>
    <n v="18815.794148825302"/>
  </r>
  <r>
    <x v="0"/>
    <x v="0"/>
    <x v="0"/>
    <x v="2"/>
    <x v="3"/>
    <s v="FIN_GAS"/>
    <x v="0"/>
    <x v="0"/>
    <x v="11"/>
    <x v="5"/>
    <n v="95.061088322057302"/>
    <n v="5782.88287292515"/>
    <n v="20818.378342530501"/>
  </r>
  <r>
    <x v="0"/>
    <x v="0"/>
    <x v="0"/>
    <x v="2"/>
    <x v="3"/>
    <s v="FIN_GAS"/>
    <x v="0"/>
    <x v="0"/>
    <x v="11"/>
    <x v="6"/>
    <n v="113.499290792921"/>
    <n v="6904.5401899026801"/>
    <n v="24856.344683649699"/>
  </r>
  <r>
    <x v="0"/>
    <x v="0"/>
    <x v="0"/>
    <x v="2"/>
    <x v="3"/>
    <s v="FIN_GAS"/>
    <x v="0"/>
    <x v="0"/>
    <x v="11"/>
    <x v="7"/>
    <n v="120.24465547334999"/>
    <n v="7314.8832079620997"/>
    <n v="26333.5795486635"/>
  </r>
  <r>
    <x v="0"/>
    <x v="0"/>
    <x v="0"/>
    <x v="2"/>
    <x v="3"/>
    <s v="FIN_GAS"/>
    <x v="0"/>
    <x v="0"/>
    <x v="11"/>
    <x v="8"/>
    <n v="117.041258691027"/>
    <n v="7120.00990370415"/>
    <n v="25632.035653334999"/>
  </r>
  <r>
    <x v="0"/>
    <x v="0"/>
    <x v="0"/>
    <x v="2"/>
    <x v="3"/>
    <s v="FIN_GAS"/>
    <x v="0"/>
    <x v="0"/>
    <x v="11"/>
    <x v="9"/>
    <n v="111.73887363523799"/>
    <n v="6797.4481461436399"/>
    <n v="24470.813326117099"/>
  </r>
  <r>
    <x v="0"/>
    <x v="0"/>
    <x v="0"/>
    <x v="2"/>
    <x v="3"/>
    <s v="FIN_GAS"/>
    <x v="0"/>
    <x v="0"/>
    <x v="11"/>
    <x v="10"/>
    <n v="105.70526179213201"/>
    <n v="6430.4034256880004"/>
    <n v="23149.452332476802"/>
  </r>
  <r>
    <x v="0"/>
    <x v="0"/>
    <x v="0"/>
    <x v="2"/>
    <x v="3"/>
    <s v="FIN_GAS"/>
    <x v="0"/>
    <x v="0"/>
    <x v="11"/>
    <x v="11"/>
    <n v="103.04030657910801"/>
    <n v="6268.2853168957599"/>
    <n v="22565.827140824698"/>
  </r>
  <r>
    <x v="0"/>
    <x v="0"/>
    <x v="0"/>
    <x v="2"/>
    <x v="3"/>
    <s v="FIN_HELS"/>
    <x v="0"/>
    <x v="0"/>
    <x v="0"/>
    <x v="0"/>
    <n v="756.98325922455103"/>
    <n v="46049.814936160197"/>
    <n v="165779.33377017701"/>
  </r>
  <r>
    <x v="0"/>
    <x v="0"/>
    <x v="0"/>
    <x v="2"/>
    <x v="3"/>
    <s v="FIN_HELS"/>
    <x v="0"/>
    <x v="0"/>
    <x v="0"/>
    <x v="1"/>
    <n v="749.68924565254304"/>
    <n v="45606.095777196402"/>
    <n v="164181.944797907"/>
  </r>
  <r>
    <x v="0"/>
    <x v="0"/>
    <x v="0"/>
    <x v="2"/>
    <x v="3"/>
    <s v="FIN_HELS"/>
    <x v="0"/>
    <x v="0"/>
    <x v="0"/>
    <x v="2"/>
    <n v="744.212868581311"/>
    <n v="45272.949505363104"/>
    <n v="162982.61821930701"/>
  </r>
  <r>
    <x v="0"/>
    <x v="0"/>
    <x v="0"/>
    <x v="2"/>
    <x v="3"/>
    <s v="FIN_HELS"/>
    <x v="0"/>
    <x v="0"/>
    <x v="0"/>
    <x v="3"/>
    <n v="750.13733009611201"/>
    <n v="45633.354247513496"/>
    <n v="164280.075291049"/>
  </r>
  <r>
    <x v="0"/>
    <x v="0"/>
    <x v="0"/>
    <x v="2"/>
    <x v="3"/>
    <s v="FIN_HELS"/>
    <x v="0"/>
    <x v="0"/>
    <x v="0"/>
    <x v="4"/>
    <n v="769.37707231461798"/>
    <n v="46803.771899139298"/>
    <n v="168493.578836901"/>
  </r>
  <r>
    <x v="0"/>
    <x v="0"/>
    <x v="0"/>
    <x v="2"/>
    <x v="3"/>
    <s v="FIN_HELS"/>
    <x v="0"/>
    <x v="0"/>
    <x v="0"/>
    <x v="5"/>
    <n v="844.00219802387903"/>
    <n v="51343.467046452599"/>
    <n v="184836.48136722899"/>
  </r>
  <r>
    <x v="0"/>
    <x v="0"/>
    <x v="0"/>
    <x v="2"/>
    <x v="3"/>
    <s v="FIN_HELS"/>
    <x v="0"/>
    <x v="0"/>
    <x v="0"/>
    <x v="6"/>
    <n v="1000.0858538682"/>
    <n v="60838.556110315403"/>
    <n v="219018.801997136"/>
  </r>
  <r>
    <x v="0"/>
    <x v="0"/>
    <x v="0"/>
    <x v="2"/>
    <x v="3"/>
    <s v="FIN_HELS"/>
    <x v="0"/>
    <x v="0"/>
    <x v="0"/>
    <x v="7"/>
    <n v="1071.05659112325"/>
    <n v="65155.942626664197"/>
    <n v="234561.393455991"/>
  </r>
  <r>
    <x v="0"/>
    <x v="0"/>
    <x v="0"/>
    <x v="2"/>
    <x v="3"/>
    <s v="FIN_HELS"/>
    <x v="0"/>
    <x v="0"/>
    <x v="0"/>
    <x v="8"/>
    <n v="1063.7973706525399"/>
    <n v="64714.340048029699"/>
    <n v="232971.624172907"/>
  </r>
  <r>
    <x v="0"/>
    <x v="0"/>
    <x v="0"/>
    <x v="2"/>
    <x v="3"/>
    <s v="FIN_HELS"/>
    <x v="0"/>
    <x v="0"/>
    <x v="0"/>
    <x v="9"/>
    <n v="1041.47487045555"/>
    <n v="63356.387952712503"/>
    <n v="228082.996629765"/>
  </r>
  <r>
    <x v="0"/>
    <x v="0"/>
    <x v="0"/>
    <x v="2"/>
    <x v="3"/>
    <s v="FIN_HELS"/>
    <x v="0"/>
    <x v="0"/>
    <x v="0"/>
    <x v="10"/>
    <n v="1025.65874882158"/>
    <n v="62394.240553313"/>
    <n v="224619.26599192701"/>
  </r>
  <r>
    <x v="0"/>
    <x v="0"/>
    <x v="0"/>
    <x v="2"/>
    <x v="3"/>
    <s v="FIN_HELS"/>
    <x v="0"/>
    <x v="0"/>
    <x v="0"/>
    <x v="11"/>
    <n v="1017.4476247844"/>
    <n v="61894.730507717999"/>
    <n v="222821.02982778501"/>
  </r>
  <r>
    <x v="0"/>
    <x v="0"/>
    <x v="0"/>
    <x v="2"/>
    <x v="3"/>
    <s v="FIN_HELS"/>
    <x v="0"/>
    <x v="0"/>
    <x v="1"/>
    <x v="0"/>
    <n v="976.76799845757296"/>
    <n v="59420.053239502296"/>
    <n v="213912.191662208"/>
  </r>
  <r>
    <x v="0"/>
    <x v="0"/>
    <x v="0"/>
    <x v="2"/>
    <x v="3"/>
    <s v="FIN_HELS"/>
    <x v="0"/>
    <x v="0"/>
    <x v="1"/>
    <x v="1"/>
    <n v="963.38377931041498"/>
    <n v="58605.846574716903"/>
    <n v="210981.04766898099"/>
  </r>
  <r>
    <x v="0"/>
    <x v="0"/>
    <x v="0"/>
    <x v="2"/>
    <x v="3"/>
    <s v="FIN_HELS"/>
    <x v="0"/>
    <x v="0"/>
    <x v="1"/>
    <x v="2"/>
    <n v="965.02790264555802"/>
    <n v="58705.864077604703"/>
    <n v="211341.11067937699"/>
  </r>
  <r>
    <x v="0"/>
    <x v="0"/>
    <x v="0"/>
    <x v="2"/>
    <x v="3"/>
    <s v="FIN_HELS"/>
    <x v="0"/>
    <x v="0"/>
    <x v="1"/>
    <x v="3"/>
    <n v="979.19187767841004"/>
    <n v="59567.505892103298"/>
    <n v="214443.02121157199"/>
  </r>
  <r>
    <x v="0"/>
    <x v="0"/>
    <x v="0"/>
    <x v="2"/>
    <x v="3"/>
    <s v="FIN_HELS"/>
    <x v="0"/>
    <x v="0"/>
    <x v="1"/>
    <x v="4"/>
    <n v="1012.8067062314"/>
    <n v="61612.4079624101"/>
    <n v="221804.66866467599"/>
  </r>
  <r>
    <x v="0"/>
    <x v="0"/>
    <x v="0"/>
    <x v="2"/>
    <x v="3"/>
    <s v="FIN_HELS"/>
    <x v="0"/>
    <x v="0"/>
    <x v="1"/>
    <x v="5"/>
    <n v="1091.5078686922"/>
    <n v="66400.062012108494"/>
    <n v="239040.223243591"/>
  </r>
  <r>
    <x v="0"/>
    <x v="0"/>
    <x v="0"/>
    <x v="2"/>
    <x v="3"/>
    <s v="FIN_HELS"/>
    <x v="0"/>
    <x v="0"/>
    <x v="1"/>
    <x v="6"/>
    <n v="1277.47363112775"/>
    <n v="77712.979226937896"/>
    <n v="279766.72521697602"/>
  </r>
  <r>
    <x v="0"/>
    <x v="0"/>
    <x v="0"/>
    <x v="2"/>
    <x v="3"/>
    <s v="FIN_HELS"/>
    <x v="0"/>
    <x v="0"/>
    <x v="1"/>
    <x v="7"/>
    <n v="1369.10017842766"/>
    <n v="83286.927521016201"/>
    <n v="299832.93907565798"/>
  </r>
  <r>
    <x v="0"/>
    <x v="0"/>
    <x v="0"/>
    <x v="2"/>
    <x v="3"/>
    <s v="FIN_HELS"/>
    <x v="0"/>
    <x v="0"/>
    <x v="1"/>
    <x v="8"/>
    <n v="1361.4396244688701"/>
    <n v="82820.910488523106"/>
    <n v="298155.27775868302"/>
  </r>
  <r>
    <x v="0"/>
    <x v="0"/>
    <x v="0"/>
    <x v="2"/>
    <x v="3"/>
    <s v="FIN_HELS"/>
    <x v="0"/>
    <x v="0"/>
    <x v="1"/>
    <x v="9"/>
    <n v="1332.7299378938999"/>
    <n v="81074.404555212299"/>
    <n v="291867.85639876401"/>
  </r>
  <r>
    <x v="0"/>
    <x v="0"/>
    <x v="0"/>
    <x v="2"/>
    <x v="3"/>
    <s v="FIN_HELS"/>
    <x v="0"/>
    <x v="0"/>
    <x v="1"/>
    <x v="10"/>
    <n v="1289.91570240292"/>
    <n v="78469.871896177894"/>
    <n v="282491.53882623999"/>
  </r>
  <r>
    <x v="0"/>
    <x v="0"/>
    <x v="0"/>
    <x v="2"/>
    <x v="3"/>
    <s v="FIN_HELS"/>
    <x v="0"/>
    <x v="0"/>
    <x v="1"/>
    <x v="11"/>
    <n v="1254.4337618019199"/>
    <n v="76311.387176283504"/>
    <n v="274720.99383462098"/>
  </r>
  <r>
    <x v="0"/>
    <x v="0"/>
    <x v="0"/>
    <x v="2"/>
    <x v="3"/>
    <s v="FIN_HELS"/>
    <x v="0"/>
    <x v="0"/>
    <x v="2"/>
    <x v="0"/>
    <n v="1085.3716839748599"/>
    <n v="66026.777441803803"/>
    <n v="237696.39879049399"/>
  </r>
  <r>
    <x v="0"/>
    <x v="0"/>
    <x v="0"/>
    <x v="2"/>
    <x v="3"/>
    <s v="FIN_HELS"/>
    <x v="0"/>
    <x v="0"/>
    <x v="2"/>
    <x v="1"/>
    <n v="1079.59341142422"/>
    <n v="65675.265861639797"/>
    <n v="236430.95710190301"/>
  </r>
  <r>
    <x v="0"/>
    <x v="0"/>
    <x v="0"/>
    <x v="2"/>
    <x v="3"/>
    <s v="FIN_HELS"/>
    <x v="0"/>
    <x v="0"/>
    <x v="2"/>
    <x v="2"/>
    <n v="1093.90229214738"/>
    <n v="66545.722772298905"/>
    <n v="239564.601980276"/>
  </r>
  <r>
    <x v="0"/>
    <x v="0"/>
    <x v="0"/>
    <x v="2"/>
    <x v="3"/>
    <s v="FIN_HELS"/>
    <x v="0"/>
    <x v="0"/>
    <x v="2"/>
    <x v="3"/>
    <n v="1125.3329049991501"/>
    <n v="68457.751720781496"/>
    <n v="246447.906194813"/>
  </r>
  <r>
    <x v="0"/>
    <x v="0"/>
    <x v="0"/>
    <x v="2"/>
    <x v="3"/>
    <s v="FIN_HELS"/>
    <x v="0"/>
    <x v="0"/>
    <x v="2"/>
    <x v="4"/>
    <n v="1186.3575448987699"/>
    <n v="72170.083981341697"/>
    <n v="259812.30233283"/>
  </r>
  <r>
    <x v="0"/>
    <x v="0"/>
    <x v="0"/>
    <x v="2"/>
    <x v="3"/>
    <s v="FIN_HELS"/>
    <x v="0"/>
    <x v="0"/>
    <x v="2"/>
    <x v="5"/>
    <n v="1286.32966510351"/>
    <n v="78251.721293797105"/>
    <n v="281706.19665767002"/>
  </r>
  <r>
    <x v="0"/>
    <x v="0"/>
    <x v="0"/>
    <x v="2"/>
    <x v="3"/>
    <s v="FIN_HELS"/>
    <x v="0"/>
    <x v="0"/>
    <x v="2"/>
    <x v="6"/>
    <n v="1505.7612638340499"/>
    <n v="91600.476883238196"/>
    <n v="329761.716779657"/>
  </r>
  <r>
    <x v="0"/>
    <x v="0"/>
    <x v="0"/>
    <x v="2"/>
    <x v="3"/>
    <s v="FIN_HELS"/>
    <x v="0"/>
    <x v="0"/>
    <x v="2"/>
    <x v="7"/>
    <n v="1622.72955975896"/>
    <n v="98716.048218670199"/>
    <n v="355377.77358721301"/>
  </r>
  <r>
    <x v="0"/>
    <x v="0"/>
    <x v="0"/>
    <x v="2"/>
    <x v="3"/>
    <s v="FIN_HELS"/>
    <x v="0"/>
    <x v="0"/>
    <x v="2"/>
    <x v="8"/>
    <n v="1619.5338395669801"/>
    <n v="98521.641906991397"/>
    <n v="354677.91086516902"/>
  </r>
  <r>
    <x v="0"/>
    <x v="0"/>
    <x v="0"/>
    <x v="2"/>
    <x v="3"/>
    <s v="FIN_HELS"/>
    <x v="0"/>
    <x v="0"/>
    <x v="2"/>
    <x v="9"/>
    <n v="1592.2184351438"/>
    <n v="96859.954804581503"/>
    <n v="348695.837296493"/>
  </r>
  <r>
    <x v="0"/>
    <x v="0"/>
    <x v="0"/>
    <x v="2"/>
    <x v="3"/>
    <s v="FIN_HELS"/>
    <x v="0"/>
    <x v="0"/>
    <x v="2"/>
    <x v="10"/>
    <n v="1534.6579077900999"/>
    <n v="93358.356057230907"/>
    <n v="336090.081806031"/>
  </r>
  <r>
    <x v="0"/>
    <x v="0"/>
    <x v="0"/>
    <x v="2"/>
    <x v="3"/>
    <s v="FIN_HELS"/>
    <x v="0"/>
    <x v="0"/>
    <x v="2"/>
    <x v="11"/>
    <n v="1486.2119500387"/>
    <n v="90411.226960687607"/>
    <n v="325480.41705847502"/>
  </r>
  <r>
    <x v="0"/>
    <x v="0"/>
    <x v="0"/>
    <x v="2"/>
    <x v="3"/>
    <s v="FIN_HELS"/>
    <x v="0"/>
    <x v="0"/>
    <x v="3"/>
    <x v="0"/>
    <n v="813.35351491377298"/>
    <n v="49479.005490587901"/>
    <n v="178124.41976611601"/>
  </r>
  <r>
    <x v="0"/>
    <x v="0"/>
    <x v="0"/>
    <x v="2"/>
    <x v="3"/>
    <s v="FIN_HELS"/>
    <x v="0"/>
    <x v="0"/>
    <x v="3"/>
    <x v="1"/>
    <n v="806.15793638940295"/>
    <n v="49041.2744636887"/>
    <n v="176548.58806927901"/>
  </r>
  <r>
    <x v="0"/>
    <x v="0"/>
    <x v="0"/>
    <x v="2"/>
    <x v="3"/>
    <s v="FIN_HELS"/>
    <x v="0"/>
    <x v="0"/>
    <x v="3"/>
    <x v="2"/>
    <n v="803.51356730694499"/>
    <n v="48880.408677839201"/>
    <n v="175969.471240221"/>
  </r>
  <r>
    <x v="0"/>
    <x v="0"/>
    <x v="0"/>
    <x v="2"/>
    <x v="3"/>
    <s v="FIN_HELS"/>
    <x v="0"/>
    <x v="0"/>
    <x v="3"/>
    <x v="3"/>
    <n v="812.50617244480304"/>
    <n v="49427.458823725501"/>
    <n v="177938.85176541199"/>
  </r>
  <r>
    <x v="0"/>
    <x v="0"/>
    <x v="0"/>
    <x v="2"/>
    <x v="3"/>
    <s v="FIN_HELS"/>
    <x v="0"/>
    <x v="0"/>
    <x v="3"/>
    <x v="4"/>
    <n v="837.61422998814999"/>
    <n v="50954.865657612398"/>
    <n v="183437.51636740501"/>
  </r>
  <r>
    <x v="0"/>
    <x v="0"/>
    <x v="0"/>
    <x v="2"/>
    <x v="3"/>
    <s v="FIN_HELS"/>
    <x v="0"/>
    <x v="0"/>
    <x v="3"/>
    <x v="5"/>
    <n v="912.682368570314"/>
    <n v="55521.5107546941"/>
    <n v="199877.43871689899"/>
  </r>
  <r>
    <x v="0"/>
    <x v="0"/>
    <x v="0"/>
    <x v="2"/>
    <x v="3"/>
    <s v="FIN_HELS"/>
    <x v="0"/>
    <x v="0"/>
    <x v="3"/>
    <x v="6"/>
    <n v="1076.56507305782"/>
    <n v="65491.0419443508"/>
    <n v="235767.750999663"/>
  </r>
  <r>
    <x v="0"/>
    <x v="0"/>
    <x v="0"/>
    <x v="2"/>
    <x v="3"/>
    <s v="FIN_HELS"/>
    <x v="0"/>
    <x v="0"/>
    <x v="3"/>
    <x v="7"/>
    <n v="1153.39095053759"/>
    <n v="70164.616157703305"/>
    <n v="252592.618167732"/>
  </r>
  <r>
    <x v="0"/>
    <x v="0"/>
    <x v="0"/>
    <x v="2"/>
    <x v="3"/>
    <s v="FIN_HELS"/>
    <x v="0"/>
    <x v="0"/>
    <x v="3"/>
    <x v="8"/>
    <n v="1151.46613273089"/>
    <n v="70047.523074462399"/>
    <n v="252171.083068065"/>
  </r>
  <r>
    <x v="0"/>
    <x v="0"/>
    <x v="0"/>
    <x v="2"/>
    <x v="3"/>
    <s v="FIN_HELS"/>
    <x v="0"/>
    <x v="0"/>
    <x v="3"/>
    <x v="9"/>
    <n v="1138.6504627136901"/>
    <n v="69267.903148416197"/>
    <n v="249364.45133429801"/>
  </r>
  <r>
    <x v="0"/>
    <x v="0"/>
    <x v="0"/>
    <x v="2"/>
    <x v="3"/>
    <s v="FIN_HELS"/>
    <x v="0"/>
    <x v="0"/>
    <x v="3"/>
    <x v="10"/>
    <n v="1123.5542152417599"/>
    <n v="68349.548093873498"/>
    <n v="246058.373137944"/>
  </r>
  <r>
    <x v="0"/>
    <x v="0"/>
    <x v="0"/>
    <x v="2"/>
    <x v="3"/>
    <s v="FIN_HELS"/>
    <x v="0"/>
    <x v="0"/>
    <x v="3"/>
    <x v="11"/>
    <n v="1125.4131781723399"/>
    <n v="68462.635005483797"/>
    <n v="246465.48601974201"/>
  </r>
  <r>
    <x v="0"/>
    <x v="0"/>
    <x v="0"/>
    <x v="2"/>
    <x v="3"/>
    <s v="FIN_HELS"/>
    <x v="0"/>
    <x v="0"/>
    <x v="4"/>
    <x v="0"/>
    <n v="1155.53725717676"/>
    <n v="70295.1831449194"/>
    <n v="253062.65932171"/>
  </r>
  <r>
    <x v="0"/>
    <x v="0"/>
    <x v="0"/>
    <x v="2"/>
    <x v="3"/>
    <s v="FIN_HELS"/>
    <x v="0"/>
    <x v="0"/>
    <x v="4"/>
    <x v="1"/>
    <n v="1136.2029929272601"/>
    <n v="69119.0154030751"/>
    <n v="248828.45545107001"/>
  </r>
  <r>
    <x v="0"/>
    <x v="0"/>
    <x v="0"/>
    <x v="2"/>
    <x v="3"/>
    <s v="FIN_HELS"/>
    <x v="0"/>
    <x v="0"/>
    <x v="4"/>
    <x v="2"/>
    <n v="1141.6010481537701"/>
    <n v="69447.397096020897"/>
    <n v="250010.62954567501"/>
  </r>
  <r>
    <x v="0"/>
    <x v="0"/>
    <x v="0"/>
    <x v="2"/>
    <x v="3"/>
    <s v="FIN_HELS"/>
    <x v="0"/>
    <x v="0"/>
    <x v="4"/>
    <x v="3"/>
    <n v="1158.7024545276499"/>
    <n v="70487.732650432095"/>
    <n v="253755.83754155599"/>
  </r>
  <r>
    <x v="0"/>
    <x v="0"/>
    <x v="0"/>
    <x v="2"/>
    <x v="3"/>
    <s v="FIN_HELS"/>
    <x v="0"/>
    <x v="0"/>
    <x v="4"/>
    <x v="4"/>
    <n v="1196.3774372855901"/>
    <n v="72779.627434873197"/>
    <n v="262006.65876554401"/>
  </r>
  <r>
    <x v="0"/>
    <x v="0"/>
    <x v="0"/>
    <x v="2"/>
    <x v="3"/>
    <s v="FIN_HELS"/>
    <x v="0"/>
    <x v="0"/>
    <x v="4"/>
    <x v="5"/>
    <n v="1272.2943163897"/>
    <n v="77397.904247040104"/>
    <n v="278632.45528934401"/>
  </r>
  <r>
    <x v="0"/>
    <x v="0"/>
    <x v="0"/>
    <x v="2"/>
    <x v="3"/>
    <s v="FIN_HELS"/>
    <x v="0"/>
    <x v="0"/>
    <x v="4"/>
    <x v="6"/>
    <n v="1477.46245303713"/>
    <n v="89878.965893092201"/>
    <n v="323564.27721513202"/>
  </r>
  <r>
    <x v="0"/>
    <x v="0"/>
    <x v="0"/>
    <x v="2"/>
    <x v="3"/>
    <s v="FIN_HELS"/>
    <x v="0"/>
    <x v="0"/>
    <x v="4"/>
    <x v="7"/>
    <n v="1580.83875519867"/>
    <n v="96167.6909412526"/>
    <n v="346203.68738850998"/>
  </r>
  <r>
    <x v="0"/>
    <x v="0"/>
    <x v="0"/>
    <x v="2"/>
    <x v="3"/>
    <s v="FIN_HELS"/>
    <x v="0"/>
    <x v="0"/>
    <x v="4"/>
    <x v="8"/>
    <n v="1567.8416856225799"/>
    <n v="95377.035875373796"/>
    <n v="343357.329151346"/>
  </r>
  <r>
    <x v="0"/>
    <x v="0"/>
    <x v="0"/>
    <x v="2"/>
    <x v="3"/>
    <s v="FIN_HELS"/>
    <x v="0"/>
    <x v="0"/>
    <x v="4"/>
    <x v="9"/>
    <n v="1533.07649060635"/>
    <n v="93262.153178553199"/>
    <n v="335743.75144279201"/>
  </r>
  <r>
    <x v="0"/>
    <x v="0"/>
    <x v="0"/>
    <x v="2"/>
    <x v="3"/>
    <s v="FIN_HELS"/>
    <x v="0"/>
    <x v="0"/>
    <x v="4"/>
    <x v="10"/>
    <n v="1467.0804824833201"/>
    <n v="89247.396017735504"/>
    <n v="321290.62566384801"/>
  </r>
  <r>
    <x v="0"/>
    <x v="0"/>
    <x v="0"/>
    <x v="2"/>
    <x v="3"/>
    <s v="FIN_HELS"/>
    <x v="0"/>
    <x v="0"/>
    <x v="4"/>
    <x v="11"/>
    <n v="1414.90444426572"/>
    <n v="86073.353692831297"/>
    <n v="309864.07329419302"/>
  </r>
  <r>
    <x v="0"/>
    <x v="0"/>
    <x v="0"/>
    <x v="2"/>
    <x v="3"/>
    <s v="FIN_HELS"/>
    <x v="0"/>
    <x v="0"/>
    <x v="5"/>
    <x v="0"/>
    <n v="1008.8806683021299"/>
    <n v="61373.573988379401"/>
    <n v="220944.86635816601"/>
  </r>
  <r>
    <x v="0"/>
    <x v="0"/>
    <x v="0"/>
    <x v="2"/>
    <x v="3"/>
    <s v="FIN_HELS"/>
    <x v="0"/>
    <x v="0"/>
    <x v="5"/>
    <x v="1"/>
    <n v="992.40541564105195"/>
    <n v="60371.329451497397"/>
    <n v="217336.78602539"/>
  </r>
  <r>
    <x v="0"/>
    <x v="0"/>
    <x v="0"/>
    <x v="2"/>
    <x v="3"/>
    <s v="FIN_HELS"/>
    <x v="0"/>
    <x v="0"/>
    <x v="5"/>
    <x v="2"/>
    <n v="994.10504457380603"/>
    <n v="60474.723544906599"/>
    <n v="217709.00476166399"/>
  </r>
  <r>
    <x v="0"/>
    <x v="0"/>
    <x v="0"/>
    <x v="2"/>
    <x v="3"/>
    <s v="FIN_HELS"/>
    <x v="0"/>
    <x v="0"/>
    <x v="5"/>
    <x v="3"/>
    <n v="1000.00400053414"/>
    <n v="60833.576699160301"/>
    <n v="219000.87611697699"/>
  </r>
  <r>
    <x v="0"/>
    <x v="0"/>
    <x v="0"/>
    <x v="2"/>
    <x v="3"/>
    <s v="FIN_HELS"/>
    <x v="0"/>
    <x v="0"/>
    <x v="5"/>
    <x v="4"/>
    <n v="1018.58800449538"/>
    <n v="61964.103606801997"/>
    <n v="223070.772984487"/>
  </r>
  <r>
    <x v="0"/>
    <x v="0"/>
    <x v="0"/>
    <x v="2"/>
    <x v="3"/>
    <s v="FIN_HELS"/>
    <x v="0"/>
    <x v="0"/>
    <x v="5"/>
    <x v="5"/>
    <n v="1094.7383751197799"/>
    <n v="66596.584486453095"/>
    <n v="239747.70415123101"/>
  </r>
  <r>
    <x v="0"/>
    <x v="0"/>
    <x v="0"/>
    <x v="2"/>
    <x v="3"/>
    <s v="FIN_HELS"/>
    <x v="0"/>
    <x v="0"/>
    <x v="5"/>
    <x v="6"/>
    <n v="1278.01106358422"/>
    <n v="77745.673034706895"/>
    <n v="279884.42292494501"/>
  </r>
  <r>
    <x v="0"/>
    <x v="0"/>
    <x v="0"/>
    <x v="2"/>
    <x v="3"/>
    <s v="FIN_HELS"/>
    <x v="0"/>
    <x v="0"/>
    <x v="5"/>
    <x v="7"/>
    <n v="1364.69038022019"/>
    <n v="83018.664796728204"/>
    <n v="298867.19326822099"/>
  </r>
  <r>
    <x v="0"/>
    <x v="0"/>
    <x v="0"/>
    <x v="2"/>
    <x v="3"/>
    <s v="FIN_HELS"/>
    <x v="0"/>
    <x v="0"/>
    <x v="5"/>
    <x v="8"/>
    <n v="1351.28106057068"/>
    <n v="82202.931184716203"/>
    <n v="295930.552264978"/>
  </r>
  <r>
    <x v="0"/>
    <x v="0"/>
    <x v="0"/>
    <x v="2"/>
    <x v="3"/>
    <s v="FIN_HELS"/>
    <x v="0"/>
    <x v="0"/>
    <x v="5"/>
    <x v="9"/>
    <n v="1318.39904136888"/>
    <n v="80202.608349940099"/>
    <n v="288729.390059784"/>
  </r>
  <r>
    <x v="0"/>
    <x v="0"/>
    <x v="0"/>
    <x v="2"/>
    <x v="3"/>
    <s v="FIN_HELS"/>
    <x v="0"/>
    <x v="0"/>
    <x v="5"/>
    <x v="10"/>
    <n v="1278.85443877124"/>
    <n v="77796.978358583598"/>
    <n v="280069.12209090102"/>
  </r>
  <r>
    <x v="0"/>
    <x v="0"/>
    <x v="0"/>
    <x v="2"/>
    <x v="3"/>
    <s v="FIN_HELS"/>
    <x v="0"/>
    <x v="0"/>
    <x v="5"/>
    <x v="11"/>
    <n v="1261.60846691406"/>
    <n v="76747.848403938595"/>
    <n v="276292.25425417902"/>
  </r>
  <r>
    <x v="0"/>
    <x v="0"/>
    <x v="0"/>
    <x v="2"/>
    <x v="3"/>
    <s v="FIN_HELS"/>
    <x v="0"/>
    <x v="0"/>
    <x v="6"/>
    <x v="0"/>
    <n v="949.29649095382899"/>
    <n v="57748.869866357898"/>
    <n v="207895.93151888801"/>
  </r>
  <r>
    <x v="0"/>
    <x v="0"/>
    <x v="0"/>
    <x v="2"/>
    <x v="3"/>
    <s v="FIN_HELS"/>
    <x v="0"/>
    <x v="0"/>
    <x v="6"/>
    <x v="1"/>
    <n v="942.58216652767396"/>
    <n v="57340.415130433503"/>
    <n v="206425.494469561"/>
  </r>
  <r>
    <x v="0"/>
    <x v="0"/>
    <x v="0"/>
    <x v="2"/>
    <x v="3"/>
    <s v="FIN_HELS"/>
    <x v="0"/>
    <x v="0"/>
    <x v="6"/>
    <x v="2"/>
    <n v="947.272706388193"/>
    <n v="57625.756305281699"/>
    <n v="207452.722699014"/>
  </r>
  <r>
    <x v="0"/>
    <x v="0"/>
    <x v="0"/>
    <x v="2"/>
    <x v="3"/>
    <s v="FIN_HELS"/>
    <x v="0"/>
    <x v="0"/>
    <x v="6"/>
    <x v="3"/>
    <n v="965.77686984805905"/>
    <n v="58751.426249090298"/>
    <n v="211505.13449672499"/>
  </r>
  <r>
    <x v="0"/>
    <x v="0"/>
    <x v="0"/>
    <x v="2"/>
    <x v="3"/>
    <s v="FIN_HELS"/>
    <x v="0"/>
    <x v="0"/>
    <x v="6"/>
    <x v="4"/>
    <n v="1006.07929575355"/>
    <n v="61203.157158340699"/>
    <n v="220331.36577002701"/>
  </r>
  <r>
    <x v="0"/>
    <x v="0"/>
    <x v="0"/>
    <x v="2"/>
    <x v="3"/>
    <s v="FIN_HELS"/>
    <x v="0"/>
    <x v="0"/>
    <x v="6"/>
    <x v="5"/>
    <n v="1088.2492746527901"/>
    <n v="66201.830874711202"/>
    <n v="238326.59114896"/>
  </r>
  <r>
    <x v="0"/>
    <x v="0"/>
    <x v="0"/>
    <x v="2"/>
    <x v="3"/>
    <s v="FIN_HELS"/>
    <x v="0"/>
    <x v="0"/>
    <x v="6"/>
    <x v="6"/>
    <n v="1272.31420581772"/>
    <n v="77399.114187244602"/>
    <n v="278636.81107408099"/>
  </r>
  <r>
    <x v="0"/>
    <x v="0"/>
    <x v="0"/>
    <x v="2"/>
    <x v="3"/>
    <s v="FIN_HELS"/>
    <x v="0"/>
    <x v="0"/>
    <x v="6"/>
    <x v="7"/>
    <n v="1372.2358861678499"/>
    <n v="83477.683075210807"/>
    <n v="300519.65907075902"/>
  </r>
  <r>
    <x v="0"/>
    <x v="0"/>
    <x v="0"/>
    <x v="2"/>
    <x v="3"/>
    <s v="FIN_HELS"/>
    <x v="0"/>
    <x v="0"/>
    <x v="6"/>
    <x v="8"/>
    <n v="1392.7847075463101"/>
    <n v="84727.736375733701"/>
    <n v="305019.85095264099"/>
  </r>
  <r>
    <x v="0"/>
    <x v="0"/>
    <x v="0"/>
    <x v="2"/>
    <x v="3"/>
    <s v="FIN_HELS"/>
    <x v="0"/>
    <x v="0"/>
    <x v="6"/>
    <x v="9"/>
    <n v="1406.4080441393601"/>
    <n v="85556.489351811295"/>
    <n v="308003.361666521"/>
  </r>
  <r>
    <x v="0"/>
    <x v="0"/>
    <x v="0"/>
    <x v="2"/>
    <x v="3"/>
    <s v="FIN_HELS"/>
    <x v="0"/>
    <x v="0"/>
    <x v="6"/>
    <x v="10"/>
    <n v="1389.0507339814701"/>
    <n v="84500.586317206296"/>
    <n v="304202.110741943"/>
  </r>
  <r>
    <x v="0"/>
    <x v="0"/>
    <x v="0"/>
    <x v="2"/>
    <x v="3"/>
    <s v="FIN_HELS"/>
    <x v="0"/>
    <x v="0"/>
    <x v="6"/>
    <x v="11"/>
    <n v="1388.1157424026101"/>
    <n v="84443.707662825196"/>
    <n v="303997.347586171"/>
  </r>
  <r>
    <x v="0"/>
    <x v="0"/>
    <x v="0"/>
    <x v="2"/>
    <x v="3"/>
    <s v="FIN_HELS"/>
    <x v="0"/>
    <x v="0"/>
    <x v="7"/>
    <x v="0"/>
    <n v="781.39397780208196"/>
    <n v="47534.800316293302"/>
    <n v="171125.28113865599"/>
  </r>
  <r>
    <x v="0"/>
    <x v="0"/>
    <x v="0"/>
    <x v="2"/>
    <x v="3"/>
    <s v="FIN_HELS"/>
    <x v="0"/>
    <x v="0"/>
    <x v="7"/>
    <x v="1"/>
    <n v="771.62365758874103"/>
    <n v="46940.439169981801"/>
    <n v="168985.581011934"/>
  </r>
  <r>
    <x v="0"/>
    <x v="0"/>
    <x v="0"/>
    <x v="2"/>
    <x v="3"/>
    <s v="FIN_HELS"/>
    <x v="0"/>
    <x v="0"/>
    <x v="7"/>
    <x v="2"/>
    <n v="766.11343803637703"/>
    <n v="46605.234147212999"/>
    <n v="167778.84292996701"/>
  </r>
  <r>
    <x v="0"/>
    <x v="0"/>
    <x v="0"/>
    <x v="2"/>
    <x v="3"/>
    <s v="FIN_HELS"/>
    <x v="0"/>
    <x v="0"/>
    <x v="7"/>
    <x v="3"/>
    <n v="770.022747534568"/>
    <n v="46843.050475019598"/>
    <n v="168634.98171006999"/>
  </r>
  <r>
    <x v="0"/>
    <x v="0"/>
    <x v="0"/>
    <x v="2"/>
    <x v="3"/>
    <s v="FIN_HELS"/>
    <x v="0"/>
    <x v="0"/>
    <x v="7"/>
    <x v="4"/>
    <n v="789.48101626549203"/>
    <n v="48026.761822817403"/>
    <n v="172896.34256214299"/>
  </r>
  <r>
    <x v="0"/>
    <x v="0"/>
    <x v="0"/>
    <x v="2"/>
    <x v="3"/>
    <s v="FIN_HELS"/>
    <x v="0"/>
    <x v="0"/>
    <x v="7"/>
    <x v="5"/>
    <n v="861.54574257893205"/>
    <n v="52410.699340218402"/>
    <n v="188678.51762478601"/>
  </r>
  <r>
    <x v="0"/>
    <x v="0"/>
    <x v="0"/>
    <x v="2"/>
    <x v="3"/>
    <s v="FIN_HELS"/>
    <x v="0"/>
    <x v="0"/>
    <x v="7"/>
    <x v="6"/>
    <n v="1018.15071501744"/>
    <n v="61937.5018302276"/>
    <n v="222975.006588819"/>
  </r>
  <r>
    <x v="0"/>
    <x v="0"/>
    <x v="0"/>
    <x v="2"/>
    <x v="3"/>
    <s v="FIN_HELS"/>
    <x v="0"/>
    <x v="0"/>
    <x v="7"/>
    <x v="7"/>
    <n v="1088.0764961980799"/>
    <n v="66191.320185383302"/>
    <n v="238288.75266738"/>
  </r>
  <r>
    <x v="0"/>
    <x v="0"/>
    <x v="0"/>
    <x v="2"/>
    <x v="3"/>
    <s v="FIN_HELS"/>
    <x v="0"/>
    <x v="0"/>
    <x v="7"/>
    <x v="8"/>
    <n v="1081.7619928910999"/>
    <n v="65807.187900875404"/>
    <n v="236905.87644315101"/>
  </r>
  <r>
    <x v="0"/>
    <x v="0"/>
    <x v="0"/>
    <x v="2"/>
    <x v="3"/>
    <s v="FIN_HELS"/>
    <x v="0"/>
    <x v="0"/>
    <x v="7"/>
    <x v="9"/>
    <n v="1057.27277799528"/>
    <n v="64317.427328046302"/>
    <n v="231542.738380967"/>
  </r>
  <r>
    <x v="0"/>
    <x v="0"/>
    <x v="0"/>
    <x v="2"/>
    <x v="3"/>
    <s v="FIN_HELS"/>
    <x v="0"/>
    <x v="0"/>
    <x v="7"/>
    <x v="10"/>
    <n v="1046.02445978335"/>
    <n v="63633.154636820298"/>
    <n v="229079.356692553"/>
  </r>
  <r>
    <x v="0"/>
    <x v="0"/>
    <x v="0"/>
    <x v="2"/>
    <x v="3"/>
    <s v="FIN_HELS"/>
    <x v="0"/>
    <x v="0"/>
    <x v="7"/>
    <x v="11"/>
    <n v="1042.73890253383"/>
    <n v="63433.283237474599"/>
    <n v="228359.81965490899"/>
  </r>
  <r>
    <x v="0"/>
    <x v="0"/>
    <x v="0"/>
    <x v="2"/>
    <x v="3"/>
    <s v="FIN_HELS"/>
    <x v="0"/>
    <x v="0"/>
    <x v="8"/>
    <x v="0"/>
    <n v="867.18824445689802"/>
    <n v="52753.951537794601"/>
    <n v="189914.22553606101"/>
  </r>
  <r>
    <x v="0"/>
    <x v="0"/>
    <x v="0"/>
    <x v="2"/>
    <x v="3"/>
    <s v="FIN_HELS"/>
    <x v="0"/>
    <x v="0"/>
    <x v="8"/>
    <x v="1"/>
    <n v="872.60117843731996"/>
    <n v="53083.238354936999"/>
    <n v="191099.658077773"/>
  </r>
  <r>
    <x v="0"/>
    <x v="0"/>
    <x v="0"/>
    <x v="2"/>
    <x v="3"/>
    <s v="FIN_HELS"/>
    <x v="0"/>
    <x v="0"/>
    <x v="8"/>
    <x v="2"/>
    <n v="885.74109395583605"/>
    <n v="53882.5832156467"/>
    <n v="193977.29957632799"/>
  </r>
  <r>
    <x v="0"/>
    <x v="0"/>
    <x v="0"/>
    <x v="2"/>
    <x v="3"/>
    <s v="FIN_HELS"/>
    <x v="0"/>
    <x v="0"/>
    <x v="8"/>
    <x v="3"/>
    <n v="902.73617241937302"/>
    <n v="54916.450488845199"/>
    <n v="197699.221759843"/>
  </r>
  <r>
    <x v="0"/>
    <x v="0"/>
    <x v="0"/>
    <x v="2"/>
    <x v="3"/>
    <s v="FIN_HELS"/>
    <x v="0"/>
    <x v="0"/>
    <x v="8"/>
    <x v="4"/>
    <n v="937.64674549026302"/>
    <n v="57040.177017324299"/>
    <n v="205344.63726236799"/>
  </r>
  <r>
    <x v="0"/>
    <x v="0"/>
    <x v="0"/>
    <x v="2"/>
    <x v="3"/>
    <s v="FIN_HELS"/>
    <x v="0"/>
    <x v="0"/>
    <x v="8"/>
    <x v="5"/>
    <n v="1009.21925423905"/>
    <n v="61394.171299542199"/>
    <n v="221019.016678352"/>
  </r>
  <r>
    <x v="0"/>
    <x v="0"/>
    <x v="0"/>
    <x v="2"/>
    <x v="3"/>
    <s v="FIN_HELS"/>
    <x v="0"/>
    <x v="0"/>
    <x v="8"/>
    <x v="6"/>
    <n v="1190.2166837710199"/>
    <n v="72404.848262737098"/>
    <n v="260657.453745854"/>
  </r>
  <r>
    <x v="0"/>
    <x v="0"/>
    <x v="0"/>
    <x v="2"/>
    <x v="3"/>
    <s v="FIN_HELS"/>
    <x v="0"/>
    <x v="0"/>
    <x v="8"/>
    <x v="7"/>
    <n v="1266.6998229056601"/>
    <n v="77057.572560094399"/>
    <n v="277407.26121634"/>
  </r>
  <r>
    <x v="0"/>
    <x v="0"/>
    <x v="0"/>
    <x v="2"/>
    <x v="3"/>
    <s v="FIN_HELS"/>
    <x v="0"/>
    <x v="0"/>
    <x v="8"/>
    <x v="8"/>
    <n v="1264.26109291732"/>
    <n v="76909.216485803394"/>
    <n v="276873.17934889201"/>
  </r>
  <r>
    <x v="0"/>
    <x v="0"/>
    <x v="0"/>
    <x v="2"/>
    <x v="3"/>
    <s v="FIN_HELS"/>
    <x v="0"/>
    <x v="0"/>
    <x v="8"/>
    <x v="9"/>
    <n v="1233.9573166161999"/>
    <n v="75065.736760819098"/>
    <n v="270236.65233894897"/>
  </r>
  <r>
    <x v="0"/>
    <x v="0"/>
    <x v="0"/>
    <x v="2"/>
    <x v="3"/>
    <s v="FIN_HELS"/>
    <x v="0"/>
    <x v="0"/>
    <x v="8"/>
    <x v="10"/>
    <n v="1203.8557302670699"/>
    <n v="73234.556924580102"/>
    <n v="263644.40492848802"/>
  </r>
  <r>
    <x v="0"/>
    <x v="0"/>
    <x v="0"/>
    <x v="2"/>
    <x v="3"/>
    <s v="FIN_HELS"/>
    <x v="0"/>
    <x v="0"/>
    <x v="8"/>
    <x v="11"/>
    <n v="1184.2831571567201"/>
    <n v="72043.892060367099"/>
    <n v="259358.01141732099"/>
  </r>
  <r>
    <x v="0"/>
    <x v="0"/>
    <x v="0"/>
    <x v="2"/>
    <x v="3"/>
    <s v="FIN_HELS"/>
    <x v="0"/>
    <x v="0"/>
    <x v="9"/>
    <x v="0"/>
    <n v="850.88107265328199"/>
    <n v="51761.931919741299"/>
    <n v="186342.95491106901"/>
  </r>
  <r>
    <x v="0"/>
    <x v="0"/>
    <x v="0"/>
    <x v="2"/>
    <x v="3"/>
    <s v="FIN_HELS"/>
    <x v="0"/>
    <x v="0"/>
    <x v="9"/>
    <x v="1"/>
    <n v="859.56111032760805"/>
    <n v="52289.967544929503"/>
    <n v="188243.88316174599"/>
  </r>
  <r>
    <x v="0"/>
    <x v="0"/>
    <x v="0"/>
    <x v="2"/>
    <x v="3"/>
    <s v="FIN_HELS"/>
    <x v="0"/>
    <x v="0"/>
    <x v="9"/>
    <x v="2"/>
    <n v="875.42045743513904"/>
    <n v="53254.744493970902"/>
    <n v="191717.080178295"/>
  </r>
  <r>
    <x v="0"/>
    <x v="0"/>
    <x v="0"/>
    <x v="2"/>
    <x v="3"/>
    <s v="FIN_HELS"/>
    <x v="0"/>
    <x v="0"/>
    <x v="9"/>
    <x v="3"/>
    <n v="898.58560908869401"/>
    <n v="54663.957886228898"/>
    <n v="196790.24839042401"/>
  </r>
  <r>
    <x v="0"/>
    <x v="0"/>
    <x v="0"/>
    <x v="2"/>
    <x v="3"/>
    <s v="FIN_HELS"/>
    <x v="0"/>
    <x v="0"/>
    <x v="9"/>
    <x v="4"/>
    <n v="942.38327576862196"/>
    <n v="57328.315942591202"/>
    <n v="206381.937393328"/>
  </r>
  <r>
    <x v="0"/>
    <x v="0"/>
    <x v="0"/>
    <x v="2"/>
    <x v="3"/>
    <s v="FIN_HELS"/>
    <x v="0"/>
    <x v="0"/>
    <x v="9"/>
    <x v="5"/>
    <n v="1016.5830196970199"/>
    <n v="61842.133698235499"/>
    <n v="222631.68131364801"/>
  </r>
  <r>
    <x v="0"/>
    <x v="0"/>
    <x v="0"/>
    <x v="2"/>
    <x v="3"/>
    <s v="FIN_HELS"/>
    <x v="0"/>
    <x v="0"/>
    <x v="9"/>
    <x v="6"/>
    <n v="1199.24918081957"/>
    <n v="72954.325166523704"/>
    <n v="262635.57059948501"/>
  </r>
  <r>
    <x v="0"/>
    <x v="0"/>
    <x v="0"/>
    <x v="2"/>
    <x v="3"/>
    <s v="FIN_HELS"/>
    <x v="0"/>
    <x v="0"/>
    <x v="9"/>
    <x v="7"/>
    <n v="1272.01627731591"/>
    <n v="77380.990203384295"/>
    <n v="278571.564732183"/>
  </r>
  <r>
    <x v="0"/>
    <x v="0"/>
    <x v="0"/>
    <x v="2"/>
    <x v="3"/>
    <s v="FIN_HELS"/>
    <x v="0"/>
    <x v="0"/>
    <x v="9"/>
    <x v="8"/>
    <n v="1251.5995509127099"/>
    <n v="76138.972680523002"/>
    <n v="274100.30164988298"/>
  </r>
  <r>
    <x v="0"/>
    <x v="0"/>
    <x v="0"/>
    <x v="2"/>
    <x v="3"/>
    <s v="FIN_HELS"/>
    <x v="0"/>
    <x v="0"/>
    <x v="9"/>
    <x v="9"/>
    <n v="1197.70337025156"/>
    <n v="72860.288356970006"/>
    <n v="262297.03808509198"/>
  </r>
  <r>
    <x v="0"/>
    <x v="0"/>
    <x v="0"/>
    <x v="2"/>
    <x v="3"/>
    <s v="FIN_HELS"/>
    <x v="0"/>
    <x v="0"/>
    <x v="9"/>
    <x v="10"/>
    <n v="1134.49438388663"/>
    <n v="69015.075019770302"/>
    <n v="248454.270071173"/>
  </r>
  <r>
    <x v="0"/>
    <x v="0"/>
    <x v="0"/>
    <x v="2"/>
    <x v="3"/>
    <s v="FIN_HELS"/>
    <x v="0"/>
    <x v="0"/>
    <x v="9"/>
    <x v="11"/>
    <n v="1092.9397151358201"/>
    <n v="66487.166004095503"/>
    <n v="239353.79761474399"/>
  </r>
  <r>
    <x v="0"/>
    <x v="0"/>
    <x v="0"/>
    <x v="2"/>
    <x v="3"/>
    <s v="FIN_HELS"/>
    <x v="0"/>
    <x v="0"/>
    <x v="10"/>
    <x v="0"/>
    <n v="605.86886649875305"/>
    <n v="36857.0227120075"/>
    <n v="132685.28176322699"/>
  </r>
  <r>
    <x v="0"/>
    <x v="0"/>
    <x v="0"/>
    <x v="2"/>
    <x v="3"/>
    <s v="FIN_HELS"/>
    <x v="0"/>
    <x v="0"/>
    <x v="10"/>
    <x v="1"/>
    <n v="610.955945057284"/>
    <n v="37166.486657651403"/>
    <n v="133799.35196754499"/>
  </r>
  <r>
    <x v="0"/>
    <x v="0"/>
    <x v="0"/>
    <x v="2"/>
    <x v="3"/>
    <s v="FIN_HELS"/>
    <x v="0"/>
    <x v="0"/>
    <x v="10"/>
    <x v="2"/>
    <n v="607.84966971308199"/>
    <n v="36977.5215742125"/>
    <n v="133119.07766716499"/>
  </r>
  <r>
    <x v="0"/>
    <x v="0"/>
    <x v="0"/>
    <x v="2"/>
    <x v="3"/>
    <s v="FIN_HELS"/>
    <x v="0"/>
    <x v="0"/>
    <x v="10"/>
    <x v="3"/>
    <n v="620.17976343347596"/>
    <n v="37727.602275536497"/>
    <n v="135819.36819193099"/>
  </r>
  <r>
    <x v="0"/>
    <x v="0"/>
    <x v="0"/>
    <x v="2"/>
    <x v="3"/>
    <s v="FIN_HELS"/>
    <x v="0"/>
    <x v="0"/>
    <x v="10"/>
    <x v="4"/>
    <n v="638.309112755142"/>
    <n v="38830.471025937797"/>
    <n v="139789.69569337601"/>
  </r>
  <r>
    <x v="0"/>
    <x v="0"/>
    <x v="0"/>
    <x v="2"/>
    <x v="3"/>
    <s v="FIN_HELS"/>
    <x v="0"/>
    <x v="0"/>
    <x v="10"/>
    <x v="5"/>
    <n v="706.24125885370597"/>
    <n v="42963.009913600399"/>
    <n v="154666.83568896199"/>
  </r>
  <r>
    <x v="0"/>
    <x v="0"/>
    <x v="0"/>
    <x v="2"/>
    <x v="3"/>
    <s v="FIN_HELS"/>
    <x v="0"/>
    <x v="0"/>
    <x v="10"/>
    <x v="6"/>
    <n v="841.00036109419796"/>
    <n v="51160.855299896997"/>
    <n v="184179.07907962901"/>
  </r>
  <r>
    <x v="0"/>
    <x v="0"/>
    <x v="0"/>
    <x v="2"/>
    <x v="3"/>
    <s v="FIN_HELS"/>
    <x v="0"/>
    <x v="0"/>
    <x v="10"/>
    <x v="7"/>
    <n v="863.47242389400901"/>
    <n v="52527.905786885603"/>
    <n v="189100.460832788"/>
  </r>
  <r>
    <x v="0"/>
    <x v="0"/>
    <x v="0"/>
    <x v="2"/>
    <x v="3"/>
    <s v="FIN_HELS"/>
    <x v="0"/>
    <x v="0"/>
    <x v="10"/>
    <x v="8"/>
    <n v="800.79947036553301"/>
    <n v="48715.301113903297"/>
    <n v="175375.084010052"/>
  </r>
  <r>
    <x v="0"/>
    <x v="0"/>
    <x v="0"/>
    <x v="2"/>
    <x v="3"/>
    <s v="FIN_HELS"/>
    <x v="0"/>
    <x v="0"/>
    <x v="10"/>
    <x v="9"/>
    <n v="736.88462871449599"/>
    <n v="44827.148246798497"/>
    <n v="161377.73368847501"/>
  </r>
  <r>
    <x v="0"/>
    <x v="0"/>
    <x v="0"/>
    <x v="2"/>
    <x v="3"/>
    <s v="FIN_HELS"/>
    <x v="0"/>
    <x v="0"/>
    <x v="10"/>
    <x v="10"/>
    <n v="685.58624099260305"/>
    <n v="41706.496327050001"/>
    <n v="150143.38677737999"/>
  </r>
  <r>
    <x v="0"/>
    <x v="0"/>
    <x v="0"/>
    <x v="2"/>
    <x v="3"/>
    <s v="FIN_HELS"/>
    <x v="0"/>
    <x v="0"/>
    <x v="10"/>
    <x v="11"/>
    <n v="658.680546270381"/>
    <n v="40069.733231448197"/>
    <n v="144251.03963321299"/>
  </r>
  <r>
    <x v="0"/>
    <x v="0"/>
    <x v="0"/>
    <x v="2"/>
    <x v="3"/>
    <s v="FIN_HELS"/>
    <x v="0"/>
    <x v="0"/>
    <x v="11"/>
    <x v="0"/>
    <n v="618.62047637358899"/>
    <n v="37632.745646060001"/>
    <n v="135477.88432581601"/>
  </r>
  <r>
    <x v="0"/>
    <x v="0"/>
    <x v="0"/>
    <x v="2"/>
    <x v="3"/>
    <s v="FIN_HELS"/>
    <x v="0"/>
    <x v="0"/>
    <x v="11"/>
    <x v="1"/>
    <n v="621.964801040167"/>
    <n v="37836.192063276801"/>
    <n v="136210.291427797"/>
  </r>
  <r>
    <x v="0"/>
    <x v="0"/>
    <x v="0"/>
    <x v="2"/>
    <x v="3"/>
    <s v="FIN_HELS"/>
    <x v="0"/>
    <x v="0"/>
    <x v="11"/>
    <x v="2"/>
    <n v="621.38003026176602"/>
    <n v="37800.6185075908"/>
    <n v="136082.22662732701"/>
  </r>
  <r>
    <x v="0"/>
    <x v="0"/>
    <x v="0"/>
    <x v="2"/>
    <x v="3"/>
    <s v="FIN_HELS"/>
    <x v="0"/>
    <x v="0"/>
    <x v="11"/>
    <x v="3"/>
    <n v="638.94267657839805"/>
    <n v="38869.012825185899"/>
    <n v="139928.44617066899"/>
  </r>
  <r>
    <x v="0"/>
    <x v="0"/>
    <x v="0"/>
    <x v="2"/>
    <x v="3"/>
    <s v="FIN_HELS"/>
    <x v="0"/>
    <x v="0"/>
    <x v="11"/>
    <x v="4"/>
    <n v="664.42565801314902"/>
    <n v="40419.227529133299"/>
    <n v="145509.21910488"/>
  </r>
  <r>
    <x v="0"/>
    <x v="0"/>
    <x v="0"/>
    <x v="2"/>
    <x v="3"/>
    <s v="FIN_HELS"/>
    <x v="0"/>
    <x v="0"/>
    <x v="11"/>
    <x v="5"/>
    <n v="735.42867400132604"/>
    <n v="44738.577668414"/>
    <n v="161058.87960628999"/>
  </r>
  <r>
    <x v="0"/>
    <x v="0"/>
    <x v="0"/>
    <x v="2"/>
    <x v="3"/>
    <s v="FIN_HELS"/>
    <x v="0"/>
    <x v="0"/>
    <x v="11"/>
    <x v="6"/>
    <n v="883.70983454041698"/>
    <n v="53759.014934542"/>
    <n v="193532.453764351"/>
  </r>
  <r>
    <x v="0"/>
    <x v="0"/>
    <x v="0"/>
    <x v="2"/>
    <x v="3"/>
    <s v="FIN_HELS"/>
    <x v="0"/>
    <x v="0"/>
    <x v="11"/>
    <x v="7"/>
    <n v="937.821847618128"/>
    <n v="57050.829063436096"/>
    <n v="205382.98462837"/>
  </r>
  <r>
    <x v="0"/>
    <x v="0"/>
    <x v="0"/>
    <x v="2"/>
    <x v="3"/>
    <s v="FIN_HELS"/>
    <x v="0"/>
    <x v="0"/>
    <x v="11"/>
    <x v="8"/>
    <n v="922.19160244028899"/>
    <n v="56099.989148450899"/>
    <n v="201959.960934423"/>
  </r>
  <r>
    <x v="0"/>
    <x v="0"/>
    <x v="0"/>
    <x v="2"/>
    <x v="3"/>
    <s v="FIN_HELS"/>
    <x v="0"/>
    <x v="0"/>
    <x v="11"/>
    <x v="9"/>
    <n v="893.90736086650202"/>
    <n v="54379.364452712201"/>
    <n v="195765.71202976399"/>
  </r>
  <r>
    <x v="0"/>
    <x v="0"/>
    <x v="0"/>
    <x v="2"/>
    <x v="3"/>
    <s v="FIN_HELS"/>
    <x v="0"/>
    <x v="0"/>
    <x v="11"/>
    <x v="10"/>
    <n v="873.21060504422701"/>
    <n v="53120.311806857098"/>
    <n v="191233.12250468601"/>
  </r>
  <r>
    <x v="0"/>
    <x v="0"/>
    <x v="0"/>
    <x v="2"/>
    <x v="3"/>
    <s v="FIN_HELS"/>
    <x v="0"/>
    <x v="0"/>
    <x v="11"/>
    <x v="11"/>
    <n v="863.76859478880999"/>
    <n v="52545.922849652598"/>
    <n v="189165.32225874899"/>
  </r>
  <r>
    <x v="0"/>
    <x v="0"/>
    <x v="0"/>
    <x v="2"/>
    <x v="3"/>
    <s v="FIN_HP"/>
    <x v="0"/>
    <x v="0"/>
    <x v="0"/>
    <x v="0"/>
    <n v="216.30312757220199"/>
    <n v="13158.440260642299"/>
    <n v="47370.3849383122"/>
  </r>
  <r>
    <x v="0"/>
    <x v="0"/>
    <x v="0"/>
    <x v="2"/>
    <x v="3"/>
    <s v="FIN_HP"/>
    <x v="0"/>
    <x v="0"/>
    <x v="0"/>
    <x v="1"/>
    <n v="216.32294822657801"/>
    <n v="13159.6460171168"/>
    <n v="47374.7256616206"/>
  </r>
  <r>
    <x v="0"/>
    <x v="0"/>
    <x v="0"/>
    <x v="2"/>
    <x v="3"/>
    <s v="FIN_HP"/>
    <x v="0"/>
    <x v="0"/>
    <x v="0"/>
    <x v="2"/>
    <n v="219.45263313513399"/>
    <n v="13350.035182387301"/>
    <n v="48060.126656594301"/>
  </r>
  <r>
    <x v="0"/>
    <x v="0"/>
    <x v="0"/>
    <x v="2"/>
    <x v="3"/>
    <s v="FIN_HP"/>
    <x v="0"/>
    <x v="0"/>
    <x v="0"/>
    <x v="3"/>
    <n v="227.932126898001"/>
    <n v="13865.8710529617"/>
    <n v="49917.135790662302"/>
  </r>
  <r>
    <x v="0"/>
    <x v="0"/>
    <x v="0"/>
    <x v="2"/>
    <x v="3"/>
    <s v="FIN_HP"/>
    <x v="0"/>
    <x v="0"/>
    <x v="0"/>
    <x v="4"/>
    <n v="240.72548309433401"/>
    <n v="14644.1335549053"/>
    <n v="52718.880797659302"/>
  </r>
  <r>
    <x v="0"/>
    <x v="0"/>
    <x v="0"/>
    <x v="2"/>
    <x v="3"/>
    <s v="FIN_HP"/>
    <x v="0"/>
    <x v="0"/>
    <x v="0"/>
    <x v="5"/>
    <n v="259.99870864748101"/>
    <n v="15816.5881093884"/>
    <n v="56939.7171937983"/>
  </r>
  <r>
    <x v="0"/>
    <x v="0"/>
    <x v="0"/>
    <x v="2"/>
    <x v="3"/>
    <s v="FIN_HP"/>
    <x v="0"/>
    <x v="0"/>
    <x v="0"/>
    <x v="6"/>
    <n v="304.49650426513"/>
    <n v="18523.5373427954"/>
    <n v="66684.734434063503"/>
  </r>
  <r>
    <x v="0"/>
    <x v="0"/>
    <x v="0"/>
    <x v="2"/>
    <x v="3"/>
    <s v="FIN_HP"/>
    <x v="0"/>
    <x v="0"/>
    <x v="0"/>
    <x v="7"/>
    <n v="328.61726870093901"/>
    <n v="19990.8838459738"/>
    <n v="71967.181845505605"/>
  </r>
  <r>
    <x v="0"/>
    <x v="0"/>
    <x v="0"/>
    <x v="2"/>
    <x v="3"/>
    <s v="FIN_HP"/>
    <x v="0"/>
    <x v="0"/>
    <x v="0"/>
    <x v="8"/>
    <n v="331.91165012538198"/>
    <n v="20191.292049294101"/>
    <n v="72688.651377458693"/>
  </r>
  <r>
    <x v="0"/>
    <x v="0"/>
    <x v="0"/>
    <x v="2"/>
    <x v="3"/>
    <s v="FIN_HP"/>
    <x v="0"/>
    <x v="0"/>
    <x v="0"/>
    <x v="9"/>
    <n v="331.98187290378598"/>
    <n v="20195.563934980299"/>
    <n v="72704.0301659291"/>
  </r>
  <r>
    <x v="0"/>
    <x v="0"/>
    <x v="0"/>
    <x v="2"/>
    <x v="3"/>
    <s v="FIN_HP"/>
    <x v="0"/>
    <x v="0"/>
    <x v="0"/>
    <x v="10"/>
    <n v="320.78920195696998"/>
    <n v="19514.676452382399"/>
    <n v="70252.8352285765"/>
  </r>
  <r>
    <x v="0"/>
    <x v="0"/>
    <x v="0"/>
    <x v="2"/>
    <x v="3"/>
    <s v="FIN_HP"/>
    <x v="0"/>
    <x v="0"/>
    <x v="0"/>
    <x v="11"/>
    <n v="311.69302791048699"/>
    <n v="18961.325864554601"/>
    <n v="68260.773112396695"/>
  </r>
  <r>
    <x v="0"/>
    <x v="0"/>
    <x v="0"/>
    <x v="2"/>
    <x v="3"/>
    <s v="FIN_HP"/>
    <x v="0"/>
    <x v="0"/>
    <x v="1"/>
    <x v="0"/>
    <n v="279.47866986625701"/>
    <n v="17001.619083530601"/>
    <n v="61205.828700710299"/>
  </r>
  <r>
    <x v="0"/>
    <x v="0"/>
    <x v="0"/>
    <x v="2"/>
    <x v="3"/>
    <s v="FIN_HP"/>
    <x v="0"/>
    <x v="0"/>
    <x v="1"/>
    <x v="1"/>
    <n v="277.64142411114801"/>
    <n v="16889.853300094801"/>
    <n v="60803.4718803414"/>
  </r>
  <r>
    <x v="0"/>
    <x v="0"/>
    <x v="0"/>
    <x v="2"/>
    <x v="3"/>
    <s v="FIN_HP"/>
    <x v="0"/>
    <x v="0"/>
    <x v="1"/>
    <x v="2"/>
    <n v="282.13309055286697"/>
    <n v="17163.096341966"/>
    <n v="61787.1468310778"/>
  </r>
  <r>
    <x v="0"/>
    <x v="0"/>
    <x v="0"/>
    <x v="2"/>
    <x v="3"/>
    <s v="FIN_HP"/>
    <x v="0"/>
    <x v="0"/>
    <x v="1"/>
    <x v="3"/>
    <n v="290.48432160696501"/>
    <n v="17671.1295644237"/>
    <n v="63616.066431925297"/>
  </r>
  <r>
    <x v="0"/>
    <x v="0"/>
    <x v="0"/>
    <x v="2"/>
    <x v="3"/>
    <s v="FIN_HP"/>
    <x v="0"/>
    <x v="0"/>
    <x v="1"/>
    <x v="4"/>
    <n v="304.66066854726"/>
    <n v="18533.524003291699"/>
    <n v="66720.686411849994"/>
  </r>
  <r>
    <x v="0"/>
    <x v="0"/>
    <x v="0"/>
    <x v="2"/>
    <x v="3"/>
    <s v="FIN_HP"/>
    <x v="0"/>
    <x v="0"/>
    <x v="1"/>
    <x v="5"/>
    <n v="321.780290129663"/>
    <n v="19574.967649554499"/>
    <n v="70469.883538396098"/>
  </r>
  <r>
    <x v="0"/>
    <x v="0"/>
    <x v="0"/>
    <x v="2"/>
    <x v="3"/>
    <s v="FIN_HP"/>
    <x v="0"/>
    <x v="0"/>
    <x v="1"/>
    <x v="6"/>
    <n v="372.24639158725199"/>
    <n v="22644.988821557799"/>
    <n v="81521.959757608303"/>
  </r>
  <r>
    <x v="0"/>
    <x v="0"/>
    <x v="0"/>
    <x v="2"/>
    <x v="3"/>
    <s v="FIN_HP"/>
    <x v="0"/>
    <x v="0"/>
    <x v="1"/>
    <x v="7"/>
    <n v="401.100519524123"/>
    <n v="24400.281604384199"/>
    <n v="87841.013775782994"/>
  </r>
  <r>
    <x v="0"/>
    <x v="0"/>
    <x v="0"/>
    <x v="2"/>
    <x v="3"/>
    <s v="FIN_HP"/>
    <x v="0"/>
    <x v="0"/>
    <x v="1"/>
    <x v="8"/>
    <n v="400.89845942579097"/>
    <n v="24387.989615068898"/>
    <n v="87796.762614248204"/>
  </r>
  <r>
    <x v="0"/>
    <x v="0"/>
    <x v="0"/>
    <x v="2"/>
    <x v="3"/>
    <s v="FIN_HP"/>
    <x v="0"/>
    <x v="0"/>
    <x v="1"/>
    <x v="9"/>
    <n v="396.24480993245601"/>
    <n v="24104.892604224398"/>
    <n v="86777.613375207802"/>
  </r>
  <r>
    <x v="0"/>
    <x v="0"/>
    <x v="0"/>
    <x v="2"/>
    <x v="3"/>
    <s v="FIN_HP"/>
    <x v="0"/>
    <x v="0"/>
    <x v="1"/>
    <x v="10"/>
    <n v="378.526946958601"/>
    <n v="23027.055939981601"/>
    <n v="82897.401383933699"/>
  </r>
  <r>
    <x v="0"/>
    <x v="0"/>
    <x v="0"/>
    <x v="2"/>
    <x v="3"/>
    <s v="FIN_HP"/>
    <x v="0"/>
    <x v="0"/>
    <x v="1"/>
    <x v="11"/>
    <n v="368.73118527396002"/>
    <n v="22431.147104165899"/>
    <n v="80752.129574997205"/>
  </r>
  <r>
    <x v="0"/>
    <x v="0"/>
    <x v="0"/>
    <x v="2"/>
    <x v="3"/>
    <s v="FIN_HP"/>
    <x v="0"/>
    <x v="0"/>
    <x v="2"/>
    <x v="0"/>
    <n v="238.853428521262"/>
    <n v="14530.250235043501"/>
    <n v="52308.900846156503"/>
  </r>
  <r>
    <x v="0"/>
    <x v="0"/>
    <x v="0"/>
    <x v="2"/>
    <x v="3"/>
    <s v="FIN_HP"/>
    <x v="0"/>
    <x v="0"/>
    <x v="2"/>
    <x v="1"/>
    <n v="235.16636933141299"/>
    <n v="14305.9541343276"/>
    <n v="51501.434883579401"/>
  </r>
  <r>
    <x v="0"/>
    <x v="0"/>
    <x v="0"/>
    <x v="2"/>
    <x v="3"/>
    <s v="FIN_HP"/>
    <x v="0"/>
    <x v="0"/>
    <x v="2"/>
    <x v="2"/>
    <n v="237.01143523760999"/>
    <n v="14418.1956436213"/>
    <n v="51905.504317036699"/>
  </r>
  <r>
    <x v="0"/>
    <x v="0"/>
    <x v="0"/>
    <x v="2"/>
    <x v="3"/>
    <s v="FIN_HP"/>
    <x v="0"/>
    <x v="0"/>
    <x v="2"/>
    <x v="3"/>
    <n v="240.18407781114101"/>
    <n v="14611.198066844399"/>
    <n v="52600.3130406399"/>
  </r>
  <r>
    <x v="0"/>
    <x v="0"/>
    <x v="0"/>
    <x v="2"/>
    <x v="3"/>
    <s v="FIN_HP"/>
    <x v="0"/>
    <x v="0"/>
    <x v="2"/>
    <x v="4"/>
    <n v="246.87421282633099"/>
    <n v="15018.1812802684"/>
    <n v="54065.4526089664"/>
  </r>
  <r>
    <x v="0"/>
    <x v="0"/>
    <x v="0"/>
    <x v="2"/>
    <x v="3"/>
    <s v="FIN_HP"/>
    <x v="0"/>
    <x v="0"/>
    <x v="2"/>
    <x v="5"/>
    <n v="261.88155217488901"/>
    <n v="15931.1277573058"/>
    <n v="57352.059926300703"/>
  </r>
  <r>
    <x v="0"/>
    <x v="0"/>
    <x v="0"/>
    <x v="2"/>
    <x v="3"/>
    <s v="FIN_HP"/>
    <x v="0"/>
    <x v="0"/>
    <x v="2"/>
    <x v="6"/>
    <n v="305.06231049030202"/>
    <n v="18557.957221493401"/>
    <n v="66808.645997376196"/>
  </r>
  <r>
    <x v="0"/>
    <x v="0"/>
    <x v="0"/>
    <x v="2"/>
    <x v="3"/>
    <s v="FIN_HP"/>
    <x v="0"/>
    <x v="0"/>
    <x v="2"/>
    <x v="7"/>
    <n v="327.49781401909701"/>
    <n v="19922.7836861617"/>
    <n v="71722.021270182202"/>
  </r>
  <r>
    <x v="0"/>
    <x v="0"/>
    <x v="0"/>
    <x v="2"/>
    <x v="3"/>
    <s v="FIN_HP"/>
    <x v="0"/>
    <x v="0"/>
    <x v="2"/>
    <x v="8"/>
    <n v="325.29146088919799"/>
    <n v="19788.563870759601"/>
    <n v="71238.829934734502"/>
  </r>
  <r>
    <x v="0"/>
    <x v="0"/>
    <x v="0"/>
    <x v="2"/>
    <x v="3"/>
    <s v="FIN_HP"/>
    <x v="0"/>
    <x v="0"/>
    <x v="2"/>
    <x v="9"/>
    <n v="320.35331606197599"/>
    <n v="19488.160060436901"/>
    <n v="70157.376217572702"/>
  </r>
  <r>
    <x v="0"/>
    <x v="0"/>
    <x v="0"/>
    <x v="2"/>
    <x v="3"/>
    <s v="FIN_HP"/>
    <x v="0"/>
    <x v="0"/>
    <x v="2"/>
    <x v="10"/>
    <n v="310.12746882436801"/>
    <n v="18866.087686815699"/>
    <n v="67917.915672536503"/>
  </r>
  <r>
    <x v="0"/>
    <x v="0"/>
    <x v="0"/>
    <x v="2"/>
    <x v="3"/>
    <s v="FIN_HP"/>
    <x v="0"/>
    <x v="0"/>
    <x v="2"/>
    <x v="11"/>
    <n v="304.99980297661898"/>
    <n v="18554.1546810777"/>
    <n v="66794.956851879702"/>
  </r>
  <r>
    <x v="0"/>
    <x v="0"/>
    <x v="0"/>
    <x v="2"/>
    <x v="3"/>
    <s v="FIN_HP"/>
    <x v="0"/>
    <x v="0"/>
    <x v="3"/>
    <x v="0"/>
    <n v="245.381774047183"/>
    <n v="14927.391254537"/>
    <n v="53738.608516333203"/>
  </r>
  <r>
    <x v="0"/>
    <x v="0"/>
    <x v="0"/>
    <x v="2"/>
    <x v="3"/>
    <s v="FIN_HP"/>
    <x v="0"/>
    <x v="0"/>
    <x v="3"/>
    <x v="1"/>
    <n v="244.57627331262901"/>
    <n v="14878.3899598516"/>
    <n v="53562.203855465799"/>
  </r>
  <r>
    <x v="0"/>
    <x v="0"/>
    <x v="0"/>
    <x v="2"/>
    <x v="3"/>
    <s v="FIN_HP"/>
    <x v="0"/>
    <x v="0"/>
    <x v="3"/>
    <x v="2"/>
    <n v="250.855017829361"/>
    <n v="15260.3469179528"/>
    <n v="54937.248904630098"/>
  </r>
  <r>
    <x v="0"/>
    <x v="0"/>
    <x v="0"/>
    <x v="2"/>
    <x v="3"/>
    <s v="FIN_HP"/>
    <x v="0"/>
    <x v="0"/>
    <x v="3"/>
    <x v="3"/>
    <n v="266.38137000496403"/>
    <n v="16204.866675302001"/>
    <n v="58337.520031087101"/>
  </r>
  <r>
    <x v="0"/>
    <x v="0"/>
    <x v="0"/>
    <x v="2"/>
    <x v="3"/>
    <s v="FIN_HP"/>
    <x v="0"/>
    <x v="0"/>
    <x v="3"/>
    <x v="4"/>
    <n v="294.47076125452202"/>
    <n v="17913.637976316801"/>
    <n v="64489.096714740401"/>
  </r>
  <r>
    <x v="0"/>
    <x v="0"/>
    <x v="0"/>
    <x v="2"/>
    <x v="3"/>
    <s v="FIN_HP"/>
    <x v="0"/>
    <x v="0"/>
    <x v="3"/>
    <x v="5"/>
    <n v="322.903597022219"/>
    <n v="19643.302152184999"/>
    <n v="70715.887747866"/>
  </r>
  <r>
    <x v="0"/>
    <x v="0"/>
    <x v="0"/>
    <x v="2"/>
    <x v="3"/>
    <s v="FIN_HP"/>
    <x v="0"/>
    <x v="0"/>
    <x v="3"/>
    <x v="6"/>
    <n v="381.74389777533599"/>
    <n v="23222.753781332998"/>
    <n v="83601.9136127987"/>
  </r>
  <r>
    <x v="0"/>
    <x v="0"/>
    <x v="0"/>
    <x v="2"/>
    <x v="3"/>
    <s v="FIN_HP"/>
    <x v="0"/>
    <x v="0"/>
    <x v="3"/>
    <x v="7"/>
    <n v="419.78643274453401"/>
    <n v="25537.007991959199"/>
    <n v="91933.228771053007"/>
  </r>
  <r>
    <x v="0"/>
    <x v="0"/>
    <x v="0"/>
    <x v="2"/>
    <x v="3"/>
    <s v="FIN_HP"/>
    <x v="0"/>
    <x v="0"/>
    <x v="3"/>
    <x v="8"/>
    <n v="427.99055330809199"/>
    <n v="26036.0919929089"/>
    <n v="93729.931174472207"/>
  </r>
  <r>
    <x v="0"/>
    <x v="0"/>
    <x v="0"/>
    <x v="2"/>
    <x v="3"/>
    <s v="FIN_HP"/>
    <x v="0"/>
    <x v="0"/>
    <x v="3"/>
    <x v="9"/>
    <n v="440.56756811318098"/>
    <n v="26801.193726885202"/>
    <n v="96484.297416786707"/>
  </r>
  <r>
    <x v="0"/>
    <x v="0"/>
    <x v="0"/>
    <x v="2"/>
    <x v="3"/>
    <s v="FIN_HP"/>
    <x v="0"/>
    <x v="0"/>
    <x v="3"/>
    <x v="10"/>
    <n v="426.91461491533897"/>
    <n v="25970.639074016501"/>
    <n v="93494.300666459298"/>
  </r>
  <r>
    <x v="0"/>
    <x v="0"/>
    <x v="0"/>
    <x v="2"/>
    <x v="3"/>
    <s v="FIN_HP"/>
    <x v="0"/>
    <x v="0"/>
    <x v="3"/>
    <x v="11"/>
    <n v="419.98029851921598"/>
    <n v="25548.8014932523"/>
    <n v="91975.685375708301"/>
  </r>
  <r>
    <x v="0"/>
    <x v="0"/>
    <x v="0"/>
    <x v="2"/>
    <x v="3"/>
    <s v="FIN_HP"/>
    <x v="0"/>
    <x v="0"/>
    <x v="4"/>
    <x v="0"/>
    <n v="283.84407394544701"/>
    <n v="17267.181165014699"/>
    <n v="62161.852194052903"/>
  </r>
  <r>
    <x v="0"/>
    <x v="0"/>
    <x v="0"/>
    <x v="2"/>
    <x v="3"/>
    <s v="FIN_HP"/>
    <x v="0"/>
    <x v="0"/>
    <x v="4"/>
    <x v="1"/>
    <n v="283.16996986358998"/>
    <n v="17226.173166701701"/>
    <n v="62014.223400126299"/>
  </r>
  <r>
    <x v="0"/>
    <x v="0"/>
    <x v="0"/>
    <x v="2"/>
    <x v="3"/>
    <s v="FIN_HP"/>
    <x v="0"/>
    <x v="0"/>
    <x v="4"/>
    <x v="2"/>
    <n v="289.89170575879803"/>
    <n v="17635.078766993502"/>
    <n v="63486.2835611767"/>
  </r>
  <r>
    <x v="0"/>
    <x v="0"/>
    <x v="0"/>
    <x v="2"/>
    <x v="3"/>
    <s v="FIN_HP"/>
    <x v="0"/>
    <x v="0"/>
    <x v="4"/>
    <x v="3"/>
    <n v="303.491096258781"/>
    <n v="18462.3750224092"/>
    <n v="66464.550080672998"/>
  </r>
  <r>
    <x v="0"/>
    <x v="0"/>
    <x v="0"/>
    <x v="2"/>
    <x v="3"/>
    <s v="FIN_HP"/>
    <x v="0"/>
    <x v="0"/>
    <x v="4"/>
    <x v="4"/>
    <n v="327.687852753328"/>
    <n v="19934.344375827499"/>
    <n v="71763.639752978896"/>
  </r>
  <r>
    <x v="0"/>
    <x v="0"/>
    <x v="0"/>
    <x v="2"/>
    <x v="3"/>
    <s v="FIN_HP"/>
    <x v="0"/>
    <x v="0"/>
    <x v="4"/>
    <x v="5"/>
    <n v="356.26013555762802"/>
    <n v="21672.491579755701"/>
    <n v="78020.969687120494"/>
  </r>
  <r>
    <x v="0"/>
    <x v="0"/>
    <x v="0"/>
    <x v="2"/>
    <x v="3"/>
    <s v="FIN_HP"/>
    <x v="0"/>
    <x v="0"/>
    <x v="4"/>
    <x v="6"/>
    <n v="419.46705585330199"/>
    <n v="25517.579231075899"/>
    <n v="91863.285231873204"/>
  </r>
  <r>
    <x v="0"/>
    <x v="0"/>
    <x v="0"/>
    <x v="2"/>
    <x v="3"/>
    <s v="FIN_HP"/>
    <x v="0"/>
    <x v="0"/>
    <x v="4"/>
    <x v="7"/>
    <n v="463.78726559995602"/>
    <n v="28213.7253239973"/>
    <n v="101569.41116639"/>
  </r>
  <r>
    <x v="0"/>
    <x v="0"/>
    <x v="0"/>
    <x v="2"/>
    <x v="3"/>
    <s v="FIN_HP"/>
    <x v="0"/>
    <x v="0"/>
    <x v="4"/>
    <x v="8"/>
    <n v="476.65468860636503"/>
    <n v="28996.493556887199"/>
    <n v="104387.376804794"/>
  </r>
  <r>
    <x v="0"/>
    <x v="0"/>
    <x v="0"/>
    <x v="2"/>
    <x v="3"/>
    <s v="FIN_HP"/>
    <x v="0"/>
    <x v="0"/>
    <x v="4"/>
    <x v="9"/>
    <n v="489.88647867843599"/>
    <n v="29801.427452938198"/>
    <n v="107285.138830578"/>
  </r>
  <r>
    <x v="0"/>
    <x v="0"/>
    <x v="0"/>
    <x v="2"/>
    <x v="3"/>
    <s v="FIN_HP"/>
    <x v="0"/>
    <x v="0"/>
    <x v="4"/>
    <x v="10"/>
    <n v="471.83754627130003"/>
    <n v="28703.450731504101"/>
    <n v="103332.422633415"/>
  </r>
  <r>
    <x v="0"/>
    <x v="0"/>
    <x v="0"/>
    <x v="2"/>
    <x v="3"/>
    <s v="FIN_HP"/>
    <x v="0"/>
    <x v="0"/>
    <x v="4"/>
    <x v="11"/>
    <n v="466.92503553736702"/>
    <n v="28404.606328523201"/>
    <n v="102256.58278268301"/>
  </r>
  <r>
    <x v="0"/>
    <x v="0"/>
    <x v="0"/>
    <x v="2"/>
    <x v="3"/>
    <s v="FIN_HP"/>
    <x v="0"/>
    <x v="0"/>
    <x v="5"/>
    <x v="0"/>
    <n v="369.952551295707"/>
    <n v="22505.446870488799"/>
    <n v="81019.6087337598"/>
  </r>
  <r>
    <x v="0"/>
    <x v="0"/>
    <x v="0"/>
    <x v="2"/>
    <x v="3"/>
    <s v="FIN_HP"/>
    <x v="0"/>
    <x v="0"/>
    <x v="5"/>
    <x v="1"/>
    <n v="360.621511867393"/>
    <n v="21937.808638599701"/>
    <n v="78976.111098958994"/>
  </r>
  <r>
    <x v="0"/>
    <x v="0"/>
    <x v="0"/>
    <x v="2"/>
    <x v="3"/>
    <s v="FIN_HP"/>
    <x v="0"/>
    <x v="0"/>
    <x v="5"/>
    <x v="2"/>
    <n v="363.62351813390097"/>
    <n v="22120.430686479001"/>
    <n v="79633.550471324401"/>
  </r>
  <r>
    <x v="0"/>
    <x v="0"/>
    <x v="0"/>
    <x v="2"/>
    <x v="3"/>
    <s v="FIN_HP"/>
    <x v="0"/>
    <x v="0"/>
    <x v="5"/>
    <x v="3"/>
    <n v="365.03420606357099"/>
    <n v="22206.247535533901"/>
    <n v="79942.491127922098"/>
  </r>
  <r>
    <x v="0"/>
    <x v="0"/>
    <x v="0"/>
    <x v="2"/>
    <x v="3"/>
    <s v="FIN_HP"/>
    <x v="0"/>
    <x v="0"/>
    <x v="5"/>
    <x v="4"/>
    <n v="367.39273132984601"/>
    <n v="22349.7244892323"/>
    <n v="80459.008161236299"/>
  </r>
  <r>
    <x v="0"/>
    <x v="0"/>
    <x v="0"/>
    <x v="2"/>
    <x v="3"/>
    <s v="FIN_HP"/>
    <x v="0"/>
    <x v="0"/>
    <x v="5"/>
    <x v="5"/>
    <n v="374.96440968232201"/>
    <n v="22810.334922341299"/>
    <n v="82117.205720428494"/>
  </r>
  <r>
    <x v="0"/>
    <x v="0"/>
    <x v="0"/>
    <x v="2"/>
    <x v="3"/>
    <s v="FIN_HP"/>
    <x v="0"/>
    <x v="0"/>
    <x v="5"/>
    <x v="6"/>
    <n v="424.29771858961902"/>
    <n v="25811.444547535099"/>
    <n v="92921.200371126499"/>
  </r>
  <r>
    <x v="0"/>
    <x v="0"/>
    <x v="0"/>
    <x v="2"/>
    <x v="3"/>
    <s v="FIN_HP"/>
    <x v="0"/>
    <x v="0"/>
    <x v="5"/>
    <x v="7"/>
    <n v="447.59415313826503"/>
    <n v="27228.6443159111"/>
    <n v="98023.119537279999"/>
  </r>
  <r>
    <x v="0"/>
    <x v="0"/>
    <x v="0"/>
    <x v="2"/>
    <x v="3"/>
    <s v="FIN_HP"/>
    <x v="0"/>
    <x v="0"/>
    <x v="5"/>
    <x v="8"/>
    <n v="433.32582892964098"/>
    <n v="26360.654593219799"/>
    <n v="94898.356535591403"/>
  </r>
  <r>
    <x v="0"/>
    <x v="0"/>
    <x v="0"/>
    <x v="2"/>
    <x v="3"/>
    <s v="FIN_HP"/>
    <x v="0"/>
    <x v="0"/>
    <x v="5"/>
    <x v="9"/>
    <n v="403.74101470698798"/>
    <n v="24560.911728008399"/>
    <n v="88419.282220830297"/>
  </r>
  <r>
    <x v="0"/>
    <x v="0"/>
    <x v="0"/>
    <x v="2"/>
    <x v="3"/>
    <s v="FIN_HP"/>
    <x v="0"/>
    <x v="0"/>
    <x v="5"/>
    <x v="10"/>
    <n v="381.98689736989797"/>
    <n v="23237.536256668802"/>
    <n v="83655.130524007705"/>
  </r>
  <r>
    <x v="0"/>
    <x v="0"/>
    <x v="0"/>
    <x v="2"/>
    <x v="3"/>
    <s v="FIN_HP"/>
    <x v="0"/>
    <x v="0"/>
    <x v="5"/>
    <x v="11"/>
    <n v="371.46713960080899"/>
    <n v="22597.584325715899"/>
    <n v="81351.303572577104"/>
  </r>
  <r>
    <x v="0"/>
    <x v="0"/>
    <x v="0"/>
    <x v="2"/>
    <x v="3"/>
    <s v="FIN_HP"/>
    <x v="0"/>
    <x v="0"/>
    <x v="6"/>
    <x v="0"/>
    <n v="203.31290021074901"/>
    <n v="12368.201429487201"/>
    <n v="44525.525146154003"/>
  </r>
  <r>
    <x v="0"/>
    <x v="0"/>
    <x v="0"/>
    <x v="2"/>
    <x v="3"/>
    <s v="FIN_HP"/>
    <x v="0"/>
    <x v="0"/>
    <x v="6"/>
    <x v="1"/>
    <n v="202.32939326735001"/>
    <n v="12308.3714237638"/>
    <n v="44310.137125549598"/>
  </r>
  <r>
    <x v="0"/>
    <x v="0"/>
    <x v="0"/>
    <x v="2"/>
    <x v="3"/>
    <s v="FIN_HP"/>
    <x v="0"/>
    <x v="0"/>
    <x v="6"/>
    <x v="2"/>
    <n v="204.122779643684"/>
    <n v="12417.4690949908"/>
    <n v="44702.888741966897"/>
  </r>
  <r>
    <x v="0"/>
    <x v="0"/>
    <x v="0"/>
    <x v="2"/>
    <x v="3"/>
    <s v="FIN_HP"/>
    <x v="0"/>
    <x v="0"/>
    <x v="6"/>
    <x v="3"/>
    <n v="211.500649981164"/>
    <n v="12866.2895405208"/>
    <n v="46318.642345874898"/>
  </r>
  <r>
    <x v="0"/>
    <x v="0"/>
    <x v="0"/>
    <x v="2"/>
    <x v="3"/>
    <s v="FIN_HP"/>
    <x v="0"/>
    <x v="0"/>
    <x v="6"/>
    <x v="4"/>
    <n v="224.812918010038"/>
    <n v="13676.119178944"/>
    <n v="49234.029044198403"/>
  </r>
  <r>
    <x v="0"/>
    <x v="0"/>
    <x v="0"/>
    <x v="2"/>
    <x v="3"/>
    <s v="FIN_HP"/>
    <x v="0"/>
    <x v="0"/>
    <x v="6"/>
    <x v="5"/>
    <n v="242.622450628195"/>
    <n v="14759.5324132152"/>
    <n v="53134.316687574799"/>
  </r>
  <r>
    <x v="0"/>
    <x v="0"/>
    <x v="0"/>
    <x v="2"/>
    <x v="3"/>
    <s v="FIN_HP"/>
    <x v="0"/>
    <x v="0"/>
    <x v="6"/>
    <x v="6"/>
    <n v="284.54329935188099"/>
    <n v="17309.7173772395"/>
    <n v="62314.982558062104"/>
  </r>
  <r>
    <x v="0"/>
    <x v="0"/>
    <x v="0"/>
    <x v="2"/>
    <x v="3"/>
    <s v="FIN_HP"/>
    <x v="0"/>
    <x v="0"/>
    <x v="6"/>
    <x v="7"/>
    <n v="307.16649564817197"/>
    <n v="18685.961818597101"/>
    <n v="67269.462546949697"/>
  </r>
  <r>
    <x v="0"/>
    <x v="0"/>
    <x v="0"/>
    <x v="2"/>
    <x v="3"/>
    <s v="FIN_HP"/>
    <x v="0"/>
    <x v="0"/>
    <x v="6"/>
    <x v="8"/>
    <n v="307.286555209771"/>
    <n v="18693.265441927699"/>
    <n v="67295.755590939807"/>
  </r>
  <r>
    <x v="0"/>
    <x v="0"/>
    <x v="0"/>
    <x v="2"/>
    <x v="3"/>
    <s v="FIN_HP"/>
    <x v="0"/>
    <x v="0"/>
    <x v="6"/>
    <x v="9"/>
    <n v="302.24732604932001"/>
    <n v="18386.712334667001"/>
    <n v="66192.164404801195"/>
  </r>
  <r>
    <x v="0"/>
    <x v="0"/>
    <x v="0"/>
    <x v="2"/>
    <x v="3"/>
    <s v="FIN_HP"/>
    <x v="0"/>
    <x v="0"/>
    <x v="6"/>
    <x v="10"/>
    <n v="292.76934325547001"/>
    <n v="17810.135048041098"/>
    <n v="64116.486172948004"/>
  </r>
  <r>
    <x v="0"/>
    <x v="0"/>
    <x v="0"/>
    <x v="2"/>
    <x v="3"/>
    <s v="FIN_HP"/>
    <x v="0"/>
    <x v="0"/>
    <x v="6"/>
    <x v="11"/>
    <n v="286.96474612731902"/>
    <n v="17457.0220560786"/>
    <n v="62845.279401883003"/>
  </r>
  <r>
    <x v="0"/>
    <x v="0"/>
    <x v="0"/>
    <x v="2"/>
    <x v="3"/>
    <s v="FIN_HP"/>
    <x v="0"/>
    <x v="0"/>
    <x v="7"/>
    <x v="0"/>
    <n v="213.705484228313"/>
    <n v="13000.4169572224"/>
    <n v="46801.501046000601"/>
  </r>
  <r>
    <x v="0"/>
    <x v="0"/>
    <x v="0"/>
    <x v="2"/>
    <x v="3"/>
    <s v="FIN_HP"/>
    <x v="0"/>
    <x v="0"/>
    <x v="7"/>
    <x v="1"/>
    <n v="211.01068625210499"/>
    <n v="12836.483413669701"/>
    <n v="46211.340289211003"/>
  </r>
  <r>
    <x v="0"/>
    <x v="0"/>
    <x v="0"/>
    <x v="2"/>
    <x v="3"/>
    <s v="FIN_HP"/>
    <x v="0"/>
    <x v="0"/>
    <x v="7"/>
    <x v="2"/>
    <n v="211.839457364032"/>
    <n v="12886.900322978599"/>
    <n v="46392.8411627229"/>
  </r>
  <r>
    <x v="0"/>
    <x v="0"/>
    <x v="0"/>
    <x v="2"/>
    <x v="3"/>
    <s v="FIN_HP"/>
    <x v="0"/>
    <x v="0"/>
    <x v="7"/>
    <x v="3"/>
    <n v="215.46058747372101"/>
    <n v="13107.185737984701"/>
    <n v="47185.868656744897"/>
  </r>
  <r>
    <x v="0"/>
    <x v="0"/>
    <x v="0"/>
    <x v="2"/>
    <x v="3"/>
    <s v="FIN_HP"/>
    <x v="0"/>
    <x v="0"/>
    <x v="7"/>
    <x v="4"/>
    <n v="222.42742157903899"/>
    <n v="13531.0014793915"/>
    <n v="48711.605325809498"/>
  </r>
  <r>
    <x v="0"/>
    <x v="0"/>
    <x v="0"/>
    <x v="2"/>
    <x v="3"/>
    <s v="FIN_HP"/>
    <x v="0"/>
    <x v="0"/>
    <x v="7"/>
    <x v="5"/>
    <n v="236.27615931499"/>
    <n v="14373.4663583285"/>
    <n v="51744.478889982798"/>
  </r>
  <r>
    <x v="0"/>
    <x v="0"/>
    <x v="0"/>
    <x v="2"/>
    <x v="3"/>
    <s v="FIN_HP"/>
    <x v="0"/>
    <x v="0"/>
    <x v="7"/>
    <x v="6"/>
    <n v="276.08643297369503"/>
    <n v="16795.258005899799"/>
    <n v="60462.9288212393"/>
  </r>
  <r>
    <x v="0"/>
    <x v="0"/>
    <x v="0"/>
    <x v="2"/>
    <x v="3"/>
    <s v="FIN_HP"/>
    <x v="0"/>
    <x v="0"/>
    <x v="7"/>
    <x v="7"/>
    <n v="296.56361745813501"/>
    <n v="18040.953395369899"/>
    <n v="64947.432223331503"/>
  </r>
  <r>
    <x v="0"/>
    <x v="0"/>
    <x v="0"/>
    <x v="2"/>
    <x v="3"/>
    <s v="FIN_HP"/>
    <x v="0"/>
    <x v="0"/>
    <x v="7"/>
    <x v="8"/>
    <n v="295.36063518642499"/>
    <n v="17967.771973840801"/>
    <n v="64683.979105826998"/>
  </r>
  <r>
    <x v="0"/>
    <x v="0"/>
    <x v="0"/>
    <x v="2"/>
    <x v="3"/>
    <s v="FIN_HP"/>
    <x v="0"/>
    <x v="0"/>
    <x v="7"/>
    <x v="9"/>
    <n v="288.93605366441199"/>
    <n v="17576.943264585101"/>
    <n v="63276.9957525063"/>
  </r>
  <r>
    <x v="0"/>
    <x v="0"/>
    <x v="0"/>
    <x v="2"/>
    <x v="3"/>
    <s v="FIN_HP"/>
    <x v="0"/>
    <x v="0"/>
    <x v="7"/>
    <x v="10"/>
    <n v="282.039168176126"/>
    <n v="17157.3827307143"/>
    <n v="61766.577830571601"/>
  </r>
  <r>
    <x v="0"/>
    <x v="0"/>
    <x v="0"/>
    <x v="2"/>
    <x v="3"/>
    <s v="FIN_HP"/>
    <x v="0"/>
    <x v="0"/>
    <x v="7"/>
    <x v="11"/>
    <n v="280.78328008911598"/>
    <n v="17080.982872087901"/>
    <n v="61491.538339516403"/>
  </r>
  <r>
    <x v="0"/>
    <x v="0"/>
    <x v="0"/>
    <x v="2"/>
    <x v="3"/>
    <s v="FIN_HP"/>
    <x v="0"/>
    <x v="0"/>
    <x v="8"/>
    <x v="0"/>
    <n v="239.34496918570699"/>
    <n v="14560.1522921305"/>
    <n v="52416.548251669701"/>
  </r>
  <r>
    <x v="0"/>
    <x v="0"/>
    <x v="0"/>
    <x v="2"/>
    <x v="3"/>
    <s v="FIN_HP"/>
    <x v="0"/>
    <x v="0"/>
    <x v="8"/>
    <x v="1"/>
    <n v="241.55561823582701"/>
    <n v="14694.6334426795"/>
    <n v="52900.680393645998"/>
  </r>
  <r>
    <x v="0"/>
    <x v="0"/>
    <x v="0"/>
    <x v="2"/>
    <x v="3"/>
    <s v="FIN_HP"/>
    <x v="0"/>
    <x v="0"/>
    <x v="8"/>
    <x v="2"/>
    <n v="249.59109493867101"/>
    <n v="15183.4582754358"/>
    <n v="54660.449791568899"/>
  </r>
  <r>
    <x v="0"/>
    <x v="0"/>
    <x v="0"/>
    <x v="2"/>
    <x v="3"/>
    <s v="FIN_HP"/>
    <x v="0"/>
    <x v="0"/>
    <x v="8"/>
    <x v="3"/>
    <n v="257.45380488422302"/>
    <n v="15661.773130456901"/>
    <n v="56382.383269644903"/>
  </r>
  <r>
    <x v="0"/>
    <x v="0"/>
    <x v="0"/>
    <x v="2"/>
    <x v="3"/>
    <s v="FIN_HP"/>
    <x v="0"/>
    <x v="0"/>
    <x v="8"/>
    <x v="4"/>
    <n v="274.343579419099"/>
    <n v="16689.2344146619"/>
    <n v="60081.243892782797"/>
  </r>
  <r>
    <x v="0"/>
    <x v="0"/>
    <x v="0"/>
    <x v="2"/>
    <x v="3"/>
    <s v="FIN_HP"/>
    <x v="0"/>
    <x v="0"/>
    <x v="8"/>
    <x v="5"/>
    <n v="290.33086597763599"/>
    <n v="17661.794346972802"/>
    <n v="63582.459649102202"/>
  </r>
  <r>
    <x v="0"/>
    <x v="0"/>
    <x v="0"/>
    <x v="2"/>
    <x v="3"/>
    <s v="FIN_HP"/>
    <x v="0"/>
    <x v="0"/>
    <x v="8"/>
    <x v="6"/>
    <n v="341.62777520248699"/>
    <n v="20782.356324817902"/>
    <n v="74816.482769344599"/>
  </r>
  <r>
    <x v="0"/>
    <x v="0"/>
    <x v="0"/>
    <x v="2"/>
    <x v="3"/>
    <s v="FIN_HP"/>
    <x v="0"/>
    <x v="0"/>
    <x v="8"/>
    <x v="7"/>
    <n v="373.44174097997598"/>
    <n v="22717.705909615201"/>
    <n v="81783.741274614804"/>
  </r>
  <r>
    <x v="0"/>
    <x v="0"/>
    <x v="0"/>
    <x v="2"/>
    <x v="3"/>
    <s v="FIN_HP"/>
    <x v="0"/>
    <x v="0"/>
    <x v="8"/>
    <x v="8"/>
    <n v="382.82820684616303"/>
    <n v="23288.715916474899"/>
    <n v="83839.377299309694"/>
  </r>
  <r>
    <x v="0"/>
    <x v="0"/>
    <x v="0"/>
    <x v="2"/>
    <x v="3"/>
    <s v="FIN_HP"/>
    <x v="0"/>
    <x v="0"/>
    <x v="8"/>
    <x v="9"/>
    <n v="373.52775304754903"/>
    <n v="22722.938310392601"/>
    <n v="81802.577917413306"/>
  </r>
  <r>
    <x v="0"/>
    <x v="0"/>
    <x v="0"/>
    <x v="2"/>
    <x v="3"/>
    <s v="FIN_HP"/>
    <x v="0"/>
    <x v="0"/>
    <x v="8"/>
    <x v="10"/>
    <n v="357.47726180130201"/>
    <n v="21746.5334262459"/>
    <n v="78287.520334485205"/>
  </r>
  <r>
    <x v="0"/>
    <x v="0"/>
    <x v="0"/>
    <x v="2"/>
    <x v="3"/>
    <s v="FIN_HP"/>
    <x v="0"/>
    <x v="0"/>
    <x v="8"/>
    <x v="11"/>
    <n v="341.73882666555198"/>
    <n v="20789.1119554877"/>
    <n v="74840.803039755905"/>
  </r>
  <r>
    <x v="0"/>
    <x v="0"/>
    <x v="0"/>
    <x v="2"/>
    <x v="3"/>
    <s v="FIN_HP"/>
    <x v="0"/>
    <x v="0"/>
    <x v="9"/>
    <x v="0"/>
    <n v="252.46665322947999"/>
    <n v="15358.38807146"/>
    <n v="55290.197057256097"/>
  </r>
  <r>
    <x v="0"/>
    <x v="0"/>
    <x v="0"/>
    <x v="2"/>
    <x v="3"/>
    <s v="FIN_HP"/>
    <x v="0"/>
    <x v="0"/>
    <x v="9"/>
    <x v="1"/>
    <n v="253.12763922040099"/>
    <n v="15398.5980525744"/>
    <n v="55434.952989267898"/>
  </r>
  <r>
    <x v="0"/>
    <x v="0"/>
    <x v="0"/>
    <x v="2"/>
    <x v="3"/>
    <s v="FIN_HP"/>
    <x v="0"/>
    <x v="0"/>
    <x v="9"/>
    <x v="2"/>
    <n v="261.06377521270002"/>
    <n v="15881.379658772599"/>
    <n v="57172.966771581298"/>
  </r>
  <r>
    <x v="0"/>
    <x v="0"/>
    <x v="0"/>
    <x v="2"/>
    <x v="3"/>
    <s v="FIN_HP"/>
    <x v="0"/>
    <x v="0"/>
    <x v="9"/>
    <x v="3"/>
    <n v="266.30572263143898"/>
    <n v="16200.2647934125"/>
    <n v="58320.953256285102"/>
  </r>
  <r>
    <x v="0"/>
    <x v="0"/>
    <x v="0"/>
    <x v="2"/>
    <x v="3"/>
    <s v="FIN_HP"/>
    <x v="0"/>
    <x v="0"/>
    <x v="9"/>
    <x v="4"/>
    <n v="281.63708712812002"/>
    <n v="17132.922800294"/>
    <n v="61678.5220810584"/>
  </r>
  <r>
    <x v="0"/>
    <x v="0"/>
    <x v="0"/>
    <x v="2"/>
    <x v="3"/>
    <s v="FIN_HP"/>
    <x v="0"/>
    <x v="0"/>
    <x v="9"/>
    <x v="5"/>
    <n v="297.04435741458798"/>
    <n v="18070.198409387402"/>
    <n v="65052.7142737947"/>
  </r>
  <r>
    <x v="0"/>
    <x v="0"/>
    <x v="0"/>
    <x v="2"/>
    <x v="3"/>
    <s v="FIN_HP"/>
    <x v="0"/>
    <x v="0"/>
    <x v="9"/>
    <x v="6"/>
    <n v="346.436523813333"/>
    <n v="21074.888531977798"/>
    <n v="75869.598715119995"/>
  </r>
  <r>
    <x v="0"/>
    <x v="0"/>
    <x v="0"/>
    <x v="2"/>
    <x v="3"/>
    <s v="FIN_HP"/>
    <x v="0"/>
    <x v="0"/>
    <x v="9"/>
    <x v="7"/>
    <n v="372.83474654119499"/>
    <n v="22680.780414589401"/>
    <n v="81650.809492521701"/>
  </r>
  <r>
    <x v="0"/>
    <x v="0"/>
    <x v="0"/>
    <x v="2"/>
    <x v="3"/>
    <s v="FIN_HP"/>
    <x v="0"/>
    <x v="0"/>
    <x v="9"/>
    <x v="8"/>
    <n v="372.64212415512702"/>
    <n v="22669.0625527702"/>
    <n v="81608.625189972794"/>
  </r>
  <r>
    <x v="0"/>
    <x v="0"/>
    <x v="0"/>
    <x v="2"/>
    <x v="3"/>
    <s v="FIN_HP"/>
    <x v="0"/>
    <x v="0"/>
    <x v="9"/>
    <x v="9"/>
    <n v="358.635765480293"/>
    <n v="21817.009066717801"/>
    <n v="78541.232640184098"/>
  </r>
  <r>
    <x v="0"/>
    <x v="0"/>
    <x v="0"/>
    <x v="2"/>
    <x v="3"/>
    <s v="FIN_HP"/>
    <x v="0"/>
    <x v="0"/>
    <x v="9"/>
    <x v="10"/>
    <n v="336.868740226689"/>
    <n v="20492.848363790199"/>
    <n v="73774.254109644797"/>
  </r>
  <r>
    <x v="0"/>
    <x v="0"/>
    <x v="0"/>
    <x v="2"/>
    <x v="3"/>
    <s v="FIN_HP"/>
    <x v="0"/>
    <x v="0"/>
    <x v="9"/>
    <x v="11"/>
    <n v="317.05409710108898"/>
    <n v="19287.457573649601"/>
    <n v="69434.847265138495"/>
  </r>
  <r>
    <x v="0"/>
    <x v="0"/>
    <x v="0"/>
    <x v="2"/>
    <x v="3"/>
    <s v="FIN_HP"/>
    <x v="0"/>
    <x v="0"/>
    <x v="10"/>
    <x v="0"/>
    <n v="156.143409809373"/>
    <n v="9498.7240967368598"/>
    <n v="34195.406748252703"/>
  </r>
  <r>
    <x v="0"/>
    <x v="0"/>
    <x v="0"/>
    <x v="2"/>
    <x v="3"/>
    <s v="FIN_HP"/>
    <x v="0"/>
    <x v="0"/>
    <x v="10"/>
    <x v="1"/>
    <n v="156.73221246402699"/>
    <n v="9534.5429248949695"/>
    <n v="34324.354529621902"/>
  </r>
  <r>
    <x v="0"/>
    <x v="0"/>
    <x v="0"/>
    <x v="2"/>
    <x v="3"/>
    <s v="FIN_HP"/>
    <x v="0"/>
    <x v="0"/>
    <x v="10"/>
    <x v="2"/>
    <n v="159.59337949106899"/>
    <n v="9708.5972523733508"/>
    <n v="34950.950108544101"/>
  </r>
  <r>
    <x v="0"/>
    <x v="0"/>
    <x v="0"/>
    <x v="2"/>
    <x v="3"/>
    <s v="FIN_HP"/>
    <x v="0"/>
    <x v="0"/>
    <x v="10"/>
    <x v="3"/>
    <n v="165.695484959346"/>
    <n v="10079.8086683602"/>
    <n v="36287.311206096703"/>
  </r>
  <r>
    <x v="0"/>
    <x v="0"/>
    <x v="0"/>
    <x v="2"/>
    <x v="3"/>
    <s v="FIN_HP"/>
    <x v="0"/>
    <x v="0"/>
    <x v="10"/>
    <x v="4"/>
    <n v="175.49176775320299"/>
    <n v="10675.7492049865"/>
    <n v="38432.697137951502"/>
  </r>
  <r>
    <x v="0"/>
    <x v="0"/>
    <x v="0"/>
    <x v="2"/>
    <x v="3"/>
    <s v="FIN_HP"/>
    <x v="0"/>
    <x v="0"/>
    <x v="10"/>
    <x v="5"/>
    <n v="190.53384758661699"/>
    <n v="11590.8090615192"/>
    <n v="41726.912621469099"/>
  </r>
  <r>
    <x v="0"/>
    <x v="0"/>
    <x v="0"/>
    <x v="2"/>
    <x v="3"/>
    <s v="FIN_HP"/>
    <x v="0"/>
    <x v="0"/>
    <x v="10"/>
    <x v="6"/>
    <n v="226.09592155828801"/>
    <n v="13754.1685614625"/>
    <n v="49515.006821265102"/>
  </r>
  <r>
    <x v="0"/>
    <x v="0"/>
    <x v="0"/>
    <x v="2"/>
    <x v="3"/>
    <s v="FIN_HP"/>
    <x v="0"/>
    <x v="0"/>
    <x v="10"/>
    <x v="7"/>
    <n v="239.95343199929701"/>
    <n v="14597.167113290599"/>
    <n v="52549.801607846101"/>
  </r>
  <r>
    <x v="0"/>
    <x v="0"/>
    <x v="0"/>
    <x v="2"/>
    <x v="3"/>
    <s v="FIN_HP"/>
    <x v="0"/>
    <x v="0"/>
    <x v="10"/>
    <x v="8"/>
    <n v="234.12969095408201"/>
    <n v="14242.889533039999"/>
    <n v="51274.402318943903"/>
  </r>
  <r>
    <x v="0"/>
    <x v="0"/>
    <x v="0"/>
    <x v="2"/>
    <x v="3"/>
    <s v="FIN_HP"/>
    <x v="0"/>
    <x v="0"/>
    <x v="10"/>
    <x v="9"/>
    <n v="218.94385154639301"/>
    <n v="13319.084302405599"/>
    <n v="47948.703488660103"/>
  </r>
  <r>
    <x v="0"/>
    <x v="0"/>
    <x v="0"/>
    <x v="2"/>
    <x v="3"/>
    <s v="FIN_HP"/>
    <x v="0"/>
    <x v="0"/>
    <x v="10"/>
    <x v="10"/>
    <n v="205.33556158169199"/>
    <n v="12491.2466628863"/>
    <n v="44968.487986390603"/>
  </r>
  <r>
    <x v="0"/>
    <x v="0"/>
    <x v="0"/>
    <x v="2"/>
    <x v="3"/>
    <s v="FIN_HP"/>
    <x v="0"/>
    <x v="0"/>
    <x v="10"/>
    <x v="11"/>
    <n v="198.32219667521599"/>
    <n v="12064.6002977423"/>
    <n v="43432.561071872296"/>
  </r>
  <r>
    <x v="0"/>
    <x v="0"/>
    <x v="0"/>
    <x v="2"/>
    <x v="3"/>
    <s v="FIN_HP"/>
    <x v="0"/>
    <x v="0"/>
    <x v="11"/>
    <x v="0"/>
    <n v="181.785731441813"/>
    <n v="11058.631996043599"/>
    <n v="39811.075185756999"/>
  </r>
  <r>
    <x v="0"/>
    <x v="0"/>
    <x v="0"/>
    <x v="2"/>
    <x v="3"/>
    <s v="FIN_HP"/>
    <x v="0"/>
    <x v="0"/>
    <x v="11"/>
    <x v="1"/>
    <n v="181.89963623720999"/>
    <n v="11065.5612044303"/>
    <n v="39836.020335949099"/>
  </r>
  <r>
    <x v="0"/>
    <x v="0"/>
    <x v="0"/>
    <x v="2"/>
    <x v="3"/>
    <s v="FIN_HP"/>
    <x v="0"/>
    <x v="0"/>
    <x v="11"/>
    <x v="2"/>
    <n v="187.333012381137"/>
    <n v="11396.0915865192"/>
    <n v="41025.929711468998"/>
  </r>
  <r>
    <x v="0"/>
    <x v="0"/>
    <x v="0"/>
    <x v="2"/>
    <x v="3"/>
    <s v="FIN_HP"/>
    <x v="0"/>
    <x v="0"/>
    <x v="11"/>
    <x v="3"/>
    <n v="194.387801753888"/>
    <n v="11825.257940028199"/>
    <n v="42570.928584101603"/>
  </r>
  <r>
    <x v="0"/>
    <x v="0"/>
    <x v="0"/>
    <x v="2"/>
    <x v="3"/>
    <s v="FIN_HP"/>
    <x v="0"/>
    <x v="0"/>
    <x v="11"/>
    <x v="4"/>
    <n v="205.95507565559299"/>
    <n v="12528.933769048601"/>
    <n v="45104.161568574797"/>
  </r>
  <r>
    <x v="0"/>
    <x v="0"/>
    <x v="0"/>
    <x v="2"/>
    <x v="3"/>
    <s v="FIN_HP"/>
    <x v="0"/>
    <x v="0"/>
    <x v="11"/>
    <x v="5"/>
    <n v="221.234579134043"/>
    <n v="13458.436897321"/>
    <n v="48450.372830355402"/>
  </r>
  <r>
    <x v="0"/>
    <x v="0"/>
    <x v="0"/>
    <x v="2"/>
    <x v="3"/>
    <s v="FIN_HP"/>
    <x v="0"/>
    <x v="0"/>
    <x v="11"/>
    <x v="6"/>
    <n v="260.87508424072399"/>
    <n v="15869.900957977399"/>
    <n v="57131.643448718598"/>
  </r>
  <r>
    <x v="0"/>
    <x v="0"/>
    <x v="0"/>
    <x v="2"/>
    <x v="3"/>
    <s v="FIN_HP"/>
    <x v="0"/>
    <x v="0"/>
    <x v="11"/>
    <x v="7"/>
    <n v="277.81057750189501"/>
    <n v="16900.143464698602"/>
    <n v="60840.5164729151"/>
  </r>
  <r>
    <x v="0"/>
    <x v="0"/>
    <x v="0"/>
    <x v="2"/>
    <x v="3"/>
    <s v="FIN_HP"/>
    <x v="0"/>
    <x v="0"/>
    <x v="11"/>
    <x v="8"/>
    <n v="273.990683207112"/>
    <n v="16667.766561765999"/>
    <n v="60003.959622357499"/>
  </r>
  <r>
    <x v="0"/>
    <x v="0"/>
    <x v="0"/>
    <x v="2"/>
    <x v="3"/>
    <s v="FIN_HP"/>
    <x v="0"/>
    <x v="0"/>
    <x v="11"/>
    <x v="9"/>
    <n v="261.21554232113999"/>
    <n v="15890.6121578693"/>
    <n v="57206.2037683296"/>
  </r>
  <r>
    <x v="0"/>
    <x v="0"/>
    <x v="0"/>
    <x v="2"/>
    <x v="3"/>
    <s v="FIN_HP"/>
    <x v="0"/>
    <x v="0"/>
    <x v="11"/>
    <x v="10"/>
    <n v="245.21799740401701"/>
    <n v="14917.428175411"/>
    <n v="53702.741431479699"/>
  </r>
  <r>
    <x v="0"/>
    <x v="0"/>
    <x v="0"/>
    <x v="2"/>
    <x v="3"/>
    <s v="FIN_HP"/>
    <x v="0"/>
    <x v="0"/>
    <x v="11"/>
    <x v="11"/>
    <n v="235.18069599829701"/>
    <n v="14306.8256732297"/>
    <n v="51504.572423627098"/>
  </r>
  <r>
    <x v="0"/>
    <x v="0"/>
    <x v="0"/>
    <x v="2"/>
    <x v="3"/>
    <s v="FIN_OTHER"/>
    <x v="0"/>
    <x v="0"/>
    <x v="0"/>
    <x v="0"/>
    <n v="1351.4382241005401"/>
    <n v="82212.4919661163"/>
    <n v="295964.97107801901"/>
  </r>
  <r>
    <x v="0"/>
    <x v="0"/>
    <x v="0"/>
    <x v="2"/>
    <x v="3"/>
    <s v="FIN_OTHER"/>
    <x v="0"/>
    <x v="0"/>
    <x v="0"/>
    <x v="1"/>
    <n v="1338.05521387472"/>
    <n v="81398.358844045695"/>
    <n v="293034.09183856403"/>
  </r>
  <r>
    <x v="0"/>
    <x v="0"/>
    <x v="0"/>
    <x v="2"/>
    <x v="3"/>
    <s v="FIN_OTHER"/>
    <x v="0"/>
    <x v="0"/>
    <x v="0"/>
    <x v="2"/>
    <n v="1332.2295127953701"/>
    <n v="81043.962028384994"/>
    <n v="291758.26330218598"/>
  </r>
  <r>
    <x v="0"/>
    <x v="0"/>
    <x v="0"/>
    <x v="2"/>
    <x v="3"/>
    <s v="FIN_OTHER"/>
    <x v="0"/>
    <x v="0"/>
    <x v="0"/>
    <x v="3"/>
    <n v="1350.0144872635699"/>
    <n v="82125.881308533702"/>
    <n v="295653.17271072097"/>
  </r>
  <r>
    <x v="0"/>
    <x v="0"/>
    <x v="0"/>
    <x v="2"/>
    <x v="3"/>
    <s v="FIN_OTHER"/>
    <x v="0"/>
    <x v="0"/>
    <x v="0"/>
    <x v="4"/>
    <n v="1395.55424469887"/>
    <n v="84896.216552514801"/>
    <n v="305626.37958905299"/>
  </r>
  <r>
    <x v="0"/>
    <x v="0"/>
    <x v="0"/>
    <x v="2"/>
    <x v="3"/>
    <s v="FIN_OTHER"/>
    <x v="0"/>
    <x v="0"/>
    <x v="0"/>
    <x v="5"/>
    <n v="1527.7631603525499"/>
    <n v="92938.925588113503"/>
    <n v="334580.13211720798"/>
  </r>
  <r>
    <x v="0"/>
    <x v="0"/>
    <x v="0"/>
    <x v="2"/>
    <x v="3"/>
    <s v="FIN_OTHER"/>
    <x v="0"/>
    <x v="0"/>
    <x v="0"/>
    <x v="6"/>
    <n v="1806.12722217395"/>
    <n v="109872.739348915"/>
    <n v="395541.86165609403"/>
  </r>
  <r>
    <x v="0"/>
    <x v="0"/>
    <x v="0"/>
    <x v="2"/>
    <x v="3"/>
    <s v="FIN_OTHER"/>
    <x v="0"/>
    <x v="0"/>
    <x v="0"/>
    <x v="7"/>
    <n v="1953.1394272822799"/>
    <n v="118815.981826339"/>
    <n v="427737.53457482002"/>
  </r>
  <r>
    <x v="0"/>
    <x v="0"/>
    <x v="0"/>
    <x v="2"/>
    <x v="3"/>
    <s v="FIN_OTHER"/>
    <x v="0"/>
    <x v="0"/>
    <x v="0"/>
    <x v="8"/>
    <n v="1959.08089536955"/>
    <n v="119177.42113498101"/>
    <n v="429038.716085931"/>
  </r>
  <r>
    <x v="0"/>
    <x v="0"/>
    <x v="0"/>
    <x v="2"/>
    <x v="3"/>
    <s v="FIN_OTHER"/>
    <x v="0"/>
    <x v="0"/>
    <x v="0"/>
    <x v="9"/>
    <n v="1916.47007514286"/>
    <n v="116585.262904524"/>
    <n v="419706.94645628601"/>
  </r>
  <r>
    <x v="0"/>
    <x v="0"/>
    <x v="0"/>
    <x v="2"/>
    <x v="3"/>
    <s v="FIN_OTHER"/>
    <x v="0"/>
    <x v="0"/>
    <x v="0"/>
    <x v="10"/>
    <n v="1885.8699197849801"/>
    <n v="114723.75345358701"/>
    <n v="413005.51243291103"/>
  </r>
  <r>
    <x v="0"/>
    <x v="0"/>
    <x v="0"/>
    <x v="2"/>
    <x v="3"/>
    <s v="FIN_OTHER"/>
    <x v="0"/>
    <x v="0"/>
    <x v="0"/>
    <x v="11"/>
    <n v="1876.1003710157599"/>
    <n v="114129.43923679199"/>
    <n v="410865.98125245201"/>
  </r>
  <r>
    <x v="0"/>
    <x v="0"/>
    <x v="0"/>
    <x v="2"/>
    <x v="3"/>
    <s v="FIN_OTHER"/>
    <x v="0"/>
    <x v="0"/>
    <x v="1"/>
    <x v="0"/>
    <n v="1757.32849461867"/>
    <n v="106904.150089303"/>
    <n v="384854.940321489"/>
  </r>
  <r>
    <x v="0"/>
    <x v="0"/>
    <x v="0"/>
    <x v="2"/>
    <x v="3"/>
    <s v="FIN_OTHER"/>
    <x v="0"/>
    <x v="0"/>
    <x v="1"/>
    <x v="1"/>
    <n v="1734.8307767153699"/>
    <n v="105535.53891685201"/>
    <n v="379927.94010066602"/>
  </r>
  <r>
    <x v="0"/>
    <x v="0"/>
    <x v="0"/>
    <x v="2"/>
    <x v="3"/>
    <s v="FIN_OTHER"/>
    <x v="0"/>
    <x v="0"/>
    <x v="1"/>
    <x v="2"/>
    <n v="1742.0585934324299"/>
    <n v="105975.231100473"/>
    <n v="381510.83196170302"/>
  </r>
  <r>
    <x v="0"/>
    <x v="0"/>
    <x v="0"/>
    <x v="2"/>
    <x v="3"/>
    <s v="FIN_OTHER"/>
    <x v="0"/>
    <x v="0"/>
    <x v="1"/>
    <x v="3"/>
    <n v="1777.7742085442701"/>
    <n v="108147.931019777"/>
    <n v="389332.55167119601"/>
  </r>
  <r>
    <x v="0"/>
    <x v="0"/>
    <x v="0"/>
    <x v="2"/>
    <x v="3"/>
    <s v="FIN_OTHER"/>
    <x v="0"/>
    <x v="0"/>
    <x v="1"/>
    <x v="4"/>
    <n v="1850.74994775199"/>
    <n v="112587.28848824601"/>
    <n v="405314.23855768598"/>
  </r>
  <r>
    <x v="0"/>
    <x v="0"/>
    <x v="0"/>
    <x v="2"/>
    <x v="3"/>
    <s v="FIN_OTHER"/>
    <x v="0"/>
    <x v="0"/>
    <x v="1"/>
    <x v="5"/>
    <n v="1988.33113168354"/>
    <n v="120956.810510749"/>
    <n v="435444.51783869602"/>
  </r>
  <r>
    <x v="0"/>
    <x v="0"/>
    <x v="0"/>
    <x v="2"/>
    <x v="3"/>
    <s v="FIN_OTHER"/>
    <x v="0"/>
    <x v="0"/>
    <x v="1"/>
    <x v="6"/>
    <n v="2330.3060884603001"/>
    <n v="141760.28704800099"/>
    <n v="510337.03337280499"/>
  </r>
  <r>
    <x v="0"/>
    <x v="0"/>
    <x v="0"/>
    <x v="2"/>
    <x v="3"/>
    <s v="FIN_OTHER"/>
    <x v="0"/>
    <x v="0"/>
    <x v="1"/>
    <x v="7"/>
    <n v="2523.1202016912498"/>
    <n v="153489.81226955101"/>
    <n v="552563.32417038397"/>
  </r>
  <r>
    <x v="0"/>
    <x v="0"/>
    <x v="0"/>
    <x v="2"/>
    <x v="3"/>
    <s v="FIN_OTHER"/>
    <x v="0"/>
    <x v="0"/>
    <x v="1"/>
    <x v="8"/>
    <n v="2526.2094959175301"/>
    <n v="153677.744334983"/>
    <n v="553239.87960593996"/>
  </r>
  <r>
    <x v="0"/>
    <x v="0"/>
    <x v="0"/>
    <x v="2"/>
    <x v="3"/>
    <s v="FIN_OTHER"/>
    <x v="0"/>
    <x v="0"/>
    <x v="1"/>
    <x v="9"/>
    <n v="2475.5920307351398"/>
    <n v="150598.51520305499"/>
    <n v="542154.65473099705"/>
  </r>
  <r>
    <x v="0"/>
    <x v="0"/>
    <x v="0"/>
    <x v="2"/>
    <x v="3"/>
    <s v="FIN_OTHER"/>
    <x v="0"/>
    <x v="0"/>
    <x v="1"/>
    <x v="10"/>
    <n v="2393.7036224559602"/>
    <n v="145616.97036607101"/>
    <n v="524221.09331785399"/>
  </r>
  <r>
    <x v="0"/>
    <x v="0"/>
    <x v="0"/>
    <x v="2"/>
    <x v="3"/>
    <s v="FIN_OTHER"/>
    <x v="0"/>
    <x v="0"/>
    <x v="1"/>
    <x v="11"/>
    <n v="2334.5418184356899"/>
    <n v="142017.96062150499"/>
    <n v="511264.65823741601"/>
  </r>
  <r>
    <x v="0"/>
    <x v="0"/>
    <x v="0"/>
    <x v="2"/>
    <x v="3"/>
    <s v="FIN_OTHER"/>
    <x v="0"/>
    <x v="0"/>
    <x v="2"/>
    <x v="0"/>
    <n v="1946.33988847403"/>
    <n v="118402.343215503"/>
    <n v="426248.43557581201"/>
  </r>
  <r>
    <x v="0"/>
    <x v="0"/>
    <x v="0"/>
    <x v="2"/>
    <x v="3"/>
    <s v="FIN_OTHER"/>
    <x v="0"/>
    <x v="0"/>
    <x v="2"/>
    <x v="1"/>
    <n v="1939.6603039417901"/>
    <n v="117996.001823126"/>
    <n v="424785.60656325298"/>
  </r>
  <r>
    <x v="0"/>
    <x v="0"/>
    <x v="0"/>
    <x v="2"/>
    <x v="3"/>
    <s v="FIN_OTHER"/>
    <x v="0"/>
    <x v="0"/>
    <x v="2"/>
    <x v="2"/>
    <n v="1969.41690163986"/>
    <n v="119806.194849758"/>
    <n v="431302.30145913002"/>
  </r>
  <r>
    <x v="0"/>
    <x v="0"/>
    <x v="0"/>
    <x v="2"/>
    <x v="3"/>
    <s v="FIN_OTHER"/>
    <x v="0"/>
    <x v="0"/>
    <x v="2"/>
    <x v="3"/>
    <n v="2043.52717693414"/>
    <n v="124314.56993016"/>
    <n v="447532.451748577"/>
  </r>
  <r>
    <x v="0"/>
    <x v="0"/>
    <x v="0"/>
    <x v="2"/>
    <x v="3"/>
    <s v="FIN_OTHER"/>
    <x v="0"/>
    <x v="0"/>
    <x v="2"/>
    <x v="4"/>
    <n v="2174.56160259124"/>
    <n v="132285.83082430001"/>
    <n v="476228.99096748099"/>
  </r>
  <r>
    <x v="0"/>
    <x v="0"/>
    <x v="0"/>
    <x v="2"/>
    <x v="3"/>
    <s v="FIN_OTHER"/>
    <x v="0"/>
    <x v="0"/>
    <x v="2"/>
    <x v="5"/>
    <n v="2352.9161598979599"/>
    <n v="143135.733060459"/>
    <n v="515288.639017654"/>
  </r>
  <r>
    <x v="0"/>
    <x v="0"/>
    <x v="0"/>
    <x v="2"/>
    <x v="3"/>
    <s v="FIN_OTHER"/>
    <x v="0"/>
    <x v="0"/>
    <x v="2"/>
    <x v="6"/>
    <n v="2767.0222463166001"/>
    <n v="168327.186650927"/>
    <n v="605977.87194333598"/>
  </r>
  <r>
    <x v="0"/>
    <x v="0"/>
    <x v="0"/>
    <x v="2"/>
    <x v="3"/>
    <s v="FIN_OTHER"/>
    <x v="0"/>
    <x v="0"/>
    <x v="2"/>
    <x v="7"/>
    <n v="3013.5589436098398"/>
    <n v="183324.835736265"/>
    <n v="659969.408650556"/>
  </r>
  <r>
    <x v="0"/>
    <x v="0"/>
    <x v="0"/>
    <x v="2"/>
    <x v="3"/>
    <s v="FIN_OTHER"/>
    <x v="0"/>
    <x v="0"/>
    <x v="2"/>
    <x v="8"/>
    <n v="3022.0492978932598"/>
    <n v="183841.33228850699"/>
    <n v="661828.79623862403"/>
  </r>
  <r>
    <x v="0"/>
    <x v="0"/>
    <x v="0"/>
    <x v="2"/>
    <x v="3"/>
    <s v="FIN_OTHER"/>
    <x v="0"/>
    <x v="0"/>
    <x v="2"/>
    <x v="9"/>
    <n v="2977.1066188977802"/>
    <n v="181107.31931628101"/>
    <n v="651986.34953861299"/>
  </r>
  <r>
    <x v="0"/>
    <x v="0"/>
    <x v="0"/>
    <x v="2"/>
    <x v="3"/>
    <s v="FIN_OTHER"/>
    <x v="0"/>
    <x v="0"/>
    <x v="2"/>
    <x v="10"/>
    <n v="2866.3262207828898"/>
    <n v="174368.178430959"/>
    <n v="627725.44235145301"/>
  </r>
  <r>
    <x v="0"/>
    <x v="0"/>
    <x v="0"/>
    <x v="2"/>
    <x v="3"/>
    <s v="FIN_OTHER"/>
    <x v="0"/>
    <x v="0"/>
    <x v="2"/>
    <x v="11"/>
    <n v="2786.1813545559598"/>
    <n v="169492.69906882101"/>
    <n v="610173.71664775501"/>
  </r>
  <r>
    <x v="0"/>
    <x v="0"/>
    <x v="0"/>
    <x v="2"/>
    <x v="3"/>
    <s v="FIN_OTHER"/>
    <x v="0"/>
    <x v="0"/>
    <x v="3"/>
    <x v="0"/>
    <n v="1454.9645025437501"/>
    <n v="88510.340571411594"/>
    <n v="318637.22605708201"/>
  </r>
  <r>
    <x v="0"/>
    <x v="0"/>
    <x v="0"/>
    <x v="2"/>
    <x v="3"/>
    <s v="FIN_OTHER"/>
    <x v="0"/>
    <x v="0"/>
    <x v="3"/>
    <x v="1"/>
    <n v="1442.2737885414101"/>
    <n v="87738.3221362693"/>
    <n v="315857.95969057002"/>
  </r>
  <r>
    <x v="0"/>
    <x v="0"/>
    <x v="0"/>
    <x v="2"/>
    <x v="3"/>
    <s v="FIN_OTHER"/>
    <x v="0"/>
    <x v="0"/>
    <x v="3"/>
    <x v="2"/>
    <n v="1441.58635810379"/>
    <n v="87696.503451313794"/>
    <n v="315707.41242473002"/>
  </r>
  <r>
    <x v="0"/>
    <x v="0"/>
    <x v="0"/>
    <x v="2"/>
    <x v="3"/>
    <s v="FIN_OTHER"/>
    <x v="0"/>
    <x v="0"/>
    <x v="3"/>
    <x v="3"/>
    <n v="1466.05910154603"/>
    <n v="89185.262010716702"/>
    <n v="321066.94323858002"/>
  </r>
  <r>
    <x v="0"/>
    <x v="0"/>
    <x v="0"/>
    <x v="2"/>
    <x v="3"/>
    <s v="FIN_OTHER"/>
    <x v="0"/>
    <x v="0"/>
    <x v="3"/>
    <x v="4"/>
    <n v="1523.2328402754099"/>
    <n v="92663.331116753907"/>
    <n v="333587.99202031398"/>
  </r>
  <r>
    <x v="0"/>
    <x v="0"/>
    <x v="0"/>
    <x v="2"/>
    <x v="3"/>
    <s v="FIN_OTHER"/>
    <x v="0"/>
    <x v="0"/>
    <x v="3"/>
    <x v="5"/>
    <n v="1655.4685262248299"/>
    <n v="100707.668678677"/>
    <n v="362547.60724323802"/>
  </r>
  <r>
    <x v="0"/>
    <x v="0"/>
    <x v="0"/>
    <x v="2"/>
    <x v="3"/>
    <s v="FIN_OTHER"/>
    <x v="0"/>
    <x v="0"/>
    <x v="3"/>
    <x v="6"/>
    <n v="1950.3744411836501"/>
    <n v="118647.778505339"/>
    <n v="427132.00261921901"/>
  </r>
  <r>
    <x v="0"/>
    <x v="0"/>
    <x v="0"/>
    <x v="2"/>
    <x v="3"/>
    <s v="FIN_OTHER"/>
    <x v="0"/>
    <x v="0"/>
    <x v="3"/>
    <x v="7"/>
    <n v="2110.4144691633001"/>
    <n v="128383.546874101"/>
    <n v="462180.76874676399"/>
  </r>
  <r>
    <x v="0"/>
    <x v="0"/>
    <x v="0"/>
    <x v="2"/>
    <x v="3"/>
    <s v="FIN_OTHER"/>
    <x v="0"/>
    <x v="0"/>
    <x v="3"/>
    <x v="8"/>
    <n v="2126.6085355374798"/>
    <n v="129368.68591186299"/>
    <n v="465727.269282708"/>
  </r>
  <r>
    <x v="0"/>
    <x v="0"/>
    <x v="0"/>
    <x v="2"/>
    <x v="3"/>
    <s v="FIN_OTHER"/>
    <x v="0"/>
    <x v="0"/>
    <x v="3"/>
    <x v="9"/>
    <n v="2105.3650188012898"/>
    <n v="128076.371977078"/>
    <n v="461074.93911748199"/>
  </r>
  <r>
    <x v="0"/>
    <x v="0"/>
    <x v="0"/>
    <x v="2"/>
    <x v="3"/>
    <s v="FIN_OTHER"/>
    <x v="0"/>
    <x v="0"/>
    <x v="3"/>
    <x v="10"/>
    <n v="2075.64873146335"/>
    <n v="126268.631164021"/>
    <n v="454567.07219047402"/>
  </r>
  <r>
    <x v="0"/>
    <x v="0"/>
    <x v="0"/>
    <x v="2"/>
    <x v="3"/>
    <s v="FIN_OTHER"/>
    <x v="0"/>
    <x v="0"/>
    <x v="3"/>
    <x v="11"/>
    <n v="2089.1338418404198"/>
    <n v="127088.975378626"/>
    <n v="457520.31136305199"/>
  </r>
  <r>
    <x v="0"/>
    <x v="0"/>
    <x v="0"/>
    <x v="2"/>
    <x v="3"/>
    <s v="FIN_OTHER"/>
    <x v="0"/>
    <x v="0"/>
    <x v="4"/>
    <x v="0"/>
    <n v="2081.2181002572402"/>
    <n v="126607.434432315"/>
    <n v="455786.76395633502"/>
  </r>
  <r>
    <x v="0"/>
    <x v="0"/>
    <x v="0"/>
    <x v="2"/>
    <x v="3"/>
    <s v="FIN_OTHER"/>
    <x v="0"/>
    <x v="0"/>
    <x v="4"/>
    <x v="1"/>
    <n v="2050.3790275282799"/>
    <n v="124731.390841304"/>
    <n v="449033.00702869298"/>
  </r>
  <r>
    <x v="0"/>
    <x v="0"/>
    <x v="0"/>
    <x v="2"/>
    <x v="3"/>
    <s v="FIN_OTHER"/>
    <x v="0"/>
    <x v="0"/>
    <x v="4"/>
    <x v="2"/>
    <n v="2064.6578603747598"/>
    <n v="125600.01983946501"/>
    <n v="452160.07142207399"/>
  </r>
  <r>
    <x v="0"/>
    <x v="0"/>
    <x v="0"/>
    <x v="2"/>
    <x v="3"/>
    <s v="FIN_OTHER"/>
    <x v="0"/>
    <x v="0"/>
    <x v="4"/>
    <x v="3"/>
    <n v="2109.0205830782902"/>
    <n v="128298.752137263"/>
    <n v="461875.50769414601"/>
  </r>
  <r>
    <x v="0"/>
    <x v="0"/>
    <x v="0"/>
    <x v="2"/>
    <x v="3"/>
    <s v="FIN_OTHER"/>
    <x v="0"/>
    <x v="0"/>
    <x v="4"/>
    <x v="4"/>
    <n v="2190.59470335673"/>
    <n v="133261.17778753501"/>
    <n v="479740.24003512401"/>
  </r>
  <r>
    <x v="0"/>
    <x v="0"/>
    <x v="0"/>
    <x v="2"/>
    <x v="3"/>
    <s v="FIN_OTHER"/>
    <x v="0"/>
    <x v="0"/>
    <x v="4"/>
    <x v="5"/>
    <n v="2322.2152801586899"/>
    <n v="141268.096209654"/>
    <n v="508565.14635475399"/>
  </r>
  <r>
    <x v="0"/>
    <x v="0"/>
    <x v="0"/>
    <x v="2"/>
    <x v="3"/>
    <s v="FIN_OTHER"/>
    <x v="0"/>
    <x v="0"/>
    <x v="4"/>
    <x v="6"/>
    <n v="2704.9272465773502"/>
    <n v="164549.74083345599"/>
    <n v="592379.06700044102"/>
  </r>
  <r>
    <x v="0"/>
    <x v="0"/>
    <x v="0"/>
    <x v="2"/>
    <x v="3"/>
    <s v="FIN_OTHER"/>
    <x v="0"/>
    <x v="0"/>
    <x v="4"/>
    <x v="7"/>
    <n v="2925.00807130875"/>
    <n v="177937.99100461599"/>
    <n v="640576.76761661703"/>
  </r>
  <r>
    <x v="0"/>
    <x v="0"/>
    <x v="0"/>
    <x v="2"/>
    <x v="3"/>
    <s v="FIN_OTHER"/>
    <x v="0"/>
    <x v="0"/>
    <x v="4"/>
    <x v="8"/>
    <n v="2916.8133647694699"/>
    <n v="177439.47969014299"/>
    <n v="638782.12688451295"/>
  </r>
  <r>
    <x v="0"/>
    <x v="0"/>
    <x v="0"/>
    <x v="2"/>
    <x v="3"/>
    <s v="FIN_OTHER"/>
    <x v="0"/>
    <x v="0"/>
    <x v="4"/>
    <x v="9"/>
    <n v="2858.37461676165"/>
    <n v="173884.45585300101"/>
    <n v="625984.04107080202"/>
  </r>
  <r>
    <x v="0"/>
    <x v="0"/>
    <x v="0"/>
    <x v="2"/>
    <x v="3"/>
    <s v="FIN_OTHER"/>
    <x v="0"/>
    <x v="0"/>
    <x v="4"/>
    <x v="10"/>
    <n v="2732.8884955100698"/>
    <n v="166250.716810196"/>
    <n v="598502.58051670506"/>
  </r>
  <r>
    <x v="0"/>
    <x v="0"/>
    <x v="0"/>
    <x v="2"/>
    <x v="3"/>
    <s v="FIN_OTHER"/>
    <x v="0"/>
    <x v="0"/>
    <x v="4"/>
    <x v="11"/>
    <n v="2644.4975377693499"/>
    <n v="160873.60021430199"/>
    <n v="579144.96077148698"/>
  </r>
  <r>
    <x v="0"/>
    <x v="0"/>
    <x v="0"/>
    <x v="2"/>
    <x v="3"/>
    <s v="FIN_OTHER"/>
    <x v="0"/>
    <x v="0"/>
    <x v="5"/>
    <x v="0"/>
    <n v="1823.9657682186401"/>
    <n v="110957.917566634"/>
    <n v="399448.503239882"/>
  </r>
  <r>
    <x v="0"/>
    <x v="0"/>
    <x v="0"/>
    <x v="2"/>
    <x v="3"/>
    <s v="FIN_OTHER"/>
    <x v="0"/>
    <x v="0"/>
    <x v="5"/>
    <x v="1"/>
    <n v="1795.27963019605"/>
    <n v="109212.84417026"/>
    <n v="393166.23901293502"/>
  </r>
  <r>
    <x v="0"/>
    <x v="0"/>
    <x v="0"/>
    <x v="2"/>
    <x v="3"/>
    <s v="FIN_OTHER"/>
    <x v="0"/>
    <x v="0"/>
    <x v="5"/>
    <x v="2"/>
    <n v="1802.6936846450101"/>
    <n v="109663.865815905"/>
    <n v="394789.916937256"/>
  </r>
  <r>
    <x v="0"/>
    <x v="0"/>
    <x v="0"/>
    <x v="2"/>
    <x v="3"/>
    <s v="FIN_OTHER"/>
    <x v="0"/>
    <x v="0"/>
    <x v="5"/>
    <x v="3"/>
    <n v="1820.4529359225901"/>
    <n v="110744.22026862401"/>
    <n v="398679.19296704698"/>
  </r>
  <r>
    <x v="0"/>
    <x v="0"/>
    <x v="0"/>
    <x v="2"/>
    <x v="3"/>
    <s v="FIN_OTHER"/>
    <x v="0"/>
    <x v="0"/>
    <x v="5"/>
    <x v="4"/>
    <n v="1860.78249111224"/>
    <n v="113197.601542662"/>
    <n v="407511.36555358203"/>
  </r>
  <r>
    <x v="0"/>
    <x v="0"/>
    <x v="0"/>
    <x v="2"/>
    <x v="3"/>
    <s v="FIN_OTHER"/>
    <x v="0"/>
    <x v="0"/>
    <x v="5"/>
    <x v="5"/>
    <n v="1993.7395322735499"/>
    <n v="121285.821546641"/>
    <n v="436628.957567907"/>
  </r>
  <r>
    <x v="0"/>
    <x v="0"/>
    <x v="0"/>
    <x v="2"/>
    <x v="3"/>
    <s v="FIN_OTHER"/>
    <x v="0"/>
    <x v="0"/>
    <x v="5"/>
    <x v="6"/>
    <n v="2329.7062395899102"/>
    <n v="141723.79624172"/>
    <n v="510205.66647018999"/>
  </r>
  <r>
    <x v="0"/>
    <x v="0"/>
    <x v="0"/>
    <x v="2"/>
    <x v="3"/>
    <s v="FIN_OTHER"/>
    <x v="0"/>
    <x v="0"/>
    <x v="5"/>
    <x v="7"/>
    <n v="2512.6018242208702"/>
    <n v="152849.94430676999"/>
    <n v="550259.79950437194"/>
  </r>
  <r>
    <x v="0"/>
    <x v="0"/>
    <x v="0"/>
    <x v="2"/>
    <x v="3"/>
    <s v="FIN_OTHER"/>
    <x v="0"/>
    <x v="0"/>
    <x v="5"/>
    <x v="8"/>
    <n v="2504.8692661949099"/>
    <n v="152379.54702685701"/>
    <n v="548566.36929668498"/>
  </r>
  <r>
    <x v="0"/>
    <x v="0"/>
    <x v="0"/>
    <x v="2"/>
    <x v="3"/>
    <s v="FIN_OTHER"/>
    <x v="0"/>
    <x v="0"/>
    <x v="5"/>
    <x v="9"/>
    <n v="2446.2612231974299"/>
    <n v="148814.22441117701"/>
    <n v="535731.20788023795"/>
  </r>
  <r>
    <x v="0"/>
    <x v="0"/>
    <x v="0"/>
    <x v="2"/>
    <x v="3"/>
    <s v="FIN_OTHER"/>
    <x v="0"/>
    <x v="0"/>
    <x v="5"/>
    <x v="10"/>
    <n v="2371.44277136349"/>
    <n v="144262.76859127899"/>
    <n v="519345.96692860301"/>
  </r>
  <r>
    <x v="0"/>
    <x v="0"/>
    <x v="0"/>
    <x v="2"/>
    <x v="3"/>
    <s v="FIN_OTHER"/>
    <x v="0"/>
    <x v="0"/>
    <x v="5"/>
    <x v="11"/>
    <n v="2350.7287740837601"/>
    <n v="143002.66709009599"/>
    <n v="514809.60152434499"/>
  </r>
  <r>
    <x v="0"/>
    <x v="0"/>
    <x v="0"/>
    <x v="2"/>
    <x v="3"/>
    <s v="FIN_OTHER"/>
    <x v="0"/>
    <x v="0"/>
    <x v="6"/>
    <x v="0"/>
    <n v="1700.9878927802699"/>
    <n v="103476.763477466"/>
    <n v="372516.34851887898"/>
  </r>
  <r>
    <x v="0"/>
    <x v="0"/>
    <x v="0"/>
    <x v="2"/>
    <x v="3"/>
    <s v="FIN_OTHER"/>
    <x v="0"/>
    <x v="0"/>
    <x v="6"/>
    <x v="1"/>
    <n v="1690.82297958392"/>
    <n v="102858.397924688"/>
    <n v="370290.23252887803"/>
  </r>
  <r>
    <x v="0"/>
    <x v="0"/>
    <x v="0"/>
    <x v="2"/>
    <x v="3"/>
    <s v="FIN_OTHER"/>
    <x v="0"/>
    <x v="0"/>
    <x v="6"/>
    <x v="2"/>
    <n v="1703.33556483233"/>
    <n v="103619.58019396701"/>
    <n v="373030.48869828001"/>
  </r>
  <r>
    <x v="0"/>
    <x v="0"/>
    <x v="0"/>
    <x v="2"/>
    <x v="3"/>
    <s v="FIN_OTHER"/>
    <x v="0"/>
    <x v="0"/>
    <x v="6"/>
    <x v="3"/>
    <n v="1749.1274684820901"/>
    <n v="106405.25433266"/>
    <n v="383058.915597577"/>
  </r>
  <r>
    <x v="0"/>
    <x v="0"/>
    <x v="0"/>
    <x v="2"/>
    <x v="3"/>
    <s v="FIN_OTHER"/>
    <x v="0"/>
    <x v="0"/>
    <x v="6"/>
    <x v="4"/>
    <n v="1837.5445375128099"/>
    <n v="111783.959365363"/>
    <n v="402422.25371530501"/>
  </r>
  <r>
    <x v="0"/>
    <x v="0"/>
    <x v="0"/>
    <x v="2"/>
    <x v="3"/>
    <s v="FIN_OTHER"/>
    <x v="0"/>
    <x v="0"/>
    <x v="6"/>
    <x v="5"/>
    <n v="1982.38110236527"/>
    <n v="120594.850393887"/>
    <n v="434141.461417994"/>
  </r>
  <r>
    <x v="0"/>
    <x v="0"/>
    <x v="0"/>
    <x v="2"/>
    <x v="3"/>
    <s v="FIN_OTHER"/>
    <x v="0"/>
    <x v="0"/>
    <x v="6"/>
    <x v="6"/>
    <n v="2320.0647465331499"/>
    <n v="141137.272080767"/>
    <n v="508094.17949076102"/>
  </r>
  <r>
    <x v="0"/>
    <x v="0"/>
    <x v="0"/>
    <x v="2"/>
    <x v="3"/>
    <s v="FIN_OTHER"/>
    <x v="0"/>
    <x v="0"/>
    <x v="6"/>
    <x v="7"/>
    <n v="2530.3024633540599"/>
    <n v="153926.73318737201"/>
    <n v="554136.23947453999"/>
  </r>
  <r>
    <x v="0"/>
    <x v="0"/>
    <x v="0"/>
    <x v="2"/>
    <x v="3"/>
    <s v="FIN_OTHER"/>
    <x v="0"/>
    <x v="0"/>
    <x v="6"/>
    <x v="8"/>
    <n v="2589.7605238780102"/>
    <n v="157543.765202579"/>
    <n v="567157.55472928297"/>
  </r>
  <r>
    <x v="0"/>
    <x v="0"/>
    <x v="0"/>
    <x v="2"/>
    <x v="3"/>
    <s v="FIN_OTHER"/>
    <x v="0"/>
    <x v="0"/>
    <x v="6"/>
    <x v="9"/>
    <n v="2626.8668663079802"/>
    <n v="159801.067700402"/>
    <n v="575283.84372144798"/>
  </r>
  <r>
    <x v="0"/>
    <x v="0"/>
    <x v="0"/>
    <x v="2"/>
    <x v="3"/>
    <s v="FIN_OTHER"/>
    <x v="0"/>
    <x v="0"/>
    <x v="6"/>
    <x v="10"/>
    <n v="2590.8714401092602"/>
    <n v="157611.34593998"/>
    <n v="567400.84538392897"/>
  </r>
  <r>
    <x v="0"/>
    <x v="0"/>
    <x v="0"/>
    <x v="2"/>
    <x v="3"/>
    <s v="FIN_OTHER"/>
    <x v="0"/>
    <x v="0"/>
    <x v="6"/>
    <x v="11"/>
    <n v="2603.9004056391"/>
    <n v="158403.94134304501"/>
    <n v="570254.18883496302"/>
  </r>
  <r>
    <x v="0"/>
    <x v="0"/>
    <x v="0"/>
    <x v="2"/>
    <x v="3"/>
    <s v="FIN_OTHER"/>
    <x v="0"/>
    <x v="0"/>
    <x v="7"/>
    <x v="0"/>
    <n v="1396.7445171193999"/>
    <n v="84968.624791429902"/>
    <n v="305887.049249148"/>
  </r>
  <r>
    <x v="0"/>
    <x v="0"/>
    <x v="0"/>
    <x v="2"/>
    <x v="3"/>
    <s v="FIN_OTHER"/>
    <x v="0"/>
    <x v="0"/>
    <x v="7"/>
    <x v="1"/>
    <n v="1379.1048291033601"/>
    <n v="83895.543770454096"/>
    <n v="302023.95757363498"/>
  </r>
  <r>
    <x v="0"/>
    <x v="0"/>
    <x v="0"/>
    <x v="2"/>
    <x v="3"/>
    <s v="FIN_OTHER"/>
    <x v="0"/>
    <x v="0"/>
    <x v="7"/>
    <x v="2"/>
    <n v="1373.2362636272301"/>
    <n v="83538.539370656494"/>
    <n v="300738.74173436302"/>
  </r>
  <r>
    <x v="0"/>
    <x v="0"/>
    <x v="0"/>
    <x v="2"/>
    <x v="3"/>
    <s v="FIN_OTHER"/>
    <x v="0"/>
    <x v="0"/>
    <x v="7"/>
    <x v="3"/>
    <n v="1387.1587447381801"/>
    <n v="84385.490304906198"/>
    <n v="303787.76509766199"/>
  </r>
  <r>
    <x v="0"/>
    <x v="0"/>
    <x v="0"/>
    <x v="2"/>
    <x v="3"/>
    <s v="FIN_OTHER"/>
    <x v="0"/>
    <x v="0"/>
    <x v="7"/>
    <x v="4"/>
    <n v="1433.0570198872899"/>
    <n v="87177.635376476901"/>
    <n v="313839.48735531699"/>
  </r>
  <r>
    <x v="0"/>
    <x v="0"/>
    <x v="0"/>
    <x v="2"/>
    <x v="3"/>
    <s v="FIN_OTHER"/>
    <x v="0"/>
    <x v="0"/>
    <x v="7"/>
    <x v="5"/>
    <n v="1560.01242800656"/>
    <n v="94900.756037066007"/>
    <n v="341642.72173343698"/>
  </r>
  <r>
    <x v="0"/>
    <x v="0"/>
    <x v="0"/>
    <x v="2"/>
    <x v="3"/>
    <s v="FIN_OTHER"/>
    <x v="0"/>
    <x v="0"/>
    <x v="7"/>
    <x v="6"/>
    <n v="1839.35424308963"/>
    <n v="111894.049787952"/>
    <n v="402818.57923662802"/>
  </r>
  <r>
    <x v="0"/>
    <x v="0"/>
    <x v="0"/>
    <x v="2"/>
    <x v="3"/>
    <s v="FIN_OTHER"/>
    <x v="0"/>
    <x v="0"/>
    <x v="7"/>
    <x v="7"/>
    <n v="1984.5922467665"/>
    <n v="120729.361678296"/>
    <n v="434625.70204186399"/>
  </r>
  <r>
    <x v="0"/>
    <x v="0"/>
    <x v="0"/>
    <x v="2"/>
    <x v="3"/>
    <s v="FIN_OTHER"/>
    <x v="0"/>
    <x v="0"/>
    <x v="7"/>
    <x v="8"/>
    <n v="1992.7227783431399"/>
    <n v="121223.969015874"/>
    <n v="436406.28845714702"/>
  </r>
  <r>
    <x v="0"/>
    <x v="0"/>
    <x v="0"/>
    <x v="2"/>
    <x v="3"/>
    <s v="FIN_OTHER"/>
    <x v="0"/>
    <x v="0"/>
    <x v="7"/>
    <x v="9"/>
    <n v="1946.1959059926901"/>
    <n v="118393.58428122201"/>
    <n v="426216.903412399"/>
  </r>
  <r>
    <x v="0"/>
    <x v="0"/>
    <x v="0"/>
    <x v="2"/>
    <x v="3"/>
    <s v="FIN_OTHER"/>
    <x v="0"/>
    <x v="0"/>
    <x v="7"/>
    <x v="10"/>
    <n v="1924.8584055623401"/>
    <n v="117095.55300504201"/>
    <n v="421543.99081815197"/>
  </r>
  <r>
    <x v="0"/>
    <x v="0"/>
    <x v="0"/>
    <x v="2"/>
    <x v="3"/>
    <s v="FIN_OTHER"/>
    <x v="0"/>
    <x v="0"/>
    <x v="7"/>
    <x v="11"/>
    <n v="1926.06790759965"/>
    <n v="117169.131045645"/>
    <n v="421808.87176432199"/>
  </r>
  <r>
    <x v="0"/>
    <x v="0"/>
    <x v="0"/>
    <x v="2"/>
    <x v="3"/>
    <s v="FIN_OTHER"/>
    <x v="0"/>
    <x v="0"/>
    <x v="8"/>
    <x v="0"/>
    <n v="1554.6396482537"/>
    <n v="94573.911935433702"/>
    <n v="340466.08296756097"/>
  </r>
  <r>
    <x v="0"/>
    <x v="0"/>
    <x v="0"/>
    <x v="2"/>
    <x v="3"/>
    <s v="FIN_OTHER"/>
    <x v="0"/>
    <x v="0"/>
    <x v="8"/>
    <x v="1"/>
    <n v="1565.1570156494899"/>
    <n v="95213.718452010697"/>
    <n v="342769.38642723899"/>
  </r>
  <r>
    <x v="0"/>
    <x v="0"/>
    <x v="0"/>
    <x v="2"/>
    <x v="3"/>
    <s v="FIN_OTHER"/>
    <x v="0"/>
    <x v="0"/>
    <x v="8"/>
    <x v="2"/>
    <n v="1594.46251504254"/>
    <n v="96996.469665088094"/>
    <n v="349187.29079431703"/>
  </r>
  <r>
    <x v="0"/>
    <x v="0"/>
    <x v="0"/>
    <x v="2"/>
    <x v="3"/>
    <s v="FIN_OTHER"/>
    <x v="0"/>
    <x v="0"/>
    <x v="8"/>
    <x v="3"/>
    <n v="1632.0402644896401"/>
    <n v="99282.449423119993"/>
    <n v="357416.81792323198"/>
  </r>
  <r>
    <x v="0"/>
    <x v="0"/>
    <x v="0"/>
    <x v="2"/>
    <x v="3"/>
    <s v="FIN_OTHER"/>
    <x v="0"/>
    <x v="0"/>
    <x v="8"/>
    <x v="4"/>
    <n v="1708.0332209143601"/>
    <n v="103905.35427229"/>
    <n v="374059.275380245"/>
  </r>
  <r>
    <x v="0"/>
    <x v="0"/>
    <x v="0"/>
    <x v="2"/>
    <x v="3"/>
    <s v="FIN_OTHER"/>
    <x v="0"/>
    <x v="0"/>
    <x v="8"/>
    <x v="5"/>
    <n v="1832.1424591002201"/>
    <n v="111455.332928597"/>
    <n v="401239.19854294899"/>
  </r>
  <r>
    <x v="0"/>
    <x v="0"/>
    <x v="0"/>
    <x v="2"/>
    <x v="3"/>
    <s v="FIN_OTHER"/>
    <x v="0"/>
    <x v="0"/>
    <x v="8"/>
    <x v="6"/>
    <n v="2154.1908633675698"/>
    <n v="131046.61085486101"/>
    <n v="471767.79907749902"/>
  </r>
  <r>
    <x v="0"/>
    <x v="0"/>
    <x v="0"/>
    <x v="2"/>
    <x v="3"/>
    <s v="FIN_OTHER"/>
    <x v="0"/>
    <x v="0"/>
    <x v="8"/>
    <x v="7"/>
    <n v="2314.61580632611"/>
    <n v="140805.79488483799"/>
    <n v="506900.861585418"/>
  </r>
  <r>
    <x v="0"/>
    <x v="0"/>
    <x v="0"/>
    <x v="2"/>
    <x v="3"/>
    <s v="FIN_OTHER"/>
    <x v="0"/>
    <x v="0"/>
    <x v="8"/>
    <x v="8"/>
    <n v="2318.94634539656"/>
    <n v="141069.23601162399"/>
    <n v="507849.24964184698"/>
  </r>
  <r>
    <x v="0"/>
    <x v="0"/>
    <x v="0"/>
    <x v="2"/>
    <x v="3"/>
    <s v="FIN_OTHER"/>
    <x v="0"/>
    <x v="0"/>
    <x v="8"/>
    <x v="9"/>
    <n v="2264.1573155188698"/>
    <n v="137736.23669406399"/>
    <n v="495850.452098632"/>
  </r>
  <r>
    <x v="0"/>
    <x v="0"/>
    <x v="0"/>
    <x v="2"/>
    <x v="3"/>
    <s v="FIN_OTHER"/>
    <x v="0"/>
    <x v="0"/>
    <x v="8"/>
    <x v="10"/>
    <n v="2204.2698726620602"/>
    <n v="134093.083920276"/>
    <n v="482735.10211299203"/>
  </r>
  <r>
    <x v="0"/>
    <x v="0"/>
    <x v="0"/>
    <x v="2"/>
    <x v="3"/>
    <s v="FIN_OTHER"/>
    <x v="0"/>
    <x v="0"/>
    <x v="8"/>
    <x v="11"/>
    <n v="2170.2570110562401"/>
    <n v="132023.96817258801"/>
    <n v="475286.28542131599"/>
  </r>
  <r>
    <x v="0"/>
    <x v="0"/>
    <x v="0"/>
    <x v="2"/>
    <x v="3"/>
    <s v="FIN_OTHER"/>
    <x v="0"/>
    <x v="0"/>
    <x v="9"/>
    <x v="0"/>
    <n v="1505.6549033999499"/>
    <n v="91594.006623496694"/>
    <n v="329738.42384458799"/>
  </r>
  <r>
    <x v="0"/>
    <x v="0"/>
    <x v="0"/>
    <x v="2"/>
    <x v="3"/>
    <s v="FIN_OTHER"/>
    <x v="0"/>
    <x v="0"/>
    <x v="9"/>
    <x v="1"/>
    <n v="1523.7285522602899"/>
    <n v="92693.486929167397"/>
    <n v="333696.55294500297"/>
  </r>
  <r>
    <x v="0"/>
    <x v="0"/>
    <x v="0"/>
    <x v="2"/>
    <x v="3"/>
    <s v="FIN_OTHER"/>
    <x v="0"/>
    <x v="0"/>
    <x v="9"/>
    <x v="2"/>
    <n v="1560.07754381618"/>
    <n v="94904.717248817804"/>
    <n v="341656.982095744"/>
  </r>
  <r>
    <x v="0"/>
    <x v="0"/>
    <x v="0"/>
    <x v="2"/>
    <x v="3"/>
    <s v="FIN_OTHER"/>
    <x v="0"/>
    <x v="0"/>
    <x v="9"/>
    <x v="3"/>
    <n v="1613.5261932204201"/>
    <n v="98156.176754242304"/>
    <n v="353362.23631527199"/>
  </r>
  <r>
    <x v="0"/>
    <x v="0"/>
    <x v="0"/>
    <x v="2"/>
    <x v="3"/>
    <s v="FIN_OTHER"/>
    <x v="0"/>
    <x v="0"/>
    <x v="9"/>
    <x v="4"/>
    <n v="1712.5296072669501"/>
    <n v="104178.884442073"/>
    <n v="375043.98399146198"/>
  </r>
  <r>
    <x v="0"/>
    <x v="0"/>
    <x v="0"/>
    <x v="2"/>
    <x v="3"/>
    <s v="FIN_OTHER"/>
    <x v="0"/>
    <x v="0"/>
    <x v="9"/>
    <x v="5"/>
    <n v="1843.05722462875"/>
    <n v="112119.314498249"/>
    <n v="403629.532193697"/>
  </r>
  <r>
    <x v="0"/>
    <x v="0"/>
    <x v="0"/>
    <x v="2"/>
    <x v="3"/>
    <s v="FIN_OTHER"/>
    <x v="0"/>
    <x v="0"/>
    <x v="9"/>
    <x v="6"/>
    <n v="2168.2155493180999"/>
    <n v="131899.77925018399"/>
    <n v="474839.20530066401"/>
  </r>
  <r>
    <x v="0"/>
    <x v="0"/>
    <x v="0"/>
    <x v="2"/>
    <x v="3"/>
    <s v="FIN_OTHER"/>
    <x v="0"/>
    <x v="0"/>
    <x v="9"/>
    <x v="7"/>
    <n v="2321.6457226195998"/>
    <n v="141233.44812602599"/>
    <n v="508440.41325369198"/>
  </r>
  <r>
    <x v="0"/>
    <x v="0"/>
    <x v="0"/>
    <x v="2"/>
    <x v="3"/>
    <s v="FIN_OTHER"/>
    <x v="0"/>
    <x v="0"/>
    <x v="9"/>
    <x v="8"/>
    <n v="2293.97145377692"/>
    <n v="139549.93010476301"/>
    <n v="502379.74837714498"/>
  </r>
  <r>
    <x v="0"/>
    <x v="0"/>
    <x v="0"/>
    <x v="2"/>
    <x v="3"/>
    <s v="FIN_OTHER"/>
    <x v="0"/>
    <x v="0"/>
    <x v="9"/>
    <x v="9"/>
    <n v="2197.6802477758802"/>
    <n v="133692.215073033"/>
    <n v="481291.97426291899"/>
  </r>
  <r>
    <x v="0"/>
    <x v="0"/>
    <x v="0"/>
    <x v="2"/>
    <x v="3"/>
    <s v="FIN_OTHER"/>
    <x v="0"/>
    <x v="0"/>
    <x v="9"/>
    <x v="10"/>
    <n v="2077.0559124239298"/>
    <n v="126354.234672456"/>
    <n v="454875.24482084101"/>
  </r>
  <r>
    <x v="0"/>
    <x v="0"/>
    <x v="0"/>
    <x v="2"/>
    <x v="3"/>
    <s v="FIN_OTHER"/>
    <x v="0"/>
    <x v="0"/>
    <x v="9"/>
    <x v="11"/>
    <n v="2001.8766023656999"/>
    <n v="121780.82664391299"/>
    <n v="438410.97591808799"/>
  </r>
  <r>
    <x v="0"/>
    <x v="0"/>
    <x v="0"/>
    <x v="2"/>
    <x v="3"/>
    <s v="FIN_OTHER"/>
    <x v="0"/>
    <x v="0"/>
    <x v="10"/>
    <x v="0"/>
    <n v="1062.02674616388"/>
    <n v="64606.627058302802"/>
    <n v="232583.85740989001"/>
  </r>
  <r>
    <x v="0"/>
    <x v="0"/>
    <x v="0"/>
    <x v="2"/>
    <x v="3"/>
    <s v="FIN_OTHER"/>
    <x v="0"/>
    <x v="0"/>
    <x v="10"/>
    <x v="1"/>
    <n v="1072.33549847943"/>
    <n v="65233.742824165201"/>
    <n v="234841.474166995"/>
  </r>
  <r>
    <x v="0"/>
    <x v="0"/>
    <x v="0"/>
    <x v="2"/>
    <x v="3"/>
    <s v="FIN_OTHER"/>
    <x v="0"/>
    <x v="0"/>
    <x v="10"/>
    <x v="2"/>
    <n v="1069.5111498649601"/>
    <n v="65061.928283451998"/>
    <n v="234222.94182042699"/>
  </r>
  <r>
    <x v="0"/>
    <x v="0"/>
    <x v="0"/>
    <x v="2"/>
    <x v="3"/>
    <s v="FIN_OTHER"/>
    <x v="0"/>
    <x v="0"/>
    <x v="10"/>
    <x v="3"/>
    <n v="1101.52882095167"/>
    <n v="67009.669941226603"/>
    <n v="241234.811788416"/>
  </r>
  <r>
    <x v="0"/>
    <x v="0"/>
    <x v="0"/>
    <x v="2"/>
    <x v="3"/>
    <s v="FIN_OTHER"/>
    <x v="0"/>
    <x v="0"/>
    <x v="10"/>
    <x v="4"/>
    <n v="1140.0768447486601"/>
    <n v="69354.674722209995"/>
    <n v="249676.82899995599"/>
  </r>
  <r>
    <x v="0"/>
    <x v="0"/>
    <x v="0"/>
    <x v="2"/>
    <x v="3"/>
    <s v="FIN_OTHER"/>
    <x v="0"/>
    <x v="0"/>
    <x v="10"/>
    <x v="5"/>
    <n v="1257.5125611082101"/>
    <n v="76498.680800749702"/>
    <n v="275395.25088269898"/>
  </r>
  <r>
    <x v="0"/>
    <x v="0"/>
    <x v="0"/>
    <x v="2"/>
    <x v="3"/>
    <s v="FIN_OTHER"/>
    <x v="0"/>
    <x v="0"/>
    <x v="10"/>
    <x v="6"/>
    <n v="1487.1173104157999"/>
    <n v="90466.3030502943"/>
    <n v="325678.69098105899"/>
  </r>
  <r>
    <x v="0"/>
    <x v="0"/>
    <x v="0"/>
    <x v="2"/>
    <x v="3"/>
    <s v="FIN_OTHER"/>
    <x v="0"/>
    <x v="0"/>
    <x v="10"/>
    <x v="7"/>
    <n v="1538.09764605645"/>
    <n v="93567.606801767193"/>
    <n v="336843.38448636199"/>
  </r>
  <r>
    <x v="0"/>
    <x v="0"/>
    <x v="0"/>
    <x v="2"/>
    <x v="3"/>
    <s v="FIN_OTHER"/>
    <x v="0"/>
    <x v="0"/>
    <x v="10"/>
    <x v="8"/>
    <n v="1435.0787783580499"/>
    <n v="87300.625683448205"/>
    <n v="314282.25246041402"/>
  </r>
  <r>
    <x v="0"/>
    <x v="0"/>
    <x v="0"/>
    <x v="2"/>
    <x v="3"/>
    <s v="FIN_OTHER"/>
    <x v="0"/>
    <x v="0"/>
    <x v="10"/>
    <x v="9"/>
    <n v="1320.9135227755201"/>
    <n v="80355.572635510907"/>
    <n v="289280.06148783898"/>
  </r>
  <r>
    <x v="0"/>
    <x v="0"/>
    <x v="0"/>
    <x v="2"/>
    <x v="3"/>
    <s v="FIN_OTHER"/>
    <x v="0"/>
    <x v="0"/>
    <x v="10"/>
    <x v="10"/>
    <n v="1224.9525339791101"/>
    <n v="74517.945817062297"/>
    <n v="268264.60494142398"/>
  </r>
  <r>
    <x v="0"/>
    <x v="0"/>
    <x v="0"/>
    <x v="2"/>
    <x v="3"/>
    <s v="FIN_OTHER"/>
    <x v="0"/>
    <x v="0"/>
    <x v="10"/>
    <x v="11"/>
    <n v="1177.2988864955501"/>
    <n v="71619.015595145902"/>
    <n v="257828.45614252501"/>
  </r>
  <r>
    <x v="0"/>
    <x v="0"/>
    <x v="0"/>
    <x v="2"/>
    <x v="3"/>
    <s v="FIN_OTHER"/>
    <x v="0"/>
    <x v="0"/>
    <x v="11"/>
    <x v="0"/>
    <n v="1086.45454802525"/>
    <n v="66092.651671535801"/>
    <n v="237933.54601752901"/>
  </r>
  <r>
    <x v="0"/>
    <x v="0"/>
    <x v="0"/>
    <x v="2"/>
    <x v="3"/>
    <s v="FIN_OTHER"/>
    <x v="0"/>
    <x v="0"/>
    <x v="11"/>
    <x v="1"/>
    <n v="1093.4887919206201"/>
    <n v="66520.568175171298"/>
    <n v="239474.045430617"/>
  </r>
  <r>
    <x v="0"/>
    <x v="0"/>
    <x v="0"/>
    <x v="2"/>
    <x v="3"/>
    <s v="FIN_OTHER"/>
    <x v="0"/>
    <x v="0"/>
    <x v="11"/>
    <x v="2"/>
    <n v="1095.6554950582699"/>
    <n v="66652.375949378402"/>
    <n v="239948.55341776201"/>
  </r>
  <r>
    <x v="0"/>
    <x v="0"/>
    <x v="0"/>
    <x v="2"/>
    <x v="3"/>
    <s v="FIN_OTHER"/>
    <x v="0"/>
    <x v="0"/>
    <x v="11"/>
    <x v="3"/>
    <n v="1138.01546320276"/>
    <n v="69229.274011501198"/>
    <n v="249225.386441404"/>
  </r>
  <r>
    <x v="0"/>
    <x v="0"/>
    <x v="0"/>
    <x v="2"/>
    <x v="3"/>
    <s v="FIN_OTHER"/>
    <x v="0"/>
    <x v="0"/>
    <x v="11"/>
    <x v="4"/>
    <n v="1193.8788521782201"/>
    <n v="72627.630174174905"/>
    <n v="261459.46862703"/>
  </r>
  <r>
    <x v="0"/>
    <x v="0"/>
    <x v="0"/>
    <x v="2"/>
    <x v="3"/>
    <s v="FIN_OTHER"/>
    <x v="0"/>
    <x v="0"/>
    <x v="11"/>
    <x v="5"/>
    <n v="1318.1261851300801"/>
    <n v="80186.009595412994"/>
    <n v="288669.63454348699"/>
  </r>
  <r>
    <x v="0"/>
    <x v="0"/>
    <x v="0"/>
    <x v="2"/>
    <x v="3"/>
    <s v="FIN_OTHER"/>
    <x v="0"/>
    <x v="0"/>
    <x v="11"/>
    <x v="6"/>
    <n v="1574.4727441972"/>
    <n v="95780.425271996297"/>
    <n v="344809.53097918699"/>
  </r>
  <r>
    <x v="0"/>
    <x v="0"/>
    <x v="0"/>
    <x v="2"/>
    <x v="3"/>
    <s v="FIN_OTHER"/>
    <x v="0"/>
    <x v="0"/>
    <x v="11"/>
    <x v="7"/>
    <n v="1686.81869418366"/>
    <n v="102614.80389617301"/>
    <n v="369413.29402622202"/>
  </r>
  <r>
    <x v="0"/>
    <x v="0"/>
    <x v="0"/>
    <x v="2"/>
    <x v="3"/>
    <s v="FIN_OTHER"/>
    <x v="0"/>
    <x v="0"/>
    <x v="11"/>
    <x v="8"/>
    <n v="1667.4327031298201"/>
    <n v="101435.489440398"/>
    <n v="365167.76198543102"/>
  </r>
  <r>
    <x v="0"/>
    <x v="0"/>
    <x v="0"/>
    <x v="2"/>
    <x v="3"/>
    <s v="FIN_OTHER"/>
    <x v="0"/>
    <x v="0"/>
    <x v="11"/>
    <x v="9"/>
    <n v="1615.7658702346801"/>
    <n v="98292.423772609603"/>
    <n v="353852.72558139497"/>
  </r>
  <r>
    <x v="0"/>
    <x v="0"/>
    <x v="0"/>
    <x v="2"/>
    <x v="3"/>
    <s v="FIN_OTHER"/>
    <x v="0"/>
    <x v="0"/>
    <x v="11"/>
    <x v="10"/>
    <n v="1575.2315061199799"/>
    <n v="95826.583288965398"/>
    <n v="344975.69984027499"/>
  </r>
  <r>
    <x v="0"/>
    <x v="0"/>
    <x v="0"/>
    <x v="2"/>
    <x v="3"/>
    <s v="FIN_OTHER"/>
    <x v="0"/>
    <x v="0"/>
    <x v="11"/>
    <x v="11"/>
    <n v="1560.5033915576701"/>
    <n v="94930.622986424802"/>
    <n v="341750.24275112897"/>
  </r>
  <r>
    <x v="0"/>
    <x v="0"/>
    <x v="0"/>
    <x v="2"/>
    <x v="3"/>
    <s v="FIN_TAMP"/>
    <x v="0"/>
    <x v="0"/>
    <x v="0"/>
    <x v="0"/>
    <n v="190.802494584226"/>
    <n v="11607.151753873801"/>
    <n v="41785.746313945601"/>
  </r>
  <r>
    <x v="0"/>
    <x v="0"/>
    <x v="0"/>
    <x v="2"/>
    <x v="3"/>
    <s v="FIN_TAMP"/>
    <x v="0"/>
    <x v="0"/>
    <x v="0"/>
    <x v="1"/>
    <n v="188.86447343158599"/>
    <n v="11489.2554670881"/>
    <n v="41361.3196815173"/>
  </r>
  <r>
    <x v="0"/>
    <x v="0"/>
    <x v="0"/>
    <x v="2"/>
    <x v="3"/>
    <s v="FIN_TAMP"/>
    <x v="0"/>
    <x v="0"/>
    <x v="0"/>
    <x v="2"/>
    <n v="187.84873321800899"/>
    <n v="11427.464604095499"/>
    <n v="41138.872574743997"/>
  </r>
  <r>
    <x v="0"/>
    <x v="0"/>
    <x v="0"/>
    <x v="2"/>
    <x v="3"/>
    <s v="FIN_TAMP"/>
    <x v="0"/>
    <x v="0"/>
    <x v="0"/>
    <x v="3"/>
    <n v="190.043626657972"/>
    <n v="11560.98728836"/>
    <n v="41619.554238095901"/>
  </r>
  <r>
    <x v="0"/>
    <x v="0"/>
    <x v="0"/>
    <x v="2"/>
    <x v="3"/>
    <s v="FIN_TAMP"/>
    <x v="0"/>
    <x v="0"/>
    <x v="0"/>
    <x v="4"/>
    <n v="196.14602367910601"/>
    <n v="11932.216440479"/>
    <n v="42955.979185724202"/>
  </r>
  <r>
    <x v="0"/>
    <x v="0"/>
    <x v="0"/>
    <x v="2"/>
    <x v="3"/>
    <s v="FIN_TAMP"/>
    <x v="0"/>
    <x v="0"/>
    <x v="0"/>
    <x v="5"/>
    <n v="214.779515645033"/>
    <n v="13065.7538684062"/>
    <n v="47036.713926262099"/>
  </r>
  <r>
    <x v="0"/>
    <x v="0"/>
    <x v="0"/>
    <x v="2"/>
    <x v="3"/>
    <s v="FIN_TAMP"/>
    <x v="0"/>
    <x v="0"/>
    <x v="0"/>
    <x v="6"/>
    <n v="254.61601454061699"/>
    <n v="15489.140884554199"/>
    <n v="55760.907184395001"/>
  </r>
  <r>
    <x v="0"/>
    <x v="0"/>
    <x v="0"/>
    <x v="2"/>
    <x v="3"/>
    <s v="FIN_TAMP"/>
    <x v="0"/>
    <x v="0"/>
    <x v="0"/>
    <x v="7"/>
    <n v="273.76499593556099"/>
    <n v="16654.037252746599"/>
    <n v="59954.534109887798"/>
  </r>
  <r>
    <x v="0"/>
    <x v="0"/>
    <x v="0"/>
    <x v="2"/>
    <x v="3"/>
    <s v="FIN_TAMP"/>
    <x v="0"/>
    <x v="0"/>
    <x v="0"/>
    <x v="8"/>
    <n v="273.03185875323101"/>
    <n v="16609.438074154899"/>
    <n v="59793.977066957603"/>
  </r>
  <r>
    <x v="0"/>
    <x v="0"/>
    <x v="0"/>
    <x v="2"/>
    <x v="3"/>
    <s v="FIN_TAMP"/>
    <x v="0"/>
    <x v="0"/>
    <x v="0"/>
    <x v="9"/>
    <n v="267.179384410154"/>
    <n v="16253.412551617699"/>
    <n v="58512.285185823697"/>
  </r>
  <r>
    <x v="0"/>
    <x v="0"/>
    <x v="0"/>
    <x v="2"/>
    <x v="3"/>
    <s v="FIN_TAMP"/>
    <x v="0"/>
    <x v="0"/>
    <x v="0"/>
    <x v="10"/>
    <n v="264.99210585915603"/>
    <n v="16120.353106432"/>
    <n v="58033.271183155099"/>
  </r>
  <r>
    <x v="0"/>
    <x v="0"/>
    <x v="0"/>
    <x v="2"/>
    <x v="3"/>
    <s v="FIN_TAMP"/>
    <x v="0"/>
    <x v="0"/>
    <x v="0"/>
    <x v="11"/>
    <n v="263.87139194175302"/>
    <n v="16052.176343123299"/>
    <n v="57787.834835243899"/>
  </r>
  <r>
    <x v="0"/>
    <x v="0"/>
    <x v="0"/>
    <x v="2"/>
    <x v="3"/>
    <s v="FIN_TAMP"/>
    <x v="0"/>
    <x v="0"/>
    <x v="1"/>
    <x v="0"/>
    <n v="254.39736794869"/>
    <n v="15475.839883545301"/>
    <n v="55713.023580763103"/>
  </r>
  <r>
    <x v="0"/>
    <x v="0"/>
    <x v="0"/>
    <x v="2"/>
    <x v="3"/>
    <s v="FIN_TAMP"/>
    <x v="0"/>
    <x v="0"/>
    <x v="1"/>
    <x v="1"/>
    <n v="251.63130462276499"/>
    <n v="15307.5710312182"/>
    <n v="55107.255712385602"/>
  </r>
  <r>
    <x v="0"/>
    <x v="0"/>
    <x v="0"/>
    <x v="2"/>
    <x v="3"/>
    <s v="FIN_TAMP"/>
    <x v="0"/>
    <x v="0"/>
    <x v="1"/>
    <x v="2"/>
    <n v="253.32893114856901"/>
    <n v="15410.843311537899"/>
    <n v="55479.035921536597"/>
  </r>
  <r>
    <x v="0"/>
    <x v="0"/>
    <x v="0"/>
    <x v="2"/>
    <x v="3"/>
    <s v="FIN_TAMP"/>
    <x v="0"/>
    <x v="0"/>
    <x v="1"/>
    <x v="3"/>
    <n v="259.93497377346102"/>
    <n v="15812.710904552199"/>
    <n v="56925.759256387901"/>
  </r>
  <r>
    <x v="0"/>
    <x v="0"/>
    <x v="0"/>
    <x v="2"/>
    <x v="3"/>
    <s v="FIN_TAMP"/>
    <x v="0"/>
    <x v="0"/>
    <x v="1"/>
    <x v="4"/>
    <n v="275.34643072087403"/>
    <n v="16750.241202186498"/>
    <n v="60300.868327871503"/>
  </r>
  <r>
    <x v="0"/>
    <x v="0"/>
    <x v="0"/>
    <x v="2"/>
    <x v="3"/>
    <s v="FIN_TAMP"/>
    <x v="0"/>
    <x v="0"/>
    <x v="1"/>
    <x v="5"/>
    <n v="300.88072959473902"/>
    <n v="18303.577717013301"/>
    <n v="65892.879781247801"/>
  </r>
  <r>
    <x v="0"/>
    <x v="0"/>
    <x v="0"/>
    <x v="2"/>
    <x v="3"/>
    <s v="FIN_TAMP"/>
    <x v="0"/>
    <x v="0"/>
    <x v="1"/>
    <x v="6"/>
    <n v="354.66787218123198"/>
    <n v="21575.628891025"/>
    <n v="77672.264007689897"/>
  </r>
  <r>
    <x v="0"/>
    <x v="0"/>
    <x v="0"/>
    <x v="2"/>
    <x v="3"/>
    <s v="FIN_TAMP"/>
    <x v="0"/>
    <x v="0"/>
    <x v="1"/>
    <x v="7"/>
    <n v="386.15195955273703"/>
    <n v="23490.910872791501"/>
    <n v="84567.279142049505"/>
  </r>
  <r>
    <x v="0"/>
    <x v="0"/>
    <x v="0"/>
    <x v="2"/>
    <x v="3"/>
    <s v="FIN_TAMP"/>
    <x v="0"/>
    <x v="0"/>
    <x v="1"/>
    <x v="8"/>
    <n v="392.41459105568498"/>
    <n v="23871.887622554201"/>
    <n v="85938.795441195107"/>
  </r>
  <r>
    <x v="0"/>
    <x v="0"/>
    <x v="0"/>
    <x v="2"/>
    <x v="3"/>
    <s v="FIN_TAMP"/>
    <x v="0"/>
    <x v="0"/>
    <x v="1"/>
    <x v="9"/>
    <n v="394.693285934453"/>
    <n v="24010.5082276793"/>
    <n v="86437.829619645301"/>
  </r>
  <r>
    <x v="0"/>
    <x v="0"/>
    <x v="0"/>
    <x v="2"/>
    <x v="3"/>
    <s v="FIN_TAMP"/>
    <x v="0"/>
    <x v="0"/>
    <x v="1"/>
    <x v="10"/>
    <n v="383.15168277286301"/>
    <n v="23308.3940353492"/>
    <n v="83910.218527257093"/>
  </r>
  <r>
    <x v="0"/>
    <x v="0"/>
    <x v="0"/>
    <x v="2"/>
    <x v="3"/>
    <s v="FIN_TAMP"/>
    <x v="0"/>
    <x v="0"/>
    <x v="1"/>
    <x v="11"/>
    <n v="376.32064578392999"/>
    <n v="22892.8392851891"/>
    <n v="82414.221426680597"/>
  </r>
  <r>
    <x v="0"/>
    <x v="0"/>
    <x v="0"/>
    <x v="2"/>
    <x v="3"/>
    <s v="FIN_TAMP"/>
    <x v="0"/>
    <x v="0"/>
    <x v="2"/>
    <x v="0"/>
    <n v="318.44925611555499"/>
    <n v="19372.329747029598"/>
    <n v="69740.387089306605"/>
  </r>
  <r>
    <x v="0"/>
    <x v="0"/>
    <x v="0"/>
    <x v="2"/>
    <x v="3"/>
    <s v="FIN_TAMP"/>
    <x v="0"/>
    <x v="0"/>
    <x v="2"/>
    <x v="1"/>
    <n v="314.78044723482498"/>
    <n v="19149.1438734519"/>
    <n v="68936.917944426707"/>
  </r>
  <r>
    <x v="0"/>
    <x v="0"/>
    <x v="0"/>
    <x v="2"/>
    <x v="3"/>
    <s v="FIN_TAMP"/>
    <x v="0"/>
    <x v="0"/>
    <x v="2"/>
    <x v="2"/>
    <n v="318.61044009646599"/>
    <n v="19382.135105868401"/>
    <n v="69775.686381126201"/>
  </r>
  <r>
    <x v="0"/>
    <x v="0"/>
    <x v="0"/>
    <x v="2"/>
    <x v="3"/>
    <s v="FIN_TAMP"/>
    <x v="0"/>
    <x v="0"/>
    <x v="2"/>
    <x v="3"/>
    <n v="325.87924300853899"/>
    <n v="19824.320616352801"/>
    <n v="71367.554218870006"/>
  </r>
  <r>
    <x v="0"/>
    <x v="0"/>
    <x v="0"/>
    <x v="2"/>
    <x v="3"/>
    <s v="FIN_TAMP"/>
    <x v="0"/>
    <x v="0"/>
    <x v="2"/>
    <x v="4"/>
    <n v="337.86545941021302"/>
    <n v="20553.4821141213"/>
    <n v="73992.535610836596"/>
  </r>
  <r>
    <x v="0"/>
    <x v="0"/>
    <x v="0"/>
    <x v="2"/>
    <x v="3"/>
    <s v="FIN_TAMP"/>
    <x v="0"/>
    <x v="0"/>
    <x v="2"/>
    <x v="5"/>
    <n v="354.50649587635201"/>
    <n v="21565.811832478099"/>
    <n v="77636.922596921097"/>
  </r>
  <r>
    <x v="0"/>
    <x v="0"/>
    <x v="0"/>
    <x v="2"/>
    <x v="3"/>
    <s v="FIN_TAMP"/>
    <x v="0"/>
    <x v="0"/>
    <x v="2"/>
    <x v="6"/>
    <n v="410.51692077676501"/>
    <n v="24973.112680586499"/>
    <n v="89903.205650111602"/>
  </r>
  <r>
    <x v="0"/>
    <x v="0"/>
    <x v="0"/>
    <x v="2"/>
    <x v="3"/>
    <s v="FIN_TAMP"/>
    <x v="0"/>
    <x v="0"/>
    <x v="2"/>
    <x v="7"/>
    <n v="439.76165282012101"/>
    <n v="26752.167213223998"/>
    <n v="96307.801967606501"/>
  </r>
  <r>
    <x v="0"/>
    <x v="0"/>
    <x v="0"/>
    <x v="2"/>
    <x v="3"/>
    <s v="FIN_TAMP"/>
    <x v="0"/>
    <x v="0"/>
    <x v="2"/>
    <x v="8"/>
    <n v="433.77568334597498"/>
    <n v="26388.0207368802"/>
    <n v="94996.874652768602"/>
  </r>
  <r>
    <x v="0"/>
    <x v="0"/>
    <x v="0"/>
    <x v="2"/>
    <x v="3"/>
    <s v="FIN_TAMP"/>
    <x v="0"/>
    <x v="0"/>
    <x v="2"/>
    <x v="9"/>
    <n v="421.78173311362701"/>
    <n v="25658.388764412299"/>
    <n v="92370.199551884303"/>
  </r>
  <r>
    <x v="0"/>
    <x v="0"/>
    <x v="0"/>
    <x v="2"/>
    <x v="3"/>
    <s v="FIN_TAMP"/>
    <x v="0"/>
    <x v="0"/>
    <x v="2"/>
    <x v="10"/>
    <n v="401.56836973338199"/>
    <n v="24428.742492114099"/>
    <n v="87943.472971610696"/>
  </r>
  <r>
    <x v="0"/>
    <x v="0"/>
    <x v="0"/>
    <x v="2"/>
    <x v="3"/>
    <s v="FIN_TAMP"/>
    <x v="0"/>
    <x v="0"/>
    <x v="2"/>
    <x v="11"/>
    <n v="385.25845760708597"/>
    <n v="23436.5561710978"/>
    <n v="84371.602215951905"/>
  </r>
  <r>
    <x v="0"/>
    <x v="0"/>
    <x v="0"/>
    <x v="2"/>
    <x v="3"/>
    <s v="FIN_TAMP"/>
    <x v="0"/>
    <x v="0"/>
    <x v="3"/>
    <x v="0"/>
    <n v="232.555072765278"/>
    <n v="14147.1002598878"/>
    <n v="50929.560935595902"/>
  </r>
  <r>
    <x v="0"/>
    <x v="0"/>
    <x v="0"/>
    <x v="2"/>
    <x v="3"/>
    <s v="FIN_TAMP"/>
    <x v="0"/>
    <x v="0"/>
    <x v="3"/>
    <x v="1"/>
    <n v="229.92607222908899"/>
    <n v="13987.169393936299"/>
    <n v="50353.809818170601"/>
  </r>
  <r>
    <x v="0"/>
    <x v="0"/>
    <x v="0"/>
    <x v="2"/>
    <x v="3"/>
    <s v="FIN_TAMP"/>
    <x v="0"/>
    <x v="0"/>
    <x v="3"/>
    <x v="2"/>
    <n v="230.46395509101799"/>
    <n v="14019.8906013702"/>
    <n v="50471.606164932899"/>
  </r>
  <r>
    <x v="0"/>
    <x v="0"/>
    <x v="0"/>
    <x v="2"/>
    <x v="3"/>
    <s v="FIN_TAMP"/>
    <x v="0"/>
    <x v="0"/>
    <x v="3"/>
    <x v="3"/>
    <n v="234.00574234154399"/>
    <n v="14235.349325777201"/>
    <n v="51247.257572798102"/>
  </r>
  <r>
    <x v="0"/>
    <x v="0"/>
    <x v="0"/>
    <x v="2"/>
    <x v="3"/>
    <s v="FIN_TAMP"/>
    <x v="0"/>
    <x v="0"/>
    <x v="3"/>
    <x v="4"/>
    <n v="242.468149502301"/>
    <n v="14750.14576139"/>
    <n v="53100.524741004003"/>
  </r>
  <r>
    <x v="0"/>
    <x v="0"/>
    <x v="0"/>
    <x v="2"/>
    <x v="3"/>
    <s v="FIN_TAMP"/>
    <x v="0"/>
    <x v="0"/>
    <x v="3"/>
    <x v="5"/>
    <n v="260.702466539542"/>
    <n v="15859.400047822201"/>
    <n v="57093.840172159798"/>
  </r>
  <r>
    <x v="0"/>
    <x v="0"/>
    <x v="0"/>
    <x v="2"/>
    <x v="3"/>
    <s v="FIN_TAMP"/>
    <x v="0"/>
    <x v="0"/>
    <x v="3"/>
    <x v="6"/>
    <n v="305.65265970400799"/>
    <n v="18593.870131993801"/>
    <n v="66937.932475177804"/>
  </r>
  <r>
    <x v="0"/>
    <x v="0"/>
    <x v="0"/>
    <x v="2"/>
    <x v="3"/>
    <s v="FIN_TAMP"/>
    <x v="0"/>
    <x v="0"/>
    <x v="3"/>
    <x v="7"/>
    <n v="327.77850564328298"/>
    <n v="19939.859093299699"/>
    <n v="71783.492735878899"/>
  </r>
  <r>
    <x v="0"/>
    <x v="0"/>
    <x v="0"/>
    <x v="2"/>
    <x v="3"/>
    <s v="FIN_TAMP"/>
    <x v="0"/>
    <x v="0"/>
    <x v="3"/>
    <x v="8"/>
    <n v="325.41507528671599"/>
    <n v="19796.083746608601"/>
    <n v="71265.901487790907"/>
  </r>
  <r>
    <x v="0"/>
    <x v="0"/>
    <x v="0"/>
    <x v="2"/>
    <x v="3"/>
    <s v="FIN_TAMP"/>
    <x v="0"/>
    <x v="0"/>
    <x v="3"/>
    <x v="9"/>
    <n v="317.152395939938"/>
    <n v="19293.437419679602"/>
    <n v="69456.374710846401"/>
  </r>
  <r>
    <x v="0"/>
    <x v="0"/>
    <x v="0"/>
    <x v="2"/>
    <x v="3"/>
    <s v="FIN_TAMP"/>
    <x v="0"/>
    <x v="0"/>
    <x v="3"/>
    <x v="10"/>
    <n v="307.92590635053398"/>
    <n v="18732.1593029908"/>
    <n v="67435.773490766995"/>
  </r>
  <r>
    <x v="0"/>
    <x v="0"/>
    <x v="0"/>
    <x v="2"/>
    <x v="3"/>
    <s v="FIN_TAMP"/>
    <x v="0"/>
    <x v="0"/>
    <x v="3"/>
    <x v="11"/>
    <n v="301.33033428361699"/>
    <n v="18330.928668920002"/>
    <n v="65991.343208112099"/>
  </r>
  <r>
    <x v="0"/>
    <x v="0"/>
    <x v="0"/>
    <x v="2"/>
    <x v="3"/>
    <s v="FIN_TAMP"/>
    <x v="0"/>
    <x v="0"/>
    <x v="4"/>
    <x v="0"/>
    <n v="283.98730903812702"/>
    <n v="17275.894633152799"/>
    <n v="62193.220679349899"/>
  </r>
  <r>
    <x v="0"/>
    <x v="0"/>
    <x v="0"/>
    <x v="2"/>
    <x v="3"/>
    <s v="FIN_TAMP"/>
    <x v="0"/>
    <x v="0"/>
    <x v="4"/>
    <x v="1"/>
    <n v="280.65565122810801"/>
    <n v="17073.218783043201"/>
    <n v="61463.587618955702"/>
  </r>
  <r>
    <x v="0"/>
    <x v="0"/>
    <x v="0"/>
    <x v="2"/>
    <x v="3"/>
    <s v="FIN_TAMP"/>
    <x v="0"/>
    <x v="0"/>
    <x v="4"/>
    <x v="2"/>
    <n v="282.83119403720002"/>
    <n v="17205.564303929699"/>
    <n v="61940.031494146802"/>
  </r>
  <r>
    <x v="0"/>
    <x v="0"/>
    <x v="0"/>
    <x v="2"/>
    <x v="3"/>
    <s v="FIN_TAMP"/>
    <x v="0"/>
    <x v="0"/>
    <x v="4"/>
    <x v="3"/>
    <n v="290.342561249521"/>
    <n v="17662.505809345901"/>
    <n v="63585.020913645203"/>
  </r>
  <r>
    <x v="0"/>
    <x v="0"/>
    <x v="0"/>
    <x v="2"/>
    <x v="3"/>
    <s v="FIN_TAMP"/>
    <x v="0"/>
    <x v="0"/>
    <x v="4"/>
    <x v="4"/>
    <n v="304.55993873083702"/>
    <n v="18527.396272792601"/>
    <n v="66698.626582053403"/>
  </r>
  <r>
    <x v="0"/>
    <x v="0"/>
    <x v="0"/>
    <x v="2"/>
    <x v="3"/>
    <s v="FIN_TAMP"/>
    <x v="0"/>
    <x v="0"/>
    <x v="4"/>
    <x v="5"/>
    <n v="323.94602125804101"/>
    <n v="19706.7162931975"/>
    <n v="70944.178655510899"/>
  </r>
  <r>
    <x v="0"/>
    <x v="0"/>
    <x v="0"/>
    <x v="2"/>
    <x v="3"/>
    <s v="FIN_TAMP"/>
    <x v="0"/>
    <x v="0"/>
    <x v="4"/>
    <x v="6"/>
    <n v="377.23434683540802"/>
    <n v="22948.422765820698"/>
    <n v="82614.321956954402"/>
  </r>
  <r>
    <x v="0"/>
    <x v="0"/>
    <x v="0"/>
    <x v="2"/>
    <x v="3"/>
    <s v="FIN_TAMP"/>
    <x v="0"/>
    <x v="0"/>
    <x v="4"/>
    <x v="7"/>
    <n v="406.42511943691198"/>
    <n v="24724.194765745498"/>
    <n v="89007.101156683697"/>
  </r>
  <r>
    <x v="0"/>
    <x v="0"/>
    <x v="0"/>
    <x v="2"/>
    <x v="3"/>
    <s v="FIN_TAMP"/>
    <x v="0"/>
    <x v="0"/>
    <x v="4"/>
    <x v="8"/>
    <n v="407.44666572752197"/>
    <n v="24786.338831757599"/>
    <n v="89230.819794327399"/>
  </r>
  <r>
    <x v="0"/>
    <x v="0"/>
    <x v="0"/>
    <x v="2"/>
    <x v="3"/>
    <s v="FIN_TAMP"/>
    <x v="0"/>
    <x v="0"/>
    <x v="4"/>
    <x v="9"/>
    <n v="403.71814730140301"/>
    <n v="24559.520627501999"/>
    <n v="88414.274259007303"/>
  </r>
  <r>
    <x v="0"/>
    <x v="0"/>
    <x v="0"/>
    <x v="2"/>
    <x v="3"/>
    <s v="FIN_TAMP"/>
    <x v="0"/>
    <x v="0"/>
    <x v="4"/>
    <x v="10"/>
    <n v="388.86290489632501"/>
    <n v="23655.8267145264"/>
    <n v="85160.976172295195"/>
  </r>
  <r>
    <x v="0"/>
    <x v="0"/>
    <x v="0"/>
    <x v="2"/>
    <x v="3"/>
    <s v="FIN_TAMP"/>
    <x v="0"/>
    <x v="0"/>
    <x v="4"/>
    <x v="11"/>
    <n v="376.03034032600698"/>
    <n v="22875.179036498699"/>
    <n v="82350.644531395505"/>
  </r>
  <r>
    <x v="0"/>
    <x v="0"/>
    <x v="0"/>
    <x v="2"/>
    <x v="3"/>
    <s v="FIN_TAMP"/>
    <x v="0"/>
    <x v="0"/>
    <x v="5"/>
    <x v="0"/>
    <n v="243.513283377009"/>
    <n v="14813.724738768"/>
    <n v="53329.409059564903"/>
  </r>
  <r>
    <x v="0"/>
    <x v="0"/>
    <x v="0"/>
    <x v="2"/>
    <x v="3"/>
    <s v="FIN_TAMP"/>
    <x v="0"/>
    <x v="0"/>
    <x v="5"/>
    <x v="1"/>
    <n v="239.74024120117099"/>
    <n v="14584.1980064046"/>
    <n v="52503.112823056399"/>
  </r>
  <r>
    <x v="0"/>
    <x v="0"/>
    <x v="0"/>
    <x v="2"/>
    <x v="3"/>
    <s v="FIN_TAMP"/>
    <x v="0"/>
    <x v="0"/>
    <x v="5"/>
    <x v="2"/>
    <n v="240.77498658545801"/>
    <n v="14647.145017282"/>
    <n v="52729.722062215398"/>
  </r>
  <r>
    <x v="0"/>
    <x v="0"/>
    <x v="0"/>
    <x v="2"/>
    <x v="3"/>
    <s v="FIN_TAMP"/>
    <x v="0"/>
    <x v="0"/>
    <x v="5"/>
    <x v="3"/>
    <n v="244.386596188"/>
    <n v="14866.851268103401"/>
    <n v="53520.664565172097"/>
  </r>
  <r>
    <x v="0"/>
    <x v="0"/>
    <x v="0"/>
    <x v="2"/>
    <x v="3"/>
    <s v="FIN_TAMP"/>
    <x v="0"/>
    <x v="0"/>
    <x v="5"/>
    <x v="4"/>
    <n v="253.99928566953301"/>
    <n v="15451.623211563199"/>
    <n v="55625.843561627597"/>
  </r>
  <r>
    <x v="0"/>
    <x v="0"/>
    <x v="0"/>
    <x v="2"/>
    <x v="3"/>
    <s v="FIN_TAMP"/>
    <x v="0"/>
    <x v="0"/>
    <x v="5"/>
    <x v="5"/>
    <n v="272.15142127273498"/>
    <n v="16555.878127424701"/>
    <n v="59601.161258728898"/>
  </r>
  <r>
    <x v="0"/>
    <x v="0"/>
    <x v="0"/>
    <x v="2"/>
    <x v="3"/>
    <s v="FIN_TAMP"/>
    <x v="0"/>
    <x v="0"/>
    <x v="5"/>
    <x v="6"/>
    <n v="318.24158967392202"/>
    <n v="19359.696705163598"/>
    <n v="69694.908138588798"/>
  </r>
  <r>
    <x v="0"/>
    <x v="0"/>
    <x v="0"/>
    <x v="2"/>
    <x v="3"/>
    <s v="FIN_TAMP"/>
    <x v="0"/>
    <x v="0"/>
    <x v="5"/>
    <x v="7"/>
    <n v="342.935700211447"/>
    <n v="20861.921762862999"/>
    <n v="75102.918346306906"/>
  </r>
  <r>
    <x v="0"/>
    <x v="0"/>
    <x v="0"/>
    <x v="2"/>
    <x v="3"/>
    <s v="FIN_TAMP"/>
    <x v="0"/>
    <x v="0"/>
    <x v="5"/>
    <x v="8"/>
    <n v="341.71285437762799"/>
    <n v="20787.531974639001"/>
    <n v="74835.1151087006"/>
  </r>
  <r>
    <x v="0"/>
    <x v="0"/>
    <x v="0"/>
    <x v="2"/>
    <x v="3"/>
    <s v="FIN_TAMP"/>
    <x v="0"/>
    <x v="0"/>
    <x v="5"/>
    <x v="9"/>
    <n v="335.11491637054701"/>
    <n v="20386.157412541601"/>
    <n v="73390.166685149801"/>
  </r>
  <r>
    <x v="0"/>
    <x v="0"/>
    <x v="0"/>
    <x v="2"/>
    <x v="3"/>
    <s v="FIN_TAMP"/>
    <x v="0"/>
    <x v="0"/>
    <x v="5"/>
    <x v="10"/>
    <n v="325.55363690519698"/>
    <n v="19804.5129117328"/>
    <n v="71296.246482238101"/>
  </r>
  <r>
    <x v="0"/>
    <x v="0"/>
    <x v="0"/>
    <x v="2"/>
    <x v="3"/>
    <s v="FIN_TAMP"/>
    <x v="0"/>
    <x v="0"/>
    <x v="5"/>
    <x v="11"/>
    <n v="320.27319081134999"/>
    <n v="19483.2857743571"/>
    <n v="70139.828787685707"/>
  </r>
  <r>
    <x v="0"/>
    <x v="0"/>
    <x v="0"/>
    <x v="2"/>
    <x v="3"/>
    <s v="FIN_TAMP"/>
    <x v="0"/>
    <x v="0"/>
    <x v="6"/>
    <x v="0"/>
    <n v="221.82332939012301"/>
    <n v="13494.252537899099"/>
    <n v="48579.309136436903"/>
  </r>
  <r>
    <x v="0"/>
    <x v="0"/>
    <x v="0"/>
    <x v="2"/>
    <x v="3"/>
    <s v="FIN_TAMP"/>
    <x v="0"/>
    <x v="0"/>
    <x v="6"/>
    <x v="1"/>
    <n v="220.78450940176299"/>
    <n v="13431.0576552739"/>
    <n v="48351.807558986198"/>
  </r>
  <r>
    <x v="0"/>
    <x v="0"/>
    <x v="0"/>
    <x v="2"/>
    <x v="3"/>
    <s v="FIN_TAMP"/>
    <x v="0"/>
    <x v="0"/>
    <x v="6"/>
    <x v="2"/>
    <n v="222.14437469284499"/>
    <n v="13513.7827938148"/>
    <n v="48649.618057733103"/>
  </r>
  <r>
    <x v="0"/>
    <x v="0"/>
    <x v="0"/>
    <x v="2"/>
    <x v="3"/>
    <s v="FIN_TAMP"/>
    <x v="0"/>
    <x v="0"/>
    <x v="6"/>
    <x v="3"/>
    <n v="229.07982270500801"/>
    <n v="13935.689214554701"/>
    <n v="50168.481172396801"/>
  </r>
  <r>
    <x v="0"/>
    <x v="0"/>
    <x v="0"/>
    <x v="2"/>
    <x v="3"/>
    <s v="FIN_TAMP"/>
    <x v="0"/>
    <x v="0"/>
    <x v="6"/>
    <x v="4"/>
    <n v="242.08666031091099"/>
    <n v="14726.9385022471"/>
    <n v="53016.978608089499"/>
  </r>
  <r>
    <x v="0"/>
    <x v="0"/>
    <x v="0"/>
    <x v="2"/>
    <x v="3"/>
    <s v="FIN_TAMP"/>
    <x v="0"/>
    <x v="0"/>
    <x v="6"/>
    <x v="5"/>
    <n v="263.335926557265"/>
    <n v="16019.6021989003"/>
    <n v="57670.567916041102"/>
  </r>
  <r>
    <x v="0"/>
    <x v="0"/>
    <x v="0"/>
    <x v="2"/>
    <x v="3"/>
    <s v="FIN_TAMP"/>
    <x v="0"/>
    <x v="0"/>
    <x v="6"/>
    <x v="6"/>
    <n v="310.27114792879098"/>
    <n v="18874.828165668099"/>
    <n v="67949.381396405297"/>
  </r>
  <r>
    <x v="0"/>
    <x v="0"/>
    <x v="0"/>
    <x v="2"/>
    <x v="3"/>
    <s v="FIN_TAMP"/>
    <x v="0"/>
    <x v="0"/>
    <x v="6"/>
    <x v="7"/>
    <n v="335.52057924455698"/>
    <n v="20410.8352373772"/>
    <n v="73479.006854558"/>
  </r>
  <r>
    <x v="0"/>
    <x v="0"/>
    <x v="0"/>
    <x v="2"/>
    <x v="3"/>
    <s v="FIN_TAMP"/>
    <x v="0"/>
    <x v="0"/>
    <x v="6"/>
    <x v="8"/>
    <n v="336.95394559862399"/>
    <n v="20498.031690583"/>
    <n v="73792.914086098695"/>
  </r>
  <r>
    <x v="0"/>
    <x v="0"/>
    <x v="0"/>
    <x v="2"/>
    <x v="3"/>
    <s v="FIN_TAMP"/>
    <x v="0"/>
    <x v="0"/>
    <x v="6"/>
    <x v="9"/>
    <n v="333.43186465697602"/>
    <n v="20283.771766632701"/>
    <n v="73021.578359877807"/>
  </r>
  <r>
    <x v="0"/>
    <x v="0"/>
    <x v="0"/>
    <x v="2"/>
    <x v="3"/>
    <s v="FIN_TAMP"/>
    <x v="0"/>
    <x v="0"/>
    <x v="6"/>
    <x v="10"/>
    <n v="325.11852869567201"/>
    <n v="19778.043828986702"/>
    <n v="71200.957784352198"/>
  </r>
  <r>
    <x v="0"/>
    <x v="0"/>
    <x v="0"/>
    <x v="2"/>
    <x v="3"/>
    <s v="FIN_TAMP"/>
    <x v="0"/>
    <x v="0"/>
    <x v="6"/>
    <x v="11"/>
    <n v="320.65692347972902"/>
    <n v="19506.629511683499"/>
    <n v="70223.866242060598"/>
  </r>
  <r>
    <x v="0"/>
    <x v="0"/>
    <x v="0"/>
    <x v="2"/>
    <x v="3"/>
    <s v="FIN_TAMP"/>
    <x v="0"/>
    <x v="0"/>
    <x v="7"/>
    <x v="0"/>
    <n v="188.03359752676701"/>
    <n v="11438.7105162117"/>
    <n v="41179.357858362098"/>
  </r>
  <r>
    <x v="0"/>
    <x v="0"/>
    <x v="0"/>
    <x v="2"/>
    <x v="3"/>
    <s v="FIN_TAMP"/>
    <x v="0"/>
    <x v="0"/>
    <x v="7"/>
    <x v="1"/>
    <n v="187.583344148115"/>
    <n v="11411.3201023437"/>
    <n v="41080.752368437199"/>
  </r>
  <r>
    <x v="0"/>
    <x v="0"/>
    <x v="0"/>
    <x v="2"/>
    <x v="3"/>
    <s v="FIN_TAMP"/>
    <x v="0"/>
    <x v="0"/>
    <x v="7"/>
    <x v="2"/>
    <n v="188.059020513973"/>
    <n v="11440.2570812667"/>
    <n v="41184.925492560003"/>
  </r>
  <r>
    <x v="0"/>
    <x v="0"/>
    <x v="0"/>
    <x v="2"/>
    <x v="3"/>
    <s v="FIN_TAMP"/>
    <x v="0"/>
    <x v="0"/>
    <x v="7"/>
    <x v="3"/>
    <n v="193.78906516239101"/>
    <n v="11788.8347973788"/>
    <n v="42439.805270563498"/>
  </r>
  <r>
    <x v="0"/>
    <x v="0"/>
    <x v="0"/>
    <x v="2"/>
    <x v="3"/>
    <s v="FIN_TAMP"/>
    <x v="0"/>
    <x v="0"/>
    <x v="7"/>
    <x v="4"/>
    <n v="205.24728476560799"/>
    <n v="12485.8764899078"/>
    <n v="44949.155363668302"/>
  </r>
  <r>
    <x v="0"/>
    <x v="0"/>
    <x v="0"/>
    <x v="2"/>
    <x v="3"/>
    <s v="FIN_TAMP"/>
    <x v="0"/>
    <x v="0"/>
    <x v="7"/>
    <x v="5"/>
    <n v="227.100416320254"/>
    <n v="13815.2753261488"/>
    <n v="49734.991174135699"/>
  </r>
  <r>
    <x v="0"/>
    <x v="0"/>
    <x v="0"/>
    <x v="2"/>
    <x v="3"/>
    <s v="FIN_TAMP"/>
    <x v="0"/>
    <x v="0"/>
    <x v="7"/>
    <x v="6"/>
    <n v="269.74713577903401"/>
    <n v="16409.617426557899"/>
    <n v="59074.622735608398"/>
  </r>
  <r>
    <x v="0"/>
    <x v="0"/>
    <x v="0"/>
    <x v="2"/>
    <x v="3"/>
    <s v="FIN_TAMP"/>
    <x v="0"/>
    <x v="0"/>
    <x v="7"/>
    <x v="7"/>
    <n v="292.10147355500499"/>
    <n v="17769.5063079295"/>
    <n v="63970.222708546098"/>
  </r>
  <r>
    <x v="0"/>
    <x v="0"/>
    <x v="0"/>
    <x v="2"/>
    <x v="3"/>
    <s v="FIN_TAMP"/>
    <x v="0"/>
    <x v="0"/>
    <x v="7"/>
    <x v="8"/>
    <n v="293.39354789018103"/>
    <n v="17848.107496652701"/>
    <n v="64253.186987949601"/>
  </r>
  <r>
    <x v="0"/>
    <x v="0"/>
    <x v="0"/>
    <x v="2"/>
    <x v="3"/>
    <s v="FIN_TAMP"/>
    <x v="0"/>
    <x v="0"/>
    <x v="7"/>
    <x v="9"/>
    <n v="287.06782610221802"/>
    <n v="17463.2927545516"/>
    <n v="62867.853916385902"/>
  </r>
  <r>
    <x v="0"/>
    <x v="0"/>
    <x v="0"/>
    <x v="2"/>
    <x v="3"/>
    <s v="FIN_TAMP"/>
    <x v="0"/>
    <x v="0"/>
    <x v="7"/>
    <x v="10"/>
    <n v="281.27853513566998"/>
    <n v="17111.11088742"/>
    <n v="61599.999194711803"/>
  </r>
  <r>
    <x v="0"/>
    <x v="0"/>
    <x v="0"/>
    <x v="2"/>
    <x v="3"/>
    <s v="FIN_TAMP"/>
    <x v="0"/>
    <x v="0"/>
    <x v="7"/>
    <x v="11"/>
    <n v="278.19628649323101"/>
    <n v="16923.6074283382"/>
    <n v="60924.986742017703"/>
  </r>
  <r>
    <x v="0"/>
    <x v="0"/>
    <x v="0"/>
    <x v="2"/>
    <x v="3"/>
    <s v="FIN_TAMP"/>
    <x v="0"/>
    <x v="0"/>
    <x v="8"/>
    <x v="0"/>
    <n v="237.069469585451"/>
    <n v="14421.7260664483"/>
    <n v="51918.213839213902"/>
  </r>
  <r>
    <x v="0"/>
    <x v="0"/>
    <x v="0"/>
    <x v="2"/>
    <x v="3"/>
    <s v="FIN_TAMP"/>
    <x v="0"/>
    <x v="0"/>
    <x v="8"/>
    <x v="1"/>
    <n v="237.02830025703901"/>
    <n v="14419.2215989699"/>
    <n v="51909.1977562916"/>
  </r>
  <r>
    <x v="0"/>
    <x v="0"/>
    <x v="0"/>
    <x v="2"/>
    <x v="3"/>
    <s v="FIN_TAMP"/>
    <x v="0"/>
    <x v="0"/>
    <x v="8"/>
    <x v="2"/>
    <n v="240.37898949994101"/>
    <n v="14623.0551945798"/>
    <n v="52642.9987004871"/>
  </r>
  <r>
    <x v="0"/>
    <x v="0"/>
    <x v="0"/>
    <x v="2"/>
    <x v="3"/>
    <s v="FIN_TAMP"/>
    <x v="0"/>
    <x v="0"/>
    <x v="8"/>
    <x v="3"/>
    <n v="244.77610315212101"/>
    <n v="14890.546275087399"/>
    <n v="53605.9665903145"/>
  </r>
  <r>
    <x v="0"/>
    <x v="0"/>
    <x v="0"/>
    <x v="2"/>
    <x v="3"/>
    <s v="FIN_TAMP"/>
    <x v="0"/>
    <x v="0"/>
    <x v="8"/>
    <x v="4"/>
    <n v="256.30172771346997"/>
    <n v="15591.688435902801"/>
    <n v="56130.078369249997"/>
  </r>
  <r>
    <x v="0"/>
    <x v="0"/>
    <x v="0"/>
    <x v="2"/>
    <x v="3"/>
    <s v="FIN_TAMP"/>
    <x v="0"/>
    <x v="0"/>
    <x v="8"/>
    <x v="5"/>
    <n v="273.86665405161898"/>
    <n v="16660.2214548068"/>
    <n v="59976.7972373046"/>
  </r>
  <r>
    <x v="0"/>
    <x v="0"/>
    <x v="0"/>
    <x v="2"/>
    <x v="3"/>
    <s v="FIN_TAMP"/>
    <x v="0"/>
    <x v="0"/>
    <x v="8"/>
    <x v="6"/>
    <n v="322.18285673931098"/>
    <n v="19599.457118308099"/>
    <n v="70558.045625909101"/>
  </r>
  <r>
    <x v="0"/>
    <x v="0"/>
    <x v="0"/>
    <x v="2"/>
    <x v="3"/>
    <s v="FIN_TAMP"/>
    <x v="0"/>
    <x v="0"/>
    <x v="8"/>
    <x v="7"/>
    <n v="342.82508658658998"/>
    <n v="20855.192767350902"/>
    <n v="75078.693962463294"/>
  </r>
  <r>
    <x v="0"/>
    <x v="0"/>
    <x v="0"/>
    <x v="2"/>
    <x v="3"/>
    <s v="FIN_TAMP"/>
    <x v="0"/>
    <x v="0"/>
    <x v="8"/>
    <x v="8"/>
    <n v="336.290821201092"/>
    <n v="20457.691623066399"/>
    <n v="73647.689843039101"/>
  </r>
  <r>
    <x v="0"/>
    <x v="0"/>
    <x v="0"/>
    <x v="2"/>
    <x v="3"/>
    <s v="FIN_TAMP"/>
    <x v="0"/>
    <x v="0"/>
    <x v="8"/>
    <x v="9"/>
    <n v="320.70469099712"/>
    <n v="19509.535368991499"/>
    <n v="70234.327328369298"/>
  </r>
  <r>
    <x v="0"/>
    <x v="0"/>
    <x v="0"/>
    <x v="2"/>
    <x v="3"/>
    <s v="FIN_TAMP"/>
    <x v="0"/>
    <x v="0"/>
    <x v="8"/>
    <x v="10"/>
    <n v="303.62350514700597"/>
    <n v="18470.4298964429"/>
    <n v="66493.547627194406"/>
  </r>
  <r>
    <x v="0"/>
    <x v="0"/>
    <x v="0"/>
    <x v="2"/>
    <x v="3"/>
    <s v="FIN_TAMP"/>
    <x v="0"/>
    <x v="0"/>
    <x v="8"/>
    <x v="11"/>
    <n v="290.40887855633201"/>
    <n v="17666.540112176801"/>
    <n v="63599.544403836597"/>
  </r>
  <r>
    <x v="0"/>
    <x v="0"/>
    <x v="0"/>
    <x v="2"/>
    <x v="3"/>
    <s v="FIN_TAMP"/>
    <x v="0"/>
    <x v="0"/>
    <x v="9"/>
    <x v="0"/>
    <n v="237.312938024826"/>
    <n v="14436.5370631769"/>
    <n v="51971.5334274368"/>
  </r>
  <r>
    <x v="0"/>
    <x v="0"/>
    <x v="0"/>
    <x v="2"/>
    <x v="3"/>
    <s v="FIN_TAMP"/>
    <x v="0"/>
    <x v="0"/>
    <x v="9"/>
    <x v="1"/>
    <n v="239.61935772290599"/>
    <n v="14576.844261476799"/>
    <n v="52476.639341316302"/>
  </r>
  <r>
    <x v="0"/>
    <x v="0"/>
    <x v="0"/>
    <x v="2"/>
    <x v="3"/>
    <s v="FIN_TAMP"/>
    <x v="0"/>
    <x v="0"/>
    <x v="9"/>
    <x v="2"/>
    <n v="246.162756742174"/>
    <n v="14974.9010351489"/>
    <n v="53909.643726536196"/>
  </r>
  <r>
    <x v="0"/>
    <x v="0"/>
    <x v="0"/>
    <x v="2"/>
    <x v="3"/>
    <s v="FIN_TAMP"/>
    <x v="0"/>
    <x v="0"/>
    <x v="9"/>
    <x v="3"/>
    <n v="251.55953718565999"/>
    <n v="15303.2051787943"/>
    <n v="55091.5386436595"/>
  </r>
  <r>
    <x v="0"/>
    <x v="0"/>
    <x v="0"/>
    <x v="2"/>
    <x v="3"/>
    <s v="FIN_TAMP"/>
    <x v="0"/>
    <x v="0"/>
    <x v="9"/>
    <x v="4"/>
    <n v="263.92833055198201"/>
    <n v="16055.6401085789"/>
    <n v="57800.304390884099"/>
  </r>
  <r>
    <x v="0"/>
    <x v="0"/>
    <x v="0"/>
    <x v="2"/>
    <x v="3"/>
    <s v="FIN_TAMP"/>
    <x v="0"/>
    <x v="0"/>
    <x v="9"/>
    <x v="5"/>
    <n v="282.25708798394402"/>
    <n v="17170.6395190232"/>
    <n v="61814.302268483698"/>
  </r>
  <r>
    <x v="0"/>
    <x v="0"/>
    <x v="0"/>
    <x v="2"/>
    <x v="3"/>
    <s v="FIN_TAMP"/>
    <x v="0"/>
    <x v="0"/>
    <x v="9"/>
    <x v="6"/>
    <n v="331.20199856816902"/>
    <n v="20148.121579563602"/>
    <n v="72533.2376864291"/>
  </r>
  <r>
    <x v="0"/>
    <x v="0"/>
    <x v="0"/>
    <x v="2"/>
    <x v="3"/>
    <s v="FIN_TAMP"/>
    <x v="0"/>
    <x v="0"/>
    <x v="9"/>
    <x v="7"/>
    <n v="348.413232633424"/>
    <n v="21195.1383185333"/>
    <n v="76302.497946719901"/>
  </r>
  <r>
    <x v="0"/>
    <x v="0"/>
    <x v="0"/>
    <x v="2"/>
    <x v="3"/>
    <s v="FIN_TAMP"/>
    <x v="0"/>
    <x v="0"/>
    <x v="9"/>
    <x v="8"/>
    <n v="337.15438664858999"/>
    <n v="20510.225187789201"/>
    <n v="73836.810676041205"/>
  </r>
  <r>
    <x v="0"/>
    <x v="0"/>
    <x v="0"/>
    <x v="2"/>
    <x v="3"/>
    <s v="FIN_TAMP"/>
    <x v="0"/>
    <x v="0"/>
    <x v="9"/>
    <x v="9"/>
    <n v="315.04317818284801"/>
    <n v="19165.126672789898"/>
    <n v="68994.456022043596"/>
  </r>
  <r>
    <x v="0"/>
    <x v="0"/>
    <x v="0"/>
    <x v="2"/>
    <x v="3"/>
    <s v="FIN_TAMP"/>
    <x v="0"/>
    <x v="0"/>
    <x v="9"/>
    <x v="10"/>
    <n v="293.58643808433402"/>
    <n v="17859.8416501303"/>
    <n v="64295.429940469097"/>
  </r>
  <r>
    <x v="0"/>
    <x v="0"/>
    <x v="0"/>
    <x v="2"/>
    <x v="3"/>
    <s v="FIN_TAMP"/>
    <x v="0"/>
    <x v="0"/>
    <x v="9"/>
    <x v="11"/>
    <n v="280.47964207674102"/>
    <n v="17062.511559668401"/>
    <n v="61425.0416148062"/>
  </r>
  <r>
    <x v="0"/>
    <x v="0"/>
    <x v="0"/>
    <x v="2"/>
    <x v="3"/>
    <s v="FIN_TAMP"/>
    <x v="0"/>
    <x v="0"/>
    <x v="10"/>
    <x v="0"/>
    <n v="134.33812244094199"/>
    <n v="8172.2357818239898"/>
    <n v="29420.048814566399"/>
  </r>
  <r>
    <x v="0"/>
    <x v="0"/>
    <x v="0"/>
    <x v="2"/>
    <x v="3"/>
    <s v="FIN_TAMP"/>
    <x v="0"/>
    <x v="0"/>
    <x v="10"/>
    <x v="1"/>
    <n v="134.429514643343"/>
    <n v="8177.7954741367103"/>
    <n v="29440.063706892201"/>
  </r>
  <r>
    <x v="0"/>
    <x v="0"/>
    <x v="0"/>
    <x v="2"/>
    <x v="3"/>
    <s v="FIN_TAMP"/>
    <x v="0"/>
    <x v="0"/>
    <x v="10"/>
    <x v="2"/>
    <n v="131.12030060334899"/>
    <n v="7976.48495337042"/>
    <n v="28715.345832133498"/>
  </r>
  <r>
    <x v="0"/>
    <x v="0"/>
    <x v="0"/>
    <x v="2"/>
    <x v="3"/>
    <s v="FIN_TAMP"/>
    <x v="0"/>
    <x v="0"/>
    <x v="10"/>
    <x v="3"/>
    <n v="134.64168619714101"/>
    <n v="8190.7025769927204"/>
    <n v="29486.529277173799"/>
  </r>
  <r>
    <x v="0"/>
    <x v="0"/>
    <x v="0"/>
    <x v="2"/>
    <x v="3"/>
    <s v="FIN_TAMP"/>
    <x v="0"/>
    <x v="0"/>
    <x v="10"/>
    <x v="4"/>
    <n v="140.28491750632401"/>
    <n v="8533.99914830136"/>
    <n v="30722.396933884898"/>
  </r>
  <r>
    <x v="0"/>
    <x v="0"/>
    <x v="0"/>
    <x v="2"/>
    <x v="3"/>
    <s v="FIN_TAMP"/>
    <x v="0"/>
    <x v="0"/>
    <x v="10"/>
    <x v="5"/>
    <n v="157.76159817841199"/>
    <n v="9597.1638891867497"/>
    <n v="34549.790001072302"/>
  </r>
  <r>
    <x v="0"/>
    <x v="0"/>
    <x v="0"/>
    <x v="2"/>
    <x v="3"/>
    <s v="FIN_TAMP"/>
    <x v="0"/>
    <x v="0"/>
    <x v="10"/>
    <x v="6"/>
    <n v="190.160374262814"/>
    <n v="11568.0894343212"/>
    <n v="41645.121963556201"/>
  </r>
  <r>
    <x v="0"/>
    <x v="0"/>
    <x v="0"/>
    <x v="2"/>
    <x v="3"/>
    <s v="FIN_TAMP"/>
    <x v="0"/>
    <x v="0"/>
    <x v="10"/>
    <x v="7"/>
    <n v="198.016258719652"/>
    <n v="12045.989072112199"/>
    <n v="43365.5606596039"/>
  </r>
  <r>
    <x v="0"/>
    <x v="0"/>
    <x v="0"/>
    <x v="2"/>
    <x v="3"/>
    <s v="FIN_TAMP"/>
    <x v="0"/>
    <x v="0"/>
    <x v="10"/>
    <x v="8"/>
    <n v="185.249342756511"/>
    <n v="11269.335017687799"/>
    <n v="40569.606063675899"/>
  </r>
  <r>
    <x v="0"/>
    <x v="0"/>
    <x v="0"/>
    <x v="2"/>
    <x v="3"/>
    <s v="FIN_TAMP"/>
    <x v="0"/>
    <x v="0"/>
    <x v="10"/>
    <x v="9"/>
    <n v="173.168578014856"/>
    <n v="10534.421829237101"/>
    <n v="37923.918585253399"/>
  </r>
  <r>
    <x v="0"/>
    <x v="0"/>
    <x v="0"/>
    <x v="2"/>
    <x v="3"/>
    <s v="FIN_TAMP"/>
    <x v="0"/>
    <x v="0"/>
    <x v="10"/>
    <x v="10"/>
    <n v="163.926825256272"/>
    <n v="9972.2152030898706"/>
    <n v="35899.974731123497"/>
  </r>
  <r>
    <x v="0"/>
    <x v="0"/>
    <x v="0"/>
    <x v="2"/>
    <x v="3"/>
    <s v="FIN_TAMP"/>
    <x v="0"/>
    <x v="0"/>
    <x v="10"/>
    <x v="11"/>
    <n v="159.50702550420701"/>
    <n v="9703.3440515059501"/>
    <n v="34932.038585421396"/>
  </r>
  <r>
    <x v="0"/>
    <x v="0"/>
    <x v="0"/>
    <x v="2"/>
    <x v="3"/>
    <s v="FIN_TAMP"/>
    <x v="0"/>
    <x v="0"/>
    <x v="11"/>
    <x v="0"/>
    <n v="151.751340906043"/>
    <n v="9231.5399051176191"/>
    <n v="33233.543658423398"/>
  </r>
  <r>
    <x v="0"/>
    <x v="0"/>
    <x v="0"/>
    <x v="2"/>
    <x v="3"/>
    <s v="FIN_TAMP"/>
    <x v="0"/>
    <x v="0"/>
    <x v="11"/>
    <x v="1"/>
    <n v="152.84202035693099"/>
    <n v="9297.8895717133"/>
    <n v="33472.402458167897"/>
  </r>
  <r>
    <x v="0"/>
    <x v="0"/>
    <x v="0"/>
    <x v="2"/>
    <x v="3"/>
    <s v="FIN_TAMP"/>
    <x v="0"/>
    <x v="0"/>
    <x v="11"/>
    <x v="2"/>
    <n v="152.830502494928"/>
    <n v="9297.1889017747599"/>
    <n v="33469.880046389102"/>
  </r>
  <r>
    <x v="0"/>
    <x v="0"/>
    <x v="0"/>
    <x v="2"/>
    <x v="3"/>
    <s v="FIN_TAMP"/>
    <x v="0"/>
    <x v="0"/>
    <x v="11"/>
    <x v="3"/>
    <n v="158.178374672258"/>
    <n v="9622.5177925623593"/>
    <n v="34641.064053224502"/>
  </r>
  <r>
    <x v="0"/>
    <x v="0"/>
    <x v="0"/>
    <x v="2"/>
    <x v="3"/>
    <s v="FIN_TAMP"/>
    <x v="0"/>
    <x v="0"/>
    <x v="11"/>
    <x v="4"/>
    <n v="165.66607323222499"/>
    <n v="10078.0194549604"/>
    <n v="36280.870037857298"/>
  </r>
  <r>
    <x v="0"/>
    <x v="0"/>
    <x v="0"/>
    <x v="2"/>
    <x v="3"/>
    <s v="FIN_TAMP"/>
    <x v="0"/>
    <x v="0"/>
    <x v="11"/>
    <x v="5"/>
    <n v="183.22970503157899"/>
    <n v="11146.473722754399"/>
    <n v="40127.305401915903"/>
  </r>
  <r>
    <x v="0"/>
    <x v="0"/>
    <x v="0"/>
    <x v="2"/>
    <x v="3"/>
    <s v="FIN_TAMP"/>
    <x v="0"/>
    <x v="0"/>
    <x v="11"/>
    <x v="6"/>
    <n v="219.41593563947899"/>
    <n v="13347.802751401699"/>
    <n v="48052.089905045999"/>
  </r>
  <r>
    <x v="0"/>
    <x v="0"/>
    <x v="0"/>
    <x v="2"/>
    <x v="3"/>
    <s v="FIN_TAMP"/>
    <x v="0"/>
    <x v="0"/>
    <x v="11"/>
    <x v="7"/>
    <n v="231.90289971065801"/>
    <n v="14107.426399065"/>
    <n v="50786.735036634003"/>
  </r>
  <r>
    <x v="0"/>
    <x v="0"/>
    <x v="0"/>
    <x v="2"/>
    <x v="3"/>
    <s v="FIN_TAMP"/>
    <x v="0"/>
    <x v="0"/>
    <x v="11"/>
    <x v="8"/>
    <n v="224.79982789277199"/>
    <n v="13675.322863477"/>
    <n v="49231.162308517101"/>
  </r>
  <r>
    <x v="0"/>
    <x v="0"/>
    <x v="0"/>
    <x v="2"/>
    <x v="3"/>
    <s v="FIN_TAMP"/>
    <x v="0"/>
    <x v="0"/>
    <x v="11"/>
    <x v="9"/>
    <n v="214.346476968448"/>
    <n v="13039.4106822472"/>
    <n v="46941.878456090097"/>
  </r>
  <r>
    <x v="0"/>
    <x v="0"/>
    <x v="0"/>
    <x v="2"/>
    <x v="3"/>
    <s v="FIN_TAMP"/>
    <x v="0"/>
    <x v="0"/>
    <x v="11"/>
    <x v="10"/>
    <n v="202.71432958077901"/>
    <n v="12331.7883828307"/>
    <n v="44394.438178190598"/>
  </r>
  <r>
    <x v="0"/>
    <x v="0"/>
    <x v="0"/>
    <x v="2"/>
    <x v="3"/>
    <s v="FIN_TAMP"/>
    <x v="0"/>
    <x v="0"/>
    <x v="11"/>
    <x v="11"/>
    <n v="197.828612156302"/>
    <n v="12034.573906174999"/>
    <n v="43324.466062230102"/>
  </r>
  <r>
    <x v="0"/>
    <x v="0"/>
    <x v="0"/>
    <x v="3"/>
    <x v="4"/>
    <s v="LV_A"/>
    <x v="7"/>
    <x v="11"/>
    <x v="0"/>
    <x v="0"/>
    <n v="30"/>
    <n v="1825"/>
    <n v="6570"/>
  </r>
  <r>
    <x v="0"/>
    <x v="0"/>
    <x v="0"/>
    <x v="3"/>
    <x v="4"/>
    <s v="LV_A"/>
    <x v="7"/>
    <x v="11"/>
    <x v="0"/>
    <x v="1"/>
    <n v="30"/>
    <n v="1825"/>
    <n v="6570"/>
  </r>
  <r>
    <x v="0"/>
    <x v="0"/>
    <x v="0"/>
    <x v="3"/>
    <x v="4"/>
    <s v="LV_A"/>
    <x v="7"/>
    <x v="11"/>
    <x v="0"/>
    <x v="2"/>
    <n v="30"/>
    <n v="1825"/>
    <n v="6570"/>
  </r>
  <r>
    <x v="0"/>
    <x v="0"/>
    <x v="0"/>
    <x v="3"/>
    <x v="4"/>
    <s v="LV_A"/>
    <x v="7"/>
    <x v="11"/>
    <x v="0"/>
    <x v="3"/>
    <n v="30"/>
    <n v="1825"/>
    <n v="6570"/>
  </r>
  <r>
    <x v="0"/>
    <x v="0"/>
    <x v="0"/>
    <x v="3"/>
    <x v="4"/>
    <s v="LV_A"/>
    <x v="7"/>
    <x v="11"/>
    <x v="0"/>
    <x v="4"/>
    <n v="30"/>
    <n v="1825"/>
    <n v="6570"/>
  </r>
  <r>
    <x v="0"/>
    <x v="0"/>
    <x v="0"/>
    <x v="3"/>
    <x v="4"/>
    <s v="LV_A"/>
    <x v="7"/>
    <x v="11"/>
    <x v="0"/>
    <x v="5"/>
    <n v="30"/>
    <n v="1825"/>
    <n v="6570"/>
  </r>
  <r>
    <x v="0"/>
    <x v="0"/>
    <x v="0"/>
    <x v="3"/>
    <x v="4"/>
    <s v="LV_A"/>
    <x v="7"/>
    <x v="11"/>
    <x v="0"/>
    <x v="6"/>
    <n v="30"/>
    <n v="1825"/>
    <n v="6570"/>
  </r>
  <r>
    <x v="0"/>
    <x v="0"/>
    <x v="0"/>
    <x v="3"/>
    <x v="4"/>
    <s v="LV_A"/>
    <x v="7"/>
    <x v="11"/>
    <x v="0"/>
    <x v="7"/>
    <n v="30"/>
    <n v="1825"/>
    <n v="6570"/>
  </r>
  <r>
    <x v="0"/>
    <x v="0"/>
    <x v="0"/>
    <x v="3"/>
    <x v="4"/>
    <s v="LV_A"/>
    <x v="7"/>
    <x v="11"/>
    <x v="0"/>
    <x v="8"/>
    <n v="30"/>
    <n v="1825"/>
    <n v="6570"/>
  </r>
  <r>
    <x v="0"/>
    <x v="0"/>
    <x v="0"/>
    <x v="3"/>
    <x v="4"/>
    <s v="LV_A"/>
    <x v="7"/>
    <x v="11"/>
    <x v="0"/>
    <x v="9"/>
    <n v="30"/>
    <n v="1825"/>
    <n v="6570"/>
  </r>
  <r>
    <x v="0"/>
    <x v="0"/>
    <x v="0"/>
    <x v="3"/>
    <x v="4"/>
    <s v="LV_A"/>
    <x v="7"/>
    <x v="11"/>
    <x v="0"/>
    <x v="10"/>
    <n v="30"/>
    <n v="1825"/>
    <n v="6570"/>
  </r>
  <r>
    <x v="0"/>
    <x v="0"/>
    <x v="0"/>
    <x v="3"/>
    <x v="4"/>
    <s v="LV_A"/>
    <x v="7"/>
    <x v="11"/>
    <x v="0"/>
    <x v="11"/>
    <n v="30"/>
    <n v="1825"/>
    <n v="6570"/>
  </r>
  <r>
    <x v="0"/>
    <x v="0"/>
    <x v="0"/>
    <x v="3"/>
    <x v="4"/>
    <s v="LV_A"/>
    <x v="7"/>
    <x v="11"/>
    <x v="1"/>
    <x v="0"/>
    <n v="30"/>
    <n v="1825"/>
    <n v="6570"/>
  </r>
  <r>
    <x v="0"/>
    <x v="0"/>
    <x v="0"/>
    <x v="3"/>
    <x v="4"/>
    <s v="LV_A"/>
    <x v="7"/>
    <x v="11"/>
    <x v="1"/>
    <x v="1"/>
    <n v="30"/>
    <n v="1825"/>
    <n v="6570"/>
  </r>
  <r>
    <x v="0"/>
    <x v="0"/>
    <x v="0"/>
    <x v="3"/>
    <x v="4"/>
    <s v="LV_A"/>
    <x v="7"/>
    <x v="11"/>
    <x v="1"/>
    <x v="2"/>
    <n v="30"/>
    <n v="1825"/>
    <n v="6570"/>
  </r>
  <r>
    <x v="0"/>
    <x v="0"/>
    <x v="0"/>
    <x v="3"/>
    <x v="4"/>
    <s v="LV_A"/>
    <x v="7"/>
    <x v="11"/>
    <x v="1"/>
    <x v="3"/>
    <n v="30"/>
    <n v="1825"/>
    <n v="6570"/>
  </r>
  <r>
    <x v="0"/>
    <x v="0"/>
    <x v="0"/>
    <x v="3"/>
    <x v="4"/>
    <s v="LV_A"/>
    <x v="7"/>
    <x v="11"/>
    <x v="1"/>
    <x v="4"/>
    <n v="30"/>
    <n v="1825"/>
    <n v="6570"/>
  </r>
  <r>
    <x v="0"/>
    <x v="0"/>
    <x v="0"/>
    <x v="3"/>
    <x v="4"/>
    <s v="LV_A"/>
    <x v="7"/>
    <x v="11"/>
    <x v="1"/>
    <x v="5"/>
    <n v="30"/>
    <n v="1825"/>
    <n v="6570"/>
  </r>
  <r>
    <x v="0"/>
    <x v="0"/>
    <x v="0"/>
    <x v="3"/>
    <x v="4"/>
    <s v="LV_A"/>
    <x v="7"/>
    <x v="11"/>
    <x v="1"/>
    <x v="6"/>
    <n v="30"/>
    <n v="1825"/>
    <n v="6570"/>
  </r>
  <r>
    <x v="0"/>
    <x v="0"/>
    <x v="0"/>
    <x v="3"/>
    <x v="4"/>
    <s v="LV_A"/>
    <x v="7"/>
    <x v="11"/>
    <x v="1"/>
    <x v="7"/>
    <n v="30"/>
    <n v="1825"/>
    <n v="6570"/>
  </r>
  <r>
    <x v="0"/>
    <x v="0"/>
    <x v="0"/>
    <x v="3"/>
    <x v="4"/>
    <s v="LV_A"/>
    <x v="7"/>
    <x v="11"/>
    <x v="1"/>
    <x v="8"/>
    <n v="30"/>
    <n v="1825"/>
    <n v="6570"/>
  </r>
  <r>
    <x v="0"/>
    <x v="0"/>
    <x v="0"/>
    <x v="3"/>
    <x v="4"/>
    <s v="LV_A"/>
    <x v="7"/>
    <x v="11"/>
    <x v="1"/>
    <x v="9"/>
    <n v="30"/>
    <n v="1825"/>
    <n v="6570"/>
  </r>
  <r>
    <x v="0"/>
    <x v="0"/>
    <x v="0"/>
    <x v="3"/>
    <x v="4"/>
    <s v="LV_A"/>
    <x v="7"/>
    <x v="11"/>
    <x v="1"/>
    <x v="10"/>
    <n v="30"/>
    <n v="1825"/>
    <n v="6570"/>
  </r>
  <r>
    <x v="0"/>
    <x v="0"/>
    <x v="0"/>
    <x v="3"/>
    <x v="4"/>
    <s v="LV_A"/>
    <x v="7"/>
    <x v="11"/>
    <x v="1"/>
    <x v="11"/>
    <n v="30"/>
    <n v="1825"/>
    <n v="6570"/>
  </r>
  <r>
    <x v="0"/>
    <x v="0"/>
    <x v="0"/>
    <x v="3"/>
    <x v="4"/>
    <s v="LV_A"/>
    <x v="7"/>
    <x v="11"/>
    <x v="2"/>
    <x v="0"/>
    <n v="30"/>
    <n v="1825"/>
    <n v="6570"/>
  </r>
  <r>
    <x v="0"/>
    <x v="0"/>
    <x v="0"/>
    <x v="3"/>
    <x v="4"/>
    <s v="LV_A"/>
    <x v="7"/>
    <x v="11"/>
    <x v="2"/>
    <x v="1"/>
    <n v="30"/>
    <n v="1825"/>
    <n v="6570"/>
  </r>
  <r>
    <x v="0"/>
    <x v="0"/>
    <x v="0"/>
    <x v="3"/>
    <x v="4"/>
    <s v="LV_A"/>
    <x v="7"/>
    <x v="11"/>
    <x v="2"/>
    <x v="2"/>
    <n v="30"/>
    <n v="1825"/>
    <n v="6570"/>
  </r>
  <r>
    <x v="0"/>
    <x v="0"/>
    <x v="0"/>
    <x v="3"/>
    <x v="4"/>
    <s v="LV_A"/>
    <x v="7"/>
    <x v="11"/>
    <x v="2"/>
    <x v="3"/>
    <n v="30"/>
    <n v="1825"/>
    <n v="6570"/>
  </r>
  <r>
    <x v="0"/>
    <x v="0"/>
    <x v="0"/>
    <x v="3"/>
    <x v="4"/>
    <s v="LV_A"/>
    <x v="7"/>
    <x v="11"/>
    <x v="2"/>
    <x v="4"/>
    <n v="30"/>
    <n v="1825"/>
    <n v="6570"/>
  </r>
  <r>
    <x v="0"/>
    <x v="0"/>
    <x v="0"/>
    <x v="3"/>
    <x v="4"/>
    <s v="LV_A"/>
    <x v="7"/>
    <x v="11"/>
    <x v="2"/>
    <x v="5"/>
    <n v="30"/>
    <n v="1825"/>
    <n v="6570"/>
  </r>
  <r>
    <x v="0"/>
    <x v="0"/>
    <x v="0"/>
    <x v="3"/>
    <x v="4"/>
    <s v="LV_A"/>
    <x v="7"/>
    <x v="11"/>
    <x v="2"/>
    <x v="6"/>
    <n v="30"/>
    <n v="1825"/>
    <n v="6570"/>
  </r>
  <r>
    <x v="0"/>
    <x v="0"/>
    <x v="0"/>
    <x v="3"/>
    <x v="4"/>
    <s v="LV_A"/>
    <x v="7"/>
    <x v="11"/>
    <x v="2"/>
    <x v="7"/>
    <n v="30"/>
    <n v="1825"/>
    <n v="6570"/>
  </r>
  <r>
    <x v="0"/>
    <x v="0"/>
    <x v="0"/>
    <x v="3"/>
    <x v="4"/>
    <s v="LV_A"/>
    <x v="7"/>
    <x v="11"/>
    <x v="2"/>
    <x v="8"/>
    <n v="30"/>
    <n v="1825"/>
    <n v="6570"/>
  </r>
  <r>
    <x v="0"/>
    <x v="0"/>
    <x v="0"/>
    <x v="3"/>
    <x v="4"/>
    <s v="LV_A"/>
    <x v="7"/>
    <x v="11"/>
    <x v="2"/>
    <x v="9"/>
    <n v="30"/>
    <n v="1825"/>
    <n v="6570"/>
  </r>
  <r>
    <x v="0"/>
    <x v="0"/>
    <x v="0"/>
    <x v="3"/>
    <x v="4"/>
    <s v="LV_A"/>
    <x v="7"/>
    <x v="11"/>
    <x v="2"/>
    <x v="10"/>
    <n v="30"/>
    <n v="1825"/>
    <n v="6570"/>
  </r>
  <r>
    <x v="0"/>
    <x v="0"/>
    <x v="0"/>
    <x v="3"/>
    <x v="4"/>
    <s v="LV_A"/>
    <x v="7"/>
    <x v="11"/>
    <x v="2"/>
    <x v="11"/>
    <n v="30"/>
    <n v="1825"/>
    <n v="6570"/>
  </r>
  <r>
    <x v="0"/>
    <x v="0"/>
    <x v="0"/>
    <x v="3"/>
    <x v="4"/>
    <s v="LV_A"/>
    <x v="7"/>
    <x v="11"/>
    <x v="3"/>
    <x v="0"/>
    <n v="30"/>
    <n v="1825"/>
    <n v="6570"/>
  </r>
  <r>
    <x v="0"/>
    <x v="0"/>
    <x v="0"/>
    <x v="3"/>
    <x v="4"/>
    <s v="LV_A"/>
    <x v="7"/>
    <x v="11"/>
    <x v="3"/>
    <x v="1"/>
    <n v="30"/>
    <n v="1825"/>
    <n v="6570"/>
  </r>
  <r>
    <x v="0"/>
    <x v="0"/>
    <x v="0"/>
    <x v="3"/>
    <x v="4"/>
    <s v="LV_A"/>
    <x v="7"/>
    <x v="11"/>
    <x v="3"/>
    <x v="2"/>
    <n v="30"/>
    <n v="1825"/>
    <n v="6570"/>
  </r>
  <r>
    <x v="0"/>
    <x v="0"/>
    <x v="0"/>
    <x v="3"/>
    <x v="4"/>
    <s v="LV_A"/>
    <x v="7"/>
    <x v="11"/>
    <x v="3"/>
    <x v="3"/>
    <n v="30"/>
    <n v="1825"/>
    <n v="6570"/>
  </r>
  <r>
    <x v="0"/>
    <x v="0"/>
    <x v="0"/>
    <x v="3"/>
    <x v="4"/>
    <s v="LV_A"/>
    <x v="7"/>
    <x v="11"/>
    <x v="3"/>
    <x v="4"/>
    <n v="30"/>
    <n v="1825"/>
    <n v="6570"/>
  </r>
  <r>
    <x v="0"/>
    <x v="0"/>
    <x v="0"/>
    <x v="3"/>
    <x v="4"/>
    <s v="LV_A"/>
    <x v="7"/>
    <x v="11"/>
    <x v="3"/>
    <x v="5"/>
    <n v="30"/>
    <n v="1825"/>
    <n v="6570"/>
  </r>
  <r>
    <x v="0"/>
    <x v="0"/>
    <x v="0"/>
    <x v="3"/>
    <x v="4"/>
    <s v="LV_A"/>
    <x v="7"/>
    <x v="11"/>
    <x v="3"/>
    <x v="6"/>
    <n v="30"/>
    <n v="1825"/>
    <n v="6570"/>
  </r>
  <r>
    <x v="0"/>
    <x v="0"/>
    <x v="0"/>
    <x v="3"/>
    <x v="4"/>
    <s v="LV_A"/>
    <x v="7"/>
    <x v="11"/>
    <x v="3"/>
    <x v="7"/>
    <n v="30"/>
    <n v="1825"/>
    <n v="6570"/>
  </r>
  <r>
    <x v="0"/>
    <x v="0"/>
    <x v="0"/>
    <x v="3"/>
    <x v="4"/>
    <s v="LV_A"/>
    <x v="7"/>
    <x v="11"/>
    <x v="3"/>
    <x v="8"/>
    <n v="30"/>
    <n v="1825"/>
    <n v="6570"/>
  </r>
  <r>
    <x v="0"/>
    <x v="0"/>
    <x v="0"/>
    <x v="3"/>
    <x v="4"/>
    <s v="LV_A"/>
    <x v="7"/>
    <x v="11"/>
    <x v="3"/>
    <x v="9"/>
    <n v="30"/>
    <n v="1825"/>
    <n v="6570"/>
  </r>
  <r>
    <x v="0"/>
    <x v="0"/>
    <x v="0"/>
    <x v="3"/>
    <x v="4"/>
    <s v="LV_A"/>
    <x v="7"/>
    <x v="11"/>
    <x v="3"/>
    <x v="10"/>
    <n v="30"/>
    <n v="1825"/>
    <n v="6570"/>
  </r>
  <r>
    <x v="0"/>
    <x v="0"/>
    <x v="0"/>
    <x v="3"/>
    <x v="4"/>
    <s v="LV_A"/>
    <x v="7"/>
    <x v="11"/>
    <x v="3"/>
    <x v="11"/>
    <n v="30"/>
    <n v="1825"/>
    <n v="6570"/>
  </r>
  <r>
    <x v="0"/>
    <x v="0"/>
    <x v="0"/>
    <x v="3"/>
    <x v="4"/>
    <s v="LV_A"/>
    <x v="7"/>
    <x v="11"/>
    <x v="4"/>
    <x v="0"/>
    <n v="30"/>
    <n v="1825"/>
    <n v="6570"/>
  </r>
  <r>
    <x v="0"/>
    <x v="0"/>
    <x v="0"/>
    <x v="3"/>
    <x v="4"/>
    <s v="LV_A"/>
    <x v="7"/>
    <x v="11"/>
    <x v="4"/>
    <x v="1"/>
    <n v="30"/>
    <n v="1825"/>
    <n v="6570"/>
  </r>
  <r>
    <x v="0"/>
    <x v="0"/>
    <x v="0"/>
    <x v="3"/>
    <x v="4"/>
    <s v="LV_A"/>
    <x v="7"/>
    <x v="11"/>
    <x v="4"/>
    <x v="2"/>
    <n v="30"/>
    <n v="1825"/>
    <n v="6570"/>
  </r>
  <r>
    <x v="0"/>
    <x v="0"/>
    <x v="0"/>
    <x v="3"/>
    <x v="4"/>
    <s v="LV_A"/>
    <x v="7"/>
    <x v="11"/>
    <x v="4"/>
    <x v="3"/>
    <n v="30"/>
    <n v="1825"/>
    <n v="6570"/>
  </r>
  <r>
    <x v="0"/>
    <x v="0"/>
    <x v="0"/>
    <x v="3"/>
    <x v="4"/>
    <s v="LV_A"/>
    <x v="7"/>
    <x v="11"/>
    <x v="4"/>
    <x v="4"/>
    <n v="30"/>
    <n v="1825"/>
    <n v="6570"/>
  </r>
  <r>
    <x v="0"/>
    <x v="0"/>
    <x v="0"/>
    <x v="3"/>
    <x v="4"/>
    <s v="LV_A"/>
    <x v="7"/>
    <x v="11"/>
    <x v="4"/>
    <x v="5"/>
    <n v="30"/>
    <n v="1825"/>
    <n v="6570"/>
  </r>
  <r>
    <x v="0"/>
    <x v="0"/>
    <x v="0"/>
    <x v="3"/>
    <x v="4"/>
    <s v="LV_A"/>
    <x v="7"/>
    <x v="11"/>
    <x v="4"/>
    <x v="6"/>
    <n v="30"/>
    <n v="1825"/>
    <n v="6570"/>
  </r>
  <r>
    <x v="0"/>
    <x v="0"/>
    <x v="0"/>
    <x v="3"/>
    <x v="4"/>
    <s v="LV_A"/>
    <x v="7"/>
    <x v="11"/>
    <x v="4"/>
    <x v="7"/>
    <n v="30"/>
    <n v="1825"/>
    <n v="6570"/>
  </r>
  <r>
    <x v="0"/>
    <x v="0"/>
    <x v="0"/>
    <x v="3"/>
    <x v="4"/>
    <s v="LV_A"/>
    <x v="7"/>
    <x v="11"/>
    <x v="4"/>
    <x v="8"/>
    <n v="30"/>
    <n v="1825"/>
    <n v="6570"/>
  </r>
  <r>
    <x v="0"/>
    <x v="0"/>
    <x v="0"/>
    <x v="3"/>
    <x v="4"/>
    <s v="LV_A"/>
    <x v="7"/>
    <x v="11"/>
    <x v="4"/>
    <x v="9"/>
    <n v="30"/>
    <n v="1825"/>
    <n v="6570"/>
  </r>
  <r>
    <x v="0"/>
    <x v="0"/>
    <x v="0"/>
    <x v="3"/>
    <x v="4"/>
    <s v="LV_A"/>
    <x v="7"/>
    <x v="11"/>
    <x v="4"/>
    <x v="10"/>
    <n v="30"/>
    <n v="1825"/>
    <n v="6570"/>
  </r>
  <r>
    <x v="0"/>
    <x v="0"/>
    <x v="0"/>
    <x v="3"/>
    <x v="4"/>
    <s v="LV_A"/>
    <x v="7"/>
    <x v="11"/>
    <x v="4"/>
    <x v="11"/>
    <n v="30"/>
    <n v="1825"/>
    <n v="6570"/>
  </r>
  <r>
    <x v="0"/>
    <x v="0"/>
    <x v="0"/>
    <x v="3"/>
    <x v="4"/>
    <s v="LV_A"/>
    <x v="7"/>
    <x v="11"/>
    <x v="5"/>
    <x v="0"/>
    <n v="30"/>
    <n v="1825"/>
    <n v="6570"/>
  </r>
  <r>
    <x v="0"/>
    <x v="0"/>
    <x v="0"/>
    <x v="3"/>
    <x v="4"/>
    <s v="LV_A"/>
    <x v="7"/>
    <x v="11"/>
    <x v="5"/>
    <x v="1"/>
    <n v="30"/>
    <n v="1825"/>
    <n v="6570"/>
  </r>
  <r>
    <x v="0"/>
    <x v="0"/>
    <x v="0"/>
    <x v="3"/>
    <x v="4"/>
    <s v="LV_A"/>
    <x v="7"/>
    <x v="11"/>
    <x v="5"/>
    <x v="2"/>
    <n v="30"/>
    <n v="1825"/>
    <n v="6570"/>
  </r>
  <r>
    <x v="0"/>
    <x v="0"/>
    <x v="0"/>
    <x v="3"/>
    <x v="4"/>
    <s v="LV_A"/>
    <x v="7"/>
    <x v="11"/>
    <x v="5"/>
    <x v="3"/>
    <n v="30"/>
    <n v="1825"/>
    <n v="6570"/>
  </r>
  <r>
    <x v="0"/>
    <x v="0"/>
    <x v="0"/>
    <x v="3"/>
    <x v="4"/>
    <s v="LV_A"/>
    <x v="7"/>
    <x v="11"/>
    <x v="5"/>
    <x v="4"/>
    <n v="30"/>
    <n v="1825"/>
    <n v="6570"/>
  </r>
  <r>
    <x v="0"/>
    <x v="0"/>
    <x v="0"/>
    <x v="3"/>
    <x v="4"/>
    <s v="LV_A"/>
    <x v="7"/>
    <x v="11"/>
    <x v="5"/>
    <x v="5"/>
    <n v="30"/>
    <n v="1825"/>
    <n v="6570"/>
  </r>
  <r>
    <x v="0"/>
    <x v="0"/>
    <x v="0"/>
    <x v="3"/>
    <x v="4"/>
    <s v="LV_A"/>
    <x v="7"/>
    <x v="11"/>
    <x v="5"/>
    <x v="6"/>
    <n v="30"/>
    <n v="1825"/>
    <n v="6570"/>
  </r>
  <r>
    <x v="0"/>
    <x v="0"/>
    <x v="0"/>
    <x v="3"/>
    <x v="4"/>
    <s v="LV_A"/>
    <x v="7"/>
    <x v="11"/>
    <x v="5"/>
    <x v="7"/>
    <n v="30"/>
    <n v="1825"/>
    <n v="6570"/>
  </r>
  <r>
    <x v="0"/>
    <x v="0"/>
    <x v="0"/>
    <x v="3"/>
    <x v="4"/>
    <s v="LV_A"/>
    <x v="7"/>
    <x v="11"/>
    <x v="5"/>
    <x v="8"/>
    <n v="30"/>
    <n v="1825"/>
    <n v="6570"/>
  </r>
  <r>
    <x v="0"/>
    <x v="0"/>
    <x v="0"/>
    <x v="3"/>
    <x v="4"/>
    <s v="LV_A"/>
    <x v="7"/>
    <x v="11"/>
    <x v="5"/>
    <x v="9"/>
    <n v="30"/>
    <n v="1825"/>
    <n v="6570"/>
  </r>
  <r>
    <x v="0"/>
    <x v="0"/>
    <x v="0"/>
    <x v="3"/>
    <x v="4"/>
    <s v="LV_A"/>
    <x v="7"/>
    <x v="11"/>
    <x v="5"/>
    <x v="10"/>
    <n v="30"/>
    <n v="1825"/>
    <n v="6570"/>
  </r>
  <r>
    <x v="0"/>
    <x v="0"/>
    <x v="0"/>
    <x v="3"/>
    <x v="4"/>
    <s v="LV_A"/>
    <x v="7"/>
    <x v="11"/>
    <x v="5"/>
    <x v="11"/>
    <n v="30"/>
    <n v="1825"/>
    <n v="6570"/>
  </r>
  <r>
    <x v="0"/>
    <x v="0"/>
    <x v="0"/>
    <x v="3"/>
    <x v="4"/>
    <s v="LV_A"/>
    <x v="7"/>
    <x v="11"/>
    <x v="6"/>
    <x v="0"/>
    <n v="30"/>
    <n v="1825"/>
    <n v="6570"/>
  </r>
  <r>
    <x v="0"/>
    <x v="0"/>
    <x v="0"/>
    <x v="3"/>
    <x v="4"/>
    <s v="LV_A"/>
    <x v="7"/>
    <x v="11"/>
    <x v="6"/>
    <x v="1"/>
    <n v="30"/>
    <n v="1825"/>
    <n v="6570"/>
  </r>
  <r>
    <x v="0"/>
    <x v="0"/>
    <x v="0"/>
    <x v="3"/>
    <x v="4"/>
    <s v="LV_A"/>
    <x v="7"/>
    <x v="11"/>
    <x v="6"/>
    <x v="2"/>
    <n v="30"/>
    <n v="1825"/>
    <n v="6570"/>
  </r>
  <r>
    <x v="0"/>
    <x v="0"/>
    <x v="0"/>
    <x v="3"/>
    <x v="4"/>
    <s v="LV_A"/>
    <x v="7"/>
    <x v="11"/>
    <x v="6"/>
    <x v="3"/>
    <n v="30"/>
    <n v="1825"/>
    <n v="6570"/>
  </r>
  <r>
    <x v="0"/>
    <x v="0"/>
    <x v="0"/>
    <x v="3"/>
    <x v="4"/>
    <s v="LV_A"/>
    <x v="7"/>
    <x v="11"/>
    <x v="6"/>
    <x v="4"/>
    <n v="30"/>
    <n v="1825"/>
    <n v="6570"/>
  </r>
  <r>
    <x v="0"/>
    <x v="0"/>
    <x v="0"/>
    <x v="3"/>
    <x v="4"/>
    <s v="LV_A"/>
    <x v="7"/>
    <x v="11"/>
    <x v="6"/>
    <x v="5"/>
    <n v="30"/>
    <n v="1825"/>
    <n v="6570"/>
  </r>
  <r>
    <x v="0"/>
    <x v="0"/>
    <x v="0"/>
    <x v="3"/>
    <x v="4"/>
    <s v="LV_A"/>
    <x v="7"/>
    <x v="11"/>
    <x v="6"/>
    <x v="6"/>
    <n v="30"/>
    <n v="1825"/>
    <n v="6570"/>
  </r>
  <r>
    <x v="0"/>
    <x v="0"/>
    <x v="0"/>
    <x v="3"/>
    <x v="4"/>
    <s v="LV_A"/>
    <x v="7"/>
    <x v="11"/>
    <x v="6"/>
    <x v="7"/>
    <n v="30"/>
    <n v="1825"/>
    <n v="6570"/>
  </r>
  <r>
    <x v="0"/>
    <x v="0"/>
    <x v="0"/>
    <x v="3"/>
    <x v="4"/>
    <s v="LV_A"/>
    <x v="7"/>
    <x v="11"/>
    <x v="6"/>
    <x v="8"/>
    <n v="30"/>
    <n v="1825"/>
    <n v="6570"/>
  </r>
  <r>
    <x v="0"/>
    <x v="0"/>
    <x v="0"/>
    <x v="3"/>
    <x v="4"/>
    <s v="LV_A"/>
    <x v="7"/>
    <x v="11"/>
    <x v="6"/>
    <x v="9"/>
    <n v="30"/>
    <n v="1825"/>
    <n v="6570"/>
  </r>
  <r>
    <x v="0"/>
    <x v="0"/>
    <x v="0"/>
    <x v="3"/>
    <x v="4"/>
    <s v="LV_A"/>
    <x v="7"/>
    <x v="11"/>
    <x v="6"/>
    <x v="10"/>
    <n v="30"/>
    <n v="1825"/>
    <n v="6570"/>
  </r>
  <r>
    <x v="0"/>
    <x v="0"/>
    <x v="0"/>
    <x v="3"/>
    <x v="4"/>
    <s v="LV_A"/>
    <x v="7"/>
    <x v="11"/>
    <x v="6"/>
    <x v="11"/>
    <n v="30"/>
    <n v="1825"/>
    <n v="6570"/>
  </r>
  <r>
    <x v="0"/>
    <x v="0"/>
    <x v="0"/>
    <x v="3"/>
    <x v="4"/>
    <s v="LV_A"/>
    <x v="7"/>
    <x v="11"/>
    <x v="7"/>
    <x v="0"/>
    <n v="30"/>
    <n v="1825"/>
    <n v="6570"/>
  </r>
  <r>
    <x v="0"/>
    <x v="0"/>
    <x v="0"/>
    <x v="3"/>
    <x v="4"/>
    <s v="LV_A"/>
    <x v="7"/>
    <x v="11"/>
    <x v="7"/>
    <x v="1"/>
    <n v="30"/>
    <n v="1825"/>
    <n v="6570"/>
  </r>
  <r>
    <x v="0"/>
    <x v="0"/>
    <x v="0"/>
    <x v="3"/>
    <x v="4"/>
    <s v="LV_A"/>
    <x v="7"/>
    <x v="11"/>
    <x v="7"/>
    <x v="2"/>
    <n v="30"/>
    <n v="1825"/>
    <n v="6570"/>
  </r>
  <r>
    <x v="0"/>
    <x v="0"/>
    <x v="0"/>
    <x v="3"/>
    <x v="4"/>
    <s v="LV_A"/>
    <x v="7"/>
    <x v="11"/>
    <x v="7"/>
    <x v="3"/>
    <n v="30"/>
    <n v="1825"/>
    <n v="6570"/>
  </r>
  <r>
    <x v="0"/>
    <x v="0"/>
    <x v="0"/>
    <x v="3"/>
    <x v="4"/>
    <s v="LV_A"/>
    <x v="7"/>
    <x v="11"/>
    <x v="7"/>
    <x v="4"/>
    <n v="30"/>
    <n v="1825"/>
    <n v="6570"/>
  </r>
  <r>
    <x v="0"/>
    <x v="0"/>
    <x v="0"/>
    <x v="3"/>
    <x v="4"/>
    <s v="LV_A"/>
    <x v="7"/>
    <x v="11"/>
    <x v="7"/>
    <x v="5"/>
    <n v="30"/>
    <n v="1825"/>
    <n v="6570"/>
  </r>
  <r>
    <x v="0"/>
    <x v="0"/>
    <x v="0"/>
    <x v="3"/>
    <x v="4"/>
    <s v="LV_A"/>
    <x v="7"/>
    <x v="11"/>
    <x v="7"/>
    <x v="6"/>
    <n v="30"/>
    <n v="1825"/>
    <n v="6570"/>
  </r>
  <r>
    <x v="0"/>
    <x v="0"/>
    <x v="0"/>
    <x v="3"/>
    <x v="4"/>
    <s v="LV_A"/>
    <x v="7"/>
    <x v="11"/>
    <x v="7"/>
    <x v="7"/>
    <n v="30"/>
    <n v="1825"/>
    <n v="6570"/>
  </r>
  <r>
    <x v="0"/>
    <x v="0"/>
    <x v="0"/>
    <x v="3"/>
    <x v="4"/>
    <s v="LV_A"/>
    <x v="7"/>
    <x v="11"/>
    <x v="7"/>
    <x v="8"/>
    <n v="30"/>
    <n v="1825"/>
    <n v="6570"/>
  </r>
  <r>
    <x v="0"/>
    <x v="0"/>
    <x v="0"/>
    <x v="3"/>
    <x v="4"/>
    <s v="LV_A"/>
    <x v="7"/>
    <x v="11"/>
    <x v="7"/>
    <x v="9"/>
    <n v="30"/>
    <n v="1825"/>
    <n v="6570"/>
  </r>
  <r>
    <x v="0"/>
    <x v="0"/>
    <x v="0"/>
    <x v="3"/>
    <x v="4"/>
    <s v="LV_A"/>
    <x v="7"/>
    <x v="11"/>
    <x v="7"/>
    <x v="10"/>
    <n v="30"/>
    <n v="1825"/>
    <n v="6570"/>
  </r>
  <r>
    <x v="0"/>
    <x v="0"/>
    <x v="0"/>
    <x v="3"/>
    <x v="4"/>
    <s v="LV_A"/>
    <x v="7"/>
    <x v="11"/>
    <x v="7"/>
    <x v="11"/>
    <n v="30"/>
    <n v="1825"/>
    <n v="6570"/>
  </r>
  <r>
    <x v="0"/>
    <x v="0"/>
    <x v="0"/>
    <x v="3"/>
    <x v="4"/>
    <s v="LV_A"/>
    <x v="7"/>
    <x v="11"/>
    <x v="8"/>
    <x v="0"/>
    <n v="30"/>
    <n v="1825"/>
    <n v="6570"/>
  </r>
  <r>
    <x v="0"/>
    <x v="0"/>
    <x v="0"/>
    <x v="3"/>
    <x v="4"/>
    <s v="LV_A"/>
    <x v="7"/>
    <x v="11"/>
    <x v="8"/>
    <x v="1"/>
    <n v="30"/>
    <n v="1825"/>
    <n v="6570"/>
  </r>
  <r>
    <x v="0"/>
    <x v="0"/>
    <x v="0"/>
    <x v="3"/>
    <x v="4"/>
    <s v="LV_A"/>
    <x v="7"/>
    <x v="11"/>
    <x v="8"/>
    <x v="2"/>
    <n v="30"/>
    <n v="1825"/>
    <n v="6570"/>
  </r>
  <r>
    <x v="0"/>
    <x v="0"/>
    <x v="0"/>
    <x v="3"/>
    <x v="4"/>
    <s v="LV_A"/>
    <x v="7"/>
    <x v="11"/>
    <x v="8"/>
    <x v="3"/>
    <n v="30"/>
    <n v="1825"/>
    <n v="6570"/>
  </r>
  <r>
    <x v="0"/>
    <x v="0"/>
    <x v="0"/>
    <x v="3"/>
    <x v="4"/>
    <s v="LV_A"/>
    <x v="7"/>
    <x v="11"/>
    <x v="8"/>
    <x v="4"/>
    <n v="30"/>
    <n v="1825"/>
    <n v="6570"/>
  </r>
  <r>
    <x v="0"/>
    <x v="0"/>
    <x v="0"/>
    <x v="3"/>
    <x v="4"/>
    <s v="LV_A"/>
    <x v="7"/>
    <x v="11"/>
    <x v="8"/>
    <x v="5"/>
    <n v="30"/>
    <n v="1825"/>
    <n v="6570"/>
  </r>
  <r>
    <x v="0"/>
    <x v="0"/>
    <x v="0"/>
    <x v="3"/>
    <x v="4"/>
    <s v="LV_A"/>
    <x v="7"/>
    <x v="11"/>
    <x v="8"/>
    <x v="6"/>
    <n v="30"/>
    <n v="1825"/>
    <n v="6570"/>
  </r>
  <r>
    <x v="0"/>
    <x v="0"/>
    <x v="0"/>
    <x v="3"/>
    <x v="4"/>
    <s v="LV_A"/>
    <x v="7"/>
    <x v="11"/>
    <x v="8"/>
    <x v="7"/>
    <n v="30"/>
    <n v="1825"/>
    <n v="6570"/>
  </r>
  <r>
    <x v="0"/>
    <x v="0"/>
    <x v="0"/>
    <x v="3"/>
    <x v="4"/>
    <s v="LV_A"/>
    <x v="7"/>
    <x v="11"/>
    <x v="8"/>
    <x v="8"/>
    <n v="30"/>
    <n v="1825"/>
    <n v="6570"/>
  </r>
  <r>
    <x v="0"/>
    <x v="0"/>
    <x v="0"/>
    <x v="3"/>
    <x v="4"/>
    <s v="LV_A"/>
    <x v="7"/>
    <x v="11"/>
    <x v="8"/>
    <x v="9"/>
    <n v="30"/>
    <n v="1825"/>
    <n v="6570"/>
  </r>
  <r>
    <x v="0"/>
    <x v="0"/>
    <x v="0"/>
    <x v="3"/>
    <x v="4"/>
    <s v="LV_A"/>
    <x v="7"/>
    <x v="11"/>
    <x v="8"/>
    <x v="10"/>
    <n v="30"/>
    <n v="1825"/>
    <n v="6570"/>
  </r>
  <r>
    <x v="0"/>
    <x v="0"/>
    <x v="0"/>
    <x v="3"/>
    <x v="4"/>
    <s v="LV_A"/>
    <x v="7"/>
    <x v="11"/>
    <x v="8"/>
    <x v="11"/>
    <n v="30"/>
    <n v="1825"/>
    <n v="6570"/>
  </r>
  <r>
    <x v="0"/>
    <x v="0"/>
    <x v="0"/>
    <x v="3"/>
    <x v="4"/>
    <s v="LV_A"/>
    <x v="7"/>
    <x v="11"/>
    <x v="9"/>
    <x v="0"/>
    <n v="30"/>
    <n v="1825"/>
    <n v="6570"/>
  </r>
  <r>
    <x v="0"/>
    <x v="0"/>
    <x v="0"/>
    <x v="3"/>
    <x v="4"/>
    <s v="LV_A"/>
    <x v="7"/>
    <x v="11"/>
    <x v="9"/>
    <x v="1"/>
    <n v="30"/>
    <n v="1825"/>
    <n v="6570"/>
  </r>
  <r>
    <x v="0"/>
    <x v="0"/>
    <x v="0"/>
    <x v="3"/>
    <x v="4"/>
    <s v="LV_A"/>
    <x v="7"/>
    <x v="11"/>
    <x v="9"/>
    <x v="2"/>
    <n v="30"/>
    <n v="1825"/>
    <n v="6570"/>
  </r>
  <r>
    <x v="0"/>
    <x v="0"/>
    <x v="0"/>
    <x v="3"/>
    <x v="4"/>
    <s v="LV_A"/>
    <x v="7"/>
    <x v="11"/>
    <x v="9"/>
    <x v="3"/>
    <n v="30"/>
    <n v="1825"/>
    <n v="6570"/>
  </r>
  <r>
    <x v="0"/>
    <x v="0"/>
    <x v="0"/>
    <x v="3"/>
    <x v="4"/>
    <s v="LV_A"/>
    <x v="7"/>
    <x v="11"/>
    <x v="9"/>
    <x v="4"/>
    <n v="30"/>
    <n v="1825"/>
    <n v="6570"/>
  </r>
  <r>
    <x v="0"/>
    <x v="0"/>
    <x v="0"/>
    <x v="3"/>
    <x v="4"/>
    <s v="LV_A"/>
    <x v="7"/>
    <x v="11"/>
    <x v="9"/>
    <x v="5"/>
    <n v="30"/>
    <n v="1825"/>
    <n v="6570"/>
  </r>
  <r>
    <x v="0"/>
    <x v="0"/>
    <x v="0"/>
    <x v="3"/>
    <x v="4"/>
    <s v="LV_A"/>
    <x v="7"/>
    <x v="11"/>
    <x v="9"/>
    <x v="6"/>
    <n v="30"/>
    <n v="1825"/>
    <n v="6570"/>
  </r>
  <r>
    <x v="0"/>
    <x v="0"/>
    <x v="0"/>
    <x v="3"/>
    <x v="4"/>
    <s v="LV_A"/>
    <x v="7"/>
    <x v="11"/>
    <x v="9"/>
    <x v="7"/>
    <n v="30"/>
    <n v="1825"/>
    <n v="6570"/>
  </r>
  <r>
    <x v="0"/>
    <x v="0"/>
    <x v="0"/>
    <x v="3"/>
    <x v="4"/>
    <s v="LV_A"/>
    <x v="7"/>
    <x v="11"/>
    <x v="9"/>
    <x v="8"/>
    <n v="30"/>
    <n v="1825"/>
    <n v="6570"/>
  </r>
  <r>
    <x v="0"/>
    <x v="0"/>
    <x v="0"/>
    <x v="3"/>
    <x v="4"/>
    <s v="LV_A"/>
    <x v="7"/>
    <x v="11"/>
    <x v="9"/>
    <x v="9"/>
    <n v="30"/>
    <n v="1825"/>
    <n v="6570"/>
  </r>
  <r>
    <x v="0"/>
    <x v="0"/>
    <x v="0"/>
    <x v="3"/>
    <x v="4"/>
    <s v="LV_A"/>
    <x v="7"/>
    <x v="11"/>
    <x v="9"/>
    <x v="10"/>
    <n v="30"/>
    <n v="1825"/>
    <n v="6570"/>
  </r>
  <r>
    <x v="0"/>
    <x v="0"/>
    <x v="0"/>
    <x v="3"/>
    <x v="4"/>
    <s v="LV_A"/>
    <x v="7"/>
    <x v="11"/>
    <x v="9"/>
    <x v="11"/>
    <n v="30"/>
    <n v="1825"/>
    <n v="6570"/>
  </r>
  <r>
    <x v="0"/>
    <x v="0"/>
    <x v="0"/>
    <x v="3"/>
    <x v="4"/>
    <s v="LV_A"/>
    <x v="7"/>
    <x v="11"/>
    <x v="10"/>
    <x v="0"/>
    <n v="30"/>
    <n v="1825"/>
    <n v="6570"/>
  </r>
  <r>
    <x v="0"/>
    <x v="0"/>
    <x v="0"/>
    <x v="3"/>
    <x v="4"/>
    <s v="LV_A"/>
    <x v="7"/>
    <x v="11"/>
    <x v="10"/>
    <x v="1"/>
    <n v="30"/>
    <n v="1825"/>
    <n v="6570"/>
  </r>
  <r>
    <x v="0"/>
    <x v="0"/>
    <x v="0"/>
    <x v="3"/>
    <x v="4"/>
    <s v="LV_A"/>
    <x v="7"/>
    <x v="11"/>
    <x v="10"/>
    <x v="2"/>
    <n v="30"/>
    <n v="1825"/>
    <n v="6570"/>
  </r>
  <r>
    <x v="0"/>
    <x v="0"/>
    <x v="0"/>
    <x v="3"/>
    <x v="4"/>
    <s v="LV_A"/>
    <x v="7"/>
    <x v="11"/>
    <x v="10"/>
    <x v="3"/>
    <n v="30"/>
    <n v="1825"/>
    <n v="6570"/>
  </r>
  <r>
    <x v="0"/>
    <x v="0"/>
    <x v="0"/>
    <x v="3"/>
    <x v="4"/>
    <s v="LV_A"/>
    <x v="7"/>
    <x v="11"/>
    <x v="10"/>
    <x v="4"/>
    <n v="30"/>
    <n v="1825"/>
    <n v="6570"/>
  </r>
  <r>
    <x v="0"/>
    <x v="0"/>
    <x v="0"/>
    <x v="3"/>
    <x v="4"/>
    <s v="LV_A"/>
    <x v="7"/>
    <x v="11"/>
    <x v="10"/>
    <x v="5"/>
    <n v="30"/>
    <n v="1825"/>
    <n v="6570"/>
  </r>
  <r>
    <x v="0"/>
    <x v="0"/>
    <x v="0"/>
    <x v="3"/>
    <x v="4"/>
    <s v="LV_A"/>
    <x v="7"/>
    <x v="11"/>
    <x v="10"/>
    <x v="6"/>
    <n v="30"/>
    <n v="1825"/>
    <n v="6570"/>
  </r>
  <r>
    <x v="0"/>
    <x v="0"/>
    <x v="0"/>
    <x v="3"/>
    <x v="4"/>
    <s v="LV_A"/>
    <x v="7"/>
    <x v="11"/>
    <x v="10"/>
    <x v="7"/>
    <n v="30"/>
    <n v="1825"/>
    <n v="6570"/>
  </r>
  <r>
    <x v="0"/>
    <x v="0"/>
    <x v="0"/>
    <x v="3"/>
    <x v="4"/>
    <s v="LV_A"/>
    <x v="7"/>
    <x v="11"/>
    <x v="10"/>
    <x v="8"/>
    <n v="30"/>
    <n v="1825"/>
    <n v="6570"/>
  </r>
  <r>
    <x v="0"/>
    <x v="0"/>
    <x v="0"/>
    <x v="3"/>
    <x v="4"/>
    <s v="LV_A"/>
    <x v="7"/>
    <x v="11"/>
    <x v="10"/>
    <x v="9"/>
    <n v="30"/>
    <n v="1825"/>
    <n v="6570"/>
  </r>
  <r>
    <x v="0"/>
    <x v="0"/>
    <x v="0"/>
    <x v="3"/>
    <x v="4"/>
    <s v="LV_A"/>
    <x v="7"/>
    <x v="11"/>
    <x v="10"/>
    <x v="10"/>
    <n v="30"/>
    <n v="1825"/>
    <n v="6570"/>
  </r>
  <r>
    <x v="0"/>
    <x v="0"/>
    <x v="0"/>
    <x v="3"/>
    <x v="4"/>
    <s v="LV_A"/>
    <x v="7"/>
    <x v="11"/>
    <x v="10"/>
    <x v="11"/>
    <n v="30"/>
    <n v="1825"/>
    <n v="6570"/>
  </r>
  <r>
    <x v="0"/>
    <x v="0"/>
    <x v="0"/>
    <x v="3"/>
    <x v="4"/>
    <s v="LV_A"/>
    <x v="7"/>
    <x v="11"/>
    <x v="11"/>
    <x v="0"/>
    <n v="30"/>
    <n v="1825"/>
    <n v="6570"/>
  </r>
  <r>
    <x v="0"/>
    <x v="0"/>
    <x v="0"/>
    <x v="3"/>
    <x v="4"/>
    <s v="LV_A"/>
    <x v="7"/>
    <x v="11"/>
    <x v="11"/>
    <x v="1"/>
    <n v="30"/>
    <n v="1825"/>
    <n v="6570"/>
  </r>
  <r>
    <x v="0"/>
    <x v="0"/>
    <x v="0"/>
    <x v="3"/>
    <x v="4"/>
    <s v="LV_A"/>
    <x v="7"/>
    <x v="11"/>
    <x v="11"/>
    <x v="2"/>
    <n v="30"/>
    <n v="1825"/>
    <n v="6570"/>
  </r>
  <r>
    <x v="0"/>
    <x v="0"/>
    <x v="0"/>
    <x v="3"/>
    <x v="4"/>
    <s v="LV_A"/>
    <x v="7"/>
    <x v="11"/>
    <x v="11"/>
    <x v="3"/>
    <n v="30"/>
    <n v="1825"/>
    <n v="6570"/>
  </r>
  <r>
    <x v="0"/>
    <x v="0"/>
    <x v="0"/>
    <x v="3"/>
    <x v="4"/>
    <s v="LV_A"/>
    <x v="7"/>
    <x v="11"/>
    <x v="11"/>
    <x v="4"/>
    <n v="30"/>
    <n v="1825"/>
    <n v="6570"/>
  </r>
  <r>
    <x v="0"/>
    <x v="0"/>
    <x v="0"/>
    <x v="3"/>
    <x v="4"/>
    <s v="LV_A"/>
    <x v="7"/>
    <x v="11"/>
    <x v="11"/>
    <x v="5"/>
    <n v="30"/>
    <n v="1825"/>
    <n v="6570"/>
  </r>
  <r>
    <x v="0"/>
    <x v="0"/>
    <x v="0"/>
    <x v="3"/>
    <x v="4"/>
    <s v="LV_A"/>
    <x v="7"/>
    <x v="11"/>
    <x v="11"/>
    <x v="6"/>
    <n v="30"/>
    <n v="1825"/>
    <n v="6570"/>
  </r>
  <r>
    <x v="0"/>
    <x v="0"/>
    <x v="0"/>
    <x v="3"/>
    <x v="4"/>
    <s v="LV_A"/>
    <x v="7"/>
    <x v="11"/>
    <x v="11"/>
    <x v="7"/>
    <n v="30"/>
    <n v="1825"/>
    <n v="6570"/>
  </r>
  <r>
    <x v="0"/>
    <x v="0"/>
    <x v="0"/>
    <x v="3"/>
    <x v="4"/>
    <s v="LV_A"/>
    <x v="7"/>
    <x v="11"/>
    <x v="11"/>
    <x v="8"/>
    <n v="30"/>
    <n v="1825"/>
    <n v="6570"/>
  </r>
  <r>
    <x v="0"/>
    <x v="0"/>
    <x v="0"/>
    <x v="3"/>
    <x v="4"/>
    <s v="LV_A"/>
    <x v="7"/>
    <x v="11"/>
    <x v="11"/>
    <x v="9"/>
    <n v="30"/>
    <n v="1825"/>
    <n v="6570"/>
  </r>
  <r>
    <x v="0"/>
    <x v="0"/>
    <x v="0"/>
    <x v="3"/>
    <x v="4"/>
    <s v="LV_A"/>
    <x v="7"/>
    <x v="11"/>
    <x v="11"/>
    <x v="10"/>
    <n v="30"/>
    <n v="1825"/>
    <n v="6570"/>
  </r>
  <r>
    <x v="0"/>
    <x v="0"/>
    <x v="0"/>
    <x v="3"/>
    <x v="4"/>
    <s v="LV_A"/>
    <x v="7"/>
    <x v="11"/>
    <x v="11"/>
    <x v="11"/>
    <n v="30"/>
    <n v="1825"/>
    <n v="6570"/>
  </r>
  <r>
    <x v="0"/>
    <x v="0"/>
    <x v="0"/>
    <x v="3"/>
    <x v="4"/>
    <s v="LV_A1"/>
    <x v="3"/>
    <x v="3"/>
    <x v="0"/>
    <x v="0"/>
    <n v="271.21545685395"/>
    <n v="16498.9402919487"/>
    <n v="59396.185051015098"/>
  </r>
  <r>
    <x v="0"/>
    <x v="0"/>
    <x v="0"/>
    <x v="3"/>
    <x v="4"/>
    <s v="LV_A1"/>
    <x v="3"/>
    <x v="3"/>
    <x v="0"/>
    <x v="1"/>
    <n v="232.80427423600801"/>
    <n v="14162.2600160238"/>
    <n v="50984.136057685799"/>
  </r>
  <r>
    <x v="0"/>
    <x v="0"/>
    <x v="0"/>
    <x v="3"/>
    <x v="4"/>
    <s v="LV_A1"/>
    <x v="3"/>
    <x v="3"/>
    <x v="0"/>
    <x v="2"/>
    <n v="118.84436518875"/>
    <n v="7229.6988823155998"/>
    <n v="26026.915976336099"/>
  </r>
  <r>
    <x v="0"/>
    <x v="0"/>
    <x v="0"/>
    <x v="3"/>
    <x v="4"/>
    <s v="LV_A1"/>
    <x v="3"/>
    <x v="3"/>
    <x v="0"/>
    <x v="3"/>
    <n v="124.482123024161"/>
    <n v="7572.6624839697597"/>
    <n v="27261.5849422912"/>
  </r>
  <r>
    <x v="0"/>
    <x v="0"/>
    <x v="0"/>
    <x v="3"/>
    <x v="4"/>
    <s v="LV_A1"/>
    <x v="3"/>
    <x v="3"/>
    <x v="0"/>
    <x v="4"/>
    <n v="127.30100194186601"/>
    <n v="7744.1442847968401"/>
    <n v="27878.919425268599"/>
  </r>
  <r>
    <x v="0"/>
    <x v="0"/>
    <x v="0"/>
    <x v="3"/>
    <x v="4"/>
    <s v="LV_A1"/>
    <x v="3"/>
    <x v="3"/>
    <x v="0"/>
    <x v="5"/>
    <n v="118.84436518875"/>
    <n v="7229.6988823155998"/>
    <n v="26026.915976336099"/>
  </r>
  <r>
    <x v="0"/>
    <x v="0"/>
    <x v="0"/>
    <x v="3"/>
    <x v="4"/>
    <s v="LV_A1"/>
    <x v="3"/>
    <x v="3"/>
    <x v="0"/>
    <x v="6"/>
    <n v="139.77533769620601"/>
    <n v="8502.9997098525291"/>
    <n v="30610.798955469101"/>
  </r>
  <r>
    <x v="0"/>
    <x v="0"/>
    <x v="0"/>
    <x v="3"/>
    <x v="4"/>
    <s v="LV_A1"/>
    <x v="3"/>
    <x v="3"/>
    <x v="0"/>
    <x v="7"/>
    <n v="177.61958370989501"/>
    <n v="10805.1913423519"/>
    <n v="38898.688832466898"/>
  </r>
  <r>
    <x v="0"/>
    <x v="0"/>
    <x v="0"/>
    <x v="3"/>
    <x v="4"/>
    <s v="LV_A1"/>
    <x v="3"/>
    <x v="3"/>
    <x v="0"/>
    <x v="8"/>
    <n v="161.51633962075601"/>
    <n v="9825.5773269293204"/>
    <n v="35372.078376945603"/>
  </r>
  <r>
    <x v="0"/>
    <x v="0"/>
    <x v="0"/>
    <x v="3"/>
    <x v="4"/>
    <s v="LV_A1"/>
    <x v="3"/>
    <x v="3"/>
    <x v="0"/>
    <x v="9"/>
    <n v="142.59421661391099"/>
    <n v="8674.4815106796104"/>
    <n v="31228.133438446599"/>
  </r>
  <r>
    <x v="0"/>
    <x v="0"/>
    <x v="0"/>
    <x v="3"/>
    <x v="4"/>
    <s v="LV_A1"/>
    <x v="3"/>
    <x v="3"/>
    <x v="0"/>
    <x v="10"/>
    <n v="114.405427436857"/>
    <n v="6959.66350240879"/>
    <n v="25054.788608671599"/>
  </r>
  <r>
    <x v="0"/>
    <x v="0"/>
    <x v="0"/>
    <x v="3"/>
    <x v="4"/>
    <s v="LV_A1"/>
    <x v="3"/>
    <x v="3"/>
    <x v="0"/>
    <x v="11"/>
    <n v="69.303364753569298"/>
    <n v="4215.9546891754699"/>
    <n v="15177.436881031699"/>
  </r>
  <r>
    <x v="0"/>
    <x v="0"/>
    <x v="0"/>
    <x v="3"/>
    <x v="4"/>
    <s v="LV_A1"/>
    <x v="3"/>
    <x v="3"/>
    <x v="1"/>
    <x v="0"/>
    <n v="203.56236282901901"/>
    <n v="12383.3770720987"/>
    <n v="44580.157459555201"/>
  </r>
  <r>
    <x v="0"/>
    <x v="0"/>
    <x v="0"/>
    <x v="3"/>
    <x v="4"/>
    <s v="LV_A1"/>
    <x v="3"/>
    <x v="3"/>
    <x v="1"/>
    <x v="1"/>
    <n v="51.1912711638183"/>
    <n v="3114.13566246561"/>
    <n v="11210.8883848762"/>
  </r>
  <r>
    <x v="0"/>
    <x v="0"/>
    <x v="0"/>
    <x v="3"/>
    <x v="4"/>
    <s v="LV_A1"/>
    <x v="3"/>
    <x v="3"/>
    <x v="1"/>
    <x v="2"/>
    <n v="62.466786834640203"/>
    <n v="3800.0628657739499"/>
    <n v="13680.2263167862"/>
  </r>
  <r>
    <x v="0"/>
    <x v="0"/>
    <x v="0"/>
    <x v="3"/>
    <x v="4"/>
    <s v="LV_A1"/>
    <x v="3"/>
    <x v="3"/>
    <x v="1"/>
    <x v="3"/>
    <n v="59.647907916934699"/>
    <n v="3628.5810649468599"/>
    <n v="13062.891833808701"/>
  </r>
  <r>
    <x v="0"/>
    <x v="0"/>
    <x v="0"/>
    <x v="3"/>
    <x v="4"/>
    <s v="LV_A1"/>
    <x v="3"/>
    <x v="3"/>
    <x v="1"/>
    <x v="4"/>
    <n v="68.104544670051098"/>
    <n v="4143.0264674281098"/>
    <n v="14914.895282741199"/>
  </r>
  <r>
    <x v="0"/>
    <x v="0"/>
    <x v="0"/>
    <x v="3"/>
    <x v="4"/>
    <s v="LV_A1"/>
    <x v="3"/>
    <x v="3"/>
    <x v="1"/>
    <x v="5"/>
    <n v="255.11221276481101"/>
    <n v="15519.326276526001"/>
    <n v="55869.574595493701"/>
  </r>
  <r>
    <x v="0"/>
    <x v="0"/>
    <x v="0"/>
    <x v="3"/>
    <x v="4"/>
    <s v="LV_A1"/>
    <x v="3"/>
    <x v="3"/>
    <x v="1"/>
    <x v="6"/>
    <n v="256.31103284832898"/>
    <n v="15592.2544982734"/>
    <n v="56132.116193784103"/>
  </r>
  <r>
    <x v="0"/>
    <x v="0"/>
    <x v="0"/>
    <x v="3"/>
    <x v="4"/>
    <s v="LV_A1"/>
    <x v="3"/>
    <x v="3"/>
    <x v="1"/>
    <x v="7"/>
    <n v="271.604247520375"/>
    <n v="16522.5917241561"/>
    <n v="59481.330206961997"/>
  </r>
  <r>
    <x v="0"/>
    <x v="0"/>
    <x v="0"/>
    <x v="3"/>
    <x v="4"/>
    <s v="LV_A1"/>
    <x v="3"/>
    <x v="3"/>
    <x v="1"/>
    <x v="8"/>
    <n v="261.13876126664701"/>
    <n v="15885.9413103877"/>
    <n v="57189.388717395603"/>
  </r>
  <r>
    <x v="0"/>
    <x v="0"/>
    <x v="0"/>
    <x v="3"/>
    <x v="4"/>
    <s v="LV_A1"/>
    <x v="3"/>
    <x v="3"/>
    <x v="1"/>
    <x v="9"/>
    <n v="242.21663825980201"/>
    <n v="14734.845494138001"/>
    <n v="53045.443778896697"/>
  </r>
  <r>
    <x v="0"/>
    <x v="0"/>
    <x v="0"/>
    <x v="3"/>
    <x v="4"/>
    <s v="LV_A1"/>
    <x v="3"/>
    <x v="3"/>
    <x v="1"/>
    <x v="10"/>
    <n v="236.578880424391"/>
    <n v="14391.8818924838"/>
    <n v="51810.774812941701"/>
  </r>
  <r>
    <x v="0"/>
    <x v="0"/>
    <x v="0"/>
    <x v="3"/>
    <x v="4"/>
    <s v="LV_A1"/>
    <x v="3"/>
    <x v="3"/>
    <x v="1"/>
    <x v="11"/>
    <n v="228.12224367127499"/>
    <n v="13877.436490002499"/>
    <n v="49958.771364009197"/>
  </r>
  <r>
    <x v="0"/>
    <x v="0"/>
    <x v="0"/>
    <x v="3"/>
    <x v="4"/>
    <s v="LV_A1"/>
    <x v="3"/>
    <x v="3"/>
    <x v="2"/>
    <x v="0"/>
    <n v="115.21545685395"/>
    <n v="7008.9402919486502"/>
    <n v="25232.185051015102"/>
  </r>
  <r>
    <x v="0"/>
    <x v="0"/>
    <x v="0"/>
    <x v="3"/>
    <x v="4"/>
    <s v="LV_A1"/>
    <x v="3"/>
    <x v="3"/>
    <x v="2"/>
    <x v="1"/>
    <n v="110.38772843563299"/>
    <n v="6715.2534798343504"/>
    <n v="24174.9125274037"/>
  </r>
  <r>
    <x v="0"/>
    <x v="0"/>
    <x v="0"/>
    <x v="3"/>
    <x v="4"/>
    <s v="LV_A1"/>
    <x v="3"/>
    <x v="3"/>
    <x v="2"/>
    <x v="2"/>
    <n v="107.568849517928"/>
    <n v="6543.77167900726"/>
    <n v="23557.578044426202"/>
  </r>
  <r>
    <x v="0"/>
    <x v="0"/>
    <x v="0"/>
    <x v="3"/>
    <x v="4"/>
    <s v="LV_A1"/>
    <x v="3"/>
    <x v="3"/>
    <x v="2"/>
    <x v="3"/>
    <n v="101.93109168251701"/>
    <n v="6200.8080773531001"/>
    <n v="22322.909078471199"/>
  </r>
  <r>
    <x v="0"/>
    <x v="0"/>
    <x v="0"/>
    <x v="3"/>
    <x v="4"/>
    <s v="LV_A1"/>
    <x v="3"/>
    <x v="3"/>
    <x v="2"/>
    <x v="4"/>
    <n v="104.749970600222"/>
    <n v="6372.2898781801796"/>
    <n v="22940.2435614487"/>
  </r>
  <r>
    <x v="0"/>
    <x v="0"/>
    <x v="0"/>
    <x v="3"/>
    <x v="4"/>
    <s v="LV_A1"/>
    <x v="3"/>
    <x v="3"/>
    <x v="2"/>
    <x v="5"/>
    <n v="104.749970600222"/>
    <n v="6372.2898781801796"/>
    <n v="22940.2435614487"/>
  </r>
  <r>
    <x v="0"/>
    <x v="0"/>
    <x v="0"/>
    <x v="3"/>
    <x v="4"/>
    <s v="LV_A1"/>
    <x v="3"/>
    <x v="3"/>
    <x v="2"/>
    <x v="6"/>
    <n v="281.68094310767901"/>
    <n v="17135.590705717099"/>
    <n v="61688.126540581601"/>
  </r>
  <r>
    <x v="0"/>
    <x v="0"/>
    <x v="0"/>
    <x v="3"/>
    <x v="4"/>
    <s v="LV_A1"/>
    <x v="3"/>
    <x v="3"/>
    <x v="2"/>
    <x v="7"/>
    <n v="311.06855236825101"/>
    <n v="18923.3369357353"/>
    <n v="68124.012968647003"/>
  </r>
  <r>
    <x v="0"/>
    <x v="0"/>
    <x v="0"/>
    <x v="3"/>
    <x v="4"/>
    <s v="LV_A1"/>
    <x v="3"/>
    <x v="3"/>
    <x v="2"/>
    <x v="8"/>
    <n v="303.421945032228"/>
    <n v="18458.168322793899"/>
    <n v="66449.405962057994"/>
  </r>
  <r>
    <x v="0"/>
    <x v="0"/>
    <x v="0"/>
    <x v="3"/>
    <x v="4"/>
    <s v="LV_A1"/>
    <x v="3"/>
    <x v="3"/>
    <x v="2"/>
    <x v="9"/>
    <n v="301.41309553161699"/>
    <n v="18335.963311506701"/>
    <n v="66009.467921424104"/>
  </r>
  <r>
    <x v="0"/>
    <x v="0"/>
    <x v="0"/>
    <x v="3"/>
    <x v="4"/>
    <s v="LV_A1"/>
    <x v="3"/>
    <x v="3"/>
    <x v="2"/>
    <x v="10"/>
    <n v="307.05085336702803"/>
    <n v="18678.9269131609"/>
    <n v="67244.136887379107"/>
  </r>
  <r>
    <x v="0"/>
    <x v="0"/>
    <x v="0"/>
    <x v="3"/>
    <x v="4"/>
    <s v="LV_A1"/>
    <x v="3"/>
    <x v="3"/>
    <x v="2"/>
    <x v="11"/>
    <n v="295.77533769620601"/>
    <n v="17992.999709852498"/>
    <n v="64774.798955469101"/>
  </r>
  <r>
    <x v="0"/>
    <x v="0"/>
    <x v="0"/>
    <x v="3"/>
    <x v="4"/>
    <s v="LV_A1"/>
    <x v="3"/>
    <x v="3"/>
    <x v="3"/>
    <x v="0"/>
    <n v="146.22312494871099"/>
    <n v="8895.2401010465601"/>
    <n v="32022.8643637676"/>
  </r>
  <r>
    <x v="0"/>
    <x v="0"/>
    <x v="0"/>
    <x v="3"/>
    <x v="4"/>
    <s v="LV_A1"/>
    <x v="3"/>
    <x v="3"/>
    <x v="3"/>
    <x v="1"/>
    <n v="135.75763869498201"/>
    <n v="8258.5896872780904"/>
    <n v="29730.9228742011"/>
  </r>
  <r>
    <x v="0"/>
    <x v="0"/>
    <x v="0"/>
    <x v="3"/>
    <x v="4"/>
    <s v="LV_A1"/>
    <x v="3"/>
    <x v="3"/>
    <x v="3"/>
    <x v="2"/>
    <n v="135.75763869498201"/>
    <n v="8258.5896872780904"/>
    <n v="29730.9228742011"/>
  </r>
  <r>
    <x v="0"/>
    <x v="0"/>
    <x v="0"/>
    <x v="3"/>
    <x v="4"/>
    <s v="LV_A1"/>
    <x v="3"/>
    <x v="3"/>
    <x v="3"/>
    <x v="3"/>
    <n v="147.03315436580399"/>
    <n v="8944.5168905864193"/>
    <n v="32200.260806111099"/>
  </r>
  <r>
    <x v="0"/>
    <x v="0"/>
    <x v="0"/>
    <x v="3"/>
    <x v="4"/>
    <s v="LV_A1"/>
    <x v="3"/>
    <x v="3"/>
    <x v="3"/>
    <x v="4"/>
    <n v="280.76803162543303"/>
    <n v="17080.0552572138"/>
    <n v="61488.198925969802"/>
  </r>
  <r>
    <x v="0"/>
    <x v="0"/>
    <x v="0"/>
    <x v="3"/>
    <x v="4"/>
    <s v="LV_A1"/>
    <x v="3"/>
    <x v="3"/>
    <x v="3"/>
    <x v="5"/>
    <n v="308.670912201215"/>
    <n v="18777.4804922406"/>
    <n v="67598.929772066098"/>
  </r>
  <r>
    <x v="0"/>
    <x v="0"/>
    <x v="0"/>
    <x v="3"/>
    <x v="4"/>
    <s v="LV_A1"/>
    <x v="3"/>
    <x v="3"/>
    <x v="3"/>
    <x v="6"/>
    <n v="329.601884708672"/>
    <n v="20050.781319777499"/>
    <n v="72182.812751199104"/>
  </r>
  <r>
    <x v="0"/>
    <x v="0"/>
    <x v="0"/>
    <x v="3"/>
    <x v="4"/>
    <s v="LV_A1"/>
    <x v="3"/>
    <x v="3"/>
    <x v="3"/>
    <x v="7"/>
    <n v="344.895099380717"/>
    <n v="20981.118545660302"/>
    <n v="75532.026764377006"/>
  </r>
  <r>
    <x v="0"/>
    <x v="0"/>
    <x v="0"/>
    <x v="3"/>
    <x v="4"/>
    <s v="LV_A1"/>
    <x v="3"/>
    <x v="3"/>
    <x v="3"/>
    <x v="8"/>
    <n v="331.61073420928301"/>
    <n v="20172.986331064702"/>
    <n v="72622.750791832994"/>
  </r>
  <r>
    <x v="0"/>
    <x v="0"/>
    <x v="0"/>
    <x v="3"/>
    <x v="4"/>
    <s v="LV_A1"/>
    <x v="3"/>
    <x v="3"/>
    <x v="3"/>
    <x v="9"/>
    <n v="323.96412687326102"/>
    <n v="19707.817718123399"/>
    <n v="70948.143785244101"/>
  </r>
  <r>
    <x v="0"/>
    <x v="0"/>
    <x v="0"/>
    <x v="3"/>
    <x v="4"/>
    <s v="LV_A1"/>
    <x v="3"/>
    <x v="3"/>
    <x v="3"/>
    <x v="10"/>
    <n v="321.14524795555502"/>
    <n v="19536.335917296299"/>
    <n v="70330.8093022666"/>
  </r>
  <r>
    <x v="0"/>
    <x v="0"/>
    <x v="0"/>
    <x v="3"/>
    <x v="4"/>
    <s v="LV_A1"/>
    <x v="3"/>
    <x v="3"/>
    <x v="3"/>
    <x v="11"/>
    <n v="315.50749012014398"/>
    <n v="19193.3723156421"/>
    <n v="69096.140336311597"/>
  </r>
  <r>
    <x v="0"/>
    <x v="0"/>
    <x v="0"/>
    <x v="3"/>
    <x v="4"/>
    <s v="LV_A1"/>
    <x v="3"/>
    <x v="3"/>
    <x v="4"/>
    <x v="0"/>
    <n v="120.853214689361"/>
    <n v="7351.9038936028101"/>
    <n v="26466.854016970101"/>
  </r>
  <r>
    <x v="0"/>
    <x v="0"/>
    <x v="0"/>
    <x v="3"/>
    <x v="4"/>
    <s v="LV_A1"/>
    <x v="3"/>
    <x v="3"/>
    <x v="4"/>
    <x v="1"/>
    <n v="104.749970600222"/>
    <n v="6372.2898781801796"/>
    <n v="22940.2435614487"/>
  </r>
  <r>
    <x v="0"/>
    <x v="0"/>
    <x v="0"/>
    <x v="3"/>
    <x v="4"/>
    <s v="LV_A1"/>
    <x v="3"/>
    <x v="3"/>
    <x v="4"/>
    <x v="2"/>
    <n v="93.474454929400295"/>
    <n v="5686.3626748718498"/>
    <n v="20470.905629538702"/>
  </r>
  <r>
    <x v="0"/>
    <x v="0"/>
    <x v="0"/>
    <x v="3"/>
    <x v="4"/>
    <s v="LV_A1"/>
    <x v="3"/>
    <x v="3"/>
    <x v="4"/>
    <x v="3"/>
    <n v="87.8366970939894"/>
    <n v="5343.3990732176899"/>
    <n v="19236.236663583699"/>
  </r>
  <r>
    <x v="0"/>
    <x v="0"/>
    <x v="0"/>
    <x v="3"/>
    <x v="4"/>
    <s v="LV_A1"/>
    <x v="3"/>
    <x v="3"/>
    <x v="4"/>
    <x v="4"/>
    <n v="82.198939258578505"/>
    <n v="5000.43547156353"/>
    <n v="18001.5676976287"/>
  </r>
  <r>
    <x v="0"/>
    <x v="0"/>
    <x v="0"/>
    <x v="3"/>
    <x v="4"/>
    <s v="LV_A1"/>
    <x v="3"/>
    <x v="3"/>
    <x v="4"/>
    <x v="5"/>
    <n v="96.8657429657639"/>
    <n v="5892.6660304173001"/>
    <n v="21213.597709502301"/>
  </r>
  <r>
    <x v="0"/>
    <x v="0"/>
    <x v="0"/>
    <x v="3"/>
    <x v="4"/>
    <s v="LV_A1"/>
    <x v="3"/>
    <x v="3"/>
    <x v="4"/>
    <x v="6"/>
    <n v="259.12991176603498"/>
    <n v="15763.736299100499"/>
    <n v="56749.450676761597"/>
  </r>
  <r>
    <x v="0"/>
    <x v="0"/>
    <x v="0"/>
    <x v="3"/>
    <x v="4"/>
    <s v="LV_A1"/>
    <x v="3"/>
    <x v="3"/>
    <x v="4"/>
    <x v="7"/>
    <n v="277.24200535578501"/>
    <n v="16865.555325810299"/>
    <n v="60715.999172917"/>
  </r>
  <r>
    <x v="0"/>
    <x v="0"/>
    <x v="0"/>
    <x v="3"/>
    <x v="4"/>
    <s v="LV_A1"/>
    <x v="3"/>
    <x v="3"/>
    <x v="4"/>
    <x v="8"/>
    <n v="266.77651910205799"/>
    <n v="16228.9049120418"/>
    <n v="58424.057683350598"/>
  </r>
  <r>
    <x v="0"/>
    <x v="0"/>
    <x v="0"/>
    <x v="3"/>
    <x v="4"/>
    <s v="LV_A1"/>
    <x v="3"/>
    <x v="3"/>
    <x v="4"/>
    <x v="9"/>
    <n v="256.31103284832898"/>
    <n v="15592.2544982734"/>
    <n v="56132.116193784103"/>
  </r>
  <r>
    <x v="0"/>
    <x v="0"/>
    <x v="0"/>
    <x v="3"/>
    <x v="4"/>
    <s v="LV_A1"/>
    <x v="3"/>
    <x v="3"/>
    <x v="4"/>
    <x v="10"/>
    <n v="247.85439609521299"/>
    <n v="15077.809095792099"/>
    <n v="54280.1127448517"/>
  </r>
  <r>
    <x v="0"/>
    <x v="0"/>
    <x v="0"/>
    <x v="3"/>
    <x v="4"/>
    <s v="LV_A1"/>
    <x v="3"/>
    <x v="3"/>
    <x v="4"/>
    <x v="11"/>
    <n v="228.12224367127499"/>
    <n v="13877.436490002499"/>
    <n v="49958.771364009197"/>
  </r>
  <r>
    <x v="0"/>
    <x v="0"/>
    <x v="0"/>
    <x v="3"/>
    <x v="4"/>
    <s v="LV_A1"/>
    <x v="3"/>
    <x v="3"/>
    <x v="5"/>
    <x v="6"/>
    <n v="177.382423152576"/>
    <n v="10790.764075115099"/>
    <n v="38846.7506704142"/>
  </r>
  <r>
    <x v="0"/>
    <x v="0"/>
    <x v="0"/>
    <x v="3"/>
    <x v="4"/>
    <s v="LV_A1"/>
    <x v="3"/>
    <x v="3"/>
    <x v="5"/>
    <x v="7"/>
    <n v="192.67563782462199"/>
    <n v="11721.1013009978"/>
    <n v="42195.964683592203"/>
  </r>
  <r>
    <x v="0"/>
    <x v="0"/>
    <x v="0"/>
    <x v="3"/>
    <x v="4"/>
    <s v="LV_A1"/>
    <x v="3"/>
    <x v="3"/>
    <x v="5"/>
    <x v="8"/>
    <n v="185.02903048859901"/>
    <n v="11255.9326880564"/>
    <n v="40521.357677003201"/>
  </r>
  <r>
    <x v="0"/>
    <x v="0"/>
    <x v="0"/>
    <x v="3"/>
    <x v="4"/>
    <s v="LV_A1"/>
    <x v="3"/>
    <x v="3"/>
    <x v="5"/>
    <x v="9"/>
    <n v="177.382423152576"/>
    <n v="10790.764075115099"/>
    <n v="38846.7506704142"/>
  </r>
  <r>
    <x v="0"/>
    <x v="0"/>
    <x v="0"/>
    <x v="3"/>
    <x v="4"/>
    <s v="LV_A1"/>
    <x v="3"/>
    <x v="3"/>
    <x v="5"/>
    <x v="10"/>
    <n v="174.56354423487099"/>
    <n v="10619.282274288"/>
    <n v="38229.416187436698"/>
  </r>
  <r>
    <x v="0"/>
    <x v="0"/>
    <x v="0"/>
    <x v="3"/>
    <x v="4"/>
    <s v="LV_A1"/>
    <x v="3"/>
    <x v="3"/>
    <x v="5"/>
    <x v="11"/>
    <n v="171.74466531716499"/>
    <n v="10447.8004734609"/>
    <n v="37612.081704459197"/>
  </r>
  <r>
    <x v="0"/>
    <x v="0"/>
    <x v="0"/>
    <x v="3"/>
    <x v="4"/>
    <s v="LV_A1"/>
    <x v="3"/>
    <x v="3"/>
    <x v="6"/>
    <x v="0"/>
    <n v="270.25379732775201"/>
    <n v="16440.439337438202"/>
    <n v="59185.5816147777"/>
  </r>
  <r>
    <x v="0"/>
    <x v="0"/>
    <x v="0"/>
    <x v="3"/>
    <x v="4"/>
    <s v="LV_A1"/>
    <x v="3"/>
    <x v="3"/>
    <x v="6"/>
    <x v="1"/>
    <n v="282.339342415668"/>
    <n v="17175.643330286501"/>
    <n v="61832.315989031304"/>
  </r>
  <r>
    <x v="0"/>
    <x v="0"/>
    <x v="0"/>
    <x v="3"/>
    <x v="4"/>
    <s v="LV_A1"/>
    <x v="3"/>
    <x v="3"/>
    <x v="6"/>
    <x v="2"/>
    <n v="313.34701051042799"/>
    <n v="19061.943139384399"/>
    <n v="68622.995301783798"/>
  </r>
  <r>
    <x v="0"/>
    <x v="0"/>
    <x v="0"/>
    <x v="3"/>
    <x v="4"/>
    <s v="LV_A1"/>
    <x v="3"/>
    <x v="3"/>
    <x v="6"/>
    <x v="3"/>
    <n v="318.98476834583602"/>
    <n v="19404.906741038401"/>
    <n v="69857.664267738102"/>
  </r>
  <r>
    <x v="0"/>
    <x v="0"/>
    <x v="0"/>
    <x v="3"/>
    <x v="4"/>
    <s v="LV_A1"/>
    <x v="3"/>
    <x v="3"/>
    <x v="6"/>
    <x v="4"/>
    <n v="333.079162934365"/>
    <n v="20262.315745173899"/>
    <n v="72944.336682626003"/>
  </r>
  <r>
    <x v="0"/>
    <x v="0"/>
    <x v="0"/>
    <x v="3"/>
    <x v="4"/>
    <s v="LV_A1"/>
    <x v="3"/>
    <x v="3"/>
    <x v="6"/>
    <x v="5"/>
    <n v="489.079162934365"/>
    <n v="29752.315745173899"/>
    <n v="107108.336682626"/>
  </r>
  <r>
    <x v="0"/>
    <x v="0"/>
    <x v="0"/>
    <x v="3"/>
    <x v="4"/>
    <s v="LV_A1"/>
    <x v="3"/>
    <x v="3"/>
    <x v="6"/>
    <x v="6"/>
    <n v="476.18358842935697"/>
    <n v="28967.834962785899"/>
    <n v="104284.20586602901"/>
  </r>
  <r>
    <x v="0"/>
    <x v="0"/>
    <x v="0"/>
    <x v="3"/>
    <x v="4"/>
    <s v="LV_A1"/>
    <x v="3"/>
    <x v="3"/>
    <x v="6"/>
    <x v="7"/>
    <n v="491.47680310139901"/>
    <n v="29898.172188668501"/>
    <n v="107633.41987920601"/>
  </r>
  <r>
    <x v="0"/>
    <x v="0"/>
    <x v="0"/>
    <x v="3"/>
    <x v="4"/>
    <s v="LV_A1"/>
    <x v="3"/>
    <x v="3"/>
    <x v="6"/>
    <x v="8"/>
    <n v="475.37355901226101"/>
    <n v="28918.558173245801"/>
    <n v="104106.809423685"/>
  </r>
  <r>
    <x v="0"/>
    <x v="0"/>
    <x v="0"/>
    <x v="3"/>
    <x v="4"/>
    <s v="LV_A1"/>
    <x v="3"/>
    <x v="3"/>
    <x v="6"/>
    <x v="9"/>
    <n v="436.71928358147898"/>
    <n v="26567.0897512066"/>
    <n v="95641.523104343898"/>
  </r>
  <r>
    <x v="0"/>
    <x v="0"/>
    <x v="0"/>
    <x v="3"/>
    <x v="4"/>
    <s v="LV_A1"/>
    <x v="3"/>
    <x v="3"/>
    <x v="6"/>
    <x v="10"/>
    <n v="464.90807275853399"/>
    <n v="28281.907759477501"/>
    <n v="101814.867934119"/>
  </r>
  <r>
    <x v="0"/>
    <x v="0"/>
    <x v="0"/>
    <x v="3"/>
    <x v="4"/>
    <s v="LV_A1"/>
    <x v="3"/>
    <x v="3"/>
    <x v="6"/>
    <x v="11"/>
    <n v="470.54583059394503"/>
    <n v="28624.8713611317"/>
    <n v="103049.536900074"/>
  </r>
  <r>
    <x v="0"/>
    <x v="0"/>
    <x v="0"/>
    <x v="3"/>
    <x v="4"/>
    <s v="LV_A1"/>
    <x v="3"/>
    <x v="3"/>
    <x v="7"/>
    <x v="0"/>
    <n v="498.582989661895"/>
    <n v="30330.465204431999"/>
    <n v="109189.67473595501"/>
  </r>
  <r>
    <x v="0"/>
    <x v="0"/>
    <x v="0"/>
    <x v="3"/>
    <x v="4"/>
    <s v="LV_A1"/>
    <x v="3"/>
    <x v="3"/>
    <x v="7"/>
    <x v="1"/>
    <n v="499.393019078988"/>
    <n v="30379.7419939717"/>
    <n v="109367.07117829801"/>
  </r>
  <r>
    <x v="0"/>
    <x v="0"/>
    <x v="0"/>
    <x v="3"/>
    <x v="4"/>
    <s v="LV_A1"/>
    <x v="3"/>
    <x v="3"/>
    <x v="7"/>
    <x v="2"/>
    <n v="502.21189799669298"/>
    <n v="30551.223794798902"/>
    <n v="109984.405661276"/>
  </r>
  <r>
    <x v="0"/>
    <x v="0"/>
    <x v="0"/>
    <x v="3"/>
    <x v="4"/>
    <s v="LV_A1"/>
    <x v="3"/>
    <x v="3"/>
    <x v="7"/>
    <x v="3"/>
    <n v="502.21189799669298"/>
    <n v="30551.223794798902"/>
    <n v="109984.405661276"/>
  </r>
  <r>
    <x v="0"/>
    <x v="0"/>
    <x v="0"/>
    <x v="3"/>
    <x v="4"/>
    <s v="LV_A1"/>
    <x v="3"/>
    <x v="3"/>
    <x v="7"/>
    <x v="4"/>
    <n v="502.21189799669298"/>
    <n v="30551.223794798902"/>
    <n v="109984.405661276"/>
  </r>
  <r>
    <x v="0"/>
    <x v="0"/>
    <x v="0"/>
    <x v="3"/>
    <x v="4"/>
    <s v="LV_A1"/>
    <x v="3"/>
    <x v="3"/>
    <x v="7"/>
    <x v="5"/>
    <n v="558.739255014327"/>
    <n v="33989.9713467049"/>
    <n v="122363.896848138"/>
  </r>
  <r>
    <x v="0"/>
    <x v="0"/>
    <x v="0"/>
    <x v="3"/>
    <x v="4"/>
    <s v="LV_A1"/>
    <x v="3"/>
    <x v="3"/>
    <x v="7"/>
    <x v="6"/>
    <n v="558.739255014327"/>
    <n v="33989.9713467049"/>
    <n v="122363.896848138"/>
  </r>
  <r>
    <x v="0"/>
    <x v="0"/>
    <x v="0"/>
    <x v="3"/>
    <x v="4"/>
    <s v="LV_A1"/>
    <x v="3"/>
    <x v="3"/>
    <x v="7"/>
    <x v="7"/>
    <n v="558.739255014327"/>
    <n v="33989.9713467049"/>
    <n v="122363.896848138"/>
  </r>
  <r>
    <x v="0"/>
    <x v="0"/>
    <x v="0"/>
    <x v="3"/>
    <x v="4"/>
    <s v="LV_A1"/>
    <x v="3"/>
    <x v="3"/>
    <x v="7"/>
    <x v="8"/>
    <n v="558.739255014327"/>
    <n v="33989.9713467049"/>
    <n v="122363.896848138"/>
  </r>
  <r>
    <x v="0"/>
    <x v="0"/>
    <x v="0"/>
    <x v="3"/>
    <x v="4"/>
    <s v="LV_A1"/>
    <x v="3"/>
    <x v="3"/>
    <x v="7"/>
    <x v="9"/>
    <n v="558.739255014327"/>
    <n v="33989.9713467049"/>
    <n v="122363.896848138"/>
  </r>
  <r>
    <x v="0"/>
    <x v="0"/>
    <x v="0"/>
    <x v="3"/>
    <x v="4"/>
    <s v="LV_A1"/>
    <x v="3"/>
    <x v="3"/>
    <x v="7"/>
    <x v="10"/>
    <n v="558.739255014327"/>
    <n v="33989.9713467049"/>
    <n v="122363.896848138"/>
  </r>
  <r>
    <x v="0"/>
    <x v="0"/>
    <x v="0"/>
    <x v="3"/>
    <x v="4"/>
    <s v="LV_A1"/>
    <x v="3"/>
    <x v="3"/>
    <x v="7"/>
    <x v="11"/>
    <n v="558.739255014327"/>
    <n v="33989.9713467049"/>
    <n v="122363.896848138"/>
  </r>
  <r>
    <x v="0"/>
    <x v="0"/>
    <x v="0"/>
    <x v="3"/>
    <x v="4"/>
    <s v="LV_A1"/>
    <x v="3"/>
    <x v="3"/>
    <x v="8"/>
    <x v="0"/>
    <n v="335.08801243497498"/>
    <n v="20384.520756460999"/>
    <n v="73384.274723259499"/>
  </r>
  <r>
    <x v="0"/>
    <x v="0"/>
    <x v="0"/>
    <x v="3"/>
    <x v="4"/>
    <s v="LV_A1"/>
    <x v="3"/>
    <x v="3"/>
    <x v="8"/>
    <x v="1"/>
    <n v="324.62252618124802"/>
    <n v="19747.8703426926"/>
    <n v="71092.333233693294"/>
  </r>
  <r>
    <x v="0"/>
    <x v="0"/>
    <x v="0"/>
    <x v="3"/>
    <x v="4"/>
    <s v="LV_A1"/>
    <x v="3"/>
    <x v="3"/>
    <x v="8"/>
    <x v="2"/>
    <n v="497.53579968748301"/>
    <n v="30266.761147655201"/>
    <n v="108960.340131559"/>
  </r>
  <r>
    <x v="0"/>
    <x v="0"/>
    <x v="0"/>
    <x v="3"/>
    <x v="4"/>
    <s v="LV_A1"/>
    <x v="3"/>
    <x v="3"/>
    <x v="8"/>
    <x v="3"/>
    <n v="514.44907319371396"/>
    <n v="31295.651952617602"/>
    <n v="112664.34702942301"/>
  </r>
  <r>
    <x v="0"/>
    <x v="0"/>
    <x v="0"/>
    <x v="3"/>
    <x v="4"/>
    <s v="LV_A1"/>
    <x v="3"/>
    <x v="3"/>
    <x v="8"/>
    <x v="4"/>
    <n v="517.26795211141996"/>
    <n v="31467.133753444701"/>
    <n v="113281.681512401"/>
  </r>
  <r>
    <x v="0"/>
    <x v="0"/>
    <x v="0"/>
    <x v="3"/>
    <x v="4"/>
    <s v="LV_A1"/>
    <x v="3"/>
    <x v="3"/>
    <x v="8"/>
    <x v="5"/>
    <n v="525.72458886453398"/>
    <n v="31981.5791559258"/>
    <n v="115133.684961333"/>
  </r>
  <r>
    <x v="0"/>
    <x v="0"/>
    <x v="0"/>
    <x v="3"/>
    <x v="4"/>
    <s v="LV_A1"/>
    <x v="3"/>
    <x v="3"/>
    <x v="8"/>
    <x v="6"/>
    <n v="558.739255014327"/>
    <n v="33989.9713467049"/>
    <n v="122363.896848138"/>
  </r>
  <r>
    <x v="0"/>
    <x v="0"/>
    <x v="0"/>
    <x v="3"/>
    <x v="4"/>
    <s v="LV_A1"/>
    <x v="3"/>
    <x v="3"/>
    <x v="8"/>
    <x v="7"/>
    <n v="558.739255014327"/>
    <n v="33989.9713467049"/>
    <n v="122363.896848138"/>
  </r>
  <r>
    <x v="0"/>
    <x v="0"/>
    <x v="0"/>
    <x v="3"/>
    <x v="4"/>
    <s v="LV_A1"/>
    <x v="3"/>
    <x v="3"/>
    <x v="8"/>
    <x v="8"/>
    <n v="558.739255014327"/>
    <n v="33989.9713467049"/>
    <n v="122363.896848138"/>
  </r>
  <r>
    <x v="0"/>
    <x v="0"/>
    <x v="0"/>
    <x v="3"/>
    <x v="4"/>
    <s v="LV_A1"/>
    <x v="3"/>
    <x v="3"/>
    <x v="8"/>
    <x v="9"/>
    <n v="549.47444028969801"/>
    <n v="33426.361784289897"/>
    <n v="120334.902423444"/>
  </r>
  <r>
    <x v="0"/>
    <x v="0"/>
    <x v="0"/>
    <x v="3"/>
    <x v="4"/>
    <s v="LV_A1"/>
    <x v="3"/>
    <x v="3"/>
    <x v="8"/>
    <x v="10"/>
    <n v="518.46677219493699"/>
    <n v="31540.061975191998"/>
    <n v="113544.223110691"/>
  </r>
  <r>
    <x v="0"/>
    <x v="0"/>
    <x v="0"/>
    <x v="3"/>
    <x v="4"/>
    <s v="LV_A1"/>
    <x v="3"/>
    <x v="3"/>
    <x v="8"/>
    <x v="11"/>
    <n v="487.45910410017598"/>
    <n v="29653.7621660941"/>
    <n v="106753.543797939"/>
  </r>
  <r>
    <x v="0"/>
    <x v="0"/>
    <x v="0"/>
    <x v="3"/>
    <x v="4"/>
    <s v="LV_A1"/>
    <x v="3"/>
    <x v="3"/>
    <x v="9"/>
    <x v="0"/>
    <n v="210.697412236416"/>
    <n v="12817.4259110486"/>
    <n v="46142.733279774999"/>
  </r>
  <r>
    <x v="0"/>
    <x v="0"/>
    <x v="0"/>
    <x v="3"/>
    <x v="4"/>
    <s v="LV_A1"/>
    <x v="3"/>
    <x v="3"/>
    <x v="9"/>
    <x v="1"/>
    <n v="57.024266358694099"/>
    <n v="3468.9762034872201"/>
    <n v="12488.314332554"/>
  </r>
  <r>
    <x v="0"/>
    <x v="0"/>
    <x v="0"/>
    <x v="3"/>
    <x v="4"/>
    <s v="LV_A1"/>
    <x v="3"/>
    <x v="3"/>
    <x v="9"/>
    <x v="2"/>
    <n v="195.915755492996"/>
    <n v="11918.2084591573"/>
    <n v="42905.550452966199"/>
  </r>
  <r>
    <x v="0"/>
    <x v="0"/>
    <x v="0"/>
    <x v="3"/>
    <x v="4"/>
    <s v="LV_A1"/>
    <x v="3"/>
    <x v="3"/>
    <x v="9"/>
    <x v="3"/>
    <n v="113.900040099004"/>
    <n v="6928.9191060227604"/>
    <n v="24944.108781681902"/>
  </r>
  <r>
    <x v="0"/>
    <x v="0"/>
    <x v="0"/>
    <x v="3"/>
    <x v="4"/>
    <s v="LV_A1"/>
    <x v="3"/>
    <x v="3"/>
    <x v="9"/>
    <x v="4"/>
    <n v="73.448976384113607"/>
    <n v="4468.1460633669103"/>
    <n v="16085.3258281209"/>
  </r>
  <r>
    <x v="0"/>
    <x v="0"/>
    <x v="0"/>
    <x v="3"/>
    <x v="4"/>
    <s v="LV_A1"/>
    <x v="3"/>
    <x v="3"/>
    <x v="9"/>
    <x v="5"/>
    <n v="181.821360904469"/>
    <n v="11060.799455021899"/>
    <n v="39818.878038078699"/>
  </r>
  <r>
    <x v="0"/>
    <x v="0"/>
    <x v="0"/>
    <x v="3"/>
    <x v="4"/>
    <s v="LV_A1"/>
    <x v="3"/>
    <x v="3"/>
    <x v="9"/>
    <x v="6"/>
    <n v="225.30336475356901"/>
    <n v="13705.9546891755"/>
    <n v="49341.436881031703"/>
  </r>
  <r>
    <x v="0"/>
    <x v="0"/>
    <x v="0"/>
    <x v="3"/>
    <x v="4"/>
    <s v="LV_A1"/>
    <x v="3"/>
    <x v="3"/>
    <x v="9"/>
    <x v="7"/>
    <n v="240.596579425615"/>
    <n v="14636.2919150582"/>
    <n v="52690.650894209597"/>
  </r>
  <r>
    <x v="0"/>
    <x v="0"/>
    <x v="0"/>
    <x v="3"/>
    <x v="4"/>
    <s v="LV_A1"/>
    <x v="3"/>
    <x v="3"/>
    <x v="9"/>
    <x v="8"/>
    <n v="221.67445641877001"/>
    <n v="13485.196098808499"/>
    <n v="48546.705955710699"/>
  </r>
  <r>
    <x v="0"/>
    <x v="0"/>
    <x v="0"/>
    <x v="3"/>
    <x v="4"/>
    <s v="LV_A1"/>
    <x v="3"/>
    <x v="3"/>
    <x v="9"/>
    <x v="9"/>
    <n v="205.57121232963101"/>
    <n v="12505.5820833859"/>
    <n v="45020.0955001892"/>
  </r>
  <r>
    <x v="0"/>
    <x v="0"/>
    <x v="0"/>
    <x v="3"/>
    <x v="4"/>
    <s v="LV_A1"/>
    <x v="3"/>
    <x v="3"/>
    <x v="9"/>
    <x v="10"/>
    <n v="191.47681774110401"/>
    <n v="11648.1730792505"/>
    <n v="41933.4230853017"/>
  </r>
  <r>
    <x v="0"/>
    <x v="0"/>
    <x v="0"/>
    <x v="3"/>
    <x v="4"/>
    <s v="LV_A1"/>
    <x v="3"/>
    <x v="3"/>
    <x v="9"/>
    <x v="11"/>
    <n v="180.201302070282"/>
    <n v="10962.245875942101"/>
    <n v="39464.085153391701"/>
  </r>
  <r>
    <x v="0"/>
    <x v="0"/>
    <x v="0"/>
    <x v="3"/>
    <x v="4"/>
    <s v="LV_A1"/>
    <x v="3"/>
    <x v="3"/>
    <x v="10"/>
    <x v="0"/>
    <n v="98.302183347717602"/>
    <n v="5980.0494869861504"/>
    <n v="21528.1781531501"/>
  </r>
  <r>
    <x v="0"/>
    <x v="0"/>
    <x v="0"/>
    <x v="3"/>
    <x v="4"/>
    <s v="LV_A1"/>
    <x v="3"/>
    <x v="3"/>
    <x v="10"/>
    <x v="1"/>
    <n v="79.380060340872902"/>
    <n v="4828.9536707364396"/>
    <n v="17384.233214651202"/>
  </r>
  <r>
    <x v="0"/>
    <x v="0"/>
    <x v="0"/>
    <x v="3"/>
    <x v="4"/>
    <s v="LV_A1"/>
    <x v="3"/>
    <x v="3"/>
    <x v="10"/>
    <x v="2"/>
    <n v="75.742867914471404"/>
    <n v="4607.69113146368"/>
    <n v="16587.688073269201"/>
  </r>
  <r>
    <x v="0"/>
    <x v="0"/>
    <x v="0"/>
    <x v="3"/>
    <x v="4"/>
    <s v="LV_A1"/>
    <x v="3"/>
    <x v="3"/>
    <x v="10"/>
    <x v="3"/>
    <n v="58.233273157436898"/>
    <n v="3542.5241170774102"/>
    <n v="12753.086821478701"/>
  </r>
  <r>
    <x v="0"/>
    <x v="0"/>
    <x v="0"/>
    <x v="3"/>
    <x v="4"/>
    <s v="LV_A1"/>
    <x v="3"/>
    <x v="3"/>
    <x v="10"/>
    <x v="4"/>
    <n v="148.76201599916001"/>
    <n v="9049.6893066155899"/>
    <n v="32578.881503816101"/>
  </r>
  <r>
    <x v="0"/>
    <x v="0"/>
    <x v="0"/>
    <x v="3"/>
    <x v="4"/>
    <s v="LV_A1"/>
    <x v="3"/>
    <x v="3"/>
    <x v="10"/>
    <x v="5"/>
    <n v="195.915755492996"/>
    <n v="11918.2084591573"/>
    <n v="42905.550452966199"/>
  </r>
  <r>
    <x v="0"/>
    <x v="0"/>
    <x v="0"/>
    <x v="3"/>
    <x v="4"/>
    <s v="LV_A1"/>
    <x v="3"/>
    <x v="3"/>
    <x v="10"/>
    <x v="6"/>
    <n v="214.027849082747"/>
    <n v="13020.0274858671"/>
    <n v="46872.098949121697"/>
  </r>
  <r>
    <x v="0"/>
    <x v="0"/>
    <x v="0"/>
    <x v="3"/>
    <x v="4"/>
    <s v="LV_A1"/>
    <x v="3"/>
    <x v="3"/>
    <x v="10"/>
    <x v="7"/>
    <n v="229.32106375479299"/>
    <n v="13950.3647117499"/>
    <n v="50221.3129622997"/>
  </r>
  <r>
    <x v="0"/>
    <x v="0"/>
    <x v="0"/>
    <x v="3"/>
    <x v="4"/>
    <s v="LV_A1"/>
    <x v="3"/>
    <x v="3"/>
    <x v="10"/>
    <x v="8"/>
    <n v="207.58006183024301"/>
    <n v="12627.7870946731"/>
    <n v="45460.033540823199"/>
  </r>
  <r>
    <x v="0"/>
    <x v="0"/>
    <x v="0"/>
    <x v="3"/>
    <x v="4"/>
    <s v="LV_A1"/>
    <x v="3"/>
    <x v="3"/>
    <x v="10"/>
    <x v="9"/>
    <n v="183.020180987987"/>
    <n v="11133.7276767692"/>
    <n v="40081.419636369203"/>
  </r>
  <r>
    <x v="0"/>
    <x v="0"/>
    <x v="0"/>
    <x v="3"/>
    <x v="4"/>
    <s v="LV_A1"/>
    <x v="3"/>
    <x v="3"/>
    <x v="10"/>
    <x v="10"/>
    <n v="160.46914964634399"/>
    <n v="9761.8732701525696"/>
    <n v="35142.743772549198"/>
  </r>
  <r>
    <x v="0"/>
    <x v="0"/>
    <x v="0"/>
    <x v="3"/>
    <x v="4"/>
    <s v="LV_A1"/>
    <x v="3"/>
    <x v="3"/>
    <x v="10"/>
    <x v="11"/>
    <n v="149.193633975522"/>
    <n v="9075.9460668442407"/>
    <n v="32673.4058406392"/>
  </r>
  <r>
    <x v="0"/>
    <x v="0"/>
    <x v="0"/>
    <x v="3"/>
    <x v="4"/>
    <s v="LV_A1"/>
    <x v="3"/>
    <x v="3"/>
    <x v="11"/>
    <x v="0"/>
    <n v="5.2791790634371996"/>
    <n v="321.15005969242901"/>
    <n v="1156.14021489275"/>
  </r>
  <r>
    <x v="0"/>
    <x v="0"/>
    <x v="0"/>
    <x v="3"/>
    <x v="4"/>
    <s v="LV_A1"/>
    <x v="3"/>
    <x v="3"/>
    <x v="11"/>
    <x v="1"/>
    <n v="17.3647241513527"/>
    <n v="1056.3540525406199"/>
    <n v="3802.8745891462399"/>
  </r>
  <r>
    <x v="0"/>
    <x v="0"/>
    <x v="0"/>
    <x v="3"/>
    <x v="4"/>
    <s v="LV_A1"/>
    <x v="3"/>
    <x v="3"/>
    <x v="11"/>
    <x v="2"/>
    <n v="28.6402398221746"/>
    <n v="1742.28125584895"/>
    <n v="6272.2125210562299"/>
  </r>
  <r>
    <x v="0"/>
    <x v="0"/>
    <x v="0"/>
    <x v="3"/>
    <x v="4"/>
    <s v="LV_A1"/>
    <x v="3"/>
    <x v="3"/>
    <x v="11"/>
    <x v="3"/>
    <n v="42.734634410701901"/>
    <n v="2599.6902599843702"/>
    <n v="9358.8849359437208"/>
  </r>
  <r>
    <x v="0"/>
    <x v="0"/>
    <x v="0"/>
    <x v="3"/>
    <x v="4"/>
    <s v="LV_A1"/>
    <x v="3"/>
    <x v="3"/>
    <x v="11"/>
    <x v="4"/>
    <n v="54.010150081523697"/>
    <n v="3285.61746329269"/>
    <n v="11828.222867853699"/>
  </r>
  <r>
    <x v="0"/>
    <x v="0"/>
    <x v="0"/>
    <x v="3"/>
    <x v="4"/>
    <s v="LV_A1"/>
    <x v="3"/>
    <x v="3"/>
    <x v="11"/>
    <x v="5"/>
    <n v="59.647907916934798"/>
    <n v="3628.5810649468599"/>
    <n v="13062.891833808701"/>
  </r>
  <r>
    <x v="0"/>
    <x v="0"/>
    <x v="0"/>
    <x v="3"/>
    <x v="4"/>
    <s v="LV_A1"/>
    <x v="3"/>
    <x v="3"/>
    <x v="11"/>
    <x v="6"/>
    <n v="239.397759342097"/>
    <n v="14563.363693310899"/>
    <n v="52428.109295919203"/>
  </r>
  <r>
    <x v="0"/>
    <x v="0"/>
    <x v="0"/>
    <x v="3"/>
    <x v="4"/>
    <s v="LV_A1"/>
    <x v="3"/>
    <x v="3"/>
    <x v="11"/>
    <x v="7"/>
    <n v="257.509852931848"/>
    <n v="15665.182720020701"/>
    <n v="56394.657792074599"/>
  </r>
  <r>
    <x v="0"/>
    <x v="0"/>
    <x v="0"/>
    <x v="3"/>
    <x v="4"/>
    <s v="LV_A1"/>
    <x v="3"/>
    <x v="3"/>
    <x v="11"/>
    <x v="8"/>
    <n v="247.04436667811899"/>
    <n v="15028.5323062523"/>
    <n v="54102.716302508197"/>
  </r>
  <r>
    <x v="0"/>
    <x v="0"/>
    <x v="0"/>
    <x v="3"/>
    <x v="4"/>
    <s v="LV_A1"/>
    <x v="3"/>
    <x v="3"/>
    <x v="11"/>
    <x v="9"/>
    <n v="230.94112258897999"/>
    <n v="14048.918290829601"/>
    <n v="50576.105846986698"/>
  </r>
  <r>
    <x v="0"/>
    <x v="0"/>
    <x v="0"/>
    <x v="3"/>
    <x v="4"/>
    <s v="LV_A1"/>
    <x v="3"/>
    <x v="3"/>
    <x v="11"/>
    <x v="10"/>
    <n v="216.846728000453"/>
    <n v="13191.5092866942"/>
    <n v="47489.433432099198"/>
  </r>
  <r>
    <x v="0"/>
    <x v="0"/>
    <x v="0"/>
    <x v="3"/>
    <x v="4"/>
    <s v="LV_A1"/>
    <x v="3"/>
    <x v="3"/>
    <x v="11"/>
    <x v="11"/>
    <n v="214.027849082747"/>
    <n v="13020.0274858671"/>
    <n v="46872.098949121697"/>
  </r>
  <r>
    <x v="0"/>
    <x v="0"/>
    <x v="0"/>
    <x v="3"/>
    <x v="4"/>
    <s v="LV_A1"/>
    <x v="3"/>
    <x v="12"/>
    <x v="7"/>
    <x v="7"/>
    <n v="36.074408515976501"/>
    <n v="2194.5265180552301"/>
    <n v="7900.2954649988496"/>
  </r>
  <r>
    <x v="0"/>
    <x v="0"/>
    <x v="0"/>
    <x v="3"/>
    <x v="4"/>
    <s v="LV_A1"/>
    <x v="3"/>
    <x v="12"/>
    <x v="7"/>
    <x v="8"/>
    <n v="31.246680097661098"/>
    <n v="1900.8397059410499"/>
    <n v="6843.0229413877796"/>
  </r>
  <r>
    <x v="0"/>
    <x v="0"/>
    <x v="0"/>
    <x v="3"/>
    <x v="4"/>
    <s v="LV_A1"/>
    <x v="3"/>
    <x v="12"/>
    <x v="7"/>
    <x v="9"/>
    <n v="9.5056781731106508"/>
    <n v="578.26208886423103"/>
    <n v="2081.7435199112301"/>
  </r>
  <r>
    <x v="0"/>
    <x v="0"/>
    <x v="0"/>
    <x v="3"/>
    <x v="4"/>
    <s v="LV_A1"/>
    <x v="3"/>
    <x v="10"/>
    <x v="0"/>
    <x v="2"/>
    <n v="76"/>
    <n v="4623.3333333333303"/>
    <n v="16644"/>
  </r>
  <r>
    <x v="0"/>
    <x v="0"/>
    <x v="0"/>
    <x v="3"/>
    <x v="4"/>
    <s v="LV_A1"/>
    <x v="3"/>
    <x v="10"/>
    <x v="0"/>
    <x v="3"/>
    <n v="76"/>
    <n v="4623.3333333333303"/>
    <n v="16644"/>
  </r>
  <r>
    <x v="0"/>
    <x v="0"/>
    <x v="0"/>
    <x v="3"/>
    <x v="4"/>
    <s v="LV_A1"/>
    <x v="3"/>
    <x v="10"/>
    <x v="0"/>
    <x v="4"/>
    <n v="76"/>
    <n v="4623.3333333333303"/>
    <n v="16644"/>
  </r>
  <r>
    <x v="0"/>
    <x v="0"/>
    <x v="0"/>
    <x v="3"/>
    <x v="4"/>
    <s v="LV_A1"/>
    <x v="3"/>
    <x v="10"/>
    <x v="0"/>
    <x v="5"/>
    <n v="76"/>
    <n v="4623.3333333333303"/>
    <n v="16644"/>
  </r>
  <r>
    <x v="0"/>
    <x v="0"/>
    <x v="0"/>
    <x v="3"/>
    <x v="4"/>
    <s v="LV_A1"/>
    <x v="3"/>
    <x v="10"/>
    <x v="0"/>
    <x v="6"/>
    <n v="76"/>
    <n v="4623.3333333333303"/>
    <n v="16644"/>
  </r>
  <r>
    <x v="0"/>
    <x v="0"/>
    <x v="0"/>
    <x v="3"/>
    <x v="4"/>
    <s v="LV_A1"/>
    <x v="3"/>
    <x v="10"/>
    <x v="0"/>
    <x v="7"/>
    <n v="76"/>
    <n v="4623.3333333333303"/>
    <n v="16644"/>
  </r>
  <r>
    <x v="0"/>
    <x v="0"/>
    <x v="0"/>
    <x v="3"/>
    <x v="4"/>
    <s v="LV_A1"/>
    <x v="3"/>
    <x v="10"/>
    <x v="0"/>
    <x v="8"/>
    <n v="76"/>
    <n v="4623.3333333333303"/>
    <n v="16644"/>
  </r>
  <r>
    <x v="0"/>
    <x v="0"/>
    <x v="0"/>
    <x v="3"/>
    <x v="4"/>
    <s v="LV_A1"/>
    <x v="3"/>
    <x v="10"/>
    <x v="0"/>
    <x v="9"/>
    <n v="76"/>
    <n v="4623.3333333333303"/>
    <n v="16644"/>
  </r>
  <r>
    <x v="0"/>
    <x v="0"/>
    <x v="0"/>
    <x v="3"/>
    <x v="4"/>
    <s v="LV_A1"/>
    <x v="3"/>
    <x v="10"/>
    <x v="0"/>
    <x v="10"/>
    <n v="76"/>
    <n v="4623.3333333333303"/>
    <n v="16644"/>
  </r>
  <r>
    <x v="0"/>
    <x v="0"/>
    <x v="0"/>
    <x v="3"/>
    <x v="4"/>
    <s v="LV_A1"/>
    <x v="3"/>
    <x v="10"/>
    <x v="0"/>
    <x v="11"/>
    <n v="76"/>
    <n v="4623.3333333333303"/>
    <n v="16644"/>
  </r>
  <r>
    <x v="0"/>
    <x v="0"/>
    <x v="0"/>
    <x v="3"/>
    <x v="4"/>
    <s v="LV_A1"/>
    <x v="3"/>
    <x v="10"/>
    <x v="1"/>
    <x v="1"/>
    <n v="76"/>
    <n v="4623.3333333333303"/>
    <n v="16644"/>
  </r>
  <r>
    <x v="0"/>
    <x v="0"/>
    <x v="0"/>
    <x v="3"/>
    <x v="4"/>
    <s v="LV_A1"/>
    <x v="3"/>
    <x v="10"/>
    <x v="1"/>
    <x v="2"/>
    <n v="76"/>
    <n v="4623.3333333333303"/>
    <n v="16644"/>
  </r>
  <r>
    <x v="0"/>
    <x v="0"/>
    <x v="0"/>
    <x v="3"/>
    <x v="4"/>
    <s v="LV_A1"/>
    <x v="3"/>
    <x v="10"/>
    <x v="1"/>
    <x v="3"/>
    <n v="76"/>
    <n v="4623.3333333333303"/>
    <n v="16644"/>
  </r>
  <r>
    <x v="0"/>
    <x v="0"/>
    <x v="0"/>
    <x v="3"/>
    <x v="4"/>
    <s v="LV_A1"/>
    <x v="3"/>
    <x v="10"/>
    <x v="1"/>
    <x v="4"/>
    <n v="76"/>
    <n v="4623.3333333333303"/>
    <n v="16644"/>
  </r>
  <r>
    <x v="0"/>
    <x v="0"/>
    <x v="0"/>
    <x v="3"/>
    <x v="4"/>
    <s v="LV_A1"/>
    <x v="3"/>
    <x v="10"/>
    <x v="2"/>
    <x v="0"/>
    <n v="76"/>
    <n v="4623.3333333333303"/>
    <n v="16644"/>
  </r>
  <r>
    <x v="0"/>
    <x v="0"/>
    <x v="0"/>
    <x v="3"/>
    <x v="4"/>
    <s v="LV_A1"/>
    <x v="3"/>
    <x v="10"/>
    <x v="2"/>
    <x v="1"/>
    <n v="76"/>
    <n v="4623.3333333333303"/>
    <n v="16644"/>
  </r>
  <r>
    <x v="0"/>
    <x v="0"/>
    <x v="0"/>
    <x v="3"/>
    <x v="4"/>
    <s v="LV_A1"/>
    <x v="3"/>
    <x v="10"/>
    <x v="2"/>
    <x v="2"/>
    <n v="76"/>
    <n v="4623.3333333333303"/>
    <n v="16644"/>
  </r>
  <r>
    <x v="0"/>
    <x v="0"/>
    <x v="0"/>
    <x v="3"/>
    <x v="4"/>
    <s v="LV_A1"/>
    <x v="3"/>
    <x v="10"/>
    <x v="2"/>
    <x v="3"/>
    <n v="76"/>
    <n v="4623.3333333333303"/>
    <n v="16644"/>
  </r>
  <r>
    <x v="0"/>
    <x v="0"/>
    <x v="0"/>
    <x v="3"/>
    <x v="4"/>
    <s v="LV_A1"/>
    <x v="3"/>
    <x v="10"/>
    <x v="2"/>
    <x v="4"/>
    <n v="76"/>
    <n v="4623.3333333333303"/>
    <n v="16644"/>
  </r>
  <r>
    <x v="0"/>
    <x v="0"/>
    <x v="0"/>
    <x v="3"/>
    <x v="4"/>
    <s v="LV_A1"/>
    <x v="3"/>
    <x v="10"/>
    <x v="2"/>
    <x v="5"/>
    <n v="76"/>
    <n v="4623.3333333333303"/>
    <n v="16644"/>
  </r>
  <r>
    <x v="0"/>
    <x v="0"/>
    <x v="0"/>
    <x v="3"/>
    <x v="4"/>
    <s v="LV_A1"/>
    <x v="3"/>
    <x v="10"/>
    <x v="3"/>
    <x v="0"/>
    <n v="76"/>
    <n v="4623.3333333333303"/>
    <n v="16644"/>
  </r>
  <r>
    <x v="0"/>
    <x v="0"/>
    <x v="0"/>
    <x v="3"/>
    <x v="4"/>
    <s v="LV_A1"/>
    <x v="3"/>
    <x v="10"/>
    <x v="3"/>
    <x v="1"/>
    <n v="76"/>
    <n v="4623.3333333333303"/>
    <n v="16644"/>
  </r>
  <r>
    <x v="0"/>
    <x v="0"/>
    <x v="0"/>
    <x v="3"/>
    <x v="4"/>
    <s v="LV_A1"/>
    <x v="3"/>
    <x v="10"/>
    <x v="3"/>
    <x v="2"/>
    <n v="76"/>
    <n v="4623.3333333333303"/>
    <n v="16644"/>
  </r>
  <r>
    <x v="0"/>
    <x v="0"/>
    <x v="0"/>
    <x v="3"/>
    <x v="4"/>
    <s v="LV_A1"/>
    <x v="3"/>
    <x v="10"/>
    <x v="3"/>
    <x v="3"/>
    <n v="76"/>
    <n v="4623.3333333333303"/>
    <n v="16644"/>
  </r>
  <r>
    <x v="0"/>
    <x v="0"/>
    <x v="0"/>
    <x v="3"/>
    <x v="4"/>
    <s v="LV_A1"/>
    <x v="3"/>
    <x v="10"/>
    <x v="4"/>
    <x v="0"/>
    <n v="76"/>
    <n v="4623.3333333333303"/>
    <n v="16644"/>
  </r>
  <r>
    <x v="0"/>
    <x v="0"/>
    <x v="0"/>
    <x v="3"/>
    <x v="4"/>
    <s v="LV_A1"/>
    <x v="3"/>
    <x v="10"/>
    <x v="4"/>
    <x v="1"/>
    <n v="76"/>
    <n v="4623.3333333333303"/>
    <n v="16644"/>
  </r>
  <r>
    <x v="0"/>
    <x v="0"/>
    <x v="0"/>
    <x v="3"/>
    <x v="4"/>
    <s v="LV_A1"/>
    <x v="3"/>
    <x v="10"/>
    <x v="4"/>
    <x v="2"/>
    <n v="76"/>
    <n v="4623.3333333333303"/>
    <n v="16644"/>
  </r>
  <r>
    <x v="0"/>
    <x v="0"/>
    <x v="0"/>
    <x v="3"/>
    <x v="4"/>
    <s v="LV_A1"/>
    <x v="3"/>
    <x v="10"/>
    <x v="4"/>
    <x v="3"/>
    <n v="76"/>
    <n v="4623.3333333333303"/>
    <n v="16644"/>
  </r>
  <r>
    <x v="0"/>
    <x v="0"/>
    <x v="0"/>
    <x v="3"/>
    <x v="4"/>
    <s v="LV_A1"/>
    <x v="3"/>
    <x v="10"/>
    <x v="4"/>
    <x v="4"/>
    <n v="76"/>
    <n v="4623.3333333333303"/>
    <n v="16644"/>
  </r>
  <r>
    <x v="0"/>
    <x v="0"/>
    <x v="0"/>
    <x v="3"/>
    <x v="4"/>
    <s v="LV_A1"/>
    <x v="3"/>
    <x v="10"/>
    <x v="4"/>
    <x v="5"/>
    <n v="61.333196292814698"/>
    <n v="3731.1027744795601"/>
    <n v="13431.9699881264"/>
  </r>
  <r>
    <x v="0"/>
    <x v="0"/>
    <x v="0"/>
    <x v="3"/>
    <x v="4"/>
    <s v="LV_A1"/>
    <x v="3"/>
    <x v="10"/>
    <x v="5"/>
    <x v="0"/>
    <n v="72.822542310320799"/>
    <n v="4430.0379905445097"/>
    <n v="15948.1367659603"/>
  </r>
  <r>
    <x v="0"/>
    <x v="0"/>
    <x v="0"/>
    <x v="3"/>
    <x v="4"/>
    <s v="LV_A1"/>
    <x v="3"/>
    <x v="10"/>
    <x v="5"/>
    <x v="1"/>
    <n v="62.357056056592597"/>
    <n v="3793.3875767760501"/>
    <n v="13656.195276393801"/>
  </r>
  <r>
    <x v="0"/>
    <x v="0"/>
    <x v="0"/>
    <x v="3"/>
    <x v="4"/>
    <s v="LV_A1"/>
    <x v="3"/>
    <x v="10"/>
    <x v="5"/>
    <x v="2"/>
    <n v="67.994813892003506"/>
    <n v="4136.35117843022"/>
    <n v="14890.8642423488"/>
  </r>
  <r>
    <x v="0"/>
    <x v="0"/>
    <x v="0"/>
    <x v="3"/>
    <x v="4"/>
    <s v="LV_A1"/>
    <x v="3"/>
    <x v="10"/>
    <x v="5"/>
    <x v="3"/>
    <n v="67.994813892003506"/>
    <n v="4136.35117843022"/>
    <n v="14890.8642423488"/>
  </r>
  <r>
    <x v="0"/>
    <x v="0"/>
    <x v="0"/>
    <x v="3"/>
    <x v="4"/>
    <s v="LV_A1"/>
    <x v="3"/>
    <x v="10"/>
    <x v="5"/>
    <x v="4"/>
    <n v="70.813692809708996"/>
    <n v="4307.8329792573004"/>
    <n v="15508.1987253263"/>
  </r>
  <r>
    <x v="0"/>
    <x v="0"/>
    <x v="0"/>
    <x v="3"/>
    <x v="4"/>
    <s v="LV_A1"/>
    <x v="3"/>
    <x v="10"/>
    <x v="5"/>
    <x v="5"/>
    <n v="73.632571727414401"/>
    <n v="4479.3147800843799"/>
    <n v="16125.533208303799"/>
  </r>
  <r>
    <x v="0"/>
    <x v="0"/>
    <x v="0"/>
    <x v="3"/>
    <x v="4"/>
    <s v="LV_A1"/>
    <x v="3"/>
    <x v="10"/>
    <x v="6"/>
    <x v="0"/>
    <n v="76"/>
    <n v="4623.3333333333303"/>
    <n v="16644"/>
  </r>
  <r>
    <x v="0"/>
    <x v="0"/>
    <x v="0"/>
    <x v="3"/>
    <x v="4"/>
    <s v="LV_A1"/>
    <x v="3"/>
    <x v="10"/>
    <x v="6"/>
    <x v="1"/>
    <n v="76"/>
    <n v="4623.3333333333303"/>
    <n v="16644"/>
  </r>
  <r>
    <x v="0"/>
    <x v="0"/>
    <x v="0"/>
    <x v="3"/>
    <x v="4"/>
    <s v="LV_A1"/>
    <x v="3"/>
    <x v="10"/>
    <x v="6"/>
    <x v="2"/>
    <n v="76"/>
    <n v="4623.3333333333303"/>
    <n v="16644"/>
  </r>
  <r>
    <x v="0"/>
    <x v="0"/>
    <x v="0"/>
    <x v="3"/>
    <x v="4"/>
    <s v="LV_A1"/>
    <x v="3"/>
    <x v="10"/>
    <x v="6"/>
    <x v="3"/>
    <n v="76"/>
    <n v="4623.3333333333303"/>
    <n v="16644"/>
  </r>
  <r>
    <x v="0"/>
    <x v="0"/>
    <x v="0"/>
    <x v="3"/>
    <x v="4"/>
    <s v="LV_A1"/>
    <x v="3"/>
    <x v="10"/>
    <x v="6"/>
    <x v="4"/>
    <n v="76"/>
    <n v="4623.3333333333303"/>
    <n v="16644"/>
  </r>
  <r>
    <x v="0"/>
    <x v="0"/>
    <x v="0"/>
    <x v="3"/>
    <x v="4"/>
    <s v="LV_A1"/>
    <x v="3"/>
    <x v="10"/>
    <x v="7"/>
    <x v="0"/>
    <n v="76"/>
    <n v="4623.3333333333303"/>
    <n v="16644"/>
  </r>
  <r>
    <x v="0"/>
    <x v="0"/>
    <x v="0"/>
    <x v="3"/>
    <x v="4"/>
    <s v="LV_A1"/>
    <x v="3"/>
    <x v="10"/>
    <x v="7"/>
    <x v="1"/>
    <n v="76"/>
    <n v="4623.3333333333303"/>
    <n v="16644"/>
  </r>
  <r>
    <x v="0"/>
    <x v="0"/>
    <x v="0"/>
    <x v="3"/>
    <x v="4"/>
    <s v="LV_A1"/>
    <x v="3"/>
    <x v="10"/>
    <x v="7"/>
    <x v="2"/>
    <n v="76"/>
    <n v="4623.3333333333303"/>
    <n v="16644"/>
  </r>
  <r>
    <x v="0"/>
    <x v="0"/>
    <x v="0"/>
    <x v="3"/>
    <x v="4"/>
    <s v="LV_A1"/>
    <x v="3"/>
    <x v="10"/>
    <x v="7"/>
    <x v="3"/>
    <n v="76"/>
    <n v="4623.3333333333303"/>
    <n v="16644"/>
  </r>
  <r>
    <x v="0"/>
    <x v="0"/>
    <x v="0"/>
    <x v="3"/>
    <x v="4"/>
    <s v="LV_A1"/>
    <x v="3"/>
    <x v="10"/>
    <x v="7"/>
    <x v="4"/>
    <n v="76"/>
    <n v="4623.3333333333303"/>
    <n v="16644"/>
  </r>
  <r>
    <x v="0"/>
    <x v="0"/>
    <x v="0"/>
    <x v="3"/>
    <x v="4"/>
    <s v="LV_A1"/>
    <x v="3"/>
    <x v="10"/>
    <x v="7"/>
    <x v="5"/>
    <n v="36.3859164885978"/>
    <n v="2213.4765863897001"/>
    <n v="7968.5157110029304"/>
  </r>
  <r>
    <x v="0"/>
    <x v="0"/>
    <x v="0"/>
    <x v="3"/>
    <x v="4"/>
    <s v="LV_A1"/>
    <x v="3"/>
    <x v="10"/>
    <x v="7"/>
    <x v="6"/>
    <n v="74.230162502287101"/>
    <n v="4515.66821888913"/>
    <n v="16256.4055880009"/>
  </r>
  <r>
    <x v="0"/>
    <x v="0"/>
    <x v="0"/>
    <x v="3"/>
    <x v="4"/>
    <s v="LV_A1"/>
    <x v="3"/>
    <x v="10"/>
    <x v="7"/>
    <x v="7"/>
    <n v="76"/>
    <n v="4623.3333333333303"/>
    <n v="16644"/>
  </r>
  <r>
    <x v="0"/>
    <x v="0"/>
    <x v="0"/>
    <x v="3"/>
    <x v="4"/>
    <s v="LV_A1"/>
    <x v="3"/>
    <x v="10"/>
    <x v="7"/>
    <x v="8"/>
    <n v="76"/>
    <n v="4623.3333333333303"/>
    <n v="16644"/>
  </r>
  <r>
    <x v="0"/>
    <x v="0"/>
    <x v="0"/>
    <x v="3"/>
    <x v="4"/>
    <s v="LV_A1"/>
    <x v="3"/>
    <x v="10"/>
    <x v="7"/>
    <x v="9"/>
    <n v="76"/>
    <n v="4623.3333333333303"/>
    <n v="16644"/>
  </r>
  <r>
    <x v="0"/>
    <x v="0"/>
    <x v="0"/>
    <x v="3"/>
    <x v="4"/>
    <s v="LV_A1"/>
    <x v="3"/>
    <x v="10"/>
    <x v="7"/>
    <x v="10"/>
    <n v="68.592404666875296"/>
    <n v="4172.7046172349201"/>
    <n v="15021.736622045701"/>
  </r>
  <r>
    <x v="0"/>
    <x v="0"/>
    <x v="0"/>
    <x v="3"/>
    <x v="4"/>
    <s v="LV_A1"/>
    <x v="3"/>
    <x v="10"/>
    <x v="7"/>
    <x v="11"/>
    <n v="0.93931064194675296"/>
    <n v="57.141397385094102"/>
    <n v="205.709030586339"/>
  </r>
  <r>
    <x v="0"/>
    <x v="0"/>
    <x v="0"/>
    <x v="3"/>
    <x v="4"/>
    <s v="LV_A1"/>
    <x v="3"/>
    <x v="10"/>
    <x v="8"/>
    <x v="0"/>
    <n v="76"/>
    <n v="4623.3333333333303"/>
    <n v="16644"/>
  </r>
  <r>
    <x v="0"/>
    <x v="0"/>
    <x v="0"/>
    <x v="3"/>
    <x v="4"/>
    <s v="LV_A1"/>
    <x v="3"/>
    <x v="10"/>
    <x v="8"/>
    <x v="1"/>
    <n v="76"/>
    <n v="4623.3333333333303"/>
    <n v="16644"/>
  </r>
  <r>
    <x v="0"/>
    <x v="0"/>
    <x v="0"/>
    <x v="3"/>
    <x v="4"/>
    <s v="LV_A1"/>
    <x v="3"/>
    <x v="10"/>
    <x v="8"/>
    <x v="6"/>
    <n v="2.0107009461944001"/>
    <n v="122.317640893492"/>
    <n v="440.34350721657302"/>
  </r>
  <r>
    <x v="0"/>
    <x v="0"/>
    <x v="0"/>
    <x v="3"/>
    <x v="4"/>
    <s v="LV_A1"/>
    <x v="3"/>
    <x v="10"/>
    <x v="8"/>
    <x v="8"/>
    <n v="6.8384293645096399"/>
    <n v="416.00445300767001"/>
    <n v="1497.6160308276101"/>
  </r>
  <r>
    <x v="0"/>
    <x v="0"/>
    <x v="0"/>
    <x v="3"/>
    <x v="4"/>
    <s v="LV_A1"/>
    <x v="3"/>
    <x v="10"/>
    <x v="9"/>
    <x v="0"/>
    <n v="12.5971030165418"/>
    <n v="766.323766839624"/>
    <n v="2758.7655606226399"/>
  </r>
  <r>
    <x v="0"/>
    <x v="0"/>
    <x v="0"/>
    <x v="3"/>
    <x v="4"/>
    <s v="LV_A1"/>
    <x v="3"/>
    <x v="10"/>
    <x v="9"/>
    <x v="1"/>
    <n v="76"/>
    <n v="4623.3333333333303"/>
    <n v="16644"/>
  </r>
  <r>
    <x v="0"/>
    <x v="0"/>
    <x v="0"/>
    <x v="3"/>
    <x v="4"/>
    <s v="LV_A1"/>
    <x v="3"/>
    <x v="10"/>
    <x v="9"/>
    <x v="3"/>
    <n v="76"/>
    <n v="4623.3333333333303"/>
    <n v="16644"/>
  </r>
  <r>
    <x v="0"/>
    <x v="0"/>
    <x v="0"/>
    <x v="3"/>
    <x v="4"/>
    <s v="LV_A1"/>
    <x v="3"/>
    <x v="10"/>
    <x v="9"/>
    <x v="4"/>
    <n v="76"/>
    <n v="4623.3333333333303"/>
    <n v="16644"/>
  </r>
  <r>
    <x v="0"/>
    <x v="0"/>
    <x v="0"/>
    <x v="3"/>
    <x v="4"/>
    <s v="LV_A1"/>
    <x v="3"/>
    <x v="10"/>
    <x v="10"/>
    <x v="0"/>
    <n v="76"/>
    <n v="4623.3333333333303"/>
    <n v="16644"/>
  </r>
  <r>
    <x v="0"/>
    <x v="0"/>
    <x v="0"/>
    <x v="3"/>
    <x v="4"/>
    <s v="LV_A1"/>
    <x v="3"/>
    <x v="10"/>
    <x v="10"/>
    <x v="1"/>
    <n v="76"/>
    <n v="4623.3333333333303"/>
    <n v="16644"/>
  </r>
  <r>
    <x v="0"/>
    <x v="0"/>
    <x v="0"/>
    <x v="3"/>
    <x v="4"/>
    <s v="LV_A1"/>
    <x v="3"/>
    <x v="10"/>
    <x v="10"/>
    <x v="2"/>
    <n v="62.723918920168799"/>
    <n v="3815.7050676436002"/>
    <n v="13736.538243517"/>
  </r>
  <r>
    <x v="0"/>
    <x v="0"/>
    <x v="0"/>
    <x v="3"/>
    <x v="4"/>
    <s v="LV_A1"/>
    <x v="3"/>
    <x v="10"/>
    <x v="10"/>
    <x v="3"/>
    <n v="76"/>
    <n v="4623.3333333333303"/>
    <n v="16644"/>
  </r>
  <r>
    <x v="0"/>
    <x v="0"/>
    <x v="0"/>
    <x v="3"/>
    <x v="4"/>
    <s v="LV_A1"/>
    <x v="3"/>
    <x v="10"/>
    <x v="10"/>
    <x v="4"/>
    <n v="44.334860576130602"/>
    <n v="2697.0373517146099"/>
    <n v="9709.3344661726005"/>
  </r>
  <r>
    <x v="0"/>
    <x v="0"/>
    <x v="0"/>
    <x v="3"/>
    <x v="4"/>
    <s v="LV_A1"/>
    <x v="3"/>
    <x v="10"/>
    <x v="11"/>
    <x v="0"/>
    <n v="76"/>
    <n v="4623.3333333333303"/>
    <n v="16644"/>
  </r>
  <r>
    <x v="0"/>
    <x v="0"/>
    <x v="0"/>
    <x v="3"/>
    <x v="4"/>
    <s v="LV_A1"/>
    <x v="3"/>
    <x v="10"/>
    <x v="11"/>
    <x v="1"/>
    <n v="76"/>
    <n v="4623.3333333333303"/>
    <n v="16644"/>
  </r>
  <r>
    <x v="0"/>
    <x v="0"/>
    <x v="0"/>
    <x v="3"/>
    <x v="4"/>
    <s v="LV_A1"/>
    <x v="3"/>
    <x v="10"/>
    <x v="11"/>
    <x v="2"/>
    <n v="76"/>
    <n v="4623.3333333333303"/>
    <n v="16644"/>
  </r>
  <r>
    <x v="0"/>
    <x v="0"/>
    <x v="0"/>
    <x v="3"/>
    <x v="4"/>
    <s v="LV_A1"/>
    <x v="3"/>
    <x v="10"/>
    <x v="11"/>
    <x v="3"/>
    <n v="76"/>
    <n v="4623.3333333333303"/>
    <n v="16644"/>
  </r>
  <r>
    <x v="0"/>
    <x v="0"/>
    <x v="0"/>
    <x v="3"/>
    <x v="4"/>
    <s v="LV_A1"/>
    <x v="3"/>
    <x v="10"/>
    <x v="11"/>
    <x v="4"/>
    <n v="76"/>
    <n v="4623.3333333333303"/>
    <n v="16644"/>
  </r>
  <r>
    <x v="0"/>
    <x v="0"/>
    <x v="0"/>
    <x v="3"/>
    <x v="4"/>
    <s v="LV_A1"/>
    <x v="3"/>
    <x v="10"/>
    <x v="11"/>
    <x v="5"/>
    <n v="76"/>
    <n v="4623.3333333333303"/>
    <n v="16644"/>
  </r>
  <r>
    <x v="0"/>
    <x v="0"/>
    <x v="0"/>
    <x v="3"/>
    <x v="4"/>
    <s v="LV_A1"/>
    <x v="8"/>
    <x v="13"/>
    <x v="0"/>
    <x v="1"/>
    <n v="42.040090952741203"/>
    <n v="2557.43886629176"/>
    <n v="9206.7799186503307"/>
  </r>
  <r>
    <x v="0"/>
    <x v="0"/>
    <x v="0"/>
    <x v="3"/>
    <x v="4"/>
    <s v="LV_A1"/>
    <x v="8"/>
    <x v="13"/>
    <x v="0"/>
    <x v="2"/>
    <n v="80"/>
    <n v="4866.6666666666697"/>
    <n v="17520"/>
  </r>
  <r>
    <x v="0"/>
    <x v="0"/>
    <x v="0"/>
    <x v="3"/>
    <x v="4"/>
    <s v="LV_A1"/>
    <x v="8"/>
    <x v="13"/>
    <x v="0"/>
    <x v="3"/>
    <n v="80"/>
    <n v="4866.6666666666697"/>
    <n v="17520"/>
  </r>
  <r>
    <x v="0"/>
    <x v="0"/>
    <x v="0"/>
    <x v="3"/>
    <x v="4"/>
    <s v="LV_A1"/>
    <x v="8"/>
    <x v="13"/>
    <x v="0"/>
    <x v="4"/>
    <n v="80"/>
    <n v="4866.6666666666697"/>
    <n v="17520"/>
  </r>
  <r>
    <x v="0"/>
    <x v="0"/>
    <x v="0"/>
    <x v="3"/>
    <x v="4"/>
    <s v="LV_A1"/>
    <x v="8"/>
    <x v="13"/>
    <x v="0"/>
    <x v="5"/>
    <n v="80"/>
    <n v="4866.6666666666697"/>
    <n v="17520"/>
  </r>
  <r>
    <x v="0"/>
    <x v="0"/>
    <x v="0"/>
    <x v="3"/>
    <x v="4"/>
    <s v="LV_A1"/>
    <x v="8"/>
    <x v="13"/>
    <x v="0"/>
    <x v="6"/>
    <n v="80"/>
    <n v="4866.6666666666697"/>
    <n v="17520"/>
  </r>
  <r>
    <x v="0"/>
    <x v="0"/>
    <x v="0"/>
    <x v="3"/>
    <x v="4"/>
    <s v="LV_A1"/>
    <x v="8"/>
    <x v="13"/>
    <x v="0"/>
    <x v="7"/>
    <n v="80"/>
    <n v="4866.6666666666697"/>
    <n v="17520"/>
  </r>
  <r>
    <x v="0"/>
    <x v="0"/>
    <x v="0"/>
    <x v="3"/>
    <x v="4"/>
    <s v="LV_A1"/>
    <x v="8"/>
    <x v="13"/>
    <x v="0"/>
    <x v="8"/>
    <n v="80"/>
    <n v="4866.6666666666697"/>
    <n v="17520"/>
  </r>
  <r>
    <x v="0"/>
    <x v="0"/>
    <x v="0"/>
    <x v="3"/>
    <x v="4"/>
    <s v="LV_A1"/>
    <x v="8"/>
    <x v="13"/>
    <x v="0"/>
    <x v="9"/>
    <n v="80"/>
    <n v="4866.6666666666697"/>
    <n v="17520"/>
  </r>
  <r>
    <x v="0"/>
    <x v="0"/>
    <x v="0"/>
    <x v="3"/>
    <x v="4"/>
    <s v="LV_A1"/>
    <x v="8"/>
    <x v="13"/>
    <x v="0"/>
    <x v="10"/>
    <n v="80"/>
    <n v="4866.6666666666697"/>
    <n v="17520"/>
  </r>
  <r>
    <x v="0"/>
    <x v="0"/>
    <x v="0"/>
    <x v="3"/>
    <x v="4"/>
    <s v="LV_A1"/>
    <x v="8"/>
    <x v="13"/>
    <x v="0"/>
    <x v="11"/>
    <n v="80"/>
    <n v="4866.6666666666697"/>
    <n v="17520"/>
  </r>
  <r>
    <x v="0"/>
    <x v="0"/>
    <x v="0"/>
    <x v="3"/>
    <x v="4"/>
    <s v="LV_A1"/>
    <x v="8"/>
    <x v="13"/>
    <x v="1"/>
    <x v="1"/>
    <n v="80"/>
    <n v="4866.6666666666697"/>
    <n v="17520"/>
  </r>
  <r>
    <x v="0"/>
    <x v="0"/>
    <x v="0"/>
    <x v="3"/>
    <x v="4"/>
    <s v="LV_A1"/>
    <x v="8"/>
    <x v="13"/>
    <x v="1"/>
    <x v="2"/>
    <n v="80"/>
    <n v="4866.6666666666697"/>
    <n v="17520"/>
  </r>
  <r>
    <x v="0"/>
    <x v="0"/>
    <x v="0"/>
    <x v="3"/>
    <x v="4"/>
    <s v="LV_A1"/>
    <x v="8"/>
    <x v="13"/>
    <x v="1"/>
    <x v="3"/>
    <n v="80"/>
    <n v="4866.6666666666697"/>
    <n v="17520"/>
  </r>
  <r>
    <x v="0"/>
    <x v="0"/>
    <x v="0"/>
    <x v="3"/>
    <x v="4"/>
    <s v="LV_A1"/>
    <x v="8"/>
    <x v="13"/>
    <x v="1"/>
    <x v="4"/>
    <n v="80"/>
    <n v="4866.6666666666697"/>
    <n v="17520"/>
  </r>
  <r>
    <x v="0"/>
    <x v="0"/>
    <x v="0"/>
    <x v="3"/>
    <x v="4"/>
    <s v="LV_A1"/>
    <x v="8"/>
    <x v="13"/>
    <x v="2"/>
    <x v="0"/>
    <n v="80"/>
    <n v="4866.6666666666697"/>
    <n v="17520"/>
  </r>
  <r>
    <x v="0"/>
    <x v="0"/>
    <x v="0"/>
    <x v="3"/>
    <x v="4"/>
    <s v="LV_A1"/>
    <x v="8"/>
    <x v="13"/>
    <x v="2"/>
    <x v="1"/>
    <n v="80"/>
    <n v="4866.6666666666697"/>
    <n v="17520"/>
  </r>
  <r>
    <x v="0"/>
    <x v="0"/>
    <x v="0"/>
    <x v="3"/>
    <x v="4"/>
    <s v="LV_A1"/>
    <x v="8"/>
    <x v="13"/>
    <x v="2"/>
    <x v="2"/>
    <n v="80"/>
    <n v="4866.6666666666697"/>
    <n v="17520"/>
  </r>
  <r>
    <x v="0"/>
    <x v="0"/>
    <x v="0"/>
    <x v="3"/>
    <x v="4"/>
    <s v="LV_A1"/>
    <x v="8"/>
    <x v="13"/>
    <x v="2"/>
    <x v="3"/>
    <n v="80"/>
    <n v="4866.6666666666697"/>
    <n v="17520"/>
  </r>
  <r>
    <x v="0"/>
    <x v="0"/>
    <x v="0"/>
    <x v="3"/>
    <x v="4"/>
    <s v="LV_A1"/>
    <x v="8"/>
    <x v="13"/>
    <x v="2"/>
    <x v="4"/>
    <n v="80"/>
    <n v="4866.6666666666697"/>
    <n v="17520"/>
  </r>
  <r>
    <x v="0"/>
    <x v="0"/>
    <x v="0"/>
    <x v="3"/>
    <x v="4"/>
    <s v="LV_A1"/>
    <x v="8"/>
    <x v="13"/>
    <x v="2"/>
    <x v="5"/>
    <n v="80"/>
    <n v="4866.6666666666697"/>
    <n v="17520"/>
  </r>
  <r>
    <x v="0"/>
    <x v="0"/>
    <x v="0"/>
    <x v="3"/>
    <x v="4"/>
    <s v="LV_A1"/>
    <x v="8"/>
    <x v="13"/>
    <x v="3"/>
    <x v="0"/>
    <n v="80"/>
    <n v="4866.6666666666697"/>
    <n v="17520"/>
  </r>
  <r>
    <x v="0"/>
    <x v="0"/>
    <x v="0"/>
    <x v="3"/>
    <x v="4"/>
    <s v="LV_A1"/>
    <x v="8"/>
    <x v="13"/>
    <x v="3"/>
    <x v="1"/>
    <n v="80"/>
    <n v="4866.6666666666697"/>
    <n v="17520"/>
  </r>
  <r>
    <x v="0"/>
    <x v="0"/>
    <x v="0"/>
    <x v="3"/>
    <x v="4"/>
    <s v="LV_A1"/>
    <x v="8"/>
    <x v="13"/>
    <x v="3"/>
    <x v="2"/>
    <n v="80"/>
    <n v="4866.6666666666697"/>
    <n v="17520"/>
  </r>
  <r>
    <x v="0"/>
    <x v="0"/>
    <x v="0"/>
    <x v="3"/>
    <x v="4"/>
    <s v="LV_A1"/>
    <x v="8"/>
    <x v="13"/>
    <x v="3"/>
    <x v="3"/>
    <n v="80"/>
    <n v="4866.6666666666697"/>
    <n v="17520"/>
  </r>
  <r>
    <x v="0"/>
    <x v="0"/>
    <x v="0"/>
    <x v="3"/>
    <x v="4"/>
    <s v="LV_A1"/>
    <x v="8"/>
    <x v="13"/>
    <x v="3"/>
    <x v="4"/>
    <n v="22.2651227403714"/>
    <n v="1354.4616333725901"/>
    <n v="4876.0618801413402"/>
  </r>
  <r>
    <x v="0"/>
    <x v="0"/>
    <x v="0"/>
    <x v="3"/>
    <x v="4"/>
    <s v="LV_A1"/>
    <x v="8"/>
    <x v="13"/>
    <x v="4"/>
    <x v="0"/>
    <n v="80"/>
    <n v="4866.6666666666697"/>
    <n v="17520"/>
  </r>
  <r>
    <x v="0"/>
    <x v="0"/>
    <x v="0"/>
    <x v="3"/>
    <x v="4"/>
    <s v="LV_A1"/>
    <x v="8"/>
    <x v="13"/>
    <x v="4"/>
    <x v="1"/>
    <n v="80"/>
    <n v="4866.6666666666697"/>
    <n v="17520"/>
  </r>
  <r>
    <x v="0"/>
    <x v="0"/>
    <x v="0"/>
    <x v="3"/>
    <x v="4"/>
    <s v="LV_A1"/>
    <x v="8"/>
    <x v="13"/>
    <x v="4"/>
    <x v="2"/>
    <n v="80"/>
    <n v="4866.6666666666697"/>
    <n v="17520"/>
  </r>
  <r>
    <x v="0"/>
    <x v="0"/>
    <x v="0"/>
    <x v="3"/>
    <x v="4"/>
    <s v="LV_A1"/>
    <x v="8"/>
    <x v="13"/>
    <x v="4"/>
    <x v="3"/>
    <n v="80"/>
    <n v="4866.6666666666697"/>
    <n v="17520"/>
  </r>
  <r>
    <x v="0"/>
    <x v="0"/>
    <x v="0"/>
    <x v="3"/>
    <x v="4"/>
    <s v="LV_A1"/>
    <x v="8"/>
    <x v="13"/>
    <x v="4"/>
    <x v="4"/>
    <n v="80"/>
    <n v="4866.6666666666697"/>
    <n v="17520"/>
  </r>
  <r>
    <x v="0"/>
    <x v="0"/>
    <x v="0"/>
    <x v="3"/>
    <x v="4"/>
    <s v="LV_A1"/>
    <x v="8"/>
    <x v="13"/>
    <x v="4"/>
    <x v="5"/>
    <n v="80"/>
    <n v="4866.6666666666697"/>
    <n v="17520"/>
  </r>
  <r>
    <x v="0"/>
    <x v="0"/>
    <x v="0"/>
    <x v="3"/>
    <x v="4"/>
    <s v="LV_A1"/>
    <x v="8"/>
    <x v="13"/>
    <x v="5"/>
    <x v="0"/>
    <n v="80"/>
    <n v="4866.6666666666697"/>
    <n v="17520"/>
  </r>
  <r>
    <x v="0"/>
    <x v="0"/>
    <x v="0"/>
    <x v="3"/>
    <x v="4"/>
    <s v="LV_A1"/>
    <x v="8"/>
    <x v="13"/>
    <x v="5"/>
    <x v="1"/>
    <n v="80"/>
    <n v="4866.6666666666697"/>
    <n v="17520"/>
  </r>
  <r>
    <x v="0"/>
    <x v="0"/>
    <x v="0"/>
    <x v="3"/>
    <x v="4"/>
    <s v="LV_A1"/>
    <x v="8"/>
    <x v="13"/>
    <x v="5"/>
    <x v="2"/>
    <n v="80"/>
    <n v="4866.6666666666697"/>
    <n v="17520"/>
  </r>
  <r>
    <x v="0"/>
    <x v="0"/>
    <x v="0"/>
    <x v="3"/>
    <x v="4"/>
    <s v="LV_A1"/>
    <x v="8"/>
    <x v="13"/>
    <x v="5"/>
    <x v="3"/>
    <n v="80"/>
    <n v="4866.6666666666697"/>
    <n v="17520"/>
  </r>
  <r>
    <x v="0"/>
    <x v="0"/>
    <x v="0"/>
    <x v="3"/>
    <x v="4"/>
    <s v="LV_A1"/>
    <x v="8"/>
    <x v="13"/>
    <x v="5"/>
    <x v="4"/>
    <n v="80"/>
    <n v="4866.6666666666697"/>
    <n v="17520"/>
  </r>
  <r>
    <x v="0"/>
    <x v="0"/>
    <x v="0"/>
    <x v="3"/>
    <x v="4"/>
    <s v="LV_A1"/>
    <x v="8"/>
    <x v="13"/>
    <x v="5"/>
    <x v="5"/>
    <n v="80"/>
    <n v="4866.6666666666697"/>
    <n v="17520"/>
  </r>
  <r>
    <x v="0"/>
    <x v="0"/>
    <x v="0"/>
    <x v="3"/>
    <x v="4"/>
    <s v="LV_A1"/>
    <x v="8"/>
    <x v="13"/>
    <x v="6"/>
    <x v="0"/>
    <n v="80"/>
    <n v="4866.6666666666697"/>
    <n v="17520"/>
  </r>
  <r>
    <x v="0"/>
    <x v="0"/>
    <x v="0"/>
    <x v="3"/>
    <x v="4"/>
    <s v="LV_A1"/>
    <x v="8"/>
    <x v="13"/>
    <x v="6"/>
    <x v="1"/>
    <n v="80"/>
    <n v="4866.6666666666697"/>
    <n v="17520"/>
  </r>
  <r>
    <x v="0"/>
    <x v="0"/>
    <x v="0"/>
    <x v="3"/>
    <x v="4"/>
    <s v="LV_A1"/>
    <x v="8"/>
    <x v="13"/>
    <x v="6"/>
    <x v="2"/>
    <n v="80"/>
    <n v="4866.6666666666697"/>
    <n v="17520"/>
  </r>
  <r>
    <x v="0"/>
    <x v="0"/>
    <x v="0"/>
    <x v="3"/>
    <x v="4"/>
    <s v="LV_A1"/>
    <x v="8"/>
    <x v="13"/>
    <x v="6"/>
    <x v="3"/>
    <n v="80"/>
    <n v="4866.6666666666697"/>
    <n v="17520"/>
  </r>
  <r>
    <x v="0"/>
    <x v="0"/>
    <x v="0"/>
    <x v="3"/>
    <x v="4"/>
    <s v="LV_A1"/>
    <x v="8"/>
    <x v="13"/>
    <x v="6"/>
    <x v="4"/>
    <n v="80"/>
    <n v="4866.6666666666697"/>
    <n v="17520"/>
  </r>
  <r>
    <x v="0"/>
    <x v="0"/>
    <x v="0"/>
    <x v="3"/>
    <x v="4"/>
    <s v="LV_A1"/>
    <x v="8"/>
    <x v="13"/>
    <x v="7"/>
    <x v="0"/>
    <n v="80"/>
    <n v="4866.6666666666697"/>
    <n v="17520"/>
  </r>
  <r>
    <x v="0"/>
    <x v="0"/>
    <x v="0"/>
    <x v="3"/>
    <x v="4"/>
    <s v="LV_A1"/>
    <x v="8"/>
    <x v="13"/>
    <x v="7"/>
    <x v="1"/>
    <n v="80"/>
    <n v="4866.6666666666697"/>
    <n v="17520"/>
  </r>
  <r>
    <x v="0"/>
    <x v="0"/>
    <x v="0"/>
    <x v="3"/>
    <x v="4"/>
    <s v="LV_A1"/>
    <x v="8"/>
    <x v="13"/>
    <x v="7"/>
    <x v="2"/>
    <n v="80"/>
    <n v="4866.6666666666697"/>
    <n v="17520"/>
  </r>
  <r>
    <x v="0"/>
    <x v="0"/>
    <x v="0"/>
    <x v="3"/>
    <x v="4"/>
    <s v="LV_A1"/>
    <x v="8"/>
    <x v="13"/>
    <x v="7"/>
    <x v="3"/>
    <n v="80"/>
    <n v="4866.6666666666697"/>
    <n v="17520"/>
  </r>
  <r>
    <x v="0"/>
    <x v="0"/>
    <x v="0"/>
    <x v="3"/>
    <x v="4"/>
    <s v="LV_A1"/>
    <x v="8"/>
    <x v="13"/>
    <x v="7"/>
    <x v="4"/>
    <n v="80"/>
    <n v="4866.6666666666697"/>
    <n v="17520"/>
  </r>
  <r>
    <x v="0"/>
    <x v="0"/>
    <x v="0"/>
    <x v="3"/>
    <x v="4"/>
    <s v="LV_A1"/>
    <x v="8"/>
    <x v="13"/>
    <x v="7"/>
    <x v="5"/>
    <n v="80"/>
    <n v="4866.6666666666697"/>
    <n v="17520"/>
  </r>
  <r>
    <x v="0"/>
    <x v="0"/>
    <x v="0"/>
    <x v="3"/>
    <x v="4"/>
    <s v="LV_A1"/>
    <x v="8"/>
    <x v="13"/>
    <x v="7"/>
    <x v="6"/>
    <n v="80"/>
    <n v="4866.6666666666697"/>
    <n v="17520"/>
  </r>
  <r>
    <x v="0"/>
    <x v="0"/>
    <x v="0"/>
    <x v="3"/>
    <x v="4"/>
    <s v="LV_A1"/>
    <x v="8"/>
    <x v="13"/>
    <x v="7"/>
    <x v="7"/>
    <n v="80"/>
    <n v="4866.6666666666697"/>
    <n v="17520"/>
  </r>
  <r>
    <x v="0"/>
    <x v="0"/>
    <x v="0"/>
    <x v="3"/>
    <x v="4"/>
    <s v="LV_A1"/>
    <x v="8"/>
    <x v="13"/>
    <x v="7"/>
    <x v="8"/>
    <n v="80"/>
    <n v="4866.6666666666697"/>
    <n v="17520"/>
  </r>
  <r>
    <x v="0"/>
    <x v="0"/>
    <x v="0"/>
    <x v="3"/>
    <x v="4"/>
    <s v="LV_A1"/>
    <x v="8"/>
    <x v="13"/>
    <x v="7"/>
    <x v="9"/>
    <n v="80"/>
    <n v="4866.6666666666697"/>
    <n v="17520"/>
  </r>
  <r>
    <x v="0"/>
    <x v="0"/>
    <x v="0"/>
    <x v="3"/>
    <x v="4"/>
    <s v="LV_A1"/>
    <x v="8"/>
    <x v="13"/>
    <x v="7"/>
    <x v="10"/>
    <n v="80"/>
    <n v="4866.6666666666697"/>
    <n v="17520"/>
  </r>
  <r>
    <x v="0"/>
    <x v="0"/>
    <x v="0"/>
    <x v="3"/>
    <x v="4"/>
    <s v="LV_A1"/>
    <x v="8"/>
    <x v="13"/>
    <x v="7"/>
    <x v="11"/>
    <n v="80"/>
    <n v="4866.6666666666697"/>
    <n v="17520"/>
  </r>
  <r>
    <x v="0"/>
    <x v="0"/>
    <x v="0"/>
    <x v="3"/>
    <x v="4"/>
    <s v="LV_A1"/>
    <x v="8"/>
    <x v="13"/>
    <x v="8"/>
    <x v="0"/>
    <n v="80"/>
    <n v="4866.6666666666697"/>
    <n v="17520"/>
  </r>
  <r>
    <x v="0"/>
    <x v="0"/>
    <x v="0"/>
    <x v="3"/>
    <x v="4"/>
    <s v="LV_A1"/>
    <x v="8"/>
    <x v="13"/>
    <x v="8"/>
    <x v="1"/>
    <n v="80"/>
    <n v="4866.6666666666697"/>
    <n v="17520"/>
  </r>
  <r>
    <x v="0"/>
    <x v="0"/>
    <x v="0"/>
    <x v="3"/>
    <x v="4"/>
    <s v="LV_A1"/>
    <x v="8"/>
    <x v="13"/>
    <x v="8"/>
    <x v="7"/>
    <n v="20.122794535942301"/>
    <n v="1224.13666760316"/>
    <n v="4406.8920033713703"/>
  </r>
  <r>
    <x v="0"/>
    <x v="0"/>
    <x v="0"/>
    <x v="3"/>
    <x v="4"/>
    <s v="LV_A1"/>
    <x v="8"/>
    <x v="13"/>
    <x v="9"/>
    <x v="1"/>
    <n v="71.348125887418803"/>
    <n v="4340.3443248179801"/>
    <n v="15625.2395693447"/>
  </r>
  <r>
    <x v="0"/>
    <x v="0"/>
    <x v="0"/>
    <x v="3"/>
    <x v="4"/>
    <s v="LV_A1"/>
    <x v="8"/>
    <x v="13"/>
    <x v="9"/>
    <x v="3"/>
    <n v="3.1968364762866801"/>
    <n v="194.474218974107"/>
    <n v="700.107188306784"/>
  </r>
  <r>
    <x v="0"/>
    <x v="0"/>
    <x v="0"/>
    <x v="3"/>
    <x v="4"/>
    <s v="LV_A1"/>
    <x v="8"/>
    <x v="13"/>
    <x v="9"/>
    <x v="4"/>
    <n v="32.372384520355503"/>
    <n v="1969.3200583216301"/>
    <n v="7089.5522099578602"/>
  </r>
  <r>
    <x v="0"/>
    <x v="0"/>
    <x v="0"/>
    <x v="3"/>
    <x v="4"/>
    <s v="LV_A1"/>
    <x v="8"/>
    <x v="13"/>
    <x v="10"/>
    <x v="0"/>
    <n v="80"/>
    <n v="4866.6666666666697"/>
    <n v="17520"/>
  </r>
  <r>
    <x v="0"/>
    <x v="0"/>
    <x v="0"/>
    <x v="3"/>
    <x v="4"/>
    <s v="LV_A1"/>
    <x v="8"/>
    <x v="13"/>
    <x v="10"/>
    <x v="1"/>
    <n v="80"/>
    <n v="4866.6666666666697"/>
    <n v="17520"/>
  </r>
  <r>
    <x v="0"/>
    <x v="0"/>
    <x v="0"/>
    <x v="3"/>
    <x v="4"/>
    <s v="LV_A1"/>
    <x v="8"/>
    <x v="13"/>
    <x v="10"/>
    <x v="2"/>
    <n v="80"/>
    <n v="4866.6666666666697"/>
    <n v="17520"/>
  </r>
  <r>
    <x v="0"/>
    <x v="0"/>
    <x v="0"/>
    <x v="3"/>
    <x v="4"/>
    <s v="LV_A1"/>
    <x v="8"/>
    <x v="13"/>
    <x v="10"/>
    <x v="3"/>
    <n v="67.320240170970607"/>
    <n v="4095.3146104007101"/>
    <n v="14743.1325974426"/>
  </r>
  <r>
    <x v="0"/>
    <x v="0"/>
    <x v="0"/>
    <x v="3"/>
    <x v="4"/>
    <s v="LV_A1"/>
    <x v="8"/>
    <x v="13"/>
    <x v="11"/>
    <x v="0"/>
    <n v="80"/>
    <n v="4866.6666666666697"/>
    <n v="17520"/>
  </r>
  <r>
    <x v="0"/>
    <x v="0"/>
    <x v="0"/>
    <x v="3"/>
    <x v="4"/>
    <s v="LV_A1"/>
    <x v="8"/>
    <x v="13"/>
    <x v="11"/>
    <x v="1"/>
    <n v="80"/>
    <n v="4866.6666666666697"/>
    <n v="17520"/>
  </r>
  <r>
    <x v="0"/>
    <x v="0"/>
    <x v="0"/>
    <x v="3"/>
    <x v="4"/>
    <s v="LV_A1"/>
    <x v="8"/>
    <x v="13"/>
    <x v="11"/>
    <x v="2"/>
    <n v="80"/>
    <n v="4866.6666666666697"/>
    <n v="17520"/>
  </r>
  <r>
    <x v="0"/>
    <x v="0"/>
    <x v="0"/>
    <x v="3"/>
    <x v="4"/>
    <s v="LV_A1"/>
    <x v="8"/>
    <x v="13"/>
    <x v="11"/>
    <x v="3"/>
    <n v="80"/>
    <n v="4866.6666666666697"/>
    <n v="17520"/>
  </r>
  <r>
    <x v="0"/>
    <x v="0"/>
    <x v="0"/>
    <x v="3"/>
    <x v="4"/>
    <s v="LV_A1"/>
    <x v="8"/>
    <x v="13"/>
    <x v="11"/>
    <x v="4"/>
    <n v="80"/>
    <n v="4866.6666666666697"/>
    <n v="17520"/>
  </r>
  <r>
    <x v="0"/>
    <x v="0"/>
    <x v="0"/>
    <x v="3"/>
    <x v="4"/>
    <s v="LV_A1"/>
    <x v="8"/>
    <x v="13"/>
    <x v="11"/>
    <x v="5"/>
    <n v="80"/>
    <n v="4866.6666666666697"/>
    <n v="17520"/>
  </r>
  <r>
    <x v="0"/>
    <x v="0"/>
    <x v="0"/>
    <x v="3"/>
    <x v="4"/>
    <s v="LV_A1"/>
    <x v="4"/>
    <x v="14"/>
    <x v="0"/>
    <x v="0"/>
    <n v="17"/>
    <n v="1034.1666666666699"/>
    <n v="3723"/>
  </r>
  <r>
    <x v="0"/>
    <x v="0"/>
    <x v="0"/>
    <x v="3"/>
    <x v="4"/>
    <s v="LV_A1"/>
    <x v="4"/>
    <x v="14"/>
    <x v="0"/>
    <x v="1"/>
    <n v="17"/>
    <n v="1034.1666666666699"/>
    <n v="3723"/>
  </r>
  <r>
    <x v="0"/>
    <x v="0"/>
    <x v="0"/>
    <x v="3"/>
    <x v="4"/>
    <s v="LV_A1"/>
    <x v="4"/>
    <x v="14"/>
    <x v="0"/>
    <x v="2"/>
    <n v="17"/>
    <n v="1034.1666666666699"/>
    <n v="3723"/>
  </r>
  <r>
    <x v="0"/>
    <x v="0"/>
    <x v="0"/>
    <x v="3"/>
    <x v="4"/>
    <s v="LV_A1"/>
    <x v="4"/>
    <x v="14"/>
    <x v="0"/>
    <x v="3"/>
    <n v="17"/>
    <n v="1034.1666666666699"/>
    <n v="3723"/>
  </r>
  <r>
    <x v="0"/>
    <x v="0"/>
    <x v="0"/>
    <x v="3"/>
    <x v="4"/>
    <s v="LV_A1"/>
    <x v="4"/>
    <x v="14"/>
    <x v="0"/>
    <x v="4"/>
    <n v="17"/>
    <n v="1034.1666666666699"/>
    <n v="3723"/>
  </r>
  <r>
    <x v="0"/>
    <x v="0"/>
    <x v="0"/>
    <x v="3"/>
    <x v="4"/>
    <s v="LV_A1"/>
    <x v="4"/>
    <x v="14"/>
    <x v="0"/>
    <x v="5"/>
    <n v="17"/>
    <n v="1034.1666666666699"/>
    <n v="3723"/>
  </r>
  <r>
    <x v="0"/>
    <x v="0"/>
    <x v="0"/>
    <x v="3"/>
    <x v="4"/>
    <s v="LV_A1"/>
    <x v="4"/>
    <x v="14"/>
    <x v="0"/>
    <x v="6"/>
    <n v="17"/>
    <n v="1034.1666666666699"/>
    <n v="3723"/>
  </r>
  <r>
    <x v="0"/>
    <x v="0"/>
    <x v="0"/>
    <x v="3"/>
    <x v="4"/>
    <s v="LV_A1"/>
    <x v="4"/>
    <x v="14"/>
    <x v="0"/>
    <x v="7"/>
    <n v="17"/>
    <n v="1034.1666666666699"/>
    <n v="3723"/>
  </r>
  <r>
    <x v="0"/>
    <x v="0"/>
    <x v="0"/>
    <x v="3"/>
    <x v="4"/>
    <s v="LV_A1"/>
    <x v="4"/>
    <x v="14"/>
    <x v="0"/>
    <x v="8"/>
    <n v="17"/>
    <n v="1034.1666666666699"/>
    <n v="3723"/>
  </r>
  <r>
    <x v="0"/>
    <x v="0"/>
    <x v="0"/>
    <x v="3"/>
    <x v="4"/>
    <s v="LV_A1"/>
    <x v="4"/>
    <x v="14"/>
    <x v="0"/>
    <x v="9"/>
    <n v="17"/>
    <n v="1034.1666666666699"/>
    <n v="3723"/>
  </r>
  <r>
    <x v="0"/>
    <x v="0"/>
    <x v="0"/>
    <x v="3"/>
    <x v="4"/>
    <s v="LV_A1"/>
    <x v="4"/>
    <x v="14"/>
    <x v="0"/>
    <x v="10"/>
    <n v="17"/>
    <n v="1034.1666666666699"/>
    <n v="3723"/>
  </r>
  <r>
    <x v="0"/>
    <x v="0"/>
    <x v="0"/>
    <x v="3"/>
    <x v="4"/>
    <s v="LV_A1"/>
    <x v="4"/>
    <x v="14"/>
    <x v="0"/>
    <x v="11"/>
    <n v="17"/>
    <n v="1034.1666666666699"/>
    <n v="3723"/>
  </r>
  <r>
    <x v="0"/>
    <x v="0"/>
    <x v="0"/>
    <x v="3"/>
    <x v="4"/>
    <s v="LV_A1"/>
    <x v="4"/>
    <x v="14"/>
    <x v="1"/>
    <x v="0"/>
    <n v="17"/>
    <n v="1034.1666666666699"/>
    <n v="3723"/>
  </r>
  <r>
    <x v="0"/>
    <x v="0"/>
    <x v="0"/>
    <x v="3"/>
    <x v="4"/>
    <s v="LV_A1"/>
    <x v="4"/>
    <x v="14"/>
    <x v="1"/>
    <x v="1"/>
    <n v="17"/>
    <n v="1034.1666666666699"/>
    <n v="3723"/>
  </r>
  <r>
    <x v="0"/>
    <x v="0"/>
    <x v="0"/>
    <x v="3"/>
    <x v="4"/>
    <s v="LV_A1"/>
    <x v="4"/>
    <x v="14"/>
    <x v="1"/>
    <x v="2"/>
    <n v="17"/>
    <n v="1034.1666666666699"/>
    <n v="3723"/>
  </r>
  <r>
    <x v="0"/>
    <x v="0"/>
    <x v="0"/>
    <x v="3"/>
    <x v="4"/>
    <s v="LV_A1"/>
    <x v="4"/>
    <x v="14"/>
    <x v="1"/>
    <x v="3"/>
    <n v="17"/>
    <n v="1034.1666666666699"/>
    <n v="3723"/>
  </r>
  <r>
    <x v="0"/>
    <x v="0"/>
    <x v="0"/>
    <x v="3"/>
    <x v="4"/>
    <s v="LV_A1"/>
    <x v="4"/>
    <x v="14"/>
    <x v="1"/>
    <x v="4"/>
    <n v="17"/>
    <n v="1034.1666666666699"/>
    <n v="3723"/>
  </r>
  <r>
    <x v="0"/>
    <x v="0"/>
    <x v="0"/>
    <x v="3"/>
    <x v="4"/>
    <s v="LV_A1"/>
    <x v="4"/>
    <x v="14"/>
    <x v="1"/>
    <x v="5"/>
    <n v="17"/>
    <n v="1034.1666666666699"/>
    <n v="3723"/>
  </r>
  <r>
    <x v="0"/>
    <x v="0"/>
    <x v="0"/>
    <x v="3"/>
    <x v="4"/>
    <s v="LV_A1"/>
    <x v="4"/>
    <x v="14"/>
    <x v="1"/>
    <x v="6"/>
    <n v="17"/>
    <n v="1034.1666666666699"/>
    <n v="3723"/>
  </r>
  <r>
    <x v="0"/>
    <x v="0"/>
    <x v="0"/>
    <x v="3"/>
    <x v="4"/>
    <s v="LV_A1"/>
    <x v="4"/>
    <x v="14"/>
    <x v="1"/>
    <x v="7"/>
    <n v="17"/>
    <n v="1034.1666666666699"/>
    <n v="3723"/>
  </r>
  <r>
    <x v="0"/>
    <x v="0"/>
    <x v="0"/>
    <x v="3"/>
    <x v="4"/>
    <s v="LV_A1"/>
    <x v="4"/>
    <x v="14"/>
    <x v="1"/>
    <x v="8"/>
    <n v="17"/>
    <n v="1034.1666666666699"/>
    <n v="3723"/>
  </r>
  <r>
    <x v="0"/>
    <x v="0"/>
    <x v="0"/>
    <x v="3"/>
    <x v="4"/>
    <s v="LV_A1"/>
    <x v="4"/>
    <x v="14"/>
    <x v="1"/>
    <x v="9"/>
    <n v="17"/>
    <n v="1034.1666666666699"/>
    <n v="3723"/>
  </r>
  <r>
    <x v="0"/>
    <x v="0"/>
    <x v="0"/>
    <x v="3"/>
    <x v="4"/>
    <s v="LV_A1"/>
    <x v="4"/>
    <x v="14"/>
    <x v="1"/>
    <x v="10"/>
    <n v="17"/>
    <n v="1034.1666666666699"/>
    <n v="3723"/>
  </r>
  <r>
    <x v="0"/>
    <x v="0"/>
    <x v="0"/>
    <x v="3"/>
    <x v="4"/>
    <s v="LV_A1"/>
    <x v="4"/>
    <x v="14"/>
    <x v="1"/>
    <x v="11"/>
    <n v="17"/>
    <n v="1034.1666666666699"/>
    <n v="3723"/>
  </r>
  <r>
    <x v="0"/>
    <x v="0"/>
    <x v="0"/>
    <x v="3"/>
    <x v="4"/>
    <s v="LV_A1"/>
    <x v="4"/>
    <x v="14"/>
    <x v="2"/>
    <x v="0"/>
    <n v="17"/>
    <n v="1034.1666666666699"/>
    <n v="3723"/>
  </r>
  <r>
    <x v="0"/>
    <x v="0"/>
    <x v="0"/>
    <x v="3"/>
    <x v="4"/>
    <s v="LV_A1"/>
    <x v="4"/>
    <x v="14"/>
    <x v="2"/>
    <x v="1"/>
    <n v="17"/>
    <n v="1034.1666666666699"/>
    <n v="3723"/>
  </r>
  <r>
    <x v="0"/>
    <x v="0"/>
    <x v="0"/>
    <x v="3"/>
    <x v="4"/>
    <s v="LV_A1"/>
    <x v="4"/>
    <x v="14"/>
    <x v="2"/>
    <x v="2"/>
    <n v="17"/>
    <n v="1034.1666666666699"/>
    <n v="3723"/>
  </r>
  <r>
    <x v="0"/>
    <x v="0"/>
    <x v="0"/>
    <x v="3"/>
    <x v="4"/>
    <s v="LV_A1"/>
    <x v="4"/>
    <x v="14"/>
    <x v="2"/>
    <x v="3"/>
    <n v="17"/>
    <n v="1034.1666666666699"/>
    <n v="3723"/>
  </r>
  <r>
    <x v="0"/>
    <x v="0"/>
    <x v="0"/>
    <x v="3"/>
    <x v="4"/>
    <s v="LV_A1"/>
    <x v="4"/>
    <x v="14"/>
    <x v="2"/>
    <x v="4"/>
    <n v="17"/>
    <n v="1034.1666666666699"/>
    <n v="3723"/>
  </r>
  <r>
    <x v="0"/>
    <x v="0"/>
    <x v="0"/>
    <x v="3"/>
    <x v="4"/>
    <s v="LV_A1"/>
    <x v="4"/>
    <x v="14"/>
    <x v="2"/>
    <x v="5"/>
    <n v="17"/>
    <n v="1034.1666666666699"/>
    <n v="3723"/>
  </r>
  <r>
    <x v="0"/>
    <x v="0"/>
    <x v="0"/>
    <x v="3"/>
    <x v="4"/>
    <s v="LV_A1"/>
    <x v="4"/>
    <x v="14"/>
    <x v="2"/>
    <x v="6"/>
    <n v="17"/>
    <n v="1034.1666666666699"/>
    <n v="3723"/>
  </r>
  <r>
    <x v="0"/>
    <x v="0"/>
    <x v="0"/>
    <x v="3"/>
    <x v="4"/>
    <s v="LV_A1"/>
    <x v="4"/>
    <x v="14"/>
    <x v="2"/>
    <x v="7"/>
    <n v="17"/>
    <n v="1034.1666666666699"/>
    <n v="3723"/>
  </r>
  <r>
    <x v="0"/>
    <x v="0"/>
    <x v="0"/>
    <x v="3"/>
    <x v="4"/>
    <s v="LV_A1"/>
    <x v="4"/>
    <x v="14"/>
    <x v="2"/>
    <x v="8"/>
    <n v="17"/>
    <n v="1034.1666666666699"/>
    <n v="3723"/>
  </r>
  <r>
    <x v="0"/>
    <x v="0"/>
    <x v="0"/>
    <x v="3"/>
    <x v="4"/>
    <s v="LV_A1"/>
    <x v="4"/>
    <x v="14"/>
    <x v="2"/>
    <x v="9"/>
    <n v="17"/>
    <n v="1034.1666666666699"/>
    <n v="3723"/>
  </r>
  <r>
    <x v="0"/>
    <x v="0"/>
    <x v="0"/>
    <x v="3"/>
    <x v="4"/>
    <s v="LV_A1"/>
    <x v="4"/>
    <x v="14"/>
    <x v="2"/>
    <x v="10"/>
    <n v="17"/>
    <n v="1034.1666666666699"/>
    <n v="3723"/>
  </r>
  <r>
    <x v="0"/>
    <x v="0"/>
    <x v="0"/>
    <x v="3"/>
    <x v="4"/>
    <s v="LV_A1"/>
    <x v="4"/>
    <x v="14"/>
    <x v="2"/>
    <x v="11"/>
    <n v="17"/>
    <n v="1034.1666666666699"/>
    <n v="3723"/>
  </r>
  <r>
    <x v="0"/>
    <x v="0"/>
    <x v="0"/>
    <x v="3"/>
    <x v="4"/>
    <s v="LV_A1"/>
    <x v="4"/>
    <x v="14"/>
    <x v="3"/>
    <x v="0"/>
    <n v="17"/>
    <n v="1034.1666666666699"/>
    <n v="3723"/>
  </r>
  <r>
    <x v="0"/>
    <x v="0"/>
    <x v="0"/>
    <x v="3"/>
    <x v="4"/>
    <s v="LV_A1"/>
    <x v="4"/>
    <x v="14"/>
    <x v="3"/>
    <x v="1"/>
    <n v="17"/>
    <n v="1034.1666666666699"/>
    <n v="3723"/>
  </r>
  <r>
    <x v="0"/>
    <x v="0"/>
    <x v="0"/>
    <x v="3"/>
    <x v="4"/>
    <s v="LV_A1"/>
    <x v="4"/>
    <x v="14"/>
    <x v="3"/>
    <x v="2"/>
    <n v="17"/>
    <n v="1034.1666666666699"/>
    <n v="3723"/>
  </r>
  <r>
    <x v="0"/>
    <x v="0"/>
    <x v="0"/>
    <x v="3"/>
    <x v="4"/>
    <s v="LV_A1"/>
    <x v="4"/>
    <x v="14"/>
    <x v="3"/>
    <x v="3"/>
    <n v="17"/>
    <n v="1034.1666666666699"/>
    <n v="3723"/>
  </r>
  <r>
    <x v="0"/>
    <x v="0"/>
    <x v="0"/>
    <x v="3"/>
    <x v="4"/>
    <s v="LV_A1"/>
    <x v="4"/>
    <x v="14"/>
    <x v="3"/>
    <x v="4"/>
    <n v="17"/>
    <n v="1034.1666666666699"/>
    <n v="3723"/>
  </r>
  <r>
    <x v="0"/>
    <x v="0"/>
    <x v="0"/>
    <x v="3"/>
    <x v="4"/>
    <s v="LV_A1"/>
    <x v="4"/>
    <x v="14"/>
    <x v="3"/>
    <x v="5"/>
    <n v="17"/>
    <n v="1034.1666666666699"/>
    <n v="3723"/>
  </r>
  <r>
    <x v="0"/>
    <x v="0"/>
    <x v="0"/>
    <x v="3"/>
    <x v="4"/>
    <s v="LV_A1"/>
    <x v="4"/>
    <x v="14"/>
    <x v="3"/>
    <x v="6"/>
    <n v="17"/>
    <n v="1034.1666666666699"/>
    <n v="3723"/>
  </r>
  <r>
    <x v="0"/>
    <x v="0"/>
    <x v="0"/>
    <x v="3"/>
    <x v="4"/>
    <s v="LV_A1"/>
    <x v="4"/>
    <x v="14"/>
    <x v="3"/>
    <x v="7"/>
    <n v="17"/>
    <n v="1034.1666666666699"/>
    <n v="3723"/>
  </r>
  <r>
    <x v="0"/>
    <x v="0"/>
    <x v="0"/>
    <x v="3"/>
    <x v="4"/>
    <s v="LV_A1"/>
    <x v="4"/>
    <x v="14"/>
    <x v="3"/>
    <x v="8"/>
    <n v="17"/>
    <n v="1034.1666666666699"/>
    <n v="3723"/>
  </r>
  <r>
    <x v="0"/>
    <x v="0"/>
    <x v="0"/>
    <x v="3"/>
    <x v="4"/>
    <s v="LV_A1"/>
    <x v="4"/>
    <x v="14"/>
    <x v="3"/>
    <x v="9"/>
    <n v="17"/>
    <n v="1034.1666666666699"/>
    <n v="3723"/>
  </r>
  <r>
    <x v="0"/>
    <x v="0"/>
    <x v="0"/>
    <x v="3"/>
    <x v="4"/>
    <s v="LV_A1"/>
    <x v="4"/>
    <x v="14"/>
    <x v="3"/>
    <x v="10"/>
    <n v="17"/>
    <n v="1034.1666666666699"/>
    <n v="3723"/>
  </r>
  <r>
    <x v="0"/>
    <x v="0"/>
    <x v="0"/>
    <x v="3"/>
    <x v="4"/>
    <s v="LV_A1"/>
    <x v="4"/>
    <x v="14"/>
    <x v="3"/>
    <x v="11"/>
    <n v="17"/>
    <n v="1034.1666666666699"/>
    <n v="3723"/>
  </r>
  <r>
    <x v="0"/>
    <x v="0"/>
    <x v="0"/>
    <x v="3"/>
    <x v="4"/>
    <s v="LV_A1"/>
    <x v="4"/>
    <x v="14"/>
    <x v="4"/>
    <x v="0"/>
    <n v="17"/>
    <n v="1034.1666666666699"/>
    <n v="3723"/>
  </r>
  <r>
    <x v="0"/>
    <x v="0"/>
    <x v="0"/>
    <x v="3"/>
    <x v="4"/>
    <s v="LV_A1"/>
    <x v="4"/>
    <x v="14"/>
    <x v="4"/>
    <x v="1"/>
    <n v="17"/>
    <n v="1034.1666666666699"/>
    <n v="3723"/>
  </r>
  <r>
    <x v="0"/>
    <x v="0"/>
    <x v="0"/>
    <x v="3"/>
    <x v="4"/>
    <s v="LV_A1"/>
    <x v="4"/>
    <x v="14"/>
    <x v="4"/>
    <x v="2"/>
    <n v="17"/>
    <n v="1034.1666666666699"/>
    <n v="3723"/>
  </r>
  <r>
    <x v="0"/>
    <x v="0"/>
    <x v="0"/>
    <x v="3"/>
    <x v="4"/>
    <s v="LV_A1"/>
    <x v="4"/>
    <x v="14"/>
    <x v="4"/>
    <x v="3"/>
    <n v="17"/>
    <n v="1034.1666666666699"/>
    <n v="3723"/>
  </r>
  <r>
    <x v="0"/>
    <x v="0"/>
    <x v="0"/>
    <x v="3"/>
    <x v="4"/>
    <s v="LV_A1"/>
    <x v="4"/>
    <x v="14"/>
    <x v="4"/>
    <x v="4"/>
    <n v="17"/>
    <n v="1034.1666666666699"/>
    <n v="3723"/>
  </r>
  <r>
    <x v="0"/>
    <x v="0"/>
    <x v="0"/>
    <x v="3"/>
    <x v="4"/>
    <s v="LV_A1"/>
    <x v="4"/>
    <x v="14"/>
    <x v="4"/>
    <x v="5"/>
    <n v="17"/>
    <n v="1034.1666666666699"/>
    <n v="3723"/>
  </r>
  <r>
    <x v="0"/>
    <x v="0"/>
    <x v="0"/>
    <x v="3"/>
    <x v="4"/>
    <s v="LV_A1"/>
    <x v="4"/>
    <x v="14"/>
    <x v="4"/>
    <x v="6"/>
    <n v="17"/>
    <n v="1034.1666666666699"/>
    <n v="3723"/>
  </r>
  <r>
    <x v="0"/>
    <x v="0"/>
    <x v="0"/>
    <x v="3"/>
    <x v="4"/>
    <s v="LV_A1"/>
    <x v="4"/>
    <x v="14"/>
    <x v="4"/>
    <x v="7"/>
    <n v="17"/>
    <n v="1034.1666666666699"/>
    <n v="3723"/>
  </r>
  <r>
    <x v="0"/>
    <x v="0"/>
    <x v="0"/>
    <x v="3"/>
    <x v="4"/>
    <s v="LV_A1"/>
    <x v="4"/>
    <x v="14"/>
    <x v="4"/>
    <x v="8"/>
    <n v="17"/>
    <n v="1034.1666666666699"/>
    <n v="3723"/>
  </r>
  <r>
    <x v="0"/>
    <x v="0"/>
    <x v="0"/>
    <x v="3"/>
    <x v="4"/>
    <s v="LV_A1"/>
    <x v="4"/>
    <x v="14"/>
    <x v="4"/>
    <x v="9"/>
    <n v="17"/>
    <n v="1034.1666666666699"/>
    <n v="3723"/>
  </r>
  <r>
    <x v="0"/>
    <x v="0"/>
    <x v="0"/>
    <x v="3"/>
    <x v="4"/>
    <s v="LV_A1"/>
    <x v="4"/>
    <x v="14"/>
    <x v="4"/>
    <x v="10"/>
    <n v="17"/>
    <n v="1034.1666666666699"/>
    <n v="3723"/>
  </r>
  <r>
    <x v="0"/>
    <x v="0"/>
    <x v="0"/>
    <x v="3"/>
    <x v="4"/>
    <s v="LV_A1"/>
    <x v="4"/>
    <x v="14"/>
    <x v="4"/>
    <x v="11"/>
    <n v="17"/>
    <n v="1034.1666666666699"/>
    <n v="3723"/>
  </r>
  <r>
    <x v="0"/>
    <x v="0"/>
    <x v="0"/>
    <x v="3"/>
    <x v="4"/>
    <s v="LV_A1"/>
    <x v="4"/>
    <x v="14"/>
    <x v="5"/>
    <x v="0"/>
    <n v="17"/>
    <n v="1034.1666666666699"/>
    <n v="3723"/>
  </r>
  <r>
    <x v="0"/>
    <x v="0"/>
    <x v="0"/>
    <x v="3"/>
    <x v="4"/>
    <s v="LV_A1"/>
    <x v="4"/>
    <x v="14"/>
    <x v="5"/>
    <x v="1"/>
    <n v="17"/>
    <n v="1034.1666666666699"/>
    <n v="3723"/>
  </r>
  <r>
    <x v="0"/>
    <x v="0"/>
    <x v="0"/>
    <x v="3"/>
    <x v="4"/>
    <s v="LV_A1"/>
    <x v="4"/>
    <x v="14"/>
    <x v="5"/>
    <x v="2"/>
    <n v="17"/>
    <n v="1034.1666666666699"/>
    <n v="3723"/>
  </r>
  <r>
    <x v="0"/>
    <x v="0"/>
    <x v="0"/>
    <x v="3"/>
    <x v="4"/>
    <s v="LV_A1"/>
    <x v="4"/>
    <x v="14"/>
    <x v="5"/>
    <x v="3"/>
    <n v="17"/>
    <n v="1034.1666666666699"/>
    <n v="3723"/>
  </r>
  <r>
    <x v="0"/>
    <x v="0"/>
    <x v="0"/>
    <x v="3"/>
    <x v="4"/>
    <s v="LV_A1"/>
    <x v="4"/>
    <x v="14"/>
    <x v="5"/>
    <x v="4"/>
    <n v="17"/>
    <n v="1034.1666666666699"/>
    <n v="3723"/>
  </r>
  <r>
    <x v="0"/>
    <x v="0"/>
    <x v="0"/>
    <x v="3"/>
    <x v="4"/>
    <s v="LV_A1"/>
    <x v="4"/>
    <x v="14"/>
    <x v="5"/>
    <x v="5"/>
    <n v="17"/>
    <n v="1034.1666666666699"/>
    <n v="3723"/>
  </r>
  <r>
    <x v="0"/>
    <x v="0"/>
    <x v="0"/>
    <x v="3"/>
    <x v="4"/>
    <s v="LV_A1"/>
    <x v="4"/>
    <x v="14"/>
    <x v="5"/>
    <x v="6"/>
    <n v="17"/>
    <n v="1034.1666666666699"/>
    <n v="3723"/>
  </r>
  <r>
    <x v="0"/>
    <x v="0"/>
    <x v="0"/>
    <x v="3"/>
    <x v="4"/>
    <s v="LV_A1"/>
    <x v="4"/>
    <x v="14"/>
    <x v="5"/>
    <x v="7"/>
    <n v="17"/>
    <n v="1034.1666666666699"/>
    <n v="3723"/>
  </r>
  <r>
    <x v="0"/>
    <x v="0"/>
    <x v="0"/>
    <x v="3"/>
    <x v="4"/>
    <s v="LV_A1"/>
    <x v="4"/>
    <x v="14"/>
    <x v="5"/>
    <x v="8"/>
    <n v="17"/>
    <n v="1034.1666666666699"/>
    <n v="3723"/>
  </r>
  <r>
    <x v="0"/>
    <x v="0"/>
    <x v="0"/>
    <x v="3"/>
    <x v="4"/>
    <s v="LV_A1"/>
    <x v="4"/>
    <x v="14"/>
    <x v="5"/>
    <x v="9"/>
    <n v="17"/>
    <n v="1034.1666666666699"/>
    <n v="3723"/>
  </r>
  <r>
    <x v="0"/>
    <x v="0"/>
    <x v="0"/>
    <x v="3"/>
    <x v="4"/>
    <s v="LV_A1"/>
    <x v="4"/>
    <x v="14"/>
    <x v="5"/>
    <x v="10"/>
    <n v="17"/>
    <n v="1034.1666666666699"/>
    <n v="3723"/>
  </r>
  <r>
    <x v="0"/>
    <x v="0"/>
    <x v="0"/>
    <x v="3"/>
    <x v="4"/>
    <s v="LV_A1"/>
    <x v="4"/>
    <x v="14"/>
    <x v="5"/>
    <x v="11"/>
    <n v="17"/>
    <n v="1034.1666666666699"/>
    <n v="3723"/>
  </r>
  <r>
    <x v="0"/>
    <x v="0"/>
    <x v="0"/>
    <x v="3"/>
    <x v="4"/>
    <s v="LV_A1"/>
    <x v="4"/>
    <x v="14"/>
    <x v="6"/>
    <x v="0"/>
    <n v="17"/>
    <n v="1034.1666666666699"/>
    <n v="3723"/>
  </r>
  <r>
    <x v="0"/>
    <x v="0"/>
    <x v="0"/>
    <x v="3"/>
    <x v="4"/>
    <s v="LV_A1"/>
    <x v="4"/>
    <x v="14"/>
    <x v="6"/>
    <x v="1"/>
    <n v="17"/>
    <n v="1034.1666666666699"/>
    <n v="3723"/>
  </r>
  <r>
    <x v="0"/>
    <x v="0"/>
    <x v="0"/>
    <x v="3"/>
    <x v="4"/>
    <s v="LV_A1"/>
    <x v="4"/>
    <x v="14"/>
    <x v="6"/>
    <x v="2"/>
    <n v="17"/>
    <n v="1034.1666666666699"/>
    <n v="3723"/>
  </r>
  <r>
    <x v="0"/>
    <x v="0"/>
    <x v="0"/>
    <x v="3"/>
    <x v="4"/>
    <s v="LV_A1"/>
    <x v="4"/>
    <x v="14"/>
    <x v="6"/>
    <x v="3"/>
    <n v="17"/>
    <n v="1034.1666666666699"/>
    <n v="3723"/>
  </r>
  <r>
    <x v="0"/>
    <x v="0"/>
    <x v="0"/>
    <x v="3"/>
    <x v="4"/>
    <s v="LV_A1"/>
    <x v="4"/>
    <x v="14"/>
    <x v="6"/>
    <x v="4"/>
    <n v="17"/>
    <n v="1034.1666666666699"/>
    <n v="3723"/>
  </r>
  <r>
    <x v="0"/>
    <x v="0"/>
    <x v="0"/>
    <x v="3"/>
    <x v="4"/>
    <s v="LV_A1"/>
    <x v="4"/>
    <x v="14"/>
    <x v="6"/>
    <x v="5"/>
    <n v="17"/>
    <n v="1034.1666666666699"/>
    <n v="3723"/>
  </r>
  <r>
    <x v="0"/>
    <x v="0"/>
    <x v="0"/>
    <x v="3"/>
    <x v="4"/>
    <s v="LV_A1"/>
    <x v="4"/>
    <x v="14"/>
    <x v="6"/>
    <x v="6"/>
    <n v="17"/>
    <n v="1034.1666666666699"/>
    <n v="3723"/>
  </r>
  <r>
    <x v="0"/>
    <x v="0"/>
    <x v="0"/>
    <x v="3"/>
    <x v="4"/>
    <s v="LV_A1"/>
    <x v="4"/>
    <x v="14"/>
    <x v="6"/>
    <x v="7"/>
    <n v="17"/>
    <n v="1034.1666666666699"/>
    <n v="3723"/>
  </r>
  <r>
    <x v="0"/>
    <x v="0"/>
    <x v="0"/>
    <x v="3"/>
    <x v="4"/>
    <s v="LV_A1"/>
    <x v="4"/>
    <x v="14"/>
    <x v="6"/>
    <x v="8"/>
    <n v="17"/>
    <n v="1034.1666666666699"/>
    <n v="3723"/>
  </r>
  <r>
    <x v="0"/>
    <x v="0"/>
    <x v="0"/>
    <x v="3"/>
    <x v="4"/>
    <s v="LV_A1"/>
    <x v="4"/>
    <x v="14"/>
    <x v="6"/>
    <x v="9"/>
    <n v="17"/>
    <n v="1034.1666666666699"/>
    <n v="3723"/>
  </r>
  <r>
    <x v="0"/>
    <x v="0"/>
    <x v="0"/>
    <x v="3"/>
    <x v="4"/>
    <s v="LV_A1"/>
    <x v="4"/>
    <x v="14"/>
    <x v="6"/>
    <x v="10"/>
    <n v="17"/>
    <n v="1034.1666666666699"/>
    <n v="3723"/>
  </r>
  <r>
    <x v="0"/>
    <x v="0"/>
    <x v="0"/>
    <x v="3"/>
    <x v="4"/>
    <s v="LV_A1"/>
    <x v="4"/>
    <x v="14"/>
    <x v="6"/>
    <x v="11"/>
    <n v="17"/>
    <n v="1034.1666666666699"/>
    <n v="3723"/>
  </r>
  <r>
    <x v="0"/>
    <x v="0"/>
    <x v="0"/>
    <x v="3"/>
    <x v="4"/>
    <s v="LV_A1"/>
    <x v="4"/>
    <x v="14"/>
    <x v="7"/>
    <x v="0"/>
    <n v="17"/>
    <n v="1034.1666666666699"/>
    <n v="3723"/>
  </r>
  <r>
    <x v="0"/>
    <x v="0"/>
    <x v="0"/>
    <x v="3"/>
    <x v="4"/>
    <s v="LV_A1"/>
    <x v="4"/>
    <x v="14"/>
    <x v="7"/>
    <x v="1"/>
    <n v="17"/>
    <n v="1034.1666666666699"/>
    <n v="3723"/>
  </r>
  <r>
    <x v="0"/>
    <x v="0"/>
    <x v="0"/>
    <x v="3"/>
    <x v="4"/>
    <s v="LV_A1"/>
    <x v="4"/>
    <x v="14"/>
    <x v="7"/>
    <x v="2"/>
    <n v="17"/>
    <n v="1034.1666666666699"/>
    <n v="3723"/>
  </r>
  <r>
    <x v="0"/>
    <x v="0"/>
    <x v="0"/>
    <x v="3"/>
    <x v="4"/>
    <s v="LV_A1"/>
    <x v="4"/>
    <x v="14"/>
    <x v="7"/>
    <x v="3"/>
    <n v="17"/>
    <n v="1034.1666666666699"/>
    <n v="3723"/>
  </r>
  <r>
    <x v="0"/>
    <x v="0"/>
    <x v="0"/>
    <x v="3"/>
    <x v="4"/>
    <s v="LV_A1"/>
    <x v="4"/>
    <x v="14"/>
    <x v="7"/>
    <x v="4"/>
    <n v="17"/>
    <n v="1034.1666666666699"/>
    <n v="3723"/>
  </r>
  <r>
    <x v="0"/>
    <x v="0"/>
    <x v="0"/>
    <x v="3"/>
    <x v="4"/>
    <s v="LV_A1"/>
    <x v="4"/>
    <x v="14"/>
    <x v="7"/>
    <x v="5"/>
    <n v="17"/>
    <n v="1034.1666666666699"/>
    <n v="3723"/>
  </r>
  <r>
    <x v="0"/>
    <x v="0"/>
    <x v="0"/>
    <x v="3"/>
    <x v="4"/>
    <s v="LV_A1"/>
    <x v="4"/>
    <x v="14"/>
    <x v="7"/>
    <x v="6"/>
    <n v="17"/>
    <n v="1034.1666666666699"/>
    <n v="3723"/>
  </r>
  <r>
    <x v="0"/>
    <x v="0"/>
    <x v="0"/>
    <x v="3"/>
    <x v="4"/>
    <s v="LV_A1"/>
    <x v="4"/>
    <x v="14"/>
    <x v="7"/>
    <x v="7"/>
    <n v="17"/>
    <n v="1034.1666666666699"/>
    <n v="3723"/>
  </r>
  <r>
    <x v="0"/>
    <x v="0"/>
    <x v="0"/>
    <x v="3"/>
    <x v="4"/>
    <s v="LV_A1"/>
    <x v="4"/>
    <x v="14"/>
    <x v="7"/>
    <x v="8"/>
    <n v="17"/>
    <n v="1034.1666666666699"/>
    <n v="3723"/>
  </r>
  <r>
    <x v="0"/>
    <x v="0"/>
    <x v="0"/>
    <x v="3"/>
    <x v="4"/>
    <s v="LV_A1"/>
    <x v="4"/>
    <x v="14"/>
    <x v="7"/>
    <x v="9"/>
    <n v="17"/>
    <n v="1034.1666666666699"/>
    <n v="3723"/>
  </r>
  <r>
    <x v="0"/>
    <x v="0"/>
    <x v="0"/>
    <x v="3"/>
    <x v="4"/>
    <s v="LV_A1"/>
    <x v="4"/>
    <x v="14"/>
    <x v="7"/>
    <x v="10"/>
    <n v="17"/>
    <n v="1034.1666666666699"/>
    <n v="3723"/>
  </r>
  <r>
    <x v="0"/>
    <x v="0"/>
    <x v="0"/>
    <x v="3"/>
    <x v="4"/>
    <s v="LV_A1"/>
    <x v="4"/>
    <x v="14"/>
    <x v="7"/>
    <x v="11"/>
    <n v="17"/>
    <n v="1034.1666666666699"/>
    <n v="3723"/>
  </r>
  <r>
    <x v="0"/>
    <x v="0"/>
    <x v="0"/>
    <x v="3"/>
    <x v="4"/>
    <s v="LV_A1"/>
    <x v="4"/>
    <x v="14"/>
    <x v="8"/>
    <x v="0"/>
    <n v="17"/>
    <n v="1034.1666666666699"/>
    <n v="3723"/>
  </r>
  <r>
    <x v="0"/>
    <x v="0"/>
    <x v="0"/>
    <x v="3"/>
    <x v="4"/>
    <s v="LV_A1"/>
    <x v="4"/>
    <x v="14"/>
    <x v="8"/>
    <x v="1"/>
    <n v="17"/>
    <n v="1034.1666666666699"/>
    <n v="3723"/>
  </r>
  <r>
    <x v="0"/>
    <x v="0"/>
    <x v="0"/>
    <x v="3"/>
    <x v="4"/>
    <s v="LV_A1"/>
    <x v="4"/>
    <x v="14"/>
    <x v="8"/>
    <x v="2"/>
    <n v="17"/>
    <n v="1034.1666666666699"/>
    <n v="3723"/>
  </r>
  <r>
    <x v="0"/>
    <x v="0"/>
    <x v="0"/>
    <x v="3"/>
    <x v="4"/>
    <s v="LV_A1"/>
    <x v="4"/>
    <x v="14"/>
    <x v="8"/>
    <x v="3"/>
    <n v="17"/>
    <n v="1034.1666666666699"/>
    <n v="3723"/>
  </r>
  <r>
    <x v="0"/>
    <x v="0"/>
    <x v="0"/>
    <x v="3"/>
    <x v="4"/>
    <s v="LV_A1"/>
    <x v="4"/>
    <x v="14"/>
    <x v="8"/>
    <x v="4"/>
    <n v="17"/>
    <n v="1034.1666666666699"/>
    <n v="3723"/>
  </r>
  <r>
    <x v="0"/>
    <x v="0"/>
    <x v="0"/>
    <x v="3"/>
    <x v="4"/>
    <s v="LV_A1"/>
    <x v="4"/>
    <x v="14"/>
    <x v="8"/>
    <x v="5"/>
    <n v="17"/>
    <n v="1034.1666666666699"/>
    <n v="3723"/>
  </r>
  <r>
    <x v="0"/>
    <x v="0"/>
    <x v="0"/>
    <x v="3"/>
    <x v="4"/>
    <s v="LV_A1"/>
    <x v="4"/>
    <x v="14"/>
    <x v="8"/>
    <x v="6"/>
    <n v="17"/>
    <n v="1034.1666666666699"/>
    <n v="3723"/>
  </r>
  <r>
    <x v="0"/>
    <x v="0"/>
    <x v="0"/>
    <x v="3"/>
    <x v="4"/>
    <s v="LV_A1"/>
    <x v="4"/>
    <x v="14"/>
    <x v="8"/>
    <x v="7"/>
    <n v="17"/>
    <n v="1034.1666666666699"/>
    <n v="3723"/>
  </r>
  <r>
    <x v="0"/>
    <x v="0"/>
    <x v="0"/>
    <x v="3"/>
    <x v="4"/>
    <s v="LV_A1"/>
    <x v="4"/>
    <x v="14"/>
    <x v="8"/>
    <x v="8"/>
    <n v="17"/>
    <n v="1034.1666666666699"/>
    <n v="3723"/>
  </r>
  <r>
    <x v="0"/>
    <x v="0"/>
    <x v="0"/>
    <x v="3"/>
    <x v="4"/>
    <s v="LV_A1"/>
    <x v="4"/>
    <x v="14"/>
    <x v="8"/>
    <x v="9"/>
    <n v="17"/>
    <n v="1034.1666666666699"/>
    <n v="3723"/>
  </r>
  <r>
    <x v="0"/>
    <x v="0"/>
    <x v="0"/>
    <x v="3"/>
    <x v="4"/>
    <s v="LV_A1"/>
    <x v="4"/>
    <x v="14"/>
    <x v="8"/>
    <x v="10"/>
    <n v="17"/>
    <n v="1034.1666666666699"/>
    <n v="3723"/>
  </r>
  <r>
    <x v="0"/>
    <x v="0"/>
    <x v="0"/>
    <x v="3"/>
    <x v="4"/>
    <s v="LV_A1"/>
    <x v="4"/>
    <x v="14"/>
    <x v="8"/>
    <x v="11"/>
    <n v="17"/>
    <n v="1034.1666666666699"/>
    <n v="3723"/>
  </r>
  <r>
    <x v="0"/>
    <x v="0"/>
    <x v="0"/>
    <x v="3"/>
    <x v="4"/>
    <s v="LV_A1"/>
    <x v="4"/>
    <x v="14"/>
    <x v="9"/>
    <x v="0"/>
    <n v="17"/>
    <n v="1034.1666666666699"/>
    <n v="3723"/>
  </r>
  <r>
    <x v="0"/>
    <x v="0"/>
    <x v="0"/>
    <x v="3"/>
    <x v="4"/>
    <s v="LV_A1"/>
    <x v="4"/>
    <x v="14"/>
    <x v="9"/>
    <x v="1"/>
    <n v="17"/>
    <n v="1034.1666666666699"/>
    <n v="3723"/>
  </r>
  <r>
    <x v="0"/>
    <x v="0"/>
    <x v="0"/>
    <x v="3"/>
    <x v="4"/>
    <s v="LV_A1"/>
    <x v="4"/>
    <x v="14"/>
    <x v="9"/>
    <x v="2"/>
    <n v="17"/>
    <n v="1034.1666666666699"/>
    <n v="3723"/>
  </r>
  <r>
    <x v="0"/>
    <x v="0"/>
    <x v="0"/>
    <x v="3"/>
    <x v="4"/>
    <s v="LV_A1"/>
    <x v="4"/>
    <x v="14"/>
    <x v="9"/>
    <x v="3"/>
    <n v="17"/>
    <n v="1034.1666666666699"/>
    <n v="3723"/>
  </r>
  <r>
    <x v="0"/>
    <x v="0"/>
    <x v="0"/>
    <x v="3"/>
    <x v="4"/>
    <s v="LV_A1"/>
    <x v="4"/>
    <x v="14"/>
    <x v="9"/>
    <x v="4"/>
    <n v="17"/>
    <n v="1034.1666666666699"/>
    <n v="3723"/>
  </r>
  <r>
    <x v="0"/>
    <x v="0"/>
    <x v="0"/>
    <x v="3"/>
    <x v="4"/>
    <s v="LV_A1"/>
    <x v="4"/>
    <x v="14"/>
    <x v="9"/>
    <x v="5"/>
    <n v="17"/>
    <n v="1034.1666666666699"/>
    <n v="3723"/>
  </r>
  <r>
    <x v="0"/>
    <x v="0"/>
    <x v="0"/>
    <x v="3"/>
    <x v="4"/>
    <s v="LV_A1"/>
    <x v="4"/>
    <x v="14"/>
    <x v="9"/>
    <x v="6"/>
    <n v="17"/>
    <n v="1034.1666666666699"/>
    <n v="3723"/>
  </r>
  <r>
    <x v="0"/>
    <x v="0"/>
    <x v="0"/>
    <x v="3"/>
    <x v="4"/>
    <s v="LV_A1"/>
    <x v="4"/>
    <x v="14"/>
    <x v="9"/>
    <x v="7"/>
    <n v="17"/>
    <n v="1034.1666666666699"/>
    <n v="3723"/>
  </r>
  <r>
    <x v="0"/>
    <x v="0"/>
    <x v="0"/>
    <x v="3"/>
    <x v="4"/>
    <s v="LV_A1"/>
    <x v="4"/>
    <x v="14"/>
    <x v="9"/>
    <x v="8"/>
    <n v="17"/>
    <n v="1034.1666666666699"/>
    <n v="3723"/>
  </r>
  <r>
    <x v="0"/>
    <x v="0"/>
    <x v="0"/>
    <x v="3"/>
    <x v="4"/>
    <s v="LV_A1"/>
    <x v="4"/>
    <x v="14"/>
    <x v="9"/>
    <x v="9"/>
    <n v="17"/>
    <n v="1034.1666666666699"/>
    <n v="3723"/>
  </r>
  <r>
    <x v="0"/>
    <x v="0"/>
    <x v="0"/>
    <x v="3"/>
    <x v="4"/>
    <s v="LV_A1"/>
    <x v="4"/>
    <x v="14"/>
    <x v="9"/>
    <x v="10"/>
    <n v="17"/>
    <n v="1034.1666666666699"/>
    <n v="3723"/>
  </r>
  <r>
    <x v="0"/>
    <x v="0"/>
    <x v="0"/>
    <x v="3"/>
    <x v="4"/>
    <s v="LV_A1"/>
    <x v="4"/>
    <x v="14"/>
    <x v="9"/>
    <x v="11"/>
    <n v="17"/>
    <n v="1034.1666666666699"/>
    <n v="3723"/>
  </r>
  <r>
    <x v="0"/>
    <x v="0"/>
    <x v="0"/>
    <x v="3"/>
    <x v="4"/>
    <s v="LV_A1"/>
    <x v="4"/>
    <x v="14"/>
    <x v="10"/>
    <x v="0"/>
    <n v="17"/>
    <n v="1034.1666666666699"/>
    <n v="3723"/>
  </r>
  <r>
    <x v="0"/>
    <x v="0"/>
    <x v="0"/>
    <x v="3"/>
    <x v="4"/>
    <s v="LV_A1"/>
    <x v="4"/>
    <x v="14"/>
    <x v="10"/>
    <x v="1"/>
    <n v="17"/>
    <n v="1034.1666666666699"/>
    <n v="3723"/>
  </r>
  <r>
    <x v="0"/>
    <x v="0"/>
    <x v="0"/>
    <x v="3"/>
    <x v="4"/>
    <s v="LV_A1"/>
    <x v="4"/>
    <x v="14"/>
    <x v="10"/>
    <x v="2"/>
    <n v="17"/>
    <n v="1034.1666666666699"/>
    <n v="3723"/>
  </r>
  <r>
    <x v="0"/>
    <x v="0"/>
    <x v="0"/>
    <x v="3"/>
    <x v="4"/>
    <s v="LV_A1"/>
    <x v="4"/>
    <x v="14"/>
    <x v="10"/>
    <x v="3"/>
    <n v="17"/>
    <n v="1034.1666666666699"/>
    <n v="3723"/>
  </r>
  <r>
    <x v="0"/>
    <x v="0"/>
    <x v="0"/>
    <x v="3"/>
    <x v="4"/>
    <s v="LV_A1"/>
    <x v="4"/>
    <x v="14"/>
    <x v="10"/>
    <x v="4"/>
    <n v="17"/>
    <n v="1034.1666666666699"/>
    <n v="3723"/>
  </r>
  <r>
    <x v="0"/>
    <x v="0"/>
    <x v="0"/>
    <x v="3"/>
    <x v="4"/>
    <s v="LV_A1"/>
    <x v="4"/>
    <x v="14"/>
    <x v="10"/>
    <x v="5"/>
    <n v="17"/>
    <n v="1034.1666666666699"/>
    <n v="3723"/>
  </r>
  <r>
    <x v="0"/>
    <x v="0"/>
    <x v="0"/>
    <x v="3"/>
    <x v="4"/>
    <s v="LV_A1"/>
    <x v="4"/>
    <x v="14"/>
    <x v="10"/>
    <x v="6"/>
    <n v="17"/>
    <n v="1034.1666666666699"/>
    <n v="3723"/>
  </r>
  <r>
    <x v="0"/>
    <x v="0"/>
    <x v="0"/>
    <x v="3"/>
    <x v="4"/>
    <s v="LV_A1"/>
    <x v="4"/>
    <x v="14"/>
    <x v="10"/>
    <x v="7"/>
    <n v="17"/>
    <n v="1034.1666666666699"/>
    <n v="3723"/>
  </r>
  <r>
    <x v="0"/>
    <x v="0"/>
    <x v="0"/>
    <x v="3"/>
    <x v="4"/>
    <s v="LV_A1"/>
    <x v="4"/>
    <x v="14"/>
    <x v="10"/>
    <x v="8"/>
    <n v="17"/>
    <n v="1034.1666666666699"/>
    <n v="3723"/>
  </r>
  <r>
    <x v="0"/>
    <x v="0"/>
    <x v="0"/>
    <x v="3"/>
    <x v="4"/>
    <s v="LV_A1"/>
    <x v="4"/>
    <x v="14"/>
    <x v="10"/>
    <x v="9"/>
    <n v="17"/>
    <n v="1034.1666666666699"/>
    <n v="3723"/>
  </r>
  <r>
    <x v="0"/>
    <x v="0"/>
    <x v="0"/>
    <x v="3"/>
    <x v="4"/>
    <s v="LV_A1"/>
    <x v="4"/>
    <x v="14"/>
    <x v="10"/>
    <x v="10"/>
    <n v="17"/>
    <n v="1034.1666666666699"/>
    <n v="3723"/>
  </r>
  <r>
    <x v="0"/>
    <x v="0"/>
    <x v="0"/>
    <x v="3"/>
    <x v="4"/>
    <s v="LV_A1"/>
    <x v="4"/>
    <x v="14"/>
    <x v="10"/>
    <x v="11"/>
    <n v="17"/>
    <n v="1034.1666666666699"/>
    <n v="3723"/>
  </r>
  <r>
    <x v="0"/>
    <x v="0"/>
    <x v="0"/>
    <x v="3"/>
    <x v="4"/>
    <s v="LV_A1"/>
    <x v="4"/>
    <x v="14"/>
    <x v="11"/>
    <x v="0"/>
    <n v="17"/>
    <n v="1034.1666666666699"/>
    <n v="3723"/>
  </r>
  <r>
    <x v="0"/>
    <x v="0"/>
    <x v="0"/>
    <x v="3"/>
    <x v="4"/>
    <s v="LV_A1"/>
    <x v="4"/>
    <x v="14"/>
    <x v="11"/>
    <x v="1"/>
    <n v="17"/>
    <n v="1034.1666666666699"/>
    <n v="3723"/>
  </r>
  <r>
    <x v="0"/>
    <x v="0"/>
    <x v="0"/>
    <x v="3"/>
    <x v="4"/>
    <s v="LV_A1"/>
    <x v="4"/>
    <x v="14"/>
    <x v="11"/>
    <x v="2"/>
    <n v="17"/>
    <n v="1034.1666666666699"/>
    <n v="3723"/>
  </r>
  <r>
    <x v="0"/>
    <x v="0"/>
    <x v="0"/>
    <x v="3"/>
    <x v="4"/>
    <s v="LV_A1"/>
    <x v="4"/>
    <x v="14"/>
    <x v="11"/>
    <x v="3"/>
    <n v="17"/>
    <n v="1034.1666666666699"/>
    <n v="3723"/>
  </r>
  <r>
    <x v="0"/>
    <x v="0"/>
    <x v="0"/>
    <x v="3"/>
    <x v="4"/>
    <s v="LV_A1"/>
    <x v="4"/>
    <x v="14"/>
    <x v="11"/>
    <x v="4"/>
    <n v="17"/>
    <n v="1034.1666666666699"/>
    <n v="3723"/>
  </r>
  <r>
    <x v="0"/>
    <x v="0"/>
    <x v="0"/>
    <x v="3"/>
    <x v="4"/>
    <s v="LV_A1"/>
    <x v="4"/>
    <x v="14"/>
    <x v="11"/>
    <x v="5"/>
    <n v="17"/>
    <n v="1034.1666666666699"/>
    <n v="3723"/>
  </r>
  <r>
    <x v="0"/>
    <x v="0"/>
    <x v="0"/>
    <x v="3"/>
    <x v="4"/>
    <s v="LV_A1"/>
    <x v="4"/>
    <x v="14"/>
    <x v="11"/>
    <x v="6"/>
    <n v="17"/>
    <n v="1034.1666666666699"/>
    <n v="3723"/>
  </r>
  <r>
    <x v="0"/>
    <x v="0"/>
    <x v="0"/>
    <x v="3"/>
    <x v="4"/>
    <s v="LV_A1"/>
    <x v="4"/>
    <x v="14"/>
    <x v="11"/>
    <x v="7"/>
    <n v="17"/>
    <n v="1034.1666666666699"/>
    <n v="3723"/>
  </r>
  <r>
    <x v="0"/>
    <x v="0"/>
    <x v="0"/>
    <x v="3"/>
    <x v="4"/>
    <s v="LV_A1"/>
    <x v="4"/>
    <x v="14"/>
    <x v="11"/>
    <x v="8"/>
    <n v="17"/>
    <n v="1034.1666666666699"/>
    <n v="3723"/>
  </r>
  <r>
    <x v="0"/>
    <x v="0"/>
    <x v="0"/>
    <x v="3"/>
    <x v="4"/>
    <s v="LV_A1"/>
    <x v="4"/>
    <x v="14"/>
    <x v="11"/>
    <x v="9"/>
    <n v="17"/>
    <n v="1034.1666666666699"/>
    <n v="3723"/>
  </r>
  <r>
    <x v="0"/>
    <x v="0"/>
    <x v="0"/>
    <x v="3"/>
    <x v="4"/>
    <s v="LV_A1"/>
    <x v="4"/>
    <x v="14"/>
    <x v="11"/>
    <x v="10"/>
    <n v="17"/>
    <n v="1034.1666666666699"/>
    <n v="3723"/>
  </r>
  <r>
    <x v="0"/>
    <x v="0"/>
    <x v="0"/>
    <x v="3"/>
    <x v="4"/>
    <s v="LV_A1"/>
    <x v="4"/>
    <x v="14"/>
    <x v="11"/>
    <x v="11"/>
    <n v="17"/>
    <n v="1034.1666666666699"/>
    <n v="3723"/>
  </r>
  <r>
    <x v="0"/>
    <x v="0"/>
    <x v="0"/>
    <x v="3"/>
    <x v="4"/>
    <s v="LV_A1"/>
    <x v="9"/>
    <x v="15"/>
    <x v="0"/>
    <x v="0"/>
    <n v="8.1967213114754092"/>
    <n v="498.633879781421"/>
    <n v="1795.0819672131099"/>
  </r>
  <r>
    <x v="0"/>
    <x v="0"/>
    <x v="0"/>
    <x v="3"/>
    <x v="4"/>
    <s v="LV_A1"/>
    <x v="9"/>
    <x v="15"/>
    <x v="0"/>
    <x v="1"/>
    <n v="8.1967213114754092"/>
    <n v="498.633879781421"/>
    <n v="1795.0819672131099"/>
  </r>
  <r>
    <x v="0"/>
    <x v="0"/>
    <x v="0"/>
    <x v="3"/>
    <x v="4"/>
    <s v="LV_A1"/>
    <x v="9"/>
    <x v="15"/>
    <x v="0"/>
    <x v="2"/>
    <n v="8.1967213114754092"/>
    <n v="498.633879781421"/>
    <n v="1795.0819672131099"/>
  </r>
  <r>
    <x v="0"/>
    <x v="0"/>
    <x v="0"/>
    <x v="3"/>
    <x v="4"/>
    <s v="LV_A1"/>
    <x v="9"/>
    <x v="15"/>
    <x v="0"/>
    <x v="3"/>
    <n v="8.1967213114754092"/>
    <n v="498.633879781421"/>
    <n v="1795.0819672131099"/>
  </r>
  <r>
    <x v="0"/>
    <x v="0"/>
    <x v="0"/>
    <x v="3"/>
    <x v="4"/>
    <s v="LV_A1"/>
    <x v="9"/>
    <x v="15"/>
    <x v="0"/>
    <x v="4"/>
    <n v="8.1967213114754092"/>
    <n v="498.633879781421"/>
    <n v="1795.0819672131099"/>
  </r>
  <r>
    <x v="0"/>
    <x v="0"/>
    <x v="0"/>
    <x v="3"/>
    <x v="4"/>
    <s v="LV_A1"/>
    <x v="9"/>
    <x v="15"/>
    <x v="0"/>
    <x v="5"/>
    <n v="8.1967213114754092"/>
    <n v="498.633879781421"/>
    <n v="1795.0819672131099"/>
  </r>
  <r>
    <x v="0"/>
    <x v="0"/>
    <x v="0"/>
    <x v="3"/>
    <x v="4"/>
    <s v="LV_A1"/>
    <x v="9"/>
    <x v="15"/>
    <x v="0"/>
    <x v="6"/>
    <n v="8.1967213114754092"/>
    <n v="498.633879781421"/>
    <n v="1795.0819672131099"/>
  </r>
  <r>
    <x v="0"/>
    <x v="0"/>
    <x v="0"/>
    <x v="3"/>
    <x v="4"/>
    <s v="LV_A1"/>
    <x v="9"/>
    <x v="15"/>
    <x v="0"/>
    <x v="7"/>
    <n v="8.1967213114754092"/>
    <n v="498.633879781421"/>
    <n v="1795.0819672131099"/>
  </r>
  <r>
    <x v="0"/>
    <x v="0"/>
    <x v="0"/>
    <x v="3"/>
    <x v="4"/>
    <s v="LV_A1"/>
    <x v="9"/>
    <x v="15"/>
    <x v="0"/>
    <x v="8"/>
    <n v="8.1967213114754092"/>
    <n v="498.633879781421"/>
    <n v="1795.0819672131099"/>
  </r>
  <r>
    <x v="0"/>
    <x v="0"/>
    <x v="0"/>
    <x v="3"/>
    <x v="4"/>
    <s v="LV_A1"/>
    <x v="9"/>
    <x v="15"/>
    <x v="0"/>
    <x v="9"/>
    <n v="8.1967213114754092"/>
    <n v="498.633879781421"/>
    <n v="1795.0819672131099"/>
  </r>
  <r>
    <x v="0"/>
    <x v="0"/>
    <x v="0"/>
    <x v="3"/>
    <x v="4"/>
    <s v="LV_A1"/>
    <x v="9"/>
    <x v="15"/>
    <x v="0"/>
    <x v="10"/>
    <n v="8.1967213114754092"/>
    <n v="498.633879781421"/>
    <n v="1795.0819672131099"/>
  </r>
  <r>
    <x v="0"/>
    <x v="0"/>
    <x v="0"/>
    <x v="3"/>
    <x v="4"/>
    <s v="LV_A1"/>
    <x v="9"/>
    <x v="15"/>
    <x v="0"/>
    <x v="11"/>
    <n v="8.1967213114754092"/>
    <n v="498.633879781421"/>
    <n v="1795.0819672131099"/>
  </r>
  <r>
    <x v="0"/>
    <x v="0"/>
    <x v="0"/>
    <x v="3"/>
    <x v="4"/>
    <s v="LV_A1"/>
    <x v="9"/>
    <x v="15"/>
    <x v="1"/>
    <x v="0"/>
    <n v="8.1967213114754092"/>
    <n v="498.633879781421"/>
    <n v="1795.0819672131099"/>
  </r>
  <r>
    <x v="0"/>
    <x v="0"/>
    <x v="0"/>
    <x v="3"/>
    <x v="4"/>
    <s v="LV_A1"/>
    <x v="9"/>
    <x v="15"/>
    <x v="1"/>
    <x v="1"/>
    <n v="8.1967213114754092"/>
    <n v="498.633879781421"/>
    <n v="1795.0819672131099"/>
  </r>
  <r>
    <x v="0"/>
    <x v="0"/>
    <x v="0"/>
    <x v="3"/>
    <x v="4"/>
    <s v="LV_A1"/>
    <x v="9"/>
    <x v="15"/>
    <x v="1"/>
    <x v="2"/>
    <n v="8.1967213114754092"/>
    <n v="498.633879781421"/>
    <n v="1795.0819672131099"/>
  </r>
  <r>
    <x v="0"/>
    <x v="0"/>
    <x v="0"/>
    <x v="3"/>
    <x v="4"/>
    <s v="LV_A1"/>
    <x v="9"/>
    <x v="15"/>
    <x v="1"/>
    <x v="3"/>
    <n v="8.1967213114754092"/>
    <n v="498.633879781421"/>
    <n v="1795.0819672131099"/>
  </r>
  <r>
    <x v="0"/>
    <x v="0"/>
    <x v="0"/>
    <x v="3"/>
    <x v="4"/>
    <s v="LV_A1"/>
    <x v="9"/>
    <x v="15"/>
    <x v="1"/>
    <x v="4"/>
    <n v="8.1967213114754092"/>
    <n v="498.633879781421"/>
    <n v="1795.0819672131099"/>
  </r>
  <r>
    <x v="0"/>
    <x v="0"/>
    <x v="0"/>
    <x v="3"/>
    <x v="4"/>
    <s v="LV_A1"/>
    <x v="9"/>
    <x v="15"/>
    <x v="1"/>
    <x v="5"/>
    <n v="8.1967213114754092"/>
    <n v="498.633879781421"/>
    <n v="1795.0819672131099"/>
  </r>
  <r>
    <x v="0"/>
    <x v="0"/>
    <x v="0"/>
    <x v="3"/>
    <x v="4"/>
    <s v="LV_A1"/>
    <x v="9"/>
    <x v="15"/>
    <x v="1"/>
    <x v="6"/>
    <n v="8.1967213114754092"/>
    <n v="498.633879781421"/>
    <n v="1795.0819672131099"/>
  </r>
  <r>
    <x v="0"/>
    <x v="0"/>
    <x v="0"/>
    <x v="3"/>
    <x v="4"/>
    <s v="LV_A1"/>
    <x v="9"/>
    <x v="15"/>
    <x v="1"/>
    <x v="7"/>
    <n v="8.1967213114754092"/>
    <n v="498.633879781421"/>
    <n v="1795.0819672131099"/>
  </r>
  <r>
    <x v="0"/>
    <x v="0"/>
    <x v="0"/>
    <x v="3"/>
    <x v="4"/>
    <s v="LV_A1"/>
    <x v="9"/>
    <x v="15"/>
    <x v="1"/>
    <x v="8"/>
    <n v="8.1967213114754092"/>
    <n v="498.633879781421"/>
    <n v="1795.0819672131099"/>
  </r>
  <r>
    <x v="0"/>
    <x v="0"/>
    <x v="0"/>
    <x v="3"/>
    <x v="4"/>
    <s v="LV_A1"/>
    <x v="9"/>
    <x v="15"/>
    <x v="1"/>
    <x v="9"/>
    <n v="8.1967213114754092"/>
    <n v="498.633879781421"/>
    <n v="1795.0819672131099"/>
  </r>
  <r>
    <x v="0"/>
    <x v="0"/>
    <x v="0"/>
    <x v="3"/>
    <x v="4"/>
    <s v="LV_A1"/>
    <x v="9"/>
    <x v="15"/>
    <x v="1"/>
    <x v="10"/>
    <n v="8.1967213114754092"/>
    <n v="498.633879781421"/>
    <n v="1795.0819672131099"/>
  </r>
  <r>
    <x v="0"/>
    <x v="0"/>
    <x v="0"/>
    <x v="3"/>
    <x v="4"/>
    <s v="LV_A1"/>
    <x v="9"/>
    <x v="15"/>
    <x v="1"/>
    <x v="11"/>
    <n v="8.1967213114754092"/>
    <n v="498.633879781421"/>
    <n v="1795.0819672131099"/>
  </r>
  <r>
    <x v="0"/>
    <x v="0"/>
    <x v="0"/>
    <x v="3"/>
    <x v="4"/>
    <s v="LV_A1"/>
    <x v="9"/>
    <x v="15"/>
    <x v="2"/>
    <x v="0"/>
    <n v="8.1967213114754092"/>
    <n v="498.633879781421"/>
    <n v="1795.0819672131099"/>
  </r>
  <r>
    <x v="0"/>
    <x v="0"/>
    <x v="0"/>
    <x v="3"/>
    <x v="4"/>
    <s v="LV_A1"/>
    <x v="9"/>
    <x v="15"/>
    <x v="2"/>
    <x v="1"/>
    <n v="8.1967213114754092"/>
    <n v="498.633879781421"/>
    <n v="1795.0819672131099"/>
  </r>
  <r>
    <x v="0"/>
    <x v="0"/>
    <x v="0"/>
    <x v="3"/>
    <x v="4"/>
    <s v="LV_A1"/>
    <x v="9"/>
    <x v="15"/>
    <x v="2"/>
    <x v="2"/>
    <n v="8.1967213114754092"/>
    <n v="498.633879781421"/>
    <n v="1795.0819672131099"/>
  </r>
  <r>
    <x v="0"/>
    <x v="0"/>
    <x v="0"/>
    <x v="3"/>
    <x v="4"/>
    <s v="LV_A1"/>
    <x v="9"/>
    <x v="15"/>
    <x v="2"/>
    <x v="3"/>
    <n v="8.1967213114754092"/>
    <n v="498.633879781421"/>
    <n v="1795.0819672131099"/>
  </r>
  <r>
    <x v="0"/>
    <x v="0"/>
    <x v="0"/>
    <x v="3"/>
    <x v="4"/>
    <s v="LV_A1"/>
    <x v="9"/>
    <x v="15"/>
    <x v="2"/>
    <x v="4"/>
    <n v="8.1967213114754092"/>
    <n v="498.633879781421"/>
    <n v="1795.0819672131099"/>
  </r>
  <r>
    <x v="0"/>
    <x v="0"/>
    <x v="0"/>
    <x v="3"/>
    <x v="4"/>
    <s v="LV_A1"/>
    <x v="9"/>
    <x v="15"/>
    <x v="2"/>
    <x v="5"/>
    <n v="8.1967213114754092"/>
    <n v="498.633879781421"/>
    <n v="1795.0819672131099"/>
  </r>
  <r>
    <x v="0"/>
    <x v="0"/>
    <x v="0"/>
    <x v="3"/>
    <x v="4"/>
    <s v="LV_A1"/>
    <x v="9"/>
    <x v="15"/>
    <x v="2"/>
    <x v="6"/>
    <n v="8.1967213114754092"/>
    <n v="498.633879781421"/>
    <n v="1795.0819672131099"/>
  </r>
  <r>
    <x v="0"/>
    <x v="0"/>
    <x v="0"/>
    <x v="3"/>
    <x v="4"/>
    <s v="LV_A1"/>
    <x v="9"/>
    <x v="15"/>
    <x v="2"/>
    <x v="7"/>
    <n v="8.1967213114754092"/>
    <n v="498.633879781421"/>
    <n v="1795.0819672131099"/>
  </r>
  <r>
    <x v="0"/>
    <x v="0"/>
    <x v="0"/>
    <x v="3"/>
    <x v="4"/>
    <s v="LV_A1"/>
    <x v="9"/>
    <x v="15"/>
    <x v="2"/>
    <x v="8"/>
    <n v="8.1967213114754092"/>
    <n v="498.633879781421"/>
    <n v="1795.0819672131099"/>
  </r>
  <r>
    <x v="0"/>
    <x v="0"/>
    <x v="0"/>
    <x v="3"/>
    <x v="4"/>
    <s v="LV_A1"/>
    <x v="9"/>
    <x v="15"/>
    <x v="2"/>
    <x v="9"/>
    <n v="8.1967213114754092"/>
    <n v="498.633879781421"/>
    <n v="1795.0819672131099"/>
  </r>
  <r>
    <x v="0"/>
    <x v="0"/>
    <x v="0"/>
    <x v="3"/>
    <x v="4"/>
    <s v="LV_A1"/>
    <x v="9"/>
    <x v="15"/>
    <x v="2"/>
    <x v="10"/>
    <n v="8.1967213114754092"/>
    <n v="498.633879781421"/>
    <n v="1795.0819672131099"/>
  </r>
  <r>
    <x v="0"/>
    <x v="0"/>
    <x v="0"/>
    <x v="3"/>
    <x v="4"/>
    <s v="LV_A1"/>
    <x v="9"/>
    <x v="15"/>
    <x v="2"/>
    <x v="11"/>
    <n v="8.1967213114754092"/>
    <n v="498.633879781421"/>
    <n v="1795.0819672131099"/>
  </r>
  <r>
    <x v="0"/>
    <x v="0"/>
    <x v="0"/>
    <x v="3"/>
    <x v="4"/>
    <s v="LV_A1"/>
    <x v="9"/>
    <x v="15"/>
    <x v="3"/>
    <x v="0"/>
    <n v="8.1967213114754092"/>
    <n v="498.633879781421"/>
    <n v="1795.0819672131099"/>
  </r>
  <r>
    <x v="0"/>
    <x v="0"/>
    <x v="0"/>
    <x v="3"/>
    <x v="4"/>
    <s v="LV_A1"/>
    <x v="9"/>
    <x v="15"/>
    <x v="3"/>
    <x v="1"/>
    <n v="8.1967213114754092"/>
    <n v="498.633879781421"/>
    <n v="1795.0819672131099"/>
  </r>
  <r>
    <x v="0"/>
    <x v="0"/>
    <x v="0"/>
    <x v="3"/>
    <x v="4"/>
    <s v="LV_A1"/>
    <x v="9"/>
    <x v="15"/>
    <x v="3"/>
    <x v="2"/>
    <n v="8.1967213114754092"/>
    <n v="498.633879781421"/>
    <n v="1795.0819672131099"/>
  </r>
  <r>
    <x v="0"/>
    <x v="0"/>
    <x v="0"/>
    <x v="3"/>
    <x v="4"/>
    <s v="LV_A1"/>
    <x v="9"/>
    <x v="15"/>
    <x v="3"/>
    <x v="3"/>
    <n v="8.1967213114754092"/>
    <n v="498.633879781421"/>
    <n v="1795.0819672131099"/>
  </r>
  <r>
    <x v="0"/>
    <x v="0"/>
    <x v="0"/>
    <x v="3"/>
    <x v="4"/>
    <s v="LV_A1"/>
    <x v="9"/>
    <x v="15"/>
    <x v="3"/>
    <x v="4"/>
    <n v="8.1967213114754092"/>
    <n v="498.633879781421"/>
    <n v="1795.0819672131099"/>
  </r>
  <r>
    <x v="0"/>
    <x v="0"/>
    <x v="0"/>
    <x v="3"/>
    <x v="4"/>
    <s v="LV_A1"/>
    <x v="9"/>
    <x v="15"/>
    <x v="3"/>
    <x v="5"/>
    <n v="8.1967213114754092"/>
    <n v="498.633879781421"/>
    <n v="1795.0819672131099"/>
  </r>
  <r>
    <x v="0"/>
    <x v="0"/>
    <x v="0"/>
    <x v="3"/>
    <x v="4"/>
    <s v="LV_A1"/>
    <x v="9"/>
    <x v="15"/>
    <x v="3"/>
    <x v="6"/>
    <n v="8.1967213114754092"/>
    <n v="498.633879781421"/>
    <n v="1795.0819672131099"/>
  </r>
  <r>
    <x v="0"/>
    <x v="0"/>
    <x v="0"/>
    <x v="3"/>
    <x v="4"/>
    <s v="LV_A1"/>
    <x v="9"/>
    <x v="15"/>
    <x v="3"/>
    <x v="7"/>
    <n v="8.1967213114754092"/>
    <n v="498.633879781421"/>
    <n v="1795.0819672131099"/>
  </r>
  <r>
    <x v="0"/>
    <x v="0"/>
    <x v="0"/>
    <x v="3"/>
    <x v="4"/>
    <s v="LV_A1"/>
    <x v="9"/>
    <x v="15"/>
    <x v="3"/>
    <x v="8"/>
    <n v="8.1967213114754092"/>
    <n v="498.633879781421"/>
    <n v="1795.0819672131099"/>
  </r>
  <r>
    <x v="0"/>
    <x v="0"/>
    <x v="0"/>
    <x v="3"/>
    <x v="4"/>
    <s v="LV_A1"/>
    <x v="9"/>
    <x v="15"/>
    <x v="3"/>
    <x v="9"/>
    <n v="8.1967213114754092"/>
    <n v="498.633879781421"/>
    <n v="1795.0819672131099"/>
  </r>
  <r>
    <x v="0"/>
    <x v="0"/>
    <x v="0"/>
    <x v="3"/>
    <x v="4"/>
    <s v="LV_A1"/>
    <x v="9"/>
    <x v="15"/>
    <x v="3"/>
    <x v="10"/>
    <n v="8.1967213114754092"/>
    <n v="498.633879781421"/>
    <n v="1795.0819672131099"/>
  </r>
  <r>
    <x v="0"/>
    <x v="0"/>
    <x v="0"/>
    <x v="3"/>
    <x v="4"/>
    <s v="LV_A1"/>
    <x v="9"/>
    <x v="15"/>
    <x v="3"/>
    <x v="11"/>
    <n v="8.1967213114754092"/>
    <n v="498.633879781421"/>
    <n v="1795.0819672131099"/>
  </r>
  <r>
    <x v="0"/>
    <x v="0"/>
    <x v="0"/>
    <x v="3"/>
    <x v="4"/>
    <s v="LV_A1"/>
    <x v="9"/>
    <x v="15"/>
    <x v="4"/>
    <x v="0"/>
    <n v="8.1967213114754092"/>
    <n v="498.633879781421"/>
    <n v="1795.0819672131099"/>
  </r>
  <r>
    <x v="0"/>
    <x v="0"/>
    <x v="0"/>
    <x v="3"/>
    <x v="4"/>
    <s v="LV_A1"/>
    <x v="9"/>
    <x v="15"/>
    <x v="4"/>
    <x v="1"/>
    <n v="8.1967213114754092"/>
    <n v="498.633879781421"/>
    <n v="1795.0819672131099"/>
  </r>
  <r>
    <x v="0"/>
    <x v="0"/>
    <x v="0"/>
    <x v="3"/>
    <x v="4"/>
    <s v="LV_A1"/>
    <x v="9"/>
    <x v="15"/>
    <x v="4"/>
    <x v="2"/>
    <n v="8.1967213114754092"/>
    <n v="498.633879781421"/>
    <n v="1795.0819672131099"/>
  </r>
  <r>
    <x v="0"/>
    <x v="0"/>
    <x v="0"/>
    <x v="3"/>
    <x v="4"/>
    <s v="LV_A1"/>
    <x v="9"/>
    <x v="15"/>
    <x v="4"/>
    <x v="3"/>
    <n v="8.1967213114754092"/>
    <n v="498.633879781421"/>
    <n v="1795.0819672131099"/>
  </r>
  <r>
    <x v="0"/>
    <x v="0"/>
    <x v="0"/>
    <x v="3"/>
    <x v="4"/>
    <s v="LV_A1"/>
    <x v="9"/>
    <x v="15"/>
    <x v="4"/>
    <x v="4"/>
    <n v="8.1967213114754092"/>
    <n v="498.633879781421"/>
    <n v="1795.0819672131099"/>
  </r>
  <r>
    <x v="0"/>
    <x v="0"/>
    <x v="0"/>
    <x v="3"/>
    <x v="4"/>
    <s v="LV_A1"/>
    <x v="9"/>
    <x v="15"/>
    <x v="4"/>
    <x v="5"/>
    <n v="8.1967213114754092"/>
    <n v="498.633879781421"/>
    <n v="1795.0819672131099"/>
  </r>
  <r>
    <x v="0"/>
    <x v="0"/>
    <x v="0"/>
    <x v="3"/>
    <x v="4"/>
    <s v="LV_A1"/>
    <x v="9"/>
    <x v="15"/>
    <x v="4"/>
    <x v="6"/>
    <n v="8.1967213114754092"/>
    <n v="498.633879781421"/>
    <n v="1795.0819672131099"/>
  </r>
  <r>
    <x v="0"/>
    <x v="0"/>
    <x v="0"/>
    <x v="3"/>
    <x v="4"/>
    <s v="LV_A1"/>
    <x v="9"/>
    <x v="15"/>
    <x v="4"/>
    <x v="7"/>
    <n v="8.1967213114754092"/>
    <n v="498.633879781421"/>
    <n v="1795.0819672131099"/>
  </r>
  <r>
    <x v="0"/>
    <x v="0"/>
    <x v="0"/>
    <x v="3"/>
    <x v="4"/>
    <s v="LV_A1"/>
    <x v="9"/>
    <x v="15"/>
    <x v="4"/>
    <x v="8"/>
    <n v="8.1967213114754092"/>
    <n v="498.633879781421"/>
    <n v="1795.0819672131099"/>
  </r>
  <r>
    <x v="0"/>
    <x v="0"/>
    <x v="0"/>
    <x v="3"/>
    <x v="4"/>
    <s v="LV_A1"/>
    <x v="9"/>
    <x v="15"/>
    <x v="4"/>
    <x v="9"/>
    <n v="8.1967213114754092"/>
    <n v="498.633879781421"/>
    <n v="1795.0819672131099"/>
  </r>
  <r>
    <x v="0"/>
    <x v="0"/>
    <x v="0"/>
    <x v="3"/>
    <x v="4"/>
    <s v="LV_A1"/>
    <x v="9"/>
    <x v="15"/>
    <x v="4"/>
    <x v="10"/>
    <n v="8.1967213114754092"/>
    <n v="498.633879781421"/>
    <n v="1795.0819672131099"/>
  </r>
  <r>
    <x v="0"/>
    <x v="0"/>
    <x v="0"/>
    <x v="3"/>
    <x v="4"/>
    <s v="LV_A1"/>
    <x v="9"/>
    <x v="15"/>
    <x v="4"/>
    <x v="11"/>
    <n v="8.1967213114754092"/>
    <n v="498.633879781421"/>
    <n v="1795.0819672131099"/>
  </r>
  <r>
    <x v="0"/>
    <x v="0"/>
    <x v="0"/>
    <x v="3"/>
    <x v="4"/>
    <s v="LV_A1"/>
    <x v="9"/>
    <x v="15"/>
    <x v="5"/>
    <x v="0"/>
    <n v="8.1967213114754092"/>
    <n v="498.633879781421"/>
    <n v="1795.0819672131099"/>
  </r>
  <r>
    <x v="0"/>
    <x v="0"/>
    <x v="0"/>
    <x v="3"/>
    <x v="4"/>
    <s v="LV_A1"/>
    <x v="9"/>
    <x v="15"/>
    <x v="5"/>
    <x v="1"/>
    <n v="8.1967213114754092"/>
    <n v="498.633879781421"/>
    <n v="1795.0819672131099"/>
  </r>
  <r>
    <x v="0"/>
    <x v="0"/>
    <x v="0"/>
    <x v="3"/>
    <x v="4"/>
    <s v="LV_A1"/>
    <x v="9"/>
    <x v="15"/>
    <x v="5"/>
    <x v="2"/>
    <n v="8.1967213114754092"/>
    <n v="498.633879781421"/>
    <n v="1795.0819672131099"/>
  </r>
  <r>
    <x v="0"/>
    <x v="0"/>
    <x v="0"/>
    <x v="3"/>
    <x v="4"/>
    <s v="LV_A1"/>
    <x v="9"/>
    <x v="15"/>
    <x v="5"/>
    <x v="3"/>
    <n v="8.1967213114754092"/>
    <n v="498.633879781421"/>
    <n v="1795.0819672131099"/>
  </r>
  <r>
    <x v="0"/>
    <x v="0"/>
    <x v="0"/>
    <x v="3"/>
    <x v="4"/>
    <s v="LV_A1"/>
    <x v="9"/>
    <x v="15"/>
    <x v="5"/>
    <x v="4"/>
    <n v="8.1967213114754092"/>
    <n v="498.633879781421"/>
    <n v="1795.0819672131099"/>
  </r>
  <r>
    <x v="0"/>
    <x v="0"/>
    <x v="0"/>
    <x v="3"/>
    <x v="4"/>
    <s v="LV_A1"/>
    <x v="9"/>
    <x v="15"/>
    <x v="5"/>
    <x v="5"/>
    <n v="8.1967213114754092"/>
    <n v="498.633879781421"/>
    <n v="1795.0819672131099"/>
  </r>
  <r>
    <x v="0"/>
    <x v="0"/>
    <x v="0"/>
    <x v="3"/>
    <x v="4"/>
    <s v="LV_A1"/>
    <x v="9"/>
    <x v="15"/>
    <x v="5"/>
    <x v="6"/>
    <n v="8.1967213114754092"/>
    <n v="498.633879781421"/>
    <n v="1795.0819672131099"/>
  </r>
  <r>
    <x v="0"/>
    <x v="0"/>
    <x v="0"/>
    <x v="3"/>
    <x v="4"/>
    <s v="LV_A1"/>
    <x v="9"/>
    <x v="15"/>
    <x v="5"/>
    <x v="7"/>
    <n v="8.1967213114754092"/>
    <n v="498.633879781421"/>
    <n v="1795.0819672131099"/>
  </r>
  <r>
    <x v="0"/>
    <x v="0"/>
    <x v="0"/>
    <x v="3"/>
    <x v="4"/>
    <s v="LV_A1"/>
    <x v="9"/>
    <x v="15"/>
    <x v="5"/>
    <x v="8"/>
    <n v="8.1967213114754092"/>
    <n v="498.633879781421"/>
    <n v="1795.0819672131099"/>
  </r>
  <r>
    <x v="0"/>
    <x v="0"/>
    <x v="0"/>
    <x v="3"/>
    <x v="4"/>
    <s v="LV_A1"/>
    <x v="9"/>
    <x v="15"/>
    <x v="5"/>
    <x v="9"/>
    <n v="8.1967213114754092"/>
    <n v="498.633879781421"/>
    <n v="1795.0819672131099"/>
  </r>
  <r>
    <x v="0"/>
    <x v="0"/>
    <x v="0"/>
    <x v="3"/>
    <x v="4"/>
    <s v="LV_A1"/>
    <x v="9"/>
    <x v="15"/>
    <x v="5"/>
    <x v="10"/>
    <n v="8.1967213114754092"/>
    <n v="498.633879781421"/>
    <n v="1795.0819672131099"/>
  </r>
  <r>
    <x v="0"/>
    <x v="0"/>
    <x v="0"/>
    <x v="3"/>
    <x v="4"/>
    <s v="LV_A1"/>
    <x v="9"/>
    <x v="15"/>
    <x v="5"/>
    <x v="11"/>
    <n v="8.1967213114754092"/>
    <n v="498.633879781421"/>
    <n v="1795.0819672131099"/>
  </r>
  <r>
    <x v="0"/>
    <x v="0"/>
    <x v="0"/>
    <x v="3"/>
    <x v="4"/>
    <s v="LV_A1"/>
    <x v="9"/>
    <x v="15"/>
    <x v="6"/>
    <x v="0"/>
    <n v="8.1967213114754092"/>
    <n v="498.633879781421"/>
    <n v="1795.0819672131099"/>
  </r>
  <r>
    <x v="0"/>
    <x v="0"/>
    <x v="0"/>
    <x v="3"/>
    <x v="4"/>
    <s v="LV_A1"/>
    <x v="9"/>
    <x v="15"/>
    <x v="6"/>
    <x v="1"/>
    <n v="8.1967213114754092"/>
    <n v="498.633879781421"/>
    <n v="1795.0819672131099"/>
  </r>
  <r>
    <x v="0"/>
    <x v="0"/>
    <x v="0"/>
    <x v="3"/>
    <x v="4"/>
    <s v="LV_A1"/>
    <x v="9"/>
    <x v="15"/>
    <x v="6"/>
    <x v="2"/>
    <n v="8.1967213114754092"/>
    <n v="498.633879781421"/>
    <n v="1795.0819672131099"/>
  </r>
  <r>
    <x v="0"/>
    <x v="0"/>
    <x v="0"/>
    <x v="3"/>
    <x v="4"/>
    <s v="LV_A1"/>
    <x v="9"/>
    <x v="15"/>
    <x v="6"/>
    <x v="3"/>
    <n v="8.1967213114754092"/>
    <n v="498.633879781421"/>
    <n v="1795.0819672131099"/>
  </r>
  <r>
    <x v="0"/>
    <x v="0"/>
    <x v="0"/>
    <x v="3"/>
    <x v="4"/>
    <s v="LV_A1"/>
    <x v="9"/>
    <x v="15"/>
    <x v="6"/>
    <x v="4"/>
    <n v="8.1967213114754092"/>
    <n v="498.633879781421"/>
    <n v="1795.0819672131099"/>
  </r>
  <r>
    <x v="0"/>
    <x v="0"/>
    <x v="0"/>
    <x v="3"/>
    <x v="4"/>
    <s v="LV_A1"/>
    <x v="9"/>
    <x v="15"/>
    <x v="6"/>
    <x v="5"/>
    <n v="8.1967213114754092"/>
    <n v="498.633879781421"/>
    <n v="1795.0819672131099"/>
  </r>
  <r>
    <x v="0"/>
    <x v="0"/>
    <x v="0"/>
    <x v="3"/>
    <x v="4"/>
    <s v="LV_A1"/>
    <x v="9"/>
    <x v="15"/>
    <x v="6"/>
    <x v="6"/>
    <n v="8.1967213114754092"/>
    <n v="498.633879781421"/>
    <n v="1795.0819672131099"/>
  </r>
  <r>
    <x v="0"/>
    <x v="0"/>
    <x v="0"/>
    <x v="3"/>
    <x v="4"/>
    <s v="LV_A1"/>
    <x v="9"/>
    <x v="15"/>
    <x v="6"/>
    <x v="7"/>
    <n v="8.1967213114754092"/>
    <n v="498.633879781421"/>
    <n v="1795.0819672131099"/>
  </r>
  <r>
    <x v="0"/>
    <x v="0"/>
    <x v="0"/>
    <x v="3"/>
    <x v="4"/>
    <s v="LV_A1"/>
    <x v="9"/>
    <x v="15"/>
    <x v="6"/>
    <x v="8"/>
    <n v="8.1967213114754092"/>
    <n v="498.633879781421"/>
    <n v="1795.0819672131099"/>
  </r>
  <r>
    <x v="0"/>
    <x v="0"/>
    <x v="0"/>
    <x v="3"/>
    <x v="4"/>
    <s v="LV_A1"/>
    <x v="9"/>
    <x v="15"/>
    <x v="6"/>
    <x v="9"/>
    <n v="8.1967213114754092"/>
    <n v="498.633879781421"/>
    <n v="1795.0819672131099"/>
  </r>
  <r>
    <x v="0"/>
    <x v="0"/>
    <x v="0"/>
    <x v="3"/>
    <x v="4"/>
    <s v="LV_A1"/>
    <x v="9"/>
    <x v="15"/>
    <x v="6"/>
    <x v="10"/>
    <n v="8.1967213114754092"/>
    <n v="498.633879781421"/>
    <n v="1795.0819672131099"/>
  </r>
  <r>
    <x v="0"/>
    <x v="0"/>
    <x v="0"/>
    <x v="3"/>
    <x v="4"/>
    <s v="LV_A1"/>
    <x v="9"/>
    <x v="15"/>
    <x v="6"/>
    <x v="11"/>
    <n v="8.1967213114754092"/>
    <n v="498.633879781421"/>
    <n v="1795.0819672131099"/>
  </r>
  <r>
    <x v="0"/>
    <x v="0"/>
    <x v="0"/>
    <x v="3"/>
    <x v="4"/>
    <s v="LV_A1"/>
    <x v="9"/>
    <x v="15"/>
    <x v="7"/>
    <x v="0"/>
    <n v="8.1967213114754092"/>
    <n v="498.633879781421"/>
    <n v="1795.0819672131099"/>
  </r>
  <r>
    <x v="0"/>
    <x v="0"/>
    <x v="0"/>
    <x v="3"/>
    <x v="4"/>
    <s v="LV_A1"/>
    <x v="9"/>
    <x v="15"/>
    <x v="7"/>
    <x v="1"/>
    <n v="8.1967213114754092"/>
    <n v="498.633879781421"/>
    <n v="1795.0819672131099"/>
  </r>
  <r>
    <x v="0"/>
    <x v="0"/>
    <x v="0"/>
    <x v="3"/>
    <x v="4"/>
    <s v="LV_A1"/>
    <x v="9"/>
    <x v="15"/>
    <x v="7"/>
    <x v="2"/>
    <n v="8.1967213114754092"/>
    <n v="498.633879781421"/>
    <n v="1795.0819672131099"/>
  </r>
  <r>
    <x v="0"/>
    <x v="0"/>
    <x v="0"/>
    <x v="3"/>
    <x v="4"/>
    <s v="LV_A1"/>
    <x v="9"/>
    <x v="15"/>
    <x v="7"/>
    <x v="3"/>
    <n v="8.1967213114754092"/>
    <n v="498.633879781421"/>
    <n v="1795.0819672131099"/>
  </r>
  <r>
    <x v="0"/>
    <x v="0"/>
    <x v="0"/>
    <x v="3"/>
    <x v="4"/>
    <s v="LV_A1"/>
    <x v="9"/>
    <x v="15"/>
    <x v="7"/>
    <x v="4"/>
    <n v="8.1967213114754092"/>
    <n v="498.633879781421"/>
    <n v="1795.0819672131099"/>
  </r>
  <r>
    <x v="0"/>
    <x v="0"/>
    <x v="0"/>
    <x v="3"/>
    <x v="4"/>
    <s v="LV_A1"/>
    <x v="9"/>
    <x v="15"/>
    <x v="7"/>
    <x v="5"/>
    <n v="8.1967213114754092"/>
    <n v="498.633879781421"/>
    <n v="1795.0819672131099"/>
  </r>
  <r>
    <x v="0"/>
    <x v="0"/>
    <x v="0"/>
    <x v="3"/>
    <x v="4"/>
    <s v="LV_A1"/>
    <x v="9"/>
    <x v="15"/>
    <x v="7"/>
    <x v="6"/>
    <n v="8.1967213114754092"/>
    <n v="498.633879781421"/>
    <n v="1795.0819672131099"/>
  </r>
  <r>
    <x v="0"/>
    <x v="0"/>
    <x v="0"/>
    <x v="3"/>
    <x v="4"/>
    <s v="LV_A1"/>
    <x v="9"/>
    <x v="15"/>
    <x v="7"/>
    <x v="7"/>
    <n v="8.1967213114754092"/>
    <n v="498.633879781421"/>
    <n v="1795.0819672131099"/>
  </r>
  <r>
    <x v="0"/>
    <x v="0"/>
    <x v="0"/>
    <x v="3"/>
    <x v="4"/>
    <s v="LV_A1"/>
    <x v="9"/>
    <x v="15"/>
    <x v="7"/>
    <x v="8"/>
    <n v="8.1967213114754092"/>
    <n v="498.633879781421"/>
    <n v="1795.0819672131099"/>
  </r>
  <r>
    <x v="0"/>
    <x v="0"/>
    <x v="0"/>
    <x v="3"/>
    <x v="4"/>
    <s v="LV_A1"/>
    <x v="9"/>
    <x v="15"/>
    <x v="7"/>
    <x v="9"/>
    <n v="8.1967213114754092"/>
    <n v="498.633879781421"/>
    <n v="1795.0819672131099"/>
  </r>
  <r>
    <x v="0"/>
    <x v="0"/>
    <x v="0"/>
    <x v="3"/>
    <x v="4"/>
    <s v="LV_A1"/>
    <x v="9"/>
    <x v="15"/>
    <x v="7"/>
    <x v="10"/>
    <n v="8.1967213114754092"/>
    <n v="498.633879781421"/>
    <n v="1795.0819672131099"/>
  </r>
  <r>
    <x v="0"/>
    <x v="0"/>
    <x v="0"/>
    <x v="3"/>
    <x v="4"/>
    <s v="LV_A1"/>
    <x v="9"/>
    <x v="15"/>
    <x v="7"/>
    <x v="11"/>
    <n v="8.1967213114754092"/>
    <n v="498.633879781421"/>
    <n v="1795.0819672131099"/>
  </r>
  <r>
    <x v="0"/>
    <x v="0"/>
    <x v="0"/>
    <x v="3"/>
    <x v="4"/>
    <s v="LV_A1"/>
    <x v="9"/>
    <x v="15"/>
    <x v="8"/>
    <x v="0"/>
    <n v="8.1967213114754092"/>
    <n v="498.633879781421"/>
    <n v="1795.0819672131099"/>
  </r>
  <r>
    <x v="0"/>
    <x v="0"/>
    <x v="0"/>
    <x v="3"/>
    <x v="4"/>
    <s v="LV_A1"/>
    <x v="9"/>
    <x v="15"/>
    <x v="8"/>
    <x v="1"/>
    <n v="8.1967213114754092"/>
    <n v="498.633879781421"/>
    <n v="1795.0819672131099"/>
  </r>
  <r>
    <x v="0"/>
    <x v="0"/>
    <x v="0"/>
    <x v="3"/>
    <x v="4"/>
    <s v="LV_A1"/>
    <x v="9"/>
    <x v="15"/>
    <x v="8"/>
    <x v="2"/>
    <n v="8.1967213114754092"/>
    <n v="498.633879781421"/>
    <n v="1795.0819672131099"/>
  </r>
  <r>
    <x v="0"/>
    <x v="0"/>
    <x v="0"/>
    <x v="3"/>
    <x v="4"/>
    <s v="LV_A1"/>
    <x v="9"/>
    <x v="15"/>
    <x v="8"/>
    <x v="3"/>
    <n v="8.1967213114754092"/>
    <n v="498.633879781421"/>
    <n v="1795.0819672131099"/>
  </r>
  <r>
    <x v="0"/>
    <x v="0"/>
    <x v="0"/>
    <x v="3"/>
    <x v="4"/>
    <s v="LV_A1"/>
    <x v="9"/>
    <x v="15"/>
    <x v="8"/>
    <x v="4"/>
    <n v="8.1967213114754092"/>
    <n v="498.633879781421"/>
    <n v="1795.0819672131099"/>
  </r>
  <r>
    <x v="0"/>
    <x v="0"/>
    <x v="0"/>
    <x v="3"/>
    <x v="4"/>
    <s v="LV_A1"/>
    <x v="9"/>
    <x v="15"/>
    <x v="8"/>
    <x v="5"/>
    <n v="8.1967213114754092"/>
    <n v="498.633879781421"/>
    <n v="1795.0819672131099"/>
  </r>
  <r>
    <x v="0"/>
    <x v="0"/>
    <x v="0"/>
    <x v="3"/>
    <x v="4"/>
    <s v="LV_A1"/>
    <x v="9"/>
    <x v="15"/>
    <x v="8"/>
    <x v="6"/>
    <n v="8.1967213114754092"/>
    <n v="498.633879781421"/>
    <n v="1795.0819672131099"/>
  </r>
  <r>
    <x v="0"/>
    <x v="0"/>
    <x v="0"/>
    <x v="3"/>
    <x v="4"/>
    <s v="LV_A1"/>
    <x v="9"/>
    <x v="15"/>
    <x v="8"/>
    <x v="7"/>
    <n v="8.1967213114754092"/>
    <n v="498.633879781421"/>
    <n v="1795.0819672131099"/>
  </r>
  <r>
    <x v="0"/>
    <x v="0"/>
    <x v="0"/>
    <x v="3"/>
    <x v="4"/>
    <s v="LV_A1"/>
    <x v="9"/>
    <x v="15"/>
    <x v="8"/>
    <x v="8"/>
    <n v="8.1967213114754092"/>
    <n v="498.633879781421"/>
    <n v="1795.0819672131099"/>
  </r>
  <r>
    <x v="0"/>
    <x v="0"/>
    <x v="0"/>
    <x v="3"/>
    <x v="4"/>
    <s v="LV_A1"/>
    <x v="9"/>
    <x v="15"/>
    <x v="8"/>
    <x v="9"/>
    <n v="8.1967213114754092"/>
    <n v="498.633879781421"/>
    <n v="1795.0819672131099"/>
  </r>
  <r>
    <x v="0"/>
    <x v="0"/>
    <x v="0"/>
    <x v="3"/>
    <x v="4"/>
    <s v="LV_A1"/>
    <x v="9"/>
    <x v="15"/>
    <x v="8"/>
    <x v="10"/>
    <n v="8.1967213114754092"/>
    <n v="498.633879781421"/>
    <n v="1795.0819672131099"/>
  </r>
  <r>
    <x v="0"/>
    <x v="0"/>
    <x v="0"/>
    <x v="3"/>
    <x v="4"/>
    <s v="LV_A1"/>
    <x v="9"/>
    <x v="15"/>
    <x v="8"/>
    <x v="11"/>
    <n v="8.1967213114754092"/>
    <n v="498.633879781421"/>
    <n v="1795.0819672131099"/>
  </r>
  <r>
    <x v="0"/>
    <x v="0"/>
    <x v="0"/>
    <x v="3"/>
    <x v="4"/>
    <s v="LV_A1"/>
    <x v="9"/>
    <x v="15"/>
    <x v="9"/>
    <x v="0"/>
    <n v="8.1967213114754092"/>
    <n v="498.633879781421"/>
    <n v="1795.0819672131099"/>
  </r>
  <r>
    <x v="0"/>
    <x v="0"/>
    <x v="0"/>
    <x v="3"/>
    <x v="4"/>
    <s v="LV_A1"/>
    <x v="9"/>
    <x v="15"/>
    <x v="9"/>
    <x v="1"/>
    <n v="8.1967213114754092"/>
    <n v="498.633879781421"/>
    <n v="1795.0819672131099"/>
  </r>
  <r>
    <x v="0"/>
    <x v="0"/>
    <x v="0"/>
    <x v="3"/>
    <x v="4"/>
    <s v="LV_A1"/>
    <x v="9"/>
    <x v="15"/>
    <x v="9"/>
    <x v="2"/>
    <n v="8.1967213114754092"/>
    <n v="498.633879781421"/>
    <n v="1795.0819672131099"/>
  </r>
  <r>
    <x v="0"/>
    <x v="0"/>
    <x v="0"/>
    <x v="3"/>
    <x v="4"/>
    <s v="LV_A1"/>
    <x v="9"/>
    <x v="15"/>
    <x v="9"/>
    <x v="3"/>
    <n v="8.1967213114754092"/>
    <n v="498.633879781421"/>
    <n v="1795.0819672131099"/>
  </r>
  <r>
    <x v="0"/>
    <x v="0"/>
    <x v="0"/>
    <x v="3"/>
    <x v="4"/>
    <s v="LV_A1"/>
    <x v="9"/>
    <x v="15"/>
    <x v="9"/>
    <x v="4"/>
    <n v="8.1967213114754092"/>
    <n v="498.633879781421"/>
    <n v="1795.0819672131099"/>
  </r>
  <r>
    <x v="0"/>
    <x v="0"/>
    <x v="0"/>
    <x v="3"/>
    <x v="4"/>
    <s v="LV_A1"/>
    <x v="9"/>
    <x v="15"/>
    <x v="9"/>
    <x v="5"/>
    <n v="8.1967213114754092"/>
    <n v="498.633879781421"/>
    <n v="1795.0819672131099"/>
  </r>
  <r>
    <x v="0"/>
    <x v="0"/>
    <x v="0"/>
    <x v="3"/>
    <x v="4"/>
    <s v="LV_A1"/>
    <x v="9"/>
    <x v="15"/>
    <x v="9"/>
    <x v="6"/>
    <n v="8.1967213114754092"/>
    <n v="498.633879781421"/>
    <n v="1795.0819672131099"/>
  </r>
  <r>
    <x v="0"/>
    <x v="0"/>
    <x v="0"/>
    <x v="3"/>
    <x v="4"/>
    <s v="LV_A1"/>
    <x v="9"/>
    <x v="15"/>
    <x v="9"/>
    <x v="7"/>
    <n v="8.1967213114754092"/>
    <n v="498.633879781421"/>
    <n v="1795.0819672131099"/>
  </r>
  <r>
    <x v="0"/>
    <x v="0"/>
    <x v="0"/>
    <x v="3"/>
    <x v="4"/>
    <s v="LV_A1"/>
    <x v="9"/>
    <x v="15"/>
    <x v="9"/>
    <x v="8"/>
    <n v="8.1967213114754092"/>
    <n v="498.633879781421"/>
    <n v="1795.0819672131099"/>
  </r>
  <r>
    <x v="0"/>
    <x v="0"/>
    <x v="0"/>
    <x v="3"/>
    <x v="4"/>
    <s v="LV_A1"/>
    <x v="9"/>
    <x v="15"/>
    <x v="9"/>
    <x v="9"/>
    <n v="8.1967213114754092"/>
    <n v="498.633879781421"/>
    <n v="1795.0819672131099"/>
  </r>
  <r>
    <x v="0"/>
    <x v="0"/>
    <x v="0"/>
    <x v="3"/>
    <x v="4"/>
    <s v="LV_A1"/>
    <x v="9"/>
    <x v="15"/>
    <x v="9"/>
    <x v="10"/>
    <n v="8.1967213114754092"/>
    <n v="498.633879781421"/>
    <n v="1795.0819672131099"/>
  </r>
  <r>
    <x v="0"/>
    <x v="0"/>
    <x v="0"/>
    <x v="3"/>
    <x v="4"/>
    <s v="LV_A1"/>
    <x v="9"/>
    <x v="15"/>
    <x v="9"/>
    <x v="11"/>
    <n v="8.1967213114754092"/>
    <n v="498.633879781421"/>
    <n v="1795.0819672131099"/>
  </r>
  <r>
    <x v="0"/>
    <x v="0"/>
    <x v="0"/>
    <x v="3"/>
    <x v="4"/>
    <s v="LV_A1"/>
    <x v="9"/>
    <x v="15"/>
    <x v="10"/>
    <x v="0"/>
    <n v="8.1967213114754092"/>
    <n v="498.633879781421"/>
    <n v="1795.0819672131099"/>
  </r>
  <r>
    <x v="0"/>
    <x v="0"/>
    <x v="0"/>
    <x v="3"/>
    <x v="4"/>
    <s v="LV_A1"/>
    <x v="9"/>
    <x v="15"/>
    <x v="10"/>
    <x v="1"/>
    <n v="8.1967213114754092"/>
    <n v="498.633879781421"/>
    <n v="1795.0819672131099"/>
  </r>
  <r>
    <x v="0"/>
    <x v="0"/>
    <x v="0"/>
    <x v="3"/>
    <x v="4"/>
    <s v="LV_A1"/>
    <x v="9"/>
    <x v="15"/>
    <x v="10"/>
    <x v="2"/>
    <n v="8.1967213114754092"/>
    <n v="498.633879781421"/>
    <n v="1795.0819672131099"/>
  </r>
  <r>
    <x v="0"/>
    <x v="0"/>
    <x v="0"/>
    <x v="3"/>
    <x v="4"/>
    <s v="LV_A1"/>
    <x v="9"/>
    <x v="15"/>
    <x v="10"/>
    <x v="3"/>
    <n v="8.1967213114754092"/>
    <n v="498.633879781421"/>
    <n v="1795.0819672131099"/>
  </r>
  <r>
    <x v="0"/>
    <x v="0"/>
    <x v="0"/>
    <x v="3"/>
    <x v="4"/>
    <s v="LV_A1"/>
    <x v="9"/>
    <x v="15"/>
    <x v="10"/>
    <x v="4"/>
    <n v="8.1967213114754092"/>
    <n v="498.633879781421"/>
    <n v="1795.0819672131099"/>
  </r>
  <r>
    <x v="0"/>
    <x v="0"/>
    <x v="0"/>
    <x v="3"/>
    <x v="4"/>
    <s v="LV_A1"/>
    <x v="9"/>
    <x v="15"/>
    <x v="10"/>
    <x v="5"/>
    <n v="8.1967213114754092"/>
    <n v="498.633879781421"/>
    <n v="1795.0819672131099"/>
  </r>
  <r>
    <x v="0"/>
    <x v="0"/>
    <x v="0"/>
    <x v="3"/>
    <x v="4"/>
    <s v="LV_A1"/>
    <x v="9"/>
    <x v="15"/>
    <x v="10"/>
    <x v="6"/>
    <n v="8.1967213114754092"/>
    <n v="498.633879781421"/>
    <n v="1795.0819672131099"/>
  </r>
  <r>
    <x v="0"/>
    <x v="0"/>
    <x v="0"/>
    <x v="3"/>
    <x v="4"/>
    <s v="LV_A1"/>
    <x v="9"/>
    <x v="15"/>
    <x v="10"/>
    <x v="7"/>
    <n v="8.1967213114754092"/>
    <n v="498.633879781421"/>
    <n v="1795.0819672131099"/>
  </r>
  <r>
    <x v="0"/>
    <x v="0"/>
    <x v="0"/>
    <x v="3"/>
    <x v="4"/>
    <s v="LV_A1"/>
    <x v="9"/>
    <x v="15"/>
    <x v="10"/>
    <x v="8"/>
    <n v="8.1967213114754092"/>
    <n v="498.633879781421"/>
    <n v="1795.0819672131099"/>
  </r>
  <r>
    <x v="0"/>
    <x v="0"/>
    <x v="0"/>
    <x v="3"/>
    <x v="4"/>
    <s v="LV_A1"/>
    <x v="9"/>
    <x v="15"/>
    <x v="10"/>
    <x v="9"/>
    <n v="8.1967213114754092"/>
    <n v="498.633879781421"/>
    <n v="1795.0819672131099"/>
  </r>
  <r>
    <x v="0"/>
    <x v="0"/>
    <x v="0"/>
    <x v="3"/>
    <x v="4"/>
    <s v="LV_A1"/>
    <x v="9"/>
    <x v="15"/>
    <x v="10"/>
    <x v="10"/>
    <n v="8.1967213114754092"/>
    <n v="498.633879781421"/>
    <n v="1795.0819672131099"/>
  </r>
  <r>
    <x v="0"/>
    <x v="0"/>
    <x v="0"/>
    <x v="3"/>
    <x v="4"/>
    <s v="LV_A1"/>
    <x v="9"/>
    <x v="15"/>
    <x v="10"/>
    <x v="11"/>
    <n v="8.1967213114754092"/>
    <n v="498.633879781421"/>
    <n v="1795.0819672131099"/>
  </r>
  <r>
    <x v="0"/>
    <x v="0"/>
    <x v="0"/>
    <x v="3"/>
    <x v="4"/>
    <s v="LV_A1"/>
    <x v="9"/>
    <x v="15"/>
    <x v="11"/>
    <x v="0"/>
    <n v="8.1967213114754092"/>
    <n v="498.633879781421"/>
    <n v="1795.0819672131099"/>
  </r>
  <r>
    <x v="0"/>
    <x v="0"/>
    <x v="0"/>
    <x v="3"/>
    <x v="4"/>
    <s v="LV_A1"/>
    <x v="9"/>
    <x v="15"/>
    <x v="11"/>
    <x v="1"/>
    <n v="8.1967213114754092"/>
    <n v="498.633879781421"/>
    <n v="1795.0819672131099"/>
  </r>
  <r>
    <x v="0"/>
    <x v="0"/>
    <x v="0"/>
    <x v="3"/>
    <x v="4"/>
    <s v="LV_A1"/>
    <x v="9"/>
    <x v="15"/>
    <x v="11"/>
    <x v="2"/>
    <n v="8.1967213114754092"/>
    <n v="498.633879781421"/>
    <n v="1795.0819672131099"/>
  </r>
  <r>
    <x v="0"/>
    <x v="0"/>
    <x v="0"/>
    <x v="3"/>
    <x v="4"/>
    <s v="LV_A1"/>
    <x v="9"/>
    <x v="15"/>
    <x v="11"/>
    <x v="3"/>
    <n v="8.1967213114754092"/>
    <n v="498.633879781421"/>
    <n v="1795.0819672131099"/>
  </r>
  <r>
    <x v="0"/>
    <x v="0"/>
    <x v="0"/>
    <x v="3"/>
    <x v="4"/>
    <s v="LV_A1"/>
    <x v="9"/>
    <x v="15"/>
    <x v="11"/>
    <x v="4"/>
    <n v="8.1967213114754092"/>
    <n v="498.633879781421"/>
    <n v="1795.0819672131099"/>
  </r>
  <r>
    <x v="0"/>
    <x v="0"/>
    <x v="0"/>
    <x v="3"/>
    <x v="4"/>
    <s v="LV_A1"/>
    <x v="9"/>
    <x v="15"/>
    <x v="11"/>
    <x v="5"/>
    <n v="8.1967213114754092"/>
    <n v="498.633879781421"/>
    <n v="1795.0819672131099"/>
  </r>
  <r>
    <x v="0"/>
    <x v="0"/>
    <x v="0"/>
    <x v="3"/>
    <x v="4"/>
    <s v="LV_A1"/>
    <x v="9"/>
    <x v="15"/>
    <x v="11"/>
    <x v="6"/>
    <n v="8.1967213114754092"/>
    <n v="498.633879781421"/>
    <n v="1795.0819672131099"/>
  </r>
  <r>
    <x v="0"/>
    <x v="0"/>
    <x v="0"/>
    <x v="3"/>
    <x v="4"/>
    <s v="LV_A1"/>
    <x v="9"/>
    <x v="15"/>
    <x v="11"/>
    <x v="7"/>
    <n v="8.1967213114754092"/>
    <n v="498.633879781421"/>
    <n v="1795.0819672131099"/>
  </r>
  <r>
    <x v="0"/>
    <x v="0"/>
    <x v="0"/>
    <x v="3"/>
    <x v="4"/>
    <s v="LV_A1"/>
    <x v="9"/>
    <x v="15"/>
    <x v="11"/>
    <x v="8"/>
    <n v="8.1967213114754092"/>
    <n v="498.633879781421"/>
    <n v="1795.0819672131099"/>
  </r>
  <r>
    <x v="0"/>
    <x v="0"/>
    <x v="0"/>
    <x v="3"/>
    <x v="4"/>
    <s v="LV_A1"/>
    <x v="9"/>
    <x v="15"/>
    <x v="11"/>
    <x v="9"/>
    <n v="8.1967213114754092"/>
    <n v="498.633879781421"/>
    <n v="1795.0819672131099"/>
  </r>
  <r>
    <x v="0"/>
    <x v="0"/>
    <x v="0"/>
    <x v="3"/>
    <x v="4"/>
    <s v="LV_A1"/>
    <x v="9"/>
    <x v="15"/>
    <x v="11"/>
    <x v="10"/>
    <n v="8.1967213114754092"/>
    <n v="498.633879781421"/>
    <n v="1795.0819672131099"/>
  </r>
  <r>
    <x v="0"/>
    <x v="0"/>
    <x v="0"/>
    <x v="3"/>
    <x v="4"/>
    <s v="LV_A1"/>
    <x v="9"/>
    <x v="15"/>
    <x v="11"/>
    <x v="11"/>
    <n v="8.1967213114754092"/>
    <n v="498.633879781421"/>
    <n v="1795.0819672131099"/>
  </r>
  <r>
    <x v="0"/>
    <x v="0"/>
    <x v="0"/>
    <x v="3"/>
    <x v="4"/>
    <s v="LV_A1"/>
    <x v="9"/>
    <x v="16"/>
    <x v="0"/>
    <x v="0"/>
    <n v="2.7777777777777799"/>
    <n v="168.98148148148201"/>
    <n v="608.33333333333303"/>
  </r>
  <r>
    <x v="0"/>
    <x v="0"/>
    <x v="0"/>
    <x v="3"/>
    <x v="4"/>
    <s v="LV_A1"/>
    <x v="9"/>
    <x v="16"/>
    <x v="0"/>
    <x v="1"/>
    <n v="2.7777777777777799"/>
    <n v="168.98148148148201"/>
    <n v="608.33333333333303"/>
  </r>
  <r>
    <x v="0"/>
    <x v="0"/>
    <x v="0"/>
    <x v="3"/>
    <x v="4"/>
    <s v="LV_A1"/>
    <x v="9"/>
    <x v="16"/>
    <x v="0"/>
    <x v="2"/>
    <n v="2.7777777777777799"/>
    <n v="168.98148148148201"/>
    <n v="608.33333333333303"/>
  </r>
  <r>
    <x v="0"/>
    <x v="0"/>
    <x v="0"/>
    <x v="3"/>
    <x v="4"/>
    <s v="LV_A1"/>
    <x v="9"/>
    <x v="16"/>
    <x v="0"/>
    <x v="3"/>
    <n v="2.7777777777777799"/>
    <n v="168.98148148148201"/>
    <n v="608.33333333333303"/>
  </r>
  <r>
    <x v="0"/>
    <x v="0"/>
    <x v="0"/>
    <x v="3"/>
    <x v="4"/>
    <s v="LV_A1"/>
    <x v="9"/>
    <x v="16"/>
    <x v="0"/>
    <x v="4"/>
    <n v="2.7777777777777799"/>
    <n v="168.98148148148201"/>
    <n v="608.33333333333303"/>
  </r>
  <r>
    <x v="0"/>
    <x v="0"/>
    <x v="0"/>
    <x v="3"/>
    <x v="4"/>
    <s v="LV_A1"/>
    <x v="9"/>
    <x v="16"/>
    <x v="0"/>
    <x v="5"/>
    <n v="2.7777777777777799"/>
    <n v="168.98148148148201"/>
    <n v="608.33333333333303"/>
  </r>
  <r>
    <x v="0"/>
    <x v="0"/>
    <x v="0"/>
    <x v="3"/>
    <x v="4"/>
    <s v="LV_A1"/>
    <x v="9"/>
    <x v="16"/>
    <x v="0"/>
    <x v="6"/>
    <n v="2.7777777777777799"/>
    <n v="168.98148148148201"/>
    <n v="608.33333333333303"/>
  </r>
  <r>
    <x v="0"/>
    <x v="0"/>
    <x v="0"/>
    <x v="3"/>
    <x v="4"/>
    <s v="LV_A1"/>
    <x v="9"/>
    <x v="16"/>
    <x v="0"/>
    <x v="7"/>
    <n v="2.7777777777777799"/>
    <n v="168.98148148148201"/>
    <n v="608.33333333333303"/>
  </r>
  <r>
    <x v="0"/>
    <x v="0"/>
    <x v="0"/>
    <x v="3"/>
    <x v="4"/>
    <s v="LV_A1"/>
    <x v="9"/>
    <x v="16"/>
    <x v="0"/>
    <x v="8"/>
    <n v="2.7777777777777799"/>
    <n v="168.98148148148201"/>
    <n v="608.33333333333303"/>
  </r>
  <r>
    <x v="0"/>
    <x v="0"/>
    <x v="0"/>
    <x v="3"/>
    <x v="4"/>
    <s v="LV_A1"/>
    <x v="9"/>
    <x v="16"/>
    <x v="0"/>
    <x v="9"/>
    <n v="2.7777777777777799"/>
    <n v="168.98148148148201"/>
    <n v="608.33333333333303"/>
  </r>
  <r>
    <x v="0"/>
    <x v="0"/>
    <x v="0"/>
    <x v="3"/>
    <x v="4"/>
    <s v="LV_A1"/>
    <x v="9"/>
    <x v="16"/>
    <x v="0"/>
    <x v="10"/>
    <n v="2.7777777777777799"/>
    <n v="168.98148148148201"/>
    <n v="608.33333333333303"/>
  </r>
  <r>
    <x v="0"/>
    <x v="0"/>
    <x v="0"/>
    <x v="3"/>
    <x v="4"/>
    <s v="LV_A1"/>
    <x v="9"/>
    <x v="16"/>
    <x v="0"/>
    <x v="11"/>
    <n v="2.7777777777777799"/>
    <n v="168.98148148148201"/>
    <n v="608.33333333333303"/>
  </r>
  <r>
    <x v="0"/>
    <x v="0"/>
    <x v="0"/>
    <x v="3"/>
    <x v="4"/>
    <s v="LV_A1"/>
    <x v="9"/>
    <x v="16"/>
    <x v="1"/>
    <x v="0"/>
    <n v="2.7777777777777799"/>
    <n v="168.98148148148201"/>
    <n v="608.33333333333303"/>
  </r>
  <r>
    <x v="0"/>
    <x v="0"/>
    <x v="0"/>
    <x v="3"/>
    <x v="4"/>
    <s v="LV_A1"/>
    <x v="9"/>
    <x v="16"/>
    <x v="1"/>
    <x v="1"/>
    <n v="2.7777777777777799"/>
    <n v="168.98148148148201"/>
    <n v="608.33333333333303"/>
  </r>
  <r>
    <x v="0"/>
    <x v="0"/>
    <x v="0"/>
    <x v="3"/>
    <x v="4"/>
    <s v="LV_A1"/>
    <x v="9"/>
    <x v="16"/>
    <x v="1"/>
    <x v="2"/>
    <n v="2.7777777777777799"/>
    <n v="168.98148148148201"/>
    <n v="608.33333333333303"/>
  </r>
  <r>
    <x v="0"/>
    <x v="0"/>
    <x v="0"/>
    <x v="3"/>
    <x v="4"/>
    <s v="LV_A1"/>
    <x v="9"/>
    <x v="16"/>
    <x v="1"/>
    <x v="3"/>
    <n v="2.7777777777777799"/>
    <n v="168.98148148148201"/>
    <n v="608.33333333333303"/>
  </r>
  <r>
    <x v="0"/>
    <x v="0"/>
    <x v="0"/>
    <x v="3"/>
    <x v="4"/>
    <s v="LV_A1"/>
    <x v="9"/>
    <x v="16"/>
    <x v="1"/>
    <x v="4"/>
    <n v="2.7777777777777799"/>
    <n v="168.98148148148201"/>
    <n v="608.33333333333303"/>
  </r>
  <r>
    <x v="0"/>
    <x v="0"/>
    <x v="0"/>
    <x v="3"/>
    <x v="4"/>
    <s v="LV_A1"/>
    <x v="9"/>
    <x v="16"/>
    <x v="1"/>
    <x v="5"/>
    <n v="2.7777777777777799"/>
    <n v="168.98148148148201"/>
    <n v="608.33333333333303"/>
  </r>
  <r>
    <x v="0"/>
    <x v="0"/>
    <x v="0"/>
    <x v="3"/>
    <x v="4"/>
    <s v="LV_A1"/>
    <x v="9"/>
    <x v="16"/>
    <x v="1"/>
    <x v="6"/>
    <n v="2.7777777777777799"/>
    <n v="168.98148148148201"/>
    <n v="608.33333333333303"/>
  </r>
  <r>
    <x v="0"/>
    <x v="0"/>
    <x v="0"/>
    <x v="3"/>
    <x v="4"/>
    <s v="LV_A1"/>
    <x v="9"/>
    <x v="16"/>
    <x v="1"/>
    <x v="7"/>
    <n v="2.7777777777777799"/>
    <n v="168.98148148148201"/>
    <n v="608.33333333333303"/>
  </r>
  <r>
    <x v="0"/>
    <x v="0"/>
    <x v="0"/>
    <x v="3"/>
    <x v="4"/>
    <s v="LV_A1"/>
    <x v="9"/>
    <x v="16"/>
    <x v="1"/>
    <x v="8"/>
    <n v="2.7777777777777799"/>
    <n v="168.98148148148201"/>
    <n v="608.33333333333303"/>
  </r>
  <r>
    <x v="0"/>
    <x v="0"/>
    <x v="0"/>
    <x v="3"/>
    <x v="4"/>
    <s v="LV_A1"/>
    <x v="9"/>
    <x v="16"/>
    <x v="1"/>
    <x v="9"/>
    <n v="2.7777777777777799"/>
    <n v="168.98148148148201"/>
    <n v="608.33333333333303"/>
  </r>
  <r>
    <x v="0"/>
    <x v="0"/>
    <x v="0"/>
    <x v="3"/>
    <x v="4"/>
    <s v="LV_A1"/>
    <x v="9"/>
    <x v="16"/>
    <x v="1"/>
    <x v="10"/>
    <n v="2.7777777777777799"/>
    <n v="168.98148148148201"/>
    <n v="608.33333333333303"/>
  </r>
  <r>
    <x v="0"/>
    <x v="0"/>
    <x v="0"/>
    <x v="3"/>
    <x v="4"/>
    <s v="LV_A1"/>
    <x v="9"/>
    <x v="16"/>
    <x v="1"/>
    <x v="11"/>
    <n v="2.7777777777777799"/>
    <n v="168.98148148148201"/>
    <n v="608.33333333333303"/>
  </r>
  <r>
    <x v="0"/>
    <x v="0"/>
    <x v="0"/>
    <x v="3"/>
    <x v="4"/>
    <s v="LV_A1"/>
    <x v="9"/>
    <x v="16"/>
    <x v="2"/>
    <x v="0"/>
    <n v="2.7777777777777799"/>
    <n v="168.98148148148201"/>
    <n v="608.33333333333303"/>
  </r>
  <r>
    <x v="0"/>
    <x v="0"/>
    <x v="0"/>
    <x v="3"/>
    <x v="4"/>
    <s v="LV_A1"/>
    <x v="9"/>
    <x v="16"/>
    <x v="2"/>
    <x v="1"/>
    <n v="2.7777777777777799"/>
    <n v="168.98148148148201"/>
    <n v="608.33333333333303"/>
  </r>
  <r>
    <x v="0"/>
    <x v="0"/>
    <x v="0"/>
    <x v="3"/>
    <x v="4"/>
    <s v="LV_A1"/>
    <x v="9"/>
    <x v="16"/>
    <x v="2"/>
    <x v="2"/>
    <n v="2.7777777777777799"/>
    <n v="168.98148148148201"/>
    <n v="608.33333333333303"/>
  </r>
  <r>
    <x v="0"/>
    <x v="0"/>
    <x v="0"/>
    <x v="3"/>
    <x v="4"/>
    <s v="LV_A1"/>
    <x v="9"/>
    <x v="16"/>
    <x v="2"/>
    <x v="3"/>
    <n v="2.7777777777777799"/>
    <n v="168.98148148148201"/>
    <n v="608.33333333333303"/>
  </r>
  <r>
    <x v="0"/>
    <x v="0"/>
    <x v="0"/>
    <x v="3"/>
    <x v="4"/>
    <s v="LV_A1"/>
    <x v="9"/>
    <x v="16"/>
    <x v="2"/>
    <x v="4"/>
    <n v="2.7777777777777799"/>
    <n v="168.98148148148201"/>
    <n v="608.33333333333303"/>
  </r>
  <r>
    <x v="0"/>
    <x v="0"/>
    <x v="0"/>
    <x v="3"/>
    <x v="4"/>
    <s v="LV_A1"/>
    <x v="9"/>
    <x v="16"/>
    <x v="2"/>
    <x v="5"/>
    <n v="2.7777777777777799"/>
    <n v="168.98148148148201"/>
    <n v="608.33333333333303"/>
  </r>
  <r>
    <x v="0"/>
    <x v="0"/>
    <x v="0"/>
    <x v="3"/>
    <x v="4"/>
    <s v="LV_A1"/>
    <x v="9"/>
    <x v="16"/>
    <x v="2"/>
    <x v="6"/>
    <n v="2.7777777777777799"/>
    <n v="168.98148148148201"/>
    <n v="608.33333333333303"/>
  </r>
  <r>
    <x v="0"/>
    <x v="0"/>
    <x v="0"/>
    <x v="3"/>
    <x v="4"/>
    <s v="LV_A1"/>
    <x v="9"/>
    <x v="16"/>
    <x v="2"/>
    <x v="7"/>
    <n v="2.7777777777777799"/>
    <n v="168.98148148148201"/>
    <n v="608.33333333333303"/>
  </r>
  <r>
    <x v="0"/>
    <x v="0"/>
    <x v="0"/>
    <x v="3"/>
    <x v="4"/>
    <s v="LV_A1"/>
    <x v="9"/>
    <x v="16"/>
    <x v="2"/>
    <x v="8"/>
    <n v="2.7777777777777799"/>
    <n v="168.98148148148201"/>
    <n v="608.33333333333303"/>
  </r>
  <r>
    <x v="0"/>
    <x v="0"/>
    <x v="0"/>
    <x v="3"/>
    <x v="4"/>
    <s v="LV_A1"/>
    <x v="9"/>
    <x v="16"/>
    <x v="2"/>
    <x v="9"/>
    <n v="2.7777777777777799"/>
    <n v="168.98148148148201"/>
    <n v="608.33333333333303"/>
  </r>
  <r>
    <x v="0"/>
    <x v="0"/>
    <x v="0"/>
    <x v="3"/>
    <x v="4"/>
    <s v="LV_A1"/>
    <x v="9"/>
    <x v="16"/>
    <x v="2"/>
    <x v="10"/>
    <n v="2.7777777777777799"/>
    <n v="168.98148148148201"/>
    <n v="608.33333333333303"/>
  </r>
  <r>
    <x v="0"/>
    <x v="0"/>
    <x v="0"/>
    <x v="3"/>
    <x v="4"/>
    <s v="LV_A1"/>
    <x v="9"/>
    <x v="16"/>
    <x v="2"/>
    <x v="11"/>
    <n v="2.7777777777777799"/>
    <n v="168.98148148148201"/>
    <n v="608.33333333333303"/>
  </r>
  <r>
    <x v="0"/>
    <x v="0"/>
    <x v="0"/>
    <x v="3"/>
    <x v="4"/>
    <s v="LV_A1"/>
    <x v="9"/>
    <x v="16"/>
    <x v="3"/>
    <x v="0"/>
    <n v="2.7777777777777799"/>
    <n v="168.98148148148201"/>
    <n v="608.33333333333303"/>
  </r>
  <r>
    <x v="0"/>
    <x v="0"/>
    <x v="0"/>
    <x v="3"/>
    <x v="4"/>
    <s v="LV_A1"/>
    <x v="9"/>
    <x v="16"/>
    <x v="3"/>
    <x v="1"/>
    <n v="2.7777777777777799"/>
    <n v="168.98148148148201"/>
    <n v="608.33333333333303"/>
  </r>
  <r>
    <x v="0"/>
    <x v="0"/>
    <x v="0"/>
    <x v="3"/>
    <x v="4"/>
    <s v="LV_A1"/>
    <x v="9"/>
    <x v="16"/>
    <x v="3"/>
    <x v="2"/>
    <n v="2.7777777777777799"/>
    <n v="168.98148148148201"/>
    <n v="608.33333333333303"/>
  </r>
  <r>
    <x v="0"/>
    <x v="0"/>
    <x v="0"/>
    <x v="3"/>
    <x v="4"/>
    <s v="LV_A1"/>
    <x v="9"/>
    <x v="16"/>
    <x v="3"/>
    <x v="3"/>
    <n v="2.7777777777777799"/>
    <n v="168.98148148148201"/>
    <n v="608.33333333333303"/>
  </r>
  <r>
    <x v="0"/>
    <x v="0"/>
    <x v="0"/>
    <x v="3"/>
    <x v="4"/>
    <s v="LV_A1"/>
    <x v="9"/>
    <x v="16"/>
    <x v="3"/>
    <x v="4"/>
    <n v="2.7777777777777799"/>
    <n v="168.98148148148201"/>
    <n v="608.33333333333303"/>
  </r>
  <r>
    <x v="0"/>
    <x v="0"/>
    <x v="0"/>
    <x v="3"/>
    <x v="4"/>
    <s v="LV_A1"/>
    <x v="9"/>
    <x v="16"/>
    <x v="3"/>
    <x v="5"/>
    <n v="2.7777777777777799"/>
    <n v="168.98148148148201"/>
    <n v="608.33333333333303"/>
  </r>
  <r>
    <x v="0"/>
    <x v="0"/>
    <x v="0"/>
    <x v="3"/>
    <x v="4"/>
    <s v="LV_A1"/>
    <x v="9"/>
    <x v="16"/>
    <x v="3"/>
    <x v="6"/>
    <n v="2.7777777777777799"/>
    <n v="168.98148148148201"/>
    <n v="608.33333333333303"/>
  </r>
  <r>
    <x v="0"/>
    <x v="0"/>
    <x v="0"/>
    <x v="3"/>
    <x v="4"/>
    <s v="LV_A1"/>
    <x v="9"/>
    <x v="16"/>
    <x v="3"/>
    <x v="7"/>
    <n v="2.7777777777777799"/>
    <n v="168.98148148148201"/>
    <n v="608.33333333333303"/>
  </r>
  <r>
    <x v="0"/>
    <x v="0"/>
    <x v="0"/>
    <x v="3"/>
    <x v="4"/>
    <s v="LV_A1"/>
    <x v="9"/>
    <x v="16"/>
    <x v="3"/>
    <x v="8"/>
    <n v="2.7777777777777799"/>
    <n v="168.98148148148201"/>
    <n v="608.33333333333303"/>
  </r>
  <r>
    <x v="0"/>
    <x v="0"/>
    <x v="0"/>
    <x v="3"/>
    <x v="4"/>
    <s v="LV_A1"/>
    <x v="9"/>
    <x v="16"/>
    <x v="3"/>
    <x v="9"/>
    <n v="2.7777777777777799"/>
    <n v="168.98148148148201"/>
    <n v="608.33333333333303"/>
  </r>
  <r>
    <x v="0"/>
    <x v="0"/>
    <x v="0"/>
    <x v="3"/>
    <x v="4"/>
    <s v="LV_A1"/>
    <x v="9"/>
    <x v="16"/>
    <x v="3"/>
    <x v="10"/>
    <n v="2.7777777777777799"/>
    <n v="168.98148148148201"/>
    <n v="608.33333333333303"/>
  </r>
  <r>
    <x v="0"/>
    <x v="0"/>
    <x v="0"/>
    <x v="3"/>
    <x v="4"/>
    <s v="LV_A1"/>
    <x v="9"/>
    <x v="16"/>
    <x v="3"/>
    <x v="11"/>
    <n v="2.7777777777777799"/>
    <n v="168.98148148148201"/>
    <n v="608.33333333333303"/>
  </r>
  <r>
    <x v="0"/>
    <x v="0"/>
    <x v="0"/>
    <x v="3"/>
    <x v="4"/>
    <s v="LV_A1"/>
    <x v="9"/>
    <x v="16"/>
    <x v="4"/>
    <x v="0"/>
    <n v="2.7777777777777799"/>
    <n v="168.98148148148201"/>
    <n v="608.33333333333303"/>
  </r>
  <r>
    <x v="0"/>
    <x v="0"/>
    <x v="0"/>
    <x v="3"/>
    <x v="4"/>
    <s v="LV_A1"/>
    <x v="9"/>
    <x v="16"/>
    <x v="4"/>
    <x v="1"/>
    <n v="2.7777777777777799"/>
    <n v="168.98148148148201"/>
    <n v="608.33333333333303"/>
  </r>
  <r>
    <x v="0"/>
    <x v="0"/>
    <x v="0"/>
    <x v="3"/>
    <x v="4"/>
    <s v="LV_A1"/>
    <x v="9"/>
    <x v="16"/>
    <x v="4"/>
    <x v="2"/>
    <n v="2.7777777777777799"/>
    <n v="168.98148148148201"/>
    <n v="608.33333333333303"/>
  </r>
  <r>
    <x v="0"/>
    <x v="0"/>
    <x v="0"/>
    <x v="3"/>
    <x v="4"/>
    <s v="LV_A1"/>
    <x v="9"/>
    <x v="16"/>
    <x v="4"/>
    <x v="3"/>
    <n v="2.7777777777777799"/>
    <n v="168.98148148148201"/>
    <n v="608.33333333333303"/>
  </r>
  <r>
    <x v="0"/>
    <x v="0"/>
    <x v="0"/>
    <x v="3"/>
    <x v="4"/>
    <s v="LV_A1"/>
    <x v="9"/>
    <x v="16"/>
    <x v="4"/>
    <x v="4"/>
    <n v="2.7777777777777799"/>
    <n v="168.98148148148201"/>
    <n v="608.33333333333303"/>
  </r>
  <r>
    <x v="0"/>
    <x v="0"/>
    <x v="0"/>
    <x v="3"/>
    <x v="4"/>
    <s v="LV_A1"/>
    <x v="9"/>
    <x v="16"/>
    <x v="4"/>
    <x v="5"/>
    <n v="2.7777777777777799"/>
    <n v="168.98148148148201"/>
    <n v="608.33333333333303"/>
  </r>
  <r>
    <x v="0"/>
    <x v="0"/>
    <x v="0"/>
    <x v="3"/>
    <x v="4"/>
    <s v="LV_A1"/>
    <x v="9"/>
    <x v="16"/>
    <x v="4"/>
    <x v="6"/>
    <n v="2.7777777777777799"/>
    <n v="168.98148148148201"/>
    <n v="608.33333333333303"/>
  </r>
  <r>
    <x v="0"/>
    <x v="0"/>
    <x v="0"/>
    <x v="3"/>
    <x v="4"/>
    <s v="LV_A1"/>
    <x v="9"/>
    <x v="16"/>
    <x v="4"/>
    <x v="7"/>
    <n v="2.7777777777777799"/>
    <n v="168.98148148148201"/>
    <n v="608.33333333333303"/>
  </r>
  <r>
    <x v="0"/>
    <x v="0"/>
    <x v="0"/>
    <x v="3"/>
    <x v="4"/>
    <s v="LV_A1"/>
    <x v="9"/>
    <x v="16"/>
    <x v="4"/>
    <x v="8"/>
    <n v="2.7777777777777799"/>
    <n v="168.98148148148201"/>
    <n v="608.33333333333303"/>
  </r>
  <r>
    <x v="0"/>
    <x v="0"/>
    <x v="0"/>
    <x v="3"/>
    <x v="4"/>
    <s v="LV_A1"/>
    <x v="9"/>
    <x v="16"/>
    <x v="4"/>
    <x v="9"/>
    <n v="2.7777777777777799"/>
    <n v="168.98148148148201"/>
    <n v="608.33333333333303"/>
  </r>
  <r>
    <x v="0"/>
    <x v="0"/>
    <x v="0"/>
    <x v="3"/>
    <x v="4"/>
    <s v="LV_A1"/>
    <x v="9"/>
    <x v="16"/>
    <x v="4"/>
    <x v="10"/>
    <n v="2.7777777777777799"/>
    <n v="168.98148148148201"/>
    <n v="608.33333333333303"/>
  </r>
  <r>
    <x v="0"/>
    <x v="0"/>
    <x v="0"/>
    <x v="3"/>
    <x v="4"/>
    <s v="LV_A1"/>
    <x v="9"/>
    <x v="16"/>
    <x v="4"/>
    <x v="11"/>
    <n v="2.7777777777777799"/>
    <n v="168.98148148148201"/>
    <n v="608.33333333333303"/>
  </r>
  <r>
    <x v="0"/>
    <x v="0"/>
    <x v="0"/>
    <x v="3"/>
    <x v="4"/>
    <s v="LV_A1"/>
    <x v="9"/>
    <x v="16"/>
    <x v="5"/>
    <x v="0"/>
    <n v="2.7777777777777799"/>
    <n v="168.98148148148201"/>
    <n v="608.33333333333303"/>
  </r>
  <r>
    <x v="0"/>
    <x v="0"/>
    <x v="0"/>
    <x v="3"/>
    <x v="4"/>
    <s v="LV_A1"/>
    <x v="9"/>
    <x v="16"/>
    <x v="5"/>
    <x v="1"/>
    <n v="2.7777777777777799"/>
    <n v="168.98148148148201"/>
    <n v="608.33333333333303"/>
  </r>
  <r>
    <x v="0"/>
    <x v="0"/>
    <x v="0"/>
    <x v="3"/>
    <x v="4"/>
    <s v="LV_A1"/>
    <x v="9"/>
    <x v="16"/>
    <x v="5"/>
    <x v="2"/>
    <n v="2.7777777777777799"/>
    <n v="168.98148148148201"/>
    <n v="608.33333333333303"/>
  </r>
  <r>
    <x v="0"/>
    <x v="0"/>
    <x v="0"/>
    <x v="3"/>
    <x v="4"/>
    <s v="LV_A1"/>
    <x v="9"/>
    <x v="16"/>
    <x v="5"/>
    <x v="3"/>
    <n v="2.7777777777777799"/>
    <n v="168.98148148148201"/>
    <n v="608.33333333333303"/>
  </r>
  <r>
    <x v="0"/>
    <x v="0"/>
    <x v="0"/>
    <x v="3"/>
    <x v="4"/>
    <s v="LV_A1"/>
    <x v="9"/>
    <x v="16"/>
    <x v="5"/>
    <x v="4"/>
    <n v="2.7777777777777799"/>
    <n v="168.98148148148201"/>
    <n v="608.33333333333303"/>
  </r>
  <r>
    <x v="0"/>
    <x v="0"/>
    <x v="0"/>
    <x v="3"/>
    <x v="4"/>
    <s v="LV_A1"/>
    <x v="9"/>
    <x v="16"/>
    <x v="5"/>
    <x v="5"/>
    <n v="2.7777777777777799"/>
    <n v="168.98148148148201"/>
    <n v="608.33333333333303"/>
  </r>
  <r>
    <x v="0"/>
    <x v="0"/>
    <x v="0"/>
    <x v="3"/>
    <x v="4"/>
    <s v="LV_A1"/>
    <x v="9"/>
    <x v="16"/>
    <x v="5"/>
    <x v="6"/>
    <n v="2.7777777777777799"/>
    <n v="168.98148148148201"/>
    <n v="608.33333333333303"/>
  </r>
  <r>
    <x v="0"/>
    <x v="0"/>
    <x v="0"/>
    <x v="3"/>
    <x v="4"/>
    <s v="LV_A1"/>
    <x v="9"/>
    <x v="16"/>
    <x v="5"/>
    <x v="7"/>
    <n v="2.7777777777777799"/>
    <n v="168.98148148148201"/>
    <n v="608.33333333333303"/>
  </r>
  <r>
    <x v="0"/>
    <x v="0"/>
    <x v="0"/>
    <x v="3"/>
    <x v="4"/>
    <s v="LV_A1"/>
    <x v="9"/>
    <x v="16"/>
    <x v="5"/>
    <x v="8"/>
    <n v="2.7777777777777799"/>
    <n v="168.98148148148201"/>
    <n v="608.33333333333303"/>
  </r>
  <r>
    <x v="0"/>
    <x v="0"/>
    <x v="0"/>
    <x v="3"/>
    <x v="4"/>
    <s v="LV_A1"/>
    <x v="9"/>
    <x v="16"/>
    <x v="5"/>
    <x v="9"/>
    <n v="2.7777777777777799"/>
    <n v="168.98148148148201"/>
    <n v="608.33333333333303"/>
  </r>
  <r>
    <x v="0"/>
    <x v="0"/>
    <x v="0"/>
    <x v="3"/>
    <x v="4"/>
    <s v="LV_A1"/>
    <x v="9"/>
    <x v="16"/>
    <x v="5"/>
    <x v="10"/>
    <n v="2.7777777777777799"/>
    <n v="168.98148148148201"/>
    <n v="608.33333333333303"/>
  </r>
  <r>
    <x v="0"/>
    <x v="0"/>
    <x v="0"/>
    <x v="3"/>
    <x v="4"/>
    <s v="LV_A1"/>
    <x v="9"/>
    <x v="16"/>
    <x v="5"/>
    <x v="11"/>
    <n v="2.7777777777777799"/>
    <n v="168.98148148148201"/>
    <n v="608.33333333333303"/>
  </r>
  <r>
    <x v="0"/>
    <x v="0"/>
    <x v="0"/>
    <x v="3"/>
    <x v="4"/>
    <s v="LV_A1"/>
    <x v="9"/>
    <x v="16"/>
    <x v="6"/>
    <x v="0"/>
    <n v="2.7777777777777799"/>
    <n v="168.98148148148201"/>
    <n v="608.33333333333303"/>
  </r>
  <r>
    <x v="0"/>
    <x v="0"/>
    <x v="0"/>
    <x v="3"/>
    <x v="4"/>
    <s v="LV_A1"/>
    <x v="9"/>
    <x v="16"/>
    <x v="6"/>
    <x v="1"/>
    <n v="2.7777777777777799"/>
    <n v="168.98148148148201"/>
    <n v="608.33333333333303"/>
  </r>
  <r>
    <x v="0"/>
    <x v="0"/>
    <x v="0"/>
    <x v="3"/>
    <x v="4"/>
    <s v="LV_A1"/>
    <x v="9"/>
    <x v="16"/>
    <x v="6"/>
    <x v="2"/>
    <n v="2.7777777777777799"/>
    <n v="168.98148148148201"/>
    <n v="608.33333333333303"/>
  </r>
  <r>
    <x v="0"/>
    <x v="0"/>
    <x v="0"/>
    <x v="3"/>
    <x v="4"/>
    <s v="LV_A1"/>
    <x v="9"/>
    <x v="16"/>
    <x v="6"/>
    <x v="3"/>
    <n v="2.7777777777777799"/>
    <n v="168.98148148148201"/>
    <n v="608.33333333333303"/>
  </r>
  <r>
    <x v="0"/>
    <x v="0"/>
    <x v="0"/>
    <x v="3"/>
    <x v="4"/>
    <s v="LV_A1"/>
    <x v="9"/>
    <x v="16"/>
    <x v="6"/>
    <x v="4"/>
    <n v="2.7777777777777799"/>
    <n v="168.98148148148201"/>
    <n v="608.33333333333303"/>
  </r>
  <r>
    <x v="0"/>
    <x v="0"/>
    <x v="0"/>
    <x v="3"/>
    <x v="4"/>
    <s v="LV_A1"/>
    <x v="9"/>
    <x v="16"/>
    <x v="6"/>
    <x v="5"/>
    <n v="2.7777777777777799"/>
    <n v="168.98148148148201"/>
    <n v="608.33333333333303"/>
  </r>
  <r>
    <x v="0"/>
    <x v="0"/>
    <x v="0"/>
    <x v="3"/>
    <x v="4"/>
    <s v="LV_A1"/>
    <x v="9"/>
    <x v="16"/>
    <x v="6"/>
    <x v="6"/>
    <n v="2.7777777777777799"/>
    <n v="168.98148148148201"/>
    <n v="608.33333333333303"/>
  </r>
  <r>
    <x v="0"/>
    <x v="0"/>
    <x v="0"/>
    <x v="3"/>
    <x v="4"/>
    <s v="LV_A1"/>
    <x v="9"/>
    <x v="16"/>
    <x v="6"/>
    <x v="7"/>
    <n v="2.7777777777777799"/>
    <n v="168.98148148148201"/>
    <n v="608.33333333333303"/>
  </r>
  <r>
    <x v="0"/>
    <x v="0"/>
    <x v="0"/>
    <x v="3"/>
    <x v="4"/>
    <s v="LV_A1"/>
    <x v="9"/>
    <x v="16"/>
    <x v="6"/>
    <x v="8"/>
    <n v="2.7777777777777799"/>
    <n v="168.98148148148201"/>
    <n v="608.33333333333303"/>
  </r>
  <r>
    <x v="0"/>
    <x v="0"/>
    <x v="0"/>
    <x v="3"/>
    <x v="4"/>
    <s v="LV_A1"/>
    <x v="9"/>
    <x v="16"/>
    <x v="6"/>
    <x v="9"/>
    <n v="2.7777777777777799"/>
    <n v="168.98148148148201"/>
    <n v="608.33333333333303"/>
  </r>
  <r>
    <x v="0"/>
    <x v="0"/>
    <x v="0"/>
    <x v="3"/>
    <x v="4"/>
    <s v="LV_A1"/>
    <x v="9"/>
    <x v="16"/>
    <x v="6"/>
    <x v="10"/>
    <n v="2.7777777777777799"/>
    <n v="168.98148148148201"/>
    <n v="608.33333333333303"/>
  </r>
  <r>
    <x v="0"/>
    <x v="0"/>
    <x v="0"/>
    <x v="3"/>
    <x v="4"/>
    <s v="LV_A1"/>
    <x v="9"/>
    <x v="16"/>
    <x v="6"/>
    <x v="11"/>
    <n v="2.7777777777777799"/>
    <n v="168.98148148148201"/>
    <n v="608.33333333333303"/>
  </r>
  <r>
    <x v="0"/>
    <x v="0"/>
    <x v="0"/>
    <x v="3"/>
    <x v="4"/>
    <s v="LV_A1"/>
    <x v="9"/>
    <x v="16"/>
    <x v="7"/>
    <x v="0"/>
    <n v="2.7777777777777799"/>
    <n v="168.98148148148201"/>
    <n v="608.33333333333303"/>
  </r>
  <r>
    <x v="0"/>
    <x v="0"/>
    <x v="0"/>
    <x v="3"/>
    <x v="4"/>
    <s v="LV_A1"/>
    <x v="9"/>
    <x v="16"/>
    <x v="7"/>
    <x v="1"/>
    <n v="2.7777777777777799"/>
    <n v="168.98148148148201"/>
    <n v="608.33333333333303"/>
  </r>
  <r>
    <x v="0"/>
    <x v="0"/>
    <x v="0"/>
    <x v="3"/>
    <x v="4"/>
    <s v="LV_A1"/>
    <x v="9"/>
    <x v="16"/>
    <x v="7"/>
    <x v="2"/>
    <n v="2.7777777777777799"/>
    <n v="168.98148148148201"/>
    <n v="608.33333333333303"/>
  </r>
  <r>
    <x v="0"/>
    <x v="0"/>
    <x v="0"/>
    <x v="3"/>
    <x v="4"/>
    <s v="LV_A1"/>
    <x v="9"/>
    <x v="16"/>
    <x v="7"/>
    <x v="3"/>
    <n v="2.7777777777777799"/>
    <n v="168.98148148148201"/>
    <n v="608.33333333333303"/>
  </r>
  <r>
    <x v="0"/>
    <x v="0"/>
    <x v="0"/>
    <x v="3"/>
    <x v="4"/>
    <s v="LV_A1"/>
    <x v="9"/>
    <x v="16"/>
    <x v="7"/>
    <x v="4"/>
    <n v="2.7777777777777799"/>
    <n v="168.98148148148201"/>
    <n v="608.33333333333303"/>
  </r>
  <r>
    <x v="0"/>
    <x v="0"/>
    <x v="0"/>
    <x v="3"/>
    <x v="4"/>
    <s v="LV_A1"/>
    <x v="9"/>
    <x v="16"/>
    <x v="7"/>
    <x v="5"/>
    <n v="2.7777777777777799"/>
    <n v="168.98148148148201"/>
    <n v="608.33333333333303"/>
  </r>
  <r>
    <x v="0"/>
    <x v="0"/>
    <x v="0"/>
    <x v="3"/>
    <x v="4"/>
    <s v="LV_A1"/>
    <x v="9"/>
    <x v="16"/>
    <x v="7"/>
    <x v="6"/>
    <n v="2.7777777777777799"/>
    <n v="168.98148148148201"/>
    <n v="608.33333333333303"/>
  </r>
  <r>
    <x v="0"/>
    <x v="0"/>
    <x v="0"/>
    <x v="3"/>
    <x v="4"/>
    <s v="LV_A1"/>
    <x v="9"/>
    <x v="16"/>
    <x v="7"/>
    <x v="7"/>
    <n v="2.7777777777777799"/>
    <n v="168.98148148148201"/>
    <n v="608.33333333333303"/>
  </r>
  <r>
    <x v="0"/>
    <x v="0"/>
    <x v="0"/>
    <x v="3"/>
    <x v="4"/>
    <s v="LV_A1"/>
    <x v="9"/>
    <x v="16"/>
    <x v="7"/>
    <x v="8"/>
    <n v="2.7777777777777799"/>
    <n v="168.98148148148201"/>
    <n v="608.33333333333303"/>
  </r>
  <r>
    <x v="0"/>
    <x v="0"/>
    <x v="0"/>
    <x v="3"/>
    <x v="4"/>
    <s v="LV_A1"/>
    <x v="9"/>
    <x v="16"/>
    <x v="7"/>
    <x v="9"/>
    <n v="2.7777777777777799"/>
    <n v="168.98148148148201"/>
    <n v="608.33333333333303"/>
  </r>
  <r>
    <x v="0"/>
    <x v="0"/>
    <x v="0"/>
    <x v="3"/>
    <x v="4"/>
    <s v="LV_A1"/>
    <x v="9"/>
    <x v="16"/>
    <x v="7"/>
    <x v="10"/>
    <n v="2.7777777777777799"/>
    <n v="168.98148148148201"/>
    <n v="608.33333333333303"/>
  </r>
  <r>
    <x v="0"/>
    <x v="0"/>
    <x v="0"/>
    <x v="3"/>
    <x v="4"/>
    <s v="LV_A1"/>
    <x v="9"/>
    <x v="16"/>
    <x v="7"/>
    <x v="11"/>
    <n v="2.7777777777777799"/>
    <n v="168.98148148148201"/>
    <n v="608.33333333333303"/>
  </r>
  <r>
    <x v="0"/>
    <x v="0"/>
    <x v="0"/>
    <x v="3"/>
    <x v="4"/>
    <s v="LV_A1"/>
    <x v="9"/>
    <x v="16"/>
    <x v="8"/>
    <x v="0"/>
    <n v="2.7777777777777799"/>
    <n v="168.98148148148201"/>
    <n v="608.33333333333303"/>
  </r>
  <r>
    <x v="0"/>
    <x v="0"/>
    <x v="0"/>
    <x v="3"/>
    <x v="4"/>
    <s v="LV_A1"/>
    <x v="9"/>
    <x v="16"/>
    <x v="8"/>
    <x v="1"/>
    <n v="2.7777777777777799"/>
    <n v="168.98148148148201"/>
    <n v="608.33333333333303"/>
  </r>
  <r>
    <x v="0"/>
    <x v="0"/>
    <x v="0"/>
    <x v="3"/>
    <x v="4"/>
    <s v="LV_A1"/>
    <x v="9"/>
    <x v="16"/>
    <x v="8"/>
    <x v="2"/>
    <n v="2.7777777777777799"/>
    <n v="168.98148148148201"/>
    <n v="608.33333333333303"/>
  </r>
  <r>
    <x v="0"/>
    <x v="0"/>
    <x v="0"/>
    <x v="3"/>
    <x v="4"/>
    <s v="LV_A1"/>
    <x v="9"/>
    <x v="16"/>
    <x v="8"/>
    <x v="3"/>
    <n v="2.7777777777777799"/>
    <n v="168.98148148148201"/>
    <n v="608.33333333333303"/>
  </r>
  <r>
    <x v="0"/>
    <x v="0"/>
    <x v="0"/>
    <x v="3"/>
    <x v="4"/>
    <s v="LV_A1"/>
    <x v="9"/>
    <x v="16"/>
    <x v="8"/>
    <x v="4"/>
    <n v="2.7777777777777799"/>
    <n v="168.98148148148201"/>
    <n v="608.33333333333303"/>
  </r>
  <r>
    <x v="0"/>
    <x v="0"/>
    <x v="0"/>
    <x v="3"/>
    <x v="4"/>
    <s v="LV_A1"/>
    <x v="9"/>
    <x v="16"/>
    <x v="8"/>
    <x v="5"/>
    <n v="2.7777777777777799"/>
    <n v="168.98148148148201"/>
    <n v="608.33333333333303"/>
  </r>
  <r>
    <x v="0"/>
    <x v="0"/>
    <x v="0"/>
    <x v="3"/>
    <x v="4"/>
    <s v="LV_A1"/>
    <x v="9"/>
    <x v="16"/>
    <x v="8"/>
    <x v="6"/>
    <n v="2.7777777777777799"/>
    <n v="168.98148148148201"/>
    <n v="608.33333333333303"/>
  </r>
  <r>
    <x v="0"/>
    <x v="0"/>
    <x v="0"/>
    <x v="3"/>
    <x v="4"/>
    <s v="LV_A1"/>
    <x v="9"/>
    <x v="16"/>
    <x v="8"/>
    <x v="7"/>
    <n v="2.7777777777777799"/>
    <n v="168.98148148148201"/>
    <n v="608.33333333333303"/>
  </r>
  <r>
    <x v="0"/>
    <x v="0"/>
    <x v="0"/>
    <x v="3"/>
    <x v="4"/>
    <s v="LV_A1"/>
    <x v="9"/>
    <x v="16"/>
    <x v="8"/>
    <x v="8"/>
    <n v="2.7777777777777799"/>
    <n v="168.98148148148201"/>
    <n v="608.33333333333303"/>
  </r>
  <r>
    <x v="0"/>
    <x v="0"/>
    <x v="0"/>
    <x v="3"/>
    <x v="4"/>
    <s v="LV_A1"/>
    <x v="9"/>
    <x v="16"/>
    <x v="8"/>
    <x v="9"/>
    <n v="2.7777777777777799"/>
    <n v="168.98148148148201"/>
    <n v="608.33333333333303"/>
  </r>
  <r>
    <x v="0"/>
    <x v="0"/>
    <x v="0"/>
    <x v="3"/>
    <x v="4"/>
    <s v="LV_A1"/>
    <x v="9"/>
    <x v="16"/>
    <x v="8"/>
    <x v="10"/>
    <n v="2.7777777777777799"/>
    <n v="168.98148148148201"/>
    <n v="608.33333333333303"/>
  </r>
  <r>
    <x v="0"/>
    <x v="0"/>
    <x v="0"/>
    <x v="3"/>
    <x v="4"/>
    <s v="LV_A1"/>
    <x v="9"/>
    <x v="16"/>
    <x v="8"/>
    <x v="11"/>
    <n v="2.7777777777777799"/>
    <n v="168.98148148148201"/>
    <n v="608.33333333333303"/>
  </r>
  <r>
    <x v="0"/>
    <x v="0"/>
    <x v="0"/>
    <x v="3"/>
    <x v="4"/>
    <s v="LV_A1"/>
    <x v="9"/>
    <x v="16"/>
    <x v="9"/>
    <x v="0"/>
    <n v="2.7777777777777799"/>
    <n v="168.98148148148201"/>
    <n v="608.33333333333303"/>
  </r>
  <r>
    <x v="0"/>
    <x v="0"/>
    <x v="0"/>
    <x v="3"/>
    <x v="4"/>
    <s v="LV_A1"/>
    <x v="9"/>
    <x v="16"/>
    <x v="9"/>
    <x v="1"/>
    <n v="2.7777777777777799"/>
    <n v="168.98148148148201"/>
    <n v="608.33333333333303"/>
  </r>
  <r>
    <x v="0"/>
    <x v="0"/>
    <x v="0"/>
    <x v="3"/>
    <x v="4"/>
    <s v="LV_A1"/>
    <x v="9"/>
    <x v="16"/>
    <x v="9"/>
    <x v="2"/>
    <n v="2.7777777777777799"/>
    <n v="168.98148148148201"/>
    <n v="608.33333333333303"/>
  </r>
  <r>
    <x v="0"/>
    <x v="0"/>
    <x v="0"/>
    <x v="3"/>
    <x v="4"/>
    <s v="LV_A1"/>
    <x v="9"/>
    <x v="16"/>
    <x v="9"/>
    <x v="3"/>
    <n v="2.7777777777777799"/>
    <n v="168.98148148148201"/>
    <n v="608.33333333333303"/>
  </r>
  <r>
    <x v="0"/>
    <x v="0"/>
    <x v="0"/>
    <x v="3"/>
    <x v="4"/>
    <s v="LV_A1"/>
    <x v="9"/>
    <x v="16"/>
    <x v="9"/>
    <x v="4"/>
    <n v="2.7777777777777799"/>
    <n v="168.98148148148201"/>
    <n v="608.33333333333303"/>
  </r>
  <r>
    <x v="0"/>
    <x v="0"/>
    <x v="0"/>
    <x v="3"/>
    <x v="4"/>
    <s v="LV_A1"/>
    <x v="9"/>
    <x v="16"/>
    <x v="9"/>
    <x v="5"/>
    <n v="2.7777777777777799"/>
    <n v="168.98148148148201"/>
    <n v="608.33333333333303"/>
  </r>
  <r>
    <x v="0"/>
    <x v="0"/>
    <x v="0"/>
    <x v="3"/>
    <x v="4"/>
    <s v="LV_A1"/>
    <x v="9"/>
    <x v="16"/>
    <x v="9"/>
    <x v="6"/>
    <n v="2.7777777777777799"/>
    <n v="168.98148148148201"/>
    <n v="608.33333333333303"/>
  </r>
  <r>
    <x v="0"/>
    <x v="0"/>
    <x v="0"/>
    <x v="3"/>
    <x v="4"/>
    <s v="LV_A1"/>
    <x v="9"/>
    <x v="16"/>
    <x v="9"/>
    <x v="7"/>
    <n v="2.7777777777777799"/>
    <n v="168.98148148148201"/>
    <n v="608.33333333333303"/>
  </r>
  <r>
    <x v="0"/>
    <x v="0"/>
    <x v="0"/>
    <x v="3"/>
    <x v="4"/>
    <s v="LV_A1"/>
    <x v="9"/>
    <x v="16"/>
    <x v="9"/>
    <x v="8"/>
    <n v="2.7777777777777799"/>
    <n v="168.98148148148201"/>
    <n v="608.33333333333303"/>
  </r>
  <r>
    <x v="0"/>
    <x v="0"/>
    <x v="0"/>
    <x v="3"/>
    <x v="4"/>
    <s v="LV_A1"/>
    <x v="9"/>
    <x v="16"/>
    <x v="9"/>
    <x v="9"/>
    <n v="2.7777777777777799"/>
    <n v="168.98148148148201"/>
    <n v="608.33333333333303"/>
  </r>
  <r>
    <x v="0"/>
    <x v="0"/>
    <x v="0"/>
    <x v="3"/>
    <x v="4"/>
    <s v="LV_A1"/>
    <x v="9"/>
    <x v="16"/>
    <x v="9"/>
    <x v="10"/>
    <n v="2.7777777777777799"/>
    <n v="168.98148148148201"/>
    <n v="608.33333333333303"/>
  </r>
  <r>
    <x v="0"/>
    <x v="0"/>
    <x v="0"/>
    <x v="3"/>
    <x v="4"/>
    <s v="LV_A1"/>
    <x v="9"/>
    <x v="16"/>
    <x v="9"/>
    <x v="11"/>
    <n v="2.7777777777777799"/>
    <n v="168.98148148148201"/>
    <n v="608.33333333333303"/>
  </r>
  <r>
    <x v="0"/>
    <x v="0"/>
    <x v="0"/>
    <x v="3"/>
    <x v="4"/>
    <s v="LV_A1"/>
    <x v="9"/>
    <x v="16"/>
    <x v="10"/>
    <x v="0"/>
    <n v="2.7777777777777799"/>
    <n v="168.98148148148201"/>
    <n v="608.33333333333303"/>
  </r>
  <r>
    <x v="0"/>
    <x v="0"/>
    <x v="0"/>
    <x v="3"/>
    <x v="4"/>
    <s v="LV_A1"/>
    <x v="9"/>
    <x v="16"/>
    <x v="10"/>
    <x v="1"/>
    <n v="2.7777777777777799"/>
    <n v="168.98148148148201"/>
    <n v="608.33333333333303"/>
  </r>
  <r>
    <x v="0"/>
    <x v="0"/>
    <x v="0"/>
    <x v="3"/>
    <x v="4"/>
    <s v="LV_A1"/>
    <x v="9"/>
    <x v="16"/>
    <x v="10"/>
    <x v="2"/>
    <n v="2.7777777777777799"/>
    <n v="168.98148148148201"/>
    <n v="608.33333333333303"/>
  </r>
  <r>
    <x v="0"/>
    <x v="0"/>
    <x v="0"/>
    <x v="3"/>
    <x v="4"/>
    <s v="LV_A1"/>
    <x v="9"/>
    <x v="16"/>
    <x v="10"/>
    <x v="3"/>
    <n v="2.7777777777777799"/>
    <n v="168.98148148148201"/>
    <n v="608.33333333333303"/>
  </r>
  <r>
    <x v="0"/>
    <x v="0"/>
    <x v="0"/>
    <x v="3"/>
    <x v="4"/>
    <s v="LV_A1"/>
    <x v="9"/>
    <x v="16"/>
    <x v="10"/>
    <x v="4"/>
    <n v="2.7777777777777799"/>
    <n v="168.98148148148201"/>
    <n v="608.33333333333303"/>
  </r>
  <r>
    <x v="0"/>
    <x v="0"/>
    <x v="0"/>
    <x v="3"/>
    <x v="4"/>
    <s v="LV_A1"/>
    <x v="9"/>
    <x v="16"/>
    <x v="10"/>
    <x v="5"/>
    <n v="2.7777777777777799"/>
    <n v="168.98148148148201"/>
    <n v="608.33333333333303"/>
  </r>
  <r>
    <x v="0"/>
    <x v="0"/>
    <x v="0"/>
    <x v="3"/>
    <x v="4"/>
    <s v="LV_A1"/>
    <x v="9"/>
    <x v="16"/>
    <x v="10"/>
    <x v="6"/>
    <n v="2.7777777777777799"/>
    <n v="168.98148148148201"/>
    <n v="608.33333333333303"/>
  </r>
  <r>
    <x v="0"/>
    <x v="0"/>
    <x v="0"/>
    <x v="3"/>
    <x v="4"/>
    <s v="LV_A1"/>
    <x v="9"/>
    <x v="16"/>
    <x v="10"/>
    <x v="7"/>
    <n v="2.7777777777777799"/>
    <n v="168.98148148148201"/>
    <n v="608.33333333333303"/>
  </r>
  <r>
    <x v="0"/>
    <x v="0"/>
    <x v="0"/>
    <x v="3"/>
    <x v="4"/>
    <s v="LV_A1"/>
    <x v="9"/>
    <x v="16"/>
    <x v="10"/>
    <x v="8"/>
    <n v="2.7777777777777799"/>
    <n v="168.98148148148201"/>
    <n v="608.33333333333303"/>
  </r>
  <r>
    <x v="0"/>
    <x v="0"/>
    <x v="0"/>
    <x v="3"/>
    <x v="4"/>
    <s v="LV_A1"/>
    <x v="9"/>
    <x v="16"/>
    <x v="10"/>
    <x v="9"/>
    <n v="2.7777777777777799"/>
    <n v="168.98148148148201"/>
    <n v="608.33333333333303"/>
  </r>
  <r>
    <x v="0"/>
    <x v="0"/>
    <x v="0"/>
    <x v="3"/>
    <x v="4"/>
    <s v="LV_A1"/>
    <x v="9"/>
    <x v="16"/>
    <x v="10"/>
    <x v="10"/>
    <n v="2.7777777777777799"/>
    <n v="168.98148148148201"/>
    <n v="608.33333333333303"/>
  </r>
  <r>
    <x v="0"/>
    <x v="0"/>
    <x v="0"/>
    <x v="3"/>
    <x v="4"/>
    <s v="LV_A1"/>
    <x v="9"/>
    <x v="16"/>
    <x v="10"/>
    <x v="11"/>
    <n v="2.7777777777777799"/>
    <n v="168.98148148148201"/>
    <n v="608.33333333333303"/>
  </r>
  <r>
    <x v="0"/>
    <x v="0"/>
    <x v="0"/>
    <x v="3"/>
    <x v="4"/>
    <s v="LV_A1"/>
    <x v="9"/>
    <x v="16"/>
    <x v="11"/>
    <x v="0"/>
    <n v="2.7777777777777799"/>
    <n v="168.98148148148201"/>
    <n v="608.33333333333303"/>
  </r>
  <r>
    <x v="0"/>
    <x v="0"/>
    <x v="0"/>
    <x v="3"/>
    <x v="4"/>
    <s v="LV_A1"/>
    <x v="9"/>
    <x v="16"/>
    <x v="11"/>
    <x v="1"/>
    <n v="2.7777777777777799"/>
    <n v="168.98148148148201"/>
    <n v="608.33333333333303"/>
  </r>
  <r>
    <x v="0"/>
    <x v="0"/>
    <x v="0"/>
    <x v="3"/>
    <x v="4"/>
    <s v="LV_A1"/>
    <x v="9"/>
    <x v="16"/>
    <x v="11"/>
    <x v="2"/>
    <n v="2.7777777777777799"/>
    <n v="168.98148148148201"/>
    <n v="608.33333333333303"/>
  </r>
  <r>
    <x v="0"/>
    <x v="0"/>
    <x v="0"/>
    <x v="3"/>
    <x v="4"/>
    <s v="LV_A1"/>
    <x v="9"/>
    <x v="16"/>
    <x v="11"/>
    <x v="3"/>
    <n v="2.7777777777777799"/>
    <n v="168.98148148148201"/>
    <n v="608.33333333333303"/>
  </r>
  <r>
    <x v="0"/>
    <x v="0"/>
    <x v="0"/>
    <x v="3"/>
    <x v="4"/>
    <s v="LV_A1"/>
    <x v="9"/>
    <x v="16"/>
    <x v="11"/>
    <x v="4"/>
    <n v="2.7777777777777799"/>
    <n v="168.98148148148201"/>
    <n v="608.33333333333303"/>
  </r>
  <r>
    <x v="0"/>
    <x v="0"/>
    <x v="0"/>
    <x v="3"/>
    <x v="4"/>
    <s v="LV_A1"/>
    <x v="9"/>
    <x v="16"/>
    <x v="11"/>
    <x v="5"/>
    <n v="2.7777777777777799"/>
    <n v="168.98148148148201"/>
    <n v="608.33333333333303"/>
  </r>
  <r>
    <x v="0"/>
    <x v="0"/>
    <x v="0"/>
    <x v="3"/>
    <x v="4"/>
    <s v="LV_A1"/>
    <x v="9"/>
    <x v="16"/>
    <x v="11"/>
    <x v="6"/>
    <n v="2.7777777777777799"/>
    <n v="168.98148148148201"/>
    <n v="608.33333333333303"/>
  </r>
  <r>
    <x v="0"/>
    <x v="0"/>
    <x v="0"/>
    <x v="3"/>
    <x v="4"/>
    <s v="LV_A1"/>
    <x v="9"/>
    <x v="16"/>
    <x v="11"/>
    <x v="7"/>
    <n v="2.7777777777777799"/>
    <n v="168.98148148148201"/>
    <n v="608.33333333333303"/>
  </r>
  <r>
    <x v="0"/>
    <x v="0"/>
    <x v="0"/>
    <x v="3"/>
    <x v="4"/>
    <s v="LV_A1"/>
    <x v="9"/>
    <x v="16"/>
    <x v="11"/>
    <x v="8"/>
    <n v="2.7777777777777799"/>
    <n v="168.98148148148201"/>
    <n v="608.33333333333303"/>
  </r>
  <r>
    <x v="0"/>
    <x v="0"/>
    <x v="0"/>
    <x v="3"/>
    <x v="4"/>
    <s v="LV_A1"/>
    <x v="9"/>
    <x v="16"/>
    <x v="11"/>
    <x v="9"/>
    <n v="2.7777777777777799"/>
    <n v="168.98148148148201"/>
    <n v="608.33333333333303"/>
  </r>
  <r>
    <x v="0"/>
    <x v="0"/>
    <x v="0"/>
    <x v="3"/>
    <x v="4"/>
    <s v="LV_A1"/>
    <x v="9"/>
    <x v="16"/>
    <x v="11"/>
    <x v="10"/>
    <n v="2.7777777777777799"/>
    <n v="168.98148148148201"/>
    <n v="608.33333333333303"/>
  </r>
  <r>
    <x v="0"/>
    <x v="0"/>
    <x v="0"/>
    <x v="3"/>
    <x v="4"/>
    <s v="LV_A1"/>
    <x v="9"/>
    <x v="16"/>
    <x v="11"/>
    <x v="11"/>
    <n v="2.7777777777777799"/>
    <n v="168.98148148148201"/>
    <n v="608.33333333333303"/>
  </r>
  <r>
    <x v="0"/>
    <x v="0"/>
    <x v="0"/>
    <x v="3"/>
    <x v="4"/>
    <s v="LV_A2"/>
    <x v="10"/>
    <x v="17"/>
    <x v="0"/>
    <x v="0"/>
    <n v="4"/>
    <n v="243.333333333333"/>
    <n v="876"/>
  </r>
  <r>
    <x v="0"/>
    <x v="0"/>
    <x v="0"/>
    <x v="3"/>
    <x v="4"/>
    <s v="LV_A2"/>
    <x v="10"/>
    <x v="17"/>
    <x v="0"/>
    <x v="1"/>
    <n v="4"/>
    <n v="243.333333333333"/>
    <n v="876"/>
  </r>
  <r>
    <x v="0"/>
    <x v="0"/>
    <x v="0"/>
    <x v="3"/>
    <x v="4"/>
    <s v="LV_A2"/>
    <x v="10"/>
    <x v="17"/>
    <x v="0"/>
    <x v="2"/>
    <n v="4"/>
    <n v="243.333333333333"/>
    <n v="876"/>
  </r>
  <r>
    <x v="0"/>
    <x v="0"/>
    <x v="0"/>
    <x v="3"/>
    <x v="4"/>
    <s v="LV_A2"/>
    <x v="10"/>
    <x v="17"/>
    <x v="0"/>
    <x v="3"/>
    <n v="4"/>
    <n v="243.333333333333"/>
    <n v="876"/>
  </r>
  <r>
    <x v="0"/>
    <x v="0"/>
    <x v="0"/>
    <x v="3"/>
    <x v="4"/>
    <s v="LV_A2"/>
    <x v="10"/>
    <x v="17"/>
    <x v="0"/>
    <x v="4"/>
    <n v="4"/>
    <n v="243.333333333333"/>
    <n v="876"/>
  </r>
  <r>
    <x v="0"/>
    <x v="0"/>
    <x v="0"/>
    <x v="3"/>
    <x v="4"/>
    <s v="LV_A2"/>
    <x v="10"/>
    <x v="17"/>
    <x v="0"/>
    <x v="5"/>
    <n v="4"/>
    <n v="243.333333333333"/>
    <n v="876"/>
  </r>
  <r>
    <x v="0"/>
    <x v="0"/>
    <x v="0"/>
    <x v="3"/>
    <x v="4"/>
    <s v="LV_A2"/>
    <x v="10"/>
    <x v="17"/>
    <x v="0"/>
    <x v="6"/>
    <n v="4"/>
    <n v="243.333333333333"/>
    <n v="876"/>
  </r>
  <r>
    <x v="0"/>
    <x v="0"/>
    <x v="0"/>
    <x v="3"/>
    <x v="4"/>
    <s v="LV_A2"/>
    <x v="10"/>
    <x v="17"/>
    <x v="0"/>
    <x v="7"/>
    <n v="4"/>
    <n v="243.333333333333"/>
    <n v="876"/>
  </r>
  <r>
    <x v="0"/>
    <x v="0"/>
    <x v="0"/>
    <x v="3"/>
    <x v="4"/>
    <s v="LV_A2"/>
    <x v="10"/>
    <x v="17"/>
    <x v="0"/>
    <x v="8"/>
    <n v="4"/>
    <n v="243.333333333333"/>
    <n v="876"/>
  </r>
  <r>
    <x v="0"/>
    <x v="0"/>
    <x v="0"/>
    <x v="3"/>
    <x v="4"/>
    <s v="LV_A2"/>
    <x v="10"/>
    <x v="17"/>
    <x v="0"/>
    <x v="9"/>
    <n v="4"/>
    <n v="243.333333333333"/>
    <n v="876"/>
  </r>
  <r>
    <x v="0"/>
    <x v="0"/>
    <x v="0"/>
    <x v="3"/>
    <x v="4"/>
    <s v="LV_A2"/>
    <x v="10"/>
    <x v="17"/>
    <x v="0"/>
    <x v="10"/>
    <n v="4"/>
    <n v="243.333333333333"/>
    <n v="876"/>
  </r>
  <r>
    <x v="0"/>
    <x v="0"/>
    <x v="0"/>
    <x v="3"/>
    <x v="4"/>
    <s v="LV_A2"/>
    <x v="10"/>
    <x v="17"/>
    <x v="0"/>
    <x v="11"/>
    <n v="4"/>
    <n v="243.333333333333"/>
    <n v="876"/>
  </r>
  <r>
    <x v="0"/>
    <x v="0"/>
    <x v="0"/>
    <x v="3"/>
    <x v="4"/>
    <s v="LV_A2"/>
    <x v="10"/>
    <x v="17"/>
    <x v="1"/>
    <x v="0"/>
    <n v="4"/>
    <n v="243.333333333333"/>
    <n v="876"/>
  </r>
  <r>
    <x v="0"/>
    <x v="0"/>
    <x v="0"/>
    <x v="3"/>
    <x v="4"/>
    <s v="LV_A2"/>
    <x v="10"/>
    <x v="17"/>
    <x v="1"/>
    <x v="1"/>
    <n v="4"/>
    <n v="243.333333333333"/>
    <n v="876"/>
  </r>
  <r>
    <x v="0"/>
    <x v="0"/>
    <x v="0"/>
    <x v="3"/>
    <x v="4"/>
    <s v="LV_A2"/>
    <x v="10"/>
    <x v="17"/>
    <x v="1"/>
    <x v="2"/>
    <n v="4"/>
    <n v="243.333333333333"/>
    <n v="876"/>
  </r>
  <r>
    <x v="0"/>
    <x v="0"/>
    <x v="0"/>
    <x v="3"/>
    <x v="4"/>
    <s v="LV_A2"/>
    <x v="10"/>
    <x v="17"/>
    <x v="1"/>
    <x v="3"/>
    <n v="4"/>
    <n v="243.333333333333"/>
    <n v="876"/>
  </r>
  <r>
    <x v="0"/>
    <x v="0"/>
    <x v="0"/>
    <x v="3"/>
    <x v="4"/>
    <s v="LV_A2"/>
    <x v="10"/>
    <x v="17"/>
    <x v="1"/>
    <x v="4"/>
    <n v="4"/>
    <n v="243.333333333333"/>
    <n v="876"/>
  </r>
  <r>
    <x v="0"/>
    <x v="0"/>
    <x v="0"/>
    <x v="3"/>
    <x v="4"/>
    <s v="LV_A2"/>
    <x v="10"/>
    <x v="17"/>
    <x v="1"/>
    <x v="5"/>
    <n v="4"/>
    <n v="243.333333333333"/>
    <n v="876"/>
  </r>
  <r>
    <x v="0"/>
    <x v="0"/>
    <x v="0"/>
    <x v="3"/>
    <x v="4"/>
    <s v="LV_A2"/>
    <x v="10"/>
    <x v="17"/>
    <x v="1"/>
    <x v="6"/>
    <n v="4"/>
    <n v="243.333333333333"/>
    <n v="876"/>
  </r>
  <r>
    <x v="0"/>
    <x v="0"/>
    <x v="0"/>
    <x v="3"/>
    <x v="4"/>
    <s v="LV_A2"/>
    <x v="10"/>
    <x v="17"/>
    <x v="1"/>
    <x v="7"/>
    <n v="4"/>
    <n v="243.333333333333"/>
    <n v="876"/>
  </r>
  <r>
    <x v="0"/>
    <x v="0"/>
    <x v="0"/>
    <x v="3"/>
    <x v="4"/>
    <s v="LV_A2"/>
    <x v="10"/>
    <x v="17"/>
    <x v="1"/>
    <x v="8"/>
    <n v="4"/>
    <n v="243.333333333333"/>
    <n v="876"/>
  </r>
  <r>
    <x v="0"/>
    <x v="0"/>
    <x v="0"/>
    <x v="3"/>
    <x v="4"/>
    <s v="LV_A2"/>
    <x v="10"/>
    <x v="17"/>
    <x v="1"/>
    <x v="9"/>
    <n v="4"/>
    <n v="243.333333333333"/>
    <n v="876"/>
  </r>
  <r>
    <x v="0"/>
    <x v="0"/>
    <x v="0"/>
    <x v="3"/>
    <x v="4"/>
    <s v="LV_A2"/>
    <x v="10"/>
    <x v="17"/>
    <x v="1"/>
    <x v="10"/>
    <n v="4"/>
    <n v="243.333333333333"/>
    <n v="876"/>
  </r>
  <r>
    <x v="0"/>
    <x v="0"/>
    <x v="0"/>
    <x v="3"/>
    <x v="4"/>
    <s v="LV_A2"/>
    <x v="10"/>
    <x v="17"/>
    <x v="1"/>
    <x v="11"/>
    <n v="4"/>
    <n v="243.333333333333"/>
    <n v="876"/>
  </r>
  <r>
    <x v="0"/>
    <x v="0"/>
    <x v="0"/>
    <x v="3"/>
    <x v="4"/>
    <s v="LV_A2"/>
    <x v="10"/>
    <x v="17"/>
    <x v="2"/>
    <x v="0"/>
    <n v="4"/>
    <n v="243.333333333333"/>
    <n v="876"/>
  </r>
  <r>
    <x v="0"/>
    <x v="0"/>
    <x v="0"/>
    <x v="3"/>
    <x v="4"/>
    <s v="LV_A2"/>
    <x v="10"/>
    <x v="17"/>
    <x v="2"/>
    <x v="1"/>
    <n v="4"/>
    <n v="243.333333333333"/>
    <n v="876"/>
  </r>
  <r>
    <x v="0"/>
    <x v="0"/>
    <x v="0"/>
    <x v="3"/>
    <x v="4"/>
    <s v="LV_A2"/>
    <x v="10"/>
    <x v="17"/>
    <x v="2"/>
    <x v="2"/>
    <n v="4"/>
    <n v="243.333333333333"/>
    <n v="876"/>
  </r>
  <r>
    <x v="0"/>
    <x v="0"/>
    <x v="0"/>
    <x v="3"/>
    <x v="4"/>
    <s v="LV_A2"/>
    <x v="10"/>
    <x v="17"/>
    <x v="2"/>
    <x v="3"/>
    <n v="4"/>
    <n v="243.333333333333"/>
    <n v="876"/>
  </r>
  <r>
    <x v="0"/>
    <x v="0"/>
    <x v="0"/>
    <x v="3"/>
    <x v="4"/>
    <s v="LV_A2"/>
    <x v="10"/>
    <x v="17"/>
    <x v="2"/>
    <x v="4"/>
    <n v="4"/>
    <n v="243.333333333333"/>
    <n v="876"/>
  </r>
  <r>
    <x v="0"/>
    <x v="0"/>
    <x v="0"/>
    <x v="3"/>
    <x v="4"/>
    <s v="LV_A2"/>
    <x v="10"/>
    <x v="17"/>
    <x v="2"/>
    <x v="5"/>
    <n v="4"/>
    <n v="243.333333333333"/>
    <n v="876"/>
  </r>
  <r>
    <x v="0"/>
    <x v="0"/>
    <x v="0"/>
    <x v="3"/>
    <x v="4"/>
    <s v="LV_A2"/>
    <x v="10"/>
    <x v="17"/>
    <x v="2"/>
    <x v="6"/>
    <n v="4"/>
    <n v="243.333333333333"/>
    <n v="876"/>
  </r>
  <r>
    <x v="0"/>
    <x v="0"/>
    <x v="0"/>
    <x v="3"/>
    <x v="4"/>
    <s v="LV_A2"/>
    <x v="10"/>
    <x v="17"/>
    <x v="2"/>
    <x v="7"/>
    <n v="4"/>
    <n v="243.333333333333"/>
    <n v="876"/>
  </r>
  <r>
    <x v="0"/>
    <x v="0"/>
    <x v="0"/>
    <x v="3"/>
    <x v="4"/>
    <s v="LV_A2"/>
    <x v="10"/>
    <x v="17"/>
    <x v="2"/>
    <x v="8"/>
    <n v="4"/>
    <n v="243.333333333333"/>
    <n v="876"/>
  </r>
  <r>
    <x v="0"/>
    <x v="0"/>
    <x v="0"/>
    <x v="3"/>
    <x v="4"/>
    <s v="LV_A2"/>
    <x v="10"/>
    <x v="17"/>
    <x v="2"/>
    <x v="9"/>
    <n v="4"/>
    <n v="243.333333333333"/>
    <n v="876"/>
  </r>
  <r>
    <x v="0"/>
    <x v="0"/>
    <x v="0"/>
    <x v="3"/>
    <x v="4"/>
    <s v="LV_A2"/>
    <x v="10"/>
    <x v="17"/>
    <x v="2"/>
    <x v="10"/>
    <n v="4"/>
    <n v="243.333333333333"/>
    <n v="876"/>
  </r>
  <r>
    <x v="0"/>
    <x v="0"/>
    <x v="0"/>
    <x v="3"/>
    <x v="4"/>
    <s v="LV_A2"/>
    <x v="10"/>
    <x v="17"/>
    <x v="2"/>
    <x v="11"/>
    <n v="4"/>
    <n v="243.333333333333"/>
    <n v="876"/>
  </r>
  <r>
    <x v="0"/>
    <x v="0"/>
    <x v="0"/>
    <x v="3"/>
    <x v="4"/>
    <s v="LV_A2"/>
    <x v="10"/>
    <x v="17"/>
    <x v="3"/>
    <x v="0"/>
    <n v="4"/>
    <n v="243.333333333333"/>
    <n v="876"/>
  </r>
  <r>
    <x v="0"/>
    <x v="0"/>
    <x v="0"/>
    <x v="3"/>
    <x v="4"/>
    <s v="LV_A2"/>
    <x v="10"/>
    <x v="17"/>
    <x v="3"/>
    <x v="1"/>
    <n v="4"/>
    <n v="243.333333333333"/>
    <n v="876"/>
  </r>
  <r>
    <x v="0"/>
    <x v="0"/>
    <x v="0"/>
    <x v="3"/>
    <x v="4"/>
    <s v="LV_A2"/>
    <x v="10"/>
    <x v="17"/>
    <x v="3"/>
    <x v="2"/>
    <n v="4"/>
    <n v="243.333333333333"/>
    <n v="876"/>
  </r>
  <r>
    <x v="0"/>
    <x v="0"/>
    <x v="0"/>
    <x v="3"/>
    <x v="4"/>
    <s v="LV_A2"/>
    <x v="10"/>
    <x v="17"/>
    <x v="3"/>
    <x v="3"/>
    <n v="4"/>
    <n v="243.333333333333"/>
    <n v="876"/>
  </r>
  <r>
    <x v="0"/>
    <x v="0"/>
    <x v="0"/>
    <x v="3"/>
    <x v="4"/>
    <s v="LV_A2"/>
    <x v="10"/>
    <x v="17"/>
    <x v="3"/>
    <x v="4"/>
    <n v="4"/>
    <n v="243.333333333333"/>
    <n v="876"/>
  </r>
  <r>
    <x v="0"/>
    <x v="0"/>
    <x v="0"/>
    <x v="3"/>
    <x v="4"/>
    <s v="LV_A2"/>
    <x v="10"/>
    <x v="17"/>
    <x v="3"/>
    <x v="5"/>
    <n v="4"/>
    <n v="243.333333333333"/>
    <n v="876"/>
  </r>
  <r>
    <x v="0"/>
    <x v="0"/>
    <x v="0"/>
    <x v="3"/>
    <x v="4"/>
    <s v="LV_A2"/>
    <x v="10"/>
    <x v="17"/>
    <x v="3"/>
    <x v="6"/>
    <n v="4"/>
    <n v="243.333333333333"/>
    <n v="876"/>
  </r>
  <r>
    <x v="0"/>
    <x v="0"/>
    <x v="0"/>
    <x v="3"/>
    <x v="4"/>
    <s v="LV_A2"/>
    <x v="10"/>
    <x v="17"/>
    <x v="3"/>
    <x v="7"/>
    <n v="4"/>
    <n v="243.333333333333"/>
    <n v="876"/>
  </r>
  <r>
    <x v="0"/>
    <x v="0"/>
    <x v="0"/>
    <x v="3"/>
    <x v="4"/>
    <s v="LV_A2"/>
    <x v="10"/>
    <x v="17"/>
    <x v="3"/>
    <x v="8"/>
    <n v="4"/>
    <n v="243.333333333333"/>
    <n v="876"/>
  </r>
  <r>
    <x v="0"/>
    <x v="0"/>
    <x v="0"/>
    <x v="3"/>
    <x v="4"/>
    <s v="LV_A2"/>
    <x v="10"/>
    <x v="17"/>
    <x v="3"/>
    <x v="9"/>
    <n v="4"/>
    <n v="243.333333333333"/>
    <n v="876"/>
  </r>
  <r>
    <x v="0"/>
    <x v="0"/>
    <x v="0"/>
    <x v="3"/>
    <x v="4"/>
    <s v="LV_A2"/>
    <x v="10"/>
    <x v="17"/>
    <x v="3"/>
    <x v="10"/>
    <n v="4"/>
    <n v="243.333333333333"/>
    <n v="876"/>
  </r>
  <r>
    <x v="0"/>
    <x v="0"/>
    <x v="0"/>
    <x v="3"/>
    <x v="4"/>
    <s v="LV_A2"/>
    <x v="10"/>
    <x v="17"/>
    <x v="3"/>
    <x v="11"/>
    <n v="4"/>
    <n v="243.333333333333"/>
    <n v="876"/>
  </r>
  <r>
    <x v="0"/>
    <x v="0"/>
    <x v="0"/>
    <x v="3"/>
    <x v="4"/>
    <s v="LV_A2"/>
    <x v="10"/>
    <x v="17"/>
    <x v="4"/>
    <x v="0"/>
    <n v="4"/>
    <n v="243.333333333333"/>
    <n v="876"/>
  </r>
  <r>
    <x v="0"/>
    <x v="0"/>
    <x v="0"/>
    <x v="3"/>
    <x v="4"/>
    <s v="LV_A2"/>
    <x v="10"/>
    <x v="17"/>
    <x v="4"/>
    <x v="1"/>
    <n v="4"/>
    <n v="243.333333333333"/>
    <n v="876"/>
  </r>
  <r>
    <x v="0"/>
    <x v="0"/>
    <x v="0"/>
    <x v="3"/>
    <x v="4"/>
    <s v="LV_A2"/>
    <x v="10"/>
    <x v="17"/>
    <x v="4"/>
    <x v="2"/>
    <n v="4"/>
    <n v="243.333333333333"/>
    <n v="876"/>
  </r>
  <r>
    <x v="0"/>
    <x v="0"/>
    <x v="0"/>
    <x v="3"/>
    <x v="4"/>
    <s v="LV_A2"/>
    <x v="10"/>
    <x v="17"/>
    <x v="4"/>
    <x v="3"/>
    <n v="4"/>
    <n v="243.333333333333"/>
    <n v="876"/>
  </r>
  <r>
    <x v="0"/>
    <x v="0"/>
    <x v="0"/>
    <x v="3"/>
    <x v="4"/>
    <s v="LV_A2"/>
    <x v="10"/>
    <x v="17"/>
    <x v="4"/>
    <x v="4"/>
    <n v="4"/>
    <n v="243.333333333333"/>
    <n v="876"/>
  </r>
  <r>
    <x v="0"/>
    <x v="0"/>
    <x v="0"/>
    <x v="3"/>
    <x v="4"/>
    <s v="LV_A2"/>
    <x v="10"/>
    <x v="17"/>
    <x v="4"/>
    <x v="5"/>
    <n v="4"/>
    <n v="243.333333333333"/>
    <n v="876"/>
  </r>
  <r>
    <x v="0"/>
    <x v="0"/>
    <x v="0"/>
    <x v="3"/>
    <x v="4"/>
    <s v="LV_A2"/>
    <x v="10"/>
    <x v="17"/>
    <x v="4"/>
    <x v="6"/>
    <n v="4"/>
    <n v="243.333333333333"/>
    <n v="876"/>
  </r>
  <r>
    <x v="0"/>
    <x v="0"/>
    <x v="0"/>
    <x v="3"/>
    <x v="4"/>
    <s v="LV_A2"/>
    <x v="10"/>
    <x v="17"/>
    <x v="4"/>
    <x v="7"/>
    <n v="4"/>
    <n v="243.333333333333"/>
    <n v="876"/>
  </r>
  <r>
    <x v="0"/>
    <x v="0"/>
    <x v="0"/>
    <x v="3"/>
    <x v="4"/>
    <s v="LV_A2"/>
    <x v="10"/>
    <x v="17"/>
    <x v="4"/>
    <x v="8"/>
    <n v="4"/>
    <n v="243.333333333333"/>
    <n v="876"/>
  </r>
  <r>
    <x v="0"/>
    <x v="0"/>
    <x v="0"/>
    <x v="3"/>
    <x v="4"/>
    <s v="LV_A2"/>
    <x v="10"/>
    <x v="17"/>
    <x v="4"/>
    <x v="9"/>
    <n v="4"/>
    <n v="243.333333333333"/>
    <n v="876"/>
  </r>
  <r>
    <x v="0"/>
    <x v="0"/>
    <x v="0"/>
    <x v="3"/>
    <x v="4"/>
    <s v="LV_A2"/>
    <x v="10"/>
    <x v="17"/>
    <x v="4"/>
    <x v="10"/>
    <n v="4"/>
    <n v="243.333333333333"/>
    <n v="876"/>
  </r>
  <r>
    <x v="0"/>
    <x v="0"/>
    <x v="0"/>
    <x v="3"/>
    <x v="4"/>
    <s v="LV_A2"/>
    <x v="10"/>
    <x v="17"/>
    <x v="4"/>
    <x v="11"/>
    <n v="4"/>
    <n v="243.333333333333"/>
    <n v="876"/>
  </r>
  <r>
    <x v="0"/>
    <x v="0"/>
    <x v="0"/>
    <x v="3"/>
    <x v="4"/>
    <s v="LV_A2"/>
    <x v="10"/>
    <x v="17"/>
    <x v="5"/>
    <x v="0"/>
    <n v="4"/>
    <n v="243.333333333333"/>
    <n v="876"/>
  </r>
  <r>
    <x v="0"/>
    <x v="0"/>
    <x v="0"/>
    <x v="3"/>
    <x v="4"/>
    <s v="LV_A2"/>
    <x v="10"/>
    <x v="17"/>
    <x v="5"/>
    <x v="1"/>
    <n v="4"/>
    <n v="243.333333333333"/>
    <n v="876"/>
  </r>
  <r>
    <x v="0"/>
    <x v="0"/>
    <x v="0"/>
    <x v="3"/>
    <x v="4"/>
    <s v="LV_A2"/>
    <x v="10"/>
    <x v="17"/>
    <x v="5"/>
    <x v="2"/>
    <n v="4"/>
    <n v="243.333333333333"/>
    <n v="876"/>
  </r>
  <r>
    <x v="0"/>
    <x v="0"/>
    <x v="0"/>
    <x v="3"/>
    <x v="4"/>
    <s v="LV_A2"/>
    <x v="10"/>
    <x v="17"/>
    <x v="5"/>
    <x v="3"/>
    <n v="4"/>
    <n v="243.333333333333"/>
    <n v="876"/>
  </r>
  <r>
    <x v="0"/>
    <x v="0"/>
    <x v="0"/>
    <x v="3"/>
    <x v="4"/>
    <s v="LV_A2"/>
    <x v="10"/>
    <x v="17"/>
    <x v="5"/>
    <x v="4"/>
    <n v="4"/>
    <n v="243.333333333333"/>
    <n v="876"/>
  </r>
  <r>
    <x v="0"/>
    <x v="0"/>
    <x v="0"/>
    <x v="3"/>
    <x v="4"/>
    <s v="LV_A2"/>
    <x v="10"/>
    <x v="17"/>
    <x v="5"/>
    <x v="5"/>
    <n v="4"/>
    <n v="243.333333333333"/>
    <n v="876"/>
  </r>
  <r>
    <x v="0"/>
    <x v="0"/>
    <x v="0"/>
    <x v="3"/>
    <x v="4"/>
    <s v="LV_A2"/>
    <x v="10"/>
    <x v="17"/>
    <x v="5"/>
    <x v="6"/>
    <n v="4"/>
    <n v="243.333333333333"/>
    <n v="876"/>
  </r>
  <r>
    <x v="0"/>
    <x v="0"/>
    <x v="0"/>
    <x v="3"/>
    <x v="4"/>
    <s v="LV_A2"/>
    <x v="10"/>
    <x v="17"/>
    <x v="5"/>
    <x v="7"/>
    <n v="4"/>
    <n v="243.333333333333"/>
    <n v="876"/>
  </r>
  <r>
    <x v="0"/>
    <x v="0"/>
    <x v="0"/>
    <x v="3"/>
    <x v="4"/>
    <s v="LV_A2"/>
    <x v="10"/>
    <x v="17"/>
    <x v="5"/>
    <x v="8"/>
    <n v="4"/>
    <n v="243.333333333333"/>
    <n v="876"/>
  </r>
  <r>
    <x v="0"/>
    <x v="0"/>
    <x v="0"/>
    <x v="3"/>
    <x v="4"/>
    <s v="LV_A2"/>
    <x v="10"/>
    <x v="17"/>
    <x v="5"/>
    <x v="9"/>
    <n v="4"/>
    <n v="243.333333333333"/>
    <n v="876"/>
  </r>
  <r>
    <x v="0"/>
    <x v="0"/>
    <x v="0"/>
    <x v="3"/>
    <x v="4"/>
    <s v="LV_A2"/>
    <x v="10"/>
    <x v="17"/>
    <x v="5"/>
    <x v="10"/>
    <n v="4"/>
    <n v="243.333333333333"/>
    <n v="876"/>
  </r>
  <r>
    <x v="0"/>
    <x v="0"/>
    <x v="0"/>
    <x v="3"/>
    <x v="4"/>
    <s v="LV_A2"/>
    <x v="10"/>
    <x v="17"/>
    <x v="5"/>
    <x v="11"/>
    <n v="4"/>
    <n v="243.333333333333"/>
    <n v="876"/>
  </r>
  <r>
    <x v="0"/>
    <x v="0"/>
    <x v="0"/>
    <x v="3"/>
    <x v="4"/>
    <s v="LV_A2"/>
    <x v="10"/>
    <x v="17"/>
    <x v="6"/>
    <x v="0"/>
    <n v="4"/>
    <n v="243.333333333333"/>
    <n v="876"/>
  </r>
  <r>
    <x v="0"/>
    <x v="0"/>
    <x v="0"/>
    <x v="3"/>
    <x v="4"/>
    <s v="LV_A2"/>
    <x v="10"/>
    <x v="17"/>
    <x v="6"/>
    <x v="1"/>
    <n v="4"/>
    <n v="243.333333333333"/>
    <n v="876"/>
  </r>
  <r>
    <x v="0"/>
    <x v="0"/>
    <x v="0"/>
    <x v="3"/>
    <x v="4"/>
    <s v="LV_A2"/>
    <x v="10"/>
    <x v="17"/>
    <x v="6"/>
    <x v="2"/>
    <n v="4"/>
    <n v="243.333333333333"/>
    <n v="876"/>
  </r>
  <r>
    <x v="0"/>
    <x v="0"/>
    <x v="0"/>
    <x v="3"/>
    <x v="4"/>
    <s v="LV_A2"/>
    <x v="10"/>
    <x v="17"/>
    <x v="6"/>
    <x v="3"/>
    <n v="4"/>
    <n v="243.333333333333"/>
    <n v="876"/>
  </r>
  <r>
    <x v="0"/>
    <x v="0"/>
    <x v="0"/>
    <x v="3"/>
    <x v="4"/>
    <s v="LV_A2"/>
    <x v="10"/>
    <x v="17"/>
    <x v="6"/>
    <x v="4"/>
    <n v="4"/>
    <n v="243.333333333333"/>
    <n v="876"/>
  </r>
  <r>
    <x v="0"/>
    <x v="0"/>
    <x v="0"/>
    <x v="3"/>
    <x v="4"/>
    <s v="LV_A2"/>
    <x v="10"/>
    <x v="17"/>
    <x v="6"/>
    <x v="5"/>
    <n v="4"/>
    <n v="243.333333333333"/>
    <n v="876"/>
  </r>
  <r>
    <x v="0"/>
    <x v="0"/>
    <x v="0"/>
    <x v="3"/>
    <x v="4"/>
    <s v="LV_A2"/>
    <x v="10"/>
    <x v="17"/>
    <x v="6"/>
    <x v="6"/>
    <n v="4"/>
    <n v="243.333333333333"/>
    <n v="876"/>
  </r>
  <r>
    <x v="0"/>
    <x v="0"/>
    <x v="0"/>
    <x v="3"/>
    <x v="4"/>
    <s v="LV_A2"/>
    <x v="10"/>
    <x v="17"/>
    <x v="6"/>
    <x v="7"/>
    <n v="4"/>
    <n v="243.333333333333"/>
    <n v="876"/>
  </r>
  <r>
    <x v="0"/>
    <x v="0"/>
    <x v="0"/>
    <x v="3"/>
    <x v="4"/>
    <s v="LV_A2"/>
    <x v="10"/>
    <x v="17"/>
    <x v="6"/>
    <x v="8"/>
    <n v="4"/>
    <n v="243.333333333333"/>
    <n v="876"/>
  </r>
  <r>
    <x v="0"/>
    <x v="0"/>
    <x v="0"/>
    <x v="3"/>
    <x v="4"/>
    <s v="LV_A2"/>
    <x v="10"/>
    <x v="17"/>
    <x v="6"/>
    <x v="9"/>
    <n v="4"/>
    <n v="243.333333333333"/>
    <n v="876"/>
  </r>
  <r>
    <x v="0"/>
    <x v="0"/>
    <x v="0"/>
    <x v="3"/>
    <x v="4"/>
    <s v="LV_A2"/>
    <x v="10"/>
    <x v="17"/>
    <x v="6"/>
    <x v="10"/>
    <n v="4"/>
    <n v="243.333333333333"/>
    <n v="876"/>
  </r>
  <r>
    <x v="0"/>
    <x v="0"/>
    <x v="0"/>
    <x v="3"/>
    <x v="4"/>
    <s v="LV_A2"/>
    <x v="10"/>
    <x v="17"/>
    <x v="6"/>
    <x v="11"/>
    <n v="4"/>
    <n v="243.333333333333"/>
    <n v="876"/>
  </r>
  <r>
    <x v="0"/>
    <x v="0"/>
    <x v="0"/>
    <x v="3"/>
    <x v="4"/>
    <s v="LV_A2"/>
    <x v="10"/>
    <x v="17"/>
    <x v="7"/>
    <x v="0"/>
    <n v="4"/>
    <n v="243.333333333333"/>
    <n v="876"/>
  </r>
  <r>
    <x v="0"/>
    <x v="0"/>
    <x v="0"/>
    <x v="3"/>
    <x v="4"/>
    <s v="LV_A2"/>
    <x v="10"/>
    <x v="17"/>
    <x v="7"/>
    <x v="1"/>
    <n v="4"/>
    <n v="243.333333333333"/>
    <n v="876"/>
  </r>
  <r>
    <x v="0"/>
    <x v="0"/>
    <x v="0"/>
    <x v="3"/>
    <x v="4"/>
    <s v="LV_A2"/>
    <x v="10"/>
    <x v="17"/>
    <x v="7"/>
    <x v="2"/>
    <n v="4"/>
    <n v="243.333333333333"/>
    <n v="876"/>
  </r>
  <r>
    <x v="0"/>
    <x v="0"/>
    <x v="0"/>
    <x v="3"/>
    <x v="4"/>
    <s v="LV_A2"/>
    <x v="10"/>
    <x v="17"/>
    <x v="7"/>
    <x v="3"/>
    <n v="4"/>
    <n v="243.333333333333"/>
    <n v="876"/>
  </r>
  <r>
    <x v="0"/>
    <x v="0"/>
    <x v="0"/>
    <x v="3"/>
    <x v="4"/>
    <s v="LV_A2"/>
    <x v="10"/>
    <x v="17"/>
    <x v="7"/>
    <x v="4"/>
    <n v="4"/>
    <n v="243.333333333333"/>
    <n v="876"/>
  </r>
  <r>
    <x v="0"/>
    <x v="0"/>
    <x v="0"/>
    <x v="3"/>
    <x v="4"/>
    <s v="LV_A2"/>
    <x v="10"/>
    <x v="17"/>
    <x v="7"/>
    <x v="5"/>
    <n v="4"/>
    <n v="243.333333333333"/>
    <n v="876"/>
  </r>
  <r>
    <x v="0"/>
    <x v="0"/>
    <x v="0"/>
    <x v="3"/>
    <x v="4"/>
    <s v="LV_A2"/>
    <x v="10"/>
    <x v="17"/>
    <x v="7"/>
    <x v="6"/>
    <n v="4"/>
    <n v="243.333333333333"/>
    <n v="876"/>
  </r>
  <r>
    <x v="0"/>
    <x v="0"/>
    <x v="0"/>
    <x v="3"/>
    <x v="4"/>
    <s v="LV_A2"/>
    <x v="10"/>
    <x v="17"/>
    <x v="7"/>
    <x v="7"/>
    <n v="4"/>
    <n v="243.333333333333"/>
    <n v="876"/>
  </r>
  <r>
    <x v="0"/>
    <x v="0"/>
    <x v="0"/>
    <x v="3"/>
    <x v="4"/>
    <s v="LV_A2"/>
    <x v="10"/>
    <x v="17"/>
    <x v="7"/>
    <x v="8"/>
    <n v="4"/>
    <n v="243.333333333333"/>
    <n v="876"/>
  </r>
  <r>
    <x v="0"/>
    <x v="0"/>
    <x v="0"/>
    <x v="3"/>
    <x v="4"/>
    <s v="LV_A2"/>
    <x v="10"/>
    <x v="17"/>
    <x v="7"/>
    <x v="9"/>
    <n v="4"/>
    <n v="243.333333333333"/>
    <n v="876"/>
  </r>
  <r>
    <x v="0"/>
    <x v="0"/>
    <x v="0"/>
    <x v="3"/>
    <x v="4"/>
    <s v="LV_A2"/>
    <x v="10"/>
    <x v="17"/>
    <x v="7"/>
    <x v="10"/>
    <n v="4"/>
    <n v="243.333333333333"/>
    <n v="876"/>
  </r>
  <r>
    <x v="0"/>
    <x v="0"/>
    <x v="0"/>
    <x v="3"/>
    <x v="4"/>
    <s v="LV_A2"/>
    <x v="10"/>
    <x v="17"/>
    <x v="7"/>
    <x v="11"/>
    <n v="4"/>
    <n v="243.333333333333"/>
    <n v="876"/>
  </r>
  <r>
    <x v="0"/>
    <x v="0"/>
    <x v="0"/>
    <x v="3"/>
    <x v="4"/>
    <s v="LV_A2"/>
    <x v="10"/>
    <x v="17"/>
    <x v="8"/>
    <x v="0"/>
    <n v="4"/>
    <n v="243.333333333333"/>
    <n v="876"/>
  </r>
  <r>
    <x v="0"/>
    <x v="0"/>
    <x v="0"/>
    <x v="3"/>
    <x v="4"/>
    <s v="LV_A2"/>
    <x v="10"/>
    <x v="17"/>
    <x v="8"/>
    <x v="1"/>
    <n v="4"/>
    <n v="243.333333333333"/>
    <n v="876"/>
  </r>
  <r>
    <x v="0"/>
    <x v="0"/>
    <x v="0"/>
    <x v="3"/>
    <x v="4"/>
    <s v="LV_A2"/>
    <x v="10"/>
    <x v="17"/>
    <x v="8"/>
    <x v="2"/>
    <n v="4"/>
    <n v="243.333333333333"/>
    <n v="876"/>
  </r>
  <r>
    <x v="0"/>
    <x v="0"/>
    <x v="0"/>
    <x v="3"/>
    <x v="4"/>
    <s v="LV_A2"/>
    <x v="10"/>
    <x v="17"/>
    <x v="8"/>
    <x v="3"/>
    <n v="4"/>
    <n v="243.333333333333"/>
    <n v="876"/>
  </r>
  <r>
    <x v="0"/>
    <x v="0"/>
    <x v="0"/>
    <x v="3"/>
    <x v="4"/>
    <s v="LV_A2"/>
    <x v="10"/>
    <x v="17"/>
    <x v="8"/>
    <x v="4"/>
    <n v="4"/>
    <n v="243.333333333333"/>
    <n v="876"/>
  </r>
  <r>
    <x v="0"/>
    <x v="0"/>
    <x v="0"/>
    <x v="3"/>
    <x v="4"/>
    <s v="LV_A2"/>
    <x v="10"/>
    <x v="17"/>
    <x v="8"/>
    <x v="5"/>
    <n v="4"/>
    <n v="243.333333333333"/>
    <n v="876"/>
  </r>
  <r>
    <x v="0"/>
    <x v="0"/>
    <x v="0"/>
    <x v="3"/>
    <x v="4"/>
    <s v="LV_A2"/>
    <x v="10"/>
    <x v="17"/>
    <x v="8"/>
    <x v="6"/>
    <n v="4"/>
    <n v="243.333333333333"/>
    <n v="876"/>
  </r>
  <r>
    <x v="0"/>
    <x v="0"/>
    <x v="0"/>
    <x v="3"/>
    <x v="4"/>
    <s v="LV_A2"/>
    <x v="10"/>
    <x v="17"/>
    <x v="8"/>
    <x v="7"/>
    <n v="4"/>
    <n v="243.333333333333"/>
    <n v="876"/>
  </r>
  <r>
    <x v="0"/>
    <x v="0"/>
    <x v="0"/>
    <x v="3"/>
    <x v="4"/>
    <s v="LV_A2"/>
    <x v="10"/>
    <x v="17"/>
    <x v="8"/>
    <x v="8"/>
    <n v="4"/>
    <n v="243.333333333333"/>
    <n v="876"/>
  </r>
  <r>
    <x v="0"/>
    <x v="0"/>
    <x v="0"/>
    <x v="3"/>
    <x v="4"/>
    <s v="LV_A2"/>
    <x v="10"/>
    <x v="17"/>
    <x v="8"/>
    <x v="9"/>
    <n v="4"/>
    <n v="243.333333333333"/>
    <n v="876"/>
  </r>
  <r>
    <x v="0"/>
    <x v="0"/>
    <x v="0"/>
    <x v="3"/>
    <x v="4"/>
    <s v="LV_A2"/>
    <x v="10"/>
    <x v="17"/>
    <x v="8"/>
    <x v="10"/>
    <n v="4"/>
    <n v="243.333333333333"/>
    <n v="876"/>
  </r>
  <r>
    <x v="0"/>
    <x v="0"/>
    <x v="0"/>
    <x v="3"/>
    <x v="4"/>
    <s v="LV_A2"/>
    <x v="10"/>
    <x v="17"/>
    <x v="8"/>
    <x v="11"/>
    <n v="4"/>
    <n v="243.333333333333"/>
    <n v="876"/>
  </r>
  <r>
    <x v="0"/>
    <x v="0"/>
    <x v="0"/>
    <x v="3"/>
    <x v="4"/>
    <s v="LV_A2"/>
    <x v="10"/>
    <x v="17"/>
    <x v="9"/>
    <x v="0"/>
    <n v="4"/>
    <n v="243.333333333333"/>
    <n v="876"/>
  </r>
  <r>
    <x v="0"/>
    <x v="0"/>
    <x v="0"/>
    <x v="3"/>
    <x v="4"/>
    <s v="LV_A2"/>
    <x v="10"/>
    <x v="17"/>
    <x v="9"/>
    <x v="1"/>
    <n v="4"/>
    <n v="243.333333333333"/>
    <n v="876"/>
  </r>
  <r>
    <x v="0"/>
    <x v="0"/>
    <x v="0"/>
    <x v="3"/>
    <x v="4"/>
    <s v="LV_A2"/>
    <x v="10"/>
    <x v="17"/>
    <x v="9"/>
    <x v="2"/>
    <n v="4"/>
    <n v="243.333333333333"/>
    <n v="876"/>
  </r>
  <r>
    <x v="0"/>
    <x v="0"/>
    <x v="0"/>
    <x v="3"/>
    <x v="4"/>
    <s v="LV_A2"/>
    <x v="10"/>
    <x v="17"/>
    <x v="9"/>
    <x v="3"/>
    <n v="4"/>
    <n v="243.333333333333"/>
    <n v="876"/>
  </r>
  <r>
    <x v="0"/>
    <x v="0"/>
    <x v="0"/>
    <x v="3"/>
    <x v="4"/>
    <s v="LV_A2"/>
    <x v="10"/>
    <x v="17"/>
    <x v="9"/>
    <x v="4"/>
    <n v="4"/>
    <n v="243.333333333333"/>
    <n v="876"/>
  </r>
  <r>
    <x v="0"/>
    <x v="0"/>
    <x v="0"/>
    <x v="3"/>
    <x v="4"/>
    <s v="LV_A2"/>
    <x v="10"/>
    <x v="17"/>
    <x v="9"/>
    <x v="5"/>
    <n v="4"/>
    <n v="243.333333333333"/>
    <n v="876"/>
  </r>
  <r>
    <x v="0"/>
    <x v="0"/>
    <x v="0"/>
    <x v="3"/>
    <x v="4"/>
    <s v="LV_A2"/>
    <x v="10"/>
    <x v="17"/>
    <x v="9"/>
    <x v="6"/>
    <n v="4"/>
    <n v="243.333333333333"/>
    <n v="876"/>
  </r>
  <r>
    <x v="0"/>
    <x v="0"/>
    <x v="0"/>
    <x v="3"/>
    <x v="4"/>
    <s v="LV_A2"/>
    <x v="10"/>
    <x v="17"/>
    <x v="9"/>
    <x v="7"/>
    <n v="4"/>
    <n v="243.333333333333"/>
    <n v="876"/>
  </r>
  <r>
    <x v="0"/>
    <x v="0"/>
    <x v="0"/>
    <x v="3"/>
    <x v="4"/>
    <s v="LV_A2"/>
    <x v="10"/>
    <x v="17"/>
    <x v="9"/>
    <x v="8"/>
    <n v="4"/>
    <n v="243.333333333333"/>
    <n v="876"/>
  </r>
  <r>
    <x v="0"/>
    <x v="0"/>
    <x v="0"/>
    <x v="3"/>
    <x v="4"/>
    <s v="LV_A2"/>
    <x v="10"/>
    <x v="17"/>
    <x v="9"/>
    <x v="9"/>
    <n v="4"/>
    <n v="243.333333333333"/>
    <n v="876"/>
  </r>
  <r>
    <x v="0"/>
    <x v="0"/>
    <x v="0"/>
    <x v="3"/>
    <x v="4"/>
    <s v="LV_A2"/>
    <x v="10"/>
    <x v="17"/>
    <x v="9"/>
    <x v="10"/>
    <n v="4"/>
    <n v="243.333333333333"/>
    <n v="876"/>
  </r>
  <r>
    <x v="0"/>
    <x v="0"/>
    <x v="0"/>
    <x v="3"/>
    <x v="4"/>
    <s v="LV_A2"/>
    <x v="10"/>
    <x v="17"/>
    <x v="9"/>
    <x v="11"/>
    <n v="4"/>
    <n v="243.333333333333"/>
    <n v="876"/>
  </r>
  <r>
    <x v="0"/>
    <x v="0"/>
    <x v="0"/>
    <x v="3"/>
    <x v="4"/>
    <s v="LV_A2"/>
    <x v="10"/>
    <x v="17"/>
    <x v="10"/>
    <x v="0"/>
    <n v="4"/>
    <n v="243.333333333333"/>
    <n v="876"/>
  </r>
  <r>
    <x v="0"/>
    <x v="0"/>
    <x v="0"/>
    <x v="3"/>
    <x v="4"/>
    <s v="LV_A2"/>
    <x v="10"/>
    <x v="17"/>
    <x v="10"/>
    <x v="1"/>
    <n v="4"/>
    <n v="243.333333333333"/>
    <n v="876"/>
  </r>
  <r>
    <x v="0"/>
    <x v="0"/>
    <x v="0"/>
    <x v="3"/>
    <x v="4"/>
    <s v="LV_A2"/>
    <x v="10"/>
    <x v="17"/>
    <x v="10"/>
    <x v="2"/>
    <n v="4"/>
    <n v="243.333333333333"/>
    <n v="876"/>
  </r>
  <r>
    <x v="0"/>
    <x v="0"/>
    <x v="0"/>
    <x v="3"/>
    <x v="4"/>
    <s v="LV_A2"/>
    <x v="10"/>
    <x v="17"/>
    <x v="10"/>
    <x v="3"/>
    <n v="4"/>
    <n v="243.333333333333"/>
    <n v="876"/>
  </r>
  <r>
    <x v="0"/>
    <x v="0"/>
    <x v="0"/>
    <x v="3"/>
    <x v="4"/>
    <s v="LV_A2"/>
    <x v="10"/>
    <x v="17"/>
    <x v="10"/>
    <x v="4"/>
    <n v="4"/>
    <n v="243.333333333333"/>
    <n v="876"/>
  </r>
  <r>
    <x v="0"/>
    <x v="0"/>
    <x v="0"/>
    <x v="3"/>
    <x v="4"/>
    <s v="LV_A2"/>
    <x v="10"/>
    <x v="17"/>
    <x v="10"/>
    <x v="5"/>
    <n v="4"/>
    <n v="243.333333333333"/>
    <n v="876"/>
  </r>
  <r>
    <x v="0"/>
    <x v="0"/>
    <x v="0"/>
    <x v="3"/>
    <x v="4"/>
    <s v="LV_A2"/>
    <x v="10"/>
    <x v="17"/>
    <x v="10"/>
    <x v="6"/>
    <n v="4"/>
    <n v="243.333333333333"/>
    <n v="876"/>
  </r>
  <r>
    <x v="0"/>
    <x v="0"/>
    <x v="0"/>
    <x v="3"/>
    <x v="4"/>
    <s v="LV_A2"/>
    <x v="10"/>
    <x v="17"/>
    <x v="10"/>
    <x v="7"/>
    <n v="4"/>
    <n v="243.333333333333"/>
    <n v="876"/>
  </r>
  <r>
    <x v="0"/>
    <x v="0"/>
    <x v="0"/>
    <x v="3"/>
    <x v="4"/>
    <s v="LV_A2"/>
    <x v="10"/>
    <x v="17"/>
    <x v="10"/>
    <x v="8"/>
    <n v="4"/>
    <n v="243.333333333333"/>
    <n v="876"/>
  </r>
  <r>
    <x v="0"/>
    <x v="0"/>
    <x v="0"/>
    <x v="3"/>
    <x v="4"/>
    <s v="LV_A2"/>
    <x v="10"/>
    <x v="17"/>
    <x v="10"/>
    <x v="9"/>
    <n v="4"/>
    <n v="243.333333333333"/>
    <n v="876"/>
  </r>
  <r>
    <x v="0"/>
    <x v="0"/>
    <x v="0"/>
    <x v="3"/>
    <x v="4"/>
    <s v="LV_A2"/>
    <x v="10"/>
    <x v="17"/>
    <x v="10"/>
    <x v="10"/>
    <n v="4"/>
    <n v="243.333333333333"/>
    <n v="876"/>
  </r>
  <r>
    <x v="0"/>
    <x v="0"/>
    <x v="0"/>
    <x v="3"/>
    <x v="4"/>
    <s v="LV_A2"/>
    <x v="10"/>
    <x v="17"/>
    <x v="10"/>
    <x v="11"/>
    <n v="4"/>
    <n v="243.333333333333"/>
    <n v="876"/>
  </r>
  <r>
    <x v="0"/>
    <x v="0"/>
    <x v="0"/>
    <x v="3"/>
    <x v="4"/>
    <s v="LV_A2"/>
    <x v="10"/>
    <x v="17"/>
    <x v="11"/>
    <x v="0"/>
    <n v="4"/>
    <n v="243.333333333333"/>
    <n v="876"/>
  </r>
  <r>
    <x v="0"/>
    <x v="0"/>
    <x v="0"/>
    <x v="3"/>
    <x v="4"/>
    <s v="LV_A2"/>
    <x v="10"/>
    <x v="17"/>
    <x v="11"/>
    <x v="1"/>
    <n v="4"/>
    <n v="243.333333333333"/>
    <n v="876"/>
  </r>
  <r>
    <x v="0"/>
    <x v="0"/>
    <x v="0"/>
    <x v="3"/>
    <x v="4"/>
    <s v="LV_A2"/>
    <x v="10"/>
    <x v="17"/>
    <x v="11"/>
    <x v="2"/>
    <n v="4"/>
    <n v="243.333333333333"/>
    <n v="876"/>
  </r>
  <r>
    <x v="0"/>
    <x v="0"/>
    <x v="0"/>
    <x v="3"/>
    <x v="4"/>
    <s v="LV_A2"/>
    <x v="10"/>
    <x v="17"/>
    <x v="11"/>
    <x v="3"/>
    <n v="4"/>
    <n v="243.333333333333"/>
    <n v="876"/>
  </r>
  <r>
    <x v="0"/>
    <x v="0"/>
    <x v="0"/>
    <x v="3"/>
    <x v="4"/>
    <s v="LV_A2"/>
    <x v="10"/>
    <x v="17"/>
    <x v="11"/>
    <x v="4"/>
    <n v="4"/>
    <n v="243.333333333333"/>
    <n v="876"/>
  </r>
  <r>
    <x v="0"/>
    <x v="0"/>
    <x v="0"/>
    <x v="3"/>
    <x v="4"/>
    <s v="LV_A2"/>
    <x v="10"/>
    <x v="17"/>
    <x v="11"/>
    <x v="5"/>
    <n v="4"/>
    <n v="243.333333333333"/>
    <n v="876"/>
  </r>
  <r>
    <x v="0"/>
    <x v="0"/>
    <x v="0"/>
    <x v="3"/>
    <x v="4"/>
    <s v="LV_A2"/>
    <x v="10"/>
    <x v="17"/>
    <x v="11"/>
    <x v="6"/>
    <n v="4"/>
    <n v="243.333333333333"/>
    <n v="876"/>
  </r>
  <r>
    <x v="0"/>
    <x v="0"/>
    <x v="0"/>
    <x v="3"/>
    <x v="4"/>
    <s v="LV_A2"/>
    <x v="10"/>
    <x v="17"/>
    <x v="11"/>
    <x v="7"/>
    <n v="4"/>
    <n v="243.333333333333"/>
    <n v="876"/>
  </r>
  <r>
    <x v="0"/>
    <x v="0"/>
    <x v="0"/>
    <x v="3"/>
    <x v="4"/>
    <s v="LV_A2"/>
    <x v="10"/>
    <x v="17"/>
    <x v="11"/>
    <x v="8"/>
    <n v="4"/>
    <n v="243.333333333333"/>
    <n v="876"/>
  </r>
  <r>
    <x v="0"/>
    <x v="0"/>
    <x v="0"/>
    <x v="3"/>
    <x v="4"/>
    <s v="LV_A2"/>
    <x v="10"/>
    <x v="17"/>
    <x v="11"/>
    <x v="9"/>
    <n v="4"/>
    <n v="243.333333333333"/>
    <n v="876"/>
  </r>
  <r>
    <x v="0"/>
    <x v="0"/>
    <x v="0"/>
    <x v="3"/>
    <x v="4"/>
    <s v="LV_A2"/>
    <x v="10"/>
    <x v="17"/>
    <x v="11"/>
    <x v="10"/>
    <n v="4"/>
    <n v="243.333333333333"/>
    <n v="876"/>
  </r>
  <r>
    <x v="0"/>
    <x v="0"/>
    <x v="0"/>
    <x v="3"/>
    <x v="4"/>
    <s v="LV_A2"/>
    <x v="10"/>
    <x v="17"/>
    <x v="11"/>
    <x v="11"/>
    <n v="4"/>
    <n v="243.333333333333"/>
    <n v="876"/>
  </r>
  <r>
    <x v="0"/>
    <x v="0"/>
    <x v="0"/>
    <x v="3"/>
    <x v="4"/>
    <s v="LV_A2"/>
    <x v="4"/>
    <x v="4"/>
    <x v="0"/>
    <x v="0"/>
    <n v="42.615979898264897"/>
    <n v="2592.47211047778"/>
    <n v="9332.8995977200102"/>
  </r>
  <r>
    <x v="0"/>
    <x v="0"/>
    <x v="0"/>
    <x v="3"/>
    <x v="4"/>
    <s v="LV_A2"/>
    <x v="4"/>
    <x v="4"/>
    <x v="0"/>
    <x v="1"/>
    <n v="35.897801255932798"/>
    <n v="2183.7829097359099"/>
    <n v="7861.6184750492903"/>
  </r>
  <r>
    <x v="0"/>
    <x v="0"/>
    <x v="0"/>
    <x v="3"/>
    <x v="4"/>
    <s v="LV_A2"/>
    <x v="4"/>
    <x v="4"/>
    <x v="1"/>
    <x v="0"/>
    <n v="28.762763825538499"/>
    <n v="1749.73479938693"/>
    <n v="6299.0452777929304"/>
  </r>
  <r>
    <x v="0"/>
    <x v="0"/>
    <x v="0"/>
    <x v="3"/>
    <x v="4"/>
    <s v="LV_A2"/>
    <x v="4"/>
    <x v="4"/>
    <x v="1"/>
    <x v="1"/>
    <n v="7.91080880097266"/>
    <n v="481.240868725837"/>
    <n v="1732.4671274130101"/>
  </r>
  <r>
    <x v="0"/>
    <x v="0"/>
    <x v="0"/>
    <x v="3"/>
    <x v="4"/>
    <s v="LV_A2"/>
    <x v="4"/>
    <x v="4"/>
    <x v="1"/>
    <x v="4"/>
    <n v="5.1429295734784004"/>
    <n v="312.86154905326902"/>
    <n v="1126.3015765917701"/>
  </r>
  <r>
    <x v="0"/>
    <x v="0"/>
    <x v="0"/>
    <x v="3"/>
    <x v="4"/>
    <s v="LV_A2"/>
    <x v="4"/>
    <x v="4"/>
    <x v="1"/>
    <x v="5"/>
    <n v="47.131147540983598"/>
    <n v="2867.14480874317"/>
    <n v="10321.721311475399"/>
  </r>
  <r>
    <x v="0"/>
    <x v="0"/>
    <x v="0"/>
    <x v="3"/>
    <x v="4"/>
    <s v="LV_A2"/>
    <x v="4"/>
    <x v="4"/>
    <x v="1"/>
    <x v="6"/>
    <n v="47.131147540983598"/>
    <n v="2867.14480874317"/>
    <n v="10321.721311475399"/>
  </r>
  <r>
    <x v="0"/>
    <x v="0"/>
    <x v="0"/>
    <x v="3"/>
    <x v="4"/>
    <s v="LV_A2"/>
    <x v="4"/>
    <x v="4"/>
    <x v="1"/>
    <x v="7"/>
    <n v="47.131147540983598"/>
    <n v="2867.14480874317"/>
    <n v="10321.721311475399"/>
  </r>
  <r>
    <x v="0"/>
    <x v="0"/>
    <x v="0"/>
    <x v="3"/>
    <x v="4"/>
    <s v="LV_A2"/>
    <x v="4"/>
    <x v="4"/>
    <x v="1"/>
    <x v="8"/>
    <n v="47.131147540983598"/>
    <n v="2867.14480874317"/>
    <n v="10321.721311475399"/>
  </r>
  <r>
    <x v="0"/>
    <x v="0"/>
    <x v="0"/>
    <x v="3"/>
    <x v="4"/>
    <s v="LV_A2"/>
    <x v="4"/>
    <x v="4"/>
    <x v="1"/>
    <x v="9"/>
    <n v="43.311021117672297"/>
    <n v="2634.7537846584"/>
    <n v="9485.1136247702398"/>
  </r>
  <r>
    <x v="0"/>
    <x v="0"/>
    <x v="0"/>
    <x v="3"/>
    <x v="4"/>
    <s v="LV_A2"/>
    <x v="4"/>
    <x v="4"/>
    <x v="1"/>
    <x v="10"/>
    <n v="33.6740012409931"/>
    <n v="2048.5017421604098"/>
    <n v="7374.6062717774803"/>
  </r>
  <r>
    <x v="0"/>
    <x v="0"/>
    <x v="0"/>
    <x v="3"/>
    <x v="4"/>
    <s v="LV_A2"/>
    <x v="4"/>
    <x v="4"/>
    <x v="1"/>
    <x v="11"/>
    <n v="29.4578050449459"/>
    <n v="1792.0164735675401"/>
    <n v="6451.25930484316"/>
  </r>
  <r>
    <x v="0"/>
    <x v="0"/>
    <x v="0"/>
    <x v="3"/>
    <x v="4"/>
    <s v="LV_A2"/>
    <x v="4"/>
    <x v="4"/>
    <x v="2"/>
    <x v="5"/>
    <n v="3.7631854512402798"/>
    <n v="228.92711495045"/>
    <n v="824.13761382162204"/>
  </r>
  <r>
    <x v="0"/>
    <x v="0"/>
    <x v="0"/>
    <x v="3"/>
    <x v="4"/>
    <s v="LV_A2"/>
    <x v="4"/>
    <x v="4"/>
    <x v="2"/>
    <x v="6"/>
    <n v="41.504079890795197"/>
    <n v="2524.8315266900399"/>
    <n v="9089.3934960841598"/>
  </r>
  <r>
    <x v="0"/>
    <x v="0"/>
    <x v="0"/>
    <x v="3"/>
    <x v="4"/>
    <s v="LV_A2"/>
    <x v="4"/>
    <x v="4"/>
    <x v="2"/>
    <x v="7"/>
    <n v="46.508044783364703"/>
    <n v="2829.2393909880202"/>
    <n v="10185.261807556901"/>
  </r>
  <r>
    <x v="0"/>
    <x v="0"/>
    <x v="0"/>
    <x v="3"/>
    <x v="4"/>
    <s v="LV_A2"/>
    <x v="4"/>
    <x v="4"/>
    <x v="2"/>
    <x v="8"/>
    <n v="42.199121110202697"/>
    <n v="2567.11320087066"/>
    <n v="9241.6075231343893"/>
  </r>
  <r>
    <x v="0"/>
    <x v="0"/>
    <x v="0"/>
    <x v="3"/>
    <x v="4"/>
    <s v="LV_A2"/>
    <x v="4"/>
    <x v="4"/>
    <x v="2"/>
    <x v="9"/>
    <n v="39.697138663917698"/>
    <n v="2414.9092687216598"/>
    <n v="8693.6733673979797"/>
  </r>
  <r>
    <x v="0"/>
    <x v="0"/>
    <x v="0"/>
    <x v="3"/>
    <x v="4"/>
    <s v="LV_A2"/>
    <x v="4"/>
    <x v="4"/>
    <x v="2"/>
    <x v="10"/>
    <n v="40.901766148502702"/>
    <n v="2488.1907740339202"/>
    <n v="8957.4867865221004"/>
  </r>
  <r>
    <x v="0"/>
    <x v="0"/>
    <x v="0"/>
    <x v="3"/>
    <x v="4"/>
    <s v="LV_A2"/>
    <x v="4"/>
    <x v="4"/>
    <x v="2"/>
    <x v="11"/>
    <n v="40.2994524062102"/>
    <n v="2451.55002137779"/>
    <n v="8825.5800769600392"/>
  </r>
  <r>
    <x v="0"/>
    <x v="0"/>
    <x v="0"/>
    <x v="3"/>
    <x v="4"/>
    <s v="LV_A2"/>
    <x v="4"/>
    <x v="4"/>
    <x v="3"/>
    <x v="4"/>
    <n v="37.704742482810303"/>
    <n v="2293.7051677043"/>
    <n v="8257.3386037354594"/>
  </r>
  <r>
    <x v="0"/>
    <x v="0"/>
    <x v="0"/>
    <x v="3"/>
    <x v="4"/>
    <s v="LV_A2"/>
    <x v="4"/>
    <x v="4"/>
    <x v="3"/>
    <x v="5"/>
    <n v="38.307056225102897"/>
    <n v="2330.3459203604202"/>
    <n v="8389.2453132975297"/>
  </r>
  <r>
    <x v="0"/>
    <x v="0"/>
    <x v="0"/>
    <x v="3"/>
    <x v="4"/>
    <s v="LV_A2"/>
    <x v="4"/>
    <x v="4"/>
    <x v="3"/>
    <x v="6"/>
    <n v="43.311021117672297"/>
    <n v="2634.7537846584"/>
    <n v="9485.1136247702398"/>
  </r>
  <r>
    <x v="0"/>
    <x v="0"/>
    <x v="0"/>
    <x v="3"/>
    <x v="4"/>
    <s v="LV_A2"/>
    <x v="4"/>
    <x v="4"/>
    <x v="3"/>
    <x v="7"/>
    <n v="47.131147540983598"/>
    <n v="2867.14480874317"/>
    <n v="10321.721311475399"/>
  </r>
  <r>
    <x v="0"/>
    <x v="0"/>
    <x v="0"/>
    <x v="3"/>
    <x v="4"/>
    <s v="LV_A2"/>
    <x v="4"/>
    <x v="4"/>
    <x v="3"/>
    <x v="8"/>
    <n v="45.813003563957302"/>
    <n v="2786.9577168074002"/>
    <n v="10033.0477805067"/>
  </r>
  <r>
    <x v="0"/>
    <x v="0"/>
    <x v="0"/>
    <x v="3"/>
    <x v="4"/>
    <s v="LV_A2"/>
    <x v="4"/>
    <x v="4"/>
    <x v="3"/>
    <x v="9"/>
    <n v="42.7087073753802"/>
    <n v="2598.1130320022999"/>
    <n v="9353.2069152082695"/>
  </r>
  <r>
    <x v="0"/>
    <x v="0"/>
    <x v="0"/>
    <x v="3"/>
    <x v="4"/>
    <s v="LV_A2"/>
    <x v="4"/>
    <x v="4"/>
    <x v="3"/>
    <x v="10"/>
    <n v="42.106393633087698"/>
    <n v="2561.4722793461701"/>
    <n v="9221.3002056462192"/>
  </r>
  <r>
    <x v="0"/>
    <x v="0"/>
    <x v="0"/>
    <x v="3"/>
    <x v="4"/>
    <s v="LV_A2"/>
    <x v="4"/>
    <x v="4"/>
    <x v="3"/>
    <x v="11"/>
    <n v="40.901766148502702"/>
    <n v="2488.1907740339202"/>
    <n v="8957.4867865221004"/>
  </r>
  <r>
    <x v="0"/>
    <x v="0"/>
    <x v="0"/>
    <x v="3"/>
    <x v="4"/>
    <s v="LV_A2"/>
    <x v="4"/>
    <x v="4"/>
    <x v="4"/>
    <x v="5"/>
    <n v="26.863095121545999"/>
    <n v="1634.1716198940501"/>
    <n v="5883.0178316185902"/>
  </r>
  <r>
    <x v="0"/>
    <x v="0"/>
    <x v="0"/>
    <x v="3"/>
    <x v="4"/>
    <s v="LV_A2"/>
    <x v="4"/>
    <x v="4"/>
    <x v="4"/>
    <x v="6"/>
    <n v="30.662432529530498"/>
    <n v="1865.29797887977"/>
    <n v="6715.0727239671896"/>
  </r>
  <r>
    <x v="0"/>
    <x v="0"/>
    <x v="0"/>
    <x v="3"/>
    <x v="4"/>
    <s v="LV_A2"/>
    <x v="4"/>
    <x v="4"/>
    <x v="4"/>
    <x v="7"/>
    <n v="33.859456195222897"/>
    <n v="2059.7835852093899"/>
    <n v="7415.2209067538197"/>
  </r>
  <r>
    <x v="0"/>
    <x v="0"/>
    <x v="0"/>
    <x v="3"/>
    <x v="4"/>
    <s v="LV_A2"/>
    <x v="4"/>
    <x v="4"/>
    <x v="4"/>
    <x v="8"/>
    <n v="30.1528462643534"/>
    <n v="1834.2981477481601"/>
    <n v="6603.4733318933904"/>
  </r>
  <r>
    <x v="0"/>
    <x v="0"/>
    <x v="0"/>
    <x v="3"/>
    <x v="4"/>
    <s v="LV_A2"/>
    <x v="4"/>
    <x v="4"/>
    <x v="4"/>
    <x v="9"/>
    <n v="27.0485500757759"/>
    <n v="1645.45346294303"/>
    <n v="5923.6324665949196"/>
  </r>
  <r>
    <x v="0"/>
    <x v="0"/>
    <x v="0"/>
    <x v="3"/>
    <x v="4"/>
    <s v="LV_A2"/>
    <x v="4"/>
    <x v="4"/>
    <x v="4"/>
    <x v="10"/>
    <n v="25.8439225911909"/>
    <n v="1572.1719576307801"/>
    <n v="5659.8190474707999"/>
  </r>
  <r>
    <x v="0"/>
    <x v="0"/>
    <x v="0"/>
    <x v="3"/>
    <x v="4"/>
    <s v="LV_A2"/>
    <x v="4"/>
    <x v="4"/>
    <x v="4"/>
    <x v="11"/>
    <n v="25.241608848898402"/>
    <n v="1535.5312049746501"/>
    <n v="5527.9123379087396"/>
  </r>
  <r>
    <x v="0"/>
    <x v="0"/>
    <x v="0"/>
    <x v="3"/>
    <x v="4"/>
    <s v="LV_A2"/>
    <x v="4"/>
    <x v="4"/>
    <x v="5"/>
    <x v="6"/>
    <n v="16.2069027145116"/>
    <n v="985.91991513278901"/>
    <n v="3549.31169447804"/>
  </r>
  <r>
    <x v="0"/>
    <x v="0"/>
    <x v="0"/>
    <x v="3"/>
    <x v="4"/>
    <s v="LV_A2"/>
    <x v="4"/>
    <x v="4"/>
    <x v="5"/>
    <x v="7"/>
    <n v="24.2224363185436"/>
    <n v="1473.5315427114001"/>
    <n v="5304.7135537610602"/>
  </r>
  <r>
    <x v="0"/>
    <x v="0"/>
    <x v="0"/>
    <x v="3"/>
    <x v="4"/>
    <s v="LV_A2"/>
    <x v="4"/>
    <x v="4"/>
    <x v="5"/>
    <x v="8"/>
    <n v="21.1181401299662"/>
    <n v="1284.68685790628"/>
    <n v="4624.8726884625903"/>
  </r>
  <r>
    <x v="0"/>
    <x v="0"/>
    <x v="0"/>
    <x v="3"/>
    <x v="4"/>
    <s v="LV_A2"/>
    <x v="4"/>
    <x v="4"/>
    <x v="5"/>
    <x v="9"/>
    <n v="19.820785168266202"/>
    <n v="1205.76443106953"/>
    <n v="4340.7519518503004"/>
  </r>
  <r>
    <x v="0"/>
    <x v="0"/>
    <x v="0"/>
    <x v="3"/>
    <x v="4"/>
    <s v="LV_A2"/>
    <x v="4"/>
    <x v="4"/>
    <x v="5"/>
    <x v="10"/>
    <n v="19.2184714259737"/>
    <n v="1169.1236784134001"/>
    <n v="4208.8452422882401"/>
  </r>
  <r>
    <x v="0"/>
    <x v="0"/>
    <x v="0"/>
    <x v="3"/>
    <x v="4"/>
    <s v="LV_A2"/>
    <x v="4"/>
    <x v="4"/>
    <x v="5"/>
    <x v="11"/>
    <n v="18.616157683681202"/>
    <n v="1132.4829257572701"/>
    <n v="4076.9385327261898"/>
  </r>
  <r>
    <x v="0"/>
    <x v="0"/>
    <x v="0"/>
    <x v="3"/>
    <x v="4"/>
    <s v="LV_A2"/>
    <x v="4"/>
    <x v="4"/>
    <x v="6"/>
    <x v="5"/>
    <n v="47.131147540983598"/>
    <n v="2867.14480874317"/>
    <n v="10321.721311475399"/>
  </r>
  <r>
    <x v="0"/>
    <x v="0"/>
    <x v="0"/>
    <x v="3"/>
    <x v="4"/>
    <s v="LV_A2"/>
    <x v="4"/>
    <x v="4"/>
    <x v="6"/>
    <x v="6"/>
    <n v="47.131147540983598"/>
    <n v="2867.14480874317"/>
    <n v="10321.721311475399"/>
  </r>
  <r>
    <x v="0"/>
    <x v="0"/>
    <x v="0"/>
    <x v="3"/>
    <x v="4"/>
    <s v="LV_A2"/>
    <x v="4"/>
    <x v="4"/>
    <x v="6"/>
    <x v="7"/>
    <n v="47.131147540983598"/>
    <n v="2867.14480874317"/>
    <n v="10321.721311475399"/>
  </r>
  <r>
    <x v="0"/>
    <x v="0"/>
    <x v="0"/>
    <x v="3"/>
    <x v="4"/>
    <s v="LV_A2"/>
    <x v="4"/>
    <x v="4"/>
    <x v="6"/>
    <x v="8"/>
    <n v="47.131147540983598"/>
    <n v="2867.14480874317"/>
    <n v="10321.721311475399"/>
  </r>
  <r>
    <x v="0"/>
    <x v="0"/>
    <x v="0"/>
    <x v="3"/>
    <x v="4"/>
    <s v="LV_A2"/>
    <x v="4"/>
    <x v="4"/>
    <x v="6"/>
    <x v="9"/>
    <n v="47.131147540983598"/>
    <n v="2867.14480874317"/>
    <n v="10321.721311475399"/>
  </r>
  <r>
    <x v="0"/>
    <x v="0"/>
    <x v="0"/>
    <x v="3"/>
    <x v="4"/>
    <s v="LV_A2"/>
    <x v="4"/>
    <x v="4"/>
    <x v="6"/>
    <x v="10"/>
    <n v="47.131147540983598"/>
    <n v="2867.14480874317"/>
    <n v="10321.721311475399"/>
  </r>
  <r>
    <x v="0"/>
    <x v="0"/>
    <x v="0"/>
    <x v="3"/>
    <x v="4"/>
    <s v="LV_A2"/>
    <x v="4"/>
    <x v="4"/>
    <x v="6"/>
    <x v="11"/>
    <n v="47.131147540983598"/>
    <n v="2867.14480874317"/>
    <n v="10321.721311475399"/>
  </r>
  <r>
    <x v="0"/>
    <x v="0"/>
    <x v="0"/>
    <x v="3"/>
    <x v="4"/>
    <s v="LV_A2"/>
    <x v="4"/>
    <x v="4"/>
    <x v="7"/>
    <x v="5"/>
    <n v="47.131147540983598"/>
    <n v="2867.14480874317"/>
    <n v="10321.721311475399"/>
  </r>
  <r>
    <x v="0"/>
    <x v="0"/>
    <x v="0"/>
    <x v="3"/>
    <x v="4"/>
    <s v="LV_A2"/>
    <x v="4"/>
    <x v="4"/>
    <x v="7"/>
    <x v="6"/>
    <n v="47.131147540983598"/>
    <n v="2867.14480874317"/>
    <n v="10321.721311475399"/>
  </r>
  <r>
    <x v="0"/>
    <x v="0"/>
    <x v="0"/>
    <x v="3"/>
    <x v="4"/>
    <s v="LV_A2"/>
    <x v="4"/>
    <x v="4"/>
    <x v="7"/>
    <x v="7"/>
    <n v="47.131147540983598"/>
    <n v="2867.14480874317"/>
    <n v="10321.721311475399"/>
  </r>
  <r>
    <x v="0"/>
    <x v="0"/>
    <x v="0"/>
    <x v="3"/>
    <x v="4"/>
    <s v="LV_A2"/>
    <x v="4"/>
    <x v="4"/>
    <x v="7"/>
    <x v="8"/>
    <n v="47.131147540983598"/>
    <n v="2867.14480874317"/>
    <n v="10321.721311475399"/>
  </r>
  <r>
    <x v="0"/>
    <x v="0"/>
    <x v="0"/>
    <x v="3"/>
    <x v="4"/>
    <s v="LV_A2"/>
    <x v="4"/>
    <x v="4"/>
    <x v="7"/>
    <x v="9"/>
    <n v="47.131147540983598"/>
    <n v="2867.14480874317"/>
    <n v="10321.721311475399"/>
  </r>
  <r>
    <x v="0"/>
    <x v="0"/>
    <x v="0"/>
    <x v="3"/>
    <x v="4"/>
    <s v="LV_A2"/>
    <x v="4"/>
    <x v="4"/>
    <x v="7"/>
    <x v="10"/>
    <n v="47.131147540983598"/>
    <n v="2867.14480874317"/>
    <n v="10321.721311475399"/>
  </r>
  <r>
    <x v="0"/>
    <x v="0"/>
    <x v="0"/>
    <x v="3"/>
    <x v="4"/>
    <s v="LV_A2"/>
    <x v="4"/>
    <x v="4"/>
    <x v="7"/>
    <x v="11"/>
    <n v="47.131147540983598"/>
    <n v="2867.14480874317"/>
    <n v="10321.721311475399"/>
  </r>
  <r>
    <x v="0"/>
    <x v="0"/>
    <x v="0"/>
    <x v="3"/>
    <x v="4"/>
    <s v="LV_A2"/>
    <x v="4"/>
    <x v="4"/>
    <x v="8"/>
    <x v="0"/>
    <n v="47.131147540983598"/>
    <n v="2867.14480874317"/>
    <n v="10321.721311475399"/>
  </r>
  <r>
    <x v="0"/>
    <x v="0"/>
    <x v="0"/>
    <x v="3"/>
    <x v="4"/>
    <s v="LV_A2"/>
    <x v="4"/>
    <x v="4"/>
    <x v="8"/>
    <x v="2"/>
    <n v="47.131147540983598"/>
    <n v="2867.14480874317"/>
    <n v="10321.721311475399"/>
  </r>
  <r>
    <x v="0"/>
    <x v="0"/>
    <x v="0"/>
    <x v="3"/>
    <x v="4"/>
    <s v="LV_A2"/>
    <x v="4"/>
    <x v="4"/>
    <x v="8"/>
    <x v="3"/>
    <n v="47.131147540983598"/>
    <n v="2867.14480874317"/>
    <n v="10321.721311475399"/>
  </r>
  <r>
    <x v="0"/>
    <x v="0"/>
    <x v="0"/>
    <x v="3"/>
    <x v="4"/>
    <s v="LV_A2"/>
    <x v="4"/>
    <x v="4"/>
    <x v="8"/>
    <x v="4"/>
    <n v="47.131147540983598"/>
    <n v="2867.14480874317"/>
    <n v="10321.721311475399"/>
  </r>
  <r>
    <x v="0"/>
    <x v="0"/>
    <x v="0"/>
    <x v="3"/>
    <x v="4"/>
    <s v="LV_A2"/>
    <x v="4"/>
    <x v="4"/>
    <x v="8"/>
    <x v="5"/>
    <n v="47.131147540983598"/>
    <n v="2867.14480874317"/>
    <n v="10321.721311475399"/>
  </r>
  <r>
    <x v="0"/>
    <x v="0"/>
    <x v="0"/>
    <x v="3"/>
    <x v="4"/>
    <s v="LV_A2"/>
    <x v="4"/>
    <x v="4"/>
    <x v="8"/>
    <x v="6"/>
    <n v="47.131147540983598"/>
    <n v="2867.14480874317"/>
    <n v="10321.721311475399"/>
  </r>
  <r>
    <x v="0"/>
    <x v="0"/>
    <x v="0"/>
    <x v="3"/>
    <x v="4"/>
    <s v="LV_A2"/>
    <x v="4"/>
    <x v="4"/>
    <x v="8"/>
    <x v="7"/>
    <n v="47.131147540983598"/>
    <n v="2867.14480874317"/>
    <n v="10321.721311475399"/>
  </r>
  <r>
    <x v="0"/>
    <x v="0"/>
    <x v="0"/>
    <x v="3"/>
    <x v="4"/>
    <s v="LV_A2"/>
    <x v="4"/>
    <x v="4"/>
    <x v="8"/>
    <x v="8"/>
    <n v="47.131147540983598"/>
    <n v="2867.14480874317"/>
    <n v="10321.721311475399"/>
  </r>
  <r>
    <x v="0"/>
    <x v="0"/>
    <x v="0"/>
    <x v="3"/>
    <x v="4"/>
    <s v="LV_A2"/>
    <x v="4"/>
    <x v="4"/>
    <x v="8"/>
    <x v="9"/>
    <n v="47.131147540983598"/>
    <n v="2867.14480874317"/>
    <n v="10321.721311475399"/>
  </r>
  <r>
    <x v="0"/>
    <x v="0"/>
    <x v="0"/>
    <x v="3"/>
    <x v="4"/>
    <s v="LV_A2"/>
    <x v="4"/>
    <x v="4"/>
    <x v="8"/>
    <x v="10"/>
    <n v="47.131147540983598"/>
    <n v="2867.14480874317"/>
    <n v="10321.721311475399"/>
  </r>
  <r>
    <x v="0"/>
    <x v="0"/>
    <x v="0"/>
    <x v="3"/>
    <x v="4"/>
    <s v="LV_A2"/>
    <x v="4"/>
    <x v="4"/>
    <x v="8"/>
    <x v="11"/>
    <n v="47.131147540983598"/>
    <n v="2867.14480874317"/>
    <n v="10321.721311475399"/>
  </r>
  <r>
    <x v="0"/>
    <x v="0"/>
    <x v="0"/>
    <x v="3"/>
    <x v="4"/>
    <s v="LV_A2"/>
    <x v="4"/>
    <x v="4"/>
    <x v="9"/>
    <x v="0"/>
    <n v="24.546567629490902"/>
    <n v="1493.2495307940301"/>
    <n v="5375.69831085852"/>
  </r>
  <r>
    <x v="0"/>
    <x v="0"/>
    <x v="0"/>
    <x v="3"/>
    <x v="4"/>
    <s v="LV_A2"/>
    <x v="4"/>
    <x v="4"/>
    <x v="9"/>
    <x v="1"/>
    <n v="19.635330214036401"/>
    <n v="1194.4825880205501"/>
    <n v="4300.1373168739701"/>
  </r>
  <r>
    <x v="0"/>
    <x v="0"/>
    <x v="0"/>
    <x v="3"/>
    <x v="4"/>
    <s v="LV_A2"/>
    <x v="4"/>
    <x v="4"/>
    <x v="9"/>
    <x v="2"/>
    <n v="17.828388987158799"/>
    <n v="1084.56033005216"/>
    <n v="3904.4171881877901"/>
  </r>
  <r>
    <x v="0"/>
    <x v="0"/>
    <x v="0"/>
    <x v="3"/>
    <x v="4"/>
    <s v="LV_A2"/>
    <x v="4"/>
    <x v="4"/>
    <x v="9"/>
    <x v="3"/>
    <n v="15.419134017989199"/>
    <n v="937.99731942767903"/>
    <n v="3376.7903499396498"/>
  </r>
  <r>
    <x v="0"/>
    <x v="0"/>
    <x v="0"/>
    <x v="3"/>
    <x v="4"/>
    <s v="LV_A2"/>
    <x v="4"/>
    <x v="4"/>
    <x v="9"/>
    <x v="4"/>
    <n v="13.612192791111701"/>
    <n v="828.07506145929597"/>
    <n v="2981.0702212534702"/>
  </r>
  <r>
    <x v="0"/>
    <x v="0"/>
    <x v="0"/>
    <x v="3"/>
    <x v="4"/>
    <s v="LV_A2"/>
    <x v="4"/>
    <x v="4"/>
    <x v="9"/>
    <x v="5"/>
    <n v="13.612192791111701"/>
    <n v="828.07506145929597"/>
    <n v="2981.0702212534702"/>
  </r>
  <r>
    <x v="0"/>
    <x v="0"/>
    <x v="0"/>
    <x v="3"/>
    <x v="4"/>
    <s v="LV_A2"/>
    <x v="4"/>
    <x v="4"/>
    <x v="9"/>
    <x v="6"/>
    <n v="22.832353879728799"/>
    <n v="1388.9681943501701"/>
    <n v="5000.2854996606002"/>
  </r>
  <r>
    <x v="0"/>
    <x v="0"/>
    <x v="0"/>
    <x v="3"/>
    <x v="4"/>
    <s v="LV_A2"/>
    <x v="4"/>
    <x v="4"/>
    <x v="9"/>
    <x v="7"/>
    <n v="29.6432599991758"/>
    <n v="1803.29831661653"/>
    <n v="6491.8739398194903"/>
  </r>
  <r>
    <x v="0"/>
    <x v="0"/>
    <x v="0"/>
    <x v="3"/>
    <x v="4"/>
    <s v="LV_A2"/>
    <x v="4"/>
    <x v="4"/>
    <x v="9"/>
    <x v="8"/>
    <n v="25.936650068305799"/>
    <n v="1577.8128791552699"/>
    <n v="5680.12636495897"/>
  </r>
  <r>
    <x v="0"/>
    <x v="0"/>
    <x v="0"/>
    <x v="3"/>
    <x v="4"/>
    <s v="LV_A2"/>
    <x v="4"/>
    <x v="4"/>
    <x v="9"/>
    <x v="9"/>
    <n v="19.2184714259737"/>
    <n v="1169.1236784134001"/>
    <n v="4208.8452422882401"/>
  </r>
  <r>
    <x v="0"/>
    <x v="0"/>
    <x v="0"/>
    <x v="3"/>
    <x v="4"/>
    <s v="LV_A2"/>
    <x v="4"/>
    <x v="4"/>
    <x v="9"/>
    <x v="10"/>
    <n v="15.0022752299266"/>
    <n v="912.63840982053398"/>
    <n v="3285.4982753539198"/>
  </r>
  <r>
    <x v="0"/>
    <x v="0"/>
    <x v="0"/>
    <x v="3"/>
    <x v="4"/>
    <s v="LV_A2"/>
    <x v="4"/>
    <x v="4"/>
    <x v="9"/>
    <x v="11"/>
    <n v="12.5930202607565"/>
    <n v="766.075399196023"/>
    <n v="2757.8714371056799"/>
  </r>
  <r>
    <x v="0"/>
    <x v="0"/>
    <x v="0"/>
    <x v="3"/>
    <x v="4"/>
    <s v="LV_A2"/>
    <x v="4"/>
    <x v="4"/>
    <x v="10"/>
    <x v="2"/>
    <n v="14.214506533404199"/>
    <n v="864.715814115424"/>
    <n v="3112.9769308155301"/>
  </r>
  <r>
    <x v="0"/>
    <x v="0"/>
    <x v="0"/>
    <x v="3"/>
    <x v="4"/>
    <s v="LV_A2"/>
    <x v="4"/>
    <x v="4"/>
    <x v="10"/>
    <x v="3"/>
    <n v="11.805251564234201"/>
    <n v="718.15280349091302"/>
    <n v="2585.3500925672902"/>
  </r>
  <r>
    <x v="0"/>
    <x v="0"/>
    <x v="0"/>
    <x v="3"/>
    <x v="4"/>
    <s v="LV_A2"/>
    <x v="4"/>
    <x v="4"/>
    <x v="10"/>
    <x v="4"/>
    <n v="19.033016471743899"/>
    <n v="1157.8418353644199"/>
    <n v="4168.2306073119098"/>
  </r>
  <r>
    <x v="0"/>
    <x v="0"/>
    <x v="0"/>
    <x v="3"/>
    <x v="4"/>
    <s v="LV_A2"/>
    <x v="4"/>
    <x v="4"/>
    <x v="10"/>
    <x v="5"/>
    <n v="16.021447760281301"/>
    <n v="974.63807208378103"/>
    <n v="3508.6970595016101"/>
  </r>
  <r>
    <x v="0"/>
    <x v="0"/>
    <x v="0"/>
    <x v="3"/>
    <x v="4"/>
    <s v="LV_A2"/>
    <x v="4"/>
    <x v="4"/>
    <x v="10"/>
    <x v="6"/>
    <n v="19.2184714259737"/>
    <n v="1169.1236784134001"/>
    <n v="4208.8452422882401"/>
  </r>
  <r>
    <x v="0"/>
    <x v="0"/>
    <x v="0"/>
    <x v="3"/>
    <x v="4"/>
    <s v="LV_A2"/>
    <x v="4"/>
    <x v="4"/>
    <x v="10"/>
    <x v="7"/>
    <n v="24.2224363185436"/>
    <n v="1473.5315427114001"/>
    <n v="5304.7135537610602"/>
  </r>
  <r>
    <x v="0"/>
    <x v="0"/>
    <x v="0"/>
    <x v="3"/>
    <x v="4"/>
    <s v="LV_A2"/>
    <x v="4"/>
    <x v="4"/>
    <x v="10"/>
    <x v="8"/>
    <n v="18.708885160796601"/>
    <n v="1138.1238472817899"/>
    <n v="4097.24585021445"/>
  </r>
  <r>
    <x v="0"/>
    <x v="0"/>
    <x v="0"/>
    <x v="3"/>
    <x v="4"/>
    <s v="LV_A2"/>
    <x v="4"/>
    <x v="4"/>
    <x v="10"/>
    <x v="9"/>
    <n v="14.3999614876341"/>
    <n v="875.99765716440595"/>
    <n v="3153.5915657918599"/>
  </r>
  <r>
    <x v="0"/>
    <x v="0"/>
    <x v="0"/>
    <x v="3"/>
    <x v="4"/>
    <s v="LV_A2"/>
    <x v="4"/>
    <x v="4"/>
    <x v="10"/>
    <x v="10"/>
    <n v="10.7860790338794"/>
    <n v="656.15314122766597"/>
    <n v="2362.1513084195999"/>
  </r>
  <r>
    <x v="0"/>
    <x v="0"/>
    <x v="0"/>
    <x v="3"/>
    <x v="4"/>
    <s v="LV_A2"/>
    <x v="4"/>
    <x v="4"/>
    <x v="10"/>
    <x v="11"/>
    <n v="10.1837652915869"/>
    <n v="619.51238857153896"/>
    <n v="2230.24459885754"/>
  </r>
  <r>
    <x v="0"/>
    <x v="0"/>
    <x v="0"/>
    <x v="3"/>
    <x v="4"/>
    <s v="LV_A2"/>
    <x v="4"/>
    <x v="4"/>
    <x v="11"/>
    <x v="6"/>
    <n v="25.8439225911909"/>
    <n v="1572.1719576307801"/>
    <n v="5659.8190474707999"/>
  </r>
  <r>
    <x v="0"/>
    <x v="0"/>
    <x v="0"/>
    <x v="3"/>
    <x v="4"/>
    <s v="LV_A2"/>
    <x v="4"/>
    <x v="4"/>
    <x v="11"/>
    <x v="7"/>
    <n v="30.8478874837608"/>
    <n v="1876.5798219287799"/>
    <n v="6755.68735894361"/>
  </r>
  <r>
    <x v="0"/>
    <x v="0"/>
    <x v="0"/>
    <x v="3"/>
    <x v="4"/>
    <s v="LV_A2"/>
    <x v="4"/>
    <x v="4"/>
    <x v="11"/>
    <x v="8"/>
    <n v="27.141277552890799"/>
    <n v="1651.0943844675201"/>
    <n v="5943.9397840830898"/>
  </r>
  <r>
    <x v="0"/>
    <x v="0"/>
    <x v="0"/>
    <x v="3"/>
    <x v="4"/>
    <s v="LV_A2"/>
    <x v="4"/>
    <x v="4"/>
    <x v="11"/>
    <x v="9"/>
    <n v="22.832353879728799"/>
    <n v="1388.9681943501701"/>
    <n v="5000.2854996606002"/>
  </r>
  <r>
    <x v="0"/>
    <x v="0"/>
    <x v="0"/>
    <x v="3"/>
    <x v="4"/>
    <s v="LV_A2"/>
    <x v="4"/>
    <x v="4"/>
    <x v="11"/>
    <x v="10"/>
    <n v="22.230040137436301"/>
    <n v="1352.3274416940401"/>
    <n v="4868.3787900985399"/>
  </r>
  <r>
    <x v="0"/>
    <x v="0"/>
    <x v="0"/>
    <x v="3"/>
    <x v="4"/>
    <s v="LV_A2"/>
    <x v="4"/>
    <x v="4"/>
    <x v="11"/>
    <x v="11"/>
    <n v="20.4230989105587"/>
    <n v="1242.40518372566"/>
    <n v="4472.6586614123598"/>
  </r>
  <r>
    <x v="0"/>
    <x v="0"/>
    <x v="0"/>
    <x v="3"/>
    <x v="4"/>
    <s v="LV_A2"/>
    <x v="4"/>
    <x v="14"/>
    <x v="0"/>
    <x v="2"/>
    <n v="19.693173771347801"/>
    <n v="1198.00140442366"/>
    <n v="4312.8050559251697"/>
  </r>
  <r>
    <x v="0"/>
    <x v="0"/>
    <x v="0"/>
    <x v="3"/>
    <x v="4"/>
    <s v="LV_A2"/>
    <x v="4"/>
    <x v="14"/>
    <x v="0"/>
    <x v="3"/>
    <n v="33.919600526120298"/>
    <n v="2063.4423653389899"/>
    <n v="7428.3925152203601"/>
  </r>
  <r>
    <x v="0"/>
    <x v="0"/>
    <x v="0"/>
    <x v="3"/>
    <x v="4"/>
    <s v="LV_A2"/>
    <x v="4"/>
    <x v="14"/>
    <x v="0"/>
    <x v="4"/>
    <n v="33.919600526120298"/>
    <n v="2063.4423653389899"/>
    <n v="7428.3925152203601"/>
  </r>
  <r>
    <x v="0"/>
    <x v="0"/>
    <x v="0"/>
    <x v="3"/>
    <x v="4"/>
    <s v="LV_A2"/>
    <x v="4"/>
    <x v="14"/>
    <x v="0"/>
    <x v="5"/>
    <n v="36.9311692375829"/>
    <n v="2246.64612861963"/>
    <n v="8087.9260630306499"/>
  </r>
  <r>
    <x v="0"/>
    <x v="0"/>
    <x v="0"/>
    <x v="3"/>
    <x v="4"/>
    <s v="LV_A2"/>
    <x v="4"/>
    <x v="14"/>
    <x v="0"/>
    <x v="6"/>
    <n v="44.344389099322399"/>
    <n v="2697.6170035421101"/>
    <n v="9711.4212127516093"/>
  </r>
  <r>
    <x v="0"/>
    <x v="0"/>
    <x v="0"/>
    <x v="3"/>
    <x v="4"/>
    <s v="LV_A2"/>
    <x v="4"/>
    <x v="14"/>
    <x v="0"/>
    <x v="7"/>
    <n v="46.336785280429801"/>
    <n v="2818.8211045594799"/>
    <n v="10147.755976414101"/>
  </r>
  <r>
    <x v="0"/>
    <x v="0"/>
    <x v="0"/>
    <x v="3"/>
    <x v="4"/>
    <s v="LV_A2"/>
    <x v="4"/>
    <x v="14"/>
    <x v="0"/>
    <x v="8"/>
    <n v="39.618606638097702"/>
    <n v="2410.1319038176098"/>
    <n v="8676.4748537433898"/>
  </r>
  <r>
    <x v="0"/>
    <x v="0"/>
    <x v="0"/>
    <x v="3"/>
    <x v="4"/>
    <s v="LV_A2"/>
    <x v="4"/>
    <x v="14"/>
    <x v="0"/>
    <x v="9"/>
    <n v="29.888859284303098"/>
    <n v="1818.2389397950999"/>
    <n v="6545.6601832623701"/>
  </r>
  <r>
    <x v="0"/>
    <x v="0"/>
    <x v="0"/>
    <x v="3"/>
    <x v="4"/>
    <s v="LV_A2"/>
    <x v="4"/>
    <x v="14"/>
    <x v="0"/>
    <x v="10"/>
    <n v="26.877290572841002"/>
    <n v="1635.0351765144901"/>
    <n v="5886.1266354521704"/>
  </r>
  <r>
    <x v="0"/>
    <x v="0"/>
    <x v="0"/>
    <x v="3"/>
    <x v="4"/>
    <s v="LV_A2"/>
    <x v="4"/>
    <x v="14"/>
    <x v="0"/>
    <x v="11"/>
    <n v="25.0703493459634"/>
    <n v="1525.11291854611"/>
    <n v="5490.4065067659903"/>
  </r>
  <r>
    <x v="0"/>
    <x v="0"/>
    <x v="0"/>
    <x v="3"/>
    <x v="4"/>
    <s v="LV_A2"/>
    <x v="4"/>
    <x v="14"/>
    <x v="1"/>
    <x v="1"/>
    <n v="13.5893061972527"/>
    <n v="826.682793666203"/>
    <n v="2976.0580571983301"/>
  </r>
  <r>
    <x v="0"/>
    <x v="0"/>
    <x v="0"/>
    <x v="3"/>
    <x v="4"/>
    <s v="LV_A2"/>
    <x v="4"/>
    <x v="14"/>
    <x v="1"/>
    <x v="2"/>
    <n v="42.581095978461803"/>
    <n v="2590.3500053564298"/>
    <n v="9325.2600192831396"/>
  </r>
  <r>
    <x v="0"/>
    <x v="0"/>
    <x v="0"/>
    <x v="3"/>
    <x v="4"/>
    <s v="LV_A2"/>
    <x v="4"/>
    <x v="14"/>
    <x v="1"/>
    <x v="3"/>
    <n v="35.955644813244703"/>
    <n v="2187.3017261390501"/>
    <n v="7874.2862141005799"/>
  </r>
  <r>
    <x v="0"/>
    <x v="0"/>
    <x v="0"/>
    <x v="3"/>
    <x v="4"/>
    <s v="LV_A2"/>
    <x v="4"/>
    <x v="14"/>
    <x v="1"/>
    <x v="4"/>
    <n v="21.778009105379098"/>
    <n v="1324.82888724389"/>
    <n v="4769.3839940780199"/>
  </r>
  <r>
    <x v="0"/>
    <x v="0"/>
    <x v="0"/>
    <x v="3"/>
    <x v="4"/>
    <s v="LV_A2"/>
    <x v="4"/>
    <x v="14"/>
    <x v="2"/>
    <x v="0"/>
    <n v="46.660916591377102"/>
    <n v="2838.5390926421101"/>
    <n v="10218.7407335116"/>
  </r>
  <r>
    <x v="0"/>
    <x v="0"/>
    <x v="0"/>
    <x v="3"/>
    <x v="4"/>
    <s v="LV_A2"/>
    <x v="4"/>
    <x v="14"/>
    <x v="2"/>
    <x v="1"/>
    <n v="44.158934145092097"/>
    <n v="2686.3351604930999"/>
    <n v="9670.8065777751708"/>
  </r>
  <r>
    <x v="0"/>
    <x v="0"/>
    <x v="0"/>
    <x v="3"/>
    <x v="4"/>
    <s v="LV_A2"/>
    <x v="4"/>
    <x v="14"/>
    <x v="2"/>
    <x v="2"/>
    <n v="43.5566204028001"/>
    <n v="2649.6944078370002"/>
    <n v="9538.8998682132096"/>
  </r>
  <r>
    <x v="0"/>
    <x v="0"/>
    <x v="0"/>
    <x v="3"/>
    <x v="4"/>
    <s v="LV_A2"/>
    <x v="4"/>
    <x v="14"/>
    <x v="2"/>
    <x v="3"/>
    <n v="46.568189114262204"/>
    <n v="2832.8981711176102"/>
    <n v="10198.433416023399"/>
  </r>
  <r>
    <x v="0"/>
    <x v="0"/>
    <x v="0"/>
    <x v="3"/>
    <x v="4"/>
    <s v="LV_A2"/>
    <x v="4"/>
    <x v="14"/>
    <x v="2"/>
    <x v="4"/>
    <n v="44.761247887384599"/>
    <n v="2722.9759131492301"/>
    <n v="9802.7132873372393"/>
  </r>
  <r>
    <x v="0"/>
    <x v="0"/>
    <x v="0"/>
    <x v="3"/>
    <x v="4"/>
    <s v="LV_A2"/>
    <x v="4"/>
    <x v="14"/>
    <x v="2"/>
    <x v="5"/>
    <n v="19.543870773862601"/>
    <n v="1188.91880540997"/>
    <n v="4280.1076994758996"/>
  </r>
  <r>
    <x v="0"/>
    <x v="0"/>
    <x v="0"/>
    <x v="3"/>
    <x v="4"/>
    <s v="LV_A2"/>
    <x v="4"/>
    <x v="14"/>
    <x v="3"/>
    <x v="0"/>
    <n v="40.637779168452397"/>
    <n v="2472.13156608086"/>
    <n v="8899.6736378910791"/>
  </r>
  <r>
    <x v="0"/>
    <x v="0"/>
    <x v="0"/>
    <x v="3"/>
    <x v="4"/>
    <s v="LV_A2"/>
    <x v="4"/>
    <x v="14"/>
    <x v="3"/>
    <x v="1"/>
    <n v="38.73811046446"/>
    <n v="2356.5683865879801"/>
    <n v="8483.6461917167308"/>
  </r>
  <r>
    <x v="0"/>
    <x v="0"/>
    <x v="0"/>
    <x v="3"/>
    <x v="4"/>
    <s v="LV_A2"/>
    <x v="4"/>
    <x v="14"/>
    <x v="3"/>
    <x v="2"/>
    <n v="38.135796722167498"/>
    <n v="2319.9276339318499"/>
    <n v="8351.7394821546695"/>
  </r>
  <r>
    <x v="0"/>
    <x v="0"/>
    <x v="0"/>
    <x v="3"/>
    <x v="4"/>
    <s v="LV_A2"/>
    <x v="4"/>
    <x v="14"/>
    <x v="3"/>
    <x v="3"/>
    <n v="39.942737949044997"/>
    <n v="2429.84989190024"/>
    <n v="8747.4596108408496"/>
  </r>
  <r>
    <x v="0"/>
    <x v="0"/>
    <x v="0"/>
    <x v="3"/>
    <x v="4"/>
    <s v="LV_A2"/>
    <x v="4"/>
    <x v="14"/>
    <x v="4"/>
    <x v="0"/>
    <n v="38.228524199282802"/>
    <n v="2325.5685554563702"/>
    <n v="8372.0467996429397"/>
  </r>
  <r>
    <x v="0"/>
    <x v="0"/>
    <x v="0"/>
    <x v="3"/>
    <x v="4"/>
    <s v="LV_A2"/>
    <x v="4"/>
    <x v="14"/>
    <x v="4"/>
    <x v="1"/>
    <n v="33.317286783827797"/>
    <n v="2026.80161268286"/>
    <n v="7296.4858056582898"/>
  </r>
  <r>
    <x v="0"/>
    <x v="0"/>
    <x v="0"/>
    <x v="3"/>
    <x v="4"/>
    <s v="LV_A2"/>
    <x v="4"/>
    <x v="14"/>
    <x v="4"/>
    <x v="2"/>
    <n v="33.317286783827797"/>
    <n v="2026.80161268286"/>
    <n v="7296.4858056582898"/>
  </r>
  <r>
    <x v="0"/>
    <x v="0"/>
    <x v="0"/>
    <x v="3"/>
    <x v="4"/>
    <s v="LV_A2"/>
    <x v="4"/>
    <x v="14"/>
    <x v="4"/>
    <x v="3"/>
    <n v="32.1126592992428"/>
    <n v="1953.5201073706"/>
    <n v="7032.6723865341701"/>
  </r>
  <r>
    <x v="0"/>
    <x v="0"/>
    <x v="0"/>
    <x v="3"/>
    <x v="4"/>
    <s v="LV_A2"/>
    <x v="4"/>
    <x v="14"/>
    <x v="4"/>
    <x v="4"/>
    <n v="31.510345556950298"/>
    <n v="1916.8793547144801"/>
    <n v="6900.7656769721198"/>
  </r>
  <r>
    <x v="0"/>
    <x v="0"/>
    <x v="0"/>
    <x v="3"/>
    <x v="4"/>
    <s v="LV_A2"/>
    <x v="4"/>
    <x v="14"/>
    <x v="5"/>
    <x v="0"/>
    <n v="11.7267195384141"/>
    <n v="713.37543858685899"/>
    <n v="2568.1515789126902"/>
  </r>
  <r>
    <x v="0"/>
    <x v="0"/>
    <x v="0"/>
    <x v="3"/>
    <x v="4"/>
    <s v="LV_A2"/>
    <x v="4"/>
    <x v="14"/>
    <x v="5"/>
    <x v="1"/>
    <n v="8.6224233498367795"/>
    <n v="524.53075378173799"/>
    <n v="1888.3107136142601"/>
  </r>
  <r>
    <x v="0"/>
    <x v="0"/>
    <x v="0"/>
    <x v="3"/>
    <x v="4"/>
    <s v="LV_A2"/>
    <x v="4"/>
    <x v="14"/>
    <x v="5"/>
    <x v="2"/>
    <n v="9.2247370921292493"/>
    <n v="561.17150643786294"/>
    <n v="2020.2174231763099"/>
  </r>
  <r>
    <x v="0"/>
    <x v="0"/>
    <x v="0"/>
    <x v="3"/>
    <x v="4"/>
    <s v="LV_A2"/>
    <x v="4"/>
    <x v="14"/>
    <x v="5"/>
    <x v="3"/>
    <n v="10.4293645767142"/>
    <n v="634.45301175011298"/>
    <n v="2284.0308423004099"/>
  </r>
  <r>
    <x v="0"/>
    <x v="0"/>
    <x v="0"/>
    <x v="3"/>
    <x v="4"/>
    <s v="LV_A2"/>
    <x v="4"/>
    <x v="14"/>
    <x v="5"/>
    <x v="4"/>
    <n v="10.4293645767142"/>
    <n v="634.45301175011298"/>
    <n v="2284.0308423004099"/>
  </r>
  <r>
    <x v="0"/>
    <x v="0"/>
    <x v="0"/>
    <x v="3"/>
    <x v="4"/>
    <s v="LV_A2"/>
    <x v="4"/>
    <x v="14"/>
    <x v="6"/>
    <x v="0"/>
    <n v="66.537270087028602"/>
    <n v="4047.6839302942399"/>
    <n v="14571.662149059301"/>
  </r>
  <r>
    <x v="0"/>
    <x v="0"/>
    <x v="0"/>
    <x v="3"/>
    <x v="4"/>
    <s v="LV_A2"/>
    <x v="4"/>
    <x v="14"/>
    <x v="6"/>
    <x v="1"/>
    <n v="66.444542609913697"/>
    <n v="4042.04300876975"/>
    <n v="14551.3548315711"/>
  </r>
  <r>
    <x v="0"/>
    <x v="0"/>
    <x v="0"/>
    <x v="3"/>
    <x v="4"/>
    <s v="LV_A2"/>
    <x v="4"/>
    <x v="14"/>
    <x v="6"/>
    <x v="2"/>
    <n v="71.263052548253299"/>
    <n v="4335.1690300187402"/>
    <n v="15606.6085080675"/>
  </r>
  <r>
    <x v="0"/>
    <x v="0"/>
    <x v="0"/>
    <x v="3"/>
    <x v="4"/>
    <s v="LV_A2"/>
    <x v="4"/>
    <x v="14"/>
    <x v="6"/>
    <x v="3"/>
    <n v="80.297758682640506"/>
    <n v="4884.7803198606298"/>
    <n v="17585.2091514983"/>
  </r>
  <r>
    <x v="0"/>
    <x v="0"/>
    <x v="0"/>
    <x v="3"/>
    <x v="4"/>
    <s v="LV_A2"/>
    <x v="4"/>
    <x v="14"/>
    <x v="6"/>
    <x v="4"/>
    <n v="82.104699909517606"/>
    <n v="4994.7025778289899"/>
    <n v="17980.929280184399"/>
  </r>
  <r>
    <x v="0"/>
    <x v="0"/>
    <x v="0"/>
    <x v="3"/>
    <x v="4"/>
    <s v="LV_A2"/>
    <x v="4"/>
    <x v="14"/>
    <x v="6"/>
    <x v="5"/>
    <n v="18.940184386884301"/>
    <n v="1152.1945502021299"/>
    <n v="4147.9003807276704"/>
  </r>
  <r>
    <x v="0"/>
    <x v="0"/>
    <x v="0"/>
    <x v="3"/>
    <x v="4"/>
    <s v="LV_A2"/>
    <x v="4"/>
    <x v="14"/>
    <x v="6"/>
    <x v="6"/>
    <n v="19.7279530834067"/>
    <n v="1200.11714590724"/>
    <n v="4320.4217252660701"/>
  </r>
  <r>
    <x v="0"/>
    <x v="0"/>
    <x v="0"/>
    <x v="3"/>
    <x v="4"/>
    <s v="LV_A2"/>
    <x v="4"/>
    <x v="14"/>
    <x v="6"/>
    <x v="7"/>
    <n v="24.129604233684098"/>
    <n v="1467.8842575491201"/>
    <n v="5284.3833271768199"/>
  </r>
  <r>
    <x v="0"/>
    <x v="0"/>
    <x v="0"/>
    <x v="3"/>
    <x v="4"/>
    <s v="LV_A2"/>
    <x v="4"/>
    <x v="14"/>
    <x v="6"/>
    <x v="8"/>
    <n v="19.820680560521598"/>
    <n v="1205.7580674317301"/>
    <n v="4340.7290427542302"/>
  </r>
  <r>
    <x v="0"/>
    <x v="0"/>
    <x v="0"/>
    <x v="3"/>
    <x v="4"/>
    <s v="LV_A2"/>
    <x v="4"/>
    <x v="14"/>
    <x v="6"/>
    <x v="9"/>
    <n v="7.07936449526487"/>
    <n v="430.66134012861301"/>
    <n v="1550.38082446301"/>
  </r>
  <r>
    <x v="0"/>
    <x v="0"/>
    <x v="0"/>
    <x v="3"/>
    <x v="4"/>
    <s v="LV_A2"/>
    <x v="4"/>
    <x v="14"/>
    <x v="6"/>
    <x v="10"/>
    <n v="4.6701095260952696"/>
    <n v="284.09832950412903"/>
    <n v="1022.75398621486"/>
  </r>
  <r>
    <x v="0"/>
    <x v="0"/>
    <x v="0"/>
    <x v="3"/>
    <x v="4"/>
    <s v="LV_A2"/>
    <x v="4"/>
    <x v="14"/>
    <x v="6"/>
    <x v="11"/>
    <n v="6.4770507529723602"/>
    <n v="394.02058747248498"/>
    <n v="1418.4741149009501"/>
  </r>
  <r>
    <x v="0"/>
    <x v="0"/>
    <x v="0"/>
    <x v="3"/>
    <x v="4"/>
    <s v="LV_A2"/>
    <x v="4"/>
    <x v="14"/>
    <x v="7"/>
    <x v="0"/>
    <n v="117.131624439596"/>
    <n v="7125.5071534087501"/>
    <n v="25651.825752271499"/>
  </r>
  <r>
    <x v="0"/>
    <x v="0"/>
    <x v="0"/>
    <x v="3"/>
    <x v="4"/>
    <s v="LV_A2"/>
    <x v="4"/>
    <x v="14"/>
    <x v="7"/>
    <x v="1"/>
    <n v="117.641210704773"/>
    <n v="7156.5069845403796"/>
    <n v="25763.425144345401"/>
  </r>
  <r>
    <x v="0"/>
    <x v="0"/>
    <x v="0"/>
    <x v="3"/>
    <x v="4"/>
    <s v="LV_A2"/>
    <x v="4"/>
    <x v="14"/>
    <x v="7"/>
    <x v="2"/>
    <n v="120.652779416236"/>
    <n v="7339.710747821"/>
    <n v="26422.9586921556"/>
  </r>
  <r>
    <x v="0"/>
    <x v="0"/>
    <x v="0"/>
    <x v="3"/>
    <x v="4"/>
    <s v="LV_A2"/>
    <x v="4"/>
    <x v="14"/>
    <x v="7"/>
    <x v="3"/>
    <n v="123.66434812769801"/>
    <n v="7522.9145111016396"/>
    <n v="27082.492239965901"/>
  </r>
  <r>
    <x v="0"/>
    <x v="0"/>
    <x v="0"/>
    <x v="3"/>
    <x v="4"/>
    <s v="LV_A2"/>
    <x v="4"/>
    <x v="14"/>
    <x v="7"/>
    <x v="4"/>
    <n v="107.630980146048"/>
    <n v="6547.5512922179196"/>
    <n v="23571.184651984498"/>
  </r>
  <r>
    <x v="0"/>
    <x v="0"/>
    <x v="0"/>
    <x v="3"/>
    <x v="4"/>
    <s v="LV_A2"/>
    <x v="4"/>
    <x v="14"/>
    <x v="7"/>
    <x v="5"/>
    <n v="66.522970027989103"/>
    <n v="4046.8140100360001"/>
    <n v="14568.5304361296"/>
  </r>
  <r>
    <x v="0"/>
    <x v="0"/>
    <x v="0"/>
    <x v="3"/>
    <x v="4"/>
    <s v="LV_A2"/>
    <x v="4"/>
    <x v="14"/>
    <x v="7"/>
    <x v="6"/>
    <n v="69.719993693681403"/>
    <n v="4241.2996163656198"/>
    <n v="15268.678618916199"/>
  </r>
  <r>
    <x v="0"/>
    <x v="0"/>
    <x v="0"/>
    <x v="3"/>
    <x v="4"/>
    <s v="LV_A2"/>
    <x v="4"/>
    <x v="14"/>
    <x v="7"/>
    <x v="7"/>
    <n v="75.326272328543894"/>
    <n v="4582.3482333197499"/>
    <n v="16496.453639951102"/>
  </r>
  <r>
    <x v="0"/>
    <x v="0"/>
    <x v="0"/>
    <x v="3"/>
    <x v="4"/>
    <s v="LV_A2"/>
    <x v="4"/>
    <x v="14"/>
    <x v="7"/>
    <x v="8"/>
    <n v="75.835858593721099"/>
    <n v="4613.3480644513602"/>
    <n v="16608.053032024902"/>
  </r>
  <r>
    <x v="0"/>
    <x v="0"/>
    <x v="0"/>
    <x v="3"/>
    <x v="4"/>
    <s v="LV_A2"/>
    <x v="4"/>
    <x v="14"/>
    <x v="7"/>
    <x v="9"/>
    <n v="74.538503632021104"/>
    <n v="4534.4256376146204"/>
    <n v="16323.9322954126"/>
  </r>
  <r>
    <x v="0"/>
    <x v="0"/>
    <x v="0"/>
    <x v="3"/>
    <x v="4"/>
    <s v="LV_A2"/>
    <x v="4"/>
    <x v="14"/>
    <x v="7"/>
    <x v="10"/>
    <n v="72.129248662851495"/>
    <n v="4387.8626269901297"/>
    <n v="15796.305457164501"/>
  </r>
  <r>
    <x v="0"/>
    <x v="0"/>
    <x v="0"/>
    <x v="3"/>
    <x v="4"/>
    <s v="LV_A2"/>
    <x v="4"/>
    <x v="14"/>
    <x v="7"/>
    <x v="11"/>
    <n v="66.708424982219398"/>
    <n v="4058.0958530850098"/>
    <n v="14609.145071106001"/>
  </r>
  <r>
    <x v="0"/>
    <x v="0"/>
    <x v="0"/>
    <x v="3"/>
    <x v="4"/>
    <s v="LV_A2"/>
    <x v="4"/>
    <x v="14"/>
    <x v="8"/>
    <x v="0"/>
    <n v="34.090755421311101"/>
    <n v="2073.8542881297599"/>
    <n v="7465.8754372671301"/>
  </r>
  <r>
    <x v="0"/>
    <x v="0"/>
    <x v="0"/>
    <x v="3"/>
    <x v="4"/>
    <s v="LV_A2"/>
    <x v="4"/>
    <x v="14"/>
    <x v="8"/>
    <x v="1"/>
    <n v="78.719920516009793"/>
    <n v="4788.7951647239297"/>
    <n v="17239.662593006102"/>
  </r>
  <r>
    <x v="0"/>
    <x v="0"/>
    <x v="0"/>
    <x v="3"/>
    <x v="4"/>
    <s v="LV_A2"/>
    <x v="4"/>
    <x v="14"/>
    <x v="8"/>
    <x v="2"/>
    <n v="33.395714201903701"/>
    <n v="2031.5726139491401"/>
    <n v="7313.6614102169096"/>
  </r>
  <r>
    <x v="0"/>
    <x v="0"/>
    <x v="0"/>
    <x v="3"/>
    <x v="4"/>
    <s v="LV_A2"/>
    <x v="4"/>
    <x v="14"/>
    <x v="8"/>
    <x v="3"/>
    <n v="41.828106593997902"/>
    <n v="2544.5431511348702"/>
    <n v="9160.3553440855503"/>
  </r>
  <r>
    <x v="0"/>
    <x v="0"/>
    <x v="0"/>
    <x v="3"/>
    <x v="4"/>
    <s v="LV_A2"/>
    <x v="4"/>
    <x v="14"/>
    <x v="8"/>
    <x v="4"/>
    <n v="37.009596655658299"/>
    <n v="2251.4171298858801"/>
    <n v="8105.1016675891697"/>
  </r>
  <r>
    <x v="0"/>
    <x v="0"/>
    <x v="0"/>
    <x v="3"/>
    <x v="4"/>
    <s v="LV_A2"/>
    <x v="4"/>
    <x v="14"/>
    <x v="8"/>
    <x v="5"/>
    <n v="34.600341686488299"/>
    <n v="2104.8541192613702"/>
    <n v="7577.4748293409302"/>
  </r>
  <r>
    <x v="0"/>
    <x v="0"/>
    <x v="0"/>
    <x v="3"/>
    <x v="4"/>
    <s v="LV_A2"/>
    <x v="4"/>
    <x v="14"/>
    <x v="8"/>
    <x v="6"/>
    <n v="38.3996790944732"/>
    <n v="2335.9804782471201"/>
    <n v="8409.5297216896197"/>
  </r>
  <r>
    <x v="0"/>
    <x v="0"/>
    <x v="0"/>
    <x v="3"/>
    <x v="4"/>
    <s v="LV_A2"/>
    <x v="4"/>
    <x v="14"/>
    <x v="8"/>
    <x v="7"/>
    <n v="48.222153925382699"/>
    <n v="2933.5143637941201"/>
    <n v="10560.6517096588"/>
  </r>
  <r>
    <x v="0"/>
    <x v="0"/>
    <x v="0"/>
    <x v="3"/>
    <x v="4"/>
    <s v="LV_A2"/>
    <x v="4"/>
    <x v="14"/>
    <x v="8"/>
    <x v="8"/>
    <n v="41.5039752830506"/>
    <n v="2524.82516305225"/>
    <n v="9089.3705869880905"/>
  </r>
  <r>
    <x v="0"/>
    <x v="0"/>
    <x v="0"/>
    <x v="3"/>
    <x v="4"/>
    <s v="LV_A2"/>
    <x v="4"/>
    <x v="14"/>
    <x v="8"/>
    <x v="9"/>
    <n v="35.388110383011103"/>
    <n v="2152.7767149665101"/>
    <n v="7749.99617387943"/>
  </r>
  <r>
    <x v="0"/>
    <x v="0"/>
    <x v="0"/>
    <x v="3"/>
    <x v="4"/>
    <s v="LV_A2"/>
    <x v="4"/>
    <x v="14"/>
    <x v="8"/>
    <x v="10"/>
    <n v="28.7626592177939"/>
    <n v="1749.7284357491301"/>
    <n v="6299.0223686968602"/>
  </r>
  <r>
    <x v="0"/>
    <x v="0"/>
    <x v="0"/>
    <x v="3"/>
    <x v="4"/>
    <s v="LV_A2"/>
    <x v="4"/>
    <x v="14"/>
    <x v="8"/>
    <x v="11"/>
    <n v="23.3418355371617"/>
    <n v="1419.96166184401"/>
    <n v="5111.8619826384202"/>
  </r>
  <r>
    <x v="0"/>
    <x v="0"/>
    <x v="0"/>
    <x v="3"/>
    <x v="4"/>
    <s v="LV_A2"/>
    <x v="4"/>
    <x v="14"/>
    <x v="10"/>
    <x v="0"/>
    <n v="28.5915043226031"/>
    <n v="1739.3165129583599"/>
    <n v="6261.5394466500802"/>
  </r>
  <r>
    <x v="0"/>
    <x v="0"/>
    <x v="0"/>
    <x v="3"/>
    <x v="4"/>
    <s v="LV_A2"/>
    <x v="4"/>
    <x v="14"/>
    <x v="10"/>
    <x v="1"/>
    <n v="23.077953164856101"/>
    <n v="1403.90881752874"/>
    <n v="5054.07174310348"/>
  </r>
  <r>
    <x v="0"/>
    <x v="0"/>
    <x v="0"/>
    <x v="3"/>
    <x v="4"/>
    <s v="LV_A2"/>
    <x v="4"/>
    <x v="14"/>
    <x v="11"/>
    <x v="0"/>
    <n v="20.7614256728009"/>
    <n v="1262.98672842872"/>
    <n v="4546.7522223433998"/>
  </r>
  <r>
    <x v="0"/>
    <x v="0"/>
    <x v="0"/>
    <x v="3"/>
    <x v="4"/>
    <s v="LV_A2"/>
    <x v="4"/>
    <x v="14"/>
    <x v="11"/>
    <x v="1"/>
    <n v="23.680266907148599"/>
    <n v="1440.5495701848699"/>
    <n v="5185.9784526655303"/>
  </r>
  <r>
    <x v="0"/>
    <x v="0"/>
    <x v="0"/>
    <x v="3"/>
    <x v="4"/>
    <s v="LV_A2"/>
    <x v="4"/>
    <x v="14"/>
    <x v="11"/>
    <x v="2"/>
    <n v="23.680266907148599"/>
    <n v="1440.5495701848699"/>
    <n v="5185.9784526655303"/>
  </r>
  <r>
    <x v="0"/>
    <x v="0"/>
    <x v="0"/>
    <x v="3"/>
    <x v="4"/>
    <s v="LV_A2"/>
    <x v="4"/>
    <x v="14"/>
    <x v="11"/>
    <x v="3"/>
    <n v="24.282580649441101"/>
    <n v="1477.1903228409999"/>
    <n v="5317.8851622275997"/>
  </r>
  <r>
    <x v="0"/>
    <x v="0"/>
    <x v="0"/>
    <x v="3"/>
    <x v="4"/>
    <s v="LV_A2"/>
    <x v="4"/>
    <x v="14"/>
    <x v="11"/>
    <x v="4"/>
    <n v="24.282580649441101"/>
    <n v="1477.1903228409999"/>
    <n v="5317.8851622275997"/>
  </r>
  <r>
    <x v="0"/>
    <x v="0"/>
    <x v="0"/>
    <x v="3"/>
    <x v="4"/>
    <s v="LV_A2"/>
    <x v="4"/>
    <x v="14"/>
    <x v="11"/>
    <x v="5"/>
    <n v="24.282580649441101"/>
    <n v="1477.1903228409999"/>
    <n v="5317.8851622275997"/>
  </r>
  <r>
    <x v="0"/>
    <x v="0"/>
    <x v="0"/>
    <x v="3"/>
    <x v="4"/>
    <s v="LV_A2"/>
    <x v="9"/>
    <x v="15"/>
    <x v="0"/>
    <x v="0"/>
    <n v="18.4426229508197"/>
    <n v="1121.9262295082001"/>
    <n v="4038.9344262295099"/>
  </r>
  <r>
    <x v="0"/>
    <x v="0"/>
    <x v="0"/>
    <x v="3"/>
    <x v="4"/>
    <s v="LV_A2"/>
    <x v="9"/>
    <x v="15"/>
    <x v="0"/>
    <x v="1"/>
    <n v="18.4426229508197"/>
    <n v="1121.9262295082001"/>
    <n v="4038.9344262295099"/>
  </r>
  <r>
    <x v="0"/>
    <x v="0"/>
    <x v="0"/>
    <x v="3"/>
    <x v="4"/>
    <s v="LV_A2"/>
    <x v="9"/>
    <x v="15"/>
    <x v="0"/>
    <x v="2"/>
    <n v="18.4426229508197"/>
    <n v="1121.9262295082001"/>
    <n v="4038.9344262295099"/>
  </r>
  <r>
    <x v="0"/>
    <x v="0"/>
    <x v="0"/>
    <x v="3"/>
    <x v="4"/>
    <s v="LV_A2"/>
    <x v="9"/>
    <x v="15"/>
    <x v="1"/>
    <x v="0"/>
    <n v="18.4426229508197"/>
    <n v="1121.9262295082001"/>
    <n v="4038.9344262295099"/>
  </r>
  <r>
    <x v="0"/>
    <x v="0"/>
    <x v="0"/>
    <x v="3"/>
    <x v="4"/>
    <s v="LV_A2"/>
    <x v="9"/>
    <x v="15"/>
    <x v="1"/>
    <x v="1"/>
    <n v="18.4426229508197"/>
    <n v="1121.9262295082001"/>
    <n v="4038.9344262295099"/>
  </r>
  <r>
    <x v="0"/>
    <x v="0"/>
    <x v="0"/>
    <x v="3"/>
    <x v="4"/>
    <s v="LV_A2"/>
    <x v="9"/>
    <x v="15"/>
    <x v="1"/>
    <x v="2"/>
    <n v="18.4426229508197"/>
    <n v="1121.9262295082001"/>
    <n v="4038.9344262295099"/>
  </r>
  <r>
    <x v="0"/>
    <x v="0"/>
    <x v="0"/>
    <x v="3"/>
    <x v="4"/>
    <s v="LV_A2"/>
    <x v="9"/>
    <x v="15"/>
    <x v="1"/>
    <x v="3"/>
    <n v="18.4426229508197"/>
    <n v="1121.9262295082001"/>
    <n v="4038.9344262295099"/>
  </r>
  <r>
    <x v="0"/>
    <x v="0"/>
    <x v="0"/>
    <x v="3"/>
    <x v="4"/>
    <s v="LV_A2"/>
    <x v="9"/>
    <x v="15"/>
    <x v="1"/>
    <x v="4"/>
    <n v="18.4426229508197"/>
    <n v="1121.9262295082001"/>
    <n v="4038.9344262295099"/>
  </r>
  <r>
    <x v="0"/>
    <x v="0"/>
    <x v="0"/>
    <x v="3"/>
    <x v="4"/>
    <s v="LV_A2"/>
    <x v="9"/>
    <x v="15"/>
    <x v="1"/>
    <x v="5"/>
    <n v="18.4426229508197"/>
    <n v="1121.9262295082001"/>
    <n v="4038.9344262295099"/>
  </r>
  <r>
    <x v="0"/>
    <x v="0"/>
    <x v="0"/>
    <x v="3"/>
    <x v="4"/>
    <s v="LV_A2"/>
    <x v="9"/>
    <x v="15"/>
    <x v="1"/>
    <x v="6"/>
    <n v="18.4426229508197"/>
    <n v="1121.9262295082001"/>
    <n v="4038.9344262295099"/>
  </r>
  <r>
    <x v="0"/>
    <x v="0"/>
    <x v="0"/>
    <x v="3"/>
    <x v="4"/>
    <s v="LV_A2"/>
    <x v="9"/>
    <x v="15"/>
    <x v="1"/>
    <x v="7"/>
    <n v="18.4426229508197"/>
    <n v="1121.9262295082001"/>
    <n v="4038.9344262295099"/>
  </r>
  <r>
    <x v="0"/>
    <x v="0"/>
    <x v="0"/>
    <x v="3"/>
    <x v="4"/>
    <s v="LV_A2"/>
    <x v="9"/>
    <x v="15"/>
    <x v="1"/>
    <x v="8"/>
    <n v="18.4426229508197"/>
    <n v="1121.9262295082001"/>
    <n v="4038.9344262295099"/>
  </r>
  <r>
    <x v="0"/>
    <x v="0"/>
    <x v="0"/>
    <x v="3"/>
    <x v="4"/>
    <s v="LV_A2"/>
    <x v="9"/>
    <x v="15"/>
    <x v="1"/>
    <x v="9"/>
    <n v="18.4426229508197"/>
    <n v="1121.9262295082001"/>
    <n v="4038.9344262295099"/>
  </r>
  <r>
    <x v="0"/>
    <x v="0"/>
    <x v="0"/>
    <x v="3"/>
    <x v="4"/>
    <s v="LV_A2"/>
    <x v="9"/>
    <x v="15"/>
    <x v="1"/>
    <x v="10"/>
    <n v="18.4426229508197"/>
    <n v="1121.9262295082001"/>
    <n v="4038.9344262295099"/>
  </r>
  <r>
    <x v="0"/>
    <x v="0"/>
    <x v="0"/>
    <x v="3"/>
    <x v="4"/>
    <s v="LV_A2"/>
    <x v="9"/>
    <x v="15"/>
    <x v="1"/>
    <x v="11"/>
    <n v="18.4426229508197"/>
    <n v="1121.9262295082001"/>
    <n v="4038.9344262295099"/>
  </r>
  <r>
    <x v="0"/>
    <x v="0"/>
    <x v="0"/>
    <x v="3"/>
    <x v="4"/>
    <s v="LV_A2"/>
    <x v="9"/>
    <x v="15"/>
    <x v="2"/>
    <x v="5"/>
    <n v="18.4426229508197"/>
    <n v="1121.9262295082001"/>
    <n v="4038.9344262295099"/>
  </r>
  <r>
    <x v="0"/>
    <x v="0"/>
    <x v="0"/>
    <x v="3"/>
    <x v="4"/>
    <s v="LV_A2"/>
    <x v="9"/>
    <x v="15"/>
    <x v="2"/>
    <x v="6"/>
    <n v="18.4426229508197"/>
    <n v="1121.9262295082001"/>
    <n v="4038.9344262295099"/>
  </r>
  <r>
    <x v="0"/>
    <x v="0"/>
    <x v="0"/>
    <x v="3"/>
    <x v="4"/>
    <s v="LV_A2"/>
    <x v="9"/>
    <x v="15"/>
    <x v="2"/>
    <x v="7"/>
    <n v="18.4426229508197"/>
    <n v="1121.9262295082001"/>
    <n v="4038.9344262295099"/>
  </r>
  <r>
    <x v="0"/>
    <x v="0"/>
    <x v="0"/>
    <x v="3"/>
    <x v="4"/>
    <s v="LV_A2"/>
    <x v="9"/>
    <x v="15"/>
    <x v="2"/>
    <x v="8"/>
    <n v="18.4426229508197"/>
    <n v="1121.9262295082001"/>
    <n v="4038.9344262295099"/>
  </r>
  <r>
    <x v="0"/>
    <x v="0"/>
    <x v="0"/>
    <x v="3"/>
    <x v="4"/>
    <s v="LV_A2"/>
    <x v="9"/>
    <x v="15"/>
    <x v="2"/>
    <x v="9"/>
    <n v="18.4426229508197"/>
    <n v="1121.9262295082001"/>
    <n v="4038.9344262295099"/>
  </r>
  <r>
    <x v="0"/>
    <x v="0"/>
    <x v="0"/>
    <x v="3"/>
    <x v="4"/>
    <s v="LV_A2"/>
    <x v="9"/>
    <x v="15"/>
    <x v="2"/>
    <x v="10"/>
    <n v="18.4426229508197"/>
    <n v="1121.9262295082001"/>
    <n v="4038.9344262295099"/>
  </r>
  <r>
    <x v="0"/>
    <x v="0"/>
    <x v="0"/>
    <x v="3"/>
    <x v="4"/>
    <s v="LV_A2"/>
    <x v="9"/>
    <x v="15"/>
    <x v="2"/>
    <x v="11"/>
    <n v="18.4426229508197"/>
    <n v="1121.9262295082001"/>
    <n v="4038.9344262295099"/>
  </r>
  <r>
    <x v="0"/>
    <x v="0"/>
    <x v="0"/>
    <x v="3"/>
    <x v="4"/>
    <s v="LV_A2"/>
    <x v="9"/>
    <x v="15"/>
    <x v="3"/>
    <x v="4"/>
    <n v="18.4426229508197"/>
    <n v="1121.9262295082001"/>
    <n v="4038.9344262295099"/>
  </r>
  <r>
    <x v="0"/>
    <x v="0"/>
    <x v="0"/>
    <x v="3"/>
    <x v="4"/>
    <s v="LV_A2"/>
    <x v="9"/>
    <x v="15"/>
    <x v="3"/>
    <x v="5"/>
    <n v="18.4426229508197"/>
    <n v="1121.9262295082001"/>
    <n v="4038.9344262295099"/>
  </r>
  <r>
    <x v="0"/>
    <x v="0"/>
    <x v="0"/>
    <x v="3"/>
    <x v="4"/>
    <s v="LV_A2"/>
    <x v="9"/>
    <x v="15"/>
    <x v="3"/>
    <x v="6"/>
    <n v="18.4426229508197"/>
    <n v="1121.9262295082001"/>
    <n v="4038.9344262295099"/>
  </r>
  <r>
    <x v="0"/>
    <x v="0"/>
    <x v="0"/>
    <x v="3"/>
    <x v="4"/>
    <s v="LV_A2"/>
    <x v="9"/>
    <x v="15"/>
    <x v="3"/>
    <x v="7"/>
    <n v="18.4426229508197"/>
    <n v="1121.9262295082001"/>
    <n v="4038.9344262295099"/>
  </r>
  <r>
    <x v="0"/>
    <x v="0"/>
    <x v="0"/>
    <x v="3"/>
    <x v="4"/>
    <s v="LV_A2"/>
    <x v="9"/>
    <x v="15"/>
    <x v="3"/>
    <x v="8"/>
    <n v="18.4426229508197"/>
    <n v="1121.9262295082001"/>
    <n v="4038.9344262295099"/>
  </r>
  <r>
    <x v="0"/>
    <x v="0"/>
    <x v="0"/>
    <x v="3"/>
    <x v="4"/>
    <s v="LV_A2"/>
    <x v="9"/>
    <x v="15"/>
    <x v="3"/>
    <x v="9"/>
    <n v="18.4426229508197"/>
    <n v="1121.9262295082001"/>
    <n v="4038.9344262295099"/>
  </r>
  <r>
    <x v="0"/>
    <x v="0"/>
    <x v="0"/>
    <x v="3"/>
    <x v="4"/>
    <s v="LV_A2"/>
    <x v="9"/>
    <x v="15"/>
    <x v="3"/>
    <x v="10"/>
    <n v="18.4426229508197"/>
    <n v="1121.9262295082001"/>
    <n v="4038.9344262295099"/>
  </r>
  <r>
    <x v="0"/>
    <x v="0"/>
    <x v="0"/>
    <x v="3"/>
    <x v="4"/>
    <s v="LV_A2"/>
    <x v="9"/>
    <x v="15"/>
    <x v="3"/>
    <x v="11"/>
    <n v="18.4426229508197"/>
    <n v="1121.9262295082001"/>
    <n v="4038.9344262295099"/>
  </r>
  <r>
    <x v="0"/>
    <x v="0"/>
    <x v="0"/>
    <x v="3"/>
    <x v="4"/>
    <s v="LV_A2"/>
    <x v="9"/>
    <x v="15"/>
    <x v="4"/>
    <x v="5"/>
    <n v="18.4426229508197"/>
    <n v="1121.9262295082001"/>
    <n v="4038.9344262295099"/>
  </r>
  <r>
    <x v="0"/>
    <x v="0"/>
    <x v="0"/>
    <x v="3"/>
    <x v="4"/>
    <s v="LV_A2"/>
    <x v="9"/>
    <x v="15"/>
    <x v="4"/>
    <x v="6"/>
    <n v="18.4426229508197"/>
    <n v="1121.9262295082001"/>
    <n v="4038.9344262295099"/>
  </r>
  <r>
    <x v="0"/>
    <x v="0"/>
    <x v="0"/>
    <x v="3"/>
    <x v="4"/>
    <s v="LV_A2"/>
    <x v="9"/>
    <x v="15"/>
    <x v="4"/>
    <x v="7"/>
    <n v="18.4426229508197"/>
    <n v="1121.9262295082001"/>
    <n v="4038.9344262295099"/>
  </r>
  <r>
    <x v="0"/>
    <x v="0"/>
    <x v="0"/>
    <x v="3"/>
    <x v="4"/>
    <s v="LV_A2"/>
    <x v="9"/>
    <x v="15"/>
    <x v="4"/>
    <x v="8"/>
    <n v="18.4426229508197"/>
    <n v="1121.9262295082001"/>
    <n v="4038.9344262295099"/>
  </r>
  <r>
    <x v="0"/>
    <x v="0"/>
    <x v="0"/>
    <x v="3"/>
    <x v="4"/>
    <s v="LV_A2"/>
    <x v="9"/>
    <x v="15"/>
    <x v="4"/>
    <x v="9"/>
    <n v="18.4426229508197"/>
    <n v="1121.9262295082001"/>
    <n v="4038.9344262295099"/>
  </r>
  <r>
    <x v="0"/>
    <x v="0"/>
    <x v="0"/>
    <x v="3"/>
    <x v="4"/>
    <s v="LV_A2"/>
    <x v="9"/>
    <x v="15"/>
    <x v="4"/>
    <x v="10"/>
    <n v="18.4426229508197"/>
    <n v="1121.9262295082001"/>
    <n v="4038.9344262295099"/>
  </r>
  <r>
    <x v="0"/>
    <x v="0"/>
    <x v="0"/>
    <x v="3"/>
    <x v="4"/>
    <s v="LV_A2"/>
    <x v="9"/>
    <x v="15"/>
    <x v="4"/>
    <x v="11"/>
    <n v="18.4426229508197"/>
    <n v="1121.9262295082001"/>
    <n v="4038.9344262295099"/>
  </r>
  <r>
    <x v="0"/>
    <x v="0"/>
    <x v="0"/>
    <x v="3"/>
    <x v="4"/>
    <s v="LV_A2"/>
    <x v="9"/>
    <x v="15"/>
    <x v="5"/>
    <x v="5"/>
    <n v="18.4426229508197"/>
    <n v="1121.9262295082001"/>
    <n v="4038.9344262295099"/>
  </r>
  <r>
    <x v="0"/>
    <x v="0"/>
    <x v="0"/>
    <x v="3"/>
    <x v="4"/>
    <s v="LV_A2"/>
    <x v="9"/>
    <x v="15"/>
    <x v="5"/>
    <x v="6"/>
    <n v="18.4426229508197"/>
    <n v="1121.9262295082001"/>
    <n v="4038.9344262295099"/>
  </r>
  <r>
    <x v="0"/>
    <x v="0"/>
    <x v="0"/>
    <x v="3"/>
    <x v="4"/>
    <s v="LV_A2"/>
    <x v="9"/>
    <x v="15"/>
    <x v="5"/>
    <x v="7"/>
    <n v="18.4426229508197"/>
    <n v="1121.9262295082001"/>
    <n v="4038.9344262295099"/>
  </r>
  <r>
    <x v="0"/>
    <x v="0"/>
    <x v="0"/>
    <x v="3"/>
    <x v="4"/>
    <s v="LV_A2"/>
    <x v="9"/>
    <x v="15"/>
    <x v="5"/>
    <x v="8"/>
    <n v="18.4426229508197"/>
    <n v="1121.9262295082001"/>
    <n v="4038.9344262295099"/>
  </r>
  <r>
    <x v="0"/>
    <x v="0"/>
    <x v="0"/>
    <x v="3"/>
    <x v="4"/>
    <s v="LV_A2"/>
    <x v="9"/>
    <x v="15"/>
    <x v="5"/>
    <x v="9"/>
    <n v="18.4426229508197"/>
    <n v="1121.9262295082001"/>
    <n v="4038.9344262295099"/>
  </r>
  <r>
    <x v="0"/>
    <x v="0"/>
    <x v="0"/>
    <x v="3"/>
    <x v="4"/>
    <s v="LV_A2"/>
    <x v="9"/>
    <x v="15"/>
    <x v="5"/>
    <x v="10"/>
    <n v="18.4426229508197"/>
    <n v="1121.9262295082001"/>
    <n v="4038.9344262295099"/>
  </r>
  <r>
    <x v="0"/>
    <x v="0"/>
    <x v="0"/>
    <x v="3"/>
    <x v="4"/>
    <s v="LV_A2"/>
    <x v="9"/>
    <x v="15"/>
    <x v="5"/>
    <x v="11"/>
    <n v="18.4426229508197"/>
    <n v="1121.9262295082001"/>
    <n v="4038.9344262295099"/>
  </r>
  <r>
    <x v="0"/>
    <x v="0"/>
    <x v="0"/>
    <x v="3"/>
    <x v="4"/>
    <s v="LV_A2"/>
    <x v="9"/>
    <x v="15"/>
    <x v="6"/>
    <x v="5"/>
    <n v="18.4426229508197"/>
    <n v="1121.9262295082001"/>
    <n v="4038.9344262295099"/>
  </r>
  <r>
    <x v="0"/>
    <x v="0"/>
    <x v="0"/>
    <x v="3"/>
    <x v="4"/>
    <s v="LV_A2"/>
    <x v="9"/>
    <x v="15"/>
    <x v="6"/>
    <x v="6"/>
    <n v="18.4426229508197"/>
    <n v="1121.9262295082001"/>
    <n v="4038.9344262295099"/>
  </r>
  <r>
    <x v="0"/>
    <x v="0"/>
    <x v="0"/>
    <x v="3"/>
    <x v="4"/>
    <s v="LV_A2"/>
    <x v="9"/>
    <x v="15"/>
    <x v="6"/>
    <x v="7"/>
    <n v="18.4426229508197"/>
    <n v="1121.9262295082001"/>
    <n v="4038.9344262295099"/>
  </r>
  <r>
    <x v="0"/>
    <x v="0"/>
    <x v="0"/>
    <x v="3"/>
    <x v="4"/>
    <s v="LV_A2"/>
    <x v="9"/>
    <x v="15"/>
    <x v="6"/>
    <x v="8"/>
    <n v="18.4426229508197"/>
    <n v="1121.9262295082001"/>
    <n v="4038.9344262295099"/>
  </r>
  <r>
    <x v="0"/>
    <x v="0"/>
    <x v="0"/>
    <x v="3"/>
    <x v="4"/>
    <s v="LV_A2"/>
    <x v="9"/>
    <x v="15"/>
    <x v="6"/>
    <x v="9"/>
    <n v="18.4426229508197"/>
    <n v="1121.9262295082001"/>
    <n v="4038.9344262295099"/>
  </r>
  <r>
    <x v="0"/>
    <x v="0"/>
    <x v="0"/>
    <x v="3"/>
    <x v="4"/>
    <s v="LV_A2"/>
    <x v="9"/>
    <x v="15"/>
    <x v="6"/>
    <x v="10"/>
    <n v="18.4426229508197"/>
    <n v="1121.9262295082001"/>
    <n v="4038.9344262295099"/>
  </r>
  <r>
    <x v="0"/>
    <x v="0"/>
    <x v="0"/>
    <x v="3"/>
    <x v="4"/>
    <s v="LV_A2"/>
    <x v="9"/>
    <x v="15"/>
    <x v="6"/>
    <x v="11"/>
    <n v="18.4426229508197"/>
    <n v="1121.9262295082001"/>
    <n v="4038.9344262295099"/>
  </r>
  <r>
    <x v="0"/>
    <x v="0"/>
    <x v="0"/>
    <x v="3"/>
    <x v="4"/>
    <s v="LV_A2"/>
    <x v="9"/>
    <x v="15"/>
    <x v="7"/>
    <x v="4"/>
    <n v="18.4426229508197"/>
    <n v="1121.9262295082001"/>
    <n v="4038.9344262295099"/>
  </r>
  <r>
    <x v="0"/>
    <x v="0"/>
    <x v="0"/>
    <x v="3"/>
    <x v="4"/>
    <s v="LV_A2"/>
    <x v="9"/>
    <x v="15"/>
    <x v="7"/>
    <x v="5"/>
    <n v="18.4426229508197"/>
    <n v="1121.9262295082001"/>
    <n v="4038.9344262295099"/>
  </r>
  <r>
    <x v="0"/>
    <x v="0"/>
    <x v="0"/>
    <x v="3"/>
    <x v="4"/>
    <s v="LV_A2"/>
    <x v="9"/>
    <x v="15"/>
    <x v="7"/>
    <x v="6"/>
    <n v="18.4426229508197"/>
    <n v="1121.9262295082001"/>
    <n v="4038.9344262295099"/>
  </r>
  <r>
    <x v="0"/>
    <x v="0"/>
    <x v="0"/>
    <x v="3"/>
    <x v="4"/>
    <s v="LV_A2"/>
    <x v="9"/>
    <x v="15"/>
    <x v="7"/>
    <x v="7"/>
    <n v="18.4426229508197"/>
    <n v="1121.9262295082001"/>
    <n v="4038.9344262295099"/>
  </r>
  <r>
    <x v="0"/>
    <x v="0"/>
    <x v="0"/>
    <x v="3"/>
    <x v="4"/>
    <s v="LV_A2"/>
    <x v="9"/>
    <x v="15"/>
    <x v="7"/>
    <x v="8"/>
    <n v="18.4426229508197"/>
    <n v="1121.9262295082001"/>
    <n v="4038.9344262295099"/>
  </r>
  <r>
    <x v="0"/>
    <x v="0"/>
    <x v="0"/>
    <x v="3"/>
    <x v="4"/>
    <s v="LV_A2"/>
    <x v="9"/>
    <x v="15"/>
    <x v="7"/>
    <x v="9"/>
    <n v="18.4426229508197"/>
    <n v="1121.9262295082001"/>
    <n v="4038.9344262295099"/>
  </r>
  <r>
    <x v="0"/>
    <x v="0"/>
    <x v="0"/>
    <x v="3"/>
    <x v="4"/>
    <s v="LV_A2"/>
    <x v="9"/>
    <x v="15"/>
    <x v="7"/>
    <x v="10"/>
    <n v="18.4426229508197"/>
    <n v="1121.9262295082001"/>
    <n v="4038.9344262295099"/>
  </r>
  <r>
    <x v="0"/>
    <x v="0"/>
    <x v="0"/>
    <x v="3"/>
    <x v="4"/>
    <s v="LV_A2"/>
    <x v="9"/>
    <x v="15"/>
    <x v="7"/>
    <x v="11"/>
    <n v="18.4426229508197"/>
    <n v="1121.9262295082001"/>
    <n v="4038.9344262295099"/>
  </r>
  <r>
    <x v="0"/>
    <x v="0"/>
    <x v="0"/>
    <x v="3"/>
    <x v="4"/>
    <s v="LV_A2"/>
    <x v="9"/>
    <x v="15"/>
    <x v="8"/>
    <x v="0"/>
    <n v="18.4426229508197"/>
    <n v="1121.9262295082001"/>
    <n v="4038.9344262295099"/>
  </r>
  <r>
    <x v="0"/>
    <x v="0"/>
    <x v="0"/>
    <x v="3"/>
    <x v="4"/>
    <s v="LV_A2"/>
    <x v="9"/>
    <x v="15"/>
    <x v="8"/>
    <x v="1"/>
    <n v="18.4426229508197"/>
    <n v="1121.9262295082001"/>
    <n v="4038.9344262295099"/>
  </r>
  <r>
    <x v="0"/>
    <x v="0"/>
    <x v="0"/>
    <x v="3"/>
    <x v="4"/>
    <s v="LV_A2"/>
    <x v="9"/>
    <x v="15"/>
    <x v="8"/>
    <x v="2"/>
    <n v="18.4426229508197"/>
    <n v="1121.9262295082001"/>
    <n v="4038.9344262295099"/>
  </r>
  <r>
    <x v="0"/>
    <x v="0"/>
    <x v="0"/>
    <x v="3"/>
    <x v="4"/>
    <s v="LV_A2"/>
    <x v="9"/>
    <x v="15"/>
    <x v="8"/>
    <x v="3"/>
    <n v="18.4426229508197"/>
    <n v="1121.9262295082001"/>
    <n v="4038.9344262295099"/>
  </r>
  <r>
    <x v="0"/>
    <x v="0"/>
    <x v="0"/>
    <x v="3"/>
    <x v="4"/>
    <s v="LV_A2"/>
    <x v="9"/>
    <x v="15"/>
    <x v="8"/>
    <x v="4"/>
    <n v="18.4426229508197"/>
    <n v="1121.9262295082001"/>
    <n v="4038.9344262295099"/>
  </r>
  <r>
    <x v="0"/>
    <x v="0"/>
    <x v="0"/>
    <x v="3"/>
    <x v="4"/>
    <s v="LV_A2"/>
    <x v="9"/>
    <x v="15"/>
    <x v="8"/>
    <x v="5"/>
    <n v="18.4426229508197"/>
    <n v="1121.9262295082001"/>
    <n v="4038.9344262295099"/>
  </r>
  <r>
    <x v="0"/>
    <x v="0"/>
    <x v="0"/>
    <x v="3"/>
    <x v="4"/>
    <s v="LV_A2"/>
    <x v="9"/>
    <x v="15"/>
    <x v="8"/>
    <x v="6"/>
    <n v="18.4426229508197"/>
    <n v="1121.9262295082001"/>
    <n v="4038.9344262295099"/>
  </r>
  <r>
    <x v="0"/>
    <x v="0"/>
    <x v="0"/>
    <x v="3"/>
    <x v="4"/>
    <s v="LV_A2"/>
    <x v="9"/>
    <x v="15"/>
    <x v="8"/>
    <x v="7"/>
    <n v="18.4426229508197"/>
    <n v="1121.9262295082001"/>
    <n v="4038.9344262295099"/>
  </r>
  <r>
    <x v="0"/>
    <x v="0"/>
    <x v="0"/>
    <x v="3"/>
    <x v="4"/>
    <s v="LV_A2"/>
    <x v="9"/>
    <x v="15"/>
    <x v="8"/>
    <x v="8"/>
    <n v="18.4426229508197"/>
    <n v="1121.9262295082001"/>
    <n v="4038.9344262295099"/>
  </r>
  <r>
    <x v="0"/>
    <x v="0"/>
    <x v="0"/>
    <x v="3"/>
    <x v="4"/>
    <s v="LV_A2"/>
    <x v="9"/>
    <x v="15"/>
    <x v="8"/>
    <x v="9"/>
    <n v="18.4426229508197"/>
    <n v="1121.9262295082001"/>
    <n v="4038.9344262295099"/>
  </r>
  <r>
    <x v="0"/>
    <x v="0"/>
    <x v="0"/>
    <x v="3"/>
    <x v="4"/>
    <s v="LV_A2"/>
    <x v="9"/>
    <x v="15"/>
    <x v="8"/>
    <x v="10"/>
    <n v="18.4426229508197"/>
    <n v="1121.9262295082001"/>
    <n v="4038.9344262295099"/>
  </r>
  <r>
    <x v="0"/>
    <x v="0"/>
    <x v="0"/>
    <x v="3"/>
    <x v="4"/>
    <s v="LV_A2"/>
    <x v="9"/>
    <x v="15"/>
    <x v="8"/>
    <x v="11"/>
    <n v="18.4426229508197"/>
    <n v="1121.9262295082001"/>
    <n v="4038.9344262295099"/>
  </r>
  <r>
    <x v="0"/>
    <x v="0"/>
    <x v="0"/>
    <x v="3"/>
    <x v="4"/>
    <s v="LV_A2"/>
    <x v="9"/>
    <x v="15"/>
    <x v="9"/>
    <x v="0"/>
    <n v="18.4426229508197"/>
    <n v="1121.9262295082001"/>
    <n v="4038.9344262295099"/>
  </r>
  <r>
    <x v="0"/>
    <x v="0"/>
    <x v="0"/>
    <x v="3"/>
    <x v="4"/>
    <s v="LV_A2"/>
    <x v="9"/>
    <x v="15"/>
    <x v="9"/>
    <x v="1"/>
    <n v="18.4426229508197"/>
    <n v="1121.9262295082001"/>
    <n v="4038.9344262295099"/>
  </r>
  <r>
    <x v="0"/>
    <x v="0"/>
    <x v="0"/>
    <x v="3"/>
    <x v="4"/>
    <s v="LV_A2"/>
    <x v="9"/>
    <x v="15"/>
    <x v="9"/>
    <x v="2"/>
    <n v="18.4426229508197"/>
    <n v="1121.9262295082001"/>
    <n v="4038.9344262295099"/>
  </r>
  <r>
    <x v="0"/>
    <x v="0"/>
    <x v="0"/>
    <x v="3"/>
    <x v="4"/>
    <s v="LV_A2"/>
    <x v="9"/>
    <x v="15"/>
    <x v="9"/>
    <x v="3"/>
    <n v="18.4426229508197"/>
    <n v="1121.9262295082001"/>
    <n v="4038.9344262295099"/>
  </r>
  <r>
    <x v="0"/>
    <x v="0"/>
    <x v="0"/>
    <x v="3"/>
    <x v="4"/>
    <s v="LV_A2"/>
    <x v="9"/>
    <x v="15"/>
    <x v="9"/>
    <x v="4"/>
    <n v="18.4426229508197"/>
    <n v="1121.9262295082001"/>
    <n v="4038.9344262295099"/>
  </r>
  <r>
    <x v="0"/>
    <x v="0"/>
    <x v="0"/>
    <x v="3"/>
    <x v="4"/>
    <s v="LV_A2"/>
    <x v="9"/>
    <x v="15"/>
    <x v="9"/>
    <x v="5"/>
    <n v="18.4426229508197"/>
    <n v="1121.9262295082001"/>
    <n v="4038.9344262295099"/>
  </r>
  <r>
    <x v="0"/>
    <x v="0"/>
    <x v="0"/>
    <x v="3"/>
    <x v="4"/>
    <s v="LV_A2"/>
    <x v="9"/>
    <x v="15"/>
    <x v="9"/>
    <x v="6"/>
    <n v="18.4426229508197"/>
    <n v="1121.9262295082001"/>
    <n v="4038.9344262295099"/>
  </r>
  <r>
    <x v="0"/>
    <x v="0"/>
    <x v="0"/>
    <x v="3"/>
    <x v="4"/>
    <s v="LV_A2"/>
    <x v="9"/>
    <x v="15"/>
    <x v="9"/>
    <x v="7"/>
    <n v="18.4426229508197"/>
    <n v="1121.9262295082001"/>
    <n v="4038.9344262295099"/>
  </r>
  <r>
    <x v="0"/>
    <x v="0"/>
    <x v="0"/>
    <x v="3"/>
    <x v="4"/>
    <s v="LV_A2"/>
    <x v="9"/>
    <x v="15"/>
    <x v="9"/>
    <x v="8"/>
    <n v="18.4426229508197"/>
    <n v="1121.9262295082001"/>
    <n v="4038.9344262295099"/>
  </r>
  <r>
    <x v="0"/>
    <x v="0"/>
    <x v="0"/>
    <x v="3"/>
    <x v="4"/>
    <s v="LV_A2"/>
    <x v="9"/>
    <x v="15"/>
    <x v="9"/>
    <x v="9"/>
    <n v="18.4426229508197"/>
    <n v="1121.9262295082001"/>
    <n v="4038.9344262295099"/>
  </r>
  <r>
    <x v="0"/>
    <x v="0"/>
    <x v="0"/>
    <x v="3"/>
    <x v="4"/>
    <s v="LV_A2"/>
    <x v="9"/>
    <x v="15"/>
    <x v="9"/>
    <x v="10"/>
    <n v="18.4426229508197"/>
    <n v="1121.9262295082001"/>
    <n v="4038.9344262295099"/>
  </r>
  <r>
    <x v="0"/>
    <x v="0"/>
    <x v="0"/>
    <x v="3"/>
    <x v="4"/>
    <s v="LV_A2"/>
    <x v="9"/>
    <x v="15"/>
    <x v="9"/>
    <x v="11"/>
    <n v="18.4426229508197"/>
    <n v="1121.9262295082001"/>
    <n v="4038.9344262295099"/>
  </r>
  <r>
    <x v="0"/>
    <x v="0"/>
    <x v="0"/>
    <x v="3"/>
    <x v="4"/>
    <s v="LV_A2"/>
    <x v="9"/>
    <x v="15"/>
    <x v="10"/>
    <x v="2"/>
    <n v="18.4426229508197"/>
    <n v="1121.9262295082001"/>
    <n v="4038.9344262295099"/>
  </r>
  <r>
    <x v="0"/>
    <x v="0"/>
    <x v="0"/>
    <x v="3"/>
    <x v="4"/>
    <s v="LV_A2"/>
    <x v="9"/>
    <x v="15"/>
    <x v="10"/>
    <x v="3"/>
    <n v="18.4426229508197"/>
    <n v="1121.9262295082001"/>
    <n v="4038.9344262295099"/>
  </r>
  <r>
    <x v="0"/>
    <x v="0"/>
    <x v="0"/>
    <x v="3"/>
    <x v="4"/>
    <s v="LV_A2"/>
    <x v="9"/>
    <x v="15"/>
    <x v="10"/>
    <x v="4"/>
    <n v="18.4426229508197"/>
    <n v="1121.9262295082001"/>
    <n v="4038.9344262295099"/>
  </r>
  <r>
    <x v="0"/>
    <x v="0"/>
    <x v="0"/>
    <x v="3"/>
    <x v="4"/>
    <s v="LV_A2"/>
    <x v="9"/>
    <x v="15"/>
    <x v="10"/>
    <x v="5"/>
    <n v="18.4426229508197"/>
    <n v="1121.9262295082001"/>
    <n v="4038.9344262295099"/>
  </r>
  <r>
    <x v="0"/>
    <x v="0"/>
    <x v="0"/>
    <x v="3"/>
    <x v="4"/>
    <s v="LV_A2"/>
    <x v="9"/>
    <x v="15"/>
    <x v="10"/>
    <x v="6"/>
    <n v="18.4426229508197"/>
    <n v="1121.9262295082001"/>
    <n v="4038.9344262295099"/>
  </r>
  <r>
    <x v="0"/>
    <x v="0"/>
    <x v="0"/>
    <x v="3"/>
    <x v="4"/>
    <s v="LV_A2"/>
    <x v="9"/>
    <x v="15"/>
    <x v="10"/>
    <x v="7"/>
    <n v="18.4426229508197"/>
    <n v="1121.9262295082001"/>
    <n v="4038.9344262295099"/>
  </r>
  <r>
    <x v="0"/>
    <x v="0"/>
    <x v="0"/>
    <x v="3"/>
    <x v="4"/>
    <s v="LV_A2"/>
    <x v="9"/>
    <x v="15"/>
    <x v="10"/>
    <x v="8"/>
    <n v="18.4426229508197"/>
    <n v="1121.9262295082001"/>
    <n v="4038.9344262295099"/>
  </r>
  <r>
    <x v="0"/>
    <x v="0"/>
    <x v="0"/>
    <x v="3"/>
    <x v="4"/>
    <s v="LV_A2"/>
    <x v="9"/>
    <x v="15"/>
    <x v="10"/>
    <x v="9"/>
    <n v="18.4426229508197"/>
    <n v="1121.9262295082001"/>
    <n v="4038.9344262295099"/>
  </r>
  <r>
    <x v="0"/>
    <x v="0"/>
    <x v="0"/>
    <x v="3"/>
    <x v="4"/>
    <s v="LV_A2"/>
    <x v="9"/>
    <x v="15"/>
    <x v="10"/>
    <x v="10"/>
    <n v="18.4426229508197"/>
    <n v="1121.9262295082001"/>
    <n v="4038.9344262295099"/>
  </r>
  <r>
    <x v="0"/>
    <x v="0"/>
    <x v="0"/>
    <x v="3"/>
    <x v="4"/>
    <s v="LV_A2"/>
    <x v="9"/>
    <x v="15"/>
    <x v="10"/>
    <x v="11"/>
    <n v="18.4426229508197"/>
    <n v="1121.9262295082001"/>
    <n v="4038.9344262295099"/>
  </r>
  <r>
    <x v="0"/>
    <x v="0"/>
    <x v="0"/>
    <x v="3"/>
    <x v="4"/>
    <s v="LV_A2"/>
    <x v="9"/>
    <x v="15"/>
    <x v="11"/>
    <x v="6"/>
    <n v="18.4426229508197"/>
    <n v="1121.9262295082001"/>
    <n v="4038.9344262295099"/>
  </r>
  <r>
    <x v="0"/>
    <x v="0"/>
    <x v="0"/>
    <x v="3"/>
    <x v="4"/>
    <s v="LV_A2"/>
    <x v="9"/>
    <x v="15"/>
    <x v="11"/>
    <x v="7"/>
    <n v="18.4426229508197"/>
    <n v="1121.9262295082001"/>
    <n v="4038.9344262295099"/>
  </r>
  <r>
    <x v="0"/>
    <x v="0"/>
    <x v="0"/>
    <x v="3"/>
    <x v="4"/>
    <s v="LV_A2"/>
    <x v="9"/>
    <x v="15"/>
    <x v="11"/>
    <x v="8"/>
    <n v="18.4426229508197"/>
    <n v="1121.9262295082001"/>
    <n v="4038.9344262295099"/>
  </r>
  <r>
    <x v="0"/>
    <x v="0"/>
    <x v="0"/>
    <x v="3"/>
    <x v="4"/>
    <s v="LV_A2"/>
    <x v="9"/>
    <x v="15"/>
    <x v="11"/>
    <x v="9"/>
    <n v="18.4426229508197"/>
    <n v="1121.9262295082001"/>
    <n v="4038.9344262295099"/>
  </r>
  <r>
    <x v="0"/>
    <x v="0"/>
    <x v="0"/>
    <x v="3"/>
    <x v="4"/>
    <s v="LV_A2"/>
    <x v="9"/>
    <x v="15"/>
    <x v="11"/>
    <x v="10"/>
    <n v="18.4426229508197"/>
    <n v="1121.9262295082001"/>
    <n v="4038.9344262295099"/>
  </r>
  <r>
    <x v="0"/>
    <x v="0"/>
    <x v="0"/>
    <x v="3"/>
    <x v="4"/>
    <s v="LV_A2"/>
    <x v="9"/>
    <x v="15"/>
    <x v="11"/>
    <x v="11"/>
    <n v="18.4426229508197"/>
    <n v="1121.9262295082001"/>
    <n v="4038.9344262295099"/>
  </r>
  <r>
    <x v="0"/>
    <x v="0"/>
    <x v="0"/>
    <x v="3"/>
    <x v="4"/>
    <s v="LV_A2"/>
    <x v="9"/>
    <x v="16"/>
    <x v="0"/>
    <x v="0"/>
    <n v="11.1111111111111"/>
    <n v="675.92592592592598"/>
    <n v="2433.3333333333298"/>
  </r>
  <r>
    <x v="0"/>
    <x v="0"/>
    <x v="0"/>
    <x v="3"/>
    <x v="4"/>
    <s v="LV_A2"/>
    <x v="9"/>
    <x v="16"/>
    <x v="0"/>
    <x v="1"/>
    <n v="11.1111111111111"/>
    <n v="675.92592592592598"/>
    <n v="2433.3333333333298"/>
  </r>
  <r>
    <x v="0"/>
    <x v="0"/>
    <x v="0"/>
    <x v="3"/>
    <x v="4"/>
    <s v="LV_A2"/>
    <x v="9"/>
    <x v="16"/>
    <x v="0"/>
    <x v="2"/>
    <n v="11.1111111111111"/>
    <n v="675.92592592592598"/>
    <n v="2433.3333333333298"/>
  </r>
  <r>
    <x v="0"/>
    <x v="0"/>
    <x v="0"/>
    <x v="3"/>
    <x v="4"/>
    <s v="LV_A2"/>
    <x v="9"/>
    <x v="16"/>
    <x v="0"/>
    <x v="3"/>
    <n v="11.1111111111111"/>
    <n v="675.92592592592598"/>
    <n v="2433.3333333333298"/>
  </r>
  <r>
    <x v="0"/>
    <x v="0"/>
    <x v="0"/>
    <x v="3"/>
    <x v="4"/>
    <s v="LV_A2"/>
    <x v="9"/>
    <x v="16"/>
    <x v="0"/>
    <x v="4"/>
    <n v="11.1111111111111"/>
    <n v="675.92592592592598"/>
    <n v="2433.3333333333298"/>
  </r>
  <r>
    <x v="0"/>
    <x v="0"/>
    <x v="0"/>
    <x v="3"/>
    <x v="4"/>
    <s v="LV_A2"/>
    <x v="9"/>
    <x v="16"/>
    <x v="0"/>
    <x v="5"/>
    <n v="11.1111111111111"/>
    <n v="675.92592592592598"/>
    <n v="2433.3333333333298"/>
  </r>
  <r>
    <x v="0"/>
    <x v="0"/>
    <x v="0"/>
    <x v="3"/>
    <x v="4"/>
    <s v="LV_A2"/>
    <x v="9"/>
    <x v="16"/>
    <x v="0"/>
    <x v="6"/>
    <n v="11.1111111111111"/>
    <n v="675.92592592592598"/>
    <n v="2433.3333333333298"/>
  </r>
  <r>
    <x v="0"/>
    <x v="0"/>
    <x v="0"/>
    <x v="3"/>
    <x v="4"/>
    <s v="LV_A2"/>
    <x v="9"/>
    <x v="16"/>
    <x v="0"/>
    <x v="7"/>
    <n v="11.1111111111111"/>
    <n v="675.92592592592598"/>
    <n v="2433.3333333333298"/>
  </r>
  <r>
    <x v="0"/>
    <x v="0"/>
    <x v="0"/>
    <x v="3"/>
    <x v="4"/>
    <s v="LV_A2"/>
    <x v="9"/>
    <x v="16"/>
    <x v="0"/>
    <x v="8"/>
    <n v="11.1111111111111"/>
    <n v="675.92592592592598"/>
    <n v="2433.3333333333298"/>
  </r>
  <r>
    <x v="0"/>
    <x v="0"/>
    <x v="0"/>
    <x v="3"/>
    <x v="4"/>
    <s v="LV_A2"/>
    <x v="9"/>
    <x v="16"/>
    <x v="0"/>
    <x v="9"/>
    <n v="11.1111111111111"/>
    <n v="675.92592592592598"/>
    <n v="2433.3333333333298"/>
  </r>
  <r>
    <x v="0"/>
    <x v="0"/>
    <x v="0"/>
    <x v="3"/>
    <x v="4"/>
    <s v="LV_A2"/>
    <x v="9"/>
    <x v="16"/>
    <x v="0"/>
    <x v="10"/>
    <n v="11.1111111111111"/>
    <n v="675.92592592592598"/>
    <n v="2433.3333333333298"/>
  </r>
  <r>
    <x v="0"/>
    <x v="0"/>
    <x v="0"/>
    <x v="3"/>
    <x v="4"/>
    <s v="LV_A2"/>
    <x v="9"/>
    <x v="16"/>
    <x v="0"/>
    <x v="11"/>
    <n v="11.1111111111111"/>
    <n v="675.92592592592598"/>
    <n v="2433.3333333333298"/>
  </r>
  <r>
    <x v="0"/>
    <x v="0"/>
    <x v="0"/>
    <x v="3"/>
    <x v="4"/>
    <s v="LV_A2"/>
    <x v="9"/>
    <x v="16"/>
    <x v="1"/>
    <x v="0"/>
    <n v="11.1111111111111"/>
    <n v="675.92592592592598"/>
    <n v="2433.3333333333298"/>
  </r>
  <r>
    <x v="0"/>
    <x v="0"/>
    <x v="0"/>
    <x v="3"/>
    <x v="4"/>
    <s v="LV_A2"/>
    <x v="9"/>
    <x v="16"/>
    <x v="1"/>
    <x v="1"/>
    <n v="11.1111111111111"/>
    <n v="675.92592592592598"/>
    <n v="2433.3333333333298"/>
  </r>
  <r>
    <x v="0"/>
    <x v="0"/>
    <x v="0"/>
    <x v="3"/>
    <x v="4"/>
    <s v="LV_A2"/>
    <x v="9"/>
    <x v="16"/>
    <x v="1"/>
    <x v="2"/>
    <n v="11.1111111111111"/>
    <n v="675.92592592592598"/>
    <n v="2433.3333333333298"/>
  </r>
  <r>
    <x v="0"/>
    <x v="0"/>
    <x v="0"/>
    <x v="3"/>
    <x v="4"/>
    <s v="LV_A2"/>
    <x v="9"/>
    <x v="16"/>
    <x v="1"/>
    <x v="3"/>
    <n v="11.1111111111111"/>
    <n v="675.92592592592598"/>
    <n v="2433.3333333333298"/>
  </r>
  <r>
    <x v="0"/>
    <x v="0"/>
    <x v="0"/>
    <x v="3"/>
    <x v="4"/>
    <s v="LV_A2"/>
    <x v="9"/>
    <x v="16"/>
    <x v="1"/>
    <x v="4"/>
    <n v="11.1111111111111"/>
    <n v="675.92592592592598"/>
    <n v="2433.3333333333298"/>
  </r>
  <r>
    <x v="0"/>
    <x v="0"/>
    <x v="0"/>
    <x v="3"/>
    <x v="4"/>
    <s v="LV_A2"/>
    <x v="9"/>
    <x v="16"/>
    <x v="1"/>
    <x v="5"/>
    <n v="11.1111111111111"/>
    <n v="675.92592592592598"/>
    <n v="2433.3333333333298"/>
  </r>
  <r>
    <x v="0"/>
    <x v="0"/>
    <x v="0"/>
    <x v="3"/>
    <x v="4"/>
    <s v="LV_A2"/>
    <x v="9"/>
    <x v="16"/>
    <x v="1"/>
    <x v="6"/>
    <n v="11.1111111111111"/>
    <n v="675.92592592592598"/>
    <n v="2433.3333333333298"/>
  </r>
  <r>
    <x v="0"/>
    <x v="0"/>
    <x v="0"/>
    <x v="3"/>
    <x v="4"/>
    <s v="LV_A2"/>
    <x v="9"/>
    <x v="16"/>
    <x v="1"/>
    <x v="7"/>
    <n v="11.1111111111111"/>
    <n v="675.92592592592598"/>
    <n v="2433.3333333333298"/>
  </r>
  <r>
    <x v="0"/>
    <x v="0"/>
    <x v="0"/>
    <x v="3"/>
    <x v="4"/>
    <s v="LV_A2"/>
    <x v="9"/>
    <x v="16"/>
    <x v="1"/>
    <x v="8"/>
    <n v="11.1111111111111"/>
    <n v="675.92592592592598"/>
    <n v="2433.3333333333298"/>
  </r>
  <r>
    <x v="0"/>
    <x v="0"/>
    <x v="0"/>
    <x v="3"/>
    <x v="4"/>
    <s v="LV_A2"/>
    <x v="9"/>
    <x v="16"/>
    <x v="1"/>
    <x v="9"/>
    <n v="11.1111111111111"/>
    <n v="675.92592592592598"/>
    <n v="2433.3333333333298"/>
  </r>
  <r>
    <x v="0"/>
    <x v="0"/>
    <x v="0"/>
    <x v="3"/>
    <x v="4"/>
    <s v="LV_A2"/>
    <x v="9"/>
    <x v="16"/>
    <x v="1"/>
    <x v="10"/>
    <n v="11.1111111111111"/>
    <n v="675.92592592592598"/>
    <n v="2433.3333333333298"/>
  </r>
  <r>
    <x v="0"/>
    <x v="0"/>
    <x v="0"/>
    <x v="3"/>
    <x v="4"/>
    <s v="LV_A2"/>
    <x v="9"/>
    <x v="16"/>
    <x v="1"/>
    <x v="11"/>
    <n v="11.1111111111111"/>
    <n v="675.92592592592598"/>
    <n v="2433.3333333333298"/>
  </r>
  <r>
    <x v="0"/>
    <x v="0"/>
    <x v="0"/>
    <x v="3"/>
    <x v="4"/>
    <s v="LV_A2"/>
    <x v="9"/>
    <x v="16"/>
    <x v="2"/>
    <x v="0"/>
    <n v="11.1111111111111"/>
    <n v="675.92592592592598"/>
    <n v="2433.3333333333298"/>
  </r>
  <r>
    <x v="0"/>
    <x v="0"/>
    <x v="0"/>
    <x v="3"/>
    <x v="4"/>
    <s v="LV_A2"/>
    <x v="9"/>
    <x v="16"/>
    <x v="2"/>
    <x v="1"/>
    <n v="11.1111111111111"/>
    <n v="675.92592592592598"/>
    <n v="2433.3333333333298"/>
  </r>
  <r>
    <x v="0"/>
    <x v="0"/>
    <x v="0"/>
    <x v="3"/>
    <x v="4"/>
    <s v="LV_A2"/>
    <x v="9"/>
    <x v="16"/>
    <x v="2"/>
    <x v="2"/>
    <n v="11.1111111111111"/>
    <n v="675.92592592592598"/>
    <n v="2433.3333333333298"/>
  </r>
  <r>
    <x v="0"/>
    <x v="0"/>
    <x v="0"/>
    <x v="3"/>
    <x v="4"/>
    <s v="LV_A2"/>
    <x v="9"/>
    <x v="16"/>
    <x v="2"/>
    <x v="3"/>
    <n v="11.1111111111111"/>
    <n v="675.92592592592598"/>
    <n v="2433.3333333333298"/>
  </r>
  <r>
    <x v="0"/>
    <x v="0"/>
    <x v="0"/>
    <x v="3"/>
    <x v="4"/>
    <s v="LV_A2"/>
    <x v="9"/>
    <x v="16"/>
    <x v="2"/>
    <x v="4"/>
    <n v="11.1111111111111"/>
    <n v="675.92592592592598"/>
    <n v="2433.3333333333298"/>
  </r>
  <r>
    <x v="0"/>
    <x v="0"/>
    <x v="0"/>
    <x v="3"/>
    <x v="4"/>
    <s v="LV_A2"/>
    <x v="9"/>
    <x v="16"/>
    <x v="2"/>
    <x v="5"/>
    <n v="11.1111111111111"/>
    <n v="675.92592592592598"/>
    <n v="2433.3333333333298"/>
  </r>
  <r>
    <x v="0"/>
    <x v="0"/>
    <x v="0"/>
    <x v="3"/>
    <x v="4"/>
    <s v="LV_A2"/>
    <x v="9"/>
    <x v="16"/>
    <x v="2"/>
    <x v="6"/>
    <n v="11.1111111111111"/>
    <n v="675.92592592592598"/>
    <n v="2433.3333333333298"/>
  </r>
  <r>
    <x v="0"/>
    <x v="0"/>
    <x v="0"/>
    <x v="3"/>
    <x v="4"/>
    <s v="LV_A2"/>
    <x v="9"/>
    <x v="16"/>
    <x v="2"/>
    <x v="7"/>
    <n v="11.1111111111111"/>
    <n v="675.92592592592598"/>
    <n v="2433.3333333333298"/>
  </r>
  <r>
    <x v="0"/>
    <x v="0"/>
    <x v="0"/>
    <x v="3"/>
    <x v="4"/>
    <s v="LV_A2"/>
    <x v="9"/>
    <x v="16"/>
    <x v="2"/>
    <x v="8"/>
    <n v="11.1111111111111"/>
    <n v="675.92592592592598"/>
    <n v="2433.3333333333298"/>
  </r>
  <r>
    <x v="0"/>
    <x v="0"/>
    <x v="0"/>
    <x v="3"/>
    <x v="4"/>
    <s v="LV_A2"/>
    <x v="9"/>
    <x v="16"/>
    <x v="2"/>
    <x v="9"/>
    <n v="11.1111111111111"/>
    <n v="675.92592592592598"/>
    <n v="2433.3333333333298"/>
  </r>
  <r>
    <x v="0"/>
    <x v="0"/>
    <x v="0"/>
    <x v="3"/>
    <x v="4"/>
    <s v="LV_A2"/>
    <x v="9"/>
    <x v="16"/>
    <x v="2"/>
    <x v="10"/>
    <n v="11.1111111111111"/>
    <n v="675.92592592592598"/>
    <n v="2433.3333333333298"/>
  </r>
  <r>
    <x v="0"/>
    <x v="0"/>
    <x v="0"/>
    <x v="3"/>
    <x v="4"/>
    <s v="LV_A2"/>
    <x v="9"/>
    <x v="16"/>
    <x v="2"/>
    <x v="11"/>
    <n v="11.1111111111111"/>
    <n v="675.92592592592598"/>
    <n v="2433.3333333333298"/>
  </r>
  <r>
    <x v="0"/>
    <x v="0"/>
    <x v="0"/>
    <x v="3"/>
    <x v="4"/>
    <s v="LV_A2"/>
    <x v="9"/>
    <x v="16"/>
    <x v="3"/>
    <x v="0"/>
    <n v="11.1111111111111"/>
    <n v="675.92592592592598"/>
    <n v="2433.3333333333298"/>
  </r>
  <r>
    <x v="0"/>
    <x v="0"/>
    <x v="0"/>
    <x v="3"/>
    <x v="4"/>
    <s v="LV_A2"/>
    <x v="9"/>
    <x v="16"/>
    <x v="3"/>
    <x v="1"/>
    <n v="11.1111111111111"/>
    <n v="675.92592592592598"/>
    <n v="2433.3333333333298"/>
  </r>
  <r>
    <x v="0"/>
    <x v="0"/>
    <x v="0"/>
    <x v="3"/>
    <x v="4"/>
    <s v="LV_A2"/>
    <x v="9"/>
    <x v="16"/>
    <x v="3"/>
    <x v="2"/>
    <n v="11.1111111111111"/>
    <n v="675.92592592592598"/>
    <n v="2433.3333333333298"/>
  </r>
  <r>
    <x v="0"/>
    <x v="0"/>
    <x v="0"/>
    <x v="3"/>
    <x v="4"/>
    <s v="LV_A2"/>
    <x v="9"/>
    <x v="16"/>
    <x v="3"/>
    <x v="3"/>
    <n v="11.1111111111111"/>
    <n v="675.92592592592598"/>
    <n v="2433.3333333333298"/>
  </r>
  <r>
    <x v="0"/>
    <x v="0"/>
    <x v="0"/>
    <x v="3"/>
    <x v="4"/>
    <s v="LV_A2"/>
    <x v="9"/>
    <x v="16"/>
    <x v="3"/>
    <x v="4"/>
    <n v="11.1111111111111"/>
    <n v="675.92592592592598"/>
    <n v="2433.3333333333298"/>
  </r>
  <r>
    <x v="0"/>
    <x v="0"/>
    <x v="0"/>
    <x v="3"/>
    <x v="4"/>
    <s v="LV_A2"/>
    <x v="9"/>
    <x v="16"/>
    <x v="3"/>
    <x v="5"/>
    <n v="11.1111111111111"/>
    <n v="675.92592592592598"/>
    <n v="2433.3333333333298"/>
  </r>
  <r>
    <x v="0"/>
    <x v="0"/>
    <x v="0"/>
    <x v="3"/>
    <x v="4"/>
    <s v="LV_A2"/>
    <x v="9"/>
    <x v="16"/>
    <x v="3"/>
    <x v="6"/>
    <n v="11.1111111111111"/>
    <n v="675.92592592592598"/>
    <n v="2433.3333333333298"/>
  </r>
  <r>
    <x v="0"/>
    <x v="0"/>
    <x v="0"/>
    <x v="3"/>
    <x v="4"/>
    <s v="LV_A2"/>
    <x v="9"/>
    <x v="16"/>
    <x v="3"/>
    <x v="7"/>
    <n v="11.1111111111111"/>
    <n v="675.92592592592598"/>
    <n v="2433.3333333333298"/>
  </r>
  <r>
    <x v="0"/>
    <x v="0"/>
    <x v="0"/>
    <x v="3"/>
    <x v="4"/>
    <s v="LV_A2"/>
    <x v="9"/>
    <x v="16"/>
    <x v="3"/>
    <x v="8"/>
    <n v="11.1111111111111"/>
    <n v="675.92592592592598"/>
    <n v="2433.3333333333298"/>
  </r>
  <r>
    <x v="0"/>
    <x v="0"/>
    <x v="0"/>
    <x v="3"/>
    <x v="4"/>
    <s v="LV_A2"/>
    <x v="9"/>
    <x v="16"/>
    <x v="3"/>
    <x v="9"/>
    <n v="11.1111111111111"/>
    <n v="675.92592592592598"/>
    <n v="2433.3333333333298"/>
  </r>
  <r>
    <x v="0"/>
    <x v="0"/>
    <x v="0"/>
    <x v="3"/>
    <x v="4"/>
    <s v="LV_A2"/>
    <x v="9"/>
    <x v="16"/>
    <x v="3"/>
    <x v="10"/>
    <n v="11.1111111111111"/>
    <n v="675.92592592592598"/>
    <n v="2433.3333333333298"/>
  </r>
  <r>
    <x v="0"/>
    <x v="0"/>
    <x v="0"/>
    <x v="3"/>
    <x v="4"/>
    <s v="LV_A2"/>
    <x v="9"/>
    <x v="16"/>
    <x v="3"/>
    <x v="11"/>
    <n v="11.1111111111111"/>
    <n v="675.92592592592598"/>
    <n v="2433.3333333333298"/>
  </r>
  <r>
    <x v="0"/>
    <x v="0"/>
    <x v="0"/>
    <x v="3"/>
    <x v="4"/>
    <s v="LV_A2"/>
    <x v="9"/>
    <x v="16"/>
    <x v="4"/>
    <x v="0"/>
    <n v="11.1111111111111"/>
    <n v="675.92592592592598"/>
    <n v="2433.3333333333298"/>
  </r>
  <r>
    <x v="0"/>
    <x v="0"/>
    <x v="0"/>
    <x v="3"/>
    <x v="4"/>
    <s v="LV_A2"/>
    <x v="9"/>
    <x v="16"/>
    <x v="4"/>
    <x v="1"/>
    <n v="11.1111111111111"/>
    <n v="675.92592592592598"/>
    <n v="2433.3333333333298"/>
  </r>
  <r>
    <x v="0"/>
    <x v="0"/>
    <x v="0"/>
    <x v="3"/>
    <x v="4"/>
    <s v="LV_A2"/>
    <x v="9"/>
    <x v="16"/>
    <x v="4"/>
    <x v="2"/>
    <n v="11.1111111111111"/>
    <n v="675.92592592592598"/>
    <n v="2433.3333333333298"/>
  </r>
  <r>
    <x v="0"/>
    <x v="0"/>
    <x v="0"/>
    <x v="3"/>
    <x v="4"/>
    <s v="LV_A2"/>
    <x v="9"/>
    <x v="16"/>
    <x v="4"/>
    <x v="3"/>
    <n v="11.1111111111111"/>
    <n v="675.92592592592598"/>
    <n v="2433.3333333333298"/>
  </r>
  <r>
    <x v="0"/>
    <x v="0"/>
    <x v="0"/>
    <x v="3"/>
    <x v="4"/>
    <s v="LV_A2"/>
    <x v="9"/>
    <x v="16"/>
    <x v="4"/>
    <x v="4"/>
    <n v="11.1111111111111"/>
    <n v="675.92592592592598"/>
    <n v="2433.3333333333298"/>
  </r>
  <r>
    <x v="0"/>
    <x v="0"/>
    <x v="0"/>
    <x v="3"/>
    <x v="4"/>
    <s v="LV_A2"/>
    <x v="9"/>
    <x v="16"/>
    <x v="4"/>
    <x v="5"/>
    <n v="11.1111111111111"/>
    <n v="675.92592592592598"/>
    <n v="2433.3333333333298"/>
  </r>
  <r>
    <x v="0"/>
    <x v="0"/>
    <x v="0"/>
    <x v="3"/>
    <x v="4"/>
    <s v="LV_A2"/>
    <x v="9"/>
    <x v="16"/>
    <x v="4"/>
    <x v="6"/>
    <n v="11.1111111111111"/>
    <n v="675.92592592592598"/>
    <n v="2433.3333333333298"/>
  </r>
  <r>
    <x v="0"/>
    <x v="0"/>
    <x v="0"/>
    <x v="3"/>
    <x v="4"/>
    <s v="LV_A2"/>
    <x v="9"/>
    <x v="16"/>
    <x v="4"/>
    <x v="7"/>
    <n v="11.1111111111111"/>
    <n v="675.92592592592598"/>
    <n v="2433.3333333333298"/>
  </r>
  <r>
    <x v="0"/>
    <x v="0"/>
    <x v="0"/>
    <x v="3"/>
    <x v="4"/>
    <s v="LV_A2"/>
    <x v="9"/>
    <x v="16"/>
    <x v="4"/>
    <x v="8"/>
    <n v="11.1111111111111"/>
    <n v="675.92592592592598"/>
    <n v="2433.3333333333298"/>
  </r>
  <r>
    <x v="0"/>
    <x v="0"/>
    <x v="0"/>
    <x v="3"/>
    <x v="4"/>
    <s v="LV_A2"/>
    <x v="9"/>
    <x v="16"/>
    <x v="4"/>
    <x v="9"/>
    <n v="11.1111111111111"/>
    <n v="675.92592592592598"/>
    <n v="2433.3333333333298"/>
  </r>
  <r>
    <x v="0"/>
    <x v="0"/>
    <x v="0"/>
    <x v="3"/>
    <x v="4"/>
    <s v="LV_A2"/>
    <x v="9"/>
    <x v="16"/>
    <x v="4"/>
    <x v="10"/>
    <n v="11.1111111111111"/>
    <n v="675.92592592592598"/>
    <n v="2433.3333333333298"/>
  </r>
  <r>
    <x v="0"/>
    <x v="0"/>
    <x v="0"/>
    <x v="3"/>
    <x v="4"/>
    <s v="LV_A2"/>
    <x v="9"/>
    <x v="16"/>
    <x v="4"/>
    <x v="11"/>
    <n v="11.1111111111111"/>
    <n v="675.92592592592598"/>
    <n v="2433.3333333333298"/>
  </r>
  <r>
    <x v="0"/>
    <x v="0"/>
    <x v="0"/>
    <x v="3"/>
    <x v="4"/>
    <s v="LV_A2"/>
    <x v="9"/>
    <x v="16"/>
    <x v="5"/>
    <x v="0"/>
    <n v="11.1111111111111"/>
    <n v="675.92592592592598"/>
    <n v="2433.3333333333298"/>
  </r>
  <r>
    <x v="0"/>
    <x v="0"/>
    <x v="0"/>
    <x v="3"/>
    <x v="4"/>
    <s v="LV_A2"/>
    <x v="9"/>
    <x v="16"/>
    <x v="5"/>
    <x v="1"/>
    <n v="11.1111111111111"/>
    <n v="675.92592592592598"/>
    <n v="2433.3333333333298"/>
  </r>
  <r>
    <x v="0"/>
    <x v="0"/>
    <x v="0"/>
    <x v="3"/>
    <x v="4"/>
    <s v="LV_A2"/>
    <x v="9"/>
    <x v="16"/>
    <x v="5"/>
    <x v="2"/>
    <n v="11.1111111111111"/>
    <n v="675.92592592592598"/>
    <n v="2433.3333333333298"/>
  </r>
  <r>
    <x v="0"/>
    <x v="0"/>
    <x v="0"/>
    <x v="3"/>
    <x v="4"/>
    <s v="LV_A2"/>
    <x v="9"/>
    <x v="16"/>
    <x v="5"/>
    <x v="3"/>
    <n v="11.1111111111111"/>
    <n v="675.92592592592598"/>
    <n v="2433.3333333333298"/>
  </r>
  <r>
    <x v="0"/>
    <x v="0"/>
    <x v="0"/>
    <x v="3"/>
    <x v="4"/>
    <s v="LV_A2"/>
    <x v="9"/>
    <x v="16"/>
    <x v="5"/>
    <x v="4"/>
    <n v="11.1111111111111"/>
    <n v="675.92592592592598"/>
    <n v="2433.3333333333298"/>
  </r>
  <r>
    <x v="0"/>
    <x v="0"/>
    <x v="0"/>
    <x v="3"/>
    <x v="4"/>
    <s v="LV_A2"/>
    <x v="9"/>
    <x v="16"/>
    <x v="5"/>
    <x v="5"/>
    <n v="11.1111111111111"/>
    <n v="675.92592592592598"/>
    <n v="2433.3333333333298"/>
  </r>
  <r>
    <x v="0"/>
    <x v="0"/>
    <x v="0"/>
    <x v="3"/>
    <x v="4"/>
    <s v="LV_A2"/>
    <x v="9"/>
    <x v="16"/>
    <x v="5"/>
    <x v="6"/>
    <n v="11.1111111111111"/>
    <n v="675.92592592592598"/>
    <n v="2433.3333333333298"/>
  </r>
  <r>
    <x v="0"/>
    <x v="0"/>
    <x v="0"/>
    <x v="3"/>
    <x v="4"/>
    <s v="LV_A2"/>
    <x v="9"/>
    <x v="16"/>
    <x v="5"/>
    <x v="7"/>
    <n v="11.1111111111111"/>
    <n v="675.92592592592598"/>
    <n v="2433.3333333333298"/>
  </r>
  <r>
    <x v="0"/>
    <x v="0"/>
    <x v="0"/>
    <x v="3"/>
    <x v="4"/>
    <s v="LV_A2"/>
    <x v="9"/>
    <x v="16"/>
    <x v="5"/>
    <x v="8"/>
    <n v="11.1111111111111"/>
    <n v="675.92592592592598"/>
    <n v="2433.3333333333298"/>
  </r>
  <r>
    <x v="0"/>
    <x v="0"/>
    <x v="0"/>
    <x v="3"/>
    <x v="4"/>
    <s v="LV_A2"/>
    <x v="9"/>
    <x v="16"/>
    <x v="5"/>
    <x v="9"/>
    <n v="11.1111111111111"/>
    <n v="675.92592592592598"/>
    <n v="2433.3333333333298"/>
  </r>
  <r>
    <x v="0"/>
    <x v="0"/>
    <x v="0"/>
    <x v="3"/>
    <x v="4"/>
    <s v="LV_A2"/>
    <x v="9"/>
    <x v="16"/>
    <x v="5"/>
    <x v="10"/>
    <n v="11.1111111111111"/>
    <n v="675.92592592592598"/>
    <n v="2433.3333333333298"/>
  </r>
  <r>
    <x v="0"/>
    <x v="0"/>
    <x v="0"/>
    <x v="3"/>
    <x v="4"/>
    <s v="LV_A2"/>
    <x v="9"/>
    <x v="16"/>
    <x v="5"/>
    <x v="11"/>
    <n v="11.1111111111111"/>
    <n v="675.92592592592598"/>
    <n v="2433.3333333333298"/>
  </r>
  <r>
    <x v="0"/>
    <x v="0"/>
    <x v="0"/>
    <x v="3"/>
    <x v="4"/>
    <s v="LV_A2"/>
    <x v="9"/>
    <x v="16"/>
    <x v="6"/>
    <x v="0"/>
    <n v="11.1111111111111"/>
    <n v="675.92592592592598"/>
    <n v="2433.3333333333298"/>
  </r>
  <r>
    <x v="0"/>
    <x v="0"/>
    <x v="0"/>
    <x v="3"/>
    <x v="4"/>
    <s v="LV_A2"/>
    <x v="9"/>
    <x v="16"/>
    <x v="6"/>
    <x v="1"/>
    <n v="11.1111111111111"/>
    <n v="675.92592592592598"/>
    <n v="2433.3333333333298"/>
  </r>
  <r>
    <x v="0"/>
    <x v="0"/>
    <x v="0"/>
    <x v="3"/>
    <x v="4"/>
    <s v="LV_A2"/>
    <x v="9"/>
    <x v="16"/>
    <x v="6"/>
    <x v="2"/>
    <n v="11.1111111111111"/>
    <n v="675.92592592592598"/>
    <n v="2433.3333333333298"/>
  </r>
  <r>
    <x v="0"/>
    <x v="0"/>
    <x v="0"/>
    <x v="3"/>
    <x v="4"/>
    <s v="LV_A2"/>
    <x v="9"/>
    <x v="16"/>
    <x v="6"/>
    <x v="3"/>
    <n v="11.1111111111111"/>
    <n v="675.92592592592598"/>
    <n v="2433.3333333333298"/>
  </r>
  <r>
    <x v="0"/>
    <x v="0"/>
    <x v="0"/>
    <x v="3"/>
    <x v="4"/>
    <s v="LV_A2"/>
    <x v="9"/>
    <x v="16"/>
    <x v="6"/>
    <x v="4"/>
    <n v="11.1111111111111"/>
    <n v="675.92592592592598"/>
    <n v="2433.3333333333298"/>
  </r>
  <r>
    <x v="0"/>
    <x v="0"/>
    <x v="0"/>
    <x v="3"/>
    <x v="4"/>
    <s v="LV_A2"/>
    <x v="9"/>
    <x v="16"/>
    <x v="6"/>
    <x v="5"/>
    <n v="11.1111111111111"/>
    <n v="675.92592592592598"/>
    <n v="2433.3333333333298"/>
  </r>
  <r>
    <x v="0"/>
    <x v="0"/>
    <x v="0"/>
    <x v="3"/>
    <x v="4"/>
    <s v="LV_A2"/>
    <x v="9"/>
    <x v="16"/>
    <x v="6"/>
    <x v="6"/>
    <n v="11.1111111111111"/>
    <n v="675.92592592592598"/>
    <n v="2433.3333333333298"/>
  </r>
  <r>
    <x v="0"/>
    <x v="0"/>
    <x v="0"/>
    <x v="3"/>
    <x v="4"/>
    <s v="LV_A2"/>
    <x v="9"/>
    <x v="16"/>
    <x v="6"/>
    <x v="7"/>
    <n v="11.1111111111111"/>
    <n v="675.92592592592598"/>
    <n v="2433.3333333333298"/>
  </r>
  <r>
    <x v="0"/>
    <x v="0"/>
    <x v="0"/>
    <x v="3"/>
    <x v="4"/>
    <s v="LV_A2"/>
    <x v="9"/>
    <x v="16"/>
    <x v="6"/>
    <x v="8"/>
    <n v="11.1111111111111"/>
    <n v="675.92592592592598"/>
    <n v="2433.3333333333298"/>
  </r>
  <r>
    <x v="0"/>
    <x v="0"/>
    <x v="0"/>
    <x v="3"/>
    <x v="4"/>
    <s v="LV_A2"/>
    <x v="9"/>
    <x v="16"/>
    <x v="6"/>
    <x v="9"/>
    <n v="11.1111111111111"/>
    <n v="675.92592592592598"/>
    <n v="2433.3333333333298"/>
  </r>
  <r>
    <x v="0"/>
    <x v="0"/>
    <x v="0"/>
    <x v="3"/>
    <x v="4"/>
    <s v="LV_A2"/>
    <x v="9"/>
    <x v="16"/>
    <x v="6"/>
    <x v="10"/>
    <n v="11.1111111111111"/>
    <n v="675.92592592592598"/>
    <n v="2433.3333333333298"/>
  </r>
  <r>
    <x v="0"/>
    <x v="0"/>
    <x v="0"/>
    <x v="3"/>
    <x v="4"/>
    <s v="LV_A2"/>
    <x v="9"/>
    <x v="16"/>
    <x v="6"/>
    <x v="11"/>
    <n v="11.1111111111111"/>
    <n v="675.92592592592598"/>
    <n v="2433.3333333333298"/>
  </r>
  <r>
    <x v="0"/>
    <x v="0"/>
    <x v="0"/>
    <x v="3"/>
    <x v="4"/>
    <s v="LV_A2"/>
    <x v="9"/>
    <x v="16"/>
    <x v="7"/>
    <x v="0"/>
    <n v="11.1111111111111"/>
    <n v="675.92592592592598"/>
    <n v="2433.3333333333298"/>
  </r>
  <r>
    <x v="0"/>
    <x v="0"/>
    <x v="0"/>
    <x v="3"/>
    <x v="4"/>
    <s v="LV_A2"/>
    <x v="9"/>
    <x v="16"/>
    <x v="7"/>
    <x v="1"/>
    <n v="11.1111111111111"/>
    <n v="675.92592592592598"/>
    <n v="2433.3333333333298"/>
  </r>
  <r>
    <x v="0"/>
    <x v="0"/>
    <x v="0"/>
    <x v="3"/>
    <x v="4"/>
    <s v="LV_A2"/>
    <x v="9"/>
    <x v="16"/>
    <x v="7"/>
    <x v="2"/>
    <n v="11.1111111111111"/>
    <n v="675.92592592592598"/>
    <n v="2433.3333333333298"/>
  </r>
  <r>
    <x v="0"/>
    <x v="0"/>
    <x v="0"/>
    <x v="3"/>
    <x v="4"/>
    <s v="LV_A2"/>
    <x v="9"/>
    <x v="16"/>
    <x v="7"/>
    <x v="3"/>
    <n v="11.1111111111111"/>
    <n v="675.92592592592598"/>
    <n v="2433.3333333333298"/>
  </r>
  <r>
    <x v="0"/>
    <x v="0"/>
    <x v="0"/>
    <x v="3"/>
    <x v="4"/>
    <s v="LV_A2"/>
    <x v="9"/>
    <x v="16"/>
    <x v="7"/>
    <x v="4"/>
    <n v="11.1111111111111"/>
    <n v="675.92592592592598"/>
    <n v="2433.3333333333298"/>
  </r>
  <r>
    <x v="0"/>
    <x v="0"/>
    <x v="0"/>
    <x v="3"/>
    <x v="4"/>
    <s v="LV_A2"/>
    <x v="9"/>
    <x v="16"/>
    <x v="7"/>
    <x v="5"/>
    <n v="11.1111111111111"/>
    <n v="675.92592592592598"/>
    <n v="2433.3333333333298"/>
  </r>
  <r>
    <x v="0"/>
    <x v="0"/>
    <x v="0"/>
    <x v="3"/>
    <x v="4"/>
    <s v="LV_A2"/>
    <x v="9"/>
    <x v="16"/>
    <x v="7"/>
    <x v="6"/>
    <n v="11.1111111111111"/>
    <n v="675.92592592592598"/>
    <n v="2433.3333333333298"/>
  </r>
  <r>
    <x v="0"/>
    <x v="0"/>
    <x v="0"/>
    <x v="3"/>
    <x v="4"/>
    <s v="LV_A2"/>
    <x v="9"/>
    <x v="16"/>
    <x v="7"/>
    <x v="7"/>
    <n v="11.1111111111111"/>
    <n v="675.92592592592598"/>
    <n v="2433.3333333333298"/>
  </r>
  <r>
    <x v="0"/>
    <x v="0"/>
    <x v="0"/>
    <x v="3"/>
    <x v="4"/>
    <s v="LV_A2"/>
    <x v="9"/>
    <x v="16"/>
    <x v="7"/>
    <x v="8"/>
    <n v="11.1111111111111"/>
    <n v="675.92592592592598"/>
    <n v="2433.3333333333298"/>
  </r>
  <r>
    <x v="0"/>
    <x v="0"/>
    <x v="0"/>
    <x v="3"/>
    <x v="4"/>
    <s v="LV_A2"/>
    <x v="9"/>
    <x v="16"/>
    <x v="7"/>
    <x v="9"/>
    <n v="11.1111111111111"/>
    <n v="675.92592592592598"/>
    <n v="2433.3333333333298"/>
  </r>
  <r>
    <x v="0"/>
    <x v="0"/>
    <x v="0"/>
    <x v="3"/>
    <x v="4"/>
    <s v="LV_A2"/>
    <x v="9"/>
    <x v="16"/>
    <x v="7"/>
    <x v="10"/>
    <n v="11.1111111111111"/>
    <n v="675.92592592592598"/>
    <n v="2433.3333333333298"/>
  </r>
  <r>
    <x v="0"/>
    <x v="0"/>
    <x v="0"/>
    <x v="3"/>
    <x v="4"/>
    <s v="LV_A2"/>
    <x v="9"/>
    <x v="16"/>
    <x v="7"/>
    <x v="11"/>
    <n v="11.1111111111111"/>
    <n v="675.92592592592598"/>
    <n v="2433.3333333333298"/>
  </r>
  <r>
    <x v="0"/>
    <x v="0"/>
    <x v="0"/>
    <x v="3"/>
    <x v="4"/>
    <s v="LV_A2"/>
    <x v="9"/>
    <x v="16"/>
    <x v="8"/>
    <x v="0"/>
    <n v="11.1111111111111"/>
    <n v="675.92592592592598"/>
    <n v="2433.3333333333298"/>
  </r>
  <r>
    <x v="0"/>
    <x v="0"/>
    <x v="0"/>
    <x v="3"/>
    <x v="4"/>
    <s v="LV_A2"/>
    <x v="9"/>
    <x v="16"/>
    <x v="8"/>
    <x v="1"/>
    <n v="11.1111111111111"/>
    <n v="675.92592592592598"/>
    <n v="2433.3333333333298"/>
  </r>
  <r>
    <x v="0"/>
    <x v="0"/>
    <x v="0"/>
    <x v="3"/>
    <x v="4"/>
    <s v="LV_A2"/>
    <x v="9"/>
    <x v="16"/>
    <x v="8"/>
    <x v="2"/>
    <n v="11.1111111111111"/>
    <n v="675.92592592592598"/>
    <n v="2433.3333333333298"/>
  </r>
  <r>
    <x v="0"/>
    <x v="0"/>
    <x v="0"/>
    <x v="3"/>
    <x v="4"/>
    <s v="LV_A2"/>
    <x v="9"/>
    <x v="16"/>
    <x v="8"/>
    <x v="3"/>
    <n v="11.1111111111111"/>
    <n v="675.92592592592598"/>
    <n v="2433.3333333333298"/>
  </r>
  <r>
    <x v="0"/>
    <x v="0"/>
    <x v="0"/>
    <x v="3"/>
    <x v="4"/>
    <s v="LV_A2"/>
    <x v="9"/>
    <x v="16"/>
    <x v="8"/>
    <x v="4"/>
    <n v="11.1111111111111"/>
    <n v="675.92592592592598"/>
    <n v="2433.3333333333298"/>
  </r>
  <r>
    <x v="0"/>
    <x v="0"/>
    <x v="0"/>
    <x v="3"/>
    <x v="4"/>
    <s v="LV_A2"/>
    <x v="9"/>
    <x v="16"/>
    <x v="8"/>
    <x v="5"/>
    <n v="11.1111111111111"/>
    <n v="675.92592592592598"/>
    <n v="2433.3333333333298"/>
  </r>
  <r>
    <x v="0"/>
    <x v="0"/>
    <x v="0"/>
    <x v="3"/>
    <x v="4"/>
    <s v="LV_A2"/>
    <x v="9"/>
    <x v="16"/>
    <x v="8"/>
    <x v="6"/>
    <n v="11.1111111111111"/>
    <n v="675.92592592592598"/>
    <n v="2433.3333333333298"/>
  </r>
  <r>
    <x v="0"/>
    <x v="0"/>
    <x v="0"/>
    <x v="3"/>
    <x v="4"/>
    <s v="LV_A2"/>
    <x v="9"/>
    <x v="16"/>
    <x v="8"/>
    <x v="7"/>
    <n v="11.1111111111111"/>
    <n v="675.92592592592598"/>
    <n v="2433.3333333333298"/>
  </r>
  <r>
    <x v="0"/>
    <x v="0"/>
    <x v="0"/>
    <x v="3"/>
    <x v="4"/>
    <s v="LV_A2"/>
    <x v="9"/>
    <x v="16"/>
    <x v="8"/>
    <x v="8"/>
    <n v="11.1111111111111"/>
    <n v="675.92592592592598"/>
    <n v="2433.3333333333298"/>
  </r>
  <r>
    <x v="0"/>
    <x v="0"/>
    <x v="0"/>
    <x v="3"/>
    <x v="4"/>
    <s v="LV_A2"/>
    <x v="9"/>
    <x v="16"/>
    <x v="8"/>
    <x v="9"/>
    <n v="11.1111111111111"/>
    <n v="675.92592592592598"/>
    <n v="2433.3333333333298"/>
  </r>
  <r>
    <x v="0"/>
    <x v="0"/>
    <x v="0"/>
    <x v="3"/>
    <x v="4"/>
    <s v="LV_A2"/>
    <x v="9"/>
    <x v="16"/>
    <x v="8"/>
    <x v="10"/>
    <n v="11.1111111111111"/>
    <n v="675.92592592592598"/>
    <n v="2433.3333333333298"/>
  </r>
  <r>
    <x v="0"/>
    <x v="0"/>
    <x v="0"/>
    <x v="3"/>
    <x v="4"/>
    <s v="LV_A2"/>
    <x v="9"/>
    <x v="16"/>
    <x v="8"/>
    <x v="11"/>
    <n v="11.1111111111111"/>
    <n v="675.92592592592598"/>
    <n v="2433.3333333333298"/>
  </r>
  <r>
    <x v="0"/>
    <x v="0"/>
    <x v="0"/>
    <x v="3"/>
    <x v="4"/>
    <s v="LV_A2"/>
    <x v="9"/>
    <x v="16"/>
    <x v="9"/>
    <x v="0"/>
    <n v="11.1111111111111"/>
    <n v="675.92592592592598"/>
    <n v="2433.3333333333298"/>
  </r>
  <r>
    <x v="0"/>
    <x v="0"/>
    <x v="0"/>
    <x v="3"/>
    <x v="4"/>
    <s v="LV_A2"/>
    <x v="9"/>
    <x v="16"/>
    <x v="9"/>
    <x v="1"/>
    <n v="11.1111111111111"/>
    <n v="675.92592592592598"/>
    <n v="2433.3333333333298"/>
  </r>
  <r>
    <x v="0"/>
    <x v="0"/>
    <x v="0"/>
    <x v="3"/>
    <x v="4"/>
    <s v="LV_A2"/>
    <x v="9"/>
    <x v="16"/>
    <x v="9"/>
    <x v="2"/>
    <n v="11.1111111111111"/>
    <n v="675.92592592592598"/>
    <n v="2433.3333333333298"/>
  </r>
  <r>
    <x v="0"/>
    <x v="0"/>
    <x v="0"/>
    <x v="3"/>
    <x v="4"/>
    <s v="LV_A2"/>
    <x v="9"/>
    <x v="16"/>
    <x v="9"/>
    <x v="3"/>
    <n v="11.1111111111111"/>
    <n v="675.92592592592598"/>
    <n v="2433.3333333333298"/>
  </r>
  <r>
    <x v="0"/>
    <x v="0"/>
    <x v="0"/>
    <x v="3"/>
    <x v="4"/>
    <s v="LV_A2"/>
    <x v="9"/>
    <x v="16"/>
    <x v="9"/>
    <x v="4"/>
    <n v="11.1111111111111"/>
    <n v="675.92592592592598"/>
    <n v="2433.3333333333298"/>
  </r>
  <r>
    <x v="0"/>
    <x v="0"/>
    <x v="0"/>
    <x v="3"/>
    <x v="4"/>
    <s v="LV_A2"/>
    <x v="9"/>
    <x v="16"/>
    <x v="9"/>
    <x v="5"/>
    <n v="11.1111111111111"/>
    <n v="675.92592592592598"/>
    <n v="2433.3333333333298"/>
  </r>
  <r>
    <x v="0"/>
    <x v="0"/>
    <x v="0"/>
    <x v="3"/>
    <x v="4"/>
    <s v="LV_A2"/>
    <x v="9"/>
    <x v="16"/>
    <x v="9"/>
    <x v="6"/>
    <n v="11.1111111111111"/>
    <n v="675.92592592592598"/>
    <n v="2433.3333333333298"/>
  </r>
  <r>
    <x v="0"/>
    <x v="0"/>
    <x v="0"/>
    <x v="3"/>
    <x v="4"/>
    <s v="LV_A2"/>
    <x v="9"/>
    <x v="16"/>
    <x v="9"/>
    <x v="7"/>
    <n v="11.1111111111111"/>
    <n v="675.92592592592598"/>
    <n v="2433.3333333333298"/>
  </r>
  <r>
    <x v="0"/>
    <x v="0"/>
    <x v="0"/>
    <x v="3"/>
    <x v="4"/>
    <s v="LV_A2"/>
    <x v="9"/>
    <x v="16"/>
    <x v="9"/>
    <x v="8"/>
    <n v="11.1111111111111"/>
    <n v="675.92592592592598"/>
    <n v="2433.3333333333298"/>
  </r>
  <r>
    <x v="0"/>
    <x v="0"/>
    <x v="0"/>
    <x v="3"/>
    <x v="4"/>
    <s v="LV_A2"/>
    <x v="9"/>
    <x v="16"/>
    <x v="9"/>
    <x v="9"/>
    <n v="11.1111111111111"/>
    <n v="675.92592592592598"/>
    <n v="2433.3333333333298"/>
  </r>
  <r>
    <x v="0"/>
    <x v="0"/>
    <x v="0"/>
    <x v="3"/>
    <x v="4"/>
    <s v="LV_A2"/>
    <x v="9"/>
    <x v="16"/>
    <x v="9"/>
    <x v="10"/>
    <n v="11.1111111111111"/>
    <n v="675.92592592592598"/>
    <n v="2433.3333333333298"/>
  </r>
  <r>
    <x v="0"/>
    <x v="0"/>
    <x v="0"/>
    <x v="3"/>
    <x v="4"/>
    <s v="LV_A2"/>
    <x v="9"/>
    <x v="16"/>
    <x v="9"/>
    <x v="11"/>
    <n v="11.1111111111111"/>
    <n v="675.92592592592598"/>
    <n v="2433.3333333333298"/>
  </r>
  <r>
    <x v="0"/>
    <x v="0"/>
    <x v="0"/>
    <x v="3"/>
    <x v="4"/>
    <s v="LV_A2"/>
    <x v="9"/>
    <x v="16"/>
    <x v="10"/>
    <x v="0"/>
    <n v="11.1111111111111"/>
    <n v="675.92592592592598"/>
    <n v="2433.3333333333298"/>
  </r>
  <r>
    <x v="0"/>
    <x v="0"/>
    <x v="0"/>
    <x v="3"/>
    <x v="4"/>
    <s v="LV_A2"/>
    <x v="9"/>
    <x v="16"/>
    <x v="10"/>
    <x v="1"/>
    <n v="11.1111111111111"/>
    <n v="675.92592592592598"/>
    <n v="2433.3333333333298"/>
  </r>
  <r>
    <x v="0"/>
    <x v="0"/>
    <x v="0"/>
    <x v="3"/>
    <x v="4"/>
    <s v="LV_A2"/>
    <x v="9"/>
    <x v="16"/>
    <x v="10"/>
    <x v="2"/>
    <n v="11.1111111111111"/>
    <n v="675.92592592592598"/>
    <n v="2433.3333333333298"/>
  </r>
  <r>
    <x v="0"/>
    <x v="0"/>
    <x v="0"/>
    <x v="3"/>
    <x v="4"/>
    <s v="LV_A2"/>
    <x v="9"/>
    <x v="16"/>
    <x v="10"/>
    <x v="3"/>
    <n v="11.1111111111111"/>
    <n v="675.92592592592598"/>
    <n v="2433.3333333333298"/>
  </r>
  <r>
    <x v="0"/>
    <x v="0"/>
    <x v="0"/>
    <x v="3"/>
    <x v="4"/>
    <s v="LV_A2"/>
    <x v="9"/>
    <x v="16"/>
    <x v="10"/>
    <x v="4"/>
    <n v="11.1111111111111"/>
    <n v="675.92592592592598"/>
    <n v="2433.3333333333298"/>
  </r>
  <r>
    <x v="0"/>
    <x v="0"/>
    <x v="0"/>
    <x v="3"/>
    <x v="4"/>
    <s v="LV_A2"/>
    <x v="9"/>
    <x v="16"/>
    <x v="10"/>
    <x v="5"/>
    <n v="11.1111111111111"/>
    <n v="675.92592592592598"/>
    <n v="2433.3333333333298"/>
  </r>
  <r>
    <x v="0"/>
    <x v="0"/>
    <x v="0"/>
    <x v="3"/>
    <x v="4"/>
    <s v="LV_A2"/>
    <x v="9"/>
    <x v="16"/>
    <x v="10"/>
    <x v="6"/>
    <n v="11.1111111111111"/>
    <n v="675.92592592592598"/>
    <n v="2433.3333333333298"/>
  </r>
  <r>
    <x v="0"/>
    <x v="0"/>
    <x v="0"/>
    <x v="3"/>
    <x v="4"/>
    <s v="LV_A2"/>
    <x v="9"/>
    <x v="16"/>
    <x v="10"/>
    <x v="7"/>
    <n v="11.1111111111111"/>
    <n v="675.92592592592598"/>
    <n v="2433.3333333333298"/>
  </r>
  <r>
    <x v="0"/>
    <x v="0"/>
    <x v="0"/>
    <x v="3"/>
    <x v="4"/>
    <s v="LV_A2"/>
    <x v="9"/>
    <x v="16"/>
    <x v="10"/>
    <x v="8"/>
    <n v="11.1111111111111"/>
    <n v="675.92592592592598"/>
    <n v="2433.3333333333298"/>
  </r>
  <r>
    <x v="0"/>
    <x v="0"/>
    <x v="0"/>
    <x v="3"/>
    <x v="4"/>
    <s v="LV_A2"/>
    <x v="9"/>
    <x v="16"/>
    <x v="10"/>
    <x v="9"/>
    <n v="11.1111111111111"/>
    <n v="675.92592592592598"/>
    <n v="2433.3333333333298"/>
  </r>
  <r>
    <x v="0"/>
    <x v="0"/>
    <x v="0"/>
    <x v="3"/>
    <x v="4"/>
    <s v="LV_A2"/>
    <x v="9"/>
    <x v="16"/>
    <x v="10"/>
    <x v="10"/>
    <n v="11.1111111111111"/>
    <n v="675.92592592592598"/>
    <n v="2433.3333333333298"/>
  </r>
  <r>
    <x v="0"/>
    <x v="0"/>
    <x v="0"/>
    <x v="3"/>
    <x v="4"/>
    <s v="LV_A2"/>
    <x v="9"/>
    <x v="16"/>
    <x v="10"/>
    <x v="11"/>
    <n v="11.1111111111111"/>
    <n v="675.92592592592598"/>
    <n v="2433.3333333333298"/>
  </r>
  <r>
    <x v="0"/>
    <x v="0"/>
    <x v="0"/>
    <x v="3"/>
    <x v="4"/>
    <s v="LV_A2"/>
    <x v="9"/>
    <x v="16"/>
    <x v="11"/>
    <x v="0"/>
    <n v="11.1111111111111"/>
    <n v="675.92592592592598"/>
    <n v="2433.3333333333298"/>
  </r>
  <r>
    <x v="0"/>
    <x v="0"/>
    <x v="0"/>
    <x v="3"/>
    <x v="4"/>
    <s v="LV_A2"/>
    <x v="9"/>
    <x v="16"/>
    <x v="11"/>
    <x v="1"/>
    <n v="11.1111111111111"/>
    <n v="675.92592592592598"/>
    <n v="2433.3333333333298"/>
  </r>
  <r>
    <x v="0"/>
    <x v="0"/>
    <x v="0"/>
    <x v="3"/>
    <x v="4"/>
    <s v="LV_A2"/>
    <x v="9"/>
    <x v="16"/>
    <x v="11"/>
    <x v="2"/>
    <n v="11.1111111111111"/>
    <n v="675.92592592592598"/>
    <n v="2433.3333333333298"/>
  </r>
  <r>
    <x v="0"/>
    <x v="0"/>
    <x v="0"/>
    <x v="3"/>
    <x v="4"/>
    <s v="LV_A2"/>
    <x v="9"/>
    <x v="16"/>
    <x v="11"/>
    <x v="3"/>
    <n v="11.1111111111111"/>
    <n v="675.92592592592598"/>
    <n v="2433.3333333333298"/>
  </r>
  <r>
    <x v="0"/>
    <x v="0"/>
    <x v="0"/>
    <x v="3"/>
    <x v="4"/>
    <s v="LV_A2"/>
    <x v="9"/>
    <x v="16"/>
    <x v="11"/>
    <x v="4"/>
    <n v="11.1111111111111"/>
    <n v="675.92592592592598"/>
    <n v="2433.3333333333298"/>
  </r>
  <r>
    <x v="0"/>
    <x v="0"/>
    <x v="0"/>
    <x v="3"/>
    <x v="4"/>
    <s v="LV_A2"/>
    <x v="9"/>
    <x v="16"/>
    <x v="11"/>
    <x v="5"/>
    <n v="11.1111111111111"/>
    <n v="675.92592592592598"/>
    <n v="2433.3333333333298"/>
  </r>
  <r>
    <x v="0"/>
    <x v="0"/>
    <x v="0"/>
    <x v="3"/>
    <x v="4"/>
    <s v="LV_A2"/>
    <x v="9"/>
    <x v="16"/>
    <x v="11"/>
    <x v="6"/>
    <n v="11.1111111111111"/>
    <n v="675.92592592592598"/>
    <n v="2433.3333333333298"/>
  </r>
  <r>
    <x v="0"/>
    <x v="0"/>
    <x v="0"/>
    <x v="3"/>
    <x v="4"/>
    <s v="LV_A2"/>
    <x v="9"/>
    <x v="16"/>
    <x v="11"/>
    <x v="7"/>
    <n v="11.1111111111111"/>
    <n v="675.92592592592598"/>
    <n v="2433.3333333333298"/>
  </r>
  <r>
    <x v="0"/>
    <x v="0"/>
    <x v="0"/>
    <x v="3"/>
    <x v="4"/>
    <s v="LV_A2"/>
    <x v="9"/>
    <x v="16"/>
    <x v="11"/>
    <x v="8"/>
    <n v="11.1111111111111"/>
    <n v="675.92592592592598"/>
    <n v="2433.3333333333298"/>
  </r>
  <r>
    <x v="0"/>
    <x v="0"/>
    <x v="0"/>
    <x v="3"/>
    <x v="4"/>
    <s v="LV_A2"/>
    <x v="9"/>
    <x v="16"/>
    <x v="11"/>
    <x v="9"/>
    <n v="11.1111111111111"/>
    <n v="675.92592592592598"/>
    <n v="2433.3333333333298"/>
  </r>
  <r>
    <x v="0"/>
    <x v="0"/>
    <x v="0"/>
    <x v="3"/>
    <x v="4"/>
    <s v="LV_A2"/>
    <x v="9"/>
    <x v="16"/>
    <x v="11"/>
    <x v="10"/>
    <n v="11.1111111111111"/>
    <n v="675.92592592592598"/>
    <n v="2433.3333333333298"/>
  </r>
  <r>
    <x v="0"/>
    <x v="0"/>
    <x v="0"/>
    <x v="3"/>
    <x v="4"/>
    <s v="LV_A2"/>
    <x v="9"/>
    <x v="16"/>
    <x v="11"/>
    <x v="11"/>
    <n v="11.1111111111111"/>
    <n v="675.92592592592598"/>
    <n v="2433.3333333333298"/>
  </r>
  <r>
    <x v="0"/>
    <x v="0"/>
    <x v="0"/>
    <x v="3"/>
    <x v="4"/>
    <s v="LV_A2"/>
    <x v="9"/>
    <x v="18"/>
    <x v="0"/>
    <x v="2"/>
    <n v="15"/>
    <n v="912.5"/>
    <n v="3285"/>
  </r>
  <r>
    <x v="0"/>
    <x v="0"/>
    <x v="0"/>
    <x v="3"/>
    <x v="4"/>
    <s v="LV_A2"/>
    <x v="9"/>
    <x v="18"/>
    <x v="0"/>
    <x v="3"/>
    <n v="15"/>
    <n v="912.5"/>
    <n v="3285"/>
  </r>
  <r>
    <x v="0"/>
    <x v="0"/>
    <x v="0"/>
    <x v="3"/>
    <x v="4"/>
    <s v="LV_A2"/>
    <x v="9"/>
    <x v="18"/>
    <x v="0"/>
    <x v="4"/>
    <n v="15"/>
    <n v="912.5"/>
    <n v="3285"/>
  </r>
  <r>
    <x v="0"/>
    <x v="0"/>
    <x v="0"/>
    <x v="3"/>
    <x v="4"/>
    <s v="LV_A2"/>
    <x v="9"/>
    <x v="18"/>
    <x v="0"/>
    <x v="5"/>
    <n v="15"/>
    <n v="912.5"/>
    <n v="3285"/>
  </r>
  <r>
    <x v="0"/>
    <x v="0"/>
    <x v="0"/>
    <x v="3"/>
    <x v="4"/>
    <s v="LV_A2"/>
    <x v="9"/>
    <x v="18"/>
    <x v="0"/>
    <x v="6"/>
    <n v="15"/>
    <n v="912.5"/>
    <n v="3285"/>
  </r>
  <r>
    <x v="0"/>
    <x v="0"/>
    <x v="0"/>
    <x v="3"/>
    <x v="4"/>
    <s v="LV_A2"/>
    <x v="9"/>
    <x v="18"/>
    <x v="0"/>
    <x v="7"/>
    <n v="15"/>
    <n v="912.5"/>
    <n v="3285"/>
  </r>
  <r>
    <x v="0"/>
    <x v="0"/>
    <x v="0"/>
    <x v="3"/>
    <x v="4"/>
    <s v="LV_A2"/>
    <x v="9"/>
    <x v="18"/>
    <x v="0"/>
    <x v="8"/>
    <n v="15"/>
    <n v="912.5"/>
    <n v="3285"/>
  </r>
  <r>
    <x v="0"/>
    <x v="0"/>
    <x v="0"/>
    <x v="3"/>
    <x v="4"/>
    <s v="LV_A2"/>
    <x v="9"/>
    <x v="18"/>
    <x v="0"/>
    <x v="9"/>
    <n v="15"/>
    <n v="912.5"/>
    <n v="3285"/>
  </r>
  <r>
    <x v="0"/>
    <x v="0"/>
    <x v="0"/>
    <x v="3"/>
    <x v="4"/>
    <s v="LV_A2"/>
    <x v="9"/>
    <x v="18"/>
    <x v="0"/>
    <x v="10"/>
    <n v="15"/>
    <n v="912.5"/>
    <n v="3285"/>
  </r>
  <r>
    <x v="0"/>
    <x v="0"/>
    <x v="0"/>
    <x v="3"/>
    <x v="4"/>
    <s v="LV_A2"/>
    <x v="9"/>
    <x v="18"/>
    <x v="0"/>
    <x v="11"/>
    <n v="15"/>
    <n v="912.5"/>
    <n v="3285"/>
  </r>
  <r>
    <x v="0"/>
    <x v="0"/>
    <x v="0"/>
    <x v="3"/>
    <x v="4"/>
    <s v="LV_A2"/>
    <x v="9"/>
    <x v="18"/>
    <x v="1"/>
    <x v="1"/>
    <n v="15"/>
    <n v="912.5"/>
    <n v="3285"/>
  </r>
  <r>
    <x v="0"/>
    <x v="0"/>
    <x v="0"/>
    <x v="3"/>
    <x v="4"/>
    <s v="LV_A2"/>
    <x v="9"/>
    <x v="18"/>
    <x v="1"/>
    <x v="2"/>
    <n v="15"/>
    <n v="912.5"/>
    <n v="3285"/>
  </r>
  <r>
    <x v="0"/>
    <x v="0"/>
    <x v="0"/>
    <x v="3"/>
    <x v="4"/>
    <s v="LV_A2"/>
    <x v="9"/>
    <x v="18"/>
    <x v="1"/>
    <x v="3"/>
    <n v="15"/>
    <n v="912.5"/>
    <n v="3285"/>
  </r>
  <r>
    <x v="0"/>
    <x v="0"/>
    <x v="0"/>
    <x v="3"/>
    <x v="4"/>
    <s v="LV_A2"/>
    <x v="9"/>
    <x v="18"/>
    <x v="1"/>
    <x v="4"/>
    <n v="15"/>
    <n v="912.5"/>
    <n v="3285"/>
  </r>
  <r>
    <x v="0"/>
    <x v="0"/>
    <x v="0"/>
    <x v="3"/>
    <x v="4"/>
    <s v="LV_A2"/>
    <x v="9"/>
    <x v="18"/>
    <x v="1"/>
    <x v="5"/>
    <n v="1.4152423030910299"/>
    <n v="86.093906771370996"/>
    <n v="309.93806437693598"/>
  </r>
  <r>
    <x v="0"/>
    <x v="0"/>
    <x v="0"/>
    <x v="3"/>
    <x v="4"/>
    <s v="LV_A2"/>
    <x v="9"/>
    <x v="18"/>
    <x v="1"/>
    <x v="6"/>
    <n v="0.39606977273627902"/>
    <n v="24.094244508123701"/>
    <n v="86.739280229245196"/>
  </r>
  <r>
    <x v="0"/>
    <x v="0"/>
    <x v="0"/>
    <x v="3"/>
    <x v="4"/>
    <s v="LV_A2"/>
    <x v="9"/>
    <x v="18"/>
    <x v="1"/>
    <x v="7"/>
    <n v="9.6162308613533405"/>
    <n v="584.98737739899502"/>
    <n v="2105.9545586363802"/>
  </r>
  <r>
    <x v="0"/>
    <x v="0"/>
    <x v="0"/>
    <x v="3"/>
    <x v="4"/>
    <s v="LV_A2"/>
    <x v="9"/>
    <x v="18"/>
    <x v="1"/>
    <x v="8"/>
    <n v="4.7049934458983396"/>
    <n v="286.22043462548203"/>
    <n v="1030.39356465174"/>
  </r>
  <r>
    <x v="0"/>
    <x v="0"/>
    <x v="0"/>
    <x v="3"/>
    <x v="4"/>
    <s v="LV_A2"/>
    <x v="9"/>
    <x v="18"/>
    <x v="2"/>
    <x v="0"/>
    <n v="15"/>
    <n v="912.5"/>
    <n v="3285"/>
  </r>
  <r>
    <x v="0"/>
    <x v="0"/>
    <x v="0"/>
    <x v="3"/>
    <x v="4"/>
    <s v="LV_A2"/>
    <x v="9"/>
    <x v="18"/>
    <x v="2"/>
    <x v="1"/>
    <n v="15"/>
    <n v="912.5"/>
    <n v="3285"/>
  </r>
  <r>
    <x v="0"/>
    <x v="0"/>
    <x v="0"/>
    <x v="3"/>
    <x v="4"/>
    <s v="LV_A2"/>
    <x v="9"/>
    <x v="18"/>
    <x v="2"/>
    <x v="2"/>
    <n v="15"/>
    <n v="912.5"/>
    <n v="3285"/>
  </r>
  <r>
    <x v="0"/>
    <x v="0"/>
    <x v="0"/>
    <x v="3"/>
    <x v="4"/>
    <s v="LV_A2"/>
    <x v="9"/>
    <x v="18"/>
    <x v="2"/>
    <x v="3"/>
    <n v="15"/>
    <n v="912.5"/>
    <n v="3285"/>
  </r>
  <r>
    <x v="0"/>
    <x v="0"/>
    <x v="0"/>
    <x v="3"/>
    <x v="4"/>
    <s v="LV_A2"/>
    <x v="9"/>
    <x v="18"/>
    <x v="2"/>
    <x v="4"/>
    <n v="15"/>
    <n v="912.5"/>
    <n v="3285"/>
  </r>
  <r>
    <x v="0"/>
    <x v="0"/>
    <x v="0"/>
    <x v="3"/>
    <x v="4"/>
    <s v="LV_A2"/>
    <x v="9"/>
    <x v="18"/>
    <x v="2"/>
    <x v="5"/>
    <n v="15"/>
    <n v="912.5"/>
    <n v="3285"/>
  </r>
  <r>
    <x v="0"/>
    <x v="0"/>
    <x v="0"/>
    <x v="3"/>
    <x v="4"/>
    <s v="LV_A2"/>
    <x v="9"/>
    <x v="18"/>
    <x v="3"/>
    <x v="0"/>
    <n v="15"/>
    <n v="912.5"/>
    <n v="3285"/>
  </r>
  <r>
    <x v="0"/>
    <x v="0"/>
    <x v="0"/>
    <x v="3"/>
    <x v="4"/>
    <s v="LV_A2"/>
    <x v="9"/>
    <x v="18"/>
    <x v="3"/>
    <x v="1"/>
    <n v="15"/>
    <n v="912.5"/>
    <n v="3285"/>
  </r>
  <r>
    <x v="0"/>
    <x v="0"/>
    <x v="0"/>
    <x v="3"/>
    <x v="4"/>
    <s v="LV_A2"/>
    <x v="9"/>
    <x v="18"/>
    <x v="3"/>
    <x v="2"/>
    <n v="15"/>
    <n v="912.5"/>
    <n v="3285"/>
  </r>
  <r>
    <x v="0"/>
    <x v="0"/>
    <x v="0"/>
    <x v="3"/>
    <x v="4"/>
    <s v="LV_A2"/>
    <x v="9"/>
    <x v="18"/>
    <x v="3"/>
    <x v="3"/>
    <n v="15"/>
    <n v="912.5"/>
    <n v="3285"/>
  </r>
  <r>
    <x v="0"/>
    <x v="0"/>
    <x v="0"/>
    <x v="3"/>
    <x v="4"/>
    <s v="LV_A2"/>
    <x v="9"/>
    <x v="18"/>
    <x v="3"/>
    <x v="7"/>
    <n v="1.7861522115511499"/>
    <n v="108.65759286936201"/>
    <n v="391.16733432970199"/>
  </r>
  <r>
    <x v="0"/>
    <x v="0"/>
    <x v="0"/>
    <x v="3"/>
    <x v="4"/>
    <s v="LV_A2"/>
    <x v="9"/>
    <x v="18"/>
    <x v="4"/>
    <x v="0"/>
    <n v="15"/>
    <n v="912.5"/>
    <n v="3285"/>
  </r>
  <r>
    <x v="0"/>
    <x v="0"/>
    <x v="0"/>
    <x v="3"/>
    <x v="4"/>
    <s v="LV_A2"/>
    <x v="9"/>
    <x v="18"/>
    <x v="4"/>
    <x v="1"/>
    <n v="15"/>
    <n v="912.5"/>
    <n v="3285"/>
  </r>
  <r>
    <x v="0"/>
    <x v="0"/>
    <x v="0"/>
    <x v="3"/>
    <x v="4"/>
    <s v="LV_A2"/>
    <x v="9"/>
    <x v="18"/>
    <x v="4"/>
    <x v="2"/>
    <n v="15"/>
    <n v="912.5"/>
    <n v="3285"/>
  </r>
  <r>
    <x v="0"/>
    <x v="0"/>
    <x v="0"/>
    <x v="3"/>
    <x v="4"/>
    <s v="LV_A2"/>
    <x v="9"/>
    <x v="18"/>
    <x v="4"/>
    <x v="3"/>
    <n v="15"/>
    <n v="912.5"/>
    <n v="3285"/>
  </r>
  <r>
    <x v="0"/>
    <x v="0"/>
    <x v="0"/>
    <x v="3"/>
    <x v="4"/>
    <s v="LV_A2"/>
    <x v="9"/>
    <x v="18"/>
    <x v="4"/>
    <x v="4"/>
    <n v="15"/>
    <n v="912.5"/>
    <n v="3285"/>
  </r>
  <r>
    <x v="0"/>
    <x v="0"/>
    <x v="0"/>
    <x v="3"/>
    <x v="4"/>
    <s v="LV_A2"/>
    <x v="9"/>
    <x v="18"/>
    <x v="5"/>
    <x v="0"/>
    <n v="15"/>
    <n v="912.5"/>
    <n v="3285"/>
  </r>
  <r>
    <x v="0"/>
    <x v="0"/>
    <x v="0"/>
    <x v="3"/>
    <x v="4"/>
    <s v="LV_A2"/>
    <x v="9"/>
    <x v="18"/>
    <x v="5"/>
    <x v="1"/>
    <n v="15"/>
    <n v="912.5"/>
    <n v="3285"/>
  </r>
  <r>
    <x v="0"/>
    <x v="0"/>
    <x v="0"/>
    <x v="3"/>
    <x v="4"/>
    <s v="LV_A2"/>
    <x v="9"/>
    <x v="18"/>
    <x v="5"/>
    <x v="2"/>
    <n v="15"/>
    <n v="912.5"/>
    <n v="3285"/>
  </r>
  <r>
    <x v="0"/>
    <x v="0"/>
    <x v="0"/>
    <x v="3"/>
    <x v="4"/>
    <s v="LV_A2"/>
    <x v="9"/>
    <x v="18"/>
    <x v="5"/>
    <x v="3"/>
    <n v="15"/>
    <n v="912.5"/>
    <n v="3285"/>
  </r>
  <r>
    <x v="0"/>
    <x v="0"/>
    <x v="0"/>
    <x v="3"/>
    <x v="4"/>
    <s v="LV_A2"/>
    <x v="9"/>
    <x v="18"/>
    <x v="5"/>
    <x v="4"/>
    <n v="15"/>
    <n v="912.5"/>
    <n v="3285"/>
  </r>
  <r>
    <x v="0"/>
    <x v="0"/>
    <x v="0"/>
    <x v="3"/>
    <x v="4"/>
    <s v="LV_A2"/>
    <x v="9"/>
    <x v="18"/>
    <x v="5"/>
    <x v="5"/>
    <n v="6.3844278836020401"/>
    <n v="388.38602958579099"/>
    <n v="1398.1897065088499"/>
  </r>
  <r>
    <x v="0"/>
    <x v="0"/>
    <x v="0"/>
    <x v="3"/>
    <x v="4"/>
    <s v="LV_A2"/>
    <x v="9"/>
    <x v="18"/>
    <x v="6"/>
    <x v="0"/>
    <n v="15"/>
    <n v="912.5"/>
    <n v="3285"/>
  </r>
  <r>
    <x v="0"/>
    <x v="0"/>
    <x v="0"/>
    <x v="3"/>
    <x v="4"/>
    <s v="LV_A2"/>
    <x v="9"/>
    <x v="18"/>
    <x v="6"/>
    <x v="1"/>
    <n v="15"/>
    <n v="912.5"/>
    <n v="3285"/>
  </r>
  <r>
    <x v="0"/>
    <x v="0"/>
    <x v="0"/>
    <x v="3"/>
    <x v="4"/>
    <s v="LV_A2"/>
    <x v="9"/>
    <x v="18"/>
    <x v="6"/>
    <x v="2"/>
    <n v="15"/>
    <n v="912.5"/>
    <n v="3285"/>
  </r>
  <r>
    <x v="0"/>
    <x v="0"/>
    <x v="0"/>
    <x v="3"/>
    <x v="4"/>
    <s v="LV_A2"/>
    <x v="9"/>
    <x v="18"/>
    <x v="6"/>
    <x v="3"/>
    <n v="15"/>
    <n v="912.5"/>
    <n v="3285"/>
  </r>
  <r>
    <x v="0"/>
    <x v="0"/>
    <x v="0"/>
    <x v="3"/>
    <x v="4"/>
    <s v="LV_A2"/>
    <x v="9"/>
    <x v="18"/>
    <x v="6"/>
    <x v="4"/>
    <n v="15"/>
    <n v="912.5"/>
    <n v="3285"/>
  </r>
  <r>
    <x v="0"/>
    <x v="0"/>
    <x v="0"/>
    <x v="3"/>
    <x v="4"/>
    <s v="LV_A2"/>
    <x v="9"/>
    <x v="18"/>
    <x v="6"/>
    <x v="5"/>
    <n v="15"/>
    <n v="912.5"/>
    <n v="3285"/>
  </r>
  <r>
    <x v="0"/>
    <x v="0"/>
    <x v="0"/>
    <x v="3"/>
    <x v="4"/>
    <s v="LV_A2"/>
    <x v="9"/>
    <x v="18"/>
    <x v="6"/>
    <x v="6"/>
    <n v="15"/>
    <n v="912.5"/>
    <n v="3285"/>
  </r>
  <r>
    <x v="0"/>
    <x v="0"/>
    <x v="0"/>
    <x v="3"/>
    <x v="4"/>
    <s v="LV_A2"/>
    <x v="9"/>
    <x v="18"/>
    <x v="6"/>
    <x v="7"/>
    <n v="15"/>
    <n v="912.5"/>
    <n v="3285"/>
  </r>
  <r>
    <x v="0"/>
    <x v="0"/>
    <x v="0"/>
    <x v="3"/>
    <x v="4"/>
    <s v="LV_A2"/>
    <x v="9"/>
    <x v="18"/>
    <x v="6"/>
    <x v="8"/>
    <n v="15"/>
    <n v="912.5"/>
    <n v="3285"/>
  </r>
  <r>
    <x v="0"/>
    <x v="0"/>
    <x v="0"/>
    <x v="3"/>
    <x v="4"/>
    <s v="LV_A2"/>
    <x v="9"/>
    <x v="18"/>
    <x v="6"/>
    <x v="9"/>
    <n v="15"/>
    <n v="912.5"/>
    <n v="3285"/>
  </r>
  <r>
    <x v="0"/>
    <x v="0"/>
    <x v="0"/>
    <x v="3"/>
    <x v="4"/>
    <s v="LV_A2"/>
    <x v="9"/>
    <x v="18"/>
    <x v="6"/>
    <x v="10"/>
    <n v="15"/>
    <n v="912.5"/>
    <n v="3285"/>
  </r>
  <r>
    <x v="0"/>
    <x v="0"/>
    <x v="0"/>
    <x v="3"/>
    <x v="4"/>
    <s v="LV_A2"/>
    <x v="9"/>
    <x v="18"/>
    <x v="6"/>
    <x v="11"/>
    <n v="15"/>
    <n v="912.5"/>
    <n v="3285"/>
  </r>
  <r>
    <x v="0"/>
    <x v="0"/>
    <x v="0"/>
    <x v="3"/>
    <x v="4"/>
    <s v="LV_A2"/>
    <x v="9"/>
    <x v="18"/>
    <x v="7"/>
    <x v="0"/>
    <n v="15"/>
    <n v="912.5"/>
    <n v="3285"/>
  </r>
  <r>
    <x v="0"/>
    <x v="0"/>
    <x v="0"/>
    <x v="3"/>
    <x v="4"/>
    <s v="LV_A2"/>
    <x v="9"/>
    <x v="18"/>
    <x v="7"/>
    <x v="1"/>
    <n v="15"/>
    <n v="912.5"/>
    <n v="3285"/>
  </r>
  <r>
    <x v="0"/>
    <x v="0"/>
    <x v="0"/>
    <x v="3"/>
    <x v="4"/>
    <s v="LV_A2"/>
    <x v="9"/>
    <x v="18"/>
    <x v="7"/>
    <x v="2"/>
    <n v="15"/>
    <n v="912.5"/>
    <n v="3285"/>
  </r>
  <r>
    <x v="0"/>
    <x v="0"/>
    <x v="0"/>
    <x v="3"/>
    <x v="4"/>
    <s v="LV_A2"/>
    <x v="9"/>
    <x v="18"/>
    <x v="7"/>
    <x v="3"/>
    <n v="15"/>
    <n v="912.5"/>
    <n v="3285"/>
  </r>
  <r>
    <x v="0"/>
    <x v="0"/>
    <x v="0"/>
    <x v="3"/>
    <x v="4"/>
    <s v="LV_A2"/>
    <x v="9"/>
    <x v="18"/>
    <x v="7"/>
    <x v="4"/>
    <n v="15"/>
    <n v="912.5"/>
    <n v="3285"/>
  </r>
  <r>
    <x v="0"/>
    <x v="0"/>
    <x v="0"/>
    <x v="3"/>
    <x v="4"/>
    <s v="LV_A2"/>
    <x v="9"/>
    <x v="18"/>
    <x v="7"/>
    <x v="5"/>
    <n v="15"/>
    <n v="912.5"/>
    <n v="3285"/>
  </r>
  <r>
    <x v="0"/>
    <x v="0"/>
    <x v="0"/>
    <x v="3"/>
    <x v="4"/>
    <s v="LV_A2"/>
    <x v="9"/>
    <x v="18"/>
    <x v="7"/>
    <x v="6"/>
    <n v="15"/>
    <n v="912.5"/>
    <n v="3285"/>
  </r>
  <r>
    <x v="0"/>
    <x v="0"/>
    <x v="0"/>
    <x v="3"/>
    <x v="4"/>
    <s v="LV_A2"/>
    <x v="9"/>
    <x v="18"/>
    <x v="7"/>
    <x v="7"/>
    <n v="15"/>
    <n v="912.5"/>
    <n v="3285"/>
  </r>
  <r>
    <x v="0"/>
    <x v="0"/>
    <x v="0"/>
    <x v="3"/>
    <x v="4"/>
    <s v="LV_A2"/>
    <x v="9"/>
    <x v="18"/>
    <x v="7"/>
    <x v="8"/>
    <n v="15"/>
    <n v="912.5"/>
    <n v="3285"/>
  </r>
  <r>
    <x v="0"/>
    <x v="0"/>
    <x v="0"/>
    <x v="3"/>
    <x v="4"/>
    <s v="LV_A2"/>
    <x v="9"/>
    <x v="18"/>
    <x v="7"/>
    <x v="9"/>
    <n v="15"/>
    <n v="912.5"/>
    <n v="3285"/>
  </r>
  <r>
    <x v="0"/>
    <x v="0"/>
    <x v="0"/>
    <x v="3"/>
    <x v="4"/>
    <s v="LV_A2"/>
    <x v="9"/>
    <x v="18"/>
    <x v="7"/>
    <x v="10"/>
    <n v="15"/>
    <n v="912.5"/>
    <n v="3285"/>
  </r>
  <r>
    <x v="0"/>
    <x v="0"/>
    <x v="0"/>
    <x v="3"/>
    <x v="4"/>
    <s v="LV_A2"/>
    <x v="9"/>
    <x v="18"/>
    <x v="7"/>
    <x v="11"/>
    <n v="15"/>
    <n v="912.5"/>
    <n v="3285"/>
  </r>
  <r>
    <x v="0"/>
    <x v="0"/>
    <x v="0"/>
    <x v="3"/>
    <x v="4"/>
    <s v="LV_A2"/>
    <x v="9"/>
    <x v="18"/>
    <x v="8"/>
    <x v="0"/>
    <n v="15"/>
    <n v="912.5"/>
    <n v="3285"/>
  </r>
  <r>
    <x v="0"/>
    <x v="0"/>
    <x v="0"/>
    <x v="3"/>
    <x v="4"/>
    <s v="LV_A2"/>
    <x v="9"/>
    <x v="18"/>
    <x v="8"/>
    <x v="1"/>
    <n v="15"/>
    <n v="912.5"/>
    <n v="3285"/>
  </r>
  <r>
    <x v="0"/>
    <x v="0"/>
    <x v="0"/>
    <x v="3"/>
    <x v="4"/>
    <s v="LV_A2"/>
    <x v="9"/>
    <x v="18"/>
    <x v="8"/>
    <x v="2"/>
    <n v="15"/>
    <n v="912.5"/>
    <n v="3285"/>
  </r>
  <r>
    <x v="0"/>
    <x v="0"/>
    <x v="0"/>
    <x v="3"/>
    <x v="4"/>
    <s v="LV_A2"/>
    <x v="9"/>
    <x v="18"/>
    <x v="8"/>
    <x v="3"/>
    <n v="15"/>
    <n v="912.5"/>
    <n v="3285"/>
  </r>
  <r>
    <x v="0"/>
    <x v="0"/>
    <x v="0"/>
    <x v="3"/>
    <x v="4"/>
    <s v="LV_A2"/>
    <x v="9"/>
    <x v="18"/>
    <x v="8"/>
    <x v="4"/>
    <n v="15"/>
    <n v="912.5"/>
    <n v="3285"/>
  </r>
  <r>
    <x v="0"/>
    <x v="0"/>
    <x v="0"/>
    <x v="3"/>
    <x v="4"/>
    <s v="LV_A2"/>
    <x v="9"/>
    <x v="18"/>
    <x v="8"/>
    <x v="5"/>
    <n v="15"/>
    <n v="912.5"/>
    <n v="3285"/>
  </r>
  <r>
    <x v="0"/>
    <x v="0"/>
    <x v="0"/>
    <x v="3"/>
    <x v="4"/>
    <s v="LV_A2"/>
    <x v="9"/>
    <x v="18"/>
    <x v="8"/>
    <x v="6"/>
    <n v="15"/>
    <n v="912.5"/>
    <n v="3285"/>
  </r>
  <r>
    <x v="0"/>
    <x v="0"/>
    <x v="0"/>
    <x v="3"/>
    <x v="4"/>
    <s v="LV_A2"/>
    <x v="9"/>
    <x v="18"/>
    <x v="8"/>
    <x v="7"/>
    <n v="15"/>
    <n v="912.5"/>
    <n v="3285"/>
  </r>
  <r>
    <x v="0"/>
    <x v="0"/>
    <x v="0"/>
    <x v="3"/>
    <x v="4"/>
    <s v="LV_A2"/>
    <x v="9"/>
    <x v="18"/>
    <x v="8"/>
    <x v="8"/>
    <n v="15"/>
    <n v="912.5"/>
    <n v="3285"/>
  </r>
  <r>
    <x v="0"/>
    <x v="0"/>
    <x v="0"/>
    <x v="3"/>
    <x v="4"/>
    <s v="LV_A2"/>
    <x v="9"/>
    <x v="18"/>
    <x v="8"/>
    <x v="9"/>
    <n v="15"/>
    <n v="912.5"/>
    <n v="3285"/>
  </r>
  <r>
    <x v="0"/>
    <x v="0"/>
    <x v="0"/>
    <x v="3"/>
    <x v="4"/>
    <s v="LV_A2"/>
    <x v="9"/>
    <x v="18"/>
    <x v="8"/>
    <x v="10"/>
    <n v="15"/>
    <n v="912.5"/>
    <n v="3285"/>
  </r>
  <r>
    <x v="0"/>
    <x v="0"/>
    <x v="0"/>
    <x v="3"/>
    <x v="4"/>
    <s v="LV_A2"/>
    <x v="9"/>
    <x v="18"/>
    <x v="8"/>
    <x v="11"/>
    <n v="15"/>
    <n v="912.5"/>
    <n v="3285"/>
  </r>
  <r>
    <x v="0"/>
    <x v="0"/>
    <x v="0"/>
    <x v="3"/>
    <x v="4"/>
    <s v="LV_A2"/>
    <x v="9"/>
    <x v="18"/>
    <x v="10"/>
    <x v="0"/>
    <n v="15"/>
    <n v="912.5"/>
    <n v="3285"/>
  </r>
  <r>
    <x v="0"/>
    <x v="0"/>
    <x v="0"/>
    <x v="3"/>
    <x v="4"/>
    <s v="LV_A2"/>
    <x v="9"/>
    <x v="18"/>
    <x v="10"/>
    <x v="1"/>
    <n v="15"/>
    <n v="912.5"/>
    <n v="3285"/>
  </r>
  <r>
    <x v="0"/>
    <x v="0"/>
    <x v="0"/>
    <x v="3"/>
    <x v="4"/>
    <s v="LV_A2"/>
    <x v="9"/>
    <x v="18"/>
    <x v="11"/>
    <x v="0"/>
    <n v="15"/>
    <n v="912.5"/>
    <n v="3285"/>
  </r>
  <r>
    <x v="0"/>
    <x v="0"/>
    <x v="0"/>
    <x v="3"/>
    <x v="4"/>
    <s v="LV_A2"/>
    <x v="9"/>
    <x v="18"/>
    <x v="11"/>
    <x v="1"/>
    <n v="15"/>
    <n v="912.5"/>
    <n v="3285"/>
  </r>
  <r>
    <x v="0"/>
    <x v="0"/>
    <x v="0"/>
    <x v="3"/>
    <x v="4"/>
    <s v="LV_A2"/>
    <x v="9"/>
    <x v="18"/>
    <x v="11"/>
    <x v="2"/>
    <n v="15"/>
    <n v="912.5"/>
    <n v="3285"/>
  </r>
  <r>
    <x v="0"/>
    <x v="0"/>
    <x v="0"/>
    <x v="3"/>
    <x v="4"/>
    <s v="LV_A2"/>
    <x v="9"/>
    <x v="18"/>
    <x v="11"/>
    <x v="3"/>
    <n v="15"/>
    <n v="912.5"/>
    <n v="3285"/>
  </r>
  <r>
    <x v="0"/>
    <x v="0"/>
    <x v="0"/>
    <x v="3"/>
    <x v="4"/>
    <s v="LV_A2"/>
    <x v="9"/>
    <x v="18"/>
    <x v="11"/>
    <x v="4"/>
    <n v="15"/>
    <n v="912.5"/>
    <n v="3285"/>
  </r>
  <r>
    <x v="0"/>
    <x v="0"/>
    <x v="0"/>
    <x v="3"/>
    <x v="4"/>
    <s v="LV_A2"/>
    <x v="9"/>
    <x v="18"/>
    <x v="11"/>
    <x v="5"/>
    <n v="15"/>
    <n v="912.5"/>
    <n v="3285"/>
  </r>
  <r>
    <x v="0"/>
    <x v="0"/>
    <x v="0"/>
    <x v="3"/>
    <x v="4"/>
    <s v="LV_A3"/>
    <x v="11"/>
    <x v="19"/>
    <x v="0"/>
    <x v="0"/>
    <n v="6.8181818181818201"/>
    <n v="414.77272727272702"/>
    <n v="1493.1818181818201"/>
  </r>
  <r>
    <x v="0"/>
    <x v="0"/>
    <x v="0"/>
    <x v="3"/>
    <x v="4"/>
    <s v="LV_A3"/>
    <x v="11"/>
    <x v="19"/>
    <x v="0"/>
    <x v="1"/>
    <n v="6.8181818181818201"/>
    <n v="414.77272727272702"/>
    <n v="1493.1818181818201"/>
  </r>
  <r>
    <x v="0"/>
    <x v="0"/>
    <x v="0"/>
    <x v="3"/>
    <x v="4"/>
    <s v="LV_A3"/>
    <x v="11"/>
    <x v="19"/>
    <x v="0"/>
    <x v="2"/>
    <n v="6.8181818181818201"/>
    <n v="414.77272727272702"/>
    <n v="1493.1818181818201"/>
  </r>
  <r>
    <x v="0"/>
    <x v="0"/>
    <x v="0"/>
    <x v="3"/>
    <x v="4"/>
    <s v="LV_A3"/>
    <x v="11"/>
    <x v="19"/>
    <x v="0"/>
    <x v="3"/>
    <n v="6.8181818181818201"/>
    <n v="414.77272727272702"/>
    <n v="1493.1818181818201"/>
  </r>
  <r>
    <x v="0"/>
    <x v="0"/>
    <x v="0"/>
    <x v="3"/>
    <x v="4"/>
    <s v="LV_A3"/>
    <x v="11"/>
    <x v="19"/>
    <x v="0"/>
    <x v="4"/>
    <n v="6.8181818181818201"/>
    <n v="414.77272727272702"/>
    <n v="1493.1818181818201"/>
  </r>
  <r>
    <x v="0"/>
    <x v="0"/>
    <x v="0"/>
    <x v="3"/>
    <x v="4"/>
    <s v="LV_A3"/>
    <x v="11"/>
    <x v="19"/>
    <x v="0"/>
    <x v="5"/>
    <n v="6.8181818181818201"/>
    <n v="414.77272727272702"/>
    <n v="1493.1818181818201"/>
  </r>
  <r>
    <x v="0"/>
    <x v="0"/>
    <x v="0"/>
    <x v="3"/>
    <x v="4"/>
    <s v="LV_A3"/>
    <x v="11"/>
    <x v="19"/>
    <x v="0"/>
    <x v="6"/>
    <n v="6.8181818181818201"/>
    <n v="414.77272727272702"/>
    <n v="1493.1818181818201"/>
  </r>
  <r>
    <x v="0"/>
    <x v="0"/>
    <x v="0"/>
    <x v="3"/>
    <x v="4"/>
    <s v="LV_A3"/>
    <x v="11"/>
    <x v="19"/>
    <x v="0"/>
    <x v="7"/>
    <n v="6.8181818181818201"/>
    <n v="414.77272727272702"/>
    <n v="1493.1818181818201"/>
  </r>
  <r>
    <x v="0"/>
    <x v="0"/>
    <x v="0"/>
    <x v="3"/>
    <x v="4"/>
    <s v="LV_A3"/>
    <x v="11"/>
    <x v="19"/>
    <x v="0"/>
    <x v="8"/>
    <n v="6.8181818181818201"/>
    <n v="414.77272727272702"/>
    <n v="1493.1818181818201"/>
  </r>
  <r>
    <x v="0"/>
    <x v="0"/>
    <x v="0"/>
    <x v="3"/>
    <x v="4"/>
    <s v="LV_A3"/>
    <x v="11"/>
    <x v="19"/>
    <x v="0"/>
    <x v="9"/>
    <n v="6.8181818181818201"/>
    <n v="414.77272727272702"/>
    <n v="1493.1818181818201"/>
  </r>
  <r>
    <x v="0"/>
    <x v="0"/>
    <x v="0"/>
    <x v="3"/>
    <x v="4"/>
    <s v="LV_A3"/>
    <x v="11"/>
    <x v="19"/>
    <x v="0"/>
    <x v="10"/>
    <n v="6.8181818181818201"/>
    <n v="414.77272727272702"/>
    <n v="1493.1818181818201"/>
  </r>
  <r>
    <x v="0"/>
    <x v="0"/>
    <x v="0"/>
    <x v="3"/>
    <x v="4"/>
    <s v="LV_A3"/>
    <x v="11"/>
    <x v="19"/>
    <x v="0"/>
    <x v="11"/>
    <n v="6.8181818181818201"/>
    <n v="414.77272727272702"/>
    <n v="1493.1818181818201"/>
  </r>
  <r>
    <x v="0"/>
    <x v="0"/>
    <x v="0"/>
    <x v="3"/>
    <x v="4"/>
    <s v="LV_A3"/>
    <x v="11"/>
    <x v="19"/>
    <x v="1"/>
    <x v="0"/>
    <n v="6.8181818181818201"/>
    <n v="414.77272727272702"/>
    <n v="1493.1818181818201"/>
  </r>
  <r>
    <x v="0"/>
    <x v="0"/>
    <x v="0"/>
    <x v="3"/>
    <x v="4"/>
    <s v="LV_A3"/>
    <x v="11"/>
    <x v="19"/>
    <x v="1"/>
    <x v="1"/>
    <n v="6.8181818181818201"/>
    <n v="414.77272727272702"/>
    <n v="1493.1818181818201"/>
  </r>
  <r>
    <x v="0"/>
    <x v="0"/>
    <x v="0"/>
    <x v="3"/>
    <x v="4"/>
    <s v="LV_A3"/>
    <x v="11"/>
    <x v="19"/>
    <x v="1"/>
    <x v="2"/>
    <n v="6.8181818181818201"/>
    <n v="414.77272727272702"/>
    <n v="1493.1818181818201"/>
  </r>
  <r>
    <x v="0"/>
    <x v="0"/>
    <x v="0"/>
    <x v="3"/>
    <x v="4"/>
    <s v="LV_A3"/>
    <x v="11"/>
    <x v="19"/>
    <x v="1"/>
    <x v="3"/>
    <n v="6.8181818181818201"/>
    <n v="414.77272727272702"/>
    <n v="1493.1818181818201"/>
  </r>
  <r>
    <x v="0"/>
    <x v="0"/>
    <x v="0"/>
    <x v="3"/>
    <x v="4"/>
    <s v="LV_A3"/>
    <x v="11"/>
    <x v="19"/>
    <x v="1"/>
    <x v="4"/>
    <n v="6.8181818181818201"/>
    <n v="414.77272727272702"/>
    <n v="1493.1818181818201"/>
  </r>
  <r>
    <x v="0"/>
    <x v="0"/>
    <x v="0"/>
    <x v="3"/>
    <x v="4"/>
    <s v="LV_A3"/>
    <x v="11"/>
    <x v="19"/>
    <x v="1"/>
    <x v="5"/>
    <n v="6.8181818181818201"/>
    <n v="414.77272727272702"/>
    <n v="1493.1818181818201"/>
  </r>
  <r>
    <x v="0"/>
    <x v="0"/>
    <x v="0"/>
    <x v="3"/>
    <x v="4"/>
    <s v="LV_A3"/>
    <x v="11"/>
    <x v="19"/>
    <x v="1"/>
    <x v="6"/>
    <n v="6.8181818181818201"/>
    <n v="414.77272727272702"/>
    <n v="1493.1818181818201"/>
  </r>
  <r>
    <x v="0"/>
    <x v="0"/>
    <x v="0"/>
    <x v="3"/>
    <x v="4"/>
    <s v="LV_A3"/>
    <x v="11"/>
    <x v="19"/>
    <x v="1"/>
    <x v="7"/>
    <n v="6.8181818181818201"/>
    <n v="414.77272727272702"/>
    <n v="1493.1818181818201"/>
  </r>
  <r>
    <x v="0"/>
    <x v="0"/>
    <x v="0"/>
    <x v="3"/>
    <x v="4"/>
    <s v="LV_A3"/>
    <x v="11"/>
    <x v="19"/>
    <x v="1"/>
    <x v="8"/>
    <n v="6.8181818181818201"/>
    <n v="414.77272727272702"/>
    <n v="1493.1818181818201"/>
  </r>
  <r>
    <x v="0"/>
    <x v="0"/>
    <x v="0"/>
    <x v="3"/>
    <x v="4"/>
    <s v="LV_A3"/>
    <x v="11"/>
    <x v="19"/>
    <x v="1"/>
    <x v="9"/>
    <n v="6.8181818181818201"/>
    <n v="414.77272727272702"/>
    <n v="1493.1818181818201"/>
  </r>
  <r>
    <x v="0"/>
    <x v="0"/>
    <x v="0"/>
    <x v="3"/>
    <x v="4"/>
    <s v="LV_A3"/>
    <x v="11"/>
    <x v="19"/>
    <x v="1"/>
    <x v="10"/>
    <n v="6.8181818181818201"/>
    <n v="414.77272727272702"/>
    <n v="1493.1818181818201"/>
  </r>
  <r>
    <x v="0"/>
    <x v="0"/>
    <x v="0"/>
    <x v="3"/>
    <x v="4"/>
    <s v="LV_A3"/>
    <x v="11"/>
    <x v="19"/>
    <x v="1"/>
    <x v="11"/>
    <n v="6.8181818181818201"/>
    <n v="414.77272727272702"/>
    <n v="1493.1818181818201"/>
  </r>
  <r>
    <x v="0"/>
    <x v="0"/>
    <x v="0"/>
    <x v="3"/>
    <x v="4"/>
    <s v="LV_A3"/>
    <x v="11"/>
    <x v="19"/>
    <x v="2"/>
    <x v="0"/>
    <n v="6.8181818181818201"/>
    <n v="414.77272727272702"/>
    <n v="1493.1818181818201"/>
  </r>
  <r>
    <x v="0"/>
    <x v="0"/>
    <x v="0"/>
    <x v="3"/>
    <x v="4"/>
    <s v="LV_A3"/>
    <x v="11"/>
    <x v="19"/>
    <x v="2"/>
    <x v="1"/>
    <n v="6.8181818181818201"/>
    <n v="414.77272727272702"/>
    <n v="1493.1818181818201"/>
  </r>
  <r>
    <x v="0"/>
    <x v="0"/>
    <x v="0"/>
    <x v="3"/>
    <x v="4"/>
    <s v="LV_A3"/>
    <x v="11"/>
    <x v="19"/>
    <x v="2"/>
    <x v="2"/>
    <n v="6.8181818181818201"/>
    <n v="414.77272727272702"/>
    <n v="1493.1818181818201"/>
  </r>
  <r>
    <x v="0"/>
    <x v="0"/>
    <x v="0"/>
    <x v="3"/>
    <x v="4"/>
    <s v="LV_A3"/>
    <x v="11"/>
    <x v="19"/>
    <x v="2"/>
    <x v="3"/>
    <n v="6.8181818181818201"/>
    <n v="414.77272727272702"/>
    <n v="1493.1818181818201"/>
  </r>
  <r>
    <x v="0"/>
    <x v="0"/>
    <x v="0"/>
    <x v="3"/>
    <x v="4"/>
    <s v="LV_A3"/>
    <x v="11"/>
    <x v="19"/>
    <x v="2"/>
    <x v="4"/>
    <n v="6.8181818181818201"/>
    <n v="414.77272727272702"/>
    <n v="1493.1818181818201"/>
  </r>
  <r>
    <x v="0"/>
    <x v="0"/>
    <x v="0"/>
    <x v="3"/>
    <x v="4"/>
    <s v="LV_A3"/>
    <x v="11"/>
    <x v="19"/>
    <x v="2"/>
    <x v="5"/>
    <n v="6.8181818181818201"/>
    <n v="414.77272727272702"/>
    <n v="1493.1818181818201"/>
  </r>
  <r>
    <x v="0"/>
    <x v="0"/>
    <x v="0"/>
    <x v="3"/>
    <x v="4"/>
    <s v="LV_A3"/>
    <x v="11"/>
    <x v="19"/>
    <x v="2"/>
    <x v="6"/>
    <n v="6.8181818181818201"/>
    <n v="414.77272727272702"/>
    <n v="1493.1818181818201"/>
  </r>
  <r>
    <x v="0"/>
    <x v="0"/>
    <x v="0"/>
    <x v="3"/>
    <x v="4"/>
    <s v="LV_A3"/>
    <x v="11"/>
    <x v="19"/>
    <x v="2"/>
    <x v="7"/>
    <n v="6.8181818181818201"/>
    <n v="414.77272727272702"/>
    <n v="1493.1818181818201"/>
  </r>
  <r>
    <x v="0"/>
    <x v="0"/>
    <x v="0"/>
    <x v="3"/>
    <x v="4"/>
    <s v="LV_A3"/>
    <x v="11"/>
    <x v="19"/>
    <x v="2"/>
    <x v="8"/>
    <n v="6.8181818181818201"/>
    <n v="414.77272727272702"/>
    <n v="1493.1818181818201"/>
  </r>
  <r>
    <x v="0"/>
    <x v="0"/>
    <x v="0"/>
    <x v="3"/>
    <x v="4"/>
    <s v="LV_A3"/>
    <x v="11"/>
    <x v="19"/>
    <x v="2"/>
    <x v="9"/>
    <n v="6.8181818181818201"/>
    <n v="414.77272727272702"/>
    <n v="1493.1818181818201"/>
  </r>
  <r>
    <x v="0"/>
    <x v="0"/>
    <x v="0"/>
    <x v="3"/>
    <x v="4"/>
    <s v="LV_A3"/>
    <x v="11"/>
    <x v="19"/>
    <x v="2"/>
    <x v="10"/>
    <n v="6.8181818181818201"/>
    <n v="414.77272727272702"/>
    <n v="1493.1818181818201"/>
  </r>
  <r>
    <x v="0"/>
    <x v="0"/>
    <x v="0"/>
    <x v="3"/>
    <x v="4"/>
    <s v="LV_A3"/>
    <x v="11"/>
    <x v="19"/>
    <x v="2"/>
    <x v="11"/>
    <n v="6.8181818181818201"/>
    <n v="414.77272727272702"/>
    <n v="1493.1818181818201"/>
  </r>
  <r>
    <x v="0"/>
    <x v="0"/>
    <x v="0"/>
    <x v="3"/>
    <x v="4"/>
    <s v="LV_A3"/>
    <x v="11"/>
    <x v="19"/>
    <x v="3"/>
    <x v="0"/>
    <n v="6.8181818181818201"/>
    <n v="414.77272727272702"/>
    <n v="1493.1818181818201"/>
  </r>
  <r>
    <x v="0"/>
    <x v="0"/>
    <x v="0"/>
    <x v="3"/>
    <x v="4"/>
    <s v="LV_A3"/>
    <x v="11"/>
    <x v="19"/>
    <x v="3"/>
    <x v="1"/>
    <n v="6.8181818181818201"/>
    <n v="414.77272727272702"/>
    <n v="1493.1818181818201"/>
  </r>
  <r>
    <x v="0"/>
    <x v="0"/>
    <x v="0"/>
    <x v="3"/>
    <x v="4"/>
    <s v="LV_A3"/>
    <x v="11"/>
    <x v="19"/>
    <x v="3"/>
    <x v="2"/>
    <n v="6.8181818181818201"/>
    <n v="414.77272727272702"/>
    <n v="1493.1818181818201"/>
  </r>
  <r>
    <x v="0"/>
    <x v="0"/>
    <x v="0"/>
    <x v="3"/>
    <x v="4"/>
    <s v="LV_A3"/>
    <x v="11"/>
    <x v="19"/>
    <x v="3"/>
    <x v="3"/>
    <n v="6.8181818181818201"/>
    <n v="414.77272727272702"/>
    <n v="1493.1818181818201"/>
  </r>
  <r>
    <x v="0"/>
    <x v="0"/>
    <x v="0"/>
    <x v="3"/>
    <x v="4"/>
    <s v="LV_A3"/>
    <x v="11"/>
    <x v="19"/>
    <x v="3"/>
    <x v="4"/>
    <n v="6.8181818181818201"/>
    <n v="414.77272727272702"/>
    <n v="1493.1818181818201"/>
  </r>
  <r>
    <x v="0"/>
    <x v="0"/>
    <x v="0"/>
    <x v="3"/>
    <x v="4"/>
    <s v="LV_A3"/>
    <x v="11"/>
    <x v="19"/>
    <x v="3"/>
    <x v="5"/>
    <n v="6.8181818181818201"/>
    <n v="414.77272727272702"/>
    <n v="1493.1818181818201"/>
  </r>
  <r>
    <x v="0"/>
    <x v="0"/>
    <x v="0"/>
    <x v="3"/>
    <x v="4"/>
    <s v="LV_A3"/>
    <x v="11"/>
    <x v="19"/>
    <x v="3"/>
    <x v="6"/>
    <n v="6.8181818181818201"/>
    <n v="414.77272727272702"/>
    <n v="1493.1818181818201"/>
  </r>
  <r>
    <x v="0"/>
    <x v="0"/>
    <x v="0"/>
    <x v="3"/>
    <x v="4"/>
    <s v="LV_A3"/>
    <x v="11"/>
    <x v="19"/>
    <x v="3"/>
    <x v="7"/>
    <n v="6.8181818181818201"/>
    <n v="414.77272727272702"/>
    <n v="1493.1818181818201"/>
  </r>
  <r>
    <x v="0"/>
    <x v="0"/>
    <x v="0"/>
    <x v="3"/>
    <x v="4"/>
    <s v="LV_A3"/>
    <x v="11"/>
    <x v="19"/>
    <x v="3"/>
    <x v="8"/>
    <n v="6.8181818181818201"/>
    <n v="414.77272727272702"/>
    <n v="1493.1818181818201"/>
  </r>
  <r>
    <x v="0"/>
    <x v="0"/>
    <x v="0"/>
    <x v="3"/>
    <x v="4"/>
    <s v="LV_A3"/>
    <x v="11"/>
    <x v="19"/>
    <x v="3"/>
    <x v="9"/>
    <n v="6.8181818181818201"/>
    <n v="414.77272727272702"/>
    <n v="1493.1818181818201"/>
  </r>
  <r>
    <x v="0"/>
    <x v="0"/>
    <x v="0"/>
    <x v="3"/>
    <x v="4"/>
    <s v="LV_A3"/>
    <x v="11"/>
    <x v="19"/>
    <x v="3"/>
    <x v="10"/>
    <n v="6.8181818181818201"/>
    <n v="414.77272727272702"/>
    <n v="1493.1818181818201"/>
  </r>
  <r>
    <x v="0"/>
    <x v="0"/>
    <x v="0"/>
    <x v="3"/>
    <x v="4"/>
    <s v="LV_A3"/>
    <x v="11"/>
    <x v="19"/>
    <x v="3"/>
    <x v="11"/>
    <n v="6.8181818181818201"/>
    <n v="414.77272727272702"/>
    <n v="1493.1818181818201"/>
  </r>
  <r>
    <x v="0"/>
    <x v="0"/>
    <x v="0"/>
    <x v="3"/>
    <x v="4"/>
    <s v="LV_A3"/>
    <x v="11"/>
    <x v="19"/>
    <x v="4"/>
    <x v="0"/>
    <n v="6.8181818181818201"/>
    <n v="414.77272727272702"/>
    <n v="1493.1818181818201"/>
  </r>
  <r>
    <x v="0"/>
    <x v="0"/>
    <x v="0"/>
    <x v="3"/>
    <x v="4"/>
    <s v="LV_A3"/>
    <x v="11"/>
    <x v="19"/>
    <x v="4"/>
    <x v="1"/>
    <n v="6.8181818181818201"/>
    <n v="414.77272727272702"/>
    <n v="1493.1818181818201"/>
  </r>
  <r>
    <x v="0"/>
    <x v="0"/>
    <x v="0"/>
    <x v="3"/>
    <x v="4"/>
    <s v="LV_A3"/>
    <x v="11"/>
    <x v="19"/>
    <x v="4"/>
    <x v="2"/>
    <n v="6.8181818181818201"/>
    <n v="414.77272727272702"/>
    <n v="1493.1818181818201"/>
  </r>
  <r>
    <x v="0"/>
    <x v="0"/>
    <x v="0"/>
    <x v="3"/>
    <x v="4"/>
    <s v="LV_A3"/>
    <x v="11"/>
    <x v="19"/>
    <x v="4"/>
    <x v="3"/>
    <n v="6.8181818181818201"/>
    <n v="414.77272727272702"/>
    <n v="1493.1818181818201"/>
  </r>
  <r>
    <x v="0"/>
    <x v="0"/>
    <x v="0"/>
    <x v="3"/>
    <x v="4"/>
    <s v="LV_A3"/>
    <x v="11"/>
    <x v="19"/>
    <x v="4"/>
    <x v="4"/>
    <n v="6.8181818181818201"/>
    <n v="414.77272727272702"/>
    <n v="1493.1818181818201"/>
  </r>
  <r>
    <x v="0"/>
    <x v="0"/>
    <x v="0"/>
    <x v="3"/>
    <x v="4"/>
    <s v="LV_A3"/>
    <x v="11"/>
    <x v="19"/>
    <x v="4"/>
    <x v="5"/>
    <n v="6.8181818181818201"/>
    <n v="414.77272727272702"/>
    <n v="1493.1818181818201"/>
  </r>
  <r>
    <x v="0"/>
    <x v="0"/>
    <x v="0"/>
    <x v="3"/>
    <x v="4"/>
    <s v="LV_A3"/>
    <x v="11"/>
    <x v="19"/>
    <x v="4"/>
    <x v="6"/>
    <n v="6.8181818181818201"/>
    <n v="414.77272727272702"/>
    <n v="1493.1818181818201"/>
  </r>
  <r>
    <x v="0"/>
    <x v="0"/>
    <x v="0"/>
    <x v="3"/>
    <x v="4"/>
    <s v="LV_A3"/>
    <x v="11"/>
    <x v="19"/>
    <x v="4"/>
    <x v="7"/>
    <n v="6.8181818181818201"/>
    <n v="414.77272727272702"/>
    <n v="1493.1818181818201"/>
  </r>
  <r>
    <x v="0"/>
    <x v="0"/>
    <x v="0"/>
    <x v="3"/>
    <x v="4"/>
    <s v="LV_A3"/>
    <x v="11"/>
    <x v="19"/>
    <x v="4"/>
    <x v="8"/>
    <n v="6.8181818181818201"/>
    <n v="414.77272727272702"/>
    <n v="1493.1818181818201"/>
  </r>
  <r>
    <x v="0"/>
    <x v="0"/>
    <x v="0"/>
    <x v="3"/>
    <x v="4"/>
    <s v="LV_A3"/>
    <x v="11"/>
    <x v="19"/>
    <x v="4"/>
    <x v="9"/>
    <n v="6.8181818181818201"/>
    <n v="414.77272727272702"/>
    <n v="1493.1818181818201"/>
  </r>
  <r>
    <x v="0"/>
    <x v="0"/>
    <x v="0"/>
    <x v="3"/>
    <x v="4"/>
    <s v="LV_A3"/>
    <x v="11"/>
    <x v="19"/>
    <x v="4"/>
    <x v="10"/>
    <n v="6.8181818181818201"/>
    <n v="414.77272727272702"/>
    <n v="1493.1818181818201"/>
  </r>
  <r>
    <x v="0"/>
    <x v="0"/>
    <x v="0"/>
    <x v="3"/>
    <x v="4"/>
    <s v="LV_A3"/>
    <x v="11"/>
    <x v="19"/>
    <x v="4"/>
    <x v="11"/>
    <n v="6.8181818181818201"/>
    <n v="414.77272727272702"/>
    <n v="1493.1818181818201"/>
  </r>
  <r>
    <x v="0"/>
    <x v="0"/>
    <x v="0"/>
    <x v="3"/>
    <x v="4"/>
    <s v="LV_A3"/>
    <x v="11"/>
    <x v="19"/>
    <x v="5"/>
    <x v="0"/>
    <n v="6.8181818181818201"/>
    <n v="414.77272727272702"/>
    <n v="1493.1818181818201"/>
  </r>
  <r>
    <x v="0"/>
    <x v="0"/>
    <x v="0"/>
    <x v="3"/>
    <x v="4"/>
    <s v="LV_A3"/>
    <x v="11"/>
    <x v="19"/>
    <x v="5"/>
    <x v="1"/>
    <n v="6.8181818181818201"/>
    <n v="414.77272727272702"/>
    <n v="1493.1818181818201"/>
  </r>
  <r>
    <x v="0"/>
    <x v="0"/>
    <x v="0"/>
    <x v="3"/>
    <x v="4"/>
    <s v="LV_A3"/>
    <x v="11"/>
    <x v="19"/>
    <x v="5"/>
    <x v="2"/>
    <n v="6.8181818181818201"/>
    <n v="414.77272727272702"/>
    <n v="1493.1818181818201"/>
  </r>
  <r>
    <x v="0"/>
    <x v="0"/>
    <x v="0"/>
    <x v="3"/>
    <x v="4"/>
    <s v="LV_A3"/>
    <x v="11"/>
    <x v="19"/>
    <x v="5"/>
    <x v="3"/>
    <n v="6.8181818181818201"/>
    <n v="414.77272727272702"/>
    <n v="1493.1818181818201"/>
  </r>
  <r>
    <x v="0"/>
    <x v="0"/>
    <x v="0"/>
    <x v="3"/>
    <x v="4"/>
    <s v="LV_A3"/>
    <x v="11"/>
    <x v="19"/>
    <x v="5"/>
    <x v="4"/>
    <n v="6.8181818181818201"/>
    <n v="414.77272727272702"/>
    <n v="1493.1818181818201"/>
  </r>
  <r>
    <x v="0"/>
    <x v="0"/>
    <x v="0"/>
    <x v="3"/>
    <x v="4"/>
    <s v="LV_A3"/>
    <x v="11"/>
    <x v="19"/>
    <x v="5"/>
    <x v="5"/>
    <n v="6.8181818181818201"/>
    <n v="414.77272727272702"/>
    <n v="1493.1818181818201"/>
  </r>
  <r>
    <x v="0"/>
    <x v="0"/>
    <x v="0"/>
    <x v="3"/>
    <x v="4"/>
    <s v="LV_A3"/>
    <x v="11"/>
    <x v="19"/>
    <x v="5"/>
    <x v="6"/>
    <n v="6.8181818181818201"/>
    <n v="414.77272727272702"/>
    <n v="1493.1818181818201"/>
  </r>
  <r>
    <x v="0"/>
    <x v="0"/>
    <x v="0"/>
    <x v="3"/>
    <x v="4"/>
    <s v="LV_A3"/>
    <x v="11"/>
    <x v="19"/>
    <x v="5"/>
    <x v="7"/>
    <n v="6.8181818181818201"/>
    <n v="414.77272727272702"/>
    <n v="1493.1818181818201"/>
  </r>
  <r>
    <x v="0"/>
    <x v="0"/>
    <x v="0"/>
    <x v="3"/>
    <x v="4"/>
    <s v="LV_A3"/>
    <x v="11"/>
    <x v="19"/>
    <x v="5"/>
    <x v="8"/>
    <n v="6.8181818181818201"/>
    <n v="414.77272727272702"/>
    <n v="1493.1818181818201"/>
  </r>
  <r>
    <x v="0"/>
    <x v="0"/>
    <x v="0"/>
    <x v="3"/>
    <x v="4"/>
    <s v="LV_A3"/>
    <x v="11"/>
    <x v="19"/>
    <x v="5"/>
    <x v="9"/>
    <n v="6.8181818181818201"/>
    <n v="414.77272727272702"/>
    <n v="1493.1818181818201"/>
  </r>
  <r>
    <x v="0"/>
    <x v="0"/>
    <x v="0"/>
    <x v="3"/>
    <x v="4"/>
    <s v="LV_A3"/>
    <x v="11"/>
    <x v="19"/>
    <x v="5"/>
    <x v="10"/>
    <n v="6.8181818181818201"/>
    <n v="414.77272727272702"/>
    <n v="1493.1818181818201"/>
  </r>
  <r>
    <x v="0"/>
    <x v="0"/>
    <x v="0"/>
    <x v="3"/>
    <x v="4"/>
    <s v="LV_A3"/>
    <x v="11"/>
    <x v="19"/>
    <x v="5"/>
    <x v="11"/>
    <n v="6.8181818181818201"/>
    <n v="414.77272727272702"/>
    <n v="1493.1818181818201"/>
  </r>
  <r>
    <x v="0"/>
    <x v="0"/>
    <x v="0"/>
    <x v="3"/>
    <x v="4"/>
    <s v="LV_A3"/>
    <x v="11"/>
    <x v="19"/>
    <x v="6"/>
    <x v="0"/>
    <n v="6.8181818181818201"/>
    <n v="414.77272727272702"/>
    <n v="1493.1818181818201"/>
  </r>
  <r>
    <x v="0"/>
    <x v="0"/>
    <x v="0"/>
    <x v="3"/>
    <x v="4"/>
    <s v="LV_A3"/>
    <x v="11"/>
    <x v="19"/>
    <x v="6"/>
    <x v="1"/>
    <n v="6.8181818181818201"/>
    <n v="414.77272727272702"/>
    <n v="1493.1818181818201"/>
  </r>
  <r>
    <x v="0"/>
    <x v="0"/>
    <x v="0"/>
    <x v="3"/>
    <x v="4"/>
    <s v="LV_A3"/>
    <x v="11"/>
    <x v="19"/>
    <x v="6"/>
    <x v="2"/>
    <n v="6.8181818181818201"/>
    <n v="414.77272727272702"/>
    <n v="1493.1818181818201"/>
  </r>
  <r>
    <x v="0"/>
    <x v="0"/>
    <x v="0"/>
    <x v="3"/>
    <x v="4"/>
    <s v="LV_A3"/>
    <x v="11"/>
    <x v="19"/>
    <x v="6"/>
    <x v="3"/>
    <n v="6.8181818181818201"/>
    <n v="414.77272727272702"/>
    <n v="1493.1818181818201"/>
  </r>
  <r>
    <x v="0"/>
    <x v="0"/>
    <x v="0"/>
    <x v="3"/>
    <x v="4"/>
    <s v="LV_A3"/>
    <x v="11"/>
    <x v="19"/>
    <x v="6"/>
    <x v="4"/>
    <n v="6.8181818181818201"/>
    <n v="414.77272727272702"/>
    <n v="1493.1818181818201"/>
  </r>
  <r>
    <x v="0"/>
    <x v="0"/>
    <x v="0"/>
    <x v="3"/>
    <x v="4"/>
    <s v="LV_A3"/>
    <x v="11"/>
    <x v="19"/>
    <x v="6"/>
    <x v="5"/>
    <n v="6.8181818181818201"/>
    <n v="414.77272727272702"/>
    <n v="1493.1818181818201"/>
  </r>
  <r>
    <x v="0"/>
    <x v="0"/>
    <x v="0"/>
    <x v="3"/>
    <x v="4"/>
    <s v="LV_A3"/>
    <x v="11"/>
    <x v="19"/>
    <x v="6"/>
    <x v="6"/>
    <n v="6.8181818181818201"/>
    <n v="414.77272727272702"/>
    <n v="1493.1818181818201"/>
  </r>
  <r>
    <x v="0"/>
    <x v="0"/>
    <x v="0"/>
    <x v="3"/>
    <x v="4"/>
    <s v="LV_A3"/>
    <x v="11"/>
    <x v="19"/>
    <x v="6"/>
    <x v="7"/>
    <n v="6.8181818181818201"/>
    <n v="414.77272727272702"/>
    <n v="1493.1818181818201"/>
  </r>
  <r>
    <x v="0"/>
    <x v="0"/>
    <x v="0"/>
    <x v="3"/>
    <x v="4"/>
    <s v="LV_A3"/>
    <x v="11"/>
    <x v="19"/>
    <x v="6"/>
    <x v="8"/>
    <n v="6.8181818181818201"/>
    <n v="414.77272727272702"/>
    <n v="1493.1818181818201"/>
  </r>
  <r>
    <x v="0"/>
    <x v="0"/>
    <x v="0"/>
    <x v="3"/>
    <x v="4"/>
    <s v="LV_A3"/>
    <x v="11"/>
    <x v="19"/>
    <x v="6"/>
    <x v="9"/>
    <n v="6.8181818181818201"/>
    <n v="414.77272727272702"/>
    <n v="1493.1818181818201"/>
  </r>
  <r>
    <x v="0"/>
    <x v="0"/>
    <x v="0"/>
    <x v="3"/>
    <x v="4"/>
    <s v="LV_A3"/>
    <x v="11"/>
    <x v="19"/>
    <x v="6"/>
    <x v="10"/>
    <n v="6.8181818181818201"/>
    <n v="414.77272727272702"/>
    <n v="1493.1818181818201"/>
  </r>
  <r>
    <x v="0"/>
    <x v="0"/>
    <x v="0"/>
    <x v="3"/>
    <x v="4"/>
    <s v="LV_A3"/>
    <x v="11"/>
    <x v="19"/>
    <x v="6"/>
    <x v="11"/>
    <n v="6.8181818181818201"/>
    <n v="414.77272727272702"/>
    <n v="1493.1818181818201"/>
  </r>
  <r>
    <x v="0"/>
    <x v="0"/>
    <x v="0"/>
    <x v="3"/>
    <x v="4"/>
    <s v="LV_A3"/>
    <x v="11"/>
    <x v="19"/>
    <x v="7"/>
    <x v="0"/>
    <n v="6.8181818181818201"/>
    <n v="414.77272727272702"/>
    <n v="1493.1818181818201"/>
  </r>
  <r>
    <x v="0"/>
    <x v="0"/>
    <x v="0"/>
    <x v="3"/>
    <x v="4"/>
    <s v="LV_A3"/>
    <x v="11"/>
    <x v="19"/>
    <x v="7"/>
    <x v="1"/>
    <n v="6.8181818181818201"/>
    <n v="414.77272727272702"/>
    <n v="1493.1818181818201"/>
  </r>
  <r>
    <x v="0"/>
    <x v="0"/>
    <x v="0"/>
    <x v="3"/>
    <x v="4"/>
    <s v="LV_A3"/>
    <x v="11"/>
    <x v="19"/>
    <x v="7"/>
    <x v="2"/>
    <n v="6.8181818181818201"/>
    <n v="414.77272727272702"/>
    <n v="1493.1818181818201"/>
  </r>
  <r>
    <x v="0"/>
    <x v="0"/>
    <x v="0"/>
    <x v="3"/>
    <x v="4"/>
    <s v="LV_A3"/>
    <x v="11"/>
    <x v="19"/>
    <x v="7"/>
    <x v="3"/>
    <n v="6.8181818181818201"/>
    <n v="414.77272727272702"/>
    <n v="1493.1818181818201"/>
  </r>
  <r>
    <x v="0"/>
    <x v="0"/>
    <x v="0"/>
    <x v="3"/>
    <x v="4"/>
    <s v="LV_A3"/>
    <x v="11"/>
    <x v="19"/>
    <x v="7"/>
    <x v="4"/>
    <n v="6.8181818181818201"/>
    <n v="414.77272727272702"/>
    <n v="1493.1818181818201"/>
  </r>
  <r>
    <x v="0"/>
    <x v="0"/>
    <x v="0"/>
    <x v="3"/>
    <x v="4"/>
    <s v="LV_A3"/>
    <x v="11"/>
    <x v="19"/>
    <x v="7"/>
    <x v="5"/>
    <n v="6.8181818181818201"/>
    <n v="414.77272727272702"/>
    <n v="1493.1818181818201"/>
  </r>
  <r>
    <x v="0"/>
    <x v="0"/>
    <x v="0"/>
    <x v="3"/>
    <x v="4"/>
    <s v="LV_A3"/>
    <x v="11"/>
    <x v="19"/>
    <x v="7"/>
    <x v="6"/>
    <n v="6.8181818181818201"/>
    <n v="414.77272727272702"/>
    <n v="1493.1818181818201"/>
  </r>
  <r>
    <x v="0"/>
    <x v="0"/>
    <x v="0"/>
    <x v="3"/>
    <x v="4"/>
    <s v="LV_A3"/>
    <x v="11"/>
    <x v="19"/>
    <x v="7"/>
    <x v="7"/>
    <n v="6.8181818181818201"/>
    <n v="414.77272727272702"/>
    <n v="1493.1818181818201"/>
  </r>
  <r>
    <x v="0"/>
    <x v="0"/>
    <x v="0"/>
    <x v="3"/>
    <x v="4"/>
    <s v="LV_A3"/>
    <x v="11"/>
    <x v="19"/>
    <x v="7"/>
    <x v="8"/>
    <n v="6.8181818181818201"/>
    <n v="414.77272727272702"/>
    <n v="1493.1818181818201"/>
  </r>
  <r>
    <x v="0"/>
    <x v="0"/>
    <x v="0"/>
    <x v="3"/>
    <x v="4"/>
    <s v="LV_A3"/>
    <x v="11"/>
    <x v="19"/>
    <x v="7"/>
    <x v="9"/>
    <n v="6.8181818181818201"/>
    <n v="414.77272727272702"/>
    <n v="1493.1818181818201"/>
  </r>
  <r>
    <x v="0"/>
    <x v="0"/>
    <x v="0"/>
    <x v="3"/>
    <x v="4"/>
    <s v="LV_A3"/>
    <x v="11"/>
    <x v="19"/>
    <x v="7"/>
    <x v="10"/>
    <n v="6.8181818181818201"/>
    <n v="414.77272727272702"/>
    <n v="1493.1818181818201"/>
  </r>
  <r>
    <x v="0"/>
    <x v="0"/>
    <x v="0"/>
    <x v="3"/>
    <x v="4"/>
    <s v="LV_A3"/>
    <x v="11"/>
    <x v="19"/>
    <x v="7"/>
    <x v="11"/>
    <n v="6.8181818181818201"/>
    <n v="414.77272727272702"/>
    <n v="1493.1818181818201"/>
  </r>
  <r>
    <x v="0"/>
    <x v="0"/>
    <x v="0"/>
    <x v="3"/>
    <x v="4"/>
    <s v="LV_A3"/>
    <x v="11"/>
    <x v="19"/>
    <x v="8"/>
    <x v="0"/>
    <n v="6.8181818181818201"/>
    <n v="414.77272727272702"/>
    <n v="1493.1818181818201"/>
  </r>
  <r>
    <x v="0"/>
    <x v="0"/>
    <x v="0"/>
    <x v="3"/>
    <x v="4"/>
    <s v="LV_A3"/>
    <x v="11"/>
    <x v="19"/>
    <x v="8"/>
    <x v="1"/>
    <n v="6.8181818181818201"/>
    <n v="414.77272727272702"/>
    <n v="1493.1818181818201"/>
  </r>
  <r>
    <x v="0"/>
    <x v="0"/>
    <x v="0"/>
    <x v="3"/>
    <x v="4"/>
    <s v="LV_A3"/>
    <x v="11"/>
    <x v="19"/>
    <x v="8"/>
    <x v="2"/>
    <n v="6.8181818181818201"/>
    <n v="414.77272727272702"/>
    <n v="1493.1818181818201"/>
  </r>
  <r>
    <x v="0"/>
    <x v="0"/>
    <x v="0"/>
    <x v="3"/>
    <x v="4"/>
    <s v="LV_A3"/>
    <x v="11"/>
    <x v="19"/>
    <x v="8"/>
    <x v="3"/>
    <n v="6.8181818181818201"/>
    <n v="414.77272727272702"/>
    <n v="1493.1818181818201"/>
  </r>
  <r>
    <x v="0"/>
    <x v="0"/>
    <x v="0"/>
    <x v="3"/>
    <x v="4"/>
    <s v="LV_A3"/>
    <x v="11"/>
    <x v="19"/>
    <x v="8"/>
    <x v="4"/>
    <n v="6.8181818181818201"/>
    <n v="414.77272727272702"/>
    <n v="1493.1818181818201"/>
  </r>
  <r>
    <x v="0"/>
    <x v="0"/>
    <x v="0"/>
    <x v="3"/>
    <x v="4"/>
    <s v="LV_A3"/>
    <x v="11"/>
    <x v="19"/>
    <x v="8"/>
    <x v="5"/>
    <n v="6.8181818181818201"/>
    <n v="414.77272727272702"/>
    <n v="1493.1818181818201"/>
  </r>
  <r>
    <x v="0"/>
    <x v="0"/>
    <x v="0"/>
    <x v="3"/>
    <x v="4"/>
    <s v="LV_A3"/>
    <x v="11"/>
    <x v="19"/>
    <x v="8"/>
    <x v="6"/>
    <n v="6.8181818181818201"/>
    <n v="414.77272727272702"/>
    <n v="1493.1818181818201"/>
  </r>
  <r>
    <x v="0"/>
    <x v="0"/>
    <x v="0"/>
    <x v="3"/>
    <x v="4"/>
    <s v="LV_A3"/>
    <x v="11"/>
    <x v="19"/>
    <x v="8"/>
    <x v="7"/>
    <n v="6.8181818181818201"/>
    <n v="414.77272727272702"/>
    <n v="1493.1818181818201"/>
  </r>
  <r>
    <x v="0"/>
    <x v="0"/>
    <x v="0"/>
    <x v="3"/>
    <x v="4"/>
    <s v="LV_A3"/>
    <x v="11"/>
    <x v="19"/>
    <x v="8"/>
    <x v="8"/>
    <n v="6.8181818181818201"/>
    <n v="414.77272727272702"/>
    <n v="1493.1818181818201"/>
  </r>
  <r>
    <x v="0"/>
    <x v="0"/>
    <x v="0"/>
    <x v="3"/>
    <x v="4"/>
    <s v="LV_A3"/>
    <x v="11"/>
    <x v="19"/>
    <x v="8"/>
    <x v="9"/>
    <n v="6.8181818181818201"/>
    <n v="414.77272727272702"/>
    <n v="1493.1818181818201"/>
  </r>
  <r>
    <x v="0"/>
    <x v="0"/>
    <x v="0"/>
    <x v="3"/>
    <x v="4"/>
    <s v="LV_A3"/>
    <x v="11"/>
    <x v="19"/>
    <x v="8"/>
    <x v="10"/>
    <n v="6.8181818181818201"/>
    <n v="414.77272727272702"/>
    <n v="1493.1818181818201"/>
  </r>
  <r>
    <x v="0"/>
    <x v="0"/>
    <x v="0"/>
    <x v="3"/>
    <x v="4"/>
    <s v="LV_A3"/>
    <x v="11"/>
    <x v="19"/>
    <x v="8"/>
    <x v="11"/>
    <n v="6.8181818181818201"/>
    <n v="414.77272727272702"/>
    <n v="1493.1818181818201"/>
  </r>
  <r>
    <x v="0"/>
    <x v="0"/>
    <x v="0"/>
    <x v="3"/>
    <x v="4"/>
    <s v="LV_A3"/>
    <x v="11"/>
    <x v="19"/>
    <x v="9"/>
    <x v="0"/>
    <n v="6.8181818181818201"/>
    <n v="414.77272727272702"/>
    <n v="1493.1818181818201"/>
  </r>
  <r>
    <x v="0"/>
    <x v="0"/>
    <x v="0"/>
    <x v="3"/>
    <x v="4"/>
    <s v="LV_A3"/>
    <x v="11"/>
    <x v="19"/>
    <x v="9"/>
    <x v="1"/>
    <n v="6.8181818181818201"/>
    <n v="414.77272727272702"/>
    <n v="1493.1818181818201"/>
  </r>
  <r>
    <x v="0"/>
    <x v="0"/>
    <x v="0"/>
    <x v="3"/>
    <x v="4"/>
    <s v="LV_A3"/>
    <x v="11"/>
    <x v="19"/>
    <x v="9"/>
    <x v="2"/>
    <n v="6.8181818181818201"/>
    <n v="414.77272727272702"/>
    <n v="1493.1818181818201"/>
  </r>
  <r>
    <x v="0"/>
    <x v="0"/>
    <x v="0"/>
    <x v="3"/>
    <x v="4"/>
    <s v="LV_A3"/>
    <x v="11"/>
    <x v="19"/>
    <x v="9"/>
    <x v="3"/>
    <n v="6.8181818181818201"/>
    <n v="414.77272727272702"/>
    <n v="1493.1818181818201"/>
  </r>
  <r>
    <x v="0"/>
    <x v="0"/>
    <x v="0"/>
    <x v="3"/>
    <x v="4"/>
    <s v="LV_A3"/>
    <x v="11"/>
    <x v="19"/>
    <x v="9"/>
    <x v="4"/>
    <n v="6.8181818181818201"/>
    <n v="414.77272727272702"/>
    <n v="1493.1818181818201"/>
  </r>
  <r>
    <x v="0"/>
    <x v="0"/>
    <x v="0"/>
    <x v="3"/>
    <x v="4"/>
    <s v="LV_A3"/>
    <x v="11"/>
    <x v="19"/>
    <x v="9"/>
    <x v="5"/>
    <n v="6.8181818181818201"/>
    <n v="414.77272727272702"/>
    <n v="1493.1818181818201"/>
  </r>
  <r>
    <x v="0"/>
    <x v="0"/>
    <x v="0"/>
    <x v="3"/>
    <x v="4"/>
    <s v="LV_A3"/>
    <x v="11"/>
    <x v="19"/>
    <x v="9"/>
    <x v="6"/>
    <n v="6.8181818181818201"/>
    <n v="414.77272727272702"/>
    <n v="1493.1818181818201"/>
  </r>
  <r>
    <x v="0"/>
    <x v="0"/>
    <x v="0"/>
    <x v="3"/>
    <x v="4"/>
    <s v="LV_A3"/>
    <x v="11"/>
    <x v="19"/>
    <x v="9"/>
    <x v="7"/>
    <n v="6.8181818181818201"/>
    <n v="414.77272727272702"/>
    <n v="1493.1818181818201"/>
  </r>
  <r>
    <x v="0"/>
    <x v="0"/>
    <x v="0"/>
    <x v="3"/>
    <x v="4"/>
    <s v="LV_A3"/>
    <x v="11"/>
    <x v="19"/>
    <x v="9"/>
    <x v="8"/>
    <n v="6.8181818181818201"/>
    <n v="414.77272727272702"/>
    <n v="1493.1818181818201"/>
  </r>
  <r>
    <x v="0"/>
    <x v="0"/>
    <x v="0"/>
    <x v="3"/>
    <x v="4"/>
    <s v="LV_A3"/>
    <x v="11"/>
    <x v="19"/>
    <x v="9"/>
    <x v="9"/>
    <n v="6.8181818181818201"/>
    <n v="414.77272727272702"/>
    <n v="1493.1818181818201"/>
  </r>
  <r>
    <x v="0"/>
    <x v="0"/>
    <x v="0"/>
    <x v="3"/>
    <x v="4"/>
    <s v="LV_A3"/>
    <x v="11"/>
    <x v="19"/>
    <x v="9"/>
    <x v="10"/>
    <n v="6.8181818181818201"/>
    <n v="414.77272727272702"/>
    <n v="1493.1818181818201"/>
  </r>
  <r>
    <x v="0"/>
    <x v="0"/>
    <x v="0"/>
    <x v="3"/>
    <x v="4"/>
    <s v="LV_A3"/>
    <x v="11"/>
    <x v="19"/>
    <x v="9"/>
    <x v="11"/>
    <n v="6.8181818181818201"/>
    <n v="414.77272727272702"/>
    <n v="1493.1818181818201"/>
  </r>
  <r>
    <x v="0"/>
    <x v="0"/>
    <x v="0"/>
    <x v="3"/>
    <x v="4"/>
    <s v="LV_A3"/>
    <x v="11"/>
    <x v="19"/>
    <x v="10"/>
    <x v="0"/>
    <n v="6.8181818181818201"/>
    <n v="414.77272727272702"/>
    <n v="1493.1818181818201"/>
  </r>
  <r>
    <x v="0"/>
    <x v="0"/>
    <x v="0"/>
    <x v="3"/>
    <x v="4"/>
    <s v="LV_A3"/>
    <x v="11"/>
    <x v="19"/>
    <x v="10"/>
    <x v="1"/>
    <n v="6.8181818181818201"/>
    <n v="414.77272727272702"/>
    <n v="1493.1818181818201"/>
  </r>
  <r>
    <x v="0"/>
    <x v="0"/>
    <x v="0"/>
    <x v="3"/>
    <x v="4"/>
    <s v="LV_A3"/>
    <x v="11"/>
    <x v="19"/>
    <x v="10"/>
    <x v="2"/>
    <n v="6.8181818181818201"/>
    <n v="414.77272727272702"/>
    <n v="1493.1818181818201"/>
  </r>
  <r>
    <x v="0"/>
    <x v="0"/>
    <x v="0"/>
    <x v="3"/>
    <x v="4"/>
    <s v="LV_A3"/>
    <x v="11"/>
    <x v="19"/>
    <x v="10"/>
    <x v="3"/>
    <n v="6.8181818181818201"/>
    <n v="414.77272727272702"/>
    <n v="1493.1818181818201"/>
  </r>
  <r>
    <x v="0"/>
    <x v="0"/>
    <x v="0"/>
    <x v="3"/>
    <x v="4"/>
    <s v="LV_A3"/>
    <x v="11"/>
    <x v="19"/>
    <x v="10"/>
    <x v="4"/>
    <n v="6.8181818181818201"/>
    <n v="414.77272727272702"/>
    <n v="1493.1818181818201"/>
  </r>
  <r>
    <x v="0"/>
    <x v="0"/>
    <x v="0"/>
    <x v="3"/>
    <x v="4"/>
    <s v="LV_A3"/>
    <x v="11"/>
    <x v="19"/>
    <x v="10"/>
    <x v="5"/>
    <n v="6.8181818181818201"/>
    <n v="414.77272727272702"/>
    <n v="1493.1818181818201"/>
  </r>
  <r>
    <x v="0"/>
    <x v="0"/>
    <x v="0"/>
    <x v="3"/>
    <x v="4"/>
    <s v="LV_A3"/>
    <x v="11"/>
    <x v="19"/>
    <x v="10"/>
    <x v="6"/>
    <n v="6.8181818181818201"/>
    <n v="414.77272727272702"/>
    <n v="1493.1818181818201"/>
  </r>
  <r>
    <x v="0"/>
    <x v="0"/>
    <x v="0"/>
    <x v="3"/>
    <x v="4"/>
    <s v="LV_A3"/>
    <x v="11"/>
    <x v="19"/>
    <x v="10"/>
    <x v="7"/>
    <n v="6.8181818181818201"/>
    <n v="414.77272727272702"/>
    <n v="1493.1818181818201"/>
  </r>
  <r>
    <x v="0"/>
    <x v="0"/>
    <x v="0"/>
    <x v="3"/>
    <x v="4"/>
    <s v="LV_A3"/>
    <x v="11"/>
    <x v="19"/>
    <x v="10"/>
    <x v="8"/>
    <n v="6.8181818181818201"/>
    <n v="414.77272727272702"/>
    <n v="1493.1818181818201"/>
  </r>
  <r>
    <x v="0"/>
    <x v="0"/>
    <x v="0"/>
    <x v="3"/>
    <x v="4"/>
    <s v="LV_A3"/>
    <x v="11"/>
    <x v="19"/>
    <x v="10"/>
    <x v="9"/>
    <n v="6.8181818181818201"/>
    <n v="414.77272727272702"/>
    <n v="1493.1818181818201"/>
  </r>
  <r>
    <x v="0"/>
    <x v="0"/>
    <x v="0"/>
    <x v="3"/>
    <x v="4"/>
    <s v="LV_A3"/>
    <x v="11"/>
    <x v="19"/>
    <x v="10"/>
    <x v="10"/>
    <n v="6.8181818181818201"/>
    <n v="414.77272727272702"/>
    <n v="1493.1818181818201"/>
  </r>
  <r>
    <x v="0"/>
    <x v="0"/>
    <x v="0"/>
    <x v="3"/>
    <x v="4"/>
    <s v="LV_A3"/>
    <x v="11"/>
    <x v="19"/>
    <x v="10"/>
    <x v="11"/>
    <n v="6.8181818181818201"/>
    <n v="414.77272727272702"/>
    <n v="1493.1818181818201"/>
  </r>
  <r>
    <x v="0"/>
    <x v="0"/>
    <x v="0"/>
    <x v="3"/>
    <x v="4"/>
    <s v="LV_A3"/>
    <x v="11"/>
    <x v="19"/>
    <x v="11"/>
    <x v="0"/>
    <n v="6.8181818181818201"/>
    <n v="414.77272727272702"/>
    <n v="1493.1818181818201"/>
  </r>
  <r>
    <x v="0"/>
    <x v="0"/>
    <x v="0"/>
    <x v="3"/>
    <x v="4"/>
    <s v="LV_A3"/>
    <x v="11"/>
    <x v="19"/>
    <x v="11"/>
    <x v="1"/>
    <n v="6.8181818181818201"/>
    <n v="414.77272727272702"/>
    <n v="1493.1818181818201"/>
  </r>
  <r>
    <x v="0"/>
    <x v="0"/>
    <x v="0"/>
    <x v="3"/>
    <x v="4"/>
    <s v="LV_A3"/>
    <x v="11"/>
    <x v="19"/>
    <x v="11"/>
    <x v="2"/>
    <n v="6.8181818181818201"/>
    <n v="414.77272727272702"/>
    <n v="1493.1818181818201"/>
  </r>
  <r>
    <x v="0"/>
    <x v="0"/>
    <x v="0"/>
    <x v="3"/>
    <x v="4"/>
    <s v="LV_A3"/>
    <x v="11"/>
    <x v="19"/>
    <x v="11"/>
    <x v="3"/>
    <n v="6.8181818181818201"/>
    <n v="414.77272727272702"/>
    <n v="1493.1818181818201"/>
  </r>
  <r>
    <x v="0"/>
    <x v="0"/>
    <x v="0"/>
    <x v="3"/>
    <x v="4"/>
    <s v="LV_A3"/>
    <x v="11"/>
    <x v="19"/>
    <x v="11"/>
    <x v="4"/>
    <n v="6.8181818181818201"/>
    <n v="414.77272727272702"/>
    <n v="1493.1818181818201"/>
  </r>
  <r>
    <x v="0"/>
    <x v="0"/>
    <x v="0"/>
    <x v="3"/>
    <x v="4"/>
    <s v="LV_A3"/>
    <x v="11"/>
    <x v="19"/>
    <x v="11"/>
    <x v="5"/>
    <n v="6.8181818181818201"/>
    <n v="414.77272727272702"/>
    <n v="1493.1818181818201"/>
  </r>
  <r>
    <x v="0"/>
    <x v="0"/>
    <x v="0"/>
    <x v="3"/>
    <x v="4"/>
    <s v="LV_A3"/>
    <x v="11"/>
    <x v="19"/>
    <x v="11"/>
    <x v="6"/>
    <n v="6.8181818181818201"/>
    <n v="414.77272727272702"/>
    <n v="1493.1818181818201"/>
  </r>
  <r>
    <x v="0"/>
    <x v="0"/>
    <x v="0"/>
    <x v="3"/>
    <x v="4"/>
    <s v="LV_A3"/>
    <x v="11"/>
    <x v="19"/>
    <x v="11"/>
    <x v="7"/>
    <n v="6.8181818181818201"/>
    <n v="414.77272727272702"/>
    <n v="1493.1818181818201"/>
  </r>
  <r>
    <x v="0"/>
    <x v="0"/>
    <x v="0"/>
    <x v="3"/>
    <x v="4"/>
    <s v="LV_A3"/>
    <x v="11"/>
    <x v="19"/>
    <x v="11"/>
    <x v="8"/>
    <n v="6.8181818181818201"/>
    <n v="414.77272727272702"/>
    <n v="1493.1818181818201"/>
  </r>
  <r>
    <x v="0"/>
    <x v="0"/>
    <x v="0"/>
    <x v="3"/>
    <x v="4"/>
    <s v="LV_A3"/>
    <x v="11"/>
    <x v="19"/>
    <x v="11"/>
    <x v="9"/>
    <n v="6.8181818181818201"/>
    <n v="414.77272727272702"/>
    <n v="1493.1818181818201"/>
  </r>
  <r>
    <x v="0"/>
    <x v="0"/>
    <x v="0"/>
    <x v="3"/>
    <x v="4"/>
    <s v="LV_A3"/>
    <x v="11"/>
    <x v="19"/>
    <x v="11"/>
    <x v="10"/>
    <n v="6.8181818181818201"/>
    <n v="414.77272727272702"/>
    <n v="1493.1818181818201"/>
  </r>
  <r>
    <x v="0"/>
    <x v="0"/>
    <x v="0"/>
    <x v="3"/>
    <x v="4"/>
    <s v="LV_A3"/>
    <x v="11"/>
    <x v="19"/>
    <x v="11"/>
    <x v="11"/>
    <n v="6.8181818181818201"/>
    <n v="414.77272727272702"/>
    <n v="1493.1818181818201"/>
  </r>
  <r>
    <x v="0"/>
    <x v="0"/>
    <x v="0"/>
    <x v="3"/>
    <x v="4"/>
    <s v="LV_A3"/>
    <x v="10"/>
    <x v="17"/>
    <x v="0"/>
    <x v="0"/>
    <n v="5"/>
    <n v="304.16666666666703"/>
    <n v="1095"/>
  </r>
  <r>
    <x v="0"/>
    <x v="0"/>
    <x v="0"/>
    <x v="3"/>
    <x v="4"/>
    <s v="LV_A3"/>
    <x v="10"/>
    <x v="17"/>
    <x v="0"/>
    <x v="1"/>
    <n v="5"/>
    <n v="304.16666666666703"/>
    <n v="1095"/>
  </r>
  <r>
    <x v="0"/>
    <x v="0"/>
    <x v="0"/>
    <x v="3"/>
    <x v="4"/>
    <s v="LV_A3"/>
    <x v="10"/>
    <x v="17"/>
    <x v="0"/>
    <x v="2"/>
    <n v="5"/>
    <n v="304.16666666666703"/>
    <n v="1095"/>
  </r>
  <r>
    <x v="0"/>
    <x v="0"/>
    <x v="0"/>
    <x v="3"/>
    <x v="4"/>
    <s v="LV_A3"/>
    <x v="10"/>
    <x v="17"/>
    <x v="0"/>
    <x v="3"/>
    <n v="5"/>
    <n v="304.16666666666703"/>
    <n v="1095"/>
  </r>
  <r>
    <x v="0"/>
    <x v="0"/>
    <x v="0"/>
    <x v="3"/>
    <x v="4"/>
    <s v="LV_A3"/>
    <x v="10"/>
    <x v="17"/>
    <x v="0"/>
    <x v="4"/>
    <n v="5"/>
    <n v="304.16666666666703"/>
    <n v="1095"/>
  </r>
  <r>
    <x v="0"/>
    <x v="0"/>
    <x v="0"/>
    <x v="3"/>
    <x v="4"/>
    <s v="LV_A3"/>
    <x v="10"/>
    <x v="17"/>
    <x v="0"/>
    <x v="5"/>
    <n v="5"/>
    <n v="304.16666666666703"/>
    <n v="1095"/>
  </r>
  <r>
    <x v="0"/>
    <x v="0"/>
    <x v="0"/>
    <x v="3"/>
    <x v="4"/>
    <s v="LV_A3"/>
    <x v="10"/>
    <x v="17"/>
    <x v="0"/>
    <x v="6"/>
    <n v="5"/>
    <n v="304.16666666666703"/>
    <n v="1095"/>
  </r>
  <r>
    <x v="0"/>
    <x v="0"/>
    <x v="0"/>
    <x v="3"/>
    <x v="4"/>
    <s v="LV_A3"/>
    <x v="10"/>
    <x v="17"/>
    <x v="0"/>
    <x v="7"/>
    <n v="5"/>
    <n v="304.16666666666703"/>
    <n v="1095"/>
  </r>
  <r>
    <x v="0"/>
    <x v="0"/>
    <x v="0"/>
    <x v="3"/>
    <x v="4"/>
    <s v="LV_A3"/>
    <x v="10"/>
    <x v="17"/>
    <x v="0"/>
    <x v="8"/>
    <n v="5"/>
    <n v="304.16666666666703"/>
    <n v="1095"/>
  </r>
  <r>
    <x v="0"/>
    <x v="0"/>
    <x v="0"/>
    <x v="3"/>
    <x v="4"/>
    <s v="LV_A3"/>
    <x v="10"/>
    <x v="17"/>
    <x v="0"/>
    <x v="9"/>
    <n v="5"/>
    <n v="304.16666666666703"/>
    <n v="1095"/>
  </r>
  <r>
    <x v="0"/>
    <x v="0"/>
    <x v="0"/>
    <x v="3"/>
    <x v="4"/>
    <s v="LV_A3"/>
    <x v="10"/>
    <x v="17"/>
    <x v="0"/>
    <x v="10"/>
    <n v="5"/>
    <n v="304.16666666666703"/>
    <n v="1095"/>
  </r>
  <r>
    <x v="0"/>
    <x v="0"/>
    <x v="0"/>
    <x v="3"/>
    <x v="4"/>
    <s v="LV_A3"/>
    <x v="10"/>
    <x v="17"/>
    <x v="0"/>
    <x v="11"/>
    <n v="5"/>
    <n v="304.16666666666703"/>
    <n v="1095"/>
  </r>
  <r>
    <x v="0"/>
    <x v="0"/>
    <x v="0"/>
    <x v="3"/>
    <x v="4"/>
    <s v="LV_A3"/>
    <x v="10"/>
    <x v="17"/>
    <x v="1"/>
    <x v="0"/>
    <n v="5"/>
    <n v="304.16666666666703"/>
    <n v="1095"/>
  </r>
  <r>
    <x v="0"/>
    <x v="0"/>
    <x v="0"/>
    <x v="3"/>
    <x v="4"/>
    <s v="LV_A3"/>
    <x v="10"/>
    <x v="17"/>
    <x v="1"/>
    <x v="1"/>
    <n v="5"/>
    <n v="304.16666666666703"/>
    <n v="1095"/>
  </r>
  <r>
    <x v="0"/>
    <x v="0"/>
    <x v="0"/>
    <x v="3"/>
    <x v="4"/>
    <s v="LV_A3"/>
    <x v="10"/>
    <x v="17"/>
    <x v="1"/>
    <x v="2"/>
    <n v="5"/>
    <n v="304.16666666666703"/>
    <n v="1095"/>
  </r>
  <r>
    <x v="0"/>
    <x v="0"/>
    <x v="0"/>
    <x v="3"/>
    <x v="4"/>
    <s v="LV_A3"/>
    <x v="10"/>
    <x v="17"/>
    <x v="1"/>
    <x v="3"/>
    <n v="5"/>
    <n v="304.16666666666703"/>
    <n v="1095"/>
  </r>
  <r>
    <x v="0"/>
    <x v="0"/>
    <x v="0"/>
    <x v="3"/>
    <x v="4"/>
    <s v="LV_A3"/>
    <x v="10"/>
    <x v="17"/>
    <x v="1"/>
    <x v="4"/>
    <n v="5"/>
    <n v="304.16666666666703"/>
    <n v="1095"/>
  </r>
  <r>
    <x v="0"/>
    <x v="0"/>
    <x v="0"/>
    <x v="3"/>
    <x v="4"/>
    <s v="LV_A3"/>
    <x v="10"/>
    <x v="17"/>
    <x v="1"/>
    <x v="5"/>
    <n v="5"/>
    <n v="304.16666666666703"/>
    <n v="1095"/>
  </r>
  <r>
    <x v="0"/>
    <x v="0"/>
    <x v="0"/>
    <x v="3"/>
    <x v="4"/>
    <s v="LV_A3"/>
    <x v="10"/>
    <x v="17"/>
    <x v="1"/>
    <x v="6"/>
    <n v="5"/>
    <n v="304.16666666666703"/>
    <n v="1095"/>
  </r>
  <r>
    <x v="0"/>
    <x v="0"/>
    <x v="0"/>
    <x v="3"/>
    <x v="4"/>
    <s v="LV_A3"/>
    <x v="10"/>
    <x v="17"/>
    <x v="1"/>
    <x v="7"/>
    <n v="5"/>
    <n v="304.16666666666703"/>
    <n v="1095"/>
  </r>
  <r>
    <x v="0"/>
    <x v="0"/>
    <x v="0"/>
    <x v="3"/>
    <x v="4"/>
    <s v="LV_A3"/>
    <x v="10"/>
    <x v="17"/>
    <x v="1"/>
    <x v="8"/>
    <n v="5"/>
    <n v="304.16666666666703"/>
    <n v="1095"/>
  </r>
  <r>
    <x v="0"/>
    <x v="0"/>
    <x v="0"/>
    <x v="3"/>
    <x v="4"/>
    <s v="LV_A3"/>
    <x v="10"/>
    <x v="17"/>
    <x v="1"/>
    <x v="9"/>
    <n v="5"/>
    <n v="304.16666666666703"/>
    <n v="1095"/>
  </r>
  <r>
    <x v="0"/>
    <x v="0"/>
    <x v="0"/>
    <x v="3"/>
    <x v="4"/>
    <s v="LV_A3"/>
    <x v="10"/>
    <x v="17"/>
    <x v="1"/>
    <x v="10"/>
    <n v="5"/>
    <n v="304.16666666666703"/>
    <n v="1095"/>
  </r>
  <r>
    <x v="0"/>
    <x v="0"/>
    <x v="0"/>
    <x v="3"/>
    <x v="4"/>
    <s v="LV_A3"/>
    <x v="10"/>
    <x v="17"/>
    <x v="1"/>
    <x v="11"/>
    <n v="5"/>
    <n v="304.16666666666703"/>
    <n v="1095"/>
  </r>
  <r>
    <x v="0"/>
    <x v="0"/>
    <x v="0"/>
    <x v="3"/>
    <x v="4"/>
    <s v="LV_A3"/>
    <x v="10"/>
    <x v="17"/>
    <x v="2"/>
    <x v="0"/>
    <n v="5"/>
    <n v="304.16666666666703"/>
    <n v="1095"/>
  </r>
  <r>
    <x v="0"/>
    <x v="0"/>
    <x v="0"/>
    <x v="3"/>
    <x v="4"/>
    <s v="LV_A3"/>
    <x v="10"/>
    <x v="17"/>
    <x v="2"/>
    <x v="1"/>
    <n v="5"/>
    <n v="304.16666666666703"/>
    <n v="1095"/>
  </r>
  <r>
    <x v="0"/>
    <x v="0"/>
    <x v="0"/>
    <x v="3"/>
    <x v="4"/>
    <s v="LV_A3"/>
    <x v="10"/>
    <x v="17"/>
    <x v="2"/>
    <x v="2"/>
    <n v="5"/>
    <n v="304.16666666666703"/>
    <n v="1095"/>
  </r>
  <r>
    <x v="0"/>
    <x v="0"/>
    <x v="0"/>
    <x v="3"/>
    <x v="4"/>
    <s v="LV_A3"/>
    <x v="10"/>
    <x v="17"/>
    <x v="2"/>
    <x v="3"/>
    <n v="5"/>
    <n v="304.16666666666703"/>
    <n v="1095"/>
  </r>
  <r>
    <x v="0"/>
    <x v="0"/>
    <x v="0"/>
    <x v="3"/>
    <x v="4"/>
    <s v="LV_A3"/>
    <x v="10"/>
    <x v="17"/>
    <x v="2"/>
    <x v="4"/>
    <n v="5"/>
    <n v="304.16666666666703"/>
    <n v="1095"/>
  </r>
  <r>
    <x v="0"/>
    <x v="0"/>
    <x v="0"/>
    <x v="3"/>
    <x v="4"/>
    <s v="LV_A3"/>
    <x v="10"/>
    <x v="17"/>
    <x v="2"/>
    <x v="5"/>
    <n v="5"/>
    <n v="304.16666666666703"/>
    <n v="1095"/>
  </r>
  <r>
    <x v="0"/>
    <x v="0"/>
    <x v="0"/>
    <x v="3"/>
    <x v="4"/>
    <s v="LV_A3"/>
    <x v="10"/>
    <x v="17"/>
    <x v="2"/>
    <x v="6"/>
    <n v="5"/>
    <n v="304.16666666666703"/>
    <n v="1095"/>
  </r>
  <r>
    <x v="0"/>
    <x v="0"/>
    <x v="0"/>
    <x v="3"/>
    <x v="4"/>
    <s v="LV_A3"/>
    <x v="10"/>
    <x v="17"/>
    <x v="2"/>
    <x v="7"/>
    <n v="5"/>
    <n v="304.16666666666703"/>
    <n v="1095"/>
  </r>
  <r>
    <x v="0"/>
    <x v="0"/>
    <x v="0"/>
    <x v="3"/>
    <x v="4"/>
    <s v="LV_A3"/>
    <x v="10"/>
    <x v="17"/>
    <x v="2"/>
    <x v="8"/>
    <n v="5"/>
    <n v="304.16666666666703"/>
    <n v="1095"/>
  </r>
  <r>
    <x v="0"/>
    <x v="0"/>
    <x v="0"/>
    <x v="3"/>
    <x v="4"/>
    <s v="LV_A3"/>
    <x v="10"/>
    <x v="17"/>
    <x v="2"/>
    <x v="9"/>
    <n v="5"/>
    <n v="304.16666666666703"/>
    <n v="1095"/>
  </r>
  <r>
    <x v="0"/>
    <x v="0"/>
    <x v="0"/>
    <x v="3"/>
    <x v="4"/>
    <s v="LV_A3"/>
    <x v="10"/>
    <x v="17"/>
    <x v="2"/>
    <x v="10"/>
    <n v="5"/>
    <n v="304.16666666666703"/>
    <n v="1095"/>
  </r>
  <r>
    <x v="0"/>
    <x v="0"/>
    <x v="0"/>
    <x v="3"/>
    <x v="4"/>
    <s v="LV_A3"/>
    <x v="10"/>
    <x v="17"/>
    <x v="2"/>
    <x v="11"/>
    <n v="5"/>
    <n v="304.16666666666703"/>
    <n v="1095"/>
  </r>
  <r>
    <x v="0"/>
    <x v="0"/>
    <x v="0"/>
    <x v="3"/>
    <x v="4"/>
    <s v="LV_A3"/>
    <x v="10"/>
    <x v="17"/>
    <x v="3"/>
    <x v="0"/>
    <n v="5"/>
    <n v="304.16666666666703"/>
    <n v="1095"/>
  </r>
  <r>
    <x v="0"/>
    <x v="0"/>
    <x v="0"/>
    <x v="3"/>
    <x v="4"/>
    <s v="LV_A3"/>
    <x v="10"/>
    <x v="17"/>
    <x v="3"/>
    <x v="1"/>
    <n v="5"/>
    <n v="304.16666666666703"/>
    <n v="1095"/>
  </r>
  <r>
    <x v="0"/>
    <x v="0"/>
    <x v="0"/>
    <x v="3"/>
    <x v="4"/>
    <s v="LV_A3"/>
    <x v="10"/>
    <x v="17"/>
    <x v="3"/>
    <x v="2"/>
    <n v="5"/>
    <n v="304.16666666666703"/>
    <n v="1095"/>
  </r>
  <r>
    <x v="0"/>
    <x v="0"/>
    <x v="0"/>
    <x v="3"/>
    <x v="4"/>
    <s v="LV_A3"/>
    <x v="10"/>
    <x v="17"/>
    <x v="3"/>
    <x v="3"/>
    <n v="5"/>
    <n v="304.16666666666703"/>
    <n v="1095"/>
  </r>
  <r>
    <x v="0"/>
    <x v="0"/>
    <x v="0"/>
    <x v="3"/>
    <x v="4"/>
    <s v="LV_A3"/>
    <x v="10"/>
    <x v="17"/>
    <x v="3"/>
    <x v="4"/>
    <n v="5"/>
    <n v="304.16666666666703"/>
    <n v="1095"/>
  </r>
  <r>
    <x v="0"/>
    <x v="0"/>
    <x v="0"/>
    <x v="3"/>
    <x v="4"/>
    <s v="LV_A3"/>
    <x v="10"/>
    <x v="17"/>
    <x v="3"/>
    <x v="5"/>
    <n v="5"/>
    <n v="304.16666666666703"/>
    <n v="1095"/>
  </r>
  <r>
    <x v="0"/>
    <x v="0"/>
    <x v="0"/>
    <x v="3"/>
    <x v="4"/>
    <s v="LV_A3"/>
    <x v="10"/>
    <x v="17"/>
    <x v="3"/>
    <x v="6"/>
    <n v="5"/>
    <n v="304.16666666666703"/>
    <n v="1095"/>
  </r>
  <r>
    <x v="0"/>
    <x v="0"/>
    <x v="0"/>
    <x v="3"/>
    <x v="4"/>
    <s v="LV_A3"/>
    <x v="10"/>
    <x v="17"/>
    <x v="3"/>
    <x v="7"/>
    <n v="5"/>
    <n v="304.16666666666703"/>
    <n v="1095"/>
  </r>
  <r>
    <x v="0"/>
    <x v="0"/>
    <x v="0"/>
    <x v="3"/>
    <x v="4"/>
    <s v="LV_A3"/>
    <x v="10"/>
    <x v="17"/>
    <x v="3"/>
    <x v="8"/>
    <n v="5"/>
    <n v="304.16666666666703"/>
    <n v="1095"/>
  </r>
  <r>
    <x v="0"/>
    <x v="0"/>
    <x v="0"/>
    <x v="3"/>
    <x v="4"/>
    <s v="LV_A3"/>
    <x v="10"/>
    <x v="17"/>
    <x v="3"/>
    <x v="9"/>
    <n v="5"/>
    <n v="304.16666666666703"/>
    <n v="1095"/>
  </r>
  <r>
    <x v="0"/>
    <x v="0"/>
    <x v="0"/>
    <x v="3"/>
    <x v="4"/>
    <s v="LV_A3"/>
    <x v="10"/>
    <x v="17"/>
    <x v="3"/>
    <x v="10"/>
    <n v="5"/>
    <n v="304.16666666666703"/>
    <n v="1095"/>
  </r>
  <r>
    <x v="0"/>
    <x v="0"/>
    <x v="0"/>
    <x v="3"/>
    <x v="4"/>
    <s v="LV_A3"/>
    <x v="10"/>
    <x v="17"/>
    <x v="3"/>
    <x v="11"/>
    <n v="5"/>
    <n v="304.16666666666703"/>
    <n v="1095"/>
  </r>
  <r>
    <x v="0"/>
    <x v="0"/>
    <x v="0"/>
    <x v="3"/>
    <x v="4"/>
    <s v="LV_A3"/>
    <x v="10"/>
    <x v="17"/>
    <x v="4"/>
    <x v="0"/>
    <n v="5"/>
    <n v="304.16666666666703"/>
    <n v="1095"/>
  </r>
  <r>
    <x v="0"/>
    <x v="0"/>
    <x v="0"/>
    <x v="3"/>
    <x v="4"/>
    <s v="LV_A3"/>
    <x v="10"/>
    <x v="17"/>
    <x v="4"/>
    <x v="1"/>
    <n v="5"/>
    <n v="304.16666666666703"/>
    <n v="1095"/>
  </r>
  <r>
    <x v="0"/>
    <x v="0"/>
    <x v="0"/>
    <x v="3"/>
    <x v="4"/>
    <s v="LV_A3"/>
    <x v="10"/>
    <x v="17"/>
    <x v="4"/>
    <x v="2"/>
    <n v="5"/>
    <n v="304.16666666666703"/>
    <n v="1095"/>
  </r>
  <r>
    <x v="0"/>
    <x v="0"/>
    <x v="0"/>
    <x v="3"/>
    <x v="4"/>
    <s v="LV_A3"/>
    <x v="10"/>
    <x v="17"/>
    <x v="4"/>
    <x v="3"/>
    <n v="5"/>
    <n v="304.16666666666703"/>
    <n v="1095"/>
  </r>
  <r>
    <x v="0"/>
    <x v="0"/>
    <x v="0"/>
    <x v="3"/>
    <x v="4"/>
    <s v="LV_A3"/>
    <x v="10"/>
    <x v="17"/>
    <x v="4"/>
    <x v="4"/>
    <n v="5"/>
    <n v="304.16666666666703"/>
    <n v="1095"/>
  </r>
  <r>
    <x v="0"/>
    <x v="0"/>
    <x v="0"/>
    <x v="3"/>
    <x v="4"/>
    <s v="LV_A3"/>
    <x v="10"/>
    <x v="17"/>
    <x v="4"/>
    <x v="5"/>
    <n v="5"/>
    <n v="304.16666666666703"/>
    <n v="1095"/>
  </r>
  <r>
    <x v="0"/>
    <x v="0"/>
    <x v="0"/>
    <x v="3"/>
    <x v="4"/>
    <s v="LV_A3"/>
    <x v="10"/>
    <x v="17"/>
    <x v="4"/>
    <x v="6"/>
    <n v="5"/>
    <n v="304.16666666666703"/>
    <n v="1095"/>
  </r>
  <r>
    <x v="0"/>
    <x v="0"/>
    <x v="0"/>
    <x v="3"/>
    <x v="4"/>
    <s v="LV_A3"/>
    <x v="10"/>
    <x v="17"/>
    <x v="4"/>
    <x v="7"/>
    <n v="5"/>
    <n v="304.16666666666703"/>
    <n v="1095"/>
  </r>
  <r>
    <x v="0"/>
    <x v="0"/>
    <x v="0"/>
    <x v="3"/>
    <x v="4"/>
    <s v="LV_A3"/>
    <x v="10"/>
    <x v="17"/>
    <x v="4"/>
    <x v="8"/>
    <n v="5"/>
    <n v="304.16666666666703"/>
    <n v="1095"/>
  </r>
  <r>
    <x v="0"/>
    <x v="0"/>
    <x v="0"/>
    <x v="3"/>
    <x v="4"/>
    <s v="LV_A3"/>
    <x v="10"/>
    <x v="17"/>
    <x v="4"/>
    <x v="9"/>
    <n v="5"/>
    <n v="304.16666666666703"/>
    <n v="1095"/>
  </r>
  <r>
    <x v="0"/>
    <x v="0"/>
    <x v="0"/>
    <x v="3"/>
    <x v="4"/>
    <s v="LV_A3"/>
    <x v="10"/>
    <x v="17"/>
    <x v="4"/>
    <x v="10"/>
    <n v="5"/>
    <n v="304.16666666666703"/>
    <n v="1095"/>
  </r>
  <r>
    <x v="0"/>
    <x v="0"/>
    <x v="0"/>
    <x v="3"/>
    <x v="4"/>
    <s v="LV_A3"/>
    <x v="10"/>
    <x v="17"/>
    <x v="4"/>
    <x v="11"/>
    <n v="5"/>
    <n v="304.16666666666703"/>
    <n v="1095"/>
  </r>
  <r>
    <x v="0"/>
    <x v="0"/>
    <x v="0"/>
    <x v="3"/>
    <x v="4"/>
    <s v="LV_A3"/>
    <x v="10"/>
    <x v="17"/>
    <x v="5"/>
    <x v="0"/>
    <n v="5"/>
    <n v="304.16666666666703"/>
    <n v="1095"/>
  </r>
  <r>
    <x v="0"/>
    <x v="0"/>
    <x v="0"/>
    <x v="3"/>
    <x v="4"/>
    <s v="LV_A3"/>
    <x v="10"/>
    <x v="17"/>
    <x v="5"/>
    <x v="1"/>
    <n v="5"/>
    <n v="304.16666666666703"/>
    <n v="1095"/>
  </r>
  <r>
    <x v="0"/>
    <x v="0"/>
    <x v="0"/>
    <x v="3"/>
    <x v="4"/>
    <s v="LV_A3"/>
    <x v="10"/>
    <x v="17"/>
    <x v="5"/>
    <x v="2"/>
    <n v="5"/>
    <n v="304.16666666666703"/>
    <n v="1095"/>
  </r>
  <r>
    <x v="0"/>
    <x v="0"/>
    <x v="0"/>
    <x v="3"/>
    <x v="4"/>
    <s v="LV_A3"/>
    <x v="10"/>
    <x v="17"/>
    <x v="5"/>
    <x v="3"/>
    <n v="5"/>
    <n v="304.16666666666703"/>
    <n v="1095"/>
  </r>
  <r>
    <x v="0"/>
    <x v="0"/>
    <x v="0"/>
    <x v="3"/>
    <x v="4"/>
    <s v="LV_A3"/>
    <x v="10"/>
    <x v="17"/>
    <x v="5"/>
    <x v="4"/>
    <n v="5"/>
    <n v="304.16666666666703"/>
    <n v="1095"/>
  </r>
  <r>
    <x v="0"/>
    <x v="0"/>
    <x v="0"/>
    <x v="3"/>
    <x v="4"/>
    <s v="LV_A3"/>
    <x v="10"/>
    <x v="17"/>
    <x v="5"/>
    <x v="5"/>
    <n v="5"/>
    <n v="304.16666666666703"/>
    <n v="1095"/>
  </r>
  <r>
    <x v="0"/>
    <x v="0"/>
    <x v="0"/>
    <x v="3"/>
    <x v="4"/>
    <s v="LV_A3"/>
    <x v="10"/>
    <x v="17"/>
    <x v="5"/>
    <x v="6"/>
    <n v="5"/>
    <n v="304.16666666666703"/>
    <n v="1095"/>
  </r>
  <r>
    <x v="0"/>
    <x v="0"/>
    <x v="0"/>
    <x v="3"/>
    <x v="4"/>
    <s v="LV_A3"/>
    <x v="10"/>
    <x v="17"/>
    <x v="5"/>
    <x v="7"/>
    <n v="5"/>
    <n v="304.16666666666703"/>
    <n v="1095"/>
  </r>
  <r>
    <x v="0"/>
    <x v="0"/>
    <x v="0"/>
    <x v="3"/>
    <x v="4"/>
    <s v="LV_A3"/>
    <x v="10"/>
    <x v="17"/>
    <x v="5"/>
    <x v="8"/>
    <n v="5"/>
    <n v="304.16666666666703"/>
    <n v="1095"/>
  </r>
  <r>
    <x v="0"/>
    <x v="0"/>
    <x v="0"/>
    <x v="3"/>
    <x v="4"/>
    <s v="LV_A3"/>
    <x v="10"/>
    <x v="17"/>
    <x v="5"/>
    <x v="9"/>
    <n v="5"/>
    <n v="304.16666666666703"/>
    <n v="1095"/>
  </r>
  <r>
    <x v="0"/>
    <x v="0"/>
    <x v="0"/>
    <x v="3"/>
    <x v="4"/>
    <s v="LV_A3"/>
    <x v="10"/>
    <x v="17"/>
    <x v="5"/>
    <x v="10"/>
    <n v="5"/>
    <n v="304.16666666666703"/>
    <n v="1095"/>
  </r>
  <r>
    <x v="0"/>
    <x v="0"/>
    <x v="0"/>
    <x v="3"/>
    <x v="4"/>
    <s v="LV_A3"/>
    <x v="10"/>
    <x v="17"/>
    <x v="5"/>
    <x v="11"/>
    <n v="5"/>
    <n v="304.16666666666703"/>
    <n v="1095"/>
  </r>
  <r>
    <x v="0"/>
    <x v="0"/>
    <x v="0"/>
    <x v="3"/>
    <x v="4"/>
    <s v="LV_A3"/>
    <x v="10"/>
    <x v="17"/>
    <x v="6"/>
    <x v="0"/>
    <n v="5"/>
    <n v="304.16666666666703"/>
    <n v="1095"/>
  </r>
  <r>
    <x v="0"/>
    <x v="0"/>
    <x v="0"/>
    <x v="3"/>
    <x v="4"/>
    <s v="LV_A3"/>
    <x v="10"/>
    <x v="17"/>
    <x v="6"/>
    <x v="1"/>
    <n v="5"/>
    <n v="304.16666666666703"/>
    <n v="1095"/>
  </r>
  <r>
    <x v="0"/>
    <x v="0"/>
    <x v="0"/>
    <x v="3"/>
    <x v="4"/>
    <s v="LV_A3"/>
    <x v="10"/>
    <x v="17"/>
    <x v="6"/>
    <x v="2"/>
    <n v="5"/>
    <n v="304.16666666666703"/>
    <n v="1095"/>
  </r>
  <r>
    <x v="0"/>
    <x v="0"/>
    <x v="0"/>
    <x v="3"/>
    <x v="4"/>
    <s v="LV_A3"/>
    <x v="10"/>
    <x v="17"/>
    <x v="6"/>
    <x v="3"/>
    <n v="5"/>
    <n v="304.16666666666703"/>
    <n v="1095"/>
  </r>
  <r>
    <x v="0"/>
    <x v="0"/>
    <x v="0"/>
    <x v="3"/>
    <x v="4"/>
    <s v="LV_A3"/>
    <x v="10"/>
    <x v="17"/>
    <x v="6"/>
    <x v="4"/>
    <n v="5"/>
    <n v="304.16666666666703"/>
    <n v="1095"/>
  </r>
  <r>
    <x v="0"/>
    <x v="0"/>
    <x v="0"/>
    <x v="3"/>
    <x v="4"/>
    <s v="LV_A3"/>
    <x v="10"/>
    <x v="17"/>
    <x v="6"/>
    <x v="5"/>
    <n v="5"/>
    <n v="304.16666666666703"/>
    <n v="1095"/>
  </r>
  <r>
    <x v="0"/>
    <x v="0"/>
    <x v="0"/>
    <x v="3"/>
    <x v="4"/>
    <s v="LV_A3"/>
    <x v="10"/>
    <x v="17"/>
    <x v="6"/>
    <x v="6"/>
    <n v="5"/>
    <n v="304.16666666666703"/>
    <n v="1095"/>
  </r>
  <r>
    <x v="0"/>
    <x v="0"/>
    <x v="0"/>
    <x v="3"/>
    <x v="4"/>
    <s v="LV_A3"/>
    <x v="10"/>
    <x v="17"/>
    <x v="6"/>
    <x v="7"/>
    <n v="5"/>
    <n v="304.16666666666703"/>
    <n v="1095"/>
  </r>
  <r>
    <x v="0"/>
    <x v="0"/>
    <x v="0"/>
    <x v="3"/>
    <x v="4"/>
    <s v="LV_A3"/>
    <x v="10"/>
    <x v="17"/>
    <x v="6"/>
    <x v="8"/>
    <n v="5"/>
    <n v="304.16666666666703"/>
    <n v="1095"/>
  </r>
  <r>
    <x v="0"/>
    <x v="0"/>
    <x v="0"/>
    <x v="3"/>
    <x v="4"/>
    <s v="LV_A3"/>
    <x v="10"/>
    <x v="17"/>
    <x v="6"/>
    <x v="9"/>
    <n v="5"/>
    <n v="304.16666666666703"/>
    <n v="1095"/>
  </r>
  <r>
    <x v="0"/>
    <x v="0"/>
    <x v="0"/>
    <x v="3"/>
    <x v="4"/>
    <s v="LV_A3"/>
    <x v="10"/>
    <x v="17"/>
    <x v="6"/>
    <x v="10"/>
    <n v="5"/>
    <n v="304.16666666666703"/>
    <n v="1095"/>
  </r>
  <r>
    <x v="0"/>
    <x v="0"/>
    <x v="0"/>
    <x v="3"/>
    <x v="4"/>
    <s v="LV_A3"/>
    <x v="10"/>
    <x v="17"/>
    <x v="6"/>
    <x v="11"/>
    <n v="5"/>
    <n v="304.16666666666703"/>
    <n v="1095"/>
  </r>
  <r>
    <x v="0"/>
    <x v="0"/>
    <x v="0"/>
    <x v="3"/>
    <x v="4"/>
    <s v="LV_A3"/>
    <x v="10"/>
    <x v="17"/>
    <x v="7"/>
    <x v="0"/>
    <n v="5"/>
    <n v="304.16666666666703"/>
    <n v="1095"/>
  </r>
  <r>
    <x v="0"/>
    <x v="0"/>
    <x v="0"/>
    <x v="3"/>
    <x v="4"/>
    <s v="LV_A3"/>
    <x v="10"/>
    <x v="17"/>
    <x v="7"/>
    <x v="1"/>
    <n v="5"/>
    <n v="304.16666666666703"/>
    <n v="1095"/>
  </r>
  <r>
    <x v="0"/>
    <x v="0"/>
    <x v="0"/>
    <x v="3"/>
    <x v="4"/>
    <s v="LV_A3"/>
    <x v="10"/>
    <x v="17"/>
    <x v="7"/>
    <x v="2"/>
    <n v="5"/>
    <n v="304.16666666666703"/>
    <n v="1095"/>
  </r>
  <r>
    <x v="0"/>
    <x v="0"/>
    <x v="0"/>
    <x v="3"/>
    <x v="4"/>
    <s v="LV_A3"/>
    <x v="10"/>
    <x v="17"/>
    <x v="7"/>
    <x v="3"/>
    <n v="5"/>
    <n v="304.16666666666703"/>
    <n v="1095"/>
  </r>
  <r>
    <x v="0"/>
    <x v="0"/>
    <x v="0"/>
    <x v="3"/>
    <x v="4"/>
    <s v="LV_A3"/>
    <x v="10"/>
    <x v="17"/>
    <x v="7"/>
    <x v="4"/>
    <n v="5"/>
    <n v="304.16666666666703"/>
    <n v="1095"/>
  </r>
  <r>
    <x v="0"/>
    <x v="0"/>
    <x v="0"/>
    <x v="3"/>
    <x v="4"/>
    <s v="LV_A3"/>
    <x v="10"/>
    <x v="17"/>
    <x v="7"/>
    <x v="5"/>
    <n v="5"/>
    <n v="304.16666666666703"/>
    <n v="1095"/>
  </r>
  <r>
    <x v="0"/>
    <x v="0"/>
    <x v="0"/>
    <x v="3"/>
    <x v="4"/>
    <s v="LV_A3"/>
    <x v="10"/>
    <x v="17"/>
    <x v="7"/>
    <x v="6"/>
    <n v="5"/>
    <n v="304.16666666666703"/>
    <n v="1095"/>
  </r>
  <r>
    <x v="0"/>
    <x v="0"/>
    <x v="0"/>
    <x v="3"/>
    <x v="4"/>
    <s v="LV_A3"/>
    <x v="10"/>
    <x v="17"/>
    <x v="7"/>
    <x v="7"/>
    <n v="5"/>
    <n v="304.16666666666703"/>
    <n v="1095"/>
  </r>
  <r>
    <x v="0"/>
    <x v="0"/>
    <x v="0"/>
    <x v="3"/>
    <x v="4"/>
    <s v="LV_A3"/>
    <x v="10"/>
    <x v="17"/>
    <x v="7"/>
    <x v="8"/>
    <n v="5"/>
    <n v="304.16666666666703"/>
    <n v="1095"/>
  </r>
  <r>
    <x v="0"/>
    <x v="0"/>
    <x v="0"/>
    <x v="3"/>
    <x v="4"/>
    <s v="LV_A3"/>
    <x v="10"/>
    <x v="17"/>
    <x v="7"/>
    <x v="9"/>
    <n v="5"/>
    <n v="304.16666666666703"/>
    <n v="1095"/>
  </r>
  <r>
    <x v="0"/>
    <x v="0"/>
    <x v="0"/>
    <x v="3"/>
    <x v="4"/>
    <s v="LV_A3"/>
    <x v="10"/>
    <x v="17"/>
    <x v="7"/>
    <x v="10"/>
    <n v="5"/>
    <n v="304.16666666666703"/>
    <n v="1095"/>
  </r>
  <r>
    <x v="0"/>
    <x v="0"/>
    <x v="0"/>
    <x v="3"/>
    <x v="4"/>
    <s v="LV_A3"/>
    <x v="10"/>
    <x v="17"/>
    <x v="7"/>
    <x v="11"/>
    <n v="5"/>
    <n v="304.16666666666703"/>
    <n v="1095"/>
  </r>
  <r>
    <x v="0"/>
    <x v="0"/>
    <x v="0"/>
    <x v="3"/>
    <x v="4"/>
    <s v="LV_A3"/>
    <x v="10"/>
    <x v="17"/>
    <x v="8"/>
    <x v="0"/>
    <n v="5"/>
    <n v="304.16666666666703"/>
    <n v="1095"/>
  </r>
  <r>
    <x v="0"/>
    <x v="0"/>
    <x v="0"/>
    <x v="3"/>
    <x v="4"/>
    <s v="LV_A3"/>
    <x v="10"/>
    <x v="17"/>
    <x v="8"/>
    <x v="1"/>
    <n v="5"/>
    <n v="304.16666666666703"/>
    <n v="1095"/>
  </r>
  <r>
    <x v="0"/>
    <x v="0"/>
    <x v="0"/>
    <x v="3"/>
    <x v="4"/>
    <s v="LV_A3"/>
    <x v="10"/>
    <x v="17"/>
    <x v="8"/>
    <x v="2"/>
    <n v="5"/>
    <n v="304.16666666666703"/>
    <n v="1095"/>
  </r>
  <r>
    <x v="0"/>
    <x v="0"/>
    <x v="0"/>
    <x v="3"/>
    <x v="4"/>
    <s v="LV_A3"/>
    <x v="10"/>
    <x v="17"/>
    <x v="8"/>
    <x v="3"/>
    <n v="5"/>
    <n v="304.16666666666703"/>
    <n v="1095"/>
  </r>
  <r>
    <x v="0"/>
    <x v="0"/>
    <x v="0"/>
    <x v="3"/>
    <x v="4"/>
    <s v="LV_A3"/>
    <x v="10"/>
    <x v="17"/>
    <x v="8"/>
    <x v="4"/>
    <n v="5"/>
    <n v="304.16666666666703"/>
    <n v="1095"/>
  </r>
  <r>
    <x v="0"/>
    <x v="0"/>
    <x v="0"/>
    <x v="3"/>
    <x v="4"/>
    <s v="LV_A3"/>
    <x v="10"/>
    <x v="17"/>
    <x v="8"/>
    <x v="5"/>
    <n v="5"/>
    <n v="304.16666666666703"/>
    <n v="1095"/>
  </r>
  <r>
    <x v="0"/>
    <x v="0"/>
    <x v="0"/>
    <x v="3"/>
    <x v="4"/>
    <s v="LV_A3"/>
    <x v="10"/>
    <x v="17"/>
    <x v="8"/>
    <x v="6"/>
    <n v="5"/>
    <n v="304.16666666666703"/>
    <n v="1095"/>
  </r>
  <r>
    <x v="0"/>
    <x v="0"/>
    <x v="0"/>
    <x v="3"/>
    <x v="4"/>
    <s v="LV_A3"/>
    <x v="10"/>
    <x v="17"/>
    <x v="8"/>
    <x v="7"/>
    <n v="5"/>
    <n v="304.16666666666703"/>
    <n v="1095"/>
  </r>
  <r>
    <x v="0"/>
    <x v="0"/>
    <x v="0"/>
    <x v="3"/>
    <x v="4"/>
    <s v="LV_A3"/>
    <x v="10"/>
    <x v="17"/>
    <x v="8"/>
    <x v="8"/>
    <n v="5"/>
    <n v="304.16666666666703"/>
    <n v="1095"/>
  </r>
  <r>
    <x v="0"/>
    <x v="0"/>
    <x v="0"/>
    <x v="3"/>
    <x v="4"/>
    <s v="LV_A3"/>
    <x v="10"/>
    <x v="17"/>
    <x v="8"/>
    <x v="9"/>
    <n v="5"/>
    <n v="304.16666666666703"/>
    <n v="1095"/>
  </r>
  <r>
    <x v="0"/>
    <x v="0"/>
    <x v="0"/>
    <x v="3"/>
    <x v="4"/>
    <s v="LV_A3"/>
    <x v="10"/>
    <x v="17"/>
    <x v="8"/>
    <x v="10"/>
    <n v="5"/>
    <n v="304.16666666666703"/>
    <n v="1095"/>
  </r>
  <r>
    <x v="0"/>
    <x v="0"/>
    <x v="0"/>
    <x v="3"/>
    <x v="4"/>
    <s v="LV_A3"/>
    <x v="10"/>
    <x v="17"/>
    <x v="8"/>
    <x v="11"/>
    <n v="5"/>
    <n v="304.16666666666703"/>
    <n v="1095"/>
  </r>
  <r>
    <x v="0"/>
    <x v="0"/>
    <x v="0"/>
    <x v="3"/>
    <x v="4"/>
    <s v="LV_A3"/>
    <x v="10"/>
    <x v="17"/>
    <x v="9"/>
    <x v="0"/>
    <n v="5"/>
    <n v="304.16666666666703"/>
    <n v="1095"/>
  </r>
  <r>
    <x v="0"/>
    <x v="0"/>
    <x v="0"/>
    <x v="3"/>
    <x v="4"/>
    <s v="LV_A3"/>
    <x v="10"/>
    <x v="17"/>
    <x v="9"/>
    <x v="1"/>
    <n v="5"/>
    <n v="304.16666666666703"/>
    <n v="1095"/>
  </r>
  <r>
    <x v="0"/>
    <x v="0"/>
    <x v="0"/>
    <x v="3"/>
    <x v="4"/>
    <s v="LV_A3"/>
    <x v="10"/>
    <x v="17"/>
    <x v="9"/>
    <x v="2"/>
    <n v="5"/>
    <n v="304.16666666666703"/>
    <n v="1095"/>
  </r>
  <r>
    <x v="0"/>
    <x v="0"/>
    <x v="0"/>
    <x v="3"/>
    <x v="4"/>
    <s v="LV_A3"/>
    <x v="10"/>
    <x v="17"/>
    <x v="9"/>
    <x v="3"/>
    <n v="5"/>
    <n v="304.16666666666703"/>
    <n v="1095"/>
  </r>
  <r>
    <x v="0"/>
    <x v="0"/>
    <x v="0"/>
    <x v="3"/>
    <x v="4"/>
    <s v="LV_A3"/>
    <x v="10"/>
    <x v="17"/>
    <x v="9"/>
    <x v="4"/>
    <n v="5"/>
    <n v="304.16666666666703"/>
    <n v="1095"/>
  </r>
  <r>
    <x v="0"/>
    <x v="0"/>
    <x v="0"/>
    <x v="3"/>
    <x v="4"/>
    <s v="LV_A3"/>
    <x v="10"/>
    <x v="17"/>
    <x v="9"/>
    <x v="5"/>
    <n v="5"/>
    <n v="304.16666666666703"/>
    <n v="1095"/>
  </r>
  <r>
    <x v="0"/>
    <x v="0"/>
    <x v="0"/>
    <x v="3"/>
    <x v="4"/>
    <s v="LV_A3"/>
    <x v="10"/>
    <x v="17"/>
    <x v="9"/>
    <x v="6"/>
    <n v="5"/>
    <n v="304.16666666666703"/>
    <n v="1095"/>
  </r>
  <r>
    <x v="0"/>
    <x v="0"/>
    <x v="0"/>
    <x v="3"/>
    <x v="4"/>
    <s v="LV_A3"/>
    <x v="10"/>
    <x v="17"/>
    <x v="9"/>
    <x v="7"/>
    <n v="5"/>
    <n v="304.16666666666703"/>
    <n v="1095"/>
  </r>
  <r>
    <x v="0"/>
    <x v="0"/>
    <x v="0"/>
    <x v="3"/>
    <x v="4"/>
    <s v="LV_A3"/>
    <x v="10"/>
    <x v="17"/>
    <x v="9"/>
    <x v="8"/>
    <n v="5"/>
    <n v="304.16666666666703"/>
    <n v="1095"/>
  </r>
  <r>
    <x v="0"/>
    <x v="0"/>
    <x v="0"/>
    <x v="3"/>
    <x v="4"/>
    <s v="LV_A3"/>
    <x v="10"/>
    <x v="17"/>
    <x v="9"/>
    <x v="9"/>
    <n v="5"/>
    <n v="304.16666666666703"/>
    <n v="1095"/>
  </r>
  <r>
    <x v="0"/>
    <x v="0"/>
    <x v="0"/>
    <x v="3"/>
    <x v="4"/>
    <s v="LV_A3"/>
    <x v="10"/>
    <x v="17"/>
    <x v="9"/>
    <x v="10"/>
    <n v="5"/>
    <n v="304.16666666666703"/>
    <n v="1095"/>
  </r>
  <r>
    <x v="0"/>
    <x v="0"/>
    <x v="0"/>
    <x v="3"/>
    <x v="4"/>
    <s v="LV_A3"/>
    <x v="10"/>
    <x v="17"/>
    <x v="9"/>
    <x v="11"/>
    <n v="5"/>
    <n v="304.16666666666703"/>
    <n v="1095"/>
  </r>
  <r>
    <x v="0"/>
    <x v="0"/>
    <x v="0"/>
    <x v="3"/>
    <x v="4"/>
    <s v="LV_A3"/>
    <x v="10"/>
    <x v="17"/>
    <x v="10"/>
    <x v="0"/>
    <n v="5"/>
    <n v="304.16666666666703"/>
    <n v="1095"/>
  </r>
  <r>
    <x v="0"/>
    <x v="0"/>
    <x v="0"/>
    <x v="3"/>
    <x v="4"/>
    <s v="LV_A3"/>
    <x v="10"/>
    <x v="17"/>
    <x v="10"/>
    <x v="1"/>
    <n v="5"/>
    <n v="304.16666666666703"/>
    <n v="1095"/>
  </r>
  <r>
    <x v="0"/>
    <x v="0"/>
    <x v="0"/>
    <x v="3"/>
    <x v="4"/>
    <s v="LV_A3"/>
    <x v="10"/>
    <x v="17"/>
    <x v="10"/>
    <x v="2"/>
    <n v="5"/>
    <n v="304.16666666666703"/>
    <n v="1095"/>
  </r>
  <r>
    <x v="0"/>
    <x v="0"/>
    <x v="0"/>
    <x v="3"/>
    <x v="4"/>
    <s v="LV_A3"/>
    <x v="10"/>
    <x v="17"/>
    <x v="10"/>
    <x v="3"/>
    <n v="5"/>
    <n v="304.16666666666703"/>
    <n v="1095"/>
  </r>
  <r>
    <x v="0"/>
    <x v="0"/>
    <x v="0"/>
    <x v="3"/>
    <x v="4"/>
    <s v="LV_A3"/>
    <x v="10"/>
    <x v="17"/>
    <x v="10"/>
    <x v="4"/>
    <n v="5"/>
    <n v="304.16666666666703"/>
    <n v="1095"/>
  </r>
  <r>
    <x v="0"/>
    <x v="0"/>
    <x v="0"/>
    <x v="3"/>
    <x v="4"/>
    <s v="LV_A3"/>
    <x v="10"/>
    <x v="17"/>
    <x v="10"/>
    <x v="5"/>
    <n v="5"/>
    <n v="304.16666666666703"/>
    <n v="1095"/>
  </r>
  <r>
    <x v="0"/>
    <x v="0"/>
    <x v="0"/>
    <x v="3"/>
    <x v="4"/>
    <s v="LV_A3"/>
    <x v="10"/>
    <x v="17"/>
    <x v="10"/>
    <x v="6"/>
    <n v="5"/>
    <n v="304.16666666666703"/>
    <n v="1095"/>
  </r>
  <r>
    <x v="0"/>
    <x v="0"/>
    <x v="0"/>
    <x v="3"/>
    <x v="4"/>
    <s v="LV_A3"/>
    <x v="10"/>
    <x v="17"/>
    <x v="10"/>
    <x v="7"/>
    <n v="5"/>
    <n v="304.16666666666703"/>
    <n v="1095"/>
  </r>
  <r>
    <x v="0"/>
    <x v="0"/>
    <x v="0"/>
    <x v="3"/>
    <x v="4"/>
    <s v="LV_A3"/>
    <x v="10"/>
    <x v="17"/>
    <x v="10"/>
    <x v="8"/>
    <n v="5"/>
    <n v="304.16666666666703"/>
    <n v="1095"/>
  </r>
  <r>
    <x v="0"/>
    <x v="0"/>
    <x v="0"/>
    <x v="3"/>
    <x v="4"/>
    <s v="LV_A3"/>
    <x v="10"/>
    <x v="17"/>
    <x v="10"/>
    <x v="9"/>
    <n v="5"/>
    <n v="304.16666666666703"/>
    <n v="1095"/>
  </r>
  <r>
    <x v="0"/>
    <x v="0"/>
    <x v="0"/>
    <x v="3"/>
    <x v="4"/>
    <s v="LV_A3"/>
    <x v="10"/>
    <x v="17"/>
    <x v="10"/>
    <x v="10"/>
    <n v="5"/>
    <n v="304.16666666666703"/>
    <n v="1095"/>
  </r>
  <r>
    <x v="0"/>
    <x v="0"/>
    <x v="0"/>
    <x v="3"/>
    <x v="4"/>
    <s v="LV_A3"/>
    <x v="10"/>
    <x v="17"/>
    <x v="10"/>
    <x v="11"/>
    <n v="5"/>
    <n v="304.16666666666703"/>
    <n v="1095"/>
  </r>
  <r>
    <x v="0"/>
    <x v="0"/>
    <x v="0"/>
    <x v="3"/>
    <x v="4"/>
    <s v="LV_A3"/>
    <x v="10"/>
    <x v="17"/>
    <x v="11"/>
    <x v="0"/>
    <n v="5"/>
    <n v="304.16666666666703"/>
    <n v="1095"/>
  </r>
  <r>
    <x v="0"/>
    <x v="0"/>
    <x v="0"/>
    <x v="3"/>
    <x v="4"/>
    <s v="LV_A3"/>
    <x v="10"/>
    <x v="17"/>
    <x v="11"/>
    <x v="1"/>
    <n v="5"/>
    <n v="304.16666666666703"/>
    <n v="1095"/>
  </r>
  <r>
    <x v="0"/>
    <x v="0"/>
    <x v="0"/>
    <x v="3"/>
    <x v="4"/>
    <s v="LV_A3"/>
    <x v="10"/>
    <x v="17"/>
    <x v="11"/>
    <x v="2"/>
    <n v="5"/>
    <n v="304.16666666666703"/>
    <n v="1095"/>
  </r>
  <r>
    <x v="0"/>
    <x v="0"/>
    <x v="0"/>
    <x v="3"/>
    <x v="4"/>
    <s v="LV_A3"/>
    <x v="10"/>
    <x v="17"/>
    <x v="11"/>
    <x v="3"/>
    <n v="5"/>
    <n v="304.16666666666703"/>
    <n v="1095"/>
  </r>
  <r>
    <x v="0"/>
    <x v="0"/>
    <x v="0"/>
    <x v="3"/>
    <x v="4"/>
    <s v="LV_A3"/>
    <x v="10"/>
    <x v="17"/>
    <x v="11"/>
    <x v="4"/>
    <n v="5"/>
    <n v="304.16666666666703"/>
    <n v="1095"/>
  </r>
  <r>
    <x v="0"/>
    <x v="0"/>
    <x v="0"/>
    <x v="3"/>
    <x v="4"/>
    <s v="LV_A3"/>
    <x v="10"/>
    <x v="17"/>
    <x v="11"/>
    <x v="5"/>
    <n v="5"/>
    <n v="304.16666666666703"/>
    <n v="1095"/>
  </r>
  <r>
    <x v="0"/>
    <x v="0"/>
    <x v="0"/>
    <x v="3"/>
    <x v="4"/>
    <s v="LV_A3"/>
    <x v="10"/>
    <x v="17"/>
    <x v="11"/>
    <x v="6"/>
    <n v="5"/>
    <n v="304.16666666666703"/>
    <n v="1095"/>
  </r>
  <r>
    <x v="0"/>
    <x v="0"/>
    <x v="0"/>
    <x v="3"/>
    <x v="4"/>
    <s v="LV_A3"/>
    <x v="10"/>
    <x v="17"/>
    <x v="11"/>
    <x v="7"/>
    <n v="5"/>
    <n v="304.16666666666703"/>
    <n v="1095"/>
  </r>
  <r>
    <x v="0"/>
    <x v="0"/>
    <x v="0"/>
    <x v="3"/>
    <x v="4"/>
    <s v="LV_A3"/>
    <x v="10"/>
    <x v="17"/>
    <x v="11"/>
    <x v="8"/>
    <n v="5"/>
    <n v="304.16666666666703"/>
    <n v="1095"/>
  </r>
  <r>
    <x v="0"/>
    <x v="0"/>
    <x v="0"/>
    <x v="3"/>
    <x v="4"/>
    <s v="LV_A3"/>
    <x v="10"/>
    <x v="17"/>
    <x v="11"/>
    <x v="9"/>
    <n v="5"/>
    <n v="304.16666666666703"/>
    <n v="1095"/>
  </r>
  <r>
    <x v="0"/>
    <x v="0"/>
    <x v="0"/>
    <x v="3"/>
    <x v="4"/>
    <s v="LV_A3"/>
    <x v="10"/>
    <x v="17"/>
    <x v="11"/>
    <x v="10"/>
    <n v="5"/>
    <n v="304.16666666666703"/>
    <n v="1095"/>
  </r>
  <r>
    <x v="0"/>
    <x v="0"/>
    <x v="0"/>
    <x v="3"/>
    <x v="4"/>
    <s v="LV_A3"/>
    <x v="10"/>
    <x v="17"/>
    <x v="11"/>
    <x v="11"/>
    <n v="5"/>
    <n v="304.16666666666703"/>
    <n v="1095"/>
  </r>
  <r>
    <x v="0"/>
    <x v="0"/>
    <x v="0"/>
    <x v="3"/>
    <x v="4"/>
    <s v="LV_A3"/>
    <x v="12"/>
    <x v="20"/>
    <x v="0"/>
    <x v="0"/>
    <n v="1.7"/>
    <n v="103.416666666667"/>
    <n v="372.3"/>
  </r>
  <r>
    <x v="0"/>
    <x v="0"/>
    <x v="0"/>
    <x v="3"/>
    <x v="4"/>
    <s v="LV_A3"/>
    <x v="12"/>
    <x v="20"/>
    <x v="0"/>
    <x v="1"/>
    <n v="1.7"/>
    <n v="103.416666666667"/>
    <n v="372.3"/>
  </r>
  <r>
    <x v="0"/>
    <x v="0"/>
    <x v="0"/>
    <x v="3"/>
    <x v="4"/>
    <s v="LV_A3"/>
    <x v="12"/>
    <x v="20"/>
    <x v="0"/>
    <x v="2"/>
    <n v="1.7"/>
    <n v="103.416666666667"/>
    <n v="372.3"/>
  </r>
  <r>
    <x v="0"/>
    <x v="0"/>
    <x v="0"/>
    <x v="3"/>
    <x v="4"/>
    <s v="LV_A3"/>
    <x v="12"/>
    <x v="20"/>
    <x v="0"/>
    <x v="3"/>
    <n v="1.7"/>
    <n v="103.416666666667"/>
    <n v="372.3"/>
  </r>
  <r>
    <x v="0"/>
    <x v="0"/>
    <x v="0"/>
    <x v="3"/>
    <x v="4"/>
    <s v="LV_A3"/>
    <x v="12"/>
    <x v="20"/>
    <x v="0"/>
    <x v="4"/>
    <n v="1.7"/>
    <n v="103.416666666667"/>
    <n v="372.3"/>
  </r>
  <r>
    <x v="0"/>
    <x v="0"/>
    <x v="0"/>
    <x v="3"/>
    <x v="4"/>
    <s v="LV_A3"/>
    <x v="12"/>
    <x v="20"/>
    <x v="0"/>
    <x v="5"/>
    <n v="1.7"/>
    <n v="103.416666666667"/>
    <n v="372.3"/>
  </r>
  <r>
    <x v="0"/>
    <x v="0"/>
    <x v="0"/>
    <x v="3"/>
    <x v="4"/>
    <s v="LV_A3"/>
    <x v="12"/>
    <x v="20"/>
    <x v="0"/>
    <x v="6"/>
    <n v="1.7"/>
    <n v="103.416666666667"/>
    <n v="372.3"/>
  </r>
  <r>
    <x v="0"/>
    <x v="0"/>
    <x v="0"/>
    <x v="3"/>
    <x v="4"/>
    <s v="LV_A3"/>
    <x v="12"/>
    <x v="20"/>
    <x v="0"/>
    <x v="7"/>
    <n v="1.7"/>
    <n v="103.416666666667"/>
    <n v="372.3"/>
  </r>
  <r>
    <x v="0"/>
    <x v="0"/>
    <x v="0"/>
    <x v="3"/>
    <x v="4"/>
    <s v="LV_A3"/>
    <x v="12"/>
    <x v="20"/>
    <x v="0"/>
    <x v="8"/>
    <n v="1.7"/>
    <n v="103.416666666667"/>
    <n v="372.3"/>
  </r>
  <r>
    <x v="0"/>
    <x v="0"/>
    <x v="0"/>
    <x v="3"/>
    <x v="4"/>
    <s v="LV_A3"/>
    <x v="12"/>
    <x v="20"/>
    <x v="0"/>
    <x v="9"/>
    <n v="1.7"/>
    <n v="103.416666666667"/>
    <n v="372.3"/>
  </r>
  <r>
    <x v="0"/>
    <x v="0"/>
    <x v="0"/>
    <x v="3"/>
    <x v="4"/>
    <s v="LV_A3"/>
    <x v="12"/>
    <x v="20"/>
    <x v="0"/>
    <x v="10"/>
    <n v="1.7"/>
    <n v="103.416666666667"/>
    <n v="372.3"/>
  </r>
  <r>
    <x v="0"/>
    <x v="0"/>
    <x v="0"/>
    <x v="3"/>
    <x v="4"/>
    <s v="LV_A3"/>
    <x v="12"/>
    <x v="20"/>
    <x v="0"/>
    <x v="11"/>
    <n v="1.7"/>
    <n v="103.416666666667"/>
    <n v="372.3"/>
  </r>
  <r>
    <x v="0"/>
    <x v="0"/>
    <x v="0"/>
    <x v="3"/>
    <x v="4"/>
    <s v="LV_A3"/>
    <x v="12"/>
    <x v="20"/>
    <x v="1"/>
    <x v="0"/>
    <n v="1.7"/>
    <n v="103.416666666667"/>
    <n v="372.3"/>
  </r>
  <r>
    <x v="0"/>
    <x v="0"/>
    <x v="0"/>
    <x v="3"/>
    <x v="4"/>
    <s v="LV_A3"/>
    <x v="12"/>
    <x v="20"/>
    <x v="1"/>
    <x v="1"/>
    <n v="1.7"/>
    <n v="103.416666666667"/>
    <n v="372.3"/>
  </r>
  <r>
    <x v="0"/>
    <x v="0"/>
    <x v="0"/>
    <x v="3"/>
    <x v="4"/>
    <s v="LV_A3"/>
    <x v="12"/>
    <x v="20"/>
    <x v="1"/>
    <x v="2"/>
    <n v="1.7"/>
    <n v="103.416666666667"/>
    <n v="372.3"/>
  </r>
  <r>
    <x v="0"/>
    <x v="0"/>
    <x v="0"/>
    <x v="3"/>
    <x v="4"/>
    <s v="LV_A3"/>
    <x v="12"/>
    <x v="20"/>
    <x v="1"/>
    <x v="3"/>
    <n v="1.7"/>
    <n v="103.416666666667"/>
    <n v="372.3"/>
  </r>
  <r>
    <x v="0"/>
    <x v="0"/>
    <x v="0"/>
    <x v="3"/>
    <x v="4"/>
    <s v="LV_A3"/>
    <x v="12"/>
    <x v="20"/>
    <x v="1"/>
    <x v="4"/>
    <n v="1.7"/>
    <n v="103.416666666667"/>
    <n v="372.3"/>
  </r>
  <r>
    <x v="0"/>
    <x v="0"/>
    <x v="0"/>
    <x v="3"/>
    <x v="4"/>
    <s v="LV_A3"/>
    <x v="12"/>
    <x v="20"/>
    <x v="1"/>
    <x v="5"/>
    <n v="1.7"/>
    <n v="103.416666666667"/>
    <n v="372.3"/>
  </r>
  <r>
    <x v="0"/>
    <x v="0"/>
    <x v="0"/>
    <x v="3"/>
    <x v="4"/>
    <s v="LV_A3"/>
    <x v="12"/>
    <x v="20"/>
    <x v="1"/>
    <x v="6"/>
    <n v="1.7"/>
    <n v="103.416666666667"/>
    <n v="372.3"/>
  </r>
  <r>
    <x v="0"/>
    <x v="0"/>
    <x v="0"/>
    <x v="3"/>
    <x v="4"/>
    <s v="LV_A3"/>
    <x v="12"/>
    <x v="20"/>
    <x v="1"/>
    <x v="7"/>
    <n v="1.7"/>
    <n v="103.416666666667"/>
    <n v="372.3"/>
  </r>
  <r>
    <x v="0"/>
    <x v="0"/>
    <x v="0"/>
    <x v="3"/>
    <x v="4"/>
    <s v="LV_A3"/>
    <x v="12"/>
    <x v="20"/>
    <x v="1"/>
    <x v="8"/>
    <n v="1.7"/>
    <n v="103.416666666667"/>
    <n v="372.3"/>
  </r>
  <r>
    <x v="0"/>
    <x v="0"/>
    <x v="0"/>
    <x v="3"/>
    <x v="4"/>
    <s v="LV_A3"/>
    <x v="12"/>
    <x v="20"/>
    <x v="1"/>
    <x v="9"/>
    <n v="1.7"/>
    <n v="103.416666666667"/>
    <n v="372.3"/>
  </r>
  <r>
    <x v="0"/>
    <x v="0"/>
    <x v="0"/>
    <x v="3"/>
    <x v="4"/>
    <s v="LV_A3"/>
    <x v="12"/>
    <x v="20"/>
    <x v="1"/>
    <x v="10"/>
    <n v="1.7"/>
    <n v="103.416666666667"/>
    <n v="372.3"/>
  </r>
  <r>
    <x v="0"/>
    <x v="0"/>
    <x v="0"/>
    <x v="3"/>
    <x v="4"/>
    <s v="LV_A3"/>
    <x v="12"/>
    <x v="20"/>
    <x v="1"/>
    <x v="11"/>
    <n v="1.7"/>
    <n v="103.416666666667"/>
    <n v="372.3"/>
  </r>
  <r>
    <x v="0"/>
    <x v="0"/>
    <x v="0"/>
    <x v="3"/>
    <x v="4"/>
    <s v="LV_A3"/>
    <x v="12"/>
    <x v="20"/>
    <x v="2"/>
    <x v="0"/>
    <n v="1.7"/>
    <n v="103.416666666667"/>
    <n v="372.3"/>
  </r>
  <r>
    <x v="0"/>
    <x v="0"/>
    <x v="0"/>
    <x v="3"/>
    <x v="4"/>
    <s v="LV_A3"/>
    <x v="12"/>
    <x v="20"/>
    <x v="2"/>
    <x v="1"/>
    <n v="1.7"/>
    <n v="103.416666666667"/>
    <n v="372.3"/>
  </r>
  <r>
    <x v="0"/>
    <x v="0"/>
    <x v="0"/>
    <x v="3"/>
    <x v="4"/>
    <s v="LV_A3"/>
    <x v="12"/>
    <x v="20"/>
    <x v="2"/>
    <x v="2"/>
    <n v="1.7"/>
    <n v="103.416666666667"/>
    <n v="372.3"/>
  </r>
  <r>
    <x v="0"/>
    <x v="0"/>
    <x v="0"/>
    <x v="3"/>
    <x v="4"/>
    <s v="LV_A3"/>
    <x v="12"/>
    <x v="20"/>
    <x v="2"/>
    <x v="3"/>
    <n v="1.7"/>
    <n v="103.416666666667"/>
    <n v="372.3"/>
  </r>
  <r>
    <x v="0"/>
    <x v="0"/>
    <x v="0"/>
    <x v="3"/>
    <x v="4"/>
    <s v="LV_A3"/>
    <x v="12"/>
    <x v="20"/>
    <x v="2"/>
    <x v="4"/>
    <n v="1.7"/>
    <n v="103.416666666667"/>
    <n v="372.3"/>
  </r>
  <r>
    <x v="0"/>
    <x v="0"/>
    <x v="0"/>
    <x v="3"/>
    <x v="4"/>
    <s v="LV_A3"/>
    <x v="12"/>
    <x v="20"/>
    <x v="2"/>
    <x v="5"/>
    <n v="1.7"/>
    <n v="103.416666666667"/>
    <n v="372.3"/>
  </r>
  <r>
    <x v="0"/>
    <x v="0"/>
    <x v="0"/>
    <x v="3"/>
    <x v="4"/>
    <s v="LV_A3"/>
    <x v="12"/>
    <x v="20"/>
    <x v="2"/>
    <x v="6"/>
    <n v="1.7"/>
    <n v="103.416666666667"/>
    <n v="372.3"/>
  </r>
  <r>
    <x v="0"/>
    <x v="0"/>
    <x v="0"/>
    <x v="3"/>
    <x v="4"/>
    <s v="LV_A3"/>
    <x v="12"/>
    <x v="20"/>
    <x v="2"/>
    <x v="7"/>
    <n v="1.7"/>
    <n v="103.416666666667"/>
    <n v="372.3"/>
  </r>
  <r>
    <x v="0"/>
    <x v="0"/>
    <x v="0"/>
    <x v="3"/>
    <x v="4"/>
    <s v="LV_A3"/>
    <x v="12"/>
    <x v="20"/>
    <x v="2"/>
    <x v="8"/>
    <n v="1.7"/>
    <n v="103.416666666667"/>
    <n v="372.3"/>
  </r>
  <r>
    <x v="0"/>
    <x v="0"/>
    <x v="0"/>
    <x v="3"/>
    <x v="4"/>
    <s v="LV_A3"/>
    <x v="12"/>
    <x v="20"/>
    <x v="2"/>
    <x v="9"/>
    <n v="1.7"/>
    <n v="103.416666666667"/>
    <n v="372.3"/>
  </r>
  <r>
    <x v="0"/>
    <x v="0"/>
    <x v="0"/>
    <x v="3"/>
    <x v="4"/>
    <s v="LV_A3"/>
    <x v="12"/>
    <x v="20"/>
    <x v="2"/>
    <x v="10"/>
    <n v="1.7"/>
    <n v="103.416666666667"/>
    <n v="372.3"/>
  </r>
  <r>
    <x v="0"/>
    <x v="0"/>
    <x v="0"/>
    <x v="3"/>
    <x v="4"/>
    <s v="LV_A3"/>
    <x v="12"/>
    <x v="20"/>
    <x v="2"/>
    <x v="11"/>
    <n v="1.7"/>
    <n v="103.416666666667"/>
    <n v="372.3"/>
  </r>
  <r>
    <x v="0"/>
    <x v="0"/>
    <x v="0"/>
    <x v="3"/>
    <x v="4"/>
    <s v="LV_A3"/>
    <x v="12"/>
    <x v="20"/>
    <x v="3"/>
    <x v="0"/>
    <n v="1.7"/>
    <n v="103.416666666667"/>
    <n v="372.3"/>
  </r>
  <r>
    <x v="0"/>
    <x v="0"/>
    <x v="0"/>
    <x v="3"/>
    <x v="4"/>
    <s v="LV_A3"/>
    <x v="12"/>
    <x v="20"/>
    <x v="3"/>
    <x v="1"/>
    <n v="1.7"/>
    <n v="103.416666666667"/>
    <n v="372.3"/>
  </r>
  <r>
    <x v="0"/>
    <x v="0"/>
    <x v="0"/>
    <x v="3"/>
    <x v="4"/>
    <s v="LV_A3"/>
    <x v="12"/>
    <x v="20"/>
    <x v="3"/>
    <x v="2"/>
    <n v="1.7"/>
    <n v="103.416666666667"/>
    <n v="372.3"/>
  </r>
  <r>
    <x v="0"/>
    <x v="0"/>
    <x v="0"/>
    <x v="3"/>
    <x v="4"/>
    <s v="LV_A3"/>
    <x v="12"/>
    <x v="20"/>
    <x v="3"/>
    <x v="3"/>
    <n v="1.7"/>
    <n v="103.416666666667"/>
    <n v="372.3"/>
  </r>
  <r>
    <x v="0"/>
    <x v="0"/>
    <x v="0"/>
    <x v="3"/>
    <x v="4"/>
    <s v="LV_A3"/>
    <x v="12"/>
    <x v="20"/>
    <x v="3"/>
    <x v="4"/>
    <n v="1.7"/>
    <n v="103.416666666667"/>
    <n v="372.3"/>
  </r>
  <r>
    <x v="0"/>
    <x v="0"/>
    <x v="0"/>
    <x v="3"/>
    <x v="4"/>
    <s v="LV_A3"/>
    <x v="12"/>
    <x v="20"/>
    <x v="3"/>
    <x v="5"/>
    <n v="1.7"/>
    <n v="103.416666666667"/>
    <n v="372.3"/>
  </r>
  <r>
    <x v="0"/>
    <x v="0"/>
    <x v="0"/>
    <x v="3"/>
    <x v="4"/>
    <s v="LV_A3"/>
    <x v="12"/>
    <x v="20"/>
    <x v="3"/>
    <x v="6"/>
    <n v="1.7"/>
    <n v="103.416666666667"/>
    <n v="372.3"/>
  </r>
  <r>
    <x v="0"/>
    <x v="0"/>
    <x v="0"/>
    <x v="3"/>
    <x v="4"/>
    <s v="LV_A3"/>
    <x v="12"/>
    <x v="20"/>
    <x v="3"/>
    <x v="7"/>
    <n v="1.7"/>
    <n v="103.416666666667"/>
    <n v="372.3"/>
  </r>
  <r>
    <x v="0"/>
    <x v="0"/>
    <x v="0"/>
    <x v="3"/>
    <x v="4"/>
    <s v="LV_A3"/>
    <x v="12"/>
    <x v="20"/>
    <x v="3"/>
    <x v="8"/>
    <n v="1.7"/>
    <n v="103.416666666667"/>
    <n v="372.3"/>
  </r>
  <r>
    <x v="0"/>
    <x v="0"/>
    <x v="0"/>
    <x v="3"/>
    <x v="4"/>
    <s v="LV_A3"/>
    <x v="12"/>
    <x v="20"/>
    <x v="3"/>
    <x v="9"/>
    <n v="1.7"/>
    <n v="103.416666666667"/>
    <n v="372.3"/>
  </r>
  <r>
    <x v="0"/>
    <x v="0"/>
    <x v="0"/>
    <x v="3"/>
    <x v="4"/>
    <s v="LV_A3"/>
    <x v="12"/>
    <x v="20"/>
    <x v="3"/>
    <x v="10"/>
    <n v="1.7"/>
    <n v="103.416666666667"/>
    <n v="372.3"/>
  </r>
  <r>
    <x v="0"/>
    <x v="0"/>
    <x v="0"/>
    <x v="3"/>
    <x v="4"/>
    <s v="LV_A3"/>
    <x v="12"/>
    <x v="20"/>
    <x v="3"/>
    <x v="11"/>
    <n v="1.7"/>
    <n v="103.416666666667"/>
    <n v="372.3"/>
  </r>
  <r>
    <x v="0"/>
    <x v="0"/>
    <x v="0"/>
    <x v="3"/>
    <x v="4"/>
    <s v="LV_A3"/>
    <x v="12"/>
    <x v="20"/>
    <x v="4"/>
    <x v="0"/>
    <n v="1.7"/>
    <n v="103.416666666667"/>
    <n v="372.3"/>
  </r>
  <r>
    <x v="0"/>
    <x v="0"/>
    <x v="0"/>
    <x v="3"/>
    <x v="4"/>
    <s v="LV_A3"/>
    <x v="12"/>
    <x v="20"/>
    <x v="4"/>
    <x v="1"/>
    <n v="1.7"/>
    <n v="103.416666666667"/>
    <n v="372.3"/>
  </r>
  <r>
    <x v="0"/>
    <x v="0"/>
    <x v="0"/>
    <x v="3"/>
    <x v="4"/>
    <s v="LV_A3"/>
    <x v="12"/>
    <x v="20"/>
    <x v="4"/>
    <x v="2"/>
    <n v="1.7"/>
    <n v="103.416666666667"/>
    <n v="372.3"/>
  </r>
  <r>
    <x v="0"/>
    <x v="0"/>
    <x v="0"/>
    <x v="3"/>
    <x v="4"/>
    <s v="LV_A3"/>
    <x v="12"/>
    <x v="20"/>
    <x v="4"/>
    <x v="3"/>
    <n v="1.7"/>
    <n v="103.416666666667"/>
    <n v="372.3"/>
  </r>
  <r>
    <x v="0"/>
    <x v="0"/>
    <x v="0"/>
    <x v="3"/>
    <x v="4"/>
    <s v="LV_A3"/>
    <x v="12"/>
    <x v="20"/>
    <x v="4"/>
    <x v="4"/>
    <n v="1.7"/>
    <n v="103.416666666667"/>
    <n v="372.3"/>
  </r>
  <r>
    <x v="0"/>
    <x v="0"/>
    <x v="0"/>
    <x v="3"/>
    <x v="4"/>
    <s v="LV_A3"/>
    <x v="12"/>
    <x v="20"/>
    <x v="4"/>
    <x v="5"/>
    <n v="1.7"/>
    <n v="103.416666666667"/>
    <n v="372.3"/>
  </r>
  <r>
    <x v="0"/>
    <x v="0"/>
    <x v="0"/>
    <x v="3"/>
    <x v="4"/>
    <s v="LV_A3"/>
    <x v="12"/>
    <x v="20"/>
    <x v="4"/>
    <x v="6"/>
    <n v="1.7"/>
    <n v="103.416666666667"/>
    <n v="372.3"/>
  </r>
  <r>
    <x v="0"/>
    <x v="0"/>
    <x v="0"/>
    <x v="3"/>
    <x v="4"/>
    <s v="LV_A3"/>
    <x v="12"/>
    <x v="20"/>
    <x v="4"/>
    <x v="7"/>
    <n v="1.7"/>
    <n v="103.416666666667"/>
    <n v="372.3"/>
  </r>
  <r>
    <x v="0"/>
    <x v="0"/>
    <x v="0"/>
    <x v="3"/>
    <x v="4"/>
    <s v="LV_A3"/>
    <x v="12"/>
    <x v="20"/>
    <x v="4"/>
    <x v="8"/>
    <n v="1.7"/>
    <n v="103.416666666667"/>
    <n v="372.3"/>
  </r>
  <r>
    <x v="0"/>
    <x v="0"/>
    <x v="0"/>
    <x v="3"/>
    <x v="4"/>
    <s v="LV_A3"/>
    <x v="12"/>
    <x v="20"/>
    <x v="4"/>
    <x v="9"/>
    <n v="1.7"/>
    <n v="103.416666666667"/>
    <n v="372.3"/>
  </r>
  <r>
    <x v="0"/>
    <x v="0"/>
    <x v="0"/>
    <x v="3"/>
    <x v="4"/>
    <s v="LV_A3"/>
    <x v="12"/>
    <x v="20"/>
    <x v="4"/>
    <x v="10"/>
    <n v="1.7"/>
    <n v="103.416666666667"/>
    <n v="372.3"/>
  </r>
  <r>
    <x v="0"/>
    <x v="0"/>
    <x v="0"/>
    <x v="3"/>
    <x v="4"/>
    <s v="LV_A3"/>
    <x v="12"/>
    <x v="20"/>
    <x v="4"/>
    <x v="11"/>
    <n v="1.7"/>
    <n v="103.416666666667"/>
    <n v="372.3"/>
  </r>
  <r>
    <x v="0"/>
    <x v="0"/>
    <x v="0"/>
    <x v="3"/>
    <x v="4"/>
    <s v="LV_A3"/>
    <x v="12"/>
    <x v="20"/>
    <x v="5"/>
    <x v="0"/>
    <n v="1.7"/>
    <n v="103.416666666667"/>
    <n v="372.3"/>
  </r>
  <r>
    <x v="0"/>
    <x v="0"/>
    <x v="0"/>
    <x v="3"/>
    <x v="4"/>
    <s v="LV_A3"/>
    <x v="12"/>
    <x v="20"/>
    <x v="5"/>
    <x v="1"/>
    <n v="1.7"/>
    <n v="103.416666666667"/>
    <n v="372.3"/>
  </r>
  <r>
    <x v="0"/>
    <x v="0"/>
    <x v="0"/>
    <x v="3"/>
    <x v="4"/>
    <s v="LV_A3"/>
    <x v="12"/>
    <x v="20"/>
    <x v="5"/>
    <x v="2"/>
    <n v="1.7"/>
    <n v="103.416666666667"/>
    <n v="372.3"/>
  </r>
  <r>
    <x v="0"/>
    <x v="0"/>
    <x v="0"/>
    <x v="3"/>
    <x v="4"/>
    <s v="LV_A3"/>
    <x v="12"/>
    <x v="20"/>
    <x v="5"/>
    <x v="3"/>
    <n v="1.7"/>
    <n v="103.416666666667"/>
    <n v="372.3"/>
  </r>
  <r>
    <x v="0"/>
    <x v="0"/>
    <x v="0"/>
    <x v="3"/>
    <x v="4"/>
    <s v="LV_A3"/>
    <x v="12"/>
    <x v="20"/>
    <x v="5"/>
    <x v="4"/>
    <n v="1.7"/>
    <n v="103.416666666667"/>
    <n v="372.3"/>
  </r>
  <r>
    <x v="0"/>
    <x v="0"/>
    <x v="0"/>
    <x v="3"/>
    <x v="4"/>
    <s v="LV_A3"/>
    <x v="12"/>
    <x v="20"/>
    <x v="5"/>
    <x v="5"/>
    <n v="1.7"/>
    <n v="103.416666666667"/>
    <n v="372.3"/>
  </r>
  <r>
    <x v="0"/>
    <x v="0"/>
    <x v="0"/>
    <x v="3"/>
    <x v="4"/>
    <s v="LV_A3"/>
    <x v="12"/>
    <x v="20"/>
    <x v="5"/>
    <x v="6"/>
    <n v="1.7"/>
    <n v="103.416666666667"/>
    <n v="372.3"/>
  </r>
  <r>
    <x v="0"/>
    <x v="0"/>
    <x v="0"/>
    <x v="3"/>
    <x v="4"/>
    <s v="LV_A3"/>
    <x v="12"/>
    <x v="20"/>
    <x v="5"/>
    <x v="7"/>
    <n v="1.7"/>
    <n v="103.416666666667"/>
    <n v="372.3"/>
  </r>
  <r>
    <x v="0"/>
    <x v="0"/>
    <x v="0"/>
    <x v="3"/>
    <x v="4"/>
    <s v="LV_A3"/>
    <x v="12"/>
    <x v="20"/>
    <x v="5"/>
    <x v="8"/>
    <n v="1.7"/>
    <n v="103.416666666667"/>
    <n v="372.3"/>
  </r>
  <r>
    <x v="0"/>
    <x v="0"/>
    <x v="0"/>
    <x v="3"/>
    <x v="4"/>
    <s v="LV_A3"/>
    <x v="12"/>
    <x v="20"/>
    <x v="5"/>
    <x v="9"/>
    <n v="1.7"/>
    <n v="103.416666666667"/>
    <n v="372.3"/>
  </r>
  <r>
    <x v="0"/>
    <x v="0"/>
    <x v="0"/>
    <x v="3"/>
    <x v="4"/>
    <s v="LV_A3"/>
    <x v="12"/>
    <x v="20"/>
    <x v="5"/>
    <x v="10"/>
    <n v="1.7"/>
    <n v="103.416666666667"/>
    <n v="372.3"/>
  </r>
  <r>
    <x v="0"/>
    <x v="0"/>
    <x v="0"/>
    <x v="3"/>
    <x v="4"/>
    <s v="LV_A3"/>
    <x v="12"/>
    <x v="20"/>
    <x v="5"/>
    <x v="11"/>
    <n v="1.7"/>
    <n v="103.416666666667"/>
    <n v="372.3"/>
  </r>
  <r>
    <x v="0"/>
    <x v="0"/>
    <x v="0"/>
    <x v="3"/>
    <x v="4"/>
    <s v="LV_A3"/>
    <x v="12"/>
    <x v="20"/>
    <x v="6"/>
    <x v="0"/>
    <n v="1.7"/>
    <n v="103.416666666667"/>
    <n v="372.3"/>
  </r>
  <r>
    <x v="0"/>
    <x v="0"/>
    <x v="0"/>
    <x v="3"/>
    <x v="4"/>
    <s v="LV_A3"/>
    <x v="12"/>
    <x v="20"/>
    <x v="6"/>
    <x v="1"/>
    <n v="1.7"/>
    <n v="103.416666666667"/>
    <n v="372.3"/>
  </r>
  <r>
    <x v="0"/>
    <x v="0"/>
    <x v="0"/>
    <x v="3"/>
    <x v="4"/>
    <s v="LV_A3"/>
    <x v="12"/>
    <x v="20"/>
    <x v="6"/>
    <x v="2"/>
    <n v="1.7"/>
    <n v="103.416666666667"/>
    <n v="372.3"/>
  </r>
  <r>
    <x v="0"/>
    <x v="0"/>
    <x v="0"/>
    <x v="3"/>
    <x v="4"/>
    <s v="LV_A3"/>
    <x v="12"/>
    <x v="20"/>
    <x v="6"/>
    <x v="3"/>
    <n v="1.7"/>
    <n v="103.416666666667"/>
    <n v="372.3"/>
  </r>
  <r>
    <x v="0"/>
    <x v="0"/>
    <x v="0"/>
    <x v="3"/>
    <x v="4"/>
    <s v="LV_A3"/>
    <x v="12"/>
    <x v="20"/>
    <x v="6"/>
    <x v="4"/>
    <n v="1.7"/>
    <n v="103.416666666667"/>
    <n v="372.3"/>
  </r>
  <r>
    <x v="0"/>
    <x v="0"/>
    <x v="0"/>
    <x v="3"/>
    <x v="4"/>
    <s v="LV_A3"/>
    <x v="12"/>
    <x v="20"/>
    <x v="6"/>
    <x v="5"/>
    <n v="1.7"/>
    <n v="103.416666666667"/>
    <n v="372.3"/>
  </r>
  <r>
    <x v="0"/>
    <x v="0"/>
    <x v="0"/>
    <x v="3"/>
    <x v="4"/>
    <s v="LV_A3"/>
    <x v="12"/>
    <x v="20"/>
    <x v="6"/>
    <x v="6"/>
    <n v="1.7"/>
    <n v="103.416666666667"/>
    <n v="372.3"/>
  </r>
  <r>
    <x v="0"/>
    <x v="0"/>
    <x v="0"/>
    <x v="3"/>
    <x v="4"/>
    <s v="LV_A3"/>
    <x v="12"/>
    <x v="20"/>
    <x v="6"/>
    <x v="7"/>
    <n v="1.7"/>
    <n v="103.416666666667"/>
    <n v="372.3"/>
  </r>
  <r>
    <x v="0"/>
    <x v="0"/>
    <x v="0"/>
    <x v="3"/>
    <x v="4"/>
    <s v="LV_A3"/>
    <x v="12"/>
    <x v="20"/>
    <x v="6"/>
    <x v="8"/>
    <n v="1.7"/>
    <n v="103.416666666667"/>
    <n v="372.3"/>
  </r>
  <r>
    <x v="0"/>
    <x v="0"/>
    <x v="0"/>
    <x v="3"/>
    <x v="4"/>
    <s v="LV_A3"/>
    <x v="12"/>
    <x v="20"/>
    <x v="6"/>
    <x v="9"/>
    <n v="1.7"/>
    <n v="103.416666666667"/>
    <n v="372.3"/>
  </r>
  <r>
    <x v="0"/>
    <x v="0"/>
    <x v="0"/>
    <x v="3"/>
    <x v="4"/>
    <s v="LV_A3"/>
    <x v="12"/>
    <x v="20"/>
    <x v="6"/>
    <x v="10"/>
    <n v="1.7"/>
    <n v="103.416666666667"/>
    <n v="372.3"/>
  </r>
  <r>
    <x v="0"/>
    <x v="0"/>
    <x v="0"/>
    <x v="3"/>
    <x v="4"/>
    <s v="LV_A3"/>
    <x v="12"/>
    <x v="20"/>
    <x v="6"/>
    <x v="11"/>
    <n v="1.7"/>
    <n v="103.416666666667"/>
    <n v="372.3"/>
  </r>
  <r>
    <x v="0"/>
    <x v="0"/>
    <x v="0"/>
    <x v="3"/>
    <x v="4"/>
    <s v="LV_A3"/>
    <x v="12"/>
    <x v="20"/>
    <x v="7"/>
    <x v="0"/>
    <n v="1.7"/>
    <n v="103.416666666667"/>
    <n v="372.3"/>
  </r>
  <r>
    <x v="0"/>
    <x v="0"/>
    <x v="0"/>
    <x v="3"/>
    <x v="4"/>
    <s v="LV_A3"/>
    <x v="12"/>
    <x v="20"/>
    <x v="7"/>
    <x v="1"/>
    <n v="1.7"/>
    <n v="103.416666666667"/>
    <n v="372.3"/>
  </r>
  <r>
    <x v="0"/>
    <x v="0"/>
    <x v="0"/>
    <x v="3"/>
    <x v="4"/>
    <s v="LV_A3"/>
    <x v="12"/>
    <x v="20"/>
    <x v="7"/>
    <x v="2"/>
    <n v="1.7"/>
    <n v="103.416666666667"/>
    <n v="372.3"/>
  </r>
  <r>
    <x v="0"/>
    <x v="0"/>
    <x v="0"/>
    <x v="3"/>
    <x v="4"/>
    <s v="LV_A3"/>
    <x v="12"/>
    <x v="20"/>
    <x v="7"/>
    <x v="3"/>
    <n v="1.7"/>
    <n v="103.416666666667"/>
    <n v="372.3"/>
  </r>
  <r>
    <x v="0"/>
    <x v="0"/>
    <x v="0"/>
    <x v="3"/>
    <x v="4"/>
    <s v="LV_A3"/>
    <x v="12"/>
    <x v="20"/>
    <x v="7"/>
    <x v="4"/>
    <n v="1.7"/>
    <n v="103.416666666667"/>
    <n v="372.3"/>
  </r>
  <r>
    <x v="0"/>
    <x v="0"/>
    <x v="0"/>
    <x v="3"/>
    <x v="4"/>
    <s v="LV_A3"/>
    <x v="12"/>
    <x v="20"/>
    <x v="7"/>
    <x v="5"/>
    <n v="1.7"/>
    <n v="103.416666666667"/>
    <n v="372.3"/>
  </r>
  <r>
    <x v="0"/>
    <x v="0"/>
    <x v="0"/>
    <x v="3"/>
    <x v="4"/>
    <s v="LV_A3"/>
    <x v="12"/>
    <x v="20"/>
    <x v="7"/>
    <x v="6"/>
    <n v="1.7"/>
    <n v="103.416666666667"/>
    <n v="372.3"/>
  </r>
  <r>
    <x v="0"/>
    <x v="0"/>
    <x v="0"/>
    <x v="3"/>
    <x v="4"/>
    <s v="LV_A3"/>
    <x v="12"/>
    <x v="20"/>
    <x v="7"/>
    <x v="7"/>
    <n v="1.7"/>
    <n v="103.416666666667"/>
    <n v="372.3"/>
  </r>
  <r>
    <x v="0"/>
    <x v="0"/>
    <x v="0"/>
    <x v="3"/>
    <x v="4"/>
    <s v="LV_A3"/>
    <x v="12"/>
    <x v="20"/>
    <x v="7"/>
    <x v="8"/>
    <n v="1.7"/>
    <n v="103.416666666667"/>
    <n v="372.3"/>
  </r>
  <r>
    <x v="0"/>
    <x v="0"/>
    <x v="0"/>
    <x v="3"/>
    <x v="4"/>
    <s v="LV_A3"/>
    <x v="12"/>
    <x v="20"/>
    <x v="7"/>
    <x v="9"/>
    <n v="1.7"/>
    <n v="103.416666666667"/>
    <n v="372.3"/>
  </r>
  <r>
    <x v="0"/>
    <x v="0"/>
    <x v="0"/>
    <x v="3"/>
    <x v="4"/>
    <s v="LV_A3"/>
    <x v="12"/>
    <x v="20"/>
    <x v="7"/>
    <x v="10"/>
    <n v="1.7"/>
    <n v="103.416666666667"/>
    <n v="372.3"/>
  </r>
  <r>
    <x v="0"/>
    <x v="0"/>
    <x v="0"/>
    <x v="3"/>
    <x v="4"/>
    <s v="LV_A3"/>
    <x v="12"/>
    <x v="20"/>
    <x v="7"/>
    <x v="11"/>
    <n v="1.7"/>
    <n v="103.416666666667"/>
    <n v="372.3"/>
  </r>
  <r>
    <x v="0"/>
    <x v="0"/>
    <x v="0"/>
    <x v="3"/>
    <x v="4"/>
    <s v="LV_A3"/>
    <x v="12"/>
    <x v="20"/>
    <x v="8"/>
    <x v="0"/>
    <n v="1.7"/>
    <n v="103.416666666667"/>
    <n v="372.3"/>
  </r>
  <r>
    <x v="0"/>
    <x v="0"/>
    <x v="0"/>
    <x v="3"/>
    <x v="4"/>
    <s v="LV_A3"/>
    <x v="12"/>
    <x v="20"/>
    <x v="8"/>
    <x v="1"/>
    <n v="1.7"/>
    <n v="103.416666666667"/>
    <n v="372.3"/>
  </r>
  <r>
    <x v="0"/>
    <x v="0"/>
    <x v="0"/>
    <x v="3"/>
    <x v="4"/>
    <s v="LV_A3"/>
    <x v="12"/>
    <x v="20"/>
    <x v="8"/>
    <x v="2"/>
    <n v="1.7"/>
    <n v="103.416666666667"/>
    <n v="372.3"/>
  </r>
  <r>
    <x v="0"/>
    <x v="0"/>
    <x v="0"/>
    <x v="3"/>
    <x v="4"/>
    <s v="LV_A3"/>
    <x v="12"/>
    <x v="20"/>
    <x v="8"/>
    <x v="3"/>
    <n v="1.7"/>
    <n v="103.416666666667"/>
    <n v="372.3"/>
  </r>
  <r>
    <x v="0"/>
    <x v="0"/>
    <x v="0"/>
    <x v="3"/>
    <x v="4"/>
    <s v="LV_A3"/>
    <x v="12"/>
    <x v="20"/>
    <x v="8"/>
    <x v="4"/>
    <n v="1.7"/>
    <n v="103.416666666667"/>
    <n v="372.3"/>
  </r>
  <r>
    <x v="0"/>
    <x v="0"/>
    <x v="0"/>
    <x v="3"/>
    <x v="4"/>
    <s v="LV_A3"/>
    <x v="12"/>
    <x v="20"/>
    <x v="8"/>
    <x v="5"/>
    <n v="1.7"/>
    <n v="103.416666666667"/>
    <n v="372.3"/>
  </r>
  <r>
    <x v="0"/>
    <x v="0"/>
    <x v="0"/>
    <x v="3"/>
    <x v="4"/>
    <s v="LV_A3"/>
    <x v="12"/>
    <x v="20"/>
    <x v="8"/>
    <x v="6"/>
    <n v="1.7"/>
    <n v="103.416666666667"/>
    <n v="372.3"/>
  </r>
  <r>
    <x v="0"/>
    <x v="0"/>
    <x v="0"/>
    <x v="3"/>
    <x v="4"/>
    <s v="LV_A3"/>
    <x v="12"/>
    <x v="20"/>
    <x v="8"/>
    <x v="7"/>
    <n v="1.7"/>
    <n v="103.416666666667"/>
    <n v="372.3"/>
  </r>
  <r>
    <x v="0"/>
    <x v="0"/>
    <x v="0"/>
    <x v="3"/>
    <x v="4"/>
    <s v="LV_A3"/>
    <x v="12"/>
    <x v="20"/>
    <x v="8"/>
    <x v="8"/>
    <n v="1.7"/>
    <n v="103.416666666667"/>
    <n v="372.3"/>
  </r>
  <r>
    <x v="0"/>
    <x v="0"/>
    <x v="0"/>
    <x v="3"/>
    <x v="4"/>
    <s v="LV_A3"/>
    <x v="12"/>
    <x v="20"/>
    <x v="8"/>
    <x v="9"/>
    <n v="1.7"/>
    <n v="103.416666666667"/>
    <n v="372.3"/>
  </r>
  <r>
    <x v="0"/>
    <x v="0"/>
    <x v="0"/>
    <x v="3"/>
    <x v="4"/>
    <s v="LV_A3"/>
    <x v="12"/>
    <x v="20"/>
    <x v="8"/>
    <x v="10"/>
    <n v="1.7"/>
    <n v="103.416666666667"/>
    <n v="372.3"/>
  </r>
  <r>
    <x v="0"/>
    <x v="0"/>
    <x v="0"/>
    <x v="3"/>
    <x v="4"/>
    <s v="LV_A3"/>
    <x v="12"/>
    <x v="20"/>
    <x v="8"/>
    <x v="11"/>
    <n v="1.7"/>
    <n v="103.416666666667"/>
    <n v="372.3"/>
  </r>
  <r>
    <x v="0"/>
    <x v="0"/>
    <x v="0"/>
    <x v="3"/>
    <x v="4"/>
    <s v="LV_A3"/>
    <x v="12"/>
    <x v="20"/>
    <x v="9"/>
    <x v="0"/>
    <n v="1.7"/>
    <n v="103.416666666667"/>
    <n v="372.3"/>
  </r>
  <r>
    <x v="0"/>
    <x v="0"/>
    <x v="0"/>
    <x v="3"/>
    <x v="4"/>
    <s v="LV_A3"/>
    <x v="12"/>
    <x v="20"/>
    <x v="9"/>
    <x v="1"/>
    <n v="1.7"/>
    <n v="103.416666666667"/>
    <n v="372.3"/>
  </r>
  <r>
    <x v="0"/>
    <x v="0"/>
    <x v="0"/>
    <x v="3"/>
    <x v="4"/>
    <s v="LV_A3"/>
    <x v="12"/>
    <x v="20"/>
    <x v="9"/>
    <x v="2"/>
    <n v="1.7"/>
    <n v="103.416666666667"/>
    <n v="372.3"/>
  </r>
  <r>
    <x v="0"/>
    <x v="0"/>
    <x v="0"/>
    <x v="3"/>
    <x v="4"/>
    <s v="LV_A3"/>
    <x v="12"/>
    <x v="20"/>
    <x v="9"/>
    <x v="3"/>
    <n v="1.7"/>
    <n v="103.416666666667"/>
    <n v="372.3"/>
  </r>
  <r>
    <x v="0"/>
    <x v="0"/>
    <x v="0"/>
    <x v="3"/>
    <x v="4"/>
    <s v="LV_A3"/>
    <x v="12"/>
    <x v="20"/>
    <x v="9"/>
    <x v="4"/>
    <n v="1.7"/>
    <n v="103.416666666667"/>
    <n v="372.3"/>
  </r>
  <r>
    <x v="0"/>
    <x v="0"/>
    <x v="0"/>
    <x v="3"/>
    <x v="4"/>
    <s v="LV_A3"/>
    <x v="12"/>
    <x v="20"/>
    <x v="9"/>
    <x v="5"/>
    <n v="1.7"/>
    <n v="103.416666666667"/>
    <n v="372.3"/>
  </r>
  <r>
    <x v="0"/>
    <x v="0"/>
    <x v="0"/>
    <x v="3"/>
    <x v="4"/>
    <s v="LV_A3"/>
    <x v="12"/>
    <x v="20"/>
    <x v="9"/>
    <x v="6"/>
    <n v="1.7"/>
    <n v="103.416666666667"/>
    <n v="372.3"/>
  </r>
  <r>
    <x v="0"/>
    <x v="0"/>
    <x v="0"/>
    <x v="3"/>
    <x v="4"/>
    <s v="LV_A3"/>
    <x v="12"/>
    <x v="20"/>
    <x v="9"/>
    <x v="7"/>
    <n v="1.7"/>
    <n v="103.416666666667"/>
    <n v="372.3"/>
  </r>
  <r>
    <x v="0"/>
    <x v="0"/>
    <x v="0"/>
    <x v="3"/>
    <x v="4"/>
    <s v="LV_A3"/>
    <x v="12"/>
    <x v="20"/>
    <x v="9"/>
    <x v="8"/>
    <n v="1.7"/>
    <n v="103.416666666667"/>
    <n v="372.3"/>
  </r>
  <r>
    <x v="0"/>
    <x v="0"/>
    <x v="0"/>
    <x v="3"/>
    <x v="4"/>
    <s v="LV_A3"/>
    <x v="12"/>
    <x v="20"/>
    <x v="9"/>
    <x v="9"/>
    <n v="1.7"/>
    <n v="103.416666666667"/>
    <n v="372.3"/>
  </r>
  <r>
    <x v="0"/>
    <x v="0"/>
    <x v="0"/>
    <x v="3"/>
    <x v="4"/>
    <s v="LV_A3"/>
    <x v="12"/>
    <x v="20"/>
    <x v="9"/>
    <x v="10"/>
    <n v="1.7"/>
    <n v="103.416666666667"/>
    <n v="372.3"/>
  </r>
  <r>
    <x v="0"/>
    <x v="0"/>
    <x v="0"/>
    <x v="3"/>
    <x v="4"/>
    <s v="LV_A3"/>
    <x v="12"/>
    <x v="20"/>
    <x v="9"/>
    <x v="11"/>
    <n v="1.7"/>
    <n v="103.416666666667"/>
    <n v="372.3"/>
  </r>
  <r>
    <x v="0"/>
    <x v="0"/>
    <x v="0"/>
    <x v="3"/>
    <x v="4"/>
    <s v="LV_A3"/>
    <x v="12"/>
    <x v="20"/>
    <x v="10"/>
    <x v="0"/>
    <n v="1.7"/>
    <n v="103.416666666667"/>
    <n v="372.3"/>
  </r>
  <r>
    <x v="0"/>
    <x v="0"/>
    <x v="0"/>
    <x v="3"/>
    <x v="4"/>
    <s v="LV_A3"/>
    <x v="12"/>
    <x v="20"/>
    <x v="10"/>
    <x v="1"/>
    <n v="1.7"/>
    <n v="103.416666666667"/>
    <n v="372.3"/>
  </r>
  <r>
    <x v="0"/>
    <x v="0"/>
    <x v="0"/>
    <x v="3"/>
    <x v="4"/>
    <s v="LV_A3"/>
    <x v="12"/>
    <x v="20"/>
    <x v="10"/>
    <x v="2"/>
    <n v="1.7"/>
    <n v="103.416666666667"/>
    <n v="372.3"/>
  </r>
  <r>
    <x v="0"/>
    <x v="0"/>
    <x v="0"/>
    <x v="3"/>
    <x v="4"/>
    <s v="LV_A3"/>
    <x v="12"/>
    <x v="20"/>
    <x v="10"/>
    <x v="3"/>
    <n v="1.7"/>
    <n v="103.416666666667"/>
    <n v="372.3"/>
  </r>
  <r>
    <x v="0"/>
    <x v="0"/>
    <x v="0"/>
    <x v="3"/>
    <x v="4"/>
    <s v="LV_A3"/>
    <x v="12"/>
    <x v="20"/>
    <x v="10"/>
    <x v="4"/>
    <n v="1.7"/>
    <n v="103.416666666667"/>
    <n v="372.3"/>
  </r>
  <r>
    <x v="0"/>
    <x v="0"/>
    <x v="0"/>
    <x v="3"/>
    <x v="4"/>
    <s v="LV_A3"/>
    <x v="12"/>
    <x v="20"/>
    <x v="10"/>
    <x v="5"/>
    <n v="1.7"/>
    <n v="103.416666666667"/>
    <n v="372.3"/>
  </r>
  <r>
    <x v="0"/>
    <x v="0"/>
    <x v="0"/>
    <x v="3"/>
    <x v="4"/>
    <s v="LV_A3"/>
    <x v="12"/>
    <x v="20"/>
    <x v="10"/>
    <x v="6"/>
    <n v="1.7"/>
    <n v="103.416666666667"/>
    <n v="372.3"/>
  </r>
  <r>
    <x v="0"/>
    <x v="0"/>
    <x v="0"/>
    <x v="3"/>
    <x v="4"/>
    <s v="LV_A3"/>
    <x v="12"/>
    <x v="20"/>
    <x v="10"/>
    <x v="7"/>
    <n v="1.7"/>
    <n v="103.416666666667"/>
    <n v="372.3"/>
  </r>
  <r>
    <x v="0"/>
    <x v="0"/>
    <x v="0"/>
    <x v="3"/>
    <x v="4"/>
    <s v="LV_A3"/>
    <x v="12"/>
    <x v="20"/>
    <x v="10"/>
    <x v="8"/>
    <n v="1.7"/>
    <n v="103.416666666667"/>
    <n v="372.3"/>
  </r>
  <r>
    <x v="0"/>
    <x v="0"/>
    <x v="0"/>
    <x v="3"/>
    <x v="4"/>
    <s v="LV_A3"/>
    <x v="12"/>
    <x v="20"/>
    <x v="10"/>
    <x v="9"/>
    <n v="1.7"/>
    <n v="103.416666666667"/>
    <n v="372.3"/>
  </r>
  <r>
    <x v="0"/>
    <x v="0"/>
    <x v="0"/>
    <x v="3"/>
    <x v="4"/>
    <s v="LV_A3"/>
    <x v="12"/>
    <x v="20"/>
    <x v="10"/>
    <x v="10"/>
    <n v="1.7"/>
    <n v="103.416666666667"/>
    <n v="372.3"/>
  </r>
  <r>
    <x v="0"/>
    <x v="0"/>
    <x v="0"/>
    <x v="3"/>
    <x v="4"/>
    <s v="LV_A3"/>
    <x v="12"/>
    <x v="20"/>
    <x v="11"/>
    <x v="0"/>
    <n v="1.7"/>
    <n v="103.416666666667"/>
    <n v="372.3"/>
  </r>
  <r>
    <x v="0"/>
    <x v="0"/>
    <x v="0"/>
    <x v="3"/>
    <x v="4"/>
    <s v="LV_A3"/>
    <x v="12"/>
    <x v="20"/>
    <x v="11"/>
    <x v="1"/>
    <n v="1.7"/>
    <n v="103.416666666667"/>
    <n v="372.3"/>
  </r>
  <r>
    <x v="0"/>
    <x v="0"/>
    <x v="0"/>
    <x v="3"/>
    <x v="4"/>
    <s v="LV_A3"/>
    <x v="12"/>
    <x v="20"/>
    <x v="11"/>
    <x v="2"/>
    <n v="1.7"/>
    <n v="103.416666666667"/>
    <n v="372.3"/>
  </r>
  <r>
    <x v="0"/>
    <x v="0"/>
    <x v="0"/>
    <x v="3"/>
    <x v="4"/>
    <s v="LV_A3"/>
    <x v="12"/>
    <x v="20"/>
    <x v="11"/>
    <x v="3"/>
    <n v="1.7"/>
    <n v="103.416666666667"/>
    <n v="372.3"/>
  </r>
  <r>
    <x v="0"/>
    <x v="0"/>
    <x v="0"/>
    <x v="3"/>
    <x v="4"/>
    <s v="LV_A3"/>
    <x v="12"/>
    <x v="20"/>
    <x v="11"/>
    <x v="4"/>
    <n v="1.7"/>
    <n v="103.416666666667"/>
    <n v="372.3"/>
  </r>
  <r>
    <x v="0"/>
    <x v="0"/>
    <x v="0"/>
    <x v="3"/>
    <x v="4"/>
    <s v="LV_A3"/>
    <x v="12"/>
    <x v="20"/>
    <x v="11"/>
    <x v="5"/>
    <n v="1.7"/>
    <n v="103.416666666667"/>
    <n v="372.3"/>
  </r>
  <r>
    <x v="0"/>
    <x v="0"/>
    <x v="0"/>
    <x v="3"/>
    <x v="4"/>
    <s v="LV_A3"/>
    <x v="12"/>
    <x v="20"/>
    <x v="11"/>
    <x v="6"/>
    <n v="1.7"/>
    <n v="103.416666666667"/>
    <n v="372.3"/>
  </r>
  <r>
    <x v="0"/>
    <x v="0"/>
    <x v="0"/>
    <x v="3"/>
    <x v="4"/>
    <s v="LV_A3"/>
    <x v="12"/>
    <x v="20"/>
    <x v="11"/>
    <x v="7"/>
    <n v="1.7"/>
    <n v="103.416666666667"/>
    <n v="372.3"/>
  </r>
  <r>
    <x v="0"/>
    <x v="0"/>
    <x v="0"/>
    <x v="3"/>
    <x v="4"/>
    <s v="LV_A3"/>
    <x v="12"/>
    <x v="20"/>
    <x v="11"/>
    <x v="8"/>
    <n v="1.7"/>
    <n v="103.416666666667"/>
    <n v="372.3"/>
  </r>
  <r>
    <x v="0"/>
    <x v="0"/>
    <x v="0"/>
    <x v="3"/>
    <x v="4"/>
    <s v="LV_A3"/>
    <x v="12"/>
    <x v="20"/>
    <x v="11"/>
    <x v="9"/>
    <n v="1.7"/>
    <n v="103.416666666667"/>
    <n v="372.3"/>
  </r>
  <r>
    <x v="0"/>
    <x v="0"/>
    <x v="0"/>
    <x v="3"/>
    <x v="4"/>
    <s v="LV_A3"/>
    <x v="12"/>
    <x v="20"/>
    <x v="11"/>
    <x v="10"/>
    <n v="1.7"/>
    <n v="103.416666666667"/>
    <n v="372.3"/>
  </r>
  <r>
    <x v="0"/>
    <x v="0"/>
    <x v="0"/>
    <x v="3"/>
    <x v="4"/>
    <s v="LV_A3"/>
    <x v="12"/>
    <x v="20"/>
    <x v="11"/>
    <x v="11"/>
    <n v="1.7"/>
    <n v="103.416666666667"/>
    <n v="372.3"/>
  </r>
  <r>
    <x v="0"/>
    <x v="0"/>
    <x v="0"/>
    <x v="3"/>
    <x v="4"/>
    <s v="LV_A3"/>
    <x v="4"/>
    <x v="4"/>
    <x v="0"/>
    <x v="0"/>
    <n v="8.1967213114754092"/>
    <n v="498.633879781421"/>
    <n v="1795.0819672131099"/>
  </r>
  <r>
    <x v="0"/>
    <x v="0"/>
    <x v="0"/>
    <x v="3"/>
    <x v="4"/>
    <s v="LV_A3"/>
    <x v="4"/>
    <x v="4"/>
    <x v="0"/>
    <x v="1"/>
    <n v="8.1967213114754092"/>
    <n v="498.633879781421"/>
    <n v="1795.0819672131099"/>
  </r>
  <r>
    <x v="0"/>
    <x v="0"/>
    <x v="0"/>
    <x v="3"/>
    <x v="4"/>
    <s v="LV_A3"/>
    <x v="4"/>
    <x v="4"/>
    <x v="1"/>
    <x v="0"/>
    <n v="8.1967213114754092"/>
    <n v="498.633879781421"/>
    <n v="1795.0819672131099"/>
  </r>
  <r>
    <x v="0"/>
    <x v="0"/>
    <x v="0"/>
    <x v="3"/>
    <x v="4"/>
    <s v="LV_A3"/>
    <x v="4"/>
    <x v="4"/>
    <x v="1"/>
    <x v="5"/>
    <n v="8.1967213114754092"/>
    <n v="498.633879781421"/>
    <n v="1795.0819672131099"/>
  </r>
  <r>
    <x v="0"/>
    <x v="0"/>
    <x v="0"/>
    <x v="3"/>
    <x v="4"/>
    <s v="LV_A3"/>
    <x v="4"/>
    <x v="4"/>
    <x v="1"/>
    <x v="6"/>
    <n v="8.1967213114754092"/>
    <n v="498.633879781421"/>
    <n v="1795.0819672131099"/>
  </r>
  <r>
    <x v="0"/>
    <x v="0"/>
    <x v="0"/>
    <x v="3"/>
    <x v="4"/>
    <s v="LV_A3"/>
    <x v="4"/>
    <x v="4"/>
    <x v="1"/>
    <x v="7"/>
    <n v="8.1967213114754092"/>
    <n v="498.633879781421"/>
    <n v="1795.0819672131099"/>
  </r>
  <r>
    <x v="0"/>
    <x v="0"/>
    <x v="0"/>
    <x v="3"/>
    <x v="4"/>
    <s v="LV_A3"/>
    <x v="4"/>
    <x v="4"/>
    <x v="1"/>
    <x v="8"/>
    <n v="8.1967213114754092"/>
    <n v="498.633879781421"/>
    <n v="1795.0819672131099"/>
  </r>
  <r>
    <x v="0"/>
    <x v="0"/>
    <x v="0"/>
    <x v="3"/>
    <x v="4"/>
    <s v="LV_A3"/>
    <x v="4"/>
    <x v="4"/>
    <x v="1"/>
    <x v="9"/>
    <n v="8.1967213114754092"/>
    <n v="498.633879781421"/>
    <n v="1795.0819672131099"/>
  </r>
  <r>
    <x v="0"/>
    <x v="0"/>
    <x v="0"/>
    <x v="3"/>
    <x v="4"/>
    <s v="LV_A3"/>
    <x v="4"/>
    <x v="4"/>
    <x v="1"/>
    <x v="10"/>
    <n v="8.1967213114754092"/>
    <n v="498.633879781421"/>
    <n v="1795.0819672131099"/>
  </r>
  <r>
    <x v="0"/>
    <x v="0"/>
    <x v="0"/>
    <x v="3"/>
    <x v="4"/>
    <s v="LV_A3"/>
    <x v="4"/>
    <x v="4"/>
    <x v="1"/>
    <x v="11"/>
    <n v="8.1967213114754092"/>
    <n v="498.633879781421"/>
    <n v="1795.0819672131099"/>
  </r>
  <r>
    <x v="0"/>
    <x v="0"/>
    <x v="0"/>
    <x v="3"/>
    <x v="4"/>
    <s v="LV_A3"/>
    <x v="4"/>
    <x v="4"/>
    <x v="2"/>
    <x v="6"/>
    <n v="8.1967213114754092"/>
    <n v="498.633879781421"/>
    <n v="1795.0819672131099"/>
  </r>
  <r>
    <x v="0"/>
    <x v="0"/>
    <x v="0"/>
    <x v="3"/>
    <x v="4"/>
    <s v="LV_A3"/>
    <x v="4"/>
    <x v="4"/>
    <x v="2"/>
    <x v="7"/>
    <n v="8.1967213114754092"/>
    <n v="498.633879781421"/>
    <n v="1795.0819672131099"/>
  </r>
  <r>
    <x v="0"/>
    <x v="0"/>
    <x v="0"/>
    <x v="3"/>
    <x v="4"/>
    <s v="LV_A3"/>
    <x v="4"/>
    <x v="4"/>
    <x v="2"/>
    <x v="8"/>
    <n v="8.1967213114754092"/>
    <n v="498.633879781421"/>
    <n v="1795.0819672131099"/>
  </r>
  <r>
    <x v="0"/>
    <x v="0"/>
    <x v="0"/>
    <x v="3"/>
    <x v="4"/>
    <s v="LV_A3"/>
    <x v="4"/>
    <x v="4"/>
    <x v="2"/>
    <x v="9"/>
    <n v="8.1967213114754092"/>
    <n v="498.633879781421"/>
    <n v="1795.0819672131099"/>
  </r>
  <r>
    <x v="0"/>
    <x v="0"/>
    <x v="0"/>
    <x v="3"/>
    <x v="4"/>
    <s v="LV_A3"/>
    <x v="4"/>
    <x v="4"/>
    <x v="2"/>
    <x v="10"/>
    <n v="8.1967213114754092"/>
    <n v="498.633879781421"/>
    <n v="1795.0819672131099"/>
  </r>
  <r>
    <x v="0"/>
    <x v="0"/>
    <x v="0"/>
    <x v="3"/>
    <x v="4"/>
    <s v="LV_A3"/>
    <x v="4"/>
    <x v="4"/>
    <x v="2"/>
    <x v="11"/>
    <n v="8.1967213114754092"/>
    <n v="498.633879781421"/>
    <n v="1795.0819672131099"/>
  </r>
  <r>
    <x v="0"/>
    <x v="0"/>
    <x v="0"/>
    <x v="3"/>
    <x v="4"/>
    <s v="LV_A3"/>
    <x v="4"/>
    <x v="4"/>
    <x v="3"/>
    <x v="4"/>
    <n v="8.1967213114754092"/>
    <n v="498.633879781421"/>
    <n v="1795.0819672131099"/>
  </r>
  <r>
    <x v="0"/>
    <x v="0"/>
    <x v="0"/>
    <x v="3"/>
    <x v="4"/>
    <s v="LV_A3"/>
    <x v="4"/>
    <x v="4"/>
    <x v="3"/>
    <x v="5"/>
    <n v="8.1967213114754092"/>
    <n v="498.633879781421"/>
    <n v="1795.0819672131099"/>
  </r>
  <r>
    <x v="0"/>
    <x v="0"/>
    <x v="0"/>
    <x v="3"/>
    <x v="4"/>
    <s v="LV_A3"/>
    <x v="4"/>
    <x v="4"/>
    <x v="3"/>
    <x v="6"/>
    <n v="8.1967213114754092"/>
    <n v="498.633879781421"/>
    <n v="1795.0819672131099"/>
  </r>
  <r>
    <x v="0"/>
    <x v="0"/>
    <x v="0"/>
    <x v="3"/>
    <x v="4"/>
    <s v="LV_A3"/>
    <x v="4"/>
    <x v="4"/>
    <x v="3"/>
    <x v="7"/>
    <n v="8.1967213114754092"/>
    <n v="498.633879781421"/>
    <n v="1795.0819672131099"/>
  </r>
  <r>
    <x v="0"/>
    <x v="0"/>
    <x v="0"/>
    <x v="3"/>
    <x v="4"/>
    <s v="LV_A3"/>
    <x v="4"/>
    <x v="4"/>
    <x v="3"/>
    <x v="8"/>
    <n v="8.1967213114754092"/>
    <n v="498.633879781421"/>
    <n v="1795.0819672131099"/>
  </r>
  <r>
    <x v="0"/>
    <x v="0"/>
    <x v="0"/>
    <x v="3"/>
    <x v="4"/>
    <s v="LV_A3"/>
    <x v="4"/>
    <x v="4"/>
    <x v="3"/>
    <x v="9"/>
    <n v="8.1967213114754092"/>
    <n v="498.633879781421"/>
    <n v="1795.0819672131099"/>
  </r>
  <r>
    <x v="0"/>
    <x v="0"/>
    <x v="0"/>
    <x v="3"/>
    <x v="4"/>
    <s v="LV_A3"/>
    <x v="4"/>
    <x v="4"/>
    <x v="3"/>
    <x v="10"/>
    <n v="8.1967213114754092"/>
    <n v="498.633879781421"/>
    <n v="1795.0819672131099"/>
  </r>
  <r>
    <x v="0"/>
    <x v="0"/>
    <x v="0"/>
    <x v="3"/>
    <x v="4"/>
    <s v="LV_A3"/>
    <x v="4"/>
    <x v="4"/>
    <x v="3"/>
    <x v="11"/>
    <n v="8.1967213114754092"/>
    <n v="498.633879781421"/>
    <n v="1795.0819672131099"/>
  </r>
  <r>
    <x v="0"/>
    <x v="0"/>
    <x v="0"/>
    <x v="3"/>
    <x v="4"/>
    <s v="LV_A3"/>
    <x v="4"/>
    <x v="4"/>
    <x v="4"/>
    <x v="5"/>
    <n v="8.1967213114754092"/>
    <n v="498.633879781421"/>
    <n v="1795.0819672131099"/>
  </r>
  <r>
    <x v="0"/>
    <x v="0"/>
    <x v="0"/>
    <x v="3"/>
    <x v="4"/>
    <s v="LV_A3"/>
    <x v="4"/>
    <x v="4"/>
    <x v="4"/>
    <x v="6"/>
    <n v="8.1967213114754092"/>
    <n v="498.633879781421"/>
    <n v="1795.0819672131099"/>
  </r>
  <r>
    <x v="0"/>
    <x v="0"/>
    <x v="0"/>
    <x v="3"/>
    <x v="4"/>
    <s v="LV_A3"/>
    <x v="4"/>
    <x v="4"/>
    <x v="4"/>
    <x v="7"/>
    <n v="8.1967213114754092"/>
    <n v="498.633879781421"/>
    <n v="1795.0819672131099"/>
  </r>
  <r>
    <x v="0"/>
    <x v="0"/>
    <x v="0"/>
    <x v="3"/>
    <x v="4"/>
    <s v="LV_A3"/>
    <x v="4"/>
    <x v="4"/>
    <x v="4"/>
    <x v="8"/>
    <n v="8.1967213114754092"/>
    <n v="498.633879781421"/>
    <n v="1795.0819672131099"/>
  </r>
  <r>
    <x v="0"/>
    <x v="0"/>
    <x v="0"/>
    <x v="3"/>
    <x v="4"/>
    <s v="LV_A3"/>
    <x v="4"/>
    <x v="4"/>
    <x v="4"/>
    <x v="9"/>
    <n v="8.1967213114754092"/>
    <n v="498.633879781421"/>
    <n v="1795.0819672131099"/>
  </r>
  <r>
    <x v="0"/>
    <x v="0"/>
    <x v="0"/>
    <x v="3"/>
    <x v="4"/>
    <s v="LV_A3"/>
    <x v="4"/>
    <x v="4"/>
    <x v="4"/>
    <x v="10"/>
    <n v="8.1967213114754092"/>
    <n v="498.633879781421"/>
    <n v="1795.0819672131099"/>
  </r>
  <r>
    <x v="0"/>
    <x v="0"/>
    <x v="0"/>
    <x v="3"/>
    <x v="4"/>
    <s v="LV_A3"/>
    <x v="4"/>
    <x v="4"/>
    <x v="4"/>
    <x v="11"/>
    <n v="8.1967213114754092"/>
    <n v="498.633879781421"/>
    <n v="1795.0819672131099"/>
  </r>
  <r>
    <x v="0"/>
    <x v="0"/>
    <x v="0"/>
    <x v="3"/>
    <x v="4"/>
    <s v="LV_A3"/>
    <x v="4"/>
    <x v="4"/>
    <x v="5"/>
    <x v="5"/>
    <n v="1.6157556430176601"/>
    <n v="98.291801616908003"/>
    <n v="353.85048582086898"/>
  </r>
  <r>
    <x v="0"/>
    <x v="0"/>
    <x v="0"/>
    <x v="3"/>
    <x v="4"/>
    <s v="LV_A3"/>
    <x v="4"/>
    <x v="4"/>
    <x v="5"/>
    <x v="6"/>
    <n v="8.1967213114754092"/>
    <n v="498.633879781421"/>
    <n v="1795.0819672131099"/>
  </r>
  <r>
    <x v="0"/>
    <x v="0"/>
    <x v="0"/>
    <x v="3"/>
    <x v="4"/>
    <s v="LV_A3"/>
    <x v="4"/>
    <x v="4"/>
    <x v="5"/>
    <x v="7"/>
    <n v="8.1967213114754092"/>
    <n v="498.633879781421"/>
    <n v="1795.0819672131099"/>
  </r>
  <r>
    <x v="0"/>
    <x v="0"/>
    <x v="0"/>
    <x v="3"/>
    <x v="4"/>
    <s v="LV_A3"/>
    <x v="4"/>
    <x v="4"/>
    <x v="5"/>
    <x v="8"/>
    <n v="8.1967213114754092"/>
    <n v="498.633879781421"/>
    <n v="1795.0819672131099"/>
  </r>
  <r>
    <x v="0"/>
    <x v="0"/>
    <x v="0"/>
    <x v="3"/>
    <x v="4"/>
    <s v="LV_A3"/>
    <x v="4"/>
    <x v="4"/>
    <x v="5"/>
    <x v="9"/>
    <n v="8.1967213114754092"/>
    <n v="498.633879781421"/>
    <n v="1795.0819672131099"/>
  </r>
  <r>
    <x v="0"/>
    <x v="0"/>
    <x v="0"/>
    <x v="3"/>
    <x v="4"/>
    <s v="LV_A3"/>
    <x v="4"/>
    <x v="4"/>
    <x v="5"/>
    <x v="10"/>
    <n v="8.1967213114754092"/>
    <n v="498.633879781421"/>
    <n v="1795.0819672131099"/>
  </r>
  <r>
    <x v="0"/>
    <x v="0"/>
    <x v="0"/>
    <x v="3"/>
    <x v="4"/>
    <s v="LV_A3"/>
    <x v="4"/>
    <x v="4"/>
    <x v="5"/>
    <x v="11"/>
    <n v="8.1967213114754092"/>
    <n v="498.633879781421"/>
    <n v="1795.0819672131099"/>
  </r>
  <r>
    <x v="0"/>
    <x v="0"/>
    <x v="0"/>
    <x v="3"/>
    <x v="4"/>
    <s v="LV_A3"/>
    <x v="4"/>
    <x v="4"/>
    <x v="6"/>
    <x v="5"/>
    <n v="8.1967213114754092"/>
    <n v="498.633879781421"/>
    <n v="1795.0819672131099"/>
  </r>
  <r>
    <x v="0"/>
    <x v="0"/>
    <x v="0"/>
    <x v="3"/>
    <x v="4"/>
    <s v="LV_A3"/>
    <x v="4"/>
    <x v="4"/>
    <x v="6"/>
    <x v="6"/>
    <n v="8.1967213114754092"/>
    <n v="498.633879781421"/>
    <n v="1795.0819672131099"/>
  </r>
  <r>
    <x v="0"/>
    <x v="0"/>
    <x v="0"/>
    <x v="3"/>
    <x v="4"/>
    <s v="LV_A3"/>
    <x v="4"/>
    <x v="4"/>
    <x v="6"/>
    <x v="7"/>
    <n v="8.1967213114754092"/>
    <n v="498.633879781421"/>
    <n v="1795.0819672131099"/>
  </r>
  <r>
    <x v="0"/>
    <x v="0"/>
    <x v="0"/>
    <x v="3"/>
    <x v="4"/>
    <s v="LV_A3"/>
    <x v="4"/>
    <x v="4"/>
    <x v="6"/>
    <x v="8"/>
    <n v="8.1967213114754092"/>
    <n v="498.633879781421"/>
    <n v="1795.0819672131099"/>
  </r>
  <r>
    <x v="0"/>
    <x v="0"/>
    <x v="0"/>
    <x v="3"/>
    <x v="4"/>
    <s v="LV_A3"/>
    <x v="4"/>
    <x v="4"/>
    <x v="6"/>
    <x v="9"/>
    <n v="8.1967213114754092"/>
    <n v="498.633879781421"/>
    <n v="1795.0819672131099"/>
  </r>
  <r>
    <x v="0"/>
    <x v="0"/>
    <x v="0"/>
    <x v="3"/>
    <x v="4"/>
    <s v="LV_A3"/>
    <x v="4"/>
    <x v="4"/>
    <x v="6"/>
    <x v="10"/>
    <n v="8.1967213114754092"/>
    <n v="498.633879781421"/>
    <n v="1795.0819672131099"/>
  </r>
  <r>
    <x v="0"/>
    <x v="0"/>
    <x v="0"/>
    <x v="3"/>
    <x v="4"/>
    <s v="LV_A3"/>
    <x v="4"/>
    <x v="4"/>
    <x v="6"/>
    <x v="11"/>
    <n v="8.1967213114754092"/>
    <n v="498.633879781421"/>
    <n v="1795.0819672131099"/>
  </r>
  <r>
    <x v="0"/>
    <x v="0"/>
    <x v="0"/>
    <x v="3"/>
    <x v="4"/>
    <s v="LV_A3"/>
    <x v="4"/>
    <x v="4"/>
    <x v="7"/>
    <x v="5"/>
    <n v="8.1967213114754092"/>
    <n v="498.633879781421"/>
    <n v="1795.0819672131099"/>
  </r>
  <r>
    <x v="0"/>
    <x v="0"/>
    <x v="0"/>
    <x v="3"/>
    <x v="4"/>
    <s v="LV_A3"/>
    <x v="4"/>
    <x v="4"/>
    <x v="7"/>
    <x v="6"/>
    <n v="8.1967213114754092"/>
    <n v="498.633879781421"/>
    <n v="1795.0819672131099"/>
  </r>
  <r>
    <x v="0"/>
    <x v="0"/>
    <x v="0"/>
    <x v="3"/>
    <x v="4"/>
    <s v="LV_A3"/>
    <x v="4"/>
    <x v="4"/>
    <x v="7"/>
    <x v="7"/>
    <n v="8.1967213114754092"/>
    <n v="498.633879781421"/>
    <n v="1795.0819672131099"/>
  </r>
  <r>
    <x v="0"/>
    <x v="0"/>
    <x v="0"/>
    <x v="3"/>
    <x v="4"/>
    <s v="LV_A3"/>
    <x v="4"/>
    <x v="4"/>
    <x v="7"/>
    <x v="8"/>
    <n v="8.1967213114754092"/>
    <n v="498.633879781421"/>
    <n v="1795.0819672131099"/>
  </r>
  <r>
    <x v="0"/>
    <x v="0"/>
    <x v="0"/>
    <x v="3"/>
    <x v="4"/>
    <s v="LV_A3"/>
    <x v="4"/>
    <x v="4"/>
    <x v="7"/>
    <x v="9"/>
    <n v="8.1967213114754092"/>
    <n v="498.633879781421"/>
    <n v="1795.0819672131099"/>
  </r>
  <r>
    <x v="0"/>
    <x v="0"/>
    <x v="0"/>
    <x v="3"/>
    <x v="4"/>
    <s v="LV_A3"/>
    <x v="4"/>
    <x v="4"/>
    <x v="7"/>
    <x v="10"/>
    <n v="8.1967213114754092"/>
    <n v="498.633879781421"/>
    <n v="1795.0819672131099"/>
  </r>
  <r>
    <x v="0"/>
    <x v="0"/>
    <x v="0"/>
    <x v="3"/>
    <x v="4"/>
    <s v="LV_A3"/>
    <x v="4"/>
    <x v="4"/>
    <x v="7"/>
    <x v="11"/>
    <n v="8.1967213114754092"/>
    <n v="498.633879781421"/>
    <n v="1795.0819672131099"/>
  </r>
  <r>
    <x v="0"/>
    <x v="0"/>
    <x v="0"/>
    <x v="3"/>
    <x v="4"/>
    <s v="LV_A3"/>
    <x v="4"/>
    <x v="4"/>
    <x v="8"/>
    <x v="0"/>
    <n v="1.50261770489673"/>
    <n v="91.409243714551394"/>
    <n v="329.07327737238501"/>
  </r>
  <r>
    <x v="0"/>
    <x v="0"/>
    <x v="0"/>
    <x v="3"/>
    <x v="4"/>
    <s v="LV_A3"/>
    <x v="4"/>
    <x v="4"/>
    <x v="8"/>
    <x v="2"/>
    <n v="8.1967213114754092"/>
    <n v="498.633879781421"/>
    <n v="1795.0819672131099"/>
  </r>
  <r>
    <x v="0"/>
    <x v="0"/>
    <x v="0"/>
    <x v="3"/>
    <x v="4"/>
    <s v="LV_A3"/>
    <x v="4"/>
    <x v="4"/>
    <x v="8"/>
    <x v="3"/>
    <n v="8.1967213114754092"/>
    <n v="498.633879781421"/>
    <n v="1795.0819672131099"/>
  </r>
  <r>
    <x v="0"/>
    <x v="0"/>
    <x v="0"/>
    <x v="3"/>
    <x v="4"/>
    <s v="LV_A3"/>
    <x v="4"/>
    <x v="4"/>
    <x v="8"/>
    <x v="4"/>
    <n v="8.1967213114754092"/>
    <n v="498.633879781421"/>
    <n v="1795.0819672131099"/>
  </r>
  <r>
    <x v="0"/>
    <x v="0"/>
    <x v="0"/>
    <x v="3"/>
    <x v="4"/>
    <s v="LV_A3"/>
    <x v="4"/>
    <x v="4"/>
    <x v="8"/>
    <x v="5"/>
    <n v="8.1967213114754092"/>
    <n v="498.633879781421"/>
    <n v="1795.0819672131099"/>
  </r>
  <r>
    <x v="0"/>
    <x v="0"/>
    <x v="0"/>
    <x v="3"/>
    <x v="4"/>
    <s v="LV_A3"/>
    <x v="4"/>
    <x v="4"/>
    <x v="8"/>
    <x v="6"/>
    <n v="8.1967213114754092"/>
    <n v="498.633879781421"/>
    <n v="1795.0819672131099"/>
  </r>
  <r>
    <x v="0"/>
    <x v="0"/>
    <x v="0"/>
    <x v="3"/>
    <x v="4"/>
    <s v="LV_A3"/>
    <x v="4"/>
    <x v="4"/>
    <x v="8"/>
    <x v="7"/>
    <n v="8.1967213114754092"/>
    <n v="498.633879781421"/>
    <n v="1795.0819672131099"/>
  </r>
  <r>
    <x v="0"/>
    <x v="0"/>
    <x v="0"/>
    <x v="3"/>
    <x v="4"/>
    <s v="LV_A3"/>
    <x v="4"/>
    <x v="4"/>
    <x v="8"/>
    <x v="8"/>
    <n v="8.1967213114754092"/>
    <n v="498.633879781421"/>
    <n v="1795.0819672131099"/>
  </r>
  <r>
    <x v="0"/>
    <x v="0"/>
    <x v="0"/>
    <x v="3"/>
    <x v="4"/>
    <s v="LV_A3"/>
    <x v="4"/>
    <x v="4"/>
    <x v="8"/>
    <x v="9"/>
    <n v="8.1967213114754092"/>
    <n v="498.633879781421"/>
    <n v="1795.0819672131099"/>
  </r>
  <r>
    <x v="0"/>
    <x v="0"/>
    <x v="0"/>
    <x v="3"/>
    <x v="4"/>
    <s v="LV_A3"/>
    <x v="4"/>
    <x v="4"/>
    <x v="8"/>
    <x v="10"/>
    <n v="8.1967213114754092"/>
    <n v="498.633879781421"/>
    <n v="1795.0819672131099"/>
  </r>
  <r>
    <x v="0"/>
    <x v="0"/>
    <x v="0"/>
    <x v="3"/>
    <x v="4"/>
    <s v="LV_A3"/>
    <x v="4"/>
    <x v="4"/>
    <x v="8"/>
    <x v="11"/>
    <n v="8.1967213114754092"/>
    <n v="498.633879781421"/>
    <n v="1795.0819672131099"/>
  </r>
  <r>
    <x v="0"/>
    <x v="0"/>
    <x v="0"/>
    <x v="3"/>
    <x v="4"/>
    <s v="LV_A3"/>
    <x v="4"/>
    <x v="4"/>
    <x v="9"/>
    <x v="0"/>
    <n v="8.1967213114754092"/>
    <n v="498.633879781421"/>
    <n v="1795.0819672131099"/>
  </r>
  <r>
    <x v="0"/>
    <x v="0"/>
    <x v="0"/>
    <x v="3"/>
    <x v="4"/>
    <s v="LV_A3"/>
    <x v="4"/>
    <x v="4"/>
    <x v="9"/>
    <x v="1"/>
    <n v="8.1967213114754092"/>
    <n v="498.633879781421"/>
    <n v="1795.0819672131099"/>
  </r>
  <r>
    <x v="0"/>
    <x v="0"/>
    <x v="0"/>
    <x v="3"/>
    <x v="4"/>
    <s v="LV_A3"/>
    <x v="4"/>
    <x v="4"/>
    <x v="9"/>
    <x v="2"/>
    <n v="8.1967213114754092"/>
    <n v="498.633879781421"/>
    <n v="1795.0819672131099"/>
  </r>
  <r>
    <x v="0"/>
    <x v="0"/>
    <x v="0"/>
    <x v="3"/>
    <x v="4"/>
    <s v="LV_A3"/>
    <x v="4"/>
    <x v="4"/>
    <x v="9"/>
    <x v="3"/>
    <n v="8.1967213114754092"/>
    <n v="498.633879781421"/>
    <n v="1795.0819672131099"/>
  </r>
  <r>
    <x v="0"/>
    <x v="0"/>
    <x v="0"/>
    <x v="3"/>
    <x v="4"/>
    <s v="LV_A3"/>
    <x v="4"/>
    <x v="4"/>
    <x v="9"/>
    <x v="4"/>
    <n v="8.1967213114754092"/>
    <n v="498.633879781421"/>
    <n v="1795.0819672131099"/>
  </r>
  <r>
    <x v="0"/>
    <x v="0"/>
    <x v="0"/>
    <x v="3"/>
    <x v="4"/>
    <s v="LV_A3"/>
    <x v="4"/>
    <x v="4"/>
    <x v="9"/>
    <x v="5"/>
    <n v="8.1967213114754092"/>
    <n v="498.633879781421"/>
    <n v="1795.0819672131099"/>
  </r>
  <r>
    <x v="0"/>
    <x v="0"/>
    <x v="0"/>
    <x v="3"/>
    <x v="4"/>
    <s v="LV_A3"/>
    <x v="4"/>
    <x v="4"/>
    <x v="9"/>
    <x v="6"/>
    <n v="8.1967213114754092"/>
    <n v="498.633879781421"/>
    <n v="1795.0819672131099"/>
  </r>
  <r>
    <x v="0"/>
    <x v="0"/>
    <x v="0"/>
    <x v="3"/>
    <x v="4"/>
    <s v="LV_A3"/>
    <x v="4"/>
    <x v="4"/>
    <x v="9"/>
    <x v="7"/>
    <n v="8.1967213114754092"/>
    <n v="498.633879781421"/>
    <n v="1795.0819672131099"/>
  </r>
  <r>
    <x v="0"/>
    <x v="0"/>
    <x v="0"/>
    <x v="3"/>
    <x v="4"/>
    <s v="LV_A3"/>
    <x v="4"/>
    <x v="4"/>
    <x v="9"/>
    <x v="8"/>
    <n v="8.1967213114754092"/>
    <n v="498.633879781421"/>
    <n v="1795.0819672131099"/>
  </r>
  <r>
    <x v="0"/>
    <x v="0"/>
    <x v="0"/>
    <x v="3"/>
    <x v="4"/>
    <s v="LV_A3"/>
    <x v="4"/>
    <x v="4"/>
    <x v="9"/>
    <x v="9"/>
    <n v="8.1967213114754092"/>
    <n v="498.633879781421"/>
    <n v="1795.0819672131099"/>
  </r>
  <r>
    <x v="0"/>
    <x v="0"/>
    <x v="0"/>
    <x v="3"/>
    <x v="4"/>
    <s v="LV_A3"/>
    <x v="4"/>
    <x v="4"/>
    <x v="9"/>
    <x v="10"/>
    <n v="8.1967213114754092"/>
    <n v="498.633879781421"/>
    <n v="1795.0819672131099"/>
  </r>
  <r>
    <x v="0"/>
    <x v="0"/>
    <x v="0"/>
    <x v="3"/>
    <x v="4"/>
    <s v="LV_A3"/>
    <x v="4"/>
    <x v="4"/>
    <x v="9"/>
    <x v="11"/>
    <n v="8.1967213114754092"/>
    <n v="498.633879781421"/>
    <n v="1795.0819672131099"/>
  </r>
  <r>
    <x v="0"/>
    <x v="0"/>
    <x v="0"/>
    <x v="3"/>
    <x v="4"/>
    <s v="LV_A3"/>
    <x v="4"/>
    <x v="4"/>
    <x v="10"/>
    <x v="2"/>
    <n v="8.1967213114754092"/>
    <n v="498.633879781421"/>
    <n v="1795.0819672131099"/>
  </r>
  <r>
    <x v="0"/>
    <x v="0"/>
    <x v="0"/>
    <x v="3"/>
    <x v="4"/>
    <s v="LV_A3"/>
    <x v="4"/>
    <x v="4"/>
    <x v="10"/>
    <x v="3"/>
    <n v="8.1967213114754092"/>
    <n v="498.633879781421"/>
    <n v="1795.0819672131099"/>
  </r>
  <r>
    <x v="0"/>
    <x v="0"/>
    <x v="0"/>
    <x v="3"/>
    <x v="4"/>
    <s v="LV_A3"/>
    <x v="4"/>
    <x v="4"/>
    <x v="10"/>
    <x v="4"/>
    <n v="8.1967213114754092"/>
    <n v="498.633879781421"/>
    <n v="1795.0819672131099"/>
  </r>
  <r>
    <x v="0"/>
    <x v="0"/>
    <x v="0"/>
    <x v="3"/>
    <x v="4"/>
    <s v="LV_A3"/>
    <x v="4"/>
    <x v="4"/>
    <x v="10"/>
    <x v="5"/>
    <n v="8.1967213114754092"/>
    <n v="498.633879781421"/>
    <n v="1795.0819672131099"/>
  </r>
  <r>
    <x v="0"/>
    <x v="0"/>
    <x v="0"/>
    <x v="3"/>
    <x v="4"/>
    <s v="LV_A3"/>
    <x v="4"/>
    <x v="4"/>
    <x v="10"/>
    <x v="6"/>
    <n v="8.1967213114754092"/>
    <n v="498.633879781421"/>
    <n v="1795.0819672131099"/>
  </r>
  <r>
    <x v="0"/>
    <x v="0"/>
    <x v="0"/>
    <x v="3"/>
    <x v="4"/>
    <s v="LV_A3"/>
    <x v="4"/>
    <x v="4"/>
    <x v="10"/>
    <x v="7"/>
    <n v="8.1967213114754092"/>
    <n v="498.633879781421"/>
    <n v="1795.0819672131099"/>
  </r>
  <r>
    <x v="0"/>
    <x v="0"/>
    <x v="0"/>
    <x v="3"/>
    <x v="4"/>
    <s v="LV_A3"/>
    <x v="4"/>
    <x v="4"/>
    <x v="10"/>
    <x v="8"/>
    <n v="8.1967213114754092"/>
    <n v="498.633879781421"/>
    <n v="1795.0819672131099"/>
  </r>
  <r>
    <x v="0"/>
    <x v="0"/>
    <x v="0"/>
    <x v="3"/>
    <x v="4"/>
    <s v="LV_A3"/>
    <x v="4"/>
    <x v="4"/>
    <x v="10"/>
    <x v="9"/>
    <n v="8.1967213114754092"/>
    <n v="498.633879781421"/>
    <n v="1795.0819672131099"/>
  </r>
  <r>
    <x v="0"/>
    <x v="0"/>
    <x v="0"/>
    <x v="3"/>
    <x v="4"/>
    <s v="LV_A3"/>
    <x v="4"/>
    <x v="4"/>
    <x v="10"/>
    <x v="10"/>
    <n v="8.1967213114754092"/>
    <n v="498.633879781421"/>
    <n v="1795.0819672131099"/>
  </r>
  <r>
    <x v="0"/>
    <x v="0"/>
    <x v="0"/>
    <x v="3"/>
    <x v="4"/>
    <s v="LV_A3"/>
    <x v="4"/>
    <x v="4"/>
    <x v="11"/>
    <x v="6"/>
    <n v="8.1967213114754092"/>
    <n v="498.633879781421"/>
    <n v="1795.0819672131099"/>
  </r>
  <r>
    <x v="0"/>
    <x v="0"/>
    <x v="0"/>
    <x v="3"/>
    <x v="4"/>
    <s v="LV_A3"/>
    <x v="4"/>
    <x v="4"/>
    <x v="11"/>
    <x v="7"/>
    <n v="8.1967213114754092"/>
    <n v="498.633879781421"/>
    <n v="1795.0819672131099"/>
  </r>
  <r>
    <x v="0"/>
    <x v="0"/>
    <x v="0"/>
    <x v="3"/>
    <x v="4"/>
    <s v="LV_A3"/>
    <x v="4"/>
    <x v="4"/>
    <x v="11"/>
    <x v="8"/>
    <n v="8.1967213114754092"/>
    <n v="498.633879781421"/>
    <n v="1795.0819672131099"/>
  </r>
  <r>
    <x v="0"/>
    <x v="0"/>
    <x v="0"/>
    <x v="3"/>
    <x v="4"/>
    <s v="LV_A3"/>
    <x v="4"/>
    <x v="4"/>
    <x v="11"/>
    <x v="9"/>
    <n v="8.1967213114754092"/>
    <n v="498.633879781421"/>
    <n v="1795.0819672131099"/>
  </r>
  <r>
    <x v="0"/>
    <x v="0"/>
    <x v="0"/>
    <x v="3"/>
    <x v="4"/>
    <s v="LV_A3"/>
    <x v="4"/>
    <x v="4"/>
    <x v="11"/>
    <x v="10"/>
    <n v="8.1967213114754092"/>
    <n v="498.633879781421"/>
    <n v="1795.0819672131099"/>
  </r>
  <r>
    <x v="0"/>
    <x v="0"/>
    <x v="0"/>
    <x v="3"/>
    <x v="4"/>
    <s v="LV_A3"/>
    <x v="4"/>
    <x v="4"/>
    <x v="11"/>
    <x v="11"/>
    <n v="8.1967213114754092"/>
    <n v="498.633879781421"/>
    <n v="1795.0819672131099"/>
  </r>
  <r>
    <x v="0"/>
    <x v="0"/>
    <x v="0"/>
    <x v="3"/>
    <x v="4"/>
    <s v="LV_A3"/>
    <x v="4"/>
    <x v="14"/>
    <x v="6"/>
    <x v="0"/>
    <n v="41.583380191419899"/>
    <n v="2529.65562831138"/>
    <n v="9106.7602619209702"/>
  </r>
  <r>
    <x v="0"/>
    <x v="0"/>
    <x v="0"/>
    <x v="3"/>
    <x v="4"/>
    <s v="LV_A3"/>
    <x v="4"/>
    <x v="14"/>
    <x v="6"/>
    <x v="1"/>
    <n v="64.500749635402599"/>
    <n v="3923.7956028203298"/>
    <n v="14125.664170153201"/>
  </r>
  <r>
    <x v="0"/>
    <x v="0"/>
    <x v="0"/>
    <x v="3"/>
    <x v="4"/>
    <s v="LV_A3"/>
    <x v="4"/>
    <x v="14"/>
    <x v="6"/>
    <x v="2"/>
    <n v="78.895659908152396"/>
    <n v="4799.4859777459296"/>
    <n v="17278.149519885399"/>
  </r>
  <r>
    <x v="0"/>
    <x v="0"/>
    <x v="0"/>
    <x v="3"/>
    <x v="4"/>
    <s v="LV_A3"/>
    <x v="4"/>
    <x v="14"/>
    <x v="6"/>
    <x v="3"/>
    <n v="87.892478828620597"/>
    <n v="5346.7924620744197"/>
    <n v="19248.452863467901"/>
  </r>
  <r>
    <x v="0"/>
    <x v="0"/>
    <x v="0"/>
    <x v="3"/>
    <x v="4"/>
    <s v="LV_A3"/>
    <x v="4"/>
    <x v="14"/>
    <x v="6"/>
    <x v="4"/>
    <n v="54.074783256213003"/>
    <n v="3289.5493147529601"/>
    <n v="11842.377533110701"/>
  </r>
  <r>
    <x v="0"/>
    <x v="0"/>
    <x v="0"/>
    <x v="3"/>
    <x v="4"/>
    <s v="LV_A3"/>
    <x v="4"/>
    <x v="14"/>
    <x v="6"/>
    <x v="5"/>
    <n v="54.4067919290611"/>
    <n v="3309.7465090178798"/>
    <n v="11915.087432464399"/>
  </r>
  <r>
    <x v="0"/>
    <x v="0"/>
    <x v="0"/>
    <x v="3"/>
    <x v="4"/>
    <s v="LV_A3"/>
    <x v="4"/>
    <x v="14"/>
    <x v="6"/>
    <x v="6"/>
    <n v="82.345968188936993"/>
    <n v="5009.3797314936701"/>
    <n v="18033.7670333772"/>
  </r>
  <r>
    <x v="0"/>
    <x v="0"/>
    <x v="0"/>
    <x v="3"/>
    <x v="4"/>
    <s v="LV_A3"/>
    <x v="4"/>
    <x v="14"/>
    <x v="6"/>
    <x v="7"/>
    <n v="90.492142823783198"/>
    <n v="5504.9386884468104"/>
    <n v="19817.7792784085"/>
  </r>
  <r>
    <x v="0"/>
    <x v="0"/>
    <x v="0"/>
    <x v="3"/>
    <x v="4"/>
    <s v="LV_A3"/>
    <x v="4"/>
    <x v="14"/>
    <x v="6"/>
    <x v="8"/>
    <n v="73.823509017704097"/>
    <n v="4490.9301319103297"/>
    <n v="16167.348474877201"/>
  </r>
  <r>
    <x v="0"/>
    <x v="0"/>
    <x v="0"/>
    <x v="3"/>
    <x v="4"/>
    <s v="LV_A3"/>
    <x v="4"/>
    <x v="14"/>
    <x v="6"/>
    <x v="9"/>
    <n v="53.556147643438102"/>
    <n v="3257.99898164248"/>
    <n v="11728.7963339129"/>
  </r>
  <r>
    <x v="0"/>
    <x v="0"/>
    <x v="0"/>
    <x v="3"/>
    <x v="4"/>
    <s v="LV_A3"/>
    <x v="4"/>
    <x v="14"/>
    <x v="6"/>
    <x v="10"/>
    <n v="39.161237370688298"/>
    <n v="2382.3086067168701"/>
    <n v="8576.3109841807509"/>
  </r>
  <r>
    <x v="0"/>
    <x v="0"/>
    <x v="0"/>
    <x v="3"/>
    <x v="4"/>
    <s v="LV_A3"/>
    <x v="4"/>
    <x v="14"/>
    <x v="6"/>
    <x v="11"/>
    <n v="37.361873586594797"/>
    <n v="2272.8473098511899"/>
    <n v="8182.25031546427"/>
  </r>
  <r>
    <x v="0"/>
    <x v="0"/>
    <x v="0"/>
    <x v="3"/>
    <x v="4"/>
    <s v="LV_A3"/>
    <x v="4"/>
    <x v="14"/>
    <x v="7"/>
    <x v="0"/>
    <n v="138.74902453247901"/>
    <n v="8440.5656590591298"/>
    <n v="30386.0363726129"/>
  </r>
  <r>
    <x v="0"/>
    <x v="0"/>
    <x v="0"/>
    <x v="3"/>
    <x v="4"/>
    <s v="LV_A3"/>
    <x v="4"/>
    <x v="14"/>
    <x v="7"/>
    <x v="1"/>
    <n v="127.47848207868201"/>
    <n v="7754.9409931198197"/>
    <n v="27917.787575231399"/>
  </r>
  <r>
    <x v="0"/>
    <x v="0"/>
    <x v="0"/>
    <x v="3"/>
    <x v="4"/>
    <s v="LV_A3"/>
    <x v="4"/>
    <x v="14"/>
    <x v="7"/>
    <x v="2"/>
    <n v="123.879754510495"/>
    <n v="7536.0183993884202"/>
    <n v="27129.666237798301"/>
  </r>
  <r>
    <x v="0"/>
    <x v="0"/>
    <x v="0"/>
    <x v="3"/>
    <x v="4"/>
    <s v="LV_A3"/>
    <x v="4"/>
    <x v="14"/>
    <x v="7"/>
    <x v="3"/>
    <n v="129.27784586277599"/>
    <n v="7864.4022899855299"/>
    <n v="28311.848243947901"/>
  </r>
  <r>
    <x v="0"/>
    <x v="0"/>
    <x v="0"/>
    <x v="3"/>
    <x v="4"/>
    <s v="LV_A3"/>
    <x v="4"/>
    <x v="14"/>
    <x v="7"/>
    <x v="4"/>
    <n v="96.843915343921296"/>
    <n v="5891.3381834218799"/>
    <n v="21208.817460318802"/>
  </r>
  <r>
    <x v="0"/>
    <x v="0"/>
    <x v="0"/>
    <x v="3"/>
    <x v="4"/>
    <s v="LV_A3"/>
    <x v="4"/>
    <x v="14"/>
    <x v="7"/>
    <x v="5"/>
    <n v="83.196612474560595"/>
    <n v="5061.1272588690999"/>
    <n v="18220.058131928799"/>
  </r>
  <r>
    <x v="0"/>
    <x v="0"/>
    <x v="0"/>
    <x v="3"/>
    <x v="4"/>
    <s v="LV_A3"/>
    <x v="4"/>
    <x v="14"/>
    <x v="7"/>
    <x v="6"/>
    <n v="105.737697382154"/>
    <n v="6432.37659074772"/>
    <n v="23156.5557266918"/>
  </r>
  <r>
    <x v="0"/>
    <x v="0"/>
    <x v="0"/>
    <x v="3"/>
    <x v="4"/>
    <s v="LV_A3"/>
    <x v="4"/>
    <x v="14"/>
    <x v="7"/>
    <x v="7"/>
    <n v="121.081327153374"/>
    <n v="7365.7807351635802"/>
    <n v="26516.8106465889"/>
  </r>
  <r>
    <x v="0"/>
    <x v="0"/>
    <x v="0"/>
    <x v="3"/>
    <x v="4"/>
    <s v="LV_A3"/>
    <x v="4"/>
    <x v="14"/>
    <x v="7"/>
    <x v="8"/>
    <n v="118.807603620048"/>
    <n v="7227.4625535529003"/>
    <n v="26018.865192790399"/>
  </r>
  <r>
    <x v="0"/>
    <x v="0"/>
    <x v="0"/>
    <x v="3"/>
    <x v="4"/>
    <s v="LV_A3"/>
    <x v="4"/>
    <x v="14"/>
    <x v="7"/>
    <x v="9"/>
    <n v="82.345968188936993"/>
    <n v="5009.3797314936701"/>
    <n v="18033.7670333772"/>
  </r>
  <r>
    <x v="0"/>
    <x v="0"/>
    <x v="0"/>
    <x v="3"/>
    <x v="4"/>
    <s v="LV_A3"/>
    <x v="4"/>
    <x v="14"/>
    <x v="7"/>
    <x v="10"/>
    <n v="66.151694132093894"/>
    <n v="4024.2280597023801"/>
    <n v="14487.2210149286"/>
  </r>
  <r>
    <x v="0"/>
    <x v="0"/>
    <x v="0"/>
    <x v="3"/>
    <x v="4"/>
    <s v="LV_A3"/>
    <x v="4"/>
    <x v="14"/>
    <x v="7"/>
    <x v="11"/>
    <n v="30.164418450220001"/>
    <n v="1835.00212238838"/>
    <n v="6606.0076405981799"/>
  </r>
  <r>
    <x v="0"/>
    <x v="0"/>
    <x v="0"/>
    <x v="3"/>
    <x v="4"/>
    <s v="LV_A3"/>
    <x v="4"/>
    <x v="14"/>
    <x v="8"/>
    <x v="1"/>
    <n v="13.536417172737"/>
    <n v="823.46537800816805"/>
    <n v="2964.4753608294"/>
  </r>
  <r>
    <x v="0"/>
    <x v="0"/>
    <x v="0"/>
    <x v="3"/>
    <x v="4"/>
    <s v="LV_A3"/>
    <x v="4"/>
    <x v="14"/>
    <x v="8"/>
    <x v="6"/>
    <n v="19.368235745657699"/>
    <n v="1178.2343411941799"/>
    <n v="4241.6436282990398"/>
  </r>
  <r>
    <x v="0"/>
    <x v="0"/>
    <x v="0"/>
    <x v="3"/>
    <x v="4"/>
    <s v="LV_A3"/>
    <x v="4"/>
    <x v="14"/>
    <x v="8"/>
    <x v="7"/>
    <n v="41.909320653252699"/>
    <n v="2549.4836730728698"/>
    <n v="9178.1412230623391"/>
  </r>
  <r>
    <x v="0"/>
    <x v="0"/>
    <x v="0"/>
    <x v="3"/>
    <x v="4"/>
    <s v="LV_A3"/>
    <x v="4"/>
    <x v="14"/>
    <x v="8"/>
    <x v="8"/>
    <n v="34.237505767642901"/>
    <n v="2082.7816008649402"/>
    <n v="7498.0137631137904"/>
  </r>
  <r>
    <x v="0"/>
    <x v="0"/>
    <x v="0"/>
    <x v="3"/>
    <x v="4"/>
    <s v="LV_A3"/>
    <x v="4"/>
    <x v="14"/>
    <x v="8"/>
    <x v="9"/>
    <n v="4.9733254729084599"/>
    <n v="302.54396626859801"/>
    <n v="1089.15827856695"/>
  </r>
  <r>
    <x v="0"/>
    <x v="0"/>
    <x v="0"/>
    <x v="3"/>
    <x v="4"/>
    <s v="LV_A3"/>
    <x v="9"/>
    <x v="15"/>
    <x v="0"/>
    <x v="0"/>
    <n v="45.081967213114801"/>
    <n v="2742.4863387978098"/>
    <n v="9872.9508196721308"/>
  </r>
  <r>
    <x v="0"/>
    <x v="0"/>
    <x v="0"/>
    <x v="3"/>
    <x v="4"/>
    <s v="LV_A3"/>
    <x v="9"/>
    <x v="15"/>
    <x v="0"/>
    <x v="1"/>
    <n v="45.081967213114801"/>
    <n v="2742.4863387978098"/>
    <n v="9872.9508196721308"/>
  </r>
  <r>
    <x v="0"/>
    <x v="0"/>
    <x v="0"/>
    <x v="3"/>
    <x v="4"/>
    <s v="LV_A3"/>
    <x v="9"/>
    <x v="15"/>
    <x v="0"/>
    <x v="2"/>
    <n v="6.9300199061500196"/>
    <n v="421.57621095745901"/>
    <n v="1517.6743594468501"/>
  </r>
  <r>
    <x v="0"/>
    <x v="0"/>
    <x v="0"/>
    <x v="3"/>
    <x v="4"/>
    <s v="LV_A3"/>
    <x v="9"/>
    <x v="15"/>
    <x v="1"/>
    <x v="0"/>
    <n v="45.081967213114801"/>
    <n v="2742.4863387978098"/>
    <n v="9872.9508196721308"/>
  </r>
  <r>
    <x v="0"/>
    <x v="0"/>
    <x v="0"/>
    <x v="3"/>
    <x v="4"/>
    <s v="LV_A3"/>
    <x v="9"/>
    <x v="15"/>
    <x v="1"/>
    <x v="1"/>
    <n v="45.081967213114801"/>
    <n v="2742.4863387978098"/>
    <n v="9872.9508196721308"/>
  </r>
  <r>
    <x v="0"/>
    <x v="0"/>
    <x v="0"/>
    <x v="3"/>
    <x v="4"/>
    <s v="LV_A3"/>
    <x v="9"/>
    <x v="15"/>
    <x v="1"/>
    <x v="4"/>
    <n v="45.081967213114801"/>
    <n v="2742.4863387978098"/>
    <n v="9872.9508196721308"/>
  </r>
  <r>
    <x v="0"/>
    <x v="0"/>
    <x v="0"/>
    <x v="3"/>
    <x v="4"/>
    <s v="LV_A3"/>
    <x v="9"/>
    <x v="15"/>
    <x v="1"/>
    <x v="5"/>
    <n v="45.081967213114801"/>
    <n v="2742.4863387978098"/>
    <n v="9872.9508196721308"/>
  </r>
  <r>
    <x v="0"/>
    <x v="0"/>
    <x v="0"/>
    <x v="3"/>
    <x v="4"/>
    <s v="LV_A3"/>
    <x v="9"/>
    <x v="15"/>
    <x v="1"/>
    <x v="6"/>
    <n v="45.081967213114801"/>
    <n v="2742.4863387978098"/>
    <n v="9872.9508196721308"/>
  </r>
  <r>
    <x v="0"/>
    <x v="0"/>
    <x v="0"/>
    <x v="3"/>
    <x v="4"/>
    <s v="LV_A3"/>
    <x v="9"/>
    <x v="15"/>
    <x v="1"/>
    <x v="7"/>
    <n v="45.081967213114801"/>
    <n v="2742.4863387978098"/>
    <n v="9872.9508196721308"/>
  </r>
  <r>
    <x v="0"/>
    <x v="0"/>
    <x v="0"/>
    <x v="3"/>
    <x v="4"/>
    <s v="LV_A3"/>
    <x v="9"/>
    <x v="15"/>
    <x v="1"/>
    <x v="8"/>
    <n v="45.081967213114801"/>
    <n v="2742.4863387978098"/>
    <n v="9872.9508196721308"/>
  </r>
  <r>
    <x v="0"/>
    <x v="0"/>
    <x v="0"/>
    <x v="3"/>
    <x v="4"/>
    <s v="LV_A3"/>
    <x v="9"/>
    <x v="15"/>
    <x v="1"/>
    <x v="9"/>
    <n v="45.081967213114801"/>
    <n v="2742.4863387978098"/>
    <n v="9872.9508196721308"/>
  </r>
  <r>
    <x v="0"/>
    <x v="0"/>
    <x v="0"/>
    <x v="3"/>
    <x v="4"/>
    <s v="LV_A3"/>
    <x v="9"/>
    <x v="15"/>
    <x v="1"/>
    <x v="10"/>
    <n v="45.081967213114801"/>
    <n v="2742.4863387978098"/>
    <n v="9872.9508196721308"/>
  </r>
  <r>
    <x v="0"/>
    <x v="0"/>
    <x v="0"/>
    <x v="3"/>
    <x v="4"/>
    <s v="LV_A3"/>
    <x v="9"/>
    <x v="15"/>
    <x v="1"/>
    <x v="11"/>
    <n v="45.081967213114801"/>
    <n v="2742.4863387978098"/>
    <n v="9872.9508196721308"/>
  </r>
  <r>
    <x v="0"/>
    <x v="0"/>
    <x v="0"/>
    <x v="3"/>
    <x v="4"/>
    <s v="LV_A3"/>
    <x v="9"/>
    <x v="15"/>
    <x v="2"/>
    <x v="5"/>
    <n v="45.081967213114801"/>
    <n v="2742.4863387978098"/>
    <n v="9872.9508196721308"/>
  </r>
  <r>
    <x v="0"/>
    <x v="0"/>
    <x v="0"/>
    <x v="3"/>
    <x v="4"/>
    <s v="LV_A3"/>
    <x v="9"/>
    <x v="15"/>
    <x v="2"/>
    <x v="6"/>
    <n v="45.081967213114801"/>
    <n v="2742.4863387978098"/>
    <n v="9872.9508196721308"/>
  </r>
  <r>
    <x v="0"/>
    <x v="0"/>
    <x v="0"/>
    <x v="3"/>
    <x v="4"/>
    <s v="LV_A3"/>
    <x v="9"/>
    <x v="15"/>
    <x v="2"/>
    <x v="7"/>
    <n v="45.081967213114801"/>
    <n v="2742.4863387978098"/>
    <n v="9872.9508196721308"/>
  </r>
  <r>
    <x v="0"/>
    <x v="0"/>
    <x v="0"/>
    <x v="3"/>
    <x v="4"/>
    <s v="LV_A3"/>
    <x v="9"/>
    <x v="15"/>
    <x v="2"/>
    <x v="8"/>
    <n v="45.081967213114801"/>
    <n v="2742.4863387978098"/>
    <n v="9872.9508196721308"/>
  </r>
  <r>
    <x v="0"/>
    <x v="0"/>
    <x v="0"/>
    <x v="3"/>
    <x v="4"/>
    <s v="LV_A3"/>
    <x v="9"/>
    <x v="15"/>
    <x v="2"/>
    <x v="9"/>
    <n v="45.081967213114801"/>
    <n v="2742.4863387978098"/>
    <n v="9872.9508196721308"/>
  </r>
  <r>
    <x v="0"/>
    <x v="0"/>
    <x v="0"/>
    <x v="3"/>
    <x v="4"/>
    <s v="LV_A3"/>
    <x v="9"/>
    <x v="15"/>
    <x v="2"/>
    <x v="10"/>
    <n v="45.081967213114801"/>
    <n v="2742.4863387978098"/>
    <n v="9872.9508196721308"/>
  </r>
  <r>
    <x v="0"/>
    <x v="0"/>
    <x v="0"/>
    <x v="3"/>
    <x v="4"/>
    <s v="LV_A3"/>
    <x v="9"/>
    <x v="15"/>
    <x v="2"/>
    <x v="11"/>
    <n v="45.081967213114801"/>
    <n v="2742.4863387978098"/>
    <n v="9872.9508196721308"/>
  </r>
  <r>
    <x v="0"/>
    <x v="0"/>
    <x v="0"/>
    <x v="3"/>
    <x v="4"/>
    <s v="LV_A3"/>
    <x v="9"/>
    <x v="15"/>
    <x v="3"/>
    <x v="4"/>
    <n v="45.081967213114801"/>
    <n v="2742.4863387978098"/>
    <n v="9872.9508196721308"/>
  </r>
  <r>
    <x v="0"/>
    <x v="0"/>
    <x v="0"/>
    <x v="3"/>
    <x v="4"/>
    <s v="LV_A3"/>
    <x v="9"/>
    <x v="15"/>
    <x v="3"/>
    <x v="5"/>
    <n v="45.081967213114801"/>
    <n v="2742.4863387978098"/>
    <n v="9872.9508196721308"/>
  </r>
  <r>
    <x v="0"/>
    <x v="0"/>
    <x v="0"/>
    <x v="3"/>
    <x v="4"/>
    <s v="LV_A3"/>
    <x v="9"/>
    <x v="15"/>
    <x v="3"/>
    <x v="6"/>
    <n v="45.081967213114801"/>
    <n v="2742.4863387978098"/>
    <n v="9872.9508196721308"/>
  </r>
  <r>
    <x v="0"/>
    <x v="0"/>
    <x v="0"/>
    <x v="3"/>
    <x v="4"/>
    <s v="LV_A3"/>
    <x v="9"/>
    <x v="15"/>
    <x v="3"/>
    <x v="7"/>
    <n v="45.081967213114801"/>
    <n v="2742.4863387978098"/>
    <n v="9872.9508196721308"/>
  </r>
  <r>
    <x v="0"/>
    <x v="0"/>
    <x v="0"/>
    <x v="3"/>
    <x v="4"/>
    <s v="LV_A3"/>
    <x v="9"/>
    <x v="15"/>
    <x v="3"/>
    <x v="8"/>
    <n v="45.081967213114801"/>
    <n v="2742.4863387978098"/>
    <n v="9872.9508196721308"/>
  </r>
  <r>
    <x v="0"/>
    <x v="0"/>
    <x v="0"/>
    <x v="3"/>
    <x v="4"/>
    <s v="LV_A3"/>
    <x v="9"/>
    <x v="15"/>
    <x v="3"/>
    <x v="9"/>
    <n v="45.081967213114801"/>
    <n v="2742.4863387978098"/>
    <n v="9872.9508196721308"/>
  </r>
  <r>
    <x v="0"/>
    <x v="0"/>
    <x v="0"/>
    <x v="3"/>
    <x v="4"/>
    <s v="LV_A3"/>
    <x v="9"/>
    <x v="15"/>
    <x v="3"/>
    <x v="10"/>
    <n v="45.081967213114801"/>
    <n v="2742.4863387978098"/>
    <n v="9872.9508196721308"/>
  </r>
  <r>
    <x v="0"/>
    <x v="0"/>
    <x v="0"/>
    <x v="3"/>
    <x v="4"/>
    <s v="LV_A3"/>
    <x v="9"/>
    <x v="15"/>
    <x v="3"/>
    <x v="11"/>
    <n v="45.081967213114801"/>
    <n v="2742.4863387978098"/>
    <n v="9872.9508196721308"/>
  </r>
  <r>
    <x v="0"/>
    <x v="0"/>
    <x v="0"/>
    <x v="3"/>
    <x v="4"/>
    <s v="LV_A3"/>
    <x v="9"/>
    <x v="15"/>
    <x v="4"/>
    <x v="5"/>
    <n v="45.081967213114801"/>
    <n v="2742.4863387978098"/>
    <n v="9872.9508196721308"/>
  </r>
  <r>
    <x v="0"/>
    <x v="0"/>
    <x v="0"/>
    <x v="3"/>
    <x v="4"/>
    <s v="LV_A3"/>
    <x v="9"/>
    <x v="15"/>
    <x v="4"/>
    <x v="6"/>
    <n v="45.081967213114801"/>
    <n v="2742.4863387978098"/>
    <n v="9872.9508196721308"/>
  </r>
  <r>
    <x v="0"/>
    <x v="0"/>
    <x v="0"/>
    <x v="3"/>
    <x v="4"/>
    <s v="LV_A3"/>
    <x v="9"/>
    <x v="15"/>
    <x v="4"/>
    <x v="7"/>
    <n v="45.081967213114801"/>
    <n v="2742.4863387978098"/>
    <n v="9872.9508196721308"/>
  </r>
  <r>
    <x v="0"/>
    <x v="0"/>
    <x v="0"/>
    <x v="3"/>
    <x v="4"/>
    <s v="LV_A3"/>
    <x v="9"/>
    <x v="15"/>
    <x v="4"/>
    <x v="8"/>
    <n v="45.081967213114801"/>
    <n v="2742.4863387978098"/>
    <n v="9872.9508196721308"/>
  </r>
  <r>
    <x v="0"/>
    <x v="0"/>
    <x v="0"/>
    <x v="3"/>
    <x v="4"/>
    <s v="LV_A3"/>
    <x v="9"/>
    <x v="15"/>
    <x v="4"/>
    <x v="9"/>
    <n v="45.081967213114801"/>
    <n v="2742.4863387978098"/>
    <n v="9872.9508196721308"/>
  </r>
  <r>
    <x v="0"/>
    <x v="0"/>
    <x v="0"/>
    <x v="3"/>
    <x v="4"/>
    <s v="LV_A3"/>
    <x v="9"/>
    <x v="15"/>
    <x v="4"/>
    <x v="10"/>
    <n v="45.081967213114801"/>
    <n v="2742.4863387978098"/>
    <n v="9872.9508196721308"/>
  </r>
  <r>
    <x v="0"/>
    <x v="0"/>
    <x v="0"/>
    <x v="3"/>
    <x v="4"/>
    <s v="LV_A3"/>
    <x v="9"/>
    <x v="15"/>
    <x v="4"/>
    <x v="11"/>
    <n v="45.081967213114801"/>
    <n v="2742.4863387978098"/>
    <n v="9872.9508196721308"/>
  </r>
  <r>
    <x v="0"/>
    <x v="0"/>
    <x v="0"/>
    <x v="3"/>
    <x v="4"/>
    <s v="LV_A3"/>
    <x v="9"/>
    <x v="15"/>
    <x v="5"/>
    <x v="5"/>
    <n v="45.081967213114801"/>
    <n v="2742.4863387978098"/>
    <n v="9872.9508196721308"/>
  </r>
  <r>
    <x v="0"/>
    <x v="0"/>
    <x v="0"/>
    <x v="3"/>
    <x v="4"/>
    <s v="LV_A3"/>
    <x v="9"/>
    <x v="15"/>
    <x v="5"/>
    <x v="6"/>
    <n v="45.081967213114801"/>
    <n v="2742.4863387978098"/>
    <n v="9872.9508196721308"/>
  </r>
  <r>
    <x v="0"/>
    <x v="0"/>
    <x v="0"/>
    <x v="3"/>
    <x v="4"/>
    <s v="LV_A3"/>
    <x v="9"/>
    <x v="15"/>
    <x v="5"/>
    <x v="7"/>
    <n v="45.081967213114801"/>
    <n v="2742.4863387978098"/>
    <n v="9872.9508196721308"/>
  </r>
  <r>
    <x v="0"/>
    <x v="0"/>
    <x v="0"/>
    <x v="3"/>
    <x v="4"/>
    <s v="LV_A3"/>
    <x v="9"/>
    <x v="15"/>
    <x v="5"/>
    <x v="8"/>
    <n v="45.081967213114801"/>
    <n v="2742.4863387978098"/>
    <n v="9872.9508196721308"/>
  </r>
  <r>
    <x v="0"/>
    <x v="0"/>
    <x v="0"/>
    <x v="3"/>
    <x v="4"/>
    <s v="LV_A3"/>
    <x v="9"/>
    <x v="15"/>
    <x v="5"/>
    <x v="9"/>
    <n v="45.081967213114801"/>
    <n v="2742.4863387978098"/>
    <n v="9872.9508196721308"/>
  </r>
  <r>
    <x v="0"/>
    <x v="0"/>
    <x v="0"/>
    <x v="3"/>
    <x v="4"/>
    <s v="LV_A3"/>
    <x v="9"/>
    <x v="15"/>
    <x v="5"/>
    <x v="10"/>
    <n v="45.081967213114801"/>
    <n v="2742.4863387978098"/>
    <n v="9872.9508196721308"/>
  </r>
  <r>
    <x v="0"/>
    <x v="0"/>
    <x v="0"/>
    <x v="3"/>
    <x v="4"/>
    <s v="LV_A3"/>
    <x v="9"/>
    <x v="15"/>
    <x v="5"/>
    <x v="11"/>
    <n v="45.081967213114801"/>
    <n v="2742.4863387978098"/>
    <n v="9872.9508196721308"/>
  </r>
  <r>
    <x v="0"/>
    <x v="0"/>
    <x v="0"/>
    <x v="3"/>
    <x v="4"/>
    <s v="LV_A3"/>
    <x v="9"/>
    <x v="15"/>
    <x v="6"/>
    <x v="4"/>
    <n v="37.416423140595001"/>
    <n v="2276.1657410528601"/>
    <n v="8194.1966677903201"/>
  </r>
  <r>
    <x v="0"/>
    <x v="0"/>
    <x v="0"/>
    <x v="3"/>
    <x v="4"/>
    <s v="LV_A3"/>
    <x v="9"/>
    <x v="15"/>
    <x v="6"/>
    <x v="5"/>
    <n v="45.081967213114801"/>
    <n v="2742.4863387978098"/>
    <n v="9872.9508196721308"/>
  </r>
  <r>
    <x v="0"/>
    <x v="0"/>
    <x v="0"/>
    <x v="3"/>
    <x v="4"/>
    <s v="LV_A3"/>
    <x v="9"/>
    <x v="15"/>
    <x v="6"/>
    <x v="6"/>
    <n v="45.081967213114801"/>
    <n v="2742.4863387978098"/>
    <n v="9872.9508196721308"/>
  </r>
  <r>
    <x v="0"/>
    <x v="0"/>
    <x v="0"/>
    <x v="3"/>
    <x v="4"/>
    <s v="LV_A3"/>
    <x v="9"/>
    <x v="15"/>
    <x v="6"/>
    <x v="7"/>
    <n v="45.081967213114801"/>
    <n v="2742.4863387978098"/>
    <n v="9872.9508196721308"/>
  </r>
  <r>
    <x v="0"/>
    <x v="0"/>
    <x v="0"/>
    <x v="3"/>
    <x v="4"/>
    <s v="LV_A3"/>
    <x v="9"/>
    <x v="15"/>
    <x v="6"/>
    <x v="8"/>
    <n v="45.081967213114801"/>
    <n v="2742.4863387978098"/>
    <n v="9872.9508196721308"/>
  </r>
  <r>
    <x v="0"/>
    <x v="0"/>
    <x v="0"/>
    <x v="3"/>
    <x v="4"/>
    <s v="LV_A3"/>
    <x v="9"/>
    <x v="15"/>
    <x v="6"/>
    <x v="9"/>
    <n v="45.081967213114801"/>
    <n v="2742.4863387978098"/>
    <n v="9872.9508196721308"/>
  </r>
  <r>
    <x v="0"/>
    <x v="0"/>
    <x v="0"/>
    <x v="3"/>
    <x v="4"/>
    <s v="LV_A3"/>
    <x v="9"/>
    <x v="15"/>
    <x v="6"/>
    <x v="10"/>
    <n v="45.081967213114801"/>
    <n v="2742.4863387978098"/>
    <n v="9872.9508196721308"/>
  </r>
  <r>
    <x v="0"/>
    <x v="0"/>
    <x v="0"/>
    <x v="3"/>
    <x v="4"/>
    <s v="LV_A3"/>
    <x v="9"/>
    <x v="15"/>
    <x v="6"/>
    <x v="11"/>
    <n v="45.081967213114801"/>
    <n v="2742.4863387978098"/>
    <n v="9872.9508196721308"/>
  </r>
  <r>
    <x v="0"/>
    <x v="0"/>
    <x v="0"/>
    <x v="3"/>
    <x v="4"/>
    <s v="LV_A3"/>
    <x v="9"/>
    <x v="15"/>
    <x v="7"/>
    <x v="4"/>
    <n v="27.035839166573201"/>
    <n v="1644.6802159665399"/>
    <n v="5920.8487774795403"/>
  </r>
  <r>
    <x v="0"/>
    <x v="0"/>
    <x v="0"/>
    <x v="3"/>
    <x v="4"/>
    <s v="LV_A3"/>
    <x v="9"/>
    <x v="15"/>
    <x v="7"/>
    <x v="5"/>
    <n v="45.081967213114801"/>
    <n v="2742.4863387978098"/>
    <n v="9872.9508196721308"/>
  </r>
  <r>
    <x v="0"/>
    <x v="0"/>
    <x v="0"/>
    <x v="3"/>
    <x v="4"/>
    <s v="LV_A3"/>
    <x v="9"/>
    <x v="15"/>
    <x v="7"/>
    <x v="6"/>
    <n v="45.081967213114801"/>
    <n v="2742.4863387978098"/>
    <n v="9872.9508196721308"/>
  </r>
  <r>
    <x v="0"/>
    <x v="0"/>
    <x v="0"/>
    <x v="3"/>
    <x v="4"/>
    <s v="LV_A3"/>
    <x v="9"/>
    <x v="15"/>
    <x v="7"/>
    <x v="7"/>
    <n v="45.081967213114801"/>
    <n v="2742.4863387978098"/>
    <n v="9872.9508196721308"/>
  </r>
  <r>
    <x v="0"/>
    <x v="0"/>
    <x v="0"/>
    <x v="3"/>
    <x v="4"/>
    <s v="LV_A3"/>
    <x v="9"/>
    <x v="15"/>
    <x v="7"/>
    <x v="8"/>
    <n v="45.081967213114801"/>
    <n v="2742.4863387978098"/>
    <n v="9872.9508196721308"/>
  </r>
  <r>
    <x v="0"/>
    <x v="0"/>
    <x v="0"/>
    <x v="3"/>
    <x v="4"/>
    <s v="LV_A3"/>
    <x v="9"/>
    <x v="15"/>
    <x v="7"/>
    <x v="9"/>
    <n v="45.081967213114801"/>
    <n v="2742.4863387978098"/>
    <n v="9872.9508196721308"/>
  </r>
  <r>
    <x v="0"/>
    <x v="0"/>
    <x v="0"/>
    <x v="3"/>
    <x v="4"/>
    <s v="LV_A3"/>
    <x v="9"/>
    <x v="15"/>
    <x v="7"/>
    <x v="10"/>
    <n v="45.081967213114801"/>
    <n v="2742.4863387978098"/>
    <n v="9872.9508196721308"/>
  </r>
  <r>
    <x v="0"/>
    <x v="0"/>
    <x v="0"/>
    <x v="3"/>
    <x v="4"/>
    <s v="LV_A3"/>
    <x v="9"/>
    <x v="15"/>
    <x v="7"/>
    <x v="11"/>
    <n v="45.081967213114801"/>
    <n v="2742.4863387978098"/>
    <n v="9872.9508196721308"/>
  </r>
  <r>
    <x v="0"/>
    <x v="0"/>
    <x v="0"/>
    <x v="3"/>
    <x v="4"/>
    <s v="LV_A3"/>
    <x v="9"/>
    <x v="15"/>
    <x v="8"/>
    <x v="0"/>
    <n v="45.081967213114801"/>
    <n v="2742.4863387978098"/>
    <n v="9872.9508196721308"/>
  </r>
  <r>
    <x v="0"/>
    <x v="0"/>
    <x v="0"/>
    <x v="3"/>
    <x v="4"/>
    <s v="LV_A3"/>
    <x v="9"/>
    <x v="15"/>
    <x v="8"/>
    <x v="1"/>
    <n v="20.375148133072699"/>
    <n v="1239.4881780952601"/>
    <n v="4462.1574411429301"/>
  </r>
  <r>
    <x v="0"/>
    <x v="0"/>
    <x v="0"/>
    <x v="3"/>
    <x v="4"/>
    <s v="LV_A3"/>
    <x v="9"/>
    <x v="15"/>
    <x v="8"/>
    <x v="2"/>
    <n v="45.081967213114801"/>
    <n v="2742.4863387978098"/>
    <n v="9872.9508196721308"/>
  </r>
  <r>
    <x v="0"/>
    <x v="0"/>
    <x v="0"/>
    <x v="3"/>
    <x v="4"/>
    <s v="LV_A3"/>
    <x v="9"/>
    <x v="15"/>
    <x v="8"/>
    <x v="3"/>
    <n v="45.081967213114801"/>
    <n v="2742.4863387978098"/>
    <n v="9872.9508196721308"/>
  </r>
  <r>
    <x v="0"/>
    <x v="0"/>
    <x v="0"/>
    <x v="3"/>
    <x v="4"/>
    <s v="LV_A3"/>
    <x v="9"/>
    <x v="15"/>
    <x v="8"/>
    <x v="4"/>
    <n v="45.081967213114801"/>
    <n v="2742.4863387978098"/>
    <n v="9872.9508196721308"/>
  </r>
  <r>
    <x v="0"/>
    <x v="0"/>
    <x v="0"/>
    <x v="3"/>
    <x v="4"/>
    <s v="LV_A3"/>
    <x v="9"/>
    <x v="15"/>
    <x v="8"/>
    <x v="5"/>
    <n v="45.081967213114801"/>
    <n v="2742.4863387978098"/>
    <n v="9872.9508196721308"/>
  </r>
  <r>
    <x v="0"/>
    <x v="0"/>
    <x v="0"/>
    <x v="3"/>
    <x v="4"/>
    <s v="LV_A3"/>
    <x v="9"/>
    <x v="15"/>
    <x v="8"/>
    <x v="6"/>
    <n v="45.081967213114801"/>
    <n v="2742.4863387978098"/>
    <n v="9872.9508196721308"/>
  </r>
  <r>
    <x v="0"/>
    <x v="0"/>
    <x v="0"/>
    <x v="3"/>
    <x v="4"/>
    <s v="LV_A3"/>
    <x v="9"/>
    <x v="15"/>
    <x v="8"/>
    <x v="7"/>
    <n v="45.081967213114801"/>
    <n v="2742.4863387978098"/>
    <n v="9872.9508196721308"/>
  </r>
  <r>
    <x v="0"/>
    <x v="0"/>
    <x v="0"/>
    <x v="3"/>
    <x v="4"/>
    <s v="LV_A3"/>
    <x v="9"/>
    <x v="15"/>
    <x v="8"/>
    <x v="8"/>
    <n v="45.081967213114801"/>
    <n v="2742.4863387978098"/>
    <n v="9872.9508196721308"/>
  </r>
  <r>
    <x v="0"/>
    <x v="0"/>
    <x v="0"/>
    <x v="3"/>
    <x v="4"/>
    <s v="LV_A3"/>
    <x v="9"/>
    <x v="15"/>
    <x v="8"/>
    <x v="9"/>
    <n v="45.081967213114801"/>
    <n v="2742.4863387978098"/>
    <n v="9872.9508196721308"/>
  </r>
  <r>
    <x v="0"/>
    <x v="0"/>
    <x v="0"/>
    <x v="3"/>
    <x v="4"/>
    <s v="LV_A3"/>
    <x v="9"/>
    <x v="15"/>
    <x v="8"/>
    <x v="10"/>
    <n v="45.081967213114801"/>
    <n v="2742.4863387978098"/>
    <n v="9872.9508196721308"/>
  </r>
  <r>
    <x v="0"/>
    <x v="0"/>
    <x v="0"/>
    <x v="3"/>
    <x v="4"/>
    <s v="LV_A3"/>
    <x v="9"/>
    <x v="15"/>
    <x v="8"/>
    <x v="11"/>
    <n v="45.081967213114801"/>
    <n v="2742.4863387978098"/>
    <n v="9872.9508196721308"/>
  </r>
  <r>
    <x v="0"/>
    <x v="0"/>
    <x v="0"/>
    <x v="3"/>
    <x v="4"/>
    <s v="LV_A3"/>
    <x v="9"/>
    <x v="15"/>
    <x v="9"/>
    <x v="0"/>
    <n v="45.081967213114801"/>
    <n v="2742.4863387978098"/>
    <n v="9872.9508196721308"/>
  </r>
  <r>
    <x v="0"/>
    <x v="0"/>
    <x v="0"/>
    <x v="3"/>
    <x v="4"/>
    <s v="LV_A3"/>
    <x v="9"/>
    <x v="15"/>
    <x v="9"/>
    <x v="1"/>
    <n v="45.081967213114801"/>
    <n v="2742.4863387978098"/>
    <n v="9872.9508196721308"/>
  </r>
  <r>
    <x v="0"/>
    <x v="0"/>
    <x v="0"/>
    <x v="3"/>
    <x v="4"/>
    <s v="LV_A3"/>
    <x v="9"/>
    <x v="15"/>
    <x v="9"/>
    <x v="2"/>
    <n v="45.081967213114801"/>
    <n v="2742.4863387978098"/>
    <n v="9872.9508196721308"/>
  </r>
  <r>
    <x v="0"/>
    <x v="0"/>
    <x v="0"/>
    <x v="3"/>
    <x v="4"/>
    <s v="LV_A3"/>
    <x v="9"/>
    <x v="15"/>
    <x v="9"/>
    <x v="3"/>
    <n v="45.081967213114801"/>
    <n v="2742.4863387978098"/>
    <n v="9872.9508196721308"/>
  </r>
  <r>
    <x v="0"/>
    <x v="0"/>
    <x v="0"/>
    <x v="3"/>
    <x v="4"/>
    <s v="LV_A3"/>
    <x v="9"/>
    <x v="15"/>
    <x v="9"/>
    <x v="4"/>
    <n v="45.081967213114801"/>
    <n v="2742.4863387978098"/>
    <n v="9872.9508196721308"/>
  </r>
  <r>
    <x v="0"/>
    <x v="0"/>
    <x v="0"/>
    <x v="3"/>
    <x v="4"/>
    <s v="LV_A3"/>
    <x v="9"/>
    <x v="15"/>
    <x v="9"/>
    <x v="5"/>
    <n v="45.081967213114801"/>
    <n v="2742.4863387978098"/>
    <n v="9872.9508196721308"/>
  </r>
  <r>
    <x v="0"/>
    <x v="0"/>
    <x v="0"/>
    <x v="3"/>
    <x v="4"/>
    <s v="LV_A3"/>
    <x v="9"/>
    <x v="15"/>
    <x v="9"/>
    <x v="6"/>
    <n v="45.081967213114801"/>
    <n v="2742.4863387978098"/>
    <n v="9872.9508196721308"/>
  </r>
  <r>
    <x v="0"/>
    <x v="0"/>
    <x v="0"/>
    <x v="3"/>
    <x v="4"/>
    <s v="LV_A3"/>
    <x v="9"/>
    <x v="15"/>
    <x v="9"/>
    <x v="7"/>
    <n v="45.081967213114801"/>
    <n v="2742.4863387978098"/>
    <n v="9872.9508196721308"/>
  </r>
  <r>
    <x v="0"/>
    <x v="0"/>
    <x v="0"/>
    <x v="3"/>
    <x v="4"/>
    <s v="LV_A3"/>
    <x v="9"/>
    <x v="15"/>
    <x v="9"/>
    <x v="8"/>
    <n v="45.081967213114801"/>
    <n v="2742.4863387978098"/>
    <n v="9872.9508196721308"/>
  </r>
  <r>
    <x v="0"/>
    <x v="0"/>
    <x v="0"/>
    <x v="3"/>
    <x v="4"/>
    <s v="LV_A3"/>
    <x v="9"/>
    <x v="15"/>
    <x v="9"/>
    <x v="9"/>
    <n v="45.081967213114801"/>
    <n v="2742.4863387978098"/>
    <n v="9872.9508196721308"/>
  </r>
  <r>
    <x v="0"/>
    <x v="0"/>
    <x v="0"/>
    <x v="3"/>
    <x v="4"/>
    <s v="LV_A3"/>
    <x v="9"/>
    <x v="15"/>
    <x v="9"/>
    <x v="10"/>
    <n v="45.081967213114801"/>
    <n v="2742.4863387978098"/>
    <n v="9872.9508196721308"/>
  </r>
  <r>
    <x v="0"/>
    <x v="0"/>
    <x v="0"/>
    <x v="3"/>
    <x v="4"/>
    <s v="LV_A3"/>
    <x v="9"/>
    <x v="15"/>
    <x v="9"/>
    <x v="11"/>
    <n v="45.081967213114801"/>
    <n v="2742.4863387978098"/>
    <n v="9872.9508196721308"/>
  </r>
  <r>
    <x v="0"/>
    <x v="0"/>
    <x v="0"/>
    <x v="3"/>
    <x v="4"/>
    <s v="LV_A3"/>
    <x v="9"/>
    <x v="15"/>
    <x v="10"/>
    <x v="2"/>
    <n v="45.081967213114801"/>
    <n v="2742.4863387978098"/>
    <n v="9872.9508196721308"/>
  </r>
  <r>
    <x v="0"/>
    <x v="0"/>
    <x v="0"/>
    <x v="3"/>
    <x v="4"/>
    <s v="LV_A3"/>
    <x v="9"/>
    <x v="15"/>
    <x v="10"/>
    <x v="3"/>
    <n v="45.081967213114801"/>
    <n v="2742.4863387978098"/>
    <n v="9872.9508196721308"/>
  </r>
  <r>
    <x v="0"/>
    <x v="0"/>
    <x v="0"/>
    <x v="3"/>
    <x v="4"/>
    <s v="LV_A3"/>
    <x v="9"/>
    <x v="15"/>
    <x v="10"/>
    <x v="4"/>
    <n v="45.081967213114801"/>
    <n v="2742.4863387978098"/>
    <n v="9872.9508196721308"/>
  </r>
  <r>
    <x v="0"/>
    <x v="0"/>
    <x v="0"/>
    <x v="3"/>
    <x v="4"/>
    <s v="LV_A3"/>
    <x v="9"/>
    <x v="15"/>
    <x v="10"/>
    <x v="5"/>
    <n v="45.081967213114801"/>
    <n v="2742.4863387978098"/>
    <n v="9872.9508196721308"/>
  </r>
  <r>
    <x v="0"/>
    <x v="0"/>
    <x v="0"/>
    <x v="3"/>
    <x v="4"/>
    <s v="LV_A3"/>
    <x v="9"/>
    <x v="15"/>
    <x v="10"/>
    <x v="6"/>
    <n v="45.081967213114801"/>
    <n v="2742.4863387978098"/>
    <n v="9872.9508196721308"/>
  </r>
  <r>
    <x v="0"/>
    <x v="0"/>
    <x v="0"/>
    <x v="3"/>
    <x v="4"/>
    <s v="LV_A3"/>
    <x v="9"/>
    <x v="15"/>
    <x v="10"/>
    <x v="7"/>
    <n v="45.081967213114801"/>
    <n v="2742.4863387978098"/>
    <n v="9872.9508196721308"/>
  </r>
  <r>
    <x v="0"/>
    <x v="0"/>
    <x v="0"/>
    <x v="3"/>
    <x v="4"/>
    <s v="LV_A3"/>
    <x v="9"/>
    <x v="15"/>
    <x v="10"/>
    <x v="8"/>
    <n v="45.081967213114801"/>
    <n v="2742.4863387978098"/>
    <n v="9872.9508196721308"/>
  </r>
  <r>
    <x v="0"/>
    <x v="0"/>
    <x v="0"/>
    <x v="3"/>
    <x v="4"/>
    <s v="LV_A3"/>
    <x v="9"/>
    <x v="15"/>
    <x v="10"/>
    <x v="9"/>
    <n v="45.081967213114801"/>
    <n v="2742.4863387978098"/>
    <n v="9872.9508196721308"/>
  </r>
  <r>
    <x v="0"/>
    <x v="0"/>
    <x v="0"/>
    <x v="3"/>
    <x v="4"/>
    <s v="LV_A3"/>
    <x v="9"/>
    <x v="15"/>
    <x v="10"/>
    <x v="10"/>
    <n v="45.081967213114801"/>
    <n v="2742.4863387978098"/>
    <n v="9872.9508196721308"/>
  </r>
  <r>
    <x v="0"/>
    <x v="0"/>
    <x v="0"/>
    <x v="3"/>
    <x v="4"/>
    <s v="LV_A3"/>
    <x v="9"/>
    <x v="15"/>
    <x v="10"/>
    <x v="11"/>
    <n v="27.865896644726799"/>
    <n v="1695.1753792208799"/>
    <n v="6102.6313651951796"/>
  </r>
  <r>
    <x v="0"/>
    <x v="0"/>
    <x v="0"/>
    <x v="3"/>
    <x v="4"/>
    <s v="LV_A3"/>
    <x v="9"/>
    <x v="15"/>
    <x v="11"/>
    <x v="6"/>
    <n v="45.081967213114801"/>
    <n v="2742.4863387978098"/>
    <n v="9872.9508196721308"/>
  </r>
  <r>
    <x v="0"/>
    <x v="0"/>
    <x v="0"/>
    <x v="3"/>
    <x v="4"/>
    <s v="LV_A3"/>
    <x v="9"/>
    <x v="15"/>
    <x v="11"/>
    <x v="7"/>
    <n v="45.081967213114801"/>
    <n v="2742.4863387978098"/>
    <n v="9872.9508196721308"/>
  </r>
  <r>
    <x v="0"/>
    <x v="0"/>
    <x v="0"/>
    <x v="3"/>
    <x v="4"/>
    <s v="LV_A3"/>
    <x v="9"/>
    <x v="15"/>
    <x v="11"/>
    <x v="8"/>
    <n v="45.081967213114801"/>
    <n v="2742.4863387978098"/>
    <n v="9872.9508196721308"/>
  </r>
  <r>
    <x v="0"/>
    <x v="0"/>
    <x v="0"/>
    <x v="3"/>
    <x v="4"/>
    <s v="LV_A3"/>
    <x v="9"/>
    <x v="15"/>
    <x v="11"/>
    <x v="9"/>
    <n v="45.081967213114801"/>
    <n v="2742.4863387978098"/>
    <n v="9872.9508196721308"/>
  </r>
  <r>
    <x v="0"/>
    <x v="0"/>
    <x v="0"/>
    <x v="3"/>
    <x v="4"/>
    <s v="LV_A3"/>
    <x v="9"/>
    <x v="15"/>
    <x v="11"/>
    <x v="10"/>
    <n v="45.081967213114801"/>
    <n v="2742.4863387978098"/>
    <n v="9872.9508196721308"/>
  </r>
  <r>
    <x v="0"/>
    <x v="0"/>
    <x v="0"/>
    <x v="3"/>
    <x v="4"/>
    <s v="LV_A3"/>
    <x v="9"/>
    <x v="15"/>
    <x v="11"/>
    <x v="11"/>
    <n v="45.081967213114801"/>
    <n v="2742.4863387978098"/>
    <n v="9872.9508196721308"/>
  </r>
  <r>
    <x v="0"/>
    <x v="0"/>
    <x v="0"/>
    <x v="3"/>
    <x v="4"/>
    <s v="LV_A3"/>
    <x v="9"/>
    <x v="18"/>
    <x v="0"/>
    <x v="0"/>
    <n v="154.14859056436501"/>
    <n v="9377.3725926655206"/>
    <n v="33758.541333595902"/>
  </r>
  <r>
    <x v="0"/>
    <x v="0"/>
    <x v="0"/>
    <x v="3"/>
    <x v="4"/>
    <s v="LV_A3"/>
    <x v="9"/>
    <x v="18"/>
    <x v="0"/>
    <x v="1"/>
    <n v="128.48313783781799"/>
    <n v="7816.0575518005799"/>
    <n v="28137.807186482099"/>
  </r>
  <r>
    <x v="0"/>
    <x v="0"/>
    <x v="0"/>
    <x v="3"/>
    <x v="4"/>
    <s v="LV_A3"/>
    <x v="9"/>
    <x v="18"/>
    <x v="0"/>
    <x v="2"/>
    <n v="174.83180645625799"/>
    <n v="10635.601559422401"/>
    <n v="38288.165613920501"/>
  </r>
  <r>
    <x v="0"/>
    <x v="0"/>
    <x v="0"/>
    <x v="3"/>
    <x v="4"/>
    <s v="LV_A3"/>
    <x v="9"/>
    <x v="18"/>
    <x v="0"/>
    <x v="3"/>
    <n v="179.96246257831399"/>
    <n v="10947.7164735141"/>
    <n v="39411.779304650903"/>
  </r>
  <r>
    <x v="0"/>
    <x v="0"/>
    <x v="0"/>
    <x v="3"/>
    <x v="4"/>
    <s v="LV_A3"/>
    <x v="9"/>
    <x v="18"/>
    <x v="0"/>
    <x v="4"/>
    <n v="176.36373501012699"/>
    <n v="10728.793879782699"/>
    <n v="38623.657967217798"/>
  </r>
  <r>
    <x v="0"/>
    <x v="0"/>
    <x v="0"/>
    <x v="3"/>
    <x v="4"/>
    <s v="LV_A3"/>
    <x v="9"/>
    <x v="18"/>
    <x v="0"/>
    <x v="5"/>
    <n v="185.36055393059499"/>
    <n v="11276.1003641112"/>
    <n v="40593.961310800398"/>
  </r>
  <r>
    <x v="0"/>
    <x v="0"/>
    <x v="0"/>
    <x v="3"/>
    <x v="4"/>
    <s v="LV_A3"/>
    <x v="9"/>
    <x v="18"/>
    <x v="0"/>
    <x v="6"/>
    <n v="202.503547485909"/>
    <n v="12318.9658053928"/>
    <n v="44348.276899414101"/>
  </r>
  <r>
    <x v="0"/>
    <x v="0"/>
    <x v="0"/>
    <x v="3"/>
    <x v="4"/>
    <s v="LV_A3"/>
    <x v="9"/>
    <x v="18"/>
    <x v="0"/>
    <x v="7"/>
    <n v="214.248449688942"/>
    <n v="13033.4473560773"/>
    <n v="46920.4104818782"/>
  </r>
  <r>
    <x v="0"/>
    <x v="0"/>
    <x v="0"/>
    <x v="3"/>
    <x v="4"/>
    <s v="LV_A3"/>
    <x v="9"/>
    <x v="18"/>
    <x v="0"/>
    <x v="8"/>
    <n v="199.37917966695699"/>
    <n v="12128.9000964066"/>
    <n v="43664.040347063601"/>
  </r>
  <r>
    <x v="0"/>
    <x v="0"/>
    <x v="0"/>
    <x v="3"/>
    <x v="4"/>
    <s v="LV_A3"/>
    <x v="9"/>
    <x v="18"/>
    <x v="0"/>
    <x v="9"/>
    <n v="180.911182076785"/>
    <n v="11005.430243004401"/>
    <n v="39619.548874815897"/>
  </r>
  <r>
    <x v="0"/>
    <x v="0"/>
    <x v="0"/>
    <x v="3"/>
    <x v="4"/>
    <s v="LV_A3"/>
    <x v="9"/>
    <x v="18"/>
    <x v="0"/>
    <x v="10"/>
    <n v="177.312454508597"/>
    <n v="10786.507649273"/>
    <n v="38831.427537382799"/>
  </r>
  <r>
    <x v="0"/>
    <x v="0"/>
    <x v="0"/>
    <x v="3"/>
    <x v="4"/>
    <s v="LV_A3"/>
    <x v="9"/>
    <x v="18"/>
    <x v="0"/>
    <x v="11"/>
    <n v="162.917544235848"/>
    <n v="9910.8172743474006"/>
    <n v="35678.942187650697"/>
  </r>
  <r>
    <x v="0"/>
    <x v="0"/>
    <x v="0"/>
    <x v="3"/>
    <x v="4"/>
    <s v="LV_A3"/>
    <x v="9"/>
    <x v="18"/>
    <x v="1"/>
    <x v="0"/>
    <n v="94.769585689272802"/>
    <n v="5765.1497960974302"/>
    <n v="20754.539265950702"/>
  </r>
  <r>
    <x v="0"/>
    <x v="0"/>
    <x v="0"/>
    <x v="3"/>
    <x v="4"/>
    <s v="LV_A3"/>
    <x v="9"/>
    <x v="18"/>
    <x v="1"/>
    <x v="1"/>
    <n v="95.294492115137999"/>
    <n v="5797.0816036708902"/>
    <n v="20869.493773215199"/>
  </r>
  <r>
    <x v="0"/>
    <x v="0"/>
    <x v="0"/>
    <x v="3"/>
    <x v="4"/>
    <s v="LV_A3"/>
    <x v="9"/>
    <x v="18"/>
    <x v="1"/>
    <x v="2"/>
    <n v="143.97518689643999"/>
    <n v="8758.49053620011"/>
    <n v="31530.565930320401"/>
  </r>
  <r>
    <x v="0"/>
    <x v="0"/>
    <x v="0"/>
    <x v="3"/>
    <x v="4"/>
    <s v="LV_A3"/>
    <x v="9"/>
    <x v="18"/>
    <x v="1"/>
    <x v="3"/>
    <n v="152.97200581690899"/>
    <n v="9305.7970205286292"/>
    <n v="33500.869273903103"/>
  </r>
  <r>
    <x v="0"/>
    <x v="0"/>
    <x v="0"/>
    <x v="3"/>
    <x v="4"/>
    <s v="LV_A3"/>
    <x v="9"/>
    <x v="18"/>
    <x v="1"/>
    <x v="4"/>
    <n v="109.68940238788799"/>
    <n v="6672.7719785965"/>
    <n v="24021.979122947399"/>
  </r>
  <r>
    <x v="0"/>
    <x v="0"/>
    <x v="0"/>
    <x v="3"/>
    <x v="4"/>
    <s v="LV_A3"/>
    <x v="9"/>
    <x v="18"/>
    <x v="1"/>
    <x v="5"/>
    <n v="106.890772428693"/>
    <n v="6502.5219894121701"/>
    <n v="23409.079161883801"/>
  </r>
  <r>
    <x v="0"/>
    <x v="0"/>
    <x v="0"/>
    <x v="3"/>
    <x v="4"/>
    <s v="LV_A3"/>
    <x v="9"/>
    <x v="18"/>
    <x v="1"/>
    <x v="6"/>
    <n v="127.632493552195"/>
    <n v="7764.31002442518"/>
    <n v="27951.516087930599"/>
  </r>
  <r>
    <x v="0"/>
    <x v="0"/>
    <x v="0"/>
    <x v="3"/>
    <x v="4"/>
    <s v="LV_A3"/>
    <x v="9"/>
    <x v="18"/>
    <x v="1"/>
    <x v="7"/>
    <n v="142.97612332341501"/>
    <n v="8697.7141688410702"/>
    <n v="31311.7710078278"/>
  </r>
  <r>
    <x v="0"/>
    <x v="0"/>
    <x v="0"/>
    <x v="3"/>
    <x v="4"/>
    <s v="LV_A3"/>
    <x v="9"/>
    <x v="18"/>
    <x v="1"/>
    <x v="8"/>
    <n v="129.90621708552399"/>
    <n v="7902.6282060360199"/>
    <n v="28449.461541729699"/>
  </r>
  <r>
    <x v="0"/>
    <x v="0"/>
    <x v="0"/>
    <x v="3"/>
    <x v="4"/>
    <s v="LV_A3"/>
    <x v="9"/>
    <x v="18"/>
    <x v="1"/>
    <x v="9"/>
    <n v="127.632493552195"/>
    <n v="7764.31002442518"/>
    <n v="27951.516087930599"/>
  </r>
  <r>
    <x v="0"/>
    <x v="0"/>
    <x v="0"/>
    <x v="3"/>
    <x v="4"/>
    <s v="LV_A3"/>
    <x v="9"/>
    <x v="18"/>
    <x v="1"/>
    <x v="10"/>
    <n v="124.033765984007"/>
    <n v="7545.3874306937796"/>
    <n v="27163.394750497599"/>
  </r>
  <r>
    <x v="0"/>
    <x v="0"/>
    <x v="0"/>
    <x v="3"/>
    <x v="4"/>
    <s v="LV_A3"/>
    <x v="9"/>
    <x v="18"/>
    <x v="1"/>
    <x v="11"/>
    <n v="115.03694706353799"/>
    <n v="6998.0809463652604"/>
    <n v="25193.0914069149"/>
  </r>
  <r>
    <x v="0"/>
    <x v="0"/>
    <x v="0"/>
    <x v="3"/>
    <x v="4"/>
    <s v="LV_A3"/>
    <x v="9"/>
    <x v="18"/>
    <x v="2"/>
    <x v="0"/>
    <n v="268.605647748141"/>
    <n v="16340.176904678599"/>
    <n v="58824.636856842801"/>
  </r>
  <r>
    <x v="0"/>
    <x v="0"/>
    <x v="0"/>
    <x v="3"/>
    <x v="4"/>
    <s v="LV_A3"/>
    <x v="9"/>
    <x v="18"/>
    <x v="2"/>
    <x v="1"/>
    <n v="255.53574151025001"/>
    <n v="15545.090941873499"/>
    <n v="55962.3273907447"/>
  </r>
  <r>
    <x v="0"/>
    <x v="0"/>
    <x v="0"/>
    <x v="3"/>
    <x v="4"/>
    <s v="LV_A3"/>
    <x v="9"/>
    <x v="18"/>
    <x v="2"/>
    <x v="2"/>
    <n v="257.33510529434301"/>
    <n v="15654.552238739199"/>
    <n v="56356.388059461096"/>
  </r>
  <r>
    <x v="0"/>
    <x v="0"/>
    <x v="0"/>
    <x v="3"/>
    <x v="4"/>
    <s v="LV_A3"/>
    <x v="9"/>
    <x v="18"/>
    <x v="2"/>
    <x v="3"/>
    <n v="241.14083123750001"/>
    <n v="14669.400566947899"/>
    <n v="52809.842041012504"/>
  </r>
  <r>
    <x v="0"/>
    <x v="0"/>
    <x v="0"/>
    <x v="3"/>
    <x v="4"/>
    <s v="LV_A3"/>
    <x v="9"/>
    <x v="18"/>
    <x v="2"/>
    <x v="4"/>
    <n v="239.34146745340601"/>
    <n v="14559.939270082201"/>
    <n v="52415.781372295998"/>
  </r>
  <r>
    <x v="0"/>
    <x v="0"/>
    <x v="0"/>
    <x v="3"/>
    <x v="4"/>
    <s v="LV_A3"/>
    <x v="9"/>
    <x v="18"/>
    <x v="2"/>
    <x v="5"/>
    <n v="188.86140888801"/>
    <n v="11489.0690406873"/>
    <n v="41360.6485464742"/>
  </r>
  <r>
    <x v="0"/>
    <x v="0"/>
    <x v="0"/>
    <x v="3"/>
    <x v="4"/>
    <s v="LV_A3"/>
    <x v="9"/>
    <x v="18"/>
    <x v="2"/>
    <x v="6"/>
    <n v="176.215315722724"/>
    <n v="10719.7650397991"/>
    <n v="38591.154143276603"/>
  </r>
  <r>
    <x v="0"/>
    <x v="0"/>
    <x v="0"/>
    <x v="3"/>
    <x v="4"/>
    <s v="LV_A3"/>
    <x v="9"/>
    <x v="18"/>
    <x v="2"/>
    <x v="7"/>
    <n v="180.76276278938201"/>
    <n v="10996.4014030207"/>
    <n v="39587.045050874702"/>
  </r>
  <r>
    <x v="0"/>
    <x v="0"/>
    <x v="0"/>
    <x v="3"/>
    <x v="4"/>
    <s v="LV_A3"/>
    <x v="9"/>
    <x v="18"/>
    <x v="2"/>
    <x v="8"/>
    <n v="171.29158411967799"/>
    <n v="10420.2380339471"/>
    <n v="37512.856922209598"/>
  </r>
  <r>
    <x v="0"/>
    <x v="0"/>
    <x v="0"/>
    <x v="3"/>
    <x v="4"/>
    <s v="LV_A3"/>
    <x v="9"/>
    <x v="18"/>
    <x v="2"/>
    <x v="9"/>
    <n v="163.619769234069"/>
    <n v="9953.5359617391696"/>
    <n v="35832.729462260999"/>
  </r>
  <r>
    <x v="0"/>
    <x v="0"/>
    <x v="0"/>
    <x v="3"/>
    <x v="4"/>
    <s v="LV_A3"/>
    <x v="9"/>
    <x v="18"/>
    <x v="2"/>
    <x v="10"/>
    <n v="165.419133018162"/>
    <n v="10062.997258604901"/>
    <n v="36226.790130977497"/>
  </r>
  <r>
    <x v="0"/>
    <x v="0"/>
    <x v="0"/>
    <x v="3"/>
    <x v="4"/>
    <s v="LV_A3"/>
    <x v="9"/>
    <x v="18"/>
    <x v="2"/>
    <x v="11"/>
    <n v="165.419133018162"/>
    <n v="10062.997258604901"/>
    <n v="36226.790130977497"/>
  </r>
  <r>
    <x v="0"/>
    <x v="0"/>
    <x v="0"/>
    <x v="3"/>
    <x v="4"/>
    <s v="LV_A3"/>
    <x v="9"/>
    <x v="18"/>
    <x v="3"/>
    <x v="0"/>
    <n v="153.44636556614401"/>
    <n v="9334.6539052737608"/>
    <n v="33604.754058985498"/>
  </r>
  <r>
    <x v="0"/>
    <x v="0"/>
    <x v="0"/>
    <x v="3"/>
    <x v="4"/>
    <s v="LV_A3"/>
    <x v="9"/>
    <x v="18"/>
    <x v="3"/>
    <x v="1"/>
    <n v="145.77455068053399"/>
    <n v="8867.9518330658193"/>
    <n v="31924.626599037001"/>
  </r>
  <r>
    <x v="0"/>
    <x v="0"/>
    <x v="0"/>
    <x v="3"/>
    <x v="4"/>
    <s v="LV_A3"/>
    <x v="9"/>
    <x v="18"/>
    <x v="3"/>
    <x v="2"/>
    <n v="145.77455068053399"/>
    <n v="8867.9518330658193"/>
    <n v="31924.626599037001"/>
  </r>
  <r>
    <x v="0"/>
    <x v="0"/>
    <x v="0"/>
    <x v="3"/>
    <x v="4"/>
    <s v="LV_A3"/>
    <x v="9"/>
    <x v="18"/>
    <x v="3"/>
    <x v="3"/>
    <n v="145.77455068053399"/>
    <n v="8867.9518330658193"/>
    <n v="31924.626599037001"/>
  </r>
  <r>
    <x v="0"/>
    <x v="0"/>
    <x v="0"/>
    <x v="3"/>
    <x v="4"/>
    <s v="LV_A3"/>
    <x v="9"/>
    <x v="18"/>
    <x v="3"/>
    <x v="4"/>
    <n v="92.495862155943897"/>
    <n v="5626.8316144865903"/>
    <n v="20256.593812151699"/>
  </r>
  <r>
    <x v="0"/>
    <x v="0"/>
    <x v="0"/>
    <x v="3"/>
    <x v="4"/>
    <s v="LV_A3"/>
    <x v="9"/>
    <x v="18"/>
    <x v="3"/>
    <x v="5"/>
    <n v="92.495862155943897"/>
    <n v="5626.8316144865903"/>
    <n v="20256.593812151699"/>
  </r>
  <r>
    <x v="0"/>
    <x v="0"/>
    <x v="0"/>
    <x v="3"/>
    <x v="4"/>
    <s v="LV_A3"/>
    <x v="9"/>
    <x v="18"/>
    <x v="3"/>
    <x v="6"/>
    <n v="107.839491927164"/>
    <n v="6560.2357589024796"/>
    <n v="23616.8487320489"/>
  </r>
  <r>
    <x v="0"/>
    <x v="0"/>
    <x v="0"/>
    <x v="3"/>
    <x v="4"/>
    <s v="LV_A3"/>
    <x v="9"/>
    <x v="18"/>
    <x v="3"/>
    <x v="7"/>
    <n v="123.183121698384"/>
    <n v="7493.6399033183698"/>
    <n v="26977.103651946101"/>
  </r>
  <r>
    <x v="0"/>
    <x v="0"/>
    <x v="0"/>
    <x v="3"/>
    <x v="4"/>
    <s v="LV_A3"/>
    <x v="9"/>
    <x v="18"/>
    <x v="3"/>
    <x v="8"/>
    <n v="115.511306812774"/>
    <n v="7026.9378311104101"/>
    <n v="25296.976191997499"/>
  </r>
  <r>
    <x v="0"/>
    <x v="0"/>
    <x v="0"/>
    <x v="3"/>
    <x v="4"/>
    <s v="LV_A3"/>
    <x v="9"/>
    <x v="18"/>
    <x v="3"/>
    <x v="9"/>
    <n v="167.218496802256"/>
    <n v="10172.458555470599"/>
    <n v="36620.850799694002"/>
  </r>
  <r>
    <x v="0"/>
    <x v="0"/>
    <x v="0"/>
    <x v="3"/>
    <x v="4"/>
    <s v="LV_A3"/>
    <x v="9"/>
    <x v="18"/>
    <x v="3"/>
    <x v="10"/>
    <n v="172.616588154537"/>
    <n v="10500.8424460677"/>
    <n v="37803.032805843599"/>
  </r>
  <r>
    <x v="0"/>
    <x v="0"/>
    <x v="0"/>
    <x v="3"/>
    <x v="4"/>
    <s v="LV_A3"/>
    <x v="9"/>
    <x v="18"/>
    <x v="3"/>
    <x v="11"/>
    <n v="178.014679506818"/>
    <n v="10829.2263366648"/>
    <n v="38985.214811993203"/>
  </r>
  <r>
    <x v="0"/>
    <x v="0"/>
    <x v="0"/>
    <x v="3"/>
    <x v="4"/>
    <s v="LV_A3"/>
    <x v="9"/>
    <x v="18"/>
    <x v="4"/>
    <x v="0"/>
    <n v="151.64700178205001"/>
    <n v="9225.1926084080696"/>
    <n v="33210.693390269"/>
  </r>
  <r>
    <x v="0"/>
    <x v="0"/>
    <x v="0"/>
    <x v="3"/>
    <x v="4"/>
    <s v="LV_A3"/>
    <x v="9"/>
    <x v="18"/>
    <x v="4"/>
    <x v="1"/>
    <n v="151.17264203281499"/>
    <n v="9196.3357236629108"/>
    <n v="33106.808605186503"/>
  </r>
  <r>
    <x v="0"/>
    <x v="0"/>
    <x v="0"/>
    <x v="3"/>
    <x v="4"/>
    <s v="LV_A3"/>
    <x v="9"/>
    <x v="18"/>
    <x v="4"/>
    <x v="2"/>
    <n v="152.97200581690899"/>
    <n v="9305.7970205286292"/>
    <n v="33500.869273903103"/>
  </r>
  <r>
    <x v="0"/>
    <x v="0"/>
    <x v="0"/>
    <x v="3"/>
    <x v="4"/>
    <s v="LV_A3"/>
    <x v="9"/>
    <x v="18"/>
    <x v="4"/>
    <x v="3"/>
    <n v="160.16946095328299"/>
    <n v="9743.64220799141"/>
    <n v="35077.111948769103"/>
  </r>
  <r>
    <x v="0"/>
    <x v="0"/>
    <x v="0"/>
    <x v="3"/>
    <x v="4"/>
    <s v="LV_A3"/>
    <x v="9"/>
    <x v="18"/>
    <x v="4"/>
    <x v="4"/>
    <n v="161.96882473737699"/>
    <n v="9853.1035048571193"/>
    <n v="35471.172617485601"/>
  </r>
  <r>
    <x v="0"/>
    <x v="0"/>
    <x v="0"/>
    <x v="3"/>
    <x v="4"/>
    <s v="LV_A3"/>
    <x v="9"/>
    <x v="18"/>
    <x v="4"/>
    <x v="5"/>
    <n v="112.28886378097501"/>
    <n v="6830.9058800092898"/>
    <n v="24591.261168033401"/>
  </r>
  <r>
    <x v="0"/>
    <x v="0"/>
    <x v="0"/>
    <x v="3"/>
    <x v="4"/>
    <s v="LV_A3"/>
    <x v="9"/>
    <x v="18"/>
    <x v="4"/>
    <x v="6"/>
    <n v="125.833129768101"/>
    <n v="7654.8487275594598"/>
    <n v="27557.4554192141"/>
  </r>
  <r>
    <x v="0"/>
    <x v="0"/>
    <x v="0"/>
    <x v="3"/>
    <x v="4"/>
    <s v="LV_A3"/>
    <x v="9"/>
    <x v="18"/>
    <x v="4"/>
    <x v="7"/>
    <n v="141.17675953932101"/>
    <n v="8588.25287197535"/>
    <n v="30917.710339111301"/>
  </r>
  <r>
    <x v="0"/>
    <x v="0"/>
    <x v="0"/>
    <x v="3"/>
    <x v="4"/>
    <s v="LV_A3"/>
    <x v="9"/>
    <x v="18"/>
    <x v="4"/>
    <x v="8"/>
    <n v="124.508125733242"/>
    <n v="7574.2443154389002"/>
    <n v="27267.279535580099"/>
  </r>
  <r>
    <x v="0"/>
    <x v="0"/>
    <x v="0"/>
    <x v="3"/>
    <x v="4"/>
    <s v="LV_A3"/>
    <x v="9"/>
    <x v="18"/>
    <x v="4"/>
    <x v="9"/>
    <n v="104.240764358977"/>
    <n v="6341.3131651710801"/>
    <n v="22828.7273946159"/>
  </r>
  <r>
    <x v="0"/>
    <x v="0"/>
    <x v="0"/>
    <x v="3"/>
    <x v="4"/>
    <s v="LV_A3"/>
    <x v="9"/>
    <x v="18"/>
    <x v="4"/>
    <x v="10"/>
    <n v="98.842673006695307"/>
    <n v="6012.9292745739604"/>
    <n v="21646.5453884663"/>
  </r>
  <r>
    <x v="0"/>
    <x v="0"/>
    <x v="0"/>
    <x v="3"/>
    <x v="4"/>
    <s v="LV_A3"/>
    <x v="9"/>
    <x v="18"/>
    <x v="4"/>
    <x v="11"/>
    <n v="102.441400574883"/>
    <n v="6231.8518683053599"/>
    <n v="22434.6667258993"/>
  </r>
  <r>
    <x v="0"/>
    <x v="0"/>
    <x v="0"/>
    <x v="3"/>
    <x v="4"/>
    <s v="LV_A3"/>
    <x v="9"/>
    <x v="18"/>
    <x v="5"/>
    <x v="0"/>
    <n v="139.05145529339501"/>
    <n v="8458.9635303481791"/>
    <n v="30452.2687092534"/>
  </r>
  <r>
    <x v="0"/>
    <x v="0"/>
    <x v="0"/>
    <x v="3"/>
    <x v="4"/>
    <s v="LV_A3"/>
    <x v="9"/>
    <x v="18"/>
    <x v="5"/>
    <x v="1"/>
    <n v="134.97836797597199"/>
    <n v="8211.1840518716199"/>
    <n v="29560.262586737801"/>
  </r>
  <r>
    <x v="0"/>
    <x v="0"/>
    <x v="0"/>
    <x v="3"/>
    <x v="4"/>
    <s v="LV_A3"/>
    <x v="9"/>
    <x v="18"/>
    <x v="5"/>
    <x v="2"/>
    <n v="125.981549055503"/>
    <n v="7663.8775675431298"/>
    <n v="27589.959243155299"/>
  </r>
  <r>
    <x v="0"/>
    <x v="0"/>
    <x v="0"/>
    <x v="3"/>
    <x v="4"/>
    <s v="LV_A3"/>
    <x v="9"/>
    <x v="18"/>
    <x v="5"/>
    <x v="3"/>
    <n v="118.78409391912901"/>
    <n v="7226.0323800803199"/>
    <n v="26013.716568289201"/>
  </r>
  <r>
    <x v="0"/>
    <x v="0"/>
    <x v="0"/>
    <x v="3"/>
    <x v="4"/>
    <s v="LV_A3"/>
    <x v="9"/>
    <x v="18"/>
    <x v="5"/>
    <x v="4"/>
    <n v="120.583457703222"/>
    <n v="7335.4936769460101"/>
    <n v="26407.777237005601"/>
  </r>
  <r>
    <x v="0"/>
    <x v="0"/>
    <x v="0"/>
    <x v="3"/>
    <x v="4"/>
    <s v="LV_A3"/>
    <x v="9"/>
    <x v="18"/>
    <x v="5"/>
    <x v="5"/>
    <n v="82.882553767558505"/>
    <n v="5042.0220208598103"/>
    <n v="18151.279275095301"/>
  </r>
  <r>
    <x v="0"/>
    <x v="0"/>
    <x v="0"/>
    <x v="3"/>
    <x v="4"/>
    <s v="LV_A3"/>
    <x v="9"/>
    <x v="18"/>
    <x v="5"/>
    <x v="6"/>
    <n v="97.043309222601707"/>
    <n v="5903.4679777082702"/>
    <n v="21252.484719749798"/>
  </r>
  <r>
    <x v="0"/>
    <x v="0"/>
    <x v="0"/>
    <x v="3"/>
    <x v="4"/>
    <s v="LV_A3"/>
    <x v="9"/>
    <x v="18"/>
    <x v="5"/>
    <x v="7"/>
    <n v="121.38375791429"/>
    <n v="7384.1786064526495"/>
    <n v="26583.042983229599"/>
  </r>
  <r>
    <x v="0"/>
    <x v="0"/>
    <x v="0"/>
    <x v="3"/>
    <x v="4"/>
    <s v="LV_A3"/>
    <x v="9"/>
    <x v="18"/>
    <x v="5"/>
    <x v="8"/>
    <n v="119.110034380961"/>
    <n v="7245.8604248418096"/>
    <n v="26085.097529430499"/>
  </r>
  <r>
    <x v="0"/>
    <x v="0"/>
    <x v="0"/>
    <x v="3"/>
    <x v="4"/>
    <s v="LV_A3"/>
    <x v="9"/>
    <x v="18"/>
    <x v="5"/>
    <x v="9"/>
    <n v="115.03694706353799"/>
    <n v="6998.0809463652604"/>
    <n v="25193.0914069149"/>
  </r>
  <r>
    <x v="0"/>
    <x v="0"/>
    <x v="0"/>
    <x v="3"/>
    <x v="4"/>
    <s v="LV_A3"/>
    <x v="9"/>
    <x v="18"/>
    <x v="5"/>
    <x v="10"/>
    <n v="106.04012814307001"/>
    <n v="6450.7744620367703"/>
    <n v="23222.788063332398"/>
  </r>
  <r>
    <x v="0"/>
    <x v="0"/>
    <x v="0"/>
    <x v="3"/>
    <x v="4"/>
    <s v="LV_A3"/>
    <x v="9"/>
    <x v="18"/>
    <x v="5"/>
    <x v="11"/>
    <n v="88.046490302133407"/>
    <n v="5356.16149337978"/>
    <n v="19282.181376167198"/>
  </r>
  <r>
    <x v="0"/>
    <x v="0"/>
    <x v="0"/>
    <x v="3"/>
    <x v="4"/>
    <s v="LV_A3"/>
    <x v="9"/>
    <x v="18"/>
    <x v="6"/>
    <x v="0"/>
    <n v="290"/>
    <n v="17641.666666666701"/>
    <n v="63510"/>
  </r>
  <r>
    <x v="0"/>
    <x v="0"/>
    <x v="0"/>
    <x v="3"/>
    <x v="4"/>
    <s v="LV_A3"/>
    <x v="9"/>
    <x v="18"/>
    <x v="6"/>
    <x v="1"/>
    <n v="290"/>
    <n v="17641.666666666701"/>
    <n v="63510"/>
  </r>
  <r>
    <x v="0"/>
    <x v="0"/>
    <x v="0"/>
    <x v="3"/>
    <x v="4"/>
    <s v="LV_A3"/>
    <x v="9"/>
    <x v="18"/>
    <x v="6"/>
    <x v="2"/>
    <n v="290"/>
    <n v="17641.666666666701"/>
    <n v="63510"/>
  </r>
  <r>
    <x v="0"/>
    <x v="0"/>
    <x v="0"/>
    <x v="3"/>
    <x v="4"/>
    <s v="LV_A3"/>
    <x v="9"/>
    <x v="18"/>
    <x v="6"/>
    <x v="3"/>
    <n v="290"/>
    <n v="17641.666666666701"/>
    <n v="63510"/>
  </r>
  <r>
    <x v="0"/>
    <x v="0"/>
    <x v="0"/>
    <x v="3"/>
    <x v="4"/>
    <s v="LV_A3"/>
    <x v="9"/>
    <x v="18"/>
    <x v="6"/>
    <x v="4"/>
    <n v="290"/>
    <n v="17641.666666666701"/>
    <n v="63510"/>
  </r>
  <r>
    <x v="0"/>
    <x v="0"/>
    <x v="0"/>
    <x v="3"/>
    <x v="4"/>
    <s v="LV_A3"/>
    <x v="9"/>
    <x v="18"/>
    <x v="6"/>
    <x v="5"/>
    <n v="290"/>
    <n v="17641.666666666701"/>
    <n v="63510"/>
  </r>
  <r>
    <x v="0"/>
    <x v="0"/>
    <x v="0"/>
    <x v="3"/>
    <x v="4"/>
    <s v="LV_A3"/>
    <x v="9"/>
    <x v="18"/>
    <x v="6"/>
    <x v="6"/>
    <n v="290"/>
    <n v="17641.666666666701"/>
    <n v="63510"/>
  </r>
  <r>
    <x v="0"/>
    <x v="0"/>
    <x v="0"/>
    <x v="3"/>
    <x v="4"/>
    <s v="LV_A3"/>
    <x v="9"/>
    <x v="18"/>
    <x v="6"/>
    <x v="7"/>
    <n v="290"/>
    <n v="17641.666666666701"/>
    <n v="63510"/>
  </r>
  <r>
    <x v="0"/>
    <x v="0"/>
    <x v="0"/>
    <x v="3"/>
    <x v="4"/>
    <s v="LV_A3"/>
    <x v="9"/>
    <x v="18"/>
    <x v="6"/>
    <x v="8"/>
    <n v="290"/>
    <n v="17641.666666666701"/>
    <n v="63510"/>
  </r>
  <r>
    <x v="0"/>
    <x v="0"/>
    <x v="0"/>
    <x v="3"/>
    <x v="4"/>
    <s v="LV_A3"/>
    <x v="9"/>
    <x v="18"/>
    <x v="6"/>
    <x v="9"/>
    <n v="290"/>
    <n v="17641.666666666701"/>
    <n v="63510"/>
  </r>
  <r>
    <x v="0"/>
    <x v="0"/>
    <x v="0"/>
    <x v="3"/>
    <x v="4"/>
    <s v="LV_A3"/>
    <x v="9"/>
    <x v="18"/>
    <x v="6"/>
    <x v="10"/>
    <n v="290"/>
    <n v="17641.666666666701"/>
    <n v="63510"/>
  </r>
  <r>
    <x v="0"/>
    <x v="0"/>
    <x v="0"/>
    <x v="3"/>
    <x v="4"/>
    <s v="LV_A3"/>
    <x v="9"/>
    <x v="18"/>
    <x v="6"/>
    <x v="11"/>
    <n v="290"/>
    <n v="17641.666666666701"/>
    <n v="63510"/>
  </r>
  <r>
    <x v="0"/>
    <x v="0"/>
    <x v="0"/>
    <x v="3"/>
    <x v="4"/>
    <s v="LV_A3"/>
    <x v="9"/>
    <x v="18"/>
    <x v="7"/>
    <x v="0"/>
    <n v="290"/>
    <n v="17641.666666666701"/>
    <n v="63510"/>
  </r>
  <r>
    <x v="0"/>
    <x v="0"/>
    <x v="0"/>
    <x v="3"/>
    <x v="4"/>
    <s v="LV_A3"/>
    <x v="9"/>
    <x v="18"/>
    <x v="7"/>
    <x v="1"/>
    <n v="290"/>
    <n v="17641.666666666701"/>
    <n v="63510"/>
  </r>
  <r>
    <x v="0"/>
    <x v="0"/>
    <x v="0"/>
    <x v="3"/>
    <x v="4"/>
    <s v="LV_A3"/>
    <x v="9"/>
    <x v="18"/>
    <x v="7"/>
    <x v="2"/>
    <n v="290"/>
    <n v="17641.666666666701"/>
    <n v="63510"/>
  </r>
  <r>
    <x v="0"/>
    <x v="0"/>
    <x v="0"/>
    <x v="3"/>
    <x v="4"/>
    <s v="LV_A3"/>
    <x v="9"/>
    <x v="18"/>
    <x v="7"/>
    <x v="3"/>
    <n v="290"/>
    <n v="17641.666666666701"/>
    <n v="63510"/>
  </r>
  <r>
    <x v="0"/>
    <x v="0"/>
    <x v="0"/>
    <x v="3"/>
    <x v="4"/>
    <s v="LV_A3"/>
    <x v="9"/>
    <x v="18"/>
    <x v="7"/>
    <x v="4"/>
    <n v="290"/>
    <n v="17641.666666666701"/>
    <n v="63510"/>
  </r>
  <r>
    <x v="0"/>
    <x v="0"/>
    <x v="0"/>
    <x v="3"/>
    <x v="4"/>
    <s v="LV_A3"/>
    <x v="9"/>
    <x v="18"/>
    <x v="7"/>
    <x v="5"/>
    <n v="290"/>
    <n v="17641.666666666701"/>
    <n v="63510"/>
  </r>
  <r>
    <x v="0"/>
    <x v="0"/>
    <x v="0"/>
    <x v="3"/>
    <x v="4"/>
    <s v="LV_A3"/>
    <x v="9"/>
    <x v="18"/>
    <x v="7"/>
    <x v="6"/>
    <n v="290"/>
    <n v="17641.666666666701"/>
    <n v="63510"/>
  </r>
  <r>
    <x v="0"/>
    <x v="0"/>
    <x v="0"/>
    <x v="3"/>
    <x v="4"/>
    <s v="LV_A3"/>
    <x v="9"/>
    <x v="18"/>
    <x v="7"/>
    <x v="7"/>
    <n v="290"/>
    <n v="17641.666666666701"/>
    <n v="63510"/>
  </r>
  <r>
    <x v="0"/>
    <x v="0"/>
    <x v="0"/>
    <x v="3"/>
    <x v="4"/>
    <s v="LV_A3"/>
    <x v="9"/>
    <x v="18"/>
    <x v="7"/>
    <x v="8"/>
    <n v="290"/>
    <n v="17641.666666666701"/>
    <n v="63510"/>
  </r>
  <r>
    <x v="0"/>
    <x v="0"/>
    <x v="0"/>
    <x v="3"/>
    <x v="4"/>
    <s v="LV_A3"/>
    <x v="9"/>
    <x v="18"/>
    <x v="7"/>
    <x v="9"/>
    <n v="290"/>
    <n v="17641.666666666701"/>
    <n v="63510"/>
  </r>
  <r>
    <x v="0"/>
    <x v="0"/>
    <x v="0"/>
    <x v="3"/>
    <x v="4"/>
    <s v="LV_A3"/>
    <x v="9"/>
    <x v="18"/>
    <x v="7"/>
    <x v="10"/>
    <n v="290"/>
    <n v="17641.666666666701"/>
    <n v="63510"/>
  </r>
  <r>
    <x v="0"/>
    <x v="0"/>
    <x v="0"/>
    <x v="3"/>
    <x v="4"/>
    <s v="LV_A3"/>
    <x v="9"/>
    <x v="18"/>
    <x v="7"/>
    <x v="11"/>
    <n v="290"/>
    <n v="17641.666666666701"/>
    <n v="63510"/>
  </r>
  <r>
    <x v="0"/>
    <x v="0"/>
    <x v="0"/>
    <x v="3"/>
    <x v="4"/>
    <s v="LV_A3"/>
    <x v="9"/>
    <x v="18"/>
    <x v="8"/>
    <x v="0"/>
    <n v="283.19943148931497"/>
    <n v="17227.9654156"/>
    <n v="62020.675496160002"/>
  </r>
  <r>
    <x v="0"/>
    <x v="0"/>
    <x v="0"/>
    <x v="3"/>
    <x v="4"/>
    <s v="LV_A3"/>
    <x v="9"/>
    <x v="18"/>
    <x v="8"/>
    <x v="1"/>
    <n v="290"/>
    <n v="17641.666666666701"/>
    <n v="63510"/>
  </r>
  <r>
    <x v="0"/>
    <x v="0"/>
    <x v="0"/>
    <x v="3"/>
    <x v="4"/>
    <s v="LV_A3"/>
    <x v="9"/>
    <x v="18"/>
    <x v="8"/>
    <x v="2"/>
    <n v="272.43224056531301"/>
    <n v="16572.961301056599"/>
    <n v="59662.660683803697"/>
  </r>
  <r>
    <x v="0"/>
    <x v="0"/>
    <x v="0"/>
    <x v="3"/>
    <x v="4"/>
    <s v="LV_A3"/>
    <x v="9"/>
    <x v="18"/>
    <x v="8"/>
    <x v="3"/>
    <n v="276.03096813350101"/>
    <n v="16791.883894787999"/>
    <n v="60450.782021236701"/>
  </r>
  <r>
    <x v="0"/>
    <x v="0"/>
    <x v="0"/>
    <x v="3"/>
    <x v="4"/>
    <s v="LV_A3"/>
    <x v="9"/>
    <x v="18"/>
    <x v="8"/>
    <x v="4"/>
    <n v="276.03096813350101"/>
    <n v="16791.883894787999"/>
    <n v="60450.782021236701"/>
  </r>
  <r>
    <x v="0"/>
    <x v="0"/>
    <x v="0"/>
    <x v="3"/>
    <x v="4"/>
    <s v="LV_A3"/>
    <x v="9"/>
    <x v="18"/>
    <x v="8"/>
    <x v="5"/>
    <n v="285.02778705396901"/>
    <n v="17339.190379116499"/>
    <n v="62421.085364819301"/>
  </r>
  <r>
    <x v="0"/>
    <x v="0"/>
    <x v="0"/>
    <x v="3"/>
    <x v="4"/>
    <s v="LV_A3"/>
    <x v="9"/>
    <x v="18"/>
    <x v="8"/>
    <x v="6"/>
    <n v="290"/>
    <n v="17641.666666666701"/>
    <n v="63510"/>
  </r>
  <r>
    <x v="0"/>
    <x v="0"/>
    <x v="0"/>
    <x v="3"/>
    <x v="4"/>
    <s v="LV_A3"/>
    <x v="9"/>
    <x v="18"/>
    <x v="8"/>
    <x v="7"/>
    <n v="290"/>
    <n v="17641.666666666701"/>
    <n v="63510"/>
  </r>
  <r>
    <x v="0"/>
    <x v="0"/>
    <x v="0"/>
    <x v="3"/>
    <x v="4"/>
    <s v="LV_A3"/>
    <x v="9"/>
    <x v="18"/>
    <x v="8"/>
    <x v="8"/>
    <n v="290"/>
    <n v="17641.666666666701"/>
    <n v="63510"/>
  </r>
  <r>
    <x v="0"/>
    <x v="0"/>
    <x v="0"/>
    <x v="3"/>
    <x v="4"/>
    <s v="LV_A3"/>
    <x v="9"/>
    <x v="18"/>
    <x v="8"/>
    <x v="9"/>
    <n v="290"/>
    <n v="17641.666666666701"/>
    <n v="63510"/>
  </r>
  <r>
    <x v="0"/>
    <x v="0"/>
    <x v="0"/>
    <x v="3"/>
    <x v="4"/>
    <s v="LV_A3"/>
    <x v="9"/>
    <x v="18"/>
    <x v="8"/>
    <x v="10"/>
    <n v="264.38414114331601"/>
    <n v="16083.368586218399"/>
    <n v="57900.126910386098"/>
  </r>
  <r>
    <x v="0"/>
    <x v="0"/>
    <x v="0"/>
    <x v="3"/>
    <x v="4"/>
    <s v="LV_A3"/>
    <x v="9"/>
    <x v="18"/>
    <x v="8"/>
    <x v="11"/>
    <n v="242.79177573419099"/>
    <n v="14769.83302383"/>
    <n v="53171.398885787799"/>
  </r>
  <r>
    <x v="0"/>
    <x v="0"/>
    <x v="0"/>
    <x v="3"/>
    <x v="4"/>
    <s v="LV_A3"/>
    <x v="9"/>
    <x v="18"/>
    <x v="9"/>
    <x v="0"/>
    <n v="155.94795434845801"/>
    <n v="9486.8338895312099"/>
    <n v="34152.6020023124"/>
  </r>
  <r>
    <x v="0"/>
    <x v="0"/>
    <x v="0"/>
    <x v="3"/>
    <x v="4"/>
    <s v="LV_A3"/>
    <x v="9"/>
    <x v="18"/>
    <x v="9"/>
    <x v="1"/>
    <n v="155.47359459922299"/>
    <n v="9457.9770047860802"/>
    <n v="34048.717217229903"/>
  </r>
  <r>
    <x v="0"/>
    <x v="0"/>
    <x v="0"/>
    <x v="3"/>
    <x v="4"/>
    <s v="LV_A3"/>
    <x v="9"/>
    <x v="18"/>
    <x v="9"/>
    <x v="2"/>
    <n v="146.47677567875499"/>
    <n v="8910.6705204575901"/>
    <n v="32078.4138736473"/>
  </r>
  <r>
    <x v="0"/>
    <x v="0"/>
    <x v="0"/>
    <x v="3"/>
    <x v="4"/>
    <s v="LV_A3"/>
    <x v="9"/>
    <x v="18"/>
    <x v="9"/>
    <x v="3"/>
    <n v="148.27613946284799"/>
    <n v="9020.1318173232794"/>
    <n v="32472.474542363801"/>
  </r>
  <r>
    <x v="0"/>
    <x v="0"/>
    <x v="0"/>
    <x v="3"/>
    <x v="4"/>
    <s v="LV_A3"/>
    <x v="9"/>
    <x v="18"/>
    <x v="9"/>
    <x v="4"/>
    <n v="144.67741189466099"/>
    <n v="8801.2092235918808"/>
    <n v="31684.3532049307"/>
  </r>
  <r>
    <x v="0"/>
    <x v="0"/>
    <x v="0"/>
    <x v="3"/>
    <x v="4"/>
    <s v="LV_A3"/>
    <x v="9"/>
    <x v="18"/>
    <x v="9"/>
    <x v="5"/>
    <n v="144.67741189466099"/>
    <n v="8801.2092235918808"/>
    <n v="31684.3532049307"/>
  </r>
  <r>
    <x v="0"/>
    <x v="0"/>
    <x v="0"/>
    <x v="3"/>
    <x v="4"/>
    <s v="LV_A3"/>
    <x v="9"/>
    <x v="18"/>
    <x v="9"/>
    <x v="6"/>
    <n v="169.017860586349"/>
    <n v="10281.919852336299"/>
    <n v="37014.911468410501"/>
  </r>
  <r>
    <x v="0"/>
    <x v="0"/>
    <x v="0"/>
    <x v="3"/>
    <x v="4"/>
    <s v="LV_A3"/>
    <x v="9"/>
    <x v="18"/>
    <x v="9"/>
    <x v="7"/>
    <n v="175.36467143710101"/>
    <n v="10668.017512423699"/>
    <n v="38404.8630447252"/>
  </r>
  <r>
    <x v="0"/>
    <x v="0"/>
    <x v="0"/>
    <x v="3"/>
    <x v="4"/>
    <s v="LV_A3"/>
    <x v="9"/>
    <x v="18"/>
    <x v="9"/>
    <x v="8"/>
    <n v="153.29794627874199"/>
    <n v="9325.6250652901199"/>
    <n v="33572.250235044397"/>
  </r>
  <r>
    <x v="0"/>
    <x v="0"/>
    <x v="0"/>
    <x v="3"/>
    <x v="4"/>
    <s v="LV_A3"/>
    <x v="9"/>
    <x v="18"/>
    <x v="9"/>
    <x v="9"/>
    <n v="151.024222745413"/>
    <n v="9187.30688367927"/>
    <n v="33074.304781245402"/>
  </r>
  <r>
    <x v="0"/>
    <x v="0"/>
    <x v="0"/>
    <x v="3"/>
    <x v="4"/>
    <s v="LV_A3"/>
    <x v="9"/>
    <x v="18"/>
    <x v="9"/>
    <x v="10"/>
    <n v="140.22804004085"/>
    <n v="8530.5391024850705"/>
    <n v="30709.940768946199"/>
  </r>
  <r>
    <x v="0"/>
    <x v="0"/>
    <x v="0"/>
    <x v="3"/>
    <x v="4"/>
    <s v="LV_A3"/>
    <x v="9"/>
    <x v="18"/>
    <x v="9"/>
    <x v="11"/>
    <n v="138.428676256757"/>
    <n v="8421.0778056193594"/>
    <n v="30315.8801002297"/>
  </r>
  <r>
    <x v="0"/>
    <x v="0"/>
    <x v="0"/>
    <x v="3"/>
    <x v="4"/>
    <s v="LV_A3"/>
    <x v="9"/>
    <x v="18"/>
    <x v="10"/>
    <x v="0"/>
    <n v="112.060998531989"/>
    <n v="6817.0440773626697"/>
    <n v="24541.3586785056"/>
  </r>
  <r>
    <x v="0"/>
    <x v="0"/>
    <x v="0"/>
    <x v="3"/>
    <x v="4"/>
    <s v="LV_A3"/>
    <x v="9"/>
    <x v="18"/>
    <x v="10"/>
    <x v="1"/>
    <n v="97.191728510003998"/>
    <n v="5912.4968176919101"/>
    <n v="21284.988543690899"/>
  </r>
  <r>
    <x v="0"/>
    <x v="0"/>
    <x v="0"/>
    <x v="3"/>
    <x v="4"/>
    <s v="LV_A3"/>
    <x v="9"/>
    <x v="18"/>
    <x v="10"/>
    <x v="2"/>
    <n v="40.314312417226397"/>
    <n v="2452.4540053812698"/>
    <n v="8828.8344193725898"/>
  </r>
  <r>
    <x v="0"/>
    <x v="0"/>
    <x v="0"/>
    <x v="3"/>
    <x v="4"/>
    <s v="LV_A3"/>
    <x v="9"/>
    <x v="18"/>
    <x v="10"/>
    <x v="3"/>
    <n v="43.913039985413903"/>
    <n v="2671.3765991126802"/>
    <n v="9616.9557568056298"/>
  </r>
  <r>
    <x v="0"/>
    <x v="0"/>
    <x v="0"/>
    <x v="3"/>
    <x v="4"/>
    <s v="LV_A3"/>
    <x v="9"/>
    <x v="18"/>
    <x v="10"/>
    <x v="4"/>
    <n v="51.110495121788702"/>
    <n v="3109.2217865754801"/>
    <n v="11193.198431671701"/>
  </r>
  <r>
    <x v="0"/>
    <x v="0"/>
    <x v="0"/>
    <x v="3"/>
    <x v="4"/>
    <s v="LV_A3"/>
    <x v="9"/>
    <x v="18"/>
    <x v="10"/>
    <x v="5"/>
    <n v="60.107314042257102"/>
    <n v="3656.5282709039702"/>
    <n v="13163.501775254301"/>
  </r>
  <r>
    <x v="0"/>
    <x v="0"/>
    <x v="0"/>
    <x v="3"/>
    <x v="4"/>
    <s v="LV_A3"/>
    <x v="9"/>
    <x v="18"/>
    <x v="10"/>
    <x v="6"/>
    <n v="93.444581654414307"/>
    <n v="5684.5453839768697"/>
    <n v="20464.3633823167"/>
  </r>
  <r>
    <x v="0"/>
    <x v="0"/>
    <x v="0"/>
    <x v="3"/>
    <x v="4"/>
    <s v="LV_A3"/>
    <x v="9"/>
    <x v="18"/>
    <x v="10"/>
    <x v="7"/>
    <n v="117.785030346103"/>
    <n v="7165.25601272125"/>
    <n v="25794.921645796501"/>
  </r>
  <r>
    <x v="0"/>
    <x v="0"/>
    <x v="0"/>
    <x v="3"/>
    <x v="4"/>
    <s v="LV_A3"/>
    <x v="9"/>
    <x v="18"/>
    <x v="10"/>
    <x v="8"/>
    <n v="104.715124108212"/>
    <n v="6370.1700499162098"/>
    <n v="22932.612179698299"/>
  </r>
  <r>
    <x v="0"/>
    <x v="0"/>
    <x v="0"/>
    <x v="3"/>
    <x v="4"/>
    <s v="LV_A3"/>
    <x v="9"/>
    <x v="18"/>
    <x v="10"/>
    <x v="9"/>
    <n v="59.256669756633997"/>
    <n v="3604.7807435285699"/>
    <n v="12977.2106767028"/>
  </r>
  <r>
    <x v="0"/>
    <x v="0"/>
    <x v="0"/>
    <x v="3"/>
    <x v="4"/>
    <s v="LV_A3"/>
    <x v="9"/>
    <x v="18"/>
    <x v="10"/>
    <x v="10"/>
    <n v="23.2693940747601"/>
    <n v="1415.5548062145699"/>
    <n v="5095.9973023724697"/>
  </r>
  <r>
    <x v="0"/>
    <x v="0"/>
    <x v="0"/>
    <x v="3"/>
    <x v="4"/>
    <s v="LV_A3"/>
    <x v="9"/>
    <x v="18"/>
    <x v="11"/>
    <x v="0"/>
    <n v="175.038730975269"/>
    <n v="10648.1894676622"/>
    <n v="38333.482083583804"/>
  </r>
  <r>
    <x v="0"/>
    <x v="0"/>
    <x v="0"/>
    <x v="3"/>
    <x v="4"/>
    <s v="LV_A3"/>
    <x v="9"/>
    <x v="18"/>
    <x v="11"/>
    <x v="1"/>
    <n v="172.76500744194001"/>
    <n v="10509.871286051301"/>
    <n v="37835.536629784801"/>
  </r>
  <r>
    <x v="0"/>
    <x v="0"/>
    <x v="0"/>
    <x v="3"/>
    <x v="4"/>
    <s v="LV_A3"/>
    <x v="9"/>
    <x v="18"/>
    <x v="11"/>
    <x v="2"/>
    <n v="172.76500744194001"/>
    <n v="10509.871286051301"/>
    <n v="37835.536629784801"/>
  </r>
  <r>
    <x v="0"/>
    <x v="0"/>
    <x v="0"/>
    <x v="3"/>
    <x v="4"/>
    <s v="LV_A3"/>
    <x v="9"/>
    <x v="18"/>
    <x v="11"/>
    <x v="3"/>
    <n v="176.36373501012699"/>
    <n v="10728.793879782699"/>
    <n v="38623.657967217798"/>
  </r>
  <r>
    <x v="0"/>
    <x v="0"/>
    <x v="0"/>
    <x v="3"/>
    <x v="4"/>
    <s v="LV_A3"/>
    <x v="9"/>
    <x v="18"/>
    <x v="11"/>
    <x v="4"/>
    <n v="179.96246257831399"/>
    <n v="10947.7164735141"/>
    <n v="39411.779304650903"/>
  </r>
  <r>
    <x v="0"/>
    <x v="0"/>
    <x v="0"/>
    <x v="3"/>
    <x v="4"/>
    <s v="LV_A3"/>
    <x v="9"/>
    <x v="18"/>
    <x v="11"/>
    <x v="5"/>
    <n v="188.95928149878301"/>
    <n v="11495.022957842601"/>
    <n v="41382.082648233401"/>
  </r>
  <r>
    <x v="0"/>
    <x v="0"/>
    <x v="0"/>
    <x v="3"/>
    <x v="4"/>
    <s v="LV_A3"/>
    <x v="9"/>
    <x v="18"/>
    <x v="11"/>
    <x v="6"/>
    <n v="158.221677881788"/>
    <n v="9625.1520711420799"/>
    <n v="34650.547456111497"/>
  </r>
  <r>
    <x v="0"/>
    <x v="0"/>
    <x v="0"/>
    <x v="3"/>
    <x v="4"/>
    <s v="LV_A3"/>
    <x v="9"/>
    <x v="18"/>
    <x v="11"/>
    <x v="7"/>
    <n v="178.96339900528901"/>
    <n v="10886.9401061551"/>
    <n v="39192.984382158204"/>
  </r>
  <r>
    <x v="0"/>
    <x v="0"/>
    <x v="0"/>
    <x v="3"/>
    <x v="4"/>
    <s v="LV_A3"/>
    <x v="9"/>
    <x v="18"/>
    <x v="11"/>
    <x v="8"/>
    <n v="167.69285655149099"/>
    <n v="10201.3154402157"/>
    <n v="36724.735584776499"/>
  </r>
  <r>
    <x v="0"/>
    <x v="0"/>
    <x v="0"/>
    <x v="3"/>
    <x v="4"/>
    <s v="LV_A3"/>
    <x v="9"/>
    <x v="18"/>
    <x v="11"/>
    <x v="9"/>
    <n v="147.425495177225"/>
    <n v="8968.3842899478695"/>
    <n v="32286.183443812301"/>
  </r>
  <r>
    <x v="0"/>
    <x v="0"/>
    <x v="0"/>
    <x v="3"/>
    <x v="4"/>
    <s v="LV_A3"/>
    <x v="9"/>
    <x v="18"/>
    <x v="11"/>
    <x v="10"/>
    <n v="118.635674631726"/>
    <n v="7217.0035400966599"/>
    <n v="25981.212744347999"/>
  </r>
  <r>
    <x v="0"/>
    <x v="0"/>
    <x v="0"/>
    <x v="3"/>
    <x v="4"/>
    <s v="LV_A3"/>
    <x v="9"/>
    <x v="18"/>
    <x v="11"/>
    <x v="11"/>
    <n v="75.450943813477195"/>
    <n v="4589.9324153198604"/>
    <n v="16523.7566951515"/>
  </r>
  <r>
    <x v="0"/>
    <x v="0"/>
    <x v="0"/>
    <x v="4"/>
    <x v="5"/>
    <s v="LT_A1"/>
    <x v="10"/>
    <x v="17"/>
    <x v="0"/>
    <x v="0"/>
    <n v="20"/>
    <n v="1216.6666666666699"/>
    <n v="4380"/>
  </r>
  <r>
    <x v="0"/>
    <x v="0"/>
    <x v="0"/>
    <x v="4"/>
    <x v="5"/>
    <s v="LT_A1"/>
    <x v="10"/>
    <x v="17"/>
    <x v="0"/>
    <x v="1"/>
    <n v="20"/>
    <n v="1216.6666666666699"/>
    <n v="4380"/>
  </r>
  <r>
    <x v="0"/>
    <x v="0"/>
    <x v="0"/>
    <x v="4"/>
    <x v="5"/>
    <s v="LT_A1"/>
    <x v="10"/>
    <x v="17"/>
    <x v="0"/>
    <x v="2"/>
    <n v="20"/>
    <n v="1216.6666666666699"/>
    <n v="4380"/>
  </r>
  <r>
    <x v="0"/>
    <x v="0"/>
    <x v="0"/>
    <x v="4"/>
    <x v="5"/>
    <s v="LT_A1"/>
    <x v="10"/>
    <x v="17"/>
    <x v="0"/>
    <x v="3"/>
    <n v="20"/>
    <n v="1216.6666666666699"/>
    <n v="4380"/>
  </r>
  <r>
    <x v="0"/>
    <x v="0"/>
    <x v="0"/>
    <x v="4"/>
    <x v="5"/>
    <s v="LT_A1"/>
    <x v="10"/>
    <x v="17"/>
    <x v="0"/>
    <x v="4"/>
    <n v="20"/>
    <n v="1216.6666666666699"/>
    <n v="4380"/>
  </r>
  <r>
    <x v="0"/>
    <x v="0"/>
    <x v="0"/>
    <x v="4"/>
    <x v="5"/>
    <s v="LT_A1"/>
    <x v="10"/>
    <x v="17"/>
    <x v="0"/>
    <x v="5"/>
    <n v="20"/>
    <n v="1216.6666666666699"/>
    <n v="4380"/>
  </r>
  <r>
    <x v="0"/>
    <x v="0"/>
    <x v="0"/>
    <x v="4"/>
    <x v="5"/>
    <s v="LT_A1"/>
    <x v="10"/>
    <x v="17"/>
    <x v="0"/>
    <x v="6"/>
    <n v="20"/>
    <n v="1216.6666666666699"/>
    <n v="4380"/>
  </r>
  <r>
    <x v="0"/>
    <x v="0"/>
    <x v="0"/>
    <x v="4"/>
    <x v="5"/>
    <s v="LT_A1"/>
    <x v="10"/>
    <x v="17"/>
    <x v="0"/>
    <x v="7"/>
    <n v="20"/>
    <n v="1216.6666666666699"/>
    <n v="4380"/>
  </r>
  <r>
    <x v="0"/>
    <x v="0"/>
    <x v="0"/>
    <x v="4"/>
    <x v="5"/>
    <s v="LT_A1"/>
    <x v="10"/>
    <x v="17"/>
    <x v="0"/>
    <x v="8"/>
    <n v="20"/>
    <n v="1216.6666666666699"/>
    <n v="4380"/>
  </r>
  <r>
    <x v="0"/>
    <x v="0"/>
    <x v="0"/>
    <x v="4"/>
    <x v="5"/>
    <s v="LT_A1"/>
    <x v="10"/>
    <x v="17"/>
    <x v="0"/>
    <x v="9"/>
    <n v="20"/>
    <n v="1216.6666666666699"/>
    <n v="4380"/>
  </r>
  <r>
    <x v="0"/>
    <x v="0"/>
    <x v="0"/>
    <x v="4"/>
    <x v="5"/>
    <s v="LT_A1"/>
    <x v="10"/>
    <x v="17"/>
    <x v="0"/>
    <x v="10"/>
    <n v="20"/>
    <n v="1216.6666666666699"/>
    <n v="4380"/>
  </r>
  <r>
    <x v="0"/>
    <x v="0"/>
    <x v="0"/>
    <x v="4"/>
    <x v="5"/>
    <s v="LT_A1"/>
    <x v="10"/>
    <x v="17"/>
    <x v="0"/>
    <x v="11"/>
    <n v="20"/>
    <n v="1216.6666666666699"/>
    <n v="4380"/>
  </r>
  <r>
    <x v="0"/>
    <x v="0"/>
    <x v="0"/>
    <x v="4"/>
    <x v="5"/>
    <s v="LT_A1"/>
    <x v="10"/>
    <x v="17"/>
    <x v="1"/>
    <x v="0"/>
    <n v="20"/>
    <n v="1216.6666666666699"/>
    <n v="4380"/>
  </r>
  <r>
    <x v="0"/>
    <x v="0"/>
    <x v="0"/>
    <x v="4"/>
    <x v="5"/>
    <s v="LT_A1"/>
    <x v="10"/>
    <x v="17"/>
    <x v="1"/>
    <x v="1"/>
    <n v="20"/>
    <n v="1216.6666666666699"/>
    <n v="4380"/>
  </r>
  <r>
    <x v="0"/>
    <x v="0"/>
    <x v="0"/>
    <x v="4"/>
    <x v="5"/>
    <s v="LT_A1"/>
    <x v="10"/>
    <x v="17"/>
    <x v="1"/>
    <x v="2"/>
    <n v="20"/>
    <n v="1216.6666666666699"/>
    <n v="4380"/>
  </r>
  <r>
    <x v="0"/>
    <x v="0"/>
    <x v="0"/>
    <x v="4"/>
    <x v="5"/>
    <s v="LT_A1"/>
    <x v="10"/>
    <x v="17"/>
    <x v="1"/>
    <x v="3"/>
    <n v="20"/>
    <n v="1216.6666666666699"/>
    <n v="4380"/>
  </r>
  <r>
    <x v="0"/>
    <x v="0"/>
    <x v="0"/>
    <x v="4"/>
    <x v="5"/>
    <s v="LT_A1"/>
    <x v="10"/>
    <x v="17"/>
    <x v="1"/>
    <x v="4"/>
    <n v="20"/>
    <n v="1216.6666666666699"/>
    <n v="4380"/>
  </r>
  <r>
    <x v="0"/>
    <x v="0"/>
    <x v="0"/>
    <x v="4"/>
    <x v="5"/>
    <s v="LT_A1"/>
    <x v="10"/>
    <x v="17"/>
    <x v="1"/>
    <x v="5"/>
    <n v="20"/>
    <n v="1216.6666666666699"/>
    <n v="4380"/>
  </r>
  <r>
    <x v="0"/>
    <x v="0"/>
    <x v="0"/>
    <x v="4"/>
    <x v="5"/>
    <s v="LT_A1"/>
    <x v="10"/>
    <x v="17"/>
    <x v="1"/>
    <x v="6"/>
    <n v="20"/>
    <n v="1216.6666666666699"/>
    <n v="4380"/>
  </r>
  <r>
    <x v="0"/>
    <x v="0"/>
    <x v="0"/>
    <x v="4"/>
    <x v="5"/>
    <s v="LT_A1"/>
    <x v="10"/>
    <x v="17"/>
    <x v="1"/>
    <x v="7"/>
    <n v="20"/>
    <n v="1216.6666666666699"/>
    <n v="4380"/>
  </r>
  <r>
    <x v="0"/>
    <x v="0"/>
    <x v="0"/>
    <x v="4"/>
    <x v="5"/>
    <s v="LT_A1"/>
    <x v="10"/>
    <x v="17"/>
    <x v="1"/>
    <x v="8"/>
    <n v="20"/>
    <n v="1216.6666666666699"/>
    <n v="4380"/>
  </r>
  <r>
    <x v="0"/>
    <x v="0"/>
    <x v="0"/>
    <x v="4"/>
    <x v="5"/>
    <s v="LT_A1"/>
    <x v="10"/>
    <x v="17"/>
    <x v="1"/>
    <x v="9"/>
    <n v="20"/>
    <n v="1216.6666666666699"/>
    <n v="4380"/>
  </r>
  <r>
    <x v="0"/>
    <x v="0"/>
    <x v="0"/>
    <x v="4"/>
    <x v="5"/>
    <s v="LT_A1"/>
    <x v="10"/>
    <x v="17"/>
    <x v="1"/>
    <x v="10"/>
    <n v="20"/>
    <n v="1216.6666666666699"/>
    <n v="4380"/>
  </r>
  <r>
    <x v="0"/>
    <x v="0"/>
    <x v="0"/>
    <x v="4"/>
    <x v="5"/>
    <s v="LT_A1"/>
    <x v="10"/>
    <x v="17"/>
    <x v="1"/>
    <x v="11"/>
    <n v="20"/>
    <n v="1216.6666666666699"/>
    <n v="4380"/>
  </r>
  <r>
    <x v="0"/>
    <x v="0"/>
    <x v="0"/>
    <x v="4"/>
    <x v="5"/>
    <s v="LT_A1"/>
    <x v="10"/>
    <x v="17"/>
    <x v="2"/>
    <x v="0"/>
    <n v="20"/>
    <n v="1216.6666666666699"/>
    <n v="4380"/>
  </r>
  <r>
    <x v="0"/>
    <x v="0"/>
    <x v="0"/>
    <x v="4"/>
    <x v="5"/>
    <s v="LT_A1"/>
    <x v="10"/>
    <x v="17"/>
    <x v="2"/>
    <x v="1"/>
    <n v="20"/>
    <n v="1216.6666666666699"/>
    <n v="4380"/>
  </r>
  <r>
    <x v="0"/>
    <x v="0"/>
    <x v="0"/>
    <x v="4"/>
    <x v="5"/>
    <s v="LT_A1"/>
    <x v="10"/>
    <x v="17"/>
    <x v="2"/>
    <x v="2"/>
    <n v="20"/>
    <n v="1216.6666666666699"/>
    <n v="4380"/>
  </r>
  <r>
    <x v="0"/>
    <x v="0"/>
    <x v="0"/>
    <x v="4"/>
    <x v="5"/>
    <s v="LT_A1"/>
    <x v="10"/>
    <x v="17"/>
    <x v="2"/>
    <x v="3"/>
    <n v="20"/>
    <n v="1216.6666666666699"/>
    <n v="4380"/>
  </r>
  <r>
    <x v="0"/>
    <x v="0"/>
    <x v="0"/>
    <x v="4"/>
    <x v="5"/>
    <s v="LT_A1"/>
    <x v="10"/>
    <x v="17"/>
    <x v="2"/>
    <x v="4"/>
    <n v="20"/>
    <n v="1216.6666666666699"/>
    <n v="4380"/>
  </r>
  <r>
    <x v="0"/>
    <x v="0"/>
    <x v="0"/>
    <x v="4"/>
    <x v="5"/>
    <s v="LT_A1"/>
    <x v="10"/>
    <x v="17"/>
    <x v="2"/>
    <x v="5"/>
    <n v="20"/>
    <n v="1216.6666666666699"/>
    <n v="4380"/>
  </r>
  <r>
    <x v="0"/>
    <x v="0"/>
    <x v="0"/>
    <x v="4"/>
    <x v="5"/>
    <s v="LT_A1"/>
    <x v="10"/>
    <x v="17"/>
    <x v="2"/>
    <x v="6"/>
    <n v="20"/>
    <n v="1216.6666666666699"/>
    <n v="4380"/>
  </r>
  <r>
    <x v="0"/>
    <x v="0"/>
    <x v="0"/>
    <x v="4"/>
    <x v="5"/>
    <s v="LT_A1"/>
    <x v="10"/>
    <x v="17"/>
    <x v="2"/>
    <x v="7"/>
    <n v="20"/>
    <n v="1216.6666666666699"/>
    <n v="4380"/>
  </r>
  <r>
    <x v="0"/>
    <x v="0"/>
    <x v="0"/>
    <x v="4"/>
    <x v="5"/>
    <s v="LT_A1"/>
    <x v="10"/>
    <x v="17"/>
    <x v="2"/>
    <x v="8"/>
    <n v="20"/>
    <n v="1216.6666666666699"/>
    <n v="4380"/>
  </r>
  <r>
    <x v="0"/>
    <x v="0"/>
    <x v="0"/>
    <x v="4"/>
    <x v="5"/>
    <s v="LT_A1"/>
    <x v="10"/>
    <x v="17"/>
    <x v="2"/>
    <x v="9"/>
    <n v="20"/>
    <n v="1216.6666666666699"/>
    <n v="4380"/>
  </r>
  <r>
    <x v="0"/>
    <x v="0"/>
    <x v="0"/>
    <x v="4"/>
    <x v="5"/>
    <s v="LT_A1"/>
    <x v="10"/>
    <x v="17"/>
    <x v="2"/>
    <x v="10"/>
    <n v="20"/>
    <n v="1216.6666666666699"/>
    <n v="4380"/>
  </r>
  <r>
    <x v="0"/>
    <x v="0"/>
    <x v="0"/>
    <x v="4"/>
    <x v="5"/>
    <s v="LT_A1"/>
    <x v="10"/>
    <x v="17"/>
    <x v="2"/>
    <x v="11"/>
    <n v="20"/>
    <n v="1216.6666666666699"/>
    <n v="4380"/>
  </r>
  <r>
    <x v="0"/>
    <x v="0"/>
    <x v="0"/>
    <x v="4"/>
    <x v="5"/>
    <s v="LT_A1"/>
    <x v="10"/>
    <x v="17"/>
    <x v="3"/>
    <x v="0"/>
    <n v="20"/>
    <n v="1216.6666666666699"/>
    <n v="4380"/>
  </r>
  <r>
    <x v="0"/>
    <x v="0"/>
    <x v="0"/>
    <x v="4"/>
    <x v="5"/>
    <s v="LT_A1"/>
    <x v="10"/>
    <x v="17"/>
    <x v="3"/>
    <x v="1"/>
    <n v="20"/>
    <n v="1216.6666666666699"/>
    <n v="4380"/>
  </r>
  <r>
    <x v="0"/>
    <x v="0"/>
    <x v="0"/>
    <x v="4"/>
    <x v="5"/>
    <s v="LT_A1"/>
    <x v="10"/>
    <x v="17"/>
    <x v="3"/>
    <x v="2"/>
    <n v="20"/>
    <n v="1216.6666666666699"/>
    <n v="4380"/>
  </r>
  <r>
    <x v="0"/>
    <x v="0"/>
    <x v="0"/>
    <x v="4"/>
    <x v="5"/>
    <s v="LT_A1"/>
    <x v="10"/>
    <x v="17"/>
    <x v="3"/>
    <x v="3"/>
    <n v="20"/>
    <n v="1216.6666666666699"/>
    <n v="4380"/>
  </r>
  <r>
    <x v="0"/>
    <x v="0"/>
    <x v="0"/>
    <x v="4"/>
    <x v="5"/>
    <s v="LT_A1"/>
    <x v="10"/>
    <x v="17"/>
    <x v="3"/>
    <x v="4"/>
    <n v="20"/>
    <n v="1216.6666666666699"/>
    <n v="4380"/>
  </r>
  <r>
    <x v="0"/>
    <x v="0"/>
    <x v="0"/>
    <x v="4"/>
    <x v="5"/>
    <s v="LT_A1"/>
    <x v="10"/>
    <x v="17"/>
    <x v="3"/>
    <x v="5"/>
    <n v="20"/>
    <n v="1216.6666666666699"/>
    <n v="4380"/>
  </r>
  <r>
    <x v="0"/>
    <x v="0"/>
    <x v="0"/>
    <x v="4"/>
    <x v="5"/>
    <s v="LT_A1"/>
    <x v="10"/>
    <x v="17"/>
    <x v="3"/>
    <x v="6"/>
    <n v="20"/>
    <n v="1216.6666666666699"/>
    <n v="4380"/>
  </r>
  <r>
    <x v="0"/>
    <x v="0"/>
    <x v="0"/>
    <x v="4"/>
    <x v="5"/>
    <s v="LT_A1"/>
    <x v="10"/>
    <x v="17"/>
    <x v="3"/>
    <x v="7"/>
    <n v="20"/>
    <n v="1216.6666666666699"/>
    <n v="4380"/>
  </r>
  <r>
    <x v="0"/>
    <x v="0"/>
    <x v="0"/>
    <x v="4"/>
    <x v="5"/>
    <s v="LT_A1"/>
    <x v="10"/>
    <x v="17"/>
    <x v="3"/>
    <x v="8"/>
    <n v="20"/>
    <n v="1216.6666666666699"/>
    <n v="4380"/>
  </r>
  <r>
    <x v="0"/>
    <x v="0"/>
    <x v="0"/>
    <x v="4"/>
    <x v="5"/>
    <s v="LT_A1"/>
    <x v="10"/>
    <x v="17"/>
    <x v="3"/>
    <x v="9"/>
    <n v="20"/>
    <n v="1216.6666666666699"/>
    <n v="4380"/>
  </r>
  <r>
    <x v="0"/>
    <x v="0"/>
    <x v="0"/>
    <x v="4"/>
    <x v="5"/>
    <s v="LT_A1"/>
    <x v="10"/>
    <x v="17"/>
    <x v="3"/>
    <x v="10"/>
    <n v="20"/>
    <n v="1216.6666666666699"/>
    <n v="4380"/>
  </r>
  <r>
    <x v="0"/>
    <x v="0"/>
    <x v="0"/>
    <x v="4"/>
    <x v="5"/>
    <s v="LT_A1"/>
    <x v="10"/>
    <x v="17"/>
    <x v="3"/>
    <x v="11"/>
    <n v="20"/>
    <n v="1216.6666666666699"/>
    <n v="4380"/>
  </r>
  <r>
    <x v="0"/>
    <x v="0"/>
    <x v="0"/>
    <x v="4"/>
    <x v="5"/>
    <s v="LT_A1"/>
    <x v="10"/>
    <x v="17"/>
    <x v="4"/>
    <x v="0"/>
    <n v="20"/>
    <n v="1216.6666666666699"/>
    <n v="4380"/>
  </r>
  <r>
    <x v="0"/>
    <x v="0"/>
    <x v="0"/>
    <x v="4"/>
    <x v="5"/>
    <s v="LT_A1"/>
    <x v="10"/>
    <x v="17"/>
    <x v="4"/>
    <x v="1"/>
    <n v="20"/>
    <n v="1216.6666666666699"/>
    <n v="4380"/>
  </r>
  <r>
    <x v="0"/>
    <x v="0"/>
    <x v="0"/>
    <x v="4"/>
    <x v="5"/>
    <s v="LT_A1"/>
    <x v="10"/>
    <x v="17"/>
    <x v="4"/>
    <x v="2"/>
    <n v="20"/>
    <n v="1216.6666666666699"/>
    <n v="4380"/>
  </r>
  <r>
    <x v="0"/>
    <x v="0"/>
    <x v="0"/>
    <x v="4"/>
    <x v="5"/>
    <s v="LT_A1"/>
    <x v="10"/>
    <x v="17"/>
    <x v="4"/>
    <x v="3"/>
    <n v="20"/>
    <n v="1216.6666666666699"/>
    <n v="4380"/>
  </r>
  <r>
    <x v="0"/>
    <x v="0"/>
    <x v="0"/>
    <x v="4"/>
    <x v="5"/>
    <s v="LT_A1"/>
    <x v="10"/>
    <x v="17"/>
    <x v="4"/>
    <x v="4"/>
    <n v="20"/>
    <n v="1216.6666666666699"/>
    <n v="4380"/>
  </r>
  <r>
    <x v="0"/>
    <x v="0"/>
    <x v="0"/>
    <x v="4"/>
    <x v="5"/>
    <s v="LT_A1"/>
    <x v="10"/>
    <x v="17"/>
    <x v="4"/>
    <x v="5"/>
    <n v="20"/>
    <n v="1216.6666666666699"/>
    <n v="4380"/>
  </r>
  <r>
    <x v="0"/>
    <x v="0"/>
    <x v="0"/>
    <x v="4"/>
    <x v="5"/>
    <s v="LT_A1"/>
    <x v="10"/>
    <x v="17"/>
    <x v="4"/>
    <x v="6"/>
    <n v="20"/>
    <n v="1216.6666666666699"/>
    <n v="4380"/>
  </r>
  <r>
    <x v="0"/>
    <x v="0"/>
    <x v="0"/>
    <x v="4"/>
    <x v="5"/>
    <s v="LT_A1"/>
    <x v="10"/>
    <x v="17"/>
    <x v="4"/>
    <x v="7"/>
    <n v="20"/>
    <n v="1216.6666666666699"/>
    <n v="4380"/>
  </r>
  <r>
    <x v="0"/>
    <x v="0"/>
    <x v="0"/>
    <x v="4"/>
    <x v="5"/>
    <s v="LT_A1"/>
    <x v="10"/>
    <x v="17"/>
    <x v="4"/>
    <x v="8"/>
    <n v="20"/>
    <n v="1216.6666666666699"/>
    <n v="4380"/>
  </r>
  <r>
    <x v="0"/>
    <x v="0"/>
    <x v="0"/>
    <x v="4"/>
    <x v="5"/>
    <s v="LT_A1"/>
    <x v="10"/>
    <x v="17"/>
    <x v="4"/>
    <x v="9"/>
    <n v="20"/>
    <n v="1216.6666666666699"/>
    <n v="4380"/>
  </r>
  <r>
    <x v="0"/>
    <x v="0"/>
    <x v="0"/>
    <x v="4"/>
    <x v="5"/>
    <s v="LT_A1"/>
    <x v="10"/>
    <x v="17"/>
    <x v="4"/>
    <x v="10"/>
    <n v="20"/>
    <n v="1216.6666666666699"/>
    <n v="4380"/>
  </r>
  <r>
    <x v="0"/>
    <x v="0"/>
    <x v="0"/>
    <x v="4"/>
    <x v="5"/>
    <s v="LT_A1"/>
    <x v="10"/>
    <x v="17"/>
    <x v="4"/>
    <x v="11"/>
    <n v="20"/>
    <n v="1216.6666666666699"/>
    <n v="4380"/>
  </r>
  <r>
    <x v="0"/>
    <x v="0"/>
    <x v="0"/>
    <x v="4"/>
    <x v="5"/>
    <s v="LT_A1"/>
    <x v="10"/>
    <x v="17"/>
    <x v="5"/>
    <x v="0"/>
    <n v="20"/>
    <n v="1216.6666666666699"/>
    <n v="4380"/>
  </r>
  <r>
    <x v="0"/>
    <x v="0"/>
    <x v="0"/>
    <x v="4"/>
    <x v="5"/>
    <s v="LT_A1"/>
    <x v="10"/>
    <x v="17"/>
    <x v="5"/>
    <x v="1"/>
    <n v="20"/>
    <n v="1216.6666666666699"/>
    <n v="4380"/>
  </r>
  <r>
    <x v="0"/>
    <x v="0"/>
    <x v="0"/>
    <x v="4"/>
    <x v="5"/>
    <s v="LT_A1"/>
    <x v="10"/>
    <x v="17"/>
    <x v="5"/>
    <x v="2"/>
    <n v="20"/>
    <n v="1216.6666666666699"/>
    <n v="4380"/>
  </r>
  <r>
    <x v="0"/>
    <x v="0"/>
    <x v="0"/>
    <x v="4"/>
    <x v="5"/>
    <s v="LT_A1"/>
    <x v="10"/>
    <x v="17"/>
    <x v="5"/>
    <x v="3"/>
    <n v="20"/>
    <n v="1216.6666666666699"/>
    <n v="4380"/>
  </r>
  <r>
    <x v="0"/>
    <x v="0"/>
    <x v="0"/>
    <x v="4"/>
    <x v="5"/>
    <s v="LT_A1"/>
    <x v="10"/>
    <x v="17"/>
    <x v="5"/>
    <x v="4"/>
    <n v="20"/>
    <n v="1216.6666666666699"/>
    <n v="4380"/>
  </r>
  <r>
    <x v="0"/>
    <x v="0"/>
    <x v="0"/>
    <x v="4"/>
    <x v="5"/>
    <s v="LT_A1"/>
    <x v="10"/>
    <x v="17"/>
    <x v="5"/>
    <x v="5"/>
    <n v="20"/>
    <n v="1216.6666666666699"/>
    <n v="4380"/>
  </r>
  <r>
    <x v="0"/>
    <x v="0"/>
    <x v="0"/>
    <x v="4"/>
    <x v="5"/>
    <s v="LT_A1"/>
    <x v="10"/>
    <x v="17"/>
    <x v="5"/>
    <x v="6"/>
    <n v="20"/>
    <n v="1216.6666666666699"/>
    <n v="4380"/>
  </r>
  <r>
    <x v="0"/>
    <x v="0"/>
    <x v="0"/>
    <x v="4"/>
    <x v="5"/>
    <s v="LT_A1"/>
    <x v="10"/>
    <x v="17"/>
    <x v="5"/>
    <x v="7"/>
    <n v="20"/>
    <n v="1216.6666666666699"/>
    <n v="4380"/>
  </r>
  <r>
    <x v="0"/>
    <x v="0"/>
    <x v="0"/>
    <x v="4"/>
    <x v="5"/>
    <s v="LT_A1"/>
    <x v="10"/>
    <x v="17"/>
    <x v="5"/>
    <x v="8"/>
    <n v="20"/>
    <n v="1216.6666666666699"/>
    <n v="4380"/>
  </r>
  <r>
    <x v="0"/>
    <x v="0"/>
    <x v="0"/>
    <x v="4"/>
    <x v="5"/>
    <s v="LT_A1"/>
    <x v="10"/>
    <x v="17"/>
    <x v="5"/>
    <x v="9"/>
    <n v="20"/>
    <n v="1216.6666666666699"/>
    <n v="4380"/>
  </r>
  <r>
    <x v="0"/>
    <x v="0"/>
    <x v="0"/>
    <x v="4"/>
    <x v="5"/>
    <s v="LT_A1"/>
    <x v="10"/>
    <x v="17"/>
    <x v="5"/>
    <x v="10"/>
    <n v="20"/>
    <n v="1216.6666666666699"/>
    <n v="4380"/>
  </r>
  <r>
    <x v="0"/>
    <x v="0"/>
    <x v="0"/>
    <x v="4"/>
    <x v="5"/>
    <s v="LT_A1"/>
    <x v="10"/>
    <x v="17"/>
    <x v="5"/>
    <x v="11"/>
    <n v="20"/>
    <n v="1216.6666666666699"/>
    <n v="4380"/>
  </r>
  <r>
    <x v="0"/>
    <x v="0"/>
    <x v="0"/>
    <x v="4"/>
    <x v="5"/>
    <s v="LT_A1"/>
    <x v="10"/>
    <x v="17"/>
    <x v="6"/>
    <x v="0"/>
    <n v="20"/>
    <n v="1216.6666666666699"/>
    <n v="4380"/>
  </r>
  <r>
    <x v="0"/>
    <x v="0"/>
    <x v="0"/>
    <x v="4"/>
    <x v="5"/>
    <s v="LT_A1"/>
    <x v="10"/>
    <x v="17"/>
    <x v="6"/>
    <x v="1"/>
    <n v="20"/>
    <n v="1216.6666666666699"/>
    <n v="4380"/>
  </r>
  <r>
    <x v="0"/>
    <x v="0"/>
    <x v="0"/>
    <x v="4"/>
    <x v="5"/>
    <s v="LT_A1"/>
    <x v="10"/>
    <x v="17"/>
    <x v="6"/>
    <x v="2"/>
    <n v="20"/>
    <n v="1216.6666666666699"/>
    <n v="4380"/>
  </r>
  <r>
    <x v="0"/>
    <x v="0"/>
    <x v="0"/>
    <x v="4"/>
    <x v="5"/>
    <s v="LT_A1"/>
    <x v="10"/>
    <x v="17"/>
    <x v="6"/>
    <x v="3"/>
    <n v="20"/>
    <n v="1216.6666666666699"/>
    <n v="4380"/>
  </r>
  <r>
    <x v="0"/>
    <x v="0"/>
    <x v="0"/>
    <x v="4"/>
    <x v="5"/>
    <s v="LT_A1"/>
    <x v="10"/>
    <x v="17"/>
    <x v="6"/>
    <x v="4"/>
    <n v="20"/>
    <n v="1216.6666666666699"/>
    <n v="4380"/>
  </r>
  <r>
    <x v="0"/>
    <x v="0"/>
    <x v="0"/>
    <x v="4"/>
    <x v="5"/>
    <s v="LT_A1"/>
    <x v="10"/>
    <x v="17"/>
    <x v="6"/>
    <x v="5"/>
    <n v="20"/>
    <n v="1216.6666666666699"/>
    <n v="4380"/>
  </r>
  <r>
    <x v="0"/>
    <x v="0"/>
    <x v="0"/>
    <x v="4"/>
    <x v="5"/>
    <s v="LT_A1"/>
    <x v="10"/>
    <x v="17"/>
    <x v="6"/>
    <x v="6"/>
    <n v="20"/>
    <n v="1216.6666666666699"/>
    <n v="4380"/>
  </r>
  <r>
    <x v="0"/>
    <x v="0"/>
    <x v="0"/>
    <x v="4"/>
    <x v="5"/>
    <s v="LT_A1"/>
    <x v="10"/>
    <x v="17"/>
    <x v="6"/>
    <x v="7"/>
    <n v="20"/>
    <n v="1216.6666666666699"/>
    <n v="4380"/>
  </r>
  <r>
    <x v="0"/>
    <x v="0"/>
    <x v="0"/>
    <x v="4"/>
    <x v="5"/>
    <s v="LT_A1"/>
    <x v="10"/>
    <x v="17"/>
    <x v="6"/>
    <x v="8"/>
    <n v="20"/>
    <n v="1216.6666666666699"/>
    <n v="4380"/>
  </r>
  <r>
    <x v="0"/>
    <x v="0"/>
    <x v="0"/>
    <x v="4"/>
    <x v="5"/>
    <s v="LT_A1"/>
    <x v="10"/>
    <x v="17"/>
    <x v="6"/>
    <x v="9"/>
    <n v="20"/>
    <n v="1216.6666666666699"/>
    <n v="4380"/>
  </r>
  <r>
    <x v="0"/>
    <x v="0"/>
    <x v="0"/>
    <x v="4"/>
    <x v="5"/>
    <s v="LT_A1"/>
    <x v="10"/>
    <x v="17"/>
    <x v="6"/>
    <x v="10"/>
    <n v="20"/>
    <n v="1216.6666666666699"/>
    <n v="4380"/>
  </r>
  <r>
    <x v="0"/>
    <x v="0"/>
    <x v="0"/>
    <x v="4"/>
    <x v="5"/>
    <s v="LT_A1"/>
    <x v="10"/>
    <x v="17"/>
    <x v="6"/>
    <x v="11"/>
    <n v="20"/>
    <n v="1216.6666666666699"/>
    <n v="4380"/>
  </r>
  <r>
    <x v="0"/>
    <x v="0"/>
    <x v="0"/>
    <x v="4"/>
    <x v="5"/>
    <s v="LT_A1"/>
    <x v="10"/>
    <x v="17"/>
    <x v="7"/>
    <x v="0"/>
    <n v="20"/>
    <n v="1216.6666666666699"/>
    <n v="4380"/>
  </r>
  <r>
    <x v="0"/>
    <x v="0"/>
    <x v="0"/>
    <x v="4"/>
    <x v="5"/>
    <s v="LT_A1"/>
    <x v="10"/>
    <x v="17"/>
    <x v="7"/>
    <x v="1"/>
    <n v="20"/>
    <n v="1216.6666666666699"/>
    <n v="4380"/>
  </r>
  <r>
    <x v="0"/>
    <x v="0"/>
    <x v="0"/>
    <x v="4"/>
    <x v="5"/>
    <s v="LT_A1"/>
    <x v="10"/>
    <x v="17"/>
    <x v="7"/>
    <x v="2"/>
    <n v="20"/>
    <n v="1216.6666666666699"/>
    <n v="4380"/>
  </r>
  <r>
    <x v="0"/>
    <x v="0"/>
    <x v="0"/>
    <x v="4"/>
    <x v="5"/>
    <s v="LT_A1"/>
    <x v="10"/>
    <x v="17"/>
    <x v="7"/>
    <x v="3"/>
    <n v="20"/>
    <n v="1216.6666666666699"/>
    <n v="4380"/>
  </r>
  <r>
    <x v="0"/>
    <x v="0"/>
    <x v="0"/>
    <x v="4"/>
    <x v="5"/>
    <s v="LT_A1"/>
    <x v="10"/>
    <x v="17"/>
    <x v="7"/>
    <x v="4"/>
    <n v="20"/>
    <n v="1216.6666666666699"/>
    <n v="4380"/>
  </r>
  <r>
    <x v="0"/>
    <x v="0"/>
    <x v="0"/>
    <x v="4"/>
    <x v="5"/>
    <s v="LT_A1"/>
    <x v="10"/>
    <x v="17"/>
    <x v="7"/>
    <x v="5"/>
    <n v="20"/>
    <n v="1216.6666666666699"/>
    <n v="4380"/>
  </r>
  <r>
    <x v="0"/>
    <x v="0"/>
    <x v="0"/>
    <x v="4"/>
    <x v="5"/>
    <s v="LT_A1"/>
    <x v="10"/>
    <x v="17"/>
    <x v="7"/>
    <x v="6"/>
    <n v="20"/>
    <n v="1216.6666666666699"/>
    <n v="4380"/>
  </r>
  <r>
    <x v="0"/>
    <x v="0"/>
    <x v="0"/>
    <x v="4"/>
    <x v="5"/>
    <s v="LT_A1"/>
    <x v="10"/>
    <x v="17"/>
    <x v="7"/>
    <x v="7"/>
    <n v="20"/>
    <n v="1216.6666666666699"/>
    <n v="4380"/>
  </r>
  <r>
    <x v="0"/>
    <x v="0"/>
    <x v="0"/>
    <x v="4"/>
    <x v="5"/>
    <s v="LT_A1"/>
    <x v="10"/>
    <x v="17"/>
    <x v="7"/>
    <x v="8"/>
    <n v="20"/>
    <n v="1216.6666666666699"/>
    <n v="4380"/>
  </r>
  <r>
    <x v="0"/>
    <x v="0"/>
    <x v="0"/>
    <x v="4"/>
    <x v="5"/>
    <s v="LT_A1"/>
    <x v="10"/>
    <x v="17"/>
    <x v="7"/>
    <x v="9"/>
    <n v="20"/>
    <n v="1216.6666666666699"/>
    <n v="4380"/>
  </r>
  <r>
    <x v="0"/>
    <x v="0"/>
    <x v="0"/>
    <x v="4"/>
    <x v="5"/>
    <s v="LT_A1"/>
    <x v="10"/>
    <x v="17"/>
    <x v="7"/>
    <x v="10"/>
    <n v="20"/>
    <n v="1216.6666666666699"/>
    <n v="4380"/>
  </r>
  <r>
    <x v="0"/>
    <x v="0"/>
    <x v="0"/>
    <x v="4"/>
    <x v="5"/>
    <s v="LT_A1"/>
    <x v="10"/>
    <x v="17"/>
    <x v="7"/>
    <x v="11"/>
    <n v="20"/>
    <n v="1216.6666666666699"/>
    <n v="4380"/>
  </r>
  <r>
    <x v="0"/>
    <x v="0"/>
    <x v="0"/>
    <x v="4"/>
    <x v="5"/>
    <s v="LT_A1"/>
    <x v="10"/>
    <x v="17"/>
    <x v="8"/>
    <x v="0"/>
    <n v="20"/>
    <n v="1216.6666666666699"/>
    <n v="4380"/>
  </r>
  <r>
    <x v="0"/>
    <x v="0"/>
    <x v="0"/>
    <x v="4"/>
    <x v="5"/>
    <s v="LT_A1"/>
    <x v="10"/>
    <x v="17"/>
    <x v="8"/>
    <x v="1"/>
    <n v="20"/>
    <n v="1216.6666666666699"/>
    <n v="4380"/>
  </r>
  <r>
    <x v="0"/>
    <x v="0"/>
    <x v="0"/>
    <x v="4"/>
    <x v="5"/>
    <s v="LT_A1"/>
    <x v="10"/>
    <x v="17"/>
    <x v="8"/>
    <x v="2"/>
    <n v="20"/>
    <n v="1216.6666666666699"/>
    <n v="4380"/>
  </r>
  <r>
    <x v="0"/>
    <x v="0"/>
    <x v="0"/>
    <x v="4"/>
    <x v="5"/>
    <s v="LT_A1"/>
    <x v="10"/>
    <x v="17"/>
    <x v="8"/>
    <x v="3"/>
    <n v="20"/>
    <n v="1216.6666666666699"/>
    <n v="4380"/>
  </r>
  <r>
    <x v="0"/>
    <x v="0"/>
    <x v="0"/>
    <x v="4"/>
    <x v="5"/>
    <s v="LT_A1"/>
    <x v="10"/>
    <x v="17"/>
    <x v="8"/>
    <x v="4"/>
    <n v="20"/>
    <n v="1216.6666666666699"/>
    <n v="4380"/>
  </r>
  <r>
    <x v="0"/>
    <x v="0"/>
    <x v="0"/>
    <x v="4"/>
    <x v="5"/>
    <s v="LT_A1"/>
    <x v="10"/>
    <x v="17"/>
    <x v="8"/>
    <x v="5"/>
    <n v="20"/>
    <n v="1216.6666666666699"/>
    <n v="4380"/>
  </r>
  <r>
    <x v="0"/>
    <x v="0"/>
    <x v="0"/>
    <x v="4"/>
    <x v="5"/>
    <s v="LT_A1"/>
    <x v="10"/>
    <x v="17"/>
    <x v="8"/>
    <x v="6"/>
    <n v="20"/>
    <n v="1216.6666666666699"/>
    <n v="4380"/>
  </r>
  <r>
    <x v="0"/>
    <x v="0"/>
    <x v="0"/>
    <x v="4"/>
    <x v="5"/>
    <s v="LT_A1"/>
    <x v="10"/>
    <x v="17"/>
    <x v="8"/>
    <x v="7"/>
    <n v="20"/>
    <n v="1216.6666666666699"/>
    <n v="4380"/>
  </r>
  <r>
    <x v="0"/>
    <x v="0"/>
    <x v="0"/>
    <x v="4"/>
    <x v="5"/>
    <s v="LT_A1"/>
    <x v="10"/>
    <x v="17"/>
    <x v="8"/>
    <x v="8"/>
    <n v="20"/>
    <n v="1216.6666666666699"/>
    <n v="4380"/>
  </r>
  <r>
    <x v="0"/>
    <x v="0"/>
    <x v="0"/>
    <x v="4"/>
    <x v="5"/>
    <s v="LT_A1"/>
    <x v="10"/>
    <x v="17"/>
    <x v="8"/>
    <x v="9"/>
    <n v="20"/>
    <n v="1216.6666666666699"/>
    <n v="4380"/>
  </r>
  <r>
    <x v="0"/>
    <x v="0"/>
    <x v="0"/>
    <x v="4"/>
    <x v="5"/>
    <s v="LT_A1"/>
    <x v="10"/>
    <x v="17"/>
    <x v="8"/>
    <x v="10"/>
    <n v="20"/>
    <n v="1216.6666666666699"/>
    <n v="4380"/>
  </r>
  <r>
    <x v="0"/>
    <x v="0"/>
    <x v="0"/>
    <x v="4"/>
    <x v="5"/>
    <s v="LT_A1"/>
    <x v="10"/>
    <x v="17"/>
    <x v="8"/>
    <x v="11"/>
    <n v="20"/>
    <n v="1216.6666666666699"/>
    <n v="4380"/>
  </r>
  <r>
    <x v="0"/>
    <x v="0"/>
    <x v="0"/>
    <x v="4"/>
    <x v="5"/>
    <s v="LT_A1"/>
    <x v="10"/>
    <x v="17"/>
    <x v="9"/>
    <x v="0"/>
    <n v="20"/>
    <n v="1216.6666666666699"/>
    <n v="4380"/>
  </r>
  <r>
    <x v="0"/>
    <x v="0"/>
    <x v="0"/>
    <x v="4"/>
    <x v="5"/>
    <s v="LT_A1"/>
    <x v="10"/>
    <x v="17"/>
    <x v="9"/>
    <x v="1"/>
    <n v="20"/>
    <n v="1216.6666666666699"/>
    <n v="4380"/>
  </r>
  <r>
    <x v="0"/>
    <x v="0"/>
    <x v="0"/>
    <x v="4"/>
    <x v="5"/>
    <s v="LT_A1"/>
    <x v="10"/>
    <x v="17"/>
    <x v="9"/>
    <x v="2"/>
    <n v="20"/>
    <n v="1216.6666666666699"/>
    <n v="4380"/>
  </r>
  <r>
    <x v="0"/>
    <x v="0"/>
    <x v="0"/>
    <x v="4"/>
    <x v="5"/>
    <s v="LT_A1"/>
    <x v="10"/>
    <x v="17"/>
    <x v="9"/>
    <x v="3"/>
    <n v="20"/>
    <n v="1216.6666666666699"/>
    <n v="4380"/>
  </r>
  <r>
    <x v="0"/>
    <x v="0"/>
    <x v="0"/>
    <x v="4"/>
    <x v="5"/>
    <s v="LT_A1"/>
    <x v="10"/>
    <x v="17"/>
    <x v="9"/>
    <x v="4"/>
    <n v="20"/>
    <n v="1216.6666666666699"/>
    <n v="4380"/>
  </r>
  <r>
    <x v="0"/>
    <x v="0"/>
    <x v="0"/>
    <x v="4"/>
    <x v="5"/>
    <s v="LT_A1"/>
    <x v="10"/>
    <x v="17"/>
    <x v="9"/>
    <x v="5"/>
    <n v="20"/>
    <n v="1216.6666666666699"/>
    <n v="4380"/>
  </r>
  <r>
    <x v="0"/>
    <x v="0"/>
    <x v="0"/>
    <x v="4"/>
    <x v="5"/>
    <s v="LT_A1"/>
    <x v="10"/>
    <x v="17"/>
    <x v="9"/>
    <x v="6"/>
    <n v="20"/>
    <n v="1216.6666666666699"/>
    <n v="4380"/>
  </r>
  <r>
    <x v="0"/>
    <x v="0"/>
    <x v="0"/>
    <x v="4"/>
    <x v="5"/>
    <s v="LT_A1"/>
    <x v="10"/>
    <x v="17"/>
    <x v="9"/>
    <x v="7"/>
    <n v="20"/>
    <n v="1216.6666666666699"/>
    <n v="4380"/>
  </r>
  <r>
    <x v="0"/>
    <x v="0"/>
    <x v="0"/>
    <x v="4"/>
    <x v="5"/>
    <s v="LT_A1"/>
    <x v="10"/>
    <x v="17"/>
    <x v="9"/>
    <x v="8"/>
    <n v="20"/>
    <n v="1216.6666666666699"/>
    <n v="4380"/>
  </r>
  <r>
    <x v="0"/>
    <x v="0"/>
    <x v="0"/>
    <x v="4"/>
    <x v="5"/>
    <s v="LT_A1"/>
    <x v="10"/>
    <x v="17"/>
    <x v="9"/>
    <x v="9"/>
    <n v="20"/>
    <n v="1216.6666666666699"/>
    <n v="4380"/>
  </r>
  <r>
    <x v="0"/>
    <x v="0"/>
    <x v="0"/>
    <x v="4"/>
    <x v="5"/>
    <s v="LT_A1"/>
    <x v="10"/>
    <x v="17"/>
    <x v="9"/>
    <x v="10"/>
    <n v="20"/>
    <n v="1216.6666666666699"/>
    <n v="4380"/>
  </r>
  <r>
    <x v="0"/>
    <x v="0"/>
    <x v="0"/>
    <x v="4"/>
    <x v="5"/>
    <s v="LT_A1"/>
    <x v="10"/>
    <x v="17"/>
    <x v="9"/>
    <x v="11"/>
    <n v="20"/>
    <n v="1216.6666666666699"/>
    <n v="4380"/>
  </r>
  <r>
    <x v="0"/>
    <x v="0"/>
    <x v="0"/>
    <x v="4"/>
    <x v="5"/>
    <s v="LT_A1"/>
    <x v="10"/>
    <x v="17"/>
    <x v="10"/>
    <x v="0"/>
    <n v="20"/>
    <n v="1216.6666666666699"/>
    <n v="4380"/>
  </r>
  <r>
    <x v="0"/>
    <x v="0"/>
    <x v="0"/>
    <x v="4"/>
    <x v="5"/>
    <s v="LT_A1"/>
    <x v="10"/>
    <x v="17"/>
    <x v="10"/>
    <x v="1"/>
    <n v="20"/>
    <n v="1216.6666666666699"/>
    <n v="4380"/>
  </r>
  <r>
    <x v="0"/>
    <x v="0"/>
    <x v="0"/>
    <x v="4"/>
    <x v="5"/>
    <s v="LT_A1"/>
    <x v="10"/>
    <x v="17"/>
    <x v="10"/>
    <x v="2"/>
    <n v="20"/>
    <n v="1216.6666666666699"/>
    <n v="4380"/>
  </r>
  <r>
    <x v="0"/>
    <x v="0"/>
    <x v="0"/>
    <x v="4"/>
    <x v="5"/>
    <s v="LT_A1"/>
    <x v="10"/>
    <x v="17"/>
    <x v="10"/>
    <x v="3"/>
    <n v="20"/>
    <n v="1216.6666666666699"/>
    <n v="4380"/>
  </r>
  <r>
    <x v="0"/>
    <x v="0"/>
    <x v="0"/>
    <x v="4"/>
    <x v="5"/>
    <s v="LT_A1"/>
    <x v="10"/>
    <x v="17"/>
    <x v="10"/>
    <x v="4"/>
    <n v="20"/>
    <n v="1216.6666666666699"/>
    <n v="4380"/>
  </r>
  <r>
    <x v="0"/>
    <x v="0"/>
    <x v="0"/>
    <x v="4"/>
    <x v="5"/>
    <s v="LT_A1"/>
    <x v="10"/>
    <x v="17"/>
    <x v="10"/>
    <x v="5"/>
    <n v="20"/>
    <n v="1216.6666666666699"/>
    <n v="4380"/>
  </r>
  <r>
    <x v="0"/>
    <x v="0"/>
    <x v="0"/>
    <x v="4"/>
    <x v="5"/>
    <s v="LT_A1"/>
    <x v="10"/>
    <x v="17"/>
    <x v="10"/>
    <x v="6"/>
    <n v="20"/>
    <n v="1216.6666666666699"/>
    <n v="4380"/>
  </r>
  <r>
    <x v="0"/>
    <x v="0"/>
    <x v="0"/>
    <x v="4"/>
    <x v="5"/>
    <s v="LT_A1"/>
    <x v="10"/>
    <x v="17"/>
    <x v="10"/>
    <x v="7"/>
    <n v="20"/>
    <n v="1216.6666666666699"/>
    <n v="4380"/>
  </r>
  <r>
    <x v="0"/>
    <x v="0"/>
    <x v="0"/>
    <x v="4"/>
    <x v="5"/>
    <s v="LT_A1"/>
    <x v="10"/>
    <x v="17"/>
    <x v="10"/>
    <x v="8"/>
    <n v="20"/>
    <n v="1216.6666666666699"/>
    <n v="4380"/>
  </r>
  <r>
    <x v="0"/>
    <x v="0"/>
    <x v="0"/>
    <x v="4"/>
    <x v="5"/>
    <s v="LT_A1"/>
    <x v="10"/>
    <x v="17"/>
    <x v="10"/>
    <x v="9"/>
    <n v="20"/>
    <n v="1216.6666666666699"/>
    <n v="4380"/>
  </r>
  <r>
    <x v="0"/>
    <x v="0"/>
    <x v="0"/>
    <x v="4"/>
    <x v="5"/>
    <s v="LT_A1"/>
    <x v="10"/>
    <x v="17"/>
    <x v="10"/>
    <x v="10"/>
    <n v="20"/>
    <n v="1216.6666666666699"/>
    <n v="4380"/>
  </r>
  <r>
    <x v="0"/>
    <x v="0"/>
    <x v="0"/>
    <x v="4"/>
    <x v="5"/>
    <s v="LT_A1"/>
    <x v="10"/>
    <x v="17"/>
    <x v="10"/>
    <x v="11"/>
    <n v="20"/>
    <n v="1216.6666666666699"/>
    <n v="4380"/>
  </r>
  <r>
    <x v="0"/>
    <x v="0"/>
    <x v="0"/>
    <x v="4"/>
    <x v="5"/>
    <s v="LT_A1"/>
    <x v="10"/>
    <x v="17"/>
    <x v="11"/>
    <x v="0"/>
    <n v="20"/>
    <n v="1216.6666666666699"/>
    <n v="4380"/>
  </r>
  <r>
    <x v="0"/>
    <x v="0"/>
    <x v="0"/>
    <x v="4"/>
    <x v="5"/>
    <s v="LT_A1"/>
    <x v="10"/>
    <x v="17"/>
    <x v="11"/>
    <x v="1"/>
    <n v="20"/>
    <n v="1216.6666666666699"/>
    <n v="4380"/>
  </r>
  <r>
    <x v="0"/>
    <x v="0"/>
    <x v="0"/>
    <x v="4"/>
    <x v="5"/>
    <s v="LT_A1"/>
    <x v="10"/>
    <x v="17"/>
    <x v="11"/>
    <x v="2"/>
    <n v="20"/>
    <n v="1216.6666666666699"/>
    <n v="4380"/>
  </r>
  <r>
    <x v="0"/>
    <x v="0"/>
    <x v="0"/>
    <x v="4"/>
    <x v="5"/>
    <s v="LT_A1"/>
    <x v="10"/>
    <x v="17"/>
    <x v="11"/>
    <x v="3"/>
    <n v="20"/>
    <n v="1216.6666666666699"/>
    <n v="4380"/>
  </r>
  <r>
    <x v="0"/>
    <x v="0"/>
    <x v="0"/>
    <x v="4"/>
    <x v="5"/>
    <s v="LT_A1"/>
    <x v="10"/>
    <x v="17"/>
    <x v="11"/>
    <x v="4"/>
    <n v="20"/>
    <n v="1216.6666666666699"/>
    <n v="4380"/>
  </r>
  <r>
    <x v="0"/>
    <x v="0"/>
    <x v="0"/>
    <x v="4"/>
    <x v="5"/>
    <s v="LT_A1"/>
    <x v="10"/>
    <x v="17"/>
    <x v="11"/>
    <x v="5"/>
    <n v="20"/>
    <n v="1216.6666666666699"/>
    <n v="4380"/>
  </r>
  <r>
    <x v="0"/>
    <x v="0"/>
    <x v="0"/>
    <x v="4"/>
    <x v="5"/>
    <s v="LT_A1"/>
    <x v="10"/>
    <x v="17"/>
    <x v="11"/>
    <x v="6"/>
    <n v="20"/>
    <n v="1216.6666666666699"/>
    <n v="4380"/>
  </r>
  <r>
    <x v="0"/>
    <x v="0"/>
    <x v="0"/>
    <x v="4"/>
    <x v="5"/>
    <s v="LT_A1"/>
    <x v="10"/>
    <x v="17"/>
    <x v="11"/>
    <x v="7"/>
    <n v="20"/>
    <n v="1216.6666666666699"/>
    <n v="4380"/>
  </r>
  <r>
    <x v="0"/>
    <x v="0"/>
    <x v="0"/>
    <x v="4"/>
    <x v="5"/>
    <s v="LT_A1"/>
    <x v="10"/>
    <x v="17"/>
    <x v="11"/>
    <x v="8"/>
    <n v="20"/>
    <n v="1216.6666666666699"/>
    <n v="4380"/>
  </r>
  <r>
    <x v="0"/>
    <x v="0"/>
    <x v="0"/>
    <x v="4"/>
    <x v="5"/>
    <s v="LT_A1"/>
    <x v="10"/>
    <x v="17"/>
    <x v="11"/>
    <x v="9"/>
    <n v="20"/>
    <n v="1216.6666666666699"/>
    <n v="4380"/>
  </r>
  <r>
    <x v="0"/>
    <x v="0"/>
    <x v="0"/>
    <x v="4"/>
    <x v="5"/>
    <s v="LT_A1"/>
    <x v="10"/>
    <x v="17"/>
    <x v="11"/>
    <x v="10"/>
    <n v="20"/>
    <n v="1216.6666666666699"/>
    <n v="4380"/>
  </r>
  <r>
    <x v="0"/>
    <x v="0"/>
    <x v="0"/>
    <x v="4"/>
    <x v="5"/>
    <s v="LT_A1"/>
    <x v="10"/>
    <x v="17"/>
    <x v="11"/>
    <x v="11"/>
    <n v="20"/>
    <n v="1216.6666666666699"/>
    <n v="4380"/>
  </r>
  <r>
    <x v="0"/>
    <x v="0"/>
    <x v="0"/>
    <x v="4"/>
    <x v="5"/>
    <s v="LT_A1"/>
    <x v="1"/>
    <x v="21"/>
    <x v="0"/>
    <x v="1"/>
    <n v="35"/>
    <n v="2129.1666666666702"/>
    <n v="7665"/>
  </r>
  <r>
    <x v="0"/>
    <x v="0"/>
    <x v="0"/>
    <x v="4"/>
    <x v="5"/>
    <s v="LT_A1"/>
    <x v="1"/>
    <x v="21"/>
    <x v="0"/>
    <x v="2"/>
    <n v="35"/>
    <n v="2129.1666666666702"/>
    <n v="7665"/>
  </r>
  <r>
    <x v="0"/>
    <x v="0"/>
    <x v="0"/>
    <x v="4"/>
    <x v="5"/>
    <s v="LT_A1"/>
    <x v="1"/>
    <x v="21"/>
    <x v="0"/>
    <x v="3"/>
    <n v="35"/>
    <n v="2129.1666666666702"/>
    <n v="7665"/>
  </r>
  <r>
    <x v="0"/>
    <x v="0"/>
    <x v="0"/>
    <x v="4"/>
    <x v="5"/>
    <s v="LT_A1"/>
    <x v="1"/>
    <x v="21"/>
    <x v="0"/>
    <x v="4"/>
    <n v="35"/>
    <n v="2129.1666666666702"/>
    <n v="7665"/>
  </r>
  <r>
    <x v="0"/>
    <x v="0"/>
    <x v="0"/>
    <x v="4"/>
    <x v="5"/>
    <s v="LT_A1"/>
    <x v="1"/>
    <x v="21"/>
    <x v="0"/>
    <x v="5"/>
    <n v="35"/>
    <n v="2129.1666666666702"/>
    <n v="7665"/>
  </r>
  <r>
    <x v="0"/>
    <x v="0"/>
    <x v="0"/>
    <x v="4"/>
    <x v="5"/>
    <s v="LT_A1"/>
    <x v="1"/>
    <x v="21"/>
    <x v="0"/>
    <x v="6"/>
    <n v="35"/>
    <n v="2129.1666666666702"/>
    <n v="7665"/>
  </r>
  <r>
    <x v="0"/>
    <x v="0"/>
    <x v="0"/>
    <x v="4"/>
    <x v="5"/>
    <s v="LT_A1"/>
    <x v="1"/>
    <x v="21"/>
    <x v="0"/>
    <x v="7"/>
    <n v="35"/>
    <n v="2129.1666666666702"/>
    <n v="7665"/>
  </r>
  <r>
    <x v="0"/>
    <x v="0"/>
    <x v="0"/>
    <x v="4"/>
    <x v="5"/>
    <s v="LT_A1"/>
    <x v="1"/>
    <x v="21"/>
    <x v="0"/>
    <x v="8"/>
    <n v="35"/>
    <n v="2129.1666666666702"/>
    <n v="7665"/>
  </r>
  <r>
    <x v="0"/>
    <x v="0"/>
    <x v="0"/>
    <x v="4"/>
    <x v="5"/>
    <s v="LT_A1"/>
    <x v="1"/>
    <x v="21"/>
    <x v="0"/>
    <x v="9"/>
    <n v="35"/>
    <n v="2129.1666666666702"/>
    <n v="7665"/>
  </r>
  <r>
    <x v="0"/>
    <x v="0"/>
    <x v="0"/>
    <x v="4"/>
    <x v="5"/>
    <s v="LT_A1"/>
    <x v="1"/>
    <x v="21"/>
    <x v="0"/>
    <x v="10"/>
    <n v="35"/>
    <n v="2129.1666666666702"/>
    <n v="7665"/>
  </r>
  <r>
    <x v="0"/>
    <x v="0"/>
    <x v="0"/>
    <x v="4"/>
    <x v="5"/>
    <s v="LT_A1"/>
    <x v="1"/>
    <x v="21"/>
    <x v="0"/>
    <x v="11"/>
    <n v="35"/>
    <n v="2129.1666666666702"/>
    <n v="7665"/>
  </r>
  <r>
    <x v="0"/>
    <x v="0"/>
    <x v="0"/>
    <x v="4"/>
    <x v="5"/>
    <s v="LT_A1"/>
    <x v="1"/>
    <x v="21"/>
    <x v="1"/>
    <x v="0"/>
    <n v="0.27286160464410603"/>
    <n v="16.599080949183101"/>
    <n v="59.756691417059301"/>
  </r>
  <r>
    <x v="0"/>
    <x v="0"/>
    <x v="0"/>
    <x v="4"/>
    <x v="5"/>
    <s v="LT_A1"/>
    <x v="1"/>
    <x v="21"/>
    <x v="1"/>
    <x v="1"/>
    <n v="35"/>
    <n v="2129.1666666666702"/>
    <n v="7665"/>
  </r>
  <r>
    <x v="0"/>
    <x v="0"/>
    <x v="0"/>
    <x v="4"/>
    <x v="5"/>
    <s v="LT_A1"/>
    <x v="1"/>
    <x v="21"/>
    <x v="1"/>
    <x v="2"/>
    <n v="35"/>
    <n v="2129.1666666666702"/>
    <n v="7665"/>
  </r>
  <r>
    <x v="0"/>
    <x v="0"/>
    <x v="0"/>
    <x v="4"/>
    <x v="5"/>
    <s v="LT_A1"/>
    <x v="1"/>
    <x v="21"/>
    <x v="1"/>
    <x v="3"/>
    <n v="35"/>
    <n v="2129.1666666666702"/>
    <n v="7665"/>
  </r>
  <r>
    <x v="0"/>
    <x v="0"/>
    <x v="0"/>
    <x v="4"/>
    <x v="5"/>
    <s v="LT_A1"/>
    <x v="1"/>
    <x v="21"/>
    <x v="1"/>
    <x v="4"/>
    <n v="35"/>
    <n v="2129.1666666666702"/>
    <n v="7665"/>
  </r>
  <r>
    <x v="0"/>
    <x v="0"/>
    <x v="0"/>
    <x v="4"/>
    <x v="5"/>
    <s v="LT_A1"/>
    <x v="1"/>
    <x v="21"/>
    <x v="1"/>
    <x v="5"/>
    <n v="33.101112263015303"/>
    <n v="2013.6509960000999"/>
    <n v="7249.14358560035"/>
  </r>
  <r>
    <x v="0"/>
    <x v="0"/>
    <x v="0"/>
    <x v="4"/>
    <x v="5"/>
    <s v="LT_A1"/>
    <x v="1"/>
    <x v="21"/>
    <x v="2"/>
    <x v="0"/>
    <n v="35"/>
    <n v="2129.1666666666702"/>
    <n v="7665"/>
  </r>
  <r>
    <x v="0"/>
    <x v="0"/>
    <x v="0"/>
    <x v="4"/>
    <x v="5"/>
    <s v="LT_A1"/>
    <x v="1"/>
    <x v="21"/>
    <x v="2"/>
    <x v="1"/>
    <n v="35"/>
    <n v="2129.1666666666702"/>
    <n v="7665"/>
  </r>
  <r>
    <x v="0"/>
    <x v="0"/>
    <x v="0"/>
    <x v="4"/>
    <x v="5"/>
    <s v="LT_A1"/>
    <x v="1"/>
    <x v="21"/>
    <x v="2"/>
    <x v="2"/>
    <n v="35"/>
    <n v="2129.1666666666702"/>
    <n v="7665"/>
  </r>
  <r>
    <x v="0"/>
    <x v="0"/>
    <x v="0"/>
    <x v="4"/>
    <x v="5"/>
    <s v="LT_A1"/>
    <x v="1"/>
    <x v="21"/>
    <x v="2"/>
    <x v="3"/>
    <n v="35"/>
    <n v="2129.1666666666702"/>
    <n v="7665"/>
  </r>
  <r>
    <x v="0"/>
    <x v="0"/>
    <x v="0"/>
    <x v="4"/>
    <x v="5"/>
    <s v="LT_A1"/>
    <x v="1"/>
    <x v="21"/>
    <x v="2"/>
    <x v="4"/>
    <n v="35"/>
    <n v="2129.1666666666702"/>
    <n v="7665"/>
  </r>
  <r>
    <x v="0"/>
    <x v="0"/>
    <x v="0"/>
    <x v="4"/>
    <x v="5"/>
    <s v="LT_A1"/>
    <x v="1"/>
    <x v="21"/>
    <x v="2"/>
    <x v="5"/>
    <n v="35"/>
    <n v="2129.1666666666702"/>
    <n v="7665"/>
  </r>
  <r>
    <x v="0"/>
    <x v="0"/>
    <x v="0"/>
    <x v="4"/>
    <x v="5"/>
    <s v="LT_A1"/>
    <x v="1"/>
    <x v="21"/>
    <x v="3"/>
    <x v="0"/>
    <n v="35"/>
    <n v="2129.1666666666702"/>
    <n v="7665"/>
  </r>
  <r>
    <x v="0"/>
    <x v="0"/>
    <x v="0"/>
    <x v="4"/>
    <x v="5"/>
    <s v="LT_A1"/>
    <x v="1"/>
    <x v="21"/>
    <x v="3"/>
    <x v="1"/>
    <n v="35"/>
    <n v="2129.1666666666702"/>
    <n v="7665"/>
  </r>
  <r>
    <x v="0"/>
    <x v="0"/>
    <x v="0"/>
    <x v="4"/>
    <x v="5"/>
    <s v="LT_A1"/>
    <x v="1"/>
    <x v="21"/>
    <x v="3"/>
    <x v="2"/>
    <n v="35"/>
    <n v="2129.1666666666702"/>
    <n v="7665"/>
  </r>
  <r>
    <x v="0"/>
    <x v="0"/>
    <x v="0"/>
    <x v="4"/>
    <x v="5"/>
    <s v="LT_A1"/>
    <x v="1"/>
    <x v="21"/>
    <x v="3"/>
    <x v="3"/>
    <n v="35"/>
    <n v="2129.1666666666702"/>
    <n v="7665"/>
  </r>
  <r>
    <x v="0"/>
    <x v="0"/>
    <x v="0"/>
    <x v="4"/>
    <x v="5"/>
    <s v="LT_A1"/>
    <x v="1"/>
    <x v="21"/>
    <x v="3"/>
    <x v="4"/>
    <n v="35"/>
    <n v="2129.1666666666702"/>
    <n v="7665"/>
  </r>
  <r>
    <x v="0"/>
    <x v="0"/>
    <x v="0"/>
    <x v="4"/>
    <x v="5"/>
    <s v="LT_A1"/>
    <x v="1"/>
    <x v="21"/>
    <x v="4"/>
    <x v="0"/>
    <n v="35"/>
    <n v="2129.1666666666702"/>
    <n v="7665"/>
  </r>
  <r>
    <x v="0"/>
    <x v="0"/>
    <x v="0"/>
    <x v="4"/>
    <x v="5"/>
    <s v="LT_A1"/>
    <x v="1"/>
    <x v="21"/>
    <x v="4"/>
    <x v="1"/>
    <n v="35"/>
    <n v="2129.1666666666702"/>
    <n v="7665"/>
  </r>
  <r>
    <x v="0"/>
    <x v="0"/>
    <x v="0"/>
    <x v="4"/>
    <x v="5"/>
    <s v="LT_A1"/>
    <x v="1"/>
    <x v="21"/>
    <x v="4"/>
    <x v="2"/>
    <n v="35"/>
    <n v="2129.1666666666702"/>
    <n v="7665"/>
  </r>
  <r>
    <x v="0"/>
    <x v="0"/>
    <x v="0"/>
    <x v="4"/>
    <x v="5"/>
    <s v="LT_A1"/>
    <x v="1"/>
    <x v="21"/>
    <x v="4"/>
    <x v="3"/>
    <n v="35"/>
    <n v="2129.1666666666702"/>
    <n v="7665"/>
  </r>
  <r>
    <x v="0"/>
    <x v="0"/>
    <x v="0"/>
    <x v="4"/>
    <x v="5"/>
    <s v="LT_A1"/>
    <x v="1"/>
    <x v="21"/>
    <x v="4"/>
    <x v="4"/>
    <n v="35"/>
    <n v="2129.1666666666702"/>
    <n v="7665"/>
  </r>
  <r>
    <x v="0"/>
    <x v="0"/>
    <x v="0"/>
    <x v="4"/>
    <x v="5"/>
    <s v="LT_A1"/>
    <x v="1"/>
    <x v="21"/>
    <x v="4"/>
    <x v="5"/>
    <n v="35"/>
    <n v="2129.1666666666702"/>
    <n v="7665"/>
  </r>
  <r>
    <x v="0"/>
    <x v="0"/>
    <x v="0"/>
    <x v="4"/>
    <x v="5"/>
    <s v="LT_A1"/>
    <x v="1"/>
    <x v="21"/>
    <x v="4"/>
    <x v="6"/>
    <n v="35"/>
    <n v="2129.1666666666702"/>
    <n v="7665"/>
  </r>
  <r>
    <x v="0"/>
    <x v="0"/>
    <x v="0"/>
    <x v="4"/>
    <x v="5"/>
    <s v="LT_A1"/>
    <x v="1"/>
    <x v="21"/>
    <x v="4"/>
    <x v="7"/>
    <n v="35"/>
    <n v="2129.1666666666702"/>
    <n v="7665"/>
  </r>
  <r>
    <x v="0"/>
    <x v="0"/>
    <x v="0"/>
    <x v="4"/>
    <x v="5"/>
    <s v="LT_A1"/>
    <x v="1"/>
    <x v="21"/>
    <x v="4"/>
    <x v="8"/>
    <n v="35"/>
    <n v="2129.1666666666702"/>
    <n v="7665"/>
  </r>
  <r>
    <x v="0"/>
    <x v="0"/>
    <x v="0"/>
    <x v="4"/>
    <x v="5"/>
    <s v="LT_A1"/>
    <x v="1"/>
    <x v="21"/>
    <x v="4"/>
    <x v="9"/>
    <n v="35"/>
    <n v="2129.1666666666702"/>
    <n v="7665"/>
  </r>
  <r>
    <x v="0"/>
    <x v="0"/>
    <x v="0"/>
    <x v="4"/>
    <x v="5"/>
    <s v="LT_A1"/>
    <x v="1"/>
    <x v="21"/>
    <x v="4"/>
    <x v="10"/>
    <n v="35"/>
    <n v="2129.1666666666702"/>
    <n v="7665"/>
  </r>
  <r>
    <x v="0"/>
    <x v="0"/>
    <x v="0"/>
    <x v="4"/>
    <x v="5"/>
    <s v="LT_A1"/>
    <x v="1"/>
    <x v="21"/>
    <x v="4"/>
    <x v="11"/>
    <n v="35"/>
    <n v="2129.1666666666702"/>
    <n v="7665"/>
  </r>
  <r>
    <x v="0"/>
    <x v="0"/>
    <x v="0"/>
    <x v="4"/>
    <x v="5"/>
    <s v="LT_A1"/>
    <x v="1"/>
    <x v="21"/>
    <x v="5"/>
    <x v="0"/>
    <n v="35"/>
    <n v="2129.1666666666702"/>
    <n v="7665"/>
  </r>
  <r>
    <x v="0"/>
    <x v="0"/>
    <x v="0"/>
    <x v="4"/>
    <x v="5"/>
    <s v="LT_A1"/>
    <x v="1"/>
    <x v="21"/>
    <x v="5"/>
    <x v="1"/>
    <n v="35"/>
    <n v="2129.1666666666702"/>
    <n v="7665"/>
  </r>
  <r>
    <x v="0"/>
    <x v="0"/>
    <x v="0"/>
    <x v="4"/>
    <x v="5"/>
    <s v="LT_A1"/>
    <x v="1"/>
    <x v="21"/>
    <x v="5"/>
    <x v="2"/>
    <n v="35"/>
    <n v="2129.1666666666702"/>
    <n v="7665"/>
  </r>
  <r>
    <x v="0"/>
    <x v="0"/>
    <x v="0"/>
    <x v="4"/>
    <x v="5"/>
    <s v="LT_A1"/>
    <x v="1"/>
    <x v="21"/>
    <x v="5"/>
    <x v="3"/>
    <n v="35"/>
    <n v="2129.1666666666702"/>
    <n v="7665"/>
  </r>
  <r>
    <x v="0"/>
    <x v="0"/>
    <x v="0"/>
    <x v="4"/>
    <x v="5"/>
    <s v="LT_A1"/>
    <x v="1"/>
    <x v="21"/>
    <x v="5"/>
    <x v="4"/>
    <n v="35"/>
    <n v="2129.1666666666702"/>
    <n v="7665"/>
  </r>
  <r>
    <x v="0"/>
    <x v="0"/>
    <x v="0"/>
    <x v="4"/>
    <x v="5"/>
    <s v="LT_A1"/>
    <x v="1"/>
    <x v="21"/>
    <x v="5"/>
    <x v="5"/>
    <n v="35"/>
    <n v="2129.1666666666702"/>
    <n v="7665"/>
  </r>
  <r>
    <x v="0"/>
    <x v="0"/>
    <x v="0"/>
    <x v="4"/>
    <x v="5"/>
    <s v="LT_A1"/>
    <x v="1"/>
    <x v="21"/>
    <x v="5"/>
    <x v="6"/>
    <n v="35"/>
    <n v="2129.1666666666702"/>
    <n v="7665"/>
  </r>
  <r>
    <x v="0"/>
    <x v="0"/>
    <x v="0"/>
    <x v="4"/>
    <x v="5"/>
    <s v="LT_A1"/>
    <x v="1"/>
    <x v="21"/>
    <x v="5"/>
    <x v="7"/>
    <n v="35"/>
    <n v="2129.1666666666702"/>
    <n v="7665"/>
  </r>
  <r>
    <x v="0"/>
    <x v="0"/>
    <x v="0"/>
    <x v="4"/>
    <x v="5"/>
    <s v="LT_A1"/>
    <x v="1"/>
    <x v="21"/>
    <x v="5"/>
    <x v="8"/>
    <n v="35"/>
    <n v="2129.1666666666702"/>
    <n v="7665"/>
  </r>
  <r>
    <x v="0"/>
    <x v="0"/>
    <x v="0"/>
    <x v="4"/>
    <x v="5"/>
    <s v="LT_A1"/>
    <x v="1"/>
    <x v="21"/>
    <x v="5"/>
    <x v="9"/>
    <n v="35"/>
    <n v="2129.1666666666702"/>
    <n v="7665"/>
  </r>
  <r>
    <x v="0"/>
    <x v="0"/>
    <x v="0"/>
    <x v="4"/>
    <x v="5"/>
    <s v="LT_A1"/>
    <x v="1"/>
    <x v="21"/>
    <x v="5"/>
    <x v="10"/>
    <n v="35"/>
    <n v="2129.1666666666702"/>
    <n v="7665"/>
  </r>
  <r>
    <x v="0"/>
    <x v="0"/>
    <x v="0"/>
    <x v="4"/>
    <x v="5"/>
    <s v="LT_A1"/>
    <x v="1"/>
    <x v="21"/>
    <x v="5"/>
    <x v="11"/>
    <n v="35"/>
    <n v="2129.1666666666702"/>
    <n v="7665"/>
  </r>
  <r>
    <x v="0"/>
    <x v="0"/>
    <x v="0"/>
    <x v="4"/>
    <x v="5"/>
    <s v="LT_A1"/>
    <x v="1"/>
    <x v="21"/>
    <x v="6"/>
    <x v="0"/>
    <n v="35"/>
    <n v="2129.1666666666702"/>
    <n v="7665"/>
  </r>
  <r>
    <x v="0"/>
    <x v="0"/>
    <x v="0"/>
    <x v="4"/>
    <x v="5"/>
    <s v="LT_A1"/>
    <x v="1"/>
    <x v="21"/>
    <x v="6"/>
    <x v="1"/>
    <n v="35"/>
    <n v="2129.1666666666702"/>
    <n v="7665"/>
  </r>
  <r>
    <x v="0"/>
    <x v="0"/>
    <x v="0"/>
    <x v="4"/>
    <x v="5"/>
    <s v="LT_A1"/>
    <x v="1"/>
    <x v="21"/>
    <x v="6"/>
    <x v="2"/>
    <n v="35"/>
    <n v="2129.1666666666702"/>
    <n v="7665"/>
  </r>
  <r>
    <x v="0"/>
    <x v="0"/>
    <x v="0"/>
    <x v="4"/>
    <x v="5"/>
    <s v="LT_A1"/>
    <x v="1"/>
    <x v="21"/>
    <x v="6"/>
    <x v="3"/>
    <n v="35"/>
    <n v="2129.1666666666702"/>
    <n v="7665"/>
  </r>
  <r>
    <x v="0"/>
    <x v="0"/>
    <x v="0"/>
    <x v="4"/>
    <x v="5"/>
    <s v="LT_A1"/>
    <x v="1"/>
    <x v="21"/>
    <x v="6"/>
    <x v="4"/>
    <n v="35"/>
    <n v="2129.1666666666702"/>
    <n v="7665"/>
  </r>
  <r>
    <x v="0"/>
    <x v="0"/>
    <x v="0"/>
    <x v="4"/>
    <x v="5"/>
    <s v="LT_A1"/>
    <x v="1"/>
    <x v="21"/>
    <x v="6"/>
    <x v="5"/>
    <n v="35"/>
    <n v="2129.1666666666702"/>
    <n v="7665"/>
  </r>
  <r>
    <x v="0"/>
    <x v="0"/>
    <x v="0"/>
    <x v="4"/>
    <x v="5"/>
    <s v="LT_A1"/>
    <x v="1"/>
    <x v="21"/>
    <x v="6"/>
    <x v="6"/>
    <n v="35"/>
    <n v="2129.1666666666702"/>
    <n v="7665"/>
  </r>
  <r>
    <x v="0"/>
    <x v="0"/>
    <x v="0"/>
    <x v="4"/>
    <x v="5"/>
    <s v="LT_A1"/>
    <x v="1"/>
    <x v="21"/>
    <x v="6"/>
    <x v="7"/>
    <n v="35"/>
    <n v="2129.1666666666702"/>
    <n v="7665"/>
  </r>
  <r>
    <x v="0"/>
    <x v="0"/>
    <x v="0"/>
    <x v="4"/>
    <x v="5"/>
    <s v="LT_A1"/>
    <x v="1"/>
    <x v="21"/>
    <x v="6"/>
    <x v="8"/>
    <n v="35"/>
    <n v="2129.1666666666702"/>
    <n v="7665"/>
  </r>
  <r>
    <x v="0"/>
    <x v="0"/>
    <x v="0"/>
    <x v="4"/>
    <x v="5"/>
    <s v="LT_A1"/>
    <x v="1"/>
    <x v="21"/>
    <x v="6"/>
    <x v="9"/>
    <n v="35"/>
    <n v="2129.1666666666702"/>
    <n v="7665"/>
  </r>
  <r>
    <x v="0"/>
    <x v="0"/>
    <x v="0"/>
    <x v="4"/>
    <x v="5"/>
    <s v="LT_A1"/>
    <x v="1"/>
    <x v="21"/>
    <x v="6"/>
    <x v="10"/>
    <n v="35"/>
    <n v="2129.1666666666702"/>
    <n v="7665"/>
  </r>
  <r>
    <x v="0"/>
    <x v="0"/>
    <x v="0"/>
    <x v="4"/>
    <x v="5"/>
    <s v="LT_A1"/>
    <x v="1"/>
    <x v="21"/>
    <x v="6"/>
    <x v="11"/>
    <n v="35"/>
    <n v="2129.1666666666702"/>
    <n v="7665"/>
  </r>
  <r>
    <x v="0"/>
    <x v="0"/>
    <x v="0"/>
    <x v="4"/>
    <x v="5"/>
    <s v="LT_A1"/>
    <x v="1"/>
    <x v="21"/>
    <x v="7"/>
    <x v="0"/>
    <n v="35"/>
    <n v="2129.1666666666702"/>
    <n v="7665"/>
  </r>
  <r>
    <x v="0"/>
    <x v="0"/>
    <x v="0"/>
    <x v="4"/>
    <x v="5"/>
    <s v="LT_A1"/>
    <x v="1"/>
    <x v="21"/>
    <x v="7"/>
    <x v="1"/>
    <n v="35"/>
    <n v="2129.1666666666702"/>
    <n v="7665"/>
  </r>
  <r>
    <x v="0"/>
    <x v="0"/>
    <x v="0"/>
    <x v="4"/>
    <x v="5"/>
    <s v="LT_A1"/>
    <x v="1"/>
    <x v="21"/>
    <x v="7"/>
    <x v="2"/>
    <n v="35"/>
    <n v="2129.1666666666702"/>
    <n v="7665"/>
  </r>
  <r>
    <x v="0"/>
    <x v="0"/>
    <x v="0"/>
    <x v="4"/>
    <x v="5"/>
    <s v="LT_A1"/>
    <x v="1"/>
    <x v="21"/>
    <x v="7"/>
    <x v="3"/>
    <n v="35"/>
    <n v="2129.1666666666702"/>
    <n v="7665"/>
  </r>
  <r>
    <x v="0"/>
    <x v="0"/>
    <x v="0"/>
    <x v="4"/>
    <x v="5"/>
    <s v="LT_A1"/>
    <x v="1"/>
    <x v="21"/>
    <x v="7"/>
    <x v="4"/>
    <n v="35"/>
    <n v="2129.1666666666702"/>
    <n v="7665"/>
  </r>
  <r>
    <x v="0"/>
    <x v="0"/>
    <x v="0"/>
    <x v="4"/>
    <x v="5"/>
    <s v="LT_A1"/>
    <x v="1"/>
    <x v="21"/>
    <x v="7"/>
    <x v="5"/>
    <n v="26.543437788065699"/>
    <n v="1614.7257987739999"/>
    <n v="5813.0128755863898"/>
  </r>
  <r>
    <x v="0"/>
    <x v="0"/>
    <x v="0"/>
    <x v="4"/>
    <x v="5"/>
    <s v="LT_A1"/>
    <x v="1"/>
    <x v="21"/>
    <x v="7"/>
    <x v="8"/>
    <n v="6.5066146332694599"/>
    <n v="395.81905685722597"/>
    <n v="1424.94860468601"/>
  </r>
  <r>
    <x v="0"/>
    <x v="0"/>
    <x v="0"/>
    <x v="4"/>
    <x v="5"/>
    <s v="LT_A1"/>
    <x v="1"/>
    <x v="21"/>
    <x v="7"/>
    <x v="10"/>
    <n v="35"/>
    <n v="2129.1666666666702"/>
    <n v="7665"/>
  </r>
  <r>
    <x v="0"/>
    <x v="0"/>
    <x v="0"/>
    <x v="4"/>
    <x v="5"/>
    <s v="LT_A1"/>
    <x v="1"/>
    <x v="21"/>
    <x v="8"/>
    <x v="0"/>
    <n v="35"/>
    <n v="2129.1666666666702"/>
    <n v="7665"/>
  </r>
  <r>
    <x v="0"/>
    <x v="0"/>
    <x v="0"/>
    <x v="4"/>
    <x v="5"/>
    <s v="LT_A1"/>
    <x v="1"/>
    <x v="21"/>
    <x v="8"/>
    <x v="1"/>
    <n v="35"/>
    <n v="2129.1666666666702"/>
    <n v="7665"/>
  </r>
  <r>
    <x v="0"/>
    <x v="0"/>
    <x v="0"/>
    <x v="4"/>
    <x v="5"/>
    <s v="LT_A1"/>
    <x v="1"/>
    <x v="21"/>
    <x v="8"/>
    <x v="2"/>
    <n v="35"/>
    <n v="2129.1666666666702"/>
    <n v="7665"/>
  </r>
  <r>
    <x v="0"/>
    <x v="0"/>
    <x v="0"/>
    <x v="4"/>
    <x v="5"/>
    <s v="LT_A1"/>
    <x v="1"/>
    <x v="21"/>
    <x v="8"/>
    <x v="3"/>
    <n v="35"/>
    <n v="2129.1666666666702"/>
    <n v="7665"/>
  </r>
  <r>
    <x v="0"/>
    <x v="0"/>
    <x v="0"/>
    <x v="4"/>
    <x v="5"/>
    <s v="LT_A1"/>
    <x v="1"/>
    <x v="21"/>
    <x v="8"/>
    <x v="4"/>
    <n v="35"/>
    <n v="2129.1666666666702"/>
    <n v="7665"/>
  </r>
  <r>
    <x v="0"/>
    <x v="0"/>
    <x v="0"/>
    <x v="4"/>
    <x v="5"/>
    <s v="LT_A1"/>
    <x v="1"/>
    <x v="21"/>
    <x v="8"/>
    <x v="5"/>
    <n v="35"/>
    <n v="2129.1666666666702"/>
    <n v="7665"/>
  </r>
  <r>
    <x v="0"/>
    <x v="0"/>
    <x v="0"/>
    <x v="4"/>
    <x v="5"/>
    <s v="LT_A1"/>
    <x v="1"/>
    <x v="21"/>
    <x v="8"/>
    <x v="6"/>
    <n v="35"/>
    <n v="2129.1666666666702"/>
    <n v="7665"/>
  </r>
  <r>
    <x v="0"/>
    <x v="0"/>
    <x v="0"/>
    <x v="4"/>
    <x v="5"/>
    <s v="LT_A1"/>
    <x v="1"/>
    <x v="21"/>
    <x v="8"/>
    <x v="7"/>
    <n v="35"/>
    <n v="2129.1666666666702"/>
    <n v="7665"/>
  </r>
  <r>
    <x v="0"/>
    <x v="0"/>
    <x v="0"/>
    <x v="4"/>
    <x v="5"/>
    <s v="LT_A1"/>
    <x v="1"/>
    <x v="21"/>
    <x v="8"/>
    <x v="8"/>
    <n v="35"/>
    <n v="2129.1666666666702"/>
    <n v="7665"/>
  </r>
  <r>
    <x v="0"/>
    <x v="0"/>
    <x v="0"/>
    <x v="4"/>
    <x v="5"/>
    <s v="LT_A1"/>
    <x v="1"/>
    <x v="21"/>
    <x v="8"/>
    <x v="9"/>
    <n v="35"/>
    <n v="2129.1666666666702"/>
    <n v="7665"/>
  </r>
  <r>
    <x v="0"/>
    <x v="0"/>
    <x v="0"/>
    <x v="4"/>
    <x v="5"/>
    <s v="LT_A1"/>
    <x v="1"/>
    <x v="21"/>
    <x v="8"/>
    <x v="10"/>
    <n v="35"/>
    <n v="2129.1666666666702"/>
    <n v="7665"/>
  </r>
  <r>
    <x v="0"/>
    <x v="0"/>
    <x v="0"/>
    <x v="4"/>
    <x v="5"/>
    <s v="LT_A1"/>
    <x v="1"/>
    <x v="21"/>
    <x v="8"/>
    <x v="11"/>
    <n v="35"/>
    <n v="2129.1666666666702"/>
    <n v="7665"/>
  </r>
  <r>
    <x v="0"/>
    <x v="0"/>
    <x v="0"/>
    <x v="4"/>
    <x v="5"/>
    <s v="LT_A1"/>
    <x v="1"/>
    <x v="21"/>
    <x v="9"/>
    <x v="0"/>
    <n v="35"/>
    <n v="2129.1666666666702"/>
    <n v="7665"/>
  </r>
  <r>
    <x v="0"/>
    <x v="0"/>
    <x v="0"/>
    <x v="4"/>
    <x v="5"/>
    <s v="LT_A1"/>
    <x v="1"/>
    <x v="21"/>
    <x v="9"/>
    <x v="1"/>
    <n v="35"/>
    <n v="2129.1666666666702"/>
    <n v="7665"/>
  </r>
  <r>
    <x v="0"/>
    <x v="0"/>
    <x v="0"/>
    <x v="4"/>
    <x v="5"/>
    <s v="LT_A1"/>
    <x v="1"/>
    <x v="21"/>
    <x v="9"/>
    <x v="2"/>
    <n v="35"/>
    <n v="2129.1666666666702"/>
    <n v="7665"/>
  </r>
  <r>
    <x v="0"/>
    <x v="0"/>
    <x v="0"/>
    <x v="4"/>
    <x v="5"/>
    <s v="LT_A1"/>
    <x v="1"/>
    <x v="21"/>
    <x v="9"/>
    <x v="3"/>
    <n v="35"/>
    <n v="2129.1666666666702"/>
    <n v="7665"/>
  </r>
  <r>
    <x v="0"/>
    <x v="0"/>
    <x v="0"/>
    <x v="4"/>
    <x v="5"/>
    <s v="LT_A1"/>
    <x v="1"/>
    <x v="21"/>
    <x v="9"/>
    <x v="4"/>
    <n v="35"/>
    <n v="2129.1666666666702"/>
    <n v="7665"/>
  </r>
  <r>
    <x v="0"/>
    <x v="0"/>
    <x v="0"/>
    <x v="4"/>
    <x v="5"/>
    <s v="LT_A1"/>
    <x v="1"/>
    <x v="21"/>
    <x v="9"/>
    <x v="5"/>
    <n v="35"/>
    <n v="2129.1666666666702"/>
    <n v="7665"/>
  </r>
  <r>
    <x v="0"/>
    <x v="0"/>
    <x v="0"/>
    <x v="4"/>
    <x v="5"/>
    <s v="LT_A1"/>
    <x v="1"/>
    <x v="21"/>
    <x v="9"/>
    <x v="6"/>
    <n v="35"/>
    <n v="2129.1666666666702"/>
    <n v="7665"/>
  </r>
  <r>
    <x v="0"/>
    <x v="0"/>
    <x v="0"/>
    <x v="4"/>
    <x v="5"/>
    <s v="LT_A1"/>
    <x v="1"/>
    <x v="21"/>
    <x v="9"/>
    <x v="7"/>
    <n v="35"/>
    <n v="2129.1666666666702"/>
    <n v="7665"/>
  </r>
  <r>
    <x v="0"/>
    <x v="0"/>
    <x v="0"/>
    <x v="4"/>
    <x v="5"/>
    <s v="LT_A1"/>
    <x v="1"/>
    <x v="21"/>
    <x v="9"/>
    <x v="8"/>
    <n v="35"/>
    <n v="2129.1666666666702"/>
    <n v="7665"/>
  </r>
  <r>
    <x v="0"/>
    <x v="0"/>
    <x v="0"/>
    <x v="4"/>
    <x v="5"/>
    <s v="LT_A1"/>
    <x v="1"/>
    <x v="21"/>
    <x v="9"/>
    <x v="9"/>
    <n v="35"/>
    <n v="2129.1666666666702"/>
    <n v="7665"/>
  </r>
  <r>
    <x v="0"/>
    <x v="0"/>
    <x v="0"/>
    <x v="4"/>
    <x v="5"/>
    <s v="LT_A1"/>
    <x v="1"/>
    <x v="21"/>
    <x v="9"/>
    <x v="10"/>
    <n v="35"/>
    <n v="2129.1666666666702"/>
    <n v="7665"/>
  </r>
  <r>
    <x v="0"/>
    <x v="0"/>
    <x v="0"/>
    <x v="4"/>
    <x v="5"/>
    <s v="LT_A1"/>
    <x v="1"/>
    <x v="21"/>
    <x v="9"/>
    <x v="11"/>
    <n v="35"/>
    <n v="2129.1666666666702"/>
    <n v="7665"/>
  </r>
  <r>
    <x v="0"/>
    <x v="0"/>
    <x v="0"/>
    <x v="4"/>
    <x v="5"/>
    <s v="LT_A1"/>
    <x v="1"/>
    <x v="21"/>
    <x v="10"/>
    <x v="0"/>
    <n v="35"/>
    <n v="2129.1666666666702"/>
    <n v="7665"/>
  </r>
  <r>
    <x v="0"/>
    <x v="0"/>
    <x v="0"/>
    <x v="4"/>
    <x v="5"/>
    <s v="LT_A1"/>
    <x v="1"/>
    <x v="21"/>
    <x v="10"/>
    <x v="1"/>
    <n v="35"/>
    <n v="2129.1666666666702"/>
    <n v="7665"/>
  </r>
  <r>
    <x v="0"/>
    <x v="0"/>
    <x v="0"/>
    <x v="4"/>
    <x v="5"/>
    <s v="LT_A1"/>
    <x v="1"/>
    <x v="21"/>
    <x v="10"/>
    <x v="2"/>
    <n v="35"/>
    <n v="2129.1666666666702"/>
    <n v="7665"/>
  </r>
  <r>
    <x v="0"/>
    <x v="0"/>
    <x v="0"/>
    <x v="4"/>
    <x v="5"/>
    <s v="LT_A1"/>
    <x v="1"/>
    <x v="21"/>
    <x v="10"/>
    <x v="3"/>
    <n v="35"/>
    <n v="2129.1666666666702"/>
    <n v="7665"/>
  </r>
  <r>
    <x v="0"/>
    <x v="0"/>
    <x v="0"/>
    <x v="4"/>
    <x v="5"/>
    <s v="LT_A1"/>
    <x v="1"/>
    <x v="21"/>
    <x v="10"/>
    <x v="4"/>
    <n v="35"/>
    <n v="2129.1666666666702"/>
    <n v="7665"/>
  </r>
  <r>
    <x v="0"/>
    <x v="0"/>
    <x v="0"/>
    <x v="4"/>
    <x v="5"/>
    <s v="LT_A1"/>
    <x v="1"/>
    <x v="21"/>
    <x v="10"/>
    <x v="5"/>
    <n v="35"/>
    <n v="2129.1666666666702"/>
    <n v="7665"/>
  </r>
  <r>
    <x v="0"/>
    <x v="0"/>
    <x v="0"/>
    <x v="4"/>
    <x v="5"/>
    <s v="LT_A1"/>
    <x v="1"/>
    <x v="21"/>
    <x v="10"/>
    <x v="6"/>
    <n v="35"/>
    <n v="2129.1666666666702"/>
    <n v="7665"/>
  </r>
  <r>
    <x v="0"/>
    <x v="0"/>
    <x v="0"/>
    <x v="4"/>
    <x v="5"/>
    <s v="LT_A1"/>
    <x v="1"/>
    <x v="21"/>
    <x v="10"/>
    <x v="7"/>
    <n v="35"/>
    <n v="2129.1666666666702"/>
    <n v="7665"/>
  </r>
  <r>
    <x v="0"/>
    <x v="0"/>
    <x v="0"/>
    <x v="4"/>
    <x v="5"/>
    <s v="LT_A1"/>
    <x v="1"/>
    <x v="21"/>
    <x v="10"/>
    <x v="8"/>
    <n v="35"/>
    <n v="2129.1666666666702"/>
    <n v="7665"/>
  </r>
  <r>
    <x v="0"/>
    <x v="0"/>
    <x v="0"/>
    <x v="4"/>
    <x v="5"/>
    <s v="LT_A1"/>
    <x v="1"/>
    <x v="21"/>
    <x v="10"/>
    <x v="9"/>
    <n v="35"/>
    <n v="2129.1666666666702"/>
    <n v="7665"/>
  </r>
  <r>
    <x v="0"/>
    <x v="0"/>
    <x v="0"/>
    <x v="4"/>
    <x v="5"/>
    <s v="LT_A1"/>
    <x v="1"/>
    <x v="21"/>
    <x v="10"/>
    <x v="10"/>
    <n v="35"/>
    <n v="2129.1666666666702"/>
    <n v="7665"/>
  </r>
  <r>
    <x v="0"/>
    <x v="0"/>
    <x v="0"/>
    <x v="4"/>
    <x v="5"/>
    <s v="LT_A1"/>
    <x v="1"/>
    <x v="21"/>
    <x v="10"/>
    <x v="11"/>
    <n v="35"/>
    <n v="2129.1666666666702"/>
    <n v="7665"/>
  </r>
  <r>
    <x v="0"/>
    <x v="0"/>
    <x v="0"/>
    <x v="4"/>
    <x v="5"/>
    <s v="LT_A1"/>
    <x v="1"/>
    <x v="21"/>
    <x v="11"/>
    <x v="0"/>
    <n v="35"/>
    <n v="2129.1666666666702"/>
    <n v="7665"/>
  </r>
  <r>
    <x v="0"/>
    <x v="0"/>
    <x v="0"/>
    <x v="4"/>
    <x v="5"/>
    <s v="LT_A1"/>
    <x v="1"/>
    <x v="21"/>
    <x v="11"/>
    <x v="1"/>
    <n v="35"/>
    <n v="2129.1666666666702"/>
    <n v="7665"/>
  </r>
  <r>
    <x v="0"/>
    <x v="0"/>
    <x v="0"/>
    <x v="4"/>
    <x v="5"/>
    <s v="LT_A1"/>
    <x v="1"/>
    <x v="21"/>
    <x v="11"/>
    <x v="2"/>
    <n v="35"/>
    <n v="2129.1666666666702"/>
    <n v="7665"/>
  </r>
  <r>
    <x v="0"/>
    <x v="0"/>
    <x v="0"/>
    <x v="4"/>
    <x v="5"/>
    <s v="LT_A1"/>
    <x v="1"/>
    <x v="21"/>
    <x v="11"/>
    <x v="3"/>
    <n v="35"/>
    <n v="2129.1666666666702"/>
    <n v="7665"/>
  </r>
  <r>
    <x v="0"/>
    <x v="0"/>
    <x v="0"/>
    <x v="4"/>
    <x v="5"/>
    <s v="LT_A1"/>
    <x v="1"/>
    <x v="21"/>
    <x v="11"/>
    <x v="4"/>
    <n v="35"/>
    <n v="2129.1666666666702"/>
    <n v="7665"/>
  </r>
  <r>
    <x v="0"/>
    <x v="0"/>
    <x v="0"/>
    <x v="4"/>
    <x v="5"/>
    <s v="LT_A1"/>
    <x v="1"/>
    <x v="21"/>
    <x v="11"/>
    <x v="5"/>
    <n v="35"/>
    <n v="2129.1666666666702"/>
    <n v="7665"/>
  </r>
  <r>
    <x v="0"/>
    <x v="0"/>
    <x v="0"/>
    <x v="4"/>
    <x v="5"/>
    <s v="LT_A1"/>
    <x v="1"/>
    <x v="21"/>
    <x v="11"/>
    <x v="6"/>
    <n v="35"/>
    <n v="2129.1666666666702"/>
    <n v="7665"/>
  </r>
  <r>
    <x v="0"/>
    <x v="0"/>
    <x v="0"/>
    <x v="4"/>
    <x v="5"/>
    <s v="LT_A1"/>
    <x v="1"/>
    <x v="21"/>
    <x v="11"/>
    <x v="7"/>
    <n v="35"/>
    <n v="2129.1666666666702"/>
    <n v="7665"/>
  </r>
  <r>
    <x v="0"/>
    <x v="0"/>
    <x v="0"/>
    <x v="4"/>
    <x v="5"/>
    <s v="LT_A1"/>
    <x v="1"/>
    <x v="21"/>
    <x v="11"/>
    <x v="8"/>
    <n v="35"/>
    <n v="2129.1666666666702"/>
    <n v="7665"/>
  </r>
  <r>
    <x v="0"/>
    <x v="0"/>
    <x v="0"/>
    <x v="4"/>
    <x v="5"/>
    <s v="LT_A1"/>
    <x v="1"/>
    <x v="21"/>
    <x v="11"/>
    <x v="9"/>
    <n v="35"/>
    <n v="2129.1666666666702"/>
    <n v="7665"/>
  </r>
  <r>
    <x v="0"/>
    <x v="0"/>
    <x v="0"/>
    <x v="4"/>
    <x v="5"/>
    <s v="LT_A1"/>
    <x v="1"/>
    <x v="21"/>
    <x v="11"/>
    <x v="10"/>
    <n v="35"/>
    <n v="2129.1666666666702"/>
    <n v="7665"/>
  </r>
  <r>
    <x v="0"/>
    <x v="0"/>
    <x v="0"/>
    <x v="4"/>
    <x v="5"/>
    <s v="LT_A1"/>
    <x v="1"/>
    <x v="21"/>
    <x v="11"/>
    <x v="11"/>
    <n v="35"/>
    <n v="2129.1666666666702"/>
    <n v="7665"/>
  </r>
  <r>
    <x v="0"/>
    <x v="0"/>
    <x v="0"/>
    <x v="4"/>
    <x v="5"/>
    <s v="LT_A1"/>
    <x v="13"/>
    <x v="22"/>
    <x v="0"/>
    <x v="0"/>
    <n v="15"/>
    <n v="912.5"/>
    <n v="3285"/>
  </r>
  <r>
    <x v="0"/>
    <x v="0"/>
    <x v="0"/>
    <x v="4"/>
    <x v="5"/>
    <s v="LT_A1"/>
    <x v="13"/>
    <x v="22"/>
    <x v="0"/>
    <x v="1"/>
    <n v="15"/>
    <n v="912.5"/>
    <n v="3285"/>
  </r>
  <r>
    <x v="0"/>
    <x v="0"/>
    <x v="0"/>
    <x v="4"/>
    <x v="5"/>
    <s v="LT_A1"/>
    <x v="13"/>
    <x v="22"/>
    <x v="0"/>
    <x v="2"/>
    <n v="15"/>
    <n v="912.5"/>
    <n v="3285"/>
  </r>
  <r>
    <x v="0"/>
    <x v="0"/>
    <x v="0"/>
    <x v="4"/>
    <x v="5"/>
    <s v="LT_A1"/>
    <x v="13"/>
    <x v="22"/>
    <x v="0"/>
    <x v="3"/>
    <n v="15"/>
    <n v="912.5"/>
    <n v="3285"/>
  </r>
  <r>
    <x v="0"/>
    <x v="0"/>
    <x v="0"/>
    <x v="4"/>
    <x v="5"/>
    <s v="LT_A1"/>
    <x v="13"/>
    <x v="22"/>
    <x v="0"/>
    <x v="4"/>
    <n v="15"/>
    <n v="912.5"/>
    <n v="3285"/>
  </r>
  <r>
    <x v="0"/>
    <x v="0"/>
    <x v="0"/>
    <x v="4"/>
    <x v="5"/>
    <s v="LT_A1"/>
    <x v="13"/>
    <x v="22"/>
    <x v="0"/>
    <x v="5"/>
    <n v="15"/>
    <n v="912.5"/>
    <n v="3285"/>
  </r>
  <r>
    <x v="0"/>
    <x v="0"/>
    <x v="0"/>
    <x v="4"/>
    <x v="5"/>
    <s v="LT_A1"/>
    <x v="13"/>
    <x v="22"/>
    <x v="0"/>
    <x v="6"/>
    <n v="15"/>
    <n v="912.5"/>
    <n v="3285"/>
  </r>
  <r>
    <x v="0"/>
    <x v="0"/>
    <x v="0"/>
    <x v="4"/>
    <x v="5"/>
    <s v="LT_A1"/>
    <x v="13"/>
    <x v="22"/>
    <x v="0"/>
    <x v="7"/>
    <n v="15"/>
    <n v="912.5"/>
    <n v="3285"/>
  </r>
  <r>
    <x v="0"/>
    <x v="0"/>
    <x v="0"/>
    <x v="4"/>
    <x v="5"/>
    <s v="LT_A1"/>
    <x v="13"/>
    <x v="22"/>
    <x v="0"/>
    <x v="8"/>
    <n v="15"/>
    <n v="912.5"/>
    <n v="3285"/>
  </r>
  <r>
    <x v="0"/>
    <x v="0"/>
    <x v="0"/>
    <x v="4"/>
    <x v="5"/>
    <s v="LT_A1"/>
    <x v="13"/>
    <x v="22"/>
    <x v="0"/>
    <x v="9"/>
    <n v="15"/>
    <n v="912.5"/>
    <n v="3285"/>
  </r>
  <r>
    <x v="0"/>
    <x v="0"/>
    <x v="0"/>
    <x v="4"/>
    <x v="5"/>
    <s v="LT_A1"/>
    <x v="13"/>
    <x v="22"/>
    <x v="0"/>
    <x v="10"/>
    <n v="15"/>
    <n v="912.5"/>
    <n v="3285"/>
  </r>
  <r>
    <x v="0"/>
    <x v="0"/>
    <x v="0"/>
    <x v="4"/>
    <x v="5"/>
    <s v="LT_A1"/>
    <x v="13"/>
    <x v="22"/>
    <x v="0"/>
    <x v="11"/>
    <n v="15"/>
    <n v="912.5"/>
    <n v="3285"/>
  </r>
  <r>
    <x v="0"/>
    <x v="0"/>
    <x v="0"/>
    <x v="4"/>
    <x v="5"/>
    <s v="LT_A1"/>
    <x v="13"/>
    <x v="22"/>
    <x v="1"/>
    <x v="0"/>
    <n v="15"/>
    <n v="912.5"/>
    <n v="3285"/>
  </r>
  <r>
    <x v="0"/>
    <x v="0"/>
    <x v="0"/>
    <x v="4"/>
    <x v="5"/>
    <s v="LT_A1"/>
    <x v="13"/>
    <x v="22"/>
    <x v="1"/>
    <x v="1"/>
    <n v="15"/>
    <n v="912.5"/>
    <n v="3285"/>
  </r>
  <r>
    <x v="0"/>
    <x v="0"/>
    <x v="0"/>
    <x v="4"/>
    <x v="5"/>
    <s v="LT_A1"/>
    <x v="13"/>
    <x v="22"/>
    <x v="1"/>
    <x v="2"/>
    <n v="15"/>
    <n v="912.5"/>
    <n v="3285"/>
  </r>
  <r>
    <x v="0"/>
    <x v="0"/>
    <x v="0"/>
    <x v="4"/>
    <x v="5"/>
    <s v="LT_A1"/>
    <x v="13"/>
    <x v="22"/>
    <x v="1"/>
    <x v="3"/>
    <n v="15"/>
    <n v="912.5"/>
    <n v="3285"/>
  </r>
  <r>
    <x v="0"/>
    <x v="0"/>
    <x v="0"/>
    <x v="4"/>
    <x v="5"/>
    <s v="LT_A1"/>
    <x v="13"/>
    <x v="22"/>
    <x v="1"/>
    <x v="4"/>
    <n v="15"/>
    <n v="912.5"/>
    <n v="3285"/>
  </r>
  <r>
    <x v="0"/>
    <x v="0"/>
    <x v="0"/>
    <x v="4"/>
    <x v="5"/>
    <s v="LT_A1"/>
    <x v="13"/>
    <x v="22"/>
    <x v="1"/>
    <x v="5"/>
    <n v="15"/>
    <n v="912.5"/>
    <n v="3285"/>
  </r>
  <r>
    <x v="0"/>
    <x v="0"/>
    <x v="0"/>
    <x v="4"/>
    <x v="5"/>
    <s v="LT_A1"/>
    <x v="13"/>
    <x v="22"/>
    <x v="1"/>
    <x v="6"/>
    <n v="15"/>
    <n v="912.5"/>
    <n v="3285"/>
  </r>
  <r>
    <x v="0"/>
    <x v="0"/>
    <x v="0"/>
    <x v="4"/>
    <x v="5"/>
    <s v="LT_A1"/>
    <x v="13"/>
    <x v="22"/>
    <x v="1"/>
    <x v="7"/>
    <n v="15"/>
    <n v="912.5"/>
    <n v="3285"/>
  </r>
  <r>
    <x v="0"/>
    <x v="0"/>
    <x v="0"/>
    <x v="4"/>
    <x v="5"/>
    <s v="LT_A1"/>
    <x v="13"/>
    <x v="22"/>
    <x v="1"/>
    <x v="8"/>
    <n v="15"/>
    <n v="912.5"/>
    <n v="3285"/>
  </r>
  <r>
    <x v="0"/>
    <x v="0"/>
    <x v="0"/>
    <x v="4"/>
    <x v="5"/>
    <s v="LT_A1"/>
    <x v="13"/>
    <x v="22"/>
    <x v="1"/>
    <x v="9"/>
    <n v="15"/>
    <n v="912.5"/>
    <n v="3285"/>
  </r>
  <r>
    <x v="0"/>
    <x v="0"/>
    <x v="0"/>
    <x v="4"/>
    <x v="5"/>
    <s v="LT_A1"/>
    <x v="13"/>
    <x v="22"/>
    <x v="1"/>
    <x v="10"/>
    <n v="15"/>
    <n v="912.5"/>
    <n v="3285"/>
  </r>
  <r>
    <x v="0"/>
    <x v="0"/>
    <x v="0"/>
    <x v="4"/>
    <x v="5"/>
    <s v="LT_A1"/>
    <x v="13"/>
    <x v="22"/>
    <x v="1"/>
    <x v="11"/>
    <n v="15"/>
    <n v="912.5"/>
    <n v="3285"/>
  </r>
  <r>
    <x v="0"/>
    <x v="0"/>
    <x v="0"/>
    <x v="4"/>
    <x v="5"/>
    <s v="LT_A1"/>
    <x v="13"/>
    <x v="22"/>
    <x v="2"/>
    <x v="0"/>
    <n v="15"/>
    <n v="912.5"/>
    <n v="3285"/>
  </r>
  <r>
    <x v="0"/>
    <x v="0"/>
    <x v="0"/>
    <x v="4"/>
    <x v="5"/>
    <s v="LT_A1"/>
    <x v="13"/>
    <x v="22"/>
    <x v="2"/>
    <x v="1"/>
    <n v="15"/>
    <n v="912.5"/>
    <n v="3285"/>
  </r>
  <r>
    <x v="0"/>
    <x v="0"/>
    <x v="0"/>
    <x v="4"/>
    <x v="5"/>
    <s v="LT_A1"/>
    <x v="13"/>
    <x v="22"/>
    <x v="2"/>
    <x v="2"/>
    <n v="15"/>
    <n v="912.5"/>
    <n v="3285"/>
  </r>
  <r>
    <x v="0"/>
    <x v="0"/>
    <x v="0"/>
    <x v="4"/>
    <x v="5"/>
    <s v="LT_A1"/>
    <x v="13"/>
    <x v="22"/>
    <x v="2"/>
    <x v="3"/>
    <n v="15"/>
    <n v="912.5"/>
    <n v="3285"/>
  </r>
  <r>
    <x v="0"/>
    <x v="0"/>
    <x v="0"/>
    <x v="4"/>
    <x v="5"/>
    <s v="LT_A1"/>
    <x v="13"/>
    <x v="22"/>
    <x v="2"/>
    <x v="4"/>
    <n v="15"/>
    <n v="912.5"/>
    <n v="3285"/>
  </r>
  <r>
    <x v="0"/>
    <x v="0"/>
    <x v="0"/>
    <x v="4"/>
    <x v="5"/>
    <s v="LT_A1"/>
    <x v="13"/>
    <x v="22"/>
    <x v="2"/>
    <x v="5"/>
    <n v="15"/>
    <n v="912.5"/>
    <n v="3285"/>
  </r>
  <r>
    <x v="0"/>
    <x v="0"/>
    <x v="0"/>
    <x v="4"/>
    <x v="5"/>
    <s v="LT_A1"/>
    <x v="13"/>
    <x v="22"/>
    <x v="2"/>
    <x v="6"/>
    <n v="15"/>
    <n v="912.5"/>
    <n v="3285"/>
  </r>
  <r>
    <x v="0"/>
    <x v="0"/>
    <x v="0"/>
    <x v="4"/>
    <x v="5"/>
    <s v="LT_A1"/>
    <x v="13"/>
    <x v="22"/>
    <x v="2"/>
    <x v="7"/>
    <n v="15"/>
    <n v="912.5"/>
    <n v="3285"/>
  </r>
  <r>
    <x v="0"/>
    <x v="0"/>
    <x v="0"/>
    <x v="4"/>
    <x v="5"/>
    <s v="LT_A1"/>
    <x v="13"/>
    <x v="22"/>
    <x v="2"/>
    <x v="8"/>
    <n v="15"/>
    <n v="912.5"/>
    <n v="3285"/>
  </r>
  <r>
    <x v="0"/>
    <x v="0"/>
    <x v="0"/>
    <x v="4"/>
    <x v="5"/>
    <s v="LT_A1"/>
    <x v="13"/>
    <x v="22"/>
    <x v="2"/>
    <x v="9"/>
    <n v="15"/>
    <n v="912.5"/>
    <n v="3285"/>
  </r>
  <r>
    <x v="0"/>
    <x v="0"/>
    <x v="0"/>
    <x v="4"/>
    <x v="5"/>
    <s v="LT_A1"/>
    <x v="13"/>
    <x v="22"/>
    <x v="2"/>
    <x v="10"/>
    <n v="15"/>
    <n v="912.5"/>
    <n v="3285"/>
  </r>
  <r>
    <x v="0"/>
    <x v="0"/>
    <x v="0"/>
    <x v="4"/>
    <x v="5"/>
    <s v="LT_A1"/>
    <x v="13"/>
    <x v="22"/>
    <x v="2"/>
    <x v="11"/>
    <n v="15"/>
    <n v="912.5"/>
    <n v="3285"/>
  </r>
  <r>
    <x v="0"/>
    <x v="0"/>
    <x v="0"/>
    <x v="4"/>
    <x v="5"/>
    <s v="LT_A1"/>
    <x v="13"/>
    <x v="22"/>
    <x v="3"/>
    <x v="0"/>
    <n v="15"/>
    <n v="912.5"/>
    <n v="3285"/>
  </r>
  <r>
    <x v="0"/>
    <x v="0"/>
    <x v="0"/>
    <x v="4"/>
    <x v="5"/>
    <s v="LT_A1"/>
    <x v="13"/>
    <x v="22"/>
    <x v="3"/>
    <x v="1"/>
    <n v="15"/>
    <n v="912.5"/>
    <n v="3285"/>
  </r>
  <r>
    <x v="0"/>
    <x v="0"/>
    <x v="0"/>
    <x v="4"/>
    <x v="5"/>
    <s v="LT_A1"/>
    <x v="13"/>
    <x v="22"/>
    <x v="3"/>
    <x v="2"/>
    <n v="15"/>
    <n v="912.5"/>
    <n v="3285"/>
  </r>
  <r>
    <x v="0"/>
    <x v="0"/>
    <x v="0"/>
    <x v="4"/>
    <x v="5"/>
    <s v="LT_A1"/>
    <x v="13"/>
    <x v="22"/>
    <x v="3"/>
    <x v="3"/>
    <n v="15"/>
    <n v="912.5"/>
    <n v="3285"/>
  </r>
  <r>
    <x v="0"/>
    <x v="0"/>
    <x v="0"/>
    <x v="4"/>
    <x v="5"/>
    <s v="LT_A1"/>
    <x v="13"/>
    <x v="22"/>
    <x v="3"/>
    <x v="4"/>
    <n v="15"/>
    <n v="912.5"/>
    <n v="3285"/>
  </r>
  <r>
    <x v="0"/>
    <x v="0"/>
    <x v="0"/>
    <x v="4"/>
    <x v="5"/>
    <s v="LT_A1"/>
    <x v="13"/>
    <x v="22"/>
    <x v="3"/>
    <x v="5"/>
    <n v="15"/>
    <n v="912.5"/>
    <n v="3285"/>
  </r>
  <r>
    <x v="0"/>
    <x v="0"/>
    <x v="0"/>
    <x v="4"/>
    <x v="5"/>
    <s v="LT_A1"/>
    <x v="13"/>
    <x v="22"/>
    <x v="3"/>
    <x v="6"/>
    <n v="15"/>
    <n v="912.5"/>
    <n v="3285"/>
  </r>
  <r>
    <x v="0"/>
    <x v="0"/>
    <x v="0"/>
    <x v="4"/>
    <x v="5"/>
    <s v="LT_A1"/>
    <x v="13"/>
    <x v="22"/>
    <x v="3"/>
    <x v="7"/>
    <n v="15"/>
    <n v="912.5"/>
    <n v="3285"/>
  </r>
  <r>
    <x v="0"/>
    <x v="0"/>
    <x v="0"/>
    <x v="4"/>
    <x v="5"/>
    <s v="LT_A1"/>
    <x v="13"/>
    <x v="22"/>
    <x v="3"/>
    <x v="8"/>
    <n v="15"/>
    <n v="912.5"/>
    <n v="3285"/>
  </r>
  <r>
    <x v="0"/>
    <x v="0"/>
    <x v="0"/>
    <x v="4"/>
    <x v="5"/>
    <s v="LT_A1"/>
    <x v="13"/>
    <x v="22"/>
    <x v="3"/>
    <x v="9"/>
    <n v="15"/>
    <n v="912.5"/>
    <n v="3285"/>
  </r>
  <r>
    <x v="0"/>
    <x v="0"/>
    <x v="0"/>
    <x v="4"/>
    <x v="5"/>
    <s v="LT_A1"/>
    <x v="13"/>
    <x v="22"/>
    <x v="3"/>
    <x v="10"/>
    <n v="15"/>
    <n v="912.5"/>
    <n v="3285"/>
  </r>
  <r>
    <x v="0"/>
    <x v="0"/>
    <x v="0"/>
    <x v="4"/>
    <x v="5"/>
    <s v="LT_A1"/>
    <x v="13"/>
    <x v="22"/>
    <x v="3"/>
    <x v="11"/>
    <n v="15"/>
    <n v="912.5"/>
    <n v="3285"/>
  </r>
  <r>
    <x v="0"/>
    <x v="0"/>
    <x v="0"/>
    <x v="4"/>
    <x v="5"/>
    <s v="LT_A1"/>
    <x v="13"/>
    <x v="22"/>
    <x v="4"/>
    <x v="0"/>
    <n v="15"/>
    <n v="912.5"/>
    <n v="3285"/>
  </r>
  <r>
    <x v="0"/>
    <x v="0"/>
    <x v="0"/>
    <x v="4"/>
    <x v="5"/>
    <s v="LT_A1"/>
    <x v="13"/>
    <x v="22"/>
    <x v="4"/>
    <x v="1"/>
    <n v="15"/>
    <n v="912.5"/>
    <n v="3285"/>
  </r>
  <r>
    <x v="0"/>
    <x v="0"/>
    <x v="0"/>
    <x v="4"/>
    <x v="5"/>
    <s v="LT_A1"/>
    <x v="13"/>
    <x v="22"/>
    <x v="4"/>
    <x v="2"/>
    <n v="15"/>
    <n v="912.5"/>
    <n v="3285"/>
  </r>
  <r>
    <x v="0"/>
    <x v="0"/>
    <x v="0"/>
    <x v="4"/>
    <x v="5"/>
    <s v="LT_A1"/>
    <x v="13"/>
    <x v="22"/>
    <x v="4"/>
    <x v="3"/>
    <n v="15"/>
    <n v="912.5"/>
    <n v="3285"/>
  </r>
  <r>
    <x v="0"/>
    <x v="0"/>
    <x v="0"/>
    <x v="4"/>
    <x v="5"/>
    <s v="LT_A1"/>
    <x v="13"/>
    <x v="22"/>
    <x v="4"/>
    <x v="4"/>
    <n v="15"/>
    <n v="912.5"/>
    <n v="3285"/>
  </r>
  <r>
    <x v="0"/>
    <x v="0"/>
    <x v="0"/>
    <x v="4"/>
    <x v="5"/>
    <s v="LT_A1"/>
    <x v="13"/>
    <x v="22"/>
    <x v="4"/>
    <x v="5"/>
    <n v="15"/>
    <n v="912.5"/>
    <n v="3285"/>
  </r>
  <r>
    <x v="0"/>
    <x v="0"/>
    <x v="0"/>
    <x v="4"/>
    <x v="5"/>
    <s v="LT_A1"/>
    <x v="13"/>
    <x v="22"/>
    <x v="4"/>
    <x v="6"/>
    <n v="15"/>
    <n v="912.5"/>
    <n v="3285"/>
  </r>
  <r>
    <x v="0"/>
    <x v="0"/>
    <x v="0"/>
    <x v="4"/>
    <x v="5"/>
    <s v="LT_A1"/>
    <x v="13"/>
    <x v="22"/>
    <x v="4"/>
    <x v="7"/>
    <n v="15"/>
    <n v="912.5"/>
    <n v="3285"/>
  </r>
  <r>
    <x v="0"/>
    <x v="0"/>
    <x v="0"/>
    <x v="4"/>
    <x v="5"/>
    <s v="LT_A1"/>
    <x v="13"/>
    <x v="22"/>
    <x v="4"/>
    <x v="8"/>
    <n v="15"/>
    <n v="912.5"/>
    <n v="3285"/>
  </r>
  <r>
    <x v="0"/>
    <x v="0"/>
    <x v="0"/>
    <x v="4"/>
    <x v="5"/>
    <s v="LT_A1"/>
    <x v="13"/>
    <x v="22"/>
    <x v="4"/>
    <x v="9"/>
    <n v="15"/>
    <n v="912.5"/>
    <n v="3285"/>
  </r>
  <r>
    <x v="0"/>
    <x v="0"/>
    <x v="0"/>
    <x v="4"/>
    <x v="5"/>
    <s v="LT_A1"/>
    <x v="13"/>
    <x v="22"/>
    <x v="4"/>
    <x v="10"/>
    <n v="15"/>
    <n v="912.5"/>
    <n v="3285"/>
  </r>
  <r>
    <x v="0"/>
    <x v="0"/>
    <x v="0"/>
    <x v="4"/>
    <x v="5"/>
    <s v="LT_A1"/>
    <x v="13"/>
    <x v="22"/>
    <x v="4"/>
    <x v="11"/>
    <n v="15"/>
    <n v="912.5"/>
    <n v="3285"/>
  </r>
  <r>
    <x v="0"/>
    <x v="0"/>
    <x v="0"/>
    <x v="4"/>
    <x v="5"/>
    <s v="LT_A1"/>
    <x v="13"/>
    <x v="22"/>
    <x v="5"/>
    <x v="0"/>
    <n v="15"/>
    <n v="912.5"/>
    <n v="3285"/>
  </r>
  <r>
    <x v="0"/>
    <x v="0"/>
    <x v="0"/>
    <x v="4"/>
    <x v="5"/>
    <s v="LT_A1"/>
    <x v="13"/>
    <x v="22"/>
    <x v="5"/>
    <x v="1"/>
    <n v="15"/>
    <n v="912.5"/>
    <n v="3285"/>
  </r>
  <r>
    <x v="0"/>
    <x v="0"/>
    <x v="0"/>
    <x v="4"/>
    <x v="5"/>
    <s v="LT_A1"/>
    <x v="13"/>
    <x v="22"/>
    <x v="5"/>
    <x v="2"/>
    <n v="15"/>
    <n v="912.5"/>
    <n v="3285"/>
  </r>
  <r>
    <x v="0"/>
    <x v="0"/>
    <x v="0"/>
    <x v="4"/>
    <x v="5"/>
    <s v="LT_A1"/>
    <x v="13"/>
    <x v="22"/>
    <x v="5"/>
    <x v="3"/>
    <n v="15"/>
    <n v="912.5"/>
    <n v="3285"/>
  </r>
  <r>
    <x v="0"/>
    <x v="0"/>
    <x v="0"/>
    <x v="4"/>
    <x v="5"/>
    <s v="LT_A1"/>
    <x v="13"/>
    <x v="22"/>
    <x v="5"/>
    <x v="4"/>
    <n v="15"/>
    <n v="912.5"/>
    <n v="3285"/>
  </r>
  <r>
    <x v="0"/>
    <x v="0"/>
    <x v="0"/>
    <x v="4"/>
    <x v="5"/>
    <s v="LT_A1"/>
    <x v="13"/>
    <x v="22"/>
    <x v="5"/>
    <x v="5"/>
    <n v="15"/>
    <n v="912.5"/>
    <n v="3285"/>
  </r>
  <r>
    <x v="0"/>
    <x v="0"/>
    <x v="0"/>
    <x v="4"/>
    <x v="5"/>
    <s v="LT_A1"/>
    <x v="13"/>
    <x v="22"/>
    <x v="5"/>
    <x v="6"/>
    <n v="15"/>
    <n v="912.5"/>
    <n v="3285"/>
  </r>
  <r>
    <x v="0"/>
    <x v="0"/>
    <x v="0"/>
    <x v="4"/>
    <x v="5"/>
    <s v="LT_A1"/>
    <x v="13"/>
    <x v="22"/>
    <x v="5"/>
    <x v="7"/>
    <n v="15"/>
    <n v="912.5"/>
    <n v="3285"/>
  </r>
  <r>
    <x v="0"/>
    <x v="0"/>
    <x v="0"/>
    <x v="4"/>
    <x v="5"/>
    <s v="LT_A1"/>
    <x v="13"/>
    <x v="22"/>
    <x v="5"/>
    <x v="8"/>
    <n v="15"/>
    <n v="912.5"/>
    <n v="3285"/>
  </r>
  <r>
    <x v="0"/>
    <x v="0"/>
    <x v="0"/>
    <x v="4"/>
    <x v="5"/>
    <s v="LT_A1"/>
    <x v="13"/>
    <x v="22"/>
    <x v="5"/>
    <x v="9"/>
    <n v="15"/>
    <n v="912.5"/>
    <n v="3285"/>
  </r>
  <r>
    <x v="0"/>
    <x v="0"/>
    <x v="0"/>
    <x v="4"/>
    <x v="5"/>
    <s v="LT_A1"/>
    <x v="13"/>
    <x v="22"/>
    <x v="5"/>
    <x v="10"/>
    <n v="15"/>
    <n v="912.5"/>
    <n v="3285"/>
  </r>
  <r>
    <x v="0"/>
    <x v="0"/>
    <x v="0"/>
    <x v="4"/>
    <x v="5"/>
    <s v="LT_A1"/>
    <x v="13"/>
    <x v="22"/>
    <x v="5"/>
    <x v="11"/>
    <n v="15"/>
    <n v="912.5"/>
    <n v="3285"/>
  </r>
  <r>
    <x v="0"/>
    <x v="0"/>
    <x v="0"/>
    <x v="4"/>
    <x v="5"/>
    <s v="LT_A1"/>
    <x v="13"/>
    <x v="22"/>
    <x v="6"/>
    <x v="0"/>
    <n v="15"/>
    <n v="912.5"/>
    <n v="3285"/>
  </r>
  <r>
    <x v="0"/>
    <x v="0"/>
    <x v="0"/>
    <x v="4"/>
    <x v="5"/>
    <s v="LT_A1"/>
    <x v="13"/>
    <x v="22"/>
    <x v="6"/>
    <x v="1"/>
    <n v="15"/>
    <n v="912.5"/>
    <n v="3285"/>
  </r>
  <r>
    <x v="0"/>
    <x v="0"/>
    <x v="0"/>
    <x v="4"/>
    <x v="5"/>
    <s v="LT_A1"/>
    <x v="13"/>
    <x v="22"/>
    <x v="6"/>
    <x v="2"/>
    <n v="15"/>
    <n v="912.5"/>
    <n v="3285"/>
  </r>
  <r>
    <x v="0"/>
    <x v="0"/>
    <x v="0"/>
    <x v="4"/>
    <x v="5"/>
    <s v="LT_A1"/>
    <x v="13"/>
    <x v="22"/>
    <x v="6"/>
    <x v="3"/>
    <n v="15"/>
    <n v="912.5"/>
    <n v="3285"/>
  </r>
  <r>
    <x v="0"/>
    <x v="0"/>
    <x v="0"/>
    <x v="4"/>
    <x v="5"/>
    <s v="LT_A1"/>
    <x v="13"/>
    <x v="22"/>
    <x v="6"/>
    <x v="4"/>
    <n v="15"/>
    <n v="912.5"/>
    <n v="3285"/>
  </r>
  <r>
    <x v="0"/>
    <x v="0"/>
    <x v="0"/>
    <x v="4"/>
    <x v="5"/>
    <s v="LT_A1"/>
    <x v="13"/>
    <x v="22"/>
    <x v="6"/>
    <x v="5"/>
    <n v="15"/>
    <n v="912.5"/>
    <n v="3285"/>
  </r>
  <r>
    <x v="0"/>
    <x v="0"/>
    <x v="0"/>
    <x v="4"/>
    <x v="5"/>
    <s v="LT_A1"/>
    <x v="13"/>
    <x v="22"/>
    <x v="6"/>
    <x v="6"/>
    <n v="15"/>
    <n v="912.5"/>
    <n v="3285"/>
  </r>
  <r>
    <x v="0"/>
    <x v="0"/>
    <x v="0"/>
    <x v="4"/>
    <x v="5"/>
    <s v="LT_A1"/>
    <x v="13"/>
    <x v="22"/>
    <x v="6"/>
    <x v="7"/>
    <n v="15"/>
    <n v="912.5"/>
    <n v="3285"/>
  </r>
  <r>
    <x v="0"/>
    <x v="0"/>
    <x v="0"/>
    <x v="4"/>
    <x v="5"/>
    <s v="LT_A1"/>
    <x v="13"/>
    <x v="22"/>
    <x v="6"/>
    <x v="8"/>
    <n v="15"/>
    <n v="912.5"/>
    <n v="3285"/>
  </r>
  <r>
    <x v="0"/>
    <x v="0"/>
    <x v="0"/>
    <x v="4"/>
    <x v="5"/>
    <s v="LT_A1"/>
    <x v="13"/>
    <x v="22"/>
    <x v="6"/>
    <x v="9"/>
    <n v="15"/>
    <n v="912.5"/>
    <n v="3285"/>
  </r>
  <r>
    <x v="0"/>
    <x v="0"/>
    <x v="0"/>
    <x v="4"/>
    <x v="5"/>
    <s v="LT_A1"/>
    <x v="13"/>
    <x v="22"/>
    <x v="6"/>
    <x v="10"/>
    <n v="15"/>
    <n v="912.5"/>
    <n v="3285"/>
  </r>
  <r>
    <x v="0"/>
    <x v="0"/>
    <x v="0"/>
    <x v="4"/>
    <x v="5"/>
    <s v="LT_A1"/>
    <x v="13"/>
    <x v="22"/>
    <x v="6"/>
    <x v="11"/>
    <n v="15"/>
    <n v="912.5"/>
    <n v="3285"/>
  </r>
  <r>
    <x v="0"/>
    <x v="0"/>
    <x v="0"/>
    <x v="4"/>
    <x v="5"/>
    <s v="LT_A1"/>
    <x v="13"/>
    <x v="22"/>
    <x v="7"/>
    <x v="0"/>
    <n v="15"/>
    <n v="912.5"/>
    <n v="3285"/>
  </r>
  <r>
    <x v="0"/>
    <x v="0"/>
    <x v="0"/>
    <x v="4"/>
    <x v="5"/>
    <s v="LT_A1"/>
    <x v="13"/>
    <x v="22"/>
    <x v="7"/>
    <x v="1"/>
    <n v="15"/>
    <n v="912.5"/>
    <n v="3285"/>
  </r>
  <r>
    <x v="0"/>
    <x v="0"/>
    <x v="0"/>
    <x v="4"/>
    <x v="5"/>
    <s v="LT_A1"/>
    <x v="13"/>
    <x v="22"/>
    <x v="7"/>
    <x v="2"/>
    <n v="15"/>
    <n v="912.5"/>
    <n v="3285"/>
  </r>
  <r>
    <x v="0"/>
    <x v="0"/>
    <x v="0"/>
    <x v="4"/>
    <x v="5"/>
    <s v="LT_A1"/>
    <x v="13"/>
    <x v="22"/>
    <x v="7"/>
    <x v="3"/>
    <n v="15"/>
    <n v="912.5"/>
    <n v="3285"/>
  </r>
  <r>
    <x v="0"/>
    <x v="0"/>
    <x v="0"/>
    <x v="4"/>
    <x v="5"/>
    <s v="LT_A1"/>
    <x v="13"/>
    <x v="22"/>
    <x v="7"/>
    <x v="4"/>
    <n v="15"/>
    <n v="912.5"/>
    <n v="3285"/>
  </r>
  <r>
    <x v="0"/>
    <x v="0"/>
    <x v="0"/>
    <x v="4"/>
    <x v="5"/>
    <s v="LT_A1"/>
    <x v="13"/>
    <x v="22"/>
    <x v="7"/>
    <x v="5"/>
    <n v="15"/>
    <n v="912.5"/>
    <n v="3285"/>
  </r>
  <r>
    <x v="0"/>
    <x v="0"/>
    <x v="0"/>
    <x v="4"/>
    <x v="5"/>
    <s v="LT_A1"/>
    <x v="13"/>
    <x v="22"/>
    <x v="7"/>
    <x v="6"/>
    <n v="15"/>
    <n v="912.5"/>
    <n v="3285"/>
  </r>
  <r>
    <x v="0"/>
    <x v="0"/>
    <x v="0"/>
    <x v="4"/>
    <x v="5"/>
    <s v="LT_A1"/>
    <x v="13"/>
    <x v="22"/>
    <x v="7"/>
    <x v="7"/>
    <n v="15"/>
    <n v="912.5"/>
    <n v="3285"/>
  </r>
  <r>
    <x v="0"/>
    <x v="0"/>
    <x v="0"/>
    <x v="4"/>
    <x v="5"/>
    <s v="LT_A1"/>
    <x v="13"/>
    <x v="22"/>
    <x v="7"/>
    <x v="8"/>
    <n v="15"/>
    <n v="912.5"/>
    <n v="3285"/>
  </r>
  <r>
    <x v="0"/>
    <x v="0"/>
    <x v="0"/>
    <x v="4"/>
    <x v="5"/>
    <s v="LT_A1"/>
    <x v="13"/>
    <x v="22"/>
    <x v="7"/>
    <x v="9"/>
    <n v="15"/>
    <n v="912.5"/>
    <n v="3285"/>
  </r>
  <r>
    <x v="0"/>
    <x v="0"/>
    <x v="0"/>
    <x v="4"/>
    <x v="5"/>
    <s v="LT_A1"/>
    <x v="13"/>
    <x v="22"/>
    <x v="7"/>
    <x v="10"/>
    <n v="15"/>
    <n v="912.5"/>
    <n v="3285"/>
  </r>
  <r>
    <x v="0"/>
    <x v="0"/>
    <x v="0"/>
    <x v="4"/>
    <x v="5"/>
    <s v="LT_A1"/>
    <x v="13"/>
    <x v="22"/>
    <x v="7"/>
    <x v="11"/>
    <n v="15"/>
    <n v="912.5"/>
    <n v="3285"/>
  </r>
  <r>
    <x v="0"/>
    <x v="0"/>
    <x v="0"/>
    <x v="4"/>
    <x v="5"/>
    <s v="LT_A1"/>
    <x v="13"/>
    <x v="22"/>
    <x v="8"/>
    <x v="0"/>
    <n v="15"/>
    <n v="912.5"/>
    <n v="3285"/>
  </r>
  <r>
    <x v="0"/>
    <x v="0"/>
    <x v="0"/>
    <x v="4"/>
    <x v="5"/>
    <s v="LT_A1"/>
    <x v="13"/>
    <x v="22"/>
    <x v="8"/>
    <x v="1"/>
    <n v="15"/>
    <n v="912.5"/>
    <n v="3285"/>
  </r>
  <r>
    <x v="0"/>
    <x v="0"/>
    <x v="0"/>
    <x v="4"/>
    <x v="5"/>
    <s v="LT_A1"/>
    <x v="13"/>
    <x v="22"/>
    <x v="8"/>
    <x v="2"/>
    <n v="15"/>
    <n v="912.5"/>
    <n v="3285"/>
  </r>
  <r>
    <x v="0"/>
    <x v="0"/>
    <x v="0"/>
    <x v="4"/>
    <x v="5"/>
    <s v="LT_A1"/>
    <x v="13"/>
    <x v="22"/>
    <x v="8"/>
    <x v="3"/>
    <n v="15"/>
    <n v="912.5"/>
    <n v="3285"/>
  </r>
  <r>
    <x v="0"/>
    <x v="0"/>
    <x v="0"/>
    <x v="4"/>
    <x v="5"/>
    <s v="LT_A1"/>
    <x v="13"/>
    <x v="22"/>
    <x v="8"/>
    <x v="4"/>
    <n v="15"/>
    <n v="912.5"/>
    <n v="3285"/>
  </r>
  <r>
    <x v="0"/>
    <x v="0"/>
    <x v="0"/>
    <x v="4"/>
    <x v="5"/>
    <s v="LT_A1"/>
    <x v="13"/>
    <x v="22"/>
    <x v="8"/>
    <x v="5"/>
    <n v="15"/>
    <n v="912.5"/>
    <n v="3285"/>
  </r>
  <r>
    <x v="0"/>
    <x v="0"/>
    <x v="0"/>
    <x v="4"/>
    <x v="5"/>
    <s v="LT_A1"/>
    <x v="13"/>
    <x v="22"/>
    <x v="8"/>
    <x v="6"/>
    <n v="15"/>
    <n v="912.5"/>
    <n v="3285"/>
  </r>
  <r>
    <x v="0"/>
    <x v="0"/>
    <x v="0"/>
    <x v="4"/>
    <x v="5"/>
    <s v="LT_A1"/>
    <x v="13"/>
    <x v="22"/>
    <x v="8"/>
    <x v="7"/>
    <n v="15"/>
    <n v="912.5"/>
    <n v="3285"/>
  </r>
  <r>
    <x v="0"/>
    <x v="0"/>
    <x v="0"/>
    <x v="4"/>
    <x v="5"/>
    <s v="LT_A1"/>
    <x v="13"/>
    <x v="22"/>
    <x v="8"/>
    <x v="8"/>
    <n v="15"/>
    <n v="912.5"/>
    <n v="3285"/>
  </r>
  <r>
    <x v="0"/>
    <x v="0"/>
    <x v="0"/>
    <x v="4"/>
    <x v="5"/>
    <s v="LT_A1"/>
    <x v="13"/>
    <x v="22"/>
    <x v="8"/>
    <x v="9"/>
    <n v="15"/>
    <n v="912.5"/>
    <n v="3285"/>
  </r>
  <r>
    <x v="0"/>
    <x v="0"/>
    <x v="0"/>
    <x v="4"/>
    <x v="5"/>
    <s v="LT_A1"/>
    <x v="13"/>
    <x v="22"/>
    <x v="8"/>
    <x v="10"/>
    <n v="15"/>
    <n v="912.5"/>
    <n v="3285"/>
  </r>
  <r>
    <x v="0"/>
    <x v="0"/>
    <x v="0"/>
    <x v="4"/>
    <x v="5"/>
    <s v="LT_A1"/>
    <x v="13"/>
    <x v="22"/>
    <x v="8"/>
    <x v="11"/>
    <n v="15"/>
    <n v="912.5"/>
    <n v="3285"/>
  </r>
  <r>
    <x v="0"/>
    <x v="0"/>
    <x v="0"/>
    <x v="4"/>
    <x v="5"/>
    <s v="LT_A1"/>
    <x v="13"/>
    <x v="22"/>
    <x v="9"/>
    <x v="0"/>
    <n v="15"/>
    <n v="912.5"/>
    <n v="3285"/>
  </r>
  <r>
    <x v="0"/>
    <x v="0"/>
    <x v="0"/>
    <x v="4"/>
    <x v="5"/>
    <s v="LT_A1"/>
    <x v="13"/>
    <x v="22"/>
    <x v="9"/>
    <x v="1"/>
    <n v="15"/>
    <n v="912.5"/>
    <n v="3285"/>
  </r>
  <r>
    <x v="0"/>
    <x v="0"/>
    <x v="0"/>
    <x v="4"/>
    <x v="5"/>
    <s v="LT_A1"/>
    <x v="13"/>
    <x v="22"/>
    <x v="9"/>
    <x v="2"/>
    <n v="15"/>
    <n v="912.5"/>
    <n v="3285"/>
  </r>
  <r>
    <x v="0"/>
    <x v="0"/>
    <x v="0"/>
    <x v="4"/>
    <x v="5"/>
    <s v="LT_A1"/>
    <x v="13"/>
    <x v="22"/>
    <x v="9"/>
    <x v="3"/>
    <n v="15"/>
    <n v="912.5"/>
    <n v="3285"/>
  </r>
  <r>
    <x v="0"/>
    <x v="0"/>
    <x v="0"/>
    <x v="4"/>
    <x v="5"/>
    <s v="LT_A1"/>
    <x v="13"/>
    <x v="22"/>
    <x v="9"/>
    <x v="4"/>
    <n v="15"/>
    <n v="912.5"/>
    <n v="3285"/>
  </r>
  <r>
    <x v="0"/>
    <x v="0"/>
    <x v="0"/>
    <x v="4"/>
    <x v="5"/>
    <s v="LT_A1"/>
    <x v="13"/>
    <x v="22"/>
    <x v="9"/>
    <x v="5"/>
    <n v="15"/>
    <n v="912.5"/>
    <n v="3285"/>
  </r>
  <r>
    <x v="0"/>
    <x v="0"/>
    <x v="0"/>
    <x v="4"/>
    <x v="5"/>
    <s v="LT_A1"/>
    <x v="13"/>
    <x v="22"/>
    <x v="9"/>
    <x v="6"/>
    <n v="15"/>
    <n v="912.5"/>
    <n v="3285"/>
  </r>
  <r>
    <x v="0"/>
    <x v="0"/>
    <x v="0"/>
    <x v="4"/>
    <x v="5"/>
    <s v="LT_A1"/>
    <x v="13"/>
    <x v="22"/>
    <x v="9"/>
    <x v="7"/>
    <n v="15"/>
    <n v="912.5"/>
    <n v="3285"/>
  </r>
  <r>
    <x v="0"/>
    <x v="0"/>
    <x v="0"/>
    <x v="4"/>
    <x v="5"/>
    <s v="LT_A1"/>
    <x v="13"/>
    <x v="22"/>
    <x v="9"/>
    <x v="8"/>
    <n v="15"/>
    <n v="912.5"/>
    <n v="3285"/>
  </r>
  <r>
    <x v="0"/>
    <x v="0"/>
    <x v="0"/>
    <x v="4"/>
    <x v="5"/>
    <s v="LT_A1"/>
    <x v="13"/>
    <x v="22"/>
    <x v="9"/>
    <x v="9"/>
    <n v="15"/>
    <n v="912.5"/>
    <n v="3285"/>
  </r>
  <r>
    <x v="0"/>
    <x v="0"/>
    <x v="0"/>
    <x v="4"/>
    <x v="5"/>
    <s v="LT_A1"/>
    <x v="13"/>
    <x v="22"/>
    <x v="9"/>
    <x v="10"/>
    <n v="15"/>
    <n v="912.5"/>
    <n v="3285"/>
  </r>
  <r>
    <x v="0"/>
    <x v="0"/>
    <x v="0"/>
    <x v="4"/>
    <x v="5"/>
    <s v="LT_A1"/>
    <x v="13"/>
    <x v="22"/>
    <x v="9"/>
    <x v="11"/>
    <n v="15"/>
    <n v="912.5"/>
    <n v="3285"/>
  </r>
  <r>
    <x v="0"/>
    <x v="0"/>
    <x v="0"/>
    <x v="4"/>
    <x v="5"/>
    <s v="LT_A1"/>
    <x v="13"/>
    <x v="22"/>
    <x v="10"/>
    <x v="0"/>
    <n v="15"/>
    <n v="912.5"/>
    <n v="3285"/>
  </r>
  <r>
    <x v="0"/>
    <x v="0"/>
    <x v="0"/>
    <x v="4"/>
    <x v="5"/>
    <s v="LT_A1"/>
    <x v="13"/>
    <x v="22"/>
    <x v="10"/>
    <x v="1"/>
    <n v="15"/>
    <n v="912.5"/>
    <n v="3285"/>
  </r>
  <r>
    <x v="0"/>
    <x v="0"/>
    <x v="0"/>
    <x v="4"/>
    <x v="5"/>
    <s v="LT_A1"/>
    <x v="13"/>
    <x v="22"/>
    <x v="10"/>
    <x v="2"/>
    <n v="15"/>
    <n v="912.5"/>
    <n v="3285"/>
  </r>
  <r>
    <x v="0"/>
    <x v="0"/>
    <x v="0"/>
    <x v="4"/>
    <x v="5"/>
    <s v="LT_A1"/>
    <x v="13"/>
    <x v="22"/>
    <x v="10"/>
    <x v="3"/>
    <n v="15"/>
    <n v="912.5"/>
    <n v="3285"/>
  </r>
  <r>
    <x v="0"/>
    <x v="0"/>
    <x v="0"/>
    <x v="4"/>
    <x v="5"/>
    <s v="LT_A1"/>
    <x v="13"/>
    <x v="22"/>
    <x v="10"/>
    <x v="4"/>
    <n v="15"/>
    <n v="912.5"/>
    <n v="3285"/>
  </r>
  <r>
    <x v="0"/>
    <x v="0"/>
    <x v="0"/>
    <x v="4"/>
    <x v="5"/>
    <s v="LT_A1"/>
    <x v="13"/>
    <x v="22"/>
    <x v="10"/>
    <x v="5"/>
    <n v="15"/>
    <n v="912.5"/>
    <n v="3285"/>
  </r>
  <r>
    <x v="0"/>
    <x v="0"/>
    <x v="0"/>
    <x v="4"/>
    <x v="5"/>
    <s v="LT_A1"/>
    <x v="13"/>
    <x v="22"/>
    <x v="10"/>
    <x v="6"/>
    <n v="15"/>
    <n v="912.5"/>
    <n v="3285"/>
  </r>
  <r>
    <x v="0"/>
    <x v="0"/>
    <x v="0"/>
    <x v="4"/>
    <x v="5"/>
    <s v="LT_A1"/>
    <x v="13"/>
    <x v="22"/>
    <x v="10"/>
    <x v="7"/>
    <n v="15"/>
    <n v="912.5"/>
    <n v="3285"/>
  </r>
  <r>
    <x v="0"/>
    <x v="0"/>
    <x v="0"/>
    <x v="4"/>
    <x v="5"/>
    <s v="LT_A1"/>
    <x v="13"/>
    <x v="22"/>
    <x v="10"/>
    <x v="8"/>
    <n v="15"/>
    <n v="912.5"/>
    <n v="3285"/>
  </r>
  <r>
    <x v="0"/>
    <x v="0"/>
    <x v="0"/>
    <x v="4"/>
    <x v="5"/>
    <s v="LT_A1"/>
    <x v="13"/>
    <x v="22"/>
    <x v="10"/>
    <x v="9"/>
    <n v="15"/>
    <n v="912.5"/>
    <n v="3285"/>
  </r>
  <r>
    <x v="0"/>
    <x v="0"/>
    <x v="0"/>
    <x v="4"/>
    <x v="5"/>
    <s v="LT_A1"/>
    <x v="13"/>
    <x v="22"/>
    <x v="10"/>
    <x v="10"/>
    <n v="15"/>
    <n v="912.5"/>
    <n v="3285"/>
  </r>
  <r>
    <x v="0"/>
    <x v="0"/>
    <x v="0"/>
    <x v="4"/>
    <x v="5"/>
    <s v="LT_A1"/>
    <x v="13"/>
    <x v="22"/>
    <x v="10"/>
    <x v="11"/>
    <n v="15"/>
    <n v="912.5"/>
    <n v="3285"/>
  </r>
  <r>
    <x v="0"/>
    <x v="0"/>
    <x v="0"/>
    <x v="4"/>
    <x v="5"/>
    <s v="LT_A1"/>
    <x v="13"/>
    <x v="22"/>
    <x v="11"/>
    <x v="0"/>
    <n v="15"/>
    <n v="912.5"/>
    <n v="3285"/>
  </r>
  <r>
    <x v="0"/>
    <x v="0"/>
    <x v="0"/>
    <x v="4"/>
    <x v="5"/>
    <s v="LT_A1"/>
    <x v="13"/>
    <x v="22"/>
    <x v="11"/>
    <x v="1"/>
    <n v="15"/>
    <n v="912.5"/>
    <n v="3285"/>
  </r>
  <r>
    <x v="0"/>
    <x v="0"/>
    <x v="0"/>
    <x v="4"/>
    <x v="5"/>
    <s v="LT_A1"/>
    <x v="13"/>
    <x v="22"/>
    <x v="11"/>
    <x v="2"/>
    <n v="15"/>
    <n v="912.5"/>
    <n v="3285"/>
  </r>
  <r>
    <x v="0"/>
    <x v="0"/>
    <x v="0"/>
    <x v="4"/>
    <x v="5"/>
    <s v="LT_A1"/>
    <x v="13"/>
    <x v="22"/>
    <x v="11"/>
    <x v="3"/>
    <n v="15"/>
    <n v="912.5"/>
    <n v="3285"/>
  </r>
  <r>
    <x v="0"/>
    <x v="0"/>
    <x v="0"/>
    <x v="4"/>
    <x v="5"/>
    <s v="LT_A1"/>
    <x v="13"/>
    <x v="22"/>
    <x v="11"/>
    <x v="4"/>
    <n v="15"/>
    <n v="912.5"/>
    <n v="3285"/>
  </r>
  <r>
    <x v="0"/>
    <x v="0"/>
    <x v="0"/>
    <x v="4"/>
    <x v="5"/>
    <s v="LT_A1"/>
    <x v="13"/>
    <x v="22"/>
    <x v="11"/>
    <x v="5"/>
    <n v="15"/>
    <n v="912.5"/>
    <n v="3285"/>
  </r>
  <r>
    <x v="0"/>
    <x v="0"/>
    <x v="0"/>
    <x v="4"/>
    <x v="5"/>
    <s v="LT_A1"/>
    <x v="13"/>
    <x v="22"/>
    <x v="11"/>
    <x v="6"/>
    <n v="15"/>
    <n v="912.5"/>
    <n v="3285"/>
  </r>
  <r>
    <x v="0"/>
    <x v="0"/>
    <x v="0"/>
    <x v="4"/>
    <x v="5"/>
    <s v="LT_A1"/>
    <x v="13"/>
    <x v="22"/>
    <x v="11"/>
    <x v="7"/>
    <n v="15"/>
    <n v="912.5"/>
    <n v="3285"/>
  </r>
  <r>
    <x v="0"/>
    <x v="0"/>
    <x v="0"/>
    <x v="4"/>
    <x v="5"/>
    <s v="LT_A1"/>
    <x v="13"/>
    <x v="22"/>
    <x v="11"/>
    <x v="8"/>
    <n v="15"/>
    <n v="912.5"/>
    <n v="3285"/>
  </r>
  <r>
    <x v="0"/>
    <x v="0"/>
    <x v="0"/>
    <x v="4"/>
    <x v="5"/>
    <s v="LT_A1"/>
    <x v="13"/>
    <x v="22"/>
    <x v="11"/>
    <x v="9"/>
    <n v="15"/>
    <n v="912.5"/>
    <n v="3285"/>
  </r>
  <r>
    <x v="0"/>
    <x v="0"/>
    <x v="0"/>
    <x v="4"/>
    <x v="5"/>
    <s v="LT_A1"/>
    <x v="13"/>
    <x v="22"/>
    <x v="11"/>
    <x v="10"/>
    <n v="15"/>
    <n v="912.5"/>
    <n v="3285"/>
  </r>
  <r>
    <x v="0"/>
    <x v="0"/>
    <x v="0"/>
    <x v="4"/>
    <x v="5"/>
    <s v="LT_A1"/>
    <x v="13"/>
    <x v="22"/>
    <x v="11"/>
    <x v="11"/>
    <n v="15"/>
    <n v="912.5"/>
    <n v="3285"/>
  </r>
  <r>
    <x v="0"/>
    <x v="0"/>
    <x v="0"/>
    <x v="4"/>
    <x v="5"/>
    <s v="LT_A1"/>
    <x v="9"/>
    <x v="15"/>
    <x v="0"/>
    <x v="0"/>
    <n v="504.96903607406801"/>
    <n v="30718.949694505802"/>
    <n v="110588.21890022101"/>
  </r>
  <r>
    <x v="0"/>
    <x v="0"/>
    <x v="0"/>
    <x v="4"/>
    <x v="5"/>
    <s v="LT_A1"/>
    <x v="9"/>
    <x v="15"/>
    <x v="0"/>
    <x v="1"/>
    <n v="457.59887365644198"/>
    <n v="27837.264814100199"/>
    <n v="100214.15333076099"/>
  </r>
  <r>
    <x v="0"/>
    <x v="0"/>
    <x v="0"/>
    <x v="4"/>
    <x v="5"/>
    <s v="LT_A1"/>
    <x v="9"/>
    <x v="15"/>
    <x v="0"/>
    <x v="2"/>
    <n v="501.96874561125298"/>
    <n v="30536.432024684502"/>
    <n v="109931.155288864"/>
  </r>
  <r>
    <x v="0"/>
    <x v="0"/>
    <x v="0"/>
    <x v="4"/>
    <x v="5"/>
    <s v="LT_A1"/>
    <x v="9"/>
    <x v="15"/>
    <x v="0"/>
    <x v="3"/>
    <n v="452.15031807006397"/>
    <n v="27505.811015928899"/>
    <n v="99020.919657343897"/>
  </r>
  <r>
    <x v="0"/>
    <x v="0"/>
    <x v="0"/>
    <x v="4"/>
    <x v="5"/>
    <s v="LT_A1"/>
    <x v="9"/>
    <x v="15"/>
    <x v="0"/>
    <x v="4"/>
    <n v="358.82685908266802"/>
    <n v="21828.633927528899"/>
    <n v="78583.082139104197"/>
  </r>
  <r>
    <x v="0"/>
    <x v="0"/>
    <x v="0"/>
    <x v="4"/>
    <x v="5"/>
    <s v="LT_A1"/>
    <x v="9"/>
    <x v="15"/>
    <x v="0"/>
    <x v="5"/>
    <n v="407.15519870062201"/>
    <n v="24768.607920954499"/>
    <n v="89166.988515436096"/>
  </r>
  <r>
    <x v="0"/>
    <x v="0"/>
    <x v="0"/>
    <x v="4"/>
    <x v="5"/>
    <s v="LT_A1"/>
    <x v="9"/>
    <x v="15"/>
    <x v="0"/>
    <x v="6"/>
    <n v="417.513948760186"/>
    <n v="25398.765216244599"/>
    <n v="91435.554778480699"/>
  </r>
  <r>
    <x v="0"/>
    <x v="0"/>
    <x v="0"/>
    <x v="4"/>
    <x v="5"/>
    <s v="LT_A1"/>
    <x v="9"/>
    <x v="15"/>
    <x v="0"/>
    <x v="7"/>
    <n v="352.453318310074"/>
    <n v="21440.910197196201"/>
    <n v="77187.276709906306"/>
  </r>
  <r>
    <x v="0"/>
    <x v="0"/>
    <x v="0"/>
    <x v="4"/>
    <x v="5"/>
    <s v="LT_A1"/>
    <x v="9"/>
    <x v="15"/>
    <x v="0"/>
    <x v="8"/>
    <n v="347.69228891452701"/>
    <n v="21151.280908967099"/>
    <n v="76144.611272281501"/>
  </r>
  <r>
    <x v="0"/>
    <x v="0"/>
    <x v="0"/>
    <x v="4"/>
    <x v="5"/>
    <s v="LT_A1"/>
    <x v="9"/>
    <x v="15"/>
    <x v="0"/>
    <x v="9"/>
    <n v="304.15235368241702"/>
    <n v="18502.601515680399"/>
    <n v="66609.365456449406"/>
  </r>
  <r>
    <x v="0"/>
    <x v="0"/>
    <x v="0"/>
    <x v="4"/>
    <x v="5"/>
    <s v="LT_A1"/>
    <x v="9"/>
    <x v="15"/>
    <x v="0"/>
    <x v="10"/>
    <n v="391.86760404469402"/>
    <n v="23838.612579385601"/>
    <n v="85819.005285788095"/>
  </r>
  <r>
    <x v="0"/>
    <x v="0"/>
    <x v="0"/>
    <x v="4"/>
    <x v="5"/>
    <s v="LT_A1"/>
    <x v="9"/>
    <x v="15"/>
    <x v="0"/>
    <x v="11"/>
    <n v="566.14895662855804"/>
    <n v="34440.728194903902"/>
    <n v="123986.62150165399"/>
  </r>
  <r>
    <x v="0"/>
    <x v="0"/>
    <x v="0"/>
    <x v="4"/>
    <x v="5"/>
    <s v="LT_A1"/>
    <x v="9"/>
    <x v="15"/>
    <x v="1"/>
    <x v="0"/>
    <n v="455.39631674185699"/>
    <n v="27703.275935129601"/>
    <n v="99731.793366466605"/>
  </r>
  <r>
    <x v="0"/>
    <x v="0"/>
    <x v="0"/>
    <x v="4"/>
    <x v="5"/>
    <s v="LT_A1"/>
    <x v="9"/>
    <x v="15"/>
    <x v="1"/>
    <x v="1"/>
    <n v="388.579072837848"/>
    <n v="23638.560264302399"/>
    <n v="85098.816951488698"/>
  </r>
  <r>
    <x v="0"/>
    <x v="0"/>
    <x v="0"/>
    <x v="4"/>
    <x v="5"/>
    <s v="LT_A1"/>
    <x v="9"/>
    <x v="15"/>
    <x v="1"/>
    <x v="2"/>
    <n v="383.64908706509101"/>
    <n v="23338.652796459701"/>
    <n v="84019.150067255003"/>
  </r>
  <r>
    <x v="0"/>
    <x v="0"/>
    <x v="0"/>
    <x v="4"/>
    <x v="5"/>
    <s v="LT_A1"/>
    <x v="9"/>
    <x v="15"/>
    <x v="1"/>
    <x v="3"/>
    <n v="378.71910129233498"/>
    <n v="23038.745328616998"/>
    <n v="82939.483183021293"/>
  </r>
  <r>
    <x v="0"/>
    <x v="0"/>
    <x v="0"/>
    <x v="4"/>
    <x v="5"/>
    <s v="LT_A1"/>
    <x v="9"/>
    <x v="15"/>
    <x v="1"/>
    <x v="4"/>
    <n v="378.71910129233498"/>
    <n v="23038.745328616998"/>
    <n v="82939.483183021293"/>
  </r>
  <r>
    <x v="0"/>
    <x v="0"/>
    <x v="0"/>
    <x v="4"/>
    <x v="5"/>
    <s v="LT_A1"/>
    <x v="9"/>
    <x v="15"/>
    <x v="1"/>
    <x v="5"/>
    <n v="385.547974802076"/>
    <n v="23454.168467126299"/>
    <n v="84435.006481654593"/>
  </r>
  <r>
    <x v="0"/>
    <x v="0"/>
    <x v="0"/>
    <x v="4"/>
    <x v="5"/>
    <s v="LT_A1"/>
    <x v="9"/>
    <x v="15"/>
    <x v="1"/>
    <x v="6"/>
    <n v="468.039340764126"/>
    <n v="28472.393229817699"/>
    <n v="102500.615627344"/>
  </r>
  <r>
    <x v="0"/>
    <x v="0"/>
    <x v="0"/>
    <x v="4"/>
    <x v="5"/>
    <s v="LT_A1"/>
    <x v="9"/>
    <x v="15"/>
    <x v="1"/>
    <x v="7"/>
    <n v="522.35958023592195"/>
    <n v="31776.874464351898"/>
    <n v="114396.748071667"/>
  </r>
  <r>
    <x v="0"/>
    <x v="0"/>
    <x v="0"/>
    <x v="4"/>
    <x v="5"/>
    <s v="LT_A1"/>
    <x v="9"/>
    <x v="15"/>
    <x v="1"/>
    <x v="8"/>
    <n v="505.05943204553603"/>
    <n v="30724.448782770101"/>
    <n v="110608.01561797201"/>
  </r>
  <r>
    <x v="0"/>
    <x v="0"/>
    <x v="0"/>
    <x v="4"/>
    <x v="5"/>
    <s v="LT_A1"/>
    <x v="9"/>
    <x v="15"/>
    <x v="1"/>
    <x v="9"/>
    <n v="472.96932653688299"/>
    <n v="28772.300697660401"/>
    <n v="103580.282511577"/>
  </r>
  <r>
    <x v="0"/>
    <x v="0"/>
    <x v="0"/>
    <x v="4"/>
    <x v="5"/>
    <s v="LT_A1"/>
    <x v="9"/>
    <x v="15"/>
    <x v="1"/>
    <x v="10"/>
    <n v="463.10935499137003"/>
    <n v="28172.485761975"/>
    <n v="101420.94874311"/>
  </r>
  <r>
    <x v="0"/>
    <x v="0"/>
    <x v="0"/>
    <x v="4"/>
    <x v="5"/>
    <s v="LT_A1"/>
    <x v="9"/>
    <x v="15"/>
    <x v="1"/>
    <x v="11"/>
    <n v="463.10935499137003"/>
    <n v="28172.485761975"/>
    <n v="101420.94874311"/>
  </r>
  <r>
    <x v="0"/>
    <x v="0"/>
    <x v="0"/>
    <x v="4"/>
    <x v="5"/>
    <s v="LT_A1"/>
    <x v="9"/>
    <x v="15"/>
    <x v="2"/>
    <x v="3"/>
    <n v="243.172024244022"/>
    <n v="14792.964808178"/>
    <n v="53254.673309440797"/>
  </r>
  <r>
    <x v="0"/>
    <x v="0"/>
    <x v="0"/>
    <x v="4"/>
    <x v="5"/>
    <s v="LT_A1"/>
    <x v="9"/>
    <x v="15"/>
    <x v="2"/>
    <x v="4"/>
    <n v="418.43932533333401"/>
    <n v="25455.058957777801"/>
    <n v="91638.212248000302"/>
  </r>
  <r>
    <x v="0"/>
    <x v="0"/>
    <x v="0"/>
    <x v="4"/>
    <x v="5"/>
    <s v="LT_A1"/>
    <x v="9"/>
    <x v="15"/>
    <x v="2"/>
    <x v="5"/>
    <n v="541.40863179330699"/>
    <n v="32935.6917674262"/>
    <n v="118568.490362734"/>
  </r>
  <r>
    <x v="0"/>
    <x v="0"/>
    <x v="0"/>
    <x v="4"/>
    <x v="5"/>
    <s v="LT_A1"/>
    <x v="9"/>
    <x v="15"/>
    <x v="2"/>
    <x v="6"/>
    <n v="620.86889971958499"/>
    <n v="37769.524732941398"/>
    <n v="135970.28903858899"/>
  </r>
  <r>
    <x v="0"/>
    <x v="0"/>
    <x v="0"/>
    <x v="4"/>
    <x v="5"/>
    <s v="LT_A1"/>
    <x v="9"/>
    <x v="15"/>
    <x v="2"/>
    <x v="7"/>
    <n v="670.25915341862401"/>
    <n v="40774.098499633001"/>
    <n v="146786.75459867899"/>
  </r>
  <r>
    <x v="0"/>
    <x v="0"/>
    <x v="0"/>
    <x v="4"/>
    <x v="5"/>
    <s v="LT_A1"/>
    <x v="9"/>
    <x v="15"/>
    <x v="2"/>
    <x v="8"/>
    <n v="667.74896254651196"/>
    <n v="40621.3952215795"/>
    <n v="146237.02279768599"/>
  </r>
  <r>
    <x v="0"/>
    <x v="0"/>
    <x v="0"/>
    <x v="4"/>
    <x v="5"/>
    <s v="LT_A1"/>
    <x v="9"/>
    <x v="15"/>
    <x v="2"/>
    <x v="9"/>
    <n v="635.658857037855"/>
    <n v="38669.247136469501"/>
    <n v="139209.28969129"/>
  </r>
  <r>
    <x v="0"/>
    <x v="0"/>
    <x v="0"/>
    <x v="4"/>
    <x v="5"/>
    <s v="LT_A1"/>
    <x v="9"/>
    <x v="15"/>
    <x v="2"/>
    <x v="10"/>
    <n v="615.93891394682805"/>
    <n v="37469.617265098699"/>
    <n v="134890.62215435499"/>
  </r>
  <r>
    <x v="0"/>
    <x v="0"/>
    <x v="0"/>
    <x v="4"/>
    <x v="5"/>
    <s v="LT_A1"/>
    <x v="9"/>
    <x v="15"/>
    <x v="2"/>
    <x v="11"/>
    <n v="596.21897085580099"/>
    <n v="36269.987393727897"/>
    <n v="130571.95461741999"/>
  </r>
  <r>
    <x v="0"/>
    <x v="0"/>
    <x v="0"/>
    <x v="4"/>
    <x v="5"/>
    <s v="LT_A1"/>
    <x v="9"/>
    <x v="15"/>
    <x v="3"/>
    <x v="0"/>
    <n v="161.80150375628801"/>
    <n v="9842.9248118408796"/>
    <n v="35434.529322627197"/>
  </r>
  <r>
    <x v="0"/>
    <x v="0"/>
    <x v="0"/>
    <x v="4"/>
    <x v="5"/>
    <s v="LT_A1"/>
    <x v="9"/>
    <x v="15"/>
    <x v="3"/>
    <x v="4"/>
    <n v="630.14837570292798"/>
    <n v="38334.026188594798"/>
    <n v="138002.49427894101"/>
  </r>
  <r>
    <x v="0"/>
    <x v="0"/>
    <x v="0"/>
    <x v="4"/>
    <x v="5"/>
    <s v="LT_A1"/>
    <x v="9"/>
    <x v="15"/>
    <x v="3"/>
    <x v="5"/>
    <n v="670.07836147568503"/>
    <n v="40763.100323104198"/>
    <n v="146747.16116317501"/>
  </r>
  <r>
    <x v="0"/>
    <x v="0"/>
    <x v="0"/>
    <x v="4"/>
    <x v="5"/>
    <s v="LT_A1"/>
    <x v="9"/>
    <x v="15"/>
    <x v="3"/>
    <x v="6"/>
    <n v="704.67865785644904"/>
    <n v="42867.951686267297"/>
    <n v="154324.62607056199"/>
  </r>
  <r>
    <x v="0"/>
    <x v="0"/>
    <x v="0"/>
    <x v="4"/>
    <x v="5"/>
    <s v="LT_A1"/>
    <x v="9"/>
    <x v="15"/>
    <x v="3"/>
    <x v="7"/>
    <n v="758.99889732824499"/>
    <n v="46172.432920801599"/>
    <n v="166220.75851488599"/>
  </r>
  <r>
    <x v="0"/>
    <x v="0"/>
    <x v="0"/>
    <x v="4"/>
    <x v="5"/>
    <s v="LT_A1"/>
    <x v="9"/>
    <x v="15"/>
    <x v="3"/>
    <x v="8"/>
    <n v="712.11883450132302"/>
    <n v="43320.562432163802"/>
    <n v="155954.02475578999"/>
  </r>
  <r>
    <x v="0"/>
    <x v="0"/>
    <x v="0"/>
    <x v="4"/>
    <x v="5"/>
    <s v="LT_A1"/>
    <x v="9"/>
    <x v="15"/>
    <x v="3"/>
    <x v="9"/>
    <n v="635.658857037855"/>
    <n v="38669.247136469501"/>
    <n v="139209.28969129"/>
  </r>
  <r>
    <x v="0"/>
    <x v="0"/>
    <x v="0"/>
    <x v="4"/>
    <x v="5"/>
    <s v="LT_A1"/>
    <x v="9"/>
    <x v="15"/>
    <x v="3"/>
    <x v="10"/>
    <n v="615.93891394682805"/>
    <n v="37469.617265098699"/>
    <n v="134890.62215435499"/>
  </r>
  <r>
    <x v="0"/>
    <x v="0"/>
    <x v="0"/>
    <x v="4"/>
    <x v="5"/>
    <s v="LT_A1"/>
    <x v="9"/>
    <x v="15"/>
    <x v="3"/>
    <x v="11"/>
    <n v="591.28898508304496"/>
    <n v="35970.079925885198"/>
    <n v="129492.287733187"/>
  </r>
  <r>
    <x v="0"/>
    <x v="0"/>
    <x v="0"/>
    <x v="4"/>
    <x v="5"/>
    <s v="LT_A1"/>
    <x v="9"/>
    <x v="15"/>
    <x v="4"/>
    <x v="0"/>
    <n v="553.51174703617096"/>
    <n v="33671.964611367097"/>
    <n v="121219.07260092199"/>
  </r>
  <r>
    <x v="0"/>
    <x v="0"/>
    <x v="0"/>
    <x v="4"/>
    <x v="5"/>
    <s v="LT_A1"/>
    <x v="9"/>
    <x v="15"/>
    <x v="4"/>
    <x v="1"/>
    <n v="454.401182530678"/>
    <n v="27642.738603949601"/>
    <n v="99513.858974218499"/>
  </r>
  <r>
    <x v="0"/>
    <x v="0"/>
    <x v="0"/>
    <x v="4"/>
    <x v="5"/>
    <s v="LT_A1"/>
    <x v="9"/>
    <x v="15"/>
    <x v="4"/>
    <x v="2"/>
    <n v="745.18552669411895"/>
    <n v="45332.119540558902"/>
    <n v="163195.63034601201"/>
  </r>
  <r>
    <x v="0"/>
    <x v="0"/>
    <x v="0"/>
    <x v="4"/>
    <x v="5"/>
    <s v="LT_A1"/>
    <x v="9"/>
    <x v="15"/>
    <x v="4"/>
    <x v="3"/>
    <n v="915.24882069072601"/>
    <n v="55677.636592019197"/>
    <n v="200439.49173126899"/>
  </r>
  <r>
    <x v="0"/>
    <x v="0"/>
    <x v="0"/>
    <x v="4"/>
    <x v="5"/>
    <s v="LT_A1"/>
    <x v="9"/>
    <x v="15"/>
    <x v="4"/>
    <x v="4"/>
    <n v="954.43287324693301"/>
    <n v="58061.333122521799"/>
    <n v="209020.799241078"/>
  </r>
  <r>
    <x v="0"/>
    <x v="0"/>
    <x v="0"/>
    <x v="4"/>
    <x v="5"/>
    <s v="LT_A1"/>
    <x v="9"/>
    <x v="15"/>
    <x v="4"/>
    <x v="5"/>
    <n v="1086.0655737704899"/>
    <n v="66068.989071038202"/>
    <n v="237848.36065573801"/>
  </r>
  <r>
    <x v="0"/>
    <x v="0"/>
    <x v="0"/>
    <x v="4"/>
    <x v="5"/>
    <s v="LT_A1"/>
    <x v="9"/>
    <x v="15"/>
    <x v="4"/>
    <x v="6"/>
    <n v="1086.0655737704899"/>
    <n v="66068.989071038202"/>
    <n v="237848.36065573801"/>
  </r>
  <r>
    <x v="0"/>
    <x v="0"/>
    <x v="0"/>
    <x v="4"/>
    <x v="5"/>
    <s v="LT_A1"/>
    <x v="9"/>
    <x v="15"/>
    <x v="4"/>
    <x v="7"/>
    <n v="1086.0655737704899"/>
    <n v="66068.989071038202"/>
    <n v="237848.36065573801"/>
  </r>
  <r>
    <x v="0"/>
    <x v="0"/>
    <x v="0"/>
    <x v="4"/>
    <x v="5"/>
    <s v="LT_A1"/>
    <x v="9"/>
    <x v="15"/>
    <x v="4"/>
    <x v="8"/>
    <n v="1086.0655737704899"/>
    <n v="66068.989071038202"/>
    <n v="237848.36065573801"/>
  </r>
  <r>
    <x v="0"/>
    <x v="0"/>
    <x v="0"/>
    <x v="4"/>
    <x v="5"/>
    <s v="LT_A1"/>
    <x v="9"/>
    <x v="15"/>
    <x v="4"/>
    <x v="9"/>
    <n v="1086.0655737704899"/>
    <n v="66068.989071038202"/>
    <n v="237848.36065573801"/>
  </r>
  <r>
    <x v="0"/>
    <x v="0"/>
    <x v="0"/>
    <x v="4"/>
    <x v="5"/>
    <s v="LT_A1"/>
    <x v="9"/>
    <x v="15"/>
    <x v="4"/>
    <x v="10"/>
    <n v="1086.0655737704899"/>
    <n v="66068.989071038202"/>
    <n v="237848.36065573801"/>
  </r>
  <r>
    <x v="0"/>
    <x v="0"/>
    <x v="0"/>
    <x v="4"/>
    <x v="5"/>
    <s v="LT_A1"/>
    <x v="9"/>
    <x v="15"/>
    <x v="4"/>
    <x v="11"/>
    <n v="1086.0655737704899"/>
    <n v="66068.989071038202"/>
    <n v="237848.36065573801"/>
  </r>
  <r>
    <x v="0"/>
    <x v="0"/>
    <x v="0"/>
    <x v="4"/>
    <x v="5"/>
    <s v="LT_A1"/>
    <x v="9"/>
    <x v="15"/>
    <x v="5"/>
    <x v="0"/>
    <n v="542.18542235428197"/>
    <n v="32982.946526552201"/>
    <n v="118738.607495588"/>
  </r>
  <r>
    <x v="0"/>
    <x v="0"/>
    <x v="0"/>
    <x v="4"/>
    <x v="5"/>
    <s v="LT_A1"/>
    <x v="9"/>
    <x v="15"/>
    <x v="5"/>
    <x v="1"/>
    <n v="569.25514611870994"/>
    <n v="34629.6880555549"/>
    <n v="124666.876999998"/>
  </r>
  <r>
    <x v="0"/>
    <x v="0"/>
    <x v="0"/>
    <x v="4"/>
    <x v="5"/>
    <s v="LT_A1"/>
    <x v="9"/>
    <x v="15"/>
    <x v="5"/>
    <x v="2"/>
    <n v="564.32516034595403"/>
    <n v="34329.780587712201"/>
    <n v="123587.210115764"/>
  </r>
  <r>
    <x v="0"/>
    <x v="0"/>
    <x v="0"/>
    <x v="4"/>
    <x v="5"/>
    <s v="LT_A1"/>
    <x v="9"/>
    <x v="15"/>
    <x v="5"/>
    <x v="3"/>
    <n v="634.01427301618696"/>
    <n v="38569.201608484698"/>
    <n v="138849.12579054499"/>
  </r>
  <r>
    <x v="0"/>
    <x v="0"/>
    <x v="0"/>
    <x v="4"/>
    <x v="5"/>
    <s v="LT_A1"/>
    <x v="9"/>
    <x v="15"/>
    <x v="5"/>
    <x v="4"/>
    <n v="873.68757492707198"/>
    <n v="53149.327474730198"/>
    <n v="191337.57890902899"/>
  </r>
  <r>
    <x v="0"/>
    <x v="0"/>
    <x v="0"/>
    <x v="4"/>
    <x v="5"/>
    <s v="LT_A1"/>
    <x v="9"/>
    <x v="15"/>
    <x v="5"/>
    <x v="5"/>
    <n v="1086.0655737704899"/>
    <n v="66068.989071038202"/>
    <n v="237848.36065573801"/>
  </r>
  <r>
    <x v="0"/>
    <x v="0"/>
    <x v="0"/>
    <x v="4"/>
    <x v="5"/>
    <s v="LT_A1"/>
    <x v="9"/>
    <x v="15"/>
    <x v="5"/>
    <x v="6"/>
    <n v="1086.0655737704899"/>
    <n v="66068.989071038202"/>
    <n v="237848.36065573801"/>
  </r>
  <r>
    <x v="0"/>
    <x v="0"/>
    <x v="0"/>
    <x v="4"/>
    <x v="5"/>
    <s v="LT_A1"/>
    <x v="9"/>
    <x v="15"/>
    <x v="5"/>
    <x v="7"/>
    <n v="1086.0655737704899"/>
    <n v="66068.989071038202"/>
    <n v="237848.36065573801"/>
  </r>
  <r>
    <x v="0"/>
    <x v="0"/>
    <x v="0"/>
    <x v="4"/>
    <x v="5"/>
    <s v="LT_A1"/>
    <x v="9"/>
    <x v="15"/>
    <x v="5"/>
    <x v="8"/>
    <n v="1086.0655737704899"/>
    <n v="66068.989071038202"/>
    <n v="237848.36065573801"/>
  </r>
  <r>
    <x v="0"/>
    <x v="0"/>
    <x v="0"/>
    <x v="4"/>
    <x v="5"/>
    <s v="LT_A1"/>
    <x v="9"/>
    <x v="15"/>
    <x v="5"/>
    <x v="9"/>
    <n v="1086.0655737704899"/>
    <n v="66068.989071038202"/>
    <n v="237848.36065573801"/>
  </r>
  <r>
    <x v="0"/>
    <x v="0"/>
    <x v="0"/>
    <x v="4"/>
    <x v="5"/>
    <s v="LT_A1"/>
    <x v="9"/>
    <x v="15"/>
    <x v="5"/>
    <x v="10"/>
    <n v="1086.0655737704899"/>
    <n v="66068.989071038202"/>
    <n v="237848.36065573801"/>
  </r>
  <r>
    <x v="0"/>
    <x v="0"/>
    <x v="0"/>
    <x v="4"/>
    <x v="5"/>
    <s v="LT_A1"/>
    <x v="9"/>
    <x v="15"/>
    <x v="5"/>
    <x v="11"/>
    <n v="1086.0655737704899"/>
    <n v="66068.989071038202"/>
    <n v="237848.36065573801"/>
  </r>
  <r>
    <x v="0"/>
    <x v="0"/>
    <x v="0"/>
    <x v="4"/>
    <x v="5"/>
    <s v="LT_A1"/>
    <x v="9"/>
    <x v="15"/>
    <x v="6"/>
    <x v="0"/>
    <n v="517.08783996555098"/>
    <n v="31456.1769312377"/>
    <n v="113242.23695245601"/>
  </r>
  <r>
    <x v="0"/>
    <x v="0"/>
    <x v="0"/>
    <x v="4"/>
    <x v="5"/>
    <s v="LT_A1"/>
    <x v="9"/>
    <x v="15"/>
    <x v="6"/>
    <x v="1"/>
    <n v="406.56561561773799"/>
    <n v="24732.741616745701"/>
    <n v="89037.869820284599"/>
  </r>
  <r>
    <x v="0"/>
    <x v="0"/>
    <x v="0"/>
    <x v="4"/>
    <x v="5"/>
    <s v="LT_A1"/>
    <x v="9"/>
    <x v="15"/>
    <x v="6"/>
    <x v="2"/>
    <n v="460.79545911806201"/>
    <n v="28031.7237630155"/>
    <n v="100914.205546856"/>
  </r>
  <r>
    <x v="0"/>
    <x v="0"/>
    <x v="0"/>
    <x v="4"/>
    <x v="5"/>
    <s v="LT_A1"/>
    <x v="9"/>
    <x v="15"/>
    <x v="6"/>
    <x v="3"/>
    <n v="930.22081272696403"/>
    <n v="56588.4327742237"/>
    <n v="203718.357987205"/>
  </r>
  <r>
    <x v="0"/>
    <x v="0"/>
    <x v="0"/>
    <x v="4"/>
    <x v="5"/>
    <s v="LT_A1"/>
    <x v="9"/>
    <x v="15"/>
    <x v="6"/>
    <x v="4"/>
    <n v="1086.0655737704899"/>
    <n v="66068.989071038202"/>
    <n v="237848.36065573801"/>
  </r>
  <r>
    <x v="0"/>
    <x v="0"/>
    <x v="0"/>
    <x v="4"/>
    <x v="5"/>
    <s v="LT_A1"/>
    <x v="9"/>
    <x v="15"/>
    <x v="6"/>
    <x v="5"/>
    <n v="1086.0655737704899"/>
    <n v="66068.989071038202"/>
    <n v="237848.36065573801"/>
  </r>
  <r>
    <x v="0"/>
    <x v="0"/>
    <x v="0"/>
    <x v="4"/>
    <x v="5"/>
    <s v="LT_A1"/>
    <x v="9"/>
    <x v="15"/>
    <x v="6"/>
    <x v="6"/>
    <n v="1086.0655737704899"/>
    <n v="66068.989071038202"/>
    <n v="237848.36065573801"/>
  </r>
  <r>
    <x v="0"/>
    <x v="0"/>
    <x v="0"/>
    <x v="4"/>
    <x v="5"/>
    <s v="LT_A1"/>
    <x v="9"/>
    <x v="15"/>
    <x v="6"/>
    <x v="7"/>
    <n v="1086.0655737704899"/>
    <n v="66068.989071038202"/>
    <n v="237848.36065573801"/>
  </r>
  <r>
    <x v="0"/>
    <x v="0"/>
    <x v="0"/>
    <x v="4"/>
    <x v="5"/>
    <s v="LT_A1"/>
    <x v="9"/>
    <x v="15"/>
    <x v="6"/>
    <x v="8"/>
    <n v="1086.0655737704899"/>
    <n v="66068.989071038202"/>
    <n v="237848.36065573801"/>
  </r>
  <r>
    <x v="0"/>
    <x v="0"/>
    <x v="0"/>
    <x v="4"/>
    <x v="5"/>
    <s v="LT_A1"/>
    <x v="9"/>
    <x v="15"/>
    <x v="6"/>
    <x v="9"/>
    <n v="1086.0655737704899"/>
    <n v="66068.989071038202"/>
    <n v="237848.36065573801"/>
  </r>
  <r>
    <x v="0"/>
    <x v="0"/>
    <x v="0"/>
    <x v="4"/>
    <x v="5"/>
    <s v="LT_A1"/>
    <x v="9"/>
    <x v="15"/>
    <x v="6"/>
    <x v="10"/>
    <n v="1086.0655737704899"/>
    <n v="66068.989071038202"/>
    <n v="237848.36065573801"/>
  </r>
  <r>
    <x v="0"/>
    <x v="0"/>
    <x v="0"/>
    <x v="4"/>
    <x v="5"/>
    <s v="LT_A1"/>
    <x v="9"/>
    <x v="15"/>
    <x v="6"/>
    <x v="11"/>
    <n v="1086.0655737704899"/>
    <n v="66068.989071038202"/>
    <n v="237848.36065573801"/>
  </r>
  <r>
    <x v="0"/>
    <x v="0"/>
    <x v="0"/>
    <x v="4"/>
    <x v="5"/>
    <s v="LT_A1"/>
    <x v="9"/>
    <x v="15"/>
    <x v="7"/>
    <x v="0"/>
    <n v="478.19397438396499"/>
    <n v="29090.1334416912"/>
    <n v="104724.48039008801"/>
  </r>
  <r>
    <x v="0"/>
    <x v="0"/>
    <x v="0"/>
    <x v="4"/>
    <x v="5"/>
    <s v="LT_A1"/>
    <x v="9"/>
    <x v="15"/>
    <x v="7"/>
    <x v="1"/>
    <n v="338.91643242709301"/>
    <n v="20617.4163059815"/>
    <n v="74222.698701533503"/>
  </r>
  <r>
    <x v="0"/>
    <x v="0"/>
    <x v="0"/>
    <x v="4"/>
    <x v="5"/>
    <s v="LT_A1"/>
    <x v="9"/>
    <x v="15"/>
    <x v="7"/>
    <x v="2"/>
    <n v="411.54978530603898"/>
    <n v="25035.945272784"/>
    <n v="90129.402982022497"/>
  </r>
  <r>
    <x v="0"/>
    <x v="0"/>
    <x v="0"/>
    <x v="4"/>
    <x v="5"/>
    <s v="LT_A1"/>
    <x v="9"/>
    <x v="15"/>
    <x v="7"/>
    <x v="3"/>
    <n v="721.49811386999795"/>
    <n v="43891.135260424802"/>
    <n v="158008.08693752901"/>
  </r>
  <r>
    <x v="0"/>
    <x v="0"/>
    <x v="0"/>
    <x v="4"/>
    <x v="5"/>
    <s v="LT_A1"/>
    <x v="9"/>
    <x v="15"/>
    <x v="7"/>
    <x v="4"/>
    <n v="802.69787774941301"/>
    <n v="48830.787563089303"/>
    <n v="175790.83522712201"/>
  </r>
  <r>
    <x v="0"/>
    <x v="0"/>
    <x v="0"/>
    <x v="4"/>
    <x v="5"/>
    <s v="LT_A1"/>
    <x v="9"/>
    <x v="15"/>
    <x v="7"/>
    <x v="5"/>
    <n v="816.08442573410503"/>
    <n v="49645.135898824701"/>
    <n v="178722.489235769"/>
  </r>
  <r>
    <x v="0"/>
    <x v="0"/>
    <x v="0"/>
    <x v="4"/>
    <x v="5"/>
    <s v="LT_A1"/>
    <x v="9"/>
    <x v="15"/>
    <x v="7"/>
    <x v="6"/>
    <n v="882.15814567569601"/>
    <n v="53664.620528604799"/>
    <n v="193192.63390297699"/>
  </r>
  <r>
    <x v="0"/>
    <x v="0"/>
    <x v="0"/>
    <x v="4"/>
    <x v="5"/>
    <s v="LT_A1"/>
    <x v="9"/>
    <x v="15"/>
    <x v="7"/>
    <x v="7"/>
    <n v="901.96848473819102"/>
    <n v="54869.749488239897"/>
    <n v="197531.098157664"/>
  </r>
  <r>
    <x v="0"/>
    <x v="0"/>
    <x v="0"/>
    <x v="4"/>
    <x v="5"/>
    <s v="LT_A1"/>
    <x v="9"/>
    <x v="15"/>
    <x v="7"/>
    <x v="8"/>
    <n v="848.58180727799902"/>
    <n v="51622.059942744898"/>
    <n v="185839.41579388201"/>
  </r>
  <r>
    <x v="0"/>
    <x v="0"/>
    <x v="0"/>
    <x v="4"/>
    <x v="5"/>
    <s v="LT_A1"/>
    <x v="9"/>
    <x v="15"/>
    <x v="7"/>
    <x v="9"/>
    <n v="827.928302175368"/>
    <n v="50365.638382334902"/>
    <n v="181316.29817640601"/>
  </r>
  <r>
    <x v="0"/>
    <x v="0"/>
    <x v="0"/>
    <x v="4"/>
    <x v="5"/>
    <s v="LT_A1"/>
    <x v="9"/>
    <x v="15"/>
    <x v="7"/>
    <x v="10"/>
    <n v="758.41840176607002"/>
    <n v="46137.119440769296"/>
    <n v="166093.629986769"/>
  </r>
  <r>
    <x v="0"/>
    <x v="0"/>
    <x v="0"/>
    <x v="4"/>
    <x v="5"/>
    <s v="LT_A1"/>
    <x v="9"/>
    <x v="15"/>
    <x v="7"/>
    <x v="11"/>
    <n v="758.90850135677294"/>
    <n v="46166.933832537099"/>
    <n v="166200.961797133"/>
  </r>
  <r>
    <x v="0"/>
    <x v="0"/>
    <x v="0"/>
    <x v="4"/>
    <x v="5"/>
    <s v="LT_A1"/>
    <x v="9"/>
    <x v="15"/>
    <x v="8"/>
    <x v="0"/>
    <n v="396.01924948271699"/>
    <n v="24091.171010198599"/>
    <n v="86728.215636715002"/>
  </r>
  <r>
    <x v="0"/>
    <x v="0"/>
    <x v="0"/>
    <x v="4"/>
    <x v="5"/>
    <s v="LT_A1"/>
    <x v="9"/>
    <x v="15"/>
    <x v="8"/>
    <x v="1"/>
    <n v="368.859129746821"/>
    <n v="22438.930392931601"/>
    <n v="80780.149414553802"/>
  </r>
  <r>
    <x v="0"/>
    <x v="0"/>
    <x v="0"/>
    <x v="4"/>
    <x v="5"/>
    <s v="LT_A1"/>
    <x v="9"/>
    <x v="15"/>
    <x v="8"/>
    <x v="2"/>
    <n v="368.859129746821"/>
    <n v="22438.930392931601"/>
    <n v="80780.149414553802"/>
  </r>
  <r>
    <x v="0"/>
    <x v="0"/>
    <x v="0"/>
    <x v="4"/>
    <x v="5"/>
    <s v="LT_A1"/>
    <x v="9"/>
    <x v="15"/>
    <x v="8"/>
    <x v="3"/>
    <n v="373.78911551957799"/>
    <n v="22738.8378607743"/>
    <n v="81859.816298787598"/>
  </r>
  <r>
    <x v="0"/>
    <x v="0"/>
    <x v="0"/>
    <x v="4"/>
    <x v="5"/>
    <s v="LT_A1"/>
    <x v="9"/>
    <x v="15"/>
    <x v="8"/>
    <x v="4"/>
    <n v="378.71910129233498"/>
    <n v="23038.745328616998"/>
    <n v="82939.483183021293"/>
  </r>
  <r>
    <x v="0"/>
    <x v="0"/>
    <x v="0"/>
    <x v="4"/>
    <x v="5"/>
    <s v="LT_A1"/>
    <x v="9"/>
    <x v="15"/>
    <x v="8"/>
    <x v="5"/>
    <n v="383.64908706509101"/>
    <n v="23338.652796459701"/>
    <n v="84019.150067255003"/>
  </r>
  <r>
    <x v="0"/>
    <x v="0"/>
    <x v="0"/>
    <x v="4"/>
    <x v="5"/>
    <s v="LT_A1"/>
    <x v="9"/>
    <x v="15"/>
    <x v="8"/>
    <x v="6"/>
    <n v="462.61925540066699"/>
    <n v="28142.671370207201"/>
    <n v="101313.61693274599"/>
  </r>
  <r>
    <x v="0"/>
    <x v="0"/>
    <x v="0"/>
    <x v="4"/>
    <x v="5"/>
    <s v="LT_A1"/>
    <x v="9"/>
    <x v="15"/>
    <x v="8"/>
    <x v="7"/>
    <n v="526.79946641797596"/>
    <n v="32046.9675404269"/>
    <n v="115369.08314553701"/>
  </r>
  <r>
    <x v="0"/>
    <x v="0"/>
    <x v="0"/>
    <x v="4"/>
    <x v="5"/>
    <s v="LT_A1"/>
    <x v="9"/>
    <x v="15"/>
    <x v="8"/>
    <x v="8"/>
    <n v="504.56933245483299"/>
    <n v="30694.634391002299"/>
    <n v="110500.683807608"/>
  </r>
  <r>
    <x v="0"/>
    <x v="0"/>
    <x v="0"/>
    <x v="4"/>
    <x v="5"/>
    <s v="LT_A1"/>
    <x v="9"/>
    <x v="15"/>
    <x v="8"/>
    <x v="9"/>
    <n v="502.059141582721"/>
    <n v="30541.931112948801"/>
    <n v="109950.952006616"/>
  </r>
  <r>
    <x v="0"/>
    <x v="0"/>
    <x v="0"/>
    <x v="4"/>
    <x v="5"/>
    <s v="LT_A1"/>
    <x v="9"/>
    <x v="15"/>
    <x v="8"/>
    <x v="10"/>
    <n v="516.84909890099095"/>
    <n v="31441.653516476901"/>
    <n v="113189.952659317"/>
  </r>
  <r>
    <x v="0"/>
    <x v="0"/>
    <x v="0"/>
    <x v="4"/>
    <x v="5"/>
    <s v="LT_A1"/>
    <x v="9"/>
    <x v="15"/>
    <x v="8"/>
    <x v="11"/>
    <n v="531.63905621926097"/>
    <n v="32341.375920005001"/>
    <n v="116428.953312018"/>
  </r>
  <r>
    <x v="0"/>
    <x v="0"/>
    <x v="0"/>
    <x v="4"/>
    <x v="5"/>
    <s v="LT_A1"/>
    <x v="9"/>
    <x v="15"/>
    <x v="9"/>
    <x v="0"/>
    <n v="445.31910721028402"/>
    <n v="27090.2456886256"/>
    <n v="97524.884479052198"/>
  </r>
  <r>
    <x v="0"/>
    <x v="0"/>
    <x v="0"/>
    <x v="4"/>
    <x v="5"/>
    <s v="LT_A1"/>
    <x v="9"/>
    <x v="15"/>
    <x v="9"/>
    <x v="1"/>
    <n v="432.94894479265901"/>
    <n v="26337.727474886698"/>
    <n v="94815.818909592301"/>
  </r>
  <r>
    <x v="0"/>
    <x v="0"/>
    <x v="0"/>
    <x v="4"/>
    <x v="5"/>
    <s v="LT_A1"/>
    <x v="9"/>
    <x v="15"/>
    <x v="9"/>
    <x v="2"/>
    <n v="457.59887365644198"/>
    <n v="27837.264814100199"/>
    <n v="100214.15333076099"/>
  </r>
  <r>
    <x v="0"/>
    <x v="0"/>
    <x v="0"/>
    <x v="4"/>
    <x v="5"/>
    <s v="LT_A1"/>
    <x v="9"/>
    <x v="15"/>
    <x v="9"/>
    <x v="3"/>
    <n v="501.96874561125298"/>
    <n v="30536.432024684502"/>
    <n v="109931.155288864"/>
  </r>
  <r>
    <x v="0"/>
    <x v="0"/>
    <x v="0"/>
    <x v="4"/>
    <x v="5"/>
    <s v="LT_A1"/>
    <x v="9"/>
    <x v="15"/>
    <x v="9"/>
    <x v="4"/>
    <n v="541.40863179330699"/>
    <n v="32935.6917674262"/>
    <n v="118568.490362734"/>
  </r>
  <r>
    <x v="0"/>
    <x v="0"/>
    <x v="0"/>
    <x v="4"/>
    <x v="5"/>
    <s v="LT_A1"/>
    <x v="9"/>
    <x v="15"/>
    <x v="9"/>
    <x v="5"/>
    <n v="566.05856065708997"/>
    <n v="34435.229106639701"/>
    <n v="123966.82478390299"/>
  </r>
  <r>
    <x v="0"/>
    <x v="0"/>
    <x v="0"/>
    <x v="4"/>
    <x v="5"/>
    <s v="LT_A1"/>
    <x v="9"/>
    <x v="15"/>
    <x v="9"/>
    <x v="6"/>
    <n v="640.09874321990901"/>
    <n v="38939.340212544499"/>
    <n v="140181.62476516"/>
  </r>
  <r>
    <x v="0"/>
    <x v="0"/>
    <x v="0"/>
    <x v="4"/>
    <x v="5"/>
    <s v="LT_A1"/>
    <x v="9"/>
    <x v="15"/>
    <x v="9"/>
    <x v="7"/>
    <n v="694.41898269170497"/>
    <n v="42243.821447078699"/>
    <n v="152077.75720948301"/>
  </r>
  <r>
    <x v="0"/>
    <x v="0"/>
    <x v="0"/>
    <x v="4"/>
    <x v="5"/>
    <s v="LT_A1"/>
    <x v="9"/>
    <x v="15"/>
    <x v="9"/>
    <x v="8"/>
    <n v="672.18884872856597"/>
    <n v="40891.488297654403"/>
    <n v="147209.35787155601"/>
  </r>
  <r>
    <x v="0"/>
    <x v="0"/>
    <x v="0"/>
    <x v="4"/>
    <x v="5"/>
    <s v="LT_A1"/>
    <x v="9"/>
    <x v="15"/>
    <x v="9"/>
    <x v="9"/>
    <n v="630.23877167439503"/>
    <n v="38339.525276859102"/>
    <n v="138022.29099669299"/>
  </r>
  <r>
    <x v="0"/>
    <x v="0"/>
    <x v="0"/>
    <x v="4"/>
    <x v="5"/>
    <s v="LT_A1"/>
    <x v="9"/>
    <x v="15"/>
    <x v="9"/>
    <x v="10"/>
    <n v="615.44881435612501"/>
    <n v="37439.802873330998"/>
    <n v="134783.29034399099"/>
  </r>
  <r>
    <x v="0"/>
    <x v="0"/>
    <x v="0"/>
    <x v="4"/>
    <x v="5"/>
    <s v="LT_A1"/>
    <x v="9"/>
    <x v="15"/>
    <x v="9"/>
    <x v="11"/>
    <n v="561.21897085580099"/>
    <n v="34140.820727061197"/>
    <n v="122906.95461741999"/>
  </r>
  <r>
    <x v="0"/>
    <x v="0"/>
    <x v="0"/>
    <x v="4"/>
    <x v="5"/>
    <s v="LT_A1"/>
    <x v="9"/>
    <x v="15"/>
    <x v="10"/>
    <x v="2"/>
    <n v="275.189400064442"/>
    <n v="16740.688503920199"/>
    <n v="60266.478614112799"/>
  </r>
  <r>
    <x v="0"/>
    <x v="0"/>
    <x v="0"/>
    <x v="4"/>
    <x v="5"/>
    <s v="LT_A1"/>
    <x v="9"/>
    <x v="15"/>
    <x v="10"/>
    <x v="3"/>
    <n v="285.04937160995502"/>
    <n v="17340.5034396056"/>
    <n v="62425.812382580203"/>
  </r>
  <r>
    <x v="0"/>
    <x v="0"/>
    <x v="0"/>
    <x v="4"/>
    <x v="5"/>
    <s v="LT_A1"/>
    <x v="9"/>
    <x v="15"/>
    <x v="10"/>
    <x v="4"/>
    <n v="299.839328928226"/>
    <n v="18240.2258431337"/>
    <n v="65664.813035281404"/>
  </r>
  <r>
    <x v="0"/>
    <x v="0"/>
    <x v="0"/>
    <x v="4"/>
    <x v="5"/>
    <s v="LT_A1"/>
    <x v="9"/>
    <x v="15"/>
    <x v="10"/>
    <x v="5"/>
    <n v="309.69930047373902"/>
    <n v="18840.040778819101"/>
    <n v="67824.146803748794"/>
  </r>
  <r>
    <x v="0"/>
    <x v="0"/>
    <x v="0"/>
    <x v="4"/>
    <x v="5"/>
    <s v="LT_A1"/>
    <x v="9"/>
    <x v="15"/>
    <x v="10"/>
    <x v="6"/>
    <n v="378.80949726380197"/>
    <n v="23044.244416881302"/>
    <n v="82959.279900772701"/>
  </r>
  <r>
    <x v="0"/>
    <x v="0"/>
    <x v="0"/>
    <x v="4"/>
    <x v="5"/>
    <s v="LT_A1"/>
    <x v="9"/>
    <x v="15"/>
    <x v="10"/>
    <x v="7"/>
    <n v="472.569622917652"/>
    <n v="28747.9853941572"/>
    <n v="103492.747418966"/>
  </r>
  <r>
    <x v="0"/>
    <x v="0"/>
    <x v="0"/>
    <x v="4"/>
    <x v="5"/>
    <s v="LT_A1"/>
    <x v="9"/>
    <x v="15"/>
    <x v="10"/>
    <x v="8"/>
    <n v="435.54953163623799"/>
    <n v="26495.929841204499"/>
    <n v="95385.347428336201"/>
  </r>
  <r>
    <x v="0"/>
    <x v="0"/>
    <x v="0"/>
    <x v="4"/>
    <x v="5"/>
    <s v="LT_A1"/>
    <x v="9"/>
    <x v="15"/>
    <x v="10"/>
    <x v="9"/>
    <n v="383.73948303655902"/>
    <n v="23344.151884724"/>
    <n v="84038.946785006396"/>
  </r>
  <r>
    <x v="0"/>
    <x v="0"/>
    <x v="0"/>
    <x v="4"/>
    <x v="5"/>
    <s v="LT_A1"/>
    <x v="9"/>
    <x v="15"/>
    <x v="10"/>
    <x v="10"/>
    <n v="393.59945458207198"/>
    <n v="23943.966820409401"/>
    <n v="86198.2805534738"/>
  </r>
  <r>
    <x v="0"/>
    <x v="0"/>
    <x v="0"/>
    <x v="4"/>
    <x v="5"/>
    <s v="LT_A1"/>
    <x v="9"/>
    <x v="15"/>
    <x v="10"/>
    <x v="11"/>
    <n v="378.80949726380197"/>
    <n v="23044.244416881302"/>
    <n v="82959.279900772701"/>
  </r>
  <r>
    <x v="0"/>
    <x v="0"/>
    <x v="0"/>
    <x v="4"/>
    <x v="5"/>
    <s v="LT_A1"/>
    <x v="9"/>
    <x v="15"/>
    <x v="11"/>
    <x v="4"/>
    <n v="28.206859682513802"/>
    <n v="1715.9172973529301"/>
    <n v="6177.3022704705299"/>
  </r>
  <r>
    <x v="0"/>
    <x v="0"/>
    <x v="0"/>
    <x v="4"/>
    <x v="5"/>
    <s v="LT_A1"/>
    <x v="9"/>
    <x v="15"/>
    <x v="11"/>
    <x v="5"/>
    <n v="207.197759125663"/>
    <n v="12604.5303468112"/>
    <n v="45376.309248520098"/>
  </r>
  <r>
    <x v="0"/>
    <x v="0"/>
    <x v="0"/>
    <x v="4"/>
    <x v="5"/>
    <s v="LT_A1"/>
    <x v="9"/>
    <x v="15"/>
    <x v="11"/>
    <x v="6"/>
    <n v="275.27979603591098"/>
    <n v="16746.1875921846"/>
    <n v="60286.275331864497"/>
  </r>
  <r>
    <x v="0"/>
    <x v="0"/>
    <x v="0"/>
    <x v="4"/>
    <x v="5"/>
    <s v="LT_A1"/>
    <x v="9"/>
    <x v="15"/>
    <x v="11"/>
    <x v="7"/>
    <n v="329.60003550770398"/>
    <n v="20050.668826718698"/>
    <n v="72182.407776187203"/>
  </r>
  <r>
    <x v="0"/>
    <x v="0"/>
    <x v="0"/>
    <x v="4"/>
    <x v="5"/>
    <s v="LT_A1"/>
    <x v="9"/>
    <x v="15"/>
    <x v="11"/>
    <x v="8"/>
    <n v="297.509929999051"/>
    <n v="18098.5207416089"/>
    <n v="65154.674669792097"/>
  </r>
  <r>
    <x v="0"/>
    <x v="0"/>
    <x v="0"/>
    <x v="4"/>
    <x v="5"/>
    <s v="LT_A1"/>
    <x v="9"/>
    <x v="15"/>
    <x v="11"/>
    <x v="9"/>
    <n v="255.559852944884"/>
    <n v="15546.5577208138"/>
    <n v="55967.607794929601"/>
  </r>
  <r>
    <x v="0"/>
    <x v="0"/>
    <x v="0"/>
    <x v="4"/>
    <x v="5"/>
    <s v="LT_A1"/>
    <x v="9"/>
    <x v="15"/>
    <x v="11"/>
    <x v="10"/>
    <n v="250.62986717212701"/>
    <n v="15246.6502529711"/>
    <n v="54887.940910695899"/>
  </r>
  <r>
    <x v="0"/>
    <x v="0"/>
    <x v="0"/>
    <x v="4"/>
    <x v="5"/>
    <s v="LT_A1"/>
    <x v="9"/>
    <x v="15"/>
    <x v="11"/>
    <x v="11"/>
    <n v="245.69988139937001"/>
    <n v="14946.742785128399"/>
    <n v="53808.274026462102"/>
  </r>
  <r>
    <x v="0"/>
    <x v="0"/>
    <x v="0"/>
    <x v="4"/>
    <x v="5"/>
    <s v="LT_A1"/>
    <x v="9"/>
    <x v="18"/>
    <x v="0"/>
    <x v="3"/>
    <n v="84.328327950486496"/>
    <n v="5129.97328365459"/>
    <n v="18467.903821156498"/>
  </r>
  <r>
    <x v="0"/>
    <x v="0"/>
    <x v="0"/>
    <x v="4"/>
    <x v="5"/>
    <s v="LT_A1"/>
    <x v="9"/>
    <x v="18"/>
    <x v="0"/>
    <x v="4"/>
    <n v="192.44174425615299"/>
    <n v="11706.8727755826"/>
    <n v="42144.741992097399"/>
  </r>
  <r>
    <x v="0"/>
    <x v="0"/>
    <x v="0"/>
    <x v="4"/>
    <x v="5"/>
    <s v="LT_A1"/>
    <x v="9"/>
    <x v="18"/>
    <x v="0"/>
    <x v="5"/>
    <n v="168.763333501982"/>
    <n v="10266.4361213706"/>
    <n v="36959.1700369342"/>
  </r>
  <r>
    <x v="0"/>
    <x v="0"/>
    <x v="0"/>
    <x v="4"/>
    <x v="5"/>
    <s v="LT_A1"/>
    <x v="9"/>
    <x v="18"/>
    <x v="0"/>
    <x v="6"/>
    <n v="232.444766005237"/>
    <n v="14140.389931985201"/>
    <n v="50905.403755146799"/>
  </r>
  <r>
    <x v="0"/>
    <x v="0"/>
    <x v="0"/>
    <x v="4"/>
    <x v="5"/>
    <s v="LT_A1"/>
    <x v="9"/>
    <x v="18"/>
    <x v="0"/>
    <x v="7"/>
    <n v="346.895650154387"/>
    <n v="21102.8187177252"/>
    <n v="75970.147383810894"/>
  </r>
  <r>
    <x v="0"/>
    <x v="0"/>
    <x v="0"/>
    <x v="4"/>
    <x v="5"/>
    <s v="LT_A1"/>
    <x v="9"/>
    <x v="18"/>
    <x v="0"/>
    <x v="8"/>
    <n v="344.216502905065"/>
    <n v="20939.837260058099"/>
    <n v="75383.414136209307"/>
  </r>
  <r>
    <x v="0"/>
    <x v="0"/>
    <x v="0"/>
    <x v="4"/>
    <x v="5"/>
    <s v="LT_A1"/>
    <x v="9"/>
    <x v="18"/>
    <x v="0"/>
    <x v="9"/>
    <n v="340.87637531024802"/>
    <n v="20736.646164706799"/>
    <n v="74651.926192944404"/>
  </r>
  <r>
    <x v="0"/>
    <x v="0"/>
    <x v="0"/>
    <x v="4"/>
    <x v="5"/>
    <s v="LT_A1"/>
    <x v="9"/>
    <x v="18"/>
    <x v="0"/>
    <x v="10"/>
    <n v="272.88106803899802"/>
    <n v="16600.264972372399"/>
    <n v="59760.953900540597"/>
  </r>
  <r>
    <x v="0"/>
    <x v="0"/>
    <x v="0"/>
    <x v="4"/>
    <x v="5"/>
    <s v="LT_A1"/>
    <x v="9"/>
    <x v="18"/>
    <x v="2"/>
    <x v="0"/>
    <n v="558.70877998368906"/>
    <n v="33988.117449007797"/>
    <n v="122357.22281642799"/>
  </r>
  <r>
    <x v="0"/>
    <x v="0"/>
    <x v="0"/>
    <x v="4"/>
    <x v="5"/>
    <s v="LT_A1"/>
    <x v="9"/>
    <x v="18"/>
    <x v="2"/>
    <x v="1"/>
    <n v="536.47864602054995"/>
    <n v="32635.784299583502"/>
    <n v="117488.82347849999"/>
  </r>
  <r>
    <x v="0"/>
    <x v="0"/>
    <x v="0"/>
    <x v="4"/>
    <x v="5"/>
    <s v="LT_A1"/>
    <x v="9"/>
    <x v="18"/>
    <x v="2"/>
    <x v="2"/>
    <n v="570.98854642984702"/>
    <n v="34735.1365744824"/>
    <n v="125046.49166813699"/>
  </r>
  <r>
    <x v="0"/>
    <x v="0"/>
    <x v="0"/>
    <x v="4"/>
    <x v="5"/>
    <s v="LT_A1"/>
    <x v="9"/>
    <x v="18"/>
    <x v="2"/>
    <x v="3"/>
    <n v="317.956550640312"/>
    <n v="19342.356830618999"/>
    <n v="69632.484590228298"/>
  </r>
  <r>
    <x v="0"/>
    <x v="0"/>
    <x v="0"/>
    <x v="4"/>
    <x v="5"/>
    <s v="LT_A1"/>
    <x v="9"/>
    <x v="18"/>
    <x v="2"/>
    <x v="4"/>
    <n v="132.829278005486"/>
    <n v="8080.4477453337104"/>
    <n v="29089.6118832014"/>
  </r>
  <r>
    <x v="0"/>
    <x v="0"/>
    <x v="0"/>
    <x v="4"/>
    <x v="5"/>
    <s v="LT_A1"/>
    <x v="9"/>
    <x v="18"/>
    <x v="3"/>
    <x v="0"/>
    <n v="520.15692054631904"/>
    <n v="31642.879333234399"/>
    <n v="113914.36559964401"/>
  </r>
  <r>
    <x v="0"/>
    <x v="0"/>
    <x v="0"/>
    <x v="4"/>
    <x v="5"/>
    <s v="LT_A1"/>
    <x v="9"/>
    <x v="18"/>
    <x v="3"/>
    <x v="1"/>
    <n v="674.51824765773802"/>
    <n v="41033.193399179101"/>
    <n v="147719.49623704501"/>
  </r>
  <r>
    <x v="0"/>
    <x v="0"/>
    <x v="0"/>
    <x v="4"/>
    <x v="5"/>
    <s v="LT_A1"/>
    <x v="9"/>
    <x v="18"/>
    <x v="3"/>
    <x v="2"/>
    <n v="674.51824765773802"/>
    <n v="41033.193399179101"/>
    <n v="147719.49623704501"/>
  </r>
  <r>
    <x v="0"/>
    <x v="0"/>
    <x v="0"/>
    <x v="4"/>
    <x v="5"/>
    <s v="LT_A1"/>
    <x v="9"/>
    <x v="18"/>
    <x v="3"/>
    <x v="3"/>
    <n v="640.00834724844105"/>
    <n v="38933.841124280203"/>
    <n v="140161.82804740901"/>
  </r>
  <r>
    <x v="0"/>
    <x v="0"/>
    <x v="0"/>
    <x v="4"/>
    <x v="5"/>
    <s v="LT_A1"/>
    <x v="9"/>
    <x v="18"/>
    <x v="4"/>
    <x v="0"/>
    <n v="858.084571634437"/>
    <n v="52200.144774428198"/>
    <n v="187920.52118794201"/>
  </r>
  <r>
    <x v="0"/>
    <x v="0"/>
    <x v="0"/>
    <x v="4"/>
    <x v="5"/>
    <s v="LT_A1"/>
    <x v="9"/>
    <x v="18"/>
    <x v="4"/>
    <x v="1"/>
    <n v="999.05481722262903"/>
    <n v="60775.8347143766"/>
    <n v="218793.00497175599"/>
  </r>
  <r>
    <x v="0"/>
    <x v="0"/>
    <x v="0"/>
    <x v="4"/>
    <x v="5"/>
    <s v="LT_A1"/>
    <x v="9"/>
    <x v="18"/>
    <x v="4"/>
    <x v="2"/>
    <n v="737.85038769572805"/>
    <n v="44885.898584823502"/>
    <n v="161589.23490536501"/>
  </r>
  <r>
    <x v="0"/>
    <x v="0"/>
    <x v="0"/>
    <x v="4"/>
    <x v="5"/>
    <s v="LT_A1"/>
    <x v="9"/>
    <x v="18"/>
    <x v="4"/>
    <x v="3"/>
    <n v="607.226979881175"/>
    <n v="36939.641276104798"/>
    <n v="132982.708593977"/>
  </r>
  <r>
    <x v="0"/>
    <x v="0"/>
    <x v="0"/>
    <x v="4"/>
    <x v="5"/>
    <s v="LT_A1"/>
    <x v="9"/>
    <x v="18"/>
    <x v="4"/>
    <x v="4"/>
    <n v="577.90289887048095"/>
    <n v="35155.7596812876"/>
    <n v="126560.734852635"/>
  </r>
  <r>
    <x v="0"/>
    <x v="0"/>
    <x v="0"/>
    <x v="4"/>
    <x v="5"/>
    <s v="LT_A1"/>
    <x v="9"/>
    <x v="18"/>
    <x v="4"/>
    <x v="5"/>
    <n v="441.340212574166"/>
    <n v="26848.1962649284"/>
    <n v="96653.506553742307"/>
  </r>
  <r>
    <x v="0"/>
    <x v="0"/>
    <x v="0"/>
    <x v="4"/>
    <x v="5"/>
    <s v="LT_A1"/>
    <x v="9"/>
    <x v="18"/>
    <x v="4"/>
    <x v="6"/>
    <n v="520.31038090974096"/>
    <n v="31652.2148386759"/>
    <n v="113947.97341923301"/>
  </r>
  <r>
    <x v="0"/>
    <x v="0"/>
    <x v="0"/>
    <x v="4"/>
    <x v="5"/>
    <s v="LT_A1"/>
    <x v="9"/>
    <x v="18"/>
    <x v="4"/>
    <x v="7"/>
    <n v="520.40077688121301"/>
    <n v="31657.713926940502"/>
    <n v="113967.770136986"/>
  </r>
  <r>
    <x v="0"/>
    <x v="0"/>
    <x v="0"/>
    <x v="4"/>
    <x v="5"/>
    <s v="LT_A1"/>
    <x v="9"/>
    <x v="18"/>
    <x v="4"/>
    <x v="8"/>
    <n v="547.470500645637"/>
    <n v="33304.455455942902"/>
    <n v="119896.03964139499"/>
  </r>
  <r>
    <x v="0"/>
    <x v="0"/>
    <x v="0"/>
    <x v="4"/>
    <x v="5"/>
    <s v="LT_A1"/>
    <x v="9"/>
    <x v="18"/>
    <x v="4"/>
    <x v="9"/>
    <n v="471.01052318217398"/>
    <n v="28653.140160248899"/>
    <n v="103151.304576896"/>
  </r>
  <r>
    <x v="0"/>
    <x v="0"/>
    <x v="0"/>
    <x v="4"/>
    <x v="5"/>
    <s v="LT_A1"/>
    <x v="9"/>
    <x v="18"/>
    <x v="4"/>
    <x v="10"/>
    <n v="273.81109227190501"/>
    <n v="16656.841446540901"/>
    <n v="59964.629207547099"/>
  </r>
  <r>
    <x v="0"/>
    <x v="0"/>
    <x v="0"/>
    <x v="4"/>
    <x v="5"/>
    <s v="LT_A1"/>
    <x v="9"/>
    <x v="18"/>
    <x v="4"/>
    <x v="11"/>
    <n v="32.241789406824601"/>
    <n v="1961.3755222484999"/>
    <n v="7060.9518800945998"/>
  </r>
  <r>
    <x v="0"/>
    <x v="0"/>
    <x v="0"/>
    <x v="4"/>
    <x v="5"/>
    <s v="LT_A1"/>
    <x v="9"/>
    <x v="18"/>
    <x v="5"/>
    <x v="0"/>
    <n v="1180"/>
    <n v="71783.333333333299"/>
    <n v="258420"/>
  </r>
  <r>
    <x v="0"/>
    <x v="0"/>
    <x v="0"/>
    <x v="4"/>
    <x v="5"/>
    <s v="LT_A1"/>
    <x v="9"/>
    <x v="18"/>
    <x v="5"/>
    <x v="1"/>
    <n v="1180"/>
    <n v="71783.333333333299"/>
    <n v="258420"/>
  </r>
  <r>
    <x v="0"/>
    <x v="0"/>
    <x v="0"/>
    <x v="4"/>
    <x v="5"/>
    <s v="LT_A1"/>
    <x v="9"/>
    <x v="18"/>
    <x v="5"/>
    <x v="2"/>
    <n v="1180"/>
    <n v="71783.333333333299"/>
    <n v="258420"/>
  </r>
  <r>
    <x v="0"/>
    <x v="0"/>
    <x v="0"/>
    <x v="4"/>
    <x v="5"/>
    <s v="LT_A1"/>
    <x v="9"/>
    <x v="18"/>
    <x v="5"/>
    <x v="3"/>
    <n v="1134.96081619355"/>
    <n v="69043.449651774295"/>
    <n v="248556.418746387"/>
  </r>
  <r>
    <x v="0"/>
    <x v="0"/>
    <x v="0"/>
    <x v="4"/>
    <x v="5"/>
    <s v="LT_A1"/>
    <x v="9"/>
    <x v="18"/>
    <x v="5"/>
    <x v="4"/>
    <n v="801.617784600287"/>
    <n v="48765.081896517499"/>
    <n v="175554.29482746299"/>
  </r>
  <r>
    <x v="0"/>
    <x v="0"/>
    <x v="0"/>
    <x v="4"/>
    <x v="5"/>
    <s v="LT_A1"/>
    <x v="9"/>
    <x v="18"/>
    <x v="5"/>
    <x v="5"/>
    <n v="589.23978575686795"/>
    <n v="35845.420300209502"/>
    <n v="129043.513080754"/>
  </r>
  <r>
    <x v="0"/>
    <x v="0"/>
    <x v="0"/>
    <x v="4"/>
    <x v="5"/>
    <s v="LT_A1"/>
    <x v="9"/>
    <x v="18"/>
    <x v="5"/>
    <x v="6"/>
    <n v="638.63003945590299"/>
    <n v="38849.994066900697"/>
    <n v="139859.97864084301"/>
  </r>
  <r>
    <x v="0"/>
    <x v="0"/>
    <x v="0"/>
    <x v="4"/>
    <x v="5"/>
    <s v="LT_A1"/>
    <x v="9"/>
    <x v="18"/>
    <x v="5"/>
    <x v="7"/>
    <n v="707.74023624596896"/>
    <n v="43054.197704963102"/>
    <n v="154995.111737867"/>
  </r>
  <r>
    <x v="0"/>
    <x v="0"/>
    <x v="0"/>
    <x v="4"/>
    <x v="5"/>
    <s v="LT_A1"/>
    <x v="9"/>
    <x v="18"/>
    <x v="5"/>
    <x v="8"/>
    <n v="744.66993155591103"/>
    <n v="45300.754169651198"/>
    <n v="163082.715010744"/>
  </r>
  <r>
    <x v="0"/>
    <x v="0"/>
    <x v="0"/>
    <x v="4"/>
    <x v="5"/>
    <s v="LT_A1"/>
    <x v="9"/>
    <x v="18"/>
    <x v="5"/>
    <x v="9"/>
    <n v="722.43979759276704"/>
    <n v="43948.421020226699"/>
    <n v="158214.31567281601"/>
  </r>
  <r>
    <x v="0"/>
    <x v="0"/>
    <x v="0"/>
    <x v="4"/>
    <x v="5"/>
    <s v="LT_A1"/>
    <x v="9"/>
    <x v="18"/>
    <x v="5"/>
    <x v="10"/>
    <n v="599.19015327384898"/>
    <n v="36450.734324159101"/>
    <n v="131222.64356697301"/>
  </r>
  <r>
    <x v="0"/>
    <x v="0"/>
    <x v="0"/>
    <x v="4"/>
    <x v="5"/>
    <s v="LT_A1"/>
    <x v="9"/>
    <x v="18"/>
    <x v="5"/>
    <x v="11"/>
    <n v="525.24036668249801"/>
    <n v="31952.122306518599"/>
    <n v="115027.64030346699"/>
  </r>
  <r>
    <x v="0"/>
    <x v="0"/>
    <x v="0"/>
    <x v="4"/>
    <x v="5"/>
    <s v="LT_A1"/>
    <x v="9"/>
    <x v="18"/>
    <x v="6"/>
    <x v="0"/>
    <n v="1101.56788116084"/>
    <n v="67012.046103951099"/>
    <n v="241243.365974224"/>
  </r>
  <r>
    <x v="0"/>
    <x v="0"/>
    <x v="0"/>
    <x v="4"/>
    <x v="5"/>
    <s v="LT_A1"/>
    <x v="9"/>
    <x v="18"/>
    <x v="6"/>
    <x v="1"/>
    <n v="1180"/>
    <n v="71783.333333333299"/>
    <n v="258420"/>
  </r>
  <r>
    <x v="0"/>
    <x v="0"/>
    <x v="0"/>
    <x v="4"/>
    <x v="5"/>
    <s v="LT_A1"/>
    <x v="9"/>
    <x v="18"/>
    <x v="6"/>
    <x v="2"/>
    <n v="1180"/>
    <n v="71783.333333333299"/>
    <n v="258420"/>
  </r>
  <r>
    <x v="0"/>
    <x v="0"/>
    <x v="0"/>
    <x v="4"/>
    <x v="5"/>
    <s v="LT_A1"/>
    <x v="9"/>
    <x v="18"/>
    <x v="6"/>
    <x v="3"/>
    <n v="720.43461793661197"/>
    <n v="43826.439257810503"/>
    <n v="157775.18132811799"/>
  </r>
  <r>
    <x v="0"/>
    <x v="0"/>
    <x v="0"/>
    <x v="4"/>
    <x v="5"/>
    <s v="LT_A1"/>
    <x v="9"/>
    <x v="18"/>
    <x v="6"/>
    <x v="4"/>
    <n v="589.23978575686795"/>
    <n v="35845.420300209502"/>
    <n v="129043.513080754"/>
  </r>
  <r>
    <x v="0"/>
    <x v="0"/>
    <x v="0"/>
    <x v="4"/>
    <x v="5"/>
    <s v="LT_A1"/>
    <x v="9"/>
    <x v="18"/>
    <x v="6"/>
    <x v="5"/>
    <n v="604.02974307513796"/>
    <n v="36745.142703737598"/>
    <n v="132282.51373345501"/>
  </r>
  <r>
    <x v="0"/>
    <x v="0"/>
    <x v="0"/>
    <x v="4"/>
    <x v="5"/>
    <s v="LT_A1"/>
    <x v="9"/>
    <x v="18"/>
    <x v="6"/>
    <x v="6"/>
    <n v="692.85988295622701"/>
    <n v="42148.976213170499"/>
    <n v="151736.31436741399"/>
  </r>
  <r>
    <x v="0"/>
    <x v="0"/>
    <x v="0"/>
    <x v="4"/>
    <x v="5"/>
    <s v="LT_A1"/>
    <x v="9"/>
    <x v="18"/>
    <x v="6"/>
    <x v="7"/>
    <n v="727.46017933699602"/>
    <n v="44253.827576333897"/>
    <n v="159313.77927480199"/>
  </r>
  <r>
    <x v="0"/>
    <x v="0"/>
    <x v="0"/>
    <x v="4"/>
    <x v="5"/>
    <s v="LT_A1"/>
    <x v="9"/>
    <x v="18"/>
    <x v="6"/>
    <x v="8"/>
    <n v="710.16003114661305"/>
    <n v="43201.4018947523"/>
    <n v="155525.046821108"/>
  </r>
  <r>
    <x v="0"/>
    <x v="0"/>
    <x v="0"/>
    <x v="4"/>
    <x v="5"/>
    <s v="LT_A1"/>
    <x v="9"/>
    <x v="18"/>
    <x v="6"/>
    <x v="9"/>
    <n v="544.96030977352495"/>
    <n v="33151.752177889401"/>
    <n v="119346.30784040201"/>
  </r>
  <r>
    <x v="0"/>
    <x v="0"/>
    <x v="0"/>
    <x v="4"/>
    <x v="5"/>
    <s v="LT_A1"/>
    <x v="9"/>
    <x v="18"/>
    <x v="6"/>
    <x v="10"/>
    <n v="254.09114918087701"/>
    <n v="15457.21157517"/>
    <n v="55645.961670612203"/>
  </r>
  <r>
    <x v="0"/>
    <x v="0"/>
    <x v="0"/>
    <x v="4"/>
    <x v="5"/>
    <s v="LT_A1"/>
    <x v="9"/>
    <x v="18"/>
    <x v="6"/>
    <x v="11"/>
    <n v="106.19157599817601"/>
    <n v="6459.9875398890199"/>
    <n v="23255.955143600499"/>
  </r>
  <r>
    <x v="0"/>
    <x v="0"/>
    <x v="0"/>
    <x v="4"/>
    <x v="5"/>
    <s v="LT_A1"/>
    <x v="9"/>
    <x v="18"/>
    <x v="7"/>
    <x v="0"/>
    <n v="430.54379546545198"/>
    <n v="26191.414224148299"/>
    <n v="94289.091206933997"/>
  </r>
  <r>
    <x v="0"/>
    <x v="0"/>
    <x v="0"/>
    <x v="4"/>
    <x v="5"/>
    <s v="LT_A1"/>
    <x v="9"/>
    <x v="18"/>
    <x v="7"/>
    <x v="1"/>
    <n v="473.64141686783398"/>
    <n v="28813.1861927932"/>
    <n v="103727.47029405599"/>
  </r>
  <r>
    <x v="0"/>
    <x v="0"/>
    <x v="0"/>
    <x v="4"/>
    <x v="5"/>
    <s v="LT_A1"/>
    <x v="9"/>
    <x v="18"/>
    <x v="7"/>
    <x v="2"/>
    <n v="381.28812089786101"/>
    <n v="23195.027354619899"/>
    <n v="83502.098476631596"/>
  </r>
  <r>
    <x v="0"/>
    <x v="0"/>
    <x v="0"/>
    <x v="4"/>
    <x v="5"/>
    <s v="LT_A1"/>
    <x v="9"/>
    <x v="18"/>
    <x v="7"/>
    <x v="3"/>
    <n v="91.059735424929499"/>
    <n v="5539.4672383498801"/>
    <n v="19942.082058059601"/>
  </r>
  <r>
    <x v="0"/>
    <x v="0"/>
    <x v="0"/>
    <x v="4"/>
    <x v="5"/>
    <s v="LT_A1"/>
    <x v="9"/>
    <x v="18"/>
    <x v="10"/>
    <x v="0"/>
    <n v="297.41953402758202"/>
    <n v="18093.0216533446"/>
    <n v="65134.877952040399"/>
  </r>
  <r>
    <x v="0"/>
    <x v="0"/>
    <x v="0"/>
    <x v="4"/>
    <x v="5"/>
    <s v="LT_A1"/>
    <x v="9"/>
    <x v="18"/>
    <x v="10"/>
    <x v="1"/>
    <n v="275.189400064442"/>
    <n v="16740.688503920199"/>
    <n v="60266.478614112799"/>
  </r>
  <r>
    <x v="0"/>
    <x v="0"/>
    <x v="0"/>
    <x v="4"/>
    <x v="5"/>
    <s v="LT_A1"/>
    <x v="9"/>
    <x v="18"/>
    <x v="11"/>
    <x v="0"/>
    <n v="203.74980434520299"/>
    <n v="12394.7797643332"/>
    <n v="44621.207151599599"/>
  </r>
  <r>
    <x v="0"/>
    <x v="0"/>
    <x v="0"/>
    <x v="4"/>
    <x v="5"/>
    <s v="LT_A1"/>
    <x v="9"/>
    <x v="18"/>
    <x v="11"/>
    <x v="1"/>
    <n v="181.51967038206399"/>
    <n v="11042.4466149089"/>
    <n v="39752.807813671898"/>
  </r>
  <r>
    <x v="0"/>
    <x v="0"/>
    <x v="0"/>
    <x v="4"/>
    <x v="5"/>
    <s v="LT_A1"/>
    <x v="9"/>
    <x v="18"/>
    <x v="11"/>
    <x v="2"/>
    <n v="181.51967038206399"/>
    <n v="11042.4466149089"/>
    <n v="39752.807813671898"/>
  </r>
  <r>
    <x v="0"/>
    <x v="0"/>
    <x v="0"/>
    <x v="4"/>
    <x v="5"/>
    <s v="LT_A1"/>
    <x v="9"/>
    <x v="18"/>
    <x v="11"/>
    <x v="3"/>
    <n v="191.37964192757701"/>
    <n v="11642.261550594299"/>
    <n v="41912.141582139397"/>
  </r>
  <r>
    <x v="0"/>
    <x v="0"/>
    <x v="0"/>
    <x v="4"/>
    <x v="5"/>
    <s v="LT_A1"/>
    <x v="9"/>
    <x v="18"/>
    <x v="11"/>
    <x v="4"/>
    <n v="173.032753790577"/>
    <n v="10526.1591889267"/>
    <n v="37894.173080136301"/>
  </r>
  <r>
    <x v="0"/>
    <x v="0"/>
    <x v="0"/>
    <x v="4"/>
    <x v="5"/>
    <s v="LT_A1"/>
    <x v="9"/>
    <x v="18"/>
    <x v="11"/>
    <x v="5"/>
    <n v="3.90182589294113"/>
    <n v="237.36107515391899"/>
    <n v="854.49987055410804"/>
  </r>
  <r>
    <x v="0"/>
    <x v="0"/>
    <x v="0"/>
    <x v="5"/>
    <x v="6"/>
    <s v="NeA"/>
    <x v="0"/>
    <x v="0"/>
    <x v="0"/>
    <x v="0"/>
    <n v="98.012200288646"/>
    <n v="5962.4088508926297"/>
    <n v="21464.671863213502"/>
  </r>
  <r>
    <x v="0"/>
    <x v="0"/>
    <x v="0"/>
    <x v="5"/>
    <x v="6"/>
    <s v="NeA"/>
    <x v="0"/>
    <x v="0"/>
    <x v="0"/>
    <x v="1"/>
    <n v="97.960533340681394"/>
    <n v="5959.2657782247898"/>
    <n v="21453.356801609199"/>
  </r>
  <r>
    <x v="0"/>
    <x v="0"/>
    <x v="0"/>
    <x v="5"/>
    <x v="6"/>
    <s v="NeA"/>
    <x v="0"/>
    <x v="0"/>
    <x v="0"/>
    <x v="2"/>
    <n v="98.012200288646"/>
    <n v="5962.4088508926297"/>
    <n v="21464.671863213502"/>
  </r>
  <r>
    <x v="0"/>
    <x v="0"/>
    <x v="0"/>
    <x v="5"/>
    <x v="6"/>
    <s v="NeA"/>
    <x v="0"/>
    <x v="0"/>
    <x v="0"/>
    <x v="3"/>
    <n v="98.063867236610307"/>
    <n v="5965.5519235604597"/>
    <n v="21475.986924817698"/>
  </r>
  <r>
    <x v="0"/>
    <x v="0"/>
    <x v="0"/>
    <x v="5"/>
    <x v="6"/>
    <s v="NeA"/>
    <x v="0"/>
    <x v="0"/>
    <x v="0"/>
    <x v="4"/>
    <n v="98.063867236610307"/>
    <n v="5965.5519235604597"/>
    <n v="21475.986924817698"/>
  </r>
  <r>
    <x v="0"/>
    <x v="0"/>
    <x v="0"/>
    <x v="5"/>
    <x v="6"/>
    <s v="NeA"/>
    <x v="0"/>
    <x v="0"/>
    <x v="0"/>
    <x v="5"/>
    <n v="97.960533340681394"/>
    <n v="5959.2657782247898"/>
    <n v="21453.356801609199"/>
  </r>
  <r>
    <x v="0"/>
    <x v="0"/>
    <x v="0"/>
    <x v="5"/>
    <x v="6"/>
    <s v="NeA"/>
    <x v="0"/>
    <x v="0"/>
    <x v="0"/>
    <x v="6"/>
    <n v="97.753865548823597"/>
    <n v="5946.6934875534398"/>
    <n v="21408.096555192398"/>
  </r>
  <r>
    <x v="0"/>
    <x v="0"/>
    <x v="0"/>
    <x v="5"/>
    <x v="6"/>
    <s v="NeA"/>
    <x v="0"/>
    <x v="0"/>
    <x v="0"/>
    <x v="7"/>
    <n v="97.598864704929994"/>
    <n v="5937.2642695499098"/>
    <n v="21374.151370379699"/>
  </r>
  <r>
    <x v="0"/>
    <x v="0"/>
    <x v="0"/>
    <x v="5"/>
    <x v="6"/>
    <s v="NeA"/>
    <x v="0"/>
    <x v="0"/>
    <x v="0"/>
    <x v="8"/>
    <n v="98.115534184574898"/>
    <n v="5968.6949962283097"/>
    <n v="21487.301986421899"/>
  </r>
  <r>
    <x v="0"/>
    <x v="0"/>
    <x v="0"/>
    <x v="5"/>
    <x v="6"/>
    <s v="NeA"/>
    <x v="0"/>
    <x v="0"/>
    <x v="0"/>
    <x v="9"/>
    <n v="98.838871456077996"/>
    <n v="6012.6980135780796"/>
    <n v="21645.712848881099"/>
  </r>
  <r>
    <x v="0"/>
    <x v="0"/>
    <x v="0"/>
    <x v="5"/>
    <x v="6"/>
    <s v="NeA"/>
    <x v="0"/>
    <x v="0"/>
    <x v="0"/>
    <x v="10"/>
    <n v="99.872210415367704"/>
    <n v="6075.5594669348702"/>
    <n v="21872.014080965499"/>
  </r>
  <r>
    <x v="0"/>
    <x v="0"/>
    <x v="0"/>
    <x v="5"/>
    <x v="6"/>
    <s v="NeA"/>
    <x v="0"/>
    <x v="0"/>
    <x v="0"/>
    <x v="11"/>
    <n v="101.112217166516"/>
    <n v="6150.9932109630299"/>
    <n v="22143.575559466899"/>
  </r>
  <r>
    <x v="0"/>
    <x v="0"/>
    <x v="0"/>
    <x v="5"/>
    <x v="6"/>
    <s v="NeA"/>
    <x v="0"/>
    <x v="0"/>
    <x v="1"/>
    <x v="0"/>
    <n v="130.200708870526"/>
    <n v="7920.5431229570004"/>
    <n v="28513.955242645199"/>
  </r>
  <r>
    <x v="0"/>
    <x v="0"/>
    <x v="0"/>
    <x v="5"/>
    <x v="6"/>
    <s v="NeA"/>
    <x v="0"/>
    <x v="0"/>
    <x v="1"/>
    <x v="1"/>
    <n v="131.02738003795801"/>
    <n v="7970.8322856424402"/>
    <n v="28694.996228312801"/>
  </r>
  <r>
    <x v="0"/>
    <x v="0"/>
    <x v="0"/>
    <x v="5"/>
    <x v="6"/>
    <s v="NeA"/>
    <x v="0"/>
    <x v="0"/>
    <x v="1"/>
    <x v="2"/>
    <n v="131.28571477777999"/>
    <n v="7986.5476489816401"/>
    <n v="28751.5715363339"/>
  </r>
  <r>
    <x v="0"/>
    <x v="0"/>
    <x v="0"/>
    <x v="5"/>
    <x v="6"/>
    <s v="NeA"/>
    <x v="0"/>
    <x v="0"/>
    <x v="1"/>
    <x v="3"/>
    <n v="130.51071055831301"/>
    <n v="7939.4015589640503"/>
    <n v="28581.845612270601"/>
  </r>
  <r>
    <x v="0"/>
    <x v="0"/>
    <x v="0"/>
    <x v="5"/>
    <x v="6"/>
    <s v="NeA"/>
    <x v="0"/>
    <x v="0"/>
    <x v="1"/>
    <x v="4"/>
    <n v="128.80570127548501"/>
    <n v="7835.6801609253098"/>
    <n v="28208.4485793311"/>
  </r>
  <r>
    <x v="0"/>
    <x v="0"/>
    <x v="0"/>
    <x v="5"/>
    <x v="6"/>
    <s v="NeA"/>
    <x v="0"/>
    <x v="0"/>
    <x v="1"/>
    <x v="5"/>
    <n v="126.325687773189"/>
    <n v="7684.8126728689804"/>
    <n v="27665.325622328299"/>
  </r>
  <r>
    <x v="0"/>
    <x v="0"/>
    <x v="0"/>
    <x v="5"/>
    <x v="6"/>
    <s v="NeA"/>
    <x v="0"/>
    <x v="0"/>
    <x v="1"/>
    <x v="6"/>
    <n v="123.174003947355"/>
    <n v="7493.0852401307602"/>
    <n v="26975.106864470701"/>
  </r>
  <r>
    <x v="0"/>
    <x v="0"/>
    <x v="0"/>
    <x v="5"/>
    <x v="6"/>
    <s v="NeA"/>
    <x v="0"/>
    <x v="0"/>
    <x v="1"/>
    <x v="7"/>
    <n v="119.29898285001801"/>
    <n v="7257.3547900427402"/>
    <n v="26126.477244153899"/>
  </r>
  <r>
    <x v="0"/>
    <x v="0"/>
    <x v="0"/>
    <x v="5"/>
    <x v="6"/>
    <s v="NeA"/>
    <x v="0"/>
    <x v="0"/>
    <x v="1"/>
    <x v="8"/>
    <n v="115.940631232326"/>
    <n v="7053.0550666331401"/>
    <n v="25390.9982398793"/>
  </r>
  <r>
    <x v="0"/>
    <x v="0"/>
    <x v="0"/>
    <x v="5"/>
    <x v="6"/>
    <s v="NeA"/>
    <x v="0"/>
    <x v="0"/>
    <x v="1"/>
    <x v="9"/>
    <n v="112.89228130242"/>
    <n v="6867.6137792305699"/>
    <n v="24723.409605230001"/>
  </r>
  <r>
    <x v="0"/>
    <x v="0"/>
    <x v="0"/>
    <x v="5"/>
    <x v="6"/>
    <s v="NeA"/>
    <x v="0"/>
    <x v="0"/>
    <x v="1"/>
    <x v="10"/>
    <n v="110.15393306030199"/>
    <n v="6701.0309278350396"/>
    <n v="24123.7113402061"/>
  </r>
  <r>
    <x v="0"/>
    <x v="0"/>
    <x v="0"/>
    <x v="5"/>
    <x v="6"/>
    <s v="NeA"/>
    <x v="0"/>
    <x v="0"/>
    <x v="1"/>
    <x v="11"/>
    <n v="107.880587349864"/>
    <n v="6562.7357304500802"/>
    <n v="23625.848629620301"/>
  </r>
  <r>
    <x v="0"/>
    <x v="0"/>
    <x v="0"/>
    <x v="5"/>
    <x v="6"/>
    <s v="NeA"/>
    <x v="0"/>
    <x v="0"/>
    <x v="2"/>
    <x v="0"/>
    <n v="103.79889846066899"/>
    <n v="6314.4329896907102"/>
    <n v="22731.958762886599"/>
  </r>
  <r>
    <x v="0"/>
    <x v="0"/>
    <x v="0"/>
    <x v="5"/>
    <x v="6"/>
    <s v="NeA"/>
    <x v="0"/>
    <x v="0"/>
    <x v="2"/>
    <x v="1"/>
    <n v="103.90223235659801"/>
    <n v="6320.7191350263902"/>
    <n v="22754.588886095"/>
  </r>
  <r>
    <x v="0"/>
    <x v="0"/>
    <x v="0"/>
    <x v="5"/>
    <x v="6"/>
    <s v="NeA"/>
    <x v="0"/>
    <x v="0"/>
    <x v="2"/>
    <x v="2"/>
    <n v="104.005566252527"/>
    <n v="6327.0052803620802"/>
    <n v="22777.219009303499"/>
  </r>
  <r>
    <x v="0"/>
    <x v="0"/>
    <x v="0"/>
    <x v="5"/>
    <x v="6"/>
    <s v="NeA"/>
    <x v="0"/>
    <x v="0"/>
    <x v="2"/>
    <x v="3"/>
    <n v="104.26390099235"/>
    <n v="6342.7206437012801"/>
    <n v="22833.794317324599"/>
  </r>
  <r>
    <x v="0"/>
    <x v="0"/>
    <x v="0"/>
    <x v="5"/>
    <x v="6"/>
    <s v="NeA"/>
    <x v="0"/>
    <x v="0"/>
    <x v="2"/>
    <x v="4"/>
    <n v="104.573902680137"/>
    <n v="6361.57907970831"/>
    <n v="22901.684686949899"/>
  </r>
  <r>
    <x v="0"/>
    <x v="0"/>
    <x v="0"/>
    <x v="5"/>
    <x v="6"/>
    <s v="NeA"/>
    <x v="0"/>
    <x v="0"/>
    <x v="2"/>
    <x v="5"/>
    <n v="104.935571315888"/>
    <n v="6383.5805883831999"/>
    <n v="22980.890118179501"/>
  </r>
  <r>
    <x v="0"/>
    <x v="0"/>
    <x v="0"/>
    <x v="5"/>
    <x v="6"/>
    <s v="NeA"/>
    <x v="0"/>
    <x v="0"/>
    <x v="2"/>
    <x v="6"/>
    <n v="105.452240795533"/>
    <n v="6415.0113150615998"/>
    <n v="23094.040734221799"/>
  </r>
  <r>
    <x v="0"/>
    <x v="0"/>
    <x v="0"/>
    <x v="5"/>
    <x v="6"/>
    <s v="NeA"/>
    <x v="0"/>
    <x v="0"/>
    <x v="2"/>
    <x v="7"/>
    <n v="105.86557637924901"/>
    <n v="6440.1558964043197"/>
    <n v="23184.561227055601"/>
  </r>
  <r>
    <x v="0"/>
    <x v="0"/>
    <x v="0"/>
    <x v="5"/>
    <x v="6"/>
    <s v="NeA"/>
    <x v="0"/>
    <x v="0"/>
    <x v="2"/>
    <x v="8"/>
    <n v="106.22724501499999"/>
    <n v="6462.1574050791996"/>
    <n v="23263.766658285102"/>
  </r>
  <r>
    <x v="0"/>
    <x v="0"/>
    <x v="0"/>
    <x v="5"/>
    <x v="6"/>
    <s v="NeA"/>
    <x v="0"/>
    <x v="0"/>
    <x v="2"/>
    <x v="9"/>
    <n v="106.692247546681"/>
    <n v="6490.4450590897704"/>
    <n v="23365.602212723199"/>
  </r>
  <r>
    <x v="0"/>
    <x v="0"/>
    <x v="0"/>
    <x v="5"/>
    <x v="6"/>
    <s v="NeA"/>
    <x v="0"/>
    <x v="0"/>
    <x v="2"/>
    <x v="10"/>
    <n v="106.898915338539"/>
    <n v="6503.0173497611204"/>
    <n v="23410.86245914"/>
  </r>
  <r>
    <x v="0"/>
    <x v="0"/>
    <x v="0"/>
    <x v="5"/>
    <x v="6"/>
    <s v="NeA"/>
    <x v="0"/>
    <x v="0"/>
    <x v="2"/>
    <x v="11"/>
    <n v="106.588913650752"/>
    <n v="6484.1589137540896"/>
    <n v="23342.9720895147"/>
  </r>
  <r>
    <x v="0"/>
    <x v="0"/>
    <x v="0"/>
    <x v="5"/>
    <x v="6"/>
    <s v="NeA"/>
    <x v="0"/>
    <x v="0"/>
    <x v="3"/>
    <x v="0"/>
    <n v="107.002249234468"/>
    <n v="6509.3034950968104"/>
    <n v="23433.492582348499"/>
  </r>
  <r>
    <x v="0"/>
    <x v="0"/>
    <x v="0"/>
    <x v="5"/>
    <x v="6"/>
    <s v="NeA"/>
    <x v="0"/>
    <x v="0"/>
    <x v="3"/>
    <x v="1"/>
    <n v="108.655591569332"/>
    <n v="6609.88182046768"/>
    <n v="23795.5745536836"/>
  </r>
  <r>
    <x v="0"/>
    <x v="0"/>
    <x v="0"/>
    <x v="5"/>
    <x v="6"/>
    <s v="NeA"/>
    <x v="0"/>
    <x v="0"/>
    <x v="3"/>
    <x v="2"/>
    <n v="109.99893221640799"/>
    <n v="6691.6017098315197"/>
    <n v="24089.7661553935"/>
  </r>
  <r>
    <x v="0"/>
    <x v="0"/>
    <x v="0"/>
    <x v="5"/>
    <x v="6"/>
    <s v="NeA"/>
    <x v="0"/>
    <x v="0"/>
    <x v="3"/>
    <x v="3"/>
    <n v="111.135605071627"/>
    <n v="6760.7493085240103"/>
    <n v="24338.697510686401"/>
  </r>
  <r>
    <x v="0"/>
    <x v="0"/>
    <x v="0"/>
    <x v="5"/>
    <x v="6"/>
    <s v="NeA"/>
    <x v="0"/>
    <x v="0"/>
    <x v="3"/>
    <x v="4"/>
    <n v="112.013943187024"/>
    <n v="6814.1815438773001"/>
    <n v="24531.053557958301"/>
  </r>
  <r>
    <x v="0"/>
    <x v="0"/>
    <x v="0"/>
    <x v="5"/>
    <x v="6"/>
    <s v="NeA"/>
    <x v="0"/>
    <x v="0"/>
    <x v="3"/>
    <x v="5"/>
    <n v="112.323944874811"/>
    <n v="6833.03997988432"/>
    <n v="24598.943927583601"/>
  </r>
  <r>
    <x v="0"/>
    <x v="0"/>
    <x v="0"/>
    <x v="5"/>
    <x v="6"/>
    <s v="NeA"/>
    <x v="0"/>
    <x v="0"/>
    <x v="3"/>
    <x v="6"/>
    <n v="112.272277926846"/>
    <n v="6829.89690721649"/>
    <n v="24587.628865979401"/>
  </r>
  <r>
    <x v="0"/>
    <x v="0"/>
    <x v="0"/>
    <x v="5"/>
    <x v="6"/>
    <s v="NeA"/>
    <x v="0"/>
    <x v="0"/>
    <x v="3"/>
    <x v="7"/>
    <n v="111.910609291095"/>
    <n v="6807.8953985416001"/>
    <n v="24508.423434749799"/>
  </r>
  <r>
    <x v="0"/>
    <x v="0"/>
    <x v="0"/>
    <x v="5"/>
    <x v="6"/>
    <s v="NeA"/>
    <x v="0"/>
    <x v="0"/>
    <x v="3"/>
    <x v="8"/>
    <n v="111.445606759415"/>
    <n v="6779.6077445310502"/>
    <n v="24406.587880311799"/>
  </r>
  <r>
    <x v="0"/>
    <x v="0"/>
    <x v="0"/>
    <x v="5"/>
    <x v="6"/>
    <s v="NeA"/>
    <x v="0"/>
    <x v="0"/>
    <x v="3"/>
    <x v="9"/>
    <n v="110.82560338384"/>
    <n v="6741.8908725169604"/>
    <n v="24270.807141060999"/>
  </r>
  <r>
    <x v="0"/>
    <x v="0"/>
    <x v="0"/>
    <x v="5"/>
    <x v="6"/>
    <s v="NeA"/>
    <x v="0"/>
    <x v="0"/>
    <x v="3"/>
    <x v="10"/>
    <n v="110.102266112338"/>
    <n v="6697.8878551672096"/>
    <n v="24112.396278601998"/>
  </r>
  <r>
    <x v="0"/>
    <x v="0"/>
    <x v="0"/>
    <x v="5"/>
    <x v="6"/>
    <s v="NeA"/>
    <x v="0"/>
    <x v="0"/>
    <x v="3"/>
    <x v="11"/>
    <n v="109.378928840835"/>
    <n v="6653.8848378174398"/>
    <n v="23953.985416142801"/>
  </r>
  <r>
    <x v="0"/>
    <x v="0"/>
    <x v="0"/>
    <x v="5"/>
    <x v="6"/>
    <s v="NeA"/>
    <x v="0"/>
    <x v="0"/>
    <x v="4"/>
    <x v="0"/>
    <n v="145.85579410376801"/>
    <n v="8872.8941413125503"/>
    <n v="31942.418908725202"/>
  </r>
  <r>
    <x v="0"/>
    <x v="0"/>
    <x v="0"/>
    <x v="5"/>
    <x v="6"/>
    <s v="NeA"/>
    <x v="0"/>
    <x v="0"/>
    <x v="4"/>
    <x v="1"/>
    <n v="145.90746105173201"/>
    <n v="8876.0372139803803"/>
    <n v="31953.7339703293"/>
  </r>
  <r>
    <x v="0"/>
    <x v="0"/>
    <x v="0"/>
    <x v="5"/>
    <x v="6"/>
    <s v="NeA"/>
    <x v="0"/>
    <x v="0"/>
    <x v="4"/>
    <x v="2"/>
    <n v="144.92578904040701"/>
    <n v="8816.3188332914306"/>
    <n v="31738.747799849101"/>
  </r>
  <r>
    <x v="0"/>
    <x v="0"/>
    <x v="0"/>
    <x v="5"/>
    <x v="6"/>
    <s v="NeA"/>
    <x v="0"/>
    <x v="0"/>
    <x v="4"/>
    <x v="3"/>
    <n v="143.22077975757901"/>
    <n v="8712.5974352526991"/>
    <n v="31365.350766909702"/>
  </r>
  <r>
    <x v="0"/>
    <x v="0"/>
    <x v="0"/>
    <x v="5"/>
    <x v="6"/>
    <s v="NeA"/>
    <x v="0"/>
    <x v="0"/>
    <x v="4"/>
    <x v="4"/>
    <n v="141.464103526786"/>
    <n v="8605.7329645461396"/>
    <n v="30980.638672366102"/>
  </r>
  <r>
    <x v="0"/>
    <x v="0"/>
    <x v="0"/>
    <x v="5"/>
    <x v="6"/>
    <s v="NeA"/>
    <x v="0"/>
    <x v="0"/>
    <x v="4"/>
    <x v="5"/>
    <n v="139.08742392041901"/>
    <n v="8461.1516218254801"/>
    <n v="30460.145838571701"/>
  </r>
  <r>
    <x v="0"/>
    <x v="0"/>
    <x v="0"/>
    <x v="5"/>
    <x v="6"/>
    <s v="NeA"/>
    <x v="0"/>
    <x v="0"/>
    <x v="4"/>
    <x v="6"/>
    <n v="136.09074093847801"/>
    <n v="8278.8534070907608"/>
    <n v="29803.872265526701"/>
  </r>
  <r>
    <x v="0"/>
    <x v="0"/>
    <x v="0"/>
    <x v="5"/>
    <x v="6"/>
    <s v="NeA"/>
    <x v="0"/>
    <x v="0"/>
    <x v="4"/>
    <x v="7"/>
    <n v="132.93905711264401"/>
    <n v="8087.1259743525297"/>
    <n v="29113.6535076691"/>
  </r>
  <r>
    <x v="0"/>
    <x v="0"/>
    <x v="0"/>
    <x v="5"/>
    <x v="6"/>
    <s v="NeA"/>
    <x v="0"/>
    <x v="0"/>
    <x v="4"/>
    <x v="8"/>
    <n v="130.407376662384"/>
    <n v="7933.1154136283503"/>
    <n v="28559.215489062099"/>
  </r>
  <r>
    <x v="0"/>
    <x v="0"/>
    <x v="0"/>
    <x v="5"/>
    <x v="6"/>
    <s v="NeA"/>
    <x v="0"/>
    <x v="0"/>
    <x v="4"/>
    <x v="9"/>
    <n v="129.06403601530701"/>
    <n v="7851.3955242645097"/>
    <n v="28265.023887352199"/>
  </r>
  <r>
    <x v="0"/>
    <x v="0"/>
    <x v="0"/>
    <x v="5"/>
    <x v="6"/>
    <s v="NeA"/>
    <x v="0"/>
    <x v="0"/>
    <x v="4"/>
    <x v="10"/>
    <n v="128.59903348362701"/>
    <n v="7823.1078702539598"/>
    <n v="28163.188332914298"/>
  </r>
  <r>
    <x v="0"/>
    <x v="0"/>
    <x v="0"/>
    <x v="5"/>
    <x v="6"/>
    <s v="NeA"/>
    <x v="0"/>
    <x v="0"/>
    <x v="4"/>
    <x v="11"/>
    <n v="128.495699587698"/>
    <n v="7816.8217249182699"/>
    <n v="28140.5582097058"/>
  </r>
  <r>
    <x v="0"/>
    <x v="0"/>
    <x v="0"/>
    <x v="5"/>
    <x v="6"/>
    <s v="NeA"/>
    <x v="0"/>
    <x v="0"/>
    <x v="5"/>
    <x v="0"/>
    <n v="188.997695654121"/>
    <n v="11497.359818958999"/>
    <n v="41390.4953482524"/>
  </r>
  <r>
    <x v="0"/>
    <x v="0"/>
    <x v="0"/>
    <x v="5"/>
    <x v="6"/>
    <s v="NeA"/>
    <x v="0"/>
    <x v="0"/>
    <x v="5"/>
    <x v="1"/>
    <n v="188.997695654121"/>
    <n v="11497.359818958999"/>
    <n v="41390.4953482524"/>
  </r>
  <r>
    <x v="0"/>
    <x v="0"/>
    <x v="0"/>
    <x v="5"/>
    <x v="6"/>
    <s v="NeA"/>
    <x v="0"/>
    <x v="0"/>
    <x v="5"/>
    <x v="2"/>
    <n v="188.79102786226301"/>
    <n v="11484.787528287699"/>
    <n v="41345.235101835497"/>
  </r>
  <r>
    <x v="0"/>
    <x v="0"/>
    <x v="0"/>
    <x v="5"/>
    <x v="6"/>
    <s v="NeA"/>
    <x v="0"/>
    <x v="0"/>
    <x v="5"/>
    <x v="3"/>
    <n v="186.982684683505"/>
    <n v="11374.779984913201"/>
    <n v="40949.207945687704"/>
  </r>
  <r>
    <x v="0"/>
    <x v="0"/>
    <x v="0"/>
    <x v="5"/>
    <x v="6"/>
    <s v="NeA"/>
    <x v="0"/>
    <x v="0"/>
    <x v="5"/>
    <x v="4"/>
    <n v="184.45100423324499"/>
    <n v="11220.7694241891"/>
    <n v="40394.769927080699"/>
  </r>
  <r>
    <x v="0"/>
    <x v="0"/>
    <x v="0"/>
    <x v="5"/>
    <x v="6"/>
    <s v="NeA"/>
    <x v="0"/>
    <x v="0"/>
    <x v="5"/>
    <x v="5"/>
    <n v="180.26598144812101"/>
    <n v="10966.180538094"/>
    <n v="39478.249937138498"/>
  </r>
  <r>
    <x v="0"/>
    <x v="0"/>
    <x v="0"/>
    <x v="5"/>
    <x v="6"/>
    <s v="NeA"/>
    <x v="0"/>
    <x v="0"/>
    <x v="5"/>
    <x v="6"/>
    <n v="175.87429087113901"/>
    <n v="10699.019361327601"/>
    <n v="38516.469700779497"/>
  </r>
  <r>
    <x v="0"/>
    <x v="0"/>
    <x v="0"/>
    <x v="5"/>
    <x v="6"/>
    <s v="NeA"/>
    <x v="0"/>
    <x v="0"/>
    <x v="5"/>
    <x v="7"/>
    <n v="170.86259691858299"/>
    <n v="10394.141312547101"/>
    <n v="37418.908725169698"/>
  </r>
  <r>
    <x v="0"/>
    <x v="0"/>
    <x v="0"/>
    <x v="5"/>
    <x v="6"/>
    <s v="NeA"/>
    <x v="0"/>
    <x v="0"/>
    <x v="5"/>
    <x v="8"/>
    <n v="166.10923770585001"/>
    <n v="10104.9786271059"/>
    <n v="36377.923057581102"/>
  </r>
  <r>
    <x v="0"/>
    <x v="0"/>
    <x v="0"/>
    <x v="5"/>
    <x v="6"/>
    <s v="NeA"/>
    <x v="0"/>
    <x v="0"/>
    <x v="5"/>
    <x v="9"/>
    <n v="162.07921576461899"/>
    <n v="9859.8189590143193"/>
    <n v="35495.3482524516"/>
  </r>
  <r>
    <x v="0"/>
    <x v="0"/>
    <x v="0"/>
    <x v="5"/>
    <x v="6"/>
    <s v="NeA"/>
    <x v="0"/>
    <x v="0"/>
    <x v="5"/>
    <x v="10"/>
    <n v="159.49586836639401"/>
    <n v="9702.6653256223108"/>
    <n v="34929.595172240297"/>
  </r>
  <r>
    <x v="0"/>
    <x v="0"/>
    <x v="0"/>
    <x v="5"/>
    <x v="6"/>
    <s v="NeA"/>
    <x v="0"/>
    <x v="0"/>
    <x v="5"/>
    <x v="11"/>
    <n v="157.739192135601"/>
    <n v="9595.8008549157494"/>
    <n v="34544.883077696701"/>
  </r>
  <r>
    <x v="0"/>
    <x v="0"/>
    <x v="0"/>
    <x v="5"/>
    <x v="6"/>
    <s v="NeA"/>
    <x v="0"/>
    <x v="0"/>
    <x v="6"/>
    <x v="0"/>
    <n v="128.18569789991099"/>
    <n v="7797.9632889112399"/>
    <n v="28072.667840080499"/>
  </r>
  <r>
    <x v="0"/>
    <x v="0"/>
    <x v="0"/>
    <x v="5"/>
    <x v="6"/>
    <s v="NeA"/>
    <x v="0"/>
    <x v="0"/>
    <x v="6"/>
    <x v="1"/>
    <n v="128.030697056017"/>
    <n v="7788.53407090772"/>
    <n v="28038.7226552678"/>
  </r>
  <r>
    <x v="0"/>
    <x v="0"/>
    <x v="0"/>
    <x v="5"/>
    <x v="6"/>
    <s v="NeA"/>
    <x v="0"/>
    <x v="0"/>
    <x v="6"/>
    <x v="2"/>
    <n v="127.669028420266"/>
    <n v="7766.5325622328401"/>
    <n v="27959.517224038202"/>
  </r>
  <r>
    <x v="0"/>
    <x v="0"/>
    <x v="0"/>
    <x v="5"/>
    <x v="6"/>
    <s v="NeA"/>
    <x v="0"/>
    <x v="0"/>
    <x v="6"/>
    <x v="3"/>
    <n v="127.152358940621"/>
    <n v="7735.1018355544302"/>
    <n v="27846.3666079959"/>
  </r>
  <r>
    <x v="0"/>
    <x v="0"/>
    <x v="0"/>
    <x v="5"/>
    <x v="6"/>
    <s v="NeA"/>
    <x v="0"/>
    <x v="0"/>
    <x v="6"/>
    <x v="4"/>
    <n v="126.532355565047"/>
    <n v="7697.3849635403503"/>
    <n v="27710.5858687453"/>
  </r>
  <r>
    <x v="0"/>
    <x v="0"/>
    <x v="0"/>
    <x v="5"/>
    <x v="6"/>
    <s v="NeA"/>
    <x v="0"/>
    <x v="0"/>
    <x v="6"/>
    <x v="5"/>
    <n v="125.96401913743701"/>
    <n v="7662.8111641941096"/>
    <n v="27586.120191098798"/>
  </r>
  <r>
    <x v="0"/>
    <x v="0"/>
    <x v="0"/>
    <x v="5"/>
    <x v="6"/>
    <s v="NeA"/>
    <x v="0"/>
    <x v="0"/>
    <x v="6"/>
    <x v="6"/>
    <n v="125.137347970005"/>
    <n v="7612.5220015086697"/>
    <n v="27405.079205431201"/>
  </r>
  <r>
    <x v="0"/>
    <x v="0"/>
    <x v="0"/>
    <x v="5"/>
    <x v="6"/>
    <s v="NeA"/>
    <x v="0"/>
    <x v="0"/>
    <x v="6"/>
    <x v="7"/>
    <n v="124.362343750538"/>
    <n v="7565.3759114910699"/>
    <n v="27235.353281367901"/>
  </r>
  <r>
    <x v="0"/>
    <x v="0"/>
    <x v="0"/>
    <x v="5"/>
    <x v="6"/>
    <s v="NeA"/>
    <x v="0"/>
    <x v="0"/>
    <x v="6"/>
    <x v="8"/>
    <n v="123.53567258310601"/>
    <n v="7515.0867488056301"/>
    <n v="27054.3122957003"/>
  </r>
  <r>
    <x v="0"/>
    <x v="0"/>
    <x v="0"/>
    <x v="5"/>
    <x v="6"/>
    <s v="NeA"/>
    <x v="0"/>
    <x v="0"/>
    <x v="6"/>
    <x v="9"/>
    <n v="122.760668363639"/>
    <n v="7467.9406587880303"/>
    <n v="26884.586371636899"/>
  </r>
  <r>
    <x v="0"/>
    <x v="0"/>
    <x v="0"/>
    <x v="5"/>
    <x v="6"/>
    <s v="NeA"/>
    <x v="0"/>
    <x v="0"/>
    <x v="6"/>
    <x v="10"/>
    <n v="122.037331092136"/>
    <n v="7423.9376414382696"/>
    <n v="26726.1755091778"/>
  </r>
  <r>
    <x v="0"/>
    <x v="0"/>
    <x v="0"/>
    <x v="5"/>
    <x v="6"/>
    <s v="NeA"/>
    <x v="0"/>
    <x v="0"/>
    <x v="6"/>
    <x v="11"/>
    <n v="121.520661612491"/>
    <n v="7392.5069147598697"/>
    <n v="26613.024893135502"/>
  </r>
  <r>
    <x v="0"/>
    <x v="0"/>
    <x v="0"/>
    <x v="5"/>
    <x v="6"/>
    <s v="NeA"/>
    <x v="0"/>
    <x v="0"/>
    <x v="7"/>
    <x v="0"/>
    <n v="120.53898960116599"/>
    <n v="7332.7885340708999"/>
    <n v="26398.038722655201"/>
  </r>
  <r>
    <x v="0"/>
    <x v="0"/>
    <x v="0"/>
    <x v="5"/>
    <x v="6"/>
    <s v="NeA"/>
    <x v="0"/>
    <x v="0"/>
    <x v="7"/>
    <x v="1"/>
    <n v="119.50565064187499"/>
    <n v="7269.9270807140902"/>
    <n v="26171.7374905707"/>
  </r>
  <r>
    <x v="0"/>
    <x v="0"/>
    <x v="0"/>
    <x v="5"/>
    <x v="6"/>
    <s v="NeA"/>
    <x v="0"/>
    <x v="0"/>
    <x v="7"/>
    <x v="2"/>
    <n v="118.31731083869199"/>
    <n v="7197.6364093537704"/>
    <n v="25911.491073673598"/>
  </r>
  <r>
    <x v="0"/>
    <x v="0"/>
    <x v="0"/>
    <x v="5"/>
    <x v="6"/>
    <s v="NeA"/>
    <x v="0"/>
    <x v="0"/>
    <x v="7"/>
    <x v="3"/>
    <n v="116.922303243651"/>
    <n v="7112.7734473221099"/>
    <n v="25605.984410359601"/>
  </r>
  <r>
    <x v="0"/>
    <x v="0"/>
    <x v="0"/>
    <x v="5"/>
    <x v="6"/>
    <s v="NeA"/>
    <x v="0"/>
    <x v="0"/>
    <x v="7"/>
    <x v="4"/>
    <n v="115.217293960823"/>
    <n v="7009.0520492833703"/>
    <n v="25232.587377420099"/>
  </r>
  <r>
    <x v="0"/>
    <x v="0"/>
    <x v="0"/>
    <x v="5"/>
    <x v="6"/>
    <s v="NeA"/>
    <x v="0"/>
    <x v="0"/>
    <x v="7"/>
    <x v="5"/>
    <n v="113.40895078206501"/>
    <n v="6899.0445059089598"/>
    <n v="24836.560221272299"/>
  </r>
  <r>
    <x v="0"/>
    <x v="0"/>
    <x v="0"/>
    <x v="5"/>
    <x v="6"/>
    <s v="NeA"/>
    <x v="0"/>
    <x v="0"/>
    <x v="7"/>
    <x v="6"/>
    <n v="111.445606759415"/>
    <n v="6779.6077445310502"/>
    <n v="24406.587880311799"/>
  </r>
  <r>
    <x v="0"/>
    <x v="0"/>
    <x v="0"/>
    <x v="5"/>
    <x v="6"/>
    <s v="NeA"/>
    <x v="0"/>
    <x v="0"/>
    <x v="7"/>
    <x v="7"/>
    <n v="109.32726189287"/>
    <n v="6650.7417651495998"/>
    <n v="23942.670354538499"/>
  </r>
  <r>
    <x v="0"/>
    <x v="0"/>
    <x v="0"/>
    <x v="5"/>
    <x v="6"/>
    <s v="NeA"/>
    <x v="0"/>
    <x v="0"/>
    <x v="7"/>
    <x v="8"/>
    <n v="107.467251766148"/>
    <n v="6537.5911491073603"/>
    <n v="23535.328136786498"/>
  </r>
  <r>
    <x v="0"/>
    <x v="0"/>
    <x v="0"/>
    <x v="5"/>
    <x v="6"/>
    <s v="NeA"/>
    <x v="0"/>
    <x v="0"/>
    <x v="7"/>
    <x v="9"/>
    <n v="105.968910275178"/>
    <n v="6446.4420417399997"/>
    <n v="23207.191350264002"/>
  </r>
  <r>
    <x v="0"/>
    <x v="0"/>
    <x v="0"/>
    <x v="5"/>
    <x v="6"/>
    <s v="NeA"/>
    <x v="0"/>
    <x v="0"/>
    <x v="7"/>
    <x v="10"/>
    <n v="104.78057047199501"/>
    <n v="6374.15137037968"/>
    <n v="22946.944933366802"/>
  </r>
  <r>
    <x v="0"/>
    <x v="0"/>
    <x v="0"/>
    <x v="5"/>
    <x v="6"/>
    <s v="NeA"/>
    <x v="0"/>
    <x v="0"/>
    <x v="7"/>
    <x v="11"/>
    <n v="103.90223235659801"/>
    <n v="6320.7191350263902"/>
    <n v="22754.588886095"/>
  </r>
  <r>
    <x v="0"/>
    <x v="0"/>
    <x v="0"/>
    <x v="5"/>
    <x v="6"/>
    <s v="NeA"/>
    <x v="0"/>
    <x v="0"/>
    <x v="8"/>
    <x v="0"/>
    <n v="107.363917870219"/>
    <n v="6531.3050037716803"/>
    <n v="23512.698013578101"/>
  </r>
  <r>
    <x v="0"/>
    <x v="0"/>
    <x v="0"/>
    <x v="5"/>
    <x v="6"/>
    <s v="NeA"/>
    <x v="0"/>
    <x v="0"/>
    <x v="8"/>
    <x v="1"/>
    <n v="108.29392293358001"/>
    <n v="6587.8803117928001"/>
    <n v="23716.3691224541"/>
  </r>
  <r>
    <x v="0"/>
    <x v="0"/>
    <x v="0"/>
    <x v="5"/>
    <x v="6"/>
    <s v="NeA"/>
    <x v="0"/>
    <x v="0"/>
    <x v="8"/>
    <x v="2"/>
    <n v="109.06892715304799"/>
    <n v="6635.0264018103999"/>
    <n v="23886.095046517399"/>
  </r>
  <r>
    <x v="0"/>
    <x v="0"/>
    <x v="0"/>
    <x v="5"/>
    <x v="6"/>
    <s v="NeA"/>
    <x v="0"/>
    <x v="0"/>
    <x v="8"/>
    <x v="3"/>
    <n v="109.947265268444"/>
    <n v="6688.4586371636897"/>
    <n v="24078.451093789299"/>
  </r>
  <r>
    <x v="0"/>
    <x v="0"/>
    <x v="0"/>
    <x v="5"/>
    <x v="6"/>
    <s v="NeA"/>
    <x v="0"/>
    <x v="0"/>
    <x v="8"/>
    <x v="4"/>
    <n v="110.618935591983"/>
    <n v="6729.3185818456104"/>
    <n v="24225.546894644202"/>
  </r>
  <r>
    <x v="0"/>
    <x v="0"/>
    <x v="0"/>
    <x v="5"/>
    <x v="6"/>
    <s v="NeA"/>
    <x v="0"/>
    <x v="0"/>
    <x v="8"/>
    <x v="5"/>
    <n v="110.98060422773401"/>
    <n v="6751.3200905204803"/>
    <n v="24304.752325873698"/>
  </r>
  <r>
    <x v="0"/>
    <x v="0"/>
    <x v="0"/>
    <x v="5"/>
    <x v="6"/>
    <s v="NeA"/>
    <x v="0"/>
    <x v="0"/>
    <x v="8"/>
    <x v="6"/>
    <n v="110.87727033180499"/>
    <n v="6745.0339451848104"/>
    <n v="24282.122202665301"/>
  </r>
  <r>
    <x v="0"/>
    <x v="0"/>
    <x v="0"/>
    <x v="5"/>
    <x v="6"/>
    <s v="NeA"/>
    <x v="0"/>
    <x v="0"/>
    <x v="8"/>
    <x v="7"/>
    <n v="110.308933904196"/>
    <n v="6710.4601458385596"/>
    <n v="24157.6565250188"/>
  </r>
  <r>
    <x v="0"/>
    <x v="0"/>
    <x v="0"/>
    <x v="5"/>
    <x v="6"/>
    <s v="NeA"/>
    <x v="0"/>
    <x v="0"/>
    <x v="8"/>
    <x v="8"/>
    <n v="109.378928840835"/>
    <n v="6653.8848378174398"/>
    <n v="23953.985416142801"/>
  </r>
  <r>
    <x v="0"/>
    <x v="0"/>
    <x v="0"/>
    <x v="5"/>
    <x v="6"/>
    <s v="NeA"/>
    <x v="0"/>
    <x v="0"/>
    <x v="8"/>
    <x v="9"/>
    <n v="108.707258517296"/>
    <n v="6613.02489313553"/>
    <n v="23806.889615287899"/>
  </r>
  <r>
    <x v="0"/>
    <x v="0"/>
    <x v="0"/>
    <x v="5"/>
    <x v="6"/>
    <s v="NeA"/>
    <x v="0"/>
    <x v="0"/>
    <x v="8"/>
    <x v="10"/>
    <n v="107.82892040190001"/>
    <n v="6559.5926577822502"/>
    <n v="23614.533568016101"/>
  </r>
  <r>
    <x v="0"/>
    <x v="0"/>
    <x v="0"/>
    <x v="5"/>
    <x v="6"/>
    <s v="NeA"/>
    <x v="0"/>
    <x v="0"/>
    <x v="8"/>
    <x v="11"/>
    <n v="107.002249234468"/>
    <n v="6509.3034950968104"/>
    <n v="23433.492582348499"/>
  </r>
  <r>
    <x v="0"/>
    <x v="0"/>
    <x v="0"/>
    <x v="5"/>
    <x v="6"/>
    <s v="NeA"/>
    <x v="0"/>
    <x v="0"/>
    <x v="9"/>
    <x v="0"/>
    <n v="101.422218854303"/>
    <n v="6169.8516469700799"/>
    <n v="22211.465929092301"/>
  </r>
  <r>
    <x v="0"/>
    <x v="0"/>
    <x v="0"/>
    <x v="5"/>
    <x v="6"/>
    <s v="NeA"/>
    <x v="0"/>
    <x v="0"/>
    <x v="9"/>
    <x v="1"/>
    <n v="102.145556125805"/>
    <n v="6213.8546643198297"/>
    <n v="22369.8767915514"/>
  </r>
  <r>
    <x v="0"/>
    <x v="0"/>
    <x v="0"/>
    <x v="5"/>
    <x v="6"/>
    <s v="NeA"/>
    <x v="0"/>
    <x v="0"/>
    <x v="9"/>
    <x v="2"/>
    <n v="102.507224761557"/>
    <n v="6235.8561729947196"/>
    <n v="22449.082222780999"/>
  </r>
  <r>
    <x v="0"/>
    <x v="0"/>
    <x v="0"/>
    <x v="5"/>
    <x v="6"/>
    <s v="NeA"/>
    <x v="0"/>
    <x v="0"/>
    <x v="9"/>
    <x v="3"/>
    <n v="102.35222391766401"/>
    <n v="6226.4269549911996"/>
    <n v="22415.137037968299"/>
  </r>
  <r>
    <x v="0"/>
    <x v="0"/>
    <x v="0"/>
    <x v="5"/>
    <x v="6"/>
    <s v="NeA"/>
    <x v="0"/>
    <x v="0"/>
    <x v="9"/>
    <x v="4"/>
    <n v="101.887221385983"/>
    <n v="6198.1393009806297"/>
    <n v="22313.3014835303"/>
  </r>
  <r>
    <x v="0"/>
    <x v="0"/>
    <x v="0"/>
    <x v="5"/>
    <x v="6"/>
    <s v="NeA"/>
    <x v="0"/>
    <x v="0"/>
    <x v="9"/>
    <x v="5"/>
    <n v="101.215551062445"/>
    <n v="6157.2793562987099"/>
    <n v="22166.205682675401"/>
  </r>
  <r>
    <x v="0"/>
    <x v="0"/>
    <x v="0"/>
    <x v="5"/>
    <x v="6"/>
    <s v="NeA"/>
    <x v="0"/>
    <x v="0"/>
    <x v="9"/>
    <x v="6"/>
    <n v="100.182212103155"/>
    <n v="6094.4179029419201"/>
    <n v="21939.904450590901"/>
  </r>
  <r>
    <x v="0"/>
    <x v="0"/>
    <x v="0"/>
    <x v="5"/>
    <x v="6"/>
    <s v="NeA"/>
    <x v="0"/>
    <x v="0"/>
    <x v="9"/>
    <x v="7"/>
    <n v="98.942205352006894"/>
    <n v="6018.9841589137504"/>
    <n v="21668.3429720895"/>
  </r>
  <r>
    <x v="0"/>
    <x v="0"/>
    <x v="0"/>
    <x v="5"/>
    <x v="6"/>
    <s v="NeA"/>
    <x v="0"/>
    <x v="0"/>
    <x v="9"/>
    <x v="8"/>
    <n v="98.012200288646"/>
    <n v="5962.4088508926297"/>
    <n v="21464.671863213502"/>
  </r>
  <r>
    <x v="0"/>
    <x v="0"/>
    <x v="0"/>
    <x v="5"/>
    <x v="6"/>
    <s v="NeA"/>
    <x v="0"/>
    <x v="0"/>
    <x v="9"/>
    <x v="9"/>
    <n v="97.340529965107606"/>
    <n v="5921.5489062107099"/>
    <n v="21317.576062358599"/>
  </r>
  <r>
    <x v="0"/>
    <x v="0"/>
    <x v="0"/>
    <x v="5"/>
    <x v="6"/>
    <s v="NeA"/>
    <x v="0"/>
    <x v="0"/>
    <x v="9"/>
    <x v="10"/>
    <n v="97.133862173249497"/>
    <n v="5908.9766155393399"/>
    <n v="21272.315815941602"/>
  </r>
  <r>
    <x v="0"/>
    <x v="0"/>
    <x v="0"/>
    <x v="5"/>
    <x v="6"/>
    <s v="NeA"/>
    <x v="0"/>
    <x v="0"/>
    <x v="9"/>
    <x v="11"/>
    <n v="97.753865548823597"/>
    <n v="5946.6934875534398"/>
    <n v="21408.096555192398"/>
  </r>
  <r>
    <x v="0"/>
    <x v="0"/>
    <x v="0"/>
    <x v="5"/>
    <x v="6"/>
    <s v="NeA"/>
    <x v="0"/>
    <x v="0"/>
    <x v="10"/>
    <x v="0"/>
    <n v="90.107157250078302"/>
    <n v="5481.5187327130998"/>
    <n v="19733.467437767202"/>
  </r>
  <r>
    <x v="0"/>
    <x v="0"/>
    <x v="0"/>
    <x v="5"/>
    <x v="6"/>
    <s v="NeA"/>
    <x v="0"/>
    <x v="0"/>
    <x v="10"/>
    <x v="1"/>
    <n v="90.055490302113697"/>
    <n v="5478.3756600452498"/>
    <n v="19722.1523761629"/>
  </r>
  <r>
    <x v="0"/>
    <x v="0"/>
    <x v="0"/>
    <x v="5"/>
    <x v="6"/>
    <s v="NeA"/>
    <x v="0"/>
    <x v="0"/>
    <x v="10"/>
    <x v="2"/>
    <n v="89.693821666362396"/>
    <n v="5456.3741513703799"/>
    <n v="19642.946944933399"/>
  </r>
  <r>
    <x v="0"/>
    <x v="0"/>
    <x v="0"/>
    <x v="5"/>
    <x v="6"/>
    <s v="NeA"/>
    <x v="0"/>
    <x v="0"/>
    <x v="10"/>
    <x v="3"/>
    <n v="89.332153030610996"/>
    <n v="5434.3726426955"/>
    <n v="19563.741513703801"/>
  </r>
  <r>
    <x v="0"/>
    <x v="0"/>
    <x v="0"/>
    <x v="5"/>
    <x v="6"/>
    <s v="NeA"/>
    <x v="0"/>
    <x v="0"/>
    <x v="10"/>
    <x v="4"/>
    <n v="88.712149655036896"/>
    <n v="5396.6557706814101"/>
    <n v="19427.960774453099"/>
  </r>
  <r>
    <x v="0"/>
    <x v="0"/>
    <x v="0"/>
    <x v="5"/>
    <x v="6"/>
    <s v="NeA"/>
    <x v="0"/>
    <x v="0"/>
    <x v="10"/>
    <x v="5"/>
    <n v="87.782144591676001"/>
    <n v="5340.0804626602903"/>
    <n v="19224.2896655771"/>
  </r>
  <r>
    <x v="0"/>
    <x v="0"/>
    <x v="0"/>
    <x v="5"/>
    <x v="6"/>
    <s v="NeA"/>
    <x v="0"/>
    <x v="0"/>
    <x v="10"/>
    <x v="6"/>
    <n v="86.697138684421603"/>
    <n v="5274.0759366356497"/>
    <n v="18986.673371888301"/>
  </r>
  <r>
    <x v="0"/>
    <x v="0"/>
    <x v="0"/>
    <x v="5"/>
    <x v="6"/>
    <s v="NeA"/>
    <x v="0"/>
    <x v="0"/>
    <x v="10"/>
    <x v="7"/>
    <n v="85.663799725131895"/>
    <n v="5211.2144832788599"/>
    <n v="18760.372139803902"/>
  </r>
  <r>
    <x v="0"/>
    <x v="0"/>
    <x v="0"/>
    <x v="5"/>
    <x v="6"/>
    <s v="NeA"/>
    <x v="0"/>
    <x v="0"/>
    <x v="10"/>
    <x v="8"/>
    <n v="84.578793817877497"/>
    <n v="5145.2099572542202"/>
    <n v="18522.7558461152"/>
  </r>
  <r>
    <x v="0"/>
    <x v="0"/>
    <x v="0"/>
    <x v="5"/>
    <x v="6"/>
    <s v="NeA"/>
    <x v="0"/>
    <x v="0"/>
    <x v="10"/>
    <x v="9"/>
    <n v="83.545454858587505"/>
    <n v="5082.3485038974004"/>
    <n v="18296.454614030699"/>
  </r>
  <r>
    <x v="0"/>
    <x v="0"/>
    <x v="0"/>
    <x v="5"/>
    <x v="6"/>
    <s v="NeA"/>
    <x v="0"/>
    <x v="0"/>
    <x v="10"/>
    <x v="10"/>
    <n v="83.028785378942601"/>
    <n v="5050.9177772190096"/>
    <n v="18183.303997988402"/>
  </r>
  <r>
    <x v="0"/>
    <x v="0"/>
    <x v="0"/>
    <x v="5"/>
    <x v="6"/>
    <s v="NeA"/>
    <x v="0"/>
    <x v="0"/>
    <x v="10"/>
    <x v="11"/>
    <n v="83.390454014693901"/>
    <n v="5072.9192858938804"/>
    <n v="18262.509429218"/>
  </r>
  <r>
    <x v="0"/>
    <x v="0"/>
    <x v="0"/>
    <x v="5"/>
    <x v="6"/>
    <s v="NeA"/>
    <x v="0"/>
    <x v="0"/>
    <x v="11"/>
    <x v="0"/>
    <n v="88.918817446895005"/>
    <n v="5409.2280613527801"/>
    <n v="19473.221020870002"/>
  </r>
  <r>
    <x v="0"/>
    <x v="0"/>
    <x v="0"/>
    <x v="5"/>
    <x v="6"/>
    <s v="NeA"/>
    <x v="0"/>
    <x v="0"/>
    <x v="11"/>
    <x v="1"/>
    <n v="89.900489458220207"/>
    <n v="5468.9464420417298"/>
    <n v="19688.2071913502"/>
  </r>
  <r>
    <x v="0"/>
    <x v="0"/>
    <x v="0"/>
    <x v="5"/>
    <x v="6"/>
    <s v="NeA"/>
    <x v="0"/>
    <x v="0"/>
    <x v="11"/>
    <x v="2"/>
    <n v="90.572159781758899"/>
    <n v="5509.8063867236697"/>
    <n v="19835.302992205201"/>
  </r>
  <r>
    <x v="0"/>
    <x v="0"/>
    <x v="0"/>
    <x v="5"/>
    <x v="6"/>
    <s v="NeA"/>
    <x v="0"/>
    <x v="0"/>
    <x v="11"/>
    <x v="3"/>
    <n v="90.778827573616695"/>
    <n v="5522.3786773950196"/>
    <n v="19880.5632386221"/>
  </r>
  <r>
    <x v="0"/>
    <x v="0"/>
    <x v="0"/>
    <x v="5"/>
    <x v="6"/>
    <s v="NeA"/>
    <x v="0"/>
    <x v="0"/>
    <x v="11"/>
    <x v="4"/>
    <n v="90.468825885829702"/>
    <n v="5503.5202413879697"/>
    <n v="19812.672868996699"/>
  </r>
  <r>
    <x v="0"/>
    <x v="0"/>
    <x v="0"/>
    <x v="5"/>
    <x v="6"/>
    <s v="NeA"/>
    <x v="0"/>
    <x v="0"/>
    <x v="11"/>
    <x v="5"/>
    <n v="89.590487770433398"/>
    <n v="5450.0880060346999"/>
    <n v="19620.3168217249"/>
  </r>
  <r>
    <x v="0"/>
    <x v="0"/>
    <x v="0"/>
    <x v="5"/>
    <x v="6"/>
    <s v="NeA"/>
    <x v="0"/>
    <x v="0"/>
    <x v="11"/>
    <x v="6"/>
    <n v="87.937145435569605"/>
    <n v="5349.5096806638103"/>
    <n v="19258.234850389701"/>
  </r>
  <r>
    <x v="0"/>
    <x v="0"/>
    <x v="0"/>
    <x v="5"/>
    <x v="6"/>
    <s v="NeA"/>
    <x v="0"/>
    <x v="0"/>
    <x v="11"/>
    <x v="7"/>
    <n v="85.8188005690251"/>
    <n v="5220.6437012823599"/>
    <n v="18794.317324616499"/>
  </r>
  <r>
    <x v="0"/>
    <x v="0"/>
    <x v="0"/>
    <x v="5"/>
    <x v="6"/>
    <s v="NeA"/>
    <x v="0"/>
    <x v="0"/>
    <x v="11"/>
    <x v="8"/>
    <n v="83.855456546374498"/>
    <n v="5101.2069399044503"/>
    <n v="18364.344983655999"/>
  </r>
  <r>
    <x v="0"/>
    <x v="0"/>
    <x v="0"/>
    <x v="5"/>
    <x v="6"/>
    <s v="NeA"/>
    <x v="0"/>
    <x v="0"/>
    <x v="11"/>
    <x v="9"/>
    <n v="81.943779471688202"/>
    <n v="4984.9132511943599"/>
    <n v="17945.6877042997"/>
  </r>
  <r>
    <x v="0"/>
    <x v="0"/>
    <x v="0"/>
    <x v="5"/>
    <x v="6"/>
    <s v="NeA"/>
    <x v="0"/>
    <x v="0"/>
    <x v="11"/>
    <x v="10"/>
    <n v="80.238770188859704"/>
    <n v="4881.1918531556303"/>
    <n v="17572.290671360301"/>
  </r>
  <r>
    <x v="0"/>
    <x v="0"/>
    <x v="0"/>
    <x v="5"/>
    <x v="6"/>
    <s v="NeA"/>
    <x v="0"/>
    <x v="0"/>
    <x v="11"/>
    <x v="11"/>
    <n v="78.947096489747494"/>
    <n v="4802.6150364596397"/>
    <n v="17289.4141312547"/>
  </r>
  <r>
    <x v="0"/>
    <x v="0"/>
    <x v="0"/>
    <x v="6"/>
    <x v="7"/>
    <s v="NO1_A1"/>
    <x v="0"/>
    <x v="0"/>
    <x v="0"/>
    <x v="0"/>
    <n v="98.442150889716899"/>
    <n v="5988.5641791244398"/>
    <n v="21558.831044848001"/>
  </r>
  <r>
    <x v="0"/>
    <x v="0"/>
    <x v="0"/>
    <x v="6"/>
    <x v="7"/>
    <s v="NO1_A1"/>
    <x v="0"/>
    <x v="0"/>
    <x v="0"/>
    <x v="1"/>
    <n v="97.684665615611905"/>
    <n v="5942.4838249497298"/>
    <n v="21392.941769819001"/>
  </r>
  <r>
    <x v="0"/>
    <x v="0"/>
    <x v="0"/>
    <x v="6"/>
    <x v="7"/>
    <s v="NO1_A1"/>
    <x v="0"/>
    <x v="0"/>
    <x v="0"/>
    <x v="2"/>
    <n v="97.246674139975099"/>
    <n v="5915.8393435151502"/>
    <n v="21297.021636654499"/>
  </r>
  <r>
    <x v="0"/>
    <x v="0"/>
    <x v="0"/>
    <x v="6"/>
    <x v="7"/>
    <s v="NO1_A1"/>
    <x v="0"/>
    <x v="0"/>
    <x v="0"/>
    <x v="3"/>
    <n v="97.981254693035297"/>
    <n v="5960.5263271596496"/>
    <n v="21457.894777774702"/>
  </r>
  <r>
    <x v="0"/>
    <x v="0"/>
    <x v="0"/>
    <x v="6"/>
    <x v="7"/>
    <s v="NO1_A1"/>
    <x v="0"/>
    <x v="0"/>
    <x v="0"/>
    <x v="4"/>
    <n v="101.00355938449"/>
    <n v="6144.3831958897799"/>
    <n v="22119.779505203202"/>
  </r>
  <r>
    <x v="0"/>
    <x v="0"/>
    <x v="0"/>
    <x v="6"/>
    <x v="7"/>
    <s v="NO1_A1"/>
    <x v="0"/>
    <x v="0"/>
    <x v="0"/>
    <x v="5"/>
    <n v="110.871949570048"/>
    <n v="6744.7102655112503"/>
    <n v="24280.956955840498"/>
  </r>
  <r>
    <x v="0"/>
    <x v="0"/>
    <x v="0"/>
    <x v="6"/>
    <x v="7"/>
    <s v="NO1_A1"/>
    <x v="0"/>
    <x v="0"/>
    <x v="0"/>
    <x v="6"/>
    <n v="129.62050429301499"/>
    <n v="7885.2473444917396"/>
    <n v="28386.8904401703"/>
  </r>
  <r>
    <x v="0"/>
    <x v="0"/>
    <x v="0"/>
    <x v="6"/>
    <x v="7"/>
    <s v="NO1_A1"/>
    <x v="0"/>
    <x v="0"/>
    <x v="0"/>
    <x v="7"/>
    <n v="141.39793318853"/>
    <n v="8601.7076023022491"/>
    <n v="30966.147368288101"/>
  </r>
  <r>
    <x v="0"/>
    <x v="0"/>
    <x v="0"/>
    <x v="6"/>
    <x v="7"/>
    <s v="NO1_A1"/>
    <x v="0"/>
    <x v="0"/>
    <x v="0"/>
    <x v="8"/>
    <n v="141.681490959955"/>
    <n v="8618.9573667305904"/>
    <n v="31028.246520230099"/>
  </r>
  <r>
    <x v="0"/>
    <x v="0"/>
    <x v="0"/>
    <x v="6"/>
    <x v="7"/>
    <s v="NO1_A1"/>
    <x v="0"/>
    <x v="0"/>
    <x v="0"/>
    <x v="9"/>
    <n v="139.458290444895"/>
    <n v="8483.7126687310993"/>
    <n v="30541.365607431999"/>
  </r>
  <r>
    <x v="0"/>
    <x v="0"/>
    <x v="0"/>
    <x v="6"/>
    <x v="7"/>
    <s v="NO1_A1"/>
    <x v="0"/>
    <x v="0"/>
    <x v="0"/>
    <x v="10"/>
    <n v="136.13607417819"/>
    <n v="8281.6111791732201"/>
    <n v="29813.800245023602"/>
  </r>
  <r>
    <x v="0"/>
    <x v="0"/>
    <x v="0"/>
    <x v="6"/>
    <x v="7"/>
    <s v="NO1_A1"/>
    <x v="0"/>
    <x v="0"/>
    <x v="0"/>
    <x v="11"/>
    <n v="133.91689666487599"/>
    <n v="8146.6112137799901"/>
    <n v="29327.800369607899"/>
  </r>
  <r>
    <x v="0"/>
    <x v="0"/>
    <x v="0"/>
    <x v="6"/>
    <x v="7"/>
    <s v="NO1_A1"/>
    <x v="0"/>
    <x v="0"/>
    <x v="1"/>
    <x v="0"/>
    <n v="165.75216131220199"/>
    <n v="10083.256479825601"/>
    <n v="36299.723327372303"/>
  </r>
  <r>
    <x v="0"/>
    <x v="0"/>
    <x v="0"/>
    <x v="6"/>
    <x v="7"/>
    <s v="NO1_A1"/>
    <x v="0"/>
    <x v="0"/>
    <x v="1"/>
    <x v="1"/>
    <n v="165.48407052061401"/>
    <n v="10066.947623337401"/>
    <n v="36241.011444014497"/>
  </r>
  <r>
    <x v="0"/>
    <x v="0"/>
    <x v="0"/>
    <x v="6"/>
    <x v="7"/>
    <s v="NO1_A1"/>
    <x v="0"/>
    <x v="0"/>
    <x v="1"/>
    <x v="2"/>
    <n v="168.23602718652899"/>
    <n v="10234.3583205139"/>
    <n v="36843.689953849898"/>
  </r>
  <r>
    <x v="0"/>
    <x v="0"/>
    <x v="0"/>
    <x v="6"/>
    <x v="7"/>
    <s v="NO1_A1"/>
    <x v="0"/>
    <x v="0"/>
    <x v="1"/>
    <x v="3"/>
    <n v="171.719277870361"/>
    <n v="10446.256070447"/>
    <n v="37606.521853609098"/>
  </r>
  <r>
    <x v="0"/>
    <x v="0"/>
    <x v="0"/>
    <x v="6"/>
    <x v="7"/>
    <s v="NO1_A1"/>
    <x v="0"/>
    <x v="0"/>
    <x v="1"/>
    <x v="4"/>
    <n v="180.32624270542601"/>
    <n v="10969.8464312468"/>
    <n v="39491.447152488297"/>
  </r>
  <r>
    <x v="0"/>
    <x v="0"/>
    <x v="0"/>
    <x v="6"/>
    <x v="7"/>
    <s v="NO1_A1"/>
    <x v="0"/>
    <x v="0"/>
    <x v="1"/>
    <x v="5"/>
    <n v="194.551954182869"/>
    <n v="11835.243879457899"/>
    <n v="42606.877966048298"/>
  </r>
  <r>
    <x v="0"/>
    <x v="0"/>
    <x v="0"/>
    <x v="6"/>
    <x v="7"/>
    <s v="NO1_A1"/>
    <x v="0"/>
    <x v="0"/>
    <x v="1"/>
    <x v="6"/>
    <n v="224.047635176885"/>
    <n v="13629.5644732605"/>
    <n v="49066.432103737803"/>
  </r>
  <r>
    <x v="0"/>
    <x v="0"/>
    <x v="0"/>
    <x v="6"/>
    <x v="7"/>
    <s v="NO1_A1"/>
    <x v="0"/>
    <x v="0"/>
    <x v="1"/>
    <x v="7"/>
    <n v="243.96765224993601"/>
    <n v="14841.365511871099"/>
    <n v="53428.915842736002"/>
  </r>
  <r>
    <x v="0"/>
    <x v="0"/>
    <x v="0"/>
    <x v="6"/>
    <x v="7"/>
    <s v="NO1_A1"/>
    <x v="0"/>
    <x v="0"/>
    <x v="1"/>
    <x v="8"/>
    <n v="243.353105950349"/>
    <n v="14803.980611979599"/>
    <n v="53294.330203126498"/>
  </r>
  <r>
    <x v="0"/>
    <x v="0"/>
    <x v="0"/>
    <x v="6"/>
    <x v="7"/>
    <s v="NO1_A1"/>
    <x v="0"/>
    <x v="0"/>
    <x v="1"/>
    <x v="9"/>
    <n v="236.93625782154001"/>
    <n v="14413.622350810299"/>
    <n v="51889.040462917197"/>
  </r>
  <r>
    <x v="0"/>
    <x v="0"/>
    <x v="0"/>
    <x v="6"/>
    <x v="7"/>
    <s v="NO1_A1"/>
    <x v="0"/>
    <x v="0"/>
    <x v="1"/>
    <x v="10"/>
    <n v="225.76752071589701"/>
    <n v="13734.190843550399"/>
    <n v="49443.087036781399"/>
  </r>
  <r>
    <x v="0"/>
    <x v="0"/>
    <x v="0"/>
    <x v="6"/>
    <x v="7"/>
    <s v="NO1_A1"/>
    <x v="0"/>
    <x v="0"/>
    <x v="1"/>
    <x v="11"/>
    <n v="216.149219089285"/>
    <n v="13149.077494598199"/>
    <n v="47336.678980553399"/>
  </r>
  <r>
    <x v="0"/>
    <x v="0"/>
    <x v="0"/>
    <x v="6"/>
    <x v="7"/>
    <s v="NO1_A1"/>
    <x v="0"/>
    <x v="0"/>
    <x v="2"/>
    <x v="0"/>
    <n v="135.564745957919"/>
    <n v="8246.8553791067206"/>
    <n v="29688.679364784199"/>
  </r>
  <r>
    <x v="0"/>
    <x v="0"/>
    <x v="0"/>
    <x v="6"/>
    <x v="7"/>
    <s v="NO1_A1"/>
    <x v="0"/>
    <x v="0"/>
    <x v="2"/>
    <x v="1"/>
    <n v="134.50281524726699"/>
    <n v="8182.2545942087499"/>
    <n v="29456.116539151499"/>
  </r>
  <r>
    <x v="0"/>
    <x v="0"/>
    <x v="0"/>
    <x v="6"/>
    <x v="7"/>
    <s v="NO1_A1"/>
    <x v="0"/>
    <x v="0"/>
    <x v="2"/>
    <x v="2"/>
    <n v="135.671469249935"/>
    <n v="8253.3477127043807"/>
    <n v="29712.0517657358"/>
  </r>
  <r>
    <x v="0"/>
    <x v="0"/>
    <x v="0"/>
    <x v="6"/>
    <x v="7"/>
    <s v="NO1_A1"/>
    <x v="0"/>
    <x v="0"/>
    <x v="2"/>
    <x v="3"/>
    <n v="137.71649248473599"/>
    <n v="8377.7532928214496"/>
    <n v="30159.911854157199"/>
  </r>
  <r>
    <x v="0"/>
    <x v="0"/>
    <x v="0"/>
    <x v="6"/>
    <x v="7"/>
    <s v="NO1_A1"/>
    <x v="0"/>
    <x v="0"/>
    <x v="2"/>
    <x v="4"/>
    <n v="142.344398063451"/>
    <n v="8659.2842155266208"/>
    <n v="31173.423175895801"/>
  </r>
  <r>
    <x v="0"/>
    <x v="0"/>
    <x v="0"/>
    <x v="6"/>
    <x v="7"/>
    <s v="NO1_A1"/>
    <x v="0"/>
    <x v="0"/>
    <x v="2"/>
    <x v="5"/>
    <n v="154.09910728188501"/>
    <n v="9374.3623596480102"/>
    <n v="33747.704494732803"/>
  </r>
  <r>
    <x v="0"/>
    <x v="0"/>
    <x v="0"/>
    <x v="6"/>
    <x v="7"/>
    <s v="NO1_A1"/>
    <x v="0"/>
    <x v="0"/>
    <x v="2"/>
    <x v="6"/>
    <n v="178.96950807993099"/>
    <n v="10887.3117415291"/>
    <n v="39194.322269504803"/>
  </r>
  <r>
    <x v="0"/>
    <x v="0"/>
    <x v="0"/>
    <x v="6"/>
    <x v="7"/>
    <s v="NO1_A1"/>
    <x v="0"/>
    <x v="0"/>
    <x v="2"/>
    <x v="7"/>
    <n v="195.240048705953"/>
    <n v="11877.102962945501"/>
    <n v="42757.570666603802"/>
  </r>
  <r>
    <x v="0"/>
    <x v="0"/>
    <x v="0"/>
    <x v="6"/>
    <x v="7"/>
    <s v="NO1_A1"/>
    <x v="0"/>
    <x v="0"/>
    <x v="2"/>
    <x v="8"/>
    <n v="196.38316070523601"/>
    <n v="11946.642276235199"/>
    <n v="43007.912194446799"/>
  </r>
  <r>
    <x v="0"/>
    <x v="0"/>
    <x v="0"/>
    <x v="6"/>
    <x v="7"/>
    <s v="NO1_A1"/>
    <x v="0"/>
    <x v="0"/>
    <x v="2"/>
    <x v="9"/>
    <n v="192.68036336228101"/>
    <n v="11721.3887712054"/>
    <n v="42196.999576339498"/>
  </r>
  <r>
    <x v="0"/>
    <x v="0"/>
    <x v="0"/>
    <x v="6"/>
    <x v="7"/>
    <s v="NO1_A1"/>
    <x v="0"/>
    <x v="0"/>
    <x v="2"/>
    <x v="10"/>
    <n v="185.00932898909599"/>
    <n v="11254.73418017"/>
    <n v="40517.043048612002"/>
  </r>
  <r>
    <x v="0"/>
    <x v="0"/>
    <x v="0"/>
    <x v="6"/>
    <x v="7"/>
    <s v="NO1_A1"/>
    <x v="0"/>
    <x v="0"/>
    <x v="2"/>
    <x v="11"/>
    <n v="179.09699614595999"/>
    <n v="10895.0672655459"/>
    <n v="39222.242155965301"/>
  </r>
  <r>
    <x v="0"/>
    <x v="0"/>
    <x v="0"/>
    <x v="6"/>
    <x v="7"/>
    <s v="NO1_A1"/>
    <x v="0"/>
    <x v="0"/>
    <x v="3"/>
    <x v="0"/>
    <n v="143.02066804390299"/>
    <n v="8700.4239726707692"/>
    <n v="31321.526301614798"/>
  </r>
  <r>
    <x v="0"/>
    <x v="0"/>
    <x v="0"/>
    <x v="6"/>
    <x v="7"/>
    <s v="NO1_A1"/>
    <x v="0"/>
    <x v="0"/>
    <x v="3"/>
    <x v="1"/>
    <n v="143.27284635304301"/>
    <n v="8715.7648198101397"/>
    <n v="31376.7533513165"/>
  </r>
  <r>
    <x v="0"/>
    <x v="0"/>
    <x v="0"/>
    <x v="6"/>
    <x v="7"/>
    <s v="NO1_A1"/>
    <x v="0"/>
    <x v="0"/>
    <x v="3"/>
    <x v="2"/>
    <n v="145.284226268824"/>
    <n v="8838.1237646867903"/>
    <n v="31817.245552872399"/>
  </r>
  <r>
    <x v="0"/>
    <x v="0"/>
    <x v="0"/>
    <x v="6"/>
    <x v="7"/>
    <s v="NO1_A1"/>
    <x v="0"/>
    <x v="0"/>
    <x v="3"/>
    <x v="3"/>
    <n v="147.734714224203"/>
    <n v="8987.1951153056707"/>
    <n v="32353.902415100401"/>
  </r>
  <r>
    <x v="0"/>
    <x v="0"/>
    <x v="0"/>
    <x v="6"/>
    <x v="7"/>
    <s v="NO1_A1"/>
    <x v="0"/>
    <x v="0"/>
    <x v="3"/>
    <x v="4"/>
    <n v="156.41206686295001"/>
    <n v="9515.0674008294809"/>
    <n v="34254.242642986101"/>
  </r>
  <r>
    <x v="0"/>
    <x v="0"/>
    <x v="0"/>
    <x v="6"/>
    <x v="7"/>
    <s v="NO1_A1"/>
    <x v="0"/>
    <x v="0"/>
    <x v="3"/>
    <x v="5"/>
    <n v="168.353783889048"/>
    <n v="10241.5218532504"/>
    <n v="36869.478671701399"/>
  </r>
  <r>
    <x v="0"/>
    <x v="0"/>
    <x v="0"/>
    <x v="6"/>
    <x v="7"/>
    <s v="NO1_A1"/>
    <x v="0"/>
    <x v="0"/>
    <x v="3"/>
    <x v="6"/>
    <n v="195.41119804253901"/>
    <n v="11887.5145475878"/>
    <n v="42795.052371316"/>
  </r>
  <r>
    <x v="0"/>
    <x v="0"/>
    <x v="0"/>
    <x v="6"/>
    <x v="7"/>
    <s v="NO1_A1"/>
    <x v="0"/>
    <x v="0"/>
    <x v="3"/>
    <x v="7"/>
    <n v="213.85046937224001"/>
    <n v="13009.236886811301"/>
    <n v="46833.252792520703"/>
  </r>
  <r>
    <x v="0"/>
    <x v="0"/>
    <x v="0"/>
    <x v="6"/>
    <x v="7"/>
    <s v="NO1_A1"/>
    <x v="0"/>
    <x v="0"/>
    <x v="3"/>
    <x v="8"/>
    <n v="215.863149150803"/>
    <n v="13131.674906673799"/>
    <n v="47274.029664025802"/>
  </r>
  <r>
    <x v="0"/>
    <x v="0"/>
    <x v="0"/>
    <x v="6"/>
    <x v="7"/>
    <s v="NO1_A1"/>
    <x v="0"/>
    <x v="0"/>
    <x v="3"/>
    <x v="9"/>
    <n v="213.86695251218299"/>
    <n v="13010.2396111578"/>
    <n v="46836.862600168002"/>
  </r>
  <r>
    <x v="0"/>
    <x v="0"/>
    <x v="0"/>
    <x v="6"/>
    <x v="7"/>
    <s v="NO1_A1"/>
    <x v="0"/>
    <x v="0"/>
    <x v="3"/>
    <x v="10"/>
    <n v="206.11858880995899"/>
    <n v="12538.880819272499"/>
    <n v="45139.970949381001"/>
  </r>
  <r>
    <x v="0"/>
    <x v="0"/>
    <x v="0"/>
    <x v="6"/>
    <x v="7"/>
    <s v="NO1_A1"/>
    <x v="0"/>
    <x v="0"/>
    <x v="3"/>
    <x v="11"/>
    <n v="198.40984098467001"/>
    <n v="12069.9319932341"/>
    <n v="43451.755175642698"/>
  </r>
  <r>
    <x v="0"/>
    <x v="0"/>
    <x v="0"/>
    <x v="6"/>
    <x v="7"/>
    <s v="NO1_A1"/>
    <x v="0"/>
    <x v="0"/>
    <x v="4"/>
    <x v="0"/>
    <n v="123.200384981646"/>
    <n v="7494.6900863834899"/>
    <n v="26980.8843109806"/>
  </r>
  <r>
    <x v="0"/>
    <x v="0"/>
    <x v="0"/>
    <x v="6"/>
    <x v="7"/>
    <s v="NO1_A1"/>
    <x v="0"/>
    <x v="0"/>
    <x v="4"/>
    <x v="1"/>
    <n v="122.23781325456"/>
    <n v="7436.1336396524002"/>
    <n v="26770.081102748602"/>
  </r>
  <r>
    <x v="0"/>
    <x v="0"/>
    <x v="0"/>
    <x v="6"/>
    <x v="7"/>
    <s v="NO1_A1"/>
    <x v="0"/>
    <x v="0"/>
    <x v="4"/>
    <x v="2"/>
    <n v="122.907119743493"/>
    <n v="7476.8497843958003"/>
    <n v="26916.6592238249"/>
  </r>
  <r>
    <x v="0"/>
    <x v="0"/>
    <x v="0"/>
    <x v="6"/>
    <x v="7"/>
    <s v="NO1_A1"/>
    <x v="0"/>
    <x v="0"/>
    <x v="4"/>
    <x v="3"/>
    <n v="124.637038442497"/>
    <n v="7582.0865052519102"/>
    <n v="27295.511418906899"/>
  </r>
  <r>
    <x v="0"/>
    <x v="0"/>
    <x v="0"/>
    <x v="6"/>
    <x v="7"/>
    <s v="NO1_A1"/>
    <x v="0"/>
    <x v="0"/>
    <x v="4"/>
    <x v="4"/>
    <n v="129.138816302571"/>
    <n v="7855.9446584063799"/>
    <n v="28281.400770263001"/>
  </r>
  <r>
    <x v="0"/>
    <x v="0"/>
    <x v="0"/>
    <x v="6"/>
    <x v="7"/>
    <s v="NO1_A1"/>
    <x v="0"/>
    <x v="0"/>
    <x v="4"/>
    <x v="5"/>
    <n v="140.21205670665401"/>
    <n v="8529.5667829881004"/>
    <n v="30706.4404187572"/>
  </r>
  <r>
    <x v="0"/>
    <x v="0"/>
    <x v="0"/>
    <x v="6"/>
    <x v="7"/>
    <s v="NO1_A1"/>
    <x v="0"/>
    <x v="0"/>
    <x v="4"/>
    <x v="6"/>
    <n v="163.39477775936601"/>
    <n v="9939.8489803614102"/>
    <n v="35783.456329301102"/>
  </r>
  <r>
    <x v="0"/>
    <x v="0"/>
    <x v="0"/>
    <x v="6"/>
    <x v="7"/>
    <s v="NO1_A1"/>
    <x v="0"/>
    <x v="0"/>
    <x v="4"/>
    <x v="7"/>
    <n v="179.14253202808499"/>
    <n v="10897.8373650419"/>
    <n v="39232.214514150699"/>
  </r>
  <r>
    <x v="0"/>
    <x v="0"/>
    <x v="0"/>
    <x v="6"/>
    <x v="7"/>
    <s v="NO1_A1"/>
    <x v="0"/>
    <x v="0"/>
    <x v="4"/>
    <x v="8"/>
    <n v="181.11630571439301"/>
    <n v="11017.908597625599"/>
    <n v="39664.470951452"/>
  </r>
  <r>
    <x v="0"/>
    <x v="0"/>
    <x v="0"/>
    <x v="6"/>
    <x v="7"/>
    <s v="NO1_A1"/>
    <x v="0"/>
    <x v="0"/>
    <x v="4"/>
    <x v="9"/>
    <n v="178.78399923778099"/>
    <n v="10876.0266202983"/>
    <n v="39153.695833074002"/>
  </r>
  <r>
    <x v="0"/>
    <x v="0"/>
    <x v="0"/>
    <x v="6"/>
    <x v="7"/>
    <s v="NO1_A1"/>
    <x v="0"/>
    <x v="0"/>
    <x v="4"/>
    <x v="10"/>
    <n v="173.11363618704601"/>
    <n v="10531.079534712"/>
    <n v="37911.886324963198"/>
  </r>
  <r>
    <x v="0"/>
    <x v="0"/>
    <x v="0"/>
    <x v="6"/>
    <x v="7"/>
    <s v="NO1_A1"/>
    <x v="0"/>
    <x v="0"/>
    <x v="4"/>
    <x v="11"/>
    <n v="168.495196497363"/>
    <n v="10250.1244535896"/>
    <n v="36900.448032922497"/>
  </r>
  <r>
    <x v="0"/>
    <x v="0"/>
    <x v="0"/>
    <x v="6"/>
    <x v="7"/>
    <s v="NO1_A1"/>
    <x v="0"/>
    <x v="0"/>
    <x v="5"/>
    <x v="0"/>
    <n v="120.84823928789901"/>
    <n v="7351.6012233471702"/>
    <n v="26465.764404049802"/>
  </r>
  <r>
    <x v="0"/>
    <x v="0"/>
    <x v="0"/>
    <x v="6"/>
    <x v="7"/>
    <s v="NO1_A1"/>
    <x v="0"/>
    <x v="0"/>
    <x v="5"/>
    <x v="1"/>
    <n v="119.32722604988"/>
    <n v="7259.0729180343396"/>
    <n v="26132.662504923599"/>
  </r>
  <r>
    <x v="0"/>
    <x v="0"/>
    <x v="0"/>
    <x v="6"/>
    <x v="7"/>
    <s v="NO1_A1"/>
    <x v="0"/>
    <x v="0"/>
    <x v="5"/>
    <x v="2"/>
    <n v="119.71394639310201"/>
    <n v="7282.5984055803501"/>
    <n v="26217.354260089302"/>
  </r>
  <r>
    <x v="0"/>
    <x v="0"/>
    <x v="0"/>
    <x v="6"/>
    <x v="7"/>
    <s v="NO1_A1"/>
    <x v="0"/>
    <x v="0"/>
    <x v="5"/>
    <x v="3"/>
    <n v="120.767917048638"/>
    <n v="7346.7149537921696"/>
    <n v="26448.173833651799"/>
  </r>
  <r>
    <x v="0"/>
    <x v="0"/>
    <x v="0"/>
    <x v="6"/>
    <x v="7"/>
    <s v="NO1_A1"/>
    <x v="0"/>
    <x v="0"/>
    <x v="5"/>
    <x v="4"/>
    <n v="123.1595047325"/>
    <n v="7492.2032045604101"/>
    <n v="26971.931536417502"/>
  </r>
  <r>
    <x v="0"/>
    <x v="0"/>
    <x v="0"/>
    <x v="6"/>
    <x v="7"/>
    <s v="NO1_A1"/>
    <x v="0"/>
    <x v="0"/>
    <x v="5"/>
    <x v="5"/>
    <n v="132.51953998591699"/>
    <n v="8061.6053491432604"/>
    <n v="29021.779256915699"/>
  </r>
  <r>
    <x v="0"/>
    <x v="0"/>
    <x v="0"/>
    <x v="6"/>
    <x v="7"/>
    <s v="NO1_A1"/>
    <x v="0"/>
    <x v="0"/>
    <x v="5"/>
    <x v="6"/>
    <n v="154.37811179344399"/>
    <n v="9391.3351341011894"/>
    <n v="33808.806482764303"/>
  </r>
  <r>
    <x v="0"/>
    <x v="0"/>
    <x v="0"/>
    <x v="6"/>
    <x v="7"/>
    <s v="NO1_A1"/>
    <x v="0"/>
    <x v="0"/>
    <x v="5"/>
    <x v="7"/>
    <n v="168.645620282783"/>
    <n v="10259.275233869301"/>
    <n v="36933.390841929497"/>
  </r>
  <r>
    <x v="0"/>
    <x v="0"/>
    <x v="0"/>
    <x v="6"/>
    <x v="7"/>
    <s v="NO1_A1"/>
    <x v="0"/>
    <x v="0"/>
    <x v="5"/>
    <x v="8"/>
    <n v="169.027795195181"/>
    <n v="10282.5242077069"/>
    <n v="37017.0871477447"/>
  </r>
  <r>
    <x v="0"/>
    <x v="0"/>
    <x v="0"/>
    <x v="6"/>
    <x v="7"/>
    <s v="NO1_A1"/>
    <x v="0"/>
    <x v="0"/>
    <x v="5"/>
    <x v="9"/>
    <n v="166.821067616151"/>
    <n v="10148.281613315899"/>
    <n v="36533.813807937098"/>
  </r>
  <r>
    <x v="0"/>
    <x v="0"/>
    <x v="0"/>
    <x v="6"/>
    <x v="7"/>
    <s v="NO1_A1"/>
    <x v="0"/>
    <x v="0"/>
    <x v="5"/>
    <x v="10"/>
    <n v="161.91617685007199"/>
    <n v="9849.9007583793591"/>
    <n v="35459.642730165702"/>
  </r>
  <r>
    <x v="0"/>
    <x v="0"/>
    <x v="0"/>
    <x v="6"/>
    <x v="7"/>
    <s v="NO1_A1"/>
    <x v="0"/>
    <x v="0"/>
    <x v="5"/>
    <x v="11"/>
    <n v="157.827621694264"/>
    <n v="9601.1803197344198"/>
    <n v="34564.249151043899"/>
  </r>
  <r>
    <x v="0"/>
    <x v="0"/>
    <x v="0"/>
    <x v="6"/>
    <x v="7"/>
    <s v="NO1_A1"/>
    <x v="0"/>
    <x v="0"/>
    <x v="6"/>
    <x v="0"/>
    <n v="143.88269398297999"/>
    <n v="8752.8638839646301"/>
    <n v="31510.309982272702"/>
  </r>
  <r>
    <x v="0"/>
    <x v="0"/>
    <x v="0"/>
    <x v="6"/>
    <x v="7"/>
    <s v="NO1_A1"/>
    <x v="0"/>
    <x v="0"/>
    <x v="6"/>
    <x v="1"/>
    <n v="143.63390317512901"/>
    <n v="8737.7291098203696"/>
    <n v="31455.824795353299"/>
  </r>
  <r>
    <x v="0"/>
    <x v="0"/>
    <x v="0"/>
    <x v="6"/>
    <x v="7"/>
    <s v="NO1_A1"/>
    <x v="0"/>
    <x v="0"/>
    <x v="6"/>
    <x v="2"/>
    <n v="145.786633806796"/>
    <n v="8868.6868899134406"/>
    <n v="31927.2728036884"/>
  </r>
  <r>
    <x v="0"/>
    <x v="0"/>
    <x v="0"/>
    <x v="6"/>
    <x v="7"/>
    <s v="NO1_A1"/>
    <x v="0"/>
    <x v="0"/>
    <x v="6"/>
    <x v="3"/>
    <n v="150.56292352302299"/>
    <n v="9159.2445143172608"/>
    <n v="32973.280251542099"/>
  </r>
  <r>
    <x v="0"/>
    <x v="0"/>
    <x v="0"/>
    <x v="6"/>
    <x v="7"/>
    <s v="NO1_A1"/>
    <x v="0"/>
    <x v="0"/>
    <x v="6"/>
    <x v="4"/>
    <n v="158.780517085334"/>
    <n v="9659.1481226911292"/>
    <n v="34772.933241688101"/>
  </r>
  <r>
    <x v="0"/>
    <x v="0"/>
    <x v="0"/>
    <x v="6"/>
    <x v="7"/>
    <s v="NO1_A1"/>
    <x v="0"/>
    <x v="0"/>
    <x v="6"/>
    <x v="5"/>
    <n v="171.74902167113299"/>
    <n v="10448.0654849939"/>
    <n v="37613.035745978101"/>
  </r>
  <r>
    <x v="0"/>
    <x v="0"/>
    <x v="0"/>
    <x v="6"/>
    <x v="7"/>
    <s v="NO1_A1"/>
    <x v="0"/>
    <x v="0"/>
    <x v="6"/>
    <x v="6"/>
    <n v="199.136600598917"/>
    <n v="12114.143203100801"/>
    <n v="43610.915531162798"/>
  </r>
  <r>
    <x v="0"/>
    <x v="0"/>
    <x v="0"/>
    <x v="6"/>
    <x v="7"/>
    <s v="NO1_A1"/>
    <x v="0"/>
    <x v="0"/>
    <x v="6"/>
    <x v="7"/>
    <n v="217.77789454988999"/>
    <n v="13248.155251785"/>
    <n v="47693.358906426001"/>
  </r>
  <r>
    <x v="0"/>
    <x v="0"/>
    <x v="0"/>
    <x v="6"/>
    <x v="7"/>
    <s v="NO1_A1"/>
    <x v="0"/>
    <x v="0"/>
    <x v="6"/>
    <x v="8"/>
    <n v="218.533903873502"/>
    <n v="13294.145818971399"/>
    <n v="47858.924948296997"/>
  </r>
  <r>
    <x v="0"/>
    <x v="0"/>
    <x v="0"/>
    <x v="6"/>
    <x v="7"/>
    <s v="NO1_A1"/>
    <x v="0"/>
    <x v="0"/>
    <x v="6"/>
    <x v="9"/>
    <n v="213.286680930465"/>
    <n v="12974.9397566033"/>
    <n v="46709.783123771798"/>
  </r>
  <r>
    <x v="0"/>
    <x v="0"/>
    <x v="0"/>
    <x v="6"/>
    <x v="7"/>
    <s v="NO1_A1"/>
    <x v="0"/>
    <x v="0"/>
    <x v="6"/>
    <x v="10"/>
    <n v="203.24022784615201"/>
    <n v="12363.780527307599"/>
    <n v="44509.609898307303"/>
  </r>
  <r>
    <x v="0"/>
    <x v="0"/>
    <x v="0"/>
    <x v="6"/>
    <x v="7"/>
    <s v="NO1_A1"/>
    <x v="0"/>
    <x v="0"/>
    <x v="6"/>
    <x v="11"/>
    <n v="191.63422016369199"/>
    <n v="11657.7483932913"/>
    <n v="41967.894215848602"/>
  </r>
  <r>
    <x v="0"/>
    <x v="0"/>
    <x v="0"/>
    <x v="6"/>
    <x v="7"/>
    <s v="NO1_A1"/>
    <x v="0"/>
    <x v="0"/>
    <x v="7"/>
    <x v="0"/>
    <n v="127.72993205932499"/>
    <n v="7770.2375336089499"/>
    <n v="27972.855120992201"/>
  </r>
  <r>
    <x v="0"/>
    <x v="0"/>
    <x v="0"/>
    <x v="6"/>
    <x v="7"/>
    <s v="NO1_A1"/>
    <x v="0"/>
    <x v="0"/>
    <x v="7"/>
    <x v="1"/>
    <n v="129.23272719758199"/>
    <n v="7861.6575711862397"/>
    <n v="28301.9672562704"/>
  </r>
  <r>
    <x v="0"/>
    <x v="0"/>
    <x v="0"/>
    <x v="6"/>
    <x v="7"/>
    <s v="NO1_A1"/>
    <x v="0"/>
    <x v="0"/>
    <x v="7"/>
    <x v="2"/>
    <n v="132.29893489215399"/>
    <n v="8048.1852059393896"/>
    <n v="28973.466741381799"/>
  </r>
  <r>
    <x v="0"/>
    <x v="0"/>
    <x v="0"/>
    <x v="6"/>
    <x v="7"/>
    <s v="NO1_A1"/>
    <x v="0"/>
    <x v="0"/>
    <x v="7"/>
    <x v="3"/>
    <n v="136.85775567107501"/>
    <n v="8325.5134699903792"/>
    <n v="29971.8484919654"/>
  </r>
  <r>
    <x v="0"/>
    <x v="0"/>
    <x v="0"/>
    <x v="6"/>
    <x v="7"/>
    <s v="NO1_A1"/>
    <x v="0"/>
    <x v="0"/>
    <x v="7"/>
    <x v="4"/>
    <n v="147.273653742405"/>
    <n v="8959.1472693296091"/>
    <n v="32252.930169586602"/>
  </r>
  <r>
    <x v="0"/>
    <x v="0"/>
    <x v="0"/>
    <x v="6"/>
    <x v="7"/>
    <s v="NO1_A1"/>
    <x v="0"/>
    <x v="0"/>
    <x v="7"/>
    <x v="5"/>
    <n v="162.80753867350899"/>
    <n v="9904.1252693051592"/>
    <n v="35654.850969498599"/>
  </r>
  <r>
    <x v="0"/>
    <x v="0"/>
    <x v="0"/>
    <x v="6"/>
    <x v="7"/>
    <s v="NO1_A1"/>
    <x v="0"/>
    <x v="0"/>
    <x v="7"/>
    <x v="6"/>
    <n v="189.47408994829399"/>
    <n v="11526.340471854501"/>
    <n v="41494.825698676403"/>
  </r>
  <r>
    <x v="0"/>
    <x v="0"/>
    <x v="0"/>
    <x v="6"/>
    <x v="7"/>
    <s v="NO1_A1"/>
    <x v="0"/>
    <x v="0"/>
    <x v="7"/>
    <x v="7"/>
    <n v="208.83714858248999"/>
    <n v="12704.2598721015"/>
    <n v="45735.3355395654"/>
  </r>
  <r>
    <x v="0"/>
    <x v="0"/>
    <x v="0"/>
    <x v="6"/>
    <x v="7"/>
    <s v="NO1_A1"/>
    <x v="0"/>
    <x v="0"/>
    <x v="7"/>
    <x v="8"/>
    <n v="212.787940660999"/>
    <n v="12944.599723544099"/>
    <n v="46600.559004758703"/>
  </r>
  <r>
    <x v="0"/>
    <x v="0"/>
    <x v="0"/>
    <x v="6"/>
    <x v="7"/>
    <s v="NO1_A1"/>
    <x v="0"/>
    <x v="0"/>
    <x v="7"/>
    <x v="9"/>
    <n v="208.333521566369"/>
    <n v="12673.6225619541"/>
    <n v="45625.041223034801"/>
  </r>
  <r>
    <x v="0"/>
    <x v="0"/>
    <x v="0"/>
    <x v="6"/>
    <x v="7"/>
    <s v="NO1_A1"/>
    <x v="0"/>
    <x v="0"/>
    <x v="7"/>
    <x v="10"/>
    <n v="199.32623801077699"/>
    <n v="12125.679478988901"/>
    <n v="43652.446124360104"/>
  </r>
  <r>
    <x v="0"/>
    <x v="0"/>
    <x v="0"/>
    <x v="6"/>
    <x v="7"/>
    <s v="NO1_A1"/>
    <x v="0"/>
    <x v="0"/>
    <x v="7"/>
    <x v="11"/>
    <n v="188.59494804615099"/>
    <n v="11472.8593394742"/>
    <n v="41302.293622107201"/>
  </r>
  <r>
    <x v="0"/>
    <x v="0"/>
    <x v="0"/>
    <x v="6"/>
    <x v="7"/>
    <s v="NO1_A1"/>
    <x v="0"/>
    <x v="0"/>
    <x v="8"/>
    <x v="0"/>
    <n v="128.68008532468301"/>
    <n v="7828.0385239182297"/>
    <n v="28180.938686105601"/>
  </r>
  <r>
    <x v="0"/>
    <x v="0"/>
    <x v="0"/>
    <x v="6"/>
    <x v="7"/>
    <s v="NO1_A1"/>
    <x v="0"/>
    <x v="0"/>
    <x v="8"/>
    <x v="1"/>
    <n v="128.61366953394"/>
    <n v="7823.9982299813501"/>
    <n v="28166.393627932801"/>
  </r>
  <r>
    <x v="0"/>
    <x v="0"/>
    <x v="0"/>
    <x v="6"/>
    <x v="7"/>
    <s v="NO1_A1"/>
    <x v="0"/>
    <x v="0"/>
    <x v="8"/>
    <x v="2"/>
    <n v="128.63837552655599"/>
    <n v="7825.5011778654898"/>
    <n v="28171.8042403158"/>
  </r>
  <r>
    <x v="0"/>
    <x v="0"/>
    <x v="0"/>
    <x v="6"/>
    <x v="7"/>
    <s v="NO1_A1"/>
    <x v="0"/>
    <x v="0"/>
    <x v="8"/>
    <x v="3"/>
    <n v="129.179953536726"/>
    <n v="7858.44717348419"/>
    <n v="28290.409824543101"/>
  </r>
  <r>
    <x v="0"/>
    <x v="0"/>
    <x v="0"/>
    <x v="6"/>
    <x v="7"/>
    <s v="NO1_A1"/>
    <x v="0"/>
    <x v="0"/>
    <x v="8"/>
    <x v="4"/>
    <n v="134.32595921740401"/>
    <n v="8171.4958523920996"/>
    <n v="29417.385068611598"/>
  </r>
  <r>
    <x v="0"/>
    <x v="0"/>
    <x v="0"/>
    <x v="6"/>
    <x v="7"/>
    <s v="NO1_A1"/>
    <x v="0"/>
    <x v="0"/>
    <x v="8"/>
    <x v="5"/>
    <n v="144.13285915567499"/>
    <n v="8768.0822653035902"/>
    <n v="31565.096155092899"/>
  </r>
  <r>
    <x v="0"/>
    <x v="0"/>
    <x v="0"/>
    <x v="6"/>
    <x v="7"/>
    <s v="NO1_A1"/>
    <x v="0"/>
    <x v="0"/>
    <x v="8"/>
    <x v="6"/>
    <n v="165.94847052443799"/>
    <n v="10095.198623570001"/>
    <n v="36342.715044851902"/>
  </r>
  <r>
    <x v="0"/>
    <x v="0"/>
    <x v="0"/>
    <x v="6"/>
    <x v="7"/>
    <s v="NO1_A1"/>
    <x v="0"/>
    <x v="0"/>
    <x v="8"/>
    <x v="7"/>
    <n v="176.954684341633"/>
    <n v="10764.7432974493"/>
    <n v="38753.0758708176"/>
  </r>
  <r>
    <x v="0"/>
    <x v="0"/>
    <x v="0"/>
    <x v="6"/>
    <x v="7"/>
    <s v="NO1_A1"/>
    <x v="0"/>
    <x v="0"/>
    <x v="8"/>
    <x v="8"/>
    <n v="172.07341814062801"/>
    <n v="10467.7996035548"/>
    <n v="37684.078572797502"/>
  </r>
  <r>
    <x v="0"/>
    <x v="0"/>
    <x v="0"/>
    <x v="6"/>
    <x v="7"/>
    <s v="NO1_A1"/>
    <x v="0"/>
    <x v="0"/>
    <x v="8"/>
    <x v="9"/>
    <n v="162.23363360518499"/>
    <n v="9869.2127109821195"/>
    <n v="35529.165759535601"/>
  </r>
  <r>
    <x v="0"/>
    <x v="0"/>
    <x v="0"/>
    <x v="6"/>
    <x v="7"/>
    <s v="NO1_A1"/>
    <x v="0"/>
    <x v="0"/>
    <x v="8"/>
    <x v="10"/>
    <n v="151.321745949925"/>
    <n v="9205.4062119537793"/>
    <n v="33139.462363033599"/>
  </r>
  <r>
    <x v="0"/>
    <x v="0"/>
    <x v="0"/>
    <x v="6"/>
    <x v="7"/>
    <s v="NO1_A1"/>
    <x v="0"/>
    <x v="0"/>
    <x v="8"/>
    <x v="11"/>
    <n v="143.89270110355201"/>
    <n v="8753.4726504660593"/>
    <n v="31512.501541677801"/>
  </r>
  <r>
    <x v="0"/>
    <x v="0"/>
    <x v="0"/>
    <x v="6"/>
    <x v="7"/>
    <s v="NO1_A1"/>
    <x v="0"/>
    <x v="0"/>
    <x v="9"/>
    <x v="0"/>
    <n v="98.255293754036202"/>
    <n v="5977.1970367038703"/>
    <n v="21517.909332133899"/>
  </r>
  <r>
    <x v="0"/>
    <x v="0"/>
    <x v="0"/>
    <x v="6"/>
    <x v="7"/>
    <s v="NO1_A1"/>
    <x v="0"/>
    <x v="0"/>
    <x v="9"/>
    <x v="1"/>
    <n v="100.131007922241"/>
    <n v="6091.3029819363401"/>
    <n v="21928.690734970802"/>
  </r>
  <r>
    <x v="0"/>
    <x v="0"/>
    <x v="0"/>
    <x v="6"/>
    <x v="7"/>
    <s v="NO1_A1"/>
    <x v="0"/>
    <x v="0"/>
    <x v="9"/>
    <x v="2"/>
    <n v="101.52250483294399"/>
    <n v="6175.9523773374103"/>
    <n v="22233.4285584147"/>
  </r>
  <r>
    <x v="0"/>
    <x v="0"/>
    <x v="0"/>
    <x v="6"/>
    <x v="7"/>
    <s v="NO1_A1"/>
    <x v="0"/>
    <x v="0"/>
    <x v="9"/>
    <x v="3"/>
    <n v="105.038207027345"/>
    <n v="6389.8242608301698"/>
    <n v="23003.367338988599"/>
  </r>
  <r>
    <x v="0"/>
    <x v="0"/>
    <x v="0"/>
    <x v="6"/>
    <x v="7"/>
    <s v="NO1_A1"/>
    <x v="0"/>
    <x v="0"/>
    <x v="9"/>
    <x v="4"/>
    <n v="110.82340380951401"/>
    <n v="6741.7570650787602"/>
    <n v="24270.325434283499"/>
  </r>
  <r>
    <x v="0"/>
    <x v="0"/>
    <x v="0"/>
    <x v="6"/>
    <x v="7"/>
    <s v="NO1_A1"/>
    <x v="0"/>
    <x v="0"/>
    <x v="9"/>
    <x v="5"/>
    <n v="121.156882504157"/>
    <n v="7370.3770190028599"/>
    <n v="26533.357268410298"/>
  </r>
  <r>
    <x v="0"/>
    <x v="0"/>
    <x v="0"/>
    <x v="6"/>
    <x v="7"/>
    <s v="NO1_A1"/>
    <x v="0"/>
    <x v="0"/>
    <x v="9"/>
    <x v="6"/>
    <n v="143.751687760897"/>
    <n v="8744.8943387879208"/>
    <n v="31481.619619636502"/>
  </r>
  <r>
    <x v="0"/>
    <x v="0"/>
    <x v="0"/>
    <x v="6"/>
    <x v="7"/>
    <s v="NO1_A1"/>
    <x v="0"/>
    <x v="0"/>
    <x v="9"/>
    <x v="7"/>
    <n v="160.32574532730101"/>
    <n v="9753.1495074108097"/>
    <n v="35111.338226678898"/>
  </r>
  <r>
    <x v="0"/>
    <x v="0"/>
    <x v="0"/>
    <x v="6"/>
    <x v="7"/>
    <s v="NO1_A1"/>
    <x v="0"/>
    <x v="0"/>
    <x v="9"/>
    <x v="8"/>
    <n v="162.136633417209"/>
    <n v="9863.3118662135694"/>
    <n v="35507.9227183689"/>
  </r>
  <r>
    <x v="0"/>
    <x v="0"/>
    <x v="0"/>
    <x v="6"/>
    <x v="7"/>
    <s v="NO1_A1"/>
    <x v="0"/>
    <x v="0"/>
    <x v="9"/>
    <x v="9"/>
    <n v="154.80925261299501"/>
    <n v="9417.5628672905295"/>
    <n v="33903.226322245901"/>
  </r>
  <r>
    <x v="0"/>
    <x v="0"/>
    <x v="0"/>
    <x v="6"/>
    <x v="7"/>
    <s v="NO1_A1"/>
    <x v="0"/>
    <x v="0"/>
    <x v="9"/>
    <x v="10"/>
    <n v="142.71662643514301"/>
    <n v="8681.9281081378904"/>
    <n v="31254.941189296402"/>
  </r>
  <r>
    <x v="0"/>
    <x v="0"/>
    <x v="0"/>
    <x v="6"/>
    <x v="7"/>
    <s v="NO1_A1"/>
    <x v="0"/>
    <x v="0"/>
    <x v="9"/>
    <x v="11"/>
    <n v="132.903054749852"/>
    <n v="8084.9358306160102"/>
    <n v="29105.768990217599"/>
  </r>
  <r>
    <x v="0"/>
    <x v="0"/>
    <x v="0"/>
    <x v="6"/>
    <x v="7"/>
    <s v="NO1_A1"/>
    <x v="0"/>
    <x v="0"/>
    <x v="10"/>
    <x v="0"/>
    <n v="70.820677130376097"/>
    <n v="4308.2578587645503"/>
    <n v="15509.728291552399"/>
  </r>
  <r>
    <x v="0"/>
    <x v="0"/>
    <x v="0"/>
    <x v="6"/>
    <x v="7"/>
    <s v="NO1_A1"/>
    <x v="0"/>
    <x v="0"/>
    <x v="10"/>
    <x v="1"/>
    <n v="74.166597885359806"/>
    <n v="4511.80137135939"/>
    <n v="16242.484936893799"/>
  </r>
  <r>
    <x v="0"/>
    <x v="0"/>
    <x v="0"/>
    <x v="6"/>
    <x v="7"/>
    <s v="NO1_A1"/>
    <x v="0"/>
    <x v="0"/>
    <x v="10"/>
    <x v="2"/>
    <n v="76.135672871588795"/>
    <n v="4631.5867663549798"/>
    <n v="16673.7123588779"/>
  </r>
  <r>
    <x v="0"/>
    <x v="0"/>
    <x v="0"/>
    <x v="6"/>
    <x v="7"/>
    <s v="NO1_A1"/>
    <x v="0"/>
    <x v="0"/>
    <x v="10"/>
    <x v="3"/>
    <n v="80.136271668475302"/>
    <n v="4874.9565264989096"/>
    <n v="17549.8434953961"/>
  </r>
  <r>
    <x v="0"/>
    <x v="0"/>
    <x v="0"/>
    <x v="6"/>
    <x v="7"/>
    <s v="NO1_A1"/>
    <x v="0"/>
    <x v="0"/>
    <x v="10"/>
    <x v="4"/>
    <n v="84.6393277267386"/>
    <n v="5148.8924367099298"/>
    <n v="18536.012772155798"/>
  </r>
  <r>
    <x v="0"/>
    <x v="0"/>
    <x v="0"/>
    <x v="6"/>
    <x v="7"/>
    <s v="NO1_A1"/>
    <x v="0"/>
    <x v="0"/>
    <x v="10"/>
    <x v="5"/>
    <n v="94.228339457336105"/>
    <n v="5732.2239836546096"/>
    <n v="20636.006341156601"/>
  </r>
  <r>
    <x v="0"/>
    <x v="0"/>
    <x v="0"/>
    <x v="6"/>
    <x v="7"/>
    <s v="NO1_A1"/>
    <x v="0"/>
    <x v="0"/>
    <x v="10"/>
    <x v="6"/>
    <n v="113.25323974086599"/>
    <n v="6889.5720842360197"/>
    <n v="24802.459503249702"/>
  </r>
  <r>
    <x v="0"/>
    <x v="0"/>
    <x v="0"/>
    <x v="6"/>
    <x v="7"/>
    <s v="NO1_A1"/>
    <x v="0"/>
    <x v="0"/>
    <x v="10"/>
    <x v="7"/>
    <n v="124.30117437120199"/>
    <n v="7561.6547742481098"/>
    <n v="27221.957187293199"/>
  </r>
  <r>
    <x v="0"/>
    <x v="0"/>
    <x v="0"/>
    <x v="6"/>
    <x v="7"/>
    <s v="NO1_A1"/>
    <x v="0"/>
    <x v="0"/>
    <x v="10"/>
    <x v="8"/>
    <n v="122.107550149136"/>
    <n v="7428.2093007391404"/>
    <n v="26741.5534826609"/>
  </r>
  <r>
    <x v="0"/>
    <x v="0"/>
    <x v="0"/>
    <x v="6"/>
    <x v="7"/>
    <s v="NO1_A1"/>
    <x v="0"/>
    <x v="0"/>
    <x v="10"/>
    <x v="9"/>
    <n v="111.21673931919101"/>
    <n v="6765.6849752507796"/>
    <n v="24356.4659109028"/>
  </r>
  <r>
    <x v="0"/>
    <x v="0"/>
    <x v="0"/>
    <x v="6"/>
    <x v="7"/>
    <s v="NO1_A1"/>
    <x v="0"/>
    <x v="0"/>
    <x v="10"/>
    <x v="10"/>
    <n v="94.902330791040896"/>
    <n v="5773.2251231216496"/>
    <n v="20783.6104432379"/>
  </r>
  <r>
    <x v="0"/>
    <x v="0"/>
    <x v="0"/>
    <x v="6"/>
    <x v="7"/>
    <s v="NO1_A1"/>
    <x v="0"/>
    <x v="0"/>
    <x v="10"/>
    <x v="11"/>
    <n v="81.225451594691407"/>
    <n v="4941.2149720103898"/>
    <n v="17788.373899237398"/>
  </r>
  <r>
    <x v="0"/>
    <x v="0"/>
    <x v="0"/>
    <x v="6"/>
    <x v="7"/>
    <s v="NO1_A1"/>
    <x v="0"/>
    <x v="0"/>
    <x v="11"/>
    <x v="0"/>
    <n v="73.143374497078099"/>
    <n v="4449.5552819055802"/>
    <n v="16018.399014860101"/>
  </r>
  <r>
    <x v="0"/>
    <x v="0"/>
    <x v="0"/>
    <x v="6"/>
    <x v="7"/>
    <s v="NO1_A1"/>
    <x v="0"/>
    <x v="0"/>
    <x v="11"/>
    <x v="1"/>
    <n v="74.607450949794796"/>
    <n v="4538.6199327791901"/>
    <n v="16339.0317580051"/>
  </r>
  <r>
    <x v="0"/>
    <x v="0"/>
    <x v="0"/>
    <x v="6"/>
    <x v="7"/>
    <s v="NO1_A1"/>
    <x v="0"/>
    <x v="0"/>
    <x v="11"/>
    <x v="2"/>
    <n v="75.691014328621307"/>
    <n v="4604.5367049911301"/>
    <n v="16576.3321379681"/>
  </r>
  <r>
    <x v="0"/>
    <x v="0"/>
    <x v="0"/>
    <x v="6"/>
    <x v="7"/>
    <s v="NO1_A1"/>
    <x v="0"/>
    <x v="0"/>
    <x v="11"/>
    <x v="3"/>
    <n v="79.478454591951504"/>
    <n v="4834.9393210103799"/>
    <n v="17405.781555637401"/>
  </r>
  <r>
    <x v="0"/>
    <x v="0"/>
    <x v="0"/>
    <x v="6"/>
    <x v="7"/>
    <s v="NO1_A1"/>
    <x v="0"/>
    <x v="0"/>
    <x v="11"/>
    <x v="4"/>
    <n v="84.283743051855097"/>
    <n v="5127.2610356545201"/>
    <n v="18458.139728356298"/>
  </r>
  <r>
    <x v="0"/>
    <x v="0"/>
    <x v="0"/>
    <x v="6"/>
    <x v="7"/>
    <s v="NO1_A1"/>
    <x v="0"/>
    <x v="0"/>
    <x v="11"/>
    <x v="5"/>
    <n v="93.995038446478404"/>
    <n v="5718.0315054941002"/>
    <n v="20584.913419778801"/>
  </r>
  <r>
    <x v="0"/>
    <x v="0"/>
    <x v="0"/>
    <x v="6"/>
    <x v="7"/>
    <s v="NO1_A1"/>
    <x v="0"/>
    <x v="0"/>
    <x v="11"/>
    <x v="6"/>
    <n v="113.089134851567"/>
    <n v="6879.5890368036698"/>
    <n v="24766.520532493199"/>
  </r>
  <r>
    <x v="0"/>
    <x v="0"/>
    <x v="0"/>
    <x v="6"/>
    <x v="7"/>
    <s v="NO1_A1"/>
    <x v="0"/>
    <x v="0"/>
    <x v="11"/>
    <x v="7"/>
    <n v="125.162230848996"/>
    <n v="7614.0357099806097"/>
    <n v="27410.528555930199"/>
  </r>
  <r>
    <x v="0"/>
    <x v="0"/>
    <x v="0"/>
    <x v="6"/>
    <x v="7"/>
    <s v="NO1_A1"/>
    <x v="0"/>
    <x v="0"/>
    <x v="11"/>
    <x v="8"/>
    <n v="126.88681727854301"/>
    <n v="7718.9480511113898"/>
    <n v="27788.212984000998"/>
  </r>
  <r>
    <x v="0"/>
    <x v="0"/>
    <x v="0"/>
    <x v="6"/>
    <x v="7"/>
    <s v="NO1_A1"/>
    <x v="0"/>
    <x v="0"/>
    <x v="11"/>
    <x v="9"/>
    <n v="122.523183327368"/>
    <n v="7453.4936524149098"/>
    <n v="26832.577148693701"/>
  </r>
  <r>
    <x v="0"/>
    <x v="0"/>
    <x v="0"/>
    <x v="6"/>
    <x v="7"/>
    <s v="NO1_A1"/>
    <x v="0"/>
    <x v="0"/>
    <x v="11"/>
    <x v="10"/>
    <n v="117.516778231301"/>
    <n v="7148.9373424041596"/>
    <n v="25736.174432655"/>
  </r>
  <r>
    <x v="0"/>
    <x v="0"/>
    <x v="0"/>
    <x v="6"/>
    <x v="7"/>
    <s v="NO1_A1"/>
    <x v="0"/>
    <x v="0"/>
    <x v="11"/>
    <x v="11"/>
    <n v="110.057565579148"/>
    <n v="6695.1685727315198"/>
    <n v="24102.606861833501"/>
  </r>
  <r>
    <x v="0"/>
    <x v="0"/>
    <x v="0"/>
    <x v="6"/>
    <x v="7"/>
    <s v="NO1_A2"/>
    <x v="0"/>
    <x v="0"/>
    <x v="0"/>
    <x v="0"/>
    <n v="131.442486494245"/>
    <n v="7996.0845950665498"/>
    <n v="28785.904542239601"/>
  </r>
  <r>
    <x v="0"/>
    <x v="0"/>
    <x v="0"/>
    <x v="6"/>
    <x v="7"/>
    <s v="NO1_A2"/>
    <x v="0"/>
    <x v="0"/>
    <x v="0"/>
    <x v="1"/>
    <n v="130.209863188996"/>
    <n v="7921.1000106639403"/>
    <n v="28515.9600383902"/>
  </r>
  <r>
    <x v="0"/>
    <x v="0"/>
    <x v="0"/>
    <x v="6"/>
    <x v="7"/>
    <s v="NO1_A2"/>
    <x v="0"/>
    <x v="0"/>
    <x v="0"/>
    <x v="2"/>
    <n v="130.210251991142"/>
    <n v="7921.12366279447"/>
    <n v="28516.045186060099"/>
  </r>
  <r>
    <x v="0"/>
    <x v="0"/>
    <x v="0"/>
    <x v="6"/>
    <x v="7"/>
    <s v="NO1_A2"/>
    <x v="0"/>
    <x v="0"/>
    <x v="0"/>
    <x v="3"/>
    <n v="132.813655339626"/>
    <n v="8079.4973664939398"/>
    <n v="29086.1905193782"/>
  </r>
  <r>
    <x v="0"/>
    <x v="0"/>
    <x v="0"/>
    <x v="6"/>
    <x v="7"/>
    <s v="NO1_A2"/>
    <x v="0"/>
    <x v="0"/>
    <x v="0"/>
    <x v="4"/>
    <n v="141.70080454159699"/>
    <n v="8620.1322762804994"/>
    <n v="31032.476194609801"/>
  </r>
  <r>
    <x v="0"/>
    <x v="0"/>
    <x v="0"/>
    <x v="6"/>
    <x v="7"/>
    <s v="NO1_A2"/>
    <x v="0"/>
    <x v="0"/>
    <x v="0"/>
    <x v="5"/>
    <n v="154.75658881816699"/>
    <n v="9414.3591531051807"/>
    <n v="33891.692951178702"/>
  </r>
  <r>
    <x v="0"/>
    <x v="0"/>
    <x v="0"/>
    <x v="6"/>
    <x v="7"/>
    <s v="NO1_A2"/>
    <x v="0"/>
    <x v="0"/>
    <x v="0"/>
    <x v="6"/>
    <n v="180.71469337305101"/>
    <n v="10993.477180194001"/>
    <n v="39576.517848698299"/>
  </r>
  <r>
    <x v="0"/>
    <x v="0"/>
    <x v="0"/>
    <x v="6"/>
    <x v="7"/>
    <s v="NO1_A2"/>
    <x v="0"/>
    <x v="0"/>
    <x v="0"/>
    <x v="7"/>
    <n v="198.65047057979001"/>
    <n v="12084.5702936039"/>
    <n v="43504.453056974096"/>
  </r>
  <r>
    <x v="0"/>
    <x v="0"/>
    <x v="0"/>
    <x v="6"/>
    <x v="7"/>
    <s v="NO1_A2"/>
    <x v="0"/>
    <x v="0"/>
    <x v="0"/>
    <x v="8"/>
    <n v="202.09730415857899"/>
    <n v="12294.252669646899"/>
    <n v="44259.3096107288"/>
  </r>
  <r>
    <x v="0"/>
    <x v="0"/>
    <x v="0"/>
    <x v="6"/>
    <x v="7"/>
    <s v="NO1_A2"/>
    <x v="0"/>
    <x v="0"/>
    <x v="0"/>
    <x v="9"/>
    <n v="196.26485140789501"/>
    <n v="11939.4451273136"/>
    <n v="42982.002458328898"/>
  </r>
  <r>
    <x v="0"/>
    <x v="0"/>
    <x v="0"/>
    <x v="6"/>
    <x v="7"/>
    <s v="NO1_A2"/>
    <x v="0"/>
    <x v="0"/>
    <x v="0"/>
    <x v="10"/>
    <n v="194.672988504904"/>
    <n v="11842.606800715001"/>
    <n v="42633.3844825739"/>
  </r>
  <r>
    <x v="0"/>
    <x v="0"/>
    <x v="0"/>
    <x v="6"/>
    <x v="7"/>
    <s v="NO1_A2"/>
    <x v="0"/>
    <x v="0"/>
    <x v="0"/>
    <x v="11"/>
    <n v="194.18961652502401"/>
    <n v="11813.201671938899"/>
    <n v="42527.526018980199"/>
  </r>
  <r>
    <x v="0"/>
    <x v="0"/>
    <x v="0"/>
    <x v="6"/>
    <x v="7"/>
    <s v="NO1_A2"/>
    <x v="0"/>
    <x v="0"/>
    <x v="1"/>
    <x v="0"/>
    <n v="188.292961050635"/>
    <n v="11454.4884639136"/>
    <n v="41236.158470089104"/>
  </r>
  <r>
    <x v="0"/>
    <x v="0"/>
    <x v="0"/>
    <x v="6"/>
    <x v="7"/>
    <s v="NO1_A2"/>
    <x v="0"/>
    <x v="0"/>
    <x v="1"/>
    <x v="1"/>
    <n v="189.654612893039"/>
    <n v="11537.322284326599"/>
    <n v="41534.360223575597"/>
  </r>
  <r>
    <x v="0"/>
    <x v="0"/>
    <x v="0"/>
    <x v="6"/>
    <x v="7"/>
    <s v="NO1_A2"/>
    <x v="0"/>
    <x v="0"/>
    <x v="1"/>
    <x v="2"/>
    <n v="192.07158674803901"/>
    <n v="11684.3548605057"/>
    <n v="42063.677497820499"/>
  </r>
  <r>
    <x v="0"/>
    <x v="0"/>
    <x v="0"/>
    <x v="6"/>
    <x v="7"/>
    <s v="NO1_A2"/>
    <x v="0"/>
    <x v="0"/>
    <x v="1"/>
    <x v="3"/>
    <n v="201.922945910295"/>
    <n v="12283.645876209601"/>
    <n v="44221.125154354602"/>
  </r>
  <r>
    <x v="0"/>
    <x v="0"/>
    <x v="0"/>
    <x v="6"/>
    <x v="7"/>
    <s v="NO1_A2"/>
    <x v="0"/>
    <x v="0"/>
    <x v="1"/>
    <x v="4"/>
    <n v="217.58590804128701"/>
    <n v="13236.476072511599"/>
    <n v="47651.313861041803"/>
  </r>
  <r>
    <x v="0"/>
    <x v="0"/>
    <x v="0"/>
    <x v="6"/>
    <x v="7"/>
    <s v="NO1_A2"/>
    <x v="0"/>
    <x v="0"/>
    <x v="1"/>
    <x v="5"/>
    <n v="232.87277224742201"/>
    <n v="14166.426978384799"/>
    <n v="50999.137122185297"/>
  </r>
  <r>
    <x v="0"/>
    <x v="0"/>
    <x v="0"/>
    <x v="6"/>
    <x v="7"/>
    <s v="NO1_A2"/>
    <x v="0"/>
    <x v="0"/>
    <x v="1"/>
    <x v="6"/>
    <n v="271.59705923559397"/>
    <n v="16522.154436831999"/>
    <n v="59479.755972595201"/>
  </r>
  <r>
    <x v="0"/>
    <x v="0"/>
    <x v="0"/>
    <x v="6"/>
    <x v="7"/>
    <s v="NO1_A2"/>
    <x v="0"/>
    <x v="0"/>
    <x v="1"/>
    <x v="7"/>
    <n v="298.51863285599501"/>
    <n v="18159.883498739699"/>
    <n v="65375.580595462903"/>
  </r>
  <r>
    <x v="0"/>
    <x v="0"/>
    <x v="0"/>
    <x v="6"/>
    <x v="7"/>
    <s v="NO1_A2"/>
    <x v="0"/>
    <x v="0"/>
    <x v="1"/>
    <x v="8"/>
    <n v="299.27249226691202"/>
    <n v="18205.743279570499"/>
    <n v="65540.675806453801"/>
  </r>
  <r>
    <x v="0"/>
    <x v="0"/>
    <x v="0"/>
    <x v="6"/>
    <x v="7"/>
    <s v="NO1_A2"/>
    <x v="0"/>
    <x v="0"/>
    <x v="1"/>
    <x v="9"/>
    <n v="292.02660598455998"/>
    <n v="17764.951864060698"/>
    <n v="63953.826710618603"/>
  </r>
  <r>
    <x v="0"/>
    <x v="0"/>
    <x v="0"/>
    <x v="6"/>
    <x v="7"/>
    <s v="NO1_A2"/>
    <x v="0"/>
    <x v="0"/>
    <x v="1"/>
    <x v="10"/>
    <n v="280.72001418354898"/>
    <n v="17077.134196165902"/>
    <n v="61477.683106197197"/>
  </r>
  <r>
    <x v="0"/>
    <x v="0"/>
    <x v="0"/>
    <x v="6"/>
    <x v="7"/>
    <s v="NO1_A2"/>
    <x v="0"/>
    <x v="0"/>
    <x v="1"/>
    <x v="11"/>
    <n v="272.72136971460998"/>
    <n v="16590.5499909721"/>
    <n v="59725.979967499603"/>
  </r>
  <r>
    <x v="0"/>
    <x v="0"/>
    <x v="0"/>
    <x v="6"/>
    <x v="7"/>
    <s v="NO1_A2"/>
    <x v="0"/>
    <x v="0"/>
    <x v="2"/>
    <x v="0"/>
    <n v="162.76374932619501"/>
    <n v="9901.4614173435602"/>
    <n v="35645.261102436802"/>
  </r>
  <r>
    <x v="0"/>
    <x v="0"/>
    <x v="0"/>
    <x v="6"/>
    <x v="7"/>
    <s v="NO1_A2"/>
    <x v="0"/>
    <x v="0"/>
    <x v="2"/>
    <x v="1"/>
    <n v="162.56928382680201"/>
    <n v="9889.6314327971395"/>
    <n v="35602.673158069701"/>
  </r>
  <r>
    <x v="0"/>
    <x v="0"/>
    <x v="0"/>
    <x v="6"/>
    <x v="7"/>
    <s v="NO1_A2"/>
    <x v="0"/>
    <x v="0"/>
    <x v="2"/>
    <x v="2"/>
    <n v="164.10593929738701"/>
    <n v="9983.11130725771"/>
    <n v="35939.200706127704"/>
  </r>
  <r>
    <x v="0"/>
    <x v="0"/>
    <x v="0"/>
    <x v="6"/>
    <x v="7"/>
    <s v="NO1_A2"/>
    <x v="0"/>
    <x v="0"/>
    <x v="2"/>
    <x v="3"/>
    <n v="170.10133402158101"/>
    <n v="10347.831152979499"/>
    <n v="37252.192150726303"/>
  </r>
  <r>
    <x v="0"/>
    <x v="0"/>
    <x v="0"/>
    <x v="6"/>
    <x v="7"/>
    <s v="NO1_A2"/>
    <x v="0"/>
    <x v="0"/>
    <x v="2"/>
    <x v="4"/>
    <n v="182.787244971772"/>
    <n v="11119.5574024495"/>
    <n v="40030.4066488182"/>
  </r>
  <r>
    <x v="0"/>
    <x v="0"/>
    <x v="0"/>
    <x v="6"/>
    <x v="7"/>
    <s v="NO1_A2"/>
    <x v="0"/>
    <x v="0"/>
    <x v="2"/>
    <x v="5"/>
    <n v="198.86584940352199"/>
    <n v="12097.6725053809"/>
    <n v="43551.6210193714"/>
  </r>
  <r>
    <x v="0"/>
    <x v="0"/>
    <x v="0"/>
    <x v="6"/>
    <x v="7"/>
    <s v="NO1_A2"/>
    <x v="0"/>
    <x v="0"/>
    <x v="2"/>
    <x v="6"/>
    <n v="234.02323985558601"/>
    <n v="14236.413757881501"/>
    <n v="51251.089528373297"/>
  </r>
  <r>
    <x v="0"/>
    <x v="0"/>
    <x v="0"/>
    <x v="6"/>
    <x v="7"/>
    <s v="NO1_A2"/>
    <x v="0"/>
    <x v="0"/>
    <x v="2"/>
    <x v="7"/>
    <n v="258.919905326091"/>
    <n v="15750.960907337199"/>
    <n v="56703.459266414"/>
  </r>
  <r>
    <x v="0"/>
    <x v="0"/>
    <x v="0"/>
    <x v="6"/>
    <x v="7"/>
    <s v="NO1_A2"/>
    <x v="0"/>
    <x v="0"/>
    <x v="2"/>
    <x v="8"/>
    <n v="263.10007377460698"/>
    <n v="16005.254487955201"/>
    <n v="57618.916156638901"/>
  </r>
  <r>
    <x v="0"/>
    <x v="0"/>
    <x v="0"/>
    <x v="6"/>
    <x v="7"/>
    <s v="NO1_A2"/>
    <x v="0"/>
    <x v="0"/>
    <x v="2"/>
    <x v="9"/>
    <n v="258.14789792095303"/>
    <n v="15703.997123524699"/>
    <n v="56534.389644688803"/>
  </r>
  <r>
    <x v="0"/>
    <x v="0"/>
    <x v="0"/>
    <x v="6"/>
    <x v="7"/>
    <s v="NO1_A2"/>
    <x v="0"/>
    <x v="0"/>
    <x v="2"/>
    <x v="10"/>
    <n v="249.31800461660501"/>
    <n v="15166.845280843499"/>
    <n v="54600.643011036402"/>
  </r>
  <r>
    <x v="0"/>
    <x v="0"/>
    <x v="0"/>
    <x v="6"/>
    <x v="7"/>
    <s v="NO1_A2"/>
    <x v="0"/>
    <x v="0"/>
    <x v="2"/>
    <x v="11"/>
    <n v="242.62642964264199"/>
    <n v="14759.774469927401"/>
    <n v="53135.188091738601"/>
  </r>
  <r>
    <x v="0"/>
    <x v="0"/>
    <x v="0"/>
    <x v="6"/>
    <x v="7"/>
    <s v="NO1_A2"/>
    <x v="0"/>
    <x v="0"/>
    <x v="3"/>
    <x v="0"/>
    <n v="161.81897491161399"/>
    <n v="9843.9876404565002"/>
    <n v="35438.355505643398"/>
  </r>
  <r>
    <x v="0"/>
    <x v="0"/>
    <x v="0"/>
    <x v="6"/>
    <x v="7"/>
    <s v="NO1_A2"/>
    <x v="0"/>
    <x v="0"/>
    <x v="3"/>
    <x v="1"/>
    <n v="162.52766978680799"/>
    <n v="9887.0999120308206"/>
    <n v="35593.559683311003"/>
  </r>
  <r>
    <x v="0"/>
    <x v="0"/>
    <x v="0"/>
    <x v="6"/>
    <x v="7"/>
    <s v="NO1_A2"/>
    <x v="0"/>
    <x v="0"/>
    <x v="3"/>
    <x v="2"/>
    <n v="164.36716787870699"/>
    <n v="9999.0027126213299"/>
    <n v="35996.409765436802"/>
  </r>
  <r>
    <x v="0"/>
    <x v="0"/>
    <x v="0"/>
    <x v="6"/>
    <x v="7"/>
    <s v="NO1_A2"/>
    <x v="0"/>
    <x v="0"/>
    <x v="3"/>
    <x v="3"/>
    <n v="171.52550697748899"/>
    <n v="10434.4683411306"/>
    <n v="37564.08602807"/>
  </r>
  <r>
    <x v="0"/>
    <x v="0"/>
    <x v="0"/>
    <x v="6"/>
    <x v="7"/>
    <s v="NO1_A2"/>
    <x v="0"/>
    <x v="0"/>
    <x v="3"/>
    <x v="4"/>
    <n v="186.959999352023"/>
    <n v="11373.399960581401"/>
    <n v="40944.239858093097"/>
  </r>
  <r>
    <x v="0"/>
    <x v="0"/>
    <x v="0"/>
    <x v="6"/>
    <x v="7"/>
    <s v="NO1_A2"/>
    <x v="0"/>
    <x v="0"/>
    <x v="3"/>
    <x v="5"/>
    <n v="201.40869530632699"/>
    <n v="12252.362297801599"/>
    <n v="44108.5042720856"/>
  </r>
  <r>
    <x v="0"/>
    <x v="0"/>
    <x v="0"/>
    <x v="6"/>
    <x v="7"/>
    <s v="NO1_A2"/>
    <x v="0"/>
    <x v="0"/>
    <x v="3"/>
    <x v="6"/>
    <n v="234.64075012335601"/>
    <n v="14273.978965837499"/>
    <n v="51386.324277014901"/>
  </r>
  <r>
    <x v="0"/>
    <x v="0"/>
    <x v="0"/>
    <x v="6"/>
    <x v="7"/>
    <s v="NO1_A2"/>
    <x v="0"/>
    <x v="0"/>
    <x v="3"/>
    <x v="7"/>
    <n v="258.45946276865499"/>
    <n v="15722.9506517598"/>
    <n v="56602.622346335404"/>
  </r>
  <r>
    <x v="0"/>
    <x v="0"/>
    <x v="0"/>
    <x v="6"/>
    <x v="7"/>
    <s v="NO1_A2"/>
    <x v="0"/>
    <x v="0"/>
    <x v="3"/>
    <x v="8"/>
    <n v="261.10015006859101"/>
    <n v="15883.5924625059"/>
    <n v="57180.932865021401"/>
  </r>
  <r>
    <x v="0"/>
    <x v="0"/>
    <x v="0"/>
    <x v="6"/>
    <x v="7"/>
    <s v="NO1_A2"/>
    <x v="0"/>
    <x v="0"/>
    <x v="3"/>
    <x v="9"/>
    <n v="256.34156655018199"/>
    <n v="15594.1119651361"/>
    <n v="56138.803074490002"/>
  </r>
  <r>
    <x v="0"/>
    <x v="0"/>
    <x v="0"/>
    <x v="6"/>
    <x v="7"/>
    <s v="NO1_A2"/>
    <x v="0"/>
    <x v="0"/>
    <x v="3"/>
    <x v="10"/>
    <n v="249.47052700614299"/>
    <n v="15176.123726207001"/>
    <n v="54634.045414345303"/>
  </r>
  <r>
    <x v="0"/>
    <x v="0"/>
    <x v="0"/>
    <x v="6"/>
    <x v="7"/>
    <s v="NO1_A2"/>
    <x v="0"/>
    <x v="0"/>
    <x v="3"/>
    <x v="11"/>
    <n v="246.770242087047"/>
    <n v="15011.856393628699"/>
    <n v="54042.683017063297"/>
  </r>
  <r>
    <x v="0"/>
    <x v="0"/>
    <x v="0"/>
    <x v="6"/>
    <x v="7"/>
    <s v="NO1_A2"/>
    <x v="0"/>
    <x v="0"/>
    <x v="4"/>
    <x v="0"/>
    <n v="166.88864617367801"/>
    <n v="10152.3926422321"/>
    <n v="36548.613512035503"/>
  </r>
  <r>
    <x v="0"/>
    <x v="0"/>
    <x v="0"/>
    <x v="6"/>
    <x v="7"/>
    <s v="NO1_A2"/>
    <x v="0"/>
    <x v="0"/>
    <x v="4"/>
    <x v="1"/>
    <n v="166.96872279573401"/>
    <n v="10157.2639700738"/>
    <n v="36566.150292265796"/>
  </r>
  <r>
    <x v="0"/>
    <x v="0"/>
    <x v="0"/>
    <x v="6"/>
    <x v="7"/>
    <s v="NO1_A2"/>
    <x v="0"/>
    <x v="0"/>
    <x v="4"/>
    <x v="2"/>
    <n v="168.34953310772099"/>
    <n v="10241.263264052999"/>
    <n v="36868.5477505909"/>
  </r>
  <r>
    <x v="0"/>
    <x v="0"/>
    <x v="0"/>
    <x v="6"/>
    <x v="7"/>
    <s v="NO1_A2"/>
    <x v="0"/>
    <x v="0"/>
    <x v="4"/>
    <x v="3"/>
    <n v="173.633335531558"/>
    <n v="10562.6945781698"/>
    <n v="38025.700481411099"/>
  </r>
  <r>
    <x v="0"/>
    <x v="0"/>
    <x v="0"/>
    <x v="6"/>
    <x v="7"/>
    <s v="NO1_A2"/>
    <x v="0"/>
    <x v="0"/>
    <x v="4"/>
    <x v="4"/>
    <n v="184.662025559624"/>
    <n v="11233.6065548771"/>
    <n v="40440.983597557599"/>
  </r>
  <r>
    <x v="0"/>
    <x v="0"/>
    <x v="0"/>
    <x v="6"/>
    <x v="7"/>
    <s v="NO1_A2"/>
    <x v="0"/>
    <x v="0"/>
    <x v="4"/>
    <x v="5"/>
    <n v="198.532935068222"/>
    <n v="12077.4202166502"/>
    <n v="43478.712779940703"/>
  </r>
  <r>
    <x v="0"/>
    <x v="0"/>
    <x v="0"/>
    <x v="6"/>
    <x v="7"/>
    <s v="NO1_A2"/>
    <x v="0"/>
    <x v="0"/>
    <x v="4"/>
    <x v="6"/>
    <n v="232.72319071766401"/>
    <n v="14157.3274353246"/>
    <n v="50966.378767168499"/>
  </r>
  <r>
    <x v="0"/>
    <x v="0"/>
    <x v="0"/>
    <x v="6"/>
    <x v="7"/>
    <s v="NO1_A2"/>
    <x v="0"/>
    <x v="0"/>
    <x v="4"/>
    <x v="7"/>
    <n v="258.54329855264598"/>
    <n v="15728.0506619526"/>
    <n v="56620.982383029499"/>
  </r>
  <r>
    <x v="0"/>
    <x v="0"/>
    <x v="0"/>
    <x v="6"/>
    <x v="7"/>
    <s v="NO1_A2"/>
    <x v="0"/>
    <x v="0"/>
    <x v="4"/>
    <x v="8"/>
    <n v="263.512892617332"/>
    <n v="16030.367634221"/>
    <n v="57709.323483195702"/>
  </r>
  <r>
    <x v="0"/>
    <x v="0"/>
    <x v="0"/>
    <x v="6"/>
    <x v="7"/>
    <s v="NO1_A2"/>
    <x v="0"/>
    <x v="0"/>
    <x v="4"/>
    <x v="9"/>
    <n v="260.06944064698001"/>
    <n v="15820.890972691301"/>
    <n v="56955.207501688601"/>
  </r>
  <r>
    <x v="0"/>
    <x v="0"/>
    <x v="0"/>
    <x v="6"/>
    <x v="7"/>
    <s v="NO1_A2"/>
    <x v="0"/>
    <x v="0"/>
    <x v="4"/>
    <x v="10"/>
    <n v="253.26515549013399"/>
    <n v="15406.9636256498"/>
    <n v="55465.069052339401"/>
  </r>
  <r>
    <x v="0"/>
    <x v="0"/>
    <x v="0"/>
    <x v="6"/>
    <x v="7"/>
    <s v="NO1_A2"/>
    <x v="0"/>
    <x v="0"/>
    <x v="4"/>
    <x v="11"/>
    <n v="249.438037733942"/>
    <n v="15174.1472954815"/>
    <n v="54626.930263733302"/>
  </r>
  <r>
    <x v="0"/>
    <x v="0"/>
    <x v="0"/>
    <x v="6"/>
    <x v="7"/>
    <s v="NO1_A2"/>
    <x v="0"/>
    <x v="0"/>
    <x v="5"/>
    <x v="0"/>
    <n v="167.264029850871"/>
    <n v="10175.228482594701"/>
    <n v="36630.822537340799"/>
  </r>
  <r>
    <x v="0"/>
    <x v="0"/>
    <x v="0"/>
    <x v="6"/>
    <x v="7"/>
    <s v="NO1_A2"/>
    <x v="0"/>
    <x v="0"/>
    <x v="5"/>
    <x v="1"/>
    <n v="166.24264575741699"/>
    <n v="10113.0942835762"/>
    <n v="36407.139420874402"/>
  </r>
  <r>
    <x v="0"/>
    <x v="0"/>
    <x v="0"/>
    <x v="6"/>
    <x v="7"/>
    <s v="NO1_A2"/>
    <x v="0"/>
    <x v="0"/>
    <x v="5"/>
    <x v="2"/>
    <n v="167.08051480117501"/>
    <n v="10164.0646504048"/>
    <n v="36590.632741457302"/>
  </r>
  <r>
    <x v="0"/>
    <x v="0"/>
    <x v="0"/>
    <x v="6"/>
    <x v="7"/>
    <s v="NO1_A2"/>
    <x v="0"/>
    <x v="0"/>
    <x v="5"/>
    <x v="3"/>
    <n v="170.32272440946301"/>
    <n v="10361.299068242301"/>
    <n v="37300.676645672298"/>
  </r>
  <r>
    <x v="0"/>
    <x v="0"/>
    <x v="0"/>
    <x v="6"/>
    <x v="7"/>
    <s v="NO1_A2"/>
    <x v="0"/>
    <x v="0"/>
    <x v="5"/>
    <x v="4"/>
    <n v="178.50015871478899"/>
    <n v="10858.759655149701"/>
    <n v="39091.534758538801"/>
  </r>
  <r>
    <x v="0"/>
    <x v="0"/>
    <x v="0"/>
    <x v="6"/>
    <x v="7"/>
    <s v="NO1_A2"/>
    <x v="0"/>
    <x v="0"/>
    <x v="5"/>
    <x v="5"/>
    <n v="190.92402786248201"/>
    <n v="11614.545028301"/>
    <n v="41812.362101883497"/>
  </r>
  <r>
    <x v="0"/>
    <x v="0"/>
    <x v="0"/>
    <x v="6"/>
    <x v="7"/>
    <s v="NO1_A2"/>
    <x v="0"/>
    <x v="0"/>
    <x v="5"/>
    <x v="6"/>
    <n v="223.36833895759"/>
    <n v="13588.2406199201"/>
    <n v="48917.666231712297"/>
  </r>
  <r>
    <x v="0"/>
    <x v="0"/>
    <x v="0"/>
    <x v="6"/>
    <x v="7"/>
    <s v="NO1_A2"/>
    <x v="0"/>
    <x v="0"/>
    <x v="5"/>
    <x v="7"/>
    <n v="246.43320678878999"/>
    <n v="14991.353412984699"/>
    <n v="53968.872286744998"/>
  </r>
  <r>
    <x v="0"/>
    <x v="0"/>
    <x v="0"/>
    <x v="6"/>
    <x v="7"/>
    <s v="NO1_A2"/>
    <x v="0"/>
    <x v="0"/>
    <x v="5"/>
    <x v="8"/>
    <n v="249.20154053161701"/>
    <n v="15159.7603823401"/>
    <n v="54575.137376424202"/>
  </r>
  <r>
    <x v="0"/>
    <x v="0"/>
    <x v="0"/>
    <x v="6"/>
    <x v="7"/>
    <s v="NO1_A2"/>
    <x v="0"/>
    <x v="0"/>
    <x v="5"/>
    <x v="9"/>
    <n v="244.83171589819699"/>
    <n v="14893.929383807001"/>
    <n v="53618.145781705098"/>
  </r>
  <r>
    <x v="0"/>
    <x v="0"/>
    <x v="0"/>
    <x v="6"/>
    <x v="7"/>
    <s v="NO1_A2"/>
    <x v="0"/>
    <x v="0"/>
    <x v="5"/>
    <x v="10"/>
    <n v="239.17129622578699"/>
    <n v="14549.587187068701"/>
    <n v="52378.513873447402"/>
  </r>
  <r>
    <x v="0"/>
    <x v="0"/>
    <x v="0"/>
    <x v="6"/>
    <x v="7"/>
    <s v="NO1_A2"/>
    <x v="0"/>
    <x v="0"/>
    <x v="5"/>
    <x v="11"/>
    <n v="236.70744063381301"/>
    <n v="14399.702638556901"/>
    <n v="51838.929498805002"/>
  </r>
  <r>
    <x v="0"/>
    <x v="0"/>
    <x v="0"/>
    <x v="6"/>
    <x v="7"/>
    <s v="NO1_A2"/>
    <x v="0"/>
    <x v="0"/>
    <x v="6"/>
    <x v="0"/>
    <n v="175.5216617156"/>
    <n v="10677.5677543657"/>
    <n v="38439.243915716499"/>
  </r>
  <r>
    <x v="0"/>
    <x v="0"/>
    <x v="0"/>
    <x v="6"/>
    <x v="7"/>
    <s v="NO1_A2"/>
    <x v="0"/>
    <x v="0"/>
    <x v="6"/>
    <x v="1"/>
    <n v="176.55849006430799"/>
    <n v="10740.641478912101"/>
    <n v="38666.309324083399"/>
  </r>
  <r>
    <x v="0"/>
    <x v="0"/>
    <x v="0"/>
    <x v="6"/>
    <x v="7"/>
    <s v="NO1_A2"/>
    <x v="0"/>
    <x v="0"/>
    <x v="6"/>
    <x v="2"/>
    <n v="179.086259027577"/>
    <n v="10894.414090844301"/>
    <n v="39219.890727039303"/>
  </r>
  <r>
    <x v="0"/>
    <x v="0"/>
    <x v="0"/>
    <x v="6"/>
    <x v="7"/>
    <s v="NO1_A2"/>
    <x v="0"/>
    <x v="0"/>
    <x v="6"/>
    <x v="3"/>
    <n v="188.576299053485"/>
    <n v="11471.724859087"/>
    <n v="41298.2094927133"/>
  </r>
  <r>
    <x v="0"/>
    <x v="0"/>
    <x v="0"/>
    <x v="6"/>
    <x v="7"/>
    <s v="NO1_A2"/>
    <x v="0"/>
    <x v="0"/>
    <x v="6"/>
    <x v="4"/>
    <n v="205.358156215337"/>
    <n v="12492.6211697663"/>
    <n v="44973.436211158703"/>
  </r>
  <r>
    <x v="0"/>
    <x v="0"/>
    <x v="0"/>
    <x v="6"/>
    <x v="7"/>
    <s v="NO1_A2"/>
    <x v="0"/>
    <x v="0"/>
    <x v="6"/>
    <x v="5"/>
    <n v="223.19192822682501"/>
    <n v="13577.5089671318"/>
    <n v="48879.032281674597"/>
  </r>
  <r>
    <x v="0"/>
    <x v="0"/>
    <x v="0"/>
    <x v="6"/>
    <x v="7"/>
    <s v="NO1_A2"/>
    <x v="0"/>
    <x v="0"/>
    <x v="6"/>
    <x v="6"/>
    <n v="262.00303994228602"/>
    <n v="15938.5182631557"/>
    <n v="57378.665747360697"/>
  </r>
  <r>
    <x v="0"/>
    <x v="0"/>
    <x v="0"/>
    <x v="6"/>
    <x v="7"/>
    <s v="NO1_A2"/>
    <x v="0"/>
    <x v="0"/>
    <x v="6"/>
    <x v="7"/>
    <n v="289.72696770687702"/>
    <n v="17625.0572021683"/>
    <n v="63450.205927806099"/>
  </r>
  <r>
    <x v="0"/>
    <x v="0"/>
    <x v="0"/>
    <x v="6"/>
    <x v="7"/>
    <s v="NO1_A2"/>
    <x v="0"/>
    <x v="0"/>
    <x v="6"/>
    <x v="8"/>
    <n v="293.05684918373902"/>
    <n v="17827.624992010798"/>
    <n v="64179.449971239002"/>
  </r>
  <r>
    <x v="0"/>
    <x v="0"/>
    <x v="0"/>
    <x v="6"/>
    <x v="7"/>
    <s v="NO1_A2"/>
    <x v="0"/>
    <x v="0"/>
    <x v="6"/>
    <x v="9"/>
    <n v="285.54852213518802"/>
    <n v="17370.868429890601"/>
    <n v="62535.126347606201"/>
  </r>
  <r>
    <x v="0"/>
    <x v="0"/>
    <x v="0"/>
    <x v="6"/>
    <x v="7"/>
    <s v="NO1_A2"/>
    <x v="0"/>
    <x v="0"/>
    <x v="6"/>
    <x v="10"/>
    <n v="273.45374138043599"/>
    <n v="16635.1026006432"/>
    <n v="59886.369362315403"/>
  </r>
  <r>
    <x v="0"/>
    <x v="0"/>
    <x v="0"/>
    <x v="6"/>
    <x v="7"/>
    <s v="NO1_A2"/>
    <x v="0"/>
    <x v="0"/>
    <x v="6"/>
    <x v="11"/>
    <n v="267.391084927149"/>
    <n v="16266.2909997349"/>
    <n v="58558.6475990455"/>
  </r>
  <r>
    <x v="0"/>
    <x v="0"/>
    <x v="0"/>
    <x v="6"/>
    <x v="7"/>
    <s v="NO1_A2"/>
    <x v="0"/>
    <x v="0"/>
    <x v="7"/>
    <x v="0"/>
    <n v="153.24626938103199"/>
    <n v="9322.4813873460898"/>
    <n v="33560.932994445902"/>
  </r>
  <r>
    <x v="0"/>
    <x v="0"/>
    <x v="0"/>
    <x v="6"/>
    <x v="7"/>
    <s v="NO1_A2"/>
    <x v="0"/>
    <x v="0"/>
    <x v="7"/>
    <x v="1"/>
    <n v="156.179025641138"/>
    <n v="9500.8907265025591"/>
    <n v="34203.206615409203"/>
  </r>
  <r>
    <x v="0"/>
    <x v="0"/>
    <x v="0"/>
    <x v="6"/>
    <x v="7"/>
    <s v="NO1_A2"/>
    <x v="0"/>
    <x v="0"/>
    <x v="7"/>
    <x v="2"/>
    <n v="159.27830088562101"/>
    <n v="9689.4299705419708"/>
    <n v="34881.947893951103"/>
  </r>
  <r>
    <x v="0"/>
    <x v="0"/>
    <x v="0"/>
    <x v="6"/>
    <x v="7"/>
    <s v="NO1_A2"/>
    <x v="0"/>
    <x v="0"/>
    <x v="7"/>
    <x v="3"/>
    <n v="171.02522348244599"/>
    <n v="10404.034428515501"/>
    <n v="37454.523942655702"/>
  </r>
  <r>
    <x v="0"/>
    <x v="0"/>
    <x v="0"/>
    <x v="6"/>
    <x v="7"/>
    <s v="NO1_A2"/>
    <x v="0"/>
    <x v="0"/>
    <x v="7"/>
    <x v="4"/>
    <n v="189.48029996385401"/>
    <n v="11526.7182478011"/>
    <n v="41496.185692084102"/>
  </r>
  <r>
    <x v="0"/>
    <x v="0"/>
    <x v="0"/>
    <x v="6"/>
    <x v="7"/>
    <s v="NO1_A2"/>
    <x v="0"/>
    <x v="0"/>
    <x v="7"/>
    <x v="5"/>
    <n v="205.81696264681199"/>
    <n v="12520.5318943477"/>
    <n v="45073.9148196518"/>
  </r>
  <r>
    <x v="0"/>
    <x v="0"/>
    <x v="0"/>
    <x v="6"/>
    <x v="7"/>
    <s v="NO1_A2"/>
    <x v="0"/>
    <x v="0"/>
    <x v="7"/>
    <x v="6"/>
    <n v="238.82643416065201"/>
    <n v="14528.608078106299"/>
    <n v="52302.989081182699"/>
  </r>
  <r>
    <x v="0"/>
    <x v="0"/>
    <x v="0"/>
    <x v="6"/>
    <x v="7"/>
    <s v="NO1_A2"/>
    <x v="0"/>
    <x v="0"/>
    <x v="7"/>
    <x v="7"/>
    <n v="261.84342641504401"/>
    <n v="15928.8084402485"/>
    <n v="57343.710384894701"/>
  </r>
  <r>
    <x v="0"/>
    <x v="0"/>
    <x v="0"/>
    <x v="6"/>
    <x v="7"/>
    <s v="NO1_A2"/>
    <x v="0"/>
    <x v="0"/>
    <x v="7"/>
    <x v="8"/>
    <n v="261.33449402629998"/>
    <n v="15897.848386599901"/>
    <n v="57232.254191759697"/>
  </r>
  <r>
    <x v="0"/>
    <x v="0"/>
    <x v="0"/>
    <x v="6"/>
    <x v="7"/>
    <s v="NO1_A2"/>
    <x v="0"/>
    <x v="0"/>
    <x v="7"/>
    <x v="9"/>
    <n v="251.48857710572099"/>
    <n v="15298.888440598001"/>
    <n v="55075.998386152802"/>
  </r>
  <r>
    <x v="0"/>
    <x v="0"/>
    <x v="0"/>
    <x v="6"/>
    <x v="7"/>
    <s v="NO1_A2"/>
    <x v="0"/>
    <x v="0"/>
    <x v="7"/>
    <x v="10"/>
    <n v="241.03159426035199"/>
    <n v="14662.7553175047"/>
    <n v="52785.919143017003"/>
  </r>
  <r>
    <x v="0"/>
    <x v="0"/>
    <x v="0"/>
    <x v="6"/>
    <x v="7"/>
    <s v="NO1_A2"/>
    <x v="0"/>
    <x v="0"/>
    <x v="7"/>
    <x v="11"/>
    <n v="231.85834200474599"/>
    <n v="14104.715805288701"/>
    <n v="50776.976899039299"/>
  </r>
  <r>
    <x v="0"/>
    <x v="0"/>
    <x v="0"/>
    <x v="6"/>
    <x v="7"/>
    <s v="NO1_A2"/>
    <x v="0"/>
    <x v="0"/>
    <x v="8"/>
    <x v="0"/>
    <n v="147.990053205642"/>
    <n v="9002.7282366765303"/>
    <n v="32409.821652035502"/>
  </r>
  <r>
    <x v="0"/>
    <x v="0"/>
    <x v="0"/>
    <x v="6"/>
    <x v="7"/>
    <s v="NO1_A2"/>
    <x v="0"/>
    <x v="0"/>
    <x v="8"/>
    <x v="1"/>
    <n v="148.016041303279"/>
    <n v="9004.3091792828309"/>
    <n v="32415.5130454182"/>
  </r>
  <r>
    <x v="0"/>
    <x v="0"/>
    <x v="0"/>
    <x v="6"/>
    <x v="7"/>
    <s v="NO1_A2"/>
    <x v="0"/>
    <x v="0"/>
    <x v="8"/>
    <x v="2"/>
    <n v="149.245219231031"/>
    <n v="9079.0841698876993"/>
    <n v="32684.703011595699"/>
  </r>
  <r>
    <x v="0"/>
    <x v="0"/>
    <x v="0"/>
    <x v="6"/>
    <x v="7"/>
    <s v="NO1_A2"/>
    <x v="0"/>
    <x v="0"/>
    <x v="8"/>
    <x v="3"/>
    <n v="152.60559371904901"/>
    <n v="9283.5069512421505"/>
    <n v="33420.625024471701"/>
  </r>
  <r>
    <x v="0"/>
    <x v="0"/>
    <x v="0"/>
    <x v="6"/>
    <x v="7"/>
    <s v="NO1_A2"/>
    <x v="0"/>
    <x v="0"/>
    <x v="8"/>
    <x v="4"/>
    <n v="160.37851874022499"/>
    <n v="9756.3598900303805"/>
    <n v="35122.895604109399"/>
  </r>
  <r>
    <x v="0"/>
    <x v="0"/>
    <x v="0"/>
    <x v="6"/>
    <x v="7"/>
    <s v="NO1_A2"/>
    <x v="0"/>
    <x v="0"/>
    <x v="8"/>
    <x v="5"/>
    <n v="170.75277053881899"/>
    <n v="10387.4602077782"/>
    <n v="37394.856748001403"/>
  </r>
  <r>
    <x v="0"/>
    <x v="0"/>
    <x v="0"/>
    <x v="6"/>
    <x v="7"/>
    <s v="NO1_A2"/>
    <x v="0"/>
    <x v="0"/>
    <x v="8"/>
    <x v="6"/>
    <n v="197.73426476895099"/>
    <n v="12028.834440111201"/>
    <n v="43303.8039844003"/>
  </r>
  <r>
    <x v="0"/>
    <x v="0"/>
    <x v="0"/>
    <x v="6"/>
    <x v="7"/>
    <s v="NO1_A2"/>
    <x v="0"/>
    <x v="0"/>
    <x v="8"/>
    <x v="7"/>
    <n v="211.37370859539899"/>
    <n v="12858.567272886799"/>
    <n v="46290.8421823924"/>
  </r>
  <r>
    <x v="0"/>
    <x v="0"/>
    <x v="0"/>
    <x v="6"/>
    <x v="7"/>
    <s v="NO1_A2"/>
    <x v="0"/>
    <x v="0"/>
    <x v="8"/>
    <x v="8"/>
    <n v="205.63893009967501"/>
    <n v="12509.7015810636"/>
    <n v="45034.925691828903"/>
  </r>
  <r>
    <x v="0"/>
    <x v="0"/>
    <x v="0"/>
    <x v="6"/>
    <x v="7"/>
    <s v="NO1_A2"/>
    <x v="0"/>
    <x v="0"/>
    <x v="8"/>
    <x v="9"/>
    <n v="196.313762821859"/>
    <n v="11942.4205716631"/>
    <n v="42992.714057987097"/>
  </r>
  <r>
    <x v="0"/>
    <x v="0"/>
    <x v="0"/>
    <x v="6"/>
    <x v="7"/>
    <s v="NO1_A2"/>
    <x v="0"/>
    <x v="0"/>
    <x v="8"/>
    <x v="10"/>
    <n v="187.428175326722"/>
    <n v="11401.880665708901"/>
    <n v="41046.770396552201"/>
  </r>
  <r>
    <x v="0"/>
    <x v="0"/>
    <x v="0"/>
    <x v="6"/>
    <x v="7"/>
    <s v="NO1_A2"/>
    <x v="0"/>
    <x v="0"/>
    <x v="8"/>
    <x v="11"/>
    <n v="181.942805791138"/>
    <n v="11068.187352294201"/>
    <n v="39845.474468259199"/>
  </r>
  <r>
    <x v="0"/>
    <x v="0"/>
    <x v="0"/>
    <x v="6"/>
    <x v="7"/>
    <s v="NO1_A2"/>
    <x v="0"/>
    <x v="0"/>
    <x v="9"/>
    <x v="0"/>
    <n v="120.613293563136"/>
    <n v="7337.3086917574601"/>
    <n v="26414.311290326801"/>
  </r>
  <r>
    <x v="0"/>
    <x v="0"/>
    <x v="0"/>
    <x v="6"/>
    <x v="7"/>
    <s v="NO1_A2"/>
    <x v="0"/>
    <x v="0"/>
    <x v="9"/>
    <x v="1"/>
    <n v="121.81836138995899"/>
    <n v="7410.6169845558397"/>
    <n v="26678.221144400999"/>
  </r>
  <r>
    <x v="0"/>
    <x v="0"/>
    <x v="0"/>
    <x v="6"/>
    <x v="7"/>
    <s v="NO1_A2"/>
    <x v="0"/>
    <x v="0"/>
    <x v="9"/>
    <x v="2"/>
    <n v="124.00955707019099"/>
    <n v="7543.9147217699301"/>
    <n v="27158.0929983717"/>
  </r>
  <r>
    <x v="0"/>
    <x v="0"/>
    <x v="0"/>
    <x v="6"/>
    <x v="7"/>
    <s v="NO1_A2"/>
    <x v="0"/>
    <x v="0"/>
    <x v="9"/>
    <x v="3"/>
    <n v="131.25857409181299"/>
    <n v="7984.8965905852801"/>
    <n v="28745.627726106999"/>
  </r>
  <r>
    <x v="0"/>
    <x v="0"/>
    <x v="0"/>
    <x v="6"/>
    <x v="7"/>
    <s v="NO1_A2"/>
    <x v="0"/>
    <x v="0"/>
    <x v="9"/>
    <x v="4"/>
    <n v="143.50144883392099"/>
    <n v="8729.6714707301708"/>
    <n v="31426.817294628599"/>
  </r>
  <r>
    <x v="0"/>
    <x v="0"/>
    <x v="0"/>
    <x v="6"/>
    <x v="7"/>
    <s v="NO1_A2"/>
    <x v="0"/>
    <x v="0"/>
    <x v="9"/>
    <x v="5"/>
    <n v="155.54326266717399"/>
    <n v="9462.2151455864205"/>
    <n v="34063.974524111101"/>
  </r>
  <r>
    <x v="0"/>
    <x v="0"/>
    <x v="0"/>
    <x v="6"/>
    <x v="7"/>
    <s v="NO1_A2"/>
    <x v="0"/>
    <x v="0"/>
    <x v="9"/>
    <x v="6"/>
    <n v="184.31591775025601"/>
    <n v="11212.551663140601"/>
    <n v="40365.185987306097"/>
  </r>
  <r>
    <x v="0"/>
    <x v="0"/>
    <x v="0"/>
    <x v="6"/>
    <x v="7"/>
    <s v="NO1_A2"/>
    <x v="0"/>
    <x v="0"/>
    <x v="9"/>
    <x v="7"/>
    <n v="202.01996669607101"/>
    <n v="12289.547974011"/>
    <n v="44242.372706439499"/>
  </r>
  <r>
    <x v="0"/>
    <x v="0"/>
    <x v="0"/>
    <x v="6"/>
    <x v="7"/>
    <s v="NO1_A2"/>
    <x v="0"/>
    <x v="0"/>
    <x v="9"/>
    <x v="8"/>
    <n v="202.195564409414"/>
    <n v="12300.230168239301"/>
    <n v="44280.828605661598"/>
  </r>
  <r>
    <x v="0"/>
    <x v="0"/>
    <x v="0"/>
    <x v="6"/>
    <x v="7"/>
    <s v="NO1_A2"/>
    <x v="0"/>
    <x v="0"/>
    <x v="9"/>
    <x v="9"/>
    <n v="194.53669404759299"/>
    <n v="11834.315554561899"/>
    <n v="42603.535996423001"/>
  </r>
  <r>
    <x v="0"/>
    <x v="0"/>
    <x v="0"/>
    <x v="6"/>
    <x v="7"/>
    <s v="NO1_A2"/>
    <x v="0"/>
    <x v="0"/>
    <x v="9"/>
    <x v="10"/>
    <n v="184.832765389786"/>
    <n v="11243.9932278787"/>
    <n v="40478.3756203632"/>
  </r>
  <r>
    <x v="0"/>
    <x v="0"/>
    <x v="0"/>
    <x v="6"/>
    <x v="7"/>
    <s v="NO1_A2"/>
    <x v="0"/>
    <x v="0"/>
    <x v="9"/>
    <x v="11"/>
    <n v="176.94270607146601"/>
    <n v="10764.014619347499"/>
    <n v="38750.452629651103"/>
  </r>
  <r>
    <x v="0"/>
    <x v="0"/>
    <x v="0"/>
    <x v="6"/>
    <x v="7"/>
    <s v="NO1_A2"/>
    <x v="0"/>
    <x v="0"/>
    <x v="10"/>
    <x v="0"/>
    <n v="71.334777857572803"/>
    <n v="4339.5323196690097"/>
    <n v="15622.3163508084"/>
  </r>
  <r>
    <x v="0"/>
    <x v="0"/>
    <x v="0"/>
    <x v="6"/>
    <x v="7"/>
    <s v="NO1_A2"/>
    <x v="0"/>
    <x v="0"/>
    <x v="10"/>
    <x v="1"/>
    <n v="75.380766598363294"/>
    <n v="4585.6633014004401"/>
    <n v="16508.3878850416"/>
  </r>
  <r>
    <x v="0"/>
    <x v="0"/>
    <x v="0"/>
    <x v="6"/>
    <x v="7"/>
    <s v="NO1_A2"/>
    <x v="0"/>
    <x v="0"/>
    <x v="10"/>
    <x v="2"/>
    <n v="77.700749366995296"/>
    <n v="4726.7955864922096"/>
    <n v="17016.464111371999"/>
  </r>
  <r>
    <x v="0"/>
    <x v="0"/>
    <x v="0"/>
    <x v="6"/>
    <x v="7"/>
    <s v="NO1_A2"/>
    <x v="0"/>
    <x v="0"/>
    <x v="10"/>
    <x v="3"/>
    <n v="88.099049188176394"/>
    <n v="5359.3588256140602"/>
    <n v="19293.691772210601"/>
  </r>
  <r>
    <x v="0"/>
    <x v="0"/>
    <x v="0"/>
    <x v="6"/>
    <x v="7"/>
    <s v="NO1_A2"/>
    <x v="0"/>
    <x v="0"/>
    <x v="10"/>
    <x v="4"/>
    <n v="99.647552231869696"/>
    <n v="6061.8927607720698"/>
    <n v="21822.813938779502"/>
  </r>
  <r>
    <x v="0"/>
    <x v="0"/>
    <x v="0"/>
    <x v="6"/>
    <x v="7"/>
    <s v="NO1_A2"/>
    <x v="0"/>
    <x v="0"/>
    <x v="10"/>
    <x v="5"/>
    <n v="111.019630249165"/>
    <n v="6753.6941734908596"/>
    <n v="24313.299024567099"/>
  </r>
  <r>
    <x v="0"/>
    <x v="0"/>
    <x v="0"/>
    <x v="6"/>
    <x v="7"/>
    <s v="NO1_A2"/>
    <x v="0"/>
    <x v="0"/>
    <x v="10"/>
    <x v="6"/>
    <n v="134.306609312522"/>
    <n v="8170.3187331784402"/>
    <n v="29413.1474394424"/>
  </r>
  <r>
    <x v="0"/>
    <x v="0"/>
    <x v="0"/>
    <x v="6"/>
    <x v="7"/>
    <s v="NO1_A2"/>
    <x v="0"/>
    <x v="0"/>
    <x v="10"/>
    <x v="7"/>
    <n v="143.08814339407201"/>
    <n v="8704.5287231393595"/>
    <n v="31336.303403301699"/>
  </r>
  <r>
    <x v="0"/>
    <x v="0"/>
    <x v="0"/>
    <x v="6"/>
    <x v="7"/>
    <s v="NO1_A2"/>
    <x v="0"/>
    <x v="0"/>
    <x v="10"/>
    <x v="8"/>
    <n v="131.466956319465"/>
    <n v="7997.5731761008001"/>
    <n v="28791.2634339629"/>
  </r>
  <r>
    <x v="0"/>
    <x v="0"/>
    <x v="0"/>
    <x v="6"/>
    <x v="7"/>
    <s v="NO1_A2"/>
    <x v="0"/>
    <x v="0"/>
    <x v="10"/>
    <x v="9"/>
    <n v="115.67954983165301"/>
    <n v="7037.1726147588697"/>
    <n v="25333.8214131319"/>
  </r>
  <r>
    <x v="0"/>
    <x v="0"/>
    <x v="0"/>
    <x v="6"/>
    <x v="7"/>
    <s v="NO1_A2"/>
    <x v="0"/>
    <x v="0"/>
    <x v="10"/>
    <x v="10"/>
    <n v="99.042210220540099"/>
    <n v="6025.0677884161896"/>
    <n v="21690.2440382983"/>
  </r>
  <r>
    <x v="0"/>
    <x v="0"/>
    <x v="0"/>
    <x v="6"/>
    <x v="7"/>
    <s v="NO1_A2"/>
    <x v="0"/>
    <x v="0"/>
    <x v="10"/>
    <x v="11"/>
    <n v="84.043464187097797"/>
    <n v="5112.6440713817801"/>
    <n v="18405.5186569744"/>
  </r>
  <r>
    <x v="0"/>
    <x v="0"/>
    <x v="0"/>
    <x v="6"/>
    <x v="7"/>
    <s v="NO1_A2"/>
    <x v="0"/>
    <x v="0"/>
    <x v="11"/>
    <x v="0"/>
    <n v="96.164101552146093"/>
    <n v="5849.9828444222203"/>
    <n v="21059.93823992"/>
  </r>
  <r>
    <x v="0"/>
    <x v="0"/>
    <x v="0"/>
    <x v="6"/>
    <x v="7"/>
    <s v="NO1_A2"/>
    <x v="0"/>
    <x v="0"/>
    <x v="11"/>
    <x v="1"/>
    <n v="97.334184711325307"/>
    <n v="5921.1629032722904"/>
    <n v="21316.186451780199"/>
  </r>
  <r>
    <x v="0"/>
    <x v="0"/>
    <x v="0"/>
    <x v="6"/>
    <x v="7"/>
    <s v="NO1_A2"/>
    <x v="0"/>
    <x v="0"/>
    <x v="11"/>
    <x v="2"/>
    <n v="98.244960564554603"/>
    <n v="5976.5684343437397"/>
    <n v="21515.646363637501"/>
  </r>
  <r>
    <x v="0"/>
    <x v="0"/>
    <x v="0"/>
    <x v="6"/>
    <x v="7"/>
    <s v="NO1_A2"/>
    <x v="0"/>
    <x v="0"/>
    <x v="11"/>
    <x v="3"/>
    <n v="106.448964621401"/>
    <n v="6475.6453478019002"/>
    <n v="23312.3232520868"/>
  </r>
  <r>
    <x v="0"/>
    <x v="0"/>
    <x v="0"/>
    <x v="6"/>
    <x v="7"/>
    <s v="NO1_A2"/>
    <x v="0"/>
    <x v="0"/>
    <x v="11"/>
    <x v="4"/>
    <n v="118.306936344202"/>
    <n v="7197.0052942722796"/>
    <n v="25909.219059380201"/>
  </r>
  <r>
    <x v="0"/>
    <x v="0"/>
    <x v="0"/>
    <x v="6"/>
    <x v="7"/>
    <s v="NO1_A2"/>
    <x v="0"/>
    <x v="0"/>
    <x v="11"/>
    <x v="5"/>
    <n v="130.49675808132901"/>
    <n v="7938.5527832808302"/>
    <n v="28578.790019811"/>
  </r>
  <r>
    <x v="0"/>
    <x v="0"/>
    <x v="0"/>
    <x v="6"/>
    <x v="7"/>
    <s v="NO1_A2"/>
    <x v="0"/>
    <x v="0"/>
    <x v="11"/>
    <x v="6"/>
    <n v="156.46393474890499"/>
    <n v="9518.2226972250301"/>
    <n v="34265.601710010102"/>
  </r>
  <r>
    <x v="0"/>
    <x v="0"/>
    <x v="0"/>
    <x v="6"/>
    <x v="7"/>
    <s v="NO1_A2"/>
    <x v="0"/>
    <x v="0"/>
    <x v="11"/>
    <x v="7"/>
    <n v="171.32488988831301"/>
    <n v="10422.264134872399"/>
    <n v="37520.150885540497"/>
  </r>
  <r>
    <x v="0"/>
    <x v="0"/>
    <x v="0"/>
    <x v="6"/>
    <x v="7"/>
    <s v="NO1_A2"/>
    <x v="0"/>
    <x v="0"/>
    <x v="11"/>
    <x v="8"/>
    <n v="170.87377949329499"/>
    <n v="10394.821585842101"/>
    <n v="37421.357709031698"/>
  </r>
  <r>
    <x v="0"/>
    <x v="0"/>
    <x v="0"/>
    <x v="6"/>
    <x v="7"/>
    <s v="NO1_A2"/>
    <x v="0"/>
    <x v="0"/>
    <x v="11"/>
    <x v="9"/>
    <n v="162.31086230394499"/>
    <n v="9873.9107901566294"/>
    <n v="35546.078844563897"/>
  </r>
  <r>
    <x v="0"/>
    <x v="0"/>
    <x v="0"/>
    <x v="6"/>
    <x v="7"/>
    <s v="NO1_A2"/>
    <x v="0"/>
    <x v="0"/>
    <x v="11"/>
    <x v="10"/>
    <n v="151.21092292602199"/>
    <n v="9198.6644779996896"/>
    <n v="33115.1921207989"/>
  </r>
  <r>
    <x v="0"/>
    <x v="0"/>
    <x v="0"/>
    <x v="6"/>
    <x v="7"/>
    <s v="NO1_A2"/>
    <x v="0"/>
    <x v="0"/>
    <x v="11"/>
    <x v="11"/>
    <n v="140.06473710390901"/>
    <n v="8520.6048404878002"/>
    <n v="30674.177425756101"/>
  </r>
  <r>
    <x v="0"/>
    <x v="0"/>
    <x v="0"/>
    <x v="6"/>
    <x v="8"/>
    <s v="NO2_A1"/>
    <x v="0"/>
    <x v="0"/>
    <x v="0"/>
    <x v="0"/>
    <n v="26.563724484033202"/>
    <n v="1615.95990611202"/>
    <n v="5817.4556620032599"/>
  </r>
  <r>
    <x v="0"/>
    <x v="0"/>
    <x v="0"/>
    <x v="6"/>
    <x v="8"/>
    <s v="NO2_A1"/>
    <x v="0"/>
    <x v="0"/>
    <x v="0"/>
    <x v="1"/>
    <n v="26.699154608690499"/>
    <n v="1624.19857202868"/>
    <n v="5847.1148593032303"/>
  </r>
  <r>
    <x v="0"/>
    <x v="0"/>
    <x v="0"/>
    <x v="6"/>
    <x v="8"/>
    <s v="NO2_A1"/>
    <x v="0"/>
    <x v="0"/>
    <x v="0"/>
    <x v="2"/>
    <n v="26.970549494083802"/>
    <n v="1640.7084275567699"/>
    <n v="5906.5503392043602"/>
  </r>
  <r>
    <x v="0"/>
    <x v="0"/>
    <x v="0"/>
    <x v="6"/>
    <x v="8"/>
    <s v="NO2_A1"/>
    <x v="0"/>
    <x v="0"/>
    <x v="0"/>
    <x v="3"/>
    <n v="28.343421493655502"/>
    <n v="1724.22480753071"/>
    <n v="6207.2093071105601"/>
  </r>
  <r>
    <x v="0"/>
    <x v="0"/>
    <x v="0"/>
    <x v="6"/>
    <x v="8"/>
    <s v="NO2_A1"/>
    <x v="0"/>
    <x v="0"/>
    <x v="0"/>
    <x v="4"/>
    <n v="31.641584245853402"/>
    <n v="1924.86304162275"/>
    <n v="6929.5069498418898"/>
  </r>
  <r>
    <x v="0"/>
    <x v="0"/>
    <x v="0"/>
    <x v="6"/>
    <x v="8"/>
    <s v="NO2_A1"/>
    <x v="0"/>
    <x v="0"/>
    <x v="0"/>
    <x v="5"/>
    <n v="36.232231489295003"/>
    <n v="2204.1274155987799"/>
    <n v="7934.8586961556002"/>
  </r>
  <r>
    <x v="0"/>
    <x v="0"/>
    <x v="0"/>
    <x v="6"/>
    <x v="8"/>
    <s v="NO2_A1"/>
    <x v="0"/>
    <x v="0"/>
    <x v="0"/>
    <x v="6"/>
    <n v="42.316389404944303"/>
    <n v="2574.24702213411"/>
    <n v="9267.2892796828091"/>
  </r>
  <r>
    <x v="0"/>
    <x v="0"/>
    <x v="0"/>
    <x v="6"/>
    <x v="8"/>
    <s v="NO2_A1"/>
    <x v="0"/>
    <x v="0"/>
    <x v="0"/>
    <x v="7"/>
    <n v="48.378144268308901"/>
    <n v="2943.0037763221299"/>
    <n v="10594.8135947597"/>
  </r>
  <r>
    <x v="0"/>
    <x v="0"/>
    <x v="0"/>
    <x v="6"/>
    <x v="8"/>
    <s v="NO2_A1"/>
    <x v="0"/>
    <x v="0"/>
    <x v="0"/>
    <x v="8"/>
    <n v="50.657571029560202"/>
    <n v="3081.6689042982398"/>
    <n v="11094.0080554737"/>
  </r>
  <r>
    <x v="0"/>
    <x v="0"/>
    <x v="0"/>
    <x v="6"/>
    <x v="8"/>
    <s v="NO2_A1"/>
    <x v="0"/>
    <x v="0"/>
    <x v="0"/>
    <x v="9"/>
    <n v="50.1937503633728"/>
    <n v="3053.4531471051801"/>
    <n v="10992.4313295786"/>
  </r>
  <r>
    <x v="0"/>
    <x v="0"/>
    <x v="0"/>
    <x v="6"/>
    <x v="8"/>
    <s v="NO2_A1"/>
    <x v="0"/>
    <x v="0"/>
    <x v="0"/>
    <x v="10"/>
    <n v="49.954937481084798"/>
    <n v="3038.9253634326601"/>
    <n v="10940.131308357601"/>
  </r>
  <r>
    <x v="0"/>
    <x v="0"/>
    <x v="0"/>
    <x v="6"/>
    <x v="8"/>
    <s v="NO2_A1"/>
    <x v="0"/>
    <x v="0"/>
    <x v="0"/>
    <x v="11"/>
    <n v="48.253935774787102"/>
    <n v="2935.4477596328802"/>
    <n v="10567.6119346784"/>
  </r>
  <r>
    <x v="0"/>
    <x v="0"/>
    <x v="0"/>
    <x v="6"/>
    <x v="8"/>
    <s v="NO2_A1"/>
    <x v="0"/>
    <x v="0"/>
    <x v="1"/>
    <x v="0"/>
    <n v="40.350815651441202"/>
    <n v="2454.6746187960098"/>
    <n v="8836.8286276656199"/>
  </r>
  <r>
    <x v="0"/>
    <x v="0"/>
    <x v="0"/>
    <x v="6"/>
    <x v="8"/>
    <s v="NO2_A1"/>
    <x v="0"/>
    <x v="0"/>
    <x v="1"/>
    <x v="1"/>
    <n v="40.236745467240198"/>
    <n v="2447.7353492571101"/>
    <n v="8811.8472573256095"/>
  </r>
  <r>
    <x v="0"/>
    <x v="0"/>
    <x v="0"/>
    <x v="6"/>
    <x v="8"/>
    <s v="NO2_A1"/>
    <x v="0"/>
    <x v="0"/>
    <x v="1"/>
    <x v="2"/>
    <n v="40.595502029411499"/>
    <n v="2469.5597067891999"/>
    <n v="8890.4149444411196"/>
  </r>
  <r>
    <x v="0"/>
    <x v="0"/>
    <x v="0"/>
    <x v="6"/>
    <x v="8"/>
    <s v="NO2_A1"/>
    <x v="0"/>
    <x v="0"/>
    <x v="1"/>
    <x v="3"/>
    <n v="41.581240713282398"/>
    <n v="2529.5254767246802"/>
    <n v="9106.2917162088506"/>
  </r>
  <r>
    <x v="0"/>
    <x v="0"/>
    <x v="0"/>
    <x v="6"/>
    <x v="8"/>
    <s v="NO2_A1"/>
    <x v="0"/>
    <x v="0"/>
    <x v="1"/>
    <x v="4"/>
    <n v="43.856536806864099"/>
    <n v="2667.9393224175601"/>
    <n v="9604.5815607032291"/>
  </r>
  <r>
    <x v="0"/>
    <x v="0"/>
    <x v="0"/>
    <x v="6"/>
    <x v="8"/>
    <s v="NO2_A1"/>
    <x v="0"/>
    <x v="0"/>
    <x v="1"/>
    <x v="5"/>
    <n v="47.4033118206764"/>
    <n v="2883.7014690911501"/>
    <n v="10381.3252887281"/>
  </r>
  <r>
    <x v="0"/>
    <x v="0"/>
    <x v="0"/>
    <x v="6"/>
    <x v="8"/>
    <s v="NO2_A1"/>
    <x v="0"/>
    <x v="0"/>
    <x v="1"/>
    <x v="6"/>
    <n v="54.8587495440391"/>
    <n v="3337.2405972623801"/>
    <n v="12014.066150144599"/>
  </r>
  <r>
    <x v="0"/>
    <x v="0"/>
    <x v="0"/>
    <x v="6"/>
    <x v="8"/>
    <s v="NO2_A1"/>
    <x v="0"/>
    <x v="0"/>
    <x v="1"/>
    <x v="7"/>
    <n v="61.624130680894602"/>
    <n v="3748.8012830877601"/>
    <n v="13495.6846191159"/>
  </r>
  <r>
    <x v="0"/>
    <x v="0"/>
    <x v="0"/>
    <x v="6"/>
    <x v="8"/>
    <s v="NO2_A1"/>
    <x v="0"/>
    <x v="0"/>
    <x v="1"/>
    <x v="8"/>
    <n v="62.7034731712208"/>
    <n v="3814.4612845826"/>
    <n v="13732.060624497401"/>
  </r>
  <r>
    <x v="0"/>
    <x v="0"/>
    <x v="0"/>
    <x v="6"/>
    <x v="8"/>
    <s v="NO2_A1"/>
    <x v="0"/>
    <x v="0"/>
    <x v="1"/>
    <x v="9"/>
    <n v="61.210436245105498"/>
    <n v="3723.6348715772501"/>
    <n v="13405.0855376781"/>
  </r>
  <r>
    <x v="0"/>
    <x v="0"/>
    <x v="0"/>
    <x v="6"/>
    <x v="8"/>
    <s v="NO2_A1"/>
    <x v="0"/>
    <x v="0"/>
    <x v="1"/>
    <x v="10"/>
    <n v="59.153908983539097"/>
    <n v="3598.5294631653001"/>
    <n v="12954.7060673951"/>
  </r>
  <r>
    <x v="0"/>
    <x v="0"/>
    <x v="0"/>
    <x v="6"/>
    <x v="8"/>
    <s v="NO2_A1"/>
    <x v="0"/>
    <x v="0"/>
    <x v="1"/>
    <x v="11"/>
    <n v="57.327734670127001"/>
    <n v="3487.4371924327302"/>
    <n v="12554.773892757799"/>
  </r>
  <r>
    <x v="0"/>
    <x v="0"/>
    <x v="0"/>
    <x v="6"/>
    <x v="8"/>
    <s v="NO2_A1"/>
    <x v="0"/>
    <x v="0"/>
    <x v="2"/>
    <x v="0"/>
    <n v="39.228731905088601"/>
    <n v="2386.4145242262198"/>
    <n v="8591.0922872144092"/>
  </r>
  <r>
    <x v="0"/>
    <x v="0"/>
    <x v="0"/>
    <x v="6"/>
    <x v="8"/>
    <s v="NO2_A1"/>
    <x v="0"/>
    <x v="0"/>
    <x v="2"/>
    <x v="1"/>
    <n v="39.214495993679797"/>
    <n v="2385.5485062821899"/>
    <n v="8587.9746226158804"/>
  </r>
  <r>
    <x v="0"/>
    <x v="0"/>
    <x v="0"/>
    <x v="6"/>
    <x v="8"/>
    <s v="NO2_A1"/>
    <x v="0"/>
    <x v="0"/>
    <x v="2"/>
    <x v="2"/>
    <n v="39.757763692027801"/>
    <n v="2418.59729126502"/>
    <n v="8706.9502485540797"/>
  </r>
  <r>
    <x v="0"/>
    <x v="0"/>
    <x v="0"/>
    <x v="6"/>
    <x v="8"/>
    <s v="NO2_A1"/>
    <x v="0"/>
    <x v="0"/>
    <x v="2"/>
    <x v="3"/>
    <n v="41.111704185779701"/>
    <n v="2500.9620046349301"/>
    <n v="9003.4632166857391"/>
  </r>
  <r>
    <x v="0"/>
    <x v="0"/>
    <x v="0"/>
    <x v="6"/>
    <x v="8"/>
    <s v="NO2_A1"/>
    <x v="0"/>
    <x v="0"/>
    <x v="2"/>
    <x v="4"/>
    <n v="44.171093609722597"/>
    <n v="2687.0748612581301"/>
    <n v="9673.4695005292506"/>
  </r>
  <r>
    <x v="0"/>
    <x v="0"/>
    <x v="0"/>
    <x v="6"/>
    <x v="8"/>
    <s v="NO2_A1"/>
    <x v="0"/>
    <x v="0"/>
    <x v="2"/>
    <x v="5"/>
    <n v="48.4070924543635"/>
    <n v="2944.7647909737798"/>
    <n v="10601.153247505599"/>
  </r>
  <r>
    <x v="0"/>
    <x v="0"/>
    <x v="0"/>
    <x v="6"/>
    <x v="8"/>
    <s v="NO2_A1"/>
    <x v="0"/>
    <x v="0"/>
    <x v="2"/>
    <x v="6"/>
    <n v="56.401183942985703"/>
    <n v="3431.0720231983"/>
    <n v="12351.859283513901"/>
  </r>
  <r>
    <x v="0"/>
    <x v="0"/>
    <x v="0"/>
    <x v="6"/>
    <x v="8"/>
    <s v="NO2_A1"/>
    <x v="0"/>
    <x v="0"/>
    <x v="2"/>
    <x v="7"/>
    <n v="63.365275824790899"/>
    <n v="3854.7209460081199"/>
    <n v="13876.995405629201"/>
  </r>
  <r>
    <x v="0"/>
    <x v="0"/>
    <x v="0"/>
    <x v="6"/>
    <x v="8"/>
    <s v="NO2_A1"/>
    <x v="0"/>
    <x v="0"/>
    <x v="2"/>
    <x v="8"/>
    <n v="65.194091657364496"/>
    <n v="3965.9739091563401"/>
    <n v="14277.5060729628"/>
  </r>
  <r>
    <x v="0"/>
    <x v="0"/>
    <x v="0"/>
    <x v="6"/>
    <x v="8"/>
    <s v="NO2_A1"/>
    <x v="0"/>
    <x v="0"/>
    <x v="2"/>
    <x v="9"/>
    <n v="63.870681326922998"/>
    <n v="3885.4664473878202"/>
    <n v="13987.679210596099"/>
  </r>
  <r>
    <x v="0"/>
    <x v="0"/>
    <x v="0"/>
    <x v="6"/>
    <x v="8"/>
    <s v="NO2_A1"/>
    <x v="0"/>
    <x v="0"/>
    <x v="2"/>
    <x v="10"/>
    <n v="60.815853074030699"/>
    <n v="3699.6310620035301"/>
    <n v="13318.6718232127"/>
  </r>
  <r>
    <x v="0"/>
    <x v="0"/>
    <x v="0"/>
    <x v="6"/>
    <x v="8"/>
    <s v="NO2_A1"/>
    <x v="0"/>
    <x v="0"/>
    <x v="2"/>
    <x v="11"/>
    <n v="56.747986739816497"/>
    <n v="3452.1691933388402"/>
    <n v="12427.809096019801"/>
  </r>
  <r>
    <x v="0"/>
    <x v="0"/>
    <x v="0"/>
    <x v="6"/>
    <x v="8"/>
    <s v="NO2_A1"/>
    <x v="0"/>
    <x v="0"/>
    <x v="3"/>
    <x v="0"/>
    <n v="40.428242489915696"/>
    <n v="2459.38475146987"/>
    <n v="8853.7851052915394"/>
  </r>
  <r>
    <x v="0"/>
    <x v="0"/>
    <x v="0"/>
    <x v="6"/>
    <x v="8"/>
    <s v="NO2_A1"/>
    <x v="0"/>
    <x v="0"/>
    <x v="3"/>
    <x v="1"/>
    <n v="40.357623077953697"/>
    <n v="2455.0887372421798"/>
    <n v="8838.3194540718596"/>
  </r>
  <r>
    <x v="0"/>
    <x v="0"/>
    <x v="0"/>
    <x v="6"/>
    <x v="8"/>
    <s v="NO2_A1"/>
    <x v="0"/>
    <x v="0"/>
    <x v="3"/>
    <x v="2"/>
    <n v="41.007156421637802"/>
    <n v="2494.6020156496402"/>
    <n v="8980.5672563386906"/>
  </r>
  <r>
    <x v="0"/>
    <x v="0"/>
    <x v="0"/>
    <x v="6"/>
    <x v="8"/>
    <s v="NO2_A1"/>
    <x v="0"/>
    <x v="0"/>
    <x v="3"/>
    <x v="3"/>
    <n v="41.920918072306399"/>
    <n v="2550.18918273197"/>
    <n v="9180.6810578350996"/>
  </r>
  <r>
    <x v="0"/>
    <x v="0"/>
    <x v="0"/>
    <x v="6"/>
    <x v="8"/>
    <s v="NO2_A1"/>
    <x v="0"/>
    <x v="0"/>
    <x v="3"/>
    <x v="4"/>
    <n v="44.517401732347203"/>
    <n v="2708.1419387177898"/>
    <n v="9749.3109793840395"/>
  </r>
  <r>
    <x v="0"/>
    <x v="0"/>
    <x v="0"/>
    <x v="6"/>
    <x v="8"/>
    <s v="NO2_A1"/>
    <x v="0"/>
    <x v="0"/>
    <x v="3"/>
    <x v="5"/>
    <n v="48.306388217907603"/>
    <n v="2938.63861658938"/>
    <n v="10579.0990197218"/>
  </r>
  <r>
    <x v="0"/>
    <x v="0"/>
    <x v="0"/>
    <x v="6"/>
    <x v="8"/>
    <s v="NO2_A1"/>
    <x v="0"/>
    <x v="0"/>
    <x v="3"/>
    <x v="6"/>
    <n v="56.214199113441602"/>
    <n v="3419.69711273437"/>
    <n v="12310.909605843701"/>
  </r>
  <r>
    <x v="0"/>
    <x v="0"/>
    <x v="0"/>
    <x v="6"/>
    <x v="8"/>
    <s v="NO2_A1"/>
    <x v="0"/>
    <x v="0"/>
    <x v="3"/>
    <x v="7"/>
    <n v="63.365018638843701"/>
    <n v="3854.7053005296598"/>
    <n v="13876.939081906799"/>
  </r>
  <r>
    <x v="0"/>
    <x v="0"/>
    <x v="0"/>
    <x v="6"/>
    <x v="8"/>
    <s v="NO2_A1"/>
    <x v="0"/>
    <x v="0"/>
    <x v="3"/>
    <x v="8"/>
    <n v="64.870120206805694"/>
    <n v="3946.2656459140098"/>
    <n v="14206.556325290399"/>
  </r>
  <r>
    <x v="0"/>
    <x v="0"/>
    <x v="0"/>
    <x v="6"/>
    <x v="8"/>
    <s v="NO2_A1"/>
    <x v="0"/>
    <x v="0"/>
    <x v="3"/>
    <x v="9"/>
    <n v="63.567210621862401"/>
    <n v="3867.0053128299601"/>
    <n v="13921.2191261879"/>
  </r>
  <r>
    <x v="0"/>
    <x v="0"/>
    <x v="0"/>
    <x v="6"/>
    <x v="8"/>
    <s v="NO2_A1"/>
    <x v="0"/>
    <x v="0"/>
    <x v="3"/>
    <x v="10"/>
    <n v="61.587249418600003"/>
    <n v="3746.5576729648401"/>
    <n v="13487.6076226734"/>
  </r>
  <r>
    <x v="0"/>
    <x v="0"/>
    <x v="0"/>
    <x v="6"/>
    <x v="8"/>
    <s v="NO2_A1"/>
    <x v="0"/>
    <x v="0"/>
    <x v="3"/>
    <x v="11"/>
    <n v="60.149826570874502"/>
    <n v="3659.1144497281998"/>
    <n v="13172.8120190215"/>
  </r>
  <r>
    <x v="0"/>
    <x v="0"/>
    <x v="0"/>
    <x v="6"/>
    <x v="8"/>
    <s v="NO2_A1"/>
    <x v="0"/>
    <x v="0"/>
    <x v="4"/>
    <x v="0"/>
    <n v="38.7541377353621"/>
    <n v="2357.54337890119"/>
    <n v="8487.1561640442906"/>
  </r>
  <r>
    <x v="0"/>
    <x v="0"/>
    <x v="0"/>
    <x v="6"/>
    <x v="8"/>
    <s v="NO2_A1"/>
    <x v="0"/>
    <x v="0"/>
    <x v="4"/>
    <x v="1"/>
    <n v="38.577236819710997"/>
    <n v="2346.7819065324202"/>
    <n v="8448.4148635167203"/>
  </r>
  <r>
    <x v="0"/>
    <x v="0"/>
    <x v="0"/>
    <x v="6"/>
    <x v="8"/>
    <s v="NO2_A1"/>
    <x v="0"/>
    <x v="0"/>
    <x v="4"/>
    <x v="2"/>
    <n v="38.980103399369"/>
    <n v="2371.2896234616201"/>
    <n v="8536.6426444618191"/>
  </r>
  <r>
    <x v="0"/>
    <x v="0"/>
    <x v="0"/>
    <x v="6"/>
    <x v="8"/>
    <s v="NO2_A1"/>
    <x v="0"/>
    <x v="0"/>
    <x v="4"/>
    <x v="3"/>
    <n v="39.842808376675499"/>
    <n v="2423.77084291443"/>
    <n v="8725.5750344919506"/>
  </r>
  <r>
    <x v="0"/>
    <x v="0"/>
    <x v="0"/>
    <x v="6"/>
    <x v="8"/>
    <s v="NO2_A1"/>
    <x v="0"/>
    <x v="0"/>
    <x v="4"/>
    <x v="4"/>
    <n v="42.349723187758997"/>
    <n v="2576.2748272553399"/>
    <n v="9274.5893781192099"/>
  </r>
  <r>
    <x v="0"/>
    <x v="0"/>
    <x v="0"/>
    <x v="6"/>
    <x v="8"/>
    <s v="NO2_A1"/>
    <x v="0"/>
    <x v="0"/>
    <x v="4"/>
    <x v="5"/>
    <n v="46.234483460677602"/>
    <n v="2812.5977438578898"/>
    <n v="10125.351877888401"/>
  </r>
  <r>
    <x v="0"/>
    <x v="0"/>
    <x v="0"/>
    <x v="6"/>
    <x v="8"/>
    <s v="NO2_A1"/>
    <x v="0"/>
    <x v="0"/>
    <x v="4"/>
    <x v="6"/>
    <n v="53.7611011560343"/>
    <n v="3270.4669869920899"/>
    <n v="11773.681153171499"/>
  </r>
  <r>
    <x v="0"/>
    <x v="0"/>
    <x v="0"/>
    <x v="6"/>
    <x v="8"/>
    <s v="NO2_A1"/>
    <x v="0"/>
    <x v="0"/>
    <x v="4"/>
    <x v="7"/>
    <n v="60.710486902001499"/>
    <n v="3693.2212865384199"/>
    <n v="13295.596631538299"/>
  </r>
  <r>
    <x v="0"/>
    <x v="0"/>
    <x v="0"/>
    <x v="6"/>
    <x v="8"/>
    <s v="NO2_A1"/>
    <x v="0"/>
    <x v="0"/>
    <x v="4"/>
    <x v="8"/>
    <n v="62.188389213344202"/>
    <n v="3783.1270104784398"/>
    <n v="13619.257237722401"/>
  </r>
  <r>
    <x v="0"/>
    <x v="0"/>
    <x v="0"/>
    <x v="6"/>
    <x v="8"/>
    <s v="NO2_A1"/>
    <x v="0"/>
    <x v="0"/>
    <x v="4"/>
    <x v="9"/>
    <n v="61.051011504741197"/>
    <n v="3713.9365332050902"/>
    <n v="13370.1715195383"/>
  </r>
  <r>
    <x v="0"/>
    <x v="0"/>
    <x v="0"/>
    <x v="6"/>
    <x v="8"/>
    <s v="NO2_A1"/>
    <x v="0"/>
    <x v="0"/>
    <x v="4"/>
    <x v="10"/>
    <n v="59.366230158526598"/>
    <n v="3611.4456679770301"/>
    <n v="13001.2044047173"/>
  </r>
  <r>
    <x v="0"/>
    <x v="0"/>
    <x v="0"/>
    <x v="6"/>
    <x v="8"/>
    <s v="NO2_A1"/>
    <x v="0"/>
    <x v="0"/>
    <x v="4"/>
    <x v="11"/>
    <n v="58.352802099787098"/>
    <n v="3549.79546107038"/>
    <n v="12779.263659853401"/>
  </r>
  <r>
    <x v="0"/>
    <x v="0"/>
    <x v="0"/>
    <x v="6"/>
    <x v="8"/>
    <s v="NO2_A1"/>
    <x v="0"/>
    <x v="0"/>
    <x v="5"/>
    <x v="0"/>
    <n v="40.127547931588303"/>
    <n v="2441.0924991716201"/>
    <n v="8787.9329970178405"/>
  </r>
  <r>
    <x v="0"/>
    <x v="0"/>
    <x v="0"/>
    <x v="6"/>
    <x v="8"/>
    <s v="NO2_A1"/>
    <x v="0"/>
    <x v="0"/>
    <x v="5"/>
    <x v="1"/>
    <n v="39.825992192765"/>
    <n v="2422.7478583932002"/>
    <n v="8721.89229021553"/>
  </r>
  <r>
    <x v="0"/>
    <x v="0"/>
    <x v="0"/>
    <x v="6"/>
    <x v="8"/>
    <s v="NO2_A1"/>
    <x v="0"/>
    <x v="0"/>
    <x v="5"/>
    <x v="2"/>
    <n v="40.110451265752502"/>
    <n v="2440.0524519999499"/>
    <n v="8784.1888271998105"/>
  </r>
  <r>
    <x v="0"/>
    <x v="0"/>
    <x v="0"/>
    <x v="6"/>
    <x v="8"/>
    <s v="NO2_A1"/>
    <x v="0"/>
    <x v="0"/>
    <x v="5"/>
    <x v="3"/>
    <n v="40.505876435335502"/>
    <n v="2464.1074831495798"/>
    <n v="8870.7869393384808"/>
  </r>
  <r>
    <x v="0"/>
    <x v="0"/>
    <x v="0"/>
    <x v="6"/>
    <x v="8"/>
    <s v="NO2_A1"/>
    <x v="0"/>
    <x v="0"/>
    <x v="5"/>
    <x v="4"/>
    <n v="42.446680473171298"/>
    <n v="2582.1730621179199"/>
    <n v="9295.8230236245108"/>
  </r>
  <r>
    <x v="0"/>
    <x v="0"/>
    <x v="0"/>
    <x v="6"/>
    <x v="8"/>
    <s v="NO2_A1"/>
    <x v="0"/>
    <x v="0"/>
    <x v="5"/>
    <x v="5"/>
    <n v="45.8927311342837"/>
    <n v="2791.80781066892"/>
    <n v="10050.508118408099"/>
  </r>
  <r>
    <x v="0"/>
    <x v="0"/>
    <x v="0"/>
    <x v="6"/>
    <x v="8"/>
    <s v="NO2_A1"/>
    <x v="0"/>
    <x v="0"/>
    <x v="5"/>
    <x v="6"/>
    <n v="53.196503501103201"/>
    <n v="3236.1206296504502"/>
    <n v="11650.034266741601"/>
  </r>
  <r>
    <x v="0"/>
    <x v="0"/>
    <x v="0"/>
    <x v="6"/>
    <x v="8"/>
    <s v="NO2_A1"/>
    <x v="0"/>
    <x v="0"/>
    <x v="5"/>
    <x v="7"/>
    <n v="59.811050653116801"/>
    <n v="3638.5055813979402"/>
    <n v="13098.620093032599"/>
  </r>
  <r>
    <x v="0"/>
    <x v="0"/>
    <x v="0"/>
    <x v="6"/>
    <x v="8"/>
    <s v="NO2_A1"/>
    <x v="0"/>
    <x v="0"/>
    <x v="5"/>
    <x v="8"/>
    <n v="60.897119563347502"/>
    <n v="3704.5747734369702"/>
    <n v="13336.4691843731"/>
  </r>
  <r>
    <x v="0"/>
    <x v="0"/>
    <x v="0"/>
    <x v="6"/>
    <x v="8"/>
    <s v="NO2_A1"/>
    <x v="0"/>
    <x v="0"/>
    <x v="5"/>
    <x v="9"/>
    <n v="59.768692125607899"/>
    <n v="3635.9287709744799"/>
    <n v="13089.343575508099"/>
  </r>
  <r>
    <x v="0"/>
    <x v="0"/>
    <x v="0"/>
    <x v="6"/>
    <x v="8"/>
    <s v="NO2_A1"/>
    <x v="0"/>
    <x v="0"/>
    <x v="5"/>
    <x v="10"/>
    <n v="58.570138374389899"/>
    <n v="3563.0167511087202"/>
    <n v="12826.8603039914"/>
  </r>
  <r>
    <x v="0"/>
    <x v="0"/>
    <x v="0"/>
    <x v="6"/>
    <x v="8"/>
    <s v="NO2_A1"/>
    <x v="0"/>
    <x v="0"/>
    <x v="5"/>
    <x v="11"/>
    <n v="58.274185324167497"/>
    <n v="3545.0129405535199"/>
    <n v="12762.046585992701"/>
  </r>
  <r>
    <x v="0"/>
    <x v="0"/>
    <x v="0"/>
    <x v="6"/>
    <x v="8"/>
    <s v="NO2_A1"/>
    <x v="0"/>
    <x v="0"/>
    <x v="6"/>
    <x v="0"/>
    <n v="42.186121455516002"/>
    <n v="2566.3223885438902"/>
    <n v="9238.7605987579991"/>
  </r>
  <r>
    <x v="0"/>
    <x v="0"/>
    <x v="0"/>
    <x v="6"/>
    <x v="8"/>
    <s v="NO2_A1"/>
    <x v="0"/>
    <x v="0"/>
    <x v="6"/>
    <x v="1"/>
    <n v="42.494299463285202"/>
    <n v="2585.0698840165201"/>
    <n v="9306.2515824594702"/>
  </r>
  <r>
    <x v="0"/>
    <x v="0"/>
    <x v="0"/>
    <x v="6"/>
    <x v="8"/>
    <s v="NO2_A1"/>
    <x v="0"/>
    <x v="0"/>
    <x v="6"/>
    <x v="2"/>
    <n v="43.299070025929097"/>
    <n v="2634.0267599106901"/>
    <n v="9482.4963356784792"/>
  </r>
  <r>
    <x v="0"/>
    <x v="0"/>
    <x v="0"/>
    <x v="6"/>
    <x v="8"/>
    <s v="NO2_A1"/>
    <x v="0"/>
    <x v="0"/>
    <x v="6"/>
    <x v="3"/>
    <n v="45.343133355140303"/>
    <n v="2758.3739457710299"/>
    <n v="9930.1462047757195"/>
  </r>
  <r>
    <x v="0"/>
    <x v="0"/>
    <x v="0"/>
    <x v="6"/>
    <x v="8"/>
    <s v="NO2_A1"/>
    <x v="0"/>
    <x v="0"/>
    <x v="6"/>
    <x v="4"/>
    <n v="49.194709270936499"/>
    <n v="2992.6781473153001"/>
    <n v="10773.6413303351"/>
  </r>
  <r>
    <x v="0"/>
    <x v="0"/>
    <x v="0"/>
    <x v="6"/>
    <x v="8"/>
    <s v="NO2_A1"/>
    <x v="0"/>
    <x v="0"/>
    <x v="6"/>
    <x v="5"/>
    <n v="53.7592418232406"/>
    <n v="3270.35387758047"/>
    <n v="11773.2739592897"/>
  </r>
  <r>
    <x v="0"/>
    <x v="0"/>
    <x v="0"/>
    <x v="6"/>
    <x v="8"/>
    <s v="NO2_A1"/>
    <x v="0"/>
    <x v="0"/>
    <x v="6"/>
    <x v="6"/>
    <n v="61.983741017552497"/>
    <n v="3770.6775785677801"/>
    <n v="13574.439282844"/>
  </r>
  <r>
    <x v="0"/>
    <x v="0"/>
    <x v="0"/>
    <x v="6"/>
    <x v="8"/>
    <s v="NO2_A1"/>
    <x v="0"/>
    <x v="0"/>
    <x v="6"/>
    <x v="7"/>
    <n v="69.914843094932195"/>
    <n v="4253.15295494171"/>
    <n v="15311.350637790099"/>
  </r>
  <r>
    <x v="0"/>
    <x v="0"/>
    <x v="0"/>
    <x v="6"/>
    <x v="8"/>
    <s v="NO2_A1"/>
    <x v="0"/>
    <x v="0"/>
    <x v="6"/>
    <x v="8"/>
    <n v="71.625517687360301"/>
    <n v="4357.2189926477504"/>
    <n v="15685.9883735319"/>
  </r>
  <r>
    <x v="0"/>
    <x v="0"/>
    <x v="0"/>
    <x v="6"/>
    <x v="8"/>
    <s v="NO2_A1"/>
    <x v="0"/>
    <x v="0"/>
    <x v="6"/>
    <x v="9"/>
    <n v="70.492300752415105"/>
    <n v="4288.2816291052504"/>
    <n v="15437.8138647789"/>
  </r>
  <r>
    <x v="0"/>
    <x v="0"/>
    <x v="0"/>
    <x v="6"/>
    <x v="8"/>
    <s v="NO2_A1"/>
    <x v="0"/>
    <x v="0"/>
    <x v="6"/>
    <x v="10"/>
    <n v="67.575473925093803"/>
    <n v="4110.8413304432097"/>
    <n v="14799.028789595501"/>
  </r>
  <r>
    <x v="0"/>
    <x v="0"/>
    <x v="0"/>
    <x v="6"/>
    <x v="8"/>
    <s v="NO2_A1"/>
    <x v="0"/>
    <x v="0"/>
    <x v="6"/>
    <x v="11"/>
    <n v="64.382596296466701"/>
    <n v="3916.6079413683901"/>
    <n v="14099.7885889262"/>
  </r>
  <r>
    <x v="0"/>
    <x v="0"/>
    <x v="0"/>
    <x v="6"/>
    <x v="8"/>
    <s v="NO2_A1"/>
    <x v="0"/>
    <x v="0"/>
    <x v="7"/>
    <x v="0"/>
    <n v="36.5775839386787"/>
    <n v="2225.1363562696201"/>
    <n v="8010.4908825706498"/>
  </r>
  <r>
    <x v="0"/>
    <x v="0"/>
    <x v="0"/>
    <x v="6"/>
    <x v="8"/>
    <s v="NO2_A1"/>
    <x v="0"/>
    <x v="0"/>
    <x v="7"/>
    <x v="1"/>
    <n v="36.645259568210797"/>
    <n v="2229.2532903994902"/>
    <n v="8025.3118454381602"/>
  </r>
  <r>
    <x v="0"/>
    <x v="0"/>
    <x v="0"/>
    <x v="6"/>
    <x v="8"/>
    <s v="NO2_A1"/>
    <x v="0"/>
    <x v="0"/>
    <x v="7"/>
    <x v="2"/>
    <n v="37.249937828092797"/>
    <n v="2266.0378845423102"/>
    <n v="8157.7363843523299"/>
  </r>
  <r>
    <x v="0"/>
    <x v="0"/>
    <x v="0"/>
    <x v="6"/>
    <x v="8"/>
    <s v="NO2_A1"/>
    <x v="0"/>
    <x v="0"/>
    <x v="7"/>
    <x v="3"/>
    <n v="38.366228031856402"/>
    <n v="2333.9455386046002"/>
    <n v="8402.2039389765505"/>
  </r>
  <r>
    <x v="0"/>
    <x v="0"/>
    <x v="0"/>
    <x v="6"/>
    <x v="8"/>
    <s v="NO2_A1"/>
    <x v="0"/>
    <x v="0"/>
    <x v="7"/>
    <x v="4"/>
    <n v="41.498211003213001"/>
    <n v="2524.4745026954602"/>
    <n v="9088.1082097036506"/>
  </r>
  <r>
    <x v="0"/>
    <x v="0"/>
    <x v="0"/>
    <x v="6"/>
    <x v="8"/>
    <s v="NO2_A1"/>
    <x v="0"/>
    <x v="0"/>
    <x v="7"/>
    <x v="5"/>
    <n v="46.323712477747598"/>
    <n v="2818.0258423963101"/>
    <n v="10144.8930326267"/>
  </r>
  <r>
    <x v="0"/>
    <x v="0"/>
    <x v="0"/>
    <x v="6"/>
    <x v="8"/>
    <s v="NO2_A1"/>
    <x v="0"/>
    <x v="0"/>
    <x v="7"/>
    <x v="6"/>
    <n v="54.349029099340598"/>
    <n v="3306.2326035432202"/>
    <n v="11902.437372755599"/>
  </r>
  <r>
    <x v="0"/>
    <x v="0"/>
    <x v="0"/>
    <x v="6"/>
    <x v="8"/>
    <s v="NO2_A1"/>
    <x v="0"/>
    <x v="0"/>
    <x v="7"/>
    <x v="7"/>
    <n v="61.4685040078055"/>
    <n v="3739.3339938081599"/>
    <n v="13461.6023777094"/>
  </r>
  <r>
    <x v="0"/>
    <x v="0"/>
    <x v="0"/>
    <x v="6"/>
    <x v="8"/>
    <s v="NO2_A1"/>
    <x v="0"/>
    <x v="0"/>
    <x v="7"/>
    <x v="8"/>
    <n v="61.796455462010599"/>
    <n v="3759.28437393898"/>
    <n v="13533.4237461803"/>
  </r>
  <r>
    <x v="0"/>
    <x v="0"/>
    <x v="0"/>
    <x v="6"/>
    <x v="8"/>
    <s v="NO2_A1"/>
    <x v="0"/>
    <x v="0"/>
    <x v="7"/>
    <x v="9"/>
    <n v="58.050442778054098"/>
    <n v="3531.4019356649601"/>
    <n v="12713.046968393801"/>
  </r>
  <r>
    <x v="0"/>
    <x v="0"/>
    <x v="0"/>
    <x v="6"/>
    <x v="8"/>
    <s v="NO2_A1"/>
    <x v="0"/>
    <x v="0"/>
    <x v="7"/>
    <x v="10"/>
    <n v="55.250556707282897"/>
    <n v="3361.0755330263801"/>
    <n v="12099.871918895"/>
  </r>
  <r>
    <x v="0"/>
    <x v="0"/>
    <x v="0"/>
    <x v="6"/>
    <x v="8"/>
    <s v="NO2_A1"/>
    <x v="0"/>
    <x v="0"/>
    <x v="7"/>
    <x v="11"/>
    <n v="51.773475981711599"/>
    <n v="3149.5531222207901"/>
    <n v="11338.3912399948"/>
  </r>
  <r>
    <x v="0"/>
    <x v="0"/>
    <x v="0"/>
    <x v="6"/>
    <x v="8"/>
    <s v="NO2_A1"/>
    <x v="0"/>
    <x v="0"/>
    <x v="8"/>
    <x v="0"/>
    <n v="35.367073829363399"/>
    <n v="2151.4969912862798"/>
    <n v="7745.3891686305897"/>
  </r>
  <r>
    <x v="0"/>
    <x v="0"/>
    <x v="0"/>
    <x v="6"/>
    <x v="8"/>
    <s v="NO2_A1"/>
    <x v="0"/>
    <x v="0"/>
    <x v="8"/>
    <x v="1"/>
    <n v="35.604092287542798"/>
    <n v="2165.9156141588501"/>
    <n v="7797.2962109718601"/>
  </r>
  <r>
    <x v="0"/>
    <x v="0"/>
    <x v="0"/>
    <x v="6"/>
    <x v="8"/>
    <s v="NO2_A1"/>
    <x v="0"/>
    <x v="0"/>
    <x v="8"/>
    <x v="2"/>
    <n v="36.064944244917001"/>
    <n v="2193.95077489912"/>
    <n v="7898.2227896368104"/>
  </r>
  <r>
    <x v="0"/>
    <x v="0"/>
    <x v="0"/>
    <x v="6"/>
    <x v="8"/>
    <s v="NO2_A1"/>
    <x v="0"/>
    <x v="0"/>
    <x v="8"/>
    <x v="3"/>
    <n v="36.401883708299003"/>
    <n v="2214.4479255881902"/>
    <n v="7972.0125321174801"/>
  </r>
  <r>
    <x v="0"/>
    <x v="0"/>
    <x v="0"/>
    <x v="6"/>
    <x v="8"/>
    <s v="NO2_A1"/>
    <x v="0"/>
    <x v="0"/>
    <x v="8"/>
    <x v="4"/>
    <n v="38.4032125195601"/>
    <n v="2336.1954282732399"/>
    <n v="8410.30354178366"/>
  </r>
  <r>
    <x v="0"/>
    <x v="0"/>
    <x v="0"/>
    <x v="6"/>
    <x v="8"/>
    <s v="NO2_A1"/>
    <x v="0"/>
    <x v="0"/>
    <x v="8"/>
    <x v="5"/>
    <n v="41.598467522355001"/>
    <n v="2530.5734409432598"/>
    <n v="9110.0643873957397"/>
  </r>
  <r>
    <x v="0"/>
    <x v="0"/>
    <x v="0"/>
    <x v="6"/>
    <x v="8"/>
    <s v="NO2_A1"/>
    <x v="0"/>
    <x v="0"/>
    <x v="8"/>
    <x v="6"/>
    <n v="47.713408305856397"/>
    <n v="2902.5656719396002"/>
    <n v="10449.2364189825"/>
  </r>
  <r>
    <x v="0"/>
    <x v="0"/>
    <x v="0"/>
    <x v="6"/>
    <x v="8"/>
    <s v="NO2_A1"/>
    <x v="0"/>
    <x v="0"/>
    <x v="8"/>
    <x v="7"/>
    <n v="51.7249734920604"/>
    <n v="3146.6025541003401"/>
    <n v="11327.7691947612"/>
  </r>
  <r>
    <x v="0"/>
    <x v="0"/>
    <x v="0"/>
    <x v="6"/>
    <x v="8"/>
    <s v="NO2_A1"/>
    <x v="0"/>
    <x v="0"/>
    <x v="8"/>
    <x v="8"/>
    <n v="49.348380642044702"/>
    <n v="3002.02648905772"/>
    <n v="10807.295360607801"/>
  </r>
  <r>
    <x v="0"/>
    <x v="0"/>
    <x v="0"/>
    <x v="6"/>
    <x v="8"/>
    <s v="NO2_A1"/>
    <x v="0"/>
    <x v="0"/>
    <x v="8"/>
    <x v="9"/>
    <n v="45.664610562298499"/>
    <n v="2777.93047587316"/>
    <n v="10000.5497131434"/>
  </r>
  <r>
    <x v="0"/>
    <x v="0"/>
    <x v="0"/>
    <x v="6"/>
    <x v="8"/>
    <s v="NO2_A1"/>
    <x v="0"/>
    <x v="0"/>
    <x v="8"/>
    <x v="10"/>
    <n v="42.547708864543303"/>
    <n v="2588.3189559263801"/>
    <n v="9317.9482413349797"/>
  </r>
  <r>
    <x v="0"/>
    <x v="0"/>
    <x v="0"/>
    <x v="6"/>
    <x v="8"/>
    <s v="NO2_A1"/>
    <x v="0"/>
    <x v="0"/>
    <x v="8"/>
    <x v="11"/>
    <n v="40.175601035465803"/>
    <n v="2444.0157296574998"/>
    <n v="8798.4566267669998"/>
  </r>
  <r>
    <x v="0"/>
    <x v="0"/>
    <x v="0"/>
    <x v="6"/>
    <x v="8"/>
    <s v="NO2_A1"/>
    <x v="0"/>
    <x v="0"/>
    <x v="9"/>
    <x v="0"/>
    <n v="27.5881639577633"/>
    <n v="1678.27997409726"/>
    <n v="6041.8079067501503"/>
  </r>
  <r>
    <x v="0"/>
    <x v="0"/>
    <x v="0"/>
    <x v="6"/>
    <x v="8"/>
    <s v="NO2_A1"/>
    <x v="0"/>
    <x v="0"/>
    <x v="9"/>
    <x v="1"/>
    <n v="28.0243852466151"/>
    <n v="1704.8167691690901"/>
    <n v="6137.3403690087198"/>
  </r>
  <r>
    <x v="0"/>
    <x v="0"/>
    <x v="0"/>
    <x v="6"/>
    <x v="8"/>
    <s v="NO2_A1"/>
    <x v="0"/>
    <x v="0"/>
    <x v="9"/>
    <x v="2"/>
    <n v="28.553241535408901"/>
    <n v="1736.98886007071"/>
    <n v="6253.1598962545504"/>
  </r>
  <r>
    <x v="0"/>
    <x v="0"/>
    <x v="0"/>
    <x v="6"/>
    <x v="8"/>
    <s v="NO2_A1"/>
    <x v="0"/>
    <x v="0"/>
    <x v="9"/>
    <x v="3"/>
    <n v="29.831756627965301"/>
    <n v="1814.7651948678899"/>
    <n v="6533.1547015243996"/>
  </r>
  <r>
    <x v="0"/>
    <x v="0"/>
    <x v="0"/>
    <x v="6"/>
    <x v="8"/>
    <s v="NO2_A1"/>
    <x v="0"/>
    <x v="0"/>
    <x v="9"/>
    <x v="4"/>
    <n v="32.191450125945998"/>
    <n v="1958.3132159950501"/>
    <n v="7049.9275775821698"/>
  </r>
  <r>
    <x v="0"/>
    <x v="0"/>
    <x v="0"/>
    <x v="6"/>
    <x v="8"/>
    <s v="NO2_A1"/>
    <x v="0"/>
    <x v="0"/>
    <x v="9"/>
    <x v="5"/>
    <n v="35.4358151790234"/>
    <n v="2155.6787567239198"/>
    <n v="7760.4435242061199"/>
  </r>
  <r>
    <x v="0"/>
    <x v="0"/>
    <x v="0"/>
    <x v="6"/>
    <x v="8"/>
    <s v="NO2_A1"/>
    <x v="0"/>
    <x v="0"/>
    <x v="9"/>
    <x v="6"/>
    <n v="41.454588663083697"/>
    <n v="2521.82081033759"/>
    <n v="9078.5549172153205"/>
  </r>
  <r>
    <x v="0"/>
    <x v="0"/>
    <x v="0"/>
    <x v="6"/>
    <x v="8"/>
    <s v="NO2_A1"/>
    <x v="0"/>
    <x v="0"/>
    <x v="9"/>
    <x v="7"/>
    <n v="46.056963326781599"/>
    <n v="2801.79860237921"/>
    <n v="10086.4749685652"/>
  </r>
  <r>
    <x v="0"/>
    <x v="0"/>
    <x v="0"/>
    <x v="6"/>
    <x v="8"/>
    <s v="NO2_A1"/>
    <x v="0"/>
    <x v="0"/>
    <x v="9"/>
    <x v="8"/>
    <n v="47.013846054852202"/>
    <n v="2860.0089683368401"/>
    <n v="10296.0322860126"/>
  </r>
  <r>
    <x v="0"/>
    <x v="0"/>
    <x v="0"/>
    <x v="6"/>
    <x v="8"/>
    <s v="NO2_A1"/>
    <x v="0"/>
    <x v="0"/>
    <x v="9"/>
    <x v="9"/>
    <n v="45.3221893508221"/>
    <n v="2757.0998521750098"/>
    <n v="9925.5594678300495"/>
  </r>
  <r>
    <x v="0"/>
    <x v="0"/>
    <x v="0"/>
    <x v="6"/>
    <x v="8"/>
    <s v="NO2_A1"/>
    <x v="0"/>
    <x v="0"/>
    <x v="9"/>
    <x v="10"/>
    <n v="43.661842100587798"/>
    <n v="2656.0953944524199"/>
    <n v="9561.9434200287196"/>
  </r>
  <r>
    <x v="0"/>
    <x v="0"/>
    <x v="0"/>
    <x v="6"/>
    <x v="8"/>
    <s v="NO2_A1"/>
    <x v="0"/>
    <x v="0"/>
    <x v="9"/>
    <x v="11"/>
    <n v="42.439332559341302"/>
    <n v="2581.7260640265999"/>
    <n v="9294.2138304957498"/>
  </r>
  <r>
    <x v="0"/>
    <x v="0"/>
    <x v="0"/>
    <x v="6"/>
    <x v="8"/>
    <s v="NO2_A1"/>
    <x v="0"/>
    <x v="0"/>
    <x v="10"/>
    <x v="0"/>
    <n v="13.045704731603699"/>
    <n v="793.61370450589197"/>
    <n v="2857.0093362212101"/>
  </r>
  <r>
    <x v="0"/>
    <x v="0"/>
    <x v="0"/>
    <x v="6"/>
    <x v="8"/>
    <s v="NO2_A1"/>
    <x v="0"/>
    <x v="0"/>
    <x v="10"/>
    <x v="1"/>
    <n v="13.493313257154901"/>
    <n v="820.84322314359201"/>
    <n v="2955.0356033169301"/>
  </r>
  <r>
    <x v="0"/>
    <x v="0"/>
    <x v="0"/>
    <x v="6"/>
    <x v="8"/>
    <s v="NO2_A1"/>
    <x v="0"/>
    <x v="0"/>
    <x v="10"/>
    <x v="2"/>
    <n v="13.326569536394199"/>
    <n v="810.69964679731095"/>
    <n v="2918.5187284703202"/>
  </r>
  <r>
    <x v="0"/>
    <x v="0"/>
    <x v="0"/>
    <x v="6"/>
    <x v="8"/>
    <s v="NO2_A1"/>
    <x v="0"/>
    <x v="0"/>
    <x v="10"/>
    <x v="3"/>
    <n v="14.9413549174987"/>
    <n v="908.93242414783595"/>
    <n v="3272.1567269322099"/>
  </r>
  <r>
    <x v="0"/>
    <x v="0"/>
    <x v="0"/>
    <x v="6"/>
    <x v="8"/>
    <s v="NO2_A1"/>
    <x v="0"/>
    <x v="0"/>
    <x v="10"/>
    <x v="4"/>
    <n v="16.172282489718899"/>
    <n v="983.81385145789704"/>
    <n v="3541.7298652484301"/>
  </r>
  <r>
    <x v="0"/>
    <x v="0"/>
    <x v="0"/>
    <x v="6"/>
    <x v="8"/>
    <s v="NO2_A1"/>
    <x v="0"/>
    <x v="0"/>
    <x v="10"/>
    <x v="5"/>
    <n v="18.923494830959701"/>
    <n v="1151.17926888338"/>
    <n v="4144.2453679801702"/>
  </r>
  <r>
    <x v="0"/>
    <x v="0"/>
    <x v="0"/>
    <x v="6"/>
    <x v="8"/>
    <s v="NO2_A1"/>
    <x v="0"/>
    <x v="0"/>
    <x v="10"/>
    <x v="6"/>
    <n v="22.657308804369901"/>
    <n v="1378.3196189324999"/>
    <n v="4961.9506281570102"/>
  </r>
  <r>
    <x v="0"/>
    <x v="0"/>
    <x v="0"/>
    <x v="6"/>
    <x v="8"/>
    <s v="NO2_A1"/>
    <x v="0"/>
    <x v="0"/>
    <x v="10"/>
    <x v="7"/>
    <n v="25.4323641719036"/>
    <n v="1547.1354871241399"/>
    <n v="5569.6877536468901"/>
  </r>
  <r>
    <x v="0"/>
    <x v="0"/>
    <x v="0"/>
    <x v="6"/>
    <x v="8"/>
    <s v="NO2_A1"/>
    <x v="0"/>
    <x v="0"/>
    <x v="10"/>
    <x v="8"/>
    <n v="25.755064575784498"/>
    <n v="1566.7664283602201"/>
    <n v="5640.3591420967996"/>
  </r>
  <r>
    <x v="0"/>
    <x v="0"/>
    <x v="0"/>
    <x v="6"/>
    <x v="8"/>
    <s v="NO2_A1"/>
    <x v="0"/>
    <x v="0"/>
    <x v="10"/>
    <x v="9"/>
    <n v="24.284488932512499"/>
    <n v="1477.30641006118"/>
    <n v="5318.3030762202397"/>
  </r>
  <r>
    <x v="0"/>
    <x v="0"/>
    <x v="0"/>
    <x v="6"/>
    <x v="8"/>
    <s v="NO2_A1"/>
    <x v="0"/>
    <x v="0"/>
    <x v="10"/>
    <x v="10"/>
    <n v="22.066157141517301"/>
    <n v="1342.35789277564"/>
    <n v="4832.4884139922997"/>
  </r>
  <r>
    <x v="0"/>
    <x v="0"/>
    <x v="0"/>
    <x v="6"/>
    <x v="8"/>
    <s v="NO2_A1"/>
    <x v="0"/>
    <x v="0"/>
    <x v="10"/>
    <x v="11"/>
    <n v="19.6055984685742"/>
    <n v="1192.6739068382601"/>
    <n v="4293.6260646177498"/>
  </r>
  <r>
    <x v="0"/>
    <x v="0"/>
    <x v="0"/>
    <x v="6"/>
    <x v="8"/>
    <s v="NO2_A1"/>
    <x v="0"/>
    <x v="0"/>
    <x v="11"/>
    <x v="0"/>
    <n v="20.615717913017001"/>
    <n v="1254.1228397085299"/>
    <n v="4514.8422229507096"/>
  </r>
  <r>
    <x v="0"/>
    <x v="0"/>
    <x v="0"/>
    <x v="6"/>
    <x v="8"/>
    <s v="NO2_A1"/>
    <x v="0"/>
    <x v="0"/>
    <x v="11"/>
    <x v="1"/>
    <n v="21.120043961360501"/>
    <n v="1284.8026743160999"/>
    <n v="4625.2896275379499"/>
  </r>
  <r>
    <x v="0"/>
    <x v="0"/>
    <x v="0"/>
    <x v="6"/>
    <x v="8"/>
    <s v="NO2_A1"/>
    <x v="0"/>
    <x v="0"/>
    <x v="11"/>
    <x v="2"/>
    <n v="21.382366457541199"/>
    <n v="1300.7606261670901"/>
    <n v="4682.7382542015202"/>
  </r>
  <r>
    <x v="0"/>
    <x v="0"/>
    <x v="0"/>
    <x v="6"/>
    <x v="8"/>
    <s v="NO2_A1"/>
    <x v="0"/>
    <x v="0"/>
    <x v="11"/>
    <x v="3"/>
    <n v="22.8721942589344"/>
    <n v="1391.3918174185101"/>
    <n v="5009.0105427066301"/>
  </r>
  <r>
    <x v="0"/>
    <x v="0"/>
    <x v="0"/>
    <x v="6"/>
    <x v="8"/>
    <s v="NO2_A1"/>
    <x v="0"/>
    <x v="0"/>
    <x v="11"/>
    <x v="4"/>
    <n v="25.086345280904901"/>
    <n v="1526.0860045883801"/>
    <n v="5493.90961651818"/>
  </r>
  <r>
    <x v="0"/>
    <x v="0"/>
    <x v="0"/>
    <x v="6"/>
    <x v="8"/>
    <s v="NO2_A1"/>
    <x v="0"/>
    <x v="0"/>
    <x v="11"/>
    <x v="5"/>
    <n v="28.228624572971199"/>
    <n v="1717.2413281890799"/>
    <n v="6182.0687814806997"/>
  </r>
  <r>
    <x v="0"/>
    <x v="0"/>
    <x v="0"/>
    <x v="6"/>
    <x v="8"/>
    <s v="NO2_A1"/>
    <x v="0"/>
    <x v="0"/>
    <x v="11"/>
    <x v="6"/>
    <n v="33.7722565926722"/>
    <n v="2054.4789427208898"/>
    <n v="7396.12419379521"/>
  </r>
  <r>
    <x v="0"/>
    <x v="0"/>
    <x v="0"/>
    <x v="6"/>
    <x v="8"/>
    <s v="NO2_A1"/>
    <x v="0"/>
    <x v="0"/>
    <x v="11"/>
    <x v="7"/>
    <n v="37.691887512817402"/>
    <n v="2292.9231570297302"/>
    <n v="8254.5233653070209"/>
  </r>
  <r>
    <x v="0"/>
    <x v="0"/>
    <x v="0"/>
    <x v="6"/>
    <x v="8"/>
    <s v="NO2_A1"/>
    <x v="0"/>
    <x v="0"/>
    <x v="11"/>
    <x v="8"/>
    <n v="37.957647974617501"/>
    <n v="2309.09025178923"/>
    <n v="8312.7249064412408"/>
  </r>
  <r>
    <x v="0"/>
    <x v="0"/>
    <x v="0"/>
    <x v="6"/>
    <x v="8"/>
    <s v="NO2_A1"/>
    <x v="0"/>
    <x v="0"/>
    <x v="11"/>
    <x v="9"/>
    <n v="35.917801791140398"/>
    <n v="2184.9996089610399"/>
    <n v="7865.9985922597398"/>
  </r>
  <r>
    <x v="0"/>
    <x v="0"/>
    <x v="0"/>
    <x v="6"/>
    <x v="8"/>
    <s v="NO2_A1"/>
    <x v="0"/>
    <x v="0"/>
    <x v="11"/>
    <x v="10"/>
    <n v="33.775960961569602"/>
    <n v="2054.7042918288198"/>
    <n v="7396.93545058375"/>
  </r>
  <r>
    <x v="0"/>
    <x v="0"/>
    <x v="0"/>
    <x v="6"/>
    <x v="8"/>
    <s v="NO2_A1"/>
    <x v="0"/>
    <x v="0"/>
    <x v="11"/>
    <x v="11"/>
    <n v="32.214521348975097"/>
    <n v="1959.7167153959899"/>
    <n v="7054.9801754255604"/>
  </r>
  <r>
    <x v="0"/>
    <x v="0"/>
    <x v="0"/>
    <x v="6"/>
    <x v="9"/>
    <s v="NO3_A1"/>
    <x v="0"/>
    <x v="0"/>
    <x v="0"/>
    <x v="0"/>
    <n v="17.4586291263542"/>
    <n v="1062.0666051865501"/>
    <n v="3823.4397786715699"/>
  </r>
  <r>
    <x v="0"/>
    <x v="0"/>
    <x v="0"/>
    <x v="6"/>
    <x v="9"/>
    <s v="NO3_A1"/>
    <x v="0"/>
    <x v="0"/>
    <x v="0"/>
    <x v="1"/>
    <n v="17.640431697164001"/>
    <n v="1073.1262615774799"/>
    <n v="3863.2545416789198"/>
  </r>
  <r>
    <x v="0"/>
    <x v="0"/>
    <x v="0"/>
    <x v="6"/>
    <x v="9"/>
    <s v="NO3_A1"/>
    <x v="0"/>
    <x v="0"/>
    <x v="0"/>
    <x v="2"/>
    <n v="17.7947565021279"/>
    <n v="1082.51435387945"/>
    <n v="3897.0516739660202"/>
  </r>
  <r>
    <x v="0"/>
    <x v="0"/>
    <x v="0"/>
    <x v="6"/>
    <x v="9"/>
    <s v="NO3_A1"/>
    <x v="0"/>
    <x v="0"/>
    <x v="0"/>
    <x v="3"/>
    <n v="18.3829207921391"/>
    <n v="1118.2943481884599"/>
    <n v="4025.8596534784601"/>
  </r>
  <r>
    <x v="0"/>
    <x v="0"/>
    <x v="0"/>
    <x v="6"/>
    <x v="9"/>
    <s v="NO3_A1"/>
    <x v="0"/>
    <x v="0"/>
    <x v="0"/>
    <x v="4"/>
    <n v="19.911692406034302"/>
    <n v="1211.29462136708"/>
    <n v="4360.6606369214996"/>
  </r>
  <r>
    <x v="0"/>
    <x v="0"/>
    <x v="0"/>
    <x v="6"/>
    <x v="9"/>
    <s v="NO3_A1"/>
    <x v="0"/>
    <x v="0"/>
    <x v="0"/>
    <x v="5"/>
    <n v="21.9690232326707"/>
    <n v="1336.4489133208001"/>
    <n v="4811.2160879548901"/>
  </r>
  <r>
    <x v="0"/>
    <x v="0"/>
    <x v="0"/>
    <x v="6"/>
    <x v="9"/>
    <s v="NO3_A1"/>
    <x v="0"/>
    <x v="0"/>
    <x v="0"/>
    <x v="6"/>
    <n v="25.764057471235802"/>
    <n v="1567.31349616685"/>
    <n v="5642.3285862006396"/>
  </r>
  <r>
    <x v="0"/>
    <x v="0"/>
    <x v="0"/>
    <x v="6"/>
    <x v="9"/>
    <s v="NO3_A1"/>
    <x v="0"/>
    <x v="0"/>
    <x v="0"/>
    <x v="7"/>
    <n v="28.891413507785501"/>
    <n v="1757.56098839028"/>
    <n v="6327.2195582050299"/>
  </r>
  <r>
    <x v="0"/>
    <x v="0"/>
    <x v="0"/>
    <x v="6"/>
    <x v="9"/>
    <s v="NO3_A1"/>
    <x v="0"/>
    <x v="0"/>
    <x v="0"/>
    <x v="8"/>
    <n v="29.2818227222945"/>
    <n v="1781.31088227292"/>
    <n v="6412.7191761824997"/>
  </r>
  <r>
    <x v="0"/>
    <x v="0"/>
    <x v="0"/>
    <x v="6"/>
    <x v="9"/>
    <s v="NO3_A1"/>
    <x v="0"/>
    <x v="0"/>
    <x v="0"/>
    <x v="9"/>
    <n v="28.335722726379"/>
    <n v="1723.7564658547201"/>
    <n v="6205.5232770769999"/>
  </r>
  <r>
    <x v="0"/>
    <x v="0"/>
    <x v="0"/>
    <x v="6"/>
    <x v="9"/>
    <s v="NO3_A1"/>
    <x v="0"/>
    <x v="0"/>
    <x v="0"/>
    <x v="10"/>
    <n v="27.313988742011901"/>
    <n v="1661.60098180572"/>
    <n v="5981.7635345006101"/>
  </r>
  <r>
    <x v="0"/>
    <x v="0"/>
    <x v="0"/>
    <x v="6"/>
    <x v="9"/>
    <s v="NO3_A1"/>
    <x v="0"/>
    <x v="0"/>
    <x v="0"/>
    <x v="11"/>
    <n v="26.6564563549545"/>
    <n v="1621.6010949264"/>
    <n v="5837.7639417350501"/>
  </r>
  <r>
    <x v="0"/>
    <x v="0"/>
    <x v="0"/>
    <x v="6"/>
    <x v="9"/>
    <s v="NO3_A1"/>
    <x v="0"/>
    <x v="0"/>
    <x v="1"/>
    <x v="0"/>
    <n v="24.877466337770802"/>
    <n v="1513.37920221439"/>
    <n v="5448.1651279718099"/>
  </r>
  <r>
    <x v="0"/>
    <x v="0"/>
    <x v="0"/>
    <x v="6"/>
    <x v="9"/>
    <s v="NO3_A1"/>
    <x v="0"/>
    <x v="0"/>
    <x v="1"/>
    <x v="1"/>
    <n v="24.779924938395599"/>
    <n v="1507.4454337524"/>
    <n v="5426.8035615086401"/>
  </r>
  <r>
    <x v="0"/>
    <x v="0"/>
    <x v="0"/>
    <x v="6"/>
    <x v="9"/>
    <s v="NO3_A1"/>
    <x v="0"/>
    <x v="0"/>
    <x v="1"/>
    <x v="2"/>
    <n v="24.921857555305898"/>
    <n v="1516.0796679477701"/>
    <n v="5457.8868046119796"/>
  </r>
  <r>
    <x v="0"/>
    <x v="0"/>
    <x v="0"/>
    <x v="6"/>
    <x v="9"/>
    <s v="NO3_A1"/>
    <x v="0"/>
    <x v="0"/>
    <x v="1"/>
    <x v="3"/>
    <n v="25.363981768817599"/>
    <n v="1542.97555760307"/>
    <n v="5554.7120073710503"/>
  </r>
  <r>
    <x v="0"/>
    <x v="0"/>
    <x v="0"/>
    <x v="6"/>
    <x v="9"/>
    <s v="NO3_A1"/>
    <x v="0"/>
    <x v="0"/>
    <x v="1"/>
    <x v="4"/>
    <n v="26.374253759383599"/>
    <n v="1604.4337703624999"/>
    <n v="5775.9615733050096"/>
  </r>
  <r>
    <x v="0"/>
    <x v="0"/>
    <x v="0"/>
    <x v="6"/>
    <x v="9"/>
    <s v="NO3_A1"/>
    <x v="0"/>
    <x v="0"/>
    <x v="1"/>
    <x v="5"/>
    <n v="28.474695084783299"/>
    <n v="1732.2106176576499"/>
    <n v="6235.9582235675498"/>
  </r>
  <r>
    <x v="0"/>
    <x v="0"/>
    <x v="0"/>
    <x v="6"/>
    <x v="9"/>
    <s v="NO3_A1"/>
    <x v="0"/>
    <x v="0"/>
    <x v="1"/>
    <x v="6"/>
    <n v="33.613040640029197"/>
    <n v="2044.79330560178"/>
    <n v="7361.2559001664004"/>
  </r>
  <r>
    <x v="0"/>
    <x v="0"/>
    <x v="0"/>
    <x v="6"/>
    <x v="9"/>
    <s v="NO3_A1"/>
    <x v="0"/>
    <x v="0"/>
    <x v="1"/>
    <x v="7"/>
    <n v="37.827148540926103"/>
    <n v="2301.1515362396699"/>
    <n v="8284.1455304628198"/>
  </r>
  <r>
    <x v="0"/>
    <x v="0"/>
    <x v="0"/>
    <x v="6"/>
    <x v="9"/>
    <s v="NO3_A1"/>
    <x v="0"/>
    <x v="0"/>
    <x v="1"/>
    <x v="8"/>
    <n v="38.027903987117199"/>
    <n v="2313.3641592162899"/>
    <n v="8328.1109731786601"/>
  </r>
  <r>
    <x v="0"/>
    <x v="0"/>
    <x v="0"/>
    <x v="6"/>
    <x v="9"/>
    <s v="NO3_A1"/>
    <x v="0"/>
    <x v="0"/>
    <x v="1"/>
    <x v="9"/>
    <n v="36.624117885356704"/>
    <n v="2227.9671713592002"/>
    <n v="8020.6818168931204"/>
  </r>
  <r>
    <x v="0"/>
    <x v="0"/>
    <x v="0"/>
    <x v="6"/>
    <x v="9"/>
    <s v="NO3_A1"/>
    <x v="0"/>
    <x v="0"/>
    <x v="1"/>
    <x v="10"/>
    <n v="34.730315408423003"/>
    <n v="2112.7608540124002"/>
    <n v="7605.93907444464"/>
  </r>
  <r>
    <x v="0"/>
    <x v="0"/>
    <x v="0"/>
    <x v="6"/>
    <x v="9"/>
    <s v="NO3_A1"/>
    <x v="0"/>
    <x v="0"/>
    <x v="1"/>
    <x v="11"/>
    <n v="32.418741882825103"/>
    <n v="1972.1401312051901"/>
    <n v="7099.7044723386998"/>
  </r>
  <r>
    <x v="0"/>
    <x v="0"/>
    <x v="0"/>
    <x v="6"/>
    <x v="9"/>
    <s v="NO3_A1"/>
    <x v="0"/>
    <x v="0"/>
    <x v="2"/>
    <x v="0"/>
    <n v="15.8508443691537"/>
    <n v="964.259699123514"/>
    <n v="3471.3349168446498"/>
  </r>
  <r>
    <x v="0"/>
    <x v="0"/>
    <x v="0"/>
    <x v="6"/>
    <x v="9"/>
    <s v="NO3_A1"/>
    <x v="0"/>
    <x v="0"/>
    <x v="2"/>
    <x v="1"/>
    <n v="15.9806511090718"/>
    <n v="972.15627580186595"/>
    <n v="3499.7625928867201"/>
  </r>
  <r>
    <x v="0"/>
    <x v="0"/>
    <x v="0"/>
    <x v="6"/>
    <x v="9"/>
    <s v="NO3_A1"/>
    <x v="0"/>
    <x v="0"/>
    <x v="2"/>
    <x v="2"/>
    <n v="16.0564001909175"/>
    <n v="976.76434494748401"/>
    <n v="3516.3516418109398"/>
  </r>
  <r>
    <x v="0"/>
    <x v="0"/>
    <x v="0"/>
    <x v="6"/>
    <x v="9"/>
    <s v="NO3_A1"/>
    <x v="0"/>
    <x v="0"/>
    <x v="2"/>
    <x v="3"/>
    <n v="16.588811697551201"/>
    <n v="1009.15271160103"/>
    <n v="3632.9497617637098"/>
  </r>
  <r>
    <x v="0"/>
    <x v="0"/>
    <x v="0"/>
    <x v="6"/>
    <x v="9"/>
    <s v="NO3_A1"/>
    <x v="0"/>
    <x v="0"/>
    <x v="2"/>
    <x v="4"/>
    <n v="18.1670527171066"/>
    <n v="1105.1623736239901"/>
    <n v="3978.5845450463498"/>
  </r>
  <r>
    <x v="0"/>
    <x v="0"/>
    <x v="0"/>
    <x v="6"/>
    <x v="9"/>
    <s v="NO3_A1"/>
    <x v="0"/>
    <x v="0"/>
    <x v="2"/>
    <x v="5"/>
    <n v="20.227034049203301"/>
    <n v="1230.4779046598701"/>
    <n v="4429.7204567755198"/>
  </r>
  <r>
    <x v="0"/>
    <x v="0"/>
    <x v="0"/>
    <x v="6"/>
    <x v="9"/>
    <s v="NO3_A1"/>
    <x v="0"/>
    <x v="0"/>
    <x v="2"/>
    <x v="6"/>
    <n v="23.809822451881399"/>
    <n v="1448.4308658227801"/>
    <n v="5214.3511169620197"/>
  </r>
  <r>
    <x v="0"/>
    <x v="0"/>
    <x v="0"/>
    <x v="6"/>
    <x v="9"/>
    <s v="NO3_A1"/>
    <x v="0"/>
    <x v="0"/>
    <x v="2"/>
    <x v="7"/>
    <n v="26.706158009672201"/>
    <n v="1624.6246122550599"/>
    <n v="5848.6486041182197"/>
  </r>
  <r>
    <x v="0"/>
    <x v="0"/>
    <x v="0"/>
    <x v="6"/>
    <x v="9"/>
    <s v="NO3_A1"/>
    <x v="0"/>
    <x v="0"/>
    <x v="2"/>
    <x v="8"/>
    <n v="26.9855242630146"/>
    <n v="1641.6193926667199"/>
    <n v="5909.8298136001904"/>
  </r>
  <r>
    <x v="0"/>
    <x v="0"/>
    <x v="0"/>
    <x v="6"/>
    <x v="9"/>
    <s v="NO3_A1"/>
    <x v="0"/>
    <x v="0"/>
    <x v="2"/>
    <x v="9"/>
    <n v="26.414689781424599"/>
    <n v="1606.89362837"/>
    <n v="5784.8170621319796"/>
  </r>
  <r>
    <x v="0"/>
    <x v="0"/>
    <x v="0"/>
    <x v="6"/>
    <x v="9"/>
    <s v="NO3_A1"/>
    <x v="0"/>
    <x v="0"/>
    <x v="2"/>
    <x v="10"/>
    <n v="25.870418687736901"/>
    <n v="1573.7838035039899"/>
    <n v="5665.6216926143697"/>
  </r>
  <r>
    <x v="0"/>
    <x v="0"/>
    <x v="0"/>
    <x v="6"/>
    <x v="9"/>
    <s v="NO3_A1"/>
    <x v="0"/>
    <x v="0"/>
    <x v="2"/>
    <x v="11"/>
    <n v="25.557999497874299"/>
    <n v="1554.77830278735"/>
    <n v="5597.2018900344601"/>
  </r>
  <r>
    <x v="0"/>
    <x v="0"/>
    <x v="0"/>
    <x v="6"/>
    <x v="9"/>
    <s v="NO3_A1"/>
    <x v="0"/>
    <x v="0"/>
    <x v="3"/>
    <x v="0"/>
    <n v="22.346760840160101"/>
    <n v="1359.42795110974"/>
    <n v="4893.9406239950704"/>
  </r>
  <r>
    <x v="0"/>
    <x v="0"/>
    <x v="0"/>
    <x v="6"/>
    <x v="9"/>
    <s v="NO3_A1"/>
    <x v="0"/>
    <x v="0"/>
    <x v="3"/>
    <x v="1"/>
    <n v="22.443813315258801"/>
    <n v="1365.3319766782499"/>
    <n v="4915.1951160416902"/>
  </r>
  <r>
    <x v="0"/>
    <x v="0"/>
    <x v="0"/>
    <x v="6"/>
    <x v="9"/>
    <s v="NO3_A1"/>
    <x v="0"/>
    <x v="0"/>
    <x v="3"/>
    <x v="2"/>
    <n v="22.721502983507001"/>
    <n v="1382.2247648300099"/>
    <n v="4976.0091533880204"/>
  </r>
  <r>
    <x v="0"/>
    <x v="0"/>
    <x v="0"/>
    <x v="6"/>
    <x v="9"/>
    <s v="NO3_A1"/>
    <x v="0"/>
    <x v="0"/>
    <x v="3"/>
    <x v="3"/>
    <n v="23.5934327137469"/>
    <n v="1435.2671567529301"/>
    <n v="5166.9617643105603"/>
  </r>
  <r>
    <x v="0"/>
    <x v="0"/>
    <x v="0"/>
    <x v="6"/>
    <x v="9"/>
    <s v="NO3_A1"/>
    <x v="0"/>
    <x v="0"/>
    <x v="3"/>
    <x v="4"/>
    <n v="25.526563375027902"/>
    <n v="1552.8659386475299"/>
    <n v="5590.3173791311101"/>
  </r>
  <r>
    <x v="0"/>
    <x v="0"/>
    <x v="0"/>
    <x v="6"/>
    <x v="9"/>
    <s v="NO3_A1"/>
    <x v="0"/>
    <x v="0"/>
    <x v="3"/>
    <x v="5"/>
    <n v="28.1004599493425"/>
    <n v="1709.4446469183299"/>
    <n v="6154.0007289060104"/>
  </r>
  <r>
    <x v="0"/>
    <x v="0"/>
    <x v="0"/>
    <x v="6"/>
    <x v="9"/>
    <s v="NO3_A1"/>
    <x v="0"/>
    <x v="0"/>
    <x v="3"/>
    <x v="6"/>
    <n v="33.187871960531901"/>
    <n v="2018.9288775990201"/>
    <n v="7268.1439593564801"/>
  </r>
  <r>
    <x v="0"/>
    <x v="0"/>
    <x v="0"/>
    <x v="6"/>
    <x v="9"/>
    <s v="NO3_A1"/>
    <x v="0"/>
    <x v="0"/>
    <x v="3"/>
    <x v="7"/>
    <n v="37.692312283923101"/>
    <n v="2292.9489972719898"/>
    <n v="8254.6163901791606"/>
  </r>
  <r>
    <x v="0"/>
    <x v="0"/>
    <x v="0"/>
    <x v="6"/>
    <x v="9"/>
    <s v="NO3_A1"/>
    <x v="0"/>
    <x v="0"/>
    <x v="3"/>
    <x v="8"/>
    <n v="38.901282032474398"/>
    <n v="2366.4946569755298"/>
    <n v="8519.3807651119005"/>
  </r>
  <r>
    <x v="0"/>
    <x v="0"/>
    <x v="0"/>
    <x v="6"/>
    <x v="9"/>
    <s v="NO3_A1"/>
    <x v="0"/>
    <x v="0"/>
    <x v="3"/>
    <x v="9"/>
    <n v="38.647333636985501"/>
    <n v="2351.0461295832802"/>
    <n v="8463.7660664998202"/>
  </r>
  <r>
    <x v="0"/>
    <x v="0"/>
    <x v="0"/>
    <x v="6"/>
    <x v="9"/>
    <s v="NO3_A1"/>
    <x v="0"/>
    <x v="0"/>
    <x v="3"/>
    <x v="10"/>
    <n v="37.7393087734837"/>
    <n v="2295.8079503869299"/>
    <n v="8264.9086213929295"/>
  </r>
  <r>
    <x v="0"/>
    <x v="0"/>
    <x v="0"/>
    <x v="6"/>
    <x v="9"/>
    <s v="NO3_A1"/>
    <x v="0"/>
    <x v="0"/>
    <x v="3"/>
    <x v="11"/>
    <n v="36.5308257957103"/>
    <n v="2222.29190257238"/>
    <n v="8000.2508492605502"/>
  </r>
  <r>
    <x v="0"/>
    <x v="0"/>
    <x v="0"/>
    <x v="6"/>
    <x v="9"/>
    <s v="NO3_A1"/>
    <x v="0"/>
    <x v="0"/>
    <x v="4"/>
    <x v="0"/>
    <n v="26.5694020355193"/>
    <n v="1616.3052904940901"/>
    <n v="5818.6990457787297"/>
  </r>
  <r>
    <x v="0"/>
    <x v="0"/>
    <x v="0"/>
    <x v="6"/>
    <x v="9"/>
    <s v="NO3_A1"/>
    <x v="0"/>
    <x v="0"/>
    <x v="4"/>
    <x v="1"/>
    <n v="26.582232059702701"/>
    <n v="1617.0857836319201"/>
    <n v="5821.5088210749"/>
  </r>
  <r>
    <x v="0"/>
    <x v="0"/>
    <x v="0"/>
    <x v="6"/>
    <x v="9"/>
    <s v="NO3_A1"/>
    <x v="0"/>
    <x v="0"/>
    <x v="4"/>
    <x v="2"/>
    <n v="26.795559677602299"/>
    <n v="1630.0632137208099"/>
    <n v="5868.2275693948995"/>
  </r>
  <r>
    <x v="0"/>
    <x v="0"/>
    <x v="0"/>
    <x v="6"/>
    <x v="9"/>
    <s v="NO3_A1"/>
    <x v="0"/>
    <x v="0"/>
    <x v="4"/>
    <x v="3"/>
    <n v="27.2112119343881"/>
    <n v="1655.3487260086099"/>
    <n v="5959.25541363099"/>
  </r>
  <r>
    <x v="0"/>
    <x v="0"/>
    <x v="0"/>
    <x v="6"/>
    <x v="9"/>
    <s v="NO3_A1"/>
    <x v="0"/>
    <x v="0"/>
    <x v="4"/>
    <x v="4"/>
    <n v="28.769376818379399"/>
    <n v="1750.1370897847501"/>
    <n v="6300.4935232251"/>
  </r>
  <r>
    <x v="0"/>
    <x v="0"/>
    <x v="0"/>
    <x v="6"/>
    <x v="9"/>
    <s v="NO3_A1"/>
    <x v="0"/>
    <x v="0"/>
    <x v="4"/>
    <x v="5"/>
    <n v="31.1513337740891"/>
    <n v="1895.0394712570901"/>
    <n v="6822.1420965255102"/>
  </r>
  <r>
    <x v="0"/>
    <x v="0"/>
    <x v="0"/>
    <x v="6"/>
    <x v="9"/>
    <s v="NO3_A1"/>
    <x v="0"/>
    <x v="0"/>
    <x v="4"/>
    <x v="6"/>
    <n v="36.684267988717302"/>
    <n v="2231.6263026469701"/>
    <n v="8033.8546895290901"/>
  </r>
  <r>
    <x v="0"/>
    <x v="0"/>
    <x v="0"/>
    <x v="6"/>
    <x v="9"/>
    <s v="NO3_A1"/>
    <x v="0"/>
    <x v="0"/>
    <x v="4"/>
    <x v="7"/>
    <n v="41.567724409186702"/>
    <n v="2528.7032348921898"/>
    <n v="9103.3316456118901"/>
  </r>
  <r>
    <x v="0"/>
    <x v="0"/>
    <x v="0"/>
    <x v="6"/>
    <x v="9"/>
    <s v="NO3_A1"/>
    <x v="0"/>
    <x v="0"/>
    <x v="4"/>
    <x v="8"/>
    <n v="42.798181066903901"/>
    <n v="2603.5560149033199"/>
    <n v="9372.8016536519499"/>
  </r>
  <r>
    <x v="0"/>
    <x v="0"/>
    <x v="0"/>
    <x v="6"/>
    <x v="9"/>
    <s v="NO3_A1"/>
    <x v="0"/>
    <x v="0"/>
    <x v="4"/>
    <x v="9"/>
    <n v="42.4419414585062"/>
    <n v="2581.8847720591202"/>
    <n v="9294.7851794128492"/>
  </r>
  <r>
    <x v="0"/>
    <x v="0"/>
    <x v="0"/>
    <x v="6"/>
    <x v="9"/>
    <s v="NO3_A1"/>
    <x v="0"/>
    <x v="0"/>
    <x v="4"/>
    <x v="10"/>
    <n v="41.0899297011116"/>
    <n v="2499.6373901509601"/>
    <n v="8998.6946045434506"/>
  </r>
  <r>
    <x v="0"/>
    <x v="0"/>
    <x v="0"/>
    <x v="6"/>
    <x v="9"/>
    <s v="NO3_A1"/>
    <x v="0"/>
    <x v="0"/>
    <x v="4"/>
    <x v="11"/>
    <n v="39.686390059482797"/>
    <n v="2414.2553952852099"/>
    <n v="8691.31942302674"/>
  </r>
  <r>
    <x v="0"/>
    <x v="0"/>
    <x v="0"/>
    <x v="6"/>
    <x v="9"/>
    <s v="NO3_A1"/>
    <x v="0"/>
    <x v="0"/>
    <x v="5"/>
    <x v="0"/>
    <n v="22.003977134572899"/>
    <n v="1338.5752756865199"/>
    <n v="4818.8709924714703"/>
  </r>
  <r>
    <x v="0"/>
    <x v="0"/>
    <x v="0"/>
    <x v="6"/>
    <x v="9"/>
    <s v="NO3_A1"/>
    <x v="0"/>
    <x v="0"/>
    <x v="5"/>
    <x v="1"/>
    <n v="21.837328677624502"/>
    <n v="1328.43749455549"/>
    <n v="4782.3749803997698"/>
  </r>
  <r>
    <x v="0"/>
    <x v="0"/>
    <x v="0"/>
    <x v="6"/>
    <x v="9"/>
    <s v="NO3_A1"/>
    <x v="0"/>
    <x v="0"/>
    <x v="5"/>
    <x v="2"/>
    <n v="21.773047427886901"/>
    <n v="1324.5270518631201"/>
    <n v="4768.2973867072196"/>
  </r>
  <r>
    <x v="0"/>
    <x v="0"/>
    <x v="0"/>
    <x v="6"/>
    <x v="9"/>
    <s v="NO3_A1"/>
    <x v="0"/>
    <x v="0"/>
    <x v="5"/>
    <x v="3"/>
    <n v="21.9254987252977"/>
    <n v="1333.80117245561"/>
    <n v="4801.6842208401904"/>
  </r>
  <r>
    <x v="0"/>
    <x v="0"/>
    <x v="0"/>
    <x v="6"/>
    <x v="9"/>
    <s v="NO3_A1"/>
    <x v="0"/>
    <x v="0"/>
    <x v="5"/>
    <x v="4"/>
    <n v="22.8146263332555"/>
    <n v="1387.8897686063799"/>
    <n v="4996.4031669829601"/>
  </r>
  <r>
    <x v="0"/>
    <x v="0"/>
    <x v="0"/>
    <x v="6"/>
    <x v="9"/>
    <s v="NO3_A1"/>
    <x v="0"/>
    <x v="0"/>
    <x v="5"/>
    <x v="5"/>
    <n v="24.767667815434201"/>
    <n v="1506.6997921055799"/>
    <n v="5424.1192515800903"/>
  </r>
  <r>
    <x v="0"/>
    <x v="0"/>
    <x v="0"/>
    <x v="6"/>
    <x v="9"/>
    <s v="NO3_A1"/>
    <x v="0"/>
    <x v="0"/>
    <x v="5"/>
    <x v="6"/>
    <n v="28.830030595473701"/>
    <n v="1753.82686122465"/>
    <n v="6313.77670040873"/>
  </r>
  <r>
    <x v="0"/>
    <x v="0"/>
    <x v="0"/>
    <x v="6"/>
    <x v="9"/>
    <s v="NO3_A1"/>
    <x v="0"/>
    <x v="0"/>
    <x v="5"/>
    <x v="7"/>
    <n v="32.208129229501402"/>
    <n v="1959.32786146134"/>
    <n v="7053.5803012608103"/>
  </r>
  <r>
    <x v="0"/>
    <x v="0"/>
    <x v="0"/>
    <x v="6"/>
    <x v="9"/>
    <s v="NO3_A1"/>
    <x v="0"/>
    <x v="0"/>
    <x v="5"/>
    <x v="8"/>
    <n v="32.4663642125997"/>
    <n v="1975.03715626648"/>
    <n v="7110.1337625593396"/>
  </r>
  <r>
    <x v="0"/>
    <x v="0"/>
    <x v="0"/>
    <x v="6"/>
    <x v="9"/>
    <s v="NO3_A1"/>
    <x v="0"/>
    <x v="0"/>
    <x v="5"/>
    <x v="9"/>
    <n v="31.618395956335601"/>
    <n v="1923.45242067708"/>
    <n v="6924.4287144375003"/>
  </r>
  <r>
    <x v="0"/>
    <x v="0"/>
    <x v="0"/>
    <x v="6"/>
    <x v="9"/>
    <s v="NO3_A1"/>
    <x v="0"/>
    <x v="0"/>
    <x v="5"/>
    <x v="10"/>
    <n v="30.746707560492101"/>
    <n v="1870.42470992993"/>
    <n v="6733.5289557477599"/>
  </r>
  <r>
    <x v="0"/>
    <x v="0"/>
    <x v="0"/>
    <x v="6"/>
    <x v="9"/>
    <s v="NO3_A1"/>
    <x v="0"/>
    <x v="0"/>
    <x v="5"/>
    <x v="11"/>
    <n v="30.022729022494801"/>
    <n v="1826.38268220177"/>
    <n v="6574.9776559263601"/>
  </r>
  <r>
    <x v="0"/>
    <x v="0"/>
    <x v="0"/>
    <x v="6"/>
    <x v="9"/>
    <s v="NO3_A1"/>
    <x v="0"/>
    <x v="0"/>
    <x v="6"/>
    <x v="0"/>
    <n v="18.291379986962799"/>
    <n v="1112.72561587357"/>
    <n v="4005.8122171448499"/>
  </r>
  <r>
    <x v="0"/>
    <x v="0"/>
    <x v="0"/>
    <x v="6"/>
    <x v="9"/>
    <s v="NO3_A1"/>
    <x v="0"/>
    <x v="0"/>
    <x v="6"/>
    <x v="1"/>
    <n v="18.296636992891099"/>
    <n v="1113.04541706754"/>
    <n v="4006.9635014431501"/>
  </r>
  <r>
    <x v="0"/>
    <x v="0"/>
    <x v="0"/>
    <x v="6"/>
    <x v="9"/>
    <s v="NO3_A1"/>
    <x v="0"/>
    <x v="0"/>
    <x v="6"/>
    <x v="2"/>
    <n v="18.390599852798498"/>
    <n v="1118.7614910452401"/>
    <n v="4027.5413677628799"/>
  </r>
  <r>
    <x v="0"/>
    <x v="0"/>
    <x v="0"/>
    <x v="6"/>
    <x v="9"/>
    <s v="NO3_A1"/>
    <x v="0"/>
    <x v="0"/>
    <x v="6"/>
    <x v="3"/>
    <n v="18.640208365157001"/>
    <n v="1133.9460088803801"/>
    <n v="4082.2056319693802"/>
  </r>
  <r>
    <x v="0"/>
    <x v="0"/>
    <x v="0"/>
    <x v="6"/>
    <x v="9"/>
    <s v="NO3_A1"/>
    <x v="0"/>
    <x v="0"/>
    <x v="6"/>
    <x v="4"/>
    <n v="19.967664460630001"/>
    <n v="1214.69958802166"/>
    <n v="4372.9185168779704"/>
  </r>
  <r>
    <x v="0"/>
    <x v="0"/>
    <x v="0"/>
    <x v="6"/>
    <x v="9"/>
    <s v="NO3_A1"/>
    <x v="0"/>
    <x v="0"/>
    <x v="6"/>
    <x v="5"/>
    <n v="22.208905201093501"/>
    <n v="1351.04173306652"/>
    <n v="4863.7502390394802"/>
  </r>
  <r>
    <x v="0"/>
    <x v="0"/>
    <x v="0"/>
    <x v="6"/>
    <x v="9"/>
    <s v="NO3_A1"/>
    <x v="0"/>
    <x v="0"/>
    <x v="6"/>
    <x v="6"/>
    <n v="26.243146681339699"/>
    <n v="1596.4580897814999"/>
    <n v="5747.2491232133998"/>
  </r>
  <r>
    <x v="0"/>
    <x v="0"/>
    <x v="0"/>
    <x v="6"/>
    <x v="9"/>
    <s v="NO3_A1"/>
    <x v="0"/>
    <x v="0"/>
    <x v="6"/>
    <x v="7"/>
    <n v="29.6132694684296"/>
    <n v="1801.4738926627999"/>
    <n v="6485.3060135860696"/>
  </r>
  <r>
    <x v="0"/>
    <x v="0"/>
    <x v="0"/>
    <x v="6"/>
    <x v="9"/>
    <s v="NO3_A1"/>
    <x v="0"/>
    <x v="0"/>
    <x v="6"/>
    <x v="8"/>
    <n v="30.177718135641101"/>
    <n v="1835.81118658483"/>
    <n v="6608.9202717054104"/>
  </r>
  <r>
    <x v="0"/>
    <x v="0"/>
    <x v="0"/>
    <x v="6"/>
    <x v="9"/>
    <s v="NO3_A1"/>
    <x v="0"/>
    <x v="0"/>
    <x v="6"/>
    <x v="9"/>
    <n v="29.781658713973702"/>
    <n v="1811.7175717667301"/>
    <n v="6522.18325836024"/>
  </r>
  <r>
    <x v="0"/>
    <x v="0"/>
    <x v="0"/>
    <x v="6"/>
    <x v="9"/>
    <s v="NO3_A1"/>
    <x v="0"/>
    <x v="0"/>
    <x v="6"/>
    <x v="10"/>
    <n v="29.243249333362701"/>
    <n v="1778.9643344462299"/>
    <n v="6404.2716040064397"/>
  </r>
  <r>
    <x v="0"/>
    <x v="0"/>
    <x v="0"/>
    <x v="6"/>
    <x v="9"/>
    <s v="NO3_A1"/>
    <x v="0"/>
    <x v="0"/>
    <x v="6"/>
    <x v="11"/>
    <n v="28.638027412508901"/>
    <n v="1742.14666759429"/>
    <n v="6271.72800333945"/>
  </r>
  <r>
    <x v="0"/>
    <x v="0"/>
    <x v="0"/>
    <x v="6"/>
    <x v="9"/>
    <s v="NO3_A1"/>
    <x v="0"/>
    <x v="0"/>
    <x v="7"/>
    <x v="0"/>
    <n v="22.735004590208099"/>
    <n v="1383.0461125709901"/>
    <n v="4978.9660052555801"/>
  </r>
  <r>
    <x v="0"/>
    <x v="0"/>
    <x v="0"/>
    <x v="6"/>
    <x v="9"/>
    <s v="NO3_A1"/>
    <x v="0"/>
    <x v="0"/>
    <x v="7"/>
    <x v="1"/>
    <n v="22.6204056565496"/>
    <n v="1376.0746774401"/>
    <n v="4953.8688387843704"/>
  </r>
  <r>
    <x v="0"/>
    <x v="0"/>
    <x v="0"/>
    <x v="6"/>
    <x v="9"/>
    <s v="NO3_A1"/>
    <x v="0"/>
    <x v="0"/>
    <x v="7"/>
    <x v="2"/>
    <n v="22.703734120671101"/>
    <n v="1381.1438256741601"/>
    <n v="4972.1177724269701"/>
  </r>
  <r>
    <x v="0"/>
    <x v="0"/>
    <x v="0"/>
    <x v="6"/>
    <x v="9"/>
    <s v="NO3_A1"/>
    <x v="0"/>
    <x v="0"/>
    <x v="7"/>
    <x v="3"/>
    <n v="22.731873217280398"/>
    <n v="1382.8556207178899"/>
    <n v="4978.2802345844002"/>
  </r>
  <r>
    <x v="0"/>
    <x v="0"/>
    <x v="0"/>
    <x v="6"/>
    <x v="9"/>
    <s v="NO3_A1"/>
    <x v="0"/>
    <x v="0"/>
    <x v="7"/>
    <x v="4"/>
    <n v="23.512274388618302"/>
    <n v="1430.33002530762"/>
    <n v="5149.1880911074104"/>
  </r>
  <r>
    <x v="0"/>
    <x v="0"/>
    <x v="0"/>
    <x v="6"/>
    <x v="9"/>
    <s v="NO3_A1"/>
    <x v="0"/>
    <x v="0"/>
    <x v="7"/>
    <x v="5"/>
    <n v="25.360344946917699"/>
    <n v="1542.75431760416"/>
    <n v="5553.9155433749802"/>
  </r>
  <r>
    <x v="0"/>
    <x v="0"/>
    <x v="0"/>
    <x v="6"/>
    <x v="9"/>
    <s v="NO3_A1"/>
    <x v="0"/>
    <x v="0"/>
    <x v="7"/>
    <x v="6"/>
    <n v="29.642538506235301"/>
    <n v="1803.2544257959801"/>
    <n v="6491.7159328655398"/>
  </r>
  <r>
    <x v="0"/>
    <x v="0"/>
    <x v="0"/>
    <x v="6"/>
    <x v="9"/>
    <s v="NO3_A1"/>
    <x v="0"/>
    <x v="0"/>
    <x v="7"/>
    <x v="7"/>
    <n v="33.103847560560297"/>
    <n v="2013.8173932674199"/>
    <n v="7249.7426157626996"/>
  </r>
  <r>
    <x v="0"/>
    <x v="0"/>
    <x v="0"/>
    <x v="6"/>
    <x v="9"/>
    <s v="NO3_A1"/>
    <x v="0"/>
    <x v="0"/>
    <x v="7"/>
    <x v="8"/>
    <n v="33.191438293335899"/>
    <n v="2019.14582951127"/>
    <n v="7268.9249862405704"/>
  </r>
  <r>
    <x v="0"/>
    <x v="0"/>
    <x v="0"/>
    <x v="6"/>
    <x v="9"/>
    <s v="NO3_A1"/>
    <x v="0"/>
    <x v="0"/>
    <x v="7"/>
    <x v="9"/>
    <n v="32.092812715848801"/>
    <n v="1952.31277354747"/>
    <n v="7028.3259847708896"/>
  </r>
  <r>
    <x v="0"/>
    <x v="0"/>
    <x v="0"/>
    <x v="6"/>
    <x v="9"/>
    <s v="NO3_A1"/>
    <x v="0"/>
    <x v="0"/>
    <x v="7"/>
    <x v="10"/>
    <n v="31.020435211955402"/>
    <n v="1887.07647539396"/>
    <n v="6793.4753114182404"/>
  </r>
  <r>
    <x v="0"/>
    <x v="0"/>
    <x v="0"/>
    <x v="6"/>
    <x v="9"/>
    <s v="NO3_A1"/>
    <x v="0"/>
    <x v="0"/>
    <x v="7"/>
    <x v="11"/>
    <n v="30.0628524315409"/>
    <n v="1828.8235229187401"/>
    <n v="6583.7646825074698"/>
  </r>
  <r>
    <x v="0"/>
    <x v="0"/>
    <x v="0"/>
    <x v="6"/>
    <x v="9"/>
    <s v="NO3_A1"/>
    <x v="0"/>
    <x v="0"/>
    <x v="8"/>
    <x v="0"/>
    <n v="16.676036512365702"/>
    <n v="1014.45888783558"/>
    <n v="3652.0519962080898"/>
  </r>
  <r>
    <x v="0"/>
    <x v="0"/>
    <x v="0"/>
    <x v="6"/>
    <x v="9"/>
    <s v="NO3_A1"/>
    <x v="0"/>
    <x v="0"/>
    <x v="8"/>
    <x v="1"/>
    <n v="16.5440061781335"/>
    <n v="1006.42704250312"/>
    <n v="3623.1373530112401"/>
  </r>
  <r>
    <x v="0"/>
    <x v="0"/>
    <x v="0"/>
    <x v="6"/>
    <x v="9"/>
    <s v="NO3_A1"/>
    <x v="0"/>
    <x v="0"/>
    <x v="8"/>
    <x v="2"/>
    <n v="16.500130250970301"/>
    <n v="1003.75792360069"/>
    <n v="3613.5285249624999"/>
  </r>
  <r>
    <x v="0"/>
    <x v="0"/>
    <x v="0"/>
    <x v="6"/>
    <x v="9"/>
    <s v="NO3_A1"/>
    <x v="0"/>
    <x v="0"/>
    <x v="8"/>
    <x v="3"/>
    <n v="16.770561570794801"/>
    <n v="1020.2091622233499"/>
    <n v="3672.7529840040502"/>
  </r>
  <r>
    <x v="0"/>
    <x v="0"/>
    <x v="0"/>
    <x v="6"/>
    <x v="9"/>
    <s v="NO3_A1"/>
    <x v="0"/>
    <x v="0"/>
    <x v="8"/>
    <x v="4"/>
    <n v="17.796849673263399"/>
    <n v="1082.64168845686"/>
    <n v="3897.5100784446799"/>
  </r>
  <r>
    <x v="0"/>
    <x v="0"/>
    <x v="0"/>
    <x v="6"/>
    <x v="9"/>
    <s v="NO3_A1"/>
    <x v="0"/>
    <x v="0"/>
    <x v="8"/>
    <x v="5"/>
    <n v="19.391019895171599"/>
    <n v="1179.6203769562701"/>
    <n v="4246.6333570425804"/>
  </r>
  <r>
    <x v="0"/>
    <x v="0"/>
    <x v="0"/>
    <x v="6"/>
    <x v="9"/>
    <s v="NO3_A1"/>
    <x v="0"/>
    <x v="0"/>
    <x v="8"/>
    <x v="6"/>
    <n v="23.354939520256199"/>
    <n v="1420.7588208155901"/>
    <n v="5114.7317549361096"/>
  </r>
  <r>
    <x v="0"/>
    <x v="0"/>
    <x v="0"/>
    <x v="6"/>
    <x v="9"/>
    <s v="NO3_A1"/>
    <x v="0"/>
    <x v="0"/>
    <x v="8"/>
    <x v="7"/>
    <n v="25.580052823609901"/>
    <n v="1556.11988010293"/>
    <n v="5602.0315683705603"/>
  </r>
  <r>
    <x v="0"/>
    <x v="0"/>
    <x v="0"/>
    <x v="6"/>
    <x v="9"/>
    <s v="NO3_A1"/>
    <x v="0"/>
    <x v="0"/>
    <x v="8"/>
    <x v="8"/>
    <n v="25.369432464777699"/>
    <n v="1543.3071416073101"/>
    <n v="5555.9057097863197"/>
  </r>
  <r>
    <x v="0"/>
    <x v="0"/>
    <x v="0"/>
    <x v="6"/>
    <x v="9"/>
    <s v="NO3_A1"/>
    <x v="0"/>
    <x v="0"/>
    <x v="8"/>
    <x v="9"/>
    <n v="23.696946187308001"/>
    <n v="1441.5642263945699"/>
    <n v="5189.6312150204503"/>
  </r>
  <r>
    <x v="0"/>
    <x v="0"/>
    <x v="0"/>
    <x v="6"/>
    <x v="9"/>
    <s v="NO3_A1"/>
    <x v="0"/>
    <x v="0"/>
    <x v="8"/>
    <x v="10"/>
    <n v="22.0872440476222"/>
    <n v="1343.6406795636799"/>
    <n v="4837.1064464292504"/>
  </r>
  <r>
    <x v="0"/>
    <x v="0"/>
    <x v="0"/>
    <x v="6"/>
    <x v="9"/>
    <s v="NO3_A1"/>
    <x v="0"/>
    <x v="0"/>
    <x v="8"/>
    <x v="11"/>
    <n v="20.836879033935201"/>
    <n v="1267.5768078977301"/>
    <n v="4563.2765084318098"/>
  </r>
  <r>
    <x v="0"/>
    <x v="0"/>
    <x v="0"/>
    <x v="6"/>
    <x v="9"/>
    <s v="NO3_A1"/>
    <x v="0"/>
    <x v="0"/>
    <x v="9"/>
    <x v="0"/>
    <n v="14.475997084096599"/>
    <n v="880.62315594921199"/>
    <n v="3170.24336141717"/>
  </r>
  <r>
    <x v="0"/>
    <x v="0"/>
    <x v="0"/>
    <x v="6"/>
    <x v="9"/>
    <s v="NO3_A1"/>
    <x v="0"/>
    <x v="0"/>
    <x v="9"/>
    <x v="1"/>
    <n v="14.860050458906001"/>
    <n v="903.98640291677998"/>
    <n v="3254.3510505004101"/>
  </r>
  <r>
    <x v="0"/>
    <x v="0"/>
    <x v="0"/>
    <x v="6"/>
    <x v="9"/>
    <s v="NO3_A1"/>
    <x v="0"/>
    <x v="0"/>
    <x v="9"/>
    <x v="2"/>
    <n v="15.2674844098999"/>
    <n v="928.771968268911"/>
    <n v="3343.5790857680799"/>
  </r>
  <r>
    <x v="0"/>
    <x v="0"/>
    <x v="0"/>
    <x v="6"/>
    <x v="9"/>
    <s v="NO3_A1"/>
    <x v="0"/>
    <x v="0"/>
    <x v="9"/>
    <x v="3"/>
    <n v="16.215664636783199"/>
    <n v="986.452932070977"/>
    <n v="3551.2305554555201"/>
  </r>
  <r>
    <x v="0"/>
    <x v="0"/>
    <x v="0"/>
    <x v="6"/>
    <x v="9"/>
    <s v="NO3_A1"/>
    <x v="0"/>
    <x v="0"/>
    <x v="9"/>
    <x v="4"/>
    <n v="17.802270034029899"/>
    <n v="1082.97142707015"/>
    <n v="3898.6971374525401"/>
  </r>
  <r>
    <x v="0"/>
    <x v="0"/>
    <x v="0"/>
    <x v="6"/>
    <x v="9"/>
    <s v="NO3_A1"/>
    <x v="0"/>
    <x v="0"/>
    <x v="9"/>
    <x v="5"/>
    <n v="19.695494944082899"/>
    <n v="1198.14260909837"/>
    <n v="4313.3133927541503"/>
  </r>
  <r>
    <x v="0"/>
    <x v="0"/>
    <x v="0"/>
    <x v="6"/>
    <x v="9"/>
    <s v="NO3_A1"/>
    <x v="0"/>
    <x v="0"/>
    <x v="9"/>
    <x v="6"/>
    <n v="24.092609968415999"/>
    <n v="1465.6337730786399"/>
    <n v="5276.2815830831096"/>
  </r>
  <r>
    <x v="0"/>
    <x v="0"/>
    <x v="0"/>
    <x v="6"/>
    <x v="9"/>
    <s v="NO3_A1"/>
    <x v="0"/>
    <x v="0"/>
    <x v="9"/>
    <x v="7"/>
    <n v="26.8278827942652"/>
    <n v="1632.02953665114"/>
    <n v="5875.3063319440898"/>
  </r>
  <r>
    <x v="0"/>
    <x v="0"/>
    <x v="0"/>
    <x v="6"/>
    <x v="9"/>
    <s v="NO3_A1"/>
    <x v="0"/>
    <x v="0"/>
    <x v="9"/>
    <x v="8"/>
    <n v="27.169927677826799"/>
    <n v="1652.8372670678"/>
    <n v="5950.2141614440798"/>
  </r>
  <r>
    <x v="0"/>
    <x v="0"/>
    <x v="0"/>
    <x v="6"/>
    <x v="9"/>
    <s v="NO3_A1"/>
    <x v="0"/>
    <x v="0"/>
    <x v="9"/>
    <x v="9"/>
    <n v="25.784097716264199"/>
    <n v="1568.5326110727401"/>
    <n v="5646.71739986185"/>
  </r>
  <r>
    <x v="0"/>
    <x v="0"/>
    <x v="0"/>
    <x v="6"/>
    <x v="9"/>
    <s v="NO3_A1"/>
    <x v="0"/>
    <x v="0"/>
    <x v="9"/>
    <x v="10"/>
    <n v="24.272872744242601"/>
    <n v="1476.59975860809"/>
    <n v="5315.7591309891404"/>
  </r>
  <r>
    <x v="0"/>
    <x v="0"/>
    <x v="0"/>
    <x v="6"/>
    <x v="9"/>
    <s v="NO3_A1"/>
    <x v="0"/>
    <x v="0"/>
    <x v="9"/>
    <x v="11"/>
    <n v="22.939903577180701"/>
    <n v="1395.5108009451601"/>
    <n v="5023.83888340257"/>
  </r>
  <r>
    <x v="0"/>
    <x v="0"/>
    <x v="0"/>
    <x v="6"/>
    <x v="9"/>
    <s v="NO3_A1"/>
    <x v="0"/>
    <x v="0"/>
    <x v="10"/>
    <x v="0"/>
    <n v="10.9953013154602"/>
    <n v="668.88083002383098"/>
    <n v="2407.9709880857899"/>
  </r>
  <r>
    <x v="0"/>
    <x v="0"/>
    <x v="0"/>
    <x v="6"/>
    <x v="9"/>
    <s v="NO3_A1"/>
    <x v="0"/>
    <x v="0"/>
    <x v="10"/>
    <x v="1"/>
    <n v="11.295738280979"/>
    <n v="687.15741209288797"/>
    <n v="2473.7666835343998"/>
  </r>
  <r>
    <x v="0"/>
    <x v="0"/>
    <x v="0"/>
    <x v="6"/>
    <x v="9"/>
    <s v="NO3_A1"/>
    <x v="0"/>
    <x v="0"/>
    <x v="10"/>
    <x v="2"/>
    <n v="11.4360827985606"/>
    <n v="695.69503691243403"/>
    <n v="2504.5021328847602"/>
  </r>
  <r>
    <x v="0"/>
    <x v="0"/>
    <x v="0"/>
    <x v="6"/>
    <x v="9"/>
    <s v="NO3_A1"/>
    <x v="0"/>
    <x v="0"/>
    <x v="10"/>
    <x v="3"/>
    <n v="12.157226875213899"/>
    <n v="739.56463490884596"/>
    <n v="2662.4326856718499"/>
  </r>
  <r>
    <x v="0"/>
    <x v="0"/>
    <x v="0"/>
    <x v="6"/>
    <x v="9"/>
    <s v="NO3_A1"/>
    <x v="0"/>
    <x v="0"/>
    <x v="10"/>
    <x v="4"/>
    <n v="13.292951474547101"/>
    <n v="808.65454803494902"/>
    <n v="2911.1563729258201"/>
  </r>
  <r>
    <x v="0"/>
    <x v="0"/>
    <x v="0"/>
    <x v="6"/>
    <x v="9"/>
    <s v="NO3_A1"/>
    <x v="0"/>
    <x v="0"/>
    <x v="10"/>
    <x v="5"/>
    <n v="14.888839791093901"/>
    <n v="905.73775395821201"/>
    <n v="3260.6559142495598"/>
  </r>
  <r>
    <x v="0"/>
    <x v="0"/>
    <x v="0"/>
    <x v="6"/>
    <x v="9"/>
    <s v="NO3_A1"/>
    <x v="0"/>
    <x v="0"/>
    <x v="10"/>
    <x v="6"/>
    <n v="18.405095167542999"/>
    <n v="1119.6432893588701"/>
    <n v="4030.7158416919201"/>
  </r>
  <r>
    <x v="0"/>
    <x v="0"/>
    <x v="0"/>
    <x v="6"/>
    <x v="9"/>
    <s v="NO3_A1"/>
    <x v="0"/>
    <x v="0"/>
    <x v="10"/>
    <x v="7"/>
    <n v="20.023104062121501"/>
    <n v="1218.07216377906"/>
    <n v="4385.0597896046202"/>
  </r>
  <r>
    <x v="0"/>
    <x v="0"/>
    <x v="0"/>
    <x v="6"/>
    <x v="9"/>
    <s v="NO3_A1"/>
    <x v="0"/>
    <x v="0"/>
    <x v="10"/>
    <x v="8"/>
    <n v="19.917387242748301"/>
    <n v="1211.64105726719"/>
    <n v="4361.9078061618802"/>
  </r>
  <r>
    <x v="0"/>
    <x v="0"/>
    <x v="0"/>
    <x v="6"/>
    <x v="9"/>
    <s v="NO3_A1"/>
    <x v="0"/>
    <x v="0"/>
    <x v="10"/>
    <x v="9"/>
    <n v="18.9381312460348"/>
    <n v="1152.0696508004501"/>
    <n v="4147.4507428816196"/>
  </r>
  <r>
    <x v="0"/>
    <x v="0"/>
    <x v="0"/>
    <x v="6"/>
    <x v="9"/>
    <s v="NO3_A1"/>
    <x v="0"/>
    <x v="0"/>
    <x v="10"/>
    <x v="10"/>
    <n v="18.343210342547799"/>
    <n v="1115.8786291716599"/>
    <n v="4017.16306501796"/>
  </r>
  <r>
    <x v="0"/>
    <x v="0"/>
    <x v="0"/>
    <x v="6"/>
    <x v="9"/>
    <s v="NO3_A1"/>
    <x v="0"/>
    <x v="0"/>
    <x v="10"/>
    <x v="11"/>
    <n v="17.934945172161999"/>
    <n v="1091.0424979731899"/>
    <n v="3927.7529927034798"/>
  </r>
  <r>
    <x v="0"/>
    <x v="0"/>
    <x v="0"/>
    <x v="6"/>
    <x v="9"/>
    <s v="NO3_A1"/>
    <x v="0"/>
    <x v="0"/>
    <x v="11"/>
    <x v="0"/>
    <n v="19.0654743051557"/>
    <n v="1159.81635356364"/>
    <n v="4175.3388728291102"/>
  </r>
  <r>
    <x v="0"/>
    <x v="0"/>
    <x v="0"/>
    <x v="6"/>
    <x v="9"/>
    <s v="NO3_A1"/>
    <x v="0"/>
    <x v="0"/>
    <x v="11"/>
    <x v="1"/>
    <n v="19.634357845675201"/>
    <n v="1194.42343561191"/>
    <n v="4299.92436820288"/>
  </r>
  <r>
    <x v="0"/>
    <x v="0"/>
    <x v="0"/>
    <x v="6"/>
    <x v="9"/>
    <s v="NO3_A1"/>
    <x v="0"/>
    <x v="0"/>
    <x v="11"/>
    <x v="2"/>
    <n v="20.320527397140602"/>
    <n v="1236.1654166593901"/>
    <n v="4450.19549997379"/>
  </r>
  <r>
    <x v="0"/>
    <x v="0"/>
    <x v="0"/>
    <x v="6"/>
    <x v="9"/>
    <s v="NO3_A1"/>
    <x v="0"/>
    <x v="0"/>
    <x v="11"/>
    <x v="3"/>
    <n v="21.367926632298001"/>
    <n v="1299.8822034647901"/>
    <n v="4679.5759324732599"/>
  </r>
  <r>
    <x v="0"/>
    <x v="0"/>
    <x v="0"/>
    <x v="6"/>
    <x v="9"/>
    <s v="NO3_A1"/>
    <x v="0"/>
    <x v="0"/>
    <x v="11"/>
    <x v="4"/>
    <n v="22.954644844346301"/>
    <n v="1396.4075613644"/>
    <n v="5027.0672209118302"/>
  </r>
  <r>
    <x v="0"/>
    <x v="0"/>
    <x v="0"/>
    <x v="6"/>
    <x v="9"/>
    <s v="NO3_A1"/>
    <x v="0"/>
    <x v="0"/>
    <x v="11"/>
    <x v="5"/>
    <n v="24.774678209329601"/>
    <n v="1507.12625773422"/>
    <n v="5425.6545278431804"/>
  </r>
  <r>
    <x v="0"/>
    <x v="0"/>
    <x v="0"/>
    <x v="6"/>
    <x v="9"/>
    <s v="NO3_A1"/>
    <x v="0"/>
    <x v="0"/>
    <x v="11"/>
    <x v="6"/>
    <n v="28.953995120120801"/>
    <n v="1761.3680364740201"/>
    <n v="6340.9249313064602"/>
  </r>
  <r>
    <x v="0"/>
    <x v="0"/>
    <x v="0"/>
    <x v="6"/>
    <x v="9"/>
    <s v="NO3_A1"/>
    <x v="0"/>
    <x v="0"/>
    <x v="11"/>
    <x v="7"/>
    <n v="31.328610992607"/>
    <n v="1905.82383538359"/>
    <n v="6860.9658073809296"/>
  </r>
  <r>
    <x v="0"/>
    <x v="0"/>
    <x v="0"/>
    <x v="6"/>
    <x v="9"/>
    <s v="NO3_A1"/>
    <x v="0"/>
    <x v="0"/>
    <x v="11"/>
    <x v="8"/>
    <n v="31.0702182231961"/>
    <n v="1890.10494191109"/>
    <n v="6804.3777908799402"/>
  </r>
  <r>
    <x v="0"/>
    <x v="0"/>
    <x v="0"/>
    <x v="6"/>
    <x v="9"/>
    <s v="NO3_A1"/>
    <x v="0"/>
    <x v="0"/>
    <x v="11"/>
    <x v="9"/>
    <n v="29.527502480273299"/>
    <n v="1796.2564008832901"/>
    <n v="6466.52304317984"/>
  </r>
  <r>
    <x v="0"/>
    <x v="0"/>
    <x v="0"/>
    <x v="6"/>
    <x v="9"/>
    <s v="NO3_A1"/>
    <x v="0"/>
    <x v="0"/>
    <x v="11"/>
    <x v="10"/>
    <n v="28.357038989340602"/>
    <n v="1725.05320518488"/>
    <n v="6210.1915386655801"/>
  </r>
  <r>
    <x v="0"/>
    <x v="0"/>
    <x v="0"/>
    <x v="6"/>
    <x v="9"/>
    <s v="NO3_A1"/>
    <x v="0"/>
    <x v="0"/>
    <x v="11"/>
    <x v="11"/>
    <n v="27.5035586912709"/>
    <n v="1673.1331537189801"/>
    <n v="6023.2793533883396"/>
  </r>
  <r>
    <x v="0"/>
    <x v="0"/>
    <x v="0"/>
    <x v="6"/>
    <x v="9"/>
    <s v="NO3_A2"/>
    <x v="0"/>
    <x v="0"/>
    <x v="0"/>
    <x v="0"/>
    <n v="54.376535448815702"/>
    <n v="3307.9059064696198"/>
    <n v="11908.461263290599"/>
  </r>
  <r>
    <x v="0"/>
    <x v="0"/>
    <x v="0"/>
    <x v="6"/>
    <x v="9"/>
    <s v="NO3_A2"/>
    <x v="0"/>
    <x v="0"/>
    <x v="0"/>
    <x v="1"/>
    <n v="54.437040808031199"/>
    <n v="3311.5866491552301"/>
    <n v="11921.7119369588"/>
  </r>
  <r>
    <x v="0"/>
    <x v="0"/>
    <x v="0"/>
    <x v="6"/>
    <x v="9"/>
    <s v="NO3_A2"/>
    <x v="0"/>
    <x v="0"/>
    <x v="0"/>
    <x v="2"/>
    <n v="55.049913702282502"/>
    <n v="3348.8697502221798"/>
    <n v="12055.9311007999"/>
  </r>
  <r>
    <x v="0"/>
    <x v="0"/>
    <x v="0"/>
    <x v="6"/>
    <x v="9"/>
    <s v="NO3_A2"/>
    <x v="0"/>
    <x v="0"/>
    <x v="0"/>
    <x v="3"/>
    <n v="55.868501319874703"/>
    <n v="3398.6671636257101"/>
    <n v="12235.2017890526"/>
  </r>
  <r>
    <x v="0"/>
    <x v="0"/>
    <x v="0"/>
    <x v="6"/>
    <x v="9"/>
    <s v="NO3_A2"/>
    <x v="0"/>
    <x v="0"/>
    <x v="0"/>
    <x v="4"/>
    <n v="59.859473273825301"/>
    <n v="3641.4512908243701"/>
    <n v="13109.224646967699"/>
  </r>
  <r>
    <x v="0"/>
    <x v="0"/>
    <x v="0"/>
    <x v="6"/>
    <x v="9"/>
    <s v="NO3_A2"/>
    <x v="0"/>
    <x v="0"/>
    <x v="0"/>
    <x v="5"/>
    <n v="67.406220431740195"/>
    <n v="4100.5450762642004"/>
    <n v="14761.962274551101"/>
  </r>
  <r>
    <x v="0"/>
    <x v="0"/>
    <x v="0"/>
    <x v="6"/>
    <x v="9"/>
    <s v="NO3_A2"/>
    <x v="0"/>
    <x v="0"/>
    <x v="0"/>
    <x v="6"/>
    <n v="77.732462464501694"/>
    <n v="4728.7247999238598"/>
    <n v="17023.4092797259"/>
  </r>
  <r>
    <x v="0"/>
    <x v="0"/>
    <x v="0"/>
    <x v="6"/>
    <x v="9"/>
    <s v="NO3_A2"/>
    <x v="0"/>
    <x v="0"/>
    <x v="0"/>
    <x v="7"/>
    <n v="86.633382112222705"/>
    <n v="5270.1974118268799"/>
    <n v="18972.710682576799"/>
  </r>
  <r>
    <x v="0"/>
    <x v="0"/>
    <x v="0"/>
    <x v="6"/>
    <x v="9"/>
    <s v="NO3_A2"/>
    <x v="0"/>
    <x v="0"/>
    <x v="0"/>
    <x v="8"/>
    <n v="87.902117788596399"/>
    <n v="5347.3788321396196"/>
    <n v="19250.563795702601"/>
  </r>
  <r>
    <x v="0"/>
    <x v="0"/>
    <x v="0"/>
    <x v="6"/>
    <x v="9"/>
    <s v="NO3_A2"/>
    <x v="0"/>
    <x v="0"/>
    <x v="0"/>
    <x v="9"/>
    <n v="87.442611831655697"/>
    <n v="5319.4255530923901"/>
    <n v="19149.931991132598"/>
  </r>
  <r>
    <x v="0"/>
    <x v="0"/>
    <x v="0"/>
    <x v="6"/>
    <x v="9"/>
    <s v="NO3_A2"/>
    <x v="0"/>
    <x v="0"/>
    <x v="0"/>
    <x v="10"/>
    <n v="85.965764032801104"/>
    <n v="5229.58397866206"/>
    <n v="18826.502323183398"/>
  </r>
  <r>
    <x v="0"/>
    <x v="0"/>
    <x v="0"/>
    <x v="6"/>
    <x v="9"/>
    <s v="NO3_A2"/>
    <x v="0"/>
    <x v="0"/>
    <x v="0"/>
    <x v="11"/>
    <n v="84.711160639412199"/>
    <n v="5153.2622722309097"/>
    <n v="18551.744180031299"/>
  </r>
  <r>
    <x v="0"/>
    <x v="0"/>
    <x v="0"/>
    <x v="6"/>
    <x v="9"/>
    <s v="NO3_A2"/>
    <x v="0"/>
    <x v="0"/>
    <x v="1"/>
    <x v="0"/>
    <n v="73.669682883606697"/>
    <n v="4481.5723754194096"/>
    <n v="16133.6605515099"/>
  </r>
  <r>
    <x v="0"/>
    <x v="0"/>
    <x v="0"/>
    <x v="6"/>
    <x v="9"/>
    <s v="NO3_A2"/>
    <x v="0"/>
    <x v="0"/>
    <x v="1"/>
    <x v="1"/>
    <n v="73.578025981734896"/>
    <n v="4475.9965805555403"/>
    <n v="16113.58769"/>
  </r>
  <r>
    <x v="0"/>
    <x v="0"/>
    <x v="0"/>
    <x v="6"/>
    <x v="9"/>
    <s v="NO3_A2"/>
    <x v="0"/>
    <x v="0"/>
    <x v="1"/>
    <x v="2"/>
    <n v="74.229585532961806"/>
    <n v="4515.6331199218403"/>
    <n v="16256.279231718599"/>
  </r>
  <r>
    <x v="0"/>
    <x v="0"/>
    <x v="0"/>
    <x v="6"/>
    <x v="9"/>
    <s v="NO3_A2"/>
    <x v="0"/>
    <x v="0"/>
    <x v="1"/>
    <x v="3"/>
    <n v="74.204951712188205"/>
    <n v="4514.1345624914502"/>
    <n v="16250.884424969199"/>
  </r>
  <r>
    <x v="0"/>
    <x v="0"/>
    <x v="0"/>
    <x v="6"/>
    <x v="9"/>
    <s v="NO3_A2"/>
    <x v="0"/>
    <x v="0"/>
    <x v="1"/>
    <x v="4"/>
    <n v="77.731523396339995"/>
    <n v="4728.6676732773503"/>
    <n v="17023.203623798501"/>
  </r>
  <r>
    <x v="0"/>
    <x v="0"/>
    <x v="0"/>
    <x v="6"/>
    <x v="9"/>
    <s v="NO3_A2"/>
    <x v="0"/>
    <x v="0"/>
    <x v="1"/>
    <x v="5"/>
    <n v="83.048041320921001"/>
    <n v="5052.0891803560298"/>
    <n v="18187.521049281699"/>
  </r>
  <r>
    <x v="0"/>
    <x v="0"/>
    <x v="0"/>
    <x v="6"/>
    <x v="9"/>
    <s v="NO3_A2"/>
    <x v="0"/>
    <x v="0"/>
    <x v="1"/>
    <x v="6"/>
    <n v="94.417674044914904"/>
    <n v="5743.7418377323202"/>
    <n v="20677.470615836399"/>
  </r>
  <r>
    <x v="0"/>
    <x v="0"/>
    <x v="0"/>
    <x v="6"/>
    <x v="9"/>
    <s v="NO3_A2"/>
    <x v="0"/>
    <x v="0"/>
    <x v="1"/>
    <x v="7"/>
    <n v="104.979286151278"/>
    <n v="6386.23990753609"/>
    <n v="22990.463667129901"/>
  </r>
  <r>
    <x v="0"/>
    <x v="0"/>
    <x v="0"/>
    <x v="6"/>
    <x v="9"/>
    <s v="NO3_A2"/>
    <x v="0"/>
    <x v="0"/>
    <x v="1"/>
    <x v="8"/>
    <n v="106.80941801604099"/>
    <n v="6497.5729293091499"/>
    <n v="23391.262545513"/>
  </r>
  <r>
    <x v="0"/>
    <x v="0"/>
    <x v="0"/>
    <x v="6"/>
    <x v="9"/>
    <s v="NO3_A2"/>
    <x v="0"/>
    <x v="0"/>
    <x v="1"/>
    <x v="9"/>
    <n v="103.35713253767599"/>
    <n v="6287.55889604195"/>
    <n v="22635.212025751"/>
  </r>
  <r>
    <x v="0"/>
    <x v="0"/>
    <x v="0"/>
    <x v="6"/>
    <x v="9"/>
    <s v="NO3_A2"/>
    <x v="0"/>
    <x v="0"/>
    <x v="1"/>
    <x v="10"/>
    <n v="98.029051233725099"/>
    <n v="5963.4339500516098"/>
    <n v="21468.362220185802"/>
  </r>
  <r>
    <x v="0"/>
    <x v="0"/>
    <x v="0"/>
    <x v="6"/>
    <x v="9"/>
    <s v="NO3_A2"/>
    <x v="0"/>
    <x v="0"/>
    <x v="1"/>
    <x v="11"/>
    <n v="93.2725249300331"/>
    <n v="5674.07859991035"/>
    <n v="20426.6829596772"/>
  </r>
  <r>
    <x v="0"/>
    <x v="0"/>
    <x v="0"/>
    <x v="6"/>
    <x v="9"/>
    <s v="NO3_A2"/>
    <x v="0"/>
    <x v="0"/>
    <x v="2"/>
    <x v="0"/>
    <n v="43.935669919866903"/>
    <n v="2672.7532534585698"/>
    <n v="9621.9117124508593"/>
  </r>
  <r>
    <x v="0"/>
    <x v="0"/>
    <x v="0"/>
    <x v="6"/>
    <x v="9"/>
    <s v="NO3_A2"/>
    <x v="0"/>
    <x v="0"/>
    <x v="2"/>
    <x v="1"/>
    <n v="44.058939989797501"/>
    <n v="2680.2521827126802"/>
    <n v="9648.9078577656492"/>
  </r>
  <r>
    <x v="0"/>
    <x v="0"/>
    <x v="0"/>
    <x v="6"/>
    <x v="9"/>
    <s v="NO3_A2"/>
    <x v="0"/>
    <x v="0"/>
    <x v="2"/>
    <x v="2"/>
    <n v="44.231713874068603"/>
    <n v="2690.7625940058401"/>
    <n v="9686.7453384210094"/>
  </r>
  <r>
    <x v="0"/>
    <x v="0"/>
    <x v="0"/>
    <x v="6"/>
    <x v="9"/>
    <s v="NO3_A2"/>
    <x v="0"/>
    <x v="0"/>
    <x v="2"/>
    <x v="3"/>
    <n v="44.8798708714423"/>
    <n v="2730.1921446794099"/>
    <n v="9828.6917208458708"/>
  </r>
  <r>
    <x v="0"/>
    <x v="0"/>
    <x v="0"/>
    <x v="6"/>
    <x v="9"/>
    <s v="NO3_A2"/>
    <x v="0"/>
    <x v="0"/>
    <x v="2"/>
    <x v="4"/>
    <n v="47.376559470667701"/>
    <n v="2882.0740344656201"/>
    <n v="10375.466524076201"/>
  </r>
  <r>
    <x v="0"/>
    <x v="0"/>
    <x v="0"/>
    <x v="6"/>
    <x v="9"/>
    <s v="NO3_A2"/>
    <x v="0"/>
    <x v="0"/>
    <x v="2"/>
    <x v="5"/>
    <n v="53.327086907315604"/>
    <n v="3244.06445352837"/>
    <n v="11678.6320327021"/>
  </r>
  <r>
    <x v="0"/>
    <x v="0"/>
    <x v="0"/>
    <x v="6"/>
    <x v="9"/>
    <s v="NO3_A2"/>
    <x v="0"/>
    <x v="0"/>
    <x v="2"/>
    <x v="6"/>
    <n v="61.348834174215298"/>
    <n v="3732.05407893143"/>
    <n v="13435.3946841532"/>
  </r>
  <r>
    <x v="0"/>
    <x v="0"/>
    <x v="0"/>
    <x v="6"/>
    <x v="9"/>
    <s v="NO3_A2"/>
    <x v="0"/>
    <x v="0"/>
    <x v="2"/>
    <x v="7"/>
    <n v="68.708425466602804"/>
    <n v="4179.7625492183397"/>
    <n v="15047.145177185999"/>
  </r>
  <r>
    <x v="0"/>
    <x v="0"/>
    <x v="0"/>
    <x v="6"/>
    <x v="9"/>
    <s v="NO3_A2"/>
    <x v="0"/>
    <x v="0"/>
    <x v="2"/>
    <x v="8"/>
    <n v="70.054889141866795"/>
    <n v="4261.6724227968998"/>
    <n v="15342.020722068801"/>
  </r>
  <r>
    <x v="0"/>
    <x v="0"/>
    <x v="0"/>
    <x v="6"/>
    <x v="9"/>
    <s v="NO3_A2"/>
    <x v="0"/>
    <x v="0"/>
    <x v="2"/>
    <x v="9"/>
    <n v="68.591801041774104"/>
    <n v="4172.6678967079297"/>
    <n v="15021.604428148499"/>
  </r>
  <r>
    <x v="0"/>
    <x v="0"/>
    <x v="0"/>
    <x v="6"/>
    <x v="9"/>
    <s v="NO3_A2"/>
    <x v="0"/>
    <x v="0"/>
    <x v="2"/>
    <x v="10"/>
    <n v="67.138432524019507"/>
    <n v="4084.2546452111901"/>
    <n v="14703.316722760301"/>
  </r>
  <r>
    <x v="0"/>
    <x v="0"/>
    <x v="0"/>
    <x v="6"/>
    <x v="9"/>
    <s v="NO3_A2"/>
    <x v="0"/>
    <x v="0"/>
    <x v="2"/>
    <x v="11"/>
    <n v="66.056238041597098"/>
    <n v="4018.4211475304901"/>
    <n v="14466.316131109799"/>
  </r>
  <r>
    <x v="0"/>
    <x v="0"/>
    <x v="0"/>
    <x v="6"/>
    <x v="9"/>
    <s v="NO3_A2"/>
    <x v="0"/>
    <x v="0"/>
    <x v="3"/>
    <x v="0"/>
    <n v="64.619317572731802"/>
    <n v="3931.0084856745202"/>
    <n v="14151.6305484283"/>
  </r>
  <r>
    <x v="0"/>
    <x v="0"/>
    <x v="0"/>
    <x v="6"/>
    <x v="9"/>
    <s v="NO3_A2"/>
    <x v="0"/>
    <x v="0"/>
    <x v="3"/>
    <x v="1"/>
    <n v="64.465930062082407"/>
    <n v="3921.6774121100102"/>
    <n v="14118.038683596"/>
  </r>
  <r>
    <x v="0"/>
    <x v="0"/>
    <x v="0"/>
    <x v="6"/>
    <x v="9"/>
    <s v="NO3_A2"/>
    <x v="0"/>
    <x v="0"/>
    <x v="3"/>
    <x v="2"/>
    <n v="65.096945034350497"/>
    <n v="3960.0641562563201"/>
    <n v="14256.230962522801"/>
  </r>
  <r>
    <x v="0"/>
    <x v="0"/>
    <x v="0"/>
    <x v="6"/>
    <x v="9"/>
    <s v="NO3_A2"/>
    <x v="0"/>
    <x v="0"/>
    <x v="3"/>
    <x v="3"/>
    <n v="66.915649517416796"/>
    <n v="4070.7020123095199"/>
    <n v="14654.5272443143"/>
  </r>
  <r>
    <x v="0"/>
    <x v="0"/>
    <x v="0"/>
    <x v="6"/>
    <x v="9"/>
    <s v="NO3_A2"/>
    <x v="0"/>
    <x v="0"/>
    <x v="3"/>
    <x v="4"/>
    <n v="70.3773551344201"/>
    <n v="4281.2891040105596"/>
    <n v="15412.640774437999"/>
  </r>
  <r>
    <x v="0"/>
    <x v="0"/>
    <x v="0"/>
    <x v="6"/>
    <x v="9"/>
    <s v="NO3_A2"/>
    <x v="0"/>
    <x v="0"/>
    <x v="3"/>
    <x v="5"/>
    <n v="77.416185921494801"/>
    <n v="4709.4846435576001"/>
    <n v="16954.144716807401"/>
  </r>
  <r>
    <x v="0"/>
    <x v="0"/>
    <x v="0"/>
    <x v="6"/>
    <x v="9"/>
    <s v="NO3_A2"/>
    <x v="0"/>
    <x v="0"/>
    <x v="3"/>
    <x v="6"/>
    <n v="89.679382305890101"/>
    <n v="5455.4957569416501"/>
    <n v="19639.784724989899"/>
  </r>
  <r>
    <x v="0"/>
    <x v="0"/>
    <x v="0"/>
    <x v="6"/>
    <x v="9"/>
    <s v="NO3_A2"/>
    <x v="0"/>
    <x v="0"/>
    <x v="3"/>
    <x v="7"/>
    <n v="100.753693801479"/>
    <n v="6129.1830395899797"/>
    <n v="22065.058942523901"/>
  </r>
  <r>
    <x v="0"/>
    <x v="0"/>
    <x v="0"/>
    <x v="6"/>
    <x v="9"/>
    <s v="NO3_A2"/>
    <x v="0"/>
    <x v="0"/>
    <x v="3"/>
    <x v="8"/>
    <n v="105.02402157415"/>
    <n v="6388.9613124274401"/>
    <n v="23000.2607247388"/>
  </r>
  <r>
    <x v="0"/>
    <x v="0"/>
    <x v="0"/>
    <x v="6"/>
    <x v="9"/>
    <s v="NO3_A2"/>
    <x v="0"/>
    <x v="0"/>
    <x v="3"/>
    <x v="9"/>
    <n v="105.18032004312801"/>
    <n v="6398.4694692902904"/>
    <n v="23034.490089445"/>
  </r>
  <r>
    <x v="0"/>
    <x v="0"/>
    <x v="0"/>
    <x v="6"/>
    <x v="9"/>
    <s v="NO3_A2"/>
    <x v="0"/>
    <x v="0"/>
    <x v="3"/>
    <x v="10"/>
    <n v="102.107392818253"/>
    <n v="6211.5330631103798"/>
    <n v="22361.519027197301"/>
  </r>
  <r>
    <x v="0"/>
    <x v="0"/>
    <x v="0"/>
    <x v="6"/>
    <x v="9"/>
    <s v="NO3_A2"/>
    <x v="0"/>
    <x v="0"/>
    <x v="3"/>
    <x v="11"/>
    <n v="100.97281747785"/>
    <n v="6142.5130632358496"/>
    <n v="22113.047027649001"/>
  </r>
  <r>
    <x v="0"/>
    <x v="0"/>
    <x v="0"/>
    <x v="6"/>
    <x v="9"/>
    <s v="NO3_A2"/>
    <x v="0"/>
    <x v="0"/>
    <x v="4"/>
    <x v="0"/>
    <n v="73.557226882194499"/>
    <n v="4474.7313020001702"/>
    <n v="16109.032687200601"/>
  </r>
  <r>
    <x v="0"/>
    <x v="0"/>
    <x v="0"/>
    <x v="6"/>
    <x v="9"/>
    <s v="NO3_A2"/>
    <x v="0"/>
    <x v="0"/>
    <x v="4"/>
    <x v="1"/>
    <n v="73.0289010341737"/>
    <n v="4442.5914795789004"/>
    <n v="15993.3293264841"/>
  </r>
  <r>
    <x v="0"/>
    <x v="0"/>
    <x v="0"/>
    <x v="6"/>
    <x v="9"/>
    <s v="NO3_A2"/>
    <x v="0"/>
    <x v="0"/>
    <x v="4"/>
    <x v="2"/>
    <n v="73.521513228976403"/>
    <n v="4472.5587214294001"/>
    <n v="16101.2113971458"/>
  </r>
  <r>
    <x v="0"/>
    <x v="0"/>
    <x v="0"/>
    <x v="6"/>
    <x v="9"/>
    <s v="NO3_A2"/>
    <x v="0"/>
    <x v="0"/>
    <x v="4"/>
    <x v="3"/>
    <n v="73.866102636652997"/>
    <n v="4493.5212437297296"/>
    <n v="16176.676477427"/>
  </r>
  <r>
    <x v="0"/>
    <x v="0"/>
    <x v="0"/>
    <x v="6"/>
    <x v="9"/>
    <s v="NO3_A2"/>
    <x v="0"/>
    <x v="0"/>
    <x v="4"/>
    <x v="4"/>
    <n v="77.480368730638403"/>
    <n v="4713.3890977805104"/>
    <n v="16968.200752009801"/>
  </r>
  <r>
    <x v="0"/>
    <x v="0"/>
    <x v="0"/>
    <x v="6"/>
    <x v="9"/>
    <s v="NO3_A2"/>
    <x v="0"/>
    <x v="0"/>
    <x v="4"/>
    <x v="5"/>
    <n v="85.0394061171788"/>
    <n v="5173.23053879504"/>
    <n v="18623.629939662202"/>
  </r>
  <r>
    <x v="0"/>
    <x v="0"/>
    <x v="0"/>
    <x v="6"/>
    <x v="9"/>
    <s v="NO3_A2"/>
    <x v="0"/>
    <x v="0"/>
    <x v="4"/>
    <x v="6"/>
    <n v="98.081377566390302"/>
    <n v="5966.6171352887404"/>
    <n v="21479.821687039501"/>
  </r>
  <r>
    <x v="0"/>
    <x v="0"/>
    <x v="0"/>
    <x v="6"/>
    <x v="9"/>
    <s v="NO3_A2"/>
    <x v="0"/>
    <x v="0"/>
    <x v="4"/>
    <x v="7"/>
    <n v="109.91888062076301"/>
    <n v="6686.7319044297201"/>
    <n v="24072.234855947001"/>
  </r>
  <r>
    <x v="0"/>
    <x v="0"/>
    <x v="0"/>
    <x v="6"/>
    <x v="9"/>
    <s v="NO3_A2"/>
    <x v="0"/>
    <x v="0"/>
    <x v="4"/>
    <x v="8"/>
    <n v="114.00380348535001"/>
    <n v="6935.2313786921104"/>
    <n v="24966.832963291599"/>
  </r>
  <r>
    <x v="0"/>
    <x v="0"/>
    <x v="0"/>
    <x v="6"/>
    <x v="9"/>
    <s v="NO3_A2"/>
    <x v="0"/>
    <x v="0"/>
    <x v="4"/>
    <x v="9"/>
    <n v="111.55425749326101"/>
    <n v="6786.2173308400197"/>
    <n v="24430.382391024101"/>
  </r>
  <r>
    <x v="0"/>
    <x v="0"/>
    <x v="0"/>
    <x v="6"/>
    <x v="9"/>
    <s v="NO3_A2"/>
    <x v="0"/>
    <x v="0"/>
    <x v="4"/>
    <x v="10"/>
    <n v="108.71648092237599"/>
    <n v="6613.5859227779001"/>
    <n v="23808.9093220004"/>
  </r>
  <r>
    <x v="0"/>
    <x v="0"/>
    <x v="0"/>
    <x v="6"/>
    <x v="9"/>
    <s v="NO3_A2"/>
    <x v="0"/>
    <x v="0"/>
    <x v="4"/>
    <x v="11"/>
    <n v="104.899133970045"/>
    <n v="6381.36398317772"/>
    <n v="22972.910339439801"/>
  </r>
  <r>
    <x v="0"/>
    <x v="0"/>
    <x v="0"/>
    <x v="6"/>
    <x v="9"/>
    <s v="NO3_A2"/>
    <x v="0"/>
    <x v="0"/>
    <x v="5"/>
    <x v="0"/>
    <n v="70.645714915489194"/>
    <n v="4297.6143240255897"/>
    <n v="15471.411566492099"/>
  </r>
  <r>
    <x v="0"/>
    <x v="0"/>
    <x v="0"/>
    <x v="6"/>
    <x v="9"/>
    <s v="NO3_A2"/>
    <x v="0"/>
    <x v="0"/>
    <x v="5"/>
    <x v="1"/>
    <n v="68.972411550660098"/>
    <n v="4195.82170266516"/>
    <n v="15104.958129594601"/>
  </r>
  <r>
    <x v="0"/>
    <x v="0"/>
    <x v="0"/>
    <x v="6"/>
    <x v="9"/>
    <s v="NO3_A2"/>
    <x v="0"/>
    <x v="0"/>
    <x v="5"/>
    <x v="2"/>
    <n v="68.396621209398404"/>
    <n v="4160.7944569050696"/>
    <n v="14978.8600448582"/>
  </r>
  <r>
    <x v="0"/>
    <x v="0"/>
    <x v="0"/>
    <x v="6"/>
    <x v="9"/>
    <s v="NO3_A2"/>
    <x v="0"/>
    <x v="0"/>
    <x v="5"/>
    <x v="3"/>
    <n v="67.473436014994903"/>
    <n v="4104.6340242455199"/>
    <n v="14776.682487283901"/>
  </r>
  <r>
    <x v="0"/>
    <x v="0"/>
    <x v="0"/>
    <x v="6"/>
    <x v="9"/>
    <s v="NO3_A2"/>
    <x v="0"/>
    <x v="0"/>
    <x v="5"/>
    <x v="4"/>
    <n v="67.991710837149498"/>
    <n v="4136.1624092599304"/>
    <n v="14890.1846733357"/>
  </r>
  <r>
    <x v="0"/>
    <x v="0"/>
    <x v="0"/>
    <x v="6"/>
    <x v="9"/>
    <s v="NO3_A2"/>
    <x v="0"/>
    <x v="0"/>
    <x v="5"/>
    <x v="5"/>
    <n v="70.974012058643098"/>
    <n v="4317.58573356745"/>
    <n v="15543.308640842801"/>
  </r>
  <r>
    <x v="0"/>
    <x v="0"/>
    <x v="0"/>
    <x v="6"/>
    <x v="9"/>
    <s v="NO3_A2"/>
    <x v="0"/>
    <x v="0"/>
    <x v="5"/>
    <x v="6"/>
    <n v="80.1703957932815"/>
    <n v="4877.03241075796"/>
    <n v="17557.316678728599"/>
  </r>
  <r>
    <x v="0"/>
    <x v="0"/>
    <x v="0"/>
    <x v="6"/>
    <x v="9"/>
    <s v="NO3_A2"/>
    <x v="0"/>
    <x v="0"/>
    <x v="5"/>
    <x v="7"/>
    <n v="88.301615155014304"/>
    <n v="5371.6815885967098"/>
    <n v="19338.0537189481"/>
  </r>
  <r>
    <x v="0"/>
    <x v="0"/>
    <x v="0"/>
    <x v="6"/>
    <x v="9"/>
    <s v="NO3_A2"/>
    <x v="0"/>
    <x v="0"/>
    <x v="5"/>
    <x v="8"/>
    <n v="86.527582602032297"/>
    <n v="5263.7612749569598"/>
    <n v="18949.540589845099"/>
  </r>
  <r>
    <x v="0"/>
    <x v="0"/>
    <x v="0"/>
    <x v="6"/>
    <x v="9"/>
    <s v="NO3_A2"/>
    <x v="0"/>
    <x v="0"/>
    <x v="5"/>
    <x v="9"/>
    <n v="83.047987434507803"/>
    <n v="5052.0859022658897"/>
    <n v="18187.509248157199"/>
  </r>
  <r>
    <x v="0"/>
    <x v="0"/>
    <x v="0"/>
    <x v="6"/>
    <x v="9"/>
    <s v="NO3_A2"/>
    <x v="0"/>
    <x v="0"/>
    <x v="5"/>
    <x v="10"/>
    <n v="79.310560656778705"/>
    <n v="4824.7257732873704"/>
    <n v="17369.0127838345"/>
  </r>
  <r>
    <x v="0"/>
    <x v="0"/>
    <x v="0"/>
    <x v="6"/>
    <x v="9"/>
    <s v="NO3_A2"/>
    <x v="0"/>
    <x v="0"/>
    <x v="5"/>
    <x v="11"/>
    <n v="75.366063168938197"/>
    <n v="4584.76884277708"/>
    <n v="16505.167833997501"/>
  </r>
  <r>
    <x v="0"/>
    <x v="0"/>
    <x v="0"/>
    <x v="6"/>
    <x v="9"/>
    <s v="NO3_A2"/>
    <x v="0"/>
    <x v="0"/>
    <x v="6"/>
    <x v="0"/>
    <n v="53.232699227823502"/>
    <n v="3238.3225363592601"/>
    <n v="11657.9611308933"/>
  </r>
  <r>
    <x v="0"/>
    <x v="0"/>
    <x v="0"/>
    <x v="6"/>
    <x v="9"/>
    <s v="NO3_A2"/>
    <x v="0"/>
    <x v="0"/>
    <x v="6"/>
    <x v="1"/>
    <n v="52.848384046960703"/>
    <n v="3214.9433628567799"/>
    <n v="11573.796106284401"/>
  </r>
  <r>
    <x v="0"/>
    <x v="0"/>
    <x v="0"/>
    <x v="6"/>
    <x v="9"/>
    <s v="NO3_A2"/>
    <x v="0"/>
    <x v="0"/>
    <x v="6"/>
    <x v="2"/>
    <n v="53.3940835323315"/>
    <n v="3248.1400815501702"/>
    <n v="11693.304293580601"/>
  </r>
  <r>
    <x v="0"/>
    <x v="0"/>
    <x v="0"/>
    <x v="6"/>
    <x v="9"/>
    <s v="NO3_A2"/>
    <x v="0"/>
    <x v="0"/>
    <x v="6"/>
    <x v="3"/>
    <n v="53.766800288713803"/>
    <n v="3270.8136842300901"/>
    <n v="11774.9292632283"/>
  </r>
  <r>
    <x v="0"/>
    <x v="0"/>
    <x v="0"/>
    <x v="6"/>
    <x v="9"/>
    <s v="NO3_A2"/>
    <x v="0"/>
    <x v="0"/>
    <x v="6"/>
    <x v="4"/>
    <n v="56.145692077852203"/>
    <n v="3415.5296014026699"/>
    <n v="12295.9065650496"/>
  </r>
  <r>
    <x v="0"/>
    <x v="0"/>
    <x v="0"/>
    <x v="6"/>
    <x v="9"/>
    <s v="NO3_A2"/>
    <x v="0"/>
    <x v="0"/>
    <x v="6"/>
    <x v="5"/>
    <n v="61.432252663711303"/>
    <n v="3737.1287037091001"/>
    <n v="13453.663333352801"/>
  </r>
  <r>
    <x v="0"/>
    <x v="0"/>
    <x v="0"/>
    <x v="6"/>
    <x v="9"/>
    <s v="NO3_A2"/>
    <x v="0"/>
    <x v="0"/>
    <x v="6"/>
    <x v="6"/>
    <n v="71.270962048915194"/>
    <n v="4335.6501913090096"/>
    <n v="15608.3406887124"/>
  </r>
  <r>
    <x v="0"/>
    <x v="0"/>
    <x v="0"/>
    <x v="6"/>
    <x v="9"/>
    <s v="NO3_A2"/>
    <x v="0"/>
    <x v="0"/>
    <x v="6"/>
    <x v="7"/>
    <n v="79.940668654137198"/>
    <n v="4863.0573431266803"/>
    <n v="17507.006435256"/>
  </r>
  <r>
    <x v="0"/>
    <x v="0"/>
    <x v="0"/>
    <x v="6"/>
    <x v="9"/>
    <s v="NO3_A2"/>
    <x v="0"/>
    <x v="0"/>
    <x v="6"/>
    <x v="8"/>
    <n v="81.993169133686607"/>
    <n v="4987.9177889659304"/>
    <n v="17956.504040277399"/>
  </r>
  <r>
    <x v="0"/>
    <x v="0"/>
    <x v="0"/>
    <x v="6"/>
    <x v="9"/>
    <s v="NO3_A2"/>
    <x v="0"/>
    <x v="0"/>
    <x v="6"/>
    <x v="9"/>
    <n v="80.740329033230793"/>
    <n v="4911.7033495215401"/>
    <n v="17682.132058277501"/>
  </r>
  <r>
    <x v="0"/>
    <x v="0"/>
    <x v="0"/>
    <x v="6"/>
    <x v="9"/>
    <s v="NO3_A2"/>
    <x v="0"/>
    <x v="0"/>
    <x v="6"/>
    <x v="10"/>
    <n v="78.648833334724998"/>
    <n v="4784.47069452911"/>
    <n v="17224.0945003048"/>
  </r>
  <r>
    <x v="0"/>
    <x v="0"/>
    <x v="0"/>
    <x v="6"/>
    <x v="9"/>
    <s v="NO3_A2"/>
    <x v="0"/>
    <x v="0"/>
    <x v="6"/>
    <x v="11"/>
    <n v="76.788746847299805"/>
    <n v="4671.3154332107397"/>
    <n v="16816.735559558601"/>
  </r>
  <r>
    <x v="0"/>
    <x v="0"/>
    <x v="0"/>
    <x v="6"/>
    <x v="9"/>
    <s v="NO3_A2"/>
    <x v="0"/>
    <x v="0"/>
    <x v="7"/>
    <x v="0"/>
    <n v="62.3359192473538"/>
    <n v="3792.1017542140198"/>
    <n v="13651.566315170499"/>
  </r>
  <r>
    <x v="0"/>
    <x v="0"/>
    <x v="0"/>
    <x v="6"/>
    <x v="9"/>
    <s v="NO3_A2"/>
    <x v="0"/>
    <x v="0"/>
    <x v="7"/>
    <x v="1"/>
    <n v="61.967746741768998"/>
    <n v="3769.7045934576099"/>
    <n v="13570.9365364474"/>
  </r>
  <r>
    <x v="0"/>
    <x v="0"/>
    <x v="0"/>
    <x v="6"/>
    <x v="9"/>
    <s v="NO3_A2"/>
    <x v="0"/>
    <x v="0"/>
    <x v="7"/>
    <x v="2"/>
    <n v="62.227580130685503"/>
    <n v="3785.5111246166998"/>
    <n v="13627.840048620101"/>
  </r>
  <r>
    <x v="0"/>
    <x v="0"/>
    <x v="0"/>
    <x v="6"/>
    <x v="9"/>
    <s v="NO3_A2"/>
    <x v="0"/>
    <x v="0"/>
    <x v="7"/>
    <x v="3"/>
    <n v="62.144612410262297"/>
    <n v="3780.4639216242899"/>
    <n v="13609.6701178475"/>
  </r>
  <r>
    <x v="0"/>
    <x v="0"/>
    <x v="0"/>
    <x v="6"/>
    <x v="9"/>
    <s v="NO3_A2"/>
    <x v="0"/>
    <x v="0"/>
    <x v="7"/>
    <x v="4"/>
    <n v="64.465822715730198"/>
    <n v="3921.6708818735901"/>
    <n v="14118.0151747449"/>
  </r>
  <r>
    <x v="0"/>
    <x v="0"/>
    <x v="0"/>
    <x v="6"/>
    <x v="9"/>
    <s v="NO3_A2"/>
    <x v="0"/>
    <x v="0"/>
    <x v="7"/>
    <x v="5"/>
    <n v="70.225852302360394"/>
    <n v="4272.0726817269197"/>
    <n v="15379.461654216901"/>
  </r>
  <r>
    <x v="0"/>
    <x v="0"/>
    <x v="0"/>
    <x v="6"/>
    <x v="9"/>
    <s v="NO3_A2"/>
    <x v="0"/>
    <x v="0"/>
    <x v="7"/>
    <x v="6"/>
    <n v="80.509547464960306"/>
    <n v="4897.6641374517503"/>
    <n v="17631.590894826299"/>
  </r>
  <r>
    <x v="0"/>
    <x v="0"/>
    <x v="0"/>
    <x v="6"/>
    <x v="9"/>
    <s v="NO3_A2"/>
    <x v="0"/>
    <x v="0"/>
    <x v="7"/>
    <x v="7"/>
    <n v="89.563725641552793"/>
    <n v="5448.4599765277999"/>
    <n v="19614.455915500101"/>
  </r>
  <r>
    <x v="0"/>
    <x v="0"/>
    <x v="0"/>
    <x v="6"/>
    <x v="9"/>
    <s v="NO3_A2"/>
    <x v="0"/>
    <x v="0"/>
    <x v="7"/>
    <x v="8"/>
    <n v="89.599267814650503"/>
    <n v="5450.6221253912399"/>
    <n v="19622.239651408399"/>
  </r>
  <r>
    <x v="0"/>
    <x v="0"/>
    <x v="0"/>
    <x v="6"/>
    <x v="9"/>
    <s v="NO3_A2"/>
    <x v="0"/>
    <x v="0"/>
    <x v="7"/>
    <x v="9"/>
    <n v="87.809325128207405"/>
    <n v="5341.7339452992801"/>
    <n v="19230.2422030774"/>
  </r>
  <r>
    <x v="0"/>
    <x v="0"/>
    <x v="0"/>
    <x v="6"/>
    <x v="9"/>
    <s v="NO3_A2"/>
    <x v="0"/>
    <x v="0"/>
    <x v="7"/>
    <x v="10"/>
    <n v="84.419607875589307"/>
    <n v="5135.5261457650204"/>
    <n v="18487.894124754101"/>
  </r>
  <r>
    <x v="0"/>
    <x v="0"/>
    <x v="0"/>
    <x v="6"/>
    <x v="9"/>
    <s v="NO3_A2"/>
    <x v="0"/>
    <x v="0"/>
    <x v="7"/>
    <x v="11"/>
    <n v="80.871878892935598"/>
    <n v="4919.7059659869201"/>
    <n v="17710.9414775529"/>
  </r>
  <r>
    <x v="0"/>
    <x v="0"/>
    <x v="0"/>
    <x v="6"/>
    <x v="9"/>
    <s v="NO3_A2"/>
    <x v="0"/>
    <x v="0"/>
    <x v="8"/>
    <x v="0"/>
    <n v="51.573210437892897"/>
    <n v="3137.3703016384802"/>
    <n v="11294.5330858985"/>
  </r>
  <r>
    <x v="0"/>
    <x v="0"/>
    <x v="0"/>
    <x v="6"/>
    <x v="9"/>
    <s v="NO3_A2"/>
    <x v="0"/>
    <x v="0"/>
    <x v="8"/>
    <x v="1"/>
    <n v="51.330268817434302"/>
    <n v="3122.5913530605799"/>
    <n v="11241.3288710181"/>
  </r>
  <r>
    <x v="0"/>
    <x v="0"/>
    <x v="0"/>
    <x v="6"/>
    <x v="9"/>
    <s v="NO3_A2"/>
    <x v="0"/>
    <x v="0"/>
    <x v="8"/>
    <x v="2"/>
    <n v="51.716977198034499"/>
    <n v="3146.1161128804301"/>
    <n v="11326.018006369601"/>
  </r>
  <r>
    <x v="0"/>
    <x v="0"/>
    <x v="0"/>
    <x v="6"/>
    <x v="9"/>
    <s v="NO3_A2"/>
    <x v="0"/>
    <x v="0"/>
    <x v="8"/>
    <x v="3"/>
    <n v="52.056064528506198"/>
    <n v="3166.7439254841302"/>
    <n v="11400.2781317429"/>
  </r>
  <r>
    <x v="0"/>
    <x v="0"/>
    <x v="0"/>
    <x v="6"/>
    <x v="9"/>
    <s v="NO3_A2"/>
    <x v="0"/>
    <x v="0"/>
    <x v="8"/>
    <x v="4"/>
    <n v="54.725612128097602"/>
    <n v="3329.1414044592698"/>
    <n v="11984.9090560534"/>
  </r>
  <r>
    <x v="0"/>
    <x v="0"/>
    <x v="0"/>
    <x v="6"/>
    <x v="9"/>
    <s v="NO3_A2"/>
    <x v="0"/>
    <x v="0"/>
    <x v="8"/>
    <x v="5"/>
    <n v="59.463561681845597"/>
    <n v="3617.3666689789402"/>
    <n v="13022.5200083242"/>
  </r>
  <r>
    <x v="0"/>
    <x v="0"/>
    <x v="0"/>
    <x v="6"/>
    <x v="9"/>
    <s v="NO3_A2"/>
    <x v="0"/>
    <x v="0"/>
    <x v="8"/>
    <x v="6"/>
    <n v="67.665245760416099"/>
    <n v="4116.3024504253099"/>
    <n v="14818.688821531099"/>
  </r>
  <r>
    <x v="0"/>
    <x v="0"/>
    <x v="0"/>
    <x v="6"/>
    <x v="9"/>
    <s v="NO3_A2"/>
    <x v="0"/>
    <x v="0"/>
    <x v="8"/>
    <x v="7"/>
    <n v="73.6101301011754"/>
    <n v="4477.9495811548304"/>
    <n v="16120.6184921574"/>
  </r>
  <r>
    <x v="0"/>
    <x v="0"/>
    <x v="0"/>
    <x v="6"/>
    <x v="9"/>
    <s v="NO3_A2"/>
    <x v="0"/>
    <x v="0"/>
    <x v="8"/>
    <x v="8"/>
    <n v="73.115640783133202"/>
    <n v="4447.86814764061"/>
    <n v="16012.325331506199"/>
  </r>
  <r>
    <x v="0"/>
    <x v="0"/>
    <x v="0"/>
    <x v="6"/>
    <x v="9"/>
    <s v="NO3_A2"/>
    <x v="0"/>
    <x v="0"/>
    <x v="8"/>
    <x v="9"/>
    <n v="69.030599540688002"/>
    <n v="4199.3614720585201"/>
    <n v="15117.701299410701"/>
  </r>
  <r>
    <x v="0"/>
    <x v="0"/>
    <x v="0"/>
    <x v="6"/>
    <x v="9"/>
    <s v="NO3_A2"/>
    <x v="0"/>
    <x v="0"/>
    <x v="8"/>
    <x v="10"/>
    <n v="65.260506011041201"/>
    <n v="3970.01411567168"/>
    <n v="14292.050816417999"/>
  </r>
  <r>
    <x v="0"/>
    <x v="0"/>
    <x v="0"/>
    <x v="6"/>
    <x v="9"/>
    <s v="NO3_A2"/>
    <x v="0"/>
    <x v="0"/>
    <x v="8"/>
    <x v="11"/>
    <n v="61.555299884036799"/>
    <n v="3744.61407627891"/>
    <n v="13480.6106746041"/>
  </r>
  <r>
    <x v="0"/>
    <x v="0"/>
    <x v="0"/>
    <x v="6"/>
    <x v="9"/>
    <s v="NO3_A2"/>
    <x v="0"/>
    <x v="0"/>
    <x v="9"/>
    <x v="0"/>
    <n v="44.605299723256003"/>
    <n v="2713.4890664980699"/>
    <n v="9768.5606393930702"/>
  </r>
  <r>
    <x v="0"/>
    <x v="0"/>
    <x v="0"/>
    <x v="6"/>
    <x v="9"/>
    <s v="NO3_A2"/>
    <x v="0"/>
    <x v="0"/>
    <x v="9"/>
    <x v="1"/>
    <n v="45.725342362574999"/>
    <n v="2781.6249937233101"/>
    <n v="10013.849977403899"/>
  </r>
  <r>
    <x v="0"/>
    <x v="0"/>
    <x v="0"/>
    <x v="6"/>
    <x v="9"/>
    <s v="NO3_A2"/>
    <x v="0"/>
    <x v="0"/>
    <x v="9"/>
    <x v="2"/>
    <n v="46.872020556730902"/>
    <n v="2851.3812505344699"/>
    <n v="10264.9725019241"/>
  </r>
  <r>
    <x v="0"/>
    <x v="0"/>
    <x v="0"/>
    <x v="6"/>
    <x v="9"/>
    <s v="NO3_A2"/>
    <x v="0"/>
    <x v="0"/>
    <x v="9"/>
    <x v="3"/>
    <n v="48.975926420962601"/>
    <n v="2979.3688572752299"/>
    <n v="10725.7278861908"/>
  </r>
  <r>
    <x v="0"/>
    <x v="0"/>
    <x v="0"/>
    <x v="6"/>
    <x v="9"/>
    <s v="NO3_A2"/>
    <x v="0"/>
    <x v="0"/>
    <x v="9"/>
    <x v="4"/>
    <n v="52.489256483347198"/>
    <n v="3193.0964360702901"/>
    <n v="11495.147169853"/>
  </r>
  <r>
    <x v="0"/>
    <x v="0"/>
    <x v="0"/>
    <x v="6"/>
    <x v="9"/>
    <s v="NO3_A2"/>
    <x v="0"/>
    <x v="0"/>
    <x v="9"/>
    <x v="5"/>
    <n v="58.020227171318403"/>
    <n v="3529.5638195885399"/>
    <n v="12706.429750518701"/>
  </r>
  <r>
    <x v="0"/>
    <x v="0"/>
    <x v="0"/>
    <x v="6"/>
    <x v="9"/>
    <s v="NO3_A2"/>
    <x v="0"/>
    <x v="0"/>
    <x v="9"/>
    <x v="6"/>
    <n v="67.806037195812493"/>
    <n v="4124.8672627452597"/>
    <n v="14849.5221458829"/>
  </r>
  <r>
    <x v="0"/>
    <x v="0"/>
    <x v="0"/>
    <x v="6"/>
    <x v="9"/>
    <s v="NO3_A2"/>
    <x v="0"/>
    <x v="0"/>
    <x v="9"/>
    <x v="7"/>
    <n v="75.959340184657904"/>
    <n v="4620.8598612333599"/>
    <n v="16635.0955004401"/>
  </r>
  <r>
    <x v="0"/>
    <x v="0"/>
    <x v="0"/>
    <x v="6"/>
    <x v="9"/>
    <s v="NO3_A2"/>
    <x v="0"/>
    <x v="0"/>
    <x v="9"/>
    <x v="8"/>
    <n v="78.852720867003299"/>
    <n v="4796.8738527427004"/>
    <n v="17268.745869873699"/>
  </r>
  <r>
    <x v="0"/>
    <x v="0"/>
    <x v="0"/>
    <x v="6"/>
    <x v="9"/>
    <s v="NO3_A2"/>
    <x v="0"/>
    <x v="0"/>
    <x v="9"/>
    <x v="9"/>
    <n v="75.628853082092306"/>
    <n v="4600.7552291606098"/>
    <n v="16562.718824978201"/>
  </r>
  <r>
    <x v="0"/>
    <x v="0"/>
    <x v="0"/>
    <x v="6"/>
    <x v="9"/>
    <s v="NO3_A2"/>
    <x v="0"/>
    <x v="0"/>
    <x v="9"/>
    <x v="10"/>
    <n v="70.958235616620698"/>
    <n v="4316.6260000110897"/>
    <n v="15539.8536000399"/>
  </r>
  <r>
    <x v="0"/>
    <x v="0"/>
    <x v="0"/>
    <x v="6"/>
    <x v="9"/>
    <s v="NO3_A2"/>
    <x v="0"/>
    <x v="0"/>
    <x v="9"/>
    <x v="11"/>
    <n v="68.114790067243405"/>
    <n v="4143.64972909064"/>
    <n v="14917.139024726301"/>
  </r>
  <r>
    <x v="0"/>
    <x v="0"/>
    <x v="0"/>
    <x v="6"/>
    <x v="9"/>
    <s v="NO3_A2"/>
    <x v="0"/>
    <x v="0"/>
    <x v="10"/>
    <x v="0"/>
    <n v="33.548993848336103"/>
    <n v="2040.8971257737801"/>
    <n v="7347.2296527856097"/>
  </r>
  <r>
    <x v="0"/>
    <x v="0"/>
    <x v="0"/>
    <x v="6"/>
    <x v="9"/>
    <s v="NO3_A2"/>
    <x v="0"/>
    <x v="0"/>
    <x v="10"/>
    <x v="1"/>
    <n v="34.062757406955001"/>
    <n v="2072.1510755897598"/>
    <n v="7459.7438721231401"/>
  </r>
  <r>
    <x v="0"/>
    <x v="0"/>
    <x v="0"/>
    <x v="6"/>
    <x v="9"/>
    <s v="NO3_A2"/>
    <x v="0"/>
    <x v="0"/>
    <x v="10"/>
    <x v="2"/>
    <n v="34.347909832482202"/>
    <n v="2089.4978481426701"/>
    <n v="7522.1922533136003"/>
  </r>
  <r>
    <x v="0"/>
    <x v="0"/>
    <x v="0"/>
    <x v="6"/>
    <x v="9"/>
    <s v="NO3_A2"/>
    <x v="0"/>
    <x v="0"/>
    <x v="10"/>
    <x v="3"/>
    <n v="35.726228667754398"/>
    <n v="2173.3455772883899"/>
    <n v="7824.0440782382102"/>
  </r>
  <r>
    <x v="0"/>
    <x v="0"/>
    <x v="0"/>
    <x v="6"/>
    <x v="9"/>
    <s v="NO3_A2"/>
    <x v="0"/>
    <x v="0"/>
    <x v="10"/>
    <x v="4"/>
    <n v="38.046135647830297"/>
    <n v="2314.4732519096701"/>
    <n v="8332.1037068748301"/>
  </r>
  <r>
    <x v="0"/>
    <x v="0"/>
    <x v="0"/>
    <x v="6"/>
    <x v="9"/>
    <s v="NO3_A2"/>
    <x v="0"/>
    <x v="0"/>
    <x v="10"/>
    <x v="5"/>
    <n v="42.6795941577208"/>
    <n v="2596.3419779280198"/>
    <n v="9346.8311205408609"/>
  </r>
  <r>
    <x v="0"/>
    <x v="0"/>
    <x v="0"/>
    <x v="6"/>
    <x v="9"/>
    <s v="NO3_A2"/>
    <x v="0"/>
    <x v="0"/>
    <x v="10"/>
    <x v="6"/>
    <n v="50.659927201791"/>
    <n v="3081.8122381089502"/>
    <n v="11094.5240571922"/>
  </r>
  <r>
    <x v="0"/>
    <x v="0"/>
    <x v="0"/>
    <x v="6"/>
    <x v="9"/>
    <s v="NO3_A2"/>
    <x v="0"/>
    <x v="0"/>
    <x v="10"/>
    <x v="7"/>
    <n v="57.0827097093158"/>
    <n v="3472.5315073167098"/>
    <n v="12501.1134263402"/>
  </r>
  <r>
    <x v="0"/>
    <x v="0"/>
    <x v="0"/>
    <x v="6"/>
    <x v="9"/>
    <s v="NO3_A2"/>
    <x v="0"/>
    <x v="0"/>
    <x v="10"/>
    <x v="8"/>
    <n v="59.577760181939198"/>
    <n v="3624.3137444013"/>
    <n v="13047.529479844699"/>
  </r>
  <r>
    <x v="0"/>
    <x v="0"/>
    <x v="0"/>
    <x v="6"/>
    <x v="9"/>
    <s v="NO3_A2"/>
    <x v="0"/>
    <x v="0"/>
    <x v="10"/>
    <x v="9"/>
    <n v="58.247336175848801"/>
    <n v="3543.3796173641299"/>
    <n v="12756.1666225109"/>
  </r>
  <r>
    <x v="0"/>
    <x v="0"/>
    <x v="0"/>
    <x v="6"/>
    <x v="9"/>
    <s v="NO3_A2"/>
    <x v="0"/>
    <x v="0"/>
    <x v="10"/>
    <x v="10"/>
    <n v="56.259932246693403"/>
    <n v="3422.4792116738499"/>
    <n v="12320.9251620259"/>
  </r>
  <r>
    <x v="0"/>
    <x v="0"/>
    <x v="0"/>
    <x v="6"/>
    <x v="9"/>
    <s v="NO3_A2"/>
    <x v="0"/>
    <x v="0"/>
    <x v="10"/>
    <x v="11"/>
    <n v="55.309452611418898"/>
    <n v="3364.6583671946501"/>
    <n v="12112.770121900699"/>
  </r>
  <r>
    <x v="0"/>
    <x v="0"/>
    <x v="0"/>
    <x v="6"/>
    <x v="9"/>
    <s v="NO3_A2"/>
    <x v="0"/>
    <x v="0"/>
    <x v="11"/>
    <x v="0"/>
    <n v="50.4995296716829"/>
    <n v="3072.0547216940499"/>
    <n v="11059.3969980986"/>
  </r>
  <r>
    <x v="0"/>
    <x v="0"/>
    <x v="0"/>
    <x v="6"/>
    <x v="9"/>
    <s v="NO3_A2"/>
    <x v="0"/>
    <x v="0"/>
    <x v="11"/>
    <x v="1"/>
    <n v="51.919420757199902"/>
    <n v="3158.4314293963298"/>
    <n v="11370.353145826801"/>
  </r>
  <r>
    <x v="0"/>
    <x v="0"/>
    <x v="0"/>
    <x v="6"/>
    <x v="9"/>
    <s v="NO3_A2"/>
    <x v="0"/>
    <x v="0"/>
    <x v="11"/>
    <x v="2"/>
    <n v="53.359423688690804"/>
    <n v="3246.0316077286898"/>
    <n v="11685.713787823301"/>
  </r>
  <r>
    <x v="0"/>
    <x v="0"/>
    <x v="0"/>
    <x v="6"/>
    <x v="9"/>
    <s v="NO3_A2"/>
    <x v="0"/>
    <x v="0"/>
    <x v="11"/>
    <x v="3"/>
    <n v="55.509012041353202"/>
    <n v="3376.7982325156499"/>
    <n v="12156.473637056401"/>
  </r>
  <r>
    <x v="0"/>
    <x v="0"/>
    <x v="0"/>
    <x v="6"/>
    <x v="9"/>
    <s v="NO3_A2"/>
    <x v="0"/>
    <x v="0"/>
    <x v="11"/>
    <x v="4"/>
    <n v="59.482565043864298"/>
    <n v="3618.52270683508"/>
    <n v="13026.6817446063"/>
  </r>
  <r>
    <x v="0"/>
    <x v="0"/>
    <x v="0"/>
    <x v="6"/>
    <x v="9"/>
    <s v="NO3_A2"/>
    <x v="0"/>
    <x v="0"/>
    <x v="11"/>
    <x v="5"/>
    <n v="65.338017289855401"/>
    <n v="3974.72938513287"/>
    <n v="14309.0257864783"/>
  </r>
  <r>
    <x v="0"/>
    <x v="0"/>
    <x v="0"/>
    <x v="6"/>
    <x v="9"/>
    <s v="NO3_A2"/>
    <x v="0"/>
    <x v="0"/>
    <x v="11"/>
    <x v="6"/>
    <n v="76.252552142803296"/>
    <n v="4638.6969220205301"/>
    <n v="16699.308919273899"/>
  </r>
  <r>
    <x v="0"/>
    <x v="0"/>
    <x v="0"/>
    <x v="6"/>
    <x v="9"/>
    <s v="NO3_A2"/>
    <x v="0"/>
    <x v="0"/>
    <x v="11"/>
    <x v="7"/>
    <n v="85.321974470218706"/>
    <n v="5190.4201136049696"/>
    <n v="18685.512408977898"/>
  </r>
  <r>
    <x v="0"/>
    <x v="0"/>
    <x v="0"/>
    <x v="6"/>
    <x v="9"/>
    <s v="NO3_A2"/>
    <x v="0"/>
    <x v="0"/>
    <x v="11"/>
    <x v="8"/>
    <n v="88.130550785735593"/>
    <n v="5361.2751727989198"/>
    <n v="19300.590622076099"/>
  </r>
  <r>
    <x v="0"/>
    <x v="0"/>
    <x v="0"/>
    <x v="6"/>
    <x v="9"/>
    <s v="NO3_A2"/>
    <x v="0"/>
    <x v="0"/>
    <x v="11"/>
    <x v="9"/>
    <n v="84.702858550467894"/>
    <n v="5152.7572284868002"/>
    <n v="18549.926022552499"/>
  </r>
  <r>
    <x v="0"/>
    <x v="0"/>
    <x v="0"/>
    <x v="6"/>
    <x v="9"/>
    <s v="NO3_A2"/>
    <x v="0"/>
    <x v="0"/>
    <x v="11"/>
    <x v="10"/>
    <n v="79.472863689142301"/>
    <n v="4834.5992077561596"/>
    <n v="17404.557147922202"/>
  </r>
  <r>
    <x v="0"/>
    <x v="0"/>
    <x v="0"/>
    <x v="6"/>
    <x v="9"/>
    <s v="NO3_A2"/>
    <x v="0"/>
    <x v="0"/>
    <x v="11"/>
    <x v="11"/>
    <n v="74.990236201556101"/>
    <n v="4561.9060355946604"/>
    <n v="16422.861728140801"/>
  </r>
  <r>
    <x v="0"/>
    <x v="0"/>
    <x v="0"/>
    <x v="6"/>
    <x v="10"/>
    <s v="NO4_A1"/>
    <x v="0"/>
    <x v="0"/>
    <x v="0"/>
    <x v="0"/>
    <n v="17.475193598015"/>
    <n v="1063.07427721258"/>
    <n v="3827.0673979652802"/>
  </r>
  <r>
    <x v="0"/>
    <x v="0"/>
    <x v="0"/>
    <x v="6"/>
    <x v="10"/>
    <s v="NO4_A1"/>
    <x v="0"/>
    <x v="0"/>
    <x v="0"/>
    <x v="1"/>
    <n v="17.4439048806844"/>
    <n v="1061.1708802416399"/>
    <n v="3820.21516886989"/>
  </r>
  <r>
    <x v="0"/>
    <x v="0"/>
    <x v="0"/>
    <x v="6"/>
    <x v="10"/>
    <s v="NO4_A1"/>
    <x v="0"/>
    <x v="0"/>
    <x v="0"/>
    <x v="2"/>
    <n v="17.658906641814301"/>
    <n v="1074.2501540436999"/>
    <n v="3867.3005545573301"/>
  </r>
  <r>
    <x v="0"/>
    <x v="0"/>
    <x v="0"/>
    <x v="6"/>
    <x v="10"/>
    <s v="NO4_A1"/>
    <x v="0"/>
    <x v="0"/>
    <x v="0"/>
    <x v="3"/>
    <n v="17.9477621061551"/>
    <n v="1091.8221947910999"/>
    <n v="3930.5599012479702"/>
  </r>
  <r>
    <x v="0"/>
    <x v="0"/>
    <x v="0"/>
    <x v="6"/>
    <x v="10"/>
    <s v="NO4_A1"/>
    <x v="0"/>
    <x v="0"/>
    <x v="0"/>
    <x v="4"/>
    <n v="19.136347760875999"/>
    <n v="1164.12782211995"/>
    <n v="4190.8601596318304"/>
  </r>
  <r>
    <x v="0"/>
    <x v="0"/>
    <x v="0"/>
    <x v="6"/>
    <x v="10"/>
    <s v="NO4_A1"/>
    <x v="0"/>
    <x v="0"/>
    <x v="0"/>
    <x v="5"/>
    <n v="21.174204820208001"/>
    <n v="1288.0974598959899"/>
    <n v="4637.1508556255503"/>
  </r>
  <r>
    <x v="0"/>
    <x v="0"/>
    <x v="0"/>
    <x v="6"/>
    <x v="10"/>
    <s v="NO4_A1"/>
    <x v="0"/>
    <x v="0"/>
    <x v="0"/>
    <x v="6"/>
    <n v="24.546486696944299"/>
    <n v="1493.24460739745"/>
    <n v="5375.6805866307996"/>
  </r>
  <r>
    <x v="0"/>
    <x v="0"/>
    <x v="0"/>
    <x v="6"/>
    <x v="10"/>
    <s v="NO4_A1"/>
    <x v="0"/>
    <x v="0"/>
    <x v="0"/>
    <x v="7"/>
    <n v="27.840218725086"/>
    <n v="1693.6133057760701"/>
    <n v="6097.0079007938302"/>
  </r>
  <r>
    <x v="0"/>
    <x v="0"/>
    <x v="0"/>
    <x v="6"/>
    <x v="10"/>
    <s v="NO4_A1"/>
    <x v="0"/>
    <x v="0"/>
    <x v="0"/>
    <x v="8"/>
    <n v="28.424286869289599"/>
    <n v="1729.14411788179"/>
    <n v="6224.9188243744302"/>
  </r>
  <r>
    <x v="0"/>
    <x v="0"/>
    <x v="0"/>
    <x v="6"/>
    <x v="10"/>
    <s v="NO4_A1"/>
    <x v="0"/>
    <x v="0"/>
    <x v="0"/>
    <x v="9"/>
    <n v="27.856864950765601"/>
    <n v="1694.62595117158"/>
    <n v="6100.6534242176704"/>
  </r>
  <r>
    <x v="0"/>
    <x v="0"/>
    <x v="0"/>
    <x v="6"/>
    <x v="10"/>
    <s v="NO4_A1"/>
    <x v="0"/>
    <x v="0"/>
    <x v="0"/>
    <x v="10"/>
    <n v="27.2701834132363"/>
    <n v="1658.93615763854"/>
    <n v="5972.1701674987498"/>
  </r>
  <r>
    <x v="0"/>
    <x v="0"/>
    <x v="0"/>
    <x v="6"/>
    <x v="10"/>
    <s v="NO4_A1"/>
    <x v="0"/>
    <x v="0"/>
    <x v="0"/>
    <x v="11"/>
    <n v="27.059616341788299"/>
    <n v="1646.12666079212"/>
    <n v="5926.0559788516402"/>
  </r>
  <r>
    <x v="0"/>
    <x v="0"/>
    <x v="0"/>
    <x v="6"/>
    <x v="10"/>
    <s v="NO4_A1"/>
    <x v="0"/>
    <x v="0"/>
    <x v="1"/>
    <x v="0"/>
    <n v="24.504068132586401"/>
    <n v="1490.66414473234"/>
    <n v="5366.39092103642"/>
  </r>
  <r>
    <x v="0"/>
    <x v="0"/>
    <x v="0"/>
    <x v="6"/>
    <x v="10"/>
    <s v="NO4_A1"/>
    <x v="0"/>
    <x v="0"/>
    <x v="1"/>
    <x v="1"/>
    <n v="24.273382072308799"/>
    <n v="1476.6307427321201"/>
    <n v="5315.8706738356304"/>
  </r>
  <r>
    <x v="0"/>
    <x v="0"/>
    <x v="0"/>
    <x v="6"/>
    <x v="10"/>
    <s v="NO4_A1"/>
    <x v="0"/>
    <x v="0"/>
    <x v="1"/>
    <x v="2"/>
    <n v="24.5557237442058"/>
    <n v="1493.80652777252"/>
    <n v="5377.7034999810703"/>
  </r>
  <r>
    <x v="0"/>
    <x v="0"/>
    <x v="0"/>
    <x v="6"/>
    <x v="10"/>
    <s v="NO4_A1"/>
    <x v="0"/>
    <x v="0"/>
    <x v="1"/>
    <x v="3"/>
    <n v="24.7908038658612"/>
    <n v="1508.10723517323"/>
    <n v="5429.1860466236103"/>
  </r>
  <r>
    <x v="0"/>
    <x v="0"/>
    <x v="0"/>
    <x v="6"/>
    <x v="10"/>
    <s v="NO4_A1"/>
    <x v="0"/>
    <x v="0"/>
    <x v="1"/>
    <x v="4"/>
    <n v="25.8847196216966"/>
    <n v="1574.6537769865499"/>
    <n v="5668.7535971515699"/>
  </r>
  <r>
    <x v="0"/>
    <x v="0"/>
    <x v="0"/>
    <x v="6"/>
    <x v="10"/>
    <s v="NO4_A1"/>
    <x v="0"/>
    <x v="0"/>
    <x v="1"/>
    <x v="5"/>
    <n v="28.2462184307639"/>
    <n v="1718.3116212048101"/>
    <n v="6185.9218363373002"/>
  </r>
  <r>
    <x v="0"/>
    <x v="0"/>
    <x v="0"/>
    <x v="6"/>
    <x v="10"/>
    <s v="NO4_A1"/>
    <x v="0"/>
    <x v="0"/>
    <x v="1"/>
    <x v="6"/>
    <n v="32.937487882283101"/>
    <n v="2003.6971795055499"/>
    <n v="7213.3098462199896"/>
  </r>
  <r>
    <x v="0"/>
    <x v="0"/>
    <x v="0"/>
    <x v="6"/>
    <x v="10"/>
    <s v="NO4_A1"/>
    <x v="0"/>
    <x v="0"/>
    <x v="1"/>
    <x v="7"/>
    <n v="37.806731158981798"/>
    <n v="2299.9094788380598"/>
    <n v="8279.6741238169998"/>
  </r>
  <r>
    <x v="0"/>
    <x v="0"/>
    <x v="0"/>
    <x v="6"/>
    <x v="10"/>
    <s v="NO4_A1"/>
    <x v="0"/>
    <x v="0"/>
    <x v="1"/>
    <x v="8"/>
    <n v="39.956023025337899"/>
    <n v="2430.6580673747198"/>
    <n v="8750.3690425490004"/>
  </r>
  <r>
    <x v="0"/>
    <x v="0"/>
    <x v="0"/>
    <x v="6"/>
    <x v="10"/>
    <s v="NO4_A1"/>
    <x v="0"/>
    <x v="0"/>
    <x v="1"/>
    <x v="9"/>
    <n v="40.060100049927598"/>
    <n v="2436.9894197039298"/>
    <n v="8773.1619109341409"/>
  </r>
  <r>
    <x v="0"/>
    <x v="0"/>
    <x v="0"/>
    <x v="6"/>
    <x v="10"/>
    <s v="NO4_A1"/>
    <x v="0"/>
    <x v="0"/>
    <x v="1"/>
    <x v="10"/>
    <n v="39.322774374651203"/>
    <n v="2392.1354411246102"/>
    <n v="8611.6875880486095"/>
  </r>
  <r>
    <x v="0"/>
    <x v="0"/>
    <x v="0"/>
    <x v="6"/>
    <x v="10"/>
    <s v="NO4_A1"/>
    <x v="0"/>
    <x v="0"/>
    <x v="1"/>
    <x v="11"/>
    <n v="37.7868025862876"/>
    <n v="2298.69715733249"/>
    <n v="8275.3097663969802"/>
  </r>
  <r>
    <x v="0"/>
    <x v="0"/>
    <x v="0"/>
    <x v="6"/>
    <x v="10"/>
    <s v="NO4_A1"/>
    <x v="0"/>
    <x v="0"/>
    <x v="2"/>
    <x v="0"/>
    <n v="16.342879040140001"/>
    <n v="994.19180827518096"/>
    <n v="3579.0905097906498"/>
  </r>
  <r>
    <x v="0"/>
    <x v="0"/>
    <x v="0"/>
    <x v="6"/>
    <x v="10"/>
    <s v="NO4_A1"/>
    <x v="0"/>
    <x v="0"/>
    <x v="2"/>
    <x v="1"/>
    <n v="16.2663202253093"/>
    <n v="989.53448037298301"/>
    <n v="3562.32412934274"/>
  </r>
  <r>
    <x v="0"/>
    <x v="0"/>
    <x v="0"/>
    <x v="6"/>
    <x v="10"/>
    <s v="NO4_A1"/>
    <x v="0"/>
    <x v="0"/>
    <x v="2"/>
    <x v="2"/>
    <n v="16.4490962543763"/>
    <n v="1000.65335547456"/>
    <n v="3602.3520797084102"/>
  </r>
  <r>
    <x v="0"/>
    <x v="0"/>
    <x v="0"/>
    <x v="6"/>
    <x v="10"/>
    <s v="NO4_A1"/>
    <x v="0"/>
    <x v="0"/>
    <x v="2"/>
    <x v="3"/>
    <n v="16.842034318487102"/>
    <n v="1024.5570877079699"/>
    <n v="3688.40551574868"/>
  </r>
  <r>
    <x v="0"/>
    <x v="0"/>
    <x v="0"/>
    <x v="6"/>
    <x v="10"/>
    <s v="NO4_A1"/>
    <x v="0"/>
    <x v="0"/>
    <x v="2"/>
    <x v="4"/>
    <n v="18.039345603211299"/>
    <n v="1097.39352419535"/>
    <n v="3950.6166871032801"/>
  </r>
  <r>
    <x v="0"/>
    <x v="0"/>
    <x v="0"/>
    <x v="6"/>
    <x v="10"/>
    <s v="NO4_A1"/>
    <x v="0"/>
    <x v="0"/>
    <x v="2"/>
    <x v="5"/>
    <n v="20.093999525589901"/>
    <n v="1222.3849711400501"/>
    <n v="4400.5858961042004"/>
  </r>
  <r>
    <x v="0"/>
    <x v="0"/>
    <x v="0"/>
    <x v="6"/>
    <x v="10"/>
    <s v="NO4_A1"/>
    <x v="0"/>
    <x v="0"/>
    <x v="2"/>
    <x v="6"/>
    <n v="23.3193599153002"/>
    <n v="1418.5943948474301"/>
    <n v="5106.9398214507501"/>
  </r>
  <r>
    <x v="0"/>
    <x v="0"/>
    <x v="0"/>
    <x v="6"/>
    <x v="10"/>
    <s v="NO4_A1"/>
    <x v="0"/>
    <x v="0"/>
    <x v="2"/>
    <x v="7"/>
    <n v="26.473170389883499"/>
    <n v="1610.4511987179101"/>
    <n v="5797.6243153844798"/>
  </r>
  <r>
    <x v="0"/>
    <x v="0"/>
    <x v="0"/>
    <x v="6"/>
    <x v="10"/>
    <s v="NO4_A1"/>
    <x v="0"/>
    <x v="0"/>
    <x v="2"/>
    <x v="8"/>
    <n v="27.389746106353901"/>
    <n v="1666.2095548032"/>
    <n v="5998.3543972915104"/>
  </r>
  <r>
    <x v="0"/>
    <x v="0"/>
    <x v="0"/>
    <x v="6"/>
    <x v="10"/>
    <s v="NO4_A1"/>
    <x v="0"/>
    <x v="0"/>
    <x v="2"/>
    <x v="9"/>
    <n v="27.4357926028121"/>
    <n v="1669.01071667107"/>
    <n v="6008.4385800158598"/>
  </r>
  <r>
    <x v="0"/>
    <x v="0"/>
    <x v="0"/>
    <x v="6"/>
    <x v="10"/>
    <s v="NO4_A1"/>
    <x v="0"/>
    <x v="0"/>
    <x v="2"/>
    <x v="10"/>
    <n v="27.191516857740499"/>
    <n v="1654.15060884588"/>
    <n v="5954.9421918451599"/>
  </r>
  <r>
    <x v="0"/>
    <x v="0"/>
    <x v="0"/>
    <x v="6"/>
    <x v="10"/>
    <s v="NO4_A1"/>
    <x v="0"/>
    <x v="0"/>
    <x v="2"/>
    <x v="11"/>
    <n v="27.1064556207591"/>
    <n v="1648.9760502628501"/>
    <n v="5936.3137809462496"/>
  </r>
  <r>
    <x v="0"/>
    <x v="0"/>
    <x v="0"/>
    <x v="6"/>
    <x v="10"/>
    <s v="NO4_A1"/>
    <x v="0"/>
    <x v="0"/>
    <x v="3"/>
    <x v="0"/>
    <n v="25.135497112503799"/>
    <n v="1529.0760743439801"/>
    <n v="5504.6738676383402"/>
  </r>
  <r>
    <x v="0"/>
    <x v="0"/>
    <x v="0"/>
    <x v="6"/>
    <x v="10"/>
    <s v="NO4_A1"/>
    <x v="0"/>
    <x v="0"/>
    <x v="3"/>
    <x v="1"/>
    <n v="25.044457870388101"/>
    <n v="1523.5378537819399"/>
    <n v="5484.7362736149898"/>
  </r>
  <r>
    <x v="0"/>
    <x v="0"/>
    <x v="0"/>
    <x v="6"/>
    <x v="10"/>
    <s v="NO4_A1"/>
    <x v="0"/>
    <x v="0"/>
    <x v="3"/>
    <x v="2"/>
    <n v="25.552773592577001"/>
    <n v="1554.4603935484299"/>
    <n v="5596.0574167743598"/>
  </r>
  <r>
    <x v="0"/>
    <x v="0"/>
    <x v="0"/>
    <x v="6"/>
    <x v="10"/>
    <s v="NO4_A1"/>
    <x v="0"/>
    <x v="0"/>
    <x v="3"/>
    <x v="3"/>
    <n v="26.4982492226695"/>
    <n v="1611.9768277124001"/>
    <n v="5803.1165797646299"/>
  </r>
  <r>
    <x v="0"/>
    <x v="0"/>
    <x v="0"/>
    <x v="6"/>
    <x v="10"/>
    <s v="NO4_A1"/>
    <x v="0"/>
    <x v="0"/>
    <x v="3"/>
    <x v="4"/>
    <n v="28.1943258037699"/>
    <n v="1715.15481972933"/>
    <n v="6174.5573510255999"/>
  </r>
  <r>
    <x v="0"/>
    <x v="0"/>
    <x v="0"/>
    <x v="6"/>
    <x v="10"/>
    <s v="NO4_A1"/>
    <x v="0"/>
    <x v="0"/>
    <x v="3"/>
    <x v="5"/>
    <n v="30.6472775068478"/>
    <n v="1864.3760483332401"/>
    <n v="6711.7537739996797"/>
  </r>
  <r>
    <x v="0"/>
    <x v="0"/>
    <x v="0"/>
    <x v="6"/>
    <x v="10"/>
    <s v="NO4_A1"/>
    <x v="0"/>
    <x v="0"/>
    <x v="3"/>
    <x v="6"/>
    <n v="35.8833822405023"/>
    <n v="2182.9057529638899"/>
    <n v="7858.4607106699996"/>
  </r>
  <r>
    <x v="0"/>
    <x v="0"/>
    <x v="0"/>
    <x v="6"/>
    <x v="10"/>
    <s v="NO4_A1"/>
    <x v="0"/>
    <x v="0"/>
    <x v="3"/>
    <x v="7"/>
    <n v="41.149506960719201"/>
    <n v="2503.2616734437502"/>
    <n v="9011.7420243975102"/>
  </r>
  <r>
    <x v="0"/>
    <x v="0"/>
    <x v="0"/>
    <x v="6"/>
    <x v="10"/>
    <s v="NO4_A1"/>
    <x v="0"/>
    <x v="0"/>
    <x v="3"/>
    <x v="8"/>
    <n v="42.865660258153397"/>
    <n v="2607.6609990376601"/>
    <n v="9387.5795965355792"/>
  </r>
  <r>
    <x v="0"/>
    <x v="0"/>
    <x v="0"/>
    <x v="6"/>
    <x v="10"/>
    <s v="NO4_A1"/>
    <x v="0"/>
    <x v="0"/>
    <x v="3"/>
    <x v="9"/>
    <n v="42.679040074401499"/>
    <n v="2596.30827119276"/>
    <n v="9346.7097762939302"/>
  </r>
  <r>
    <x v="0"/>
    <x v="0"/>
    <x v="0"/>
    <x v="6"/>
    <x v="10"/>
    <s v="NO4_A1"/>
    <x v="0"/>
    <x v="0"/>
    <x v="3"/>
    <x v="10"/>
    <n v="41.321748524647198"/>
    <n v="2513.7397019160398"/>
    <n v="9049.4629268977496"/>
  </r>
  <r>
    <x v="0"/>
    <x v="0"/>
    <x v="0"/>
    <x v="6"/>
    <x v="10"/>
    <s v="NO4_A1"/>
    <x v="0"/>
    <x v="0"/>
    <x v="3"/>
    <x v="11"/>
    <n v="40.1090028847036"/>
    <n v="2439.9643421527999"/>
    <n v="8783.8716317501003"/>
  </r>
  <r>
    <x v="0"/>
    <x v="0"/>
    <x v="0"/>
    <x v="6"/>
    <x v="10"/>
    <s v="NO4_A1"/>
    <x v="0"/>
    <x v="0"/>
    <x v="4"/>
    <x v="0"/>
    <n v="26.064344621153399"/>
    <n v="1585.5809644535"/>
    <n v="5708.0914720326"/>
  </r>
  <r>
    <x v="0"/>
    <x v="0"/>
    <x v="0"/>
    <x v="6"/>
    <x v="10"/>
    <s v="NO4_A1"/>
    <x v="0"/>
    <x v="0"/>
    <x v="4"/>
    <x v="1"/>
    <n v="26.063025316242602"/>
    <n v="1585.50070673809"/>
    <n v="5707.8025442571197"/>
  </r>
  <r>
    <x v="0"/>
    <x v="0"/>
    <x v="0"/>
    <x v="6"/>
    <x v="10"/>
    <s v="NO4_A1"/>
    <x v="0"/>
    <x v="0"/>
    <x v="4"/>
    <x v="2"/>
    <n v="26.563497340581002"/>
    <n v="1615.94608821868"/>
    <n v="5817.4059175872299"/>
  </r>
  <r>
    <x v="0"/>
    <x v="0"/>
    <x v="0"/>
    <x v="6"/>
    <x v="10"/>
    <s v="NO4_A1"/>
    <x v="0"/>
    <x v="0"/>
    <x v="4"/>
    <x v="3"/>
    <n v="26.982326854004501"/>
    <n v="1641.42488361861"/>
    <n v="5909.1295810269903"/>
  </r>
  <r>
    <x v="0"/>
    <x v="0"/>
    <x v="0"/>
    <x v="6"/>
    <x v="10"/>
    <s v="NO4_A1"/>
    <x v="0"/>
    <x v="0"/>
    <x v="4"/>
    <x v="4"/>
    <n v="28.2023374671735"/>
    <n v="1715.6421959197201"/>
    <n v="6176.3119053109904"/>
  </r>
  <r>
    <x v="0"/>
    <x v="0"/>
    <x v="0"/>
    <x v="6"/>
    <x v="10"/>
    <s v="NO4_A1"/>
    <x v="0"/>
    <x v="0"/>
    <x v="4"/>
    <x v="5"/>
    <n v="30.201264061374999"/>
    <n v="1837.24356373365"/>
    <n v="6614.07682944113"/>
  </r>
  <r>
    <x v="0"/>
    <x v="0"/>
    <x v="0"/>
    <x v="6"/>
    <x v="10"/>
    <s v="NO4_A1"/>
    <x v="0"/>
    <x v="0"/>
    <x v="4"/>
    <x v="6"/>
    <n v="35.014926265302599"/>
    <n v="2130.0746811392401"/>
    <n v="7668.2688521012797"/>
  </r>
  <r>
    <x v="0"/>
    <x v="0"/>
    <x v="0"/>
    <x v="6"/>
    <x v="10"/>
    <s v="NO4_A1"/>
    <x v="0"/>
    <x v="0"/>
    <x v="4"/>
    <x v="7"/>
    <n v="39.420565562480903"/>
    <n v="2398.0844050509199"/>
    <n v="8633.10385818332"/>
  </r>
  <r>
    <x v="0"/>
    <x v="0"/>
    <x v="0"/>
    <x v="6"/>
    <x v="10"/>
    <s v="NO4_A1"/>
    <x v="0"/>
    <x v="0"/>
    <x v="4"/>
    <x v="8"/>
    <n v="40.031426801244599"/>
    <n v="2435.24513040905"/>
    <n v="8766.8824694725809"/>
  </r>
  <r>
    <x v="0"/>
    <x v="0"/>
    <x v="0"/>
    <x v="6"/>
    <x v="10"/>
    <s v="NO4_A1"/>
    <x v="0"/>
    <x v="0"/>
    <x v="4"/>
    <x v="9"/>
    <n v="39.108843581626203"/>
    <n v="2379.12131788226"/>
    <n v="8564.8367443761399"/>
  </r>
  <r>
    <x v="0"/>
    <x v="0"/>
    <x v="0"/>
    <x v="6"/>
    <x v="10"/>
    <s v="NO4_A1"/>
    <x v="0"/>
    <x v="0"/>
    <x v="4"/>
    <x v="10"/>
    <n v="37.720179440539297"/>
    <n v="2294.6442492994702"/>
    <n v="8260.7192974780992"/>
  </r>
  <r>
    <x v="0"/>
    <x v="0"/>
    <x v="0"/>
    <x v="6"/>
    <x v="10"/>
    <s v="NO4_A1"/>
    <x v="0"/>
    <x v="0"/>
    <x v="4"/>
    <x v="11"/>
    <n v="36.664585248529001"/>
    <n v="2230.4289359521799"/>
    <n v="8029.5441694278397"/>
  </r>
  <r>
    <x v="0"/>
    <x v="0"/>
    <x v="0"/>
    <x v="6"/>
    <x v="10"/>
    <s v="NO4_A1"/>
    <x v="0"/>
    <x v="0"/>
    <x v="5"/>
    <x v="0"/>
    <n v="33.359243079694302"/>
    <n v="2029.3539540147301"/>
    <n v="7305.6742344530403"/>
  </r>
  <r>
    <x v="0"/>
    <x v="0"/>
    <x v="0"/>
    <x v="6"/>
    <x v="10"/>
    <s v="NO4_A1"/>
    <x v="0"/>
    <x v="0"/>
    <x v="5"/>
    <x v="1"/>
    <n v="33.136038439694801"/>
    <n v="2015.7756717481"/>
    <n v="7256.7924182931702"/>
  </r>
  <r>
    <x v="0"/>
    <x v="0"/>
    <x v="0"/>
    <x v="6"/>
    <x v="10"/>
    <s v="NO4_A1"/>
    <x v="0"/>
    <x v="0"/>
    <x v="5"/>
    <x v="2"/>
    <n v="33.654469449699597"/>
    <n v="2047.3135581900599"/>
    <n v="7370.3288094842201"/>
  </r>
  <r>
    <x v="0"/>
    <x v="0"/>
    <x v="0"/>
    <x v="6"/>
    <x v="10"/>
    <s v="NO4_A1"/>
    <x v="0"/>
    <x v="0"/>
    <x v="5"/>
    <x v="3"/>
    <n v="34.1383972311435"/>
    <n v="2076.7524982278901"/>
    <n v="7476.3089936204196"/>
  </r>
  <r>
    <x v="0"/>
    <x v="0"/>
    <x v="0"/>
    <x v="6"/>
    <x v="10"/>
    <s v="NO4_A1"/>
    <x v="0"/>
    <x v="0"/>
    <x v="5"/>
    <x v="4"/>
    <n v="35.284855061575897"/>
    <n v="2146.4953495792001"/>
    <n v="7727.3832584851298"/>
  </r>
  <r>
    <x v="0"/>
    <x v="0"/>
    <x v="0"/>
    <x v="6"/>
    <x v="10"/>
    <s v="NO4_A1"/>
    <x v="0"/>
    <x v="0"/>
    <x v="5"/>
    <x v="5"/>
    <n v="37.340248255764799"/>
    <n v="2271.5317688923601"/>
    <n v="8177.5143680125002"/>
  </r>
  <r>
    <x v="0"/>
    <x v="0"/>
    <x v="0"/>
    <x v="6"/>
    <x v="10"/>
    <s v="NO4_A1"/>
    <x v="0"/>
    <x v="0"/>
    <x v="5"/>
    <x v="6"/>
    <n v="43.550183863558402"/>
    <n v="2649.3028516998002"/>
    <n v="9537.49026611929"/>
  </r>
  <r>
    <x v="0"/>
    <x v="0"/>
    <x v="0"/>
    <x v="6"/>
    <x v="10"/>
    <s v="NO4_A1"/>
    <x v="0"/>
    <x v="0"/>
    <x v="5"/>
    <x v="7"/>
    <n v="49.704601371269398"/>
    <n v="3023.69658341889"/>
    <n v="10885.307700308"/>
  </r>
  <r>
    <x v="0"/>
    <x v="0"/>
    <x v="0"/>
    <x v="6"/>
    <x v="10"/>
    <s v="NO4_A1"/>
    <x v="0"/>
    <x v="0"/>
    <x v="5"/>
    <x v="8"/>
    <n v="51.690835172826198"/>
    <n v="3144.52580634693"/>
    <n v="11320.2929028489"/>
  </r>
  <r>
    <x v="0"/>
    <x v="0"/>
    <x v="0"/>
    <x v="6"/>
    <x v="10"/>
    <s v="NO4_A1"/>
    <x v="0"/>
    <x v="0"/>
    <x v="5"/>
    <x v="9"/>
    <n v="51.271874107312897"/>
    <n v="3119.0390081948699"/>
    <n v="11228.5404295015"/>
  </r>
  <r>
    <x v="0"/>
    <x v="0"/>
    <x v="0"/>
    <x v="6"/>
    <x v="10"/>
    <s v="NO4_A1"/>
    <x v="0"/>
    <x v="0"/>
    <x v="5"/>
    <x v="10"/>
    <n v="49.524451034580899"/>
    <n v="3012.7374379369999"/>
    <n v="10845.8547765732"/>
  </r>
  <r>
    <x v="0"/>
    <x v="0"/>
    <x v="0"/>
    <x v="6"/>
    <x v="10"/>
    <s v="NO4_A1"/>
    <x v="0"/>
    <x v="0"/>
    <x v="5"/>
    <x v="11"/>
    <n v="48.607382214940401"/>
    <n v="2956.9490847422098"/>
    <n v="10645.016705071999"/>
  </r>
  <r>
    <x v="0"/>
    <x v="0"/>
    <x v="0"/>
    <x v="6"/>
    <x v="10"/>
    <s v="NO4_A1"/>
    <x v="0"/>
    <x v="0"/>
    <x v="6"/>
    <x v="0"/>
    <n v="20.5098762542648"/>
    <n v="1247.6841388011101"/>
    <n v="4491.66289968399"/>
  </r>
  <r>
    <x v="0"/>
    <x v="0"/>
    <x v="0"/>
    <x v="6"/>
    <x v="10"/>
    <s v="NO4_A1"/>
    <x v="0"/>
    <x v="0"/>
    <x v="6"/>
    <x v="1"/>
    <n v="20.496983649030302"/>
    <n v="1246.8998386493399"/>
    <n v="4488.8394191376301"/>
  </r>
  <r>
    <x v="0"/>
    <x v="0"/>
    <x v="0"/>
    <x v="6"/>
    <x v="10"/>
    <s v="NO4_A1"/>
    <x v="0"/>
    <x v="0"/>
    <x v="6"/>
    <x v="2"/>
    <n v="20.768799992626001"/>
    <n v="1263.4353328847501"/>
    <n v="4548.36719838509"/>
  </r>
  <r>
    <x v="0"/>
    <x v="0"/>
    <x v="0"/>
    <x v="6"/>
    <x v="10"/>
    <s v="NO4_A1"/>
    <x v="0"/>
    <x v="0"/>
    <x v="6"/>
    <x v="3"/>
    <n v="21.243182322571201"/>
    <n v="1292.2935912897501"/>
    <n v="4652.2569286430899"/>
  </r>
  <r>
    <x v="0"/>
    <x v="0"/>
    <x v="0"/>
    <x v="6"/>
    <x v="10"/>
    <s v="NO4_A1"/>
    <x v="0"/>
    <x v="0"/>
    <x v="6"/>
    <x v="4"/>
    <n v="22.5057268289722"/>
    <n v="1369.0983820958099"/>
    <n v="4928.7541755449201"/>
  </r>
  <r>
    <x v="0"/>
    <x v="0"/>
    <x v="0"/>
    <x v="6"/>
    <x v="10"/>
    <s v="NO4_A1"/>
    <x v="0"/>
    <x v="0"/>
    <x v="6"/>
    <x v="5"/>
    <n v="24.502880531867302"/>
    <n v="1490.59189902193"/>
    <n v="5366.1308364789402"/>
  </r>
  <r>
    <x v="0"/>
    <x v="0"/>
    <x v="0"/>
    <x v="6"/>
    <x v="10"/>
    <s v="NO4_A1"/>
    <x v="0"/>
    <x v="0"/>
    <x v="6"/>
    <x v="6"/>
    <n v="28.450453020557202"/>
    <n v="1730.7358920838999"/>
    <n v="6230.6492115020201"/>
  </r>
  <r>
    <x v="0"/>
    <x v="0"/>
    <x v="0"/>
    <x v="6"/>
    <x v="10"/>
    <s v="NO4_A1"/>
    <x v="0"/>
    <x v="0"/>
    <x v="6"/>
    <x v="7"/>
    <n v="32.304496631548403"/>
    <n v="1965.1902117525301"/>
    <n v="7074.6847623090998"/>
  </r>
  <r>
    <x v="0"/>
    <x v="0"/>
    <x v="0"/>
    <x v="6"/>
    <x v="10"/>
    <s v="NO4_A1"/>
    <x v="0"/>
    <x v="0"/>
    <x v="6"/>
    <x v="8"/>
    <n v="33.200375685703399"/>
    <n v="2019.68952088029"/>
    <n v="7270.8822751690504"/>
  </r>
  <r>
    <x v="0"/>
    <x v="0"/>
    <x v="0"/>
    <x v="6"/>
    <x v="10"/>
    <s v="NO4_A1"/>
    <x v="0"/>
    <x v="0"/>
    <x v="6"/>
    <x v="9"/>
    <n v="32.626229361336001"/>
    <n v="1984.7622861479399"/>
    <n v="7145.1442301325797"/>
  </r>
  <r>
    <x v="0"/>
    <x v="0"/>
    <x v="0"/>
    <x v="6"/>
    <x v="10"/>
    <s v="NO4_A1"/>
    <x v="0"/>
    <x v="0"/>
    <x v="6"/>
    <x v="10"/>
    <n v="31.624586621809101"/>
    <n v="1923.82901949339"/>
    <n v="6925.7844701761896"/>
  </r>
  <r>
    <x v="0"/>
    <x v="0"/>
    <x v="0"/>
    <x v="6"/>
    <x v="10"/>
    <s v="NO4_A1"/>
    <x v="0"/>
    <x v="0"/>
    <x v="6"/>
    <x v="11"/>
    <n v="30.789658608427601"/>
    <n v="1873.0375653460101"/>
    <n v="6742.9352352456499"/>
  </r>
  <r>
    <x v="0"/>
    <x v="0"/>
    <x v="0"/>
    <x v="6"/>
    <x v="10"/>
    <s v="NO4_A1"/>
    <x v="0"/>
    <x v="0"/>
    <x v="7"/>
    <x v="0"/>
    <n v="21.9749689790677"/>
    <n v="1336.81061289328"/>
    <n v="4812.5182064158198"/>
  </r>
  <r>
    <x v="0"/>
    <x v="0"/>
    <x v="0"/>
    <x v="6"/>
    <x v="10"/>
    <s v="NO4_A1"/>
    <x v="0"/>
    <x v="0"/>
    <x v="7"/>
    <x v="1"/>
    <n v="22.026519217343498"/>
    <n v="1339.9465857217299"/>
    <n v="4823.8077085982404"/>
  </r>
  <r>
    <x v="0"/>
    <x v="0"/>
    <x v="0"/>
    <x v="6"/>
    <x v="10"/>
    <s v="NO4_A1"/>
    <x v="0"/>
    <x v="0"/>
    <x v="7"/>
    <x v="2"/>
    <n v="22.4096288654635"/>
    <n v="1363.25242264903"/>
    <n v="4907.70872153651"/>
  </r>
  <r>
    <x v="0"/>
    <x v="0"/>
    <x v="0"/>
    <x v="6"/>
    <x v="10"/>
    <s v="NO4_A1"/>
    <x v="0"/>
    <x v="0"/>
    <x v="7"/>
    <x v="3"/>
    <n v="22.949664391937301"/>
    <n v="1396.1045838428499"/>
    <n v="5025.9765018342696"/>
  </r>
  <r>
    <x v="0"/>
    <x v="0"/>
    <x v="0"/>
    <x v="6"/>
    <x v="10"/>
    <s v="NO4_A1"/>
    <x v="0"/>
    <x v="0"/>
    <x v="7"/>
    <x v="4"/>
    <n v="24.357503802572801"/>
    <n v="1481.7481479898399"/>
    <n v="5334.29333276344"/>
  </r>
  <r>
    <x v="0"/>
    <x v="0"/>
    <x v="0"/>
    <x v="6"/>
    <x v="10"/>
    <s v="NO4_A1"/>
    <x v="0"/>
    <x v="0"/>
    <x v="7"/>
    <x v="5"/>
    <n v="26.531167809013599"/>
    <n v="1613.97937504833"/>
    <n v="5810.3257501739799"/>
  </r>
  <r>
    <x v="0"/>
    <x v="0"/>
    <x v="0"/>
    <x v="6"/>
    <x v="10"/>
    <s v="NO4_A1"/>
    <x v="0"/>
    <x v="0"/>
    <x v="7"/>
    <x v="6"/>
    <n v="30.8453030262908"/>
    <n v="1876.42260076603"/>
    <n v="6755.1213627576999"/>
  </r>
  <r>
    <x v="0"/>
    <x v="0"/>
    <x v="0"/>
    <x v="6"/>
    <x v="10"/>
    <s v="NO4_A1"/>
    <x v="0"/>
    <x v="0"/>
    <x v="7"/>
    <x v="7"/>
    <n v="35.212810594990401"/>
    <n v="2142.1126445285799"/>
    <n v="7711.60552030291"/>
  </r>
  <r>
    <x v="0"/>
    <x v="0"/>
    <x v="0"/>
    <x v="6"/>
    <x v="10"/>
    <s v="NO4_A1"/>
    <x v="0"/>
    <x v="0"/>
    <x v="7"/>
    <x v="8"/>
    <n v="36.4305466251122"/>
    <n v="2216.1915863609902"/>
    <n v="7978.2897108995803"/>
  </r>
  <r>
    <x v="0"/>
    <x v="0"/>
    <x v="0"/>
    <x v="6"/>
    <x v="10"/>
    <s v="NO4_A1"/>
    <x v="0"/>
    <x v="0"/>
    <x v="7"/>
    <x v="9"/>
    <n v="35.9048690174684"/>
    <n v="2184.21286522933"/>
    <n v="7863.1663148255902"/>
  </r>
  <r>
    <x v="0"/>
    <x v="0"/>
    <x v="0"/>
    <x v="6"/>
    <x v="10"/>
    <s v="NO4_A1"/>
    <x v="0"/>
    <x v="0"/>
    <x v="7"/>
    <x v="10"/>
    <n v="34.774233022999098"/>
    <n v="2115.43250889911"/>
    <n v="7615.5570320368097"/>
  </r>
  <r>
    <x v="0"/>
    <x v="0"/>
    <x v="0"/>
    <x v="6"/>
    <x v="10"/>
    <s v="NO4_A1"/>
    <x v="0"/>
    <x v="0"/>
    <x v="7"/>
    <x v="11"/>
    <n v="33.719024853445298"/>
    <n v="2051.2406785845901"/>
    <n v="7384.4664429045197"/>
  </r>
  <r>
    <x v="0"/>
    <x v="0"/>
    <x v="0"/>
    <x v="6"/>
    <x v="10"/>
    <s v="NO4_A1"/>
    <x v="0"/>
    <x v="0"/>
    <x v="8"/>
    <x v="0"/>
    <n v="22.3559842762687"/>
    <n v="1359.98904347301"/>
    <n v="4895.9605565028396"/>
  </r>
  <r>
    <x v="0"/>
    <x v="0"/>
    <x v="0"/>
    <x v="6"/>
    <x v="10"/>
    <s v="NO4_A1"/>
    <x v="0"/>
    <x v="0"/>
    <x v="8"/>
    <x v="1"/>
    <n v="22.3152727822884"/>
    <n v="1357.5124275892099"/>
    <n v="4887.0447393211698"/>
  </r>
  <r>
    <x v="0"/>
    <x v="0"/>
    <x v="0"/>
    <x v="6"/>
    <x v="10"/>
    <s v="NO4_A1"/>
    <x v="0"/>
    <x v="0"/>
    <x v="8"/>
    <x v="2"/>
    <n v="22.9575214001148"/>
    <n v="1396.5825518403101"/>
    <n v="5027.6971866251297"/>
  </r>
  <r>
    <x v="0"/>
    <x v="0"/>
    <x v="0"/>
    <x v="6"/>
    <x v="10"/>
    <s v="NO4_A1"/>
    <x v="0"/>
    <x v="0"/>
    <x v="8"/>
    <x v="3"/>
    <n v="23.187540238471701"/>
    <n v="1410.5753645070299"/>
    <n v="5078.0713122253101"/>
  </r>
  <r>
    <x v="0"/>
    <x v="0"/>
    <x v="0"/>
    <x v="6"/>
    <x v="10"/>
    <s v="NO4_A1"/>
    <x v="0"/>
    <x v="0"/>
    <x v="8"/>
    <x v="4"/>
    <n v="24.456465478428001"/>
    <n v="1487.7683166043701"/>
    <n v="5355.9659397757396"/>
  </r>
  <r>
    <x v="0"/>
    <x v="0"/>
    <x v="0"/>
    <x v="6"/>
    <x v="10"/>
    <s v="NO4_A1"/>
    <x v="0"/>
    <x v="0"/>
    <x v="8"/>
    <x v="5"/>
    <n v="26.4626740048448"/>
    <n v="1609.81266862806"/>
    <n v="5795.3256070609996"/>
  </r>
  <r>
    <x v="0"/>
    <x v="0"/>
    <x v="0"/>
    <x v="6"/>
    <x v="10"/>
    <s v="NO4_A1"/>
    <x v="0"/>
    <x v="0"/>
    <x v="8"/>
    <x v="6"/>
    <n v="30.0827305390055"/>
    <n v="1830.03277445617"/>
    <n v="6588.1179880422096"/>
  </r>
  <r>
    <x v="0"/>
    <x v="0"/>
    <x v="0"/>
    <x v="6"/>
    <x v="10"/>
    <s v="NO4_A1"/>
    <x v="0"/>
    <x v="0"/>
    <x v="8"/>
    <x v="7"/>
    <n v="32.544891271519198"/>
    <n v="1979.8142190174201"/>
    <n v="7127.3311884627001"/>
  </r>
  <r>
    <x v="0"/>
    <x v="0"/>
    <x v="0"/>
    <x v="6"/>
    <x v="10"/>
    <s v="NO4_A1"/>
    <x v="0"/>
    <x v="0"/>
    <x v="8"/>
    <x v="8"/>
    <n v="32.027934473104899"/>
    <n v="1948.36601378055"/>
    <n v="7014.1176496099797"/>
  </r>
  <r>
    <x v="0"/>
    <x v="0"/>
    <x v="0"/>
    <x v="6"/>
    <x v="10"/>
    <s v="NO4_A1"/>
    <x v="0"/>
    <x v="0"/>
    <x v="8"/>
    <x v="9"/>
    <n v="30.055522346371198"/>
    <n v="1828.3776094042501"/>
    <n v="6582.1593938552996"/>
  </r>
  <r>
    <x v="0"/>
    <x v="0"/>
    <x v="0"/>
    <x v="6"/>
    <x v="10"/>
    <s v="NO4_A1"/>
    <x v="0"/>
    <x v="0"/>
    <x v="8"/>
    <x v="10"/>
    <n v="28.182274096875801"/>
    <n v="1714.4216742266101"/>
    <n v="6171.9180272158001"/>
  </r>
  <r>
    <x v="0"/>
    <x v="0"/>
    <x v="0"/>
    <x v="6"/>
    <x v="10"/>
    <s v="NO4_A1"/>
    <x v="0"/>
    <x v="0"/>
    <x v="8"/>
    <x v="11"/>
    <n v="26.8961225601936"/>
    <n v="1636.1807890784501"/>
    <n v="5890.2508406823999"/>
  </r>
  <r>
    <x v="0"/>
    <x v="0"/>
    <x v="0"/>
    <x v="6"/>
    <x v="10"/>
    <s v="NO4_A1"/>
    <x v="0"/>
    <x v="0"/>
    <x v="9"/>
    <x v="0"/>
    <n v="18.631108833076699"/>
    <n v="1133.39245401216"/>
    <n v="4080.2128344437901"/>
  </r>
  <r>
    <x v="0"/>
    <x v="0"/>
    <x v="0"/>
    <x v="6"/>
    <x v="10"/>
    <s v="NO4_A1"/>
    <x v="0"/>
    <x v="0"/>
    <x v="9"/>
    <x v="1"/>
    <n v="18.9828844681414"/>
    <n v="1154.7921384786"/>
    <n v="4157.2516985229604"/>
  </r>
  <r>
    <x v="0"/>
    <x v="0"/>
    <x v="0"/>
    <x v="6"/>
    <x v="10"/>
    <s v="NO4_A1"/>
    <x v="0"/>
    <x v="0"/>
    <x v="9"/>
    <x v="2"/>
    <n v="19.6715887258684"/>
    <n v="1196.6883141569899"/>
    <n v="4308.0779309651798"/>
  </r>
  <r>
    <x v="0"/>
    <x v="0"/>
    <x v="0"/>
    <x v="6"/>
    <x v="10"/>
    <s v="NO4_A1"/>
    <x v="0"/>
    <x v="0"/>
    <x v="9"/>
    <x v="3"/>
    <n v="20.387754388237799"/>
    <n v="1240.2550586177999"/>
    <n v="4464.9182110240699"/>
  </r>
  <r>
    <x v="0"/>
    <x v="0"/>
    <x v="0"/>
    <x v="6"/>
    <x v="10"/>
    <s v="NO4_A1"/>
    <x v="0"/>
    <x v="0"/>
    <x v="9"/>
    <x v="4"/>
    <n v="22.049640806091102"/>
    <n v="1341.35314903721"/>
    <n v="4828.8713365339599"/>
  </r>
  <r>
    <x v="0"/>
    <x v="0"/>
    <x v="0"/>
    <x v="6"/>
    <x v="10"/>
    <s v="NO4_A1"/>
    <x v="0"/>
    <x v="0"/>
    <x v="9"/>
    <x v="5"/>
    <n v="23.997082642762301"/>
    <n v="1459.8225274347101"/>
    <n v="5255.3610987649499"/>
  </r>
  <r>
    <x v="0"/>
    <x v="0"/>
    <x v="0"/>
    <x v="6"/>
    <x v="10"/>
    <s v="NO4_A1"/>
    <x v="0"/>
    <x v="0"/>
    <x v="9"/>
    <x v="6"/>
    <n v="28.359103245048001"/>
    <n v="1725.1787807404201"/>
    <n v="6210.6436106655201"/>
  </r>
  <r>
    <x v="0"/>
    <x v="0"/>
    <x v="0"/>
    <x v="6"/>
    <x v="10"/>
    <s v="NO4_A1"/>
    <x v="0"/>
    <x v="0"/>
    <x v="9"/>
    <x v="7"/>
    <n v="31.779740011972699"/>
    <n v="1933.2675173949999"/>
    <n v="6959.7630626220098"/>
  </r>
  <r>
    <x v="0"/>
    <x v="0"/>
    <x v="0"/>
    <x v="6"/>
    <x v="10"/>
    <s v="NO4_A1"/>
    <x v="0"/>
    <x v="0"/>
    <x v="9"/>
    <x v="8"/>
    <n v="32.469133722219503"/>
    <n v="1975.2056347683499"/>
    <n v="7110.74028516607"/>
  </r>
  <r>
    <x v="0"/>
    <x v="0"/>
    <x v="0"/>
    <x v="6"/>
    <x v="10"/>
    <s v="NO4_A1"/>
    <x v="0"/>
    <x v="0"/>
    <x v="9"/>
    <x v="9"/>
    <n v="31.1350995164441"/>
    <n v="1894.0518872503501"/>
    <n v="6818.5867941012502"/>
  </r>
  <r>
    <x v="0"/>
    <x v="0"/>
    <x v="0"/>
    <x v="6"/>
    <x v="10"/>
    <s v="NO4_A1"/>
    <x v="0"/>
    <x v="0"/>
    <x v="9"/>
    <x v="10"/>
    <n v="29.604476487685002"/>
    <n v="1800.9389863341701"/>
    <n v="6483.3803508030096"/>
  </r>
  <r>
    <x v="0"/>
    <x v="0"/>
    <x v="0"/>
    <x v="6"/>
    <x v="10"/>
    <s v="NO4_A1"/>
    <x v="0"/>
    <x v="0"/>
    <x v="9"/>
    <x v="11"/>
    <n v="28.601331018892001"/>
    <n v="1739.9143036492601"/>
    <n v="6263.6914931373503"/>
  </r>
  <r>
    <x v="0"/>
    <x v="0"/>
    <x v="0"/>
    <x v="6"/>
    <x v="10"/>
    <s v="NO4_A1"/>
    <x v="0"/>
    <x v="0"/>
    <x v="10"/>
    <x v="0"/>
    <n v="14.394094415283501"/>
    <n v="875.64074359641199"/>
    <n v="3152.3066769470802"/>
  </r>
  <r>
    <x v="0"/>
    <x v="0"/>
    <x v="0"/>
    <x v="6"/>
    <x v="10"/>
    <s v="NO4_A1"/>
    <x v="0"/>
    <x v="0"/>
    <x v="10"/>
    <x v="1"/>
    <n v="14.644698983762201"/>
    <n v="890.88585484553505"/>
    <n v="3207.1890774439198"/>
  </r>
  <r>
    <x v="0"/>
    <x v="0"/>
    <x v="0"/>
    <x v="6"/>
    <x v="10"/>
    <s v="NO4_A1"/>
    <x v="0"/>
    <x v="0"/>
    <x v="10"/>
    <x v="2"/>
    <n v="15.0118291508201"/>
    <n v="913.219606674891"/>
    <n v="3287.59058402961"/>
  </r>
  <r>
    <x v="0"/>
    <x v="0"/>
    <x v="0"/>
    <x v="6"/>
    <x v="10"/>
    <s v="NO4_A1"/>
    <x v="0"/>
    <x v="0"/>
    <x v="10"/>
    <x v="3"/>
    <n v="15.494363437285299"/>
    <n v="942.57377576818703"/>
    <n v="3393.26559276547"/>
  </r>
  <r>
    <x v="0"/>
    <x v="0"/>
    <x v="0"/>
    <x v="6"/>
    <x v="10"/>
    <s v="NO4_A1"/>
    <x v="0"/>
    <x v="0"/>
    <x v="10"/>
    <x v="4"/>
    <n v="16.707648179123101"/>
    <n v="1016.38193089666"/>
    <n v="3658.97495122797"/>
  </r>
  <r>
    <x v="0"/>
    <x v="0"/>
    <x v="0"/>
    <x v="6"/>
    <x v="10"/>
    <s v="NO4_A1"/>
    <x v="0"/>
    <x v="0"/>
    <x v="10"/>
    <x v="5"/>
    <n v="18.518734973965501"/>
    <n v="1126.5563775829"/>
    <n v="4055.6029592984401"/>
  </r>
  <r>
    <x v="0"/>
    <x v="0"/>
    <x v="0"/>
    <x v="6"/>
    <x v="10"/>
    <s v="NO4_A1"/>
    <x v="0"/>
    <x v="0"/>
    <x v="10"/>
    <x v="6"/>
    <n v="21.9653741720164"/>
    <n v="1336.2269287976701"/>
    <n v="4810.4169436716002"/>
  </r>
  <r>
    <x v="0"/>
    <x v="0"/>
    <x v="0"/>
    <x v="6"/>
    <x v="10"/>
    <s v="NO4_A1"/>
    <x v="0"/>
    <x v="0"/>
    <x v="10"/>
    <x v="7"/>
    <n v="24.4523278497695"/>
    <n v="1487.5166108609801"/>
    <n v="5355.0597990995202"/>
  </r>
  <r>
    <x v="0"/>
    <x v="0"/>
    <x v="0"/>
    <x v="6"/>
    <x v="10"/>
    <s v="NO4_A1"/>
    <x v="0"/>
    <x v="0"/>
    <x v="10"/>
    <x v="8"/>
    <n v="25.095651001041901"/>
    <n v="1526.6521025633799"/>
    <n v="5495.9475692281803"/>
  </r>
  <r>
    <x v="0"/>
    <x v="0"/>
    <x v="0"/>
    <x v="6"/>
    <x v="10"/>
    <s v="NO4_A1"/>
    <x v="0"/>
    <x v="0"/>
    <x v="10"/>
    <x v="9"/>
    <n v="24.163527343213801"/>
    <n v="1469.94791337884"/>
    <n v="5291.8124881638296"/>
  </r>
  <r>
    <x v="0"/>
    <x v="0"/>
    <x v="0"/>
    <x v="6"/>
    <x v="10"/>
    <s v="NO4_A1"/>
    <x v="0"/>
    <x v="0"/>
    <x v="10"/>
    <x v="10"/>
    <n v="22.986293312464401"/>
    <n v="1398.3328431749201"/>
    <n v="5033.9982354297099"/>
  </r>
  <r>
    <x v="0"/>
    <x v="0"/>
    <x v="0"/>
    <x v="6"/>
    <x v="10"/>
    <s v="NO4_A1"/>
    <x v="0"/>
    <x v="0"/>
    <x v="10"/>
    <x v="11"/>
    <n v="22.405466433476999"/>
    <n v="1362.99920803652"/>
    <n v="4906.7971489314596"/>
  </r>
  <r>
    <x v="0"/>
    <x v="0"/>
    <x v="0"/>
    <x v="6"/>
    <x v="10"/>
    <s v="NO4_A1"/>
    <x v="0"/>
    <x v="0"/>
    <x v="11"/>
    <x v="0"/>
    <n v="16.419360665635899"/>
    <n v="998.844440492849"/>
    <n v="3595.8399857742602"/>
  </r>
  <r>
    <x v="0"/>
    <x v="0"/>
    <x v="0"/>
    <x v="6"/>
    <x v="10"/>
    <s v="NO4_A1"/>
    <x v="0"/>
    <x v="0"/>
    <x v="11"/>
    <x v="1"/>
    <n v="16.823488224139499"/>
    <n v="1023.42886696849"/>
    <n v="3684.3439210865599"/>
  </r>
  <r>
    <x v="0"/>
    <x v="0"/>
    <x v="0"/>
    <x v="6"/>
    <x v="10"/>
    <s v="NO4_A1"/>
    <x v="0"/>
    <x v="0"/>
    <x v="11"/>
    <x v="2"/>
    <n v="17.363435614861199"/>
    <n v="1056.27566657072"/>
    <n v="3802.5923996545998"/>
  </r>
  <r>
    <x v="0"/>
    <x v="0"/>
    <x v="0"/>
    <x v="6"/>
    <x v="10"/>
    <s v="NO4_A1"/>
    <x v="0"/>
    <x v="0"/>
    <x v="11"/>
    <x v="3"/>
    <n v="17.945465780098299"/>
    <n v="1091.6825016226401"/>
    <n v="3930.0570058415201"/>
  </r>
  <r>
    <x v="0"/>
    <x v="0"/>
    <x v="0"/>
    <x v="6"/>
    <x v="10"/>
    <s v="NO4_A1"/>
    <x v="0"/>
    <x v="0"/>
    <x v="11"/>
    <x v="4"/>
    <n v="19.345540099452698"/>
    <n v="1176.85368938337"/>
    <n v="4236.6732817801403"/>
  </r>
  <r>
    <x v="0"/>
    <x v="0"/>
    <x v="0"/>
    <x v="6"/>
    <x v="10"/>
    <s v="NO4_A1"/>
    <x v="0"/>
    <x v="0"/>
    <x v="11"/>
    <x v="5"/>
    <n v="21.270088975068902"/>
    <n v="1293.9304126500199"/>
    <n v="4658.1494855400797"/>
  </r>
  <r>
    <x v="0"/>
    <x v="0"/>
    <x v="0"/>
    <x v="6"/>
    <x v="10"/>
    <s v="NO4_A1"/>
    <x v="0"/>
    <x v="0"/>
    <x v="11"/>
    <x v="6"/>
    <n v="25.397802031019001"/>
    <n v="1545.03295688699"/>
    <n v="5562.1186447931595"/>
  </r>
  <r>
    <x v="0"/>
    <x v="0"/>
    <x v="0"/>
    <x v="6"/>
    <x v="10"/>
    <s v="NO4_A1"/>
    <x v="0"/>
    <x v="0"/>
    <x v="11"/>
    <x v="7"/>
    <n v="28.461168391244801"/>
    <n v="1731.38774380072"/>
    <n v="6232.9958776825997"/>
  </r>
  <r>
    <x v="0"/>
    <x v="0"/>
    <x v="0"/>
    <x v="6"/>
    <x v="10"/>
    <s v="NO4_A1"/>
    <x v="0"/>
    <x v="0"/>
    <x v="11"/>
    <x v="8"/>
    <n v="29.247283438828699"/>
    <n v="1779.20974252874"/>
    <n v="6405.1550731034804"/>
  </r>
  <r>
    <x v="0"/>
    <x v="0"/>
    <x v="0"/>
    <x v="6"/>
    <x v="10"/>
    <s v="NO4_A1"/>
    <x v="0"/>
    <x v="0"/>
    <x v="11"/>
    <x v="9"/>
    <n v="27.957397697134901"/>
    <n v="1700.74169324237"/>
    <n v="6122.6700956725399"/>
  </r>
  <r>
    <x v="0"/>
    <x v="0"/>
    <x v="0"/>
    <x v="6"/>
    <x v="10"/>
    <s v="NO4_A1"/>
    <x v="0"/>
    <x v="0"/>
    <x v="11"/>
    <x v="10"/>
    <n v="26.3051992887995"/>
    <n v="1600.2329567352999"/>
    <n v="5760.8386442470901"/>
  </r>
  <r>
    <x v="0"/>
    <x v="0"/>
    <x v="0"/>
    <x v="6"/>
    <x v="10"/>
    <s v="NO4_A1"/>
    <x v="0"/>
    <x v="0"/>
    <x v="11"/>
    <x v="11"/>
    <n v="25.167342759095401"/>
    <n v="1531.0133511782999"/>
    <n v="5511.6480642418801"/>
  </r>
  <r>
    <x v="0"/>
    <x v="0"/>
    <x v="0"/>
    <x v="6"/>
    <x v="11"/>
    <s v="NO5_A1"/>
    <x v="0"/>
    <x v="0"/>
    <x v="0"/>
    <x v="0"/>
    <n v="22.4263785612556"/>
    <n v="1364.2713624763801"/>
    <n v="4911.3769049149696"/>
  </r>
  <r>
    <x v="0"/>
    <x v="0"/>
    <x v="0"/>
    <x v="6"/>
    <x v="11"/>
    <s v="NO5_A1"/>
    <x v="0"/>
    <x v="0"/>
    <x v="0"/>
    <x v="1"/>
    <n v="22.549031466864299"/>
    <n v="1371.73274756758"/>
    <n v="4938.2378912432896"/>
  </r>
  <r>
    <x v="0"/>
    <x v="0"/>
    <x v="0"/>
    <x v="6"/>
    <x v="11"/>
    <s v="NO5_A1"/>
    <x v="0"/>
    <x v="0"/>
    <x v="0"/>
    <x v="2"/>
    <n v="22.766480119392"/>
    <n v="1384.96087392968"/>
    <n v="4985.8591461468404"/>
  </r>
  <r>
    <x v="0"/>
    <x v="0"/>
    <x v="0"/>
    <x v="6"/>
    <x v="11"/>
    <s v="NO5_A1"/>
    <x v="0"/>
    <x v="0"/>
    <x v="0"/>
    <x v="3"/>
    <n v="23.262723415838899"/>
    <n v="1415.1490077968699"/>
    <n v="5094.5364280687299"/>
  </r>
  <r>
    <x v="0"/>
    <x v="0"/>
    <x v="0"/>
    <x v="6"/>
    <x v="11"/>
    <s v="NO5_A1"/>
    <x v="0"/>
    <x v="0"/>
    <x v="0"/>
    <x v="4"/>
    <n v="25.011259492846801"/>
    <n v="1521.5182858148501"/>
    <n v="5477.4658289334502"/>
  </r>
  <r>
    <x v="0"/>
    <x v="0"/>
    <x v="0"/>
    <x v="6"/>
    <x v="11"/>
    <s v="NO5_A1"/>
    <x v="0"/>
    <x v="0"/>
    <x v="0"/>
    <x v="5"/>
    <n v="28.792048987520801"/>
    <n v="1751.5163134075101"/>
    <n v="6305.45872826705"/>
  </r>
  <r>
    <x v="0"/>
    <x v="0"/>
    <x v="0"/>
    <x v="6"/>
    <x v="11"/>
    <s v="NO5_A1"/>
    <x v="0"/>
    <x v="0"/>
    <x v="0"/>
    <x v="6"/>
    <n v="32.971229632760398"/>
    <n v="2005.7498026595899"/>
    <n v="7220.6992895745298"/>
  </r>
  <r>
    <x v="0"/>
    <x v="0"/>
    <x v="0"/>
    <x v="6"/>
    <x v="11"/>
    <s v="NO5_A1"/>
    <x v="0"/>
    <x v="0"/>
    <x v="0"/>
    <x v="7"/>
    <n v="37.178192479094903"/>
    <n v="2261.6733758116102"/>
    <n v="8142.0241529217901"/>
  </r>
  <r>
    <x v="0"/>
    <x v="0"/>
    <x v="0"/>
    <x v="6"/>
    <x v="11"/>
    <s v="NO5_A1"/>
    <x v="0"/>
    <x v="0"/>
    <x v="0"/>
    <x v="8"/>
    <n v="38.338421718562699"/>
    <n v="2332.25398787923"/>
    <n v="8396.1143563652204"/>
  </r>
  <r>
    <x v="0"/>
    <x v="0"/>
    <x v="0"/>
    <x v="6"/>
    <x v="11"/>
    <s v="NO5_A1"/>
    <x v="0"/>
    <x v="0"/>
    <x v="0"/>
    <x v="9"/>
    <n v="38.178172243475899"/>
    <n v="2322.5054781447802"/>
    <n v="8361.0197213212195"/>
  </r>
  <r>
    <x v="0"/>
    <x v="0"/>
    <x v="0"/>
    <x v="6"/>
    <x v="11"/>
    <s v="NO5_A1"/>
    <x v="0"/>
    <x v="0"/>
    <x v="0"/>
    <x v="10"/>
    <n v="38.082501334237399"/>
    <n v="2316.6854978327801"/>
    <n v="8340.0677921980005"/>
  </r>
  <r>
    <x v="0"/>
    <x v="0"/>
    <x v="0"/>
    <x v="6"/>
    <x v="11"/>
    <s v="NO5_A1"/>
    <x v="0"/>
    <x v="0"/>
    <x v="0"/>
    <x v="11"/>
    <n v="38.583829391744501"/>
    <n v="2347.1829546644599"/>
    <n v="8449.8586367920507"/>
  </r>
  <r>
    <x v="0"/>
    <x v="0"/>
    <x v="0"/>
    <x v="6"/>
    <x v="11"/>
    <s v="NO5_A1"/>
    <x v="0"/>
    <x v="0"/>
    <x v="1"/>
    <x v="0"/>
    <n v="29.0954597556482"/>
    <n v="1769.97380180193"/>
    <n v="6371.9056864869699"/>
  </r>
  <r>
    <x v="0"/>
    <x v="0"/>
    <x v="0"/>
    <x v="6"/>
    <x v="11"/>
    <s v="NO5_A1"/>
    <x v="0"/>
    <x v="0"/>
    <x v="1"/>
    <x v="1"/>
    <n v="29.012288116432799"/>
    <n v="1764.9141937496599"/>
    <n v="6353.6910974987904"/>
  </r>
  <r>
    <x v="0"/>
    <x v="0"/>
    <x v="0"/>
    <x v="6"/>
    <x v="11"/>
    <s v="NO5_A1"/>
    <x v="0"/>
    <x v="0"/>
    <x v="1"/>
    <x v="2"/>
    <n v="29.230231084711399"/>
    <n v="1778.17239098661"/>
    <n v="6401.4206075517995"/>
  </r>
  <r>
    <x v="0"/>
    <x v="0"/>
    <x v="0"/>
    <x v="6"/>
    <x v="11"/>
    <s v="NO5_A1"/>
    <x v="0"/>
    <x v="0"/>
    <x v="1"/>
    <x v="3"/>
    <n v="29.615156155563099"/>
    <n v="1801.5886661300899"/>
    <n v="6485.7191980683101"/>
  </r>
  <r>
    <x v="0"/>
    <x v="0"/>
    <x v="0"/>
    <x v="6"/>
    <x v="11"/>
    <s v="NO5_A1"/>
    <x v="0"/>
    <x v="0"/>
    <x v="1"/>
    <x v="4"/>
    <n v="31.4493147740932"/>
    <n v="1913.16664875733"/>
    <n v="6887.3999355264104"/>
  </r>
  <r>
    <x v="0"/>
    <x v="0"/>
    <x v="0"/>
    <x v="6"/>
    <x v="11"/>
    <s v="NO5_A1"/>
    <x v="0"/>
    <x v="0"/>
    <x v="1"/>
    <x v="5"/>
    <n v="35.193831363468099"/>
    <n v="2140.95807461097"/>
    <n v="7707.4490685995097"/>
  </r>
  <r>
    <x v="0"/>
    <x v="0"/>
    <x v="0"/>
    <x v="6"/>
    <x v="11"/>
    <s v="NO5_A1"/>
    <x v="0"/>
    <x v="0"/>
    <x v="1"/>
    <x v="6"/>
    <n v="40.156219983421103"/>
    <n v="2442.8367156581098"/>
    <n v="8794.2121763692103"/>
  </r>
  <r>
    <x v="0"/>
    <x v="0"/>
    <x v="0"/>
    <x v="6"/>
    <x v="11"/>
    <s v="NO5_A1"/>
    <x v="0"/>
    <x v="0"/>
    <x v="1"/>
    <x v="7"/>
    <n v="44.947016274055599"/>
    <n v="2734.2768233383799"/>
    <n v="9843.3965640181705"/>
  </r>
  <r>
    <x v="0"/>
    <x v="0"/>
    <x v="0"/>
    <x v="6"/>
    <x v="11"/>
    <s v="NO5_A1"/>
    <x v="0"/>
    <x v="0"/>
    <x v="1"/>
    <x v="8"/>
    <n v="45.158239540584802"/>
    <n v="2747.1262387189099"/>
    <n v="9889.6544593880808"/>
  </r>
  <r>
    <x v="0"/>
    <x v="0"/>
    <x v="0"/>
    <x v="6"/>
    <x v="11"/>
    <s v="NO5_A1"/>
    <x v="0"/>
    <x v="0"/>
    <x v="1"/>
    <x v="9"/>
    <n v="43.849515164885403"/>
    <n v="2667.5121725305298"/>
    <n v="9603.0438211099008"/>
  </r>
  <r>
    <x v="0"/>
    <x v="0"/>
    <x v="0"/>
    <x v="6"/>
    <x v="11"/>
    <s v="NO5_A1"/>
    <x v="0"/>
    <x v="0"/>
    <x v="1"/>
    <x v="10"/>
    <n v="42.3444402026388"/>
    <n v="2575.9534456605302"/>
    <n v="9273.4324043778997"/>
  </r>
  <r>
    <x v="0"/>
    <x v="0"/>
    <x v="0"/>
    <x v="6"/>
    <x v="11"/>
    <s v="NO5_A1"/>
    <x v="0"/>
    <x v="0"/>
    <x v="1"/>
    <x v="11"/>
    <n v="40.492510207840098"/>
    <n v="2463.2943709769402"/>
    <n v="8867.8597355169895"/>
  </r>
  <r>
    <x v="0"/>
    <x v="0"/>
    <x v="0"/>
    <x v="6"/>
    <x v="11"/>
    <s v="NO5_A1"/>
    <x v="0"/>
    <x v="0"/>
    <x v="2"/>
    <x v="0"/>
    <n v="25.698485707129301"/>
    <n v="1563.3245471836999"/>
    <n v="5627.9683698613098"/>
  </r>
  <r>
    <x v="0"/>
    <x v="0"/>
    <x v="0"/>
    <x v="6"/>
    <x v="11"/>
    <s v="NO5_A1"/>
    <x v="0"/>
    <x v="0"/>
    <x v="2"/>
    <x v="1"/>
    <n v="25.7477545669636"/>
    <n v="1566.32173615695"/>
    <n v="5638.7582501650304"/>
  </r>
  <r>
    <x v="0"/>
    <x v="0"/>
    <x v="0"/>
    <x v="6"/>
    <x v="11"/>
    <s v="NO5_A1"/>
    <x v="0"/>
    <x v="0"/>
    <x v="2"/>
    <x v="2"/>
    <n v="25.942752571147501"/>
    <n v="1578.1841147448099"/>
    <n v="5681.4628130812998"/>
  </r>
  <r>
    <x v="0"/>
    <x v="0"/>
    <x v="0"/>
    <x v="6"/>
    <x v="11"/>
    <s v="NO5_A1"/>
    <x v="0"/>
    <x v="0"/>
    <x v="2"/>
    <x v="3"/>
    <n v="26.371224402736399"/>
    <n v="1604.2494844998"/>
    <n v="5775.2981441992597"/>
  </r>
  <r>
    <x v="0"/>
    <x v="0"/>
    <x v="0"/>
    <x v="6"/>
    <x v="11"/>
    <s v="NO5_A1"/>
    <x v="0"/>
    <x v="0"/>
    <x v="2"/>
    <x v="4"/>
    <n v="28.1342014150136"/>
    <n v="1711.49725274666"/>
    <n v="6161.3901098879796"/>
  </r>
  <r>
    <x v="0"/>
    <x v="0"/>
    <x v="0"/>
    <x v="6"/>
    <x v="11"/>
    <s v="NO5_A1"/>
    <x v="0"/>
    <x v="0"/>
    <x v="2"/>
    <x v="5"/>
    <n v="31.8569997196957"/>
    <n v="1937.9674829481501"/>
    <n v="6976.6829386133604"/>
  </r>
  <r>
    <x v="0"/>
    <x v="0"/>
    <x v="0"/>
    <x v="6"/>
    <x v="11"/>
    <s v="NO5_A1"/>
    <x v="0"/>
    <x v="0"/>
    <x v="2"/>
    <x v="6"/>
    <n v="36.201701410207399"/>
    <n v="2202.27016912095"/>
    <n v="7928.1726088354299"/>
  </r>
  <r>
    <x v="0"/>
    <x v="0"/>
    <x v="0"/>
    <x v="6"/>
    <x v="11"/>
    <s v="NO5_A1"/>
    <x v="0"/>
    <x v="0"/>
    <x v="2"/>
    <x v="7"/>
    <n v="40.575237146733599"/>
    <n v="2468.3269264262899"/>
    <n v="8885.9769351346495"/>
  </r>
  <r>
    <x v="0"/>
    <x v="0"/>
    <x v="0"/>
    <x v="6"/>
    <x v="11"/>
    <s v="NO5_A1"/>
    <x v="0"/>
    <x v="0"/>
    <x v="2"/>
    <x v="8"/>
    <n v="40.863396954548499"/>
    <n v="2485.8566480683699"/>
    <n v="8949.0839330461295"/>
  </r>
  <r>
    <x v="0"/>
    <x v="0"/>
    <x v="0"/>
    <x v="6"/>
    <x v="11"/>
    <s v="NO5_A1"/>
    <x v="0"/>
    <x v="0"/>
    <x v="2"/>
    <x v="9"/>
    <n v="40.001996838532897"/>
    <n v="2433.4548076774199"/>
    <n v="8760.4373076387001"/>
  </r>
  <r>
    <x v="0"/>
    <x v="0"/>
    <x v="0"/>
    <x v="6"/>
    <x v="11"/>
    <s v="NO5_A1"/>
    <x v="0"/>
    <x v="0"/>
    <x v="2"/>
    <x v="10"/>
    <n v="39.0806357912208"/>
    <n v="2377.4053439659301"/>
    <n v="8558.6592382773506"/>
  </r>
  <r>
    <x v="0"/>
    <x v="0"/>
    <x v="0"/>
    <x v="6"/>
    <x v="11"/>
    <s v="NO5_A1"/>
    <x v="0"/>
    <x v="0"/>
    <x v="2"/>
    <x v="11"/>
    <n v="38.072479081103502"/>
    <n v="2316.07581076713"/>
    <n v="8337.8729187616591"/>
  </r>
  <r>
    <x v="0"/>
    <x v="0"/>
    <x v="0"/>
    <x v="6"/>
    <x v="11"/>
    <s v="NO5_A1"/>
    <x v="0"/>
    <x v="0"/>
    <x v="3"/>
    <x v="0"/>
    <n v="31.262484296658801"/>
    <n v="1901.8011280467399"/>
    <n v="6846.4840609682697"/>
  </r>
  <r>
    <x v="0"/>
    <x v="0"/>
    <x v="0"/>
    <x v="6"/>
    <x v="11"/>
    <s v="NO5_A1"/>
    <x v="0"/>
    <x v="0"/>
    <x v="3"/>
    <x v="1"/>
    <n v="31.266730035623201"/>
    <n v="1902.05941050041"/>
    <n v="6847.4138778014903"/>
  </r>
  <r>
    <x v="0"/>
    <x v="0"/>
    <x v="0"/>
    <x v="6"/>
    <x v="11"/>
    <s v="NO5_A1"/>
    <x v="0"/>
    <x v="0"/>
    <x v="3"/>
    <x v="2"/>
    <n v="31.6813421827738"/>
    <n v="1927.28164945207"/>
    <n v="6938.2139380274602"/>
  </r>
  <r>
    <x v="0"/>
    <x v="0"/>
    <x v="0"/>
    <x v="6"/>
    <x v="11"/>
    <s v="NO5_A1"/>
    <x v="0"/>
    <x v="0"/>
    <x v="3"/>
    <x v="3"/>
    <n v="32.227880231830603"/>
    <n v="1960.5293807696901"/>
    <n v="7057.9057707708998"/>
  </r>
  <r>
    <x v="0"/>
    <x v="0"/>
    <x v="0"/>
    <x v="6"/>
    <x v="11"/>
    <s v="NO5_A1"/>
    <x v="0"/>
    <x v="0"/>
    <x v="3"/>
    <x v="4"/>
    <n v="33.973572230489403"/>
    <n v="2066.7256440214401"/>
    <n v="7440.2123184771799"/>
  </r>
  <r>
    <x v="0"/>
    <x v="0"/>
    <x v="0"/>
    <x v="6"/>
    <x v="11"/>
    <s v="NO5_A1"/>
    <x v="0"/>
    <x v="0"/>
    <x v="3"/>
    <x v="5"/>
    <n v="37.628230089896903"/>
    <n v="2289.0506638020602"/>
    <n v="8240.5823896874099"/>
  </r>
  <r>
    <x v="0"/>
    <x v="0"/>
    <x v="0"/>
    <x v="6"/>
    <x v="11"/>
    <s v="NO5_A1"/>
    <x v="0"/>
    <x v="0"/>
    <x v="3"/>
    <x v="6"/>
    <n v="43.136445999620001"/>
    <n v="2624.1337983102098"/>
    <n v="9446.8816739167705"/>
  </r>
  <r>
    <x v="0"/>
    <x v="0"/>
    <x v="0"/>
    <x v="6"/>
    <x v="11"/>
    <s v="NO5_A1"/>
    <x v="0"/>
    <x v="0"/>
    <x v="3"/>
    <x v="7"/>
    <n v="48.455036579647903"/>
    <n v="2947.6813919285801"/>
    <n v="10611.6530109429"/>
  </r>
  <r>
    <x v="0"/>
    <x v="0"/>
    <x v="0"/>
    <x v="6"/>
    <x v="11"/>
    <s v="NO5_A1"/>
    <x v="0"/>
    <x v="0"/>
    <x v="3"/>
    <x v="8"/>
    <n v="48.989553078310102"/>
    <n v="2980.1978122638702"/>
    <n v="10728.712124149901"/>
  </r>
  <r>
    <x v="0"/>
    <x v="0"/>
    <x v="0"/>
    <x v="6"/>
    <x v="11"/>
    <s v="NO5_A1"/>
    <x v="0"/>
    <x v="0"/>
    <x v="3"/>
    <x v="9"/>
    <n v="48.077725292949701"/>
    <n v="2924.7282886544399"/>
    <n v="10529.021839155999"/>
  </r>
  <r>
    <x v="0"/>
    <x v="0"/>
    <x v="0"/>
    <x v="6"/>
    <x v="11"/>
    <s v="NO5_A1"/>
    <x v="0"/>
    <x v="0"/>
    <x v="3"/>
    <x v="10"/>
    <n v="46.843778446385599"/>
    <n v="2849.6631888217898"/>
    <n v="10258.787479758401"/>
  </r>
  <r>
    <x v="0"/>
    <x v="0"/>
    <x v="0"/>
    <x v="6"/>
    <x v="11"/>
    <s v="NO5_A1"/>
    <x v="0"/>
    <x v="0"/>
    <x v="3"/>
    <x v="11"/>
    <n v="45.774139395875103"/>
    <n v="2784.5934799157299"/>
    <n v="10024.5365276966"/>
  </r>
  <r>
    <x v="0"/>
    <x v="0"/>
    <x v="0"/>
    <x v="6"/>
    <x v="11"/>
    <s v="NO5_A1"/>
    <x v="0"/>
    <x v="0"/>
    <x v="4"/>
    <x v="0"/>
    <n v="32.804672964139201"/>
    <n v="1995.6176053184699"/>
    <n v="7184.2233791464796"/>
  </r>
  <r>
    <x v="0"/>
    <x v="0"/>
    <x v="0"/>
    <x v="6"/>
    <x v="11"/>
    <s v="NO5_A1"/>
    <x v="0"/>
    <x v="0"/>
    <x v="4"/>
    <x v="1"/>
    <n v="32.8804229071254"/>
    <n v="2000.2257268501301"/>
    <n v="7200.8126166604598"/>
  </r>
  <r>
    <x v="0"/>
    <x v="0"/>
    <x v="0"/>
    <x v="6"/>
    <x v="11"/>
    <s v="NO5_A1"/>
    <x v="0"/>
    <x v="0"/>
    <x v="4"/>
    <x v="2"/>
    <n v="33.432734041443801"/>
    <n v="2033.82465418783"/>
    <n v="7321.7687550761902"/>
  </r>
  <r>
    <x v="0"/>
    <x v="0"/>
    <x v="0"/>
    <x v="6"/>
    <x v="11"/>
    <s v="NO5_A1"/>
    <x v="0"/>
    <x v="0"/>
    <x v="4"/>
    <x v="3"/>
    <n v="34.425406873288203"/>
    <n v="2094.2122514583598"/>
    <n v="7539.16410525011"/>
  </r>
  <r>
    <x v="0"/>
    <x v="0"/>
    <x v="0"/>
    <x v="6"/>
    <x v="11"/>
    <s v="NO5_A1"/>
    <x v="0"/>
    <x v="0"/>
    <x v="4"/>
    <x v="4"/>
    <n v="37.042422181530597"/>
    <n v="2253.4140160431102"/>
    <n v="8112.2904577551999"/>
  </r>
  <r>
    <x v="0"/>
    <x v="0"/>
    <x v="0"/>
    <x v="6"/>
    <x v="11"/>
    <s v="NO5_A1"/>
    <x v="0"/>
    <x v="0"/>
    <x v="4"/>
    <x v="5"/>
    <n v="41.351765116068101"/>
    <n v="2515.5657112274698"/>
    <n v="9056.0365604189101"/>
  </r>
  <r>
    <x v="0"/>
    <x v="0"/>
    <x v="0"/>
    <x v="6"/>
    <x v="11"/>
    <s v="NO5_A1"/>
    <x v="0"/>
    <x v="0"/>
    <x v="4"/>
    <x v="6"/>
    <n v="47.562326752637297"/>
    <n v="2893.3748774521"/>
    <n v="10416.149558827599"/>
  </r>
  <r>
    <x v="0"/>
    <x v="0"/>
    <x v="0"/>
    <x v="6"/>
    <x v="11"/>
    <s v="NO5_A1"/>
    <x v="0"/>
    <x v="0"/>
    <x v="4"/>
    <x v="7"/>
    <n v="53.552724562027699"/>
    <n v="3257.7907441900202"/>
    <n v="11728.0466790841"/>
  </r>
  <r>
    <x v="0"/>
    <x v="0"/>
    <x v="0"/>
    <x v="6"/>
    <x v="11"/>
    <s v="NO5_A1"/>
    <x v="0"/>
    <x v="0"/>
    <x v="4"/>
    <x v="8"/>
    <n v="55.037104605506798"/>
    <n v="3348.0905301683301"/>
    <n v="12053.125908606"/>
  </r>
  <r>
    <x v="0"/>
    <x v="0"/>
    <x v="0"/>
    <x v="6"/>
    <x v="11"/>
    <s v="NO5_A1"/>
    <x v="0"/>
    <x v="0"/>
    <x v="4"/>
    <x v="9"/>
    <n v="54.5793002065991"/>
    <n v="3320.2407625681099"/>
    <n v="11952.866745245199"/>
  </r>
  <r>
    <x v="0"/>
    <x v="0"/>
    <x v="0"/>
    <x v="6"/>
    <x v="11"/>
    <s v="NO5_A1"/>
    <x v="0"/>
    <x v="0"/>
    <x v="4"/>
    <x v="10"/>
    <n v="53.048375451119803"/>
    <n v="3227.1095066097901"/>
    <n v="11617.5942237952"/>
  </r>
  <r>
    <x v="0"/>
    <x v="0"/>
    <x v="0"/>
    <x v="6"/>
    <x v="11"/>
    <s v="NO5_A1"/>
    <x v="0"/>
    <x v="0"/>
    <x v="4"/>
    <x v="11"/>
    <n v="51.541228696916903"/>
    <n v="3135.4247457291099"/>
    <n v="11287.529084624801"/>
  </r>
  <r>
    <x v="0"/>
    <x v="0"/>
    <x v="0"/>
    <x v="6"/>
    <x v="11"/>
    <s v="NO5_A1"/>
    <x v="0"/>
    <x v="0"/>
    <x v="5"/>
    <x v="0"/>
    <n v="30.076142416399499"/>
    <n v="1829.63199699764"/>
    <n v="6586.6751891914901"/>
  </r>
  <r>
    <x v="0"/>
    <x v="0"/>
    <x v="0"/>
    <x v="6"/>
    <x v="11"/>
    <s v="NO5_A1"/>
    <x v="0"/>
    <x v="0"/>
    <x v="5"/>
    <x v="1"/>
    <n v="29.922854541353399"/>
    <n v="1820.3069845990001"/>
    <n v="6553.1051445563999"/>
  </r>
  <r>
    <x v="0"/>
    <x v="0"/>
    <x v="0"/>
    <x v="6"/>
    <x v="11"/>
    <s v="NO5_A1"/>
    <x v="0"/>
    <x v="0"/>
    <x v="5"/>
    <x v="2"/>
    <n v="30.015756548663902"/>
    <n v="1825.9585233770499"/>
    <n v="6573.4506841573902"/>
  </r>
  <r>
    <x v="0"/>
    <x v="0"/>
    <x v="0"/>
    <x v="6"/>
    <x v="11"/>
    <s v="NO5_A1"/>
    <x v="0"/>
    <x v="0"/>
    <x v="5"/>
    <x v="3"/>
    <n v="30.1168177006561"/>
    <n v="1832.10641012325"/>
    <n v="6595.5830764436996"/>
  </r>
  <r>
    <x v="0"/>
    <x v="0"/>
    <x v="0"/>
    <x v="6"/>
    <x v="11"/>
    <s v="NO5_A1"/>
    <x v="0"/>
    <x v="0"/>
    <x v="5"/>
    <x v="4"/>
    <n v="32.249065289300297"/>
    <n v="1961.81813843243"/>
    <n v="7062.5452983567702"/>
  </r>
  <r>
    <x v="0"/>
    <x v="0"/>
    <x v="0"/>
    <x v="6"/>
    <x v="11"/>
    <s v="NO5_A1"/>
    <x v="0"/>
    <x v="0"/>
    <x v="5"/>
    <x v="5"/>
    <n v="36.340715434145601"/>
    <n v="2210.7268555771898"/>
    <n v="7958.6166800778901"/>
  </r>
  <r>
    <x v="0"/>
    <x v="0"/>
    <x v="0"/>
    <x v="6"/>
    <x v="11"/>
    <s v="NO5_A1"/>
    <x v="0"/>
    <x v="0"/>
    <x v="5"/>
    <x v="6"/>
    <n v="41.825262497247103"/>
    <n v="2544.3701352491998"/>
    <n v="9159.73248689711"/>
  </r>
  <r>
    <x v="0"/>
    <x v="0"/>
    <x v="0"/>
    <x v="6"/>
    <x v="11"/>
    <s v="NO5_A1"/>
    <x v="0"/>
    <x v="0"/>
    <x v="5"/>
    <x v="7"/>
    <n v="47.0928089996819"/>
    <n v="2864.8125474806502"/>
    <n v="10313.3251709303"/>
  </r>
  <r>
    <x v="0"/>
    <x v="0"/>
    <x v="0"/>
    <x v="6"/>
    <x v="11"/>
    <s v="NO5_A1"/>
    <x v="0"/>
    <x v="0"/>
    <x v="5"/>
    <x v="8"/>
    <n v="47.812656335276401"/>
    <n v="2908.6032603959802"/>
    <n v="10470.9717374255"/>
  </r>
  <r>
    <x v="0"/>
    <x v="0"/>
    <x v="0"/>
    <x v="6"/>
    <x v="11"/>
    <s v="NO5_A1"/>
    <x v="0"/>
    <x v="0"/>
    <x v="5"/>
    <x v="9"/>
    <n v="46.8208427769436"/>
    <n v="2848.2679355974001"/>
    <n v="10253.7645681506"/>
  </r>
  <r>
    <x v="0"/>
    <x v="0"/>
    <x v="0"/>
    <x v="6"/>
    <x v="11"/>
    <s v="NO5_A1"/>
    <x v="0"/>
    <x v="0"/>
    <x v="5"/>
    <x v="10"/>
    <n v="45.338292315566001"/>
    <n v="2758.07944919693"/>
    <n v="9929.0860171089607"/>
  </r>
  <r>
    <x v="0"/>
    <x v="0"/>
    <x v="0"/>
    <x v="6"/>
    <x v="11"/>
    <s v="NO5_A1"/>
    <x v="0"/>
    <x v="0"/>
    <x v="5"/>
    <x v="11"/>
    <n v="43.766076314097504"/>
    <n v="2662.4363091076002"/>
    <n v="9584.77071278736"/>
  </r>
  <r>
    <x v="0"/>
    <x v="0"/>
    <x v="0"/>
    <x v="6"/>
    <x v="11"/>
    <s v="NO5_A1"/>
    <x v="0"/>
    <x v="0"/>
    <x v="6"/>
    <x v="0"/>
    <n v="30.336931346793602"/>
    <n v="1845.4966569299399"/>
    <n v="6643.78796494779"/>
  </r>
  <r>
    <x v="0"/>
    <x v="0"/>
    <x v="0"/>
    <x v="6"/>
    <x v="11"/>
    <s v="NO5_A1"/>
    <x v="0"/>
    <x v="0"/>
    <x v="6"/>
    <x v="1"/>
    <n v="30.0952638477441"/>
    <n v="1830.7952174044301"/>
    <n v="6590.8627826559496"/>
  </r>
  <r>
    <x v="0"/>
    <x v="0"/>
    <x v="0"/>
    <x v="6"/>
    <x v="11"/>
    <s v="NO5_A1"/>
    <x v="0"/>
    <x v="0"/>
    <x v="6"/>
    <x v="2"/>
    <n v="30.151018543436098"/>
    <n v="1834.18696139236"/>
    <n v="6603.0730610125001"/>
  </r>
  <r>
    <x v="0"/>
    <x v="0"/>
    <x v="0"/>
    <x v="6"/>
    <x v="11"/>
    <s v="NO5_A1"/>
    <x v="0"/>
    <x v="0"/>
    <x v="6"/>
    <x v="3"/>
    <n v="30.672455495942799"/>
    <n v="1865.9077093365199"/>
    <n v="6717.2677536114697"/>
  </r>
  <r>
    <x v="0"/>
    <x v="0"/>
    <x v="0"/>
    <x v="6"/>
    <x v="11"/>
    <s v="NO5_A1"/>
    <x v="0"/>
    <x v="0"/>
    <x v="6"/>
    <x v="4"/>
    <n v="32.551384266482103"/>
    <n v="1980.20920954433"/>
    <n v="7128.7531543595796"/>
  </r>
  <r>
    <x v="0"/>
    <x v="0"/>
    <x v="0"/>
    <x v="6"/>
    <x v="11"/>
    <s v="NO5_A1"/>
    <x v="0"/>
    <x v="0"/>
    <x v="6"/>
    <x v="5"/>
    <n v="36.388609265588698"/>
    <n v="2213.6403969899802"/>
    <n v="7969.1054291639202"/>
  </r>
  <r>
    <x v="0"/>
    <x v="0"/>
    <x v="0"/>
    <x v="6"/>
    <x v="11"/>
    <s v="NO5_A1"/>
    <x v="0"/>
    <x v="0"/>
    <x v="6"/>
    <x v="6"/>
    <n v="41.517470058844197"/>
    <n v="2525.6460952463599"/>
    <n v="9092.3259428868805"/>
  </r>
  <r>
    <x v="0"/>
    <x v="0"/>
    <x v="0"/>
    <x v="6"/>
    <x v="11"/>
    <s v="NO5_A1"/>
    <x v="0"/>
    <x v="0"/>
    <x v="6"/>
    <x v="7"/>
    <n v="46.4654448699374"/>
    <n v="2826.6478962545302"/>
    <n v="10175.9324265163"/>
  </r>
  <r>
    <x v="0"/>
    <x v="0"/>
    <x v="0"/>
    <x v="6"/>
    <x v="11"/>
    <s v="NO5_A1"/>
    <x v="0"/>
    <x v="0"/>
    <x v="6"/>
    <x v="8"/>
    <n v="47.396983692048003"/>
    <n v="2883.3165079329201"/>
    <n v="10379.9394285585"/>
  </r>
  <r>
    <x v="0"/>
    <x v="0"/>
    <x v="0"/>
    <x v="6"/>
    <x v="11"/>
    <s v="NO5_A1"/>
    <x v="0"/>
    <x v="0"/>
    <x v="6"/>
    <x v="9"/>
    <n v="46.109922931926"/>
    <n v="2805.0203116921598"/>
    <n v="10098.073122091801"/>
  </r>
  <r>
    <x v="0"/>
    <x v="0"/>
    <x v="0"/>
    <x v="6"/>
    <x v="11"/>
    <s v="NO5_A1"/>
    <x v="0"/>
    <x v="0"/>
    <x v="6"/>
    <x v="10"/>
    <n v="44.791630130008897"/>
    <n v="2724.8241662422101"/>
    <n v="9809.3669984719509"/>
  </r>
  <r>
    <x v="0"/>
    <x v="0"/>
    <x v="0"/>
    <x v="6"/>
    <x v="11"/>
    <s v="NO5_A1"/>
    <x v="0"/>
    <x v="0"/>
    <x v="6"/>
    <x v="11"/>
    <n v="43.472189796439501"/>
    <n v="2644.5582126167401"/>
    <n v="9520.4095654202592"/>
  </r>
  <r>
    <x v="0"/>
    <x v="0"/>
    <x v="0"/>
    <x v="6"/>
    <x v="11"/>
    <s v="NO5_A1"/>
    <x v="0"/>
    <x v="0"/>
    <x v="7"/>
    <x v="0"/>
    <n v="33.379689245251903"/>
    <n v="2030.59776241949"/>
    <n v="7310.15194471018"/>
  </r>
  <r>
    <x v="0"/>
    <x v="0"/>
    <x v="0"/>
    <x v="6"/>
    <x v="11"/>
    <s v="NO5_A1"/>
    <x v="0"/>
    <x v="0"/>
    <x v="7"/>
    <x v="1"/>
    <n v="33.229125340297799"/>
    <n v="2021.43845820145"/>
    <n v="7277.1784495252195"/>
  </r>
  <r>
    <x v="0"/>
    <x v="0"/>
    <x v="0"/>
    <x v="6"/>
    <x v="11"/>
    <s v="NO5_A1"/>
    <x v="0"/>
    <x v="0"/>
    <x v="7"/>
    <x v="2"/>
    <n v="33.322961087148201"/>
    <n v="2027.14679946818"/>
    <n v="7297.7284780854598"/>
  </r>
  <r>
    <x v="0"/>
    <x v="0"/>
    <x v="0"/>
    <x v="6"/>
    <x v="11"/>
    <s v="NO5_A1"/>
    <x v="0"/>
    <x v="0"/>
    <x v="7"/>
    <x v="3"/>
    <n v="33.355074369041802"/>
    <n v="2029.1003574500401"/>
    <n v="7304.7612868201604"/>
  </r>
  <r>
    <x v="0"/>
    <x v="0"/>
    <x v="0"/>
    <x v="6"/>
    <x v="11"/>
    <s v="NO5_A1"/>
    <x v="0"/>
    <x v="0"/>
    <x v="7"/>
    <x v="4"/>
    <n v="34.4221150898926"/>
    <n v="2094.0120013018"/>
    <n v="7538.4432046864804"/>
  </r>
  <r>
    <x v="0"/>
    <x v="0"/>
    <x v="0"/>
    <x v="6"/>
    <x v="11"/>
    <s v="NO5_A1"/>
    <x v="0"/>
    <x v="0"/>
    <x v="7"/>
    <x v="5"/>
    <n v="37.418247615748697"/>
    <n v="2276.2767299580501"/>
    <n v="8194.5962278489696"/>
  </r>
  <r>
    <x v="0"/>
    <x v="0"/>
    <x v="0"/>
    <x v="6"/>
    <x v="11"/>
    <s v="NO5_A1"/>
    <x v="0"/>
    <x v="0"/>
    <x v="7"/>
    <x v="6"/>
    <n v="42.464934299083701"/>
    <n v="2583.28350319426"/>
    <n v="9299.8206114993209"/>
  </r>
  <r>
    <x v="0"/>
    <x v="0"/>
    <x v="0"/>
    <x v="6"/>
    <x v="11"/>
    <s v="NO5_A1"/>
    <x v="0"/>
    <x v="0"/>
    <x v="7"/>
    <x v="7"/>
    <n v="47.313997304353698"/>
    <n v="2878.26816934819"/>
    <n v="10361.765409653501"/>
  </r>
  <r>
    <x v="0"/>
    <x v="0"/>
    <x v="0"/>
    <x v="6"/>
    <x v="11"/>
    <s v="NO5_A1"/>
    <x v="0"/>
    <x v="0"/>
    <x v="7"/>
    <x v="8"/>
    <n v="46.957359823601102"/>
    <n v="2856.5727226024001"/>
    <n v="10283.6618013686"/>
  </r>
  <r>
    <x v="0"/>
    <x v="0"/>
    <x v="0"/>
    <x v="6"/>
    <x v="11"/>
    <s v="NO5_A1"/>
    <x v="0"/>
    <x v="0"/>
    <x v="7"/>
    <x v="9"/>
    <n v="45.975676764136402"/>
    <n v="2796.8536698183002"/>
    <n v="10068.6732113459"/>
  </r>
  <r>
    <x v="0"/>
    <x v="0"/>
    <x v="0"/>
    <x v="6"/>
    <x v="11"/>
    <s v="NO5_A1"/>
    <x v="0"/>
    <x v="0"/>
    <x v="7"/>
    <x v="10"/>
    <n v="44.566005488901098"/>
    <n v="2711.0986672414801"/>
    <n v="9759.95520206933"/>
  </r>
  <r>
    <x v="0"/>
    <x v="0"/>
    <x v="0"/>
    <x v="6"/>
    <x v="11"/>
    <s v="NO5_A1"/>
    <x v="0"/>
    <x v="0"/>
    <x v="7"/>
    <x v="11"/>
    <n v="43.051853824228999"/>
    <n v="2618.9877743072602"/>
    <n v="9428.3559875061492"/>
  </r>
  <r>
    <x v="0"/>
    <x v="0"/>
    <x v="0"/>
    <x v="6"/>
    <x v="11"/>
    <s v="NO5_A1"/>
    <x v="0"/>
    <x v="0"/>
    <x v="8"/>
    <x v="0"/>
    <n v="24.9392517265841"/>
    <n v="1517.1378133671999"/>
    <n v="5461.6961281219201"/>
  </r>
  <r>
    <x v="0"/>
    <x v="0"/>
    <x v="0"/>
    <x v="6"/>
    <x v="11"/>
    <s v="NO5_A1"/>
    <x v="0"/>
    <x v="0"/>
    <x v="8"/>
    <x v="1"/>
    <n v="24.9678497433781"/>
    <n v="1518.8775260555001"/>
    <n v="5467.95909379981"/>
  </r>
  <r>
    <x v="0"/>
    <x v="0"/>
    <x v="0"/>
    <x v="6"/>
    <x v="11"/>
    <s v="NO5_A1"/>
    <x v="0"/>
    <x v="0"/>
    <x v="8"/>
    <x v="2"/>
    <n v="25.127009515486399"/>
    <n v="1528.5597455254201"/>
    <n v="5502.8150838915199"/>
  </r>
  <r>
    <x v="0"/>
    <x v="0"/>
    <x v="0"/>
    <x v="6"/>
    <x v="11"/>
    <s v="NO5_A1"/>
    <x v="0"/>
    <x v="0"/>
    <x v="8"/>
    <x v="3"/>
    <n v="25.4822756598852"/>
    <n v="1550.17176930968"/>
    <n v="5580.6183695148602"/>
  </r>
  <r>
    <x v="0"/>
    <x v="0"/>
    <x v="0"/>
    <x v="6"/>
    <x v="11"/>
    <s v="NO5_A1"/>
    <x v="0"/>
    <x v="0"/>
    <x v="8"/>
    <x v="4"/>
    <n v="27.0161140563762"/>
    <n v="1643.48027176288"/>
    <n v="5916.5289783463904"/>
  </r>
  <r>
    <x v="0"/>
    <x v="0"/>
    <x v="0"/>
    <x v="6"/>
    <x v="11"/>
    <s v="NO5_A1"/>
    <x v="0"/>
    <x v="0"/>
    <x v="8"/>
    <x v="5"/>
    <n v="29.770724041309201"/>
    <n v="1811.05237917965"/>
    <n v="6519.7885650467297"/>
  </r>
  <r>
    <x v="0"/>
    <x v="0"/>
    <x v="0"/>
    <x v="6"/>
    <x v="11"/>
    <s v="NO5_A1"/>
    <x v="0"/>
    <x v="0"/>
    <x v="8"/>
    <x v="6"/>
    <n v="33.796741659963402"/>
    <n v="2055.96845098111"/>
    <n v="7401.4864235319901"/>
  </r>
  <r>
    <x v="0"/>
    <x v="0"/>
    <x v="0"/>
    <x v="6"/>
    <x v="11"/>
    <s v="NO5_A1"/>
    <x v="0"/>
    <x v="0"/>
    <x v="8"/>
    <x v="7"/>
    <n v="36.288276284704899"/>
    <n v="2207.53680731955"/>
    <n v="7947.13250635039"/>
  </r>
  <r>
    <x v="0"/>
    <x v="0"/>
    <x v="0"/>
    <x v="6"/>
    <x v="11"/>
    <s v="NO5_A1"/>
    <x v="0"/>
    <x v="0"/>
    <x v="8"/>
    <x v="8"/>
    <n v="34.537883040451099"/>
    <n v="2101.0545516274401"/>
    <n v="7563.7963858588"/>
  </r>
  <r>
    <x v="0"/>
    <x v="0"/>
    <x v="0"/>
    <x v="6"/>
    <x v="11"/>
    <s v="NO5_A1"/>
    <x v="0"/>
    <x v="0"/>
    <x v="8"/>
    <x v="9"/>
    <n v="31.666299199372499"/>
    <n v="1926.3665346284899"/>
    <n v="6934.9195246625704"/>
  </r>
  <r>
    <x v="0"/>
    <x v="0"/>
    <x v="0"/>
    <x v="6"/>
    <x v="11"/>
    <s v="NO5_A1"/>
    <x v="0"/>
    <x v="0"/>
    <x v="8"/>
    <x v="10"/>
    <n v="29.033105259732899"/>
    <n v="1766.1805699670799"/>
    <n v="6358.2500518815004"/>
  </r>
  <r>
    <x v="0"/>
    <x v="0"/>
    <x v="0"/>
    <x v="6"/>
    <x v="11"/>
    <s v="NO5_A1"/>
    <x v="0"/>
    <x v="0"/>
    <x v="8"/>
    <x v="11"/>
    <n v="27.078697155347399"/>
    <n v="1647.2874102836299"/>
    <n v="5930.2346770210897"/>
  </r>
  <r>
    <x v="0"/>
    <x v="0"/>
    <x v="0"/>
    <x v="6"/>
    <x v="11"/>
    <s v="NO5_A1"/>
    <x v="0"/>
    <x v="0"/>
    <x v="9"/>
    <x v="0"/>
    <n v="18.372057022074198"/>
    <n v="1117.6334688428501"/>
    <n v="4023.4804878342602"/>
  </r>
  <r>
    <x v="0"/>
    <x v="0"/>
    <x v="0"/>
    <x v="6"/>
    <x v="11"/>
    <s v="NO5_A1"/>
    <x v="0"/>
    <x v="0"/>
    <x v="9"/>
    <x v="1"/>
    <n v="18.850681784033899"/>
    <n v="1146.74980852873"/>
    <n v="4128.2993107034299"/>
  </r>
  <r>
    <x v="0"/>
    <x v="0"/>
    <x v="0"/>
    <x v="6"/>
    <x v="11"/>
    <s v="NO5_A1"/>
    <x v="0"/>
    <x v="0"/>
    <x v="9"/>
    <x v="2"/>
    <n v="19.2388658451423"/>
    <n v="1170.3643389128199"/>
    <n v="4213.3116200861596"/>
  </r>
  <r>
    <x v="0"/>
    <x v="0"/>
    <x v="0"/>
    <x v="6"/>
    <x v="11"/>
    <s v="NO5_A1"/>
    <x v="0"/>
    <x v="0"/>
    <x v="9"/>
    <x v="3"/>
    <n v="20.379378426816999"/>
    <n v="1239.7455209647001"/>
    <n v="4463.0838754729202"/>
  </r>
  <r>
    <x v="0"/>
    <x v="0"/>
    <x v="0"/>
    <x v="6"/>
    <x v="11"/>
    <s v="NO5_A1"/>
    <x v="0"/>
    <x v="0"/>
    <x v="9"/>
    <x v="4"/>
    <n v="21.990699789273702"/>
    <n v="1337.7675705141501"/>
    <n v="4815.9632538509504"/>
  </r>
  <r>
    <x v="0"/>
    <x v="0"/>
    <x v="0"/>
    <x v="6"/>
    <x v="11"/>
    <s v="NO5_A1"/>
    <x v="0"/>
    <x v="0"/>
    <x v="9"/>
    <x v="5"/>
    <n v="24.764369061141601"/>
    <n v="1506.4991178861201"/>
    <n v="5423.3968243900099"/>
  </r>
  <r>
    <x v="0"/>
    <x v="0"/>
    <x v="0"/>
    <x v="6"/>
    <x v="11"/>
    <s v="NO5_A1"/>
    <x v="0"/>
    <x v="0"/>
    <x v="9"/>
    <x v="6"/>
    <n v="29.0462573258684"/>
    <n v="1766.98065399033"/>
    <n v="6361.1303543651802"/>
  </r>
  <r>
    <x v="0"/>
    <x v="0"/>
    <x v="0"/>
    <x v="6"/>
    <x v="11"/>
    <s v="NO5_A1"/>
    <x v="0"/>
    <x v="0"/>
    <x v="9"/>
    <x v="7"/>
    <n v="32.337727179493598"/>
    <n v="1967.21173675253"/>
    <n v="7081.9622523091002"/>
  </r>
  <r>
    <x v="0"/>
    <x v="0"/>
    <x v="0"/>
    <x v="6"/>
    <x v="11"/>
    <s v="NO5_A1"/>
    <x v="0"/>
    <x v="0"/>
    <x v="9"/>
    <x v="8"/>
    <n v="32.589824652635301"/>
    <n v="1982.54766636865"/>
    <n v="7137.1715989271297"/>
  </r>
  <r>
    <x v="0"/>
    <x v="0"/>
    <x v="0"/>
    <x v="6"/>
    <x v="11"/>
    <s v="NO5_A1"/>
    <x v="0"/>
    <x v="0"/>
    <x v="9"/>
    <x v="9"/>
    <n v="31.108856879397901"/>
    <n v="1892.4554601633699"/>
    <n v="6812.8396565881403"/>
  </r>
  <r>
    <x v="0"/>
    <x v="0"/>
    <x v="0"/>
    <x v="6"/>
    <x v="11"/>
    <s v="NO5_A1"/>
    <x v="0"/>
    <x v="0"/>
    <x v="9"/>
    <x v="10"/>
    <n v="29.874622979085199"/>
    <n v="1817.37289789435"/>
    <n v="6542.5424324196501"/>
  </r>
  <r>
    <x v="0"/>
    <x v="0"/>
    <x v="0"/>
    <x v="6"/>
    <x v="11"/>
    <s v="NO5_A1"/>
    <x v="0"/>
    <x v="0"/>
    <x v="9"/>
    <x v="11"/>
    <n v="28.6451954132114"/>
    <n v="1742.58272097036"/>
    <n v="6273.2977954933003"/>
  </r>
  <r>
    <x v="0"/>
    <x v="0"/>
    <x v="0"/>
    <x v="6"/>
    <x v="11"/>
    <s v="NO5_A1"/>
    <x v="0"/>
    <x v="0"/>
    <x v="10"/>
    <x v="0"/>
    <n v="15.4183500958446"/>
    <n v="937.94963083054699"/>
    <n v="3376.6186709899698"/>
  </r>
  <r>
    <x v="0"/>
    <x v="0"/>
    <x v="0"/>
    <x v="6"/>
    <x v="11"/>
    <s v="NO5_A1"/>
    <x v="0"/>
    <x v="0"/>
    <x v="10"/>
    <x v="1"/>
    <n v="15.7389258444963"/>
    <n v="957.45132220685605"/>
    <n v="3446.82475994468"/>
  </r>
  <r>
    <x v="0"/>
    <x v="0"/>
    <x v="0"/>
    <x v="6"/>
    <x v="11"/>
    <s v="NO5_A1"/>
    <x v="0"/>
    <x v="0"/>
    <x v="10"/>
    <x v="2"/>
    <n v="15.8764285586958"/>
    <n v="965.81607065399396"/>
    <n v="3476.9378543543799"/>
  </r>
  <r>
    <x v="0"/>
    <x v="0"/>
    <x v="0"/>
    <x v="6"/>
    <x v="11"/>
    <s v="NO5_A1"/>
    <x v="0"/>
    <x v="0"/>
    <x v="10"/>
    <x v="3"/>
    <n v="16.810669301087501"/>
    <n v="1022.64904914949"/>
    <n v="3681.5365769381701"/>
  </r>
  <r>
    <x v="0"/>
    <x v="0"/>
    <x v="0"/>
    <x v="6"/>
    <x v="11"/>
    <s v="NO5_A1"/>
    <x v="0"/>
    <x v="0"/>
    <x v="10"/>
    <x v="4"/>
    <n v="18.141179839122"/>
    <n v="1103.5884402132499"/>
    <n v="3972.91838476771"/>
  </r>
  <r>
    <x v="0"/>
    <x v="0"/>
    <x v="0"/>
    <x v="6"/>
    <x v="11"/>
    <s v="NO5_A1"/>
    <x v="0"/>
    <x v="0"/>
    <x v="10"/>
    <x v="5"/>
    <n v="20.625568457059401"/>
    <n v="1254.7220811377799"/>
    <n v="4516.9994920959998"/>
  </r>
  <r>
    <x v="0"/>
    <x v="0"/>
    <x v="0"/>
    <x v="6"/>
    <x v="11"/>
    <s v="NO5_A1"/>
    <x v="0"/>
    <x v="0"/>
    <x v="10"/>
    <x v="6"/>
    <n v="24.137002671791901"/>
    <n v="1468.33432920068"/>
    <n v="5286.0035851224302"/>
  </r>
  <r>
    <x v="0"/>
    <x v="0"/>
    <x v="0"/>
    <x v="6"/>
    <x v="11"/>
    <s v="NO5_A1"/>
    <x v="0"/>
    <x v="0"/>
    <x v="10"/>
    <x v="7"/>
    <n v="26.414421735735999"/>
    <n v="1606.87732225727"/>
    <n v="5784.7583601261804"/>
  </r>
  <r>
    <x v="0"/>
    <x v="0"/>
    <x v="0"/>
    <x v="6"/>
    <x v="11"/>
    <s v="NO5_A1"/>
    <x v="0"/>
    <x v="0"/>
    <x v="10"/>
    <x v="8"/>
    <n v="26.2432921019331"/>
    <n v="1596.4669362009299"/>
    <n v="5747.2809703233397"/>
  </r>
  <r>
    <x v="0"/>
    <x v="0"/>
    <x v="0"/>
    <x v="6"/>
    <x v="11"/>
    <s v="NO5_A1"/>
    <x v="0"/>
    <x v="0"/>
    <x v="10"/>
    <x v="9"/>
    <n v="24.970583409410001"/>
    <n v="1519.04382407244"/>
    <n v="5468.5577666607896"/>
  </r>
  <r>
    <x v="0"/>
    <x v="0"/>
    <x v="0"/>
    <x v="6"/>
    <x v="11"/>
    <s v="NO5_A1"/>
    <x v="0"/>
    <x v="0"/>
    <x v="10"/>
    <x v="10"/>
    <n v="24.437335729953201"/>
    <n v="1486.60459023882"/>
    <n v="5351.7765248597498"/>
  </r>
  <r>
    <x v="0"/>
    <x v="0"/>
    <x v="0"/>
    <x v="6"/>
    <x v="11"/>
    <s v="NO5_A1"/>
    <x v="0"/>
    <x v="0"/>
    <x v="10"/>
    <x v="11"/>
    <n v="23.801010434549099"/>
    <n v="1447.8948014350699"/>
    <n v="5212.4212851662596"/>
  </r>
  <r>
    <x v="0"/>
    <x v="0"/>
    <x v="0"/>
    <x v="6"/>
    <x v="11"/>
    <s v="NO5_A1"/>
    <x v="0"/>
    <x v="0"/>
    <x v="11"/>
    <x v="0"/>
    <n v="24.1186302600528"/>
    <n v="1467.2166741532101"/>
    <n v="5281.9800269515699"/>
  </r>
  <r>
    <x v="0"/>
    <x v="0"/>
    <x v="0"/>
    <x v="6"/>
    <x v="11"/>
    <s v="NO5_A1"/>
    <x v="0"/>
    <x v="0"/>
    <x v="11"/>
    <x v="1"/>
    <n v="24.6924971824672"/>
    <n v="1502.1269119334199"/>
    <n v="5407.6568829603202"/>
  </r>
  <r>
    <x v="0"/>
    <x v="0"/>
    <x v="0"/>
    <x v="6"/>
    <x v="11"/>
    <s v="NO5_A1"/>
    <x v="0"/>
    <x v="0"/>
    <x v="11"/>
    <x v="2"/>
    <n v="25.117580784890599"/>
    <n v="1527.9861644141799"/>
    <n v="5500.7501918910302"/>
  </r>
  <r>
    <x v="0"/>
    <x v="0"/>
    <x v="0"/>
    <x v="6"/>
    <x v="11"/>
    <s v="NO5_A1"/>
    <x v="0"/>
    <x v="0"/>
    <x v="11"/>
    <x v="3"/>
    <n v="26.016353789482999"/>
    <n v="1582.6615221935499"/>
    <n v="5697.5814798967804"/>
  </r>
  <r>
    <x v="0"/>
    <x v="0"/>
    <x v="0"/>
    <x v="6"/>
    <x v="11"/>
    <s v="NO5_A1"/>
    <x v="0"/>
    <x v="0"/>
    <x v="11"/>
    <x v="4"/>
    <n v="27.914778967589701"/>
    <n v="1698.1490538616999"/>
    <n v="6113.3365939021396"/>
  </r>
  <r>
    <x v="0"/>
    <x v="0"/>
    <x v="0"/>
    <x v="6"/>
    <x v="11"/>
    <s v="NO5_A1"/>
    <x v="0"/>
    <x v="0"/>
    <x v="11"/>
    <x v="5"/>
    <n v="30.922259736846399"/>
    <n v="1881.10413399149"/>
    <n v="6771.9748823693699"/>
  </r>
  <r>
    <x v="0"/>
    <x v="0"/>
    <x v="0"/>
    <x v="6"/>
    <x v="11"/>
    <s v="NO5_A1"/>
    <x v="0"/>
    <x v="0"/>
    <x v="11"/>
    <x v="6"/>
    <n v="35.6422776562179"/>
    <n v="2168.2385574199202"/>
    <n v="7805.65880671173"/>
  </r>
  <r>
    <x v="0"/>
    <x v="0"/>
    <x v="0"/>
    <x v="6"/>
    <x v="11"/>
    <s v="NO5_A1"/>
    <x v="0"/>
    <x v="0"/>
    <x v="11"/>
    <x v="7"/>
    <n v="39.200685604381299"/>
    <n v="2384.70837426653"/>
    <n v="8584.9501473595192"/>
  </r>
  <r>
    <x v="0"/>
    <x v="0"/>
    <x v="0"/>
    <x v="6"/>
    <x v="11"/>
    <s v="NO5_A1"/>
    <x v="0"/>
    <x v="0"/>
    <x v="11"/>
    <x v="8"/>
    <n v="39.009557648792502"/>
    <n v="2373.0814236348801"/>
    <n v="8543.0931250855701"/>
  </r>
  <r>
    <x v="0"/>
    <x v="0"/>
    <x v="0"/>
    <x v="6"/>
    <x v="11"/>
    <s v="NO5_A1"/>
    <x v="0"/>
    <x v="0"/>
    <x v="11"/>
    <x v="9"/>
    <n v="36.737226648372697"/>
    <n v="2234.84795444267"/>
    <n v="8045.4526359936199"/>
  </r>
  <r>
    <x v="0"/>
    <x v="0"/>
    <x v="0"/>
    <x v="6"/>
    <x v="11"/>
    <s v="NO5_A1"/>
    <x v="0"/>
    <x v="0"/>
    <x v="11"/>
    <x v="10"/>
    <n v="33.654878307325902"/>
    <n v="2047.33843036232"/>
    <n v="7370.4183493043702"/>
  </r>
  <r>
    <x v="0"/>
    <x v="0"/>
    <x v="0"/>
    <x v="6"/>
    <x v="11"/>
    <s v="NO5_A1"/>
    <x v="0"/>
    <x v="0"/>
    <x v="11"/>
    <x v="11"/>
    <n v="31.895483562794499"/>
    <n v="1940.30858340333"/>
    <n v="6985.1109002519897"/>
  </r>
  <r>
    <x v="0"/>
    <x v="0"/>
    <x v="0"/>
    <x v="7"/>
    <x v="12"/>
    <s v="PL_A1"/>
    <x v="11"/>
    <x v="23"/>
    <x v="0"/>
    <x v="0"/>
    <n v="339.88122430333499"/>
    <n v="20676.107811786202"/>
    <n v="74433.988122430295"/>
  </r>
  <r>
    <x v="0"/>
    <x v="0"/>
    <x v="0"/>
    <x v="7"/>
    <x v="12"/>
    <s v="PL_A1"/>
    <x v="11"/>
    <x v="23"/>
    <x v="0"/>
    <x v="1"/>
    <n v="339.88122430333499"/>
    <n v="20676.107811786202"/>
    <n v="74433.988122430295"/>
  </r>
  <r>
    <x v="0"/>
    <x v="0"/>
    <x v="0"/>
    <x v="7"/>
    <x v="12"/>
    <s v="PL_A1"/>
    <x v="11"/>
    <x v="23"/>
    <x v="0"/>
    <x v="2"/>
    <n v="339.88122430333499"/>
    <n v="20676.107811786202"/>
    <n v="74433.988122430295"/>
  </r>
  <r>
    <x v="0"/>
    <x v="0"/>
    <x v="0"/>
    <x v="7"/>
    <x v="12"/>
    <s v="PL_A1"/>
    <x v="11"/>
    <x v="23"/>
    <x v="0"/>
    <x v="3"/>
    <n v="339.88122430333499"/>
    <n v="20676.107811786202"/>
    <n v="74433.988122430295"/>
  </r>
  <r>
    <x v="0"/>
    <x v="0"/>
    <x v="0"/>
    <x v="7"/>
    <x v="12"/>
    <s v="PL_A1"/>
    <x v="11"/>
    <x v="23"/>
    <x v="0"/>
    <x v="4"/>
    <n v="339.88122430333499"/>
    <n v="20676.107811786202"/>
    <n v="74433.988122430295"/>
  </r>
  <r>
    <x v="0"/>
    <x v="0"/>
    <x v="0"/>
    <x v="7"/>
    <x v="12"/>
    <s v="PL_A1"/>
    <x v="11"/>
    <x v="23"/>
    <x v="0"/>
    <x v="5"/>
    <n v="339.88122430333499"/>
    <n v="20676.107811786202"/>
    <n v="74433.988122430295"/>
  </r>
  <r>
    <x v="0"/>
    <x v="0"/>
    <x v="0"/>
    <x v="7"/>
    <x v="12"/>
    <s v="PL_A1"/>
    <x v="11"/>
    <x v="23"/>
    <x v="0"/>
    <x v="6"/>
    <n v="339.88122430333499"/>
    <n v="20676.107811786202"/>
    <n v="74433.988122430295"/>
  </r>
  <r>
    <x v="0"/>
    <x v="0"/>
    <x v="0"/>
    <x v="7"/>
    <x v="12"/>
    <s v="PL_A1"/>
    <x v="11"/>
    <x v="23"/>
    <x v="0"/>
    <x v="7"/>
    <n v="339.88122430333499"/>
    <n v="20676.107811786202"/>
    <n v="74433.988122430295"/>
  </r>
  <r>
    <x v="0"/>
    <x v="0"/>
    <x v="0"/>
    <x v="7"/>
    <x v="12"/>
    <s v="PL_A1"/>
    <x v="11"/>
    <x v="23"/>
    <x v="0"/>
    <x v="8"/>
    <n v="339.88122430333499"/>
    <n v="20676.107811786202"/>
    <n v="74433.988122430295"/>
  </r>
  <r>
    <x v="0"/>
    <x v="0"/>
    <x v="0"/>
    <x v="7"/>
    <x v="12"/>
    <s v="PL_A1"/>
    <x v="11"/>
    <x v="23"/>
    <x v="0"/>
    <x v="9"/>
    <n v="339.88122430333499"/>
    <n v="20676.107811786202"/>
    <n v="74433.988122430295"/>
  </r>
  <r>
    <x v="0"/>
    <x v="0"/>
    <x v="0"/>
    <x v="7"/>
    <x v="12"/>
    <s v="PL_A1"/>
    <x v="11"/>
    <x v="23"/>
    <x v="0"/>
    <x v="10"/>
    <n v="339.88122430333499"/>
    <n v="20676.107811786202"/>
    <n v="74433.988122430295"/>
  </r>
  <r>
    <x v="0"/>
    <x v="0"/>
    <x v="0"/>
    <x v="7"/>
    <x v="12"/>
    <s v="PL_A1"/>
    <x v="11"/>
    <x v="23"/>
    <x v="0"/>
    <x v="11"/>
    <n v="339.88122430333499"/>
    <n v="20676.107811786202"/>
    <n v="74433.988122430295"/>
  </r>
  <r>
    <x v="0"/>
    <x v="0"/>
    <x v="0"/>
    <x v="7"/>
    <x v="12"/>
    <s v="PL_A1"/>
    <x v="11"/>
    <x v="23"/>
    <x v="1"/>
    <x v="0"/>
    <n v="339.88122430333499"/>
    <n v="20676.107811786202"/>
    <n v="74433.988122430295"/>
  </r>
  <r>
    <x v="0"/>
    <x v="0"/>
    <x v="0"/>
    <x v="7"/>
    <x v="12"/>
    <s v="PL_A1"/>
    <x v="11"/>
    <x v="23"/>
    <x v="1"/>
    <x v="1"/>
    <n v="339.88122430333499"/>
    <n v="20676.107811786202"/>
    <n v="74433.988122430295"/>
  </r>
  <r>
    <x v="0"/>
    <x v="0"/>
    <x v="0"/>
    <x v="7"/>
    <x v="12"/>
    <s v="PL_A1"/>
    <x v="11"/>
    <x v="23"/>
    <x v="1"/>
    <x v="2"/>
    <n v="339.88122430333499"/>
    <n v="20676.107811786202"/>
    <n v="74433.988122430295"/>
  </r>
  <r>
    <x v="0"/>
    <x v="0"/>
    <x v="0"/>
    <x v="7"/>
    <x v="12"/>
    <s v="PL_A1"/>
    <x v="11"/>
    <x v="23"/>
    <x v="1"/>
    <x v="3"/>
    <n v="339.88122430333499"/>
    <n v="20676.107811786202"/>
    <n v="74433.988122430295"/>
  </r>
  <r>
    <x v="0"/>
    <x v="0"/>
    <x v="0"/>
    <x v="7"/>
    <x v="12"/>
    <s v="PL_A1"/>
    <x v="11"/>
    <x v="23"/>
    <x v="1"/>
    <x v="4"/>
    <n v="339.88122430333499"/>
    <n v="20676.107811786202"/>
    <n v="74433.988122430295"/>
  </r>
  <r>
    <x v="0"/>
    <x v="0"/>
    <x v="0"/>
    <x v="7"/>
    <x v="12"/>
    <s v="PL_A1"/>
    <x v="11"/>
    <x v="23"/>
    <x v="1"/>
    <x v="5"/>
    <n v="339.88122430333499"/>
    <n v="20676.107811786202"/>
    <n v="74433.988122430295"/>
  </r>
  <r>
    <x v="0"/>
    <x v="0"/>
    <x v="0"/>
    <x v="7"/>
    <x v="12"/>
    <s v="PL_A1"/>
    <x v="11"/>
    <x v="23"/>
    <x v="1"/>
    <x v="6"/>
    <n v="339.88122430333499"/>
    <n v="20676.107811786202"/>
    <n v="74433.988122430295"/>
  </r>
  <r>
    <x v="0"/>
    <x v="0"/>
    <x v="0"/>
    <x v="7"/>
    <x v="12"/>
    <s v="PL_A1"/>
    <x v="11"/>
    <x v="23"/>
    <x v="1"/>
    <x v="7"/>
    <n v="339.88122430333499"/>
    <n v="20676.107811786202"/>
    <n v="74433.988122430295"/>
  </r>
  <r>
    <x v="0"/>
    <x v="0"/>
    <x v="0"/>
    <x v="7"/>
    <x v="12"/>
    <s v="PL_A1"/>
    <x v="11"/>
    <x v="23"/>
    <x v="1"/>
    <x v="8"/>
    <n v="339.88122430333499"/>
    <n v="20676.107811786202"/>
    <n v="74433.988122430295"/>
  </r>
  <r>
    <x v="0"/>
    <x v="0"/>
    <x v="0"/>
    <x v="7"/>
    <x v="12"/>
    <s v="PL_A1"/>
    <x v="11"/>
    <x v="23"/>
    <x v="1"/>
    <x v="9"/>
    <n v="339.88122430333499"/>
    <n v="20676.107811786202"/>
    <n v="74433.988122430295"/>
  </r>
  <r>
    <x v="0"/>
    <x v="0"/>
    <x v="0"/>
    <x v="7"/>
    <x v="12"/>
    <s v="PL_A1"/>
    <x v="11"/>
    <x v="23"/>
    <x v="1"/>
    <x v="10"/>
    <n v="339.88122430333499"/>
    <n v="20676.107811786202"/>
    <n v="74433.988122430295"/>
  </r>
  <r>
    <x v="0"/>
    <x v="0"/>
    <x v="0"/>
    <x v="7"/>
    <x v="12"/>
    <s v="PL_A1"/>
    <x v="11"/>
    <x v="23"/>
    <x v="1"/>
    <x v="11"/>
    <n v="339.88122430333499"/>
    <n v="20676.107811786202"/>
    <n v="74433.988122430295"/>
  </r>
  <r>
    <x v="0"/>
    <x v="0"/>
    <x v="0"/>
    <x v="7"/>
    <x v="12"/>
    <s v="PL_A1"/>
    <x v="11"/>
    <x v="23"/>
    <x v="2"/>
    <x v="0"/>
    <n v="339.88122430333499"/>
    <n v="20676.107811786202"/>
    <n v="74433.988122430295"/>
  </r>
  <r>
    <x v="0"/>
    <x v="0"/>
    <x v="0"/>
    <x v="7"/>
    <x v="12"/>
    <s v="PL_A1"/>
    <x v="11"/>
    <x v="23"/>
    <x v="2"/>
    <x v="1"/>
    <n v="339.88122430333499"/>
    <n v="20676.107811786202"/>
    <n v="74433.988122430295"/>
  </r>
  <r>
    <x v="0"/>
    <x v="0"/>
    <x v="0"/>
    <x v="7"/>
    <x v="12"/>
    <s v="PL_A1"/>
    <x v="11"/>
    <x v="23"/>
    <x v="2"/>
    <x v="2"/>
    <n v="339.88122430333499"/>
    <n v="20676.107811786202"/>
    <n v="74433.988122430295"/>
  </r>
  <r>
    <x v="0"/>
    <x v="0"/>
    <x v="0"/>
    <x v="7"/>
    <x v="12"/>
    <s v="PL_A1"/>
    <x v="11"/>
    <x v="23"/>
    <x v="2"/>
    <x v="3"/>
    <n v="339.88122430333499"/>
    <n v="20676.107811786202"/>
    <n v="74433.988122430295"/>
  </r>
  <r>
    <x v="0"/>
    <x v="0"/>
    <x v="0"/>
    <x v="7"/>
    <x v="12"/>
    <s v="PL_A1"/>
    <x v="11"/>
    <x v="23"/>
    <x v="2"/>
    <x v="4"/>
    <n v="339.88122430333499"/>
    <n v="20676.107811786202"/>
    <n v="74433.988122430295"/>
  </r>
  <r>
    <x v="0"/>
    <x v="0"/>
    <x v="0"/>
    <x v="7"/>
    <x v="12"/>
    <s v="PL_A1"/>
    <x v="11"/>
    <x v="23"/>
    <x v="2"/>
    <x v="5"/>
    <n v="339.88122430333499"/>
    <n v="20676.107811786202"/>
    <n v="74433.988122430295"/>
  </r>
  <r>
    <x v="0"/>
    <x v="0"/>
    <x v="0"/>
    <x v="7"/>
    <x v="12"/>
    <s v="PL_A1"/>
    <x v="11"/>
    <x v="23"/>
    <x v="2"/>
    <x v="6"/>
    <n v="339.88122430333499"/>
    <n v="20676.107811786202"/>
    <n v="74433.988122430295"/>
  </r>
  <r>
    <x v="0"/>
    <x v="0"/>
    <x v="0"/>
    <x v="7"/>
    <x v="12"/>
    <s v="PL_A1"/>
    <x v="11"/>
    <x v="23"/>
    <x v="2"/>
    <x v="7"/>
    <n v="339.88122430333499"/>
    <n v="20676.107811786202"/>
    <n v="74433.988122430295"/>
  </r>
  <r>
    <x v="0"/>
    <x v="0"/>
    <x v="0"/>
    <x v="7"/>
    <x v="12"/>
    <s v="PL_A1"/>
    <x v="11"/>
    <x v="23"/>
    <x v="2"/>
    <x v="8"/>
    <n v="339.88122430333499"/>
    <n v="20676.107811786202"/>
    <n v="74433.988122430295"/>
  </r>
  <r>
    <x v="0"/>
    <x v="0"/>
    <x v="0"/>
    <x v="7"/>
    <x v="12"/>
    <s v="PL_A1"/>
    <x v="11"/>
    <x v="23"/>
    <x v="2"/>
    <x v="9"/>
    <n v="339.88122430333499"/>
    <n v="20676.107811786202"/>
    <n v="74433.988122430295"/>
  </r>
  <r>
    <x v="0"/>
    <x v="0"/>
    <x v="0"/>
    <x v="7"/>
    <x v="12"/>
    <s v="PL_A1"/>
    <x v="11"/>
    <x v="23"/>
    <x v="2"/>
    <x v="10"/>
    <n v="339.88122430333499"/>
    <n v="20676.107811786202"/>
    <n v="74433.988122430295"/>
  </r>
  <r>
    <x v="0"/>
    <x v="0"/>
    <x v="0"/>
    <x v="7"/>
    <x v="12"/>
    <s v="PL_A1"/>
    <x v="11"/>
    <x v="23"/>
    <x v="2"/>
    <x v="11"/>
    <n v="339.88122430333499"/>
    <n v="20676.107811786202"/>
    <n v="74433.988122430295"/>
  </r>
  <r>
    <x v="0"/>
    <x v="0"/>
    <x v="0"/>
    <x v="7"/>
    <x v="12"/>
    <s v="PL_A1"/>
    <x v="11"/>
    <x v="23"/>
    <x v="3"/>
    <x v="0"/>
    <n v="339.88122430333499"/>
    <n v="20676.107811786202"/>
    <n v="74433.988122430295"/>
  </r>
  <r>
    <x v="0"/>
    <x v="0"/>
    <x v="0"/>
    <x v="7"/>
    <x v="12"/>
    <s v="PL_A1"/>
    <x v="11"/>
    <x v="23"/>
    <x v="3"/>
    <x v="1"/>
    <n v="339.88122430333499"/>
    <n v="20676.107811786202"/>
    <n v="74433.988122430295"/>
  </r>
  <r>
    <x v="0"/>
    <x v="0"/>
    <x v="0"/>
    <x v="7"/>
    <x v="12"/>
    <s v="PL_A1"/>
    <x v="11"/>
    <x v="23"/>
    <x v="3"/>
    <x v="2"/>
    <n v="339.88122430333499"/>
    <n v="20676.107811786202"/>
    <n v="74433.988122430295"/>
  </r>
  <r>
    <x v="0"/>
    <x v="0"/>
    <x v="0"/>
    <x v="7"/>
    <x v="12"/>
    <s v="PL_A1"/>
    <x v="11"/>
    <x v="23"/>
    <x v="3"/>
    <x v="3"/>
    <n v="339.88122430333499"/>
    <n v="20676.107811786202"/>
    <n v="74433.988122430295"/>
  </r>
  <r>
    <x v="0"/>
    <x v="0"/>
    <x v="0"/>
    <x v="7"/>
    <x v="12"/>
    <s v="PL_A1"/>
    <x v="11"/>
    <x v="23"/>
    <x v="3"/>
    <x v="4"/>
    <n v="339.88122430333499"/>
    <n v="20676.107811786202"/>
    <n v="74433.988122430295"/>
  </r>
  <r>
    <x v="0"/>
    <x v="0"/>
    <x v="0"/>
    <x v="7"/>
    <x v="12"/>
    <s v="PL_A1"/>
    <x v="11"/>
    <x v="23"/>
    <x v="3"/>
    <x v="5"/>
    <n v="339.88122430333499"/>
    <n v="20676.107811786202"/>
    <n v="74433.988122430295"/>
  </r>
  <r>
    <x v="0"/>
    <x v="0"/>
    <x v="0"/>
    <x v="7"/>
    <x v="12"/>
    <s v="PL_A1"/>
    <x v="11"/>
    <x v="23"/>
    <x v="3"/>
    <x v="6"/>
    <n v="339.88122430333499"/>
    <n v="20676.107811786202"/>
    <n v="74433.988122430295"/>
  </r>
  <r>
    <x v="0"/>
    <x v="0"/>
    <x v="0"/>
    <x v="7"/>
    <x v="12"/>
    <s v="PL_A1"/>
    <x v="11"/>
    <x v="23"/>
    <x v="3"/>
    <x v="7"/>
    <n v="339.88122430333499"/>
    <n v="20676.107811786202"/>
    <n v="74433.988122430295"/>
  </r>
  <r>
    <x v="0"/>
    <x v="0"/>
    <x v="0"/>
    <x v="7"/>
    <x v="12"/>
    <s v="PL_A1"/>
    <x v="11"/>
    <x v="23"/>
    <x v="3"/>
    <x v="8"/>
    <n v="339.88122430333499"/>
    <n v="20676.107811786202"/>
    <n v="74433.988122430295"/>
  </r>
  <r>
    <x v="0"/>
    <x v="0"/>
    <x v="0"/>
    <x v="7"/>
    <x v="12"/>
    <s v="PL_A1"/>
    <x v="11"/>
    <x v="23"/>
    <x v="3"/>
    <x v="9"/>
    <n v="339.88122430333499"/>
    <n v="20676.107811786202"/>
    <n v="74433.988122430295"/>
  </r>
  <r>
    <x v="0"/>
    <x v="0"/>
    <x v="0"/>
    <x v="7"/>
    <x v="12"/>
    <s v="PL_A1"/>
    <x v="11"/>
    <x v="23"/>
    <x v="3"/>
    <x v="10"/>
    <n v="339.88122430333499"/>
    <n v="20676.107811786202"/>
    <n v="74433.988122430295"/>
  </r>
  <r>
    <x v="0"/>
    <x v="0"/>
    <x v="0"/>
    <x v="7"/>
    <x v="12"/>
    <s v="PL_A1"/>
    <x v="11"/>
    <x v="23"/>
    <x v="3"/>
    <x v="11"/>
    <n v="339.88122430333499"/>
    <n v="20676.107811786202"/>
    <n v="74433.988122430295"/>
  </r>
  <r>
    <x v="0"/>
    <x v="0"/>
    <x v="0"/>
    <x v="7"/>
    <x v="12"/>
    <s v="PL_A1"/>
    <x v="11"/>
    <x v="23"/>
    <x v="4"/>
    <x v="0"/>
    <n v="339.88122430333499"/>
    <n v="20676.107811786202"/>
    <n v="74433.988122430295"/>
  </r>
  <r>
    <x v="0"/>
    <x v="0"/>
    <x v="0"/>
    <x v="7"/>
    <x v="12"/>
    <s v="PL_A1"/>
    <x v="11"/>
    <x v="23"/>
    <x v="4"/>
    <x v="1"/>
    <n v="339.88122430333499"/>
    <n v="20676.107811786202"/>
    <n v="74433.988122430295"/>
  </r>
  <r>
    <x v="0"/>
    <x v="0"/>
    <x v="0"/>
    <x v="7"/>
    <x v="12"/>
    <s v="PL_A1"/>
    <x v="11"/>
    <x v="23"/>
    <x v="4"/>
    <x v="2"/>
    <n v="339.88122430333499"/>
    <n v="20676.107811786202"/>
    <n v="74433.988122430295"/>
  </r>
  <r>
    <x v="0"/>
    <x v="0"/>
    <x v="0"/>
    <x v="7"/>
    <x v="12"/>
    <s v="PL_A1"/>
    <x v="11"/>
    <x v="23"/>
    <x v="4"/>
    <x v="3"/>
    <n v="339.88122430333499"/>
    <n v="20676.107811786202"/>
    <n v="74433.988122430295"/>
  </r>
  <r>
    <x v="0"/>
    <x v="0"/>
    <x v="0"/>
    <x v="7"/>
    <x v="12"/>
    <s v="PL_A1"/>
    <x v="11"/>
    <x v="23"/>
    <x v="4"/>
    <x v="4"/>
    <n v="339.88122430333499"/>
    <n v="20676.107811786202"/>
    <n v="74433.988122430295"/>
  </r>
  <r>
    <x v="0"/>
    <x v="0"/>
    <x v="0"/>
    <x v="7"/>
    <x v="12"/>
    <s v="PL_A1"/>
    <x v="11"/>
    <x v="23"/>
    <x v="4"/>
    <x v="5"/>
    <n v="339.88122430333499"/>
    <n v="20676.107811786202"/>
    <n v="74433.988122430295"/>
  </r>
  <r>
    <x v="0"/>
    <x v="0"/>
    <x v="0"/>
    <x v="7"/>
    <x v="12"/>
    <s v="PL_A1"/>
    <x v="11"/>
    <x v="23"/>
    <x v="4"/>
    <x v="6"/>
    <n v="339.88122430333499"/>
    <n v="20676.107811786202"/>
    <n v="74433.988122430295"/>
  </r>
  <r>
    <x v="0"/>
    <x v="0"/>
    <x v="0"/>
    <x v="7"/>
    <x v="12"/>
    <s v="PL_A1"/>
    <x v="11"/>
    <x v="23"/>
    <x v="4"/>
    <x v="7"/>
    <n v="339.88122430333499"/>
    <n v="20676.107811786202"/>
    <n v="74433.988122430295"/>
  </r>
  <r>
    <x v="0"/>
    <x v="0"/>
    <x v="0"/>
    <x v="7"/>
    <x v="12"/>
    <s v="PL_A1"/>
    <x v="11"/>
    <x v="23"/>
    <x v="4"/>
    <x v="8"/>
    <n v="339.88122430333499"/>
    <n v="20676.107811786202"/>
    <n v="74433.988122430295"/>
  </r>
  <r>
    <x v="0"/>
    <x v="0"/>
    <x v="0"/>
    <x v="7"/>
    <x v="12"/>
    <s v="PL_A1"/>
    <x v="11"/>
    <x v="23"/>
    <x v="4"/>
    <x v="9"/>
    <n v="339.88122430333499"/>
    <n v="20676.107811786202"/>
    <n v="74433.988122430295"/>
  </r>
  <r>
    <x v="0"/>
    <x v="0"/>
    <x v="0"/>
    <x v="7"/>
    <x v="12"/>
    <s v="PL_A1"/>
    <x v="11"/>
    <x v="23"/>
    <x v="4"/>
    <x v="10"/>
    <n v="339.88122430333499"/>
    <n v="20676.107811786202"/>
    <n v="74433.988122430295"/>
  </r>
  <r>
    <x v="0"/>
    <x v="0"/>
    <x v="0"/>
    <x v="7"/>
    <x v="12"/>
    <s v="PL_A1"/>
    <x v="11"/>
    <x v="23"/>
    <x v="4"/>
    <x v="11"/>
    <n v="339.88122430333499"/>
    <n v="20676.107811786202"/>
    <n v="74433.988122430295"/>
  </r>
  <r>
    <x v="0"/>
    <x v="0"/>
    <x v="0"/>
    <x v="7"/>
    <x v="12"/>
    <s v="PL_A1"/>
    <x v="11"/>
    <x v="23"/>
    <x v="5"/>
    <x v="0"/>
    <n v="339.88122430333499"/>
    <n v="20676.107811786202"/>
    <n v="74433.988122430295"/>
  </r>
  <r>
    <x v="0"/>
    <x v="0"/>
    <x v="0"/>
    <x v="7"/>
    <x v="12"/>
    <s v="PL_A1"/>
    <x v="11"/>
    <x v="23"/>
    <x v="5"/>
    <x v="1"/>
    <n v="339.88122430333499"/>
    <n v="20676.107811786202"/>
    <n v="74433.988122430295"/>
  </r>
  <r>
    <x v="0"/>
    <x v="0"/>
    <x v="0"/>
    <x v="7"/>
    <x v="12"/>
    <s v="PL_A1"/>
    <x v="11"/>
    <x v="23"/>
    <x v="5"/>
    <x v="2"/>
    <n v="339.88122430333499"/>
    <n v="20676.107811786202"/>
    <n v="74433.988122430295"/>
  </r>
  <r>
    <x v="0"/>
    <x v="0"/>
    <x v="0"/>
    <x v="7"/>
    <x v="12"/>
    <s v="PL_A1"/>
    <x v="11"/>
    <x v="23"/>
    <x v="5"/>
    <x v="3"/>
    <n v="339.88122430333499"/>
    <n v="20676.107811786202"/>
    <n v="74433.988122430295"/>
  </r>
  <r>
    <x v="0"/>
    <x v="0"/>
    <x v="0"/>
    <x v="7"/>
    <x v="12"/>
    <s v="PL_A1"/>
    <x v="11"/>
    <x v="23"/>
    <x v="5"/>
    <x v="4"/>
    <n v="339.88122430333499"/>
    <n v="20676.107811786202"/>
    <n v="74433.988122430295"/>
  </r>
  <r>
    <x v="0"/>
    <x v="0"/>
    <x v="0"/>
    <x v="7"/>
    <x v="12"/>
    <s v="PL_A1"/>
    <x v="11"/>
    <x v="23"/>
    <x v="5"/>
    <x v="5"/>
    <n v="339.88122430333499"/>
    <n v="20676.107811786202"/>
    <n v="74433.988122430295"/>
  </r>
  <r>
    <x v="0"/>
    <x v="0"/>
    <x v="0"/>
    <x v="7"/>
    <x v="12"/>
    <s v="PL_A1"/>
    <x v="11"/>
    <x v="23"/>
    <x v="5"/>
    <x v="6"/>
    <n v="339.88122430333499"/>
    <n v="20676.107811786202"/>
    <n v="74433.988122430295"/>
  </r>
  <r>
    <x v="0"/>
    <x v="0"/>
    <x v="0"/>
    <x v="7"/>
    <x v="12"/>
    <s v="PL_A1"/>
    <x v="11"/>
    <x v="23"/>
    <x v="5"/>
    <x v="7"/>
    <n v="339.88122430333499"/>
    <n v="20676.107811786202"/>
    <n v="74433.988122430295"/>
  </r>
  <r>
    <x v="0"/>
    <x v="0"/>
    <x v="0"/>
    <x v="7"/>
    <x v="12"/>
    <s v="PL_A1"/>
    <x v="11"/>
    <x v="23"/>
    <x v="5"/>
    <x v="8"/>
    <n v="339.88122430333499"/>
    <n v="20676.107811786202"/>
    <n v="74433.988122430295"/>
  </r>
  <r>
    <x v="0"/>
    <x v="0"/>
    <x v="0"/>
    <x v="7"/>
    <x v="12"/>
    <s v="PL_A1"/>
    <x v="11"/>
    <x v="23"/>
    <x v="5"/>
    <x v="9"/>
    <n v="339.88122430333499"/>
    <n v="20676.107811786202"/>
    <n v="74433.988122430295"/>
  </r>
  <r>
    <x v="0"/>
    <x v="0"/>
    <x v="0"/>
    <x v="7"/>
    <x v="12"/>
    <s v="PL_A1"/>
    <x v="11"/>
    <x v="23"/>
    <x v="5"/>
    <x v="10"/>
    <n v="339.88122430333499"/>
    <n v="20676.107811786202"/>
    <n v="74433.988122430295"/>
  </r>
  <r>
    <x v="0"/>
    <x v="0"/>
    <x v="0"/>
    <x v="7"/>
    <x v="12"/>
    <s v="PL_A1"/>
    <x v="11"/>
    <x v="23"/>
    <x v="5"/>
    <x v="11"/>
    <n v="339.88122430333499"/>
    <n v="20676.107811786202"/>
    <n v="74433.988122430295"/>
  </r>
  <r>
    <x v="0"/>
    <x v="0"/>
    <x v="0"/>
    <x v="7"/>
    <x v="12"/>
    <s v="PL_A1"/>
    <x v="11"/>
    <x v="23"/>
    <x v="6"/>
    <x v="0"/>
    <n v="339.88122430333499"/>
    <n v="20676.107811786202"/>
    <n v="74433.988122430295"/>
  </r>
  <r>
    <x v="0"/>
    <x v="0"/>
    <x v="0"/>
    <x v="7"/>
    <x v="12"/>
    <s v="PL_A1"/>
    <x v="11"/>
    <x v="23"/>
    <x v="6"/>
    <x v="1"/>
    <n v="339.88122430333499"/>
    <n v="20676.107811786202"/>
    <n v="74433.988122430295"/>
  </r>
  <r>
    <x v="0"/>
    <x v="0"/>
    <x v="0"/>
    <x v="7"/>
    <x v="12"/>
    <s v="PL_A1"/>
    <x v="11"/>
    <x v="23"/>
    <x v="6"/>
    <x v="2"/>
    <n v="339.88122430333499"/>
    <n v="20676.107811786202"/>
    <n v="74433.988122430295"/>
  </r>
  <r>
    <x v="0"/>
    <x v="0"/>
    <x v="0"/>
    <x v="7"/>
    <x v="12"/>
    <s v="PL_A1"/>
    <x v="11"/>
    <x v="23"/>
    <x v="6"/>
    <x v="3"/>
    <n v="339.88122430333499"/>
    <n v="20676.107811786202"/>
    <n v="74433.988122430295"/>
  </r>
  <r>
    <x v="0"/>
    <x v="0"/>
    <x v="0"/>
    <x v="7"/>
    <x v="12"/>
    <s v="PL_A1"/>
    <x v="11"/>
    <x v="23"/>
    <x v="6"/>
    <x v="4"/>
    <n v="339.88122430333499"/>
    <n v="20676.107811786202"/>
    <n v="74433.988122430295"/>
  </r>
  <r>
    <x v="0"/>
    <x v="0"/>
    <x v="0"/>
    <x v="7"/>
    <x v="12"/>
    <s v="PL_A1"/>
    <x v="11"/>
    <x v="23"/>
    <x v="6"/>
    <x v="5"/>
    <n v="339.88122430333499"/>
    <n v="20676.107811786202"/>
    <n v="74433.988122430295"/>
  </r>
  <r>
    <x v="0"/>
    <x v="0"/>
    <x v="0"/>
    <x v="7"/>
    <x v="12"/>
    <s v="PL_A1"/>
    <x v="11"/>
    <x v="23"/>
    <x v="6"/>
    <x v="6"/>
    <n v="339.88122430333499"/>
    <n v="20676.107811786202"/>
    <n v="74433.988122430295"/>
  </r>
  <r>
    <x v="0"/>
    <x v="0"/>
    <x v="0"/>
    <x v="7"/>
    <x v="12"/>
    <s v="PL_A1"/>
    <x v="11"/>
    <x v="23"/>
    <x v="6"/>
    <x v="7"/>
    <n v="339.88122430333499"/>
    <n v="20676.107811786202"/>
    <n v="74433.988122430295"/>
  </r>
  <r>
    <x v="0"/>
    <x v="0"/>
    <x v="0"/>
    <x v="7"/>
    <x v="12"/>
    <s v="PL_A1"/>
    <x v="11"/>
    <x v="23"/>
    <x v="6"/>
    <x v="8"/>
    <n v="339.88122430333499"/>
    <n v="20676.107811786202"/>
    <n v="74433.988122430295"/>
  </r>
  <r>
    <x v="0"/>
    <x v="0"/>
    <x v="0"/>
    <x v="7"/>
    <x v="12"/>
    <s v="PL_A1"/>
    <x v="11"/>
    <x v="23"/>
    <x v="6"/>
    <x v="9"/>
    <n v="339.88122430333499"/>
    <n v="20676.107811786202"/>
    <n v="74433.988122430295"/>
  </r>
  <r>
    <x v="0"/>
    <x v="0"/>
    <x v="0"/>
    <x v="7"/>
    <x v="12"/>
    <s v="PL_A1"/>
    <x v="11"/>
    <x v="23"/>
    <x v="6"/>
    <x v="10"/>
    <n v="339.88122430333499"/>
    <n v="20676.107811786202"/>
    <n v="74433.988122430295"/>
  </r>
  <r>
    <x v="0"/>
    <x v="0"/>
    <x v="0"/>
    <x v="7"/>
    <x v="12"/>
    <s v="PL_A1"/>
    <x v="11"/>
    <x v="23"/>
    <x v="6"/>
    <x v="11"/>
    <n v="339.88122430333499"/>
    <n v="20676.107811786202"/>
    <n v="74433.988122430295"/>
  </r>
  <r>
    <x v="0"/>
    <x v="0"/>
    <x v="0"/>
    <x v="7"/>
    <x v="12"/>
    <s v="PL_A1"/>
    <x v="11"/>
    <x v="23"/>
    <x v="7"/>
    <x v="0"/>
    <n v="339.88122430333499"/>
    <n v="20676.107811786202"/>
    <n v="74433.988122430295"/>
  </r>
  <r>
    <x v="0"/>
    <x v="0"/>
    <x v="0"/>
    <x v="7"/>
    <x v="12"/>
    <s v="PL_A1"/>
    <x v="11"/>
    <x v="23"/>
    <x v="7"/>
    <x v="1"/>
    <n v="339.88122430333499"/>
    <n v="20676.107811786202"/>
    <n v="74433.988122430295"/>
  </r>
  <r>
    <x v="0"/>
    <x v="0"/>
    <x v="0"/>
    <x v="7"/>
    <x v="12"/>
    <s v="PL_A1"/>
    <x v="11"/>
    <x v="23"/>
    <x v="7"/>
    <x v="2"/>
    <n v="339.88122430333499"/>
    <n v="20676.107811786202"/>
    <n v="74433.988122430295"/>
  </r>
  <r>
    <x v="0"/>
    <x v="0"/>
    <x v="0"/>
    <x v="7"/>
    <x v="12"/>
    <s v="PL_A1"/>
    <x v="11"/>
    <x v="23"/>
    <x v="7"/>
    <x v="3"/>
    <n v="339.88122430333499"/>
    <n v="20676.107811786202"/>
    <n v="74433.988122430295"/>
  </r>
  <r>
    <x v="0"/>
    <x v="0"/>
    <x v="0"/>
    <x v="7"/>
    <x v="12"/>
    <s v="PL_A1"/>
    <x v="11"/>
    <x v="23"/>
    <x v="7"/>
    <x v="4"/>
    <n v="339.88122430333499"/>
    <n v="20676.107811786202"/>
    <n v="74433.988122430295"/>
  </r>
  <r>
    <x v="0"/>
    <x v="0"/>
    <x v="0"/>
    <x v="7"/>
    <x v="12"/>
    <s v="PL_A1"/>
    <x v="11"/>
    <x v="23"/>
    <x v="7"/>
    <x v="5"/>
    <n v="339.88122430333499"/>
    <n v="20676.107811786202"/>
    <n v="74433.988122430295"/>
  </r>
  <r>
    <x v="0"/>
    <x v="0"/>
    <x v="0"/>
    <x v="7"/>
    <x v="12"/>
    <s v="PL_A1"/>
    <x v="11"/>
    <x v="23"/>
    <x v="7"/>
    <x v="6"/>
    <n v="339.88122430333499"/>
    <n v="20676.107811786202"/>
    <n v="74433.988122430295"/>
  </r>
  <r>
    <x v="0"/>
    <x v="0"/>
    <x v="0"/>
    <x v="7"/>
    <x v="12"/>
    <s v="PL_A1"/>
    <x v="11"/>
    <x v="23"/>
    <x v="7"/>
    <x v="7"/>
    <n v="339.88122430333499"/>
    <n v="20676.107811786202"/>
    <n v="74433.988122430295"/>
  </r>
  <r>
    <x v="0"/>
    <x v="0"/>
    <x v="0"/>
    <x v="7"/>
    <x v="12"/>
    <s v="PL_A1"/>
    <x v="11"/>
    <x v="23"/>
    <x v="7"/>
    <x v="8"/>
    <n v="339.88122430333499"/>
    <n v="20676.107811786202"/>
    <n v="74433.988122430295"/>
  </r>
  <r>
    <x v="0"/>
    <x v="0"/>
    <x v="0"/>
    <x v="7"/>
    <x v="12"/>
    <s v="PL_A1"/>
    <x v="11"/>
    <x v="23"/>
    <x v="7"/>
    <x v="9"/>
    <n v="339.88122430333499"/>
    <n v="20676.107811786202"/>
    <n v="74433.988122430295"/>
  </r>
  <r>
    <x v="0"/>
    <x v="0"/>
    <x v="0"/>
    <x v="7"/>
    <x v="12"/>
    <s v="PL_A1"/>
    <x v="11"/>
    <x v="23"/>
    <x v="7"/>
    <x v="10"/>
    <n v="339.88122430333499"/>
    <n v="20676.107811786202"/>
    <n v="74433.988122430295"/>
  </r>
  <r>
    <x v="0"/>
    <x v="0"/>
    <x v="0"/>
    <x v="7"/>
    <x v="12"/>
    <s v="PL_A1"/>
    <x v="11"/>
    <x v="23"/>
    <x v="7"/>
    <x v="11"/>
    <n v="339.88122430333499"/>
    <n v="20676.107811786202"/>
    <n v="74433.988122430295"/>
  </r>
  <r>
    <x v="0"/>
    <x v="0"/>
    <x v="0"/>
    <x v="7"/>
    <x v="12"/>
    <s v="PL_A1"/>
    <x v="11"/>
    <x v="23"/>
    <x v="8"/>
    <x v="0"/>
    <n v="339.88122430333499"/>
    <n v="20676.107811786202"/>
    <n v="74433.988122430295"/>
  </r>
  <r>
    <x v="0"/>
    <x v="0"/>
    <x v="0"/>
    <x v="7"/>
    <x v="12"/>
    <s v="PL_A1"/>
    <x v="11"/>
    <x v="23"/>
    <x v="8"/>
    <x v="1"/>
    <n v="339.88122430333499"/>
    <n v="20676.107811786202"/>
    <n v="74433.988122430295"/>
  </r>
  <r>
    <x v="0"/>
    <x v="0"/>
    <x v="0"/>
    <x v="7"/>
    <x v="12"/>
    <s v="PL_A1"/>
    <x v="11"/>
    <x v="23"/>
    <x v="8"/>
    <x v="2"/>
    <n v="339.88122430333499"/>
    <n v="20676.107811786202"/>
    <n v="74433.988122430295"/>
  </r>
  <r>
    <x v="0"/>
    <x v="0"/>
    <x v="0"/>
    <x v="7"/>
    <x v="12"/>
    <s v="PL_A1"/>
    <x v="11"/>
    <x v="23"/>
    <x v="8"/>
    <x v="3"/>
    <n v="339.88122430333499"/>
    <n v="20676.107811786202"/>
    <n v="74433.988122430295"/>
  </r>
  <r>
    <x v="0"/>
    <x v="0"/>
    <x v="0"/>
    <x v="7"/>
    <x v="12"/>
    <s v="PL_A1"/>
    <x v="11"/>
    <x v="23"/>
    <x v="8"/>
    <x v="4"/>
    <n v="339.88122430333499"/>
    <n v="20676.107811786202"/>
    <n v="74433.988122430295"/>
  </r>
  <r>
    <x v="0"/>
    <x v="0"/>
    <x v="0"/>
    <x v="7"/>
    <x v="12"/>
    <s v="PL_A1"/>
    <x v="11"/>
    <x v="23"/>
    <x v="8"/>
    <x v="5"/>
    <n v="339.88122430333499"/>
    <n v="20676.107811786202"/>
    <n v="74433.988122430295"/>
  </r>
  <r>
    <x v="0"/>
    <x v="0"/>
    <x v="0"/>
    <x v="7"/>
    <x v="12"/>
    <s v="PL_A1"/>
    <x v="11"/>
    <x v="23"/>
    <x v="8"/>
    <x v="6"/>
    <n v="339.88122430333499"/>
    <n v="20676.107811786202"/>
    <n v="74433.988122430295"/>
  </r>
  <r>
    <x v="0"/>
    <x v="0"/>
    <x v="0"/>
    <x v="7"/>
    <x v="12"/>
    <s v="PL_A1"/>
    <x v="11"/>
    <x v="23"/>
    <x v="8"/>
    <x v="7"/>
    <n v="339.88122430333499"/>
    <n v="20676.107811786202"/>
    <n v="74433.988122430295"/>
  </r>
  <r>
    <x v="0"/>
    <x v="0"/>
    <x v="0"/>
    <x v="7"/>
    <x v="12"/>
    <s v="PL_A1"/>
    <x v="11"/>
    <x v="23"/>
    <x v="8"/>
    <x v="8"/>
    <n v="339.88122430333499"/>
    <n v="20676.107811786202"/>
    <n v="74433.988122430295"/>
  </r>
  <r>
    <x v="0"/>
    <x v="0"/>
    <x v="0"/>
    <x v="7"/>
    <x v="12"/>
    <s v="PL_A1"/>
    <x v="11"/>
    <x v="23"/>
    <x v="8"/>
    <x v="9"/>
    <n v="339.88122430333499"/>
    <n v="20676.107811786202"/>
    <n v="74433.988122430295"/>
  </r>
  <r>
    <x v="0"/>
    <x v="0"/>
    <x v="0"/>
    <x v="7"/>
    <x v="12"/>
    <s v="PL_A1"/>
    <x v="11"/>
    <x v="23"/>
    <x v="8"/>
    <x v="10"/>
    <n v="339.88122430333499"/>
    <n v="20676.107811786202"/>
    <n v="74433.988122430295"/>
  </r>
  <r>
    <x v="0"/>
    <x v="0"/>
    <x v="0"/>
    <x v="7"/>
    <x v="12"/>
    <s v="PL_A1"/>
    <x v="11"/>
    <x v="23"/>
    <x v="8"/>
    <x v="11"/>
    <n v="339.88122430333499"/>
    <n v="20676.107811786202"/>
    <n v="74433.988122430295"/>
  </r>
  <r>
    <x v="0"/>
    <x v="0"/>
    <x v="0"/>
    <x v="7"/>
    <x v="12"/>
    <s v="PL_A1"/>
    <x v="11"/>
    <x v="23"/>
    <x v="9"/>
    <x v="0"/>
    <n v="339.88122430333499"/>
    <n v="20676.107811786202"/>
    <n v="74433.988122430295"/>
  </r>
  <r>
    <x v="0"/>
    <x v="0"/>
    <x v="0"/>
    <x v="7"/>
    <x v="12"/>
    <s v="PL_A1"/>
    <x v="11"/>
    <x v="23"/>
    <x v="9"/>
    <x v="1"/>
    <n v="339.88122430333499"/>
    <n v="20676.107811786202"/>
    <n v="74433.988122430295"/>
  </r>
  <r>
    <x v="0"/>
    <x v="0"/>
    <x v="0"/>
    <x v="7"/>
    <x v="12"/>
    <s v="PL_A1"/>
    <x v="11"/>
    <x v="23"/>
    <x v="9"/>
    <x v="2"/>
    <n v="339.88122430333499"/>
    <n v="20676.107811786202"/>
    <n v="74433.988122430295"/>
  </r>
  <r>
    <x v="0"/>
    <x v="0"/>
    <x v="0"/>
    <x v="7"/>
    <x v="12"/>
    <s v="PL_A1"/>
    <x v="11"/>
    <x v="23"/>
    <x v="9"/>
    <x v="3"/>
    <n v="339.88122430333499"/>
    <n v="20676.107811786202"/>
    <n v="74433.988122430295"/>
  </r>
  <r>
    <x v="0"/>
    <x v="0"/>
    <x v="0"/>
    <x v="7"/>
    <x v="12"/>
    <s v="PL_A1"/>
    <x v="11"/>
    <x v="23"/>
    <x v="9"/>
    <x v="4"/>
    <n v="339.88122430333499"/>
    <n v="20676.107811786202"/>
    <n v="74433.988122430295"/>
  </r>
  <r>
    <x v="0"/>
    <x v="0"/>
    <x v="0"/>
    <x v="7"/>
    <x v="12"/>
    <s v="PL_A1"/>
    <x v="11"/>
    <x v="23"/>
    <x v="9"/>
    <x v="5"/>
    <n v="339.88122430333499"/>
    <n v="20676.107811786202"/>
    <n v="74433.988122430295"/>
  </r>
  <r>
    <x v="0"/>
    <x v="0"/>
    <x v="0"/>
    <x v="7"/>
    <x v="12"/>
    <s v="PL_A1"/>
    <x v="11"/>
    <x v="23"/>
    <x v="9"/>
    <x v="6"/>
    <n v="339.88122430333499"/>
    <n v="20676.107811786202"/>
    <n v="74433.988122430295"/>
  </r>
  <r>
    <x v="0"/>
    <x v="0"/>
    <x v="0"/>
    <x v="7"/>
    <x v="12"/>
    <s v="PL_A1"/>
    <x v="11"/>
    <x v="23"/>
    <x v="9"/>
    <x v="7"/>
    <n v="339.88122430333499"/>
    <n v="20676.107811786202"/>
    <n v="74433.988122430295"/>
  </r>
  <r>
    <x v="0"/>
    <x v="0"/>
    <x v="0"/>
    <x v="7"/>
    <x v="12"/>
    <s v="PL_A1"/>
    <x v="11"/>
    <x v="23"/>
    <x v="9"/>
    <x v="8"/>
    <n v="339.88122430333499"/>
    <n v="20676.107811786202"/>
    <n v="74433.988122430295"/>
  </r>
  <r>
    <x v="0"/>
    <x v="0"/>
    <x v="0"/>
    <x v="7"/>
    <x v="12"/>
    <s v="PL_A1"/>
    <x v="11"/>
    <x v="23"/>
    <x v="9"/>
    <x v="9"/>
    <n v="339.88122430333499"/>
    <n v="20676.107811786202"/>
    <n v="74433.988122430295"/>
  </r>
  <r>
    <x v="0"/>
    <x v="0"/>
    <x v="0"/>
    <x v="7"/>
    <x v="12"/>
    <s v="PL_A1"/>
    <x v="11"/>
    <x v="23"/>
    <x v="9"/>
    <x v="10"/>
    <n v="339.88122430333499"/>
    <n v="20676.107811786202"/>
    <n v="74433.988122430295"/>
  </r>
  <r>
    <x v="0"/>
    <x v="0"/>
    <x v="0"/>
    <x v="7"/>
    <x v="12"/>
    <s v="PL_A1"/>
    <x v="11"/>
    <x v="23"/>
    <x v="9"/>
    <x v="11"/>
    <n v="339.88122430333499"/>
    <n v="20676.107811786202"/>
    <n v="74433.988122430295"/>
  </r>
  <r>
    <x v="0"/>
    <x v="0"/>
    <x v="0"/>
    <x v="7"/>
    <x v="12"/>
    <s v="PL_A1"/>
    <x v="11"/>
    <x v="23"/>
    <x v="10"/>
    <x v="0"/>
    <n v="339.88122430333499"/>
    <n v="20676.107811786202"/>
    <n v="74433.988122430295"/>
  </r>
  <r>
    <x v="0"/>
    <x v="0"/>
    <x v="0"/>
    <x v="7"/>
    <x v="12"/>
    <s v="PL_A1"/>
    <x v="11"/>
    <x v="23"/>
    <x v="10"/>
    <x v="1"/>
    <n v="339.88122430333499"/>
    <n v="20676.107811786202"/>
    <n v="74433.988122430295"/>
  </r>
  <r>
    <x v="0"/>
    <x v="0"/>
    <x v="0"/>
    <x v="7"/>
    <x v="12"/>
    <s v="PL_A1"/>
    <x v="11"/>
    <x v="23"/>
    <x v="10"/>
    <x v="2"/>
    <n v="339.88122430333499"/>
    <n v="20676.107811786202"/>
    <n v="74433.988122430295"/>
  </r>
  <r>
    <x v="0"/>
    <x v="0"/>
    <x v="0"/>
    <x v="7"/>
    <x v="12"/>
    <s v="PL_A1"/>
    <x v="11"/>
    <x v="23"/>
    <x v="10"/>
    <x v="3"/>
    <n v="339.88122430333499"/>
    <n v="20676.107811786202"/>
    <n v="74433.988122430295"/>
  </r>
  <r>
    <x v="0"/>
    <x v="0"/>
    <x v="0"/>
    <x v="7"/>
    <x v="12"/>
    <s v="PL_A1"/>
    <x v="11"/>
    <x v="23"/>
    <x v="10"/>
    <x v="4"/>
    <n v="339.88122430333499"/>
    <n v="20676.107811786202"/>
    <n v="74433.988122430295"/>
  </r>
  <r>
    <x v="0"/>
    <x v="0"/>
    <x v="0"/>
    <x v="7"/>
    <x v="12"/>
    <s v="PL_A1"/>
    <x v="11"/>
    <x v="23"/>
    <x v="10"/>
    <x v="5"/>
    <n v="339.88122430333499"/>
    <n v="20676.107811786202"/>
    <n v="74433.988122430295"/>
  </r>
  <r>
    <x v="0"/>
    <x v="0"/>
    <x v="0"/>
    <x v="7"/>
    <x v="12"/>
    <s v="PL_A1"/>
    <x v="11"/>
    <x v="23"/>
    <x v="10"/>
    <x v="6"/>
    <n v="339.88122430333499"/>
    <n v="20676.107811786202"/>
    <n v="74433.988122430295"/>
  </r>
  <r>
    <x v="0"/>
    <x v="0"/>
    <x v="0"/>
    <x v="7"/>
    <x v="12"/>
    <s v="PL_A1"/>
    <x v="11"/>
    <x v="23"/>
    <x v="10"/>
    <x v="7"/>
    <n v="339.88122430333499"/>
    <n v="20676.107811786202"/>
    <n v="74433.988122430295"/>
  </r>
  <r>
    <x v="0"/>
    <x v="0"/>
    <x v="0"/>
    <x v="7"/>
    <x v="12"/>
    <s v="PL_A1"/>
    <x v="11"/>
    <x v="23"/>
    <x v="10"/>
    <x v="8"/>
    <n v="339.88122430333499"/>
    <n v="20676.107811786202"/>
    <n v="74433.988122430295"/>
  </r>
  <r>
    <x v="0"/>
    <x v="0"/>
    <x v="0"/>
    <x v="7"/>
    <x v="12"/>
    <s v="PL_A1"/>
    <x v="11"/>
    <x v="23"/>
    <x v="10"/>
    <x v="9"/>
    <n v="339.88122430333499"/>
    <n v="20676.107811786202"/>
    <n v="74433.988122430295"/>
  </r>
  <r>
    <x v="0"/>
    <x v="0"/>
    <x v="0"/>
    <x v="7"/>
    <x v="12"/>
    <s v="PL_A1"/>
    <x v="11"/>
    <x v="23"/>
    <x v="10"/>
    <x v="10"/>
    <n v="339.88122430333499"/>
    <n v="20676.107811786202"/>
    <n v="74433.988122430295"/>
  </r>
  <r>
    <x v="0"/>
    <x v="0"/>
    <x v="0"/>
    <x v="7"/>
    <x v="12"/>
    <s v="PL_A1"/>
    <x v="11"/>
    <x v="23"/>
    <x v="10"/>
    <x v="11"/>
    <n v="339.88122430333499"/>
    <n v="20676.107811786202"/>
    <n v="74433.988122430295"/>
  </r>
  <r>
    <x v="0"/>
    <x v="0"/>
    <x v="0"/>
    <x v="7"/>
    <x v="12"/>
    <s v="PL_A1"/>
    <x v="11"/>
    <x v="23"/>
    <x v="11"/>
    <x v="0"/>
    <n v="339.88122430333499"/>
    <n v="20676.107811786202"/>
    <n v="74433.988122430295"/>
  </r>
  <r>
    <x v="0"/>
    <x v="0"/>
    <x v="0"/>
    <x v="7"/>
    <x v="12"/>
    <s v="PL_A1"/>
    <x v="11"/>
    <x v="23"/>
    <x v="11"/>
    <x v="1"/>
    <n v="339.88122430333499"/>
    <n v="20676.107811786202"/>
    <n v="74433.988122430295"/>
  </r>
  <r>
    <x v="0"/>
    <x v="0"/>
    <x v="0"/>
    <x v="7"/>
    <x v="12"/>
    <s v="PL_A1"/>
    <x v="11"/>
    <x v="23"/>
    <x v="11"/>
    <x v="2"/>
    <n v="339.88122430333499"/>
    <n v="20676.107811786202"/>
    <n v="74433.988122430295"/>
  </r>
  <r>
    <x v="0"/>
    <x v="0"/>
    <x v="0"/>
    <x v="7"/>
    <x v="12"/>
    <s v="PL_A1"/>
    <x v="11"/>
    <x v="23"/>
    <x v="11"/>
    <x v="3"/>
    <n v="339.88122430333499"/>
    <n v="20676.107811786202"/>
    <n v="74433.988122430295"/>
  </r>
  <r>
    <x v="0"/>
    <x v="0"/>
    <x v="0"/>
    <x v="7"/>
    <x v="12"/>
    <s v="PL_A1"/>
    <x v="11"/>
    <x v="23"/>
    <x v="11"/>
    <x v="4"/>
    <n v="339.88122430333499"/>
    <n v="20676.107811786202"/>
    <n v="74433.988122430295"/>
  </r>
  <r>
    <x v="0"/>
    <x v="0"/>
    <x v="0"/>
    <x v="7"/>
    <x v="12"/>
    <s v="PL_A1"/>
    <x v="11"/>
    <x v="23"/>
    <x v="11"/>
    <x v="5"/>
    <n v="339.88122430333499"/>
    <n v="20676.107811786202"/>
    <n v="74433.988122430295"/>
  </r>
  <r>
    <x v="0"/>
    <x v="0"/>
    <x v="0"/>
    <x v="7"/>
    <x v="12"/>
    <s v="PL_A1"/>
    <x v="11"/>
    <x v="23"/>
    <x v="11"/>
    <x v="6"/>
    <n v="339.88122430333499"/>
    <n v="20676.107811786202"/>
    <n v="74433.988122430295"/>
  </r>
  <r>
    <x v="0"/>
    <x v="0"/>
    <x v="0"/>
    <x v="7"/>
    <x v="12"/>
    <s v="PL_A1"/>
    <x v="11"/>
    <x v="23"/>
    <x v="11"/>
    <x v="7"/>
    <n v="339.88122430333499"/>
    <n v="20676.107811786202"/>
    <n v="74433.988122430295"/>
  </r>
  <r>
    <x v="0"/>
    <x v="0"/>
    <x v="0"/>
    <x v="7"/>
    <x v="12"/>
    <s v="PL_A1"/>
    <x v="11"/>
    <x v="23"/>
    <x v="11"/>
    <x v="8"/>
    <n v="339.88122430333499"/>
    <n v="20676.107811786202"/>
    <n v="74433.988122430295"/>
  </r>
  <r>
    <x v="0"/>
    <x v="0"/>
    <x v="0"/>
    <x v="7"/>
    <x v="12"/>
    <s v="PL_A1"/>
    <x v="11"/>
    <x v="23"/>
    <x v="11"/>
    <x v="9"/>
    <n v="339.88122430333499"/>
    <n v="20676.107811786202"/>
    <n v="74433.988122430295"/>
  </r>
  <r>
    <x v="0"/>
    <x v="0"/>
    <x v="0"/>
    <x v="7"/>
    <x v="12"/>
    <s v="PL_A1"/>
    <x v="11"/>
    <x v="23"/>
    <x v="11"/>
    <x v="10"/>
    <n v="339.88122430333499"/>
    <n v="20676.107811786202"/>
    <n v="74433.988122430295"/>
  </r>
  <r>
    <x v="0"/>
    <x v="0"/>
    <x v="0"/>
    <x v="7"/>
    <x v="12"/>
    <s v="PL_A1"/>
    <x v="11"/>
    <x v="23"/>
    <x v="11"/>
    <x v="11"/>
    <n v="339.88122430333499"/>
    <n v="20676.107811786202"/>
    <n v="74433.988122430295"/>
  </r>
  <r>
    <x v="0"/>
    <x v="0"/>
    <x v="0"/>
    <x v="7"/>
    <x v="12"/>
    <s v="PL_A1"/>
    <x v="11"/>
    <x v="24"/>
    <x v="0"/>
    <x v="0"/>
    <n v="7773.5623724245497"/>
    <n v="472891.71098916"/>
    <n v="1702410.15956098"/>
  </r>
  <r>
    <x v="0"/>
    <x v="0"/>
    <x v="0"/>
    <x v="7"/>
    <x v="12"/>
    <s v="PL_A1"/>
    <x v="11"/>
    <x v="24"/>
    <x v="0"/>
    <x v="1"/>
    <n v="7768.9280030196396"/>
    <n v="472609.78685036098"/>
    <n v="1701395.2326613001"/>
  </r>
  <r>
    <x v="0"/>
    <x v="0"/>
    <x v="0"/>
    <x v="7"/>
    <x v="12"/>
    <s v="PL_A1"/>
    <x v="11"/>
    <x v="24"/>
    <x v="0"/>
    <x v="2"/>
    <n v="7773.5623724245497"/>
    <n v="472891.71098916"/>
    <n v="1702410.15956098"/>
  </r>
  <r>
    <x v="0"/>
    <x v="0"/>
    <x v="0"/>
    <x v="7"/>
    <x v="12"/>
    <s v="PL_A1"/>
    <x v="11"/>
    <x v="24"/>
    <x v="0"/>
    <x v="3"/>
    <n v="7778.1967418294298"/>
    <n v="473173.63512795698"/>
    <n v="1703425.08646064"/>
  </r>
  <r>
    <x v="0"/>
    <x v="0"/>
    <x v="0"/>
    <x v="7"/>
    <x v="12"/>
    <s v="PL_A1"/>
    <x v="11"/>
    <x v="24"/>
    <x v="0"/>
    <x v="4"/>
    <n v="7778.1967418294298"/>
    <n v="473173.63512795698"/>
    <n v="1703425.08646064"/>
  </r>
  <r>
    <x v="0"/>
    <x v="0"/>
    <x v="0"/>
    <x v="7"/>
    <x v="12"/>
    <s v="PL_A1"/>
    <x v="11"/>
    <x v="24"/>
    <x v="0"/>
    <x v="5"/>
    <n v="7768.9280030196396"/>
    <n v="472609.78685036098"/>
    <n v="1701395.2326613001"/>
  </r>
  <r>
    <x v="0"/>
    <x v="0"/>
    <x v="0"/>
    <x v="7"/>
    <x v="12"/>
    <s v="PL_A1"/>
    <x v="11"/>
    <x v="24"/>
    <x v="0"/>
    <x v="6"/>
    <n v="7750.3905254000501"/>
    <n v="471482.09029517003"/>
    <n v="1697335.5250626099"/>
  </r>
  <r>
    <x v="0"/>
    <x v="0"/>
    <x v="0"/>
    <x v="7"/>
    <x v="12"/>
    <s v="PL_A1"/>
    <x v="11"/>
    <x v="24"/>
    <x v="0"/>
    <x v="7"/>
    <n v="7736.4874171853398"/>
    <n v="470636.31787877501"/>
    <n v="1694290.7443635899"/>
  </r>
  <r>
    <x v="0"/>
    <x v="0"/>
    <x v="0"/>
    <x v="7"/>
    <x v="12"/>
    <s v="PL_A1"/>
    <x v="11"/>
    <x v="24"/>
    <x v="0"/>
    <x v="8"/>
    <n v="7782.8311112343399"/>
    <n v="473455.559266756"/>
    <n v="1704440.0133603199"/>
  </r>
  <r>
    <x v="0"/>
    <x v="0"/>
    <x v="0"/>
    <x v="7"/>
    <x v="12"/>
    <s v="PL_A1"/>
    <x v="11"/>
    <x v="24"/>
    <x v="0"/>
    <x v="9"/>
    <n v="7847.7122829029504"/>
    <n v="477402.49720992899"/>
    <n v="1718648.9899557501"/>
  </r>
  <r>
    <x v="0"/>
    <x v="0"/>
    <x v="0"/>
    <x v="7"/>
    <x v="12"/>
    <s v="PL_A1"/>
    <x v="11"/>
    <x v="24"/>
    <x v="0"/>
    <x v="10"/>
    <n v="7940.3996710009396"/>
    <n v="483040.97998588998"/>
    <n v="1738947.52794921"/>
  </r>
  <r>
    <x v="0"/>
    <x v="0"/>
    <x v="0"/>
    <x v="7"/>
    <x v="12"/>
    <s v="PL_A1"/>
    <x v="11"/>
    <x v="24"/>
    <x v="0"/>
    <x v="11"/>
    <n v="8051.6245367185402"/>
    <n v="489807.15931704501"/>
    <n v="1763305.7735413599"/>
  </r>
  <r>
    <x v="0"/>
    <x v="0"/>
    <x v="0"/>
    <x v="7"/>
    <x v="12"/>
    <s v="PL_A1"/>
    <x v="11"/>
    <x v="24"/>
    <x v="1"/>
    <x v="0"/>
    <n v="10660.7745116773"/>
    <n v="648530.44946036802"/>
    <n v="2334709.6180573301"/>
  </r>
  <r>
    <x v="0"/>
    <x v="0"/>
    <x v="0"/>
    <x v="7"/>
    <x v="12"/>
    <s v="PL_A1"/>
    <x v="11"/>
    <x v="24"/>
    <x v="1"/>
    <x v="1"/>
    <n v="10734.9244221557"/>
    <n v="653041.235681138"/>
    <n v="2350948.4484521002"/>
  </r>
  <r>
    <x v="0"/>
    <x v="0"/>
    <x v="0"/>
    <x v="7"/>
    <x v="12"/>
    <s v="PL_A1"/>
    <x v="11"/>
    <x v="24"/>
    <x v="1"/>
    <x v="2"/>
    <n v="10758.0962691802"/>
    <n v="654450.85637512803"/>
    <n v="2356023.0829504598"/>
  </r>
  <r>
    <x v="0"/>
    <x v="0"/>
    <x v="0"/>
    <x v="7"/>
    <x v="12"/>
    <s v="PL_A1"/>
    <x v="11"/>
    <x v="24"/>
    <x v="1"/>
    <x v="3"/>
    <n v="10688.580728106699"/>
    <n v="650221.99429315794"/>
    <n v="2340799.1794553702"/>
  </r>
  <r>
    <x v="0"/>
    <x v="0"/>
    <x v="0"/>
    <x v="7"/>
    <x v="12"/>
    <s v="PL_A1"/>
    <x v="11"/>
    <x v="24"/>
    <x v="1"/>
    <x v="4"/>
    <n v="10535.646537745"/>
    <n v="640918.49771281995"/>
    <n v="2307306.5917661502"/>
  </r>
  <r>
    <x v="0"/>
    <x v="0"/>
    <x v="0"/>
    <x v="7"/>
    <x v="12"/>
    <s v="PL_A1"/>
    <x v="11"/>
    <x v="24"/>
    <x v="1"/>
    <x v="5"/>
    <n v="10313.196806309799"/>
    <n v="627386.13905051094"/>
    <n v="2258590.1005818401"/>
  </r>
  <r>
    <x v="0"/>
    <x v="0"/>
    <x v="0"/>
    <x v="7"/>
    <x v="12"/>
    <s v="PL_A1"/>
    <x v="11"/>
    <x v="24"/>
    <x v="1"/>
    <x v="6"/>
    <n v="10030.5002726109"/>
    <n v="610188.76658382895"/>
    <n v="2196679.5597017799"/>
  </r>
  <r>
    <x v="0"/>
    <x v="0"/>
    <x v="0"/>
    <x v="7"/>
    <x v="12"/>
    <s v="PL_A1"/>
    <x v="11"/>
    <x v="24"/>
    <x v="1"/>
    <x v="7"/>
    <n v="9682.9225672433695"/>
    <n v="589044.45617397095"/>
    <n v="2120560.0422263001"/>
  </r>
  <r>
    <x v="0"/>
    <x v="0"/>
    <x v="0"/>
    <x v="7"/>
    <x v="12"/>
    <s v="PL_A1"/>
    <x v="11"/>
    <x v="24"/>
    <x v="1"/>
    <x v="8"/>
    <n v="9381.6885559248694"/>
    <n v="570719.38715209602"/>
    <n v="2054589.7937475501"/>
  </r>
  <r>
    <x v="0"/>
    <x v="0"/>
    <x v="0"/>
    <x v="7"/>
    <x v="12"/>
    <s v="PL_A1"/>
    <x v="11"/>
    <x v="24"/>
    <x v="1"/>
    <x v="9"/>
    <n v="9108.26076103575"/>
    <n v="554085.862963008"/>
    <n v="1994709.1066668299"/>
  </r>
  <r>
    <x v="0"/>
    <x v="0"/>
    <x v="0"/>
    <x v="7"/>
    <x v="12"/>
    <s v="PL_A1"/>
    <x v="11"/>
    <x v="24"/>
    <x v="1"/>
    <x v="10"/>
    <n v="8862.6391825760402"/>
    <n v="539143.88360670896"/>
    <n v="1940917.98098415"/>
  </r>
  <r>
    <x v="0"/>
    <x v="0"/>
    <x v="0"/>
    <x v="7"/>
    <x v="12"/>
    <s v="PL_A1"/>
    <x v="11"/>
    <x v="24"/>
    <x v="1"/>
    <x v="11"/>
    <n v="8658.7269287604504"/>
    <n v="526739.22149959404"/>
    <n v="1896261.1973985401"/>
  </r>
  <r>
    <x v="0"/>
    <x v="0"/>
    <x v="0"/>
    <x v="7"/>
    <x v="12"/>
    <s v="PL_A1"/>
    <x v="11"/>
    <x v="24"/>
    <x v="2"/>
    <x v="0"/>
    <n v="8292.6117457733399"/>
    <n v="504467.21453454503"/>
    <n v="1816081.9723243599"/>
  </r>
  <r>
    <x v="0"/>
    <x v="0"/>
    <x v="0"/>
    <x v="7"/>
    <x v="12"/>
    <s v="PL_A1"/>
    <x v="11"/>
    <x v="24"/>
    <x v="2"/>
    <x v="1"/>
    <n v="8301.8804845831401"/>
    <n v="505031.06281214103"/>
    <n v="1818111.82612371"/>
  </r>
  <r>
    <x v="0"/>
    <x v="0"/>
    <x v="0"/>
    <x v="7"/>
    <x v="12"/>
    <s v="PL_A1"/>
    <x v="11"/>
    <x v="24"/>
    <x v="2"/>
    <x v="2"/>
    <n v="8311.1492233929603"/>
    <n v="505594.91108973802"/>
    <n v="1820141.6799230599"/>
  </r>
  <r>
    <x v="0"/>
    <x v="0"/>
    <x v="0"/>
    <x v="7"/>
    <x v="12"/>
    <s v="PL_A1"/>
    <x v="11"/>
    <x v="24"/>
    <x v="2"/>
    <x v="3"/>
    <n v="8334.3210704174508"/>
    <n v="507004.53178372898"/>
    <n v="1825216.31442142"/>
  </r>
  <r>
    <x v="0"/>
    <x v="0"/>
    <x v="0"/>
    <x v="7"/>
    <x v="12"/>
    <s v="PL_A1"/>
    <x v="11"/>
    <x v="24"/>
    <x v="2"/>
    <x v="4"/>
    <n v="8362.1272868468404"/>
    <n v="508696.07661651599"/>
    <n v="1831305.87581946"/>
  </r>
  <r>
    <x v="0"/>
    <x v="0"/>
    <x v="0"/>
    <x v="7"/>
    <x v="12"/>
    <s v="PL_A1"/>
    <x v="11"/>
    <x v="24"/>
    <x v="2"/>
    <x v="5"/>
    <n v="8394.5678726811493"/>
    <n v="510669.54558810301"/>
    <n v="1838410.36411717"/>
  </r>
  <r>
    <x v="0"/>
    <x v="0"/>
    <x v="0"/>
    <x v="7"/>
    <x v="12"/>
    <s v="PL_A1"/>
    <x v="11"/>
    <x v="24"/>
    <x v="2"/>
    <x v="6"/>
    <n v="8440.9115667301503"/>
    <n v="513488.786976084"/>
    <n v="1848559.6331139"/>
  </r>
  <r>
    <x v="0"/>
    <x v="0"/>
    <x v="0"/>
    <x v="7"/>
    <x v="12"/>
    <s v="PL_A1"/>
    <x v="11"/>
    <x v="24"/>
    <x v="2"/>
    <x v="7"/>
    <n v="8477.9865219693493"/>
    <n v="515744.18008646899"/>
    <n v="1856679.0483112901"/>
  </r>
  <r>
    <x v="0"/>
    <x v="0"/>
    <x v="0"/>
    <x v="7"/>
    <x v="12"/>
    <s v="PL_A1"/>
    <x v="11"/>
    <x v="24"/>
    <x v="2"/>
    <x v="8"/>
    <n v="8510.42710780364"/>
    <n v="517717.64905805502"/>
    <n v="1863783.5366090001"/>
  </r>
  <r>
    <x v="0"/>
    <x v="0"/>
    <x v="0"/>
    <x v="7"/>
    <x v="12"/>
    <s v="PL_A1"/>
    <x v="11"/>
    <x v="24"/>
    <x v="2"/>
    <x v="9"/>
    <n v="8552.1364324477599"/>
    <n v="520254.96630723902"/>
    <n v="1872917.8787060599"/>
  </r>
  <r>
    <x v="0"/>
    <x v="0"/>
    <x v="0"/>
    <x v="7"/>
    <x v="12"/>
    <s v="PL_A1"/>
    <x v="11"/>
    <x v="24"/>
    <x v="2"/>
    <x v="10"/>
    <n v="8570.6739100673403"/>
    <n v="521382.66286242998"/>
    <n v="1876977.5863047501"/>
  </r>
  <r>
    <x v="0"/>
    <x v="0"/>
    <x v="0"/>
    <x v="7"/>
    <x v="12"/>
    <s v="PL_A1"/>
    <x v="11"/>
    <x v="24"/>
    <x v="2"/>
    <x v="11"/>
    <n v="8542.8676936379597"/>
    <n v="519691.11802964302"/>
    <n v="1870888.02490671"/>
  </r>
  <r>
    <x v="0"/>
    <x v="0"/>
    <x v="0"/>
    <x v="7"/>
    <x v="12"/>
    <s v="PL_A1"/>
    <x v="11"/>
    <x v="24"/>
    <x v="3"/>
    <x v="0"/>
    <n v="8579.9426488771605"/>
    <n v="521946.51114002703"/>
    <n v="1879007.4401040999"/>
  </r>
  <r>
    <x v="0"/>
    <x v="0"/>
    <x v="0"/>
    <x v="7"/>
    <x v="12"/>
    <s v="PL_A1"/>
    <x v="11"/>
    <x v="24"/>
    <x v="3"/>
    <x v="1"/>
    <n v="8728.24246983394"/>
    <n v="530968.08358156495"/>
    <n v="1911485.1008936299"/>
  </r>
  <r>
    <x v="0"/>
    <x v="0"/>
    <x v="0"/>
    <x v="7"/>
    <x v="12"/>
    <s v="PL_A1"/>
    <x v="11"/>
    <x v="24"/>
    <x v="3"/>
    <x v="2"/>
    <n v="8848.7360743613408"/>
    <n v="538298.11119031499"/>
    <n v="1937873.2002851299"/>
  </r>
  <r>
    <x v="0"/>
    <x v="0"/>
    <x v="0"/>
    <x v="7"/>
    <x v="12"/>
    <s v="PL_A1"/>
    <x v="11"/>
    <x v="24"/>
    <x v="3"/>
    <x v="3"/>
    <n v="8950.6922012691502"/>
    <n v="544500.44224387303"/>
    <n v="1960201.59207794"/>
  </r>
  <r>
    <x v="0"/>
    <x v="0"/>
    <x v="0"/>
    <x v="7"/>
    <x v="12"/>
    <s v="PL_A1"/>
    <x v="11"/>
    <x v="24"/>
    <x v="3"/>
    <x v="4"/>
    <n v="9029.4764811524692"/>
    <n v="549293.15260344197"/>
    <n v="1977455.34937239"/>
  </r>
  <r>
    <x v="0"/>
    <x v="0"/>
    <x v="0"/>
    <x v="7"/>
    <x v="12"/>
    <s v="PL_A1"/>
    <x v="11"/>
    <x v="24"/>
    <x v="3"/>
    <x v="5"/>
    <n v="9057.2826975818407"/>
    <n v="550984.69743622898"/>
    <n v="1983544.91077042"/>
  </r>
  <r>
    <x v="0"/>
    <x v="0"/>
    <x v="0"/>
    <x v="7"/>
    <x v="12"/>
    <s v="PL_A1"/>
    <x v="11"/>
    <x v="24"/>
    <x v="3"/>
    <x v="6"/>
    <n v="9052.6483281769597"/>
    <n v="550702.773297432"/>
    <n v="1982529.9838707601"/>
  </r>
  <r>
    <x v="0"/>
    <x v="0"/>
    <x v="0"/>
    <x v="7"/>
    <x v="12"/>
    <s v="PL_A1"/>
    <x v="11"/>
    <x v="24"/>
    <x v="3"/>
    <x v="7"/>
    <n v="9020.2077423426508"/>
    <n v="548729.30432584404"/>
    <n v="1975425.4955730401"/>
  </r>
  <r>
    <x v="0"/>
    <x v="0"/>
    <x v="0"/>
    <x v="7"/>
    <x v="12"/>
    <s v="PL_A1"/>
    <x v="11"/>
    <x v="24"/>
    <x v="3"/>
    <x v="8"/>
    <n v="8978.4984176985599"/>
    <n v="546191.98707666202"/>
    <n v="1966291.15347598"/>
  </r>
  <r>
    <x v="0"/>
    <x v="0"/>
    <x v="0"/>
    <x v="7"/>
    <x v="12"/>
    <s v="PL_A1"/>
    <x v="11"/>
    <x v="24"/>
    <x v="3"/>
    <x v="9"/>
    <n v="8922.8859848397497"/>
    <n v="542808.89741108497"/>
    <n v="1954112.0306799"/>
  </r>
  <r>
    <x v="0"/>
    <x v="0"/>
    <x v="0"/>
    <x v="7"/>
    <x v="12"/>
    <s v="PL_A1"/>
    <x v="11"/>
    <x v="24"/>
    <x v="3"/>
    <x v="10"/>
    <n v="8858.0048131711592"/>
    <n v="538861.95946791198"/>
    <n v="1939903.05408448"/>
  </r>
  <r>
    <x v="0"/>
    <x v="0"/>
    <x v="0"/>
    <x v="7"/>
    <x v="12"/>
    <s v="PL_A1"/>
    <x v="11"/>
    <x v="24"/>
    <x v="3"/>
    <x v="11"/>
    <n v="8793.1236415025505"/>
    <n v="534915.02152473899"/>
    <n v="1925694.0774890599"/>
  </r>
  <r>
    <x v="0"/>
    <x v="0"/>
    <x v="0"/>
    <x v="7"/>
    <x v="12"/>
    <s v="PL_A1"/>
    <x v="11"/>
    <x v="24"/>
    <x v="4"/>
    <x v="0"/>
    <n v="12064.988441362"/>
    <n v="733953.46351618902"/>
    <n v="2642232.4686582801"/>
  </r>
  <r>
    <x v="0"/>
    <x v="0"/>
    <x v="0"/>
    <x v="7"/>
    <x v="12"/>
    <s v="PL_A1"/>
    <x v="11"/>
    <x v="24"/>
    <x v="4"/>
    <x v="1"/>
    <n v="12069.622810766899"/>
    <n v="734235.387654986"/>
    <n v="2643247.3955579498"/>
  </r>
  <r>
    <x v="0"/>
    <x v="0"/>
    <x v="0"/>
    <x v="7"/>
    <x v="12"/>
    <s v="PL_A1"/>
    <x v="11"/>
    <x v="24"/>
    <x v="4"/>
    <x v="2"/>
    <n v="11981.5697920738"/>
    <n v="728878.82901782403"/>
    <n v="2623963.7844641702"/>
  </r>
  <r>
    <x v="0"/>
    <x v="0"/>
    <x v="0"/>
    <x v="7"/>
    <x v="12"/>
    <s v="PL_A1"/>
    <x v="11"/>
    <x v="24"/>
    <x v="4"/>
    <x v="3"/>
    <n v="11828.6356017121"/>
    <n v="719575.33243748604"/>
    <n v="2590471.1967749498"/>
  </r>
  <r>
    <x v="0"/>
    <x v="0"/>
    <x v="0"/>
    <x v="7"/>
    <x v="12"/>
    <s v="PL_A1"/>
    <x v="11"/>
    <x v="24"/>
    <x v="4"/>
    <x v="4"/>
    <n v="11671.0670419455"/>
    <n v="709989.91171835095"/>
    <n v="2555963.6821860699"/>
  </r>
  <r>
    <x v="0"/>
    <x v="0"/>
    <x v="0"/>
    <x v="7"/>
    <x v="12"/>
    <s v="PL_A1"/>
    <x v="11"/>
    <x v="24"/>
    <x v="4"/>
    <x v="5"/>
    <n v="11457.886049320099"/>
    <n v="697021.401333638"/>
    <n v="2509277.0448011002"/>
  </r>
  <r>
    <x v="0"/>
    <x v="0"/>
    <x v="0"/>
    <x v="7"/>
    <x v="12"/>
    <s v="PL_A1"/>
    <x v="11"/>
    <x v="24"/>
    <x v="4"/>
    <x v="6"/>
    <n v="11189.092623835901"/>
    <n v="680669.80128334905"/>
    <n v="2450411.2846200601"/>
  </r>
  <r>
    <x v="0"/>
    <x v="0"/>
    <x v="0"/>
    <x v="7"/>
    <x v="12"/>
    <s v="PL_A1"/>
    <x v="11"/>
    <x v="24"/>
    <x v="4"/>
    <x v="7"/>
    <n v="10906.396090136999"/>
    <n v="663472.42881666694"/>
    <n v="2388500.7437399998"/>
  </r>
  <r>
    <x v="0"/>
    <x v="0"/>
    <x v="0"/>
    <x v="7"/>
    <x v="12"/>
    <s v="PL_A1"/>
    <x v="11"/>
    <x v="24"/>
    <x v="4"/>
    <x v="8"/>
    <n v="10679.311989296901"/>
    <n v="649658.14601556002"/>
    <n v="2338769.3256560201"/>
  </r>
  <r>
    <x v="0"/>
    <x v="0"/>
    <x v="0"/>
    <x v="7"/>
    <x v="12"/>
    <s v="PL_A1"/>
    <x v="11"/>
    <x v="24"/>
    <x v="4"/>
    <x v="9"/>
    <n v="10558.8183847695"/>
    <n v="642328.11840680998"/>
    <n v="2312381.2262645201"/>
  </r>
  <r>
    <x v="0"/>
    <x v="0"/>
    <x v="0"/>
    <x v="7"/>
    <x v="12"/>
    <s v="PL_A1"/>
    <x v="11"/>
    <x v="24"/>
    <x v="4"/>
    <x v="10"/>
    <n v="10517.1090601254"/>
    <n v="639790.80115762795"/>
    <n v="2303246.8841674598"/>
  </r>
  <r>
    <x v="0"/>
    <x v="0"/>
    <x v="0"/>
    <x v="7"/>
    <x v="12"/>
    <s v="PL_A1"/>
    <x v="11"/>
    <x v="24"/>
    <x v="4"/>
    <x v="11"/>
    <n v="10507.8403213156"/>
    <n v="639226.95288003003"/>
    <n v="2301217.0303681102"/>
  </r>
  <r>
    <x v="0"/>
    <x v="0"/>
    <x v="0"/>
    <x v="7"/>
    <x v="12"/>
    <s v="PL_A1"/>
    <x v="11"/>
    <x v="24"/>
    <x v="5"/>
    <x v="0"/>
    <n v="13020.706455542"/>
    <n v="792092.97604547301"/>
    <n v="2851534.7137636999"/>
  </r>
  <r>
    <x v="0"/>
    <x v="0"/>
    <x v="0"/>
    <x v="7"/>
    <x v="12"/>
    <s v="PL_A1"/>
    <x v="11"/>
    <x v="24"/>
    <x v="5"/>
    <x v="1"/>
    <n v="13020.706455542"/>
    <n v="792092.97604547301"/>
    <n v="2851534.7137636999"/>
  </r>
  <r>
    <x v="0"/>
    <x v="0"/>
    <x v="0"/>
    <x v="7"/>
    <x v="12"/>
    <s v="PL_A1"/>
    <x v="11"/>
    <x v="24"/>
    <x v="5"/>
    <x v="2"/>
    <n v="13020.706455542"/>
    <n v="792092.97604547301"/>
    <n v="2851534.7137636999"/>
  </r>
  <r>
    <x v="0"/>
    <x v="0"/>
    <x v="0"/>
    <x v="7"/>
    <x v="12"/>
    <s v="PL_A1"/>
    <x v="11"/>
    <x v="24"/>
    <x v="5"/>
    <x v="3"/>
    <n v="13020.706455542"/>
    <n v="792092.97604547301"/>
    <n v="2851534.7137636999"/>
  </r>
  <r>
    <x v="0"/>
    <x v="0"/>
    <x v="0"/>
    <x v="7"/>
    <x v="12"/>
    <s v="PL_A1"/>
    <x v="11"/>
    <x v="24"/>
    <x v="5"/>
    <x v="4"/>
    <n v="13020.706455542"/>
    <n v="792092.97604547301"/>
    <n v="2851534.7137636999"/>
  </r>
  <r>
    <x v="0"/>
    <x v="0"/>
    <x v="0"/>
    <x v="7"/>
    <x v="12"/>
    <s v="PL_A1"/>
    <x v="11"/>
    <x v="24"/>
    <x v="5"/>
    <x v="5"/>
    <n v="13020.706455542"/>
    <n v="792092.97604547301"/>
    <n v="2851534.7137636999"/>
  </r>
  <r>
    <x v="0"/>
    <x v="0"/>
    <x v="0"/>
    <x v="7"/>
    <x v="12"/>
    <s v="PL_A1"/>
    <x v="11"/>
    <x v="24"/>
    <x v="5"/>
    <x v="6"/>
    <n v="13020.706455542"/>
    <n v="792092.97604547301"/>
    <n v="2851534.7137636999"/>
  </r>
  <r>
    <x v="0"/>
    <x v="0"/>
    <x v="0"/>
    <x v="7"/>
    <x v="12"/>
    <s v="PL_A1"/>
    <x v="11"/>
    <x v="24"/>
    <x v="5"/>
    <x v="7"/>
    <n v="13020.706455542"/>
    <n v="792092.97604547301"/>
    <n v="2851534.7137636999"/>
  </r>
  <r>
    <x v="0"/>
    <x v="0"/>
    <x v="0"/>
    <x v="7"/>
    <x v="12"/>
    <s v="PL_A1"/>
    <x v="11"/>
    <x v="24"/>
    <x v="5"/>
    <x v="8"/>
    <n v="13020.706455542"/>
    <n v="792092.97604547301"/>
    <n v="2851534.7137636999"/>
  </r>
  <r>
    <x v="0"/>
    <x v="0"/>
    <x v="0"/>
    <x v="7"/>
    <x v="12"/>
    <s v="PL_A1"/>
    <x v="11"/>
    <x v="24"/>
    <x v="5"/>
    <x v="9"/>
    <n v="13020.706455542"/>
    <n v="792092.97604547301"/>
    <n v="2851534.7137636999"/>
  </r>
  <r>
    <x v="0"/>
    <x v="0"/>
    <x v="0"/>
    <x v="7"/>
    <x v="12"/>
    <s v="PL_A1"/>
    <x v="11"/>
    <x v="24"/>
    <x v="5"/>
    <x v="10"/>
    <n v="13020.706455542"/>
    <n v="792092.97604547301"/>
    <n v="2851534.7137636999"/>
  </r>
  <r>
    <x v="0"/>
    <x v="0"/>
    <x v="0"/>
    <x v="7"/>
    <x v="12"/>
    <s v="PL_A1"/>
    <x v="11"/>
    <x v="24"/>
    <x v="5"/>
    <x v="11"/>
    <n v="13020.706455542"/>
    <n v="792092.97604547301"/>
    <n v="2851534.7137636999"/>
  </r>
  <r>
    <x v="0"/>
    <x v="0"/>
    <x v="0"/>
    <x v="7"/>
    <x v="12"/>
    <s v="PL_A1"/>
    <x v="11"/>
    <x v="24"/>
    <x v="6"/>
    <x v="0"/>
    <n v="10480.034104886199"/>
    <n v="637535.40804724302"/>
    <n v="2295127.4689700799"/>
  </r>
  <r>
    <x v="0"/>
    <x v="0"/>
    <x v="0"/>
    <x v="7"/>
    <x v="12"/>
    <s v="PL_A1"/>
    <x v="11"/>
    <x v="24"/>
    <x v="6"/>
    <x v="1"/>
    <n v="10466.1309966715"/>
    <n v="636689.63563084905"/>
    <n v="2292082.6882710601"/>
  </r>
  <r>
    <x v="0"/>
    <x v="0"/>
    <x v="0"/>
    <x v="7"/>
    <x v="12"/>
    <s v="PL_A1"/>
    <x v="11"/>
    <x v="24"/>
    <x v="6"/>
    <x v="2"/>
    <n v="10433.6904108372"/>
    <n v="634716.16665926296"/>
    <n v="2284978.1999733499"/>
  </r>
  <r>
    <x v="0"/>
    <x v="0"/>
    <x v="0"/>
    <x v="7"/>
    <x v="12"/>
    <s v="PL_A1"/>
    <x v="11"/>
    <x v="24"/>
    <x v="6"/>
    <x v="3"/>
    <n v="10387.346716788201"/>
    <n v="631896.92527127999"/>
    <n v="2274828.9309766102"/>
  </r>
  <r>
    <x v="0"/>
    <x v="0"/>
    <x v="0"/>
    <x v="7"/>
    <x v="12"/>
    <s v="PL_A1"/>
    <x v="11"/>
    <x v="24"/>
    <x v="6"/>
    <x v="4"/>
    <n v="10331.7342839294"/>
    <n v="628513.83560570399"/>
    <n v="2262649.8081805301"/>
  </r>
  <r>
    <x v="0"/>
    <x v="0"/>
    <x v="0"/>
    <x v="7"/>
    <x v="12"/>
    <s v="PL_A1"/>
    <x v="11"/>
    <x v="24"/>
    <x v="6"/>
    <x v="5"/>
    <n v="10280.7562204755"/>
    <n v="625412.67007892497"/>
    <n v="2251485.61228413"/>
  </r>
  <r>
    <x v="0"/>
    <x v="0"/>
    <x v="0"/>
    <x v="7"/>
    <x v="12"/>
    <s v="PL_A1"/>
    <x v="11"/>
    <x v="24"/>
    <x v="6"/>
    <x v="6"/>
    <n v="10206.6063099971"/>
    <n v="620901.88385815499"/>
    <n v="2235246.7818893599"/>
  </r>
  <r>
    <x v="0"/>
    <x v="0"/>
    <x v="0"/>
    <x v="7"/>
    <x v="12"/>
    <s v="PL_A1"/>
    <x v="11"/>
    <x v="24"/>
    <x v="6"/>
    <x v="7"/>
    <n v="10137.090768923599"/>
    <n v="616673.02177618502"/>
    <n v="2220022.8783942601"/>
  </r>
  <r>
    <x v="0"/>
    <x v="0"/>
    <x v="0"/>
    <x v="7"/>
    <x v="12"/>
    <s v="PL_A1"/>
    <x v="11"/>
    <x v="24"/>
    <x v="6"/>
    <x v="8"/>
    <n v="10062.940858445199"/>
    <n v="612162.23555541504"/>
    <n v="2203784.0479994901"/>
  </r>
  <r>
    <x v="0"/>
    <x v="0"/>
    <x v="0"/>
    <x v="7"/>
    <x v="12"/>
    <s v="PL_A1"/>
    <x v="11"/>
    <x v="24"/>
    <x v="6"/>
    <x v="9"/>
    <n v="9993.4253173716897"/>
    <n v="607933.37347344402"/>
    <n v="2188560.1445044"/>
  </r>
  <r>
    <x v="0"/>
    <x v="0"/>
    <x v="0"/>
    <x v="7"/>
    <x v="12"/>
    <s v="PL_A1"/>
    <x v="11"/>
    <x v="24"/>
    <x v="6"/>
    <x v="10"/>
    <n v="9928.5441457030702"/>
    <n v="603986.43553026998"/>
    <n v="2174351.1679089698"/>
  </r>
  <r>
    <x v="0"/>
    <x v="0"/>
    <x v="0"/>
    <x v="7"/>
    <x v="12"/>
    <s v="PL_A1"/>
    <x v="11"/>
    <x v="24"/>
    <x v="6"/>
    <x v="11"/>
    <n v="9882.2004516540801"/>
    <n v="601167.19414229004"/>
    <n v="2164201.8989122398"/>
  </r>
  <r>
    <x v="0"/>
    <x v="0"/>
    <x v="0"/>
    <x v="7"/>
    <x v="12"/>
    <s v="PL_A1"/>
    <x v="11"/>
    <x v="24"/>
    <x v="7"/>
    <x v="0"/>
    <n v="9794.14743296097"/>
    <n v="595810.63550512597"/>
    <n v="2144918.28781845"/>
  </r>
  <r>
    <x v="0"/>
    <x v="0"/>
    <x v="0"/>
    <x v="7"/>
    <x v="12"/>
    <s v="PL_A1"/>
    <x v="11"/>
    <x v="24"/>
    <x v="7"/>
    <x v="1"/>
    <n v="9701.4600448629499"/>
    <n v="590172.15272916295"/>
    <n v="2124619.7498249901"/>
  </r>
  <r>
    <x v="0"/>
    <x v="0"/>
    <x v="0"/>
    <x v="7"/>
    <x v="12"/>
    <s v="PL_A1"/>
    <x v="11"/>
    <x v="24"/>
    <x v="7"/>
    <x v="2"/>
    <n v="9594.8695485502594"/>
    <n v="583687.897536807"/>
    <n v="2101276.4311325098"/>
  </r>
  <r>
    <x v="0"/>
    <x v="0"/>
    <x v="0"/>
    <x v="7"/>
    <x v="12"/>
    <s v="PL_A1"/>
    <x v="11"/>
    <x v="24"/>
    <x v="7"/>
    <x v="3"/>
    <n v="9469.7415746179795"/>
    <n v="576075.94578925997"/>
    <n v="2073873.4048413399"/>
  </r>
  <r>
    <x v="0"/>
    <x v="0"/>
    <x v="0"/>
    <x v="7"/>
    <x v="12"/>
    <s v="PL_A1"/>
    <x v="11"/>
    <x v="24"/>
    <x v="7"/>
    <x v="4"/>
    <n v="9316.8073842562608"/>
    <n v="566772.44920892199"/>
    <n v="2040380.8171521199"/>
  </r>
  <r>
    <x v="0"/>
    <x v="0"/>
    <x v="0"/>
    <x v="7"/>
    <x v="12"/>
    <s v="PL_A1"/>
    <x v="11"/>
    <x v="24"/>
    <x v="7"/>
    <x v="5"/>
    <n v="9154.6044550847491"/>
    <n v="556905.10435098899"/>
    <n v="2004858.3756635599"/>
  </r>
  <r>
    <x v="0"/>
    <x v="0"/>
    <x v="0"/>
    <x v="7"/>
    <x v="12"/>
    <s v="PL_A1"/>
    <x v="11"/>
    <x v="24"/>
    <x v="7"/>
    <x v="6"/>
    <n v="8978.4984176985599"/>
    <n v="546191.98707666202"/>
    <n v="1966291.15347598"/>
  </r>
  <r>
    <x v="0"/>
    <x v="0"/>
    <x v="0"/>
    <x v="7"/>
    <x v="12"/>
    <s v="PL_A1"/>
    <x v="11"/>
    <x v="24"/>
    <x v="7"/>
    <x v="7"/>
    <n v="8788.4892720976404"/>
    <n v="534633.09738594003"/>
    <n v="1924679.1505893799"/>
  </r>
  <r>
    <x v="0"/>
    <x v="0"/>
    <x v="0"/>
    <x v="7"/>
    <x v="12"/>
    <s v="PL_A1"/>
    <x v="11"/>
    <x v="24"/>
    <x v="7"/>
    <x v="8"/>
    <n v="8621.6519735212496"/>
    <n v="524483.828389209"/>
    <n v="1888141.78220115"/>
  </r>
  <r>
    <x v="0"/>
    <x v="0"/>
    <x v="0"/>
    <x v="7"/>
    <x v="12"/>
    <s v="PL_A1"/>
    <x v="11"/>
    <x v="24"/>
    <x v="7"/>
    <x v="9"/>
    <n v="8487.2552607791404"/>
    <n v="516308.02836406499"/>
    <n v="1858708.9021106299"/>
  </r>
  <r>
    <x v="0"/>
    <x v="0"/>
    <x v="0"/>
    <x v="7"/>
    <x v="12"/>
    <s v="PL_A1"/>
    <x v="11"/>
    <x v="24"/>
    <x v="7"/>
    <x v="10"/>
    <n v="8380.6647644664499"/>
    <n v="509823.77317170898"/>
    <n v="1835365.58341815"/>
  </r>
  <r>
    <x v="0"/>
    <x v="0"/>
    <x v="0"/>
    <x v="7"/>
    <x v="12"/>
    <s v="PL_A1"/>
    <x v="11"/>
    <x v="24"/>
    <x v="7"/>
    <x v="11"/>
    <n v="8301.8804845831401"/>
    <n v="505031.06281214103"/>
    <n v="1818111.82612371"/>
  </r>
  <r>
    <x v="0"/>
    <x v="0"/>
    <x v="0"/>
    <x v="7"/>
    <x v="12"/>
    <s v="PL_A1"/>
    <x v="11"/>
    <x v="24"/>
    <x v="8"/>
    <x v="0"/>
    <n v="8612.3832347114494"/>
    <n v="523919.980111613"/>
    <n v="1886111.9284018099"/>
  </r>
  <r>
    <x v="0"/>
    <x v="0"/>
    <x v="0"/>
    <x v="7"/>
    <x v="12"/>
    <s v="PL_A1"/>
    <x v="11"/>
    <x v="24"/>
    <x v="8"/>
    <x v="1"/>
    <n v="8695.8018839996494"/>
    <n v="528994.61460997898"/>
    <n v="1904380.61259592"/>
  </r>
  <r>
    <x v="0"/>
    <x v="0"/>
    <x v="0"/>
    <x v="7"/>
    <x v="12"/>
    <s v="PL_A1"/>
    <x v="11"/>
    <x v="24"/>
    <x v="8"/>
    <x v="2"/>
    <n v="8765.3174250731408"/>
    <n v="533223.47669195"/>
    <n v="1919604.5160910201"/>
  </r>
  <r>
    <x v="0"/>
    <x v="0"/>
    <x v="0"/>
    <x v="7"/>
    <x v="12"/>
    <s v="PL_A1"/>
    <x v="11"/>
    <x v="24"/>
    <x v="8"/>
    <x v="3"/>
    <n v="8844.1017049564598"/>
    <n v="538016.18705151801"/>
    <n v="1936858.27338546"/>
  </r>
  <r>
    <x v="0"/>
    <x v="0"/>
    <x v="0"/>
    <x v="7"/>
    <x v="12"/>
    <s v="PL_A1"/>
    <x v="11"/>
    <x v="24"/>
    <x v="8"/>
    <x v="4"/>
    <n v="8904.3485072201602"/>
    <n v="541681.20085589297"/>
    <n v="1950052.32308121"/>
  </r>
  <r>
    <x v="0"/>
    <x v="0"/>
    <x v="0"/>
    <x v="7"/>
    <x v="12"/>
    <s v="PL_A1"/>
    <x v="11"/>
    <x v="24"/>
    <x v="8"/>
    <x v="5"/>
    <n v="8936.7890930544509"/>
    <n v="543654.66982747905"/>
    <n v="1957156.81137892"/>
  </r>
  <r>
    <x v="0"/>
    <x v="0"/>
    <x v="0"/>
    <x v="7"/>
    <x v="12"/>
    <s v="PL_A1"/>
    <x v="11"/>
    <x v="24"/>
    <x v="8"/>
    <x v="6"/>
    <n v="8927.5203542446507"/>
    <n v="543090.821549883"/>
    <n v="1955126.9575795799"/>
  </r>
  <r>
    <x v="0"/>
    <x v="0"/>
    <x v="0"/>
    <x v="7"/>
    <x v="12"/>
    <s v="PL_A1"/>
    <x v="11"/>
    <x v="24"/>
    <x v="8"/>
    <x v="7"/>
    <n v="8876.5422907907505"/>
    <n v="539989.65602310398"/>
    <n v="1943962.76168317"/>
  </r>
  <r>
    <x v="0"/>
    <x v="0"/>
    <x v="0"/>
    <x v="7"/>
    <x v="12"/>
    <s v="PL_A1"/>
    <x v="11"/>
    <x v="24"/>
    <x v="8"/>
    <x v="8"/>
    <n v="8793.1236415025505"/>
    <n v="534915.02152473899"/>
    <n v="1925694.0774890599"/>
  </r>
  <r>
    <x v="0"/>
    <x v="0"/>
    <x v="0"/>
    <x v="7"/>
    <x v="12"/>
    <s v="PL_A1"/>
    <x v="11"/>
    <x v="24"/>
    <x v="8"/>
    <x v="9"/>
    <n v="8732.8768392388502"/>
    <n v="531250.00772036402"/>
    <n v="1912500.0277933099"/>
  </r>
  <r>
    <x v="0"/>
    <x v="0"/>
    <x v="0"/>
    <x v="7"/>
    <x v="12"/>
    <s v="PL_A1"/>
    <x v="11"/>
    <x v="24"/>
    <x v="8"/>
    <x v="10"/>
    <n v="8654.0925593555694"/>
    <n v="526457.29736079695"/>
    <n v="1895246.2704988699"/>
  </r>
  <r>
    <x v="0"/>
    <x v="0"/>
    <x v="0"/>
    <x v="7"/>
    <x v="12"/>
    <s v="PL_A1"/>
    <x v="11"/>
    <x v="24"/>
    <x v="8"/>
    <x v="11"/>
    <n v="8579.9426488771605"/>
    <n v="521946.51114002703"/>
    <n v="1879007.4401040999"/>
  </r>
  <r>
    <x v="0"/>
    <x v="0"/>
    <x v="0"/>
    <x v="7"/>
    <x v="12"/>
    <s v="PL_A1"/>
    <x v="11"/>
    <x v="24"/>
    <x v="9"/>
    <x v="0"/>
    <n v="8079.4307531479499"/>
    <n v="491498.704149834"/>
    <n v="1769395.3349394"/>
  </r>
  <r>
    <x v="0"/>
    <x v="0"/>
    <x v="0"/>
    <x v="7"/>
    <x v="12"/>
    <s v="PL_A1"/>
    <x v="11"/>
    <x v="24"/>
    <x v="9"/>
    <x v="1"/>
    <n v="8144.3119248165303"/>
    <n v="495445.642093006"/>
    <n v="1783604.3115348199"/>
  </r>
  <r>
    <x v="0"/>
    <x v="0"/>
    <x v="0"/>
    <x v="7"/>
    <x v="12"/>
    <s v="PL_A1"/>
    <x v="11"/>
    <x v="24"/>
    <x v="9"/>
    <x v="2"/>
    <n v="8176.7525106508601"/>
    <n v="497419.11106459401"/>
    <n v="1790708.7998325401"/>
  </r>
  <r>
    <x v="0"/>
    <x v="0"/>
    <x v="0"/>
    <x v="7"/>
    <x v="12"/>
    <s v="PL_A1"/>
    <x v="11"/>
    <x v="24"/>
    <x v="9"/>
    <x v="3"/>
    <n v="8162.8494024361498"/>
    <n v="496573.33864819899"/>
    <n v="1787664.0191335201"/>
  </r>
  <r>
    <x v="0"/>
    <x v="0"/>
    <x v="0"/>
    <x v="7"/>
    <x v="12"/>
    <s v="PL_A1"/>
    <x v="11"/>
    <x v="24"/>
    <x v="9"/>
    <x v="4"/>
    <n v="8121.1400777920398"/>
    <n v="494036.02139901603"/>
    <n v="1778529.67703646"/>
  </r>
  <r>
    <x v="0"/>
    <x v="0"/>
    <x v="0"/>
    <x v="7"/>
    <x v="12"/>
    <s v="PL_A1"/>
    <x v="11"/>
    <x v="24"/>
    <x v="9"/>
    <x v="5"/>
    <n v="8060.8932755283404"/>
    <n v="490371.00759464101"/>
    <n v="1765335.62734071"/>
  </r>
  <r>
    <x v="0"/>
    <x v="0"/>
    <x v="0"/>
    <x v="7"/>
    <x v="12"/>
    <s v="PL_A1"/>
    <x v="11"/>
    <x v="24"/>
    <x v="9"/>
    <x v="6"/>
    <n v="7968.2058874303502"/>
    <n v="484732.52481868002"/>
    <n v="1745037.0893472501"/>
  </r>
  <r>
    <x v="0"/>
    <x v="0"/>
    <x v="0"/>
    <x v="7"/>
    <x v="12"/>
    <s v="PL_A1"/>
    <x v="11"/>
    <x v="24"/>
    <x v="9"/>
    <x v="7"/>
    <n v="7856.9810217127397"/>
    <n v="477966.34548752499"/>
    <n v="1720678.8437550899"/>
  </r>
  <r>
    <x v="0"/>
    <x v="0"/>
    <x v="0"/>
    <x v="7"/>
    <x v="12"/>
    <s v="PL_A1"/>
    <x v="11"/>
    <x v="24"/>
    <x v="9"/>
    <x v="8"/>
    <n v="7773.5623724245497"/>
    <n v="472891.71098916"/>
    <n v="1702410.15956098"/>
  </r>
  <r>
    <x v="0"/>
    <x v="0"/>
    <x v="0"/>
    <x v="7"/>
    <x v="12"/>
    <s v="PL_A1"/>
    <x v="11"/>
    <x v="24"/>
    <x v="9"/>
    <x v="9"/>
    <n v="7713.3155701608503"/>
    <n v="469226.69718478498"/>
    <n v="1689216.10986523"/>
  </r>
  <r>
    <x v="0"/>
    <x v="0"/>
    <x v="0"/>
    <x v="7"/>
    <x v="12"/>
    <s v="PL_A1"/>
    <x v="11"/>
    <x v="24"/>
    <x v="9"/>
    <x v="10"/>
    <n v="7694.7780925412299"/>
    <n v="468099.00062959199"/>
    <n v="1685156.4022665301"/>
  </r>
  <r>
    <x v="0"/>
    <x v="0"/>
    <x v="0"/>
    <x v="7"/>
    <x v="12"/>
    <s v="PL_A1"/>
    <x v="11"/>
    <x v="24"/>
    <x v="9"/>
    <x v="11"/>
    <n v="7750.3905254000501"/>
    <n v="471482.09029517003"/>
    <n v="1697335.5250626099"/>
  </r>
  <r>
    <x v="0"/>
    <x v="0"/>
    <x v="0"/>
    <x v="7"/>
    <x v="12"/>
    <s v="PL_A1"/>
    <x v="11"/>
    <x v="24"/>
    <x v="10"/>
    <x v="0"/>
    <n v="7064.5038534748301"/>
    <n v="429757.31775305199"/>
    <n v="1547126.3439109901"/>
  </r>
  <r>
    <x v="0"/>
    <x v="0"/>
    <x v="0"/>
    <x v="7"/>
    <x v="12"/>
    <s v="PL_A1"/>
    <x v="11"/>
    <x v="24"/>
    <x v="10"/>
    <x v="1"/>
    <n v="7059.86948406992"/>
    <n v="429475.39361425297"/>
    <n v="1546111.4170113101"/>
  </r>
  <r>
    <x v="0"/>
    <x v="0"/>
    <x v="0"/>
    <x v="7"/>
    <x v="12"/>
    <s v="PL_A1"/>
    <x v="11"/>
    <x v="24"/>
    <x v="10"/>
    <x v="2"/>
    <n v="7027.4288982356302"/>
    <n v="427501.924642667"/>
    <n v="1539006.9287135999"/>
  </r>
  <r>
    <x v="0"/>
    <x v="0"/>
    <x v="0"/>
    <x v="7"/>
    <x v="12"/>
    <s v="PL_A1"/>
    <x v="11"/>
    <x v="24"/>
    <x v="10"/>
    <x v="3"/>
    <n v="6994.9883124013404"/>
    <n v="425528.45567108103"/>
    <n v="1531902.44041589"/>
  </r>
  <r>
    <x v="0"/>
    <x v="0"/>
    <x v="0"/>
    <x v="7"/>
    <x v="12"/>
    <s v="PL_A1"/>
    <x v="11"/>
    <x v="24"/>
    <x v="10"/>
    <x v="4"/>
    <n v="6939.3758795425201"/>
    <n v="422145.36600550299"/>
    <n v="1519723.3176198101"/>
  </r>
  <r>
    <x v="0"/>
    <x v="0"/>
    <x v="0"/>
    <x v="7"/>
    <x v="12"/>
    <s v="PL_A1"/>
    <x v="11"/>
    <x v="24"/>
    <x v="10"/>
    <x v="5"/>
    <n v="6855.9572302543202"/>
    <n v="417070.731507138"/>
    <n v="1501454.6334257"/>
  </r>
  <r>
    <x v="0"/>
    <x v="0"/>
    <x v="0"/>
    <x v="7"/>
    <x v="12"/>
    <s v="PL_A1"/>
    <x v="11"/>
    <x v="24"/>
    <x v="10"/>
    <x v="6"/>
    <n v="6758.6354727514199"/>
    <n v="411150.32459237799"/>
    <n v="1480141.1685325601"/>
  </r>
  <r>
    <x v="0"/>
    <x v="0"/>
    <x v="0"/>
    <x v="7"/>
    <x v="12"/>
    <s v="PL_A1"/>
    <x v="11"/>
    <x v="24"/>
    <x v="10"/>
    <x v="7"/>
    <n v="6665.9480846534298"/>
    <n v="405511.841816417"/>
    <n v="1459842.6305390999"/>
  </r>
  <r>
    <x v="0"/>
    <x v="0"/>
    <x v="0"/>
    <x v="7"/>
    <x v="12"/>
    <s v="PL_A1"/>
    <x v="11"/>
    <x v="24"/>
    <x v="10"/>
    <x v="8"/>
    <n v="6568.6263271505304"/>
    <n v="399591.43490165699"/>
    <n v="1438529.16564597"/>
  </r>
  <r>
    <x v="0"/>
    <x v="0"/>
    <x v="0"/>
    <x v="7"/>
    <x v="12"/>
    <s v="PL_A1"/>
    <x v="11"/>
    <x v="24"/>
    <x v="10"/>
    <x v="9"/>
    <n v="6475.9389390525102"/>
    <n v="393952.95212569402"/>
    <n v="1418230.6276525001"/>
  </r>
  <r>
    <x v="0"/>
    <x v="0"/>
    <x v="0"/>
    <x v="7"/>
    <x v="12"/>
    <s v="PL_A1"/>
    <x v="11"/>
    <x v="24"/>
    <x v="10"/>
    <x v="10"/>
    <n v="6429.5952450035202"/>
    <n v="391133.71073771402"/>
    <n v="1408081.3586557701"/>
  </r>
  <r>
    <x v="0"/>
    <x v="0"/>
    <x v="0"/>
    <x v="7"/>
    <x v="12"/>
    <s v="PL_A1"/>
    <x v="11"/>
    <x v="24"/>
    <x v="10"/>
    <x v="11"/>
    <n v="6462.03583083781"/>
    <n v="393107.17970929999"/>
    <n v="1415185.84695348"/>
  </r>
  <r>
    <x v="0"/>
    <x v="0"/>
    <x v="0"/>
    <x v="7"/>
    <x v="12"/>
    <s v="PL_A1"/>
    <x v="11"/>
    <x v="24"/>
    <x v="11"/>
    <x v="0"/>
    <n v="6957.9133571621396"/>
    <n v="423273.06256069703"/>
    <n v="1523783.0252185101"/>
  </r>
  <r>
    <x v="0"/>
    <x v="0"/>
    <x v="0"/>
    <x v="7"/>
    <x v="12"/>
    <s v="PL_A1"/>
    <x v="11"/>
    <x v="24"/>
    <x v="11"/>
    <x v="1"/>
    <n v="7045.9663758552097"/>
    <n v="428629.621197859"/>
    <n v="1543066.6363122901"/>
  </r>
  <r>
    <x v="0"/>
    <x v="0"/>
    <x v="0"/>
    <x v="7"/>
    <x v="12"/>
    <s v="PL_A1"/>
    <x v="11"/>
    <x v="24"/>
    <x v="11"/>
    <x v="2"/>
    <n v="7106.21317811894"/>
    <n v="432294.635002236"/>
    <n v="1556260.6860080501"/>
  </r>
  <r>
    <x v="0"/>
    <x v="0"/>
    <x v="0"/>
    <x v="7"/>
    <x v="12"/>
    <s v="PL_A1"/>
    <x v="11"/>
    <x v="24"/>
    <x v="11"/>
    <x v="3"/>
    <n v="7124.7506557385304"/>
    <n v="433422.33155742701"/>
    <n v="1560320.3936067401"/>
  </r>
  <r>
    <x v="0"/>
    <x v="0"/>
    <x v="0"/>
    <x v="7"/>
    <x v="12"/>
    <s v="PL_A1"/>
    <x v="11"/>
    <x v="24"/>
    <x v="11"/>
    <x v="4"/>
    <n v="7096.9444393091198"/>
    <n v="431730.78672463802"/>
    <n v="1554230.8322087"/>
  </r>
  <r>
    <x v="0"/>
    <x v="0"/>
    <x v="0"/>
    <x v="7"/>
    <x v="12"/>
    <s v="PL_A1"/>
    <x v="11"/>
    <x v="24"/>
    <x v="11"/>
    <x v="5"/>
    <n v="7018.16015942583"/>
    <n v="426938.07636507199"/>
    <n v="1536977.0749142601"/>
  </r>
  <r>
    <x v="0"/>
    <x v="0"/>
    <x v="0"/>
    <x v="7"/>
    <x v="12"/>
    <s v="PL_A1"/>
    <x v="11"/>
    <x v="24"/>
    <x v="11"/>
    <x v="6"/>
    <n v="6869.8603384690296"/>
    <n v="417916.50392353197"/>
    <n v="1504499.41412472"/>
  </r>
  <r>
    <x v="0"/>
    <x v="0"/>
    <x v="0"/>
    <x v="7"/>
    <x v="12"/>
    <s v="PL_A1"/>
    <x v="11"/>
    <x v="24"/>
    <x v="11"/>
    <x v="7"/>
    <n v="6679.85119286811"/>
    <n v="406357.61423280998"/>
    <n v="1462887.4112381199"/>
  </r>
  <r>
    <x v="0"/>
    <x v="0"/>
    <x v="0"/>
    <x v="7"/>
    <x v="12"/>
    <s v="PL_A1"/>
    <x v="11"/>
    <x v="24"/>
    <x v="11"/>
    <x v="8"/>
    <n v="6503.7451554819199"/>
    <n v="395644.49695848301"/>
    <n v="1424320.1890505401"/>
  </r>
  <r>
    <x v="0"/>
    <x v="0"/>
    <x v="0"/>
    <x v="7"/>
    <x v="12"/>
    <s v="PL_A1"/>
    <x v="11"/>
    <x v="24"/>
    <x v="11"/>
    <x v="9"/>
    <n v="6332.2734875006199"/>
    <n v="385213.30382295401"/>
    <n v="1386767.8937626299"/>
  </r>
  <r>
    <x v="0"/>
    <x v="0"/>
    <x v="0"/>
    <x v="7"/>
    <x v="12"/>
    <s v="PL_A1"/>
    <x v="11"/>
    <x v="24"/>
    <x v="11"/>
    <x v="10"/>
    <n v="6179.3392971389003"/>
    <n v="375909.80724261602"/>
    <n v="1353275.30607342"/>
  </r>
  <r>
    <x v="0"/>
    <x v="0"/>
    <x v="0"/>
    <x v="7"/>
    <x v="12"/>
    <s v="PL_A1"/>
    <x v="11"/>
    <x v="24"/>
    <x v="11"/>
    <x v="11"/>
    <n v="6063.4800620164096"/>
    <n v="368861.703772665"/>
    <n v="1327902.1335815899"/>
  </r>
  <r>
    <x v="0"/>
    <x v="0"/>
    <x v="0"/>
    <x v="7"/>
    <x v="12"/>
    <s v="PL_A1"/>
    <x v="11"/>
    <x v="25"/>
    <x v="5"/>
    <x v="0"/>
    <n v="2913.9804389115402"/>
    <n v="177267.14336711899"/>
    <n v="638161.71612162795"/>
  </r>
  <r>
    <x v="0"/>
    <x v="0"/>
    <x v="0"/>
    <x v="7"/>
    <x v="12"/>
    <s v="PL_A1"/>
    <x v="11"/>
    <x v="25"/>
    <x v="5"/>
    <x v="1"/>
    <n v="2913.9804389115402"/>
    <n v="177267.14336711899"/>
    <n v="638161.71612162795"/>
  </r>
  <r>
    <x v="0"/>
    <x v="0"/>
    <x v="0"/>
    <x v="7"/>
    <x v="12"/>
    <s v="PL_A1"/>
    <x v="11"/>
    <x v="25"/>
    <x v="5"/>
    <x v="2"/>
    <n v="2895.4429612919598"/>
    <n v="176139.44681192699"/>
    <n v="634102.00852293905"/>
  </r>
  <r>
    <x v="0"/>
    <x v="0"/>
    <x v="0"/>
    <x v="7"/>
    <x v="12"/>
    <s v="PL_A1"/>
    <x v="11"/>
    <x v="25"/>
    <x v="5"/>
    <x v="3"/>
    <n v="2733.24003212044"/>
    <n v="166272.10195399399"/>
    <n v="598579.56703437795"/>
  </r>
  <r>
    <x v="0"/>
    <x v="0"/>
    <x v="0"/>
    <x v="7"/>
    <x v="12"/>
    <s v="PL_A1"/>
    <x v="11"/>
    <x v="25"/>
    <x v="5"/>
    <x v="4"/>
    <n v="2506.1559312803502"/>
    <n v="152457.819152888"/>
    <n v="548848.14895039704"/>
  </r>
  <r>
    <x v="0"/>
    <x v="0"/>
    <x v="0"/>
    <x v="7"/>
    <x v="12"/>
    <s v="PL_A1"/>
    <x v="11"/>
    <x v="25"/>
    <x v="5"/>
    <x v="5"/>
    <n v="2130.7720094834199"/>
    <n v="129621.963910242"/>
    <n v="466639.07007686998"/>
  </r>
  <r>
    <x v="0"/>
    <x v="0"/>
    <x v="0"/>
    <x v="7"/>
    <x v="12"/>
    <s v="PL_A1"/>
    <x v="11"/>
    <x v="25"/>
    <x v="5"/>
    <x v="6"/>
    <n v="1736.8506100669399"/>
    <n v="105658.412112405"/>
    <n v="380370.28360465902"/>
  </r>
  <r>
    <x v="0"/>
    <x v="0"/>
    <x v="0"/>
    <x v="7"/>
    <x v="12"/>
    <s v="PL_A1"/>
    <x v="11"/>
    <x v="25"/>
    <x v="5"/>
    <x v="7"/>
    <n v="1287.3167777916301"/>
    <n v="78311.770648991107"/>
    <n v="281922.374336368"/>
  </r>
  <r>
    <x v="0"/>
    <x v="0"/>
    <x v="0"/>
    <x v="7"/>
    <x v="12"/>
    <s v="PL_A1"/>
    <x v="11"/>
    <x v="25"/>
    <x v="5"/>
    <x v="8"/>
    <n v="860.95479254082795"/>
    <n v="52374.749879567098"/>
    <n v="188549.099566441"/>
  </r>
  <r>
    <x v="0"/>
    <x v="0"/>
    <x v="0"/>
    <x v="7"/>
    <x v="12"/>
    <s v="PL_A1"/>
    <x v="11"/>
    <x v="25"/>
    <x v="5"/>
    <x v="9"/>
    <n v="499.47397895860098"/>
    <n v="30384.667053314901"/>
    <n v="109384.801391934"/>
  </r>
  <r>
    <x v="0"/>
    <x v="0"/>
    <x v="0"/>
    <x v="7"/>
    <x v="12"/>
    <s v="PL_A1"/>
    <x v="11"/>
    <x v="25"/>
    <x v="5"/>
    <x v="10"/>
    <n v="267.75550871359701"/>
    <n v="16288.4601134105"/>
    <n v="58638.456408277802"/>
  </r>
  <r>
    <x v="0"/>
    <x v="0"/>
    <x v="0"/>
    <x v="7"/>
    <x v="12"/>
    <s v="PL_A1"/>
    <x v="11"/>
    <x v="25"/>
    <x v="5"/>
    <x v="11"/>
    <n v="110.186948946998"/>
    <n v="6703.0393942757"/>
    <n v="24130.941819392501"/>
  </r>
  <r>
    <x v="0"/>
    <x v="0"/>
    <x v="0"/>
    <x v="7"/>
    <x v="12"/>
    <s v="PL_A1"/>
    <x v="11"/>
    <x v="26"/>
    <x v="0"/>
    <x v="0"/>
    <n v="284.83400402414497"/>
    <n v="17327.401911468802"/>
    <n v="62378.646881287699"/>
  </r>
  <r>
    <x v="0"/>
    <x v="0"/>
    <x v="0"/>
    <x v="7"/>
    <x v="12"/>
    <s v="PL_A1"/>
    <x v="11"/>
    <x v="26"/>
    <x v="0"/>
    <x v="1"/>
    <n v="284.83400402414497"/>
    <n v="17327.401911468802"/>
    <n v="62378.646881287699"/>
  </r>
  <r>
    <x v="0"/>
    <x v="0"/>
    <x v="0"/>
    <x v="7"/>
    <x v="12"/>
    <s v="PL_A1"/>
    <x v="11"/>
    <x v="26"/>
    <x v="0"/>
    <x v="2"/>
    <n v="284.83400402414497"/>
    <n v="17327.401911468802"/>
    <n v="62378.646881287699"/>
  </r>
  <r>
    <x v="0"/>
    <x v="0"/>
    <x v="0"/>
    <x v="7"/>
    <x v="12"/>
    <s v="PL_A1"/>
    <x v="11"/>
    <x v="26"/>
    <x v="0"/>
    <x v="3"/>
    <n v="284.83400402414497"/>
    <n v="17327.401911468802"/>
    <n v="62378.646881287699"/>
  </r>
  <r>
    <x v="0"/>
    <x v="0"/>
    <x v="0"/>
    <x v="7"/>
    <x v="12"/>
    <s v="PL_A1"/>
    <x v="11"/>
    <x v="26"/>
    <x v="0"/>
    <x v="4"/>
    <n v="284.83400402414497"/>
    <n v="17327.401911468802"/>
    <n v="62378.646881287699"/>
  </r>
  <r>
    <x v="0"/>
    <x v="0"/>
    <x v="0"/>
    <x v="7"/>
    <x v="12"/>
    <s v="PL_A1"/>
    <x v="11"/>
    <x v="26"/>
    <x v="0"/>
    <x v="5"/>
    <n v="284.83400402414497"/>
    <n v="17327.401911468802"/>
    <n v="62378.646881287699"/>
  </r>
  <r>
    <x v="0"/>
    <x v="0"/>
    <x v="0"/>
    <x v="7"/>
    <x v="12"/>
    <s v="PL_A1"/>
    <x v="11"/>
    <x v="26"/>
    <x v="0"/>
    <x v="6"/>
    <n v="284.83400402414497"/>
    <n v="17327.401911468802"/>
    <n v="62378.646881287699"/>
  </r>
  <r>
    <x v="0"/>
    <x v="0"/>
    <x v="0"/>
    <x v="7"/>
    <x v="12"/>
    <s v="PL_A1"/>
    <x v="11"/>
    <x v="26"/>
    <x v="0"/>
    <x v="7"/>
    <n v="284.83400402414497"/>
    <n v="17327.401911468802"/>
    <n v="62378.646881287699"/>
  </r>
  <r>
    <x v="0"/>
    <x v="0"/>
    <x v="0"/>
    <x v="7"/>
    <x v="12"/>
    <s v="PL_A1"/>
    <x v="11"/>
    <x v="26"/>
    <x v="0"/>
    <x v="8"/>
    <n v="284.83400402414497"/>
    <n v="17327.401911468802"/>
    <n v="62378.646881287699"/>
  </r>
  <r>
    <x v="0"/>
    <x v="0"/>
    <x v="0"/>
    <x v="7"/>
    <x v="12"/>
    <s v="PL_A1"/>
    <x v="11"/>
    <x v="26"/>
    <x v="0"/>
    <x v="9"/>
    <n v="284.83400402414497"/>
    <n v="17327.401911468802"/>
    <n v="62378.646881287699"/>
  </r>
  <r>
    <x v="0"/>
    <x v="0"/>
    <x v="0"/>
    <x v="7"/>
    <x v="12"/>
    <s v="PL_A1"/>
    <x v="11"/>
    <x v="26"/>
    <x v="0"/>
    <x v="10"/>
    <n v="284.83400402414497"/>
    <n v="17327.401911468802"/>
    <n v="62378.646881287699"/>
  </r>
  <r>
    <x v="0"/>
    <x v="0"/>
    <x v="0"/>
    <x v="7"/>
    <x v="12"/>
    <s v="PL_A1"/>
    <x v="11"/>
    <x v="26"/>
    <x v="0"/>
    <x v="11"/>
    <n v="284.83400402414497"/>
    <n v="17327.401911468802"/>
    <n v="62378.646881287699"/>
  </r>
  <r>
    <x v="0"/>
    <x v="0"/>
    <x v="0"/>
    <x v="7"/>
    <x v="12"/>
    <s v="PL_A1"/>
    <x v="11"/>
    <x v="26"/>
    <x v="1"/>
    <x v="0"/>
    <n v="284.83400402414497"/>
    <n v="17327.401911468802"/>
    <n v="62378.646881287699"/>
  </r>
  <r>
    <x v="0"/>
    <x v="0"/>
    <x v="0"/>
    <x v="7"/>
    <x v="12"/>
    <s v="PL_A1"/>
    <x v="11"/>
    <x v="26"/>
    <x v="1"/>
    <x v="1"/>
    <n v="284.83400402414497"/>
    <n v="17327.401911468802"/>
    <n v="62378.646881287699"/>
  </r>
  <r>
    <x v="0"/>
    <x v="0"/>
    <x v="0"/>
    <x v="7"/>
    <x v="12"/>
    <s v="PL_A1"/>
    <x v="11"/>
    <x v="26"/>
    <x v="1"/>
    <x v="2"/>
    <n v="284.83400402414497"/>
    <n v="17327.401911468802"/>
    <n v="62378.646881287699"/>
  </r>
  <r>
    <x v="0"/>
    <x v="0"/>
    <x v="0"/>
    <x v="7"/>
    <x v="12"/>
    <s v="PL_A1"/>
    <x v="11"/>
    <x v="26"/>
    <x v="1"/>
    <x v="3"/>
    <n v="284.83400402414497"/>
    <n v="17327.401911468802"/>
    <n v="62378.646881287699"/>
  </r>
  <r>
    <x v="0"/>
    <x v="0"/>
    <x v="0"/>
    <x v="7"/>
    <x v="12"/>
    <s v="PL_A1"/>
    <x v="11"/>
    <x v="26"/>
    <x v="1"/>
    <x v="4"/>
    <n v="284.83400402414497"/>
    <n v="17327.401911468802"/>
    <n v="62378.646881287699"/>
  </r>
  <r>
    <x v="0"/>
    <x v="0"/>
    <x v="0"/>
    <x v="7"/>
    <x v="12"/>
    <s v="PL_A1"/>
    <x v="11"/>
    <x v="26"/>
    <x v="1"/>
    <x v="5"/>
    <n v="284.83400402414497"/>
    <n v="17327.401911468802"/>
    <n v="62378.646881287699"/>
  </r>
  <r>
    <x v="0"/>
    <x v="0"/>
    <x v="0"/>
    <x v="7"/>
    <x v="12"/>
    <s v="PL_A1"/>
    <x v="11"/>
    <x v="26"/>
    <x v="1"/>
    <x v="6"/>
    <n v="284.83400402414497"/>
    <n v="17327.401911468802"/>
    <n v="62378.646881287699"/>
  </r>
  <r>
    <x v="0"/>
    <x v="0"/>
    <x v="0"/>
    <x v="7"/>
    <x v="12"/>
    <s v="PL_A1"/>
    <x v="11"/>
    <x v="26"/>
    <x v="1"/>
    <x v="7"/>
    <n v="284.83400402414497"/>
    <n v="17327.401911468802"/>
    <n v="62378.646881287699"/>
  </r>
  <r>
    <x v="0"/>
    <x v="0"/>
    <x v="0"/>
    <x v="7"/>
    <x v="12"/>
    <s v="PL_A1"/>
    <x v="11"/>
    <x v="26"/>
    <x v="1"/>
    <x v="8"/>
    <n v="284.83400402414497"/>
    <n v="17327.401911468802"/>
    <n v="62378.646881287699"/>
  </r>
  <r>
    <x v="0"/>
    <x v="0"/>
    <x v="0"/>
    <x v="7"/>
    <x v="12"/>
    <s v="PL_A1"/>
    <x v="11"/>
    <x v="26"/>
    <x v="1"/>
    <x v="9"/>
    <n v="284.83400402414497"/>
    <n v="17327.401911468802"/>
    <n v="62378.646881287699"/>
  </r>
  <r>
    <x v="0"/>
    <x v="0"/>
    <x v="0"/>
    <x v="7"/>
    <x v="12"/>
    <s v="PL_A1"/>
    <x v="11"/>
    <x v="26"/>
    <x v="1"/>
    <x v="10"/>
    <n v="284.83400402414497"/>
    <n v="17327.401911468802"/>
    <n v="62378.646881287699"/>
  </r>
  <r>
    <x v="0"/>
    <x v="0"/>
    <x v="0"/>
    <x v="7"/>
    <x v="12"/>
    <s v="PL_A1"/>
    <x v="11"/>
    <x v="26"/>
    <x v="1"/>
    <x v="11"/>
    <n v="284.83400402414497"/>
    <n v="17327.401911468802"/>
    <n v="62378.646881287699"/>
  </r>
  <r>
    <x v="0"/>
    <x v="0"/>
    <x v="0"/>
    <x v="7"/>
    <x v="12"/>
    <s v="PL_A1"/>
    <x v="11"/>
    <x v="26"/>
    <x v="2"/>
    <x v="0"/>
    <n v="284.83400402414497"/>
    <n v="17327.401911468802"/>
    <n v="62378.646881287699"/>
  </r>
  <r>
    <x v="0"/>
    <x v="0"/>
    <x v="0"/>
    <x v="7"/>
    <x v="12"/>
    <s v="PL_A1"/>
    <x v="11"/>
    <x v="26"/>
    <x v="2"/>
    <x v="1"/>
    <n v="284.83400402414497"/>
    <n v="17327.401911468802"/>
    <n v="62378.646881287699"/>
  </r>
  <r>
    <x v="0"/>
    <x v="0"/>
    <x v="0"/>
    <x v="7"/>
    <x v="12"/>
    <s v="PL_A1"/>
    <x v="11"/>
    <x v="26"/>
    <x v="2"/>
    <x v="2"/>
    <n v="284.83400402414497"/>
    <n v="17327.401911468802"/>
    <n v="62378.646881287699"/>
  </r>
  <r>
    <x v="0"/>
    <x v="0"/>
    <x v="0"/>
    <x v="7"/>
    <x v="12"/>
    <s v="PL_A1"/>
    <x v="11"/>
    <x v="26"/>
    <x v="2"/>
    <x v="3"/>
    <n v="284.83400402414497"/>
    <n v="17327.401911468802"/>
    <n v="62378.646881287699"/>
  </r>
  <r>
    <x v="0"/>
    <x v="0"/>
    <x v="0"/>
    <x v="7"/>
    <x v="12"/>
    <s v="PL_A1"/>
    <x v="11"/>
    <x v="26"/>
    <x v="2"/>
    <x v="4"/>
    <n v="284.83400402414497"/>
    <n v="17327.401911468802"/>
    <n v="62378.646881287699"/>
  </r>
  <r>
    <x v="0"/>
    <x v="0"/>
    <x v="0"/>
    <x v="7"/>
    <x v="12"/>
    <s v="PL_A1"/>
    <x v="11"/>
    <x v="26"/>
    <x v="2"/>
    <x v="5"/>
    <n v="284.83400402414497"/>
    <n v="17327.401911468802"/>
    <n v="62378.646881287699"/>
  </r>
  <r>
    <x v="0"/>
    <x v="0"/>
    <x v="0"/>
    <x v="7"/>
    <x v="12"/>
    <s v="PL_A1"/>
    <x v="11"/>
    <x v="26"/>
    <x v="2"/>
    <x v="6"/>
    <n v="284.83400402414497"/>
    <n v="17327.401911468802"/>
    <n v="62378.646881287699"/>
  </r>
  <r>
    <x v="0"/>
    <x v="0"/>
    <x v="0"/>
    <x v="7"/>
    <x v="12"/>
    <s v="PL_A1"/>
    <x v="11"/>
    <x v="26"/>
    <x v="2"/>
    <x v="7"/>
    <n v="284.83400402414497"/>
    <n v="17327.401911468802"/>
    <n v="62378.646881287699"/>
  </r>
  <r>
    <x v="0"/>
    <x v="0"/>
    <x v="0"/>
    <x v="7"/>
    <x v="12"/>
    <s v="PL_A1"/>
    <x v="11"/>
    <x v="26"/>
    <x v="2"/>
    <x v="8"/>
    <n v="284.83400402414497"/>
    <n v="17327.401911468802"/>
    <n v="62378.646881287699"/>
  </r>
  <r>
    <x v="0"/>
    <x v="0"/>
    <x v="0"/>
    <x v="7"/>
    <x v="12"/>
    <s v="PL_A1"/>
    <x v="11"/>
    <x v="26"/>
    <x v="2"/>
    <x v="9"/>
    <n v="284.83400402414497"/>
    <n v="17327.401911468802"/>
    <n v="62378.646881287699"/>
  </r>
  <r>
    <x v="0"/>
    <x v="0"/>
    <x v="0"/>
    <x v="7"/>
    <x v="12"/>
    <s v="PL_A1"/>
    <x v="11"/>
    <x v="26"/>
    <x v="2"/>
    <x v="10"/>
    <n v="284.83400402414497"/>
    <n v="17327.401911468802"/>
    <n v="62378.646881287699"/>
  </r>
  <r>
    <x v="0"/>
    <x v="0"/>
    <x v="0"/>
    <x v="7"/>
    <x v="12"/>
    <s v="PL_A1"/>
    <x v="11"/>
    <x v="26"/>
    <x v="2"/>
    <x v="11"/>
    <n v="284.83400402414497"/>
    <n v="17327.401911468802"/>
    <n v="62378.646881287699"/>
  </r>
  <r>
    <x v="0"/>
    <x v="0"/>
    <x v="0"/>
    <x v="7"/>
    <x v="12"/>
    <s v="PL_A1"/>
    <x v="11"/>
    <x v="26"/>
    <x v="3"/>
    <x v="0"/>
    <n v="284.83400402414497"/>
    <n v="17327.401911468802"/>
    <n v="62378.646881287699"/>
  </r>
  <r>
    <x v="0"/>
    <x v="0"/>
    <x v="0"/>
    <x v="7"/>
    <x v="12"/>
    <s v="PL_A1"/>
    <x v="11"/>
    <x v="26"/>
    <x v="3"/>
    <x v="1"/>
    <n v="284.83400402414497"/>
    <n v="17327.401911468802"/>
    <n v="62378.646881287699"/>
  </r>
  <r>
    <x v="0"/>
    <x v="0"/>
    <x v="0"/>
    <x v="7"/>
    <x v="12"/>
    <s v="PL_A1"/>
    <x v="11"/>
    <x v="26"/>
    <x v="3"/>
    <x v="2"/>
    <n v="284.83400402414497"/>
    <n v="17327.401911468802"/>
    <n v="62378.646881287699"/>
  </r>
  <r>
    <x v="0"/>
    <x v="0"/>
    <x v="0"/>
    <x v="7"/>
    <x v="12"/>
    <s v="PL_A1"/>
    <x v="11"/>
    <x v="26"/>
    <x v="3"/>
    <x v="3"/>
    <n v="284.83400402414497"/>
    <n v="17327.401911468802"/>
    <n v="62378.646881287699"/>
  </r>
  <r>
    <x v="0"/>
    <x v="0"/>
    <x v="0"/>
    <x v="7"/>
    <x v="12"/>
    <s v="PL_A1"/>
    <x v="11"/>
    <x v="26"/>
    <x v="3"/>
    <x v="4"/>
    <n v="284.83400402414497"/>
    <n v="17327.401911468802"/>
    <n v="62378.646881287699"/>
  </r>
  <r>
    <x v="0"/>
    <x v="0"/>
    <x v="0"/>
    <x v="7"/>
    <x v="12"/>
    <s v="PL_A1"/>
    <x v="11"/>
    <x v="26"/>
    <x v="3"/>
    <x v="5"/>
    <n v="284.83400402414497"/>
    <n v="17327.401911468802"/>
    <n v="62378.646881287699"/>
  </r>
  <r>
    <x v="0"/>
    <x v="0"/>
    <x v="0"/>
    <x v="7"/>
    <x v="12"/>
    <s v="PL_A1"/>
    <x v="11"/>
    <x v="26"/>
    <x v="3"/>
    <x v="6"/>
    <n v="284.83400402414497"/>
    <n v="17327.401911468802"/>
    <n v="62378.646881287699"/>
  </r>
  <r>
    <x v="0"/>
    <x v="0"/>
    <x v="0"/>
    <x v="7"/>
    <x v="12"/>
    <s v="PL_A1"/>
    <x v="11"/>
    <x v="26"/>
    <x v="3"/>
    <x v="7"/>
    <n v="284.83400402414497"/>
    <n v="17327.401911468802"/>
    <n v="62378.646881287699"/>
  </r>
  <r>
    <x v="0"/>
    <x v="0"/>
    <x v="0"/>
    <x v="7"/>
    <x v="12"/>
    <s v="PL_A1"/>
    <x v="11"/>
    <x v="26"/>
    <x v="3"/>
    <x v="8"/>
    <n v="284.83400402414497"/>
    <n v="17327.401911468802"/>
    <n v="62378.646881287699"/>
  </r>
  <r>
    <x v="0"/>
    <x v="0"/>
    <x v="0"/>
    <x v="7"/>
    <x v="12"/>
    <s v="PL_A1"/>
    <x v="11"/>
    <x v="26"/>
    <x v="3"/>
    <x v="9"/>
    <n v="284.83400402414497"/>
    <n v="17327.401911468802"/>
    <n v="62378.646881287699"/>
  </r>
  <r>
    <x v="0"/>
    <x v="0"/>
    <x v="0"/>
    <x v="7"/>
    <x v="12"/>
    <s v="PL_A1"/>
    <x v="11"/>
    <x v="26"/>
    <x v="3"/>
    <x v="10"/>
    <n v="284.83400402414497"/>
    <n v="17327.401911468802"/>
    <n v="62378.646881287699"/>
  </r>
  <r>
    <x v="0"/>
    <x v="0"/>
    <x v="0"/>
    <x v="7"/>
    <x v="12"/>
    <s v="PL_A1"/>
    <x v="11"/>
    <x v="26"/>
    <x v="3"/>
    <x v="11"/>
    <n v="284.83400402414497"/>
    <n v="17327.401911468802"/>
    <n v="62378.646881287699"/>
  </r>
  <r>
    <x v="0"/>
    <x v="0"/>
    <x v="0"/>
    <x v="7"/>
    <x v="12"/>
    <s v="PL_A1"/>
    <x v="11"/>
    <x v="26"/>
    <x v="4"/>
    <x v="0"/>
    <n v="284.83400402414497"/>
    <n v="17327.401911468802"/>
    <n v="62378.646881287699"/>
  </r>
  <r>
    <x v="0"/>
    <x v="0"/>
    <x v="0"/>
    <x v="7"/>
    <x v="12"/>
    <s v="PL_A1"/>
    <x v="11"/>
    <x v="26"/>
    <x v="4"/>
    <x v="1"/>
    <n v="284.83400402414497"/>
    <n v="17327.401911468802"/>
    <n v="62378.646881287699"/>
  </r>
  <r>
    <x v="0"/>
    <x v="0"/>
    <x v="0"/>
    <x v="7"/>
    <x v="12"/>
    <s v="PL_A1"/>
    <x v="11"/>
    <x v="26"/>
    <x v="4"/>
    <x v="2"/>
    <n v="284.83400402414497"/>
    <n v="17327.401911468802"/>
    <n v="62378.646881287699"/>
  </r>
  <r>
    <x v="0"/>
    <x v="0"/>
    <x v="0"/>
    <x v="7"/>
    <x v="12"/>
    <s v="PL_A1"/>
    <x v="11"/>
    <x v="26"/>
    <x v="4"/>
    <x v="3"/>
    <n v="284.83400402414497"/>
    <n v="17327.401911468802"/>
    <n v="62378.646881287699"/>
  </r>
  <r>
    <x v="0"/>
    <x v="0"/>
    <x v="0"/>
    <x v="7"/>
    <x v="12"/>
    <s v="PL_A1"/>
    <x v="11"/>
    <x v="26"/>
    <x v="4"/>
    <x v="4"/>
    <n v="284.83400402414497"/>
    <n v="17327.401911468802"/>
    <n v="62378.646881287699"/>
  </r>
  <r>
    <x v="0"/>
    <x v="0"/>
    <x v="0"/>
    <x v="7"/>
    <x v="12"/>
    <s v="PL_A1"/>
    <x v="11"/>
    <x v="26"/>
    <x v="4"/>
    <x v="5"/>
    <n v="284.83400402414497"/>
    <n v="17327.401911468802"/>
    <n v="62378.646881287699"/>
  </r>
  <r>
    <x v="0"/>
    <x v="0"/>
    <x v="0"/>
    <x v="7"/>
    <x v="12"/>
    <s v="PL_A1"/>
    <x v="11"/>
    <x v="26"/>
    <x v="4"/>
    <x v="6"/>
    <n v="284.83400402414497"/>
    <n v="17327.401911468802"/>
    <n v="62378.646881287699"/>
  </r>
  <r>
    <x v="0"/>
    <x v="0"/>
    <x v="0"/>
    <x v="7"/>
    <x v="12"/>
    <s v="PL_A1"/>
    <x v="11"/>
    <x v="26"/>
    <x v="4"/>
    <x v="7"/>
    <n v="284.83400402414497"/>
    <n v="17327.401911468802"/>
    <n v="62378.646881287699"/>
  </r>
  <r>
    <x v="0"/>
    <x v="0"/>
    <x v="0"/>
    <x v="7"/>
    <x v="12"/>
    <s v="PL_A1"/>
    <x v="11"/>
    <x v="26"/>
    <x v="4"/>
    <x v="8"/>
    <n v="284.83400402414497"/>
    <n v="17327.401911468802"/>
    <n v="62378.646881287699"/>
  </r>
  <r>
    <x v="0"/>
    <x v="0"/>
    <x v="0"/>
    <x v="7"/>
    <x v="12"/>
    <s v="PL_A1"/>
    <x v="11"/>
    <x v="26"/>
    <x v="4"/>
    <x v="9"/>
    <n v="284.83400402414497"/>
    <n v="17327.401911468802"/>
    <n v="62378.646881287699"/>
  </r>
  <r>
    <x v="0"/>
    <x v="0"/>
    <x v="0"/>
    <x v="7"/>
    <x v="12"/>
    <s v="PL_A1"/>
    <x v="11"/>
    <x v="26"/>
    <x v="4"/>
    <x v="10"/>
    <n v="284.83400402414497"/>
    <n v="17327.401911468802"/>
    <n v="62378.646881287699"/>
  </r>
  <r>
    <x v="0"/>
    <x v="0"/>
    <x v="0"/>
    <x v="7"/>
    <x v="12"/>
    <s v="PL_A1"/>
    <x v="11"/>
    <x v="26"/>
    <x v="4"/>
    <x v="11"/>
    <n v="284.83400402414497"/>
    <n v="17327.401911468802"/>
    <n v="62378.646881287699"/>
  </r>
  <r>
    <x v="0"/>
    <x v="0"/>
    <x v="0"/>
    <x v="7"/>
    <x v="12"/>
    <s v="PL_A1"/>
    <x v="11"/>
    <x v="26"/>
    <x v="5"/>
    <x v="0"/>
    <n v="284.83400402414497"/>
    <n v="17327.401911468802"/>
    <n v="62378.646881287699"/>
  </r>
  <r>
    <x v="0"/>
    <x v="0"/>
    <x v="0"/>
    <x v="7"/>
    <x v="12"/>
    <s v="PL_A1"/>
    <x v="11"/>
    <x v="26"/>
    <x v="5"/>
    <x v="1"/>
    <n v="284.83400402414497"/>
    <n v="17327.401911468802"/>
    <n v="62378.646881287699"/>
  </r>
  <r>
    <x v="0"/>
    <x v="0"/>
    <x v="0"/>
    <x v="7"/>
    <x v="12"/>
    <s v="PL_A1"/>
    <x v="11"/>
    <x v="26"/>
    <x v="5"/>
    <x v="2"/>
    <n v="284.83400402414497"/>
    <n v="17327.401911468802"/>
    <n v="62378.646881287699"/>
  </r>
  <r>
    <x v="0"/>
    <x v="0"/>
    <x v="0"/>
    <x v="7"/>
    <x v="12"/>
    <s v="PL_A1"/>
    <x v="11"/>
    <x v="26"/>
    <x v="5"/>
    <x v="3"/>
    <n v="284.83400402414497"/>
    <n v="17327.401911468802"/>
    <n v="62378.646881287699"/>
  </r>
  <r>
    <x v="0"/>
    <x v="0"/>
    <x v="0"/>
    <x v="7"/>
    <x v="12"/>
    <s v="PL_A1"/>
    <x v="11"/>
    <x v="26"/>
    <x v="5"/>
    <x v="4"/>
    <n v="284.83400402414497"/>
    <n v="17327.401911468802"/>
    <n v="62378.646881287699"/>
  </r>
  <r>
    <x v="0"/>
    <x v="0"/>
    <x v="0"/>
    <x v="7"/>
    <x v="12"/>
    <s v="PL_A1"/>
    <x v="11"/>
    <x v="26"/>
    <x v="5"/>
    <x v="5"/>
    <n v="284.83400402414497"/>
    <n v="17327.401911468802"/>
    <n v="62378.646881287699"/>
  </r>
  <r>
    <x v="0"/>
    <x v="0"/>
    <x v="0"/>
    <x v="7"/>
    <x v="12"/>
    <s v="PL_A1"/>
    <x v="11"/>
    <x v="26"/>
    <x v="5"/>
    <x v="6"/>
    <n v="284.83400402414497"/>
    <n v="17327.401911468802"/>
    <n v="62378.646881287699"/>
  </r>
  <r>
    <x v="0"/>
    <x v="0"/>
    <x v="0"/>
    <x v="7"/>
    <x v="12"/>
    <s v="PL_A1"/>
    <x v="11"/>
    <x v="26"/>
    <x v="5"/>
    <x v="7"/>
    <n v="284.83400402414497"/>
    <n v="17327.401911468802"/>
    <n v="62378.646881287699"/>
  </r>
  <r>
    <x v="0"/>
    <x v="0"/>
    <x v="0"/>
    <x v="7"/>
    <x v="12"/>
    <s v="PL_A1"/>
    <x v="11"/>
    <x v="26"/>
    <x v="5"/>
    <x v="8"/>
    <n v="284.83400402414497"/>
    <n v="17327.401911468802"/>
    <n v="62378.646881287699"/>
  </r>
  <r>
    <x v="0"/>
    <x v="0"/>
    <x v="0"/>
    <x v="7"/>
    <x v="12"/>
    <s v="PL_A1"/>
    <x v="11"/>
    <x v="26"/>
    <x v="5"/>
    <x v="9"/>
    <n v="284.83400402414497"/>
    <n v="17327.401911468802"/>
    <n v="62378.646881287699"/>
  </r>
  <r>
    <x v="0"/>
    <x v="0"/>
    <x v="0"/>
    <x v="7"/>
    <x v="12"/>
    <s v="PL_A1"/>
    <x v="11"/>
    <x v="26"/>
    <x v="5"/>
    <x v="10"/>
    <n v="284.83400402414497"/>
    <n v="17327.401911468802"/>
    <n v="62378.646881287699"/>
  </r>
  <r>
    <x v="0"/>
    <x v="0"/>
    <x v="0"/>
    <x v="7"/>
    <x v="12"/>
    <s v="PL_A1"/>
    <x v="11"/>
    <x v="26"/>
    <x v="5"/>
    <x v="11"/>
    <n v="284.83400402414497"/>
    <n v="17327.401911468802"/>
    <n v="62378.646881287699"/>
  </r>
  <r>
    <x v="0"/>
    <x v="0"/>
    <x v="0"/>
    <x v="7"/>
    <x v="12"/>
    <s v="PL_A1"/>
    <x v="11"/>
    <x v="26"/>
    <x v="6"/>
    <x v="0"/>
    <n v="284.83400402414497"/>
    <n v="17327.401911468802"/>
    <n v="62378.646881287699"/>
  </r>
  <r>
    <x v="0"/>
    <x v="0"/>
    <x v="0"/>
    <x v="7"/>
    <x v="12"/>
    <s v="PL_A1"/>
    <x v="11"/>
    <x v="26"/>
    <x v="6"/>
    <x v="1"/>
    <n v="284.83400402414497"/>
    <n v="17327.401911468802"/>
    <n v="62378.646881287699"/>
  </r>
  <r>
    <x v="0"/>
    <x v="0"/>
    <x v="0"/>
    <x v="7"/>
    <x v="12"/>
    <s v="PL_A1"/>
    <x v="11"/>
    <x v="26"/>
    <x v="6"/>
    <x v="2"/>
    <n v="284.83400402414497"/>
    <n v="17327.401911468802"/>
    <n v="62378.646881287699"/>
  </r>
  <r>
    <x v="0"/>
    <x v="0"/>
    <x v="0"/>
    <x v="7"/>
    <x v="12"/>
    <s v="PL_A1"/>
    <x v="11"/>
    <x v="26"/>
    <x v="6"/>
    <x v="3"/>
    <n v="284.83400402414497"/>
    <n v="17327.401911468802"/>
    <n v="62378.646881287699"/>
  </r>
  <r>
    <x v="0"/>
    <x v="0"/>
    <x v="0"/>
    <x v="7"/>
    <x v="12"/>
    <s v="PL_A1"/>
    <x v="11"/>
    <x v="26"/>
    <x v="6"/>
    <x v="4"/>
    <n v="284.83400402414497"/>
    <n v="17327.401911468802"/>
    <n v="62378.646881287699"/>
  </r>
  <r>
    <x v="0"/>
    <x v="0"/>
    <x v="0"/>
    <x v="7"/>
    <x v="12"/>
    <s v="PL_A1"/>
    <x v="11"/>
    <x v="26"/>
    <x v="6"/>
    <x v="5"/>
    <n v="284.83400402414497"/>
    <n v="17327.401911468802"/>
    <n v="62378.646881287699"/>
  </r>
  <r>
    <x v="0"/>
    <x v="0"/>
    <x v="0"/>
    <x v="7"/>
    <x v="12"/>
    <s v="PL_A1"/>
    <x v="11"/>
    <x v="26"/>
    <x v="6"/>
    <x v="6"/>
    <n v="284.83400402414497"/>
    <n v="17327.401911468802"/>
    <n v="62378.646881287699"/>
  </r>
  <r>
    <x v="0"/>
    <x v="0"/>
    <x v="0"/>
    <x v="7"/>
    <x v="12"/>
    <s v="PL_A1"/>
    <x v="11"/>
    <x v="26"/>
    <x v="6"/>
    <x v="7"/>
    <n v="284.83400402414497"/>
    <n v="17327.401911468802"/>
    <n v="62378.646881287699"/>
  </r>
  <r>
    <x v="0"/>
    <x v="0"/>
    <x v="0"/>
    <x v="7"/>
    <x v="12"/>
    <s v="PL_A1"/>
    <x v="11"/>
    <x v="26"/>
    <x v="6"/>
    <x v="8"/>
    <n v="284.83400402414497"/>
    <n v="17327.401911468802"/>
    <n v="62378.646881287699"/>
  </r>
  <r>
    <x v="0"/>
    <x v="0"/>
    <x v="0"/>
    <x v="7"/>
    <x v="12"/>
    <s v="PL_A1"/>
    <x v="11"/>
    <x v="26"/>
    <x v="6"/>
    <x v="9"/>
    <n v="284.83400402414497"/>
    <n v="17327.401911468802"/>
    <n v="62378.646881287699"/>
  </r>
  <r>
    <x v="0"/>
    <x v="0"/>
    <x v="0"/>
    <x v="7"/>
    <x v="12"/>
    <s v="PL_A1"/>
    <x v="11"/>
    <x v="26"/>
    <x v="6"/>
    <x v="10"/>
    <n v="284.83400402414497"/>
    <n v="17327.401911468802"/>
    <n v="62378.646881287699"/>
  </r>
  <r>
    <x v="0"/>
    <x v="0"/>
    <x v="0"/>
    <x v="7"/>
    <x v="12"/>
    <s v="PL_A1"/>
    <x v="11"/>
    <x v="26"/>
    <x v="6"/>
    <x v="11"/>
    <n v="284.83400402414497"/>
    <n v="17327.401911468802"/>
    <n v="62378.646881287699"/>
  </r>
  <r>
    <x v="0"/>
    <x v="0"/>
    <x v="0"/>
    <x v="7"/>
    <x v="12"/>
    <s v="PL_A1"/>
    <x v="11"/>
    <x v="26"/>
    <x v="7"/>
    <x v="0"/>
    <n v="284.83400402414497"/>
    <n v="17327.401911468802"/>
    <n v="62378.646881287699"/>
  </r>
  <r>
    <x v="0"/>
    <x v="0"/>
    <x v="0"/>
    <x v="7"/>
    <x v="12"/>
    <s v="PL_A1"/>
    <x v="11"/>
    <x v="26"/>
    <x v="7"/>
    <x v="1"/>
    <n v="284.83400402414497"/>
    <n v="17327.401911468802"/>
    <n v="62378.646881287699"/>
  </r>
  <r>
    <x v="0"/>
    <x v="0"/>
    <x v="0"/>
    <x v="7"/>
    <x v="12"/>
    <s v="PL_A1"/>
    <x v="11"/>
    <x v="26"/>
    <x v="7"/>
    <x v="2"/>
    <n v="284.83400402414497"/>
    <n v="17327.401911468802"/>
    <n v="62378.646881287699"/>
  </r>
  <r>
    <x v="0"/>
    <x v="0"/>
    <x v="0"/>
    <x v="7"/>
    <x v="12"/>
    <s v="PL_A1"/>
    <x v="11"/>
    <x v="26"/>
    <x v="7"/>
    <x v="3"/>
    <n v="284.83400402414497"/>
    <n v="17327.401911468802"/>
    <n v="62378.646881287699"/>
  </r>
  <r>
    <x v="0"/>
    <x v="0"/>
    <x v="0"/>
    <x v="7"/>
    <x v="12"/>
    <s v="PL_A1"/>
    <x v="11"/>
    <x v="26"/>
    <x v="7"/>
    <x v="4"/>
    <n v="284.83400402414497"/>
    <n v="17327.401911468802"/>
    <n v="62378.646881287699"/>
  </r>
  <r>
    <x v="0"/>
    <x v="0"/>
    <x v="0"/>
    <x v="7"/>
    <x v="12"/>
    <s v="PL_A1"/>
    <x v="11"/>
    <x v="26"/>
    <x v="7"/>
    <x v="5"/>
    <n v="284.83400402414497"/>
    <n v="17327.401911468802"/>
    <n v="62378.646881287699"/>
  </r>
  <r>
    <x v="0"/>
    <x v="0"/>
    <x v="0"/>
    <x v="7"/>
    <x v="12"/>
    <s v="PL_A1"/>
    <x v="11"/>
    <x v="26"/>
    <x v="7"/>
    <x v="6"/>
    <n v="284.83400402414497"/>
    <n v="17327.401911468802"/>
    <n v="62378.646881287699"/>
  </r>
  <r>
    <x v="0"/>
    <x v="0"/>
    <x v="0"/>
    <x v="7"/>
    <x v="12"/>
    <s v="PL_A1"/>
    <x v="11"/>
    <x v="26"/>
    <x v="7"/>
    <x v="7"/>
    <n v="284.83400402414497"/>
    <n v="17327.401911468802"/>
    <n v="62378.646881287699"/>
  </r>
  <r>
    <x v="0"/>
    <x v="0"/>
    <x v="0"/>
    <x v="7"/>
    <x v="12"/>
    <s v="PL_A1"/>
    <x v="11"/>
    <x v="26"/>
    <x v="7"/>
    <x v="8"/>
    <n v="284.83400402414497"/>
    <n v="17327.401911468802"/>
    <n v="62378.646881287699"/>
  </r>
  <r>
    <x v="0"/>
    <x v="0"/>
    <x v="0"/>
    <x v="7"/>
    <x v="12"/>
    <s v="PL_A1"/>
    <x v="11"/>
    <x v="26"/>
    <x v="7"/>
    <x v="9"/>
    <n v="284.83400402414497"/>
    <n v="17327.401911468802"/>
    <n v="62378.646881287699"/>
  </r>
  <r>
    <x v="0"/>
    <x v="0"/>
    <x v="0"/>
    <x v="7"/>
    <x v="12"/>
    <s v="PL_A1"/>
    <x v="11"/>
    <x v="26"/>
    <x v="7"/>
    <x v="10"/>
    <n v="284.83400402414497"/>
    <n v="17327.401911468802"/>
    <n v="62378.646881287699"/>
  </r>
  <r>
    <x v="0"/>
    <x v="0"/>
    <x v="0"/>
    <x v="7"/>
    <x v="12"/>
    <s v="PL_A1"/>
    <x v="11"/>
    <x v="26"/>
    <x v="7"/>
    <x v="11"/>
    <n v="284.83400402414497"/>
    <n v="17327.401911468802"/>
    <n v="62378.646881287699"/>
  </r>
  <r>
    <x v="0"/>
    <x v="0"/>
    <x v="0"/>
    <x v="7"/>
    <x v="12"/>
    <s v="PL_A1"/>
    <x v="11"/>
    <x v="26"/>
    <x v="8"/>
    <x v="0"/>
    <n v="284.83400402414497"/>
    <n v="17327.401911468802"/>
    <n v="62378.646881287699"/>
  </r>
  <r>
    <x v="0"/>
    <x v="0"/>
    <x v="0"/>
    <x v="7"/>
    <x v="12"/>
    <s v="PL_A1"/>
    <x v="11"/>
    <x v="26"/>
    <x v="8"/>
    <x v="1"/>
    <n v="284.83400402414497"/>
    <n v="17327.401911468802"/>
    <n v="62378.646881287699"/>
  </r>
  <r>
    <x v="0"/>
    <x v="0"/>
    <x v="0"/>
    <x v="7"/>
    <x v="12"/>
    <s v="PL_A1"/>
    <x v="11"/>
    <x v="26"/>
    <x v="8"/>
    <x v="2"/>
    <n v="284.83400402414497"/>
    <n v="17327.401911468802"/>
    <n v="62378.646881287699"/>
  </r>
  <r>
    <x v="0"/>
    <x v="0"/>
    <x v="0"/>
    <x v="7"/>
    <x v="12"/>
    <s v="PL_A1"/>
    <x v="11"/>
    <x v="26"/>
    <x v="8"/>
    <x v="3"/>
    <n v="284.83400402414497"/>
    <n v="17327.401911468802"/>
    <n v="62378.646881287699"/>
  </r>
  <r>
    <x v="0"/>
    <x v="0"/>
    <x v="0"/>
    <x v="7"/>
    <x v="12"/>
    <s v="PL_A1"/>
    <x v="11"/>
    <x v="26"/>
    <x v="8"/>
    <x v="4"/>
    <n v="284.83400402414497"/>
    <n v="17327.401911468802"/>
    <n v="62378.646881287699"/>
  </r>
  <r>
    <x v="0"/>
    <x v="0"/>
    <x v="0"/>
    <x v="7"/>
    <x v="12"/>
    <s v="PL_A1"/>
    <x v="11"/>
    <x v="26"/>
    <x v="8"/>
    <x v="5"/>
    <n v="284.83400402414497"/>
    <n v="17327.401911468802"/>
    <n v="62378.646881287699"/>
  </r>
  <r>
    <x v="0"/>
    <x v="0"/>
    <x v="0"/>
    <x v="7"/>
    <x v="12"/>
    <s v="PL_A1"/>
    <x v="11"/>
    <x v="26"/>
    <x v="8"/>
    <x v="6"/>
    <n v="284.83400402414497"/>
    <n v="17327.401911468802"/>
    <n v="62378.646881287699"/>
  </r>
  <r>
    <x v="0"/>
    <x v="0"/>
    <x v="0"/>
    <x v="7"/>
    <x v="12"/>
    <s v="PL_A1"/>
    <x v="11"/>
    <x v="26"/>
    <x v="8"/>
    <x v="7"/>
    <n v="284.83400402414497"/>
    <n v="17327.401911468802"/>
    <n v="62378.646881287699"/>
  </r>
  <r>
    <x v="0"/>
    <x v="0"/>
    <x v="0"/>
    <x v="7"/>
    <x v="12"/>
    <s v="PL_A1"/>
    <x v="11"/>
    <x v="26"/>
    <x v="8"/>
    <x v="8"/>
    <n v="284.83400402414497"/>
    <n v="17327.401911468802"/>
    <n v="62378.646881287699"/>
  </r>
  <r>
    <x v="0"/>
    <x v="0"/>
    <x v="0"/>
    <x v="7"/>
    <x v="12"/>
    <s v="PL_A1"/>
    <x v="11"/>
    <x v="26"/>
    <x v="8"/>
    <x v="9"/>
    <n v="284.83400402414497"/>
    <n v="17327.401911468802"/>
    <n v="62378.646881287699"/>
  </r>
  <r>
    <x v="0"/>
    <x v="0"/>
    <x v="0"/>
    <x v="7"/>
    <x v="12"/>
    <s v="PL_A1"/>
    <x v="11"/>
    <x v="26"/>
    <x v="8"/>
    <x v="10"/>
    <n v="284.83400402414497"/>
    <n v="17327.401911468802"/>
    <n v="62378.646881287699"/>
  </r>
  <r>
    <x v="0"/>
    <x v="0"/>
    <x v="0"/>
    <x v="7"/>
    <x v="12"/>
    <s v="PL_A1"/>
    <x v="11"/>
    <x v="26"/>
    <x v="8"/>
    <x v="11"/>
    <n v="284.83400402414497"/>
    <n v="17327.401911468802"/>
    <n v="62378.646881287699"/>
  </r>
  <r>
    <x v="0"/>
    <x v="0"/>
    <x v="0"/>
    <x v="7"/>
    <x v="12"/>
    <s v="PL_A1"/>
    <x v="11"/>
    <x v="26"/>
    <x v="9"/>
    <x v="0"/>
    <n v="284.83400402414497"/>
    <n v="17327.401911468802"/>
    <n v="62378.646881287699"/>
  </r>
  <r>
    <x v="0"/>
    <x v="0"/>
    <x v="0"/>
    <x v="7"/>
    <x v="12"/>
    <s v="PL_A1"/>
    <x v="11"/>
    <x v="26"/>
    <x v="9"/>
    <x v="1"/>
    <n v="284.83400402414497"/>
    <n v="17327.401911468802"/>
    <n v="62378.646881287699"/>
  </r>
  <r>
    <x v="0"/>
    <x v="0"/>
    <x v="0"/>
    <x v="7"/>
    <x v="12"/>
    <s v="PL_A1"/>
    <x v="11"/>
    <x v="26"/>
    <x v="9"/>
    <x v="2"/>
    <n v="284.83400402414497"/>
    <n v="17327.401911468802"/>
    <n v="62378.646881287699"/>
  </r>
  <r>
    <x v="0"/>
    <x v="0"/>
    <x v="0"/>
    <x v="7"/>
    <x v="12"/>
    <s v="PL_A1"/>
    <x v="11"/>
    <x v="26"/>
    <x v="9"/>
    <x v="3"/>
    <n v="284.83400402414497"/>
    <n v="17327.401911468802"/>
    <n v="62378.646881287699"/>
  </r>
  <r>
    <x v="0"/>
    <x v="0"/>
    <x v="0"/>
    <x v="7"/>
    <x v="12"/>
    <s v="PL_A1"/>
    <x v="11"/>
    <x v="26"/>
    <x v="9"/>
    <x v="4"/>
    <n v="284.83400402414497"/>
    <n v="17327.401911468802"/>
    <n v="62378.646881287699"/>
  </r>
  <r>
    <x v="0"/>
    <x v="0"/>
    <x v="0"/>
    <x v="7"/>
    <x v="12"/>
    <s v="PL_A1"/>
    <x v="11"/>
    <x v="26"/>
    <x v="9"/>
    <x v="5"/>
    <n v="284.83400402414497"/>
    <n v="17327.401911468802"/>
    <n v="62378.646881287699"/>
  </r>
  <r>
    <x v="0"/>
    <x v="0"/>
    <x v="0"/>
    <x v="7"/>
    <x v="12"/>
    <s v="PL_A1"/>
    <x v="11"/>
    <x v="26"/>
    <x v="9"/>
    <x v="6"/>
    <n v="284.83400402414497"/>
    <n v="17327.401911468802"/>
    <n v="62378.646881287699"/>
  </r>
  <r>
    <x v="0"/>
    <x v="0"/>
    <x v="0"/>
    <x v="7"/>
    <x v="12"/>
    <s v="PL_A1"/>
    <x v="11"/>
    <x v="26"/>
    <x v="9"/>
    <x v="7"/>
    <n v="284.83400402414497"/>
    <n v="17327.401911468802"/>
    <n v="62378.646881287699"/>
  </r>
  <r>
    <x v="0"/>
    <x v="0"/>
    <x v="0"/>
    <x v="7"/>
    <x v="12"/>
    <s v="PL_A1"/>
    <x v="11"/>
    <x v="26"/>
    <x v="9"/>
    <x v="8"/>
    <n v="284.83400402414497"/>
    <n v="17327.401911468802"/>
    <n v="62378.646881287699"/>
  </r>
  <r>
    <x v="0"/>
    <x v="0"/>
    <x v="0"/>
    <x v="7"/>
    <x v="12"/>
    <s v="PL_A1"/>
    <x v="11"/>
    <x v="26"/>
    <x v="9"/>
    <x v="9"/>
    <n v="284.83400402414497"/>
    <n v="17327.401911468802"/>
    <n v="62378.646881287699"/>
  </r>
  <r>
    <x v="0"/>
    <x v="0"/>
    <x v="0"/>
    <x v="7"/>
    <x v="12"/>
    <s v="PL_A1"/>
    <x v="11"/>
    <x v="26"/>
    <x v="9"/>
    <x v="10"/>
    <n v="284.83400402414497"/>
    <n v="17327.401911468802"/>
    <n v="62378.646881287699"/>
  </r>
  <r>
    <x v="0"/>
    <x v="0"/>
    <x v="0"/>
    <x v="7"/>
    <x v="12"/>
    <s v="PL_A1"/>
    <x v="11"/>
    <x v="26"/>
    <x v="9"/>
    <x v="11"/>
    <n v="284.83400402414497"/>
    <n v="17327.401911468802"/>
    <n v="62378.646881287699"/>
  </r>
  <r>
    <x v="0"/>
    <x v="0"/>
    <x v="0"/>
    <x v="7"/>
    <x v="12"/>
    <s v="PL_A1"/>
    <x v="11"/>
    <x v="26"/>
    <x v="10"/>
    <x v="0"/>
    <n v="284.83400402414497"/>
    <n v="17327.401911468802"/>
    <n v="62378.646881287699"/>
  </r>
  <r>
    <x v="0"/>
    <x v="0"/>
    <x v="0"/>
    <x v="7"/>
    <x v="12"/>
    <s v="PL_A1"/>
    <x v="11"/>
    <x v="26"/>
    <x v="10"/>
    <x v="1"/>
    <n v="284.83400402414497"/>
    <n v="17327.401911468802"/>
    <n v="62378.646881287699"/>
  </r>
  <r>
    <x v="0"/>
    <x v="0"/>
    <x v="0"/>
    <x v="7"/>
    <x v="12"/>
    <s v="PL_A1"/>
    <x v="11"/>
    <x v="26"/>
    <x v="10"/>
    <x v="2"/>
    <n v="284.83400402414497"/>
    <n v="17327.401911468802"/>
    <n v="62378.646881287699"/>
  </r>
  <r>
    <x v="0"/>
    <x v="0"/>
    <x v="0"/>
    <x v="7"/>
    <x v="12"/>
    <s v="PL_A1"/>
    <x v="11"/>
    <x v="26"/>
    <x v="10"/>
    <x v="3"/>
    <n v="284.83400402414497"/>
    <n v="17327.401911468802"/>
    <n v="62378.646881287699"/>
  </r>
  <r>
    <x v="0"/>
    <x v="0"/>
    <x v="0"/>
    <x v="7"/>
    <x v="12"/>
    <s v="PL_A1"/>
    <x v="11"/>
    <x v="26"/>
    <x v="10"/>
    <x v="4"/>
    <n v="284.83400402414497"/>
    <n v="17327.401911468802"/>
    <n v="62378.646881287699"/>
  </r>
  <r>
    <x v="0"/>
    <x v="0"/>
    <x v="0"/>
    <x v="7"/>
    <x v="12"/>
    <s v="PL_A1"/>
    <x v="11"/>
    <x v="26"/>
    <x v="10"/>
    <x v="5"/>
    <n v="284.83400402414497"/>
    <n v="17327.401911468802"/>
    <n v="62378.646881287699"/>
  </r>
  <r>
    <x v="0"/>
    <x v="0"/>
    <x v="0"/>
    <x v="7"/>
    <x v="12"/>
    <s v="PL_A1"/>
    <x v="11"/>
    <x v="26"/>
    <x v="10"/>
    <x v="6"/>
    <n v="284.83400402414497"/>
    <n v="17327.401911468802"/>
    <n v="62378.646881287699"/>
  </r>
  <r>
    <x v="0"/>
    <x v="0"/>
    <x v="0"/>
    <x v="7"/>
    <x v="12"/>
    <s v="PL_A1"/>
    <x v="11"/>
    <x v="26"/>
    <x v="10"/>
    <x v="7"/>
    <n v="284.83400402414497"/>
    <n v="17327.401911468802"/>
    <n v="62378.646881287699"/>
  </r>
  <r>
    <x v="0"/>
    <x v="0"/>
    <x v="0"/>
    <x v="7"/>
    <x v="12"/>
    <s v="PL_A1"/>
    <x v="11"/>
    <x v="26"/>
    <x v="10"/>
    <x v="8"/>
    <n v="284.83400402414497"/>
    <n v="17327.401911468802"/>
    <n v="62378.646881287699"/>
  </r>
  <r>
    <x v="0"/>
    <x v="0"/>
    <x v="0"/>
    <x v="7"/>
    <x v="12"/>
    <s v="PL_A1"/>
    <x v="11"/>
    <x v="26"/>
    <x v="10"/>
    <x v="9"/>
    <n v="284.83400402414497"/>
    <n v="17327.401911468802"/>
    <n v="62378.646881287699"/>
  </r>
  <r>
    <x v="0"/>
    <x v="0"/>
    <x v="0"/>
    <x v="7"/>
    <x v="12"/>
    <s v="PL_A1"/>
    <x v="11"/>
    <x v="26"/>
    <x v="10"/>
    <x v="10"/>
    <n v="284.83400402414497"/>
    <n v="17327.401911468802"/>
    <n v="62378.646881287699"/>
  </r>
  <r>
    <x v="0"/>
    <x v="0"/>
    <x v="0"/>
    <x v="7"/>
    <x v="12"/>
    <s v="PL_A1"/>
    <x v="11"/>
    <x v="26"/>
    <x v="10"/>
    <x v="11"/>
    <n v="284.83400402414497"/>
    <n v="17327.401911468802"/>
    <n v="62378.646881287699"/>
  </r>
  <r>
    <x v="0"/>
    <x v="0"/>
    <x v="0"/>
    <x v="7"/>
    <x v="12"/>
    <s v="PL_A1"/>
    <x v="11"/>
    <x v="26"/>
    <x v="11"/>
    <x v="0"/>
    <n v="284.83400402414497"/>
    <n v="17327.401911468802"/>
    <n v="62378.646881287699"/>
  </r>
  <r>
    <x v="0"/>
    <x v="0"/>
    <x v="0"/>
    <x v="7"/>
    <x v="12"/>
    <s v="PL_A1"/>
    <x v="11"/>
    <x v="26"/>
    <x v="11"/>
    <x v="1"/>
    <n v="284.83400402414497"/>
    <n v="17327.401911468802"/>
    <n v="62378.646881287699"/>
  </r>
  <r>
    <x v="0"/>
    <x v="0"/>
    <x v="0"/>
    <x v="7"/>
    <x v="12"/>
    <s v="PL_A1"/>
    <x v="11"/>
    <x v="26"/>
    <x v="11"/>
    <x v="2"/>
    <n v="284.83400402414497"/>
    <n v="17327.401911468802"/>
    <n v="62378.646881287699"/>
  </r>
  <r>
    <x v="0"/>
    <x v="0"/>
    <x v="0"/>
    <x v="7"/>
    <x v="12"/>
    <s v="PL_A1"/>
    <x v="11"/>
    <x v="26"/>
    <x v="11"/>
    <x v="3"/>
    <n v="284.83400402414497"/>
    <n v="17327.401911468802"/>
    <n v="62378.646881287699"/>
  </r>
  <r>
    <x v="0"/>
    <x v="0"/>
    <x v="0"/>
    <x v="7"/>
    <x v="12"/>
    <s v="PL_A1"/>
    <x v="11"/>
    <x v="26"/>
    <x v="11"/>
    <x v="4"/>
    <n v="284.83400402414497"/>
    <n v="17327.401911468802"/>
    <n v="62378.646881287699"/>
  </r>
  <r>
    <x v="0"/>
    <x v="0"/>
    <x v="0"/>
    <x v="7"/>
    <x v="12"/>
    <s v="PL_A1"/>
    <x v="11"/>
    <x v="26"/>
    <x v="11"/>
    <x v="5"/>
    <n v="284.83400402414497"/>
    <n v="17327.401911468802"/>
    <n v="62378.646881287699"/>
  </r>
  <r>
    <x v="0"/>
    <x v="0"/>
    <x v="0"/>
    <x v="7"/>
    <x v="12"/>
    <s v="PL_A1"/>
    <x v="11"/>
    <x v="26"/>
    <x v="11"/>
    <x v="6"/>
    <n v="284.83400402414497"/>
    <n v="17327.401911468802"/>
    <n v="62378.646881287699"/>
  </r>
  <r>
    <x v="0"/>
    <x v="0"/>
    <x v="0"/>
    <x v="7"/>
    <x v="12"/>
    <s v="PL_A1"/>
    <x v="11"/>
    <x v="26"/>
    <x v="11"/>
    <x v="7"/>
    <n v="284.83400402414497"/>
    <n v="17327.401911468802"/>
    <n v="62378.646881287699"/>
  </r>
  <r>
    <x v="0"/>
    <x v="0"/>
    <x v="0"/>
    <x v="7"/>
    <x v="12"/>
    <s v="PL_A1"/>
    <x v="11"/>
    <x v="26"/>
    <x v="11"/>
    <x v="8"/>
    <n v="284.83400402414497"/>
    <n v="17327.401911468802"/>
    <n v="62378.646881287699"/>
  </r>
  <r>
    <x v="0"/>
    <x v="0"/>
    <x v="0"/>
    <x v="7"/>
    <x v="12"/>
    <s v="PL_A1"/>
    <x v="11"/>
    <x v="26"/>
    <x v="11"/>
    <x v="9"/>
    <n v="284.83400402414497"/>
    <n v="17327.401911468802"/>
    <n v="62378.646881287699"/>
  </r>
  <r>
    <x v="0"/>
    <x v="0"/>
    <x v="0"/>
    <x v="7"/>
    <x v="12"/>
    <s v="PL_A1"/>
    <x v="11"/>
    <x v="26"/>
    <x v="11"/>
    <x v="10"/>
    <n v="284.83400402414497"/>
    <n v="17327.401911468802"/>
    <n v="62378.646881287699"/>
  </r>
  <r>
    <x v="0"/>
    <x v="0"/>
    <x v="0"/>
    <x v="7"/>
    <x v="12"/>
    <s v="PL_A1"/>
    <x v="11"/>
    <x v="26"/>
    <x v="11"/>
    <x v="11"/>
    <n v="284.83400402414497"/>
    <n v="17327.401911468802"/>
    <n v="62378.646881287699"/>
  </r>
  <r>
    <x v="0"/>
    <x v="0"/>
    <x v="0"/>
    <x v="7"/>
    <x v="12"/>
    <s v="PL_A1"/>
    <x v="14"/>
    <x v="27"/>
    <x v="0"/>
    <x v="0"/>
    <n v="116.184264166327"/>
    <n v="7067.87607011822"/>
    <n v="25444.3538524256"/>
  </r>
  <r>
    <x v="0"/>
    <x v="0"/>
    <x v="0"/>
    <x v="7"/>
    <x v="12"/>
    <s v="PL_A1"/>
    <x v="14"/>
    <x v="27"/>
    <x v="0"/>
    <x v="1"/>
    <n v="116.184264166327"/>
    <n v="7067.87607011822"/>
    <n v="25444.3538524256"/>
  </r>
  <r>
    <x v="0"/>
    <x v="0"/>
    <x v="0"/>
    <x v="7"/>
    <x v="12"/>
    <s v="PL_A1"/>
    <x v="14"/>
    <x v="27"/>
    <x v="0"/>
    <x v="2"/>
    <n v="116.184264166327"/>
    <n v="7067.87607011822"/>
    <n v="25444.3538524256"/>
  </r>
  <r>
    <x v="0"/>
    <x v="0"/>
    <x v="0"/>
    <x v="7"/>
    <x v="12"/>
    <s v="PL_A1"/>
    <x v="14"/>
    <x v="27"/>
    <x v="0"/>
    <x v="3"/>
    <n v="116.184264166327"/>
    <n v="7067.87607011822"/>
    <n v="25444.3538524256"/>
  </r>
  <r>
    <x v="0"/>
    <x v="0"/>
    <x v="0"/>
    <x v="7"/>
    <x v="12"/>
    <s v="PL_A1"/>
    <x v="14"/>
    <x v="27"/>
    <x v="0"/>
    <x v="4"/>
    <n v="116.184264166327"/>
    <n v="7067.87607011822"/>
    <n v="25444.3538524256"/>
  </r>
  <r>
    <x v="0"/>
    <x v="0"/>
    <x v="0"/>
    <x v="7"/>
    <x v="12"/>
    <s v="PL_A1"/>
    <x v="14"/>
    <x v="27"/>
    <x v="0"/>
    <x v="5"/>
    <n v="116.184264166327"/>
    <n v="7067.87607011822"/>
    <n v="25444.3538524256"/>
  </r>
  <r>
    <x v="0"/>
    <x v="0"/>
    <x v="0"/>
    <x v="7"/>
    <x v="12"/>
    <s v="PL_A1"/>
    <x v="14"/>
    <x v="27"/>
    <x v="0"/>
    <x v="6"/>
    <n v="116.184264166327"/>
    <n v="7067.87607011822"/>
    <n v="25444.3538524256"/>
  </r>
  <r>
    <x v="0"/>
    <x v="0"/>
    <x v="0"/>
    <x v="7"/>
    <x v="12"/>
    <s v="PL_A1"/>
    <x v="14"/>
    <x v="27"/>
    <x v="0"/>
    <x v="7"/>
    <n v="116.184264166327"/>
    <n v="7067.87607011822"/>
    <n v="25444.3538524256"/>
  </r>
  <r>
    <x v="0"/>
    <x v="0"/>
    <x v="0"/>
    <x v="7"/>
    <x v="12"/>
    <s v="PL_A1"/>
    <x v="14"/>
    <x v="27"/>
    <x v="0"/>
    <x v="8"/>
    <n v="116.184264166327"/>
    <n v="7067.87607011822"/>
    <n v="25444.3538524256"/>
  </r>
  <r>
    <x v="0"/>
    <x v="0"/>
    <x v="0"/>
    <x v="7"/>
    <x v="12"/>
    <s v="PL_A1"/>
    <x v="14"/>
    <x v="27"/>
    <x v="0"/>
    <x v="9"/>
    <n v="116.184264166327"/>
    <n v="7067.87607011822"/>
    <n v="25444.3538524256"/>
  </r>
  <r>
    <x v="0"/>
    <x v="0"/>
    <x v="0"/>
    <x v="7"/>
    <x v="12"/>
    <s v="PL_A1"/>
    <x v="14"/>
    <x v="27"/>
    <x v="0"/>
    <x v="10"/>
    <n v="116.184264166327"/>
    <n v="7067.87607011822"/>
    <n v="25444.3538524256"/>
  </r>
  <r>
    <x v="0"/>
    <x v="0"/>
    <x v="0"/>
    <x v="7"/>
    <x v="12"/>
    <s v="PL_A1"/>
    <x v="14"/>
    <x v="27"/>
    <x v="0"/>
    <x v="11"/>
    <n v="116.184264166327"/>
    <n v="7067.87607011822"/>
    <n v="25444.3538524256"/>
  </r>
  <r>
    <x v="0"/>
    <x v="0"/>
    <x v="0"/>
    <x v="7"/>
    <x v="12"/>
    <s v="PL_A1"/>
    <x v="14"/>
    <x v="27"/>
    <x v="1"/>
    <x v="0"/>
    <n v="116.184264166327"/>
    <n v="7067.87607011822"/>
    <n v="25444.3538524256"/>
  </r>
  <r>
    <x v="0"/>
    <x v="0"/>
    <x v="0"/>
    <x v="7"/>
    <x v="12"/>
    <s v="PL_A1"/>
    <x v="14"/>
    <x v="27"/>
    <x v="1"/>
    <x v="1"/>
    <n v="116.184264166327"/>
    <n v="7067.87607011822"/>
    <n v="25444.3538524256"/>
  </r>
  <r>
    <x v="0"/>
    <x v="0"/>
    <x v="0"/>
    <x v="7"/>
    <x v="12"/>
    <s v="PL_A1"/>
    <x v="14"/>
    <x v="27"/>
    <x v="1"/>
    <x v="2"/>
    <n v="116.184264166327"/>
    <n v="7067.87607011822"/>
    <n v="25444.3538524256"/>
  </r>
  <r>
    <x v="0"/>
    <x v="0"/>
    <x v="0"/>
    <x v="7"/>
    <x v="12"/>
    <s v="PL_A1"/>
    <x v="14"/>
    <x v="27"/>
    <x v="1"/>
    <x v="3"/>
    <n v="116.184264166327"/>
    <n v="7067.87607011822"/>
    <n v="25444.3538524256"/>
  </r>
  <r>
    <x v="0"/>
    <x v="0"/>
    <x v="0"/>
    <x v="7"/>
    <x v="12"/>
    <s v="PL_A1"/>
    <x v="14"/>
    <x v="27"/>
    <x v="1"/>
    <x v="4"/>
    <n v="116.184264166327"/>
    <n v="7067.87607011822"/>
    <n v="25444.3538524256"/>
  </r>
  <r>
    <x v="0"/>
    <x v="0"/>
    <x v="0"/>
    <x v="7"/>
    <x v="12"/>
    <s v="PL_A1"/>
    <x v="14"/>
    <x v="27"/>
    <x v="1"/>
    <x v="5"/>
    <n v="116.184264166327"/>
    <n v="7067.87607011822"/>
    <n v="25444.3538524256"/>
  </r>
  <r>
    <x v="0"/>
    <x v="0"/>
    <x v="0"/>
    <x v="7"/>
    <x v="12"/>
    <s v="PL_A1"/>
    <x v="14"/>
    <x v="27"/>
    <x v="1"/>
    <x v="6"/>
    <n v="116.184264166327"/>
    <n v="7067.87607011822"/>
    <n v="25444.3538524256"/>
  </r>
  <r>
    <x v="0"/>
    <x v="0"/>
    <x v="0"/>
    <x v="7"/>
    <x v="12"/>
    <s v="PL_A1"/>
    <x v="14"/>
    <x v="27"/>
    <x v="1"/>
    <x v="7"/>
    <n v="116.184264166327"/>
    <n v="7067.87607011822"/>
    <n v="25444.3538524256"/>
  </r>
  <r>
    <x v="0"/>
    <x v="0"/>
    <x v="0"/>
    <x v="7"/>
    <x v="12"/>
    <s v="PL_A1"/>
    <x v="14"/>
    <x v="27"/>
    <x v="1"/>
    <x v="8"/>
    <n v="116.184264166327"/>
    <n v="7067.87607011822"/>
    <n v="25444.3538524256"/>
  </r>
  <r>
    <x v="0"/>
    <x v="0"/>
    <x v="0"/>
    <x v="7"/>
    <x v="12"/>
    <s v="PL_A1"/>
    <x v="14"/>
    <x v="27"/>
    <x v="1"/>
    <x v="9"/>
    <n v="116.184264166327"/>
    <n v="7067.87607011822"/>
    <n v="25444.3538524256"/>
  </r>
  <r>
    <x v="0"/>
    <x v="0"/>
    <x v="0"/>
    <x v="7"/>
    <x v="12"/>
    <s v="PL_A1"/>
    <x v="14"/>
    <x v="27"/>
    <x v="1"/>
    <x v="10"/>
    <n v="116.184264166327"/>
    <n v="7067.87607011822"/>
    <n v="25444.3538524256"/>
  </r>
  <r>
    <x v="0"/>
    <x v="0"/>
    <x v="0"/>
    <x v="7"/>
    <x v="12"/>
    <s v="PL_A1"/>
    <x v="14"/>
    <x v="27"/>
    <x v="1"/>
    <x v="11"/>
    <n v="116.184264166327"/>
    <n v="7067.87607011822"/>
    <n v="25444.3538524256"/>
  </r>
  <r>
    <x v="0"/>
    <x v="0"/>
    <x v="0"/>
    <x v="7"/>
    <x v="12"/>
    <s v="PL_A1"/>
    <x v="14"/>
    <x v="27"/>
    <x v="2"/>
    <x v="0"/>
    <n v="116.184264166327"/>
    <n v="7067.87607011822"/>
    <n v="25444.3538524256"/>
  </r>
  <r>
    <x v="0"/>
    <x v="0"/>
    <x v="0"/>
    <x v="7"/>
    <x v="12"/>
    <s v="PL_A1"/>
    <x v="14"/>
    <x v="27"/>
    <x v="2"/>
    <x v="1"/>
    <n v="116.184264166327"/>
    <n v="7067.87607011822"/>
    <n v="25444.3538524256"/>
  </r>
  <r>
    <x v="0"/>
    <x v="0"/>
    <x v="0"/>
    <x v="7"/>
    <x v="12"/>
    <s v="PL_A1"/>
    <x v="14"/>
    <x v="27"/>
    <x v="2"/>
    <x v="2"/>
    <n v="116.184264166327"/>
    <n v="7067.87607011822"/>
    <n v="25444.3538524256"/>
  </r>
  <r>
    <x v="0"/>
    <x v="0"/>
    <x v="0"/>
    <x v="7"/>
    <x v="12"/>
    <s v="PL_A1"/>
    <x v="14"/>
    <x v="27"/>
    <x v="2"/>
    <x v="3"/>
    <n v="116.184264166327"/>
    <n v="7067.87607011822"/>
    <n v="25444.3538524256"/>
  </r>
  <r>
    <x v="0"/>
    <x v="0"/>
    <x v="0"/>
    <x v="7"/>
    <x v="12"/>
    <s v="PL_A1"/>
    <x v="14"/>
    <x v="27"/>
    <x v="2"/>
    <x v="4"/>
    <n v="116.184264166327"/>
    <n v="7067.87607011822"/>
    <n v="25444.3538524256"/>
  </r>
  <r>
    <x v="0"/>
    <x v="0"/>
    <x v="0"/>
    <x v="7"/>
    <x v="12"/>
    <s v="PL_A1"/>
    <x v="14"/>
    <x v="27"/>
    <x v="2"/>
    <x v="5"/>
    <n v="116.184264166327"/>
    <n v="7067.87607011822"/>
    <n v="25444.3538524256"/>
  </r>
  <r>
    <x v="0"/>
    <x v="0"/>
    <x v="0"/>
    <x v="7"/>
    <x v="12"/>
    <s v="PL_A1"/>
    <x v="14"/>
    <x v="27"/>
    <x v="2"/>
    <x v="6"/>
    <n v="116.184264166327"/>
    <n v="7067.87607011822"/>
    <n v="25444.3538524256"/>
  </r>
  <r>
    <x v="0"/>
    <x v="0"/>
    <x v="0"/>
    <x v="7"/>
    <x v="12"/>
    <s v="PL_A1"/>
    <x v="14"/>
    <x v="27"/>
    <x v="2"/>
    <x v="7"/>
    <n v="116.184264166327"/>
    <n v="7067.87607011822"/>
    <n v="25444.3538524256"/>
  </r>
  <r>
    <x v="0"/>
    <x v="0"/>
    <x v="0"/>
    <x v="7"/>
    <x v="12"/>
    <s v="PL_A1"/>
    <x v="14"/>
    <x v="27"/>
    <x v="2"/>
    <x v="8"/>
    <n v="116.184264166327"/>
    <n v="7067.87607011822"/>
    <n v="25444.3538524256"/>
  </r>
  <r>
    <x v="0"/>
    <x v="0"/>
    <x v="0"/>
    <x v="7"/>
    <x v="12"/>
    <s v="PL_A1"/>
    <x v="14"/>
    <x v="27"/>
    <x v="2"/>
    <x v="9"/>
    <n v="116.184264166327"/>
    <n v="7067.87607011822"/>
    <n v="25444.3538524256"/>
  </r>
  <r>
    <x v="0"/>
    <x v="0"/>
    <x v="0"/>
    <x v="7"/>
    <x v="12"/>
    <s v="PL_A1"/>
    <x v="14"/>
    <x v="27"/>
    <x v="2"/>
    <x v="10"/>
    <n v="116.184264166327"/>
    <n v="7067.87607011822"/>
    <n v="25444.3538524256"/>
  </r>
  <r>
    <x v="0"/>
    <x v="0"/>
    <x v="0"/>
    <x v="7"/>
    <x v="12"/>
    <s v="PL_A1"/>
    <x v="14"/>
    <x v="27"/>
    <x v="2"/>
    <x v="11"/>
    <n v="116.184264166327"/>
    <n v="7067.87607011822"/>
    <n v="25444.3538524256"/>
  </r>
  <r>
    <x v="0"/>
    <x v="0"/>
    <x v="0"/>
    <x v="7"/>
    <x v="12"/>
    <s v="PL_A1"/>
    <x v="14"/>
    <x v="27"/>
    <x v="3"/>
    <x v="0"/>
    <n v="116.184264166327"/>
    <n v="7067.87607011822"/>
    <n v="25444.3538524256"/>
  </r>
  <r>
    <x v="0"/>
    <x v="0"/>
    <x v="0"/>
    <x v="7"/>
    <x v="12"/>
    <s v="PL_A1"/>
    <x v="14"/>
    <x v="27"/>
    <x v="3"/>
    <x v="1"/>
    <n v="116.184264166327"/>
    <n v="7067.87607011822"/>
    <n v="25444.3538524256"/>
  </r>
  <r>
    <x v="0"/>
    <x v="0"/>
    <x v="0"/>
    <x v="7"/>
    <x v="12"/>
    <s v="PL_A1"/>
    <x v="14"/>
    <x v="27"/>
    <x v="3"/>
    <x v="2"/>
    <n v="116.184264166327"/>
    <n v="7067.87607011822"/>
    <n v="25444.3538524256"/>
  </r>
  <r>
    <x v="0"/>
    <x v="0"/>
    <x v="0"/>
    <x v="7"/>
    <x v="12"/>
    <s v="PL_A1"/>
    <x v="14"/>
    <x v="27"/>
    <x v="3"/>
    <x v="3"/>
    <n v="116.184264166327"/>
    <n v="7067.87607011822"/>
    <n v="25444.3538524256"/>
  </r>
  <r>
    <x v="0"/>
    <x v="0"/>
    <x v="0"/>
    <x v="7"/>
    <x v="12"/>
    <s v="PL_A1"/>
    <x v="14"/>
    <x v="27"/>
    <x v="3"/>
    <x v="4"/>
    <n v="116.184264166327"/>
    <n v="7067.87607011822"/>
    <n v="25444.3538524256"/>
  </r>
  <r>
    <x v="0"/>
    <x v="0"/>
    <x v="0"/>
    <x v="7"/>
    <x v="12"/>
    <s v="PL_A1"/>
    <x v="14"/>
    <x v="27"/>
    <x v="3"/>
    <x v="5"/>
    <n v="116.184264166327"/>
    <n v="7067.87607011822"/>
    <n v="25444.3538524256"/>
  </r>
  <r>
    <x v="0"/>
    <x v="0"/>
    <x v="0"/>
    <x v="7"/>
    <x v="12"/>
    <s v="PL_A1"/>
    <x v="14"/>
    <x v="27"/>
    <x v="3"/>
    <x v="6"/>
    <n v="116.184264166327"/>
    <n v="7067.87607011822"/>
    <n v="25444.3538524256"/>
  </r>
  <r>
    <x v="0"/>
    <x v="0"/>
    <x v="0"/>
    <x v="7"/>
    <x v="12"/>
    <s v="PL_A1"/>
    <x v="14"/>
    <x v="27"/>
    <x v="3"/>
    <x v="7"/>
    <n v="116.184264166327"/>
    <n v="7067.87607011822"/>
    <n v="25444.3538524256"/>
  </r>
  <r>
    <x v="0"/>
    <x v="0"/>
    <x v="0"/>
    <x v="7"/>
    <x v="12"/>
    <s v="PL_A1"/>
    <x v="14"/>
    <x v="27"/>
    <x v="3"/>
    <x v="8"/>
    <n v="116.184264166327"/>
    <n v="7067.87607011822"/>
    <n v="25444.3538524256"/>
  </r>
  <r>
    <x v="0"/>
    <x v="0"/>
    <x v="0"/>
    <x v="7"/>
    <x v="12"/>
    <s v="PL_A1"/>
    <x v="14"/>
    <x v="27"/>
    <x v="3"/>
    <x v="9"/>
    <n v="116.184264166327"/>
    <n v="7067.87607011822"/>
    <n v="25444.3538524256"/>
  </r>
  <r>
    <x v="0"/>
    <x v="0"/>
    <x v="0"/>
    <x v="7"/>
    <x v="12"/>
    <s v="PL_A1"/>
    <x v="14"/>
    <x v="27"/>
    <x v="3"/>
    <x v="10"/>
    <n v="116.184264166327"/>
    <n v="7067.87607011822"/>
    <n v="25444.3538524256"/>
  </r>
  <r>
    <x v="0"/>
    <x v="0"/>
    <x v="0"/>
    <x v="7"/>
    <x v="12"/>
    <s v="PL_A1"/>
    <x v="14"/>
    <x v="27"/>
    <x v="3"/>
    <x v="11"/>
    <n v="116.184264166327"/>
    <n v="7067.87607011822"/>
    <n v="25444.3538524256"/>
  </r>
  <r>
    <x v="0"/>
    <x v="0"/>
    <x v="0"/>
    <x v="7"/>
    <x v="12"/>
    <s v="PL_A1"/>
    <x v="14"/>
    <x v="27"/>
    <x v="4"/>
    <x v="0"/>
    <n v="116.184264166327"/>
    <n v="7067.87607011822"/>
    <n v="25444.3538524256"/>
  </r>
  <r>
    <x v="0"/>
    <x v="0"/>
    <x v="0"/>
    <x v="7"/>
    <x v="12"/>
    <s v="PL_A1"/>
    <x v="14"/>
    <x v="27"/>
    <x v="4"/>
    <x v="1"/>
    <n v="116.184264166327"/>
    <n v="7067.87607011822"/>
    <n v="25444.3538524256"/>
  </r>
  <r>
    <x v="0"/>
    <x v="0"/>
    <x v="0"/>
    <x v="7"/>
    <x v="12"/>
    <s v="PL_A1"/>
    <x v="14"/>
    <x v="27"/>
    <x v="4"/>
    <x v="2"/>
    <n v="116.184264166327"/>
    <n v="7067.87607011822"/>
    <n v="25444.3538524256"/>
  </r>
  <r>
    <x v="0"/>
    <x v="0"/>
    <x v="0"/>
    <x v="7"/>
    <x v="12"/>
    <s v="PL_A1"/>
    <x v="14"/>
    <x v="27"/>
    <x v="4"/>
    <x v="3"/>
    <n v="116.184264166327"/>
    <n v="7067.87607011822"/>
    <n v="25444.3538524256"/>
  </r>
  <r>
    <x v="0"/>
    <x v="0"/>
    <x v="0"/>
    <x v="7"/>
    <x v="12"/>
    <s v="PL_A1"/>
    <x v="14"/>
    <x v="27"/>
    <x v="4"/>
    <x v="4"/>
    <n v="116.184264166327"/>
    <n v="7067.87607011822"/>
    <n v="25444.3538524256"/>
  </r>
  <r>
    <x v="0"/>
    <x v="0"/>
    <x v="0"/>
    <x v="7"/>
    <x v="12"/>
    <s v="PL_A1"/>
    <x v="14"/>
    <x v="27"/>
    <x v="4"/>
    <x v="5"/>
    <n v="116.184264166327"/>
    <n v="7067.87607011822"/>
    <n v="25444.3538524256"/>
  </r>
  <r>
    <x v="0"/>
    <x v="0"/>
    <x v="0"/>
    <x v="7"/>
    <x v="12"/>
    <s v="PL_A1"/>
    <x v="14"/>
    <x v="27"/>
    <x v="4"/>
    <x v="6"/>
    <n v="116.184264166327"/>
    <n v="7067.87607011822"/>
    <n v="25444.3538524256"/>
  </r>
  <r>
    <x v="0"/>
    <x v="0"/>
    <x v="0"/>
    <x v="7"/>
    <x v="12"/>
    <s v="PL_A1"/>
    <x v="14"/>
    <x v="27"/>
    <x v="4"/>
    <x v="7"/>
    <n v="116.184264166327"/>
    <n v="7067.87607011822"/>
    <n v="25444.3538524256"/>
  </r>
  <r>
    <x v="0"/>
    <x v="0"/>
    <x v="0"/>
    <x v="7"/>
    <x v="12"/>
    <s v="PL_A1"/>
    <x v="14"/>
    <x v="27"/>
    <x v="4"/>
    <x v="8"/>
    <n v="116.184264166327"/>
    <n v="7067.87607011822"/>
    <n v="25444.3538524256"/>
  </r>
  <r>
    <x v="0"/>
    <x v="0"/>
    <x v="0"/>
    <x v="7"/>
    <x v="12"/>
    <s v="PL_A1"/>
    <x v="14"/>
    <x v="27"/>
    <x v="4"/>
    <x v="9"/>
    <n v="116.184264166327"/>
    <n v="7067.87607011822"/>
    <n v="25444.3538524256"/>
  </r>
  <r>
    <x v="0"/>
    <x v="0"/>
    <x v="0"/>
    <x v="7"/>
    <x v="12"/>
    <s v="PL_A1"/>
    <x v="14"/>
    <x v="27"/>
    <x v="4"/>
    <x v="10"/>
    <n v="116.184264166327"/>
    <n v="7067.87607011822"/>
    <n v="25444.3538524256"/>
  </r>
  <r>
    <x v="0"/>
    <x v="0"/>
    <x v="0"/>
    <x v="7"/>
    <x v="12"/>
    <s v="PL_A1"/>
    <x v="14"/>
    <x v="27"/>
    <x v="4"/>
    <x v="11"/>
    <n v="116.184264166327"/>
    <n v="7067.87607011822"/>
    <n v="25444.3538524256"/>
  </r>
  <r>
    <x v="0"/>
    <x v="0"/>
    <x v="0"/>
    <x v="7"/>
    <x v="12"/>
    <s v="PL_A1"/>
    <x v="14"/>
    <x v="27"/>
    <x v="5"/>
    <x v="0"/>
    <n v="116.184264166327"/>
    <n v="7067.87607011822"/>
    <n v="25444.3538524256"/>
  </r>
  <r>
    <x v="0"/>
    <x v="0"/>
    <x v="0"/>
    <x v="7"/>
    <x v="12"/>
    <s v="PL_A1"/>
    <x v="14"/>
    <x v="27"/>
    <x v="5"/>
    <x v="1"/>
    <n v="116.184264166327"/>
    <n v="7067.87607011822"/>
    <n v="25444.3538524256"/>
  </r>
  <r>
    <x v="0"/>
    <x v="0"/>
    <x v="0"/>
    <x v="7"/>
    <x v="12"/>
    <s v="PL_A1"/>
    <x v="14"/>
    <x v="27"/>
    <x v="5"/>
    <x v="2"/>
    <n v="116.184264166327"/>
    <n v="7067.87607011822"/>
    <n v="25444.3538524256"/>
  </r>
  <r>
    <x v="0"/>
    <x v="0"/>
    <x v="0"/>
    <x v="7"/>
    <x v="12"/>
    <s v="PL_A1"/>
    <x v="14"/>
    <x v="27"/>
    <x v="5"/>
    <x v="3"/>
    <n v="116.184264166327"/>
    <n v="7067.87607011822"/>
    <n v="25444.3538524256"/>
  </r>
  <r>
    <x v="0"/>
    <x v="0"/>
    <x v="0"/>
    <x v="7"/>
    <x v="12"/>
    <s v="PL_A1"/>
    <x v="14"/>
    <x v="27"/>
    <x v="5"/>
    <x v="4"/>
    <n v="116.184264166327"/>
    <n v="7067.87607011822"/>
    <n v="25444.3538524256"/>
  </r>
  <r>
    <x v="0"/>
    <x v="0"/>
    <x v="0"/>
    <x v="7"/>
    <x v="12"/>
    <s v="PL_A1"/>
    <x v="14"/>
    <x v="27"/>
    <x v="5"/>
    <x v="5"/>
    <n v="116.184264166327"/>
    <n v="7067.87607011822"/>
    <n v="25444.3538524256"/>
  </r>
  <r>
    <x v="0"/>
    <x v="0"/>
    <x v="0"/>
    <x v="7"/>
    <x v="12"/>
    <s v="PL_A1"/>
    <x v="14"/>
    <x v="27"/>
    <x v="5"/>
    <x v="6"/>
    <n v="116.184264166327"/>
    <n v="7067.87607011822"/>
    <n v="25444.3538524256"/>
  </r>
  <r>
    <x v="0"/>
    <x v="0"/>
    <x v="0"/>
    <x v="7"/>
    <x v="12"/>
    <s v="PL_A1"/>
    <x v="14"/>
    <x v="27"/>
    <x v="5"/>
    <x v="7"/>
    <n v="116.184264166327"/>
    <n v="7067.87607011822"/>
    <n v="25444.3538524256"/>
  </r>
  <r>
    <x v="0"/>
    <x v="0"/>
    <x v="0"/>
    <x v="7"/>
    <x v="12"/>
    <s v="PL_A1"/>
    <x v="14"/>
    <x v="27"/>
    <x v="5"/>
    <x v="8"/>
    <n v="116.184264166327"/>
    <n v="7067.87607011822"/>
    <n v="25444.3538524256"/>
  </r>
  <r>
    <x v="0"/>
    <x v="0"/>
    <x v="0"/>
    <x v="7"/>
    <x v="12"/>
    <s v="PL_A1"/>
    <x v="14"/>
    <x v="27"/>
    <x v="5"/>
    <x v="9"/>
    <n v="116.184264166327"/>
    <n v="7067.87607011822"/>
    <n v="25444.3538524256"/>
  </r>
  <r>
    <x v="0"/>
    <x v="0"/>
    <x v="0"/>
    <x v="7"/>
    <x v="12"/>
    <s v="PL_A1"/>
    <x v="14"/>
    <x v="27"/>
    <x v="5"/>
    <x v="10"/>
    <n v="116.184264166327"/>
    <n v="7067.87607011822"/>
    <n v="25444.3538524256"/>
  </r>
  <r>
    <x v="0"/>
    <x v="0"/>
    <x v="0"/>
    <x v="7"/>
    <x v="12"/>
    <s v="PL_A1"/>
    <x v="14"/>
    <x v="27"/>
    <x v="5"/>
    <x v="11"/>
    <n v="116.184264166327"/>
    <n v="7067.87607011822"/>
    <n v="25444.3538524256"/>
  </r>
  <r>
    <x v="0"/>
    <x v="0"/>
    <x v="0"/>
    <x v="7"/>
    <x v="12"/>
    <s v="PL_A1"/>
    <x v="14"/>
    <x v="27"/>
    <x v="6"/>
    <x v="0"/>
    <n v="116.184264166327"/>
    <n v="7067.87607011822"/>
    <n v="25444.3538524256"/>
  </r>
  <r>
    <x v="0"/>
    <x v="0"/>
    <x v="0"/>
    <x v="7"/>
    <x v="12"/>
    <s v="PL_A1"/>
    <x v="14"/>
    <x v="27"/>
    <x v="6"/>
    <x v="1"/>
    <n v="116.184264166327"/>
    <n v="7067.87607011822"/>
    <n v="25444.3538524256"/>
  </r>
  <r>
    <x v="0"/>
    <x v="0"/>
    <x v="0"/>
    <x v="7"/>
    <x v="12"/>
    <s v="PL_A1"/>
    <x v="14"/>
    <x v="27"/>
    <x v="6"/>
    <x v="2"/>
    <n v="116.184264166327"/>
    <n v="7067.87607011822"/>
    <n v="25444.3538524256"/>
  </r>
  <r>
    <x v="0"/>
    <x v="0"/>
    <x v="0"/>
    <x v="7"/>
    <x v="12"/>
    <s v="PL_A1"/>
    <x v="14"/>
    <x v="27"/>
    <x v="6"/>
    <x v="3"/>
    <n v="116.184264166327"/>
    <n v="7067.87607011822"/>
    <n v="25444.3538524256"/>
  </r>
  <r>
    <x v="0"/>
    <x v="0"/>
    <x v="0"/>
    <x v="7"/>
    <x v="12"/>
    <s v="PL_A1"/>
    <x v="14"/>
    <x v="27"/>
    <x v="6"/>
    <x v="4"/>
    <n v="116.184264166327"/>
    <n v="7067.87607011822"/>
    <n v="25444.3538524256"/>
  </r>
  <r>
    <x v="0"/>
    <x v="0"/>
    <x v="0"/>
    <x v="7"/>
    <x v="12"/>
    <s v="PL_A1"/>
    <x v="14"/>
    <x v="27"/>
    <x v="6"/>
    <x v="5"/>
    <n v="116.184264166327"/>
    <n v="7067.87607011822"/>
    <n v="25444.3538524256"/>
  </r>
  <r>
    <x v="0"/>
    <x v="0"/>
    <x v="0"/>
    <x v="7"/>
    <x v="12"/>
    <s v="PL_A1"/>
    <x v="14"/>
    <x v="27"/>
    <x v="6"/>
    <x v="6"/>
    <n v="116.184264166327"/>
    <n v="7067.87607011822"/>
    <n v="25444.3538524256"/>
  </r>
  <r>
    <x v="0"/>
    <x v="0"/>
    <x v="0"/>
    <x v="7"/>
    <x v="12"/>
    <s v="PL_A1"/>
    <x v="14"/>
    <x v="27"/>
    <x v="6"/>
    <x v="7"/>
    <n v="116.184264166327"/>
    <n v="7067.87607011822"/>
    <n v="25444.3538524256"/>
  </r>
  <r>
    <x v="0"/>
    <x v="0"/>
    <x v="0"/>
    <x v="7"/>
    <x v="12"/>
    <s v="PL_A1"/>
    <x v="14"/>
    <x v="27"/>
    <x v="6"/>
    <x v="8"/>
    <n v="116.184264166327"/>
    <n v="7067.87607011822"/>
    <n v="25444.3538524256"/>
  </r>
  <r>
    <x v="0"/>
    <x v="0"/>
    <x v="0"/>
    <x v="7"/>
    <x v="12"/>
    <s v="PL_A1"/>
    <x v="14"/>
    <x v="27"/>
    <x v="6"/>
    <x v="9"/>
    <n v="116.184264166327"/>
    <n v="7067.87607011822"/>
    <n v="25444.3538524256"/>
  </r>
  <r>
    <x v="0"/>
    <x v="0"/>
    <x v="0"/>
    <x v="7"/>
    <x v="12"/>
    <s v="PL_A1"/>
    <x v="14"/>
    <x v="27"/>
    <x v="6"/>
    <x v="10"/>
    <n v="116.184264166327"/>
    <n v="7067.87607011822"/>
    <n v="25444.3538524256"/>
  </r>
  <r>
    <x v="0"/>
    <x v="0"/>
    <x v="0"/>
    <x v="7"/>
    <x v="12"/>
    <s v="PL_A1"/>
    <x v="14"/>
    <x v="27"/>
    <x v="6"/>
    <x v="11"/>
    <n v="116.184264166327"/>
    <n v="7067.87607011822"/>
    <n v="25444.3538524256"/>
  </r>
  <r>
    <x v="0"/>
    <x v="0"/>
    <x v="0"/>
    <x v="7"/>
    <x v="12"/>
    <s v="PL_A1"/>
    <x v="14"/>
    <x v="27"/>
    <x v="7"/>
    <x v="0"/>
    <n v="116.184264166327"/>
    <n v="7067.87607011822"/>
    <n v="25444.3538524256"/>
  </r>
  <r>
    <x v="0"/>
    <x v="0"/>
    <x v="0"/>
    <x v="7"/>
    <x v="12"/>
    <s v="PL_A1"/>
    <x v="14"/>
    <x v="27"/>
    <x v="7"/>
    <x v="1"/>
    <n v="116.184264166327"/>
    <n v="7067.87607011822"/>
    <n v="25444.3538524256"/>
  </r>
  <r>
    <x v="0"/>
    <x v="0"/>
    <x v="0"/>
    <x v="7"/>
    <x v="12"/>
    <s v="PL_A1"/>
    <x v="14"/>
    <x v="27"/>
    <x v="7"/>
    <x v="2"/>
    <n v="116.184264166327"/>
    <n v="7067.87607011822"/>
    <n v="25444.3538524256"/>
  </r>
  <r>
    <x v="0"/>
    <x v="0"/>
    <x v="0"/>
    <x v="7"/>
    <x v="12"/>
    <s v="PL_A1"/>
    <x v="14"/>
    <x v="27"/>
    <x v="7"/>
    <x v="3"/>
    <n v="116.184264166327"/>
    <n v="7067.87607011822"/>
    <n v="25444.3538524256"/>
  </r>
  <r>
    <x v="0"/>
    <x v="0"/>
    <x v="0"/>
    <x v="7"/>
    <x v="12"/>
    <s v="PL_A1"/>
    <x v="14"/>
    <x v="27"/>
    <x v="7"/>
    <x v="4"/>
    <n v="116.184264166327"/>
    <n v="7067.87607011822"/>
    <n v="25444.3538524256"/>
  </r>
  <r>
    <x v="0"/>
    <x v="0"/>
    <x v="0"/>
    <x v="7"/>
    <x v="12"/>
    <s v="PL_A1"/>
    <x v="14"/>
    <x v="27"/>
    <x v="7"/>
    <x v="5"/>
    <n v="116.184264166327"/>
    <n v="7067.87607011822"/>
    <n v="25444.3538524256"/>
  </r>
  <r>
    <x v="0"/>
    <x v="0"/>
    <x v="0"/>
    <x v="7"/>
    <x v="12"/>
    <s v="PL_A1"/>
    <x v="14"/>
    <x v="27"/>
    <x v="7"/>
    <x v="6"/>
    <n v="116.184264166327"/>
    <n v="7067.87607011822"/>
    <n v="25444.3538524256"/>
  </r>
  <r>
    <x v="0"/>
    <x v="0"/>
    <x v="0"/>
    <x v="7"/>
    <x v="12"/>
    <s v="PL_A1"/>
    <x v="14"/>
    <x v="27"/>
    <x v="7"/>
    <x v="7"/>
    <n v="116.184264166327"/>
    <n v="7067.87607011822"/>
    <n v="25444.3538524256"/>
  </r>
  <r>
    <x v="0"/>
    <x v="0"/>
    <x v="0"/>
    <x v="7"/>
    <x v="12"/>
    <s v="PL_A1"/>
    <x v="14"/>
    <x v="27"/>
    <x v="7"/>
    <x v="8"/>
    <n v="116.184264166327"/>
    <n v="7067.87607011822"/>
    <n v="25444.3538524256"/>
  </r>
  <r>
    <x v="0"/>
    <x v="0"/>
    <x v="0"/>
    <x v="7"/>
    <x v="12"/>
    <s v="PL_A1"/>
    <x v="14"/>
    <x v="27"/>
    <x v="7"/>
    <x v="9"/>
    <n v="116.184264166327"/>
    <n v="7067.87607011822"/>
    <n v="25444.3538524256"/>
  </r>
  <r>
    <x v="0"/>
    <x v="0"/>
    <x v="0"/>
    <x v="7"/>
    <x v="12"/>
    <s v="PL_A1"/>
    <x v="14"/>
    <x v="27"/>
    <x v="7"/>
    <x v="10"/>
    <n v="116.184264166327"/>
    <n v="7067.87607011822"/>
    <n v="25444.3538524256"/>
  </r>
  <r>
    <x v="0"/>
    <x v="0"/>
    <x v="0"/>
    <x v="7"/>
    <x v="12"/>
    <s v="PL_A1"/>
    <x v="14"/>
    <x v="27"/>
    <x v="7"/>
    <x v="11"/>
    <n v="116.184264166327"/>
    <n v="7067.87607011822"/>
    <n v="25444.3538524256"/>
  </r>
  <r>
    <x v="0"/>
    <x v="0"/>
    <x v="0"/>
    <x v="7"/>
    <x v="12"/>
    <s v="PL_A1"/>
    <x v="14"/>
    <x v="27"/>
    <x v="8"/>
    <x v="0"/>
    <n v="116.184264166327"/>
    <n v="7067.87607011822"/>
    <n v="25444.3538524256"/>
  </r>
  <r>
    <x v="0"/>
    <x v="0"/>
    <x v="0"/>
    <x v="7"/>
    <x v="12"/>
    <s v="PL_A1"/>
    <x v="14"/>
    <x v="27"/>
    <x v="8"/>
    <x v="1"/>
    <n v="116.184264166327"/>
    <n v="7067.87607011822"/>
    <n v="25444.3538524256"/>
  </r>
  <r>
    <x v="0"/>
    <x v="0"/>
    <x v="0"/>
    <x v="7"/>
    <x v="12"/>
    <s v="PL_A1"/>
    <x v="14"/>
    <x v="27"/>
    <x v="8"/>
    <x v="2"/>
    <n v="116.184264166327"/>
    <n v="7067.87607011822"/>
    <n v="25444.3538524256"/>
  </r>
  <r>
    <x v="0"/>
    <x v="0"/>
    <x v="0"/>
    <x v="7"/>
    <x v="12"/>
    <s v="PL_A1"/>
    <x v="14"/>
    <x v="27"/>
    <x v="8"/>
    <x v="3"/>
    <n v="116.184264166327"/>
    <n v="7067.87607011822"/>
    <n v="25444.3538524256"/>
  </r>
  <r>
    <x v="0"/>
    <x v="0"/>
    <x v="0"/>
    <x v="7"/>
    <x v="12"/>
    <s v="PL_A1"/>
    <x v="14"/>
    <x v="27"/>
    <x v="8"/>
    <x v="4"/>
    <n v="116.184264166327"/>
    <n v="7067.87607011822"/>
    <n v="25444.3538524256"/>
  </r>
  <r>
    <x v="0"/>
    <x v="0"/>
    <x v="0"/>
    <x v="7"/>
    <x v="12"/>
    <s v="PL_A1"/>
    <x v="14"/>
    <x v="27"/>
    <x v="8"/>
    <x v="5"/>
    <n v="116.184264166327"/>
    <n v="7067.87607011822"/>
    <n v="25444.3538524256"/>
  </r>
  <r>
    <x v="0"/>
    <x v="0"/>
    <x v="0"/>
    <x v="7"/>
    <x v="12"/>
    <s v="PL_A1"/>
    <x v="14"/>
    <x v="27"/>
    <x v="8"/>
    <x v="6"/>
    <n v="116.184264166327"/>
    <n v="7067.87607011822"/>
    <n v="25444.3538524256"/>
  </r>
  <r>
    <x v="0"/>
    <x v="0"/>
    <x v="0"/>
    <x v="7"/>
    <x v="12"/>
    <s v="PL_A1"/>
    <x v="14"/>
    <x v="27"/>
    <x v="8"/>
    <x v="7"/>
    <n v="116.184264166327"/>
    <n v="7067.87607011822"/>
    <n v="25444.3538524256"/>
  </r>
  <r>
    <x v="0"/>
    <x v="0"/>
    <x v="0"/>
    <x v="7"/>
    <x v="12"/>
    <s v="PL_A1"/>
    <x v="14"/>
    <x v="27"/>
    <x v="8"/>
    <x v="8"/>
    <n v="116.184264166327"/>
    <n v="7067.87607011822"/>
    <n v="25444.3538524256"/>
  </r>
  <r>
    <x v="0"/>
    <x v="0"/>
    <x v="0"/>
    <x v="7"/>
    <x v="12"/>
    <s v="PL_A1"/>
    <x v="14"/>
    <x v="27"/>
    <x v="8"/>
    <x v="9"/>
    <n v="116.184264166327"/>
    <n v="7067.87607011822"/>
    <n v="25444.3538524256"/>
  </r>
  <r>
    <x v="0"/>
    <x v="0"/>
    <x v="0"/>
    <x v="7"/>
    <x v="12"/>
    <s v="PL_A1"/>
    <x v="14"/>
    <x v="27"/>
    <x v="8"/>
    <x v="10"/>
    <n v="116.184264166327"/>
    <n v="7067.87607011822"/>
    <n v="25444.3538524256"/>
  </r>
  <r>
    <x v="0"/>
    <x v="0"/>
    <x v="0"/>
    <x v="7"/>
    <x v="12"/>
    <s v="PL_A1"/>
    <x v="14"/>
    <x v="27"/>
    <x v="8"/>
    <x v="11"/>
    <n v="116.184264166327"/>
    <n v="7067.87607011822"/>
    <n v="25444.3538524256"/>
  </r>
  <r>
    <x v="0"/>
    <x v="0"/>
    <x v="0"/>
    <x v="7"/>
    <x v="12"/>
    <s v="PL_A1"/>
    <x v="14"/>
    <x v="27"/>
    <x v="9"/>
    <x v="0"/>
    <n v="116.184264166327"/>
    <n v="7067.87607011822"/>
    <n v="25444.3538524256"/>
  </r>
  <r>
    <x v="0"/>
    <x v="0"/>
    <x v="0"/>
    <x v="7"/>
    <x v="12"/>
    <s v="PL_A1"/>
    <x v="14"/>
    <x v="27"/>
    <x v="9"/>
    <x v="1"/>
    <n v="116.184264166327"/>
    <n v="7067.87607011822"/>
    <n v="25444.3538524256"/>
  </r>
  <r>
    <x v="0"/>
    <x v="0"/>
    <x v="0"/>
    <x v="7"/>
    <x v="12"/>
    <s v="PL_A1"/>
    <x v="14"/>
    <x v="27"/>
    <x v="9"/>
    <x v="2"/>
    <n v="116.184264166327"/>
    <n v="7067.87607011822"/>
    <n v="25444.3538524256"/>
  </r>
  <r>
    <x v="0"/>
    <x v="0"/>
    <x v="0"/>
    <x v="7"/>
    <x v="12"/>
    <s v="PL_A1"/>
    <x v="14"/>
    <x v="27"/>
    <x v="9"/>
    <x v="3"/>
    <n v="116.184264166327"/>
    <n v="7067.87607011822"/>
    <n v="25444.3538524256"/>
  </r>
  <r>
    <x v="0"/>
    <x v="0"/>
    <x v="0"/>
    <x v="7"/>
    <x v="12"/>
    <s v="PL_A1"/>
    <x v="14"/>
    <x v="27"/>
    <x v="9"/>
    <x v="4"/>
    <n v="116.184264166327"/>
    <n v="7067.87607011822"/>
    <n v="25444.3538524256"/>
  </r>
  <r>
    <x v="0"/>
    <x v="0"/>
    <x v="0"/>
    <x v="7"/>
    <x v="12"/>
    <s v="PL_A1"/>
    <x v="14"/>
    <x v="27"/>
    <x v="9"/>
    <x v="5"/>
    <n v="116.184264166327"/>
    <n v="7067.87607011822"/>
    <n v="25444.3538524256"/>
  </r>
  <r>
    <x v="0"/>
    <x v="0"/>
    <x v="0"/>
    <x v="7"/>
    <x v="12"/>
    <s v="PL_A1"/>
    <x v="14"/>
    <x v="27"/>
    <x v="9"/>
    <x v="6"/>
    <n v="116.184264166327"/>
    <n v="7067.87607011822"/>
    <n v="25444.3538524256"/>
  </r>
  <r>
    <x v="0"/>
    <x v="0"/>
    <x v="0"/>
    <x v="7"/>
    <x v="12"/>
    <s v="PL_A1"/>
    <x v="14"/>
    <x v="27"/>
    <x v="9"/>
    <x v="7"/>
    <n v="116.184264166327"/>
    <n v="7067.87607011822"/>
    <n v="25444.3538524256"/>
  </r>
  <r>
    <x v="0"/>
    <x v="0"/>
    <x v="0"/>
    <x v="7"/>
    <x v="12"/>
    <s v="PL_A1"/>
    <x v="14"/>
    <x v="27"/>
    <x v="9"/>
    <x v="8"/>
    <n v="116.184264166327"/>
    <n v="7067.87607011822"/>
    <n v="25444.3538524256"/>
  </r>
  <r>
    <x v="0"/>
    <x v="0"/>
    <x v="0"/>
    <x v="7"/>
    <x v="12"/>
    <s v="PL_A1"/>
    <x v="14"/>
    <x v="27"/>
    <x v="9"/>
    <x v="9"/>
    <n v="116.184264166327"/>
    <n v="7067.87607011822"/>
    <n v="25444.3538524256"/>
  </r>
  <r>
    <x v="0"/>
    <x v="0"/>
    <x v="0"/>
    <x v="7"/>
    <x v="12"/>
    <s v="PL_A1"/>
    <x v="14"/>
    <x v="27"/>
    <x v="9"/>
    <x v="10"/>
    <n v="116.184264166327"/>
    <n v="7067.87607011822"/>
    <n v="25444.3538524256"/>
  </r>
  <r>
    <x v="0"/>
    <x v="0"/>
    <x v="0"/>
    <x v="7"/>
    <x v="12"/>
    <s v="PL_A1"/>
    <x v="14"/>
    <x v="27"/>
    <x v="9"/>
    <x v="11"/>
    <n v="116.184264166327"/>
    <n v="7067.87607011822"/>
    <n v="25444.3538524256"/>
  </r>
  <r>
    <x v="0"/>
    <x v="0"/>
    <x v="0"/>
    <x v="7"/>
    <x v="12"/>
    <s v="PL_A1"/>
    <x v="14"/>
    <x v="27"/>
    <x v="10"/>
    <x v="0"/>
    <n v="116.184264166327"/>
    <n v="7067.87607011822"/>
    <n v="25444.3538524256"/>
  </r>
  <r>
    <x v="0"/>
    <x v="0"/>
    <x v="0"/>
    <x v="7"/>
    <x v="12"/>
    <s v="PL_A1"/>
    <x v="14"/>
    <x v="27"/>
    <x v="10"/>
    <x v="1"/>
    <n v="116.184264166327"/>
    <n v="7067.87607011822"/>
    <n v="25444.3538524256"/>
  </r>
  <r>
    <x v="0"/>
    <x v="0"/>
    <x v="0"/>
    <x v="7"/>
    <x v="12"/>
    <s v="PL_A1"/>
    <x v="14"/>
    <x v="27"/>
    <x v="10"/>
    <x v="2"/>
    <n v="116.184264166327"/>
    <n v="7067.87607011822"/>
    <n v="25444.3538524256"/>
  </r>
  <r>
    <x v="0"/>
    <x v="0"/>
    <x v="0"/>
    <x v="7"/>
    <x v="12"/>
    <s v="PL_A1"/>
    <x v="14"/>
    <x v="27"/>
    <x v="10"/>
    <x v="3"/>
    <n v="116.184264166327"/>
    <n v="7067.87607011822"/>
    <n v="25444.3538524256"/>
  </r>
  <r>
    <x v="0"/>
    <x v="0"/>
    <x v="0"/>
    <x v="7"/>
    <x v="12"/>
    <s v="PL_A1"/>
    <x v="14"/>
    <x v="27"/>
    <x v="10"/>
    <x v="4"/>
    <n v="116.184264166327"/>
    <n v="7067.87607011822"/>
    <n v="25444.3538524256"/>
  </r>
  <r>
    <x v="0"/>
    <x v="0"/>
    <x v="0"/>
    <x v="7"/>
    <x v="12"/>
    <s v="PL_A1"/>
    <x v="14"/>
    <x v="27"/>
    <x v="10"/>
    <x v="5"/>
    <n v="116.184264166327"/>
    <n v="7067.87607011822"/>
    <n v="25444.3538524256"/>
  </r>
  <r>
    <x v="0"/>
    <x v="0"/>
    <x v="0"/>
    <x v="7"/>
    <x v="12"/>
    <s v="PL_A1"/>
    <x v="14"/>
    <x v="27"/>
    <x v="10"/>
    <x v="6"/>
    <n v="116.184264166327"/>
    <n v="7067.87607011822"/>
    <n v="25444.3538524256"/>
  </r>
  <r>
    <x v="0"/>
    <x v="0"/>
    <x v="0"/>
    <x v="7"/>
    <x v="12"/>
    <s v="PL_A1"/>
    <x v="14"/>
    <x v="27"/>
    <x v="10"/>
    <x v="7"/>
    <n v="116.184264166327"/>
    <n v="7067.87607011822"/>
    <n v="25444.3538524256"/>
  </r>
  <r>
    <x v="0"/>
    <x v="0"/>
    <x v="0"/>
    <x v="7"/>
    <x v="12"/>
    <s v="PL_A1"/>
    <x v="14"/>
    <x v="27"/>
    <x v="10"/>
    <x v="8"/>
    <n v="116.184264166327"/>
    <n v="7067.87607011822"/>
    <n v="25444.3538524256"/>
  </r>
  <r>
    <x v="0"/>
    <x v="0"/>
    <x v="0"/>
    <x v="7"/>
    <x v="12"/>
    <s v="PL_A1"/>
    <x v="14"/>
    <x v="27"/>
    <x v="10"/>
    <x v="9"/>
    <n v="116.184264166327"/>
    <n v="7067.87607011822"/>
    <n v="25444.3538524256"/>
  </r>
  <r>
    <x v="0"/>
    <x v="0"/>
    <x v="0"/>
    <x v="7"/>
    <x v="12"/>
    <s v="PL_A1"/>
    <x v="14"/>
    <x v="27"/>
    <x v="10"/>
    <x v="10"/>
    <n v="116.184264166327"/>
    <n v="7067.87607011822"/>
    <n v="25444.3538524256"/>
  </r>
  <r>
    <x v="0"/>
    <x v="0"/>
    <x v="0"/>
    <x v="7"/>
    <x v="12"/>
    <s v="PL_A1"/>
    <x v="14"/>
    <x v="27"/>
    <x v="10"/>
    <x v="11"/>
    <n v="116.184264166327"/>
    <n v="7067.87607011822"/>
    <n v="25444.3538524256"/>
  </r>
  <r>
    <x v="0"/>
    <x v="0"/>
    <x v="0"/>
    <x v="7"/>
    <x v="12"/>
    <s v="PL_A1"/>
    <x v="14"/>
    <x v="27"/>
    <x v="11"/>
    <x v="0"/>
    <n v="116.184264166327"/>
    <n v="7067.87607011822"/>
    <n v="25444.3538524256"/>
  </r>
  <r>
    <x v="0"/>
    <x v="0"/>
    <x v="0"/>
    <x v="7"/>
    <x v="12"/>
    <s v="PL_A1"/>
    <x v="14"/>
    <x v="27"/>
    <x v="11"/>
    <x v="1"/>
    <n v="116.184264166327"/>
    <n v="7067.87607011822"/>
    <n v="25444.3538524256"/>
  </r>
  <r>
    <x v="0"/>
    <x v="0"/>
    <x v="0"/>
    <x v="7"/>
    <x v="12"/>
    <s v="PL_A1"/>
    <x v="14"/>
    <x v="27"/>
    <x v="11"/>
    <x v="2"/>
    <n v="116.184264166327"/>
    <n v="7067.87607011822"/>
    <n v="25444.3538524256"/>
  </r>
  <r>
    <x v="0"/>
    <x v="0"/>
    <x v="0"/>
    <x v="7"/>
    <x v="12"/>
    <s v="PL_A1"/>
    <x v="14"/>
    <x v="27"/>
    <x v="11"/>
    <x v="3"/>
    <n v="116.184264166327"/>
    <n v="7067.87607011822"/>
    <n v="25444.3538524256"/>
  </r>
  <r>
    <x v="0"/>
    <x v="0"/>
    <x v="0"/>
    <x v="7"/>
    <x v="12"/>
    <s v="PL_A1"/>
    <x v="14"/>
    <x v="27"/>
    <x v="11"/>
    <x v="4"/>
    <n v="116.184264166327"/>
    <n v="7067.87607011822"/>
    <n v="25444.3538524256"/>
  </r>
  <r>
    <x v="0"/>
    <x v="0"/>
    <x v="0"/>
    <x v="7"/>
    <x v="12"/>
    <s v="PL_A1"/>
    <x v="14"/>
    <x v="27"/>
    <x v="11"/>
    <x v="5"/>
    <n v="116.184264166327"/>
    <n v="7067.87607011822"/>
    <n v="25444.3538524256"/>
  </r>
  <r>
    <x v="0"/>
    <x v="0"/>
    <x v="0"/>
    <x v="7"/>
    <x v="12"/>
    <s v="PL_A1"/>
    <x v="14"/>
    <x v="27"/>
    <x v="11"/>
    <x v="6"/>
    <n v="116.184264166327"/>
    <n v="7067.87607011822"/>
    <n v="25444.3538524256"/>
  </r>
  <r>
    <x v="0"/>
    <x v="0"/>
    <x v="0"/>
    <x v="7"/>
    <x v="12"/>
    <s v="PL_A1"/>
    <x v="14"/>
    <x v="27"/>
    <x v="11"/>
    <x v="7"/>
    <n v="116.184264166327"/>
    <n v="7067.87607011822"/>
    <n v="25444.3538524256"/>
  </r>
  <r>
    <x v="0"/>
    <x v="0"/>
    <x v="0"/>
    <x v="7"/>
    <x v="12"/>
    <s v="PL_A1"/>
    <x v="14"/>
    <x v="27"/>
    <x v="11"/>
    <x v="8"/>
    <n v="116.184264166327"/>
    <n v="7067.87607011822"/>
    <n v="25444.3538524256"/>
  </r>
  <r>
    <x v="0"/>
    <x v="0"/>
    <x v="0"/>
    <x v="7"/>
    <x v="12"/>
    <s v="PL_A1"/>
    <x v="14"/>
    <x v="27"/>
    <x v="11"/>
    <x v="9"/>
    <n v="116.184264166327"/>
    <n v="7067.87607011822"/>
    <n v="25444.3538524256"/>
  </r>
  <r>
    <x v="0"/>
    <x v="0"/>
    <x v="0"/>
    <x v="7"/>
    <x v="12"/>
    <s v="PL_A1"/>
    <x v="14"/>
    <x v="27"/>
    <x v="11"/>
    <x v="10"/>
    <n v="116.184264166327"/>
    <n v="7067.87607011822"/>
    <n v="25444.3538524256"/>
  </r>
  <r>
    <x v="0"/>
    <x v="0"/>
    <x v="0"/>
    <x v="7"/>
    <x v="12"/>
    <s v="PL_A1"/>
    <x v="14"/>
    <x v="27"/>
    <x v="11"/>
    <x v="11"/>
    <n v="116.184264166327"/>
    <n v="7067.87607011822"/>
    <n v="25444.3538524256"/>
  </r>
  <r>
    <x v="0"/>
    <x v="0"/>
    <x v="0"/>
    <x v="7"/>
    <x v="12"/>
    <s v="PL_A1"/>
    <x v="14"/>
    <x v="28"/>
    <x v="0"/>
    <x v="0"/>
    <n v="120.25486852732701"/>
    <n v="7315.5045020790303"/>
    <n v="26335.816207484499"/>
  </r>
  <r>
    <x v="0"/>
    <x v="0"/>
    <x v="0"/>
    <x v="7"/>
    <x v="12"/>
    <s v="PL_A1"/>
    <x v="14"/>
    <x v="28"/>
    <x v="0"/>
    <x v="1"/>
    <n v="120.25486852732701"/>
    <n v="7315.5045020790303"/>
    <n v="26335.816207484499"/>
  </r>
  <r>
    <x v="0"/>
    <x v="0"/>
    <x v="0"/>
    <x v="7"/>
    <x v="12"/>
    <s v="PL_A1"/>
    <x v="14"/>
    <x v="28"/>
    <x v="0"/>
    <x v="2"/>
    <n v="120.25486852732701"/>
    <n v="7315.5045020790303"/>
    <n v="26335.816207484499"/>
  </r>
  <r>
    <x v="0"/>
    <x v="0"/>
    <x v="0"/>
    <x v="7"/>
    <x v="12"/>
    <s v="PL_A1"/>
    <x v="14"/>
    <x v="28"/>
    <x v="0"/>
    <x v="3"/>
    <n v="120.25486852732701"/>
    <n v="7315.5045020790303"/>
    <n v="26335.816207484499"/>
  </r>
  <r>
    <x v="0"/>
    <x v="0"/>
    <x v="0"/>
    <x v="7"/>
    <x v="12"/>
    <s v="PL_A1"/>
    <x v="14"/>
    <x v="28"/>
    <x v="0"/>
    <x v="4"/>
    <n v="120.25486852732701"/>
    <n v="7315.5045020790303"/>
    <n v="26335.816207484499"/>
  </r>
  <r>
    <x v="0"/>
    <x v="0"/>
    <x v="0"/>
    <x v="7"/>
    <x v="12"/>
    <s v="PL_A1"/>
    <x v="14"/>
    <x v="28"/>
    <x v="0"/>
    <x v="5"/>
    <n v="120.25486852732701"/>
    <n v="7315.5045020790303"/>
    <n v="26335.816207484499"/>
  </r>
  <r>
    <x v="0"/>
    <x v="0"/>
    <x v="0"/>
    <x v="7"/>
    <x v="12"/>
    <s v="PL_A1"/>
    <x v="14"/>
    <x v="28"/>
    <x v="0"/>
    <x v="6"/>
    <n v="120.25486852732701"/>
    <n v="7315.5045020790303"/>
    <n v="26335.816207484499"/>
  </r>
  <r>
    <x v="0"/>
    <x v="0"/>
    <x v="0"/>
    <x v="7"/>
    <x v="12"/>
    <s v="PL_A1"/>
    <x v="14"/>
    <x v="28"/>
    <x v="0"/>
    <x v="7"/>
    <n v="120.25486852732701"/>
    <n v="7315.5045020790303"/>
    <n v="26335.816207484499"/>
  </r>
  <r>
    <x v="0"/>
    <x v="0"/>
    <x v="0"/>
    <x v="7"/>
    <x v="12"/>
    <s v="PL_A1"/>
    <x v="14"/>
    <x v="28"/>
    <x v="0"/>
    <x v="8"/>
    <n v="120.25486852732701"/>
    <n v="7315.5045020790303"/>
    <n v="26335.816207484499"/>
  </r>
  <r>
    <x v="0"/>
    <x v="0"/>
    <x v="0"/>
    <x v="7"/>
    <x v="12"/>
    <s v="PL_A1"/>
    <x v="14"/>
    <x v="28"/>
    <x v="0"/>
    <x v="9"/>
    <n v="120.25486852732701"/>
    <n v="7315.5045020790303"/>
    <n v="26335.816207484499"/>
  </r>
  <r>
    <x v="0"/>
    <x v="0"/>
    <x v="0"/>
    <x v="7"/>
    <x v="12"/>
    <s v="PL_A1"/>
    <x v="14"/>
    <x v="28"/>
    <x v="0"/>
    <x v="10"/>
    <n v="120.25486852732701"/>
    <n v="7315.5045020790303"/>
    <n v="26335.816207484499"/>
  </r>
  <r>
    <x v="0"/>
    <x v="0"/>
    <x v="0"/>
    <x v="7"/>
    <x v="12"/>
    <s v="PL_A1"/>
    <x v="14"/>
    <x v="28"/>
    <x v="0"/>
    <x v="11"/>
    <n v="120.25486852732701"/>
    <n v="7315.5045020790303"/>
    <n v="26335.816207484499"/>
  </r>
  <r>
    <x v="0"/>
    <x v="0"/>
    <x v="0"/>
    <x v="7"/>
    <x v="12"/>
    <s v="PL_A1"/>
    <x v="14"/>
    <x v="28"/>
    <x v="1"/>
    <x v="0"/>
    <n v="120.25486852732701"/>
    <n v="7315.5045020790303"/>
    <n v="26335.816207484499"/>
  </r>
  <r>
    <x v="0"/>
    <x v="0"/>
    <x v="0"/>
    <x v="7"/>
    <x v="12"/>
    <s v="PL_A1"/>
    <x v="14"/>
    <x v="28"/>
    <x v="1"/>
    <x v="1"/>
    <n v="120.25486852732701"/>
    <n v="7315.5045020790303"/>
    <n v="26335.816207484499"/>
  </r>
  <r>
    <x v="0"/>
    <x v="0"/>
    <x v="0"/>
    <x v="7"/>
    <x v="12"/>
    <s v="PL_A1"/>
    <x v="14"/>
    <x v="28"/>
    <x v="1"/>
    <x v="2"/>
    <n v="120.25486852732701"/>
    <n v="7315.5045020790303"/>
    <n v="26335.816207484499"/>
  </r>
  <r>
    <x v="0"/>
    <x v="0"/>
    <x v="0"/>
    <x v="7"/>
    <x v="12"/>
    <s v="PL_A1"/>
    <x v="14"/>
    <x v="28"/>
    <x v="1"/>
    <x v="3"/>
    <n v="120.25486852732701"/>
    <n v="7315.5045020790303"/>
    <n v="26335.816207484499"/>
  </r>
  <r>
    <x v="0"/>
    <x v="0"/>
    <x v="0"/>
    <x v="7"/>
    <x v="12"/>
    <s v="PL_A1"/>
    <x v="14"/>
    <x v="28"/>
    <x v="1"/>
    <x v="4"/>
    <n v="120.25486852732701"/>
    <n v="7315.5045020790303"/>
    <n v="26335.816207484499"/>
  </r>
  <r>
    <x v="0"/>
    <x v="0"/>
    <x v="0"/>
    <x v="7"/>
    <x v="12"/>
    <s v="PL_A1"/>
    <x v="14"/>
    <x v="28"/>
    <x v="1"/>
    <x v="5"/>
    <n v="120.25486852732701"/>
    <n v="7315.5045020790303"/>
    <n v="26335.816207484499"/>
  </r>
  <r>
    <x v="0"/>
    <x v="0"/>
    <x v="0"/>
    <x v="7"/>
    <x v="12"/>
    <s v="PL_A1"/>
    <x v="14"/>
    <x v="28"/>
    <x v="1"/>
    <x v="6"/>
    <n v="120.25486852732701"/>
    <n v="7315.5045020790303"/>
    <n v="26335.816207484499"/>
  </r>
  <r>
    <x v="0"/>
    <x v="0"/>
    <x v="0"/>
    <x v="7"/>
    <x v="12"/>
    <s v="PL_A1"/>
    <x v="14"/>
    <x v="28"/>
    <x v="1"/>
    <x v="7"/>
    <n v="120.25486852732701"/>
    <n v="7315.5045020790303"/>
    <n v="26335.816207484499"/>
  </r>
  <r>
    <x v="0"/>
    <x v="0"/>
    <x v="0"/>
    <x v="7"/>
    <x v="12"/>
    <s v="PL_A1"/>
    <x v="14"/>
    <x v="28"/>
    <x v="1"/>
    <x v="8"/>
    <n v="120.25486852732701"/>
    <n v="7315.5045020790303"/>
    <n v="26335.816207484499"/>
  </r>
  <r>
    <x v="0"/>
    <x v="0"/>
    <x v="0"/>
    <x v="7"/>
    <x v="12"/>
    <s v="PL_A1"/>
    <x v="14"/>
    <x v="28"/>
    <x v="1"/>
    <x v="9"/>
    <n v="120.25486852732701"/>
    <n v="7315.5045020790303"/>
    <n v="26335.816207484499"/>
  </r>
  <r>
    <x v="0"/>
    <x v="0"/>
    <x v="0"/>
    <x v="7"/>
    <x v="12"/>
    <s v="PL_A1"/>
    <x v="14"/>
    <x v="28"/>
    <x v="1"/>
    <x v="10"/>
    <n v="120.25486852732701"/>
    <n v="7315.5045020790303"/>
    <n v="26335.816207484499"/>
  </r>
  <r>
    <x v="0"/>
    <x v="0"/>
    <x v="0"/>
    <x v="7"/>
    <x v="12"/>
    <s v="PL_A1"/>
    <x v="14"/>
    <x v="28"/>
    <x v="1"/>
    <x v="11"/>
    <n v="120.25486852732701"/>
    <n v="7315.5045020790303"/>
    <n v="26335.816207484499"/>
  </r>
  <r>
    <x v="0"/>
    <x v="0"/>
    <x v="0"/>
    <x v="7"/>
    <x v="12"/>
    <s v="PL_A1"/>
    <x v="14"/>
    <x v="28"/>
    <x v="2"/>
    <x v="0"/>
    <n v="120.25486852732701"/>
    <n v="7315.5045020790303"/>
    <n v="26335.816207484499"/>
  </r>
  <r>
    <x v="0"/>
    <x v="0"/>
    <x v="0"/>
    <x v="7"/>
    <x v="12"/>
    <s v="PL_A1"/>
    <x v="14"/>
    <x v="28"/>
    <x v="2"/>
    <x v="1"/>
    <n v="120.25486852732701"/>
    <n v="7315.5045020790303"/>
    <n v="26335.816207484499"/>
  </r>
  <r>
    <x v="0"/>
    <x v="0"/>
    <x v="0"/>
    <x v="7"/>
    <x v="12"/>
    <s v="PL_A1"/>
    <x v="14"/>
    <x v="28"/>
    <x v="2"/>
    <x v="2"/>
    <n v="120.25486852732701"/>
    <n v="7315.5045020790303"/>
    <n v="26335.816207484499"/>
  </r>
  <r>
    <x v="0"/>
    <x v="0"/>
    <x v="0"/>
    <x v="7"/>
    <x v="12"/>
    <s v="PL_A1"/>
    <x v="14"/>
    <x v="28"/>
    <x v="2"/>
    <x v="3"/>
    <n v="120.25486852732701"/>
    <n v="7315.5045020790303"/>
    <n v="26335.816207484499"/>
  </r>
  <r>
    <x v="0"/>
    <x v="0"/>
    <x v="0"/>
    <x v="7"/>
    <x v="12"/>
    <s v="PL_A1"/>
    <x v="14"/>
    <x v="28"/>
    <x v="2"/>
    <x v="4"/>
    <n v="120.25486852732701"/>
    <n v="7315.5045020790303"/>
    <n v="26335.816207484499"/>
  </r>
  <r>
    <x v="0"/>
    <x v="0"/>
    <x v="0"/>
    <x v="7"/>
    <x v="12"/>
    <s v="PL_A1"/>
    <x v="14"/>
    <x v="28"/>
    <x v="2"/>
    <x v="5"/>
    <n v="120.25486852732701"/>
    <n v="7315.5045020790303"/>
    <n v="26335.816207484499"/>
  </r>
  <r>
    <x v="0"/>
    <x v="0"/>
    <x v="0"/>
    <x v="7"/>
    <x v="12"/>
    <s v="PL_A1"/>
    <x v="14"/>
    <x v="28"/>
    <x v="2"/>
    <x v="6"/>
    <n v="120.25486852732701"/>
    <n v="7315.5045020790303"/>
    <n v="26335.816207484499"/>
  </r>
  <r>
    <x v="0"/>
    <x v="0"/>
    <x v="0"/>
    <x v="7"/>
    <x v="12"/>
    <s v="PL_A1"/>
    <x v="14"/>
    <x v="28"/>
    <x v="2"/>
    <x v="7"/>
    <n v="120.25486852732701"/>
    <n v="7315.5045020790303"/>
    <n v="26335.816207484499"/>
  </r>
  <r>
    <x v="0"/>
    <x v="0"/>
    <x v="0"/>
    <x v="7"/>
    <x v="12"/>
    <s v="PL_A1"/>
    <x v="14"/>
    <x v="28"/>
    <x v="2"/>
    <x v="8"/>
    <n v="120.25486852732701"/>
    <n v="7315.5045020790303"/>
    <n v="26335.816207484499"/>
  </r>
  <r>
    <x v="0"/>
    <x v="0"/>
    <x v="0"/>
    <x v="7"/>
    <x v="12"/>
    <s v="PL_A1"/>
    <x v="14"/>
    <x v="28"/>
    <x v="2"/>
    <x v="9"/>
    <n v="120.25486852732701"/>
    <n v="7315.5045020790303"/>
    <n v="26335.816207484499"/>
  </r>
  <r>
    <x v="0"/>
    <x v="0"/>
    <x v="0"/>
    <x v="7"/>
    <x v="12"/>
    <s v="PL_A1"/>
    <x v="14"/>
    <x v="28"/>
    <x v="2"/>
    <x v="10"/>
    <n v="120.25486852732701"/>
    <n v="7315.5045020790303"/>
    <n v="26335.816207484499"/>
  </r>
  <r>
    <x v="0"/>
    <x v="0"/>
    <x v="0"/>
    <x v="7"/>
    <x v="12"/>
    <s v="PL_A1"/>
    <x v="14"/>
    <x v="28"/>
    <x v="2"/>
    <x v="11"/>
    <n v="120.25486852732701"/>
    <n v="7315.5045020790303"/>
    <n v="26335.816207484499"/>
  </r>
  <r>
    <x v="0"/>
    <x v="0"/>
    <x v="0"/>
    <x v="7"/>
    <x v="12"/>
    <s v="PL_A1"/>
    <x v="14"/>
    <x v="28"/>
    <x v="3"/>
    <x v="0"/>
    <n v="120.25486852732701"/>
    <n v="7315.5045020790303"/>
    <n v="26335.816207484499"/>
  </r>
  <r>
    <x v="0"/>
    <x v="0"/>
    <x v="0"/>
    <x v="7"/>
    <x v="12"/>
    <s v="PL_A1"/>
    <x v="14"/>
    <x v="28"/>
    <x v="3"/>
    <x v="1"/>
    <n v="120.25486852732701"/>
    <n v="7315.5045020790303"/>
    <n v="26335.816207484499"/>
  </r>
  <r>
    <x v="0"/>
    <x v="0"/>
    <x v="0"/>
    <x v="7"/>
    <x v="12"/>
    <s v="PL_A1"/>
    <x v="14"/>
    <x v="28"/>
    <x v="3"/>
    <x v="2"/>
    <n v="120.25486852732701"/>
    <n v="7315.5045020790303"/>
    <n v="26335.816207484499"/>
  </r>
  <r>
    <x v="0"/>
    <x v="0"/>
    <x v="0"/>
    <x v="7"/>
    <x v="12"/>
    <s v="PL_A1"/>
    <x v="14"/>
    <x v="28"/>
    <x v="3"/>
    <x v="3"/>
    <n v="120.25486852732701"/>
    <n v="7315.5045020790303"/>
    <n v="26335.816207484499"/>
  </r>
  <r>
    <x v="0"/>
    <x v="0"/>
    <x v="0"/>
    <x v="7"/>
    <x v="12"/>
    <s v="PL_A1"/>
    <x v="14"/>
    <x v="28"/>
    <x v="3"/>
    <x v="4"/>
    <n v="120.25486852732701"/>
    <n v="7315.5045020790303"/>
    <n v="26335.816207484499"/>
  </r>
  <r>
    <x v="0"/>
    <x v="0"/>
    <x v="0"/>
    <x v="7"/>
    <x v="12"/>
    <s v="PL_A1"/>
    <x v="14"/>
    <x v="28"/>
    <x v="3"/>
    <x v="5"/>
    <n v="120.25486852732701"/>
    <n v="7315.5045020790303"/>
    <n v="26335.816207484499"/>
  </r>
  <r>
    <x v="0"/>
    <x v="0"/>
    <x v="0"/>
    <x v="7"/>
    <x v="12"/>
    <s v="PL_A1"/>
    <x v="14"/>
    <x v="28"/>
    <x v="3"/>
    <x v="6"/>
    <n v="120.25486852732701"/>
    <n v="7315.5045020790303"/>
    <n v="26335.816207484499"/>
  </r>
  <r>
    <x v="0"/>
    <x v="0"/>
    <x v="0"/>
    <x v="7"/>
    <x v="12"/>
    <s v="PL_A1"/>
    <x v="14"/>
    <x v="28"/>
    <x v="3"/>
    <x v="7"/>
    <n v="120.25486852732701"/>
    <n v="7315.5045020790303"/>
    <n v="26335.816207484499"/>
  </r>
  <r>
    <x v="0"/>
    <x v="0"/>
    <x v="0"/>
    <x v="7"/>
    <x v="12"/>
    <s v="PL_A1"/>
    <x v="14"/>
    <x v="28"/>
    <x v="3"/>
    <x v="8"/>
    <n v="120.25486852732701"/>
    <n v="7315.5045020790303"/>
    <n v="26335.816207484499"/>
  </r>
  <r>
    <x v="0"/>
    <x v="0"/>
    <x v="0"/>
    <x v="7"/>
    <x v="12"/>
    <s v="PL_A1"/>
    <x v="14"/>
    <x v="28"/>
    <x v="3"/>
    <x v="9"/>
    <n v="120.25486852732701"/>
    <n v="7315.5045020790303"/>
    <n v="26335.816207484499"/>
  </r>
  <r>
    <x v="0"/>
    <x v="0"/>
    <x v="0"/>
    <x v="7"/>
    <x v="12"/>
    <s v="PL_A1"/>
    <x v="14"/>
    <x v="28"/>
    <x v="3"/>
    <x v="10"/>
    <n v="120.25486852732701"/>
    <n v="7315.5045020790303"/>
    <n v="26335.816207484499"/>
  </r>
  <r>
    <x v="0"/>
    <x v="0"/>
    <x v="0"/>
    <x v="7"/>
    <x v="12"/>
    <s v="PL_A1"/>
    <x v="14"/>
    <x v="28"/>
    <x v="3"/>
    <x v="11"/>
    <n v="120.25486852732701"/>
    <n v="7315.5045020790303"/>
    <n v="26335.816207484499"/>
  </r>
  <r>
    <x v="0"/>
    <x v="0"/>
    <x v="0"/>
    <x v="7"/>
    <x v="12"/>
    <s v="PL_A1"/>
    <x v="14"/>
    <x v="28"/>
    <x v="4"/>
    <x v="0"/>
    <n v="120.25486852732701"/>
    <n v="7315.5045020790303"/>
    <n v="26335.816207484499"/>
  </r>
  <r>
    <x v="0"/>
    <x v="0"/>
    <x v="0"/>
    <x v="7"/>
    <x v="12"/>
    <s v="PL_A1"/>
    <x v="14"/>
    <x v="28"/>
    <x v="4"/>
    <x v="1"/>
    <n v="120.25486852732701"/>
    <n v="7315.5045020790303"/>
    <n v="26335.816207484499"/>
  </r>
  <r>
    <x v="0"/>
    <x v="0"/>
    <x v="0"/>
    <x v="7"/>
    <x v="12"/>
    <s v="PL_A1"/>
    <x v="14"/>
    <x v="28"/>
    <x v="4"/>
    <x v="2"/>
    <n v="120.25486852732701"/>
    <n v="7315.5045020790303"/>
    <n v="26335.816207484499"/>
  </r>
  <r>
    <x v="0"/>
    <x v="0"/>
    <x v="0"/>
    <x v="7"/>
    <x v="12"/>
    <s v="PL_A1"/>
    <x v="14"/>
    <x v="28"/>
    <x v="4"/>
    <x v="3"/>
    <n v="120.25486852732701"/>
    <n v="7315.5045020790303"/>
    <n v="26335.816207484499"/>
  </r>
  <r>
    <x v="0"/>
    <x v="0"/>
    <x v="0"/>
    <x v="7"/>
    <x v="12"/>
    <s v="PL_A1"/>
    <x v="14"/>
    <x v="28"/>
    <x v="4"/>
    <x v="4"/>
    <n v="120.25486852732701"/>
    <n v="7315.5045020790303"/>
    <n v="26335.816207484499"/>
  </r>
  <r>
    <x v="0"/>
    <x v="0"/>
    <x v="0"/>
    <x v="7"/>
    <x v="12"/>
    <s v="PL_A1"/>
    <x v="14"/>
    <x v="28"/>
    <x v="4"/>
    <x v="5"/>
    <n v="120.25486852732701"/>
    <n v="7315.5045020790303"/>
    <n v="26335.816207484499"/>
  </r>
  <r>
    <x v="0"/>
    <x v="0"/>
    <x v="0"/>
    <x v="7"/>
    <x v="12"/>
    <s v="PL_A1"/>
    <x v="14"/>
    <x v="28"/>
    <x v="4"/>
    <x v="6"/>
    <n v="120.25486852732701"/>
    <n v="7315.5045020790303"/>
    <n v="26335.816207484499"/>
  </r>
  <r>
    <x v="0"/>
    <x v="0"/>
    <x v="0"/>
    <x v="7"/>
    <x v="12"/>
    <s v="PL_A1"/>
    <x v="14"/>
    <x v="28"/>
    <x v="4"/>
    <x v="7"/>
    <n v="120.25486852732701"/>
    <n v="7315.5045020790303"/>
    <n v="26335.816207484499"/>
  </r>
  <r>
    <x v="0"/>
    <x v="0"/>
    <x v="0"/>
    <x v="7"/>
    <x v="12"/>
    <s v="PL_A1"/>
    <x v="14"/>
    <x v="28"/>
    <x v="4"/>
    <x v="8"/>
    <n v="120.25486852732701"/>
    <n v="7315.5045020790303"/>
    <n v="26335.816207484499"/>
  </r>
  <r>
    <x v="0"/>
    <x v="0"/>
    <x v="0"/>
    <x v="7"/>
    <x v="12"/>
    <s v="PL_A1"/>
    <x v="14"/>
    <x v="28"/>
    <x v="4"/>
    <x v="9"/>
    <n v="120.25486852732701"/>
    <n v="7315.5045020790303"/>
    <n v="26335.816207484499"/>
  </r>
  <r>
    <x v="0"/>
    <x v="0"/>
    <x v="0"/>
    <x v="7"/>
    <x v="12"/>
    <s v="PL_A1"/>
    <x v="14"/>
    <x v="28"/>
    <x v="4"/>
    <x v="10"/>
    <n v="120.25486852732701"/>
    <n v="7315.5045020790303"/>
    <n v="26335.816207484499"/>
  </r>
  <r>
    <x v="0"/>
    <x v="0"/>
    <x v="0"/>
    <x v="7"/>
    <x v="12"/>
    <s v="PL_A1"/>
    <x v="14"/>
    <x v="28"/>
    <x v="4"/>
    <x v="11"/>
    <n v="120.25486852732701"/>
    <n v="7315.5045020790303"/>
    <n v="26335.816207484499"/>
  </r>
  <r>
    <x v="0"/>
    <x v="0"/>
    <x v="0"/>
    <x v="7"/>
    <x v="12"/>
    <s v="PL_A1"/>
    <x v="14"/>
    <x v="28"/>
    <x v="5"/>
    <x v="0"/>
    <n v="120.25486852732701"/>
    <n v="7315.5045020790303"/>
    <n v="26335.816207484499"/>
  </r>
  <r>
    <x v="0"/>
    <x v="0"/>
    <x v="0"/>
    <x v="7"/>
    <x v="12"/>
    <s v="PL_A1"/>
    <x v="14"/>
    <x v="28"/>
    <x v="5"/>
    <x v="1"/>
    <n v="120.25486852732701"/>
    <n v="7315.5045020790303"/>
    <n v="26335.816207484499"/>
  </r>
  <r>
    <x v="0"/>
    <x v="0"/>
    <x v="0"/>
    <x v="7"/>
    <x v="12"/>
    <s v="PL_A1"/>
    <x v="14"/>
    <x v="28"/>
    <x v="5"/>
    <x v="2"/>
    <n v="120.25486852732701"/>
    <n v="7315.5045020790303"/>
    <n v="26335.816207484499"/>
  </r>
  <r>
    <x v="0"/>
    <x v="0"/>
    <x v="0"/>
    <x v="7"/>
    <x v="12"/>
    <s v="PL_A1"/>
    <x v="14"/>
    <x v="28"/>
    <x v="5"/>
    <x v="3"/>
    <n v="120.25486852732701"/>
    <n v="7315.5045020790303"/>
    <n v="26335.816207484499"/>
  </r>
  <r>
    <x v="0"/>
    <x v="0"/>
    <x v="0"/>
    <x v="7"/>
    <x v="12"/>
    <s v="PL_A1"/>
    <x v="14"/>
    <x v="28"/>
    <x v="5"/>
    <x v="4"/>
    <n v="120.25486852732701"/>
    <n v="7315.5045020790303"/>
    <n v="26335.816207484499"/>
  </r>
  <r>
    <x v="0"/>
    <x v="0"/>
    <x v="0"/>
    <x v="7"/>
    <x v="12"/>
    <s v="PL_A1"/>
    <x v="14"/>
    <x v="28"/>
    <x v="5"/>
    <x v="5"/>
    <n v="120.25486852732701"/>
    <n v="7315.5045020790303"/>
    <n v="26335.816207484499"/>
  </r>
  <r>
    <x v="0"/>
    <x v="0"/>
    <x v="0"/>
    <x v="7"/>
    <x v="12"/>
    <s v="PL_A1"/>
    <x v="14"/>
    <x v="28"/>
    <x v="5"/>
    <x v="6"/>
    <n v="120.25486852732701"/>
    <n v="7315.5045020790303"/>
    <n v="26335.816207484499"/>
  </r>
  <r>
    <x v="0"/>
    <x v="0"/>
    <x v="0"/>
    <x v="7"/>
    <x v="12"/>
    <s v="PL_A1"/>
    <x v="14"/>
    <x v="28"/>
    <x v="5"/>
    <x v="7"/>
    <n v="120.25486852732701"/>
    <n v="7315.5045020790303"/>
    <n v="26335.816207484499"/>
  </r>
  <r>
    <x v="0"/>
    <x v="0"/>
    <x v="0"/>
    <x v="7"/>
    <x v="12"/>
    <s v="PL_A1"/>
    <x v="14"/>
    <x v="28"/>
    <x v="5"/>
    <x v="8"/>
    <n v="120.25486852732701"/>
    <n v="7315.5045020790303"/>
    <n v="26335.816207484499"/>
  </r>
  <r>
    <x v="0"/>
    <x v="0"/>
    <x v="0"/>
    <x v="7"/>
    <x v="12"/>
    <s v="PL_A1"/>
    <x v="14"/>
    <x v="28"/>
    <x v="5"/>
    <x v="9"/>
    <n v="120.25486852732701"/>
    <n v="7315.5045020790303"/>
    <n v="26335.816207484499"/>
  </r>
  <r>
    <x v="0"/>
    <x v="0"/>
    <x v="0"/>
    <x v="7"/>
    <x v="12"/>
    <s v="PL_A1"/>
    <x v="14"/>
    <x v="28"/>
    <x v="5"/>
    <x v="10"/>
    <n v="120.25486852732701"/>
    <n v="7315.5045020790303"/>
    <n v="26335.816207484499"/>
  </r>
  <r>
    <x v="0"/>
    <x v="0"/>
    <x v="0"/>
    <x v="7"/>
    <x v="12"/>
    <s v="PL_A1"/>
    <x v="14"/>
    <x v="28"/>
    <x v="5"/>
    <x v="11"/>
    <n v="120.25486852732701"/>
    <n v="7315.5045020790303"/>
    <n v="26335.816207484499"/>
  </r>
  <r>
    <x v="0"/>
    <x v="0"/>
    <x v="0"/>
    <x v="7"/>
    <x v="12"/>
    <s v="PL_A1"/>
    <x v="14"/>
    <x v="28"/>
    <x v="6"/>
    <x v="0"/>
    <n v="120.25486852732701"/>
    <n v="7315.5045020790303"/>
    <n v="26335.816207484499"/>
  </r>
  <r>
    <x v="0"/>
    <x v="0"/>
    <x v="0"/>
    <x v="7"/>
    <x v="12"/>
    <s v="PL_A1"/>
    <x v="14"/>
    <x v="28"/>
    <x v="6"/>
    <x v="1"/>
    <n v="120.25486852732701"/>
    <n v="7315.5045020790303"/>
    <n v="26335.816207484499"/>
  </r>
  <r>
    <x v="0"/>
    <x v="0"/>
    <x v="0"/>
    <x v="7"/>
    <x v="12"/>
    <s v="PL_A1"/>
    <x v="14"/>
    <x v="28"/>
    <x v="6"/>
    <x v="2"/>
    <n v="120.25486852732701"/>
    <n v="7315.5045020790303"/>
    <n v="26335.816207484499"/>
  </r>
  <r>
    <x v="0"/>
    <x v="0"/>
    <x v="0"/>
    <x v="7"/>
    <x v="12"/>
    <s v="PL_A1"/>
    <x v="14"/>
    <x v="28"/>
    <x v="6"/>
    <x v="3"/>
    <n v="120.25486852732701"/>
    <n v="7315.5045020790303"/>
    <n v="26335.816207484499"/>
  </r>
  <r>
    <x v="0"/>
    <x v="0"/>
    <x v="0"/>
    <x v="7"/>
    <x v="12"/>
    <s v="PL_A1"/>
    <x v="14"/>
    <x v="28"/>
    <x v="6"/>
    <x v="4"/>
    <n v="120.25486852732701"/>
    <n v="7315.5045020790303"/>
    <n v="26335.816207484499"/>
  </r>
  <r>
    <x v="0"/>
    <x v="0"/>
    <x v="0"/>
    <x v="7"/>
    <x v="12"/>
    <s v="PL_A1"/>
    <x v="14"/>
    <x v="28"/>
    <x v="6"/>
    <x v="5"/>
    <n v="120.25486852732701"/>
    <n v="7315.5045020790303"/>
    <n v="26335.816207484499"/>
  </r>
  <r>
    <x v="0"/>
    <x v="0"/>
    <x v="0"/>
    <x v="7"/>
    <x v="12"/>
    <s v="PL_A1"/>
    <x v="14"/>
    <x v="28"/>
    <x v="6"/>
    <x v="6"/>
    <n v="120.25486852732701"/>
    <n v="7315.5045020790303"/>
    <n v="26335.816207484499"/>
  </r>
  <r>
    <x v="0"/>
    <x v="0"/>
    <x v="0"/>
    <x v="7"/>
    <x v="12"/>
    <s v="PL_A1"/>
    <x v="14"/>
    <x v="28"/>
    <x v="6"/>
    <x v="7"/>
    <n v="120.25486852732701"/>
    <n v="7315.5045020790303"/>
    <n v="26335.816207484499"/>
  </r>
  <r>
    <x v="0"/>
    <x v="0"/>
    <x v="0"/>
    <x v="7"/>
    <x v="12"/>
    <s v="PL_A1"/>
    <x v="14"/>
    <x v="28"/>
    <x v="6"/>
    <x v="8"/>
    <n v="120.25486852732701"/>
    <n v="7315.5045020790303"/>
    <n v="26335.816207484499"/>
  </r>
  <r>
    <x v="0"/>
    <x v="0"/>
    <x v="0"/>
    <x v="7"/>
    <x v="12"/>
    <s v="PL_A1"/>
    <x v="14"/>
    <x v="28"/>
    <x v="6"/>
    <x v="9"/>
    <n v="120.25486852732701"/>
    <n v="7315.5045020790303"/>
    <n v="26335.816207484499"/>
  </r>
  <r>
    <x v="0"/>
    <x v="0"/>
    <x v="0"/>
    <x v="7"/>
    <x v="12"/>
    <s v="PL_A1"/>
    <x v="14"/>
    <x v="28"/>
    <x v="6"/>
    <x v="10"/>
    <n v="120.25486852732701"/>
    <n v="7315.5045020790303"/>
    <n v="26335.816207484499"/>
  </r>
  <r>
    <x v="0"/>
    <x v="0"/>
    <x v="0"/>
    <x v="7"/>
    <x v="12"/>
    <s v="PL_A1"/>
    <x v="14"/>
    <x v="28"/>
    <x v="6"/>
    <x v="11"/>
    <n v="120.25486852732701"/>
    <n v="7315.5045020790303"/>
    <n v="26335.816207484499"/>
  </r>
  <r>
    <x v="0"/>
    <x v="0"/>
    <x v="0"/>
    <x v="7"/>
    <x v="12"/>
    <s v="PL_A1"/>
    <x v="14"/>
    <x v="28"/>
    <x v="7"/>
    <x v="0"/>
    <n v="120.25486852732701"/>
    <n v="7315.5045020790303"/>
    <n v="26335.816207484499"/>
  </r>
  <r>
    <x v="0"/>
    <x v="0"/>
    <x v="0"/>
    <x v="7"/>
    <x v="12"/>
    <s v="PL_A1"/>
    <x v="14"/>
    <x v="28"/>
    <x v="7"/>
    <x v="1"/>
    <n v="120.25486852732701"/>
    <n v="7315.5045020790303"/>
    <n v="26335.816207484499"/>
  </r>
  <r>
    <x v="0"/>
    <x v="0"/>
    <x v="0"/>
    <x v="7"/>
    <x v="12"/>
    <s v="PL_A1"/>
    <x v="14"/>
    <x v="28"/>
    <x v="7"/>
    <x v="2"/>
    <n v="120.25486852732701"/>
    <n v="7315.5045020790303"/>
    <n v="26335.816207484499"/>
  </r>
  <r>
    <x v="0"/>
    <x v="0"/>
    <x v="0"/>
    <x v="7"/>
    <x v="12"/>
    <s v="PL_A1"/>
    <x v="14"/>
    <x v="28"/>
    <x v="7"/>
    <x v="3"/>
    <n v="120.25486852732701"/>
    <n v="7315.5045020790303"/>
    <n v="26335.816207484499"/>
  </r>
  <r>
    <x v="0"/>
    <x v="0"/>
    <x v="0"/>
    <x v="7"/>
    <x v="12"/>
    <s v="PL_A1"/>
    <x v="14"/>
    <x v="28"/>
    <x v="7"/>
    <x v="4"/>
    <n v="120.25486852732701"/>
    <n v="7315.5045020790303"/>
    <n v="26335.816207484499"/>
  </r>
  <r>
    <x v="0"/>
    <x v="0"/>
    <x v="0"/>
    <x v="7"/>
    <x v="12"/>
    <s v="PL_A1"/>
    <x v="14"/>
    <x v="28"/>
    <x v="7"/>
    <x v="5"/>
    <n v="120.25486852732701"/>
    <n v="7315.5045020790303"/>
    <n v="26335.816207484499"/>
  </r>
  <r>
    <x v="0"/>
    <x v="0"/>
    <x v="0"/>
    <x v="7"/>
    <x v="12"/>
    <s v="PL_A1"/>
    <x v="14"/>
    <x v="28"/>
    <x v="7"/>
    <x v="6"/>
    <n v="120.25486852732701"/>
    <n v="7315.5045020790303"/>
    <n v="26335.816207484499"/>
  </r>
  <r>
    <x v="0"/>
    <x v="0"/>
    <x v="0"/>
    <x v="7"/>
    <x v="12"/>
    <s v="PL_A1"/>
    <x v="14"/>
    <x v="28"/>
    <x v="7"/>
    <x v="7"/>
    <n v="120.25486852732701"/>
    <n v="7315.5045020790303"/>
    <n v="26335.816207484499"/>
  </r>
  <r>
    <x v="0"/>
    <x v="0"/>
    <x v="0"/>
    <x v="7"/>
    <x v="12"/>
    <s v="PL_A1"/>
    <x v="14"/>
    <x v="28"/>
    <x v="7"/>
    <x v="8"/>
    <n v="120.25486852732701"/>
    <n v="7315.5045020790303"/>
    <n v="26335.816207484499"/>
  </r>
  <r>
    <x v="0"/>
    <x v="0"/>
    <x v="0"/>
    <x v="7"/>
    <x v="12"/>
    <s v="PL_A1"/>
    <x v="14"/>
    <x v="28"/>
    <x v="7"/>
    <x v="9"/>
    <n v="120.25486852732701"/>
    <n v="7315.5045020790303"/>
    <n v="26335.816207484499"/>
  </r>
  <r>
    <x v="0"/>
    <x v="0"/>
    <x v="0"/>
    <x v="7"/>
    <x v="12"/>
    <s v="PL_A1"/>
    <x v="14"/>
    <x v="28"/>
    <x v="7"/>
    <x v="10"/>
    <n v="120.25486852732701"/>
    <n v="7315.5045020790303"/>
    <n v="26335.816207484499"/>
  </r>
  <r>
    <x v="0"/>
    <x v="0"/>
    <x v="0"/>
    <x v="7"/>
    <x v="12"/>
    <s v="PL_A1"/>
    <x v="14"/>
    <x v="28"/>
    <x v="7"/>
    <x v="11"/>
    <n v="120.25486852732701"/>
    <n v="7315.5045020790303"/>
    <n v="26335.816207484499"/>
  </r>
  <r>
    <x v="0"/>
    <x v="0"/>
    <x v="0"/>
    <x v="7"/>
    <x v="12"/>
    <s v="PL_A1"/>
    <x v="14"/>
    <x v="28"/>
    <x v="8"/>
    <x v="0"/>
    <n v="120.25486852732701"/>
    <n v="7315.5045020790303"/>
    <n v="26335.816207484499"/>
  </r>
  <r>
    <x v="0"/>
    <x v="0"/>
    <x v="0"/>
    <x v="7"/>
    <x v="12"/>
    <s v="PL_A1"/>
    <x v="14"/>
    <x v="28"/>
    <x v="8"/>
    <x v="1"/>
    <n v="120.25486852732701"/>
    <n v="7315.5045020790303"/>
    <n v="26335.816207484499"/>
  </r>
  <r>
    <x v="0"/>
    <x v="0"/>
    <x v="0"/>
    <x v="7"/>
    <x v="12"/>
    <s v="PL_A1"/>
    <x v="14"/>
    <x v="28"/>
    <x v="8"/>
    <x v="2"/>
    <n v="120.25486852732701"/>
    <n v="7315.5045020790303"/>
    <n v="26335.816207484499"/>
  </r>
  <r>
    <x v="0"/>
    <x v="0"/>
    <x v="0"/>
    <x v="7"/>
    <x v="12"/>
    <s v="PL_A1"/>
    <x v="14"/>
    <x v="28"/>
    <x v="8"/>
    <x v="3"/>
    <n v="120.25486852732701"/>
    <n v="7315.5045020790303"/>
    <n v="26335.816207484499"/>
  </r>
  <r>
    <x v="0"/>
    <x v="0"/>
    <x v="0"/>
    <x v="7"/>
    <x v="12"/>
    <s v="PL_A1"/>
    <x v="14"/>
    <x v="28"/>
    <x v="8"/>
    <x v="4"/>
    <n v="120.25486852732701"/>
    <n v="7315.5045020790303"/>
    <n v="26335.816207484499"/>
  </r>
  <r>
    <x v="0"/>
    <x v="0"/>
    <x v="0"/>
    <x v="7"/>
    <x v="12"/>
    <s v="PL_A1"/>
    <x v="14"/>
    <x v="28"/>
    <x v="8"/>
    <x v="5"/>
    <n v="120.25486852732701"/>
    <n v="7315.5045020790303"/>
    <n v="26335.816207484499"/>
  </r>
  <r>
    <x v="0"/>
    <x v="0"/>
    <x v="0"/>
    <x v="7"/>
    <x v="12"/>
    <s v="PL_A1"/>
    <x v="14"/>
    <x v="28"/>
    <x v="8"/>
    <x v="6"/>
    <n v="120.25486852732701"/>
    <n v="7315.5045020790303"/>
    <n v="26335.816207484499"/>
  </r>
  <r>
    <x v="0"/>
    <x v="0"/>
    <x v="0"/>
    <x v="7"/>
    <x v="12"/>
    <s v="PL_A1"/>
    <x v="14"/>
    <x v="28"/>
    <x v="8"/>
    <x v="7"/>
    <n v="120.25486852732701"/>
    <n v="7315.5045020790303"/>
    <n v="26335.816207484499"/>
  </r>
  <r>
    <x v="0"/>
    <x v="0"/>
    <x v="0"/>
    <x v="7"/>
    <x v="12"/>
    <s v="PL_A1"/>
    <x v="14"/>
    <x v="28"/>
    <x v="8"/>
    <x v="8"/>
    <n v="120.25486852732701"/>
    <n v="7315.5045020790303"/>
    <n v="26335.816207484499"/>
  </r>
  <r>
    <x v="0"/>
    <x v="0"/>
    <x v="0"/>
    <x v="7"/>
    <x v="12"/>
    <s v="PL_A1"/>
    <x v="14"/>
    <x v="28"/>
    <x v="8"/>
    <x v="9"/>
    <n v="120.25486852732701"/>
    <n v="7315.5045020790303"/>
    <n v="26335.816207484499"/>
  </r>
  <r>
    <x v="0"/>
    <x v="0"/>
    <x v="0"/>
    <x v="7"/>
    <x v="12"/>
    <s v="PL_A1"/>
    <x v="14"/>
    <x v="28"/>
    <x v="8"/>
    <x v="10"/>
    <n v="120.25486852732701"/>
    <n v="7315.5045020790303"/>
    <n v="26335.816207484499"/>
  </r>
  <r>
    <x v="0"/>
    <x v="0"/>
    <x v="0"/>
    <x v="7"/>
    <x v="12"/>
    <s v="PL_A1"/>
    <x v="14"/>
    <x v="28"/>
    <x v="8"/>
    <x v="11"/>
    <n v="120.25486852732701"/>
    <n v="7315.5045020790303"/>
    <n v="26335.816207484499"/>
  </r>
  <r>
    <x v="0"/>
    <x v="0"/>
    <x v="0"/>
    <x v="7"/>
    <x v="12"/>
    <s v="PL_A1"/>
    <x v="14"/>
    <x v="28"/>
    <x v="9"/>
    <x v="0"/>
    <n v="120.25486852732701"/>
    <n v="7315.5045020790303"/>
    <n v="26335.816207484499"/>
  </r>
  <r>
    <x v="0"/>
    <x v="0"/>
    <x v="0"/>
    <x v="7"/>
    <x v="12"/>
    <s v="PL_A1"/>
    <x v="14"/>
    <x v="28"/>
    <x v="9"/>
    <x v="1"/>
    <n v="120.25486852732701"/>
    <n v="7315.5045020790303"/>
    <n v="26335.816207484499"/>
  </r>
  <r>
    <x v="0"/>
    <x v="0"/>
    <x v="0"/>
    <x v="7"/>
    <x v="12"/>
    <s v="PL_A1"/>
    <x v="14"/>
    <x v="28"/>
    <x v="9"/>
    <x v="2"/>
    <n v="120.25486852732701"/>
    <n v="7315.5045020790303"/>
    <n v="26335.816207484499"/>
  </r>
  <r>
    <x v="0"/>
    <x v="0"/>
    <x v="0"/>
    <x v="7"/>
    <x v="12"/>
    <s v="PL_A1"/>
    <x v="14"/>
    <x v="28"/>
    <x v="9"/>
    <x v="3"/>
    <n v="120.25486852732701"/>
    <n v="7315.5045020790303"/>
    <n v="26335.816207484499"/>
  </r>
  <r>
    <x v="0"/>
    <x v="0"/>
    <x v="0"/>
    <x v="7"/>
    <x v="12"/>
    <s v="PL_A1"/>
    <x v="14"/>
    <x v="28"/>
    <x v="9"/>
    <x v="4"/>
    <n v="120.25486852732701"/>
    <n v="7315.5045020790303"/>
    <n v="26335.816207484499"/>
  </r>
  <r>
    <x v="0"/>
    <x v="0"/>
    <x v="0"/>
    <x v="7"/>
    <x v="12"/>
    <s v="PL_A1"/>
    <x v="14"/>
    <x v="28"/>
    <x v="9"/>
    <x v="5"/>
    <n v="120.25486852732701"/>
    <n v="7315.5045020790303"/>
    <n v="26335.816207484499"/>
  </r>
  <r>
    <x v="0"/>
    <x v="0"/>
    <x v="0"/>
    <x v="7"/>
    <x v="12"/>
    <s v="PL_A1"/>
    <x v="14"/>
    <x v="28"/>
    <x v="9"/>
    <x v="6"/>
    <n v="120.25486852732701"/>
    <n v="7315.5045020790303"/>
    <n v="26335.816207484499"/>
  </r>
  <r>
    <x v="0"/>
    <x v="0"/>
    <x v="0"/>
    <x v="7"/>
    <x v="12"/>
    <s v="PL_A1"/>
    <x v="14"/>
    <x v="28"/>
    <x v="9"/>
    <x v="7"/>
    <n v="120.25486852732701"/>
    <n v="7315.5045020790303"/>
    <n v="26335.816207484499"/>
  </r>
  <r>
    <x v="0"/>
    <x v="0"/>
    <x v="0"/>
    <x v="7"/>
    <x v="12"/>
    <s v="PL_A1"/>
    <x v="14"/>
    <x v="28"/>
    <x v="9"/>
    <x v="8"/>
    <n v="120.25486852732701"/>
    <n v="7315.5045020790303"/>
    <n v="26335.816207484499"/>
  </r>
  <r>
    <x v="0"/>
    <x v="0"/>
    <x v="0"/>
    <x v="7"/>
    <x v="12"/>
    <s v="PL_A1"/>
    <x v="14"/>
    <x v="28"/>
    <x v="9"/>
    <x v="9"/>
    <n v="120.25486852732701"/>
    <n v="7315.5045020790303"/>
    <n v="26335.816207484499"/>
  </r>
  <r>
    <x v="0"/>
    <x v="0"/>
    <x v="0"/>
    <x v="7"/>
    <x v="12"/>
    <s v="PL_A1"/>
    <x v="14"/>
    <x v="28"/>
    <x v="9"/>
    <x v="10"/>
    <n v="120.25486852732701"/>
    <n v="7315.5045020790303"/>
    <n v="26335.816207484499"/>
  </r>
  <r>
    <x v="0"/>
    <x v="0"/>
    <x v="0"/>
    <x v="7"/>
    <x v="12"/>
    <s v="PL_A1"/>
    <x v="14"/>
    <x v="28"/>
    <x v="9"/>
    <x v="11"/>
    <n v="120.25486852732701"/>
    <n v="7315.5045020790303"/>
    <n v="26335.816207484499"/>
  </r>
  <r>
    <x v="0"/>
    <x v="0"/>
    <x v="0"/>
    <x v="7"/>
    <x v="12"/>
    <s v="PL_A1"/>
    <x v="14"/>
    <x v="28"/>
    <x v="10"/>
    <x v="0"/>
    <n v="120.25486852732701"/>
    <n v="7315.5045020790303"/>
    <n v="26335.816207484499"/>
  </r>
  <r>
    <x v="0"/>
    <x v="0"/>
    <x v="0"/>
    <x v="7"/>
    <x v="12"/>
    <s v="PL_A1"/>
    <x v="14"/>
    <x v="28"/>
    <x v="10"/>
    <x v="1"/>
    <n v="120.25486852732701"/>
    <n v="7315.5045020790303"/>
    <n v="26335.816207484499"/>
  </r>
  <r>
    <x v="0"/>
    <x v="0"/>
    <x v="0"/>
    <x v="7"/>
    <x v="12"/>
    <s v="PL_A1"/>
    <x v="14"/>
    <x v="28"/>
    <x v="10"/>
    <x v="2"/>
    <n v="120.25486852732701"/>
    <n v="7315.5045020790303"/>
    <n v="26335.816207484499"/>
  </r>
  <r>
    <x v="0"/>
    <x v="0"/>
    <x v="0"/>
    <x v="7"/>
    <x v="12"/>
    <s v="PL_A1"/>
    <x v="14"/>
    <x v="28"/>
    <x v="10"/>
    <x v="3"/>
    <n v="120.25486852732701"/>
    <n v="7315.5045020790303"/>
    <n v="26335.816207484499"/>
  </r>
  <r>
    <x v="0"/>
    <x v="0"/>
    <x v="0"/>
    <x v="7"/>
    <x v="12"/>
    <s v="PL_A1"/>
    <x v="14"/>
    <x v="28"/>
    <x v="10"/>
    <x v="4"/>
    <n v="120.25486852732701"/>
    <n v="7315.5045020790303"/>
    <n v="26335.816207484499"/>
  </r>
  <r>
    <x v="0"/>
    <x v="0"/>
    <x v="0"/>
    <x v="7"/>
    <x v="12"/>
    <s v="PL_A1"/>
    <x v="14"/>
    <x v="28"/>
    <x v="10"/>
    <x v="5"/>
    <n v="120.25486852732701"/>
    <n v="7315.5045020790303"/>
    <n v="26335.816207484499"/>
  </r>
  <r>
    <x v="0"/>
    <x v="0"/>
    <x v="0"/>
    <x v="7"/>
    <x v="12"/>
    <s v="PL_A1"/>
    <x v="14"/>
    <x v="28"/>
    <x v="10"/>
    <x v="6"/>
    <n v="120.25486852732701"/>
    <n v="7315.5045020790303"/>
    <n v="26335.816207484499"/>
  </r>
  <r>
    <x v="0"/>
    <x v="0"/>
    <x v="0"/>
    <x v="7"/>
    <x v="12"/>
    <s v="PL_A1"/>
    <x v="14"/>
    <x v="28"/>
    <x v="10"/>
    <x v="7"/>
    <n v="120.25486852732701"/>
    <n v="7315.5045020790303"/>
    <n v="26335.816207484499"/>
  </r>
  <r>
    <x v="0"/>
    <x v="0"/>
    <x v="0"/>
    <x v="7"/>
    <x v="12"/>
    <s v="PL_A1"/>
    <x v="14"/>
    <x v="28"/>
    <x v="10"/>
    <x v="8"/>
    <n v="120.25486852732701"/>
    <n v="7315.5045020790303"/>
    <n v="26335.816207484499"/>
  </r>
  <r>
    <x v="0"/>
    <x v="0"/>
    <x v="0"/>
    <x v="7"/>
    <x v="12"/>
    <s v="PL_A1"/>
    <x v="14"/>
    <x v="28"/>
    <x v="10"/>
    <x v="9"/>
    <n v="120.25486852732701"/>
    <n v="7315.5045020790303"/>
    <n v="26335.816207484499"/>
  </r>
  <r>
    <x v="0"/>
    <x v="0"/>
    <x v="0"/>
    <x v="7"/>
    <x v="12"/>
    <s v="PL_A1"/>
    <x v="14"/>
    <x v="28"/>
    <x v="10"/>
    <x v="10"/>
    <n v="120.25486852732701"/>
    <n v="7315.5045020790303"/>
    <n v="26335.816207484499"/>
  </r>
  <r>
    <x v="0"/>
    <x v="0"/>
    <x v="0"/>
    <x v="7"/>
    <x v="12"/>
    <s v="PL_A1"/>
    <x v="14"/>
    <x v="28"/>
    <x v="10"/>
    <x v="11"/>
    <n v="120.25486852732701"/>
    <n v="7315.5045020790303"/>
    <n v="26335.816207484499"/>
  </r>
  <r>
    <x v="0"/>
    <x v="0"/>
    <x v="0"/>
    <x v="7"/>
    <x v="12"/>
    <s v="PL_A1"/>
    <x v="14"/>
    <x v="28"/>
    <x v="11"/>
    <x v="0"/>
    <n v="120.25486852732701"/>
    <n v="7315.5045020790303"/>
    <n v="26335.816207484499"/>
  </r>
  <r>
    <x v="0"/>
    <x v="0"/>
    <x v="0"/>
    <x v="7"/>
    <x v="12"/>
    <s v="PL_A1"/>
    <x v="14"/>
    <x v="28"/>
    <x v="11"/>
    <x v="1"/>
    <n v="120.25486852732701"/>
    <n v="7315.5045020790303"/>
    <n v="26335.816207484499"/>
  </r>
  <r>
    <x v="0"/>
    <x v="0"/>
    <x v="0"/>
    <x v="7"/>
    <x v="12"/>
    <s v="PL_A1"/>
    <x v="14"/>
    <x v="28"/>
    <x v="11"/>
    <x v="2"/>
    <n v="120.25486852732701"/>
    <n v="7315.5045020790303"/>
    <n v="26335.816207484499"/>
  </r>
  <r>
    <x v="0"/>
    <x v="0"/>
    <x v="0"/>
    <x v="7"/>
    <x v="12"/>
    <s v="PL_A1"/>
    <x v="14"/>
    <x v="28"/>
    <x v="11"/>
    <x v="3"/>
    <n v="120.25486852732701"/>
    <n v="7315.5045020790303"/>
    <n v="26335.816207484499"/>
  </r>
  <r>
    <x v="0"/>
    <x v="0"/>
    <x v="0"/>
    <x v="7"/>
    <x v="12"/>
    <s v="PL_A1"/>
    <x v="14"/>
    <x v="28"/>
    <x v="11"/>
    <x v="4"/>
    <n v="120.25486852732701"/>
    <n v="7315.5045020790303"/>
    <n v="26335.816207484499"/>
  </r>
  <r>
    <x v="0"/>
    <x v="0"/>
    <x v="0"/>
    <x v="7"/>
    <x v="12"/>
    <s v="PL_A1"/>
    <x v="14"/>
    <x v="28"/>
    <x v="11"/>
    <x v="5"/>
    <n v="120.25486852732701"/>
    <n v="7315.5045020790303"/>
    <n v="26335.816207484499"/>
  </r>
  <r>
    <x v="0"/>
    <x v="0"/>
    <x v="0"/>
    <x v="7"/>
    <x v="12"/>
    <s v="PL_A1"/>
    <x v="14"/>
    <x v="28"/>
    <x v="11"/>
    <x v="6"/>
    <n v="120.25486852732701"/>
    <n v="7315.5045020790303"/>
    <n v="26335.816207484499"/>
  </r>
  <r>
    <x v="0"/>
    <x v="0"/>
    <x v="0"/>
    <x v="7"/>
    <x v="12"/>
    <s v="PL_A1"/>
    <x v="14"/>
    <x v="28"/>
    <x v="11"/>
    <x v="7"/>
    <n v="120.25486852732701"/>
    <n v="7315.5045020790303"/>
    <n v="26335.816207484499"/>
  </r>
  <r>
    <x v="0"/>
    <x v="0"/>
    <x v="0"/>
    <x v="7"/>
    <x v="12"/>
    <s v="PL_A1"/>
    <x v="14"/>
    <x v="28"/>
    <x v="11"/>
    <x v="8"/>
    <n v="120.25486852732701"/>
    <n v="7315.5045020790303"/>
    <n v="26335.816207484499"/>
  </r>
  <r>
    <x v="0"/>
    <x v="0"/>
    <x v="0"/>
    <x v="7"/>
    <x v="12"/>
    <s v="PL_A1"/>
    <x v="14"/>
    <x v="28"/>
    <x v="11"/>
    <x v="9"/>
    <n v="120.25486852732701"/>
    <n v="7315.5045020790303"/>
    <n v="26335.816207484499"/>
  </r>
  <r>
    <x v="0"/>
    <x v="0"/>
    <x v="0"/>
    <x v="7"/>
    <x v="12"/>
    <s v="PL_A1"/>
    <x v="14"/>
    <x v="28"/>
    <x v="11"/>
    <x v="10"/>
    <n v="120.25486852732701"/>
    <n v="7315.5045020790303"/>
    <n v="26335.816207484499"/>
  </r>
  <r>
    <x v="0"/>
    <x v="0"/>
    <x v="0"/>
    <x v="7"/>
    <x v="12"/>
    <s v="PL_A1"/>
    <x v="14"/>
    <x v="28"/>
    <x v="11"/>
    <x v="11"/>
    <n v="120.25486852732701"/>
    <n v="7315.5045020790303"/>
    <n v="26335.816207484499"/>
  </r>
  <r>
    <x v="0"/>
    <x v="0"/>
    <x v="0"/>
    <x v="7"/>
    <x v="12"/>
    <s v="PL_A1"/>
    <x v="7"/>
    <x v="29"/>
    <x v="0"/>
    <x v="0"/>
    <n v="156.68202764976999"/>
    <n v="9531.4900153609797"/>
    <n v="34313.364055299498"/>
  </r>
  <r>
    <x v="0"/>
    <x v="0"/>
    <x v="0"/>
    <x v="7"/>
    <x v="12"/>
    <s v="PL_A1"/>
    <x v="7"/>
    <x v="29"/>
    <x v="0"/>
    <x v="1"/>
    <n v="156.68202764976999"/>
    <n v="9531.4900153609797"/>
    <n v="34313.364055299498"/>
  </r>
  <r>
    <x v="0"/>
    <x v="0"/>
    <x v="0"/>
    <x v="7"/>
    <x v="12"/>
    <s v="PL_A1"/>
    <x v="7"/>
    <x v="29"/>
    <x v="0"/>
    <x v="2"/>
    <n v="156.68202764976999"/>
    <n v="9531.4900153609797"/>
    <n v="34313.364055299498"/>
  </r>
  <r>
    <x v="0"/>
    <x v="0"/>
    <x v="0"/>
    <x v="7"/>
    <x v="12"/>
    <s v="PL_A1"/>
    <x v="7"/>
    <x v="29"/>
    <x v="0"/>
    <x v="3"/>
    <n v="156.68202764976999"/>
    <n v="9531.4900153609797"/>
    <n v="34313.364055299498"/>
  </r>
  <r>
    <x v="0"/>
    <x v="0"/>
    <x v="0"/>
    <x v="7"/>
    <x v="12"/>
    <s v="PL_A1"/>
    <x v="7"/>
    <x v="29"/>
    <x v="0"/>
    <x v="4"/>
    <n v="156.68202764976999"/>
    <n v="9531.4900153609797"/>
    <n v="34313.364055299498"/>
  </r>
  <r>
    <x v="0"/>
    <x v="0"/>
    <x v="0"/>
    <x v="7"/>
    <x v="12"/>
    <s v="PL_A1"/>
    <x v="7"/>
    <x v="29"/>
    <x v="0"/>
    <x v="5"/>
    <n v="156.68202764976999"/>
    <n v="9531.4900153609797"/>
    <n v="34313.364055299498"/>
  </r>
  <r>
    <x v="0"/>
    <x v="0"/>
    <x v="0"/>
    <x v="7"/>
    <x v="12"/>
    <s v="PL_A1"/>
    <x v="7"/>
    <x v="29"/>
    <x v="0"/>
    <x v="6"/>
    <n v="156.68202764976999"/>
    <n v="9531.4900153609797"/>
    <n v="34313.364055299498"/>
  </r>
  <r>
    <x v="0"/>
    <x v="0"/>
    <x v="0"/>
    <x v="7"/>
    <x v="12"/>
    <s v="PL_A1"/>
    <x v="7"/>
    <x v="29"/>
    <x v="0"/>
    <x v="7"/>
    <n v="156.68202764976999"/>
    <n v="9531.4900153609797"/>
    <n v="34313.364055299498"/>
  </r>
  <r>
    <x v="0"/>
    <x v="0"/>
    <x v="0"/>
    <x v="7"/>
    <x v="12"/>
    <s v="PL_A1"/>
    <x v="7"/>
    <x v="29"/>
    <x v="0"/>
    <x v="8"/>
    <n v="156.68202764976999"/>
    <n v="9531.4900153609797"/>
    <n v="34313.364055299498"/>
  </r>
  <r>
    <x v="0"/>
    <x v="0"/>
    <x v="0"/>
    <x v="7"/>
    <x v="12"/>
    <s v="PL_A1"/>
    <x v="7"/>
    <x v="29"/>
    <x v="0"/>
    <x v="9"/>
    <n v="156.68202764976999"/>
    <n v="9531.4900153609797"/>
    <n v="34313.364055299498"/>
  </r>
  <r>
    <x v="0"/>
    <x v="0"/>
    <x v="0"/>
    <x v="7"/>
    <x v="12"/>
    <s v="PL_A1"/>
    <x v="7"/>
    <x v="29"/>
    <x v="0"/>
    <x v="10"/>
    <n v="156.68202764976999"/>
    <n v="9531.4900153609797"/>
    <n v="34313.364055299498"/>
  </r>
  <r>
    <x v="0"/>
    <x v="0"/>
    <x v="0"/>
    <x v="7"/>
    <x v="12"/>
    <s v="PL_A1"/>
    <x v="7"/>
    <x v="29"/>
    <x v="0"/>
    <x v="11"/>
    <n v="156.68202764976999"/>
    <n v="9531.4900153609797"/>
    <n v="34313.364055299498"/>
  </r>
  <r>
    <x v="0"/>
    <x v="0"/>
    <x v="0"/>
    <x v="7"/>
    <x v="12"/>
    <s v="PL_A1"/>
    <x v="7"/>
    <x v="29"/>
    <x v="1"/>
    <x v="0"/>
    <n v="156.68202764976999"/>
    <n v="9531.4900153609797"/>
    <n v="34313.364055299498"/>
  </r>
  <r>
    <x v="0"/>
    <x v="0"/>
    <x v="0"/>
    <x v="7"/>
    <x v="12"/>
    <s v="PL_A1"/>
    <x v="7"/>
    <x v="29"/>
    <x v="1"/>
    <x v="1"/>
    <n v="156.68202764976999"/>
    <n v="9531.4900153609797"/>
    <n v="34313.364055299498"/>
  </r>
  <r>
    <x v="0"/>
    <x v="0"/>
    <x v="0"/>
    <x v="7"/>
    <x v="12"/>
    <s v="PL_A1"/>
    <x v="7"/>
    <x v="29"/>
    <x v="1"/>
    <x v="2"/>
    <n v="156.68202764976999"/>
    <n v="9531.4900153609797"/>
    <n v="34313.364055299498"/>
  </r>
  <r>
    <x v="0"/>
    <x v="0"/>
    <x v="0"/>
    <x v="7"/>
    <x v="12"/>
    <s v="PL_A1"/>
    <x v="7"/>
    <x v="29"/>
    <x v="1"/>
    <x v="3"/>
    <n v="156.68202764976999"/>
    <n v="9531.4900153609797"/>
    <n v="34313.364055299498"/>
  </r>
  <r>
    <x v="0"/>
    <x v="0"/>
    <x v="0"/>
    <x v="7"/>
    <x v="12"/>
    <s v="PL_A1"/>
    <x v="7"/>
    <x v="29"/>
    <x v="1"/>
    <x v="4"/>
    <n v="156.68202764976999"/>
    <n v="9531.4900153609797"/>
    <n v="34313.364055299498"/>
  </r>
  <r>
    <x v="0"/>
    <x v="0"/>
    <x v="0"/>
    <x v="7"/>
    <x v="12"/>
    <s v="PL_A1"/>
    <x v="7"/>
    <x v="29"/>
    <x v="1"/>
    <x v="5"/>
    <n v="156.68202764976999"/>
    <n v="9531.4900153609797"/>
    <n v="34313.364055299498"/>
  </r>
  <r>
    <x v="0"/>
    <x v="0"/>
    <x v="0"/>
    <x v="7"/>
    <x v="12"/>
    <s v="PL_A1"/>
    <x v="7"/>
    <x v="29"/>
    <x v="1"/>
    <x v="6"/>
    <n v="156.68202764976999"/>
    <n v="9531.4900153609797"/>
    <n v="34313.364055299498"/>
  </r>
  <r>
    <x v="0"/>
    <x v="0"/>
    <x v="0"/>
    <x v="7"/>
    <x v="12"/>
    <s v="PL_A1"/>
    <x v="7"/>
    <x v="29"/>
    <x v="1"/>
    <x v="7"/>
    <n v="156.68202764976999"/>
    <n v="9531.4900153609797"/>
    <n v="34313.364055299498"/>
  </r>
  <r>
    <x v="0"/>
    <x v="0"/>
    <x v="0"/>
    <x v="7"/>
    <x v="12"/>
    <s v="PL_A1"/>
    <x v="7"/>
    <x v="29"/>
    <x v="1"/>
    <x v="8"/>
    <n v="156.68202764976999"/>
    <n v="9531.4900153609797"/>
    <n v="34313.364055299498"/>
  </r>
  <r>
    <x v="0"/>
    <x v="0"/>
    <x v="0"/>
    <x v="7"/>
    <x v="12"/>
    <s v="PL_A1"/>
    <x v="7"/>
    <x v="29"/>
    <x v="1"/>
    <x v="9"/>
    <n v="156.68202764976999"/>
    <n v="9531.4900153609797"/>
    <n v="34313.364055299498"/>
  </r>
  <r>
    <x v="0"/>
    <x v="0"/>
    <x v="0"/>
    <x v="7"/>
    <x v="12"/>
    <s v="PL_A1"/>
    <x v="7"/>
    <x v="29"/>
    <x v="1"/>
    <x v="10"/>
    <n v="156.68202764976999"/>
    <n v="9531.4900153609797"/>
    <n v="34313.364055299498"/>
  </r>
  <r>
    <x v="0"/>
    <x v="0"/>
    <x v="0"/>
    <x v="7"/>
    <x v="12"/>
    <s v="PL_A1"/>
    <x v="7"/>
    <x v="29"/>
    <x v="1"/>
    <x v="11"/>
    <n v="156.68202764976999"/>
    <n v="9531.4900153609797"/>
    <n v="34313.364055299498"/>
  </r>
  <r>
    <x v="0"/>
    <x v="0"/>
    <x v="0"/>
    <x v="7"/>
    <x v="12"/>
    <s v="PL_A1"/>
    <x v="7"/>
    <x v="29"/>
    <x v="2"/>
    <x v="0"/>
    <n v="156.68202764976999"/>
    <n v="9531.4900153609797"/>
    <n v="34313.364055299498"/>
  </r>
  <r>
    <x v="0"/>
    <x v="0"/>
    <x v="0"/>
    <x v="7"/>
    <x v="12"/>
    <s v="PL_A1"/>
    <x v="7"/>
    <x v="29"/>
    <x v="2"/>
    <x v="1"/>
    <n v="156.68202764976999"/>
    <n v="9531.4900153609797"/>
    <n v="34313.364055299498"/>
  </r>
  <r>
    <x v="0"/>
    <x v="0"/>
    <x v="0"/>
    <x v="7"/>
    <x v="12"/>
    <s v="PL_A1"/>
    <x v="7"/>
    <x v="29"/>
    <x v="2"/>
    <x v="2"/>
    <n v="156.68202764976999"/>
    <n v="9531.4900153609797"/>
    <n v="34313.364055299498"/>
  </r>
  <r>
    <x v="0"/>
    <x v="0"/>
    <x v="0"/>
    <x v="7"/>
    <x v="12"/>
    <s v="PL_A1"/>
    <x v="7"/>
    <x v="29"/>
    <x v="2"/>
    <x v="3"/>
    <n v="156.68202764976999"/>
    <n v="9531.4900153609797"/>
    <n v="34313.364055299498"/>
  </r>
  <r>
    <x v="0"/>
    <x v="0"/>
    <x v="0"/>
    <x v="7"/>
    <x v="12"/>
    <s v="PL_A1"/>
    <x v="7"/>
    <x v="29"/>
    <x v="2"/>
    <x v="4"/>
    <n v="156.68202764976999"/>
    <n v="9531.4900153609797"/>
    <n v="34313.364055299498"/>
  </r>
  <r>
    <x v="0"/>
    <x v="0"/>
    <x v="0"/>
    <x v="7"/>
    <x v="12"/>
    <s v="PL_A1"/>
    <x v="7"/>
    <x v="29"/>
    <x v="2"/>
    <x v="5"/>
    <n v="156.68202764976999"/>
    <n v="9531.4900153609797"/>
    <n v="34313.364055299498"/>
  </r>
  <r>
    <x v="0"/>
    <x v="0"/>
    <x v="0"/>
    <x v="7"/>
    <x v="12"/>
    <s v="PL_A1"/>
    <x v="7"/>
    <x v="29"/>
    <x v="2"/>
    <x v="6"/>
    <n v="156.68202764976999"/>
    <n v="9531.4900153609797"/>
    <n v="34313.364055299498"/>
  </r>
  <r>
    <x v="0"/>
    <x v="0"/>
    <x v="0"/>
    <x v="7"/>
    <x v="12"/>
    <s v="PL_A1"/>
    <x v="7"/>
    <x v="29"/>
    <x v="2"/>
    <x v="7"/>
    <n v="156.68202764976999"/>
    <n v="9531.4900153609797"/>
    <n v="34313.364055299498"/>
  </r>
  <r>
    <x v="0"/>
    <x v="0"/>
    <x v="0"/>
    <x v="7"/>
    <x v="12"/>
    <s v="PL_A1"/>
    <x v="7"/>
    <x v="29"/>
    <x v="2"/>
    <x v="8"/>
    <n v="156.68202764976999"/>
    <n v="9531.4900153609797"/>
    <n v="34313.364055299498"/>
  </r>
  <r>
    <x v="0"/>
    <x v="0"/>
    <x v="0"/>
    <x v="7"/>
    <x v="12"/>
    <s v="PL_A1"/>
    <x v="7"/>
    <x v="29"/>
    <x v="2"/>
    <x v="9"/>
    <n v="156.68202764976999"/>
    <n v="9531.4900153609797"/>
    <n v="34313.364055299498"/>
  </r>
  <r>
    <x v="0"/>
    <x v="0"/>
    <x v="0"/>
    <x v="7"/>
    <x v="12"/>
    <s v="PL_A1"/>
    <x v="7"/>
    <x v="29"/>
    <x v="2"/>
    <x v="10"/>
    <n v="156.68202764976999"/>
    <n v="9531.4900153609797"/>
    <n v="34313.364055299498"/>
  </r>
  <r>
    <x v="0"/>
    <x v="0"/>
    <x v="0"/>
    <x v="7"/>
    <x v="12"/>
    <s v="PL_A1"/>
    <x v="7"/>
    <x v="29"/>
    <x v="2"/>
    <x v="11"/>
    <n v="156.68202764976999"/>
    <n v="9531.4900153609797"/>
    <n v="34313.364055299498"/>
  </r>
  <r>
    <x v="0"/>
    <x v="0"/>
    <x v="0"/>
    <x v="7"/>
    <x v="12"/>
    <s v="PL_A1"/>
    <x v="7"/>
    <x v="29"/>
    <x v="3"/>
    <x v="0"/>
    <n v="156.68202764976999"/>
    <n v="9531.4900153609797"/>
    <n v="34313.364055299498"/>
  </r>
  <r>
    <x v="0"/>
    <x v="0"/>
    <x v="0"/>
    <x v="7"/>
    <x v="12"/>
    <s v="PL_A1"/>
    <x v="7"/>
    <x v="29"/>
    <x v="3"/>
    <x v="1"/>
    <n v="156.68202764976999"/>
    <n v="9531.4900153609797"/>
    <n v="34313.364055299498"/>
  </r>
  <r>
    <x v="0"/>
    <x v="0"/>
    <x v="0"/>
    <x v="7"/>
    <x v="12"/>
    <s v="PL_A1"/>
    <x v="7"/>
    <x v="29"/>
    <x v="3"/>
    <x v="2"/>
    <n v="156.68202764976999"/>
    <n v="9531.4900153609797"/>
    <n v="34313.364055299498"/>
  </r>
  <r>
    <x v="0"/>
    <x v="0"/>
    <x v="0"/>
    <x v="7"/>
    <x v="12"/>
    <s v="PL_A1"/>
    <x v="7"/>
    <x v="29"/>
    <x v="3"/>
    <x v="3"/>
    <n v="156.68202764976999"/>
    <n v="9531.4900153609797"/>
    <n v="34313.364055299498"/>
  </r>
  <r>
    <x v="0"/>
    <x v="0"/>
    <x v="0"/>
    <x v="7"/>
    <x v="12"/>
    <s v="PL_A1"/>
    <x v="7"/>
    <x v="29"/>
    <x v="3"/>
    <x v="4"/>
    <n v="156.68202764976999"/>
    <n v="9531.4900153609797"/>
    <n v="34313.364055299498"/>
  </r>
  <r>
    <x v="0"/>
    <x v="0"/>
    <x v="0"/>
    <x v="7"/>
    <x v="12"/>
    <s v="PL_A1"/>
    <x v="7"/>
    <x v="29"/>
    <x v="3"/>
    <x v="5"/>
    <n v="156.68202764976999"/>
    <n v="9531.4900153609797"/>
    <n v="34313.364055299498"/>
  </r>
  <r>
    <x v="0"/>
    <x v="0"/>
    <x v="0"/>
    <x v="7"/>
    <x v="12"/>
    <s v="PL_A1"/>
    <x v="7"/>
    <x v="29"/>
    <x v="3"/>
    <x v="6"/>
    <n v="156.68202764976999"/>
    <n v="9531.4900153609797"/>
    <n v="34313.364055299498"/>
  </r>
  <r>
    <x v="0"/>
    <x v="0"/>
    <x v="0"/>
    <x v="7"/>
    <x v="12"/>
    <s v="PL_A1"/>
    <x v="7"/>
    <x v="29"/>
    <x v="3"/>
    <x v="7"/>
    <n v="156.68202764976999"/>
    <n v="9531.4900153609797"/>
    <n v="34313.364055299498"/>
  </r>
  <r>
    <x v="0"/>
    <x v="0"/>
    <x v="0"/>
    <x v="7"/>
    <x v="12"/>
    <s v="PL_A1"/>
    <x v="7"/>
    <x v="29"/>
    <x v="3"/>
    <x v="8"/>
    <n v="156.68202764976999"/>
    <n v="9531.4900153609797"/>
    <n v="34313.364055299498"/>
  </r>
  <r>
    <x v="0"/>
    <x v="0"/>
    <x v="0"/>
    <x v="7"/>
    <x v="12"/>
    <s v="PL_A1"/>
    <x v="7"/>
    <x v="29"/>
    <x v="3"/>
    <x v="9"/>
    <n v="156.68202764976999"/>
    <n v="9531.4900153609797"/>
    <n v="34313.364055299498"/>
  </r>
  <r>
    <x v="0"/>
    <x v="0"/>
    <x v="0"/>
    <x v="7"/>
    <x v="12"/>
    <s v="PL_A1"/>
    <x v="7"/>
    <x v="29"/>
    <x v="3"/>
    <x v="10"/>
    <n v="156.68202764976999"/>
    <n v="9531.4900153609797"/>
    <n v="34313.364055299498"/>
  </r>
  <r>
    <x v="0"/>
    <x v="0"/>
    <x v="0"/>
    <x v="7"/>
    <x v="12"/>
    <s v="PL_A1"/>
    <x v="7"/>
    <x v="29"/>
    <x v="3"/>
    <x v="11"/>
    <n v="156.68202764976999"/>
    <n v="9531.4900153609797"/>
    <n v="34313.364055299498"/>
  </r>
  <r>
    <x v="0"/>
    <x v="0"/>
    <x v="0"/>
    <x v="7"/>
    <x v="12"/>
    <s v="PL_A1"/>
    <x v="7"/>
    <x v="29"/>
    <x v="4"/>
    <x v="0"/>
    <n v="156.68202764976999"/>
    <n v="9531.4900153609797"/>
    <n v="34313.364055299498"/>
  </r>
  <r>
    <x v="0"/>
    <x v="0"/>
    <x v="0"/>
    <x v="7"/>
    <x v="12"/>
    <s v="PL_A1"/>
    <x v="7"/>
    <x v="29"/>
    <x v="4"/>
    <x v="1"/>
    <n v="156.68202764976999"/>
    <n v="9531.4900153609797"/>
    <n v="34313.364055299498"/>
  </r>
  <r>
    <x v="0"/>
    <x v="0"/>
    <x v="0"/>
    <x v="7"/>
    <x v="12"/>
    <s v="PL_A1"/>
    <x v="7"/>
    <x v="29"/>
    <x v="4"/>
    <x v="2"/>
    <n v="156.68202764976999"/>
    <n v="9531.4900153609797"/>
    <n v="34313.364055299498"/>
  </r>
  <r>
    <x v="0"/>
    <x v="0"/>
    <x v="0"/>
    <x v="7"/>
    <x v="12"/>
    <s v="PL_A1"/>
    <x v="7"/>
    <x v="29"/>
    <x v="4"/>
    <x v="3"/>
    <n v="156.68202764976999"/>
    <n v="9531.4900153609797"/>
    <n v="34313.364055299498"/>
  </r>
  <r>
    <x v="0"/>
    <x v="0"/>
    <x v="0"/>
    <x v="7"/>
    <x v="12"/>
    <s v="PL_A1"/>
    <x v="7"/>
    <x v="29"/>
    <x v="4"/>
    <x v="4"/>
    <n v="156.68202764976999"/>
    <n v="9531.4900153609797"/>
    <n v="34313.364055299498"/>
  </r>
  <r>
    <x v="0"/>
    <x v="0"/>
    <x v="0"/>
    <x v="7"/>
    <x v="12"/>
    <s v="PL_A1"/>
    <x v="7"/>
    <x v="29"/>
    <x v="4"/>
    <x v="5"/>
    <n v="156.68202764976999"/>
    <n v="9531.4900153609797"/>
    <n v="34313.364055299498"/>
  </r>
  <r>
    <x v="0"/>
    <x v="0"/>
    <x v="0"/>
    <x v="7"/>
    <x v="12"/>
    <s v="PL_A1"/>
    <x v="7"/>
    <x v="29"/>
    <x v="4"/>
    <x v="6"/>
    <n v="156.68202764976999"/>
    <n v="9531.4900153609797"/>
    <n v="34313.364055299498"/>
  </r>
  <r>
    <x v="0"/>
    <x v="0"/>
    <x v="0"/>
    <x v="7"/>
    <x v="12"/>
    <s v="PL_A1"/>
    <x v="7"/>
    <x v="29"/>
    <x v="4"/>
    <x v="7"/>
    <n v="156.68202764976999"/>
    <n v="9531.4900153609797"/>
    <n v="34313.364055299498"/>
  </r>
  <r>
    <x v="0"/>
    <x v="0"/>
    <x v="0"/>
    <x v="7"/>
    <x v="12"/>
    <s v="PL_A1"/>
    <x v="7"/>
    <x v="29"/>
    <x v="4"/>
    <x v="8"/>
    <n v="156.68202764976999"/>
    <n v="9531.4900153609797"/>
    <n v="34313.364055299498"/>
  </r>
  <r>
    <x v="0"/>
    <x v="0"/>
    <x v="0"/>
    <x v="7"/>
    <x v="12"/>
    <s v="PL_A1"/>
    <x v="7"/>
    <x v="29"/>
    <x v="4"/>
    <x v="9"/>
    <n v="156.68202764976999"/>
    <n v="9531.4900153609797"/>
    <n v="34313.364055299498"/>
  </r>
  <r>
    <x v="0"/>
    <x v="0"/>
    <x v="0"/>
    <x v="7"/>
    <x v="12"/>
    <s v="PL_A1"/>
    <x v="7"/>
    <x v="29"/>
    <x v="4"/>
    <x v="10"/>
    <n v="156.68202764976999"/>
    <n v="9531.4900153609797"/>
    <n v="34313.364055299498"/>
  </r>
  <r>
    <x v="0"/>
    <x v="0"/>
    <x v="0"/>
    <x v="7"/>
    <x v="12"/>
    <s v="PL_A1"/>
    <x v="7"/>
    <x v="29"/>
    <x v="4"/>
    <x v="11"/>
    <n v="156.68202764976999"/>
    <n v="9531.4900153609797"/>
    <n v="34313.364055299498"/>
  </r>
  <r>
    <x v="0"/>
    <x v="0"/>
    <x v="0"/>
    <x v="7"/>
    <x v="12"/>
    <s v="PL_A1"/>
    <x v="7"/>
    <x v="29"/>
    <x v="5"/>
    <x v="0"/>
    <n v="156.68202764976999"/>
    <n v="9531.4900153609797"/>
    <n v="34313.364055299498"/>
  </r>
  <r>
    <x v="0"/>
    <x v="0"/>
    <x v="0"/>
    <x v="7"/>
    <x v="12"/>
    <s v="PL_A1"/>
    <x v="7"/>
    <x v="29"/>
    <x v="5"/>
    <x v="1"/>
    <n v="156.68202764976999"/>
    <n v="9531.4900153609797"/>
    <n v="34313.364055299498"/>
  </r>
  <r>
    <x v="0"/>
    <x v="0"/>
    <x v="0"/>
    <x v="7"/>
    <x v="12"/>
    <s v="PL_A1"/>
    <x v="7"/>
    <x v="29"/>
    <x v="5"/>
    <x v="2"/>
    <n v="156.68202764976999"/>
    <n v="9531.4900153609797"/>
    <n v="34313.364055299498"/>
  </r>
  <r>
    <x v="0"/>
    <x v="0"/>
    <x v="0"/>
    <x v="7"/>
    <x v="12"/>
    <s v="PL_A1"/>
    <x v="7"/>
    <x v="29"/>
    <x v="5"/>
    <x v="3"/>
    <n v="156.68202764976999"/>
    <n v="9531.4900153609797"/>
    <n v="34313.364055299498"/>
  </r>
  <r>
    <x v="0"/>
    <x v="0"/>
    <x v="0"/>
    <x v="7"/>
    <x v="12"/>
    <s v="PL_A1"/>
    <x v="7"/>
    <x v="29"/>
    <x v="5"/>
    <x v="4"/>
    <n v="156.68202764976999"/>
    <n v="9531.4900153609797"/>
    <n v="34313.364055299498"/>
  </r>
  <r>
    <x v="0"/>
    <x v="0"/>
    <x v="0"/>
    <x v="7"/>
    <x v="12"/>
    <s v="PL_A1"/>
    <x v="7"/>
    <x v="29"/>
    <x v="5"/>
    <x v="5"/>
    <n v="156.68202764976999"/>
    <n v="9531.4900153609797"/>
    <n v="34313.364055299498"/>
  </r>
  <r>
    <x v="0"/>
    <x v="0"/>
    <x v="0"/>
    <x v="7"/>
    <x v="12"/>
    <s v="PL_A1"/>
    <x v="7"/>
    <x v="29"/>
    <x v="5"/>
    <x v="6"/>
    <n v="156.68202764976999"/>
    <n v="9531.4900153609797"/>
    <n v="34313.364055299498"/>
  </r>
  <r>
    <x v="0"/>
    <x v="0"/>
    <x v="0"/>
    <x v="7"/>
    <x v="12"/>
    <s v="PL_A1"/>
    <x v="7"/>
    <x v="29"/>
    <x v="5"/>
    <x v="7"/>
    <n v="156.68202764976999"/>
    <n v="9531.4900153609797"/>
    <n v="34313.364055299498"/>
  </r>
  <r>
    <x v="0"/>
    <x v="0"/>
    <x v="0"/>
    <x v="7"/>
    <x v="12"/>
    <s v="PL_A1"/>
    <x v="7"/>
    <x v="29"/>
    <x v="5"/>
    <x v="8"/>
    <n v="156.68202764976999"/>
    <n v="9531.4900153609797"/>
    <n v="34313.364055299498"/>
  </r>
  <r>
    <x v="0"/>
    <x v="0"/>
    <x v="0"/>
    <x v="7"/>
    <x v="12"/>
    <s v="PL_A1"/>
    <x v="7"/>
    <x v="29"/>
    <x v="5"/>
    <x v="9"/>
    <n v="156.68202764976999"/>
    <n v="9531.4900153609797"/>
    <n v="34313.364055299498"/>
  </r>
  <r>
    <x v="0"/>
    <x v="0"/>
    <x v="0"/>
    <x v="7"/>
    <x v="12"/>
    <s v="PL_A1"/>
    <x v="7"/>
    <x v="29"/>
    <x v="5"/>
    <x v="10"/>
    <n v="156.68202764976999"/>
    <n v="9531.4900153609797"/>
    <n v="34313.364055299498"/>
  </r>
  <r>
    <x v="0"/>
    <x v="0"/>
    <x v="0"/>
    <x v="7"/>
    <x v="12"/>
    <s v="PL_A1"/>
    <x v="7"/>
    <x v="29"/>
    <x v="5"/>
    <x v="11"/>
    <n v="156.68202764976999"/>
    <n v="9531.4900153609797"/>
    <n v="34313.364055299498"/>
  </r>
  <r>
    <x v="0"/>
    <x v="0"/>
    <x v="0"/>
    <x v="7"/>
    <x v="12"/>
    <s v="PL_A1"/>
    <x v="7"/>
    <x v="29"/>
    <x v="6"/>
    <x v="0"/>
    <n v="156.68202764976999"/>
    <n v="9531.4900153609797"/>
    <n v="34313.364055299498"/>
  </r>
  <r>
    <x v="0"/>
    <x v="0"/>
    <x v="0"/>
    <x v="7"/>
    <x v="12"/>
    <s v="PL_A1"/>
    <x v="7"/>
    <x v="29"/>
    <x v="6"/>
    <x v="1"/>
    <n v="156.68202764976999"/>
    <n v="9531.4900153609797"/>
    <n v="34313.364055299498"/>
  </r>
  <r>
    <x v="0"/>
    <x v="0"/>
    <x v="0"/>
    <x v="7"/>
    <x v="12"/>
    <s v="PL_A1"/>
    <x v="7"/>
    <x v="29"/>
    <x v="6"/>
    <x v="2"/>
    <n v="156.68202764976999"/>
    <n v="9531.4900153609797"/>
    <n v="34313.364055299498"/>
  </r>
  <r>
    <x v="0"/>
    <x v="0"/>
    <x v="0"/>
    <x v="7"/>
    <x v="12"/>
    <s v="PL_A1"/>
    <x v="7"/>
    <x v="29"/>
    <x v="6"/>
    <x v="3"/>
    <n v="156.68202764976999"/>
    <n v="9531.4900153609797"/>
    <n v="34313.364055299498"/>
  </r>
  <r>
    <x v="0"/>
    <x v="0"/>
    <x v="0"/>
    <x v="7"/>
    <x v="12"/>
    <s v="PL_A1"/>
    <x v="7"/>
    <x v="29"/>
    <x v="6"/>
    <x v="4"/>
    <n v="156.68202764976999"/>
    <n v="9531.4900153609797"/>
    <n v="34313.364055299498"/>
  </r>
  <r>
    <x v="0"/>
    <x v="0"/>
    <x v="0"/>
    <x v="7"/>
    <x v="12"/>
    <s v="PL_A1"/>
    <x v="7"/>
    <x v="29"/>
    <x v="6"/>
    <x v="5"/>
    <n v="156.68202764976999"/>
    <n v="9531.4900153609797"/>
    <n v="34313.364055299498"/>
  </r>
  <r>
    <x v="0"/>
    <x v="0"/>
    <x v="0"/>
    <x v="7"/>
    <x v="12"/>
    <s v="PL_A1"/>
    <x v="7"/>
    <x v="29"/>
    <x v="6"/>
    <x v="6"/>
    <n v="156.68202764976999"/>
    <n v="9531.4900153609797"/>
    <n v="34313.364055299498"/>
  </r>
  <r>
    <x v="0"/>
    <x v="0"/>
    <x v="0"/>
    <x v="7"/>
    <x v="12"/>
    <s v="PL_A1"/>
    <x v="7"/>
    <x v="29"/>
    <x v="6"/>
    <x v="7"/>
    <n v="156.68202764976999"/>
    <n v="9531.4900153609797"/>
    <n v="34313.364055299498"/>
  </r>
  <r>
    <x v="0"/>
    <x v="0"/>
    <x v="0"/>
    <x v="7"/>
    <x v="12"/>
    <s v="PL_A1"/>
    <x v="7"/>
    <x v="29"/>
    <x v="6"/>
    <x v="8"/>
    <n v="156.68202764976999"/>
    <n v="9531.4900153609797"/>
    <n v="34313.364055299498"/>
  </r>
  <r>
    <x v="0"/>
    <x v="0"/>
    <x v="0"/>
    <x v="7"/>
    <x v="12"/>
    <s v="PL_A1"/>
    <x v="7"/>
    <x v="29"/>
    <x v="6"/>
    <x v="9"/>
    <n v="156.68202764976999"/>
    <n v="9531.4900153609797"/>
    <n v="34313.364055299498"/>
  </r>
  <r>
    <x v="0"/>
    <x v="0"/>
    <x v="0"/>
    <x v="7"/>
    <x v="12"/>
    <s v="PL_A1"/>
    <x v="7"/>
    <x v="29"/>
    <x v="6"/>
    <x v="10"/>
    <n v="156.68202764976999"/>
    <n v="9531.4900153609797"/>
    <n v="34313.364055299498"/>
  </r>
  <r>
    <x v="0"/>
    <x v="0"/>
    <x v="0"/>
    <x v="7"/>
    <x v="12"/>
    <s v="PL_A1"/>
    <x v="7"/>
    <x v="29"/>
    <x v="6"/>
    <x v="11"/>
    <n v="156.68202764976999"/>
    <n v="9531.4900153609797"/>
    <n v="34313.364055299498"/>
  </r>
  <r>
    <x v="0"/>
    <x v="0"/>
    <x v="0"/>
    <x v="7"/>
    <x v="12"/>
    <s v="PL_A1"/>
    <x v="7"/>
    <x v="29"/>
    <x v="7"/>
    <x v="0"/>
    <n v="156.68202764976999"/>
    <n v="9531.4900153609797"/>
    <n v="34313.364055299498"/>
  </r>
  <r>
    <x v="0"/>
    <x v="0"/>
    <x v="0"/>
    <x v="7"/>
    <x v="12"/>
    <s v="PL_A1"/>
    <x v="7"/>
    <x v="29"/>
    <x v="7"/>
    <x v="1"/>
    <n v="156.68202764976999"/>
    <n v="9531.4900153609797"/>
    <n v="34313.364055299498"/>
  </r>
  <r>
    <x v="0"/>
    <x v="0"/>
    <x v="0"/>
    <x v="7"/>
    <x v="12"/>
    <s v="PL_A1"/>
    <x v="7"/>
    <x v="29"/>
    <x v="7"/>
    <x v="2"/>
    <n v="156.68202764976999"/>
    <n v="9531.4900153609797"/>
    <n v="34313.364055299498"/>
  </r>
  <r>
    <x v="0"/>
    <x v="0"/>
    <x v="0"/>
    <x v="7"/>
    <x v="12"/>
    <s v="PL_A1"/>
    <x v="7"/>
    <x v="29"/>
    <x v="7"/>
    <x v="3"/>
    <n v="156.68202764976999"/>
    <n v="9531.4900153609797"/>
    <n v="34313.364055299498"/>
  </r>
  <r>
    <x v="0"/>
    <x v="0"/>
    <x v="0"/>
    <x v="7"/>
    <x v="12"/>
    <s v="PL_A1"/>
    <x v="7"/>
    <x v="29"/>
    <x v="7"/>
    <x v="4"/>
    <n v="156.68202764976999"/>
    <n v="9531.4900153609797"/>
    <n v="34313.364055299498"/>
  </r>
  <r>
    <x v="0"/>
    <x v="0"/>
    <x v="0"/>
    <x v="7"/>
    <x v="12"/>
    <s v="PL_A1"/>
    <x v="7"/>
    <x v="29"/>
    <x v="7"/>
    <x v="5"/>
    <n v="156.68202764976999"/>
    <n v="9531.4900153609797"/>
    <n v="34313.364055299498"/>
  </r>
  <r>
    <x v="0"/>
    <x v="0"/>
    <x v="0"/>
    <x v="7"/>
    <x v="12"/>
    <s v="PL_A1"/>
    <x v="7"/>
    <x v="29"/>
    <x v="7"/>
    <x v="6"/>
    <n v="156.68202764976999"/>
    <n v="9531.4900153609797"/>
    <n v="34313.364055299498"/>
  </r>
  <r>
    <x v="0"/>
    <x v="0"/>
    <x v="0"/>
    <x v="7"/>
    <x v="12"/>
    <s v="PL_A1"/>
    <x v="7"/>
    <x v="29"/>
    <x v="7"/>
    <x v="7"/>
    <n v="156.68202764976999"/>
    <n v="9531.4900153609797"/>
    <n v="34313.364055299498"/>
  </r>
  <r>
    <x v="0"/>
    <x v="0"/>
    <x v="0"/>
    <x v="7"/>
    <x v="12"/>
    <s v="PL_A1"/>
    <x v="7"/>
    <x v="29"/>
    <x v="7"/>
    <x v="8"/>
    <n v="156.68202764976999"/>
    <n v="9531.4900153609797"/>
    <n v="34313.364055299498"/>
  </r>
  <r>
    <x v="0"/>
    <x v="0"/>
    <x v="0"/>
    <x v="7"/>
    <x v="12"/>
    <s v="PL_A1"/>
    <x v="7"/>
    <x v="29"/>
    <x v="7"/>
    <x v="9"/>
    <n v="156.68202764976999"/>
    <n v="9531.4900153609797"/>
    <n v="34313.364055299498"/>
  </r>
  <r>
    <x v="0"/>
    <x v="0"/>
    <x v="0"/>
    <x v="7"/>
    <x v="12"/>
    <s v="PL_A1"/>
    <x v="7"/>
    <x v="29"/>
    <x v="7"/>
    <x v="10"/>
    <n v="156.68202764976999"/>
    <n v="9531.4900153609797"/>
    <n v="34313.364055299498"/>
  </r>
  <r>
    <x v="0"/>
    <x v="0"/>
    <x v="0"/>
    <x v="7"/>
    <x v="12"/>
    <s v="PL_A1"/>
    <x v="7"/>
    <x v="29"/>
    <x v="7"/>
    <x v="11"/>
    <n v="156.68202764976999"/>
    <n v="9531.4900153609797"/>
    <n v="34313.364055299498"/>
  </r>
  <r>
    <x v="0"/>
    <x v="0"/>
    <x v="0"/>
    <x v="7"/>
    <x v="12"/>
    <s v="PL_A1"/>
    <x v="7"/>
    <x v="29"/>
    <x v="8"/>
    <x v="0"/>
    <n v="156.68202764976999"/>
    <n v="9531.4900153609797"/>
    <n v="34313.364055299498"/>
  </r>
  <r>
    <x v="0"/>
    <x v="0"/>
    <x v="0"/>
    <x v="7"/>
    <x v="12"/>
    <s v="PL_A1"/>
    <x v="7"/>
    <x v="29"/>
    <x v="8"/>
    <x v="1"/>
    <n v="156.68202764976999"/>
    <n v="9531.4900153609797"/>
    <n v="34313.364055299498"/>
  </r>
  <r>
    <x v="0"/>
    <x v="0"/>
    <x v="0"/>
    <x v="7"/>
    <x v="12"/>
    <s v="PL_A1"/>
    <x v="7"/>
    <x v="29"/>
    <x v="8"/>
    <x v="2"/>
    <n v="156.68202764976999"/>
    <n v="9531.4900153609797"/>
    <n v="34313.364055299498"/>
  </r>
  <r>
    <x v="0"/>
    <x v="0"/>
    <x v="0"/>
    <x v="7"/>
    <x v="12"/>
    <s v="PL_A1"/>
    <x v="7"/>
    <x v="29"/>
    <x v="8"/>
    <x v="3"/>
    <n v="156.68202764976999"/>
    <n v="9531.4900153609797"/>
    <n v="34313.364055299498"/>
  </r>
  <r>
    <x v="0"/>
    <x v="0"/>
    <x v="0"/>
    <x v="7"/>
    <x v="12"/>
    <s v="PL_A1"/>
    <x v="7"/>
    <x v="29"/>
    <x v="8"/>
    <x v="4"/>
    <n v="156.68202764976999"/>
    <n v="9531.4900153609797"/>
    <n v="34313.364055299498"/>
  </r>
  <r>
    <x v="0"/>
    <x v="0"/>
    <x v="0"/>
    <x v="7"/>
    <x v="12"/>
    <s v="PL_A1"/>
    <x v="7"/>
    <x v="29"/>
    <x v="8"/>
    <x v="5"/>
    <n v="156.68202764976999"/>
    <n v="9531.4900153609797"/>
    <n v="34313.364055299498"/>
  </r>
  <r>
    <x v="0"/>
    <x v="0"/>
    <x v="0"/>
    <x v="7"/>
    <x v="12"/>
    <s v="PL_A1"/>
    <x v="7"/>
    <x v="29"/>
    <x v="8"/>
    <x v="6"/>
    <n v="156.68202764976999"/>
    <n v="9531.4900153609797"/>
    <n v="34313.364055299498"/>
  </r>
  <r>
    <x v="0"/>
    <x v="0"/>
    <x v="0"/>
    <x v="7"/>
    <x v="12"/>
    <s v="PL_A1"/>
    <x v="7"/>
    <x v="29"/>
    <x v="8"/>
    <x v="7"/>
    <n v="156.68202764976999"/>
    <n v="9531.4900153609797"/>
    <n v="34313.364055299498"/>
  </r>
  <r>
    <x v="0"/>
    <x v="0"/>
    <x v="0"/>
    <x v="7"/>
    <x v="12"/>
    <s v="PL_A1"/>
    <x v="7"/>
    <x v="29"/>
    <x v="8"/>
    <x v="8"/>
    <n v="156.68202764976999"/>
    <n v="9531.4900153609797"/>
    <n v="34313.364055299498"/>
  </r>
  <r>
    <x v="0"/>
    <x v="0"/>
    <x v="0"/>
    <x v="7"/>
    <x v="12"/>
    <s v="PL_A1"/>
    <x v="7"/>
    <x v="29"/>
    <x v="8"/>
    <x v="9"/>
    <n v="156.68202764976999"/>
    <n v="9531.4900153609797"/>
    <n v="34313.364055299498"/>
  </r>
  <r>
    <x v="0"/>
    <x v="0"/>
    <x v="0"/>
    <x v="7"/>
    <x v="12"/>
    <s v="PL_A1"/>
    <x v="7"/>
    <x v="29"/>
    <x v="8"/>
    <x v="10"/>
    <n v="156.68202764976999"/>
    <n v="9531.4900153609797"/>
    <n v="34313.364055299498"/>
  </r>
  <r>
    <x v="0"/>
    <x v="0"/>
    <x v="0"/>
    <x v="7"/>
    <x v="12"/>
    <s v="PL_A1"/>
    <x v="7"/>
    <x v="29"/>
    <x v="8"/>
    <x v="11"/>
    <n v="156.68202764976999"/>
    <n v="9531.4900153609797"/>
    <n v="34313.364055299498"/>
  </r>
  <r>
    <x v="0"/>
    <x v="0"/>
    <x v="0"/>
    <x v="7"/>
    <x v="12"/>
    <s v="PL_A1"/>
    <x v="7"/>
    <x v="29"/>
    <x v="9"/>
    <x v="0"/>
    <n v="156.68202764976999"/>
    <n v="9531.4900153609797"/>
    <n v="34313.364055299498"/>
  </r>
  <r>
    <x v="0"/>
    <x v="0"/>
    <x v="0"/>
    <x v="7"/>
    <x v="12"/>
    <s v="PL_A1"/>
    <x v="7"/>
    <x v="29"/>
    <x v="9"/>
    <x v="1"/>
    <n v="156.68202764976999"/>
    <n v="9531.4900153609797"/>
    <n v="34313.364055299498"/>
  </r>
  <r>
    <x v="0"/>
    <x v="0"/>
    <x v="0"/>
    <x v="7"/>
    <x v="12"/>
    <s v="PL_A1"/>
    <x v="7"/>
    <x v="29"/>
    <x v="9"/>
    <x v="2"/>
    <n v="156.68202764976999"/>
    <n v="9531.4900153609797"/>
    <n v="34313.364055299498"/>
  </r>
  <r>
    <x v="0"/>
    <x v="0"/>
    <x v="0"/>
    <x v="7"/>
    <x v="12"/>
    <s v="PL_A1"/>
    <x v="7"/>
    <x v="29"/>
    <x v="9"/>
    <x v="3"/>
    <n v="156.68202764976999"/>
    <n v="9531.4900153609797"/>
    <n v="34313.364055299498"/>
  </r>
  <r>
    <x v="0"/>
    <x v="0"/>
    <x v="0"/>
    <x v="7"/>
    <x v="12"/>
    <s v="PL_A1"/>
    <x v="7"/>
    <x v="29"/>
    <x v="9"/>
    <x v="4"/>
    <n v="156.68202764976999"/>
    <n v="9531.4900153609797"/>
    <n v="34313.364055299498"/>
  </r>
  <r>
    <x v="0"/>
    <x v="0"/>
    <x v="0"/>
    <x v="7"/>
    <x v="12"/>
    <s v="PL_A1"/>
    <x v="7"/>
    <x v="29"/>
    <x v="9"/>
    <x v="5"/>
    <n v="156.68202764976999"/>
    <n v="9531.4900153609797"/>
    <n v="34313.364055299498"/>
  </r>
  <r>
    <x v="0"/>
    <x v="0"/>
    <x v="0"/>
    <x v="7"/>
    <x v="12"/>
    <s v="PL_A1"/>
    <x v="7"/>
    <x v="29"/>
    <x v="9"/>
    <x v="6"/>
    <n v="156.68202764976999"/>
    <n v="9531.4900153609797"/>
    <n v="34313.364055299498"/>
  </r>
  <r>
    <x v="0"/>
    <x v="0"/>
    <x v="0"/>
    <x v="7"/>
    <x v="12"/>
    <s v="PL_A1"/>
    <x v="7"/>
    <x v="29"/>
    <x v="9"/>
    <x v="7"/>
    <n v="156.68202764976999"/>
    <n v="9531.4900153609797"/>
    <n v="34313.364055299498"/>
  </r>
  <r>
    <x v="0"/>
    <x v="0"/>
    <x v="0"/>
    <x v="7"/>
    <x v="12"/>
    <s v="PL_A1"/>
    <x v="7"/>
    <x v="29"/>
    <x v="9"/>
    <x v="8"/>
    <n v="156.68202764976999"/>
    <n v="9531.4900153609797"/>
    <n v="34313.364055299498"/>
  </r>
  <r>
    <x v="0"/>
    <x v="0"/>
    <x v="0"/>
    <x v="7"/>
    <x v="12"/>
    <s v="PL_A1"/>
    <x v="7"/>
    <x v="29"/>
    <x v="9"/>
    <x v="9"/>
    <n v="156.68202764976999"/>
    <n v="9531.4900153609797"/>
    <n v="34313.364055299498"/>
  </r>
  <r>
    <x v="0"/>
    <x v="0"/>
    <x v="0"/>
    <x v="7"/>
    <x v="12"/>
    <s v="PL_A1"/>
    <x v="7"/>
    <x v="29"/>
    <x v="9"/>
    <x v="10"/>
    <n v="156.68202764976999"/>
    <n v="9531.4900153609797"/>
    <n v="34313.364055299498"/>
  </r>
  <r>
    <x v="0"/>
    <x v="0"/>
    <x v="0"/>
    <x v="7"/>
    <x v="12"/>
    <s v="PL_A1"/>
    <x v="7"/>
    <x v="29"/>
    <x v="9"/>
    <x v="11"/>
    <n v="156.68202764976999"/>
    <n v="9531.4900153609797"/>
    <n v="34313.364055299498"/>
  </r>
  <r>
    <x v="0"/>
    <x v="0"/>
    <x v="0"/>
    <x v="7"/>
    <x v="12"/>
    <s v="PL_A1"/>
    <x v="7"/>
    <x v="29"/>
    <x v="10"/>
    <x v="0"/>
    <n v="156.68202764976999"/>
    <n v="9531.4900153609797"/>
    <n v="34313.364055299498"/>
  </r>
  <r>
    <x v="0"/>
    <x v="0"/>
    <x v="0"/>
    <x v="7"/>
    <x v="12"/>
    <s v="PL_A1"/>
    <x v="7"/>
    <x v="29"/>
    <x v="10"/>
    <x v="1"/>
    <n v="156.68202764976999"/>
    <n v="9531.4900153609797"/>
    <n v="34313.364055299498"/>
  </r>
  <r>
    <x v="0"/>
    <x v="0"/>
    <x v="0"/>
    <x v="7"/>
    <x v="12"/>
    <s v="PL_A1"/>
    <x v="7"/>
    <x v="29"/>
    <x v="10"/>
    <x v="2"/>
    <n v="156.68202764976999"/>
    <n v="9531.4900153609797"/>
    <n v="34313.364055299498"/>
  </r>
  <r>
    <x v="0"/>
    <x v="0"/>
    <x v="0"/>
    <x v="7"/>
    <x v="12"/>
    <s v="PL_A1"/>
    <x v="7"/>
    <x v="29"/>
    <x v="10"/>
    <x v="3"/>
    <n v="156.68202764976999"/>
    <n v="9531.4900153609797"/>
    <n v="34313.364055299498"/>
  </r>
  <r>
    <x v="0"/>
    <x v="0"/>
    <x v="0"/>
    <x v="7"/>
    <x v="12"/>
    <s v="PL_A1"/>
    <x v="7"/>
    <x v="29"/>
    <x v="10"/>
    <x v="4"/>
    <n v="156.68202764976999"/>
    <n v="9531.4900153609797"/>
    <n v="34313.364055299498"/>
  </r>
  <r>
    <x v="0"/>
    <x v="0"/>
    <x v="0"/>
    <x v="7"/>
    <x v="12"/>
    <s v="PL_A1"/>
    <x v="7"/>
    <x v="29"/>
    <x v="10"/>
    <x v="5"/>
    <n v="156.68202764976999"/>
    <n v="9531.4900153609797"/>
    <n v="34313.364055299498"/>
  </r>
  <r>
    <x v="0"/>
    <x v="0"/>
    <x v="0"/>
    <x v="7"/>
    <x v="12"/>
    <s v="PL_A1"/>
    <x v="7"/>
    <x v="29"/>
    <x v="10"/>
    <x v="6"/>
    <n v="156.68202764976999"/>
    <n v="9531.4900153609797"/>
    <n v="34313.364055299498"/>
  </r>
  <r>
    <x v="0"/>
    <x v="0"/>
    <x v="0"/>
    <x v="7"/>
    <x v="12"/>
    <s v="PL_A1"/>
    <x v="7"/>
    <x v="29"/>
    <x v="10"/>
    <x v="7"/>
    <n v="156.68202764976999"/>
    <n v="9531.4900153609797"/>
    <n v="34313.364055299498"/>
  </r>
  <r>
    <x v="0"/>
    <x v="0"/>
    <x v="0"/>
    <x v="7"/>
    <x v="12"/>
    <s v="PL_A1"/>
    <x v="7"/>
    <x v="29"/>
    <x v="10"/>
    <x v="8"/>
    <n v="156.68202764976999"/>
    <n v="9531.4900153609797"/>
    <n v="34313.364055299498"/>
  </r>
  <r>
    <x v="0"/>
    <x v="0"/>
    <x v="0"/>
    <x v="7"/>
    <x v="12"/>
    <s v="PL_A1"/>
    <x v="7"/>
    <x v="29"/>
    <x v="10"/>
    <x v="9"/>
    <n v="156.68202764976999"/>
    <n v="9531.4900153609797"/>
    <n v="34313.364055299498"/>
  </r>
  <r>
    <x v="0"/>
    <x v="0"/>
    <x v="0"/>
    <x v="7"/>
    <x v="12"/>
    <s v="PL_A1"/>
    <x v="7"/>
    <x v="29"/>
    <x v="10"/>
    <x v="10"/>
    <n v="156.68202764976999"/>
    <n v="9531.4900153609797"/>
    <n v="34313.364055299498"/>
  </r>
  <r>
    <x v="0"/>
    <x v="0"/>
    <x v="0"/>
    <x v="7"/>
    <x v="12"/>
    <s v="PL_A1"/>
    <x v="7"/>
    <x v="29"/>
    <x v="10"/>
    <x v="11"/>
    <n v="156.68202764976999"/>
    <n v="9531.4900153609797"/>
    <n v="34313.364055299498"/>
  </r>
  <r>
    <x v="0"/>
    <x v="0"/>
    <x v="0"/>
    <x v="7"/>
    <x v="12"/>
    <s v="PL_A1"/>
    <x v="7"/>
    <x v="29"/>
    <x v="11"/>
    <x v="0"/>
    <n v="156.68202764976999"/>
    <n v="9531.4900153609797"/>
    <n v="34313.364055299498"/>
  </r>
  <r>
    <x v="0"/>
    <x v="0"/>
    <x v="0"/>
    <x v="7"/>
    <x v="12"/>
    <s v="PL_A1"/>
    <x v="7"/>
    <x v="29"/>
    <x v="11"/>
    <x v="1"/>
    <n v="156.68202764976999"/>
    <n v="9531.4900153609797"/>
    <n v="34313.364055299498"/>
  </r>
  <r>
    <x v="0"/>
    <x v="0"/>
    <x v="0"/>
    <x v="7"/>
    <x v="12"/>
    <s v="PL_A1"/>
    <x v="7"/>
    <x v="29"/>
    <x v="11"/>
    <x v="2"/>
    <n v="156.68202764976999"/>
    <n v="9531.4900153609797"/>
    <n v="34313.364055299498"/>
  </r>
  <r>
    <x v="0"/>
    <x v="0"/>
    <x v="0"/>
    <x v="7"/>
    <x v="12"/>
    <s v="PL_A1"/>
    <x v="7"/>
    <x v="29"/>
    <x v="11"/>
    <x v="3"/>
    <n v="156.68202764976999"/>
    <n v="9531.4900153609797"/>
    <n v="34313.364055299498"/>
  </r>
  <r>
    <x v="0"/>
    <x v="0"/>
    <x v="0"/>
    <x v="7"/>
    <x v="12"/>
    <s v="PL_A1"/>
    <x v="7"/>
    <x v="29"/>
    <x v="11"/>
    <x v="4"/>
    <n v="156.68202764976999"/>
    <n v="9531.4900153609797"/>
    <n v="34313.364055299498"/>
  </r>
  <r>
    <x v="0"/>
    <x v="0"/>
    <x v="0"/>
    <x v="7"/>
    <x v="12"/>
    <s v="PL_A1"/>
    <x v="7"/>
    <x v="29"/>
    <x v="11"/>
    <x v="5"/>
    <n v="156.68202764976999"/>
    <n v="9531.4900153609797"/>
    <n v="34313.364055299498"/>
  </r>
  <r>
    <x v="0"/>
    <x v="0"/>
    <x v="0"/>
    <x v="7"/>
    <x v="12"/>
    <s v="PL_A1"/>
    <x v="7"/>
    <x v="29"/>
    <x v="11"/>
    <x v="6"/>
    <n v="156.68202764976999"/>
    <n v="9531.4900153609797"/>
    <n v="34313.364055299498"/>
  </r>
  <r>
    <x v="0"/>
    <x v="0"/>
    <x v="0"/>
    <x v="7"/>
    <x v="12"/>
    <s v="PL_A1"/>
    <x v="7"/>
    <x v="29"/>
    <x v="11"/>
    <x v="7"/>
    <n v="156.68202764976999"/>
    <n v="9531.4900153609797"/>
    <n v="34313.364055299498"/>
  </r>
  <r>
    <x v="0"/>
    <x v="0"/>
    <x v="0"/>
    <x v="7"/>
    <x v="12"/>
    <s v="PL_A1"/>
    <x v="7"/>
    <x v="29"/>
    <x v="11"/>
    <x v="8"/>
    <n v="156.68202764976999"/>
    <n v="9531.4900153609797"/>
    <n v="34313.364055299498"/>
  </r>
  <r>
    <x v="0"/>
    <x v="0"/>
    <x v="0"/>
    <x v="7"/>
    <x v="12"/>
    <s v="PL_A1"/>
    <x v="7"/>
    <x v="29"/>
    <x v="11"/>
    <x v="9"/>
    <n v="156.68202764976999"/>
    <n v="9531.4900153609797"/>
    <n v="34313.364055299498"/>
  </r>
  <r>
    <x v="0"/>
    <x v="0"/>
    <x v="0"/>
    <x v="7"/>
    <x v="12"/>
    <s v="PL_A1"/>
    <x v="7"/>
    <x v="29"/>
    <x v="11"/>
    <x v="10"/>
    <n v="156.68202764976999"/>
    <n v="9531.4900153609797"/>
    <n v="34313.364055299498"/>
  </r>
  <r>
    <x v="0"/>
    <x v="0"/>
    <x v="0"/>
    <x v="7"/>
    <x v="12"/>
    <s v="PL_A1"/>
    <x v="7"/>
    <x v="29"/>
    <x v="11"/>
    <x v="11"/>
    <n v="156.68202764976999"/>
    <n v="9531.4900153609797"/>
    <n v="34313.364055299498"/>
  </r>
  <r>
    <x v="0"/>
    <x v="0"/>
    <x v="0"/>
    <x v="8"/>
    <x v="13"/>
    <s v="SE1_EL"/>
    <x v="0"/>
    <x v="0"/>
    <x v="0"/>
    <x v="0"/>
    <n v="93.502536337757107"/>
    <n v="5688.0709605468901"/>
    <n v="20477.0554579688"/>
  </r>
  <r>
    <x v="0"/>
    <x v="0"/>
    <x v="0"/>
    <x v="8"/>
    <x v="13"/>
    <s v="SE1_EL"/>
    <x v="0"/>
    <x v="0"/>
    <x v="0"/>
    <x v="1"/>
    <n v="92.464813420836904"/>
    <n v="5624.9428164342398"/>
    <n v="20249.794139163299"/>
  </r>
  <r>
    <x v="0"/>
    <x v="0"/>
    <x v="0"/>
    <x v="8"/>
    <x v="13"/>
    <s v="SE1_EL"/>
    <x v="0"/>
    <x v="0"/>
    <x v="0"/>
    <x v="2"/>
    <n v="92.285935935951997"/>
    <n v="5614.0611027704099"/>
    <n v="20210.619969973501"/>
  </r>
  <r>
    <x v="0"/>
    <x v="0"/>
    <x v="0"/>
    <x v="8"/>
    <x v="13"/>
    <s v="SE1_EL"/>
    <x v="0"/>
    <x v="0"/>
    <x v="0"/>
    <x v="3"/>
    <n v="93.4320671590541"/>
    <n v="5683.7840855091299"/>
    <n v="20461.622707832899"/>
  </r>
  <r>
    <x v="0"/>
    <x v="0"/>
    <x v="0"/>
    <x v="8"/>
    <x v="13"/>
    <s v="SE1_EL"/>
    <x v="0"/>
    <x v="0"/>
    <x v="0"/>
    <x v="4"/>
    <n v="96.981704433712096"/>
    <n v="5899.7203530508204"/>
    <n v="21238.993270982999"/>
  </r>
  <r>
    <x v="0"/>
    <x v="0"/>
    <x v="0"/>
    <x v="8"/>
    <x v="13"/>
    <s v="SE1_EL"/>
    <x v="0"/>
    <x v="0"/>
    <x v="0"/>
    <x v="5"/>
    <n v="104.586266899077"/>
    <n v="6362.3312363605301"/>
    <n v="22904.3924508979"/>
  </r>
  <r>
    <x v="0"/>
    <x v="0"/>
    <x v="0"/>
    <x v="8"/>
    <x v="13"/>
    <s v="SE1_EL"/>
    <x v="0"/>
    <x v="0"/>
    <x v="0"/>
    <x v="6"/>
    <n v="123.04578943178301"/>
    <n v="7485.28552376679"/>
    <n v="26947.027885560499"/>
  </r>
  <r>
    <x v="0"/>
    <x v="0"/>
    <x v="0"/>
    <x v="8"/>
    <x v="13"/>
    <s v="SE1_EL"/>
    <x v="0"/>
    <x v="0"/>
    <x v="0"/>
    <x v="7"/>
    <n v="131.75320936517201"/>
    <n v="8014.9869030479504"/>
    <n v="28853.952850972601"/>
  </r>
  <r>
    <x v="0"/>
    <x v="0"/>
    <x v="0"/>
    <x v="8"/>
    <x v="13"/>
    <s v="SE1_EL"/>
    <x v="0"/>
    <x v="0"/>
    <x v="0"/>
    <x v="8"/>
    <n v="131.508172264904"/>
    <n v="8000.0804794483001"/>
    <n v="28800.2897260139"/>
  </r>
  <r>
    <x v="0"/>
    <x v="0"/>
    <x v="0"/>
    <x v="8"/>
    <x v="13"/>
    <s v="SE1_EL"/>
    <x v="0"/>
    <x v="0"/>
    <x v="0"/>
    <x v="9"/>
    <n v="129.17894709723899"/>
    <n v="7858.38594841535"/>
    <n v="28290.189414295299"/>
  </r>
  <r>
    <x v="0"/>
    <x v="0"/>
    <x v="0"/>
    <x v="8"/>
    <x v="13"/>
    <s v="SE1_EL"/>
    <x v="0"/>
    <x v="0"/>
    <x v="0"/>
    <x v="10"/>
    <n v="126.737863013834"/>
    <n v="7709.88666667488"/>
    <n v="27755.592000029599"/>
  </r>
  <r>
    <x v="0"/>
    <x v="0"/>
    <x v="0"/>
    <x v="8"/>
    <x v="13"/>
    <s v="SE1_EL"/>
    <x v="0"/>
    <x v="0"/>
    <x v="0"/>
    <x v="11"/>
    <n v="125.327155822132"/>
    <n v="7624.0686458463597"/>
    <n v="27446.6471250469"/>
  </r>
  <r>
    <x v="0"/>
    <x v="0"/>
    <x v="0"/>
    <x v="8"/>
    <x v="13"/>
    <s v="SE1_EL"/>
    <x v="0"/>
    <x v="0"/>
    <x v="1"/>
    <x v="0"/>
    <n v="128.748753215638"/>
    <n v="7832.2158206179802"/>
    <n v="28195.976954224701"/>
  </r>
  <r>
    <x v="0"/>
    <x v="0"/>
    <x v="0"/>
    <x v="8"/>
    <x v="13"/>
    <s v="SE1_EL"/>
    <x v="0"/>
    <x v="0"/>
    <x v="1"/>
    <x v="1"/>
    <n v="128.569059819518"/>
    <n v="7821.2844723539802"/>
    <n v="28156.624100474299"/>
  </r>
  <r>
    <x v="0"/>
    <x v="0"/>
    <x v="0"/>
    <x v="8"/>
    <x v="13"/>
    <s v="SE1_EL"/>
    <x v="0"/>
    <x v="0"/>
    <x v="1"/>
    <x v="2"/>
    <n v="130.87611342146101"/>
    <n v="7961.6302331388997"/>
    <n v="28661.868839300001"/>
  </r>
  <r>
    <x v="0"/>
    <x v="0"/>
    <x v="0"/>
    <x v="8"/>
    <x v="13"/>
    <s v="SE1_EL"/>
    <x v="0"/>
    <x v="0"/>
    <x v="1"/>
    <x v="3"/>
    <n v="136.28209740547101"/>
    <n v="8290.4942588328195"/>
    <n v="29845.779331798101"/>
  </r>
  <r>
    <x v="0"/>
    <x v="0"/>
    <x v="0"/>
    <x v="8"/>
    <x v="13"/>
    <s v="SE1_EL"/>
    <x v="0"/>
    <x v="0"/>
    <x v="1"/>
    <x v="4"/>
    <n v="146.15025328815901"/>
    <n v="8890.8070750296793"/>
    <n v="32006.9054701069"/>
  </r>
  <r>
    <x v="0"/>
    <x v="0"/>
    <x v="0"/>
    <x v="8"/>
    <x v="13"/>
    <s v="SE1_EL"/>
    <x v="0"/>
    <x v="0"/>
    <x v="1"/>
    <x v="5"/>
    <n v="157.86007550124299"/>
    <n v="9603.1545929922795"/>
    <n v="34571.356534772203"/>
  </r>
  <r>
    <x v="0"/>
    <x v="0"/>
    <x v="0"/>
    <x v="8"/>
    <x v="13"/>
    <s v="SE1_EL"/>
    <x v="0"/>
    <x v="0"/>
    <x v="1"/>
    <x v="6"/>
    <n v="185.383015029734"/>
    <n v="11277.4667476422"/>
    <n v="40598.880291511799"/>
  </r>
  <r>
    <x v="0"/>
    <x v="0"/>
    <x v="0"/>
    <x v="8"/>
    <x v="13"/>
    <s v="SE1_EL"/>
    <x v="0"/>
    <x v="0"/>
    <x v="1"/>
    <x v="7"/>
    <n v="203.217340496444"/>
    <n v="12362.388213533701"/>
    <n v="44504.597568721299"/>
  </r>
  <r>
    <x v="0"/>
    <x v="0"/>
    <x v="0"/>
    <x v="8"/>
    <x v="13"/>
    <s v="SE1_EL"/>
    <x v="0"/>
    <x v="0"/>
    <x v="1"/>
    <x v="8"/>
    <n v="206.34738166331601"/>
    <n v="12552.799051185"/>
    <n v="45190.0765842662"/>
  </r>
  <r>
    <x v="0"/>
    <x v="0"/>
    <x v="0"/>
    <x v="8"/>
    <x v="13"/>
    <s v="SE1_EL"/>
    <x v="0"/>
    <x v="0"/>
    <x v="1"/>
    <x v="9"/>
    <n v="211.258706272854"/>
    <n v="12851.5712982653"/>
    <n v="46265.656673755097"/>
  </r>
  <r>
    <x v="0"/>
    <x v="0"/>
    <x v="0"/>
    <x v="8"/>
    <x v="13"/>
    <s v="SE1_EL"/>
    <x v="0"/>
    <x v="0"/>
    <x v="1"/>
    <x v="10"/>
    <n v="204.406587357463"/>
    <n v="12434.7340642456"/>
    <n v="44765.042631284297"/>
  </r>
  <r>
    <x v="0"/>
    <x v="0"/>
    <x v="0"/>
    <x v="8"/>
    <x v="13"/>
    <s v="SE1_EL"/>
    <x v="0"/>
    <x v="0"/>
    <x v="1"/>
    <x v="11"/>
    <n v="201.656285746858"/>
    <n v="12267.4240496005"/>
    <n v="44162.726578561902"/>
  </r>
  <r>
    <x v="0"/>
    <x v="0"/>
    <x v="0"/>
    <x v="8"/>
    <x v="13"/>
    <s v="SE1_EL"/>
    <x v="0"/>
    <x v="0"/>
    <x v="2"/>
    <x v="0"/>
    <n v="96.361875633159798"/>
    <n v="5862.0141010172201"/>
    <n v="21103.250763661999"/>
  </r>
  <r>
    <x v="0"/>
    <x v="0"/>
    <x v="0"/>
    <x v="8"/>
    <x v="13"/>
    <s v="SE1_EL"/>
    <x v="0"/>
    <x v="0"/>
    <x v="2"/>
    <x v="1"/>
    <n v="94.884062717735802"/>
    <n v="5772.1138153289303"/>
    <n v="20779.609735184102"/>
  </r>
  <r>
    <x v="0"/>
    <x v="0"/>
    <x v="0"/>
    <x v="8"/>
    <x v="13"/>
    <s v="SE1_EL"/>
    <x v="0"/>
    <x v="0"/>
    <x v="2"/>
    <x v="2"/>
    <n v="94.800582197527106"/>
    <n v="5767.03541701623"/>
    <n v="20761.327501258402"/>
  </r>
  <r>
    <x v="0"/>
    <x v="0"/>
    <x v="0"/>
    <x v="8"/>
    <x v="13"/>
    <s v="SE1_EL"/>
    <x v="0"/>
    <x v="0"/>
    <x v="2"/>
    <x v="3"/>
    <n v="95.976237464941804"/>
    <n v="5838.5544457839596"/>
    <n v="21018.796004822299"/>
  </r>
  <r>
    <x v="0"/>
    <x v="0"/>
    <x v="0"/>
    <x v="8"/>
    <x v="13"/>
    <s v="SE1_EL"/>
    <x v="0"/>
    <x v="0"/>
    <x v="2"/>
    <x v="4"/>
    <n v="99.646644097251993"/>
    <n v="6061.8375159161697"/>
    <n v="21822.615057298201"/>
  </r>
  <r>
    <x v="0"/>
    <x v="0"/>
    <x v="0"/>
    <x v="8"/>
    <x v="13"/>
    <s v="SE1_EL"/>
    <x v="0"/>
    <x v="0"/>
    <x v="2"/>
    <x v="5"/>
    <n v="108.672784727775"/>
    <n v="6610.9277376063101"/>
    <n v="23799.339855382699"/>
  </r>
  <r>
    <x v="0"/>
    <x v="0"/>
    <x v="0"/>
    <x v="8"/>
    <x v="13"/>
    <s v="SE1_EL"/>
    <x v="0"/>
    <x v="0"/>
    <x v="2"/>
    <x v="6"/>
    <n v="128.02883165466801"/>
    <n v="7788.4205923256104"/>
    <n v="28038.314132372201"/>
  </r>
  <r>
    <x v="0"/>
    <x v="0"/>
    <x v="0"/>
    <x v="8"/>
    <x v="13"/>
    <s v="SE1_EL"/>
    <x v="0"/>
    <x v="0"/>
    <x v="2"/>
    <x v="7"/>
    <n v="138.09322171474"/>
    <n v="8400.6709876466593"/>
    <n v="30242.415555528001"/>
  </r>
  <r>
    <x v="0"/>
    <x v="0"/>
    <x v="0"/>
    <x v="8"/>
    <x v="13"/>
    <s v="SE1_EL"/>
    <x v="0"/>
    <x v="0"/>
    <x v="2"/>
    <x v="8"/>
    <n v="141.04301789394401"/>
    <n v="8580.1169218816103"/>
    <n v="30888.420918773802"/>
  </r>
  <r>
    <x v="0"/>
    <x v="0"/>
    <x v="0"/>
    <x v="8"/>
    <x v="13"/>
    <s v="SE1_EL"/>
    <x v="0"/>
    <x v="0"/>
    <x v="2"/>
    <x v="9"/>
    <n v="141.987205420446"/>
    <n v="8637.5549964104594"/>
    <n v="31095.1979870777"/>
  </r>
  <r>
    <x v="0"/>
    <x v="0"/>
    <x v="0"/>
    <x v="8"/>
    <x v="13"/>
    <s v="SE1_EL"/>
    <x v="0"/>
    <x v="0"/>
    <x v="2"/>
    <x v="10"/>
    <n v="139.823899519447"/>
    <n v="8505.9538874330101"/>
    <n v="30621.433994758801"/>
  </r>
  <r>
    <x v="0"/>
    <x v="0"/>
    <x v="0"/>
    <x v="8"/>
    <x v="13"/>
    <s v="SE1_EL"/>
    <x v="0"/>
    <x v="0"/>
    <x v="2"/>
    <x v="11"/>
    <n v="140.27437678560099"/>
    <n v="8533.3579211240794"/>
    <n v="30720.088516046701"/>
  </r>
  <r>
    <x v="0"/>
    <x v="0"/>
    <x v="0"/>
    <x v="8"/>
    <x v="13"/>
    <s v="SE1_EL"/>
    <x v="0"/>
    <x v="0"/>
    <x v="3"/>
    <x v="0"/>
    <n v="124.088476021714"/>
    <n v="7548.7156246543"/>
    <n v="27175.3762487555"/>
  </r>
  <r>
    <x v="0"/>
    <x v="0"/>
    <x v="0"/>
    <x v="8"/>
    <x v="13"/>
    <s v="SE1_EL"/>
    <x v="0"/>
    <x v="0"/>
    <x v="3"/>
    <x v="1"/>
    <n v="122.55552031036601"/>
    <n v="7455.4608188805996"/>
    <n v="26839.658947970202"/>
  </r>
  <r>
    <x v="0"/>
    <x v="0"/>
    <x v="0"/>
    <x v="8"/>
    <x v="13"/>
    <s v="SE1_EL"/>
    <x v="0"/>
    <x v="0"/>
    <x v="3"/>
    <x v="2"/>
    <n v="123.525716128962"/>
    <n v="7514.4810645118796"/>
    <n v="27052.1318322427"/>
  </r>
  <r>
    <x v="0"/>
    <x v="0"/>
    <x v="0"/>
    <x v="8"/>
    <x v="13"/>
    <s v="SE1_EL"/>
    <x v="0"/>
    <x v="0"/>
    <x v="3"/>
    <x v="3"/>
    <n v="126.235495892393"/>
    <n v="7679.3260001205999"/>
    <n v="27645.5736004342"/>
  </r>
  <r>
    <x v="0"/>
    <x v="0"/>
    <x v="0"/>
    <x v="8"/>
    <x v="13"/>
    <s v="SE1_EL"/>
    <x v="0"/>
    <x v="0"/>
    <x v="3"/>
    <x v="4"/>
    <n v="131.899105521417"/>
    <n v="8023.8622525528699"/>
    <n v="28885.904109190298"/>
  </r>
  <r>
    <x v="0"/>
    <x v="0"/>
    <x v="0"/>
    <x v="8"/>
    <x v="13"/>
    <s v="SE1_EL"/>
    <x v="0"/>
    <x v="0"/>
    <x v="3"/>
    <x v="5"/>
    <n v="140.702410005921"/>
    <n v="8559.3966086935307"/>
    <n v="30813.827791296699"/>
  </r>
  <r>
    <x v="0"/>
    <x v="0"/>
    <x v="0"/>
    <x v="8"/>
    <x v="13"/>
    <s v="SE1_EL"/>
    <x v="0"/>
    <x v="0"/>
    <x v="3"/>
    <x v="6"/>
    <n v="164.50842384625699"/>
    <n v="10007.5957839807"/>
    <n v="36027.3448223304"/>
  </r>
  <r>
    <x v="0"/>
    <x v="0"/>
    <x v="0"/>
    <x v="8"/>
    <x v="13"/>
    <s v="SE1_EL"/>
    <x v="0"/>
    <x v="0"/>
    <x v="3"/>
    <x v="7"/>
    <n v="178.106134102254"/>
    <n v="10834.7898245538"/>
    <n v="39005.243368393698"/>
  </r>
  <r>
    <x v="0"/>
    <x v="0"/>
    <x v="0"/>
    <x v="8"/>
    <x v="13"/>
    <s v="SE1_EL"/>
    <x v="0"/>
    <x v="0"/>
    <x v="3"/>
    <x v="8"/>
    <n v="178.89293939990301"/>
    <n v="10882.6538134941"/>
    <n v="39177.553728578801"/>
  </r>
  <r>
    <x v="0"/>
    <x v="0"/>
    <x v="0"/>
    <x v="8"/>
    <x v="13"/>
    <s v="SE1_EL"/>
    <x v="0"/>
    <x v="0"/>
    <x v="3"/>
    <x v="9"/>
    <n v="179.22852430154001"/>
    <n v="10903.068561677001"/>
    <n v="39251.0468220373"/>
  </r>
  <r>
    <x v="0"/>
    <x v="0"/>
    <x v="0"/>
    <x v="8"/>
    <x v="13"/>
    <s v="SE1_EL"/>
    <x v="0"/>
    <x v="0"/>
    <x v="3"/>
    <x v="10"/>
    <n v="174.27622174618099"/>
    <n v="10601.803489559399"/>
    <n v="38166.492562413703"/>
  </r>
  <r>
    <x v="0"/>
    <x v="0"/>
    <x v="0"/>
    <x v="8"/>
    <x v="13"/>
    <s v="SE1_EL"/>
    <x v="0"/>
    <x v="0"/>
    <x v="3"/>
    <x v="11"/>
    <n v="174.37203594515401"/>
    <n v="10607.632186663501"/>
    <n v="38187.475871988703"/>
  </r>
  <r>
    <x v="0"/>
    <x v="0"/>
    <x v="0"/>
    <x v="8"/>
    <x v="13"/>
    <s v="SE1_EL"/>
    <x v="0"/>
    <x v="0"/>
    <x v="4"/>
    <x v="0"/>
    <n v="134.32546758925201"/>
    <n v="8171.4659450128602"/>
    <n v="29417.2774020463"/>
  </r>
  <r>
    <x v="0"/>
    <x v="0"/>
    <x v="0"/>
    <x v="8"/>
    <x v="13"/>
    <s v="SE1_EL"/>
    <x v="0"/>
    <x v="0"/>
    <x v="4"/>
    <x v="1"/>
    <n v="133.24676532092599"/>
    <n v="8105.8448903563103"/>
    <n v="29181.041605282699"/>
  </r>
  <r>
    <x v="0"/>
    <x v="0"/>
    <x v="0"/>
    <x v="8"/>
    <x v="13"/>
    <s v="SE1_EL"/>
    <x v="0"/>
    <x v="0"/>
    <x v="4"/>
    <x v="2"/>
    <n v="134.983880632889"/>
    <n v="8211.5194051674298"/>
    <n v="29561.469858602701"/>
  </r>
  <r>
    <x v="0"/>
    <x v="0"/>
    <x v="0"/>
    <x v="8"/>
    <x v="13"/>
    <s v="SE1_EL"/>
    <x v="0"/>
    <x v="0"/>
    <x v="4"/>
    <x v="3"/>
    <n v="138.91688509877"/>
    <n v="8450.7771768418697"/>
    <n v="30422.7978366307"/>
  </r>
  <r>
    <x v="0"/>
    <x v="0"/>
    <x v="0"/>
    <x v="8"/>
    <x v="13"/>
    <s v="SE1_EL"/>
    <x v="0"/>
    <x v="0"/>
    <x v="4"/>
    <x v="4"/>
    <n v="146.045996733094"/>
    <n v="8884.4648012632406"/>
    <n v="31984.0732845477"/>
  </r>
  <r>
    <x v="0"/>
    <x v="0"/>
    <x v="0"/>
    <x v="8"/>
    <x v="13"/>
    <s v="SE1_EL"/>
    <x v="0"/>
    <x v="0"/>
    <x v="4"/>
    <x v="5"/>
    <n v="154.56627725114501"/>
    <n v="9402.7818661113106"/>
    <n v="33850.014718000697"/>
  </r>
  <r>
    <x v="0"/>
    <x v="0"/>
    <x v="0"/>
    <x v="8"/>
    <x v="13"/>
    <s v="SE1_EL"/>
    <x v="0"/>
    <x v="0"/>
    <x v="4"/>
    <x v="6"/>
    <n v="180.225105423662"/>
    <n v="10963.6939132728"/>
    <n v="39469.298087782103"/>
  </r>
  <r>
    <x v="0"/>
    <x v="0"/>
    <x v="0"/>
    <x v="8"/>
    <x v="13"/>
    <s v="SE1_EL"/>
    <x v="0"/>
    <x v="0"/>
    <x v="4"/>
    <x v="7"/>
    <n v="195.260081712908"/>
    <n v="11878.3216375352"/>
    <n v="42761.957895126703"/>
  </r>
  <r>
    <x v="0"/>
    <x v="0"/>
    <x v="0"/>
    <x v="8"/>
    <x v="13"/>
    <s v="SE1_EL"/>
    <x v="0"/>
    <x v="0"/>
    <x v="4"/>
    <x v="8"/>
    <n v="195.37759488174299"/>
    <n v="11885.470355306001"/>
    <n v="42787.693279101797"/>
  </r>
  <r>
    <x v="0"/>
    <x v="0"/>
    <x v="0"/>
    <x v="8"/>
    <x v="13"/>
    <s v="SE1_EL"/>
    <x v="0"/>
    <x v="0"/>
    <x v="4"/>
    <x v="9"/>
    <n v="194.79038093694001"/>
    <n v="11849.7481736639"/>
    <n v="42659.093425190003"/>
  </r>
  <r>
    <x v="0"/>
    <x v="0"/>
    <x v="0"/>
    <x v="8"/>
    <x v="13"/>
    <s v="SE1_EL"/>
    <x v="0"/>
    <x v="0"/>
    <x v="4"/>
    <x v="10"/>
    <n v="188.10758804855499"/>
    <n v="11443.211606287099"/>
    <n v="41195.561782633398"/>
  </r>
  <r>
    <x v="0"/>
    <x v="0"/>
    <x v="0"/>
    <x v="8"/>
    <x v="13"/>
    <s v="SE1_EL"/>
    <x v="0"/>
    <x v="0"/>
    <x v="4"/>
    <x v="11"/>
    <n v="185.80825662637"/>
    <n v="11303.3356114375"/>
    <n v="40692.0082011751"/>
  </r>
  <r>
    <x v="0"/>
    <x v="0"/>
    <x v="0"/>
    <x v="8"/>
    <x v="13"/>
    <s v="SE1_EL"/>
    <x v="0"/>
    <x v="0"/>
    <x v="5"/>
    <x v="0"/>
    <n v="185.251290348319"/>
    <n v="11269.453496189401"/>
    <n v="40570.032586281799"/>
  </r>
  <r>
    <x v="0"/>
    <x v="0"/>
    <x v="0"/>
    <x v="8"/>
    <x v="13"/>
    <s v="SE1_EL"/>
    <x v="0"/>
    <x v="0"/>
    <x v="5"/>
    <x v="1"/>
    <n v="181.942534062287"/>
    <n v="11068.1708221224"/>
    <n v="39845.414959640802"/>
  </r>
  <r>
    <x v="0"/>
    <x v="0"/>
    <x v="0"/>
    <x v="8"/>
    <x v="13"/>
    <s v="SE1_EL"/>
    <x v="0"/>
    <x v="0"/>
    <x v="5"/>
    <x v="2"/>
    <n v="184.40289122234"/>
    <n v="11217.842549359"/>
    <n v="40384.233177692397"/>
  </r>
  <r>
    <x v="0"/>
    <x v="0"/>
    <x v="0"/>
    <x v="8"/>
    <x v="13"/>
    <s v="SE1_EL"/>
    <x v="0"/>
    <x v="0"/>
    <x v="5"/>
    <x v="3"/>
    <n v="187.54051155318899"/>
    <n v="11408.714452819"/>
    <n v="41071.372030148399"/>
  </r>
  <r>
    <x v="0"/>
    <x v="0"/>
    <x v="0"/>
    <x v="8"/>
    <x v="13"/>
    <s v="SE1_EL"/>
    <x v="0"/>
    <x v="0"/>
    <x v="5"/>
    <x v="4"/>
    <n v="193.64695048337899"/>
    <n v="11780.1894877389"/>
    <n v="42408.682155859897"/>
  </r>
  <r>
    <x v="0"/>
    <x v="0"/>
    <x v="0"/>
    <x v="8"/>
    <x v="13"/>
    <s v="SE1_EL"/>
    <x v="0"/>
    <x v="0"/>
    <x v="5"/>
    <x v="5"/>
    <n v="200.99196603626501"/>
    <n v="12227.0112672061"/>
    <n v="44017.240561942097"/>
  </r>
  <r>
    <x v="0"/>
    <x v="0"/>
    <x v="0"/>
    <x v="8"/>
    <x v="13"/>
    <s v="SE1_EL"/>
    <x v="0"/>
    <x v="0"/>
    <x v="5"/>
    <x v="6"/>
    <n v="232.20369848195801"/>
    <n v="14125.7249909858"/>
    <n v="50852.6099675488"/>
  </r>
  <r>
    <x v="0"/>
    <x v="0"/>
    <x v="0"/>
    <x v="8"/>
    <x v="13"/>
    <s v="SE1_EL"/>
    <x v="0"/>
    <x v="0"/>
    <x v="5"/>
    <x v="7"/>
    <n v="250.734395625639"/>
    <n v="15253.0090672264"/>
    <n v="54910.832642014997"/>
  </r>
  <r>
    <x v="0"/>
    <x v="0"/>
    <x v="0"/>
    <x v="8"/>
    <x v="13"/>
    <s v="SE1_EL"/>
    <x v="0"/>
    <x v="0"/>
    <x v="5"/>
    <x v="8"/>
    <n v="249.32466778837599"/>
    <n v="15167.250623792899"/>
    <n v="54602.102245654401"/>
  </r>
  <r>
    <x v="0"/>
    <x v="0"/>
    <x v="0"/>
    <x v="8"/>
    <x v="13"/>
    <s v="SE1_EL"/>
    <x v="0"/>
    <x v="0"/>
    <x v="5"/>
    <x v="9"/>
    <n v="249.14313821031701"/>
    <n v="15156.207574460999"/>
    <n v="54562.3472680595"/>
  </r>
  <r>
    <x v="0"/>
    <x v="0"/>
    <x v="0"/>
    <x v="8"/>
    <x v="13"/>
    <s v="SE1_EL"/>
    <x v="0"/>
    <x v="0"/>
    <x v="5"/>
    <x v="10"/>
    <n v="239.20878045344199"/>
    <n v="14551.867477584399"/>
    <n v="52386.7229193038"/>
  </r>
  <r>
    <x v="0"/>
    <x v="0"/>
    <x v="0"/>
    <x v="8"/>
    <x v="13"/>
    <s v="SE1_EL"/>
    <x v="0"/>
    <x v="0"/>
    <x v="5"/>
    <x v="11"/>
    <n v="235.29348153747401"/>
    <n v="14313.6867935296"/>
    <n v="51529.272456706698"/>
  </r>
  <r>
    <x v="0"/>
    <x v="0"/>
    <x v="0"/>
    <x v="8"/>
    <x v="13"/>
    <s v="SE1_EL"/>
    <x v="0"/>
    <x v="0"/>
    <x v="6"/>
    <x v="0"/>
    <n v="140.12732884049399"/>
    <n v="8524.4125044634093"/>
    <n v="30687.8850160683"/>
  </r>
  <r>
    <x v="0"/>
    <x v="0"/>
    <x v="0"/>
    <x v="8"/>
    <x v="13"/>
    <s v="SE1_EL"/>
    <x v="0"/>
    <x v="0"/>
    <x v="6"/>
    <x v="1"/>
    <n v="140.38850264902999"/>
    <n v="8540.3005778159804"/>
    <n v="30745.082080137501"/>
  </r>
  <r>
    <x v="0"/>
    <x v="0"/>
    <x v="0"/>
    <x v="8"/>
    <x v="13"/>
    <s v="SE1_EL"/>
    <x v="0"/>
    <x v="0"/>
    <x v="6"/>
    <x v="2"/>
    <n v="142.833799738175"/>
    <n v="8689.0561507389903"/>
    <n v="31280.602142660398"/>
  </r>
  <r>
    <x v="0"/>
    <x v="0"/>
    <x v="0"/>
    <x v="8"/>
    <x v="13"/>
    <s v="SE1_EL"/>
    <x v="0"/>
    <x v="0"/>
    <x v="6"/>
    <x v="3"/>
    <n v="148.82125618490801"/>
    <n v="9053.2930845818792"/>
    <n v="32591.8551044948"/>
  </r>
  <r>
    <x v="0"/>
    <x v="0"/>
    <x v="0"/>
    <x v="8"/>
    <x v="13"/>
    <s v="SE1_EL"/>
    <x v="0"/>
    <x v="0"/>
    <x v="6"/>
    <x v="4"/>
    <n v="155.38033499381399"/>
    <n v="9452.3037121236903"/>
    <n v="34028.293363645302"/>
  </r>
  <r>
    <x v="0"/>
    <x v="0"/>
    <x v="0"/>
    <x v="8"/>
    <x v="13"/>
    <s v="SE1_EL"/>
    <x v="0"/>
    <x v="0"/>
    <x v="6"/>
    <x v="5"/>
    <n v="161.45590251319899"/>
    <n v="9821.9007362196098"/>
    <n v="35358.842650390601"/>
  </r>
  <r>
    <x v="0"/>
    <x v="0"/>
    <x v="0"/>
    <x v="8"/>
    <x v="13"/>
    <s v="SE1_EL"/>
    <x v="0"/>
    <x v="0"/>
    <x v="6"/>
    <x v="6"/>
    <n v="186.39545692601899"/>
    <n v="11339.056962999501"/>
    <n v="40820.605066798104"/>
  </r>
  <r>
    <x v="0"/>
    <x v="0"/>
    <x v="0"/>
    <x v="8"/>
    <x v="13"/>
    <s v="SE1_EL"/>
    <x v="0"/>
    <x v="0"/>
    <x v="6"/>
    <x v="7"/>
    <n v="200.09228113109799"/>
    <n v="12172.280435475201"/>
    <n v="43820.209567710597"/>
  </r>
  <r>
    <x v="0"/>
    <x v="0"/>
    <x v="0"/>
    <x v="8"/>
    <x v="13"/>
    <s v="SE1_EL"/>
    <x v="0"/>
    <x v="0"/>
    <x v="6"/>
    <x v="8"/>
    <n v="198.10416126637199"/>
    <n v="12051.336477037599"/>
    <n v="43384.811317335501"/>
  </r>
  <r>
    <x v="0"/>
    <x v="0"/>
    <x v="0"/>
    <x v="8"/>
    <x v="13"/>
    <s v="SE1_EL"/>
    <x v="0"/>
    <x v="0"/>
    <x v="6"/>
    <x v="9"/>
    <n v="193.021907055611"/>
    <n v="11742.1660125497"/>
    <n v="42271.7976451789"/>
  </r>
  <r>
    <x v="0"/>
    <x v="0"/>
    <x v="0"/>
    <x v="8"/>
    <x v="13"/>
    <s v="SE1_EL"/>
    <x v="0"/>
    <x v="0"/>
    <x v="6"/>
    <x v="10"/>
    <n v="183.69346549256301"/>
    <n v="11174.6858174642"/>
    <n v="40228.868942871297"/>
  </r>
  <r>
    <x v="0"/>
    <x v="0"/>
    <x v="0"/>
    <x v="8"/>
    <x v="13"/>
    <s v="SE1_EL"/>
    <x v="0"/>
    <x v="0"/>
    <x v="6"/>
    <x v="11"/>
    <n v="178.21817586498"/>
    <n v="10841.6056984529"/>
    <n v="39029.780514430502"/>
  </r>
  <r>
    <x v="0"/>
    <x v="0"/>
    <x v="0"/>
    <x v="8"/>
    <x v="13"/>
    <s v="SE1_EL"/>
    <x v="0"/>
    <x v="0"/>
    <x v="7"/>
    <x v="0"/>
    <n v="87.914582803620306"/>
    <n v="5348.1371205535697"/>
    <n v="19253.293633992798"/>
  </r>
  <r>
    <x v="0"/>
    <x v="0"/>
    <x v="0"/>
    <x v="8"/>
    <x v="13"/>
    <s v="SE1_EL"/>
    <x v="0"/>
    <x v="0"/>
    <x v="7"/>
    <x v="1"/>
    <n v="87.534078072099902"/>
    <n v="5324.9897493860699"/>
    <n v="19169.9630977899"/>
  </r>
  <r>
    <x v="0"/>
    <x v="0"/>
    <x v="0"/>
    <x v="8"/>
    <x v="13"/>
    <s v="SE1_EL"/>
    <x v="0"/>
    <x v="0"/>
    <x v="7"/>
    <x v="2"/>
    <n v="87.866741890578993"/>
    <n v="5345.2267983435604"/>
    <n v="19242.816474036801"/>
  </r>
  <r>
    <x v="0"/>
    <x v="0"/>
    <x v="0"/>
    <x v="8"/>
    <x v="13"/>
    <s v="SE1_EL"/>
    <x v="0"/>
    <x v="0"/>
    <x v="7"/>
    <x v="3"/>
    <n v="91.8403430375688"/>
    <n v="5586.9542014521003"/>
    <n v="20113.035125227601"/>
  </r>
  <r>
    <x v="0"/>
    <x v="0"/>
    <x v="0"/>
    <x v="8"/>
    <x v="13"/>
    <s v="SE1_EL"/>
    <x v="0"/>
    <x v="0"/>
    <x v="7"/>
    <x v="4"/>
    <n v="98.576682925140702"/>
    <n v="5996.7482112793896"/>
    <n v="21588.293560605802"/>
  </r>
  <r>
    <x v="0"/>
    <x v="0"/>
    <x v="0"/>
    <x v="8"/>
    <x v="13"/>
    <s v="SE1_EL"/>
    <x v="0"/>
    <x v="0"/>
    <x v="7"/>
    <x v="5"/>
    <n v="108.665157775843"/>
    <n v="6610.4637646970896"/>
    <n v="23797.669552909501"/>
  </r>
  <r>
    <x v="0"/>
    <x v="0"/>
    <x v="0"/>
    <x v="8"/>
    <x v="13"/>
    <s v="SE1_EL"/>
    <x v="0"/>
    <x v="0"/>
    <x v="7"/>
    <x v="6"/>
    <n v="128.701137589474"/>
    <n v="7829.3192033596497"/>
    <n v="28185.5491320947"/>
  </r>
  <r>
    <x v="0"/>
    <x v="0"/>
    <x v="0"/>
    <x v="8"/>
    <x v="13"/>
    <s v="SE1_EL"/>
    <x v="0"/>
    <x v="0"/>
    <x v="7"/>
    <x v="7"/>
    <n v="139.79533131843601"/>
    <n v="8504.2159885382007"/>
    <n v="30615.177558737501"/>
  </r>
  <r>
    <x v="0"/>
    <x v="0"/>
    <x v="0"/>
    <x v="8"/>
    <x v="13"/>
    <s v="SE1_EL"/>
    <x v="0"/>
    <x v="0"/>
    <x v="7"/>
    <x v="8"/>
    <n v="140.97241615968201"/>
    <n v="8575.8219830472899"/>
    <n v="30872.959138970298"/>
  </r>
  <r>
    <x v="0"/>
    <x v="0"/>
    <x v="0"/>
    <x v="8"/>
    <x v="13"/>
    <s v="SE1_EL"/>
    <x v="0"/>
    <x v="0"/>
    <x v="7"/>
    <x v="9"/>
    <n v="142.03650905804901"/>
    <n v="8640.5543010313304"/>
    <n v="31105.995483712799"/>
  </r>
  <r>
    <x v="0"/>
    <x v="0"/>
    <x v="0"/>
    <x v="8"/>
    <x v="13"/>
    <s v="SE1_EL"/>
    <x v="0"/>
    <x v="0"/>
    <x v="7"/>
    <x v="10"/>
    <n v="139.82862920045599"/>
    <n v="8506.2416096944307"/>
    <n v="30622.4697949"/>
  </r>
  <r>
    <x v="0"/>
    <x v="0"/>
    <x v="0"/>
    <x v="8"/>
    <x v="13"/>
    <s v="SE1_EL"/>
    <x v="0"/>
    <x v="0"/>
    <x v="7"/>
    <x v="11"/>
    <n v="138.907767268935"/>
    <n v="8450.2225088602299"/>
    <n v="30420.801031896801"/>
  </r>
  <r>
    <x v="0"/>
    <x v="0"/>
    <x v="0"/>
    <x v="8"/>
    <x v="13"/>
    <s v="SE1_EL"/>
    <x v="0"/>
    <x v="0"/>
    <x v="8"/>
    <x v="0"/>
    <n v="123.67468856637601"/>
    <n v="7523.5435544545098"/>
    <n v="27084.756796036199"/>
  </r>
  <r>
    <x v="0"/>
    <x v="0"/>
    <x v="0"/>
    <x v="8"/>
    <x v="13"/>
    <s v="SE1_EL"/>
    <x v="0"/>
    <x v="0"/>
    <x v="8"/>
    <x v="1"/>
    <n v="123.488694533082"/>
    <n v="7512.22891742913"/>
    <n v="27044.024102744901"/>
  </r>
  <r>
    <x v="0"/>
    <x v="0"/>
    <x v="0"/>
    <x v="8"/>
    <x v="13"/>
    <s v="SE1_EL"/>
    <x v="0"/>
    <x v="0"/>
    <x v="8"/>
    <x v="2"/>
    <n v="126.408916183287"/>
    <n v="7689.8757344833102"/>
    <n v="27683.552644139902"/>
  </r>
  <r>
    <x v="0"/>
    <x v="0"/>
    <x v="0"/>
    <x v="8"/>
    <x v="13"/>
    <s v="SE1_EL"/>
    <x v="0"/>
    <x v="0"/>
    <x v="8"/>
    <x v="3"/>
    <n v="128.913556727307"/>
    <n v="7842.2413675778198"/>
    <n v="28232.0689232802"/>
  </r>
  <r>
    <x v="0"/>
    <x v="0"/>
    <x v="0"/>
    <x v="8"/>
    <x v="13"/>
    <s v="SE1_EL"/>
    <x v="0"/>
    <x v="0"/>
    <x v="8"/>
    <x v="4"/>
    <n v="135.54689970248299"/>
    <n v="8245.7697319010204"/>
    <n v="29684.771034843699"/>
  </r>
  <r>
    <x v="0"/>
    <x v="0"/>
    <x v="0"/>
    <x v="8"/>
    <x v="13"/>
    <s v="SE1_EL"/>
    <x v="0"/>
    <x v="0"/>
    <x v="8"/>
    <x v="5"/>
    <n v="143.012102582132"/>
    <n v="8699.9029070797296"/>
    <n v="31319.650465487"/>
  </r>
  <r>
    <x v="0"/>
    <x v="0"/>
    <x v="0"/>
    <x v="8"/>
    <x v="13"/>
    <s v="SE1_EL"/>
    <x v="0"/>
    <x v="0"/>
    <x v="8"/>
    <x v="6"/>
    <n v="168.18911680247101"/>
    <n v="10231.5046054837"/>
    <n v="36833.416579741199"/>
  </r>
  <r>
    <x v="0"/>
    <x v="0"/>
    <x v="0"/>
    <x v="8"/>
    <x v="13"/>
    <s v="SE1_EL"/>
    <x v="0"/>
    <x v="0"/>
    <x v="8"/>
    <x v="7"/>
    <n v="182.16001372207299"/>
    <n v="11081.400834759401"/>
    <n v="39893.043005133899"/>
  </r>
  <r>
    <x v="0"/>
    <x v="0"/>
    <x v="0"/>
    <x v="8"/>
    <x v="13"/>
    <s v="SE1_EL"/>
    <x v="0"/>
    <x v="0"/>
    <x v="8"/>
    <x v="8"/>
    <n v="186.802005387251"/>
    <n v="11363.788661057801"/>
    <n v="40909.639179808"/>
  </r>
  <r>
    <x v="0"/>
    <x v="0"/>
    <x v="0"/>
    <x v="8"/>
    <x v="13"/>
    <s v="SE1_EL"/>
    <x v="0"/>
    <x v="0"/>
    <x v="8"/>
    <x v="9"/>
    <n v="182.009506777594"/>
    <n v="11072.244995637"/>
    <n v="39860.081984293"/>
  </r>
  <r>
    <x v="0"/>
    <x v="0"/>
    <x v="0"/>
    <x v="8"/>
    <x v="13"/>
    <s v="SE1_EL"/>
    <x v="0"/>
    <x v="0"/>
    <x v="8"/>
    <x v="10"/>
    <n v="176.99733765325601"/>
    <n v="10767.3380405731"/>
    <n v="38762.416946063"/>
  </r>
  <r>
    <x v="0"/>
    <x v="0"/>
    <x v="0"/>
    <x v="8"/>
    <x v="13"/>
    <s v="SE1_EL"/>
    <x v="0"/>
    <x v="0"/>
    <x v="8"/>
    <x v="11"/>
    <n v="175.01698906746901"/>
    <n v="10646.8668349377"/>
    <n v="38328.720605775598"/>
  </r>
  <r>
    <x v="0"/>
    <x v="0"/>
    <x v="0"/>
    <x v="8"/>
    <x v="13"/>
    <s v="SE1_EL"/>
    <x v="0"/>
    <x v="0"/>
    <x v="9"/>
    <x v="0"/>
    <n v="110.590646450582"/>
    <n v="6727.5976590770797"/>
    <n v="24219.3515726775"/>
  </r>
  <r>
    <x v="0"/>
    <x v="0"/>
    <x v="0"/>
    <x v="8"/>
    <x v="13"/>
    <s v="SE1_EL"/>
    <x v="0"/>
    <x v="0"/>
    <x v="9"/>
    <x v="1"/>
    <n v="111.130813917366"/>
    <n v="6760.4578466397697"/>
    <n v="24337.648247903198"/>
  </r>
  <r>
    <x v="0"/>
    <x v="0"/>
    <x v="0"/>
    <x v="8"/>
    <x v="13"/>
    <s v="SE1_EL"/>
    <x v="0"/>
    <x v="0"/>
    <x v="9"/>
    <x v="2"/>
    <n v="114.658732797162"/>
    <n v="6975.0729118273703"/>
    <n v="25110.262482578499"/>
  </r>
  <r>
    <x v="0"/>
    <x v="0"/>
    <x v="0"/>
    <x v="8"/>
    <x v="13"/>
    <s v="SE1_EL"/>
    <x v="0"/>
    <x v="0"/>
    <x v="9"/>
    <x v="3"/>
    <n v="119.040886013796"/>
    <n v="7241.6538991726002"/>
    <n v="26069.954037021402"/>
  </r>
  <r>
    <x v="0"/>
    <x v="0"/>
    <x v="0"/>
    <x v="8"/>
    <x v="13"/>
    <s v="SE1_EL"/>
    <x v="0"/>
    <x v="0"/>
    <x v="9"/>
    <x v="4"/>
    <n v="127.235711089801"/>
    <n v="7740.1724246295798"/>
    <n v="27864.620728666501"/>
  </r>
  <r>
    <x v="0"/>
    <x v="0"/>
    <x v="0"/>
    <x v="8"/>
    <x v="13"/>
    <s v="SE1_EL"/>
    <x v="0"/>
    <x v="0"/>
    <x v="9"/>
    <x v="5"/>
    <n v="134.97547126296101"/>
    <n v="8211.0078351634893"/>
    <n v="29559.628206588499"/>
  </r>
  <r>
    <x v="0"/>
    <x v="0"/>
    <x v="0"/>
    <x v="8"/>
    <x v="13"/>
    <s v="SE1_EL"/>
    <x v="0"/>
    <x v="0"/>
    <x v="9"/>
    <x v="6"/>
    <n v="159.15035320546599"/>
    <n v="9681.6464866658607"/>
    <n v="34853.927351997103"/>
  </r>
  <r>
    <x v="0"/>
    <x v="0"/>
    <x v="0"/>
    <x v="8"/>
    <x v="13"/>
    <s v="SE1_EL"/>
    <x v="0"/>
    <x v="0"/>
    <x v="9"/>
    <x v="7"/>
    <n v="172.714712445571"/>
    <n v="10506.811673772199"/>
    <n v="37824.522025580103"/>
  </r>
  <r>
    <x v="0"/>
    <x v="0"/>
    <x v="0"/>
    <x v="8"/>
    <x v="13"/>
    <s v="SE1_EL"/>
    <x v="0"/>
    <x v="0"/>
    <x v="9"/>
    <x v="8"/>
    <n v="174.07197387059099"/>
    <n v="10589.3784104609"/>
    <n v="38121.7622776594"/>
  </r>
  <r>
    <x v="0"/>
    <x v="0"/>
    <x v="0"/>
    <x v="8"/>
    <x v="13"/>
    <s v="SE1_EL"/>
    <x v="0"/>
    <x v="0"/>
    <x v="9"/>
    <x v="9"/>
    <n v="168.90914158685499"/>
    <n v="10275.3061132003"/>
    <n v="36991.1020075212"/>
  </r>
  <r>
    <x v="0"/>
    <x v="0"/>
    <x v="0"/>
    <x v="8"/>
    <x v="13"/>
    <s v="SE1_EL"/>
    <x v="0"/>
    <x v="0"/>
    <x v="9"/>
    <x v="10"/>
    <n v="161.04018714330499"/>
    <n v="9796.6113845510699"/>
    <n v="35267.800984383903"/>
  </r>
  <r>
    <x v="0"/>
    <x v="0"/>
    <x v="0"/>
    <x v="8"/>
    <x v="13"/>
    <s v="SE1_EL"/>
    <x v="0"/>
    <x v="0"/>
    <x v="9"/>
    <x v="11"/>
    <n v="153.76747748571799"/>
    <n v="9354.1882137145203"/>
    <n v="33675.077569372297"/>
  </r>
  <r>
    <x v="0"/>
    <x v="0"/>
    <x v="0"/>
    <x v="8"/>
    <x v="13"/>
    <s v="SE1_EL"/>
    <x v="0"/>
    <x v="0"/>
    <x v="10"/>
    <x v="0"/>
    <n v="64.171788805391003"/>
    <n v="3903.7838189946201"/>
    <n v="14053.621748380599"/>
  </r>
  <r>
    <x v="0"/>
    <x v="0"/>
    <x v="0"/>
    <x v="8"/>
    <x v="13"/>
    <s v="SE1_EL"/>
    <x v="0"/>
    <x v="0"/>
    <x v="10"/>
    <x v="1"/>
    <n v="65.006911379968699"/>
    <n v="3954.5871089481002"/>
    <n v="14236.513592213199"/>
  </r>
  <r>
    <x v="0"/>
    <x v="0"/>
    <x v="0"/>
    <x v="8"/>
    <x v="13"/>
    <s v="SE1_EL"/>
    <x v="0"/>
    <x v="0"/>
    <x v="10"/>
    <x v="2"/>
    <n v="65.287122654636306"/>
    <n v="3971.63329482371"/>
    <n v="14297.8798613654"/>
  </r>
  <r>
    <x v="0"/>
    <x v="0"/>
    <x v="0"/>
    <x v="8"/>
    <x v="13"/>
    <s v="SE1_EL"/>
    <x v="0"/>
    <x v="0"/>
    <x v="10"/>
    <x v="3"/>
    <n v="67.567412958670801"/>
    <n v="4110.3509549857999"/>
    <n v="14797.263437948901"/>
  </r>
  <r>
    <x v="0"/>
    <x v="0"/>
    <x v="0"/>
    <x v="8"/>
    <x v="13"/>
    <s v="SE1_EL"/>
    <x v="0"/>
    <x v="0"/>
    <x v="10"/>
    <x v="4"/>
    <n v="70.736357223555899"/>
    <n v="4303.1283977663197"/>
    <n v="15491.262231958701"/>
  </r>
  <r>
    <x v="0"/>
    <x v="0"/>
    <x v="0"/>
    <x v="8"/>
    <x v="13"/>
    <s v="SE1_EL"/>
    <x v="0"/>
    <x v="0"/>
    <x v="10"/>
    <x v="5"/>
    <n v="78.347342095696703"/>
    <n v="4766.12997748822"/>
    <n v="17158.0679189576"/>
  </r>
  <r>
    <x v="0"/>
    <x v="0"/>
    <x v="0"/>
    <x v="8"/>
    <x v="13"/>
    <s v="SE1_EL"/>
    <x v="0"/>
    <x v="0"/>
    <x v="10"/>
    <x v="6"/>
    <n v="93.940485686589895"/>
    <n v="5714.7128792675503"/>
    <n v="20572.966365363201"/>
  </r>
  <r>
    <x v="0"/>
    <x v="0"/>
    <x v="0"/>
    <x v="8"/>
    <x v="13"/>
    <s v="SE1_EL"/>
    <x v="0"/>
    <x v="0"/>
    <x v="10"/>
    <x v="7"/>
    <n v="98.706618629139996"/>
    <n v="6004.6526332726799"/>
    <n v="21616.749479781702"/>
  </r>
  <r>
    <x v="0"/>
    <x v="0"/>
    <x v="0"/>
    <x v="8"/>
    <x v="13"/>
    <s v="SE1_EL"/>
    <x v="0"/>
    <x v="0"/>
    <x v="10"/>
    <x v="8"/>
    <n v="94.174765440193099"/>
    <n v="5728.9648976117496"/>
    <n v="20624.273631402299"/>
  </r>
  <r>
    <x v="0"/>
    <x v="0"/>
    <x v="0"/>
    <x v="8"/>
    <x v="13"/>
    <s v="SE1_EL"/>
    <x v="0"/>
    <x v="0"/>
    <x v="10"/>
    <x v="9"/>
    <n v="88.727337290173907"/>
    <n v="5397.57968515225"/>
    <n v="19431.2868665481"/>
  </r>
  <r>
    <x v="0"/>
    <x v="0"/>
    <x v="0"/>
    <x v="8"/>
    <x v="13"/>
    <s v="SE1_EL"/>
    <x v="0"/>
    <x v="0"/>
    <x v="10"/>
    <x v="10"/>
    <n v="83.769169864917998"/>
    <n v="5095.9578334491798"/>
    <n v="18345.448200416999"/>
  </r>
  <r>
    <x v="0"/>
    <x v="0"/>
    <x v="0"/>
    <x v="8"/>
    <x v="13"/>
    <s v="SE1_EL"/>
    <x v="0"/>
    <x v="0"/>
    <x v="10"/>
    <x v="11"/>
    <n v="80.490854036498305"/>
    <n v="4896.5269538869798"/>
    <n v="17627.497033993099"/>
  </r>
  <r>
    <x v="0"/>
    <x v="0"/>
    <x v="0"/>
    <x v="8"/>
    <x v="13"/>
    <s v="SE1_EL"/>
    <x v="0"/>
    <x v="0"/>
    <x v="11"/>
    <x v="0"/>
    <n v="83.480617141646306"/>
    <n v="5078.4042094501501"/>
    <n v="18282.255154020499"/>
  </r>
  <r>
    <x v="0"/>
    <x v="0"/>
    <x v="0"/>
    <x v="8"/>
    <x v="13"/>
    <s v="SE1_EL"/>
    <x v="0"/>
    <x v="0"/>
    <x v="11"/>
    <x v="1"/>
    <n v="84.373179051960804"/>
    <n v="5132.7017256609497"/>
    <n v="18477.726212379399"/>
  </r>
  <r>
    <x v="0"/>
    <x v="0"/>
    <x v="0"/>
    <x v="8"/>
    <x v="13"/>
    <s v="SE1_EL"/>
    <x v="0"/>
    <x v="0"/>
    <x v="11"/>
    <x v="2"/>
    <n v="87.0764872367847"/>
    <n v="5297.1529735710701"/>
    <n v="19069.750704855898"/>
  </r>
  <r>
    <x v="0"/>
    <x v="0"/>
    <x v="0"/>
    <x v="8"/>
    <x v="13"/>
    <s v="SE1_EL"/>
    <x v="0"/>
    <x v="0"/>
    <x v="11"/>
    <x v="3"/>
    <n v="90.839167442474405"/>
    <n v="5526.0493527505296"/>
    <n v="19893.777669901901"/>
  </r>
  <r>
    <x v="0"/>
    <x v="0"/>
    <x v="0"/>
    <x v="8"/>
    <x v="13"/>
    <s v="SE1_EL"/>
    <x v="0"/>
    <x v="0"/>
    <x v="11"/>
    <x v="4"/>
    <n v="96.252131534762597"/>
    <n v="5855.33800169806"/>
    <n v="21079.216806113"/>
  </r>
  <r>
    <x v="0"/>
    <x v="0"/>
    <x v="0"/>
    <x v="8"/>
    <x v="13"/>
    <s v="SE1_EL"/>
    <x v="0"/>
    <x v="0"/>
    <x v="11"/>
    <x v="5"/>
    <n v="103.400744262195"/>
    <n v="6290.2119426168701"/>
    <n v="22644.7629934207"/>
  </r>
  <r>
    <x v="0"/>
    <x v="0"/>
    <x v="0"/>
    <x v="8"/>
    <x v="13"/>
    <s v="SE1_EL"/>
    <x v="0"/>
    <x v="0"/>
    <x v="11"/>
    <x v="6"/>
    <n v="121.404037597586"/>
    <n v="7385.4122871865102"/>
    <n v="26587.484233871401"/>
  </r>
  <r>
    <x v="0"/>
    <x v="0"/>
    <x v="0"/>
    <x v="8"/>
    <x v="13"/>
    <s v="SE1_EL"/>
    <x v="0"/>
    <x v="0"/>
    <x v="11"/>
    <x v="7"/>
    <n v="126.53417326467201"/>
    <n v="7697.4955402675396"/>
    <n v="27710.9839449631"/>
  </r>
  <r>
    <x v="0"/>
    <x v="0"/>
    <x v="0"/>
    <x v="8"/>
    <x v="13"/>
    <s v="SE1_EL"/>
    <x v="0"/>
    <x v="0"/>
    <x v="11"/>
    <x v="8"/>
    <n v="121.703780665473"/>
    <n v="7403.6466571496203"/>
    <n v="26653.1279657386"/>
  </r>
  <r>
    <x v="0"/>
    <x v="0"/>
    <x v="0"/>
    <x v="8"/>
    <x v="13"/>
    <s v="SE1_EL"/>
    <x v="0"/>
    <x v="0"/>
    <x v="11"/>
    <x v="9"/>
    <n v="116.430719063583"/>
    <n v="7082.8687430346199"/>
    <n v="25498.327474924601"/>
  </r>
  <r>
    <x v="0"/>
    <x v="0"/>
    <x v="0"/>
    <x v="8"/>
    <x v="13"/>
    <s v="SE1_EL"/>
    <x v="0"/>
    <x v="0"/>
    <x v="11"/>
    <x v="10"/>
    <n v="113.451131510153"/>
    <n v="6901.6105002009699"/>
    <n v="24845.7978007235"/>
  </r>
  <r>
    <x v="0"/>
    <x v="0"/>
    <x v="0"/>
    <x v="8"/>
    <x v="13"/>
    <s v="SE1_EL"/>
    <x v="0"/>
    <x v="0"/>
    <x v="11"/>
    <x v="11"/>
    <n v="112.512526404477"/>
    <n v="6844.5120229389904"/>
    <n v="24640.243282580399"/>
  </r>
  <r>
    <x v="0"/>
    <x v="0"/>
    <x v="0"/>
    <x v="8"/>
    <x v="13"/>
    <s v="SE1_OTHER"/>
    <x v="0"/>
    <x v="0"/>
    <x v="0"/>
    <x v="0"/>
    <n v="98.643183110544001"/>
    <n v="6000.7936392247602"/>
    <n v="21602.857101209102"/>
  </r>
  <r>
    <x v="0"/>
    <x v="0"/>
    <x v="0"/>
    <x v="8"/>
    <x v="13"/>
    <s v="SE1_OTHER"/>
    <x v="0"/>
    <x v="0"/>
    <x v="0"/>
    <x v="1"/>
    <n v="97.4411178368604"/>
    <n v="5927.6680017423396"/>
    <n v="21339.6048062724"/>
  </r>
  <r>
    <x v="0"/>
    <x v="0"/>
    <x v="0"/>
    <x v="8"/>
    <x v="13"/>
    <s v="SE1_OTHER"/>
    <x v="0"/>
    <x v="0"/>
    <x v="0"/>
    <x v="2"/>
    <n v="97.247231703263907"/>
    <n v="5915.87326194856"/>
    <n v="21297.1437430148"/>
  </r>
  <r>
    <x v="0"/>
    <x v="0"/>
    <x v="0"/>
    <x v="8"/>
    <x v="13"/>
    <s v="SE1_OTHER"/>
    <x v="0"/>
    <x v="0"/>
    <x v="0"/>
    <x v="3"/>
    <n v="98.448054561380005"/>
    <n v="5988.92331915061"/>
    <n v="21560.123948942201"/>
  </r>
  <r>
    <x v="0"/>
    <x v="0"/>
    <x v="0"/>
    <x v="8"/>
    <x v="13"/>
    <s v="SE1_OTHER"/>
    <x v="0"/>
    <x v="0"/>
    <x v="0"/>
    <x v="4"/>
    <n v="101.41407851753701"/>
    <n v="6169.35644315019"/>
    <n v="22209.683195340702"/>
  </r>
  <r>
    <x v="0"/>
    <x v="0"/>
    <x v="0"/>
    <x v="8"/>
    <x v="13"/>
    <s v="SE1_OTHER"/>
    <x v="0"/>
    <x v="0"/>
    <x v="0"/>
    <x v="5"/>
    <n v="110.193420889725"/>
    <n v="6703.4331041249598"/>
    <n v="24132.3591748498"/>
  </r>
  <r>
    <x v="0"/>
    <x v="0"/>
    <x v="0"/>
    <x v="8"/>
    <x v="13"/>
    <s v="SE1_OTHER"/>
    <x v="0"/>
    <x v="0"/>
    <x v="0"/>
    <x v="6"/>
    <n v="129.52271561123499"/>
    <n v="7879.2985330167703"/>
    <n v="28365.474718860401"/>
  </r>
  <r>
    <x v="0"/>
    <x v="0"/>
    <x v="0"/>
    <x v="8"/>
    <x v="13"/>
    <s v="SE1_OTHER"/>
    <x v="0"/>
    <x v="0"/>
    <x v="0"/>
    <x v="7"/>
    <n v="139.909481084829"/>
    <n v="8511.1600993270895"/>
    <n v="30640.1763575775"/>
  </r>
  <r>
    <x v="0"/>
    <x v="0"/>
    <x v="0"/>
    <x v="8"/>
    <x v="13"/>
    <s v="SE1_OTHER"/>
    <x v="0"/>
    <x v="0"/>
    <x v="0"/>
    <x v="8"/>
    <n v="140.00552950118799"/>
    <n v="8517.0030446556102"/>
    <n v="30661.2109607602"/>
  </r>
  <r>
    <x v="0"/>
    <x v="0"/>
    <x v="0"/>
    <x v="8"/>
    <x v="13"/>
    <s v="SE1_OTHER"/>
    <x v="0"/>
    <x v="0"/>
    <x v="0"/>
    <x v="9"/>
    <n v="136.50801495560199"/>
    <n v="8304.23757646581"/>
    <n v="29895.255275276901"/>
  </r>
  <r>
    <x v="0"/>
    <x v="0"/>
    <x v="0"/>
    <x v="8"/>
    <x v="13"/>
    <s v="SE1_OTHER"/>
    <x v="0"/>
    <x v="0"/>
    <x v="0"/>
    <x v="10"/>
    <n v="132.92221029106699"/>
    <n v="8086.1011260399"/>
    <n v="29109.964053743599"/>
  </r>
  <r>
    <x v="0"/>
    <x v="0"/>
    <x v="0"/>
    <x v="8"/>
    <x v="13"/>
    <s v="SE1_OTHER"/>
    <x v="0"/>
    <x v="0"/>
    <x v="0"/>
    <x v="11"/>
    <n v="130.513912275683"/>
    <n v="7939.5963301040201"/>
    <n v="28582.5467883745"/>
  </r>
  <r>
    <x v="0"/>
    <x v="0"/>
    <x v="0"/>
    <x v="8"/>
    <x v="13"/>
    <s v="SE1_OTHER"/>
    <x v="0"/>
    <x v="0"/>
    <x v="1"/>
    <x v="0"/>
    <n v="117.25695091306"/>
    <n v="7133.1311805444602"/>
    <n v="25679.272249959999"/>
  </r>
  <r>
    <x v="0"/>
    <x v="0"/>
    <x v="0"/>
    <x v="8"/>
    <x v="13"/>
    <s v="SE1_OTHER"/>
    <x v="0"/>
    <x v="0"/>
    <x v="1"/>
    <x v="1"/>
    <n v="114.894871780481"/>
    <n v="6989.4380333126001"/>
    <n v="25161.976919925401"/>
  </r>
  <r>
    <x v="0"/>
    <x v="0"/>
    <x v="0"/>
    <x v="8"/>
    <x v="13"/>
    <s v="SE1_OTHER"/>
    <x v="0"/>
    <x v="0"/>
    <x v="1"/>
    <x v="2"/>
    <n v="115.187491162565"/>
    <n v="7007.2390457227302"/>
    <n v="25226.060564601801"/>
  </r>
  <r>
    <x v="0"/>
    <x v="0"/>
    <x v="0"/>
    <x v="8"/>
    <x v="13"/>
    <s v="SE1_OTHER"/>
    <x v="0"/>
    <x v="0"/>
    <x v="1"/>
    <x v="3"/>
    <n v="116.80485732917499"/>
    <n v="7105.62882085812"/>
    <n v="25580.2637550892"/>
  </r>
  <r>
    <x v="0"/>
    <x v="0"/>
    <x v="0"/>
    <x v="8"/>
    <x v="13"/>
    <s v="SE1_OTHER"/>
    <x v="0"/>
    <x v="0"/>
    <x v="1"/>
    <x v="4"/>
    <n v="120.694866479472"/>
    <n v="7342.2710441678601"/>
    <n v="26432.175759004302"/>
  </r>
  <r>
    <x v="0"/>
    <x v="0"/>
    <x v="0"/>
    <x v="8"/>
    <x v="13"/>
    <s v="SE1_OTHER"/>
    <x v="0"/>
    <x v="0"/>
    <x v="1"/>
    <x v="5"/>
    <n v="129.77150046699001"/>
    <n v="7894.4329450752202"/>
    <n v="28419.958602270799"/>
  </r>
  <r>
    <x v="0"/>
    <x v="0"/>
    <x v="0"/>
    <x v="8"/>
    <x v="13"/>
    <s v="SE1_OTHER"/>
    <x v="0"/>
    <x v="0"/>
    <x v="1"/>
    <x v="6"/>
    <n v="152.752920008812"/>
    <n v="9292.4693005360896"/>
    <n v="33452.889481929902"/>
  </r>
  <r>
    <x v="0"/>
    <x v="0"/>
    <x v="0"/>
    <x v="8"/>
    <x v="13"/>
    <s v="SE1_OTHER"/>
    <x v="0"/>
    <x v="0"/>
    <x v="1"/>
    <x v="7"/>
    <n v="166.53471015258"/>
    <n v="10130.861534281999"/>
    <n v="36471.101523415098"/>
  </r>
  <r>
    <x v="0"/>
    <x v="0"/>
    <x v="0"/>
    <x v="8"/>
    <x v="13"/>
    <s v="SE1_OTHER"/>
    <x v="0"/>
    <x v="0"/>
    <x v="1"/>
    <x v="8"/>
    <n v="167.42764133232799"/>
    <n v="10185.181514383299"/>
    <n v="36666.653451779901"/>
  </r>
  <r>
    <x v="0"/>
    <x v="0"/>
    <x v="0"/>
    <x v="8"/>
    <x v="13"/>
    <s v="SE1_OTHER"/>
    <x v="0"/>
    <x v="0"/>
    <x v="1"/>
    <x v="9"/>
    <n v="163.268116927439"/>
    <n v="9932.1437797525505"/>
    <n v="35755.717607109204"/>
  </r>
  <r>
    <x v="0"/>
    <x v="0"/>
    <x v="0"/>
    <x v="8"/>
    <x v="13"/>
    <s v="SE1_OTHER"/>
    <x v="0"/>
    <x v="0"/>
    <x v="1"/>
    <x v="10"/>
    <n v="157.526092391867"/>
    <n v="9582.8372871719403"/>
    <n v="34498.214233819002"/>
  </r>
  <r>
    <x v="0"/>
    <x v="0"/>
    <x v="0"/>
    <x v="8"/>
    <x v="13"/>
    <s v="SE1_OTHER"/>
    <x v="0"/>
    <x v="0"/>
    <x v="1"/>
    <x v="11"/>
    <n v="154.04104478841799"/>
    <n v="9370.8302246287494"/>
    <n v="33734.988808663496"/>
  </r>
  <r>
    <x v="0"/>
    <x v="0"/>
    <x v="0"/>
    <x v="8"/>
    <x v="13"/>
    <s v="SE1_OTHER"/>
    <x v="0"/>
    <x v="0"/>
    <x v="2"/>
    <x v="0"/>
    <n v="93.821391472819002"/>
    <n v="5707.4679812631603"/>
    <n v="20546.884732547402"/>
  </r>
  <r>
    <x v="0"/>
    <x v="0"/>
    <x v="0"/>
    <x v="8"/>
    <x v="13"/>
    <s v="SE1_OTHER"/>
    <x v="0"/>
    <x v="0"/>
    <x v="2"/>
    <x v="1"/>
    <n v="92.2271897203007"/>
    <n v="5610.4873746516296"/>
    <n v="20197.754548745899"/>
  </r>
  <r>
    <x v="0"/>
    <x v="0"/>
    <x v="0"/>
    <x v="8"/>
    <x v="13"/>
    <s v="SE1_OTHER"/>
    <x v="0"/>
    <x v="0"/>
    <x v="2"/>
    <x v="2"/>
    <n v="91.739674273749799"/>
    <n v="5580.8301849864501"/>
    <n v="20090.988665951201"/>
  </r>
  <r>
    <x v="0"/>
    <x v="0"/>
    <x v="0"/>
    <x v="8"/>
    <x v="13"/>
    <s v="SE1_OTHER"/>
    <x v="0"/>
    <x v="0"/>
    <x v="2"/>
    <x v="3"/>
    <n v="92.646917627953599"/>
    <n v="5636.0208223671798"/>
    <n v="20289.674960521799"/>
  </r>
  <r>
    <x v="0"/>
    <x v="0"/>
    <x v="0"/>
    <x v="8"/>
    <x v="13"/>
    <s v="SE1_OTHER"/>
    <x v="0"/>
    <x v="0"/>
    <x v="2"/>
    <x v="4"/>
    <n v="95.170579805007804"/>
    <n v="5789.5436048046404"/>
    <n v="20842.356977296698"/>
  </r>
  <r>
    <x v="0"/>
    <x v="0"/>
    <x v="0"/>
    <x v="8"/>
    <x v="13"/>
    <s v="SE1_OTHER"/>
    <x v="0"/>
    <x v="0"/>
    <x v="2"/>
    <x v="5"/>
    <n v="103.07191938276701"/>
    <n v="6270.2084291183"/>
    <n v="22572.750344825901"/>
  </r>
  <r>
    <x v="0"/>
    <x v="0"/>
    <x v="0"/>
    <x v="8"/>
    <x v="13"/>
    <s v="SE1_OTHER"/>
    <x v="0"/>
    <x v="0"/>
    <x v="2"/>
    <x v="6"/>
    <n v="121.295162460014"/>
    <n v="7378.7890496508699"/>
    <n v="26563.640578743099"/>
  </r>
  <r>
    <x v="0"/>
    <x v="0"/>
    <x v="0"/>
    <x v="8"/>
    <x v="13"/>
    <s v="SE1_OTHER"/>
    <x v="0"/>
    <x v="0"/>
    <x v="2"/>
    <x v="7"/>
    <n v="130.79395191244001"/>
    <n v="7956.63207467343"/>
    <n v="28643.875468824299"/>
  </r>
  <r>
    <x v="0"/>
    <x v="0"/>
    <x v="0"/>
    <x v="8"/>
    <x v="13"/>
    <s v="SE1_OTHER"/>
    <x v="0"/>
    <x v="0"/>
    <x v="2"/>
    <x v="8"/>
    <n v="130.71594475048801"/>
    <n v="7951.8866389880204"/>
    <n v="28626.7919003569"/>
  </r>
  <r>
    <x v="0"/>
    <x v="0"/>
    <x v="0"/>
    <x v="8"/>
    <x v="13"/>
    <s v="SE1_OTHER"/>
    <x v="0"/>
    <x v="0"/>
    <x v="2"/>
    <x v="9"/>
    <n v="127.002087718856"/>
    <n v="7725.9603362303997"/>
    <n v="27813.4572104295"/>
  </r>
  <r>
    <x v="0"/>
    <x v="0"/>
    <x v="0"/>
    <x v="8"/>
    <x v="13"/>
    <s v="SE1_OTHER"/>
    <x v="0"/>
    <x v="0"/>
    <x v="2"/>
    <x v="10"/>
    <n v="124.187121735603"/>
    <n v="7554.71657224921"/>
    <n v="27196.9796600972"/>
  </r>
  <r>
    <x v="0"/>
    <x v="0"/>
    <x v="0"/>
    <x v="8"/>
    <x v="13"/>
    <s v="SE1_OTHER"/>
    <x v="0"/>
    <x v="0"/>
    <x v="2"/>
    <x v="11"/>
    <n v="122.13221254402301"/>
    <n v="7429.7095964280697"/>
    <n v="26746.9545471411"/>
  </r>
  <r>
    <x v="0"/>
    <x v="0"/>
    <x v="0"/>
    <x v="8"/>
    <x v="13"/>
    <s v="SE1_OTHER"/>
    <x v="0"/>
    <x v="0"/>
    <x v="3"/>
    <x v="0"/>
    <n v="112.21600130429999"/>
    <n v="6826.4734126782196"/>
    <n v="24575.3042856416"/>
  </r>
  <r>
    <x v="0"/>
    <x v="0"/>
    <x v="0"/>
    <x v="8"/>
    <x v="13"/>
    <s v="SE1_OTHER"/>
    <x v="0"/>
    <x v="0"/>
    <x v="3"/>
    <x v="1"/>
    <n v="111.341974076106"/>
    <n v="6773.3034229631203"/>
    <n v="24383.892322667201"/>
  </r>
  <r>
    <x v="0"/>
    <x v="0"/>
    <x v="0"/>
    <x v="8"/>
    <x v="13"/>
    <s v="SE1_OTHER"/>
    <x v="0"/>
    <x v="0"/>
    <x v="3"/>
    <x v="2"/>
    <n v="112.11135982374201"/>
    <n v="6820.1077226109801"/>
    <n v="24552.387801399502"/>
  </r>
  <r>
    <x v="0"/>
    <x v="0"/>
    <x v="0"/>
    <x v="8"/>
    <x v="13"/>
    <s v="SE1_OTHER"/>
    <x v="0"/>
    <x v="0"/>
    <x v="3"/>
    <x v="3"/>
    <n v="115.000885589226"/>
    <n v="6995.8872066779304"/>
    <n v="25185.193944040599"/>
  </r>
  <r>
    <x v="0"/>
    <x v="0"/>
    <x v="0"/>
    <x v="8"/>
    <x v="13"/>
    <s v="SE1_OTHER"/>
    <x v="0"/>
    <x v="0"/>
    <x v="3"/>
    <x v="4"/>
    <n v="120.674564829038"/>
    <n v="7341.0360270997899"/>
    <n v="26427.7296975592"/>
  </r>
  <r>
    <x v="0"/>
    <x v="0"/>
    <x v="0"/>
    <x v="8"/>
    <x v="13"/>
    <s v="SE1_OTHER"/>
    <x v="0"/>
    <x v="0"/>
    <x v="3"/>
    <x v="5"/>
    <n v="130.002266270256"/>
    <n v="7908.4711981072096"/>
    <n v="28470.496313185999"/>
  </r>
  <r>
    <x v="0"/>
    <x v="0"/>
    <x v="0"/>
    <x v="8"/>
    <x v="13"/>
    <s v="SE1_OTHER"/>
    <x v="0"/>
    <x v="0"/>
    <x v="3"/>
    <x v="6"/>
    <n v="152.22143283362001"/>
    <n v="9260.1371640452307"/>
    <n v="33336.493790562803"/>
  </r>
  <r>
    <x v="0"/>
    <x v="0"/>
    <x v="0"/>
    <x v="8"/>
    <x v="13"/>
    <s v="SE1_OTHER"/>
    <x v="0"/>
    <x v="0"/>
    <x v="3"/>
    <x v="7"/>
    <n v="164.71989927381401"/>
    <n v="10020.460539157"/>
    <n v="36073.657940965197"/>
  </r>
  <r>
    <x v="0"/>
    <x v="0"/>
    <x v="0"/>
    <x v="8"/>
    <x v="13"/>
    <s v="SE1_OTHER"/>
    <x v="0"/>
    <x v="0"/>
    <x v="3"/>
    <x v="8"/>
    <n v="164.88292884871601"/>
    <n v="10030.3781716302"/>
    <n v="36109.361417868698"/>
  </r>
  <r>
    <x v="0"/>
    <x v="0"/>
    <x v="0"/>
    <x v="8"/>
    <x v="13"/>
    <s v="SE1_OTHER"/>
    <x v="0"/>
    <x v="0"/>
    <x v="3"/>
    <x v="9"/>
    <n v="161.97572338534999"/>
    <n v="9853.5231726087895"/>
    <n v="35472.683421391703"/>
  </r>
  <r>
    <x v="0"/>
    <x v="0"/>
    <x v="0"/>
    <x v="8"/>
    <x v="13"/>
    <s v="SE1_OTHER"/>
    <x v="0"/>
    <x v="0"/>
    <x v="3"/>
    <x v="10"/>
    <n v="155.83651761100799"/>
    <n v="9480.0548213362999"/>
    <n v="34128.197356810699"/>
  </r>
  <r>
    <x v="0"/>
    <x v="0"/>
    <x v="0"/>
    <x v="8"/>
    <x v="13"/>
    <s v="SE1_OTHER"/>
    <x v="0"/>
    <x v="0"/>
    <x v="3"/>
    <x v="11"/>
    <n v="151.695159415879"/>
    <n v="9228.12219779931"/>
    <n v="33221.239912077501"/>
  </r>
  <r>
    <x v="0"/>
    <x v="0"/>
    <x v="0"/>
    <x v="8"/>
    <x v="13"/>
    <s v="SE1_OTHER"/>
    <x v="0"/>
    <x v="0"/>
    <x v="4"/>
    <x v="0"/>
    <n v="117.86457012198299"/>
    <n v="7170.0946824206203"/>
    <n v="25812.3408567142"/>
  </r>
  <r>
    <x v="0"/>
    <x v="0"/>
    <x v="0"/>
    <x v="8"/>
    <x v="13"/>
    <s v="SE1_OTHER"/>
    <x v="0"/>
    <x v="0"/>
    <x v="4"/>
    <x v="1"/>
    <n v="116.254992492068"/>
    <n v="7072.17870993414"/>
    <n v="25459.8433557629"/>
  </r>
  <r>
    <x v="0"/>
    <x v="0"/>
    <x v="0"/>
    <x v="8"/>
    <x v="13"/>
    <s v="SE1_OTHER"/>
    <x v="0"/>
    <x v="0"/>
    <x v="4"/>
    <x v="2"/>
    <n v="117.032077709928"/>
    <n v="7119.4513940206098"/>
    <n v="25630.0250184742"/>
  </r>
  <r>
    <x v="0"/>
    <x v="0"/>
    <x v="0"/>
    <x v="8"/>
    <x v="13"/>
    <s v="SE1_OTHER"/>
    <x v="0"/>
    <x v="0"/>
    <x v="4"/>
    <x v="3"/>
    <n v="119.77717521501199"/>
    <n v="7286.4448255798698"/>
    <n v="26231.2013720875"/>
  </r>
  <r>
    <x v="0"/>
    <x v="0"/>
    <x v="0"/>
    <x v="8"/>
    <x v="13"/>
    <s v="SE1_OTHER"/>
    <x v="0"/>
    <x v="0"/>
    <x v="4"/>
    <x v="4"/>
    <n v="125.083231075033"/>
    <n v="7609.2298903978299"/>
    <n v="27393.227605432199"/>
  </r>
  <r>
    <x v="0"/>
    <x v="0"/>
    <x v="0"/>
    <x v="8"/>
    <x v="13"/>
    <s v="SE1_OTHER"/>
    <x v="0"/>
    <x v="0"/>
    <x v="4"/>
    <x v="5"/>
    <n v="133.77791497992001"/>
    <n v="8138.1564946118197"/>
    <n v="29297.363380602601"/>
  </r>
  <r>
    <x v="0"/>
    <x v="0"/>
    <x v="0"/>
    <x v="8"/>
    <x v="13"/>
    <s v="SE1_OTHER"/>
    <x v="0"/>
    <x v="0"/>
    <x v="4"/>
    <x v="6"/>
    <n v="157.98263007229599"/>
    <n v="9610.6099960647007"/>
    <n v="34598.195985832899"/>
  </r>
  <r>
    <x v="0"/>
    <x v="0"/>
    <x v="0"/>
    <x v="8"/>
    <x v="13"/>
    <s v="SE1_OTHER"/>
    <x v="0"/>
    <x v="0"/>
    <x v="4"/>
    <x v="7"/>
    <n v="175.09731664945099"/>
    <n v="10651.7534295082"/>
    <n v="38346.312346229701"/>
  </r>
  <r>
    <x v="0"/>
    <x v="0"/>
    <x v="0"/>
    <x v="8"/>
    <x v="13"/>
    <s v="SE1_OTHER"/>
    <x v="0"/>
    <x v="0"/>
    <x v="4"/>
    <x v="8"/>
    <n v="178.90856376782901"/>
    <n v="10883.604295876299"/>
    <n v="39180.975465154501"/>
  </r>
  <r>
    <x v="0"/>
    <x v="0"/>
    <x v="0"/>
    <x v="8"/>
    <x v="13"/>
    <s v="SE1_OTHER"/>
    <x v="0"/>
    <x v="0"/>
    <x v="4"/>
    <x v="9"/>
    <n v="179.14854694699201"/>
    <n v="10898.2032726087"/>
    <n v="39233.531781391197"/>
  </r>
  <r>
    <x v="0"/>
    <x v="0"/>
    <x v="0"/>
    <x v="8"/>
    <x v="13"/>
    <s v="SE1_OTHER"/>
    <x v="0"/>
    <x v="0"/>
    <x v="4"/>
    <x v="10"/>
    <n v="173.873441291326"/>
    <n v="10577.301011889"/>
    <n v="38078.283642800401"/>
  </r>
  <r>
    <x v="0"/>
    <x v="0"/>
    <x v="0"/>
    <x v="8"/>
    <x v="13"/>
    <s v="SE1_OTHER"/>
    <x v="0"/>
    <x v="0"/>
    <x v="4"/>
    <x v="11"/>
    <n v="172.295605364056"/>
    <n v="10481.3159929801"/>
    <n v="37732.7375747283"/>
  </r>
  <r>
    <x v="0"/>
    <x v="0"/>
    <x v="0"/>
    <x v="8"/>
    <x v="13"/>
    <s v="SE1_OTHER"/>
    <x v="0"/>
    <x v="0"/>
    <x v="5"/>
    <x v="0"/>
    <n v="162.670858899557"/>
    <n v="9895.8105830564"/>
    <n v="35624.918099003102"/>
  </r>
  <r>
    <x v="0"/>
    <x v="0"/>
    <x v="0"/>
    <x v="8"/>
    <x v="13"/>
    <s v="SE1_OTHER"/>
    <x v="0"/>
    <x v="0"/>
    <x v="5"/>
    <x v="1"/>
    <n v="159.20832406937001"/>
    <n v="9685.1730475533604"/>
    <n v="34866.622971192097"/>
  </r>
  <r>
    <x v="0"/>
    <x v="0"/>
    <x v="0"/>
    <x v="8"/>
    <x v="13"/>
    <s v="SE1_OTHER"/>
    <x v="0"/>
    <x v="0"/>
    <x v="5"/>
    <x v="2"/>
    <n v="160.11739989337201"/>
    <n v="9740.4751601801399"/>
    <n v="35065.710576648496"/>
  </r>
  <r>
    <x v="0"/>
    <x v="0"/>
    <x v="0"/>
    <x v="8"/>
    <x v="13"/>
    <s v="SE1_OTHER"/>
    <x v="0"/>
    <x v="0"/>
    <x v="5"/>
    <x v="3"/>
    <n v="162.311373876749"/>
    <n v="9873.9419108355596"/>
    <n v="35546.190879007998"/>
  </r>
  <r>
    <x v="0"/>
    <x v="0"/>
    <x v="0"/>
    <x v="8"/>
    <x v="13"/>
    <s v="SE1_OTHER"/>
    <x v="0"/>
    <x v="0"/>
    <x v="5"/>
    <x v="4"/>
    <n v="167.01975892816699"/>
    <n v="10160.368668130101"/>
    <n v="36577.327205268499"/>
  </r>
  <r>
    <x v="0"/>
    <x v="0"/>
    <x v="0"/>
    <x v="8"/>
    <x v="13"/>
    <s v="SE1_OTHER"/>
    <x v="0"/>
    <x v="0"/>
    <x v="5"/>
    <x v="5"/>
    <n v="174.068376784436"/>
    <n v="10589.1595877199"/>
    <n v="38120.974515791597"/>
  </r>
  <r>
    <x v="0"/>
    <x v="0"/>
    <x v="0"/>
    <x v="8"/>
    <x v="13"/>
    <s v="SE1_OTHER"/>
    <x v="0"/>
    <x v="0"/>
    <x v="5"/>
    <x v="6"/>
    <n v="199.73618321646899"/>
    <n v="12150.6178123352"/>
    <n v="43742.224124406603"/>
  </r>
  <r>
    <x v="0"/>
    <x v="0"/>
    <x v="0"/>
    <x v="8"/>
    <x v="13"/>
    <s v="SE1_OTHER"/>
    <x v="0"/>
    <x v="0"/>
    <x v="5"/>
    <x v="7"/>
    <n v="207.303907718543"/>
    <n v="12610.987719544701"/>
    <n v="45399.555790360901"/>
  </r>
  <r>
    <x v="0"/>
    <x v="0"/>
    <x v="0"/>
    <x v="8"/>
    <x v="13"/>
    <s v="SE1_OTHER"/>
    <x v="0"/>
    <x v="0"/>
    <x v="5"/>
    <x v="8"/>
    <n v="193.40674606350001"/>
    <n v="11765.5770521962"/>
    <n v="42356.0773879064"/>
  </r>
  <r>
    <x v="0"/>
    <x v="0"/>
    <x v="0"/>
    <x v="8"/>
    <x v="13"/>
    <s v="SE1_OTHER"/>
    <x v="0"/>
    <x v="0"/>
    <x v="5"/>
    <x v="9"/>
    <n v="177.62041581830499"/>
    <n v="10805.241962280301"/>
    <n v="38898.871064208899"/>
  </r>
  <r>
    <x v="0"/>
    <x v="0"/>
    <x v="0"/>
    <x v="8"/>
    <x v="13"/>
    <s v="SE1_OTHER"/>
    <x v="0"/>
    <x v="0"/>
    <x v="5"/>
    <x v="10"/>
    <n v="166.113502591638"/>
    <n v="10105.238074324699"/>
    <n v="36378.857067568802"/>
  </r>
  <r>
    <x v="0"/>
    <x v="0"/>
    <x v="0"/>
    <x v="8"/>
    <x v="13"/>
    <s v="SE1_OTHER"/>
    <x v="0"/>
    <x v="0"/>
    <x v="5"/>
    <x v="11"/>
    <n v="156.58391991950299"/>
    <n v="9525.5217951031209"/>
    <n v="34291.878462371198"/>
  </r>
  <r>
    <x v="0"/>
    <x v="0"/>
    <x v="0"/>
    <x v="8"/>
    <x v="13"/>
    <s v="SE1_OTHER"/>
    <x v="0"/>
    <x v="0"/>
    <x v="6"/>
    <x v="0"/>
    <n v="119.97832096988699"/>
    <n v="7298.6811923347796"/>
    <n v="26275.252292405199"/>
  </r>
  <r>
    <x v="0"/>
    <x v="0"/>
    <x v="0"/>
    <x v="8"/>
    <x v="13"/>
    <s v="SE1_OTHER"/>
    <x v="0"/>
    <x v="0"/>
    <x v="6"/>
    <x v="1"/>
    <n v="119.693514329199"/>
    <n v="7281.3554550262897"/>
    <n v="26212.879638094601"/>
  </r>
  <r>
    <x v="0"/>
    <x v="0"/>
    <x v="0"/>
    <x v="8"/>
    <x v="13"/>
    <s v="SE1_OTHER"/>
    <x v="0"/>
    <x v="0"/>
    <x v="6"/>
    <x v="2"/>
    <n v="121.506588703771"/>
    <n v="7391.6508128127198"/>
    <n v="26609.942926125801"/>
  </r>
  <r>
    <x v="0"/>
    <x v="0"/>
    <x v="0"/>
    <x v="8"/>
    <x v="13"/>
    <s v="SE1_OTHER"/>
    <x v="0"/>
    <x v="0"/>
    <x v="6"/>
    <x v="3"/>
    <n v="127.521537704712"/>
    <n v="7757.5602103699703"/>
    <n v="27927.216757331898"/>
  </r>
  <r>
    <x v="0"/>
    <x v="0"/>
    <x v="0"/>
    <x v="8"/>
    <x v="13"/>
    <s v="SE1_OTHER"/>
    <x v="0"/>
    <x v="0"/>
    <x v="6"/>
    <x v="4"/>
    <n v="136.65165032180701"/>
    <n v="8312.9753945766006"/>
    <n v="29926.711420475702"/>
  </r>
  <r>
    <x v="0"/>
    <x v="0"/>
    <x v="0"/>
    <x v="8"/>
    <x v="13"/>
    <s v="SE1_OTHER"/>
    <x v="0"/>
    <x v="0"/>
    <x v="6"/>
    <x v="5"/>
    <n v="146.87442086161201"/>
    <n v="8934.8606024147502"/>
    <n v="32165.498168693099"/>
  </r>
  <r>
    <x v="0"/>
    <x v="0"/>
    <x v="0"/>
    <x v="8"/>
    <x v="13"/>
    <s v="SE1_OTHER"/>
    <x v="0"/>
    <x v="0"/>
    <x v="6"/>
    <x v="6"/>
    <n v="170.608442500997"/>
    <n v="10378.680252144"/>
    <n v="37363.2489077184"/>
  </r>
  <r>
    <x v="0"/>
    <x v="0"/>
    <x v="0"/>
    <x v="8"/>
    <x v="13"/>
    <s v="SE1_OTHER"/>
    <x v="0"/>
    <x v="0"/>
    <x v="6"/>
    <x v="7"/>
    <n v="183.92691092501701"/>
    <n v="11188.8870812719"/>
    <n v="40279.993492578797"/>
  </r>
  <r>
    <x v="0"/>
    <x v="0"/>
    <x v="0"/>
    <x v="8"/>
    <x v="13"/>
    <s v="SE1_OTHER"/>
    <x v="0"/>
    <x v="0"/>
    <x v="6"/>
    <x v="8"/>
    <n v="181.608744741896"/>
    <n v="11047.865305132"/>
    <n v="39772.315098475301"/>
  </r>
  <r>
    <x v="0"/>
    <x v="0"/>
    <x v="0"/>
    <x v="8"/>
    <x v="13"/>
    <s v="SE1_OTHER"/>
    <x v="0"/>
    <x v="0"/>
    <x v="6"/>
    <x v="9"/>
    <n v="176.75811050831899"/>
    <n v="10752.785055922701"/>
    <n v="38710.026201321802"/>
  </r>
  <r>
    <x v="0"/>
    <x v="0"/>
    <x v="0"/>
    <x v="8"/>
    <x v="13"/>
    <s v="SE1_OTHER"/>
    <x v="0"/>
    <x v="0"/>
    <x v="6"/>
    <x v="10"/>
    <n v="169.88937048781901"/>
    <n v="10334.9367046756"/>
    <n v="37205.772136832296"/>
  </r>
  <r>
    <x v="0"/>
    <x v="0"/>
    <x v="0"/>
    <x v="8"/>
    <x v="13"/>
    <s v="SE1_OTHER"/>
    <x v="0"/>
    <x v="0"/>
    <x v="6"/>
    <x v="11"/>
    <n v="165.38529152735401"/>
    <n v="10060.938567914"/>
    <n v="36219.378844490602"/>
  </r>
  <r>
    <x v="0"/>
    <x v="0"/>
    <x v="0"/>
    <x v="8"/>
    <x v="13"/>
    <s v="SE1_OTHER"/>
    <x v="0"/>
    <x v="0"/>
    <x v="7"/>
    <x v="0"/>
    <n v="93.424547304986604"/>
    <n v="5683.32662772002"/>
    <n v="20459.975859792099"/>
  </r>
  <r>
    <x v="0"/>
    <x v="0"/>
    <x v="0"/>
    <x v="8"/>
    <x v="13"/>
    <s v="SE1_OTHER"/>
    <x v="0"/>
    <x v="0"/>
    <x v="7"/>
    <x v="1"/>
    <n v="93.567537227511593"/>
    <n v="5692.0251813402901"/>
    <n v="20491.290652824999"/>
  </r>
  <r>
    <x v="0"/>
    <x v="0"/>
    <x v="0"/>
    <x v="8"/>
    <x v="13"/>
    <s v="SE1_OTHER"/>
    <x v="0"/>
    <x v="0"/>
    <x v="7"/>
    <x v="2"/>
    <n v="94.492299810303905"/>
    <n v="5748.28157179349"/>
    <n v="20693.813658456598"/>
  </r>
  <r>
    <x v="0"/>
    <x v="0"/>
    <x v="0"/>
    <x v="8"/>
    <x v="13"/>
    <s v="SE1_OTHER"/>
    <x v="0"/>
    <x v="0"/>
    <x v="7"/>
    <x v="3"/>
    <n v="99.605705731657096"/>
    <n v="6059.3470986758102"/>
    <n v="21813.6495552329"/>
  </r>
  <r>
    <x v="0"/>
    <x v="0"/>
    <x v="0"/>
    <x v="8"/>
    <x v="13"/>
    <s v="SE1_OTHER"/>
    <x v="0"/>
    <x v="0"/>
    <x v="7"/>
    <x v="4"/>
    <n v="108.974400455694"/>
    <n v="6629.2760277213802"/>
    <n v="23865.393699797001"/>
  </r>
  <r>
    <x v="0"/>
    <x v="0"/>
    <x v="0"/>
    <x v="8"/>
    <x v="13"/>
    <s v="SE1_OTHER"/>
    <x v="0"/>
    <x v="0"/>
    <x v="7"/>
    <x v="5"/>
    <n v="121.666467911463"/>
    <n v="7401.3767979473196"/>
    <n v="26644.956472610302"/>
  </r>
  <r>
    <x v="0"/>
    <x v="0"/>
    <x v="0"/>
    <x v="8"/>
    <x v="13"/>
    <s v="SE1_OTHER"/>
    <x v="0"/>
    <x v="0"/>
    <x v="7"/>
    <x v="6"/>
    <n v="144.98577345194201"/>
    <n v="8819.9678849931406"/>
    <n v="31751.8843859753"/>
  </r>
  <r>
    <x v="0"/>
    <x v="0"/>
    <x v="0"/>
    <x v="8"/>
    <x v="13"/>
    <s v="SE1_OTHER"/>
    <x v="0"/>
    <x v="0"/>
    <x v="7"/>
    <x v="7"/>
    <n v="159.998263619521"/>
    <n v="9733.2277035208808"/>
    <n v="35039.619732675201"/>
  </r>
  <r>
    <x v="0"/>
    <x v="0"/>
    <x v="0"/>
    <x v="8"/>
    <x v="13"/>
    <s v="SE1_OTHER"/>
    <x v="0"/>
    <x v="0"/>
    <x v="7"/>
    <x v="8"/>
    <n v="164.09266686685399"/>
    <n v="9982.3039010669709"/>
    <n v="35936.294043841102"/>
  </r>
  <r>
    <x v="0"/>
    <x v="0"/>
    <x v="0"/>
    <x v="8"/>
    <x v="13"/>
    <s v="SE1_OTHER"/>
    <x v="0"/>
    <x v="0"/>
    <x v="7"/>
    <x v="9"/>
    <n v="164.216614360823"/>
    <n v="9989.8440402833694"/>
    <n v="35963.438545020101"/>
  </r>
  <r>
    <x v="0"/>
    <x v="0"/>
    <x v="0"/>
    <x v="8"/>
    <x v="13"/>
    <s v="SE1_OTHER"/>
    <x v="0"/>
    <x v="0"/>
    <x v="7"/>
    <x v="10"/>
    <n v="159.82207109786"/>
    <n v="9722.5093251197995"/>
    <n v="35001.033570431297"/>
  </r>
  <r>
    <x v="0"/>
    <x v="0"/>
    <x v="0"/>
    <x v="8"/>
    <x v="13"/>
    <s v="SE1_OTHER"/>
    <x v="0"/>
    <x v="0"/>
    <x v="7"/>
    <x v="11"/>
    <n v="156.03271039888801"/>
    <n v="9491.9898825990203"/>
    <n v="34171.163577356499"/>
  </r>
  <r>
    <x v="0"/>
    <x v="0"/>
    <x v="0"/>
    <x v="8"/>
    <x v="13"/>
    <s v="SE1_OTHER"/>
    <x v="0"/>
    <x v="0"/>
    <x v="8"/>
    <x v="0"/>
    <n v="116.677960915757"/>
    <n v="7097.9092890418997"/>
    <n v="25552.473440550799"/>
  </r>
  <r>
    <x v="0"/>
    <x v="0"/>
    <x v="0"/>
    <x v="8"/>
    <x v="13"/>
    <s v="SE1_OTHER"/>
    <x v="0"/>
    <x v="0"/>
    <x v="8"/>
    <x v="1"/>
    <n v="116.824941150678"/>
    <n v="7106.8505866662499"/>
    <n v="25584.662111998499"/>
  </r>
  <r>
    <x v="0"/>
    <x v="0"/>
    <x v="0"/>
    <x v="8"/>
    <x v="13"/>
    <s v="SE1_OTHER"/>
    <x v="0"/>
    <x v="0"/>
    <x v="8"/>
    <x v="2"/>
    <n v="119.245667553392"/>
    <n v="7254.1114428313203"/>
    <n v="26114.8011941927"/>
  </r>
  <r>
    <x v="0"/>
    <x v="0"/>
    <x v="0"/>
    <x v="8"/>
    <x v="13"/>
    <s v="SE1_OTHER"/>
    <x v="0"/>
    <x v="0"/>
    <x v="8"/>
    <x v="3"/>
    <n v="121.710840406361"/>
    <n v="7404.0761247203"/>
    <n v="26654.6740489931"/>
  </r>
  <r>
    <x v="0"/>
    <x v="0"/>
    <x v="0"/>
    <x v="8"/>
    <x v="13"/>
    <s v="SE1_OTHER"/>
    <x v="0"/>
    <x v="0"/>
    <x v="8"/>
    <x v="4"/>
    <n v="127.784660983416"/>
    <n v="7773.5668764911497"/>
    <n v="27984.840755368099"/>
  </r>
  <r>
    <x v="0"/>
    <x v="0"/>
    <x v="0"/>
    <x v="8"/>
    <x v="13"/>
    <s v="SE1_OTHER"/>
    <x v="0"/>
    <x v="0"/>
    <x v="8"/>
    <x v="5"/>
    <n v="136.07615725493801"/>
    <n v="8277.9662330087194"/>
    <n v="29800.678438831401"/>
  </r>
  <r>
    <x v="0"/>
    <x v="0"/>
    <x v="0"/>
    <x v="8"/>
    <x v="13"/>
    <s v="SE1_OTHER"/>
    <x v="0"/>
    <x v="0"/>
    <x v="8"/>
    <x v="6"/>
    <n v="159.24617709901199"/>
    <n v="9687.4757735232397"/>
    <n v="34874.9127846837"/>
  </r>
  <r>
    <x v="0"/>
    <x v="0"/>
    <x v="0"/>
    <x v="8"/>
    <x v="13"/>
    <s v="SE1_OTHER"/>
    <x v="0"/>
    <x v="0"/>
    <x v="8"/>
    <x v="7"/>
    <n v="170.484440216667"/>
    <n v="10371.1367798472"/>
    <n v="37336.09240745"/>
  </r>
  <r>
    <x v="0"/>
    <x v="0"/>
    <x v="0"/>
    <x v="8"/>
    <x v="13"/>
    <s v="SE1_OTHER"/>
    <x v="0"/>
    <x v="0"/>
    <x v="8"/>
    <x v="8"/>
    <n v="170.566559723794"/>
    <n v="10376.1323831974"/>
    <n v="37354.076579510802"/>
  </r>
  <r>
    <x v="0"/>
    <x v="0"/>
    <x v="0"/>
    <x v="8"/>
    <x v="13"/>
    <s v="SE1_OTHER"/>
    <x v="0"/>
    <x v="0"/>
    <x v="8"/>
    <x v="9"/>
    <n v="164.56614886403699"/>
    <n v="10011.107389228901"/>
    <n v="36039.986601224002"/>
  </r>
  <r>
    <x v="0"/>
    <x v="0"/>
    <x v="0"/>
    <x v="8"/>
    <x v="13"/>
    <s v="SE1_OTHER"/>
    <x v="0"/>
    <x v="0"/>
    <x v="8"/>
    <x v="10"/>
    <n v="156.09153666554101"/>
    <n v="9495.5684804870998"/>
    <n v="34184.046529753599"/>
  </r>
  <r>
    <x v="0"/>
    <x v="0"/>
    <x v="0"/>
    <x v="8"/>
    <x v="13"/>
    <s v="SE1_OTHER"/>
    <x v="0"/>
    <x v="0"/>
    <x v="8"/>
    <x v="11"/>
    <n v="147.798599804144"/>
    <n v="8991.0814880853995"/>
    <n v="32367.893357107499"/>
  </r>
  <r>
    <x v="0"/>
    <x v="0"/>
    <x v="0"/>
    <x v="8"/>
    <x v="13"/>
    <s v="SE1_OTHER"/>
    <x v="0"/>
    <x v="0"/>
    <x v="9"/>
    <x v="0"/>
    <n v="102.072366927204"/>
    <n v="6209.4023214049103"/>
    <n v="22353.848357057701"/>
  </r>
  <r>
    <x v="0"/>
    <x v="0"/>
    <x v="0"/>
    <x v="8"/>
    <x v="13"/>
    <s v="SE1_OTHER"/>
    <x v="0"/>
    <x v="0"/>
    <x v="9"/>
    <x v="1"/>
    <n v="102.873970808943"/>
    <n v="6258.1665575440302"/>
    <n v="22529.399607158499"/>
  </r>
  <r>
    <x v="0"/>
    <x v="0"/>
    <x v="0"/>
    <x v="8"/>
    <x v="13"/>
    <s v="SE1_OTHER"/>
    <x v="0"/>
    <x v="0"/>
    <x v="9"/>
    <x v="2"/>
    <n v="104.395580543387"/>
    <n v="6350.7311497226901"/>
    <n v="22862.6321390017"/>
  </r>
  <r>
    <x v="0"/>
    <x v="0"/>
    <x v="0"/>
    <x v="8"/>
    <x v="13"/>
    <s v="SE1_OTHER"/>
    <x v="0"/>
    <x v="0"/>
    <x v="9"/>
    <x v="3"/>
    <n v="107.263929506841"/>
    <n v="6525.22237833282"/>
    <n v="23490.8005619982"/>
  </r>
  <r>
    <x v="0"/>
    <x v="0"/>
    <x v="0"/>
    <x v="8"/>
    <x v="13"/>
    <s v="SE1_OTHER"/>
    <x v="0"/>
    <x v="0"/>
    <x v="9"/>
    <x v="4"/>
    <n v="113.79267342675701"/>
    <n v="6922.3876334610304"/>
    <n v="24920.595480459699"/>
  </r>
  <r>
    <x v="0"/>
    <x v="0"/>
    <x v="0"/>
    <x v="8"/>
    <x v="13"/>
    <s v="SE1_OTHER"/>
    <x v="0"/>
    <x v="0"/>
    <x v="9"/>
    <x v="5"/>
    <n v="122.006918855875"/>
    <n v="7422.0875637323797"/>
    <n v="26719.515229436602"/>
  </r>
  <r>
    <x v="0"/>
    <x v="0"/>
    <x v="0"/>
    <x v="8"/>
    <x v="13"/>
    <s v="SE1_OTHER"/>
    <x v="0"/>
    <x v="0"/>
    <x v="9"/>
    <x v="6"/>
    <n v="142.87791833583199"/>
    <n v="8691.7400320964298"/>
    <n v="31290.264115547099"/>
  </r>
  <r>
    <x v="0"/>
    <x v="0"/>
    <x v="0"/>
    <x v="8"/>
    <x v="13"/>
    <s v="SE1_OTHER"/>
    <x v="0"/>
    <x v="0"/>
    <x v="9"/>
    <x v="7"/>
    <n v="152.26963497031801"/>
    <n v="9263.0694606943198"/>
    <n v="33347.050058499597"/>
  </r>
  <r>
    <x v="0"/>
    <x v="0"/>
    <x v="0"/>
    <x v="8"/>
    <x v="13"/>
    <s v="SE1_OTHER"/>
    <x v="0"/>
    <x v="0"/>
    <x v="9"/>
    <x v="8"/>
    <n v="148.49846475045001"/>
    <n v="9033.6566056523698"/>
    <n v="32521.163780348499"/>
  </r>
  <r>
    <x v="0"/>
    <x v="0"/>
    <x v="0"/>
    <x v="8"/>
    <x v="13"/>
    <s v="SE1_OTHER"/>
    <x v="0"/>
    <x v="0"/>
    <x v="9"/>
    <x v="9"/>
    <n v="141.029780568495"/>
    <n v="8579.3116512500892"/>
    <n v="30885.521944500299"/>
  </r>
  <r>
    <x v="0"/>
    <x v="0"/>
    <x v="0"/>
    <x v="8"/>
    <x v="13"/>
    <s v="SE1_OTHER"/>
    <x v="0"/>
    <x v="0"/>
    <x v="9"/>
    <x v="10"/>
    <n v="133.67429066566899"/>
    <n v="8131.8526821615496"/>
    <n v="29274.669655781599"/>
  </r>
  <r>
    <x v="0"/>
    <x v="0"/>
    <x v="0"/>
    <x v="8"/>
    <x v="13"/>
    <s v="SE1_OTHER"/>
    <x v="0"/>
    <x v="0"/>
    <x v="9"/>
    <x v="11"/>
    <n v="129.948432945391"/>
    <n v="7905.19633751128"/>
    <n v="28458.706815040601"/>
  </r>
  <r>
    <x v="0"/>
    <x v="0"/>
    <x v="0"/>
    <x v="8"/>
    <x v="13"/>
    <s v="SE1_OTHER"/>
    <x v="0"/>
    <x v="0"/>
    <x v="10"/>
    <x v="0"/>
    <n v="67.006207429428599"/>
    <n v="4076.2109519568999"/>
    <n v="14674.359427044899"/>
  </r>
  <r>
    <x v="0"/>
    <x v="0"/>
    <x v="0"/>
    <x v="8"/>
    <x v="13"/>
    <s v="SE1_OTHER"/>
    <x v="0"/>
    <x v="0"/>
    <x v="10"/>
    <x v="1"/>
    <n v="67.365451432404697"/>
    <n v="4098.0649621379498"/>
    <n v="14753.033863696601"/>
  </r>
  <r>
    <x v="0"/>
    <x v="0"/>
    <x v="0"/>
    <x v="8"/>
    <x v="13"/>
    <s v="SE1_OTHER"/>
    <x v="0"/>
    <x v="0"/>
    <x v="10"/>
    <x v="2"/>
    <n v="67.419854618402496"/>
    <n v="4101.3744892861496"/>
    <n v="14764.9481614302"/>
  </r>
  <r>
    <x v="0"/>
    <x v="0"/>
    <x v="0"/>
    <x v="8"/>
    <x v="13"/>
    <s v="SE1_OTHER"/>
    <x v="0"/>
    <x v="0"/>
    <x v="10"/>
    <x v="3"/>
    <n v="70.438996888643999"/>
    <n v="4285.0389773925099"/>
    <n v="15426.140318612999"/>
  </r>
  <r>
    <x v="0"/>
    <x v="0"/>
    <x v="0"/>
    <x v="8"/>
    <x v="13"/>
    <s v="SE1_OTHER"/>
    <x v="0"/>
    <x v="0"/>
    <x v="10"/>
    <x v="4"/>
    <n v="74.356225705275804"/>
    <n v="4523.3370637376102"/>
    <n v="16284.013429455399"/>
  </r>
  <r>
    <x v="0"/>
    <x v="0"/>
    <x v="0"/>
    <x v="8"/>
    <x v="13"/>
    <s v="SE1_OTHER"/>
    <x v="0"/>
    <x v="0"/>
    <x v="10"/>
    <x v="5"/>
    <n v="82.271852341247694"/>
    <n v="5004.8710174259004"/>
    <n v="18017.5356627332"/>
  </r>
  <r>
    <x v="0"/>
    <x v="0"/>
    <x v="0"/>
    <x v="8"/>
    <x v="13"/>
    <s v="SE1_OTHER"/>
    <x v="0"/>
    <x v="0"/>
    <x v="10"/>
    <x v="6"/>
    <n v="97.970528230503803"/>
    <n v="5959.8738006889798"/>
    <n v="21455.5456824803"/>
  </r>
  <r>
    <x v="0"/>
    <x v="0"/>
    <x v="0"/>
    <x v="8"/>
    <x v="13"/>
    <s v="SE1_OTHER"/>
    <x v="0"/>
    <x v="0"/>
    <x v="10"/>
    <x v="7"/>
    <n v="103.78169159002501"/>
    <n v="6313.3862383931801"/>
    <n v="22728.190458215398"/>
  </r>
  <r>
    <x v="0"/>
    <x v="0"/>
    <x v="0"/>
    <x v="8"/>
    <x v="13"/>
    <s v="SE1_OTHER"/>
    <x v="0"/>
    <x v="0"/>
    <x v="10"/>
    <x v="8"/>
    <n v="100.228635619339"/>
    <n v="6097.2420001764303"/>
    <n v="21950.071200635201"/>
  </r>
  <r>
    <x v="0"/>
    <x v="0"/>
    <x v="0"/>
    <x v="8"/>
    <x v="13"/>
    <s v="SE1_OTHER"/>
    <x v="0"/>
    <x v="0"/>
    <x v="10"/>
    <x v="9"/>
    <n v="95.161587841606504"/>
    <n v="5788.9965936977296"/>
    <n v="20840.387737311801"/>
  </r>
  <r>
    <x v="0"/>
    <x v="0"/>
    <x v="0"/>
    <x v="8"/>
    <x v="13"/>
    <s v="SE1_OTHER"/>
    <x v="0"/>
    <x v="0"/>
    <x v="10"/>
    <x v="10"/>
    <n v="90.586111310796994"/>
    <n v="5510.6551047401499"/>
    <n v="19838.3583770646"/>
  </r>
  <r>
    <x v="0"/>
    <x v="0"/>
    <x v="0"/>
    <x v="8"/>
    <x v="13"/>
    <s v="SE1_OTHER"/>
    <x v="0"/>
    <x v="0"/>
    <x v="10"/>
    <x v="11"/>
    <n v="87.962474688742503"/>
    <n v="5351.0505435651703"/>
    <n v="19263.781956834599"/>
  </r>
  <r>
    <x v="0"/>
    <x v="0"/>
    <x v="0"/>
    <x v="8"/>
    <x v="13"/>
    <s v="SE1_OTHER"/>
    <x v="0"/>
    <x v="0"/>
    <x v="11"/>
    <x v="0"/>
    <n v="77.913186477362402"/>
    <n v="4739.7188440395503"/>
    <n v="17062.987838542402"/>
  </r>
  <r>
    <x v="0"/>
    <x v="0"/>
    <x v="0"/>
    <x v="8"/>
    <x v="13"/>
    <s v="SE1_OTHER"/>
    <x v="0"/>
    <x v="0"/>
    <x v="11"/>
    <x v="1"/>
    <n v="78.443187863241107"/>
    <n v="4771.9605950138302"/>
    <n v="17179.058142049798"/>
  </r>
  <r>
    <x v="0"/>
    <x v="0"/>
    <x v="0"/>
    <x v="8"/>
    <x v="13"/>
    <s v="SE1_OTHER"/>
    <x v="0"/>
    <x v="0"/>
    <x v="11"/>
    <x v="2"/>
    <n v="79.050828594758102"/>
    <n v="4808.9254061811198"/>
    <n v="17312.131462252"/>
  </r>
  <r>
    <x v="0"/>
    <x v="0"/>
    <x v="0"/>
    <x v="8"/>
    <x v="13"/>
    <s v="SE1_OTHER"/>
    <x v="0"/>
    <x v="0"/>
    <x v="11"/>
    <x v="3"/>
    <n v="81.690741170547895"/>
    <n v="4969.5200878750002"/>
    <n v="17890.272316350001"/>
  </r>
  <r>
    <x v="0"/>
    <x v="0"/>
    <x v="0"/>
    <x v="8"/>
    <x v="13"/>
    <s v="SE1_OTHER"/>
    <x v="0"/>
    <x v="0"/>
    <x v="11"/>
    <x v="4"/>
    <n v="86.021332156691898"/>
    <n v="5232.96437286542"/>
    <n v="18838.671742315499"/>
  </r>
  <r>
    <x v="0"/>
    <x v="0"/>
    <x v="0"/>
    <x v="8"/>
    <x v="13"/>
    <s v="SE1_OTHER"/>
    <x v="0"/>
    <x v="0"/>
    <x v="11"/>
    <x v="5"/>
    <n v="93.993409208905405"/>
    <n v="5717.9323935417497"/>
    <n v="20584.556616750298"/>
  </r>
  <r>
    <x v="0"/>
    <x v="0"/>
    <x v="0"/>
    <x v="8"/>
    <x v="13"/>
    <s v="SE1_OTHER"/>
    <x v="0"/>
    <x v="0"/>
    <x v="11"/>
    <x v="6"/>
    <n v="111.150715933743"/>
    <n v="6761.6685526360097"/>
    <n v="24342.006789489598"/>
  </r>
  <r>
    <x v="0"/>
    <x v="0"/>
    <x v="0"/>
    <x v="8"/>
    <x v="13"/>
    <s v="SE1_OTHER"/>
    <x v="0"/>
    <x v="0"/>
    <x v="11"/>
    <x v="7"/>
    <n v="118.199747064435"/>
    <n v="7190.4846130864898"/>
    <n v="25885.744607111399"/>
  </r>
  <r>
    <x v="0"/>
    <x v="0"/>
    <x v="0"/>
    <x v="8"/>
    <x v="13"/>
    <s v="SE1_OTHER"/>
    <x v="0"/>
    <x v="0"/>
    <x v="11"/>
    <x v="8"/>
    <n v="116.287191601427"/>
    <n v="7074.1374890868201"/>
    <n v="25466.894960712601"/>
  </r>
  <r>
    <x v="0"/>
    <x v="0"/>
    <x v="0"/>
    <x v="8"/>
    <x v="13"/>
    <s v="SE1_OTHER"/>
    <x v="0"/>
    <x v="0"/>
    <x v="11"/>
    <x v="9"/>
    <n v="112.87819761633099"/>
    <n v="6866.7570216601598"/>
    <n v="24720.325277976601"/>
  </r>
  <r>
    <x v="0"/>
    <x v="0"/>
    <x v="0"/>
    <x v="8"/>
    <x v="13"/>
    <s v="SE1_OTHER"/>
    <x v="0"/>
    <x v="0"/>
    <x v="11"/>
    <x v="10"/>
    <n v="110.028662236318"/>
    <n v="6693.4102860426801"/>
    <n v="24096.277029753601"/>
  </r>
  <r>
    <x v="0"/>
    <x v="0"/>
    <x v="0"/>
    <x v="8"/>
    <x v="13"/>
    <s v="SE1_OTHER"/>
    <x v="0"/>
    <x v="0"/>
    <x v="11"/>
    <x v="11"/>
    <n v="109.173442455444"/>
    <n v="6641.3844160395402"/>
    <n v="23908.983897742299"/>
  </r>
  <r>
    <x v="0"/>
    <x v="0"/>
    <x v="0"/>
    <x v="8"/>
    <x v="14"/>
    <s v="SE2_EL"/>
    <x v="0"/>
    <x v="0"/>
    <x v="0"/>
    <x v="0"/>
    <n v="194.156668980945"/>
    <n v="11811.197363007501"/>
    <n v="42520.3105068269"/>
  </r>
  <r>
    <x v="0"/>
    <x v="0"/>
    <x v="0"/>
    <x v="8"/>
    <x v="14"/>
    <s v="SE2_EL"/>
    <x v="0"/>
    <x v="0"/>
    <x v="0"/>
    <x v="1"/>
    <n v="192.369820702482"/>
    <n v="11702.497426067701"/>
    <n v="42128.990733843602"/>
  </r>
  <r>
    <x v="0"/>
    <x v="0"/>
    <x v="0"/>
    <x v="8"/>
    <x v="14"/>
    <s v="SE2_EL"/>
    <x v="0"/>
    <x v="0"/>
    <x v="0"/>
    <x v="2"/>
    <n v="192.43355740350299"/>
    <n v="11706.374742046401"/>
    <n v="42142.949071367097"/>
  </r>
  <r>
    <x v="0"/>
    <x v="0"/>
    <x v="0"/>
    <x v="8"/>
    <x v="14"/>
    <s v="SE2_EL"/>
    <x v="0"/>
    <x v="0"/>
    <x v="0"/>
    <x v="3"/>
    <n v="197.62530507284799"/>
    <n v="12022.2060585982"/>
    <n v="43279.941810953598"/>
  </r>
  <r>
    <x v="0"/>
    <x v="0"/>
    <x v="0"/>
    <x v="8"/>
    <x v="14"/>
    <s v="SE2_EL"/>
    <x v="0"/>
    <x v="0"/>
    <x v="0"/>
    <x v="4"/>
    <n v="208.340155990146"/>
    <n v="12674.026156067201"/>
    <n v="45626.494161841998"/>
  </r>
  <r>
    <x v="0"/>
    <x v="0"/>
    <x v="0"/>
    <x v="8"/>
    <x v="14"/>
    <s v="SE2_EL"/>
    <x v="0"/>
    <x v="0"/>
    <x v="0"/>
    <x v="5"/>
    <n v="228.53070427319301"/>
    <n v="13902.2845099526"/>
    <n v="50048.224235829301"/>
  </r>
  <r>
    <x v="0"/>
    <x v="0"/>
    <x v="0"/>
    <x v="8"/>
    <x v="14"/>
    <s v="SE2_EL"/>
    <x v="0"/>
    <x v="0"/>
    <x v="0"/>
    <x v="6"/>
    <n v="269.77677353100199"/>
    <n v="16411.420389802599"/>
    <n v="59081.113403289499"/>
  </r>
  <r>
    <x v="0"/>
    <x v="0"/>
    <x v="0"/>
    <x v="8"/>
    <x v="14"/>
    <s v="SE2_EL"/>
    <x v="0"/>
    <x v="0"/>
    <x v="0"/>
    <x v="7"/>
    <n v="290.10072963560498"/>
    <n v="17647.794386165999"/>
    <n v="63532.059790197498"/>
  </r>
  <r>
    <x v="0"/>
    <x v="0"/>
    <x v="0"/>
    <x v="8"/>
    <x v="14"/>
    <s v="SE2_EL"/>
    <x v="0"/>
    <x v="0"/>
    <x v="0"/>
    <x v="8"/>
    <n v="291.11615391173598"/>
    <n v="17709.566029630601"/>
    <n v="63754.437706670302"/>
  </r>
  <r>
    <x v="0"/>
    <x v="0"/>
    <x v="0"/>
    <x v="8"/>
    <x v="14"/>
    <s v="SE2_EL"/>
    <x v="0"/>
    <x v="0"/>
    <x v="0"/>
    <x v="9"/>
    <n v="278.38488776620699"/>
    <n v="16935.080672444299"/>
    <n v="60966.2904207994"/>
  </r>
  <r>
    <x v="0"/>
    <x v="0"/>
    <x v="0"/>
    <x v="8"/>
    <x v="14"/>
    <s v="SE2_EL"/>
    <x v="0"/>
    <x v="0"/>
    <x v="0"/>
    <x v="10"/>
    <n v="272.17794902431001"/>
    <n v="16557.4918989789"/>
    <n v="59606.970836323897"/>
  </r>
  <r>
    <x v="0"/>
    <x v="0"/>
    <x v="0"/>
    <x v="8"/>
    <x v="14"/>
    <s v="SE2_EL"/>
    <x v="0"/>
    <x v="0"/>
    <x v="0"/>
    <x v="11"/>
    <n v="266.18837036672801"/>
    <n v="16193.125863976"/>
    <n v="58295.253110313497"/>
  </r>
  <r>
    <x v="0"/>
    <x v="0"/>
    <x v="0"/>
    <x v="8"/>
    <x v="14"/>
    <s v="SE2_EL"/>
    <x v="0"/>
    <x v="0"/>
    <x v="1"/>
    <x v="0"/>
    <n v="300.20593686786901"/>
    <n v="18262.527826128699"/>
    <n v="65745.100174063293"/>
  </r>
  <r>
    <x v="0"/>
    <x v="0"/>
    <x v="0"/>
    <x v="8"/>
    <x v="14"/>
    <s v="SE2_EL"/>
    <x v="0"/>
    <x v="0"/>
    <x v="1"/>
    <x v="1"/>
    <n v="299.304944234922"/>
    <n v="18207.7174409578"/>
    <n v="65547.782787447999"/>
  </r>
  <r>
    <x v="0"/>
    <x v="0"/>
    <x v="0"/>
    <x v="8"/>
    <x v="14"/>
    <s v="SE2_EL"/>
    <x v="0"/>
    <x v="0"/>
    <x v="1"/>
    <x v="2"/>
    <n v="303.71224548573099"/>
    <n v="18475.828267048699"/>
    <n v="66512.981761375195"/>
  </r>
  <r>
    <x v="0"/>
    <x v="0"/>
    <x v="0"/>
    <x v="8"/>
    <x v="14"/>
    <s v="SE2_EL"/>
    <x v="0"/>
    <x v="0"/>
    <x v="1"/>
    <x v="3"/>
    <n v="320.55052888594099"/>
    <n v="19500.157173894801"/>
    <n v="70200.565826021106"/>
  </r>
  <r>
    <x v="0"/>
    <x v="0"/>
    <x v="0"/>
    <x v="8"/>
    <x v="14"/>
    <s v="SE2_EL"/>
    <x v="0"/>
    <x v="0"/>
    <x v="1"/>
    <x v="4"/>
    <n v="343.99627287602601"/>
    <n v="20926.4399332916"/>
    <n v="75335.183759849693"/>
  </r>
  <r>
    <x v="0"/>
    <x v="0"/>
    <x v="0"/>
    <x v="8"/>
    <x v="14"/>
    <s v="SE2_EL"/>
    <x v="0"/>
    <x v="0"/>
    <x v="1"/>
    <x v="5"/>
    <n v="362.37594914841702"/>
    <n v="22044.536906528701"/>
    <n v="79360.332863503296"/>
  </r>
  <r>
    <x v="0"/>
    <x v="0"/>
    <x v="0"/>
    <x v="8"/>
    <x v="14"/>
    <s v="SE2_EL"/>
    <x v="0"/>
    <x v="0"/>
    <x v="1"/>
    <x v="6"/>
    <n v="422.44969985391202"/>
    <n v="25699.023407779601"/>
    <n v="92516.484268006607"/>
  </r>
  <r>
    <x v="0"/>
    <x v="0"/>
    <x v="0"/>
    <x v="8"/>
    <x v="14"/>
    <s v="SE2_EL"/>
    <x v="0"/>
    <x v="0"/>
    <x v="1"/>
    <x v="7"/>
    <n v="455.649305895743"/>
    <n v="27718.666108657701"/>
    <n v="99787.197991167704"/>
  </r>
  <r>
    <x v="0"/>
    <x v="0"/>
    <x v="0"/>
    <x v="8"/>
    <x v="14"/>
    <s v="SE2_EL"/>
    <x v="0"/>
    <x v="0"/>
    <x v="1"/>
    <x v="8"/>
    <n v="450.07900981368903"/>
    <n v="27379.806430332799"/>
    <n v="98567.303149197993"/>
  </r>
  <r>
    <x v="0"/>
    <x v="0"/>
    <x v="0"/>
    <x v="8"/>
    <x v="14"/>
    <s v="SE2_EL"/>
    <x v="0"/>
    <x v="0"/>
    <x v="1"/>
    <x v="9"/>
    <n v="451.27278739710903"/>
    <n v="27452.427899990798"/>
    <n v="98828.740439967005"/>
  </r>
  <r>
    <x v="0"/>
    <x v="0"/>
    <x v="0"/>
    <x v="8"/>
    <x v="14"/>
    <s v="SE2_EL"/>
    <x v="0"/>
    <x v="0"/>
    <x v="1"/>
    <x v="10"/>
    <n v="431.56789319411899"/>
    <n v="26253.7135026422"/>
    <n v="94513.368609512007"/>
  </r>
  <r>
    <x v="0"/>
    <x v="0"/>
    <x v="0"/>
    <x v="8"/>
    <x v="14"/>
    <s v="SE2_EL"/>
    <x v="0"/>
    <x v="0"/>
    <x v="1"/>
    <x v="11"/>
    <n v="423.79283148179599"/>
    <n v="25780.730581809301"/>
    <n v="92810.630094513399"/>
  </r>
  <r>
    <x v="0"/>
    <x v="0"/>
    <x v="0"/>
    <x v="8"/>
    <x v="14"/>
    <s v="SE2_EL"/>
    <x v="0"/>
    <x v="0"/>
    <x v="2"/>
    <x v="0"/>
    <n v="232.54940527299101"/>
    <n v="14146.755487440299"/>
    <n v="50928.319754785101"/>
  </r>
  <r>
    <x v="0"/>
    <x v="0"/>
    <x v="0"/>
    <x v="8"/>
    <x v="14"/>
    <s v="SE2_EL"/>
    <x v="0"/>
    <x v="0"/>
    <x v="2"/>
    <x v="1"/>
    <n v="229.652130397094"/>
    <n v="13970.5045991565"/>
    <n v="50293.816556963502"/>
  </r>
  <r>
    <x v="0"/>
    <x v="0"/>
    <x v="0"/>
    <x v="8"/>
    <x v="14"/>
    <s v="SE2_EL"/>
    <x v="0"/>
    <x v="0"/>
    <x v="2"/>
    <x v="2"/>
    <n v="230.48886877559701"/>
    <n v="14021.4061838488"/>
    <n v="50477.062261855703"/>
  </r>
  <r>
    <x v="0"/>
    <x v="0"/>
    <x v="0"/>
    <x v="8"/>
    <x v="14"/>
    <s v="SE2_EL"/>
    <x v="0"/>
    <x v="0"/>
    <x v="2"/>
    <x v="3"/>
    <n v="234.805678634873"/>
    <n v="14284.0121169548"/>
    <n v="51422.443621037201"/>
  </r>
  <r>
    <x v="0"/>
    <x v="0"/>
    <x v="0"/>
    <x v="8"/>
    <x v="14"/>
    <s v="SE2_EL"/>
    <x v="0"/>
    <x v="0"/>
    <x v="2"/>
    <x v="4"/>
    <n v="245.22420953749599"/>
    <n v="14917.806080197701"/>
    <n v="53704.101888711601"/>
  </r>
  <r>
    <x v="0"/>
    <x v="0"/>
    <x v="0"/>
    <x v="8"/>
    <x v="14"/>
    <s v="SE2_EL"/>
    <x v="0"/>
    <x v="0"/>
    <x v="2"/>
    <x v="5"/>
    <n v="261.53277216958497"/>
    <n v="15909.9103069831"/>
    <n v="57275.677105139199"/>
  </r>
  <r>
    <x v="0"/>
    <x v="0"/>
    <x v="0"/>
    <x v="8"/>
    <x v="14"/>
    <s v="SE2_EL"/>
    <x v="0"/>
    <x v="0"/>
    <x v="2"/>
    <x v="6"/>
    <n v="307.08406529725499"/>
    <n v="18680.947305582999"/>
    <n v="67251.410300098898"/>
  </r>
  <r>
    <x v="0"/>
    <x v="0"/>
    <x v="0"/>
    <x v="8"/>
    <x v="14"/>
    <s v="SE2_EL"/>
    <x v="0"/>
    <x v="0"/>
    <x v="2"/>
    <x v="7"/>
    <n v="333.29296287724901"/>
    <n v="20275.321908366001"/>
    <n v="72991.158870117506"/>
  </r>
  <r>
    <x v="0"/>
    <x v="0"/>
    <x v="0"/>
    <x v="8"/>
    <x v="14"/>
    <s v="SE2_EL"/>
    <x v="0"/>
    <x v="0"/>
    <x v="2"/>
    <x v="8"/>
    <n v="334.308918204414"/>
    <n v="20337.1258574352"/>
    <n v="73213.653086766804"/>
  </r>
  <r>
    <x v="0"/>
    <x v="0"/>
    <x v="0"/>
    <x v="8"/>
    <x v="14"/>
    <s v="SE2_EL"/>
    <x v="0"/>
    <x v="0"/>
    <x v="2"/>
    <x v="9"/>
    <n v="326.13507045990002"/>
    <n v="19839.883452977199"/>
    <n v="71423.580430717993"/>
  </r>
  <r>
    <x v="0"/>
    <x v="0"/>
    <x v="0"/>
    <x v="8"/>
    <x v="14"/>
    <s v="SE2_EL"/>
    <x v="0"/>
    <x v="0"/>
    <x v="2"/>
    <x v="10"/>
    <n v="317.00042613705602"/>
    <n v="19284.192590004201"/>
    <n v="69423.093324015295"/>
  </r>
  <r>
    <x v="0"/>
    <x v="0"/>
    <x v="0"/>
    <x v="8"/>
    <x v="14"/>
    <s v="SE2_EL"/>
    <x v="0"/>
    <x v="0"/>
    <x v="2"/>
    <x v="11"/>
    <n v="296.20017655446702"/>
    <n v="18018.844073730099"/>
    <n v="64867.8386654282"/>
  </r>
  <r>
    <x v="0"/>
    <x v="0"/>
    <x v="0"/>
    <x v="8"/>
    <x v="14"/>
    <s v="SE2_EL"/>
    <x v="0"/>
    <x v="0"/>
    <x v="3"/>
    <x v="0"/>
    <n v="229.41400949317801"/>
    <n v="13956.018910835"/>
    <n v="50241.668079005998"/>
  </r>
  <r>
    <x v="0"/>
    <x v="0"/>
    <x v="0"/>
    <x v="8"/>
    <x v="14"/>
    <s v="SE2_EL"/>
    <x v="0"/>
    <x v="0"/>
    <x v="3"/>
    <x v="1"/>
    <n v="228.59450967961499"/>
    <n v="13906.1660055099"/>
    <n v="50062.197619835599"/>
  </r>
  <r>
    <x v="0"/>
    <x v="0"/>
    <x v="0"/>
    <x v="8"/>
    <x v="14"/>
    <s v="SE2_EL"/>
    <x v="0"/>
    <x v="0"/>
    <x v="3"/>
    <x v="2"/>
    <n v="230.50064115482701"/>
    <n v="14022.122336918599"/>
    <n v="50479.640412907"/>
  </r>
  <r>
    <x v="0"/>
    <x v="0"/>
    <x v="0"/>
    <x v="8"/>
    <x v="14"/>
    <s v="SE2_EL"/>
    <x v="0"/>
    <x v="0"/>
    <x v="3"/>
    <x v="3"/>
    <n v="240.34964257975699"/>
    <n v="14621.2699236019"/>
    <n v="52636.5717249667"/>
  </r>
  <r>
    <x v="0"/>
    <x v="0"/>
    <x v="0"/>
    <x v="8"/>
    <x v="14"/>
    <s v="SE2_EL"/>
    <x v="0"/>
    <x v="0"/>
    <x v="3"/>
    <x v="4"/>
    <n v="257.95905812213198"/>
    <n v="15692.5093690964"/>
    <n v="56493.033728747003"/>
  </r>
  <r>
    <x v="0"/>
    <x v="0"/>
    <x v="0"/>
    <x v="8"/>
    <x v="14"/>
    <s v="SE2_EL"/>
    <x v="0"/>
    <x v="0"/>
    <x v="3"/>
    <x v="5"/>
    <n v="279.32046740864803"/>
    <n v="16991.995100692799"/>
    <n v="61171.182362493899"/>
  </r>
  <r>
    <x v="0"/>
    <x v="0"/>
    <x v="0"/>
    <x v="8"/>
    <x v="14"/>
    <s v="SE2_EL"/>
    <x v="0"/>
    <x v="0"/>
    <x v="3"/>
    <x v="6"/>
    <n v="332.22942556146501"/>
    <n v="20210.6233883225"/>
    <n v="72758.244197960899"/>
  </r>
  <r>
    <x v="0"/>
    <x v="0"/>
    <x v="0"/>
    <x v="8"/>
    <x v="14"/>
    <s v="SE2_EL"/>
    <x v="0"/>
    <x v="0"/>
    <x v="3"/>
    <x v="7"/>
    <n v="364.62767107377999"/>
    <n v="22181.5166569883"/>
    <n v="79853.459965157803"/>
  </r>
  <r>
    <x v="0"/>
    <x v="0"/>
    <x v="0"/>
    <x v="8"/>
    <x v="14"/>
    <s v="SE2_EL"/>
    <x v="0"/>
    <x v="0"/>
    <x v="3"/>
    <x v="8"/>
    <n v="370.10358635675402"/>
    <n v="22514.634836702498"/>
    <n v="81052.685412129096"/>
  </r>
  <r>
    <x v="0"/>
    <x v="0"/>
    <x v="0"/>
    <x v="8"/>
    <x v="14"/>
    <s v="SE2_EL"/>
    <x v="0"/>
    <x v="0"/>
    <x v="3"/>
    <x v="9"/>
    <n v="372.29950714291999"/>
    <n v="22648.220017861"/>
    <n v="81533.592064299606"/>
  </r>
  <r>
    <x v="0"/>
    <x v="0"/>
    <x v="0"/>
    <x v="8"/>
    <x v="14"/>
    <s v="SE2_EL"/>
    <x v="0"/>
    <x v="0"/>
    <x v="3"/>
    <x v="10"/>
    <n v="364.96376718865002"/>
    <n v="22201.9625039762"/>
    <n v="79927.065014314401"/>
  </r>
  <r>
    <x v="0"/>
    <x v="0"/>
    <x v="0"/>
    <x v="8"/>
    <x v="14"/>
    <s v="SE2_EL"/>
    <x v="0"/>
    <x v="0"/>
    <x v="3"/>
    <x v="11"/>
    <n v="366.83447442335699"/>
    <n v="22315.763860754199"/>
    <n v="80336.749898715207"/>
  </r>
  <r>
    <x v="0"/>
    <x v="0"/>
    <x v="0"/>
    <x v="8"/>
    <x v="14"/>
    <s v="SE2_EL"/>
    <x v="0"/>
    <x v="0"/>
    <x v="4"/>
    <x v="0"/>
    <n v="240.24978893581999"/>
    <n v="14615.1954935957"/>
    <n v="52614.703776944603"/>
  </r>
  <r>
    <x v="0"/>
    <x v="0"/>
    <x v="0"/>
    <x v="8"/>
    <x v="14"/>
    <s v="SE2_EL"/>
    <x v="0"/>
    <x v="0"/>
    <x v="4"/>
    <x v="1"/>
    <n v="238.65785204095599"/>
    <n v="14518.352665824799"/>
    <n v="52266.069596969297"/>
  </r>
  <r>
    <x v="0"/>
    <x v="0"/>
    <x v="0"/>
    <x v="8"/>
    <x v="14"/>
    <s v="SE2_EL"/>
    <x v="0"/>
    <x v="0"/>
    <x v="4"/>
    <x v="2"/>
    <n v="240.67028946888499"/>
    <n v="14640.7759426905"/>
    <n v="52706.793393685897"/>
  </r>
  <r>
    <x v="0"/>
    <x v="0"/>
    <x v="0"/>
    <x v="8"/>
    <x v="14"/>
    <s v="SE2_EL"/>
    <x v="0"/>
    <x v="0"/>
    <x v="4"/>
    <x v="3"/>
    <n v="249.61756157204499"/>
    <n v="15185.068328966099"/>
    <n v="54666.245984278001"/>
  </r>
  <r>
    <x v="0"/>
    <x v="0"/>
    <x v="0"/>
    <x v="8"/>
    <x v="14"/>
    <s v="SE2_EL"/>
    <x v="0"/>
    <x v="0"/>
    <x v="4"/>
    <x v="4"/>
    <n v="265.671698380549"/>
    <n v="16161.694984816701"/>
    <n v="58182.101945340102"/>
  </r>
  <r>
    <x v="0"/>
    <x v="0"/>
    <x v="0"/>
    <x v="8"/>
    <x v="14"/>
    <s v="SE2_EL"/>
    <x v="0"/>
    <x v="0"/>
    <x v="4"/>
    <x v="5"/>
    <n v="286.94062783975897"/>
    <n v="17455.554860251999"/>
    <n v="62839.997496907199"/>
  </r>
  <r>
    <x v="0"/>
    <x v="0"/>
    <x v="0"/>
    <x v="8"/>
    <x v="14"/>
    <s v="SE2_EL"/>
    <x v="0"/>
    <x v="0"/>
    <x v="4"/>
    <x v="6"/>
    <n v="339.940724792438"/>
    <n v="20679.727424873301"/>
    <n v="74447.018729543997"/>
  </r>
  <r>
    <x v="0"/>
    <x v="0"/>
    <x v="0"/>
    <x v="8"/>
    <x v="14"/>
    <s v="SE2_EL"/>
    <x v="0"/>
    <x v="0"/>
    <x v="4"/>
    <x v="7"/>
    <n v="373.13928770550802"/>
    <n v="22699.306668751698"/>
    <n v="81717.504007506199"/>
  </r>
  <r>
    <x v="0"/>
    <x v="0"/>
    <x v="0"/>
    <x v="8"/>
    <x v="14"/>
    <s v="SE2_EL"/>
    <x v="0"/>
    <x v="0"/>
    <x v="4"/>
    <x v="8"/>
    <n v="378.12186912021701"/>
    <n v="23002.4137048132"/>
    <n v="82808.689337327494"/>
  </r>
  <r>
    <x v="0"/>
    <x v="0"/>
    <x v="0"/>
    <x v="8"/>
    <x v="14"/>
    <s v="SE2_EL"/>
    <x v="0"/>
    <x v="0"/>
    <x v="4"/>
    <x v="9"/>
    <n v="376.11986267958099"/>
    <n v="22880.6249796745"/>
    <n v="82370.249926828299"/>
  </r>
  <r>
    <x v="0"/>
    <x v="0"/>
    <x v="0"/>
    <x v="8"/>
    <x v="14"/>
    <s v="SE2_EL"/>
    <x v="0"/>
    <x v="0"/>
    <x v="4"/>
    <x v="10"/>
    <n v="364.531975554003"/>
    <n v="22175.6951795352"/>
    <n v="79832.502646326699"/>
  </r>
  <r>
    <x v="0"/>
    <x v="0"/>
    <x v="0"/>
    <x v="8"/>
    <x v="14"/>
    <s v="SE2_EL"/>
    <x v="0"/>
    <x v="0"/>
    <x v="4"/>
    <x v="11"/>
    <n v="359.43369539107999"/>
    <n v="21865.549802957401"/>
    <n v="78715.979290646501"/>
  </r>
  <r>
    <x v="0"/>
    <x v="0"/>
    <x v="0"/>
    <x v="8"/>
    <x v="14"/>
    <s v="SE2_EL"/>
    <x v="0"/>
    <x v="0"/>
    <x v="5"/>
    <x v="0"/>
    <n v="376.16014661927198"/>
    <n v="22883.0755860057"/>
    <n v="82379.072109620596"/>
  </r>
  <r>
    <x v="0"/>
    <x v="0"/>
    <x v="0"/>
    <x v="8"/>
    <x v="14"/>
    <s v="SE2_EL"/>
    <x v="0"/>
    <x v="0"/>
    <x v="5"/>
    <x v="1"/>
    <n v="372.49319537723301"/>
    <n v="22660.0027187817"/>
    <n v="81576.009787614006"/>
  </r>
  <r>
    <x v="0"/>
    <x v="0"/>
    <x v="0"/>
    <x v="8"/>
    <x v="14"/>
    <s v="SE2_EL"/>
    <x v="0"/>
    <x v="0"/>
    <x v="5"/>
    <x v="2"/>
    <n v="378.286698198708"/>
    <n v="23012.4408070881"/>
    <n v="82844.786905517001"/>
  </r>
  <r>
    <x v="0"/>
    <x v="0"/>
    <x v="0"/>
    <x v="8"/>
    <x v="14"/>
    <s v="SE2_EL"/>
    <x v="0"/>
    <x v="0"/>
    <x v="5"/>
    <x v="3"/>
    <n v="391.941467364125"/>
    <n v="23843.105931317601"/>
    <n v="85835.181352743399"/>
  </r>
  <r>
    <x v="0"/>
    <x v="0"/>
    <x v="0"/>
    <x v="8"/>
    <x v="14"/>
    <s v="SE2_EL"/>
    <x v="0"/>
    <x v="0"/>
    <x v="5"/>
    <x v="4"/>
    <n v="415.43410358922802"/>
    <n v="25272.241301678001"/>
    <n v="90980.068686040904"/>
  </r>
  <r>
    <x v="0"/>
    <x v="0"/>
    <x v="0"/>
    <x v="8"/>
    <x v="14"/>
    <s v="SE2_EL"/>
    <x v="0"/>
    <x v="0"/>
    <x v="5"/>
    <x v="5"/>
    <n v="435.67735627484399"/>
    <n v="26503.705840053"/>
    <n v="95413.3410241909"/>
  </r>
  <r>
    <x v="0"/>
    <x v="0"/>
    <x v="0"/>
    <x v="8"/>
    <x v="14"/>
    <s v="SE2_EL"/>
    <x v="0"/>
    <x v="0"/>
    <x v="5"/>
    <x v="6"/>
    <n v="510.35469923410301"/>
    <n v="31046.577536741301"/>
    <n v="111767.679132269"/>
  </r>
  <r>
    <x v="0"/>
    <x v="0"/>
    <x v="0"/>
    <x v="8"/>
    <x v="14"/>
    <s v="SE2_EL"/>
    <x v="0"/>
    <x v="0"/>
    <x v="5"/>
    <x v="7"/>
    <n v="556.96289433789195"/>
    <n v="33881.909405555103"/>
    <n v="121974.873859998"/>
  </r>
  <r>
    <x v="0"/>
    <x v="0"/>
    <x v="0"/>
    <x v="8"/>
    <x v="14"/>
    <s v="SE2_EL"/>
    <x v="0"/>
    <x v="0"/>
    <x v="5"/>
    <x v="8"/>
    <n v="555.71962808660896"/>
    <n v="33806.277375268699"/>
    <n v="121702.598550967"/>
  </r>
  <r>
    <x v="0"/>
    <x v="0"/>
    <x v="0"/>
    <x v="8"/>
    <x v="14"/>
    <s v="SE2_EL"/>
    <x v="0"/>
    <x v="0"/>
    <x v="5"/>
    <x v="9"/>
    <n v="542.54214573193303"/>
    <n v="33004.647198692597"/>
    <n v="118816.72991529301"/>
  </r>
  <r>
    <x v="0"/>
    <x v="0"/>
    <x v="0"/>
    <x v="8"/>
    <x v="14"/>
    <s v="SE2_EL"/>
    <x v="0"/>
    <x v="0"/>
    <x v="5"/>
    <x v="10"/>
    <n v="512.17650671029799"/>
    <n v="31157.4041582098"/>
    <n v="112166.65496955501"/>
  </r>
  <r>
    <x v="0"/>
    <x v="0"/>
    <x v="0"/>
    <x v="8"/>
    <x v="14"/>
    <s v="SE2_EL"/>
    <x v="0"/>
    <x v="0"/>
    <x v="5"/>
    <x v="11"/>
    <n v="487.292044312798"/>
    <n v="29643.5993623619"/>
    <n v="106716.957704503"/>
  </r>
  <r>
    <x v="0"/>
    <x v="0"/>
    <x v="0"/>
    <x v="8"/>
    <x v="14"/>
    <s v="SE2_EL"/>
    <x v="0"/>
    <x v="0"/>
    <x v="6"/>
    <x v="0"/>
    <n v="275.14160376792199"/>
    <n v="16737.780895881901"/>
    <n v="60256.011225174901"/>
  </r>
  <r>
    <x v="0"/>
    <x v="0"/>
    <x v="0"/>
    <x v="8"/>
    <x v="14"/>
    <s v="SE2_EL"/>
    <x v="0"/>
    <x v="0"/>
    <x v="6"/>
    <x v="1"/>
    <n v="275.64706346573797"/>
    <n v="16768.5296941657"/>
    <n v="60366.706898996701"/>
  </r>
  <r>
    <x v="0"/>
    <x v="0"/>
    <x v="0"/>
    <x v="8"/>
    <x v="14"/>
    <s v="SE2_EL"/>
    <x v="0"/>
    <x v="0"/>
    <x v="6"/>
    <x v="2"/>
    <n v="279.719067122078"/>
    <n v="17016.2432499264"/>
    <n v="61258.4756997351"/>
  </r>
  <r>
    <x v="0"/>
    <x v="0"/>
    <x v="0"/>
    <x v="8"/>
    <x v="14"/>
    <s v="SE2_EL"/>
    <x v="0"/>
    <x v="0"/>
    <x v="6"/>
    <x v="3"/>
    <n v="297.21789357970198"/>
    <n v="18080.755192765198"/>
    <n v="65090.718693954703"/>
  </r>
  <r>
    <x v="0"/>
    <x v="0"/>
    <x v="0"/>
    <x v="8"/>
    <x v="14"/>
    <s v="SE2_EL"/>
    <x v="0"/>
    <x v="0"/>
    <x v="6"/>
    <x v="4"/>
    <n v="328.52955896000901"/>
    <n v="19985.548170067199"/>
    <n v="71947.973412241903"/>
  </r>
  <r>
    <x v="0"/>
    <x v="0"/>
    <x v="0"/>
    <x v="8"/>
    <x v="14"/>
    <s v="SE2_EL"/>
    <x v="0"/>
    <x v="0"/>
    <x v="6"/>
    <x v="5"/>
    <n v="343.919932490056"/>
    <n v="20921.795893145099"/>
    <n v="75318.4652153223"/>
  </r>
  <r>
    <x v="0"/>
    <x v="0"/>
    <x v="0"/>
    <x v="8"/>
    <x v="14"/>
    <s v="SE2_EL"/>
    <x v="0"/>
    <x v="0"/>
    <x v="6"/>
    <x v="6"/>
    <n v="405.68640826705303"/>
    <n v="24679.256502912402"/>
    <n v="88845.323410484605"/>
  </r>
  <r>
    <x v="0"/>
    <x v="0"/>
    <x v="0"/>
    <x v="8"/>
    <x v="14"/>
    <s v="SE2_EL"/>
    <x v="0"/>
    <x v="0"/>
    <x v="6"/>
    <x v="7"/>
    <n v="446.158816441927"/>
    <n v="27141.3280002172"/>
    <n v="97708.7808007821"/>
  </r>
  <r>
    <x v="0"/>
    <x v="0"/>
    <x v="0"/>
    <x v="8"/>
    <x v="14"/>
    <s v="SE2_EL"/>
    <x v="0"/>
    <x v="0"/>
    <x v="6"/>
    <x v="8"/>
    <n v="454.29590584762002"/>
    <n v="27636.3342723969"/>
    <n v="99490.803380628699"/>
  </r>
  <r>
    <x v="0"/>
    <x v="0"/>
    <x v="0"/>
    <x v="8"/>
    <x v="14"/>
    <s v="SE2_EL"/>
    <x v="0"/>
    <x v="0"/>
    <x v="6"/>
    <x v="9"/>
    <n v="450.44710535526798"/>
    <n v="27402.198909112099"/>
    <n v="98647.916072803593"/>
  </r>
  <r>
    <x v="0"/>
    <x v="0"/>
    <x v="0"/>
    <x v="8"/>
    <x v="14"/>
    <s v="SE2_EL"/>
    <x v="0"/>
    <x v="0"/>
    <x v="6"/>
    <x v="10"/>
    <n v="429.87972421644901"/>
    <n v="26151.016556500701"/>
    <n v="94143.659603402397"/>
  </r>
  <r>
    <x v="0"/>
    <x v="0"/>
    <x v="0"/>
    <x v="8"/>
    <x v="14"/>
    <s v="SE2_EL"/>
    <x v="0"/>
    <x v="0"/>
    <x v="6"/>
    <x v="11"/>
    <n v="415.23809015506401"/>
    <n v="25260.317151099702"/>
    <n v="90937.141743959"/>
  </r>
  <r>
    <x v="0"/>
    <x v="0"/>
    <x v="0"/>
    <x v="8"/>
    <x v="14"/>
    <s v="SE2_EL"/>
    <x v="0"/>
    <x v="0"/>
    <x v="7"/>
    <x v="0"/>
    <n v="225.72770767489499"/>
    <n v="13731.7688835561"/>
    <n v="49434.367980802002"/>
  </r>
  <r>
    <x v="0"/>
    <x v="0"/>
    <x v="0"/>
    <x v="8"/>
    <x v="14"/>
    <s v="SE2_EL"/>
    <x v="0"/>
    <x v="0"/>
    <x v="7"/>
    <x v="1"/>
    <n v="227.32190703396901"/>
    <n v="13828.7493445664"/>
    <n v="49783.4976404392"/>
  </r>
  <r>
    <x v="0"/>
    <x v="0"/>
    <x v="0"/>
    <x v="8"/>
    <x v="14"/>
    <s v="SE2_EL"/>
    <x v="0"/>
    <x v="0"/>
    <x v="7"/>
    <x v="2"/>
    <n v="231.62165655908299"/>
    <n v="14090.3174406775"/>
    <n v="50725.142786439203"/>
  </r>
  <r>
    <x v="0"/>
    <x v="0"/>
    <x v="0"/>
    <x v="8"/>
    <x v="14"/>
    <s v="SE2_EL"/>
    <x v="0"/>
    <x v="0"/>
    <x v="7"/>
    <x v="3"/>
    <n v="249.68107772776401"/>
    <n v="15188.932228439"/>
    <n v="54680.156022380397"/>
  </r>
  <r>
    <x v="0"/>
    <x v="0"/>
    <x v="0"/>
    <x v="8"/>
    <x v="14"/>
    <s v="SE2_EL"/>
    <x v="0"/>
    <x v="0"/>
    <x v="7"/>
    <x v="4"/>
    <n v="288.06913483874001"/>
    <n v="17524.20570269"/>
    <n v="63087.140529684097"/>
  </r>
  <r>
    <x v="0"/>
    <x v="0"/>
    <x v="0"/>
    <x v="8"/>
    <x v="14"/>
    <s v="SE2_EL"/>
    <x v="0"/>
    <x v="0"/>
    <x v="7"/>
    <x v="5"/>
    <n v="316.33350519374102"/>
    <n v="19243.621565952599"/>
    <n v="69277.037637429195"/>
  </r>
  <r>
    <x v="0"/>
    <x v="0"/>
    <x v="0"/>
    <x v="8"/>
    <x v="14"/>
    <s v="SE2_EL"/>
    <x v="0"/>
    <x v="0"/>
    <x v="7"/>
    <x v="6"/>
    <n v="377.88329712865601"/>
    <n v="22987.900575326599"/>
    <n v="82756.442071175697"/>
  </r>
  <r>
    <x v="0"/>
    <x v="0"/>
    <x v="0"/>
    <x v="8"/>
    <x v="14"/>
    <s v="SE2_EL"/>
    <x v="0"/>
    <x v="0"/>
    <x v="7"/>
    <x v="7"/>
    <n v="416.30644024158602"/>
    <n v="25325.308448029798"/>
    <n v="91171.110412907394"/>
  </r>
  <r>
    <x v="0"/>
    <x v="0"/>
    <x v="0"/>
    <x v="8"/>
    <x v="14"/>
    <s v="SE2_EL"/>
    <x v="0"/>
    <x v="0"/>
    <x v="7"/>
    <x v="8"/>
    <n v="404.42753447809099"/>
    <n v="24602.675014083899"/>
    <n v="88569.630050701904"/>
  </r>
  <r>
    <x v="0"/>
    <x v="0"/>
    <x v="0"/>
    <x v="8"/>
    <x v="14"/>
    <s v="SE2_EL"/>
    <x v="0"/>
    <x v="0"/>
    <x v="7"/>
    <x v="9"/>
    <n v="378.78028029295399"/>
    <n v="23042.467051154701"/>
    <n v="82952.881384156804"/>
  </r>
  <r>
    <x v="0"/>
    <x v="0"/>
    <x v="0"/>
    <x v="8"/>
    <x v="14"/>
    <s v="SE2_EL"/>
    <x v="0"/>
    <x v="0"/>
    <x v="7"/>
    <x v="10"/>
    <n v="356.99327994592801"/>
    <n v="21717.0911967106"/>
    <n v="78181.528308158304"/>
  </r>
  <r>
    <x v="0"/>
    <x v="0"/>
    <x v="0"/>
    <x v="8"/>
    <x v="14"/>
    <s v="SE2_EL"/>
    <x v="0"/>
    <x v="0"/>
    <x v="7"/>
    <x v="11"/>
    <n v="342.84263768070599"/>
    <n v="20856.260458909601"/>
    <n v="75082.537652074694"/>
  </r>
  <r>
    <x v="0"/>
    <x v="0"/>
    <x v="0"/>
    <x v="8"/>
    <x v="14"/>
    <s v="SE2_EL"/>
    <x v="0"/>
    <x v="0"/>
    <x v="8"/>
    <x v="0"/>
    <n v="284.627138000549"/>
    <n v="17314.8175617001"/>
    <n v="62333.343222120297"/>
  </r>
  <r>
    <x v="0"/>
    <x v="0"/>
    <x v="0"/>
    <x v="8"/>
    <x v="14"/>
    <s v="SE2_EL"/>
    <x v="0"/>
    <x v="0"/>
    <x v="8"/>
    <x v="1"/>
    <n v="285.00395098059499"/>
    <n v="17337.740351319499"/>
    <n v="62415.865264750399"/>
  </r>
  <r>
    <x v="0"/>
    <x v="0"/>
    <x v="0"/>
    <x v="8"/>
    <x v="14"/>
    <s v="SE2_EL"/>
    <x v="0"/>
    <x v="0"/>
    <x v="8"/>
    <x v="2"/>
    <n v="293.606207854253"/>
    <n v="17861.044311133701"/>
    <n v="64299.759520081403"/>
  </r>
  <r>
    <x v="0"/>
    <x v="0"/>
    <x v="0"/>
    <x v="8"/>
    <x v="14"/>
    <s v="SE2_EL"/>
    <x v="0"/>
    <x v="0"/>
    <x v="8"/>
    <x v="3"/>
    <n v="301.584650352339"/>
    <n v="18346.3995631006"/>
    <n v="66047.038427162202"/>
  </r>
  <r>
    <x v="0"/>
    <x v="0"/>
    <x v="0"/>
    <x v="8"/>
    <x v="14"/>
    <s v="SE2_EL"/>
    <x v="0"/>
    <x v="0"/>
    <x v="8"/>
    <x v="4"/>
    <n v="321.44935076473502"/>
    <n v="19554.835504854698"/>
    <n v="70397.407817476997"/>
  </r>
  <r>
    <x v="0"/>
    <x v="0"/>
    <x v="0"/>
    <x v="8"/>
    <x v="14"/>
    <s v="SE2_EL"/>
    <x v="0"/>
    <x v="0"/>
    <x v="8"/>
    <x v="5"/>
    <n v="339.56810002210398"/>
    <n v="20657.0594180113"/>
    <n v="74365.413904840796"/>
  </r>
  <r>
    <x v="0"/>
    <x v="0"/>
    <x v="0"/>
    <x v="8"/>
    <x v="14"/>
    <s v="SE2_EL"/>
    <x v="0"/>
    <x v="0"/>
    <x v="8"/>
    <x v="6"/>
    <n v="398.13126948480499"/>
    <n v="24219.652226992301"/>
    <n v="87190.7480171723"/>
  </r>
  <r>
    <x v="0"/>
    <x v="0"/>
    <x v="0"/>
    <x v="8"/>
    <x v="14"/>
    <s v="SE2_EL"/>
    <x v="0"/>
    <x v="0"/>
    <x v="8"/>
    <x v="7"/>
    <n v="432.80089888969599"/>
    <n v="26328.721349123101"/>
    <n v="94783.396856843305"/>
  </r>
  <r>
    <x v="0"/>
    <x v="0"/>
    <x v="0"/>
    <x v="8"/>
    <x v="14"/>
    <s v="SE2_EL"/>
    <x v="0"/>
    <x v="0"/>
    <x v="8"/>
    <x v="8"/>
    <n v="438.20564961883599"/>
    <n v="26657.5103518125"/>
    <n v="95967.037266525105"/>
  </r>
  <r>
    <x v="0"/>
    <x v="0"/>
    <x v="0"/>
    <x v="8"/>
    <x v="14"/>
    <s v="SE2_EL"/>
    <x v="0"/>
    <x v="0"/>
    <x v="8"/>
    <x v="9"/>
    <n v="425.24628316781201"/>
    <n v="25869.148892708501"/>
    <n v="93128.936013750805"/>
  </r>
  <r>
    <x v="0"/>
    <x v="0"/>
    <x v="0"/>
    <x v="8"/>
    <x v="14"/>
    <s v="SE2_EL"/>
    <x v="0"/>
    <x v="0"/>
    <x v="8"/>
    <x v="10"/>
    <n v="403.29800945943202"/>
    <n v="24533.9622421155"/>
    <n v="88322.264071615704"/>
  </r>
  <r>
    <x v="0"/>
    <x v="0"/>
    <x v="0"/>
    <x v="8"/>
    <x v="14"/>
    <s v="SE2_EL"/>
    <x v="0"/>
    <x v="0"/>
    <x v="8"/>
    <x v="11"/>
    <n v="385.14230851080902"/>
    <n v="23429.490434407599"/>
    <n v="84346.165563867296"/>
  </r>
  <r>
    <x v="0"/>
    <x v="0"/>
    <x v="0"/>
    <x v="8"/>
    <x v="14"/>
    <s v="SE2_EL"/>
    <x v="0"/>
    <x v="0"/>
    <x v="9"/>
    <x v="0"/>
    <n v="197.09789726887601"/>
    <n v="11990.122083856601"/>
    <n v="43164.439501883797"/>
  </r>
  <r>
    <x v="0"/>
    <x v="0"/>
    <x v="0"/>
    <x v="8"/>
    <x v="14"/>
    <s v="SE2_EL"/>
    <x v="0"/>
    <x v="0"/>
    <x v="9"/>
    <x v="1"/>
    <n v="198.150183889131"/>
    <n v="12054.136186588799"/>
    <n v="43394.890271719698"/>
  </r>
  <r>
    <x v="0"/>
    <x v="0"/>
    <x v="0"/>
    <x v="8"/>
    <x v="14"/>
    <s v="SE2_EL"/>
    <x v="0"/>
    <x v="0"/>
    <x v="9"/>
    <x v="2"/>
    <n v="202.418171340322"/>
    <n v="12313.772089869601"/>
    <n v="44329.579523530498"/>
  </r>
  <r>
    <x v="0"/>
    <x v="0"/>
    <x v="0"/>
    <x v="8"/>
    <x v="14"/>
    <s v="SE2_EL"/>
    <x v="0"/>
    <x v="0"/>
    <x v="9"/>
    <x v="3"/>
    <n v="209.542768531267"/>
    <n v="12747.1850856521"/>
    <n v="45889.866308347497"/>
  </r>
  <r>
    <x v="0"/>
    <x v="0"/>
    <x v="0"/>
    <x v="8"/>
    <x v="14"/>
    <s v="SE2_EL"/>
    <x v="0"/>
    <x v="0"/>
    <x v="9"/>
    <x v="4"/>
    <n v="222.09700243750001"/>
    <n v="13510.900981614601"/>
    <n v="48639.2435338125"/>
  </r>
  <r>
    <x v="0"/>
    <x v="0"/>
    <x v="0"/>
    <x v="8"/>
    <x v="14"/>
    <s v="SE2_EL"/>
    <x v="0"/>
    <x v="0"/>
    <x v="9"/>
    <x v="5"/>
    <n v="238.77371780483301"/>
    <n v="14525.401166460701"/>
    <n v="52291.444199258403"/>
  </r>
  <r>
    <x v="0"/>
    <x v="0"/>
    <x v="0"/>
    <x v="8"/>
    <x v="14"/>
    <s v="SE2_EL"/>
    <x v="0"/>
    <x v="0"/>
    <x v="9"/>
    <x v="6"/>
    <n v="281.43566491984802"/>
    <n v="17120.669615957398"/>
    <n v="61634.4106174466"/>
  </r>
  <r>
    <x v="0"/>
    <x v="0"/>
    <x v="0"/>
    <x v="8"/>
    <x v="14"/>
    <s v="SE2_EL"/>
    <x v="0"/>
    <x v="0"/>
    <x v="9"/>
    <x v="7"/>
    <n v="300.21567470128701"/>
    <n v="18263.120210994901"/>
    <n v="65747.232759581806"/>
  </r>
  <r>
    <x v="0"/>
    <x v="0"/>
    <x v="0"/>
    <x v="8"/>
    <x v="14"/>
    <s v="SE2_EL"/>
    <x v="0"/>
    <x v="0"/>
    <x v="9"/>
    <x v="8"/>
    <n v="296.94119348924801"/>
    <n v="18063.922603929201"/>
    <n v="65030.121374145201"/>
  </r>
  <r>
    <x v="0"/>
    <x v="0"/>
    <x v="0"/>
    <x v="8"/>
    <x v="14"/>
    <s v="SE2_EL"/>
    <x v="0"/>
    <x v="0"/>
    <x v="9"/>
    <x v="9"/>
    <n v="287.06464319577998"/>
    <n v="17463.099127743299"/>
    <n v="62867.156859875802"/>
  </r>
  <r>
    <x v="0"/>
    <x v="0"/>
    <x v="0"/>
    <x v="8"/>
    <x v="14"/>
    <s v="SE2_EL"/>
    <x v="0"/>
    <x v="0"/>
    <x v="9"/>
    <x v="10"/>
    <n v="276.097133221869"/>
    <n v="16795.908937663698"/>
    <n v="60465.2721755893"/>
  </r>
  <r>
    <x v="0"/>
    <x v="0"/>
    <x v="0"/>
    <x v="8"/>
    <x v="14"/>
    <s v="SE2_EL"/>
    <x v="0"/>
    <x v="0"/>
    <x v="9"/>
    <x v="11"/>
    <n v="273.50818691505299"/>
    <n v="16638.4147039991"/>
    <n v="59898.292934396603"/>
  </r>
  <r>
    <x v="0"/>
    <x v="0"/>
    <x v="0"/>
    <x v="8"/>
    <x v="14"/>
    <s v="SE2_EL"/>
    <x v="0"/>
    <x v="0"/>
    <x v="10"/>
    <x v="0"/>
    <n v="107.405617047825"/>
    <n v="6533.8417037426798"/>
    <n v="23521.830133473599"/>
  </r>
  <r>
    <x v="0"/>
    <x v="0"/>
    <x v="0"/>
    <x v="8"/>
    <x v="14"/>
    <s v="SE2_EL"/>
    <x v="0"/>
    <x v="0"/>
    <x v="10"/>
    <x v="1"/>
    <n v="110.00471515657"/>
    <n v="6691.9535053580403"/>
    <n v="24091.032619288901"/>
  </r>
  <r>
    <x v="0"/>
    <x v="0"/>
    <x v="0"/>
    <x v="8"/>
    <x v="14"/>
    <s v="SE2_EL"/>
    <x v="0"/>
    <x v="0"/>
    <x v="10"/>
    <x v="2"/>
    <n v="108.853912130693"/>
    <n v="6621.94632128384"/>
    <n v="23839.006756621799"/>
  </r>
  <r>
    <x v="0"/>
    <x v="0"/>
    <x v="0"/>
    <x v="8"/>
    <x v="14"/>
    <s v="SE2_EL"/>
    <x v="0"/>
    <x v="0"/>
    <x v="10"/>
    <x v="3"/>
    <n v="116.667112627222"/>
    <n v="7097.2493514893304"/>
    <n v="25550.097665361602"/>
  </r>
  <r>
    <x v="0"/>
    <x v="0"/>
    <x v="0"/>
    <x v="8"/>
    <x v="14"/>
    <s v="SE2_EL"/>
    <x v="0"/>
    <x v="0"/>
    <x v="10"/>
    <x v="4"/>
    <n v="123.793041510043"/>
    <n v="7530.7433585275903"/>
    <n v="27110.6760906993"/>
  </r>
  <r>
    <x v="0"/>
    <x v="0"/>
    <x v="0"/>
    <x v="8"/>
    <x v="14"/>
    <s v="SE2_EL"/>
    <x v="0"/>
    <x v="0"/>
    <x v="10"/>
    <x v="5"/>
    <n v="141.69931338523099"/>
    <n v="8620.0415642682092"/>
    <n v="31032.149631365599"/>
  </r>
  <r>
    <x v="0"/>
    <x v="0"/>
    <x v="0"/>
    <x v="8"/>
    <x v="14"/>
    <s v="SE2_EL"/>
    <x v="0"/>
    <x v="0"/>
    <x v="10"/>
    <x v="6"/>
    <n v="171.97947312491499"/>
    <n v="10462.084615099"/>
    <n v="37663.504614356301"/>
  </r>
  <r>
    <x v="0"/>
    <x v="0"/>
    <x v="0"/>
    <x v="8"/>
    <x v="14"/>
    <s v="SE2_EL"/>
    <x v="0"/>
    <x v="0"/>
    <x v="10"/>
    <x v="7"/>
    <n v="182.701265835459"/>
    <n v="11114.3270049904"/>
    <n v="40011.577217965598"/>
  </r>
  <r>
    <x v="0"/>
    <x v="0"/>
    <x v="0"/>
    <x v="8"/>
    <x v="14"/>
    <s v="SE2_EL"/>
    <x v="0"/>
    <x v="0"/>
    <x v="10"/>
    <x v="8"/>
    <n v="175.069747358212"/>
    <n v="10650.076297624601"/>
    <n v="38340.274671448402"/>
  </r>
  <r>
    <x v="0"/>
    <x v="0"/>
    <x v="0"/>
    <x v="8"/>
    <x v="14"/>
    <s v="SE2_EL"/>
    <x v="0"/>
    <x v="0"/>
    <x v="10"/>
    <x v="9"/>
    <n v="166.33140268217801"/>
    <n v="10118.4936631658"/>
    <n v="36426.577187397001"/>
  </r>
  <r>
    <x v="0"/>
    <x v="0"/>
    <x v="0"/>
    <x v="8"/>
    <x v="14"/>
    <s v="SE2_EL"/>
    <x v="0"/>
    <x v="0"/>
    <x v="10"/>
    <x v="10"/>
    <n v="159.27540461674499"/>
    <n v="9689.2537808519901"/>
    <n v="34881.313611067199"/>
  </r>
  <r>
    <x v="0"/>
    <x v="0"/>
    <x v="0"/>
    <x v="8"/>
    <x v="14"/>
    <s v="SE2_EL"/>
    <x v="0"/>
    <x v="0"/>
    <x v="10"/>
    <x v="11"/>
    <n v="156.49366865809199"/>
    <n v="9520.0315100339194"/>
    <n v="34272.113436122097"/>
  </r>
  <r>
    <x v="0"/>
    <x v="0"/>
    <x v="0"/>
    <x v="8"/>
    <x v="14"/>
    <s v="SE2_EL"/>
    <x v="0"/>
    <x v="0"/>
    <x v="11"/>
    <x v="0"/>
    <n v="173.94843272513401"/>
    <n v="10581.862990779"/>
    <n v="38094.706766804302"/>
  </r>
  <r>
    <x v="0"/>
    <x v="0"/>
    <x v="0"/>
    <x v="8"/>
    <x v="14"/>
    <s v="SE2_EL"/>
    <x v="0"/>
    <x v="0"/>
    <x v="11"/>
    <x v="1"/>
    <n v="175.81333854901399"/>
    <n v="10695.3114283983"/>
    <n v="38503.1211422341"/>
  </r>
  <r>
    <x v="0"/>
    <x v="0"/>
    <x v="0"/>
    <x v="8"/>
    <x v="14"/>
    <s v="SE2_EL"/>
    <x v="0"/>
    <x v="0"/>
    <x v="11"/>
    <x v="2"/>
    <n v="179.14369452473699"/>
    <n v="10897.9080835882"/>
    <n v="39232.4691009175"/>
  </r>
  <r>
    <x v="0"/>
    <x v="0"/>
    <x v="0"/>
    <x v="8"/>
    <x v="14"/>
    <s v="SE2_EL"/>
    <x v="0"/>
    <x v="0"/>
    <x v="11"/>
    <x v="3"/>
    <n v="187.43450281411501"/>
    <n v="11402.265587858699"/>
    <n v="41048.156116291299"/>
  </r>
  <r>
    <x v="0"/>
    <x v="0"/>
    <x v="0"/>
    <x v="8"/>
    <x v="14"/>
    <s v="SE2_EL"/>
    <x v="0"/>
    <x v="0"/>
    <x v="11"/>
    <x v="4"/>
    <n v="199.72448825912599"/>
    <n v="12149.9063690969"/>
    <n v="43739.662928748701"/>
  </r>
  <r>
    <x v="0"/>
    <x v="0"/>
    <x v="0"/>
    <x v="8"/>
    <x v="14"/>
    <s v="SE2_EL"/>
    <x v="0"/>
    <x v="0"/>
    <x v="11"/>
    <x v="5"/>
    <n v="216.47015909991799"/>
    <n v="13168.601345245001"/>
    <n v="47406.964842882"/>
  </r>
  <r>
    <x v="0"/>
    <x v="0"/>
    <x v="0"/>
    <x v="8"/>
    <x v="14"/>
    <s v="SE2_EL"/>
    <x v="0"/>
    <x v="0"/>
    <x v="11"/>
    <x v="6"/>
    <n v="255.557107696873"/>
    <n v="15546.390718226499"/>
    <n v="55967.006585615301"/>
  </r>
  <r>
    <x v="0"/>
    <x v="0"/>
    <x v="0"/>
    <x v="8"/>
    <x v="14"/>
    <s v="SE2_EL"/>
    <x v="0"/>
    <x v="0"/>
    <x v="11"/>
    <x v="7"/>
    <n v="270.51941806222499"/>
    <n v="16456.597932118701"/>
    <n v="59243.752555627398"/>
  </r>
  <r>
    <x v="0"/>
    <x v="0"/>
    <x v="0"/>
    <x v="8"/>
    <x v="14"/>
    <s v="SE2_EL"/>
    <x v="0"/>
    <x v="0"/>
    <x v="11"/>
    <x v="8"/>
    <n v="263.55453905842398"/>
    <n v="16032.901126054099"/>
    <n v="57718.444053794898"/>
  </r>
  <r>
    <x v="0"/>
    <x v="0"/>
    <x v="0"/>
    <x v="8"/>
    <x v="14"/>
    <s v="SE2_EL"/>
    <x v="0"/>
    <x v="0"/>
    <x v="11"/>
    <x v="9"/>
    <n v="251.91806839256299"/>
    <n v="15325.0158272142"/>
    <n v="55170.056977971297"/>
  </r>
  <r>
    <x v="0"/>
    <x v="0"/>
    <x v="0"/>
    <x v="8"/>
    <x v="14"/>
    <s v="SE2_EL"/>
    <x v="0"/>
    <x v="0"/>
    <x v="11"/>
    <x v="10"/>
    <n v="240.516576421238"/>
    <n v="14631.425065625301"/>
    <n v="52673.1302362512"/>
  </r>
  <r>
    <x v="0"/>
    <x v="0"/>
    <x v="0"/>
    <x v="8"/>
    <x v="14"/>
    <s v="SE2_EL"/>
    <x v="0"/>
    <x v="0"/>
    <x v="11"/>
    <x v="11"/>
    <n v="233.18190149952301"/>
    <n v="14185.232341221001"/>
    <n v="51066.836428395603"/>
  </r>
  <r>
    <x v="0"/>
    <x v="0"/>
    <x v="0"/>
    <x v="8"/>
    <x v="14"/>
    <s v="SE2_OTHER"/>
    <x v="0"/>
    <x v="0"/>
    <x v="0"/>
    <x v="0"/>
    <n v="164.69215788682399"/>
    <n v="10018.7729381152"/>
    <n v="36067.582577214598"/>
  </r>
  <r>
    <x v="0"/>
    <x v="0"/>
    <x v="0"/>
    <x v="8"/>
    <x v="14"/>
    <s v="SE2_OTHER"/>
    <x v="0"/>
    <x v="0"/>
    <x v="0"/>
    <x v="1"/>
    <n v="162.78402701353701"/>
    <n v="9902.6949766568305"/>
    <n v="35649.701915964601"/>
  </r>
  <r>
    <x v="0"/>
    <x v="0"/>
    <x v="0"/>
    <x v="8"/>
    <x v="14"/>
    <s v="SE2_OTHER"/>
    <x v="0"/>
    <x v="0"/>
    <x v="0"/>
    <x v="2"/>
    <n v="162.14559346961201"/>
    <n v="9863.8569360680794"/>
    <n v="35509.884969845101"/>
  </r>
  <r>
    <x v="0"/>
    <x v="0"/>
    <x v="0"/>
    <x v="8"/>
    <x v="14"/>
    <s v="SE2_OTHER"/>
    <x v="0"/>
    <x v="0"/>
    <x v="0"/>
    <x v="3"/>
    <n v="163.20503863348901"/>
    <n v="9928.3065168705998"/>
    <n v="35741.903460734196"/>
  </r>
  <r>
    <x v="0"/>
    <x v="0"/>
    <x v="0"/>
    <x v="8"/>
    <x v="14"/>
    <s v="SE2_OTHER"/>
    <x v="0"/>
    <x v="0"/>
    <x v="0"/>
    <x v="4"/>
    <n v="166.75871739238499"/>
    <n v="10144.488641370101"/>
    <n v="36520.159108932203"/>
  </r>
  <r>
    <x v="0"/>
    <x v="0"/>
    <x v="0"/>
    <x v="8"/>
    <x v="14"/>
    <s v="SE2_OTHER"/>
    <x v="0"/>
    <x v="0"/>
    <x v="0"/>
    <x v="5"/>
    <n v="179.53173492548299"/>
    <n v="10921.5138746336"/>
    <n v="39317.449948680798"/>
  </r>
  <r>
    <x v="0"/>
    <x v="0"/>
    <x v="0"/>
    <x v="8"/>
    <x v="14"/>
    <s v="SE2_OTHER"/>
    <x v="0"/>
    <x v="0"/>
    <x v="0"/>
    <x v="6"/>
    <n v="210.15769466957099"/>
    <n v="12784.5930923989"/>
    <n v="46024.535132636003"/>
  </r>
  <r>
    <x v="0"/>
    <x v="0"/>
    <x v="0"/>
    <x v="8"/>
    <x v="14"/>
    <s v="SE2_OTHER"/>
    <x v="0"/>
    <x v="0"/>
    <x v="0"/>
    <x v="7"/>
    <n v="223.71119139559099"/>
    <n v="13609.097476565101"/>
    <n v="48992.7509156343"/>
  </r>
  <r>
    <x v="0"/>
    <x v="0"/>
    <x v="0"/>
    <x v="8"/>
    <x v="14"/>
    <s v="SE2_OTHER"/>
    <x v="0"/>
    <x v="0"/>
    <x v="0"/>
    <x v="8"/>
    <n v="221.19161875257601"/>
    <n v="13455.823474115001"/>
    <n v="48440.964506814104"/>
  </r>
  <r>
    <x v="0"/>
    <x v="0"/>
    <x v="0"/>
    <x v="8"/>
    <x v="14"/>
    <s v="SE2_OTHER"/>
    <x v="0"/>
    <x v="0"/>
    <x v="0"/>
    <x v="9"/>
    <n v="215.940740170266"/>
    <n v="13136.3950270245"/>
    <n v="47291.022097288202"/>
  </r>
  <r>
    <x v="0"/>
    <x v="0"/>
    <x v="0"/>
    <x v="8"/>
    <x v="14"/>
    <s v="SE2_OTHER"/>
    <x v="0"/>
    <x v="0"/>
    <x v="0"/>
    <x v="10"/>
    <n v="209.502729494497"/>
    <n v="12744.7493775819"/>
    <n v="45881.097759294898"/>
  </r>
  <r>
    <x v="0"/>
    <x v="0"/>
    <x v="0"/>
    <x v="8"/>
    <x v="14"/>
    <s v="SE2_OTHER"/>
    <x v="0"/>
    <x v="0"/>
    <x v="0"/>
    <x v="11"/>
    <n v="204.73434798208501"/>
    <n v="12454.672835576799"/>
    <n v="44836.822208076599"/>
  </r>
  <r>
    <x v="0"/>
    <x v="0"/>
    <x v="0"/>
    <x v="8"/>
    <x v="14"/>
    <s v="SE2_OTHER"/>
    <x v="0"/>
    <x v="0"/>
    <x v="1"/>
    <x v="0"/>
    <n v="209.799814531056"/>
    <n v="12762.822050639201"/>
    <n v="45946.159382301201"/>
  </r>
  <r>
    <x v="0"/>
    <x v="0"/>
    <x v="0"/>
    <x v="8"/>
    <x v="14"/>
    <s v="SE2_OTHER"/>
    <x v="0"/>
    <x v="0"/>
    <x v="1"/>
    <x v="1"/>
    <n v="207.90720419186599"/>
    <n v="12647.6882550052"/>
    <n v="45531.677718018604"/>
  </r>
  <r>
    <x v="0"/>
    <x v="0"/>
    <x v="0"/>
    <x v="8"/>
    <x v="14"/>
    <s v="SE2_OTHER"/>
    <x v="0"/>
    <x v="0"/>
    <x v="1"/>
    <x v="2"/>
    <n v="210.652926541672"/>
    <n v="12814.719697951699"/>
    <n v="46132.990912626199"/>
  </r>
  <r>
    <x v="0"/>
    <x v="0"/>
    <x v="0"/>
    <x v="8"/>
    <x v="14"/>
    <s v="SE2_OTHER"/>
    <x v="0"/>
    <x v="0"/>
    <x v="1"/>
    <x v="3"/>
    <n v="216.94169465735499"/>
    <n v="13197.286424989101"/>
    <n v="47510.231129960797"/>
  </r>
  <r>
    <x v="0"/>
    <x v="0"/>
    <x v="0"/>
    <x v="8"/>
    <x v="14"/>
    <s v="SE2_OTHER"/>
    <x v="0"/>
    <x v="0"/>
    <x v="1"/>
    <x v="4"/>
    <n v="224.89323930818199"/>
    <n v="13681.0053912477"/>
    <n v="49251.619408491897"/>
  </r>
  <r>
    <x v="0"/>
    <x v="0"/>
    <x v="0"/>
    <x v="8"/>
    <x v="14"/>
    <s v="SE2_OTHER"/>
    <x v="0"/>
    <x v="0"/>
    <x v="1"/>
    <x v="5"/>
    <n v="239.74728696238"/>
    <n v="14584.6266235448"/>
    <n v="52504.655844761299"/>
  </r>
  <r>
    <x v="0"/>
    <x v="0"/>
    <x v="0"/>
    <x v="8"/>
    <x v="14"/>
    <s v="SE2_OTHER"/>
    <x v="0"/>
    <x v="0"/>
    <x v="1"/>
    <x v="6"/>
    <n v="278.85407907241199"/>
    <n v="16963.623143571702"/>
    <n v="61069.043316858202"/>
  </r>
  <r>
    <x v="0"/>
    <x v="0"/>
    <x v="0"/>
    <x v="8"/>
    <x v="14"/>
    <s v="SE2_OTHER"/>
    <x v="0"/>
    <x v="0"/>
    <x v="1"/>
    <x v="7"/>
    <n v="299.11932074730498"/>
    <n v="18196.425345461099"/>
    <n v="65507.131243659802"/>
  </r>
  <r>
    <x v="0"/>
    <x v="0"/>
    <x v="0"/>
    <x v="8"/>
    <x v="14"/>
    <s v="SE2_OTHER"/>
    <x v="0"/>
    <x v="0"/>
    <x v="1"/>
    <x v="8"/>
    <n v="300.42745525031199"/>
    <n v="18276.003527727298"/>
    <n v="65793.612699818303"/>
  </r>
  <r>
    <x v="0"/>
    <x v="0"/>
    <x v="0"/>
    <x v="8"/>
    <x v="14"/>
    <s v="SE2_OTHER"/>
    <x v="0"/>
    <x v="0"/>
    <x v="1"/>
    <x v="9"/>
    <n v="304.425622730388"/>
    <n v="18519.2253827653"/>
    <n v="66669.211377954998"/>
  </r>
  <r>
    <x v="0"/>
    <x v="0"/>
    <x v="0"/>
    <x v="8"/>
    <x v="14"/>
    <s v="SE2_OTHER"/>
    <x v="0"/>
    <x v="0"/>
    <x v="1"/>
    <x v="10"/>
    <n v="300.09346841193701"/>
    <n v="18255.685995059499"/>
    <n v="65720.469582214297"/>
  </r>
  <r>
    <x v="0"/>
    <x v="0"/>
    <x v="0"/>
    <x v="8"/>
    <x v="14"/>
    <s v="SE2_OTHER"/>
    <x v="0"/>
    <x v="0"/>
    <x v="1"/>
    <x v="11"/>
    <n v="299.47278158320398"/>
    <n v="18217.927546311599"/>
    <n v="65584.539166721603"/>
  </r>
  <r>
    <x v="0"/>
    <x v="0"/>
    <x v="0"/>
    <x v="8"/>
    <x v="14"/>
    <s v="SE2_OTHER"/>
    <x v="0"/>
    <x v="0"/>
    <x v="2"/>
    <x v="0"/>
    <n v="133.120899058661"/>
    <n v="8098.1880260685402"/>
    <n v="29153.476893846699"/>
  </r>
  <r>
    <x v="0"/>
    <x v="0"/>
    <x v="0"/>
    <x v="8"/>
    <x v="14"/>
    <s v="SE2_OTHER"/>
    <x v="0"/>
    <x v="0"/>
    <x v="2"/>
    <x v="1"/>
    <n v="132.11654379277101"/>
    <n v="8037.0897473935902"/>
    <n v="28933.523090616902"/>
  </r>
  <r>
    <x v="0"/>
    <x v="0"/>
    <x v="0"/>
    <x v="8"/>
    <x v="14"/>
    <s v="SE2_OTHER"/>
    <x v="0"/>
    <x v="0"/>
    <x v="2"/>
    <x v="2"/>
    <n v="131.08927670537301"/>
    <n v="7974.5976662435096"/>
    <n v="28708.551598476599"/>
  </r>
  <r>
    <x v="0"/>
    <x v="0"/>
    <x v="0"/>
    <x v="8"/>
    <x v="14"/>
    <s v="SE2_OTHER"/>
    <x v="0"/>
    <x v="0"/>
    <x v="2"/>
    <x v="3"/>
    <n v="132.43022126247101"/>
    <n v="8056.1717934670096"/>
    <n v="29002.218456481201"/>
  </r>
  <r>
    <x v="0"/>
    <x v="0"/>
    <x v="0"/>
    <x v="8"/>
    <x v="14"/>
    <s v="SE2_OTHER"/>
    <x v="0"/>
    <x v="0"/>
    <x v="2"/>
    <x v="4"/>
    <n v="136.51572360981601"/>
    <n v="8304.7065195971209"/>
    <n v="29896.943470549599"/>
  </r>
  <r>
    <x v="0"/>
    <x v="0"/>
    <x v="0"/>
    <x v="8"/>
    <x v="14"/>
    <s v="SE2_OTHER"/>
    <x v="0"/>
    <x v="0"/>
    <x v="2"/>
    <x v="5"/>
    <n v="151.048079970863"/>
    <n v="9188.7581982275005"/>
    <n v="33079.529513619003"/>
  </r>
  <r>
    <x v="0"/>
    <x v="0"/>
    <x v="0"/>
    <x v="8"/>
    <x v="14"/>
    <s v="SE2_OTHER"/>
    <x v="0"/>
    <x v="0"/>
    <x v="2"/>
    <x v="6"/>
    <n v="179.226896125276"/>
    <n v="10902.969514287601"/>
    <n v="39250.690251435401"/>
  </r>
  <r>
    <x v="0"/>
    <x v="0"/>
    <x v="0"/>
    <x v="8"/>
    <x v="14"/>
    <s v="SE2_OTHER"/>
    <x v="0"/>
    <x v="0"/>
    <x v="2"/>
    <x v="7"/>
    <n v="191.887706990124"/>
    <n v="11673.1688418992"/>
    <n v="42023.407830837197"/>
  </r>
  <r>
    <x v="0"/>
    <x v="0"/>
    <x v="0"/>
    <x v="8"/>
    <x v="14"/>
    <s v="SE2_OTHER"/>
    <x v="0"/>
    <x v="0"/>
    <x v="2"/>
    <x v="8"/>
    <n v="190.66210775822"/>
    <n v="11598.6115552917"/>
    <n v="41755.001599050098"/>
  </r>
  <r>
    <x v="0"/>
    <x v="0"/>
    <x v="0"/>
    <x v="8"/>
    <x v="14"/>
    <s v="SE2_OTHER"/>
    <x v="0"/>
    <x v="0"/>
    <x v="2"/>
    <x v="9"/>
    <n v="186.84376523005201"/>
    <n v="11366.3290514948"/>
    <n v="40918.784585381502"/>
  </r>
  <r>
    <x v="0"/>
    <x v="0"/>
    <x v="0"/>
    <x v="8"/>
    <x v="14"/>
    <s v="SE2_OTHER"/>
    <x v="0"/>
    <x v="0"/>
    <x v="2"/>
    <x v="10"/>
    <n v="184.652294799228"/>
    <n v="11233.0146002864"/>
    <n v="40438.852561030901"/>
  </r>
  <r>
    <x v="0"/>
    <x v="0"/>
    <x v="0"/>
    <x v="8"/>
    <x v="14"/>
    <s v="SE2_OTHER"/>
    <x v="0"/>
    <x v="0"/>
    <x v="2"/>
    <x v="11"/>
    <n v="183.92740825290801"/>
    <n v="11188.9173353852"/>
    <n v="40280.102407386803"/>
  </r>
  <r>
    <x v="0"/>
    <x v="0"/>
    <x v="0"/>
    <x v="8"/>
    <x v="14"/>
    <s v="SE2_OTHER"/>
    <x v="0"/>
    <x v="0"/>
    <x v="3"/>
    <x v="0"/>
    <n v="189.312539215123"/>
    <n v="11516.512802253301"/>
    <n v="41459.446088111901"/>
  </r>
  <r>
    <x v="0"/>
    <x v="0"/>
    <x v="0"/>
    <x v="8"/>
    <x v="14"/>
    <s v="SE2_OTHER"/>
    <x v="0"/>
    <x v="0"/>
    <x v="3"/>
    <x v="1"/>
    <n v="187.03242067944399"/>
    <n v="11377.805591332801"/>
    <n v="40960.1001287982"/>
  </r>
  <r>
    <x v="0"/>
    <x v="0"/>
    <x v="0"/>
    <x v="8"/>
    <x v="14"/>
    <s v="SE2_OTHER"/>
    <x v="0"/>
    <x v="0"/>
    <x v="3"/>
    <x v="2"/>
    <n v="187.84694590916001"/>
    <n v="11427.3558761405"/>
    <n v="41138.481154105903"/>
  </r>
  <r>
    <x v="0"/>
    <x v="0"/>
    <x v="0"/>
    <x v="8"/>
    <x v="14"/>
    <s v="SE2_OTHER"/>
    <x v="0"/>
    <x v="0"/>
    <x v="3"/>
    <x v="3"/>
    <n v="190.87614955366499"/>
    <n v="11611.6324311813"/>
    <n v="41801.876752252698"/>
  </r>
  <r>
    <x v="0"/>
    <x v="0"/>
    <x v="0"/>
    <x v="8"/>
    <x v="14"/>
    <s v="SE2_OTHER"/>
    <x v="0"/>
    <x v="0"/>
    <x v="3"/>
    <x v="4"/>
    <n v="197.995128133469"/>
    <n v="12044.7036281193"/>
    <n v="43360.933061229603"/>
  </r>
  <r>
    <x v="0"/>
    <x v="0"/>
    <x v="0"/>
    <x v="8"/>
    <x v="14"/>
    <s v="SE2_OTHER"/>
    <x v="0"/>
    <x v="0"/>
    <x v="3"/>
    <x v="5"/>
    <n v="213.69436938641201"/>
    <n v="12999.740804339999"/>
    <n v="46799.066895624201"/>
  </r>
  <r>
    <x v="0"/>
    <x v="0"/>
    <x v="0"/>
    <x v="8"/>
    <x v="14"/>
    <s v="SE2_OTHER"/>
    <x v="0"/>
    <x v="0"/>
    <x v="3"/>
    <x v="6"/>
    <n v="250.40806818435399"/>
    <n v="15233.157481214899"/>
    <n v="54839.366932373501"/>
  </r>
  <r>
    <x v="0"/>
    <x v="0"/>
    <x v="0"/>
    <x v="8"/>
    <x v="14"/>
    <s v="SE2_OTHER"/>
    <x v="0"/>
    <x v="0"/>
    <x v="3"/>
    <x v="7"/>
    <n v="269.72514865524101"/>
    <n v="16408.2798765271"/>
    <n v="59069.807555497697"/>
  </r>
  <r>
    <x v="0"/>
    <x v="0"/>
    <x v="0"/>
    <x v="8"/>
    <x v="14"/>
    <s v="SE2_OTHER"/>
    <x v="0"/>
    <x v="0"/>
    <x v="3"/>
    <x v="8"/>
    <n v="269.92984382864603"/>
    <n v="16420.7321662426"/>
    <n v="59114.6357984735"/>
  </r>
  <r>
    <x v="0"/>
    <x v="0"/>
    <x v="0"/>
    <x v="8"/>
    <x v="14"/>
    <s v="SE2_OTHER"/>
    <x v="0"/>
    <x v="0"/>
    <x v="3"/>
    <x v="9"/>
    <n v="264.83064750873598"/>
    <n v="16110.5310567815"/>
    <n v="57997.911804413299"/>
  </r>
  <r>
    <x v="0"/>
    <x v="0"/>
    <x v="0"/>
    <x v="8"/>
    <x v="14"/>
    <s v="SE2_OTHER"/>
    <x v="0"/>
    <x v="0"/>
    <x v="3"/>
    <x v="10"/>
    <n v="257.43614180185801"/>
    <n v="15660.6986262797"/>
    <n v="56378.515054606803"/>
  </r>
  <r>
    <x v="0"/>
    <x v="0"/>
    <x v="0"/>
    <x v="8"/>
    <x v="14"/>
    <s v="SE2_OTHER"/>
    <x v="0"/>
    <x v="0"/>
    <x v="3"/>
    <x v="11"/>
    <n v="253.85677553095601"/>
    <n v="15442.9538447998"/>
    <n v="55594.633841279297"/>
  </r>
  <r>
    <x v="0"/>
    <x v="0"/>
    <x v="0"/>
    <x v="8"/>
    <x v="14"/>
    <s v="SE2_OTHER"/>
    <x v="0"/>
    <x v="0"/>
    <x v="4"/>
    <x v="0"/>
    <n v="198.17691815934501"/>
    <n v="12055.7625213602"/>
    <n v="43400.745076896601"/>
  </r>
  <r>
    <x v="0"/>
    <x v="0"/>
    <x v="0"/>
    <x v="8"/>
    <x v="14"/>
    <s v="SE2_OTHER"/>
    <x v="0"/>
    <x v="0"/>
    <x v="4"/>
    <x v="1"/>
    <n v="195.47758079641"/>
    <n v="11891.552831781601"/>
    <n v="42809.590194413802"/>
  </r>
  <r>
    <x v="0"/>
    <x v="0"/>
    <x v="0"/>
    <x v="8"/>
    <x v="14"/>
    <s v="SE2_OTHER"/>
    <x v="0"/>
    <x v="0"/>
    <x v="4"/>
    <x v="2"/>
    <n v="196.26171045989901"/>
    <n v="11939.2540529772"/>
    <n v="42981.314590717797"/>
  </r>
  <r>
    <x v="0"/>
    <x v="0"/>
    <x v="0"/>
    <x v="8"/>
    <x v="14"/>
    <s v="SE2_OTHER"/>
    <x v="0"/>
    <x v="0"/>
    <x v="4"/>
    <x v="3"/>
    <n v="199.51132935733699"/>
    <n v="12136.939202571401"/>
    <n v="43692.981129256899"/>
  </r>
  <r>
    <x v="0"/>
    <x v="0"/>
    <x v="0"/>
    <x v="8"/>
    <x v="14"/>
    <s v="SE2_OTHER"/>
    <x v="0"/>
    <x v="0"/>
    <x v="4"/>
    <x v="4"/>
    <n v="207.03308034902099"/>
    <n v="12594.5123878988"/>
    <n v="45340.244596435499"/>
  </r>
  <r>
    <x v="0"/>
    <x v="0"/>
    <x v="0"/>
    <x v="8"/>
    <x v="14"/>
    <s v="SE2_OTHER"/>
    <x v="0"/>
    <x v="0"/>
    <x v="4"/>
    <x v="5"/>
    <n v="222.93538887283"/>
    <n v="13561.9028230972"/>
    <n v="48822.8501631498"/>
  </r>
  <r>
    <x v="0"/>
    <x v="0"/>
    <x v="0"/>
    <x v="8"/>
    <x v="14"/>
    <s v="SE2_OTHER"/>
    <x v="0"/>
    <x v="0"/>
    <x v="4"/>
    <x v="6"/>
    <n v="260.18903863093101"/>
    <n v="15828.166516715"/>
    <n v="56981.399460173903"/>
  </r>
  <r>
    <x v="0"/>
    <x v="0"/>
    <x v="0"/>
    <x v="8"/>
    <x v="14"/>
    <s v="SE2_OTHER"/>
    <x v="0"/>
    <x v="0"/>
    <x v="4"/>
    <x v="7"/>
    <n v="280.19901277278399"/>
    <n v="17045.439943677698"/>
    <n v="61363.583797239698"/>
  </r>
  <r>
    <x v="0"/>
    <x v="0"/>
    <x v="0"/>
    <x v="8"/>
    <x v="14"/>
    <s v="SE2_OTHER"/>
    <x v="0"/>
    <x v="0"/>
    <x v="4"/>
    <x v="8"/>
    <n v="281.59850161898402"/>
    <n v="17130.575515154898"/>
    <n v="61670.071854557602"/>
  </r>
  <r>
    <x v="0"/>
    <x v="0"/>
    <x v="0"/>
    <x v="8"/>
    <x v="14"/>
    <s v="SE2_OTHER"/>
    <x v="0"/>
    <x v="0"/>
    <x v="4"/>
    <x v="9"/>
    <n v="280.311365231445"/>
    <n v="17052.274718246299"/>
    <n v="61388.188985686596"/>
  </r>
  <r>
    <x v="0"/>
    <x v="0"/>
    <x v="0"/>
    <x v="8"/>
    <x v="14"/>
    <s v="SE2_OTHER"/>
    <x v="0"/>
    <x v="0"/>
    <x v="4"/>
    <x v="10"/>
    <n v="272.98231109827998"/>
    <n v="16606.423925145398"/>
    <n v="59783.126130523298"/>
  </r>
  <r>
    <x v="0"/>
    <x v="0"/>
    <x v="0"/>
    <x v="8"/>
    <x v="14"/>
    <s v="SE2_OTHER"/>
    <x v="0"/>
    <x v="0"/>
    <x v="4"/>
    <x v="11"/>
    <n v="268.25756197985203"/>
    <n v="16319.0016871077"/>
    <n v="58748.406073587597"/>
  </r>
  <r>
    <x v="0"/>
    <x v="0"/>
    <x v="0"/>
    <x v="8"/>
    <x v="14"/>
    <s v="SE2_OTHER"/>
    <x v="0"/>
    <x v="0"/>
    <x v="5"/>
    <x v="0"/>
    <n v="287.31319175843697"/>
    <n v="17478.219165304901"/>
    <n v="62921.588995097802"/>
  </r>
  <r>
    <x v="0"/>
    <x v="0"/>
    <x v="0"/>
    <x v="8"/>
    <x v="14"/>
    <s v="SE2_OTHER"/>
    <x v="0"/>
    <x v="0"/>
    <x v="5"/>
    <x v="1"/>
    <n v="283.208241439701"/>
    <n v="17228.501354248499"/>
    <n v="62022.604875294601"/>
  </r>
  <r>
    <x v="0"/>
    <x v="0"/>
    <x v="0"/>
    <x v="8"/>
    <x v="14"/>
    <s v="SE2_OTHER"/>
    <x v="0"/>
    <x v="0"/>
    <x v="5"/>
    <x v="2"/>
    <n v="287.95958004371198"/>
    <n v="17517.541119325801"/>
    <n v="63063.148029572803"/>
  </r>
  <r>
    <x v="0"/>
    <x v="0"/>
    <x v="0"/>
    <x v="8"/>
    <x v="14"/>
    <s v="SE2_OTHER"/>
    <x v="0"/>
    <x v="0"/>
    <x v="5"/>
    <x v="3"/>
    <n v="294.67546388161401"/>
    <n v="17926.090719464799"/>
    <n v="64533.926590073403"/>
  </r>
  <r>
    <x v="0"/>
    <x v="0"/>
    <x v="0"/>
    <x v="8"/>
    <x v="14"/>
    <s v="SE2_OTHER"/>
    <x v="0"/>
    <x v="0"/>
    <x v="5"/>
    <x v="4"/>
    <n v="304.73614766444598"/>
    <n v="18538.115649587198"/>
    <n v="66737.216338513797"/>
  </r>
  <r>
    <x v="0"/>
    <x v="0"/>
    <x v="0"/>
    <x v="8"/>
    <x v="14"/>
    <s v="SE2_OTHER"/>
    <x v="0"/>
    <x v="0"/>
    <x v="5"/>
    <x v="5"/>
    <n v="322.58605417595197"/>
    <n v="19623.984962370399"/>
    <n v="70646.345864533505"/>
  </r>
  <r>
    <x v="0"/>
    <x v="0"/>
    <x v="0"/>
    <x v="8"/>
    <x v="14"/>
    <s v="SE2_OTHER"/>
    <x v="0"/>
    <x v="0"/>
    <x v="5"/>
    <x v="6"/>
    <n v="371.394644578395"/>
    <n v="22593.1742118523"/>
    <n v="81335.427162668493"/>
  </r>
  <r>
    <x v="0"/>
    <x v="0"/>
    <x v="0"/>
    <x v="8"/>
    <x v="14"/>
    <s v="SE2_OTHER"/>
    <x v="0"/>
    <x v="0"/>
    <x v="5"/>
    <x v="7"/>
    <n v="400.12008341019202"/>
    <n v="24340.638407453302"/>
    <n v="87626.298266832004"/>
  </r>
  <r>
    <x v="0"/>
    <x v="0"/>
    <x v="0"/>
    <x v="8"/>
    <x v="14"/>
    <s v="SE2_OTHER"/>
    <x v="0"/>
    <x v="0"/>
    <x v="5"/>
    <x v="8"/>
    <n v="402.10669252463998"/>
    <n v="24461.4904619156"/>
    <n v="88061.365662896103"/>
  </r>
  <r>
    <x v="0"/>
    <x v="0"/>
    <x v="0"/>
    <x v="8"/>
    <x v="14"/>
    <s v="SE2_OTHER"/>
    <x v="0"/>
    <x v="0"/>
    <x v="5"/>
    <x v="9"/>
    <n v="387.961251285147"/>
    <n v="23600.976119846498"/>
    <n v="84963.514031447296"/>
  </r>
  <r>
    <x v="0"/>
    <x v="0"/>
    <x v="0"/>
    <x v="8"/>
    <x v="14"/>
    <s v="SE2_OTHER"/>
    <x v="0"/>
    <x v="0"/>
    <x v="5"/>
    <x v="10"/>
    <n v="352.60433682010199"/>
    <n v="21450.097156556199"/>
    <n v="77220.349763602295"/>
  </r>
  <r>
    <x v="0"/>
    <x v="0"/>
    <x v="0"/>
    <x v="8"/>
    <x v="14"/>
    <s v="SE2_OTHER"/>
    <x v="0"/>
    <x v="0"/>
    <x v="5"/>
    <x v="11"/>
    <n v="319.69917377225801"/>
    <n v="19448.366404478998"/>
    <n v="70014.1190561244"/>
  </r>
  <r>
    <x v="0"/>
    <x v="0"/>
    <x v="0"/>
    <x v="8"/>
    <x v="14"/>
    <s v="SE2_OTHER"/>
    <x v="0"/>
    <x v="0"/>
    <x v="6"/>
    <x v="0"/>
    <n v="177.49021477448599"/>
    <n v="10797.3213987812"/>
    <n v="38870.357035612396"/>
  </r>
  <r>
    <x v="0"/>
    <x v="0"/>
    <x v="0"/>
    <x v="8"/>
    <x v="14"/>
    <s v="SE2_OTHER"/>
    <x v="0"/>
    <x v="0"/>
    <x v="6"/>
    <x v="1"/>
    <n v="175.795051719632"/>
    <n v="10694.198979610999"/>
    <n v="38499.116326599396"/>
  </r>
  <r>
    <x v="0"/>
    <x v="0"/>
    <x v="0"/>
    <x v="8"/>
    <x v="14"/>
    <s v="SE2_OTHER"/>
    <x v="0"/>
    <x v="0"/>
    <x v="6"/>
    <x v="2"/>
    <n v="175.952662261054"/>
    <n v="10703.7869542141"/>
    <n v="38533.6330351707"/>
  </r>
  <r>
    <x v="0"/>
    <x v="0"/>
    <x v="0"/>
    <x v="8"/>
    <x v="14"/>
    <s v="SE2_OTHER"/>
    <x v="0"/>
    <x v="0"/>
    <x v="6"/>
    <x v="3"/>
    <n v="177.82891587055499"/>
    <n v="10817.925715458799"/>
    <n v="38944.532575651501"/>
  </r>
  <r>
    <x v="0"/>
    <x v="0"/>
    <x v="0"/>
    <x v="8"/>
    <x v="14"/>
    <s v="SE2_OTHER"/>
    <x v="0"/>
    <x v="0"/>
    <x v="6"/>
    <x v="4"/>
    <n v="183.327190381478"/>
    <n v="11152.4040815399"/>
    <n v="40148.654693543598"/>
  </r>
  <r>
    <x v="0"/>
    <x v="0"/>
    <x v="0"/>
    <x v="8"/>
    <x v="14"/>
    <s v="SE2_OTHER"/>
    <x v="0"/>
    <x v="0"/>
    <x v="6"/>
    <x v="5"/>
    <n v="196.71883451855601"/>
    <n v="11967.062433212201"/>
    <n v="43081.424759563903"/>
  </r>
  <r>
    <x v="0"/>
    <x v="0"/>
    <x v="0"/>
    <x v="8"/>
    <x v="14"/>
    <s v="SE2_OTHER"/>
    <x v="0"/>
    <x v="0"/>
    <x v="6"/>
    <x v="6"/>
    <n v="229.97969008963301"/>
    <n v="13990.4311471194"/>
    <n v="50365.552129629701"/>
  </r>
  <r>
    <x v="0"/>
    <x v="0"/>
    <x v="0"/>
    <x v="8"/>
    <x v="14"/>
    <s v="SE2_OTHER"/>
    <x v="0"/>
    <x v="0"/>
    <x v="6"/>
    <x v="7"/>
    <n v="245.92837846183099"/>
    <n v="14960.643023094701"/>
    <n v="53858.314883140898"/>
  </r>
  <r>
    <x v="0"/>
    <x v="0"/>
    <x v="0"/>
    <x v="8"/>
    <x v="14"/>
    <s v="SE2_OTHER"/>
    <x v="0"/>
    <x v="0"/>
    <x v="6"/>
    <x v="8"/>
    <n v="245.36822294506899"/>
    <n v="14926.566895825001"/>
    <n v="53735.6408249702"/>
  </r>
  <r>
    <x v="0"/>
    <x v="0"/>
    <x v="0"/>
    <x v="8"/>
    <x v="14"/>
    <s v="SE2_OTHER"/>
    <x v="0"/>
    <x v="0"/>
    <x v="6"/>
    <x v="9"/>
    <n v="239.70168489145399"/>
    <n v="14581.852497563401"/>
    <n v="52494.668991228296"/>
  </r>
  <r>
    <x v="0"/>
    <x v="0"/>
    <x v="0"/>
    <x v="8"/>
    <x v="14"/>
    <s v="SE2_OTHER"/>
    <x v="0"/>
    <x v="0"/>
    <x v="6"/>
    <x v="10"/>
    <n v="236.12229861667601"/>
    <n v="14364.1064991811"/>
    <n v="51710.783397052102"/>
  </r>
  <r>
    <x v="0"/>
    <x v="0"/>
    <x v="0"/>
    <x v="8"/>
    <x v="14"/>
    <s v="SE2_OTHER"/>
    <x v="0"/>
    <x v="0"/>
    <x v="6"/>
    <x v="11"/>
    <n v="233.99602983767701"/>
    <n v="14234.758481792"/>
    <n v="51245.130534451302"/>
  </r>
  <r>
    <x v="0"/>
    <x v="0"/>
    <x v="0"/>
    <x v="8"/>
    <x v="14"/>
    <s v="SE2_OTHER"/>
    <x v="0"/>
    <x v="0"/>
    <x v="7"/>
    <x v="0"/>
    <n v="192.71089350670201"/>
    <n v="11723.2460216577"/>
    <n v="42203.685677967798"/>
  </r>
  <r>
    <x v="0"/>
    <x v="0"/>
    <x v="0"/>
    <x v="8"/>
    <x v="14"/>
    <s v="SE2_OTHER"/>
    <x v="0"/>
    <x v="0"/>
    <x v="7"/>
    <x v="1"/>
    <n v="189.06734971924399"/>
    <n v="11501.597107920699"/>
    <n v="41405.749588514504"/>
  </r>
  <r>
    <x v="0"/>
    <x v="0"/>
    <x v="0"/>
    <x v="8"/>
    <x v="14"/>
    <s v="SE2_OTHER"/>
    <x v="0"/>
    <x v="0"/>
    <x v="7"/>
    <x v="2"/>
    <n v="187.794739949769"/>
    <n v="11424.180013611"/>
    <n v="41127.048048999502"/>
  </r>
  <r>
    <x v="0"/>
    <x v="0"/>
    <x v="0"/>
    <x v="8"/>
    <x v="14"/>
    <s v="SE2_OTHER"/>
    <x v="0"/>
    <x v="0"/>
    <x v="7"/>
    <x v="3"/>
    <n v="187.44725929046999"/>
    <n v="11403.0416068369"/>
    <n v="41050.949784612902"/>
  </r>
  <r>
    <x v="0"/>
    <x v="0"/>
    <x v="0"/>
    <x v="8"/>
    <x v="14"/>
    <s v="SE2_OTHER"/>
    <x v="0"/>
    <x v="0"/>
    <x v="7"/>
    <x v="4"/>
    <n v="190.41526497691001"/>
    <n v="11583.5952860954"/>
    <n v="41700.943029943301"/>
  </r>
  <r>
    <x v="0"/>
    <x v="0"/>
    <x v="0"/>
    <x v="8"/>
    <x v="14"/>
    <s v="SE2_OTHER"/>
    <x v="0"/>
    <x v="0"/>
    <x v="7"/>
    <x v="5"/>
    <n v="205.817194273604"/>
    <n v="12520.5459849776"/>
    <n v="45073.9655459192"/>
  </r>
  <r>
    <x v="0"/>
    <x v="0"/>
    <x v="0"/>
    <x v="8"/>
    <x v="14"/>
    <s v="SE2_OTHER"/>
    <x v="0"/>
    <x v="0"/>
    <x v="7"/>
    <x v="6"/>
    <n v="241.39067619933101"/>
    <n v="14684.5994687927"/>
    <n v="52864.558087653597"/>
  </r>
  <r>
    <x v="0"/>
    <x v="0"/>
    <x v="0"/>
    <x v="8"/>
    <x v="14"/>
    <s v="SE2_OTHER"/>
    <x v="0"/>
    <x v="0"/>
    <x v="7"/>
    <x v="7"/>
    <n v="257.80897431846"/>
    <n v="15683.379271039699"/>
    <n v="56460.165375742799"/>
  </r>
  <r>
    <x v="0"/>
    <x v="0"/>
    <x v="0"/>
    <x v="8"/>
    <x v="14"/>
    <s v="SE2_OTHER"/>
    <x v="0"/>
    <x v="0"/>
    <x v="7"/>
    <x v="8"/>
    <n v="255.962450361598"/>
    <n v="15571.049063663901"/>
    <n v="56055.776629189902"/>
  </r>
  <r>
    <x v="0"/>
    <x v="0"/>
    <x v="0"/>
    <x v="8"/>
    <x v="14"/>
    <s v="SE2_OTHER"/>
    <x v="0"/>
    <x v="0"/>
    <x v="7"/>
    <x v="9"/>
    <n v="249.14742032647001"/>
    <n v="15156.468069860201"/>
    <n v="54563.285051496903"/>
  </r>
  <r>
    <x v="0"/>
    <x v="0"/>
    <x v="0"/>
    <x v="8"/>
    <x v="14"/>
    <s v="SE2_OTHER"/>
    <x v="0"/>
    <x v="0"/>
    <x v="7"/>
    <x v="10"/>
    <n v="240.015437127941"/>
    <n v="14600.9390919498"/>
    <n v="52563.380731019199"/>
  </r>
  <r>
    <x v="0"/>
    <x v="0"/>
    <x v="0"/>
    <x v="8"/>
    <x v="14"/>
    <s v="SE2_OTHER"/>
    <x v="0"/>
    <x v="0"/>
    <x v="7"/>
    <x v="11"/>
    <n v="231.651058678537"/>
    <n v="14092.106069611"/>
    <n v="50731.581850599701"/>
  </r>
  <r>
    <x v="0"/>
    <x v="0"/>
    <x v="0"/>
    <x v="8"/>
    <x v="14"/>
    <s v="SE2_OTHER"/>
    <x v="0"/>
    <x v="0"/>
    <x v="8"/>
    <x v="0"/>
    <n v="182.03520578373701"/>
    <n v="11073.808351844"/>
    <n v="39865.710066638399"/>
  </r>
  <r>
    <x v="0"/>
    <x v="0"/>
    <x v="0"/>
    <x v="8"/>
    <x v="14"/>
    <s v="SE2_OTHER"/>
    <x v="0"/>
    <x v="0"/>
    <x v="8"/>
    <x v="1"/>
    <n v="181.628888708131"/>
    <n v="11049.090729744599"/>
    <n v="39776.726627080599"/>
  </r>
  <r>
    <x v="0"/>
    <x v="0"/>
    <x v="0"/>
    <x v="8"/>
    <x v="14"/>
    <s v="SE2_OTHER"/>
    <x v="0"/>
    <x v="0"/>
    <x v="8"/>
    <x v="2"/>
    <n v="182.70128366461199"/>
    <n v="11114.3280895973"/>
    <n v="40011.581122550102"/>
  </r>
  <r>
    <x v="0"/>
    <x v="0"/>
    <x v="0"/>
    <x v="8"/>
    <x v="14"/>
    <s v="SE2_OTHER"/>
    <x v="0"/>
    <x v="0"/>
    <x v="8"/>
    <x v="3"/>
    <n v="184.95880748071701"/>
    <n v="11251.6607884103"/>
    <n v="40505.978838276998"/>
  </r>
  <r>
    <x v="0"/>
    <x v="0"/>
    <x v="0"/>
    <x v="8"/>
    <x v="14"/>
    <s v="SE2_OTHER"/>
    <x v="0"/>
    <x v="0"/>
    <x v="8"/>
    <x v="4"/>
    <n v="192.28942635086199"/>
    <n v="11697.606769677401"/>
    <n v="42111.384370838699"/>
  </r>
  <r>
    <x v="0"/>
    <x v="0"/>
    <x v="0"/>
    <x v="8"/>
    <x v="14"/>
    <s v="SE2_OTHER"/>
    <x v="0"/>
    <x v="0"/>
    <x v="8"/>
    <x v="5"/>
    <n v="206.51346026085699"/>
    <n v="12562.9021658688"/>
    <n v="45226.447797127599"/>
  </r>
  <r>
    <x v="0"/>
    <x v="0"/>
    <x v="0"/>
    <x v="8"/>
    <x v="14"/>
    <s v="SE2_OTHER"/>
    <x v="0"/>
    <x v="0"/>
    <x v="8"/>
    <x v="6"/>
    <n v="240.80996630198501"/>
    <n v="14649.272950037401"/>
    <n v="52737.382620134602"/>
  </r>
  <r>
    <x v="0"/>
    <x v="0"/>
    <x v="0"/>
    <x v="8"/>
    <x v="14"/>
    <s v="SE2_OTHER"/>
    <x v="0"/>
    <x v="0"/>
    <x v="8"/>
    <x v="7"/>
    <n v="252.81667186659399"/>
    <n v="15379.6808718845"/>
    <n v="55366.851138784201"/>
  </r>
  <r>
    <x v="0"/>
    <x v="0"/>
    <x v="0"/>
    <x v="8"/>
    <x v="14"/>
    <s v="SE2_OTHER"/>
    <x v="0"/>
    <x v="0"/>
    <x v="8"/>
    <x v="8"/>
    <n v="247.54264104212399"/>
    <n v="15058.8439967292"/>
    <n v="54211.8383882251"/>
  </r>
  <r>
    <x v="0"/>
    <x v="0"/>
    <x v="0"/>
    <x v="8"/>
    <x v="14"/>
    <s v="SE2_OTHER"/>
    <x v="0"/>
    <x v="0"/>
    <x v="8"/>
    <x v="9"/>
    <n v="237.564427249717"/>
    <n v="14451.8359910244"/>
    <n v="52026.609567688"/>
  </r>
  <r>
    <x v="0"/>
    <x v="0"/>
    <x v="0"/>
    <x v="8"/>
    <x v="14"/>
    <s v="SE2_OTHER"/>
    <x v="0"/>
    <x v="0"/>
    <x v="8"/>
    <x v="10"/>
    <n v="227.40525162811201"/>
    <n v="13833.819474043499"/>
    <n v="49801.750106556501"/>
  </r>
  <r>
    <x v="0"/>
    <x v="0"/>
    <x v="0"/>
    <x v="8"/>
    <x v="14"/>
    <s v="SE2_OTHER"/>
    <x v="0"/>
    <x v="0"/>
    <x v="8"/>
    <x v="11"/>
    <n v="220.87266905059499"/>
    <n v="13436.420700577901"/>
    <n v="48371.114522080403"/>
  </r>
  <r>
    <x v="0"/>
    <x v="0"/>
    <x v="0"/>
    <x v="8"/>
    <x v="14"/>
    <s v="SE2_OTHER"/>
    <x v="0"/>
    <x v="0"/>
    <x v="9"/>
    <x v="0"/>
    <n v="146.345629885216"/>
    <n v="8902.6924846839993"/>
    <n v="32049.6929448624"/>
  </r>
  <r>
    <x v="0"/>
    <x v="0"/>
    <x v="0"/>
    <x v="8"/>
    <x v="14"/>
    <s v="SE2_OTHER"/>
    <x v="0"/>
    <x v="0"/>
    <x v="9"/>
    <x v="1"/>
    <n v="147.75028809152701"/>
    <n v="8988.1425255678605"/>
    <n v="32357.3130920443"/>
  </r>
  <r>
    <x v="0"/>
    <x v="0"/>
    <x v="0"/>
    <x v="8"/>
    <x v="14"/>
    <s v="SE2_OTHER"/>
    <x v="0"/>
    <x v="0"/>
    <x v="9"/>
    <x v="2"/>
    <n v="149.72619193468401"/>
    <n v="9108.3433426932697"/>
    <n v="32790.036033695797"/>
  </r>
  <r>
    <x v="0"/>
    <x v="0"/>
    <x v="0"/>
    <x v="8"/>
    <x v="14"/>
    <s v="SE2_OTHER"/>
    <x v="0"/>
    <x v="0"/>
    <x v="9"/>
    <x v="3"/>
    <n v="153.66780759935901"/>
    <n v="9348.1249622943706"/>
    <n v="33653.249864259698"/>
  </r>
  <r>
    <x v="0"/>
    <x v="0"/>
    <x v="0"/>
    <x v="8"/>
    <x v="14"/>
    <s v="SE2_OTHER"/>
    <x v="0"/>
    <x v="0"/>
    <x v="9"/>
    <x v="4"/>
    <n v="160.52165596690801"/>
    <n v="9765.0674046535496"/>
    <n v="35154.242656752802"/>
  </r>
  <r>
    <x v="0"/>
    <x v="0"/>
    <x v="0"/>
    <x v="8"/>
    <x v="14"/>
    <s v="SE2_OTHER"/>
    <x v="0"/>
    <x v="0"/>
    <x v="9"/>
    <x v="5"/>
    <n v="174.866910622966"/>
    <n v="10637.7370628971"/>
    <n v="38295.853426429603"/>
  </r>
  <r>
    <x v="0"/>
    <x v="0"/>
    <x v="0"/>
    <x v="8"/>
    <x v="14"/>
    <s v="SE2_OTHER"/>
    <x v="0"/>
    <x v="0"/>
    <x v="9"/>
    <x v="6"/>
    <n v="207.34799212754399"/>
    <n v="12613.669521092301"/>
    <n v="45409.210275932201"/>
  </r>
  <r>
    <x v="0"/>
    <x v="0"/>
    <x v="0"/>
    <x v="8"/>
    <x v="14"/>
    <s v="SE2_OTHER"/>
    <x v="0"/>
    <x v="0"/>
    <x v="9"/>
    <x v="7"/>
    <n v="221.414100473459"/>
    <n v="13469.357778802099"/>
    <n v="48489.688003687603"/>
  </r>
  <r>
    <x v="0"/>
    <x v="0"/>
    <x v="0"/>
    <x v="8"/>
    <x v="14"/>
    <s v="SE2_OTHER"/>
    <x v="0"/>
    <x v="0"/>
    <x v="9"/>
    <x v="8"/>
    <n v="220.801305170582"/>
    <n v="13432.079397877"/>
    <n v="48355.485832357401"/>
  </r>
  <r>
    <x v="0"/>
    <x v="0"/>
    <x v="0"/>
    <x v="8"/>
    <x v="14"/>
    <s v="SE2_OTHER"/>
    <x v="0"/>
    <x v="0"/>
    <x v="9"/>
    <x v="9"/>
    <n v="214.25031603767701"/>
    <n v="13033.560892292"/>
    <n v="46920.819212251299"/>
  </r>
  <r>
    <x v="0"/>
    <x v="0"/>
    <x v="0"/>
    <x v="8"/>
    <x v="14"/>
    <s v="SE2_OTHER"/>
    <x v="0"/>
    <x v="0"/>
    <x v="9"/>
    <x v="10"/>
    <n v="206.798124845442"/>
    <n v="12580.219261431001"/>
    <n v="45288.789341151802"/>
  </r>
  <r>
    <x v="0"/>
    <x v="0"/>
    <x v="0"/>
    <x v="8"/>
    <x v="14"/>
    <s v="SE2_OTHER"/>
    <x v="0"/>
    <x v="0"/>
    <x v="9"/>
    <x v="11"/>
    <n v="201.232603473258"/>
    <n v="12241.6500446232"/>
    <n v="44069.940160643397"/>
  </r>
  <r>
    <x v="0"/>
    <x v="0"/>
    <x v="0"/>
    <x v="8"/>
    <x v="14"/>
    <s v="SE2_OTHER"/>
    <x v="0"/>
    <x v="0"/>
    <x v="10"/>
    <x v="0"/>
    <n v="107.323049076741"/>
    <n v="6528.8188188350596"/>
    <n v="23503.747747806199"/>
  </r>
  <r>
    <x v="0"/>
    <x v="0"/>
    <x v="0"/>
    <x v="8"/>
    <x v="14"/>
    <s v="SE2_OTHER"/>
    <x v="0"/>
    <x v="0"/>
    <x v="10"/>
    <x v="1"/>
    <n v="108.280209095667"/>
    <n v="6587.0460533197302"/>
    <n v="23713.365791951001"/>
  </r>
  <r>
    <x v="0"/>
    <x v="0"/>
    <x v="0"/>
    <x v="8"/>
    <x v="14"/>
    <s v="SE2_OTHER"/>
    <x v="0"/>
    <x v="0"/>
    <x v="10"/>
    <x v="2"/>
    <n v="108.04225053066"/>
    <n v="6572.5702406151604"/>
    <n v="23661.2528662146"/>
  </r>
  <r>
    <x v="0"/>
    <x v="0"/>
    <x v="0"/>
    <x v="8"/>
    <x v="14"/>
    <s v="SE2_OTHER"/>
    <x v="0"/>
    <x v="0"/>
    <x v="10"/>
    <x v="3"/>
    <n v="111.197610096064"/>
    <n v="6764.5212808439201"/>
    <n v="24352.276611038102"/>
  </r>
  <r>
    <x v="0"/>
    <x v="0"/>
    <x v="0"/>
    <x v="8"/>
    <x v="14"/>
    <s v="SE2_OTHER"/>
    <x v="0"/>
    <x v="0"/>
    <x v="10"/>
    <x v="4"/>
    <n v="115.51961194300701"/>
    <n v="7027.4430598662702"/>
    <n v="25298.795015518601"/>
  </r>
  <r>
    <x v="0"/>
    <x v="0"/>
    <x v="0"/>
    <x v="8"/>
    <x v="14"/>
    <s v="SE2_OTHER"/>
    <x v="0"/>
    <x v="0"/>
    <x v="10"/>
    <x v="5"/>
    <n v="128.92269350770999"/>
    <n v="7842.7971883856699"/>
    <n v="28234.069878188398"/>
  </r>
  <r>
    <x v="0"/>
    <x v="0"/>
    <x v="0"/>
    <x v="8"/>
    <x v="14"/>
    <s v="SE2_OTHER"/>
    <x v="0"/>
    <x v="0"/>
    <x v="10"/>
    <x v="6"/>
    <n v="155.63312764589301"/>
    <n v="9467.6819317918507"/>
    <n v="34083.6549544507"/>
  </r>
  <r>
    <x v="0"/>
    <x v="0"/>
    <x v="0"/>
    <x v="8"/>
    <x v="14"/>
    <s v="SE2_OTHER"/>
    <x v="0"/>
    <x v="0"/>
    <x v="10"/>
    <x v="7"/>
    <n v="165.07770785882701"/>
    <n v="10042.2272280786"/>
    <n v="36152.018021083"/>
  </r>
  <r>
    <x v="0"/>
    <x v="0"/>
    <x v="0"/>
    <x v="8"/>
    <x v="14"/>
    <s v="SE2_OTHER"/>
    <x v="0"/>
    <x v="0"/>
    <x v="10"/>
    <x v="8"/>
    <n v="160.50141268554199"/>
    <n v="9763.8359383704701"/>
    <n v="35149.809378133701"/>
  </r>
  <r>
    <x v="0"/>
    <x v="0"/>
    <x v="0"/>
    <x v="8"/>
    <x v="14"/>
    <s v="SE2_OTHER"/>
    <x v="0"/>
    <x v="0"/>
    <x v="10"/>
    <x v="9"/>
    <n v="154.15169071406899"/>
    <n v="9377.5611851058293"/>
    <n v="33759.220266381002"/>
  </r>
  <r>
    <x v="0"/>
    <x v="0"/>
    <x v="0"/>
    <x v="8"/>
    <x v="14"/>
    <s v="SE2_OTHER"/>
    <x v="0"/>
    <x v="0"/>
    <x v="10"/>
    <x v="10"/>
    <n v="149.23727920676799"/>
    <n v="9078.6011517450806"/>
    <n v="32682.964146282298"/>
  </r>
  <r>
    <x v="0"/>
    <x v="0"/>
    <x v="0"/>
    <x v="8"/>
    <x v="14"/>
    <s v="SE2_OTHER"/>
    <x v="0"/>
    <x v="0"/>
    <x v="10"/>
    <x v="11"/>
    <n v="147.847623728776"/>
    <n v="8994.0637768338402"/>
    <n v="32378.629596601801"/>
  </r>
  <r>
    <x v="0"/>
    <x v="0"/>
    <x v="0"/>
    <x v="8"/>
    <x v="14"/>
    <s v="SE2_OTHER"/>
    <x v="0"/>
    <x v="0"/>
    <x v="11"/>
    <x v="0"/>
    <n v="129.463163692286"/>
    <n v="7875.6757912807097"/>
    <n v="28352.432848610599"/>
  </r>
  <r>
    <x v="0"/>
    <x v="0"/>
    <x v="0"/>
    <x v="8"/>
    <x v="14"/>
    <s v="SE2_OTHER"/>
    <x v="0"/>
    <x v="0"/>
    <x v="11"/>
    <x v="1"/>
    <n v="132.231262201801"/>
    <n v="8044.0684506095904"/>
    <n v="28958.646422194499"/>
  </r>
  <r>
    <x v="0"/>
    <x v="0"/>
    <x v="0"/>
    <x v="8"/>
    <x v="14"/>
    <s v="SE2_OTHER"/>
    <x v="0"/>
    <x v="0"/>
    <x v="11"/>
    <x v="2"/>
    <n v="135.546919489934"/>
    <n v="8245.7709356376708"/>
    <n v="29684.775368295599"/>
  </r>
  <r>
    <x v="0"/>
    <x v="0"/>
    <x v="0"/>
    <x v="8"/>
    <x v="14"/>
    <s v="SE2_OTHER"/>
    <x v="0"/>
    <x v="0"/>
    <x v="11"/>
    <x v="3"/>
    <n v="141.186478145173"/>
    <n v="8588.8440871646708"/>
    <n v="30919.8387137928"/>
  </r>
  <r>
    <x v="0"/>
    <x v="0"/>
    <x v="0"/>
    <x v="8"/>
    <x v="14"/>
    <s v="SE2_OTHER"/>
    <x v="0"/>
    <x v="0"/>
    <x v="11"/>
    <x v="4"/>
    <n v="148.65212261824701"/>
    <n v="9043.0041259433492"/>
    <n v="32554.814853396099"/>
  </r>
  <r>
    <x v="0"/>
    <x v="0"/>
    <x v="0"/>
    <x v="8"/>
    <x v="14"/>
    <s v="SE2_OTHER"/>
    <x v="0"/>
    <x v="0"/>
    <x v="11"/>
    <x v="5"/>
    <n v="162.852043603"/>
    <n v="9906.8326525158609"/>
    <n v="35664.5975490571"/>
  </r>
  <r>
    <x v="0"/>
    <x v="0"/>
    <x v="0"/>
    <x v="8"/>
    <x v="14"/>
    <s v="SE2_OTHER"/>
    <x v="0"/>
    <x v="0"/>
    <x v="11"/>
    <x v="6"/>
    <n v="194.400757995996"/>
    <n v="11826.0461114231"/>
    <n v="42573.766001122996"/>
  </r>
  <r>
    <x v="0"/>
    <x v="0"/>
    <x v="0"/>
    <x v="8"/>
    <x v="14"/>
    <s v="SE2_OTHER"/>
    <x v="0"/>
    <x v="0"/>
    <x v="11"/>
    <x v="7"/>
    <n v="209.297074339924"/>
    <n v="12732.2386890121"/>
    <n v="45836.059280443398"/>
  </r>
  <r>
    <x v="0"/>
    <x v="0"/>
    <x v="0"/>
    <x v="8"/>
    <x v="14"/>
    <s v="SE2_OTHER"/>
    <x v="0"/>
    <x v="0"/>
    <x v="11"/>
    <x v="8"/>
    <n v="209.68705954369301"/>
    <n v="12755.962788908"/>
    <n v="45921.466040068801"/>
  </r>
  <r>
    <x v="0"/>
    <x v="0"/>
    <x v="0"/>
    <x v="8"/>
    <x v="14"/>
    <s v="SE2_OTHER"/>
    <x v="0"/>
    <x v="0"/>
    <x v="11"/>
    <x v="9"/>
    <n v="205.31124597865099"/>
    <n v="12489.767463701201"/>
    <n v="44963.1628693245"/>
  </r>
  <r>
    <x v="0"/>
    <x v="0"/>
    <x v="0"/>
    <x v="8"/>
    <x v="14"/>
    <s v="SE2_OTHER"/>
    <x v="0"/>
    <x v="0"/>
    <x v="11"/>
    <x v="10"/>
    <n v="200.85981301329801"/>
    <n v="12218.971958308901"/>
    <n v="43988.299049912202"/>
  </r>
  <r>
    <x v="0"/>
    <x v="0"/>
    <x v="0"/>
    <x v="8"/>
    <x v="14"/>
    <s v="SE2_OTHER"/>
    <x v="0"/>
    <x v="0"/>
    <x v="11"/>
    <x v="11"/>
    <n v="197.133615217038"/>
    <n v="11992.2949257032"/>
    <n v="43172.261732531399"/>
  </r>
  <r>
    <x v="0"/>
    <x v="0"/>
    <x v="0"/>
    <x v="8"/>
    <x v="15"/>
    <s v="SE3_EL"/>
    <x v="0"/>
    <x v="0"/>
    <x v="0"/>
    <x v="0"/>
    <n v="792.60332510784599"/>
    <n v="48216.702277393997"/>
    <n v="173580.12819861801"/>
  </r>
  <r>
    <x v="0"/>
    <x v="0"/>
    <x v="0"/>
    <x v="8"/>
    <x v="15"/>
    <s v="SE3_EL"/>
    <x v="0"/>
    <x v="0"/>
    <x v="0"/>
    <x v="1"/>
    <n v="786.805165384823"/>
    <n v="47863.980894243403"/>
    <n v="172310.33121927601"/>
  </r>
  <r>
    <x v="0"/>
    <x v="0"/>
    <x v="0"/>
    <x v="8"/>
    <x v="15"/>
    <s v="SE3_EL"/>
    <x v="0"/>
    <x v="0"/>
    <x v="0"/>
    <x v="2"/>
    <n v="779.47978794375604"/>
    <n v="47418.353766578497"/>
    <n v="170706.073559682"/>
  </r>
  <r>
    <x v="0"/>
    <x v="0"/>
    <x v="0"/>
    <x v="8"/>
    <x v="15"/>
    <s v="SE3_EL"/>
    <x v="0"/>
    <x v="0"/>
    <x v="0"/>
    <x v="3"/>
    <n v="787.285268485919"/>
    <n v="47893.187166226802"/>
    <n v="172415.473798416"/>
  </r>
  <r>
    <x v="0"/>
    <x v="0"/>
    <x v="0"/>
    <x v="8"/>
    <x v="15"/>
    <s v="SE3_EL"/>
    <x v="0"/>
    <x v="0"/>
    <x v="0"/>
    <x v="4"/>
    <n v="812.27165599341902"/>
    <n v="49413.192406266302"/>
    <n v="177887.492662559"/>
  </r>
  <r>
    <x v="0"/>
    <x v="0"/>
    <x v="0"/>
    <x v="8"/>
    <x v="15"/>
    <s v="SE3_EL"/>
    <x v="0"/>
    <x v="0"/>
    <x v="0"/>
    <x v="5"/>
    <n v="893.95652663850603"/>
    <n v="54382.355370509104"/>
    <n v="195776.47933383301"/>
  </r>
  <r>
    <x v="0"/>
    <x v="0"/>
    <x v="0"/>
    <x v="8"/>
    <x v="15"/>
    <s v="SE3_EL"/>
    <x v="0"/>
    <x v="0"/>
    <x v="0"/>
    <x v="6"/>
    <n v="1060.54754331151"/>
    <n v="64516.6422181167"/>
    <n v="232259.91198522001"/>
  </r>
  <r>
    <x v="0"/>
    <x v="0"/>
    <x v="0"/>
    <x v="8"/>
    <x v="15"/>
    <s v="SE3_EL"/>
    <x v="0"/>
    <x v="0"/>
    <x v="0"/>
    <x v="7"/>
    <n v="1135.25715349799"/>
    <n v="69061.476837794195"/>
    <n v="248621.31661605899"/>
  </r>
  <r>
    <x v="0"/>
    <x v="0"/>
    <x v="0"/>
    <x v="8"/>
    <x v="15"/>
    <s v="SE3_EL"/>
    <x v="0"/>
    <x v="0"/>
    <x v="0"/>
    <x v="8"/>
    <n v="1129.86391626871"/>
    <n v="68733.388239679698"/>
    <n v="247440.197662847"/>
  </r>
  <r>
    <x v="0"/>
    <x v="0"/>
    <x v="0"/>
    <x v="8"/>
    <x v="15"/>
    <s v="SE3_EL"/>
    <x v="0"/>
    <x v="0"/>
    <x v="0"/>
    <x v="9"/>
    <n v="1098.7050652610801"/>
    <n v="66837.8914700491"/>
    <n v="240616.40929217701"/>
  </r>
  <r>
    <x v="0"/>
    <x v="0"/>
    <x v="0"/>
    <x v="8"/>
    <x v="15"/>
    <s v="SE3_EL"/>
    <x v="0"/>
    <x v="0"/>
    <x v="0"/>
    <x v="10"/>
    <n v="1089.6529282938"/>
    <n v="66287.219804539607"/>
    <n v="238633.99129634199"/>
  </r>
  <r>
    <x v="0"/>
    <x v="0"/>
    <x v="0"/>
    <x v="8"/>
    <x v="15"/>
    <s v="SE3_EL"/>
    <x v="0"/>
    <x v="0"/>
    <x v="0"/>
    <x v="11"/>
    <n v="1078.30426219626"/>
    <n v="65596.842616939393"/>
    <n v="236148.63342098199"/>
  </r>
  <r>
    <x v="0"/>
    <x v="0"/>
    <x v="0"/>
    <x v="8"/>
    <x v="15"/>
    <s v="SE3_EL"/>
    <x v="0"/>
    <x v="0"/>
    <x v="1"/>
    <x v="0"/>
    <n v="1122.3727840112199"/>
    <n v="68277.677694016005"/>
    <n v="245799.63969845799"/>
  </r>
  <r>
    <x v="0"/>
    <x v="0"/>
    <x v="0"/>
    <x v="8"/>
    <x v="15"/>
    <s v="SE3_EL"/>
    <x v="0"/>
    <x v="0"/>
    <x v="1"/>
    <x v="1"/>
    <n v="1133.8238364137901"/>
    <n v="68974.283381838904"/>
    <n v="248307.42017462"/>
  </r>
  <r>
    <x v="0"/>
    <x v="0"/>
    <x v="0"/>
    <x v="8"/>
    <x v="15"/>
    <s v="SE3_EL"/>
    <x v="0"/>
    <x v="0"/>
    <x v="1"/>
    <x v="2"/>
    <n v="1145.7678569688101"/>
    <n v="69700.877965602893"/>
    <n v="250923.16067616999"/>
  </r>
  <r>
    <x v="0"/>
    <x v="0"/>
    <x v="0"/>
    <x v="8"/>
    <x v="15"/>
    <s v="SE3_EL"/>
    <x v="0"/>
    <x v="0"/>
    <x v="1"/>
    <x v="3"/>
    <n v="1190.5198524596301"/>
    <n v="72423.291024627702"/>
    <n v="260723.84768866"/>
  </r>
  <r>
    <x v="0"/>
    <x v="0"/>
    <x v="0"/>
    <x v="8"/>
    <x v="15"/>
    <s v="SE3_EL"/>
    <x v="0"/>
    <x v="0"/>
    <x v="1"/>
    <x v="4"/>
    <n v="1277.2249058858599"/>
    <n v="77697.848441390001"/>
    <n v="279712.25438900403"/>
  </r>
  <r>
    <x v="0"/>
    <x v="0"/>
    <x v="0"/>
    <x v="8"/>
    <x v="15"/>
    <s v="SE3_EL"/>
    <x v="0"/>
    <x v="0"/>
    <x v="1"/>
    <x v="5"/>
    <n v="1412.29442368422"/>
    <n v="85914.577440789799"/>
    <n v="309292.47878684301"/>
  </r>
  <r>
    <x v="0"/>
    <x v="0"/>
    <x v="0"/>
    <x v="8"/>
    <x v="15"/>
    <s v="SE3_EL"/>
    <x v="0"/>
    <x v="0"/>
    <x v="1"/>
    <x v="6"/>
    <n v="1657.33726104884"/>
    <n v="100821.350047138"/>
    <n v="362956.86016969703"/>
  </r>
  <r>
    <x v="0"/>
    <x v="0"/>
    <x v="0"/>
    <x v="8"/>
    <x v="15"/>
    <s v="SE3_EL"/>
    <x v="0"/>
    <x v="0"/>
    <x v="1"/>
    <x v="7"/>
    <n v="1802.22243345778"/>
    <n v="109635.198035348"/>
    <n v="394686.71292725398"/>
  </r>
  <r>
    <x v="0"/>
    <x v="0"/>
    <x v="0"/>
    <x v="8"/>
    <x v="15"/>
    <s v="SE3_EL"/>
    <x v="0"/>
    <x v="0"/>
    <x v="1"/>
    <x v="8"/>
    <n v="1817.13926438817"/>
    <n v="110542.638583614"/>
    <n v="397953.49890101003"/>
  </r>
  <r>
    <x v="0"/>
    <x v="0"/>
    <x v="0"/>
    <x v="8"/>
    <x v="15"/>
    <s v="SE3_EL"/>
    <x v="0"/>
    <x v="0"/>
    <x v="1"/>
    <x v="9"/>
    <n v="1794.6738774526"/>
    <n v="109175.9942117"/>
    <n v="393033.57916212"/>
  </r>
  <r>
    <x v="0"/>
    <x v="0"/>
    <x v="0"/>
    <x v="8"/>
    <x v="15"/>
    <s v="SE3_EL"/>
    <x v="0"/>
    <x v="0"/>
    <x v="1"/>
    <x v="10"/>
    <n v="1720.6886859677199"/>
    <n v="104675.22839637"/>
    <n v="376830.82222693099"/>
  </r>
  <r>
    <x v="0"/>
    <x v="0"/>
    <x v="0"/>
    <x v="8"/>
    <x v="15"/>
    <s v="SE3_EL"/>
    <x v="0"/>
    <x v="0"/>
    <x v="1"/>
    <x v="11"/>
    <n v="1656.45893711536"/>
    <n v="100767.918674518"/>
    <n v="362764.507228264"/>
  </r>
  <r>
    <x v="0"/>
    <x v="0"/>
    <x v="0"/>
    <x v="8"/>
    <x v="15"/>
    <s v="SE3_EL"/>
    <x v="0"/>
    <x v="0"/>
    <x v="2"/>
    <x v="0"/>
    <n v="954.57493675881506"/>
    <n v="58069.975319494602"/>
    <n v="209051.91115018001"/>
  </r>
  <r>
    <x v="0"/>
    <x v="0"/>
    <x v="0"/>
    <x v="8"/>
    <x v="15"/>
    <s v="SE3_EL"/>
    <x v="0"/>
    <x v="0"/>
    <x v="2"/>
    <x v="1"/>
    <n v="945.57375908741506"/>
    <n v="57522.403677817798"/>
    <n v="207080.65324014399"/>
  </r>
  <r>
    <x v="0"/>
    <x v="0"/>
    <x v="0"/>
    <x v="8"/>
    <x v="15"/>
    <s v="SE3_EL"/>
    <x v="0"/>
    <x v="0"/>
    <x v="2"/>
    <x v="2"/>
    <n v="944.131989663078"/>
    <n v="57434.696037837297"/>
    <n v="206764.90573621399"/>
  </r>
  <r>
    <x v="0"/>
    <x v="0"/>
    <x v="0"/>
    <x v="8"/>
    <x v="15"/>
    <s v="SE3_EL"/>
    <x v="0"/>
    <x v="0"/>
    <x v="2"/>
    <x v="3"/>
    <n v="956.65198959757504"/>
    <n v="58196.329367185797"/>
    <n v="209506.785721869"/>
  </r>
  <r>
    <x v="0"/>
    <x v="0"/>
    <x v="0"/>
    <x v="8"/>
    <x v="15"/>
    <s v="SE3_EL"/>
    <x v="0"/>
    <x v="0"/>
    <x v="2"/>
    <x v="4"/>
    <n v="1003.26299009629"/>
    <n v="61031.831897524302"/>
    <n v="219714.59483108699"/>
  </r>
  <r>
    <x v="0"/>
    <x v="0"/>
    <x v="0"/>
    <x v="8"/>
    <x v="15"/>
    <s v="SE3_EL"/>
    <x v="0"/>
    <x v="0"/>
    <x v="2"/>
    <x v="5"/>
    <n v="1089.8820248228999"/>
    <n v="66301.156510059795"/>
    <n v="238684.16343621499"/>
  </r>
  <r>
    <x v="0"/>
    <x v="0"/>
    <x v="0"/>
    <x v="8"/>
    <x v="15"/>
    <s v="SE3_EL"/>
    <x v="0"/>
    <x v="0"/>
    <x v="2"/>
    <x v="6"/>
    <n v="1277.99774567535"/>
    <n v="77744.862861917005"/>
    <n v="279881.50630290102"/>
  </r>
  <r>
    <x v="0"/>
    <x v="0"/>
    <x v="0"/>
    <x v="8"/>
    <x v="15"/>
    <s v="SE3_EL"/>
    <x v="0"/>
    <x v="0"/>
    <x v="2"/>
    <x v="7"/>
    <n v="1359.6826903213901"/>
    <n v="82714.030327884393"/>
    <n v="297770.50918038399"/>
  </r>
  <r>
    <x v="0"/>
    <x v="0"/>
    <x v="0"/>
    <x v="8"/>
    <x v="15"/>
    <s v="SE3_EL"/>
    <x v="0"/>
    <x v="0"/>
    <x v="2"/>
    <x v="8"/>
    <n v="1339.3785071515899"/>
    <n v="81478.859185055102"/>
    <n v="293323.89306619798"/>
  </r>
  <r>
    <x v="0"/>
    <x v="0"/>
    <x v="0"/>
    <x v="8"/>
    <x v="15"/>
    <s v="SE3_EL"/>
    <x v="0"/>
    <x v="0"/>
    <x v="2"/>
    <x v="9"/>
    <n v="1293.7347563399701"/>
    <n v="78702.197677348493"/>
    <n v="283327.91163845401"/>
  </r>
  <r>
    <x v="0"/>
    <x v="0"/>
    <x v="0"/>
    <x v="8"/>
    <x v="15"/>
    <s v="SE3_EL"/>
    <x v="0"/>
    <x v="0"/>
    <x v="2"/>
    <x v="10"/>
    <n v="1262.1553276854199"/>
    <n v="76781.115767529802"/>
    <n v="276412.01676310698"/>
  </r>
  <r>
    <x v="0"/>
    <x v="0"/>
    <x v="0"/>
    <x v="8"/>
    <x v="15"/>
    <s v="SE3_EL"/>
    <x v="0"/>
    <x v="0"/>
    <x v="2"/>
    <x v="11"/>
    <n v="1235.00996639454"/>
    <n v="75129.772955667795"/>
    <n v="270467.18264040397"/>
  </r>
  <r>
    <x v="0"/>
    <x v="0"/>
    <x v="0"/>
    <x v="8"/>
    <x v="15"/>
    <s v="SE3_EL"/>
    <x v="0"/>
    <x v="0"/>
    <x v="3"/>
    <x v="0"/>
    <n v="950.881198326853"/>
    <n v="57845.272898216899"/>
    <n v="208242.982433581"/>
  </r>
  <r>
    <x v="0"/>
    <x v="0"/>
    <x v="0"/>
    <x v="8"/>
    <x v="15"/>
    <s v="SE3_EL"/>
    <x v="0"/>
    <x v="0"/>
    <x v="3"/>
    <x v="1"/>
    <n v="946.53964249494595"/>
    <n v="57581.161585109199"/>
    <n v="207292.18170639299"/>
  </r>
  <r>
    <x v="0"/>
    <x v="0"/>
    <x v="0"/>
    <x v="8"/>
    <x v="15"/>
    <s v="SE3_EL"/>
    <x v="0"/>
    <x v="0"/>
    <x v="3"/>
    <x v="2"/>
    <n v="947.94180217314602"/>
    <n v="57666.459632199701"/>
    <n v="207599.25467591899"/>
  </r>
  <r>
    <x v="0"/>
    <x v="0"/>
    <x v="0"/>
    <x v="8"/>
    <x v="15"/>
    <s v="SE3_EL"/>
    <x v="0"/>
    <x v="0"/>
    <x v="3"/>
    <x v="3"/>
    <n v="975.35787463902204"/>
    <n v="59334.270707207201"/>
    <n v="213603.37454594599"/>
  </r>
  <r>
    <x v="0"/>
    <x v="0"/>
    <x v="0"/>
    <x v="8"/>
    <x v="15"/>
    <s v="SE3_EL"/>
    <x v="0"/>
    <x v="0"/>
    <x v="3"/>
    <x v="4"/>
    <n v="1026.7892185523499"/>
    <n v="62463.010795267903"/>
    <n v="224866.83886296401"/>
  </r>
  <r>
    <x v="0"/>
    <x v="0"/>
    <x v="0"/>
    <x v="8"/>
    <x v="15"/>
    <s v="SE3_EL"/>
    <x v="0"/>
    <x v="0"/>
    <x v="3"/>
    <x v="5"/>
    <n v="1146.21369829594"/>
    <n v="69727.999979669999"/>
    <n v="251020.799926812"/>
  </r>
  <r>
    <x v="0"/>
    <x v="0"/>
    <x v="0"/>
    <x v="8"/>
    <x v="15"/>
    <s v="SE3_EL"/>
    <x v="0"/>
    <x v="0"/>
    <x v="3"/>
    <x v="6"/>
    <n v="1375.90842415115"/>
    <n v="83701.095802528405"/>
    <n v="301323.94488910201"/>
  </r>
  <r>
    <x v="0"/>
    <x v="0"/>
    <x v="0"/>
    <x v="8"/>
    <x v="15"/>
    <s v="SE3_EL"/>
    <x v="0"/>
    <x v="0"/>
    <x v="3"/>
    <x v="7"/>
    <n v="1511.88527911144"/>
    <n v="91973.021145946099"/>
    <n v="331102.87612540601"/>
  </r>
  <r>
    <x v="0"/>
    <x v="0"/>
    <x v="0"/>
    <x v="8"/>
    <x v="15"/>
    <s v="SE3_EL"/>
    <x v="0"/>
    <x v="0"/>
    <x v="3"/>
    <x v="8"/>
    <n v="1554.7632149035501"/>
    <n v="94581.428906632893"/>
    <n v="340493.14406387799"/>
  </r>
  <r>
    <x v="0"/>
    <x v="0"/>
    <x v="0"/>
    <x v="8"/>
    <x v="15"/>
    <s v="SE3_EL"/>
    <x v="0"/>
    <x v="0"/>
    <x v="3"/>
    <x v="9"/>
    <n v="1536.4975085036499"/>
    <n v="93470.265100638804"/>
    <n v="336492.95436229999"/>
  </r>
  <r>
    <x v="0"/>
    <x v="0"/>
    <x v="0"/>
    <x v="8"/>
    <x v="15"/>
    <s v="SE3_EL"/>
    <x v="0"/>
    <x v="0"/>
    <x v="3"/>
    <x v="10"/>
    <n v="1480.9329085448501"/>
    <n v="90090.085269811796"/>
    <n v="324324.30697132199"/>
  </r>
  <r>
    <x v="0"/>
    <x v="0"/>
    <x v="0"/>
    <x v="8"/>
    <x v="15"/>
    <s v="SE3_EL"/>
    <x v="0"/>
    <x v="0"/>
    <x v="3"/>
    <x v="11"/>
    <n v="1432.7982363876999"/>
    <n v="87161.892713585301"/>
    <n v="313782.81376890698"/>
  </r>
  <r>
    <x v="0"/>
    <x v="0"/>
    <x v="0"/>
    <x v="8"/>
    <x v="15"/>
    <s v="SE3_EL"/>
    <x v="0"/>
    <x v="0"/>
    <x v="4"/>
    <x v="0"/>
    <n v="1252.6073816814901"/>
    <n v="76200.282385623694"/>
    <n v="274321.01658824499"/>
  </r>
  <r>
    <x v="0"/>
    <x v="0"/>
    <x v="0"/>
    <x v="8"/>
    <x v="15"/>
    <s v="SE3_EL"/>
    <x v="0"/>
    <x v="0"/>
    <x v="4"/>
    <x v="1"/>
    <n v="1244.26218416539"/>
    <n v="75692.616203394602"/>
    <n v="272493.41833222099"/>
  </r>
  <r>
    <x v="0"/>
    <x v="0"/>
    <x v="0"/>
    <x v="8"/>
    <x v="15"/>
    <s v="SE3_EL"/>
    <x v="0"/>
    <x v="0"/>
    <x v="4"/>
    <x v="2"/>
    <n v="1257.6947304697301"/>
    <n v="76509.762770242"/>
    <n v="275435.14597287099"/>
  </r>
  <r>
    <x v="0"/>
    <x v="0"/>
    <x v="0"/>
    <x v="8"/>
    <x v="15"/>
    <s v="SE3_EL"/>
    <x v="0"/>
    <x v="0"/>
    <x v="4"/>
    <x v="3"/>
    <n v="1296.0014785098499"/>
    <n v="78840.089942682695"/>
    <n v="283824.323793658"/>
  </r>
  <r>
    <x v="0"/>
    <x v="0"/>
    <x v="0"/>
    <x v="8"/>
    <x v="15"/>
    <s v="SE3_EL"/>
    <x v="0"/>
    <x v="0"/>
    <x v="4"/>
    <x v="4"/>
    <n v="1367.4638393513201"/>
    <n v="83187.383560538801"/>
    <n v="299474.58081794"/>
  </r>
  <r>
    <x v="0"/>
    <x v="0"/>
    <x v="0"/>
    <x v="8"/>
    <x v="15"/>
    <s v="SE3_EL"/>
    <x v="0"/>
    <x v="0"/>
    <x v="4"/>
    <x v="5"/>
    <n v="1469.8105667207301"/>
    <n v="89413.476142177999"/>
    <n v="321888.51411184098"/>
  </r>
  <r>
    <x v="0"/>
    <x v="0"/>
    <x v="0"/>
    <x v="8"/>
    <x v="15"/>
    <s v="SE3_EL"/>
    <x v="0"/>
    <x v="0"/>
    <x v="4"/>
    <x v="6"/>
    <n v="1718.63161089447"/>
    <n v="104550.08966274701"/>
    <n v="376380.32278588897"/>
  </r>
  <r>
    <x v="0"/>
    <x v="0"/>
    <x v="0"/>
    <x v="8"/>
    <x v="15"/>
    <s v="SE3_EL"/>
    <x v="0"/>
    <x v="0"/>
    <x v="4"/>
    <x v="7"/>
    <n v="1854.2519180260999"/>
    <n v="112800.325013255"/>
    <n v="406081.17004771699"/>
  </r>
  <r>
    <x v="0"/>
    <x v="0"/>
    <x v="0"/>
    <x v="8"/>
    <x v="15"/>
    <s v="SE3_EL"/>
    <x v="0"/>
    <x v="0"/>
    <x v="4"/>
    <x v="8"/>
    <n v="1856.13459690335"/>
    <n v="112914.854644954"/>
    <n v="406493.47672183299"/>
  </r>
  <r>
    <x v="0"/>
    <x v="0"/>
    <x v="0"/>
    <x v="8"/>
    <x v="15"/>
    <s v="SE3_EL"/>
    <x v="0"/>
    <x v="0"/>
    <x v="4"/>
    <x v="9"/>
    <n v="1831.57965414979"/>
    <n v="111421.095627445"/>
    <n v="401115.94425880403"/>
  </r>
  <r>
    <x v="0"/>
    <x v="0"/>
    <x v="0"/>
    <x v="8"/>
    <x v="15"/>
    <s v="SE3_EL"/>
    <x v="0"/>
    <x v="0"/>
    <x v="4"/>
    <x v="10"/>
    <n v="1747.1724987386799"/>
    <n v="106286.32700660299"/>
    <n v="382630.77722376998"/>
  </r>
  <r>
    <x v="0"/>
    <x v="0"/>
    <x v="0"/>
    <x v="8"/>
    <x v="15"/>
    <s v="SE3_EL"/>
    <x v="0"/>
    <x v="0"/>
    <x v="4"/>
    <x v="11"/>
    <n v="1667.81182485819"/>
    <n v="101458.55267887301"/>
    <n v="365250.78964394401"/>
  </r>
  <r>
    <x v="0"/>
    <x v="0"/>
    <x v="0"/>
    <x v="8"/>
    <x v="15"/>
    <s v="SE3_EL"/>
    <x v="0"/>
    <x v="0"/>
    <x v="5"/>
    <x v="0"/>
    <n v="1230.0529158567899"/>
    <n v="74828.219047954699"/>
    <n v="269381.588572637"/>
  </r>
  <r>
    <x v="0"/>
    <x v="0"/>
    <x v="0"/>
    <x v="8"/>
    <x v="15"/>
    <s v="SE3_EL"/>
    <x v="0"/>
    <x v="0"/>
    <x v="5"/>
    <x v="1"/>
    <n v="1216.1922479104901"/>
    <n v="73985.028414555098"/>
    <n v="266346.10229239799"/>
  </r>
  <r>
    <x v="0"/>
    <x v="0"/>
    <x v="0"/>
    <x v="8"/>
    <x v="15"/>
    <s v="SE3_EL"/>
    <x v="0"/>
    <x v="0"/>
    <x v="5"/>
    <x v="2"/>
    <n v="1227.8893327107"/>
    <n v="74696.601073234197"/>
    <n v="268907.76386364299"/>
  </r>
  <r>
    <x v="0"/>
    <x v="0"/>
    <x v="0"/>
    <x v="8"/>
    <x v="15"/>
    <s v="SE3_EL"/>
    <x v="0"/>
    <x v="0"/>
    <x v="5"/>
    <x v="3"/>
    <n v="1258.4217643002"/>
    <n v="76553.990661595293"/>
    <n v="275594.36638174299"/>
  </r>
  <r>
    <x v="0"/>
    <x v="0"/>
    <x v="0"/>
    <x v="8"/>
    <x v="15"/>
    <s v="SE3_EL"/>
    <x v="0"/>
    <x v="0"/>
    <x v="5"/>
    <x v="4"/>
    <n v="1319.35459000577"/>
    <n v="80260.737558684297"/>
    <n v="288938.65521126398"/>
  </r>
  <r>
    <x v="0"/>
    <x v="0"/>
    <x v="0"/>
    <x v="8"/>
    <x v="15"/>
    <s v="SE3_EL"/>
    <x v="0"/>
    <x v="0"/>
    <x v="5"/>
    <x v="5"/>
    <n v="1424.9677727624901"/>
    <n v="86685.539509718306"/>
    <n v="312067.942234986"/>
  </r>
  <r>
    <x v="0"/>
    <x v="0"/>
    <x v="0"/>
    <x v="8"/>
    <x v="15"/>
    <s v="SE3_EL"/>
    <x v="0"/>
    <x v="0"/>
    <x v="5"/>
    <x v="6"/>
    <n v="1664.97818194405"/>
    <n v="101286.17273493001"/>
    <n v="364630.22184574697"/>
  </r>
  <r>
    <x v="0"/>
    <x v="0"/>
    <x v="0"/>
    <x v="8"/>
    <x v="15"/>
    <s v="SE3_EL"/>
    <x v="0"/>
    <x v="0"/>
    <x v="5"/>
    <x v="7"/>
    <n v="1788.6449474707299"/>
    <n v="108809.23430446901"/>
    <n v="391713.24349609"/>
  </r>
  <r>
    <x v="0"/>
    <x v="0"/>
    <x v="0"/>
    <x v="8"/>
    <x v="15"/>
    <s v="SE3_EL"/>
    <x v="0"/>
    <x v="0"/>
    <x v="5"/>
    <x v="8"/>
    <n v="1786.8168584308601"/>
    <n v="108698.025554544"/>
    <n v="391312.891996358"/>
  </r>
  <r>
    <x v="0"/>
    <x v="0"/>
    <x v="0"/>
    <x v="8"/>
    <x v="15"/>
    <s v="SE3_EL"/>
    <x v="0"/>
    <x v="0"/>
    <x v="5"/>
    <x v="9"/>
    <n v="1757.1243881354401"/>
    <n v="106891.733611573"/>
    <n v="384810.24100166198"/>
  </r>
  <r>
    <x v="0"/>
    <x v="0"/>
    <x v="0"/>
    <x v="8"/>
    <x v="15"/>
    <s v="SE3_EL"/>
    <x v="0"/>
    <x v="0"/>
    <x v="5"/>
    <x v="10"/>
    <n v="1685.49711270425"/>
    <n v="102534.407689509"/>
    <n v="369123.86768223101"/>
  </r>
  <r>
    <x v="0"/>
    <x v="0"/>
    <x v="0"/>
    <x v="8"/>
    <x v="15"/>
    <s v="SE3_EL"/>
    <x v="0"/>
    <x v="0"/>
    <x v="5"/>
    <x v="11"/>
    <n v="1627.5124476643"/>
    <n v="99007.007232911506"/>
    <n v="356425.22603848198"/>
  </r>
  <r>
    <x v="0"/>
    <x v="0"/>
    <x v="0"/>
    <x v="8"/>
    <x v="15"/>
    <s v="SE3_EL"/>
    <x v="0"/>
    <x v="0"/>
    <x v="6"/>
    <x v="0"/>
    <n v="1107.7448294184501"/>
    <n v="67387.810456288906"/>
    <n v="242596.11764263999"/>
  </r>
  <r>
    <x v="0"/>
    <x v="0"/>
    <x v="0"/>
    <x v="8"/>
    <x v="15"/>
    <s v="SE3_EL"/>
    <x v="0"/>
    <x v="0"/>
    <x v="6"/>
    <x v="1"/>
    <n v="1121.35292240743"/>
    <n v="68215.636113118904"/>
    <n v="245576.290007228"/>
  </r>
  <r>
    <x v="0"/>
    <x v="0"/>
    <x v="0"/>
    <x v="8"/>
    <x v="15"/>
    <s v="SE3_EL"/>
    <x v="0"/>
    <x v="0"/>
    <x v="6"/>
    <x v="2"/>
    <n v="1147.57976447079"/>
    <n v="69811.102338639699"/>
    <n v="251319.96841910301"/>
  </r>
  <r>
    <x v="0"/>
    <x v="0"/>
    <x v="0"/>
    <x v="8"/>
    <x v="15"/>
    <s v="SE3_EL"/>
    <x v="0"/>
    <x v="0"/>
    <x v="6"/>
    <x v="3"/>
    <n v="1186.4560427546601"/>
    <n v="72176.0759342417"/>
    <n v="259833.87336326999"/>
  </r>
  <r>
    <x v="0"/>
    <x v="0"/>
    <x v="0"/>
    <x v="8"/>
    <x v="15"/>
    <s v="SE3_EL"/>
    <x v="0"/>
    <x v="0"/>
    <x v="6"/>
    <x v="4"/>
    <n v="1250.08949573104"/>
    <n v="76047.110990304995"/>
    <n v="273769.599565098"/>
  </r>
  <r>
    <x v="0"/>
    <x v="0"/>
    <x v="0"/>
    <x v="8"/>
    <x v="15"/>
    <s v="SE3_EL"/>
    <x v="0"/>
    <x v="0"/>
    <x v="6"/>
    <x v="5"/>
    <n v="1347.5601627645799"/>
    <n v="81976.576568178396"/>
    <n v="295115.67564544198"/>
  </r>
  <r>
    <x v="0"/>
    <x v="0"/>
    <x v="0"/>
    <x v="8"/>
    <x v="15"/>
    <s v="SE3_EL"/>
    <x v="0"/>
    <x v="0"/>
    <x v="6"/>
    <x v="6"/>
    <n v="1566.29159486206"/>
    <n v="95282.738687441801"/>
    <n v="343017.85927478998"/>
  </r>
  <r>
    <x v="0"/>
    <x v="0"/>
    <x v="0"/>
    <x v="8"/>
    <x v="15"/>
    <s v="SE3_EL"/>
    <x v="0"/>
    <x v="0"/>
    <x v="6"/>
    <x v="7"/>
    <n v="1665.46840881617"/>
    <n v="101315.99486965001"/>
    <n v="364737.58153074101"/>
  </r>
  <r>
    <x v="0"/>
    <x v="0"/>
    <x v="0"/>
    <x v="8"/>
    <x v="15"/>
    <s v="SE3_EL"/>
    <x v="0"/>
    <x v="0"/>
    <x v="6"/>
    <x v="8"/>
    <n v="1623.9784604609199"/>
    <n v="98792.023011372497"/>
    <n v="355651.28284094098"/>
  </r>
  <r>
    <x v="0"/>
    <x v="0"/>
    <x v="0"/>
    <x v="8"/>
    <x v="15"/>
    <s v="SE3_EL"/>
    <x v="0"/>
    <x v="0"/>
    <x v="6"/>
    <x v="9"/>
    <n v="1542.8703118312001"/>
    <n v="93857.943969731597"/>
    <n v="337888.598291034"/>
  </r>
  <r>
    <x v="0"/>
    <x v="0"/>
    <x v="0"/>
    <x v="8"/>
    <x v="15"/>
    <s v="SE3_EL"/>
    <x v="0"/>
    <x v="0"/>
    <x v="6"/>
    <x v="10"/>
    <n v="1459.6076376323999"/>
    <n v="88792.797955970906"/>
    <n v="319654.07264149497"/>
  </r>
  <r>
    <x v="0"/>
    <x v="0"/>
    <x v="0"/>
    <x v="8"/>
    <x v="15"/>
    <s v="SE3_EL"/>
    <x v="0"/>
    <x v="0"/>
    <x v="6"/>
    <x v="11"/>
    <n v="1383.2833581915299"/>
    <n v="84149.737623317895"/>
    <n v="302939.055443944"/>
  </r>
  <r>
    <x v="0"/>
    <x v="0"/>
    <x v="0"/>
    <x v="8"/>
    <x v="15"/>
    <s v="SE3_EL"/>
    <x v="0"/>
    <x v="0"/>
    <x v="7"/>
    <x v="0"/>
    <n v="949.61496708734296"/>
    <n v="57768.243831146698"/>
    <n v="207965.677792128"/>
  </r>
  <r>
    <x v="0"/>
    <x v="0"/>
    <x v="0"/>
    <x v="8"/>
    <x v="15"/>
    <s v="SE3_EL"/>
    <x v="0"/>
    <x v="0"/>
    <x v="7"/>
    <x v="1"/>
    <n v="950.876311027459"/>
    <n v="57844.975587503803"/>
    <n v="208241.91211501401"/>
  </r>
  <r>
    <x v="0"/>
    <x v="0"/>
    <x v="0"/>
    <x v="8"/>
    <x v="15"/>
    <s v="SE3_EL"/>
    <x v="0"/>
    <x v="0"/>
    <x v="7"/>
    <x v="2"/>
    <n v="958.54396530808594"/>
    <n v="58311.424556241902"/>
    <n v="209921.12840247099"/>
  </r>
  <r>
    <x v="0"/>
    <x v="0"/>
    <x v="0"/>
    <x v="8"/>
    <x v="15"/>
    <s v="SE3_EL"/>
    <x v="0"/>
    <x v="0"/>
    <x v="7"/>
    <x v="3"/>
    <n v="996.43205369915802"/>
    <n v="60616.283266698803"/>
    <n v="218218.61976011601"/>
  </r>
  <r>
    <x v="0"/>
    <x v="0"/>
    <x v="0"/>
    <x v="8"/>
    <x v="15"/>
    <s v="SE3_EL"/>
    <x v="0"/>
    <x v="0"/>
    <x v="7"/>
    <x v="4"/>
    <n v="1073.3888608540799"/>
    <n v="65297.822368623201"/>
    <n v="235072.16052704299"/>
  </r>
  <r>
    <x v="0"/>
    <x v="0"/>
    <x v="0"/>
    <x v="8"/>
    <x v="15"/>
    <s v="SE3_EL"/>
    <x v="0"/>
    <x v="0"/>
    <x v="7"/>
    <x v="5"/>
    <n v="1182.34599766417"/>
    <n v="71926.048191237103"/>
    <n v="258933.773488454"/>
  </r>
  <r>
    <x v="0"/>
    <x v="0"/>
    <x v="0"/>
    <x v="8"/>
    <x v="15"/>
    <s v="SE3_EL"/>
    <x v="0"/>
    <x v="0"/>
    <x v="7"/>
    <x v="6"/>
    <n v="1392.92580885598"/>
    <n v="84736.320038738806"/>
    <n v="305050.75213946"/>
  </r>
  <r>
    <x v="0"/>
    <x v="0"/>
    <x v="0"/>
    <x v="8"/>
    <x v="15"/>
    <s v="SE3_EL"/>
    <x v="0"/>
    <x v="0"/>
    <x v="7"/>
    <x v="7"/>
    <n v="1501.52717498232"/>
    <n v="91342.9031447577"/>
    <n v="328834.451321128"/>
  </r>
  <r>
    <x v="0"/>
    <x v="0"/>
    <x v="0"/>
    <x v="8"/>
    <x v="15"/>
    <s v="SE3_EL"/>
    <x v="0"/>
    <x v="0"/>
    <x v="7"/>
    <x v="8"/>
    <n v="1484.4553065938301"/>
    <n v="90304.364484458099"/>
    <n v="325095.712144049"/>
  </r>
  <r>
    <x v="0"/>
    <x v="0"/>
    <x v="0"/>
    <x v="8"/>
    <x v="15"/>
    <s v="SE3_EL"/>
    <x v="0"/>
    <x v="0"/>
    <x v="7"/>
    <x v="9"/>
    <n v="1416.98699974334"/>
    <n v="86200.042484386693"/>
    <n v="310320.152943792"/>
  </r>
  <r>
    <x v="0"/>
    <x v="0"/>
    <x v="0"/>
    <x v="8"/>
    <x v="15"/>
    <s v="SE3_EL"/>
    <x v="0"/>
    <x v="0"/>
    <x v="7"/>
    <x v="10"/>
    <n v="1348.07589289164"/>
    <n v="82007.950150908306"/>
    <n v="295228.62054327002"/>
  </r>
  <r>
    <x v="0"/>
    <x v="0"/>
    <x v="0"/>
    <x v="8"/>
    <x v="15"/>
    <s v="SE3_EL"/>
    <x v="0"/>
    <x v="0"/>
    <x v="7"/>
    <x v="11"/>
    <n v="1277.70928313532"/>
    <n v="77727.314724065"/>
    <n v="279818.33300663403"/>
  </r>
  <r>
    <x v="0"/>
    <x v="0"/>
    <x v="0"/>
    <x v="8"/>
    <x v="15"/>
    <s v="SE3_EL"/>
    <x v="0"/>
    <x v="0"/>
    <x v="8"/>
    <x v="0"/>
    <n v="1064.0100900269899"/>
    <n v="64727.280476642001"/>
    <n v="233018.20971591101"/>
  </r>
  <r>
    <x v="0"/>
    <x v="0"/>
    <x v="0"/>
    <x v="8"/>
    <x v="15"/>
    <s v="SE3_EL"/>
    <x v="0"/>
    <x v="0"/>
    <x v="8"/>
    <x v="1"/>
    <n v="1064.85329894797"/>
    <n v="64778.575686001299"/>
    <n v="233202.872469605"/>
  </r>
  <r>
    <x v="0"/>
    <x v="0"/>
    <x v="0"/>
    <x v="8"/>
    <x v="15"/>
    <s v="SE3_EL"/>
    <x v="0"/>
    <x v="0"/>
    <x v="8"/>
    <x v="2"/>
    <n v="1080.24332152229"/>
    <n v="65714.802059272406"/>
    <n v="236573.28741338101"/>
  </r>
  <r>
    <x v="0"/>
    <x v="0"/>
    <x v="0"/>
    <x v="8"/>
    <x v="15"/>
    <s v="SE3_EL"/>
    <x v="0"/>
    <x v="0"/>
    <x v="8"/>
    <x v="3"/>
    <n v="1105.2799607848899"/>
    <n v="67237.864281080896"/>
    <n v="242056.31141189099"/>
  </r>
  <r>
    <x v="0"/>
    <x v="0"/>
    <x v="0"/>
    <x v="8"/>
    <x v="15"/>
    <s v="SE3_EL"/>
    <x v="0"/>
    <x v="0"/>
    <x v="8"/>
    <x v="4"/>
    <n v="1156.4949721185501"/>
    <n v="70353.4441372117"/>
    <n v="253272.398893962"/>
  </r>
  <r>
    <x v="0"/>
    <x v="0"/>
    <x v="0"/>
    <x v="8"/>
    <x v="15"/>
    <s v="SE3_EL"/>
    <x v="0"/>
    <x v="0"/>
    <x v="8"/>
    <x v="5"/>
    <n v="1237.84843275862"/>
    <n v="75302.446326149395"/>
    <n v="271088.80677413801"/>
  </r>
  <r>
    <x v="0"/>
    <x v="0"/>
    <x v="0"/>
    <x v="8"/>
    <x v="15"/>
    <s v="SE3_EL"/>
    <x v="0"/>
    <x v="0"/>
    <x v="8"/>
    <x v="6"/>
    <n v="1449.6434189321701"/>
    <n v="88186.641318373397"/>
    <n v="317471.90874614398"/>
  </r>
  <r>
    <x v="0"/>
    <x v="0"/>
    <x v="0"/>
    <x v="8"/>
    <x v="15"/>
    <s v="SE3_EL"/>
    <x v="0"/>
    <x v="0"/>
    <x v="8"/>
    <x v="7"/>
    <n v="1524.1022123770799"/>
    <n v="92716.217919605799"/>
    <n v="333778.38451058097"/>
  </r>
  <r>
    <x v="0"/>
    <x v="0"/>
    <x v="0"/>
    <x v="8"/>
    <x v="15"/>
    <s v="SE3_EL"/>
    <x v="0"/>
    <x v="0"/>
    <x v="8"/>
    <x v="8"/>
    <n v="1475.45511420666"/>
    <n v="89756.852780904897"/>
    <n v="323124.67001125799"/>
  </r>
  <r>
    <x v="0"/>
    <x v="0"/>
    <x v="0"/>
    <x v="8"/>
    <x v="15"/>
    <s v="SE3_EL"/>
    <x v="0"/>
    <x v="0"/>
    <x v="8"/>
    <x v="9"/>
    <n v="1397.48512062589"/>
    <n v="85013.678171408494"/>
    <n v="306049.24141707103"/>
  </r>
  <r>
    <x v="0"/>
    <x v="0"/>
    <x v="0"/>
    <x v="8"/>
    <x v="15"/>
    <s v="SE3_EL"/>
    <x v="0"/>
    <x v="0"/>
    <x v="8"/>
    <x v="10"/>
    <n v="1309.9747025491499"/>
    <n v="79690.127738406503"/>
    <n v="286884.45985826303"/>
  </r>
  <r>
    <x v="0"/>
    <x v="0"/>
    <x v="0"/>
    <x v="8"/>
    <x v="15"/>
    <s v="SE3_EL"/>
    <x v="0"/>
    <x v="0"/>
    <x v="8"/>
    <x v="11"/>
    <n v="1238.84270890533"/>
    <n v="75362.931458407795"/>
    <n v="271306.55325026799"/>
  </r>
  <r>
    <x v="0"/>
    <x v="0"/>
    <x v="0"/>
    <x v="8"/>
    <x v="15"/>
    <s v="SE3_EL"/>
    <x v="0"/>
    <x v="0"/>
    <x v="9"/>
    <x v="0"/>
    <n v="988.18979951516303"/>
    <n v="60114.879470505803"/>
    <n v="216413.56609382099"/>
  </r>
  <r>
    <x v="0"/>
    <x v="0"/>
    <x v="0"/>
    <x v="8"/>
    <x v="15"/>
    <s v="SE3_EL"/>
    <x v="0"/>
    <x v="0"/>
    <x v="9"/>
    <x v="1"/>
    <n v="1000.0895543122"/>
    <n v="60838.781220659002"/>
    <n v="219019.61239437299"/>
  </r>
  <r>
    <x v="0"/>
    <x v="0"/>
    <x v="0"/>
    <x v="8"/>
    <x v="15"/>
    <s v="SE3_EL"/>
    <x v="0"/>
    <x v="0"/>
    <x v="9"/>
    <x v="2"/>
    <n v="1022.52901593245"/>
    <n v="62203.848469224002"/>
    <n v="223933.85448920701"/>
  </r>
  <r>
    <x v="0"/>
    <x v="0"/>
    <x v="0"/>
    <x v="8"/>
    <x v="15"/>
    <s v="SE3_EL"/>
    <x v="0"/>
    <x v="0"/>
    <x v="9"/>
    <x v="3"/>
    <n v="1047.80841510758"/>
    <n v="63741.678585711103"/>
    <n v="229470.04290855999"/>
  </r>
  <r>
    <x v="0"/>
    <x v="0"/>
    <x v="0"/>
    <x v="8"/>
    <x v="15"/>
    <s v="SE3_EL"/>
    <x v="0"/>
    <x v="0"/>
    <x v="9"/>
    <x v="4"/>
    <n v="1097.22484808338"/>
    <n v="66747.844925072306"/>
    <n v="240292.24173025999"/>
  </r>
  <r>
    <x v="0"/>
    <x v="0"/>
    <x v="0"/>
    <x v="8"/>
    <x v="15"/>
    <s v="SE3_EL"/>
    <x v="0"/>
    <x v="0"/>
    <x v="9"/>
    <x v="5"/>
    <n v="1180.7389742389701"/>
    <n v="71828.2875995371"/>
    <n v="258581.83535833401"/>
  </r>
  <r>
    <x v="0"/>
    <x v="0"/>
    <x v="0"/>
    <x v="8"/>
    <x v="15"/>
    <s v="SE3_EL"/>
    <x v="0"/>
    <x v="0"/>
    <x v="9"/>
    <x v="6"/>
    <n v="1389.842320623"/>
    <n v="84548.741171232701"/>
    <n v="304375.46821643802"/>
  </r>
  <r>
    <x v="0"/>
    <x v="0"/>
    <x v="0"/>
    <x v="8"/>
    <x v="15"/>
    <s v="SE3_EL"/>
    <x v="0"/>
    <x v="0"/>
    <x v="9"/>
    <x v="7"/>
    <n v="1479.6849620194901"/>
    <n v="90014.1685228524"/>
    <n v="324051.00668226898"/>
  </r>
  <r>
    <x v="0"/>
    <x v="0"/>
    <x v="0"/>
    <x v="8"/>
    <x v="15"/>
    <s v="SE3_EL"/>
    <x v="0"/>
    <x v="0"/>
    <x v="9"/>
    <x v="8"/>
    <n v="1470.9649609097701"/>
    <n v="89483.701788677499"/>
    <n v="322141.32643923903"/>
  </r>
  <r>
    <x v="0"/>
    <x v="0"/>
    <x v="0"/>
    <x v="8"/>
    <x v="15"/>
    <s v="SE3_EL"/>
    <x v="0"/>
    <x v="0"/>
    <x v="9"/>
    <x v="9"/>
    <n v="1426.5121345331199"/>
    <n v="86779.488184097907"/>
    <n v="312406.15746275202"/>
  </r>
  <r>
    <x v="0"/>
    <x v="0"/>
    <x v="0"/>
    <x v="8"/>
    <x v="15"/>
    <s v="SE3_EL"/>
    <x v="0"/>
    <x v="0"/>
    <x v="9"/>
    <x v="10"/>
    <n v="1376.53477155769"/>
    <n v="83739.198603092998"/>
    <n v="301461.11497113499"/>
  </r>
  <r>
    <x v="0"/>
    <x v="0"/>
    <x v="0"/>
    <x v="8"/>
    <x v="15"/>
    <s v="SE3_EL"/>
    <x v="0"/>
    <x v="0"/>
    <x v="9"/>
    <x v="11"/>
    <n v="1324.28854984194"/>
    <n v="80560.886782051602"/>
    <n v="290019.19241538597"/>
  </r>
  <r>
    <x v="0"/>
    <x v="0"/>
    <x v="0"/>
    <x v="8"/>
    <x v="15"/>
    <s v="SE3_EL"/>
    <x v="0"/>
    <x v="0"/>
    <x v="10"/>
    <x v="0"/>
    <n v="494.355844385149"/>
    <n v="30073.313866763201"/>
    <n v="108263.929920348"/>
  </r>
  <r>
    <x v="0"/>
    <x v="0"/>
    <x v="0"/>
    <x v="8"/>
    <x v="15"/>
    <s v="SE3_EL"/>
    <x v="0"/>
    <x v="0"/>
    <x v="10"/>
    <x v="1"/>
    <n v="508.35015360034703"/>
    <n v="30924.634344021099"/>
    <n v="111328.683638476"/>
  </r>
  <r>
    <x v="0"/>
    <x v="0"/>
    <x v="0"/>
    <x v="8"/>
    <x v="15"/>
    <s v="SE3_EL"/>
    <x v="0"/>
    <x v="0"/>
    <x v="10"/>
    <x v="2"/>
    <n v="497.72047418541803"/>
    <n v="30277.995512946301"/>
    <n v="109000.783846607"/>
  </r>
  <r>
    <x v="0"/>
    <x v="0"/>
    <x v="0"/>
    <x v="8"/>
    <x v="15"/>
    <s v="SE3_EL"/>
    <x v="0"/>
    <x v="0"/>
    <x v="10"/>
    <x v="3"/>
    <n v="518.42615911678399"/>
    <n v="31537.591346271001"/>
    <n v="113535.328846576"/>
  </r>
  <r>
    <x v="0"/>
    <x v="0"/>
    <x v="0"/>
    <x v="8"/>
    <x v="15"/>
    <s v="SE3_EL"/>
    <x v="0"/>
    <x v="0"/>
    <x v="10"/>
    <x v="4"/>
    <n v="540.01820171495103"/>
    <n v="32851.107270992899"/>
    <n v="118263.986175574"/>
  </r>
  <r>
    <x v="0"/>
    <x v="0"/>
    <x v="0"/>
    <x v="8"/>
    <x v="15"/>
    <s v="SE3_EL"/>
    <x v="0"/>
    <x v="0"/>
    <x v="10"/>
    <x v="5"/>
    <n v="620.90503085269904"/>
    <n v="37771.722710205802"/>
    <n v="135978.20175674101"/>
  </r>
  <r>
    <x v="0"/>
    <x v="0"/>
    <x v="0"/>
    <x v="8"/>
    <x v="15"/>
    <s v="SE3_EL"/>
    <x v="0"/>
    <x v="0"/>
    <x v="10"/>
    <x v="6"/>
    <n v="762.93649964177803"/>
    <n v="46411.970394874799"/>
    <n v="167083.09342154901"/>
  </r>
  <r>
    <x v="0"/>
    <x v="0"/>
    <x v="0"/>
    <x v="8"/>
    <x v="15"/>
    <s v="SE3_EL"/>
    <x v="0"/>
    <x v="0"/>
    <x v="10"/>
    <x v="7"/>
    <n v="793.23019489751096"/>
    <n v="48254.836856265298"/>
    <n v="173717.412682555"/>
  </r>
  <r>
    <x v="0"/>
    <x v="0"/>
    <x v="0"/>
    <x v="8"/>
    <x v="15"/>
    <s v="SE3_EL"/>
    <x v="0"/>
    <x v="0"/>
    <x v="10"/>
    <x v="8"/>
    <n v="721.59305008609397"/>
    <n v="43896.910546904001"/>
    <n v="158028.87796885401"/>
  </r>
  <r>
    <x v="0"/>
    <x v="0"/>
    <x v="0"/>
    <x v="8"/>
    <x v="15"/>
    <s v="SE3_EL"/>
    <x v="0"/>
    <x v="0"/>
    <x v="10"/>
    <x v="9"/>
    <n v="637.02479854124795"/>
    <n v="38752.341911259202"/>
    <n v="139508.43088053301"/>
  </r>
  <r>
    <x v="0"/>
    <x v="0"/>
    <x v="0"/>
    <x v="8"/>
    <x v="15"/>
    <s v="SE3_EL"/>
    <x v="0"/>
    <x v="0"/>
    <x v="10"/>
    <x v="10"/>
    <n v="554.25459599326302"/>
    <n v="33717.154589590202"/>
    <n v="121381.756522525"/>
  </r>
  <r>
    <x v="0"/>
    <x v="0"/>
    <x v="0"/>
    <x v="8"/>
    <x v="15"/>
    <s v="SE3_EL"/>
    <x v="0"/>
    <x v="0"/>
    <x v="10"/>
    <x v="11"/>
    <n v="488.54045013007999"/>
    <n v="29719.544049579901"/>
    <n v="106990.358578488"/>
  </r>
  <r>
    <x v="0"/>
    <x v="0"/>
    <x v="0"/>
    <x v="8"/>
    <x v="15"/>
    <s v="SE3_EL"/>
    <x v="0"/>
    <x v="0"/>
    <x v="11"/>
    <x v="0"/>
    <n v="657.99182601096095"/>
    <n v="40027.836082333401"/>
    <n v="144100.20989639999"/>
  </r>
  <r>
    <x v="0"/>
    <x v="0"/>
    <x v="0"/>
    <x v="8"/>
    <x v="15"/>
    <s v="SE3_EL"/>
    <x v="0"/>
    <x v="0"/>
    <x v="11"/>
    <x v="1"/>
    <n v="672.848806453046"/>
    <n v="40931.635725893699"/>
    <n v="147353.88861321699"/>
  </r>
  <r>
    <x v="0"/>
    <x v="0"/>
    <x v="0"/>
    <x v="8"/>
    <x v="15"/>
    <s v="SE3_EL"/>
    <x v="0"/>
    <x v="0"/>
    <x v="11"/>
    <x v="2"/>
    <n v="680.15670280758798"/>
    <n v="41376.199420794903"/>
    <n v="148954.31791486201"/>
  </r>
  <r>
    <x v="0"/>
    <x v="0"/>
    <x v="0"/>
    <x v="8"/>
    <x v="15"/>
    <s v="SE3_EL"/>
    <x v="0"/>
    <x v="0"/>
    <x v="11"/>
    <x v="3"/>
    <n v="711.39350161906395"/>
    <n v="43276.4380151597"/>
    <n v="155795.17685457499"/>
  </r>
  <r>
    <x v="0"/>
    <x v="0"/>
    <x v="0"/>
    <x v="8"/>
    <x v="15"/>
    <s v="SE3_EL"/>
    <x v="0"/>
    <x v="0"/>
    <x v="11"/>
    <x v="4"/>
    <n v="742.73546969938798"/>
    <n v="45183.074406712803"/>
    <n v="162659.06786416599"/>
  </r>
  <r>
    <x v="0"/>
    <x v="0"/>
    <x v="0"/>
    <x v="8"/>
    <x v="15"/>
    <s v="SE3_EL"/>
    <x v="0"/>
    <x v="0"/>
    <x v="11"/>
    <x v="5"/>
    <n v="823.54656354458496"/>
    <n v="50099.082615628897"/>
    <n v="180356.69741626401"/>
  </r>
  <r>
    <x v="0"/>
    <x v="0"/>
    <x v="0"/>
    <x v="8"/>
    <x v="15"/>
    <s v="SE3_EL"/>
    <x v="0"/>
    <x v="0"/>
    <x v="11"/>
    <x v="6"/>
    <n v="988.38380086398297"/>
    <n v="60126.681219225698"/>
    <n v="216456.05238921201"/>
  </r>
  <r>
    <x v="0"/>
    <x v="0"/>
    <x v="0"/>
    <x v="8"/>
    <x v="15"/>
    <s v="SE3_EL"/>
    <x v="0"/>
    <x v="0"/>
    <x v="11"/>
    <x v="7"/>
    <n v="1055.9535289425201"/>
    <n v="64237.173010669903"/>
    <n v="231253.822838411"/>
  </r>
  <r>
    <x v="0"/>
    <x v="0"/>
    <x v="0"/>
    <x v="8"/>
    <x v="15"/>
    <s v="SE3_EL"/>
    <x v="0"/>
    <x v="0"/>
    <x v="11"/>
    <x v="8"/>
    <n v="1037.5716946192299"/>
    <n v="63118.944756003199"/>
    <n v="227228.20112161199"/>
  </r>
  <r>
    <x v="0"/>
    <x v="0"/>
    <x v="0"/>
    <x v="8"/>
    <x v="15"/>
    <s v="SE3_EL"/>
    <x v="0"/>
    <x v="0"/>
    <x v="11"/>
    <x v="9"/>
    <n v="996.99315000451998"/>
    <n v="60650.416625275"/>
    <n v="218341.49985098999"/>
  </r>
  <r>
    <x v="0"/>
    <x v="0"/>
    <x v="0"/>
    <x v="8"/>
    <x v="15"/>
    <s v="SE3_EL"/>
    <x v="0"/>
    <x v="0"/>
    <x v="11"/>
    <x v="10"/>
    <n v="960.05968175283203"/>
    <n v="58403.6306399639"/>
    <n v="210253.07030386999"/>
  </r>
  <r>
    <x v="0"/>
    <x v="0"/>
    <x v="0"/>
    <x v="8"/>
    <x v="15"/>
    <s v="SE3_EL"/>
    <x v="0"/>
    <x v="0"/>
    <x v="11"/>
    <x v="11"/>
    <n v="933.29242092849199"/>
    <n v="56775.288939816601"/>
    <n v="204391.04018334"/>
  </r>
  <r>
    <x v="0"/>
    <x v="0"/>
    <x v="0"/>
    <x v="8"/>
    <x v="15"/>
    <s v="SE3_GOT"/>
    <x v="0"/>
    <x v="0"/>
    <x v="0"/>
    <x v="0"/>
    <n v="291.42235175988401"/>
    <n v="17728.193065392999"/>
    <n v="63821.495035414599"/>
  </r>
  <r>
    <x v="0"/>
    <x v="0"/>
    <x v="0"/>
    <x v="8"/>
    <x v="15"/>
    <s v="SE3_GOT"/>
    <x v="0"/>
    <x v="0"/>
    <x v="0"/>
    <x v="1"/>
    <n v="292.67261536837401"/>
    <n v="17804.250768242699"/>
    <n v="64095.302765673798"/>
  </r>
  <r>
    <x v="0"/>
    <x v="0"/>
    <x v="0"/>
    <x v="8"/>
    <x v="15"/>
    <s v="SE3_GOT"/>
    <x v="0"/>
    <x v="0"/>
    <x v="0"/>
    <x v="2"/>
    <n v="285.78037800884698"/>
    <n v="17384.972995538199"/>
    <n v="62585.902783937498"/>
  </r>
  <r>
    <x v="0"/>
    <x v="0"/>
    <x v="0"/>
    <x v="8"/>
    <x v="15"/>
    <s v="SE3_GOT"/>
    <x v="0"/>
    <x v="0"/>
    <x v="0"/>
    <x v="3"/>
    <n v="285.91749607790598"/>
    <n v="17393.314344739301"/>
    <n v="62615.931641061499"/>
  </r>
  <r>
    <x v="0"/>
    <x v="0"/>
    <x v="0"/>
    <x v="8"/>
    <x v="15"/>
    <s v="SE3_GOT"/>
    <x v="0"/>
    <x v="0"/>
    <x v="0"/>
    <x v="4"/>
    <n v="291.497548062617"/>
    <n v="17732.7675071425"/>
    <n v="63837.963025713201"/>
  </r>
  <r>
    <x v="0"/>
    <x v="0"/>
    <x v="0"/>
    <x v="8"/>
    <x v="15"/>
    <s v="SE3_GOT"/>
    <x v="0"/>
    <x v="0"/>
    <x v="0"/>
    <x v="5"/>
    <n v="328.424274526484"/>
    <n v="19979.143367027798"/>
    <n v="71924.916121300106"/>
  </r>
  <r>
    <x v="0"/>
    <x v="0"/>
    <x v="0"/>
    <x v="8"/>
    <x v="15"/>
    <s v="SE3_GOT"/>
    <x v="0"/>
    <x v="0"/>
    <x v="0"/>
    <x v="6"/>
    <n v="400.86278453707399"/>
    <n v="24385.819392672001"/>
    <n v="87788.949813619198"/>
  </r>
  <r>
    <x v="0"/>
    <x v="0"/>
    <x v="0"/>
    <x v="8"/>
    <x v="15"/>
    <s v="SE3_GOT"/>
    <x v="0"/>
    <x v="0"/>
    <x v="0"/>
    <x v="7"/>
    <n v="428.17545839050598"/>
    <n v="26047.3403854225"/>
    <n v="93770.425387520896"/>
  </r>
  <r>
    <x v="0"/>
    <x v="0"/>
    <x v="0"/>
    <x v="8"/>
    <x v="15"/>
    <s v="SE3_GOT"/>
    <x v="0"/>
    <x v="0"/>
    <x v="0"/>
    <x v="8"/>
    <n v="423.67275641958901"/>
    <n v="25773.426015525001"/>
    <n v="92784.333655889903"/>
  </r>
  <r>
    <x v="0"/>
    <x v="0"/>
    <x v="0"/>
    <x v="8"/>
    <x v="15"/>
    <s v="SE3_GOT"/>
    <x v="0"/>
    <x v="0"/>
    <x v="0"/>
    <x v="9"/>
    <n v="406.55018464274298"/>
    <n v="24731.802899100199"/>
    <n v="89034.490436760694"/>
  </r>
  <r>
    <x v="0"/>
    <x v="0"/>
    <x v="0"/>
    <x v="8"/>
    <x v="15"/>
    <s v="SE3_GOT"/>
    <x v="0"/>
    <x v="0"/>
    <x v="0"/>
    <x v="10"/>
    <n v="411.30460684036899"/>
    <n v="25021.030249455798"/>
    <n v="90075.708898040699"/>
  </r>
  <r>
    <x v="0"/>
    <x v="0"/>
    <x v="0"/>
    <x v="8"/>
    <x v="15"/>
    <s v="SE3_GOT"/>
    <x v="0"/>
    <x v="0"/>
    <x v="0"/>
    <x v="11"/>
    <n v="413.87142317184299"/>
    <n v="25177.1782429538"/>
    <n v="90637.841674633702"/>
  </r>
  <r>
    <x v="0"/>
    <x v="0"/>
    <x v="0"/>
    <x v="8"/>
    <x v="15"/>
    <s v="SE3_GOT"/>
    <x v="0"/>
    <x v="0"/>
    <x v="1"/>
    <x v="0"/>
    <n v="426.75464214380702"/>
    <n v="25960.907397081599"/>
    <n v="93459.266629493795"/>
  </r>
  <r>
    <x v="0"/>
    <x v="0"/>
    <x v="0"/>
    <x v="8"/>
    <x v="15"/>
    <s v="SE3_GOT"/>
    <x v="0"/>
    <x v="0"/>
    <x v="1"/>
    <x v="1"/>
    <n v="425.6626049386"/>
    <n v="25894.4751337649"/>
    <n v="93220.110481553507"/>
  </r>
  <r>
    <x v="0"/>
    <x v="0"/>
    <x v="0"/>
    <x v="8"/>
    <x v="15"/>
    <s v="SE3_GOT"/>
    <x v="0"/>
    <x v="0"/>
    <x v="1"/>
    <x v="2"/>
    <n v="427.308491566876"/>
    <n v="25994.5999036516"/>
    <n v="93580.5596531458"/>
  </r>
  <r>
    <x v="0"/>
    <x v="0"/>
    <x v="0"/>
    <x v="8"/>
    <x v="15"/>
    <s v="SE3_GOT"/>
    <x v="0"/>
    <x v="0"/>
    <x v="1"/>
    <x v="3"/>
    <n v="442.58550511548998"/>
    <n v="26923.951561192302"/>
    <n v="96926.2256202922"/>
  </r>
  <r>
    <x v="0"/>
    <x v="0"/>
    <x v="0"/>
    <x v="8"/>
    <x v="15"/>
    <s v="SE3_GOT"/>
    <x v="0"/>
    <x v="0"/>
    <x v="1"/>
    <x v="4"/>
    <n v="468.37797257569201"/>
    <n v="28492.9933316879"/>
    <n v="102574.775994077"/>
  </r>
  <r>
    <x v="0"/>
    <x v="0"/>
    <x v="0"/>
    <x v="8"/>
    <x v="15"/>
    <s v="SE3_GOT"/>
    <x v="0"/>
    <x v="0"/>
    <x v="1"/>
    <x v="5"/>
    <n v="522.02755654760995"/>
    <n v="31756.6763566462"/>
    <n v="114324.034883926"/>
  </r>
  <r>
    <x v="0"/>
    <x v="0"/>
    <x v="0"/>
    <x v="8"/>
    <x v="15"/>
    <s v="SE3_GOT"/>
    <x v="0"/>
    <x v="0"/>
    <x v="1"/>
    <x v="6"/>
    <n v="617.11302661684203"/>
    <n v="37541.042452524598"/>
    <n v="135147.75282908801"/>
  </r>
  <r>
    <x v="0"/>
    <x v="0"/>
    <x v="0"/>
    <x v="8"/>
    <x v="15"/>
    <s v="SE3_GOT"/>
    <x v="0"/>
    <x v="0"/>
    <x v="1"/>
    <x v="7"/>
    <n v="659.40126063662206"/>
    <n v="40113.576688727801"/>
    <n v="144408.87607942001"/>
  </r>
  <r>
    <x v="0"/>
    <x v="0"/>
    <x v="0"/>
    <x v="8"/>
    <x v="15"/>
    <s v="SE3_GOT"/>
    <x v="0"/>
    <x v="0"/>
    <x v="1"/>
    <x v="8"/>
    <n v="652.45634948176701"/>
    <n v="39691.094593474198"/>
    <n v="142887.940536507"/>
  </r>
  <r>
    <x v="0"/>
    <x v="0"/>
    <x v="0"/>
    <x v="8"/>
    <x v="15"/>
    <s v="SE3_GOT"/>
    <x v="0"/>
    <x v="0"/>
    <x v="1"/>
    <x v="9"/>
    <n v="633.128948394541"/>
    <n v="38515.344360667899"/>
    <n v="138655.23969840401"/>
  </r>
  <r>
    <x v="0"/>
    <x v="0"/>
    <x v="0"/>
    <x v="8"/>
    <x v="15"/>
    <s v="SE3_GOT"/>
    <x v="0"/>
    <x v="0"/>
    <x v="1"/>
    <x v="10"/>
    <n v="615.34134486518201"/>
    <n v="37433.265145965197"/>
    <n v="134759.754525475"/>
  </r>
  <r>
    <x v="0"/>
    <x v="0"/>
    <x v="0"/>
    <x v="8"/>
    <x v="15"/>
    <s v="SE3_GOT"/>
    <x v="0"/>
    <x v="0"/>
    <x v="1"/>
    <x v="11"/>
    <n v="597.66353418363303"/>
    <n v="36357.864996171003"/>
    <n v="130888.313986216"/>
  </r>
  <r>
    <x v="0"/>
    <x v="0"/>
    <x v="0"/>
    <x v="8"/>
    <x v="15"/>
    <s v="SE3_GOT"/>
    <x v="0"/>
    <x v="0"/>
    <x v="2"/>
    <x v="0"/>
    <n v="424.27736931800001"/>
    <n v="25810.206633511702"/>
    <n v="92916.743880642098"/>
  </r>
  <r>
    <x v="0"/>
    <x v="0"/>
    <x v="0"/>
    <x v="8"/>
    <x v="15"/>
    <s v="SE3_GOT"/>
    <x v="0"/>
    <x v="0"/>
    <x v="2"/>
    <x v="1"/>
    <n v="419.08634593476199"/>
    <n v="25494.419377697999"/>
    <n v="91779.9097597129"/>
  </r>
  <r>
    <x v="0"/>
    <x v="0"/>
    <x v="0"/>
    <x v="8"/>
    <x v="15"/>
    <s v="SE3_GOT"/>
    <x v="0"/>
    <x v="0"/>
    <x v="2"/>
    <x v="2"/>
    <n v="416.24345605440499"/>
    <n v="25321.4769099763"/>
    <n v="91157.316875914694"/>
  </r>
  <r>
    <x v="0"/>
    <x v="0"/>
    <x v="0"/>
    <x v="8"/>
    <x v="15"/>
    <s v="SE3_GOT"/>
    <x v="0"/>
    <x v="0"/>
    <x v="2"/>
    <x v="3"/>
    <n v="423.73310853649798"/>
    <n v="25777.0974359703"/>
    <n v="92797.550769493202"/>
  </r>
  <r>
    <x v="0"/>
    <x v="0"/>
    <x v="0"/>
    <x v="8"/>
    <x v="15"/>
    <s v="SE3_GOT"/>
    <x v="0"/>
    <x v="0"/>
    <x v="2"/>
    <x v="4"/>
    <n v="437.40232304757302"/>
    <n v="26608.641318727299"/>
    <n v="95791.108747418504"/>
  </r>
  <r>
    <x v="0"/>
    <x v="0"/>
    <x v="0"/>
    <x v="8"/>
    <x v="15"/>
    <s v="SE3_GOT"/>
    <x v="0"/>
    <x v="0"/>
    <x v="2"/>
    <x v="5"/>
    <n v="477.90402687451399"/>
    <n v="29072.4949681996"/>
    <n v="104660.981885519"/>
  </r>
  <r>
    <x v="0"/>
    <x v="0"/>
    <x v="0"/>
    <x v="8"/>
    <x v="15"/>
    <s v="SE3_GOT"/>
    <x v="0"/>
    <x v="0"/>
    <x v="2"/>
    <x v="6"/>
    <n v="562.23250211155903"/>
    <n v="34202.4772117865"/>
    <n v="123128.91796243199"/>
  </r>
  <r>
    <x v="0"/>
    <x v="0"/>
    <x v="0"/>
    <x v="8"/>
    <x v="15"/>
    <s v="SE3_GOT"/>
    <x v="0"/>
    <x v="0"/>
    <x v="2"/>
    <x v="7"/>
    <n v="592.21381174174599"/>
    <n v="36026.340214289601"/>
    <n v="129694.824771442"/>
  </r>
  <r>
    <x v="0"/>
    <x v="0"/>
    <x v="0"/>
    <x v="8"/>
    <x v="15"/>
    <s v="SE3_GOT"/>
    <x v="0"/>
    <x v="0"/>
    <x v="2"/>
    <x v="8"/>
    <n v="577.03649096204401"/>
    <n v="35103.053200191003"/>
    <n v="126370.991520688"/>
  </r>
  <r>
    <x v="0"/>
    <x v="0"/>
    <x v="0"/>
    <x v="8"/>
    <x v="15"/>
    <s v="SE3_GOT"/>
    <x v="0"/>
    <x v="0"/>
    <x v="2"/>
    <x v="9"/>
    <n v="549.29488928345404"/>
    <n v="33415.4390980768"/>
    <n v="120295.580753077"/>
  </r>
  <r>
    <x v="0"/>
    <x v="0"/>
    <x v="0"/>
    <x v="8"/>
    <x v="15"/>
    <s v="SE3_GOT"/>
    <x v="0"/>
    <x v="0"/>
    <x v="2"/>
    <x v="10"/>
    <n v="532.43501362908103"/>
    <n v="32389.7966624357"/>
    <n v="116603.267984769"/>
  </r>
  <r>
    <x v="0"/>
    <x v="0"/>
    <x v="0"/>
    <x v="8"/>
    <x v="15"/>
    <s v="SE3_GOT"/>
    <x v="0"/>
    <x v="0"/>
    <x v="2"/>
    <x v="11"/>
    <n v="513.28210615124897"/>
    <n v="31224.661457534301"/>
    <n v="112408.781247123"/>
  </r>
  <r>
    <x v="0"/>
    <x v="0"/>
    <x v="0"/>
    <x v="8"/>
    <x v="15"/>
    <s v="SE3_GOT"/>
    <x v="0"/>
    <x v="0"/>
    <x v="3"/>
    <x v="0"/>
    <n v="433.02906287327102"/>
    <n v="26342.601324790601"/>
    <n v="94833.364769246298"/>
  </r>
  <r>
    <x v="0"/>
    <x v="0"/>
    <x v="0"/>
    <x v="8"/>
    <x v="15"/>
    <s v="SE3_GOT"/>
    <x v="0"/>
    <x v="0"/>
    <x v="3"/>
    <x v="1"/>
    <n v="431.39846582000899"/>
    <n v="26243.406670717199"/>
    <n v="94476.264014582004"/>
  </r>
  <r>
    <x v="0"/>
    <x v="0"/>
    <x v="0"/>
    <x v="8"/>
    <x v="15"/>
    <s v="SE3_GOT"/>
    <x v="0"/>
    <x v="0"/>
    <x v="3"/>
    <x v="2"/>
    <n v="431.23028315010703"/>
    <n v="26233.1755582982"/>
    <n v="94439.432009873504"/>
  </r>
  <r>
    <x v="0"/>
    <x v="0"/>
    <x v="0"/>
    <x v="8"/>
    <x v="15"/>
    <s v="SE3_GOT"/>
    <x v="0"/>
    <x v="0"/>
    <x v="3"/>
    <x v="3"/>
    <n v="438.776867325556"/>
    <n v="26692.259428971302"/>
    <n v="96092.1339442967"/>
  </r>
  <r>
    <x v="0"/>
    <x v="0"/>
    <x v="0"/>
    <x v="8"/>
    <x v="15"/>
    <s v="SE3_GOT"/>
    <x v="0"/>
    <x v="0"/>
    <x v="3"/>
    <x v="4"/>
    <n v="454.75207918343199"/>
    <n v="27664.084816992101"/>
    <n v="99590.705341171502"/>
  </r>
  <r>
    <x v="0"/>
    <x v="0"/>
    <x v="0"/>
    <x v="8"/>
    <x v="15"/>
    <s v="SE3_GOT"/>
    <x v="0"/>
    <x v="0"/>
    <x v="3"/>
    <x v="5"/>
    <n v="500.31587182520002"/>
    <n v="30435.8822026997"/>
    <n v="109569.175929719"/>
  </r>
  <r>
    <x v="0"/>
    <x v="0"/>
    <x v="0"/>
    <x v="8"/>
    <x v="15"/>
    <s v="SE3_GOT"/>
    <x v="0"/>
    <x v="0"/>
    <x v="3"/>
    <x v="6"/>
    <n v="593.58452168623398"/>
    <n v="36109.725069245898"/>
    <n v="129995.010249285"/>
  </r>
  <r>
    <x v="0"/>
    <x v="0"/>
    <x v="0"/>
    <x v="8"/>
    <x v="15"/>
    <s v="SE3_GOT"/>
    <x v="0"/>
    <x v="0"/>
    <x v="3"/>
    <x v="7"/>
    <n v="635.93162158995096"/>
    <n v="38685.840313388697"/>
    <n v="139269.02512819899"/>
  </r>
  <r>
    <x v="0"/>
    <x v="0"/>
    <x v="0"/>
    <x v="8"/>
    <x v="15"/>
    <s v="SE3_GOT"/>
    <x v="0"/>
    <x v="0"/>
    <x v="3"/>
    <x v="8"/>
    <n v="634.96879728243596"/>
    <n v="38627.268501348197"/>
    <n v="139058.16660485399"/>
  </r>
  <r>
    <x v="0"/>
    <x v="0"/>
    <x v="0"/>
    <x v="8"/>
    <x v="15"/>
    <s v="SE3_GOT"/>
    <x v="0"/>
    <x v="0"/>
    <x v="3"/>
    <x v="9"/>
    <n v="619.48627086077602"/>
    <n v="37685.414810697199"/>
    <n v="135667.49331851001"/>
  </r>
  <r>
    <x v="0"/>
    <x v="0"/>
    <x v="0"/>
    <x v="8"/>
    <x v="15"/>
    <s v="SE3_GOT"/>
    <x v="0"/>
    <x v="0"/>
    <x v="3"/>
    <x v="10"/>
    <n v="608.15700455223396"/>
    <n v="36996.2177769275"/>
    <n v="133186.383996939"/>
  </r>
  <r>
    <x v="0"/>
    <x v="0"/>
    <x v="0"/>
    <x v="8"/>
    <x v="15"/>
    <s v="SE3_GOT"/>
    <x v="0"/>
    <x v="0"/>
    <x v="3"/>
    <x v="11"/>
    <n v="598.591668069089"/>
    <n v="36414.326474202899"/>
    <n v="131091.57530713099"/>
  </r>
  <r>
    <x v="0"/>
    <x v="0"/>
    <x v="0"/>
    <x v="8"/>
    <x v="15"/>
    <s v="SE3_GOT"/>
    <x v="0"/>
    <x v="0"/>
    <x v="4"/>
    <x v="0"/>
    <n v="472.883163166141"/>
    <n v="28767.059092606902"/>
    <n v="103561.412733385"/>
  </r>
  <r>
    <x v="0"/>
    <x v="0"/>
    <x v="0"/>
    <x v="8"/>
    <x v="15"/>
    <s v="SE3_GOT"/>
    <x v="0"/>
    <x v="0"/>
    <x v="4"/>
    <x v="1"/>
    <n v="470.51966714755002"/>
    <n v="28623.279751475999"/>
    <n v="103043.807105314"/>
  </r>
  <r>
    <x v="0"/>
    <x v="0"/>
    <x v="0"/>
    <x v="8"/>
    <x v="15"/>
    <s v="SE3_GOT"/>
    <x v="0"/>
    <x v="0"/>
    <x v="4"/>
    <x v="2"/>
    <n v="472.56650494556999"/>
    <n v="28747.7957175222"/>
    <n v="103492.06458308001"/>
  </r>
  <r>
    <x v="0"/>
    <x v="0"/>
    <x v="0"/>
    <x v="8"/>
    <x v="15"/>
    <s v="SE3_GOT"/>
    <x v="0"/>
    <x v="0"/>
    <x v="4"/>
    <x v="3"/>
    <n v="484.72453669984202"/>
    <n v="29487.409315907"/>
    <n v="106154.673537265"/>
  </r>
  <r>
    <x v="0"/>
    <x v="0"/>
    <x v="0"/>
    <x v="8"/>
    <x v="15"/>
    <s v="SE3_GOT"/>
    <x v="0"/>
    <x v="0"/>
    <x v="4"/>
    <x v="4"/>
    <n v="507.57602730803302"/>
    <n v="30877.5416612386"/>
    <n v="111159.149980459"/>
  </r>
  <r>
    <x v="0"/>
    <x v="0"/>
    <x v="0"/>
    <x v="8"/>
    <x v="15"/>
    <s v="SE3_GOT"/>
    <x v="0"/>
    <x v="0"/>
    <x v="4"/>
    <x v="5"/>
    <n v="552.54012810381005"/>
    <n v="33612.857792981798"/>
    <n v="121006.288054734"/>
  </r>
  <r>
    <x v="0"/>
    <x v="0"/>
    <x v="0"/>
    <x v="8"/>
    <x v="15"/>
    <s v="SE3_GOT"/>
    <x v="0"/>
    <x v="0"/>
    <x v="4"/>
    <x v="6"/>
    <n v="649.68295536918697"/>
    <n v="39522.379784958903"/>
    <n v="142280.56722585199"/>
  </r>
  <r>
    <x v="0"/>
    <x v="0"/>
    <x v="0"/>
    <x v="8"/>
    <x v="15"/>
    <s v="SE3_GOT"/>
    <x v="0"/>
    <x v="0"/>
    <x v="4"/>
    <x v="7"/>
    <n v="692.95660319926105"/>
    <n v="42154.860027955103"/>
    <n v="151757.496100638"/>
  </r>
  <r>
    <x v="0"/>
    <x v="0"/>
    <x v="0"/>
    <x v="8"/>
    <x v="15"/>
    <s v="SE3_GOT"/>
    <x v="0"/>
    <x v="0"/>
    <x v="4"/>
    <x v="8"/>
    <n v="687.68795746712306"/>
    <n v="41834.350745916701"/>
    <n v="150603.66268529999"/>
  </r>
  <r>
    <x v="0"/>
    <x v="0"/>
    <x v="0"/>
    <x v="8"/>
    <x v="15"/>
    <s v="SE3_GOT"/>
    <x v="0"/>
    <x v="0"/>
    <x v="4"/>
    <x v="9"/>
    <n v="671.44458098745804"/>
    <n v="40846.212010070303"/>
    <n v="147046.363236253"/>
  </r>
  <r>
    <x v="0"/>
    <x v="0"/>
    <x v="0"/>
    <x v="8"/>
    <x v="15"/>
    <s v="SE3_GOT"/>
    <x v="0"/>
    <x v="0"/>
    <x v="4"/>
    <x v="10"/>
    <n v="648.78677117174504"/>
    <n v="39467.861912947803"/>
    <n v="142084.30288661199"/>
  </r>
  <r>
    <x v="0"/>
    <x v="0"/>
    <x v="0"/>
    <x v="8"/>
    <x v="15"/>
    <s v="SE3_GOT"/>
    <x v="0"/>
    <x v="0"/>
    <x v="4"/>
    <x v="11"/>
    <n v="625.38650131390102"/>
    <n v="38044.345496595699"/>
    <n v="136959.64378774399"/>
  </r>
  <r>
    <x v="0"/>
    <x v="0"/>
    <x v="0"/>
    <x v="8"/>
    <x v="15"/>
    <s v="SE3_GOT"/>
    <x v="0"/>
    <x v="0"/>
    <x v="5"/>
    <x v="0"/>
    <n v="543.49233512787998"/>
    <n v="33062.450386946097"/>
    <n v="119024.821393006"/>
  </r>
  <r>
    <x v="0"/>
    <x v="0"/>
    <x v="0"/>
    <x v="8"/>
    <x v="15"/>
    <s v="SE3_GOT"/>
    <x v="0"/>
    <x v="0"/>
    <x v="5"/>
    <x v="1"/>
    <n v="537.19658234032897"/>
    <n v="32679.458759036701"/>
    <n v="117646.051532532"/>
  </r>
  <r>
    <x v="0"/>
    <x v="0"/>
    <x v="0"/>
    <x v="8"/>
    <x v="15"/>
    <s v="SE3_GOT"/>
    <x v="0"/>
    <x v="0"/>
    <x v="5"/>
    <x v="2"/>
    <n v="537.399314590166"/>
    <n v="32691.7916375684"/>
    <n v="117690.449895246"/>
  </r>
  <r>
    <x v="0"/>
    <x v="0"/>
    <x v="0"/>
    <x v="8"/>
    <x v="15"/>
    <s v="SE3_GOT"/>
    <x v="0"/>
    <x v="0"/>
    <x v="5"/>
    <x v="3"/>
    <n v="543.15273385931596"/>
    <n v="33041.791309774999"/>
    <n v="118950.44871519"/>
  </r>
  <r>
    <x v="0"/>
    <x v="0"/>
    <x v="0"/>
    <x v="8"/>
    <x v="15"/>
    <s v="SE3_GOT"/>
    <x v="0"/>
    <x v="0"/>
    <x v="5"/>
    <x v="4"/>
    <n v="561.38300782428496"/>
    <n v="34150.799642644"/>
    <n v="122942.87871351901"/>
  </r>
  <r>
    <x v="0"/>
    <x v="0"/>
    <x v="0"/>
    <x v="8"/>
    <x v="15"/>
    <s v="SE3_GOT"/>
    <x v="0"/>
    <x v="0"/>
    <x v="5"/>
    <x v="5"/>
    <n v="604.42809189098898"/>
    <n v="36769.375590035197"/>
    <n v="132369.752124127"/>
  </r>
  <r>
    <x v="0"/>
    <x v="0"/>
    <x v="0"/>
    <x v="8"/>
    <x v="15"/>
    <s v="SE3_GOT"/>
    <x v="0"/>
    <x v="0"/>
    <x v="5"/>
    <x v="6"/>
    <n v="707.46770521919495"/>
    <n v="43037.6187341677"/>
    <n v="154935.42744300401"/>
  </r>
  <r>
    <x v="0"/>
    <x v="0"/>
    <x v="0"/>
    <x v="8"/>
    <x v="15"/>
    <s v="SE3_GOT"/>
    <x v="0"/>
    <x v="0"/>
    <x v="5"/>
    <x v="7"/>
    <n v="755.89086988736506"/>
    <n v="45983.361251481401"/>
    <n v="165540.10050533299"/>
  </r>
  <r>
    <x v="0"/>
    <x v="0"/>
    <x v="0"/>
    <x v="8"/>
    <x v="15"/>
    <s v="SE3_GOT"/>
    <x v="0"/>
    <x v="0"/>
    <x v="5"/>
    <x v="8"/>
    <n v="750.40818363757705"/>
    <n v="45649.831171285899"/>
    <n v="164339.392216629"/>
  </r>
  <r>
    <x v="0"/>
    <x v="0"/>
    <x v="0"/>
    <x v="8"/>
    <x v="15"/>
    <s v="SE3_GOT"/>
    <x v="0"/>
    <x v="0"/>
    <x v="5"/>
    <x v="9"/>
    <n v="742.15435998035105"/>
    <n v="45147.723565471402"/>
    <n v="162531.804835697"/>
  </r>
  <r>
    <x v="0"/>
    <x v="0"/>
    <x v="0"/>
    <x v="8"/>
    <x v="15"/>
    <s v="SE3_GOT"/>
    <x v="0"/>
    <x v="0"/>
    <x v="5"/>
    <x v="10"/>
    <n v="721.34972041581898"/>
    <n v="43882.107991962301"/>
    <n v="157975.58877106401"/>
  </r>
  <r>
    <x v="0"/>
    <x v="0"/>
    <x v="0"/>
    <x v="8"/>
    <x v="15"/>
    <s v="SE3_GOT"/>
    <x v="0"/>
    <x v="0"/>
    <x v="5"/>
    <x v="11"/>
    <n v="706.81177381875204"/>
    <n v="42997.716240640802"/>
    <n v="154791.77846630701"/>
  </r>
  <r>
    <x v="0"/>
    <x v="0"/>
    <x v="0"/>
    <x v="8"/>
    <x v="15"/>
    <s v="SE3_GOT"/>
    <x v="0"/>
    <x v="0"/>
    <x v="6"/>
    <x v="0"/>
    <n v="478.648669674541"/>
    <n v="29117.794071867898"/>
    <n v="104824.058658725"/>
  </r>
  <r>
    <x v="0"/>
    <x v="0"/>
    <x v="0"/>
    <x v="8"/>
    <x v="15"/>
    <s v="SE3_GOT"/>
    <x v="0"/>
    <x v="0"/>
    <x v="6"/>
    <x v="1"/>
    <n v="476.34592930245702"/>
    <n v="28977.710699232801"/>
    <n v="104319.75851723801"/>
  </r>
  <r>
    <x v="0"/>
    <x v="0"/>
    <x v="0"/>
    <x v="8"/>
    <x v="15"/>
    <s v="SE3_GOT"/>
    <x v="0"/>
    <x v="0"/>
    <x v="6"/>
    <x v="2"/>
    <n v="479.41912871980497"/>
    <n v="29164.6636637882"/>
    <n v="104992.789189637"/>
  </r>
  <r>
    <x v="0"/>
    <x v="0"/>
    <x v="0"/>
    <x v="8"/>
    <x v="15"/>
    <s v="SE3_GOT"/>
    <x v="0"/>
    <x v="0"/>
    <x v="6"/>
    <x v="3"/>
    <n v="496.30620694244698"/>
    <n v="30191.9609223322"/>
    <n v="108691.059320396"/>
  </r>
  <r>
    <x v="0"/>
    <x v="0"/>
    <x v="0"/>
    <x v="8"/>
    <x v="15"/>
    <s v="SE3_GOT"/>
    <x v="0"/>
    <x v="0"/>
    <x v="6"/>
    <x v="4"/>
    <n v="528.81901131045902"/>
    <n v="32169.823188052898"/>
    <n v="115811.36347698999"/>
  </r>
  <r>
    <x v="0"/>
    <x v="0"/>
    <x v="0"/>
    <x v="8"/>
    <x v="15"/>
    <s v="SE3_GOT"/>
    <x v="0"/>
    <x v="0"/>
    <x v="6"/>
    <x v="5"/>
    <n v="578.23195472113105"/>
    <n v="35175.777245535501"/>
    <n v="126632.79808392801"/>
  </r>
  <r>
    <x v="0"/>
    <x v="0"/>
    <x v="0"/>
    <x v="8"/>
    <x v="15"/>
    <s v="SE3_GOT"/>
    <x v="0"/>
    <x v="0"/>
    <x v="6"/>
    <x v="6"/>
    <n v="680.57442336545103"/>
    <n v="41401.610754731599"/>
    <n v="149045.79871703399"/>
  </r>
  <r>
    <x v="0"/>
    <x v="0"/>
    <x v="0"/>
    <x v="8"/>
    <x v="15"/>
    <s v="SE3_GOT"/>
    <x v="0"/>
    <x v="0"/>
    <x v="6"/>
    <x v="7"/>
    <n v="726.25455391293895"/>
    <n v="44180.4853630371"/>
    <n v="159049.747306934"/>
  </r>
  <r>
    <x v="0"/>
    <x v="0"/>
    <x v="0"/>
    <x v="8"/>
    <x v="15"/>
    <s v="SE3_GOT"/>
    <x v="0"/>
    <x v="0"/>
    <x v="6"/>
    <x v="8"/>
    <n v="711.75855782786198"/>
    <n v="43298.645601194898"/>
    <n v="155875.12416430199"/>
  </r>
  <r>
    <x v="0"/>
    <x v="0"/>
    <x v="0"/>
    <x v="8"/>
    <x v="15"/>
    <s v="SE3_GOT"/>
    <x v="0"/>
    <x v="0"/>
    <x v="6"/>
    <x v="9"/>
    <n v="685.96759086096597"/>
    <n v="41729.695110708803"/>
    <n v="150226.90239855199"/>
  </r>
  <r>
    <x v="0"/>
    <x v="0"/>
    <x v="0"/>
    <x v="8"/>
    <x v="15"/>
    <s v="SE3_GOT"/>
    <x v="0"/>
    <x v="0"/>
    <x v="6"/>
    <x v="10"/>
    <n v="660.52948247022096"/>
    <n v="40182.210183605101"/>
    <n v="144655.956660978"/>
  </r>
  <r>
    <x v="0"/>
    <x v="0"/>
    <x v="0"/>
    <x v="8"/>
    <x v="15"/>
    <s v="SE3_GOT"/>
    <x v="0"/>
    <x v="0"/>
    <x v="6"/>
    <x v="11"/>
    <n v="624.19961791180197"/>
    <n v="37972.1434229679"/>
    <n v="136699.71632268501"/>
  </r>
  <r>
    <x v="0"/>
    <x v="0"/>
    <x v="0"/>
    <x v="8"/>
    <x v="15"/>
    <s v="SE3_GOT"/>
    <x v="0"/>
    <x v="0"/>
    <x v="7"/>
    <x v="0"/>
    <n v="422.50657375883497"/>
    <n v="25702.483236995799"/>
    <n v="92528.939653184905"/>
  </r>
  <r>
    <x v="0"/>
    <x v="0"/>
    <x v="0"/>
    <x v="8"/>
    <x v="15"/>
    <s v="SE3_GOT"/>
    <x v="0"/>
    <x v="0"/>
    <x v="7"/>
    <x v="1"/>
    <n v="421.60621689362898"/>
    <n v="25647.711527695799"/>
    <n v="92331.761499704706"/>
  </r>
  <r>
    <x v="0"/>
    <x v="0"/>
    <x v="0"/>
    <x v="8"/>
    <x v="15"/>
    <s v="SE3_GOT"/>
    <x v="0"/>
    <x v="0"/>
    <x v="7"/>
    <x v="2"/>
    <n v="425.69115558019399"/>
    <n v="25896.2119644618"/>
    <n v="93226.363072062406"/>
  </r>
  <r>
    <x v="0"/>
    <x v="0"/>
    <x v="0"/>
    <x v="8"/>
    <x v="15"/>
    <s v="SE3_GOT"/>
    <x v="0"/>
    <x v="0"/>
    <x v="7"/>
    <x v="3"/>
    <n v="437.38333639390203"/>
    <n v="26607.486297295702"/>
    <n v="95786.950670264501"/>
  </r>
  <r>
    <x v="0"/>
    <x v="0"/>
    <x v="0"/>
    <x v="8"/>
    <x v="15"/>
    <s v="SE3_GOT"/>
    <x v="0"/>
    <x v="0"/>
    <x v="7"/>
    <x v="4"/>
    <n v="463.697478887957"/>
    <n v="28208.263299017399"/>
    <n v="101549.74787646301"/>
  </r>
  <r>
    <x v="0"/>
    <x v="0"/>
    <x v="0"/>
    <x v="8"/>
    <x v="15"/>
    <s v="SE3_GOT"/>
    <x v="0"/>
    <x v="0"/>
    <x v="7"/>
    <x v="5"/>
    <n v="511.897018278357"/>
    <n v="31140.401945266702"/>
    <n v="112105.44700296001"/>
  </r>
  <r>
    <x v="0"/>
    <x v="0"/>
    <x v="0"/>
    <x v="8"/>
    <x v="15"/>
    <s v="SE3_GOT"/>
    <x v="0"/>
    <x v="0"/>
    <x v="7"/>
    <x v="6"/>
    <n v="604.38529044734105"/>
    <n v="36766.771835546599"/>
    <n v="132360.37860796801"/>
  </r>
  <r>
    <x v="0"/>
    <x v="0"/>
    <x v="0"/>
    <x v="8"/>
    <x v="15"/>
    <s v="SE3_GOT"/>
    <x v="0"/>
    <x v="0"/>
    <x v="7"/>
    <x v="7"/>
    <n v="640.882719332124"/>
    <n v="38987.032092704198"/>
    <n v="140353.315533735"/>
  </r>
  <r>
    <x v="0"/>
    <x v="0"/>
    <x v="0"/>
    <x v="8"/>
    <x v="15"/>
    <s v="SE3_GOT"/>
    <x v="0"/>
    <x v="0"/>
    <x v="7"/>
    <x v="8"/>
    <n v="626.97360996575003"/>
    <n v="38140.8946062498"/>
    <n v="137307.22058249899"/>
  </r>
  <r>
    <x v="0"/>
    <x v="0"/>
    <x v="0"/>
    <x v="8"/>
    <x v="15"/>
    <s v="SE3_GOT"/>
    <x v="0"/>
    <x v="0"/>
    <x v="7"/>
    <x v="9"/>
    <n v="589.38440006662495"/>
    <n v="35854.2176707197"/>
    <n v="129075.18361459101"/>
  </r>
  <r>
    <x v="0"/>
    <x v="0"/>
    <x v="0"/>
    <x v="8"/>
    <x v="15"/>
    <s v="SE3_GOT"/>
    <x v="0"/>
    <x v="0"/>
    <x v="7"/>
    <x v="10"/>
    <n v="565.70306810434397"/>
    <n v="34413.603309680897"/>
    <n v="123888.971914851"/>
  </r>
  <r>
    <x v="0"/>
    <x v="0"/>
    <x v="0"/>
    <x v="8"/>
    <x v="15"/>
    <s v="SE3_GOT"/>
    <x v="0"/>
    <x v="0"/>
    <x v="7"/>
    <x v="11"/>
    <n v="547.54459631572001"/>
    <n v="33308.962942539598"/>
    <n v="119912.26659314299"/>
  </r>
  <r>
    <x v="0"/>
    <x v="0"/>
    <x v="0"/>
    <x v="8"/>
    <x v="15"/>
    <s v="SE3_GOT"/>
    <x v="0"/>
    <x v="0"/>
    <x v="8"/>
    <x v="0"/>
    <n v="449.37161743957103"/>
    <n v="27336.773394240601"/>
    <n v="98412.384219265994"/>
  </r>
  <r>
    <x v="0"/>
    <x v="0"/>
    <x v="0"/>
    <x v="8"/>
    <x v="15"/>
    <s v="SE3_GOT"/>
    <x v="0"/>
    <x v="0"/>
    <x v="8"/>
    <x v="1"/>
    <n v="449.81194675992799"/>
    <n v="27363.560094562301"/>
    <n v="98508.816340424106"/>
  </r>
  <r>
    <x v="0"/>
    <x v="0"/>
    <x v="0"/>
    <x v="8"/>
    <x v="15"/>
    <s v="SE3_GOT"/>
    <x v="0"/>
    <x v="0"/>
    <x v="8"/>
    <x v="2"/>
    <n v="453.40059928410102"/>
    <n v="27581.869789782799"/>
    <n v="99294.731243218106"/>
  </r>
  <r>
    <x v="0"/>
    <x v="0"/>
    <x v="0"/>
    <x v="8"/>
    <x v="15"/>
    <s v="SE3_GOT"/>
    <x v="0"/>
    <x v="0"/>
    <x v="8"/>
    <x v="3"/>
    <n v="457.16636012653203"/>
    <n v="27810.953574364001"/>
    <n v="100119.43286771"/>
  </r>
  <r>
    <x v="0"/>
    <x v="0"/>
    <x v="0"/>
    <x v="8"/>
    <x v="15"/>
    <s v="SE3_GOT"/>
    <x v="0"/>
    <x v="0"/>
    <x v="8"/>
    <x v="4"/>
    <n v="470.993656610274"/>
    <n v="28652.1141104583"/>
    <n v="103147.61079765001"/>
  </r>
  <r>
    <x v="0"/>
    <x v="0"/>
    <x v="0"/>
    <x v="8"/>
    <x v="15"/>
    <s v="SE3_GOT"/>
    <x v="0"/>
    <x v="0"/>
    <x v="8"/>
    <x v="5"/>
    <n v="507.36643611173503"/>
    <n v="30864.7915301305"/>
    <n v="111113.24950847001"/>
  </r>
  <r>
    <x v="0"/>
    <x v="0"/>
    <x v="0"/>
    <x v="8"/>
    <x v="15"/>
    <s v="SE3_GOT"/>
    <x v="0"/>
    <x v="0"/>
    <x v="8"/>
    <x v="6"/>
    <n v="595.42232743576596"/>
    <n v="36221.524919009098"/>
    <n v="130397.489708433"/>
  </r>
  <r>
    <x v="0"/>
    <x v="0"/>
    <x v="0"/>
    <x v="8"/>
    <x v="15"/>
    <s v="SE3_GOT"/>
    <x v="0"/>
    <x v="0"/>
    <x v="8"/>
    <x v="7"/>
    <n v="613.81403700645001"/>
    <n v="37340.353917892397"/>
    <n v="134425.27410441299"/>
  </r>
  <r>
    <x v="0"/>
    <x v="0"/>
    <x v="0"/>
    <x v="8"/>
    <x v="15"/>
    <s v="SE3_GOT"/>
    <x v="0"/>
    <x v="0"/>
    <x v="8"/>
    <x v="8"/>
    <n v="583.134532411848"/>
    <n v="35474.017388387401"/>
    <n v="127706.46259819499"/>
  </r>
  <r>
    <x v="0"/>
    <x v="0"/>
    <x v="0"/>
    <x v="8"/>
    <x v="15"/>
    <s v="SE3_GOT"/>
    <x v="0"/>
    <x v="0"/>
    <x v="8"/>
    <x v="9"/>
    <n v="545.600489910291"/>
    <n v="33190.696469542701"/>
    <n v="119486.507290354"/>
  </r>
  <r>
    <x v="0"/>
    <x v="0"/>
    <x v="0"/>
    <x v="8"/>
    <x v="15"/>
    <s v="SE3_GOT"/>
    <x v="0"/>
    <x v="0"/>
    <x v="8"/>
    <x v="10"/>
    <n v="515.10090022574605"/>
    <n v="31335.3047637329"/>
    <n v="112807.09714943801"/>
  </r>
  <r>
    <x v="0"/>
    <x v="0"/>
    <x v="0"/>
    <x v="8"/>
    <x v="15"/>
    <s v="SE3_GOT"/>
    <x v="0"/>
    <x v="0"/>
    <x v="8"/>
    <x v="11"/>
    <n v="495.29063301887402"/>
    <n v="30130.180175314799"/>
    <n v="108468.64863113299"/>
  </r>
  <r>
    <x v="0"/>
    <x v="0"/>
    <x v="0"/>
    <x v="8"/>
    <x v="15"/>
    <s v="SE3_GOT"/>
    <x v="0"/>
    <x v="0"/>
    <x v="9"/>
    <x v="0"/>
    <n v="333.93665146299298"/>
    <n v="20314.479630665399"/>
    <n v="73132.126670395606"/>
  </r>
  <r>
    <x v="0"/>
    <x v="0"/>
    <x v="0"/>
    <x v="8"/>
    <x v="15"/>
    <s v="SE3_GOT"/>
    <x v="0"/>
    <x v="0"/>
    <x v="9"/>
    <x v="1"/>
    <n v="338.94344958993003"/>
    <n v="20619.059850054098"/>
    <n v="74228.615460194604"/>
  </r>
  <r>
    <x v="0"/>
    <x v="0"/>
    <x v="0"/>
    <x v="8"/>
    <x v="15"/>
    <s v="SE3_GOT"/>
    <x v="0"/>
    <x v="0"/>
    <x v="9"/>
    <x v="2"/>
    <n v="341.79328645119398"/>
    <n v="20792.424925780899"/>
    <n v="74852.729732811393"/>
  </r>
  <r>
    <x v="0"/>
    <x v="0"/>
    <x v="0"/>
    <x v="8"/>
    <x v="15"/>
    <s v="SE3_GOT"/>
    <x v="0"/>
    <x v="0"/>
    <x v="9"/>
    <x v="3"/>
    <n v="353.94740956899199"/>
    <n v="21531.800748780301"/>
    <n v="77514.4826956092"/>
  </r>
  <r>
    <x v="0"/>
    <x v="0"/>
    <x v="0"/>
    <x v="8"/>
    <x v="15"/>
    <s v="SE3_GOT"/>
    <x v="0"/>
    <x v="0"/>
    <x v="9"/>
    <x v="4"/>
    <n v="370.756320397286"/>
    <n v="22554.342824168201"/>
    <n v="81195.634167005599"/>
  </r>
  <r>
    <x v="0"/>
    <x v="0"/>
    <x v="0"/>
    <x v="8"/>
    <x v="15"/>
    <s v="SE3_GOT"/>
    <x v="0"/>
    <x v="0"/>
    <x v="9"/>
    <x v="5"/>
    <n v="410.07623245109897"/>
    <n v="24946.304140775199"/>
    <n v="89806.694906790697"/>
  </r>
  <r>
    <x v="0"/>
    <x v="0"/>
    <x v="0"/>
    <x v="8"/>
    <x v="15"/>
    <s v="SE3_GOT"/>
    <x v="0"/>
    <x v="0"/>
    <x v="9"/>
    <x v="6"/>
    <n v="494.675469990777"/>
    <n v="30092.7577577722"/>
    <n v="108333.92792798"/>
  </r>
  <r>
    <x v="0"/>
    <x v="0"/>
    <x v="0"/>
    <x v="8"/>
    <x v="15"/>
    <s v="SE3_GOT"/>
    <x v="0"/>
    <x v="0"/>
    <x v="9"/>
    <x v="7"/>
    <n v="524.15586109501305"/>
    <n v="31886.148216613299"/>
    <n v="114790.133579808"/>
  </r>
  <r>
    <x v="0"/>
    <x v="0"/>
    <x v="0"/>
    <x v="8"/>
    <x v="15"/>
    <s v="SE3_GOT"/>
    <x v="0"/>
    <x v="0"/>
    <x v="9"/>
    <x v="8"/>
    <n v="515.97473960826903"/>
    <n v="31388.463326169702"/>
    <n v="112998.467974211"/>
  </r>
  <r>
    <x v="0"/>
    <x v="0"/>
    <x v="0"/>
    <x v="8"/>
    <x v="15"/>
    <s v="SE3_GOT"/>
    <x v="0"/>
    <x v="0"/>
    <x v="9"/>
    <x v="9"/>
    <n v="500.36852056780702"/>
    <n v="30439.085001208299"/>
    <n v="109580.70600435"/>
  </r>
  <r>
    <x v="0"/>
    <x v="0"/>
    <x v="0"/>
    <x v="8"/>
    <x v="15"/>
    <s v="SE3_GOT"/>
    <x v="0"/>
    <x v="0"/>
    <x v="9"/>
    <x v="10"/>
    <n v="482.32282041219003"/>
    <n v="29341.304908408201"/>
    <n v="105628.69767027"/>
  </r>
  <r>
    <x v="0"/>
    <x v="0"/>
    <x v="0"/>
    <x v="8"/>
    <x v="15"/>
    <s v="SE3_GOT"/>
    <x v="0"/>
    <x v="0"/>
    <x v="9"/>
    <x v="11"/>
    <n v="464.43106228582701"/>
    <n v="28252.8896223878"/>
    <n v="101710.402640596"/>
  </r>
  <r>
    <x v="0"/>
    <x v="0"/>
    <x v="0"/>
    <x v="8"/>
    <x v="15"/>
    <s v="SE3_GOT"/>
    <x v="0"/>
    <x v="0"/>
    <x v="10"/>
    <x v="0"/>
    <n v="247.15711761658"/>
    <n v="15035.391321675301"/>
    <n v="54127.408758030899"/>
  </r>
  <r>
    <x v="0"/>
    <x v="0"/>
    <x v="0"/>
    <x v="8"/>
    <x v="15"/>
    <s v="SE3_GOT"/>
    <x v="0"/>
    <x v="0"/>
    <x v="10"/>
    <x v="1"/>
    <n v="251.46828715343099"/>
    <n v="15297.6541351671"/>
    <n v="55071.5548866014"/>
  </r>
  <r>
    <x v="0"/>
    <x v="0"/>
    <x v="0"/>
    <x v="8"/>
    <x v="15"/>
    <s v="SE3_GOT"/>
    <x v="0"/>
    <x v="0"/>
    <x v="10"/>
    <x v="2"/>
    <n v="248.371590273496"/>
    <n v="15109.2717416377"/>
    <n v="54393.378269895598"/>
  </r>
  <r>
    <x v="0"/>
    <x v="0"/>
    <x v="0"/>
    <x v="8"/>
    <x v="15"/>
    <s v="SE3_GOT"/>
    <x v="0"/>
    <x v="0"/>
    <x v="10"/>
    <x v="3"/>
    <n v="255.22950598634799"/>
    <n v="15526.461614169501"/>
    <n v="55895.261811010299"/>
  </r>
  <r>
    <x v="0"/>
    <x v="0"/>
    <x v="0"/>
    <x v="8"/>
    <x v="15"/>
    <s v="SE3_GOT"/>
    <x v="0"/>
    <x v="0"/>
    <x v="10"/>
    <x v="4"/>
    <n v="264.32996808987798"/>
    <n v="16080.073058800899"/>
    <n v="57888.263011683302"/>
  </r>
  <r>
    <x v="0"/>
    <x v="0"/>
    <x v="0"/>
    <x v="8"/>
    <x v="15"/>
    <s v="SE3_GOT"/>
    <x v="0"/>
    <x v="0"/>
    <x v="10"/>
    <x v="5"/>
    <n v="302.728733204403"/>
    <n v="18415.997936601201"/>
    <n v="66297.592571764195"/>
  </r>
  <r>
    <x v="0"/>
    <x v="0"/>
    <x v="0"/>
    <x v="8"/>
    <x v="15"/>
    <s v="SE3_GOT"/>
    <x v="0"/>
    <x v="0"/>
    <x v="10"/>
    <x v="6"/>
    <n v="372.16469681500803"/>
    <n v="22640.019056246299"/>
    <n v="81504.068602486805"/>
  </r>
  <r>
    <x v="0"/>
    <x v="0"/>
    <x v="0"/>
    <x v="8"/>
    <x v="15"/>
    <s v="SE3_GOT"/>
    <x v="0"/>
    <x v="0"/>
    <x v="10"/>
    <x v="7"/>
    <n v="385.86658885109301"/>
    <n v="23473.550821774799"/>
    <n v="84504.782958389405"/>
  </r>
  <r>
    <x v="0"/>
    <x v="0"/>
    <x v="0"/>
    <x v="8"/>
    <x v="15"/>
    <s v="SE3_GOT"/>
    <x v="0"/>
    <x v="0"/>
    <x v="10"/>
    <x v="8"/>
    <n v="350.33590908207702"/>
    <n v="21312.1011358264"/>
    <n v="76723.564088974905"/>
  </r>
  <r>
    <x v="0"/>
    <x v="0"/>
    <x v="0"/>
    <x v="8"/>
    <x v="15"/>
    <s v="SE3_GOT"/>
    <x v="0"/>
    <x v="0"/>
    <x v="10"/>
    <x v="9"/>
    <n v="315.51233758981198"/>
    <n v="19193.667203380199"/>
    <n v="69097.201932168799"/>
  </r>
  <r>
    <x v="0"/>
    <x v="0"/>
    <x v="0"/>
    <x v="8"/>
    <x v="15"/>
    <s v="SE3_GOT"/>
    <x v="0"/>
    <x v="0"/>
    <x v="10"/>
    <x v="10"/>
    <n v="281.66273721236502"/>
    <n v="17134.483180418902"/>
    <n v="61684.139449508002"/>
  </r>
  <r>
    <x v="0"/>
    <x v="0"/>
    <x v="0"/>
    <x v="8"/>
    <x v="15"/>
    <s v="SE3_GOT"/>
    <x v="0"/>
    <x v="0"/>
    <x v="10"/>
    <x v="11"/>
    <n v="259.45776277074498"/>
    <n v="15783.6805685536"/>
    <n v="56821.250046793102"/>
  </r>
  <r>
    <x v="0"/>
    <x v="0"/>
    <x v="0"/>
    <x v="8"/>
    <x v="15"/>
    <s v="SE3_GOT"/>
    <x v="0"/>
    <x v="0"/>
    <x v="11"/>
    <x v="0"/>
    <n v="274.79425829976498"/>
    <n v="16716.6507132357"/>
    <n v="60179.942567648599"/>
  </r>
  <r>
    <x v="0"/>
    <x v="0"/>
    <x v="0"/>
    <x v="8"/>
    <x v="15"/>
    <s v="SE3_GOT"/>
    <x v="0"/>
    <x v="0"/>
    <x v="11"/>
    <x v="1"/>
    <n v="278.57345235119601"/>
    <n v="16946.551684697799"/>
    <n v="61007.586064912"/>
  </r>
  <r>
    <x v="0"/>
    <x v="0"/>
    <x v="0"/>
    <x v="8"/>
    <x v="15"/>
    <s v="SE3_GOT"/>
    <x v="0"/>
    <x v="0"/>
    <x v="11"/>
    <x v="2"/>
    <n v="276.61973186903202"/>
    <n v="16827.700355366102"/>
    <n v="60579.721279318001"/>
  </r>
  <r>
    <x v="0"/>
    <x v="0"/>
    <x v="0"/>
    <x v="8"/>
    <x v="15"/>
    <s v="SE3_GOT"/>
    <x v="0"/>
    <x v="0"/>
    <x v="11"/>
    <x v="3"/>
    <n v="285.02267728586298"/>
    <n v="17338.879534889998"/>
    <n v="62419.966325603898"/>
  </r>
  <r>
    <x v="0"/>
    <x v="0"/>
    <x v="0"/>
    <x v="8"/>
    <x v="15"/>
    <s v="SE3_GOT"/>
    <x v="0"/>
    <x v="0"/>
    <x v="11"/>
    <x v="4"/>
    <n v="294.94712245102801"/>
    <n v="17942.616615770901"/>
    <n v="64593.419816775102"/>
  </r>
  <r>
    <x v="0"/>
    <x v="0"/>
    <x v="0"/>
    <x v="8"/>
    <x v="15"/>
    <s v="SE3_GOT"/>
    <x v="0"/>
    <x v="0"/>
    <x v="11"/>
    <x v="5"/>
    <n v="333.34382622392502"/>
    <n v="20278.4160952887"/>
    <n v="73002.297943039506"/>
  </r>
  <r>
    <x v="0"/>
    <x v="0"/>
    <x v="0"/>
    <x v="8"/>
    <x v="15"/>
    <s v="SE3_GOT"/>
    <x v="0"/>
    <x v="0"/>
    <x v="11"/>
    <x v="6"/>
    <n v="406.78496963171898"/>
    <n v="24746.085652596201"/>
    <n v="89085.9083493465"/>
  </r>
  <r>
    <x v="0"/>
    <x v="0"/>
    <x v="0"/>
    <x v="8"/>
    <x v="15"/>
    <s v="SE3_GOT"/>
    <x v="0"/>
    <x v="0"/>
    <x v="11"/>
    <x v="7"/>
    <n v="426.77402837446499"/>
    <n v="25962.086726113299"/>
    <n v="93463.512214007904"/>
  </r>
  <r>
    <x v="0"/>
    <x v="0"/>
    <x v="0"/>
    <x v="8"/>
    <x v="15"/>
    <s v="SE3_GOT"/>
    <x v="0"/>
    <x v="0"/>
    <x v="11"/>
    <x v="8"/>
    <n v="410.571750122916"/>
    <n v="24976.448132477399"/>
    <n v="89915.213276918497"/>
  </r>
  <r>
    <x v="0"/>
    <x v="0"/>
    <x v="0"/>
    <x v="8"/>
    <x v="15"/>
    <s v="SE3_GOT"/>
    <x v="0"/>
    <x v="0"/>
    <x v="11"/>
    <x v="9"/>
    <n v="391.634049408316"/>
    <n v="23824.404672339198"/>
    <n v="85767.856820421293"/>
  </r>
  <r>
    <x v="0"/>
    <x v="0"/>
    <x v="0"/>
    <x v="8"/>
    <x v="15"/>
    <s v="SE3_GOT"/>
    <x v="0"/>
    <x v="0"/>
    <x v="11"/>
    <x v="10"/>
    <n v="377.47211246061499"/>
    <n v="22962.886841354099"/>
    <n v="82666.392628874702"/>
  </r>
  <r>
    <x v="0"/>
    <x v="0"/>
    <x v="0"/>
    <x v="8"/>
    <x v="15"/>
    <s v="SE3_GOT"/>
    <x v="0"/>
    <x v="0"/>
    <x v="11"/>
    <x v="11"/>
    <n v="366.34259151049002"/>
    <n v="22285.840983554801"/>
    <n v="80229.027540797397"/>
  </r>
  <r>
    <x v="0"/>
    <x v="0"/>
    <x v="0"/>
    <x v="8"/>
    <x v="15"/>
    <s v="SE3_HP"/>
    <x v="0"/>
    <x v="0"/>
    <x v="0"/>
    <x v="0"/>
    <n v="325.52161140391598"/>
    <n v="19802.564693738201"/>
    <n v="71289.232897457696"/>
  </r>
  <r>
    <x v="0"/>
    <x v="0"/>
    <x v="0"/>
    <x v="8"/>
    <x v="15"/>
    <s v="SE3_HP"/>
    <x v="0"/>
    <x v="0"/>
    <x v="0"/>
    <x v="1"/>
    <n v="322.51255543938299"/>
    <n v="19619.513789229099"/>
    <n v="70630.2496412248"/>
  </r>
  <r>
    <x v="0"/>
    <x v="0"/>
    <x v="0"/>
    <x v="8"/>
    <x v="15"/>
    <s v="SE3_HP"/>
    <x v="0"/>
    <x v="0"/>
    <x v="0"/>
    <x v="2"/>
    <n v="317.93550036790299"/>
    <n v="19341.076272380698"/>
    <n v="69627.8745805707"/>
  </r>
  <r>
    <x v="0"/>
    <x v="0"/>
    <x v="0"/>
    <x v="8"/>
    <x v="15"/>
    <s v="SE3_HP"/>
    <x v="0"/>
    <x v="0"/>
    <x v="0"/>
    <x v="3"/>
    <n v="317.70482755038302"/>
    <n v="19327.0436759816"/>
    <n v="69577.357233533898"/>
  </r>
  <r>
    <x v="0"/>
    <x v="0"/>
    <x v="0"/>
    <x v="8"/>
    <x v="15"/>
    <s v="SE3_HP"/>
    <x v="0"/>
    <x v="0"/>
    <x v="0"/>
    <x v="4"/>
    <n v="322.56850886807598"/>
    <n v="19622.917622808"/>
    <n v="70642.503442108806"/>
  </r>
  <r>
    <x v="0"/>
    <x v="0"/>
    <x v="0"/>
    <x v="8"/>
    <x v="15"/>
    <s v="SE3_HP"/>
    <x v="0"/>
    <x v="0"/>
    <x v="0"/>
    <x v="5"/>
    <n v="353.091232705143"/>
    <n v="21479.716656229499"/>
    <n v="77326.979962426296"/>
  </r>
  <r>
    <x v="0"/>
    <x v="0"/>
    <x v="0"/>
    <x v="8"/>
    <x v="15"/>
    <s v="SE3_HP"/>
    <x v="0"/>
    <x v="0"/>
    <x v="0"/>
    <x v="6"/>
    <n v="418.52801145759099"/>
    <n v="25460.454030336801"/>
    <n v="91657.634509212498"/>
  </r>
  <r>
    <x v="0"/>
    <x v="0"/>
    <x v="0"/>
    <x v="8"/>
    <x v="15"/>
    <s v="SE3_HP"/>
    <x v="0"/>
    <x v="0"/>
    <x v="0"/>
    <x v="7"/>
    <n v="441.87878217152598"/>
    <n v="26880.959248767798"/>
    <n v="96771.453295564206"/>
  </r>
  <r>
    <x v="0"/>
    <x v="0"/>
    <x v="0"/>
    <x v="8"/>
    <x v="15"/>
    <s v="SE3_HP"/>
    <x v="0"/>
    <x v="0"/>
    <x v="0"/>
    <x v="8"/>
    <n v="433.18880440349102"/>
    <n v="26352.318934545699"/>
    <n v="94868.348164364506"/>
  </r>
  <r>
    <x v="0"/>
    <x v="0"/>
    <x v="0"/>
    <x v="8"/>
    <x v="15"/>
    <s v="SE3_HP"/>
    <x v="0"/>
    <x v="0"/>
    <x v="0"/>
    <x v="9"/>
    <n v="411.16189137588799"/>
    <n v="25012.3483920332"/>
    <n v="90044.454211319404"/>
  </r>
  <r>
    <x v="0"/>
    <x v="0"/>
    <x v="0"/>
    <x v="8"/>
    <x v="15"/>
    <s v="SE3_HP"/>
    <x v="0"/>
    <x v="0"/>
    <x v="0"/>
    <x v="10"/>
    <n v="405.53557364271097"/>
    <n v="24670.0807299316"/>
    <n v="88812.290627753697"/>
  </r>
  <r>
    <x v="0"/>
    <x v="0"/>
    <x v="0"/>
    <x v="8"/>
    <x v="15"/>
    <s v="SE3_HP"/>
    <x v="0"/>
    <x v="0"/>
    <x v="0"/>
    <x v="11"/>
    <n v="398.84603193567102"/>
    <n v="24263.133609420001"/>
    <n v="87347.280993911903"/>
  </r>
  <r>
    <x v="0"/>
    <x v="0"/>
    <x v="0"/>
    <x v="8"/>
    <x v="15"/>
    <s v="SE3_HP"/>
    <x v="0"/>
    <x v="0"/>
    <x v="1"/>
    <x v="0"/>
    <n v="438.54154338547301"/>
    <n v="26677.943889282898"/>
    <n v="96040.598001418504"/>
  </r>
  <r>
    <x v="0"/>
    <x v="0"/>
    <x v="0"/>
    <x v="8"/>
    <x v="15"/>
    <s v="SE3_HP"/>
    <x v="0"/>
    <x v="0"/>
    <x v="1"/>
    <x v="1"/>
    <n v="434.95732683434898"/>
    <n v="26459.9040490896"/>
    <n v="95255.654576722503"/>
  </r>
  <r>
    <x v="0"/>
    <x v="0"/>
    <x v="0"/>
    <x v="8"/>
    <x v="15"/>
    <s v="SE3_HP"/>
    <x v="0"/>
    <x v="0"/>
    <x v="1"/>
    <x v="2"/>
    <n v="435.08146430765402"/>
    <n v="26467.4557453823"/>
    <n v="95282.840683376198"/>
  </r>
  <r>
    <x v="0"/>
    <x v="0"/>
    <x v="0"/>
    <x v="8"/>
    <x v="15"/>
    <s v="SE3_HP"/>
    <x v="0"/>
    <x v="0"/>
    <x v="1"/>
    <x v="3"/>
    <n v="442.84060236303299"/>
    <n v="26939.4699770845"/>
    <n v="96982.091917504207"/>
  </r>
  <r>
    <x v="0"/>
    <x v="0"/>
    <x v="0"/>
    <x v="8"/>
    <x v="15"/>
    <s v="SE3_HP"/>
    <x v="0"/>
    <x v="0"/>
    <x v="1"/>
    <x v="4"/>
    <n v="466.34661972549998"/>
    <n v="28369.4193666346"/>
    <n v="102129.90971988501"/>
  </r>
  <r>
    <x v="0"/>
    <x v="0"/>
    <x v="0"/>
    <x v="8"/>
    <x v="15"/>
    <s v="SE3_HP"/>
    <x v="0"/>
    <x v="0"/>
    <x v="1"/>
    <x v="5"/>
    <n v="514.479910249152"/>
    <n v="31297.5278734901"/>
    <n v="112671.10034456399"/>
  </r>
  <r>
    <x v="0"/>
    <x v="0"/>
    <x v="0"/>
    <x v="8"/>
    <x v="15"/>
    <s v="SE3_HP"/>
    <x v="0"/>
    <x v="0"/>
    <x v="1"/>
    <x v="6"/>
    <n v="611.17525394059805"/>
    <n v="37179.827948053098"/>
    <n v="133847.38061299099"/>
  </r>
  <r>
    <x v="0"/>
    <x v="0"/>
    <x v="0"/>
    <x v="8"/>
    <x v="15"/>
    <s v="SE3_HP"/>
    <x v="0"/>
    <x v="0"/>
    <x v="1"/>
    <x v="7"/>
    <n v="662.10045212928298"/>
    <n v="40277.777504531397"/>
    <n v="144999.999016313"/>
  </r>
  <r>
    <x v="0"/>
    <x v="0"/>
    <x v="0"/>
    <x v="8"/>
    <x v="15"/>
    <s v="SE3_HP"/>
    <x v="0"/>
    <x v="0"/>
    <x v="1"/>
    <x v="8"/>
    <n v="665.02180738636901"/>
    <n v="40455.493282670803"/>
    <n v="145639.77581761501"/>
  </r>
  <r>
    <x v="0"/>
    <x v="0"/>
    <x v="0"/>
    <x v="8"/>
    <x v="15"/>
    <s v="SE3_HP"/>
    <x v="0"/>
    <x v="0"/>
    <x v="1"/>
    <x v="9"/>
    <n v="658.10154150581502"/>
    <n v="40034.510441603699"/>
    <n v="144124.23758977299"/>
  </r>
  <r>
    <x v="0"/>
    <x v="0"/>
    <x v="0"/>
    <x v="8"/>
    <x v="15"/>
    <s v="SE3_HP"/>
    <x v="0"/>
    <x v="0"/>
    <x v="1"/>
    <x v="10"/>
    <n v="642.002190110269"/>
    <n v="39055.133231708001"/>
    <n v="140598.479634149"/>
  </r>
  <r>
    <x v="0"/>
    <x v="0"/>
    <x v="0"/>
    <x v="8"/>
    <x v="15"/>
    <s v="SE3_HP"/>
    <x v="0"/>
    <x v="0"/>
    <x v="1"/>
    <x v="11"/>
    <n v="632.73384363572302"/>
    <n v="38491.308821173203"/>
    <n v="138568.711756223"/>
  </r>
  <r>
    <x v="0"/>
    <x v="0"/>
    <x v="0"/>
    <x v="8"/>
    <x v="15"/>
    <s v="SE3_HP"/>
    <x v="0"/>
    <x v="0"/>
    <x v="2"/>
    <x v="0"/>
    <n v="412.01312885350598"/>
    <n v="25064.132005255"/>
    <n v="90230.875218917907"/>
  </r>
  <r>
    <x v="0"/>
    <x v="0"/>
    <x v="0"/>
    <x v="8"/>
    <x v="15"/>
    <s v="SE3_HP"/>
    <x v="0"/>
    <x v="0"/>
    <x v="2"/>
    <x v="1"/>
    <n v="407.55286094248498"/>
    <n v="24792.799040667898"/>
    <n v="89254.076546404307"/>
  </r>
  <r>
    <x v="0"/>
    <x v="0"/>
    <x v="0"/>
    <x v="8"/>
    <x v="15"/>
    <s v="SE3_HP"/>
    <x v="0"/>
    <x v="0"/>
    <x v="2"/>
    <x v="2"/>
    <n v="406.77814370059599"/>
    <n v="24745.670408452901"/>
    <n v="89084.413470430503"/>
  </r>
  <r>
    <x v="0"/>
    <x v="0"/>
    <x v="0"/>
    <x v="8"/>
    <x v="15"/>
    <s v="SE3_HP"/>
    <x v="0"/>
    <x v="0"/>
    <x v="2"/>
    <x v="3"/>
    <n v="412.30913925984402"/>
    <n v="25082.1393049738"/>
    <n v="90295.7014979058"/>
  </r>
  <r>
    <x v="0"/>
    <x v="0"/>
    <x v="0"/>
    <x v="8"/>
    <x v="15"/>
    <s v="SE3_HP"/>
    <x v="0"/>
    <x v="0"/>
    <x v="2"/>
    <x v="4"/>
    <n v="427.78534696062201"/>
    <n v="26023.608606771199"/>
    <n v="93684.9909843762"/>
  </r>
  <r>
    <x v="0"/>
    <x v="0"/>
    <x v="0"/>
    <x v="8"/>
    <x v="15"/>
    <s v="SE3_HP"/>
    <x v="0"/>
    <x v="0"/>
    <x v="2"/>
    <x v="5"/>
    <n v="464.44499493695997"/>
    <n v="28253.7371919984"/>
    <n v="101713.453891194"/>
  </r>
  <r>
    <x v="0"/>
    <x v="0"/>
    <x v="0"/>
    <x v="8"/>
    <x v="15"/>
    <s v="SE3_HP"/>
    <x v="0"/>
    <x v="0"/>
    <x v="2"/>
    <x v="6"/>
    <n v="546.06622648590303"/>
    <n v="33219.028777892403"/>
    <n v="119588.50360041299"/>
  </r>
  <r>
    <x v="0"/>
    <x v="0"/>
    <x v="0"/>
    <x v="8"/>
    <x v="15"/>
    <s v="SE3_HP"/>
    <x v="0"/>
    <x v="0"/>
    <x v="2"/>
    <x v="7"/>
    <n v="583.93033091464497"/>
    <n v="35522.428463974204"/>
    <n v="127880.742470307"/>
  </r>
  <r>
    <x v="0"/>
    <x v="0"/>
    <x v="0"/>
    <x v="8"/>
    <x v="15"/>
    <s v="SE3_HP"/>
    <x v="0"/>
    <x v="0"/>
    <x v="2"/>
    <x v="8"/>
    <n v="579.85742702147797"/>
    <n v="35274.660143806599"/>
    <n v="126988.776517704"/>
  </r>
  <r>
    <x v="0"/>
    <x v="0"/>
    <x v="0"/>
    <x v="8"/>
    <x v="15"/>
    <s v="SE3_HP"/>
    <x v="0"/>
    <x v="0"/>
    <x v="2"/>
    <x v="9"/>
    <n v="563.88895122299596"/>
    <n v="34303.244532732198"/>
    <n v="123491.680317836"/>
  </r>
  <r>
    <x v="0"/>
    <x v="0"/>
    <x v="0"/>
    <x v="8"/>
    <x v="15"/>
    <s v="SE3_HP"/>
    <x v="0"/>
    <x v="0"/>
    <x v="2"/>
    <x v="10"/>
    <n v="548.29993379175403"/>
    <n v="33354.912638998299"/>
    <n v="120077.685500394"/>
  </r>
  <r>
    <x v="0"/>
    <x v="0"/>
    <x v="0"/>
    <x v="8"/>
    <x v="15"/>
    <s v="SE3_HP"/>
    <x v="0"/>
    <x v="0"/>
    <x v="2"/>
    <x v="11"/>
    <n v="534.80302707225303"/>
    <n v="32533.850813562101"/>
    <n v="117121.862928823"/>
  </r>
  <r>
    <x v="0"/>
    <x v="0"/>
    <x v="0"/>
    <x v="8"/>
    <x v="15"/>
    <s v="SE3_HP"/>
    <x v="0"/>
    <x v="0"/>
    <x v="3"/>
    <x v="0"/>
    <n v="394.67259817337901"/>
    <n v="24009.249722213899"/>
    <n v="86433.298999969906"/>
  </r>
  <r>
    <x v="0"/>
    <x v="0"/>
    <x v="0"/>
    <x v="8"/>
    <x v="15"/>
    <s v="SE3_HP"/>
    <x v="0"/>
    <x v="0"/>
    <x v="3"/>
    <x v="1"/>
    <n v="394.88643961173"/>
    <n v="24022.258409713599"/>
    <n v="86480.130274968906"/>
  </r>
  <r>
    <x v="0"/>
    <x v="0"/>
    <x v="0"/>
    <x v="8"/>
    <x v="15"/>
    <s v="SE3_HP"/>
    <x v="0"/>
    <x v="0"/>
    <x v="3"/>
    <x v="2"/>
    <n v="396.51350947378"/>
    <n v="24121.238492988301"/>
    <n v="86836.458574757795"/>
  </r>
  <r>
    <x v="0"/>
    <x v="0"/>
    <x v="0"/>
    <x v="8"/>
    <x v="15"/>
    <s v="SE3_HP"/>
    <x v="0"/>
    <x v="0"/>
    <x v="3"/>
    <x v="3"/>
    <n v="407.21571029941998"/>
    <n v="24772.2890432147"/>
    <n v="89180.240555573095"/>
  </r>
  <r>
    <x v="0"/>
    <x v="0"/>
    <x v="0"/>
    <x v="8"/>
    <x v="15"/>
    <s v="SE3_HP"/>
    <x v="0"/>
    <x v="0"/>
    <x v="3"/>
    <x v="4"/>
    <n v="429.001732919978"/>
    <n v="26097.605419298699"/>
    <n v="93951.379509475199"/>
  </r>
  <r>
    <x v="0"/>
    <x v="0"/>
    <x v="0"/>
    <x v="8"/>
    <x v="15"/>
    <s v="SE3_HP"/>
    <x v="0"/>
    <x v="0"/>
    <x v="3"/>
    <x v="5"/>
    <n v="468.62260020410298"/>
    <n v="28507.8748457496"/>
    <n v="102628.34944469899"/>
  </r>
  <r>
    <x v="0"/>
    <x v="0"/>
    <x v="0"/>
    <x v="8"/>
    <x v="15"/>
    <s v="SE3_HP"/>
    <x v="0"/>
    <x v="0"/>
    <x v="3"/>
    <x v="6"/>
    <n v="552.51390863201095"/>
    <n v="33611.262775114003"/>
    <n v="121000.54599041"/>
  </r>
  <r>
    <x v="0"/>
    <x v="0"/>
    <x v="0"/>
    <x v="8"/>
    <x v="15"/>
    <s v="SE3_HP"/>
    <x v="0"/>
    <x v="0"/>
    <x v="3"/>
    <x v="7"/>
    <n v="591.51885150717499"/>
    <n v="35984.063466686501"/>
    <n v="129542.628480071"/>
  </r>
  <r>
    <x v="0"/>
    <x v="0"/>
    <x v="0"/>
    <x v="8"/>
    <x v="15"/>
    <s v="SE3_HP"/>
    <x v="0"/>
    <x v="0"/>
    <x v="3"/>
    <x v="8"/>
    <n v="591.24859642790705"/>
    <n v="35967.622949364399"/>
    <n v="129483.442617712"/>
  </r>
  <r>
    <x v="0"/>
    <x v="0"/>
    <x v="0"/>
    <x v="8"/>
    <x v="15"/>
    <s v="SE3_HP"/>
    <x v="0"/>
    <x v="0"/>
    <x v="3"/>
    <x v="9"/>
    <n v="586.71661064748298"/>
    <n v="35691.927147721901"/>
    <n v="128490.937731799"/>
  </r>
  <r>
    <x v="0"/>
    <x v="0"/>
    <x v="0"/>
    <x v="8"/>
    <x v="15"/>
    <s v="SE3_HP"/>
    <x v="0"/>
    <x v="0"/>
    <x v="3"/>
    <x v="10"/>
    <n v="573.37595657709596"/>
    <n v="34880.3706917733"/>
    <n v="125569.334490384"/>
  </r>
  <r>
    <x v="0"/>
    <x v="0"/>
    <x v="0"/>
    <x v="8"/>
    <x v="15"/>
    <s v="SE3_HP"/>
    <x v="0"/>
    <x v="0"/>
    <x v="3"/>
    <x v="11"/>
    <n v="565.37121222648796"/>
    <n v="34393.415410444701"/>
    <n v="123816.295477601"/>
  </r>
  <r>
    <x v="0"/>
    <x v="0"/>
    <x v="0"/>
    <x v="8"/>
    <x v="15"/>
    <s v="SE3_HP"/>
    <x v="0"/>
    <x v="0"/>
    <x v="4"/>
    <x v="0"/>
    <n v="421.15656150722998"/>
    <n v="25620.3574916898"/>
    <n v="92233.2869700835"/>
  </r>
  <r>
    <x v="0"/>
    <x v="0"/>
    <x v="0"/>
    <x v="8"/>
    <x v="15"/>
    <s v="SE3_HP"/>
    <x v="0"/>
    <x v="0"/>
    <x v="4"/>
    <x v="1"/>
    <n v="417.50833964178798"/>
    <n v="25398.4239948754"/>
    <n v="91434.326381551597"/>
  </r>
  <r>
    <x v="0"/>
    <x v="0"/>
    <x v="0"/>
    <x v="8"/>
    <x v="15"/>
    <s v="SE3_HP"/>
    <x v="0"/>
    <x v="0"/>
    <x v="4"/>
    <x v="2"/>
    <n v="417.89515462922498"/>
    <n v="25421.955239944498"/>
    <n v="91519.038863800204"/>
  </r>
  <r>
    <x v="0"/>
    <x v="0"/>
    <x v="0"/>
    <x v="8"/>
    <x v="15"/>
    <s v="SE3_HP"/>
    <x v="0"/>
    <x v="0"/>
    <x v="4"/>
    <x v="3"/>
    <n v="428.93742237609001"/>
    <n v="26093.6931945455"/>
    <n v="93937.295500363703"/>
  </r>
  <r>
    <x v="0"/>
    <x v="0"/>
    <x v="0"/>
    <x v="8"/>
    <x v="15"/>
    <s v="SE3_HP"/>
    <x v="0"/>
    <x v="0"/>
    <x v="4"/>
    <x v="4"/>
    <n v="456.03785368183497"/>
    <n v="27742.302765644999"/>
    <n v="99872.289956321896"/>
  </r>
  <r>
    <x v="0"/>
    <x v="0"/>
    <x v="0"/>
    <x v="8"/>
    <x v="15"/>
    <s v="SE3_HP"/>
    <x v="0"/>
    <x v="0"/>
    <x v="4"/>
    <x v="5"/>
    <n v="495.90761784551"/>
    <n v="30167.7134189352"/>
    <n v="108603.768308167"/>
  </r>
  <r>
    <x v="0"/>
    <x v="0"/>
    <x v="0"/>
    <x v="8"/>
    <x v="15"/>
    <s v="SE3_HP"/>
    <x v="0"/>
    <x v="0"/>
    <x v="4"/>
    <x v="6"/>
    <n v="583.08104397508998"/>
    <n v="35470.763508484597"/>
    <n v="127694.748630545"/>
  </r>
  <r>
    <x v="0"/>
    <x v="0"/>
    <x v="0"/>
    <x v="8"/>
    <x v="15"/>
    <s v="SE3_HP"/>
    <x v="0"/>
    <x v="0"/>
    <x v="4"/>
    <x v="7"/>
    <n v="628.79284422635396"/>
    <n v="38251.564690436498"/>
    <n v="137705.63288557099"/>
  </r>
  <r>
    <x v="0"/>
    <x v="0"/>
    <x v="0"/>
    <x v="8"/>
    <x v="15"/>
    <s v="SE3_HP"/>
    <x v="0"/>
    <x v="0"/>
    <x v="4"/>
    <x v="8"/>
    <n v="623.51156639572901"/>
    <n v="37930.286955740201"/>
    <n v="136549.033040665"/>
  </r>
  <r>
    <x v="0"/>
    <x v="0"/>
    <x v="0"/>
    <x v="8"/>
    <x v="15"/>
    <s v="SE3_HP"/>
    <x v="0"/>
    <x v="0"/>
    <x v="4"/>
    <x v="9"/>
    <n v="604.94729813562401"/>
    <n v="36800.960636583797"/>
    <n v="132483.458291702"/>
  </r>
  <r>
    <x v="0"/>
    <x v="0"/>
    <x v="0"/>
    <x v="8"/>
    <x v="15"/>
    <s v="SE3_HP"/>
    <x v="0"/>
    <x v="0"/>
    <x v="4"/>
    <x v="10"/>
    <n v="583.89344311247305"/>
    <n v="35520.184456008799"/>
    <n v="127872.664041632"/>
  </r>
  <r>
    <x v="0"/>
    <x v="0"/>
    <x v="0"/>
    <x v="8"/>
    <x v="15"/>
    <s v="SE3_HP"/>
    <x v="0"/>
    <x v="0"/>
    <x v="4"/>
    <x v="11"/>
    <n v="564.80176485149798"/>
    <n v="34358.774028466098"/>
    <n v="123691.58650247801"/>
  </r>
  <r>
    <x v="0"/>
    <x v="0"/>
    <x v="0"/>
    <x v="8"/>
    <x v="15"/>
    <s v="SE3_HP"/>
    <x v="0"/>
    <x v="0"/>
    <x v="5"/>
    <x v="0"/>
    <n v="508.297301018013"/>
    <n v="30921.419145262498"/>
    <n v="111317.108922945"/>
  </r>
  <r>
    <x v="0"/>
    <x v="0"/>
    <x v="0"/>
    <x v="8"/>
    <x v="15"/>
    <s v="SE3_HP"/>
    <x v="0"/>
    <x v="0"/>
    <x v="5"/>
    <x v="1"/>
    <n v="504.10140666880898"/>
    <n v="30666.1689056859"/>
    <n v="110398.208060469"/>
  </r>
  <r>
    <x v="0"/>
    <x v="0"/>
    <x v="0"/>
    <x v="8"/>
    <x v="15"/>
    <s v="SE3_HP"/>
    <x v="0"/>
    <x v="0"/>
    <x v="5"/>
    <x v="2"/>
    <n v="509.43158361212301"/>
    <n v="30990.421336404099"/>
    <n v="111565.516811055"/>
  </r>
  <r>
    <x v="0"/>
    <x v="0"/>
    <x v="0"/>
    <x v="8"/>
    <x v="15"/>
    <s v="SE3_HP"/>
    <x v="0"/>
    <x v="0"/>
    <x v="5"/>
    <x v="3"/>
    <n v="521.67036679043804"/>
    <n v="31734.947313084998"/>
    <n v="114245.810327106"/>
  </r>
  <r>
    <x v="0"/>
    <x v="0"/>
    <x v="0"/>
    <x v="8"/>
    <x v="15"/>
    <s v="SE3_HP"/>
    <x v="0"/>
    <x v="0"/>
    <x v="5"/>
    <x v="4"/>
    <n v="546.02578225790103"/>
    <n v="33216.568420689"/>
    <n v="119579.64631447999"/>
  </r>
  <r>
    <x v="0"/>
    <x v="0"/>
    <x v="0"/>
    <x v="8"/>
    <x v="15"/>
    <s v="SE3_HP"/>
    <x v="0"/>
    <x v="0"/>
    <x v="5"/>
    <x v="5"/>
    <n v="587.08995022330396"/>
    <n v="35714.6386385843"/>
    <n v="128572.69909890401"/>
  </r>
  <r>
    <x v="0"/>
    <x v="0"/>
    <x v="0"/>
    <x v="8"/>
    <x v="15"/>
    <s v="SE3_HP"/>
    <x v="0"/>
    <x v="0"/>
    <x v="5"/>
    <x v="6"/>
    <n v="686.03180103715204"/>
    <n v="41733.601229760097"/>
    <n v="150240.964427136"/>
  </r>
  <r>
    <x v="0"/>
    <x v="0"/>
    <x v="0"/>
    <x v="8"/>
    <x v="15"/>
    <s v="SE3_HP"/>
    <x v="0"/>
    <x v="0"/>
    <x v="5"/>
    <x v="7"/>
    <n v="737.80411747591802"/>
    <n v="44883.083813118297"/>
    <n v="161579.10172722599"/>
  </r>
  <r>
    <x v="0"/>
    <x v="0"/>
    <x v="0"/>
    <x v="8"/>
    <x v="15"/>
    <s v="SE3_HP"/>
    <x v="0"/>
    <x v="0"/>
    <x v="5"/>
    <x v="8"/>
    <n v="731.94939881358903"/>
    <n v="44526.921761160003"/>
    <n v="160296.91834017599"/>
  </r>
  <r>
    <x v="0"/>
    <x v="0"/>
    <x v="0"/>
    <x v="8"/>
    <x v="15"/>
    <s v="SE3_HP"/>
    <x v="0"/>
    <x v="0"/>
    <x v="5"/>
    <x v="9"/>
    <n v="714.94363930077895"/>
    <n v="43492.404724130698"/>
    <n v="156572.65700687101"/>
  </r>
  <r>
    <x v="0"/>
    <x v="0"/>
    <x v="0"/>
    <x v="8"/>
    <x v="15"/>
    <s v="SE3_HP"/>
    <x v="0"/>
    <x v="0"/>
    <x v="5"/>
    <x v="10"/>
    <n v="687.38981851132303"/>
    <n v="41816.213959438799"/>
    <n v="150538.37025398001"/>
  </r>
  <r>
    <x v="0"/>
    <x v="0"/>
    <x v="0"/>
    <x v="8"/>
    <x v="15"/>
    <s v="SE3_HP"/>
    <x v="0"/>
    <x v="0"/>
    <x v="5"/>
    <x v="11"/>
    <n v="668.02282056082004"/>
    <n v="40638.054917449903"/>
    <n v="146296.997702819"/>
  </r>
  <r>
    <x v="0"/>
    <x v="0"/>
    <x v="0"/>
    <x v="8"/>
    <x v="15"/>
    <s v="SE3_HP"/>
    <x v="0"/>
    <x v="0"/>
    <x v="6"/>
    <x v="0"/>
    <n v="417.11675054164698"/>
    <n v="25374.602324616801"/>
    <n v="91348.568368620705"/>
  </r>
  <r>
    <x v="0"/>
    <x v="0"/>
    <x v="0"/>
    <x v="8"/>
    <x v="15"/>
    <s v="SE3_HP"/>
    <x v="0"/>
    <x v="0"/>
    <x v="6"/>
    <x v="1"/>
    <n v="416.78001238949901"/>
    <n v="25354.117420361199"/>
    <n v="91274.822713300397"/>
  </r>
  <r>
    <x v="0"/>
    <x v="0"/>
    <x v="0"/>
    <x v="8"/>
    <x v="15"/>
    <s v="SE3_HP"/>
    <x v="0"/>
    <x v="0"/>
    <x v="6"/>
    <x v="2"/>
    <n v="420.45140390564598"/>
    <n v="25577.4604042602"/>
    <n v="92078.857455336605"/>
  </r>
  <r>
    <x v="0"/>
    <x v="0"/>
    <x v="0"/>
    <x v="8"/>
    <x v="15"/>
    <s v="SE3_HP"/>
    <x v="0"/>
    <x v="0"/>
    <x v="6"/>
    <x v="3"/>
    <n v="434.95740635818902"/>
    <n v="26459.908886789799"/>
    <n v="95255.671992443298"/>
  </r>
  <r>
    <x v="0"/>
    <x v="0"/>
    <x v="0"/>
    <x v="8"/>
    <x v="15"/>
    <s v="SE3_HP"/>
    <x v="0"/>
    <x v="0"/>
    <x v="6"/>
    <x v="4"/>
    <n v="463.52815021557001"/>
    <n v="28197.962471447201"/>
    <n v="101512.66489720999"/>
  </r>
  <r>
    <x v="0"/>
    <x v="0"/>
    <x v="0"/>
    <x v="8"/>
    <x v="15"/>
    <s v="SE3_HP"/>
    <x v="0"/>
    <x v="0"/>
    <x v="6"/>
    <x v="5"/>
    <n v="512.23967950096699"/>
    <n v="31161.2471696422"/>
    <n v="112180.489810712"/>
  </r>
  <r>
    <x v="0"/>
    <x v="0"/>
    <x v="0"/>
    <x v="8"/>
    <x v="15"/>
    <s v="SE3_HP"/>
    <x v="0"/>
    <x v="0"/>
    <x v="6"/>
    <x v="6"/>
    <n v="605.95187146629905"/>
    <n v="36862.072180866497"/>
    <n v="132703.45985111999"/>
  </r>
  <r>
    <x v="0"/>
    <x v="0"/>
    <x v="0"/>
    <x v="8"/>
    <x v="15"/>
    <s v="SE3_HP"/>
    <x v="0"/>
    <x v="0"/>
    <x v="6"/>
    <x v="7"/>
    <n v="656.669153449438"/>
    <n v="39947.3735015075"/>
    <n v="143810.54460542701"/>
  </r>
  <r>
    <x v="0"/>
    <x v="0"/>
    <x v="0"/>
    <x v="8"/>
    <x v="15"/>
    <s v="SE3_HP"/>
    <x v="0"/>
    <x v="0"/>
    <x v="6"/>
    <x v="8"/>
    <n v="658.65788210817902"/>
    <n v="40068.354494914201"/>
    <n v="144246.07618169099"/>
  </r>
  <r>
    <x v="0"/>
    <x v="0"/>
    <x v="0"/>
    <x v="8"/>
    <x v="15"/>
    <s v="SE3_HP"/>
    <x v="0"/>
    <x v="0"/>
    <x v="6"/>
    <x v="9"/>
    <n v="647.35544152190005"/>
    <n v="39380.789359248898"/>
    <n v="141770.84169329601"/>
  </r>
  <r>
    <x v="0"/>
    <x v="0"/>
    <x v="0"/>
    <x v="8"/>
    <x v="15"/>
    <s v="SE3_HP"/>
    <x v="0"/>
    <x v="0"/>
    <x v="6"/>
    <x v="10"/>
    <n v="621.16265741256302"/>
    <n v="37787.394992597598"/>
    <n v="136034.62197335099"/>
  </r>
  <r>
    <x v="0"/>
    <x v="0"/>
    <x v="0"/>
    <x v="8"/>
    <x v="15"/>
    <s v="SE3_HP"/>
    <x v="0"/>
    <x v="0"/>
    <x v="6"/>
    <x v="11"/>
    <n v="593.94934863511503"/>
    <n v="36131.918708636098"/>
    <n v="130074.90735109001"/>
  </r>
  <r>
    <x v="0"/>
    <x v="0"/>
    <x v="0"/>
    <x v="8"/>
    <x v="15"/>
    <s v="SE3_HP"/>
    <x v="0"/>
    <x v="0"/>
    <x v="7"/>
    <x v="0"/>
    <n v="381.50584196282301"/>
    <n v="23208.272052738401"/>
    <n v="83549.779389858304"/>
  </r>
  <r>
    <x v="0"/>
    <x v="0"/>
    <x v="0"/>
    <x v="8"/>
    <x v="15"/>
    <s v="SE3_HP"/>
    <x v="0"/>
    <x v="0"/>
    <x v="7"/>
    <x v="1"/>
    <n v="382.44298519197702"/>
    <n v="23265.281599178601"/>
    <n v="83755.013757042994"/>
  </r>
  <r>
    <x v="0"/>
    <x v="0"/>
    <x v="0"/>
    <x v="8"/>
    <x v="15"/>
    <s v="SE3_HP"/>
    <x v="0"/>
    <x v="0"/>
    <x v="7"/>
    <x v="2"/>
    <n v="385.25760631062599"/>
    <n v="23436.504383896401"/>
    <n v="84371.415782027107"/>
  </r>
  <r>
    <x v="0"/>
    <x v="0"/>
    <x v="0"/>
    <x v="8"/>
    <x v="15"/>
    <s v="SE3_HP"/>
    <x v="0"/>
    <x v="0"/>
    <x v="7"/>
    <x v="3"/>
    <n v="400.74093951477101"/>
    <n v="24378.4071538153"/>
    <n v="87762.2657537349"/>
  </r>
  <r>
    <x v="0"/>
    <x v="0"/>
    <x v="0"/>
    <x v="8"/>
    <x v="15"/>
    <s v="SE3_HP"/>
    <x v="0"/>
    <x v="0"/>
    <x v="7"/>
    <x v="4"/>
    <n v="428.84921029938101"/>
    <n v="26088.326959878999"/>
    <n v="93917.977055564304"/>
  </r>
  <r>
    <x v="0"/>
    <x v="0"/>
    <x v="0"/>
    <x v="8"/>
    <x v="15"/>
    <s v="SE3_HP"/>
    <x v="0"/>
    <x v="0"/>
    <x v="7"/>
    <x v="5"/>
    <n v="475.34114358065602"/>
    <n v="28916.5862344899"/>
    <n v="104099.710444164"/>
  </r>
  <r>
    <x v="0"/>
    <x v="0"/>
    <x v="0"/>
    <x v="8"/>
    <x v="15"/>
    <s v="SE3_HP"/>
    <x v="0"/>
    <x v="0"/>
    <x v="7"/>
    <x v="6"/>
    <n v="563.48647407181898"/>
    <n v="34278.7605060356"/>
    <n v="123403.53782172799"/>
  </r>
  <r>
    <x v="0"/>
    <x v="0"/>
    <x v="0"/>
    <x v="8"/>
    <x v="15"/>
    <s v="SE3_HP"/>
    <x v="0"/>
    <x v="0"/>
    <x v="7"/>
    <x v="7"/>
    <n v="609.03111790508501"/>
    <n v="37049.3930058927"/>
    <n v="133377.81482121401"/>
  </r>
  <r>
    <x v="0"/>
    <x v="0"/>
    <x v="0"/>
    <x v="8"/>
    <x v="15"/>
    <s v="SE3_HP"/>
    <x v="0"/>
    <x v="0"/>
    <x v="7"/>
    <x v="8"/>
    <n v="606.57789458177501"/>
    <n v="36900.155253724603"/>
    <n v="132840.55891340901"/>
  </r>
  <r>
    <x v="0"/>
    <x v="0"/>
    <x v="0"/>
    <x v="8"/>
    <x v="15"/>
    <s v="SE3_HP"/>
    <x v="0"/>
    <x v="0"/>
    <x v="7"/>
    <x v="9"/>
    <n v="587.31547264628102"/>
    <n v="35728.3579193154"/>
    <n v="128622.08850953499"/>
  </r>
  <r>
    <x v="0"/>
    <x v="0"/>
    <x v="0"/>
    <x v="8"/>
    <x v="15"/>
    <s v="SE3_HP"/>
    <x v="0"/>
    <x v="0"/>
    <x v="7"/>
    <x v="10"/>
    <n v="567.02562211706004"/>
    <n v="34494.058678787798"/>
    <n v="124178.611243636"/>
  </r>
  <r>
    <x v="0"/>
    <x v="0"/>
    <x v="0"/>
    <x v="8"/>
    <x v="15"/>
    <s v="SE3_HP"/>
    <x v="0"/>
    <x v="0"/>
    <x v="7"/>
    <x v="11"/>
    <n v="541.88510524510195"/>
    <n v="32964.6772357437"/>
    <n v="118672.838048677"/>
  </r>
  <r>
    <x v="0"/>
    <x v="0"/>
    <x v="0"/>
    <x v="8"/>
    <x v="15"/>
    <s v="SE3_HP"/>
    <x v="0"/>
    <x v="0"/>
    <x v="8"/>
    <x v="0"/>
    <n v="390.75742438496701"/>
    <n v="23771.076650085499"/>
    <n v="85575.875940307902"/>
  </r>
  <r>
    <x v="0"/>
    <x v="0"/>
    <x v="0"/>
    <x v="8"/>
    <x v="15"/>
    <s v="SE3_HP"/>
    <x v="0"/>
    <x v="0"/>
    <x v="8"/>
    <x v="1"/>
    <n v="391.05860003523202"/>
    <n v="23789.398168809901"/>
    <n v="85641.833407715807"/>
  </r>
  <r>
    <x v="0"/>
    <x v="0"/>
    <x v="0"/>
    <x v="8"/>
    <x v="15"/>
    <s v="SE3_HP"/>
    <x v="0"/>
    <x v="0"/>
    <x v="8"/>
    <x v="2"/>
    <n v="394.96187629613797"/>
    <n v="24026.847474681701"/>
    <n v="86496.650908854193"/>
  </r>
  <r>
    <x v="0"/>
    <x v="0"/>
    <x v="0"/>
    <x v="8"/>
    <x v="15"/>
    <s v="SE3_HP"/>
    <x v="0"/>
    <x v="0"/>
    <x v="8"/>
    <x v="3"/>
    <n v="403.30195193320299"/>
    <n v="24534.2020759365"/>
    <n v="88323.127473371307"/>
  </r>
  <r>
    <x v="0"/>
    <x v="0"/>
    <x v="0"/>
    <x v="8"/>
    <x v="15"/>
    <s v="SE3_HP"/>
    <x v="0"/>
    <x v="0"/>
    <x v="8"/>
    <x v="4"/>
    <n v="420.09401752267303"/>
    <n v="25555.7193992959"/>
    <n v="92000.589837465304"/>
  </r>
  <r>
    <x v="0"/>
    <x v="0"/>
    <x v="0"/>
    <x v="8"/>
    <x v="15"/>
    <s v="SE3_HP"/>
    <x v="0"/>
    <x v="0"/>
    <x v="8"/>
    <x v="5"/>
    <n v="453.90839899078497"/>
    <n v="27612.760938606101"/>
    <n v="99405.939378982002"/>
  </r>
  <r>
    <x v="0"/>
    <x v="0"/>
    <x v="0"/>
    <x v="8"/>
    <x v="15"/>
    <s v="SE3_HP"/>
    <x v="0"/>
    <x v="0"/>
    <x v="8"/>
    <x v="6"/>
    <n v="537.91693759147404"/>
    <n v="32723.280370148001"/>
    <n v="117803.809332533"/>
  </r>
  <r>
    <x v="0"/>
    <x v="0"/>
    <x v="0"/>
    <x v="8"/>
    <x v="15"/>
    <s v="SE3_HP"/>
    <x v="0"/>
    <x v="0"/>
    <x v="8"/>
    <x v="7"/>
    <n v="569.581593004463"/>
    <n v="34649.546907771502"/>
    <n v="124738.368867977"/>
  </r>
  <r>
    <x v="0"/>
    <x v="0"/>
    <x v="0"/>
    <x v="8"/>
    <x v="15"/>
    <s v="SE3_HP"/>
    <x v="0"/>
    <x v="0"/>
    <x v="8"/>
    <x v="8"/>
    <n v="560.01941197057999"/>
    <n v="34067.847561543596"/>
    <n v="122644.251221557"/>
  </r>
  <r>
    <x v="0"/>
    <x v="0"/>
    <x v="0"/>
    <x v="8"/>
    <x v="15"/>
    <s v="SE3_HP"/>
    <x v="0"/>
    <x v="0"/>
    <x v="8"/>
    <x v="9"/>
    <n v="531.69138549241995"/>
    <n v="32344.559284122199"/>
    <n v="116440.41342284001"/>
  </r>
  <r>
    <x v="0"/>
    <x v="0"/>
    <x v="0"/>
    <x v="8"/>
    <x v="15"/>
    <s v="SE3_HP"/>
    <x v="0"/>
    <x v="0"/>
    <x v="8"/>
    <x v="10"/>
    <n v="501.84690789508397"/>
    <n v="30529.020230284299"/>
    <n v="109904.472829023"/>
  </r>
  <r>
    <x v="0"/>
    <x v="0"/>
    <x v="0"/>
    <x v="8"/>
    <x v="15"/>
    <s v="SE3_HP"/>
    <x v="0"/>
    <x v="0"/>
    <x v="8"/>
    <x v="11"/>
    <n v="473.28449075090901"/>
    <n v="28791.473187347001"/>
    <n v="103649.303474449"/>
  </r>
  <r>
    <x v="0"/>
    <x v="0"/>
    <x v="0"/>
    <x v="8"/>
    <x v="15"/>
    <s v="SE3_HP"/>
    <x v="0"/>
    <x v="0"/>
    <x v="9"/>
    <x v="0"/>
    <n v="354.84647831656798"/>
    <n v="21586.4940975912"/>
    <n v="77711.378751328404"/>
  </r>
  <r>
    <x v="0"/>
    <x v="0"/>
    <x v="0"/>
    <x v="8"/>
    <x v="15"/>
    <s v="SE3_HP"/>
    <x v="0"/>
    <x v="0"/>
    <x v="9"/>
    <x v="1"/>
    <n v="358.41395759447198"/>
    <n v="21803.515753663702"/>
    <n v="78492.656713189397"/>
  </r>
  <r>
    <x v="0"/>
    <x v="0"/>
    <x v="0"/>
    <x v="8"/>
    <x v="15"/>
    <s v="SE3_HP"/>
    <x v="0"/>
    <x v="0"/>
    <x v="9"/>
    <x v="2"/>
    <n v="364.60842396903899"/>
    <n v="22180.345791449901"/>
    <n v="79849.244849219496"/>
  </r>
  <r>
    <x v="0"/>
    <x v="0"/>
    <x v="0"/>
    <x v="8"/>
    <x v="15"/>
    <s v="SE3_HP"/>
    <x v="0"/>
    <x v="0"/>
    <x v="9"/>
    <x v="3"/>
    <n v="377.84675696791999"/>
    <n v="22985.6777155485"/>
    <n v="82748.439775974504"/>
  </r>
  <r>
    <x v="0"/>
    <x v="0"/>
    <x v="0"/>
    <x v="8"/>
    <x v="15"/>
    <s v="SE3_HP"/>
    <x v="0"/>
    <x v="0"/>
    <x v="9"/>
    <x v="4"/>
    <n v="398.18084258926302"/>
    <n v="24222.667924180099"/>
    <n v="87201.604527048505"/>
  </r>
  <r>
    <x v="0"/>
    <x v="0"/>
    <x v="0"/>
    <x v="8"/>
    <x v="15"/>
    <s v="SE3_HP"/>
    <x v="0"/>
    <x v="0"/>
    <x v="9"/>
    <x v="5"/>
    <n v="433.03524700879302"/>
    <n v="26342.977526368199"/>
    <n v="94834.719094925604"/>
  </r>
  <r>
    <x v="0"/>
    <x v="0"/>
    <x v="0"/>
    <x v="8"/>
    <x v="15"/>
    <s v="SE3_HP"/>
    <x v="0"/>
    <x v="0"/>
    <x v="9"/>
    <x v="6"/>
    <n v="515.79324534678199"/>
    <n v="31377.422425262499"/>
    <n v="112958.720730945"/>
  </r>
  <r>
    <x v="0"/>
    <x v="0"/>
    <x v="0"/>
    <x v="8"/>
    <x v="15"/>
    <s v="SE3_HP"/>
    <x v="0"/>
    <x v="0"/>
    <x v="9"/>
    <x v="7"/>
    <n v="547.08809607150397"/>
    <n v="33281.192511016503"/>
    <n v="119812.29303965899"/>
  </r>
  <r>
    <x v="0"/>
    <x v="0"/>
    <x v="0"/>
    <x v="8"/>
    <x v="15"/>
    <s v="SE3_HP"/>
    <x v="0"/>
    <x v="0"/>
    <x v="9"/>
    <x v="8"/>
    <n v="538.13433827935103"/>
    <n v="32736.505578660501"/>
    <n v="117851.420083178"/>
  </r>
  <r>
    <x v="0"/>
    <x v="0"/>
    <x v="0"/>
    <x v="8"/>
    <x v="15"/>
    <s v="SE3_HP"/>
    <x v="0"/>
    <x v="0"/>
    <x v="9"/>
    <x v="9"/>
    <n v="512.56033755680301"/>
    <n v="31180.753868038799"/>
    <n v="112250.71392494001"/>
  </r>
  <r>
    <x v="0"/>
    <x v="0"/>
    <x v="0"/>
    <x v="8"/>
    <x v="15"/>
    <s v="SE3_HP"/>
    <x v="0"/>
    <x v="0"/>
    <x v="9"/>
    <x v="10"/>
    <n v="487.734966340938"/>
    <n v="29670.543785740399"/>
    <n v="106813.957628665"/>
  </r>
  <r>
    <x v="0"/>
    <x v="0"/>
    <x v="0"/>
    <x v="8"/>
    <x v="15"/>
    <s v="SE3_HP"/>
    <x v="0"/>
    <x v="0"/>
    <x v="9"/>
    <x v="11"/>
    <n v="470.61822984362999"/>
    <n v="28629.275648820902"/>
    <n v="103065.39233575499"/>
  </r>
  <r>
    <x v="0"/>
    <x v="0"/>
    <x v="0"/>
    <x v="8"/>
    <x v="15"/>
    <s v="SE3_HP"/>
    <x v="0"/>
    <x v="0"/>
    <x v="10"/>
    <x v="0"/>
    <n v="225.91702109034301"/>
    <n v="13743.2854496625"/>
    <n v="49475.827618785101"/>
  </r>
  <r>
    <x v="0"/>
    <x v="0"/>
    <x v="0"/>
    <x v="8"/>
    <x v="15"/>
    <s v="SE3_HP"/>
    <x v="0"/>
    <x v="0"/>
    <x v="10"/>
    <x v="1"/>
    <n v="228.37229808498299"/>
    <n v="13892.6481335031"/>
    <n v="50013.533280611198"/>
  </r>
  <r>
    <x v="0"/>
    <x v="0"/>
    <x v="0"/>
    <x v="8"/>
    <x v="15"/>
    <s v="SE3_HP"/>
    <x v="0"/>
    <x v="0"/>
    <x v="10"/>
    <x v="2"/>
    <n v="225.138950229107"/>
    <n v="13695.952805604"/>
    <n v="49305.430100174402"/>
  </r>
  <r>
    <x v="0"/>
    <x v="0"/>
    <x v="0"/>
    <x v="8"/>
    <x v="15"/>
    <s v="SE3_HP"/>
    <x v="0"/>
    <x v="0"/>
    <x v="10"/>
    <x v="3"/>
    <n v="234.42889543012001"/>
    <n v="14261.091138665701"/>
    <n v="51339.928099196397"/>
  </r>
  <r>
    <x v="0"/>
    <x v="0"/>
    <x v="0"/>
    <x v="8"/>
    <x v="15"/>
    <s v="SE3_HP"/>
    <x v="0"/>
    <x v="0"/>
    <x v="10"/>
    <x v="4"/>
    <n v="244.65432354272301"/>
    <n v="14883.1380155156"/>
    <n v="53579.296855856301"/>
  </r>
  <r>
    <x v="0"/>
    <x v="0"/>
    <x v="0"/>
    <x v="8"/>
    <x v="15"/>
    <s v="SE3_HP"/>
    <x v="0"/>
    <x v="0"/>
    <x v="10"/>
    <x v="5"/>
    <n v="278.803595499577"/>
    <n v="16960.552059557602"/>
    <n v="61057.987414407398"/>
  </r>
  <r>
    <x v="0"/>
    <x v="0"/>
    <x v="0"/>
    <x v="8"/>
    <x v="15"/>
    <s v="SE3_HP"/>
    <x v="0"/>
    <x v="0"/>
    <x v="10"/>
    <x v="6"/>
    <n v="340.50015633590698"/>
    <n v="20713.759510434302"/>
    <n v="74569.534237563596"/>
  </r>
  <r>
    <x v="0"/>
    <x v="0"/>
    <x v="0"/>
    <x v="8"/>
    <x v="15"/>
    <s v="SE3_HP"/>
    <x v="0"/>
    <x v="0"/>
    <x v="10"/>
    <x v="7"/>
    <n v="354.78292989192602"/>
    <n v="21582.628235092201"/>
    <n v="77697.461646331896"/>
  </r>
  <r>
    <x v="0"/>
    <x v="0"/>
    <x v="0"/>
    <x v="8"/>
    <x v="15"/>
    <s v="SE3_HP"/>
    <x v="0"/>
    <x v="0"/>
    <x v="10"/>
    <x v="8"/>
    <n v="318.70821149667802"/>
    <n v="19388.082866047898"/>
    <n v="69797.098317772397"/>
  </r>
  <r>
    <x v="0"/>
    <x v="0"/>
    <x v="0"/>
    <x v="8"/>
    <x v="15"/>
    <s v="SE3_HP"/>
    <x v="0"/>
    <x v="0"/>
    <x v="10"/>
    <x v="9"/>
    <n v="286.89605378827298"/>
    <n v="17452.843272119899"/>
    <n v="62830.235779631701"/>
  </r>
  <r>
    <x v="0"/>
    <x v="0"/>
    <x v="0"/>
    <x v="8"/>
    <x v="15"/>
    <s v="SE3_HP"/>
    <x v="0"/>
    <x v="0"/>
    <x v="10"/>
    <x v="10"/>
    <n v="262.05100381719399"/>
    <n v="15941.436065546"/>
    <n v="57389.1698359656"/>
  </r>
  <r>
    <x v="0"/>
    <x v="0"/>
    <x v="0"/>
    <x v="8"/>
    <x v="15"/>
    <s v="SE3_HP"/>
    <x v="0"/>
    <x v="0"/>
    <x v="10"/>
    <x v="11"/>
    <n v="243.70161327795699"/>
    <n v="14825.181474409101"/>
    <n v="53370.653307872701"/>
  </r>
  <r>
    <x v="0"/>
    <x v="0"/>
    <x v="0"/>
    <x v="8"/>
    <x v="15"/>
    <s v="SE3_HP"/>
    <x v="0"/>
    <x v="0"/>
    <x v="11"/>
    <x v="0"/>
    <n v="232.07240815066399"/>
    <n v="14117.738162498699"/>
    <n v="50823.857384995397"/>
  </r>
  <r>
    <x v="0"/>
    <x v="0"/>
    <x v="0"/>
    <x v="8"/>
    <x v="15"/>
    <s v="SE3_HP"/>
    <x v="0"/>
    <x v="0"/>
    <x v="11"/>
    <x v="1"/>
    <n v="236.993054563947"/>
    <n v="14417.077485973499"/>
    <n v="51901.478949504497"/>
  </r>
  <r>
    <x v="0"/>
    <x v="0"/>
    <x v="0"/>
    <x v="8"/>
    <x v="15"/>
    <s v="SE3_HP"/>
    <x v="0"/>
    <x v="0"/>
    <x v="11"/>
    <x v="2"/>
    <n v="237.51905168146499"/>
    <n v="14449.075643955801"/>
    <n v="52016.672318240802"/>
  </r>
  <r>
    <x v="0"/>
    <x v="0"/>
    <x v="0"/>
    <x v="8"/>
    <x v="15"/>
    <s v="SE3_HP"/>
    <x v="0"/>
    <x v="0"/>
    <x v="11"/>
    <x v="3"/>
    <n v="249.73444499208301"/>
    <n v="15192.178737018399"/>
    <n v="54691.8434532662"/>
  </r>
  <r>
    <x v="0"/>
    <x v="0"/>
    <x v="0"/>
    <x v="8"/>
    <x v="15"/>
    <s v="SE3_HP"/>
    <x v="0"/>
    <x v="0"/>
    <x v="11"/>
    <x v="4"/>
    <n v="263.66277903829098"/>
    <n v="16039.485724829399"/>
    <n v="57742.148609385797"/>
  </r>
  <r>
    <x v="0"/>
    <x v="0"/>
    <x v="0"/>
    <x v="8"/>
    <x v="15"/>
    <s v="SE3_HP"/>
    <x v="0"/>
    <x v="0"/>
    <x v="11"/>
    <x v="5"/>
    <n v="298.37274679650301"/>
    <n v="18151.008763454"/>
    <n v="65343.631548434198"/>
  </r>
  <r>
    <x v="0"/>
    <x v="0"/>
    <x v="0"/>
    <x v="8"/>
    <x v="15"/>
    <s v="SE3_HP"/>
    <x v="0"/>
    <x v="0"/>
    <x v="11"/>
    <x v="6"/>
    <n v="364.72020683763401"/>
    <n v="22187.145915956102"/>
    <n v="79873.725297441997"/>
  </r>
  <r>
    <x v="0"/>
    <x v="0"/>
    <x v="0"/>
    <x v="8"/>
    <x v="15"/>
    <s v="SE3_HP"/>
    <x v="0"/>
    <x v="0"/>
    <x v="11"/>
    <x v="7"/>
    <n v="392.07862718178399"/>
    <n v="23851.4498202252"/>
    <n v="85865.219352810702"/>
  </r>
  <r>
    <x v="0"/>
    <x v="0"/>
    <x v="0"/>
    <x v="8"/>
    <x v="15"/>
    <s v="SE3_HP"/>
    <x v="0"/>
    <x v="0"/>
    <x v="11"/>
    <x v="8"/>
    <n v="391.07365608649297"/>
    <n v="23790.314078595002"/>
    <n v="85645.130682941905"/>
  </r>
  <r>
    <x v="0"/>
    <x v="0"/>
    <x v="0"/>
    <x v="8"/>
    <x v="15"/>
    <s v="SE3_HP"/>
    <x v="0"/>
    <x v="0"/>
    <x v="11"/>
    <x v="9"/>
    <n v="387.79798158089602"/>
    <n v="23591.043879504501"/>
    <n v="84927.757966216304"/>
  </r>
  <r>
    <x v="0"/>
    <x v="0"/>
    <x v="0"/>
    <x v="8"/>
    <x v="15"/>
    <s v="SE3_HP"/>
    <x v="0"/>
    <x v="0"/>
    <x v="11"/>
    <x v="10"/>
    <n v="392.48938551064299"/>
    <n v="23876.437618564101"/>
    <n v="85955.1754268308"/>
  </r>
  <r>
    <x v="0"/>
    <x v="0"/>
    <x v="0"/>
    <x v="8"/>
    <x v="15"/>
    <s v="SE3_HP"/>
    <x v="0"/>
    <x v="0"/>
    <x v="11"/>
    <x v="11"/>
    <n v="406.23522302973299"/>
    <n v="24712.642734308702"/>
    <n v="88965.513843511493"/>
  </r>
  <r>
    <x v="0"/>
    <x v="0"/>
    <x v="0"/>
    <x v="8"/>
    <x v="15"/>
    <s v="SE3_OTHER"/>
    <x v="0"/>
    <x v="0"/>
    <x v="0"/>
    <x v="0"/>
    <n v="922.89241447684299"/>
    <n v="56142.621880674596"/>
    <n v="202113.438770429"/>
  </r>
  <r>
    <x v="0"/>
    <x v="0"/>
    <x v="0"/>
    <x v="8"/>
    <x v="15"/>
    <s v="SE3_OTHER"/>
    <x v="0"/>
    <x v="0"/>
    <x v="0"/>
    <x v="1"/>
    <n v="915.328613086877"/>
    <n v="55682.490629451699"/>
    <n v="200456.96626602599"/>
  </r>
  <r>
    <x v="0"/>
    <x v="0"/>
    <x v="0"/>
    <x v="8"/>
    <x v="15"/>
    <s v="SE3_OTHER"/>
    <x v="0"/>
    <x v="0"/>
    <x v="0"/>
    <x v="2"/>
    <n v="908.14090734694105"/>
    <n v="55245.238530272203"/>
    <n v="198882.85870898"/>
  </r>
  <r>
    <x v="0"/>
    <x v="0"/>
    <x v="0"/>
    <x v="8"/>
    <x v="15"/>
    <s v="SE3_OTHER"/>
    <x v="0"/>
    <x v="0"/>
    <x v="0"/>
    <x v="3"/>
    <n v="919.71661726131003"/>
    <n v="55949.427550063003"/>
    <n v="201417.939180227"/>
  </r>
  <r>
    <x v="0"/>
    <x v="0"/>
    <x v="0"/>
    <x v="8"/>
    <x v="15"/>
    <s v="SE3_OTHER"/>
    <x v="0"/>
    <x v="0"/>
    <x v="0"/>
    <x v="4"/>
    <n v="954.26099150879202"/>
    <n v="58050.876983451497"/>
    <n v="208983.157140425"/>
  </r>
  <r>
    <x v="0"/>
    <x v="0"/>
    <x v="0"/>
    <x v="8"/>
    <x v="15"/>
    <s v="SE3_OTHER"/>
    <x v="0"/>
    <x v="0"/>
    <x v="0"/>
    <x v="5"/>
    <n v="1048.8706575197"/>
    <n v="63806.298332448503"/>
    <n v="229702.67399681499"/>
  </r>
  <r>
    <x v="0"/>
    <x v="0"/>
    <x v="0"/>
    <x v="8"/>
    <x v="15"/>
    <s v="SE3_OTHER"/>
    <x v="0"/>
    <x v="0"/>
    <x v="0"/>
    <x v="6"/>
    <n v="1245.05158649699"/>
    <n v="75740.638178566805"/>
    <n v="272666.29744284099"/>
  </r>
  <r>
    <x v="0"/>
    <x v="0"/>
    <x v="0"/>
    <x v="8"/>
    <x v="15"/>
    <s v="SE3_OTHER"/>
    <x v="0"/>
    <x v="0"/>
    <x v="0"/>
    <x v="7"/>
    <n v="1335.0953490843201"/>
    <n v="81218.300402629495"/>
    <n v="292385.88144946599"/>
  </r>
  <r>
    <x v="0"/>
    <x v="0"/>
    <x v="0"/>
    <x v="8"/>
    <x v="15"/>
    <s v="SE3_OTHER"/>
    <x v="0"/>
    <x v="0"/>
    <x v="0"/>
    <x v="8"/>
    <n v="1333.0156458480101"/>
    <n v="81091.785122420901"/>
    <n v="291930.42644071497"/>
  </r>
  <r>
    <x v="0"/>
    <x v="0"/>
    <x v="0"/>
    <x v="8"/>
    <x v="15"/>
    <s v="SE3_OTHER"/>
    <x v="0"/>
    <x v="0"/>
    <x v="0"/>
    <x v="9"/>
    <n v="1291.9323844842099"/>
    <n v="78592.553389456298"/>
    <n v="282933.19220204302"/>
  </r>
  <r>
    <x v="0"/>
    <x v="0"/>
    <x v="0"/>
    <x v="8"/>
    <x v="15"/>
    <s v="SE3_OTHER"/>
    <x v="0"/>
    <x v="0"/>
    <x v="0"/>
    <x v="10"/>
    <n v="1283.19567957241"/>
    <n v="78061.070507321594"/>
    <n v="281019.85382635798"/>
  </r>
  <r>
    <x v="0"/>
    <x v="0"/>
    <x v="0"/>
    <x v="8"/>
    <x v="15"/>
    <s v="SE3_OTHER"/>
    <x v="0"/>
    <x v="0"/>
    <x v="0"/>
    <x v="11"/>
    <n v="1270.8622025277"/>
    <n v="77310.783987101706"/>
    <n v="278318.82235356601"/>
  </r>
  <r>
    <x v="0"/>
    <x v="0"/>
    <x v="0"/>
    <x v="8"/>
    <x v="15"/>
    <s v="SE3_OTHER"/>
    <x v="0"/>
    <x v="0"/>
    <x v="1"/>
    <x v="0"/>
    <n v="1300.6255254217999"/>
    <n v="79121.3861298259"/>
    <n v="284836.99006737297"/>
  </r>
  <r>
    <x v="0"/>
    <x v="0"/>
    <x v="0"/>
    <x v="8"/>
    <x v="15"/>
    <s v="SE3_OTHER"/>
    <x v="0"/>
    <x v="0"/>
    <x v="1"/>
    <x v="1"/>
    <n v="1314.99641299718"/>
    <n v="79995.615123995201"/>
    <n v="287984.214446383"/>
  </r>
  <r>
    <x v="0"/>
    <x v="0"/>
    <x v="0"/>
    <x v="8"/>
    <x v="15"/>
    <s v="SE3_OTHER"/>
    <x v="0"/>
    <x v="0"/>
    <x v="1"/>
    <x v="2"/>
    <n v="1329.4016594079901"/>
    <n v="80871.9342806528"/>
    <n v="291138.96341035003"/>
  </r>
  <r>
    <x v="0"/>
    <x v="0"/>
    <x v="0"/>
    <x v="8"/>
    <x v="15"/>
    <s v="SE3_OTHER"/>
    <x v="0"/>
    <x v="0"/>
    <x v="1"/>
    <x v="3"/>
    <n v="1390.38009185187"/>
    <n v="84581.455587655495"/>
    <n v="304493.24011556001"/>
  </r>
  <r>
    <x v="0"/>
    <x v="0"/>
    <x v="0"/>
    <x v="8"/>
    <x v="15"/>
    <s v="SE3_OTHER"/>
    <x v="0"/>
    <x v="0"/>
    <x v="1"/>
    <x v="4"/>
    <n v="1503.3793080783"/>
    <n v="91455.574574762999"/>
    <n v="329240.06846914702"/>
  </r>
  <r>
    <x v="0"/>
    <x v="0"/>
    <x v="0"/>
    <x v="8"/>
    <x v="15"/>
    <s v="SE3_OTHER"/>
    <x v="0"/>
    <x v="0"/>
    <x v="1"/>
    <x v="5"/>
    <n v="1659.55200922737"/>
    <n v="100956.080561332"/>
    <n v="363441.890020794"/>
  </r>
  <r>
    <x v="0"/>
    <x v="0"/>
    <x v="0"/>
    <x v="8"/>
    <x v="15"/>
    <s v="SE3_OTHER"/>
    <x v="0"/>
    <x v="0"/>
    <x v="1"/>
    <x v="6"/>
    <n v="1950.6227219377599"/>
    <n v="118662.882251214"/>
    <n v="427186.37610436999"/>
  </r>
  <r>
    <x v="0"/>
    <x v="0"/>
    <x v="0"/>
    <x v="8"/>
    <x v="15"/>
    <s v="SE3_OTHER"/>
    <x v="0"/>
    <x v="0"/>
    <x v="1"/>
    <x v="7"/>
    <n v="2126.03403419797"/>
    <n v="129333.737080376"/>
    <n v="465601.45348935499"/>
  </r>
  <r>
    <x v="0"/>
    <x v="0"/>
    <x v="0"/>
    <x v="8"/>
    <x v="15"/>
    <s v="SE3_OTHER"/>
    <x v="0"/>
    <x v="0"/>
    <x v="1"/>
    <x v="8"/>
    <n v="2140.6438955541198"/>
    <n v="130222.50364620901"/>
    <n v="468801.01312635199"/>
  </r>
  <r>
    <x v="0"/>
    <x v="0"/>
    <x v="0"/>
    <x v="8"/>
    <x v="15"/>
    <s v="SE3_OTHER"/>
    <x v="0"/>
    <x v="0"/>
    <x v="1"/>
    <x v="9"/>
    <n v="2114.1993744544402"/>
    <n v="128613.79527931201"/>
    <n v="463009.66300552298"/>
  </r>
  <r>
    <x v="0"/>
    <x v="0"/>
    <x v="0"/>
    <x v="8"/>
    <x v="15"/>
    <s v="SE3_OTHER"/>
    <x v="0"/>
    <x v="0"/>
    <x v="1"/>
    <x v="10"/>
    <n v="2025.5844776225999"/>
    <n v="123223.055722041"/>
    <n v="443603.00059934898"/>
  </r>
  <r>
    <x v="0"/>
    <x v="0"/>
    <x v="0"/>
    <x v="8"/>
    <x v="15"/>
    <s v="SE3_OTHER"/>
    <x v="0"/>
    <x v="0"/>
    <x v="1"/>
    <x v="11"/>
    <n v="1954.07819790433"/>
    <n v="118873.090372513"/>
    <n v="427943.125341048"/>
  </r>
  <r>
    <x v="0"/>
    <x v="0"/>
    <x v="0"/>
    <x v="8"/>
    <x v="15"/>
    <s v="SE3_OTHER"/>
    <x v="0"/>
    <x v="0"/>
    <x v="2"/>
    <x v="0"/>
    <n v="1110.03322470839"/>
    <n v="67527.021169760395"/>
    <n v="243097.276211138"/>
  </r>
  <r>
    <x v="0"/>
    <x v="0"/>
    <x v="0"/>
    <x v="8"/>
    <x v="15"/>
    <s v="SE3_OTHER"/>
    <x v="0"/>
    <x v="0"/>
    <x v="2"/>
    <x v="1"/>
    <n v="1099.47670705736"/>
    <n v="66884.833012655901"/>
    <n v="240785.39884556099"/>
  </r>
  <r>
    <x v="0"/>
    <x v="0"/>
    <x v="0"/>
    <x v="8"/>
    <x v="15"/>
    <s v="SE3_OTHER"/>
    <x v="0"/>
    <x v="0"/>
    <x v="2"/>
    <x v="2"/>
    <n v="1099.0078404890401"/>
    <n v="66856.310296416399"/>
    <n v="240682.717067099"/>
  </r>
  <r>
    <x v="0"/>
    <x v="0"/>
    <x v="0"/>
    <x v="8"/>
    <x v="15"/>
    <s v="SE3_OTHER"/>
    <x v="0"/>
    <x v="0"/>
    <x v="2"/>
    <x v="3"/>
    <n v="1117.6199664057001"/>
    <n v="67988.547956346898"/>
    <n v="244758.77264284901"/>
  </r>
  <r>
    <x v="0"/>
    <x v="0"/>
    <x v="0"/>
    <x v="8"/>
    <x v="15"/>
    <s v="SE3_OTHER"/>
    <x v="0"/>
    <x v="0"/>
    <x v="2"/>
    <x v="4"/>
    <n v="1179.6244962831699"/>
    <n v="71760.490190559605"/>
    <n v="258337.764686015"/>
  </r>
  <r>
    <x v="0"/>
    <x v="0"/>
    <x v="0"/>
    <x v="8"/>
    <x v="15"/>
    <s v="SE3_OTHER"/>
    <x v="0"/>
    <x v="0"/>
    <x v="2"/>
    <x v="5"/>
    <n v="1278.64688510254"/>
    <n v="77784.3521770714"/>
    <n v="280023.66783745697"/>
  </r>
  <r>
    <x v="0"/>
    <x v="0"/>
    <x v="0"/>
    <x v="8"/>
    <x v="15"/>
    <s v="SE3_OTHER"/>
    <x v="0"/>
    <x v="0"/>
    <x v="2"/>
    <x v="6"/>
    <n v="1500.7109620507999"/>
    <n v="91293.250191423896"/>
    <n v="328655.70068912598"/>
  </r>
  <r>
    <x v="0"/>
    <x v="0"/>
    <x v="0"/>
    <x v="8"/>
    <x v="15"/>
    <s v="SE3_OTHER"/>
    <x v="0"/>
    <x v="0"/>
    <x v="2"/>
    <x v="7"/>
    <n v="1598.2330941381699"/>
    <n v="97225.846560072197"/>
    <n v="350013.04761626001"/>
  </r>
  <r>
    <x v="0"/>
    <x v="0"/>
    <x v="0"/>
    <x v="8"/>
    <x v="15"/>
    <s v="SE3_OTHER"/>
    <x v="0"/>
    <x v="0"/>
    <x v="2"/>
    <x v="8"/>
    <n v="1577.0110136921401"/>
    <n v="95934.836666271993"/>
    <n v="345365.41199857899"/>
  </r>
  <r>
    <x v="0"/>
    <x v="0"/>
    <x v="0"/>
    <x v="8"/>
    <x v="15"/>
    <s v="SE3_OTHER"/>
    <x v="0"/>
    <x v="0"/>
    <x v="2"/>
    <x v="9"/>
    <n v="1519.86535577426"/>
    <n v="92458.475809600495"/>
    <n v="332850.51291456202"/>
  </r>
  <r>
    <x v="0"/>
    <x v="0"/>
    <x v="0"/>
    <x v="8"/>
    <x v="15"/>
    <s v="SE3_OTHER"/>
    <x v="0"/>
    <x v="0"/>
    <x v="2"/>
    <x v="10"/>
    <n v="1484.4093256597901"/>
    <n v="90301.567310970597"/>
    <n v="325085.64231949399"/>
  </r>
  <r>
    <x v="0"/>
    <x v="0"/>
    <x v="0"/>
    <x v="8"/>
    <x v="15"/>
    <s v="SE3_OTHER"/>
    <x v="0"/>
    <x v="0"/>
    <x v="2"/>
    <x v="11"/>
    <n v="1455.1131430718101"/>
    <n v="88519.382870201807"/>
    <n v="318669.77833272697"/>
  </r>
  <r>
    <x v="0"/>
    <x v="0"/>
    <x v="0"/>
    <x v="8"/>
    <x v="15"/>
    <s v="SE3_OTHER"/>
    <x v="0"/>
    <x v="0"/>
    <x v="3"/>
    <x v="0"/>
    <n v="1104.8604095186299"/>
    <n v="67212.341579049695"/>
    <n v="241964.42968457899"/>
  </r>
  <r>
    <x v="0"/>
    <x v="0"/>
    <x v="0"/>
    <x v="8"/>
    <x v="15"/>
    <s v="SE3_OTHER"/>
    <x v="0"/>
    <x v="0"/>
    <x v="3"/>
    <x v="1"/>
    <n v="1099.80859807047"/>
    <n v="66905.023049286698"/>
    <n v="240858.082977432"/>
  </r>
  <r>
    <x v="0"/>
    <x v="0"/>
    <x v="0"/>
    <x v="8"/>
    <x v="15"/>
    <s v="SE3_OTHER"/>
    <x v="0"/>
    <x v="0"/>
    <x v="3"/>
    <x v="2"/>
    <n v="1102.4489051471"/>
    <n v="67065.641729782103"/>
    <n v="241436.310227215"/>
  </r>
  <r>
    <x v="0"/>
    <x v="0"/>
    <x v="0"/>
    <x v="8"/>
    <x v="15"/>
    <s v="SE3_OTHER"/>
    <x v="0"/>
    <x v="0"/>
    <x v="3"/>
    <x v="3"/>
    <n v="1139.78936017773"/>
    <n v="69337.186077478298"/>
    <n v="249613.86987892201"/>
  </r>
  <r>
    <x v="0"/>
    <x v="0"/>
    <x v="0"/>
    <x v="8"/>
    <x v="15"/>
    <s v="SE3_OTHER"/>
    <x v="0"/>
    <x v="0"/>
    <x v="3"/>
    <x v="4"/>
    <n v="1207.69328189628"/>
    <n v="73468.007982023701"/>
    <n v="264484.82873528497"/>
  </r>
  <r>
    <x v="0"/>
    <x v="0"/>
    <x v="0"/>
    <x v="8"/>
    <x v="15"/>
    <s v="SE3_OTHER"/>
    <x v="0"/>
    <x v="0"/>
    <x v="3"/>
    <x v="5"/>
    <n v="1346.7887221629601"/>
    <n v="81929.647264913394"/>
    <n v="294946.730153688"/>
  </r>
  <r>
    <x v="0"/>
    <x v="0"/>
    <x v="0"/>
    <x v="8"/>
    <x v="15"/>
    <s v="SE3_OTHER"/>
    <x v="0"/>
    <x v="0"/>
    <x v="3"/>
    <x v="6"/>
    <n v="1620.22081001228"/>
    <n v="98563.432609080497"/>
    <n v="354828.35739269003"/>
  </r>
  <r>
    <x v="0"/>
    <x v="0"/>
    <x v="0"/>
    <x v="8"/>
    <x v="15"/>
    <s v="SE3_OTHER"/>
    <x v="0"/>
    <x v="0"/>
    <x v="3"/>
    <x v="7"/>
    <n v="1785.76356554939"/>
    <n v="108633.950237588"/>
    <n v="391082.22085531597"/>
  </r>
  <r>
    <x v="0"/>
    <x v="0"/>
    <x v="0"/>
    <x v="8"/>
    <x v="15"/>
    <s v="SE3_OTHER"/>
    <x v="0"/>
    <x v="0"/>
    <x v="3"/>
    <x v="8"/>
    <n v="1835.3646710599501"/>
    <n v="111651.35082281299"/>
    <n v="401944.86296212801"/>
  </r>
  <r>
    <x v="0"/>
    <x v="0"/>
    <x v="0"/>
    <x v="8"/>
    <x v="15"/>
    <s v="SE3_OTHER"/>
    <x v="0"/>
    <x v="0"/>
    <x v="3"/>
    <x v="9"/>
    <n v="1811.0624739386999"/>
    <n v="110172.96716460399"/>
    <n v="396622.68179257598"/>
  </r>
  <r>
    <x v="0"/>
    <x v="0"/>
    <x v="0"/>
    <x v="8"/>
    <x v="15"/>
    <s v="SE3_OTHER"/>
    <x v="0"/>
    <x v="0"/>
    <x v="3"/>
    <x v="10"/>
    <n v="1744.2296531531999"/>
    <n v="106107.303900153"/>
    <n v="381986.29404055001"/>
  </r>
  <r>
    <x v="0"/>
    <x v="0"/>
    <x v="0"/>
    <x v="8"/>
    <x v="15"/>
    <s v="SE3_OTHER"/>
    <x v="0"/>
    <x v="0"/>
    <x v="3"/>
    <x v="11"/>
    <n v="1689.8910876878599"/>
    <n v="102801.707834345"/>
    <n v="370086.14820364001"/>
  </r>
  <r>
    <x v="0"/>
    <x v="0"/>
    <x v="0"/>
    <x v="8"/>
    <x v="15"/>
    <s v="SE3_OTHER"/>
    <x v="0"/>
    <x v="0"/>
    <x v="4"/>
    <x v="0"/>
    <n v="1456.9866447715301"/>
    <n v="88633.354223601506"/>
    <n v="319080.07520496601"/>
  </r>
  <r>
    <x v="0"/>
    <x v="0"/>
    <x v="0"/>
    <x v="8"/>
    <x v="15"/>
    <s v="SE3_OTHER"/>
    <x v="0"/>
    <x v="0"/>
    <x v="4"/>
    <x v="1"/>
    <n v="1448.30626637621"/>
    <n v="88105.297871219693"/>
    <n v="317179.07233639102"/>
  </r>
  <r>
    <x v="0"/>
    <x v="0"/>
    <x v="0"/>
    <x v="8"/>
    <x v="15"/>
    <s v="SE3_OTHER"/>
    <x v="0"/>
    <x v="0"/>
    <x v="4"/>
    <x v="2"/>
    <n v="1464.7910102967001"/>
    <n v="89108.119793049205"/>
    <n v="320789.231254977"/>
  </r>
  <r>
    <x v="0"/>
    <x v="0"/>
    <x v="0"/>
    <x v="8"/>
    <x v="15"/>
    <s v="SE3_OTHER"/>
    <x v="0"/>
    <x v="0"/>
    <x v="4"/>
    <x v="3"/>
    <n v="1516.8726920494701"/>
    <n v="92276.4220996761"/>
    <n v="332195.11955883401"/>
  </r>
  <r>
    <x v="0"/>
    <x v="0"/>
    <x v="0"/>
    <x v="8"/>
    <x v="15"/>
    <s v="SE3_OTHER"/>
    <x v="0"/>
    <x v="0"/>
    <x v="4"/>
    <x v="4"/>
    <n v="1609.44668193246"/>
    <n v="97908.006484224898"/>
    <n v="352468.82334320998"/>
  </r>
  <r>
    <x v="0"/>
    <x v="0"/>
    <x v="0"/>
    <x v="8"/>
    <x v="15"/>
    <s v="SE3_OTHER"/>
    <x v="0"/>
    <x v="0"/>
    <x v="4"/>
    <x v="5"/>
    <n v="1724.64593421781"/>
    <n v="104915.96099825"/>
    <n v="377697.459593701"/>
  </r>
  <r>
    <x v="0"/>
    <x v="0"/>
    <x v="0"/>
    <x v="8"/>
    <x v="15"/>
    <s v="SE3_OTHER"/>
    <x v="0"/>
    <x v="0"/>
    <x v="4"/>
    <x v="6"/>
    <n v="2020.5723383951399"/>
    <n v="122918.150585704"/>
    <n v="442505.342108535"/>
  </r>
  <r>
    <x v="0"/>
    <x v="0"/>
    <x v="0"/>
    <x v="8"/>
    <x v="15"/>
    <s v="SE3_OTHER"/>
    <x v="0"/>
    <x v="0"/>
    <x v="4"/>
    <x v="7"/>
    <n v="2184.07815918807"/>
    <n v="132864.75468394099"/>
    <n v="478313.11686218798"/>
  </r>
  <r>
    <x v="0"/>
    <x v="0"/>
    <x v="0"/>
    <x v="8"/>
    <x v="15"/>
    <s v="SE3_OTHER"/>
    <x v="0"/>
    <x v="0"/>
    <x v="4"/>
    <x v="8"/>
    <n v="2183.9876338066802"/>
    <n v="132859.24772324"/>
    <n v="478293.29180366301"/>
  </r>
  <r>
    <x v="0"/>
    <x v="0"/>
    <x v="0"/>
    <x v="8"/>
    <x v="15"/>
    <s v="SE3_OTHER"/>
    <x v="0"/>
    <x v="0"/>
    <x v="4"/>
    <x v="9"/>
    <n v="2156.4257230005801"/>
    <n v="131182.564815869"/>
    <n v="472257.23333712702"/>
  </r>
  <r>
    <x v="0"/>
    <x v="0"/>
    <x v="0"/>
    <x v="8"/>
    <x v="15"/>
    <s v="SE3_OTHER"/>
    <x v="0"/>
    <x v="0"/>
    <x v="4"/>
    <x v="10"/>
    <n v="2055.5326383412598"/>
    <n v="125044.90216576"/>
    <n v="450161.64779673598"/>
  </r>
  <r>
    <x v="0"/>
    <x v="0"/>
    <x v="0"/>
    <x v="8"/>
    <x v="15"/>
    <s v="SE3_OTHER"/>
    <x v="0"/>
    <x v="0"/>
    <x v="4"/>
    <x v="11"/>
    <n v="1966.2160093323"/>
    <n v="119611.473901048"/>
    <n v="430601.306043775"/>
  </r>
  <r>
    <x v="0"/>
    <x v="0"/>
    <x v="0"/>
    <x v="8"/>
    <x v="15"/>
    <s v="SE3_OTHER"/>
    <x v="0"/>
    <x v="0"/>
    <x v="5"/>
    <x v="0"/>
    <n v="1433.96376488602"/>
    <n v="87232.795697233101"/>
    <n v="314038.064510039"/>
  </r>
  <r>
    <x v="0"/>
    <x v="0"/>
    <x v="0"/>
    <x v="8"/>
    <x v="15"/>
    <s v="SE3_OTHER"/>
    <x v="0"/>
    <x v="0"/>
    <x v="5"/>
    <x v="1"/>
    <n v="1418.45476722953"/>
    <n v="86289.331673129796"/>
    <n v="310641.59402326698"/>
  </r>
  <r>
    <x v="0"/>
    <x v="0"/>
    <x v="0"/>
    <x v="8"/>
    <x v="15"/>
    <s v="SE3_OTHER"/>
    <x v="0"/>
    <x v="0"/>
    <x v="5"/>
    <x v="2"/>
    <n v="1433.1203972363201"/>
    <n v="87181.490831876203"/>
    <n v="313853.366994754"/>
  </r>
  <r>
    <x v="0"/>
    <x v="0"/>
    <x v="0"/>
    <x v="8"/>
    <x v="15"/>
    <s v="SE3_OTHER"/>
    <x v="0"/>
    <x v="0"/>
    <x v="5"/>
    <x v="3"/>
    <n v="1474.4905036412999"/>
    <n v="89698.172304845895"/>
    <n v="322913.42029744497"/>
  </r>
  <r>
    <x v="0"/>
    <x v="0"/>
    <x v="0"/>
    <x v="8"/>
    <x v="15"/>
    <s v="SE3_OTHER"/>
    <x v="0"/>
    <x v="0"/>
    <x v="5"/>
    <x v="4"/>
    <n v="1552.9724173361001"/>
    <n v="94472.488721279602"/>
    <n v="340100.95939660701"/>
  </r>
  <r>
    <x v="0"/>
    <x v="0"/>
    <x v="0"/>
    <x v="8"/>
    <x v="15"/>
    <s v="SE3_OTHER"/>
    <x v="0"/>
    <x v="0"/>
    <x v="5"/>
    <x v="5"/>
    <n v="1672.3940235008199"/>
    <n v="101737.30309630001"/>
    <n v="366254.29114667902"/>
  </r>
  <r>
    <x v="0"/>
    <x v="0"/>
    <x v="0"/>
    <x v="8"/>
    <x v="15"/>
    <s v="SE3_OTHER"/>
    <x v="0"/>
    <x v="0"/>
    <x v="5"/>
    <x v="6"/>
    <n v="1957.46238425042"/>
    <n v="119078.961708567"/>
    <n v="428684.26215084299"/>
  </r>
  <r>
    <x v="0"/>
    <x v="0"/>
    <x v="0"/>
    <x v="8"/>
    <x v="15"/>
    <s v="SE3_OTHER"/>
    <x v="0"/>
    <x v="0"/>
    <x v="5"/>
    <x v="7"/>
    <n v="2105.8776210338201"/>
    <n v="128107.555279557"/>
    <n v="461187.19900640601"/>
  </r>
  <r>
    <x v="0"/>
    <x v="0"/>
    <x v="0"/>
    <x v="8"/>
    <x v="15"/>
    <s v="SE3_OTHER"/>
    <x v="0"/>
    <x v="0"/>
    <x v="5"/>
    <x v="8"/>
    <n v="2102.2430841486398"/>
    <n v="127886.454285709"/>
    <n v="460391.23542855203"/>
  </r>
  <r>
    <x v="0"/>
    <x v="0"/>
    <x v="0"/>
    <x v="8"/>
    <x v="15"/>
    <s v="SE3_OTHER"/>
    <x v="0"/>
    <x v="0"/>
    <x v="5"/>
    <x v="9"/>
    <n v="2067.92577135276"/>
    <n v="125798.817757293"/>
    <n v="452875.74392625398"/>
  </r>
  <r>
    <x v="0"/>
    <x v="0"/>
    <x v="0"/>
    <x v="8"/>
    <x v="15"/>
    <s v="SE3_OTHER"/>
    <x v="0"/>
    <x v="0"/>
    <x v="5"/>
    <x v="10"/>
    <n v="1982.9481650652101"/>
    <n v="120629.346708133"/>
    <n v="434265.64814927999"/>
  </r>
  <r>
    <x v="0"/>
    <x v="0"/>
    <x v="0"/>
    <x v="8"/>
    <x v="15"/>
    <s v="SE3_OTHER"/>
    <x v="0"/>
    <x v="0"/>
    <x v="5"/>
    <x v="11"/>
    <n v="1919.4245637930301"/>
    <n v="116764.99429740899"/>
    <n v="420353.97947067401"/>
  </r>
  <r>
    <x v="0"/>
    <x v="0"/>
    <x v="0"/>
    <x v="8"/>
    <x v="15"/>
    <s v="SE3_OTHER"/>
    <x v="0"/>
    <x v="0"/>
    <x v="6"/>
    <x v="0"/>
    <n v="1288.6153710884701"/>
    <n v="78390.768407882104"/>
    <n v="282206.76626837498"/>
  </r>
  <r>
    <x v="0"/>
    <x v="0"/>
    <x v="0"/>
    <x v="8"/>
    <x v="15"/>
    <s v="SE3_OTHER"/>
    <x v="0"/>
    <x v="0"/>
    <x v="6"/>
    <x v="1"/>
    <n v="1304.959718655"/>
    <n v="79385.049551512406"/>
    <n v="285786.17838544399"/>
  </r>
  <r>
    <x v="0"/>
    <x v="0"/>
    <x v="0"/>
    <x v="8"/>
    <x v="15"/>
    <s v="SE3_OTHER"/>
    <x v="0"/>
    <x v="0"/>
    <x v="6"/>
    <x v="2"/>
    <n v="1335.3890904495599"/>
    <n v="81236.1696690151"/>
    <n v="292450.21080845402"/>
  </r>
  <r>
    <x v="0"/>
    <x v="0"/>
    <x v="0"/>
    <x v="8"/>
    <x v="15"/>
    <s v="SE3_OTHER"/>
    <x v="0"/>
    <x v="0"/>
    <x v="6"/>
    <x v="3"/>
    <n v="1387.9246423500699"/>
    <n v="84432.082409629307"/>
    <n v="303955.49667466502"/>
  </r>
  <r>
    <x v="0"/>
    <x v="0"/>
    <x v="0"/>
    <x v="8"/>
    <x v="15"/>
    <s v="SE3_OTHER"/>
    <x v="0"/>
    <x v="0"/>
    <x v="6"/>
    <x v="4"/>
    <n v="1470.9468961072901"/>
    <n v="89482.602846526905"/>
    <n v="322137.37024749699"/>
  </r>
  <r>
    <x v="0"/>
    <x v="0"/>
    <x v="0"/>
    <x v="8"/>
    <x v="15"/>
    <s v="SE3_OTHER"/>
    <x v="0"/>
    <x v="0"/>
    <x v="6"/>
    <x v="5"/>
    <n v="1581.2153517024301"/>
    <n v="96190.600561897794"/>
    <n v="346286.16202283202"/>
  </r>
  <r>
    <x v="0"/>
    <x v="0"/>
    <x v="0"/>
    <x v="8"/>
    <x v="15"/>
    <s v="SE3_OTHER"/>
    <x v="0"/>
    <x v="0"/>
    <x v="6"/>
    <x v="6"/>
    <n v="1840.1465497464701"/>
    <n v="111942.24844291"/>
    <n v="402992.09439447703"/>
  </r>
  <r>
    <x v="0"/>
    <x v="0"/>
    <x v="0"/>
    <x v="8"/>
    <x v="15"/>
    <s v="SE3_OTHER"/>
    <x v="0"/>
    <x v="0"/>
    <x v="6"/>
    <x v="7"/>
    <n v="1958.1664093284201"/>
    <n v="119121.789900812"/>
    <n v="428838.44364292402"/>
  </r>
  <r>
    <x v="0"/>
    <x v="0"/>
    <x v="0"/>
    <x v="8"/>
    <x v="15"/>
    <s v="SE3_OTHER"/>
    <x v="0"/>
    <x v="0"/>
    <x v="6"/>
    <x v="8"/>
    <n v="1909.2837338003501"/>
    <n v="116148.093806188"/>
    <n v="418133.13770227699"/>
  </r>
  <r>
    <x v="0"/>
    <x v="0"/>
    <x v="0"/>
    <x v="8"/>
    <x v="15"/>
    <s v="SE3_OTHER"/>
    <x v="0"/>
    <x v="0"/>
    <x v="6"/>
    <x v="9"/>
    <n v="1809.86956723295"/>
    <n v="110100.398673338"/>
    <n v="396361.43522401701"/>
  </r>
  <r>
    <x v="0"/>
    <x v="0"/>
    <x v="0"/>
    <x v="8"/>
    <x v="15"/>
    <s v="SE3_OTHER"/>
    <x v="0"/>
    <x v="0"/>
    <x v="6"/>
    <x v="10"/>
    <n v="1712.54597461861"/>
    <n v="104179.88012263201"/>
    <n v="375047.56844147597"/>
  </r>
  <r>
    <x v="0"/>
    <x v="0"/>
    <x v="0"/>
    <x v="8"/>
    <x v="15"/>
    <s v="SE3_OTHER"/>
    <x v="0"/>
    <x v="0"/>
    <x v="6"/>
    <x v="11"/>
    <n v="1626.5442224181199"/>
    <n v="98948.106863769004"/>
    <n v="356213.18470956798"/>
  </r>
  <r>
    <x v="0"/>
    <x v="0"/>
    <x v="0"/>
    <x v="8"/>
    <x v="15"/>
    <s v="SE3_OTHER"/>
    <x v="0"/>
    <x v="0"/>
    <x v="7"/>
    <x v="0"/>
    <n v="1100.9588595785399"/>
    <n v="66974.997291028005"/>
    <n v="241109.990247701"/>
  </r>
  <r>
    <x v="0"/>
    <x v="0"/>
    <x v="0"/>
    <x v="8"/>
    <x v="15"/>
    <s v="SE3_OTHER"/>
    <x v="0"/>
    <x v="0"/>
    <x v="7"/>
    <x v="1"/>
    <n v="1102.66783368654"/>
    <n v="67078.959882598007"/>
    <n v="241484.255577353"/>
  </r>
  <r>
    <x v="0"/>
    <x v="0"/>
    <x v="0"/>
    <x v="8"/>
    <x v="15"/>
    <s v="SE3_OTHER"/>
    <x v="0"/>
    <x v="0"/>
    <x v="7"/>
    <x v="2"/>
    <n v="1112.1422922053"/>
    <n v="67655.3227758227"/>
    <n v="243559.16199296201"/>
  </r>
  <r>
    <x v="0"/>
    <x v="0"/>
    <x v="0"/>
    <x v="8"/>
    <x v="15"/>
    <s v="SE3_OTHER"/>
    <x v="0"/>
    <x v="0"/>
    <x v="7"/>
    <x v="3"/>
    <n v="1163.2955871409999"/>
    <n v="70767.148217744194"/>
    <n v="254761.73358387899"/>
  </r>
  <r>
    <x v="0"/>
    <x v="0"/>
    <x v="0"/>
    <x v="8"/>
    <x v="15"/>
    <s v="SE3_OTHER"/>
    <x v="0"/>
    <x v="0"/>
    <x v="7"/>
    <x v="4"/>
    <n v="1263.6224397934"/>
    <n v="76870.365087432103"/>
    <n v="276733.31431475503"/>
  </r>
  <r>
    <x v="0"/>
    <x v="0"/>
    <x v="0"/>
    <x v="8"/>
    <x v="15"/>
    <s v="SE3_OTHER"/>
    <x v="0"/>
    <x v="0"/>
    <x v="7"/>
    <x v="5"/>
    <n v="1388.86059399791"/>
    <n v="84489.019468206097"/>
    <n v="304160.47008554201"/>
  </r>
  <r>
    <x v="0"/>
    <x v="0"/>
    <x v="0"/>
    <x v="8"/>
    <x v="15"/>
    <s v="SE3_OTHER"/>
    <x v="0"/>
    <x v="0"/>
    <x v="7"/>
    <x v="6"/>
    <n v="1638.2164590070399"/>
    <n v="99658.167922928304"/>
    <n v="358769.40452254203"/>
  </r>
  <r>
    <x v="0"/>
    <x v="0"/>
    <x v="0"/>
    <x v="8"/>
    <x v="15"/>
    <s v="SE3_OTHER"/>
    <x v="0"/>
    <x v="0"/>
    <x v="7"/>
    <x v="7"/>
    <n v="1769.00338374951"/>
    <n v="107614.372511428"/>
    <n v="387411.74104114203"/>
  </r>
  <r>
    <x v="0"/>
    <x v="0"/>
    <x v="0"/>
    <x v="8"/>
    <x v="15"/>
    <s v="SE3_OTHER"/>
    <x v="0"/>
    <x v="0"/>
    <x v="7"/>
    <x v="8"/>
    <n v="1748.98977774179"/>
    <n v="106396.878145959"/>
    <n v="383028.76132545201"/>
  </r>
  <r>
    <x v="0"/>
    <x v="0"/>
    <x v="0"/>
    <x v="8"/>
    <x v="15"/>
    <s v="SE3_OTHER"/>
    <x v="0"/>
    <x v="0"/>
    <x v="7"/>
    <x v="9"/>
    <n v="1664.07907589867"/>
    <n v="101231.47711716899"/>
    <n v="364433.31762180902"/>
  </r>
  <r>
    <x v="0"/>
    <x v="0"/>
    <x v="0"/>
    <x v="8"/>
    <x v="15"/>
    <s v="SE3_OTHER"/>
    <x v="0"/>
    <x v="0"/>
    <x v="7"/>
    <x v="10"/>
    <n v="1583.18043323335"/>
    <n v="96310.143021695301"/>
    <n v="346716.51487810299"/>
  </r>
  <r>
    <x v="0"/>
    <x v="0"/>
    <x v="0"/>
    <x v="8"/>
    <x v="15"/>
    <s v="SE3_OTHER"/>
    <x v="0"/>
    <x v="0"/>
    <x v="7"/>
    <x v="11"/>
    <n v="1502.5173297978099"/>
    <n v="91403.137562700096"/>
    <n v="329051.29522571998"/>
  </r>
  <r>
    <x v="0"/>
    <x v="0"/>
    <x v="0"/>
    <x v="8"/>
    <x v="15"/>
    <s v="SE3_OTHER"/>
    <x v="0"/>
    <x v="0"/>
    <x v="8"/>
    <x v="0"/>
    <n v="1237.61666063956"/>
    <n v="75288.346855573007"/>
    <n v="271038.04868006299"/>
  </r>
  <r>
    <x v="0"/>
    <x v="0"/>
    <x v="0"/>
    <x v="8"/>
    <x v="15"/>
    <s v="SE3_OTHER"/>
    <x v="0"/>
    <x v="0"/>
    <x v="8"/>
    <x v="1"/>
    <n v="1237.6390349503399"/>
    <n v="75289.707959478794"/>
    <n v="271042.94865412399"/>
  </r>
  <r>
    <x v="0"/>
    <x v="0"/>
    <x v="0"/>
    <x v="8"/>
    <x v="15"/>
    <s v="SE3_OTHER"/>
    <x v="0"/>
    <x v="0"/>
    <x v="8"/>
    <x v="2"/>
    <n v="1258.9993439213299"/>
    <n v="76589.126755214194"/>
    <n v="275720.85631877102"/>
  </r>
  <r>
    <x v="0"/>
    <x v="0"/>
    <x v="0"/>
    <x v="8"/>
    <x v="15"/>
    <s v="SE3_OTHER"/>
    <x v="0"/>
    <x v="0"/>
    <x v="8"/>
    <x v="3"/>
    <n v="1290.92858227989"/>
    <n v="78531.488755359896"/>
    <n v="282713.35951929598"/>
  </r>
  <r>
    <x v="0"/>
    <x v="0"/>
    <x v="0"/>
    <x v="8"/>
    <x v="15"/>
    <s v="SE3_OTHER"/>
    <x v="0"/>
    <x v="0"/>
    <x v="8"/>
    <x v="4"/>
    <n v="1356.1270625074901"/>
    <n v="82497.729635872194"/>
    <n v="296991.82668914"/>
  </r>
  <r>
    <x v="0"/>
    <x v="0"/>
    <x v="0"/>
    <x v="8"/>
    <x v="15"/>
    <s v="SE3_OTHER"/>
    <x v="0"/>
    <x v="0"/>
    <x v="8"/>
    <x v="5"/>
    <n v="1446.51849184764"/>
    <n v="87996.541587397995"/>
    <n v="316787.54971463297"/>
  </r>
  <r>
    <x v="0"/>
    <x v="0"/>
    <x v="0"/>
    <x v="8"/>
    <x v="15"/>
    <s v="SE3_OTHER"/>
    <x v="0"/>
    <x v="0"/>
    <x v="8"/>
    <x v="6"/>
    <n v="1695.15625457442"/>
    <n v="103122.00548661"/>
    <n v="371239.21975179698"/>
  </r>
  <r>
    <x v="0"/>
    <x v="0"/>
    <x v="0"/>
    <x v="8"/>
    <x v="15"/>
    <s v="SE3_OTHER"/>
    <x v="0"/>
    <x v="0"/>
    <x v="8"/>
    <x v="7"/>
    <n v="1784.2776273688801"/>
    <n v="108543.55566494"/>
    <n v="390756.80039378401"/>
  </r>
  <r>
    <x v="0"/>
    <x v="0"/>
    <x v="0"/>
    <x v="8"/>
    <x v="15"/>
    <s v="SE3_OTHER"/>
    <x v="0"/>
    <x v="0"/>
    <x v="8"/>
    <x v="8"/>
    <n v="1725.9367319968101"/>
    <n v="104994.484529806"/>
    <n v="377980.14430730097"/>
  </r>
  <r>
    <x v="0"/>
    <x v="0"/>
    <x v="0"/>
    <x v="8"/>
    <x v="15"/>
    <s v="SE3_OTHER"/>
    <x v="0"/>
    <x v="0"/>
    <x v="8"/>
    <x v="9"/>
    <n v="1634.06978511121"/>
    <n v="99405.911927598499"/>
    <n v="357861.28293935501"/>
  </r>
  <r>
    <x v="0"/>
    <x v="0"/>
    <x v="0"/>
    <x v="8"/>
    <x v="15"/>
    <s v="SE3_OTHER"/>
    <x v="0"/>
    <x v="0"/>
    <x v="8"/>
    <x v="10"/>
    <n v="1531.39023320048"/>
    <n v="93159.572519696099"/>
    <n v="335374.46107090602"/>
  </r>
  <r>
    <x v="0"/>
    <x v="0"/>
    <x v="0"/>
    <x v="8"/>
    <x v="15"/>
    <s v="SE3_OTHER"/>
    <x v="0"/>
    <x v="0"/>
    <x v="8"/>
    <x v="11"/>
    <n v="1449.8106230708599"/>
    <n v="88196.812903477607"/>
    <n v="317508.526452519"/>
  </r>
  <r>
    <x v="0"/>
    <x v="0"/>
    <x v="0"/>
    <x v="8"/>
    <x v="15"/>
    <s v="SE3_OTHER"/>
    <x v="0"/>
    <x v="0"/>
    <x v="9"/>
    <x v="0"/>
    <n v="1142.52553169097"/>
    <n v="69503.636511200704"/>
    <n v="250213.09144032199"/>
  </r>
  <r>
    <x v="0"/>
    <x v="0"/>
    <x v="0"/>
    <x v="8"/>
    <x v="15"/>
    <s v="SE3_OTHER"/>
    <x v="0"/>
    <x v="0"/>
    <x v="9"/>
    <x v="1"/>
    <n v="1155.6586639255399"/>
    <n v="70302.568722137206"/>
    <n v="253089.247399694"/>
  </r>
  <r>
    <x v="0"/>
    <x v="0"/>
    <x v="0"/>
    <x v="8"/>
    <x v="15"/>
    <s v="SE3_OTHER"/>
    <x v="0"/>
    <x v="0"/>
    <x v="9"/>
    <x v="2"/>
    <n v="1186.02517129752"/>
    <n v="72149.864587265707"/>
    <n v="259739.51251415699"/>
  </r>
  <r>
    <x v="0"/>
    <x v="0"/>
    <x v="0"/>
    <x v="8"/>
    <x v="15"/>
    <s v="SE3_OTHER"/>
    <x v="0"/>
    <x v="0"/>
    <x v="9"/>
    <x v="3"/>
    <n v="1219.68471000003"/>
    <n v="74197.486525002096"/>
    <n v="267110.95149000798"/>
  </r>
  <r>
    <x v="0"/>
    <x v="0"/>
    <x v="0"/>
    <x v="8"/>
    <x v="15"/>
    <s v="SE3_OTHER"/>
    <x v="0"/>
    <x v="0"/>
    <x v="9"/>
    <x v="4"/>
    <n v="1283.5240539313099"/>
    <n v="78081.046614154402"/>
    <n v="281091.76781095599"/>
  </r>
  <r>
    <x v="0"/>
    <x v="0"/>
    <x v="0"/>
    <x v="8"/>
    <x v="15"/>
    <s v="SE3_OTHER"/>
    <x v="0"/>
    <x v="0"/>
    <x v="9"/>
    <x v="5"/>
    <n v="1377.54501973526"/>
    <n v="83800.655367228203"/>
    <n v="301682.35932202201"/>
  </r>
  <r>
    <x v="0"/>
    <x v="0"/>
    <x v="0"/>
    <x v="8"/>
    <x v="15"/>
    <s v="SE3_OTHER"/>
    <x v="0"/>
    <x v="0"/>
    <x v="9"/>
    <x v="6"/>
    <n v="1622.67261030079"/>
    <n v="98712.583793298007"/>
    <n v="355365.30165587302"/>
  </r>
  <r>
    <x v="0"/>
    <x v="0"/>
    <x v="0"/>
    <x v="8"/>
    <x v="15"/>
    <s v="SE3_OTHER"/>
    <x v="0"/>
    <x v="0"/>
    <x v="9"/>
    <x v="7"/>
    <n v="1728.3244084780899"/>
    <n v="105139.73484908399"/>
    <n v="378503.04545670102"/>
  </r>
  <r>
    <x v="0"/>
    <x v="0"/>
    <x v="0"/>
    <x v="8"/>
    <x v="15"/>
    <s v="SE3_OTHER"/>
    <x v="0"/>
    <x v="0"/>
    <x v="9"/>
    <x v="8"/>
    <n v="1716.54009067942"/>
    <n v="104422.85551633099"/>
    <n v="375922.27985879302"/>
  </r>
  <r>
    <x v="0"/>
    <x v="0"/>
    <x v="0"/>
    <x v="8"/>
    <x v="15"/>
    <s v="SE3_OTHER"/>
    <x v="0"/>
    <x v="0"/>
    <x v="9"/>
    <x v="9"/>
    <n v="1663.4657839403801"/>
    <n v="101194.16852304"/>
    <n v="364299.00668294402"/>
  </r>
  <r>
    <x v="0"/>
    <x v="0"/>
    <x v="0"/>
    <x v="8"/>
    <x v="15"/>
    <s v="SE3_OTHER"/>
    <x v="0"/>
    <x v="0"/>
    <x v="9"/>
    <x v="10"/>
    <n v="1603.58500323208"/>
    <n v="97551.421029951598"/>
    <n v="351185.11570782599"/>
  </r>
  <r>
    <x v="0"/>
    <x v="0"/>
    <x v="0"/>
    <x v="8"/>
    <x v="15"/>
    <s v="SE3_OTHER"/>
    <x v="0"/>
    <x v="0"/>
    <x v="9"/>
    <x v="11"/>
    <n v="1545.2998764992701"/>
    <n v="94005.742487039199"/>
    <n v="338420.67295334098"/>
  </r>
  <r>
    <x v="0"/>
    <x v="0"/>
    <x v="0"/>
    <x v="8"/>
    <x v="15"/>
    <s v="SE3_OTHER"/>
    <x v="0"/>
    <x v="0"/>
    <x v="10"/>
    <x v="0"/>
    <n v="567.58821956721397"/>
    <n v="34528.283357005501"/>
    <n v="124301.82008522"/>
  </r>
  <r>
    <x v="0"/>
    <x v="0"/>
    <x v="0"/>
    <x v="8"/>
    <x v="15"/>
    <s v="SE3_OTHER"/>
    <x v="0"/>
    <x v="0"/>
    <x v="10"/>
    <x v="1"/>
    <n v="584.23513607947996"/>
    <n v="35540.970778168397"/>
    <n v="127947.49480140601"/>
  </r>
  <r>
    <x v="0"/>
    <x v="0"/>
    <x v="0"/>
    <x v="8"/>
    <x v="15"/>
    <s v="SE3_OTHER"/>
    <x v="0"/>
    <x v="0"/>
    <x v="10"/>
    <x v="2"/>
    <n v="570.93009140702895"/>
    <n v="34731.580560594302"/>
    <n v="125033.69001813899"/>
  </r>
  <r>
    <x v="0"/>
    <x v="0"/>
    <x v="0"/>
    <x v="8"/>
    <x v="15"/>
    <s v="SE3_OTHER"/>
    <x v="0"/>
    <x v="0"/>
    <x v="10"/>
    <x v="3"/>
    <n v="599.43610310729105"/>
    <n v="36465.696272360197"/>
    <n v="131276.50658049699"/>
  </r>
  <r>
    <x v="0"/>
    <x v="0"/>
    <x v="0"/>
    <x v="8"/>
    <x v="15"/>
    <s v="SE3_OTHER"/>
    <x v="0"/>
    <x v="0"/>
    <x v="10"/>
    <x v="4"/>
    <n v="628.137274637475"/>
    <n v="38211.684207113103"/>
    <n v="137562.06314560701"/>
  </r>
  <r>
    <x v="0"/>
    <x v="0"/>
    <x v="0"/>
    <x v="8"/>
    <x v="15"/>
    <s v="SE3_OTHER"/>
    <x v="0"/>
    <x v="0"/>
    <x v="10"/>
    <x v="5"/>
    <n v="723.36850532338099"/>
    <n v="44004.917407172303"/>
    <n v="158417.70266581999"/>
  </r>
  <r>
    <x v="0"/>
    <x v="0"/>
    <x v="0"/>
    <x v="8"/>
    <x v="15"/>
    <s v="SE3_OTHER"/>
    <x v="0"/>
    <x v="0"/>
    <x v="10"/>
    <x v="6"/>
    <n v="888.74945786748196"/>
    <n v="54065.592020271797"/>
    <n v="194636.13127297899"/>
  </r>
  <r>
    <x v="0"/>
    <x v="0"/>
    <x v="0"/>
    <x v="8"/>
    <x v="15"/>
    <s v="SE3_OTHER"/>
    <x v="0"/>
    <x v="0"/>
    <x v="10"/>
    <x v="7"/>
    <n v="925.40244583719902"/>
    <n v="56295.315455096301"/>
    <n v="202663.13563834701"/>
  </r>
  <r>
    <x v="0"/>
    <x v="0"/>
    <x v="0"/>
    <x v="8"/>
    <x v="15"/>
    <s v="SE3_OTHER"/>
    <x v="0"/>
    <x v="0"/>
    <x v="10"/>
    <x v="8"/>
    <n v="840.44699290729602"/>
    <n v="51127.192068527198"/>
    <n v="184057.89144669799"/>
  </r>
  <r>
    <x v="0"/>
    <x v="0"/>
    <x v="0"/>
    <x v="8"/>
    <x v="15"/>
    <s v="SE3_OTHER"/>
    <x v="0"/>
    <x v="0"/>
    <x v="10"/>
    <x v="9"/>
    <n v="741.71559730725403"/>
    <n v="45121.032169524602"/>
    <n v="162435.715810289"/>
  </r>
  <r>
    <x v="0"/>
    <x v="0"/>
    <x v="0"/>
    <x v="8"/>
    <x v="15"/>
    <s v="SE3_OTHER"/>
    <x v="0"/>
    <x v="0"/>
    <x v="10"/>
    <x v="10"/>
    <n v="645.86314221863699"/>
    <n v="39290.007818300401"/>
    <n v="141444.02814588099"/>
  </r>
  <r>
    <x v="0"/>
    <x v="0"/>
    <x v="0"/>
    <x v="8"/>
    <x v="15"/>
    <s v="SE3_OTHER"/>
    <x v="0"/>
    <x v="0"/>
    <x v="10"/>
    <x v="11"/>
    <n v="568.58884226720704"/>
    <n v="34589.154571255101"/>
    <n v="124520.956456518"/>
  </r>
  <r>
    <x v="0"/>
    <x v="0"/>
    <x v="0"/>
    <x v="8"/>
    <x v="15"/>
    <s v="SE3_OTHER"/>
    <x v="0"/>
    <x v="0"/>
    <x v="11"/>
    <x v="0"/>
    <n v="757.73599466159999"/>
    <n v="46095.606341913997"/>
    <n v="165944.18283089"/>
  </r>
  <r>
    <x v="0"/>
    <x v="0"/>
    <x v="0"/>
    <x v="8"/>
    <x v="15"/>
    <s v="SE3_OTHER"/>
    <x v="0"/>
    <x v="0"/>
    <x v="11"/>
    <x v="1"/>
    <n v="774.97393011152599"/>
    <n v="47144.247415117898"/>
    <n v="169719.29069442401"/>
  </r>
  <r>
    <x v="0"/>
    <x v="0"/>
    <x v="0"/>
    <x v="8"/>
    <x v="15"/>
    <s v="SE3_OTHER"/>
    <x v="0"/>
    <x v="0"/>
    <x v="11"/>
    <x v="2"/>
    <n v="784.77004373881402"/>
    <n v="47740.177660777903"/>
    <n v="171864.63957880001"/>
  </r>
  <r>
    <x v="0"/>
    <x v="0"/>
    <x v="0"/>
    <x v="8"/>
    <x v="15"/>
    <s v="SE3_OTHER"/>
    <x v="0"/>
    <x v="0"/>
    <x v="11"/>
    <x v="3"/>
    <n v="826.023435160394"/>
    <n v="50249.758972257303"/>
    <n v="180899.13230012599"/>
  </r>
  <r>
    <x v="0"/>
    <x v="0"/>
    <x v="0"/>
    <x v="8"/>
    <x v="15"/>
    <s v="SE3_OTHER"/>
    <x v="0"/>
    <x v="0"/>
    <x v="11"/>
    <x v="4"/>
    <n v="866.93947617441097"/>
    <n v="52738.818133943401"/>
    <n v="189859.745282196"/>
  </r>
  <r>
    <x v="0"/>
    <x v="0"/>
    <x v="0"/>
    <x v="8"/>
    <x v="15"/>
    <s v="SE3_OTHER"/>
    <x v="0"/>
    <x v="0"/>
    <x v="11"/>
    <x v="5"/>
    <n v="960.427782433674"/>
    <n v="58426.0234313818"/>
    <n v="210333.68435297499"/>
  </r>
  <r>
    <x v="0"/>
    <x v="0"/>
    <x v="0"/>
    <x v="8"/>
    <x v="15"/>
    <s v="SE3_OTHER"/>
    <x v="0"/>
    <x v="0"/>
    <x v="11"/>
    <x v="6"/>
    <n v="1152.9733853406999"/>
    <n v="70139.214274892394"/>
    <n v="252501.17138961199"/>
  </r>
  <r>
    <x v="0"/>
    <x v="0"/>
    <x v="0"/>
    <x v="8"/>
    <x v="15"/>
    <s v="SE3_OTHER"/>
    <x v="0"/>
    <x v="0"/>
    <x v="11"/>
    <x v="7"/>
    <n v="1231.97405433068"/>
    <n v="74945.088305116107"/>
    <n v="269802.317898418"/>
  </r>
  <r>
    <x v="0"/>
    <x v="0"/>
    <x v="0"/>
    <x v="8"/>
    <x v="15"/>
    <s v="SE3_OTHER"/>
    <x v="0"/>
    <x v="0"/>
    <x v="11"/>
    <x v="8"/>
    <n v="1208.8020200825699"/>
    <n v="73535.456221689907"/>
    <n v="264727.642398083"/>
  </r>
  <r>
    <x v="0"/>
    <x v="0"/>
    <x v="0"/>
    <x v="8"/>
    <x v="15"/>
    <s v="SE3_OTHER"/>
    <x v="0"/>
    <x v="0"/>
    <x v="11"/>
    <x v="9"/>
    <n v="1160.4366494467999"/>
    <n v="70593.229508013799"/>
    <n v="254135.62622884999"/>
  </r>
  <r>
    <x v="0"/>
    <x v="0"/>
    <x v="0"/>
    <x v="8"/>
    <x v="15"/>
    <s v="SE3_OTHER"/>
    <x v="0"/>
    <x v="0"/>
    <x v="11"/>
    <x v="10"/>
    <n v="1115.9566354587901"/>
    <n v="67887.361990409598"/>
    <n v="244394.50316547501"/>
  </r>
  <r>
    <x v="0"/>
    <x v="0"/>
    <x v="0"/>
    <x v="8"/>
    <x v="15"/>
    <s v="SE3_OTHER"/>
    <x v="0"/>
    <x v="0"/>
    <x v="11"/>
    <x v="11"/>
    <n v="1086.1828507131499"/>
    <n v="66076.123418383402"/>
    <n v="237874.04430618"/>
  </r>
  <r>
    <x v="0"/>
    <x v="0"/>
    <x v="0"/>
    <x v="8"/>
    <x v="15"/>
    <s v="SE3_STO"/>
    <x v="0"/>
    <x v="0"/>
    <x v="0"/>
    <x v="0"/>
    <n v="658.38703687881298"/>
    <n v="40051.878076794499"/>
    <n v="144186.76107646001"/>
  </r>
  <r>
    <x v="0"/>
    <x v="0"/>
    <x v="0"/>
    <x v="8"/>
    <x v="15"/>
    <s v="SE3_STO"/>
    <x v="0"/>
    <x v="0"/>
    <x v="0"/>
    <x v="1"/>
    <n v="653.08726091193103"/>
    <n v="39729.4750388092"/>
    <n v="143026.11013971301"/>
  </r>
  <r>
    <x v="0"/>
    <x v="0"/>
    <x v="0"/>
    <x v="8"/>
    <x v="15"/>
    <s v="SE3_STO"/>
    <x v="0"/>
    <x v="0"/>
    <x v="0"/>
    <x v="2"/>
    <n v="641.35515942612096"/>
    <n v="39015.772198422303"/>
    <n v="140456.77991432001"/>
  </r>
  <r>
    <x v="0"/>
    <x v="0"/>
    <x v="0"/>
    <x v="8"/>
    <x v="15"/>
    <s v="SE3_STO"/>
    <x v="0"/>
    <x v="0"/>
    <x v="0"/>
    <x v="3"/>
    <n v="637.05792414219195"/>
    <n v="38754.357051983403"/>
    <n v="139515.68538713999"/>
  </r>
  <r>
    <x v="0"/>
    <x v="0"/>
    <x v="0"/>
    <x v="8"/>
    <x v="15"/>
    <s v="SE3_STO"/>
    <x v="0"/>
    <x v="0"/>
    <x v="0"/>
    <x v="4"/>
    <n v="639.285304024423"/>
    <n v="38889.855994819001"/>
    <n v="140003.48158134901"/>
  </r>
  <r>
    <x v="0"/>
    <x v="0"/>
    <x v="0"/>
    <x v="8"/>
    <x v="15"/>
    <s v="SE3_STO"/>
    <x v="0"/>
    <x v="0"/>
    <x v="0"/>
    <x v="5"/>
    <n v="701.17854239106396"/>
    <n v="42655.027995456403"/>
    <n v="153558.10078364299"/>
  </r>
  <r>
    <x v="0"/>
    <x v="0"/>
    <x v="0"/>
    <x v="8"/>
    <x v="15"/>
    <s v="SE3_STO"/>
    <x v="0"/>
    <x v="0"/>
    <x v="0"/>
    <x v="6"/>
    <n v="834.427201413077"/>
    <n v="50760.988085962199"/>
    <n v="182739.55710946399"/>
  </r>
  <r>
    <x v="0"/>
    <x v="0"/>
    <x v="0"/>
    <x v="8"/>
    <x v="15"/>
    <s v="SE3_STO"/>
    <x v="0"/>
    <x v="0"/>
    <x v="0"/>
    <x v="7"/>
    <n v="875.26722175593704"/>
    <n v="53245.422656819501"/>
    <n v="191683.52156455"/>
  </r>
  <r>
    <x v="0"/>
    <x v="0"/>
    <x v="0"/>
    <x v="8"/>
    <x v="15"/>
    <s v="SE3_STO"/>
    <x v="0"/>
    <x v="0"/>
    <x v="0"/>
    <x v="8"/>
    <n v="846.92179989417104"/>
    <n v="51521.076160228702"/>
    <n v="185475.87417682301"/>
  </r>
  <r>
    <x v="0"/>
    <x v="0"/>
    <x v="0"/>
    <x v="8"/>
    <x v="15"/>
    <s v="SE3_STO"/>
    <x v="0"/>
    <x v="0"/>
    <x v="0"/>
    <x v="9"/>
    <n v="811.51867903795403"/>
    <n v="49367.386308142202"/>
    <n v="177722.590709312"/>
  </r>
  <r>
    <x v="0"/>
    <x v="0"/>
    <x v="0"/>
    <x v="8"/>
    <x v="15"/>
    <s v="SE3_STO"/>
    <x v="0"/>
    <x v="0"/>
    <x v="0"/>
    <x v="10"/>
    <n v="798.25283532299704"/>
    <n v="48560.380815482298"/>
    <n v="174817.37093573599"/>
  </r>
  <r>
    <x v="0"/>
    <x v="0"/>
    <x v="0"/>
    <x v="8"/>
    <x v="15"/>
    <s v="SE3_STO"/>
    <x v="0"/>
    <x v="0"/>
    <x v="0"/>
    <x v="11"/>
    <n v="784.43483895566499"/>
    <n v="47719.786036469603"/>
    <n v="171791.22973129101"/>
  </r>
  <r>
    <x v="0"/>
    <x v="0"/>
    <x v="0"/>
    <x v="8"/>
    <x v="15"/>
    <s v="SE3_STO"/>
    <x v="0"/>
    <x v="0"/>
    <x v="1"/>
    <x v="0"/>
    <n v="883.70884249178903"/>
    <n v="53758.954584917199"/>
    <n v="193532.23650570199"/>
  </r>
  <r>
    <x v="0"/>
    <x v="0"/>
    <x v="0"/>
    <x v="8"/>
    <x v="15"/>
    <s v="SE3_STO"/>
    <x v="0"/>
    <x v="0"/>
    <x v="1"/>
    <x v="1"/>
    <n v="875.41176175730402"/>
    <n v="53254.215506902699"/>
    <n v="191715.17582485001"/>
  </r>
  <r>
    <x v="0"/>
    <x v="0"/>
    <x v="0"/>
    <x v="8"/>
    <x v="15"/>
    <s v="SE3_STO"/>
    <x v="0"/>
    <x v="0"/>
    <x v="1"/>
    <x v="2"/>
    <n v="873.21263868196297"/>
    <n v="53120.435519819403"/>
    <n v="191233.56787135001"/>
  </r>
  <r>
    <x v="0"/>
    <x v="0"/>
    <x v="0"/>
    <x v="8"/>
    <x v="15"/>
    <s v="SE3_STO"/>
    <x v="0"/>
    <x v="0"/>
    <x v="1"/>
    <x v="3"/>
    <n v="880.17700810304905"/>
    <n v="53544.101326268799"/>
    <n v="192758.764774568"/>
  </r>
  <r>
    <x v="0"/>
    <x v="0"/>
    <x v="0"/>
    <x v="8"/>
    <x v="15"/>
    <s v="SE3_STO"/>
    <x v="0"/>
    <x v="0"/>
    <x v="1"/>
    <x v="4"/>
    <n v="913.62006934009401"/>
    <n v="55578.5542181891"/>
    <n v="200082.79518548099"/>
  </r>
  <r>
    <x v="0"/>
    <x v="0"/>
    <x v="0"/>
    <x v="8"/>
    <x v="15"/>
    <s v="SE3_STO"/>
    <x v="0"/>
    <x v="0"/>
    <x v="1"/>
    <x v="5"/>
    <n v="1010.2003177773501"/>
    <n v="61453.852664789003"/>
    <n v="221233.86959324"/>
  </r>
  <r>
    <x v="0"/>
    <x v="0"/>
    <x v="0"/>
    <x v="8"/>
    <x v="15"/>
    <s v="SE3_STO"/>
    <x v="0"/>
    <x v="0"/>
    <x v="1"/>
    <x v="6"/>
    <n v="1194.21286291008"/>
    <n v="72647.949160363103"/>
    <n v="261532.61697730701"/>
  </r>
  <r>
    <x v="0"/>
    <x v="0"/>
    <x v="0"/>
    <x v="8"/>
    <x v="15"/>
    <s v="SE3_STO"/>
    <x v="0"/>
    <x v="0"/>
    <x v="1"/>
    <x v="7"/>
    <n v="1281.1204379186299"/>
    <n v="77934.826640050102"/>
    <n v="280565.37590417999"/>
  </r>
  <r>
    <x v="0"/>
    <x v="0"/>
    <x v="0"/>
    <x v="8"/>
    <x v="15"/>
    <s v="SE3_STO"/>
    <x v="0"/>
    <x v="0"/>
    <x v="1"/>
    <x v="8"/>
    <n v="1281.6080281668201"/>
    <n v="77964.488380148498"/>
    <n v="280672.15816853498"/>
  </r>
  <r>
    <x v="0"/>
    <x v="0"/>
    <x v="0"/>
    <x v="8"/>
    <x v="15"/>
    <s v="SE3_STO"/>
    <x v="0"/>
    <x v="0"/>
    <x v="1"/>
    <x v="9"/>
    <n v="1267.61238734017"/>
    <n v="77113.086896527093"/>
    <n v="277607.11282749701"/>
  </r>
  <r>
    <x v="0"/>
    <x v="0"/>
    <x v="0"/>
    <x v="8"/>
    <x v="15"/>
    <s v="SE3_STO"/>
    <x v="0"/>
    <x v="0"/>
    <x v="1"/>
    <x v="10"/>
    <n v="1238.0460844460999"/>
    <n v="75314.470137137803"/>
    <n v="271132.09249369602"/>
  </r>
  <r>
    <x v="0"/>
    <x v="0"/>
    <x v="0"/>
    <x v="8"/>
    <x v="15"/>
    <s v="SE3_STO"/>
    <x v="0"/>
    <x v="0"/>
    <x v="1"/>
    <x v="11"/>
    <n v="1213.3501920825099"/>
    <n v="73812.136685019097"/>
    <n v="265723.69206606899"/>
  </r>
  <r>
    <x v="0"/>
    <x v="0"/>
    <x v="0"/>
    <x v="8"/>
    <x v="15"/>
    <s v="SE3_STO"/>
    <x v="0"/>
    <x v="0"/>
    <x v="2"/>
    <x v="0"/>
    <n v="829.44639036306103"/>
    <n v="50457.988747086201"/>
    <n v="181648.75948951"/>
  </r>
  <r>
    <x v="0"/>
    <x v="0"/>
    <x v="0"/>
    <x v="8"/>
    <x v="15"/>
    <s v="SE3_STO"/>
    <x v="0"/>
    <x v="0"/>
    <x v="2"/>
    <x v="1"/>
    <n v="819.972988503225"/>
    <n v="49881.690133946198"/>
    <n v="179574.084482206"/>
  </r>
  <r>
    <x v="0"/>
    <x v="0"/>
    <x v="0"/>
    <x v="8"/>
    <x v="15"/>
    <s v="SE3_STO"/>
    <x v="0"/>
    <x v="0"/>
    <x v="2"/>
    <x v="2"/>
    <n v="815.95114868136397"/>
    <n v="49637.0282114496"/>
    <n v="178693.30156121901"/>
  </r>
  <r>
    <x v="0"/>
    <x v="0"/>
    <x v="0"/>
    <x v="8"/>
    <x v="15"/>
    <s v="SE3_STO"/>
    <x v="0"/>
    <x v="0"/>
    <x v="2"/>
    <x v="3"/>
    <n v="820.04467716289003"/>
    <n v="49886.051194075801"/>
    <n v="179589.78429867301"/>
  </r>
  <r>
    <x v="0"/>
    <x v="0"/>
    <x v="0"/>
    <x v="8"/>
    <x v="15"/>
    <s v="SE3_STO"/>
    <x v="0"/>
    <x v="0"/>
    <x v="2"/>
    <x v="4"/>
    <n v="840.45401553673503"/>
    <n v="51127.619278484701"/>
    <n v="184059.42940254501"/>
  </r>
  <r>
    <x v="0"/>
    <x v="0"/>
    <x v="0"/>
    <x v="8"/>
    <x v="15"/>
    <s v="SE3_STO"/>
    <x v="0"/>
    <x v="0"/>
    <x v="2"/>
    <x v="5"/>
    <n v="915.86799593354101"/>
    <n v="55715.303085957101"/>
    <n v="200575.091109445"/>
  </r>
  <r>
    <x v="0"/>
    <x v="0"/>
    <x v="0"/>
    <x v="8"/>
    <x v="15"/>
    <s v="SE3_STO"/>
    <x v="0"/>
    <x v="0"/>
    <x v="2"/>
    <x v="6"/>
    <n v="1075.85610827244"/>
    <n v="65447.913253240098"/>
    <n v="235612.487711664"/>
  </r>
  <r>
    <x v="0"/>
    <x v="0"/>
    <x v="0"/>
    <x v="8"/>
    <x v="15"/>
    <s v="SE3_STO"/>
    <x v="0"/>
    <x v="0"/>
    <x v="2"/>
    <x v="7"/>
    <n v="1140.4678518562901"/>
    <n v="69378.460987924205"/>
    <n v="249762.459556527"/>
  </r>
  <r>
    <x v="0"/>
    <x v="0"/>
    <x v="0"/>
    <x v="8"/>
    <x v="15"/>
    <s v="SE3_STO"/>
    <x v="0"/>
    <x v="0"/>
    <x v="2"/>
    <x v="8"/>
    <n v="1124.3599365355999"/>
    <n v="68398.562805915906"/>
    <n v="246234.82610129699"/>
  </r>
  <r>
    <x v="0"/>
    <x v="0"/>
    <x v="0"/>
    <x v="8"/>
    <x v="15"/>
    <s v="SE3_STO"/>
    <x v="0"/>
    <x v="0"/>
    <x v="2"/>
    <x v="9"/>
    <n v="1095.7362739090299"/>
    <n v="66657.2899961324"/>
    <n v="239966.243986077"/>
  </r>
  <r>
    <x v="0"/>
    <x v="0"/>
    <x v="0"/>
    <x v="8"/>
    <x v="15"/>
    <s v="SE3_STO"/>
    <x v="0"/>
    <x v="0"/>
    <x v="2"/>
    <x v="10"/>
    <n v="1065.3663105317"/>
    <n v="64809.783890678496"/>
    <n v="233315.22200644299"/>
  </r>
  <r>
    <x v="0"/>
    <x v="0"/>
    <x v="0"/>
    <x v="8"/>
    <x v="15"/>
    <s v="SE3_STO"/>
    <x v="0"/>
    <x v="0"/>
    <x v="2"/>
    <x v="11"/>
    <n v="1035.5950693362299"/>
    <n v="62998.700051287196"/>
    <n v="226795.32018463401"/>
  </r>
  <r>
    <x v="0"/>
    <x v="0"/>
    <x v="0"/>
    <x v="8"/>
    <x v="15"/>
    <s v="SE3_STO"/>
    <x v="0"/>
    <x v="0"/>
    <x v="3"/>
    <x v="0"/>
    <n v="798.52328492448601"/>
    <n v="48576.833166239601"/>
    <n v="174876.59939846201"/>
  </r>
  <r>
    <x v="0"/>
    <x v="0"/>
    <x v="0"/>
    <x v="8"/>
    <x v="15"/>
    <s v="SE3_STO"/>
    <x v="0"/>
    <x v="0"/>
    <x v="3"/>
    <x v="1"/>
    <n v="798.34368104571195"/>
    <n v="48565.907263614201"/>
    <n v="174837.266149011"/>
  </r>
  <r>
    <x v="0"/>
    <x v="0"/>
    <x v="0"/>
    <x v="8"/>
    <x v="15"/>
    <s v="SE3_STO"/>
    <x v="0"/>
    <x v="0"/>
    <x v="3"/>
    <x v="2"/>
    <n v="799.59623675217904"/>
    <n v="48642.1044024242"/>
    <n v="175111.57584872699"/>
  </r>
  <r>
    <x v="0"/>
    <x v="0"/>
    <x v="0"/>
    <x v="8"/>
    <x v="15"/>
    <s v="SE3_STO"/>
    <x v="0"/>
    <x v="0"/>
    <x v="3"/>
    <x v="3"/>
    <n v="811.77760153280303"/>
    <n v="49383.137426578898"/>
    <n v="177779.294735684"/>
  </r>
  <r>
    <x v="0"/>
    <x v="0"/>
    <x v="0"/>
    <x v="8"/>
    <x v="15"/>
    <s v="SE3_STO"/>
    <x v="0"/>
    <x v="0"/>
    <x v="3"/>
    <x v="4"/>
    <n v="841.94465460972106"/>
    <n v="51218.299822091401"/>
    <n v="184385.879359529"/>
  </r>
  <r>
    <x v="0"/>
    <x v="0"/>
    <x v="0"/>
    <x v="8"/>
    <x v="15"/>
    <s v="SE3_STO"/>
    <x v="0"/>
    <x v="0"/>
    <x v="3"/>
    <x v="5"/>
    <n v="922.99076198668399"/>
    <n v="56148.604687523301"/>
    <n v="202134.97687508399"/>
  </r>
  <r>
    <x v="0"/>
    <x v="0"/>
    <x v="0"/>
    <x v="8"/>
    <x v="15"/>
    <s v="SE3_STO"/>
    <x v="0"/>
    <x v="0"/>
    <x v="3"/>
    <x v="6"/>
    <n v="1086.6201430559299"/>
    <n v="66102.725369235995"/>
    <n v="237969.81132924999"/>
  </r>
  <r>
    <x v="0"/>
    <x v="0"/>
    <x v="0"/>
    <x v="8"/>
    <x v="15"/>
    <s v="SE3_STO"/>
    <x v="0"/>
    <x v="0"/>
    <x v="3"/>
    <x v="7"/>
    <n v="1153.4709088665199"/>
    <n v="70169.480289379804"/>
    <n v="252610.12904176701"/>
  </r>
  <r>
    <x v="0"/>
    <x v="0"/>
    <x v="0"/>
    <x v="8"/>
    <x v="15"/>
    <s v="SE3_STO"/>
    <x v="0"/>
    <x v="0"/>
    <x v="3"/>
    <x v="8"/>
    <n v="1144.7699028423201"/>
    <n v="69640.169089574207"/>
    <n v="250704.608722467"/>
  </r>
  <r>
    <x v="0"/>
    <x v="0"/>
    <x v="0"/>
    <x v="8"/>
    <x v="15"/>
    <s v="SE3_STO"/>
    <x v="0"/>
    <x v="0"/>
    <x v="3"/>
    <x v="9"/>
    <n v="1134.59115656887"/>
    <n v="69020.962024606502"/>
    <n v="248475.46328858301"/>
  </r>
  <r>
    <x v="0"/>
    <x v="0"/>
    <x v="0"/>
    <x v="8"/>
    <x v="15"/>
    <s v="SE3_STO"/>
    <x v="0"/>
    <x v="0"/>
    <x v="3"/>
    <x v="10"/>
    <n v="1109.73122446706"/>
    <n v="67508.649488412906"/>
    <n v="243031.13815828599"/>
  </r>
  <r>
    <x v="0"/>
    <x v="0"/>
    <x v="0"/>
    <x v="8"/>
    <x v="15"/>
    <s v="SE3_STO"/>
    <x v="0"/>
    <x v="0"/>
    <x v="3"/>
    <x v="11"/>
    <n v="1089.40034059136"/>
    <n v="66271.8540526414"/>
    <n v="238578.674589509"/>
  </r>
  <r>
    <x v="0"/>
    <x v="0"/>
    <x v="0"/>
    <x v="8"/>
    <x v="15"/>
    <s v="SE3_STO"/>
    <x v="0"/>
    <x v="0"/>
    <x v="4"/>
    <x v="0"/>
    <n v="847.46929174490197"/>
    <n v="51554.381914481601"/>
    <n v="185595.77489213401"/>
  </r>
  <r>
    <x v="0"/>
    <x v="0"/>
    <x v="0"/>
    <x v="8"/>
    <x v="15"/>
    <s v="SE3_STO"/>
    <x v="0"/>
    <x v="0"/>
    <x v="4"/>
    <x v="1"/>
    <n v="839.51811955678795"/>
    <n v="51070.685606371298"/>
    <n v="183854.46818293701"/>
  </r>
  <r>
    <x v="0"/>
    <x v="0"/>
    <x v="0"/>
    <x v="8"/>
    <x v="15"/>
    <s v="SE3_STO"/>
    <x v="0"/>
    <x v="0"/>
    <x v="4"/>
    <x v="2"/>
    <n v="837.93735186880804"/>
    <n v="50974.5222386858"/>
    <n v="183508.28005926899"/>
  </r>
  <r>
    <x v="0"/>
    <x v="0"/>
    <x v="0"/>
    <x v="8"/>
    <x v="15"/>
    <s v="SE3_STO"/>
    <x v="0"/>
    <x v="0"/>
    <x v="4"/>
    <x v="3"/>
    <n v="851.40729176079799"/>
    <n v="51793.9435821152"/>
    <n v="186458.19689561499"/>
  </r>
  <r>
    <x v="0"/>
    <x v="0"/>
    <x v="0"/>
    <x v="8"/>
    <x v="15"/>
    <s v="SE3_STO"/>
    <x v="0"/>
    <x v="0"/>
    <x v="4"/>
    <x v="4"/>
    <n v="891.75092025405695"/>
    <n v="54248.180982121798"/>
    <n v="195293.451535639"/>
  </r>
  <r>
    <x v="0"/>
    <x v="0"/>
    <x v="0"/>
    <x v="8"/>
    <x v="15"/>
    <s v="SE3_STO"/>
    <x v="0"/>
    <x v="0"/>
    <x v="4"/>
    <x v="5"/>
    <n v="975.03198291434705"/>
    <n v="59314.445627289402"/>
    <n v="213532.004258242"/>
  </r>
  <r>
    <x v="0"/>
    <x v="0"/>
    <x v="0"/>
    <x v="8"/>
    <x v="15"/>
    <s v="SE3_STO"/>
    <x v="0"/>
    <x v="0"/>
    <x v="4"/>
    <x v="6"/>
    <n v="1144.2262656238699"/>
    <n v="69607.097825452001"/>
    <n v="250585.552171627"/>
  </r>
  <r>
    <x v="0"/>
    <x v="0"/>
    <x v="0"/>
    <x v="8"/>
    <x v="15"/>
    <s v="SE3_STO"/>
    <x v="0"/>
    <x v="0"/>
    <x v="4"/>
    <x v="7"/>
    <n v="1221.8567972522701"/>
    <n v="74329.621832846504"/>
    <n v="267586.63859824702"/>
  </r>
  <r>
    <x v="0"/>
    <x v="0"/>
    <x v="0"/>
    <x v="8"/>
    <x v="15"/>
    <s v="SE3_STO"/>
    <x v="0"/>
    <x v="0"/>
    <x v="4"/>
    <x v="8"/>
    <n v="1205.7475105485801"/>
    <n v="73349.640225038602"/>
    <n v="264058.70481013902"/>
  </r>
  <r>
    <x v="0"/>
    <x v="0"/>
    <x v="0"/>
    <x v="8"/>
    <x v="15"/>
    <s v="SE3_STO"/>
    <x v="0"/>
    <x v="0"/>
    <x v="4"/>
    <x v="9"/>
    <n v="1172.79568158303"/>
    <n v="71345.070629634502"/>
    <n v="256842.254266684"/>
  </r>
  <r>
    <x v="0"/>
    <x v="0"/>
    <x v="0"/>
    <x v="8"/>
    <x v="15"/>
    <s v="SE3_STO"/>
    <x v="0"/>
    <x v="0"/>
    <x v="4"/>
    <x v="10"/>
    <n v="1132.6562186507299"/>
    <n v="68903.253301252596"/>
    <n v="248051.71188450899"/>
  </r>
  <r>
    <x v="0"/>
    <x v="0"/>
    <x v="0"/>
    <x v="8"/>
    <x v="15"/>
    <s v="SE3_STO"/>
    <x v="0"/>
    <x v="0"/>
    <x v="4"/>
    <x v="11"/>
    <n v="1092.1277251244301"/>
    <n v="66437.769945069507"/>
    <n v="239175.97180224999"/>
  </r>
  <r>
    <x v="0"/>
    <x v="0"/>
    <x v="0"/>
    <x v="8"/>
    <x v="15"/>
    <s v="SE3_STO"/>
    <x v="0"/>
    <x v="0"/>
    <x v="5"/>
    <x v="0"/>
    <n v="1018.07081085545"/>
    <n v="61932.640993706598"/>
    <n v="222957.50757734399"/>
  </r>
  <r>
    <x v="0"/>
    <x v="0"/>
    <x v="0"/>
    <x v="8"/>
    <x v="15"/>
    <s v="SE3_STO"/>
    <x v="0"/>
    <x v="0"/>
    <x v="5"/>
    <x v="1"/>
    <n v="1007.94320421277"/>
    <n v="61316.544922943802"/>
    <n v="220739.56172259801"/>
  </r>
  <r>
    <x v="0"/>
    <x v="0"/>
    <x v="0"/>
    <x v="8"/>
    <x v="15"/>
    <s v="SE3_STO"/>
    <x v="0"/>
    <x v="0"/>
    <x v="5"/>
    <x v="2"/>
    <n v="1016.45057196666"/>
    <n v="61834.076461304903"/>
    <n v="222602.67526069799"/>
  </r>
  <r>
    <x v="0"/>
    <x v="0"/>
    <x v="0"/>
    <x v="8"/>
    <x v="15"/>
    <s v="SE3_STO"/>
    <x v="0"/>
    <x v="0"/>
    <x v="5"/>
    <x v="3"/>
    <n v="1030.70061381241"/>
    <n v="62700.954006921304"/>
    <n v="225723.43442491701"/>
  </r>
  <r>
    <x v="0"/>
    <x v="0"/>
    <x v="0"/>
    <x v="8"/>
    <x v="15"/>
    <s v="SE3_STO"/>
    <x v="0"/>
    <x v="0"/>
    <x v="5"/>
    <x v="4"/>
    <n v="1066.9245630375301"/>
    <n v="64904.577584783299"/>
    <n v="233656.47930522001"/>
  </r>
  <r>
    <x v="0"/>
    <x v="0"/>
    <x v="0"/>
    <x v="8"/>
    <x v="15"/>
    <s v="SE3_STO"/>
    <x v="0"/>
    <x v="0"/>
    <x v="5"/>
    <x v="5"/>
    <n v="1153.0187923532301"/>
    <n v="70141.976534821602"/>
    <n v="252511.11552535801"/>
  </r>
  <r>
    <x v="0"/>
    <x v="0"/>
    <x v="0"/>
    <x v="8"/>
    <x v="15"/>
    <s v="SE3_STO"/>
    <x v="0"/>
    <x v="0"/>
    <x v="5"/>
    <x v="6"/>
    <n v="1341.6095850432901"/>
    <n v="81614.583090133601"/>
    <n v="293812.49912448099"/>
  </r>
  <r>
    <x v="0"/>
    <x v="0"/>
    <x v="0"/>
    <x v="8"/>
    <x v="15"/>
    <s v="SE3_STO"/>
    <x v="0"/>
    <x v="0"/>
    <x v="5"/>
    <x v="7"/>
    <n v="1428.9565657657199"/>
    <n v="86928.191084081001"/>
    <n v="312941.487902692"/>
  </r>
  <r>
    <x v="0"/>
    <x v="0"/>
    <x v="0"/>
    <x v="8"/>
    <x v="15"/>
    <s v="SE3_STO"/>
    <x v="0"/>
    <x v="0"/>
    <x v="5"/>
    <x v="8"/>
    <n v="1413.580086229"/>
    <n v="85992.788578930704"/>
    <n v="309574.03888415103"/>
  </r>
  <r>
    <x v="0"/>
    <x v="0"/>
    <x v="0"/>
    <x v="8"/>
    <x v="15"/>
    <s v="SE3_STO"/>
    <x v="0"/>
    <x v="0"/>
    <x v="5"/>
    <x v="9"/>
    <n v="1379.63857609708"/>
    <n v="83928.013379239099"/>
    <n v="302140.84816526098"/>
  </r>
  <r>
    <x v="0"/>
    <x v="0"/>
    <x v="0"/>
    <x v="8"/>
    <x v="15"/>
    <s v="SE3_STO"/>
    <x v="0"/>
    <x v="0"/>
    <x v="5"/>
    <x v="10"/>
    <n v="1327.48636470269"/>
    <n v="80755.420519413805"/>
    <n v="290719.51386989001"/>
  </r>
  <r>
    <x v="0"/>
    <x v="0"/>
    <x v="0"/>
    <x v="8"/>
    <x v="15"/>
    <s v="SE3_STO"/>
    <x v="0"/>
    <x v="0"/>
    <x v="5"/>
    <x v="11"/>
    <n v="1282.52155513857"/>
    <n v="78020.061270929393"/>
    <n v="280872.22057534597"/>
  </r>
  <r>
    <x v="0"/>
    <x v="0"/>
    <x v="0"/>
    <x v="8"/>
    <x v="15"/>
    <s v="SE3_STO"/>
    <x v="0"/>
    <x v="0"/>
    <x v="6"/>
    <x v="0"/>
    <n v="843.76322998295302"/>
    <n v="51328.929823963001"/>
    <n v="184784.14736626699"/>
  </r>
  <r>
    <x v="0"/>
    <x v="0"/>
    <x v="0"/>
    <x v="8"/>
    <x v="15"/>
    <s v="SE3_STO"/>
    <x v="0"/>
    <x v="0"/>
    <x v="6"/>
    <x v="1"/>
    <n v="842.04992454546004"/>
    <n v="51224.703743182101"/>
    <n v="184408.933475456"/>
  </r>
  <r>
    <x v="0"/>
    <x v="0"/>
    <x v="0"/>
    <x v="8"/>
    <x v="15"/>
    <s v="SE3_STO"/>
    <x v="0"/>
    <x v="0"/>
    <x v="6"/>
    <x v="2"/>
    <n v="847.58440553266598"/>
    <n v="51561.384669903797"/>
    <n v="185620.98481165399"/>
  </r>
  <r>
    <x v="0"/>
    <x v="0"/>
    <x v="0"/>
    <x v="8"/>
    <x v="15"/>
    <s v="SE3_STO"/>
    <x v="0"/>
    <x v="0"/>
    <x v="6"/>
    <x v="3"/>
    <n v="865.67731617245897"/>
    <n v="52662.0367338246"/>
    <n v="189583.33224176901"/>
  </r>
  <r>
    <x v="0"/>
    <x v="0"/>
    <x v="0"/>
    <x v="8"/>
    <x v="15"/>
    <s v="SE3_STO"/>
    <x v="0"/>
    <x v="0"/>
    <x v="6"/>
    <x v="4"/>
    <n v="907.20465206128404"/>
    <n v="55188.283000394797"/>
    <n v="198677.818801421"/>
  </r>
  <r>
    <x v="0"/>
    <x v="0"/>
    <x v="0"/>
    <x v="8"/>
    <x v="15"/>
    <s v="SE3_STO"/>
    <x v="0"/>
    <x v="0"/>
    <x v="6"/>
    <x v="5"/>
    <n v="1005.30374100208"/>
    <n v="61155.977577626698"/>
    <n v="220161.519279456"/>
  </r>
  <r>
    <x v="0"/>
    <x v="0"/>
    <x v="0"/>
    <x v="8"/>
    <x v="15"/>
    <s v="SE3_STO"/>
    <x v="0"/>
    <x v="0"/>
    <x v="6"/>
    <x v="6"/>
    <n v="1184.8786131371201"/>
    <n v="72080.115632508299"/>
    <n v="259488.41627702999"/>
  </r>
  <r>
    <x v="0"/>
    <x v="0"/>
    <x v="0"/>
    <x v="8"/>
    <x v="15"/>
    <s v="SE3_STO"/>
    <x v="0"/>
    <x v="0"/>
    <x v="6"/>
    <x v="7"/>
    <n v="1271.2317542921901"/>
    <n v="77333.265052774703"/>
    <n v="278399.75418998901"/>
  </r>
  <r>
    <x v="0"/>
    <x v="0"/>
    <x v="0"/>
    <x v="8"/>
    <x v="15"/>
    <s v="SE3_STO"/>
    <x v="0"/>
    <x v="0"/>
    <x v="6"/>
    <x v="8"/>
    <n v="1269.84196385172"/>
    <n v="77248.719467646093"/>
    <n v="278095.39008352603"/>
  </r>
  <r>
    <x v="0"/>
    <x v="0"/>
    <x v="0"/>
    <x v="8"/>
    <x v="15"/>
    <s v="SE3_STO"/>
    <x v="0"/>
    <x v="0"/>
    <x v="6"/>
    <x v="9"/>
    <n v="1248.9180582112399"/>
    <n v="75975.848541183805"/>
    <n v="273513.054748261"/>
  </r>
  <r>
    <x v="0"/>
    <x v="0"/>
    <x v="0"/>
    <x v="8"/>
    <x v="15"/>
    <s v="SE3_STO"/>
    <x v="0"/>
    <x v="0"/>
    <x v="6"/>
    <x v="10"/>
    <n v="1200.9965599765601"/>
    <n v="73060.624065240801"/>
    <n v="263018.24663486698"/>
  </r>
  <r>
    <x v="0"/>
    <x v="0"/>
    <x v="0"/>
    <x v="8"/>
    <x v="15"/>
    <s v="SE3_STO"/>
    <x v="0"/>
    <x v="0"/>
    <x v="6"/>
    <x v="11"/>
    <n v="1146.49416097159"/>
    <n v="69745.061459104996"/>
    <n v="251082.22125277799"/>
  </r>
  <r>
    <x v="0"/>
    <x v="0"/>
    <x v="0"/>
    <x v="8"/>
    <x v="15"/>
    <s v="SE3_STO"/>
    <x v="0"/>
    <x v="0"/>
    <x v="7"/>
    <x v="0"/>
    <n v="774.30711069113102"/>
    <n v="47103.682567043797"/>
    <n v="169573.25724135799"/>
  </r>
  <r>
    <x v="0"/>
    <x v="0"/>
    <x v="0"/>
    <x v="8"/>
    <x v="15"/>
    <s v="SE3_STO"/>
    <x v="0"/>
    <x v="0"/>
    <x v="7"/>
    <x v="1"/>
    <n v="775.56369538051797"/>
    <n v="47180.124802314902"/>
    <n v="169848.44928833301"/>
  </r>
  <r>
    <x v="0"/>
    <x v="0"/>
    <x v="0"/>
    <x v="8"/>
    <x v="15"/>
    <s v="SE3_STO"/>
    <x v="0"/>
    <x v="0"/>
    <x v="7"/>
    <x v="2"/>
    <n v="779.45665310395998"/>
    <n v="47416.946397157597"/>
    <n v="170701.007029767"/>
  </r>
  <r>
    <x v="0"/>
    <x v="0"/>
    <x v="0"/>
    <x v="8"/>
    <x v="15"/>
    <s v="SE3_STO"/>
    <x v="0"/>
    <x v="0"/>
    <x v="7"/>
    <x v="3"/>
    <n v="799.61203048158302"/>
    <n v="48643.065187629603"/>
    <n v="175115.034675467"/>
  </r>
  <r>
    <x v="0"/>
    <x v="0"/>
    <x v="0"/>
    <x v="8"/>
    <x v="15"/>
    <s v="SE3_STO"/>
    <x v="0"/>
    <x v="0"/>
    <x v="7"/>
    <x v="4"/>
    <n v="840.17054699278697"/>
    <n v="51110.3749420612"/>
    <n v="183997.34979142001"/>
  </r>
  <r>
    <x v="0"/>
    <x v="0"/>
    <x v="0"/>
    <x v="8"/>
    <x v="15"/>
    <s v="SE3_STO"/>
    <x v="0"/>
    <x v="0"/>
    <x v="7"/>
    <x v="5"/>
    <n v="933.90001439757498"/>
    <n v="56812.2508758525"/>
    <n v="204524.10315306901"/>
  </r>
  <r>
    <x v="0"/>
    <x v="0"/>
    <x v="0"/>
    <x v="8"/>
    <x v="15"/>
    <s v="SE3_STO"/>
    <x v="0"/>
    <x v="0"/>
    <x v="7"/>
    <x v="6"/>
    <n v="1104.3463877019999"/>
    <n v="67181.071918538597"/>
    <n v="241851.85890673901"/>
  </r>
  <r>
    <x v="0"/>
    <x v="0"/>
    <x v="0"/>
    <x v="8"/>
    <x v="15"/>
    <s v="SE3_STO"/>
    <x v="0"/>
    <x v="0"/>
    <x v="7"/>
    <x v="7"/>
    <n v="1182.2972501664501"/>
    <n v="71923.082718458798"/>
    <n v="258923.09778645201"/>
  </r>
  <r>
    <x v="0"/>
    <x v="0"/>
    <x v="0"/>
    <x v="8"/>
    <x v="15"/>
    <s v="SE3_STO"/>
    <x v="0"/>
    <x v="0"/>
    <x v="7"/>
    <x v="8"/>
    <n v="1171.6541474692399"/>
    <n v="71275.627304378504"/>
    <n v="256592.25829576299"/>
  </r>
  <r>
    <x v="0"/>
    <x v="0"/>
    <x v="0"/>
    <x v="8"/>
    <x v="15"/>
    <s v="SE3_STO"/>
    <x v="0"/>
    <x v="0"/>
    <x v="7"/>
    <x v="9"/>
    <n v="1138.9724242465099"/>
    <n v="69287.489141662401"/>
    <n v="249434.96090998501"/>
  </r>
  <r>
    <x v="0"/>
    <x v="0"/>
    <x v="0"/>
    <x v="8"/>
    <x v="15"/>
    <s v="SE3_STO"/>
    <x v="0"/>
    <x v="0"/>
    <x v="7"/>
    <x v="10"/>
    <n v="1100.5476582062599"/>
    <n v="66949.982540880606"/>
    <n v="241019.93714717001"/>
  </r>
  <r>
    <x v="0"/>
    <x v="0"/>
    <x v="0"/>
    <x v="8"/>
    <x v="15"/>
    <s v="SE3_STO"/>
    <x v="0"/>
    <x v="0"/>
    <x v="7"/>
    <x v="11"/>
    <n v="1050.8701024857901"/>
    <n v="63927.931234552503"/>
    <n v="230140.552444389"/>
  </r>
  <r>
    <x v="0"/>
    <x v="0"/>
    <x v="0"/>
    <x v="8"/>
    <x v="15"/>
    <s v="SE3_STO"/>
    <x v="0"/>
    <x v="0"/>
    <x v="8"/>
    <x v="0"/>
    <n v="785.25178031069004"/>
    <n v="47769.483302233602"/>
    <n v="171970.13988804101"/>
  </r>
  <r>
    <x v="0"/>
    <x v="0"/>
    <x v="0"/>
    <x v="8"/>
    <x v="15"/>
    <s v="SE3_STO"/>
    <x v="0"/>
    <x v="0"/>
    <x v="8"/>
    <x v="1"/>
    <n v="786.17104620642499"/>
    <n v="47825.405310890899"/>
    <n v="172171.45911920699"/>
  </r>
  <r>
    <x v="0"/>
    <x v="0"/>
    <x v="0"/>
    <x v="8"/>
    <x v="15"/>
    <s v="SE3_STO"/>
    <x v="0"/>
    <x v="0"/>
    <x v="8"/>
    <x v="2"/>
    <n v="790.61551962708302"/>
    <n v="48095.7774439809"/>
    <n v="173144.798798331"/>
  </r>
  <r>
    <x v="0"/>
    <x v="0"/>
    <x v="0"/>
    <x v="8"/>
    <x v="15"/>
    <s v="SE3_STO"/>
    <x v="0"/>
    <x v="0"/>
    <x v="8"/>
    <x v="3"/>
    <n v="802.72464703235801"/>
    <n v="48832.416027801803"/>
    <n v="175796.69770008599"/>
  </r>
  <r>
    <x v="0"/>
    <x v="0"/>
    <x v="0"/>
    <x v="8"/>
    <x v="15"/>
    <s v="SE3_STO"/>
    <x v="0"/>
    <x v="0"/>
    <x v="8"/>
    <x v="4"/>
    <n v="828.38637370917695"/>
    <n v="50393.504400641599"/>
    <n v="181416.61584231001"/>
  </r>
  <r>
    <x v="0"/>
    <x v="0"/>
    <x v="0"/>
    <x v="8"/>
    <x v="15"/>
    <s v="SE3_STO"/>
    <x v="0"/>
    <x v="0"/>
    <x v="8"/>
    <x v="5"/>
    <n v="900.12311686120199"/>
    <n v="54757.489609056502"/>
    <n v="197126.962592603"/>
  </r>
  <r>
    <x v="0"/>
    <x v="0"/>
    <x v="0"/>
    <x v="8"/>
    <x v="15"/>
    <s v="SE3_STO"/>
    <x v="0"/>
    <x v="0"/>
    <x v="8"/>
    <x v="6"/>
    <n v="1068.7746137858301"/>
    <n v="65017.122338637797"/>
    <n v="234061.64041909599"/>
  </r>
  <r>
    <x v="0"/>
    <x v="0"/>
    <x v="0"/>
    <x v="8"/>
    <x v="15"/>
    <s v="SE3_STO"/>
    <x v="0"/>
    <x v="0"/>
    <x v="8"/>
    <x v="7"/>
    <n v="1123.6354278953199"/>
    <n v="68354.488530298797"/>
    <n v="246076.15870907501"/>
  </r>
  <r>
    <x v="0"/>
    <x v="0"/>
    <x v="0"/>
    <x v="8"/>
    <x v="15"/>
    <s v="SE3_STO"/>
    <x v="0"/>
    <x v="0"/>
    <x v="8"/>
    <x v="8"/>
    <n v="1102.81240292093"/>
    <n v="67087.754511022897"/>
    <n v="241515.91623968299"/>
  </r>
  <r>
    <x v="0"/>
    <x v="0"/>
    <x v="0"/>
    <x v="8"/>
    <x v="15"/>
    <s v="SE3_STO"/>
    <x v="0"/>
    <x v="0"/>
    <x v="8"/>
    <x v="9"/>
    <n v="1046.7902217477699"/>
    <n v="63679.7384896558"/>
    <n v="229247.058562761"/>
  </r>
  <r>
    <x v="0"/>
    <x v="0"/>
    <x v="0"/>
    <x v="8"/>
    <x v="15"/>
    <s v="SE3_STO"/>
    <x v="0"/>
    <x v="0"/>
    <x v="8"/>
    <x v="10"/>
    <n v="990.25986548520598"/>
    <n v="60240.808483683402"/>
    <n v="216866.91054126"/>
  </r>
  <r>
    <x v="0"/>
    <x v="0"/>
    <x v="0"/>
    <x v="8"/>
    <x v="15"/>
    <s v="SE3_STO"/>
    <x v="0"/>
    <x v="0"/>
    <x v="8"/>
    <x v="11"/>
    <n v="932.65452308580302"/>
    <n v="56736.483487719699"/>
    <n v="204251.34055579099"/>
  </r>
  <r>
    <x v="0"/>
    <x v="0"/>
    <x v="0"/>
    <x v="8"/>
    <x v="15"/>
    <s v="SE3_STO"/>
    <x v="0"/>
    <x v="0"/>
    <x v="9"/>
    <x v="0"/>
    <n v="725.86265280193902"/>
    <n v="44156.644712118003"/>
    <n v="158963.92096362499"/>
  </r>
  <r>
    <x v="0"/>
    <x v="0"/>
    <x v="0"/>
    <x v="8"/>
    <x v="15"/>
    <s v="SE3_STO"/>
    <x v="0"/>
    <x v="0"/>
    <x v="9"/>
    <x v="1"/>
    <n v="732.509016556765"/>
    <n v="44560.965173869903"/>
    <n v="160419.474625931"/>
  </r>
  <r>
    <x v="0"/>
    <x v="0"/>
    <x v="0"/>
    <x v="8"/>
    <x v="15"/>
    <s v="SE3_STO"/>
    <x v="0"/>
    <x v="0"/>
    <x v="9"/>
    <x v="2"/>
    <n v="740.28040465438403"/>
    <n v="45033.724616475003"/>
    <n v="162121.40861931001"/>
  </r>
  <r>
    <x v="0"/>
    <x v="0"/>
    <x v="0"/>
    <x v="8"/>
    <x v="15"/>
    <s v="SE3_STO"/>
    <x v="0"/>
    <x v="0"/>
    <x v="9"/>
    <x v="3"/>
    <n v="758.60734132114101"/>
    <n v="46148.613263702799"/>
    <n v="166135.00774932999"/>
  </r>
  <r>
    <x v="0"/>
    <x v="0"/>
    <x v="0"/>
    <x v="8"/>
    <x v="15"/>
    <s v="SE3_STO"/>
    <x v="0"/>
    <x v="0"/>
    <x v="9"/>
    <x v="4"/>
    <n v="787.13681442661402"/>
    <n v="47884.156210952402"/>
    <n v="172382.96235942899"/>
  </r>
  <r>
    <x v="0"/>
    <x v="0"/>
    <x v="0"/>
    <x v="8"/>
    <x v="15"/>
    <s v="SE3_STO"/>
    <x v="0"/>
    <x v="0"/>
    <x v="9"/>
    <x v="5"/>
    <n v="859.94174468819404"/>
    <n v="52313.122801865196"/>
    <n v="188327.24208671501"/>
  </r>
  <r>
    <x v="0"/>
    <x v="0"/>
    <x v="0"/>
    <x v="8"/>
    <x v="15"/>
    <s v="SE3_STO"/>
    <x v="0"/>
    <x v="0"/>
    <x v="9"/>
    <x v="6"/>
    <n v="1026.48311497397"/>
    <n v="62444.389494250099"/>
    <n v="224799.80217929999"/>
  </r>
  <r>
    <x v="0"/>
    <x v="0"/>
    <x v="0"/>
    <x v="8"/>
    <x v="15"/>
    <s v="SE3_STO"/>
    <x v="0"/>
    <x v="0"/>
    <x v="9"/>
    <x v="7"/>
    <n v="1081.08779300674"/>
    <n v="65766.174074576702"/>
    <n v="236758.22666847601"/>
  </r>
  <r>
    <x v="0"/>
    <x v="0"/>
    <x v="0"/>
    <x v="8"/>
    <x v="15"/>
    <s v="SE3_STO"/>
    <x v="0"/>
    <x v="0"/>
    <x v="9"/>
    <x v="8"/>
    <n v="1061.4796467092101"/>
    <n v="64573.3451748101"/>
    <n v="232464.04262931601"/>
  </r>
  <r>
    <x v="0"/>
    <x v="0"/>
    <x v="0"/>
    <x v="8"/>
    <x v="15"/>
    <s v="SE3_STO"/>
    <x v="0"/>
    <x v="0"/>
    <x v="9"/>
    <x v="9"/>
    <n v="1011.0964817767"/>
    <n v="61508.369308082401"/>
    <n v="221430.12950909699"/>
  </r>
  <r>
    <x v="0"/>
    <x v="0"/>
    <x v="0"/>
    <x v="8"/>
    <x v="15"/>
    <s v="SE3_STO"/>
    <x v="0"/>
    <x v="0"/>
    <x v="9"/>
    <x v="10"/>
    <n v="964.593377752327"/>
    <n v="58679.430479933202"/>
    <n v="211245.94972775999"/>
  </r>
  <r>
    <x v="0"/>
    <x v="0"/>
    <x v="0"/>
    <x v="8"/>
    <x v="15"/>
    <s v="SE3_STO"/>
    <x v="0"/>
    <x v="0"/>
    <x v="9"/>
    <x v="11"/>
    <n v="929.35116790583197"/>
    <n v="56535.529380938096"/>
    <n v="203527.905771377"/>
  </r>
  <r>
    <x v="0"/>
    <x v="0"/>
    <x v="0"/>
    <x v="8"/>
    <x v="15"/>
    <s v="SE3_STO"/>
    <x v="0"/>
    <x v="0"/>
    <x v="10"/>
    <x v="0"/>
    <n v="468.94933661665101"/>
    <n v="28527.751310846201"/>
    <n v="102699.904719046"/>
  </r>
  <r>
    <x v="0"/>
    <x v="0"/>
    <x v="0"/>
    <x v="8"/>
    <x v="15"/>
    <s v="SE3_STO"/>
    <x v="0"/>
    <x v="0"/>
    <x v="10"/>
    <x v="1"/>
    <n v="473.23417067020699"/>
    <n v="28788.412049104201"/>
    <n v="103638.283376775"/>
  </r>
  <r>
    <x v="0"/>
    <x v="0"/>
    <x v="0"/>
    <x v="8"/>
    <x v="15"/>
    <s v="SE3_STO"/>
    <x v="0"/>
    <x v="0"/>
    <x v="10"/>
    <x v="2"/>
    <n v="466.63735355783302"/>
    <n v="28387.105674768201"/>
    <n v="102193.580429166"/>
  </r>
  <r>
    <x v="0"/>
    <x v="0"/>
    <x v="0"/>
    <x v="8"/>
    <x v="15"/>
    <s v="SE3_STO"/>
    <x v="0"/>
    <x v="0"/>
    <x v="10"/>
    <x v="3"/>
    <n v="477.83405265223001"/>
    <n v="29068.2382030107"/>
    <n v="104645.657530838"/>
  </r>
  <r>
    <x v="0"/>
    <x v="0"/>
    <x v="0"/>
    <x v="8"/>
    <x v="15"/>
    <s v="SE3_STO"/>
    <x v="0"/>
    <x v="0"/>
    <x v="10"/>
    <x v="4"/>
    <n v="492.70398297072398"/>
    <n v="29972.825630718999"/>
    <n v="107902.172270589"/>
  </r>
  <r>
    <x v="0"/>
    <x v="0"/>
    <x v="0"/>
    <x v="8"/>
    <x v="15"/>
    <s v="SE3_STO"/>
    <x v="0"/>
    <x v="0"/>
    <x v="10"/>
    <x v="5"/>
    <n v="561.74529119889496"/>
    <n v="34172.838547932697"/>
    <n v="123022.218772558"/>
  </r>
  <r>
    <x v="0"/>
    <x v="0"/>
    <x v="0"/>
    <x v="8"/>
    <x v="15"/>
    <s v="SE3_STO"/>
    <x v="0"/>
    <x v="0"/>
    <x v="10"/>
    <x v="6"/>
    <n v="690.20162741520801"/>
    <n v="41987.265667758496"/>
    <n v="151154.15640393001"/>
  </r>
  <r>
    <x v="0"/>
    <x v="0"/>
    <x v="0"/>
    <x v="8"/>
    <x v="15"/>
    <s v="SE3_STO"/>
    <x v="0"/>
    <x v="0"/>
    <x v="10"/>
    <x v="7"/>
    <n v="714.35504580182499"/>
    <n v="43456.598619611003"/>
    <n v="156443.7550306"/>
  </r>
  <r>
    <x v="0"/>
    <x v="0"/>
    <x v="0"/>
    <x v="8"/>
    <x v="15"/>
    <s v="SE3_STO"/>
    <x v="0"/>
    <x v="0"/>
    <x v="10"/>
    <x v="8"/>
    <n v="640.38352768815696"/>
    <n v="38956.664601029603"/>
    <n v="140243.99256370601"/>
  </r>
  <r>
    <x v="0"/>
    <x v="0"/>
    <x v="0"/>
    <x v="8"/>
    <x v="15"/>
    <s v="SE3_STO"/>
    <x v="0"/>
    <x v="0"/>
    <x v="10"/>
    <x v="9"/>
    <n v="577.40801892727302"/>
    <n v="35125.654484742401"/>
    <n v="126452.356145073"/>
  </r>
  <r>
    <x v="0"/>
    <x v="0"/>
    <x v="0"/>
    <x v="8"/>
    <x v="15"/>
    <s v="SE3_STO"/>
    <x v="0"/>
    <x v="0"/>
    <x v="10"/>
    <x v="10"/>
    <n v="529.59520931756595"/>
    <n v="32217.0419001519"/>
    <n v="115981.35084054701"/>
  </r>
  <r>
    <x v="0"/>
    <x v="0"/>
    <x v="0"/>
    <x v="8"/>
    <x v="15"/>
    <s v="SE3_STO"/>
    <x v="0"/>
    <x v="0"/>
    <x v="10"/>
    <x v="11"/>
    <n v="493.53391885560802"/>
    <n v="30023.3133970495"/>
    <n v="108083.928229378"/>
  </r>
  <r>
    <x v="0"/>
    <x v="0"/>
    <x v="0"/>
    <x v="8"/>
    <x v="15"/>
    <s v="SE3_STO"/>
    <x v="0"/>
    <x v="0"/>
    <x v="11"/>
    <x v="0"/>
    <n v="482.57997196102701"/>
    <n v="29356.948294295798"/>
    <n v="105685.01385946501"/>
  </r>
  <r>
    <x v="0"/>
    <x v="0"/>
    <x v="0"/>
    <x v="8"/>
    <x v="15"/>
    <s v="SE3_STO"/>
    <x v="0"/>
    <x v="0"/>
    <x v="11"/>
    <x v="1"/>
    <n v="491.82375162942401"/>
    <n v="29919.2782241233"/>
    <n v="107709.401606844"/>
  </r>
  <r>
    <x v="0"/>
    <x v="0"/>
    <x v="0"/>
    <x v="8"/>
    <x v="15"/>
    <s v="SE3_STO"/>
    <x v="0"/>
    <x v="0"/>
    <x v="11"/>
    <x v="2"/>
    <n v="491.50933612399598"/>
    <n v="29900.151280876398"/>
    <n v="107640.544611155"/>
  </r>
  <r>
    <x v="0"/>
    <x v="0"/>
    <x v="0"/>
    <x v="8"/>
    <x v="15"/>
    <s v="SE3_STO"/>
    <x v="0"/>
    <x v="0"/>
    <x v="11"/>
    <x v="3"/>
    <n v="507.696789259664"/>
    <n v="30884.8880132962"/>
    <n v="111185.59684786601"/>
  </r>
  <r>
    <x v="0"/>
    <x v="0"/>
    <x v="0"/>
    <x v="8"/>
    <x v="15"/>
    <s v="SE3_STO"/>
    <x v="0"/>
    <x v="0"/>
    <x v="11"/>
    <x v="4"/>
    <n v="527.11174161941904"/>
    <n v="32065.964281847999"/>
    <n v="115437.471414653"/>
  </r>
  <r>
    <x v="0"/>
    <x v="0"/>
    <x v="0"/>
    <x v="8"/>
    <x v="15"/>
    <s v="SE3_STO"/>
    <x v="0"/>
    <x v="0"/>
    <x v="11"/>
    <x v="5"/>
    <n v="597.57527595627403"/>
    <n v="36352.495954006699"/>
    <n v="130868.985434424"/>
  </r>
  <r>
    <x v="0"/>
    <x v="0"/>
    <x v="0"/>
    <x v="8"/>
    <x v="15"/>
    <s v="SE3_STO"/>
    <x v="0"/>
    <x v="0"/>
    <x v="11"/>
    <x v="6"/>
    <n v="734.443399265739"/>
    <n v="44678.640121999102"/>
    <n v="160843.10443919699"/>
  </r>
  <r>
    <x v="0"/>
    <x v="0"/>
    <x v="0"/>
    <x v="8"/>
    <x v="15"/>
    <s v="SE3_STO"/>
    <x v="0"/>
    <x v="0"/>
    <x v="11"/>
    <x v="7"/>
    <n v="784.28658509399304"/>
    <n v="47710.767259884597"/>
    <n v="171758.76213558501"/>
  </r>
  <r>
    <x v="0"/>
    <x v="0"/>
    <x v="0"/>
    <x v="8"/>
    <x v="15"/>
    <s v="SE3_STO"/>
    <x v="0"/>
    <x v="0"/>
    <x v="11"/>
    <x v="8"/>
    <n v="781.03489613299905"/>
    <n v="47512.956181424102"/>
    <n v="171046.64225312701"/>
  </r>
  <r>
    <x v="0"/>
    <x v="0"/>
    <x v="0"/>
    <x v="8"/>
    <x v="15"/>
    <s v="SE3_STO"/>
    <x v="0"/>
    <x v="0"/>
    <x v="11"/>
    <x v="9"/>
    <n v="776.610892657058"/>
    <n v="47243.829303304301"/>
    <n v="170077.78549189601"/>
  </r>
  <r>
    <x v="0"/>
    <x v="0"/>
    <x v="0"/>
    <x v="8"/>
    <x v="15"/>
    <s v="SE3_STO"/>
    <x v="0"/>
    <x v="0"/>
    <x v="11"/>
    <x v="10"/>
    <n v="789.09444800112897"/>
    <n v="48003.245586735298"/>
    <n v="172811.68411224699"/>
  </r>
  <r>
    <x v="0"/>
    <x v="0"/>
    <x v="0"/>
    <x v="8"/>
    <x v="15"/>
    <s v="SE3_STO"/>
    <x v="0"/>
    <x v="0"/>
    <x v="11"/>
    <x v="11"/>
    <n v="813.75732149278701"/>
    <n v="49503.570390811197"/>
    <n v="178212.85340692001"/>
  </r>
  <r>
    <x v="0"/>
    <x v="0"/>
    <x v="0"/>
    <x v="8"/>
    <x v="16"/>
    <s v="SE4_EL"/>
    <x v="0"/>
    <x v="0"/>
    <x v="0"/>
    <x v="0"/>
    <n v="83.065070798994299"/>
    <n v="5053.12514027216"/>
    <n v="18191.250504979798"/>
  </r>
  <r>
    <x v="0"/>
    <x v="0"/>
    <x v="0"/>
    <x v="8"/>
    <x v="16"/>
    <s v="SE4_EL"/>
    <x v="0"/>
    <x v="0"/>
    <x v="0"/>
    <x v="1"/>
    <n v="82.640655469701997"/>
    <n v="5027.3065410735398"/>
    <n v="18098.3035478647"/>
  </r>
  <r>
    <x v="0"/>
    <x v="0"/>
    <x v="0"/>
    <x v="8"/>
    <x v="16"/>
    <s v="SE4_EL"/>
    <x v="0"/>
    <x v="0"/>
    <x v="0"/>
    <x v="2"/>
    <n v="81.221804105671893"/>
    <n v="4940.9930830950398"/>
    <n v="17787.575099142101"/>
  </r>
  <r>
    <x v="0"/>
    <x v="0"/>
    <x v="0"/>
    <x v="8"/>
    <x v="16"/>
    <s v="SE4_EL"/>
    <x v="0"/>
    <x v="0"/>
    <x v="0"/>
    <x v="3"/>
    <n v="81.228665174577102"/>
    <n v="4941.4104647867698"/>
    <n v="17789.077673232401"/>
  </r>
  <r>
    <x v="0"/>
    <x v="0"/>
    <x v="0"/>
    <x v="8"/>
    <x v="16"/>
    <s v="SE4_EL"/>
    <x v="0"/>
    <x v="0"/>
    <x v="0"/>
    <x v="4"/>
    <n v="82.033957080839798"/>
    <n v="4990.3990557510897"/>
    <n v="17965.436600703899"/>
  </r>
  <r>
    <x v="0"/>
    <x v="0"/>
    <x v="0"/>
    <x v="8"/>
    <x v="16"/>
    <s v="SE4_EL"/>
    <x v="0"/>
    <x v="0"/>
    <x v="0"/>
    <x v="5"/>
    <n v="90.641015198062803"/>
    <n v="5513.99509121549"/>
    <n v="19850.382328375701"/>
  </r>
  <r>
    <x v="0"/>
    <x v="0"/>
    <x v="0"/>
    <x v="8"/>
    <x v="16"/>
    <s v="SE4_EL"/>
    <x v="0"/>
    <x v="0"/>
    <x v="0"/>
    <x v="6"/>
    <n v="107.53796060401"/>
    <n v="6541.8926034106298"/>
    <n v="23550.813372278299"/>
  </r>
  <r>
    <x v="0"/>
    <x v="0"/>
    <x v="0"/>
    <x v="8"/>
    <x v="16"/>
    <s v="SE4_EL"/>
    <x v="0"/>
    <x v="0"/>
    <x v="0"/>
    <x v="7"/>
    <n v="112.79975136894799"/>
    <n v="6861.9848749443399"/>
    <n v="24703.145549799599"/>
  </r>
  <r>
    <x v="0"/>
    <x v="0"/>
    <x v="0"/>
    <x v="8"/>
    <x v="16"/>
    <s v="SE4_EL"/>
    <x v="0"/>
    <x v="0"/>
    <x v="0"/>
    <x v="8"/>
    <n v="108.57442630847601"/>
    <n v="6604.9442670989501"/>
    <n v="23777.799361556201"/>
  </r>
  <r>
    <x v="0"/>
    <x v="0"/>
    <x v="0"/>
    <x v="8"/>
    <x v="16"/>
    <s v="SE4_EL"/>
    <x v="0"/>
    <x v="0"/>
    <x v="0"/>
    <x v="9"/>
    <n v="102.84287317800199"/>
    <n v="6256.2747849951002"/>
    <n v="22522.5892259824"/>
  </r>
  <r>
    <x v="0"/>
    <x v="0"/>
    <x v="0"/>
    <x v="8"/>
    <x v="16"/>
    <s v="SE4_EL"/>
    <x v="0"/>
    <x v="0"/>
    <x v="0"/>
    <x v="10"/>
    <n v="101.435604018294"/>
    <n v="6170.6659111128702"/>
    <n v="22214.397280006298"/>
  </r>
  <r>
    <x v="0"/>
    <x v="0"/>
    <x v="0"/>
    <x v="8"/>
    <x v="16"/>
    <s v="SE4_EL"/>
    <x v="0"/>
    <x v="0"/>
    <x v="0"/>
    <x v="11"/>
    <n v="98.695931104934701"/>
    <n v="6004.00247555019"/>
    <n v="21614.408911980699"/>
  </r>
  <r>
    <x v="0"/>
    <x v="0"/>
    <x v="0"/>
    <x v="8"/>
    <x v="16"/>
    <s v="SE4_EL"/>
    <x v="0"/>
    <x v="0"/>
    <x v="1"/>
    <x v="0"/>
    <n v="116.09130709713099"/>
    <n v="7062.2211817421203"/>
    <n v="25423.996254271598"/>
  </r>
  <r>
    <x v="0"/>
    <x v="0"/>
    <x v="0"/>
    <x v="8"/>
    <x v="16"/>
    <s v="SE4_EL"/>
    <x v="0"/>
    <x v="0"/>
    <x v="1"/>
    <x v="1"/>
    <n v="115.975146566173"/>
    <n v="7055.1547494422102"/>
    <n v="25398.557097991899"/>
  </r>
  <r>
    <x v="0"/>
    <x v="0"/>
    <x v="0"/>
    <x v="8"/>
    <x v="16"/>
    <s v="SE4_EL"/>
    <x v="0"/>
    <x v="0"/>
    <x v="1"/>
    <x v="2"/>
    <n v="117.001771313402"/>
    <n v="7117.6077548986405"/>
    <n v="25623.3879176351"/>
  </r>
  <r>
    <x v="0"/>
    <x v="0"/>
    <x v="0"/>
    <x v="8"/>
    <x v="16"/>
    <s v="SE4_EL"/>
    <x v="0"/>
    <x v="0"/>
    <x v="1"/>
    <x v="3"/>
    <n v="120.172427137954"/>
    <n v="7310.4893175588504"/>
    <n v="26317.7615432118"/>
  </r>
  <r>
    <x v="0"/>
    <x v="0"/>
    <x v="0"/>
    <x v="8"/>
    <x v="16"/>
    <s v="SE4_EL"/>
    <x v="0"/>
    <x v="0"/>
    <x v="1"/>
    <x v="4"/>
    <n v="127.663818176316"/>
    <n v="7766.2156057258699"/>
    <n v="27958.376180613101"/>
  </r>
  <r>
    <x v="0"/>
    <x v="0"/>
    <x v="0"/>
    <x v="8"/>
    <x v="16"/>
    <s v="SE4_EL"/>
    <x v="0"/>
    <x v="0"/>
    <x v="1"/>
    <x v="5"/>
    <n v="139.667611130312"/>
    <n v="8496.4463437606391"/>
    <n v="30587.206837538299"/>
  </r>
  <r>
    <x v="0"/>
    <x v="0"/>
    <x v="0"/>
    <x v="8"/>
    <x v="16"/>
    <s v="SE4_EL"/>
    <x v="0"/>
    <x v="0"/>
    <x v="1"/>
    <x v="6"/>
    <n v="164.13805138854201"/>
    <n v="9985.0647928029503"/>
    <n v="35946.233254090599"/>
  </r>
  <r>
    <x v="0"/>
    <x v="0"/>
    <x v="0"/>
    <x v="8"/>
    <x v="16"/>
    <s v="SE4_EL"/>
    <x v="0"/>
    <x v="0"/>
    <x v="1"/>
    <x v="7"/>
    <n v="177.59014474135299"/>
    <n v="10803.400471765601"/>
    <n v="38892.2416983562"/>
  </r>
  <r>
    <x v="0"/>
    <x v="0"/>
    <x v="0"/>
    <x v="8"/>
    <x v="16"/>
    <s v="SE4_EL"/>
    <x v="0"/>
    <x v="0"/>
    <x v="1"/>
    <x v="8"/>
    <n v="176.961880058524"/>
    <n v="10765.1810368935"/>
    <n v="38754.651732816703"/>
  </r>
  <r>
    <x v="0"/>
    <x v="0"/>
    <x v="0"/>
    <x v="8"/>
    <x v="16"/>
    <s v="SE4_EL"/>
    <x v="0"/>
    <x v="0"/>
    <x v="1"/>
    <x v="9"/>
    <n v="171.44754027650799"/>
    <n v="10429.7253668209"/>
    <n v="37547.011320555197"/>
  </r>
  <r>
    <x v="0"/>
    <x v="0"/>
    <x v="0"/>
    <x v="8"/>
    <x v="16"/>
    <s v="SE4_EL"/>
    <x v="0"/>
    <x v="0"/>
    <x v="1"/>
    <x v="10"/>
    <n v="164.256485653195"/>
    <n v="9992.2695439027193"/>
    <n v="35972.1703580498"/>
  </r>
  <r>
    <x v="0"/>
    <x v="0"/>
    <x v="0"/>
    <x v="8"/>
    <x v="16"/>
    <s v="SE4_EL"/>
    <x v="0"/>
    <x v="0"/>
    <x v="1"/>
    <x v="11"/>
    <n v="157.39802152539301"/>
    <n v="9575.0463094614297"/>
    <n v="34470.166714061103"/>
  </r>
  <r>
    <x v="0"/>
    <x v="0"/>
    <x v="0"/>
    <x v="8"/>
    <x v="16"/>
    <s v="SE4_EL"/>
    <x v="0"/>
    <x v="0"/>
    <x v="2"/>
    <x v="0"/>
    <n v="122.284792766412"/>
    <n v="7438.9915599567603"/>
    <n v="26780.369615844302"/>
  </r>
  <r>
    <x v="0"/>
    <x v="0"/>
    <x v="0"/>
    <x v="8"/>
    <x v="16"/>
    <s v="SE4_EL"/>
    <x v="0"/>
    <x v="0"/>
    <x v="2"/>
    <x v="1"/>
    <n v="121.33061747573601"/>
    <n v="7380.9458964405803"/>
    <n v="26571.4052271861"/>
  </r>
  <r>
    <x v="0"/>
    <x v="0"/>
    <x v="0"/>
    <x v="8"/>
    <x v="16"/>
    <s v="SE4_EL"/>
    <x v="0"/>
    <x v="0"/>
    <x v="2"/>
    <x v="2"/>
    <n v="121.49717613899401"/>
    <n v="7391.0782151221201"/>
    <n v="26607.881574439602"/>
  </r>
  <r>
    <x v="0"/>
    <x v="0"/>
    <x v="0"/>
    <x v="8"/>
    <x v="16"/>
    <s v="SE4_EL"/>
    <x v="0"/>
    <x v="0"/>
    <x v="2"/>
    <x v="3"/>
    <n v="122.71459697341901"/>
    <n v="7465.1379825496497"/>
    <n v="26874.496737178699"/>
  </r>
  <r>
    <x v="0"/>
    <x v="0"/>
    <x v="0"/>
    <x v="8"/>
    <x v="16"/>
    <s v="SE4_EL"/>
    <x v="0"/>
    <x v="0"/>
    <x v="2"/>
    <x v="4"/>
    <n v="125.266292829653"/>
    <n v="7620.3661471371997"/>
    <n v="27433.3181296939"/>
  </r>
  <r>
    <x v="0"/>
    <x v="0"/>
    <x v="0"/>
    <x v="8"/>
    <x v="16"/>
    <s v="SE4_EL"/>
    <x v="0"/>
    <x v="0"/>
    <x v="2"/>
    <x v="5"/>
    <n v="133.639849246681"/>
    <n v="8129.7574958397399"/>
    <n v="29267.1269850231"/>
  </r>
  <r>
    <x v="0"/>
    <x v="0"/>
    <x v="0"/>
    <x v="8"/>
    <x v="16"/>
    <s v="SE4_EL"/>
    <x v="0"/>
    <x v="0"/>
    <x v="2"/>
    <x v="6"/>
    <n v="156.34578235956801"/>
    <n v="9511.0350935403694"/>
    <n v="34239.726336745298"/>
  </r>
  <r>
    <x v="0"/>
    <x v="0"/>
    <x v="0"/>
    <x v="8"/>
    <x v="16"/>
    <s v="SE4_EL"/>
    <x v="0"/>
    <x v="0"/>
    <x v="2"/>
    <x v="7"/>
    <n v="167.80102930499999"/>
    <n v="10207.895949387501"/>
    <n v="36748.425417795101"/>
  </r>
  <r>
    <x v="0"/>
    <x v="0"/>
    <x v="0"/>
    <x v="8"/>
    <x v="16"/>
    <s v="SE4_EL"/>
    <x v="0"/>
    <x v="0"/>
    <x v="2"/>
    <x v="8"/>
    <n v="166.35265787476601"/>
    <n v="10119.7866873816"/>
    <n v="36431.232074573898"/>
  </r>
  <r>
    <x v="0"/>
    <x v="0"/>
    <x v="0"/>
    <x v="8"/>
    <x v="16"/>
    <s v="SE4_EL"/>
    <x v="0"/>
    <x v="0"/>
    <x v="2"/>
    <x v="9"/>
    <n v="159.77414527288099"/>
    <n v="9719.5938374336201"/>
    <n v="34990.537814761003"/>
  </r>
  <r>
    <x v="0"/>
    <x v="0"/>
    <x v="0"/>
    <x v="8"/>
    <x v="16"/>
    <s v="SE4_EL"/>
    <x v="0"/>
    <x v="0"/>
    <x v="2"/>
    <x v="10"/>
    <n v="153.238309480693"/>
    <n v="9321.9971600754598"/>
    <n v="33559.189776271698"/>
  </r>
  <r>
    <x v="0"/>
    <x v="0"/>
    <x v="0"/>
    <x v="8"/>
    <x v="16"/>
    <s v="SE4_EL"/>
    <x v="0"/>
    <x v="0"/>
    <x v="2"/>
    <x v="11"/>
    <n v="146.870747798363"/>
    <n v="8934.6371577337595"/>
    <n v="32164.6937678416"/>
  </r>
  <r>
    <x v="0"/>
    <x v="0"/>
    <x v="0"/>
    <x v="8"/>
    <x v="16"/>
    <s v="SE4_EL"/>
    <x v="0"/>
    <x v="0"/>
    <x v="3"/>
    <x v="0"/>
    <n v="99.5605256628874"/>
    <n v="6056.5986444923201"/>
    <n v="21803.7551201723"/>
  </r>
  <r>
    <x v="0"/>
    <x v="0"/>
    <x v="0"/>
    <x v="8"/>
    <x v="16"/>
    <s v="SE4_EL"/>
    <x v="0"/>
    <x v="0"/>
    <x v="3"/>
    <x v="1"/>
    <n v="99.011438619159804"/>
    <n v="6023.19584933222"/>
    <n v="21683.505057596001"/>
  </r>
  <r>
    <x v="0"/>
    <x v="0"/>
    <x v="0"/>
    <x v="8"/>
    <x v="16"/>
    <s v="SE4_EL"/>
    <x v="0"/>
    <x v="0"/>
    <x v="3"/>
    <x v="2"/>
    <n v="98.419484999616699"/>
    <n v="5987.1853374766797"/>
    <n v="21553.867214916099"/>
  </r>
  <r>
    <x v="0"/>
    <x v="0"/>
    <x v="0"/>
    <x v="8"/>
    <x v="16"/>
    <s v="SE4_EL"/>
    <x v="0"/>
    <x v="0"/>
    <x v="3"/>
    <x v="3"/>
    <n v="100.13677265154401"/>
    <n v="6091.6536696355997"/>
    <n v="21929.9532106882"/>
  </r>
  <r>
    <x v="0"/>
    <x v="0"/>
    <x v="0"/>
    <x v="8"/>
    <x v="16"/>
    <s v="SE4_EL"/>
    <x v="0"/>
    <x v="0"/>
    <x v="3"/>
    <x v="4"/>
    <n v="103.719422673483"/>
    <n v="6309.5982126368999"/>
    <n v="22714.553565492799"/>
  </r>
  <r>
    <x v="0"/>
    <x v="0"/>
    <x v="0"/>
    <x v="8"/>
    <x v="16"/>
    <s v="SE4_EL"/>
    <x v="0"/>
    <x v="0"/>
    <x v="3"/>
    <x v="5"/>
    <n v="113.663141980276"/>
    <n v="6914.5078038001502"/>
    <n v="24892.2280936805"/>
  </r>
  <r>
    <x v="0"/>
    <x v="0"/>
    <x v="0"/>
    <x v="8"/>
    <x v="16"/>
    <s v="SE4_EL"/>
    <x v="0"/>
    <x v="0"/>
    <x v="3"/>
    <x v="6"/>
    <n v="134.460976440276"/>
    <n v="8179.7094001168198"/>
    <n v="29446.9538404206"/>
  </r>
  <r>
    <x v="0"/>
    <x v="0"/>
    <x v="0"/>
    <x v="8"/>
    <x v="16"/>
    <s v="SE4_EL"/>
    <x v="0"/>
    <x v="0"/>
    <x v="3"/>
    <x v="7"/>
    <n v="144.04698602374501"/>
    <n v="8762.8583164445008"/>
    <n v="31546.2899392002"/>
  </r>
  <r>
    <x v="0"/>
    <x v="0"/>
    <x v="0"/>
    <x v="8"/>
    <x v="16"/>
    <s v="SE4_EL"/>
    <x v="0"/>
    <x v="0"/>
    <x v="3"/>
    <x v="8"/>
    <n v="144.110342465804"/>
    <n v="8766.7125000030592"/>
    <n v="31560.165000010998"/>
  </r>
  <r>
    <x v="0"/>
    <x v="0"/>
    <x v="0"/>
    <x v="8"/>
    <x v="16"/>
    <s v="SE4_EL"/>
    <x v="0"/>
    <x v="0"/>
    <x v="3"/>
    <x v="9"/>
    <n v="142.17004636889601"/>
    <n v="8648.6778207744992"/>
    <n v="31135.2401547882"/>
  </r>
  <r>
    <x v="0"/>
    <x v="0"/>
    <x v="0"/>
    <x v="8"/>
    <x v="16"/>
    <s v="SE4_EL"/>
    <x v="0"/>
    <x v="0"/>
    <x v="3"/>
    <x v="10"/>
    <n v="140.977563765486"/>
    <n v="8576.13512906705"/>
    <n v="30874.086464641401"/>
  </r>
  <r>
    <x v="0"/>
    <x v="0"/>
    <x v="0"/>
    <x v="8"/>
    <x v="16"/>
    <s v="SE4_EL"/>
    <x v="0"/>
    <x v="0"/>
    <x v="3"/>
    <x v="11"/>
    <n v="141.57011721571999"/>
    <n v="8612.1821306229394"/>
    <n v="31003.855670242599"/>
  </r>
  <r>
    <x v="0"/>
    <x v="0"/>
    <x v="0"/>
    <x v="8"/>
    <x v="16"/>
    <s v="SE4_EL"/>
    <x v="0"/>
    <x v="0"/>
    <x v="4"/>
    <x v="0"/>
    <n v="119.556472077591"/>
    <n v="7273.0187180534404"/>
    <n v="26182.867384992402"/>
  </r>
  <r>
    <x v="0"/>
    <x v="0"/>
    <x v="0"/>
    <x v="8"/>
    <x v="16"/>
    <s v="SE4_EL"/>
    <x v="0"/>
    <x v="0"/>
    <x v="4"/>
    <x v="1"/>
    <n v="120.577024862839"/>
    <n v="7335.10234582269"/>
    <n v="26406.368444961699"/>
  </r>
  <r>
    <x v="0"/>
    <x v="0"/>
    <x v="0"/>
    <x v="8"/>
    <x v="16"/>
    <s v="SE4_EL"/>
    <x v="0"/>
    <x v="0"/>
    <x v="4"/>
    <x v="2"/>
    <n v="123.93194076003201"/>
    <n v="7539.1930629019598"/>
    <n v="27141.095026447001"/>
  </r>
  <r>
    <x v="0"/>
    <x v="0"/>
    <x v="0"/>
    <x v="8"/>
    <x v="16"/>
    <s v="SE4_EL"/>
    <x v="0"/>
    <x v="0"/>
    <x v="4"/>
    <x v="3"/>
    <n v="132.657536449086"/>
    <n v="8070.0001339860601"/>
    <n v="29052.000482349798"/>
  </r>
  <r>
    <x v="0"/>
    <x v="0"/>
    <x v="0"/>
    <x v="8"/>
    <x v="16"/>
    <s v="SE4_EL"/>
    <x v="0"/>
    <x v="0"/>
    <x v="4"/>
    <x v="4"/>
    <n v="146.860699505566"/>
    <n v="8934.0258865886008"/>
    <n v="32162.493191718899"/>
  </r>
  <r>
    <x v="0"/>
    <x v="0"/>
    <x v="0"/>
    <x v="8"/>
    <x v="16"/>
    <s v="SE4_EL"/>
    <x v="0"/>
    <x v="0"/>
    <x v="4"/>
    <x v="5"/>
    <n v="162.32387834502501"/>
    <n v="9874.7025993223597"/>
    <n v="35548.929357560497"/>
  </r>
  <r>
    <x v="0"/>
    <x v="0"/>
    <x v="0"/>
    <x v="8"/>
    <x v="16"/>
    <s v="SE4_EL"/>
    <x v="0"/>
    <x v="0"/>
    <x v="4"/>
    <x v="6"/>
    <n v="191.808812157907"/>
    <n v="11668.369406272701"/>
    <n v="42006.1298625817"/>
  </r>
  <r>
    <x v="0"/>
    <x v="0"/>
    <x v="0"/>
    <x v="8"/>
    <x v="16"/>
    <s v="SE4_EL"/>
    <x v="0"/>
    <x v="0"/>
    <x v="4"/>
    <x v="7"/>
    <n v="209.08813842029099"/>
    <n v="12719.5284205677"/>
    <n v="45790.302314043802"/>
  </r>
  <r>
    <x v="0"/>
    <x v="0"/>
    <x v="0"/>
    <x v="8"/>
    <x v="16"/>
    <s v="SE4_EL"/>
    <x v="0"/>
    <x v="0"/>
    <x v="4"/>
    <x v="8"/>
    <n v="209.68522334754499"/>
    <n v="12755.851086975699"/>
    <n v="45921.063913112303"/>
  </r>
  <r>
    <x v="0"/>
    <x v="0"/>
    <x v="0"/>
    <x v="8"/>
    <x v="16"/>
    <s v="SE4_EL"/>
    <x v="0"/>
    <x v="0"/>
    <x v="4"/>
    <x v="9"/>
    <n v="198.66298735071601"/>
    <n v="12085.331730501901"/>
    <n v="43507.194229806802"/>
  </r>
  <r>
    <x v="0"/>
    <x v="0"/>
    <x v="0"/>
    <x v="8"/>
    <x v="16"/>
    <s v="SE4_EL"/>
    <x v="0"/>
    <x v="0"/>
    <x v="4"/>
    <x v="10"/>
    <n v="180.93524421901901"/>
    <n v="11006.894023323701"/>
    <n v="39624.8184839651"/>
  </r>
  <r>
    <x v="0"/>
    <x v="0"/>
    <x v="0"/>
    <x v="8"/>
    <x v="16"/>
    <s v="SE4_EL"/>
    <x v="0"/>
    <x v="0"/>
    <x v="4"/>
    <x v="11"/>
    <n v="165.23570242244699"/>
    <n v="10051.838564032199"/>
    <n v="36186.618830515901"/>
  </r>
  <r>
    <x v="0"/>
    <x v="0"/>
    <x v="0"/>
    <x v="8"/>
    <x v="16"/>
    <s v="SE4_EL"/>
    <x v="0"/>
    <x v="0"/>
    <x v="5"/>
    <x v="0"/>
    <n v="171.477697764677"/>
    <n v="10431.559947351199"/>
    <n v="37553.615810464296"/>
  </r>
  <r>
    <x v="0"/>
    <x v="0"/>
    <x v="0"/>
    <x v="8"/>
    <x v="16"/>
    <s v="SE4_EL"/>
    <x v="0"/>
    <x v="0"/>
    <x v="5"/>
    <x v="1"/>
    <n v="173.43334000561299"/>
    <n v="10550.5281836748"/>
    <n v="37981.901461229201"/>
  </r>
  <r>
    <x v="0"/>
    <x v="0"/>
    <x v="0"/>
    <x v="8"/>
    <x v="16"/>
    <s v="SE4_EL"/>
    <x v="0"/>
    <x v="0"/>
    <x v="5"/>
    <x v="2"/>
    <n v="177.99262367400601"/>
    <n v="10827.8846068354"/>
    <n v="38980.384584607396"/>
  </r>
  <r>
    <x v="0"/>
    <x v="0"/>
    <x v="0"/>
    <x v="8"/>
    <x v="16"/>
    <s v="SE4_EL"/>
    <x v="0"/>
    <x v="0"/>
    <x v="5"/>
    <x v="3"/>
    <n v="188.218185835312"/>
    <n v="11449.9396383148"/>
    <n v="41219.782697933297"/>
  </r>
  <r>
    <x v="0"/>
    <x v="0"/>
    <x v="0"/>
    <x v="8"/>
    <x v="16"/>
    <s v="SE4_EL"/>
    <x v="0"/>
    <x v="0"/>
    <x v="5"/>
    <x v="4"/>
    <n v="202.87396872601801"/>
    <n v="12341.499764166099"/>
    <n v="44429.399150997902"/>
  </r>
  <r>
    <x v="0"/>
    <x v="0"/>
    <x v="0"/>
    <x v="8"/>
    <x v="16"/>
    <s v="SE4_EL"/>
    <x v="0"/>
    <x v="0"/>
    <x v="5"/>
    <x v="5"/>
    <n v="220.75700794564"/>
    <n v="13429.384650026501"/>
    <n v="48345.784740095201"/>
  </r>
  <r>
    <x v="0"/>
    <x v="0"/>
    <x v="0"/>
    <x v="8"/>
    <x v="16"/>
    <s v="SE4_EL"/>
    <x v="0"/>
    <x v="0"/>
    <x v="5"/>
    <x v="6"/>
    <n v="257.065406150466"/>
    <n v="15638.14554082"/>
    <n v="56297.3239469521"/>
  </r>
  <r>
    <x v="0"/>
    <x v="0"/>
    <x v="0"/>
    <x v="8"/>
    <x v="16"/>
    <s v="SE4_EL"/>
    <x v="0"/>
    <x v="0"/>
    <x v="5"/>
    <x v="7"/>
    <n v="278.81563883791699"/>
    <n v="16961.2846959733"/>
    <n v="61060.624905503799"/>
  </r>
  <r>
    <x v="0"/>
    <x v="0"/>
    <x v="0"/>
    <x v="8"/>
    <x v="16"/>
    <s v="SE4_EL"/>
    <x v="0"/>
    <x v="0"/>
    <x v="5"/>
    <x v="8"/>
    <n v="280.94616127991299"/>
    <n v="17090.891477861402"/>
    <n v="61527.209320300899"/>
  </r>
  <r>
    <x v="0"/>
    <x v="0"/>
    <x v="0"/>
    <x v="8"/>
    <x v="16"/>
    <s v="SE4_EL"/>
    <x v="0"/>
    <x v="0"/>
    <x v="5"/>
    <x v="9"/>
    <n v="277.57001283238498"/>
    <n v="16885.5091139701"/>
    <n v="60787.832810292297"/>
  </r>
  <r>
    <x v="0"/>
    <x v="0"/>
    <x v="0"/>
    <x v="8"/>
    <x v="16"/>
    <s v="SE4_EL"/>
    <x v="0"/>
    <x v="0"/>
    <x v="5"/>
    <x v="10"/>
    <n v="260.79949846818602"/>
    <n v="15865.302823481299"/>
    <n v="57115.090164532798"/>
  </r>
  <r>
    <x v="0"/>
    <x v="0"/>
    <x v="0"/>
    <x v="8"/>
    <x v="16"/>
    <s v="SE4_EL"/>
    <x v="0"/>
    <x v="0"/>
    <x v="5"/>
    <x v="11"/>
    <n v="239.38044514729299"/>
    <n v="14562.310413126999"/>
    <n v="52424.317487257103"/>
  </r>
  <r>
    <x v="0"/>
    <x v="0"/>
    <x v="0"/>
    <x v="8"/>
    <x v="16"/>
    <s v="SE4_EL"/>
    <x v="0"/>
    <x v="0"/>
    <x v="6"/>
    <x v="0"/>
    <n v="125.935553667601"/>
    <n v="7661.0795147790504"/>
    <n v="27579.886253204601"/>
  </r>
  <r>
    <x v="0"/>
    <x v="0"/>
    <x v="0"/>
    <x v="8"/>
    <x v="16"/>
    <s v="SE4_EL"/>
    <x v="0"/>
    <x v="0"/>
    <x v="6"/>
    <x v="1"/>
    <n v="127.96322176389999"/>
    <n v="7784.4293239705703"/>
    <n v="28023.9455662941"/>
  </r>
  <r>
    <x v="0"/>
    <x v="0"/>
    <x v="0"/>
    <x v="8"/>
    <x v="16"/>
    <s v="SE4_EL"/>
    <x v="0"/>
    <x v="0"/>
    <x v="6"/>
    <x v="2"/>
    <n v="132.866303948248"/>
    <n v="8082.7001568517398"/>
    <n v="29097.720564666299"/>
  </r>
  <r>
    <x v="0"/>
    <x v="0"/>
    <x v="0"/>
    <x v="8"/>
    <x v="16"/>
    <s v="SE4_EL"/>
    <x v="0"/>
    <x v="0"/>
    <x v="6"/>
    <x v="3"/>
    <n v="141.077517973646"/>
    <n v="8582.2156767301403"/>
    <n v="30895.976436228499"/>
  </r>
  <r>
    <x v="0"/>
    <x v="0"/>
    <x v="0"/>
    <x v="8"/>
    <x v="16"/>
    <s v="SE4_EL"/>
    <x v="0"/>
    <x v="0"/>
    <x v="6"/>
    <x v="4"/>
    <n v="153.07958155847001"/>
    <n v="9312.3412114736002"/>
    <n v="33524.428361304897"/>
  </r>
  <r>
    <x v="0"/>
    <x v="0"/>
    <x v="0"/>
    <x v="8"/>
    <x v="16"/>
    <s v="SE4_EL"/>
    <x v="0"/>
    <x v="0"/>
    <x v="6"/>
    <x v="5"/>
    <n v="160.08044212318501"/>
    <n v="9738.2268958270906"/>
    <n v="35057.6168249775"/>
  </r>
  <r>
    <x v="0"/>
    <x v="0"/>
    <x v="0"/>
    <x v="8"/>
    <x v="16"/>
    <s v="SE4_EL"/>
    <x v="0"/>
    <x v="0"/>
    <x v="6"/>
    <x v="6"/>
    <n v="189.04375339026001"/>
    <n v="11500.1616645742"/>
    <n v="41400.581992467101"/>
  </r>
  <r>
    <x v="0"/>
    <x v="0"/>
    <x v="0"/>
    <x v="8"/>
    <x v="16"/>
    <s v="SE4_EL"/>
    <x v="0"/>
    <x v="0"/>
    <x v="6"/>
    <x v="7"/>
    <n v="208.13927492359301"/>
    <n v="12661.8058911853"/>
    <n v="45582.501208266898"/>
  </r>
  <r>
    <x v="0"/>
    <x v="0"/>
    <x v="0"/>
    <x v="8"/>
    <x v="16"/>
    <s v="SE4_EL"/>
    <x v="0"/>
    <x v="0"/>
    <x v="6"/>
    <x v="8"/>
    <n v="211.15466155747899"/>
    <n v="12845.241911413301"/>
    <n v="46242.870881087903"/>
  </r>
  <r>
    <x v="0"/>
    <x v="0"/>
    <x v="0"/>
    <x v="8"/>
    <x v="16"/>
    <s v="SE4_EL"/>
    <x v="0"/>
    <x v="0"/>
    <x v="6"/>
    <x v="9"/>
    <n v="208.12756718065299"/>
    <n v="12661.093670156401"/>
    <n v="45579.937212563098"/>
  </r>
  <r>
    <x v="0"/>
    <x v="0"/>
    <x v="0"/>
    <x v="8"/>
    <x v="16"/>
    <s v="SE4_EL"/>
    <x v="0"/>
    <x v="0"/>
    <x v="6"/>
    <x v="10"/>
    <n v="198.52955002140001"/>
    <n v="12077.2142929685"/>
    <n v="43477.9714546865"/>
  </r>
  <r>
    <x v="0"/>
    <x v="0"/>
    <x v="0"/>
    <x v="8"/>
    <x v="16"/>
    <s v="SE4_EL"/>
    <x v="0"/>
    <x v="0"/>
    <x v="6"/>
    <x v="11"/>
    <n v="186.60607520727399"/>
    <n v="11351.8695751092"/>
    <n v="40866.730470392999"/>
  </r>
  <r>
    <x v="0"/>
    <x v="0"/>
    <x v="0"/>
    <x v="8"/>
    <x v="16"/>
    <s v="SE4_EL"/>
    <x v="0"/>
    <x v="0"/>
    <x v="7"/>
    <x v="0"/>
    <n v="101.563599577053"/>
    <n v="6178.4523076040696"/>
    <n v="22242.428307374601"/>
  </r>
  <r>
    <x v="0"/>
    <x v="0"/>
    <x v="0"/>
    <x v="8"/>
    <x v="16"/>
    <s v="SE4_EL"/>
    <x v="0"/>
    <x v="0"/>
    <x v="7"/>
    <x v="1"/>
    <n v="101.86251745892601"/>
    <n v="6196.6364787513103"/>
    <n v="22307.8913235047"/>
  </r>
  <r>
    <x v="0"/>
    <x v="0"/>
    <x v="0"/>
    <x v="8"/>
    <x v="16"/>
    <s v="SE4_EL"/>
    <x v="0"/>
    <x v="0"/>
    <x v="7"/>
    <x v="2"/>
    <n v="102.03853897266799"/>
    <n v="6207.3444541706704"/>
    <n v="22346.440035014399"/>
  </r>
  <r>
    <x v="0"/>
    <x v="0"/>
    <x v="0"/>
    <x v="8"/>
    <x v="16"/>
    <s v="SE4_EL"/>
    <x v="0"/>
    <x v="0"/>
    <x v="7"/>
    <x v="3"/>
    <n v="105.072970616048"/>
    <n v="6391.9390458096004"/>
    <n v="23010.9805649146"/>
  </r>
  <r>
    <x v="0"/>
    <x v="0"/>
    <x v="0"/>
    <x v="8"/>
    <x v="16"/>
    <s v="SE4_EL"/>
    <x v="0"/>
    <x v="0"/>
    <x v="7"/>
    <x v="4"/>
    <n v="110.5694774776"/>
    <n v="6726.3098798873398"/>
    <n v="24214.715567594401"/>
  </r>
  <r>
    <x v="0"/>
    <x v="0"/>
    <x v="0"/>
    <x v="8"/>
    <x v="16"/>
    <s v="SE4_EL"/>
    <x v="0"/>
    <x v="0"/>
    <x v="7"/>
    <x v="5"/>
    <n v="123.38862524314"/>
    <n v="7506.1413689576802"/>
    <n v="27022.108928247701"/>
  </r>
  <r>
    <x v="0"/>
    <x v="0"/>
    <x v="0"/>
    <x v="8"/>
    <x v="16"/>
    <s v="SE4_EL"/>
    <x v="0"/>
    <x v="0"/>
    <x v="7"/>
    <x v="6"/>
    <n v="146.76595882061901"/>
    <n v="8928.2624949209603"/>
    <n v="32141.744981715499"/>
  </r>
  <r>
    <x v="0"/>
    <x v="0"/>
    <x v="0"/>
    <x v="8"/>
    <x v="16"/>
    <s v="SE4_EL"/>
    <x v="0"/>
    <x v="0"/>
    <x v="7"/>
    <x v="7"/>
    <n v="158.539990013834"/>
    <n v="9644.51605917493"/>
    <n v="34720.257813029799"/>
  </r>
  <r>
    <x v="0"/>
    <x v="0"/>
    <x v="0"/>
    <x v="8"/>
    <x v="16"/>
    <s v="SE4_EL"/>
    <x v="0"/>
    <x v="0"/>
    <x v="7"/>
    <x v="8"/>
    <n v="157.66941182311101"/>
    <n v="9591.5558859059402"/>
    <n v="34529.601189261397"/>
  </r>
  <r>
    <x v="0"/>
    <x v="0"/>
    <x v="0"/>
    <x v="8"/>
    <x v="16"/>
    <s v="SE4_EL"/>
    <x v="0"/>
    <x v="0"/>
    <x v="7"/>
    <x v="9"/>
    <n v="151.61668460295601"/>
    <n v="9223.3483133464797"/>
    <n v="33204.053928047302"/>
  </r>
  <r>
    <x v="0"/>
    <x v="0"/>
    <x v="0"/>
    <x v="8"/>
    <x v="16"/>
    <s v="SE4_EL"/>
    <x v="0"/>
    <x v="0"/>
    <x v="7"/>
    <x v="10"/>
    <n v="144.31745234335099"/>
    <n v="8779.3116842205309"/>
    <n v="31605.522063193901"/>
  </r>
  <r>
    <x v="0"/>
    <x v="0"/>
    <x v="0"/>
    <x v="8"/>
    <x v="16"/>
    <s v="SE4_EL"/>
    <x v="0"/>
    <x v="0"/>
    <x v="7"/>
    <x v="11"/>
    <n v="136.68399542894201"/>
    <n v="8314.94305526065"/>
    <n v="29933.794998938301"/>
  </r>
  <r>
    <x v="0"/>
    <x v="0"/>
    <x v="0"/>
    <x v="8"/>
    <x v="16"/>
    <s v="SE4_EL"/>
    <x v="0"/>
    <x v="0"/>
    <x v="8"/>
    <x v="0"/>
    <n v="109.91901659759"/>
    <n v="6686.7401763533799"/>
    <n v="24072.264634872201"/>
  </r>
  <r>
    <x v="0"/>
    <x v="0"/>
    <x v="0"/>
    <x v="8"/>
    <x v="16"/>
    <s v="SE4_EL"/>
    <x v="0"/>
    <x v="0"/>
    <x v="8"/>
    <x v="1"/>
    <n v="109.997118206411"/>
    <n v="6691.4913575566497"/>
    <n v="24089.368887203898"/>
  </r>
  <r>
    <x v="0"/>
    <x v="0"/>
    <x v="0"/>
    <x v="8"/>
    <x v="16"/>
    <s v="SE4_EL"/>
    <x v="0"/>
    <x v="0"/>
    <x v="8"/>
    <x v="2"/>
    <n v="111.05244950633499"/>
    <n v="6755.6906783020504"/>
    <n v="24320.486441887399"/>
  </r>
  <r>
    <x v="0"/>
    <x v="0"/>
    <x v="0"/>
    <x v="8"/>
    <x v="16"/>
    <s v="SE4_EL"/>
    <x v="0"/>
    <x v="0"/>
    <x v="8"/>
    <x v="3"/>
    <n v="112.75839763352499"/>
    <n v="6859.4691893727904"/>
    <n v="24694.089081742"/>
  </r>
  <r>
    <x v="0"/>
    <x v="0"/>
    <x v="0"/>
    <x v="8"/>
    <x v="16"/>
    <s v="SE4_EL"/>
    <x v="0"/>
    <x v="0"/>
    <x v="8"/>
    <x v="4"/>
    <n v="117.161888332087"/>
    <n v="7127.3482068686199"/>
    <n v="25658.453544726999"/>
  </r>
  <r>
    <x v="0"/>
    <x v="0"/>
    <x v="0"/>
    <x v="8"/>
    <x v="16"/>
    <s v="SE4_EL"/>
    <x v="0"/>
    <x v="0"/>
    <x v="8"/>
    <x v="5"/>
    <n v="126.56556925506401"/>
    <n v="7699.4054630164101"/>
    <n v="27717.859666859102"/>
  </r>
  <r>
    <x v="0"/>
    <x v="0"/>
    <x v="0"/>
    <x v="8"/>
    <x v="16"/>
    <s v="SE4_EL"/>
    <x v="0"/>
    <x v="0"/>
    <x v="8"/>
    <x v="6"/>
    <n v="150.17818591864801"/>
    <n v="9135.83964338445"/>
    <n v="32889.022716184001"/>
  </r>
  <r>
    <x v="0"/>
    <x v="0"/>
    <x v="0"/>
    <x v="8"/>
    <x v="16"/>
    <s v="SE4_EL"/>
    <x v="0"/>
    <x v="0"/>
    <x v="8"/>
    <x v="7"/>
    <n v="158.409458242055"/>
    <n v="9636.5753763917"/>
    <n v="34691.671355010098"/>
  </r>
  <r>
    <x v="0"/>
    <x v="0"/>
    <x v="0"/>
    <x v="8"/>
    <x v="16"/>
    <s v="SE4_EL"/>
    <x v="0"/>
    <x v="0"/>
    <x v="8"/>
    <x v="8"/>
    <n v="153.74555388463699"/>
    <n v="9352.8545279820992"/>
    <n v="33670.276300735597"/>
  </r>
  <r>
    <x v="0"/>
    <x v="0"/>
    <x v="0"/>
    <x v="8"/>
    <x v="16"/>
    <s v="SE4_EL"/>
    <x v="0"/>
    <x v="0"/>
    <x v="8"/>
    <x v="9"/>
    <n v="145.066982281826"/>
    <n v="8824.9080888110802"/>
    <n v="31769.6691197199"/>
  </r>
  <r>
    <x v="0"/>
    <x v="0"/>
    <x v="0"/>
    <x v="8"/>
    <x v="16"/>
    <s v="SE4_EL"/>
    <x v="0"/>
    <x v="0"/>
    <x v="8"/>
    <x v="10"/>
    <n v="136.77332934746099"/>
    <n v="8320.3775353038709"/>
    <n v="29953.3591270939"/>
  </r>
  <r>
    <x v="0"/>
    <x v="0"/>
    <x v="0"/>
    <x v="8"/>
    <x v="16"/>
    <s v="SE4_EL"/>
    <x v="0"/>
    <x v="0"/>
    <x v="8"/>
    <x v="11"/>
    <n v="130.46624230658799"/>
    <n v="7936.6964069841197"/>
    <n v="28572.107065142802"/>
  </r>
  <r>
    <x v="0"/>
    <x v="0"/>
    <x v="0"/>
    <x v="8"/>
    <x v="16"/>
    <s v="SE4_EL"/>
    <x v="0"/>
    <x v="0"/>
    <x v="9"/>
    <x v="0"/>
    <n v="108.06450080453099"/>
    <n v="6573.92379894229"/>
    <n v="23666.125676192201"/>
  </r>
  <r>
    <x v="0"/>
    <x v="0"/>
    <x v="0"/>
    <x v="8"/>
    <x v="16"/>
    <s v="SE4_EL"/>
    <x v="0"/>
    <x v="0"/>
    <x v="9"/>
    <x v="1"/>
    <n v="109.922038132824"/>
    <n v="6686.9239864134697"/>
    <n v="24072.926351088499"/>
  </r>
  <r>
    <x v="0"/>
    <x v="0"/>
    <x v="0"/>
    <x v="8"/>
    <x v="16"/>
    <s v="SE4_EL"/>
    <x v="0"/>
    <x v="0"/>
    <x v="9"/>
    <x v="2"/>
    <n v="112.67411917614"/>
    <n v="6854.34224988186"/>
    <n v="24675.632099574701"/>
  </r>
  <r>
    <x v="0"/>
    <x v="0"/>
    <x v="0"/>
    <x v="8"/>
    <x v="16"/>
    <s v="SE4_EL"/>
    <x v="0"/>
    <x v="0"/>
    <x v="9"/>
    <x v="3"/>
    <n v="116.3685962225"/>
    <n v="7079.0896035354099"/>
    <n v="25484.7225727275"/>
  </r>
  <r>
    <x v="0"/>
    <x v="0"/>
    <x v="0"/>
    <x v="8"/>
    <x v="16"/>
    <s v="SE4_EL"/>
    <x v="0"/>
    <x v="0"/>
    <x v="9"/>
    <x v="4"/>
    <n v="122.31246594930001"/>
    <n v="7440.6750119157796"/>
    <n v="26786.430042896802"/>
  </r>
  <r>
    <x v="0"/>
    <x v="0"/>
    <x v="0"/>
    <x v="8"/>
    <x v="16"/>
    <s v="SE4_EL"/>
    <x v="0"/>
    <x v="0"/>
    <x v="9"/>
    <x v="5"/>
    <n v="131.908888018033"/>
    <n v="8024.4573544303603"/>
    <n v="28888.046475949301"/>
  </r>
  <r>
    <x v="0"/>
    <x v="0"/>
    <x v="0"/>
    <x v="8"/>
    <x v="16"/>
    <s v="SE4_EL"/>
    <x v="0"/>
    <x v="0"/>
    <x v="9"/>
    <x v="6"/>
    <n v="154.93143054437701"/>
    <n v="9424.9953581162808"/>
    <n v="33929.983289218602"/>
  </r>
  <r>
    <x v="0"/>
    <x v="0"/>
    <x v="0"/>
    <x v="8"/>
    <x v="16"/>
    <s v="SE4_EL"/>
    <x v="0"/>
    <x v="0"/>
    <x v="9"/>
    <x v="7"/>
    <n v="162.79365094846"/>
    <n v="9903.2804326979694"/>
    <n v="35651.809557712702"/>
  </r>
  <r>
    <x v="0"/>
    <x v="0"/>
    <x v="0"/>
    <x v="8"/>
    <x v="16"/>
    <s v="SE4_EL"/>
    <x v="0"/>
    <x v="0"/>
    <x v="9"/>
    <x v="8"/>
    <n v="158.60551913972901"/>
    <n v="9648.5024143334904"/>
    <n v="34734.608691600602"/>
  </r>
  <r>
    <x v="0"/>
    <x v="0"/>
    <x v="0"/>
    <x v="8"/>
    <x v="16"/>
    <s v="SE4_EL"/>
    <x v="0"/>
    <x v="0"/>
    <x v="9"/>
    <x v="9"/>
    <n v="148.80855129327401"/>
    <n v="9052.5202036741503"/>
    <n v="32589.072733227"/>
  </r>
  <r>
    <x v="0"/>
    <x v="0"/>
    <x v="0"/>
    <x v="8"/>
    <x v="16"/>
    <s v="SE4_EL"/>
    <x v="0"/>
    <x v="0"/>
    <x v="9"/>
    <x v="10"/>
    <n v="138.42783022385899"/>
    <n v="8421.0263386180995"/>
    <n v="30315.694819025099"/>
  </r>
  <r>
    <x v="0"/>
    <x v="0"/>
    <x v="0"/>
    <x v="8"/>
    <x v="16"/>
    <s v="SE4_EL"/>
    <x v="0"/>
    <x v="0"/>
    <x v="9"/>
    <x v="11"/>
    <n v="130.40727967898599"/>
    <n v="7933.1095138049805"/>
    <n v="28559.194249697899"/>
  </r>
  <r>
    <x v="0"/>
    <x v="0"/>
    <x v="0"/>
    <x v="8"/>
    <x v="16"/>
    <s v="SE4_EL"/>
    <x v="0"/>
    <x v="0"/>
    <x v="10"/>
    <x v="0"/>
    <n v="62.265799771587602"/>
    <n v="3787.8361527715801"/>
    <n v="13636.2101499777"/>
  </r>
  <r>
    <x v="0"/>
    <x v="0"/>
    <x v="0"/>
    <x v="8"/>
    <x v="16"/>
    <s v="SE4_EL"/>
    <x v="0"/>
    <x v="0"/>
    <x v="10"/>
    <x v="1"/>
    <n v="63.6241267608047"/>
    <n v="3870.4677112822801"/>
    <n v="13933.683760616201"/>
  </r>
  <r>
    <x v="0"/>
    <x v="0"/>
    <x v="0"/>
    <x v="8"/>
    <x v="16"/>
    <s v="SE4_EL"/>
    <x v="0"/>
    <x v="0"/>
    <x v="10"/>
    <x v="2"/>
    <n v="63.840273737208797"/>
    <n v="3883.6166523468701"/>
    <n v="13981.0199484487"/>
  </r>
  <r>
    <x v="0"/>
    <x v="0"/>
    <x v="0"/>
    <x v="8"/>
    <x v="16"/>
    <s v="SE4_EL"/>
    <x v="0"/>
    <x v="0"/>
    <x v="10"/>
    <x v="3"/>
    <n v="67.590599584523503"/>
    <n v="4111.7614747251801"/>
    <n v="14802.341309010601"/>
  </r>
  <r>
    <x v="0"/>
    <x v="0"/>
    <x v="0"/>
    <x v="8"/>
    <x v="16"/>
    <s v="SE4_EL"/>
    <x v="0"/>
    <x v="0"/>
    <x v="10"/>
    <x v="4"/>
    <n v="71.207976935312203"/>
    <n v="4331.8185968981597"/>
    <n v="15594.5469488334"/>
  </r>
  <r>
    <x v="0"/>
    <x v="0"/>
    <x v="0"/>
    <x v="8"/>
    <x v="16"/>
    <s v="SE4_EL"/>
    <x v="0"/>
    <x v="0"/>
    <x v="10"/>
    <x v="5"/>
    <n v="80.434430446922406"/>
    <n v="4893.0945188544501"/>
    <n v="17615.140267875999"/>
  </r>
  <r>
    <x v="0"/>
    <x v="0"/>
    <x v="0"/>
    <x v="8"/>
    <x v="16"/>
    <s v="SE4_EL"/>
    <x v="0"/>
    <x v="0"/>
    <x v="10"/>
    <x v="6"/>
    <n v="98.220125637615098"/>
    <n v="5975.0576429549201"/>
    <n v="21510.207514637699"/>
  </r>
  <r>
    <x v="0"/>
    <x v="0"/>
    <x v="0"/>
    <x v="8"/>
    <x v="16"/>
    <s v="SE4_EL"/>
    <x v="0"/>
    <x v="0"/>
    <x v="10"/>
    <x v="7"/>
    <n v="101.64554662949"/>
    <n v="6183.43741996066"/>
    <n v="22260.3747118584"/>
  </r>
  <r>
    <x v="0"/>
    <x v="0"/>
    <x v="0"/>
    <x v="8"/>
    <x v="16"/>
    <s v="SE4_EL"/>
    <x v="0"/>
    <x v="0"/>
    <x v="10"/>
    <x v="8"/>
    <n v="90.815083525984093"/>
    <n v="5524.5842478307004"/>
    <n v="19888.5032921905"/>
  </r>
  <r>
    <x v="0"/>
    <x v="0"/>
    <x v="0"/>
    <x v="8"/>
    <x v="16"/>
    <s v="SE4_EL"/>
    <x v="0"/>
    <x v="0"/>
    <x v="10"/>
    <x v="9"/>
    <n v="78.316783056956496"/>
    <n v="4764.2709692981898"/>
    <n v="17151.375489473499"/>
  </r>
  <r>
    <x v="0"/>
    <x v="0"/>
    <x v="0"/>
    <x v="8"/>
    <x v="16"/>
    <s v="SE4_EL"/>
    <x v="0"/>
    <x v="0"/>
    <x v="10"/>
    <x v="10"/>
    <n v="66.054586418272507"/>
    <n v="4018.3206737782498"/>
    <n v="14465.9544256017"/>
  </r>
  <r>
    <x v="0"/>
    <x v="0"/>
    <x v="0"/>
    <x v="8"/>
    <x v="16"/>
    <s v="SE4_EL"/>
    <x v="0"/>
    <x v="0"/>
    <x v="10"/>
    <x v="11"/>
    <n v="57.072834763439303"/>
    <n v="3471.9307814425601"/>
    <n v="12498.9508131932"/>
  </r>
  <r>
    <x v="0"/>
    <x v="0"/>
    <x v="0"/>
    <x v="8"/>
    <x v="16"/>
    <s v="SE4_EL"/>
    <x v="0"/>
    <x v="0"/>
    <x v="11"/>
    <x v="0"/>
    <n v="65.209600595123703"/>
    <n v="3966.9173695366899"/>
    <n v="14280.9025303321"/>
  </r>
  <r>
    <x v="0"/>
    <x v="0"/>
    <x v="0"/>
    <x v="8"/>
    <x v="16"/>
    <s v="SE4_EL"/>
    <x v="0"/>
    <x v="0"/>
    <x v="11"/>
    <x v="1"/>
    <n v="65.3246938034858"/>
    <n v="3973.9188730453802"/>
    <n v="14306.107942963399"/>
  </r>
  <r>
    <x v="0"/>
    <x v="0"/>
    <x v="0"/>
    <x v="8"/>
    <x v="16"/>
    <s v="SE4_EL"/>
    <x v="0"/>
    <x v="0"/>
    <x v="11"/>
    <x v="2"/>
    <n v="64.288276974701802"/>
    <n v="3910.8701826276902"/>
    <n v="14079.132657459701"/>
  </r>
  <r>
    <x v="0"/>
    <x v="0"/>
    <x v="0"/>
    <x v="8"/>
    <x v="16"/>
    <s v="SE4_EL"/>
    <x v="0"/>
    <x v="0"/>
    <x v="11"/>
    <x v="3"/>
    <n v="66.993744050674096"/>
    <n v="4075.4527630826801"/>
    <n v="14671.629947097599"/>
  </r>
  <r>
    <x v="0"/>
    <x v="0"/>
    <x v="0"/>
    <x v="8"/>
    <x v="16"/>
    <s v="SE4_EL"/>
    <x v="0"/>
    <x v="0"/>
    <x v="11"/>
    <x v="4"/>
    <n v="70.5928779743777"/>
    <n v="4294.4000767746402"/>
    <n v="15459.840276388701"/>
  </r>
  <r>
    <x v="0"/>
    <x v="0"/>
    <x v="0"/>
    <x v="8"/>
    <x v="16"/>
    <s v="SE4_EL"/>
    <x v="0"/>
    <x v="0"/>
    <x v="11"/>
    <x v="5"/>
    <n v="80.017738105940694"/>
    <n v="4867.7457347780601"/>
    <n v="17523.884645201"/>
  </r>
  <r>
    <x v="0"/>
    <x v="0"/>
    <x v="0"/>
    <x v="8"/>
    <x v="16"/>
    <s v="SE4_EL"/>
    <x v="0"/>
    <x v="0"/>
    <x v="11"/>
    <x v="6"/>
    <n v="97.632722105274894"/>
    <n v="5939.3239280708904"/>
    <n v="21381.566141055198"/>
  </r>
  <r>
    <x v="0"/>
    <x v="0"/>
    <x v="0"/>
    <x v="8"/>
    <x v="16"/>
    <s v="SE4_EL"/>
    <x v="0"/>
    <x v="0"/>
    <x v="11"/>
    <x v="7"/>
    <n v="102.413994944447"/>
    <n v="6230.1846924538304"/>
    <n v="22428.6648928338"/>
  </r>
  <r>
    <x v="0"/>
    <x v="0"/>
    <x v="0"/>
    <x v="8"/>
    <x v="16"/>
    <s v="SE4_EL"/>
    <x v="0"/>
    <x v="0"/>
    <x v="11"/>
    <x v="8"/>
    <n v="98.226390922915499"/>
    <n v="5975.4387811440301"/>
    <n v="21511.579612118501"/>
  </r>
  <r>
    <x v="0"/>
    <x v="0"/>
    <x v="0"/>
    <x v="8"/>
    <x v="16"/>
    <s v="SE4_EL"/>
    <x v="0"/>
    <x v="0"/>
    <x v="11"/>
    <x v="9"/>
    <n v="99.961163278530705"/>
    <n v="6080.9707661106204"/>
    <n v="21891.4947579982"/>
  </r>
  <r>
    <x v="0"/>
    <x v="0"/>
    <x v="0"/>
    <x v="8"/>
    <x v="16"/>
    <s v="SE4_EL"/>
    <x v="0"/>
    <x v="0"/>
    <x v="11"/>
    <x v="10"/>
    <n v="98.654167922731602"/>
    <n v="6001.46188196617"/>
    <n v="21605.262775078201"/>
  </r>
  <r>
    <x v="0"/>
    <x v="0"/>
    <x v="0"/>
    <x v="8"/>
    <x v="16"/>
    <s v="SE4_EL"/>
    <x v="0"/>
    <x v="0"/>
    <x v="11"/>
    <x v="11"/>
    <n v="95.763004594387397"/>
    <n v="5825.5827794918996"/>
    <n v="20972.0980061708"/>
  </r>
  <r>
    <x v="0"/>
    <x v="0"/>
    <x v="0"/>
    <x v="8"/>
    <x v="16"/>
    <s v="SE4_HP"/>
    <x v="0"/>
    <x v="0"/>
    <x v="0"/>
    <x v="0"/>
    <n v="78.245868229846195"/>
    <n v="4759.9569839823098"/>
    <n v="17135.8451423363"/>
  </r>
  <r>
    <x v="0"/>
    <x v="0"/>
    <x v="0"/>
    <x v="8"/>
    <x v="16"/>
    <s v="SE4_HP"/>
    <x v="0"/>
    <x v="0"/>
    <x v="0"/>
    <x v="1"/>
    <n v="76.979442064021498"/>
    <n v="4682.9160588946397"/>
    <n v="16858.497812020702"/>
  </r>
  <r>
    <x v="0"/>
    <x v="0"/>
    <x v="0"/>
    <x v="8"/>
    <x v="16"/>
    <s v="SE4_HP"/>
    <x v="0"/>
    <x v="0"/>
    <x v="0"/>
    <x v="2"/>
    <n v="74.293397886407703"/>
    <n v="4519.5150380898003"/>
    <n v="16270.2541371233"/>
  </r>
  <r>
    <x v="0"/>
    <x v="0"/>
    <x v="0"/>
    <x v="8"/>
    <x v="16"/>
    <s v="SE4_HP"/>
    <x v="0"/>
    <x v="0"/>
    <x v="0"/>
    <x v="3"/>
    <n v="73.574171681695503"/>
    <n v="4475.7621106364804"/>
    <n v="16112.743598291299"/>
  </r>
  <r>
    <x v="0"/>
    <x v="0"/>
    <x v="0"/>
    <x v="8"/>
    <x v="16"/>
    <s v="SE4_HP"/>
    <x v="0"/>
    <x v="0"/>
    <x v="0"/>
    <x v="4"/>
    <n v="75.043193519468801"/>
    <n v="4565.1276057676896"/>
    <n v="16434.459380763699"/>
  </r>
  <r>
    <x v="0"/>
    <x v="0"/>
    <x v="0"/>
    <x v="8"/>
    <x v="16"/>
    <s v="SE4_HP"/>
    <x v="0"/>
    <x v="0"/>
    <x v="0"/>
    <x v="5"/>
    <n v="85.807936920695894"/>
    <n v="5219.9828293423298"/>
    <n v="18791.9381856324"/>
  </r>
  <r>
    <x v="0"/>
    <x v="0"/>
    <x v="0"/>
    <x v="8"/>
    <x v="16"/>
    <s v="SE4_HP"/>
    <x v="0"/>
    <x v="0"/>
    <x v="0"/>
    <x v="6"/>
    <n v="104.973460318403"/>
    <n v="6385.8855027028303"/>
    <n v="22989.1878097302"/>
  </r>
  <r>
    <x v="0"/>
    <x v="0"/>
    <x v="0"/>
    <x v="8"/>
    <x v="16"/>
    <s v="SE4_HP"/>
    <x v="0"/>
    <x v="0"/>
    <x v="0"/>
    <x v="7"/>
    <n v="111.23620387147901"/>
    <n v="6766.8690688483302"/>
    <n v="24360.728647854001"/>
  </r>
  <r>
    <x v="0"/>
    <x v="0"/>
    <x v="0"/>
    <x v="8"/>
    <x v="16"/>
    <s v="SE4_HP"/>
    <x v="0"/>
    <x v="0"/>
    <x v="0"/>
    <x v="8"/>
    <n v="109.15951712320999"/>
    <n v="6640.5372916619699"/>
    <n v="23905.9342499831"/>
  </r>
  <r>
    <x v="0"/>
    <x v="0"/>
    <x v="0"/>
    <x v="8"/>
    <x v="16"/>
    <s v="SE4_HP"/>
    <x v="0"/>
    <x v="0"/>
    <x v="0"/>
    <x v="9"/>
    <n v="104.725962138046"/>
    <n v="6370.8293633978101"/>
    <n v="22934.9857082321"/>
  </r>
  <r>
    <x v="0"/>
    <x v="0"/>
    <x v="0"/>
    <x v="8"/>
    <x v="16"/>
    <s v="SE4_HP"/>
    <x v="0"/>
    <x v="0"/>
    <x v="0"/>
    <x v="10"/>
    <n v="106.14283435253"/>
    <n v="6457.0224231122502"/>
    <n v="23245.280723204101"/>
  </r>
  <r>
    <x v="0"/>
    <x v="0"/>
    <x v="0"/>
    <x v="8"/>
    <x v="16"/>
    <s v="SE4_HP"/>
    <x v="0"/>
    <x v="0"/>
    <x v="0"/>
    <x v="11"/>
    <n v="106.847489539544"/>
    <n v="6499.88894698894"/>
    <n v="23399.600209160199"/>
  </r>
  <r>
    <x v="0"/>
    <x v="0"/>
    <x v="0"/>
    <x v="8"/>
    <x v="16"/>
    <s v="SE4_HP"/>
    <x v="0"/>
    <x v="0"/>
    <x v="1"/>
    <x v="0"/>
    <n v="108.059462261627"/>
    <n v="6573.6172875822904"/>
    <n v="23665.022235296201"/>
  </r>
  <r>
    <x v="0"/>
    <x v="0"/>
    <x v="0"/>
    <x v="8"/>
    <x v="16"/>
    <s v="SE4_HP"/>
    <x v="0"/>
    <x v="0"/>
    <x v="1"/>
    <x v="1"/>
    <n v="107.343478488109"/>
    <n v="6530.06160802662"/>
    <n v="23508.2217888958"/>
  </r>
  <r>
    <x v="0"/>
    <x v="0"/>
    <x v="0"/>
    <x v="8"/>
    <x v="16"/>
    <s v="SE4_HP"/>
    <x v="0"/>
    <x v="0"/>
    <x v="1"/>
    <x v="2"/>
    <n v="106.863780869454"/>
    <n v="6500.8800028917904"/>
    <n v="23403.168010410402"/>
  </r>
  <r>
    <x v="0"/>
    <x v="0"/>
    <x v="0"/>
    <x v="8"/>
    <x v="16"/>
    <s v="SE4_HP"/>
    <x v="0"/>
    <x v="0"/>
    <x v="1"/>
    <x v="3"/>
    <n v="108.56391849639"/>
    <n v="6604.3050418637504"/>
    <n v="23775.4981507095"/>
  </r>
  <r>
    <x v="0"/>
    <x v="0"/>
    <x v="0"/>
    <x v="8"/>
    <x v="16"/>
    <s v="SE4_HP"/>
    <x v="0"/>
    <x v="0"/>
    <x v="1"/>
    <x v="4"/>
    <n v="112.59221746649"/>
    <n v="6849.3598958781104"/>
    <n v="24657.695625161199"/>
  </r>
  <r>
    <x v="0"/>
    <x v="0"/>
    <x v="0"/>
    <x v="8"/>
    <x v="16"/>
    <s v="SE4_HP"/>
    <x v="0"/>
    <x v="0"/>
    <x v="1"/>
    <x v="5"/>
    <n v="123.746622354651"/>
    <n v="7527.9195265745902"/>
    <n v="27100.5102956685"/>
  </r>
  <r>
    <x v="0"/>
    <x v="0"/>
    <x v="0"/>
    <x v="8"/>
    <x v="16"/>
    <s v="SE4_HP"/>
    <x v="0"/>
    <x v="0"/>
    <x v="1"/>
    <x v="6"/>
    <n v="147.272115568625"/>
    <n v="8959.0536970913308"/>
    <n v="32252.593309528798"/>
  </r>
  <r>
    <x v="0"/>
    <x v="0"/>
    <x v="0"/>
    <x v="8"/>
    <x v="16"/>
    <s v="SE4_HP"/>
    <x v="0"/>
    <x v="0"/>
    <x v="1"/>
    <x v="7"/>
    <n v="156.55979065390201"/>
    <n v="9524.0539314456892"/>
    <n v="34286.594153204504"/>
  </r>
  <r>
    <x v="0"/>
    <x v="0"/>
    <x v="0"/>
    <x v="8"/>
    <x v="16"/>
    <s v="SE4_HP"/>
    <x v="0"/>
    <x v="0"/>
    <x v="1"/>
    <x v="8"/>
    <n v="154.875426560856"/>
    <n v="9421.5884491187408"/>
    <n v="33917.718416827403"/>
  </r>
  <r>
    <x v="0"/>
    <x v="0"/>
    <x v="0"/>
    <x v="8"/>
    <x v="16"/>
    <s v="SE4_HP"/>
    <x v="0"/>
    <x v="0"/>
    <x v="1"/>
    <x v="9"/>
    <n v="150.85104420337299"/>
    <n v="9176.7718557052103"/>
    <n v="33036.378680538801"/>
  </r>
  <r>
    <x v="0"/>
    <x v="0"/>
    <x v="0"/>
    <x v="8"/>
    <x v="16"/>
    <s v="SE4_HP"/>
    <x v="0"/>
    <x v="0"/>
    <x v="1"/>
    <x v="10"/>
    <n v="147.40898409500701"/>
    <n v="8967.3798657795705"/>
    <n v="32282.567516806499"/>
  </r>
  <r>
    <x v="0"/>
    <x v="0"/>
    <x v="0"/>
    <x v="8"/>
    <x v="16"/>
    <s v="SE4_HP"/>
    <x v="0"/>
    <x v="0"/>
    <x v="1"/>
    <x v="11"/>
    <n v="142.347926318926"/>
    <n v="8659.4988510679796"/>
    <n v="31174.195863844699"/>
  </r>
  <r>
    <x v="0"/>
    <x v="0"/>
    <x v="0"/>
    <x v="8"/>
    <x v="16"/>
    <s v="SE4_HP"/>
    <x v="0"/>
    <x v="0"/>
    <x v="2"/>
    <x v="0"/>
    <n v="105.657378738418"/>
    <n v="6427.4905399204099"/>
    <n v="23138.965943713501"/>
  </r>
  <r>
    <x v="0"/>
    <x v="0"/>
    <x v="0"/>
    <x v="8"/>
    <x v="16"/>
    <s v="SE4_HP"/>
    <x v="0"/>
    <x v="0"/>
    <x v="2"/>
    <x v="1"/>
    <n v="104.744582772884"/>
    <n v="6371.9621186837603"/>
    <n v="22939.063627261501"/>
  </r>
  <r>
    <x v="0"/>
    <x v="0"/>
    <x v="0"/>
    <x v="8"/>
    <x v="16"/>
    <s v="SE4_HP"/>
    <x v="0"/>
    <x v="0"/>
    <x v="2"/>
    <x v="2"/>
    <n v="103.38333000559"/>
    <n v="6289.1525753400801"/>
    <n v="22640.949271224301"/>
  </r>
  <r>
    <x v="0"/>
    <x v="0"/>
    <x v="0"/>
    <x v="8"/>
    <x v="16"/>
    <s v="SE4_HP"/>
    <x v="0"/>
    <x v="0"/>
    <x v="2"/>
    <x v="3"/>
    <n v="103.544516229945"/>
    <n v="6298.9580706549996"/>
    <n v="22676.249054357999"/>
  </r>
  <r>
    <x v="0"/>
    <x v="0"/>
    <x v="0"/>
    <x v="8"/>
    <x v="16"/>
    <s v="SE4_HP"/>
    <x v="0"/>
    <x v="0"/>
    <x v="2"/>
    <x v="4"/>
    <n v="106.123699822042"/>
    <n v="6455.8584058408996"/>
    <n v="23241.090261027199"/>
  </r>
  <r>
    <x v="0"/>
    <x v="0"/>
    <x v="0"/>
    <x v="8"/>
    <x v="16"/>
    <s v="SE4_HP"/>
    <x v="0"/>
    <x v="0"/>
    <x v="2"/>
    <x v="5"/>
    <n v="115.43800353403"/>
    <n v="7022.4785483201804"/>
    <n v="25280.922773952701"/>
  </r>
  <r>
    <x v="0"/>
    <x v="0"/>
    <x v="0"/>
    <x v="8"/>
    <x v="16"/>
    <s v="SE4_HP"/>
    <x v="0"/>
    <x v="0"/>
    <x v="2"/>
    <x v="6"/>
    <n v="137.239972410174"/>
    <n v="8348.7649882855894"/>
    <n v="30055.553957828099"/>
  </r>
  <r>
    <x v="0"/>
    <x v="0"/>
    <x v="0"/>
    <x v="8"/>
    <x v="16"/>
    <s v="SE4_HP"/>
    <x v="0"/>
    <x v="0"/>
    <x v="2"/>
    <x v="7"/>
    <n v="145.18104584372901"/>
    <n v="8831.84695549352"/>
    <n v="31794.649039776701"/>
  </r>
  <r>
    <x v="0"/>
    <x v="0"/>
    <x v="0"/>
    <x v="8"/>
    <x v="16"/>
    <s v="SE4_HP"/>
    <x v="0"/>
    <x v="0"/>
    <x v="2"/>
    <x v="8"/>
    <n v="143.15852999800501"/>
    <n v="8708.8105748786202"/>
    <n v="31351.718069563001"/>
  </r>
  <r>
    <x v="0"/>
    <x v="0"/>
    <x v="0"/>
    <x v="8"/>
    <x v="16"/>
    <s v="SE4_HP"/>
    <x v="0"/>
    <x v="0"/>
    <x v="2"/>
    <x v="9"/>
    <n v="137.96824150895799"/>
    <n v="8393.0680251282702"/>
    <n v="30215.044890461799"/>
  </r>
  <r>
    <x v="0"/>
    <x v="0"/>
    <x v="0"/>
    <x v="8"/>
    <x v="16"/>
    <s v="SE4_HP"/>
    <x v="0"/>
    <x v="0"/>
    <x v="2"/>
    <x v="10"/>
    <n v="135.58980719915201"/>
    <n v="8248.3799379484299"/>
    <n v="29694.167776614398"/>
  </r>
  <r>
    <x v="0"/>
    <x v="0"/>
    <x v="0"/>
    <x v="8"/>
    <x v="16"/>
    <s v="SE4_HP"/>
    <x v="0"/>
    <x v="0"/>
    <x v="2"/>
    <x v="11"/>
    <n v="132.582146915896"/>
    <n v="8065.4139373836397"/>
    <n v="29035.4901745811"/>
  </r>
  <r>
    <x v="0"/>
    <x v="0"/>
    <x v="0"/>
    <x v="8"/>
    <x v="16"/>
    <s v="SE4_HP"/>
    <x v="0"/>
    <x v="0"/>
    <x v="3"/>
    <x v="0"/>
    <n v="117.7097192466"/>
    <n v="7160.6745875015104"/>
    <n v="25778.428515005398"/>
  </r>
  <r>
    <x v="0"/>
    <x v="0"/>
    <x v="0"/>
    <x v="8"/>
    <x v="16"/>
    <s v="SE4_HP"/>
    <x v="0"/>
    <x v="0"/>
    <x v="3"/>
    <x v="1"/>
    <n v="116.171412412499"/>
    <n v="7067.0942550936998"/>
    <n v="25441.539318337302"/>
  </r>
  <r>
    <x v="0"/>
    <x v="0"/>
    <x v="0"/>
    <x v="8"/>
    <x v="16"/>
    <s v="SE4_HP"/>
    <x v="0"/>
    <x v="0"/>
    <x v="3"/>
    <x v="2"/>
    <n v="115.649517626838"/>
    <n v="7035.3456556326701"/>
    <n v="25327.2443602776"/>
  </r>
  <r>
    <x v="0"/>
    <x v="0"/>
    <x v="0"/>
    <x v="8"/>
    <x v="16"/>
    <s v="SE4_HP"/>
    <x v="0"/>
    <x v="0"/>
    <x v="3"/>
    <x v="3"/>
    <n v="117.339254699546"/>
    <n v="7138.1379942223602"/>
    <n v="25697.2967792005"/>
  </r>
  <r>
    <x v="0"/>
    <x v="0"/>
    <x v="0"/>
    <x v="8"/>
    <x v="16"/>
    <s v="SE4_HP"/>
    <x v="0"/>
    <x v="0"/>
    <x v="3"/>
    <x v="4"/>
    <n v="121.642009148875"/>
    <n v="7399.8888898898804"/>
    <n v="26639.600003603598"/>
  </r>
  <r>
    <x v="0"/>
    <x v="0"/>
    <x v="0"/>
    <x v="8"/>
    <x v="16"/>
    <s v="SE4_HP"/>
    <x v="0"/>
    <x v="0"/>
    <x v="3"/>
    <x v="5"/>
    <n v="132.838118782328"/>
    <n v="8080.9855592582699"/>
    <n v="29091.548013329801"/>
  </r>
  <r>
    <x v="0"/>
    <x v="0"/>
    <x v="0"/>
    <x v="8"/>
    <x v="16"/>
    <s v="SE4_HP"/>
    <x v="0"/>
    <x v="0"/>
    <x v="3"/>
    <x v="6"/>
    <n v="157.397270082576"/>
    <n v="9575.0005966900299"/>
    <n v="34470.002148084102"/>
  </r>
  <r>
    <x v="0"/>
    <x v="0"/>
    <x v="0"/>
    <x v="8"/>
    <x v="16"/>
    <s v="SE4_HP"/>
    <x v="0"/>
    <x v="0"/>
    <x v="3"/>
    <x v="7"/>
    <n v="167.607992136663"/>
    <n v="10196.152854980401"/>
    <n v="36706.150277929301"/>
  </r>
  <r>
    <x v="0"/>
    <x v="0"/>
    <x v="0"/>
    <x v="8"/>
    <x v="16"/>
    <s v="SE4_HP"/>
    <x v="0"/>
    <x v="0"/>
    <x v="3"/>
    <x v="8"/>
    <n v="165.78872198570301"/>
    <n v="10085.4805874636"/>
    <n v="36307.730114869097"/>
  </r>
  <r>
    <x v="0"/>
    <x v="0"/>
    <x v="0"/>
    <x v="8"/>
    <x v="16"/>
    <s v="SE4_HP"/>
    <x v="0"/>
    <x v="0"/>
    <x v="3"/>
    <x v="9"/>
    <n v="159.32188747680101"/>
    <n v="9692.0814881720507"/>
    <n v="34891.4933574194"/>
  </r>
  <r>
    <x v="0"/>
    <x v="0"/>
    <x v="0"/>
    <x v="8"/>
    <x v="16"/>
    <s v="SE4_HP"/>
    <x v="0"/>
    <x v="0"/>
    <x v="3"/>
    <x v="10"/>
    <n v="155.170043377567"/>
    <n v="9439.5109721353401"/>
    <n v="33982.239499687203"/>
  </r>
  <r>
    <x v="0"/>
    <x v="0"/>
    <x v="0"/>
    <x v="8"/>
    <x v="16"/>
    <s v="SE4_HP"/>
    <x v="0"/>
    <x v="0"/>
    <x v="3"/>
    <x v="11"/>
    <n v="151.78874594438199"/>
    <n v="9233.8153782832105"/>
    <n v="33241.735361819599"/>
  </r>
  <r>
    <x v="0"/>
    <x v="0"/>
    <x v="0"/>
    <x v="8"/>
    <x v="16"/>
    <s v="SE4_HP"/>
    <x v="0"/>
    <x v="0"/>
    <x v="4"/>
    <x v="0"/>
    <n v="121.660229747532"/>
    <n v="7400.9973096415397"/>
    <n v="26643.590314709501"/>
  </r>
  <r>
    <x v="0"/>
    <x v="0"/>
    <x v="0"/>
    <x v="8"/>
    <x v="16"/>
    <s v="SE4_HP"/>
    <x v="0"/>
    <x v="0"/>
    <x v="4"/>
    <x v="1"/>
    <n v="120.618544287592"/>
    <n v="7337.6281108285402"/>
    <n v="26415.461198982801"/>
  </r>
  <r>
    <x v="0"/>
    <x v="0"/>
    <x v="0"/>
    <x v="8"/>
    <x v="16"/>
    <s v="SE4_HP"/>
    <x v="0"/>
    <x v="0"/>
    <x v="4"/>
    <x v="2"/>
    <n v="120.59374297310001"/>
    <n v="7336.1193641969303"/>
    <n v="26410.029711108898"/>
  </r>
  <r>
    <x v="0"/>
    <x v="0"/>
    <x v="0"/>
    <x v="8"/>
    <x v="16"/>
    <s v="SE4_HP"/>
    <x v="0"/>
    <x v="0"/>
    <x v="4"/>
    <x v="3"/>
    <n v="122.835637370204"/>
    <n v="7472.5012733540598"/>
    <n v="26901.004584074599"/>
  </r>
  <r>
    <x v="0"/>
    <x v="0"/>
    <x v="0"/>
    <x v="8"/>
    <x v="16"/>
    <s v="SE4_HP"/>
    <x v="0"/>
    <x v="0"/>
    <x v="4"/>
    <x v="4"/>
    <n v="127.655481597595"/>
    <n v="7765.7084638536699"/>
    <n v="27956.5504698732"/>
  </r>
  <r>
    <x v="0"/>
    <x v="0"/>
    <x v="0"/>
    <x v="8"/>
    <x v="16"/>
    <s v="SE4_HP"/>
    <x v="0"/>
    <x v="0"/>
    <x v="4"/>
    <x v="5"/>
    <n v="139.123469772703"/>
    <n v="8463.3444111727604"/>
    <n v="30468.039880221899"/>
  </r>
  <r>
    <x v="0"/>
    <x v="0"/>
    <x v="0"/>
    <x v="8"/>
    <x v="16"/>
    <s v="SE4_HP"/>
    <x v="0"/>
    <x v="0"/>
    <x v="4"/>
    <x v="6"/>
    <n v="163.95732599955599"/>
    <n v="9974.07066497298"/>
    <n v="35906.654393902703"/>
  </r>
  <r>
    <x v="0"/>
    <x v="0"/>
    <x v="0"/>
    <x v="8"/>
    <x v="16"/>
    <s v="SE4_HP"/>
    <x v="0"/>
    <x v="0"/>
    <x v="4"/>
    <x v="7"/>
    <n v="174.55528374131501"/>
    <n v="10618.77976093"/>
    <n v="38227.607139348002"/>
  </r>
  <r>
    <x v="0"/>
    <x v="0"/>
    <x v="0"/>
    <x v="8"/>
    <x v="16"/>
    <s v="SE4_HP"/>
    <x v="0"/>
    <x v="0"/>
    <x v="4"/>
    <x v="8"/>
    <n v="172.33703398515999"/>
    <n v="10483.8362340972"/>
    <n v="37741.81044275"/>
  </r>
  <r>
    <x v="0"/>
    <x v="0"/>
    <x v="0"/>
    <x v="8"/>
    <x v="16"/>
    <s v="SE4_HP"/>
    <x v="0"/>
    <x v="0"/>
    <x v="4"/>
    <x v="9"/>
    <n v="166.32531221897801"/>
    <n v="10118.123159987899"/>
    <n v="36425.243375956299"/>
  </r>
  <r>
    <x v="0"/>
    <x v="0"/>
    <x v="0"/>
    <x v="8"/>
    <x v="16"/>
    <s v="SE4_HP"/>
    <x v="0"/>
    <x v="0"/>
    <x v="4"/>
    <x v="10"/>
    <n v="160.47881283807601"/>
    <n v="9762.4611143162601"/>
    <n v="35144.860011538498"/>
  </r>
  <r>
    <x v="0"/>
    <x v="0"/>
    <x v="0"/>
    <x v="8"/>
    <x v="16"/>
    <s v="SE4_HP"/>
    <x v="0"/>
    <x v="0"/>
    <x v="4"/>
    <x v="11"/>
    <n v="155.38038200031201"/>
    <n v="9452.3065716856399"/>
    <n v="34028.303658068296"/>
  </r>
  <r>
    <x v="0"/>
    <x v="0"/>
    <x v="0"/>
    <x v="8"/>
    <x v="16"/>
    <s v="SE4_HP"/>
    <x v="0"/>
    <x v="0"/>
    <x v="5"/>
    <x v="0"/>
    <n v="151.08571134608999"/>
    <n v="9191.04744022046"/>
    <n v="33087.770784793604"/>
  </r>
  <r>
    <x v="0"/>
    <x v="0"/>
    <x v="0"/>
    <x v="8"/>
    <x v="16"/>
    <s v="SE4_HP"/>
    <x v="0"/>
    <x v="0"/>
    <x v="5"/>
    <x v="1"/>
    <n v="152.03302148972699"/>
    <n v="9248.6754739583703"/>
    <n v="33295.231706250102"/>
  </r>
  <r>
    <x v="0"/>
    <x v="0"/>
    <x v="0"/>
    <x v="8"/>
    <x v="16"/>
    <s v="SE4_HP"/>
    <x v="0"/>
    <x v="0"/>
    <x v="5"/>
    <x v="2"/>
    <n v="155.55932728690701"/>
    <n v="9463.1924099535299"/>
    <n v="34067.492675832698"/>
  </r>
  <r>
    <x v="0"/>
    <x v="0"/>
    <x v="0"/>
    <x v="8"/>
    <x v="16"/>
    <s v="SE4_HP"/>
    <x v="0"/>
    <x v="0"/>
    <x v="5"/>
    <x v="3"/>
    <n v="163.694240572208"/>
    <n v="9958.0663014759702"/>
    <n v="35849.038685313499"/>
  </r>
  <r>
    <x v="0"/>
    <x v="0"/>
    <x v="0"/>
    <x v="8"/>
    <x v="16"/>
    <s v="SE4_HP"/>
    <x v="0"/>
    <x v="0"/>
    <x v="5"/>
    <x v="4"/>
    <n v="174.94387088601999"/>
    <n v="10642.4188122329"/>
    <n v="38312.707724038301"/>
  </r>
  <r>
    <x v="0"/>
    <x v="0"/>
    <x v="0"/>
    <x v="8"/>
    <x v="16"/>
    <s v="SE4_HP"/>
    <x v="0"/>
    <x v="0"/>
    <x v="5"/>
    <x v="5"/>
    <n v="185.83947894276"/>
    <n v="11305.2349690179"/>
    <n v="40698.845888464399"/>
  </r>
  <r>
    <x v="0"/>
    <x v="0"/>
    <x v="0"/>
    <x v="8"/>
    <x v="16"/>
    <s v="SE4_HP"/>
    <x v="0"/>
    <x v="0"/>
    <x v="5"/>
    <x v="6"/>
    <n v="214.625535394916"/>
    <n v="13056.386736524"/>
    <n v="47002.992251486503"/>
  </r>
  <r>
    <x v="0"/>
    <x v="0"/>
    <x v="0"/>
    <x v="8"/>
    <x v="16"/>
    <s v="SE4_HP"/>
    <x v="0"/>
    <x v="0"/>
    <x v="5"/>
    <x v="7"/>
    <n v="226.57321090840401"/>
    <n v="13783.203663594601"/>
    <n v="49619.533188940499"/>
  </r>
  <r>
    <x v="0"/>
    <x v="0"/>
    <x v="0"/>
    <x v="8"/>
    <x v="16"/>
    <s v="SE4_HP"/>
    <x v="0"/>
    <x v="0"/>
    <x v="5"/>
    <x v="8"/>
    <n v="221.94670191412999"/>
    <n v="13501.757699776301"/>
    <n v="48606.327719194502"/>
  </r>
  <r>
    <x v="0"/>
    <x v="0"/>
    <x v="0"/>
    <x v="8"/>
    <x v="16"/>
    <s v="SE4_HP"/>
    <x v="0"/>
    <x v="0"/>
    <x v="5"/>
    <x v="9"/>
    <n v="215.12653047734"/>
    <n v="13086.8639373715"/>
    <n v="47112.710174537402"/>
  </r>
  <r>
    <x v="0"/>
    <x v="0"/>
    <x v="0"/>
    <x v="8"/>
    <x v="16"/>
    <s v="SE4_HP"/>
    <x v="0"/>
    <x v="0"/>
    <x v="5"/>
    <x v="10"/>
    <n v="205.827508403005"/>
    <n v="12521.173427849501"/>
    <n v="45076.224340258203"/>
  </r>
  <r>
    <x v="0"/>
    <x v="0"/>
    <x v="0"/>
    <x v="8"/>
    <x v="16"/>
    <s v="SE4_HP"/>
    <x v="0"/>
    <x v="0"/>
    <x v="5"/>
    <x v="11"/>
    <n v="199.67781221152501"/>
    <n v="12147.0669095345"/>
    <n v="43729.440874323998"/>
  </r>
  <r>
    <x v="0"/>
    <x v="0"/>
    <x v="0"/>
    <x v="8"/>
    <x v="16"/>
    <s v="SE4_HP"/>
    <x v="0"/>
    <x v="0"/>
    <x v="6"/>
    <x v="0"/>
    <n v="137.898557243743"/>
    <n v="8388.8288989943394"/>
    <n v="30199.784036379599"/>
  </r>
  <r>
    <x v="0"/>
    <x v="0"/>
    <x v="0"/>
    <x v="8"/>
    <x v="16"/>
    <s v="SE4_HP"/>
    <x v="0"/>
    <x v="0"/>
    <x v="6"/>
    <x v="1"/>
    <n v="139.57658922853901"/>
    <n v="8490.9091780694398"/>
    <n v="30567.273041050001"/>
  </r>
  <r>
    <x v="0"/>
    <x v="0"/>
    <x v="0"/>
    <x v="8"/>
    <x v="16"/>
    <s v="SE4_HP"/>
    <x v="0"/>
    <x v="0"/>
    <x v="6"/>
    <x v="2"/>
    <n v="142.166075466568"/>
    <n v="8648.4362575495798"/>
    <n v="31134.3705271785"/>
  </r>
  <r>
    <x v="0"/>
    <x v="0"/>
    <x v="0"/>
    <x v="8"/>
    <x v="16"/>
    <s v="SE4_HP"/>
    <x v="0"/>
    <x v="0"/>
    <x v="6"/>
    <x v="3"/>
    <n v="149.155327341495"/>
    <n v="9073.6157466076293"/>
    <n v="32665.016687787502"/>
  </r>
  <r>
    <x v="0"/>
    <x v="0"/>
    <x v="0"/>
    <x v="8"/>
    <x v="16"/>
    <s v="SE4_HP"/>
    <x v="0"/>
    <x v="0"/>
    <x v="6"/>
    <x v="4"/>
    <n v="161.70877962736901"/>
    <n v="9837.2840939982707"/>
    <n v="35414.222738393801"/>
  </r>
  <r>
    <x v="0"/>
    <x v="0"/>
    <x v="0"/>
    <x v="8"/>
    <x v="16"/>
    <s v="SE4_HP"/>
    <x v="0"/>
    <x v="0"/>
    <x v="6"/>
    <x v="5"/>
    <n v="177.47927241793201"/>
    <n v="10796.655738757599"/>
    <n v="38867.960659527198"/>
  </r>
  <r>
    <x v="0"/>
    <x v="0"/>
    <x v="0"/>
    <x v="8"/>
    <x v="16"/>
    <s v="SE4_HP"/>
    <x v="0"/>
    <x v="0"/>
    <x v="6"/>
    <x v="6"/>
    <n v="208.013801225393"/>
    <n v="12654.172907878101"/>
    <n v="45555.022468360999"/>
  </r>
  <r>
    <x v="0"/>
    <x v="0"/>
    <x v="0"/>
    <x v="8"/>
    <x v="16"/>
    <s v="SE4_HP"/>
    <x v="0"/>
    <x v="0"/>
    <x v="6"/>
    <x v="7"/>
    <n v="224.65984843740301"/>
    <n v="13666.8074466087"/>
    <n v="49200.5068077912"/>
  </r>
  <r>
    <x v="0"/>
    <x v="0"/>
    <x v="0"/>
    <x v="8"/>
    <x v="16"/>
    <s v="SE4_HP"/>
    <x v="0"/>
    <x v="0"/>
    <x v="6"/>
    <x v="8"/>
    <n v="220.45737029029999"/>
    <n v="13411.156692659901"/>
    <n v="48280.164093575702"/>
  </r>
  <r>
    <x v="0"/>
    <x v="0"/>
    <x v="0"/>
    <x v="8"/>
    <x v="16"/>
    <s v="SE4_HP"/>
    <x v="0"/>
    <x v="0"/>
    <x v="6"/>
    <x v="9"/>
    <n v="208.32690417486899"/>
    <n v="12673.220003971201"/>
    <n v="45623.5920142963"/>
  </r>
  <r>
    <x v="0"/>
    <x v="0"/>
    <x v="0"/>
    <x v="8"/>
    <x v="16"/>
    <s v="SE4_HP"/>
    <x v="0"/>
    <x v="0"/>
    <x v="6"/>
    <x v="10"/>
    <n v="195.92302136382801"/>
    <n v="11918.650466299499"/>
    <n v="42907.141678678301"/>
  </r>
  <r>
    <x v="0"/>
    <x v="0"/>
    <x v="0"/>
    <x v="8"/>
    <x v="16"/>
    <s v="SE4_HP"/>
    <x v="0"/>
    <x v="0"/>
    <x v="6"/>
    <x v="11"/>
    <n v="185.25724176703301"/>
    <n v="11269.8155408278"/>
    <n v="40571.335946980304"/>
  </r>
  <r>
    <x v="0"/>
    <x v="0"/>
    <x v="0"/>
    <x v="8"/>
    <x v="16"/>
    <s v="SE4_HP"/>
    <x v="0"/>
    <x v="0"/>
    <x v="7"/>
    <x v="0"/>
    <n v="108.625051629708"/>
    <n v="6608.0239741405803"/>
    <n v="23788.886306906101"/>
  </r>
  <r>
    <x v="0"/>
    <x v="0"/>
    <x v="0"/>
    <x v="8"/>
    <x v="16"/>
    <s v="SE4_HP"/>
    <x v="0"/>
    <x v="0"/>
    <x v="7"/>
    <x v="1"/>
    <n v="107.98768523936501"/>
    <n v="6569.2508520613701"/>
    <n v="23649.3030674209"/>
  </r>
  <r>
    <x v="0"/>
    <x v="0"/>
    <x v="0"/>
    <x v="8"/>
    <x v="16"/>
    <s v="SE4_HP"/>
    <x v="0"/>
    <x v="0"/>
    <x v="7"/>
    <x v="2"/>
    <n v="107.318006093232"/>
    <n v="6528.5120373382697"/>
    <n v="23502.6433344178"/>
  </r>
  <r>
    <x v="0"/>
    <x v="0"/>
    <x v="0"/>
    <x v="8"/>
    <x v="16"/>
    <s v="SE4_HP"/>
    <x v="0"/>
    <x v="0"/>
    <x v="7"/>
    <x v="3"/>
    <n v="109.36854322606899"/>
    <n v="6653.2530462525401"/>
    <n v="23951.710966509101"/>
  </r>
  <r>
    <x v="0"/>
    <x v="0"/>
    <x v="0"/>
    <x v="8"/>
    <x v="16"/>
    <s v="SE4_HP"/>
    <x v="0"/>
    <x v="0"/>
    <x v="7"/>
    <x v="4"/>
    <n v="114.49250249909601"/>
    <n v="6964.9605686949899"/>
    <n v="25073.858047302001"/>
  </r>
  <r>
    <x v="0"/>
    <x v="0"/>
    <x v="0"/>
    <x v="8"/>
    <x v="16"/>
    <s v="SE4_HP"/>
    <x v="0"/>
    <x v="0"/>
    <x v="7"/>
    <x v="5"/>
    <n v="127.217522888985"/>
    <n v="7739.0659757465901"/>
    <n v="27860.637512687699"/>
  </r>
  <r>
    <x v="0"/>
    <x v="0"/>
    <x v="0"/>
    <x v="8"/>
    <x v="16"/>
    <s v="SE4_HP"/>
    <x v="0"/>
    <x v="0"/>
    <x v="7"/>
    <x v="6"/>
    <n v="151.785576898681"/>
    <n v="9233.6225946697905"/>
    <n v="33241.0413408112"/>
  </r>
  <r>
    <x v="0"/>
    <x v="0"/>
    <x v="0"/>
    <x v="8"/>
    <x v="16"/>
    <s v="SE4_HP"/>
    <x v="0"/>
    <x v="0"/>
    <x v="7"/>
    <x v="7"/>
    <n v="162.29910509836"/>
    <n v="9873.1955601502195"/>
    <n v="35543.504016540799"/>
  </r>
  <r>
    <x v="0"/>
    <x v="0"/>
    <x v="0"/>
    <x v="8"/>
    <x v="16"/>
    <s v="SE4_HP"/>
    <x v="0"/>
    <x v="0"/>
    <x v="7"/>
    <x v="8"/>
    <n v="159.53238902837899"/>
    <n v="9704.8869992263699"/>
    <n v="34937.593197214897"/>
  </r>
  <r>
    <x v="0"/>
    <x v="0"/>
    <x v="0"/>
    <x v="8"/>
    <x v="16"/>
    <s v="SE4_HP"/>
    <x v="0"/>
    <x v="0"/>
    <x v="7"/>
    <x v="9"/>
    <n v="152.442937301163"/>
    <n v="9273.6120191540795"/>
    <n v="33385.003268954701"/>
  </r>
  <r>
    <x v="0"/>
    <x v="0"/>
    <x v="0"/>
    <x v="8"/>
    <x v="16"/>
    <s v="SE4_HP"/>
    <x v="0"/>
    <x v="0"/>
    <x v="7"/>
    <x v="10"/>
    <n v="147.443609005089"/>
    <n v="8969.4862144762792"/>
    <n v="32290.1503721146"/>
  </r>
  <r>
    <x v="0"/>
    <x v="0"/>
    <x v="0"/>
    <x v="8"/>
    <x v="16"/>
    <s v="SE4_HP"/>
    <x v="0"/>
    <x v="0"/>
    <x v="7"/>
    <x v="11"/>
    <n v="142.25367983276001"/>
    <n v="8653.76552315958"/>
    <n v="31153.555883374502"/>
  </r>
  <r>
    <x v="0"/>
    <x v="0"/>
    <x v="0"/>
    <x v="8"/>
    <x v="16"/>
    <s v="SE4_HP"/>
    <x v="0"/>
    <x v="0"/>
    <x v="8"/>
    <x v="0"/>
    <n v="107.63992453428"/>
    <n v="6548.0954091686799"/>
    <n v="23573.1434730072"/>
  </r>
  <r>
    <x v="0"/>
    <x v="0"/>
    <x v="0"/>
    <x v="8"/>
    <x v="16"/>
    <s v="SE4_HP"/>
    <x v="0"/>
    <x v="0"/>
    <x v="8"/>
    <x v="1"/>
    <n v="108.99827129481901"/>
    <n v="6630.7281704348497"/>
    <n v="23870.621413565499"/>
  </r>
  <r>
    <x v="0"/>
    <x v="0"/>
    <x v="0"/>
    <x v="8"/>
    <x v="16"/>
    <s v="SE4_HP"/>
    <x v="0"/>
    <x v="0"/>
    <x v="8"/>
    <x v="2"/>
    <n v="110.94573703137399"/>
    <n v="6749.1990027418997"/>
    <n v="24297.1164098708"/>
  </r>
  <r>
    <x v="0"/>
    <x v="0"/>
    <x v="0"/>
    <x v="8"/>
    <x v="16"/>
    <s v="SE4_HP"/>
    <x v="0"/>
    <x v="0"/>
    <x v="8"/>
    <x v="3"/>
    <n v="114.04281838402601"/>
    <n v="6937.6047850282403"/>
    <n v="24975.3772261017"/>
  </r>
  <r>
    <x v="0"/>
    <x v="0"/>
    <x v="0"/>
    <x v="8"/>
    <x v="16"/>
    <s v="SE4_HP"/>
    <x v="0"/>
    <x v="0"/>
    <x v="8"/>
    <x v="4"/>
    <n v="119.016906231676"/>
    <n v="7240.1951290936004"/>
    <n v="26064.7024647369"/>
  </r>
  <r>
    <x v="0"/>
    <x v="0"/>
    <x v="0"/>
    <x v="8"/>
    <x v="16"/>
    <s v="SE4_HP"/>
    <x v="0"/>
    <x v="0"/>
    <x v="8"/>
    <x v="5"/>
    <n v="129.25255958108099"/>
    <n v="7862.8640411824099"/>
    <n v="28306.310548256701"/>
  </r>
  <r>
    <x v="0"/>
    <x v="0"/>
    <x v="0"/>
    <x v="8"/>
    <x v="16"/>
    <s v="SE4_HP"/>
    <x v="0"/>
    <x v="0"/>
    <x v="8"/>
    <x v="6"/>
    <n v="154.334500005314"/>
    <n v="9388.6820836565894"/>
    <n v="33799.255501163701"/>
  </r>
  <r>
    <x v="0"/>
    <x v="0"/>
    <x v="0"/>
    <x v="8"/>
    <x v="16"/>
    <s v="SE4_HP"/>
    <x v="0"/>
    <x v="0"/>
    <x v="8"/>
    <x v="7"/>
    <n v="160.97909245009001"/>
    <n v="9792.8947907138208"/>
    <n v="35254.4212465698"/>
  </r>
  <r>
    <x v="0"/>
    <x v="0"/>
    <x v="0"/>
    <x v="8"/>
    <x v="16"/>
    <s v="SE4_HP"/>
    <x v="0"/>
    <x v="0"/>
    <x v="8"/>
    <x v="8"/>
    <n v="152.88315408535101"/>
    <n v="9300.3918735255102"/>
    <n v="33481.410744691799"/>
  </r>
  <r>
    <x v="0"/>
    <x v="0"/>
    <x v="0"/>
    <x v="8"/>
    <x v="16"/>
    <s v="SE4_HP"/>
    <x v="0"/>
    <x v="0"/>
    <x v="8"/>
    <x v="9"/>
    <n v="143.351797520091"/>
    <n v="8720.5676824722104"/>
    <n v="31394.043656900001"/>
  </r>
  <r>
    <x v="0"/>
    <x v="0"/>
    <x v="0"/>
    <x v="8"/>
    <x v="16"/>
    <s v="SE4_HP"/>
    <x v="0"/>
    <x v="0"/>
    <x v="8"/>
    <x v="10"/>
    <n v="137.40134935357801"/>
    <n v="8358.5820856759801"/>
    <n v="30090.895508433499"/>
  </r>
  <r>
    <x v="0"/>
    <x v="0"/>
    <x v="0"/>
    <x v="8"/>
    <x v="16"/>
    <s v="SE4_HP"/>
    <x v="0"/>
    <x v="0"/>
    <x v="8"/>
    <x v="11"/>
    <n v="133.951464305744"/>
    <n v="8148.7140785994297"/>
    <n v="29335.370682957899"/>
  </r>
  <r>
    <x v="0"/>
    <x v="0"/>
    <x v="0"/>
    <x v="8"/>
    <x v="16"/>
    <s v="SE4_HP"/>
    <x v="0"/>
    <x v="0"/>
    <x v="9"/>
    <x v="0"/>
    <n v="97.621882775460605"/>
    <n v="5938.6645355071796"/>
    <n v="21379.192327825898"/>
  </r>
  <r>
    <x v="0"/>
    <x v="0"/>
    <x v="0"/>
    <x v="8"/>
    <x v="16"/>
    <s v="SE4_HP"/>
    <x v="0"/>
    <x v="0"/>
    <x v="9"/>
    <x v="1"/>
    <n v="98.262274975972204"/>
    <n v="5977.62172770498"/>
    <n v="21519.438219737902"/>
  </r>
  <r>
    <x v="0"/>
    <x v="0"/>
    <x v="0"/>
    <x v="8"/>
    <x v="16"/>
    <s v="SE4_HP"/>
    <x v="0"/>
    <x v="0"/>
    <x v="9"/>
    <x v="2"/>
    <n v="98.744976064391295"/>
    <n v="6006.9860439171398"/>
    <n v="21625.149758101699"/>
  </r>
  <r>
    <x v="0"/>
    <x v="0"/>
    <x v="0"/>
    <x v="8"/>
    <x v="16"/>
    <s v="SE4_HP"/>
    <x v="0"/>
    <x v="0"/>
    <x v="9"/>
    <x v="3"/>
    <n v="101.486568078362"/>
    <n v="6173.7662247669996"/>
    <n v="22225.5584091612"/>
  </r>
  <r>
    <x v="0"/>
    <x v="0"/>
    <x v="0"/>
    <x v="8"/>
    <x v="16"/>
    <s v="SE4_HP"/>
    <x v="0"/>
    <x v="0"/>
    <x v="9"/>
    <x v="4"/>
    <n v="105.949990034515"/>
    <n v="6445.291060433"/>
    <n v="23203.0478175588"/>
  </r>
  <r>
    <x v="0"/>
    <x v="0"/>
    <x v="0"/>
    <x v="8"/>
    <x v="16"/>
    <s v="SE4_HP"/>
    <x v="0"/>
    <x v="0"/>
    <x v="9"/>
    <x v="5"/>
    <n v="116.379586299145"/>
    <n v="7079.7581665313501"/>
    <n v="25487.1293995128"/>
  </r>
  <r>
    <x v="0"/>
    <x v="0"/>
    <x v="0"/>
    <x v="8"/>
    <x v="16"/>
    <s v="SE4_HP"/>
    <x v="0"/>
    <x v="0"/>
    <x v="9"/>
    <x v="6"/>
    <n v="140.06976277826601"/>
    <n v="8520.9105690112101"/>
    <n v="30675.278048440301"/>
  </r>
  <r>
    <x v="0"/>
    <x v="0"/>
    <x v="0"/>
    <x v="8"/>
    <x v="16"/>
    <s v="SE4_HP"/>
    <x v="0"/>
    <x v="0"/>
    <x v="9"/>
    <x v="7"/>
    <n v="147.05469267478401"/>
    <n v="8945.8271377159999"/>
    <n v="32204.977695777601"/>
  </r>
  <r>
    <x v="0"/>
    <x v="0"/>
    <x v="0"/>
    <x v="8"/>
    <x v="16"/>
    <s v="SE4_HP"/>
    <x v="0"/>
    <x v="0"/>
    <x v="9"/>
    <x v="8"/>
    <n v="141.88423124128701"/>
    <n v="8631.2907338449695"/>
    <n v="31072.6466418419"/>
  </r>
  <r>
    <x v="0"/>
    <x v="0"/>
    <x v="0"/>
    <x v="8"/>
    <x v="16"/>
    <s v="SE4_HP"/>
    <x v="0"/>
    <x v="0"/>
    <x v="9"/>
    <x v="9"/>
    <n v="134.65567512219801"/>
    <n v="8191.5535699336897"/>
    <n v="29489.592851761299"/>
  </r>
  <r>
    <x v="0"/>
    <x v="0"/>
    <x v="0"/>
    <x v="8"/>
    <x v="16"/>
    <s v="SE4_HP"/>
    <x v="0"/>
    <x v="0"/>
    <x v="9"/>
    <x v="10"/>
    <n v="128.620035925211"/>
    <n v="7824.3855187836698"/>
    <n v="28167.787867621199"/>
  </r>
  <r>
    <x v="0"/>
    <x v="0"/>
    <x v="0"/>
    <x v="8"/>
    <x v="16"/>
    <s v="SE4_HP"/>
    <x v="0"/>
    <x v="0"/>
    <x v="9"/>
    <x v="11"/>
    <n v="123.335870453293"/>
    <n v="7502.9321192420002"/>
    <n v="27010.555629271199"/>
  </r>
  <r>
    <x v="0"/>
    <x v="0"/>
    <x v="0"/>
    <x v="8"/>
    <x v="16"/>
    <s v="SE4_HP"/>
    <x v="0"/>
    <x v="0"/>
    <x v="10"/>
    <x v="0"/>
    <n v="63.285171276708297"/>
    <n v="3849.84791933309"/>
    <n v="13859.452509599099"/>
  </r>
  <r>
    <x v="0"/>
    <x v="0"/>
    <x v="0"/>
    <x v="8"/>
    <x v="16"/>
    <s v="SE4_HP"/>
    <x v="0"/>
    <x v="0"/>
    <x v="10"/>
    <x v="1"/>
    <n v="64.545581466109695"/>
    <n v="3926.5228725216798"/>
    <n v="14135.482341078001"/>
  </r>
  <r>
    <x v="0"/>
    <x v="0"/>
    <x v="0"/>
    <x v="8"/>
    <x v="16"/>
    <s v="SE4_HP"/>
    <x v="0"/>
    <x v="0"/>
    <x v="10"/>
    <x v="2"/>
    <n v="63.618688496847199"/>
    <n v="3870.1368835582098"/>
    <n v="13932.4927808095"/>
  </r>
  <r>
    <x v="0"/>
    <x v="0"/>
    <x v="0"/>
    <x v="8"/>
    <x v="16"/>
    <s v="SE4_HP"/>
    <x v="0"/>
    <x v="0"/>
    <x v="10"/>
    <x v="3"/>
    <n v="66.033873150486798"/>
    <n v="4017.0606166546099"/>
    <n v="14461.4182199566"/>
  </r>
  <r>
    <x v="0"/>
    <x v="0"/>
    <x v="0"/>
    <x v="8"/>
    <x v="16"/>
    <s v="SE4_HP"/>
    <x v="0"/>
    <x v="0"/>
    <x v="10"/>
    <x v="4"/>
    <n v="68.250633342438803"/>
    <n v="4151.91352833169"/>
    <n v="14946.888701994099"/>
  </r>
  <r>
    <x v="0"/>
    <x v="0"/>
    <x v="0"/>
    <x v="8"/>
    <x v="16"/>
    <s v="SE4_HP"/>
    <x v="0"/>
    <x v="0"/>
    <x v="10"/>
    <x v="5"/>
    <n v="78.440644706116203"/>
    <n v="4771.8058862887301"/>
    <n v="17178.501190639399"/>
  </r>
  <r>
    <x v="0"/>
    <x v="0"/>
    <x v="0"/>
    <x v="8"/>
    <x v="16"/>
    <s v="SE4_HP"/>
    <x v="0"/>
    <x v="0"/>
    <x v="10"/>
    <x v="6"/>
    <n v="96.174545020567706"/>
    <n v="5850.6181554178702"/>
    <n v="21062.2253595043"/>
  </r>
  <r>
    <x v="0"/>
    <x v="0"/>
    <x v="0"/>
    <x v="8"/>
    <x v="16"/>
    <s v="SE4_HP"/>
    <x v="0"/>
    <x v="0"/>
    <x v="10"/>
    <x v="7"/>
    <n v="97.396914808073106"/>
    <n v="5924.9789841577804"/>
    <n v="21329.924342967999"/>
  </r>
  <r>
    <x v="0"/>
    <x v="0"/>
    <x v="0"/>
    <x v="8"/>
    <x v="16"/>
    <s v="SE4_HP"/>
    <x v="0"/>
    <x v="0"/>
    <x v="10"/>
    <x v="8"/>
    <n v="86.823398933665402"/>
    <n v="5281.7567684646501"/>
    <n v="19014.324366472702"/>
  </r>
  <r>
    <x v="0"/>
    <x v="0"/>
    <x v="0"/>
    <x v="8"/>
    <x v="16"/>
    <s v="SE4_HP"/>
    <x v="0"/>
    <x v="0"/>
    <x v="10"/>
    <x v="9"/>
    <n v="78.661592756969199"/>
    <n v="4785.2468927156297"/>
    <n v="17226.888813776299"/>
  </r>
  <r>
    <x v="0"/>
    <x v="0"/>
    <x v="0"/>
    <x v="8"/>
    <x v="16"/>
    <s v="SE4_HP"/>
    <x v="0"/>
    <x v="0"/>
    <x v="10"/>
    <x v="10"/>
    <n v="73.022876624168106"/>
    <n v="4442.2249946368902"/>
    <n v="15992.009980692799"/>
  </r>
  <r>
    <x v="0"/>
    <x v="0"/>
    <x v="0"/>
    <x v="8"/>
    <x v="16"/>
    <s v="SE4_HP"/>
    <x v="0"/>
    <x v="0"/>
    <x v="10"/>
    <x v="11"/>
    <n v="70.423143178966399"/>
    <n v="4284.0745433871198"/>
    <n v="15422.668356193601"/>
  </r>
  <r>
    <x v="0"/>
    <x v="0"/>
    <x v="0"/>
    <x v="8"/>
    <x v="16"/>
    <s v="SE4_HP"/>
    <x v="0"/>
    <x v="0"/>
    <x v="11"/>
    <x v="0"/>
    <n v="76.915459082578096"/>
    <n v="4679.0237608568405"/>
    <n v="16844.485539084599"/>
  </r>
  <r>
    <x v="0"/>
    <x v="0"/>
    <x v="0"/>
    <x v="8"/>
    <x v="16"/>
    <s v="SE4_HP"/>
    <x v="0"/>
    <x v="0"/>
    <x v="11"/>
    <x v="1"/>
    <n v="78.485167900113694"/>
    <n v="4774.5143805902499"/>
    <n v="17188.251770124902"/>
  </r>
  <r>
    <x v="0"/>
    <x v="0"/>
    <x v="0"/>
    <x v="8"/>
    <x v="16"/>
    <s v="SE4_HP"/>
    <x v="0"/>
    <x v="0"/>
    <x v="11"/>
    <x v="2"/>
    <n v="78.167139006325598"/>
    <n v="4755.16762288481"/>
    <n v="17118.603442385302"/>
  </r>
  <r>
    <x v="0"/>
    <x v="0"/>
    <x v="0"/>
    <x v="8"/>
    <x v="16"/>
    <s v="SE4_HP"/>
    <x v="0"/>
    <x v="0"/>
    <x v="11"/>
    <x v="3"/>
    <n v="80.297248890251794"/>
    <n v="4884.7493074903196"/>
    <n v="17585.097506965099"/>
  </r>
  <r>
    <x v="0"/>
    <x v="0"/>
    <x v="0"/>
    <x v="8"/>
    <x v="16"/>
    <s v="SE4_HP"/>
    <x v="0"/>
    <x v="0"/>
    <x v="11"/>
    <x v="4"/>
    <n v="82.656003124731797"/>
    <n v="5028.2401900878504"/>
    <n v="18101.6646843163"/>
  </r>
  <r>
    <x v="0"/>
    <x v="0"/>
    <x v="0"/>
    <x v="8"/>
    <x v="16"/>
    <s v="SE4_HP"/>
    <x v="0"/>
    <x v="0"/>
    <x v="11"/>
    <x v="5"/>
    <n v="92.874505239344103"/>
    <n v="5649.8657353934304"/>
    <n v="20339.516647416302"/>
  </r>
  <r>
    <x v="0"/>
    <x v="0"/>
    <x v="0"/>
    <x v="8"/>
    <x v="16"/>
    <s v="SE4_HP"/>
    <x v="0"/>
    <x v="0"/>
    <x v="11"/>
    <x v="6"/>
    <n v="112.352520761721"/>
    <n v="6834.7783463380301"/>
    <n v="24605.202046816899"/>
  </r>
  <r>
    <x v="0"/>
    <x v="0"/>
    <x v="0"/>
    <x v="8"/>
    <x v="16"/>
    <s v="SE4_HP"/>
    <x v="0"/>
    <x v="0"/>
    <x v="11"/>
    <x v="7"/>
    <n v="114.589374234207"/>
    <n v="6970.85359924761"/>
    <n v="25095.072957291399"/>
  </r>
  <r>
    <x v="0"/>
    <x v="0"/>
    <x v="0"/>
    <x v="8"/>
    <x v="16"/>
    <s v="SE4_HP"/>
    <x v="0"/>
    <x v="0"/>
    <x v="11"/>
    <x v="8"/>
    <n v="105.031536074803"/>
    <n v="6389.4184445505398"/>
    <n v="23001.906400381999"/>
  </r>
  <r>
    <x v="0"/>
    <x v="0"/>
    <x v="0"/>
    <x v="8"/>
    <x v="16"/>
    <s v="SE4_HP"/>
    <x v="0"/>
    <x v="0"/>
    <x v="11"/>
    <x v="9"/>
    <n v="96.735733495083295"/>
    <n v="5884.7571209508997"/>
    <n v="21185.125635423199"/>
  </r>
  <r>
    <x v="0"/>
    <x v="0"/>
    <x v="0"/>
    <x v="8"/>
    <x v="16"/>
    <s v="SE4_HP"/>
    <x v="0"/>
    <x v="0"/>
    <x v="11"/>
    <x v="10"/>
    <n v="91.246789399780994"/>
    <n v="5550.8463551533396"/>
    <n v="19983.046878551999"/>
  </r>
  <r>
    <x v="0"/>
    <x v="0"/>
    <x v="0"/>
    <x v="8"/>
    <x v="16"/>
    <s v="SE4_HP"/>
    <x v="0"/>
    <x v="0"/>
    <x v="11"/>
    <x v="11"/>
    <n v="87.563856325655607"/>
    <n v="5326.8012598107098"/>
    <n v="19176.484535318599"/>
  </r>
  <r>
    <x v="0"/>
    <x v="0"/>
    <x v="0"/>
    <x v="8"/>
    <x v="16"/>
    <s v="SE4_MAL"/>
    <x v="0"/>
    <x v="0"/>
    <x v="0"/>
    <x v="0"/>
    <n v="158.26251664324101"/>
    <n v="9627.6364291304999"/>
    <n v="34659.491144869797"/>
  </r>
  <r>
    <x v="0"/>
    <x v="0"/>
    <x v="0"/>
    <x v="8"/>
    <x v="16"/>
    <s v="SE4_MAL"/>
    <x v="0"/>
    <x v="0"/>
    <x v="0"/>
    <x v="1"/>
    <n v="156.33364980301499"/>
    <n v="9510.2970296834101"/>
    <n v="34237.0693068603"/>
  </r>
  <r>
    <x v="0"/>
    <x v="0"/>
    <x v="0"/>
    <x v="8"/>
    <x v="16"/>
    <s v="SE4_MAL"/>
    <x v="0"/>
    <x v="0"/>
    <x v="0"/>
    <x v="2"/>
    <n v="150.104803622605"/>
    <n v="9131.3755537084708"/>
    <n v="32872.9519933505"/>
  </r>
  <r>
    <x v="0"/>
    <x v="0"/>
    <x v="0"/>
    <x v="8"/>
    <x v="16"/>
    <s v="SE4_MAL"/>
    <x v="0"/>
    <x v="0"/>
    <x v="0"/>
    <x v="3"/>
    <n v="148.06190468695601"/>
    <n v="9007.0992017898297"/>
    <n v="32425.5571264434"/>
  </r>
  <r>
    <x v="0"/>
    <x v="0"/>
    <x v="0"/>
    <x v="8"/>
    <x v="16"/>
    <s v="SE4_MAL"/>
    <x v="0"/>
    <x v="0"/>
    <x v="0"/>
    <x v="4"/>
    <n v="148.36605890509301"/>
    <n v="9025.6019167265094"/>
    <n v="32492.166900215401"/>
  </r>
  <r>
    <x v="0"/>
    <x v="0"/>
    <x v="0"/>
    <x v="8"/>
    <x v="16"/>
    <s v="SE4_MAL"/>
    <x v="0"/>
    <x v="0"/>
    <x v="0"/>
    <x v="5"/>
    <n v="169.124473462644"/>
    <n v="10288.4054689775"/>
    <n v="37038.2596883191"/>
  </r>
  <r>
    <x v="0"/>
    <x v="0"/>
    <x v="0"/>
    <x v="8"/>
    <x v="16"/>
    <s v="SE4_MAL"/>
    <x v="0"/>
    <x v="0"/>
    <x v="0"/>
    <x v="6"/>
    <n v="207.047239392546"/>
    <n v="12595.373729713199"/>
    <n v="45343.3454269676"/>
  </r>
  <r>
    <x v="0"/>
    <x v="0"/>
    <x v="0"/>
    <x v="8"/>
    <x v="16"/>
    <s v="SE4_MAL"/>
    <x v="0"/>
    <x v="0"/>
    <x v="0"/>
    <x v="7"/>
    <n v="218.56975514424701"/>
    <n v="13296.326771275"/>
    <n v="47866.776376590198"/>
  </r>
  <r>
    <x v="0"/>
    <x v="0"/>
    <x v="0"/>
    <x v="8"/>
    <x v="16"/>
    <s v="SE4_MAL"/>
    <x v="0"/>
    <x v="0"/>
    <x v="0"/>
    <x v="8"/>
    <n v="211.406012046542"/>
    <n v="12860.532399498001"/>
    <n v="46297.916638192699"/>
  </r>
  <r>
    <x v="0"/>
    <x v="0"/>
    <x v="0"/>
    <x v="8"/>
    <x v="16"/>
    <s v="SE4_MAL"/>
    <x v="0"/>
    <x v="0"/>
    <x v="0"/>
    <x v="9"/>
    <n v="206.06827436004099"/>
    <n v="12535.8200235692"/>
    <n v="45128.952084848999"/>
  </r>
  <r>
    <x v="0"/>
    <x v="0"/>
    <x v="0"/>
    <x v="8"/>
    <x v="16"/>
    <s v="SE4_MAL"/>
    <x v="0"/>
    <x v="0"/>
    <x v="0"/>
    <x v="10"/>
    <n v="207.60045299784599"/>
    <n v="12629.027557369"/>
    <n v="45464.499206528402"/>
  </r>
  <r>
    <x v="0"/>
    <x v="0"/>
    <x v="0"/>
    <x v="8"/>
    <x v="16"/>
    <s v="SE4_MAL"/>
    <x v="0"/>
    <x v="0"/>
    <x v="0"/>
    <x v="11"/>
    <n v="209.121904775818"/>
    <n v="12721.5825405289"/>
    <n v="45797.697145904203"/>
  </r>
  <r>
    <x v="0"/>
    <x v="0"/>
    <x v="0"/>
    <x v="8"/>
    <x v="16"/>
    <s v="SE4_MAL"/>
    <x v="0"/>
    <x v="0"/>
    <x v="1"/>
    <x v="0"/>
    <n v="218.68141848969"/>
    <n v="13303.1196247895"/>
    <n v="47891.230649242098"/>
  </r>
  <r>
    <x v="0"/>
    <x v="0"/>
    <x v="0"/>
    <x v="8"/>
    <x v="16"/>
    <s v="SE4_MAL"/>
    <x v="0"/>
    <x v="0"/>
    <x v="1"/>
    <x v="1"/>
    <n v="217.354477623245"/>
    <n v="13222.3973887474"/>
    <n v="47600.6305994906"/>
  </r>
  <r>
    <x v="0"/>
    <x v="0"/>
    <x v="0"/>
    <x v="8"/>
    <x v="16"/>
    <s v="SE4_MAL"/>
    <x v="0"/>
    <x v="0"/>
    <x v="1"/>
    <x v="2"/>
    <n v="215.89383611976601"/>
    <n v="13133.5416972858"/>
    <n v="47280.750110228801"/>
  </r>
  <r>
    <x v="0"/>
    <x v="0"/>
    <x v="0"/>
    <x v="8"/>
    <x v="16"/>
    <s v="SE4_MAL"/>
    <x v="0"/>
    <x v="0"/>
    <x v="1"/>
    <x v="3"/>
    <n v="217.10368873308099"/>
    <n v="13207.1410645958"/>
    <n v="47545.707832544802"/>
  </r>
  <r>
    <x v="0"/>
    <x v="0"/>
    <x v="0"/>
    <x v="8"/>
    <x v="16"/>
    <s v="SE4_MAL"/>
    <x v="0"/>
    <x v="0"/>
    <x v="1"/>
    <x v="4"/>
    <n v="221.56970336504801"/>
    <n v="13478.8236213738"/>
    <n v="48523.7650369455"/>
  </r>
  <r>
    <x v="0"/>
    <x v="0"/>
    <x v="0"/>
    <x v="8"/>
    <x v="16"/>
    <s v="SE4_MAL"/>
    <x v="0"/>
    <x v="0"/>
    <x v="1"/>
    <x v="5"/>
    <n v="244.156985055212"/>
    <n v="14852.8832575254"/>
    <n v="53470.379727091298"/>
  </r>
  <r>
    <x v="0"/>
    <x v="0"/>
    <x v="0"/>
    <x v="8"/>
    <x v="16"/>
    <s v="SE4_MAL"/>
    <x v="0"/>
    <x v="0"/>
    <x v="1"/>
    <x v="6"/>
    <n v="289.84040015827799"/>
    <n v="17631.9576762953"/>
    <n v="63475.047634663002"/>
  </r>
  <r>
    <x v="0"/>
    <x v="0"/>
    <x v="0"/>
    <x v="8"/>
    <x v="16"/>
    <s v="SE4_MAL"/>
    <x v="0"/>
    <x v="0"/>
    <x v="1"/>
    <x v="7"/>
    <n v="306.77261045422802"/>
    <n v="18662.000469298899"/>
    <n v="67183.2016894759"/>
  </r>
  <r>
    <x v="0"/>
    <x v="0"/>
    <x v="0"/>
    <x v="8"/>
    <x v="16"/>
    <s v="SE4_MAL"/>
    <x v="0"/>
    <x v="0"/>
    <x v="1"/>
    <x v="8"/>
    <n v="301.928040185528"/>
    <n v="18367.2891112863"/>
    <n v="66122.240800630607"/>
  </r>
  <r>
    <x v="0"/>
    <x v="0"/>
    <x v="0"/>
    <x v="8"/>
    <x v="16"/>
    <s v="SE4_MAL"/>
    <x v="0"/>
    <x v="0"/>
    <x v="1"/>
    <x v="9"/>
    <n v="295.72687506685497"/>
    <n v="17990.051566566999"/>
    <n v="64764.185639641299"/>
  </r>
  <r>
    <x v="0"/>
    <x v="0"/>
    <x v="0"/>
    <x v="8"/>
    <x v="16"/>
    <s v="SE4_MAL"/>
    <x v="0"/>
    <x v="0"/>
    <x v="1"/>
    <x v="10"/>
    <n v="288.61644200367999"/>
    <n v="17557.500221890499"/>
    <n v="63207.000798805901"/>
  </r>
  <r>
    <x v="0"/>
    <x v="0"/>
    <x v="0"/>
    <x v="8"/>
    <x v="16"/>
    <s v="SE4_MAL"/>
    <x v="0"/>
    <x v="0"/>
    <x v="1"/>
    <x v="11"/>
    <n v="278.42904750958502"/>
    <n v="16937.767056833101"/>
    <n v="60975.961404599002"/>
  </r>
  <r>
    <x v="0"/>
    <x v="0"/>
    <x v="0"/>
    <x v="8"/>
    <x v="16"/>
    <s v="SE4_MAL"/>
    <x v="0"/>
    <x v="0"/>
    <x v="2"/>
    <x v="0"/>
    <n v="212.24179456138299"/>
    <n v="12911.3758358174"/>
    <n v="46480.953008942801"/>
  </r>
  <r>
    <x v="0"/>
    <x v="0"/>
    <x v="0"/>
    <x v="8"/>
    <x v="16"/>
    <s v="SE4_MAL"/>
    <x v="0"/>
    <x v="0"/>
    <x v="2"/>
    <x v="1"/>
    <n v="210.70359947356101"/>
    <n v="12817.8023013083"/>
    <n v="46144.088284709898"/>
  </r>
  <r>
    <x v="0"/>
    <x v="0"/>
    <x v="0"/>
    <x v="8"/>
    <x v="16"/>
    <s v="SE4_MAL"/>
    <x v="0"/>
    <x v="0"/>
    <x v="2"/>
    <x v="2"/>
    <n v="207.200752628289"/>
    <n v="12604.7124515542"/>
    <n v="45376.964825595198"/>
  </r>
  <r>
    <x v="0"/>
    <x v="0"/>
    <x v="0"/>
    <x v="8"/>
    <x v="16"/>
    <s v="SE4_MAL"/>
    <x v="0"/>
    <x v="0"/>
    <x v="2"/>
    <x v="3"/>
    <n v="206.38343431988301"/>
    <n v="12554.992254459499"/>
    <n v="45197.972116054298"/>
  </r>
  <r>
    <x v="0"/>
    <x v="0"/>
    <x v="0"/>
    <x v="8"/>
    <x v="16"/>
    <s v="SE4_MAL"/>
    <x v="0"/>
    <x v="0"/>
    <x v="2"/>
    <x v="4"/>
    <n v="208.916841026105"/>
    <n v="12709.1078290881"/>
    <n v="45752.788184716999"/>
  </r>
  <r>
    <x v="0"/>
    <x v="0"/>
    <x v="0"/>
    <x v="8"/>
    <x v="16"/>
    <s v="SE4_MAL"/>
    <x v="0"/>
    <x v="0"/>
    <x v="2"/>
    <x v="5"/>
    <n v="228.193704279141"/>
    <n v="13881.7836769811"/>
    <n v="49974.421237131799"/>
  </r>
  <r>
    <x v="0"/>
    <x v="0"/>
    <x v="0"/>
    <x v="8"/>
    <x v="16"/>
    <s v="SE4_MAL"/>
    <x v="0"/>
    <x v="0"/>
    <x v="2"/>
    <x v="6"/>
    <n v="270.87928772794299"/>
    <n v="16478.490003449901"/>
    <n v="59322.564012419498"/>
  </r>
  <r>
    <x v="0"/>
    <x v="0"/>
    <x v="0"/>
    <x v="8"/>
    <x v="16"/>
    <s v="SE4_MAL"/>
    <x v="0"/>
    <x v="0"/>
    <x v="2"/>
    <x v="7"/>
    <n v="285.39321859760901"/>
    <n v="17361.420798021201"/>
    <n v="62501.114872876402"/>
  </r>
  <r>
    <x v="0"/>
    <x v="0"/>
    <x v="0"/>
    <x v="8"/>
    <x v="16"/>
    <s v="SE4_MAL"/>
    <x v="0"/>
    <x v="0"/>
    <x v="2"/>
    <x v="8"/>
    <n v="279.204992262367"/>
    <n v="16984.9703626273"/>
    <n v="61145.893305458398"/>
  </r>
  <r>
    <x v="0"/>
    <x v="0"/>
    <x v="0"/>
    <x v="8"/>
    <x v="16"/>
    <s v="SE4_MAL"/>
    <x v="0"/>
    <x v="0"/>
    <x v="2"/>
    <x v="9"/>
    <n v="271.29780197073802"/>
    <n v="16503.949619886502"/>
    <n v="59414.218631591597"/>
  </r>
  <r>
    <x v="0"/>
    <x v="0"/>
    <x v="0"/>
    <x v="8"/>
    <x v="16"/>
    <s v="SE4_MAL"/>
    <x v="0"/>
    <x v="0"/>
    <x v="2"/>
    <x v="10"/>
    <n v="265.84208313497101"/>
    <n v="16172.060057377401"/>
    <n v="58219.416206558599"/>
  </r>
  <r>
    <x v="0"/>
    <x v="0"/>
    <x v="0"/>
    <x v="8"/>
    <x v="16"/>
    <s v="SE4_MAL"/>
    <x v="0"/>
    <x v="0"/>
    <x v="2"/>
    <x v="11"/>
    <n v="259.47695599465999"/>
    <n v="15784.848156341801"/>
    <n v="56825.453362830602"/>
  </r>
  <r>
    <x v="0"/>
    <x v="0"/>
    <x v="0"/>
    <x v="8"/>
    <x v="16"/>
    <s v="SE4_MAL"/>
    <x v="0"/>
    <x v="0"/>
    <x v="3"/>
    <x v="0"/>
    <n v="237.51671318380801"/>
    <n v="14448.9333853483"/>
    <n v="52016.160187253903"/>
  </r>
  <r>
    <x v="0"/>
    <x v="0"/>
    <x v="0"/>
    <x v="8"/>
    <x v="16"/>
    <s v="SE4_MAL"/>
    <x v="0"/>
    <x v="0"/>
    <x v="3"/>
    <x v="1"/>
    <n v="234.45126693358301"/>
    <n v="14262.452071793001"/>
    <n v="51344.827458454798"/>
  </r>
  <r>
    <x v="0"/>
    <x v="0"/>
    <x v="0"/>
    <x v="8"/>
    <x v="16"/>
    <s v="SE4_MAL"/>
    <x v="0"/>
    <x v="0"/>
    <x v="3"/>
    <x v="2"/>
    <n v="232.81081173502099"/>
    <n v="14162.657713880501"/>
    <n v="50985.567769969697"/>
  </r>
  <r>
    <x v="0"/>
    <x v="0"/>
    <x v="0"/>
    <x v="8"/>
    <x v="16"/>
    <s v="SE4_MAL"/>
    <x v="0"/>
    <x v="0"/>
    <x v="3"/>
    <x v="3"/>
    <n v="234.01560700795901"/>
    <n v="14235.9494263175"/>
    <n v="51249.417934742902"/>
  </r>
  <r>
    <x v="0"/>
    <x v="0"/>
    <x v="0"/>
    <x v="8"/>
    <x v="16"/>
    <s v="SE4_MAL"/>
    <x v="0"/>
    <x v="0"/>
    <x v="3"/>
    <x v="4"/>
    <n v="239.14387176454801"/>
    <n v="14547.9188656767"/>
    <n v="52372.507916436"/>
  </r>
  <r>
    <x v="0"/>
    <x v="0"/>
    <x v="0"/>
    <x v="8"/>
    <x v="16"/>
    <s v="SE4_MAL"/>
    <x v="0"/>
    <x v="0"/>
    <x v="3"/>
    <x v="5"/>
    <n v="262.13825108076702"/>
    <n v="15946.7436074133"/>
    <n v="57408.276986687903"/>
  </r>
  <r>
    <x v="0"/>
    <x v="0"/>
    <x v="0"/>
    <x v="8"/>
    <x v="16"/>
    <s v="SE4_MAL"/>
    <x v="0"/>
    <x v="0"/>
    <x v="3"/>
    <x v="6"/>
    <n v="309.665216291896"/>
    <n v="18837.967324423698"/>
    <n v="67816.682367925197"/>
  </r>
  <r>
    <x v="0"/>
    <x v="0"/>
    <x v="0"/>
    <x v="8"/>
    <x v="16"/>
    <s v="SE4_MAL"/>
    <x v="0"/>
    <x v="0"/>
    <x v="3"/>
    <x v="7"/>
    <n v="328.19904291606701"/>
    <n v="19965.441777394099"/>
    <n v="71875.590398618704"/>
  </r>
  <r>
    <x v="0"/>
    <x v="0"/>
    <x v="0"/>
    <x v="8"/>
    <x v="16"/>
    <s v="SE4_MAL"/>
    <x v="0"/>
    <x v="0"/>
    <x v="3"/>
    <x v="8"/>
    <n v="323.52051713148597"/>
    <n v="19680.831458832101"/>
    <n v="70850.9932517954"/>
  </r>
  <r>
    <x v="0"/>
    <x v="0"/>
    <x v="0"/>
    <x v="8"/>
    <x v="16"/>
    <s v="SE4_MAL"/>
    <x v="0"/>
    <x v="0"/>
    <x v="3"/>
    <x v="9"/>
    <n v="313.15584566686601"/>
    <n v="19050.313944734298"/>
    <n v="68581.130201043605"/>
  </r>
  <r>
    <x v="0"/>
    <x v="0"/>
    <x v="0"/>
    <x v="8"/>
    <x v="16"/>
    <s v="SE4_MAL"/>
    <x v="0"/>
    <x v="0"/>
    <x v="3"/>
    <x v="10"/>
    <n v="304.40528582721998"/>
    <n v="18517.988221155902"/>
    <n v="66664.757596161304"/>
  </r>
  <r>
    <x v="0"/>
    <x v="0"/>
    <x v="0"/>
    <x v="8"/>
    <x v="16"/>
    <s v="SE4_MAL"/>
    <x v="0"/>
    <x v="0"/>
    <x v="3"/>
    <x v="11"/>
    <n v="296.43562521856097"/>
    <n v="18033.1672007958"/>
    <n v="64919.401922864898"/>
  </r>
  <r>
    <x v="0"/>
    <x v="0"/>
    <x v="0"/>
    <x v="8"/>
    <x v="16"/>
    <s v="SE4_MAL"/>
    <x v="0"/>
    <x v="0"/>
    <x v="4"/>
    <x v="0"/>
    <n v="244.86163237321901"/>
    <n v="14895.7493027042"/>
    <n v="53624.697489735001"/>
  </r>
  <r>
    <x v="0"/>
    <x v="0"/>
    <x v="0"/>
    <x v="8"/>
    <x v="16"/>
    <s v="SE4_MAL"/>
    <x v="0"/>
    <x v="0"/>
    <x v="4"/>
    <x v="1"/>
    <n v="242.783348039"/>
    <n v="14769.320339039199"/>
    <n v="53169.5532205411"/>
  </r>
  <r>
    <x v="0"/>
    <x v="0"/>
    <x v="0"/>
    <x v="8"/>
    <x v="16"/>
    <s v="SE4_MAL"/>
    <x v="0"/>
    <x v="0"/>
    <x v="4"/>
    <x v="2"/>
    <n v="242.19605813771699"/>
    <n v="14733.5935367111"/>
    <n v="53040.936732160102"/>
  </r>
  <r>
    <x v="0"/>
    <x v="0"/>
    <x v="0"/>
    <x v="8"/>
    <x v="16"/>
    <s v="SE4_MAL"/>
    <x v="0"/>
    <x v="0"/>
    <x v="4"/>
    <x v="3"/>
    <n v="244.40401380794199"/>
    <n v="14867.9108399831"/>
    <n v="53524.479023939202"/>
  </r>
  <r>
    <x v="0"/>
    <x v="0"/>
    <x v="0"/>
    <x v="8"/>
    <x v="16"/>
    <s v="SE4_MAL"/>
    <x v="0"/>
    <x v="0"/>
    <x v="4"/>
    <x v="4"/>
    <n v="250.64243917929099"/>
    <n v="15247.4150500736"/>
    <n v="54890.6941802648"/>
  </r>
  <r>
    <x v="0"/>
    <x v="0"/>
    <x v="0"/>
    <x v="8"/>
    <x v="16"/>
    <s v="SE4_MAL"/>
    <x v="0"/>
    <x v="0"/>
    <x v="4"/>
    <x v="5"/>
    <n v="274.44309366464199"/>
    <n v="16695.288197932401"/>
    <n v="60103.037512556599"/>
  </r>
  <r>
    <x v="0"/>
    <x v="0"/>
    <x v="0"/>
    <x v="8"/>
    <x v="16"/>
    <s v="SE4_MAL"/>
    <x v="0"/>
    <x v="0"/>
    <x v="4"/>
    <x v="6"/>
    <n v="322.57205403104001"/>
    <n v="19623.1332868883"/>
    <n v="70643.279832797794"/>
  </r>
  <r>
    <x v="0"/>
    <x v="0"/>
    <x v="0"/>
    <x v="8"/>
    <x v="16"/>
    <s v="SE4_MAL"/>
    <x v="0"/>
    <x v="0"/>
    <x v="4"/>
    <x v="7"/>
    <n v="341.80034347784601"/>
    <n v="20792.854228235599"/>
    <n v="74854.275221648306"/>
  </r>
  <r>
    <x v="0"/>
    <x v="0"/>
    <x v="0"/>
    <x v="8"/>
    <x v="16"/>
    <s v="SE4_MAL"/>
    <x v="0"/>
    <x v="0"/>
    <x v="4"/>
    <x v="8"/>
    <n v="336.58217466601297"/>
    <n v="20475.415625515801"/>
    <n v="73711.496251856996"/>
  </r>
  <r>
    <x v="0"/>
    <x v="0"/>
    <x v="0"/>
    <x v="8"/>
    <x v="16"/>
    <s v="SE4_MAL"/>
    <x v="0"/>
    <x v="0"/>
    <x v="4"/>
    <x v="9"/>
    <n v="326.65353168909797"/>
    <n v="19871.423177753499"/>
    <n v="71537.123439912393"/>
  </r>
  <r>
    <x v="0"/>
    <x v="0"/>
    <x v="0"/>
    <x v="8"/>
    <x v="16"/>
    <s v="SE4_MAL"/>
    <x v="0"/>
    <x v="0"/>
    <x v="4"/>
    <x v="10"/>
    <n v="314.965332489746"/>
    <n v="19160.391059792899"/>
    <n v="68977.407815254293"/>
  </r>
  <r>
    <x v="0"/>
    <x v="0"/>
    <x v="0"/>
    <x v="8"/>
    <x v="16"/>
    <s v="SE4_MAL"/>
    <x v="0"/>
    <x v="0"/>
    <x v="4"/>
    <x v="11"/>
    <n v="303.76752008352298"/>
    <n v="18479.190805081002"/>
    <n v="66525.086898291498"/>
  </r>
  <r>
    <x v="0"/>
    <x v="0"/>
    <x v="0"/>
    <x v="8"/>
    <x v="16"/>
    <s v="SE4_MAL"/>
    <x v="0"/>
    <x v="0"/>
    <x v="5"/>
    <x v="0"/>
    <n v="303.59323489096403"/>
    <n v="18468.588455867"/>
    <n v="66486.918441121205"/>
  </r>
  <r>
    <x v="0"/>
    <x v="0"/>
    <x v="0"/>
    <x v="8"/>
    <x v="16"/>
    <s v="SE4_MAL"/>
    <x v="0"/>
    <x v="0"/>
    <x v="5"/>
    <x v="1"/>
    <n v="305.088750054478"/>
    <n v="18559.5656283141"/>
    <n v="66814.436261930794"/>
  </r>
  <r>
    <x v="0"/>
    <x v="0"/>
    <x v="0"/>
    <x v="8"/>
    <x v="16"/>
    <s v="SE4_MAL"/>
    <x v="0"/>
    <x v="0"/>
    <x v="5"/>
    <x v="2"/>
    <n v="312.23957752830302"/>
    <n v="18994.5742996384"/>
    <n v="68380.467478698396"/>
  </r>
  <r>
    <x v="0"/>
    <x v="0"/>
    <x v="0"/>
    <x v="8"/>
    <x v="16"/>
    <s v="SE4_MAL"/>
    <x v="0"/>
    <x v="0"/>
    <x v="5"/>
    <x v="3"/>
    <n v="323.793825062797"/>
    <n v="19697.457691320102"/>
    <n v="70910.847688752503"/>
  </r>
  <r>
    <x v="0"/>
    <x v="0"/>
    <x v="0"/>
    <x v="8"/>
    <x v="16"/>
    <s v="SE4_MAL"/>
    <x v="0"/>
    <x v="0"/>
    <x v="5"/>
    <x v="4"/>
    <n v="341.34919778229801"/>
    <n v="20765.409531756501"/>
    <n v="74755.474314323306"/>
  </r>
  <r>
    <x v="0"/>
    <x v="0"/>
    <x v="0"/>
    <x v="8"/>
    <x v="16"/>
    <s v="SE4_MAL"/>
    <x v="0"/>
    <x v="0"/>
    <x v="5"/>
    <x v="5"/>
    <n v="366.54752109946401"/>
    <n v="22298.307533550698"/>
    <n v="80273.907120782605"/>
  </r>
  <r>
    <x v="0"/>
    <x v="0"/>
    <x v="0"/>
    <x v="8"/>
    <x v="16"/>
    <s v="SE4_MAL"/>
    <x v="0"/>
    <x v="0"/>
    <x v="5"/>
    <x v="6"/>
    <n v="422.04679483361502"/>
    <n v="25674.513352378199"/>
    <n v="92428.248068561603"/>
  </r>
  <r>
    <x v="0"/>
    <x v="0"/>
    <x v="0"/>
    <x v="8"/>
    <x v="16"/>
    <s v="SE4_MAL"/>
    <x v="0"/>
    <x v="0"/>
    <x v="5"/>
    <x v="7"/>
    <n v="444.269606746661"/>
    <n v="27026.401077088602"/>
    <n v="97295.043877518794"/>
  </r>
  <r>
    <x v="0"/>
    <x v="0"/>
    <x v="0"/>
    <x v="8"/>
    <x v="16"/>
    <s v="SE4_MAL"/>
    <x v="0"/>
    <x v="0"/>
    <x v="5"/>
    <x v="8"/>
    <n v="435.85578242301102"/>
    <n v="26514.560097399899"/>
    <n v="95452.416350639498"/>
  </r>
  <r>
    <x v="0"/>
    <x v="0"/>
    <x v="0"/>
    <x v="8"/>
    <x v="16"/>
    <s v="SE4_MAL"/>
    <x v="0"/>
    <x v="0"/>
    <x v="5"/>
    <x v="9"/>
    <n v="422.43431408545598"/>
    <n v="25698.0874401986"/>
    <n v="92513.114784714999"/>
  </r>
  <r>
    <x v="0"/>
    <x v="0"/>
    <x v="0"/>
    <x v="8"/>
    <x v="16"/>
    <s v="SE4_MAL"/>
    <x v="0"/>
    <x v="0"/>
    <x v="5"/>
    <x v="10"/>
    <n v="404.14820397003399"/>
    <n v="24585.682408176999"/>
    <n v="88508.456669437393"/>
  </r>
  <r>
    <x v="0"/>
    <x v="0"/>
    <x v="0"/>
    <x v="8"/>
    <x v="16"/>
    <s v="SE4_MAL"/>
    <x v="0"/>
    <x v="0"/>
    <x v="5"/>
    <x v="11"/>
    <n v="388.96708144005902"/>
    <n v="23662.164120936901"/>
    <n v="85183.7908353729"/>
  </r>
  <r>
    <x v="0"/>
    <x v="0"/>
    <x v="0"/>
    <x v="8"/>
    <x v="16"/>
    <s v="SE4_MAL"/>
    <x v="0"/>
    <x v="0"/>
    <x v="6"/>
    <x v="0"/>
    <n v="281.038726247841"/>
    <n v="17096.522513410298"/>
    <n v="61547.481048277099"/>
  </r>
  <r>
    <x v="0"/>
    <x v="0"/>
    <x v="0"/>
    <x v="8"/>
    <x v="16"/>
    <s v="SE4_MAL"/>
    <x v="0"/>
    <x v="0"/>
    <x v="6"/>
    <x v="1"/>
    <n v="283.83117288739197"/>
    <n v="17266.396350649698"/>
    <n v="62159.026862338796"/>
  </r>
  <r>
    <x v="0"/>
    <x v="0"/>
    <x v="0"/>
    <x v="8"/>
    <x v="16"/>
    <s v="SE4_MAL"/>
    <x v="0"/>
    <x v="0"/>
    <x v="6"/>
    <x v="2"/>
    <n v="289.17067454562402"/>
    <n v="17591.2160348588"/>
    <n v="63328.377725491599"/>
  </r>
  <r>
    <x v="0"/>
    <x v="0"/>
    <x v="0"/>
    <x v="8"/>
    <x v="16"/>
    <s v="SE4_MAL"/>
    <x v="0"/>
    <x v="0"/>
    <x v="6"/>
    <x v="3"/>
    <n v="297.866724727475"/>
    <n v="18120.225754254701"/>
    <n v="65232.812715316999"/>
  </r>
  <r>
    <x v="0"/>
    <x v="0"/>
    <x v="0"/>
    <x v="8"/>
    <x v="16"/>
    <s v="SE4_MAL"/>
    <x v="0"/>
    <x v="0"/>
    <x v="6"/>
    <x v="4"/>
    <n v="316.07421205841501"/>
    <n v="19227.847900220298"/>
    <n v="69220.252440792901"/>
  </r>
  <r>
    <x v="0"/>
    <x v="0"/>
    <x v="0"/>
    <x v="8"/>
    <x v="16"/>
    <s v="SE4_MAL"/>
    <x v="0"/>
    <x v="0"/>
    <x v="6"/>
    <x v="5"/>
    <n v="348.866160561453"/>
    <n v="21222.691434155098"/>
    <n v="76401.689162958297"/>
  </r>
  <r>
    <x v="0"/>
    <x v="0"/>
    <x v="0"/>
    <x v="8"/>
    <x v="16"/>
    <s v="SE4_MAL"/>
    <x v="0"/>
    <x v="0"/>
    <x v="6"/>
    <x v="6"/>
    <n v="407.14316977175099"/>
    <n v="24767.8761611148"/>
    <n v="89164.354180013397"/>
  </r>
  <r>
    <x v="0"/>
    <x v="0"/>
    <x v="0"/>
    <x v="8"/>
    <x v="16"/>
    <s v="SE4_MAL"/>
    <x v="0"/>
    <x v="0"/>
    <x v="6"/>
    <x v="7"/>
    <n v="436.80873313761799"/>
    <n v="26572.531265871799"/>
    <n v="95661.112557138302"/>
  </r>
  <r>
    <x v="0"/>
    <x v="0"/>
    <x v="0"/>
    <x v="8"/>
    <x v="16"/>
    <s v="SE4_MAL"/>
    <x v="0"/>
    <x v="0"/>
    <x v="6"/>
    <x v="8"/>
    <n v="430.63057753748302"/>
    <n v="26196.693466863599"/>
    <n v="94308.096480708802"/>
  </r>
  <r>
    <x v="0"/>
    <x v="0"/>
    <x v="0"/>
    <x v="8"/>
    <x v="16"/>
    <s v="SE4_MAL"/>
    <x v="0"/>
    <x v="0"/>
    <x v="6"/>
    <x v="9"/>
    <n v="410.20833525968999"/>
    <n v="24954.3403949645"/>
    <n v="89835.625421871999"/>
  </r>
  <r>
    <x v="0"/>
    <x v="0"/>
    <x v="0"/>
    <x v="8"/>
    <x v="16"/>
    <s v="SE4_MAL"/>
    <x v="0"/>
    <x v="0"/>
    <x v="6"/>
    <x v="10"/>
    <n v="386.20448794589498"/>
    <n v="23494.1063500419"/>
    <n v="84578.782860150997"/>
  </r>
  <r>
    <x v="0"/>
    <x v="0"/>
    <x v="0"/>
    <x v="8"/>
    <x v="16"/>
    <s v="SE4_MAL"/>
    <x v="0"/>
    <x v="0"/>
    <x v="6"/>
    <x v="11"/>
    <n v="363.09685262657899"/>
    <n v="22088.391868116902"/>
    <n v="79518.210725220793"/>
  </r>
  <r>
    <x v="0"/>
    <x v="0"/>
    <x v="0"/>
    <x v="8"/>
    <x v="16"/>
    <s v="SE4_MAL"/>
    <x v="0"/>
    <x v="0"/>
    <x v="7"/>
    <x v="0"/>
    <n v="219.71757856014301"/>
    <n v="13366.152695741999"/>
    <n v="48118.149704671203"/>
  </r>
  <r>
    <x v="0"/>
    <x v="0"/>
    <x v="0"/>
    <x v="8"/>
    <x v="16"/>
    <s v="SE4_MAL"/>
    <x v="0"/>
    <x v="0"/>
    <x v="7"/>
    <x v="1"/>
    <n v="218.546625363559"/>
    <n v="13294.919709616501"/>
    <n v="47861.710954619499"/>
  </r>
  <r>
    <x v="0"/>
    <x v="0"/>
    <x v="0"/>
    <x v="8"/>
    <x v="16"/>
    <s v="SE4_MAL"/>
    <x v="0"/>
    <x v="0"/>
    <x v="7"/>
    <x v="2"/>
    <n v="216.64881006680801"/>
    <n v="13179.4692790641"/>
    <n v="47446.089404630897"/>
  </r>
  <r>
    <x v="0"/>
    <x v="0"/>
    <x v="0"/>
    <x v="8"/>
    <x v="16"/>
    <s v="SE4_MAL"/>
    <x v="0"/>
    <x v="0"/>
    <x v="7"/>
    <x v="3"/>
    <n v="218.501819342869"/>
    <n v="13292.194010024499"/>
    <n v="47851.898436088202"/>
  </r>
  <r>
    <x v="0"/>
    <x v="0"/>
    <x v="0"/>
    <x v="8"/>
    <x v="16"/>
    <s v="SE4_MAL"/>
    <x v="0"/>
    <x v="0"/>
    <x v="7"/>
    <x v="4"/>
    <n v="224.912740449632"/>
    <n v="13682.1917106859"/>
    <n v="49255.890158469403"/>
  </r>
  <r>
    <x v="0"/>
    <x v="0"/>
    <x v="0"/>
    <x v="8"/>
    <x v="16"/>
    <s v="SE4_MAL"/>
    <x v="0"/>
    <x v="0"/>
    <x v="7"/>
    <x v="5"/>
    <n v="250.49719547199399"/>
    <n v="15238.579391212999"/>
    <n v="54858.8858083667"/>
  </r>
  <r>
    <x v="0"/>
    <x v="0"/>
    <x v="0"/>
    <x v="8"/>
    <x v="16"/>
    <s v="SE4_MAL"/>
    <x v="0"/>
    <x v="0"/>
    <x v="7"/>
    <x v="6"/>
    <n v="298.00636303084201"/>
    <n v="18128.720417709501"/>
    <n v="65263.393503754298"/>
  </r>
  <r>
    <x v="0"/>
    <x v="0"/>
    <x v="0"/>
    <x v="8"/>
    <x v="16"/>
    <s v="SE4_MAL"/>
    <x v="0"/>
    <x v="0"/>
    <x v="7"/>
    <x v="7"/>
    <n v="317.09695666879799"/>
    <n v="19290.064864018601"/>
    <n v="69444.233510466802"/>
  </r>
  <r>
    <x v="0"/>
    <x v="0"/>
    <x v="0"/>
    <x v="8"/>
    <x v="16"/>
    <s v="SE4_MAL"/>
    <x v="0"/>
    <x v="0"/>
    <x v="7"/>
    <x v="8"/>
    <n v="310.77949781957199"/>
    <n v="18905.752784024"/>
    <n v="68060.710022486397"/>
  </r>
  <r>
    <x v="0"/>
    <x v="0"/>
    <x v="0"/>
    <x v="8"/>
    <x v="16"/>
    <s v="SE4_MAL"/>
    <x v="0"/>
    <x v="0"/>
    <x v="7"/>
    <x v="9"/>
    <n v="299.84929770287903"/>
    <n v="18240.832276925099"/>
    <n v="65666.9961969305"/>
  </r>
  <r>
    <x v="0"/>
    <x v="0"/>
    <x v="0"/>
    <x v="8"/>
    <x v="16"/>
    <s v="SE4_MAL"/>
    <x v="0"/>
    <x v="0"/>
    <x v="7"/>
    <x v="10"/>
    <n v="289.63985016055699"/>
    <n v="17619.757551433901"/>
    <n v="63431.127185161997"/>
  </r>
  <r>
    <x v="0"/>
    <x v="0"/>
    <x v="0"/>
    <x v="8"/>
    <x v="16"/>
    <s v="SE4_MAL"/>
    <x v="0"/>
    <x v="0"/>
    <x v="7"/>
    <x v="11"/>
    <n v="278.76778788057101"/>
    <n v="16958.3737627347"/>
    <n v="61050.145545845"/>
  </r>
  <r>
    <x v="0"/>
    <x v="0"/>
    <x v="0"/>
    <x v="8"/>
    <x v="16"/>
    <s v="SE4_MAL"/>
    <x v="0"/>
    <x v="0"/>
    <x v="8"/>
    <x v="0"/>
    <n v="216.663398579031"/>
    <n v="13180.356746891101"/>
    <n v="47449.284288807903"/>
  </r>
  <r>
    <x v="0"/>
    <x v="0"/>
    <x v="0"/>
    <x v="8"/>
    <x v="16"/>
    <s v="SE4_MAL"/>
    <x v="0"/>
    <x v="0"/>
    <x v="8"/>
    <x v="1"/>
    <n v="219.854522968689"/>
    <n v="13374.4834805953"/>
    <n v="48148.140530142999"/>
  </r>
  <r>
    <x v="0"/>
    <x v="0"/>
    <x v="0"/>
    <x v="8"/>
    <x v="16"/>
    <s v="SE4_MAL"/>
    <x v="0"/>
    <x v="0"/>
    <x v="8"/>
    <x v="2"/>
    <n v="222.57857242169999"/>
    <n v="13540.196488986699"/>
    <n v="48744.7073603522"/>
  </r>
  <r>
    <x v="0"/>
    <x v="0"/>
    <x v="0"/>
    <x v="8"/>
    <x v="16"/>
    <s v="SE4_MAL"/>
    <x v="0"/>
    <x v="0"/>
    <x v="8"/>
    <x v="3"/>
    <n v="227.36681958859401"/>
    <n v="13831.4815249728"/>
    <n v="49793.333489901997"/>
  </r>
  <r>
    <x v="0"/>
    <x v="0"/>
    <x v="0"/>
    <x v="8"/>
    <x v="16"/>
    <s v="SE4_MAL"/>
    <x v="0"/>
    <x v="0"/>
    <x v="8"/>
    <x v="4"/>
    <n v="234.82291926294101"/>
    <n v="14285.060921828899"/>
    <n v="51426.219318584001"/>
  </r>
  <r>
    <x v="0"/>
    <x v="0"/>
    <x v="0"/>
    <x v="8"/>
    <x v="16"/>
    <s v="SE4_MAL"/>
    <x v="0"/>
    <x v="0"/>
    <x v="8"/>
    <x v="5"/>
    <n v="256.84416897352497"/>
    <n v="15624.6869458895"/>
    <n v="56248.873005201996"/>
  </r>
  <r>
    <x v="0"/>
    <x v="0"/>
    <x v="0"/>
    <x v="8"/>
    <x v="16"/>
    <s v="SE4_MAL"/>
    <x v="0"/>
    <x v="0"/>
    <x v="8"/>
    <x v="6"/>
    <n v="306.44260598354202"/>
    <n v="18641.925197332101"/>
    <n v="67110.930710395696"/>
  </r>
  <r>
    <x v="0"/>
    <x v="0"/>
    <x v="0"/>
    <x v="8"/>
    <x v="16"/>
    <s v="SE4_MAL"/>
    <x v="0"/>
    <x v="0"/>
    <x v="8"/>
    <x v="7"/>
    <n v="318.71348515646002"/>
    <n v="19388.403680351301"/>
    <n v="69798.253249264701"/>
  </r>
  <r>
    <x v="0"/>
    <x v="0"/>
    <x v="0"/>
    <x v="8"/>
    <x v="16"/>
    <s v="SE4_MAL"/>
    <x v="0"/>
    <x v="0"/>
    <x v="8"/>
    <x v="8"/>
    <n v="303.32766936966101"/>
    <n v="18452.433219987699"/>
    <n v="66428.759591955793"/>
  </r>
  <r>
    <x v="0"/>
    <x v="0"/>
    <x v="0"/>
    <x v="8"/>
    <x v="16"/>
    <s v="SE4_MAL"/>
    <x v="0"/>
    <x v="0"/>
    <x v="8"/>
    <x v="9"/>
    <n v="284.685297369252"/>
    <n v="17318.355589962801"/>
    <n v="62346.080123866202"/>
  </r>
  <r>
    <x v="0"/>
    <x v="0"/>
    <x v="0"/>
    <x v="8"/>
    <x v="16"/>
    <s v="SE4_MAL"/>
    <x v="0"/>
    <x v="0"/>
    <x v="8"/>
    <x v="10"/>
    <n v="273.64002379956202"/>
    <n v="16646.434781140098"/>
    <n v="59927.165212104199"/>
  </r>
  <r>
    <x v="0"/>
    <x v="0"/>
    <x v="0"/>
    <x v="8"/>
    <x v="16"/>
    <s v="SE4_MAL"/>
    <x v="0"/>
    <x v="0"/>
    <x v="8"/>
    <x v="11"/>
    <n v="266.30907443206098"/>
    <n v="16200.468694617"/>
    <n v="58321.687300621299"/>
  </r>
  <r>
    <x v="0"/>
    <x v="0"/>
    <x v="0"/>
    <x v="8"/>
    <x v="16"/>
    <s v="SE4_MAL"/>
    <x v="0"/>
    <x v="0"/>
    <x v="9"/>
    <x v="0"/>
    <n v="200.17093577041601"/>
    <n v="12177.065259367"/>
    <n v="43837.434933721102"/>
  </r>
  <r>
    <x v="0"/>
    <x v="0"/>
    <x v="0"/>
    <x v="8"/>
    <x v="16"/>
    <s v="SE4_MAL"/>
    <x v="0"/>
    <x v="0"/>
    <x v="9"/>
    <x v="1"/>
    <n v="201.444090145328"/>
    <n v="12254.5154838408"/>
    <n v="44116.255741826797"/>
  </r>
  <r>
    <x v="0"/>
    <x v="0"/>
    <x v="0"/>
    <x v="8"/>
    <x v="16"/>
    <s v="SE4_MAL"/>
    <x v="0"/>
    <x v="0"/>
    <x v="9"/>
    <x v="2"/>
    <n v="201.529168615006"/>
    <n v="12259.691090746201"/>
    <n v="44134.887926686199"/>
  </r>
  <r>
    <x v="0"/>
    <x v="0"/>
    <x v="0"/>
    <x v="8"/>
    <x v="16"/>
    <s v="SE4_MAL"/>
    <x v="0"/>
    <x v="0"/>
    <x v="9"/>
    <x v="3"/>
    <n v="204.840306262914"/>
    <n v="12461.1186309939"/>
    <n v="44860.027071578101"/>
  </r>
  <r>
    <x v="0"/>
    <x v="0"/>
    <x v="0"/>
    <x v="8"/>
    <x v="16"/>
    <s v="SE4_MAL"/>
    <x v="0"/>
    <x v="0"/>
    <x v="9"/>
    <x v="4"/>
    <n v="211.037966946176"/>
    <n v="12838.1429892257"/>
    <n v="46217.314761212503"/>
  </r>
  <r>
    <x v="0"/>
    <x v="0"/>
    <x v="0"/>
    <x v="8"/>
    <x v="16"/>
    <s v="SE4_MAL"/>
    <x v="0"/>
    <x v="0"/>
    <x v="9"/>
    <x v="5"/>
    <n v="232.67672831713199"/>
    <n v="14154.500972625499"/>
    <n v="50956.203501451899"/>
  </r>
  <r>
    <x v="0"/>
    <x v="0"/>
    <x v="0"/>
    <x v="8"/>
    <x v="16"/>
    <s v="SE4_MAL"/>
    <x v="0"/>
    <x v="0"/>
    <x v="9"/>
    <x v="6"/>
    <n v="279.78654550690999"/>
    <n v="17020.348185003699"/>
    <n v="61273.253466013302"/>
  </r>
  <r>
    <x v="0"/>
    <x v="0"/>
    <x v="0"/>
    <x v="8"/>
    <x v="16"/>
    <s v="SE4_MAL"/>
    <x v="0"/>
    <x v="0"/>
    <x v="9"/>
    <x v="7"/>
    <n v="293.28225812071003"/>
    <n v="17841.337369009801"/>
    <n v="64228.814528435403"/>
  </r>
  <r>
    <x v="0"/>
    <x v="0"/>
    <x v="0"/>
    <x v="8"/>
    <x v="16"/>
    <s v="SE4_MAL"/>
    <x v="0"/>
    <x v="0"/>
    <x v="9"/>
    <x v="8"/>
    <n v="283.67662334490399"/>
    <n v="17256.994586814999"/>
    <n v="62125.180512534003"/>
  </r>
  <r>
    <x v="0"/>
    <x v="0"/>
    <x v="0"/>
    <x v="8"/>
    <x v="16"/>
    <s v="SE4_MAL"/>
    <x v="0"/>
    <x v="0"/>
    <x v="9"/>
    <x v="9"/>
    <n v="269.619371614643"/>
    <n v="16401.845106557499"/>
    <n v="59046.642383606799"/>
  </r>
  <r>
    <x v="0"/>
    <x v="0"/>
    <x v="0"/>
    <x v="8"/>
    <x v="16"/>
    <s v="SE4_MAL"/>
    <x v="0"/>
    <x v="0"/>
    <x v="9"/>
    <x v="10"/>
    <n v="258.104204489116"/>
    <n v="15701.339106421199"/>
    <n v="56524.820783116498"/>
  </r>
  <r>
    <x v="0"/>
    <x v="0"/>
    <x v="0"/>
    <x v="8"/>
    <x v="16"/>
    <s v="SE4_MAL"/>
    <x v="0"/>
    <x v="0"/>
    <x v="9"/>
    <x v="11"/>
    <n v="246.857691919215"/>
    <n v="15017.1762584189"/>
    <n v="54061.834530307999"/>
  </r>
  <r>
    <x v="0"/>
    <x v="0"/>
    <x v="0"/>
    <x v="8"/>
    <x v="16"/>
    <s v="SE4_MAL"/>
    <x v="0"/>
    <x v="0"/>
    <x v="10"/>
    <x v="0"/>
    <n v="131.243471704141"/>
    <n v="7983.9778620018997"/>
    <n v="28742.3203032069"/>
  </r>
  <r>
    <x v="0"/>
    <x v="0"/>
    <x v="0"/>
    <x v="8"/>
    <x v="16"/>
    <s v="SE4_MAL"/>
    <x v="0"/>
    <x v="0"/>
    <x v="10"/>
    <x v="1"/>
    <n v="133.51478859557699"/>
    <n v="8122.1496395642998"/>
    <n v="29239.738702431499"/>
  </r>
  <r>
    <x v="0"/>
    <x v="0"/>
    <x v="0"/>
    <x v="8"/>
    <x v="16"/>
    <s v="SE4_MAL"/>
    <x v="0"/>
    <x v="0"/>
    <x v="10"/>
    <x v="2"/>
    <n v="131.931972786709"/>
    <n v="8025.8616778581099"/>
    <n v="28893.102040289199"/>
  </r>
  <r>
    <x v="0"/>
    <x v="0"/>
    <x v="0"/>
    <x v="8"/>
    <x v="16"/>
    <s v="SE4_MAL"/>
    <x v="0"/>
    <x v="0"/>
    <x v="10"/>
    <x v="3"/>
    <n v="134.58064755271801"/>
    <n v="8186.9893927903604"/>
    <n v="29473.161814045299"/>
  </r>
  <r>
    <x v="0"/>
    <x v="0"/>
    <x v="0"/>
    <x v="8"/>
    <x v="16"/>
    <s v="SE4_MAL"/>
    <x v="0"/>
    <x v="0"/>
    <x v="10"/>
    <x v="4"/>
    <n v="137.73671661876801"/>
    <n v="8378.9835943083999"/>
    <n v="30164.340939510199"/>
  </r>
  <r>
    <x v="0"/>
    <x v="0"/>
    <x v="0"/>
    <x v="8"/>
    <x v="16"/>
    <s v="SE4_MAL"/>
    <x v="0"/>
    <x v="0"/>
    <x v="10"/>
    <x v="5"/>
    <n v="157.762156150843"/>
    <n v="9597.1978325096406"/>
    <n v="34549.912197034697"/>
  </r>
  <r>
    <x v="0"/>
    <x v="0"/>
    <x v="0"/>
    <x v="8"/>
    <x v="16"/>
    <s v="SE4_MAL"/>
    <x v="0"/>
    <x v="0"/>
    <x v="10"/>
    <x v="6"/>
    <n v="193.45742644406499"/>
    <n v="11768.6601086806"/>
    <n v="42367.176391250301"/>
  </r>
  <r>
    <x v="0"/>
    <x v="0"/>
    <x v="0"/>
    <x v="8"/>
    <x v="16"/>
    <s v="SE4_MAL"/>
    <x v="0"/>
    <x v="0"/>
    <x v="10"/>
    <x v="7"/>
    <n v="194.79586748554999"/>
    <n v="11850.081938704299"/>
    <n v="42660.2949793355"/>
  </r>
  <r>
    <x v="0"/>
    <x v="0"/>
    <x v="0"/>
    <x v="8"/>
    <x v="16"/>
    <s v="SE4_MAL"/>
    <x v="0"/>
    <x v="0"/>
    <x v="10"/>
    <x v="8"/>
    <n v="174.31241006670899"/>
    <n v="10604.004945724801"/>
    <n v="38174.4178046093"/>
  </r>
  <r>
    <x v="0"/>
    <x v="0"/>
    <x v="0"/>
    <x v="8"/>
    <x v="16"/>
    <s v="SE4_MAL"/>
    <x v="0"/>
    <x v="0"/>
    <x v="10"/>
    <x v="9"/>
    <n v="158.24413520451799"/>
    <n v="9626.5182249415393"/>
    <n v="34655.465609789499"/>
  </r>
  <r>
    <x v="0"/>
    <x v="0"/>
    <x v="0"/>
    <x v="8"/>
    <x v="16"/>
    <s v="SE4_MAL"/>
    <x v="0"/>
    <x v="0"/>
    <x v="10"/>
    <x v="10"/>
    <n v="147.32924855241501"/>
    <n v="8962.5292869386103"/>
    <n v="32265.105432978999"/>
  </r>
  <r>
    <x v="0"/>
    <x v="0"/>
    <x v="0"/>
    <x v="8"/>
    <x v="16"/>
    <s v="SE4_MAL"/>
    <x v="0"/>
    <x v="0"/>
    <x v="10"/>
    <x v="11"/>
    <n v="142.25685350742799"/>
    <n v="8653.9585883685304"/>
    <n v="31154.250918126701"/>
  </r>
  <r>
    <x v="0"/>
    <x v="0"/>
    <x v="0"/>
    <x v="8"/>
    <x v="16"/>
    <s v="SE4_MAL"/>
    <x v="0"/>
    <x v="0"/>
    <x v="11"/>
    <x v="0"/>
    <n v="158.64680977460199"/>
    <n v="9651.0142612882992"/>
    <n v="34743.651340637902"/>
  </r>
  <r>
    <x v="0"/>
    <x v="0"/>
    <x v="0"/>
    <x v="8"/>
    <x v="16"/>
    <s v="SE4_MAL"/>
    <x v="0"/>
    <x v="0"/>
    <x v="11"/>
    <x v="1"/>
    <n v="161.736586349216"/>
    <n v="9838.9756695772994"/>
    <n v="35420.312410478298"/>
  </r>
  <r>
    <x v="0"/>
    <x v="0"/>
    <x v="0"/>
    <x v="8"/>
    <x v="16"/>
    <s v="SE4_MAL"/>
    <x v="0"/>
    <x v="0"/>
    <x v="11"/>
    <x v="2"/>
    <n v="160.87758090352199"/>
    <n v="9786.7195049642596"/>
    <n v="35232.190217871299"/>
  </r>
  <r>
    <x v="0"/>
    <x v="0"/>
    <x v="0"/>
    <x v="8"/>
    <x v="16"/>
    <s v="SE4_MAL"/>
    <x v="0"/>
    <x v="0"/>
    <x v="11"/>
    <x v="3"/>
    <n v="163.020769425189"/>
    <n v="9917.0968066989808"/>
    <n v="35701.548504116297"/>
  </r>
  <r>
    <x v="0"/>
    <x v="0"/>
    <x v="0"/>
    <x v="8"/>
    <x v="16"/>
    <s v="SE4_MAL"/>
    <x v="0"/>
    <x v="0"/>
    <x v="11"/>
    <x v="4"/>
    <n v="166.53477110109401"/>
    <n v="10130.8652419832"/>
    <n v="36471.1148711395"/>
  </r>
  <r>
    <x v="0"/>
    <x v="0"/>
    <x v="0"/>
    <x v="8"/>
    <x v="16"/>
    <s v="SE4_MAL"/>
    <x v="0"/>
    <x v="0"/>
    <x v="11"/>
    <x v="5"/>
    <n v="186.928868141544"/>
    <n v="11371.506145277301"/>
    <n v="40937.422122998098"/>
  </r>
  <r>
    <x v="0"/>
    <x v="0"/>
    <x v="0"/>
    <x v="8"/>
    <x v="16"/>
    <s v="SE4_MAL"/>
    <x v="0"/>
    <x v="0"/>
    <x v="11"/>
    <x v="6"/>
    <n v="225.99326126616799"/>
    <n v="13747.923393691901"/>
    <n v="49492.524217290797"/>
  </r>
  <r>
    <x v="0"/>
    <x v="0"/>
    <x v="0"/>
    <x v="8"/>
    <x v="16"/>
    <s v="SE4_MAL"/>
    <x v="0"/>
    <x v="0"/>
    <x v="11"/>
    <x v="7"/>
    <n v="229.38328806513599"/>
    <n v="13954.1500239625"/>
    <n v="50234.940086264898"/>
  </r>
  <r>
    <x v="0"/>
    <x v="0"/>
    <x v="0"/>
    <x v="8"/>
    <x v="16"/>
    <s v="SE4_MAL"/>
    <x v="0"/>
    <x v="0"/>
    <x v="11"/>
    <x v="8"/>
    <n v="210.87812001730299"/>
    <n v="12828.418967719301"/>
    <n v="46182.308283789302"/>
  </r>
  <r>
    <x v="0"/>
    <x v="0"/>
    <x v="0"/>
    <x v="8"/>
    <x v="16"/>
    <s v="SE4_MAL"/>
    <x v="0"/>
    <x v="0"/>
    <x v="11"/>
    <x v="9"/>
    <n v="194.536764073265"/>
    <n v="11834.319814457"/>
    <n v="42603.551332044997"/>
  </r>
  <r>
    <x v="0"/>
    <x v="0"/>
    <x v="0"/>
    <x v="8"/>
    <x v="16"/>
    <s v="SE4_MAL"/>
    <x v="0"/>
    <x v="0"/>
    <x v="11"/>
    <x v="10"/>
    <n v="184.00979336740801"/>
    <n v="11193.9290965173"/>
    <n v="40298.144747462298"/>
  </r>
  <r>
    <x v="0"/>
    <x v="0"/>
    <x v="0"/>
    <x v="8"/>
    <x v="16"/>
    <s v="SE4_MAL"/>
    <x v="0"/>
    <x v="0"/>
    <x v="11"/>
    <x v="11"/>
    <n v="176.44160404446001"/>
    <n v="10733.5309127047"/>
    <n v="38640.711285736797"/>
  </r>
  <r>
    <x v="0"/>
    <x v="0"/>
    <x v="0"/>
    <x v="8"/>
    <x v="16"/>
    <s v="SE4_OTHER"/>
    <x v="0"/>
    <x v="0"/>
    <x v="0"/>
    <x v="0"/>
    <n v="333.35053748606703"/>
    <n v="20278.824363735701"/>
    <n v="73003.767709448701"/>
  </r>
  <r>
    <x v="0"/>
    <x v="0"/>
    <x v="0"/>
    <x v="8"/>
    <x v="16"/>
    <s v="SE4_OTHER"/>
    <x v="0"/>
    <x v="0"/>
    <x v="0"/>
    <x v="1"/>
    <n v="327.04964730442799"/>
    <n v="19895.5202110194"/>
    <n v="71623.872759669699"/>
  </r>
  <r>
    <x v="0"/>
    <x v="0"/>
    <x v="0"/>
    <x v="8"/>
    <x v="16"/>
    <s v="SE4_OTHER"/>
    <x v="0"/>
    <x v="0"/>
    <x v="0"/>
    <x v="2"/>
    <n v="317.05041086425598"/>
    <n v="19287.233327575599"/>
    <n v="69434.039979271998"/>
  </r>
  <r>
    <x v="0"/>
    <x v="0"/>
    <x v="0"/>
    <x v="8"/>
    <x v="16"/>
    <s v="SE4_OTHER"/>
    <x v="0"/>
    <x v="0"/>
    <x v="0"/>
    <x v="3"/>
    <n v="315.669270123584"/>
    <n v="19203.213932518"/>
    <n v="69131.570157064794"/>
  </r>
  <r>
    <x v="0"/>
    <x v="0"/>
    <x v="0"/>
    <x v="8"/>
    <x v="16"/>
    <s v="SE4_OTHER"/>
    <x v="0"/>
    <x v="0"/>
    <x v="0"/>
    <x v="4"/>
    <n v="327.23550734080999"/>
    <n v="19906.826696566"/>
    <n v="71664.576107637404"/>
  </r>
  <r>
    <x v="0"/>
    <x v="0"/>
    <x v="0"/>
    <x v="8"/>
    <x v="16"/>
    <s v="SE4_OTHER"/>
    <x v="0"/>
    <x v="0"/>
    <x v="0"/>
    <x v="5"/>
    <n v="374.657850585593"/>
    <n v="22791.685910623601"/>
    <n v="82050.069278244904"/>
  </r>
  <r>
    <x v="0"/>
    <x v="0"/>
    <x v="0"/>
    <x v="8"/>
    <x v="16"/>
    <s v="SE4_OTHER"/>
    <x v="0"/>
    <x v="0"/>
    <x v="0"/>
    <x v="6"/>
    <n v="452.78483449761097"/>
    <n v="27544.410765271299"/>
    <n v="99159.878754976802"/>
  </r>
  <r>
    <x v="0"/>
    <x v="0"/>
    <x v="0"/>
    <x v="8"/>
    <x v="16"/>
    <s v="SE4_OTHER"/>
    <x v="0"/>
    <x v="0"/>
    <x v="0"/>
    <x v="7"/>
    <n v="484.53116743111002"/>
    <n v="29475.6460187259"/>
    <n v="106112.325667413"/>
  </r>
  <r>
    <x v="0"/>
    <x v="0"/>
    <x v="0"/>
    <x v="8"/>
    <x v="16"/>
    <s v="SE4_OTHER"/>
    <x v="0"/>
    <x v="0"/>
    <x v="0"/>
    <x v="8"/>
    <n v="484.91043021372201"/>
    <n v="29498.717838001401"/>
    <n v="106195.384216805"/>
  </r>
  <r>
    <x v="0"/>
    <x v="0"/>
    <x v="0"/>
    <x v="8"/>
    <x v="16"/>
    <s v="SE4_OTHER"/>
    <x v="0"/>
    <x v="0"/>
    <x v="0"/>
    <x v="9"/>
    <n v="461.219118198187"/>
    <n v="28057.4963570564"/>
    <n v="101006.98688540301"/>
  </r>
  <r>
    <x v="0"/>
    <x v="0"/>
    <x v="0"/>
    <x v="8"/>
    <x v="16"/>
    <s v="SE4_OTHER"/>
    <x v="0"/>
    <x v="0"/>
    <x v="0"/>
    <x v="10"/>
    <n v="467.74043491042602"/>
    <n v="28454.209790384299"/>
    <n v="102435.15524538299"/>
  </r>
  <r>
    <x v="0"/>
    <x v="0"/>
    <x v="0"/>
    <x v="8"/>
    <x v="16"/>
    <s v="SE4_OTHER"/>
    <x v="0"/>
    <x v="0"/>
    <x v="0"/>
    <x v="11"/>
    <n v="471.22589668616899"/>
    <n v="28666.2420484086"/>
    <n v="103198.471374271"/>
  </r>
  <r>
    <x v="0"/>
    <x v="0"/>
    <x v="0"/>
    <x v="8"/>
    <x v="16"/>
    <s v="SE4_OTHER"/>
    <x v="0"/>
    <x v="0"/>
    <x v="1"/>
    <x v="0"/>
    <n v="466.30625951075899"/>
    <n v="28366.964120237899"/>
    <n v="102121.070832856"/>
  </r>
  <r>
    <x v="0"/>
    <x v="0"/>
    <x v="0"/>
    <x v="8"/>
    <x v="16"/>
    <s v="SE4_OTHER"/>
    <x v="0"/>
    <x v="0"/>
    <x v="1"/>
    <x v="1"/>
    <n v="463.49687870761397"/>
    <n v="28196.0601213798"/>
    <n v="101505.816436967"/>
  </r>
  <r>
    <x v="0"/>
    <x v="0"/>
    <x v="0"/>
    <x v="8"/>
    <x v="16"/>
    <s v="SE4_OTHER"/>
    <x v="0"/>
    <x v="0"/>
    <x v="1"/>
    <x v="2"/>
    <n v="463.15976901656302"/>
    <n v="28175.5526151743"/>
    <n v="101431.98941462699"/>
  </r>
  <r>
    <x v="0"/>
    <x v="0"/>
    <x v="0"/>
    <x v="8"/>
    <x v="16"/>
    <s v="SE4_OTHER"/>
    <x v="0"/>
    <x v="0"/>
    <x v="1"/>
    <x v="3"/>
    <n v="475.45464651130402"/>
    <n v="28923.490996104301"/>
    <n v="104124.56758597599"/>
  </r>
  <r>
    <x v="0"/>
    <x v="0"/>
    <x v="0"/>
    <x v="8"/>
    <x v="16"/>
    <s v="SE4_OTHER"/>
    <x v="0"/>
    <x v="0"/>
    <x v="1"/>
    <x v="4"/>
    <n v="500.19748379156601"/>
    <n v="30428.680263987"/>
    <n v="109543.24895035299"/>
  </r>
  <r>
    <x v="0"/>
    <x v="0"/>
    <x v="0"/>
    <x v="8"/>
    <x v="16"/>
    <s v="SE4_OTHER"/>
    <x v="0"/>
    <x v="0"/>
    <x v="1"/>
    <x v="5"/>
    <n v="548.88157814705301"/>
    <n v="33390.296003945703"/>
    <n v="120205.065614205"/>
  </r>
  <r>
    <x v="0"/>
    <x v="0"/>
    <x v="0"/>
    <x v="8"/>
    <x v="16"/>
    <s v="SE4_OTHER"/>
    <x v="0"/>
    <x v="0"/>
    <x v="1"/>
    <x v="6"/>
    <n v="651.46202583904096"/>
    <n v="39630.606571875003"/>
    <n v="142670.18365875"/>
  </r>
  <r>
    <x v="0"/>
    <x v="0"/>
    <x v="0"/>
    <x v="8"/>
    <x v="16"/>
    <s v="SE4_OTHER"/>
    <x v="0"/>
    <x v="0"/>
    <x v="1"/>
    <x v="7"/>
    <n v="701.25425346809595"/>
    <n v="42659.633752642498"/>
    <n v="153574.681509513"/>
  </r>
  <r>
    <x v="0"/>
    <x v="0"/>
    <x v="0"/>
    <x v="8"/>
    <x v="16"/>
    <s v="SE4_OTHER"/>
    <x v="0"/>
    <x v="0"/>
    <x v="1"/>
    <x v="8"/>
    <n v="702.97734435368204"/>
    <n v="42764.455114848999"/>
    <n v="153952.038413456"/>
  </r>
  <r>
    <x v="0"/>
    <x v="0"/>
    <x v="0"/>
    <x v="8"/>
    <x v="16"/>
    <s v="SE4_OTHER"/>
    <x v="0"/>
    <x v="0"/>
    <x v="1"/>
    <x v="9"/>
    <n v="683.93338539906199"/>
    <n v="41605.947611776297"/>
    <n v="149781.411402395"/>
  </r>
  <r>
    <x v="0"/>
    <x v="0"/>
    <x v="0"/>
    <x v="8"/>
    <x v="16"/>
    <s v="SE4_OTHER"/>
    <x v="0"/>
    <x v="0"/>
    <x v="1"/>
    <x v="10"/>
    <n v="667.10841555989805"/>
    <n v="40582.428613227101"/>
    <n v="146096.743007618"/>
  </r>
  <r>
    <x v="0"/>
    <x v="0"/>
    <x v="0"/>
    <x v="8"/>
    <x v="16"/>
    <s v="SE4_OTHER"/>
    <x v="0"/>
    <x v="0"/>
    <x v="1"/>
    <x v="11"/>
    <n v="643.16352566975002"/>
    <n v="39125.781144909801"/>
    <n v="140852.812121675"/>
  </r>
  <r>
    <x v="0"/>
    <x v="0"/>
    <x v="0"/>
    <x v="8"/>
    <x v="16"/>
    <s v="SE4_OTHER"/>
    <x v="0"/>
    <x v="0"/>
    <x v="2"/>
    <x v="0"/>
    <n v="459.510318305"/>
    <n v="27953.5443635542"/>
    <n v="100632.759708795"/>
  </r>
  <r>
    <x v="0"/>
    <x v="0"/>
    <x v="0"/>
    <x v="8"/>
    <x v="16"/>
    <s v="SE4_OTHER"/>
    <x v="0"/>
    <x v="0"/>
    <x v="2"/>
    <x v="1"/>
    <n v="455.23037135906202"/>
    <n v="27693.180924342902"/>
    <n v="99695.451327634495"/>
  </r>
  <r>
    <x v="0"/>
    <x v="0"/>
    <x v="0"/>
    <x v="8"/>
    <x v="16"/>
    <s v="SE4_OTHER"/>
    <x v="0"/>
    <x v="0"/>
    <x v="2"/>
    <x v="2"/>
    <n v="451.09961114030102"/>
    <n v="27441.893011035001"/>
    <n v="98790.814839725994"/>
  </r>
  <r>
    <x v="0"/>
    <x v="0"/>
    <x v="0"/>
    <x v="8"/>
    <x v="16"/>
    <s v="SE4_OTHER"/>
    <x v="0"/>
    <x v="0"/>
    <x v="2"/>
    <x v="3"/>
    <n v="454.62509458313002"/>
    <n v="27656.3599204737"/>
    <n v="99562.895713705395"/>
  </r>
  <r>
    <x v="0"/>
    <x v="0"/>
    <x v="0"/>
    <x v="8"/>
    <x v="16"/>
    <s v="SE4_OTHER"/>
    <x v="0"/>
    <x v="0"/>
    <x v="2"/>
    <x v="4"/>
    <n v="470.96784727727203"/>
    <n v="28650.544042700702"/>
    <n v="103141.958553723"/>
  </r>
  <r>
    <x v="0"/>
    <x v="0"/>
    <x v="0"/>
    <x v="8"/>
    <x v="16"/>
    <s v="SE4_OTHER"/>
    <x v="0"/>
    <x v="0"/>
    <x v="2"/>
    <x v="5"/>
    <n v="510.25536518626097"/>
    <n v="31040.534715497601"/>
    <n v="111745.924975791"/>
  </r>
  <r>
    <x v="0"/>
    <x v="0"/>
    <x v="0"/>
    <x v="8"/>
    <x v="16"/>
    <s v="SE4_OTHER"/>
    <x v="0"/>
    <x v="0"/>
    <x v="2"/>
    <x v="6"/>
    <n v="602.91399842740304"/>
    <n v="36677.268237666998"/>
    <n v="132038.16565560101"/>
  </r>
  <r>
    <x v="0"/>
    <x v="0"/>
    <x v="0"/>
    <x v="8"/>
    <x v="16"/>
    <s v="SE4_OTHER"/>
    <x v="0"/>
    <x v="0"/>
    <x v="2"/>
    <x v="7"/>
    <n v="645.48144905383799"/>
    <n v="39266.788150775101"/>
    <n v="141360.437342791"/>
  </r>
  <r>
    <x v="0"/>
    <x v="0"/>
    <x v="0"/>
    <x v="8"/>
    <x v="16"/>
    <s v="SE4_OTHER"/>
    <x v="0"/>
    <x v="0"/>
    <x v="2"/>
    <x v="8"/>
    <n v="646.08428785120702"/>
    <n v="39303.460844281799"/>
    <n v="141492.45903941401"/>
  </r>
  <r>
    <x v="0"/>
    <x v="0"/>
    <x v="0"/>
    <x v="8"/>
    <x v="16"/>
    <s v="SE4_OTHER"/>
    <x v="0"/>
    <x v="0"/>
    <x v="2"/>
    <x v="9"/>
    <n v="620.62914891154401"/>
    <n v="37754.939892118899"/>
    <n v="135917.78361162799"/>
  </r>
  <r>
    <x v="0"/>
    <x v="0"/>
    <x v="0"/>
    <x v="8"/>
    <x v="16"/>
    <s v="SE4_OTHER"/>
    <x v="0"/>
    <x v="0"/>
    <x v="2"/>
    <x v="10"/>
    <n v="609.352716739794"/>
    <n v="37068.9569350042"/>
    <n v="133448.24496601499"/>
  </r>
  <r>
    <x v="0"/>
    <x v="0"/>
    <x v="0"/>
    <x v="8"/>
    <x v="16"/>
    <s v="SE4_OTHER"/>
    <x v="0"/>
    <x v="0"/>
    <x v="2"/>
    <x v="11"/>
    <n v="595.73470129003795"/>
    <n v="36240.527661810702"/>
    <n v="130465.899582518"/>
  </r>
  <r>
    <x v="0"/>
    <x v="0"/>
    <x v="0"/>
    <x v="8"/>
    <x v="16"/>
    <s v="SE4_OTHER"/>
    <x v="0"/>
    <x v="0"/>
    <x v="3"/>
    <x v="0"/>
    <n v="510.89935110541302"/>
    <n v="31079.710525579299"/>
    <n v="111886.957892085"/>
  </r>
  <r>
    <x v="0"/>
    <x v="0"/>
    <x v="0"/>
    <x v="8"/>
    <x v="16"/>
    <s v="SE4_OTHER"/>
    <x v="0"/>
    <x v="0"/>
    <x v="3"/>
    <x v="1"/>
    <n v="504.70017692570201"/>
    <n v="30702.594096313602"/>
    <n v="110529.338746729"/>
  </r>
  <r>
    <x v="0"/>
    <x v="0"/>
    <x v="0"/>
    <x v="8"/>
    <x v="16"/>
    <s v="SE4_OTHER"/>
    <x v="0"/>
    <x v="0"/>
    <x v="3"/>
    <x v="2"/>
    <n v="504.25676553485602"/>
    <n v="30675.6199033704"/>
    <n v="110432.231652134"/>
  </r>
  <r>
    <x v="0"/>
    <x v="0"/>
    <x v="0"/>
    <x v="8"/>
    <x v="16"/>
    <s v="SE4_OTHER"/>
    <x v="0"/>
    <x v="0"/>
    <x v="3"/>
    <x v="3"/>
    <n v="516.495395594863"/>
    <n v="31420.1365653541"/>
    <n v="113112.491635275"/>
  </r>
  <r>
    <x v="0"/>
    <x v="0"/>
    <x v="0"/>
    <x v="8"/>
    <x v="16"/>
    <s v="SE4_OTHER"/>
    <x v="0"/>
    <x v="0"/>
    <x v="3"/>
    <x v="4"/>
    <n v="542.21676834258801"/>
    <n v="32984.853407507399"/>
    <n v="118745.472267027"/>
  </r>
  <r>
    <x v="0"/>
    <x v="0"/>
    <x v="0"/>
    <x v="8"/>
    <x v="16"/>
    <s v="SE4_OTHER"/>
    <x v="0"/>
    <x v="0"/>
    <x v="3"/>
    <x v="5"/>
    <n v="590.79883546558199"/>
    <n v="35940.262490822897"/>
    <n v="129384.944966963"/>
  </r>
  <r>
    <x v="0"/>
    <x v="0"/>
    <x v="0"/>
    <x v="8"/>
    <x v="16"/>
    <s v="SE4_OTHER"/>
    <x v="0"/>
    <x v="0"/>
    <x v="3"/>
    <x v="6"/>
    <n v="699.17196526255702"/>
    <n v="42532.961220138903"/>
    <n v="153118.66039249999"/>
  </r>
  <r>
    <x v="0"/>
    <x v="0"/>
    <x v="0"/>
    <x v="8"/>
    <x v="16"/>
    <s v="SE4_OTHER"/>
    <x v="0"/>
    <x v="0"/>
    <x v="3"/>
    <x v="7"/>
    <n v="754.31097876070703"/>
    <n v="45887.251207943002"/>
    <n v="165194.10434859499"/>
  </r>
  <r>
    <x v="0"/>
    <x v="0"/>
    <x v="0"/>
    <x v="8"/>
    <x v="16"/>
    <s v="SE4_OTHER"/>
    <x v="0"/>
    <x v="0"/>
    <x v="3"/>
    <x v="8"/>
    <n v="755.102677326557"/>
    <n v="45935.412870698899"/>
    <n v="165367.486334516"/>
  </r>
  <r>
    <x v="0"/>
    <x v="0"/>
    <x v="0"/>
    <x v="8"/>
    <x v="16"/>
    <s v="SE4_OTHER"/>
    <x v="0"/>
    <x v="0"/>
    <x v="3"/>
    <x v="9"/>
    <n v="723.51663104467605"/>
    <n v="44013.928388551198"/>
    <n v="158450.14219878399"/>
  </r>
  <r>
    <x v="0"/>
    <x v="0"/>
    <x v="0"/>
    <x v="8"/>
    <x v="16"/>
    <s v="SE4_OTHER"/>
    <x v="0"/>
    <x v="0"/>
    <x v="3"/>
    <x v="10"/>
    <n v="703.88206558534398"/>
    <n v="42819.492323108403"/>
    <n v="154150.17236319001"/>
  </r>
  <r>
    <x v="0"/>
    <x v="0"/>
    <x v="0"/>
    <x v="8"/>
    <x v="16"/>
    <s v="SE4_OTHER"/>
    <x v="0"/>
    <x v="0"/>
    <x v="3"/>
    <x v="11"/>
    <n v="690.12633541273397"/>
    <n v="41982.6854042747"/>
    <n v="151137.66745538899"/>
  </r>
  <r>
    <x v="0"/>
    <x v="0"/>
    <x v="0"/>
    <x v="8"/>
    <x v="16"/>
    <s v="SE4_OTHER"/>
    <x v="0"/>
    <x v="0"/>
    <x v="4"/>
    <x v="0"/>
    <n v="530.17724285413703"/>
    <n v="32252.4489402933"/>
    <n v="116108.816185056"/>
  </r>
  <r>
    <x v="0"/>
    <x v="0"/>
    <x v="0"/>
    <x v="8"/>
    <x v="16"/>
    <s v="SE4_OTHER"/>
    <x v="0"/>
    <x v="0"/>
    <x v="4"/>
    <x v="1"/>
    <n v="526.04347763241606"/>
    <n v="32000.9782226387"/>
    <n v="115203.521601499"/>
  </r>
  <r>
    <x v="0"/>
    <x v="0"/>
    <x v="0"/>
    <x v="8"/>
    <x v="16"/>
    <s v="SE4_OTHER"/>
    <x v="0"/>
    <x v="0"/>
    <x v="4"/>
    <x v="2"/>
    <n v="527.75210736828797"/>
    <n v="32104.919864904201"/>
    <n v="115577.711513655"/>
  </r>
  <r>
    <x v="0"/>
    <x v="0"/>
    <x v="0"/>
    <x v="8"/>
    <x v="16"/>
    <s v="SE4_OTHER"/>
    <x v="0"/>
    <x v="0"/>
    <x v="4"/>
    <x v="3"/>
    <n v="542.60008835905001"/>
    <n v="33008.172041842197"/>
    <n v="118829.419350632"/>
  </r>
  <r>
    <x v="0"/>
    <x v="0"/>
    <x v="0"/>
    <x v="8"/>
    <x v="16"/>
    <s v="SE4_OTHER"/>
    <x v="0"/>
    <x v="0"/>
    <x v="4"/>
    <x v="4"/>
    <n v="570.54922883911195"/>
    <n v="34708.411421046003"/>
    <n v="124950.281115766"/>
  </r>
  <r>
    <x v="0"/>
    <x v="0"/>
    <x v="0"/>
    <x v="8"/>
    <x v="16"/>
    <s v="SE4_OTHER"/>
    <x v="0"/>
    <x v="0"/>
    <x v="4"/>
    <x v="5"/>
    <n v="620.08988409941196"/>
    <n v="37722.1346160475"/>
    <n v="135799.68461777101"/>
  </r>
  <r>
    <x v="0"/>
    <x v="0"/>
    <x v="0"/>
    <x v="8"/>
    <x v="16"/>
    <s v="SE4_OTHER"/>
    <x v="0"/>
    <x v="0"/>
    <x v="4"/>
    <x v="6"/>
    <n v="729.80618439486"/>
    <n v="44396.5428840206"/>
    <n v="159827.55438247399"/>
  </r>
  <r>
    <x v="0"/>
    <x v="0"/>
    <x v="0"/>
    <x v="8"/>
    <x v="16"/>
    <s v="SE4_OTHER"/>
    <x v="0"/>
    <x v="0"/>
    <x v="4"/>
    <x v="7"/>
    <n v="787.35530575695896"/>
    <n v="47897.447766881698"/>
    <n v="172430.81196077401"/>
  </r>
  <r>
    <x v="0"/>
    <x v="0"/>
    <x v="0"/>
    <x v="8"/>
    <x v="16"/>
    <s v="SE4_OTHER"/>
    <x v="0"/>
    <x v="0"/>
    <x v="4"/>
    <x v="8"/>
    <n v="786.03612740016194"/>
    <n v="47817.1977501765"/>
    <n v="172141.91190063499"/>
  </r>
  <r>
    <x v="0"/>
    <x v="0"/>
    <x v="0"/>
    <x v="8"/>
    <x v="16"/>
    <s v="SE4_OTHER"/>
    <x v="0"/>
    <x v="0"/>
    <x v="4"/>
    <x v="9"/>
    <n v="757.37131134343394"/>
    <n v="46073.421440058897"/>
    <n v="165864.31718421201"/>
  </r>
  <r>
    <x v="0"/>
    <x v="0"/>
    <x v="0"/>
    <x v="8"/>
    <x v="16"/>
    <s v="SE4_OTHER"/>
    <x v="0"/>
    <x v="0"/>
    <x v="4"/>
    <x v="10"/>
    <n v="729.49037022275002"/>
    <n v="44377.330855217297"/>
    <n v="159758.39107878201"/>
  </r>
  <r>
    <x v="0"/>
    <x v="0"/>
    <x v="0"/>
    <x v="8"/>
    <x v="16"/>
    <s v="SE4_OTHER"/>
    <x v="0"/>
    <x v="0"/>
    <x v="4"/>
    <x v="11"/>
    <n v="706.93983945293098"/>
    <n v="43005.506900053297"/>
    <n v="154819.82484019201"/>
  </r>
  <r>
    <x v="0"/>
    <x v="0"/>
    <x v="0"/>
    <x v="8"/>
    <x v="16"/>
    <s v="SE4_OTHER"/>
    <x v="0"/>
    <x v="0"/>
    <x v="5"/>
    <x v="0"/>
    <n v="663.23119859974202"/>
    <n v="40346.564581484301"/>
    <n v="145247.63249334399"/>
  </r>
  <r>
    <x v="0"/>
    <x v="0"/>
    <x v="0"/>
    <x v="8"/>
    <x v="16"/>
    <s v="SE4_OTHER"/>
    <x v="0"/>
    <x v="0"/>
    <x v="5"/>
    <x v="1"/>
    <n v="668.55039565878405"/>
    <n v="40670.149069242703"/>
    <n v="146412.536649274"/>
  </r>
  <r>
    <x v="0"/>
    <x v="0"/>
    <x v="0"/>
    <x v="8"/>
    <x v="16"/>
    <s v="SE4_OTHER"/>
    <x v="0"/>
    <x v="0"/>
    <x v="5"/>
    <x v="2"/>
    <n v="685.68539739609105"/>
    <n v="41712.528341595498"/>
    <n v="150165.10202974401"/>
  </r>
  <r>
    <x v="0"/>
    <x v="0"/>
    <x v="0"/>
    <x v="8"/>
    <x v="16"/>
    <s v="SE4_OTHER"/>
    <x v="0"/>
    <x v="0"/>
    <x v="5"/>
    <x v="3"/>
    <n v="731.08563569431101"/>
    <n v="44474.376171403899"/>
    <n v="160107.754217054"/>
  </r>
  <r>
    <x v="0"/>
    <x v="0"/>
    <x v="0"/>
    <x v="8"/>
    <x v="16"/>
    <s v="SE4_OTHER"/>
    <x v="0"/>
    <x v="0"/>
    <x v="5"/>
    <x v="4"/>
    <n v="791.39032075272996"/>
    <n v="48142.911179124399"/>
    <n v="173314.480244848"/>
  </r>
  <r>
    <x v="0"/>
    <x v="0"/>
    <x v="0"/>
    <x v="8"/>
    <x v="16"/>
    <s v="SE4_OTHER"/>
    <x v="0"/>
    <x v="0"/>
    <x v="5"/>
    <x v="5"/>
    <n v="835.56059451681801"/>
    <n v="50829.936166439802"/>
    <n v="182987.770199183"/>
  </r>
  <r>
    <x v="0"/>
    <x v="0"/>
    <x v="0"/>
    <x v="8"/>
    <x v="16"/>
    <s v="SE4_OTHER"/>
    <x v="0"/>
    <x v="0"/>
    <x v="5"/>
    <x v="6"/>
    <n v="966.83219384676602"/>
    <n v="58815.6251256783"/>
    <n v="211736.25045244201"/>
  </r>
  <r>
    <x v="0"/>
    <x v="0"/>
    <x v="0"/>
    <x v="8"/>
    <x v="16"/>
    <s v="SE4_OTHER"/>
    <x v="0"/>
    <x v="0"/>
    <x v="5"/>
    <x v="7"/>
    <n v="1034.1859035645"/>
    <n v="62912.975800173903"/>
    <n v="226486.712880626"/>
  </r>
  <r>
    <x v="0"/>
    <x v="0"/>
    <x v="0"/>
    <x v="8"/>
    <x v="16"/>
    <s v="SE4_OTHER"/>
    <x v="0"/>
    <x v="0"/>
    <x v="5"/>
    <x v="8"/>
    <n v="1020.29944304592"/>
    <n v="62068.216118626799"/>
    <n v="223445.578027057"/>
  </r>
  <r>
    <x v="0"/>
    <x v="0"/>
    <x v="0"/>
    <x v="8"/>
    <x v="16"/>
    <s v="SE4_OTHER"/>
    <x v="0"/>
    <x v="0"/>
    <x v="5"/>
    <x v="9"/>
    <n v="991.05182701262504"/>
    <n v="60288.986143267997"/>
    <n v="217040.350115765"/>
  </r>
  <r>
    <x v="0"/>
    <x v="0"/>
    <x v="0"/>
    <x v="8"/>
    <x v="16"/>
    <s v="SE4_OTHER"/>
    <x v="0"/>
    <x v="0"/>
    <x v="5"/>
    <x v="10"/>
    <n v="947.50436935729897"/>
    <n v="57639.849135902397"/>
    <n v="207503.45688924799"/>
  </r>
  <r>
    <x v="0"/>
    <x v="0"/>
    <x v="0"/>
    <x v="8"/>
    <x v="16"/>
    <s v="SE4_OTHER"/>
    <x v="0"/>
    <x v="0"/>
    <x v="5"/>
    <x v="11"/>
    <n v="923.91432145909005"/>
    <n v="56204.787888761297"/>
    <n v="202337.236399541"/>
  </r>
  <r>
    <x v="0"/>
    <x v="0"/>
    <x v="0"/>
    <x v="8"/>
    <x v="16"/>
    <s v="SE4_OTHER"/>
    <x v="0"/>
    <x v="0"/>
    <x v="6"/>
    <x v="0"/>
    <n v="594.67472739006598"/>
    <n v="36176.045916228999"/>
    <n v="130233.765298424"/>
  </r>
  <r>
    <x v="0"/>
    <x v="0"/>
    <x v="0"/>
    <x v="8"/>
    <x v="16"/>
    <s v="SE4_OTHER"/>
    <x v="0"/>
    <x v="0"/>
    <x v="6"/>
    <x v="1"/>
    <n v="603.95181962295999"/>
    <n v="36740.4023603967"/>
    <n v="132265.44849742801"/>
  </r>
  <r>
    <x v="0"/>
    <x v="0"/>
    <x v="0"/>
    <x v="8"/>
    <x v="16"/>
    <s v="SE4_OTHER"/>
    <x v="0"/>
    <x v="0"/>
    <x v="6"/>
    <x v="2"/>
    <n v="617.01512072662194"/>
    <n v="37535.0865108695"/>
    <n v="135126.31143912999"/>
  </r>
  <r>
    <x v="0"/>
    <x v="0"/>
    <x v="0"/>
    <x v="8"/>
    <x v="16"/>
    <s v="SE4_OTHER"/>
    <x v="0"/>
    <x v="0"/>
    <x v="6"/>
    <x v="3"/>
    <n v="658.50647524317799"/>
    <n v="40059.143910626699"/>
    <n v="144212.91807825601"/>
  </r>
  <r>
    <x v="0"/>
    <x v="0"/>
    <x v="0"/>
    <x v="8"/>
    <x v="16"/>
    <s v="SE4_OTHER"/>
    <x v="0"/>
    <x v="0"/>
    <x v="6"/>
    <x v="4"/>
    <n v="728.35858846319297"/>
    <n v="44308.480798177501"/>
    <n v="159510.53087343901"/>
  </r>
  <r>
    <x v="0"/>
    <x v="0"/>
    <x v="0"/>
    <x v="8"/>
    <x v="16"/>
    <s v="SE4_OTHER"/>
    <x v="0"/>
    <x v="0"/>
    <x v="6"/>
    <x v="5"/>
    <n v="798.34062520651901"/>
    <n v="48565.7213667299"/>
    <n v="174836.59692022801"/>
  </r>
  <r>
    <x v="0"/>
    <x v="0"/>
    <x v="0"/>
    <x v="8"/>
    <x v="16"/>
    <s v="SE4_OTHER"/>
    <x v="0"/>
    <x v="0"/>
    <x v="6"/>
    <x v="6"/>
    <n v="940.37956315368695"/>
    <n v="57206.423425182598"/>
    <n v="205943.12433065701"/>
  </r>
  <r>
    <x v="0"/>
    <x v="0"/>
    <x v="0"/>
    <x v="8"/>
    <x v="16"/>
    <s v="SE4_OTHER"/>
    <x v="0"/>
    <x v="0"/>
    <x v="6"/>
    <x v="7"/>
    <n v="1031.0944825486499"/>
    <n v="62724.9143550429"/>
    <n v="225809.69167815501"/>
  </r>
  <r>
    <x v="0"/>
    <x v="0"/>
    <x v="0"/>
    <x v="8"/>
    <x v="16"/>
    <s v="SE4_OTHER"/>
    <x v="0"/>
    <x v="0"/>
    <x v="6"/>
    <x v="8"/>
    <n v="1017.34861586777"/>
    <n v="61888.707465289197"/>
    <n v="222799.346875041"/>
  </r>
  <r>
    <x v="0"/>
    <x v="0"/>
    <x v="0"/>
    <x v="8"/>
    <x v="16"/>
    <s v="SE4_OTHER"/>
    <x v="0"/>
    <x v="0"/>
    <x v="6"/>
    <x v="9"/>
    <n v="957.51232416301798"/>
    <n v="58248.666386583602"/>
    <n v="209695.19899170101"/>
  </r>
  <r>
    <x v="0"/>
    <x v="0"/>
    <x v="0"/>
    <x v="8"/>
    <x v="16"/>
    <s v="SE4_OTHER"/>
    <x v="0"/>
    <x v="0"/>
    <x v="6"/>
    <x v="10"/>
    <n v="899.14129582841701"/>
    <n v="54697.762162895298"/>
    <n v="196911.94378642301"/>
  </r>
  <r>
    <x v="0"/>
    <x v="0"/>
    <x v="0"/>
    <x v="8"/>
    <x v="16"/>
    <s v="SE4_OTHER"/>
    <x v="0"/>
    <x v="0"/>
    <x v="6"/>
    <x v="11"/>
    <n v="850.47571407917997"/>
    <n v="51737.272606483501"/>
    <n v="186254.18138334001"/>
  </r>
  <r>
    <x v="0"/>
    <x v="0"/>
    <x v="0"/>
    <x v="8"/>
    <x v="16"/>
    <s v="SE4_OTHER"/>
    <x v="0"/>
    <x v="0"/>
    <x v="7"/>
    <x v="0"/>
    <n v="469.23931106953899"/>
    <n v="28545.391423396901"/>
    <n v="102763.409124229"/>
  </r>
  <r>
    <x v="0"/>
    <x v="0"/>
    <x v="0"/>
    <x v="8"/>
    <x v="16"/>
    <s v="SE4_OTHER"/>
    <x v="0"/>
    <x v="0"/>
    <x v="7"/>
    <x v="1"/>
    <n v="466.72949431298503"/>
    <n v="28392.710904039901"/>
    <n v="102213.759254544"/>
  </r>
  <r>
    <x v="0"/>
    <x v="0"/>
    <x v="0"/>
    <x v="8"/>
    <x v="16"/>
    <s v="SE4_OTHER"/>
    <x v="0"/>
    <x v="0"/>
    <x v="7"/>
    <x v="2"/>
    <n v="465.58177598226803"/>
    <n v="28322.891372254599"/>
    <n v="101962.40894011701"/>
  </r>
  <r>
    <x v="0"/>
    <x v="0"/>
    <x v="0"/>
    <x v="8"/>
    <x v="16"/>
    <s v="SE4_OTHER"/>
    <x v="0"/>
    <x v="0"/>
    <x v="7"/>
    <x v="3"/>
    <n v="479.51525097210799"/>
    <n v="29170.5111008032"/>
    <n v="105013.839962892"/>
  </r>
  <r>
    <x v="0"/>
    <x v="0"/>
    <x v="0"/>
    <x v="8"/>
    <x v="16"/>
    <s v="SE4_OTHER"/>
    <x v="0"/>
    <x v="0"/>
    <x v="7"/>
    <x v="4"/>
    <n v="509.78465322604899"/>
    <n v="31011.899737918"/>
    <n v="111642.83905650501"/>
  </r>
  <r>
    <x v="0"/>
    <x v="0"/>
    <x v="0"/>
    <x v="8"/>
    <x v="16"/>
    <s v="SE4_OTHER"/>
    <x v="0"/>
    <x v="0"/>
    <x v="7"/>
    <x v="5"/>
    <n v="565.952084470724"/>
    <n v="34428.751805302301"/>
    <n v="123943.50649908801"/>
  </r>
  <r>
    <x v="0"/>
    <x v="0"/>
    <x v="0"/>
    <x v="8"/>
    <x v="16"/>
    <s v="SE4_OTHER"/>
    <x v="0"/>
    <x v="0"/>
    <x v="7"/>
    <x v="6"/>
    <n v="674.57656080541994"/>
    <n v="41036.740782329704"/>
    <n v="147732.26681638701"/>
  </r>
  <r>
    <x v="0"/>
    <x v="0"/>
    <x v="0"/>
    <x v="8"/>
    <x v="16"/>
    <s v="SE4_OTHER"/>
    <x v="0"/>
    <x v="0"/>
    <x v="7"/>
    <x v="7"/>
    <n v="730.60131471989996"/>
    <n v="44444.913312127297"/>
    <n v="160001.687923658"/>
  </r>
  <r>
    <x v="0"/>
    <x v="0"/>
    <x v="0"/>
    <x v="8"/>
    <x v="16"/>
    <s v="SE4_OTHER"/>
    <x v="0"/>
    <x v="0"/>
    <x v="7"/>
    <x v="8"/>
    <n v="726.04359068396002"/>
    <n v="44167.651766607603"/>
    <n v="159003.546359787"/>
  </r>
  <r>
    <x v="0"/>
    <x v="0"/>
    <x v="0"/>
    <x v="8"/>
    <x v="16"/>
    <s v="SE4_OTHER"/>
    <x v="0"/>
    <x v="0"/>
    <x v="7"/>
    <x v="9"/>
    <n v="690.42014899816104"/>
    <n v="42000.559064054803"/>
    <n v="151202.01263059699"/>
  </r>
  <r>
    <x v="0"/>
    <x v="0"/>
    <x v="0"/>
    <x v="8"/>
    <x v="16"/>
    <s v="SE4_OTHER"/>
    <x v="0"/>
    <x v="0"/>
    <x v="7"/>
    <x v="10"/>
    <n v="666.56355104993804"/>
    <n v="40549.282688871303"/>
    <n v="145977.417679937"/>
  </r>
  <r>
    <x v="0"/>
    <x v="0"/>
    <x v="0"/>
    <x v="8"/>
    <x v="16"/>
    <s v="SE4_OTHER"/>
    <x v="0"/>
    <x v="0"/>
    <x v="7"/>
    <x v="11"/>
    <n v="642.30737684439998"/>
    <n v="39073.698758034297"/>
    <n v="140665.31552892399"/>
  </r>
  <r>
    <x v="0"/>
    <x v="0"/>
    <x v="0"/>
    <x v="8"/>
    <x v="16"/>
    <s v="SE4_OTHER"/>
    <x v="0"/>
    <x v="0"/>
    <x v="8"/>
    <x v="0"/>
    <n v="468.82583595979702"/>
    <n v="28520.238354221001"/>
    <n v="102672.858075196"/>
  </r>
  <r>
    <x v="0"/>
    <x v="0"/>
    <x v="0"/>
    <x v="8"/>
    <x v="16"/>
    <s v="SE4_OTHER"/>
    <x v="0"/>
    <x v="0"/>
    <x v="8"/>
    <x v="1"/>
    <n v="475.07493651769897"/>
    <n v="28900.3919714933"/>
    <n v="104041.411097376"/>
  </r>
  <r>
    <x v="0"/>
    <x v="0"/>
    <x v="0"/>
    <x v="8"/>
    <x v="16"/>
    <s v="SE4_OTHER"/>
    <x v="0"/>
    <x v="0"/>
    <x v="8"/>
    <x v="2"/>
    <n v="486.09154001122801"/>
    <n v="29570.568684016402"/>
    <n v="106454.047262459"/>
  </r>
  <r>
    <x v="0"/>
    <x v="0"/>
    <x v="0"/>
    <x v="8"/>
    <x v="16"/>
    <s v="SE4_OTHER"/>
    <x v="0"/>
    <x v="0"/>
    <x v="8"/>
    <x v="3"/>
    <n v="503.81402430786699"/>
    <n v="30648.686478728599"/>
    <n v="110335.271323423"/>
  </r>
  <r>
    <x v="0"/>
    <x v="0"/>
    <x v="0"/>
    <x v="8"/>
    <x v="16"/>
    <s v="SE4_OTHER"/>
    <x v="0"/>
    <x v="0"/>
    <x v="8"/>
    <x v="4"/>
    <n v="532.11374613125804"/>
    <n v="32370.2528896515"/>
    <n v="116532.91040274499"/>
  </r>
  <r>
    <x v="0"/>
    <x v="0"/>
    <x v="0"/>
    <x v="8"/>
    <x v="16"/>
    <s v="SE4_OTHER"/>
    <x v="0"/>
    <x v="0"/>
    <x v="8"/>
    <x v="5"/>
    <n v="575.33025326995198"/>
    <n v="34999.257073922097"/>
    <n v="125997.32546612"/>
  </r>
  <r>
    <x v="0"/>
    <x v="0"/>
    <x v="0"/>
    <x v="8"/>
    <x v="16"/>
    <s v="SE4_OTHER"/>
    <x v="0"/>
    <x v="0"/>
    <x v="8"/>
    <x v="6"/>
    <n v="682.91873711260598"/>
    <n v="41544.223174350198"/>
    <n v="149559.20342766101"/>
  </r>
  <r>
    <x v="0"/>
    <x v="0"/>
    <x v="0"/>
    <x v="8"/>
    <x v="16"/>
    <s v="SE4_OTHER"/>
    <x v="0"/>
    <x v="0"/>
    <x v="8"/>
    <x v="7"/>
    <n v="720.41191483472596"/>
    <n v="43825.058152445803"/>
    <n v="157770.20934880499"/>
  </r>
  <r>
    <x v="0"/>
    <x v="0"/>
    <x v="0"/>
    <x v="8"/>
    <x v="16"/>
    <s v="SE4_OTHER"/>
    <x v="0"/>
    <x v="0"/>
    <x v="8"/>
    <x v="8"/>
    <n v="688.31631854054001"/>
    <n v="41872.576044549503"/>
    <n v="150741.27376037801"/>
  </r>
  <r>
    <x v="0"/>
    <x v="0"/>
    <x v="0"/>
    <x v="8"/>
    <x v="16"/>
    <s v="SE4_OTHER"/>
    <x v="0"/>
    <x v="0"/>
    <x v="8"/>
    <x v="9"/>
    <n v="646.10163422502001"/>
    <n v="39304.516082021997"/>
    <n v="141496.25789527901"/>
  </r>
  <r>
    <x v="0"/>
    <x v="0"/>
    <x v="0"/>
    <x v="8"/>
    <x v="16"/>
    <s v="SE4_OTHER"/>
    <x v="0"/>
    <x v="0"/>
    <x v="8"/>
    <x v="10"/>
    <n v="616.76823928134604"/>
    <n v="37520.067889615202"/>
    <n v="135072.244402615"/>
  </r>
  <r>
    <x v="0"/>
    <x v="0"/>
    <x v="0"/>
    <x v="8"/>
    <x v="16"/>
    <s v="SE4_OTHER"/>
    <x v="0"/>
    <x v="0"/>
    <x v="8"/>
    <x v="11"/>
    <n v="601.02185318248303"/>
    <n v="36562.162735267702"/>
    <n v="131623.78584696399"/>
  </r>
  <r>
    <x v="0"/>
    <x v="0"/>
    <x v="0"/>
    <x v="8"/>
    <x v="16"/>
    <s v="SE4_OTHER"/>
    <x v="0"/>
    <x v="0"/>
    <x v="9"/>
    <x v="0"/>
    <n v="416.765267913343"/>
    <n v="25353.220464728402"/>
    <n v="91271.5936730221"/>
  </r>
  <r>
    <x v="0"/>
    <x v="0"/>
    <x v="0"/>
    <x v="8"/>
    <x v="16"/>
    <s v="SE4_OTHER"/>
    <x v="0"/>
    <x v="0"/>
    <x v="9"/>
    <x v="1"/>
    <n v="420.33739875905002"/>
    <n v="25570.525091175499"/>
    <n v="92053.890328231893"/>
  </r>
  <r>
    <x v="0"/>
    <x v="0"/>
    <x v="0"/>
    <x v="8"/>
    <x v="16"/>
    <s v="SE4_OTHER"/>
    <x v="0"/>
    <x v="0"/>
    <x v="9"/>
    <x v="2"/>
    <n v="424.51012129077998"/>
    <n v="25824.3657118558"/>
    <n v="92967.716562680798"/>
  </r>
  <r>
    <x v="0"/>
    <x v="0"/>
    <x v="0"/>
    <x v="8"/>
    <x v="16"/>
    <s v="SE4_OTHER"/>
    <x v="0"/>
    <x v="0"/>
    <x v="9"/>
    <x v="3"/>
    <n v="441.79252235132998"/>
    <n v="26875.711776372598"/>
    <n v="96752.562394941298"/>
  </r>
  <r>
    <x v="0"/>
    <x v="0"/>
    <x v="0"/>
    <x v="8"/>
    <x v="16"/>
    <s v="SE4_OTHER"/>
    <x v="0"/>
    <x v="0"/>
    <x v="9"/>
    <x v="4"/>
    <n v="467.49684005972603"/>
    <n v="28439.391103633301"/>
    <n v="102381.80797307999"/>
  </r>
  <r>
    <x v="0"/>
    <x v="0"/>
    <x v="0"/>
    <x v="8"/>
    <x v="16"/>
    <s v="SE4_OTHER"/>
    <x v="0"/>
    <x v="0"/>
    <x v="9"/>
    <x v="5"/>
    <n v="511.91791301871001"/>
    <n v="31141.673041971499"/>
    <n v="112110.02295109699"/>
  </r>
  <r>
    <x v="0"/>
    <x v="0"/>
    <x v="0"/>
    <x v="8"/>
    <x v="16"/>
    <s v="SE4_OTHER"/>
    <x v="0"/>
    <x v="0"/>
    <x v="9"/>
    <x v="6"/>
    <n v="612.16868995356594"/>
    <n v="37240.2619721753"/>
    <n v="134064.943099831"/>
  </r>
  <r>
    <x v="0"/>
    <x v="0"/>
    <x v="0"/>
    <x v="8"/>
    <x v="16"/>
    <s v="SE4_OTHER"/>
    <x v="0"/>
    <x v="0"/>
    <x v="9"/>
    <x v="7"/>
    <n v="650.64658979529099"/>
    <n v="39581.000879213498"/>
    <n v="142491.60316516901"/>
  </r>
  <r>
    <x v="0"/>
    <x v="0"/>
    <x v="0"/>
    <x v="8"/>
    <x v="16"/>
    <s v="SE4_OTHER"/>
    <x v="0"/>
    <x v="0"/>
    <x v="9"/>
    <x v="8"/>
    <n v="632.04911065859994"/>
    <n v="38449.654231731503"/>
    <n v="138418.75523423299"/>
  </r>
  <r>
    <x v="0"/>
    <x v="0"/>
    <x v="0"/>
    <x v="8"/>
    <x v="16"/>
    <s v="SE4_OTHER"/>
    <x v="0"/>
    <x v="0"/>
    <x v="9"/>
    <x v="9"/>
    <n v="600.23311200626301"/>
    <n v="36514.180980381003"/>
    <n v="131451.05152937199"/>
  </r>
  <r>
    <x v="0"/>
    <x v="0"/>
    <x v="0"/>
    <x v="8"/>
    <x v="16"/>
    <s v="SE4_OTHER"/>
    <x v="0"/>
    <x v="0"/>
    <x v="9"/>
    <x v="10"/>
    <n v="571.45719992180295"/>
    <n v="34763.646328576397"/>
    <n v="125149.126782875"/>
  </r>
  <r>
    <x v="0"/>
    <x v="0"/>
    <x v="0"/>
    <x v="8"/>
    <x v="16"/>
    <s v="SE4_OTHER"/>
    <x v="0"/>
    <x v="0"/>
    <x v="9"/>
    <x v="11"/>
    <n v="548.27455897551897"/>
    <n v="33353.369004344"/>
    <n v="120072.128415639"/>
  </r>
  <r>
    <x v="0"/>
    <x v="0"/>
    <x v="0"/>
    <x v="8"/>
    <x v="16"/>
    <s v="SE4_OTHER"/>
    <x v="0"/>
    <x v="0"/>
    <x v="10"/>
    <x v="0"/>
    <n v="263.34619239304902"/>
    <n v="16020.226703910501"/>
    <n v="57672.816134077802"/>
  </r>
  <r>
    <x v="0"/>
    <x v="0"/>
    <x v="0"/>
    <x v="8"/>
    <x v="16"/>
    <s v="SE4_OTHER"/>
    <x v="0"/>
    <x v="0"/>
    <x v="10"/>
    <x v="1"/>
    <n v="269.19305217553602"/>
    <n v="16375.9106740118"/>
    <n v="58953.278426442303"/>
  </r>
  <r>
    <x v="0"/>
    <x v="0"/>
    <x v="0"/>
    <x v="8"/>
    <x v="16"/>
    <s v="SE4_OTHER"/>
    <x v="0"/>
    <x v="0"/>
    <x v="10"/>
    <x v="2"/>
    <n v="265.899870196064"/>
    <n v="16175.5754369272"/>
    <n v="58232.071572938097"/>
  </r>
  <r>
    <x v="0"/>
    <x v="0"/>
    <x v="0"/>
    <x v="8"/>
    <x v="16"/>
    <s v="SE4_OTHER"/>
    <x v="0"/>
    <x v="0"/>
    <x v="10"/>
    <x v="3"/>
    <n v="281.65696256086301"/>
    <n v="17134.131889119199"/>
    <n v="61682.874800828999"/>
  </r>
  <r>
    <x v="0"/>
    <x v="0"/>
    <x v="0"/>
    <x v="8"/>
    <x v="16"/>
    <s v="SE4_OTHER"/>
    <x v="0"/>
    <x v="0"/>
    <x v="10"/>
    <x v="4"/>
    <n v="293.15808020129299"/>
    <n v="17833.7832122453"/>
    <n v="64201.619564083099"/>
  </r>
  <r>
    <x v="0"/>
    <x v="0"/>
    <x v="0"/>
    <x v="8"/>
    <x v="16"/>
    <s v="SE4_OTHER"/>
    <x v="0"/>
    <x v="0"/>
    <x v="10"/>
    <x v="5"/>
    <n v="335.52286838631397"/>
    <n v="20410.9744935007"/>
    <n v="73479.5081766027"/>
  </r>
  <r>
    <x v="0"/>
    <x v="0"/>
    <x v="0"/>
    <x v="8"/>
    <x v="16"/>
    <s v="SE4_OTHER"/>
    <x v="0"/>
    <x v="0"/>
    <x v="10"/>
    <x v="6"/>
    <n v="405.71877104844702"/>
    <n v="24681.225238780498"/>
    <n v="88852.410859609896"/>
  </r>
  <r>
    <x v="0"/>
    <x v="0"/>
    <x v="0"/>
    <x v="8"/>
    <x v="16"/>
    <s v="SE4_OTHER"/>
    <x v="0"/>
    <x v="0"/>
    <x v="10"/>
    <x v="7"/>
    <n v="413.74520566162602"/>
    <n v="25169.5000110822"/>
    <n v="90610.200039896095"/>
  </r>
  <r>
    <x v="0"/>
    <x v="0"/>
    <x v="0"/>
    <x v="8"/>
    <x v="16"/>
    <s v="SE4_OTHER"/>
    <x v="0"/>
    <x v="0"/>
    <x v="10"/>
    <x v="8"/>
    <n v="371.40853418167501"/>
    <n v="22594.0191627186"/>
    <n v="81338.468985786807"/>
  </r>
  <r>
    <x v="0"/>
    <x v="0"/>
    <x v="0"/>
    <x v="8"/>
    <x v="16"/>
    <s v="SE4_OTHER"/>
    <x v="0"/>
    <x v="0"/>
    <x v="10"/>
    <x v="9"/>
    <n v="335.33755126218699"/>
    <n v="20399.701035116399"/>
    <n v="73438.923726419001"/>
  </r>
  <r>
    <x v="0"/>
    <x v="0"/>
    <x v="0"/>
    <x v="8"/>
    <x v="16"/>
    <s v="SE4_OTHER"/>
    <x v="0"/>
    <x v="0"/>
    <x v="10"/>
    <x v="10"/>
    <n v="309.40367665205298"/>
    <n v="18822.056996333198"/>
    <n v="67759.4051867995"/>
  </r>
  <r>
    <x v="0"/>
    <x v="0"/>
    <x v="0"/>
    <x v="8"/>
    <x v="16"/>
    <s v="SE4_OTHER"/>
    <x v="0"/>
    <x v="0"/>
    <x v="10"/>
    <x v="11"/>
    <n v="298.44543223963501"/>
    <n v="18155.430461244501"/>
    <n v="65359.549660479999"/>
  </r>
  <r>
    <x v="0"/>
    <x v="0"/>
    <x v="0"/>
    <x v="8"/>
    <x v="16"/>
    <s v="SE4_OTHER"/>
    <x v="0"/>
    <x v="0"/>
    <x v="11"/>
    <x v="0"/>
    <n v="323.245644054298"/>
    <n v="19664.1100133031"/>
    <n v="70790.796047891301"/>
  </r>
  <r>
    <x v="0"/>
    <x v="0"/>
    <x v="0"/>
    <x v="8"/>
    <x v="16"/>
    <s v="SE4_OTHER"/>
    <x v="0"/>
    <x v="0"/>
    <x v="11"/>
    <x v="1"/>
    <n v="330.78382304749198"/>
    <n v="20122.682568722401"/>
    <n v="72441.657247400595"/>
  </r>
  <r>
    <x v="0"/>
    <x v="0"/>
    <x v="0"/>
    <x v="8"/>
    <x v="16"/>
    <s v="SE4_OTHER"/>
    <x v="0"/>
    <x v="0"/>
    <x v="11"/>
    <x v="2"/>
    <n v="330.78538640961102"/>
    <n v="20122.777673251301"/>
    <n v="72441.999623704804"/>
  </r>
  <r>
    <x v="0"/>
    <x v="0"/>
    <x v="0"/>
    <x v="8"/>
    <x v="16"/>
    <s v="SE4_OTHER"/>
    <x v="0"/>
    <x v="0"/>
    <x v="11"/>
    <x v="3"/>
    <n v="345.15501069230402"/>
    <n v="20996.9298171152"/>
    <n v="75588.947341614607"/>
  </r>
  <r>
    <x v="0"/>
    <x v="0"/>
    <x v="0"/>
    <x v="8"/>
    <x v="16"/>
    <s v="SE4_OTHER"/>
    <x v="0"/>
    <x v="0"/>
    <x v="11"/>
    <x v="4"/>
    <n v="357.73926572438"/>
    <n v="21762.471998233101"/>
    <n v="78344.899193639299"/>
  </r>
  <r>
    <x v="0"/>
    <x v="0"/>
    <x v="0"/>
    <x v="8"/>
    <x v="16"/>
    <s v="SE4_OTHER"/>
    <x v="0"/>
    <x v="0"/>
    <x v="11"/>
    <x v="5"/>
    <n v="400.50490830060602"/>
    <n v="24364.048588286802"/>
    <n v="87710.574917832695"/>
  </r>
  <r>
    <x v="0"/>
    <x v="0"/>
    <x v="0"/>
    <x v="8"/>
    <x v="16"/>
    <s v="SE4_OTHER"/>
    <x v="0"/>
    <x v="0"/>
    <x v="11"/>
    <x v="6"/>
    <n v="479.47051180828402"/>
    <n v="29167.789468337302"/>
    <n v="105004.042086014"/>
  </r>
  <r>
    <x v="0"/>
    <x v="0"/>
    <x v="0"/>
    <x v="8"/>
    <x v="16"/>
    <s v="SE4_OTHER"/>
    <x v="0"/>
    <x v="0"/>
    <x v="11"/>
    <x v="7"/>
    <n v="493.35834759355498"/>
    <n v="30012.632811941301"/>
    <n v="108045.47812298901"/>
  </r>
  <r>
    <x v="0"/>
    <x v="0"/>
    <x v="0"/>
    <x v="8"/>
    <x v="16"/>
    <s v="SE4_OTHER"/>
    <x v="0"/>
    <x v="0"/>
    <x v="11"/>
    <x v="8"/>
    <n v="455.86459463857801"/>
    <n v="27731.7628405135"/>
    <n v="99834.346225848494"/>
  </r>
  <r>
    <x v="0"/>
    <x v="0"/>
    <x v="0"/>
    <x v="8"/>
    <x v="16"/>
    <s v="SE4_OTHER"/>
    <x v="0"/>
    <x v="0"/>
    <x v="11"/>
    <x v="9"/>
    <n v="419.59266743606599"/>
    <n v="25525.2206023607"/>
    <n v="91890.7941684986"/>
  </r>
  <r>
    <x v="0"/>
    <x v="0"/>
    <x v="0"/>
    <x v="8"/>
    <x v="16"/>
    <s v="SE4_OTHER"/>
    <x v="0"/>
    <x v="0"/>
    <x v="11"/>
    <x v="10"/>
    <n v="394.23939112083502"/>
    <n v="23982.896293184102"/>
    <n v="86338.426655462797"/>
  </r>
  <r>
    <x v="0"/>
    <x v="0"/>
    <x v="0"/>
    <x v="8"/>
    <x v="16"/>
    <s v="SE4_OTHER"/>
    <x v="0"/>
    <x v="0"/>
    <x v="11"/>
    <x v="11"/>
    <n v="378.59609088118498"/>
    <n v="23031.262195272098"/>
    <n v="82912.543902979596"/>
  </r>
</pivotCacheRecords>
</file>

<file path=xl/pivotCache/pivotCacheRecords5.xml><?xml version="1.0" encoding="utf-8"?>
<pivotCacheRecords xmlns="http://schemas.openxmlformats.org/spreadsheetml/2006/main" xmlns:r="http://schemas.openxmlformats.org/officeDocument/2006/relationships" count="6480">
  <r>
    <x v="0"/>
    <x v="0"/>
    <x v="0"/>
    <x v="0"/>
    <x v="0"/>
    <s v="DK1_Large"/>
    <x v="0"/>
    <x v="0"/>
    <x v="0"/>
    <x v="0"/>
  </r>
  <r>
    <x v="0"/>
    <x v="0"/>
    <x v="0"/>
    <x v="0"/>
    <x v="0"/>
    <s v="DK1_Large"/>
    <x v="0"/>
    <x v="1"/>
    <x v="0"/>
    <x v="0"/>
  </r>
  <r>
    <x v="0"/>
    <x v="0"/>
    <x v="0"/>
    <x v="0"/>
    <x v="0"/>
    <s v="DK1_Large"/>
    <x v="0"/>
    <x v="2"/>
    <x v="0"/>
    <x v="0"/>
  </r>
  <r>
    <x v="0"/>
    <x v="0"/>
    <x v="0"/>
    <x v="0"/>
    <x v="0"/>
    <s v="DK1_Large"/>
    <x v="0"/>
    <x v="3"/>
    <x v="0"/>
    <x v="0"/>
  </r>
  <r>
    <x v="0"/>
    <x v="0"/>
    <x v="0"/>
    <x v="0"/>
    <x v="0"/>
    <s v="DK1_Large"/>
    <x v="0"/>
    <x v="4"/>
    <x v="0"/>
    <x v="0"/>
  </r>
  <r>
    <x v="0"/>
    <x v="0"/>
    <x v="0"/>
    <x v="0"/>
    <x v="0"/>
    <s v="DK1_Large"/>
    <x v="0"/>
    <x v="5"/>
    <x v="0"/>
    <x v="0"/>
  </r>
  <r>
    <x v="0"/>
    <x v="0"/>
    <x v="0"/>
    <x v="0"/>
    <x v="0"/>
    <s v="DK1_Large"/>
    <x v="0"/>
    <x v="6"/>
    <x v="0"/>
    <x v="0"/>
  </r>
  <r>
    <x v="0"/>
    <x v="0"/>
    <x v="0"/>
    <x v="0"/>
    <x v="0"/>
    <s v="DK1_Large"/>
    <x v="0"/>
    <x v="7"/>
    <x v="0"/>
    <x v="0"/>
  </r>
  <r>
    <x v="0"/>
    <x v="0"/>
    <x v="0"/>
    <x v="0"/>
    <x v="0"/>
    <s v="DK1_Large"/>
    <x v="0"/>
    <x v="8"/>
    <x v="0"/>
    <x v="0"/>
  </r>
  <r>
    <x v="0"/>
    <x v="0"/>
    <x v="0"/>
    <x v="0"/>
    <x v="0"/>
    <s v="DK1_Large"/>
    <x v="0"/>
    <x v="9"/>
    <x v="0"/>
    <x v="0"/>
  </r>
  <r>
    <x v="0"/>
    <x v="0"/>
    <x v="0"/>
    <x v="0"/>
    <x v="0"/>
    <s v="DK1_Large"/>
    <x v="0"/>
    <x v="10"/>
    <x v="0"/>
    <x v="0"/>
  </r>
  <r>
    <x v="0"/>
    <x v="0"/>
    <x v="0"/>
    <x v="0"/>
    <x v="0"/>
    <s v="DK1_Large"/>
    <x v="0"/>
    <x v="11"/>
    <x v="0"/>
    <x v="0"/>
  </r>
  <r>
    <x v="0"/>
    <x v="0"/>
    <x v="0"/>
    <x v="0"/>
    <x v="0"/>
    <s v="DK1_Large"/>
    <x v="1"/>
    <x v="0"/>
    <x v="0"/>
    <x v="0"/>
  </r>
  <r>
    <x v="0"/>
    <x v="0"/>
    <x v="0"/>
    <x v="0"/>
    <x v="0"/>
    <s v="DK1_Large"/>
    <x v="1"/>
    <x v="1"/>
    <x v="0"/>
    <x v="0"/>
  </r>
  <r>
    <x v="0"/>
    <x v="0"/>
    <x v="0"/>
    <x v="0"/>
    <x v="0"/>
    <s v="DK1_Large"/>
    <x v="1"/>
    <x v="2"/>
    <x v="0"/>
    <x v="0"/>
  </r>
  <r>
    <x v="0"/>
    <x v="0"/>
    <x v="0"/>
    <x v="0"/>
    <x v="0"/>
    <s v="DK1_Large"/>
    <x v="1"/>
    <x v="3"/>
    <x v="0"/>
    <x v="0"/>
  </r>
  <r>
    <x v="0"/>
    <x v="0"/>
    <x v="0"/>
    <x v="0"/>
    <x v="0"/>
    <s v="DK1_Large"/>
    <x v="1"/>
    <x v="4"/>
    <x v="0"/>
    <x v="0"/>
  </r>
  <r>
    <x v="0"/>
    <x v="0"/>
    <x v="0"/>
    <x v="0"/>
    <x v="0"/>
    <s v="DK1_Large"/>
    <x v="1"/>
    <x v="5"/>
    <x v="0"/>
    <x v="0"/>
  </r>
  <r>
    <x v="0"/>
    <x v="0"/>
    <x v="0"/>
    <x v="0"/>
    <x v="0"/>
    <s v="DK1_Large"/>
    <x v="1"/>
    <x v="6"/>
    <x v="0"/>
    <x v="0"/>
  </r>
  <r>
    <x v="0"/>
    <x v="0"/>
    <x v="0"/>
    <x v="0"/>
    <x v="0"/>
    <s v="DK1_Large"/>
    <x v="1"/>
    <x v="7"/>
    <x v="0"/>
    <x v="0"/>
  </r>
  <r>
    <x v="0"/>
    <x v="0"/>
    <x v="0"/>
    <x v="0"/>
    <x v="0"/>
    <s v="DK1_Large"/>
    <x v="1"/>
    <x v="8"/>
    <x v="0"/>
    <x v="0"/>
  </r>
  <r>
    <x v="0"/>
    <x v="0"/>
    <x v="0"/>
    <x v="0"/>
    <x v="0"/>
    <s v="DK1_Large"/>
    <x v="1"/>
    <x v="9"/>
    <x v="0"/>
    <x v="0"/>
  </r>
  <r>
    <x v="0"/>
    <x v="0"/>
    <x v="0"/>
    <x v="0"/>
    <x v="0"/>
    <s v="DK1_Large"/>
    <x v="1"/>
    <x v="10"/>
    <x v="0"/>
    <x v="0"/>
  </r>
  <r>
    <x v="0"/>
    <x v="0"/>
    <x v="0"/>
    <x v="0"/>
    <x v="0"/>
    <s v="DK1_Large"/>
    <x v="1"/>
    <x v="11"/>
    <x v="0"/>
    <x v="0"/>
  </r>
  <r>
    <x v="0"/>
    <x v="0"/>
    <x v="0"/>
    <x v="0"/>
    <x v="0"/>
    <s v="DK1_Large"/>
    <x v="2"/>
    <x v="0"/>
    <x v="0"/>
    <x v="0"/>
  </r>
  <r>
    <x v="0"/>
    <x v="0"/>
    <x v="0"/>
    <x v="0"/>
    <x v="0"/>
    <s v="DK1_Large"/>
    <x v="2"/>
    <x v="1"/>
    <x v="0"/>
    <x v="0"/>
  </r>
  <r>
    <x v="0"/>
    <x v="0"/>
    <x v="0"/>
    <x v="0"/>
    <x v="0"/>
    <s v="DK1_Large"/>
    <x v="2"/>
    <x v="2"/>
    <x v="0"/>
    <x v="0"/>
  </r>
  <r>
    <x v="0"/>
    <x v="0"/>
    <x v="0"/>
    <x v="0"/>
    <x v="0"/>
    <s v="DK1_Large"/>
    <x v="2"/>
    <x v="3"/>
    <x v="0"/>
    <x v="0"/>
  </r>
  <r>
    <x v="0"/>
    <x v="0"/>
    <x v="0"/>
    <x v="0"/>
    <x v="0"/>
    <s v="DK1_Large"/>
    <x v="2"/>
    <x v="4"/>
    <x v="0"/>
    <x v="0"/>
  </r>
  <r>
    <x v="0"/>
    <x v="0"/>
    <x v="0"/>
    <x v="0"/>
    <x v="0"/>
    <s v="DK1_Large"/>
    <x v="2"/>
    <x v="5"/>
    <x v="0"/>
    <x v="0"/>
  </r>
  <r>
    <x v="0"/>
    <x v="0"/>
    <x v="0"/>
    <x v="0"/>
    <x v="0"/>
    <s v="DK1_Large"/>
    <x v="2"/>
    <x v="6"/>
    <x v="0"/>
    <x v="0"/>
  </r>
  <r>
    <x v="0"/>
    <x v="0"/>
    <x v="0"/>
    <x v="0"/>
    <x v="0"/>
    <s v="DK1_Large"/>
    <x v="2"/>
    <x v="7"/>
    <x v="0"/>
    <x v="0"/>
  </r>
  <r>
    <x v="0"/>
    <x v="0"/>
    <x v="0"/>
    <x v="0"/>
    <x v="0"/>
    <s v="DK1_Large"/>
    <x v="2"/>
    <x v="8"/>
    <x v="0"/>
    <x v="0"/>
  </r>
  <r>
    <x v="0"/>
    <x v="0"/>
    <x v="0"/>
    <x v="0"/>
    <x v="0"/>
    <s v="DK1_Large"/>
    <x v="2"/>
    <x v="9"/>
    <x v="0"/>
    <x v="0"/>
  </r>
  <r>
    <x v="0"/>
    <x v="0"/>
    <x v="0"/>
    <x v="0"/>
    <x v="0"/>
    <s v="DK1_Large"/>
    <x v="2"/>
    <x v="10"/>
    <x v="0"/>
    <x v="0"/>
  </r>
  <r>
    <x v="0"/>
    <x v="0"/>
    <x v="0"/>
    <x v="0"/>
    <x v="0"/>
    <s v="DK1_Large"/>
    <x v="2"/>
    <x v="11"/>
    <x v="0"/>
    <x v="0"/>
  </r>
  <r>
    <x v="0"/>
    <x v="0"/>
    <x v="0"/>
    <x v="0"/>
    <x v="0"/>
    <s v="DK1_Large"/>
    <x v="3"/>
    <x v="0"/>
    <x v="0"/>
    <x v="0"/>
  </r>
  <r>
    <x v="0"/>
    <x v="0"/>
    <x v="0"/>
    <x v="0"/>
    <x v="0"/>
    <s v="DK1_Large"/>
    <x v="3"/>
    <x v="1"/>
    <x v="0"/>
    <x v="0"/>
  </r>
  <r>
    <x v="0"/>
    <x v="0"/>
    <x v="0"/>
    <x v="0"/>
    <x v="0"/>
    <s v="DK1_Large"/>
    <x v="3"/>
    <x v="2"/>
    <x v="0"/>
    <x v="0"/>
  </r>
  <r>
    <x v="0"/>
    <x v="0"/>
    <x v="0"/>
    <x v="0"/>
    <x v="0"/>
    <s v="DK1_Large"/>
    <x v="3"/>
    <x v="3"/>
    <x v="0"/>
    <x v="0"/>
  </r>
  <r>
    <x v="0"/>
    <x v="0"/>
    <x v="0"/>
    <x v="0"/>
    <x v="0"/>
    <s v="DK1_Large"/>
    <x v="3"/>
    <x v="4"/>
    <x v="0"/>
    <x v="0"/>
  </r>
  <r>
    <x v="0"/>
    <x v="0"/>
    <x v="0"/>
    <x v="0"/>
    <x v="0"/>
    <s v="DK1_Large"/>
    <x v="3"/>
    <x v="5"/>
    <x v="0"/>
    <x v="0"/>
  </r>
  <r>
    <x v="0"/>
    <x v="0"/>
    <x v="0"/>
    <x v="0"/>
    <x v="0"/>
    <s v="DK1_Large"/>
    <x v="3"/>
    <x v="6"/>
    <x v="0"/>
    <x v="0"/>
  </r>
  <r>
    <x v="0"/>
    <x v="0"/>
    <x v="0"/>
    <x v="0"/>
    <x v="0"/>
    <s v="DK1_Large"/>
    <x v="3"/>
    <x v="7"/>
    <x v="0"/>
    <x v="0"/>
  </r>
  <r>
    <x v="0"/>
    <x v="0"/>
    <x v="0"/>
    <x v="0"/>
    <x v="0"/>
    <s v="DK1_Large"/>
    <x v="3"/>
    <x v="8"/>
    <x v="0"/>
    <x v="0"/>
  </r>
  <r>
    <x v="0"/>
    <x v="0"/>
    <x v="0"/>
    <x v="0"/>
    <x v="0"/>
    <s v="DK1_Large"/>
    <x v="3"/>
    <x v="9"/>
    <x v="0"/>
    <x v="0"/>
  </r>
  <r>
    <x v="0"/>
    <x v="0"/>
    <x v="0"/>
    <x v="0"/>
    <x v="0"/>
    <s v="DK1_Large"/>
    <x v="3"/>
    <x v="10"/>
    <x v="0"/>
    <x v="0"/>
  </r>
  <r>
    <x v="0"/>
    <x v="0"/>
    <x v="0"/>
    <x v="0"/>
    <x v="0"/>
    <s v="DK1_Large"/>
    <x v="3"/>
    <x v="11"/>
    <x v="0"/>
    <x v="0"/>
  </r>
  <r>
    <x v="0"/>
    <x v="0"/>
    <x v="0"/>
    <x v="0"/>
    <x v="0"/>
    <s v="DK1_Large"/>
    <x v="4"/>
    <x v="0"/>
    <x v="0"/>
    <x v="0"/>
  </r>
  <r>
    <x v="0"/>
    <x v="0"/>
    <x v="0"/>
    <x v="0"/>
    <x v="0"/>
    <s v="DK1_Large"/>
    <x v="4"/>
    <x v="1"/>
    <x v="0"/>
    <x v="0"/>
  </r>
  <r>
    <x v="0"/>
    <x v="0"/>
    <x v="0"/>
    <x v="0"/>
    <x v="0"/>
    <s v="DK1_Large"/>
    <x v="4"/>
    <x v="2"/>
    <x v="0"/>
    <x v="0"/>
  </r>
  <r>
    <x v="0"/>
    <x v="0"/>
    <x v="0"/>
    <x v="0"/>
    <x v="0"/>
    <s v="DK1_Large"/>
    <x v="4"/>
    <x v="3"/>
    <x v="0"/>
    <x v="0"/>
  </r>
  <r>
    <x v="0"/>
    <x v="0"/>
    <x v="0"/>
    <x v="0"/>
    <x v="0"/>
    <s v="DK1_Large"/>
    <x v="4"/>
    <x v="4"/>
    <x v="0"/>
    <x v="0"/>
  </r>
  <r>
    <x v="0"/>
    <x v="0"/>
    <x v="0"/>
    <x v="0"/>
    <x v="0"/>
    <s v="DK1_Large"/>
    <x v="4"/>
    <x v="5"/>
    <x v="0"/>
    <x v="0"/>
  </r>
  <r>
    <x v="0"/>
    <x v="0"/>
    <x v="0"/>
    <x v="0"/>
    <x v="0"/>
    <s v="DK1_Large"/>
    <x v="4"/>
    <x v="6"/>
    <x v="0"/>
    <x v="0"/>
  </r>
  <r>
    <x v="0"/>
    <x v="0"/>
    <x v="0"/>
    <x v="0"/>
    <x v="0"/>
    <s v="DK1_Large"/>
    <x v="4"/>
    <x v="7"/>
    <x v="0"/>
    <x v="0"/>
  </r>
  <r>
    <x v="0"/>
    <x v="0"/>
    <x v="0"/>
    <x v="0"/>
    <x v="0"/>
    <s v="DK1_Large"/>
    <x v="4"/>
    <x v="8"/>
    <x v="0"/>
    <x v="0"/>
  </r>
  <r>
    <x v="0"/>
    <x v="0"/>
    <x v="0"/>
    <x v="0"/>
    <x v="0"/>
    <s v="DK1_Large"/>
    <x v="4"/>
    <x v="9"/>
    <x v="0"/>
    <x v="0"/>
  </r>
  <r>
    <x v="0"/>
    <x v="0"/>
    <x v="0"/>
    <x v="0"/>
    <x v="0"/>
    <s v="DK1_Large"/>
    <x v="4"/>
    <x v="10"/>
    <x v="0"/>
    <x v="0"/>
  </r>
  <r>
    <x v="0"/>
    <x v="0"/>
    <x v="0"/>
    <x v="0"/>
    <x v="0"/>
    <s v="DK1_Large"/>
    <x v="4"/>
    <x v="11"/>
    <x v="0"/>
    <x v="0"/>
  </r>
  <r>
    <x v="0"/>
    <x v="0"/>
    <x v="0"/>
    <x v="0"/>
    <x v="0"/>
    <s v="DK1_Large"/>
    <x v="5"/>
    <x v="0"/>
    <x v="0"/>
    <x v="0"/>
  </r>
  <r>
    <x v="0"/>
    <x v="0"/>
    <x v="0"/>
    <x v="0"/>
    <x v="0"/>
    <s v="DK1_Large"/>
    <x v="5"/>
    <x v="1"/>
    <x v="0"/>
    <x v="0"/>
  </r>
  <r>
    <x v="0"/>
    <x v="0"/>
    <x v="0"/>
    <x v="0"/>
    <x v="0"/>
    <s v="DK1_Large"/>
    <x v="5"/>
    <x v="2"/>
    <x v="0"/>
    <x v="0"/>
  </r>
  <r>
    <x v="0"/>
    <x v="0"/>
    <x v="0"/>
    <x v="0"/>
    <x v="0"/>
    <s v="DK1_Large"/>
    <x v="5"/>
    <x v="3"/>
    <x v="0"/>
    <x v="0"/>
  </r>
  <r>
    <x v="0"/>
    <x v="0"/>
    <x v="0"/>
    <x v="0"/>
    <x v="0"/>
    <s v="DK1_Large"/>
    <x v="5"/>
    <x v="4"/>
    <x v="0"/>
    <x v="0"/>
  </r>
  <r>
    <x v="0"/>
    <x v="0"/>
    <x v="0"/>
    <x v="0"/>
    <x v="0"/>
    <s v="DK1_Large"/>
    <x v="5"/>
    <x v="5"/>
    <x v="0"/>
    <x v="0"/>
  </r>
  <r>
    <x v="0"/>
    <x v="0"/>
    <x v="0"/>
    <x v="0"/>
    <x v="0"/>
    <s v="DK1_Large"/>
    <x v="5"/>
    <x v="6"/>
    <x v="0"/>
    <x v="0"/>
  </r>
  <r>
    <x v="0"/>
    <x v="0"/>
    <x v="0"/>
    <x v="0"/>
    <x v="0"/>
    <s v="DK1_Large"/>
    <x v="5"/>
    <x v="7"/>
    <x v="0"/>
    <x v="0"/>
  </r>
  <r>
    <x v="0"/>
    <x v="0"/>
    <x v="0"/>
    <x v="0"/>
    <x v="0"/>
    <s v="DK1_Large"/>
    <x v="5"/>
    <x v="8"/>
    <x v="0"/>
    <x v="0"/>
  </r>
  <r>
    <x v="0"/>
    <x v="0"/>
    <x v="0"/>
    <x v="0"/>
    <x v="0"/>
    <s v="DK1_Large"/>
    <x v="5"/>
    <x v="9"/>
    <x v="0"/>
    <x v="0"/>
  </r>
  <r>
    <x v="0"/>
    <x v="0"/>
    <x v="0"/>
    <x v="0"/>
    <x v="0"/>
    <s v="DK1_Large"/>
    <x v="5"/>
    <x v="10"/>
    <x v="0"/>
    <x v="0"/>
  </r>
  <r>
    <x v="0"/>
    <x v="0"/>
    <x v="0"/>
    <x v="0"/>
    <x v="0"/>
    <s v="DK1_Large"/>
    <x v="5"/>
    <x v="11"/>
    <x v="0"/>
    <x v="0"/>
  </r>
  <r>
    <x v="0"/>
    <x v="0"/>
    <x v="0"/>
    <x v="0"/>
    <x v="0"/>
    <s v="DK1_Large"/>
    <x v="6"/>
    <x v="0"/>
    <x v="0"/>
    <x v="0"/>
  </r>
  <r>
    <x v="0"/>
    <x v="0"/>
    <x v="0"/>
    <x v="0"/>
    <x v="0"/>
    <s v="DK1_Large"/>
    <x v="6"/>
    <x v="1"/>
    <x v="0"/>
    <x v="0"/>
  </r>
  <r>
    <x v="0"/>
    <x v="0"/>
    <x v="0"/>
    <x v="0"/>
    <x v="0"/>
    <s v="DK1_Large"/>
    <x v="6"/>
    <x v="2"/>
    <x v="0"/>
    <x v="0"/>
  </r>
  <r>
    <x v="0"/>
    <x v="0"/>
    <x v="0"/>
    <x v="0"/>
    <x v="0"/>
    <s v="DK1_Large"/>
    <x v="6"/>
    <x v="3"/>
    <x v="0"/>
    <x v="0"/>
  </r>
  <r>
    <x v="0"/>
    <x v="0"/>
    <x v="0"/>
    <x v="0"/>
    <x v="0"/>
    <s v="DK1_Large"/>
    <x v="6"/>
    <x v="4"/>
    <x v="0"/>
    <x v="0"/>
  </r>
  <r>
    <x v="0"/>
    <x v="0"/>
    <x v="0"/>
    <x v="0"/>
    <x v="0"/>
    <s v="DK1_Large"/>
    <x v="6"/>
    <x v="5"/>
    <x v="0"/>
    <x v="0"/>
  </r>
  <r>
    <x v="0"/>
    <x v="0"/>
    <x v="0"/>
    <x v="0"/>
    <x v="0"/>
    <s v="DK1_Large"/>
    <x v="6"/>
    <x v="6"/>
    <x v="0"/>
    <x v="0"/>
  </r>
  <r>
    <x v="0"/>
    <x v="0"/>
    <x v="0"/>
    <x v="0"/>
    <x v="0"/>
    <s v="DK1_Large"/>
    <x v="6"/>
    <x v="7"/>
    <x v="0"/>
    <x v="0"/>
  </r>
  <r>
    <x v="0"/>
    <x v="0"/>
    <x v="0"/>
    <x v="0"/>
    <x v="0"/>
    <s v="DK1_Large"/>
    <x v="6"/>
    <x v="8"/>
    <x v="0"/>
    <x v="0"/>
  </r>
  <r>
    <x v="0"/>
    <x v="0"/>
    <x v="0"/>
    <x v="0"/>
    <x v="0"/>
    <s v="DK1_Large"/>
    <x v="6"/>
    <x v="9"/>
    <x v="0"/>
    <x v="0"/>
  </r>
  <r>
    <x v="0"/>
    <x v="0"/>
    <x v="0"/>
    <x v="0"/>
    <x v="0"/>
    <s v="DK1_Large"/>
    <x v="6"/>
    <x v="10"/>
    <x v="0"/>
    <x v="0"/>
  </r>
  <r>
    <x v="0"/>
    <x v="0"/>
    <x v="0"/>
    <x v="0"/>
    <x v="0"/>
    <s v="DK1_Large"/>
    <x v="6"/>
    <x v="11"/>
    <x v="0"/>
    <x v="0"/>
  </r>
  <r>
    <x v="0"/>
    <x v="0"/>
    <x v="0"/>
    <x v="0"/>
    <x v="0"/>
    <s v="DK1_Large"/>
    <x v="7"/>
    <x v="0"/>
    <x v="0"/>
    <x v="0"/>
  </r>
  <r>
    <x v="0"/>
    <x v="0"/>
    <x v="0"/>
    <x v="0"/>
    <x v="0"/>
    <s v="DK1_Large"/>
    <x v="7"/>
    <x v="1"/>
    <x v="0"/>
    <x v="0"/>
  </r>
  <r>
    <x v="0"/>
    <x v="0"/>
    <x v="0"/>
    <x v="0"/>
    <x v="0"/>
    <s v="DK1_Large"/>
    <x v="7"/>
    <x v="2"/>
    <x v="0"/>
    <x v="0"/>
  </r>
  <r>
    <x v="0"/>
    <x v="0"/>
    <x v="0"/>
    <x v="0"/>
    <x v="0"/>
    <s v="DK1_Large"/>
    <x v="7"/>
    <x v="3"/>
    <x v="0"/>
    <x v="0"/>
  </r>
  <r>
    <x v="0"/>
    <x v="0"/>
    <x v="0"/>
    <x v="0"/>
    <x v="0"/>
    <s v="DK1_Large"/>
    <x v="7"/>
    <x v="4"/>
    <x v="0"/>
    <x v="0"/>
  </r>
  <r>
    <x v="0"/>
    <x v="0"/>
    <x v="0"/>
    <x v="0"/>
    <x v="0"/>
    <s v="DK1_Large"/>
    <x v="7"/>
    <x v="5"/>
    <x v="0"/>
    <x v="0"/>
  </r>
  <r>
    <x v="0"/>
    <x v="0"/>
    <x v="0"/>
    <x v="0"/>
    <x v="0"/>
    <s v="DK1_Large"/>
    <x v="7"/>
    <x v="6"/>
    <x v="0"/>
    <x v="0"/>
  </r>
  <r>
    <x v="0"/>
    <x v="0"/>
    <x v="0"/>
    <x v="0"/>
    <x v="0"/>
    <s v="DK1_Large"/>
    <x v="7"/>
    <x v="7"/>
    <x v="0"/>
    <x v="0"/>
  </r>
  <r>
    <x v="0"/>
    <x v="0"/>
    <x v="0"/>
    <x v="0"/>
    <x v="0"/>
    <s v="DK1_Large"/>
    <x v="7"/>
    <x v="8"/>
    <x v="0"/>
    <x v="0"/>
  </r>
  <r>
    <x v="0"/>
    <x v="0"/>
    <x v="0"/>
    <x v="0"/>
    <x v="0"/>
    <s v="DK1_Large"/>
    <x v="7"/>
    <x v="9"/>
    <x v="0"/>
    <x v="0"/>
  </r>
  <r>
    <x v="0"/>
    <x v="0"/>
    <x v="0"/>
    <x v="0"/>
    <x v="0"/>
    <s v="DK1_Large"/>
    <x v="7"/>
    <x v="10"/>
    <x v="0"/>
    <x v="0"/>
  </r>
  <r>
    <x v="0"/>
    <x v="0"/>
    <x v="0"/>
    <x v="0"/>
    <x v="0"/>
    <s v="DK1_Large"/>
    <x v="7"/>
    <x v="11"/>
    <x v="0"/>
    <x v="0"/>
  </r>
  <r>
    <x v="0"/>
    <x v="0"/>
    <x v="0"/>
    <x v="0"/>
    <x v="0"/>
    <s v="DK1_Large"/>
    <x v="8"/>
    <x v="0"/>
    <x v="0"/>
    <x v="0"/>
  </r>
  <r>
    <x v="0"/>
    <x v="0"/>
    <x v="0"/>
    <x v="0"/>
    <x v="0"/>
    <s v="DK1_Large"/>
    <x v="8"/>
    <x v="1"/>
    <x v="0"/>
    <x v="0"/>
  </r>
  <r>
    <x v="0"/>
    <x v="0"/>
    <x v="0"/>
    <x v="0"/>
    <x v="0"/>
    <s v="DK1_Large"/>
    <x v="8"/>
    <x v="2"/>
    <x v="0"/>
    <x v="0"/>
  </r>
  <r>
    <x v="0"/>
    <x v="0"/>
    <x v="0"/>
    <x v="0"/>
    <x v="0"/>
    <s v="DK1_Large"/>
    <x v="8"/>
    <x v="3"/>
    <x v="0"/>
    <x v="0"/>
  </r>
  <r>
    <x v="0"/>
    <x v="0"/>
    <x v="0"/>
    <x v="0"/>
    <x v="0"/>
    <s v="DK1_Large"/>
    <x v="8"/>
    <x v="4"/>
    <x v="0"/>
    <x v="0"/>
  </r>
  <r>
    <x v="0"/>
    <x v="0"/>
    <x v="0"/>
    <x v="0"/>
    <x v="0"/>
    <s v="DK1_Large"/>
    <x v="8"/>
    <x v="5"/>
    <x v="0"/>
    <x v="0"/>
  </r>
  <r>
    <x v="0"/>
    <x v="0"/>
    <x v="0"/>
    <x v="0"/>
    <x v="0"/>
    <s v="DK1_Large"/>
    <x v="8"/>
    <x v="6"/>
    <x v="0"/>
    <x v="0"/>
  </r>
  <r>
    <x v="0"/>
    <x v="0"/>
    <x v="0"/>
    <x v="0"/>
    <x v="0"/>
    <s v="DK1_Large"/>
    <x v="8"/>
    <x v="7"/>
    <x v="0"/>
    <x v="0"/>
  </r>
  <r>
    <x v="0"/>
    <x v="0"/>
    <x v="0"/>
    <x v="0"/>
    <x v="0"/>
    <s v="DK1_Large"/>
    <x v="8"/>
    <x v="8"/>
    <x v="0"/>
    <x v="0"/>
  </r>
  <r>
    <x v="0"/>
    <x v="0"/>
    <x v="0"/>
    <x v="0"/>
    <x v="0"/>
    <s v="DK1_Large"/>
    <x v="8"/>
    <x v="9"/>
    <x v="0"/>
    <x v="0"/>
  </r>
  <r>
    <x v="0"/>
    <x v="0"/>
    <x v="0"/>
    <x v="0"/>
    <x v="0"/>
    <s v="DK1_Large"/>
    <x v="8"/>
    <x v="10"/>
    <x v="0"/>
    <x v="0"/>
  </r>
  <r>
    <x v="0"/>
    <x v="0"/>
    <x v="0"/>
    <x v="0"/>
    <x v="0"/>
    <s v="DK1_Large"/>
    <x v="8"/>
    <x v="11"/>
    <x v="0"/>
    <x v="0"/>
  </r>
  <r>
    <x v="0"/>
    <x v="0"/>
    <x v="0"/>
    <x v="0"/>
    <x v="0"/>
    <s v="DK1_Large"/>
    <x v="9"/>
    <x v="0"/>
    <x v="0"/>
    <x v="0"/>
  </r>
  <r>
    <x v="0"/>
    <x v="0"/>
    <x v="0"/>
    <x v="0"/>
    <x v="0"/>
    <s v="DK1_Large"/>
    <x v="9"/>
    <x v="1"/>
    <x v="0"/>
    <x v="0"/>
  </r>
  <r>
    <x v="0"/>
    <x v="0"/>
    <x v="0"/>
    <x v="0"/>
    <x v="0"/>
    <s v="DK1_Large"/>
    <x v="9"/>
    <x v="2"/>
    <x v="0"/>
    <x v="0"/>
  </r>
  <r>
    <x v="0"/>
    <x v="0"/>
    <x v="0"/>
    <x v="0"/>
    <x v="0"/>
    <s v="DK1_Large"/>
    <x v="9"/>
    <x v="3"/>
    <x v="0"/>
    <x v="0"/>
  </r>
  <r>
    <x v="0"/>
    <x v="0"/>
    <x v="0"/>
    <x v="0"/>
    <x v="0"/>
    <s v="DK1_Large"/>
    <x v="9"/>
    <x v="4"/>
    <x v="0"/>
    <x v="0"/>
  </r>
  <r>
    <x v="0"/>
    <x v="0"/>
    <x v="0"/>
    <x v="0"/>
    <x v="0"/>
    <s v="DK1_Large"/>
    <x v="9"/>
    <x v="5"/>
    <x v="0"/>
    <x v="0"/>
  </r>
  <r>
    <x v="0"/>
    <x v="0"/>
    <x v="0"/>
    <x v="0"/>
    <x v="0"/>
    <s v="DK1_Large"/>
    <x v="9"/>
    <x v="6"/>
    <x v="0"/>
    <x v="0"/>
  </r>
  <r>
    <x v="0"/>
    <x v="0"/>
    <x v="0"/>
    <x v="0"/>
    <x v="0"/>
    <s v="DK1_Large"/>
    <x v="9"/>
    <x v="7"/>
    <x v="0"/>
    <x v="0"/>
  </r>
  <r>
    <x v="0"/>
    <x v="0"/>
    <x v="0"/>
    <x v="0"/>
    <x v="0"/>
    <s v="DK1_Large"/>
    <x v="9"/>
    <x v="8"/>
    <x v="0"/>
    <x v="0"/>
  </r>
  <r>
    <x v="0"/>
    <x v="0"/>
    <x v="0"/>
    <x v="0"/>
    <x v="0"/>
    <s v="DK1_Large"/>
    <x v="9"/>
    <x v="9"/>
    <x v="0"/>
    <x v="0"/>
  </r>
  <r>
    <x v="0"/>
    <x v="0"/>
    <x v="0"/>
    <x v="0"/>
    <x v="0"/>
    <s v="DK1_Large"/>
    <x v="9"/>
    <x v="10"/>
    <x v="0"/>
    <x v="0"/>
  </r>
  <r>
    <x v="0"/>
    <x v="0"/>
    <x v="0"/>
    <x v="0"/>
    <x v="0"/>
    <s v="DK1_Large"/>
    <x v="9"/>
    <x v="11"/>
    <x v="0"/>
    <x v="0"/>
  </r>
  <r>
    <x v="0"/>
    <x v="0"/>
    <x v="0"/>
    <x v="0"/>
    <x v="0"/>
    <s v="DK1_Large"/>
    <x v="10"/>
    <x v="0"/>
    <x v="0"/>
    <x v="0"/>
  </r>
  <r>
    <x v="0"/>
    <x v="0"/>
    <x v="0"/>
    <x v="0"/>
    <x v="0"/>
    <s v="DK1_Large"/>
    <x v="10"/>
    <x v="1"/>
    <x v="0"/>
    <x v="0"/>
  </r>
  <r>
    <x v="0"/>
    <x v="0"/>
    <x v="0"/>
    <x v="0"/>
    <x v="0"/>
    <s v="DK1_Large"/>
    <x v="10"/>
    <x v="2"/>
    <x v="0"/>
    <x v="0"/>
  </r>
  <r>
    <x v="0"/>
    <x v="0"/>
    <x v="0"/>
    <x v="0"/>
    <x v="0"/>
    <s v="DK1_Large"/>
    <x v="10"/>
    <x v="3"/>
    <x v="0"/>
    <x v="0"/>
  </r>
  <r>
    <x v="0"/>
    <x v="0"/>
    <x v="0"/>
    <x v="0"/>
    <x v="0"/>
    <s v="DK1_Large"/>
    <x v="10"/>
    <x v="4"/>
    <x v="0"/>
    <x v="0"/>
  </r>
  <r>
    <x v="0"/>
    <x v="0"/>
    <x v="0"/>
    <x v="0"/>
    <x v="0"/>
    <s v="DK1_Large"/>
    <x v="10"/>
    <x v="5"/>
    <x v="0"/>
    <x v="0"/>
  </r>
  <r>
    <x v="0"/>
    <x v="0"/>
    <x v="0"/>
    <x v="0"/>
    <x v="0"/>
    <s v="DK1_Large"/>
    <x v="10"/>
    <x v="6"/>
    <x v="0"/>
    <x v="0"/>
  </r>
  <r>
    <x v="0"/>
    <x v="0"/>
    <x v="0"/>
    <x v="0"/>
    <x v="0"/>
    <s v="DK1_Large"/>
    <x v="10"/>
    <x v="7"/>
    <x v="0"/>
    <x v="0"/>
  </r>
  <r>
    <x v="0"/>
    <x v="0"/>
    <x v="0"/>
    <x v="0"/>
    <x v="0"/>
    <s v="DK1_Large"/>
    <x v="10"/>
    <x v="8"/>
    <x v="0"/>
    <x v="0"/>
  </r>
  <r>
    <x v="0"/>
    <x v="0"/>
    <x v="0"/>
    <x v="0"/>
    <x v="0"/>
    <s v="DK1_Large"/>
    <x v="10"/>
    <x v="9"/>
    <x v="0"/>
    <x v="0"/>
  </r>
  <r>
    <x v="0"/>
    <x v="0"/>
    <x v="0"/>
    <x v="0"/>
    <x v="0"/>
    <s v="DK1_Large"/>
    <x v="10"/>
    <x v="10"/>
    <x v="0"/>
    <x v="0"/>
  </r>
  <r>
    <x v="0"/>
    <x v="0"/>
    <x v="0"/>
    <x v="0"/>
    <x v="0"/>
    <s v="DK1_Large"/>
    <x v="10"/>
    <x v="11"/>
    <x v="0"/>
    <x v="0"/>
  </r>
  <r>
    <x v="0"/>
    <x v="0"/>
    <x v="0"/>
    <x v="0"/>
    <x v="0"/>
    <s v="DK1_Large"/>
    <x v="11"/>
    <x v="0"/>
    <x v="0"/>
    <x v="0"/>
  </r>
  <r>
    <x v="0"/>
    <x v="0"/>
    <x v="0"/>
    <x v="0"/>
    <x v="0"/>
    <s v="DK1_Large"/>
    <x v="11"/>
    <x v="1"/>
    <x v="0"/>
    <x v="0"/>
  </r>
  <r>
    <x v="0"/>
    <x v="0"/>
    <x v="0"/>
    <x v="0"/>
    <x v="0"/>
    <s v="DK1_Large"/>
    <x v="11"/>
    <x v="2"/>
    <x v="0"/>
    <x v="0"/>
  </r>
  <r>
    <x v="0"/>
    <x v="0"/>
    <x v="0"/>
    <x v="0"/>
    <x v="0"/>
    <s v="DK1_Large"/>
    <x v="11"/>
    <x v="3"/>
    <x v="0"/>
    <x v="0"/>
  </r>
  <r>
    <x v="0"/>
    <x v="0"/>
    <x v="0"/>
    <x v="0"/>
    <x v="0"/>
    <s v="DK1_Large"/>
    <x v="11"/>
    <x v="4"/>
    <x v="0"/>
    <x v="0"/>
  </r>
  <r>
    <x v="0"/>
    <x v="0"/>
    <x v="0"/>
    <x v="0"/>
    <x v="0"/>
    <s v="DK1_Large"/>
    <x v="11"/>
    <x v="5"/>
    <x v="0"/>
    <x v="0"/>
  </r>
  <r>
    <x v="0"/>
    <x v="0"/>
    <x v="0"/>
    <x v="0"/>
    <x v="0"/>
    <s v="DK1_Large"/>
    <x v="11"/>
    <x v="6"/>
    <x v="0"/>
    <x v="0"/>
  </r>
  <r>
    <x v="0"/>
    <x v="0"/>
    <x v="0"/>
    <x v="0"/>
    <x v="0"/>
    <s v="DK1_Large"/>
    <x v="11"/>
    <x v="7"/>
    <x v="0"/>
    <x v="0"/>
  </r>
  <r>
    <x v="0"/>
    <x v="0"/>
    <x v="0"/>
    <x v="0"/>
    <x v="0"/>
    <s v="DK1_Large"/>
    <x v="11"/>
    <x v="8"/>
    <x v="0"/>
    <x v="0"/>
  </r>
  <r>
    <x v="0"/>
    <x v="0"/>
    <x v="0"/>
    <x v="0"/>
    <x v="0"/>
    <s v="DK1_Large"/>
    <x v="11"/>
    <x v="9"/>
    <x v="0"/>
    <x v="0"/>
  </r>
  <r>
    <x v="0"/>
    <x v="0"/>
    <x v="0"/>
    <x v="0"/>
    <x v="0"/>
    <s v="DK1_Large"/>
    <x v="11"/>
    <x v="10"/>
    <x v="0"/>
    <x v="0"/>
  </r>
  <r>
    <x v="0"/>
    <x v="0"/>
    <x v="0"/>
    <x v="0"/>
    <x v="0"/>
    <s v="DK1_Large"/>
    <x v="11"/>
    <x v="11"/>
    <x v="0"/>
    <x v="0"/>
  </r>
  <r>
    <x v="0"/>
    <x v="0"/>
    <x v="0"/>
    <x v="0"/>
    <x v="0"/>
    <s v="DK1_MedSmall"/>
    <x v="0"/>
    <x v="0"/>
    <x v="0"/>
    <x v="0"/>
  </r>
  <r>
    <x v="0"/>
    <x v="0"/>
    <x v="0"/>
    <x v="0"/>
    <x v="0"/>
    <s v="DK1_MedSmall"/>
    <x v="0"/>
    <x v="1"/>
    <x v="0"/>
    <x v="0"/>
  </r>
  <r>
    <x v="0"/>
    <x v="0"/>
    <x v="0"/>
    <x v="0"/>
    <x v="0"/>
    <s v="DK1_MedSmall"/>
    <x v="0"/>
    <x v="2"/>
    <x v="0"/>
    <x v="0"/>
  </r>
  <r>
    <x v="0"/>
    <x v="0"/>
    <x v="0"/>
    <x v="0"/>
    <x v="0"/>
    <s v="DK1_MedSmall"/>
    <x v="0"/>
    <x v="3"/>
    <x v="0"/>
    <x v="0"/>
  </r>
  <r>
    <x v="0"/>
    <x v="0"/>
    <x v="0"/>
    <x v="0"/>
    <x v="0"/>
    <s v="DK1_MedSmall"/>
    <x v="0"/>
    <x v="4"/>
    <x v="0"/>
    <x v="0"/>
  </r>
  <r>
    <x v="0"/>
    <x v="0"/>
    <x v="0"/>
    <x v="0"/>
    <x v="0"/>
    <s v="DK1_MedSmall"/>
    <x v="0"/>
    <x v="5"/>
    <x v="0"/>
    <x v="0"/>
  </r>
  <r>
    <x v="0"/>
    <x v="0"/>
    <x v="0"/>
    <x v="0"/>
    <x v="0"/>
    <s v="DK1_MedSmall"/>
    <x v="0"/>
    <x v="6"/>
    <x v="0"/>
    <x v="0"/>
  </r>
  <r>
    <x v="0"/>
    <x v="0"/>
    <x v="0"/>
    <x v="0"/>
    <x v="0"/>
    <s v="DK1_MedSmall"/>
    <x v="0"/>
    <x v="7"/>
    <x v="0"/>
    <x v="0"/>
  </r>
  <r>
    <x v="0"/>
    <x v="0"/>
    <x v="0"/>
    <x v="0"/>
    <x v="0"/>
    <s v="DK1_MedSmall"/>
    <x v="0"/>
    <x v="8"/>
    <x v="0"/>
    <x v="0"/>
  </r>
  <r>
    <x v="0"/>
    <x v="0"/>
    <x v="0"/>
    <x v="0"/>
    <x v="0"/>
    <s v="DK1_MedSmall"/>
    <x v="0"/>
    <x v="9"/>
    <x v="0"/>
    <x v="0"/>
  </r>
  <r>
    <x v="0"/>
    <x v="0"/>
    <x v="0"/>
    <x v="0"/>
    <x v="0"/>
    <s v="DK1_MedSmall"/>
    <x v="0"/>
    <x v="10"/>
    <x v="0"/>
    <x v="0"/>
  </r>
  <r>
    <x v="0"/>
    <x v="0"/>
    <x v="0"/>
    <x v="0"/>
    <x v="0"/>
    <s v="DK1_MedSmall"/>
    <x v="0"/>
    <x v="11"/>
    <x v="0"/>
    <x v="0"/>
  </r>
  <r>
    <x v="0"/>
    <x v="0"/>
    <x v="0"/>
    <x v="0"/>
    <x v="0"/>
    <s v="DK1_MedSmall"/>
    <x v="1"/>
    <x v="0"/>
    <x v="0"/>
    <x v="0"/>
  </r>
  <r>
    <x v="0"/>
    <x v="0"/>
    <x v="0"/>
    <x v="0"/>
    <x v="0"/>
    <s v="DK1_MedSmall"/>
    <x v="1"/>
    <x v="1"/>
    <x v="0"/>
    <x v="0"/>
  </r>
  <r>
    <x v="0"/>
    <x v="0"/>
    <x v="0"/>
    <x v="0"/>
    <x v="0"/>
    <s v="DK1_MedSmall"/>
    <x v="1"/>
    <x v="2"/>
    <x v="0"/>
    <x v="0"/>
  </r>
  <r>
    <x v="0"/>
    <x v="0"/>
    <x v="0"/>
    <x v="0"/>
    <x v="0"/>
    <s v="DK1_MedSmall"/>
    <x v="1"/>
    <x v="3"/>
    <x v="0"/>
    <x v="0"/>
  </r>
  <r>
    <x v="0"/>
    <x v="0"/>
    <x v="0"/>
    <x v="0"/>
    <x v="0"/>
    <s v="DK1_MedSmall"/>
    <x v="1"/>
    <x v="4"/>
    <x v="0"/>
    <x v="0"/>
  </r>
  <r>
    <x v="0"/>
    <x v="0"/>
    <x v="0"/>
    <x v="0"/>
    <x v="0"/>
    <s v="DK1_MedSmall"/>
    <x v="1"/>
    <x v="5"/>
    <x v="0"/>
    <x v="0"/>
  </r>
  <r>
    <x v="0"/>
    <x v="0"/>
    <x v="0"/>
    <x v="0"/>
    <x v="0"/>
    <s v="DK1_MedSmall"/>
    <x v="1"/>
    <x v="6"/>
    <x v="0"/>
    <x v="0"/>
  </r>
  <r>
    <x v="0"/>
    <x v="0"/>
    <x v="0"/>
    <x v="0"/>
    <x v="0"/>
    <s v="DK1_MedSmall"/>
    <x v="1"/>
    <x v="7"/>
    <x v="0"/>
    <x v="0"/>
  </r>
  <r>
    <x v="0"/>
    <x v="0"/>
    <x v="0"/>
    <x v="0"/>
    <x v="0"/>
    <s v="DK1_MedSmall"/>
    <x v="1"/>
    <x v="8"/>
    <x v="0"/>
    <x v="0"/>
  </r>
  <r>
    <x v="0"/>
    <x v="0"/>
    <x v="0"/>
    <x v="0"/>
    <x v="0"/>
    <s v="DK1_MedSmall"/>
    <x v="1"/>
    <x v="9"/>
    <x v="0"/>
    <x v="0"/>
  </r>
  <r>
    <x v="0"/>
    <x v="0"/>
    <x v="0"/>
    <x v="0"/>
    <x v="0"/>
    <s v="DK1_MedSmall"/>
    <x v="1"/>
    <x v="10"/>
    <x v="0"/>
    <x v="0"/>
  </r>
  <r>
    <x v="0"/>
    <x v="0"/>
    <x v="0"/>
    <x v="0"/>
    <x v="0"/>
    <s v="DK1_MedSmall"/>
    <x v="1"/>
    <x v="11"/>
    <x v="0"/>
    <x v="0"/>
  </r>
  <r>
    <x v="0"/>
    <x v="0"/>
    <x v="0"/>
    <x v="0"/>
    <x v="0"/>
    <s v="DK1_MedSmall"/>
    <x v="2"/>
    <x v="0"/>
    <x v="0"/>
    <x v="0"/>
  </r>
  <r>
    <x v="0"/>
    <x v="0"/>
    <x v="0"/>
    <x v="0"/>
    <x v="0"/>
    <s v="DK1_MedSmall"/>
    <x v="2"/>
    <x v="1"/>
    <x v="0"/>
    <x v="0"/>
  </r>
  <r>
    <x v="0"/>
    <x v="0"/>
    <x v="0"/>
    <x v="0"/>
    <x v="0"/>
    <s v="DK1_MedSmall"/>
    <x v="2"/>
    <x v="2"/>
    <x v="0"/>
    <x v="0"/>
  </r>
  <r>
    <x v="0"/>
    <x v="0"/>
    <x v="0"/>
    <x v="0"/>
    <x v="0"/>
    <s v="DK1_MedSmall"/>
    <x v="2"/>
    <x v="3"/>
    <x v="0"/>
    <x v="0"/>
  </r>
  <r>
    <x v="0"/>
    <x v="0"/>
    <x v="0"/>
    <x v="0"/>
    <x v="0"/>
    <s v="DK1_MedSmall"/>
    <x v="2"/>
    <x v="4"/>
    <x v="0"/>
    <x v="0"/>
  </r>
  <r>
    <x v="0"/>
    <x v="0"/>
    <x v="0"/>
    <x v="0"/>
    <x v="0"/>
    <s v="DK1_MedSmall"/>
    <x v="2"/>
    <x v="5"/>
    <x v="0"/>
    <x v="0"/>
  </r>
  <r>
    <x v="0"/>
    <x v="0"/>
    <x v="0"/>
    <x v="0"/>
    <x v="0"/>
    <s v="DK1_MedSmall"/>
    <x v="2"/>
    <x v="6"/>
    <x v="0"/>
    <x v="0"/>
  </r>
  <r>
    <x v="0"/>
    <x v="0"/>
    <x v="0"/>
    <x v="0"/>
    <x v="0"/>
    <s v="DK1_MedSmall"/>
    <x v="2"/>
    <x v="7"/>
    <x v="0"/>
    <x v="0"/>
  </r>
  <r>
    <x v="0"/>
    <x v="0"/>
    <x v="0"/>
    <x v="0"/>
    <x v="0"/>
    <s v="DK1_MedSmall"/>
    <x v="2"/>
    <x v="8"/>
    <x v="0"/>
    <x v="0"/>
  </r>
  <r>
    <x v="0"/>
    <x v="0"/>
    <x v="0"/>
    <x v="0"/>
    <x v="0"/>
    <s v="DK1_MedSmall"/>
    <x v="2"/>
    <x v="9"/>
    <x v="0"/>
    <x v="0"/>
  </r>
  <r>
    <x v="0"/>
    <x v="0"/>
    <x v="0"/>
    <x v="0"/>
    <x v="0"/>
    <s v="DK1_MedSmall"/>
    <x v="2"/>
    <x v="10"/>
    <x v="0"/>
    <x v="0"/>
  </r>
  <r>
    <x v="0"/>
    <x v="0"/>
    <x v="0"/>
    <x v="0"/>
    <x v="0"/>
    <s v="DK1_MedSmall"/>
    <x v="2"/>
    <x v="11"/>
    <x v="0"/>
    <x v="0"/>
  </r>
  <r>
    <x v="0"/>
    <x v="0"/>
    <x v="0"/>
    <x v="0"/>
    <x v="0"/>
    <s v="DK1_MedSmall"/>
    <x v="3"/>
    <x v="0"/>
    <x v="0"/>
    <x v="0"/>
  </r>
  <r>
    <x v="0"/>
    <x v="0"/>
    <x v="0"/>
    <x v="0"/>
    <x v="0"/>
    <s v="DK1_MedSmall"/>
    <x v="3"/>
    <x v="1"/>
    <x v="0"/>
    <x v="0"/>
  </r>
  <r>
    <x v="0"/>
    <x v="0"/>
    <x v="0"/>
    <x v="0"/>
    <x v="0"/>
    <s v="DK1_MedSmall"/>
    <x v="3"/>
    <x v="2"/>
    <x v="0"/>
    <x v="0"/>
  </r>
  <r>
    <x v="0"/>
    <x v="0"/>
    <x v="0"/>
    <x v="0"/>
    <x v="0"/>
    <s v="DK1_MedSmall"/>
    <x v="3"/>
    <x v="3"/>
    <x v="0"/>
    <x v="0"/>
  </r>
  <r>
    <x v="0"/>
    <x v="0"/>
    <x v="0"/>
    <x v="0"/>
    <x v="0"/>
    <s v="DK1_MedSmall"/>
    <x v="3"/>
    <x v="4"/>
    <x v="0"/>
    <x v="0"/>
  </r>
  <r>
    <x v="0"/>
    <x v="0"/>
    <x v="0"/>
    <x v="0"/>
    <x v="0"/>
    <s v="DK1_MedSmall"/>
    <x v="3"/>
    <x v="5"/>
    <x v="0"/>
    <x v="0"/>
  </r>
  <r>
    <x v="0"/>
    <x v="0"/>
    <x v="0"/>
    <x v="0"/>
    <x v="0"/>
    <s v="DK1_MedSmall"/>
    <x v="3"/>
    <x v="6"/>
    <x v="0"/>
    <x v="0"/>
  </r>
  <r>
    <x v="0"/>
    <x v="0"/>
    <x v="0"/>
    <x v="0"/>
    <x v="0"/>
    <s v="DK1_MedSmall"/>
    <x v="3"/>
    <x v="7"/>
    <x v="0"/>
    <x v="0"/>
  </r>
  <r>
    <x v="0"/>
    <x v="0"/>
    <x v="0"/>
    <x v="0"/>
    <x v="0"/>
    <s v="DK1_MedSmall"/>
    <x v="3"/>
    <x v="8"/>
    <x v="0"/>
    <x v="0"/>
  </r>
  <r>
    <x v="0"/>
    <x v="0"/>
    <x v="0"/>
    <x v="0"/>
    <x v="0"/>
    <s v="DK1_MedSmall"/>
    <x v="3"/>
    <x v="9"/>
    <x v="0"/>
    <x v="0"/>
  </r>
  <r>
    <x v="0"/>
    <x v="0"/>
    <x v="0"/>
    <x v="0"/>
    <x v="0"/>
    <s v="DK1_MedSmall"/>
    <x v="3"/>
    <x v="10"/>
    <x v="0"/>
    <x v="0"/>
  </r>
  <r>
    <x v="0"/>
    <x v="0"/>
    <x v="0"/>
    <x v="0"/>
    <x v="0"/>
    <s v="DK1_MedSmall"/>
    <x v="3"/>
    <x v="11"/>
    <x v="0"/>
    <x v="0"/>
  </r>
  <r>
    <x v="0"/>
    <x v="0"/>
    <x v="0"/>
    <x v="0"/>
    <x v="0"/>
    <s v="DK1_MedSmall"/>
    <x v="4"/>
    <x v="0"/>
    <x v="0"/>
    <x v="0"/>
  </r>
  <r>
    <x v="0"/>
    <x v="0"/>
    <x v="0"/>
    <x v="0"/>
    <x v="0"/>
    <s v="DK1_MedSmall"/>
    <x v="4"/>
    <x v="1"/>
    <x v="0"/>
    <x v="0"/>
  </r>
  <r>
    <x v="0"/>
    <x v="0"/>
    <x v="0"/>
    <x v="0"/>
    <x v="0"/>
    <s v="DK1_MedSmall"/>
    <x v="4"/>
    <x v="2"/>
    <x v="0"/>
    <x v="0"/>
  </r>
  <r>
    <x v="0"/>
    <x v="0"/>
    <x v="0"/>
    <x v="0"/>
    <x v="0"/>
    <s v="DK1_MedSmall"/>
    <x v="4"/>
    <x v="3"/>
    <x v="0"/>
    <x v="0"/>
  </r>
  <r>
    <x v="0"/>
    <x v="0"/>
    <x v="0"/>
    <x v="0"/>
    <x v="0"/>
    <s v="DK1_MedSmall"/>
    <x v="4"/>
    <x v="4"/>
    <x v="0"/>
    <x v="0"/>
  </r>
  <r>
    <x v="0"/>
    <x v="0"/>
    <x v="0"/>
    <x v="0"/>
    <x v="0"/>
    <s v="DK1_MedSmall"/>
    <x v="4"/>
    <x v="5"/>
    <x v="0"/>
    <x v="0"/>
  </r>
  <r>
    <x v="0"/>
    <x v="0"/>
    <x v="0"/>
    <x v="0"/>
    <x v="0"/>
    <s v="DK1_MedSmall"/>
    <x v="4"/>
    <x v="6"/>
    <x v="0"/>
    <x v="0"/>
  </r>
  <r>
    <x v="0"/>
    <x v="0"/>
    <x v="0"/>
    <x v="0"/>
    <x v="0"/>
    <s v="DK1_MedSmall"/>
    <x v="4"/>
    <x v="7"/>
    <x v="0"/>
    <x v="0"/>
  </r>
  <r>
    <x v="0"/>
    <x v="0"/>
    <x v="0"/>
    <x v="0"/>
    <x v="0"/>
    <s v="DK1_MedSmall"/>
    <x v="4"/>
    <x v="8"/>
    <x v="0"/>
    <x v="0"/>
  </r>
  <r>
    <x v="0"/>
    <x v="0"/>
    <x v="0"/>
    <x v="0"/>
    <x v="0"/>
    <s v="DK1_MedSmall"/>
    <x v="4"/>
    <x v="9"/>
    <x v="0"/>
    <x v="0"/>
  </r>
  <r>
    <x v="0"/>
    <x v="0"/>
    <x v="0"/>
    <x v="0"/>
    <x v="0"/>
    <s v="DK1_MedSmall"/>
    <x v="4"/>
    <x v="10"/>
    <x v="0"/>
    <x v="0"/>
  </r>
  <r>
    <x v="0"/>
    <x v="0"/>
    <x v="0"/>
    <x v="0"/>
    <x v="0"/>
    <s v="DK1_MedSmall"/>
    <x v="4"/>
    <x v="11"/>
    <x v="0"/>
    <x v="0"/>
  </r>
  <r>
    <x v="0"/>
    <x v="0"/>
    <x v="0"/>
    <x v="0"/>
    <x v="0"/>
    <s v="DK1_MedSmall"/>
    <x v="5"/>
    <x v="0"/>
    <x v="0"/>
    <x v="0"/>
  </r>
  <r>
    <x v="0"/>
    <x v="0"/>
    <x v="0"/>
    <x v="0"/>
    <x v="0"/>
    <s v="DK1_MedSmall"/>
    <x v="5"/>
    <x v="1"/>
    <x v="0"/>
    <x v="0"/>
  </r>
  <r>
    <x v="0"/>
    <x v="0"/>
    <x v="0"/>
    <x v="0"/>
    <x v="0"/>
    <s v="DK1_MedSmall"/>
    <x v="5"/>
    <x v="2"/>
    <x v="0"/>
    <x v="0"/>
  </r>
  <r>
    <x v="0"/>
    <x v="0"/>
    <x v="0"/>
    <x v="0"/>
    <x v="0"/>
    <s v="DK1_MedSmall"/>
    <x v="5"/>
    <x v="3"/>
    <x v="0"/>
    <x v="0"/>
  </r>
  <r>
    <x v="0"/>
    <x v="0"/>
    <x v="0"/>
    <x v="0"/>
    <x v="0"/>
    <s v="DK1_MedSmall"/>
    <x v="5"/>
    <x v="4"/>
    <x v="0"/>
    <x v="0"/>
  </r>
  <r>
    <x v="0"/>
    <x v="0"/>
    <x v="0"/>
    <x v="0"/>
    <x v="0"/>
    <s v="DK1_MedSmall"/>
    <x v="5"/>
    <x v="5"/>
    <x v="0"/>
    <x v="0"/>
  </r>
  <r>
    <x v="0"/>
    <x v="0"/>
    <x v="0"/>
    <x v="0"/>
    <x v="0"/>
    <s v="DK1_MedSmall"/>
    <x v="5"/>
    <x v="6"/>
    <x v="0"/>
    <x v="0"/>
  </r>
  <r>
    <x v="0"/>
    <x v="0"/>
    <x v="0"/>
    <x v="0"/>
    <x v="0"/>
    <s v="DK1_MedSmall"/>
    <x v="5"/>
    <x v="7"/>
    <x v="0"/>
    <x v="0"/>
  </r>
  <r>
    <x v="0"/>
    <x v="0"/>
    <x v="0"/>
    <x v="0"/>
    <x v="0"/>
    <s v="DK1_MedSmall"/>
    <x v="5"/>
    <x v="8"/>
    <x v="0"/>
    <x v="0"/>
  </r>
  <r>
    <x v="0"/>
    <x v="0"/>
    <x v="0"/>
    <x v="0"/>
    <x v="0"/>
    <s v="DK1_MedSmall"/>
    <x v="5"/>
    <x v="9"/>
    <x v="0"/>
    <x v="0"/>
  </r>
  <r>
    <x v="0"/>
    <x v="0"/>
    <x v="0"/>
    <x v="0"/>
    <x v="0"/>
    <s v="DK1_MedSmall"/>
    <x v="5"/>
    <x v="10"/>
    <x v="0"/>
    <x v="0"/>
  </r>
  <r>
    <x v="0"/>
    <x v="0"/>
    <x v="0"/>
    <x v="0"/>
    <x v="0"/>
    <s v="DK1_MedSmall"/>
    <x v="5"/>
    <x v="11"/>
    <x v="0"/>
    <x v="0"/>
  </r>
  <r>
    <x v="0"/>
    <x v="0"/>
    <x v="0"/>
    <x v="0"/>
    <x v="0"/>
    <s v="DK1_MedSmall"/>
    <x v="6"/>
    <x v="0"/>
    <x v="0"/>
    <x v="0"/>
  </r>
  <r>
    <x v="0"/>
    <x v="0"/>
    <x v="0"/>
    <x v="0"/>
    <x v="0"/>
    <s v="DK1_MedSmall"/>
    <x v="6"/>
    <x v="1"/>
    <x v="0"/>
    <x v="0"/>
  </r>
  <r>
    <x v="0"/>
    <x v="0"/>
    <x v="0"/>
    <x v="0"/>
    <x v="0"/>
    <s v="DK1_MedSmall"/>
    <x v="6"/>
    <x v="2"/>
    <x v="0"/>
    <x v="0"/>
  </r>
  <r>
    <x v="0"/>
    <x v="0"/>
    <x v="0"/>
    <x v="0"/>
    <x v="0"/>
    <s v="DK1_MedSmall"/>
    <x v="6"/>
    <x v="3"/>
    <x v="0"/>
    <x v="0"/>
  </r>
  <r>
    <x v="0"/>
    <x v="0"/>
    <x v="0"/>
    <x v="0"/>
    <x v="0"/>
    <s v="DK1_MedSmall"/>
    <x v="6"/>
    <x v="4"/>
    <x v="0"/>
    <x v="0"/>
  </r>
  <r>
    <x v="0"/>
    <x v="0"/>
    <x v="0"/>
    <x v="0"/>
    <x v="0"/>
    <s v="DK1_MedSmall"/>
    <x v="6"/>
    <x v="5"/>
    <x v="0"/>
    <x v="0"/>
  </r>
  <r>
    <x v="0"/>
    <x v="0"/>
    <x v="0"/>
    <x v="0"/>
    <x v="0"/>
    <s v="DK1_MedSmall"/>
    <x v="6"/>
    <x v="6"/>
    <x v="0"/>
    <x v="0"/>
  </r>
  <r>
    <x v="0"/>
    <x v="0"/>
    <x v="0"/>
    <x v="0"/>
    <x v="0"/>
    <s v="DK1_MedSmall"/>
    <x v="6"/>
    <x v="7"/>
    <x v="0"/>
    <x v="0"/>
  </r>
  <r>
    <x v="0"/>
    <x v="0"/>
    <x v="0"/>
    <x v="0"/>
    <x v="0"/>
    <s v="DK1_MedSmall"/>
    <x v="6"/>
    <x v="8"/>
    <x v="0"/>
    <x v="0"/>
  </r>
  <r>
    <x v="0"/>
    <x v="0"/>
    <x v="0"/>
    <x v="0"/>
    <x v="0"/>
    <s v="DK1_MedSmall"/>
    <x v="6"/>
    <x v="9"/>
    <x v="0"/>
    <x v="0"/>
  </r>
  <r>
    <x v="0"/>
    <x v="0"/>
    <x v="0"/>
    <x v="0"/>
    <x v="0"/>
    <s v="DK1_MedSmall"/>
    <x v="6"/>
    <x v="10"/>
    <x v="0"/>
    <x v="0"/>
  </r>
  <r>
    <x v="0"/>
    <x v="0"/>
    <x v="0"/>
    <x v="0"/>
    <x v="0"/>
    <s v="DK1_MedSmall"/>
    <x v="6"/>
    <x v="11"/>
    <x v="0"/>
    <x v="0"/>
  </r>
  <r>
    <x v="0"/>
    <x v="0"/>
    <x v="0"/>
    <x v="0"/>
    <x v="0"/>
    <s v="DK1_MedSmall"/>
    <x v="7"/>
    <x v="0"/>
    <x v="0"/>
    <x v="0"/>
  </r>
  <r>
    <x v="0"/>
    <x v="0"/>
    <x v="0"/>
    <x v="0"/>
    <x v="0"/>
    <s v="DK1_MedSmall"/>
    <x v="7"/>
    <x v="1"/>
    <x v="0"/>
    <x v="0"/>
  </r>
  <r>
    <x v="0"/>
    <x v="0"/>
    <x v="0"/>
    <x v="0"/>
    <x v="0"/>
    <s v="DK1_MedSmall"/>
    <x v="7"/>
    <x v="2"/>
    <x v="0"/>
    <x v="0"/>
  </r>
  <r>
    <x v="0"/>
    <x v="0"/>
    <x v="0"/>
    <x v="0"/>
    <x v="0"/>
    <s v="DK1_MedSmall"/>
    <x v="7"/>
    <x v="3"/>
    <x v="0"/>
    <x v="0"/>
  </r>
  <r>
    <x v="0"/>
    <x v="0"/>
    <x v="0"/>
    <x v="0"/>
    <x v="0"/>
    <s v="DK1_MedSmall"/>
    <x v="7"/>
    <x v="4"/>
    <x v="0"/>
    <x v="0"/>
  </r>
  <r>
    <x v="0"/>
    <x v="0"/>
    <x v="0"/>
    <x v="0"/>
    <x v="0"/>
    <s v="DK1_MedSmall"/>
    <x v="7"/>
    <x v="5"/>
    <x v="0"/>
    <x v="0"/>
  </r>
  <r>
    <x v="0"/>
    <x v="0"/>
    <x v="0"/>
    <x v="0"/>
    <x v="0"/>
    <s v="DK1_MedSmall"/>
    <x v="7"/>
    <x v="6"/>
    <x v="0"/>
    <x v="0"/>
  </r>
  <r>
    <x v="0"/>
    <x v="0"/>
    <x v="0"/>
    <x v="0"/>
    <x v="0"/>
    <s v="DK1_MedSmall"/>
    <x v="7"/>
    <x v="7"/>
    <x v="0"/>
    <x v="0"/>
  </r>
  <r>
    <x v="0"/>
    <x v="0"/>
    <x v="0"/>
    <x v="0"/>
    <x v="0"/>
    <s v="DK1_MedSmall"/>
    <x v="7"/>
    <x v="8"/>
    <x v="0"/>
    <x v="0"/>
  </r>
  <r>
    <x v="0"/>
    <x v="0"/>
    <x v="0"/>
    <x v="0"/>
    <x v="0"/>
    <s v="DK1_MedSmall"/>
    <x v="7"/>
    <x v="9"/>
    <x v="0"/>
    <x v="0"/>
  </r>
  <r>
    <x v="0"/>
    <x v="0"/>
    <x v="0"/>
    <x v="0"/>
    <x v="0"/>
    <s v="DK1_MedSmall"/>
    <x v="7"/>
    <x v="10"/>
    <x v="0"/>
    <x v="0"/>
  </r>
  <r>
    <x v="0"/>
    <x v="0"/>
    <x v="0"/>
    <x v="0"/>
    <x v="0"/>
    <s v="DK1_MedSmall"/>
    <x v="7"/>
    <x v="11"/>
    <x v="0"/>
    <x v="0"/>
  </r>
  <r>
    <x v="0"/>
    <x v="0"/>
    <x v="0"/>
    <x v="0"/>
    <x v="0"/>
    <s v="DK1_MedSmall"/>
    <x v="8"/>
    <x v="0"/>
    <x v="0"/>
    <x v="0"/>
  </r>
  <r>
    <x v="0"/>
    <x v="0"/>
    <x v="0"/>
    <x v="0"/>
    <x v="0"/>
    <s v="DK1_MedSmall"/>
    <x v="8"/>
    <x v="1"/>
    <x v="0"/>
    <x v="0"/>
  </r>
  <r>
    <x v="0"/>
    <x v="0"/>
    <x v="0"/>
    <x v="0"/>
    <x v="0"/>
    <s v="DK1_MedSmall"/>
    <x v="8"/>
    <x v="2"/>
    <x v="0"/>
    <x v="0"/>
  </r>
  <r>
    <x v="0"/>
    <x v="0"/>
    <x v="0"/>
    <x v="0"/>
    <x v="0"/>
    <s v="DK1_MedSmall"/>
    <x v="8"/>
    <x v="3"/>
    <x v="0"/>
    <x v="0"/>
  </r>
  <r>
    <x v="0"/>
    <x v="0"/>
    <x v="0"/>
    <x v="0"/>
    <x v="0"/>
    <s v="DK1_MedSmall"/>
    <x v="8"/>
    <x v="4"/>
    <x v="0"/>
    <x v="0"/>
  </r>
  <r>
    <x v="0"/>
    <x v="0"/>
    <x v="0"/>
    <x v="0"/>
    <x v="0"/>
    <s v="DK1_MedSmall"/>
    <x v="8"/>
    <x v="5"/>
    <x v="0"/>
    <x v="0"/>
  </r>
  <r>
    <x v="0"/>
    <x v="0"/>
    <x v="0"/>
    <x v="0"/>
    <x v="0"/>
    <s v="DK1_MedSmall"/>
    <x v="8"/>
    <x v="6"/>
    <x v="0"/>
    <x v="0"/>
  </r>
  <r>
    <x v="0"/>
    <x v="0"/>
    <x v="0"/>
    <x v="0"/>
    <x v="0"/>
    <s v="DK1_MedSmall"/>
    <x v="8"/>
    <x v="7"/>
    <x v="0"/>
    <x v="0"/>
  </r>
  <r>
    <x v="0"/>
    <x v="0"/>
    <x v="0"/>
    <x v="0"/>
    <x v="0"/>
    <s v="DK1_MedSmall"/>
    <x v="8"/>
    <x v="8"/>
    <x v="0"/>
    <x v="0"/>
  </r>
  <r>
    <x v="0"/>
    <x v="0"/>
    <x v="0"/>
    <x v="0"/>
    <x v="0"/>
    <s v="DK1_MedSmall"/>
    <x v="8"/>
    <x v="9"/>
    <x v="0"/>
    <x v="0"/>
  </r>
  <r>
    <x v="0"/>
    <x v="0"/>
    <x v="0"/>
    <x v="0"/>
    <x v="0"/>
    <s v="DK1_MedSmall"/>
    <x v="8"/>
    <x v="10"/>
    <x v="0"/>
    <x v="0"/>
  </r>
  <r>
    <x v="0"/>
    <x v="0"/>
    <x v="0"/>
    <x v="0"/>
    <x v="0"/>
    <s v="DK1_MedSmall"/>
    <x v="8"/>
    <x v="11"/>
    <x v="0"/>
    <x v="0"/>
  </r>
  <r>
    <x v="0"/>
    <x v="0"/>
    <x v="0"/>
    <x v="0"/>
    <x v="0"/>
    <s v="DK1_MedSmall"/>
    <x v="9"/>
    <x v="0"/>
    <x v="0"/>
    <x v="0"/>
  </r>
  <r>
    <x v="0"/>
    <x v="0"/>
    <x v="0"/>
    <x v="0"/>
    <x v="0"/>
    <s v="DK1_MedSmall"/>
    <x v="9"/>
    <x v="1"/>
    <x v="0"/>
    <x v="0"/>
  </r>
  <r>
    <x v="0"/>
    <x v="0"/>
    <x v="0"/>
    <x v="0"/>
    <x v="0"/>
    <s v="DK1_MedSmall"/>
    <x v="9"/>
    <x v="2"/>
    <x v="0"/>
    <x v="0"/>
  </r>
  <r>
    <x v="0"/>
    <x v="0"/>
    <x v="0"/>
    <x v="0"/>
    <x v="0"/>
    <s v="DK1_MedSmall"/>
    <x v="9"/>
    <x v="3"/>
    <x v="0"/>
    <x v="0"/>
  </r>
  <r>
    <x v="0"/>
    <x v="0"/>
    <x v="0"/>
    <x v="0"/>
    <x v="0"/>
    <s v="DK1_MedSmall"/>
    <x v="9"/>
    <x v="4"/>
    <x v="0"/>
    <x v="0"/>
  </r>
  <r>
    <x v="0"/>
    <x v="0"/>
    <x v="0"/>
    <x v="0"/>
    <x v="0"/>
    <s v="DK1_MedSmall"/>
    <x v="9"/>
    <x v="5"/>
    <x v="0"/>
    <x v="0"/>
  </r>
  <r>
    <x v="0"/>
    <x v="0"/>
    <x v="0"/>
    <x v="0"/>
    <x v="0"/>
    <s v="DK1_MedSmall"/>
    <x v="9"/>
    <x v="6"/>
    <x v="0"/>
    <x v="0"/>
  </r>
  <r>
    <x v="0"/>
    <x v="0"/>
    <x v="0"/>
    <x v="0"/>
    <x v="0"/>
    <s v="DK1_MedSmall"/>
    <x v="9"/>
    <x v="7"/>
    <x v="0"/>
    <x v="0"/>
  </r>
  <r>
    <x v="0"/>
    <x v="0"/>
    <x v="0"/>
    <x v="0"/>
    <x v="0"/>
    <s v="DK1_MedSmall"/>
    <x v="9"/>
    <x v="8"/>
    <x v="0"/>
    <x v="0"/>
  </r>
  <r>
    <x v="0"/>
    <x v="0"/>
    <x v="0"/>
    <x v="0"/>
    <x v="0"/>
    <s v="DK1_MedSmall"/>
    <x v="9"/>
    <x v="9"/>
    <x v="0"/>
    <x v="0"/>
  </r>
  <r>
    <x v="0"/>
    <x v="0"/>
    <x v="0"/>
    <x v="0"/>
    <x v="0"/>
    <s v="DK1_MedSmall"/>
    <x v="9"/>
    <x v="10"/>
    <x v="0"/>
    <x v="0"/>
  </r>
  <r>
    <x v="0"/>
    <x v="0"/>
    <x v="0"/>
    <x v="0"/>
    <x v="0"/>
    <s v="DK1_MedSmall"/>
    <x v="9"/>
    <x v="11"/>
    <x v="0"/>
    <x v="0"/>
  </r>
  <r>
    <x v="0"/>
    <x v="0"/>
    <x v="0"/>
    <x v="0"/>
    <x v="0"/>
    <s v="DK1_MedSmall"/>
    <x v="10"/>
    <x v="0"/>
    <x v="0"/>
    <x v="0"/>
  </r>
  <r>
    <x v="0"/>
    <x v="0"/>
    <x v="0"/>
    <x v="0"/>
    <x v="0"/>
    <s v="DK1_MedSmall"/>
    <x v="10"/>
    <x v="1"/>
    <x v="0"/>
    <x v="0"/>
  </r>
  <r>
    <x v="0"/>
    <x v="0"/>
    <x v="0"/>
    <x v="0"/>
    <x v="0"/>
    <s v="DK1_MedSmall"/>
    <x v="10"/>
    <x v="2"/>
    <x v="0"/>
    <x v="0"/>
  </r>
  <r>
    <x v="0"/>
    <x v="0"/>
    <x v="0"/>
    <x v="0"/>
    <x v="0"/>
    <s v="DK1_MedSmall"/>
    <x v="10"/>
    <x v="3"/>
    <x v="0"/>
    <x v="0"/>
  </r>
  <r>
    <x v="0"/>
    <x v="0"/>
    <x v="0"/>
    <x v="0"/>
    <x v="0"/>
    <s v="DK1_MedSmall"/>
    <x v="10"/>
    <x v="4"/>
    <x v="0"/>
    <x v="0"/>
  </r>
  <r>
    <x v="0"/>
    <x v="0"/>
    <x v="0"/>
    <x v="0"/>
    <x v="0"/>
    <s v="DK1_MedSmall"/>
    <x v="10"/>
    <x v="5"/>
    <x v="0"/>
    <x v="0"/>
  </r>
  <r>
    <x v="0"/>
    <x v="0"/>
    <x v="0"/>
    <x v="0"/>
    <x v="0"/>
    <s v="DK1_MedSmall"/>
    <x v="10"/>
    <x v="6"/>
    <x v="0"/>
    <x v="0"/>
  </r>
  <r>
    <x v="0"/>
    <x v="0"/>
    <x v="0"/>
    <x v="0"/>
    <x v="0"/>
    <s v="DK1_MedSmall"/>
    <x v="10"/>
    <x v="7"/>
    <x v="0"/>
    <x v="0"/>
  </r>
  <r>
    <x v="0"/>
    <x v="0"/>
    <x v="0"/>
    <x v="0"/>
    <x v="0"/>
    <s v="DK1_MedSmall"/>
    <x v="10"/>
    <x v="8"/>
    <x v="0"/>
    <x v="0"/>
  </r>
  <r>
    <x v="0"/>
    <x v="0"/>
    <x v="0"/>
    <x v="0"/>
    <x v="0"/>
    <s v="DK1_MedSmall"/>
    <x v="10"/>
    <x v="9"/>
    <x v="0"/>
    <x v="0"/>
  </r>
  <r>
    <x v="0"/>
    <x v="0"/>
    <x v="0"/>
    <x v="0"/>
    <x v="0"/>
    <s v="DK1_MedSmall"/>
    <x v="10"/>
    <x v="10"/>
    <x v="0"/>
    <x v="0"/>
  </r>
  <r>
    <x v="0"/>
    <x v="0"/>
    <x v="0"/>
    <x v="0"/>
    <x v="0"/>
    <s v="DK1_MedSmall"/>
    <x v="10"/>
    <x v="11"/>
    <x v="0"/>
    <x v="0"/>
  </r>
  <r>
    <x v="0"/>
    <x v="0"/>
    <x v="0"/>
    <x v="0"/>
    <x v="0"/>
    <s v="DK1_MedSmall"/>
    <x v="11"/>
    <x v="0"/>
    <x v="0"/>
    <x v="0"/>
  </r>
  <r>
    <x v="0"/>
    <x v="0"/>
    <x v="0"/>
    <x v="0"/>
    <x v="0"/>
    <s v="DK1_MedSmall"/>
    <x v="11"/>
    <x v="1"/>
    <x v="0"/>
    <x v="0"/>
  </r>
  <r>
    <x v="0"/>
    <x v="0"/>
    <x v="0"/>
    <x v="0"/>
    <x v="0"/>
    <s v="DK1_MedSmall"/>
    <x v="11"/>
    <x v="2"/>
    <x v="0"/>
    <x v="0"/>
  </r>
  <r>
    <x v="0"/>
    <x v="0"/>
    <x v="0"/>
    <x v="0"/>
    <x v="0"/>
    <s v="DK1_MedSmall"/>
    <x v="11"/>
    <x v="3"/>
    <x v="0"/>
    <x v="0"/>
  </r>
  <r>
    <x v="0"/>
    <x v="0"/>
    <x v="0"/>
    <x v="0"/>
    <x v="0"/>
    <s v="DK1_MedSmall"/>
    <x v="11"/>
    <x v="4"/>
    <x v="0"/>
    <x v="0"/>
  </r>
  <r>
    <x v="0"/>
    <x v="0"/>
    <x v="0"/>
    <x v="0"/>
    <x v="0"/>
    <s v="DK1_MedSmall"/>
    <x v="11"/>
    <x v="5"/>
    <x v="0"/>
    <x v="0"/>
  </r>
  <r>
    <x v="0"/>
    <x v="0"/>
    <x v="0"/>
    <x v="0"/>
    <x v="0"/>
    <s v="DK1_MedSmall"/>
    <x v="11"/>
    <x v="6"/>
    <x v="0"/>
    <x v="0"/>
  </r>
  <r>
    <x v="0"/>
    <x v="0"/>
    <x v="0"/>
    <x v="0"/>
    <x v="0"/>
    <s v="DK1_MedSmall"/>
    <x v="11"/>
    <x v="7"/>
    <x v="0"/>
    <x v="0"/>
  </r>
  <r>
    <x v="0"/>
    <x v="0"/>
    <x v="0"/>
    <x v="0"/>
    <x v="0"/>
    <s v="DK1_MedSmall"/>
    <x v="11"/>
    <x v="8"/>
    <x v="0"/>
    <x v="0"/>
  </r>
  <r>
    <x v="0"/>
    <x v="0"/>
    <x v="0"/>
    <x v="0"/>
    <x v="0"/>
    <s v="DK1_MedSmall"/>
    <x v="11"/>
    <x v="9"/>
    <x v="0"/>
    <x v="0"/>
  </r>
  <r>
    <x v="0"/>
    <x v="0"/>
    <x v="0"/>
    <x v="0"/>
    <x v="0"/>
    <s v="DK1_MedSmall"/>
    <x v="11"/>
    <x v="10"/>
    <x v="0"/>
    <x v="0"/>
  </r>
  <r>
    <x v="0"/>
    <x v="0"/>
    <x v="0"/>
    <x v="0"/>
    <x v="0"/>
    <s v="DK1_MedSmall"/>
    <x v="11"/>
    <x v="11"/>
    <x v="0"/>
    <x v="0"/>
  </r>
  <r>
    <x v="0"/>
    <x v="0"/>
    <x v="0"/>
    <x v="0"/>
    <x v="0"/>
    <s v="DK1_Medium"/>
    <x v="0"/>
    <x v="0"/>
    <x v="0"/>
    <x v="0"/>
  </r>
  <r>
    <x v="0"/>
    <x v="0"/>
    <x v="0"/>
    <x v="0"/>
    <x v="0"/>
    <s v="DK1_Medium"/>
    <x v="0"/>
    <x v="1"/>
    <x v="0"/>
    <x v="0"/>
  </r>
  <r>
    <x v="0"/>
    <x v="0"/>
    <x v="0"/>
    <x v="0"/>
    <x v="0"/>
    <s v="DK1_Medium"/>
    <x v="0"/>
    <x v="2"/>
    <x v="0"/>
    <x v="0"/>
  </r>
  <r>
    <x v="0"/>
    <x v="0"/>
    <x v="0"/>
    <x v="0"/>
    <x v="0"/>
    <s v="DK1_Medium"/>
    <x v="0"/>
    <x v="3"/>
    <x v="0"/>
    <x v="0"/>
  </r>
  <r>
    <x v="0"/>
    <x v="0"/>
    <x v="0"/>
    <x v="0"/>
    <x v="0"/>
    <s v="DK1_Medium"/>
    <x v="0"/>
    <x v="4"/>
    <x v="0"/>
    <x v="0"/>
  </r>
  <r>
    <x v="0"/>
    <x v="0"/>
    <x v="0"/>
    <x v="0"/>
    <x v="0"/>
    <s v="DK1_Medium"/>
    <x v="0"/>
    <x v="5"/>
    <x v="0"/>
    <x v="0"/>
  </r>
  <r>
    <x v="0"/>
    <x v="0"/>
    <x v="0"/>
    <x v="0"/>
    <x v="0"/>
    <s v="DK1_Medium"/>
    <x v="0"/>
    <x v="6"/>
    <x v="0"/>
    <x v="0"/>
  </r>
  <r>
    <x v="0"/>
    <x v="0"/>
    <x v="0"/>
    <x v="0"/>
    <x v="0"/>
    <s v="DK1_Medium"/>
    <x v="0"/>
    <x v="7"/>
    <x v="0"/>
    <x v="0"/>
  </r>
  <r>
    <x v="0"/>
    <x v="0"/>
    <x v="0"/>
    <x v="0"/>
    <x v="0"/>
    <s v="DK1_Medium"/>
    <x v="0"/>
    <x v="8"/>
    <x v="0"/>
    <x v="0"/>
  </r>
  <r>
    <x v="0"/>
    <x v="0"/>
    <x v="0"/>
    <x v="0"/>
    <x v="0"/>
    <s v="DK1_Medium"/>
    <x v="0"/>
    <x v="9"/>
    <x v="0"/>
    <x v="0"/>
  </r>
  <r>
    <x v="0"/>
    <x v="0"/>
    <x v="0"/>
    <x v="0"/>
    <x v="0"/>
    <s v="DK1_Medium"/>
    <x v="0"/>
    <x v="10"/>
    <x v="0"/>
    <x v="0"/>
  </r>
  <r>
    <x v="0"/>
    <x v="0"/>
    <x v="0"/>
    <x v="0"/>
    <x v="0"/>
    <s v="DK1_Medium"/>
    <x v="0"/>
    <x v="11"/>
    <x v="0"/>
    <x v="0"/>
  </r>
  <r>
    <x v="0"/>
    <x v="0"/>
    <x v="0"/>
    <x v="0"/>
    <x v="0"/>
    <s v="DK1_Medium"/>
    <x v="1"/>
    <x v="0"/>
    <x v="0"/>
    <x v="0"/>
  </r>
  <r>
    <x v="0"/>
    <x v="0"/>
    <x v="0"/>
    <x v="0"/>
    <x v="0"/>
    <s v="DK1_Medium"/>
    <x v="1"/>
    <x v="1"/>
    <x v="0"/>
    <x v="0"/>
  </r>
  <r>
    <x v="0"/>
    <x v="0"/>
    <x v="0"/>
    <x v="0"/>
    <x v="0"/>
    <s v="DK1_Medium"/>
    <x v="1"/>
    <x v="2"/>
    <x v="0"/>
    <x v="0"/>
  </r>
  <r>
    <x v="0"/>
    <x v="0"/>
    <x v="0"/>
    <x v="0"/>
    <x v="0"/>
    <s v="DK1_Medium"/>
    <x v="1"/>
    <x v="3"/>
    <x v="0"/>
    <x v="0"/>
  </r>
  <r>
    <x v="0"/>
    <x v="0"/>
    <x v="0"/>
    <x v="0"/>
    <x v="0"/>
    <s v="DK1_Medium"/>
    <x v="1"/>
    <x v="4"/>
    <x v="0"/>
    <x v="0"/>
  </r>
  <r>
    <x v="0"/>
    <x v="0"/>
    <x v="0"/>
    <x v="0"/>
    <x v="0"/>
    <s v="DK1_Medium"/>
    <x v="1"/>
    <x v="5"/>
    <x v="0"/>
    <x v="0"/>
  </r>
  <r>
    <x v="0"/>
    <x v="0"/>
    <x v="0"/>
    <x v="0"/>
    <x v="0"/>
    <s v="DK1_Medium"/>
    <x v="1"/>
    <x v="6"/>
    <x v="0"/>
    <x v="0"/>
  </r>
  <r>
    <x v="0"/>
    <x v="0"/>
    <x v="0"/>
    <x v="0"/>
    <x v="0"/>
    <s v="DK1_Medium"/>
    <x v="1"/>
    <x v="7"/>
    <x v="0"/>
    <x v="0"/>
  </r>
  <r>
    <x v="0"/>
    <x v="0"/>
    <x v="0"/>
    <x v="0"/>
    <x v="0"/>
    <s v="DK1_Medium"/>
    <x v="1"/>
    <x v="8"/>
    <x v="0"/>
    <x v="0"/>
  </r>
  <r>
    <x v="0"/>
    <x v="0"/>
    <x v="0"/>
    <x v="0"/>
    <x v="0"/>
    <s v="DK1_Medium"/>
    <x v="1"/>
    <x v="9"/>
    <x v="0"/>
    <x v="0"/>
  </r>
  <r>
    <x v="0"/>
    <x v="0"/>
    <x v="0"/>
    <x v="0"/>
    <x v="0"/>
    <s v="DK1_Medium"/>
    <x v="1"/>
    <x v="10"/>
    <x v="0"/>
    <x v="0"/>
  </r>
  <r>
    <x v="0"/>
    <x v="0"/>
    <x v="0"/>
    <x v="0"/>
    <x v="0"/>
    <s v="DK1_Medium"/>
    <x v="1"/>
    <x v="11"/>
    <x v="0"/>
    <x v="0"/>
  </r>
  <r>
    <x v="0"/>
    <x v="0"/>
    <x v="0"/>
    <x v="0"/>
    <x v="0"/>
    <s v="DK1_Medium"/>
    <x v="2"/>
    <x v="0"/>
    <x v="0"/>
    <x v="0"/>
  </r>
  <r>
    <x v="0"/>
    <x v="0"/>
    <x v="0"/>
    <x v="0"/>
    <x v="0"/>
    <s v="DK1_Medium"/>
    <x v="2"/>
    <x v="1"/>
    <x v="0"/>
    <x v="0"/>
  </r>
  <r>
    <x v="0"/>
    <x v="0"/>
    <x v="0"/>
    <x v="0"/>
    <x v="0"/>
    <s v="DK1_Medium"/>
    <x v="2"/>
    <x v="2"/>
    <x v="0"/>
    <x v="0"/>
  </r>
  <r>
    <x v="0"/>
    <x v="0"/>
    <x v="0"/>
    <x v="0"/>
    <x v="0"/>
    <s v="DK1_Medium"/>
    <x v="2"/>
    <x v="3"/>
    <x v="0"/>
    <x v="0"/>
  </r>
  <r>
    <x v="0"/>
    <x v="0"/>
    <x v="0"/>
    <x v="0"/>
    <x v="0"/>
    <s v="DK1_Medium"/>
    <x v="2"/>
    <x v="4"/>
    <x v="0"/>
    <x v="0"/>
  </r>
  <r>
    <x v="0"/>
    <x v="0"/>
    <x v="0"/>
    <x v="0"/>
    <x v="0"/>
    <s v="DK1_Medium"/>
    <x v="2"/>
    <x v="5"/>
    <x v="0"/>
    <x v="0"/>
  </r>
  <r>
    <x v="0"/>
    <x v="0"/>
    <x v="0"/>
    <x v="0"/>
    <x v="0"/>
    <s v="DK1_Medium"/>
    <x v="2"/>
    <x v="6"/>
    <x v="0"/>
    <x v="0"/>
  </r>
  <r>
    <x v="0"/>
    <x v="0"/>
    <x v="0"/>
    <x v="0"/>
    <x v="0"/>
    <s v="DK1_Medium"/>
    <x v="2"/>
    <x v="7"/>
    <x v="0"/>
    <x v="0"/>
  </r>
  <r>
    <x v="0"/>
    <x v="0"/>
    <x v="0"/>
    <x v="0"/>
    <x v="0"/>
    <s v="DK1_Medium"/>
    <x v="2"/>
    <x v="8"/>
    <x v="0"/>
    <x v="0"/>
  </r>
  <r>
    <x v="0"/>
    <x v="0"/>
    <x v="0"/>
    <x v="0"/>
    <x v="0"/>
    <s v="DK1_Medium"/>
    <x v="2"/>
    <x v="9"/>
    <x v="0"/>
    <x v="0"/>
  </r>
  <r>
    <x v="0"/>
    <x v="0"/>
    <x v="0"/>
    <x v="0"/>
    <x v="0"/>
    <s v="DK1_Medium"/>
    <x v="2"/>
    <x v="10"/>
    <x v="0"/>
    <x v="0"/>
  </r>
  <r>
    <x v="0"/>
    <x v="0"/>
    <x v="0"/>
    <x v="0"/>
    <x v="0"/>
    <s v="DK1_Medium"/>
    <x v="2"/>
    <x v="11"/>
    <x v="0"/>
    <x v="0"/>
  </r>
  <r>
    <x v="0"/>
    <x v="0"/>
    <x v="0"/>
    <x v="0"/>
    <x v="0"/>
    <s v="DK1_Medium"/>
    <x v="3"/>
    <x v="0"/>
    <x v="0"/>
    <x v="0"/>
  </r>
  <r>
    <x v="0"/>
    <x v="0"/>
    <x v="0"/>
    <x v="0"/>
    <x v="0"/>
    <s v="DK1_Medium"/>
    <x v="3"/>
    <x v="1"/>
    <x v="0"/>
    <x v="0"/>
  </r>
  <r>
    <x v="0"/>
    <x v="0"/>
    <x v="0"/>
    <x v="0"/>
    <x v="0"/>
    <s v="DK1_Medium"/>
    <x v="3"/>
    <x v="2"/>
    <x v="0"/>
    <x v="0"/>
  </r>
  <r>
    <x v="0"/>
    <x v="0"/>
    <x v="0"/>
    <x v="0"/>
    <x v="0"/>
    <s v="DK1_Medium"/>
    <x v="3"/>
    <x v="3"/>
    <x v="0"/>
    <x v="0"/>
  </r>
  <r>
    <x v="0"/>
    <x v="0"/>
    <x v="0"/>
    <x v="0"/>
    <x v="0"/>
    <s v="DK1_Medium"/>
    <x v="3"/>
    <x v="4"/>
    <x v="0"/>
    <x v="0"/>
  </r>
  <r>
    <x v="0"/>
    <x v="0"/>
    <x v="0"/>
    <x v="0"/>
    <x v="0"/>
    <s v="DK1_Medium"/>
    <x v="3"/>
    <x v="5"/>
    <x v="0"/>
    <x v="0"/>
  </r>
  <r>
    <x v="0"/>
    <x v="0"/>
    <x v="0"/>
    <x v="0"/>
    <x v="0"/>
    <s v="DK1_Medium"/>
    <x v="3"/>
    <x v="6"/>
    <x v="0"/>
    <x v="0"/>
  </r>
  <r>
    <x v="0"/>
    <x v="0"/>
    <x v="0"/>
    <x v="0"/>
    <x v="0"/>
    <s v="DK1_Medium"/>
    <x v="3"/>
    <x v="7"/>
    <x v="0"/>
    <x v="0"/>
  </r>
  <r>
    <x v="0"/>
    <x v="0"/>
    <x v="0"/>
    <x v="0"/>
    <x v="0"/>
    <s v="DK1_Medium"/>
    <x v="3"/>
    <x v="8"/>
    <x v="0"/>
    <x v="0"/>
  </r>
  <r>
    <x v="0"/>
    <x v="0"/>
    <x v="0"/>
    <x v="0"/>
    <x v="0"/>
    <s v="DK1_Medium"/>
    <x v="3"/>
    <x v="9"/>
    <x v="0"/>
    <x v="0"/>
  </r>
  <r>
    <x v="0"/>
    <x v="0"/>
    <x v="0"/>
    <x v="0"/>
    <x v="0"/>
    <s v="DK1_Medium"/>
    <x v="3"/>
    <x v="10"/>
    <x v="0"/>
    <x v="0"/>
  </r>
  <r>
    <x v="0"/>
    <x v="0"/>
    <x v="0"/>
    <x v="0"/>
    <x v="0"/>
    <s v="DK1_Medium"/>
    <x v="3"/>
    <x v="11"/>
    <x v="0"/>
    <x v="0"/>
  </r>
  <r>
    <x v="0"/>
    <x v="0"/>
    <x v="0"/>
    <x v="0"/>
    <x v="0"/>
    <s v="DK1_Medium"/>
    <x v="4"/>
    <x v="0"/>
    <x v="0"/>
    <x v="0"/>
  </r>
  <r>
    <x v="0"/>
    <x v="0"/>
    <x v="0"/>
    <x v="0"/>
    <x v="0"/>
    <s v="DK1_Medium"/>
    <x v="4"/>
    <x v="1"/>
    <x v="0"/>
    <x v="0"/>
  </r>
  <r>
    <x v="0"/>
    <x v="0"/>
    <x v="0"/>
    <x v="0"/>
    <x v="0"/>
    <s v="DK1_Medium"/>
    <x v="4"/>
    <x v="2"/>
    <x v="0"/>
    <x v="0"/>
  </r>
  <r>
    <x v="0"/>
    <x v="0"/>
    <x v="0"/>
    <x v="0"/>
    <x v="0"/>
    <s v="DK1_Medium"/>
    <x v="4"/>
    <x v="3"/>
    <x v="0"/>
    <x v="0"/>
  </r>
  <r>
    <x v="0"/>
    <x v="0"/>
    <x v="0"/>
    <x v="0"/>
    <x v="0"/>
    <s v="DK1_Medium"/>
    <x v="4"/>
    <x v="4"/>
    <x v="0"/>
    <x v="0"/>
  </r>
  <r>
    <x v="0"/>
    <x v="0"/>
    <x v="0"/>
    <x v="0"/>
    <x v="0"/>
    <s v="DK1_Medium"/>
    <x v="4"/>
    <x v="5"/>
    <x v="0"/>
    <x v="0"/>
  </r>
  <r>
    <x v="0"/>
    <x v="0"/>
    <x v="0"/>
    <x v="0"/>
    <x v="0"/>
    <s v="DK1_Medium"/>
    <x v="4"/>
    <x v="6"/>
    <x v="0"/>
    <x v="0"/>
  </r>
  <r>
    <x v="0"/>
    <x v="0"/>
    <x v="0"/>
    <x v="0"/>
    <x v="0"/>
    <s v="DK1_Medium"/>
    <x v="4"/>
    <x v="7"/>
    <x v="0"/>
    <x v="0"/>
  </r>
  <r>
    <x v="0"/>
    <x v="0"/>
    <x v="0"/>
    <x v="0"/>
    <x v="0"/>
    <s v="DK1_Medium"/>
    <x v="4"/>
    <x v="8"/>
    <x v="0"/>
    <x v="0"/>
  </r>
  <r>
    <x v="0"/>
    <x v="0"/>
    <x v="0"/>
    <x v="0"/>
    <x v="0"/>
    <s v="DK1_Medium"/>
    <x v="4"/>
    <x v="9"/>
    <x v="0"/>
    <x v="0"/>
  </r>
  <r>
    <x v="0"/>
    <x v="0"/>
    <x v="0"/>
    <x v="0"/>
    <x v="0"/>
    <s v="DK1_Medium"/>
    <x v="4"/>
    <x v="10"/>
    <x v="0"/>
    <x v="0"/>
  </r>
  <r>
    <x v="0"/>
    <x v="0"/>
    <x v="0"/>
    <x v="0"/>
    <x v="0"/>
    <s v="DK1_Medium"/>
    <x v="4"/>
    <x v="11"/>
    <x v="0"/>
    <x v="0"/>
  </r>
  <r>
    <x v="0"/>
    <x v="0"/>
    <x v="0"/>
    <x v="0"/>
    <x v="0"/>
    <s v="DK1_Medium"/>
    <x v="5"/>
    <x v="0"/>
    <x v="0"/>
    <x v="0"/>
  </r>
  <r>
    <x v="0"/>
    <x v="0"/>
    <x v="0"/>
    <x v="0"/>
    <x v="0"/>
    <s v="DK1_Medium"/>
    <x v="5"/>
    <x v="1"/>
    <x v="0"/>
    <x v="0"/>
  </r>
  <r>
    <x v="0"/>
    <x v="0"/>
    <x v="0"/>
    <x v="0"/>
    <x v="0"/>
    <s v="DK1_Medium"/>
    <x v="5"/>
    <x v="2"/>
    <x v="0"/>
    <x v="0"/>
  </r>
  <r>
    <x v="0"/>
    <x v="0"/>
    <x v="0"/>
    <x v="0"/>
    <x v="0"/>
    <s v="DK1_Medium"/>
    <x v="5"/>
    <x v="3"/>
    <x v="0"/>
    <x v="0"/>
  </r>
  <r>
    <x v="0"/>
    <x v="0"/>
    <x v="0"/>
    <x v="0"/>
    <x v="0"/>
    <s v="DK1_Medium"/>
    <x v="5"/>
    <x v="4"/>
    <x v="0"/>
    <x v="0"/>
  </r>
  <r>
    <x v="0"/>
    <x v="0"/>
    <x v="0"/>
    <x v="0"/>
    <x v="0"/>
    <s v="DK1_Medium"/>
    <x v="5"/>
    <x v="5"/>
    <x v="0"/>
    <x v="0"/>
  </r>
  <r>
    <x v="0"/>
    <x v="0"/>
    <x v="0"/>
    <x v="0"/>
    <x v="0"/>
    <s v="DK1_Medium"/>
    <x v="5"/>
    <x v="6"/>
    <x v="0"/>
    <x v="0"/>
  </r>
  <r>
    <x v="0"/>
    <x v="0"/>
    <x v="0"/>
    <x v="0"/>
    <x v="0"/>
    <s v="DK1_Medium"/>
    <x v="5"/>
    <x v="7"/>
    <x v="0"/>
    <x v="0"/>
  </r>
  <r>
    <x v="0"/>
    <x v="0"/>
    <x v="0"/>
    <x v="0"/>
    <x v="0"/>
    <s v="DK1_Medium"/>
    <x v="5"/>
    <x v="8"/>
    <x v="0"/>
    <x v="0"/>
  </r>
  <r>
    <x v="0"/>
    <x v="0"/>
    <x v="0"/>
    <x v="0"/>
    <x v="0"/>
    <s v="DK1_Medium"/>
    <x v="5"/>
    <x v="9"/>
    <x v="0"/>
    <x v="0"/>
  </r>
  <r>
    <x v="0"/>
    <x v="0"/>
    <x v="0"/>
    <x v="0"/>
    <x v="0"/>
    <s v="DK1_Medium"/>
    <x v="5"/>
    <x v="10"/>
    <x v="0"/>
    <x v="0"/>
  </r>
  <r>
    <x v="0"/>
    <x v="0"/>
    <x v="0"/>
    <x v="0"/>
    <x v="0"/>
    <s v="DK1_Medium"/>
    <x v="5"/>
    <x v="11"/>
    <x v="0"/>
    <x v="0"/>
  </r>
  <r>
    <x v="0"/>
    <x v="0"/>
    <x v="0"/>
    <x v="0"/>
    <x v="0"/>
    <s v="DK1_Medium"/>
    <x v="6"/>
    <x v="0"/>
    <x v="0"/>
    <x v="0"/>
  </r>
  <r>
    <x v="0"/>
    <x v="0"/>
    <x v="0"/>
    <x v="0"/>
    <x v="0"/>
    <s v="DK1_Medium"/>
    <x v="6"/>
    <x v="1"/>
    <x v="0"/>
    <x v="0"/>
  </r>
  <r>
    <x v="0"/>
    <x v="0"/>
    <x v="0"/>
    <x v="0"/>
    <x v="0"/>
    <s v="DK1_Medium"/>
    <x v="6"/>
    <x v="2"/>
    <x v="0"/>
    <x v="0"/>
  </r>
  <r>
    <x v="0"/>
    <x v="0"/>
    <x v="0"/>
    <x v="0"/>
    <x v="0"/>
    <s v="DK1_Medium"/>
    <x v="6"/>
    <x v="3"/>
    <x v="0"/>
    <x v="0"/>
  </r>
  <r>
    <x v="0"/>
    <x v="0"/>
    <x v="0"/>
    <x v="0"/>
    <x v="0"/>
    <s v="DK1_Medium"/>
    <x v="6"/>
    <x v="4"/>
    <x v="0"/>
    <x v="0"/>
  </r>
  <r>
    <x v="0"/>
    <x v="0"/>
    <x v="0"/>
    <x v="0"/>
    <x v="0"/>
    <s v="DK1_Medium"/>
    <x v="6"/>
    <x v="5"/>
    <x v="0"/>
    <x v="0"/>
  </r>
  <r>
    <x v="0"/>
    <x v="0"/>
    <x v="0"/>
    <x v="0"/>
    <x v="0"/>
    <s v="DK1_Medium"/>
    <x v="6"/>
    <x v="6"/>
    <x v="0"/>
    <x v="0"/>
  </r>
  <r>
    <x v="0"/>
    <x v="0"/>
    <x v="0"/>
    <x v="0"/>
    <x v="0"/>
    <s v="DK1_Medium"/>
    <x v="6"/>
    <x v="7"/>
    <x v="0"/>
    <x v="0"/>
  </r>
  <r>
    <x v="0"/>
    <x v="0"/>
    <x v="0"/>
    <x v="0"/>
    <x v="0"/>
    <s v="DK1_Medium"/>
    <x v="6"/>
    <x v="8"/>
    <x v="0"/>
    <x v="0"/>
  </r>
  <r>
    <x v="0"/>
    <x v="0"/>
    <x v="0"/>
    <x v="0"/>
    <x v="0"/>
    <s v="DK1_Medium"/>
    <x v="6"/>
    <x v="9"/>
    <x v="0"/>
    <x v="0"/>
  </r>
  <r>
    <x v="0"/>
    <x v="0"/>
    <x v="0"/>
    <x v="0"/>
    <x v="0"/>
    <s v="DK1_Medium"/>
    <x v="6"/>
    <x v="10"/>
    <x v="0"/>
    <x v="0"/>
  </r>
  <r>
    <x v="0"/>
    <x v="0"/>
    <x v="0"/>
    <x v="0"/>
    <x v="0"/>
    <s v="DK1_Medium"/>
    <x v="6"/>
    <x v="11"/>
    <x v="0"/>
    <x v="0"/>
  </r>
  <r>
    <x v="0"/>
    <x v="0"/>
    <x v="0"/>
    <x v="0"/>
    <x v="0"/>
    <s v="DK1_Medium"/>
    <x v="7"/>
    <x v="0"/>
    <x v="0"/>
    <x v="0"/>
  </r>
  <r>
    <x v="0"/>
    <x v="0"/>
    <x v="0"/>
    <x v="0"/>
    <x v="0"/>
    <s v="DK1_Medium"/>
    <x v="7"/>
    <x v="1"/>
    <x v="0"/>
    <x v="0"/>
  </r>
  <r>
    <x v="0"/>
    <x v="0"/>
    <x v="0"/>
    <x v="0"/>
    <x v="0"/>
    <s v="DK1_Medium"/>
    <x v="7"/>
    <x v="2"/>
    <x v="0"/>
    <x v="0"/>
  </r>
  <r>
    <x v="0"/>
    <x v="0"/>
    <x v="0"/>
    <x v="0"/>
    <x v="0"/>
    <s v="DK1_Medium"/>
    <x v="7"/>
    <x v="3"/>
    <x v="0"/>
    <x v="0"/>
  </r>
  <r>
    <x v="0"/>
    <x v="0"/>
    <x v="0"/>
    <x v="0"/>
    <x v="0"/>
    <s v="DK1_Medium"/>
    <x v="7"/>
    <x v="4"/>
    <x v="0"/>
    <x v="0"/>
  </r>
  <r>
    <x v="0"/>
    <x v="0"/>
    <x v="0"/>
    <x v="0"/>
    <x v="0"/>
    <s v="DK1_Medium"/>
    <x v="7"/>
    <x v="5"/>
    <x v="0"/>
    <x v="0"/>
  </r>
  <r>
    <x v="0"/>
    <x v="0"/>
    <x v="0"/>
    <x v="0"/>
    <x v="0"/>
    <s v="DK1_Medium"/>
    <x v="7"/>
    <x v="6"/>
    <x v="0"/>
    <x v="0"/>
  </r>
  <r>
    <x v="0"/>
    <x v="0"/>
    <x v="0"/>
    <x v="0"/>
    <x v="0"/>
    <s v="DK1_Medium"/>
    <x v="7"/>
    <x v="7"/>
    <x v="0"/>
    <x v="0"/>
  </r>
  <r>
    <x v="0"/>
    <x v="0"/>
    <x v="0"/>
    <x v="0"/>
    <x v="0"/>
    <s v="DK1_Medium"/>
    <x v="7"/>
    <x v="8"/>
    <x v="0"/>
    <x v="0"/>
  </r>
  <r>
    <x v="0"/>
    <x v="0"/>
    <x v="0"/>
    <x v="0"/>
    <x v="0"/>
    <s v="DK1_Medium"/>
    <x v="7"/>
    <x v="9"/>
    <x v="0"/>
    <x v="0"/>
  </r>
  <r>
    <x v="0"/>
    <x v="0"/>
    <x v="0"/>
    <x v="0"/>
    <x v="0"/>
    <s v="DK1_Medium"/>
    <x v="7"/>
    <x v="10"/>
    <x v="0"/>
    <x v="0"/>
  </r>
  <r>
    <x v="0"/>
    <x v="0"/>
    <x v="0"/>
    <x v="0"/>
    <x v="0"/>
    <s v="DK1_Medium"/>
    <x v="7"/>
    <x v="11"/>
    <x v="0"/>
    <x v="0"/>
  </r>
  <r>
    <x v="0"/>
    <x v="0"/>
    <x v="0"/>
    <x v="0"/>
    <x v="0"/>
    <s v="DK1_Medium"/>
    <x v="8"/>
    <x v="0"/>
    <x v="0"/>
    <x v="0"/>
  </r>
  <r>
    <x v="0"/>
    <x v="0"/>
    <x v="0"/>
    <x v="0"/>
    <x v="0"/>
    <s v="DK1_Medium"/>
    <x v="8"/>
    <x v="1"/>
    <x v="0"/>
    <x v="0"/>
  </r>
  <r>
    <x v="0"/>
    <x v="0"/>
    <x v="0"/>
    <x v="0"/>
    <x v="0"/>
    <s v="DK1_Medium"/>
    <x v="8"/>
    <x v="2"/>
    <x v="0"/>
    <x v="0"/>
  </r>
  <r>
    <x v="0"/>
    <x v="0"/>
    <x v="0"/>
    <x v="0"/>
    <x v="0"/>
    <s v="DK1_Medium"/>
    <x v="8"/>
    <x v="3"/>
    <x v="0"/>
    <x v="0"/>
  </r>
  <r>
    <x v="0"/>
    <x v="0"/>
    <x v="0"/>
    <x v="0"/>
    <x v="0"/>
    <s v="DK1_Medium"/>
    <x v="8"/>
    <x v="4"/>
    <x v="0"/>
    <x v="0"/>
  </r>
  <r>
    <x v="0"/>
    <x v="0"/>
    <x v="0"/>
    <x v="0"/>
    <x v="0"/>
    <s v="DK1_Medium"/>
    <x v="8"/>
    <x v="5"/>
    <x v="0"/>
    <x v="0"/>
  </r>
  <r>
    <x v="0"/>
    <x v="0"/>
    <x v="0"/>
    <x v="0"/>
    <x v="0"/>
    <s v="DK1_Medium"/>
    <x v="8"/>
    <x v="6"/>
    <x v="0"/>
    <x v="0"/>
  </r>
  <r>
    <x v="0"/>
    <x v="0"/>
    <x v="0"/>
    <x v="0"/>
    <x v="0"/>
    <s v="DK1_Medium"/>
    <x v="8"/>
    <x v="7"/>
    <x v="0"/>
    <x v="0"/>
  </r>
  <r>
    <x v="0"/>
    <x v="0"/>
    <x v="0"/>
    <x v="0"/>
    <x v="0"/>
    <s v="DK1_Medium"/>
    <x v="8"/>
    <x v="8"/>
    <x v="0"/>
    <x v="0"/>
  </r>
  <r>
    <x v="0"/>
    <x v="0"/>
    <x v="0"/>
    <x v="0"/>
    <x v="0"/>
    <s v="DK1_Medium"/>
    <x v="8"/>
    <x v="9"/>
    <x v="0"/>
    <x v="0"/>
  </r>
  <r>
    <x v="0"/>
    <x v="0"/>
    <x v="0"/>
    <x v="0"/>
    <x v="0"/>
    <s v="DK1_Medium"/>
    <x v="8"/>
    <x v="10"/>
    <x v="0"/>
    <x v="0"/>
  </r>
  <r>
    <x v="0"/>
    <x v="0"/>
    <x v="0"/>
    <x v="0"/>
    <x v="0"/>
    <s v="DK1_Medium"/>
    <x v="8"/>
    <x v="11"/>
    <x v="0"/>
    <x v="0"/>
  </r>
  <r>
    <x v="0"/>
    <x v="0"/>
    <x v="0"/>
    <x v="0"/>
    <x v="0"/>
    <s v="DK1_Medium"/>
    <x v="9"/>
    <x v="0"/>
    <x v="0"/>
    <x v="0"/>
  </r>
  <r>
    <x v="0"/>
    <x v="0"/>
    <x v="0"/>
    <x v="0"/>
    <x v="0"/>
    <s v="DK1_Medium"/>
    <x v="9"/>
    <x v="1"/>
    <x v="0"/>
    <x v="0"/>
  </r>
  <r>
    <x v="0"/>
    <x v="0"/>
    <x v="0"/>
    <x v="0"/>
    <x v="0"/>
    <s v="DK1_Medium"/>
    <x v="9"/>
    <x v="2"/>
    <x v="0"/>
    <x v="0"/>
  </r>
  <r>
    <x v="0"/>
    <x v="0"/>
    <x v="0"/>
    <x v="0"/>
    <x v="0"/>
    <s v="DK1_Medium"/>
    <x v="9"/>
    <x v="3"/>
    <x v="0"/>
    <x v="0"/>
  </r>
  <r>
    <x v="0"/>
    <x v="0"/>
    <x v="0"/>
    <x v="0"/>
    <x v="0"/>
    <s v="DK1_Medium"/>
    <x v="9"/>
    <x v="4"/>
    <x v="0"/>
    <x v="0"/>
  </r>
  <r>
    <x v="0"/>
    <x v="0"/>
    <x v="0"/>
    <x v="0"/>
    <x v="0"/>
    <s v="DK1_Medium"/>
    <x v="9"/>
    <x v="5"/>
    <x v="0"/>
    <x v="0"/>
  </r>
  <r>
    <x v="0"/>
    <x v="0"/>
    <x v="0"/>
    <x v="0"/>
    <x v="0"/>
    <s v="DK1_Medium"/>
    <x v="9"/>
    <x v="6"/>
    <x v="0"/>
    <x v="0"/>
  </r>
  <r>
    <x v="0"/>
    <x v="0"/>
    <x v="0"/>
    <x v="0"/>
    <x v="0"/>
    <s v="DK1_Medium"/>
    <x v="9"/>
    <x v="7"/>
    <x v="0"/>
    <x v="0"/>
  </r>
  <r>
    <x v="0"/>
    <x v="0"/>
    <x v="0"/>
    <x v="0"/>
    <x v="0"/>
    <s v="DK1_Medium"/>
    <x v="9"/>
    <x v="8"/>
    <x v="0"/>
    <x v="0"/>
  </r>
  <r>
    <x v="0"/>
    <x v="0"/>
    <x v="0"/>
    <x v="0"/>
    <x v="0"/>
    <s v="DK1_Medium"/>
    <x v="9"/>
    <x v="9"/>
    <x v="0"/>
    <x v="0"/>
  </r>
  <r>
    <x v="0"/>
    <x v="0"/>
    <x v="0"/>
    <x v="0"/>
    <x v="0"/>
    <s v="DK1_Medium"/>
    <x v="9"/>
    <x v="10"/>
    <x v="0"/>
    <x v="0"/>
  </r>
  <r>
    <x v="0"/>
    <x v="0"/>
    <x v="0"/>
    <x v="0"/>
    <x v="0"/>
    <s v="DK1_Medium"/>
    <x v="9"/>
    <x v="11"/>
    <x v="0"/>
    <x v="0"/>
  </r>
  <r>
    <x v="0"/>
    <x v="0"/>
    <x v="0"/>
    <x v="0"/>
    <x v="0"/>
    <s v="DK1_Medium"/>
    <x v="10"/>
    <x v="0"/>
    <x v="0"/>
    <x v="0"/>
  </r>
  <r>
    <x v="0"/>
    <x v="0"/>
    <x v="0"/>
    <x v="0"/>
    <x v="0"/>
    <s v="DK1_Medium"/>
    <x v="10"/>
    <x v="1"/>
    <x v="0"/>
    <x v="0"/>
  </r>
  <r>
    <x v="0"/>
    <x v="0"/>
    <x v="0"/>
    <x v="0"/>
    <x v="0"/>
    <s v="DK1_Medium"/>
    <x v="10"/>
    <x v="2"/>
    <x v="0"/>
    <x v="0"/>
  </r>
  <r>
    <x v="0"/>
    <x v="0"/>
    <x v="0"/>
    <x v="0"/>
    <x v="0"/>
    <s v="DK1_Medium"/>
    <x v="10"/>
    <x v="3"/>
    <x v="0"/>
    <x v="0"/>
  </r>
  <r>
    <x v="0"/>
    <x v="0"/>
    <x v="0"/>
    <x v="0"/>
    <x v="0"/>
    <s v="DK1_Medium"/>
    <x v="10"/>
    <x v="4"/>
    <x v="0"/>
    <x v="0"/>
  </r>
  <r>
    <x v="0"/>
    <x v="0"/>
    <x v="0"/>
    <x v="0"/>
    <x v="0"/>
    <s v="DK1_Medium"/>
    <x v="10"/>
    <x v="5"/>
    <x v="0"/>
    <x v="0"/>
  </r>
  <r>
    <x v="0"/>
    <x v="0"/>
    <x v="0"/>
    <x v="0"/>
    <x v="0"/>
    <s v="DK1_Medium"/>
    <x v="10"/>
    <x v="6"/>
    <x v="0"/>
    <x v="0"/>
  </r>
  <r>
    <x v="0"/>
    <x v="0"/>
    <x v="0"/>
    <x v="0"/>
    <x v="0"/>
    <s v="DK1_Medium"/>
    <x v="10"/>
    <x v="7"/>
    <x v="0"/>
    <x v="0"/>
  </r>
  <r>
    <x v="0"/>
    <x v="0"/>
    <x v="0"/>
    <x v="0"/>
    <x v="0"/>
    <s v="DK1_Medium"/>
    <x v="10"/>
    <x v="8"/>
    <x v="0"/>
    <x v="0"/>
  </r>
  <r>
    <x v="0"/>
    <x v="0"/>
    <x v="0"/>
    <x v="0"/>
    <x v="0"/>
    <s v="DK1_Medium"/>
    <x v="10"/>
    <x v="9"/>
    <x v="0"/>
    <x v="0"/>
  </r>
  <r>
    <x v="0"/>
    <x v="0"/>
    <x v="0"/>
    <x v="0"/>
    <x v="0"/>
    <s v="DK1_Medium"/>
    <x v="10"/>
    <x v="10"/>
    <x v="0"/>
    <x v="0"/>
  </r>
  <r>
    <x v="0"/>
    <x v="0"/>
    <x v="0"/>
    <x v="0"/>
    <x v="0"/>
    <s v="DK1_Medium"/>
    <x v="10"/>
    <x v="11"/>
    <x v="0"/>
    <x v="0"/>
  </r>
  <r>
    <x v="0"/>
    <x v="0"/>
    <x v="0"/>
    <x v="0"/>
    <x v="0"/>
    <s v="DK1_Medium"/>
    <x v="11"/>
    <x v="0"/>
    <x v="0"/>
    <x v="0"/>
  </r>
  <r>
    <x v="0"/>
    <x v="0"/>
    <x v="0"/>
    <x v="0"/>
    <x v="0"/>
    <s v="DK1_Medium"/>
    <x v="11"/>
    <x v="1"/>
    <x v="0"/>
    <x v="0"/>
  </r>
  <r>
    <x v="0"/>
    <x v="0"/>
    <x v="0"/>
    <x v="0"/>
    <x v="0"/>
    <s v="DK1_Medium"/>
    <x v="11"/>
    <x v="2"/>
    <x v="0"/>
    <x v="0"/>
  </r>
  <r>
    <x v="0"/>
    <x v="0"/>
    <x v="0"/>
    <x v="0"/>
    <x v="0"/>
    <s v="DK1_Medium"/>
    <x v="11"/>
    <x v="3"/>
    <x v="0"/>
    <x v="0"/>
  </r>
  <r>
    <x v="0"/>
    <x v="0"/>
    <x v="0"/>
    <x v="0"/>
    <x v="0"/>
    <s v="DK1_Medium"/>
    <x v="11"/>
    <x v="4"/>
    <x v="0"/>
    <x v="0"/>
  </r>
  <r>
    <x v="0"/>
    <x v="0"/>
    <x v="0"/>
    <x v="0"/>
    <x v="0"/>
    <s v="DK1_Medium"/>
    <x v="11"/>
    <x v="5"/>
    <x v="0"/>
    <x v="0"/>
  </r>
  <r>
    <x v="0"/>
    <x v="0"/>
    <x v="0"/>
    <x v="0"/>
    <x v="0"/>
    <s v="DK1_Medium"/>
    <x v="11"/>
    <x v="6"/>
    <x v="0"/>
    <x v="0"/>
  </r>
  <r>
    <x v="0"/>
    <x v="0"/>
    <x v="0"/>
    <x v="0"/>
    <x v="0"/>
    <s v="DK1_Medium"/>
    <x v="11"/>
    <x v="7"/>
    <x v="0"/>
    <x v="0"/>
  </r>
  <r>
    <x v="0"/>
    <x v="0"/>
    <x v="0"/>
    <x v="0"/>
    <x v="0"/>
    <s v="DK1_Medium"/>
    <x v="11"/>
    <x v="8"/>
    <x v="0"/>
    <x v="0"/>
  </r>
  <r>
    <x v="0"/>
    <x v="0"/>
    <x v="0"/>
    <x v="0"/>
    <x v="0"/>
    <s v="DK1_Medium"/>
    <x v="11"/>
    <x v="9"/>
    <x v="0"/>
    <x v="0"/>
  </r>
  <r>
    <x v="0"/>
    <x v="0"/>
    <x v="0"/>
    <x v="0"/>
    <x v="0"/>
    <s v="DK1_Medium"/>
    <x v="11"/>
    <x v="10"/>
    <x v="0"/>
    <x v="0"/>
  </r>
  <r>
    <x v="0"/>
    <x v="0"/>
    <x v="0"/>
    <x v="0"/>
    <x v="0"/>
    <s v="DK1_Medium"/>
    <x v="11"/>
    <x v="11"/>
    <x v="0"/>
    <x v="0"/>
  </r>
  <r>
    <x v="0"/>
    <x v="0"/>
    <x v="0"/>
    <x v="0"/>
    <x v="0"/>
    <s v="DK1_Rural"/>
    <x v="0"/>
    <x v="0"/>
    <x v="0"/>
    <x v="0"/>
  </r>
  <r>
    <x v="0"/>
    <x v="0"/>
    <x v="0"/>
    <x v="0"/>
    <x v="0"/>
    <s v="DK1_Rural"/>
    <x v="0"/>
    <x v="1"/>
    <x v="0"/>
    <x v="0"/>
  </r>
  <r>
    <x v="0"/>
    <x v="0"/>
    <x v="0"/>
    <x v="0"/>
    <x v="0"/>
    <s v="DK1_Rural"/>
    <x v="0"/>
    <x v="2"/>
    <x v="0"/>
    <x v="0"/>
  </r>
  <r>
    <x v="0"/>
    <x v="0"/>
    <x v="0"/>
    <x v="0"/>
    <x v="0"/>
    <s v="DK1_Rural"/>
    <x v="0"/>
    <x v="3"/>
    <x v="0"/>
    <x v="0"/>
  </r>
  <r>
    <x v="0"/>
    <x v="0"/>
    <x v="0"/>
    <x v="0"/>
    <x v="0"/>
    <s v="DK1_Rural"/>
    <x v="0"/>
    <x v="4"/>
    <x v="0"/>
    <x v="0"/>
  </r>
  <r>
    <x v="0"/>
    <x v="0"/>
    <x v="0"/>
    <x v="0"/>
    <x v="0"/>
    <s v="DK1_Rural"/>
    <x v="0"/>
    <x v="5"/>
    <x v="0"/>
    <x v="0"/>
  </r>
  <r>
    <x v="0"/>
    <x v="0"/>
    <x v="0"/>
    <x v="0"/>
    <x v="0"/>
    <s v="DK1_Rural"/>
    <x v="0"/>
    <x v="6"/>
    <x v="0"/>
    <x v="0"/>
  </r>
  <r>
    <x v="0"/>
    <x v="0"/>
    <x v="0"/>
    <x v="0"/>
    <x v="0"/>
    <s v="DK1_Rural"/>
    <x v="0"/>
    <x v="7"/>
    <x v="0"/>
    <x v="0"/>
  </r>
  <r>
    <x v="0"/>
    <x v="0"/>
    <x v="0"/>
    <x v="0"/>
    <x v="0"/>
    <s v="DK1_Rural"/>
    <x v="0"/>
    <x v="8"/>
    <x v="0"/>
    <x v="0"/>
  </r>
  <r>
    <x v="0"/>
    <x v="0"/>
    <x v="0"/>
    <x v="0"/>
    <x v="0"/>
    <s v="DK1_Rural"/>
    <x v="0"/>
    <x v="9"/>
    <x v="0"/>
    <x v="0"/>
  </r>
  <r>
    <x v="0"/>
    <x v="0"/>
    <x v="0"/>
    <x v="0"/>
    <x v="0"/>
    <s v="DK1_Rural"/>
    <x v="0"/>
    <x v="10"/>
    <x v="0"/>
    <x v="0"/>
  </r>
  <r>
    <x v="0"/>
    <x v="0"/>
    <x v="0"/>
    <x v="0"/>
    <x v="0"/>
    <s v="DK1_Rural"/>
    <x v="0"/>
    <x v="11"/>
    <x v="0"/>
    <x v="0"/>
  </r>
  <r>
    <x v="0"/>
    <x v="0"/>
    <x v="0"/>
    <x v="0"/>
    <x v="0"/>
    <s v="DK1_Rural"/>
    <x v="1"/>
    <x v="0"/>
    <x v="0"/>
    <x v="0"/>
  </r>
  <r>
    <x v="0"/>
    <x v="0"/>
    <x v="0"/>
    <x v="0"/>
    <x v="0"/>
    <s v="DK1_Rural"/>
    <x v="1"/>
    <x v="1"/>
    <x v="0"/>
    <x v="0"/>
  </r>
  <r>
    <x v="0"/>
    <x v="0"/>
    <x v="0"/>
    <x v="0"/>
    <x v="0"/>
    <s v="DK1_Rural"/>
    <x v="1"/>
    <x v="2"/>
    <x v="0"/>
    <x v="0"/>
  </r>
  <r>
    <x v="0"/>
    <x v="0"/>
    <x v="0"/>
    <x v="0"/>
    <x v="0"/>
    <s v="DK1_Rural"/>
    <x v="1"/>
    <x v="3"/>
    <x v="0"/>
    <x v="0"/>
  </r>
  <r>
    <x v="0"/>
    <x v="0"/>
    <x v="0"/>
    <x v="0"/>
    <x v="0"/>
    <s v="DK1_Rural"/>
    <x v="1"/>
    <x v="4"/>
    <x v="0"/>
    <x v="0"/>
  </r>
  <r>
    <x v="0"/>
    <x v="0"/>
    <x v="0"/>
    <x v="0"/>
    <x v="0"/>
    <s v="DK1_Rural"/>
    <x v="1"/>
    <x v="5"/>
    <x v="0"/>
    <x v="0"/>
  </r>
  <r>
    <x v="0"/>
    <x v="0"/>
    <x v="0"/>
    <x v="0"/>
    <x v="0"/>
    <s v="DK1_Rural"/>
    <x v="1"/>
    <x v="6"/>
    <x v="0"/>
    <x v="0"/>
  </r>
  <r>
    <x v="0"/>
    <x v="0"/>
    <x v="0"/>
    <x v="0"/>
    <x v="0"/>
    <s v="DK1_Rural"/>
    <x v="1"/>
    <x v="7"/>
    <x v="0"/>
    <x v="0"/>
  </r>
  <r>
    <x v="0"/>
    <x v="0"/>
    <x v="0"/>
    <x v="0"/>
    <x v="0"/>
    <s v="DK1_Rural"/>
    <x v="1"/>
    <x v="8"/>
    <x v="0"/>
    <x v="0"/>
  </r>
  <r>
    <x v="0"/>
    <x v="0"/>
    <x v="0"/>
    <x v="0"/>
    <x v="0"/>
    <s v="DK1_Rural"/>
    <x v="1"/>
    <x v="9"/>
    <x v="0"/>
    <x v="0"/>
  </r>
  <r>
    <x v="0"/>
    <x v="0"/>
    <x v="0"/>
    <x v="0"/>
    <x v="0"/>
    <s v="DK1_Rural"/>
    <x v="1"/>
    <x v="10"/>
    <x v="0"/>
    <x v="0"/>
  </r>
  <r>
    <x v="0"/>
    <x v="0"/>
    <x v="0"/>
    <x v="0"/>
    <x v="0"/>
    <s v="DK1_Rural"/>
    <x v="1"/>
    <x v="11"/>
    <x v="0"/>
    <x v="0"/>
  </r>
  <r>
    <x v="0"/>
    <x v="0"/>
    <x v="0"/>
    <x v="0"/>
    <x v="0"/>
    <s v="DK1_Rural"/>
    <x v="2"/>
    <x v="0"/>
    <x v="0"/>
    <x v="0"/>
  </r>
  <r>
    <x v="0"/>
    <x v="0"/>
    <x v="0"/>
    <x v="0"/>
    <x v="0"/>
    <s v="DK1_Rural"/>
    <x v="2"/>
    <x v="1"/>
    <x v="0"/>
    <x v="0"/>
  </r>
  <r>
    <x v="0"/>
    <x v="0"/>
    <x v="0"/>
    <x v="0"/>
    <x v="0"/>
    <s v="DK1_Rural"/>
    <x v="2"/>
    <x v="2"/>
    <x v="0"/>
    <x v="0"/>
  </r>
  <r>
    <x v="0"/>
    <x v="0"/>
    <x v="0"/>
    <x v="0"/>
    <x v="0"/>
    <s v="DK1_Rural"/>
    <x v="2"/>
    <x v="3"/>
    <x v="0"/>
    <x v="0"/>
  </r>
  <r>
    <x v="0"/>
    <x v="0"/>
    <x v="0"/>
    <x v="0"/>
    <x v="0"/>
    <s v="DK1_Rural"/>
    <x v="2"/>
    <x v="4"/>
    <x v="0"/>
    <x v="0"/>
  </r>
  <r>
    <x v="0"/>
    <x v="0"/>
    <x v="0"/>
    <x v="0"/>
    <x v="0"/>
    <s v="DK1_Rural"/>
    <x v="2"/>
    <x v="5"/>
    <x v="0"/>
    <x v="0"/>
  </r>
  <r>
    <x v="0"/>
    <x v="0"/>
    <x v="0"/>
    <x v="0"/>
    <x v="0"/>
    <s v="DK1_Rural"/>
    <x v="2"/>
    <x v="6"/>
    <x v="0"/>
    <x v="0"/>
  </r>
  <r>
    <x v="0"/>
    <x v="0"/>
    <x v="0"/>
    <x v="0"/>
    <x v="0"/>
    <s v="DK1_Rural"/>
    <x v="2"/>
    <x v="7"/>
    <x v="0"/>
    <x v="0"/>
  </r>
  <r>
    <x v="0"/>
    <x v="0"/>
    <x v="0"/>
    <x v="0"/>
    <x v="0"/>
    <s v="DK1_Rural"/>
    <x v="2"/>
    <x v="8"/>
    <x v="0"/>
    <x v="0"/>
  </r>
  <r>
    <x v="0"/>
    <x v="0"/>
    <x v="0"/>
    <x v="0"/>
    <x v="0"/>
    <s v="DK1_Rural"/>
    <x v="2"/>
    <x v="9"/>
    <x v="0"/>
    <x v="0"/>
  </r>
  <r>
    <x v="0"/>
    <x v="0"/>
    <x v="0"/>
    <x v="0"/>
    <x v="0"/>
    <s v="DK1_Rural"/>
    <x v="2"/>
    <x v="10"/>
    <x v="0"/>
    <x v="0"/>
  </r>
  <r>
    <x v="0"/>
    <x v="0"/>
    <x v="0"/>
    <x v="0"/>
    <x v="0"/>
    <s v="DK1_Rural"/>
    <x v="2"/>
    <x v="11"/>
    <x v="0"/>
    <x v="0"/>
  </r>
  <r>
    <x v="0"/>
    <x v="0"/>
    <x v="0"/>
    <x v="0"/>
    <x v="0"/>
    <s v="DK1_Rural"/>
    <x v="3"/>
    <x v="0"/>
    <x v="0"/>
    <x v="0"/>
  </r>
  <r>
    <x v="0"/>
    <x v="0"/>
    <x v="0"/>
    <x v="0"/>
    <x v="0"/>
    <s v="DK1_Rural"/>
    <x v="3"/>
    <x v="1"/>
    <x v="0"/>
    <x v="0"/>
  </r>
  <r>
    <x v="0"/>
    <x v="0"/>
    <x v="0"/>
    <x v="0"/>
    <x v="0"/>
    <s v="DK1_Rural"/>
    <x v="3"/>
    <x v="2"/>
    <x v="0"/>
    <x v="0"/>
  </r>
  <r>
    <x v="0"/>
    <x v="0"/>
    <x v="0"/>
    <x v="0"/>
    <x v="0"/>
    <s v="DK1_Rural"/>
    <x v="3"/>
    <x v="3"/>
    <x v="0"/>
    <x v="0"/>
  </r>
  <r>
    <x v="0"/>
    <x v="0"/>
    <x v="0"/>
    <x v="0"/>
    <x v="0"/>
    <s v="DK1_Rural"/>
    <x v="3"/>
    <x v="4"/>
    <x v="0"/>
    <x v="0"/>
  </r>
  <r>
    <x v="0"/>
    <x v="0"/>
    <x v="0"/>
    <x v="0"/>
    <x v="0"/>
    <s v="DK1_Rural"/>
    <x v="3"/>
    <x v="5"/>
    <x v="0"/>
    <x v="0"/>
  </r>
  <r>
    <x v="0"/>
    <x v="0"/>
    <x v="0"/>
    <x v="0"/>
    <x v="0"/>
    <s v="DK1_Rural"/>
    <x v="3"/>
    <x v="6"/>
    <x v="0"/>
    <x v="0"/>
  </r>
  <r>
    <x v="0"/>
    <x v="0"/>
    <x v="0"/>
    <x v="0"/>
    <x v="0"/>
    <s v="DK1_Rural"/>
    <x v="3"/>
    <x v="7"/>
    <x v="0"/>
    <x v="0"/>
  </r>
  <r>
    <x v="0"/>
    <x v="0"/>
    <x v="0"/>
    <x v="0"/>
    <x v="0"/>
    <s v="DK1_Rural"/>
    <x v="3"/>
    <x v="8"/>
    <x v="0"/>
    <x v="0"/>
  </r>
  <r>
    <x v="0"/>
    <x v="0"/>
    <x v="0"/>
    <x v="0"/>
    <x v="0"/>
    <s v="DK1_Rural"/>
    <x v="3"/>
    <x v="9"/>
    <x v="0"/>
    <x v="0"/>
  </r>
  <r>
    <x v="0"/>
    <x v="0"/>
    <x v="0"/>
    <x v="0"/>
    <x v="0"/>
    <s v="DK1_Rural"/>
    <x v="3"/>
    <x v="10"/>
    <x v="0"/>
    <x v="0"/>
  </r>
  <r>
    <x v="0"/>
    <x v="0"/>
    <x v="0"/>
    <x v="0"/>
    <x v="0"/>
    <s v="DK1_Rural"/>
    <x v="3"/>
    <x v="11"/>
    <x v="0"/>
    <x v="0"/>
  </r>
  <r>
    <x v="0"/>
    <x v="0"/>
    <x v="0"/>
    <x v="0"/>
    <x v="0"/>
    <s v="DK1_Rural"/>
    <x v="4"/>
    <x v="0"/>
    <x v="0"/>
    <x v="0"/>
  </r>
  <r>
    <x v="0"/>
    <x v="0"/>
    <x v="0"/>
    <x v="0"/>
    <x v="0"/>
    <s v="DK1_Rural"/>
    <x v="4"/>
    <x v="1"/>
    <x v="0"/>
    <x v="0"/>
  </r>
  <r>
    <x v="0"/>
    <x v="0"/>
    <x v="0"/>
    <x v="0"/>
    <x v="0"/>
    <s v="DK1_Rural"/>
    <x v="4"/>
    <x v="2"/>
    <x v="0"/>
    <x v="0"/>
  </r>
  <r>
    <x v="0"/>
    <x v="0"/>
    <x v="0"/>
    <x v="0"/>
    <x v="0"/>
    <s v="DK1_Rural"/>
    <x v="4"/>
    <x v="3"/>
    <x v="0"/>
    <x v="0"/>
  </r>
  <r>
    <x v="0"/>
    <x v="0"/>
    <x v="0"/>
    <x v="0"/>
    <x v="0"/>
    <s v="DK1_Rural"/>
    <x v="4"/>
    <x v="4"/>
    <x v="0"/>
    <x v="0"/>
  </r>
  <r>
    <x v="0"/>
    <x v="0"/>
    <x v="0"/>
    <x v="0"/>
    <x v="0"/>
    <s v="DK1_Rural"/>
    <x v="4"/>
    <x v="5"/>
    <x v="0"/>
    <x v="0"/>
  </r>
  <r>
    <x v="0"/>
    <x v="0"/>
    <x v="0"/>
    <x v="0"/>
    <x v="0"/>
    <s v="DK1_Rural"/>
    <x v="4"/>
    <x v="6"/>
    <x v="0"/>
    <x v="0"/>
  </r>
  <r>
    <x v="0"/>
    <x v="0"/>
    <x v="0"/>
    <x v="0"/>
    <x v="0"/>
    <s v="DK1_Rural"/>
    <x v="4"/>
    <x v="7"/>
    <x v="0"/>
    <x v="0"/>
  </r>
  <r>
    <x v="0"/>
    <x v="0"/>
    <x v="0"/>
    <x v="0"/>
    <x v="0"/>
    <s v="DK1_Rural"/>
    <x v="4"/>
    <x v="8"/>
    <x v="0"/>
    <x v="0"/>
  </r>
  <r>
    <x v="0"/>
    <x v="0"/>
    <x v="0"/>
    <x v="0"/>
    <x v="0"/>
    <s v="DK1_Rural"/>
    <x v="4"/>
    <x v="9"/>
    <x v="0"/>
    <x v="0"/>
  </r>
  <r>
    <x v="0"/>
    <x v="0"/>
    <x v="0"/>
    <x v="0"/>
    <x v="0"/>
    <s v="DK1_Rural"/>
    <x v="4"/>
    <x v="10"/>
    <x v="0"/>
    <x v="0"/>
  </r>
  <r>
    <x v="0"/>
    <x v="0"/>
    <x v="0"/>
    <x v="0"/>
    <x v="0"/>
    <s v="DK1_Rural"/>
    <x v="4"/>
    <x v="11"/>
    <x v="0"/>
    <x v="0"/>
  </r>
  <r>
    <x v="0"/>
    <x v="0"/>
    <x v="0"/>
    <x v="0"/>
    <x v="0"/>
    <s v="DK1_Rural"/>
    <x v="5"/>
    <x v="0"/>
    <x v="0"/>
    <x v="0"/>
  </r>
  <r>
    <x v="0"/>
    <x v="0"/>
    <x v="0"/>
    <x v="0"/>
    <x v="0"/>
    <s v="DK1_Rural"/>
    <x v="5"/>
    <x v="1"/>
    <x v="0"/>
    <x v="0"/>
  </r>
  <r>
    <x v="0"/>
    <x v="0"/>
    <x v="0"/>
    <x v="0"/>
    <x v="0"/>
    <s v="DK1_Rural"/>
    <x v="5"/>
    <x v="2"/>
    <x v="0"/>
    <x v="0"/>
  </r>
  <r>
    <x v="0"/>
    <x v="0"/>
    <x v="0"/>
    <x v="0"/>
    <x v="0"/>
    <s v="DK1_Rural"/>
    <x v="5"/>
    <x v="3"/>
    <x v="0"/>
    <x v="0"/>
  </r>
  <r>
    <x v="0"/>
    <x v="0"/>
    <x v="0"/>
    <x v="0"/>
    <x v="0"/>
    <s v="DK1_Rural"/>
    <x v="5"/>
    <x v="4"/>
    <x v="0"/>
    <x v="0"/>
  </r>
  <r>
    <x v="0"/>
    <x v="0"/>
    <x v="0"/>
    <x v="0"/>
    <x v="0"/>
    <s v="DK1_Rural"/>
    <x v="5"/>
    <x v="5"/>
    <x v="0"/>
    <x v="0"/>
  </r>
  <r>
    <x v="0"/>
    <x v="0"/>
    <x v="0"/>
    <x v="0"/>
    <x v="0"/>
    <s v="DK1_Rural"/>
    <x v="5"/>
    <x v="6"/>
    <x v="0"/>
    <x v="0"/>
  </r>
  <r>
    <x v="0"/>
    <x v="0"/>
    <x v="0"/>
    <x v="0"/>
    <x v="0"/>
    <s v="DK1_Rural"/>
    <x v="5"/>
    <x v="7"/>
    <x v="0"/>
    <x v="0"/>
  </r>
  <r>
    <x v="0"/>
    <x v="0"/>
    <x v="0"/>
    <x v="0"/>
    <x v="0"/>
    <s v="DK1_Rural"/>
    <x v="5"/>
    <x v="8"/>
    <x v="0"/>
    <x v="0"/>
  </r>
  <r>
    <x v="0"/>
    <x v="0"/>
    <x v="0"/>
    <x v="0"/>
    <x v="0"/>
    <s v="DK1_Rural"/>
    <x v="5"/>
    <x v="9"/>
    <x v="0"/>
    <x v="0"/>
  </r>
  <r>
    <x v="0"/>
    <x v="0"/>
    <x v="0"/>
    <x v="0"/>
    <x v="0"/>
    <s v="DK1_Rural"/>
    <x v="5"/>
    <x v="10"/>
    <x v="0"/>
    <x v="0"/>
  </r>
  <r>
    <x v="0"/>
    <x v="0"/>
    <x v="0"/>
    <x v="0"/>
    <x v="0"/>
    <s v="DK1_Rural"/>
    <x v="5"/>
    <x v="11"/>
    <x v="0"/>
    <x v="0"/>
  </r>
  <r>
    <x v="0"/>
    <x v="0"/>
    <x v="0"/>
    <x v="0"/>
    <x v="0"/>
    <s v="DK1_Rural"/>
    <x v="6"/>
    <x v="0"/>
    <x v="0"/>
    <x v="0"/>
  </r>
  <r>
    <x v="0"/>
    <x v="0"/>
    <x v="0"/>
    <x v="0"/>
    <x v="0"/>
    <s v="DK1_Rural"/>
    <x v="6"/>
    <x v="1"/>
    <x v="0"/>
    <x v="0"/>
  </r>
  <r>
    <x v="0"/>
    <x v="0"/>
    <x v="0"/>
    <x v="0"/>
    <x v="0"/>
    <s v="DK1_Rural"/>
    <x v="6"/>
    <x v="2"/>
    <x v="0"/>
    <x v="0"/>
  </r>
  <r>
    <x v="0"/>
    <x v="0"/>
    <x v="0"/>
    <x v="0"/>
    <x v="0"/>
    <s v="DK1_Rural"/>
    <x v="6"/>
    <x v="3"/>
    <x v="0"/>
    <x v="0"/>
  </r>
  <r>
    <x v="0"/>
    <x v="0"/>
    <x v="0"/>
    <x v="0"/>
    <x v="0"/>
    <s v="DK1_Rural"/>
    <x v="6"/>
    <x v="4"/>
    <x v="0"/>
    <x v="0"/>
  </r>
  <r>
    <x v="0"/>
    <x v="0"/>
    <x v="0"/>
    <x v="0"/>
    <x v="0"/>
    <s v="DK1_Rural"/>
    <x v="6"/>
    <x v="5"/>
    <x v="0"/>
    <x v="0"/>
  </r>
  <r>
    <x v="0"/>
    <x v="0"/>
    <x v="0"/>
    <x v="0"/>
    <x v="0"/>
    <s v="DK1_Rural"/>
    <x v="6"/>
    <x v="6"/>
    <x v="0"/>
    <x v="0"/>
  </r>
  <r>
    <x v="0"/>
    <x v="0"/>
    <x v="0"/>
    <x v="0"/>
    <x v="0"/>
    <s v="DK1_Rural"/>
    <x v="6"/>
    <x v="7"/>
    <x v="0"/>
    <x v="0"/>
  </r>
  <r>
    <x v="0"/>
    <x v="0"/>
    <x v="0"/>
    <x v="0"/>
    <x v="0"/>
    <s v="DK1_Rural"/>
    <x v="6"/>
    <x v="8"/>
    <x v="0"/>
    <x v="0"/>
  </r>
  <r>
    <x v="0"/>
    <x v="0"/>
    <x v="0"/>
    <x v="0"/>
    <x v="0"/>
    <s v="DK1_Rural"/>
    <x v="6"/>
    <x v="9"/>
    <x v="0"/>
    <x v="0"/>
  </r>
  <r>
    <x v="0"/>
    <x v="0"/>
    <x v="0"/>
    <x v="0"/>
    <x v="0"/>
    <s v="DK1_Rural"/>
    <x v="6"/>
    <x v="10"/>
    <x v="0"/>
    <x v="0"/>
  </r>
  <r>
    <x v="0"/>
    <x v="0"/>
    <x v="0"/>
    <x v="0"/>
    <x v="0"/>
    <s v="DK1_Rural"/>
    <x v="6"/>
    <x v="11"/>
    <x v="0"/>
    <x v="0"/>
  </r>
  <r>
    <x v="0"/>
    <x v="0"/>
    <x v="0"/>
    <x v="0"/>
    <x v="0"/>
    <s v="DK1_Rural"/>
    <x v="7"/>
    <x v="0"/>
    <x v="0"/>
    <x v="0"/>
  </r>
  <r>
    <x v="0"/>
    <x v="0"/>
    <x v="0"/>
    <x v="0"/>
    <x v="0"/>
    <s v="DK1_Rural"/>
    <x v="7"/>
    <x v="1"/>
    <x v="0"/>
    <x v="0"/>
  </r>
  <r>
    <x v="0"/>
    <x v="0"/>
    <x v="0"/>
    <x v="0"/>
    <x v="0"/>
    <s v="DK1_Rural"/>
    <x v="7"/>
    <x v="2"/>
    <x v="0"/>
    <x v="0"/>
  </r>
  <r>
    <x v="0"/>
    <x v="0"/>
    <x v="0"/>
    <x v="0"/>
    <x v="0"/>
    <s v="DK1_Rural"/>
    <x v="7"/>
    <x v="3"/>
    <x v="0"/>
    <x v="0"/>
  </r>
  <r>
    <x v="0"/>
    <x v="0"/>
    <x v="0"/>
    <x v="0"/>
    <x v="0"/>
    <s v="DK1_Rural"/>
    <x v="7"/>
    <x v="4"/>
    <x v="0"/>
    <x v="0"/>
  </r>
  <r>
    <x v="0"/>
    <x v="0"/>
    <x v="0"/>
    <x v="0"/>
    <x v="0"/>
    <s v="DK1_Rural"/>
    <x v="7"/>
    <x v="5"/>
    <x v="0"/>
    <x v="0"/>
  </r>
  <r>
    <x v="0"/>
    <x v="0"/>
    <x v="0"/>
    <x v="0"/>
    <x v="0"/>
    <s v="DK1_Rural"/>
    <x v="7"/>
    <x v="6"/>
    <x v="0"/>
    <x v="0"/>
  </r>
  <r>
    <x v="0"/>
    <x v="0"/>
    <x v="0"/>
    <x v="0"/>
    <x v="0"/>
    <s v="DK1_Rural"/>
    <x v="7"/>
    <x v="7"/>
    <x v="0"/>
    <x v="0"/>
  </r>
  <r>
    <x v="0"/>
    <x v="0"/>
    <x v="0"/>
    <x v="0"/>
    <x v="0"/>
    <s v="DK1_Rural"/>
    <x v="7"/>
    <x v="8"/>
    <x v="0"/>
    <x v="0"/>
  </r>
  <r>
    <x v="0"/>
    <x v="0"/>
    <x v="0"/>
    <x v="0"/>
    <x v="0"/>
    <s v="DK1_Rural"/>
    <x v="7"/>
    <x v="9"/>
    <x v="0"/>
    <x v="0"/>
  </r>
  <r>
    <x v="0"/>
    <x v="0"/>
    <x v="0"/>
    <x v="0"/>
    <x v="0"/>
    <s v="DK1_Rural"/>
    <x v="7"/>
    <x v="10"/>
    <x v="0"/>
    <x v="0"/>
  </r>
  <r>
    <x v="0"/>
    <x v="0"/>
    <x v="0"/>
    <x v="0"/>
    <x v="0"/>
    <s v="DK1_Rural"/>
    <x v="7"/>
    <x v="11"/>
    <x v="0"/>
    <x v="0"/>
  </r>
  <r>
    <x v="0"/>
    <x v="0"/>
    <x v="0"/>
    <x v="0"/>
    <x v="0"/>
    <s v="DK1_Rural"/>
    <x v="8"/>
    <x v="0"/>
    <x v="0"/>
    <x v="0"/>
  </r>
  <r>
    <x v="0"/>
    <x v="0"/>
    <x v="0"/>
    <x v="0"/>
    <x v="0"/>
    <s v="DK1_Rural"/>
    <x v="8"/>
    <x v="1"/>
    <x v="0"/>
    <x v="0"/>
  </r>
  <r>
    <x v="0"/>
    <x v="0"/>
    <x v="0"/>
    <x v="0"/>
    <x v="0"/>
    <s v="DK1_Rural"/>
    <x v="8"/>
    <x v="2"/>
    <x v="0"/>
    <x v="0"/>
  </r>
  <r>
    <x v="0"/>
    <x v="0"/>
    <x v="0"/>
    <x v="0"/>
    <x v="0"/>
    <s v="DK1_Rural"/>
    <x v="8"/>
    <x v="3"/>
    <x v="0"/>
    <x v="0"/>
  </r>
  <r>
    <x v="0"/>
    <x v="0"/>
    <x v="0"/>
    <x v="0"/>
    <x v="0"/>
    <s v="DK1_Rural"/>
    <x v="8"/>
    <x v="4"/>
    <x v="0"/>
    <x v="0"/>
  </r>
  <r>
    <x v="0"/>
    <x v="0"/>
    <x v="0"/>
    <x v="0"/>
    <x v="0"/>
    <s v="DK1_Rural"/>
    <x v="8"/>
    <x v="5"/>
    <x v="0"/>
    <x v="0"/>
  </r>
  <r>
    <x v="0"/>
    <x v="0"/>
    <x v="0"/>
    <x v="0"/>
    <x v="0"/>
    <s v="DK1_Rural"/>
    <x v="8"/>
    <x v="6"/>
    <x v="0"/>
    <x v="0"/>
  </r>
  <r>
    <x v="0"/>
    <x v="0"/>
    <x v="0"/>
    <x v="0"/>
    <x v="0"/>
    <s v="DK1_Rural"/>
    <x v="8"/>
    <x v="7"/>
    <x v="0"/>
    <x v="0"/>
  </r>
  <r>
    <x v="0"/>
    <x v="0"/>
    <x v="0"/>
    <x v="0"/>
    <x v="0"/>
    <s v="DK1_Rural"/>
    <x v="8"/>
    <x v="8"/>
    <x v="0"/>
    <x v="0"/>
  </r>
  <r>
    <x v="0"/>
    <x v="0"/>
    <x v="0"/>
    <x v="0"/>
    <x v="0"/>
    <s v="DK1_Rural"/>
    <x v="8"/>
    <x v="9"/>
    <x v="0"/>
    <x v="0"/>
  </r>
  <r>
    <x v="0"/>
    <x v="0"/>
    <x v="0"/>
    <x v="0"/>
    <x v="0"/>
    <s v="DK1_Rural"/>
    <x v="8"/>
    <x v="10"/>
    <x v="0"/>
    <x v="0"/>
  </r>
  <r>
    <x v="0"/>
    <x v="0"/>
    <x v="0"/>
    <x v="0"/>
    <x v="0"/>
    <s v="DK1_Rural"/>
    <x v="8"/>
    <x v="11"/>
    <x v="0"/>
    <x v="0"/>
  </r>
  <r>
    <x v="0"/>
    <x v="0"/>
    <x v="0"/>
    <x v="0"/>
    <x v="0"/>
    <s v="DK1_Rural"/>
    <x v="9"/>
    <x v="0"/>
    <x v="0"/>
    <x v="0"/>
  </r>
  <r>
    <x v="0"/>
    <x v="0"/>
    <x v="0"/>
    <x v="0"/>
    <x v="0"/>
    <s v="DK1_Rural"/>
    <x v="9"/>
    <x v="1"/>
    <x v="0"/>
    <x v="0"/>
  </r>
  <r>
    <x v="0"/>
    <x v="0"/>
    <x v="0"/>
    <x v="0"/>
    <x v="0"/>
    <s v="DK1_Rural"/>
    <x v="9"/>
    <x v="2"/>
    <x v="0"/>
    <x v="0"/>
  </r>
  <r>
    <x v="0"/>
    <x v="0"/>
    <x v="0"/>
    <x v="0"/>
    <x v="0"/>
    <s v="DK1_Rural"/>
    <x v="9"/>
    <x v="3"/>
    <x v="0"/>
    <x v="0"/>
  </r>
  <r>
    <x v="0"/>
    <x v="0"/>
    <x v="0"/>
    <x v="0"/>
    <x v="0"/>
    <s v="DK1_Rural"/>
    <x v="9"/>
    <x v="4"/>
    <x v="0"/>
    <x v="0"/>
  </r>
  <r>
    <x v="0"/>
    <x v="0"/>
    <x v="0"/>
    <x v="0"/>
    <x v="0"/>
    <s v="DK1_Rural"/>
    <x v="9"/>
    <x v="5"/>
    <x v="0"/>
    <x v="0"/>
  </r>
  <r>
    <x v="0"/>
    <x v="0"/>
    <x v="0"/>
    <x v="0"/>
    <x v="0"/>
    <s v="DK1_Rural"/>
    <x v="9"/>
    <x v="6"/>
    <x v="0"/>
    <x v="0"/>
  </r>
  <r>
    <x v="0"/>
    <x v="0"/>
    <x v="0"/>
    <x v="0"/>
    <x v="0"/>
    <s v="DK1_Rural"/>
    <x v="9"/>
    <x v="7"/>
    <x v="0"/>
    <x v="0"/>
  </r>
  <r>
    <x v="0"/>
    <x v="0"/>
    <x v="0"/>
    <x v="0"/>
    <x v="0"/>
    <s v="DK1_Rural"/>
    <x v="9"/>
    <x v="8"/>
    <x v="0"/>
    <x v="0"/>
  </r>
  <r>
    <x v="0"/>
    <x v="0"/>
    <x v="0"/>
    <x v="0"/>
    <x v="0"/>
    <s v="DK1_Rural"/>
    <x v="9"/>
    <x v="9"/>
    <x v="0"/>
    <x v="0"/>
  </r>
  <r>
    <x v="0"/>
    <x v="0"/>
    <x v="0"/>
    <x v="0"/>
    <x v="0"/>
    <s v="DK1_Rural"/>
    <x v="9"/>
    <x v="10"/>
    <x v="0"/>
    <x v="0"/>
  </r>
  <r>
    <x v="0"/>
    <x v="0"/>
    <x v="0"/>
    <x v="0"/>
    <x v="0"/>
    <s v="DK1_Rural"/>
    <x v="9"/>
    <x v="11"/>
    <x v="0"/>
    <x v="0"/>
  </r>
  <r>
    <x v="0"/>
    <x v="0"/>
    <x v="0"/>
    <x v="0"/>
    <x v="0"/>
    <s v="DK1_Rural"/>
    <x v="10"/>
    <x v="0"/>
    <x v="0"/>
    <x v="0"/>
  </r>
  <r>
    <x v="0"/>
    <x v="0"/>
    <x v="0"/>
    <x v="0"/>
    <x v="0"/>
    <s v="DK1_Rural"/>
    <x v="10"/>
    <x v="1"/>
    <x v="0"/>
    <x v="0"/>
  </r>
  <r>
    <x v="0"/>
    <x v="0"/>
    <x v="0"/>
    <x v="0"/>
    <x v="0"/>
    <s v="DK1_Rural"/>
    <x v="10"/>
    <x v="2"/>
    <x v="0"/>
    <x v="0"/>
  </r>
  <r>
    <x v="0"/>
    <x v="0"/>
    <x v="0"/>
    <x v="0"/>
    <x v="0"/>
    <s v="DK1_Rural"/>
    <x v="10"/>
    <x v="3"/>
    <x v="0"/>
    <x v="0"/>
  </r>
  <r>
    <x v="0"/>
    <x v="0"/>
    <x v="0"/>
    <x v="0"/>
    <x v="0"/>
    <s v="DK1_Rural"/>
    <x v="10"/>
    <x v="4"/>
    <x v="0"/>
    <x v="0"/>
  </r>
  <r>
    <x v="0"/>
    <x v="0"/>
    <x v="0"/>
    <x v="0"/>
    <x v="0"/>
    <s v="DK1_Rural"/>
    <x v="10"/>
    <x v="5"/>
    <x v="0"/>
    <x v="0"/>
  </r>
  <r>
    <x v="0"/>
    <x v="0"/>
    <x v="0"/>
    <x v="0"/>
    <x v="0"/>
    <s v="DK1_Rural"/>
    <x v="10"/>
    <x v="6"/>
    <x v="0"/>
    <x v="0"/>
  </r>
  <r>
    <x v="0"/>
    <x v="0"/>
    <x v="0"/>
    <x v="0"/>
    <x v="0"/>
    <s v="DK1_Rural"/>
    <x v="10"/>
    <x v="7"/>
    <x v="0"/>
    <x v="0"/>
  </r>
  <r>
    <x v="0"/>
    <x v="0"/>
    <x v="0"/>
    <x v="0"/>
    <x v="0"/>
    <s v="DK1_Rural"/>
    <x v="10"/>
    <x v="8"/>
    <x v="0"/>
    <x v="0"/>
  </r>
  <r>
    <x v="0"/>
    <x v="0"/>
    <x v="0"/>
    <x v="0"/>
    <x v="0"/>
    <s v="DK1_Rural"/>
    <x v="10"/>
    <x v="9"/>
    <x v="0"/>
    <x v="0"/>
  </r>
  <r>
    <x v="0"/>
    <x v="0"/>
    <x v="0"/>
    <x v="0"/>
    <x v="0"/>
    <s v="DK1_Rural"/>
    <x v="10"/>
    <x v="10"/>
    <x v="0"/>
    <x v="0"/>
  </r>
  <r>
    <x v="0"/>
    <x v="0"/>
    <x v="0"/>
    <x v="0"/>
    <x v="0"/>
    <s v="DK1_Rural"/>
    <x v="10"/>
    <x v="11"/>
    <x v="0"/>
    <x v="0"/>
  </r>
  <r>
    <x v="0"/>
    <x v="0"/>
    <x v="0"/>
    <x v="0"/>
    <x v="0"/>
    <s v="DK1_Rural"/>
    <x v="11"/>
    <x v="0"/>
    <x v="0"/>
    <x v="0"/>
  </r>
  <r>
    <x v="0"/>
    <x v="0"/>
    <x v="0"/>
    <x v="0"/>
    <x v="0"/>
    <s v="DK1_Rural"/>
    <x v="11"/>
    <x v="1"/>
    <x v="0"/>
    <x v="0"/>
  </r>
  <r>
    <x v="0"/>
    <x v="0"/>
    <x v="0"/>
    <x v="0"/>
    <x v="0"/>
    <s v="DK1_Rural"/>
    <x v="11"/>
    <x v="2"/>
    <x v="0"/>
    <x v="0"/>
  </r>
  <r>
    <x v="0"/>
    <x v="0"/>
    <x v="0"/>
    <x v="0"/>
    <x v="0"/>
    <s v="DK1_Rural"/>
    <x v="11"/>
    <x v="3"/>
    <x v="0"/>
    <x v="0"/>
  </r>
  <r>
    <x v="0"/>
    <x v="0"/>
    <x v="0"/>
    <x v="0"/>
    <x v="0"/>
    <s v="DK1_Rural"/>
    <x v="11"/>
    <x v="4"/>
    <x v="0"/>
    <x v="0"/>
  </r>
  <r>
    <x v="0"/>
    <x v="0"/>
    <x v="0"/>
    <x v="0"/>
    <x v="0"/>
    <s v="DK1_Rural"/>
    <x v="11"/>
    <x v="5"/>
    <x v="0"/>
    <x v="0"/>
  </r>
  <r>
    <x v="0"/>
    <x v="0"/>
    <x v="0"/>
    <x v="0"/>
    <x v="0"/>
    <s v="DK1_Rural"/>
    <x v="11"/>
    <x v="6"/>
    <x v="0"/>
    <x v="0"/>
  </r>
  <r>
    <x v="0"/>
    <x v="0"/>
    <x v="0"/>
    <x v="0"/>
    <x v="0"/>
    <s v="DK1_Rural"/>
    <x v="11"/>
    <x v="7"/>
    <x v="0"/>
    <x v="0"/>
  </r>
  <r>
    <x v="0"/>
    <x v="0"/>
    <x v="0"/>
    <x v="0"/>
    <x v="0"/>
    <s v="DK1_Rural"/>
    <x v="11"/>
    <x v="8"/>
    <x v="0"/>
    <x v="0"/>
  </r>
  <r>
    <x v="0"/>
    <x v="0"/>
    <x v="0"/>
    <x v="0"/>
    <x v="0"/>
    <s v="DK1_Rural"/>
    <x v="11"/>
    <x v="9"/>
    <x v="0"/>
    <x v="0"/>
  </r>
  <r>
    <x v="0"/>
    <x v="0"/>
    <x v="0"/>
    <x v="0"/>
    <x v="0"/>
    <s v="DK1_Rural"/>
    <x v="11"/>
    <x v="10"/>
    <x v="0"/>
    <x v="0"/>
  </r>
  <r>
    <x v="0"/>
    <x v="0"/>
    <x v="0"/>
    <x v="0"/>
    <x v="0"/>
    <s v="DK1_Rural"/>
    <x v="11"/>
    <x v="11"/>
    <x v="0"/>
    <x v="0"/>
  </r>
  <r>
    <x v="0"/>
    <x v="0"/>
    <x v="0"/>
    <x v="0"/>
    <x v="0"/>
    <s v="DK1_Small"/>
    <x v="0"/>
    <x v="0"/>
    <x v="0"/>
    <x v="0"/>
  </r>
  <r>
    <x v="0"/>
    <x v="0"/>
    <x v="0"/>
    <x v="0"/>
    <x v="0"/>
    <s v="DK1_Small"/>
    <x v="0"/>
    <x v="1"/>
    <x v="0"/>
    <x v="0"/>
  </r>
  <r>
    <x v="0"/>
    <x v="0"/>
    <x v="0"/>
    <x v="0"/>
    <x v="0"/>
    <s v="DK1_Small"/>
    <x v="0"/>
    <x v="2"/>
    <x v="0"/>
    <x v="0"/>
  </r>
  <r>
    <x v="0"/>
    <x v="0"/>
    <x v="0"/>
    <x v="0"/>
    <x v="0"/>
    <s v="DK1_Small"/>
    <x v="0"/>
    <x v="3"/>
    <x v="0"/>
    <x v="0"/>
  </r>
  <r>
    <x v="0"/>
    <x v="0"/>
    <x v="0"/>
    <x v="0"/>
    <x v="0"/>
    <s v="DK1_Small"/>
    <x v="0"/>
    <x v="4"/>
    <x v="0"/>
    <x v="0"/>
  </r>
  <r>
    <x v="0"/>
    <x v="0"/>
    <x v="0"/>
    <x v="0"/>
    <x v="0"/>
    <s v="DK1_Small"/>
    <x v="0"/>
    <x v="5"/>
    <x v="0"/>
    <x v="0"/>
  </r>
  <r>
    <x v="0"/>
    <x v="0"/>
    <x v="0"/>
    <x v="0"/>
    <x v="0"/>
    <s v="DK1_Small"/>
    <x v="0"/>
    <x v="6"/>
    <x v="0"/>
    <x v="0"/>
  </r>
  <r>
    <x v="0"/>
    <x v="0"/>
    <x v="0"/>
    <x v="0"/>
    <x v="0"/>
    <s v="DK1_Small"/>
    <x v="0"/>
    <x v="7"/>
    <x v="0"/>
    <x v="0"/>
  </r>
  <r>
    <x v="0"/>
    <x v="0"/>
    <x v="0"/>
    <x v="0"/>
    <x v="0"/>
    <s v="DK1_Small"/>
    <x v="0"/>
    <x v="8"/>
    <x v="0"/>
    <x v="0"/>
  </r>
  <r>
    <x v="0"/>
    <x v="0"/>
    <x v="0"/>
    <x v="0"/>
    <x v="0"/>
    <s v="DK1_Small"/>
    <x v="0"/>
    <x v="9"/>
    <x v="0"/>
    <x v="0"/>
  </r>
  <r>
    <x v="0"/>
    <x v="0"/>
    <x v="0"/>
    <x v="0"/>
    <x v="0"/>
    <s v="DK1_Small"/>
    <x v="0"/>
    <x v="10"/>
    <x v="0"/>
    <x v="0"/>
  </r>
  <r>
    <x v="0"/>
    <x v="0"/>
    <x v="0"/>
    <x v="0"/>
    <x v="0"/>
    <s v="DK1_Small"/>
    <x v="0"/>
    <x v="11"/>
    <x v="0"/>
    <x v="0"/>
  </r>
  <r>
    <x v="0"/>
    <x v="0"/>
    <x v="0"/>
    <x v="0"/>
    <x v="0"/>
    <s v="DK1_Small"/>
    <x v="1"/>
    <x v="0"/>
    <x v="0"/>
    <x v="0"/>
  </r>
  <r>
    <x v="0"/>
    <x v="0"/>
    <x v="0"/>
    <x v="0"/>
    <x v="0"/>
    <s v="DK1_Small"/>
    <x v="1"/>
    <x v="1"/>
    <x v="0"/>
    <x v="0"/>
  </r>
  <r>
    <x v="0"/>
    <x v="0"/>
    <x v="0"/>
    <x v="0"/>
    <x v="0"/>
    <s v="DK1_Small"/>
    <x v="1"/>
    <x v="2"/>
    <x v="0"/>
    <x v="0"/>
  </r>
  <r>
    <x v="0"/>
    <x v="0"/>
    <x v="0"/>
    <x v="0"/>
    <x v="0"/>
    <s v="DK1_Small"/>
    <x v="1"/>
    <x v="3"/>
    <x v="0"/>
    <x v="0"/>
  </r>
  <r>
    <x v="0"/>
    <x v="0"/>
    <x v="0"/>
    <x v="0"/>
    <x v="0"/>
    <s v="DK1_Small"/>
    <x v="1"/>
    <x v="4"/>
    <x v="0"/>
    <x v="0"/>
  </r>
  <r>
    <x v="0"/>
    <x v="0"/>
    <x v="0"/>
    <x v="0"/>
    <x v="0"/>
    <s v="DK1_Small"/>
    <x v="1"/>
    <x v="5"/>
    <x v="0"/>
    <x v="0"/>
  </r>
  <r>
    <x v="0"/>
    <x v="0"/>
    <x v="0"/>
    <x v="0"/>
    <x v="0"/>
    <s v="DK1_Small"/>
    <x v="1"/>
    <x v="6"/>
    <x v="0"/>
    <x v="0"/>
  </r>
  <r>
    <x v="0"/>
    <x v="0"/>
    <x v="0"/>
    <x v="0"/>
    <x v="0"/>
    <s v="DK1_Small"/>
    <x v="1"/>
    <x v="7"/>
    <x v="0"/>
    <x v="0"/>
  </r>
  <r>
    <x v="0"/>
    <x v="0"/>
    <x v="0"/>
    <x v="0"/>
    <x v="0"/>
    <s v="DK1_Small"/>
    <x v="1"/>
    <x v="8"/>
    <x v="0"/>
    <x v="0"/>
  </r>
  <r>
    <x v="0"/>
    <x v="0"/>
    <x v="0"/>
    <x v="0"/>
    <x v="0"/>
    <s v="DK1_Small"/>
    <x v="1"/>
    <x v="9"/>
    <x v="0"/>
    <x v="0"/>
  </r>
  <r>
    <x v="0"/>
    <x v="0"/>
    <x v="0"/>
    <x v="0"/>
    <x v="0"/>
    <s v="DK1_Small"/>
    <x v="1"/>
    <x v="10"/>
    <x v="0"/>
    <x v="0"/>
  </r>
  <r>
    <x v="0"/>
    <x v="0"/>
    <x v="0"/>
    <x v="0"/>
    <x v="0"/>
    <s v="DK1_Small"/>
    <x v="1"/>
    <x v="11"/>
    <x v="0"/>
    <x v="0"/>
  </r>
  <r>
    <x v="0"/>
    <x v="0"/>
    <x v="0"/>
    <x v="0"/>
    <x v="0"/>
    <s v="DK1_Small"/>
    <x v="2"/>
    <x v="0"/>
    <x v="0"/>
    <x v="0"/>
  </r>
  <r>
    <x v="0"/>
    <x v="0"/>
    <x v="0"/>
    <x v="0"/>
    <x v="0"/>
    <s v="DK1_Small"/>
    <x v="2"/>
    <x v="1"/>
    <x v="0"/>
    <x v="0"/>
  </r>
  <r>
    <x v="0"/>
    <x v="0"/>
    <x v="0"/>
    <x v="0"/>
    <x v="0"/>
    <s v="DK1_Small"/>
    <x v="2"/>
    <x v="2"/>
    <x v="0"/>
    <x v="0"/>
  </r>
  <r>
    <x v="0"/>
    <x v="0"/>
    <x v="0"/>
    <x v="0"/>
    <x v="0"/>
    <s v="DK1_Small"/>
    <x v="2"/>
    <x v="3"/>
    <x v="0"/>
    <x v="0"/>
  </r>
  <r>
    <x v="0"/>
    <x v="0"/>
    <x v="0"/>
    <x v="0"/>
    <x v="0"/>
    <s v="DK1_Small"/>
    <x v="2"/>
    <x v="4"/>
    <x v="0"/>
    <x v="0"/>
  </r>
  <r>
    <x v="0"/>
    <x v="0"/>
    <x v="0"/>
    <x v="0"/>
    <x v="0"/>
    <s v="DK1_Small"/>
    <x v="2"/>
    <x v="5"/>
    <x v="0"/>
    <x v="0"/>
  </r>
  <r>
    <x v="0"/>
    <x v="0"/>
    <x v="0"/>
    <x v="0"/>
    <x v="0"/>
    <s v="DK1_Small"/>
    <x v="2"/>
    <x v="6"/>
    <x v="0"/>
    <x v="0"/>
  </r>
  <r>
    <x v="0"/>
    <x v="0"/>
    <x v="0"/>
    <x v="0"/>
    <x v="0"/>
    <s v="DK1_Small"/>
    <x v="2"/>
    <x v="7"/>
    <x v="0"/>
    <x v="0"/>
  </r>
  <r>
    <x v="0"/>
    <x v="0"/>
    <x v="0"/>
    <x v="0"/>
    <x v="0"/>
    <s v="DK1_Small"/>
    <x v="2"/>
    <x v="8"/>
    <x v="0"/>
    <x v="0"/>
  </r>
  <r>
    <x v="0"/>
    <x v="0"/>
    <x v="0"/>
    <x v="0"/>
    <x v="0"/>
    <s v="DK1_Small"/>
    <x v="2"/>
    <x v="9"/>
    <x v="0"/>
    <x v="0"/>
  </r>
  <r>
    <x v="0"/>
    <x v="0"/>
    <x v="0"/>
    <x v="0"/>
    <x v="0"/>
    <s v="DK1_Small"/>
    <x v="2"/>
    <x v="10"/>
    <x v="0"/>
    <x v="0"/>
  </r>
  <r>
    <x v="0"/>
    <x v="0"/>
    <x v="0"/>
    <x v="0"/>
    <x v="0"/>
    <s v="DK1_Small"/>
    <x v="2"/>
    <x v="11"/>
    <x v="0"/>
    <x v="0"/>
  </r>
  <r>
    <x v="0"/>
    <x v="0"/>
    <x v="0"/>
    <x v="0"/>
    <x v="0"/>
    <s v="DK1_Small"/>
    <x v="3"/>
    <x v="0"/>
    <x v="0"/>
    <x v="0"/>
  </r>
  <r>
    <x v="0"/>
    <x v="0"/>
    <x v="0"/>
    <x v="0"/>
    <x v="0"/>
    <s v="DK1_Small"/>
    <x v="3"/>
    <x v="1"/>
    <x v="0"/>
    <x v="0"/>
  </r>
  <r>
    <x v="0"/>
    <x v="0"/>
    <x v="0"/>
    <x v="0"/>
    <x v="0"/>
    <s v="DK1_Small"/>
    <x v="3"/>
    <x v="2"/>
    <x v="0"/>
    <x v="0"/>
  </r>
  <r>
    <x v="0"/>
    <x v="0"/>
    <x v="0"/>
    <x v="0"/>
    <x v="0"/>
    <s v="DK1_Small"/>
    <x v="3"/>
    <x v="3"/>
    <x v="0"/>
    <x v="0"/>
  </r>
  <r>
    <x v="0"/>
    <x v="0"/>
    <x v="0"/>
    <x v="0"/>
    <x v="0"/>
    <s v="DK1_Small"/>
    <x v="3"/>
    <x v="4"/>
    <x v="0"/>
    <x v="0"/>
  </r>
  <r>
    <x v="0"/>
    <x v="0"/>
    <x v="0"/>
    <x v="0"/>
    <x v="0"/>
    <s v="DK1_Small"/>
    <x v="3"/>
    <x v="5"/>
    <x v="0"/>
    <x v="0"/>
  </r>
  <r>
    <x v="0"/>
    <x v="0"/>
    <x v="0"/>
    <x v="0"/>
    <x v="0"/>
    <s v="DK1_Small"/>
    <x v="3"/>
    <x v="6"/>
    <x v="0"/>
    <x v="0"/>
  </r>
  <r>
    <x v="0"/>
    <x v="0"/>
    <x v="0"/>
    <x v="0"/>
    <x v="0"/>
    <s v="DK1_Small"/>
    <x v="3"/>
    <x v="7"/>
    <x v="0"/>
    <x v="0"/>
  </r>
  <r>
    <x v="0"/>
    <x v="0"/>
    <x v="0"/>
    <x v="0"/>
    <x v="0"/>
    <s v="DK1_Small"/>
    <x v="3"/>
    <x v="8"/>
    <x v="0"/>
    <x v="0"/>
  </r>
  <r>
    <x v="0"/>
    <x v="0"/>
    <x v="0"/>
    <x v="0"/>
    <x v="0"/>
    <s v="DK1_Small"/>
    <x v="3"/>
    <x v="9"/>
    <x v="0"/>
    <x v="0"/>
  </r>
  <r>
    <x v="0"/>
    <x v="0"/>
    <x v="0"/>
    <x v="0"/>
    <x v="0"/>
    <s v="DK1_Small"/>
    <x v="3"/>
    <x v="10"/>
    <x v="0"/>
    <x v="0"/>
  </r>
  <r>
    <x v="0"/>
    <x v="0"/>
    <x v="0"/>
    <x v="0"/>
    <x v="0"/>
    <s v="DK1_Small"/>
    <x v="3"/>
    <x v="11"/>
    <x v="0"/>
    <x v="0"/>
  </r>
  <r>
    <x v="0"/>
    <x v="0"/>
    <x v="0"/>
    <x v="0"/>
    <x v="0"/>
    <s v="DK1_Small"/>
    <x v="4"/>
    <x v="0"/>
    <x v="0"/>
    <x v="0"/>
  </r>
  <r>
    <x v="0"/>
    <x v="0"/>
    <x v="0"/>
    <x v="0"/>
    <x v="0"/>
    <s v="DK1_Small"/>
    <x v="4"/>
    <x v="1"/>
    <x v="0"/>
    <x v="0"/>
  </r>
  <r>
    <x v="0"/>
    <x v="0"/>
    <x v="0"/>
    <x v="0"/>
    <x v="0"/>
    <s v="DK1_Small"/>
    <x v="4"/>
    <x v="2"/>
    <x v="0"/>
    <x v="0"/>
  </r>
  <r>
    <x v="0"/>
    <x v="0"/>
    <x v="0"/>
    <x v="0"/>
    <x v="0"/>
    <s v="DK1_Small"/>
    <x v="4"/>
    <x v="3"/>
    <x v="0"/>
    <x v="0"/>
  </r>
  <r>
    <x v="0"/>
    <x v="0"/>
    <x v="0"/>
    <x v="0"/>
    <x v="0"/>
    <s v="DK1_Small"/>
    <x v="4"/>
    <x v="4"/>
    <x v="0"/>
    <x v="0"/>
  </r>
  <r>
    <x v="0"/>
    <x v="0"/>
    <x v="0"/>
    <x v="0"/>
    <x v="0"/>
    <s v="DK1_Small"/>
    <x v="4"/>
    <x v="5"/>
    <x v="0"/>
    <x v="0"/>
  </r>
  <r>
    <x v="0"/>
    <x v="0"/>
    <x v="0"/>
    <x v="0"/>
    <x v="0"/>
    <s v="DK1_Small"/>
    <x v="4"/>
    <x v="6"/>
    <x v="0"/>
    <x v="0"/>
  </r>
  <r>
    <x v="0"/>
    <x v="0"/>
    <x v="0"/>
    <x v="0"/>
    <x v="0"/>
    <s v="DK1_Small"/>
    <x v="4"/>
    <x v="7"/>
    <x v="0"/>
    <x v="0"/>
  </r>
  <r>
    <x v="0"/>
    <x v="0"/>
    <x v="0"/>
    <x v="0"/>
    <x v="0"/>
    <s v="DK1_Small"/>
    <x v="4"/>
    <x v="8"/>
    <x v="0"/>
    <x v="0"/>
  </r>
  <r>
    <x v="0"/>
    <x v="0"/>
    <x v="0"/>
    <x v="0"/>
    <x v="0"/>
    <s v="DK1_Small"/>
    <x v="4"/>
    <x v="9"/>
    <x v="0"/>
    <x v="0"/>
  </r>
  <r>
    <x v="0"/>
    <x v="0"/>
    <x v="0"/>
    <x v="0"/>
    <x v="0"/>
    <s v="DK1_Small"/>
    <x v="4"/>
    <x v="10"/>
    <x v="0"/>
    <x v="0"/>
  </r>
  <r>
    <x v="0"/>
    <x v="0"/>
    <x v="0"/>
    <x v="0"/>
    <x v="0"/>
    <s v="DK1_Small"/>
    <x v="4"/>
    <x v="11"/>
    <x v="0"/>
    <x v="0"/>
  </r>
  <r>
    <x v="0"/>
    <x v="0"/>
    <x v="0"/>
    <x v="0"/>
    <x v="0"/>
    <s v="DK1_Small"/>
    <x v="5"/>
    <x v="0"/>
    <x v="0"/>
    <x v="0"/>
  </r>
  <r>
    <x v="0"/>
    <x v="0"/>
    <x v="0"/>
    <x v="0"/>
    <x v="0"/>
    <s v="DK1_Small"/>
    <x v="5"/>
    <x v="1"/>
    <x v="0"/>
    <x v="0"/>
  </r>
  <r>
    <x v="0"/>
    <x v="0"/>
    <x v="0"/>
    <x v="0"/>
    <x v="0"/>
    <s v="DK1_Small"/>
    <x v="5"/>
    <x v="2"/>
    <x v="0"/>
    <x v="0"/>
  </r>
  <r>
    <x v="0"/>
    <x v="0"/>
    <x v="0"/>
    <x v="0"/>
    <x v="0"/>
    <s v="DK1_Small"/>
    <x v="5"/>
    <x v="3"/>
    <x v="0"/>
    <x v="0"/>
  </r>
  <r>
    <x v="0"/>
    <x v="0"/>
    <x v="0"/>
    <x v="0"/>
    <x v="0"/>
    <s v="DK1_Small"/>
    <x v="5"/>
    <x v="4"/>
    <x v="0"/>
    <x v="0"/>
  </r>
  <r>
    <x v="0"/>
    <x v="0"/>
    <x v="0"/>
    <x v="0"/>
    <x v="0"/>
    <s v="DK1_Small"/>
    <x v="5"/>
    <x v="5"/>
    <x v="0"/>
    <x v="0"/>
  </r>
  <r>
    <x v="0"/>
    <x v="0"/>
    <x v="0"/>
    <x v="0"/>
    <x v="0"/>
    <s v="DK1_Small"/>
    <x v="5"/>
    <x v="6"/>
    <x v="0"/>
    <x v="0"/>
  </r>
  <r>
    <x v="0"/>
    <x v="0"/>
    <x v="0"/>
    <x v="0"/>
    <x v="0"/>
    <s v="DK1_Small"/>
    <x v="5"/>
    <x v="7"/>
    <x v="0"/>
    <x v="0"/>
  </r>
  <r>
    <x v="0"/>
    <x v="0"/>
    <x v="0"/>
    <x v="0"/>
    <x v="0"/>
    <s v="DK1_Small"/>
    <x v="5"/>
    <x v="8"/>
    <x v="0"/>
    <x v="0"/>
  </r>
  <r>
    <x v="0"/>
    <x v="0"/>
    <x v="0"/>
    <x v="0"/>
    <x v="0"/>
    <s v="DK1_Small"/>
    <x v="5"/>
    <x v="9"/>
    <x v="0"/>
    <x v="0"/>
  </r>
  <r>
    <x v="0"/>
    <x v="0"/>
    <x v="0"/>
    <x v="0"/>
    <x v="0"/>
    <s v="DK1_Small"/>
    <x v="5"/>
    <x v="10"/>
    <x v="0"/>
    <x v="0"/>
  </r>
  <r>
    <x v="0"/>
    <x v="0"/>
    <x v="0"/>
    <x v="0"/>
    <x v="0"/>
    <s v="DK1_Small"/>
    <x v="5"/>
    <x v="11"/>
    <x v="0"/>
    <x v="0"/>
  </r>
  <r>
    <x v="0"/>
    <x v="0"/>
    <x v="0"/>
    <x v="0"/>
    <x v="0"/>
    <s v="DK1_Small"/>
    <x v="6"/>
    <x v="0"/>
    <x v="0"/>
    <x v="0"/>
  </r>
  <r>
    <x v="0"/>
    <x v="0"/>
    <x v="0"/>
    <x v="0"/>
    <x v="0"/>
    <s v="DK1_Small"/>
    <x v="6"/>
    <x v="1"/>
    <x v="0"/>
    <x v="0"/>
  </r>
  <r>
    <x v="0"/>
    <x v="0"/>
    <x v="0"/>
    <x v="0"/>
    <x v="0"/>
    <s v="DK1_Small"/>
    <x v="6"/>
    <x v="2"/>
    <x v="0"/>
    <x v="0"/>
  </r>
  <r>
    <x v="0"/>
    <x v="0"/>
    <x v="0"/>
    <x v="0"/>
    <x v="0"/>
    <s v="DK1_Small"/>
    <x v="6"/>
    <x v="3"/>
    <x v="0"/>
    <x v="0"/>
  </r>
  <r>
    <x v="0"/>
    <x v="0"/>
    <x v="0"/>
    <x v="0"/>
    <x v="0"/>
    <s v="DK1_Small"/>
    <x v="6"/>
    <x v="4"/>
    <x v="0"/>
    <x v="0"/>
  </r>
  <r>
    <x v="0"/>
    <x v="0"/>
    <x v="0"/>
    <x v="0"/>
    <x v="0"/>
    <s v="DK1_Small"/>
    <x v="6"/>
    <x v="5"/>
    <x v="0"/>
    <x v="0"/>
  </r>
  <r>
    <x v="0"/>
    <x v="0"/>
    <x v="0"/>
    <x v="0"/>
    <x v="0"/>
    <s v="DK1_Small"/>
    <x v="6"/>
    <x v="6"/>
    <x v="0"/>
    <x v="0"/>
  </r>
  <r>
    <x v="0"/>
    <x v="0"/>
    <x v="0"/>
    <x v="0"/>
    <x v="0"/>
    <s v="DK1_Small"/>
    <x v="6"/>
    <x v="7"/>
    <x v="0"/>
    <x v="0"/>
  </r>
  <r>
    <x v="0"/>
    <x v="0"/>
    <x v="0"/>
    <x v="0"/>
    <x v="0"/>
    <s v="DK1_Small"/>
    <x v="6"/>
    <x v="8"/>
    <x v="0"/>
    <x v="0"/>
  </r>
  <r>
    <x v="0"/>
    <x v="0"/>
    <x v="0"/>
    <x v="0"/>
    <x v="0"/>
    <s v="DK1_Small"/>
    <x v="6"/>
    <x v="9"/>
    <x v="0"/>
    <x v="0"/>
  </r>
  <r>
    <x v="0"/>
    <x v="0"/>
    <x v="0"/>
    <x v="0"/>
    <x v="0"/>
    <s v="DK1_Small"/>
    <x v="6"/>
    <x v="10"/>
    <x v="0"/>
    <x v="0"/>
  </r>
  <r>
    <x v="0"/>
    <x v="0"/>
    <x v="0"/>
    <x v="0"/>
    <x v="0"/>
    <s v="DK1_Small"/>
    <x v="6"/>
    <x v="11"/>
    <x v="0"/>
    <x v="0"/>
  </r>
  <r>
    <x v="0"/>
    <x v="0"/>
    <x v="0"/>
    <x v="0"/>
    <x v="0"/>
    <s v="DK1_Small"/>
    <x v="7"/>
    <x v="0"/>
    <x v="0"/>
    <x v="0"/>
  </r>
  <r>
    <x v="0"/>
    <x v="0"/>
    <x v="0"/>
    <x v="0"/>
    <x v="0"/>
    <s v="DK1_Small"/>
    <x v="7"/>
    <x v="1"/>
    <x v="0"/>
    <x v="0"/>
  </r>
  <r>
    <x v="0"/>
    <x v="0"/>
    <x v="0"/>
    <x v="0"/>
    <x v="0"/>
    <s v="DK1_Small"/>
    <x v="7"/>
    <x v="2"/>
    <x v="0"/>
    <x v="0"/>
  </r>
  <r>
    <x v="0"/>
    <x v="0"/>
    <x v="0"/>
    <x v="0"/>
    <x v="0"/>
    <s v="DK1_Small"/>
    <x v="7"/>
    <x v="3"/>
    <x v="0"/>
    <x v="0"/>
  </r>
  <r>
    <x v="0"/>
    <x v="0"/>
    <x v="0"/>
    <x v="0"/>
    <x v="0"/>
    <s v="DK1_Small"/>
    <x v="7"/>
    <x v="4"/>
    <x v="0"/>
    <x v="0"/>
  </r>
  <r>
    <x v="0"/>
    <x v="0"/>
    <x v="0"/>
    <x v="0"/>
    <x v="0"/>
    <s v="DK1_Small"/>
    <x v="7"/>
    <x v="5"/>
    <x v="0"/>
    <x v="0"/>
  </r>
  <r>
    <x v="0"/>
    <x v="0"/>
    <x v="0"/>
    <x v="0"/>
    <x v="0"/>
    <s v="DK1_Small"/>
    <x v="7"/>
    <x v="6"/>
    <x v="0"/>
    <x v="0"/>
  </r>
  <r>
    <x v="0"/>
    <x v="0"/>
    <x v="0"/>
    <x v="0"/>
    <x v="0"/>
    <s v="DK1_Small"/>
    <x v="7"/>
    <x v="7"/>
    <x v="0"/>
    <x v="0"/>
  </r>
  <r>
    <x v="0"/>
    <x v="0"/>
    <x v="0"/>
    <x v="0"/>
    <x v="0"/>
    <s v="DK1_Small"/>
    <x v="7"/>
    <x v="8"/>
    <x v="0"/>
    <x v="0"/>
  </r>
  <r>
    <x v="0"/>
    <x v="0"/>
    <x v="0"/>
    <x v="0"/>
    <x v="0"/>
    <s v="DK1_Small"/>
    <x v="7"/>
    <x v="9"/>
    <x v="0"/>
    <x v="0"/>
  </r>
  <r>
    <x v="0"/>
    <x v="0"/>
    <x v="0"/>
    <x v="0"/>
    <x v="0"/>
    <s v="DK1_Small"/>
    <x v="7"/>
    <x v="10"/>
    <x v="0"/>
    <x v="0"/>
  </r>
  <r>
    <x v="0"/>
    <x v="0"/>
    <x v="0"/>
    <x v="0"/>
    <x v="0"/>
    <s v="DK1_Small"/>
    <x v="7"/>
    <x v="11"/>
    <x v="0"/>
    <x v="0"/>
  </r>
  <r>
    <x v="0"/>
    <x v="0"/>
    <x v="0"/>
    <x v="0"/>
    <x v="0"/>
    <s v="DK1_Small"/>
    <x v="8"/>
    <x v="0"/>
    <x v="0"/>
    <x v="0"/>
  </r>
  <r>
    <x v="0"/>
    <x v="0"/>
    <x v="0"/>
    <x v="0"/>
    <x v="0"/>
    <s v="DK1_Small"/>
    <x v="8"/>
    <x v="1"/>
    <x v="0"/>
    <x v="0"/>
  </r>
  <r>
    <x v="0"/>
    <x v="0"/>
    <x v="0"/>
    <x v="0"/>
    <x v="0"/>
    <s v="DK1_Small"/>
    <x v="8"/>
    <x v="2"/>
    <x v="0"/>
    <x v="0"/>
  </r>
  <r>
    <x v="0"/>
    <x v="0"/>
    <x v="0"/>
    <x v="0"/>
    <x v="0"/>
    <s v="DK1_Small"/>
    <x v="8"/>
    <x v="3"/>
    <x v="0"/>
    <x v="0"/>
  </r>
  <r>
    <x v="0"/>
    <x v="0"/>
    <x v="0"/>
    <x v="0"/>
    <x v="0"/>
    <s v="DK1_Small"/>
    <x v="8"/>
    <x v="4"/>
    <x v="0"/>
    <x v="0"/>
  </r>
  <r>
    <x v="0"/>
    <x v="0"/>
    <x v="0"/>
    <x v="0"/>
    <x v="0"/>
    <s v="DK1_Small"/>
    <x v="8"/>
    <x v="5"/>
    <x v="0"/>
    <x v="0"/>
  </r>
  <r>
    <x v="0"/>
    <x v="0"/>
    <x v="0"/>
    <x v="0"/>
    <x v="0"/>
    <s v="DK1_Small"/>
    <x v="8"/>
    <x v="6"/>
    <x v="0"/>
    <x v="0"/>
  </r>
  <r>
    <x v="0"/>
    <x v="0"/>
    <x v="0"/>
    <x v="0"/>
    <x v="0"/>
    <s v="DK1_Small"/>
    <x v="8"/>
    <x v="7"/>
    <x v="0"/>
    <x v="0"/>
  </r>
  <r>
    <x v="0"/>
    <x v="0"/>
    <x v="0"/>
    <x v="0"/>
    <x v="0"/>
    <s v="DK1_Small"/>
    <x v="8"/>
    <x v="8"/>
    <x v="0"/>
    <x v="0"/>
  </r>
  <r>
    <x v="0"/>
    <x v="0"/>
    <x v="0"/>
    <x v="0"/>
    <x v="0"/>
    <s v="DK1_Small"/>
    <x v="8"/>
    <x v="9"/>
    <x v="0"/>
    <x v="0"/>
  </r>
  <r>
    <x v="0"/>
    <x v="0"/>
    <x v="0"/>
    <x v="0"/>
    <x v="0"/>
    <s v="DK1_Small"/>
    <x v="8"/>
    <x v="10"/>
    <x v="0"/>
    <x v="0"/>
  </r>
  <r>
    <x v="0"/>
    <x v="0"/>
    <x v="0"/>
    <x v="0"/>
    <x v="0"/>
    <s v="DK1_Small"/>
    <x v="8"/>
    <x v="11"/>
    <x v="0"/>
    <x v="0"/>
  </r>
  <r>
    <x v="0"/>
    <x v="0"/>
    <x v="0"/>
    <x v="0"/>
    <x v="0"/>
    <s v="DK1_Small"/>
    <x v="9"/>
    <x v="0"/>
    <x v="0"/>
    <x v="0"/>
  </r>
  <r>
    <x v="0"/>
    <x v="0"/>
    <x v="0"/>
    <x v="0"/>
    <x v="0"/>
    <s v="DK1_Small"/>
    <x v="9"/>
    <x v="1"/>
    <x v="0"/>
    <x v="0"/>
  </r>
  <r>
    <x v="0"/>
    <x v="0"/>
    <x v="0"/>
    <x v="0"/>
    <x v="0"/>
    <s v="DK1_Small"/>
    <x v="9"/>
    <x v="2"/>
    <x v="0"/>
    <x v="0"/>
  </r>
  <r>
    <x v="0"/>
    <x v="0"/>
    <x v="0"/>
    <x v="0"/>
    <x v="0"/>
    <s v="DK1_Small"/>
    <x v="9"/>
    <x v="3"/>
    <x v="0"/>
    <x v="0"/>
  </r>
  <r>
    <x v="0"/>
    <x v="0"/>
    <x v="0"/>
    <x v="0"/>
    <x v="0"/>
    <s v="DK1_Small"/>
    <x v="9"/>
    <x v="4"/>
    <x v="0"/>
    <x v="0"/>
  </r>
  <r>
    <x v="0"/>
    <x v="0"/>
    <x v="0"/>
    <x v="0"/>
    <x v="0"/>
    <s v="DK1_Small"/>
    <x v="9"/>
    <x v="5"/>
    <x v="0"/>
    <x v="0"/>
  </r>
  <r>
    <x v="0"/>
    <x v="0"/>
    <x v="0"/>
    <x v="0"/>
    <x v="0"/>
    <s v="DK1_Small"/>
    <x v="9"/>
    <x v="6"/>
    <x v="0"/>
    <x v="0"/>
  </r>
  <r>
    <x v="0"/>
    <x v="0"/>
    <x v="0"/>
    <x v="0"/>
    <x v="0"/>
    <s v="DK1_Small"/>
    <x v="9"/>
    <x v="7"/>
    <x v="0"/>
    <x v="0"/>
  </r>
  <r>
    <x v="0"/>
    <x v="0"/>
    <x v="0"/>
    <x v="0"/>
    <x v="0"/>
    <s v="DK1_Small"/>
    <x v="9"/>
    <x v="8"/>
    <x v="0"/>
    <x v="0"/>
  </r>
  <r>
    <x v="0"/>
    <x v="0"/>
    <x v="0"/>
    <x v="0"/>
    <x v="0"/>
    <s v="DK1_Small"/>
    <x v="9"/>
    <x v="9"/>
    <x v="0"/>
    <x v="0"/>
  </r>
  <r>
    <x v="0"/>
    <x v="0"/>
    <x v="0"/>
    <x v="0"/>
    <x v="0"/>
    <s v="DK1_Small"/>
    <x v="9"/>
    <x v="10"/>
    <x v="0"/>
    <x v="0"/>
  </r>
  <r>
    <x v="0"/>
    <x v="0"/>
    <x v="0"/>
    <x v="0"/>
    <x v="0"/>
    <s v="DK1_Small"/>
    <x v="9"/>
    <x v="11"/>
    <x v="0"/>
    <x v="0"/>
  </r>
  <r>
    <x v="0"/>
    <x v="0"/>
    <x v="0"/>
    <x v="0"/>
    <x v="0"/>
    <s v="DK1_Small"/>
    <x v="10"/>
    <x v="0"/>
    <x v="0"/>
    <x v="0"/>
  </r>
  <r>
    <x v="0"/>
    <x v="0"/>
    <x v="0"/>
    <x v="0"/>
    <x v="0"/>
    <s v="DK1_Small"/>
    <x v="10"/>
    <x v="1"/>
    <x v="0"/>
    <x v="0"/>
  </r>
  <r>
    <x v="0"/>
    <x v="0"/>
    <x v="0"/>
    <x v="0"/>
    <x v="0"/>
    <s v="DK1_Small"/>
    <x v="10"/>
    <x v="2"/>
    <x v="0"/>
    <x v="0"/>
  </r>
  <r>
    <x v="0"/>
    <x v="0"/>
    <x v="0"/>
    <x v="0"/>
    <x v="0"/>
    <s v="DK1_Small"/>
    <x v="10"/>
    <x v="3"/>
    <x v="0"/>
    <x v="0"/>
  </r>
  <r>
    <x v="0"/>
    <x v="0"/>
    <x v="0"/>
    <x v="0"/>
    <x v="0"/>
    <s v="DK1_Small"/>
    <x v="10"/>
    <x v="4"/>
    <x v="0"/>
    <x v="0"/>
  </r>
  <r>
    <x v="0"/>
    <x v="0"/>
    <x v="0"/>
    <x v="0"/>
    <x v="0"/>
    <s v="DK1_Small"/>
    <x v="10"/>
    <x v="5"/>
    <x v="0"/>
    <x v="0"/>
  </r>
  <r>
    <x v="0"/>
    <x v="0"/>
    <x v="0"/>
    <x v="0"/>
    <x v="0"/>
    <s v="DK1_Small"/>
    <x v="10"/>
    <x v="6"/>
    <x v="0"/>
    <x v="0"/>
  </r>
  <r>
    <x v="0"/>
    <x v="0"/>
    <x v="0"/>
    <x v="0"/>
    <x v="0"/>
    <s v="DK1_Small"/>
    <x v="10"/>
    <x v="7"/>
    <x v="0"/>
    <x v="0"/>
  </r>
  <r>
    <x v="0"/>
    <x v="0"/>
    <x v="0"/>
    <x v="0"/>
    <x v="0"/>
    <s v="DK1_Small"/>
    <x v="10"/>
    <x v="8"/>
    <x v="0"/>
    <x v="0"/>
  </r>
  <r>
    <x v="0"/>
    <x v="0"/>
    <x v="0"/>
    <x v="0"/>
    <x v="0"/>
    <s v="DK1_Small"/>
    <x v="10"/>
    <x v="9"/>
    <x v="0"/>
    <x v="0"/>
  </r>
  <r>
    <x v="0"/>
    <x v="0"/>
    <x v="0"/>
    <x v="0"/>
    <x v="0"/>
    <s v="DK1_Small"/>
    <x v="10"/>
    <x v="10"/>
    <x v="0"/>
    <x v="0"/>
  </r>
  <r>
    <x v="0"/>
    <x v="0"/>
    <x v="0"/>
    <x v="0"/>
    <x v="0"/>
    <s v="DK1_Small"/>
    <x v="10"/>
    <x v="11"/>
    <x v="0"/>
    <x v="0"/>
  </r>
  <r>
    <x v="0"/>
    <x v="0"/>
    <x v="0"/>
    <x v="0"/>
    <x v="0"/>
    <s v="DK1_Small"/>
    <x v="11"/>
    <x v="0"/>
    <x v="0"/>
    <x v="0"/>
  </r>
  <r>
    <x v="0"/>
    <x v="0"/>
    <x v="0"/>
    <x v="0"/>
    <x v="0"/>
    <s v="DK1_Small"/>
    <x v="11"/>
    <x v="1"/>
    <x v="0"/>
    <x v="0"/>
  </r>
  <r>
    <x v="0"/>
    <x v="0"/>
    <x v="0"/>
    <x v="0"/>
    <x v="0"/>
    <s v="DK1_Small"/>
    <x v="11"/>
    <x v="2"/>
    <x v="0"/>
    <x v="0"/>
  </r>
  <r>
    <x v="0"/>
    <x v="0"/>
    <x v="0"/>
    <x v="0"/>
    <x v="0"/>
    <s v="DK1_Small"/>
    <x v="11"/>
    <x v="3"/>
    <x v="0"/>
    <x v="0"/>
  </r>
  <r>
    <x v="0"/>
    <x v="0"/>
    <x v="0"/>
    <x v="0"/>
    <x v="0"/>
    <s v="DK1_Small"/>
    <x v="11"/>
    <x v="4"/>
    <x v="0"/>
    <x v="0"/>
  </r>
  <r>
    <x v="0"/>
    <x v="0"/>
    <x v="0"/>
    <x v="0"/>
    <x v="0"/>
    <s v="DK1_Small"/>
    <x v="11"/>
    <x v="5"/>
    <x v="0"/>
    <x v="0"/>
  </r>
  <r>
    <x v="0"/>
    <x v="0"/>
    <x v="0"/>
    <x v="0"/>
    <x v="0"/>
    <s v="DK1_Small"/>
    <x v="11"/>
    <x v="6"/>
    <x v="0"/>
    <x v="0"/>
  </r>
  <r>
    <x v="0"/>
    <x v="0"/>
    <x v="0"/>
    <x v="0"/>
    <x v="0"/>
    <s v="DK1_Small"/>
    <x v="11"/>
    <x v="7"/>
    <x v="0"/>
    <x v="0"/>
  </r>
  <r>
    <x v="0"/>
    <x v="0"/>
    <x v="0"/>
    <x v="0"/>
    <x v="0"/>
    <s v="DK1_Small"/>
    <x v="11"/>
    <x v="8"/>
    <x v="0"/>
    <x v="0"/>
  </r>
  <r>
    <x v="0"/>
    <x v="0"/>
    <x v="0"/>
    <x v="0"/>
    <x v="0"/>
    <s v="DK1_Small"/>
    <x v="11"/>
    <x v="9"/>
    <x v="0"/>
    <x v="0"/>
  </r>
  <r>
    <x v="0"/>
    <x v="0"/>
    <x v="0"/>
    <x v="0"/>
    <x v="0"/>
    <s v="DK1_Small"/>
    <x v="11"/>
    <x v="10"/>
    <x v="0"/>
    <x v="0"/>
  </r>
  <r>
    <x v="0"/>
    <x v="0"/>
    <x v="0"/>
    <x v="0"/>
    <x v="0"/>
    <s v="DK1_Small"/>
    <x v="11"/>
    <x v="11"/>
    <x v="0"/>
    <x v="0"/>
  </r>
  <r>
    <x v="0"/>
    <x v="0"/>
    <x v="0"/>
    <x v="0"/>
    <x v="1"/>
    <s v="DK2_Large"/>
    <x v="0"/>
    <x v="0"/>
    <x v="0"/>
    <x v="0"/>
  </r>
  <r>
    <x v="0"/>
    <x v="0"/>
    <x v="0"/>
    <x v="0"/>
    <x v="1"/>
    <s v="DK2_Large"/>
    <x v="0"/>
    <x v="1"/>
    <x v="0"/>
    <x v="0"/>
  </r>
  <r>
    <x v="0"/>
    <x v="0"/>
    <x v="0"/>
    <x v="0"/>
    <x v="1"/>
    <s v="DK2_Large"/>
    <x v="0"/>
    <x v="2"/>
    <x v="0"/>
    <x v="0"/>
  </r>
  <r>
    <x v="0"/>
    <x v="0"/>
    <x v="0"/>
    <x v="0"/>
    <x v="1"/>
    <s v="DK2_Large"/>
    <x v="0"/>
    <x v="3"/>
    <x v="0"/>
    <x v="0"/>
  </r>
  <r>
    <x v="0"/>
    <x v="0"/>
    <x v="0"/>
    <x v="0"/>
    <x v="1"/>
    <s v="DK2_Large"/>
    <x v="0"/>
    <x v="4"/>
    <x v="0"/>
    <x v="0"/>
  </r>
  <r>
    <x v="0"/>
    <x v="0"/>
    <x v="0"/>
    <x v="0"/>
    <x v="1"/>
    <s v="DK2_Large"/>
    <x v="0"/>
    <x v="5"/>
    <x v="0"/>
    <x v="0"/>
  </r>
  <r>
    <x v="0"/>
    <x v="0"/>
    <x v="0"/>
    <x v="0"/>
    <x v="1"/>
    <s v="DK2_Large"/>
    <x v="0"/>
    <x v="6"/>
    <x v="0"/>
    <x v="0"/>
  </r>
  <r>
    <x v="0"/>
    <x v="0"/>
    <x v="0"/>
    <x v="0"/>
    <x v="1"/>
    <s v="DK2_Large"/>
    <x v="0"/>
    <x v="7"/>
    <x v="0"/>
    <x v="0"/>
  </r>
  <r>
    <x v="0"/>
    <x v="0"/>
    <x v="0"/>
    <x v="0"/>
    <x v="1"/>
    <s v="DK2_Large"/>
    <x v="0"/>
    <x v="8"/>
    <x v="0"/>
    <x v="0"/>
  </r>
  <r>
    <x v="0"/>
    <x v="0"/>
    <x v="0"/>
    <x v="0"/>
    <x v="1"/>
    <s v="DK2_Large"/>
    <x v="0"/>
    <x v="9"/>
    <x v="0"/>
    <x v="0"/>
  </r>
  <r>
    <x v="0"/>
    <x v="0"/>
    <x v="0"/>
    <x v="0"/>
    <x v="1"/>
    <s v="DK2_Large"/>
    <x v="0"/>
    <x v="10"/>
    <x v="0"/>
    <x v="0"/>
  </r>
  <r>
    <x v="0"/>
    <x v="0"/>
    <x v="0"/>
    <x v="0"/>
    <x v="1"/>
    <s v="DK2_Large"/>
    <x v="0"/>
    <x v="11"/>
    <x v="0"/>
    <x v="0"/>
  </r>
  <r>
    <x v="0"/>
    <x v="0"/>
    <x v="0"/>
    <x v="0"/>
    <x v="1"/>
    <s v="DK2_Large"/>
    <x v="1"/>
    <x v="0"/>
    <x v="0"/>
    <x v="0"/>
  </r>
  <r>
    <x v="0"/>
    <x v="0"/>
    <x v="0"/>
    <x v="0"/>
    <x v="1"/>
    <s v="DK2_Large"/>
    <x v="1"/>
    <x v="1"/>
    <x v="0"/>
    <x v="0"/>
  </r>
  <r>
    <x v="0"/>
    <x v="0"/>
    <x v="0"/>
    <x v="0"/>
    <x v="1"/>
    <s v="DK2_Large"/>
    <x v="1"/>
    <x v="2"/>
    <x v="0"/>
    <x v="0"/>
  </r>
  <r>
    <x v="0"/>
    <x v="0"/>
    <x v="0"/>
    <x v="0"/>
    <x v="1"/>
    <s v="DK2_Large"/>
    <x v="1"/>
    <x v="3"/>
    <x v="0"/>
    <x v="0"/>
  </r>
  <r>
    <x v="0"/>
    <x v="0"/>
    <x v="0"/>
    <x v="0"/>
    <x v="1"/>
    <s v="DK2_Large"/>
    <x v="1"/>
    <x v="4"/>
    <x v="0"/>
    <x v="0"/>
  </r>
  <r>
    <x v="0"/>
    <x v="0"/>
    <x v="0"/>
    <x v="0"/>
    <x v="1"/>
    <s v="DK2_Large"/>
    <x v="1"/>
    <x v="5"/>
    <x v="0"/>
    <x v="0"/>
  </r>
  <r>
    <x v="0"/>
    <x v="0"/>
    <x v="0"/>
    <x v="0"/>
    <x v="1"/>
    <s v="DK2_Large"/>
    <x v="1"/>
    <x v="6"/>
    <x v="0"/>
    <x v="0"/>
  </r>
  <r>
    <x v="0"/>
    <x v="0"/>
    <x v="0"/>
    <x v="0"/>
    <x v="1"/>
    <s v="DK2_Large"/>
    <x v="1"/>
    <x v="7"/>
    <x v="0"/>
    <x v="0"/>
  </r>
  <r>
    <x v="0"/>
    <x v="0"/>
    <x v="0"/>
    <x v="0"/>
    <x v="1"/>
    <s v="DK2_Large"/>
    <x v="1"/>
    <x v="8"/>
    <x v="0"/>
    <x v="0"/>
  </r>
  <r>
    <x v="0"/>
    <x v="0"/>
    <x v="0"/>
    <x v="0"/>
    <x v="1"/>
    <s v="DK2_Large"/>
    <x v="1"/>
    <x v="9"/>
    <x v="0"/>
    <x v="0"/>
  </r>
  <r>
    <x v="0"/>
    <x v="0"/>
    <x v="0"/>
    <x v="0"/>
    <x v="1"/>
    <s v="DK2_Large"/>
    <x v="1"/>
    <x v="10"/>
    <x v="0"/>
    <x v="0"/>
  </r>
  <r>
    <x v="0"/>
    <x v="0"/>
    <x v="0"/>
    <x v="0"/>
    <x v="1"/>
    <s v="DK2_Large"/>
    <x v="1"/>
    <x v="11"/>
    <x v="0"/>
    <x v="0"/>
  </r>
  <r>
    <x v="0"/>
    <x v="0"/>
    <x v="0"/>
    <x v="0"/>
    <x v="1"/>
    <s v="DK2_Large"/>
    <x v="2"/>
    <x v="0"/>
    <x v="0"/>
    <x v="0"/>
  </r>
  <r>
    <x v="0"/>
    <x v="0"/>
    <x v="0"/>
    <x v="0"/>
    <x v="1"/>
    <s v="DK2_Large"/>
    <x v="2"/>
    <x v="1"/>
    <x v="0"/>
    <x v="0"/>
  </r>
  <r>
    <x v="0"/>
    <x v="0"/>
    <x v="0"/>
    <x v="0"/>
    <x v="1"/>
    <s v="DK2_Large"/>
    <x v="2"/>
    <x v="2"/>
    <x v="0"/>
    <x v="0"/>
  </r>
  <r>
    <x v="0"/>
    <x v="0"/>
    <x v="0"/>
    <x v="0"/>
    <x v="1"/>
    <s v="DK2_Large"/>
    <x v="2"/>
    <x v="3"/>
    <x v="0"/>
    <x v="0"/>
  </r>
  <r>
    <x v="0"/>
    <x v="0"/>
    <x v="0"/>
    <x v="0"/>
    <x v="1"/>
    <s v="DK2_Large"/>
    <x v="2"/>
    <x v="4"/>
    <x v="0"/>
    <x v="0"/>
  </r>
  <r>
    <x v="0"/>
    <x v="0"/>
    <x v="0"/>
    <x v="0"/>
    <x v="1"/>
    <s v="DK2_Large"/>
    <x v="2"/>
    <x v="5"/>
    <x v="0"/>
    <x v="0"/>
  </r>
  <r>
    <x v="0"/>
    <x v="0"/>
    <x v="0"/>
    <x v="0"/>
    <x v="1"/>
    <s v="DK2_Large"/>
    <x v="2"/>
    <x v="6"/>
    <x v="0"/>
    <x v="0"/>
  </r>
  <r>
    <x v="0"/>
    <x v="0"/>
    <x v="0"/>
    <x v="0"/>
    <x v="1"/>
    <s v="DK2_Large"/>
    <x v="2"/>
    <x v="7"/>
    <x v="0"/>
    <x v="0"/>
  </r>
  <r>
    <x v="0"/>
    <x v="0"/>
    <x v="0"/>
    <x v="0"/>
    <x v="1"/>
    <s v="DK2_Large"/>
    <x v="2"/>
    <x v="8"/>
    <x v="0"/>
    <x v="0"/>
  </r>
  <r>
    <x v="0"/>
    <x v="0"/>
    <x v="0"/>
    <x v="0"/>
    <x v="1"/>
    <s v="DK2_Large"/>
    <x v="2"/>
    <x v="9"/>
    <x v="0"/>
    <x v="0"/>
  </r>
  <r>
    <x v="0"/>
    <x v="0"/>
    <x v="0"/>
    <x v="0"/>
    <x v="1"/>
    <s v="DK2_Large"/>
    <x v="2"/>
    <x v="10"/>
    <x v="0"/>
    <x v="0"/>
  </r>
  <r>
    <x v="0"/>
    <x v="0"/>
    <x v="0"/>
    <x v="0"/>
    <x v="1"/>
    <s v="DK2_Large"/>
    <x v="2"/>
    <x v="11"/>
    <x v="0"/>
    <x v="0"/>
  </r>
  <r>
    <x v="0"/>
    <x v="0"/>
    <x v="0"/>
    <x v="0"/>
    <x v="1"/>
    <s v="DK2_Large"/>
    <x v="3"/>
    <x v="0"/>
    <x v="0"/>
    <x v="0"/>
  </r>
  <r>
    <x v="0"/>
    <x v="0"/>
    <x v="0"/>
    <x v="0"/>
    <x v="1"/>
    <s v="DK2_Large"/>
    <x v="3"/>
    <x v="1"/>
    <x v="0"/>
    <x v="0"/>
  </r>
  <r>
    <x v="0"/>
    <x v="0"/>
    <x v="0"/>
    <x v="0"/>
    <x v="1"/>
    <s v="DK2_Large"/>
    <x v="3"/>
    <x v="2"/>
    <x v="0"/>
    <x v="0"/>
  </r>
  <r>
    <x v="0"/>
    <x v="0"/>
    <x v="0"/>
    <x v="0"/>
    <x v="1"/>
    <s v="DK2_Large"/>
    <x v="3"/>
    <x v="3"/>
    <x v="0"/>
    <x v="0"/>
  </r>
  <r>
    <x v="0"/>
    <x v="0"/>
    <x v="0"/>
    <x v="0"/>
    <x v="1"/>
    <s v="DK2_Large"/>
    <x v="3"/>
    <x v="4"/>
    <x v="0"/>
    <x v="0"/>
  </r>
  <r>
    <x v="0"/>
    <x v="0"/>
    <x v="0"/>
    <x v="0"/>
    <x v="1"/>
    <s v="DK2_Large"/>
    <x v="3"/>
    <x v="5"/>
    <x v="0"/>
    <x v="0"/>
  </r>
  <r>
    <x v="0"/>
    <x v="0"/>
    <x v="0"/>
    <x v="0"/>
    <x v="1"/>
    <s v="DK2_Large"/>
    <x v="3"/>
    <x v="6"/>
    <x v="0"/>
    <x v="0"/>
  </r>
  <r>
    <x v="0"/>
    <x v="0"/>
    <x v="0"/>
    <x v="0"/>
    <x v="1"/>
    <s v="DK2_Large"/>
    <x v="3"/>
    <x v="7"/>
    <x v="0"/>
    <x v="0"/>
  </r>
  <r>
    <x v="0"/>
    <x v="0"/>
    <x v="0"/>
    <x v="0"/>
    <x v="1"/>
    <s v="DK2_Large"/>
    <x v="3"/>
    <x v="8"/>
    <x v="0"/>
    <x v="0"/>
  </r>
  <r>
    <x v="0"/>
    <x v="0"/>
    <x v="0"/>
    <x v="0"/>
    <x v="1"/>
    <s v="DK2_Large"/>
    <x v="3"/>
    <x v="9"/>
    <x v="0"/>
    <x v="0"/>
  </r>
  <r>
    <x v="0"/>
    <x v="0"/>
    <x v="0"/>
    <x v="0"/>
    <x v="1"/>
    <s v="DK2_Large"/>
    <x v="3"/>
    <x v="10"/>
    <x v="0"/>
    <x v="0"/>
  </r>
  <r>
    <x v="0"/>
    <x v="0"/>
    <x v="0"/>
    <x v="0"/>
    <x v="1"/>
    <s v="DK2_Large"/>
    <x v="3"/>
    <x v="11"/>
    <x v="0"/>
    <x v="0"/>
  </r>
  <r>
    <x v="0"/>
    <x v="0"/>
    <x v="0"/>
    <x v="0"/>
    <x v="1"/>
    <s v="DK2_Large"/>
    <x v="4"/>
    <x v="0"/>
    <x v="0"/>
    <x v="0"/>
  </r>
  <r>
    <x v="0"/>
    <x v="0"/>
    <x v="0"/>
    <x v="0"/>
    <x v="1"/>
    <s v="DK2_Large"/>
    <x v="4"/>
    <x v="1"/>
    <x v="0"/>
    <x v="0"/>
  </r>
  <r>
    <x v="0"/>
    <x v="0"/>
    <x v="0"/>
    <x v="0"/>
    <x v="1"/>
    <s v="DK2_Large"/>
    <x v="4"/>
    <x v="2"/>
    <x v="0"/>
    <x v="0"/>
  </r>
  <r>
    <x v="0"/>
    <x v="0"/>
    <x v="0"/>
    <x v="0"/>
    <x v="1"/>
    <s v="DK2_Large"/>
    <x v="4"/>
    <x v="3"/>
    <x v="0"/>
    <x v="0"/>
  </r>
  <r>
    <x v="0"/>
    <x v="0"/>
    <x v="0"/>
    <x v="0"/>
    <x v="1"/>
    <s v="DK2_Large"/>
    <x v="4"/>
    <x v="4"/>
    <x v="0"/>
    <x v="0"/>
  </r>
  <r>
    <x v="0"/>
    <x v="0"/>
    <x v="0"/>
    <x v="0"/>
    <x v="1"/>
    <s v="DK2_Large"/>
    <x v="4"/>
    <x v="5"/>
    <x v="0"/>
    <x v="0"/>
  </r>
  <r>
    <x v="0"/>
    <x v="0"/>
    <x v="0"/>
    <x v="0"/>
    <x v="1"/>
    <s v="DK2_Large"/>
    <x v="4"/>
    <x v="6"/>
    <x v="0"/>
    <x v="0"/>
  </r>
  <r>
    <x v="0"/>
    <x v="0"/>
    <x v="0"/>
    <x v="0"/>
    <x v="1"/>
    <s v="DK2_Large"/>
    <x v="4"/>
    <x v="7"/>
    <x v="0"/>
    <x v="0"/>
  </r>
  <r>
    <x v="0"/>
    <x v="0"/>
    <x v="0"/>
    <x v="0"/>
    <x v="1"/>
    <s v="DK2_Large"/>
    <x v="4"/>
    <x v="8"/>
    <x v="0"/>
    <x v="0"/>
  </r>
  <r>
    <x v="0"/>
    <x v="0"/>
    <x v="0"/>
    <x v="0"/>
    <x v="1"/>
    <s v="DK2_Large"/>
    <x v="4"/>
    <x v="9"/>
    <x v="0"/>
    <x v="0"/>
  </r>
  <r>
    <x v="0"/>
    <x v="0"/>
    <x v="0"/>
    <x v="0"/>
    <x v="1"/>
    <s v="DK2_Large"/>
    <x v="4"/>
    <x v="10"/>
    <x v="0"/>
    <x v="0"/>
  </r>
  <r>
    <x v="0"/>
    <x v="0"/>
    <x v="0"/>
    <x v="0"/>
    <x v="1"/>
    <s v="DK2_Large"/>
    <x v="4"/>
    <x v="11"/>
    <x v="0"/>
    <x v="0"/>
  </r>
  <r>
    <x v="0"/>
    <x v="0"/>
    <x v="0"/>
    <x v="0"/>
    <x v="1"/>
    <s v="DK2_Large"/>
    <x v="5"/>
    <x v="0"/>
    <x v="0"/>
    <x v="0"/>
  </r>
  <r>
    <x v="0"/>
    <x v="0"/>
    <x v="0"/>
    <x v="0"/>
    <x v="1"/>
    <s v="DK2_Large"/>
    <x v="5"/>
    <x v="1"/>
    <x v="0"/>
    <x v="0"/>
  </r>
  <r>
    <x v="0"/>
    <x v="0"/>
    <x v="0"/>
    <x v="0"/>
    <x v="1"/>
    <s v="DK2_Large"/>
    <x v="5"/>
    <x v="2"/>
    <x v="0"/>
    <x v="0"/>
  </r>
  <r>
    <x v="0"/>
    <x v="0"/>
    <x v="0"/>
    <x v="0"/>
    <x v="1"/>
    <s v="DK2_Large"/>
    <x v="5"/>
    <x v="3"/>
    <x v="0"/>
    <x v="0"/>
  </r>
  <r>
    <x v="0"/>
    <x v="0"/>
    <x v="0"/>
    <x v="0"/>
    <x v="1"/>
    <s v="DK2_Large"/>
    <x v="5"/>
    <x v="4"/>
    <x v="0"/>
    <x v="0"/>
  </r>
  <r>
    <x v="0"/>
    <x v="0"/>
    <x v="0"/>
    <x v="0"/>
    <x v="1"/>
    <s v="DK2_Large"/>
    <x v="5"/>
    <x v="5"/>
    <x v="0"/>
    <x v="0"/>
  </r>
  <r>
    <x v="0"/>
    <x v="0"/>
    <x v="0"/>
    <x v="0"/>
    <x v="1"/>
    <s v="DK2_Large"/>
    <x v="5"/>
    <x v="6"/>
    <x v="0"/>
    <x v="0"/>
  </r>
  <r>
    <x v="0"/>
    <x v="0"/>
    <x v="0"/>
    <x v="0"/>
    <x v="1"/>
    <s v="DK2_Large"/>
    <x v="5"/>
    <x v="7"/>
    <x v="0"/>
    <x v="0"/>
  </r>
  <r>
    <x v="0"/>
    <x v="0"/>
    <x v="0"/>
    <x v="0"/>
    <x v="1"/>
    <s v="DK2_Large"/>
    <x v="5"/>
    <x v="8"/>
    <x v="0"/>
    <x v="0"/>
  </r>
  <r>
    <x v="0"/>
    <x v="0"/>
    <x v="0"/>
    <x v="0"/>
    <x v="1"/>
    <s v="DK2_Large"/>
    <x v="5"/>
    <x v="9"/>
    <x v="0"/>
    <x v="0"/>
  </r>
  <r>
    <x v="0"/>
    <x v="0"/>
    <x v="0"/>
    <x v="0"/>
    <x v="1"/>
    <s v="DK2_Large"/>
    <x v="5"/>
    <x v="10"/>
    <x v="0"/>
    <x v="0"/>
  </r>
  <r>
    <x v="0"/>
    <x v="0"/>
    <x v="0"/>
    <x v="0"/>
    <x v="1"/>
    <s v="DK2_Large"/>
    <x v="5"/>
    <x v="11"/>
    <x v="0"/>
    <x v="0"/>
  </r>
  <r>
    <x v="0"/>
    <x v="0"/>
    <x v="0"/>
    <x v="0"/>
    <x v="1"/>
    <s v="DK2_Large"/>
    <x v="6"/>
    <x v="0"/>
    <x v="0"/>
    <x v="0"/>
  </r>
  <r>
    <x v="0"/>
    <x v="0"/>
    <x v="0"/>
    <x v="0"/>
    <x v="1"/>
    <s v="DK2_Large"/>
    <x v="6"/>
    <x v="1"/>
    <x v="0"/>
    <x v="0"/>
  </r>
  <r>
    <x v="0"/>
    <x v="0"/>
    <x v="0"/>
    <x v="0"/>
    <x v="1"/>
    <s v="DK2_Large"/>
    <x v="6"/>
    <x v="2"/>
    <x v="0"/>
    <x v="0"/>
  </r>
  <r>
    <x v="0"/>
    <x v="0"/>
    <x v="0"/>
    <x v="0"/>
    <x v="1"/>
    <s v="DK2_Large"/>
    <x v="6"/>
    <x v="3"/>
    <x v="0"/>
    <x v="0"/>
  </r>
  <r>
    <x v="0"/>
    <x v="0"/>
    <x v="0"/>
    <x v="0"/>
    <x v="1"/>
    <s v="DK2_Large"/>
    <x v="6"/>
    <x v="4"/>
    <x v="0"/>
    <x v="0"/>
  </r>
  <r>
    <x v="0"/>
    <x v="0"/>
    <x v="0"/>
    <x v="0"/>
    <x v="1"/>
    <s v="DK2_Large"/>
    <x v="6"/>
    <x v="5"/>
    <x v="0"/>
    <x v="0"/>
  </r>
  <r>
    <x v="0"/>
    <x v="0"/>
    <x v="0"/>
    <x v="0"/>
    <x v="1"/>
    <s v="DK2_Large"/>
    <x v="6"/>
    <x v="6"/>
    <x v="0"/>
    <x v="0"/>
  </r>
  <r>
    <x v="0"/>
    <x v="0"/>
    <x v="0"/>
    <x v="0"/>
    <x v="1"/>
    <s v="DK2_Large"/>
    <x v="6"/>
    <x v="7"/>
    <x v="0"/>
    <x v="0"/>
  </r>
  <r>
    <x v="0"/>
    <x v="0"/>
    <x v="0"/>
    <x v="0"/>
    <x v="1"/>
    <s v="DK2_Large"/>
    <x v="6"/>
    <x v="8"/>
    <x v="0"/>
    <x v="0"/>
  </r>
  <r>
    <x v="0"/>
    <x v="0"/>
    <x v="0"/>
    <x v="0"/>
    <x v="1"/>
    <s v="DK2_Large"/>
    <x v="6"/>
    <x v="9"/>
    <x v="0"/>
    <x v="0"/>
  </r>
  <r>
    <x v="0"/>
    <x v="0"/>
    <x v="0"/>
    <x v="0"/>
    <x v="1"/>
    <s v="DK2_Large"/>
    <x v="6"/>
    <x v="10"/>
    <x v="0"/>
    <x v="0"/>
  </r>
  <r>
    <x v="0"/>
    <x v="0"/>
    <x v="0"/>
    <x v="0"/>
    <x v="1"/>
    <s v="DK2_Large"/>
    <x v="6"/>
    <x v="11"/>
    <x v="0"/>
    <x v="0"/>
  </r>
  <r>
    <x v="0"/>
    <x v="0"/>
    <x v="0"/>
    <x v="0"/>
    <x v="1"/>
    <s v="DK2_Large"/>
    <x v="7"/>
    <x v="0"/>
    <x v="0"/>
    <x v="0"/>
  </r>
  <r>
    <x v="0"/>
    <x v="0"/>
    <x v="0"/>
    <x v="0"/>
    <x v="1"/>
    <s v="DK2_Large"/>
    <x v="7"/>
    <x v="1"/>
    <x v="0"/>
    <x v="0"/>
  </r>
  <r>
    <x v="0"/>
    <x v="0"/>
    <x v="0"/>
    <x v="0"/>
    <x v="1"/>
    <s v="DK2_Large"/>
    <x v="7"/>
    <x v="2"/>
    <x v="0"/>
    <x v="0"/>
  </r>
  <r>
    <x v="0"/>
    <x v="0"/>
    <x v="0"/>
    <x v="0"/>
    <x v="1"/>
    <s v="DK2_Large"/>
    <x v="7"/>
    <x v="3"/>
    <x v="0"/>
    <x v="0"/>
  </r>
  <r>
    <x v="0"/>
    <x v="0"/>
    <x v="0"/>
    <x v="0"/>
    <x v="1"/>
    <s v="DK2_Large"/>
    <x v="7"/>
    <x v="4"/>
    <x v="0"/>
    <x v="0"/>
  </r>
  <r>
    <x v="0"/>
    <x v="0"/>
    <x v="0"/>
    <x v="0"/>
    <x v="1"/>
    <s v="DK2_Large"/>
    <x v="7"/>
    <x v="5"/>
    <x v="0"/>
    <x v="0"/>
  </r>
  <r>
    <x v="0"/>
    <x v="0"/>
    <x v="0"/>
    <x v="0"/>
    <x v="1"/>
    <s v="DK2_Large"/>
    <x v="7"/>
    <x v="6"/>
    <x v="0"/>
    <x v="0"/>
  </r>
  <r>
    <x v="0"/>
    <x v="0"/>
    <x v="0"/>
    <x v="0"/>
    <x v="1"/>
    <s v="DK2_Large"/>
    <x v="7"/>
    <x v="7"/>
    <x v="0"/>
    <x v="0"/>
  </r>
  <r>
    <x v="0"/>
    <x v="0"/>
    <x v="0"/>
    <x v="0"/>
    <x v="1"/>
    <s v="DK2_Large"/>
    <x v="7"/>
    <x v="8"/>
    <x v="0"/>
    <x v="0"/>
  </r>
  <r>
    <x v="0"/>
    <x v="0"/>
    <x v="0"/>
    <x v="0"/>
    <x v="1"/>
    <s v="DK2_Large"/>
    <x v="7"/>
    <x v="9"/>
    <x v="0"/>
    <x v="0"/>
  </r>
  <r>
    <x v="0"/>
    <x v="0"/>
    <x v="0"/>
    <x v="0"/>
    <x v="1"/>
    <s v="DK2_Large"/>
    <x v="7"/>
    <x v="10"/>
    <x v="0"/>
    <x v="0"/>
  </r>
  <r>
    <x v="0"/>
    <x v="0"/>
    <x v="0"/>
    <x v="0"/>
    <x v="1"/>
    <s v="DK2_Large"/>
    <x v="7"/>
    <x v="11"/>
    <x v="0"/>
    <x v="0"/>
  </r>
  <r>
    <x v="0"/>
    <x v="0"/>
    <x v="0"/>
    <x v="0"/>
    <x v="1"/>
    <s v="DK2_Large"/>
    <x v="8"/>
    <x v="0"/>
    <x v="0"/>
    <x v="0"/>
  </r>
  <r>
    <x v="0"/>
    <x v="0"/>
    <x v="0"/>
    <x v="0"/>
    <x v="1"/>
    <s v="DK2_Large"/>
    <x v="8"/>
    <x v="1"/>
    <x v="0"/>
    <x v="0"/>
  </r>
  <r>
    <x v="0"/>
    <x v="0"/>
    <x v="0"/>
    <x v="0"/>
    <x v="1"/>
    <s v="DK2_Large"/>
    <x v="8"/>
    <x v="2"/>
    <x v="0"/>
    <x v="0"/>
  </r>
  <r>
    <x v="0"/>
    <x v="0"/>
    <x v="0"/>
    <x v="0"/>
    <x v="1"/>
    <s v="DK2_Large"/>
    <x v="8"/>
    <x v="3"/>
    <x v="0"/>
    <x v="0"/>
  </r>
  <r>
    <x v="0"/>
    <x v="0"/>
    <x v="0"/>
    <x v="0"/>
    <x v="1"/>
    <s v="DK2_Large"/>
    <x v="8"/>
    <x v="4"/>
    <x v="0"/>
    <x v="0"/>
  </r>
  <r>
    <x v="0"/>
    <x v="0"/>
    <x v="0"/>
    <x v="0"/>
    <x v="1"/>
    <s v="DK2_Large"/>
    <x v="8"/>
    <x v="5"/>
    <x v="0"/>
    <x v="0"/>
  </r>
  <r>
    <x v="0"/>
    <x v="0"/>
    <x v="0"/>
    <x v="0"/>
    <x v="1"/>
    <s v="DK2_Large"/>
    <x v="8"/>
    <x v="6"/>
    <x v="0"/>
    <x v="0"/>
  </r>
  <r>
    <x v="0"/>
    <x v="0"/>
    <x v="0"/>
    <x v="0"/>
    <x v="1"/>
    <s v="DK2_Large"/>
    <x v="8"/>
    <x v="7"/>
    <x v="0"/>
    <x v="0"/>
  </r>
  <r>
    <x v="0"/>
    <x v="0"/>
    <x v="0"/>
    <x v="0"/>
    <x v="1"/>
    <s v="DK2_Large"/>
    <x v="8"/>
    <x v="8"/>
    <x v="0"/>
    <x v="0"/>
  </r>
  <r>
    <x v="0"/>
    <x v="0"/>
    <x v="0"/>
    <x v="0"/>
    <x v="1"/>
    <s v="DK2_Large"/>
    <x v="8"/>
    <x v="9"/>
    <x v="0"/>
    <x v="0"/>
  </r>
  <r>
    <x v="0"/>
    <x v="0"/>
    <x v="0"/>
    <x v="0"/>
    <x v="1"/>
    <s v="DK2_Large"/>
    <x v="8"/>
    <x v="10"/>
    <x v="0"/>
    <x v="0"/>
  </r>
  <r>
    <x v="0"/>
    <x v="0"/>
    <x v="0"/>
    <x v="0"/>
    <x v="1"/>
    <s v="DK2_Large"/>
    <x v="8"/>
    <x v="11"/>
    <x v="0"/>
    <x v="0"/>
  </r>
  <r>
    <x v="0"/>
    <x v="0"/>
    <x v="0"/>
    <x v="0"/>
    <x v="1"/>
    <s v="DK2_Large"/>
    <x v="9"/>
    <x v="0"/>
    <x v="0"/>
    <x v="0"/>
  </r>
  <r>
    <x v="0"/>
    <x v="0"/>
    <x v="0"/>
    <x v="0"/>
    <x v="1"/>
    <s v="DK2_Large"/>
    <x v="9"/>
    <x v="1"/>
    <x v="0"/>
    <x v="0"/>
  </r>
  <r>
    <x v="0"/>
    <x v="0"/>
    <x v="0"/>
    <x v="0"/>
    <x v="1"/>
    <s v="DK2_Large"/>
    <x v="9"/>
    <x v="2"/>
    <x v="0"/>
    <x v="0"/>
  </r>
  <r>
    <x v="0"/>
    <x v="0"/>
    <x v="0"/>
    <x v="0"/>
    <x v="1"/>
    <s v="DK2_Large"/>
    <x v="9"/>
    <x v="3"/>
    <x v="0"/>
    <x v="0"/>
  </r>
  <r>
    <x v="0"/>
    <x v="0"/>
    <x v="0"/>
    <x v="0"/>
    <x v="1"/>
    <s v="DK2_Large"/>
    <x v="9"/>
    <x v="4"/>
    <x v="0"/>
    <x v="0"/>
  </r>
  <r>
    <x v="0"/>
    <x v="0"/>
    <x v="0"/>
    <x v="0"/>
    <x v="1"/>
    <s v="DK2_Large"/>
    <x v="9"/>
    <x v="5"/>
    <x v="0"/>
    <x v="0"/>
  </r>
  <r>
    <x v="0"/>
    <x v="0"/>
    <x v="0"/>
    <x v="0"/>
    <x v="1"/>
    <s v="DK2_Large"/>
    <x v="9"/>
    <x v="6"/>
    <x v="0"/>
    <x v="0"/>
  </r>
  <r>
    <x v="0"/>
    <x v="0"/>
    <x v="0"/>
    <x v="0"/>
    <x v="1"/>
    <s v="DK2_Large"/>
    <x v="9"/>
    <x v="7"/>
    <x v="0"/>
    <x v="0"/>
  </r>
  <r>
    <x v="0"/>
    <x v="0"/>
    <x v="0"/>
    <x v="0"/>
    <x v="1"/>
    <s v="DK2_Large"/>
    <x v="9"/>
    <x v="8"/>
    <x v="0"/>
    <x v="0"/>
  </r>
  <r>
    <x v="0"/>
    <x v="0"/>
    <x v="0"/>
    <x v="0"/>
    <x v="1"/>
    <s v="DK2_Large"/>
    <x v="9"/>
    <x v="9"/>
    <x v="0"/>
    <x v="0"/>
  </r>
  <r>
    <x v="0"/>
    <x v="0"/>
    <x v="0"/>
    <x v="0"/>
    <x v="1"/>
    <s v="DK2_Large"/>
    <x v="9"/>
    <x v="10"/>
    <x v="0"/>
    <x v="0"/>
  </r>
  <r>
    <x v="0"/>
    <x v="0"/>
    <x v="0"/>
    <x v="0"/>
    <x v="1"/>
    <s v="DK2_Large"/>
    <x v="9"/>
    <x v="11"/>
    <x v="0"/>
    <x v="0"/>
  </r>
  <r>
    <x v="0"/>
    <x v="0"/>
    <x v="0"/>
    <x v="0"/>
    <x v="1"/>
    <s v="DK2_Large"/>
    <x v="10"/>
    <x v="0"/>
    <x v="0"/>
    <x v="0"/>
  </r>
  <r>
    <x v="0"/>
    <x v="0"/>
    <x v="0"/>
    <x v="0"/>
    <x v="1"/>
    <s v="DK2_Large"/>
    <x v="10"/>
    <x v="1"/>
    <x v="0"/>
    <x v="0"/>
  </r>
  <r>
    <x v="0"/>
    <x v="0"/>
    <x v="0"/>
    <x v="0"/>
    <x v="1"/>
    <s v="DK2_Large"/>
    <x v="10"/>
    <x v="2"/>
    <x v="0"/>
    <x v="0"/>
  </r>
  <r>
    <x v="0"/>
    <x v="0"/>
    <x v="0"/>
    <x v="0"/>
    <x v="1"/>
    <s v="DK2_Large"/>
    <x v="10"/>
    <x v="3"/>
    <x v="0"/>
    <x v="0"/>
  </r>
  <r>
    <x v="0"/>
    <x v="0"/>
    <x v="0"/>
    <x v="0"/>
    <x v="1"/>
    <s v="DK2_Large"/>
    <x v="10"/>
    <x v="4"/>
    <x v="0"/>
    <x v="0"/>
  </r>
  <r>
    <x v="0"/>
    <x v="0"/>
    <x v="0"/>
    <x v="0"/>
    <x v="1"/>
    <s v="DK2_Large"/>
    <x v="10"/>
    <x v="5"/>
    <x v="0"/>
    <x v="0"/>
  </r>
  <r>
    <x v="0"/>
    <x v="0"/>
    <x v="0"/>
    <x v="0"/>
    <x v="1"/>
    <s v="DK2_Large"/>
    <x v="10"/>
    <x v="6"/>
    <x v="0"/>
    <x v="0"/>
  </r>
  <r>
    <x v="0"/>
    <x v="0"/>
    <x v="0"/>
    <x v="0"/>
    <x v="1"/>
    <s v="DK2_Large"/>
    <x v="10"/>
    <x v="7"/>
    <x v="0"/>
    <x v="0"/>
  </r>
  <r>
    <x v="0"/>
    <x v="0"/>
    <x v="0"/>
    <x v="0"/>
    <x v="1"/>
    <s v="DK2_Large"/>
    <x v="10"/>
    <x v="8"/>
    <x v="0"/>
    <x v="0"/>
  </r>
  <r>
    <x v="0"/>
    <x v="0"/>
    <x v="0"/>
    <x v="0"/>
    <x v="1"/>
    <s v="DK2_Large"/>
    <x v="10"/>
    <x v="9"/>
    <x v="0"/>
    <x v="0"/>
  </r>
  <r>
    <x v="0"/>
    <x v="0"/>
    <x v="0"/>
    <x v="0"/>
    <x v="1"/>
    <s v="DK2_Large"/>
    <x v="10"/>
    <x v="10"/>
    <x v="0"/>
    <x v="0"/>
  </r>
  <r>
    <x v="0"/>
    <x v="0"/>
    <x v="0"/>
    <x v="0"/>
    <x v="1"/>
    <s v="DK2_Large"/>
    <x v="10"/>
    <x v="11"/>
    <x v="0"/>
    <x v="0"/>
  </r>
  <r>
    <x v="0"/>
    <x v="0"/>
    <x v="0"/>
    <x v="0"/>
    <x v="1"/>
    <s v="DK2_Large"/>
    <x v="11"/>
    <x v="0"/>
    <x v="0"/>
    <x v="0"/>
  </r>
  <r>
    <x v="0"/>
    <x v="0"/>
    <x v="0"/>
    <x v="0"/>
    <x v="1"/>
    <s v="DK2_Large"/>
    <x v="11"/>
    <x v="1"/>
    <x v="0"/>
    <x v="0"/>
  </r>
  <r>
    <x v="0"/>
    <x v="0"/>
    <x v="0"/>
    <x v="0"/>
    <x v="1"/>
    <s v="DK2_Large"/>
    <x v="11"/>
    <x v="2"/>
    <x v="0"/>
    <x v="0"/>
  </r>
  <r>
    <x v="0"/>
    <x v="0"/>
    <x v="0"/>
    <x v="0"/>
    <x v="1"/>
    <s v="DK2_Large"/>
    <x v="11"/>
    <x v="3"/>
    <x v="0"/>
    <x v="0"/>
  </r>
  <r>
    <x v="0"/>
    <x v="0"/>
    <x v="0"/>
    <x v="0"/>
    <x v="1"/>
    <s v="DK2_Large"/>
    <x v="11"/>
    <x v="4"/>
    <x v="0"/>
    <x v="0"/>
  </r>
  <r>
    <x v="0"/>
    <x v="0"/>
    <x v="0"/>
    <x v="0"/>
    <x v="1"/>
    <s v="DK2_Large"/>
    <x v="11"/>
    <x v="5"/>
    <x v="0"/>
    <x v="0"/>
  </r>
  <r>
    <x v="0"/>
    <x v="0"/>
    <x v="0"/>
    <x v="0"/>
    <x v="1"/>
    <s v="DK2_Large"/>
    <x v="11"/>
    <x v="6"/>
    <x v="0"/>
    <x v="0"/>
  </r>
  <r>
    <x v="0"/>
    <x v="0"/>
    <x v="0"/>
    <x v="0"/>
    <x v="1"/>
    <s v="DK2_Large"/>
    <x v="11"/>
    <x v="7"/>
    <x v="0"/>
    <x v="0"/>
  </r>
  <r>
    <x v="0"/>
    <x v="0"/>
    <x v="0"/>
    <x v="0"/>
    <x v="1"/>
    <s v="DK2_Large"/>
    <x v="11"/>
    <x v="8"/>
    <x v="0"/>
    <x v="0"/>
  </r>
  <r>
    <x v="0"/>
    <x v="0"/>
    <x v="0"/>
    <x v="0"/>
    <x v="1"/>
    <s v="DK2_Large"/>
    <x v="11"/>
    <x v="9"/>
    <x v="0"/>
    <x v="0"/>
  </r>
  <r>
    <x v="0"/>
    <x v="0"/>
    <x v="0"/>
    <x v="0"/>
    <x v="1"/>
    <s v="DK2_Large"/>
    <x v="11"/>
    <x v="10"/>
    <x v="0"/>
    <x v="0"/>
  </r>
  <r>
    <x v="0"/>
    <x v="0"/>
    <x v="0"/>
    <x v="0"/>
    <x v="1"/>
    <s v="DK2_Large"/>
    <x v="11"/>
    <x v="11"/>
    <x v="0"/>
    <x v="0"/>
  </r>
  <r>
    <x v="0"/>
    <x v="0"/>
    <x v="0"/>
    <x v="0"/>
    <x v="1"/>
    <s v="DK2_MedSmall"/>
    <x v="0"/>
    <x v="0"/>
    <x v="0"/>
    <x v="0"/>
  </r>
  <r>
    <x v="0"/>
    <x v="0"/>
    <x v="0"/>
    <x v="0"/>
    <x v="1"/>
    <s v="DK2_MedSmall"/>
    <x v="0"/>
    <x v="1"/>
    <x v="0"/>
    <x v="0"/>
  </r>
  <r>
    <x v="0"/>
    <x v="0"/>
    <x v="0"/>
    <x v="0"/>
    <x v="1"/>
    <s v="DK2_MedSmall"/>
    <x v="0"/>
    <x v="2"/>
    <x v="0"/>
    <x v="0"/>
  </r>
  <r>
    <x v="0"/>
    <x v="0"/>
    <x v="0"/>
    <x v="0"/>
    <x v="1"/>
    <s v="DK2_MedSmall"/>
    <x v="0"/>
    <x v="3"/>
    <x v="0"/>
    <x v="0"/>
  </r>
  <r>
    <x v="0"/>
    <x v="0"/>
    <x v="0"/>
    <x v="0"/>
    <x v="1"/>
    <s v="DK2_MedSmall"/>
    <x v="0"/>
    <x v="4"/>
    <x v="0"/>
    <x v="0"/>
  </r>
  <r>
    <x v="0"/>
    <x v="0"/>
    <x v="0"/>
    <x v="0"/>
    <x v="1"/>
    <s v="DK2_MedSmall"/>
    <x v="0"/>
    <x v="5"/>
    <x v="0"/>
    <x v="0"/>
  </r>
  <r>
    <x v="0"/>
    <x v="0"/>
    <x v="0"/>
    <x v="0"/>
    <x v="1"/>
    <s v="DK2_MedSmall"/>
    <x v="0"/>
    <x v="6"/>
    <x v="0"/>
    <x v="0"/>
  </r>
  <r>
    <x v="0"/>
    <x v="0"/>
    <x v="0"/>
    <x v="0"/>
    <x v="1"/>
    <s v="DK2_MedSmall"/>
    <x v="0"/>
    <x v="7"/>
    <x v="0"/>
    <x v="0"/>
  </r>
  <r>
    <x v="0"/>
    <x v="0"/>
    <x v="0"/>
    <x v="0"/>
    <x v="1"/>
    <s v="DK2_MedSmall"/>
    <x v="0"/>
    <x v="8"/>
    <x v="0"/>
    <x v="0"/>
  </r>
  <r>
    <x v="0"/>
    <x v="0"/>
    <x v="0"/>
    <x v="0"/>
    <x v="1"/>
    <s v="DK2_MedSmall"/>
    <x v="0"/>
    <x v="9"/>
    <x v="0"/>
    <x v="0"/>
  </r>
  <r>
    <x v="0"/>
    <x v="0"/>
    <x v="0"/>
    <x v="0"/>
    <x v="1"/>
    <s v="DK2_MedSmall"/>
    <x v="0"/>
    <x v="10"/>
    <x v="0"/>
    <x v="0"/>
  </r>
  <r>
    <x v="0"/>
    <x v="0"/>
    <x v="0"/>
    <x v="0"/>
    <x v="1"/>
    <s v="DK2_MedSmall"/>
    <x v="0"/>
    <x v="11"/>
    <x v="0"/>
    <x v="0"/>
  </r>
  <r>
    <x v="0"/>
    <x v="0"/>
    <x v="0"/>
    <x v="0"/>
    <x v="1"/>
    <s v="DK2_MedSmall"/>
    <x v="1"/>
    <x v="0"/>
    <x v="0"/>
    <x v="0"/>
  </r>
  <r>
    <x v="0"/>
    <x v="0"/>
    <x v="0"/>
    <x v="0"/>
    <x v="1"/>
    <s v="DK2_MedSmall"/>
    <x v="1"/>
    <x v="1"/>
    <x v="0"/>
    <x v="0"/>
  </r>
  <r>
    <x v="0"/>
    <x v="0"/>
    <x v="0"/>
    <x v="0"/>
    <x v="1"/>
    <s v="DK2_MedSmall"/>
    <x v="1"/>
    <x v="2"/>
    <x v="0"/>
    <x v="0"/>
  </r>
  <r>
    <x v="0"/>
    <x v="0"/>
    <x v="0"/>
    <x v="0"/>
    <x v="1"/>
    <s v="DK2_MedSmall"/>
    <x v="1"/>
    <x v="3"/>
    <x v="0"/>
    <x v="0"/>
  </r>
  <r>
    <x v="0"/>
    <x v="0"/>
    <x v="0"/>
    <x v="0"/>
    <x v="1"/>
    <s v="DK2_MedSmall"/>
    <x v="1"/>
    <x v="4"/>
    <x v="0"/>
    <x v="0"/>
  </r>
  <r>
    <x v="0"/>
    <x v="0"/>
    <x v="0"/>
    <x v="0"/>
    <x v="1"/>
    <s v="DK2_MedSmall"/>
    <x v="1"/>
    <x v="5"/>
    <x v="0"/>
    <x v="0"/>
  </r>
  <r>
    <x v="0"/>
    <x v="0"/>
    <x v="0"/>
    <x v="0"/>
    <x v="1"/>
    <s v="DK2_MedSmall"/>
    <x v="1"/>
    <x v="6"/>
    <x v="0"/>
    <x v="0"/>
  </r>
  <r>
    <x v="0"/>
    <x v="0"/>
    <x v="0"/>
    <x v="0"/>
    <x v="1"/>
    <s v="DK2_MedSmall"/>
    <x v="1"/>
    <x v="7"/>
    <x v="0"/>
    <x v="0"/>
  </r>
  <r>
    <x v="0"/>
    <x v="0"/>
    <x v="0"/>
    <x v="0"/>
    <x v="1"/>
    <s v="DK2_MedSmall"/>
    <x v="1"/>
    <x v="8"/>
    <x v="0"/>
    <x v="0"/>
  </r>
  <r>
    <x v="0"/>
    <x v="0"/>
    <x v="0"/>
    <x v="0"/>
    <x v="1"/>
    <s v="DK2_MedSmall"/>
    <x v="1"/>
    <x v="9"/>
    <x v="0"/>
    <x v="0"/>
  </r>
  <r>
    <x v="0"/>
    <x v="0"/>
    <x v="0"/>
    <x v="0"/>
    <x v="1"/>
    <s v="DK2_MedSmall"/>
    <x v="1"/>
    <x v="10"/>
    <x v="0"/>
    <x v="0"/>
  </r>
  <r>
    <x v="0"/>
    <x v="0"/>
    <x v="0"/>
    <x v="0"/>
    <x v="1"/>
    <s v="DK2_MedSmall"/>
    <x v="1"/>
    <x v="11"/>
    <x v="0"/>
    <x v="0"/>
  </r>
  <r>
    <x v="0"/>
    <x v="0"/>
    <x v="0"/>
    <x v="0"/>
    <x v="1"/>
    <s v="DK2_MedSmall"/>
    <x v="2"/>
    <x v="0"/>
    <x v="0"/>
    <x v="0"/>
  </r>
  <r>
    <x v="0"/>
    <x v="0"/>
    <x v="0"/>
    <x v="0"/>
    <x v="1"/>
    <s v="DK2_MedSmall"/>
    <x v="2"/>
    <x v="1"/>
    <x v="0"/>
    <x v="0"/>
  </r>
  <r>
    <x v="0"/>
    <x v="0"/>
    <x v="0"/>
    <x v="0"/>
    <x v="1"/>
    <s v="DK2_MedSmall"/>
    <x v="2"/>
    <x v="2"/>
    <x v="0"/>
    <x v="0"/>
  </r>
  <r>
    <x v="0"/>
    <x v="0"/>
    <x v="0"/>
    <x v="0"/>
    <x v="1"/>
    <s v="DK2_MedSmall"/>
    <x v="2"/>
    <x v="3"/>
    <x v="0"/>
    <x v="0"/>
  </r>
  <r>
    <x v="0"/>
    <x v="0"/>
    <x v="0"/>
    <x v="0"/>
    <x v="1"/>
    <s v="DK2_MedSmall"/>
    <x v="2"/>
    <x v="4"/>
    <x v="0"/>
    <x v="0"/>
  </r>
  <r>
    <x v="0"/>
    <x v="0"/>
    <x v="0"/>
    <x v="0"/>
    <x v="1"/>
    <s v="DK2_MedSmall"/>
    <x v="2"/>
    <x v="5"/>
    <x v="0"/>
    <x v="0"/>
  </r>
  <r>
    <x v="0"/>
    <x v="0"/>
    <x v="0"/>
    <x v="0"/>
    <x v="1"/>
    <s v="DK2_MedSmall"/>
    <x v="2"/>
    <x v="6"/>
    <x v="0"/>
    <x v="0"/>
  </r>
  <r>
    <x v="0"/>
    <x v="0"/>
    <x v="0"/>
    <x v="0"/>
    <x v="1"/>
    <s v="DK2_MedSmall"/>
    <x v="2"/>
    <x v="7"/>
    <x v="0"/>
    <x v="0"/>
  </r>
  <r>
    <x v="0"/>
    <x v="0"/>
    <x v="0"/>
    <x v="0"/>
    <x v="1"/>
    <s v="DK2_MedSmall"/>
    <x v="2"/>
    <x v="8"/>
    <x v="0"/>
    <x v="0"/>
  </r>
  <r>
    <x v="0"/>
    <x v="0"/>
    <x v="0"/>
    <x v="0"/>
    <x v="1"/>
    <s v="DK2_MedSmall"/>
    <x v="2"/>
    <x v="9"/>
    <x v="0"/>
    <x v="0"/>
  </r>
  <r>
    <x v="0"/>
    <x v="0"/>
    <x v="0"/>
    <x v="0"/>
    <x v="1"/>
    <s v="DK2_MedSmall"/>
    <x v="2"/>
    <x v="10"/>
    <x v="0"/>
    <x v="0"/>
  </r>
  <r>
    <x v="0"/>
    <x v="0"/>
    <x v="0"/>
    <x v="0"/>
    <x v="1"/>
    <s v="DK2_MedSmall"/>
    <x v="2"/>
    <x v="11"/>
    <x v="0"/>
    <x v="0"/>
  </r>
  <r>
    <x v="0"/>
    <x v="0"/>
    <x v="0"/>
    <x v="0"/>
    <x v="1"/>
    <s v="DK2_MedSmall"/>
    <x v="3"/>
    <x v="0"/>
    <x v="0"/>
    <x v="0"/>
  </r>
  <r>
    <x v="0"/>
    <x v="0"/>
    <x v="0"/>
    <x v="0"/>
    <x v="1"/>
    <s v="DK2_MedSmall"/>
    <x v="3"/>
    <x v="1"/>
    <x v="0"/>
    <x v="0"/>
  </r>
  <r>
    <x v="0"/>
    <x v="0"/>
    <x v="0"/>
    <x v="0"/>
    <x v="1"/>
    <s v="DK2_MedSmall"/>
    <x v="3"/>
    <x v="2"/>
    <x v="0"/>
    <x v="0"/>
  </r>
  <r>
    <x v="0"/>
    <x v="0"/>
    <x v="0"/>
    <x v="0"/>
    <x v="1"/>
    <s v="DK2_MedSmall"/>
    <x v="3"/>
    <x v="3"/>
    <x v="0"/>
    <x v="0"/>
  </r>
  <r>
    <x v="0"/>
    <x v="0"/>
    <x v="0"/>
    <x v="0"/>
    <x v="1"/>
    <s v="DK2_MedSmall"/>
    <x v="3"/>
    <x v="4"/>
    <x v="0"/>
    <x v="0"/>
  </r>
  <r>
    <x v="0"/>
    <x v="0"/>
    <x v="0"/>
    <x v="0"/>
    <x v="1"/>
    <s v="DK2_MedSmall"/>
    <x v="3"/>
    <x v="5"/>
    <x v="0"/>
    <x v="0"/>
  </r>
  <r>
    <x v="0"/>
    <x v="0"/>
    <x v="0"/>
    <x v="0"/>
    <x v="1"/>
    <s v="DK2_MedSmall"/>
    <x v="3"/>
    <x v="6"/>
    <x v="0"/>
    <x v="0"/>
  </r>
  <r>
    <x v="0"/>
    <x v="0"/>
    <x v="0"/>
    <x v="0"/>
    <x v="1"/>
    <s v="DK2_MedSmall"/>
    <x v="3"/>
    <x v="7"/>
    <x v="0"/>
    <x v="0"/>
  </r>
  <r>
    <x v="0"/>
    <x v="0"/>
    <x v="0"/>
    <x v="0"/>
    <x v="1"/>
    <s v="DK2_MedSmall"/>
    <x v="3"/>
    <x v="8"/>
    <x v="0"/>
    <x v="0"/>
  </r>
  <r>
    <x v="0"/>
    <x v="0"/>
    <x v="0"/>
    <x v="0"/>
    <x v="1"/>
    <s v="DK2_MedSmall"/>
    <x v="3"/>
    <x v="9"/>
    <x v="0"/>
    <x v="0"/>
  </r>
  <r>
    <x v="0"/>
    <x v="0"/>
    <x v="0"/>
    <x v="0"/>
    <x v="1"/>
    <s v="DK2_MedSmall"/>
    <x v="3"/>
    <x v="10"/>
    <x v="0"/>
    <x v="0"/>
  </r>
  <r>
    <x v="0"/>
    <x v="0"/>
    <x v="0"/>
    <x v="0"/>
    <x v="1"/>
    <s v="DK2_MedSmall"/>
    <x v="3"/>
    <x v="11"/>
    <x v="0"/>
    <x v="0"/>
  </r>
  <r>
    <x v="0"/>
    <x v="0"/>
    <x v="0"/>
    <x v="0"/>
    <x v="1"/>
    <s v="DK2_MedSmall"/>
    <x v="4"/>
    <x v="0"/>
    <x v="0"/>
    <x v="0"/>
  </r>
  <r>
    <x v="0"/>
    <x v="0"/>
    <x v="0"/>
    <x v="0"/>
    <x v="1"/>
    <s v="DK2_MedSmall"/>
    <x v="4"/>
    <x v="1"/>
    <x v="0"/>
    <x v="0"/>
  </r>
  <r>
    <x v="0"/>
    <x v="0"/>
    <x v="0"/>
    <x v="0"/>
    <x v="1"/>
    <s v="DK2_MedSmall"/>
    <x v="4"/>
    <x v="2"/>
    <x v="0"/>
    <x v="0"/>
  </r>
  <r>
    <x v="0"/>
    <x v="0"/>
    <x v="0"/>
    <x v="0"/>
    <x v="1"/>
    <s v="DK2_MedSmall"/>
    <x v="4"/>
    <x v="3"/>
    <x v="0"/>
    <x v="0"/>
  </r>
  <r>
    <x v="0"/>
    <x v="0"/>
    <x v="0"/>
    <x v="0"/>
    <x v="1"/>
    <s v="DK2_MedSmall"/>
    <x v="4"/>
    <x v="4"/>
    <x v="0"/>
    <x v="0"/>
  </r>
  <r>
    <x v="0"/>
    <x v="0"/>
    <x v="0"/>
    <x v="0"/>
    <x v="1"/>
    <s v="DK2_MedSmall"/>
    <x v="4"/>
    <x v="5"/>
    <x v="0"/>
    <x v="0"/>
  </r>
  <r>
    <x v="0"/>
    <x v="0"/>
    <x v="0"/>
    <x v="0"/>
    <x v="1"/>
    <s v="DK2_MedSmall"/>
    <x v="4"/>
    <x v="6"/>
    <x v="0"/>
    <x v="0"/>
  </r>
  <r>
    <x v="0"/>
    <x v="0"/>
    <x v="0"/>
    <x v="0"/>
    <x v="1"/>
    <s v="DK2_MedSmall"/>
    <x v="4"/>
    <x v="7"/>
    <x v="0"/>
    <x v="0"/>
  </r>
  <r>
    <x v="0"/>
    <x v="0"/>
    <x v="0"/>
    <x v="0"/>
    <x v="1"/>
    <s v="DK2_MedSmall"/>
    <x v="4"/>
    <x v="8"/>
    <x v="0"/>
    <x v="0"/>
  </r>
  <r>
    <x v="0"/>
    <x v="0"/>
    <x v="0"/>
    <x v="0"/>
    <x v="1"/>
    <s v="DK2_MedSmall"/>
    <x v="4"/>
    <x v="9"/>
    <x v="0"/>
    <x v="0"/>
  </r>
  <r>
    <x v="0"/>
    <x v="0"/>
    <x v="0"/>
    <x v="0"/>
    <x v="1"/>
    <s v="DK2_MedSmall"/>
    <x v="4"/>
    <x v="10"/>
    <x v="0"/>
    <x v="0"/>
  </r>
  <r>
    <x v="0"/>
    <x v="0"/>
    <x v="0"/>
    <x v="0"/>
    <x v="1"/>
    <s v="DK2_MedSmall"/>
    <x v="4"/>
    <x v="11"/>
    <x v="0"/>
    <x v="0"/>
  </r>
  <r>
    <x v="0"/>
    <x v="0"/>
    <x v="0"/>
    <x v="0"/>
    <x v="1"/>
    <s v="DK2_MedSmall"/>
    <x v="5"/>
    <x v="0"/>
    <x v="0"/>
    <x v="0"/>
  </r>
  <r>
    <x v="0"/>
    <x v="0"/>
    <x v="0"/>
    <x v="0"/>
    <x v="1"/>
    <s v="DK2_MedSmall"/>
    <x v="5"/>
    <x v="1"/>
    <x v="0"/>
    <x v="0"/>
  </r>
  <r>
    <x v="0"/>
    <x v="0"/>
    <x v="0"/>
    <x v="0"/>
    <x v="1"/>
    <s v="DK2_MedSmall"/>
    <x v="5"/>
    <x v="2"/>
    <x v="0"/>
    <x v="0"/>
  </r>
  <r>
    <x v="0"/>
    <x v="0"/>
    <x v="0"/>
    <x v="0"/>
    <x v="1"/>
    <s v="DK2_MedSmall"/>
    <x v="5"/>
    <x v="3"/>
    <x v="0"/>
    <x v="0"/>
  </r>
  <r>
    <x v="0"/>
    <x v="0"/>
    <x v="0"/>
    <x v="0"/>
    <x v="1"/>
    <s v="DK2_MedSmall"/>
    <x v="5"/>
    <x v="4"/>
    <x v="0"/>
    <x v="0"/>
  </r>
  <r>
    <x v="0"/>
    <x v="0"/>
    <x v="0"/>
    <x v="0"/>
    <x v="1"/>
    <s v="DK2_MedSmall"/>
    <x v="5"/>
    <x v="5"/>
    <x v="0"/>
    <x v="0"/>
  </r>
  <r>
    <x v="0"/>
    <x v="0"/>
    <x v="0"/>
    <x v="0"/>
    <x v="1"/>
    <s v="DK2_MedSmall"/>
    <x v="5"/>
    <x v="6"/>
    <x v="0"/>
    <x v="0"/>
  </r>
  <r>
    <x v="0"/>
    <x v="0"/>
    <x v="0"/>
    <x v="0"/>
    <x v="1"/>
    <s v="DK2_MedSmall"/>
    <x v="5"/>
    <x v="7"/>
    <x v="0"/>
    <x v="0"/>
  </r>
  <r>
    <x v="0"/>
    <x v="0"/>
    <x v="0"/>
    <x v="0"/>
    <x v="1"/>
    <s v="DK2_MedSmall"/>
    <x v="5"/>
    <x v="8"/>
    <x v="0"/>
    <x v="0"/>
  </r>
  <r>
    <x v="0"/>
    <x v="0"/>
    <x v="0"/>
    <x v="0"/>
    <x v="1"/>
    <s v="DK2_MedSmall"/>
    <x v="5"/>
    <x v="9"/>
    <x v="0"/>
    <x v="0"/>
  </r>
  <r>
    <x v="0"/>
    <x v="0"/>
    <x v="0"/>
    <x v="0"/>
    <x v="1"/>
    <s v="DK2_MedSmall"/>
    <x v="5"/>
    <x v="10"/>
    <x v="0"/>
    <x v="0"/>
  </r>
  <r>
    <x v="0"/>
    <x v="0"/>
    <x v="0"/>
    <x v="0"/>
    <x v="1"/>
    <s v="DK2_MedSmall"/>
    <x v="5"/>
    <x v="11"/>
    <x v="0"/>
    <x v="0"/>
  </r>
  <r>
    <x v="0"/>
    <x v="0"/>
    <x v="0"/>
    <x v="0"/>
    <x v="1"/>
    <s v="DK2_MedSmall"/>
    <x v="6"/>
    <x v="0"/>
    <x v="0"/>
    <x v="0"/>
  </r>
  <r>
    <x v="0"/>
    <x v="0"/>
    <x v="0"/>
    <x v="0"/>
    <x v="1"/>
    <s v="DK2_MedSmall"/>
    <x v="6"/>
    <x v="1"/>
    <x v="0"/>
    <x v="0"/>
  </r>
  <r>
    <x v="0"/>
    <x v="0"/>
    <x v="0"/>
    <x v="0"/>
    <x v="1"/>
    <s v="DK2_MedSmall"/>
    <x v="6"/>
    <x v="2"/>
    <x v="0"/>
    <x v="0"/>
  </r>
  <r>
    <x v="0"/>
    <x v="0"/>
    <x v="0"/>
    <x v="0"/>
    <x v="1"/>
    <s v="DK2_MedSmall"/>
    <x v="6"/>
    <x v="3"/>
    <x v="0"/>
    <x v="0"/>
  </r>
  <r>
    <x v="0"/>
    <x v="0"/>
    <x v="0"/>
    <x v="0"/>
    <x v="1"/>
    <s v="DK2_MedSmall"/>
    <x v="6"/>
    <x v="4"/>
    <x v="0"/>
    <x v="0"/>
  </r>
  <r>
    <x v="0"/>
    <x v="0"/>
    <x v="0"/>
    <x v="0"/>
    <x v="1"/>
    <s v="DK2_MedSmall"/>
    <x v="6"/>
    <x v="5"/>
    <x v="0"/>
    <x v="0"/>
  </r>
  <r>
    <x v="0"/>
    <x v="0"/>
    <x v="0"/>
    <x v="0"/>
    <x v="1"/>
    <s v="DK2_MedSmall"/>
    <x v="6"/>
    <x v="6"/>
    <x v="0"/>
    <x v="0"/>
  </r>
  <r>
    <x v="0"/>
    <x v="0"/>
    <x v="0"/>
    <x v="0"/>
    <x v="1"/>
    <s v="DK2_MedSmall"/>
    <x v="6"/>
    <x v="7"/>
    <x v="0"/>
    <x v="0"/>
  </r>
  <r>
    <x v="0"/>
    <x v="0"/>
    <x v="0"/>
    <x v="0"/>
    <x v="1"/>
    <s v="DK2_MedSmall"/>
    <x v="6"/>
    <x v="8"/>
    <x v="0"/>
    <x v="0"/>
  </r>
  <r>
    <x v="0"/>
    <x v="0"/>
    <x v="0"/>
    <x v="0"/>
    <x v="1"/>
    <s v="DK2_MedSmall"/>
    <x v="6"/>
    <x v="9"/>
    <x v="0"/>
    <x v="0"/>
  </r>
  <r>
    <x v="0"/>
    <x v="0"/>
    <x v="0"/>
    <x v="0"/>
    <x v="1"/>
    <s v="DK2_MedSmall"/>
    <x v="6"/>
    <x v="10"/>
    <x v="0"/>
    <x v="0"/>
  </r>
  <r>
    <x v="0"/>
    <x v="0"/>
    <x v="0"/>
    <x v="0"/>
    <x v="1"/>
    <s v="DK2_MedSmall"/>
    <x v="6"/>
    <x v="11"/>
    <x v="0"/>
    <x v="0"/>
  </r>
  <r>
    <x v="0"/>
    <x v="0"/>
    <x v="0"/>
    <x v="0"/>
    <x v="1"/>
    <s v="DK2_MedSmall"/>
    <x v="7"/>
    <x v="0"/>
    <x v="0"/>
    <x v="0"/>
  </r>
  <r>
    <x v="0"/>
    <x v="0"/>
    <x v="0"/>
    <x v="0"/>
    <x v="1"/>
    <s v="DK2_MedSmall"/>
    <x v="7"/>
    <x v="1"/>
    <x v="0"/>
    <x v="0"/>
  </r>
  <r>
    <x v="0"/>
    <x v="0"/>
    <x v="0"/>
    <x v="0"/>
    <x v="1"/>
    <s v="DK2_MedSmall"/>
    <x v="7"/>
    <x v="2"/>
    <x v="0"/>
    <x v="0"/>
  </r>
  <r>
    <x v="0"/>
    <x v="0"/>
    <x v="0"/>
    <x v="0"/>
    <x v="1"/>
    <s v="DK2_MedSmall"/>
    <x v="7"/>
    <x v="3"/>
    <x v="0"/>
    <x v="0"/>
  </r>
  <r>
    <x v="0"/>
    <x v="0"/>
    <x v="0"/>
    <x v="0"/>
    <x v="1"/>
    <s v="DK2_MedSmall"/>
    <x v="7"/>
    <x v="4"/>
    <x v="0"/>
    <x v="0"/>
  </r>
  <r>
    <x v="0"/>
    <x v="0"/>
    <x v="0"/>
    <x v="0"/>
    <x v="1"/>
    <s v="DK2_MedSmall"/>
    <x v="7"/>
    <x v="5"/>
    <x v="0"/>
    <x v="0"/>
  </r>
  <r>
    <x v="0"/>
    <x v="0"/>
    <x v="0"/>
    <x v="0"/>
    <x v="1"/>
    <s v="DK2_MedSmall"/>
    <x v="7"/>
    <x v="6"/>
    <x v="0"/>
    <x v="0"/>
  </r>
  <r>
    <x v="0"/>
    <x v="0"/>
    <x v="0"/>
    <x v="0"/>
    <x v="1"/>
    <s v="DK2_MedSmall"/>
    <x v="7"/>
    <x v="7"/>
    <x v="0"/>
    <x v="0"/>
  </r>
  <r>
    <x v="0"/>
    <x v="0"/>
    <x v="0"/>
    <x v="0"/>
    <x v="1"/>
    <s v="DK2_MedSmall"/>
    <x v="7"/>
    <x v="8"/>
    <x v="0"/>
    <x v="0"/>
  </r>
  <r>
    <x v="0"/>
    <x v="0"/>
    <x v="0"/>
    <x v="0"/>
    <x v="1"/>
    <s v="DK2_MedSmall"/>
    <x v="7"/>
    <x v="9"/>
    <x v="0"/>
    <x v="0"/>
  </r>
  <r>
    <x v="0"/>
    <x v="0"/>
    <x v="0"/>
    <x v="0"/>
    <x v="1"/>
    <s v="DK2_MedSmall"/>
    <x v="7"/>
    <x v="10"/>
    <x v="0"/>
    <x v="0"/>
  </r>
  <r>
    <x v="0"/>
    <x v="0"/>
    <x v="0"/>
    <x v="0"/>
    <x v="1"/>
    <s v="DK2_MedSmall"/>
    <x v="7"/>
    <x v="11"/>
    <x v="0"/>
    <x v="0"/>
  </r>
  <r>
    <x v="0"/>
    <x v="0"/>
    <x v="0"/>
    <x v="0"/>
    <x v="1"/>
    <s v="DK2_MedSmall"/>
    <x v="8"/>
    <x v="0"/>
    <x v="0"/>
    <x v="0"/>
  </r>
  <r>
    <x v="0"/>
    <x v="0"/>
    <x v="0"/>
    <x v="0"/>
    <x v="1"/>
    <s v="DK2_MedSmall"/>
    <x v="8"/>
    <x v="1"/>
    <x v="0"/>
    <x v="0"/>
  </r>
  <r>
    <x v="0"/>
    <x v="0"/>
    <x v="0"/>
    <x v="0"/>
    <x v="1"/>
    <s v="DK2_MedSmall"/>
    <x v="8"/>
    <x v="2"/>
    <x v="0"/>
    <x v="0"/>
  </r>
  <r>
    <x v="0"/>
    <x v="0"/>
    <x v="0"/>
    <x v="0"/>
    <x v="1"/>
    <s v="DK2_MedSmall"/>
    <x v="8"/>
    <x v="3"/>
    <x v="0"/>
    <x v="0"/>
  </r>
  <r>
    <x v="0"/>
    <x v="0"/>
    <x v="0"/>
    <x v="0"/>
    <x v="1"/>
    <s v="DK2_MedSmall"/>
    <x v="8"/>
    <x v="4"/>
    <x v="0"/>
    <x v="0"/>
  </r>
  <r>
    <x v="0"/>
    <x v="0"/>
    <x v="0"/>
    <x v="0"/>
    <x v="1"/>
    <s v="DK2_MedSmall"/>
    <x v="8"/>
    <x v="5"/>
    <x v="0"/>
    <x v="0"/>
  </r>
  <r>
    <x v="0"/>
    <x v="0"/>
    <x v="0"/>
    <x v="0"/>
    <x v="1"/>
    <s v="DK2_MedSmall"/>
    <x v="8"/>
    <x v="6"/>
    <x v="0"/>
    <x v="0"/>
  </r>
  <r>
    <x v="0"/>
    <x v="0"/>
    <x v="0"/>
    <x v="0"/>
    <x v="1"/>
    <s v="DK2_MedSmall"/>
    <x v="8"/>
    <x v="7"/>
    <x v="0"/>
    <x v="0"/>
  </r>
  <r>
    <x v="0"/>
    <x v="0"/>
    <x v="0"/>
    <x v="0"/>
    <x v="1"/>
    <s v="DK2_MedSmall"/>
    <x v="8"/>
    <x v="8"/>
    <x v="0"/>
    <x v="0"/>
  </r>
  <r>
    <x v="0"/>
    <x v="0"/>
    <x v="0"/>
    <x v="0"/>
    <x v="1"/>
    <s v="DK2_MedSmall"/>
    <x v="8"/>
    <x v="9"/>
    <x v="0"/>
    <x v="0"/>
  </r>
  <r>
    <x v="0"/>
    <x v="0"/>
    <x v="0"/>
    <x v="0"/>
    <x v="1"/>
    <s v="DK2_MedSmall"/>
    <x v="8"/>
    <x v="10"/>
    <x v="0"/>
    <x v="0"/>
  </r>
  <r>
    <x v="0"/>
    <x v="0"/>
    <x v="0"/>
    <x v="0"/>
    <x v="1"/>
    <s v="DK2_MedSmall"/>
    <x v="8"/>
    <x v="11"/>
    <x v="0"/>
    <x v="0"/>
  </r>
  <r>
    <x v="0"/>
    <x v="0"/>
    <x v="0"/>
    <x v="0"/>
    <x v="1"/>
    <s v="DK2_MedSmall"/>
    <x v="9"/>
    <x v="0"/>
    <x v="0"/>
    <x v="0"/>
  </r>
  <r>
    <x v="0"/>
    <x v="0"/>
    <x v="0"/>
    <x v="0"/>
    <x v="1"/>
    <s v="DK2_MedSmall"/>
    <x v="9"/>
    <x v="1"/>
    <x v="0"/>
    <x v="0"/>
  </r>
  <r>
    <x v="0"/>
    <x v="0"/>
    <x v="0"/>
    <x v="0"/>
    <x v="1"/>
    <s v="DK2_MedSmall"/>
    <x v="9"/>
    <x v="2"/>
    <x v="0"/>
    <x v="0"/>
  </r>
  <r>
    <x v="0"/>
    <x v="0"/>
    <x v="0"/>
    <x v="0"/>
    <x v="1"/>
    <s v="DK2_MedSmall"/>
    <x v="9"/>
    <x v="3"/>
    <x v="0"/>
    <x v="0"/>
  </r>
  <r>
    <x v="0"/>
    <x v="0"/>
    <x v="0"/>
    <x v="0"/>
    <x v="1"/>
    <s v="DK2_MedSmall"/>
    <x v="9"/>
    <x v="4"/>
    <x v="0"/>
    <x v="0"/>
  </r>
  <r>
    <x v="0"/>
    <x v="0"/>
    <x v="0"/>
    <x v="0"/>
    <x v="1"/>
    <s v="DK2_MedSmall"/>
    <x v="9"/>
    <x v="5"/>
    <x v="0"/>
    <x v="0"/>
  </r>
  <r>
    <x v="0"/>
    <x v="0"/>
    <x v="0"/>
    <x v="0"/>
    <x v="1"/>
    <s v="DK2_MedSmall"/>
    <x v="9"/>
    <x v="6"/>
    <x v="0"/>
    <x v="0"/>
  </r>
  <r>
    <x v="0"/>
    <x v="0"/>
    <x v="0"/>
    <x v="0"/>
    <x v="1"/>
    <s v="DK2_MedSmall"/>
    <x v="9"/>
    <x v="7"/>
    <x v="0"/>
    <x v="0"/>
  </r>
  <r>
    <x v="0"/>
    <x v="0"/>
    <x v="0"/>
    <x v="0"/>
    <x v="1"/>
    <s v="DK2_MedSmall"/>
    <x v="9"/>
    <x v="8"/>
    <x v="0"/>
    <x v="0"/>
  </r>
  <r>
    <x v="0"/>
    <x v="0"/>
    <x v="0"/>
    <x v="0"/>
    <x v="1"/>
    <s v="DK2_MedSmall"/>
    <x v="9"/>
    <x v="9"/>
    <x v="0"/>
    <x v="0"/>
  </r>
  <r>
    <x v="0"/>
    <x v="0"/>
    <x v="0"/>
    <x v="0"/>
    <x v="1"/>
    <s v="DK2_MedSmall"/>
    <x v="9"/>
    <x v="10"/>
    <x v="0"/>
    <x v="0"/>
  </r>
  <r>
    <x v="0"/>
    <x v="0"/>
    <x v="0"/>
    <x v="0"/>
    <x v="1"/>
    <s v="DK2_MedSmall"/>
    <x v="9"/>
    <x v="11"/>
    <x v="0"/>
    <x v="0"/>
  </r>
  <r>
    <x v="0"/>
    <x v="0"/>
    <x v="0"/>
    <x v="0"/>
    <x v="1"/>
    <s v="DK2_MedSmall"/>
    <x v="10"/>
    <x v="0"/>
    <x v="0"/>
    <x v="0"/>
  </r>
  <r>
    <x v="0"/>
    <x v="0"/>
    <x v="0"/>
    <x v="0"/>
    <x v="1"/>
    <s v="DK2_MedSmall"/>
    <x v="10"/>
    <x v="1"/>
    <x v="0"/>
    <x v="0"/>
  </r>
  <r>
    <x v="0"/>
    <x v="0"/>
    <x v="0"/>
    <x v="0"/>
    <x v="1"/>
    <s v="DK2_MedSmall"/>
    <x v="10"/>
    <x v="2"/>
    <x v="0"/>
    <x v="0"/>
  </r>
  <r>
    <x v="0"/>
    <x v="0"/>
    <x v="0"/>
    <x v="0"/>
    <x v="1"/>
    <s v="DK2_MedSmall"/>
    <x v="10"/>
    <x v="3"/>
    <x v="0"/>
    <x v="0"/>
  </r>
  <r>
    <x v="0"/>
    <x v="0"/>
    <x v="0"/>
    <x v="0"/>
    <x v="1"/>
    <s v="DK2_MedSmall"/>
    <x v="10"/>
    <x v="4"/>
    <x v="0"/>
    <x v="0"/>
  </r>
  <r>
    <x v="0"/>
    <x v="0"/>
    <x v="0"/>
    <x v="0"/>
    <x v="1"/>
    <s v="DK2_MedSmall"/>
    <x v="10"/>
    <x v="5"/>
    <x v="0"/>
    <x v="0"/>
  </r>
  <r>
    <x v="0"/>
    <x v="0"/>
    <x v="0"/>
    <x v="0"/>
    <x v="1"/>
    <s v="DK2_MedSmall"/>
    <x v="10"/>
    <x v="6"/>
    <x v="0"/>
    <x v="0"/>
  </r>
  <r>
    <x v="0"/>
    <x v="0"/>
    <x v="0"/>
    <x v="0"/>
    <x v="1"/>
    <s v="DK2_MedSmall"/>
    <x v="10"/>
    <x v="7"/>
    <x v="0"/>
    <x v="0"/>
  </r>
  <r>
    <x v="0"/>
    <x v="0"/>
    <x v="0"/>
    <x v="0"/>
    <x v="1"/>
    <s v="DK2_MedSmall"/>
    <x v="10"/>
    <x v="8"/>
    <x v="0"/>
    <x v="0"/>
  </r>
  <r>
    <x v="0"/>
    <x v="0"/>
    <x v="0"/>
    <x v="0"/>
    <x v="1"/>
    <s v="DK2_MedSmall"/>
    <x v="10"/>
    <x v="9"/>
    <x v="0"/>
    <x v="0"/>
  </r>
  <r>
    <x v="0"/>
    <x v="0"/>
    <x v="0"/>
    <x v="0"/>
    <x v="1"/>
    <s v="DK2_MedSmall"/>
    <x v="10"/>
    <x v="10"/>
    <x v="0"/>
    <x v="0"/>
  </r>
  <r>
    <x v="0"/>
    <x v="0"/>
    <x v="0"/>
    <x v="0"/>
    <x v="1"/>
    <s v="DK2_MedSmall"/>
    <x v="10"/>
    <x v="11"/>
    <x v="0"/>
    <x v="0"/>
  </r>
  <r>
    <x v="0"/>
    <x v="0"/>
    <x v="0"/>
    <x v="0"/>
    <x v="1"/>
    <s v="DK2_MedSmall"/>
    <x v="11"/>
    <x v="0"/>
    <x v="0"/>
    <x v="0"/>
  </r>
  <r>
    <x v="0"/>
    <x v="0"/>
    <x v="0"/>
    <x v="0"/>
    <x v="1"/>
    <s v="DK2_MedSmall"/>
    <x v="11"/>
    <x v="1"/>
    <x v="0"/>
    <x v="0"/>
  </r>
  <r>
    <x v="0"/>
    <x v="0"/>
    <x v="0"/>
    <x v="0"/>
    <x v="1"/>
    <s v="DK2_MedSmall"/>
    <x v="11"/>
    <x v="2"/>
    <x v="0"/>
    <x v="0"/>
  </r>
  <r>
    <x v="0"/>
    <x v="0"/>
    <x v="0"/>
    <x v="0"/>
    <x v="1"/>
    <s v="DK2_MedSmall"/>
    <x v="11"/>
    <x v="3"/>
    <x v="0"/>
    <x v="0"/>
  </r>
  <r>
    <x v="0"/>
    <x v="0"/>
    <x v="0"/>
    <x v="0"/>
    <x v="1"/>
    <s v="DK2_MedSmall"/>
    <x v="11"/>
    <x v="4"/>
    <x v="0"/>
    <x v="0"/>
  </r>
  <r>
    <x v="0"/>
    <x v="0"/>
    <x v="0"/>
    <x v="0"/>
    <x v="1"/>
    <s v="DK2_MedSmall"/>
    <x v="11"/>
    <x v="5"/>
    <x v="0"/>
    <x v="0"/>
  </r>
  <r>
    <x v="0"/>
    <x v="0"/>
    <x v="0"/>
    <x v="0"/>
    <x v="1"/>
    <s v="DK2_MedSmall"/>
    <x v="11"/>
    <x v="6"/>
    <x v="0"/>
    <x v="0"/>
  </r>
  <r>
    <x v="0"/>
    <x v="0"/>
    <x v="0"/>
    <x v="0"/>
    <x v="1"/>
    <s v="DK2_MedSmall"/>
    <x v="11"/>
    <x v="7"/>
    <x v="0"/>
    <x v="0"/>
  </r>
  <r>
    <x v="0"/>
    <x v="0"/>
    <x v="0"/>
    <x v="0"/>
    <x v="1"/>
    <s v="DK2_MedSmall"/>
    <x v="11"/>
    <x v="8"/>
    <x v="0"/>
    <x v="0"/>
  </r>
  <r>
    <x v="0"/>
    <x v="0"/>
    <x v="0"/>
    <x v="0"/>
    <x v="1"/>
    <s v="DK2_MedSmall"/>
    <x v="11"/>
    <x v="9"/>
    <x v="0"/>
    <x v="0"/>
  </r>
  <r>
    <x v="0"/>
    <x v="0"/>
    <x v="0"/>
    <x v="0"/>
    <x v="1"/>
    <s v="DK2_MedSmall"/>
    <x v="11"/>
    <x v="10"/>
    <x v="0"/>
    <x v="0"/>
  </r>
  <r>
    <x v="0"/>
    <x v="0"/>
    <x v="0"/>
    <x v="0"/>
    <x v="1"/>
    <s v="DK2_MedSmall"/>
    <x v="11"/>
    <x v="11"/>
    <x v="0"/>
    <x v="0"/>
  </r>
  <r>
    <x v="0"/>
    <x v="0"/>
    <x v="0"/>
    <x v="0"/>
    <x v="1"/>
    <s v="DK2_Medium"/>
    <x v="0"/>
    <x v="0"/>
    <x v="0"/>
    <x v="0"/>
  </r>
  <r>
    <x v="0"/>
    <x v="0"/>
    <x v="0"/>
    <x v="0"/>
    <x v="1"/>
    <s v="DK2_Medium"/>
    <x v="0"/>
    <x v="1"/>
    <x v="0"/>
    <x v="0"/>
  </r>
  <r>
    <x v="0"/>
    <x v="0"/>
    <x v="0"/>
    <x v="0"/>
    <x v="1"/>
    <s v="DK2_Medium"/>
    <x v="0"/>
    <x v="2"/>
    <x v="0"/>
    <x v="0"/>
  </r>
  <r>
    <x v="0"/>
    <x v="0"/>
    <x v="0"/>
    <x v="0"/>
    <x v="1"/>
    <s v="DK2_Medium"/>
    <x v="0"/>
    <x v="3"/>
    <x v="0"/>
    <x v="0"/>
  </r>
  <r>
    <x v="0"/>
    <x v="0"/>
    <x v="0"/>
    <x v="0"/>
    <x v="1"/>
    <s v="DK2_Medium"/>
    <x v="0"/>
    <x v="4"/>
    <x v="0"/>
    <x v="0"/>
  </r>
  <r>
    <x v="0"/>
    <x v="0"/>
    <x v="0"/>
    <x v="0"/>
    <x v="1"/>
    <s v="DK2_Medium"/>
    <x v="0"/>
    <x v="5"/>
    <x v="0"/>
    <x v="0"/>
  </r>
  <r>
    <x v="0"/>
    <x v="0"/>
    <x v="0"/>
    <x v="0"/>
    <x v="1"/>
    <s v="DK2_Medium"/>
    <x v="0"/>
    <x v="6"/>
    <x v="0"/>
    <x v="0"/>
  </r>
  <r>
    <x v="0"/>
    <x v="0"/>
    <x v="0"/>
    <x v="0"/>
    <x v="1"/>
    <s v="DK2_Medium"/>
    <x v="0"/>
    <x v="7"/>
    <x v="0"/>
    <x v="0"/>
  </r>
  <r>
    <x v="0"/>
    <x v="0"/>
    <x v="0"/>
    <x v="0"/>
    <x v="1"/>
    <s v="DK2_Medium"/>
    <x v="0"/>
    <x v="8"/>
    <x v="0"/>
    <x v="0"/>
  </r>
  <r>
    <x v="0"/>
    <x v="0"/>
    <x v="0"/>
    <x v="0"/>
    <x v="1"/>
    <s v="DK2_Medium"/>
    <x v="0"/>
    <x v="9"/>
    <x v="0"/>
    <x v="0"/>
  </r>
  <r>
    <x v="0"/>
    <x v="0"/>
    <x v="0"/>
    <x v="0"/>
    <x v="1"/>
    <s v="DK2_Medium"/>
    <x v="0"/>
    <x v="10"/>
    <x v="0"/>
    <x v="0"/>
  </r>
  <r>
    <x v="0"/>
    <x v="0"/>
    <x v="0"/>
    <x v="0"/>
    <x v="1"/>
    <s v="DK2_Medium"/>
    <x v="0"/>
    <x v="11"/>
    <x v="0"/>
    <x v="0"/>
  </r>
  <r>
    <x v="0"/>
    <x v="0"/>
    <x v="0"/>
    <x v="0"/>
    <x v="1"/>
    <s v="DK2_Medium"/>
    <x v="1"/>
    <x v="0"/>
    <x v="0"/>
    <x v="0"/>
  </r>
  <r>
    <x v="0"/>
    <x v="0"/>
    <x v="0"/>
    <x v="0"/>
    <x v="1"/>
    <s v="DK2_Medium"/>
    <x v="1"/>
    <x v="1"/>
    <x v="0"/>
    <x v="0"/>
  </r>
  <r>
    <x v="0"/>
    <x v="0"/>
    <x v="0"/>
    <x v="0"/>
    <x v="1"/>
    <s v="DK2_Medium"/>
    <x v="1"/>
    <x v="2"/>
    <x v="0"/>
    <x v="0"/>
  </r>
  <r>
    <x v="0"/>
    <x v="0"/>
    <x v="0"/>
    <x v="0"/>
    <x v="1"/>
    <s v="DK2_Medium"/>
    <x v="1"/>
    <x v="3"/>
    <x v="0"/>
    <x v="0"/>
  </r>
  <r>
    <x v="0"/>
    <x v="0"/>
    <x v="0"/>
    <x v="0"/>
    <x v="1"/>
    <s v="DK2_Medium"/>
    <x v="1"/>
    <x v="4"/>
    <x v="0"/>
    <x v="0"/>
  </r>
  <r>
    <x v="0"/>
    <x v="0"/>
    <x v="0"/>
    <x v="0"/>
    <x v="1"/>
    <s v="DK2_Medium"/>
    <x v="1"/>
    <x v="5"/>
    <x v="0"/>
    <x v="0"/>
  </r>
  <r>
    <x v="0"/>
    <x v="0"/>
    <x v="0"/>
    <x v="0"/>
    <x v="1"/>
    <s v="DK2_Medium"/>
    <x v="1"/>
    <x v="6"/>
    <x v="0"/>
    <x v="0"/>
  </r>
  <r>
    <x v="0"/>
    <x v="0"/>
    <x v="0"/>
    <x v="0"/>
    <x v="1"/>
    <s v="DK2_Medium"/>
    <x v="1"/>
    <x v="7"/>
    <x v="0"/>
    <x v="0"/>
  </r>
  <r>
    <x v="0"/>
    <x v="0"/>
    <x v="0"/>
    <x v="0"/>
    <x v="1"/>
    <s v="DK2_Medium"/>
    <x v="1"/>
    <x v="8"/>
    <x v="0"/>
    <x v="0"/>
  </r>
  <r>
    <x v="0"/>
    <x v="0"/>
    <x v="0"/>
    <x v="0"/>
    <x v="1"/>
    <s v="DK2_Medium"/>
    <x v="1"/>
    <x v="9"/>
    <x v="0"/>
    <x v="0"/>
  </r>
  <r>
    <x v="0"/>
    <x v="0"/>
    <x v="0"/>
    <x v="0"/>
    <x v="1"/>
    <s v="DK2_Medium"/>
    <x v="1"/>
    <x v="10"/>
    <x v="0"/>
    <x v="0"/>
  </r>
  <r>
    <x v="0"/>
    <x v="0"/>
    <x v="0"/>
    <x v="0"/>
    <x v="1"/>
    <s v="DK2_Medium"/>
    <x v="1"/>
    <x v="11"/>
    <x v="0"/>
    <x v="0"/>
  </r>
  <r>
    <x v="0"/>
    <x v="0"/>
    <x v="0"/>
    <x v="0"/>
    <x v="1"/>
    <s v="DK2_Medium"/>
    <x v="2"/>
    <x v="0"/>
    <x v="0"/>
    <x v="0"/>
  </r>
  <r>
    <x v="0"/>
    <x v="0"/>
    <x v="0"/>
    <x v="0"/>
    <x v="1"/>
    <s v="DK2_Medium"/>
    <x v="2"/>
    <x v="1"/>
    <x v="0"/>
    <x v="0"/>
  </r>
  <r>
    <x v="0"/>
    <x v="0"/>
    <x v="0"/>
    <x v="0"/>
    <x v="1"/>
    <s v="DK2_Medium"/>
    <x v="2"/>
    <x v="2"/>
    <x v="0"/>
    <x v="0"/>
  </r>
  <r>
    <x v="0"/>
    <x v="0"/>
    <x v="0"/>
    <x v="0"/>
    <x v="1"/>
    <s v="DK2_Medium"/>
    <x v="2"/>
    <x v="3"/>
    <x v="0"/>
    <x v="0"/>
  </r>
  <r>
    <x v="0"/>
    <x v="0"/>
    <x v="0"/>
    <x v="0"/>
    <x v="1"/>
    <s v="DK2_Medium"/>
    <x v="2"/>
    <x v="4"/>
    <x v="0"/>
    <x v="0"/>
  </r>
  <r>
    <x v="0"/>
    <x v="0"/>
    <x v="0"/>
    <x v="0"/>
    <x v="1"/>
    <s v="DK2_Medium"/>
    <x v="2"/>
    <x v="5"/>
    <x v="0"/>
    <x v="0"/>
  </r>
  <r>
    <x v="0"/>
    <x v="0"/>
    <x v="0"/>
    <x v="0"/>
    <x v="1"/>
    <s v="DK2_Medium"/>
    <x v="2"/>
    <x v="6"/>
    <x v="0"/>
    <x v="0"/>
  </r>
  <r>
    <x v="0"/>
    <x v="0"/>
    <x v="0"/>
    <x v="0"/>
    <x v="1"/>
    <s v="DK2_Medium"/>
    <x v="2"/>
    <x v="7"/>
    <x v="0"/>
    <x v="0"/>
  </r>
  <r>
    <x v="0"/>
    <x v="0"/>
    <x v="0"/>
    <x v="0"/>
    <x v="1"/>
    <s v="DK2_Medium"/>
    <x v="2"/>
    <x v="8"/>
    <x v="0"/>
    <x v="0"/>
  </r>
  <r>
    <x v="0"/>
    <x v="0"/>
    <x v="0"/>
    <x v="0"/>
    <x v="1"/>
    <s v="DK2_Medium"/>
    <x v="2"/>
    <x v="9"/>
    <x v="0"/>
    <x v="0"/>
  </r>
  <r>
    <x v="0"/>
    <x v="0"/>
    <x v="0"/>
    <x v="0"/>
    <x v="1"/>
    <s v="DK2_Medium"/>
    <x v="2"/>
    <x v="10"/>
    <x v="0"/>
    <x v="0"/>
  </r>
  <r>
    <x v="0"/>
    <x v="0"/>
    <x v="0"/>
    <x v="0"/>
    <x v="1"/>
    <s v="DK2_Medium"/>
    <x v="2"/>
    <x v="11"/>
    <x v="0"/>
    <x v="0"/>
  </r>
  <r>
    <x v="0"/>
    <x v="0"/>
    <x v="0"/>
    <x v="0"/>
    <x v="1"/>
    <s v="DK2_Medium"/>
    <x v="3"/>
    <x v="0"/>
    <x v="0"/>
    <x v="0"/>
  </r>
  <r>
    <x v="0"/>
    <x v="0"/>
    <x v="0"/>
    <x v="0"/>
    <x v="1"/>
    <s v="DK2_Medium"/>
    <x v="3"/>
    <x v="1"/>
    <x v="0"/>
    <x v="0"/>
  </r>
  <r>
    <x v="0"/>
    <x v="0"/>
    <x v="0"/>
    <x v="0"/>
    <x v="1"/>
    <s v="DK2_Medium"/>
    <x v="3"/>
    <x v="2"/>
    <x v="0"/>
    <x v="0"/>
  </r>
  <r>
    <x v="0"/>
    <x v="0"/>
    <x v="0"/>
    <x v="0"/>
    <x v="1"/>
    <s v="DK2_Medium"/>
    <x v="3"/>
    <x v="3"/>
    <x v="0"/>
    <x v="0"/>
  </r>
  <r>
    <x v="0"/>
    <x v="0"/>
    <x v="0"/>
    <x v="0"/>
    <x v="1"/>
    <s v="DK2_Medium"/>
    <x v="3"/>
    <x v="4"/>
    <x v="0"/>
    <x v="0"/>
  </r>
  <r>
    <x v="0"/>
    <x v="0"/>
    <x v="0"/>
    <x v="0"/>
    <x v="1"/>
    <s v="DK2_Medium"/>
    <x v="3"/>
    <x v="5"/>
    <x v="0"/>
    <x v="0"/>
  </r>
  <r>
    <x v="0"/>
    <x v="0"/>
    <x v="0"/>
    <x v="0"/>
    <x v="1"/>
    <s v="DK2_Medium"/>
    <x v="3"/>
    <x v="6"/>
    <x v="0"/>
    <x v="0"/>
  </r>
  <r>
    <x v="0"/>
    <x v="0"/>
    <x v="0"/>
    <x v="0"/>
    <x v="1"/>
    <s v="DK2_Medium"/>
    <x v="3"/>
    <x v="7"/>
    <x v="0"/>
    <x v="0"/>
  </r>
  <r>
    <x v="0"/>
    <x v="0"/>
    <x v="0"/>
    <x v="0"/>
    <x v="1"/>
    <s v="DK2_Medium"/>
    <x v="3"/>
    <x v="8"/>
    <x v="0"/>
    <x v="0"/>
  </r>
  <r>
    <x v="0"/>
    <x v="0"/>
    <x v="0"/>
    <x v="0"/>
    <x v="1"/>
    <s v="DK2_Medium"/>
    <x v="3"/>
    <x v="9"/>
    <x v="0"/>
    <x v="0"/>
  </r>
  <r>
    <x v="0"/>
    <x v="0"/>
    <x v="0"/>
    <x v="0"/>
    <x v="1"/>
    <s v="DK2_Medium"/>
    <x v="3"/>
    <x v="10"/>
    <x v="0"/>
    <x v="0"/>
  </r>
  <r>
    <x v="0"/>
    <x v="0"/>
    <x v="0"/>
    <x v="0"/>
    <x v="1"/>
    <s v="DK2_Medium"/>
    <x v="3"/>
    <x v="11"/>
    <x v="0"/>
    <x v="0"/>
  </r>
  <r>
    <x v="0"/>
    <x v="0"/>
    <x v="0"/>
    <x v="0"/>
    <x v="1"/>
    <s v="DK2_Medium"/>
    <x v="4"/>
    <x v="0"/>
    <x v="0"/>
    <x v="0"/>
  </r>
  <r>
    <x v="0"/>
    <x v="0"/>
    <x v="0"/>
    <x v="0"/>
    <x v="1"/>
    <s v="DK2_Medium"/>
    <x v="4"/>
    <x v="1"/>
    <x v="0"/>
    <x v="0"/>
  </r>
  <r>
    <x v="0"/>
    <x v="0"/>
    <x v="0"/>
    <x v="0"/>
    <x v="1"/>
    <s v="DK2_Medium"/>
    <x v="4"/>
    <x v="2"/>
    <x v="0"/>
    <x v="0"/>
  </r>
  <r>
    <x v="0"/>
    <x v="0"/>
    <x v="0"/>
    <x v="0"/>
    <x v="1"/>
    <s v="DK2_Medium"/>
    <x v="4"/>
    <x v="3"/>
    <x v="0"/>
    <x v="0"/>
  </r>
  <r>
    <x v="0"/>
    <x v="0"/>
    <x v="0"/>
    <x v="0"/>
    <x v="1"/>
    <s v="DK2_Medium"/>
    <x v="4"/>
    <x v="4"/>
    <x v="0"/>
    <x v="0"/>
  </r>
  <r>
    <x v="0"/>
    <x v="0"/>
    <x v="0"/>
    <x v="0"/>
    <x v="1"/>
    <s v="DK2_Medium"/>
    <x v="4"/>
    <x v="5"/>
    <x v="0"/>
    <x v="0"/>
  </r>
  <r>
    <x v="0"/>
    <x v="0"/>
    <x v="0"/>
    <x v="0"/>
    <x v="1"/>
    <s v="DK2_Medium"/>
    <x v="4"/>
    <x v="6"/>
    <x v="0"/>
    <x v="0"/>
  </r>
  <r>
    <x v="0"/>
    <x v="0"/>
    <x v="0"/>
    <x v="0"/>
    <x v="1"/>
    <s v="DK2_Medium"/>
    <x v="4"/>
    <x v="7"/>
    <x v="0"/>
    <x v="0"/>
  </r>
  <r>
    <x v="0"/>
    <x v="0"/>
    <x v="0"/>
    <x v="0"/>
    <x v="1"/>
    <s v="DK2_Medium"/>
    <x v="4"/>
    <x v="8"/>
    <x v="0"/>
    <x v="0"/>
  </r>
  <r>
    <x v="0"/>
    <x v="0"/>
    <x v="0"/>
    <x v="0"/>
    <x v="1"/>
    <s v="DK2_Medium"/>
    <x v="4"/>
    <x v="9"/>
    <x v="0"/>
    <x v="0"/>
  </r>
  <r>
    <x v="0"/>
    <x v="0"/>
    <x v="0"/>
    <x v="0"/>
    <x v="1"/>
    <s v="DK2_Medium"/>
    <x v="4"/>
    <x v="10"/>
    <x v="0"/>
    <x v="0"/>
  </r>
  <r>
    <x v="0"/>
    <x v="0"/>
    <x v="0"/>
    <x v="0"/>
    <x v="1"/>
    <s v="DK2_Medium"/>
    <x v="4"/>
    <x v="11"/>
    <x v="0"/>
    <x v="0"/>
  </r>
  <r>
    <x v="0"/>
    <x v="0"/>
    <x v="0"/>
    <x v="0"/>
    <x v="1"/>
    <s v="DK2_Medium"/>
    <x v="5"/>
    <x v="0"/>
    <x v="0"/>
    <x v="0"/>
  </r>
  <r>
    <x v="0"/>
    <x v="0"/>
    <x v="0"/>
    <x v="0"/>
    <x v="1"/>
    <s v="DK2_Medium"/>
    <x v="5"/>
    <x v="1"/>
    <x v="0"/>
    <x v="0"/>
  </r>
  <r>
    <x v="0"/>
    <x v="0"/>
    <x v="0"/>
    <x v="0"/>
    <x v="1"/>
    <s v="DK2_Medium"/>
    <x v="5"/>
    <x v="2"/>
    <x v="0"/>
    <x v="0"/>
  </r>
  <r>
    <x v="0"/>
    <x v="0"/>
    <x v="0"/>
    <x v="0"/>
    <x v="1"/>
    <s v="DK2_Medium"/>
    <x v="5"/>
    <x v="3"/>
    <x v="0"/>
    <x v="0"/>
  </r>
  <r>
    <x v="0"/>
    <x v="0"/>
    <x v="0"/>
    <x v="0"/>
    <x v="1"/>
    <s v="DK2_Medium"/>
    <x v="5"/>
    <x v="4"/>
    <x v="0"/>
    <x v="0"/>
  </r>
  <r>
    <x v="0"/>
    <x v="0"/>
    <x v="0"/>
    <x v="0"/>
    <x v="1"/>
    <s v="DK2_Medium"/>
    <x v="5"/>
    <x v="5"/>
    <x v="0"/>
    <x v="0"/>
  </r>
  <r>
    <x v="0"/>
    <x v="0"/>
    <x v="0"/>
    <x v="0"/>
    <x v="1"/>
    <s v="DK2_Medium"/>
    <x v="5"/>
    <x v="6"/>
    <x v="0"/>
    <x v="0"/>
  </r>
  <r>
    <x v="0"/>
    <x v="0"/>
    <x v="0"/>
    <x v="0"/>
    <x v="1"/>
    <s v="DK2_Medium"/>
    <x v="5"/>
    <x v="7"/>
    <x v="0"/>
    <x v="0"/>
  </r>
  <r>
    <x v="0"/>
    <x v="0"/>
    <x v="0"/>
    <x v="0"/>
    <x v="1"/>
    <s v="DK2_Medium"/>
    <x v="5"/>
    <x v="8"/>
    <x v="0"/>
    <x v="0"/>
  </r>
  <r>
    <x v="0"/>
    <x v="0"/>
    <x v="0"/>
    <x v="0"/>
    <x v="1"/>
    <s v="DK2_Medium"/>
    <x v="5"/>
    <x v="9"/>
    <x v="0"/>
    <x v="0"/>
  </r>
  <r>
    <x v="0"/>
    <x v="0"/>
    <x v="0"/>
    <x v="0"/>
    <x v="1"/>
    <s v="DK2_Medium"/>
    <x v="5"/>
    <x v="10"/>
    <x v="0"/>
    <x v="0"/>
  </r>
  <r>
    <x v="0"/>
    <x v="0"/>
    <x v="0"/>
    <x v="0"/>
    <x v="1"/>
    <s v="DK2_Medium"/>
    <x v="5"/>
    <x v="11"/>
    <x v="0"/>
    <x v="0"/>
  </r>
  <r>
    <x v="0"/>
    <x v="0"/>
    <x v="0"/>
    <x v="0"/>
    <x v="1"/>
    <s v="DK2_Medium"/>
    <x v="6"/>
    <x v="0"/>
    <x v="0"/>
    <x v="0"/>
  </r>
  <r>
    <x v="0"/>
    <x v="0"/>
    <x v="0"/>
    <x v="0"/>
    <x v="1"/>
    <s v="DK2_Medium"/>
    <x v="6"/>
    <x v="1"/>
    <x v="0"/>
    <x v="0"/>
  </r>
  <r>
    <x v="0"/>
    <x v="0"/>
    <x v="0"/>
    <x v="0"/>
    <x v="1"/>
    <s v="DK2_Medium"/>
    <x v="6"/>
    <x v="2"/>
    <x v="0"/>
    <x v="0"/>
  </r>
  <r>
    <x v="0"/>
    <x v="0"/>
    <x v="0"/>
    <x v="0"/>
    <x v="1"/>
    <s v="DK2_Medium"/>
    <x v="6"/>
    <x v="3"/>
    <x v="0"/>
    <x v="0"/>
  </r>
  <r>
    <x v="0"/>
    <x v="0"/>
    <x v="0"/>
    <x v="0"/>
    <x v="1"/>
    <s v="DK2_Medium"/>
    <x v="6"/>
    <x v="4"/>
    <x v="0"/>
    <x v="0"/>
  </r>
  <r>
    <x v="0"/>
    <x v="0"/>
    <x v="0"/>
    <x v="0"/>
    <x v="1"/>
    <s v="DK2_Medium"/>
    <x v="6"/>
    <x v="5"/>
    <x v="0"/>
    <x v="0"/>
  </r>
  <r>
    <x v="0"/>
    <x v="0"/>
    <x v="0"/>
    <x v="0"/>
    <x v="1"/>
    <s v="DK2_Medium"/>
    <x v="6"/>
    <x v="6"/>
    <x v="0"/>
    <x v="0"/>
  </r>
  <r>
    <x v="0"/>
    <x v="0"/>
    <x v="0"/>
    <x v="0"/>
    <x v="1"/>
    <s v="DK2_Medium"/>
    <x v="6"/>
    <x v="7"/>
    <x v="0"/>
    <x v="0"/>
  </r>
  <r>
    <x v="0"/>
    <x v="0"/>
    <x v="0"/>
    <x v="0"/>
    <x v="1"/>
    <s v="DK2_Medium"/>
    <x v="6"/>
    <x v="8"/>
    <x v="0"/>
    <x v="0"/>
  </r>
  <r>
    <x v="0"/>
    <x v="0"/>
    <x v="0"/>
    <x v="0"/>
    <x v="1"/>
    <s v="DK2_Medium"/>
    <x v="6"/>
    <x v="9"/>
    <x v="0"/>
    <x v="0"/>
  </r>
  <r>
    <x v="0"/>
    <x v="0"/>
    <x v="0"/>
    <x v="0"/>
    <x v="1"/>
    <s v="DK2_Medium"/>
    <x v="6"/>
    <x v="10"/>
    <x v="0"/>
    <x v="0"/>
  </r>
  <r>
    <x v="0"/>
    <x v="0"/>
    <x v="0"/>
    <x v="0"/>
    <x v="1"/>
    <s v="DK2_Medium"/>
    <x v="6"/>
    <x v="11"/>
    <x v="0"/>
    <x v="0"/>
  </r>
  <r>
    <x v="0"/>
    <x v="0"/>
    <x v="0"/>
    <x v="0"/>
    <x v="1"/>
    <s v="DK2_Medium"/>
    <x v="7"/>
    <x v="0"/>
    <x v="0"/>
    <x v="0"/>
  </r>
  <r>
    <x v="0"/>
    <x v="0"/>
    <x v="0"/>
    <x v="0"/>
    <x v="1"/>
    <s v="DK2_Medium"/>
    <x v="7"/>
    <x v="1"/>
    <x v="0"/>
    <x v="0"/>
  </r>
  <r>
    <x v="0"/>
    <x v="0"/>
    <x v="0"/>
    <x v="0"/>
    <x v="1"/>
    <s v="DK2_Medium"/>
    <x v="7"/>
    <x v="2"/>
    <x v="0"/>
    <x v="0"/>
  </r>
  <r>
    <x v="0"/>
    <x v="0"/>
    <x v="0"/>
    <x v="0"/>
    <x v="1"/>
    <s v="DK2_Medium"/>
    <x v="7"/>
    <x v="3"/>
    <x v="0"/>
    <x v="0"/>
  </r>
  <r>
    <x v="0"/>
    <x v="0"/>
    <x v="0"/>
    <x v="0"/>
    <x v="1"/>
    <s v="DK2_Medium"/>
    <x v="7"/>
    <x v="4"/>
    <x v="0"/>
    <x v="0"/>
  </r>
  <r>
    <x v="0"/>
    <x v="0"/>
    <x v="0"/>
    <x v="0"/>
    <x v="1"/>
    <s v="DK2_Medium"/>
    <x v="7"/>
    <x v="5"/>
    <x v="0"/>
    <x v="0"/>
  </r>
  <r>
    <x v="0"/>
    <x v="0"/>
    <x v="0"/>
    <x v="0"/>
    <x v="1"/>
    <s v="DK2_Medium"/>
    <x v="7"/>
    <x v="6"/>
    <x v="0"/>
    <x v="0"/>
  </r>
  <r>
    <x v="0"/>
    <x v="0"/>
    <x v="0"/>
    <x v="0"/>
    <x v="1"/>
    <s v="DK2_Medium"/>
    <x v="7"/>
    <x v="7"/>
    <x v="0"/>
    <x v="0"/>
  </r>
  <r>
    <x v="0"/>
    <x v="0"/>
    <x v="0"/>
    <x v="0"/>
    <x v="1"/>
    <s v="DK2_Medium"/>
    <x v="7"/>
    <x v="8"/>
    <x v="0"/>
    <x v="0"/>
  </r>
  <r>
    <x v="0"/>
    <x v="0"/>
    <x v="0"/>
    <x v="0"/>
    <x v="1"/>
    <s v="DK2_Medium"/>
    <x v="7"/>
    <x v="9"/>
    <x v="0"/>
    <x v="0"/>
  </r>
  <r>
    <x v="0"/>
    <x v="0"/>
    <x v="0"/>
    <x v="0"/>
    <x v="1"/>
    <s v="DK2_Medium"/>
    <x v="7"/>
    <x v="10"/>
    <x v="0"/>
    <x v="0"/>
  </r>
  <r>
    <x v="0"/>
    <x v="0"/>
    <x v="0"/>
    <x v="0"/>
    <x v="1"/>
    <s v="DK2_Medium"/>
    <x v="7"/>
    <x v="11"/>
    <x v="0"/>
    <x v="0"/>
  </r>
  <r>
    <x v="0"/>
    <x v="0"/>
    <x v="0"/>
    <x v="0"/>
    <x v="1"/>
    <s v="DK2_Medium"/>
    <x v="8"/>
    <x v="0"/>
    <x v="0"/>
    <x v="0"/>
  </r>
  <r>
    <x v="0"/>
    <x v="0"/>
    <x v="0"/>
    <x v="0"/>
    <x v="1"/>
    <s v="DK2_Medium"/>
    <x v="8"/>
    <x v="1"/>
    <x v="0"/>
    <x v="0"/>
  </r>
  <r>
    <x v="0"/>
    <x v="0"/>
    <x v="0"/>
    <x v="0"/>
    <x v="1"/>
    <s v="DK2_Medium"/>
    <x v="8"/>
    <x v="2"/>
    <x v="0"/>
    <x v="0"/>
  </r>
  <r>
    <x v="0"/>
    <x v="0"/>
    <x v="0"/>
    <x v="0"/>
    <x v="1"/>
    <s v="DK2_Medium"/>
    <x v="8"/>
    <x v="3"/>
    <x v="0"/>
    <x v="0"/>
  </r>
  <r>
    <x v="0"/>
    <x v="0"/>
    <x v="0"/>
    <x v="0"/>
    <x v="1"/>
    <s v="DK2_Medium"/>
    <x v="8"/>
    <x v="4"/>
    <x v="0"/>
    <x v="0"/>
  </r>
  <r>
    <x v="0"/>
    <x v="0"/>
    <x v="0"/>
    <x v="0"/>
    <x v="1"/>
    <s v="DK2_Medium"/>
    <x v="8"/>
    <x v="5"/>
    <x v="0"/>
    <x v="0"/>
  </r>
  <r>
    <x v="0"/>
    <x v="0"/>
    <x v="0"/>
    <x v="0"/>
    <x v="1"/>
    <s v="DK2_Medium"/>
    <x v="8"/>
    <x v="6"/>
    <x v="0"/>
    <x v="0"/>
  </r>
  <r>
    <x v="0"/>
    <x v="0"/>
    <x v="0"/>
    <x v="0"/>
    <x v="1"/>
    <s v="DK2_Medium"/>
    <x v="8"/>
    <x v="7"/>
    <x v="0"/>
    <x v="0"/>
  </r>
  <r>
    <x v="0"/>
    <x v="0"/>
    <x v="0"/>
    <x v="0"/>
    <x v="1"/>
    <s v="DK2_Medium"/>
    <x v="8"/>
    <x v="8"/>
    <x v="0"/>
    <x v="0"/>
  </r>
  <r>
    <x v="0"/>
    <x v="0"/>
    <x v="0"/>
    <x v="0"/>
    <x v="1"/>
    <s v="DK2_Medium"/>
    <x v="8"/>
    <x v="9"/>
    <x v="0"/>
    <x v="0"/>
  </r>
  <r>
    <x v="0"/>
    <x v="0"/>
    <x v="0"/>
    <x v="0"/>
    <x v="1"/>
    <s v="DK2_Medium"/>
    <x v="8"/>
    <x v="10"/>
    <x v="0"/>
    <x v="0"/>
  </r>
  <r>
    <x v="0"/>
    <x v="0"/>
    <x v="0"/>
    <x v="0"/>
    <x v="1"/>
    <s v="DK2_Medium"/>
    <x v="8"/>
    <x v="11"/>
    <x v="0"/>
    <x v="0"/>
  </r>
  <r>
    <x v="0"/>
    <x v="0"/>
    <x v="0"/>
    <x v="0"/>
    <x v="1"/>
    <s v="DK2_Medium"/>
    <x v="9"/>
    <x v="0"/>
    <x v="0"/>
    <x v="0"/>
  </r>
  <r>
    <x v="0"/>
    <x v="0"/>
    <x v="0"/>
    <x v="0"/>
    <x v="1"/>
    <s v="DK2_Medium"/>
    <x v="9"/>
    <x v="1"/>
    <x v="0"/>
    <x v="0"/>
  </r>
  <r>
    <x v="0"/>
    <x v="0"/>
    <x v="0"/>
    <x v="0"/>
    <x v="1"/>
    <s v="DK2_Medium"/>
    <x v="9"/>
    <x v="2"/>
    <x v="0"/>
    <x v="0"/>
  </r>
  <r>
    <x v="0"/>
    <x v="0"/>
    <x v="0"/>
    <x v="0"/>
    <x v="1"/>
    <s v="DK2_Medium"/>
    <x v="9"/>
    <x v="3"/>
    <x v="0"/>
    <x v="0"/>
  </r>
  <r>
    <x v="0"/>
    <x v="0"/>
    <x v="0"/>
    <x v="0"/>
    <x v="1"/>
    <s v="DK2_Medium"/>
    <x v="9"/>
    <x v="4"/>
    <x v="0"/>
    <x v="0"/>
  </r>
  <r>
    <x v="0"/>
    <x v="0"/>
    <x v="0"/>
    <x v="0"/>
    <x v="1"/>
    <s v="DK2_Medium"/>
    <x v="9"/>
    <x v="5"/>
    <x v="0"/>
    <x v="0"/>
  </r>
  <r>
    <x v="0"/>
    <x v="0"/>
    <x v="0"/>
    <x v="0"/>
    <x v="1"/>
    <s v="DK2_Medium"/>
    <x v="9"/>
    <x v="6"/>
    <x v="0"/>
    <x v="0"/>
  </r>
  <r>
    <x v="0"/>
    <x v="0"/>
    <x v="0"/>
    <x v="0"/>
    <x v="1"/>
    <s v="DK2_Medium"/>
    <x v="9"/>
    <x v="7"/>
    <x v="0"/>
    <x v="0"/>
  </r>
  <r>
    <x v="0"/>
    <x v="0"/>
    <x v="0"/>
    <x v="0"/>
    <x v="1"/>
    <s v="DK2_Medium"/>
    <x v="9"/>
    <x v="8"/>
    <x v="0"/>
    <x v="0"/>
  </r>
  <r>
    <x v="0"/>
    <x v="0"/>
    <x v="0"/>
    <x v="0"/>
    <x v="1"/>
    <s v="DK2_Medium"/>
    <x v="9"/>
    <x v="9"/>
    <x v="0"/>
    <x v="0"/>
  </r>
  <r>
    <x v="0"/>
    <x v="0"/>
    <x v="0"/>
    <x v="0"/>
    <x v="1"/>
    <s v="DK2_Medium"/>
    <x v="9"/>
    <x v="10"/>
    <x v="0"/>
    <x v="0"/>
  </r>
  <r>
    <x v="0"/>
    <x v="0"/>
    <x v="0"/>
    <x v="0"/>
    <x v="1"/>
    <s v="DK2_Medium"/>
    <x v="9"/>
    <x v="11"/>
    <x v="0"/>
    <x v="0"/>
  </r>
  <r>
    <x v="0"/>
    <x v="0"/>
    <x v="0"/>
    <x v="0"/>
    <x v="1"/>
    <s v="DK2_Medium"/>
    <x v="10"/>
    <x v="0"/>
    <x v="0"/>
    <x v="0"/>
  </r>
  <r>
    <x v="0"/>
    <x v="0"/>
    <x v="0"/>
    <x v="0"/>
    <x v="1"/>
    <s v="DK2_Medium"/>
    <x v="10"/>
    <x v="1"/>
    <x v="0"/>
    <x v="0"/>
  </r>
  <r>
    <x v="0"/>
    <x v="0"/>
    <x v="0"/>
    <x v="0"/>
    <x v="1"/>
    <s v="DK2_Medium"/>
    <x v="10"/>
    <x v="2"/>
    <x v="0"/>
    <x v="0"/>
  </r>
  <r>
    <x v="0"/>
    <x v="0"/>
    <x v="0"/>
    <x v="0"/>
    <x v="1"/>
    <s v="DK2_Medium"/>
    <x v="10"/>
    <x v="3"/>
    <x v="0"/>
    <x v="0"/>
  </r>
  <r>
    <x v="0"/>
    <x v="0"/>
    <x v="0"/>
    <x v="0"/>
    <x v="1"/>
    <s v="DK2_Medium"/>
    <x v="10"/>
    <x v="4"/>
    <x v="0"/>
    <x v="0"/>
  </r>
  <r>
    <x v="0"/>
    <x v="0"/>
    <x v="0"/>
    <x v="0"/>
    <x v="1"/>
    <s v="DK2_Medium"/>
    <x v="10"/>
    <x v="5"/>
    <x v="0"/>
    <x v="0"/>
  </r>
  <r>
    <x v="0"/>
    <x v="0"/>
    <x v="0"/>
    <x v="0"/>
    <x v="1"/>
    <s v="DK2_Medium"/>
    <x v="10"/>
    <x v="6"/>
    <x v="0"/>
    <x v="0"/>
  </r>
  <r>
    <x v="0"/>
    <x v="0"/>
    <x v="0"/>
    <x v="0"/>
    <x v="1"/>
    <s v="DK2_Medium"/>
    <x v="10"/>
    <x v="7"/>
    <x v="0"/>
    <x v="0"/>
  </r>
  <r>
    <x v="0"/>
    <x v="0"/>
    <x v="0"/>
    <x v="0"/>
    <x v="1"/>
    <s v="DK2_Medium"/>
    <x v="10"/>
    <x v="8"/>
    <x v="0"/>
    <x v="0"/>
  </r>
  <r>
    <x v="0"/>
    <x v="0"/>
    <x v="0"/>
    <x v="0"/>
    <x v="1"/>
    <s v="DK2_Medium"/>
    <x v="10"/>
    <x v="9"/>
    <x v="0"/>
    <x v="0"/>
  </r>
  <r>
    <x v="0"/>
    <x v="0"/>
    <x v="0"/>
    <x v="0"/>
    <x v="1"/>
    <s v="DK2_Medium"/>
    <x v="10"/>
    <x v="10"/>
    <x v="0"/>
    <x v="0"/>
  </r>
  <r>
    <x v="0"/>
    <x v="0"/>
    <x v="0"/>
    <x v="0"/>
    <x v="1"/>
    <s v="DK2_Medium"/>
    <x v="10"/>
    <x v="11"/>
    <x v="0"/>
    <x v="0"/>
  </r>
  <r>
    <x v="0"/>
    <x v="0"/>
    <x v="0"/>
    <x v="0"/>
    <x v="1"/>
    <s v="DK2_Medium"/>
    <x v="11"/>
    <x v="0"/>
    <x v="0"/>
    <x v="0"/>
  </r>
  <r>
    <x v="0"/>
    <x v="0"/>
    <x v="0"/>
    <x v="0"/>
    <x v="1"/>
    <s v="DK2_Medium"/>
    <x v="11"/>
    <x v="1"/>
    <x v="0"/>
    <x v="0"/>
  </r>
  <r>
    <x v="0"/>
    <x v="0"/>
    <x v="0"/>
    <x v="0"/>
    <x v="1"/>
    <s v="DK2_Medium"/>
    <x v="11"/>
    <x v="2"/>
    <x v="0"/>
    <x v="0"/>
  </r>
  <r>
    <x v="0"/>
    <x v="0"/>
    <x v="0"/>
    <x v="0"/>
    <x v="1"/>
    <s v="DK2_Medium"/>
    <x v="11"/>
    <x v="3"/>
    <x v="0"/>
    <x v="0"/>
  </r>
  <r>
    <x v="0"/>
    <x v="0"/>
    <x v="0"/>
    <x v="0"/>
    <x v="1"/>
    <s v="DK2_Medium"/>
    <x v="11"/>
    <x v="4"/>
    <x v="0"/>
    <x v="0"/>
  </r>
  <r>
    <x v="0"/>
    <x v="0"/>
    <x v="0"/>
    <x v="0"/>
    <x v="1"/>
    <s v="DK2_Medium"/>
    <x v="11"/>
    <x v="5"/>
    <x v="0"/>
    <x v="0"/>
  </r>
  <r>
    <x v="0"/>
    <x v="0"/>
    <x v="0"/>
    <x v="0"/>
    <x v="1"/>
    <s v="DK2_Medium"/>
    <x v="11"/>
    <x v="6"/>
    <x v="0"/>
    <x v="0"/>
  </r>
  <r>
    <x v="0"/>
    <x v="0"/>
    <x v="0"/>
    <x v="0"/>
    <x v="1"/>
    <s v="DK2_Medium"/>
    <x v="11"/>
    <x v="7"/>
    <x v="0"/>
    <x v="0"/>
  </r>
  <r>
    <x v="0"/>
    <x v="0"/>
    <x v="0"/>
    <x v="0"/>
    <x v="1"/>
    <s v="DK2_Medium"/>
    <x v="11"/>
    <x v="8"/>
    <x v="0"/>
    <x v="0"/>
  </r>
  <r>
    <x v="0"/>
    <x v="0"/>
    <x v="0"/>
    <x v="0"/>
    <x v="1"/>
    <s v="DK2_Medium"/>
    <x v="11"/>
    <x v="9"/>
    <x v="0"/>
    <x v="0"/>
  </r>
  <r>
    <x v="0"/>
    <x v="0"/>
    <x v="0"/>
    <x v="0"/>
    <x v="1"/>
    <s v="DK2_Medium"/>
    <x v="11"/>
    <x v="10"/>
    <x v="0"/>
    <x v="0"/>
  </r>
  <r>
    <x v="0"/>
    <x v="0"/>
    <x v="0"/>
    <x v="0"/>
    <x v="1"/>
    <s v="DK2_Medium"/>
    <x v="11"/>
    <x v="11"/>
    <x v="0"/>
    <x v="0"/>
  </r>
  <r>
    <x v="0"/>
    <x v="0"/>
    <x v="0"/>
    <x v="0"/>
    <x v="1"/>
    <s v="DK2_Rural"/>
    <x v="0"/>
    <x v="0"/>
    <x v="0"/>
    <x v="0"/>
  </r>
  <r>
    <x v="0"/>
    <x v="0"/>
    <x v="0"/>
    <x v="0"/>
    <x v="1"/>
    <s v="DK2_Rural"/>
    <x v="0"/>
    <x v="1"/>
    <x v="0"/>
    <x v="0"/>
  </r>
  <r>
    <x v="0"/>
    <x v="0"/>
    <x v="0"/>
    <x v="0"/>
    <x v="1"/>
    <s v="DK2_Rural"/>
    <x v="0"/>
    <x v="2"/>
    <x v="0"/>
    <x v="0"/>
  </r>
  <r>
    <x v="0"/>
    <x v="0"/>
    <x v="0"/>
    <x v="0"/>
    <x v="1"/>
    <s v="DK2_Rural"/>
    <x v="0"/>
    <x v="3"/>
    <x v="0"/>
    <x v="0"/>
  </r>
  <r>
    <x v="0"/>
    <x v="0"/>
    <x v="0"/>
    <x v="0"/>
    <x v="1"/>
    <s v="DK2_Rural"/>
    <x v="0"/>
    <x v="4"/>
    <x v="0"/>
    <x v="0"/>
  </r>
  <r>
    <x v="0"/>
    <x v="0"/>
    <x v="0"/>
    <x v="0"/>
    <x v="1"/>
    <s v="DK2_Rural"/>
    <x v="0"/>
    <x v="5"/>
    <x v="0"/>
    <x v="0"/>
  </r>
  <r>
    <x v="0"/>
    <x v="0"/>
    <x v="0"/>
    <x v="0"/>
    <x v="1"/>
    <s v="DK2_Rural"/>
    <x v="0"/>
    <x v="6"/>
    <x v="0"/>
    <x v="0"/>
  </r>
  <r>
    <x v="0"/>
    <x v="0"/>
    <x v="0"/>
    <x v="0"/>
    <x v="1"/>
    <s v="DK2_Rural"/>
    <x v="0"/>
    <x v="7"/>
    <x v="0"/>
    <x v="0"/>
  </r>
  <r>
    <x v="0"/>
    <x v="0"/>
    <x v="0"/>
    <x v="0"/>
    <x v="1"/>
    <s v="DK2_Rural"/>
    <x v="0"/>
    <x v="8"/>
    <x v="0"/>
    <x v="0"/>
  </r>
  <r>
    <x v="0"/>
    <x v="0"/>
    <x v="0"/>
    <x v="0"/>
    <x v="1"/>
    <s v="DK2_Rural"/>
    <x v="0"/>
    <x v="9"/>
    <x v="0"/>
    <x v="0"/>
  </r>
  <r>
    <x v="0"/>
    <x v="0"/>
    <x v="0"/>
    <x v="0"/>
    <x v="1"/>
    <s v="DK2_Rural"/>
    <x v="0"/>
    <x v="10"/>
    <x v="0"/>
    <x v="0"/>
  </r>
  <r>
    <x v="0"/>
    <x v="0"/>
    <x v="0"/>
    <x v="0"/>
    <x v="1"/>
    <s v="DK2_Rural"/>
    <x v="0"/>
    <x v="11"/>
    <x v="0"/>
    <x v="0"/>
  </r>
  <r>
    <x v="0"/>
    <x v="0"/>
    <x v="0"/>
    <x v="0"/>
    <x v="1"/>
    <s v="DK2_Rural"/>
    <x v="1"/>
    <x v="0"/>
    <x v="0"/>
    <x v="0"/>
  </r>
  <r>
    <x v="0"/>
    <x v="0"/>
    <x v="0"/>
    <x v="0"/>
    <x v="1"/>
    <s v="DK2_Rural"/>
    <x v="1"/>
    <x v="1"/>
    <x v="0"/>
    <x v="0"/>
  </r>
  <r>
    <x v="0"/>
    <x v="0"/>
    <x v="0"/>
    <x v="0"/>
    <x v="1"/>
    <s v="DK2_Rural"/>
    <x v="1"/>
    <x v="2"/>
    <x v="0"/>
    <x v="0"/>
  </r>
  <r>
    <x v="0"/>
    <x v="0"/>
    <x v="0"/>
    <x v="0"/>
    <x v="1"/>
    <s v="DK2_Rural"/>
    <x v="1"/>
    <x v="3"/>
    <x v="0"/>
    <x v="0"/>
  </r>
  <r>
    <x v="0"/>
    <x v="0"/>
    <x v="0"/>
    <x v="0"/>
    <x v="1"/>
    <s v="DK2_Rural"/>
    <x v="1"/>
    <x v="4"/>
    <x v="0"/>
    <x v="0"/>
  </r>
  <r>
    <x v="0"/>
    <x v="0"/>
    <x v="0"/>
    <x v="0"/>
    <x v="1"/>
    <s v="DK2_Rural"/>
    <x v="1"/>
    <x v="5"/>
    <x v="0"/>
    <x v="0"/>
  </r>
  <r>
    <x v="0"/>
    <x v="0"/>
    <x v="0"/>
    <x v="0"/>
    <x v="1"/>
    <s v="DK2_Rural"/>
    <x v="1"/>
    <x v="6"/>
    <x v="0"/>
    <x v="0"/>
  </r>
  <r>
    <x v="0"/>
    <x v="0"/>
    <x v="0"/>
    <x v="0"/>
    <x v="1"/>
    <s v="DK2_Rural"/>
    <x v="1"/>
    <x v="7"/>
    <x v="0"/>
    <x v="0"/>
  </r>
  <r>
    <x v="0"/>
    <x v="0"/>
    <x v="0"/>
    <x v="0"/>
    <x v="1"/>
    <s v="DK2_Rural"/>
    <x v="1"/>
    <x v="8"/>
    <x v="0"/>
    <x v="0"/>
  </r>
  <r>
    <x v="0"/>
    <x v="0"/>
    <x v="0"/>
    <x v="0"/>
    <x v="1"/>
    <s v="DK2_Rural"/>
    <x v="1"/>
    <x v="9"/>
    <x v="0"/>
    <x v="0"/>
  </r>
  <r>
    <x v="0"/>
    <x v="0"/>
    <x v="0"/>
    <x v="0"/>
    <x v="1"/>
    <s v="DK2_Rural"/>
    <x v="1"/>
    <x v="10"/>
    <x v="0"/>
    <x v="0"/>
  </r>
  <r>
    <x v="0"/>
    <x v="0"/>
    <x v="0"/>
    <x v="0"/>
    <x v="1"/>
    <s v="DK2_Rural"/>
    <x v="1"/>
    <x v="11"/>
    <x v="0"/>
    <x v="0"/>
  </r>
  <r>
    <x v="0"/>
    <x v="0"/>
    <x v="0"/>
    <x v="0"/>
    <x v="1"/>
    <s v="DK2_Rural"/>
    <x v="2"/>
    <x v="0"/>
    <x v="0"/>
    <x v="0"/>
  </r>
  <r>
    <x v="0"/>
    <x v="0"/>
    <x v="0"/>
    <x v="0"/>
    <x v="1"/>
    <s v="DK2_Rural"/>
    <x v="2"/>
    <x v="1"/>
    <x v="0"/>
    <x v="0"/>
  </r>
  <r>
    <x v="0"/>
    <x v="0"/>
    <x v="0"/>
    <x v="0"/>
    <x v="1"/>
    <s v="DK2_Rural"/>
    <x v="2"/>
    <x v="2"/>
    <x v="0"/>
    <x v="0"/>
  </r>
  <r>
    <x v="0"/>
    <x v="0"/>
    <x v="0"/>
    <x v="0"/>
    <x v="1"/>
    <s v="DK2_Rural"/>
    <x v="2"/>
    <x v="3"/>
    <x v="0"/>
    <x v="0"/>
  </r>
  <r>
    <x v="0"/>
    <x v="0"/>
    <x v="0"/>
    <x v="0"/>
    <x v="1"/>
    <s v="DK2_Rural"/>
    <x v="2"/>
    <x v="4"/>
    <x v="0"/>
    <x v="0"/>
  </r>
  <r>
    <x v="0"/>
    <x v="0"/>
    <x v="0"/>
    <x v="0"/>
    <x v="1"/>
    <s v="DK2_Rural"/>
    <x v="2"/>
    <x v="5"/>
    <x v="0"/>
    <x v="0"/>
  </r>
  <r>
    <x v="0"/>
    <x v="0"/>
    <x v="0"/>
    <x v="0"/>
    <x v="1"/>
    <s v="DK2_Rural"/>
    <x v="2"/>
    <x v="6"/>
    <x v="0"/>
    <x v="0"/>
  </r>
  <r>
    <x v="0"/>
    <x v="0"/>
    <x v="0"/>
    <x v="0"/>
    <x v="1"/>
    <s v="DK2_Rural"/>
    <x v="2"/>
    <x v="7"/>
    <x v="0"/>
    <x v="0"/>
  </r>
  <r>
    <x v="0"/>
    <x v="0"/>
    <x v="0"/>
    <x v="0"/>
    <x v="1"/>
    <s v="DK2_Rural"/>
    <x v="2"/>
    <x v="8"/>
    <x v="0"/>
    <x v="0"/>
  </r>
  <r>
    <x v="0"/>
    <x v="0"/>
    <x v="0"/>
    <x v="0"/>
    <x v="1"/>
    <s v="DK2_Rural"/>
    <x v="2"/>
    <x v="9"/>
    <x v="0"/>
    <x v="0"/>
  </r>
  <r>
    <x v="0"/>
    <x v="0"/>
    <x v="0"/>
    <x v="0"/>
    <x v="1"/>
    <s v="DK2_Rural"/>
    <x v="2"/>
    <x v="10"/>
    <x v="0"/>
    <x v="0"/>
  </r>
  <r>
    <x v="0"/>
    <x v="0"/>
    <x v="0"/>
    <x v="0"/>
    <x v="1"/>
    <s v="DK2_Rural"/>
    <x v="2"/>
    <x v="11"/>
    <x v="0"/>
    <x v="0"/>
  </r>
  <r>
    <x v="0"/>
    <x v="0"/>
    <x v="0"/>
    <x v="0"/>
    <x v="1"/>
    <s v="DK2_Rural"/>
    <x v="3"/>
    <x v="0"/>
    <x v="0"/>
    <x v="0"/>
  </r>
  <r>
    <x v="0"/>
    <x v="0"/>
    <x v="0"/>
    <x v="0"/>
    <x v="1"/>
    <s v="DK2_Rural"/>
    <x v="3"/>
    <x v="1"/>
    <x v="0"/>
    <x v="0"/>
  </r>
  <r>
    <x v="0"/>
    <x v="0"/>
    <x v="0"/>
    <x v="0"/>
    <x v="1"/>
    <s v="DK2_Rural"/>
    <x v="3"/>
    <x v="2"/>
    <x v="0"/>
    <x v="0"/>
  </r>
  <r>
    <x v="0"/>
    <x v="0"/>
    <x v="0"/>
    <x v="0"/>
    <x v="1"/>
    <s v="DK2_Rural"/>
    <x v="3"/>
    <x v="3"/>
    <x v="0"/>
    <x v="0"/>
  </r>
  <r>
    <x v="0"/>
    <x v="0"/>
    <x v="0"/>
    <x v="0"/>
    <x v="1"/>
    <s v="DK2_Rural"/>
    <x v="3"/>
    <x v="4"/>
    <x v="0"/>
    <x v="0"/>
  </r>
  <r>
    <x v="0"/>
    <x v="0"/>
    <x v="0"/>
    <x v="0"/>
    <x v="1"/>
    <s v="DK2_Rural"/>
    <x v="3"/>
    <x v="5"/>
    <x v="0"/>
    <x v="0"/>
  </r>
  <r>
    <x v="0"/>
    <x v="0"/>
    <x v="0"/>
    <x v="0"/>
    <x v="1"/>
    <s v="DK2_Rural"/>
    <x v="3"/>
    <x v="6"/>
    <x v="0"/>
    <x v="0"/>
  </r>
  <r>
    <x v="0"/>
    <x v="0"/>
    <x v="0"/>
    <x v="0"/>
    <x v="1"/>
    <s v="DK2_Rural"/>
    <x v="3"/>
    <x v="7"/>
    <x v="0"/>
    <x v="0"/>
  </r>
  <r>
    <x v="0"/>
    <x v="0"/>
    <x v="0"/>
    <x v="0"/>
    <x v="1"/>
    <s v="DK2_Rural"/>
    <x v="3"/>
    <x v="8"/>
    <x v="0"/>
    <x v="0"/>
  </r>
  <r>
    <x v="0"/>
    <x v="0"/>
    <x v="0"/>
    <x v="0"/>
    <x v="1"/>
    <s v="DK2_Rural"/>
    <x v="3"/>
    <x v="9"/>
    <x v="0"/>
    <x v="0"/>
  </r>
  <r>
    <x v="0"/>
    <x v="0"/>
    <x v="0"/>
    <x v="0"/>
    <x v="1"/>
    <s v="DK2_Rural"/>
    <x v="3"/>
    <x v="10"/>
    <x v="0"/>
    <x v="0"/>
  </r>
  <r>
    <x v="0"/>
    <x v="0"/>
    <x v="0"/>
    <x v="0"/>
    <x v="1"/>
    <s v="DK2_Rural"/>
    <x v="3"/>
    <x v="11"/>
    <x v="0"/>
    <x v="0"/>
  </r>
  <r>
    <x v="0"/>
    <x v="0"/>
    <x v="0"/>
    <x v="0"/>
    <x v="1"/>
    <s v="DK2_Rural"/>
    <x v="4"/>
    <x v="0"/>
    <x v="0"/>
    <x v="0"/>
  </r>
  <r>
    <x v="0"/>
    <x v="0"/>
    <x v="0"/>
    <x v="0"/>
    <x v="1"/>
    <s v="DK2_Rural"/>
    <x v="4"/>
    <x v="1"/>
    <x v="0"/>
    <x v="0"/>
  </r>
  <r>
    <x v="0"/>
    <x v="0"/>
    <x v="0"/>
    <x v="0"/>
    <x v="1"/>
    <s v="DK2_Rural"/>
    <x v="4"/>
    <x v="2"/>
    <x v="0"/>
    <x v="0"/>
  </r>
  <r>
    <x v="0"/>
    <x v="0"/>
    <x v="0"/>
    <x v="0"/>
    <x v="1"/>
    <s v="DK2_Rural"/>
    <x v="4"/>
    <x v="3"/>
    <x v="0"/>
    <x v="0"/>
  </r>
  <r>
    <x v="0"/>
    <x v="0"/>
    <x v="0"/>
    <x v="0"/>
    <x v="1"/>
    <s v="DK2_Rural"/>
    <x v="4"/>
    <x v="4"/>
    <x v="0"/>
    <x v="0"/>
  </r>
  <r>
    <x v="0"/>
    <x v="0"/>
    <x v="0"/>
    <x v="0"/>
    <x v="1"/>
    <s v="DK2_Rural"/>
    <x v="4"/>
    <x v="5"/>
    <x v="0"/>
    <x v="0"/>
  </r>
  <r>
    <x v="0"/>
    <x v="0"/>
    <x v="0"/>
    <x v="0"/>
    <x v="1"/>
    <s v="DK2_Rural"/>
    <x v="4"/>
    <x v="6"/>
    <x v="0"/>
    <x v="0"/>
  </r>
  <r>
    <x v="0"/>
    <x v="0"/>
    <x v="0"/>
    <x v="0"/>
    <x v="1"/>
    <s v="DK2_Rural"/>
    <x v="4"/>
    <x v="7"/>
    <x v="0"/>
    <x v="0"/>
  </r>
  <r>
    <x v="0"/>
    <x v="0"/>
    <x v="0"/>
    <x v="0"/>
    <x v="1"/>
    <s v="DK2_Rural"/>
    <x v="4"/>
    <x v="8"/>
    <x v="0"/>
    <x v="0"/>
  </r>
  <r>
    <x v="0"/>
    <x v="0"/>
    <x v="0"/>
    <x v="0"/>
    <x v="1"/>
    <s v="DK2_Rural"/>
    <x v="4"/>
    <x v="9"/>
    <x v="0"/>
    <x v="0"/>
  </r>
  <r>
    <x v="0"/>
    <x v="0"/>
    <x v="0"/>
    <x v="0"/>
    <x v="1"/>
    <s v="DK2_Rural"/>
    <x v="4"/>
    <x v="10"/>
    <x v="0"/>
    <x v="0"/>
  </r>
  <r>
    <x v="0"/>
    <x v="0"/>
    <x v="0"/>
    <x v="0"/>
    <x v="1"/>
    <s v="DK2_Rural"/>
    <x v="4"/>
    <x v="11"/>
    <x v="0"/>
    <x v="0"/>
  </r>
  <r>
    <x v="0"/>
    <x v="0"/>
    <x v="0"/>
    <x v="0"/>
    <x v="1"/>
    <s v="DK2_Rural"/>
    <x v="5"/>
    <x v="0"/>
    <x v="0"/>
    <x v="0"/>
  </r>
  <r>
    <x v="0"/>
    <x v="0"/>
    <x v="0"/>
    <x v="0"/>
    <x v="1"/>
    <s v="DK2_Rural"/>
    <x v="5"/>
    <x v="1"/>
    <x v="0"/>
    <x v="0"/>
  </r>
  <r>
    <x v="0"/>
    <x v="0"/>
    <x v="0"/>
    <x v="0"/>
    <x v="1"/>
    <s v="DK2_Rural"/>
    <x v="5"/>
    <x v="2"/>
    <x v="0"/>
    <x v="0"/>
  </r>
  <r>
    <x v="0"/>
    <x v="0"/>
    <x v="0"/>
    <x v="0"/>
    <x v="1"/>
    <s v="DK2_Rural"/>
    <x v="5"/>
    <x v="3"/>
    <x v="0"/>
    <x v="0"/>
  </r>
  <r>
    <x v="0"/>
    <x v="0"/>
    <x v="0"/>
    <x v="0"/>
    <x v="1"/>
    <s v="DK2_Rural"/>
    <x v="5"/>
    <x v="4"/>
    <x v="0"/>
    <x v="0"/>
  </r>
  <r>
    <x v="0"/>
    <x v="0"/>
    <x v="0"/>
    <x v="0"/>
    <x v="1"/>
    <s v="DK2_Rural"/>
    <x v="5"/>
    <x v="5"/>
    <x v="0"/>
    <x v="0"/>
  </r>
  <r>
    <x v="0"/>
    <x v="0"/>
    <x v="0"/>
    <x v="0"/>
    <x v="1"/>
    <s v="DK2_Rural"/>
    <x v="5"/>
    <x v="6"/>
    <x v="0"/>
    <x v="0"/>
  </r>
  <r>
    <x v="0"/>
    <x v="0"/>
    <x v="0"/>
    <x v="0"/>
    <x v="1"/>
    <s v="DK2_Rural"/>
    <x v="5"/>
    <x v="7"/>
    <x v="0"/>
    <x v="0"/>
  </r>
  <r>
    <x v="0"/>
    <x v="0"/>
    <x v="0"/>
    <x v="0"/>
    <x v="1"/>
    <s v="DK2_Rural"/>
    <x v="5"/>
    <x v="8"/>
    <x v="0"/>
    <x v="0"/>
  </r>
  <r>
    <x v="0"/>
    <x v="0"/>
    <x v="0"/>
    <x v="0"/>
    <x v="1"/>
    <s v="DK2_Rural"/>
    <x v="5"/>
    <x v="9"/>
    <x v="0"/>
    <x v="0"/>
  </r>
  <r>
    <x v="0"/>
    <x v="0"/>
    <x v="0"/>
    <x v="0"/>
    <x v="1"/>
    <s v="DK2_Rural"/>
    <x v="5"/>
    <x v="10"/>
    <x v="0"/>
    <x v="0"/>
  </r>
  <r>
    <x v="0"/>
    <x v="0"/>
    <x v="0"/>
    <x v="0"/>
    <x v="1"/>
    <s v="DK2_Rural"/>
    <x v="5"/>
    <x v="11"/>
    <x v="0"/>
    <x v="0"/>
  </r>
  <r>
    <x v="0"/>
    <x v="0"/>
    <x v="0"/>
    <x v="0"/>
    <x v="1"/>
    <s v="DK2_Rural"/>
    <x v="6"/>
    <x v="0"/>
    <x v="0"/>
    <x v="0"/>
  </r>
  <r>
    <x v="0"/>
    <x v="0"/>
    <x v="0"/>
    <x v="0"/>
    <x v="1"/>
    <s v="DK2_Rural"/>
    <x v="6"/>
    <x v="1"/>
    <x v="0"/>
    <x v="0"/>
  </r>
  <r>
    <x v="0"/>
    <x v="0"/>
    <x v="0"/>
    <x v="0"/>
    <x v="1"/>
    <s v="DK2_Rural"/>
    <x v="6"/>
    <x v="2"/>
    <x v="0"/>
    <x v="0"/>
  </r>
  <r>
    <x v="0"/>
    <x v="0"/>
    <x v="0"/>
    <x v="0"/>
    <x v="1"/>
    <s v="DK2_Rural"/>
    <x v="6"/>
    <x v="3"/>
    <x v="0"/>
    <x v="0"/>
  </r>
  <r>
    <x v="0"/>
    <x v="0"/>
    <x v="0"/>
    <x v="0"/>
    <x v="1"/>
    <s v="DK2_Rural"/>
    <x v="6"/>
    <x v="4"/>
    <x v="0"/>
    <x v="0"/>
  </r>
  <r>
    <x v="0"/>
    <x v="0"/>
    <x v="0"/>
    <x v="0"/>
    <x v="1"/>
    <s v="DK2_Rural"/>
    <x v="6"/>
    <x v="5"/>
    <x v="0"/>
    <x v="0"/>
  </r>
  <r>
    <x v="0"/>
    <x v="0"/>
    <x v="0"/>
    <x v="0"/>
    <x v="1"/>
    <s v="DK2_Rural"/>
    <x v="6"/>
    <x v="6"/>
    <x v="0"/>
    <x v="0"/>
  </r>
  <r>
    <x v="0"/>
    <x v="0"/>
    <x v="0"/>
    <x v="0"/>
    <x v="1"/>
    <s v="DK2_Rural"/>
    <x v="6"/>
    <x v="7"/>
    <x v="0"/>
    <x v="0"/>
  </r>
  <r>
    <x v="0"/>
    <x v="0"/>
    <x v="0"/>
    <x v="0"/>
    <x v="1"/>
    <s v="DK2_Rural"/>
    <x v="6"/>
    <x v="8"/>
    <x v="0"/>
    <x v="0"/>
  </r>
  <r>
    <x v="0"/>
    <x v="0"/>
    <x v="0"/>
    <x v="0"/>
    <x v="1"/>
    <s v="DK2_Rural"/>
    <x v="6"/>
    <x v="9"/>
    <x v="0"/>
    <x v="0"/>
  </r>
  <r>
    <x v="0"/>
    <x v="0"/>
    <x v="0"/>
    <x v="0"/>
    <x v="1"/>
    <s v="DK2_Rural"/>
    <x v="6"/>
    <x v="10"/>
    <x v="0"/>
    <x v="0"/>
  </r>
  <r>
    <x v="0"/>
    <x v="0"/>
    <x v="0"/>
    <x v="0"/>
    <x v="1"/>
    <s v="DK2_Rural"/>
    <x v="6"/>
    <x v="11"/>
    <x v="0"/>
    <x v="0"/>
  </r>
  <r>
    <x v="0"/>
    <x v="0"/>
    <x v="0"/>
    <x v="0"/>
    <x v="1"/>
    <s v="DK2_Rural"/>
    <x v="7"/>
    <x v="0"/>
    <x v="0"/>
    <x v="0"/>
  </r>
  <r>
    <x v="0"/>
    <x v="0"/>
    <x v="0"/>
    <x v="0"/>
    <x v="1"/>
    <s v="DK2_Rural"/>
    <x v="7"/>
    <x v="1"/>
    <x v="0"/>
    <x v="0"/>
  </r>
  <r>
    <x v="0"/>
    <x v="0"/>
    <x v="0"/>
    <x v="0"/>
    <x v="1"/>
    <s v="DK2_Rural"/>
    <x v="7"/>
    <x v="2"/>
    <x v="0"/>
    <x v="0"/>
  </r>
  <r>
    <x v="0"/>
    <x v="0"/>
    <x v="0"/>
    <x v="0"/>
    <x v="1"/>
    <s v="DK2_Rural"/>
    <x v="7"/>
    <x v="3"/>
    <x v="0"/>
    <x v="0"/>
  </r>
  <r>
    <x v="0"/>
    <x v="0"/>
    <x v="0"/>
    <x v="0"/>
    <x v="1"/>
    <s v="DK2_Rural"/>
    <x v="7"/>
    <x v="4"/>
    <x v="0"/>
    <x v="0"/>
  </r>
  <r>
    <x v="0"/>
    <x v="0"/>
    <x v="0"/>
    <x v="0"/>
    <x v="1"/>
    <s v="DK2_Rural"/>
    <x v="7"/>
    <x v="5"/>
    <x v="0"/>
    <x v="0"/>
  </r>
  <r>
    <x v="0"/>
    <x v="0"/>
    <x v="0"/>
    <x v="0"/>
    <x v="1"/>
    <s v="DK2_Rural"/>
    <x v="7"/>
    <x v="6"/>
    <x v="0"/>
    <x v="0"/>
  </r>
  <r>
    <x v="0"/>
    <x v="0"/>
    <x v="0"/>
    <x v="0"/>
    <x v="1"/>
    <s v="DK2_Rural"/>
    <x v="7"/>
    <x v="7"/>
    <x v="0"/>
    <x v="0"/>
  </r>
  <r>
    <x v="0"/>
    <x v="0"/>
    <x v="0"/>
    <x v="0"/>
    <x v="1"/>
    <s v="DK2_Rural"/>
    <x v="7"/>
    <x v="8"/>
    <x v="0"/>
    <x v="0"/>
  </r>
  <r>
    <x v="0"/>
    <x v="0"/>
    <x v="0"/>
    <x v="0"/>
    <x v="1"/>
    <s v="DK2_Rural"/>
    <x v="7"/>
    <x v="9"/>
    <x v="0"/>
    <x v="0"/>
  </r>
  <r>
    <x v="0"/>
    <x v="0"/>
    <x v="0"/>
    <x v="0"/>
    <x v="1"/>
    <s v="DK2_Rural"/>
    <x v="7"/>
    <x v="10"/>
    <x v="0"/>
    <x v="0"/>
  </r>
  <r>
    <x v="0"/>
    <x v="0"/>
    <x v="0"/>
    <x v="0"/>
    <x v="1"/>
    <s v="DK2_Rural"/>
    <x v="7"/>
    <x v="11"/>
    <x v="0"/>
    <x v="0"/>
  </r>
  <r>
    <x v="0"/>
    <x v="0"/>
    <x v="0"/>
    <x v="0"/>
    <x v="1"/>
    <s v="DK2_Rural"/>
    <x v="8"/>
    <x v="0"/>
    <x v="0"/>
    <x v="0"/>
  </r>
  <r>
    <x v="0"/>
    <x v="0"/>
    <x v="0"/>
    <x v="0"/>
    <x v="1"/>
    <s v="DK2_Rural"/>
    <x v="8"/>
    <x v="1"/>
    <x v="0"/>
    <x v="0"/>
  </r>
  <r>
    <x v="0"/>
    <x v="0"/>
    <x v="0"/>
    <x v="0"/>
    <x v="1"/>
    <s v="DK2_Rural"/>
    <x v="8"/>
    <x v="2"/>
    <x v="0"/>
    <x v="0"/>
  </r>
  <r>
    <x v="0"/>
    <x v="0"/>
    <x v="0"/>
    <x v="0"/>
    <x v="1"/>
    <s v="DK2_Rural"/>
    <x v="8"/>
    <x v="3"/>
    <x v="0"/>
    <x v="0"/>
  </r>
  <r>
    <x v="0"/>
    <x v="0"/>
    <x v="0"/>
    <x v="0"/>
    <x v="1"/>
    <s v="DK2_Rural"/>
    <x v="8"/>
    <x v="4"/>
    <x v="0"/>
    <x v="0"/>
  </r>
  <r>
    <x v="0"/>
    <x v="0"/>
    <x v="0"/>
    <x v="0"/>
    <x v="1"/>
    <s v="DK2_Rural"/>
    <x v="8"/>
    <x v="5"/>
    <x v="0"/>
    <x v="0"/>
  </r>
  <r>
    <x v="0"/>
    <x v="0"/>
    <x v="0"/>
    <x v="0"/>
    <x v="1"/>
    <s v="DK2_Rural"/>
    <x v="8"/>
    <x v="6"/>
    <x v="0"/>
    <x v="0"/>
  </r>
  <r>
    <x v="0"/>
    <x v="0"/>
    <x v="0"/>
    <x v="0"/>
    <x v="1"/>
    <s v="DK2_Rural"/>
    <x v="8"/>
    <x v="7"/>
    <x v="0"/>
    <x v="0"/>
  </r>
  <r>
    <x v="0"/>
    <x v="0"/>
    <x v="0"/>
    <x v="0"/>
    <x v="1"/>
    <s v="DK2_Rural"/>
    <x v="8"/>
    <x v="8"/>
    <x v="0"/>
    <x v="0"/>
  </r>
  <r>
    <x v="0"/>
    <x v="0"/>
    <x v="0"/>
    <x v="0"/>
    <x v="1"/>
    <s v="DK2_Rural"/>
    <x v="8"/>
    <x v="9"/>
    <x v="0"/>
    <x v="0"/>
  </r>
  <r>
    <x v="0"/>
    <x v="0"/>
    <x v="0"/>
    <x v="0"/>
    <x v="1"/>
    <s v="DK2_Rural"/>
    <x v="8"/>
    <x v="10"/>
    <x v="0"/>
    <x v="0"/>
  </r>
  <r>
    <x v="0"/>
    <x v="0"/>
    <x v="0"/>
    <x v="0"/>
    <x v="1"/>
    <s v="DK2_Rural"/>
    <x v="8"/>
    <x v="11"/>
    <x v="0"/>
    <x v="0"/>
  </r>
  <r>
    <x v="0"/>
    <x v="0"/>
    <x v="0"/>
    <x v="0"/>
    <x v="1"/>
    <s v="DK2_Rural"/>
    <x v="9"/>
    <x v="0"/>
    <x v="0"/>
    <x v="0"/>
  </r>
  <r>
    <x v="0"/>
    <x v="0"/>
    <x v="0"/>
    <x v="0"/>
    <x v="1"/>
    <s v="DK2_Rural"/>
    <x v="9"/>
    <x v="1"/>
    <x v="0"/>
    <x v="0"/>
  </r>
  <r>
    <x v="0"/>
    <x v="0"/>
    <x v="0"/>
    <x v="0"/>
    <x v="1"/>
    <s v="DK2_Rural"/>
    <x v="9"/>
    <x v="2"/>
    <x v="0"/>
    <x v="0"/>
  </r>
  <r>
    <x v="0"/>
    <x v="0"/>
    <x v="0"/>
    <x v="0"/>
    <x v="1"/>
    <s v="DK2_Rural"/>
    <x v="9"/>
    <x v="3"/>
    <x v="0"/>
    <x v="0"/>
  </r>
  <r>
    <x v="0"/>
    <x v="0"/>
    <x v="0"/>
    <x v="0"/>
    <x v="1"/>
    <s v="DK2_Rural"/>
    <x v="9"/>
    <x v="4"/>
    <x v="0"/>
    <x v="0"/>
  </r>
  <r>
    <x v="0"/>
    <x v="0"/>
    <x v="0"/>
    <x v="0"/>
    <x v="1"/>
    <s v="DK2_Rural"/>
    <x v="9"/>
    <x v="5"/>
    <x v="0"/>
    <x v="0"/>
  </r>
  <r>
    <x v="0"/>
    <x v="0"/>
    <x v="0"/>
    <x v="0"/>
    <x v="1"/>
    <s v="DK2_Rural"/>
    <x v="9"/>
    <x v="6"/>
    <x v="0"/>
    <x v="0"/>
  </r>
  <r>
    <x v="0"/>
    <x v="0"/>
    <x v="0"/>
    <x v="0"/>
    <x v="1"/>
    <s v="DK2_Rural"/>
    <x v="9"/>
    <x v="7"/>
    <x v="0"/>
    <x v="0"/>
  </r>
  <r>
    <x v="0"/>
    <x v="0"/>
    <x v="0"/>
    <x v="0"/>
    <x v="1"/>
    <s v="DK2_Rural"/>
    <x v="9"/>
    <x v="8"/>
    <x v="0"/>
    <x v="0"/>
  </r>
  <r>
    <x v="0"/>
    <x v="0"/>
    <x v="0"/>
    <x v="0"/>
    <x v="1"/>
    <s v="DK2_Rural"/>
    <x v="9"/>
    <x v="9"/>
    <x v="0"/>
    <x v="0"/>
  </r>
  <r>
    <x v="0"/>
    <x v="0"/>
    <x v="0"/>
    <x v="0"/>
    <x v="1"/>
    <s v="DK2_Rural"/>
    <x v="9"/>
    <x v="10"/>
    <x v="0"/>
    <x v="0"/>
  </r>
  <r>
    <x v="0"/>
    <x v="0"/>
    <x v="0"/>
    <x v="0"/>
    <x v="1"/>
    <s v="DK2_Rural"/>
    <x v="9"/>
    <x v="11"/>
    <x v="0"/>
    <x v="0"/>
  </r>
  <r>
    <x v="0"/>
    <x v="0"/>
    <x v="0"/>
    <x v="0"/>
    <x v="1"/>
    <s v="DK2_Rural"/>
    <x v="10"/>
    <x v="0"/>
    <x v="0"/>
    <x v="0"/>
  </r>
  <r>
    <x v="0"/>
    <x v="0"/>
    <x v="0"/>
    <x v="0"/>
    <x v="1"/>
    <s v="DK2_Rural"/>
    <x v="10"/>
    <x v="1"/>
    <x v="0"/>
    <x v="0"/>
  </r>
  <r>
    <x v="0"/>
    <x v="0"/>
    <x v="0"/>
    <x v="0"/>
    <x v="1"/>
    <s v="DK2_Rural"/>
    <x v="10"/>
    <x v="2"/>
    <x v="0"/>
    <x v="0"/>
  </r>
  <r>
    <x v="0"/>
    <x v="0"/>
    <x v="0"/>
    <x v="0"/>
    <x v="1"/>
    <s v="DK2_Rural"/>
    <x v="10"/>
    <x v="3"/>
    <x v="0"/>
    <x v="0"/>
  </r>
  <r>
    <x v="0"/>
    <x v="0"/>
    <x v="0"/>
    <x v="0"/>
    <x v="1"/>
    <s v="DK2_Rural"/>
    <x v="10"/>
    <x v="4"/>
    <x v="0"/>
    <x v="0"/>
  </r>
  <r>
    <x v="0"/>
    <x v="0"/>
    <x v="0"/>
    <x v="0"/>
    <x v="1"/>
    <s v="DK2_Rural"/>
    <x v="10"/>
    <x v="5"/>
    <x v="0"/>
    <x v="0"/>
  </r>
  <r>
    <x v="0"/>
    <x v="0"/>
    <x v="0"/>
    <x v="0"/>
    <x v="1"/>
    <s v="DK2_Rural"/>
    <x v="10"/>
    <x v="6"/>
    <x v="0"/>
    <x v="0"/>
  </r>
  <r>
    <x v="0"/>
    <x v="0"/>
    <x v="0"/>
    <x v="0"/>
    <x v="1"/>
    <s v="DK2_Rural"/>
    <x v="10"/>
    <x v="7"/>
    <x v="0"/>
    <x v="0"/>
  </r>
  <r>
    <x v="0"/>
    <x v="0"/>
    <x v="0"/>
    <x v="0"/>
    <x v="1"/>
    <s v="DK2_Rural"/>
    <x v="10"/>
    <x v="8"/>
    <x v="0"/>
    <x v="0"/>
  </r>
  <r>
    <x v="0"/>
    <x v="0"/>
    <x v="0"/>
    <x v="0"/>
    <x v="1"/>
    <s v="DK2_Rural"/>
    <x v="10"/>
    <x v="9"/>
    <x v="0"/>
    <x v="0"/>
  </r>
  <r>
    <x v="0"/>
    <x v="0"/>
    <x v="0"/>
    <x v="0"/>
    <x v="1"/>
    <s v="DK2_Rural"/>
    <x v="10"/>
    <x v="10"/>
    <x v="0"/>
    <x v="0"/>
  </r>
  <r>
    <x v="0"/>
    <x v="0"/>
    <x v="0"/>
    <x v="0"/>
    <x v="1"/>
    <s v="DK2_Rural"/>
    <x v="10"/>
    <x v="11"/>
    <x v="0"/>
    <x v="0"/>
  </r>
  <r>
    <x v="0"/>
    <x v="0"/>
    <x v="0"/>
    <x v="0"/>
    <x v="1"/>
    <s v="DK2_Rural"/>
    <x v="11"/>
    <x v="0"/>
    <x v="0"/>
    <x v="0"/>
  </r>
  <r>
    <x v="0"/>
    <x v="0"/>
    <x v="0"/>
    <x v="0"/>
    <x v="1"/>
    <s v="DK2_Rural"/>
    <x v="11"/>
    <x v="1"/>
    <x v="0"/>
    <x v="0"/>
  </r>
  <r>
    <x v="0"/>
    <x v="0"/>
    <x v="0"/>
    <x v="0"/>
    <x v="1"/>
    <s v="DK2_Rural"/>
    <x v="11"/>
    <x v="2"/>
    <x v="0"/>
    <x v="0"/>
  </r>
  <r>
    <x v="0"/>
    <x v="0"/>
    <x v="0"/>
    <x v="0"/>
    <x v="1"/>
    <s v="DK2_Rural"/>
    <x v="11"/>
    <x v="3"/>
    <x v="0"/>
    <x v="0"/>
  </r>
  <r>
    <x v="0"/>
    <x v="0"/>
    <x v="0"/>
    <x v="0"/>
    <x v="1"/>
    <s v="DK2_Rural"/>
    <x v="11"/>
    <x v="4"/>
    <x v="0"/>
    <x v="0"/>
  </r>
  <r>
    <x v="0"/>
    <x v="0"/>
    <x v="0"/>
    <x v="0"/>
    <x v="1"/>
    <s v="DK2_Rural"/>
    <x v="11"/>
    <x v="5"/>
    <x v="0"/>
    <x v="0"/>
  </r>
  <r>
    <x v="0"/>
    <x v="0"/>
    <x v="0"/>
    <x v="0"/>
    <x v="1"/>
    <s v="DK2_Rural"/>
    <x v="11"/>
    <x v="6"/>
    <x v="0"/>
    <x v="0"/>
  </r>
  <r>
    <x v="0"/>
    <x v="0"/>
    <x v="0"/>
    <x v="0"/>
    <x v="1"/>
    <s v="DK2_Rural"/>
    <x v="11"/>
    <x v="7"/>
    <x v="0"/>
    <x v="0"/>
  </r>
  <r>
    <x v="0"/>
    <x v="0"/>
    <x v="0"/>
    <x v="0"/>
    <x v="1"/>
    <s v="DK2_Rural"/>
    <x v="11"/>
    <x v="8"/>
    <x v="0"/>
    <x v="0"/>
  </r>
  <r>
    <x v="0"/>
    <x v="0"/>
    <x v="0"/>
    <x v="0"/>
    <x v="1"/>
    <s v="DK2_Rural"/>
    <x v="11"/>
    <x v="9"/>
    <x v="0"/>
    <x v="0"/>
  </r>
  <r>
    <x v="0"/>
    <x v="0"/>
    <x v="0"/>
    <x v="0"/>
    <x v="1"/>
    <s v="DK2_Rural"/>
    <x v="11"/>
    <x v="10"/>
    <x v="0"/>
    <x v="0"/>
  </r>
  <r>
    <x v="0"/>
    <x v="0"/>
    <x v="0"/>
    <x v="0"/>
    <x v="1"/>
    <s v="DK2_Rural"/>
    <x v="11"/>
    <x v="11"/>
    <x v="0"/>
    <x v="0"/>
  </r>
  <r>
    <x v="0"/>
    <x v="0"/>
    <x v="0"/>
    <x v="0"/>
    <x v="1"/>
    <s v="DK2_Small"/>
    <x v="0"/>
    <x v="0"/>
    <x v="0"/>
    <x v="0"/>
  </r>
  <r>
    <x v="0"/>
    <x v="0"/>
    <x v="0"/>
    <x v="0"/>
    <x v="1"/>
    <s v="DK2_Small"/>
    <x v="0"/>
    <x v="1"/>
    <x v="0"/>
    <x v="0"/>
  </r>
  <r>
    <x v="0"/>
    <x v="0"/>
    <x v="0"/>
    <x v="0"/>
    <x v="1"/>
    <s v="DK2_Small"/>
    <x v="0"/>
    <x v="2"/>
    <x v="0"/>
    <x v="0"/>
  </r>
  <r>
    <x v="0"/>
    <x v="0"/>
    <x v="0"/>
    <x v="0"/>
    <x v="1"/>
    <s v="DK2_Small"/>
    <x v="0"/>
    <x v="3"/>
    <x v="0"/>
    <x v="0"/>
  </r>
  <r>
    <x v="0"/>
    <x v="0"/>
    <x v="0"/>
    <x v="0"/>
    <x v="1"/>
    <s v="DK2_Small"/>
    <x v="0"/>
    <x v="4"/>
    <x v="0"/>
    <x v="0"/>
  </r>
  <r>
    <x v="0"/>
    <x v="0"/>
    <x v="0"/>
    <x v="0"/>
    <x v="1"/>
    <s v="DK2_Small"/>
    <x v="0"/>
    <x v="5"/>
    <x v="0"/>
    <x v="0"/>
  </r>
  <r>
    <x v="0"/>
    <x v="0"/>
    <x v="0"/>
    <x v="0"/>
    <x v="1"/>
    <s v="DK2_Small"/>
    <x v="0"/>
    <x v="6"/>
    <x v="0"/>
    <x v="0"/>
  </r>
  <r>
    <x v="0"/>
    <x v="0"/>
    <x v="0"/>
    <x v="0"/>
    <x v="1"/>
    <s v="DK2_Small"/>
    <x v="0"/>
    <x v="7"/>
    <x v="0"/>
    <x v="0"/>
  </r>
  <r>
    <x v="0"/>
    <x v="0"/>
    <x v="0"/>
    <x v="0"/>
    <x v="1"/>
    <s v="DK2_Small"/>
    <x v="0"/>
    <x v="8"/>
    <x v="0"/>
    <x v="0"/>
  </r>
  <r>
    <x v="0"/>
    <x v="0"/>
    <x v="0"/>
    <x v="0"/>
    <x v="1"/>
    <s v="DK2_Small"/>
    <x v="0"/>
    <x v="9"/>
    <x v="0"/>
    <x v="0"/>
  </r>
  <r>
    <x v="0"/>
    <x v="0"/>
    <x v="0"/>
    <x v="0"/>
    <x v="1"/>
    <s v="DK2_Small"/>
    <x v="0"/>
    <x v="10"/>
    <x v="0"/>
    <x v="0"/>
  </r>
  <r>
    <x v="0"/>
    <x v="0"/>
    <x v="0"/>
    <x v="0"/>
    <x v="1"/>
    <s v="DK2_Small"/>
    <x v="0"/>
    <x v="11"/>
    <x v="0"/>
    <x v="0"/>
  </r>
  <r>
    <x v="0"/>
    <x v="0"/>
    <x v="0"/>
    <x v="0"/>
    <x v="1"/>
    <s v="DK2_Small"/>
    <x v="1"/>
    <x v="0"/>
    <x v="0"/>
    <x v="0"/>
  </r>
  <r>
    <x v="0"/>
    <x v="0"/>
    <x v="0"/>
    <x v="0"/>
    <x v="1"/>
    <s v="DK2_Small"/>
    <x v="1"/>
    <x v="1"/>
    <x v="0"/>
    <x v="0"/>
  </r>
  <r>
    <x v="0"/>
    <x v="0"/>
    <x v="0"/>
    <x v="0"/>
    <x v="1"/>
    <s v="DK2_Small"/>
    <x v="1"/>
    <x v="2"/>
    <x v="0"/>
    <x v="0"/>
  </r>
  <r>
    <x v="0"/>
    <x v="0"/>
    <x v="0"/>
    <x v="0"/>
    <x v="1"/>
    <s v="DK2_Small"/>
    <x v="1"/>
    <x v="3"/>
    <x v="0"/>
    <x v="0"/>
  </r>
  <r>
    <x v="0"/>
    <x v="0"/>
    <x v="0"/>
    <x v="0"/>
    <x v="1"/>
    <s v="DK2_Small"/>
    <x v="1"/>
    <x v="4"/>
    <x v="0"/>
    <x v="0"/>
  </r>
  <r>
    <x v="0"/>
    <x v="0"/>
    <x v="0"/>
    <x v="0"/>
    <x v="1"/>
    <s v="DK2_Small"/>
    <x v="1"/>
    <x v="5"/>
    <x v="0"/>
    <x v="0"/>
  </r>
  <r>
    <x v="0"/>
    <x v="0"/>
    <x v="0"/>
    <x v="0"/>
    <x v="1"/>
    <s v="DK2_Small"/>
    <x v="1"/>
    <x v="6"/>
    <x v="0"/>
    <x v="0"/>
  </r>
  <r>
    <x v="0"/>
    <x v="0"/>
    <x v="0"/>
    <x v="0"/>
    <x v="1"/>
    <s v="DK2_Small"/>
    <x v="1"/>
    <x v="7"/>
    <x v="0"/>
    <x v="0"/>
  </r>
  <r>
    <x v="0"/>
    <x v="0"/>
    <x v="0"/>
    <x v="0"/>
    <x v="1"/>
    <s v="DK2_Small"/>
    <x v="1"/>
    <x v="8"/>
    <x v="0"/>
    <x v="0"/>
  </r>
  <r>
    <x v="0"/>
    <x v="0"/>
    <x v="0"/>
    <x v="0"/>
    <x v="1"/>
    <s v="DK2_Small"/>
    <x v="1"/>
    <x v="9"/>
    <x v="0"/>
    <x v="0"/>
  </r>
  <r>
    <x v="0"/>
    <x v="0"/>
    <x v="0"/>
    <x v="0"/>
    <x v="1"/>
    <s v="DK2_Small"/>
    <x v="1"/>
    <x v="10"/>
    <x v="0"/>
    <x v="0"/>
  </r>
  <r>
    <x v="0"/>
    <x v="0"/>
    <x v="0"/>
    <x v="0"/>
    <x v="1"/>
    <s v="DK2_Small"/>
    <x v="1"/>
    <x v="11"/>
    <x v="0"/>
    <x v="0"/>
  </r>
  <r>
    <x v="0"/>
    <x v="0"/>
    <x v="0"/>
    <x v="0"/>
    <x v="1"/>
    <s v="DK2_Small"/>
    <x v="2"/>
    <x v="0"/>
    <x v="0"/>
    <x v="0"/>
  </r>
  <r>
    <x v="0"/>
    <x v="0"/>
    <x v="0"/>
    <x v="0"/>
    <x v="1"/>
    <s v="DK2_Small"/>
    <x v="2"/>
    <x v="1"/>
    <x v="0"/>
    <x v="0"/>
  </r>
  <r>
    <x v="0"/>
    <x v="0"/>
    <x v="0"/>
    <x v="0"/>
    <x v="1"/>
    <s v="DK2_Small"/>
    <x v="2"/>
    <x v="2"/>
    <x v="0"/>
    <x v="0"/>
  </r>
  <r>
    <x v="0"/>
    <x v="0"/>
    <x v="0"/>
    <x v="0"/>
    <x v="1"/>
    <s v="DK2_Small"/>
    <x v="2"/>
    <x v="3"/>
    <x v="0"/>
    <x v="0"/>
  </r>
  <r>
    <x v="0"/>
    <x v="0"/>
    <x v="0"/>
    <x v="0"/>
    <x v="1"/>
    <s v="DK2_Small"/>
    <x v="2"/>
    <x v="4"/>
    <x v="0"/>
    <x v="0"/>
  </r>
  <r>
    <x v="0"/>
    <x v="0"/>
    <x v="0"/>
    <x v="0"/>
    <x v="1"/>
    <s v="DK2_Small"/>
    <x v="2"/>
    <x v="5"/>
    <x v="0"/>
    <x v="0"/>
  </r>
  <r>
    <x v="0"/>
    <x v="0"/>
    <x v="0"/>
    <x v="0"/>
    <x v="1"/>
    <s v="DK2_Small"/>
    <x v="2"/>
    <x v="6"/>
    <x v="0"/>
    <x v="0"/>
  </r>
  <r>
    <x v="0"/>
    <x v="0"/>
    <x v="0"/>
    <x v="0"/>
    <x v="1"/>
    <s v="DK2_Small"/>
    <x v="2"/>
    <x v="7"/>
    <x v="0"/>
    <x v="0"/>
  </r>
  <r>
    <x v="0"/>
    <x v="0"/>
    <x v="0"/>
    <x v="0"/>
    <x v="1"/>
    <s v="DK2_Small"/>
    <x v="2"/>
    <x v="8"/>
    <x v="0"/>
    <x v="0"/>
  </r>
  <r>
    <x v="0"/>
    <x v="0"/>
    <x v="0"/>
    <x v="0"/>
    <x v="1"/>
    <s v="DK2_Small"/>
    <x v="2"/>
    <x v="9"/>
    <x v="0"/>
    <x v="0"/>
  </r>
  <r>
    <x v="0"/>
    <x v="0"/>
    <x v="0"/>
    <x v="0"/>
    <x v="1"/>
    <s v="DK2_Small"/>
    <x v="2"/>
    <x v="10"/>
    <x v="0"/>
    <x v="0"/>
  </r>
  <r>
    <x v="0"/>
    <x v="0"/>
    <x v="0"/>
    <x v="0"/>
    <x v="1"/>
    <s v="DK2_Small"/>
    <x v="2"/>
    <x v="11"/>
    <x v="0"/>
    <x v="0"/>
  </r>
  <r>
    <x v="0"/>
    <x v="0"/>
    <x v="0"/>
    <x v="0"/>
    <x v="1"/>
    <s v="DK2_Small"/>
    <x v="3"/>
    <x v="0"/>
    <x v="0"/>
    <x v="0"/>
  </r>
  <r>
    <x v="0"/>
    <x v="0"/>
    <x v="0"/>
    <x v="0"/>
    <x v="1"/>
    <s v="DK2_Small"/>
    <x v="3"/>
    <x v="1"/>
    <x v="0"/>
    <x v="0"/>
  </r>
  <r>
    <x v="0"/>
    <x v="0"/>
    <x v="0"/>
    <x v="0"/>
    <x v="1"/>
    <s v="DK2_Small"/>
    <x v="3"/>
    <x v="2"/>
    <x v="0"/>
    <x v="0"/>
  </r>
  <r>
    <x v="0"/>
    <x v="0"/>
    <x v="0"/>
    <x v="0"/>
    <x v="1"/>
    <s v="DK2_Small"/>
    <x v="3"/>
    <x v="3"/>
    <x v="0"/>
    <x v="0"/>
  </r>
  <r>
    <x v="0"/>
    <x v="0"/>
    <x v="0"/>
    <x v="0"/>
    <x v="1"/>
    <s v="DK2_Small"/>
    <x v="3"/>
    <x v="4"/>
    <x v="0"/>
    <x v="0"/>
  </r>
  <r>
    <x v="0"/>
    <x v="0"/>
    <x v="0"/>
    <x v="0"/>
    <x v="1"/>
    <s v="DK2_Small"/>
    <x v="3"/>
    <x v="5"/>
    <x v="0"/>
    <x v="0"/>
  </r>
  <r>
    <x v="0"/>
    <x v="0"/>
    <x v="0"/>
    <x v="0"/>
    <x v="1"/>
    <s v="DK2_Small"/>
    <x v="3"/>
    <x v="6"/>
    <x v="0"/>
    <x v="0"/>
  </r>
  <r>
    <x v="0"/>
    <x v="0"/>
    <x v="0"/>
    <x v="0"/>
    <x v="1"/>
    <s v="DK2_Small"/>
    <x v="3"/>
    <x v="7"/>
    <x v="0"/>
    <x v="0"/>
  </r>
  <r>
    <x v="0"/>
    <x v="0"/>
    <x v="0"/>
    <x v="0"/>
    <x v="1"/>
    <s v="DK2_Small"/>
    <x v="3"/>
    <x v="8"/>
    <x v="0"/>
    <x v="0"/>
  </r>
  <r>
    <x v="0"/>
    <x v="0"/>
    <x v="0"/>
    <x v="0"/>
    <x v="1"/>
    <s v="DK2_Small"/>
    <x v="3"/>
    <x v="9"/>
    <x v="0"/>
    <x v="0"/>
  </r>
  <r>
    <x v="0"/>
    <x v="0"/>
    <x v="0"/>
    <x v="0"/>
    <x v="1"/>
    <s v="DK2_Small"/>
    <x v="3"/>
    <x v="10"/>
    <x v="0"/>
    <x v="0"/>
  </r>
  <r>
    <x v="0"/>
    <x v="0"/>
    <x v="0"/>
    <x v="0"/>
    <x v="1"/>
    <s v="DK2_Small"/>
    <x v="3"/>
    <x v="11"/>
    <x v="0"/>
    <x v="0"/>
  </r>
  <r>
    <x v="0"/>
    <x v="0"/>
    <x v="0"/>
    <x v="0"/>
    <x v="1"/>
    <s v="DK2_Small"/>
    <x v="4"/>
    <x v="0"/>
    <x v="0"/>
    <x v="0"/>
  </r>
  <r>
    <x v="0"/>
    <x v="0"/>
    <x v="0"/>
    <x v="0"/>
    <x v="1"/>
    <s v="DK2_Small"/>
    <x v="4"/>
    <x v="1"/>
    <x v="0"/>
    <x v="0"/>
  </r>
  <r>
    <x v="0"/>
    <x v="0"/>
    <x v="0"/>
    <x v="0"/>
    <x v="1"/>
    <s v="DK2_Small"/>
    <x v="4"/>
    <x v="2"/>
    <x v="0"/>
    <x v="0"/>
  </r>
  <r>
    <x v="0"/>
    <x v="0"/>
    <x v="0"/>
    <x v="0"/>
    <x v="1"/>
    <s v="DK2_Small"/>
    <x v="4"/>
    <x v="3"/>
    <x v="0"/>
    <x v="0"/>
  </r>
  <r>
    <x v="0"/>
    <x v="0"/>
    <x v="0"/>
    <x v="0"/>
    <x v="1"/>
    <s v="DK2_Small"/>
    <x v="4"/>
    <x v="4"/>
    <x v="0"/>
    <x v="0"/>
  </r>
  <r>
    <x v="0"/>
    <x v="0"/>
    <x v="0"/>
    <x v="0"/>
    <x v="1"/>
    <s v="DK2_Small"/>
    <x v="4"/>
    <x v="5"/>
    <x v="0"/>
    <x v="0"/>
  </r>
  <r>
    <x v="0"/>
    <x v="0"/>
    <x v="0"/>
    <x v="0"/>
    <x v="1"/>
    <s v="DK2_Small"/>
    <x v="4"/>
    <x v="6"/>
    <x v="0"/>
    <x v="0"/>
  </r>
  <r>
    <x v="0"/>
    <x v="0"/>
    <x v="0"/>
    <x v="0"/>
    <x v="1"/>
    <s v="DK2_Small"/>
    <x v="4"/>
    <x v="7"/>
    <x v="0"/>
    <x v="0"/>
  </r>
  <r>
    <x v="0"/>
    <x v="0"/>
    <x v="0"/>
    <x v="0"/>
    <x v="1"/>
    <s v="DK2_Small"/>
    <x v="4"/>
    <x v="8"/>
    <x v="0"/>
    <x v="0"/>
  </r>
  <r>
    <x v="0"/>
    <x v="0"/>
    <x v="0"/>
    <x v="0"/>
    <x v="1"/>
    <s v="DK2_Small"/>
    <x v="4"/>
    <x v="9"/>
    <x v="0"/>
    <x v="0"/>
  </r>
  <r>
    <x v="0"/>
    <x v="0"/>
    <x v="0"/>
    <x v="0"/>
    <x v="1"/>
    <s v="DK2_Small"/>
    <x v="4"/>
    <x v="10"/>
    <x v="0"/>
    <x v="0"/>
  </r>
  <r>
    <x v="0"/>
    <x v="0"/>
    <x v="0"/>
    <x v="0"/>
    <x v="1"/>
    <s v="DK2_Small"/>
    <x v="4"/>
    <x v="11"/>
    <x v="0"/>
    <x v="0"/>
  </r>
  <r>
    <x v="0"/>
    <x v="0"/>
    <x v="0"/>
    <x v="0"/>
    <x v="1"/>
    <s v="DK2_Small"/>
    <x v="5"/>
    <x v="0"/>
    <x v="0"/>
    <x v="0"/>
  </r>
  <r>
    <x v="0"/>
    <x v="0"/>
    <x v="0"/>
    <x v="0"/>
    <x v="1"/>
    <s v="DK2_Small"/>
    <x v="5"/>
    <x v="1"/>
    <x v="0"/>
    <x v="0"/>
  </r>
  <r>
    <x v="0"/>
    <x v="0"/>
    <x v="0"/>
    <x v="0"/>
    <x v="1"/>
    <s v="DK2_Small"/>
    <x v="5"/>
    <x v="2"/>
    <x v="0"/>
    <x v="0"/>
  </r>
  <r>
    <x v="0"/>
    <x v="0"/>
    <x v="0"/>
    <x v="0"/>
    <x v="1"/>
    <s v="DK2_Small"/>
    <x v="5"/>
    <x v="3"/>
    <x v="0"/>
    <x v="0"/>
  </r>
  <r>
    <x v="0"/>
    <x v="0"/>
    <x v="0"/>
    <x v="0"/>
    <x v="1"/>
    <s v="DK2_Small"/>
    <x v="5"/>
    <x v="4"/>
    <x v="0"/>
    <x v="0"/>
  </r>
  <r>
    <x v="0"/>
    <x v="0"/>
    <x v="0"/>
    <x v="0"/>
    <x v="1"/>
    <s v="DK2_Small"/>
    <x v="5"/>
    <x v="5"/>
    <x v="0"/>
    <x v="0"/>
  </r>
  <r>
    <x v="0"/>
    <x v="0"/>
    <x v="0"/>
    <x v="0"/>
    <x v="1"/>
    <s v="DK2_Small"/>
    <x v="5"/>
    <x v="6"/>
    <x v="0"/>
    <x v="0"/>
  </r>
  <r>
    <x v="0"/>
    <x v="0"/>
    <x v="0"/>
    <x v="0"/>
    <x v="1"/>
    <s v="DK2_Small"/>
    <x v="5"/>
    <x v="7"/>
    <x v="0"/>
    <x v="0"/>
  </r>
  <r>
    <x v="0"/>
    <x v="0"/>
    <x v="0"/>
    <x v="0"/>
    <x v="1"/>
    <s v="DK2_Small"/>
    <x v="5"/>
    <x v="8"/>
    <x v="0"/>
    <x v="0"/>
  </r>
  <r>
    <x v="0"/>
    <x v="0"/>
    <x v="0"/>
    <x v="0"/>
    <x v="1"/>
    <s v="DK2_Small"/>
    <x v="5"/>
    <x v="9"/>
    <x v="0"/>
    <x v="0"/>
  </r>
  <r>
    <x v="0"/>
    <x v="0"/>
    <x v="0"/>
    <x v="0"/>
    <x v="1"/>
    <s v="DK2_Small"/>
    <x v="5"/>
    <x v="10"/>
    <x v="0"/>
    <x v="0"/>
  </r>
  <r>
    <x v="0"/>
    <x v="0"/>
    <x v="0"/>
    <x v="0"/>
    <x v="1"/>
    <s v="DK2_Small"/>
    <x v="5"/>
    <x v="11"/>
    <x v="0"/>
    <x v="0"/>
  </r>
  <r>
    <x v="0"/>
    <x v="0"/>
    <x v="0"/>
    <x v="0"/>
    <x v="1"/>
    <s v="DK2_Small"/>
    <x v="6"/>
    <x v="0"/>
    <x v="0"/>
    <x v="0"/>
  </r>
  <r>
    <x v="0"/>
    <x v="0"/>
    <x v="0"/>
    <x v="0"/>
    <x v="1"/>
    <s v="DK2_Small"/>
    <x v="6"/>
    <x v="1"/>
    <x v="0"/>
    <x v="0"/>
  </r>
  <r>
    <x v="0"/>
    <x v="0"/>
    <x v="0"/>
    <x v="0"/>
    <x v="1"/>
    <s v="DK2_Small"/>
    <x v="6"/>
    <x v="2"/>
    <x v="0"/>
    <x v="0"/>
  </r>
  <r>
    <x v="0"/>
    <x v="0"/>
    <x v="0"/>
    <x v="0"/>
    <x v="1"/>
    <s v="DK2_Small"/>
    <x v="6"/>
    <x v="3"/>
    <x v="0"/>
    <x v="0"/>
  </r>
  <r>
    <x v="0"/>
    <x v="0"/>
    <x v="0"/>
    <x v="0"/>
    <x v="1"/>
    <s v="DK2_Small"/>
    <x v="6"/>
    <x v="4"/>
    <x v="0"/>
    <x v="0"/>
  </r>
  <r>
    <x v="0"/>
    <x v="0"/>
    <x v="0"/>
    <x v="0"/>
    <x v="1"/>
    <s v="DK2_Small"/>
    <x v="6"/>
    <x v="5"/>
    <x v="0"/>
    <x v="0"/>
  </r>
  <r>
    <x v="0"/>
    <x v="0"/>
    <x v="0"/>
    <x v="0"/>
    <x v="1"/>
    <s v="DK2_Small"/>
    <x v="6"/>
    <x v="6"/>
    <x v="0"/>
    <x v="0"/>
  </r>
  <r>
    <x v="0"/>
    <x v="0"/>
    <x v="0"/>
    <x v="0"/>
    <x v="1"/>
    <s v="DK2_Small"/>
    <x v="6"/>
    <x v="7"/>
    <x v="0"/>
    <x v="0"/>
  </r>
  <r>
    <x v="0"/>
    <x v="0"/>
    <x v="0"/>
    <x v="0"/>
    <x v="1"/>
    <s v="DK2_Small"/>
    <x v="6"/>
    <x v="8"/>
    <x v="0"/>
    <x v="0"/>
  </r>
  <r>
    <x v="0"/>
    <x v="0"/>
    <x v="0"/>
    <x v="0"/>
    <x v="1"/>
    <s v="DK2_Small"/>
    <x v="6"/>
    <x v="9"/>
    <x v="0"/>
    <x v="0"/>
  </r>
  <r>
    <x v="0"/>
    <x v="0"/>
    <x v="0"/>
    <x v="0"/>
    <x v="1"/>
    <s v="DK2_Small"/>
    <x v="6"/>
    <x v="10"/>
    <x v="0"/>
    <x v="0"/>
  </r>
  <r>
    <x v="0"/>
    <x v="0"/>
    <x v="0"/>
    <x v="0"/>
    <x v="1"/>
    <s v="DK2_Small"/>
    <x v="6"/>
    <x v="11"/>
    <x v="0"/>
    <x v="0"/>
  </r>
  <r>
    <x v="0"/>
    <x v="0"/>
    <x v="0"/>
    <x v="0"/>
    <x v="1"/>
    <s v="DK2_Small"/>
    <x v="7"/>
    <x v="0"/>
    <x v="0"/>
    <x v="0"/>
  </r>
  <r>
    <x v="0"/>
    <x v="0"/>
    <x v="0"/>
    <x v="0"/>
    <x v="1"/>
    <s v="DK2_Small"/>
    <x v="7"/>
    <x v="1"/>
    <x v="0"/>
    <x v="0"/>
  </r>
  <r>
    <x v="0"/>
    <x v="0"/>
    <x v="0"/>
    <x v="0"/>
    <x v="1"/>
    <s v="DK2_Small"/>
    <x v="7"/>
    <x v="2"/>
    <x v="0"/>
    <x v="0"/>
  </r>
  <r>
    <x v="0"/>
    <x v="0"/>
    <x v="0"/>
    <x v="0"/>
    <x v="1"/>
    <s v="DK2_Small"/>
    <x v="7"/>
    <x v="3"/>
    <x v="0"/>
    <x v="0"/>
  </r>
  <r>
    <x v="0"/>
    <x v="0"/>
    <x v="0"/>
    <x v="0"/>
    <x v="1"/>
    <s v="DK2_Small"/>
    <x v="7"/>
    <x v="4"/>
    <x v="0"/>
    <x v="0"/>
  </r>
  <r>
    <x v="0"/>
    <x v="0"/>
    <x v="0"/>
    <x v="0"/>
    <x v="1"/>
    <s v="DK2_Small"/>
    <x v="7"/>
    <x v="5"/>
    <x v="0"/>
    <x v="0"/>
  </r>
  <r>
    <x v="0"/>
    <x v="0"/>
    <x v="0"/>
    <x v="0"/>
    <x v="1"/>
    <s v="DK2_Small"/>
    <x v="7"/>
    <x v="6"/>
    <x v="0"/>
    <x v="0"/>
  </r>
  <r>
    <x v="0"/>
    <x v="0"/>
    <x v="0"/>
    <x v="0"/>
    <x v="1"/>
    <s v="DK2_Small"/>
    <x v="7"/>
    <x v="7"/>
    <x v="0"/>
    <x v="0"/>
  </r>
  <r>
    <x v="0"/>
    <x v="0"/>
    <x v="0"/>
    <x v="0"/>
    <x v="1"/>
    <s v="DK2_Small"/>
    <x v="7"/>
    <x v="8"/>
    <x v="0"/>
    <x v="0"/>
  </r>
  <r>
    <x v="0"/>
    <x v="0"/>
    <x v="0"/>
    <x v="0"/>
    <x v="1"/>
    <s v="DK2_Small"/>
    <x v="7"/>
    <x v="9"/>
    <x v="0"/>
    <x v="0"/>
  </r>
  <r>
    <x v="0"/>
    <x v="0"/>
    <x v="0"/>
    <x v="0"/>
    <x v="1"/>
    <s v="DK2_Small"/>
    <x v="7"/>
    <x v="10"/>
    <x v="0"/>
    <x v="0"/>
  </r>
  <r>
    <x v="0"/>
    <x v="0"/>
    <x v="0"/>
    <x v="0"/>
    <x v="1"/>
    <s v="DK2_Small"/>
    <x v="7"/>
    <x v="11"/>
    <x v="0"/>
    <x v="0"/>
  </r>
  <r>
    <x v="0"/>
    <x v="0"/>
    <x v="0"/>
    <x v="0"/>
    <x v="1"/>
    <s v="DK2_Small"/>
    <x v="8"/>
    <x v="0"/>
    <x v="0"/>
    <x v="0"/>
  </r>
  <r>
    <x v="0"/>
    <x v="0"/>
    <x v="0"/>
    <x v="0"/>
    <x v="1"/>
    <s v="DK2_Small"/>
    <x v="8"/>
    <x v="1"/>
    <x v="0"/>
    <x v="0"/>
  </r>
  <r>
    <x v="0"/>
    <x v="0"/>
    <x v="0"/>
    <x v="0"/>
    <x v="1"/>
    <s v="DK2_Small"/>
    <x v="8"/>
    <x v="2"/>
    <x v="0"/>
    <x v="0"/>
  </r>
  <r>
    <x v="0"/>
    <x v="0"/>
    <x v="0"/>
    <x v="0"/>
    <x v="1"/>
    <s v="DK2_Small"/>
    <x v="8"/>
    <x v="3"/>
    <x v="0"/>
    <x v="0"/>
  </r>
  <r>
    <x v="0"/>
    <x v="0"/>
    <x v="0"/>
    <x v="0"/>
    <x v="1"/>
    <s v="DK2_Small"/>
    <x v="8"/>
    <x v="4"/>
    <x v="0"/>
    <x v="0"/>
  </r>
  <r>
    <x v="0"/>
    <x v="0"/>
    <x v="0"/>
    <x v="0"/>
    <x v="1"/>
    <s v="DK2_Small"/>
    <x v="8"/>
    <x v="5"/>
    <x v="0"/>
    <x v="0"/>
  </r>
  <r>
    <x v="0"/>
    <x v="0"/>
    <x v="0"/>
    <x v="0"/>
    <x v="1"/>
    <s v="DK2_Small"/>
    <x v="8"/>
    <x v="6"/>
    <x v="0"/>
    <x v="0"/>
  </r>
  <r>
    <x v="0"/>
    <x v="0"/>
    <x v="0"/>
    <x v="0"/>
    <x v="1"/>
    <s v="DK2_Small"/>
    <x v="8"/>
    <x v="7"/>
    <x v="0"/>
    <x v="0"/>
  </r>
  <r>
    <x v="0"/>
    <x v="0"/>
    <x v="0"/>
    <x v="0"/>
    <x v="1"/>
    <s v="DK2_Small"/>
    <x v="8"/>
    <x v="8"/>
    <x v="0"/>
    <x v="0"/>
  </r>
  <r>
    <x v="0"/>
    <x v="0"/>
    <x v="0"/>
    <x v="0"/>
    <x v="1"/>
    <s v="DK2_Small"/>
    <x v="8"/>
    <x v="9"/>
    <x v="0"/>
    <x v="0"/>
  </r>
  <r>
    <x v="0"/>
    <x v="0"/>
    <x v="0"/>
    <x v="0"/>
    <x v="1"/>
    <s v="DK2_Small"/>
    <x v="8"/>
    <x v="10"/>
    <x v="0"/>
    <x v="0"/>
  </r>
  <r>
    <x v="0"/>
    <x v="0"/>
    <x v="0"/>
    <x v="0"/>
    <x v="1"/>
    <s v="DK2_Small"/>
    <x v="8"/>
    <x v="11"/>
    <x v="0"/>
    <x v="0"/>
  </r>
  <r>
    <x v="0"/>
    <x v="0"/>
    <x v="0"/>
    <x v="0"/>
    <x v="1"/>
    <s v="DK2_Small"/>
    <x v="9"/>
    <x v="0"/>
    <x v="0"/>
    <x v="0"/>
  </r>
  <r>
    <x v="0"/>
    <x v="0"/>
    <x v="0"/>
    <x v="0"/>
    <x v="1"/>
    <s v="DK2_Small"/>
    <x v="9"/>
    <x v="1"/>
    <x v="0"/>
    <x v="0"/>
  </r>
  <r>
    <x v="0"/>
    <x v="0"/>
    <x v="0"/>
    <x v="0"/>
    <x v="1"/>
    <s v="DK2_Small"/>
    <x v="9"/>
    <x v="2"/>
    <x v="0"/>
    <x v="0"/>
  </r>
  <r>
    <x v="0"/>
    <x v="0"/>
    <x v="0"/>
    <x v="0"/>
    <x v="1"/>
    <s v="DK2_Small"/>
    <x v="9"/>
    <x v="3"/>
    <x v="0"/>
    <x v="0"/>
  </r>
  <r>
    <x v="0"/>
    <x v="0"/>
    <x v="0"/>
    <x v="0"/>
    <x v="1"/>
    <s v="DK2_Small"/>
    <x v="9"/>
    <x v="4"/>
    <x v="0"/>
    <x v="0"/>
  </r>
  <r>
    <x v="0"/>
    <x v="0"/>
    <x v="0"/>
    <x v="0"/>
    <x v="1"/>
    <s v="DK2_Small"/>
    <x v="9"/>
    <x v="5"/>
    <x v="0"/>
    <x v="0"/>
  </r>
  <r>
    <x v="0"/>
    <x v="0"/>
    <x v="0"/>
    <x v="0"/>
    <x v="1"/>
    <s v="DK2_Small"/>
    <x v="9"/>
    <x v="6"/>
    <x v="0"/>
    <x v="0"/>
  </r>
  <r>
    <x v="0"/>
    <x v="0"/>
    <x v="0"/>
    <x v="0"/>
    <x v="1"/>
    <s v="DK2_Small"/>
    <x v="9"/>
    <x v="7"/>
    <x v="0"/>
    <x v="0"/>
  </r>
  <r>
    <x v="0"/>
    <x v="0"/>
    <x v="0"/>
    <x v="0"/>
    <x v="1"/>
    <s v="DK2_Small"/>
    <x v="9"/>
    <x v="8"/>
    <x v="0"/>
    <x v="0"/>
  </r>
  <r>
    <x v="0"/>
    <x v="0"/>
    <x v="0"/>
    <x v="0"/>
    <x v="1"/>
    <s v="DK2_Small"/>
    <x v="9"/>
    <x v="9"/>
    <x v="0"/>
    <x v="0"/>
  </r>
  <r>
    <x v="0"/>
    <x v="0"/>
    <x v="0"/>
    <x v="0"/>
    <x v="1"/>
    <s v="DK2_Small"/>
    <x v="9"/>
    <x v="10"/>
    <x v="0"/>
    <x v="0"/>
  </r>
  <r>
    <x v="0"/>
    <x v="0"/>
    <x v="0"/>
    <x v="0"/>
    <x v="1"/>
    <s v="DK2_Small"/>
    <x v="9"/>
    <x v="11"/>
    <x v="0"/>
    <x v="0"/>
  </r>
  <r>
    <x v="0"/>
    <x v="0"/>
    <x v="0"/>
    <x v="0"/>
    <x v="1"/>
    <s v="DK2_Small"/>
    <x v="10"/>
    <x v="0"/>
    <x v="0"/>
    <x v="0"/>
  </r>
  <r>
    <x v="0"/>
    <x v="0"/>
    <x v="0"/>
    <x v="0"/>
    <x v="1"/>
    <s v="DK2_Small"/>
    <x v="10"/>
    <x v="1"/>
    <x v="0"/>
    <x v="0"/>
  </r>
  <r>
    <x v="0"/>
    <x v="0"/>
    <x v="0"/>
    <x v="0"/>
    <x v="1"/>
    <s v="DK2_Small"/>
    <x v="10"/>
    <x v="2"/>
    <x v="0"/>
    <x v="0"/>
  </r>
  <r>
    <x v="0"/>
    <x v="0"/>
    <x v="0"/>
    <x v="0"/>
    <x v="1"/>
    <s v="DK2_Small"/>
    <x v="10"/>
    <x v="3"/>
    <x v="0"/>
    <x v="0"/>
  </r>
  <r>
    <x v="0"/>
    <x v="0"/>
    <x v="0"/>
    <x v="0"/>
    <x v="1"/>
    <s v="DK2_Small"/>
    <x v="10"/>
    <x v="4"/>
    <x v="0"/>
    <x v="0"/>
  </r>
  <r>
    <x v="0"/>
    <x v="0"/>
    <x v="0"/>
    <x v="0"/>
    <x v="1"/>
    <s v="DK2_Small"/>
    <x v="10"/>
    <x v="5"/>
    <x v="0"/>
    <x v="0"/>
  </r>
  <r>
    <x v="0"/>
    <x v="0"/>
    <x v="0"/>
    <x v="0"/>
    <x v="1"/>
    <s v="DK2_Small"/>
    <x v="10"/>
    <x v="6"/>
    <x v="0"/>
    <x v="0"/>
  </r>
  <r>
    <x v="0"/>
    <x v="0"/>
    <x v="0"/>
    <x v="0"/>
    <x v="1"/>
    <s v="DK2_Small"/>
    <x v="10"/>
    <x v="7"/>
    <x v="0"/>
    <x v="0"/>
  </r>
  <r>
    <x v="0"/>
    <x v="0"/>
    <x v="0"/>
    <x v="0"/>
    <x v="1"/>
    <s v="DK2_Small"/>
    <x v="10"/>
    <x v="8"/>
    <x v="0"/>
    <x v="0"/>
  </r>
  <r>
    <x v="0"/>
    <x v="0"/>
    <x v="0"/>
    <x v="0"/>
    <x v="1"/>
    <s v="DK2_Small"/>
    <x v="10"/>
    <x v="9"/>
    <x v="0"/>
    <x v="0"/>
  </r>
  <r>
    <x v="0"/>
    <x v="0"/>
    <x v="0"/>
    <x v="0"/>
    <x v="1"/>
    <s v="DK2_Small"/>
    <x v="10"/>
    <x v="10"/>
    <x v="0"/>
    <x v="0"/>
  </r>
  <r>
    <x v="0"/>
    <x v="0"/>
    <x v="0"/>
    <x v="0"/>
    <x v="1"/>
    <s v="DK2_Small"/>
    <x v="10"/>
    <x v="11"/>
    <x v="0"/>
    <x v="0"/>
  </r>
  <r>
    <x v="0"/>
    <x v="0"/>
    <x v="0"/>
    <x v="0"/>
    <x v="1"/>
    <s v="DK2_Small"/>
    <x v="11"/>
    <x v="0"/>
    <x v="0"/>
    <x v="0"/>
  </r>
  <r>
    <x v="0"/>
    <x v="0"/>
    <x v="0"/>
    <x v="0"/>
    <x v="1"/>
    <s v="DK2_Small"/>
    <x v="11"/>
    <x v="1"/>
    <x v="0"/>
    <x v="0"/>
  </r>
  <r>
    <x v="0"/>
    <x v="0"/>
    <x v="0"/>
    <x v="0"/>
    <x v="1"/>
    <s v="DK2_Small"/>
    <x v="11"/>
    <x v="2"/>
    <x v="0"/>
    <x v="0"/>
  </r>
  <r>
    <x v="0"/>
    <x v="0"/>
    <x v="0"/>
    <x v="0"/>
    <x v="1"/>
    <s v="DK2_Small"/>
    <x v="11"/>
    <x v="3"/>
    <x v="0"/>
    <x v="0"/>
  </r>
  <r>
    <x v="0"/>
    <x v="0"/>
    <x v="0"/>
    <x v="0"/>
    <x v="1"/>
    <s v="DK2_Small"/>
    <x v="11"/>
    <x v="4"/>
    <x v="0"/>
    <x v="0"/>
  </r>
  <r>
    <x v="0"/>
    <x v="0"/>
    <x v="0"/>
    <x v="0"/>
    <x v="1"/>
    <s v="DK2_Small"/>
    <x v="11"/>
    <x v="5"/>
    <x v="0"/>
    <x v="0"/>
  </r>
  <r>
    <x v="0"/>
    <x v="0"/>
    <x v="0"/>
    <x v="0"/>
    <x v="1"/>
    <s v="DK2_Small"/>
    <x v="11"/>
    <x v="6"/>
    <x v="0"/>
    <x v="0"/>
  </r>
  <r>
    <x v="0"/>
    <x v="0"/>
    <x v="0"/>
    <x v="0"/>
    <x v="1"/>
    <s v="DK2_Small"/>
    <x v="11"/>
    <x v="7"/>
    <x v="0"/>
    <x v="0"/>
  </r>
  <r>
    <x v="0"/>
    <x v="0"/>
    <x v="0"/>
    <x v="0"/>
    <x v="1"/>
    <s v="DK2_Small"/>
    <x v="11"/>
    <x v="8"/>
    <x v="0"/>
    <x v="0"/>
  </r>
  <r>
    <x v="0"/>
    <x v="0"/>
    <x v="0"/>
    <x v="0"/>
    <x v="1"/>
    <s v="DK2_Small"/>
    <x v="11"/>
    <x v="9"/>
    <x v="0"/>
    <x v="0"/>
  </r>
  <r>
    <x v="0"/>
    <x v="0"/>
    <x v="0"/>
    <x v="0"/>
    <x v="1"/>
    <s v="DK2_Small"/>
    <x v="11"/>
    <x v="10"/>
    <x v="0"/>
    <x v="0"/>
  </r>
  <r>
    <x v="0"/>
    <x v="0"/>
    <x v="0"/>
    <x v="0"/>
    <x v="1"/>
    <s v="DK2_Small"/>
    <x v="11"/>
    <x v="11"/>
    <x v="0"/>
    <x v="0"/>
  </r>
  <r>
    <x v="0"/>
    <x v="0"/>
    <x v="0"/>
    <x v="1"/>
    <x v="2"/>
    <s v="FIN_EL"/>
    <x v="0"/>
    <x v="0"/>
    <x v="0"/>
    <x v="0"/>
  </r>
  <r>
    <x v="0"/>
    <x v="0"/>
    <x v="0"/>
    <x v="1"/>
    <x v="2"/>
    <s v="FIN_EL"/>
    <x v="0"/>
    <x v="1"/>
    <x v="0"/>
    <x v="0"/>
  </r>
  <r>
    <x v="0"/>
    <x v="0"/>
    <x v="0"/>
    <x v="1"/>
    <x v="2"/>
    <s v="FIN_EL"/>
    <x v="0"/>
    <x v="2"/>
    <x v="0"/>
    <x v="0"/>
  </r>
  <r>
    <x v="0"/>
    <x v="0"/>
    <x v="0"/>
    <x v="1"/>
    <x v="2"/>
    <s v="FIN_EL"/>
    <x v="0"/>
    <x v="3"/>
    <x v="0"/>
    <x v="0"/>
  </r>
  <r>
    <x v="0"/>
    <x v="0"/>
    <x v="0"/>
    <x v="1"/>
    <x v="2"/>
    <s v="FIN_EL"/>
    <x v="0"/>
    <x v="4"/>
    <x v="0"/>
    <x v="0"/>
  </r>
  <r>
    <x v="0"/>
    <x v="0"/>
    <x v="0"/>
    <x v="1"/>
    <x v="2"/>
    <s v="FIN_EL"/>
    <x v="0"/>
    <x v="5"/>
    <x v="0"/>
    <x v="0"/>
  </r>
  <r>
    <x v="0"/>
    <x v="0"/>
    <x v="0"/>
    <x v="1"/>
    <x v="2"/>
    <s v="FIN_EL"/>
    <x v="0"/>
    <x v="6"/>
    <x v="0"/>
    <x v="0"/>
  </r>
  <r>
    <x v="0"/>
    <x v="0"/>
    <x v="0"/>
    <x v="1"/>
    <x v="2"/>
    <s v="FIN_EL"/>
    <x v="0"/>
    <x v="7"/>
    <x v="0"/>
    <x v="0"/>
  </r>
  <r>
    <x v="0"/>
    <x v="0"/>
    <x v="0"/>
    <x v="1"/>
    <x v="2"/>
    <s v="FIN_EL"/>
    <x v="0"/>
    <x v="8"/>
    <x v="0"/>
    <x v="0"/>
  </r>
  <r>
    <x v="0"/>
    <x v="0"/>
    <x v="0"/>
    <x v="1"/>
    <x v="2"/>
    <s v="FIN_EL"/>
    <x v="0"/>
    <x v="9"/>
    <x v="0"/>
    <x v="0"/>
  </r>
  <r>
    <x v="0"/>
    <x v="0"/>
    <x v="0"/>
    <x v="1"/>
    <x v="2"/>
    <s v="FIN_EL"/>
    <x v="0"/>
    <x v="10"/>
    <x v="0"/>
    <x v="0"/>
  </r>
  <r>
    <x v="0"/>
    <x v="0"/>
    <x v="0"/>
    <x v="1"/>
    <x v="2"/>
    <s v="FIN_EL"/>
    <x v="0"/>
    <x v="11"/>
    <x v="0"/>
    <x v="0"/>
  </r>
  <r>
    <x v="0"/>
    <x v="0"/>
    <x v="0"/>
    <x v="1"/>
    <x v="2"/>
    <s v="FIN_EL"/>
    <x v="1"/>
    <x v="0"/>
    <x v="0"/>
    <x v="0"/>
  </r>
  <r>
    <x v="0"/>
    <x v="0"/>
    <x v="0"/>
    <x v="1"/>
    <x v="2"/>
    <s v="FIN_EL"/>
    <x v="1"/>
    <x v="1"/>
    <x v="0"/>
    <x v="0"/>
  </r>
  <r>
    <x v="0"/>
    <x v="0"/>
    <x v="0"/>
    <x v="1"/>
    <x v="2"/>
    <s v="FIN_EL"/>
    <x v="1"/>
    <x v="2"/>
    <x v="0"/>
    <x v="0"/>
  </r>
  <r>
    <x v="0"/>
    <x v="0"/>
    <x v="0"/>
    <x v="1"/>
    <x v="2"/>
    <s v="FIN_EL"/>
    <x v="1"/>
    <x v="3"/>
    <x v="0"/>
    <x v="0"/>
  </r>
  <r>
    <x v="0"/>
    <x v="0"/>
    <x v="0"/>
    <x v="1"/>
    <x v="2"/>
    <s v="FIN_EL"/>
    <x v="1"/>
    <x v="4"/>
    <x v="0"/>
    <x v="0"/>
  </r>
  <r>
    <x v="0"/>
    <x v="0"/>
    <x v="0"/>
    <x v="1"/>
    <x v="2"/>
    <s v="FIN_EL"/>
    <x v="1"/>
    <x v="5"/>
    <x v="0"/>
    <x v="0"/>
  </r>
  <r>
    <x v="0"/>
    <x v="0"/>
    <x v="0"/>
    <x v="1"/>
    <x v="2"/>
    <s v="FIN_EL"/>
    <x v="1"/>
    <x v="6"/>
    <x v="0"/>
    <x v="0"/>
  </r>
  <r>
    <x v="0"/>
    <x v="0"/>
    <x v="0"/>
    <x v="1"/>
    <x v="2"/>
    <s v="FIN_EL"/>
    <x v="1"/>
    <x v="7"/>
    <x v="0"/>
    <x v="0"/>
  </r>
  <r>
    <x v="0"/>
    <x v="0"/>
    <x v="0"/>
    <x v="1"/>
    <x v="2"/>
    <s v="FIN_EL"/>
    <x v="1"/>
    <x v="8"/>
    <x v="0"/>
    <x v="0"/>
  </r>
  <r>
    <x v="0"/>
    <x v="0"/>
    <x v="0"/>
    <x v="1"/>
    <x v="2"/>
    <s v="FIN_EL"/>
    <x v="1"/>
    <x v="9"/>
    <x v="0"/>
    <x v="0"/>
  </r>
  <r>
    <x v="0"/>
    <x v="0"/>
    <x v="0"/>
    <x v="1"/>
    <x v="2"/>
    <s v="FIN_EL"/>
    <x v="1"/>
    <x v="10"/>
    <x v="0"/>
    <x v="0"/>
  </r>
  <r>
    <x v="0"/>
    <x v="0"/>
    <x v="0"/>
    <x v="1"/>
    <x v="2"/>
    <s v="FIN_EL"/>
    <x v="1"/>
    <x v="11"/>
    <x v="0"/>
    <x v="0"/>
  </r>
  <r>
    <x v="0"/>
    <x v="0"/>
    <x v="0"/>
    <x v="1"/>
    <x v="2"/>
    <s v="FIN_EL"/>
    <x v="2"/>
    <x v="0"/>
    <x v="0"/>
    <x v="0"/>
  </r>
  <r>
    <x v="0"/>
    <x v="0"/>
    <x v="0"/>
    <x v="1"/>
    <x v="2"/>
    <s v="FIN_EL"/>
    <x v="2"/>
    <x v="1"/>
    <x v="0"/>
    <x v="0"/>
  </r>
  <r>
    <x v="0"/>
    <x v="0"/>
    <x v="0"/>
    <x v="1"/>
    <x v="2"/>
    <s v="FIN_EL"/>
    <x v="2"/>
    <x v="2"/>
    <x v="0"/>
    <x v="0"/>
  </r>
  <r>
    <x v="0"/>
    <x v="0"/>
    <x v="0"/>
    <x v="1"/>
    <x v="2"/>
    <s v="FIN_EL"/>
    <x v="2"/>
    <x v="3"/>
    <x v="0"/>
    <x v="0"/>
  </r>
  <r>
    <x v="0"/>
    <x v="0"/>
    <x v="0"/>
    <x v="1"/>
    <x v="2"/>
    <s v="FIN_EL"/>
    <x v="2"/>
    <x v="4"/>
    <x v="0"/>
    <x v="0"/>
  </r>
  <r>
    <x v="0"/>
    <x v="0"/>
    <x v="0"/>
    <x v="1"/>
    <x v="2"/>
    <s v="FIN_EL"/>
    <x v="2"/>
    <x v="5"/>
    <x v="0"/>
    <x v="0"/>
  </r>
  <r>
    <x v="0"/>
    <x v="0"/>
    <x v="0"/>
    <x v="1"/>
    <x v="2"/>
    <s v="FIN_EL"/>
    <x v="2"/>
    <x v="6"/>
    <x v="0"/>
    <x v="0"/>
  </r>
  <r>
    <x v="0"/>
    <x v="0"/>
    <x v="0"/>
    <x v="1"/>
    <x v="2"/>
    <s v="FIN_EL"/>
    <x v="2"/>
    <x v="7"/>
    <x v="0"/>
    <x v="0"/>
  </r>
  <r>
    <x v="0"/>
    <x v="0"/>
    <x v="0"/>
    <x v="1"/>
    <x v="2"/>
    <s v="FIN_EL"/>
    <x v="2"/>
    <x v="8"/>
    <x v="0"/>
    <x v="0"/>
  </r>
  <r>
    <x v="0"/>
    <x v="0"/>
    <x v="0"/>
    <x v="1"/>
    <x v="2"/>
    <s v="FIN_EL"/>
    <x v="2"/>
    <x v="9"/>
    <x v="0"/>
    <x v="0"/>
  </r>
  <r>
    <x v="0"/>
    <x v="0"/>
    <x v="0"/>
    <x v="1"/>
    <x v="2"/>
    <s v="FIN_EL"/>
    <x v="2"/>
    <x v="10"/>
    <x v="0"/>
    <x v="0"/>
  </r>
  <r>
    <x v="0"/>
    <x v="0"/>
    <x v="0"/>
    <x v="1"/>
    <x v="2"/>
    <s v="FIN_EL"/>
    <x v="2"/>
    <x v="11"/>
    <x v="0"/>
    <x v="0"/>
  </r>
  <r>
    <x v="0"/>
    <x v="0"/>
    <x v="0"/>
    <x v="1"/>
    <x v="2"/>
    <s v="FIN_EL"/>
    <x v="3"/>
    <x v="0"/>
    <x v="0"/>
    <x v="0"/>
  </r>
  <r>
    <x v="0"/>
    <x v="0"/>
    <x v="0"/>
    <x v="1"/>
    <x v="2"/>
    <s v="FIN_EL"/>
    <x v="3"/>
    <x v="1"/>
    <x v="0"/>
    <x v="0"/>
  </r>
  <r>
    <x v="0"/>
    <x v="0"/>
    <x v="0"/>
    <x v="1"/>
    <x v="2"/>
    <s v="FIN_EL"/>
    <x v="3"/>
    <x v="2"/>
    <x v="0"/>
    <x v="0"/>
  </r>
  <r>
    <x v="0"/>
    <x v="0"/>
    <x v="0"/>
    <x v="1"/>
    <x v="2"/>
    <s v="FIN_EL"/>
    <x v="3"/>
    <x v="3"/>
    <x v="0"/>
    <x v="0"/>
  </r>
  <r>
    <x v="0"/>
    <x v="0"/>
    <x v="0"/>
    <x v="1"/>
    <x v="2"/>
    <s v="FIN_EL"/>
    <x v="3"/>
    <x v="4"/>
    <x v="0"/>
    <x v="0"/>
  </r>
  <r>
    <x v="0"/>
    <x v="0"/>
    <x v="0"/>
    <x v="1"/>
    <x v="2"/>
    <s v="FIN_EL"/>
    <x v="3"/>
    <x v="5"/>
    <x v="0"/>
    <x v="0"/>
  </r>
  <r>
    <x v="0"/>
    <x v="0"/>
    <x v="0"/>
    <x v="1"/>
    <x v="2"/>
    <s v="FIN_EL"/>
    <x v="3"/>
    <x v="6"/>
    <x v="0"/>
    <x v="0"/>
  </r>
  <r>
    <x v="0"/>
    <x v="0"/>
    <x v="0"/>
    <x v="1"/>
    <x v="2"/>
    <s v="FIN_EL"/>
    <x v="3"/>
    <x v="7"/>
    <x v="0"/>
    <x v="0"/>
  </r>
  <r>
    <x v="0"/>
    <x v="0"/>
    <x v="0"/>
    <x v="1"/>
    <x v="2"/>
    <s v="FIN_EL"/>
    <x v="3"/>
    <x v="8"/>
    <x v="0"/>
    <x v="0"/>
  </r>
  <r>
    <x v="0"/>
    <x v="0"/>
    <x v="0"/>
    <x v="1"/>
    <x v="2"/>
    <s v="FIN_EL"/>
    <x v="3"/>
    <x v="9"/>
    <x v="0"/>
    <x v="0"/>
  </r>
  <r>
    <x v="0"/>
    <x v="0"/>
    <x v="0"/>
    <x v="1"/>
    <x v="2"/>
    <s v="FIN_EL"/>
    <x v="3"/>
    <x v="10"/>
    <x v="0"/>
    <x v="0"/>
  </r>
  <r>
    <x v="0"/>
    <x v="0"/>
    <x v="0"/>
    <x v="1"/>
    <x v="2"/>
    <s v="FIN_EL"/>
    <x v="3"/>
    <x v="11"/>
    <x v="0"/>
    <x v="0"/>
  </r>
  <r>
    <x v="0"/>
    <x v="0"/>
    <x v="0"/>
    <x v="1"/>
    <x v="2"/>
    <s v="FIN_EL"/>
    <x v="4"/>
    <x v="0"/>
    <x v="0"/>
    <x v="0"/>
  </r>
  <r>
    <x v="0"/>
    <x v="0"/>
    <x v="0"/>
    <x v="1"/>
    <x v="2"/>
    <s v="FIN_EL"/>
    <x v="4"/>
    <x v="1"/>
    <x v="0"/>
    <x v="0"/>
  </r>
  <r>
    <x v="0"/>
    <x v="0"/>
    <x v="0"/>
    <x v="1"/>
    <x v="2"/>
    <s v="FIN_EL"/>
    <x v="4"/>
    <x v="2"/>
    <x v="0"/>
    <x v="0"/>
  </r>
  <r>
    <x v="0"/>
    <x v="0"/>
    <x v="0"/>
    <x v="1"/>
    <x v="2"/>
    <s v="FIN_EL"/>
    <x v="4"/>
    <x v="3"/>
    <x v="0"/>
    <x v="0"/>
  </r>
  <r>
    <x v="0"/>
    <x v="0"/>
    <x v="0"/>
    <x v="1"/>
    <x v="2"/>
    <s v="FIN_EL"/>
    <x v="4"/>
    <x v="4"/>
    <x v="0"/>
    <x v="0"/>
  </r>
  <r>
    <x v="0"/>
    <x v="0"/>
    <x v="0"/>
    <x v="1"/>
    <x v="2"/>
    <s v="FIN_EL"/>
    <x v="4"/>
    <x v="5"/>
    <x v="0"/>
    <x v="0"/>
  </r>
  <r>
    <x v="0"/>
    <x v="0"/>
    <x v="0"/>
    <x v="1"/>
    <x v="2"/>
    <s v="FIN_EL"/>
    <x v="4"/>
    <x v="6"/>
    <x v="0"/>
    <x v="0"/>
  </r>
  <r>
    <x v="0"/>
    <x v="0"/>
    <x v="0"/>
    <x v="1"/>
    <x v="2"/>
    <s v="FIN_EL"/>
    <x v="4"/>
    <x v="7"/>
    <x v="0"/>
    <x v="0"/>
  </r>
  <r>
    <x v="0"/>
    <x v="0"/>
    <x v="0"/>
    <x v="1"/>
    <x v="2"/>
    <s v="FIN_EL"/>
    <x v="4"/>
    <x v="8"/>
    <x v="0"/>
    <x v="0"/>
  </r>
  <r>
    <x v="0"/>
    <x v="0"/>
    <x v="0"/>
    <x v="1"/>
    <x v="2"/>
    <s v="FIN_EL"/>
    <x v="4"/>
    <x v="9"/>
    <x v="0"/>
    <x v="0"/>
  </r>
  <r>
    <x v="0"/>
    <x v="0"/>
    <x v="0"/>
    <x v="1"/>
    <x v="2"/>
    <s v="FIN_EL"/>
    <x v="4"/>
    <x v="10"/>
    <x v="0"/>
    <x v="0"/>
  </r>
  <r>
    <x v="0"/>
    <x v="0"/>
    <x v="0"/>
    <x v="1"/>
    <x v="2"/>
    <s v="FIN_EL"/>
    <x v="4"/>
    <x v="11"/>
    <x v="0"/>
    <x v="0"/>
  </r>
  <r>
    <x v="0"/>
    <x v="0"/>
    <x v="0"/>
    <x v="1"/>
    <x v="2"/>
    <s v="FIN_EL"/>
    <x v="5"/>
    <x v="0"/>
    <x v="0"/>
    <x v="0"/>
  </r>
  <r>
    <x v="0"/>
    <x v="0"/>
    <x v="0"/>
    <x v="1"/>
    <x v="2"/>
    <s v="FIN_EL"/>
    <x v="5"/>
    <x v="1"/>
    <x v="0"/>
    <x v="0"/>
  </r>
  <r>
    <x v="0"/>
    <x v="0"/>
    <x v="0"/>
    <x v="1"/>
    <x v="2"/>
    <s v="FIN_EL"/>
    <x v="5"/>
    <x v="2"/>
    <x v="0"/>
    <x v="0"/>
  </r>
  <r>
    <x v="0"/>
    <x v="0"/>
    <x v="0"/>
    <x v="1"/>
    <x v="2"/>
    <s v="FIN_EL"/>
    <x v="5"/>
    <x v="3"/>
    <x v="0"/>
    <x v="0"/>
  </r>
  <r>
    <x v="0"/>
    <x v="0"/>
    <x v="0"/>
    <x v="1"/>
    <x v="2"/>
    <s v="FIN_EL"/>
    <x v="5"/>
    <x v="4"/>
    <x v="0"/>
    <x v="0"/>
  </r>
  <r>
    <x v="0"/>
    <x v="0"/>
    <x v="0"/>
    <x v="1"/>
    <x v="2"/>
    <s v="FIN_EL"/>
    <x v="5"/>
    <x v="5"/>
    <x v="0"/>
    <x v="0"/>
  </r>
  <r>
    <x v="0"/>
    <x v="0"/>
    <x v="0"/>
    <x v="1"/>
    <x v="2"/>
    <s v="FIN_EL"/>
    <x v="5"/>
    <x v="6"/>
    <x v="0"/>
    <x v="0"/>
  </r>
  <r>
    <x v="0"/>
    <x v="0"/>
    <x v="0"/>
    <x v="1"/>
    <x v="2"/>
    <s v="FIN_EL"/>
    <x v="5"/>
    <x v="7"/>
    <x v="0"/>
    <x v="0"/>
  </r>
  <r>
    <x v="0"/>
    <x v="0"/>
    <x v="0"/>
    <x v="1"/>
    <x v="2"/>
    <s v="FIN_EL"/>
    <x v="5"/>
    <x v="8"/>
    <x v="0"/>
    <x v="0"/>
  </r>
  <r>
    <x v="0"/>
    <x v="0"/>
    <x v="0"/>
    <x v="1"/>
    <x v="2"/>
    <s v="FIN_EL"/>
    <x v="5"/>
    <x v="9"/>
    <x v="0"/>
    <x v="0"/>
  </r>
  <r>
    <x v="0"/>
    <x v="0"/>
    <x v="0"/>
    <x v="1"/>
    <x v="2"/>
    <s v="FIN_EL"/>
    <x v="5"/>
    <x v="10"/>
    <x v="0"/>
    <x v="0"/>
  </r>
  <r>
    <x v="0"/>
    <x v="0"/>
    <x v="0"/>
    <x v="1"/>
    <x v="2"/>
    <s v="FIN_EL"/>
    <x v="5"/>
    <x v="11"/>
    <x v="0"/>
    <x v="0"/>
  </r>
  <r>
    <x v="0"/>
    <x v="0"/>
    <x v="0"/>
    <x v="1"/>
    <x v="2"/>
    <s v="FIN_EL"/>
    <x v="6"/>
    <x v="0"/>
    <x v="0"/>
    <x v="0"/>
  </r>
  <r>
    <x v="0"/>
    <x v="0"/>
    <x v="0"/>
    <x v="1"/>
    <x v="2"/>
    <s v="FIN_EL"/>
    <x v="6"/>
    <x v="1"/>
    <x v="0"/>
    <x v="0"/>
  </r>
  <r>
    <x v="0"/>
    <x v="0"/>
    <x v="0"/>
    <x v="1"/>
    <x v="2"/>
    <s v="FIN_EL"/>
    <x v="6"/>
    <x v="2"/>
    <x v="0"/>
    <x v="0"/>
  </r>
  <r>
    <x v="0"/>
    <x v="0"/>
    <x v="0"/>
    <x v="1"/>
    <x v="2"/>
    <s v="FIN_EL"/>
    <x v="6"/>
    <x v="3"/>
    <x v="0"/>
    <x v="0"/>
  </r>
  <r>
    <x v="0"/>
    <x v="0"/>
    <x v="0"/>
    <x v="1"/>
    <x v="2"/>
    <s v="FIN_EL"/>
    <x v="6"/>
    <x v="4"/>
    <x v="0"/>
    <x v="0"/>
  </r>
  <r>
    <x v="0"/>
    <x v="0"/>
    <x v="0"/>
    <x v="1"/>
    <x v="2"/>
    <s v="FIN_EL"/>
    <x v="6"/>
    <x v="5"/>
    <x v="0"/>
    <x v="0"/>
  </r>
  <r>
    <x v="0"/>
    <x v="0"/>
    <x v="0"/>
    <x v="1"/>
    <x v="2"/>
    <s v="FIN_EL"/>
    <x v="6"/>
    <x v="6"/>
    <x v="0"/>
    <x v="0"/>
  </r>
  <r>
    <x v="0"/>
    <x v="0"/>
    <x v="0"/>
    <x v="1"/>
    <x v="2"/>
    <s v="FIN_EL"/>
    <x v="6"/>
    <x v="7"/>
    <x v="0"/>
    <x v="0"/>
  </r>
  <r>
    <x v="0"/>
    <x v="0"/>
    <x v="0"/>
    <x v="1"/>
    <x v="2"/>
    <s v="FIN_EL"/>
    <x v="6"/>
    <x v="8"/>
    <x v="0"/>
    <x v="0"/>
  </r>
  <r>
    <x v="0"/>
    <x v="0"/>
    <x v="0"/>
    <x v="1"/>
    <x v="2"/>
    <s v="FIN_EL"/>
    <x v="6"/>
    <x v="9"/>
    <x v="0"/>
    <x v="0"/>
  </r>
  <r>
    <x v="0"/>
    <x v="0"/>
    <x v="0"/>
    <x v="1"/>
    <x v="2"/>
    <s v="FIN_EL"/>
    <x v="6"/>
    <x v="10"/>
    <x v="0"/>
    <x v="0"/>
  </r>
  <r>
    <x v="0"/>
    <x v="0"/>
    <x v="0"/>
    <x v="1"/>
    <x v="2"/>
    <s v="FIN_EL"/>
    <x v="6"/>
    <x v="11"/>
    <x v="0"/>
    <x v="0"/>
  </r>
  <r>
    <x v="0"/>
    <x v="0"/>
    <x v="0"/>
    <x v="1"/>
    <x v="2"/>
    <s v="FIN_EL"/>
    <x v="7"/>
    <x v="0"/>
    <x v="0"/>
    <x v="0"/>
  </r>
  <r>
    <x v="0"/>
    <x v="0"/>
    <x v="0"/>
    <x v="1"/>
    <x v="2"/>
    <s v="FIN_EL"/>
    <x v="7"/>
    <x v="1"/>
    <x v="0"/>
    <x v="0"/>
  </r>
  <r>
    <x v="0"/>
    <x v="0"/>
    <x v="0"/>
    <x v="1"/>
    <x v="2"/>
    <s v="FIN_EL"/>
    <x v="7"/>
    <x v="2"/>
    <x v="0"/>
    <x v="0"/>
  </r>
  <r>
    <x v="0"/>
    <x v="0"/>
    <x v="0"/>
    <x v="1"/>
    <x v="2"/>
    <s v="FIN_EL"/>
    <x v="7"/>
    <x v="3"/>
    <x v="0"/>
    <x v="0"/>
  </r>
  <r>
    <x v="0"/>
    <x v="0"/>
    <x v="0"/>
    <x v="1"/>
    <x v="2"/>
    <s v="FIN_EL"/>
    <x v="7"/>
    <x v="4"/>
    <x v="0"/>
    <x v="0"/>
  </r>
  <r>
    <x v="0"/>
    <x v="0"/>
    <x v="0"/>
    <x v="1"/>
    <x v="2"/>
    <s v="FIN_EL"/>
    <x v="7"/>
    <x v="5"/>
    <x v="0"/>
    <x v="0"/>
  </r>
  <r>
    <x v="0"/>
    <x v="0"/>
    <x v="0"/>
    <x v="1"/>
    <x v="2"/>
    <s v="FIN_EL"/>
    <x v="7"/>
    <x v="6"/>
    <x v="0"/>
    <x v="0"/>
  </r>
  <r>
    <x v="0"/>
    <x v="0"/>
    <x v="0"/>
    <x v="1"/>
    <x v="2"/>
    <s v="FIN_EL"/>
    <x v="7"/>
    <x v="7"/>
    <x v="0"/>
    <x v="0"/>
  </r>
  <r>
    <x v="0"/>
    <x v="0"/>
    <x v="0"/>
    <x v="1"/>
    <x v="2"/>
    <s v="FIN_EL"/>
    <x v="7"/>
    <x v="8"/>
    <x v="0"/>
    <x v="0"/>
  </r>
  <r>
    <x v="0"/>
    <x v="0"/>
    <x v="0"/>
    <x v="1"/>
    <x v="2"/>
    <s v="FIN_EL"/>
    <x v="7"/>
    <x v="9"/>
    <x v="0"/>
    <x v="0"/>
  </r>
  <r>
    <x v="0"/>
    <x v="0"/>
    <x v="0"/>
    <x v="1"/>
    <x v="2"/>
    <s v="FIN_EL"/>
    <x v="7"/>
    <x v="10"/>
    <x v="0"/>
    <x v="0"/>
  </r>
  <r>
    <x v="0"/>
    <x v="0"/>
    <x v="0"/>
    <x v="1"/>
    <x v="2"/>
    <s v="FIN_EL"/>
    <x v="7"/>
    <x v="11"/>
    <x v="0"/>
    <x v="0"/>
  </r>
  <r>
    <x v="0"/>
    <x v="0"/>
    <x v="0"/>
    <x v="1"/>
    <x v="2"/>
    <s v="FIN_EL"/>
    <x v="8"/>
    <x v="0"/>
    <x v="0"/>
    <x v="0"/>
  </r>
  <r>
    <x v="0"/>
    <x v="0"/>
    <x v="0"/>
    <x v="1"/>
    <x v="2"/>
    <s v="FIN_EL"/>
    <x v="8"/>
    <x v="1"/>
    <x v="0"/>
    <x v="0"/>
  </r>
  <r>
    <x v="0"/>
    <x v="0"/>
    <x v="0"/>
    <x v="1"/>
    <x v="2"/>
    <s v="FIN_EL"/>
    <x v="8"/>
    <x v="2"/>
    <x v="0"/>
    <x v="0"/>
  </r>
  <r>
    <x v="0"/>
    <x v="0"/>
    <x v="0"/>
    <x v="1"/>
    <x v="2"/>
    <s v="FIN_EL"/>
    <x v="8"/>
    <x v="3"/>
    <x v="0"/>
    <x v="0"/>
  </r>
  <r>
    <x v="0"/>
    <x v="0"/>
    <x v="0"/>
    <x v="1"/>
    <x v="2"/>
    <s v="FIN_EL"/>
    <x v="8"/>
    <x v="4"/>
    <x v="0"/>
    <x v="0"/>
  </r>
  <r>
    <x v="0"/>
    <x v="0"/>
    <x v="0"/>
    <x v="1"/>
    <x v="2"/>
    <s v="FIN_EL"/>
    <x v="8"/>
    <x v="5"/>
    <x v="0"/>
    <x v="0"/>
  </r>
  <r>
    <x v="0"/>
    <x v="0"/>
    <x v="0"/>
    <x v="1"/>
    <x v="2"/>
    <s v="FIN_EL"/>
    <x v="8"/>
    <x v="6"/>
    <x v="0"/>
    <x v="0"/>
  </r>
  <r>
    <x v="0"/>
    <x v="0"/>
    <x v="0"/>
    <x v="1"/>
    <x v="2"/>
    <s v="FIN_EL"/>
    <x v="8"/>
    <x v="7"/>
    <x v="0"/>
    <x v="0"/>
  </r>
  <r>
    <x v="0"/>
    <x v="0"/>
    <x v="0"/>
    <x v="1"/>
    <x v="2"/>
    <s v="FIN_EL"/>
    <x v="8"/>
    <x v="8"/>
    <x v="0"/>
    <x v="0"/>
  </r>
  <r>
    <x v="0"/>
    <x v="0"/>
    <x v="0"/>
    <x v="1"/>
    <x v="2"/>
    <s v="FIN_EL"/>
    <x v="8"/>
    <x v="9"/>
    <x v="0"/>
    <x v="0"/>
  </r>
  <r>
    <x v="0"/>
    <x v="0"/>
    <x v="0"/>
    <x v="1"/>
    <x v="2"/>
    <s v="FIN_EL"/>
    <x v="8"/>
    <x v="10"/>
    <x v="0"/>
    <x v="0"/>
  </r>
  <r>
    <x v="0"/>
    <x v="0"/>
    <x v="0"/>
    <x v="1"/>
    <x v="2"/>
    <s v="FIN_EL"/>
    <x v="8"/>
    <x v="11"/>
    <x v="0"/>
    <x v="0"/>
  </r>
  <r>
    <x v="0"/>
    <x v="0"/>
    <x v="0"/>
    <x v="1"/>
    <x v="2"/>
    <s v="FIN_EL"/>
    <x v="9"/>
    <x v="0"/>
    <x v="0"/>
    <x v="0"/>
  </r>
  <r>
    <x v="0"/>
    <x v="0"/>
    <x v="0"/>
    <x v="1"/>
    <x v="2"/>
    <s v="FIN_EL"/>
    <x v="9"/>
    <x v="1"/>
    <x v="0"/>
    <x v="0"/>
  </r>
  <r>
    <x v="0"/>
    <x v="0"/>
    <x v="0"/>
    <x v="1"/>
    <x v="2"/>
    <s v="FIN_EL"/>
    <x v="9"/>
    <x v="2"/>
    <x v="0"/>
    <x v="0"/>
  </r>
  <r>
    <x v="0"/>
    <x v="0"/>
    <x v="0"/>
    <x v="1"/>
    <x v="2"/>
    <s v="FIN_EL"/>
    <x v="9"/>
    <x v="3"/>
    <x v="0"/>
    <x v="0"/>
  </r>
  <r>
    <x v="0"/>
    <x v="0"/>
    <x v="0"/>
    <x v="1"/>
    <x v="2"/>
    <s v="FIN_EL"/>
    <x v="9"/>
    <x v="4"/>
    <x v="0"/>
    <x v="0"/>
  </r>
  <r>
    <x v="0"/>
    <x v="0"/>
    <x v="0"/>
    <x v="1"/>
    <x v="2"/>
    <s v="FIN_EL"/>
    <x v="9"/>
    <x v="5"/>
    <x v="0"/>
    <x v="0"/>
  </r>
  <r>
    <x v="0"/>
    <x v="0"/>
    <x v="0"/>
    <x v="1"/>
    <x v="2"/>
    <s v="FIN_EL"/>
    <x v="9"/>
    <x v="6"/>
    <x v="0"/>
    <x v="0"/>
  </r>
  <r>
    <x v="0"/>
    <x v="0"/>
    <x v="0"/>
    <x v="1"/>
    <x v="2"/>
    <s v="FIN_EL"/>
    <x v="9"/>
    <x v="7"/>
    <x v="0"/>
    <x v="0"/>
  </r>
  <r>
    <x v="0"/>
    <x v="0"/>
    <x v="0"/>
    <x v="1"/>
    <x v="2"/>
    <s v="FIN_EL"/>
    <x v="9"/>
    <x v="8"/>
    <x v="0"/>
    <x v="0"/>
  </r>
  <r>
    <x v="0"/>
    <x v="0"/>
    <x v="0"/>
    <x v="1"/>
    <x v="2"/>
    <s v="FIN_EL"/>
    <x v="9"/>
    <x v="9"/>
    <x v="0"/>
    <x v="0"/>
  </r>
  <r>
    <x v="0"/>
    <x v="0"/>
    <x v="0"/>
    <x v="1"/>
    <x v="2"/>
    <s v="FIN_EL"/>
    <x v="9"/>
    <x v="10"/>
    <x v="0"/>
    <x v="0"/>
  </r>
  <r>
    <x v="0"/>
    <x v="0"/>
    <x v="0"/>
    <x v="1"/>
    <x v="2"/>
    <s v="FIN_EL"/>
    <x v="9"/>
    <x v="11"/>
    <x v="0"/>
    <x v="0"/>
  </r>
  <r>
    <x v="0"/>
    <x v="0"/>
    <x v="0"/>
    <x v="1"/>
    <x v="2"/>
    <s v="FIN_EL"/>
    <x v="10"/>
    <x v="0"/>
    <x v="0"/>
    <x v="0"/>
  </r>
  <r>
    <x v="0"/>
    <x v="0"/>
    <x v="0"/>
    <x v="1"/>
    <x v="2"/>
    <s v="FIN_EL"/>
    <x v="10"/>
    <x v="1"/>
    <x v="0"/>
    <x v="0"/>
  </r>
  <r>
    <x v="0"/>
    <x v="0"/>
    <x v="0"/>
    <x v="1"/>
    <x v="2"/>
    <s v="FIN_EL"/>
    <x v="10"/>
    <x v="2"/>
    <x v="0"/>
    <x v="0"/>
  </r>
  <r>
    <x v="0"/>
    <x v="0"/>
    <x v="0"/>
    <x v="1"/>
    <x v="2"/>
    <s v="FIN_EL"/>
    <x v="10"/>
    <x v="3"/>
    <x v="0"/>
    <x v="0"/>
  </r>
  <r>
    <x v="0"/>
    <x v="0"/>
    <x v="0"/>
    <x v="1"/>
    <x v="2"/>
    <s v="FIN_EL"/>
    <x v="10"/>
    <x v="4"/>
    <x v="0"/>
    <x v="0"/>
  </r>
  <r>
    <x v="0"/>
    <x v="0"/>
    <x v="0"/>
    <x v="1"/>
    <x v="2"/>
    <s v="FIN_EL"/>
    <x v="10"/>
    <x v="5"/>
    <x v="0"/>
    <x v="0"/>
  </r>
  <r>
    <x v="0"/>
    <x v="0"/>
    <x v="0"/>
    <x v="1"/>
    <x v="2"/>
    <s v="FIN_EL"/>
    <x v="10"/>
    <x v="6"/>
    <x v="0"/>
    <x v="0"/>
  </r>
  <r>
    <x v="0"/>
    <x v="0"/>
    <x v="0"/>
    <x v="1"/>
    <x v="2"/>
    <s v="FIN_EL"/>
    <x v="10"/>
    <x v="7"/>
    <x v="0"/>
    <x v="0"/>
  </r>
  <r>
    <x v="0"/>
    <x v="0"/>
    <x v="0"/>
    <x v="1"/>
    <x v="2"/>
    <s v="FIN_EL"/>
    <x v="10"/>
    <x v="8"/>
    <x v="0"/>
    <x v="0"/>
  </r>
  <r>
    <x v="0"/>
    <x v="0"/>
    <x v="0"/>
    <x v="1"/>
    <x v="2"/>
    <s v="FIN_EL"/>
    <x v="10"/>
    <x v="9"/>
    <x v="0"/>
    <x v="0"/>
  </r>
  <r>
    <x v="0"/>
    <x v="0"/>
    <x v="0"/>
    <x v="1"/>
    <x v="2"/>
    <s v="FIN_EL"/>
    <x v="10"/>
    <x v="10"/>
    <x v="0"/>
    <x v="0"/>
  </r>
  <r>
    <x v="0"/>
    <x v="0"/>
    <x v="0"/>
    <x v="1"/>
    <x v="2"/>
    <s v="FIN_EL"/>
    <x v="10"/>
    <x v="11"/>
    <x v="0"/>
    <x v="0"/>
  </r>
  <r>
    <x v="0"/>
    <x v="0"/>
    <x v="0"/>
    <x v="1"/>
    <x v="2"/>
    <s v="FIN_EL"/>
    <x v="11"/>
    <x v="0"/>
    <x v="0"/>
    <x v="0"/>
  </r>
  <r>
    <x v="0"/>
    <x v="0"/>
    <x v="0"/>
    <x v="1"/>
    <x v="2"/>
    <s v="FIN_EL"/>
    <x v="11"/>
    <x v="1"/>
    <x v="0"/>
    <x v="0"/>
  </r>
  <r>
    <x v="0"/>
    <x v="0"/>
    <x v="0"/>
    <x v="1"/>
    <x v="2"/>
    <s v="FIN_EL"/>
    <x v="11"/>
    <x v="2"/>
    <x v="0"/>
    <x v="0"/>
  </r>
  <r>
    <x v="0"/>
    <x v="0"/>
    <x v="0"/>
    <x v="1"/>
    <x v="2"/>
    <s v="FIN_EL"/>
    <x v="11"/>
    <x v="3"/>
    <x v="0"/>
    <x v="0"/>
  </r>
  <r>
    <x v="0"/>
    <x v="0"/>
    <x v="0"/>
    <x v="1"/>
    <x v="2"/>
    <s v="FIN_EL"/>
    <x v="11"/>
    <x v="4"/>
    <x v="0"/>
    <x v="0"/>
  </r>
  <r>
    <x v="0"/>
    <x v="0"/>
    <x v="0"/>
    <x v="1"/>
    <x v="2"/>
    <s v="FIN_EL"/>
    <x v="11"/>
    <x v="5"/>
    <x v="0"/>
    <x v="0"/>
  </r>
  <r>
    <x v="0"/>
    <x v="0"/>
    <x v="0"/>
    <x v="1"/>
    <x v="2"/>
    <s v="FIN_EL"/>
    <x v="11"/>
    <x v="6"/>
    <x v="0"/>
    <x v="0"/>
  </r>
  <r>
    <x v="0"/>
    <x v="0"/>
    <x v="0"/>
    <x v="1"/>
    <x v="2"/>
    <s v="FIN_EL"/>
    <x v="11"/>
    <x v="7"/>
    <x v="0"/>
    <x v="0"/>
  </r>
  <r>
    <x v="0"/>
    <x v="0"/>
    <x v="0"/>
    <x v="1"/>
    <x v="2"/>
    <s v="FIN_EL"/>
    <x v="11"/>
    <x v="8"/>
    <x v="0"/>
    <x v="0"/>
  </r>
  <r>
    <x v="0"/>
    <x v="0"/>
    <x v="0"/>
    <x v="1"/>
    <x v="2"/>
    <s v="FIN_EL"/>
    <x v="11"/>
    <x v="9"/>
    <x v="0"/>
    <x v="0"/>
  </r>
  <r>
    <x v="0"/>
    <x v="0"/>
    <x v="0"/>
    <x v="1"/>
    <x v="2"/>
    <s v="FIN_EL"/>
    <x v="11"/>
    <x v="10"/>
    <x v="0"/>
    <x v="0"/>
  </r>
  <r>
    <x v="0"/>
    <x v="0"/>
    <x v="0"/>
    <x v="1"/>
    <x v="2"/>
    <s v="FIN_EL"/>
    <x v="11"/>
    <x v="11"/>
    <x v="0"/>
    <x v="0"/>
  </r>
  <r>
    <x v="0"/>
    <x v="0"/>
    <x v="0"/>
    <x v="1"/>
    <x v="2"/>
    <s v="FIN_ESPOO"/>
    <x v="0"/>
    <x v="0"/>
    <x v="0"/>
    <x v="0"/>
  </r>
  <r>
    <x v="0"/>
    <x v="0"/>
    <x v="0"/>
    <x v="1"/>
    <x v="2"/>
    <s v="FIN_ESPOO"/>
    <x v="0"/>
    <x v="1"/>
    <x v="0"/>
    <x v="0"/>
  </r>
  <r>
    <x v="0"/>
    <x v="0"/>
    <x v="0"/>
    <x v="1"/>
    <x v="2"/>
    <s v="FIN_ESPOO"/>
    <x v="0"/>
    <x v="2"/>
    <x v="0"/>
    <x v="0"/>
  </r>
  <r>
    <x v="0"/>
    <x v="0"/>
    <x v="0"/>
    <x v="1"/>
    <x v="2"/>
    <s v="FIN_ESPOO"/>
    <x v="0"/>
    <x v="3"/>
    <x v="0"/>
    <x v="0"/>
  </r>
  <r>
    <x v="0"/>
    <x v="0"/>
    <x v="0"/>
    <x v="1"/>
    <x v="2"/>
    <s v="FIN_ESPOO"/>
    <x v="0"/>
    <x v="4"/>
    <x v="0"/>
    <x v="0"/>
  </r>
  <r>
    <x v="0"/>
    <x v="0"/>
    <x v="0"/>
    <x v="1"/>
    <x v="2"/>
    <s v="FIN_ESPOO"/>
    <x v="0"/>
    <x v="5"/>
    <x v="0"/>
    <x v="0"/>
  </r>
  <r>
    <x v="0"/>
    <x v="0"/>
    <x v="0"/>
    <x v="1"/>
    <x v="2"/>
    <s v="FIN_ESPOO"/>
    <x v="0"/>
    <x v="6"/>
    <x v="0"/>
    <x v="0"/>
  </r>
  <r>
    <x v="0"/>
    <x v="0"/>
    <x v="0"/>
    <x v="1"/>
    <x v="2"/>
    <s v="FIN_ESPOO"/>
    <x v="0"/>
    <x v="7"/>
    <x v="0"/>
    <x v="0"/>
  </r>
  <r>
    <x v="0"/>
    <x v="0"/>
    <x v="0"/>
    <x v="1"/>
    <x v="2"/>
    <s v="FIN_ESPOO"/>
    <x v="0"/>
    <x v="8"/>
    <x v="0"/>
    <x v="0"/>
  </r>
  <r>
    <x v="0"/>
    <x v="0"/>
    <x v="0"/>
    <x v="1"/>
    <x v="2"/>
    <s v="FIN_ESPOO"/>
    <x v="0"/>
    <x v="9"/>
    <x v="0"/>
    <x v="0"/>
  </r>
  <r>
    <x v="0"/>
    <x v="0"/>
    <x v="0"/>
    <x v="1"/>
    <x v="2"/>
    <s v="FIN_ESPOO"/>
    <x v="0"/>
    <x v="10"/>
    <x v="0"/>
    <x v="0"/>
  </r>
  <r>
    <x v="0"/>
    <x v="0"/>
    <x v="0"/>
    <x v="1"/>
    <x v="2"/>
    <s v="FIN_ESPOO"/>
    <x v="0"/>
    <x v="11"/>
    <x v="0"/>
    <x v="0"/>
  </r>
  <r>
    <x v="0"/>
    <x v="0"/>
    <x v="0"/>
    <x v="1"/>
    <x v="2"/>
    <s v="FIN_ESPOO"/>
    <x v="1"/>
    <x v="0"/>
    <x v="0"/>
    <x v="0"/>
  </r>
  <r>
    <x v="0"/>
    <x v="0"/>
    <x v="0"/>
    <x v="1"/>
    <x v="2"/>
    <s v="FIN_ESPOO"/>
    <x v="1"/>
    <x v="1"/>
    <x v="0"/>
    <x v="0"/>
  </r>
  <r>
    <x v="0"/>
    <x v="0"/>
    <x v="0"/>
    <x v="1"/>
    <x v="2"/>
    <s v="FIN_ESPOO"/>
    <x v="1"/>
    <x v="2"/>
    <x v="0"/>
    <x v="0"/>
  </r>
  <r>
    <x v="0"/>
    <x v="0"/>
    <x v="0"/>
    <x v="1"/>
    <x v="2"/>
    <s v="FIN_ESPOO"/>
    <x v="1"/>
    <x v="3"/>
    <x v="0"/>
    <x v="0"/>
  </r>
  <r>
    <x v="0"/>
    <x v="0"/>
    <x v="0"/>
    <x v="1"/>
    <x v="2"/>
    <s v="FIN_ESPOO"/>
    <x v="1"/>
    <x v="4"/>
    <x v="0"/>
    <x v="0"/>
  </r>
  <r>
    <x v="0"/>
    <x v="0"/>
    <x v="0"/>
    <x v="1"/>
    <x v="2"/>
    <s v="FIN_ESPOO"/>
    <x v="1"/>
    <x v="5"/>
    <x v="0"/>
    <x v="0"/>
  </r>
  <r>
    <x v="0"/>
    <x v="0"/>
    <x v="0"/>
    <x v="1"/>
    <x v="2"/>
    <s v="FIN_ESPOO"/>
    <x v="1"/>
    <x v="6"/>
    <x v="0"/>
    <x v="0"/>
  </r>
  <r>
    <x v="0"/>
    <x v="0"/>
    <x v="0"/>
    <x v="1"/>
    <x v="2"/>
    <s v="FIN_ESPOO"/>
    <x v="1"/>
    <x v="7"/>
    <x v="0"/>
    <x v="0"/>
  </r>
  <r>
    <x v="0"/>
    <x v="0"/>
    <x v="0"/>
    <x v="1"/>
    <x v="2"/>
    <s v="FIN_ESPOO"/>
    <x v="1"/>
    <x v="8"/>
    <x v="0"/>
    <x v="0"/>
  </r>
  <r>
    <x v="0"/>
    <x v="0"/>
    <x v="0"/>
    <x v="1"/>
    <x v="2"/>
    <s v="FIN_ESPOO"/>
    <x v="1"/>
    <x v="9"/>
    <x v="0"/>
    <x v="0"/>
  </r>
  <r>
    <x v="0"/>
    <x v="0"/>
    <x v="0"/>
    <x v="1"/>
    <x v="2"/>
    <s v="FIN_ESPOO"/>
    <x v="1"/>
    <x v="10"/>
    <x v="0"/>
    <x v="0"/>
  </r>
  <r>
    <x v="0"/>
    <x v="0"/>
    <x v="0"/>
    <x v="1"/>
    <x v="2"/>
    <s v="FIN_ESPOO"/>
    <x v="1"/>
    <x v="11"/>
    <x v="0"/>
    <x v="0"/>
  </r>
  <r>
    <x v="0"/>
    <x v="0"/>
    <x v="0"/>
    <x v="1"/>
    <x v="2"/>
    <s v="FIN_ESPOO"/>
    <x v="2"/>
    <x v="0"/>
    <x v="0"/>
    <x v="0"/>
  </r>
  <r>
    <x v="0"/>
    <x v="0"/>
    <x v="0"/>
    <x v="1"/>
    <x v="2"/>
    <s v="FIN_ESPOO"/>
    <x v="2"/>
    <x v="1"/>
    <x v="0"/>
    <x v="0"/>
  </r>
  <r>
    <x v="0"/>
    <x v="0"/>
    <x v="0"/>
    <x v="1"/>
    <x v="2"/>
    <s v="FIN_ESPOO"/>
    <x v="2"/>
    <x v="2"/>
    <x v="0"/>
    <x v="0"/>
  </r>
  <r>
    <x v="0"/>
    <x v="0"/>
    <x v="0"/>
    <x v="1"/>
    <x v="2"/>
    <s v="FIN_ESPOO"/>
    <x v="2"/>
    <x v="3"/>
    <x v="0"/>
    <x v="0"/>
  </r>
  <r>
    <x v="0"/>
    <x v="0"/>
    <x v="0"/>
    <x v="1"/>
    <x v="2"/>
    <s v="FIN_ESPOO"/>
    <x v="2"/>
    <x v="4"/>
    <x v="0"/>
    <x v="0"/>
  </r>
  <r>
    <x v="0"/>
    <x v="0"/>
    <x v="0"/>
    <x v="1"/>
    <x v="2"/>
    <s v="FIN_ESPOO"/>
    <x v="2"/>
    <x v="5"/>
    <x v="0"/>
    <x v="0"/>
  </r>
  <r>
    <x v="0"/>
    <x v="0"/>
    <x v="0"/>
    <x v="1"/>
    <x v="2"/>
    <s v="FIN_ESPOO"/>
    <x v="2"/>
    <x v="6"/>
    <x v="0"/>
    <x v="0"/>
  </r>
  <r>
    <x v="0"/>
    <x v="0"/>
    <x v="0"/>
    <x v="1"/>
    <x v="2"/>
    <s v="FIN_ESPOO"/>
    <x v="2"/>
    <x v="7"/>
    <x v="0"/>
    <x v="0"/>
  </r>
  <r>
    <x v="0"/>
    <x v="0"/>
    <x v="0"/>
    <x v="1"/>
    <x v="2"/>
    <s v="FIN_ESPOO"/>
    <x v="2"/>
    <x v="8"/>
    <x v="0"/>
    <x v="0"/>
  </r>
  <r>
    <x v="0"/>
    <x v="0"/>
    <x v="0"/>
    <x v="1"/>
    <x v="2"/>
    <s v="FIN_ESPOO"/>
    <x v="2"/>
    <x v="9"/>
    <x v="0"/>
    <x v="0"/>
  </r>
  <r>
    <x v="0"/>
    <x v="0"/>
    <x v="0"/>
    <x v="1"/>
    <x v="2"/>
    <s v="FIN_ESPOO"/>
    <x v="2"/>
    <x v="10"/>
    <x v="0"/>
    <x v="0"/>
  </r>
  <r>
    <x v="0"/>
    <x v="0"/>
    <x v="0"/>
    <x v="1"/>
    <x v="2"/>
    <s v="FIN_ESPOO"/>
    <x v="2"/>
    <x v="11"/>
    <x v="0"/>
    <x v="0"/>
  </r>
  <r>
    <x v="0"/>
    <x v="0"/>
    <x v="0"/>
    <x v="1"/>
    <x v="2"/>
    <s v="FIN_ESPOO"/>
    <x v="3"/>
    <x v="0"/>
    <x v="0"/>
    <x v="0"/>
  </r>
  <r>
    <x v="0"/>
    <x v="0"/>
    <x v="0"/>
    <x v="1"/>
    <x v="2"/>
    <s v="FIN_ESPOO"/>
    <x v="3"/>
    <x v="1"/>
    <x v="0"/>
    <x v="0"/>
  </r>
  <r>
    <x v="0"/>
    <x v="0"/>
    <x v="0"/>
    <x v="1"/>
    <x v="2"/>
    <s v="FIN_ESPOO"/>
    <x v="3"/>
    <x v="2"/>
    <x v="0"/>
    <x v="0"/>
  </r>
  <r>
    <x v="0"/>
    <x v="0"/>
    <x v="0"/>
    <x v="1"/>
    <x v="2"/>
    <s v="FIN_ESPOO"/>
    <x v="3"/>
    <x v="3"/>
    <x v="0"/>
    <x v="0"/>
  </r>
  <r>
    <x v="0"/>
    <x v="0"/>
    <x v="0"/>
    <x v="1"/>
    <x v="2"/>
    <s v="FIN_ESPOO"/>
    <x v="3"/>
    <x v="4"/>
    <x v="0"/>
    <x v="0"/>
  </r>
  <r>
    <x v="0"/>
    <x v="0"/>
    <x v="0"/>
    <x v="1"/>
    <x v="2"/>
    <s v="FIN_ESPOO"/>
    <x v="3"/>
    <x v="5"/>
    <x v="0"/>
    <x v="0"/>
  </r>
  <r>
    <x v="0"/>
    <x v="0"/>
    <x v="0"/>
    <x v="1"/>
    <x v="2"/>
    <s v="FIN_ESPOO"/>
    <x v="3"/>
    <x v="6"/>
    <x v="0"/>
    <x v="0"/>
  </r>
  <r>
    <x v="0"/>
    <x v="0"/>
    <x v="0"/>
    <x v="1"/>
    <x v="2"/>
    <s v="FIN_ESPOO"/>
    <x v="3"/>
    <x v="7"/>
    <x v="0"/>
    <x v="0"/>
  </r>
  <r>
    <x v="0"/>
    <x v="0"/>
    <x v="0"/>
    <x v="1"/>
    <x v="2"/>
    <s v="FIN_ESPOO"/>
    <x v="3"/>
    <x v="8"/>
    <x v="0"/>
    <x v="0"/>
  </r>
  <r>
    <x v="0"/>
    <x v="0"/>
    <x v="0"/>
    <x v="1"/>
    <x v="2"/>
    <s v="FIN_ESPOO"/>
    <x v="3"/>
    <x v="9"/>
    <x v="0"/>
    <x v="0"/>
  </r>
  <r>
    <x v="0"/>
    <x v="0"/>
    <x v="0"/>
    <x v="1"/>
    <x v="2"/>
    <s v="FIN_ESPOO"/>
    <x v="3"/>
    <x v="10"/>
    <x v="0"/>
    <x v="0"/>
  </r>
  <r>
    <x v="0"/>
    <x v="0"/>
    <x v="0"/>
    <x v="1"/>
    <x v="2"/>
    <s v="FIN_ESPOO"/>
    <x v="3"/>
    <x v="11"/>
    <x v="0"/>
    <x v="0"/>
  </r>
  <r>
    <x v="0"/>
    <x v="0"/>
    <x v="0"/>
    <x v="1"/>
    <x v="2"/>
    <s v="FIN_ESPOO"/>
    <x v="4"/>
    <x v="0"/>
    <x v="0"/>
    <x v="0"/>
  </r>
  <r>
    <x v="0"/>
    <x v="0"/>
    <x v="0"/>
    <x v="1"/>
    <x v="2"/>
    <s v="FIN_ESPOO"/>
    <x v="4"/>
    <x v="1"/>
    <x v="0"/>
    <x v="0"/>
  </r>
  <r>
    <x v="0"/>
    <x v="0"/>
    <x v="0"/>
    <x v="1"/>
    <x v="2"/>
    <s v="FIN_ESPOO"/>
    <x v="4"/>
    <x v="2"/>
    <x v="0"/>
    <x v="0"/>
  </r>
  <r>
    <x v="0"/>
    <x v="0"/>
    <x v="0"/>
    <x v="1"/>
    <x v="2"/>
    <s v="FIN_ESPOO"/>
    <x v="4"/>
    <x v="3"/>
    <x v="0"/>
    <x v="0"/>
  </r>
  <r>
    <x v="0"/>
    <x v="0"/>
    <x v="0"/>
    <x v="1"/>
    <x v="2"/>
    <s v="FIN_ESPOO"/>
    <x v="4"/>
    <x v="4"/>
    <x v="0"/>
    <x v="0"/>
  </r>
  <r>
    <x v="0"/>
    <x v="0"/>
    <x v="0"/>
    <x v="1"/>
    <x v="2"/>
    <s v="FIN_ESPOO"/>
    <x v="4"/>
    <x v="5"/>
    <x v="0"/>
    <x v="0"/>
  </r>
  <r>
    <x v="0"/>
    <x v="0"/>
    <x v="0"/>
    <x v="1"/>
    <x v="2"/>
    <s v="FIN_ESPOO"/>
    <x v="4"/>
    <x v="6"/>
    <x v="0"/>
    <x v="0"/>
  </r>
  <r>
    <x v="0"/>
    <x v="0"/>
    <x v="0"/>
    <x v="1"/>
    <x v="2"/>
    <s v="FIN_ESPOO"/>
    <x v="4"/>
    <x v="7"/>
    <x v="0"/>
    <x v="0"/>
  </r>
  <r>
    <x v="0"/>
    <x v="0"/>
    <x v="0"/>
    <x v="1"/>
    <x v="2"/>
    <s v="FIN_ESPOO"/>
    <x v="4"/>
    <x v="8"/>
    <x v="0"/>
    <x v="0"/>
  </r>
  <r>
    <x v="0"/>
    <x v="0"/>
    <x v="0"/>
    <x v="1"/>
    <x v="2"/>
    <s v="FIN_ESPOO"/>
    <x v="4"/>
    <x v="9"/>
    <x v="0"/>
    <x v="0"/>
  </r>
  <r>
    <x v="0"/>
    <x v="0"/>
    <x v="0"/>
    <x v="1"/>
    <x v="2"/>
    <s v="FIN_ESPOO"/>
    <x v="4"/>
    <x v="10"/>
    <x v="0"/>
    <x v="0"/>
  </r>
  <r>
    <x v="0"/>
    <x v="0"/>
    <x v="0"/>
    <x v="1"/>
    <x v="2"/>
    <s v="FIN_ESPOO"/>
    <x v="4"/>
    <x v="11"/>
    <x v="0"/>
    <x v="0"/>
  </r>
  <r>
    <x v="0"/>
    <x v="0"/>
    <x v="0"/>
    <x v="1"/>
    <x v="2"/>
    <s v="FIN_ESPOO"/>
    <x v="5"/>
    <x v="0"/>
    <x v="0"/>
    <x v="0"/>
  </r>
  <r>
    <x v="0"/>
    <x v="0"/>
    <x v="0"/>
    <x v="1"/>
    <x v="2"/>
    <s v="FIN_ESPOO"/>
    <x v="5"/>
    <x v="1"/>
    <x v="0"/>
    <x v="0"/>
  </r>
  <r>
    <x v="0"/>
    <x v="0"/>
    <x v="0"/>
    <x v="1"/>
    <x v="2"/>
    <s v="FIN_ESPOO"/>
    <x v="5"/>
    <x v="2"/>
    <x v="0"/>
    <x v="0"/>
  </r>
  <r>
    <x v="0"/>
    <x v="0"/>
    <x v="0"/>
    <x v="1"/>
    <x v="2"/>
    <s v="FIN_ESPOO"/>
    <x v="5"/>
    <x v="3"/>
    <x v="0"/>
    <x v="0"/>
  </r>
  <r>
    <x v="0"/>
    <x v="0"/>
    <x v="0"/>
    <x v="1"/>
    <x v="2"/>
    <s v="FIN_ESPOO"/>
    <x v="5"/>
    <x v="4"/>
    <x v="0"/>
    <x v="0"/>
  </r>
  <r>
    <x v="0"/>
    <x v="0"/>
    <x v="0"/>
    <x v="1"/>
    <x v="2"/>
    <s v="FIN_ESPOO"/>
    <x v="5"/>
    <x v="5"/>
    <x v="0"/>
    <x v="0"/>
  </r>
  <r>
    <x v="0"/>
    <x v="0"/>
    <x v="0"/>
    <x v="1"/>
    <x v="2"/>
    <s v="FIN_ESPOO"/>
    <x v="5"/>
    <x v="6"/>
    <x v="0"/>
    <x v="0"/>
  </r>
  <r>
    <x v="0"/>
    <x v="0"/>
    <x v="0"/>
    <x v="1"/>
    <x v="2"/>
    <s v="FIN_ESPOO"/>
    <x v="5"/>
    <x v="7"/>
    <x v="0"/>
    <x v="0"/>
  </r>
  <r>
    <x v="0"/>
    <x v="0"/>
    <x v="0"/>
    <x v="1"/>
    <x v="2"/>
    <s v="FIN_ESPOO"/>
    <x v="5"/>
    <x v="8"/>
    <x v="0"/>
    <x v="0"/>
  </r>
  <r>
    <x v="0"/>
    <x v="0"/>
    <x v="0"/>
    <x v="1"/>
    <x v="2"/>
    <s v="FIN_ESPOO"/>
    <x v="5"/>
    <x v="9"/>
    <x v="0"/>
    <x v="0"/>
  </r>
  <r>
    <x v="0"/>
    <x v="0"/>
    <x v="0"/>
    <x v="1"/>
    <x v="2"/>
    <s v="FIN_ESPOO"/>
    <x v="5"/>
    <x v="10"/>
    <x v="0"/>
    <x v="0"/>
  </r>
  <r>
    <x v="0"/>
    <x v="0"/>
    <x v="0"/>
    <x v="1"/>
    <x v="2"/>
    <s v="FIN_ESPOO"/>
    <x v="5"/>
    <x v="11"/>
    <x v="0"/>
    <x v="0"/>
  </r>
  <r>
    <x v="0"/>
    <x v="0"/>
    <x v="0"/>
    <x v="1"/>
    <x v="2"/>
    <s v="FIN_ESPOO"/>
    <x v="6"/>
    <x v="0"/>
    <x v="0"/>
    <x v="0"/>
  </r>
  <r>
    <x v="0"/>
    <x v="0"/>
    <x v="0"/>
    <x v="1"/>
    <x v="2"/>
    <s v="FIN_ESPOO"/>
    <x v="6"/>
    <x v="1"/>
    <x v="0"/>
    <x v="0"/>
  </r>
  <r>
    <x v="0"/>
    <x v="0"/>
    <x v="0"/>
    <x v="1"/>
    <x v="2"/>
    <s v="FIN_ESPOO"/>
    <x v="6"/>
    <x v="2"/>
    <x v="0"/>
    <x v="0"/>
  </r>
  <r>
    <x v="0"/>
    <x v="0"/>
    <x v="0"/>
    <x v="1"/>
    <x v="2"/>
    <s v="FIN_ESPOO"/>
    <x v="6"/>
    <x v="3"/>
    <x v="0"/>
    <x v="0"/>
  </r>
  <r>
    <x v="0"/>
    <x v="0"/>
    <x v="0"/>
    <x v="1"/>
    <x v="2"/>
    <s v="FIN_ESPOO"/>
    <x v="6"/>
    <x v="4"/>
    <x v="0"/>
    <x v="0"/>
  </r>
  <r>
    <x v="0"/>
    <x v="0"/>
    <x v="0"/>
    <x v="1"/>
    <x v="2"/>
    <s v="FIN_ESPOO"/>
    <x v="6"/>
    <x v="5"/>
    <x v="0"/>
    <x v="0"/>
  </r>
  <r>
    <x v="0"/>
    <x v="0"/>
    <x v="0"/>
    <x v="1"/>
    <x v="2"/>
    <s v="FIN_ESPOO"/>
    <x v="6"/>
    <x v="6"/>
    <x v="0"/>
    <x v="0"/>
  </r>
  <r>
    <x v="0"/>
    <x v="0"/>
    <x v="0"/>
    <x v="1"/>
    <x v="2"/>
    <s v="FIN_ESPOO"/>
    <x v="6"/>
    <x v="7"/>
    <x v="0"/>
    <x v="0"/>
  </r>
  <r>
    <x v="0"/>
    <x v="0"/>
    <x v="0"/>
    <x v="1"/>
    <x v="2"/>
    <s v="FIN_ESPOO"/>
    <x v="6"/>
    <x v="8"/>
    <x v="0"/>
    <x v="0"/>
  </r>
  <r>
    <x v="0"/>
    <x v="0"/>
    <x v="0"/>
    <x v="1"/>
    <x v="2"/>
    <s v="FIN_ESPOO"/>
    <x v="6"/>
    <x v="9"/>
    <x v="0"/>
    <x v="0"/>
  </r>
  <r>
    <x v="0"/>
    <x v="0"/>
    <x v="0"/>
    <x v="1"/>
    <x v="2"/>
    <s v="FIN_ESPOO"/>
    <x v="6"/>
    <x v="10"/>
    <x v="0"/>
    <x v="0"/>
  </r>
  <r>
    <x v="0"/>
    <x v="0"/>
    <x v="0"/>
    <x v="1"/>
    <x v="2"/>
    <s v="FIN_ESPOO"/>
    <x v="6"/>
    <x v="11"/>
    <x v="0"/>
    <x v="0"/>
  </r>
  <r>
    <x v="0"/>
    <x v="0"/>
    <x v="0"/>
    <x v="1"/>
    <x v="2"/>
    <s v="FIN_ESPOO"/>
    <x v="7"/>
    <x v="0"/>
    <x v="0"/>
    <x v="0"/>
  </r>
  <r>
    <x v="0"/>
    <x v="0"/>
    <x v="0"/>
    <x v="1"/>
    <x v="2"/>
    <s v="FIN_ESPOO"/>
    <x v="7"/>
    <x v="1"/>
    <x v="0"/>
    <x v="0"/>
  </r>
  <r>
    <x v="0"/>
    <x v="0"/>
    <x v="0"/>
    <x v="1"/>
    <x v="2"/>
    <s v="FIN_ESPOO"/>
    <x v="7"/>
    <x v="2"/>
    <x v="0"/>
    <x v="0"/>
  </r>
  <r>
    <x v="0"/>
    <x v="0"/>
    <x v="0"/>
    <x v="1"/>
    <x v="2"/>
    <s v="FIN_ESPOO"/>
    <x v="7"/>
    <x v="3"/>
    <x v="0"/>
    <x v="0"/>
  </r>
  <r>
    <x v="0"/>
    <x v="0"/>
    <x v="0"/>
    <x v="1"/>
    <x v="2"/>
    <s v="FIN_ESPOO"/>
    <x v="7"/>
    <x v="4"/>
    <x v="0"/>
    <x v="0"/>
  </r>
  <r>
    <x v="0"/>
    <x v="0"/>
    <x v="0"/>
    <x v="1"/>
    <x v="2"/>
    <s v="FIN_ESPOO"/>
    <x v="7"/>
    <x v="5"/>
    <x v="0"/>
    <x v="0"/>
  </r>
  <r>
    <x v="0"/>
    <x v="0"/>
    <x v="0"/>
    <x v="1"/>
    <x v="2"/>
    <s v="FIN_ESPOO"/>
    <x v="7"/>
    <x v="6"/>
    <x v="0"/>
    <x v="0"/>
  </r>
  <r>
    <x v="0"/>
    <x v="0"/>
    <x v="0"/>
    <x v="1"/>
    <x v="2"/>
    <s v="FIN_ESPOO"/>
    <x v="7"/>
    <x v="7"/>
    <x v="0"/>
    <x v="0"/>
  </r>
  <r>
    <x v="0"/>
    <x v="0"/>
    <x v="0"/>
    <x v="1"/>
    <x v="2"/>
    <s v="FIN_ESPOO"/>
    <x v="7"/>
    <x v="8"/>
    <x v="0"/>
    <x v="0"/>
  </r>
  <r>
    <x v="0"/>
    <x v="0"/>
    <x v="0"/>
    <x v="1"/>
    <x v="2"/>
    <s v="FIN_ESPOO"/>
    <x v="7"/>
    <x v="9"/>
    <x v="0"/>
    <x v="0"/>
  </r>
  <r>
    <x v="0"/>
    <x v="0"/>
    <x v="0"/>
    <x v="1"/>
    <x v="2"/>
    <s v="FIN_ESPOO"/>
    <x v="7"/>
    <x v="10"/>
    <x v="0"/>
    <x v="0"/>
  </r>
  <r>
    <x v="0"/>
    <x v="0"/>
    <x v="0"/>
    <x v="1"/>
    <x v="2"/>
    <s v="FIN_ESPOO"/>
    <x v="7"/>
    <x v="11"/>
    <x v="0"/>
    <x v="0"/>
  </r>
  <r>
    <x v="0"/>
    <x v="0"/>
    <x v="0"/>
    <x v="1"/>
    <x v="2"/>
    <s v="FIN_ESPOO"/>
    <x v="8"/>
    <x v="0"/>
    <x v="0"/>
    <x v="0"/>
  </r>
  <r>
    <x v="0"/>
    <x v="0"/>
    <x v="0"/>
    <x v="1"/>
    <x v="2"/>
    <s v="FIN_ESPOO"/>
    <x v="8"/>
    <x v="1"/>
    <x v="0"/>
    <x v="0"/>
  </r>
  <r>
    <x v="0"/>
    <x v="0"/>
    <x v="0"/>
    <x v="1"/>
    <x v="2"/>
    <s v="FIN_ESPOO"/>
    <x v="8"/>
    <x v="2"/>
    <x v="0"/>
    <x v="0"/>
  </r>
  <r>
    <x v="0"/>
    <x v="0"/>
    <x v="0"/>
    <x v="1"/>
    <x v="2"/>
    <s v="FIN_ESPOO"/>
    <x v="8"/>
    <x v="3"/>
    <x v="0"/>
    <x v="0"/>
  </r>
  <r>
    <x v="0"/>
    <x v="0"/>
    <x v="0"/>
    <x v="1"/>
    <x v="2"/>
    <s v="FIN_ESPOO"/>
    <x v="8"/>
    <x v="4"/>
    <x v="0"/>
    <x v="0"/>
  </r>
  <r>
    <x v="0"/>
    <x v="0"/>
    <x v="0"/>
    <x v="1"/>
    <x v="2"/>
    <s v="FIN_ESPOO"/>
    <x v="8"/>
    <x v="5"/>
    <x v="0"/>
    <x v="0"/>
  </r>
  <r>
    <x v="0"/>
    <x v="0"/>
    <x v="0"/>
    <x v="1"/>
    <x v="2"/>
    <s v="FIN_ESPOO"/>
    <x v="8"/>
    <x v="6"/>
    <x v="0"/>
    <x v="0"/>
  </r>
  <r>
    <x v="0"/>
    <x v="0"/>
    <x v="0"/>
    <x v="1"/>
    <x v="2"/>
    <s v="FIN_ESPOO"/>
    <x v="8"/>
    <x v="7"/>
    <x v="0"/>
    <x v="0"/>
  </r>
  <r>
    <x v="0"/>
    <x v="0"/>
    <x v="0"/>
    <x v="1"/>
    <x v="2"/>
    <s v="FIN_ESPOO"/>
    <x v="8"/>
    <x v="8"/>
    <x v="0"/>
    <x v="0"/>
  </r>
  <r>
    <x v="0"/>
    <x v="0"/>
    <x v="0"/>
    <x v="1"/>
    <x v="2"/>
    <s v="FIN_ESPOO"/>
    <x v="8"/>
    <x v="9"/>
    <x v="0"/>
    <x v="0"/>
  </r>
  <r>
    <x v="0"/>
    <x v="0"/>
    <x v="0"/>
    <x v="1"/>
    <x v="2"/>
    <s v="FIN_ESPOO"/>
    <x v="8"/>
    <x v="10"/>
    <x v="0"/>
    <x v="0"/>
  </r>
  <r>
    <x v="0"/>
    <x v="0"/>
    <x v="0"/>
    <x v="1"/>
    <x v="2"/>
    <s v="FIN_ESPOO"/>
    <x v="8"/>
    <x v="11"/>
    <x v="0"/>
    <x v="0"/>
  </r>
  <r>
    <x v="0"/>
    <x v="0"/>
    <x v="0"/>
    <x v="1"/>
    <x v="2"/>
    <s v="FIN_ESPOO"/>
    <x v="9"/>
    <x v="0"/>
    <x v="0"/>
    <x v="0"/>
  </r>
  <r>
    <x v="0"/>
    <x v="0"/>
    <x v="0"/>
    <x v="1"/>
    <x v="2"/>
    <s v="FIN_ESPOO"/>
    <x v="9"/>
    <x v="1"/>
    <x v="0"/>
    <x v="0"/>
  </r>
  <r>
    <x v="0"/>
    <x v="0"/>
    <x v="0"/>
    <x v="1"/>
    <x v="2"/>
    <s v="FIN_ESPOO"/>
    <x v="9"/>
    <x v="2"/>
    <x v="0"/>
    <x v="0"/>
  </r>
  <r>
    <x v="0"/>
    <x v="0"/>
    <x v="0"/>
    <x v="1"/>
    <x v="2"/>
    <s v="FIN_ESPOO"/>
    <x v="9"/>
    <x v="3"/>
    <x v="0"/>
    <x v="0"/>
  </r>
  <r>
    <x v="0"/>
    <x v="0"/>
    <x v="0"/>
    <x v="1"/>
    <x v="2"/>
    <s v="FIN_ESPOO"/>
    <x v="9"/>
    <x v="4"/>
    <x v="0"/>
    <x v="0"/>
  </r>
  <r>
    <x v="0"/>
    <x v="0"/>
    <x v="0"/>
    <x v="1"/>
    <x v="2"/>
    <s v="FIN_ESPOO"/>
    <x v="9"/>
    <x v="5"/>
    <x v="0"/>
    <x v="0"/>
  </r>
  <r>
    <x v="0"/>
    <x v="0"/>
    <x v="0"/>
    <x v="1"/>
    <x v="2"/>
    <s v="FIN_ESPOO"/>
    <x v="9"/>
    <x v="6"/>
    <x v="0"/>
    <x v="0"/>
  </r>
  <r>
    <x v="0"/>
    <x v="0"/>
    <x v="0"/>
    <x v="1"/>
    <x v="2"/>
    <s v="FIN_ESPOO"/>
    <x v="9"/>
    <x v="7"/>
    <x v="0"/>
    <x v="0"/>
  </r>
  <r>
    <x v="0"/>
    <x v="0"/>
    <x v="0"/>
    <x v="1"/>
    <x v="2"/>
    <s v="FIN_ESPOO"/>
    <x v="9"/>
    <x v="8"/>
    <x v="0"/>
    <x v="0"/>
  </r>
  <r>
    <x v="0"/>
    <x v="0"/>
    <x v="0"/>
    <x v="1"/>
    <x v="2"/>
    <s v="FIN_ESPOO"/>
    <x v="9"/>
    <x v="9"/>
    <x v="0"/>
    <x v="0"/>
  </r>
  <r>
    <x v="0"/>
    <x v="0"/>
    <x v="0"/>
    <x v="1"/>
    <x v="2"/>
    <s v="FIN_ESPOO"/>
    <x v="9"/>
    <x v="10"/>
    <x v="0"/>
    <x v="0"/>
  </r>
  <r>
    <x v="0"/>
    <x v="0"/>
    <x v="0"/>
    <x v="1"/>
    <x v="2"/>
    <s v="FIN_ESPOO"/>
    <x v="9"/>
    <x v="11"/>
    <x v="0"/>
    <x v="0"/>
  </r>
  <r>
    <x v="0"/>
    <x v="0"/>
    <x v="0"/>
    <x v="1"/>
    <x v="2"/>
    <s v="FIN_ESPOO"/>
    <x v="10"/>
    <x v="0"/>
    <x v="0"/>
    <x v="0"/>
  </r>
  <r>
    <x v="0"/>
    <x v="0"/>
    <x v="0"/>
    <x v="1"/>
    <x v="2"/>
    <s v="FIN_ESPOO"/>
    <x v="10"/>
    <x v="1"/>
    <x v="0"/>
    <x v="0"/>
  </r>
  <r>
    <x v="0"/>
    <x v="0"/>
    <x v="0"/>
    <x v="1"/>
    <x v="2"/>
    <s v="FIN_ESPOO"/>
    <x v="10"/>
    <x v="2"/>
    <x v="0"/>
    <x v="0"/>
  </r>
  <r>
    <x v="0"/>
    <x v="0"/>
    <x v="0"/>
    <x v="1"/>
    <x v="2"/>
    <s v="FIN_ESPOO"/>
    <x v="10"/>
    <x v="3"/>
    <x v="0"/>
    <x v="0"/>
  </r>
  <r>
    <x v="0"/>
    <x v="0"/>
    <x v="0"/>
    <x v="1"/>
    <x v="2"/>
    <s v="FIN_ESPOO"/>
    <x v="10"/>
    <x v="4"/>
    <x v="0"/>
    <x v="0"/>
  </r>
  <r>
    <x v="0"/>
    <x v="0"/>
    <x v="0"/>
    <x v="1"/>
    <x v="2"/>
    <s v="FIN_ESPOO"/>
    <x v="10"/>
    <x v="5"/>
    <x v="0"/>
    <x v="0"/>
  </r>
  <r>
    <x v="0"/>
    <x v="0"/>
    <x v="0"/>
    <x v="1"/>
    <x v="2"/>
    <s v="FIN_ESPOO"/>
    <x v="10"/>
    <x v="6"/>
    <x v="0"/>
    <x v="0"/>
  </r>
  <r>
    <x v="0"/>
    <x v="0"/>
    <x v="0"/>
    <x v="1"/>
    <x v="2"/>
    <s v="FIN_ESPOO"/>
    <x v="10"/>
    <x v="7"/>
    <x v="0"/>
    <x v="0"/>
  </r>
  <r>
    <x v="0"/>
    <x v="0"/>
    <x v="0"/>
    <x v="1"/>
    <x v="2"/>
    <s v="FIN_ESPOO"/>
    <x v="10"/>
    <x v="8"/>
    <x v="0"/>
    <x v="0"/>
  </r>
  <r>
    <x v="0"/>
    <x v="0"/>
    <x v="0"/>
    <x v="1"/>
    <x v="2"/>
    <s v="FIN_ESPOO"/>
    <x v="10"/>
    <x v="9"/>
    <x v="0"/>
    <x v="0"/>
  </r>
  <r>
    <x v="0"/>
    <x v="0"/>
    <x v="0"/>
    <x v="1"/>
    <x v="2"/>
    <s v="FIN_ESPOO"/>
    <x v="10"/>
    <x v="10"/>
    <x v="0"/>
    <x v="0"/>
  </r>
  <r>
    <x v="0"/>
    <x v="0"/>
    <x v="0"/>
    <x v="1"/>
    <x v="2"/>
    <s v="FIN_ESPOO"/>
    <x v="10"/>
    <x v="11"/>
    <x v="0"/>
    <x v="0"/>
  </r>
  <r>
    <x v="0"/>
    <x v="0"/>
    <x v="0"/>
    <x v="1"/>
    <x v="2"/>
    <s v="FIN_ESPOO"/>
    <x v="11"/>
    <x v="0"/>
    <x v="0"/>
    <x v="0"/>
  </r>
  <r>
    <x v="0"/>
    <x v="0"/>
    <x v="0"/>
    <x v="1"/>
    <x v="2"/>
    <s v="FIN_ESPOO"/>
    <x v="11"/>
    <x v="1"/>
    <x v="0"/>
    <x v="0"/>
  </r>
  <r>
    <x v="0"/>
    <x v="0"/>
    <x v="0"/>
    <x v="1"/>
    <x v="2"/>
    <s v="FIN_ESPOO"/>
    <x v="11"/>
    <x v="2"/>
    <x v="0"/>
    <x v="0"/>
  </r>
  <r>
    <x v="0"/>
    <x v="0"/>
    <x v="0"/>
    <x v="1"/>
    <x v="2"/>
    <s v="FIN_ESPOO"/>
    <x v="11"/>
    <x v="3"/>
    <x v="0"/>
    <x v="0"/>
  </r>
  <r>
    <x v="0"/>
    <x v="0"/>
    <x v="0"/>
    <x v="1"/>
    <x v="2"/>
    <s v="FIN_ESPOO"/>
    <x v="11"/>
    <x v="4"/>
    <x v="0"/>
    <x v="0"/>
  </r>
  <r>
    <x v="0"/>
    <x v="0"/>
    <x v="0"/>
    <x v="1"/>
    <x v="2"/>
    <s v="FIN_ESPOO"/>
    <x v="11"/>
    <x v="5"/>
    <x v="0"/>
    <x v="0"/>
  </r>
  <r>
    <x v="0"/>
    <x v="0"/>
    <x v="0"/>
    <x v="1"/>
    <x v="2"/>
    <s v="FIN_ESPOO"/>
    <x v="11"/>
    <x v="6"/>
    <x v="0"/>
    <x v="0"/>
  </r>
  <r>
    <x v="0"/>
    <x v="0"/>
    <x v="0"/>
    <x v="1"/>
    <x v="2"/>
    <s v="FIN_ESPOO"/>
    <x v="11"/>
    <x v="7"/>
    <x v="0"/>
    <x v="0"/>
  </r>
  <r>
    <x v="0"/>
    <x v="0"/>
    <x v="0"/>
    <x v="1"/>
    <x v="2"/>
    <s v="FIN_ESPOO"/>
    <x v="11"/>
    <x v="8"/>
    <x v="0"/>
    <x v="0"/>
  </r>
  <r>
    <x v="0"/>
    <x v="0"/>
    <x v="0"/>
    <x v="1"/>
    <x v="2"/>
    <s v="FIN_ESPOO"/>
    <x v="11"/>
    <x v="9"/>
    <x v="0"/>
    <x v="0"/>
  </r>
  <r>
    <x v="0"/>
    <x v="0"/>
    <x v="0"/>
    <x v="1"/>
    <x v="2"/>
    <s v="FIN_ESPOO"/>
    <x v="11"/>
    <x v="10"/>
    <x v="0"/>
    <x v="0"/>
  </r>
  <r>
    <x v="0"/>
    <x v="0"/>
    <x v="0"/>
    <x v="1"/>
    <x v="2"/>
    <s v="FIN_ESPOO"/>
    <x v="11"/>
    <x v="11"/>
    <x v="0"/>
    <x v="0"/>
  </r>
  <r>
    <x v="0"/>
    <x v="0"/>
    <x v="0"/>
    <x v="1"/>
    <x v="2"/>
    <s v="FIN_GAS"/>
    <x v="0"/>
    <x v="0"/>
    <x v="0"/>
    <x v="0"/>
  </r>
  <r>
    <x v="0"/>
    <x v="0"/>
    <x v="0"/>
    <x v="1"/>
    <x v="2"/>
    <s v="FIN_GAS"/>
    <x v="0"/>
    <x v="1"/>
    <x v="0"/>
    <x v="0"/>
  </r>
  <r>
    <x v="0"/>
    <x v="0"/>
    <x v="0"/>
    <x v="1"/>
    <x v="2"/>
    <s v="FIN_GAS"/>
    <x v="0"/>
    <x v="2"/>
    <x v="0"/>
    <x v="0"/>
  </r>
  <r>
    <x v="0"/>
    <x v="0"/>
    <x v="0"/>
    <x v="1"/>
    <x v="2"/>
    <s v="FIN_GAS"/>
    <x v="0"/>
    <x v="3"/>
    <x v="0"/>
    <x v="0"/>
  </r>
  <r>
    <x v="0"/>
    <x v="0"/>
    <x v="0"/>
    <x v="1"/>
    <x v="2"/>
    <s v="FIN_GAS"/>
    <x v="0"/>
    <x v="4"/>
    <x v="0"/>
    <x v="0"/>
  </r>
  <r>
    <x v="0"/>
    <x v="0"/>
    <x v="0"/>
    <x v="1"/>
    <x v="2"/>
    <s v="FIN_GAS"/>
    <x v="0"/>
    <x v="5"/>
    <x v="0"/>
    <x v="0"/>
  </r>
  <r>
    <x v="0"/>
    <x v="0"/>
    <x v="0"/>
    <x v="1"/>
    <x v="2"/>
    <s v="FIN_GAS"/>
    <x v="0"/>
    <x v="6"/>
    <x v="0"/>
    <x v="0"/>
  </r>
  <r>
    <x v="0"/>
    <x v="0"/>
    <x v="0"/>
    <x v="1"/>
    <x v="2"/>
    <s v="FIN_GAS"/>
    <x v="0"/>
    <x v="7"/>
    <x v="0"/>
    <x v="0"/>
  </r>
  <r>
    <x v="0"/>
    <x v="0"/>
    <x v="0"/>
    <x v="1"/>
    <x v="2"/>
    <s v="FIN_GAS"/>
    <x v="0"/>
    <x v="8"/>
    <x v="0"/>
    <x v="0"/>
  </r>
  <r>
    <x v="0"/>
    <x v="0"/>
    <x v="0"/>
    <x v="1"/>
    <x v="2"/>
    <s v="FIN_GAS"/>
    <x v="0"/>
    <x v="9"/>
    <x v="0"/>
    <x v="0"/>
  </r>
  <r>
    <x v="0"/>
    <x v="0"/>
    <x v="0"/>
    <x v="1"/>
    <x v="2"/>
    <s v="FIN_GAS"/>
    <x v="0"/>
    <x v="10"/>
    <x v="0"/>
    <x v="0"/>
  </r>
  <r>
    <x v="0"/>
    <x v="0"/>
    <x v="0"/>
    <x v="1"/>
    <x v="2"/>
    <s v="FIN_GAS"/>
    <x v="0"/>
    <x v="11"/>
    <x v="0"/>
    <x v="0"/>
  </r>
  <r>
    <x v="0"/>
    <x v="0"/>
    <x v="0"/>
    <x v="1"/>
    <x v="2"/>
    <s v="FIN_GAS"/>
    <x v="1"/>
    <x v="0"/>
    <x v="0"/>
    <x v="0"/>
  </r>
  <r>
    <x v="0"/>
    <x v="0"/>
    <x v="0"/>
    <x v="1"/>
    <x v="2"/>
    <s v="FIN_GAS"/>
    <x v="1"/>
    <x v="1"/>
    <x v="0"/>
    <x v="0"/>
  </r>
  <r>
    <x v="0"/>
    <x v="0"/>
    <x v="0"/>
    <x v="1"/>
    <x v="2"/>
    <s v="FIN_GAS"/>
    <x v="1"/>
    <x v="2"/>
    <x v="0"/>
    <x v="0"/>
  </r>
  <r>
    <x v="0"/>
    <x v="0"/>
    <x v="0"/>
    <x v="1"/>
    <x v="2"/>
    <s v="FIN_GAS"/>
    <x v="1"/>
    <x v="3"/>
    <x v="0"/>
    <x v="0"/>
  </r>
  <r>
    <x v="0"/>
    <x v="0"/>
    <x v="0"/>
    <x v="1"/>
    <x v="2"/>
    <s v="FIN_GAS"/>
    <x v="1"/>
    <x v="4"/>
    <x v="0"/>
    <x v="0"/>
  </r>
  <r>
    <x v="0"/>
    <x v="0"/>
    <x v="0"/>
    <x v="1"/>
    <x v="2"/>
    <s v="FIN_GAS"/>
    <x v="1"/>
    <x v="5"/>
    <x v="0"/>
    <x v="0"/>
  </r>
  <r>
    <x v="0"/>
    <x v="0"/>
    <x v="0"/>
    <x v="1"/>
    <x v="2"/>
    <s v="FIN_GAS"/>
    <x v="1"/>
    <x v="6"/>
    <x v="0"/>
    <x v="0"/>
  </r>
  <r>
    <x v="0"/>
    <x v="0"/>
    <x v="0"/>
    <x v="1"/>
    <x v="2"/>
    <s v="FIN_GAS"/>
    <x v="1"/>
    <x v="7"/>
    <x v="0"/>
    <x v="0"/>
  </r>
  <r>
    <x v="0"/>
    <x v="0"/>
    <x v="0"/>
    <x v="1"/>
    <x v="2"/>
    <s v="FIN_GAS"/>
    <x v="1"/>
    <x v="8"/>
    <x v="0"/>
    <x v="0"/>
  </r>
  <r>
    <x v="0"/>
    <x v="0"/>
    <x v="0"/>
    <x v="1"/>
    <x v="2"/>
    <s v="FIN_GAS"/>
    <x v="1"/>
    <x v="9"/>
    <x v="0"/>
    <x v="0"/>
  </r>
  <r>
    <x v="0"/>
    <x v="0"/>
    <x v="0"/>
    <x v="1"/>
    <x v="2"/>
    <s v="FIN_GAS"/>
    <x v="1"/>
    <x v="10"/>
    <x v="0"/>
    <x v="0"/>
  </r>
  <r>
    <x v="0"/>
    <x v="0"/>
    <x v="0"/>
    <x v="1"/>
    <x v="2"/>
    <s v="FIN_GAS"/>
    <x v="1"/>
    <x v="11"/>
    <x v="0"/>
    <x v="0"/>
  </r>
  <r>
    <x v="0"/>
    <x v="0"/>
    <x v="0"/>
    <x v="1"/>
    <x v="2"/>
    <s v="FIN_GAS"/>
    <x v="2"/>
    <x v="0"/>
    <x v="0"/>
    <x v="0"/>
  </r>
  <r>
    <x v="0"/>
    <x v="0"/>
    <x v="0"/>
    <x v="1"/>
    <x v="2"/>
    <s v="FIN_GAS"/>
    <x v="2"/>
    <x v="1"/>
    <x v="0"/>
    <x v="0"/>
  </r>
  <r>
    <x v="0"/>
    <x v="0"/>
    <x v="0"/>
    <x v="1"/>
    <x v="2"/>
    <s v="FIN_GAS"/>
    <x v="2"/>
    <x v="2"/>
    <x v="0"/>
    <x v="0"/>
  </r>
  <r>
    <x v="0"/>
    <x v="0"/>
    <x v="0"/>
    <x v="1"/>
    <x v="2"/>
    <s v="FIN_GAS"/>
    <x v="2"/>
    <x v="3"/>
    <x v="0"/>
    <x v="0"/>
  </r>
  <r>
    <x v="0"/>
    <x v="0"/>
    <x v="0"/>
    <x v="1"/>
    <x v="2"/>
    <s v="FIN_GAS"/>
    <x v="2"/>
    <x v="4"/>
    <x v="0"/>
    <x v="0"/>
  </r>
  <r>
    <x v="0"/>
    <x v="0"/>
    <x v="0"/>
    <x v="1"/>
    <x v="2"/>
    <s v="FIN_GAS"/>
    <x v="2"/>
    <x v="5"/>
    <x v="0"/>
    <x v="0"/>
  </r>
  <r>
    <x v="0"/>
    <x v="0"/>
    <x v="0"/>
    <x v="1"/>
    <x v="2"/>
    <s v="FIN_GAS"/>
    <x v="2"/>
    <x v="6"/>
    <x v="0"/>
    <x v="0"/>
  </r>
  <r>
    <x v="0"/>
    <x v="0"/>
    <x v="0"/>
    <x v="1"/>
    <x v="2"/>
    <s v="FIN_GAS"/>
    <x v="2"/>
    <x v="7"/>
    <x v="0"/>
    <x v="0"/>
  </r>
  <r>
    <x v="0"/>
    <x v="0"/>
    <x v="0"/>
    <x v="1"/>
    <x v="2"/>
    <s v="FIN_GAS"/>
    <x v="2"/>
    <x v="8"/>
    <x v="0"/>
    <x v="0"/>
  </r>
  <r>
    <x v="0"/>
    <x v="0"/>
    <x v="0"/>
    <x v="1"/>
    <x v="2"/>
    <s v="FIN_GAS"/>
    <x v="2"/>
    <x v="9"/>
    <x v="0"/>
    <x v="0"/>
  </r>
  <r>
    <x v="0"/>
    <x v="0"/>
    <x v="0"/>
    <x v="1"/>
    <x v="2"/>
    <s v="FIN_GAS"/>
    <x v="2"/>
    <x v="10"/>
    <x v="0"/>
    <x v="0"/>
  </r>
  <r>
    <x v="0"/>
    <x v="0"/>
    <x v="0"/>
    <x v="1"/>
    <x v="2"/>
    <s v="FIN_GAS"/>
    <x v="2"/>
    <x v="11"/>
    <x v="0"/>
    <x v="0"/>
  </r>
  <r>
    <x v="0"/>
    <x v="0"/>
    <x v="0"/>
    <x v="1"/>
    <x v="2"/>
    <s v="FIN_GAS"/>
    <x v="3"/>
    <x v="0"/>
    <x v="0"/>
    <x v="0"/>
  </r>
  <r>
    <x v="0"/>
    <x v="0"/>
    <x v="0"/>
    <x v="1"/>
    <x v="2"/>
    <s v="FIN_GAS"/>
    <x v="3"/>
    <x v="1"/>
    <x v="0"/>
    <x v="0"/>
  </r>
  <r>
    <x v="0"/>
    <x v="0"/>
    <x v="0"/>
    <x v="1"/>
    <x v="2"/>
    <s v="FIN_GAS"/>
    <x v="3"/>
    <x v="2"/>
    <x v="0"/>
    <x v="0"/>
  </r>
  <r>
    <x v="0"/>
    <x v="0"/>
    <x v="0"/>
    <x v="1"/>
    <x v="2"/>
    <s v="FIN_GAS"/>
    <x v="3"/>
    <x v="3"/>
    <x v="0"/>
    <x v="0"/>
  </r>
  <r>
    <x v="0"/>
    <x v="0"/>
    <x v="0"/>
    <x v="1"/>
    <x v="2"/>
    <s v="FIN_GAS"/>
    <x v="3"/>
    <x v="4"/>
    <x v="0"/>
    <x v="0"/>
  </r>
  <r>
    <x v="0"/>
    <x v="0"/>
    <x v="0"/>
    <x v="1"/>
    <x v="2"/>
    <s v="FIN_GAS"/>
    <x v="3"/>
    <x v="5"/>
    <x v="0"/>
    <x v="0"/>
  </r>
  <r>
    <x v="0"/>
    <x v="0"/>
    <x v="0"/>
    <x v="1"/>
    <x v="2"/>
    <s v="FIN_GAS"/>
    <x v="3"/>
    <x v="6"/>
    <x v="0"/>
    <x v="0"/>
  </r>
  <r>
    <x v="0"/>
    <x v="0"/>
    <x v="0"/>
    <x v="1"/>
    <x v="2"/>
    <s v="FIN_GAS"/>
    <x v="3"/>
    <x v="7"/>
    <x v="0"/>
    <x v="0"/>
  </r>
  <r>
    <x v="0"/>
    <x v="0"/>
    <x v="0"/>
    <x v="1"/>
    <x v="2"/>
    <s v="FIN_GAS"/>
    <x v="3"/>
    <x v="8"/>
    <x v="0"/>
    <x v="0"/>
  </r>
  <r>
    <x v="0"/>
    <x v="0"/>
    <x v="0"/>
    <x v="1"/>
    <x v="2"/>
    <s v="FIN_GAS"/>
    <x v="3"/>
    <x v="9"/>
    <x v="0"/>
    <x v="0"/>
  </r>
  <r>
    <x v="0"/>
    <x v="0"/>
    <x v="0"/>
    <x v="1"/>
    <x v="2"/>
    <s v="FIN_GAS"/>
    <x v="3"/>
    <x v="10"/>
    <x v="0"/>
    <x v="0"/>
  </r>
  <r>
    <x v="0"/>
    <x v="0"/>
    <x v="0"/>
    <x v="1"/>
    <x v="2"/>
    <s v="FIN_GAS"/>
    <x v="3"/>
    <x v="11"/>
    <x v="0"/>
    <x v="0"/>
  </r>
  <r>
    <x v="0"/>
    <x v="0"/>
    <x v="0"/>
    <x v="1"/>
    <x v="2"/>
    <s v="FIN_GAS"/>
    <x v="4"/>
    <x v="0"/>
    <x v="0"/>
    <x v="0"/>
  </r>
  <r>
    <x v="0"/>
    <x v="0"/>
    <x v="0"/>
    <x v="1"/>
    <x v="2"/>
    <s v="FIN_GAS"/>
    <x v="4"/>
    <x v="1"/>
    <x v="0"/>
    <x v="0"/>
  </r>
  <r>
    <x v="0"/>
    <x v="0"/>
    <x v="0"/>
    <x v="1"/>
    <x v="2"/>
    <s v="FIN_GAS"/>
    <x v="4"/>
    <x v="2"/>
    <x v="0"/>
    <x v="0"/>
  </r>
  <r>
    <x v="0"/>
    <x v="0"/>
    <x v="0"/>
    <x v="1"/>
    <x v="2"/>
    <s v="FIN_GAS"/>
    <x v="4"/>
    <x v="3"/>
    <x v="0"/>
    <x v="0"/>
  </r>
  <r>
    <x v="0"/>
    <x v="0"/>
    <x v="0"/>
    <x v="1"/>
    <x v="2"/>
    <s v="FIN_GAS"/>
    <x v="4"/>
    <x v="4"/>
    <x v="0"/>
    <x v="0"/>
  </r>
  <r>
    <x v="0"/>
    <x v="0"/>
    <x v="0"/>
    <x v="1"/>
    <x v="2"/>
    <s v="FIN_GAS"/>
    <x v="4"/>
    <x v="5"/>
    <x v="0"/>
    <x v="0"/>
  </r>
  <r>
    <x v="0"/>
    <x v="0"/>
    <x v="0"/>
    <x v="1"/>
    <x v="2"/>
    <s v="FIN_GAS"/>
    <x v="4"/>
    <x v="6"/>
    <x v="0"/>
    <x v="0"/>
  </r>
  <r>
    <x v="0"/>
    <x v="0"/>
    <x v="0"/>
    <x v="1"/>
    <x v="2"/>
    <s v="FIN_GAS"/>
    <x v="4"/>
    <x v="7"/>
    <x v="0"/>
    <x v="0"/>
  </r>
  <r>
    <x v="0"/>
    <x v="0"/>
    <x v="0"/>
    <x v="1"/>
    <x v="2"/>
    <s v="FIN_GAS"/>
    <x v="4"/>
    <x v="8"/>
    <x v="0"/>
    <x v="0"/>
  </r>
  <r>
    <x v="0"/>
    <x v="0"/>
    <x v="0"/>
    <x v="1"/>
    <x v="2"/>
    <s v="FIN_GAS"/>
    <x v="4"/>
    <x v="9"/>
    <x v="0"/>
    <x v="0"/>
  </r>
  <r>
    <x v="0"/>
    <x v="0"/>
    <x v="0"/>
    <x v="1"/>
    <x v="2"/>
    <s v="FIN_GAS"/>
    <x v="4"/>
    <x v="10"/>
    <x v="0"/>
    <x v="0"/>
  </r>
  <r>
    <x v="0"/>
    <x v="0"/>
    <x v="0"/>
    <x v="1"/>
    <x v="2"/>
    <s v="FIN_GAS"/>
    <x v="4"/>
    <x v="11"/>
    <x v="0"/>
    <x v="0"/>
  </r>
  <r>
    <x v="0"/>
    <x v="0"/>
    <x v="0"/>
    <x v="1"/>
    <x v="2"/>
    <s v="FIN_GAS"/>
    <x v="5"/>
    <x v="0"/>
    <x v="0"/>
    <x v="0"/>
  </r>
  <r>
    <x v="0"/>
    <x v="0"/>
    <x v="0"/>
    <x v="1"/>
    <x v="2"/>
    <s v="FIN_GAS"/>
    <x v="5"/>
    <x v="1"/>
    <x v="0"/>
    <x v="0"/>
  </r>
  <r>
    <x v="0"/>
    <x v="0"/>
    <x v="0"/>
    <x v="1"/>
    <x v="2"/>
    <s v="FIN_GAS"/>
    <x v="5"/>
    <x v="2"/>
    <x v="0"/>
    <x v="0"/>
  </r>
  <r>
    <x v="0"/>
    <x v="0"/>
    <x v="0"/>
    <x v="1"/>
    <x v="2"/>
    <s v="FIN_GAS"/>
    <x v="5"/>
    <x v="3"/>
    <x v="0"/>
    <x v="0"/>
  </r>
  <r>
    <x v="0"/>
    <x v="0"/>
    <x v="0"/>
    <x v="1"/>
    <x v="2"/>
    <s v="FIN_GAS"/>
    <x v="5"/>
    <x v="4"/>
    <x v="0"/>
    <x v="0"/>
  </r>
  <r>
    <x v="0"/>
    <x v="0"/>
    <x v="0"/>
    <x v="1"/>
    <x v="2"/>
    <s v="FIN_GAS"/>
    <x v="5"/>
    <x v="5"/>
    <x v="0"/>
    <x v="0"/>
  </r>
  <r>
    <x v="0"/>
    <x v="0"/>
    <x v="0"/>
    <x v="1"/>
    <x v="2"/>
    <s v="FIN_GAS"/>
    <x v="5"/>
    <x v="6"/>
    <x v="0"/>
    <x v="0"/>
  </r>
  <r>
    <x v="0"/>
    <x v="0"/>
    <x v="0"/>
    <x v="1"/>
    <x v="2"/>
    <s v="FIN_GAS"/>
    <x v="5"/>
    <x v="7"/>
    <x v="0"/>
    <x v="0"/>
  </r>
  <r>
    <x v="0"/>
    <x v="0"/>
    <x v="0"/>
    <x v="1"/>
    <x v="2"/>
    <s v="FIN_GAS"/>
    <x v="5"/>
    <x v="8"/>
    <x v="0"/>
    <x v="0"/>
  </r>
  <r>
    <x v="0"/>
    <x v="0"/>
    <x v="0"/>
    <x v="1"/>
    <x v="2"/>
    <s v="FIN_GAS"/>
    <x v="5"/>
    <x v="9"/>
    <x v="0"/>
    <x v="0"/>
  </r>
  <r>
    <x v="0"/>
    <x v="0"/>
    <x v="0"/>
    <x v="1"/>
    <x v="2"/>
    <s v="FIN_GAS"/>
    <x v="5"/>
    <x v="10"/>
    <x v="0"/>
    <x v="0"/>
  </r>
  <r>
    <x v="0"/>
    <x v="0"/>
    <x v="0"/>
    <x v="1"/>
    <x v="2"/>
    <s v="FIN_GAS"/>
    <x v="5"/>
    <x v="11"/>
    <x v="0"/>
    <x v="0"/>
  </r>
  <r>
    <x v="0"/>
    <x v="0"/>
    <x v="0"/>
    <x v="1"/>
    <x v="2"/>
    <s v="FIN_GAS"/>
    <x v="6"/>
    <x v="0"/>
    <x v="0"/>
    <x v="0"/>
  </r>
  <r>
    <x v="0"/>
    <x v="0"/>
    <x v="0"/>
    <x v="1"/>
    <x v="2"/>
    <s v="FIN_GAS"/>
    <x v="6"/>
    <x v="1"/>
    <x v="0"/>
    <x v="0"/>
  </r>
  <r>
    <x v="0"/>
    <x v="0"/>
    <x v="0"/>
    <x v="1"/>
    <x v="2"/>
    <s v="FIN_GAS"/>
    <x v="6"/>
    <x v="2"/>
    <x v="0"/>
    <x v="0"/>
  </r>
  <r>
    <x v="0"/>
    <x v="0"/>
    <x v="0"/>
    <x v="1"/>
    <x v="2"/>
    <s v="FIN_GAS"/>
    <x v="6"/>
    <x v="3"/>
    <x v="0"/>
    <x v="0"/>
  </r>
  <r>
    <x v="0"/>
    <x v="0"/>
    <x v="0"/>
    <x v="1"/>
    <x v="2"/>
    <s v="FIN_GAS"/>
    <x v="6"/>
    <x v="4"/>
    <x v="0"/>
    <x v="0"/>
  </r>
  <r>
    <x v="0"/>
    <x v="0"/>
    <x v="0"/>
    <x v="1"/>
    <x v="2"/>
    <s v="FIN_GAS"/>
    <x v="6"/>
    <x v="5"/>
    <x v="0"/>
    <x v="0"/>
  </r>
  <r>
    <x v="0"/>
    <x v="0"/>
    <x v="0"/>
    <x v="1"/>
    <x v="2"/>
    <s v="FIN_GAS"/>
    <x v="6"/>
    <x v="6"/>
    <x v="0"/>
    <x v="0"/>
  </r>
  <r>
    <x v="0"/>
    <x v="0"/>
    <x v="0"/>
    <x v="1"/>
    <x v="2"/>
    <s v="FIN_GAS"/>
    <x v="6"/>
    <x v="7"/>
    <x v="0"/>
    <x v="0"/>
  </r>
  <r>
    <x v="0"/>
    <x v="0"/>
    <x v="0"/>
    <x v="1"/>
    <x v="2"/>
    <s v="FIN_GAS"/>
    <x v="6"/>
    <x v="8"/>
    <x v="0"/>
    <x v="0"/>
  </r>
  <r>
    <x v="0"/>
    <x v="0"/>
    <x v="0"/>
    <x v="1"/>
    <x v="2"/>
    <s v="FIN_GAS"/>
    <x v="6"/>
    <x v="9"/>
    <x v="0"/>
    <x v="0"/>
  </r>
  <r>
    <x v="0"/>
    <x v="0"/>
    <x v="0"/>
    <x v="1"/>
    <x v="2"/>
    <s v="FIN_GAS"/>
    <x v="6"/>
    <x v="10"/>
    <x v="0"/>
    <x v="0"/>
  </r>
  <r>
    <x v="0"/>
    <x v="0"/>
    <x v="0"/>
    <x v="1"/>
    <x v="2"/>
    <s v="FIN_GAS"/>
    <x v="6"/>
    <x v="11"/>
    <x v="0"/>
    <x v="0"/>
  </r>
  <r>
    <x v="0"/>
    <x v="0"/>
    <x v="0"/>
    <x v="1"/>
    <x v="2"/>
    <s v="FIN_GAS"/>
    <x v="7"/>
    <x v="0"/>
    <x v="0"/>
    <x v="0"/>
  </r>
  <r>
    <x v="0"/>
    <x v="0"/>
    <x v="0"/>
    <x v="1"/>
    <x v="2"/>
    <s v="FIN_GAS"/>
    <x v="7"/>
    <x v="1"/>
    <x v="0"/>
    <x v="0"/>
  </r>
  <r>
    <x v="0"/>
    <x v="0"/>
    <x v="0"/>
    <x v="1"/>
    <x v="2"/>
    <s v="FIN_GAS"/>
    <x v="7"/>
    <x v="2"/>
    <x v="0"/>
    <x v="0"/>
  </r>
  <r>
    <x v="0"/>
    <x v="0"/>
    <x v="0"/>
    <x v="1"/>
    <x v="2"/>
    <s v="FIN_GAS"/>
    <x v="7"/>
    <x v="3"/>
    <x v="0"/>
    <x v="0"/>
  </r>
  <r>
    <x v="0"/>
    <x v="0"/>
    <x v="0"/>
    <x v="1"/>
    <x v="2"/>
    <s v="FIN_GAS"/>
    <x v="7"/>
    <x v="4"/>
    <x v="0"/>
    <x v="0"/>
  </r>
  <r>
    <x v="0"/>
    <x v="0"/>
    <x v="0"/>
    <x v="1"/>
    <x v="2"/>
    <s v="FIN_GAS"/>
    <x v="7"/>
    <x v="5"/>
    <x v="0"/>
    <x v="0"/>
  </r>
  <r>
    <x v="0"/>
    <x v="0"/>
    <x v="0"/>
    <x v="1"/>
    <x v="2"/>
    <s v="FIN_GAS"/>
    <x v="7"/>
    <x v="6"/>
    <x v="0"/>
    <x v="0"/>
  </r>
  <r>
    <x v="0"/>
    <x v="0"/>
    <x v="0"/>
    <x v="1"/>
    <x v="2"/>
    <s v="FIN_GAS"/>
    <x v="7"/>
    <x v="7"/>
    <x v="0"/>
    <x v="0"/>
  </r>
  <r>
    <x v="0"/>
    <x v="0"/>
    <x v="0"/>
    <x v="1"/>
    <x v="2"/>
    <s v="FIN_GAS"/>
    <x v="7"/>
    <x v="8"/>
    <x v="0"/>
    <x v="0"/>
  </r>
  <r>
    <x v="0"/>
    <x v="0"/>
    <x v="0"/>
    <x v="1"/>
    <x v="2"/>
    <s v="FIN_GAS"/>
    <x v="7"/>
    <x v="9"/>
    <x v="0"/>
    <x v="0"/>
  </r>
  <r>
    <x v="0"/>
    <x v="0"/>
    <x v="0"/>
    <x v="1"/>
    <x v="2"/>
    <s v="FIN_GAS"/>
    <x v="7"/>
    <x v="10"/>
    <x v="0"/>
    <x v="0"/>
  </r>
  <r>
    <x v="0"/>
    <x v="0"/>
    <x v="0"/>
    <x v="1"/>
    <x v="2"/>
    <s v="FIN_GAS"/>
    <x v="7"/>
    <x v="11"/>
    <x v="0"/>
    <x v="0"/>
  </r>
  <r>
    <x v="0"/>
    <x v="0"/>
    <x v="0"/>
    <x v="1"/>
    <x v="2"/>
    <s v="FIN_GAS"/>
    <x v="8"/>
    <x v="0"/>
    <x v="0"/>
    <x v="0"/>
  </r>
  <r>
    <x v="0"/>
    <x v="0"/>
    <x v="0"/>
    <x v="1"/>
    <x v="2"/>
    <s v="FIN_GAS"/>
    <x v="8"/>
    <x v="1"/>
    <x v="0"/>
    <x v="0"/>
  </r>
  <r>
    <x v="0"/>
    <x v="0"/>
    <x v="0"/>
    <x v="1"/>
    <x v="2"/>
    <s v="FIN_GAS"/>
    <x v="8"/>
    <x v="2"/>
    <x v="0"/>
    <x v="0"/>
  </r>
  <r>
    <x v="0"/>
    <x v="0"/>
    <x v="0"/>
    <x v="1"/>
    <x v="2"/>
    <s v="FIN_GAS"/>
    <x v="8"/>
    <x v="3"/>
    <x v="0"/>
    <x v="0"/>
  </r>
  <r>
    <x v="0"/>
    <x v="0"/>
    <x v="0"/>
    <x v="1"/>
    <x v="2"/>
    <s v="FIN_GAS"/>
    <x v="8"/>
    <x v="4"/>
    <x v="0"/>
    <x v="0"/>
  </r>
  <r>
    <x v="0"/>
    <x v="0"/>
    <x v="0"/>
    <x v="1"/>
    <x v="2"/>
    <s v="FIN_GAS"/>
    <x v="8"/>
    <x v="5"/>
    <x v="0"/>
    <x v="0"/>
  </r>
  <r>
    <x v="0"/>
    <x v="0"/>
    <x v="0"/>
    <x v="1"/>
    <x v="2"/>
    <s v="FIN_GAS"/>
    <x v="8"/>
    <x v="6"/>
    <x v="0"/>
    <x v="0"/>
  </r>
  <r>
    <x v="0"/>
    <x v="0"/>
    <x v="0"/>
    <x v="1"/>
    <x v="2"/>
    <s v="FIN_GAS"/>
    <x v="8"/>
    <x v="7"/>
    <x v="0"/>
    <x v="0"/>
  </r>
  <r>
    <x v="0"/>
    <x v="0"/>
    <x v="0"/>
    <x v="1"/>
    <x v="2"/>
    <s v="FIN_GAS"/>
    <x v="8"/>
    <x v="8"/>
    <x v="0"/>
    <x v="0"/>
  </r>
  <r>
    <x v="0"/>
    <x v="0"/>
    <x v="0"/>
    <x v="1"/>
    <x v="2"/>
    <s v="FIN_GAS"/>
    <x v="8"/>
    <x v="9"/>
    <x v="0"/>
    <x v="0"/>
  </r>
  <r>
    <x v="0"/>
    <x v="0"/>
    <x v="0"/>
    <x v="1"/>
    <x v="2"/>
    <s v="FIN_GAS"/>
    <x v="8"/>
    <x v="10"/>
    <x v="0"/>
    <x v="0"/>
  </r>
  <r>
    <x v="0"/>
    <x v="0"/>
    <x v="0"/>
    <x v="1"/>
    <x v="2"/>
    <s v="FIN_GAS"/>
    <x v="8"/>
    <x v="11"/>
    <x v="0"/>
    <x v="0"/>
  </r>
  <r>
    <x v="0"/>
    <x v="0"/>
    <x v="0"/>
    <x v="1"/>
    <x v="2"/>
    <s v="FIN_GAS"/>
    <x v="9"/>
    <x v="0"/>
    <x v="0"/>
    <x v="0"/>
  </r>
  <r>
    <x v="0"/>
    <x v="0"/>
    <x v="0"/>
    <x v="1"/>
    <x v="2"/>
    <s v="FIN_GAS"/>
    <x v="9"/>
    <x v="1"/>
    <x v="0"/>
    <x v="0"/>
  </r>
  <r>
    <x v="0"/>
    <x v="0"/>
    <x v="0"/>
    <x v="1"/>
    <x v="2"/>
    <s v="FIN_GAS"/>
    <x v="9"/>
    <x v="2"/>
    <x v="0"/>
    <x v="0"/>
  </r>
  <r>
    <x v="0"/>
    <x v="0"/>
    <x v="0"/>
    <x v="1"/>
    <x v="2"/>
    <s v="FIN_GAS"/>
    <x v="9"/>
    <x v="3"/>
    <x v="0"/>
    <x v="0"/>
  </r>
  <r>
    <x v="0"/>
    <x v="0"/>
    <x v="0"/>
    <x v="1"/>
    <x v="2"/>
    <s v="FIN_GAS"/>
    <x v="9"/>
    <x v="4"/>
    <x v="0"/>
    <x v="0"/>
  </r>
  <r>
    <x v="0"/>
    <x v="0"/>
    <x v="0"/>
    <x v="1"/>
    <x v="2"/>
    <s v="FIN_GAS"/>
    <x v="9"/>
    <x v="5"/>
    <x v="0"/>
    <x v="0"/>
  </r>
  <r>
    <x v="0"/>
    <x v="0"/>
    <x v="0"/>
    <x v="1"/>
    <x v="2"/>
    <s v="FIN_GAS"/>
    <x v="9"/>
    <x v="6"/>
    <x v="0"/>
    <x v="0"/>
  </r>
  <r>
    <x v="0"/>
    <x v="0"/>
    <x v="0"/>
    <x v="1"/>
    <x v="2"/>
    <s v="FIN_GAS"/>
    <x v="9"/>
    <x v="7"/>
    <x v="0"/>
    <x v="0"/>
  </r>
  <r>
    <x v="0"/>
    <x v="0"/>
    <x v="0"/>
    <x v="1"/>
    <x v="2"/>
    <s v="FIN_GAS"/>
    <x v="9"/>
    <x v="8"/>
    <x v="0"/>
    <x v="0"/>
  </r>
  <r>
    <x v="0"/>
    <x v="0"/>
    <x v="0"/>
    <x v="1"/>
    <x v="2"/>
    <s v="FIN_GAS"/>
    <x v="9"/>
    <x v="9"/>
    <x v="0"/>
    <x v="0"/>
  </r>
  <r>
    <x v="0"/>
    <x v="0"/>
    <x v="0"/>
    <x v="1"/>
    <x v="2"/>
    <s v="FIN_GAS"/>
    <x v="9"/>
    <x v="10"/>
    <x v="0"/>
    <x v="0"/>
  </r>
  <r>
    <x v="0"/>
    <x v="0"/>
    <x v="0"/>
    <x v="1"/>
    <x v="2"/>
    <s v="FIN_GAS"/>
    <x v="9"/>
    <x v="11"/>
    <x v="0"/>
    <x v="0"/>
  </r>
  <r>
    <x v="0"/>
    <x v="0"/>
    <x v="0"/>
    <x v="1"/>
    <x v="2"/>
    <s v="FIN_GAS"/>
    <x v="10"/>
    <x v="0"/>
    <x v="0"/>
    <x v="0"/>
  </r>
  <r>
    <x v="0"/>
    <x v="0"/>
    <x v="0"/>
    <x v="1"/>
    <x v="2"/>
    <s v="FIN_GAS"/>
    <x v="10"/>
    <x v="1"/>
    <x v="0"/>
    <x v="0"/>
  </r>
  <r>
    <x v="0"/>
    <x v="0"/>
    <x v="0"/>
    <x v="1"/>
    <x v="2"/>
    <s v="FIN_GAS"/>
    <x v="10"/>
    <x v="2"/>
    <x v="0"/>
    <x v="0"/>
  </r>
  <r>
    <x v="0"/>
    <x v="0"/>
    <x v="0"/>
    <x v="1"/>
    <x v="2"/>
    <s v="FIN_GAS"/>
    <x v="10"/>
    <x v="3"/>
    <x v="0"/>
    <x v="0"/>
  </r>
  <r>
    <x v="0"/>
    <x v="0"/>
    <x v="0"/>
    <x v="1"/>
    <x v="2"/>
    <s v="FIN_GAS"/>
    <x v="10"/>
    <x v="4"/>
    <x v="0"/>
    <x v="0"/>
  </r>
  <r>
    <x v="0"/>
    <x v="0"/>
    <x v="0"/>
    <x v="1"/>
    <x v="2"/>
    <s v="FIN_GAS"/>
    <x v="10"/>
    <x v="5"/>
    <x v="0"/>
    <x v="0"/>
  </r>
  <r>
    <x v="0"/>
    <x v="0"/>
    <x v="0"/>
    <x v="1"/>
    <x v="2"/>
    <s v="FIN_GAS"/>
    <x v="10"/>
    <x v="6"/>
    <x v="0"/>
    <x v="0"/>
  </r>
  <r>
    <x v="0"/>
    <x v="0"/>
    <x v="0"/>
    <x v="1"/>
    <x v="2"/>
    <s v="FIN_GAS"/>
    <x v="10"/>
    <x v="7"/>
    <x v="0"/>
    <x v="0"/>
  </r>
  <r>
    <x v="0"/>
    <x v="0"/>
    <x v="0"/>
    <x v="1"/>
    <x v="2"/>
    <s v="FIN_GAS"/>
    <x v="10"/>
    <x v="8"/>
    <x v="0"/>
    <x v="0"/>
  </r>
  <r>
    <x v="0"/>
    <x v="0"/>
    <x v="0"/>
    <x v="1"/>
    <x v="2"/>
    <s v="FIN_GAS"/>
    <x v="10"/>
    <x v="9"/>
    <x v="0"/>
    <x v="0"/>
  </r>
  <r>
    <x v="0"/>
    <x v="0"/>
    <x v="0"/>
    <x v="1"/>
    <x v="2"/>
    <s v="FIN_GAS"/>
    <x v="10"/>
    <x v="10"/>
    <x v="0"/>
    <x v="0"/>
  </r>
  <r>
    <x v="0"/>
    <x v="0"/>
    <x v="0"/>
    <x v="1"/>
    <x v="2"/>
    <s v="FIN_GAS"/>
    <x v="10"/>
    <x v="11"/>
    <x v="0"/>
    <x v="0"/>
  </r>
  <r>
    <x v="0"/>
    <x v="0"/>
    <x v="0"/>
    <x v="1"/>
    <x v="2"/>
    <s v="FIN_GAS"/>
    <x v="11"/>
    <x v="0"/>
    <x v="0"/>
    <x v="0"/>
  </r>
  <r>
    <x v="0"/>
    <x v="0"/>
    <x v="0"/>
    <x v="1"/>
    <x v="2"/>
    <s v="FIN_GAS"/>
    <x v="11"/>
    <x v="1"/>
    <x v="0"/>
    <x v="0"/>
  </r>
  <r>
    <x v="0"/>
    <x v="0"/>
    <x v="0"/>
    <x v="1"/>
    <x v="2"/>
    <s v="FIN_GAS"/>
    <x v="11"/>
    <x v="2"/>
    <x v="0"/>
    <x v="0"/>
  </r>
  <r>
    <x v="0"/>
    <x v="0"/>
    <x v="0"/>
    <x v="1"/>
    <x v="2"/>
    <s v="FIN_GAS"/>
    <x v="11"/>
    <x v="3"/>
    <x v="0"/>
    <x v="0"/>
  </r>
  <r>
    <x v="0"/>
    <x v="0"/>
    <x v="0"/>
    <x v="1"/>
    <x v="2"/>
    <s v="FIN_GAS"/>
    <x v="11"/>
    <x v="4"/>
    <x v="0"/>
    <x v="0"/>
  </r>
  <r>
    <x v="0"/>
    <x v="0"/>
    <x v="0"/>
    <x v="1"/>
    <x v="2"/>
    <s v="FIN_GAS"/>
    <x v="11"/>
    <x v="5"/>
    <x v="0"/>
    <x v="0"/>
  </r>
  <r>
    <x v="0"/>
    <x v="0"/>
    <x v="0"/>
    <x v="1"/>
    <x v="2"/>
    <s v="FIN_GAS"/>
    <x v="11"/>
    <x v="6"/>
    <x v="0"/>
    <x v="0"/>
  </r>
  <r>
    <x v="0"/>
    <x v="0"/>
    <x v="0"/>
    <x v="1"/>
    <x v="2"/>
    <s v="FIN_GAS"/>
    <x v="11"/>
    <x v="7"/>
    <x v="0"/>
    <x v="0"/>
  </r>
  <r>
    <x v="0"/>
    <x v="0"/>
    <x v="0"/>
    <x v="1"/>
    <x v="2"/>
    <s v="FIN_GAS"/>
    <x v="11"/>
    <x v="8"/>
    <x v="0"/>
    <x v="0"/>
  </r>
  <r>
    <x v="0"/>
    <x v="0"/>
    <x v="0"/>
    <x v="1"/>
    <x v="2"/>
    <s v="FIN_GAS"/>
    <x v="11"/>
    <x v="9"/>
    <x v="0"/>
    <x v="0"/>
  </r>
  <r>
    <x v="0"/>
    <x v="0"/>
    <x v="0"/>
    <x v="1"/>
    <x v="2"/>
    <s v="FIN_GAS"/>
    <x v="11"/>
    <x v="10"/>
    <x v="0"/>
    <x v="0"/>
  </r>
  <r>
    <x v="0"/>
    <x v="0"/>
    <x v="0"/>
    <x v="1"/>
    <x v="2"/>
    <s v="FIN_GAS"/>
    <x v="11"/>
    <x v="11"/>
    <x v="0"/>
    <x v="0"/>
  </r>
  <r>
    <x v="0"/>
    <x v="0"/>
    <x v="0"/>
    <x v="1"/>
    <x v="2"/>
    <s v="FIN_HELS"/>
    <x v="0"/>
    <x v="0"/>
    <x v="0"/>
    <x v="0"/>
  </r>
  <r>
    <x v="0"/>
    <x v="0"/>
    <x v="0"/>
    <x v="1"/>
    <x v="2"/>
    <s v="FIN_HELS"/>
    <x v="0"/>
    <x v="1"/>
    <x v="0"/>
    <x v="0"/>
  </r>
  <r>
    <x v="0"/>
    <x v="0"/>
    <x v="0"/>
    <x v="1"/>
    <x v="2"/>
    <s v="FIN_HELS"/>
    <x v="0"/>
    <x v="2"/>
    <x v="0"/>
    <x v="0"/>
  </r>
  <r>
    <x v="0"/>
    <x v="0"/>
    <x v="0"/>
    <x v="1"/>
    <x v="2"/>
    <s v="FIN_HELS"/>
    <x v="0"/>
    <x v="3"/>
    <x v="0"/>
    <x v="0"/>
  </r>
  <r>
    <x v="0"/>
    <x v="0"/>
    <x v="0"/>
    <x v="1"/>
    <x v="2"/>
    <s v="FIN_HELS"/>
    <x v="0"/>
    <x v="4"/>
    <x v="0"/>
    <x v="0"/>
  </r>
  <r>
    <x v="0"/>
    <x v="0"/>
    <x v="0"/>
    <x v="1"/>
    <x v="2"/>
    <s v="FIN_HELS"/>
    <x v="0"/>
    <x v="5"/>
    <x v="0"/>
    <x v="0"/>
  </r>
  <r>
    <x v="0"/>
    <x v="0"/>
    <x v="0"/>
    <x v="1"/>
    <x v="2"/>
    <s v="FIN_HELS"/>
    <x v="0"/>
    <x v="6"/>
    <x v="0"/>
    <x v="0"/>
  </r>
  <r>
    <x v="0"/>
    <x v="0"/>
    <x v="0"/>
    <x v="1"/>
    <x v="2"/>
    <s v="FIN_HELS"/>
    <x v="0"/>
    <x v="7"/>
    <x v="0"/>
    <x v="0"/>
  </r>
  <r>
    <x v="0"/>
    <x v="0"/>
    <x v="0"/>
    <x v="1"/>
    <x v="2"/>
    <s v="FIN_HELS"/>
    <x v="0"/>
    <x v="8"/>
    <x v="0"/>
    <x v="0"/>
  </r>
  <r>
    <x v="0"/>
    <x v="0"/>
    <x v="0"/>
    <x v="1"/>
    <x v="2"/>
    <s v="FIN_HELS"/>
    <x v="0"/>
    <x v="9"/>
    <x v="0"/>
    <x v="0"/>
  </r>
  <r>
    <x v="0"/>
    <x v="0"/>
    <x v="0"/>
    <x v="1"/>
    <x v="2"/>
    <s v="FIN_HELS"/>
    <x v="0"/>
    <x v="10"/>
    <x v="0"/>
    <x v="0"/>
  </r>
  <r>
    <x v="0"/>
    <x v="0"/>
    <x v="0"/>
    <x v="1"/>
    <x v="2"/>
    <s v="FIN_HELS"/>
    <x v="0"/>
    <x v="11"/>
    <x v="0"/>
    <x v="0"/>
  </r>
  <r>
    <x v="0"/>
    <x v="0"/>
    <x v="0"/>
    <x v="1"/>
    <x v="2"/>
    <s v="FIN_HELS"/>
    <x v="1"/>
    <x v="0"/>
    <x v="0"/>
    <x v="0"/>
  </r>
  <r>
    <x v="0"/>
    <x v="0"/>
    <x v="0"/>
    <x v="1"/>
    <x v="2"/>
    <s v="FIN_HELS"/>
    <x v="1"/>
    <x v="1"/>
    <x v="0"/>
    <x v="0"/>
  </r>
  <r>
    <x v="0"/>
    <x v="0"/>
    <x v="0"/>
    <x v="1"/>
    <x v="2"/>
    <s v="FIN_HELS"/>
    <x v="1"/>
    <x v="2"/>
    <x v="0"/>
    <x v="0"/>
  </r>
  <r>
    <x v="0"/>
    <x v="0"/>
    <x v="0"/>
    <x v="1"/>
    <x v="2"/>
    <s v="FIN_HELS"/>
    <x v="1"/>
    <x v="3"/>
    <x v="0"/>
    <x v="0"/>
  </r>
  <r>
    <x v="0"/>
    <x v="0"/>
    <x v="0"/>
    <x v="1"/>
    <x v="2"/>
    <s v="FIN_HELS"/>
    <x v="1"/>
    <x v="4"/>
    <x v="0"/>
    <x v="0"/>
  </r>
  <r>
    <x v="0"/>
    <x v="0"/>
    <x v="0"/>
    <x v="1"/>
    <x v="2"/>
    <s v="FIN_HELS"/>
    <x v="1"/>
    <x v="5"/>
    <x v="0"/>
    <x v="0"/>
  </r>
  <r>
    <x v="0"/>
    <x v="0"/>
    <x v="0"/>
    <x v="1"/>
    <x v="2"/>
    <s v="FIN_HELS"/>
    <x v="1"/>
    <x v="6"/>
    <x v="0"/>
    <x v="0"/>
  </r>
  <r>
    <x v="0"/>
    <x v="0"/>
    <x v="0"/>
    <x v="1"/>
    <x v="2"/>
    <s v="FIN_HELS"/>
    <x v="1"/>
    <x v="7"/>
    <x v="0"/>
    <x v="0"/>
  </r>
  <r>
    <x v="0"/>
    <x v="0"/>
    <x v="0"/>
    <x v="1"/>
    <x v="2"/>
    <s v="FIN_HELS"/>
    <x v="1"/>
    <x v="8"/>
    <x v="0"/>
    <x v="0"/>
  </r>
  <r>
    <x v="0"/>
    <x v="0"/>
    <x v="0"/>
    <x v="1"/>
    <x v="2"/>
    <s v="FIN_HELS"/>
    <x v="1"/>
    <x v="9"/>
    <x v="0"/>
    <x v="0"/>
  </r>
  <r>
    <x v="0"/>
    <x v="0"/>
    <x v="0"/>
    <x v="1"/>
    <x v="2"/>
    <s v="FIN_HELS"/>
    <x v="1"/>
    <x v="10"/>
    <x v="0"/>
    <x v="0"/>
  </r>
  <r>
    <x v="0"/>
    <x v="0"/>
    <x v="0"/>
    <x v="1"/>
    <x v="2"/>
    <s v="FIN_HELS"/>
    <x v="1"/>
    <x v="11"/>
    <x v="0"/>
    <x v="0"/>
  </r>
  <r>
    <x v="0"/>
    <x v="0"/>
    <x v="0"/>
    <x v="1"/>
    <x v="2"/>
    <s v="FIN_HELS"/>
    <x v="2"/>
    <x v="0"/>
    <x v="0"/>
    <x v="0"/>
  </r>
  <r>
    <x v="0"/>
    <x v="0"/>
    <x v="0"/>
    <x v="1"/>
    <x v="2"/>
    <s v="FIN_HELS"/>
    <x v="2"/>
    <x v="1"/>
    <x v="0"/>
    <x v="0"/>
  </r>
  <r>
    <x v="0"/>
    <x v="0"/>
    <x v="0"/>
    <x v="1"/>
    <x v="2"/>
    <s v="FIN_HELS"/>
    <x v="2"/>
    <x v="2"/>
    <x v="0"/>
    <x v="0"/>
  </r>
  <r>
    <x v="0"/>
    <x v="0"/>
    <x v="0"/>
    <x v="1"/>
    <x v="2"/>
    <s v="FIN_HELS"/>
    <x v="2"/>
    <x v="3"/>
    <x v="0"/>
    <x v="0"/>
  </r>
  <r>
    <x v="0"/>
    <x v="0"/>
    <x v="0"/>
    <x v="1"/>
    <x v="2"/>
    <s v="FIN_HELS"/>
    <x v="2"/>
    <x v="4"/>
    <x v="0"/>
    <x v="0"/>
  </r>
  <r>
    <x v="0"/>
    <x v="0"/>
    <x v="0"/>
    <x v="1"/>
    <x v="2"/>
    <s v="FIN_HELS"/>
    <x v="2"/>
    <x v="5"/>
    <x v="0"/>
    <x v="0"/>
  </r>
  <r>
    <x v="0"/>
    <x v="0"/>
    <x v="0"/>
    <x v="1"/>
    <x v="2"/>
    <s v="FIN_HELS"/>
    <x v="2"/>
    <x v="6"/>
    <x v="0"/>
    <x v="0"/>
  </r>
  <r>
    <x v="0"/>
    <x v="0"/>
    <x v="0"/>
    <x v="1"/>
    <x v="2"/>
    <s v="FIN_HELS"/>
    <x v="2"/>
    <x v="7"/>
    <x v="0"/>
    <x v="0"/>
  </r>
  <r>
    <x v="0"/>
    <x v="0"/>
    <x v="0"/>
    <x v="1"/>
    <x v="2"/>
    <s v="FIN_HELS"/>
    <x v="2"/>
    <x v="8"/>
    <x v="0"/>
    <x v="0"/>
  </r>
  <r>
    <x v="0"/>
    <x v="0"/>
    <x v="0"/>
    <x v="1"/>
    <x v="2"/>
    <s v="FIN_HELS"/>
    <x v="2"/>
    <x v="9"/>
    <x v="0"/>
    <x v="0"/>
  </r>
  <r>
    <x v="0"/>
    <x v="0"/>
    <x v="0"/>
    <x v="1"/>
    <x v="2"/>
    <s v="FIN_HELS"/>
    <x v="2"/>
    <x v="10"/>
    <x v="0"/>
    <x v="0"/>
  </r>
  <r>
    <x v="0"/>
    <x v="0"/>
    <x v="0"/>
    <x v="1"/>
    <x v="2"/>
    <s v="FIN_HELS"/>
    <x v="2"/>
    <x v="11"/>
    <x v="0"/>
    <x v="0"/>
  </r>
  <r>
    <x v="0"/>
    <x v="0"/>
    <x v="0"/>
    <x v="1"/>
    <x v="2"/>
    <s v="FIN_HELS"/>
    <x v="3"/>
    <x v="0"/>
    <x v="0"/>
    <x v="0"/>
  </r>
  <r>
    <x v="0"/>
    <x v="0"/>
    <x v="0"/>
    <x v="1"/>
    <x v="2"/>
    <s v="FIN_HELS"/>
    <x v="3"/>
    <x v="1"/>
    <x v="0"/>
    <x v="0"/>
  </r>
  <r>
    <x v="0"/>
    <x v="0"/>
    <x v="0"/>
    <x v="1"/>
    <x v="2"/>
    <s v="FIN_HELS"/>
    <x v="3"/>
    <x v="2"/>
    <x v="0"/>
    <x v="0"/>
  </r>
  <r>
    <x v="0"/>
    <x v="0"/>
    <x v="0"/>
    <x v="1"/>
    <x v="2"/>
    <s v="FIN_HELS"/>
    <x v="3"/>
    <x v="3"/>
    <x v="0"/>
    <x v="0"/>
  </r>
  <r>
    <x v="0"/>
    <x v="0"/>
    <x v="0"/>
    <x v="1"/>
    <x v="2"/>
    <s v="FIN_HELS"/>
    <x v="3"/>
    <x v="4"/>
    <x v="0"/>
    <x v="0"/>
  </r>
  <r>
    <x v="0"/>
    <x v="0"/>
    <x v="0"/>
    <x v="1"/>
    <x v="2"/>
    <s v="FIN_HELS"/>
    <x v="3"/>
    <x v="5"/>
    <x v="0"/>
    <x v="0"/>
  </r>
  <r>
    <x v="0"/>
    <x v="0"/>
    <x v="0"/>
    <x v="1"/>
    <x v="2"/>
    <s v="FIN_HELS"/>
    <x v="3"/>
    <x v="6"/>
    <x v="0"/>
    <x v="0"/>
  </r>
  <r>
    <x v="0"/>
    <x v="0"/>
    <x v="0"/>
    <x v="1"/>
    <x v="2"/>
    <s v="FIN_HELS"/>
    <x v="3"/>
    <x v="7"/>
    <x v="0"/>
    <x v="0"/>
  </r>
  <r>
    <x v="0"/>
    <x v="0"/>
    <x v="0"/>
    <x v="1"/>
    <x v="2"/>
    <s v="FIN_HELS"/>
    <x v="3"/>
    <x v="8"/>
    <x v="0"/>
    <x v="0"/>
  </r>
  <r>
    <x v="0"/>
    <x v="0"/>
    <x v="0"/>
    <x v="1"/>
    <x v="2"/>
    <s v="FIN_HELS"/>
    <x v="3"/>
    <x v="9"/>
    <x v="0"/>
    <x v="0"/>
  </r>
  <r>
    <x v="0"/>
    <x v="0"/>
    <x v="0"/>
    <x v="1"/>
    <x v="2"/>
    <s v="FIN_HELS"/>
    <x v="3"/>
    <x v="10"/>
    <x v="0"/>
    <x v="0"/>
  </r>
  <r>
    <x v="0"/>
    <x v="0"/>
    <x v="0"/>
    <x v="1"/>
    <x v="2"/>
    <s v="FIN_HELS"/>
    <x v="3"/>
    <x v="11"/>
    <x v="0"/>
    <x v="0"/>
  </r>
  <r>
    <x v="0"/>
    <x v="0"/>
    <x v="0"/>
    <x v="1"/>
    <x v="2"/>
    <s v="FIN_HELS"/>
    <x v="4"/>
    <x v="0"/>
    <x v="0"/>
    <x v="0"/>
  </r>
  <r>
    <x v="0"/>
    <x v="0"/>
    <x v="0"/>
    <x v="1"/>
    <x v="2"/>
    <s v="FIN_HELS"/>
    <x v="4"/>
    <x v="1"/>
    <x v="0"/>
    <x v="0"/>
  </r>
  <r>
    <x v="0"/>
    <x v="0"/>
    <x v="0"/>
    <x v="1"/>
    <x v="2"/>
    <s v="FIN_HELS"/>
    <x v="4"/>
    <x v="2"/>
    <x v="0"/>
    <x v="0"/>
  </r>
  <r>
    <x v="0"/>
    <x v="0"/>
    <x v="0"/>
    <x v="1"/>
    <x v="2"/>
    <s v="FIN_HELS"/>
    <x v="4"/>
    <x v="3"/>
    <x v="0"/>
    <x v="0"/>
  </r>
  <r>
    <x v="0"/>
    <x v="0"/>
    <x v="0"/>
    <x v="1"/>
    <x v="2"/>
    <s v="FIN_HELS"/>
    <x v="4"/>
    <x v="4"/>
    <x v="0"/>
    <x v="0"/>
  </r>
  <r>
    <x v="0"/>
    <x v="0"/>
    <x v="0"/>
    <x v="1"/>
    <x v="2"/>
    <s v="FIN_HELS"/>
    <x v="4"/>
    <x v="5"/>
    <x v="0"/>
    <x v="0"/>
  </r>
  <r>
    <x v="0"/>
    <x v="0"/>
    <x v="0"/>
    <x v="1"/>
    <x v="2"/>
    <s v="FIN_HELS"/>
    <x v="4"/>
    <x v="6"/>
    <x v="0"/>
    <x v="0"/>
  </r>
  <r>
    <x v="0"/>
    <x v="0"/>
    <x v="0"/>
    <x v="1"/>
    <x v="2"/>
    <s v="FIN_HELS"/>
    <x v="4"/>
    <x v="7"/>
    <x v="0"/>
    <x v="0"/>
  </r>
  <r>
    <x v="0"/>
    <x v="0"/>
    <x v="0"/>
    <x v="1"/>
    <x v="2"/>
    <s v="FIN_HELS"/>
    <x v="4"/>
    <x v="8"/>
    <x v="0"/>
    <x v="0"/>
  </r>
  <r>
    <x v="0"/>
    <x v="0"/>
    <x v="0"/>
    <x v="1"/>
    <x v="2"/>
    <s v="FIN_HELS"/>
    <x v="4"/>
    <x v="9"/>
    <x v="0"/>
    <x v="0"/>
  </r>
  <r>
    <x v="0"/>
    <x v="0"/>
    <x v="0"/>
    <x v="1"/>
    <x v="2"/>
    <s v="FIN_HELS"/>
    <x v="4"/>
    <x v="10"/>
    <x v="0"/>
    <x v="0"/>
  </r>
  <r>
    <x v="0"/>
    <x v="0"/>
    <x v="0"/>
    <x v="1"/>
    <x v="2"/>
    <s v="FIN_HELS"/>
    <x v="4"/>
    <x v="11"/>
    <x v="0"/>
    <x v="0"/>
  </r>
  <r>
    <x v="0"/>
    <x v="0"/>
    <x v="0"/>
    <x v="1"/>
    <x v="2"/>
    <s v="FIN_HELS"/>
    <x v="5"/>
    <x v="0"/>
    <x v="0"/>
    <x v="0"/>
  </r>
  <r>
    <x v="0"/>
    <x v="0"/>
    <x v="0"/>
    <x v="1"/>
    <x v="2"/>
    <s v="FIN_HELS"/>
    <x v="5"/>
    <x v="1"/>
    <x v="0"/>
    <x v="0"/>
  </r>
  <r>
    <x v="0"/>
    <x v="0"/>
    <x v="0"/>
    <x v="1"/>
    <x v="2"/>
    <s v="FIN_HELS"/>
    <x v="5"/>
    <x v="2"/>
    <x v="0"/>
    <x v="0"/>
  </r>
  <r>
    <x v="0"/>
    <x v="0"/>
    <x v="0"/>
    <x v="1"/>
    <x v="2"/>
    <s v="FIN_HELS"/>
    <x v="5"/>
    <x v="3"/>
    <x v="0"/>
    <x v="0"/>
  </r>
  <r>
    <x v="0"/>
    <x v="0"/>
    <x v="0"/>
    <x v="1"/>
    <x v="2"/>
    <s v="FIN_HELS"/>
    <x v="5"/>
    <x v="4"/>
    <x v="0"/>
    <x v="0"/>
  </r>
  <r>
    <x v="0"/>
    <x v="0"/>
    <x v="0"/>
    <x v="1"/>
    <x v="2"/>
    <s v="FIN_HELS"/>
    <x v="5"/>
    <x v="5"/>
    <x v="0"/>
    <x v="0"/>
  </r>
  <r>
    <x v="0"/>
    <x v="0"/>
    <x v="0"/>
    <x v="1"/>
    <x v="2"/>
    <s v="FIN_HELS"/>
    <x v="5"/>
    <x v="6"/>
    <x v="0"/>
    <x v="0"/>
  </r>
  <r>
    <x v="0"/>
    <x v="0"/>
    <x v="0"/>
    <x v="1"/>
    <x v="2"/>
    <s v="FIN_HELS"/>
    <x v="5"/>
    <x v="7"/>
    <x v="0"/>
    <x v="0"/>
  </r>
  <r>
    <x v="0"/>
    <x v="0"/>
    <x v="0"/>
    <x v="1"/>
    <x v="2"/>
    <s v="FIN_HELS"/>
    <x v="5"/>
    <x v="8"/>
    <x v="0"/>
    <x v="0"/>
  </r>
  <r>
    <x v="0"/>
    <x v="0"/>
    <x v="0"/>
    <x v="1"/>
    <x v="2"/>
    <s v="FIN_HELS"/>
    <x v="5"/>
    <x v="9"/>
    <x v="0"/>
    <x v="0"/>
  </r>
  <r>
    <x v="0"/>
    <x v="0"/>
    <x v="0"/>
    <x v="1"/>
    <x v="2"/>
    <s v="FIN_HELS"/>
    <x v="5"/>
    <x v="10"/>
    <x v="0"/>
    <x v="0"/>
  </r>
  <r>
    <x v="0"/>
    <x v="0"/>
    <x v="0"/>
    <x v="1"/>
    <x v="2"/>
    <s v="FIN_HELS"/>
    <x v="5"/>
    <x v="11"/>
    <x v="0"/>
    <x v="0"/>
  </r>
  <r>
    <x v="0"/>
    <x v="0"/>
    <x v="0"/>
    <x v="1"/>
    <x v="2"/>
    <s v="FIN_HELS"/>
    <x v="6"/>
    <x v="0"/>
    <x v="0"/>
    <x v="0"/>
  </r>
  <r>
    <x v="0"/>
    <x v="0"/>
    <x v="0"/>
    <x v="1"/>
    <x v="2"/>
    <s v="FIN_HELS"/>
    <x v="6"/>
    <x v="1"/>
    <x v="0"/>
    <x v="0"/>
  </r>
  <r>
    <x v="0"/>
    <x v="0"/>
    <x v="0"/>
    <x v="1"/>
    <x v="2"/>
    <s v="FIN_HELS"/>
    <x v="6"/>
    <x v="2"/>
    <x v="0"/>
    <x v="0"/>
  </r>
  <r>
    <x v="0"/>
    <x v="0"/>
    <x v="0"/>
    <x v="1"/>
    <x v="2"/>
    <s v="FIN_HELS"/>
    <x v="6"/>
    <x v="3"/>
    <x v="0"/>
    <x v="0"/>
  </r>
  <r>
    <x v="0"/>
    <x v="0"/>
    <x v="0"/>
    <x v="1"/>
    <x v="2"/>
    <s v="FIN_HELS"/>
    <x v="6"/>
    <x v="4"/>
    <x v="0"/>
    <x v="0"/>
  </r>
  <r>
    <x v="0"/>
    <x v="0"/>
    <x v="0"/>
    <x v="1"/>
    <x v="2"/>
    <s v="FIN_HELS"/>
    <x v="6"/>
    <x v="5"/>
    <x v="0"/>
    <x v="0"/>
  </r>
  <r>
    <x v="0"/>
    <x v="0"/>
    <x v="0"/>
    <x v="1"/>
    <x v="2"/>
    <s v="FIN_HELS"/>
    <x v="6"/>
    <x v="6"/>
    <x v="0"/>
    <x v="0"/>
  </r>
  <r>
    <x v="0"/>
    <x v="0"/>
    <x v="0"/>
    <x v="1"/>
    <x v="2"/>
    <s v="FIN_HELS"/>
    <x v="6"/>
    <x v="7"/>
    <x v="0"/>
    <x v="0"/>
  </r>
  <r>
    <x v="0"/>
    <x v="0"/>
    <x v="0"/>
    <x v="1"/>
    <x v="2"/>
    <s v="FIN_HELS"/>
    <x v="6"/>
    <x v="8"/>
    <x v="0"/>
    <x v="0"/>
  </r>
  <r>
    <x v="0"/>
    <x v="0"/>
    <x v="0"/>
    <x v="1"/>
    <x v="2"/>
    <s v="FIN_HELS"/>
    <x v="6"/>
    <x v="9"/>
    <x v="0"/>
    <x v="0"/>
  </r>
  <r>
    <x v="0"/>
    <x v="0"/>
    <x v="0"/>
    <x v="1"/>
    <x v="2"/>
    <s v="FIN_HELS"/>
    <x v="6"/>
    <x v="10"/>
    <x v="0"/>
    <x v="0"/>
  </r>
  <r>
    <x v="0"/>
    <x v="0"/>
    <x v="0"/>
    <x v="1"/>
    <x v="2"/>
    <s v="FIN_HELS"/>
    <x v="6"/>
    <x v="11"/>
    <x v="0"/>
    <x v="0"/>
  </r>
  <r>
    <x v="0"/>
    <x v="0"/>
    <x v="0"/>
    <x v="1"/>
    <x v="2"/>
    <s v="FIN_HELS"/>
    <x v="7"/>
    <x v="0"/>
    <x v="0"/>
    <x v="0"/>
  </r>
  <r>
    <x v="0"/>
    <x v="0"/>
    <x v="0"/>
    <x v="1"/>
    <x v="2"/>
    <s v="FIN_HELS"/>
    <x v="7"/>
    <x v="1"/>
    <x v="0"/>
    <x v="0"/>
  </r>
  <r>
    <x v="0"/>
    <x v="0"/>
    <x v="0"/>
    <x v="1"/>
    <x v="2"/>
    <s v="FIN_HELS"/>
    <x v="7"/>
    <x v="2"/>
    <x v="0"/>
    <x v="0"/>
  </r>
  <r>
    <x v="0"/>
    <x v="0"/>
    <x v="0"/>
    <x v="1"/>
    <x v="2"/>
    <s v="FIN_HELS"/>
    <x v="7"/>
    <x v="3"/>
    <x v="0"/>
    <x v="0"/>
  </r>
  <r>
    <x v="0"/>
    <x v="0"/>
    <x v="0"/>
    <x v="1"/>
    <x v="2"/>
    <s v="FIN_HELS"/>
    <x v="7"/>
    <x v="4"/>
    <x v="0"/>
    <x v="0"/>
  </r>
  <r>
    <x v="0"/>
    <x v="0"/>
    <x v="0"/>
    <x v="1"/>
    <x v="2"/>
    <s v="FIN_HELS"/>
    <x v="7"/>
    <x v="5"/>
    <x v="0"/>
    <x v="0"/>
  </r>
  <r>
    <x v="0"/>
    <x v="0"/>
    <x v="0"/>
    <x v="1"/>
    <x v="2"/>
    <s v="FIN_HELS"/>
    <x v="7"/>
    <x v="6"/>
    <x v="0"/>
    <x v="0"/>
  </r>
  <r>
    <x v="0"/>
    <x v="0"/>
    <x v="0"/>
    <x v="1"/>
    <x v="2"/>
    <s v="FIN_HELS"/>
    <x v="7"/>
    <x v="7"/>
    <x v="0"/>
    <x v="0"/>
  </r>
  <r>
    <x v="0"/>
    <x v="0"/>
    <x v="0"/>
    <x v="1"/>
    <x v="2"/>
    <s v="FIN_HELS"/>
    <x v="7"/>
    <x v="8"/>
    <x v="0"/>
    <x v="0"/>
  </r>
  <r>
    <x v="0"/>
    <x v="0"/>
    <x v="0"/>
    <x v="1"/>
    <x v="2"/>
    <s v="FIN_HELS"/>
    <x v="7"/>
    <x v="9"/>
    <x v="0"/>
    <x v="0"/>
  </r>
  <r>
    <x v="0"/>
    <x v="0"/>
    <x v="0"/>
    <x v="1"/>
    <x v="2"/>
    <s v="FIN_HELS"/>
    <x v="7"/>
    <x v="10"/>
    <x v="0"/>
    <x v="0"/>
  </r>
  <r>
    <x v="0"/>
    <x v="0"/>
    <x v="0"/>
    <x v="1"/>
    <x v="2"/>
    <s v="FIN_HELS"/>
    <x v="7"/>
    <x v="11"/>
    <x v="0"/>
    <x v="0"/>
  </r>
  <r>
    <x v="0"/>
    <x v="0"/>
    <x v="0"/>
    <x v="1"/>
    <x v="2"/>
    <s v="FIN_HELS"/>
    <x v="8"/>
    <x v="0"/>
    <x v="0"/>
    <x v="0"/>
  </r>
  <r>
    <x v="0"/>
    <x v="0"/>
    <x v="0"/>
    <x v="1"/>
    <x v="2"/>
    <s v="FIN_HELS"/>
    <x v="8"/>
    <x v="1"/>
    <x v="0"/>
    <x v="0"/>
  </r>
  <r>
    <x v="0"/>
    <x v="0"/>
    <x v="0"/>
    <x v="1"/>
    <x v="2"/>
    <s v="FIN_HELS"/>
    <x v="8"/>
    <x v="2"/>
    <x v="0"/>
    <x v="0"/>
  </r>
  <r>
    <x v="0"/>
    <x v="0"/>
    <x v="0"/>
    <x v="1"/>
    <x v="2"/>
    <s v="FIN_HELS"/>
    <x v="8"/>
    <x v="3"/>
    <x v="0"/>
    <x v="0"/>
  </r>
  <r>
    <x v="0"/>
    <x v="0"/>
    <x v="0"/>
    <x v="1"/>
    <x v="2"/>
    <s v="FIN_HELS"/>
    <x v="8"/>
    <x v="4"/>
    <x v="0"/>
    <x v="0"/>
  </r>
  <r>
    <x v="0"/>
    <x v="0"/>
    <x v="0"/>
    <x v="1"/>
    <x v="2"/>
    <s v="FIN_HELS"/>
    <x v="8"/>
    <x v="5"/>
    <x v="0"/>
    <x v="0"/>
  </r>
  <r>
    <x v="0"/>
    <x v="0"/>
    <x v="0"/>
    <x v="1"/>
    <x v="2"/>
    <s v="FIN_HELS"/>
    <x v="8"/>
    <x v="6"/>
    <x v="0"/>
    <x v="0"/>
  </r>
  <r>
    <x v="0"/>
    <x v="0"/>
    <x v="0"/>
    <x v="1"/>
    <x v="2"/>
    <s v="FIN_HELS"/>
    <x v="8"/>
    <x v="7"/>
    <x v="0"/>
    <x v="0"/>
  </r>
  <r>
    <x v="0"/>
    <x v="0"/>
    <x v="0"/>
    <x v="1"/>
    <x v="2"/>
    <s v="FIN_HELS"/>
    <x v="8"/>
    <x v="8"/>
    <x v="0"/>
    <x v="0"/>
  </r>
  <r>
    <x v="0"/>
    <x v="0"/>
    <x v="0"/>
    <x v="1"/>
    <x v="2"/>
    <s v="FIN_HELS"/>
    <x v="8"/>
    <x v="9"/>
    <x v="0"/>
    <x v="0"/>
  </r>
  <r>
    <x v="0"/>
    <x v="0"/>
    <x v="0"/>
    <x v="1"/>
    <x v="2"/>
    <s v="FIN_HELS"/>
    <x v="8"/>
    <x v="10"/>
    <x v="0"/>
    <x v="0"/>
  </r>
  <r>
    <x v="0"/>
    <x v="0"/>
    <x v="0"/>
    <x v="1"/>
    <x v="2"/>
    <s v="FIN_HELS"/>
    <x v="8"/>
    <x v="11"/>
    <x v="0"/>
    <x v="0"/>
  </r>
  <r>
    <x v="0"/>
    <x v="0"/>
    <x v="0"/>
    <x v="1"/>
    <x v="2"/>
    <s v="FIN_HELS"/>
    <x v="9"/>
    <x v="0"/>
    <x v="0"/>
    <x v="0"/>
  </r>
  <r>
    <x v="0"/>
    <x v="0"/>
    <x v="0"/>
    <x v="1"/>
    <x v="2"/>
    <s v="FIN_HELS"/>
    <x v="9"/>
    <x v="1"/>
    <x v="0"/>
    <x v="0"/>
  </r>
  <r>
    <x v="0"/>
    <x v="0"/>
    <x v="0"/>
    <x v="1"/>
    <x v="2"/>
    <s v="FIN_HELS"/>
    <x v="9"/>
    <x v="2"/>
    <x v="0"/>
    <x v="0"/>
  </r>
  <r>
    <x v="0"/>
    <x v="0"/>
    <x v="0"/>
    <x v="1"/>
    <x v="2"/>
    <s v="FIN_HELS"/>
    <x v="9"/>
    <x v="3"/>
    <x v="0"/>
    <x v="0"/>
  </r>
  <r>
    <x v="0"/>
    <x v="0"/>
    <x v="0"/>
    <x v="1"/>
    <x v="2"/>
    <s v="FIN_HELS"/>
    <x v="9"/>
    <x v="4"/>
    <x v="0"/>
    <x v="0"/>
  </r>
  <r>
    <x v="0"/>
    <x v="0"/>
    <x v="0"/>
    <x v="1"/>
    <x v="2"/>
    <s v="FIN_HELS"/>
    <x v="9"/>
    <x v="5"/>
    <x v="0"/>
    <x v="0"/>
  </r>
  <r>
    <x v="0"/>
    <x v="0"/>
    <x v="0"/>
    <x v="1"/>
    <x v="2"/>
    <s v="FIN_HELS"/>
    <x v="9"/>
    <x v="6"/>
    <x v="0"/>
    <x v="0"/>
  </r>
  <r>
    <x v="0"/>
    <x v="0"/>
    <x v="0"/>
    <x v="1"/>
    <x v="2"/>
    <s v="FIN_HELS"/>
    <x v="9"/>
    <x v="7"/>
    <x v="0"/>
    <x v="0"/>
  </r>
  <r>
    <x v="0"/>
    <x v="0"/>
    <x v="0"/>
    <x v="1"/>
    <x v="2"/>
    <s v="FIN_HELS"/>
    <x v="9"/>
    <x v="8"/>
    <x v="0"/>
    <x v="0"/>
  </r>
  <r>
    <x v="0"/>
    <x v="0"/>
    <x v="0"/>
    <x v="1"/>
    <x v="2"/>
    <s v="FIN_HELS"/>
    <x v="9"/>
    <x v="9"/>
    <x v="0"/>
    <x v="0"/>
  </r>
  <r>
    <x v="0"/>
    <x v="0"/>
    <x v="0"/>
    <x v="1"/>
    <x v="2"/>
    <s v="FIN_HELS"/>
    <x v="9"/>
    <x v="10"/>
    <x v="0"/>
    <x v="0"/>
  </r>
  <r>
    <x v="0"/>
    <x v="0"/>
    <x v="0"/>
    <x v="1"/>
    <x v="2"/>
    <s v="FIN_HELS"/>
    <x v="9"/>
    <x v="11"/>
    <x v="0"/>
    <x v="0"/>
  </r>
  <r>
    <x v="0"/>
    <x v="0"/>
    <x v="0"/>
    <x v="1"/>
    <x v="2"/>
    <s v="FIN_HELS"/>
    <x v="10"/>
    <x v="0"/>
    <x v="0"/>
    <x v="0"/>
  </r>
  <r>
    <x v="0"/>
    <x v="0"/>
    <x v="0"/>
    <x v="1"/>
    <x v="2"/>
    <s v="FIN_HELS"/>
    <x v="10"/>
    <x v="1"/>
    <x v="0"/>
    <x v="0"/>
  </r>
  <r>
    <x v="0"/>
    <x v="0"/>
    <x v="0"/>
    <x v="1"/>
    <x v="2"/>
    <s v="FIN_HELS"/>
    <x v="10"/>
    <x v="2"/>
    <x v="0"/>
    <x v="0"/>
  </r>
  <r>
    <x v="0"/>
    <x v="0"/>
    <x v="0"/>
    <x v="1"/>
    <x v="2"/>
    <s v="FIN_HELS"/>
    <x v="10"/>
    <x v="3"/>
    <x v="0"/>
    <x v="0"/>
  </r>
  <r>
    <x v="0"/>
    <x v="0"/>
    <x v="0"/>
    <x v="1"/>
    <x v="2"/>
    <s v="FIN_HELS"/>
    <x v="10"/>
    <x v="4"/>
    <x v="0"/>
    <x v="0"/>
  </r>
  <r>
    <x v="0"/>
    <x v="0"/>
    <x v="0"/>
    <x v="1"/>
    <x v="2"/>
    <s v="FIN_HELS"/>
    <x v="10"/>
    <x v="5"/>
    <x v="0"/>
    <x v="0"/>
  </r>
  <r>
    <x v="0"/>
    <x v="0"/>
    <x v="0"/>
    <x v="1"/>
    <x v="2"/>
    <s v="FIN_HELS"/>
    <x v="10"/>
    <x v="6"/>
    <x v="0"/>
    <x v="0"/>
  </r>
  <r>
    <x v="0"/>
    <x v="0"/>
    <x v="0"/>
    <x v="1"/>
    <x v="2"/>
    <s v="FIN_HELS"/>
    <x v="10"/>
    <x v="7"/>
    <x v="0"/>
    <x v="0"/>
  </r>
  <r>
    <x v="0"/>
    <x v="0"/>
    <x v="0"/>
    <x v="1"/>
    <x v="2"/>
    <s v="FIN_HELS"/>
    <x v="10"/>
    <x v="8"/>
    <x v="0"/>
    <x v="0"/>
  </r>
  <r>
    <x v="0"/>
    <x v="0"/>
    <x v="0"/>
    <x v="1"/>
    <x v="2"/>
    <s v="FIN_HELS"/>
    <x v="10"/>
    <x v="9"/>
    <x v="0"/>
    <x v="0"/>
  </r>
  <r>
    <x v="0"/>
    <x v="0"/>
    <x v="0"/>
    <x v="1"/>
    <x v="2"/>
    <s v="FIN_HELS"/>
    <x v="10"/>
    <x v="10"/>
    <x v="0"/>
    <x v="0"/>
  </r>
  <r>
    <x v="0"/>
    <x v="0"/>
    <x v="0"/>
    <x v="1"/>
    <x v="2"/>
    <s v="FIN_HELS"/>
    <x v="10"/>
    <x v="11"/>
    <x v="0"/>
    <x v="0"/>
  </r>
  <r>
    <x v="0"/>
    <x v="0"/>
    <x v="0"/>
    <x v="1"/>
    <x v="2"/>
    <s v="FIN_HELS"/>
    <x v="11"/>
    <x v="0"/>
    <x v="0"/>
    <x v="0"/>
  </r>
  <r>
    <x v="0"/>
    <x v="0"/>
    <x v="0"/>
    <x v="1"/>
    <x v="2"/>
    <s v="FIN_HELS"/>
    <x v="11"/>
    <x v="1"/>
    <x v="0"/>
    <x v="0"/>
  </r>
  <r>
    <x v="0"/>
    <x v="0"/>
    <x v="0"/>
    <x v="1"/>
    <x v="2"/>
    <s v="FIN_HELS"/>
    <x v="11"/>
    <x v="2"/>
    <x v="0"/>
    <x v="0"/>
  </r>
  <r>
    <x v="0"/>
    <x v="0"/>
    <x v="0"/>
    <x v="1"/>
    <x v="2"/>
    <s v="FIN_HELS"/>
    <x v="11"/>
    <x v="3"/>
    <x v="0"/>
    <x v="0"/>
  </r>
  <r>
    <x v="0"/>
    <x v="0"/>
    <x v="0"/>
    <x v="1"/>
    <x v="2"/>
    <s v="FIN_HELS"/>
    <x v="11"/>
    <x v="4"/>
    <x v="0"/>
    <x v="0"/>
  </r>
  <r>
    <x v="0"/>
    <x v="0"/>
    <x v="0"/>
    <x v="1"/>
    <x v="2"/>
    <s v="FIN_HELS"/>
    <x v="11"/>
    <x v="5"/>
    <x v="0"/>
    <x v="0"/>
  </r>
  <r>
    <x v="0"/>
    <x v="0"/>
    <x v="0"/>
    <x v="1"/>
    <x v="2"/>
    <s v="FIN_HELS"/>
    <x v="11"/>
    <x v="6"/>
    <x v="0"/>
    <x v="0"/>
  </r>
  <r>
    <x v="0"/>
    <x v="0"/>
    <x v="0"/>
    <x v="1"/>
    <x v="2"/>
    <s v="FIN_HELS"/>
    <x v="11"/>
    <x v="7"/>
    <x v="0"/>
    <x v="0"/>
  </r>
  <r>
    <x v="0"/>
    <x v="0"/>
    <x v="0"/>
    <x v="1"/>
    <x v="2"/>
    <s v="FIN_HELS"/>
    <x v="11"/>
    <x v="8"/>
    <x v="0"/>
    <x v="0"/>
  </r>
  <r>
    <x v="0"/>
    <x v="0"/>
    <x v="0"/>
    <x v="1"/>
    <x v="2"/>
    <s v="FIN_HELS"/>
    <x v="11"/>
    <x v="9"/>
    <x v="0"/>
    <x v="0"/>
  </r>
  <r>
    <x v="0"/>
    <x v="0"/>
    <x v="0"/>
    <x v="1"/>
    <x v="2"/>
    <s v="FIN_HELS"/>
    <x v="11"/>
    <x v="10"/>
    <x v="0"/>
    <x v="0"/>
  </r>
  <r>
    <x v="0"/>
    <x v="0"/>
    <x v="0"/>
    <x v="1"/>
    <x v="2"/>
    <s v="FIN_HELS"/>
    <x v="11"/>
    <x v="11"/>
    <x v="0"/>
    <x v="0"/>
  </r>
  <r>
    <x v="0"/>
    <x v="0"/>
    <x v="0"/>
    <x v="1"/>
    <x v="2"/>
    <s v="FIN_HP"/>
    <x v="0"/>
    <x v="0"/>
    <x v="0"/>
    <x v="0"/>
  </r>
  <r>
    <x v="0"/>
    <x v="0"/>
    <x v="0"/>
    <x v="1"/>
    <x v="2"/>
    <s v="FIN_HP"/>
    <x v="0"/>
    <x v="1"/>
    <x v="0"/>
    <x v="0"/>
  </r>
  <r>
    <x v="0"/>
    <x v="0"/>
    <x v="0"/>
    <x v="1"/>
    <x v="2"/>
    <s v="FIN_HP"/>
    <x v="0"/>
    <x v="2"/>
    <x v="0"/>
    <x v="0"/>
  </r>
  <r>
    <x v="0"/>
    <x v="0"/>
    <x v="0"/>
    <x v="1"/>
    <x v="2"/>
    <s v="FIN_HP"/>
    <x v="0"/>
    <x v="3"/>
    <x v="0"/>
    <x v="0"/>
  </r>
  <r>
    <x v="0"/>
    <x v="0"/>
    <x v="0"/>
    <x v="1"/>
    <x v="2"/>
    <s v="FIN_HP"/>
    <x v="0"/>
    <x v="4"/>
    <x v="0"/>
    <x v="0"/>
  </r>
  <r>
    <x v="0"/>
    <x v="0"/>
    <x v="0"/>
    <x v="1"/>
    <x v="2"/>
    <s v="FIN_HP"/>
    <x v="0"/>
    <x v="5"/>
    <x v="0"/>
    <x v="0"/>
  </r>
  <r>
    <x v="0"/>
    <x v="0"/>
    <x v="0"/>
    <x v="1"/>
    <x v="2"/>
    <s v="FIN_HP"/>
    <x v="0"/>
    <x v="6"/>
    <x v="0"/>
    <x v="0"/>
  </r>
  <r>
    <x v="0"/>
    <x v="0"/>
    <x v="0"/>
    <x v="1"/>
    <x v="2"/>
    <s v="FIN_HP"/>
    <x v="0"/>
    <x v="7"/>
    <x v="0"/>
    <x v="0"/>
  </r>
  <r>
    <x v="0"/>
    <x v="0"/>
    <x v="0"/>
    <x v="1"/>
    <x v="2"/>
    <s v="FIN_HP"/>
    <x v="0"/>
    <x v="8"/>
    <x v="0"/>
    <x v="0"/>
  </r>
  <r>
    <x v="0"/>
    <x v="0"/>
    <x v="0"/>
    <x v="1"/>
    <x v="2"/>
    <s v="FIN_HP"/>
    <x v="0"/>
    <x v="9"/>
    <x v="0"/>
    <x v="0"/>
  </r>
  <r>
    <x v="0"/>
    <x v="0"/>
    <x v="0"/>
    <x v="1"/>
    <x v="2"/>
    <s v="FIN_HP"/>
    <x v="0"/>
    <x v="10"/>
    <x v="0"/>
    <x v="0"/>
  </r>
  <r>
    <x v="0"/>
    <x v="0"/>
    <x v="0"/>
    <x v="1"/>
    <x v="2"/>
    <s v="FIN_HP"/>
    <x v="0"/>
    <x v="11"/>
    <x v="0"/>
    <x v="0"/>
  </r>
  <r>
    <x v="0"/>
    <x v="0"/>
    <x v="0"/>
    <x v="1"/>
    <x v="2"/>
    <s v="FIN_HP"/>
    <x v="1"/>
    <x v="0"/>
    <x v="0"/>
    <x v="0"/>
  </r>
  <r>
    <x v="0"/>
    <x v="0"/>
    <x v="0"/>
    <x v="1"/>
    <x v="2"/>
    <s v="FIN_HP"/>
    <x v="1"/>
    <x v="1"/>
    <x v="0"/>
    <x v="0"/>
  </r>
  <r>
    <x v="0"/>
    <x v="0"/>
    <x v="0"/>
    <x v="1"/>
    <x v="2"/>
    <s v="FIN_HP"/>
    <x v="1"/>
    <x v="2"/>
    <x v="0"/>
    <x v="0"/>
  </r>
  <r>
    <x v="0"/>
    <x v="0"/>
    <x v="0"/>
    <x v="1"/>
    <x v="2"/>
    <s v="FIN_HP"/>
    <x v="1"/>
    <x v="3"/>
    <x v="0"/>
    <x v="0"/>
  </r>
  <r>
    <x v="0"/>
    <x v="0"/>
    <x v="0"/>
    <x v="1"/>
    <x v="2"/>
    <s v="FIN_HP"/>
    <x v="1"/>
    <x v="4"/>
    <x v="0"/>
    <x v="0"/>
  </r>
  <r>
    <x v="0"/>
    <x v="0"/>
    <x v="0"/>
    <x v="1"/>
    <x v="2"/>
    <s v="FIN_HP"/>
    <x v="1"/>
    <x v="5"/>
    <x v="0"/>
    <x v="0"/>
  </r>
  <r>
    <x v="0"/>
    <x v="0"/>
    <x v="0"/>
    <x v="1"/>
    <x v="2"/>
    <s v="FIN_HP"/>
    <x v="1"/>
    <x v="6"/>
    <x v="0"/>
    <x v="0"/>
  </r>
  <r>
    <x v="0"/>
    <x v="0"/>
    <x v="0"/>
    <x v="1"/>
    <x v="2"/>
    <s v="FIN_HP"/>
    <x v="1"/>
    <x v="7"/>
    <x v="0"/>
    <x v="0"/>
  </r>
  <r>
    <x v="0"/>
    <x v="0"/>
    <x v="0"/>
    <x v="1"/>
    <x v="2"/>
    <s v="FIN_HP"/>
    <x v="1"/>
    <x v="8"/>
    <x v="0"/>
    <x v="0"/>
  </r>
  <r>
    <x v="0"/>
    <x v="0"/>
    <x v="0"/>
    <x v="1"/>
    <x v="2"/>
    <s v="FIN_HP"/>
    <x v="1"/>
    <x v="9"/>
    <x v="0"/>
    <x v="0"/>
  </r>
  <r>
    <x v="0"/>
    <x v="0"/>
    <x v="0"/>
    <x v="1"/>
    <x v="2"/>
    <s v="FIN_HP"/>
    <x v="1"/>
    <x v="10"/>
    <x v="0"/>
    <x v="0"/>
  </r>
  <r>
    <x v="0"/>
    <x v="0"/>
    <x v="0"/>
    <x v="1"/>
    <x v="2"/>
    <s v="FIN_HP"/>
    <x v="1"/>
    <x v="11"/>
    <x v="0"/>
    <x v="0"/>
  </r>
  <r>
    <x v="0"/>
    <x v="0"/>
    <x v="0"/>
    <x v="1"/>
    <x v="2"/>
    <s v="FIN_HP"/>
    <x v="2"/>
    <x v="0"/>
    <x v="0"/>
    <x v="0"/>
  </r>
  <r>
    <x v="0"/>
    <x v="0"/>
    <x v="0"/>
    <x v="1"/>
    <x v="2"/>
    <s v="FIN_HP"/>
    <x v="2"/>
    <x v="1"/>
    <x v="0"/>
    <x v="0"/>
  </r>
  <r>
    <x v="0"/>
    <x v="0"/>
    <x v="0"/>
    <x v="1"/>
    <x v="2"/>
    <s v="FIN_HP"/>
    <x v="2"/>
    <x v="2"/>
    <x v="0"/>
    <x v="0"/>
  </r>
  <r>
    <x v="0"/>
    <x v="0"/>
    <x v="0"/>
    <x v="1"/>
    <x v="2"/>
    <s v="FIN_HP"/>
    <x v="2"/>
    <x v="3"/>
    <x v="0"/>
    <x v="0"/>
  </r>
  <r>
    <x v="0"/>
    <x v="0"/>
    <x v="0"/>
    <x v="1"/>
    <x v="2"/>
    <s v="FIN_HP"/>
    <x v="2"/>
    <x v="4"/>
    <x v="0"/>
    <x v="0"/>
  </r>
  <r>
    <x v="0"/>
    <x v="0"/>
    <x v="0"/>
    <x v="1"/>
    <x v="2"/>
    <s v="FIN_HP"/>
    <x v="2"/>
    <x v="5"/>
    <x v="0"/>
    <x v="0"/>
  </r>
  <r>
    <x v="0"/>
    <x v="0"/>
    <x v="0"/>
    <x v="1"/>
    <x v="2"/>
    <s v="FIN_HP"/>
    <x v="2"/>
    <x v="6"/>
    <x v="0"/>
    <x v="0"/>
  </r>
  <r>
    <x v="0"/>
    <x v="0"/>
    <x v="0"/>
    <x v="1"/>
    <x v="2"/>
    <s v="FIN_HP"/>
    <x v="2"/>
    <x v="7"/>
    <x v="0"/>
    <x v="0"/>
  </r>
  <r>
    <x v="0"/>
    <x v="0"/>
    <x v="0"/>
    <x v="1"/>
    <x v="2"/>
    <s v="FIN_HP"/>
    <x v="2"/>
    <x v="8"/>
    <x v="0"/>
    <x v="0"/>
  </r>
  <r>
    <x v="0"/>
    <x v="0"/>
    <x v="0"/>
    <x v="1"/>
    <x v="2"/>
    <s v="FIN_HP"/>
    <x v="2"/>
    <x v="9"/>
    <x v="0"/>
    <x v="0"/>
  </r>
  <r>
    <x v="0"/>
    <x v="0"/>
    <x v="0"/>
    <x v="1"/>
    <x v="2"/>
    <s v="FIN_HP"/>
    <x v="2"/>
    <x v="10"/>
    <x v="0"/>
    <x v="0"/>
  </r>
  <r>
    <x v="0"/>
    <x v="0"/>
    <x v="0"/>
    <x v="1"/>
    <x v="2"/>
    <s v="FIN_HP"/>
    <x v="2"/>
    <x v="11"/>
    <x v="0"/>
    <x v="0"/>
  </r>
  <r>
    <x v="0"/>
    <x v="0"/>
    <x v="0"/>
    <x v="1"/>
    <x v="2"/>
    <s v="FIN_HP"/>
    <x v="3"/>
    <x v="0"/>
    <x v="0"/>
    <x v="0"/>
  </r>
  <r>
    <x v="0"/>
    <x v="0"/>
    <x v="0"/>
    <x v="1"/>
    <x v="2"/>
    <s v="FIN_HP"/>
    <x v="3"/>
    <x v="1"/>
    <x v="0"/>
    <x v="0"/>
  </r>
  <r>
    <x v="0"/>
    <x v="0"/>
    <x v="0"/>
    <x v="1"/>
    <x v="2"/>
    <s v="FIN_HP"/>
    <x v="3"/>
    <x v="2"/>
    <x v="0"/>
    <x v="0"/>
  </r>
  <r>
    <x v="0"/>
    <x v="0"/>
    <x v="0"/>
    <x v="1"/>
    <x v="2"/>
    <s v="FIN_HP"/>
    <x v="3"/>
    <x v="3"/>
    <x v="0"/>
    <x v="0"/>
  </r>
  <r>
    <x v="0"/>
    <x v="0"/>
    <x v="0"/>
    <x v="1"/>
    <x v="2"/>
    <s v="FIN_HP"/>
    <x v="3"/>
    <x v="4"/>
    <x v="0"/>
    <x v="0"/>
  </r>
  <r>
    <x v="0"/>
    <x v="0"/>
    <x v="0"/>
    <x v="1"/>
    <x v="2"/>
    <s v="FIN_HP"/>
    <x v="3"/>
    <x v="5"/>
    <x v="0"/>
    <x v="0"/>
  </r>
  <r>
    <x v="0"/>
    <x v="0"/>
    <x v="0"/>
    <x v="1"/>
    <x v="2"/>
    <s v="FIN_HP"/>
    <x v="3"/>
    <x v="6"/>
    <x v="0"/>
    <x v="0"/>
  </r>
  <r>
    <x v="0"/>
    <x v="0"/>
    <x v="0"/>
    <x v="1"/>
    <x v="2"/>
    <s v="FIN_HP"/>
    <x v="3"/>
    <x v="7"/>
    <x v="0"/>
    <x v="0"/>
  </r>
  <r>
    <x v="0"/>
    <x v="0"/>
    <x v="0"/>
    <x v="1"/>
    <x v="2"/>
    <s v="FIN_HP"/>
    <x v="3"/>
    <x v="8"/>
    <x v="0"/>
    <x v="0"/>
  </r>
  <r>
    <x v="0"/>
    <x v="0"/>
    <x v="0"/>
    <x v="1"/>
    <x v="2"/>
    <s v="FIN_HP"/>
    <x v="3"/>
    <x v="9"/>
    <x v="0"/>
    <x v="0"/>
  </r>
  <r>
    <x v="0"/>
    <x v="0"/>
    <x v="0"/>
    <x v="1"/>
    <x v="2"/>
    <s v="FIN_HP"/>
    <x v="3"/>
    <x v="10"/>
    <x v="0"/>
    <x v="0"/>
  </r>
  <r>
    <x v="0"/>
    <x v="0"/>
    <x v="0"/>
    <x v="1"/>
    <x v="2"/>
    <s v="FIN_HP"/>
    <x v="3"/>
    <x v="11"/>
    <x v="0"/>
    <x v="0"/>
  </r>
  <r>
    <x v="0"/>
    <x v="0"/>
    <x v="0"/>
    <x v="1"/>
    <x v="2"/>
    <s v="FIN_HP"/>
    <x v="4"/>
    <x v="0"/>
    <x v="0"/>
    <x v="0"/>
  </r>
  <r>
    <x v="0"/>
    <x v="0"/>
    <x v="0"/>
    <x v="1"/>
    <x v="2"/>
    <s v="FIN_HP"/>
    <x v="4"/>
    <x v="1"/>
    <x v="0"/>
    <x v="0"/>
  </r>
  <r>
    <x v="0"/>
    <x v="0"/>
    <x v="0"/>
    <x v="1"/>
    <x v="2"/>
    <s v="FIN_HP"/>
    <x v="4"/>
    <x v="2"/>
    <x v="0"/>
    <x v="0"/>
  </r>
  <r>
    <x v="0"/>
    <x v="0"/>
    <x v="0"/>
    <x v="1"/>
    <x v="2"/>
    <s v="FIN_HP"/>
    <x v="4"/>
    <x v="3"/>
    <x v="0"/>
    <x v="0"/>
  </r>
  <r>
    <x v="0"/>
    <x v="0"/>
    <x v="0"/>
    <x v="1"/>
    <x v="2"/>
    <s v="FIN_HP"/>
    <x v="4"/>
    <x v="4"/>
    <x v="0"/>
    <x v="0"/>
  </r>
  <r>
    <x v="0"/>
    <x v="0"/>
    <x v="0"/>
    <x v="1"/>
    <x v="2"/>
    <s v="FIN_HP"/>
    <x v="4"/>
    <x v="5"/>
    <x v="0"/>
    <x v="0"/>
  </r>
  <r>
    <x v="0"/>
    <x v="0"/>
    <x v="0"/>
    <x v="1"/>
    <x v="2"/>
    <s v="FIN_HP"/>
    <x v="4"/>
    <x v="6"/>
    <x v="0"/>
    <x v="0"/>
  </r>
  <r>
    <x v="0"/>
    <x v="0"/>
    <x v="0"/>
    <x v="1"/>
    <x v="2"/>
    <s v="FIN_HP"/>
    <x v="4"/>
    <x v="7"/>
    <x v="0"/>
    <x v="0"/>
  </r>
  <r>
    <x v="0"/>
    <x v="0"/>
    <x v="0"/>
    <x v="1"/>
    <x v="2"/>
    <s v="FIN_HP"/>
    <x v="4"/>
    <x v="8"/>
    <x v="0"/>
    <x v="0"/>
  </r>
  <r>
    <x v="0"/>
    <x v="0"/>
    <x v="0"/>
    <x v="1"/>
    <x v="2"/>
    <s v="FIN_HP"/>
    <x v="4"/>
    <x v="9"/>
    <x v="0"/>
    <x v="0"/>
  </r>
  <r>
    <x v="0"/>
    <x v="0"/>
    <x v="0"/>
    <x v="1"/>
    <x v="2"/>
    <s v="FIN_HP"/>
    <x v="4"/>
    <x v="10"/>
    <x v="0"/>
    <x v="0"/>
  </r>
  <r>
    <x v="0"/>
    <x v="0"/>
    <x v="0"/>
    <x v="1"/>
    <x v="2"/>
    <s v="FIN_HP"/>
    <x v="4"/>
    <x v="11"/>
    <x v="0"/>
    <x v="0"/>
  </r>
  <r>
    <x v="0"/>
    <x v="0"/>
    <x v="0"/>
    <x v="1"/>
    <x v="2"/>
    <s v="FIN_HP"/>
    <x v="5"/>
    <x v="0"/>
    <x v="0"/>
    <x v="0"/>
  </r>
  <r>
    <x v="0"/>
    <x v="0"/>
    <x v="0"/>
    <x v="1"/>
    <x v="2"/>
    <s v="FIN_HP"/>
    <x v="5"/>
    <x v="1"/>
    <x v="0"/>
    <x v="0"/>
  </r>
  <r>
    <x v="0"/>
    <x v="0"/>
    <x v="0"/>
    <x v="1"/>
    <x v="2"/>
    <s v="FIN_HP"/>
    <x v="5"/>
    <x v="2"/>
    <x v="0"/>
    <x v="0"/>
  </r>
  <r>
    <x v="0"/>
    <x v="0"/>
    <x v="0"/>
    <x v="1"/>
    <x v="2"/>
    <s v="FIN_HP"/>
    <x v="5"/>
    <x v="3"/>
    <x v="0"/>
    <x v="0"/>
  </r>
  <r>
    <x v="0"/>
    <x v="0"/>
    <x v="0"/>
    <x v="1"/>
    <x v="2"/>
    <s v="FIN_HP"/>
    <x v="5"/>
    <x v="4"/>
    <x v="0"/>
    <x v="0"/>
  </r>
  <r>
    <x v="0"/>
    <x v="0"/>
    <x v="0"/>
    <x v="1"/>
    <x v="2"/>
    <s v="FIN_HP"/>
    <x v="5"/>
    <x v="5"/>
    <x v="0"/>
    <x v="0"/>
  </r>
  <r>
    <x v="0"/>
    <x v="0"/>
    <x v="0"/>
    <x v="1"/>
    <x v="2"/>
    <s v="FIN_HP"/>
    <x v="5"/>
    <x v="6"/>
    <x v="0"/>
    <x v="0"/>
  </r>
  <r>
    <x v="0"/>
    <x v="0"/>
    <x v="0"/>
    <x v="1"/>
    <x v="2"/>
    <s v="FIN_HP"/>
    <x v="5"/>
    <x v="7"/>
    <x v="0"/>
    <x v="0"/>
  </r>
  <r>
    <x v="0"/>
    <x v="0"/>
    <x v="0"/>
    <x v="1"/>
    <x v="2"/>
    <s v="FIN_HP"/>
    <x v="5"/>
    <x v="8"/>
    <x v="0"/>
    <x v="0"/>
  </r>
  <r>
    <x v="0"/>
    <x v="0"/>
    <x v="0"/>
    <x v="1"/>
    <x v="2"/>
    <s v="FIN_HP"/>
    <x v="5"/>
    <x v="9"/>
    <x v="0"/>
    <x v="0"/>
  </r>
  <r>
    <x v="0"/>
    <x v="0"/>
    <x v="0"/>
    <x v="1"/>
    <x v="2"/>
    <s v="FIN_HP"/>
    <x v="5"/>
    <x v="10"/>
    <x v="0"/>
    <x v="0"/>
  </r>
  <r>
    <x v="0"/>
    <x v="0"/>
    <x v="0"/>
    <x v="1"/>
    <x v="2"/>
    <s v="FIN_HP"/>
    <x v="5"/>
    <x v="11"/>
    <x v="0"/>
    <x v="0"/>
  </r>
  <r>
    <x v="0"/>
    <x v="0"/>
    <x v="0"/>
    <x v="1"/>
    <x v="2"/>
    <s v="FIN_HP"/>
    <x v="6"/>
    <x v="0"/>
    <x v="0"/>
    <x v="0"/>
  </r>
  <r>
    <x v="0"/>
    <x v="0"/>
    <x v="0"/>
    <x v="1"/>
    <x v="2"/>
    <s v="FIN_HP"/>
    <x v="6"/>
    <x v="1"/>
    <x v="0"/>
    <x v="0"/>
  </r>
  <r>
    <x v="0"/>
    <x v="0"/>
    <x v="0"/>
    <x v="1"/>
    <x v="2"/>
    <s v="FIN_HP"/>
    <x v="6"/>
    <x v="2"/>
    <x v="0"/>
    <x v="0"/>
  </r>
  <r>
    <x v="0"/>
    <x v="0"/>
    <x v="0"/>
    <x v="1"/>
    <x v="2"/>
    <s v="FIN_HP"/>
    <x v="6"/>
    <x v="3"/>
    <x v="0"/>
    <x v="0"/>
  </r>
  <r>
    <x v="0"/>
    <x v="0"/>
    <x v="0"/>
    <x v="1"/>
    <x v="2"/>
    <s v="FIN_HP"/>
    <x v="6"/>
    <x v="4"/>
    <x v="0"/>
    <x v="0"/>
  </r>
  <r>
    <x v="0"/>
    <x v="0"/>
    <x v="0"/>
    <x v="1"/>
    <x v="2"/>
    <s v="FIN_HP"/>
    <x v="6"/>
    <x v="5"/>
    <x v="0"/>
    <x v="0"/>
  </r>
  <r>
    <x v="0"/>
    <x v="0"/>
    <x v="0"/>
    <x v="1"/>
    <x v="2"/>
    <s v="FIN_HP"/>
    <x v="6"/>
    <x v="6"/>
    <x v="0"/>
    <x v="0"/>
  </r>
  <r>
    <x v="0"/>
    <x v="0"/>
    <x v="0"/>
    <x v="1"/>
    <x v="2"/>
    <s v="FIN_HP"/>
    <x v="6"/>
    <x v="7"/>
    <x v="0"/>
    <x v="0"/>
  </r>
  <r>
    <x v="0"/>
    <x v="0"/>
    <x v="0"/>
    <x v="1"/>
    <x v="2"/>
    <s v="FIN_HP"/>
    <x v="6"/>
    <x v="8"/>
    <x v="0"/>
    <x v="0"/>
  </r>
  <r>
    <x v="0"/>
    <x v="0"/>
    <x v="0"/>
    <x v="1"/>
    <x v="2"/>
    <s v="FIN_HP"/>
    <x v="6"/>
    <x v="9"/>
    <x v="0"/>
    <x v="0"/>
  </r>
  <r>
    <x v="0"/>
    <x v="0"/>
    <x v="0"/>
    <x v="1"/>
    <x v="2"/>
    <s v="FIN_HP"/>
    <x v="6"/>
    <x v="10"/>
    <x v="0"/>
    <x v="0"/>
  </r>
  <r>
    <x v="0"/>
    <x v="0"/>
    <x v="0"/>
    <x v="1"/>
    <x v="2"/>
    <s v="FIN_HP"/>
    <x v="6"/>
    <x v="11"/>
    <x v="0"/>
    <x v="0"/>
  </r>
  <r>
    <x v="0"/>
    <x v="0"/>
    <x v="0"/>
    <x v="1"/>
    <x v="2"/>
    <s v="FIN_HP"/>
    <x v="7"/>
    <x v="0"/>
    <x v="0"/>
    <x v="0"/>
  </r>
  <r>
    <x v="0"/>
    <x v="0"/>
    <x v="0"/>
    <x v="1"/>
    <x v="2"/>
    <s v="FIN_HP"/>
    <x v="7"/>
    <x v="1"/>
    <x v="0"/>
    <x v="0"/>
  </r>
  <r>
    <x v="0"/>
    <x v="0"/>
    <x v="0"/>
    <x v="1"/>
    <x v="2"/>
    <s v="FIN_HP"/>
    <x v="7"/>
    <x v="2"/>
    <x v="0"/>
    <x v="0"/>
  </r>
  <r>
    <x v="0"/>
    <x v="0"/>
    <x v="0"/>
    <x v="1"/>
    <x v="2"/>
    <s v="FIN_HP"/>
    <x v="7"/>
    <x v="3"/>
    <x v="0"/>
    <x v="0"/>
  </r>
  <r>
    <x v="0"/>
    <x v="0"/>
    <x v="0"/>
    <x v="1"/>
    <x v="2"/>
    <s v="FIN_HP"/>
    <x v="7"/>
    <x v="4"/>
    <x v="0"/>
    <x v="0"/>
  </r>
  <r>
    <x v="0"/>
    <x v="0"/>
    <x v="0"/>
    <x v="1"/>
    <x v="2"/>
    <s v="FIN_HP"/>
    <x v="7"/>
    <x v="5"/>
    <x v="0"/>
    <x v="0"/>
  </r>
  <r>
    <x v="0"/>
    <x v="0"/>
    <x v="0"/>
    <x v="1"/>
    <x v="2"/>
    <s v="FIN_HP"/>
    <x v="7"/>
    <x v="6"/>
    <x v="0"/>
    <x v="0"/>
  </r>
  <r>
    <x v="0"/>
    <x v="0"/>
    <x v="0"/>
    <x v="1"/>
    <x v="2"/>
    <s v="FIN_HP"/>
    <x v="7"/>
    <x v="7"/>
    <x v="0"/>
    <x v="0"/>
  </r>
  <r>
    <x v="0"/>
    <x v="0"/>
    <x v="0"/>
    <x v="1"/>
    <x v="2"/>
    <s v="FIN_HP"/>
    <x v="7"/>
    <x v="8"/>
    <x v="0"/>
    <x v="0"/>
  </r>
  <r>
    <x v="0"/>
    <x v="0"/>
    <x v="0"/>
    <x v="1"/>
    <x v="2"/>
    <s v="FIN_HP"/>
    <x v="7"/>
    <x v="9"/>
    <x v="0"/>
    <x v="0"/>
  </r>
  <r>
    <x v="0"/>
    <x v="0"/>
    <x v="0"/>
    <x v="1"/>
    <x v="2"/>
    <s v="FIN_HP"/>
    <x v="7"/>
    <x v="10"/>
    <x v="0"/>
    <x v="0"/>
  </r>
  <r>
    <x v="0"/>
    <x v="0"/>
    <x v="0"/>
    <x v="1"/>
    <x v="2"/>
    <s v="FIN_HP"/>
    <x v="7"/>
    <x v="11"/>
    <x v="0"/>
    <x v="0"/>
  </r>
  <r>
    <x v="0"/>
    <x v="0"/>
    <x v="0"/>
    <x v="1"/>
    <x v="2"/>
    <s v="FIN_HP"/>
    <x v="8"/>
    <x v="0"/>
    <x v="0"/>
    <x v="0"/>
  </r>
  <r>
    <x v="0"/>
    <x v="0"/>
    <x v="0"/>
    <x v="1"/>
    <x v="2"/>
    <s v="FIN_HP"/>
    <x v="8"/>
    <x v="1"/>
    <x v="0"/>
    <x v="0"/>
  </r>
  <r>
    <x v="0"/>
    <x v="0"/>
    <x v="0"/>
    <x v="1"/>
    <x v="2"/>
    <s v="FIN_HP"/>
    <x v="8"/>
    <x v="2"/>
    <x v="0"/>
    <x v="0"/>
  </r>
  <r>
    <x v="0"/>
    <x v="0"/>
    <x v="0"/>
    <x v="1"/>
    <x v="2"/>
    <s v="FIN_HP"/>
    <x v="8"/>
    <x v="3"/>
    <x v="0"/>
    <x v="0"/>
  </r>
  <r>
    <x v="0"/>
    <x v="0"/>
    <x v="0"/>
    <x v="1"/>
    <x v="2"/>
    <s v="FIN_HP"/>
    <x v="8"/>
    <x v="4"/>
    <x v="0"/>
    <x v="0"/>
  </r>
  <r>
    <x v="0"/>
    <x v="0"/>
    <x v="0"/>
    <x v="1"/>
    <x v="2"/>
    <s v="FIN_HP"/>
    <x v="8"/>
    <x v="5"/>
    <x v="0"/>
    <x v="0"/>
  </r>
  <r>
    <x v="0"/>
    <x v="0"/>
    <x v="0"/>
    <x v="1"/>
    <x v="2"/>
    <s v="FIN_HP"/>
    <x v="8"/>
    <x v="6"/>
    <x v="0"/>
    <x v="0"/>
  </r>
  <r>
    <x v="0"/>
    <x v="0"/>
    <x v="0"/>
    <x v="1"/>
    <x v="2"/>
    <s v="FIN_HP"/>
    <x v="8"/>
    <x v="7"/>
    <x v="0"/>
    <x v="0"/>
  </r>
  <r>
    <x v="0"/>
    <x v="0"/>
    <x v="0"/>
    <x v="1"/>
    <x v="2"/>
    <s v="FIN_HP"/>
    <x v="8"/>
    <x v="8"/>
    <x v="0"/>
    <x v="0"/>
  </r>
  <r>
    <x v="0"/>
    <x v="0"/>
    <x v="0"/>
    <x v="1"/>
    <x v="2"/>
    <s v="FIN_HP"/>
    <x v="8"/>
    <x v="9"/>
    <x v="0"/>
    <x v="0"/>
  </r>
  <r>
    <x v="0"/>
    <x v="0"/>
    <x v="0"/>
    <x v="1"/>
    <x v="2"/>
    <s v="FIN_HP"/>
    <x v="8"/>
    <x v="10"/>
    <x v="0"/>
    <x v="0"/>
  </r>
  <r>
    <x v="0"/>
    <x v="0"/>
    <x v="0"/>
    <x v="1"/>
    <x v="2"/>
    <s v="FIN_HP"/>
    <x v="8"/>
    <x v="11"/>
    <x v="0"/>
    <x v="0"/>
  </r>
  <r>
    <x v="0"/>
    <x v="0"/>
    <x v="0"/>
    <x v="1"/>
    <x v="2"/>
    <s v="FIN_HP"/>
    <x v="9"/>
    <x v="0"/>
    <x v="0"/>
    <x v="0"/>
  </r>
  <r>
    <x v="0"/>
    <x v="0"/>
    <x v="0"/>
    <x v="1"/>
    <x v="2"/>
    <s v="FIN_HP"/>
    <x v="9"/>
    <x v="1"/>
    <x v="0"/>
    <x v="0"/>
  </r>
  <r>
    <x v="0"/>
    <x v="0"/>
    <x v="0"/>
    <x v="1"/>
    <x v="2"/>
    <s v="FIN_HP"/>
    <x v="9"/>
    <x v="2"/>
    <x v="0"/>
    <x v="0"/>
  </r>
  <r>
    <x v="0"/>
    <x v="0"/>
    <x v="0"/>
    <x v="1"/>
    <x v="2"/>
    <s v="FIN_HP"/>
    <x v="9"/>
    <x v="3"/>
    <x v="0"/>
    <x v="0"/>
  </r>
  <r>
    <x v="0"/>
    <x v="0"/>
    <x v="0"/>
    <x v="1"/>
    <x v="2"/>
    <s v="FIN_HP"/>
    <x v="9"/>
    <x v="4"/>
    <x v="0"/>
    <x v="0"/>
  </r>
  <r>
    <x v="0"/>
    <x v="0"/>
    <x v="0"/>
    <x v="1"/>
    <x v="2"/>
    <s v="FIN_HP"/>
    <x v="9"/>
    <x v="5"/>
    <x v="0"/>
    <x v="0"/>
  </r>
  <r>
    <x v="0"/>
    <x v="0"/>
    <x v="0"/>
    <x v="1"/>
    <x v="2"/>
    <s v="FIN_HP"/>
    <x v="9"/>
    <x v="6"/>
    <x v="0"/>
    <x v="0"/>
  </r>
  <r>
    <x v="0"/>
    <x v="0"/>
    <x v="0"/>
    <x v="1"/>
    <x v="2"/>
    <s v="FIN_HP"/>
    <x v="9"/>
    <x v="7"/>
    <x v="0"/>
    <x v="0"/>
  </r>
  <r>
    <x v="0"/>
    <x v="0"/>
    <x v="0"/>
    <x v="1"/>
    <x v="2"/>
    <s v="FIN_HP"/>
    <x v="9"/>
    <x v="8"/>
    <x v="0"/>
    <x v="0"/>
  </r>
  <r>
    <x v="0"/>
    <x v="0"/>
    <x v="0"/>
    <x v="1"/>
    <x v="2"/>
    <s v="FIN_HP"/>
    <x v="9"/>
    <x v="9"/>
    <x v="0"/>
    <x v="0"/>
  </r>
  <r>
    <x v="0"/>
    <x v="0"/>
    <x v="0"/>
    <x v="1"/>
    <x v="2"/>
    <s v="FIN_HP"/>
    <x v="9"/>
    <x v="10"/>
    <x v="0"/>
    <x v="0"/>
  </r>
  <r>
    <x v="0"/>
    <x v="0"/>
    <x v="0"/>
    <x v="1"/>
    <x v="2"/>
    <s v="FIN_HP"/>
    <x v="9"/>
    <x v="11"/>
    <x v="0"/>
    <x v="0"/>
  </r>
  <r>
    <x v="0"/>
    <x v="0"/>
    <x v="0"/>
    <x v="1"/>
    <x v="2"/>
    <s v="FIN_HP"/>
    <x v="10"/>
    <x v="0"/>
    <x v="0"/>
    <x v="0"/>
  </r>
  <r>
    <x v="0"/>
    <x v="0"/>
    <x v="0"/>
    <x v="1"/>
    <x v="2"/>
    <s v="FIN_HP"/>
    <x v="10"/>
    <x v="1"/>
    <x v="0"/>
    <x v="0"/>
  </r>
  <r>
    <x v="0"/>
    <x v="0"/>
    <x v="0"/>
    <x v="1"/>
    <x v="2"/>
    <s v="FIN_HP"/>
    <x v="10"/>
    <x v="2"/>
    <x v="0"/>
    <x v="0"/>
  </r>
  <r>
    <x v="0"/>
    <x v="0"/>
    <x v="0"/>
    <x v="1"/>
    <x v="2"/>
    <s v="FIN_HP"/>
    <x v="10"/>
    <x v="3"/>
    <x v="0"/>
    <x v="0"/>
  </r>
  <r>
    <x v="0"/>
    <x v="0"/>
    <x v="0"/>
    <x v="1"/>
    <x v="2"/>
    <s v="FIN_HP"/>
    <x v="10"/>
    <x v="4"/>
    <x v="0"/>
    <x v="0"/>
  </r>
  <r>
    <x v="0"/>
    <x v="0"/>
    <x v="0"/>
    <x v="1"/>
    <x v="2"/>
    <s v="FIN_HP"/>
    <x v="10"/>
    <x v="5"/>
    <x v="0"/>
    <x v="0"/>
  </r>
  <r>
    <x v="0"/>
    <x v="0"/>
    <x v="0"/>
    <x v="1"/>
    <x v="2"/>
    <s v="FIN_HP"/>
    <x v="10"/>
    <x v="6"/>
    <x v="0"/>
    <x v="0"/>
  </r>
  <r>
    <x v="0"/>
    <x v="0"/>
    <x v="0"/>
    <x v="1"/>
    <x v="2"/>
    <s v="FIN_HP"/>
    <x v="10"/>
    <x v="7"/>
    <x v="0"/>
    <x v="0"/>
  </r>
  <r>
    <x v="0"/>
    <x v="0"/>
    <x v="0"/>
    <x v="1"/>
    <x v="2"/>
    <s v="FIN_HP"/>
    <x v="10"/>
    <x v="8"/>
    <x v="0"/>
    <x v="0"/>
  </r>
  <r>
    <x v="0"/>
    <x v="0"/>
    <x v="0"/>
    <x v="1"/>
    <x v="2"/>
    <s v="FIN_HP"/>
    <x v="10"/>
    <x v="9"/>
    <x v="0"/>
    <x v="0"/>
  </r>
  <r>
    <x v="0"/>
    <x v="0"/>
    <x v="0"/>
    <x v="1"/>
    <x v="2"/>
    <s v="FIN_HP"/>
    <x v="10"/>
    <x v="10"/>
    <x v="0"/>
    <x v="0"/>
  </r>
  <r>
    <x v="0"/>
    <x v="0"/>
    <x v="0"/>
    <x v="1"/>
    <x v="2"/>
    <s v="FIN_HP"/>
    <x v="10"/>
    <x v="11"/>
    <x v="0"/>
    <x v="0"/>
  </r>
  <r>
    <x v="0"/>
    <x v="0"/>
    <x v="0"/>
    <x v="1"/>
    <x v="2"/>
    <s v="FIN_HP"/>
    <x v="11"/>
    <x v="0"/>
    <x v="0"/>
    <x v="0"/>
  </r>
  <r>
    <x v="0"/>
    <x v="0"/>
    <x v="0"/>
    <x v="1"/>
    <x v="2"/>
    <s v="FIN_HP"/>
    <x v="11"/>
    <x v="1"/>
    <x v="0"/>
    <x v="0"/>
  </r>
  <r>
    <x v="0"/>
    <x v="0"/>
    <x v="0"/>
    <x v="1"/>
    <x v="2"/>
    <s v="FIN_HP"/>
    <x v="11"/>
    <x v="2"/>
    <x v="0"/>
    <x v="0"/>
  </r>
  <r>
    <x v="0"/>
    <x v="0"/>
    <x v="0"/>
    <x v="1"/>
    <x v="2"/>
    <s v="FIN_HP"/>
    <x v="11"/>
    <x v="3"/>
    <x v="0"/>
    <x v="0"/>
  </r>
  <r>
    <x v="0"/>
    <x v="0"/>
    <x v="0"/>
    <x v="1"/>
    <x v="2"/>
    <s v="FIN_HP"/>
    <x v="11"/>
    <x v="4"/>
    <x v="0"/>
    <x v="0"/>
  </r>
  <r>
    <x v="0"/>
    <x v="0"/>
    <x v="0"/>
    <x v="1"/>
    <x v="2"/>
    <s v="FIN_HP"/>
    <x v="11"/>
    <x v="5"/>
    <x v="0"/>
    <x v="0"/>
  </r>
  <r>
    <x v="0"/>
    <x v="0"/>
    <x v="0"/>
    <x v="1"/>
    <x v="2"/>
    <s v="FIN_HP"/>
    <x v="11"/>
    <x v="6"/>
    <x v="0"/>
    <x v="0"/>
  </r>
  <r>
    <x v="0"/>
    <x v="0"/>
    <x v="0"/>
    <x v="1"/>
    <x v="2"/>
    <s v="FIN_HP"/>
    <x v="11"/>
    <x v="7"/>
    <x v="0"/>
    <x v="0"/>
  </r>
  <r>
    <x v="0"/>
    <x v="0"/>
    <x v="0"/>
    <x v="1"/>
    <x v="2"/>
    <s v="FIN_HP"/>
    <x v="11"/>
    <x v="8"/>
    <x v="0"/>
    <x v="0"/>
  </r>
  <r>
    <x v="0"/>
    <x v="0"/>
    <x v="0"/>
    <x v="1"/>
    <x v="2"/>
    <s v="FIN_HP"/>
    <x v="11"/>
    <x v="9"/>
    <x v="0"/>
    <x v="0"/>
  </r>
  <r>
    <x v="0"/>
    <x v="0"/>
    <x v="0"/>
    <x v="1"/>
    <x v="2"/>
    <s v="FIN_HP"/>
    <x v="11"/>
    <x v="10"/>
    <x v="0"/>
    <x v="0"/>
  </r>
  <r>
    <x v="0"/>
    <x v="0"/>
    <x v="0"/>
    <x v="1"/>
    <x v="2"/>
    <s v="FIN_HP"/>
    <x v="11"/>
    <x v="11"/>
    <x v="0"/>
    <x v="0"/>
  </r>
  <r>
    <x v="0"/>
    <x v="0"/>
    <x v="0"/>
    <x v="1"/>
    <x v="2"/>
    <s v="FIN_OTHER"/>
    <x v="0"/>
    <x v="0"/>
    <x v="0"/>
    <x v="0"/>
  </r>
  <r>
    <x v="0"/>
    <x v="0"/>
    <x v="0"/>
    <x v="1"/>
    <x v="2"/>
    <s v="FIN_OTHER"/>
    <x v="0"/>
    <x v="1"/>
    <x v="0"/>
    <x v="0"/>
  </r>
  <r>
    <x v="0"/>
    <x v="0"/>
    <x v="0"/>
    <x v="1"/>
    <x v="2"/>
    <s v="FIN_OTHER"/>
    <x v="0"/>
    <x v="2"/>
    <x v="0"/>
    <x v="0"/>
  </r>
  <r>
    <x v="0"/>
    <x v="0"/>
    <x v="0"/>
    <x v="1"/>
    <x v="2"/>
    <s v="FIN_OTHER"/>
    <x v="0"/>
    <x v="3"/>
    <x v="0"/>
    <x v="0"/>
  </r>
  <r>
    <x v="0"/>
    <x v="0"/>
    <x v="0"/>
    <x v="1"/>
    <x v="2"/>
    <s v="FIN_OTHER"/>
    <x v="0"/>
    <x v="4"/>
    <x v="0"/>
    <x v="0"/>
  </r>
  <r>
    <x v="0"/>
    <x v="0"/>
    <x v="0"/>
    <x v="1"/>
    <x v="2"/>
    <s v="FIN_OTHER"/>
    <x v="0"/>
    <x v="5"/>
    <x v="0"/>
    <x v="0"/>
  </r>
  <r>
    <x v="0"/>
    <x v="0"/>
    <x v="0"/>
    <x v="1"/>
    <x v="2"/>
    <s v="FIN_OTHER"/>
    <x v="0"/>
    <x v="6"/>
    <x v="0"/>
    <x v="0"/>
  </r>
  <r>
    <x v="0"/>
    <x v="0"/>
    <x v="0"/>
    <x v="1"/>
    <x v="2"/>
    <s v="FIN_OTHER"/>
    <x v="0"/>
    <x v="7"/>
    <x v="0"/>
    <x v="0"/>
  </r>
  <r>
    <x v="0"/>
    <x v="0"/>
    <x v="0"/>
    <x v="1"/>
    <x v="2"/>
    <s v="FIN_OTHER"/>
    <x v="0"/>
    <x v="8"/>
    <x v="0"/>
    <x v="0"/>
  </r>
  <r>
    <x v="0"/>
    <x v="0"/>
    <x v="0"/>
    <x v="1"/>
    <x v="2"/>
    <s v="FIN_OTHER"/>
    <x v="0"/>
    <x v="9"/>
    <x v="0"/>
    <x v="0"/>
  </r>
  <r>
    <x v="0"/>
    <x v="0"/>
    <x v="0"/>
    <x v="1"/>
    <x v="2"/>
    <s v="FIN_OTHER"/>
    <x v="0"/>
    <x v="10"/>
    <x v="0"/>
    <x v="0"/>
  </r>
  <r>
    <x v="0"/>
    <x v="0"/>
    <x v="0"/>
    <x v="1"/>
    <x v="2"/>
    <s v="FIN_OTHER"/>
    <x v="0"/>
    <x v="11"/>
    <x v="0"/>
    <x v="0"/>
  </r>
  <r>
    <x v="0"/>
    <x v="0"/>
    <x v="0"/>
    <x v="1"/>
    <x v="2"/>
    <s v="FIN_OTHER"/>
    <x v="1"/>
    <x v="0"/>
    <x v="0"/>
    <x v="0"/>
  </r>
  <r>
    <x v="0"/>
    <x v="0"/>
    <x v="0"/>
    <x v="1"/>
    <x v="2"/>
    <s v="FIN_OTHER"/>
    <x v="1"/>
    <x v="1"/>
    <x v="0"/>
    <x v="0"/>
  </r>
  <r>
    <x v="0"/>
    <x v="0"/>
    <x v="0"/>
    <x v="1"/>
    <x v="2"/>
    <s v="FIN_OTHER"/>
    <x v="1"/>
    <x v="2"/>
    <x v="0"/>
    <x v="0"/>
  </r>
  <r>
    <x v="0"/>
    <x v="0"/>
    <x v="0"/>
    <x v="1"/>
    <x v="2"/>
    <s v="FIN_OTHER"/>
    <x v="1"/>
    <x v="3"/>
    <x v="0"/>
    <x v="0"/>
  </r>
  <r>
    <x v="0"/>
    <x v="0"/>
    <x v="0"/>
    <x v="1"/>
    <x v="2"/>
    <s v="FIN_OTHER"/>
    <x v="1"/>
    <x v="4"/>
    <x v="0"/>
    <x v="0"/>
  </r>
  <r>
    <x v="0"/>
    <x v="0"/>
    <x v="0"/>
    <x v="1"/>
    <x v="2"/>
    <s v="FIN_OTHER"/>
    <x v="1"/>
    <x v="5"/>
    <x v="0"/>
    <x v="0"/>
  </r>
  <r>
    <x v="0"/>
    <x v="0"/>
    <x v="0"/>
    <x v="1"/>
    <x v="2"/>
    <s v="FIN_OTHER"/>
    <x v="1"/>
    <x v="6"/>
    <x v="0"/>
    <x v="0"/>
  </r>
  <r>
    <x v="0"/>
    <x v="0"/>
    <x v="0"/>
    <x v="1"/>
    <x v="2"/>
    <s v="FIN_OTHER"/>
    <x v="1"/>
    <x v="7"/>
    <x v="0"/>
    <x v="0"/>
  </r>
  <r>
    <x v="0"/>
    <x v="0"/>
    <x v="0"/>
    <x v="1"/>
    <x v="2"/>
    <s v="FIN_OTHER"/>
    <x v="1"/>
    <x v="8"/>
    <x v="0"/>
    <x v="0"/>
  </r>
  <r>
    <x v="0"/>
    <x v="0"/>
    <x v="0"/>
    <x v="1"/>
    <x v="2"/>
    <s v="FIN_OTHER"/>
    <x v="1"/>
    <x v="9"/>
    <x v="0"/>
    <x v="0"/>
  </r>
  <r>
    <x v="0"/>
    <x v="0"/>
    <x v="0"/>
    <x v="1"/>
    <x v="2"/>
    <s v="FIN_OTHER"/>
    <x v="1"/>
    <x v="10"/>
    <x v="0"/>
    <x v="0"/>
  </r>
  <r>
    <x v="0"/>
    <x v="0"/>
    <x v="0"/>
    <x v="1"/>
    <x v="2"/>
    <s v="FIN_OTHER"/>
    <x v="1"/>
    <x v="11"/>
    <x v="0"/>
    <x v="0"/>
  </r>
  <r>
    <x v="0"/>
    <x v="0"/>
    <x v="0"/>
    <x v="1"/>
    <x v="2"/>
    <s v="FIN_OTHER"/>
    <x v="2"/>
    <x v="0"/>
    <x v="0"/>
    <x v="0"/>
  </r>
  <r>
    <x v="0"/>
    <x v="0"/>
    <x v="0"/>
    <x v="1"/>
    <x v="2"/>
    <s v="FIN_OTHER"/>
    <x v="2"/>
    <x v="1"/>
    <x v="0"/>
    <x v="0"/>
  </r>
  <r>
    <x v="0"/>
    <x v="0"/>
    <x v="0"/>
    <x v="1"/>
    <x v="2"/>
    <s v="FIN_OTHER"/>
    <x v="2"/>
    <x v="2"/>
    <x v="0"/>
    <x v="0"/>
  </r>
  <r>
    <x v="0"/>
    <x v="0"/>
    <x v="0"/>
    <x v="1"/>
    <x v="2"/>
    <s v="FIN_OTHER"/>
    <x v="2"/>
    <x v="3"/>
    <x v="0"/>
    <x v="0"/>
  </r>
  <r>
    <x v="0"/>
    <x v="0"/>
    <x v="0"/>
    <x v="1"/>
    <x v="2"/>
    <s v="FIN_OTHER"/>
    <x v="2"/>
    <x v="4"/>
    <x v="0"/>
    <x v="0"/>
  </r>
  <r>
    <x v="0"/>
    <x v="0"/>
    <x v="0"/>
    <x v="1"/>
    <x v="2"/>
    <s v="FIN_OTHER"/>
    <x v="2"/>
    <x v="5"/>
    <x v="0"/>
    <x v="0"/>
  </r>
  <r>
    <x v="0"/>
    <x v="0"/>
    <x v="0"/>
    <x v="1"/>
    <x v="2"/>
    <s v="FIN_OTHER"/>
    <x v="2"/>
    <x v="6"/>
    <x v="0"/>
    <x v="0"/>
  </r>
  <r>
    <x v="0"/>
    <x v="0"/>
    <x v="0"/>
    <x v="1"/>
    <x v="2"/>
    <s v="FIN_OTHER"/>
    <x v="2"/>
    <x v="7"/>
    <x v="0"/>
    <x v="0"/>
  </r>
  <r>
    <x v="0"/>
    <x v="0"/>
    <x v="0"/>
    <x v="1"/>
    <x v="2"/>
    <s v="FIN_OTHER"/>
    <x v="2"/>
    <x v="8"/>
    <x v="0"/>
    <x v="0"/>
  </r>
  <r>
    <x v="0"/>
    <x v="0"/>
    <x v="0"/>
    <x v="1"/>
    <x v="2"/>
    <s v="FIN_OTHER"/>
    <x v="2"/>
    <x v="9"/>
    <x v="0"/>
    <x v="0"/>
  </r>
  <r>
    <x v="0"/>
    <x v="0"/>
    <x v="0"/>
    <x v="1"/>
    <x v="2"/>
    <s v="FIN_OTHER"/>
    <x v="2"/>
    <x v="10"/>
    <x v="0"/>
    <x v="0"/>
  </r>
  <r>
    <x v="0"/>
    <x v="0"/>
    <x v="0"/>
    <x v="1"/>
    <x v="2"/>
    <s v="FIN_OTHER"/>
    <x v="2"/>
    <x v="11"/>
    <x v="0"/>
    <x v="0"/>
  </r>
  <r>
    <x v="0"/>
    <x v="0"/>
    <x v="0"/>
    <x v="1"/>
    <x v="2"/>
    <s v="FIN_OTHER"/>
    <x v="3"/>
    <x v="0"/>
    <x v="0"/>
    <x v="0"/>
  </r>
  <r>
    <x v="0"/>
    <x v="0"/>
    <x v="0"/>
    <x v="1"/>
    <x v="2"/>
    <s v="FIN_OTHER"/>
    <x v="3"/>
    <x v="1"/>
    <x v="0"/>
    <x v="0"/>
  </r>
  <r>
    <x v="0"/>
    <x v="0"/>
    <x v="0"/>
    <x v="1"/>
    <x v="2"/>
    <s v="FIN_OTHER"/>
    <x v="3"/>
    <x v="2"/>
    <x v="0"/>
    <x v="0"/>
  </r>
  <r>
    <x v="0"/>
    <x v="0"/>
    <x v="0"/>
    <x v="1"/>
    <x v="2"/>
    <s v="FIN_OTHER"/>
    <x v="3"/>
    <x v="3"/>
    <x v="0"/>
    <x v="0"/>
  </r>
  <r>
    <x v="0"/>
    <x v="0"/>
    <x v="0"/>
    <x v="1"/>
    <x v="2"/>
    <s v="FIN_OTHER"/>
    <x v="3"/>
    <x v="4"/>
    <x v="0"/>
    <x v="0"/>
  </r>
  <r>
    <x v="0"/>
    <x v="0"/>
    <x v="0"/>
    <x v="1"/>
    <x v="2"/>
    <s v="FIN_OTHER"/>
    <x v="3"/>
    <x v="5"/>
    <x v="0"/>
    <x v="0"/>
  </r>
  <r>
    <x v="0"/>
    <x v="0"/>
    <x v="0"/>
    <x v="1"/>
    <x v="2"/>
    <s v="FIN_OTHER"/>
    <x v="3"/>
    <x v="6"/>
    <x v="0"/>
    <x v="0"/>
  </r>
  <r>
    <x v="0"/>
    <x v="0"/>
    <x v="0"/>
    <x v="1"/>
    <x v="2"/>
    <s v="FIN_OTHER"/>
    <x v="3"/>
    <x v="7"/>
    <x v="0"/>
    <x v="0"/>
  </r>
  <r>
    <x v="0"/>
    <x v="0"/>
    <x v="0"/>
    <x v="1"/>
    <x v="2"/>
    <s v="FIN_OTHER"/>
    <x v="3"/>
    <x v="8"/>
    <x v="0"/>
    <x v="0"/>
  </r>
  <r>
    <x v="0"/>
    <x v="0"/>
    <x v="0"/>
    <x v="1"/>
    <x v="2"/>
    <s v="FIN_OTHER"/>
    <x v="3"/>
    <x v="9"/>
    <x v="0"/>
    <x v="0"/>
  </r>
  <r>
    <x v="0"/>
    <x v="0"/>
    <x v="0"/>
    <x v="1"/>
    <x v="2"/>
    <s v="FIN_OTHER"/>
    <x v="3"/>
    <x v="10"/>
    <x v="0"/>
    <x v="0"/>
  </r>
  <r>
    <x v="0"/>
    <x v="0"/>
    <x v="0"/>
    <x v="1"/>
    <x v="2"/>
    <s v="FIN_OTHER"/>
    <x v="3"/>
    <x v="11"/>
    <x v="0"/>
    <x v="0"/>
  </r>
  <r>
    <x v="0"/>
    <x v="0"/>
    <x v="0"/>
    <x v="1"/>
    <x v="2"/>
    <s v="FIN_OTHER"/>
    <x v="4"/>
    <x v="0"/>
    <x v="0"/>
    <x v="0"/>
  </r>
  <r>
    <x v="0"/>
    <x v="0"/>
    <x v="0"/>
    <x v="1"/>
    <x v="2"/>
    <s v="FIN_OTHER"/>
    <x v="4"/>
    <x v="1"/>
    <x v="0"/>
    <x v="0"/>
  </r>
  <r>
    <x v="0"/>
    <x v="0"/>
    <x v="0"/>
    <x v="1"/>
    <x v="2"/>
    <s v="FIN_OTHER"/>
    <x v="4"/>
    <x v="2"/>
    <x v="0"/>
    <x v="0"/>
  </r>
  <r>
    <x v="0"/>
    <x v="0"/>
    <x v="0"/>
    <x v="1"/>
    <x v="2"/>
    <s v="FIN_OTHER"/>
    <x v="4"/>
    <x v="3"/>
    <x v="0"/>
    <x v="0"/>
  </r>
  <r>
    <x v="0"/>
    <x v="0"/>
    <x v="0"/>
    <x v="1"/>
    <x v="2"/>
    <s v="FIN_OTHER"/>
    <x v="4"/>
    <x v="4"/>
    <x v="0"/>
    <x v="0"/>
  </r>
  <r>
    <x v="0"/>
    <x v="0"/>
    <x v="0"/>
    <x v="1"/>
    <x v="2"/>
    <s v="FIN_OTHER"/>
    <x v="4"/>
    <x v="5"/>
    <x v="0"/>
    <x v="0"/>
  </r>
  <r>
    <x v="0"/>
    <x v="0"/>
    <x v="0"/>
    <x v="1"/>
    <x v="2"/>
    <s v="FIN_OTHER"/>
    <x v="4"/>
    <x v="6"/>
    <x v="0"/>
    <x v="0"/>
  </r>
  <r>
    <x v="0"/>
    <x v="0"/>
    <x v="0"/>
    <x v="1"/>
    <x v="2"/>
    <s v="FIN_OTHER"/>
    <x v="4"/>
    <x v="7"/>
    <x v="0"/>
    <x v="0"/>
  </r>
  <r>
    <x v="0"/>
    <x v="0"/>
    <x v="0"/>
    <x v="1"/>
    <x v="2"/>
    <s v="FIN_OTHER"/>
    <x v="4"/>
    <x v="8"/>
    <x v="0"/>
    <x v="0"/>
  </r>
  <r>
    <x v="0"/>
    <x v="0"/>
    <x v="0"/>
    <x v="1"/>
    <x v="2"/>
    <s v="FIN_OTHER"/>
    <x v="4"/>
    <x v="9"/>
    <x v="0"/>
    <x v="0"/>
  </r>
  <r>
    <x v="0"/>
    <x v="0"/>
    <x v="0"/>
    <x v="1"/>
    <x v="2"/>
    <s v="FIN_OTHER"/>
    <x v="4"/>
    <x v="10"/>
    <x v="0"/>
    <x v="0"/>
  </r>
  <r>
    <x v="0"/>
    <x v="0"/>
    <x v="0"/>
    <x v="1"/>
    <x v="2"/>
    <s v="FIN_OTHER"/>
    <x v="4"/>
    <x v="11"/>
    <x v="0"/>
    <x v="0"/>
  </r>
  <r>
    <x v="0"/>
    <x v="0"/>
    <x v="0"/>
    <x v="1"/>
    <x v="2"/>
    <s v="FIN_OTHER"/>
    <x v="5"/>
    <x v="0"/>
    <x v="0"/>
    <x v="0"/>
  </r>
  <r>
    <x v="0"/>
    <x v="0"/>
    <x v="0"/>
    <x v="1"/>
    <x v="2"/>
    <s v="FIN_OTHER"/>
    <x v="5"/>
    <x v="1"/>
    <x v="0"/>
    <x v="0"/>
  </r>
  <r>
    <x v="0"/>
    <x v="0"/>
    <x v="0"/>
    <x v="1"/>
    <x v="2"/>
    <s v="FIN_OTHER"/>
    <x v="5"/>
    <x v="2"/>
    <x v="0"/>
    <x v="0"/>
  </r>
  <r>
    <x v="0"/>
    <x v="0"/>
    <x v="0"/>
    <x v="1"/>
    <x v="2"/>
    <s v="FIN_OTHER"/>
    <x v="5"/>
    <x v="3"/>
    <x v="0"/>
    <x v="0"/>
  </r>
  <r>
    <x v="0"/>
    <x v="0"/>
    <x v="0"/>
    <x v="1"/>
    <x v="2"/>
    <s v="FIN_OTHER"/>
    <x v="5"/>
    <x v="4"/>
    <x v="0"/>
    <x v="0"/>
  </r>
  <r>
    <x v="0"/>
    <x v="0"/>
    <x v="0"/>
    <x v="1"/>
    <x v="2"/>
    <s v="FIN_OTHER"/>
    <x v="5"/>
    <x v="5"/>
    <x v="0"/>
    <x v="0"/>
  </r>
  <r>
    <x v="0"/>
    <x v="0"/>
    <x v="0"/>
    <x v="1"/>
    <x v="2"/>
    <s v="FIN_OTHER"/>
    <x v="5"/>
    <x v="6"/>
    <x v="0"/>
    <x v="0"/>
  </r>
  <r>
    <x v="0"/>
    <x v="0"/>
    <x v="0"/>
    <x v="1"/>
    <x v="2"/>
    <s v="FIN_OTHER"/>
    <x v="5"/>
    <x v="7"/>
    <x v="0"/>
    <x v="0"/>
  </r>
  <r>
    <x v="0"/>
    <x v="0"/>
    <x v="0"/>
    <x v="1"/>
    <x v="2"/>
    <s v="FIN_OTHER"/>
    <x v="5"/>
    <x v="8"/>
    <x v="0"/>
    <x v="0"/>
  </r>
  <r>
    <x v="0"/>
    <x v="0"/>
    <x v="0"/>
    <x v="1"/>
    <x v="2"/>
    <s v="FIN_OTHER"/>
    <x v="5"/>
    <x v="9"/>
    <x v="0"/>
    <x v="0"/>
  </r>
  <r>
    <x v="0"/>
    <x v="0"/>
    <x v="0"/>
    <x v="1"/>
    <x v="2"/>
    <s v="FIN_OTHER"/>
    <x v="5"/>
    <x v="10"/>
    <x v="0"/>
    <x v="0"/>
  </r>
  <r>
    <x v="0"/>
    <x v="0"/>
    <x v="0"/>
    <x v="1"/>
    <x v="2"/>
    <s v="FIN_OTHER"/>
    <x v="5"/>
    <x v="11"/>
    <x v="0"/>
    <x v="0"/>
  </r>
  <r>
    <x v="0"/>
    <x v="0"/>
    <x v="0"/>
    <x v="1"/>
    <x v="2"/>
    <s v="FIN_OTHER"/>
    <x v="6"/>
    <x v="0"/>
    <x v="0"/>
    <x v="0"/>
  </r>
  <r>
    <x v="0"/>
    <x v="0"/>
    <x v="0"/>
    <x v="1"/>
    <x v="2"/>
    <s v="FIN_OTHER"/>
    <x v="6"/>
    <x v="1"/>
    <x v="0"/>
    <x v="0"/>
  </r>
  <r>
    <x v="0"/>
    <x v="0"/>
    <x v="0"/>
    <x v="1"/>
    <x v="2"/>
    <s v="FIN_OTHER"/>
    <x v="6"/>
    <x v="2"/>
    <x v="0"/>
    <x v="0"/>
  </r>
  <r>
    <x v="0"/>
    <x v="0"/>
    <x v="0"/>
    <x v="1"/>
    <x v="2"/>
    <s v="FIN_OTHER"/>
    <x v="6"/>
    <x v="3"/>
    <x v="0"/>
    <x v="0"/>
  </r>
  <r>
    <x v="0"/>
    <x v="0"/>
    <x v="0"/>
    <x v="1"/>
    <x v="2"/>
    <s v="FIN_OTHER"/>
    <x v="6"/>
    <x v="4"/>
    <x v="0"/>
    <x v="0"/>
  </r>
  <r>
    <x v="0"/>
    <x v="0"/>
    <x v="0"/>
    <x v="1"/>
    <x v="2"/>
    <s v="FIN_OTHER"/>
    <x v="6"/>
    <x v="5"/>
    <x v="0"/>
    <x v="0"/>
  </r>
  <r>
    <x v="0"/>
    <x v="0"/>
    <x v="0"/>
    <x v="1"/>
    <x v="2"/>
    <s v="FIN_OTHER"/>
    <x v="6"/>
    <x v="6"/>
    <x v="0"/>
    <x v="0"/>
  </r>
  <r>
    <x v="0"/>
    <x v="0"/>
    <x v="0"/>
    <x v="1"/>
    <x v="2"/>
    <s v="FIN_OTHER"/>
    <x v="6"/>
    <x v="7"/>
    <x v="0"/>
    <x v="0"/>
  </r>
  <r>
    <x v="0"/>
    <x v="0"/>
    <x v="0"/>
    <x v="1"/>
    <x v="2"/>
    <s v="FIN_OTHER"/>
    <x v="6"/>
    <x v="8"/>
    <x v="0"/>
    <x v="0"/>
  </r>
  <r>
    <x v="0"/>
    <x v="0"/>
    <x v="0"/>
    <x v="1"/>
    <x v="2"/>
    <s v="FIN_OTHER"/>
    <x v="6"/>
    <x v="9"/>
    <x v="0"/>
    <x v="0"/>
  </r>
  <r>
    <x v="0"/>
    <x v="0"/>
    <x v="0"/>
    <x v="1"/>
    <x v="2"/>
    <s v="FIN_OTHER"/>
    <x v="6"/>
    <x v="10"/>
    <x v="0"/>
    <x v="0"/>
  </r>
  <r>
    <x v="0"/>
    <x v="0"/>
    <x v="0"/>
    <x v="1"/>
    <x v="2"/>
    <s v="FIN_OTHER"/>
    <x v="6"/>
    <x v="11"/>
    <x v="0"/>
    <x v="0"/>
  </r>
  <r>
    <x v="0"/>
    <x v="0"/>
    <x v="0"/>
    <x v="1"/>
    <x v="2"/>
    <s v="FIN_OTHER"/>
    <x v="7"/>
    <x v="0"/>
    <x v="0"/>
    <x v="0"/>
  </r>
  <r>
    <x v="0"/>
    <x v="0"/>
    <x v="0"/>
    <x v="1"/>
    <x v="2"/>
    <s v="FIN_OTHER"/>
    <x v="7"/>
    <x v="1"/>
    <x v="0"/>
    <x v="0"/>
  </r>
  <r>
    <x v="0"/>
    <x v="0"/>
    <x v="0"/>
    <x v="1"/>
    <x v="2"/>
    <s v="FIN_OTHER"/>
    <x v="7"/>
    <x v="2"/>
    <x v="0"/>
    <x v="0"/>
  </r>
  <r>
    <x v="0"/>
    <x v="0"/>
    <x v="0"/>
    <x v="1"/>
    <x v="2"/>
    <s v="FIN_OTHER"/>
    <x v="7"/>
    <x v="3"/>
    <x v="0"/>
    <x v="0"/>
  </r>
  <r>
    <x v="0"/>
    <x v="0"/>
    <x v="0"/>
    <x v="1"/>
    <x v="2"/>
    <s v="FIN_OTHER"/>
    <x v="7"/>
    <x v="4"/>
    <x v="0"/>
    <x v="0"/>
  </r>
  <r>
    <x v="0"/>
    <x v="0"/>
    <x v="0"/>
    <x v="1"/>
    <x v="2"/>
    <s v="FIN_OTHER"/>
    <x v="7"/>
    <x v="5"/>
    <x v="0"/>
    <x v="0"/>
  </r>
  <r>
    <x v="0"/>
    <x v="0"/>
    <x v="0"/>
    <x v="1"/>
    <x v="2"/>
    <s v="FIN_OTHER"/>
    <x v="7"/>
    <x v="6"/>
    <x v="0"/>
    <x v="0"/>
  </r>
  <r>
    <x v="0"/>
    <x v="0"/>
    <x v="0"/>
    <x v="1"/>
    <x v="2"/>
    <s v="FIN_OTHER"/>
    <x v="7"/>
    <x v="7"/>
    <x v="0"/>
    <x v="0"/>
  </r>
  <r>
    <x v="0"/>
    <x v="0"/>
    <x v="0"/>
    <x v="1"/>
    <x v="2"/>
    <s v="FIN_OTHER"/>
    <x v="7"/>
    <x v="8"/>
    <x v="0"/>
    <x v="0"/>
  </r>
  <r>
    <x v="0"/>
    <x v="0"/>
    <x v="0"/>
    <x v="1"/>
    <x v="2"/>
    <s v="FIN_OTHER"/>
    <x v="7"/>
    <x v="9"/>
    <x v="0"/>
    <x v="0"/>
  </r>
  <r>
    <x v="0"/>
    <x v="0"/>
    <x v="0"/>
    <x v="1"/>
    <x v="2"/>
    <s v="FIN_OTHER"/>
    <x v="7"/>
    <x v="10"/>
    <x v="0"/>
    <x v="0"/>
  </r>
  <r>
    <x v="0"/>
    <x v="0"/>
    <x v="0"/>
    <x v="1"/>
    <x v="2"/>
    <s v="FIN_OTHER"/>
    <x v="7"/>
    <x v="11"/>
    <x v="0"/>
    <x v="0"/>
  </r>
  <r>
    <x v="0"/>
    <x v="0"/>
    <x v="0"/>
    <x v="1"/>
    <x v="2"/>
    <s v="FIN_OTHER"/>
    <x v="8"/>
    <x v="0"/>
    <x v="0"/>
    <x v="0"/>
  </r>
  <r>
    <x v="0"/>
    <x v="0"/>
    <x v="0"/>
    <x v="1"/>
    <x v="2"/>
    <s v="FIN_OTHER"/>
    <x v="8"/>
    <x v="1"/>
    <x v="0"/>
    <x v="0"/>
  </r>
  <r>
    <x v="0"/>
    <x v="0"/>
    <x v="0"/>
    <x v="1"/>
    <x v="2"/>
    <s v="FIN_OTHER"/>
    <x v="8"/>
    <x v="2"/>
    <x v="0"/>
    <x v="0"/>
  </r>
  <r>
    <x v="0"/>
    <x v="0"/>
    <x v="0"/>
    <x v="1"/>
    <x v="2"/>
    <s v="FIN_OTHER"/>
    <x v="8"/>
    <x v="3"/>
    <x v="0"/>
    <x v="0"/>
  </r>
  <r>
    <x v="0"/>
    <x v="0"/>
    <x v="0"/>
    <x v="1"/>
    <x v="2"/>
    <s v="FIN_OTHER"/>
    <x v="8"/>
    <x v="4"/>
    <x v="0"/>
    <x v="0"/>
  </r>
  <r>
    <x v="0"/>
    <x v="0"/>
    <x v="0"/>
    <x v="1"/>
    <x v="2"/>
    <s v="FIN_OTHER"/>
    <x v="8"/>
    <x v="5"/>
    <x v="0"/>
    <x v="0"/>
  </r>
  <r>
    <x v="0"/>
    <x v="0"/>
    <x v="0"/>
    <x v="1"/>
    <x v="2"/>
    <s v="FIN_OTHER"/>
    <x v="8"/>
    <x v="6"/>
    <x v="0"/>
    <x v="0"/>
  </r>
  <r>
    <x v="0"/>
    <x v="0"/>
    <x v="0"/>
    <x v="1"/>
    <x v="2"/>
    <s v="FIN_OTHER"/>
    <x v="8"/>
    <x v="7"/>
    <x v="0"/>
    <x v="0"/>
  </r>
  <r>
    <x v="0"/>
    <x v="0"/>
    <x v="0"/>
    <x v="1"/>
    <x v="2"/>
    <s v="FIN_OTHER"/>
    <x v="8"/>
    <x v="8"/>
    <x v="0"/>
    <x v="0"/>
  </r>
  <r>
    <x v="0"/>
    <x v="0"/>
    <x v="0"/>
    <x v="1"/>
    <x v="2"/>
    <s v="FIN_OTHER"/>
    <x v="8"/>
    <x v="9"/>
    <x v="0"/>
    <x v="0"/>
  </r>
  <r>
    <x v="0"/>
    <x v="0"/>
    <x v="0"/>
    <x v="1"/>
    <x v="2"/>
    <s v="FIN_OTHER"/>
    <x v="8"/>
    <x v="10"/>
    <x v="0"/>
    <x v="0"/>
  </r>
  <r>
    <x v="0"/>
    <x v="0"/>
    <x v="0"/>
    <x v="1"/>
    <x v="2"/>
    <s v="FIN_OTHER"/>
    <x v="8"/>
    <x v="11"/>
    <x v="0"/>
    <x v="0"/>
  </r>
  <r>
    <x v="0"/>
    <x v="0"/>
    <x v="0"/>
    <x v="1"/>
    <x v="2"/>
    <s v="FIN_OTHER"/>
    <x v="9"/>
    <x v="0"/>
    <x v="0"/>
    <x v="0"/>
  </r>
  <r>
    <x v="0"/>
    <x v="0"/>
    <x v="0"/>
    <x v="1"/>
    <x v="2"/>
    <s v="FIN_OTHER"/>
    <x v="9"/>
    <x v="1"/>
    <x v="0"/>
    <x v="0"/>
  </r>
  <r>
    <x v="0"/>
    <x v="0"/>
    <x v="0"/>
    <x v="1"/>
    <x v="2"/>
    <s v="FIN_OTHER"/>
    <x v="9"/>
    <x v="2"/>
    <x v="0"/>
    <x v="0"/>
  </r>
  <r>
    <x v="0"/>
    <x v="0"/>
    <x v="0"/>
    <x v="1"/>
    <x v="2"/>
    <s v="FIN_OTHER"/>
    <x v="9"/>
    <x v="3"/>
    <x v="0"/>
    <x v="0"/>
  </r>
  <r>
    <x v="0"/>
    <x v="0"/>
    <x v="0"/>
    <x v="1"/>
    <x v="2"/>
    <s v="FIN_OTHER"/>
    <x v="9"/>
    <x v="4"/>
    <x v="0"/>
    <x v="0"/>
  </r>
  <r>
    <x v="0"/>
    <x v="0"/>
    <x v="0"/>
    <x v="1"/>
    <x v="2"/>
    <s v="FIN_OTHER"/>
    <x v="9"/>
    <x v="5"/>
    <x v="0"/>
    <x v="0"/>
  </r>
  <r>
    <x v="0"/>
    <x v="0"/>
    <x v="0"/>
    <x v="1"/>
    <x v="2"/>
    <s v="FIN_OTHER"/>
    <x v="9"/>
    <x v="6"/>
    <x v="0"/>
    <x v="0"/>
  </r>
  <r>
    <x v="0"/>
    <x v="0"/>
    <x v="0"/>
    <x v="1"/>
    <x v="2"/>
    <s v="FIN_OTHER"/>
    <x v="9"/>
    <x v="7"/>
    <x v="0"/>
    <x v="0"/>
  </r>
  <r>
    <x v="0"/>
    <x v="0"/>
    <x v="0"/>
    <x v="1"/>
    <x v="2"/>
    <s v="FIN_OTHER"/>
    <x v="9"/>
    <x v="8"/>
    <x v="0"/>
    <x v="0"/>
  </r>
  <r>
    <x v="0"/>
    <x v="0"/>
    <x v="0"/>
    <x v="1"/>
    <x v="2"/>
    <s v="FIN_OTHER"/>
    <x v="9"/>
    <x v="9"/>
    <x v="0"/>
    <x v="0"/>
  </r>
  <r>
    <x v="0"/>
    <x v="0"/>
    <x v="0"/>
    <x v="1"/>
    <x v="2"/>
    <s v="FIN_OTHER"/>
    <x v="9"/>
    <x v="10"/>
    <x v="0"/>
    <x v="0"/>
  </r>
  <r>
    <x v="0"/>
    <x v="0"/>
    <x v="0"/>
    <x v="1"/>
    <x v="2"/>
    <s v="FIN_OTHER"/>
    <x v="9"/>
    <x v="11"/>
    <x v="0"/>
    <x v="0"/>
  </r>
  <r>
    <x v="0"/>
    <x v="0"/>
    <x v="0"/>
    <x v="1"/>
    <x v="2"/>
    <s v="FIN_OTHER"/>
    <x v="10"/>
    <x v="0"/>
    <x v="0"/>
    <x v="0"/>
  </r>
  <r>
    <x v="0"/>
    <x v="0"/>
    <x v="0"/>
    <x v="1"/>
    <x v="2"/>
    <s v="FIN_OTHER"/>
    <x v="10"/>
    <x v="1"/>
    <x v="0"/>
    <x v="0"/>
  </r>
  <r>
    <x v="0"/>
    <x v="0"/>
    <x v="0"/>
    <x v="1"/>
    <x v="2"/>
    <s v="FIN_OTHER"/>
    <x v="10"/>
    <x v="2"/>
    <x v="0"/>
    <x v="0"/>
  </r>
  <r>
    <x v="0"/>
    <x v="0"/>
    <x v="0"/>
    <x v="1"/>
    <x v="2"/>
    <s v="FIN_OTHER"/>
    <x v="10"/>
    <x v="3"/>
    <x v="0"/>
    <x v="0"/>
  </r>
  <r>
    <x v="0"/>
    <x v="0"/>
    <x v="0"/>
    <x v="1"/>
    <x v="2"/>
    <s v="FIN_OTHER"/>
    <x v="10"/>
    <x v="4"/>
    <x v="0"/>
    <x v="0"/>
  </r>
  <r>
    <x v="0"/>
    <x v="0"/>
    <x v="0"/>
    <x v="1"/>
    <x v="2"/>
    <s v="FIN_OTHER"/>
    <x v="10"/>
    <x v="5"/>
    <x v="0"/>
    <x v="0"/>
  </r>
  <r>
    <x v="0"/>
    <x v="0"/>
    <x v="0"/>
    <x v="1"/>
    <x v="2"/>
    <s v="FIN_OTHER"/>
    <x v="10"/>
    <x v="6"/>
    <x v="0"/>
    <x v="0"/>
  </r>
  <r>
    <x v="0"/>
    <x v="0"/>
    <x v="0"/>
    <x v="1"/>
    <x v="2"/>
    <s v="FIN_OTHER"/>
    <x v="10"/>
    <x v="7"/>
    <x v="0"/>
    <x v="0"/>
  </r>
  <r>
    <x v="0"/>
    <x v="0"/>
    <x v="0"/>
    <x v="1"/>
    <x v="2"/>
    <s v="FIN_OTHER"/>
    <x v="10"/>
    <x v="8"/>
    <x v="0"/>
    <x v="0"/>
  </r>
  <r>
    <x v="0"/>
    <x v="0"/>
    <x v="0"/>
    <x v="1"/>
    <x v="2"/>
    <s v="FIN_OTHER"/>
    <x v="10"/>
    <x v="9"/>
    <x v="0"/>
    <x v="0"/>
  </r>
  <r>
    <x v="0"/>
    <x v="0"/>
    <x v="0"/>
    <x v="1"/>
    <x v="2"/>
    <s v="FIN_OTHER"/>
    <x v="10"/>
    <x v="10"/>
    <x v="0"/>
    <x v="0"/>
  </r>
  <r>
    <x v="0"/>
    <x v="0"/>
    <x v="0"/>
    <x v="1"/>
    <x v="2"/>
    <s v="FIN_OTHER"/>
    <x v="10"/>
    <x v="11"/>
    <x v="0"/>
    <x v="0"/>
  </r>
  <r>
    <x v="0"/>
    <x v="0"/>
    <x v="0"/>
    <x v="1"/>
    <x v="2"/>
    <s v="FIN_OTHER"/>
    <x v="11"/>
    <x v="0"/>
    <x v="0"/>
    <x v="0"/>
  </r>
  <r>
    <x v="0"/>
    <x v="0"/>
    <x v="0"/>
    <x v="1"/>
    <x v="2"/>
    <s v="FIN_OTHER"/>
    <x v="11"/>
    <x v="1"/>
    <x v="0"/>
    <x v="0"/>
  </r>
  <r>
    <x v="0"/>
    <x v="0"/>
    <x v="0"/>
    <x v="1"/>
    <x v="2"/>
    <s v="FIN_OTHER"/>
    <x v="11"/>
    <x v="2"/>
    <x v="0"/>
    <x v="0"/>
  </r>
  <r>
    <x v="0"/>
    <x v="0"/>
    <x v="0"/>
    <x v="1"/>
    <x v="2"/>
    <s v="FIN_OTHER"/>
    <x v="11"/>
    <x v="3"/>
    <x v="0"/>
    <x v="0"/>
  </r>
  <r>
    <x v="0"/>
    <x v="0"/>
    <x v="0"/>
    <x v="1"/>
    <x v="2"/>
    <s v="FIN_OTHER"/>
    <x v="11"/>
    <x v="4"/>
    <x v="0"/>
    <x v="0"/>
  </r>
  <r>
    <x v="0"/>
    <x v="0"/>
    <x v="0"/>
    <x v="1"/>
    <x v="2"/>
    <s v="FIN_OTHER"/>
    <x v="11"/>
    <x v="5"/>
    <x v="0"/>
    <x v="0"/>
  </r>
  <r>
    <x v="0"/>
    <x v="0"/>
    <x v="0"/>
    <x v="1"/>
    <x v="2"/>
    <s v="FIN_OTHER"/>
    <x v="11"/>
    <x v="6"/>
    <x v="0"/>
    <x v="0"/>
  </r>
  <r>
    <x v="0"/>
    <x v="0"/>
    <x v="0"/>
    <x v="1"/>
    <x v="2"/>
    <s v="FIN_OTHER"/>
    <x v="11"/>
    <x v="7"/>
    <x v="0"/>
    <x v="0"/>
  </r>
  <r>
    <x v="0"/>
    <x v="0"/>
    <x v="0"/>
    <x v="1"/>
    <x v="2"/>
    <s v="FIN_OTHER"/>
    <x v="11"/>
    <x v="8"/>
    <x v="0"/>
    <x v="0"/>
  </r>
  <r>
    <x v="0"/>
    <x v="0"/>
    <x v="0"/>
    <x v="1"/>
    <x v="2"/>
    <s v="FIN_OTHER"/>
    <x v="11"/>
    <x v="9"/>
    <x v="0"/>
    <x v="0"/>
  </r>
  <r>
    <x v="0"/>
    <x v="0"/>
    <x v="0"/>
    <x v="1"/>
    <x v="2"/>
    <s v="FIN_OTHER"/>
    <x v="11"/>
    <x v="10"/>
    <x v="0"/>
    <x v="0"/>
  </r>
  <r>
    <x v="0"/>
    <x v="0"/>
    <x v="0"/>
    <x v="1"/>
    <x v="2"/>
    <s v="FIN_OTHER"/>
    <x v="11"/>
    <x v="11"/>
    <x v="0"/>
    <x v="0"/>
  </r>
  <r>
    <x v="0"/>
    <x v="0"/>
    <x v="0"/>
    <x v="1"/>
    <x v="2"/>
    <s v="FIN_TAMP"/>
    <x v="0"/>
    <x v="0"/>
    <x v="0"/>
    <x v="0"/>
  </r>
  <r>
    <x v="0"/>
    <x v="0"/>
    <x v="0"/>
    <x v="1"/>
    <x v="2"/>
    <s v="FIN_TAMP"/>
    <x v="0"/>
    <x v="1"/>
    <x v="0"/>
    <x v="0"/>
  </r>
  <r>
    <x v="0"/>
    <x v="0"/>
    <x v="0"/>
    <x v="1"/>
    <x v="2"/>
    <s v="FIN_TAMP"/>
    <x v="0"/>
    <x v="2"/>
    <x v="0"/>
    <x v="0"/>
  </r>
  <r>
    <x v="0"/>
    <x v="0"/>
    <x v="0"/>
    <x v="1"/>
    <x v="2"/>
    <s v="FIN_TAMP"/>
    <x v="0"/>
    <x v="3"/>
    <x v="0"/>
    <x v="0"/>
  </r>
  <r>
    <x v="0"/>
    <x v="0"/>
    <x v="0"/>
    <x v="1"/>
    <x v="2"/>
    <s v="FIN_TAMP"/>
    <x v="0"/>
    <x v="4"/>
    <x v="0"/>
    <x v="0"/>
  </r>
  <r>
    <x v="0"/>
    <x v="0"/>
    <x v="0"/>
    <x v="1"/>
    <x v="2"/>
    <s v="FIN_TAMP"/>
    <x v="0"/>
    <x v="5"/>
    <x v="0"/>
    <x v="0"/>
  </r>
  <r>
    <x v="0"/>
    <x v="0"/>
    <x v="0"/>
    <x v="1"/>
    <x v="2"/>
    <s v="FIN_TAMP"/>
    <x v="0"/>
    <x v="6"/>
    <x v="0"/>
    <x v="0"/>
  </r>
  <r>
    <x v="0"/>
    <x v="0"/>
    <x v="0"/>
    <x v="1"/>
    <x v="2"/>
    <s v="FIN_TAMP"/>
    <x v="0"/>
    <x v="7"/>
    <x v="0"/>
    <x v="0"/>
  </r>
  <r>
    <x v="0"/>
    <x v="0"/>
    <x v="0"/>
    <x v="1"/>
    <x v="2"/>
    <s v="FIN_TAMP"/>
    <x v="0"/>
    <x v="8"/>
    <x v="0"/>
    <x v="0"/>
  </r>
  <r>
    <x v="0"/>
    <x v="0"/>
    <x v="0"/>
    <x v="1"/>
    <x v="2"/>
    <s v="FIN_TAMP"/>
    <x v="0"/>
    <x v="9"/>
    <x v="0"/>
    <x v="0"/>
  </r>
  <r>
    <x v="0"/>
    <x v="0"/>
    <x v="0"/>
    <x v="1"/>
    <x v="2"/>
    <s v="FIN_TAMP"/>
    <x v="0"/>
    <x v="10"/>
    <x v="0"/>
    <x v="0"/>
  </r>
  <r>
    <x v="0"/>
    <x v="0"/>
    <x v="0"/>
    <x v="1"/>
    <x v="2"/>
    <s v="FIN_TAMP"/>
    <x v="0"/>
    <x v="11"/>
    <x v="0"/>
    <x v="0"/>
  </r>
  <r>
    <x v="0"/>
    <x v="0"/>
    <x v="0"/>
    <x v="1"/>
    <x v="2"/>
    <s v="FIN_TAMP"/>
    <x v="1"/>
    <x v="0"/>
    <x v="0"/>
    <x v="0"/>
  </r>
  <r>
    <x v="0"/>
    <x v="0"/>
    <x v="0"/>
    <x v="1"/>
    <x v="2"/>
    <s v="FIN_TAMP"/>
    <x v="1"/>
    <x v="1"/>
    <x v="0"/>
    <x v="0"/>
  </r>
  <r>
    <x v="0"/>
    <x v="0"/>
    <x v="0"/>
    <x v="1"/>
    <x v="2"/>
    <s v="FIN_TAMP"/>
    <x v="1"/>
    <x v="2"/>
    <x v="0"/>
    <x v="0"/>
  </r>
  <r>
    <x v="0"/>
    <x v="0"/>
    <x v="0"/>
    <x v="1"/>
    <x v="2"/>
    <s v="FIN_TAMP"/>
    <x v="1"/>
    <x v="3"/>
    <x v="0"/>
    <x v="0"/>
  </r>
  <r>
    <x v="0"/>
    <x v="0"/>
    <x v="0"/>
    <x v="1"/>
    <x v="2"/>
    <s v="FIN_TAMP"/>
    <x v="1"/>
    <x v="4"/>
    <x v="0"/>
    <x v="0"/>
  </r>
  <r>
    <x v="0"/>
    <x v="0"/>
    <x v="0"/>
    <x v="1"/>
    <x v="2"/>
    <s v="FIN_TAMP"/>
    <x v="1"/>
    <x v="5"/>
    <x v="0"/>
    <x v="0"/>
  </r>
  <r>
    <x v="0"/>
    <x v="0"/>
    <x v="0"/>
    <x v="1"/>
    <x v="2"/>
    <s v="FIN_TAMP"/>
    <x v="1"/>
    <x v="6"/>
    <x v="0"/>
    <x v="0"/>
  </r>
  <r>
    <x v="0"/>
    <x v="0"/>
    <x v="0"/>
    <x v="1"/>
    <x v="2"/>
    <s v="FIN_TAMP"/>
    <x v="1"/>
    <x v="7"/>
    <x v="0"/>
    <x v="0"/>
  </r>
  <r>
    <x v="0"/>
    <x v="0"/>
    <x v="0"/>
    <x v="1"/>
    <x v="2"/>
    <s v="FIN_TAMP"/>
    <x v="1"/>
    <x v="8"/>
    <x v="0"/>
    <x v="0"/>
  </r>
  <r>
    <x v="0"/>
    <x v="0"/>
    <x v="0"/>
    <x v="1"/>
    <x v="2"/>
    <s v="FIN_TAMP"/>
    <x v="1"/>
    <x v="9"/>
    <x v="0"/>
    <x v="0"/>
  </r>
  <r>
    <x v="0"/>
    <x v="0"/>
    <x v="0"/>
    <x v="1"/>
    <x v="2"/>
    <s v="FIN_TAMP"/>
    <x v="1"/>
    <x v="10"/>
    <x v="0"/>
    <x v="0"/>
  </r>
  <r>
    <x v="0"/>
    <x v="0"/>
    <x v="0"/>
    <x v="1"/>
    <x v="2"/>
    <s v="FIN_TAMP"/>
    <x v="1"/>
    <x v="11"/>
    <x v="0"/>
    <x v="0"/>
  </r>
  <r>
    <x v="0"/>
    <x v="0"/>
    <x v="0"/>
    <x v="1"/>
    <x v="2"/>
    <s v="FIN_TAMP"/>
    <x v="2"/>
    <x v="0"/>
    <x v="0"/>
    <x v="0"/>
  </r>
  <r>
    <x v="0"/>
    <x v="0"/>
    <x v="0"/>
    <x v="1"/>
    <x v="2"/>
    <s v="FIN_TAMP"/>
    <x v="2"/>
    <x v="1"/>
    <x v="0"/>
    <x v="0"/>
  </r>
  <r>
    <x v="0"/>
    <x v="0"/>
    <x v="0"/>
    <x v="1"/>
    <x v="2"/>
    <s v="FIN_TAMP"/>
    <x v="2"/>
    <x v="2"/>
    <x v="0"/>
    <x v="0"/>
  </r>
  <r>
    <x v="0"/>
    <x v="0"/>
    <x v="0"/>
    <x v="1"/>
    <x v="2"/>
    <s v="FIN_TAMP"/>
    <x v="2"/>
    <x v="3"/>
    <x v="0"/>
    <x v="0"/>
  </r>
  <r>
    <x v="0"/>
    <x v="0"/>
    <x v="0"/>
    <x v="1"/>
    <x v="2"/>
    <s v="FIN_TAMP"/>
    <x v="2"/>
    <x v="4"/>
    <x v="0"/>
    <x v="0"/>
  </r>
  <r>
    <x v="0"/>
    <x v="0"/>
    <x v="0"/>
    <x v="1"/>
    <x v="2"/>
    <s v="FIN_TAMP"/>
    <x v="2"/>
    <x v="5"/>
    <x v="0"/>
    <x v="0"/>
  </r>
  <r>
    <x v="0"/>
    <x v="0"/>
    <x v="0"/>
    <x v="1"/>
    <x v="2"/>
    <s v="FIN_TAMP"/>
    <x v="2"/>
    <x v="6"/>
    <x v="0"/>
    <x v="0"/>
  </r>
  <r>
    <x v="0"/>
    <x v="0"/>
    <x v="0"/>
    <x v="1"/>
    <x v="2"/>
    <s v="FIN_TAMP"/>
    <x v="2"/>
    <x v="7"/>
    <x v="0"/>
    <x v="0"/>
  </r>
  <r>
    <x v="0"/>
    <x v="0"/>
    <x v="0"/>
    <x v="1"/>
    <x v="2"/>
    <s v="FIN_TAMP"/>
    <x v="2"/>
    <x v="8"/>
    <x v="0"/>
    <x v="0"/>
  </r>
  <r>
    <x v="0"/>
    <x v="0"/>
    <x v="0"/>
    <x v="1"/>
    <x v="2"/>
    <s v="FIN_TAMP"/>
    <x v="2"/>
    <x v="9"/>
    <x v="0"/>
    <x v="0"/>
  </r>
  <r>
    <x v="0"/>
    <x v="0"/>
    <x v="0"/>
    <x v="1"/>
    <x v="2"/>
    <s v="FIN_TAMP"/>
    <x v="2"/>
    <x v="10"/>
    <x v="0"/>
    <x v="0"/>
  </r>
  <r>
    <x v="0"/>
    <x v="0"/>
    <x v="0"/>
    <x v="1"/>
    <x v="2"/>
    <s v="FIN_TAMP"/>
    <x v="2"/>
    <x v="11"/>
    <x v="0"/>
    <x v="0"/>
  </r>
  <r>
    <x v="0"/>
    <x v="0"/>
    <x v="0"/>
    <x v="1"/>
    <x v="2"/>
    <s v="FIN_TAMP"/>
    <x v="3"/>
    <x v="0"/>
    <x v="0"/>
    <x v="0"/>
  </r>
  <r>
    <x v="0"/>
    <x v="0"/>
    <x v="0"/>
    <x v="1"/>
    <x v="2"/>
    <s v="FIN_TAMP"/>
    <x v="3"/>
    <x v="1"/>
    <x v="0"/>
    <x v="0"/>
  </r>
  <r>
    <x v="0"/>
    <x v="0"/>
    <x v="0"/>
    <x v="1"/>
    <x v="2"/>
    <s v="FIN_TAMP"/>
    <x v="3"/>
    <x v="2"/>
    <x v="0"/>
    <x v="0"/>
  </r>
  <r>
    <x v="0"/>
    <x v="0"/>
    <x v="0"/>
    <x v="1"/>
    <x v="2"/>
    <s v="FIN_TAMP"/>
    <x v="3"/>
    <x v="3"/>
    <x v="0"/>
    <x v="0"/>
  </r>
  <r>
    <x v="0"/>
    <x v="0"/>
    <x v="0"/>
    <x v="1"/>
    <x v="2"/>
    <s v="FIN_TAMP"/>
    <x v="3"/>
    <x v="4"/>
    <x v="0"/>
    <x v="0"/>
  </r>
  <r>
    <x v="0"/>
    <x v="0"/>
    <x v="0"/>
    <x v="1"/>
    <x v="2"/>
    <s v="FIN_TAMP"/>
    <x v="3"/>
    <x v="5"/>
    <x v="0"/>
    <x v="0"/>
  </r>
  <r>
    <x v="0"/>
    <x v="0"/>
    <x v="0"/>
    <x v="1"/>
    <x v="2"/>
    <s v="FIN_TAMP"/>
    <x v="3"/>
    <x v="6"/>
    <x v="0"/>
    <x v="0"/>
  </r>
  <r>
    <x v="0"/>
    <x v="0"/>
    <x v="0"/>
    <x v="1"/>
    <x v="2"/>
    <s v="FIN_TAMP"/>
    <x v="3"/>
    <x v="7"/>
    <x v="0"/>
    <x v="0"/>
  </r>
  <r>
    <x v="0"/>
    <x v="0"/>
    <x v="0"/>
    <x v="1"/>
    <x v="2"/>
    <s v="FIN_TAMP"/>
    <x v="3"/>
    <x v="8"/>
    <x v="0"/>
    <x v="0"/>
  </r>
  <r>
    <x v="0"/>
    <x v="0"/>
    <x v="0"/>
    <x v="1"/>
    <x v="2"/>
    <s v="FIN_TAMP"/>
    <x v="3"/>
    <x v="9"/>
    <x v="0"/>
    <x v="0"/>
  </r>
  <r>
    <x v="0"/>
    <x v="0"/>
    <x v="0"/>
    <x v="1"/>
    <x v="2"/>
    <s v="FIN_TAMP"/>
    <x v="3"/>
    <x v="10"/>
    <x v="0"/>
    <x v="0"/>
  </r>
  <r>
    <x v="0"/>
    <x v="0"/>
    <x v="0"/>
    <x v="1"/>
    <x v="2"/>
    <s v="FIN_TAMP"/>
    <x v="3"/>
    <x v="11"/>
    <x v="0"/>
    <x v="0"/>
  </r>
  <r>
    <x v="0"/>
    <x v="0"/>
    <x v="0"/>
    <x v="1"/>
    <x v="2"/>
    <s v="FIN_TAMP"/>
    <x v="4"/>
    <x v="0"/>
    <x v="0"/>
    <x v="0"/>
  </r>
  <r>
    <x v="0"/>
    <x v="0"/>
    <x v="0"/>
    <x v="1"/>
    <x v="2"/>
    <s v="FIN_TAMP"/>
    <x v="4"/>
    <x v="1"/>
    <x v="0"/>
    <x v="0"/>
  </r>
  <r>
    <x v="0"/>
    <x v="0"/>
    <x v="0"/>
    <x v="1"/>
    <x v="2"/>
    <s v="FIN_TAMP"/>
    <x v="4"/>
    <x v="2"/>
    <x v="0"/>
    <x v="0"/>
  </r>
  <r>
    <x v="0"/>
    <x v="0"/>
    <x v="0"/>
    <x v="1"/>
    <x v="2"/>
    <s v="FIN_TAMP"/>
    <x v="4"/>
    <x v="3"/>
    <x v="0"/>
    <x v="0"/>
  </r>
  <r>
    <x v="0"/>
    <x v="0"/>
    <x v="0"/>
    <x v="1"/>
    <x v="2"/>
    <s v="FIN_TAMP"/>
    <x v="4"/>
    <x v="4"/>
    <x v="0"/>
    <x v="0"/>
  </r>
  <r>
    <x v="0"/>
    <x v="0"/>
    <x v="0"/>
    <x v="1"/>
    <x v="2"/>
    <s v="FIN_TAMP"/>
    <x v="4"/>
    <x v="5"/>
    <x v="0"/>
    <x v="0"/>
  </r>
  <r>
    <x v="0"/>
    <x v="0"/>
    <x v="0"/>
    <x v="1"/>
    <x v="2"/>
    <s v="FIN_TAMP"/>
    <x v="4"/>
    <x v="6"/>
    <x v="0"/>
    <x v="0"/>
  </r>
  <r>
    <x v="0"/>
    <x v="0"/>
    <x v="0"/>
    <x v="1"/>
    <x v="2"/>
    <s v="FIN_TAMP"/>
    <x v="4"/>
    <x v="7"/>
    <x v="0"/>
    <x v="0"/>
  </r>
  <r>
    <x v="0"/>
    <x v="0"/>
    <x v="0"/>
    <x v="1"/>
    <x v="2"/>
    <s v="FIN_TAMP"/>
    <x v="4"/>
    <x v="8"/>
    <x v="0"/>
    <x v="0"/>
  </r>
  <r>
    <x v="0"/>
    <x v="0"/>
    <x v="0"/>
    <x v="1"/>
    <x v="2"/>
    <s v="FIN_TAMP"/>
    <x v="4"/>
    <x v="9"/>
    <x v="0"/>
    <x v="0"/>
  </r>
  <r>
    <x v="0"/>
    <x v="0"/>
    <x v="0"/>
    <x v="1"/>
    <x v="2"/>
    <s v="FIN_TAMP"/>
    <x v="4"/>
    <x v="10"/>
    <x v="0"/>
    <x v="0"/>
  </r>
  <r>
    <x v="0"/>
    <x v="0"/>
    <x v="0"/>
    <x v="1"/>
    <x v="2"/>
    <s v="FIN_TAMP"/>
    <x v="4"/>
    <x v="11"/>
    <x v="0"/>
    <x v="0"/>
  </r>
  <r>
    <x v="0"/>
    <x v="0"/>
    <x v="0"/>
    <x v="1"/>
    <x v="2"/>
    <s v="FIN_TAMP"/>
    <x v="5"/>
    <x v="0"/>
    <x v="0"/>
    <x v="0"/>
  </r>
  <r>
    <x v="0"/>
    <x v="0"/>
    <x v="0"/>
    <x v="1"/>
    <x v="2"/>
    <s v="FIN_TAMP"/>
    <x v="5"/>
    <x v="1"/>
    <x v="0"/>
    <x v="0"/>
  </r>
  <r>
    <x v="0"/>
    <x v="0"/>
    <x v="0"/>
    <x v="1"/>
    <x v="2"/>
    <s v="FIN_TAMP"/>
    <x v="5"/>
    <x v="2"/>
    <x v="0"/>
    <x v="0"/>
  </r>
  <r>
    <x v="0"/>
    <x v="0"/>
    <x v="0"/>
    <x v="1"/>
    <x v="2"/>
    <s v="FIN_TAMP"/>
    <x v="5"/>
    <x v="3"/>
    <x v="0"/>
    <x v="0"/>
  </r>
  <r>
    <x v="0"/>
    <x v="0"/>
    <x v="0"/>
    <x v="1"/>
    <x v="2"/>
    <s v="FIN_TAMP"/>
    <x v="5"/>
    <x v="4"/>
    <x v="0"/>
    <x v="0"/>
  </r>
  <r>
    <x v="0"/>
    <x v="0"/>
    <x v="0"/>
    <x v="1"/>
    <x v="2"/>
    <s v="FIN_TAMP"/>
    <x v="5"/>
    <x v="5"/>
    <x v="0"/>
    <x v="0"/>
  </r>
  <r>
    <x v="0"/>
    <x v="0"/>
    <x v="0"/>
    <x v="1"/>
    <x v="2"/>
    <s v="FIN_TAMP"/>
    <x v="5"/>
    <x v="6"/>
    <x v="0"/>
    <x v="0"/>
  </r>
  <r>
    <x v="0"/>
    <x v="0"/>
    <x v="0"/>
    <x v="1"/>
    <x v="2"/>
    <s v="FIN_TAMP"/>
    <x v="5"/>
    <x v="7"/>
    <x v="0"/>
    <x v="0"/>
  </r>
  <r>
    <x v="0"/>
    <x v="0"/>
    <x v="0"/>
    <x v="1"/>
    <x v="2"/>
    <s v="FIN_TAMP"/>
    <x v="5"/>
    <x v="8"/>
    <x v="0"/>
    <x v="0"/>
  </r>
  <r>
    <x v="0"/>
    <x v="0"/>
    <x v="0"/>
    <x v="1"/>
    <x v="2"/>
    <s v="FIN_TAMP"/>
    <x v="5"/>
    <x v="9"/>
    <x v="0"/>
    <x v="0"/>
  </r>
  <r>
    <x v="0"/>
    <x v="0"/>
    <x v="0"/>
    <x v="1"/>
    <x v="2"/>
    <s v="FIN_TAMP"/>
    <x v="5"/>
    <x v="10"/>
    <x v="0"/>
    <x v="0"/>
  </r>
  <r>
    <x v="0"/>
    <x v="0"/>
    <x v="0"/>
    <x v="1"/>
    <x v="2"/>
    <s v="FIN_TAMP"/>
    <x v="5"/>
    <x v="11"/>
    <x v="0"/>
    <x v="0"/>
  </r>
  <r>
    <x v="0"/>
    <x v="0"/>
    <x v="0"/>
    <x v="1"/>
    <x v="2"/>
    <s v="FIN_TAMP"/>
    <x v="6"/>
    <x v="0"/>
    <x v="0"/>
    <x v="0"/>
  </r>
  <r>
    <x v="0"/>
    <x v="0"/>
    <x v="0"/>
    <x v="1"/>
    <x v="2"/>
    <s v="FIN_TAMP"/>
    <x v="6"/>
    <x v="1"/>
    <x v="0"/>
    <x v="0"/>
  </r>
  <r>
    <x v="0"/>
    <x v="0"/>
    <x v="0"/>
    <x v="1"/>
    <x v="2"/>
    <s v="FIN_TAMP"/>
    <x v="6"/>
    <x v="2"/>
    <x v="0"/>
    <x v="0"/>
  </r>
  <r>
    <x v="0"/>
    <x v="0"/>
    <x v="0"/>
    <x v="1"/>
    <x v="2"/>
    <s v="FIN_TAMP"/>
    <x v="6"/>
    <x v="3"/>
    <x v="0"/>
    <x v="0"/>
  </r>
  <r>
    <x v="0"/>
    <x v="0"/>
    <x v="0"/>
    <x v="1"/>
    <x v="2"/>
    <s v="FIN_TAMP"/>
    <x v="6"/>
    <x v="4"/>
    <x v="0"/>
    <x v="0"/>
  </r>
  <r>
    <x v="0"/>
    <x v="0"/>
    <x v="0"/>
    <x v="1"/>
    <x v="2"/>
    <s v="FIN_TAMP"/>
    <x v="6"/>
    <x v="5"/>
    <x v="0"/>
    <x v="0"/>
  </r>
  <r>
    <x v="0"/>
    <x v="0"/>
    <x v="0"/>
    <x v="1"/>
    <x v="2"/>
    <s v="FIN_TAMP"/>
    <x v="6"/>
    <x v="6"/>
    <x v="0"/>
    <x v="0"/>
  </r>
  <r>
    <x v="0"/>
    <x v="0"/>
    <x v="0"/>
    <x v="1"/>
    <x v="2"/>
    <s v="FIN_TAMP"/>
    <x v="6"/>
    <x v="7"/>
    <x v="0"/>
    <x v="0"/>
  </r>
  <r>
    <x v="0"/>
    <x v="0"/>
    <x v="0"/>
    <x v="1"/>
    <x v="2"/>
    <s v="FIN_TAMP"/>
    <x v="6"/>
    <x v="8"/>
    <x v="0"/>
    <x v="0"/>
  </r>
  <r>
    <x v="0"/>
    <x v="0"/>
    <x v="0"/>
    <x v="1"/>
    <x v="2"/>
    <s v="FIN_TAMP"/>
    <x v="6"/>
    <x v="9"/>
    <x v="0"/>
    <x v="0"/>
  </r>
  <r>
    <x v="0"/>
    <x v="0"/>
    <x v="0"/>
    <x v="1"/>
    <x v="2"/>
    <s v="FIN_TAMP"/>
    <x v="6"/>
    <x v="10"/>
    <x v="0"/>
    <x v="0"/>
  </r>
  <r>
    <x v="0"/>
    <x v="0"/>
    <x v="0"/>
    <x v="1"/>
    <x v="2"/>
    <s v="FIN_TAMP"/>
    <x v="6"/>
    <x v="11"/>
    <x v="0"/>
    <x v="0"/>
  </r>
  <r>
    <x v="0"/>
    <x v="0"/>
    <x v="0"/>
    <x v="1"/>
    <x v="2"/>
    <s v="FIN_TAMP"/>
    <x v="7"/>
    <x v="0"/>
    <x v="0"/>
    <x v="0"/>
  </r>
  <r>
    <x v="0"/>
    <x v="0"/>
    <x v="0"/>
    <x v="1"/>
    <x v="2"/>
    <s v="FIN_TAMP"/>
    <x v="7"/>
    <x v="1"/>
    <x v="0"/>
    <x v="0"/>
  </r>
  <r>
    <x v="0"/>
    <x v="0"/>
    <x v="0"/>
    <x v="1"/>
    <x v="2"/>
    <s v="FIN_TAMP"/>
    <x v="7"/>
    <x v="2"/>
    <x v="0"/>
    <x v="0"/>
  </r>
  <r>
    <x v="0"/>
    <x v="0"/>
    <x v="0"/>
    <x v="1"/>
    <x v="2"/>
    <s v="FIN_TAMP"/>
    <x v="7"/>
    <x v="3"/>
    <x v="0"/>
    <x v="0"/>
  </r>
  <r>
    <x v="0"/>
    <x v="0"/>
    <x v="0"/>
    <x v="1"/>
    <x v="2"/>
    <s v="FIN_TAMP"/>
    <x v="7"/>
    <x v="4"/>
    <x v="0"/>
    <x v="0"/>
  </r>
  <r>
    <x v="0"/>
    <x v="0"/>
    <x v="0"/>
    <x v="1"/>
    <x v="2"/>
    <s v="FIN_TAMP"/>
    <x v="7"/>
    <x v="5"/>
    <x v="0"/>
    <x v="0"/>
  </r>
  <r>
    <x v="0"/>
    <x v="0"/>
    <x v="0"/>
    <x v="1"/>
    <x v="2"/>
    <s v="FIN_TAMP"/>
    <x v="7"/>
    <x v="6"/>
    <x v="0"/>
    <x v="0"/>
  </r>
  <r>
    <x v="0"/>
    <x v="0"/>
    <x v="0"/>
    <x v="1"/>
    <x v="2"/>
    <s v="FIN_TAMP"/>
    <x v="7"/>
    <x v="7"/>
    <x v="0"/>
    <x v="0"/>
  </r>
  <r>
    <x v="0"/>
    <x v="0"/>
    <x v="0"/>
    <x v="1"/>
    <x v="2"/>
    <s v="FIN_TAMP"/>
    <x v="7"/>
    <x v="8"/>
    <x v="0"/>
    <x v="0"/>
  </r>
  <r>
    <x v="0"/>
    <x v="0"/>
    <x v="0"/>
    <x v="1"/>
    <x v="2"/>
    <s v="FIN_TAMP"/>
    <x v="7"/>
    <x v="9"/>
    <x v="0"/>
    <x v="0"/>
  </r>
  <r>
    <x v="0"/>
    <x v="0"/>
    <x v="0"/>
    <x v="1"/>
    <x v="2"/>
    <s v="FIN_TAMP"/>
    <x v="7"/>
    <x v="10"/>
    <x v="0"/>
    <x v="0"/>
  </r>
  <r>
    <x v="0"/>
    <x v="0"/>
    <x v="0"/>
    <x v="1"/>
    <x v="2"/>
    <s v="FIN_TAMP"/>
    <x v="7"/>
    <x v="11"/>
    <x v="0"/>
    <x v="0"/>
  </r>
  <r>
    <x v="0"/>
    <x v="0"/>
    <x v="0"/>
    <x v="1"/>
    <x v="2"/>
    <s v="FIN_TAMP"/>
    <x v="8"/>
    <x v="0"/>
    <x v="0"/>
    <x v="0"/>
  </r>
  <r>
    <x v="0"/>
    <x v="0"/>
    <x v="0"/>
    <x v="1"/>
    <x v="2"/>
    <s v="FIN_TAMP"/>
    <x v="8"/>
    <x v="1"/>
    <x v="0"/>
    <x v="0"/>
  </r>
  <r>
    <x v="0"/>
    <x v="0"/>
    <x v="0"/>
    <x v="1"/>
    <x v="2"/>
    <s v="FIN_TAMP"/>
    <x v="8"/>
    <x v="2"/>
    <x v="0"/>
    <x v="0"/>
  </r>
  <r>
    <x v="0"/>
    <x v="0"/>
    <x v="0"/>
    <x v="1"/>
    <x v="2"/>
    <s v="FIN_TAMP"/>
    <x v="8"/>
    <x v="3"/>
    <x v="0"/>
    <x v="0"/>
  </r>
  <r>
    <x v="0"/>
    <x v="0"/>
    <x v="0"/>
    <x v="1"/>
    <x v="2"/>
    <s v="FIN_TAMP"/>
    <x v="8"/>
    <x v="4"/>
    <x v="0"/>
    <x v="0"/>
  </r>
  <r>
    <x v="0"/>
    <x v="0"/>
    <x v="0"/>
    <x v="1"/>
    <x v="2"/>
    <s v="FIN_TAMP"/>
    <x v="8"/>
    <x v="5"/>
    <x v="0"/>
    <x v="0"/>
  </r>
  <r>
    <x v="0"/>
    <x v="0"/>
    <x v="0"/>
    <x v="1"/>
    <x v="2"/>
    <s v="FIN_TAMP"/>
    <x v="8"/>
    <x v="6"/>
    <x v="0"/>
    <x v="0"/>
  </r>
  <r>
    <x v="0"/>
    <x v="0"/>
    <x v="0"/>
    <x v="1"/>
    <x v="2"/>
    <s v="FIN_TAMP"/>
    <x v="8"/>
    <x v="7"/>
    <x v="0"/>
    <x v="0"/>
  </r>
  <r>
    <x v="0"/>
    <x v="0"/>
    <x v="0"/>
    <x v="1"/>
    <x v="2"/>
    <s v="FIN_TAMP"/>
    <x v="8"/>
    <x v="8"/>
    <x v="0"/>
    <x v="0"/>
  </r>
  <r>
    <x v="0"/>
    <x v="0"/>
    <x v="0"/>
    <x v="1"/>
    <x v="2"/>
    <s v="FIN_TAMP"/>
    <x v="8"/>
    <x v="9"/>
    <x v="0"/>
    <x v="0"/>
  </r>
  <r>
    <x v="0"/>
    <x v="0"/>
    <x v="0"/>
    <x v="1"/>
    <x v="2"/>
    <s v="FIN_TAMP"/>
    <x v="8"/>
    <x v="10"/>
    <x v="0"/>
    <x v="0"/>
  </r>
  <r>
    <x v="0"/>
    <x v="0"/>
    <x v="0"/>
    <x v="1"/>
    <x v="2"/>
    <s v="FIN_TAMP"/>
    <x v="8"/>
    <x v="11"/>
    <x v="0"/>
    <x v="0"/>
  </r>
  <r>
    <x v="0"/>
    <x v="0"/>
    <x v="0"/>
    <x v="1"/>
    <x v="2"/>
    <s v="FIN_TAMP"/>
    <x v="9"/>
    <x v="0"/>
    <x v="0"/>
    <x v="0"/>
  </r>
  <r>
    <x v="0"/>
    <x v="0"/>
    <x v="0"/>
    <x v="1"/>
    <x v="2"/>
    <s v="FIN_TAMP"/>
    <x v="9"/>
    <x v="1"/>
    <x v="0"/>
    <x v="0"/>
  </r>
  <r>
    <x v="0"/>
    <x v="0"/>
    <x v="0"/>
    <x v="1"/>
    <x v="2"/>
    <s v="FIN_TAMP"/>
    <x v="9"/>
    <x v="2"/>
    <x v="0"/>
    <x v="0"/>
  </r>
  <r>
    <x v="0"/>
    <x v="0"/>
    <x v="0"/>
    <x v="1"/>
    <x v="2"/>
    <s v="FIN_TAMP"/>
    <x v="9"/>
    <x v="3"/>
    <x v="0"/>
    <x v="0"/>
  </r>
  <r>
    <x v="0"/>
    <x v="0"/>
    <x v="0"/>
    <x v="1"/>
    <x v="2"/>
    <s v="FIN_TAMP"/>
    <x v="9"/>
    <x v="4"/>
    <x v="0"/>
    <x v="0"/>
  </r>
  <r>
    <x v="0"/>
    <x v="0"/>
    <x v="0"/>
    <x v="1"/>
    <x v="2"/>
    <s v="FIN_TAMP"/>
    <x v="9"/>
    <x v="5"/>
    <x v="0"/>
    <x v="0"/>
  </r>
  <r>
    <x v="0"/>
    <x v="0"/>
    <x v="0"/>
    <x v="1"/>
    <x v="2"/>
    <s v="FIN_TAMP"/>
    <x v="9"/>
    <x v="6"/>
    <x v="0"/>
    <x v="0"/>
  </r>
  <r>
    <x v="0"/>
    <x v="0"/>
    <x v="0"/>
    <x v="1"/>
    <x v="2"/>
    <s v="FIN_TAMP"/>
    <x v="9"/>
    <x v="7"/>
    <x v="0"/>
    <x v="0"/>
  </r>
  <r>
    <x v="0"/>
    <x v="0"/>
    <x v="0"/>
    <x v="1"/>
    <x v="2"/>
    <s v="FIN_TAMP"/>
    <x v="9"/>
    <x v="8"/>
    <x v="0"/>
    <x v="0"/>
  </r>
  <r>
    <x v="0"/>
    <x v="0"/>
    <x v="0"/>
    <x v="1"/>
    <x v="2"/>
    <s v="FIN_TAMP"/>
    <x v="9"/>
    <x v="9"/>
    <x v="0"/>
    <x v="0"/>
  </r>
  <r>
    <x v="0"/>
    <x v="0"/>
    <x v="0"/>
    <x v="1"/>
    <x v="2"/>
    <s v="FIN_TAMP"/>
    <x v="9"/>
    <x v="10"/>
    <x v="0"/>
    <x v="0"/>
  </r>
  <r>
    <x v="0"/>
    <x v="0"/>
    <x v="0"/>
    <x v="1"/>
    <x v="2"/>
    <s v="FIN_TAMP"/>
    <x v="9"/>
    <x v="11"/>
    <x v="0"/>
    <x v="0"/>
  </r>
  <r>
    <x v="0"/>
    <x v="0"/>
    <x v="0"/>
    <x v="1"/>
    <x v="2"/>
    <s v="FIN_TAMP"/>
    <x v="10"/>
    <x v="0"/>
    <x v="0"/>
    <x v="0"/>
  </r>
  <r>
    <x v="0"/>
    <x v="0"/>
    <x v="0"/>
    <x v="1"/>
    <x v="2"/>
    <s v="FIN_TAMP"/>
    <x v="10"/>
    <x v="1"/>
    <x v="0"/>
    <x v="0"/>
  </r>
  <r>
    <x v="0"/>
    <x v="0"/>
    <x v="0"/>
    <x v="1"/>
    <x v="2"/>
    <s v="FIN_TAMP"/>
    <x v="10"/>
    <x v="2"/>
    <x v="0"/>
    <x v="0"/>
  </r>
  <r>
    <x v="0"/>
    <x v="0"/>
    <x v="0"/>
    <x v="1"/>
    <x v="2"/>
    <s v="FIN_TAMP"/>
    <x v="10"/>
    <x v="3"/>
    <x v="0"/>
    <x v="0"/>
  </r>
  <r>
    <x v="0"/>
    <x v="0"/>
    <x v="0"/>
    <x v="1"/>
    <x v="2"/>
    <s v="FIN_TAMP"/>
    <x v="10"/>
    <x v="4"/>
    <x v="0"/>
    <x v="0"/>
  </r>
  <r>
    <x v="0"/>
    <x v="0"/>
    <x v="0"/>
    <x v="1"/>
    <x v="2"/>
    <s v="FIN_TAMP"/>
    <x v="10"/>
    <x v="5"/>
    <x v="0"/>
    <x v="0"/>
  </r>
  <r>
    <x v="0"/>
    <x v="0"/>
    <x v="0"/>
    <x v="1"/>
    <x v="2"/>
    <s v="FIN_TAMP"/>
    <x v="10"/>
    <x v="6"/>
    <x v="0"/>
    <x v="0"/>
  </r>
  <r>
    <x v="0"/>
    <x v="0"/>
    <x v="0"/>
    <x v="1"/>
    <x v="2"/>
    <s v="FIN_TAMP"/>
    <x v="10"/>
    <x v="7"/>
    <x v="0"/>
    <x v="0"/>
  </r>
  <r>
    <x v="0"/>
    <x v="0"/>
    <x v="0"/>
    <x v="1"/>
    <x v="2"/>
    <s v="FIN_TAMP"/>
    <x v="10"/>
    <x v="8"/>
    <x v="0"/>
    <x v="0"/>
  </r>
  <r>
    <x v="0"/>
    <x v="0"/>
    <x v="0"/>
    <x v="1"/>
    <x v="2"/>
    <s v="FIN_TAMP"/>
    <x v="10"/>
    <x v="9"/>
    <x v="0"/>
    <x v="0"/>
  </r>
  <r>
    <x v="0"/>
    <x v="0"/>
    <x v="0"/>
    <x v="1"/>
    <x v="2"/>
    <s v="FIN_TAMP"/>
    <x v="10"/>
    <x v="10"/>
    <x v="0"/>
    <x v="0"/>
  </r>
  <r>
    <x v="0"/>
    <x v="0"/>
    <x v="0"/>
    <x v="1"/>
    <x v="2"/>
    <s v="FIN_TAMP"/>
    <x v="10"/>
    <x v="11"/>
    <x v="0"/>
    <x v="0"/>
  </r>
  <r>
    <x v="0"/>
    <x v="0"/>
    <x v="0"/>
    <x v="1"/>
    <x v="2"/>
    <s v="FIN_TAMP"/>
    <x v="11"/>
    <x v="0"/>
    <x v="0"/>
    <x v="0"/>
  </r>
  <r>
    <x v="0"/>
    <x v="0"/>
    <x v="0"/>
    <x v="1"/>
    <x v="2"/>
    <s v="FIN_TAMP"/>
    <x v="11"/>
    <x v="1"/>
    <x v="0"/>
    <x v="0"/>
  </r>
  <r>
    <x v="0"/>
    <x v="0"/>
    <x v="0"/>
    <x v="1"/>
    <x v="2"/>
    <s v="FIN_TAMP"/>
    <x v="11"/>
    <x v="2"/>
    <x v="0"/>
    <x v="0"/>
  </r>
  <r>
    <x v="0"/>
    <x v="0"/>
    <x v="0"/>
    <x v="1"/>
    <x v="2"/>
    <s v="FIN_TAMP"/>
    <x v="11"/>
    <x v="3"/>
    <x v="0"/>
    <x v="0"/>
  </r>
  <r>
    <x v="0"/>
    <x v="0"/>
    <x v="0"/>
    <x v="1"/>
    <x v="2"/>
    <s v="FIN_TAMP"/>
    <x v="11"/>
    <x v="4"/>
    <x v="0"/>
    <x v="0"/>
  </r>
  <r>
    <x v="0"/>
    <x v="0"/>
    <x v="0"/>
    <x v="1"/>
    <x v="2"/>
    <s v="FIN_TAMP"/>
    <x v="11"/>
    <x v="5"/>
    <x v="0"/>
    <x v="0"/>
  </r>
  <r>
    <x v="0"/>
    <x v="0"/>
    <x v="0"/>
    <x v="1"/>
    <x v="2"/>
    <s v="FIN_TAMP"/>
    <x v="11"/>
    <x v="6"/>
    <x v="0"/>
    <x v="0"/>
  </r>
  <r>
    <x v="0"/>
    <x v="0"/>
    <x v="0"/>
    <x v="1"/>
    <x v="2"/>
    <s v="FIN_TAMP"/>
    <x v="11"/>
    <x v="7"/>
    <x v="0"/>
    <x v="0"/>
  </r>
  <r>
    <x v="0"/>
    <x v="0"/>
    <x v="0"/>
    <x v="1"/>
    <x v="2"/>
    <s v="FIN_TAMP"/>
    <x v="11"/>
    <x v="8"/>
    <x v="0"/>
    <x v="0"/>
  </r>
  <r>
    <x v="0"/>
    <x v="0"/>
    <x v="0"/>
    <x v="1"/>
    <x v="2"/>
    <s v="FIN_TAMP"/>
    <x v="11"/>
    <x v="9"/>
    <x v="0"/>
    <x v="0"/>
  </r>
  <r>
    <x v="0"/>
    <x v="0"/>
    <x v="0"/>
    <x v="1"/>
    <x v="2"/>
    <s v="FIN_TAMP"/>
    <x v="11"/>
    <x v="10"/>
    <x v="0"/>
    <x v="0"/>
  </r>
  <r>
    <x v="0"/>
    <x v="0"/>
    <x v="0"/>
    <x v="1"/>
    <x v="2"/>
    <s v="FIN_TAMP"/>
    <x v="11"/>
    <x v="11"/>
    <x v="0"/>
    <x v="0"/>
  </r>
  <r>
    <x v="0"/>
    <x v="0"/>
    <x v="0"/>
    <x v="1"/>
    <x v="2"/>
    <s v="FinA"/>
    <x v="0"/>
    <x v="0"/>
    <x v="0"/>
    <x v="0"/>
  </r>
  <r>
    <x v="0"/>
    <x v="0"/>
    <x v="0"/>
    <x v="1"/>
    <x v="2"/>
    <s v="FinA"/>
    <x v="0"/>
    <x v="1"/>
    <x v="0"/>
    <x v="0"/>
  </r>
  <r>
    <x v="0"/>
    <x v="0"/>
    <x v="0"/>
    <x v="1"/>
    <x v="2"/>
    <s v="FinA"/>
    <x v="0"/>
    <x v="2"/>
    <x v="0"/>
    <x v="0"/>
  </r>
  <r>
    <x v="0"/>
    <x v="0"/>
    <x v="0"/>
    <x v="1"/>
    <x v="2"/>
    <s v="FinA"/>
    <x v="0"/>
    <x v="3"/>
    <x v="0"/>
    <x v="0"/>
  </r>
  <r>
    <x v="0"/>
    <x v="0"/>
    <x v="0"/>
    <x v="1"/>
    <x v="2"/>
    <s v="FinA"/>
    <x v="0"/>
    <x v="4"/>
    <x v="0"/>
    <x v="0"/>
  </r>
  <r>
    <x v="0"/>
    <x v="0"/>
    <x v="0"/>
    <x v="1"/>
    <x v="2"/>
    <s v="FinA"/>
    <x v="0"/>
    <x v="5"/>
    <x v="0"/>
    <x v="0"/>
  </r>
  <r>
    <x v="0"/>
    <x v="0"/>
    <x v="0"/>
    <x v="1"/>
    <x v="2"/>
    <s v="FinA"/>
    <x v="0"/>
    <x v="6"/>
    <x v="0"/>
    <x v="0"/>
  </r>
  <r>
    <x v="0"/>
    <x v="0"/>
    <x v="0"/>
    <x v="1"/>
    <x v="2"/>
    <s v="FinA"/>
    <x v="0"/>
    <x v="7"/>
    <x v="0"/>
    <x v="0"/>
  </r>
  <r>
    <x v="0"/>
    <x v="0"/>
    <x v="0"/>
    <x v="1"/>
    <x v="2"/>
    <s v="FinA"/>
    <x v="0"/>
    <x v="8"/>
    <x v="0"/>
    <x v="0"/>
  </r>
  <r>
    <x v="0"/>
    <x v="0"/>
    <x v="0"/>
    <x v="1"/>
    <x v="2"/>
    <s v="FinA"/>
    <x v="0"/>
    <x v="9"/>
    <x v="0"/>
    <x v="0"/>
  </r>
  <r>
    <x v="0"/>
    <x v="0"/>
    <x v="0"/>
    <x v="1"/>
    <x v="2"/>
    <s v="FinA"/>
    <x v="0"/>
    <x v="10"/>
    <x v="0"/>
    <x v="0"/>
  </r>
  <r>
    <x v="0"/>
    <x v="0"/>
    <x v="0"/>
    <x v="1"/>
    <x v="2"/>
    <s v="FinA"/>
    <x v="0"/>
    <x v="11"/>
    <x v="0"/>
    <x v="0"/>
  </r>
  <r>
    <x v="0"/>
    <x v="0"/>
    <x v="0"/>
    <x v="1"/>
    <x v="2"/>
    <s v="FinA"/>
    <x v="1"/>
    <x v="0"/>
    <x v="0"/>
    <x v="0"/>
  </r>
  <r>
    <x v="0"/>
    <x v="0"/>
    <x v="0"/>
    <x v="1"/>
    <x v="2"/>
    <s v="FinA"/>
    <x v="1"/>
    <x v="1"/>
    <x v="0"/>
    <x v="0"/>
  </r>
  <r>
    <x v="0"/>
    <x v="0"/>
    <x v="0"/>
    <x v="1"/>
    <x v="2"/>
    <s v="FinA"/>
    <x v="1"/>
    <x v="2"/>
    <x v="0"/>
    <x v="0"/>
  </r>
  <r>
    <x v="0"/>
    <x v="0"/>
    <x v="0"/>
    <x v="1"/>
    <x v="2"/>
    <s v="FinA"/>
    <x v="1"/>
    <x v="3"/>
    <x v="0"/>
    <x v="0"/>
  </r>
  <r>
    <x v="0"/>
    <x v="0"/>
    <x v="0"/>
    <x v="1"/>
    <x v="2"/>
    <s v="FinA"/>
    <x v="1"/>
    <x v="4"/>
    <x v="0"/>
    <x v="0"/>
  </r>
  <r>
    <x v="0"/>
    <x v="0"/>
    <x v="0"/>
    <x v="1"/>
    <x v="2"/>
    <s v="FinA"/>
    <x v="1"/>
    <x v="5"/>
    <x v="0"/>
    <x v="0"/>
  </r>
  <r>
    <x v="0"/>
    <x v="0"/>
    <x v="0"/>
    <x v="1"/>
    <x v="2"/>
    <s v="FinA"/>
    <x v="1"/>
    <x v="6"/>
    <x v="0"/>
    <x v="0"/>
  </r>
  <r>
    <x v="0"/>
    <x v="0"/>
    <x v="0"/>
    <x v="1"/>
    <x v="2"/>
    <s v="FinA"/>
    <x v="1"/>
    <x v="7"/>
    <x v="0"/>
    <x v="0"/>
  </r>
  <r>
    <x v="0"/>
    <x v="0"/>
    <x v="0"/>
    <x v="1"/>
    <x v="2"/>
    <s v="FinA"/>
    <x v="1"/>
    <x v="8"/>
    <x v="0"/>
    <x v="0"/>
  </r>
  <r>
    <x v="0"/>
    <x v="0"/>
    <x v="0"/>
    <x v="1"/>
    <x v="2"/>
    <s v="FinA"/>
    <x v="1"/>
    <x v="9"/>
    <x v="0"/>
    <x v="0"/>
  </r>
  <r>
    <x v="0"/>
    <x v="0"/>
    <x v="0"/>
    <x v="1"/>
    <x v="2"/>
    <s v="FinA"/>
    <x v="1"/>
    <x v="10"/>
    <x v="0"/>
    <x v="0"/>
  </r>
  <r>
    <x v="0"/>
    <x v="0"/>
    <x v="0"/>
    <x v="1"/>
    <x v="2"/>
    <s v="FinA"/>
    <x v="1"/>
    <x v="11"/>
    <x v="0"/>
    <x v="0"/>
  </r>
  <r>
    <x v="0"/>
    <x v="0"/>
    <x v="0"/>
    <x v="1"/>
    <x v="2"/>
    <s v="FinA"/>
    <x v="2"/>
    <x v="0"/>
    <x v="0"/>
    <x v="0"/>
  </r>
  <r>
    <x v="0"/>
    <x v="0"/>
    <x v="0"/>
    <x v="1"/>
    <x v="2"/>
    <s v="FinA"/>
    <x v="2"/>
    <x v="1"/>
    <x v="0"/>
    <x v="0"/>
  </r>
  <r>
    <x v="0"/>
    <x v="0"/>
    <x v="0"/>
    <x v="1"/>
    <x v="2"/>
    <s v="FinA"/>
    <x v="2"/>
    <x v="2"/>
    <x v="0"/>
    <x v="0"/>
  </r>
  <r>
    <x v="0"/>
    <x v="0"/>
    <x v="0"/>
    <x v="1"/>
    <x v="2"/>
    <s v="FinA"/>
    <x v="2"/>
    <x v="3"/>
    <x v="0"/>
    <x v="0"/>
  </r>
  <r>
    <x v="0"/>
    <x v="0"/>
    <x v="0"/>
    <x v="1"/>
    <x v="2"/>
    <s v="FinA"/>
    <x v="2"/>
    <x v="4"/>
    <x v="0"/>
    <x v="0"/>
  </r>
  <r>
    <x v="0"/>
    <x v="0"/>
    <x v="0"/>
    <x v="1"/>
    <x v="2"/>
    <s v="FinA"/>
    <x v="2"/>
    <x v="5"/>
    <x v="0"/>
    <x v="0"/>
  </r>
  <r>
    <x v="0"/>
    <x v="0"/>
    <x v="0"/>
    <x v="1"/>
    <x v="2"/>
    <s v="FinA"/>
    <x v="2"/>
    <x v="6"/>
    <x v="0"/>
    <x v="0"/>
  </r>
  <r>
    <x v="0"/>
    <x v="0"/>
    <x v="0"/>
    <x v="1"/>
    <x v="2"/>
    <s v="FinA"/>
    <x v="2"/>
    <x v="7"/>
    <x v="0"/>
    <x v="0"/>
  </r>
  <r>
    <x v="0"/>
    <x v="0"/>
    <x v="0"/>
    <x v="1"/>
    <x v="2"/>
    <s v="FinA"/>
    <x v="2"/>
    <x v="8"/>
    <x v="0"/>
    <x v="0"/>
  </r>
  <r>
    <x v="0"/>
    <x v="0"/>
    <x v="0"/>
    <x v="1"/>
    <x v="2"/>
    <s v="FinA"/>
    <x v="2"/>
    <x v="9"/>
    <x v="0"/>
    <x v="0"/>
  </r>
  <r>
    <x v="0"/>
    <x v="0"/>
    <x v="0"/>
    <x v="1"/>
    <x v="2"/>
    <s v="FinA"/>
    <x v="2"/>
    <x v="10"/>
    <x v="0"/>
    <x v="0"/>
  </r>
  <r>
    <x v="0"/>
    <x v="0"/>
    <x v="0"/>
    <x v="1"/>
    <x v="2"/>
    <s v="FinA"/>
    <x v="2"/>
    <x v="11"/>
    <x v="0"/>
    <x v="0"/>
  </r>
  <r>
    <x v="0"/>
    <x v="0"/>
    <x v="0"/>
    <x v="1"/>
    <x v="2"/>
    <s v="FinA"/>
    <x v="3"/>
    <x v="0"/>
    <x v="0"/>
    <x v="0"/>
  </r>
  <r>
    <x v="0"/>
    <x v="0"/>
    <x v="0"/>
    <x v="1"/>
    <x v="2"/>
    <s v="FinA"/>
    <x v="3"/>
    <x v="1"/>
    <x v="0"/>
    <x v="0"/>
  </r>
  <r>
    <x v="0"/>
    <x v="0"/>
    <x v="0"/>
    <x v="1"/>
    <x v="2"/>
    <s v="FinA"/>
    <x v="3"/>
    <x v="2"/>
    <x v="0"/>
    <x v="0"/>
  </r>
  <r>
    <x v="0"/>
    <x v="0"/>
    <x v="0"/>
    <x v="1"/>
    <x v="2"/>
    <s v="FinA"/>
    <x v="3"/>
    <x v="3"/>
    <x v="0"/>
    <x v="0"/>
  </r>
  <r>
    <x v="0"/>
    <x v="0"/>
    <x v="0"/>
    <x v="1"/>
    <x v="2"/>
    <s v="FinA"/>
    <x v="3"/>
    <x v="4"/>
    <x v="0"/>
    <x v="0"/>
  </r>
  <r>
    <x v="0"/>
    <x v="0"/>
    <x v="0"/>
    <x v="1"/>
    <x v="2"/>
    <s v="FinA"/>
    <x v="3"/>
    <x v="5"/>
    <x v="0"/>
    <x v="0"/>
  </r>
  <r>
    <x v="0"/>
    <x v="0"/>
    <x v="0"/>
    <x v="1"/>
    <x v="2"/>
    <s v="FinA"/>
    <x v="3"/>
    <x v="6"/>
    <x v="0"/>
    <x v="0"/>
  </r>
  <r>
    <x v="0"/>
    <x v="0"/>
    <x v="0"/>
    <x v="1"/>
    <x v="2"/>
    <s v="FinA"/>
    <x v="3"/>
    <x v="7"/>
    <x v="0"/>
    <x v="0"/>
  </r>
  <r>
    <x v="0"/>
    <x v="0"/>
    <x v="0"/>
    <x v="1"/>
    <x v="2"/>
    <s v="FinA"/>
    <x v="3"/>
    <x v="8"/>
    <x v="0"/>
    <x v="0"/>
  </r>
  <r>
    <x v="0"/>
    <x v="0"/>
    <x v="0"/>
    <x v="1"/>
    <x v="2"/>
    <s v="FinA"/>
    <x v="3"/>
    <x v="9"/>
    <x v="0"/>
    <x v="0"/>
  </r>
  <r>
    <x v="0"/>
    <x v="0"/>
    <x v="0"/>
    <x v="1"/>
    <x v="2"/>
    <s v="FinA"/>
    <x v="3"/>
    <x v="10"/>
    <x v="0"/>
    <x v="0"/>
  </r>
  <r>
    <x v="0"/>
    <x v="0"/>
    <x v="0"/>
    <x v="1"/>
    <x v="2"/>
    <s v="FinA"/>
    <x v="3"/>
    <x v="11"/>
    <x v="0"/>
    <x v="0"/>
  </r>
  <r>
    <x v="0"/>
    <x v="0"/>
    <x v="0"/>
    <x v="1"/>
    <x v="2"/>
    <s v="FinA"/>
    <x v="4"/>
    <x v="0"/>
    <x v="0"/>
    <x v="0"/>
  </r>
  <r>
    <x v="0"/>
    <x v="0"/>
    <x v="0"/>
    <x v="1"/>
    <x v="2"/>
    <s v="FinA"/>
    <x v="4"/>
    <x v="1"/>
    <x v="0"/>
    <x v="0"/>
  </r>
  <r>
    <x v="0"/>
    <x v="0"/>
    <x v="0"/>
    <x v="1"/>
    <x v="2"/>
    <s v="FinA"/>
    <x v="4"/>
    <x v="2"/>
    <x v="0"/>
    <x v="0"/>
  </r>
  <r>
    <x v="0"/>
    <x v="0"/>
    <x v="0"/>
    <x v="1"/>
    <x v="2"/>
    <s v="FinA"/>
    <x v="4"/>
    <x v="3"/>
    <x v="0"/>
    <x v="0"/>
  </r>
  <r>
    <x v="0"/>
    <x v="0"/>
    <x v="0"/>
    <x v="1"/>
    <x v="2"/>
    <s v="FinA"/>
    <x v="4"/>
    <x v="4"/>
    <x v="0"/>
    <x v="0"/>
  </r>
  <r>
    <x v="0"/>
    <x v="0"/>
    <x v="0"/>
    <x v="1"/>
    <x v="2"/>
    <s v="FinA"/>
    <x v="4"/>
    <x v="5"/>
    <x v="0"/>
    <x v="0"/>
  </r>
  <r>
    <x v="0"/>
    <x v="0"/>
    <x v="0"/>
    <x v="1"/>
    <x v="2"/>
    <s v="FinA"/>
    <x v="4"/>
    <x v="6"/>
    <x v="0"/>
    <x v="0"/>
  </r>
  <r>
    <x v="0"/>
    <x v="0"/>
    <x v="0"/>
    <x v="1"/>
    <x v="2"/>
    <s v="FinA"/>
    <x v="4"/>
    <x v="7"/>
    <x v="0"/>
    <x v="0"/>
  </r>
  <r>
    <x v="0"/>
    <x v="0"/>
    <x v="0"/>
    <x v="1"/>
    <x v="2"/>
    <s v="FinA"/>
    <x v="4"/>
    <x v="8"/>
    <x v="0"/>
    <x v="0"/>
  </r>
  <r>
    <x v="0"/>
    <x v="0"/>
    <x v="0"/>
    <x v="1"/>
    <x v="2"/>
    <s v="FinA"/>
    <x v="4"/>
    <x v="9"/>
    <x v="0"/>
    <x v="0"/>
  </r>
  <r>
    <x v="0"/>
    <x v="0"/>
    <x v="0"/>
    <x v="1"/>
    <x v="2"/>
    <s v="FinA"/>
    <x v="4"/>
    <x v="10"/>
    <x v="0"/>
    <x v="0"/>
  </r>
  <r>
    <x v="0"/>
    <x v="0"/>
    <x v="0"/>
    <x v="1"/>
    <x v="2"/>
    <s v="FinA"/>
    <x v="4"/>
    <x v="11"/>
    <x v="0"/>
    <x v="0"/>
  </r>
  <r>
    <x v="0"/>
    <x v="0"/>
    <x v="0"/>
    <x v="1"/>
    <x v="2"/>
    <s v="FinA"/>
    <x v="5"/>
    <x v="0"/>
    <x v="0"/>
    <x v="0"/>
  </r>
  <r>
    <x v="0"/>
    <x v="0"/>
    <x v="0"/>
    <x v="1"/>
    <x v="2"/>
    <s v="FinA"/>
    <x v="5"/>
    <x v="1"/>
    <x v="0"/>
    <x v="0"/>
  </r>
  <r>
    <x v="0"/>
    <x v="0"/>
    <x v="0"/>
    <x v="1"/>
    <x v="2"/>
    <s v="FinA"/>
    <x v="5"/>
    <x v="2"/>
    <x v="0"/>
    <x v="0"/>
  </r>
  <r>
    <x v="0"/>
    <x v="0"/>
    <x v="0"/>
    <x v="1"/>
    <x v="2"/>
    <s v="FinA"/>
    <x v="5"/>
    <x v="3"/>
    <x v="0"/>
    <x v="0"/>
  </r>
  <r>
    <x v="0"/>
    <x v="0"/>
    <x v="0"/>
    <x v="1"/>
    <x v="2"/>
    <s v="FinA"/>
    <x v="5"/>
    <x v="4"/>
    <x v="0"/>
    <x v="0"/>
  </r>
  <r>
    <x v="0"/>
    <x v="0"/>
    <x v="0"/>
    <x v="1"/>
    <x v="2"/>
    <s v="FinA"/>
    <x v="5"/>
    <x v="5"/>
    <x v="0"/>
    <x v="0"/>
  </r>
  <r>
    <x v="0"/>
    <x v="0"/>
    <x v="0"/>
    <x v="1"/>
    <x v="2"/>
    <s v="FinA"/>
    <x v="5"/>
    <x v="6"/>
    <x v="0"/>
    <x v="0"/>
  </r>
  <r>
    <x v="0"/>
    <x v="0"/>
    <x v="0"/>
    <x v="1"/>
    <x v="2"/>
    <s v="FinA"/>
    <x v="5"/>
    <x v="7"/>
    <x v="0"/>
    <x v="0"/>
  </r>
  <r>
    <x v="0"/>
    <x v="0"/>
    <x v="0"/>
    <x v="1"/>
    <x v="2"/>
    <s v="FinA"/>
    <x v="5"/>
    <x v="8"/>
    <x v="0"/>
    <x v="0"/>
  </r>
  <r>
    <x v="0"/>
    <x v="0"/>
    <x v="0"/>
    <x v="1"/>
    <x v="2"/>
    <s v="FinA"/>
    <x v="5"/>
    <x v="9"/>
    <x v="0"/>
    <x v="0"/>
  </r>
  <r>
    <x v="0"/>
    <x v="0"/>
    <x v="0"/>
    <x v="1"/>
    <x v="2"/>
    <s v="FinA"/>
    <x v="5"/>
    <x v="10"/>
    <x v="0"/>
    <x v="0"/>
  </r>
  <r>
    <x v="0"/>
    <x v="0"/>
    <x v="0"/>
    <x v="1"/>
    <x v="2"/>
    <s v="FinA"/>
    <x v="5"/>
    <x v="11"/>
    <x v="0"/>
    <x v="0"/>
  </r>
  <r>
    <x v="0"/>
    <x v="0"/>
    <x v="0"/>
    <x v="1"/>
    <x v="2"/>
    <s v="FinA"/>
    <x v="6"/>
    <x v="0"/>
    <x v="0"/>
    <x v="0"/>
  </r>
  <r>
    <x v="0"/>
    <x v="0"/>
    <x v="0"/>
    <x v="1"/>
    <x v="2"/>
    <s v="FinA"/>
    <x v="6"/>
    <x v="1"/>
    <x v="0"/>
    <x v="0"/>
  </r>
  <r>
    <x v="0"/>
    <x v="0"/>
    <x v="0"/>
    <x v="1"/>
    <x v="2"/>
    <s v="FinA"/>
    <x v="6"/>
    <x v="2"/>
    <x v="0"/>
    <x v="0"/>
  </r>
  <r>
    <x v="0"/>
    <x v="0"/>
    <x v="0"/>
    <x v="1"/>
    <x v="2"/>
    <s v="FinA"/>
    <x v="6"/>
    <x v="3"/>
    <x v="0"/>
    <x v="0"/>
  </r>
  <r>
    <x v="0"/>
    <x v="0"/>
    <x v="0"/>
    <x v="1"/>
    <x v="2"/>
    <s v="FinA"/>
    <x v="6"/>
    <x v="4"/>
    <x v="0"/>
    <x v="0"/>
  </r>
  <r>
    <x v="0"/>
    <x v="0"/>
    <x v="0"/>
    <x v="1"/>
    <x v="2"/>
    <s v="FinA"/>
    <x v="6"/>
    <x v="5"/>
    <x v="0"/>
    <x v="0"/>
  </r>
  <r>
    <x v="0"/>
    <x v="0"/>
    <x v="0"/>
    <x v="1"/>
    <x v="2"/>
    <s v="FinA"/>
    <x v="6"/>
    <x v="6"/>
    <x v="0"/>
    <x v="0"/>
  </r>
  <r>
    <x v="0"/>
    <x v="0"/>
    <x v="0"/>
    <x v="1"/>
    <x v="2"/>
    <s v="FinA"/>
    <x v="6"/>
    <x v="7"/>
    <x v="0"/>
    <x v="0"/>
  </r>
  <r>
    <x v="0"/>
    <x v="0"/>
    <x v="0"/>
    <x v="1"/>
    <x v="2"/>
    <s v="FinA"/>
    <x v="6"/>
    <x v="8"/>
    <x v="0"/>
    <x v="0"/>
  </r>
  <r>
    <x v="0"/>
    <x v="0"/>
    <x v="0"/>
    <x v="1"/>
    <x v="2"/>
    <s v="FinA"/>
    <x v="6"/>
    <x v="9"/>
    <x v="0"/>
    <x v="0"/>
  </r>
  <r>
    <x v="0"/>
    <x v="0"/>
    <x v="0"/>
    <x v="1"/>
    <x v="2"/>
    <s v="FinA"/>
    <x v="6"/>
    <x v="10"/>
    <x v="0"/>
    <x v="0"/>
  </r>
  <r>
    <x v="0"/>
    <x v="0"/>
    <x v="0"/>
    <x v="1"/>
    <x v="2"/>
    <s v="FinA"/>
    <x v="6"/>
    <x v="11"/>
    <x v="0"/>
    <x v="0"/>
  </r>
  <r>
    <x v="0"/>
    <x v="0"/>
    <x v="0"/>
    <x v="1"/>
    <x v="2"/>
    <s v="FinA"/>
    <x v="7"/>
    <x v="0"/>
    <x v="0"/>
    <x v="0"/>
  </r>
  <r>
    <x v="0"/>
    <x v="0"/>
    <x v="0"/>
    <x v="1"/>
    <x v="2"/>
    <s v="FinA"/>
    <x v="7"/>
    <x v="1"/>
    <x v="0"/>
    <x v="0"/>
  </r>
  <r>
    <x v="0"/>
    <x v="0"/>
    <x v="0"/>
    <x v="1"/>
    <x v="2"/>
    <s v="FinA"/>
    <x v="7"/>
    <x v="2"/>
    <x v="0"/>
    <x v="0"/>
  </r>
  <r>
    <x v="0"/>
    <x v="0"/>
    <x v="0"/>
    <x v="1"/>
    <x v="2"/>
    <s v="FinA"/>
    <x v="7"/>
    <x v="3"/>
    <x v="0"/>
    <x v="0"/>
  </r>
  <r>
    <x v="0"/>
    <x v="0"/>
    <x v="0"/>
    <x v="1"/>
    <x v="2"/>
    <s v="FinA"/>
    <x v="7"/>
    <x v="4"/>
    <x v="0"/>
    <x v="0"/>
  </r>
  <r>
    <x v="0"/>
    <x v="0"/>
    <x v="0"/>
    <x v="1"/>
    <x v="2"/>
    <s v="FinA"/>
    <x v="7"/>
    <x v="5"/>
    <x v="0"/>
    <x v="0"/>
  </r>
  <r>
    <x v="0"/>
    <x v="0"/>
    <x v="0"/>
    <x v="1"/>
    <x v="2"/>
    <s v="FinA"/>
    <x v="7"/>
    <x v="6"/>
    <x v="0"/>
    <x v="0"/>
  </r>
  <r>
    <x v="0"/>
    <x v="0"/>
    <x v="0"/>
    <x v="1"/>
    <x v="2"/>
    <s v="FinA"/>
    <x v="7"/>
    <x v="7"/>
    <x v="0"/>
    <x v="0"/>
  </r>
  <r>
    <x v="0"/>
    <x v="0"/>
    <x v="0"/>
    <x v="1"/>
    <x v="2"/>
    <s v="FinA"/>
    <x v="7"/>
    <x v="8"/>
    <x v="0"/>
    <x v="0"/>
  </r>
  <r>
    <x v="0"/>
    <x v="0"/>
    <x v="0"/>
    <x v="1"/>
    <x v="2"/>
    <s v="FinA"/>
    <x v="7"/>
    <x v="9"/>
    <x v="0"/>
    <x v="0"/>
  </r>
  <r>
    <x v="0"/>
    <x v="0"/>
    <x v="0"/>
    <x v="1"/>
    <x v="2"/>
    <s v="FinA"/>
    <x v="7"/>
    <x v="10"/>
    <x v="0"/>
    <x v="0"/>
  </r>
  <r>
    <x v="0"/>
    <x v="0"/>
    <x v="0"/>
    <x v="1"/>
    <x v="2"/>
    <s v="FinA"/>
    <x v="7"/>
    <x v="11"/>
    <x v="0"/>
    <x v="0"/>
  </r>
  <r>
    <x v="0"/>
    <x v="0"/>
    <x v="0"/>
    <x v="1"/>
    <x v="2"/>
    <s v="FinA"/>
    <x v="8"/>
    <x v="0"/>
    <x v="0"/>
    <x v="0"/>
  </r>
  <r>
    <x v="0"/>
    <x v="0"/>
    <x v="0"/>
    <x v="1"/>
    <x v="2"/>
    <s v="FinA"/>
    <x v="8"/>
    <x v="1"/>
    <x v="0"/>
    <x v="0"/>
  </r>
  <r>
    <x v="0"/>
    <x v="0"/>
    <x v="0"/>
    <x v="1"/>
    <x v="2"/>
    <s v="FinA"/>
    <x v="8"/>
    <x v="2"/>
    <x v="0"/>
    <x v="0"/>
  </r>
  <r>
    <x v="0"/>
    <x v="0"/>
    <x v="0"/>
    <x v="1"/>
    <x v="2"/>
    <s v="FinA"/>
    <x v="8"/>
    <x v="3"/>
    <x v="0"/>
    <x v="0"/>
  </r>
  <r>
    <x v="0"/>
    <x v="0"/>
    <x v="0"/>
    <x v="1"/>
    <x v="2"/>
    <s v="FinA"/>
    <x v="8"/>
    <x v="4"/>
    <x v="0"/>
    <x v="0"/>
  </r>
  <r>
    <x v="0"/>
    <x v="0"/>
    <x v="0"/>
    <x v="1"/>
    <x v="2"/>
    <s v="FinA"/>
    <x v="8"/>
    <x v="5"/>
    <x v="0"/>
    <x v="0"/>
  </r>
  <r>
    <x v="0"/>
    <x v="0"/>
    <x v="0"/>
    <x v="1"/>
    <x v="2"/>
    <s v="FinA"/>
    <x v="8"/>
    <x v="6"/>
    <x v="0"/>
    <x v="0"/>
  </r>
  <r>
    <x v="0"/>
    <x v="0"/>
    <x v="0"/>
    <x v="1"/>
    <x v="2"/>
    <s v="FinA"/>
    <x v="8"/>
    <x v="7"/>
    <x v="0"/>
    <x v="0"/>
  </r>
  <r>
    <x v="0"/>
    <x v="0"/>
    <x v="0"/>
    <x v="1"/>
    <x v="2"/>
    <s v="FinA"/>
    <x v="8"/>
    <x v="8"/>
    <x v="0"/>
    <x v="0"/>
  </r>
  <r>
    <x v="0"/>
    <x v="0"/>
    <x v="0"/>
    <x v="1"/>
    <x v="2"/>
    <s v="FinA"/>
    <x v="8"/>
    <x v="9"/>
    <x v="0"/>
    <x v="0"/>
  </r>
  <r>
    <x v="0"/>
    <x v="0"/>
    <x v="0"/>
    <x v="1"/>
    <x v="2"/>
    <s v="FinA"/>
    <x v="8"/>
    <x v="10"/>
    <x v="0"/>
    <x v="0"/>
  </r>
  <r>
    <x v="0"/>
    <x v="0"/>
    <x v="0"/>
    <x v="1"/>
    <x v="2"/>
    <s v="FinA"/>
    <x v="8"/>
    <x v="11"/>
    <x v="0"/>
    <x v="0"/>
  </r>
  <r>
    <x v="0"/>
    <x v="0"/>
    <x v="0"/>
    <x v="1"/>
    <x v="2"/>
    <s v="FinA"/>
    <x v="9"/>
    <x v="0"/>
    <x v="0"/>
    <x v="0"/>
  </r>
  <r>
    <x v="0"/>
    <x v="0"/>
    <x v="0"/>
    <x v="1"/>
    <x v="2"/>
    <s v="FinA"/>
    <x v="9"/>
    <x v="1"/>
    <x v="0"/>
    <x v="0"/>
  </r>
  <r>
    <x v="0"/>
    <x v="0"/>
    <x v="0"/>
    <x v="1"/>
    <x v="2"/>
    <s v="FinA"/>
    <x v="9"/>
    <x v="2"/>
    <x v="0"/>
    <x v="0"/>
  </r>
  <r>
    <x v="0"/>
    <x v="0"/>
    <x v="0"/>
    <x v="1"/>
    <x v="2"/>
    <s v="FinA"/>
    <x v="9"/>
    <x v="3"/>
    <x v="0"/>
    <x v="0"/>
  </r>
  <r>
    <x v="0"/>
    <x v="0"/>
    <x v="0"/>
    <x v="1"/>
    <x v="2"/>
    <s v="FinA"/>
    <x v="9"/>
    <x v="4"/>
    <x v="0"/>
    <x v="0"/>
  </r>
  <r>
    <x v="0"/>
    <x v="0"/>
    <x v="0"/>
    <x v="1"/>
    <x v="2"/>
    <s v="FinA"/>
    <x v="9"/>
    <x v="5"/>
    <x v="0"/>
    <x v="0"/>
  </r>
  <r>
    <x v="0"/>
    <x v="0"/>
    <x v="0"/>
    <x v="1"/>
    <x v="2"/>
    <s v="FinA"/>
    <x v="9"/>
    <x v="6"/>
    <x v="0"/>
    <x v="0"/>
  </r>
  <r>
    <x v="0"/>
    <x v="0"/>
    <x v="0"/>
    <x v="1"/>
    <x v="2"/>
    <s v="FinA"/>
    <x v="9"/>
    <x v="7"/>
    <x v="0"/>
    <x v="0"/>
  </r>
  <r>
    <x v="0"/>
    <x v="0"/>
    <x v="0"/>
    <x v="1"/>
    <x v="2"/>
    <s v="FinA"/>
    <x v="9"/>
    <x v="8"/>
    <x v="0"/>
    <x v="0"/>
  </r>
  <r>
    <x v="0"/>
    <x v="0"/>
    <x v="0"/>
    <x v="1"/>
    <x v="2"/>
    <s v="FinA"/>
    <x v="9"/>
    <x v="9"/>
    <x v="0"/>
    <x v="0"/>
  </r>
  <r>
    <x v="0"/>
    <x v="0"/>
    <x v="0"/>
    <x v="1"/>
    <x v="2"/>
    <s v="FinA"/>
    <x v="9"/>
    <x v="10"/>
    <x v="0"/>
    <x v="0"/>
  </r>
  <r>
    <x v="0"/>
    <x v="0"/>
    <x v="0"/>
    <x v="1"/>
    <x v="2"/>
    <s v="FinA"/>
    <x v="9"/>
    <x v="11"/>
    <x v="0"/>
    <x v="0"/>
  </r>
  <r>
    <x v="0"/>
    <x v="0"/>
    <x v="0"/>
    <x v="1"/>
    <x v="2"/>
    <s v="FinA"/>
    <x v="10"/>
    <x v="0"/>
    <x v="0"/>
    <x v="0"/>
  </r>
  <r>
    <x v="0"/>
    <x v="0"/>
    <x v="0"/>
    <x v="1"/>
    <x v="2"/>
    <s v="FinA"/>
    <x v="10"/>
    <x v="1"/>
    <x v="0"/>
    <x v="0"/>
  </r>
  <r>
    <x v="0"/>
    <x v="0"/>
    <x v="0"/>
    <x v="1"/>
    <x v="2"/>
    <s v="FinA"/>
    <x v="10"/>
    <x v="2"/>
    <x v="0"/>
    <x v="0"/>
  </r>
  <r>
    <x v="0"/>
    <x v="0"/>
    <x v="0"/>
    <x v="1"/>
    <x v="2"/>
    <s v="FinA"/>
    <x v="10"/>
    <x v="3"/>
    <x v="0"/>
    <x v="0"/>
  </r>
  <r>
    <x v="0"/>
    <x v="0"/>
    <x v="0"/>
    <x v="1"/>
    <x v="2"/>
    <s v="FinA"/>
    <x v="10"/>
    <x v="4"/>
    <x v="0"/>
    <x v="0"/>
  </r>
  <r>
    <x v="0"/>
    <x v="0"/>
    <x v="0"/>
    <x v="1"/>
    <x v="2"/>
    <s v="FinA"/>
    <x v="10"/>
    <x v="5"/>
    <x v="0"/>
    <x v="0"/>
  </r>
  <r>
    <x v="0"/>
    <x v="0"/>
    <x v="0"/>
    <x v="1"/>
    <x v="2"/>
    <s v="FinA"/>
    <x v="10"/>
    <x v="6"/>
    <x v="0"/>
    <x v="0"/>
  </r>
  <r>
    <x v="0"/>
    <x v="0"/>
    <x v="0"/>
    <x v="1"/>
    <x v="2"/>
    <s v="FinA"/>
    <x v="10"/>
    <x v="7"/>
    <x v="0"/>
    <x v="0"/>
  </r>
  <r>
    <x v="0"/>
    <x v="0"/>
    <x v="0"/>
    <x v="1"/>
    <x v="2"/>
    <s v="FinA"/>
    <x v="10"/>
    <x v="8"/>
    <x v="0"/>
    <x v="0"/>
  </r>
  <r>
    <x v="0"/>
    <x v="0"/>
    <x v="0"/>
    <x v="1"/>
    <x v="2"/>
    <s v="FinA"/>
    <x v="10"/>
    <x v="9"/>
    <x v="0"/>
    <x v="0"/>
  </r>
  <r>
    <x v="0"/>
    <x v="0"/>
    <x v="0"/>
    <x v="1"/>
    <x v="2"/>
    <s v="FinA"/>
    <x v="10"/>
    <x v="10"/>
    <x v="0"/>
    <x v="0"/>
  </r>
  <r>
    <x v="0"/>
    <x v="0"/>
    <x v="0"/>
    <x v="1"/>
    <x v="2"/>
    <s v="FinA"/>
    <x v="10"/>
    <x v="11"/>
    <x v="0"/>
    <x v="0"/>
  </r>
  <r>
    <x v="0"/>
    <x v="0"/>
    <x v="0"/>
    <x v="1"/>
    <x v="2"/>
    <s v="FinA"/>
    <x v="11"/>
    <x v="0"/>
    <x v="0"/>
    <x v="0"/>
  </r>
  <r>
    <x v="0"/>
    <x v="0"/>
    <x v="0"/>
    <x v="1"/>
    <x v="2"/>
    <s v="FinA"/>
    <x v="11"/>
    <x v="1"/>
    <x v="0"/>
    <x v="0"/>
  </r>
  <r>
    <x v="0"/>
    <x v="0"/>
    <x v="0"/>
    <x v="1"/>
    <x v="2"/>
    <s v="FinA"/>
    <x v="11"/>
    <x v="2"/>
    <x v="0"/>
    <x v="0"/>
  </r>
  <r>
    <x v="0"/>
    <x v="0"/>
    <x v="0"/>
    <x v="1"/>
    <x v="2"/>
    <s v="FinA"/>
    <x v="11"/>
    <x v="3"/>
    <x v="0"/>
    <x v="0"/>
  </r>
  <r>
    <x v="0"/>
    <x v="0"/>
    <x v="0"/>
    <x v="1"/>
    <x v="2"/>
    <s v="FinA"/>
    <x v="11"/>
    <x v="4"/>
    <x v="0"/>
    <x v="0"/>
  </r>
  <r>
    <x v="0"/>
    <x v="0"/>
    <x v="0"/>
    <x v="1"/>
    <x v="2"/>
    <s v="FinA"/>
    <x v="11"/>
    <x v="5"/>
    <x v="0"/>
    <x v="0"/>
  </r>
  <r>
    <x v="0"/>
    <x v="0"/>
    <x v="0"/>
    <x v="1"/>
    <x v="2"/>
    <s v="FinA"/>
    <x v="11"/>
    <x v="6"/>
    <x v="0"/>
    <x v="0"/>
  </r>
  <r>
    <x v="0"/>
    <x v="0"/>
    <x v="0"/>
    <x v="1"/>
    <x v="2"/>
    <s v="FinA"/>
    <x v="11"/>
    <x v="7"/>
    <x v="0"/>
    <x v="0"/>
  </r>
  <r>
    <x v="0"/>
    <x v="0"/>
    <x v="0"/>
    <x v="1"/>
    <x v="2"/>
    <s v="FinA"/>
    <x v="11"/>
    <x v="8"/>
    <x v="0"/>
    <x v="0"/>
  </r>
  <r>
    <x v="0"/>
    <x v="0"/>
    <x v="0"/>
    <x v="1"/>
    <x v="2"/>
    <s v="FinA"/>
    <x v="11"/>
    <x v="9"/>
    <x v="0"/>
    <x v="0"/>
  </r>
  <r>
    <x v="0"/>
    <x v="0"/>
    <x v="0"/>
    <x v="1"/>
    <x v="2"/>
    <s v="FinA"/>
    <x v="11"/>
    <x v="10"/>
    <x v="0"/>
    <x v="0"/>
  </r>
  <r>
    <x v="0"/>
    <x v="0"/>
    <x v="0"/>
    <x v="1"/>
    <x v="2"/>
    <s v="FinA"/>
    <x v="11"/>
    <x v="11"/>
    <x v="0"/>
    <x v="0"/>
  </r>
  <r>
    <x v="0"/>
    <x v="0"/>
    <x v="0"/>
    <x v="2"/>
    <x v="3"/>
    <s v="GerA"/>
    <x v="0"/>
    <x v="0"/>
    <x v="0"/>
    <x v="0"/>
  </r>
  <r>
    <x v="0"/>
    <x v="0"/>
    <x v="0"/>
    <x v="2"/>
    <x v="3"/>
    <s v="GerA"/>
    <x v="0"/>
    <x v="1"/>
    <x v="0"/>
    <x v="0"/>
  </r>
  <r>
    <x v="0"/>
    <x v="0"/>
    <x v="0"/>
    <x v="2"/>
    <x v="3"/>
    <s v="GerA"/>
    <x v="0"/>
    <x v="2"/>
    <x v="0"/>
    <x v="0"/>
  </r>
  <r>
    <x v="0"/>
    <x v="0"/>
    <x v="0"/>
    <x v="2"/>
    <x v="3"/>
    <s v="GerA"/>
    <x v="0"/>
    <x v="3"/>
    <x v="0"/>
    <x v="0"/>
  </r>
  <r>
    <x v="0"/>
    <x v="0"/>
    <x v="0"/>
    <x v="2"/>
    <x v="3"/>
    <s v="GerA"/>
    <x v="0"/>
    <x v="4"/>
    <x v="0"/>
    <x v="0"/>
  </r>
  <r>
    <x v="0"/>
    <x v="0"/>
    <x v="0"/>
    <x v="2"/>
    <x v="3"/>
    <s v="GerA"/>
    <x v="0"/>
    <x v="5"/>
    <x v="0"/>
    <x v="0"/>
  </r>
  <r>
    <x v="0"/>
    <x v="0"/>
    <x v="0"/>
    <x v="2"/>
    <x v="3"/>
    <s v="GerA"/>
    <x v="0"/>
    <x v="6"/>
    <x v="0"/>
    <x v="0"/>
  </r>
  <r>
    <x v="0"/>
    <x v="0"/>
    <x v="0"/>
    <x v="2"/>
    <x v="3"/>
    <s v="GerA"/>
    <x v="0"/>
    <x v="7"/>
    <x v="0"/>
    <x v="0"/>
  </r>
  <r>
    <x v="0"/>
    <x v="0"/>
    <x v="0"/>
    <x v="2"/>
    <x v="3"/>
    <s v="GerA"/>
    <x v="0"/>
    <x v="8"/>
    <x v="0"/>
    <x v="0"/>
  </r>
  <r>
    <x v="0"/>
    <x v="0"/>
    <x v="0"/>
    <x v="2"/>
    <x v="3"/>
    <s v="GerA"/>
    <x v="0"/>
    <x v="9"/>
    <x v="0"/>
    <x v="0"/>
  </r>
  <r>
    <x v="0"/>
    <x v="0"/>
    <x v="0"/>
    <x v="2"/>
    <x v="3"/>
    <s v="GerA"/>
    <x v="0"/>
    <x v="10"/>
    <x v="0"/>
    <x v="0"/>
  </r>
  <r>
    <x v="0"/>
    <x v="0"/>
    <x v="0"/>
    <x v="2"/>
    <x v="3"/>
    <s v="GerA"/>
    <x v="0"/>
    <x v="11"/>
    <x v="0"/>
    <x v="0"/>
  </r>
  <r>
    <x v="0"/>
    <x v="0"/>
    <x v="0"/>
    <x v="2"/>
    <x v="3"/>
    <s v="GerA"/>
    <x v="1"/>
    <x v="0"/>
    <x v="0"/>
    <x v="0"/>
  </r>
  <r>
    <x v="0"/>
    <x v="0"/>
    <x v="0"/>
    <x v="2"/>
    <x v="3"/>
    <s v="GerA"/>
    <x v="1"/>
    <x v="1"/>
    <x v="0"/>
    <x v="0"/>
  </r>
  <r>
    <x v="0"/>
    <x v="0"/>
    <x v="0"/>
    <x v="2"/>
    <x v="3"/>
    <s v="GerA"/>
    <x v="1"/>
    <x v="2"/>
    <x v="0"/>
    <x v="0"/>
  </r>
  <r>
    <x v="0"/>
    <x v="0"/>
    <x v="0"/>
    <x v="2"/>
    <x v="3"/>
    <s v="GerA"/>
    <x v="1"/>
    <x v="3"/>
    <x v="0"/>
    <x v="0"/>
  </r>
  <r>
    <x v="0"/>
    <x v="0"/>
    <x v="0"/>
    <x v="2"/>
    <x v="3"/>
    <s v="GerA"/>
    <x v="1"/>
    <x v="4"/>
    <x v="0"/>
    <x v="0"/>
  </r>
  <r>
    <x v="0"/>
    <x v="0"/>
    <x v="0"/>
    <x v="2"/>
    <x v="3"/>
    <s v="GerA"/>
    <x v="1"/>
    <x v="5"/>
    <x v="0"/>
    <x v="0"/>
  </r>
  <r>
    <x v="0"/>
    <x v="0"/>
    <x v="0"/>
    <x v="2"/>
    <x v="3"/>
    <s v="GerA"/>
    <x v="1"/>
    <x v="6"/>
    <x v="0"/>
    <x v="0"/>
  </r>
  <r>
    <x v="0"/>
    <x v="0"/>
    <x v="0"/>
    <x v="2"/>
    <x v="3"/>
    <s v="GerA"/>
    <x v="1"/>
    <x v="7"/>
    <x v="0"/>
    <x v="0"/>
  </r>
  <r>
    <x v="0"/>
    <x v="0"/>
    <x v="0"/>
    <x v="2"/>
    <x v="3"/>
    <s v="GerA"/>
    <x v="1"/>
    <x v="8"/>
    <x v="0"/>
    <x v="0"/>
  </r>
  <r>
    <x v="0"/>
    <x v="0"/>
    <x v="0"/>
    <x v="2"/>
    <x v="3"/>
    <s v="GerA"/>
    <x v="1"/>
    <x v="9"/>
    <x v="0"/>
    <x v="0"/>
  </r>
  <r>
    <x v="0"/>
    <x v="0"/>
    <x v="0"/>
    <x v="2"/>
    <x v="3"/>
    <s v="GerA"/>
    <x v="1"/>
    <x v="10"/>
    <x v="0"/>
    <x v="0"/>
  </r>
  <r>
    <x v="0"/>
    <x v="0"/>
    <x v="0"/>
    <x v="2"/>
    <x v="3"/>
    <s v="GerA"/>
    <x v="1"/>
    <x v="11"/>
    <x v="0"/>
    <x v="0"/>
  </r>
  <r>
    <x v="0"/>
    <x v="0"/>
    <x v="0"/>
    <x v="2"/>
    <x v="3"/>
    <s v="GerA"/>
    <x v="2"/>
    <x v="0"/>
    <x v="0"/>
    <x v="0"/>
  </r>
  <r>
    <x v="0"/>
    <x v="0"/>
    <x v="0"/>
    <x v="2"/>
    <x v="3"/>
    <s v="GerA"/>
    <x v="2"/>
    <x v="1"/>
    <x v="0"/>
    <x v="0"/>
  </r>
  <r>
    <x v="0"/>
    <x v="0"/>
    <x v="0"/>
    <x v="2"/>
    <x v="3"/>
    <s v="GerA"/>
    <x v="2"/>
    <x v="2"/>
    <x v="0"/>
    <x v="0"/>
  </r>
  <r>
    <x v="0"/>
    <x v="0"/>
    <x v="0"/>
    <x v="2"/>
    <x v="3"/>
    <s v="GerA"/>
    <x v="2"/>
    <x v="3"/>
    <x v="0"/>
    <x v="0"/>
  </r>
  <r>
    <x v="0"/>
    <x v="0"/>
    <x v="0"/>
    <x v="2"/>
    <x v="3"/>
    <s v="GerA"/>
    <x v="2"/>
    <x v="4"/>
    <x v="0"/>
    <x v="0"/>
  </r>
  <r>
    <x v="0"/>
    <x v="0"/>
    <x v="0"/>
    <x v="2"/>
    <x v="3"/>
    <s v="GerA"/>
    <x v="2"/>
    <x v="5"/>
    <x v="0"/>
    <x v="0"/>
  </r>
  <r>
    <x v="0"/>
    <x v="0"/>
    <x v="0"/>
    <x v="2"/>
    <x v="3"/>
    <s v="GerA"/>
    <x v="2"/>
    <x v="6"/>
    <x v="0"/>
    <x v="0"/>
  </r>
  <r>
    <x v="0"/>
    <x v="0"/>
    <x v="0"/>
    <x v="2"/>
    <x v="3"/>
    <s v="GerA"/>
    <x v="2"/>
    <x v="7"/>
    <x v="0"/>
    <x v="0"/>
  </r>
  <r>
    <x v="0"/>
    <x v="0"/>
    <x v="0"/>
    <x v="2"/>
    <x v="3"/>
    <s v="GerA"/>
    <x v="2"/>
    <x v="8"/>
    <x v="0"/>
    <x v="0"/>
  </r>
  <r>
    <x v="0"/>
    <x v="0"/>
    <x v="0"/>
    <x v="2"/>
    <x v="3"/>
    <s v="GerA"/>
    <x v="2"/>
    <x v="9"/>
    <x v="0"/>
    <x v="0"/>
  </r>
  <r>
    <x v="0"/>
    <x v="0"/>
    <x v="0"/>
    <x v="2"/>
    <x v="3"/>
    <s v="GerA"/>
    <x v="2"/>
    <x v="10"/>
    <x v="0"/>
    <x v="0"/>
  </r>
  <r>
    <x v="0"/>
    <x v="0"/>
    <x v="0"/>
    <x v="2"/>
    <x v="3"/>
    <s v="GerA"/>
    <x v="2"/>
    <x v="11"/>
    <x v="0"/>
    <x v="0"/>
  </r>
  <r>
    <x v="0"/>
    <x v="0"/>
    <x v="0"/>
    <x v="2"/>
    <x v="3"/>
    <s v="GerA"/>
    <x v="3"/>
    <x v="0"/>
    <x v="0"/>
    <x v="0"/>
  </r>
  <r>
    <x v="0"/>
    <x v="0"/>
    <x v="0"/>
    <x v="2"/>
    <x v="3"/>
    <s v="GerA"/>
    <x v="3"/>
    <x v="1"/>
    <x v="0"/>
    <x v="0"/>
  </r>
  <r>
    <x v="0"/>
    <x v="0"/>
    <x v="0"/>
    <x v="2"/>
    <x v="3"/>
    <s v="GerA"/>
    <x v="3"/>
    <x v="2"/>
    <x v="0"/>
    <x v="0"/>
  </r>
  <r>
    <x v="0"/>
    <x v="0"/>
    <x v="0"/>
    <x v="2"/>
    <x v="3"/>
    <s v="GerA"/>
    <x v="3"/>
    <x v="3"/>
    <x v="0"/>
    <x v="0"/>
  </r>
  <r>
    <x v="0"/>
    <x v="0"/>
    <x v="0"/>
    <x v="2"/>
    <x v="3"/>
    <s v="GerA"/>
    <x v="3"/>
    <x v="4"/>
    <x v="0"/>
    <x v="0"/>
  </r>
  <r>
    <x v="0"/>
    <x v="0"/>
    <x v="0"/>
    <x v="2"/>
    <x v="3"/>
    <s v="GerA"/>
    <x v="3"/>
    <x v="5"/>
    <x v="0"/>
    <x v="0"/>
  </r>
  <r>
    <x v="0"/>
    <x v="0"/>
    <x v="0"/>
    <x v="2"/>
    <x v="3"/>
    <s v="GerA"/>
    <x v="3"/>
    <x v="6"/>
    <x v="0"/>
    <x v="0"/>
  </r>
  <r>
    <x v="0"/>
    <x v="0"/>
    <x v="0"/>
    <x v="2"/>
    <x v="3"/>
    <s v="GerA"/>
    <x v="3"/>
    <x v="7"/>
    <x v="0"/>
    <x v="0"/>
  </r>
  <r>
    <x v="0"/>
    <x v="0"/>
    <x v="0"/>
    <x v="2"/>
    <x v="3"/>
    <s v="GerA"/>
    <x v="3"/>
    <x v="8"/>
    <x v="0"/>
    <x v="0"/>
  </r>
  <r>
    <x v="0"/>
    <x v="0"/>
    <x v="0"/>
    <x v="2"/>
    <x v="3"/>
    <s v="GerA"/>
    <x v="3"/>
    <x v="9"/>
    <x v="0"/>
    <x v="0"/>
  </r>
  <r>
    <x v="0"/>
    <x v="0"/>
    <x v="0"/>
    <x v="2"/>
    <x v="3"/>
    <s v="GerA"/>
    <x v="3"/>
    <x v="10"/>
    <x v="0"/>
    <x v="0"/>
  </r>
  <r>
    <x v="0"/>
    <x v="0"/>
    <x v="0"/>
    <x v="2"/>
    <x v="3"/>
    <s v="GerA"/>
    <x v="3"/>
    <x v="11"/>
    <x v="0"/>
    <x v="0"/>
  </r>
  <r>
    <x v="0"/>
    <x v="0"/>
    <x v="0"/>
    <x v="2"/>
    <x v="3"/>
    <s v="GerA"/>
    <x v="4"/>
    <x v="0"/>
    <x v="0"/>
    <x v="0"/>
  </r>
  <r>
    <x v="0"/>
    <x v="0"/>
    <x v="0"/>
    <x v="2"/>
    <x v="3"/>
    <s v="GerA"/>
    <x v="4"/>
    <x v="1"/>
    <x v="0"/>
    <x v="0"/>
  </r>
  <r>
    <x v="0"/>
    <x v="0"/>
    <x v="0"/>
    <x v="2"/>
    <x v="3"/>
    <s v="GerA"/>
    <x v="4"/>
    <x v="2"/>
    <x v="0"/>
    <x v="0"/>
  </r>
  <r>
    <x v="0"/>
    <x v="0"/>
    <x v="0"/>
    <x v="2"/>
    <x v="3"/>
    <s v="GerA"/>
    <x v="4"/>
    <x v="3"/>
    <x v="0"/>
    <x v="0"/>
  </r>
  <r>
    <x v="0"/>
    <x v="0"/>
    <x v="0"/>
    <x v="2"/>
    <x v="3"/>
    <s v="GerA"/>
    <x v="4"/>
    <x v="4"/>
    <x v="0"/>
    <x v="0"/>
  </r>
  <r>
    <x v="0"/>
    <x v="0"/>
    <x v="0"/>
    <x v="2"/>
    <x v="3"/>
    <s v="GerA"/>
    <x v="4"/>
    <x v="5"/>
    <x v="0"/>
    <x v="0"/>
  </r>
  <r>
    <x v="0"/>
    <x v="0"/>
    <x v="0"/>
    <x v="2"/>
    <x v="3"/>
    <s v="GerA"/>
    <x v="4"/>
    <x v="6"/>
    <x v="0"/>
    <x v="0"/>
  </r>
  <r>
    <x v="0"/>
    <x v="0"/>
    <x v="0"/>
    <x v="2"/>
    <x v="3"/>
    <s v="GerA"/>
    <x v="4"/>
    <x v="7"/>
    <x v="0"/>
    <x v="0"/>
  </r>
  <r>
    <x v="0"/>
    <x v="0"/>
    <x v="0"/>
    <x v="2"/>
    <x v="3"/>
    <s v="GerA"/>
    <x v="4"/>
    <x v="8"/>
    <x v="0"/>
    <x v="0"/>
  </r>
  <r>
    <x v="0"/>
    <x v="0"/>
    <x v="0"/>
    <x v="2"/>
    <x v="3"/>
    <s v="GerA"/>
    <x v="4"/>
    <x v="9"/>
    <x v="0"/>
    <x v="0"/>
  </r>
  <r>
    <x v="0"/>
    <x v="0"/>
    <x v="0"/>
    <x v="2"/>
    <x v="3"/>
    <s v="GerA"/>
    <x v="4"/>
    <x v="10"/>
    <x v="0"/>
    <x v="0"/>
  </r>
  <r>
    <x v="0"/>
    <x v="0"/>
    <x v="0"/>
    <x v="2"/>
    <x v="3"/>
    <s v="GerA"/>
    <x v="4"/>
    <x v="11"/>
    <x v="0"/>
    <x v="0"/>
  </r>
  <r>
    <x v="0"/>
    <x v="0"/>
    <x v="0"/>
    <x v="2"/>
    <x v="3"/>
    <s v="GerA"/>
    <x v="5"/>
    <x v="0"/>
    <x v="0"/>
    <x v="0"/>
  </r>
  <r>
    <x v="0"/>
    <x v="0"/>
    <x v="0"/>
    <x v="2"/>
    <x v="3"/>
    <s v="GerA"/>
    <x v="5"/>
    <x v="1"/>
    <x v="0"/>
    <x v="0"/>
  </r>
  <r>
    <x v="0"/>
    <x v="0"/>
    <x v="0"/>
    <x v="2"/>
    <x v="3"/>
    <s v="GerA"/>
    <x v="5"/>
    <x v="2"/>
    <x v="0"/>
    <x v="0"/>
  </r>
  <r>
    <x v="0"/>
    <x v="0"/>
    <x v="0"/>
    <x v="2"/>
    <x v="3"/>
    <s v="GerA"/>
    <x v="5"/>
    <x v="3"/>
    <x v="0"/>
    <x v="0"/>
  </r>
  <r>
    <x v="0"/>
    <x v="0"/>
    <x v="0"/>
    <x v="2"/>
    <x v="3"/>
    <s v="GerA"/>
    <x v="5"/>
    <x v="4"/>
    <x v="0"/>
    <x v="0"/>
  </r>
  <r>
    <x v="0"/>
    <x v="0"/>
    <x v="0"/>
    <x v="2"/>
    <x v="3"/>
    <s v="GerA"/>
    <x v="5"/>
    <x v="5"/>
    <x v="0"/>
    <x v="0"/>
  </r>
  <r>
    <x v="0"/>
    <x v="0"/>
    <x v="0"/>
    <x v="2"/>
    <x v="3"/>
    <s v="GerA"/>
    <x v="5"/>
    <x v="6"/>
    <x v="0"/>
    <x v="0"/>
  </r>
  <r>
    <x v="0"/>
    <x v="0"/>
    <x v="0"/>
    <x v="2"/>
    <x v="3"/>
    <s v="GerA"/>
    <x v="5"/>
    <x v="7"/>
    <x v="0"/>
    <x v="0"/>
  </r>
  <r>
    <x v="0"/>
    <x v="0"/>
    <x v="0"/>
    <x v="2"/>
    <x v="3"/>
    <s v="GerA"/>
    <x v="5"/>
    <x v="8"/>
    <x v="0"/>
    <x v="0"/>
  </r>
  <r>
    <x v="0"/>
    <x v="0"/>
    <x v="0"/>
    <x v="2"/>
    <x v="3"/>
    <s v="GerA"/>
    <x v="5"/>
    <x v="9"/>
    <x v="0"/>
    <x v="0"/>
  </r>
  <r>
    <x v="0"/>
    <x v="0"/>
    <x v="0"/>
    <x v="2"/>
    <x v="3"/>
    <s v="GerA"/>
    <x v="5"/>
    <x v="10"/>
    <x v="0"/>
    <x v="0"/>
  </r>
  <r>
    <x v="0"/>
    <x v="0"/>
    <x v="0"/>
    <x v="2"/>
    <x v="3"/>
    <s v="GerA"/>
    <x v="5"/>
    <x v="11"/>
    <x v="0"/>
    <x v="0"/>
  </r>
  <r>
    <x v="0"/>
    <x v="0"/>
    <x v="0"/>
    <x v="2"/>
    <x v="3"/>
    <s v="GerA"/>
    <x v="6"/>
    <x v="0"/>
    <x v="0"/>
    <x v="0"/>
  </r>
  <r>
    <x v="0"/>
    <x v="0"/>
    <x v="0"/>
    <x v="2"/>
    <x v="3"/>
    <s v="GerA"/>
    <x v="6"/>
    <x v="1"/>
    <x v="0"/>
    <x v="0"/>
  </r>
  <r>
    <x v="0"/>
    <x v="0"/>
    <x v="0"/>
    <x v="2"/>
    <x v="3"/>
    <s v="GerA"/>
    <x v="6"/>
    <x v="2"/>
    <x v="0"/>
    <x v="0"/>
  </r>
  <r>
    <x v="0"/>
    <x v="0"/>
    <x v="0"/>
    <x v="2"/>
    <x v="3"/>
    <s v="GerA"/>
    <x v="6"/>
    <x v="3"/>
    <x v="0"/>
    <x v="0"/>
  </r>
  <r>
    <x v="0"/>
    <x v="0"/>
    <x v="0"/>
    <x v="2"/>
    <x v="3"/>
    <s v="GerA"/>
    <x v="6"/>
    <x v="4"/>
    <x v="0"/>
    <x v="0"/>
  </r>
  <r>
    <x v="0"/>
    <x v="0"/>
    <x v="0"/>
    <x v="2"/>
    <x v="3"/>
    <s v="GerA"/>
    <x v="6"/>
    <x v="5"/>
    <x v="0"/>
    <x v="0"/>
  </r>
  <r>
    <x v="0"/>
    <x v="0"/>
    <x v="0"/>
    <x v="2"/>
    <x v="3"/>
    <s v="GerA"/>
    <x v="6"/>
    <x v="6"/>
    <x v="0"/>
    <x v="0"/>
  </r>
  <r>
    <x v="0"/>
    <x v="0"/>
    <x v="0"/>
    <x v="2"/>
    <x v="3"/>
    <s v="GerA"/>
    <x v="6"/>
    <x v="7"/>
    <x v="0"/>
    <x v="0"/>
  </r>
  <r>
    <x v="0"/>
    <x v="0"/>
    <x v="0"/>
    <x v="2"/>
    <x v="3"/>
    <s v="GerA"/>
    <x v="6"/>
    <x v="8"/>
    <x v="0"/>
    <x v="0"/>
  </r>
  <r>
    <x v="0"/>
    <x v="0"/>
    <x v="0"/>
    <x v="2"/>
    <x v="3"/>
    <s v="GerA"/>
    <x v="6"/>
    <x v="9"/>
    <x v="0"/>
    <x v="0"/>
  </r>
  <r>
    <x v="0"/>
    <x v="0"/>
    <x v="0"/>
    <x v="2"/>
    <x v="3"/>
    <s v="GerA"/>
    <x v="6"/>
    <x v="10"/>
    <x v="0"/>
    <x v="0"/>
  </r>
  <r>
    <x v="0"/>
    <x v="0"/>
    <x v="0"/>
    <x v="2"/>
    <x v="3"/>
    <s v="GerA"/>
    <x v="6"/>
    <x v="11"/>
    <x v="0"/>
    <x v="0"/>
  </r>
  <r>
    <x v="0"/>
    <x v="0"/>
    <x v="0"/>
    <x v="2"/>
    <x v="3"/>
    <s v="GerA"/>
    <x v="7"/>
    <x v="0"/>
    <x v="0"/>
    <x v="0"/>
  </r>
  <r>
    <x v="0"/>
    <x v="0"/>
    <x v="0"/>
    <x v="2"/>
    <x v="3"/>
    <s v="GerA"/>
    <x v="7"/>
    <x v="1"/>
    <x v="0"/>
    <x v="0"/>
  </r>
  <r>
    <x v="0"/>
    <x v="0"/>
    <x v="0"/>
    <x v="2"/>
    <x v="3"/>
    <s v="GerA"/>
    <x v="7"/>
    <x v="2"/>
    <x v="0"/>
    <x v="0"/>
  </r>
  <r>
    <x v="0"/>
    <x v="0"/>
    <x v="0"/>
    <x v="2"/>
    <x v="3"/>
    <s v="GerA"/>
    <x v="7"/>
    <x v="3"/>
    <x v="0"/>
    <x v="0"/>
  </r>
  <r>
    <x v="0"/>
    <x v="0"/>
    <x v="0"/>
    <x v="2"/>
    <x v="3"/>
    <s v="GerA"/>
    <x v="7"/>
    <x v="4"/>
    <x v="0"/>
    <x v="0"/>
  </r>
  <r>
    <x v="0"/>
    <x v="0"/>
    <x v="0"/>
    <x v="2"/>
    <x v="3"/>
    <s v="GerA"/>
    <x v="7"/>
    <x v="5"/>
    <x v="0"/>
    <x v="0"/>
  </r>
  <r>
    <x v="0"/>
    <x v="0"/>
    <x v="0"/>
    <x v="2"/>
    <x v="3"/>
    <s v="GerA"/>
    <x v="7"/>
    <x v="6"/>
    <x v="0"/>
    <x v="0"/>
  </r>
  <r>
    <x v="0"/>
    <x v="0"/>
    <x v="0"/>
    <x v="2"/>
    <x v="3"/>
    <s v="GerA"/>
    <x v="7"/>
    <x v="7"/>
    <x v="0"/>
    <x v="0"/>
  </r>
  <r>
    <x v="0"/>
    <x v="0"/>
    <x v="0"/>
    <x v="2"/>
    <x v="3"/>
    <s v="GerA"/>
    <x v="7"/>
    <x v="8"/>
    <x v="0"/>
    <x v="0"/>
  </r>
  <r>
    <x v="0"/>
    <x v="0"/>
    <x v="0"/>
    <x v="2"/>
    <x v="3"/>
    <s v="GerA"/>
    <x v="7"/>
    <x v="9"/>
    <x v="0"/>
    <x v="0"/>
  </r>
  <r>
    <x v="0"/>
    <x v="0"/>
    <x v="0"/>
    <x v="2"/>
    <x v="3"/>
    <s v="GerA"/>
    <x v="7"/>
    <x v="10"/>
    <x v="0"/>
    <x v="0"/>
  </r>
  <r>
    <x v="0"/>
    <x v="0"/>
    <x v="0"/>
    <x v="2"/>
    <x v="3"/>
    <s v="GerA"/>
    <x v="7"/>
    <x v="11"/>
    <x v="0"/>
    <x v="0"/>
  </r>
  <r>
    <x v="0"/>
    <x v="0"/>
    <x v="0"/>
    <x v="2"/>
    <x v="3"/>
    <s v="GerA"/>
    <x v="8"/>
    <x v="0"/>
    <x v="0"/>
    <x v="0"/>
  </r>
  <r>
    <x v="0"/>
    <x v="0"/>
    <x v="0"/>
    <x v="2"/>
    <x v="3"/>
    <s v="GerA"/>
    <x v="8"/>
    <x v="1"/>
    <x v="0"/>
    <x v="0"/>
  </r>
  <r>
    <x v="0"/>
    <x v="0"/>
    <x v="0"/>
    <x v="2"/>
    <x v="3"/>
    <s v="GerA"/>
    <x v="8"/>
    <x v="2"/>
    <x v="0"/>
    <x v="0"/>
  </r>
  <r>
    <x v="0"/>
    <x v="0"/>
    <x v="0"/>
    <x v="2"/>
    <x v="3"/>
    <s v="GerA"/>
    <x v="8"/>
    <x v="3"/>
    <x v="0"/>
    <x v="0"/>
  </r>
  <r>
    <x v="0"/>
    <x v="0"/>
    <x v="0"/>
    <x v="2"/>
    <x v="3"/>
    <s v="GerA"/>
    <x v="8"/>
    <x v="4"/>
    <x v="0"/>
    <x v="0"/>
  </r>
  <r>
    <x v="0"/>
    <x v="0"/>
    <x v="0"/>
    <x v="2"/>
    <x v="3"/>
    <s v="GerA"/>
    <x v="8"/>
    <x v="5"/>
    <x v="0"/>
    <x v="0"/>
  </r>
  <r>
    <x v="0"/>
    <x v="0"/>
    <x v="0"/>
    <x v="2"/>
    <x v="3"/>
    <s v="GerA"/>
    <x v="8"/>
    <x v="6"/>
    <x v="0"/>
    <x v="0"/>
  </r>
  <r>
    <x v="0"/>
    <x v="0"/>
    <x v="0"/>
    <x v="2"/>
    <x v="3"/>
    <s v="GerA"/>
    <x v="8"/>
    <x v="7"/>
    <x v="0"/>
    <x v="0"/>
  </r>
  <r>
    <x v="0"/>
    <x v="0"/>
    <x v="0"/>
    <x v="2"/>
    <x v="3"/>
    <s v="GerA"/>
    <x v="8"/>
    <x v="8"/>
    <x v="0"/>
    <x v="0"/>
  </r>
  <r>
    <x v="0"/>
    <x v="0"/>
    <x v="0"/>
    <x v="2"/>
    <x v="3"/>
    <s v="GerA"/>
    <x v="8"/>
    <x v="9"/>
    <x v="0"/>
    <x v="0"/>
  </r>
  <r>
    <x v="0"/>
    <x v="0"/>
    <x v="0"/>
    <x v="2"/>
    <x v="3"/>
    <s v="GerA"/>
    <x v="8"/>
    <x v="10"/>
    <x v="0"/>
    <x v="0"/>
  </r>
  <r>
    <x v="0"/>
    <x v="0"/>
    <x v="0"/>
    <x v="2"/>
    <x v="3"/>
    <s v="GerA"/>
    <x v="8"/>
    <x v="11"/>
    <x v="0"/>
    <x v="0"/>
  </r>
  <r>
    <x v="0"/>
    <x v="0"/>
    <x v="0"/>
    <x v="2"/>
    <x v="3"/>
    <s v="GerA"/>
    <x v="9"/>
    <x v="0"/>
    <x v="0"/>
    <x v="0"/>
  </r>
  <r>
    <x v="0"/>
    <x v="0"/>
    <x v="0"/>
    <x v="2"/>
    <x v="3"/>
    <s v="GerA"/>
    <x v="9"/>
    <x v="1"/>
    <x v="0"/>
    <x v="0"/>
  </r>
  <r>
    <x v="0"/>
    <x v="0"/>
    <x v="0"/>
    <x v="2"/>
    <x v="3"/>
    <s v="GerA"/>
    <x v="9"/>
    <x v="2"/>
    <x v="0"/>
    <x v="0"/>
  </r>
  <r>
    <x v="0"/>
    <x v="0"/>
    <x v="0"/>
    <x v="2"/>
    <x v="3"/>
    <s v="GerA"/>
    <x v="9"/>
    <x v="3"/>
    <x v="0"/>
    <x v="0"/>
  </r>
  <r>
    <x v="0"/>
    <x v="0"/>
    <x v="0"/>
    <x v="2"/>
    <x v="3"/>
    <s v="GerA"/>
    <x v="9"/>
    <x v="4"/>
    <x v="0"/>
    <x v="0"/>
  </r>
  <r>
    <x v="0"/>
    <x v="0"/>
    <x v="0"/>
    <x v="2"/>
    <x v="3"/>
    <s v="GerA"/>
    <x v="9"/>
    <x v="5"/>
    <x v="0"/>
    <x v="0"/>
  </r>
  <r>
    <x v="0"/>
    <x v="0"/>
    <x v="0"/>
    <x v="2"/>
    <x v="3"/>
    <s v="GerA"/>
    <x v="9"/>
    <x v="6"/>
    <x v="0"/>
    <x v="0"/>
  </r>
  <r>
    <x v="0"/>
    <x v="0"/>
    <x v="0"/>
    <x v="2"/>
    <x v="3"/>
    <s v="GerA"/>
    <x v="9"/>
    <x v="7"/>
    <x v="0"/>
    <x v="0"/>
  </r>
  <r>
    <x v="0"/>
    <x v="0"/>
    <x v="0"/>
    <x v="2"/>
    <x v="3"/>
    <s v="GerA"/>
    <x v="9"/>
    <x v="8"/>
    <x v="0"/>
    <x v="0"/>
  </r>
  <r>
    <x v="0"/>
    <x v="0"/>
    <x v="0"/>
    <x v="2"/>
    <x v="3"/>
    <s v="GerA"/>
    <x v="9"/>
    <x v="9"/>
    <x v="0"/>
    <x v="0"/>
  </r>
  <r>
    <x v="0"/>
    <x v="0"/>
    <x v="0"/>
    <x v="2"/>
    <x v="3"/>
    <s v="GerA"/>
    <x v="9"/>
    <x v="10"/>
    <x v="0"/>
    <x v="0"/>
  </r>
  <r>
    <x v="0"/>
    <x v="0"/>
    <x v="0"/>
    <x v="2"/>
    <x v="3"/>
    <s v="GerA"/>
    <x v="9"/>
    <x v="11"/>
    <x v="0"/>
    <x v="0"/>
  </r>
  <r>
    <x v="0"/>
    <x v="0"/>
    <x v="0"/>
    <x v="2"/>
    <x v="3"/>
    <s v="GerA"/>
    <x v="10"/>
    <x v="0"/>
    <x v="0"/>
    <x v="0"/>
  </r>
  <r>
    <x v="0"/>
    <x v="0"/>
    <x v="0"/>
    <x v="2"/>
    <x v="3"/>
    <s v="GerA"/>
    <x v="10"/>
    <x v="1"/>
    <x v="0"/>
    <x v="0"/>
  </r>
  <r>
    <x v="0"/>
    <x v="0"/>
    <x v="0"/>
    <x v="2"/>
    <x v="3"/>
    <s v="GerA"/>
    <x v="10"/>
    <x v="2"/>
    <x v="0"/>
    <x v="0"/>
  </r>
  <r>
    <x v="0"/>
    <x v="0"/>
    <x v="0"/>
    <x v="2"/>
    <x v="3"/>
    <s v="GerA"/>
    <x v="10"/>
    <x v="3"/>
    <x v="0"/>
    <x v="0"/>
  </r>
  <r>
    <x v="0"/>
    <x v="0"/>
    <x v="0"/>
    <x v="2"/>
    <x v="3"/>
    <s v="GerA"/>
    <x v="10"/>
    <x v="4"/>
    <x v="0"/>
    <x v="0"/>
  </r>
  <r>
    <x v="0"/>
    <x v="0"/>
    <x v="0"/>
    <x v="2"/>
    <x v="3"/>
    <s v="GerA"/>
    <x v="10"/>
    <x v="5"/>
    <x v="0"/>
    <x v="0"/>
  </r>
  <r>
    <x v="0"/>
    <x v="0"/>
    <x v="0"/>
    <x v="2"/>
    <x v="3"/>
    <s v="GerA"/>
    <x v="10"/>
    <x v="6"/>
    <x v="0"/>
    <x v="0"/>
  </r>
  <r>
    <x v="0"/>
    <x v="0"/>
    <x v="0"/>
    <x v="2"/>
    <x v="3"/>
    <s v="GerA"/>
    <x v="10"/>
    <x v="7"/>
    <x v="0"/>
    <x v="0"/>
  </r>
  <r>
    <x v="0"/>
    <x v="0"/>
    <x v="0"/>
    <x v="2"/>
    <x v="3"/>
    <s v="GerA"/>
    <x v="10"/>
    <x v="8"/>
    <x v="0"/>
    <x v="0"/>
  </r>
  <r>
    <x v="0"/>
    <x v="0"/>
    <x v="0"/>
    <x v="2"/>
    <x v="3"/>
    <s v="GerA"/>
    <x v="10"/>
    <x v="9"/>
    <x v="0"/>
    <x v="0"/>
  </r>
  <r>
    <x v="0"/>
    <x v="0"/>
    <x v="0"/>
    <x v="2"/>
    <x v="3"/>
    <s v="GerA"/>
    <x v="10"/>
    <x v="10"/>
    <x v="0"/>
    <x v="0"/>
  </r>
  <r>
    <x v="0"/>
    <x v="0"/>
    <x v="0"/>
    <x v="2"/>
    <x v="3"/>
    <s v="GerA"/>
    <x v="10"/>
    <x v="11"/>
    <x v="0"/>
    <x v="0"/>
  </r>
  <r>
    <x v="0"/>
    <x v="0"/>
    <x v="0"/>
    <x v="2"/>
    <x v="3"/>
    <s v="GerA"/>
    <x v="11"/>
    <x v="0"/>
    <x v="0"/>
    <x v="0"/>
  </r>
  <r>
    <x v="0"/>
    <x v="0"/>
    <x v="0"/>
    <x v="2"/>
    <x v="3"/>
    <s v="GerA"/>
    <x v="11"/>
    <x v="1"/>
    <x v="0"/>
    <x v="0"/>
  </r>
  <r>
    <x v="0"/>
    <x v="0"/>
    <x v="0"/>
    <x v="2"/>
    <x v="3"/>
    <s v="GerA"/>
    <x v="11"/>
    <x v="2"/>
    <x v="0"/>
    <x v="0"/>
  </r>
  <r>
    <x v="0"/>
    <x v="0"/>
    <x v="0"/>
    <x v="2"/>
    <x v="3"/>
    <s v="GerA"/>
    <x v="11"/>
    <x v="3"/>
    <x v="0"/>
    <x v="0"/>
  </r>
  <r>
    <x v="0"/>
    <x v="0"/>
    <x v="0"/>
    <x v="2"/>
    <x v="3"/>
    <s v="GerA"/>
    <x v="11"/>
    <x v="4"/>
    <x v="0"/>
    <x v="0"/>
  </r>
  <r>
    <x v="0"/>
    <x v="0"/>
    <x v="0"/>
    <x v="2"/>
    <x v="3"/>
    <s v="GerA"/>
    <x v="11"/>
    <x v="5"/>
    <x v="0"/>
    <x v="0"/>
  </r>
  <r>
    <x v="0"/>
    <x v="0"/>
    <x v="0"/>
    <x v="2"/>
    <x v="3"/>
    <s v="GerA"/>
    <x v="11"/>
    <x v="6"/>
    <x v="0"/>
    <x v="0"/>
  </r>
  <r>
    <x v="0"/>
    <x v="0"/>
    <x v="0"/>
    <x v="2"/>
    <x v="3"/>
    <s v="GerA"/>
    <x v="11"/>
    <x v="7"/>
    <x v="0"/>
    <x v="0"/>
  </r>
  <r>
    <x v="0"/>
    <x v="0"/>
    <x v="0"/>
    <x v="2"/>
    <x v="3"/>
    <s v="GerA"/>
    <x v="11"/>
    <x v="8"/>
    <x v="0"/>
    <x v="0"/>
  </r>
  <r>
    <x v="0"/>
    <x v="0"/>
    <x v="0"/>
    <x v="2"/>
    <x v="3"/>
    <s v="GerA"/>
    <x v="11"/>
    <x v="9"/>
    <x v="0"/>
    <x v="0"/>
  </r>
  <r>
    <x v="0"/>
    <x v="0"/>
    <x v="0"/>
    <x v="2"/>
    <x v="3"/>
    <s v="GerA"/>
    <x v="11"/>
    <x v="10"/>
    <x v="0"/>
    <x v="0"/>
  </r>
  <r>
    <x v="0"/>
    <x v="0"/>
    <x v="0"/>
    <x v="2"/>
    <x v="3"/>
    <s v="GerA"/>
    <x v="11"/>
    <x v="11"/>
    <x v="0"/>
    <x v="0"/>
  </r>
  <r>
    <x v="0"/>
    <x v="0"/>
    <x v="0"/>
    <x v="3"/>
    <x v="4"/>
    <s v="NeA"/>
    <x v="0"/>
    <x v="0"/>
    <x v="0"/>
    <x v="0"/>
  </r>
  <r>
    <x v="0"/>
    <x v="0"/>
    <x v="0"/>
    <x v="3"/>
    <x v="4"/>
    <s v="NeA"/>
    <x v="0"/>
    <x v="1"/>
    <x v="0"/>
    <x v="0"/>
  </r>
  <r>
    <x v="0"/>
    <x v="0"/>
    <x v="0"/>
    <x v="3"/>
    <x v="4"/>
    <s v="NeA"/>
    <x v="0"/>
    <x v="2"/>
    <x v="0"/>
    <x v="0"/>
  </r>
  <r>
    <x v="0"/>
    <x v="0"/>
    <x v="0"/>
    <x v="3"/>
    <x v="4"/>
    <s v="NeA"/>
    <x v="0"/>
    <x v="3"/>
    <x v="0"/>
    <x v="0"/>
  </r>
  <r>
    <x v="0"/>
    <x v="0"/>
    <x v="0"/>
    <x v="3"/>
    <x v="4"/>
    <s v="NeA"/>
    <x v="0"/>
    <x v="4"/>
    <x v="0"/>
    <x v="0"/>
  </r>
  <r>
    <x v="0"/>
    <x v="0"/>
    <x v="0"/>
    <x v="3"/>
    <x v="4"/>
    <s v="NeA"/>
    <x v="0"/>
    <x v="5"/>
    <x v="0"/>
    <x v="0"/>
  </r>
  <r>
    <x v="0"/>
    <x v="0"/>
    <x v="0"/>
    <x v="3"/>
    <x v="4"/>
    <s v="NeA"/>
    <x v="0"/>
    <x v="6"/>
    <x v="0"/>
    <x v="0"/>
  </r>
  <r>
    <x v="0"/>
    <x v="0"/>
    <x v="0"/>
    <x v="3"/>
    <x v="4"/>
    <s v="NeA"/>
    <x v="0"/>
    <x v="7"/>
    <x v="0"/>
    <x v="0"/>
  </r>
  <r>
    <x v="0"/>
    <x v="0"/>
    <x v="0"/>
    <x v="3"/>
    <x v="4"/>
    <s v="NeA"/>
    <x v="0"/>
    <x v="8"/>
    <x v="0"/>
    <x v="0"/>
  </r>
  <r>
    <x v="0"/>
    <x v="0"/>
    <x v="0"/>
    <x v="3"/>
    <x v="4"/>
    <s v="NeA"/>
    <x v="0"/>
    <x v="9"/>
    <x v="0"/>
    <x v="0"/>
  </r>
  <r>
    <x v="0"/>
    <x v="0"/>
    <x v="0"/>
    <x v="3"/>
    <x v="4"/>
    <s v="NeA"/>
    <x v="0"/>
    <x v="10"/>
    <x v="0"/>
    <x v="0"/>
  </r>
  <r>
    <x v="0"/>
    <x v="0"/>
    <x v="0"/>
    <x v="3"/>
    <x v="4"/>
    <s v="NeA"/>
    <x v="0"/>
    <x v="11"/>
    <x v="0"/>
    <x v="0"/>
  </r>
  <r>
    <x v="0"/>
    <x v="0"/>
    <x v="0"/>
    <x v="3"/>
    <x v="4"/>
    <s v="NeA"/>
    <x v="1"/>
    <x v="0"/>
    <x v="0"/>
    <x v="0"/>
  </r>
  <r>
    <x v="0"/>
    <x v="0"/>
    <x v="0"/>
    <x v="3"/>
    <x v="4"/>
    <s v="NeA"/>
    <x v="1"/>
    <x v="1"/>
    <x v="0"/>
    <x v="0"/>
  </r>
  <r>
    <x v="0"/>
    <x v="0"/>
    <x v="0"/>
    <x v="3"/>
    <x v="4"/>
    <s v="NeA"/>
    <x v="1"/>
    <x v="2"/>
    <x v="0"/>
    <x v="0"/>
  </r>
  <r>
    <x v="0"/>
    <x v="0"/>
    <x v="0"/>
    <x v="3"/>
    <x v="4"/>
    <s v="NeA"/>
    <x v="1"/>
    <x v="3"/>
    <x v="0"/>
    <x v="0"/>
  </r>
  <r>
    <x v="0"/>
    <x v="0"/>
    <x v="0"/>
    <x v="3"/>
    <x v="4"/>
    <s v="NeA"/>
    <x v="1"/>
    <x v="4"/>
    <x v="0"/>
    <x v="0"/>
  </r>
  <r>
    <x v="0"/>
    <x v="0"/>
    <x v="0"/>
    <x v="3"/>
    <x v="4"/>
    <s v="NeA"/>
    <x v="1"/>
    <x v="5"/>
    <x v="0"/>
    <x v="0"/>
  </r>
  <r>
    <x v="0"/>
    <x v="0"/>
    <x v="0"/>
    <x v="3"/>
    <x v="4"/>
    <s v="NeA"/>
    <x v="1"/>
    <x v="6"/>
    <x v="0"/>
    <x v="0"/>
  </r>
  <r>
    <x v="0"/>
    <x v="0"/>
    <x v="0"/>
    <x v="3"/>
    <x v="4"/>
    <s v="NeA"/>
    <x v="1"/>
    <x v="7"/>
    <x v="0"/>
    <x v="0"/>
  </r>
  <r>
    <x v="0"/>
    <x v="0"/>
    <x v="0"/>
    <x v="3"/>
    <x v="4"/>
    <s v="NeA"/>
    <x v="1"/>
    <x v="8"/>
    <x v="0"/>
    <x v="0"/>
  </r>
  <r>
    <x v="0"/>
    <x v="0"/>
    <x v="0"/>
    <x v="3"/>
    <x v="4"/>
    <s v="NeA"/>
    <x v="1"/>
    <x v="9"/>
    <x v="0"/>
    <x v="0"/>
  </r>
  <r>
    <x v="0"/>
    <x v="0"/>
    <x v="0"/>
    <x v="3"/>
    <x v="4"/>
    <s v="NeA"/>
    <x v="1"/>
    <x v="10"/>
    <x v="0"/>
    <x v="0"/>
  </r>
  <r>
    <x v="0"/>
    <x v="0"/>
    <x v="0"/>
    <x v="3"/>
    <x v="4"/>
    <s v="NeA"/>
    <x v="1"/>
    <x v="11"/>
    <x v="0"/>
    <x v="0"/>
  </r>
  <r>
    <x v="0"/>
    <x v="0"/>
    <x v="0"/>
    <x v="3"/>
    <x v="4"/>
    <s v="NeA"/>
    <x v="2"/>
    <x v="0"/>
    <x v="0"/>
    <x v="0"/>
  </r>
  <r>
    <x v="0"/>
    <x v="0"/>
    <x v="0"/>
    <x v="3"/>
    <x v="4"/>
    <s v="NeA"/>
    <x v="2"/>
    <x v="1"/>
    <x v="0"/>
    <x v="0"/>
  </r>
  <r>
    <x v="0"/>
    <x v="0"/>
    <x v="0"/>
    <x v="3"/>
    <x v="4"/>
    <s v="NeA"/>
    <x v="2"/>
    <x v="2"/>
    <x v="0"/>
    <x v="0"/>
  </r>
  <r>
    <x v="0"/>
    <x v="0"/>
    <x v="0"/>
    <x v="3"/>
    <x v="4"/>
    <s v="NeA"/>
    <x v="2"/>
    <x v="3"/>
    <x v="0"/>
    <x v="0"/>
  </r>
  <r>
    <x v="0"/>
    <x v="0"/>
    <x v="0"/>
    <x v="3"/>
    <x v="4"/>
    <s v="NeA"/>
    <x v="2"/>
    <x v="4"/>
    <x v="0"/>
    <x v="0"/>
  </r>
  <r>
    <x v="0"/>
    <x v="0"/>
    <x v="0"/>
    <x v="3"/>
    <x v="4"/>
    <s v="NeA"/>
    <x v="2"/>
    <x v="5"/>
    <x v="0"/>
    <x v="0"/>
  </r>
  <r>
    <x v="0"/>
    <x v="0"/>
    <x v="0"/>
    <x v="3"/>
    <x v="4"/>
    <s v="NeA"/>
    <x v="2"/>
    <x v="6"/>
    <x v="0"/>
    <x v="0"/>
  </r>
  <r>
    <x v="0"/>
    <x v="0"/>
    <x v="0"/>
    <x v="3"/>
    <x v="4"/>
    <s v="NeA"/>
    <x v="2"/>
    <x v="7"/>
    <x v="0"/>
    <x v="0"/>
  </r>
  <r>
    <x v="0"/>
    <x v="0"/>
    <x v="0"/>
    <x v="3"/>
    <x v="4"/>
    <s v="NeA"/>
    <x v="2"/>
    <x v="8"/>
    <x v="0"/>
    <x v="0"/>
  </r>
  <r>
    <x v="0"/>
    <x v="0"/>
    <x v="0"/>
    <x v="3"/>
    <x v="4"/>
    <s v="NeA"/>
    <x v="2"/>
    <x v="9"/>
    <x v="0"/>
    <x v="0"/>
  </r>
  <r>
    <x v="0"/>
    <x v="0"/>
    <x v="0"/>
    <x v="3"/>
    <x v="4"/>
    <s v="NeA"/>
    <x v="2"/>
    <x v="10"/>
    <x v="0"/>
    <x v="0"/>
  </r>
  <r>
    <x v="0"/>
    <x v="0"/>
    <x v="0"/>
    <x v="3"/>
    <x v="4"/>
    <s v="NeA"/>
    <x v="2"/>
    <x v="11"/>
    <x v="0"/>
    <x v="0"/>
  </r>
  <r>
    <x v="0"/>
    <x v="0"/>
    <x v="0"/>
    <x v="3"/>
    <x v="4"/>
    <s v="NeA"/>
    <x v="3"/>
    <x v="0"/>
    <x v="0"/>
    <x v="0"/>
  </r>
  <r>
    <x v="0"/>
    <x v="0"/>
    <x v="0"/>
    <x v="3"/>
    <x v="4"/>
    <s v="NeA"/>
    <x v="3"/>
    <x v="1"/>
    <x v="0"/>
    <x v="0"/>
  </r>
  <r>
    <x v="0"/>
    <x v="0"/>
    <x v="0"/>
    <x v="3"/>
    <x v="4"/>
    <s v="NeA"/>
    <x v="3"/>
    <x v="2"/>
    <x v="0"/>
    <x v="0"/>
  </r>
  <r>
    <x v="0"/>
    <x v="0"/>
    <x v="0"/>
    <x v="3"/>
    <x v="4"/>
    <s v="NeA"/>
    <x v="3"/>
    <x v="3"/>
    <x v="0"/>
    <x v="0"/>
  </r>
  <r>
    <x v="0"/>
    <x v="0"/>
    <x v="0"/>
    <x v="3"/>
    <x v="4"/>
    <s v="NeA"/>
    <x v="3"/>
    <x v="4"/>
    <x v="0"/>
    <x v="0"/>
  </r>
  <r>
    <x v="0"/>
    <x v="0"/>
    <x v="0"/>
    <x v="3"/>
    <x v="4"/>
    <s v="NeA"/>
    <x v="3"/>
    <x v="5"/>
    <x v="0"/>
    <x v="0"/>
  </r>
  <r>
    <x v="0"/>
    <x v="0"/>
    <x v="0"/>
    <x v="3"/>
    <x v="4"/>
    <s v="NeA"/>
    <x v="3"/>
    <x v="6"/>
    <x v="0"/>
    <x v="0"/>
  </r>
  <r>
    <x v="0"/>
    <x v="0"/>
    <x v="0"/>
    <x v="3"/>
    <x v="4"/>
    <s v="NeA"/>
    <x v="3"/>
    <x v="7"/>
    <x v="0"/>
    <x v="0"/>
  </r>
  <r>
    <x v="0"/>
    <x v="0"/>
    <x v="0"/>
    <x v="3"/>
    <x v="4"/>
    <s v="NeA"/>
    <x v="3"/>
    <x v="8"/>
    <x v="0"/>
    <x v="0"/>
  </r>
  <r>
    <x v="0"/>
    <x v="0"/>
    <x v="0"/>
    <x v="3"/>
    <x v="4"/>
    <s v="NeA"/>
    <x v="3"/>
    <x v="9"/>
    <x v="0"/>
    <x v="0"/>
  </r>
  <r>
    <x v="0"/>
    <x v="0"/>
    <x v="0"/>
    <x v="3"/>
    <x v="4"/>
    <s v="NeA"/>
    <x v="3"/>
    <x v="10"/>
    <x v="0"/>
    <x v="0"/>
  </r>
  <r>
    <x v="0"/>
    <x v="0"/>
    <x v="0"/>
    <x v="3"/>
    <x v="4"/>
    <s v="NeA"/>
    <x v="3"/>
    <x v="11"/>
    <x v="0"/>
    <x v="0"/>
  </r>
  <r>
    <x v="0"/>
    <x v="0"/>
    <x v="0"/>
    <x v="3"/>
    <x v="4"/>
    <s v="NeA"/>
    <x v="4"/>
    <x v="0"/>
    <x v="0"/>
    <x v="0"/>
  </r>
  <r>
    <x v="0"/>
    <x v="0"/>
    <x v="0"/>
    <x v="3"/>
    <x v="4"/>
    <s v="NeA"/>
    <x v="4"/>
    <x v="1"/>
    <x v="0"/>
    <x v="0"/>
  </r>
  <r>
    <x v="0"/>
    <x v="0"/>
    <x v="0"/>
    <x v="3"/>
    <x v="4"/>
    <s v="NeA"/>
    <x v="4"/>
    <x v="2"/>
    <x v="0"/>
    <x v="0"/>
  </r>
  <r>
    <x v="0"/>
    <x v="0"/>
    <x v="0"/>
    <x v="3"/>
    <x v="4"/>
    <s v="NeA"/>
    <x v="4"/>
    <x v="3"/>
    <x v="0"/>
    <x v="0"/>
  </r>
  <r>
    <x v="0"/>
    <x v="0"/>
    <x v="0"/>
    <x v="3"/>
    <x v="4"/>
    <s v="NeA"/>
    <x v="4"/>
    <x v="4"/>
    <x v="0"/>
    <x v="0"/>
  </r>
  <r>
    <x v="0"/>
    <x v="0"/>
    <x v="0"/>
    <x v="3"/>
    <x v="4"/>
    <s v="NeA"/>
    <x v="4"/>
    <x v="5"/>
    <x v="0"/>
    <x v="0"/>
  </r>
  <r>
    <x v="0"/>
    <x v="0"/>
    <x v="0"/>
    <x v="3"/>
    <x v="4"/>
    <s v="NeA"/>
    <x v="4"/>
    <x v="6"/>
    <x v="0"/>
    <x v="0"/>
  </r>
  <r>
    <x v="0"/>
    <x v="0"/>
    <x v="0"/>
    <x v="3"/>
    <x v="4"/>
    <s v="NeA"/>
    <x v="4"/>
    <x v="7"/>
    <x v="0"/>
    <x v="0"/>
  </r>
  <r>
    <x v="0"/>
    <x v="0"/>
    <x v="0"/>
    <x v="3"/>
    <x v="4"/>
    <s v="NeA"/>
    <x v="4"/>
    <x v="8"/>
    <x v="0"/>
    <x v="0"/>
  </r>
  <r>
    <x v="0"/>
    <x v="0"/>
    <x v="0"/>
    <x v="3"/>
    <x v="4"/>
    <s v="NeA"/>
    <x v="4"/>
    <x v="9"/>
    <x v="0"/>
    <x v="0"/>
  </r>
  <r>
    <x v="0"/>
    <x v="0"/>
    <x v="0"/>
    <x v="3"/>
    <x v="4"/>
    <s v="NeA"/>
    <x v="4"/>
    <x v="10"/>
    <x v="0"/>
    <x v="0"/>
  </r>
  <r>
    <x v="0"/>
    <x v="0"/>
    <x v="0"/>
    <x v="3"/>
    <x v="4"/>
    <s v="NeA"/>
    <x v="4"/>
    <x v="11"/>
    <x v="0"/>
    <x v="0"/>
  </r>
  <r>
    <x v="0"/>
    <x v="0"/>
    <x v="0"/>
    <x v="3"/>
    <x v="4"/>
    <s v="NeA"/>
    <x v="5"/>
    <x v="0"/>
    <x v="0"/>
    <x v="0"/>
  </r>
  <r>
    <x v="0"/>
    <x v="0"/>
    <x v="0"/>
    <x v="3"/>
    <x v="4"/>
    <s v="NeA"/>
    <x v="5"/>
    <x v="1"/>
    <x v="0"/>
    <x v="0"/>
  </r>
  <r>
    <x v="0"/>
    <x v="0"/>
    <x v="0"/>
    <x v="3"/>
    <x v="4"/>
    <s v="NeA"/>
    <x v="5"/>
    <x v="2"/>
    <x v="0"/>
    <x v="0"/>
  </r>
  <r>
    <x v="0"/>
    <x v="0"/>
    <x v="0"/>
    <x v="3"/>
    <x v="4"/>
    <s v="NeA"/>
    <x v="5"/>
    <x v="3"/>
    <x v="0"/>
    <x v="0"/>
  </r>
  <r>
    <x v="0"/>
    <x v="0"/>
    <x v="0"/>
    <x v="3"/>
    <x v="4"/>
    <s v="NeA"/>
    <x v="5"/>
    <x v="4"/>
    <x v="0"/>
    <x v="0"/>
  </r>
  <r>
    <x v="0"/>
    <x v="0"/>
    <x v="0"/>
    <x v="3"/>
    <x v="4"/>
    <s v="NeA"/>
    <x v="5"/>
    <x v="5"/>
    <x v="0"/>
    <x v="0"/>
  </r>
  <r>
    <x v="0"/>
    <x v="0"/>
    <x v="0"/>
    <x v="3"/>
    <x v="4"/>
    <s v="NeA"/>
    <x v="5"/>
    <x v="6"/>
    <x v="0"/>
    <x v="0"/>
  </r>
  <r>
    <x v="0"/>
    <x v="0"/>
    <x v="0"/>
    <x v="3"/>
    <x v="4"/>
    <s v="NeA"/>
    <x v="5"/>
    <x v="7"/>
    <x v="0"/>
    <x v="0"/>
  </r>
  <r>
    <x v="0"/>
    <x v="0"/>
    <x v="0"/>
    <x v="3"/>
    <x v="4"/>
    <s v="NeA"/>
    <x v="5"/>
    <x v="8"/>
    <x v="0"/>
    <x v="0"/>
  </r>
  <r>
    <x v="0"/>
    <x v="0"/>
    <x v="0"/>
    <x v="3"/>
    <x v="4"/>
    <s v="NeA"/>
    <x v="5"/>
    <x v="9"/>
    <x v="0"/>
    <x v="0"/>
  </r>
  <r>
    <x v="0"/>
    <x v="0"/>
    <x v="0"/>
    <x v="3"/>
    <x v="4"/>
    <s v="NeA"/>
    <x v="5"/>
    <x v="10"/>
    <x v="0"/>
    <x v="0"/>
  </r>
  <r>
    <x v="0"/>
    <x v="0"/>
    <x v="0"/>
    <x v="3"/>
    <x v="4"/>
    <s v="NeA"/>
    <x v="5"/>
    <x v="11"/>
    <x v="0"/>
    <x v="0"/>
  </r>
  <r>
    <x v="0"/>
    <x v="0"/>
    <x v="0"/>
    <x v="3"/>
    <x v="4"/>
    <s v="NeA"/>
    <x v="6"/>
    <x v="0"/>
    <x v="0"/>
    <x v="0"/>
  </r>
  <r>
    <x v="0"/>
    <x v="0"/>
    <x v="0"/>
    <x v="3"/>
    <x v="4"/>
    <s v="NeA"/>
    <x v="6"/>
    <x v="1"/>
    <x v="0"/>
    <x v="0"/>
  </r>
  <r>
    <x v="0"/>
    <x v="0"/>
    <x v="0"/>
    <x v="3"/>
    <x v="4"/>
    <s v="NeA"/>
    <x v="6"/>
    <x v="2"/>
    <x v="0"/>
    <x v="0"/>
  </r>
  <r>
    <x v="0"/>
    <x v="0"/>
    <x v="0"/>
    <x v="3"/>
    <x v="4"/>
    <s v="NeA"/>
    <x v="6"/>
    <x v="3"/>
    <x v="0"/>
    <x v="0"/>
  </r>
  <r>
    <x v="0"/>
    <x v="0"/>
    <x v="0"/>
    <x v="3"/>
    <x v="4"/>
    <s v="NeA"/>
    <x v="6"/>
    <x v="4"/>
    <x v="0"/>
    <x v="0"/>
  </r>
  <r>
    <x v="0"/>
    <x v="0"/>
    <x v="0"/>
    <x v="3"/>
    <x v="4"/>
    <s v="NeA"/>
    <x v="6"/>
    <x v="5"/>
    <x v="0"/>
    <x v="0"/>
  </r>
  <r>
    <x v="0"/>
    <x v="0"/>
    <x v="0"/>
    <x v="3"/>
    <x v="4"/>
    <s v="NeA"/>
    <x v="6"/>
    <x v="6"/>
    <x v="0"/>
    <x v="0"/>
  </r>
  <r>
    <x v="0"/>
    <x v="0"/>
    <x v="0"/>
    <x v="3"/>
    <x v="4"/>
    <s v="NeA"/>
    <x v="6"/>
    <x v="7"/>
    <x v="0"/>
    <x v="0"/>
  </r>
  <r>
    <x v="0"/>
    <x v="0"/>
    <x v="0"/>
    <x v="3"/>
    <x v="4"/>
    <s v="NeA"/>
    <x v="6"/>
    <x v="8"/>
    <x v="0"/>
    <x v="0"/>
  </r>
  <r>
    <x v="0"/>
    <x v="0"/>
    <x v="0"/>
    <x v="3"/>
    <x v="4"/>
    <s v="NeA"/>
    <x v="6"/>
    <x v="9"/>
    <x v="0"/>
    <x v="0"/>
  </r>
  <r>
    <x v="0"/>
    <x v="0"/>
    <x v="0"/>
    <x v="3"/>
    <x v="4"/>
    <s v="NeA"/>
    <x v="6"/>
    <x v="10"/>
    <x v="0"/>
    <x v="0"/>
  </r>
  <r>
    <x v="0"/>
    <x v="0"/>
    <x v="0"/>
    <x v="3"/>
    <x v="4"/>
    <s v="NeA"/>
    <x v="6"/>
    <x v="11"/>
    <x v="0"/>
    <x v="0"/>
  </r>
  <r>
    <x v="0"/>
    <x v="0"/>
    <x v="0"/>
    <x v="3"/>
    <x v="4"/>
    <s v="NeA"/>
    <x v="7"/>
    <x v="0"/>
    <x v="0"/>
    <x v="0"/>
  </r>
  <r>
    <x v="0"/>
    <x v="0"/>
    <x v="0"/>
    <x v="3"/>
    <x v="4"/>
    <s v="NeA"/>
    <x v="7"/>
    <x v="1"/>
    <x v="0"/>
    <x v="0"/>
  </r>
  <r>
    <x v="0"/>
    <x v="0"/>
    <x v="0"/>
    <x v="3"/>
    <x v="4"/>
    <s v="NeA"/>
    <x v="7"/>
    <x v="2"/>
    <x v="0"/>
    <x v="0"/>
  </r>
  <r>
    <x v="0"/>
    <x v="0"/>
    <x v="0"/>
    <x v="3"/>
    <x v="4"/>
    <s v="NeA"/>
    <x v="7"/>
    <x v="3"/>
    <x v="0"/>
    <x v="0"/>
  </r>
  <r>
    <x v="0"/>
    <x v="0"/>
    <x v="0"/>
    <x v="3"/>
    <x v="4"/>
    <s v="NeA"/>
    <x v="7"/>
    <x v="4"/>
    <x v="0"/>
    <x v="0"/>
  </r>
  <r>
    <x v="0"/>
    <x v="0"/>
    <x v="0"/>
    <x v="3"/>
    <x v="4"/>
    <s v="NeA"/>
    <x v="7"/>
    <x v="5"/>
    <x v="0"/>
    <x v="0"/>
  </r>
  <r>
    <x v="0"/>
    <x v="0"/>
    <x v="0"/>
    <x v="3"/>
    <x v="4"/>
    <s v="NeA"/>
    <x v="7"/>
    <x v="6"/>
    <x v="0"/>
    <x v="0"/>
  </r>
  <r>
    <x v="0"/>
    <x v="0"/>
    <x v="0"/>
    <x v="3"/>
    <x v="4"/>
    <s v="NeA"/>
    <x v="7"/>
    <x v="7"/>
    <x v="0"/>
    <x v="0"/>
  </r>
  <r>
    <x v="0"/>
    <x v="0"/>
    <x v="0"/>
    <x v="3"/>
    <x v="4"/>
    <s v="NeA"/>
    <x v="7"/>
    <x v="8"/>
    <x v="0"/>
    <x v="0"/>
  </r>
  <r>
    <x v="0"/>
    <x v="0"/>
    <x v="0"/>
    <x v="3"/>
    <x v="4"/>
    <s v="NeA"/>
    <x v="7"/>
    <x v="9"/>
    <x v="0"/>
    <x v="0"/>
  </r>
  <r>
    <x v="0"/>
    <x v="0"/>
    <x v="0"/>
    <x v="3"/>
    <x v="4"/>
    <s v="NeA"/>
    <x v="7"/>
    <x v="10"/>
    <x v="0"/>
    <x v="0"/>
  </r>
  <r>
    <x v="0"/>
    <x v="0"/>
    <x v="0"/>
    <x v="3"/>
    <x v="4"/>
    <s v="NeA"/>
    <x v="7"/>
    <x v="11"/>
    <x v="0"/>
    <x v="0"/>
  </r>
  <r>
    <x v="0"/>
    <x v="0"/>
    <x v="0"/>
    <x v="3"/>
    <x v="4"/>
    <s v="NeA"/>
    <x v="8"/>
    <x v="0"/>
    <x v="0"/>
    <x v="0"/>
  </r>
  <r>
    <x v="0"/>
    <x v="0"/>
    <x v="0"/>
    <x v="3"/>
    <x v="4"/>
    <s v="NeA"/>
    <x v="8"/>
    <x v="1"/>
    <x v="0"/>
    <x v="0"/>
  </r>
  <r>
    <x v="0"/>
    <x v="0"/>
    <x v="0"/>
    <x v="3"/>
    <x v="4"/>
    <s v="NeA"/>
    <x v="8"/>
    <x v="2"/>
    <x v="0"/>
    <x v="0"/>
  </r>
  <r>
    <x v="0"/>
    <x v="0"/>
    <x v="0"/>
    <x v="3"/>
    <x v="4"/>
    <s v="NeA"/>
    <x v="8"/>
    <x v="3"/>
    <x v="0"/>
    <x v="0"/>
  </r>
  <r>
    <x v="0"/>
    <x v="0"/>
    <x v="0"/>
    <x v="3"/>
    <x v="4"/>
    <s v="NeA"/>
    <x v="8"/>
    <x v="4"/>
    <x v="0"/>
    <x v="0"/>
  </r>
  <r>
    <x v="0"/>
    <x v="0"/>
    <x v="0"/>
    <x v="3"/>
    <x v="4"/>
    <s v="NeA"/>
    <x v="8"/>
    <x v="5"/>
    <x v="0"/>
    <x v="0"/>
  </r>
  <r>
    <x v="0"/>
    <x v="0"/>
    <x v="0"/>
    <x v="3"/>
    <x v="4"/>
    <s v="NeA"/>
    <x v="8"/>
    <x v="6"/>
    <x v="0"/>
    <x v="0"/>
  </r>
  <r>
    <x v="0"/>
    <x v="0"/>
    <x v="0"/>
    <x v="3"/>
    <x v="4"/>
    <s v="NeA"/>
    <x v="8"/>
    <x v="7"/>
    <x v="0"/>
    <x v="0"/>
  </r>
  <r>
    <x v="0"/>
    <x v="0"/>
    <x v="0"/>
    <x v="3"/>
    <x v="4"/>
    <s v="NeA"/>
    <x v="8"/>
    <x v="8"/>
    <x v="0"/>
    <x v="0"/>
  </r>
  <r>
    <x v="0"/>
    <x v="0"/>
    <x v="0"/>
    <x v="3"/>
    <x v="4"/>
    <s v="NeA"/>
    <x v="8"/>
    <x v="9"/>
    <x v="0"/>
    <x v="0"/>
  </r>
  <r>
    <x v="0"/>
    <x v="0"/>
    <x v="0"/>
    <x v="3"/>
    <x v="4"/>
    <s v="NeA"/>
    <x v="8"/>
    <x v="10"/>
    <x v="0"/>
    <x v="0"/>
  </r>
  <r>
    <x v="0"/>
    <x v="0"/>
    <x v="0"/>
    <x v="3"/>
    <x v="4"/>
    <s v="NeA"/>
    <x v="8"/>
    <x v="11"/>
    <x v="0"/>
    <x v="0"/>
  </r>
  <r>
    <x v="0"/>
    <x v="0"/>
    <x v="0"/>
    <x v="3"/>
    <x v="4"/>
    <s v="NeA"/>
    <x v="9"/>
    <x v="0"/>
    <x v="0"/>
    <x v="0"/>
  </r>
  <r>
    <x v="0"/>
    <x v="0"/>
    <x v="0"/>
    <x v="3"/>
    <x v="4"/>
    <s v="NeA"/>
    <x v="9"/>
    <x v="1"/>
    <x v="0"/>
    <x v="0"/>
  </r>
  <r>
    <x v="0"/>
    <x v="0"/>
    <x v="0"/>
    <x v="3"/>
    <x v="4"/>
    <s v="NeA"/>
    <x v="9"/>
    <x v="2"/>
    <x v="0"/>
    <x v="0"/>
  </r>
  <r>
    <x v="0"/>
    <x v="0"/>
    <x v="0"/>
    <x v="3"/>
    <x v="4"/>
    <s v="NeA"/>
    <x v="9"/>
    <x v="3"/>
    <x v="0"/>
    <x v="0"/>
  </r>
  <r>
    <x v="0"/>
    <x v="0"/>
    <x v="0"/>
    <x v="3"/>
    <x v="4"/>
    <s v="NeA"/>
    <x v="9"/>
    <x v="4"/>
    <x v="0"/>
    <x v="0"/>
  </r>
  <r>
    <x v="0"/>
    <x v="0"/>
    <x v="0"/>
    <x v="3"/>
    <x v="4"/>
    <s v="NeA"/>
    <x v="9"/>
    <x v="5"/>
    <x v="0"/>
    <x v="0"/>
  </r>
  <r>
    <x v="0"/>
    <x v="0"/>
    <x v="0"/>
    <x v="3"/>
    <x v="4"/>
    <s v="NeA"/>
    <x v="9"/>
    <x v="6"/>
    <x v="0"/>
    <x v="0"/>
  </r>
  <r>
    <x v="0"/>
    <x v="0"/>
    <x v="0"/>
    <x v="3"/>
    <x v="4"/>
    <s v="NeA"/>
    <x v="9"/>
    <x v="7"/>
    <x v="0"/>
    <x v="0"/>
  </r>
  <r>
    <x v="0"/>
    <x v="0"/>
    <x v="0"/>
    <x v="3"/>
    <x v="4"/>
    <s v="NeA"/>
    <x v="9"/>
    <x v="8"/>
    <x v="0"/>
    <x v="0"/>
  </r>
  <r>
    <x v="0"/>
    <x v="0"/>
    <x v="0"/>
    <x v="3"/>
    <x v="4"/>
    <s v="NeA"/>
    <x v="9"/>
    <x v="9"/>
    <x v="0"/>
    <x v="0"/>
  </r>
  <r>
    <x v="0"/>
    <x v="0"/>
    <x v="0"/>
    <x v="3"/>
    <x v="4"/>
    <s v="NeA"/>
    <x v="9"/>
    <x v="10"/>
    <x v="0"/>
    <x v="0"/>
  </r>
  <r>
    <x v="0"/>
    <x v="0"/>
    <x v="0"/>
    <x v="3"/>
    <x v="4"/>
    <s v="NeA"/>
    <x v="9"/>
    <x v="11"/>
    <x v="0"/>
    <x v="0"/>
  </r>
  <r>
    <x v="0"/>
    <x v="0"/>
    <x v="0"/>
    <x v="3"/>
    <x v="4"/>
    <s v="NeA"/>
    <x v="10"/>
    <x v="0"/>
    <x v="0"/>
    <x v="0"/>
  </r>
  <r>
    <x v="0"/>
    <x v="0"/>
    <x v="0"/>
    <x v="3"/>
    <x v="4"/>
    <s v="NeA"/>
    <x v="10"/>
    <x v="1"/>
    <x v="0"/>
    <x v="0"/>
  </r>
  <r>
    <x v="0"/>
    <x v="0"/>
    <x v="0"/>
    <x v="3"/>
    <x v="4"/>
    <s v="NeA"/>
    <x v="10"/>
    <x v="2"/>
    <x v="0"/>
    <x v="0"/>
  </r>
  <r>
    <x v="0"/>
    <x v="0"/>
    <x v="0"/>
    <x v="3"/>
    <x v="4"/>
    <s v="NeA"/>
    <x v="10"/>
    <x v="3"/>
    <x v="0"/>
    <x v="0"/>
  </r>
  <r>
    <x v="0"/>
    <x v="0"/>
    <x v="0"/>
    <x v="3"/>
    <x v="4"/>
    <s v="NeA"/>
    <x v="10"/>
    <x v="4"/>
    <x v="0"/>
    <x v="0"/>
  </r>
  <r>
    <x v="0"/>
    <x v="0"/>
    <x v="0"/>
    <x v="3"/>
    <x v="4"/>
    <s v="NeA"/>
    <x v="10"/>
    <x v="5"/>
    <x v="0"/>
    <x v="0"/>
  </r>
  <r>
    <x v="0"/>
    <x v="0"/>
    <x v="0"/>
    <x v="3"/>
    <x v="4"/>
    <s v="NeA"/>
    <x v="10"/>
    <x v="6"/>
    <x v="0"/>
    <x v="0"/>
  </r>
  <r>
    <x v="0"/>
    <x v="0"/>
    <x v="0"/>
    <x v="3"/>
    <x v="4"/>
    <s v="NeA"/>
    <x v="10"/>
    <x v="7"/>
    <x v="0"/>
    <x v="0"/>
  </r>
  <r>
    <x v="0"/>
    <x v="0"/>
    <x v="0"/>
    <x v="3"/>
    <x v="4"/>
    <s v="NeA"/>
    <x v="10"/>
    <x v="8"/>
    <x v="0"/>
    <x v="0"/>
  </r>
  <r>
    <x v="0"/>
    <x v="0"/>
    <x v="0"/>
    <x v="3"/>
    <x v="4"/>
    <s v="NeA"/>
    <x v="10"/>
    <x v="9"/>
    <x v="0"/>
    <x v="0"/>
  </r>
  <r>
    <x v="0"/>
    <x v="0"/>
    <x v="0"/>
    <x v="3"/>
    <x v="4"/>
    <s v="NeA"/>
    <x v="10"/>
    <x v="10"/>
    <x v="0"/>
    <x v="0"/>
  </r>
  <r>
    <x v="0"/>
    <x v="0"/>
    <x v="0"/>
    <x v="3"/>
    <x v="4"/>
    <s v="NeA"/>
    <x v="10"/>
    <x v="11"/>
    <x v="0"/>
    <x v="0"/>
  </r>
  <r>
    <x v="0"/>
    <x v="0"/>
    <x v="0"/>
    <x v="3"/>
    <x v="4"/>
    <s v="NeA"/>
    <x v="11"/>
    <x v="0"/>
    <x v="0"/>
    <x v="0"/>
  </r>
  <r>
    <x v="0"/>
    <x v="0"/>
    <x v="0"/>
    <x v="3"/>
    <x v="4"/>
    <s v="NeA"/>
    <x v="11"/>
    <x v="1"/>
    <x v="0"/>
    <x v="0"/>
  </r>
  <r>
    <x v="0"/>
    <x v="0"/>
    <x v="0"/>
    <x v="3"/>
    <x v="4"/>
    <s v="NeA"/>
    <x v="11"/>
    <x v="2"/>
    <x v="0"/>
    <x v="0"/>
  </r>
  <r>
    <x v="0"/>
    <x v="0"/>
    <x v="0"/>
    <x v="3"/>
    <x v="4"/>
    <s v="NeA"/>
    <x v="11"/>
    <x v="3"/>
    <x v="0"/>
    <x v="0"/>
  </r>
  <r>
    <x v="0"/>
    <x v="0"/>
    <x v="0"/>
    <x v="3"/>
    <x v="4"/>
    <s v="NeA"/>
    <x v="11"/>
    <x v="4"/>
    <x v="0"/>
    <x v="0"/>
  </r>
  <r>
    <x v="0"/>
    <x v="0"/>
    <x v="0"/>
    <x v="3"/>
    <x v="4"/>
    <s v="NeA"/>
    <x v="11"/>
    <x v="5"/>
    <x v="0"/>
    <x v="0"/>
  </r>
  <r>
    <x v="0"/>
    <x v="0"/>
    <x v="0"/>
    <x v="3"/>
    <x v="4"/>
    <s v="NeA"/>
    <x v="11"/>
    <x v="6"/>
    <x v="0"/>
    <x v="0"/>
  </r>
  <r>
    <x v="0"/>
    <x v="0"/>
    <x v="0"/>
    <x v="3"/>
    <x v="4"/>
    <s v="NeA"/>
    <x v="11"/>
    <x v="7"/>
    <x v="0"/>
    <x v="0"/>
  </r>
  <r>
    <x v="0"/>
    <x v="0"/>
    <x v="0"/>
    <x v="3"/>
    <x v="4"/>
    <s v="NeA"/>
    <x v="11"/>
    <x v="8"/>
    <x v="0"/>
    <x v="0"/>
  </r>
  <r>
    <x v="0"/>
    <x v="0"/>
    <x v="0"/>
    <x v="3"/>
    <x v="4"/>
    <s v="NeA"/>
    <x v="11"/>
    <x v="9"/>
    <x v="0"/>
    <x v="0"/>
  </r>
  <r>
    <x v="0"/>
    <x v="0"/>
    <x v="0"/>
    <x v="3"/>
    <x v="4"/>
    <s v="NeA"/>
    <x v="11"/>
    <x v="10"/>
    <x v="0"/>
    <x v="0"/>
  </r>
  <r>
    <x v="0"/>
    <x v="0"/>
    <x v="0"/>
    <x v="3"/>
    <x v="4"/>
    <s v="NeA"/>
    <x v="11"/>
    <x v="11"/>
    <x v="0"/>
    <x v="0"/>
  </r>
  <r>
    <x v="0"/>
    <x v="0"/>
    <x v="0"/>
    <x v="4"/>
    <x v="5"/>
    <s v="NO1_A1"/>
    <x v="0"/>
    <x v="0"/>
    <x v="0"/>
    <x v="0"/>
  </r>
  <r>
    <x v="0"/>
    <x v="0"/>
    <x v="0"/>
    <x v="4"/>
    <x v="5"/>
    <s v="NO1_A1"/>
    <x v="0"/>
    <x v="1"/>
    <x v="0"/>
    <x v="0"/>
  </r>
  <r>
    <x v="0"/>
    <x v="0"/>
    <x v="0"/>
    <x v="4"/>
    <x v="5"/>
    <s v="NO1_A1"/>
    <x v="0"/>
    <x v="2"/>
    <x v="0"/>
    <x v="0"/>
  </r>
  <r>
    <x v="0"/>
    <x v="0"/>
    <x v="0"/>
    <x v="4"/>
    <x v="5"/>
    <s v="NO1_A1"/>
    <x v="0"/>
    <x v="3"/>
    <x v="0"/>
    <x v="0"/>
  </r>
  <r>
    <x v="0"/>
    <x v="0"/>
    <x v="0"/>
    <x v="4"/>
    <x v="5"/>
    <s v="NO1_A1"/>
    <x v="0"/>
    <x v="4"/>
    <x v="0"/>
    <x v="0"/>
  </r>
  <r>
    <x v="0"/>
    <x v="0"/>
    <x v="0"/>
    <x v="4"/>
    <x v="5"/>
    <s v="NO1_A1"/>
    <x v="0"/>
    <x v="5"/>
    <x v="0"/>
    <x v="0"/>
  </r>
  <r>
    <x v="0"/>
    <x v="0"/>
    <x v="0"/>
    <x v="4"/>
    <x v="5"/>
    <s v="NO1_A1"/>
    <x v="0"/>
    <x v="6"/>
    <x v="0"/>
    <x v="0"/>
  </r>
  <r>
    <x v="0"/>
    <x v="0"/>
    <x v="0"/>
    <x v="4"/>
    <x v="5"/>
    <s v="NO1_A1"/>
    <x v="0"/>
    <x v="7"/>
    <x v="0"/>
    <x v="0"/>
  </r>
  <r>
    <x v="0"/>
    <x v="0"/>
    <x v="0"/>
    <x v="4"/>
    <x v="5"/>
    <s v="NO1_A1"/>
    <x v="0"/>
    <x v="8"/>
    <x v="0"/>
    <x v="0"/>
  </r>
  <r>
    <x v="0"/>
    <x v="0"/>
    <x v="0"/>
    <x v="4"/>
    <x v="5"/>
    <s v="NO1_A1"/>
    <x v="0"/>
    <x v="9"/>
    <x v="0"/>
    <x v="0"/>
  </r>
  <r>
    <x v="0"/>
    <x v="0"/>
    <x v="0"/>
    <x v="4"/>
    <x v="5"/>
    <s v="NO1_A1"/>
    <x v="0"/>
    <x v="10"/>
    <x v="0"/>
    <x v="0"/>
  </r>
  <r>
    <x v="0"/>
    <x v="0"/>
    <x v="0"/>
    <x v="4"/>
    <x v="5"/>
    <s v="NO1_A1"/>
    <x v="0"/>
    <x v="11"/>
    <x v="0"/>
    <x v="0"/>
  </r>
  <r>
    <x v="0"/>
    <x v="0"/>
    <x v="0"/>
    <x v="4"/>
    <x v="5"/>
    <s v="NO1_A1"/>
    <x v="1"/>
    <x v="0"/>
    <x v="0"/>
    <x v="0"/>
  </r>
  <r>
    <x v="0"/>
    <x v="0"/>
    <x v="0"/>
    <x v="4"/>
    <x v="5"/>
    <s v="NO1_A1"/>
    <x v="1"/>
    <x v="1"/>
    <x v="0"/>
    <x v="0"/>
  </r>
  <r>
    <x v="0"/>
    <x v="0"/>
    <x v="0"/>
    <x v="4"/>
    <x v="5"/>
    <s v="NO1_A1"/>
    <x v="1"/>
    <x v="2"/>
    <x v="0"/>
    <x v="0"/>
  </r>
  <r>
    <x v="0"/>
    <x v="0"/>
    <x v="0"/>
    <x v="4"/>
    <x v="5"/>
    <s v="NO1_A1"/>
    <x v="1"/>
    <x v="3"/>
    <x v="0"/>
    <x v="0"/>
  </r>
  <r>
    <x v="0"/>
    <x v="0"/>
    <x v="0"/>
    <x v="4"/>
    <x v="5"/>
    <s v="NO1_A1"/>
    <x v="1"/>
    <x v="4"/>
    <x v="0"/>
    <x v="0"/>
  </r>
  <r>
    <x v="0"/>
    <x v="0"/>
    <x v="0"/>
    <x v="4"/>
    <x v="5"/>
    <s v="NO1_A1"/>
    <x v="1"/>
    <x v="5"/>
    <x v="0"/>
    <x v="0"/>
  </r>
  <r>
    <x v="0"/>
    <x v="0"/>
    <x v="0"/>
    <x v="4"/>
    <x v="5"/>
    <s v="NO1_A1"/>
    <x v="1"/>
    <x v="6"/>
    <x v="0"/>
    <x v="0"/>
  </r>
  <r>
    <x v="0"/>
    <x v="0"/>
    <x v="0"/>
    <x v="4"/>
    <x v="5"/>
    <s v="NO1_A1"/>
    <x v="1"/>
    <x v="7"/>
    <x v="0"/>
    <x v="0"/>
  </r>
  <r>
    <x v="0"/>
    <x v="0"/>
    <x v="0"/>
    <x v="4"/>
    <x v="5"/>
    <s v="NO1_A1"/>
    <x v="1"/>
    <x v="8"/>
    <x v="0"/>
    <x v="0"/>
  </r>
  <r>
    <x v="0"/>
    <x v="0"/>
    <x v="0"/>
    <x v="4"/>
    <x v="5"/>
    <s v="NO1_A1"/>
    <x v="1"/>
    <x v="9"/>
    <x v="0"/>
    <x v="0"/>
  </r>
  <r>
    <x v="0"/>
    <x v="0"/>
    <x v="0"/>
    <x v="4"/>
    <x v="5"/>
    <s v="NO1_A1"/>
    <x v="1"/>
    <x v="10"/>
    <x v="0"/>
    <x v="0"/>
  </r>
  <r>
    <x v="0"/>
    <x v="0"/>
    <x v="0"/>
    <x v="4"/>
    <x v="5"/>
    <s v="NO1_A1"/>
    <x v="1"/>
    <x v="11"/>
    <x v="0"/>
    <x v="0"/>
  </r>
  <r>
    <x v="0"/>
    <x v="0"/>
    <x v="0"/>
    <x v="4"/>
    <x v="5"/>
    <s v="NO1_A1"/>
    <x v="2"/>
    <x v="0"/>
    <x v="0"/>
    <x v="0"/>
  </r>
  <r>
    <x v="0"/>
    <x v="0"/>
    <x v="0"/>
    <x v="4"/>
    <x v="5"/>
    <s v="NO1_A1"/>
    <x v="2"/>
    <x v="1"/>
    <x v="0"/>
    <x v="0"/>
  </r>
  <r>
    <x v="0"/>
    <x v="0"/>
    <x v="0"/>
    <x v="4"/>
    <x v="5"/>
    <s v="NO1_A1"/>
    <x v="2"/>
    <x v="2"/>
    <x v="0"/>
    <x v="0"/>
  </r>
  <r>
    <x v="0"/>
    <x v="0"/>
    <x v="0"/>
    <x v="4"/>
    <x v="5"/>
    <s v="NO1_A1"/>
    <x v="2"/>
    <x v="3"/>
    <x v="0"/>
    <x v="0"/>
  </r>
  <r>
    <x v="0"/>
    <x v="0"/>
    <x v="0"/>
    <x v="4"/>
    <x v="5"/>
    <s v="NO1_A1"/>
    <x v="2"/>
    <x v="4"/>
    <x v="0"/>
    <x v="0"/>
  </r>
  <r>
    <x v="0"/>
    <x v="0"/>
    <x v="0"/>
    <x v="4"/>
    <x v="5"/>
    <s v="NO1_A1"/>
    <x v="2"/>
    <x v="5"/>
    <x v="0"/>
    <x v="0"/>
  </r>
  <r>
    <x v="0"/>
    <x v="0"/>
    <x v="0"/>
    <x v="4"/>
    <x v="5"/>
    <s v="NO1_A1"/>
    <x v="2"/>
    <x v="6"/>
    <x v="0"/>
    <x v="0"/>
  </r>
  <r>
    <x v="0"/>
    <x v="0"/>
    <x v="0"/>
    <x v="4"/>
    <x v="5"/>
    <s v="NO1_A1"/>
    <x v="2"/>
    <x v="7"/>
    <x v="0"/>
    <x v="0"/>
  </r>
  <r>
    <x v="0"/>
    <x v="0"/>
    <x v="0"/>
    <x v="4"/>
    <x v="5"/>
    <s v="NO1_A1"/>
    <x v="2"/>
    <x v="8"/>
    <x v="0"/>
    <x v="0"/>
  </r>
  <r>
    <x v="0"/>
    <x v="0"/>
    <x v="0"/>
    <x v="4"/>
    <x v="5"/>
    <s v="NO1_A1"/>
    <x v="2"/>
    <x v="9"/>
    <x v="0"/>
    <x v="0"/>
  </r>
  <r>
    <x v="0"/>
    <x v="0"/>
    <x v="0"/>
    <x v="4"/>
    <x v="5"/>
    <s v="NO1_A1"/>
    <x v="2"/>
    <x v="10"/>
    <x v="0"/>
    <x v="0"/>
  </r>
  <r>
    <x v="0"/>
    <x v="0"/>
    <x v="0"/>
    <x v="4"/>
    <x v="5"/>
    <s v="NO1_A1"/>
    <x v="2"/>
    <x v="11"/>
    <x v="0"/>
    <x v="0"/>
  </r>
  <r>
    <x v="0"/>
    <x v="0"/>
    <x v="0"/>
    <x v="4"/>
    <x v="5"/>
    <s v="NO1_A1"/>
    <x v="3"/>
    <x v="0"/>
    <x v="0"/>
    <x v="0"/>
  </r>
  <r>
    <x v="0"/>
    <x v="0"/>
    <x v="0"/>
    <x v="4"/>
    <x v="5"/>
    <s v="NO1_A1"/>
    <x v="3"/>
    <x v="1"/>
    <x v="0"/>
    <x v="0"/>
  </r>
  <r>
    <x v="0"/>
    <x v="0"/>
    <x v="0"/>
    <x v="4"/>
    <x v="5"/>
    <s v="NO1_A1"/>
    <x v="3"/>
    <x v="2"/>
    <x v="0"/>
    <x v="0"/>
  </r>
  <r>
    <x v="0"/>
    <x v="0"/>
    <x v="0"/>
    <x v="4"/>
    <x v="5"/>
    <s v="NO1_A1"/>
    <x v="3"/>
    <x v="3"/>
    <x v="0"/>
    <x v="0"/>
  </r>
  <r>
    <x v="0"/>
    <x v="0"/>
    <x v="0"/>
    <x v="4"/>
    <x v="5"/>
    <s v="NO1_A1"/>
    <x v="3"/>
    <x v="4"/>
    <x v="0"/>
    <x v="0"/>
  </r>
  <r>
    <x v="0"/>
    <x v="0"/>
    <x v="0"/>
    <x v="4"/>
    <x v="5"/>
    <s v="NO1_A1"/>
    <x v="3"/>
    <x v="5"/>
    <x v="0"/>
    <x v="0"/>
  </r>
  <r>
    <x v="0"/>
    <x v="0"/>
    <x v="0"/>
    <x v="4"/>
    <x v="5"/>
    <s v="NO1_A1"/>
    <x v="3"/>
    <x v="6"/>
    <x v="0"/>
    <x v="0"/>
  </r>
  <r>
    <x v="0"/>
    <x v="0"/>
    <x v="0"/>
    <x v="4"/>
    <x v="5"/>
    <s v="NO1_A1"/>
    <x v="3"/>
    <x v="7"/>
    <x v="0"/>
    <x v="0"/>
  </r>
  <r>
    <x v="0"/>
    <x v="0"/>
    <x v="0"/>
    <x v="4"/>
    <x v="5"/>
    <s v="NO1_A1"/>
    <x v="3"/>
    <x v="8"/>
    <x v="0"/>
    <x v="0"/>
  </r>
  <r>
    <x v="0"/>
    <x v="0"/>
    <x v="0"/>
    <x v="4"/>
    <x v="5"/>
    <s v="NO1_A1"/>
    <x v="3"/>
    <x v="9"/>
    <x v="0"/>
    <x v="0"/>
  </r>
  <r>
    <x v="0"/>
    <x v="0"/>
    <x v="0"/>
    <x v="4"/>
    <x v="5"/>
    <s v="NO1_A1"/>
    <x v="3"/>
    <x v="10"/>
    <x v="0"/>
    <x v="0"/>
  </r>
  <r>
    <x v="0"/>
    <x v="0"/>
    <x v="0"/>
    <x v="4"/>
    <x v="5"/>
    <s v="NO1_A1"/>
    <x v="3"/>
    <x v="11"/>
    <x v="0"/>
    <x v="0"/>
  </r>
  <r>
    <x v="0"/>
    <x v="0"/>
    <x v="0"/>
    <x v="4"/>
    <x v="5"/>
    <s v="NO1_A1"/>
    <x v="4"/>
    <x v="0"/>
    <x v="0"/>
    <x v="0"/>
  </r>
  <r>
    <x v="0"/>
    <x v="0"/>
    <x v="0"/>
    <x v="4"/>
    <x v="5"/>
    <s v="NO1_A1"/>
    <x v="4"/>
    <x v="1"/>
    <x v="0"/>
    <x v="0"/>
  </r>
  <r>
    <x v="0"/>
    <x v="0"/>
    <x v="0"/>
    <x v="4"/>
    <x v="5"/>
    <s v="NO1_A1"/>
    <x v="4"/>
    <x v="2"/>
    <x v="0"/>
    <x v="0"/>
  </r>
  <r>
    <x v="0"/>
    <x v="0"/>
    <x v="0"/>
    <x v="4"/>
    <x v="5"/>
    <s v="NO1_A1"/>
    <x v="4"/>
    <x v="3"/>
    <x v="0"/>
    <x v="0"/>
  </r>
  <r>
    <x v="0"/>
    <x v="0"/>
    <x v="0"/>
    <x v="4"/>
    <x v="5"/>
    <s v="NO1_A1"/>
    <x v="4"/>
    <x v="4"/>
    <x v="0"/>
    <x v="0"/>
  </r>
  <r>
    <x v="0"/>
    <x v="0"/>
    <x v="0"/>
    <x v="4"/>
    <x v="5"/>
    <s v="NO1_A1"/>
    <x v="4"/>
    <x v="5"/>
    <x v="0"/>
    <x v="0"/>
  </r>
  <r>
    <x v="0"/>
    <x v="0"/>
    <x v="0"/>
    <x v="4"/>
    <x v="5"/>
    <s v="NO1_A1"/>
    <x v="4"/>
    <x v="6"/>
    <x v="0"/>
    <x v="0"/>
  </r>
  <r>
    <x v="0"/>
    <x v="0"/>
    <x v="0"/>
    <x v="4"/>
    <x v="5"/>
    <s v="NO1_A1"/>
    <x v="4"/>
    <x v="7"/>
    <x v="0"/>
    <x v="0"/>
  </r>
  <r>
    <x v="0"/>
    <x v="0"/>
    <x v="0"/>
    <x v="4"/>
    <x v="5"/>
    <s v="NO1_A1"/>
    <x v="4"/>
    <x v="8"/>
    <x v="0"/>
    <x v="0"/>
  </r>
  <r>
    <x v="0"/>
    <x v="0"/>
    <x v="0"/>
    <x v="4"/>
    <x v="5"/>
    <s v="NO1_A1"/>
    <x v="4"/>
    <x v="9"/>
    <x v="0"/>
    <x v="0"/>
  </r>
  <r>
    <x v="0"/>
    <x v="0"/>
    <x v="0"/>
    <x v="4"/>
    <x v="5"/>
    <s v="NO1_A1"/>
    <x v="4"/>
    <x v="10"/>
    <x v="0"/>
    <x v="0"/>
  </r>
  <r>
    <x v="0"/>
    <x v="0"/>
    <x v="0"/>
    <x v="4"/>
    <x v="5"/>
    <s v="NO1_A1"/>
    <x v="4"/>
    <x v="11"/>
    <x v="0"/>
    <x v="0"/>
  </r>
  <r>
    <x v="0"/>
    <x v="0"/>
    <x v="0"/>
    <x v="4"/>
    <x v="5"/>
    <s v="NO1_A1"/>
    <x v="5"/>
    <x v="0"/>
    <x v="0"/>
    <x v="0"/>
  </r>
  <r>
    <x v="0"/>
    <x v="0"/>
    <x v="0"/>
    <x v="4"/>
    <x v="5"/>
    <s v="NO1_A1"/>
    <x v="5"/>
    <x v="1"/>
    <x v="0"/>
    <x v="0"/>
  </r>
  <r>
    <x v="0"/>
    <x v="0"/>
    <x v="0"/>
    <x v="4"/>
    <x v="5"/>
    <s v="NO1_A1"/>
    <x v="5"/>
    <x v="2"/>
    <x v="0"/>
    <x v="0"/>
  </r>
  <r>
    <x v="0"/>
    <x v="0"/>
    <x v="0"/>
    <x v="4"/>
    <x v="5"/>
    <s v="NO1_A1"/>
    <x v="5"/>
    <x v="3"/>
    <x v="0"/>
    <x v="0"/>
  </r>
  <r>
    <x v="0"/>
    <x v="0"/>
    <x v="0"/>
    <x v="4"/>
    <x v="5"/>
    <s v="NO1_A1"/>
    <x v="5"/>
    <x v="4"/>
    <x v="0"/>
    <x v="0"/>
  </r>
  <r>
    <x v="0"/>
    <x v="0"/>
    <x v="0"/>
    <x v="4"/>
    <x v="5"/>
    <s v="NO1_A1"/>
    <x v="5"/>
    <x v="5"/>
    <x v="0"/>
    <x v="0"/>
  </r>
  <r>
    <x v="0"/>
    <x v="0"/>
    <x v="0"/>
    <x v="4"/>
    <x v="5"/>
    <s v="NO1_A1"/>
    <x v="5"/>
    <x v="6"/>
    <x v="0"/>
    <x v="0"/>
  </r>
  <r>
    <x v="0"/>
    <x v="0"/>
    <x v="0"/>
    <x v="4"/>
    <x v="5"/>
    <s v="NO1_A1"/>
    <x v="5"/>
    <x v="7"/>
    <x v="0"/>
    <x v="0"/>
  </r>
  <r>
    <x v="0"/>
    <x v="0"/>
    <x v="0"/>
    <x v="4"/>
    <x v="5"/>
    <s v="NO1_A1"/>
    <x v="5"/>
    <x v="8"/>
    <x v="0"/>
    <x v="0"/>
  </r>
  <r>
    <x v="0"/>
    <x v="0"/>
    <x v="0"/>
    <x v="4"/>
    <x v="5"/>
    <s v="NO1_A1"/>
    <x v="5"/>
    <x v="9"/>
    <x v="0"/>
    <x v="0"/>
  </r>
  <r>
    <x v="0"/>
    <x v="0"/>
    <x v="0"/>
    <x v="4"/>
    <x v="5"/>
    <s v="NO1_A1"/>
    <x v="5"/>
    <x v="10"/>
    <x v="0"/>
    <x v="0"/>
  </r>
  <r>
    <x v="0"/>
    <x v="0"/>
    <x v="0"/>
    <x v="4"/>
    <x v="5"/>
    <s v="NO1_A1"/>
    <x v="5"/>
    <x v="11"/>
    <x v="0"/>
    <x v="0"/>
  </r>
  <r>
    <x v="0"/>
    <x v="0"/>
    <x v="0"/>
    <x v="4"/>
    <x v="5"/>
    <s v="NO1_A1"/>
    <x v="6"/>
    <x v="0"/>
    <x v="0"/>
    <x v="0"/>
  </r>
  <r>
    <x v="0"/>
    <x v="0"/>
    <x v="0"/>
    <x v="4"/>
    <x v="5"/>
    <s v="NO1_A1"/>
    <x v="6"/>
    <x v="1"/>
    <x v="0"/>
    <x v="0"/>
  </r>
  <r>
    <x v="0"/>
    <x v="0"/>
    <x v="0"/>
    <x v="4"/>
    <x v="5"/>
    <s v="NO1_A1"/>
    <x v="6"/>
    <x v="2"/>
    <x v="0"/>
    <x v="0"/>
  </r>
  <r>
    <x v="0"/>
    <x v="0"/>
    <x v="0"/>
    <x v="4"/>
    <x v="5"/>
    <s v="NO1_A1"/>
    <x v="6"/>
    <x v="3"/>
    <x v="0"/>
    <x v="0"/>
  </r>
  <r>
    <x v="0"/>
    <x v="0"/>
    <x v="0"/>
    <x v="4"/>
    <x v="5"/>
    <s v="NO1_A1"/>
    <x v="6"/>
    <x v="4"/>
    <x v="0"/>
    <x v="0"/>
  </r>
  <r>
    <x v="0"/>
    <x v="0"/>
    <x v="0"/>
    <x v="4"/>
    <x v="5"/>
    <s v="NO1_A1"/>
    <x v="6"/>
    <x v="5"/>
    <x v="0"/>
    <x v="0"/>
  </r>
  <r>
    <x v="0"/>
    <x v="0"/>
    <x v="0"/>
    <x v="4"/>
    <x v="5"/>
    <s v="NO1_A1"/>
    <x v="6"/>
    <x v="6"/>
    <x v="0"/>
    <x v="0"/>
  </r>
  <r>
    <x v="0"/>
    <x v="0"/>
    <x v="0"/>
    <x v="4"/>
    <x v="5"/>
    <s v="NO1_A1"/>
    <x v="6"/>
    <x v="7"/>
    <x v="0"/>
    <x v="0"/>
  </r>
  <r>
    <x v="0"/>
    <x v="0"/>
    <x v="0"/>
    <x v="4"/>
    <x v="5"/>
    <s v="NO1_A1"/>
    <x v="6"/>
    <x v="8"/>
    <x v="0"/>
    <x v="0"/>
  </r>
  <r>
    <x v="0"/>
    <x v="0"/>
    <x v="0"/>
    <x v="4"/>
    <x v="5"/>
    <s v="NO1_A1"/>
    <x v="6"/>
    <x v="9"/>
    <x v="0"/>
    <x v="0"/>
  </r>
  <r>
    <x v="0"/>
    <x v="0"/>
    <x v="0"/>
    <x v="4"/>
    <x v="5"/>
    <s v="NO1_A1"/>
    <x v="6"/>
    <x v="10"/>
    <x v="0"/>
    <x v="0"/>
  </r>
  <r>
    <x v="0"/>
    <x v="0"/>
    <x v="0"/>
    <x v="4"/>
    <x v="5"/>
    <s v="NO1_A1"/>
    <x v="6"/>
    <x v="11"/>
    <x v="0"/>
    <x v="0"/>
  </r>
  <r>
    <x v="0"/>
    <x v="0"/>
    <x v="0"/>
    <x v="4"/>
    <x v="5"/>
    <s v="NO1_A1"/>
    <x v="7"/>
    <x v="0"/>
    <x v="0"/>
    <x v="0"/>
  </r>
  <r>
    <x v="0"/>
    <x v="0"/>
    <x v="0"/>
    <x v="4"/>
    <x v="5"/>
    <s v="NO1_A1"/>
    <x v="7"/>
    <x v="1"/>
    <x v="0"/>
    <x v="0"/>
  </r>
  <r>
    <x v="0"/>
    <x v="0"/>
    <x v="0"/>
    <x v="4"/>
    <x v="5"/>
    <s v="NO1_A1"/>
    <x v="7"/>
    <x v="2"/>
    <x v="0"/>
    <x v="0"/>
  </r>
  <r>
    <x v="0"/>
    <x v="0"/>
    <x v="0"/>
    <x v="4"/>
    <x v="5"/>
    <s v="NO1_A1"/>
    <x v="7"/>
    <x v="3"/>
    <x v="0"/>
    <x v="0"/>
  </r>
  <r>
    <x v="0"/>
    <x v="0"/>
    <x v="0"/>
    <x v="4"/>
    <x v="5"/>
    <s v="NO1_A1"/>
    <x v="7"/>
    <x v="4"/>
    <x v="0"/>
    <x v="0"/>
  </r>
  <r>
    <x v="0"/>
    <x v="0"/>
    <x v="0"/>
    <x v="4"/>
    <x v="5"/>
    <s v="NO1_A1"/>
    <x v="7"/>
    <x v="5"/>
    <x v="0"/>
    <x v="0"/>
  </r>
  <r>
    <x v="0"/>
    <x v="0"/>
    <x v="0"/>
    <x v="4"/>
    <x v="5"/>
    <s v="NO1_A1"/>
    <x v="7"/>
    <x v="6"/>
    <x v="0"/>
    <x v="0"/>
  </r>
  <r>
    <x v="0"/>
    <x v="0"/>
    <x v="0"/>
    <x v="4"/>
    <x v="5"/>
    <s v="NO1_A1"/>
    <x v="7"/>
    <x v="7"/>
    <x v="0"/>
    <x v="0"/>
  </r>
  <r>
    <x v="0"/>
    <x v="0"/>
    <x v="0"/>
    <x v="4"/>
    <x v="5"/>
    <s v="NO1_A1"/>
    <x v="7"/>
    <x v="8"/>
    <x v="0"/>
    <x v="0"/>
  </r>
  <r>
    <x v="0"/>
    <x v="0"/>
    <x v="0"/>
    <x v="4"/>
    <x v="5"/>
    <s v="NO1_A1"/>
    <x v="7"/>
    <x v="9"/>
    <x v="0"/>
    <x v="0"/>
  </r>
  <r>
    <x v="0"/>
    <x v="0"/>
    <x v="0"/>
    <x v="4"/>
    <x v="5"/>
    <s v="NO1_A1"/>
    <x v="7"/>
    <x v="10"/>
    <x v="0"/>
    <x v="0"/>
  </r>
  <r>
    <x v="0"/>
    <x v="0"/>
    <x v="0"/>
    <x v="4"/>
    <x v="5"/>
    <s v="NO1_A1"/>
    <x v="7"/>
    <x v="11"/>
    <x v="0"/>
    <x v="0"/>
  </r>
  <r>
    <x v="0"/>
    <x v="0"/>
    <x v="0"/>
    <x v="4"/>
    <x v="5"/>
    <s v="NO1_A1"/>
    <x v="8"/>
    <x v="0"/>
    <x v="0"/>
    <x v="0"/>
  </r>
  <r>
    <x v="0"/>
    <x v="0"/>
    <x v="0"/>
    <x v="4"/>
    <x v="5"/>
    <s v="NO1_A1"/>
    <x v="8"/>
    <x v="1"/>
    <x v="0"/>
    <x v="0"/>
  </r>
  <r>
    <x v="0"/>
    <x v="0"/>
    <x v="0"/>
    <x v="4"/>
    <x v="5"/>
    <s v="NO1_A1"/>
    <x v="8"/>
    <x v="2"/>
    <x v="0"/>
    <x v="0"/>
  </r>
  <r>
    <x v="0"/>
    <x v="0"/>
    <x v="0"/>
    <x v="4"/>
    <x v="5"/>
    <s v="NO1_A1"/>
    <x v="8"/>
    <x v="3"/>
    <x v="0"/>
    <x v="0"/>
  </r>
  <r>
    <x v="0"/>
    <x v="0"/>
    <x v="0"/>
    <x v="4"/>
    <x v="5"/>
    <s v="NO1_A1"/>
    <x v="8"/>
    <x v="4"/>
    <x v="0"/>
    <x v="0"/>
  </r>
  <r>
    <x v="0"/>
    <x v="0"/>
    <x v="0"/>
    <x v="4"/>
    <x v="5"/>
    <s v="NO1_A1"/>
    <x v="8"/>
    <x v="5"/>
    <x v="0"/>
    <x v="0"/>
  </r>
  <r>
    <x v="0"/>
    <x v="0"/>
    <x v="0"/>
    <x v="4"/>
    <x v="5"/>
    <s v="NO1_A1"/>
    <x v="8"/>
    <x v="6"/>
    <x v="0"/>
    <x v="0"/>
  </r>
  <r>
    <x v="0"/>
    <x v="0"/>
    <x v="0"/>
    <x v="4"/>
    <x v="5"/>
    <s v="NO1_A1"/>
    <x v="8"/>
    <x v="7"/>
    <x v="0"/>
    <x v="0"/>
  </r>
  <r>
    <x v="0"/>
    <x v="0"/>
    <x v="0"/>
    <x v="4"/>
    <x v="5"/>
    <s v="NO1_A1"/>
    <x v="8"/>
    <x v="8"/>
    <x v="0"/>
    <x v="0"/>
  </r>
  <r>
    <x v="0"/>
    <x v="0"/>
    <x v="0"/>
    <x v="4"/>
    <x v="5"/>
    <s v="NO1_A1"/>
    <x v="8"/>
    <x v="9"/>
    <x v="0"/>
    <x v="0"/>
  </r>
  <r>
    <x v="0"/>
    <x v="0"/>
    <x v="0"/>
    <x v="4"/>
    <x v="5"/>
    <s v="NO1_A1"/>
    <x v="8"/>
    <x v="10"/>
    <x v="0"/>
    <x v="0"/>
  </r>
  <r>
    <x v="0"/>
    <x v="0"/>
    <x v="0"/>
    <x v="4"/>
    <x v="5"/>
    <s v="NO1_A1"/>
    <x v="8"/>
    <x v="11"/>
    <x v="0"/>
    <x v="0"/>
  </r>
  <r>
    <x v="0"/>
    <x v="0"/>
    <x v="0"/>
    <x v="4"/>
    <x v="5"/>
    <s v="NO1_A1"/>
    <x v="9"/>
    <x v="0"/>
    <x v="0"/>
    <x v="0"/>
  </r>
  <r>
    <x v="0"/>
    <x v="0"/>
    <x v="0"/>
    <x v="4"/>
    <x v="5"/>
    <s v="NO1_A1"/>
    <x v="9"/>
    <x v="1"/>
    <x v="0"/>
    <x v="0"/>
  </r>
  <r>
    <x v="0"/>
    <x v="0"/>
    <x v="0"/>
    <x v="4"/>
    <x v="5"/>
    <s v="NO1_A1"/>
    <x v="9"/>
    <x v="2"/>
    <x v="0"/>
    <x v="0"/>
  </r>
  <r>
    <x v="0"/>
    <x v="0"/>
    <x v="0"/>
    <x v="4"/>
    <x v="5"/>
    <s v="NO1_A1"/>
    <x v="9"/>
    <x v="3"/>
    <x v="0"/>
    <x v="0"/>
  </r>
  <r>
    <x v="0"/>
    <x v="0"/>
    <x v="0"/>
    <x v="4"/>
    <x v="5"/>
    <s v="NO1_A1"/>
    <x v="9"/>
    <x v="4"/>
    <x v="0"/>
    <x v="0"/>
  </r>
  <r>
    <x v="0"/>
    <x v="0"/>
    <x v="0"/>
    <x v="4"/>
    <x v="5"/>
    <s v="NO1_A1"/>
    <x v="9"/>
    <x v="5"/>
    <x v="0"/>
    <x v="0"/>
  </r>
  <r>
    <x v="0"/>
    <x v="0"/>
    <x v="0"/>
    <x v="4"/>
    <x v="5"/>
    <s v="NO1_A1"/>
    <x v="9"/>
    <x v="6"/>
    <x v="0"/>
    <x v="0"/>
  </r>
  <r>
    <x v="0"/>
    <x v="0"/>
    <x v="0"/>
    <x v="4"/>
    <x v="5"/>
    <s v="NO1_A1"/>
    <x v="9"/>
    <x v="7"/>
    <x v="0"/>
    <x v="0"/>
  </r>
  <r>
    <x v="0"/>
    <x v="0"/>
    <x v="0"/>
    <x v="4"/>
    <x v="5"/>
    <s v="NO1_A1"/>
    <x v="9"/>
    <x v="8"/>
    <x v="0"/>
    <x v="0"/>
  </r>
  <r>
    <x v="0"/>
    <x v="0"/>
    <x v="0"/>
    <x v="4"/>
    <x v="5"/>
    <s v="NO1_A1"/>
    <x v="9"/>
    <x v="9"/>
    <x v="0"/>
    <x v="0"/>
  </r>
  <r>
    <x v="0"/>
    <x v="0"/>
    <x v="0"/>
    <x v="4"/>
    <x v="5"/>
    <s v="NO1_A1"/>
    <x v="9"/>
    <x v="10"/>
    <x v="0"/>
    <x v="0"/>
  </r>
  <r>
    <x v="0"/>
    <x v="0"/>
    <x v="0"/>
    <x v="4"/>
    <x v="5"/>
    <s v="NO1_A1"/>
    <x v="9"/>
    <x v="11"/>
    <x v="0"/>
    <x v="0"/>
  </r>
  <r>
    <x v="0"/>
    <x v="0"/>
    <x v="0"/>
    <x v="4"/>
    <x v="5"/>
    <s v="NO1_A1"/>
    <x v="10"/>
    <x v="0"/>
    <x v="0"/>
    <x v="0"/>
  </r>
  <r>
    <x v="0"/>
    <x v="0"/>
    <x v="0"/>
    <x v="4"/>
    <x v="5"/>
    <s v="NO1_A1"/>
    <x v="10"/>
    <x v="1"/>
    <x v="0"/>
    <x v="0"/>
  </r>
  <r>
    <x v="0"/>
    <x v="0"/>
    <x v="0"/>
    <x v="4"/>
    <x v="5"/>
    <s v="NO1_A1"/>
    <x v="10"/>
    <x v="2"/>
    <x v="0"/>
    <x v="0"/>
  </r>
  <r>
    <x v="0"/>
    <x v="0"/>
    <x v="0"/>
    <x v="4"/>
    <x v="5"/>
    <s v="NO1_A1"/>
    <x v="10"/>
    <x v="3"/>
    <x v="0"/>
    <x v="0"/>
  </r>
  <r>
    <x v="0"/>
    <x v="0"/>
    <x v="0"/>
    <x v="4"/>
    <x v="5"/>
    <s v="NO1_A1"/>
    <x v="10"/>
    <x v="4"/>
    <x v="0"/>
    <x v="0"/>
  </r>
  <r>
    <x v="0"/>
    <x v="0"/>
    <x v="0"/>
    <x v="4"/>
    <x v="5"/>
    <s v="NO1_A1"/>
    <x v="10"/>
    <x v="5"/>
    <x v="0"/>
    <x v="0"/>
  </r>
  <r>
    <x v="0"/>
    <x v="0"/>
    <x v="0"/>
    <x v="4"/>
    <x v="5"/>
    <s v="NO1_A1"/>
    <x v="10"/>
    <x v="6"/>
    <x v="0"/>
    <x v="0"/>
  </r>
  <r>
    <x v="0"/>
    <x v="0"/>
    <x v="0"/>
    <x v="4"/>
    <x v="5"/>
    <s v="NO1_A1"/>
    <x v="10"/>
    <x v="7"/>
    <x v="0"/>
    <x v="0"/>
  </r>
  <r>
    <x v="0"/>
    <x v="0"/>
    <x v="0"/>
    <x v="4"/>
    <x v="5"/>
    <s v="NO1_A1"/>
    <x v="10"/>
    <x v="8"/>
    <x v="0"/>
    <x v="0"/>
  </r>
  <r>
    <x v="0"/>
    <x v="0"/>
    <x v="0"/>
    <x v="4"/>
    <x v="5"/>
    <s v="NO1_A1"/>
    <x v="10"/>
    <x v="9"/>
    <x v="0"/>
    <x v="0"/>
  </r>
  <r>
    <x v="0"/>
    <x v="0"/>
    <x v="0"/>
    <x v="4"/>
    <x v="5"/>
    <s v="NO1_A1"/>
    <x v="10"/>
    <x v="10"/>
    <x v="0"/>
    <x v="0"/>
  </r>
  <r>
    <x v="0"/>
    <x v="0"/>
    <x v="0"/>
    <x v="4"/>
    <x v="5"/>
    <s v="NO1_A1"/>
    <x v="10"/>
    <x v="11"/>
    <x v="0"/>
    <x v="0"/>
  </r>
  <r>
    <x v="0"/>
    <x v="0"/>
    <x v="0"/>
    <x v="4"/>
    <x v="5"/>
    <s v="NO1_A1"/>
    <x v="11"/>
    <x v="0"/>
    <x v="0"/>
    <x v="0"/>
  </r>
  <r>
    <x v="0"/>
    <x v="0"/>
    <x v="0"/>
    <x v="4"/>
    <x v="5"/>
    <s v="NO1_A1"/>
    <x v="11"/>
    <x v="1"/>
    <x v="0"/>
    <x v="0"/>
  </r>
  <r>
    <x v="0"/>
    <x v="0"/>
    <x v="0"/>
    <x v="4"/>
    <x v="5"/>
    <s v="NO1_A1"/>
    <x v="11"/>
    <x v="2"/>
    <x v="0"/>
    <x v="0"/>
  </r>
  <r>
    <x v="0"/>
    <x v="0"/>
    <x v="0"/>
    <x v="4"/>
    <x v="5"/>
    <s v="NO1_A1"/>
    <x v="11"/>
    <x v="3"/>
    <x v="0"/>
    <x v="0"/>
  </r>
  <r>
    <x v="0"/>
    <x v="0"/>
    <x v="0"/>
    <x v="4"/>
    <x v="5"/>
    <s v="NO1_A1"/>
    <x v="11"/>
    <x v="4"/>
    <x v="0"/>
    <x v="0"/>
  </r>
  <r>
    <x v="0"/>
    <x v="0"/>
    <x v="0"/>
    <x v="4"/>
    <x v="5"/>
    <s v="NO1_A1"/>
    <x v="11"/>
    <x v="5"/>
    <x v="0"/>
    <x v="0"/>
  </r>
  <r>
    <x v="0"/>
    <x v="0"/>
    <x v="0"/>
    <x v="4"/>
    <x v="5"/>
    <s v="NO1_A1"/>
    <x v="11"/>
    <x v="6"/>
    <x v="0"/>
    <x v="0"/>
  </r>
  <r>
    <x v="0"/>
    <x v="0"/>
    <x v="0"/>
    <x v="4"/>
    <x v="5"/>
    <s v="NO1_A1"/>
    <x v="11"/>
    <x v="7"/>
    <x v="0"/>
    <x v="0"/>
  </r>
  <r>
    <x v="0"/>
    <x v="0"/>
    <x v="0"/>
    <x v="4"/>
    <x v="5"/>
    <s v="NO1_A1"/>
    <x v="11"/>
    <x v="8"/>
    <x v="0"/>
    <x v="0"/>
  </r>
  <r>
    <x v="0"/>
    <x v="0"/>
    <x v="0"/>
    <x v="4"/>
    <x v="5"/>
    <s v="NO1_A1"/>
    <x v="11"/>
    <x v="9"/>
    <x v="0"/>
    <x v="0"/>
  </r>
  <r>
    <x v="0"/>
    <x v="0"/>
    <x v="0"/>
    <x v="4"/>
    <x v="5"/>
    <s v="NO1_A1"/>
    <x v="11"/>
    <x v="10"/>
    <x v="0"/>
    <x v="0"/>
  </r>
  <r>
    <x v="0"/>
    <x v="0"/>
    <x v="0"/>
    <x v="4"/>
    <x v="5"/>
    <s v="NO1_A1"/>
    <x v="11"/>
    <x v="11"/>
    <x v="0"/>
    <x v="0"/>
  </r>
  <r>
    <x v="0"/>
    <x v="0"/>
    <x v="0"/>
    <x v="4"/>
    <x v="5"/>
    <s v="NO1_A2"/>
    <x v="0"/>
    <x v="0"/>
    <x v="0"/>
    <x v="0"/>
  </r>
  <r>
    <x v="0"/>
    <x v="0"/>
    <x v="0"/>
    <x v="4"/>
    <x v="5"/>
    <s v="NO1_A2"/>
    <x v="0"/>
    <x v="1"/>
    <x v="0"/>
    <x v="0"/>
  </r>
  <r>
    <x v="0"/>
    <x v="0"/>
    <x v="0"/>
    <x v="4"/>
    <x v="5"/>
    <s v="NO1_A2"/>
    <x v="0"/>
    <x v="2"/>
    <x v="0"/>
    <x v="0"/>
  </r>
  <r>
    <x v="0"/>
    <x v="0"/>
    <x v="0"/>
    <x v="4"/>
    <x v="5"/>
    <s v="NO1_A2"/>
    <x v="0"/>
    <x v="3"/>
    <x v="0"/>
    <x v="0"/>
  </r>
  <r>
    <x v="0"/>
    <x v="0"/>
    <x v="0"/>
    <x v="4"/>
    <x v="5"/>
    <s v="NO1_A2"/>
    <x v="0"/>
    <x v="4"/>
    <x v="0"/>
    <x v="0"/>
  </r>
  <r>
    <x v="0"/>
    <x v="0"/>
    <x v="0"/>
    <x v="4"/>
    <x v="5"/>
    <s v="NO1_A2"/>
    <x v="0"/>
    <x v="5"/>
    <x v="0"/>
    <x v="0"/>
  </r>
  <r>
    <x v="0"/>
    <x v="0"/>
    <x v="0"/>
    <x v="4"/>
    <x v="5"/>
    <s v="NO1_A2"/>
    <x v="0"/>
    <x v="6"/>
    <x v="0"/>
    <x v="0"/>
  </r>
  <r>
    <x v="0"/>
    <x v="0"/>
    <x v="0"/>
    <x v="4"/>
    <x v="5"/>
    <s v="NO1_A2"/>
    <x v="0"/>
    <x v="7"/>
    <x v="0"/>
    <x v="0"/>
  </r>
  <r>
    <x v="0"/>
    <x v="0"/>
    <x v="0"/>
    <x v="4"/>
    <x v="5"/>
    <s v="NO1_A2"/>
    <x v="0"/>
    <x v="8"/>
    <x v="0"/>
    <x v="0"/>
  </r>
  <r>
    <x v="0"/>
    <x v="0"/>
    <x v="0"/>
    <x v="4"/>
    <x v="5"/>
    <s v="NO1_A2"/>
    <x v="0"/>
    <x v="9"/>
    <x v="0"/>
    <x v="0"/>
  </r>
  <r>
    <x v="0"/>
    <x v="0"/>
    <x v="0"/>
    <x v="4"/>
    <x v="5"/>
    <s v="NO1_A2"/>
    <x v="0"/>
    <x v="10"/>
    <x v="0"/>
    <x v="0"/>
  </r>
  <r>
    <x v="0"/>
    <x v="0"/>
    <x v="0"/>
    <x v="4"/>
    <x v="5"/>
    <s v="NO1_A2"/>
    <x v="0"/>
    <x v="11"/>
    <x v="0"/>
    <x v="0"/>
  </r>
  <r>
    <x v="0"/>
    <x v="0"/>
    <x v="0"/>
    <x v="4"/>
    <x v="5"/>
    <s v="NO1_A2"/>
    <x v="1"/>
    <x v="0"/>
    <x v="0"/>
    <x v="0"/>
  </r>
  <r>
    <x v="0"/>
    <x v="0"/>
    <x v="0"/>
    <x v="4"/>
    <x v="5"/>
    <s v="NO1_A2"/>
    <x v="1"/>
    <x v="1"/>
    <x v="0"/>
    <x v="0"/>
  </r>
  <r>
    <x v="0"/>
    <x v="0"/>
    <x v="0"/>
    <x v="4"/>
    <x v="5"/>
    <s v="NO1_A2"/>
    <x v="1"/>
    <x v="2"/>
    <x v="0"/>
    <x v="0"/>
  </r>
  <r>
    <x v="0"/>
    <x v="0"/>
    <x v="0"/>
    <x v="4"/>
    <x v="5"/>
    <s v="NO1_A2"/>
    <x v="1"/>
    <x v="3"/>
    <x v="0"/>
    <x v="0"/>
  </r>
  <r>
    <x v="0"/>
    <x v="0"/>
    <x v="0"/>
    <x v="4"/>
    <x v="5"/>
    <s v="NO1_A2"/>
    <x v="1"/>
    <x v="4"/>
    <x v="0"/>
    <x v="0"/>
  </r>
  <r>
    <x v="0"/>
    <x v="0"/>
    <x v="0"/>
    <x v="4"/>
    <x v="5"/>
    <s v="NO1_A2"/>
    <x v="1"/>
    <x v="5"/>
    <x v="0"/>
    <x v="0"/>
  </r>
  <r>
    <x v="0"/>
    <x v="0"/>
    <x v="0"/>
    <x v="4"/>
    <x v="5"/>
    <s v="NO1_A2"/>
    <x v="1"/>
    <x v="6"/>
    <x v="0"/>
    <x v="0"/>
  </r>
  <r>
    <x v="0"/>
    <x v="0"/>
    <x v="0"/>
    <x v="4"/>
    <x v="5"/>
    <s v="NO1_A2"/>
    <x v="1"/>
    <x v="7"/>
    <x v="0"/>
    <x v="0"/>
  </r>
  <r>
    <x v="0"/>
    <x v="0"/>
    <x v="0"/>
    <x v="4"/>
    <x v="5"/>
    <s v="NO1_A2"/>
    <x v="1"/>
    <x v="8"/>
    <x v="0"/>
    <x v="0"/>
  </r>
  <r>
    <x v="0"/>
    <x v="0"/>
    <x v="0"/>
    <x v="4"/>
    <x v="5"/>
    <s v="NO1_A2"/>
    <x v="1"/>
    <x v="9"/>
    <x v="0"/>
    <x v="0"/>
  </r>
  <r>
    <x v="0"/>
    <x v="0"/>
    <x v="0"/>
    <x v="4"/>
    <x v="5"/>
    <s v="NO1_A2"/>
    <x v="1"/>
    <x v="10"/>
    <x v="0"/>
    <x v="0"/>
  </r>
  <r>
    <x v="0"/>
    <x v="0"/>
    <x v="0"/>
    <x v="4"/>
    <x v="5"/>
    <s v="NO1_A2"/>
    <x v="1"/>
    <x v="11"/>
    <x v="0"/>
    <x v="0"/>
  </r>
  <r>
    <x v="0"/>
    <x v="0"/>
    <x v="0"/>
    <x v="4"/>
    <x v="5"/>
    <s v="NO1_A2"/>
    <x v="2"/>
    <x v="0"/>
    <x v="0"/>
    <x v="0"/>
  </r>
  <r>
    <x v="0"/>
    <x v="0"/>
    <x v="0"/>
    <x v="4"/>
    <x v="5"/>
    <s v="NO1_A2"/>
    <x v="2"/>
    <x v="1"/>
    <x v="0"/>
    <x v="0"/>
  </r>
  <r>
    <x v="0"/>
    <x v="0"/>
    <x v="0"/>
    <x v="4"/>
    <x v="5"/>
    <s v="NO1_A2"/>
    <x v="2"/>
    <x v="2"/>
    <x v="0"/>
    <x v="0"/>
  </r>
  <r>
    <x v="0"/>
    <x v="0"/>
    <x v="0"/>
    <x v="4"/>
    <x v="5"/>
    <s v="NO1_A2"/>
    <x v="2"/>
    <x v="3"/>
    <x v="0"/>
    <x v="0"/>
  </r>
  <r>
    <x v="0"/>
    <x v="0"/>
    <x v="0"/>
    <x v="4"/>
    <x v="5"/>
    <s v="NO1_A2"/>
    <x v="2"/>
    <x v="4"/>
    <x v="0"/>
    <x v="0"/>
  </r>
  <r>
    <x v="0"/>
    <x v="0"/>
    <x v="0"/>
    <x v="4"/>
    <x v="5"/>
    <s v="NO1_A2"/>
    <x v="2"/>
    <x v="5"/>
    <x v="0"/>
    <x v="0"/>
  </r>
  <r>
    <x v="0"/>
    <x v="0"/>
    <x v="0"/>
    <x v="4"/>
    <x v="5"/>
    <s v="NO1_A2"/>
    <x v="2"/>
    <x v="6"/>
    <x v="0"/>
    <x v="0"/>
  </r>
  <r>
    <x v="0"/>
    <x v="0"/>
    <x v="0"/>
    <x v="4"/>
    <x v="5"/>
    <s v="NO1_A2"/>
    <x v="2"/>
    <x v="7"/>
    <x v="0"/>
    <x v="0"/>
  </r>
  <r>
    <x v="0"/>
    <x v="0"/>
    <x v="0"/>
    <x v="4"/>
    <x v="5"/>
    <s v="NO1_A2"/>
    <x v="2"/>
    <x v="8"/>
    <x v="0"/>
    <x v="0"/>
  </r>
  <r>
    <x v="0"/>
    <x v="0"/>
    <x v="0"/>
    <x v="4"/>
    <x v="5"/>
    <s v="NO1_A2"/>
    <x v="2"/>
    <x v="9"/>
    <x v="0"/>
    <x v="0"/>
  </r>
  <r>
    <x v="0"/>
    <x v="0"/>
    <x v="0"/>
    <x v="4"/>
    <x v="5"/>
    <s v="NO1_A2"/>
    <x v="2"/>
    <x v="10"/>
    <x v="0"/>
    <x v="0"/>
  </r>
  <r>
    <x v="0"/>
    <x v="0"/>
    <x v="0"/>
    <x v="4"/>
    <x v="5"/>
    <s v="NO1_A2"/>
    <x v="2"/>
    <x v="11"/>
    <x v="0"/>
    <x v="0"/>
  </r>
  <r>
    <x v="0"/>
    <x v="0"/>
    <x v="0"/>
    <x v="4"/>
    <x v="5"/>
    <s v="NO1_A2"/>
    <x v="3"/>
    <x v="0"/>
    <x v="0"/>
    <x v="0"/>
  </r>
  <r>
    <x v="0"/>
    <x v="0"/>
    <x v="0"/>
    <x v="4"/>
    <x v="5"/>
    <s v="NO1_A2"/>
    <x v="3"/>
    <x v="1"/>
    <x v="0"/>
    <x v="0"/>
  </r>
  <r>
    <x v="0"/>
    <x v="0"/>
    <x v="0"/>
    <x v="4"/>
    <x v="5"/>
    <s v="NO1_A2"/>
    <x v="3"/>
    <x v="2"/>
    <x v="0"/>
    <x v="0"/>
  </r>
  <r>
    <x v="0"/>
    <x v="0"/>
    <x v="0"/>
    <x v="4"/>
    <x v="5"/>
    <s v="NO1_A2"/>
    <x v="3"/>
    <x v="3"/>
    <x v="0"/>
    <x v="0"/>
  </r>
  <r>
    <x v="0"/>
    <x v="0"/>
    <x v="0"/>
    <x v="4"/>
    <x v="5"/>
    <s v="NO1_A2"/>
    <x v="3"/>
    <x v="4"/>
    <x v="0"/>
    <x v="0"/>
  </r>
  <r>
    <x v="0"/>
    <x v="0"/>
    <x v="0"/>
    <x v="4"/>
    <x v="5"/>
    <s v="NO1_A2"/>
    <x v="3"/>
    <x v="5"/>
    <x v="0"/>
    <x v="0"/>
  </r>
  <r>
    <x v="0"/>
    <x v="0"/>
    <x v="0"/>
    <x v="4"/>
    <x v="5"/>
    <s v="NO1_A2"/>
    <x v="3"/>
    <x v="6"/>
    <x v="0"/>
    <x v="0"/>
  </r>
  <r>
    <x v="0"/>
    <x v="0"/>
    <x v="0"/>
    <x v="4"/>
    <x v="5"/>
    <s v="NO1_A2"/>
    <x v="3"/>
    <x v="7"/>
    <x v="0"/>
    <x v="0"/>
  </r>
  <r>
    <x v="0"/>
    <x v="0"/>
    <x v="0"/>
    <x v="4"/>
    <x v="5"/>
    <s v="NO1_A2"/>
    <x v="3"/>
    <x v="8"/>
    <x v="0"/>
    <x v="0"/>
  </r>
  <r>
    <x v="0"/>
    <x v="0"/>
    <x v="0"/>
    <x v="4"/>
    <x v="5"/>
    <s v="NO1_A2"/>
    <x v="3"/>
    <x v="9"/>
    <x v="0"/>
    <x v="0"/>
  </r>
  <r>
    <x v="0"/>
    <x v="0"/>
    <x v="0"/>
    <x v="4"/>
    <x v="5"/>
    <s v="NO1_A2"/>
    <x v="3"/>
    <x v="10"/>
    <x v="0"/>
    <x v="0"/>
  </r>
  <r>
    <x v="0"/>
    <x v="0"/>
    <x v="0"/>
    <x v="4"/>
    <x v="5"/>
    <s v="NO1_A2"/>
    <x v="3"/>
    <x v="11"/>
    <x v="0"/>
    <x v="0"/>
  </r>
  <r>
    <x v="0"/>
    <x v="0"/>
    <x v="0"/>
    <x v="4"/>
    <x v="5"/>
    <s v="NO1_A2"/>
    <x v="4"/>
    <x v="0"/>
    <x v="0"/>
    <x v="0"/>
  </r>
  <r>
    <x v="0"/>
    <x v="0"/>
    <x v="0"/>
    <x v="4"/>
    <x v="5"/>
    <s v="NO1_A2"/>
    <x v="4"/>
    <x v="1"/>
    <x v="0"/>
    <x v="0"/>
  </r>
  <r>
    <x v="0"/>
    <x v="0"/>
    <x v="0"/>
    <x v="4"/>
    <x v="5"/>
    <s v="NO1_A2"/>
    <x v="4"/>
    <x v="2"/>
    <x v="0"/>
    <x v="0"/>
  </r>
  <r>
    <x v="0"/>
    <x v="0"/>
    <x v="0"/>
    <x v="4"/>
    <x v="5"/>
    <s v="NO1_A2"/>
    <x v="4"/>
    <x v="3"/>
    <x v="0"/>
    <x v="0"/>
  </r>
  <r>
    <x v="0"/>
    <x v="0"/>
    <x v="0"/>
    <x v="4"/>
    <x v="5"/>
    <s v="NO1_A2"/>
    <x v="4"/>
    <x v="4"/>
    <x v="0"/>
    <x v="0"/>
  </r>
  <r>
    <x v="0"/>
    <x v="0"/>
    <x v="0"/>
    <x v="4"/>
    <x v="5"/>
    <s v="NO1_A2"/>
    <x v="4"/>
    <x v="5"/>
    <x v="0"/>
    <x v="0"/>
  </r>
  <r>
    <x v="0"/>
    <x v="0"/>
    <x v="0"/>
    <x v="4"/>
    <x v="5"/>
    <s v="NO1_A2"/>
    <x v="4"/>
    <x v="6"/>
    <x v="0"/>
    <x v="0"/>
  </r>
  <r>
    <x v="0"/>
    <x v="0"/>
    <x v="0"/>
    <x v="4"/>
    <x v="5"/>
    <s v="NO1_A2"/>
    <x v="4"/>
    <x v="7"/>
    <x v="0"/>
    <x v="0"/>
  </r>
  <r>
    <x v="0"/>
    <x v="0"/>
    <x v="0"/>
    <x v="4"/>
    <x v="5"/>
    <s v="NO1_A2"/>
    <x v="4"/>
    <x v="8"/>
    <x v="0"/>
    <x v="0"/>
  </r>
  <r>
    <x v="0"/>
    <x v="0"/>
    <x v="0"/>
    <x v="4"/>
    <x v="5"/>
    <s v="NO1_A2"/>
    <x v="4"/>
    <x v="9"/>
    <x v="0"/>
    <x v="0"/>
  </r>
  <r>
    <x v="0"/>
    <x v="0"/>
    <x v="0"/>
    <x v="4"/>
    <x v="5"/>
    <s v="NO1_A2"/>
    <x v="4"/>
    <x v="10"/>
    <x v="0"/>
    <x v="0"/>
  </r>
  <r>
    <x v="0"/>
    <x v="0"/>
    <x v="0"/>
    <x v="4"/>
    <x v="5"/>
    <s v="NO1_A2"/>
    <x v="4"/>
    <x v="11"/>
    <x v="0"/>
    <x v="0"/>
  </r>
  <r>
    <x v="0"/>
    <x v="0"/>
    <x v="0"/>
    <x v="4"/>
    <x v="5"/>
    <s v="NO1_A2"/>
    <x v="5"/>
    <x v="0"/>
    <x v="0"/>
    <x v="0"/>
  </r>
  <r>
    <x v="0"/>
    <x v="0"/>
    <x v="0"/>
    <x v="4"/>
    <x v="5"/>
    <s v="NO1_A2"/>
    <x v="5"/>
    <x v="1"/>
    <x v="0"/>
    <x v="0"/>
  </r>
  <r>
    <x v="0"/>
    <x v="0"/>
    <x v="0"/>
    <x v="4"/>
    <x v="5"/>
    <s v="NO1_A2"/>
    <x v="5"/>
    <x v="2"/>
    <x v="0"/>
    <x v="0"/>
  </r>
  <r>
    <x v="0"/>
    <x v="0"/>
    <x v="0"/>
    <x v="4"/>
    <x v="5"/>
    <s v="NO1_A2"/>
    <x v="5"/>
    <x v="3"/>
    <x v="0"/>
    <x v="0"/>
  </r>
  <r>
    <x v="0"/>
    <x v="0"/>
    <x v="0"/>
    <x v="4"/>
    <x v="5"/>
    <s v="NO1_A2"/>
    <x v="5"/>
    <x v="4"/>
    <x v="0"/>
    <x v="0"/>
  </r>
  <r>
    <x v="0"/>
    <x v="0"/>
    <x v="0"/>
    <x v="4"/>
    <x v="5"/>
    <s v="NO1_A2"/>
    <x v="5"/>
    <x v="5"/>
    <x v="0"/>
    <x v="0"/>
  </r>
  <r>
    <x v="0"/>
    <x v="0"/>
    <x v="0"/>
    <x v="4"/>
    <x v="5"/>
    <s v="NO1_A2"/>
    <x v="5"/>
    <x v="6"/>
    <x v="0"/>
    <x v="0"/>
  </r>
  <r>
    <x v="0"/>
    <x v="0"/>
    <x v="0"/>
    <x v="4"/>
    <x v="5"/>
    <s v="NO1_A2"/>
    <x v="5"/>
    <x v="7"/>
    <x v="0"/>
    <x v="0"/>
  </r>
  <r>
    <x v="0"/>
    <x v="0"/>
    <x v="0"/>
    <x v="4"/>
    <x v="5"/>
    <s v="NO1_A2"/>
    <x v="5"/>
    <x v="8"/>
    <x v="0"/>
    <x v="0"/>
  </r>
  <r>
    <x v="0"/>
    <x v="0"/>
    <x v="0"/>
    <x v="4"/>
    <x v="5"/>
    <s v="NO1_A2"/>
    <x v="5"/>
    <x v="9"/>
    <x v="0"/>
    <x v="0"/>
  </r>
  <r>
    <x v="0"/>
    <x v="0"/>
    <x v="0"/>
    <x v="4"/>
    <x v="5"/>
    <s v="NO1_A2"/>
    <x v="5"/>
    <x v="10"/>
    <x v="0"/>
    <x v="0"/>
  </r>
  <r>
    <x v="0"/>
    <x v="0"/>
    <x v="0"/>
    <x v="4"/>
    <x v="5"/>
    <s v="NO1_A2"/>
    <x v="5"/>
    <x v="11"/>
    <x v="0"/>
    <x v="0"/>
  </r>
  <r>
    <x v="0"/>
    <x v="0"/>
    <x v="0"/>
    <x v="4"/>
    <x v="5"/>
    <s v="NO1_A2"/>
    <x v="6"/>
    <x v="0"/>
    <x v="0"/>
    <x v="0"/>
  </r>
  <r>
    <x v="0"/>
    <x v="0"/>
    <x v="0"/>
    <x v="4"/>
    <x v="5"/>
    <s v="NO1_A2"/>
    <x v="6"/>
    <x v="1"/>
    <x v="0"/>
    <x v="0"/>
  </r>
  <r>
    <x v="0"/>
    <x v="0"/>
    <x v="0"/>
    <x v="4"/>
    <x v="5"/>
    <s v="NO1_A2"/>
    <x v="6"/>
    <x v="2"/>
    <x v="0"/>
    <x v="0"/>
  </r>
  <r>
    <x v="0"/>
    <x v="0"/>
    <x v="0"/>
    <x v="4"/>
    <x v="5"/>
    <s v="NO1_A2"/>
    <x v="6"/>
    <x v="3"/>
    <x v="0"/>
    <x v="0"/>
  </r>
  <r>
    <x v="0"/>
    <x v="0"/>
    <x v="0"/>
    <x v="4"/>
    <x v="5"/>
    <s v="NO1_A2"/>
    <x v="6"/>
    <x v="4"/>
    <x v="0"/>
    <x v="0"/>
  </r>
  <r>
    <x v="0"/>
    <x v="0"/>
    <x v="0"/>
    <x v="4"/>
    <x v="5"/>
    <s v="NO1_A2"/>
    <x v="6"/>
    <x v="5"/>
    <x v="0"/>
    <x v="0"/>
  </r>
  <r>
    <x v="0"/>
    <x v="0"/>
    <x v="0"/>
    <x v="4"/>
    <x v="5"/>
    <s v="NO1_A2"/>
    <x v="6"/>
    <x v="6"/>
    <x v="0"/>
    <x v="0"/>
  </r>
  <r>
    <x v="0"/>
    <x v="0"/>
    <x v="0"/>
    <x v="4"/>
    <x v="5"/>
    <s v="NO1_A2"/>
    <x v="6"/>
    <x v="7"/>
    <x v="0"/>
    <x v="0"/>
  </r>
  <r>
    <x v="0"/>
    <x v="0"/>
    <x v="0"/>
    <x v="4"/>
    <x v="5"/>
    <s v="NO1_A2"/>
    <x v="6"/>
    <x v="8"/>
    <x v="0"/>
    <x v="0"/>
  </r>
  <r>
    <x v="0"/>
    <x v="0"/>
    <x v="0"/>
    <x v="4"/>
    <x v="5"/>
    <s v="NO1_A2"/>
    <x v="6"/>
    <x v="9"/>
    <x v="0"/>
    <x v="0"/>
  </r>
  <r>
    <x v="0"/>
    <x v="0"/>
    <x v="0"/>
    <x v="4"/>
    <x v="5"/>
    <s v="NO1_A2"/>
    <x v="6"/>
    <x v="10"/>
    <x v="0"/>
    <x v="0"/>
  </r>
  <r>
    <x v="0"/>
    <x v="0"/>
    <x v="0"/>
    <x v="4"/>
    <x v="5"/>
    <s v="NO1_A2"/>
    <x v="6"/>
    <x v="11"/>
    <x v="0"/>
    <x v="0"/>
  </r>
  <r>
    <x v="0"/>
    <x v="0"/>
    <x v="0"/>
    <x v="4"/>
    <x v="5"/>
    <s v="NO1_A2"/>
    <x v="7"/>
    <x v="0"/>
    <x v="0"/>
    <x v="0"/>
  </r>
  <r>
    <x v="0"/>
    <x v="0"/>
    <x v="0"/>
    <x v="4"/>
    <x v="5"/>
    <s v="NO1_A2"/>
    <x v="7"/>
    <x v="1"/>
    <x v="0"/>
    <x v="0"/>
  </r>
  <r>
    <x v="0"/>
    <x v="0"/>
    <x v="0"/>
    <x v="4"/>
    <x v="5"/>
    <s v="NO1_A2"/>
    <x v="7"/>
    <x v="2"/>
    <x v="0"/>
    <x v="0"/>
  </r>
  <r>
    <x v="0"/>
    <x v="0"/>
    <x v="0"/>
    <x v="4"/>
    <x v="5"/>
    <s v="NO1_A2"/>
    <x v="7"/>
    <x v="3"/>
    <x v="0"/>
    <x v="0"/>
  </r>
  <r>
    <x v="0"/>
    <x v="0"/>
    <x v="0"/>
    <x v="4"/>
    <x v="5"/>
    <s v="NO1_A2"/>
    <x v="7"/>
    <x v="4"/>
    <x v="0"/>
    <x v="0"/>
  </r>
  <r>
    <x v="0"/>
    <x v="0"/>
    <x v="0"/>
    <x v="4"/>
    <x v="5"/>
    <s v="NO1_A2"/>
    <x v="7"/>
    <x v="5"/>
    <x v="0"/>
    <x v="0"/>
  </r>
  <r>
    <x v="0"/>
    <x v="0"/>
    <x v="0"/>
    <x v="4"/>
    <x v="5"/>
    <s v="NO1_A2"/>
    <x v="7"/>
    <x v="6"/>
    <x v="0"/>
    <x v="0"/>
  </r>
  <r>
    <x v="0"/>
    <x v="0"/>
    <x v="0"/>
    <x v="4"/>
    <x v="5"/>
    <s v="NO1_A2"/>
    <x v="7"/>
    <x v="7"/>
    <x v="0"/>
    <x v="0"/>
  </r>
  <r>
    <x v="0"/>
    <x v="0"/>
    <x v="0"/>
    <x v="4"/>
    <x v="5"/>
    <s v="NO1_A2"/>
    <x v="7"/>
    <x v="8"/>
    <x v="0"/>
    <x v="0"/>
  </r>
  <r>
    <x v="0"/>
    <x v="0"/>
    <x v="0"/>
    <x v="4"/>
    <x v="5"/>
    <s v="NO1_A2"/>
    <x v="7"/>
    <x v="9"/>
    <x v="0"/>
    <x v="0"/>
  </r>
  <r>
    <x v="0"/>
    <x v="0"/>
    <x v="0"/>
    <x v="4"/>
    <x v="5"/>
    <s v="NO1_A2"/>
    <x v="7"/>
    <x v="10"/>
    <x v="0"/>
    <x v="0"/>
  </r>
  <r>
    <x v="0"/>
    <x v="0"/>
    <x v="0"/>
    <x v="4"/>
    <x v="5"/>
    <s v="NO1_A2"/>
    <x v="7"/>
    <x v="11"/>
    <x v="0"/>
    <x v="0"/>
  </r>
  <r>
    <x v="0"/>
    <x v="0"/>
    <x v="0"/>
    <x v="4"/>
    <x v="5"/>
    <s v="NO1_A2"/>
    <x v="8"/>
    <x v="0"/>
    <x v="0"/>
    <x v="0"/>
  </r>
  <r>
    <x v="0"/>
    <x v="0"/>
    <x v="0"/>
    <x v="4"/>
    <x v="5"/>
    <s v="NO1_A2"/>
    <x v="8"/>
    <x v="1"/>
    <x v="0"/>
    <x v="0"/>
  </r>
  <r>
    <x v="0"/>
    <x v="0"/>
    <x v="0"/>
    <x v="4"/>
    <x v="5"/>
    <s v="NO1_A2"/>
    <x v="8"/>
    <x v="2"/>
    <x v="0"/>
    <x v="0"/>
  </r>
  <r>
    <x v="0"/>
    <x v="0"/>
    <x v="0"/>
    <x v="4"/>
    <x v="5"/>
    <s v="NO1_A2"/>
    <x v="8"/>
    <x v="3"/>
    <x v="0"/>
    <x v="0"/>
  </r>
  <r>
    <x v="0"/>
    <x v="0"/>
    <x v="0"/>
    <x v="4"/>
    <x v="5"/>
    <s v="NO1_A2"/>
    <x v="8"/>
    <x v="4"/>
    <x v="0"/>
    <x v="0"/>
  </r>
  <r>
    <x v="0"/>
    <x v="0"/>
    <x v="0"/>
    <x v="4"/>
    <x v="5"/>
    <s v="NO1_A2"/>
    <x v="8"/>
    <x v="5"/>
    <x v="0"/>
    <x v="0"/>
  </r>
  <r>
    <x v="0"/>
    <x v="0"/>
    <x v="0"/>
    <x v="4"/>
    <x v="5"/>
    <s v="NO1_A2"/>
    <x v="8"/>
    <x v="6"/>
    <x v="0"/>
    <x v="0"/>
  </r>
  <r>
    <x v="0"/>
    <x v="0"/>
    <x v="0"/>
    <x v="4"/>
    <x v="5"/>
    <s v="NO1_A2"/>
    <x v="8"/>
    <x v="7"/>
    <x v="0"/>
    <x v="0"/>
  </r>
  <r>
    <x v="0"/>
    <x v="0"/>
    <x v="0"/>
    <x v="4"/>
    <x v="5"/>
    <s v="NO1_A2"/>
    <x v="8"/>
    <x v="8"/>
    <x v="0"/>
    <x v="0"/>
  </r>
  <r>
    <x v="0"/>
    <x v="0"/>
    <x v="0"/>
    <x v="4"/>
    <x v="5"/>
    <s v="NO1_A2"/>
    <x v="8"/>
    <x v="9"/>
    <x v="0"/>
    <x v="0"/>
  </r>
  <r>
    <x v="0"/>
    <x v="0"/>
    <x v="0"/>
    <x v="4"/>
    <x v="5"/>
    <s v="NO1_A2"/>
    <x v="8"/>
    <x v="10"/>
    <x v="0"/>
    <x v="0"/>
  </r>
  <r>
    <x v="0"/>
    <x v="0"/>
    <x v="0"/>
    <x v="4"/>
    <x v="5"/>
    <s v="NO1_A2"/>
    <x v="8"/>
    <x v="11"/>
    <x v="0"/>
    <x v="0"/>
  </r>
  <r>
    <x v="0"/>
    <x v="0"/>
    <x v="0"/>
    <x v="4"/>
    <x v="5"/>
    <s v="NO1_A2"/>
    <x v="9"/>
    <x v="0"/>
    <x v="0"/>
    <x v="0"/>
  </r>
  <r>
    <x v="0"/>
    <x v="0"/>
    <x v="0"/>
    <x v="4"/>
    <x v="5"/>
    <s v="NO1_A2"/>
    <x v="9"/>
    <x v="1"/>
    <x v="0"/>
    <x v="0"/>
  </r>
  <r>
    <x v="0"/>
    <x v="0"/>
    <x v="0"/>
    <x v="4"/>
    <x v="5"/>
    <s v="NO1_A2"/>
    <x v="9"/>
    <x v="2"/>
    <x v="0"/>
    <x v="0"/>
  </r>
  <r>
    <x v="0"/>
    <x v="0"/>
    <x v="0"/>
    <x v="4"/>
    <x v="5"/>
    <s v="NO1_A2"/>
    <x v="9"/>
    <x v="3"/>
    <x v="0"/>
    <x v="0"/>
  </r>
  <r>
    <x v="0"/>
    <x v="0"/>
    <x v="0"/>
    <x v="4"/>
    <x v="5"/>
    <s v="NO1_A2"/>
    <x v="9"/>
    <x v="4"/>
    <x v="0"/>
    <x v="0"/>
  </r>
  <r>
    <x v="0"/>
    <x v="0"/>
    <x v="0"/>
    <x v="4"/>
    <x v="5"/>
    <s v="NO1_A2"/>
    <x v="9"/>
    <x v="5"/>
    <x v="0"/>
    <x v="0"/>
  </r>
  <r>
    <x v="0"/>
    <x v="0"/>
    <x v="0"/>
    <x v="4"/>
    <x v="5"/>
    <s v="NO1_A2"/>
    <x v="9"/>
    <x v="6"/>
    <x v="0"/>
    <x v="0"/>
  </r>
  <r>
    <x v="0"/>
    <x v="0"/>
    <x v="0"/>
    <x v="4"/>
    <x v="5"/>
    <s v="NO1_A2"/>
    <x v="9"/>
    <x v="7"/>
    <x v="0"/>
    <x v="0"/>
  </r>
  <r>
    <x v="0"/>
    <x v="0"/>
    <x v="0"/>
    <x v="4"/>
    <x v="5"/>
    <s v="NO1_A2"/>
    <x v="9"/>
    <x v="8"/>
    <x v="0"/>
    <x v="0"/>
  </r>
  <r>
    <x v="0"/>
    <x v="0"/>
    <x v="0"/>
    <x v="4"/>
    <x v="5"/>
    <s v="NO1_A2"/>
    <x v="9"/>
    <x v="9"/>
    <x v="0"/>
    <x v="0"/>
  </r>
  <r>
    <x v="0"/>
    <x v="0"/>
    <x v="0"/>
    <x v="4"/>
    <x v="5"/>
    <s v="NO1_A2"/>
    <x v="9"/>
    <x v="10"/>
    <x v="0"/>
    <x v="0"/>
  </r>
  <r>
    <x v="0"/>
    <x v="0"/>
    <x v="0"/>
    <x v="4"/>
    <x v="5"/>
    <s v="NO1_A2"/>
    <x v="9"/>
    <x v="11"/>
    <x v="0"/>
    <x v="0"/>
  </r>
  <r>
    <x v="0"/>
    <x v="0"/>
    <x v="0"/>
    <x v="4"/>
    <x v="5"/>
    <s v="NO1_A2"/>
    <x v="10"/>
    <x v="0"/>
    <x v="0"/>
    <x v="0"/>
  </r>
  <r>
    <x v="0"/>
    <x v="0"/>
    <x v="0"/>
    <x v="4"/>
    <x v="5"/>
    <s v="NO1_A2"/>
    <x v="10"/>
    <x v="1"/>
    <x v="0"/>
    <x v="0"/>
  </r>
  <r>
    <x v="0"/>
    <x v="0"/>
    <x v="0"/>
    <x v="4"/>
    <x v="5"/>
    <s v="NO1_A2"/>
    <x v="10"/>
    <x v="2"/>
    <x v="0"/>
    <x v="0"/>
  </r>
  <r>
    <x v="0"/>
    <x v="0"/>
    <x v="0"/>
    <x v="4"/>
    <x v="5"/>
    <s v="NO1_A2"/>
    <x v="10"/>
    <x v="3"/>
    <x v="0"/>
    <x v="0"/>
  </r>
  <r>
    <x v="0"/>
    <x v="0"/>
    <x v="0"/>
    <x v="4"/>
    <x v="5"/>
    <s v="NO1_A2"/>
    <x v="10"/>
    <x v="4"/>
    <x v="0"/>
    <x v="0"/>
  </r>
  <r>
    <x v="0"/>
    <x v="0"/>
    <x v="0"/>
    <x v="4"/>
    <x v="5"/>
    <s v="NO1_A2"/>
    <x v="10"/>
    <x v="5"/>
    <x v="0"/>
    <x v="0"/>
  </r>
  <r>
    <x v="0"/>
    <x v="0"/>
    <x v="0"/>
    <x v="4"/>
    <x v="5"/>
    <s v="NO1_A2"/>
    <x v="10"/>
    <x v="6"/>
    <x v="0"/>
    <x v="0"/>
  </r>
  <r>
    <x v="0"/>
    <x v="0"/>
    <x v="0"/>
    <x v="4"/>
    <x v="5"/>
    <s v="NO1_A2"/>
    <x v="10"/>
    <x v="7"/>
    <x v="0"/>
    <x v="0"/>
  </r>
  <r>
    <x v="0"/>
    <x v="0"/>
    <x v="0"/>
    <x v="4"/>
    <x v="5"/>
    <s v="NO1_A2"/>
    <x v="10"/>
    <x v="8"/>
    <x v="0"/>
    <x v="0"/>
  </r>
  <r>
    <x v="0"/>
    <x v="0"/>
    <x v="0"/>
    <x v="4"/>
    <x v="5"/>
    <s v="NO1_A2"/>
    <x v="10"/>
    <x v="9"/>
    <x v="0"/>
    <x v="0"/>
  </r>
  <r>
    <x v="0"/>
    <x v="0"/>
    <x v="0"/>
    <x v="4"/>
    <x v="5"/>
    <s v="NO1_A2"/>
    <x v="10"/>
    <x v="10"/>
    <x v="0"/>
    <x v="0"/>
  </r>
  <r>
    <x v="0"/>
    <x v="0"/>
    <x v="0"/>
    <x v="4"/>
    <x v="5"/>
    <s v="NO1_A2"/>
    <x v="10"/>
    <x v="11"/>
    <x v="0"/>
    <x v="0"/>
  </r>
  <r>
    <x v="0"/>
    <x v="0"/>
    <x v="0"/>
    <x v="4"/>
    <x v="5"/>
    <s v="NO1_A2"/>
    <x v="11"/>
    <x v="0"/>
    <x v="0"/>
    <x v="0"/>
  </r>
  <r>
    <x v="0"/>
    <x v="0"/>
    <x v="0"/>
    <x v="4"/>
    <x v="5"/>
    <s v="NO1_A2"/>
    <x v="11"/>
    <x v="1"/>
    <x v="0"/>
    <x v="0"/>
  </r>
  <r>
    <x v="0"/>
    <x v="0"/>
    <x v="0"/>
    <x v="4"/>
    <x v="5"/>
    <s v="NO1_A2"/>
    <x v="11"/>
    <x v="2"/>
    <x v="0"/>
    <x v="0"/>
  </r>
  <r>
    <x v="0"/>
    <x v="0"/>
    <x v="0"/>
    <x v="4"/>
    <x v="5"/>
    <s v="NO1_A2"/>
    <x v="11"/>
    <x v="3"/>
    <x v="0"/>
    <x v="0"/>
  </r>
  <r>
    <x v="0"/>
    <x v="0"/>
    <x v="0"/>
    <x v="4"/>
    <x v="5"/>
    <s v="NO1_A2"/>
    <x v="11"/>
    <x v="4"/>
    <x v="0"/>
    <x v="0"/>
  </r>
  <r>
    <x v="0"/>
    <x v="0"/>
    <x v="0"/>
    <x v="4"/>
    <x v="5"/>
    <s v="NO1_A2"/>
    <x v="11"/>
    <x v="5"/>
    <x v="0"/>
    <x v="0"/>
  </r>
  <r>
    <x v="0"/>
    <x v="0"/>
    <x v="0"/>
    <x v="4"/>
    <x v="5"/>
    <s v="NO1_A2"/>
    <x v="11"/>
    <x v="6"/>
    <x v="0"/>
    <x v="0"/>
  </r>
  <r>
    <x v="0"/>
    <x v="0"/>
    <x v="0"/>
    <x v="4"/>
    <x v="5"/>
    <s v="NO1_A2"/>
    <x v="11"/>
    <x v="7"/>
    <x v="0"/>
    <x v="0"/>
  </r>
  <r>
    <x v="0"/>
    <x v="0"/>
    <x v="0"/>
    <x v="4"/>
    <x v="5"/>
    <s v="NO1_A2"/>
    <x v="11"/>
    <x v="8"/>
    <x v="0"/>
    <x v="0"/>
  </r>
  <r>
    <x v="0"/>
    <x v="0"/>
    <x v="0"/>
    <x v="4"/>
    <x v="5"/>
    <s v="NO1_A2"/>
    <x v="11"/>
    <x v="9"/>
    <x v="0"/>
    <x v="0"/>
  </r>
  <r>
    <x v="0"/>
    <x v="0"/>
    <x v="0"/>
    <x v="4"/>
    <x v="5"/>
    <s v="NO1_A2"/>
    <x v="11"/>
    <x v="10"/>
    <x v="0"/>
    <x v="0"/>
  </r>
  <r>
    <x v="0"/>
    <x v="0"/>
    <x v="0"/>
    <x v="4"/>
    <x v="5"/>
    <s v="NO1_A2"/>
    <x v="11"/>
    <x v="11"/>
    <x v="0"/>
    <x v="0"/>
  </r>
  <r>
    <x v="0"/>
    <x v="0"/>
    <x v="0"/>
    <x v="4"/>
    <x v="6"/>
    <s v="NO2_A1"/>
    <x v="0"/>
    <x v="0"/>
    <x v="0"/>
    <x v="0"/>
  </r>
  <r>
    <x v="0"/>
    <x v="0"/>
    <x v="0"/>
    <x v="4"/>
    <x v="6"/>
    <s v="NO2_A1"/>
    <x v="0"/>
    <x v="1"/>
    <x v="0"/>
    <x v="0"/>
  </r>
  <r>
    <x v="0"/>
    <x v="0"/>
    <x v="0"/>
    <x v="4"/>
    <x v="6"/>
    <s v="NO2_A1"/>
    <x v="0"/>
    <x v="2"/>
    <x v="0"/>
    <x v="0"/>
  </r>
  <r>
    <x v="0"/>
    <x v="0"/>
    <x v="0"/>
    <x v="4"/>
    <x v="6"/>
    <s v="NO2_A1"/>
    <x v="0"/>
    <x v="3"/>
    <x v="0"/>
    <x v="0"/>
  </r>
  <r>
    <x v="0"/>
    <x v="0"/>
    <x v="0"/>
    <x v="4"/>
    <x v="6"/>
    <s v="NO2_A1"/>
    <x v="0"/>
    <x v="4"/>
    <x v="0"/>
    <x v="0"/>
  </r>
  <r>
    <x v="0"/>
    <x v="0"/>
    <x v="0"/>
    <x v="4"/>
    <x v="6"/>
    <s v="NO2_A1"/>
    <x v="0"/>
    <x v="5"/>
    <x v="0"/>
    <x v="0"/>
  </r>
  <r>
    <x v="0"/>
    <x v="0"/>
    <x v="0"/>
    <x v="4"/>
    <x v="6"/>
    <s v="NO2_A1"/>
    <x v="0"/>
    <x v="6"/>
    <x v="0"/>
    <x v="0"/>
  </r>
  <r>
    <x v="0"/>
    <x v="0"/>
    <x v="0"/>
    <x v="4"/>
    <x v="6"/>
    <s v="NO2_A1"/>
    <x v="0"/>
    <x v="7"/>
    <x v="0"/>
    <x v="0"/>
  </r>
  <r>
    <x v="0"/>
    <x v="0"/>
    <x v="0"/>
    <x v="4"/>
    <x v="6"/>
    <s v="NO2_A1"/>
    <x v="0"/>
    <x v="8"/>
    <x v="0"/>
    <x v="0"/>
  </r>
  <r>
    <x v="0"/>
    <x v="0"/>
    <x v="0"/>
    <x v="4"/>
    <x v="6"/>
    <s v="NO2_A1"/>
    <x v="0"/>
    <x v="9"/>
    <x v="0"/>
    <x v="0"/>
  </r>
  <r>
    <x v="0"/>
    <x v="0"/>
    <x v="0"/>
    <x v="4"/>
    <x v="6"/>
    <s v="NO2_A1"/>
    <x v="0"/>
    <x v="10"/>
    <x v="0"/>
    <x v="0"/>
  </r>
  <r>
    <x v="0"/>
    <x v="0"/>
    <x v="0"/>
    <x v="4"/>
    <x v="6"/>
    <s v="NO2_A1"/>
    <x v="0"/>
    <x v="11"/>
    <x v="0"/>
    <x v="0"/>
  </r>
  <r>
    <x v="0"/>
    <x v="0"/>
    <x v="0"/>
    <x v="4"/>
    <x v="6"/>
    <s v="NO2_A1"/>
    <x v="1"/>
    <x v="0"/>
    <x v="0"/>
    <x v="0"/>
  </r>
  <r>
    <x v="0"/>
    <x v="0"/>
    <x v="0"/>
    <x v="4"/>
    <x v="6"/>
    <s v="NO2_A1"/>
    <x v="1"/>
    <x v="1"/>
    <x v="0"/>
    <x v="0"/>
  </r>
  <r>
    <x v="0"/>
    <x v="0"/>
    <x v="0"/>
    <x v="4"/>
    <x v="6"/>
    <s v="NO2_A1"/>
    <x v="1"/>
    <x v="2"/>
    <x v="0"/>
    <x v="0"/>
  </r>
  <r>
    <x v="0"/>
    <x v="0"/>
    <x v="0"/>
    <x v="4"/>
    <x v="6"/>
    <s v="NO2_A1"/>
    <x v="1"/>
    <x v="3"/>
    <x v="0"/>
    <x v="0"/>
  </r>
  <r>
    <x v="0"/>
    <x v="0"/>
    <x v="0"/>
    <x v="4"/>
    <x v="6"/>
    <s v="NO2_A1"/>
    <x v="1"/>
    <x v="4"/>
    <x v="0"/>
    <x v="0"/>
  </r>
  <r>
    <x v="0"/>
    <x v="0"/>
    <x v="0"/>
    <x v="4"/>
    <x v="6"/>
    <s v="NO2_A1"/>
    <x v="1"/>
    <x v="5"/>
    <x v="0"/>
    <x v="0"/>
  </r>
  <r>
    <x v="0"/>
    <x v="0"/>
    <x v="0"/>
    <x v="4"/>
    <x v="6"/>
    <s v="NO2_A1"/>
    <x v="1"/>
    <x v="6"/>
    <x v="0"/>
    <x v="0"/>
  </r>
  <r>
    <x v="0"/>
    <x v="0"/>
    <x v="0"/>
    <x v="4"/>
    <x v="6"/>
    <s v="NO2_A1"/>
    <x v="1"/>
    <x v="7"/>
    <x v="0"/>
    <x v="0"/>
  </r>
  <r>
    <x v="0"/>
    <x v="0"/>
    <x v="0"/>
    <x v="4"/>
    <x v="6"/>
    <s v="NO2_A1"/>
    <x v="1"/>
    <x v="8"/>
    <x v="0"/>
    <x v="0"/>
  </r>
  <r>
    <x v="0"/>
    <x v="0"/>
    <x v="0"/>
    <x v="4"/>
    <x v="6"/>
    <s v="NO2_A1"/>
    <x v="1"/>
    <x v="9"/>
    <x v="0"/>
    <x v="0"/>
  </r>
  <r>
    <x v="0"/>
    <x v="0"/>
    <x v="0"/>
    <x v="4"/>
    <x v="6"/>
    <s v="NO2_A1"/>
    <x v="1"/>
    <x v="10"/>
    <x v="0"/>
    <x v="0"/>
  </r>
  <r>
    <x v="0"/>
    <x v="0"/>
    <x v="0"/>
    <x v="4"/>
    <x v="6"/>
    <s v="NO2_A1"/>
    <x v="1"/>
    <x v="11"/>
    <x v="0"/>
    <x v="0"/>
  </r>
  <r>
    <x v="0"/>
    <x v="0"/>
    <x v="0"/>
    <x v="4"/>
    <x v="6"/>
    <s v="NO2_A1"/>
    <x v="2"/>
    <x v="0"/>
    <x v="0"/>
    <x v="0"/>
  </r>
  <r>
    <x v="0"/>
    <x v="0"/>
    <x v="0"/>
    <x v="4"/>
    <x v="6"/>
    <s v="NO2_A1"/>
    <x v="2"/>
    <x v="1"/>
    <x v="0"/>
    <x v="0"/>
  </r>
  <r>
    <x v="0"/>
    <x v="0"/>
    <x v="0"/>
    <x v="4"/>
    <x v="6"/>
    <s v="NO2_A1"/>
    <x v="2"/>
    <x v="2"/>
    <x v="0"/>
    <x v="0"/>
  </r>
  <r>
    <x v="0"/>
    <x v="0"/>
    <x v="0"/>
    <x v="4"/>
    <x v="6"/>
    <s v="NO2_A1"/>
    <x v="2"/>
    <x v="3"/>
    <x v="0"/>
    <x v="0"/>
  </r>
  <r>
    <x v="0"/>
    <x v="0"/>
    <x v="0"/>
    <x v="4"/>
    <x v="6"/>
    <s v="NO2_A1"/>
    <x v="2"/>
    <x v="4"/>
    <x v="0"/>
    <x v="0"/>
  </r>
  <r>
    <x v="0"/>
    <x v="0"/>
    <x v="0"/>
    <x v="4"/>
    <x v="6"/>
    <s v="NO2_A1"/>
    <x v="2"/>
    <x v="5"/>
    <x v="0"/>
    <x v="0"/>
  </r>
  <r>
    <x v="0"/>
    <x v="0"/>
    <x v="0"/>
    <x v="4"/>
    <x v="6"/>
    <s v="NO2_A1"/>
    <x v="2"/>
    <x v="6"/>
    <x v="0"/>
    <x v="0"/>
  </r>
  <r>
    <x v="0"/>
    <x v="0"/>
    <x v="0"/>
    <x v="4"/>
    <x v="6"/>
    <s v="NO2_A1"/>
    <x v="2"/>
    <x v="7"/>
    <x v="0"/>
    <x v="0"/>
  </r>
  <r>
    <x v="0"/>
    <x v="0"/>
    <x v="0"/>
    <x v="4"/>
    <x v="6"/>
    <s v="NO2_A1"/>
    <x v="2"/>
    <x v="8"/>
    <x v="0"/>
    <x v="0"/>
  </r>
  <r>
    <x v="0"/>
    <x v="0"/>
    <x v="0"/>
    <x v="4"/>
    <x v="6"/>
    <s v="NO2_A1"/>
    <x v="2"/>
    <x v="9"/>
    <x v="0"/>
    <x v="0"/>
  </r>
  <r>
    <x v="0"/>
    <x v="0"/>
    <x v="0"/>
    <x v="4"/>
    <x v="6"/>
    <s v="NO2_A1"/>
    <x v="2"/>
    <x v="10"/>
    <x v="0"/>
    <x v="0"/>
  </r>
  <r>
    <x v="0"/>
    <x v="0"/>
    <x v="0"/>
    <x v="4"/>
    <x v="6"/>
    <s v="NO2_A1"/>
    <x v="2"/>
    <x v="11"/>
    <x v="0"/>
    <x v="0"/>
  </r>
  <r>
    <x v="0"/>
    <x v="0"/>
    <x v="0"/>
    <x v="4"/>
    <x v="6"/>
    <s v="NO2_A1"/>
    <x v="3"/>
    <x v="0"/>
    <x v="0"/>
    <x v="0"/>
  </r>
  <r>
    <x v="0"/>
    <x v="0"/>
    <x v="0"/>
    <x v="4"/>
    <x v="6"/>
    <s v="NO2_A1"/>
    <x v="3"/>
    <x v="1"/>
    <x v="0"/>
    <x v="0"/>
  </r>
  <r>
    <x v="0"/>
    <x v="0"/>
    <x v="0"/>
    <x v="4"/>
    <x v="6"/>
    <s v="NO2_A1"/>
    <x v="3"/>
    <x v="2"/>
    <x v="0"/>
    <x v="0"/>
  </r>
  <r>
    <x v="0"/>
    <x v="0"/>
    <x v="0"/>
    <x v="4"/>
    <x v="6"/>
    <s v="NO2_A1"/>
    <x v="3"/>
    <x v="3"/>
    <x v="0"/>
    <x v="0"/>
  </r>
  <r>
    <x v="0"/>
    <x v="0"/>
    <x v="0"/>
    <x v="4"/>
    <x v="6"/>
    <s v="NO2_A1"/>
    <x v="3"/>
    <x v="4"/>
    <x v="0"/>
    <x v="0"/>
  </r>
  <r>
    <x v="0"/>
    <x v="0"/>
    <x v="0"/>
    <x v="4"/>
    <x v="6"/>
    <s v="NO2_A1"/>
    <x v="3"/>
    <x v="5"/>
    <x v="0"/>
    <x v="0"/>
  </r>
  <r>
    <x v="0"/>
    <x v="0"/>
    <x v="0"/>
    <x v="4"/>
    <x v="6"/>
    <s v="NO2_A1"/>
    <x v="3"/>
    <x v="6"/>
    <x v="0"/>
    <x v="0"/>
  </r>
  <r>
    <x v="0"/>
    <x v="0"/>
    <x v="0"/>
    <x v="4"/>
    <x v="6"/>
    <s v="NO2_A1"/>
    <x v="3"/>
    <x v="7"/>
    <x v="0"/>
    <x v="0"/>
  </r>
  <r>
    <x v="0"/>
    <x v="0"/>
    <x v="0"/>
    <x v="4"/>
    <x v="6"/>
    <s v="NO2_A1"/>
    <x v="3"/>
    <x v="8"/>
    <x v="0"/>
    <x v="0"/>
  </r>
  <r>
    <x v="0"/>
    <x v="0"/>
    <x v="0"/>
    <x v="4"/>
    <x v="6"/>
    <s v="NO2_A1"/>
    <x v="3"/>
    <x v="9"/>
    <x v="0"/>
    <x v="0"/>
  </r>
  <r>
    <x v="0"/>
    <x v="0"/>
    <x v="0"/>
    <x v="4"/>
    <x v="6"/>
    <s v="NO2_A1"/>
    <x v="3"/>
    <x v="10"/>
    <x v="0"/>
    <x v="0"/>
  </r>
  <r>
    <x v="0"/>
    <x v="0"/>
    <x v="0"/>
    <x v="4"/>
    <x v="6"/>
    <s v="NO2_A1"/>
    <x v="3"/>
    <x v="11"/>
    <x v="0"/>
    <x v="0"/>
  </r>
  <r>
    <x v="0"/>
    <x v="0"/>
    <x v="0"/>
    <x v="4"/>
    <x v="6"/>
    <s v="NO2_A1"/>
    <x v="4"/>
    <x v="0"/>
    <x v="0"/>
    <x v="0"/>
  </r>
  <r>
    <x v="0"/>
    <x v="0"/>
    <x v="0"/>
    <x v="4"/>
    <x v="6"/>
    <s v="NO2_A1"/>
    <x v="4"/>
    <x v="1"/>
    <x v="0"/>
    <x v="0"/>
  </r>
  <r>
    <x v="0"/>
    <x v="0"/>
    <x v="0"/>
    <x v="4"/>
    <x v="6"/>
    <s v="NO2_A1"/>
    <x v="4"/>
    <x v="2"/>
    <x v="0"/>
    <x v="0"/>
  </r>
  <r>
    <x v="0"/>
    <x v="0"/>
    <x v="0"/>
    <x v="4"/>
    <x v="6"/>
    <s v="NO2_A1"/>
    <x v="4"/>
    <x v="3"/>
    <x v="0"/>
    <x v="0"/>
  </r>
  <r>
    <x v="0"/>
    <x v="0"/>
    <x v="0"/>
    <x v="4"/>
    <x v="6"/>
    <s v="NO2_A1"/>
    <x v="4"/>
    <x v="4"/>
    <x v="0"/>
    <x v="0"/>
  </r>
  <r>
    <x v="0"/>
    <x v="0"/>
    <x v="0"/>
    <x v="4"/>
    <x v="6"/>
    <s v="NO2_A1"/>
    <x v="4"/>
    <x v="5"/>
    <x v="0"/>
    <x v="0"/>
  </r>
  <r>
    <x v="0"/>
    <x v="0"/>
    <x v="0"/>
    <x v="4"/>
    <x v="6"/>
    <s v="NO2_A1"/>
    <x v="4"/>
    <x v="6"/>
    <x v="0"/>
    <x v="0"/>
  </r>
  <r>
    <x v="0"/>
    <x v="0"/>
    <x v="0"/>
    <x v="4"/>
    <x v="6"/>
    <s v="NO2_A1"/>
    <x v="4"/>
    <x v="7"/>
    <x v="0"/>
    <x v="0"/>
  </r>
  <r>
    <x v="0"/>
    <x v="0"/>
    <x v="0"/>
    <x v="4"/>
    <x v="6"/>
    <s v="NO2_A1"/>
    <x v="4"/>
    <x v="8"/>
    <x v="0"/>
    <x v="0"/>
  </r>
  <r>
    <x v="0"/>
    <x v="0"/>
    <x v="0"/>
    <x v="4"/>
    <x v="6"/>
    <s v="NO2_A1"/>
    <x v="4"/>
    <x v="9"/>
    <x v="0"/>
    <x v="0"/>
  </r>
  <r>
    <x v="0"/>
    <x v="0"/>
    <x v="0"/>
    <x v="4"/>
    <x v="6"/>
    <s v="NO2_A1"/>
    <x v="4"/>
    <x v="10"/>
    <x v="0"/>
    <x v="0"/>
  </r>
  <r>
    <x v="0"/>
    <x v="0"/>
    <x v="0"/>
    <x v="4"/>
    <x v="6"/>
    <s v="NO2_A1"/>
    <x v="4"/>
    <x v="11"/>
    <x v="0"/>
    <x v="0"/>
  </r>
  <r>
    <x v="0"/>
    <x v="0"/>
    <x v="0"/>
    <x v="4"/>
    <x v="6"/>
    <s v="NO2_A1"/>
    <x v="5"/>
    <x v="0"/>
    <x v="0"/>
    <x v="0"/>
  </r>
  <r>
    <x v="0"/>
    <x v="0"/>
    <x v="0"/>
    <x v="4"/>
    <x v="6"/>
    <s v="NO2_A1"/>
    <x v="5"/>
    <x v="1"/>
    <x v="0"/>
    <x v="0"/>
  </r>
  <r>
    <x v="0"/>
    <x v="0"/>
    <x v="0"/>
    <x v="4"/>
    <x v="6"/>
    <s v="NO2_A1"/>
    <x v="5"/>
    <x v="2"/>
    <x v="0"/>
    <x v="0"/>
  </r>
  <r>
    <x v="0"/>
    <x v="0"/>
    <x v="0"/>
    <x v="4"/>
    <x v="6"/>
    <s v="NO2_A1"/>
    <x v="5"/>
    <x v="3"/>
    <x v="0"/>
    <x v="0"/>
  </r>
  <r>
    <x v="0"/>
    <x v="0"/>
    <x v="0"/>
    <x v="4"/>
    <x v="6"/>
    <s v="NO2_A1"/>
    <x v="5"/>
    <x v="4"/>
    <x v="0"/>
    <x v="0"/>
  </r>
  <r>
    <x v="0"/>
    <x v="0"/>
    <x v="0"/>
    <x v="4"/>
    <x v="6"/>
    <s v="NO2_A1"/>
    <x v="5"/>
    <x v="5"/>
    <x v="0"/>
    <x v="0"/>
  </r>
  <r>
    <x v="0"/>
    <x v="0"/>
    <x v="0"/>
    <x v="4"/>
    <x v="6"/>
    <s v="NO2_A1"/>
    <x v="5"/>
    <x v="6"/>
    <x v="0"/>
    <x v="0"/>
  </r>
  <r>
    <x v="0"/>
    <x v="0"/>
    <x v="0"/>
    <x v="4"/>
    <x v="6"/>
    <s v="NO2_A1"/>
    <x v="5"/>
    <x v="7"/>
    <x v="0"/>
    <x v="0"/>
  </r>
  <r>
    <x v="0"/>
    <x v="0"/>
    <x v="0"/>
    <x v="4"/>
    <x v="6"/>
    <s v="NO2_A1"/>
    <x v="5"/>
    <x v="8"/>
    <x v="0"/>
    <x v="0"/>
  </r>
  <r>
    <x v="0"/>
    <x v="0"/>
    <x v="0"/>
    <x v="4"/>
    <x v="6"/>
    <s v="NO2_A1"/>
    <x v="5"/>
    <x v="9"/>
    <x v="0"/>
    <x v="0"/>
  </r>
  <r>
    <x v="0"/>
    <x v="0"/>
    <x v="0"/>
    <x v="4"/>
    <x v="6"/>
    <s v="NO2_A1"/>
    <x v="5"/>
    <x v="10"/>
    <x v="0"/>
    <x v="0"/>
  </r>
  <r>
    <x v="0"/>
    <x v="0"/>
    <x v="0"/>
    <x v="4"/>
    <x v="6"/>
    <s v="NO2_A1"/>
    <x v="5"/>
    <x v="11"/>
    <x v="0"/>
    <x v="0"/>
  </r>
  <r>
    <x v="0"/>
    <x v="0"/>
    <x v="0"/>
    <x v="4"/>
    <x v="6"/>
    <s v="NO2_A1"/>
    <x v="6"/>
    <x v="0"/>
    <x v="0"/>
    <x v="0"/>
  </r>
  <r>
    <x v="0"/>
    <x v="0"/>
    <x v="0"/>
    <x v="4"/>
    <x v="6"/>
    <s v="NO2_A1"/>
    <x v="6"/>
    <x v="1"/>
    <x v="0"/>
    <x v="0"/>
  </r>
  <r>
    <x v="0"/>
    <x v="0"/>
    <x v="0"/>
    <x v="4"/>
    <x v="6"/>
    <s v="NO2_A1"/>
    <x v="6"/>
    <x v="2"/>
    <x v="0"/>
    <x v="0"/>
  </r>
  <r>
    <x v="0"/>
    <x v="0"/>
    <x v="0"/>
    <x v="4"/>
    <x v="6"/>
    <s v="NO2_A1"/>
    <x v="6"/>
    <x v="3"/>
    <x v="0"/>
    <x v="0"/>
  </r>
  <r>
    <x v="0"/>
    <x v="0"/>
    <x v="0"/>
    <x v="4"/>
    <x v="6"/>
    <s v="NO2_A1"/>
    <x v="6"/>
    <x v="4"/>
    <x v="0"/>
    <x v="0"/>
  </r>
  <r>
    <x v="0"/>
    <x v="0"/>
    <x v="0"/>
    <x v="4"/>
    <x v="6"/>
    <s v="NO2_A1"/>
    <x v="6"/>
    <x v="5"/>
    <x v="0"/>
    <x v="0"/>
  </r>
  <r>
    <x v="0"/>
    <x v="0"/>
    <x v="0"/>
    <x v="4"/>
    <x v="6"/>
    <s v="NO2_A1"/>
    <x v="6"/>
    <x v="6"/>
    <x v="0"/>
    <x v="0"/>
  </r>
  <r>
    <x v="0"/>
    <x v="0"/>
    <x v="0"/>
    <x v="4"/>
    <x v="6"/>
    <s v="NO2_A1"/>
    <x v="6"/>
    <x v="7"/>
    <x v="0"/>
    <x v="0"/>
  </r>
  <r>
    <x v="0"/>
    <x v="0"/>
    <x v="0"/>
    <x v="4"/>
    <x v="6"/>
    <s v="NO2_A1"/>
    <x v="6"/>
    <x v="8"/>
    <x v="0"/>
    <x v="0"/>
  </r>
  <r>
    <x v="0"/>
    <x v="0"/>
    <x v="0"/>
    <x v="4"/>
    <x v="6"/>
    <s v="NO2_A1"/>
    <x v="6"/>
    <x v="9"/>
    <x v="0"/>
    <x v="0"/>
  </r>
  <r>
    <x v="0"/>
    <x v="0"/>
    <x v="0"/>
    <x v="4"/>
    <x v="6"/>
    <s v="NO2_A1"/>
    <x v="6"/>
    <x v="10"/>
    <x v="0"/>
    <x v="0"/>
  </r>
  <r>
    <x v="0"/>
    <x v="0"/>
    <x v="0"/>
    <x v="4"/>
    <x v="6"/>
    <s v="NO2_A1"/>
    <x v="6"/>
    <x v="11"/>
    <x v="0"/>
    <x v="0"/>
  </r>
  <r>
    <x v="0"/>
    <x v="0"/>
    <x v="0"/>
    <x v="4"/>
    <x v="6"/>
    <s v="NO2_A1"/>
    <x v="7"/>
    <x v="0"/>
    <x v="0"/>
    <x v="0"/>
  </r>
  <r>
    <x v="0"/>
    <x v="0"/>
    <x v="0"/>
    <x v="4"/>
    <x v="6"/>
    <s v="NO2_A1"/>
    <x v="7"/>
    <x v="1"/>
    <x v="0"/>
    <x v="0"/>
  </r>
  <r>
    <x v="0"/>
    <x v="0"/>
    <x v="0"/>
    <x v="4"/>
    <x v="6"/>
    <s v="NO2_A1"/>
    <x v="7"/>
    <x v="2"/>
    <x v="0"/>
    <x v="0"/>
  </r>
  <r>
    <x v="0"/>
    <x v="0"/>
    <x v="0"/>
    <x v="4"/>
    <x v="6"/>
    <s v="NO2_A1"/>
    <x v="7"/>
    <x v="3"/>
    <x v="0"/>
    <x v="0"/>
  </r>
  <r>
    <x v="0"/>
    <x v="0"/>
    <x v="0"/>
    <x v="4"/>
    <x v="6"/>
    <s v="NO2_A1"/>
    <x v="7"/>
    <x v="4"/>
    <x v="0"/>
    <x v="0"/>
  </r>
  <r>
    <x v="0"/>
    <x v="0"/>
    <x v="0"/>
    <x v="4"/>
    <x v="6"/>
    <s v="NO2_A1"/>
    <x v="7"/>
    <x v="5"/>
    <x v="0"/>
    <x v="0"/>
  </r>
  <r>
    <x v="0"/>
    <x v="0"/>
    <x v="0"/>
    <x v="4"/>
    <x v="6"/>
    <s v="NO2_A1"/>
    <x v="7"/>
    <x v="6"/>
    <x v="0"/>
    <x v="0"/>
  </r>
  <r>
    <x v="0"/>
    <x v="0"/>
    <x v="0"/>
    <x v="4"/>
    <x v="6"/>
    <s v="NO2_A1"/>
    <x v="7"/>
    <x v="7"/>
    <x v="0"/>
    <x v="0"/>
  </r>
  <r>
    <x v="0"/>
    <x v="0"/>
    <x v="0"/>
    <x v="4"/>
    <x v="6"/>
    <s v="NO2_A1"/>
    <x v="7"/>
    <x v="8"/>
    <x v="0"/>
    <x v="0"/>
  </r>
  <r>
    <x v="0"/>
    <x v="0"/>
    <x v="0"/>
    <x v="4"/>
    <x v="6"/>
    <s v="NO2_A1"/>
    <x v="7"/>
    <x v="9"/>
    <x v="0"/>
    <x v="0"/>
  </r>
  <r>
    <x v="0"/>
    <x v="0"/>
    <x v="0"/>
    <x v="4"/>
    <x v="6"/>
    <s v="NO2_A1"/>
    <x v="7"/>
    <x v="10"/>
    <x v="0"/>
    <x v="0"/>
  </r>
  <r>
    <x v="0"/>
    <x v="0"/>
    <x v="0"/>
    <x v="4"/>
    <x v="6"/>
    <s v="NO2_A1"/>
    <x v="7"/>
    <x v="11"/>
    <x v="0"/>
    <x v="0"/>
  </r>
  <r>
    <x v="0"/>
    <x v="0"/>
    <x v="0"/>
    <x v="4"/>
    <x v="6"/>
    <s v="NO2_A1"/>
    <x v="8"/>
    <x v="0"/>
    <x v="0"/>
    <x v="0"/>
  </r>
  <r>
    <x v="0"/>
    <x v="0"/>
    <x v="0"/>
    <x v="4"/>
    <x v="6"/>
    <s v="NO2_A1"/>
    <x v="8"/>
    <x v="1"/>
    <x v="0"/>
    <x v="0"/>
  </r>
  <r>
    <x v="0"/>
    <x v="0"/>
    <x v="0"/>
    <x v="4"/>
    <x v="6"/>
    <s v="NO2_A1"/>
    <x v="8"/>
    <x v="2"/>
    <x v="0"/>
    <x v="0"/>
  </r>
  <r>
    <x v="0"/>
    <x v="0"/>
    <x v="0"/>
    <x v="4"/>
    <x v="6"/>
    <s v="NO2_A1"/>
    <x v="8"/>
    <x v="3"/>
    <x v="0"/>
    <x v="0"/>
  </r>
  <r>
    <x v="0"/>
    <x v="0"/>
    <x v="0"/>
    <x v="4"/>
    <x v="6"/>
    <s v="NO2_A1"/>
    <x v="8"/>
    <x v="4"/>
    <x v="0"/>
    <x v="0"/>
  </r>
  <r>
    <x v="0"/>
    <x v="0"/>
    <x v="0"/>
    <x v="4"/>
    <x v="6"/>
    <s v="NO2_A1"/>
    <x v="8"/>
    <x v="5"/>
    <x v="0"/>
    <x v="0"/>
  </r>
  <r>
    <x v="0"/>
    <x v="0"/>
    <x v="0"/>
    <x v="4"/>
    <x v="6"/>
    <s v="NO2_A1"/>
    <x v="8"/>
    <x v="6"/>
    <x v="0"/>
    <x v="0"/>
  </r>
  <r>
    <x v="0"/>
    <x v="0"/>
    <x v="0"/>
    <x v="4"/>
    <x v="6"/>
    <s v="NO2_A1"/>
    <x v="8"/>
    <x v="7"/>
    <x v="0"/>
    <x v="0"/>
  </r>
  <r>
    <x v="0"/>
    <x v="0"/>
    <x v="0"/>
    <x v="4"/>
    <x v="6"/>
    <s v="NO2_A1"/>
    <x v="8"/>
    <x v="8"/>
    <x v="0"/>
    <x v="0"/>
  </r>
  <r>
    <x v="0"/>
    <x v="0"/>
    <x v="0"/>
    <x v="4"/>
    <x v="6"/>
    <s v="NO2_A1"/>
    <x v="8"/>
    <x v="9"/>
    <x v="0"/>
    <x v="0"/>
  </r>
  <r>
    <x v="0"/>
    <x v="0"/>
    <x v="0"/>
    <x v="4"/>
    <x v="6"/>
    <s v="NO2_A1"/>
    <x v="8"/>
    <x v="10"/>
    <x v="0"/>
    <x v="0"/>
  </r>
  <r>
    <x v="0"/>
    <x v="0"/>
    <x v="0"/>
    <x v="4"/>
    <x v="6"/>
    <s v="NO2_A1"/>
    <x v="8"/>
    <x v="11"/>
    <x v="0"/>
    <x v="0"/>
  </r>
  <r>
    <x v="0"/>
    <x v="0"/>
    <x v="0"/>
    <x v="4"/>
    <x v="6"/>
    <s v="NO2_A1"/>
    <x v="9"/>
    <x v="0"/>
    <x v="0"/>
    <x v="0"/>
  </r>
  <r>
    <x v="0"/>
    <x v="0"/>
    <x v="0"/>
    <x v="4"/>
    <x v="6"/>
    <s v="NO2_A1"/>
    <x v="9"/>
    <x v="1"/>
    <x v="0"/>
    <x v="0"/>
  </r>
  <r>
    <x v="0"/>
    <x v="0"/>
    <x v="0"/>
    <x v="4"/>
    <x v="6"/>
    <s v="NO2_A1"/>
    <x v="9"/>
    <x v="2"/>
    <x v="0"/>
    <x v="0"/>
  </r>
  <r>
    <x v="0"/>
    <x v="0"/>
    <x v="0"/>
    <x v="4"/>
    <x v="6"/>
    <s v="NO2_A1"/>
    <x v="9"/>
    <x v="3"/>
    <x v="0"/>
    <x v="0"/>
  </r>
  <r>
    <x v="0"/>
    <x v="0"/>
    <x v="0"/>
    <x v="4"/>
    <x v="6"/>
    <s v="NO2_A1"/>
    <x v="9"/>
    <x v="4"/>
    <x v="0"/>
    <x v="0"/>
  </r>
  <r>
    <x v="0"/>
    <x v="0"/>
    <x v="0"/>
    <x v="4"/>
    <x v="6"/>
    <s v="NO2_A1"/>
    <x v="9"/>
    <x v="5"/>
    <x v="0"/>
    <x v="0"/>
  </r>
  <r>
    <x v="0"/>
    <x v="0"/>
    <x v="0"/>
    <x v="4"/>
    <x v="6"/>
    <s v="NO2_A1"/>
    <x v="9"/>
    <x v="6"/>
    <x v="0"/>
    <x v="0"/>
  </r>
  <r>
    <x v="0"/>
    <x v="0"/>
    <x v="0"/>
    <x v="4"/>
    <x v="6"/>
    <s v="NO2_A1"/>
    <x v="9"/>
    <x v="7"/>
    <x v="0"/>
    <x v="0"/>
  </r>
  <r>
    <x v="0"/>
    <x v="0"/>
    <x v="0"/>
    <x v="4"/>
    <x v="6"/>
    <s v="NO2_A1"/>
    <x v="9"/>
    <x v="8"/>
    <x v="0"/>
    <x v="0"/>
  </r>
  <r>
    <x v="0"/>
    <x v="0"/>
    <x v="0"/>
    <x v="4"/>
    <x v="6"/>
    <s v="NO2_A1"/>
    <x v="9"/>
    <x v="9"/>
    <x v="0"/>
    <x v="0"/>
  </r>
  <r>
    <x v="0"/>
    <x v="0"/>
    <x v="0"/>
    <x v="4"/>
    <x v="6"/>
    <s v="NO2_A1"/>
    <x v="9"/>
    <x v="10"/>
    <x v="0"/>
    <x v="0"/>
  </r>
  <r>
    <x v="0"/>
    <x v="0"/>
    <x v="0"/>
    <x v="4"/>
    <x v="6"/>
    <s v="NO2_A1"/>
    <x v="9"/>
    <x v="11"/>
    <x v="0"/>
    <x v="0"/>
  </r>
  <r>
    <x v="0"/>
    <x v="0"/>
    <x v="0"/>
    <x v="4"/>
    <x v="6"/>
    <s v="NO2_A1"/>
    <x v="10"/>
    <x v="0"/>
    <x v="0"/>
    <x v="0"/>
  </r>
  <r>
    <x v="0"/>
    <x v="0"/>
    <x v="0"/>
    <x v="4"/>
    <x v="6"/>
    <s v="NO2_A1"/>
    <x v="10"/>
    <x v="1"/>
    <x v="0"/>
    <x v="0"/>
  </r>
  <r>
    <x v="0"/>
    <x v="0"/>
    <x v="0"/>
    <x v="4"/>
    <x v="6"/>
    <s v="NO2_A1"/>
    <x v="10"/>
    <x v="2"/>
    <x v="0"/>
    <x v="0"/>
  </r>
  <r>
    <x v="0"/>
    <x v="0"/>
    <x v="0"/>
    <x v="4"/>
    <x v="6"/>
    <s v="NO2_A1"/>
    <x v="10"/>
    <x v="3"/>
    <x v="0"/>
    <x v="0"/>
  </r>
  <r>
    <x v="0"/>
    <x v="0"/>
    <x v="0"/>
    <x v="4"/>
    <x v="6"/>
    <s v="NO2_A1"/>
    <x v="10"/>
    <x v="4"/>
    <x v="0"/>
    <x v="0"/>
  </r>
  <r>
    <x v="0"/>
    <x v="0"/>
    <x v="0"/>
    <x v="4"/>
    <x v="6"/>
    <s v="NO2_A1"/>
    <x v="10"/>
    <x v="5"/>
    <x v="0"/>
    <x v="0"/>
  </r>
  <r>
    <x v="0"/>
    <x v="0"/>
    <x v="0"/>
    <x v="4"/>
    <x v="6"/>
    <s v="NO2_A1"/>
    <x v="10"/>
    <x v="6"/>
    <x v="0"/>
    <x v="0"/>
  </r>
  <r>
    <x v="0"/>
    <x v="0"/>
    <x v="0"/>
    <x v="4"/>
    <x v="6"/>
    <s v="NO2_A1"/>
    <x v="10"/>
    <x v="7"/>
    <x v="0"/>
    <x v="0"/>
  </r>
  <r>
    <x v="0"/>
    <x v="0"/>
    <x v="0"/>
    <x v="4"/>
    <x v="6"/>
    <s v="NO2_A1"/>
    <x v="10"/>
    <x v="8"/>
    <x v="0"/>
    <x v="0"/>
  </r>
  <r>
    <x v="0"/>
    <x v="0"/>
    <x v="0"/>
    <x v="4"/>
    <x v="6"/>
    <s v="NO2_A1"/>
    <x v="10"/>
    <x v="9"/>
    <x v="0"/>
    <x v="0"/>
  </r>
  <r>
    <x v="0"/>
    <x v="0"/>
    <x v="0"/>
    <x v="4"/>
    <x v="6"/>
    <s v="NO2_A1"/>
    <x v="10"/>
    <x v="10"/>
    <x v="0"/>
    <x v="0"/>
  </r>
  <r>
    <x v="0"/>
    <x v="0"/>
    <x v="0"/>
    <x v="4"/>
    <x v="6"/>
    <s v="NO2_A1"/>
    <x v="10"/>
    <x v="11"/>
    <x v="0"/>
    <x v="0"/>
  </r>
  <r>
    <x v="0"/>
    <x v="0"/>
    <x v="0"/>
    <x v="4"/>
    <x v="6"/>
    <s v="NO2_A1"/>
    <x v="11"/>
    <x v="0"/>
    <x v="0"/>
    <x v="0"/>
  </r>
  <r>
    <x v="0"/>
    <x v="0"/>
    <x v="0"/>
    <x v="4"/>
    <x v="6"/>
    <s v="NO2_A1"/>
    <x v="11"/>
    <x v="1"/>
    <x v="0"/>
    <x v="0"/>
  </r>
  <r>
    <x v="0"/>
    <x v="0"/>
    <x v="0"/>
    <x v="4"/>
    <x v="6"/>
    <s v="NO2_A1"/>
    <x v="11"/>
    <x v="2"/>
    <x v="0"/>
    <x v="0"/>
  </r>
  <r>
    <x v="0"/>
    <x v="0"/>
    <x v="0"/>
    <x v="4"/>
    <x v="6"/>
    <s v="NO2_A1"/>
    <x v="11"/>
    <x v="3"/>
    <x v="0"/>
    <x v="0"/>
  </r>
  <r>
    <x v="0"/>
    <x v="0"/>
    <x v="0"/>
    <x v="4"/>
    <x v="6"/>
    <s v="NO2_A1"/>
    <x v="11"/>
    <x v="4"/>
    <x v="0"/>
    <x v="0"/>
  </r>
  <r>
    <x v="0"/>
    <x v="0"/>
    <x v="0"/>
    <x v="4"/>
    <x v="6"/>
    <s v="NO2_A1"/>
    <x v="11"/>
    <x v="5"/>
    <x v="0"/>
    <x v="0"/>
  </r>
  <r>
    <x v="0"/>
    <x v="0"/>
    <x v="0"/>
    <x v="4"/>
    <x v="6"/>
    <s v="NO2_A1"/>
    <x v="11"/>
    <x v="6"/>
    <x v="0"/>
    <x v="0"/>
  </r>
  <r>
    <x v="0"/>
    <x v="0"/>
    <x v="0"/>
    <x v="4"/>
    <x v="6"/>
    <s v="NO2_A1"/>
    <x v="11"/>
    <x v="7"/>
    <x v="0"/>
    <x v="0"/>
  </r>
  <r>
    <x v="0"/>
    <x v="0"/>
    <x v="0"/>
    <x v="4"/>
    <x v="6"/>
    <s v="NO2_A1"/>
    <x v="11"/>
    <x v="8"/>
    <x v="0"/>
    <x v="0"/>
  </r>
  <r>
    <x v="0"/>
    <x v="0"/>
    <x v="0"/>
    <x v="4"/>
    <x v="6"/>
    <s v="NO2_A1"/>
    <x v="11"/>
    <x v="9"/>
    <x v="0"/>
    <x v="0"/>
  </r>
  <r>
    <x v="0"/>
    <x v="0"/>
    <x v="0"/>
    <x v="4"/>
    <x v="6"/>
    <s v="NO2_A1"/>
    <x v="11"/>
    <x v="10"/>
    <x v="0"/>
    <x v="0"/>
  </r>
  <r>
    <x v="0"/>
    <x v="0"/>
    <x v="0"/>
    <x v="4"/>
    <x v="6"/>
    <s v="NO2_A1"/>
    <x v="11"/>
    <x v="11"/>
    <x v="0"/>
    <x v="0"/>
  </r>
  <r>
    <x v="0"/>
    <x v="0"/>
    <x v="0"/>
    <x v="4"/>
    <x v="7"/>
    <s v="NO3_A1"/>
    <x v="0"/>
    <x v="0"/>
    <x v="0"/>
    <x v="0"/>
  </r>
  <r>
    <x v="0"/>
    <x v="0"/>
    <x v="0"/>
    <x v="4"/>
    <x v="7"/>
    <s v="NO3_A1"/>
    <x v="0"/>
    <x v="1"/>
    <x v="0"/>
    <x v="0"/>
  </r>
  <r>
    <x v="0"/>
    <x v="0"/>
    <x v="0"/>
    <x v="4"/>
    <x v="7"/>
    <s v="NO3_A1"/>
    <x v="0"/>
    <x v="2"/>
    <x v="0"/>
    <x v="0"/>
  </r>
  <r>
    <x v="0"/>
    <x v="0"/>
    <x v="0"/>
    <x v="4"/>
    <x v="7"/>
    <s v="NO3_A1"/>
    <x v="0"/>
    <x v="3"/>
    <x v="0"/>
    <x v="0"/>
  </r>
  <r>
    <x v="0"/>
    <x v="0"/>
    <x v="0"/>
    <x v="4"/>
    <x v="7"/>
    <s v="NO3_A1"/>
    <x v="0"/>
    <x v="4"/>
    <x v="0"/>
    <x v="0"/>
  </r>
  <r>
    <x v="0"/>
    <x v="0"/>
    <x v="0"/>
    <x v="4"/>
    <x v="7"/>
    <s v="NO3_A1"/>
    <x v="0"/>
    <x v="5"/>
    <x v="0"/>
    <x v="0"/>
  </r>
  <r>
    <x v="0"/>
    <x v="0"/>
    <x v="0"/>
    <x v="4"/>
    <x v="7"/>
    <s v="NO3_A1"/>
    <x v="0"/>
    <x v="6"/>
    <x v="0"/>
    <x v="0"/>
  </r>
  <r>
    <x v="0"/>
    <x v="0"/>
    <x v="0"/>
    <x v="4"/>
    <x v="7"/>
    <s v="NO3_A1"/>
    <x v="0"/>
    <x v="7"/>
    <x v="0"/>
    <x v="0"/>
  </r>
  <r>
    <x v="0"/>
    <x v="0"/>
    <x v="0"/>
    <x v="4"/>
    <x v="7"/>
    <s v="NO3_A1"/>
    <x v="0"/>
    <x v="8"/>
    <x v="0"/>
    <x v="0"/>
  </r>
  <r>
    <x v="0"/>
    <x v="0"/>
    <x v="0"/>
    <x v="4"/>
    <x v="7"/>
    <s v="NO3_A1"/>
    <x v="0"/>
    <x v="9"/>
    <x v="0"/>
    <x v="0"/>
  </r>
  <r>
    <x v="0"/>
    <x v="0"/>
    <x v="0"/>
    <x v="4"/>
    <x v="7"/>
    <s v="NO3_A1"/>
    <x v="0"/>
    <x v="10"/>
    <x v="0"/>
    <x v="0"/>
  </r>
  <r>
    <x v="0"/>
    <x v="0"/>
    <x v="0"/>
    <x v="4"/>
    <x v="7"/>
    <s v="NO3_A1"/>
    <x v="0"/>
    <x v="11"/>
    <x v="0"/>
    <x v="0"/>
  </r>
  <r>
    <x v="0"/>
    <x v="0"/>
    <x v="0"/>
    <x v="4"/>
    <x v="7"/>
    <s v="NO3_A1"/>
    <x v="1"/>
    <x v="0"/>
    <x v="0"/>
    <x v="0"/>
  </r>
  <r>
    <x v="0"/>
    <x v="0"/>
    <x v="0"/>
    <x v="4"/>
    <x v="7"/>
    <s v="NO3_A1"/>
    <x v="1"/>
    <x v="1"/>
    <x v="0"/>
    <x v="0"/>
  </r>
  <r>
    <x v="0"/>
    <x v="0"/>
    <x v="0"/>
    <x v="4"/>
    <x v="7"/>
    <s v="NO3_A1"/>
    <x v="1"/>
    <x v="2"/>
    <x v="0"/>
    <x v="0"/>
  </r>
  <r>
    <x v="0"/>
    <x v="0"/>
    <x v="0"/>
    <x v="4"/>
    <x v="7"/>
    <s v="NO3_A1"/>
    <x v="1"/>
    <x v="3"/>
    <x v="0"/>
    <x v="0"/>
  </r>
  <r>
    <x v="0"/>
    <x v="0"/>
    <x v="0"/>
    <x v="4"/>
    <x v="7"/>
    <s v="NO3_A1"/>
    <x v="1"/>
    <x v="4"/>
    <x v="0"/>
    <x v="0"/>
  </r>
  <r>
    <x v="0"/>
    <x v="0"/>
    <x v="0"/>
    <x v="4"/>
    <x v="7"/>
    <s v="NO3_A1"/>
    <x v="1"/>
    <x v="5"/>
    <x v="0"/>
    <x v="0"/>
  </r>
  <r>
    <x v="0"/>
    <x v="0"/>
    <x v="0"/>
    <x v="4"/>
    <x v="7"/>
    <s v="NO3_A1"/>
    <x v="1"/>
    <x v="6"/>
    <x v="0"/>
    <x v="0"/>
  </r>
  <r>
    <x v="0"/>
    <x v="0"/>
    <x v="0"/>
    <x v="4"/>
    <x v="7"/>
    <s v="NO3_A1"/>
    <x v="1"/>
    <x v="7"/>
    <x v="0"/>
    <x v="0"/>
  </r>
  <r>
    <x v="0"/>
    <x v="0"/>
    <x v="0"/>
    <x v="4"/>
    <x v="7"/>
    <s v="NO3_A1"/>
    <x v="1"/>
    <x v="8"/>
    <x v="0"/>
    <x v="0"/>
  </r>
  <r>
    <x v="0"/>
    <x v="0"/>
    <x v="0"/>
    <x v="4"/>
    <x v="7"/>
    <s v="NO3_A1"/>
    <x v="1"/>
    <x v="9"/>
    <x v="0"/>
    <x v="0"/>
  </r>
  <r>
    <x v="0"/>
    <x v="0"/>
    <x v="0"/>
    <x v="4"/>
    <x v="7"/>
    <s v="NO3_A1"/>
    <x v="1"/>
    <x v="10"/>
    <x v="0"/>
    <x v="0"/>
  </r>
  <r>
    <x v="0"/>
    <x v="0"/>
    <x v="0"/>
    <x v="4"/>
    <x v="7"/>
    <s v="NO3_A1"/>
    <x v="1"/>
    <x v="11"/>
    <x v="0"/>
    <x v="0"/>
  </r>
  <r>
    <x v="0"/>
    <x v="0"/>
    <x v="0"/>
    <x v="4"/>
    <x v="7"/>
    <s v="NO3_A1"/>
    <x v="2"/>
    <x v="0"/>
    <x v="0"/>
    <x v="0"/>
  </r>
  <r>
    <x v="0"/>
    <x v="0"/>
    <x v="0"/>
    <x v="4"/>
    <x v="7"/>
    <s v="NO3_A1"/>
    <x v="2"/>
    <x v="1"/>
    <x v="0"/>
    <x v="0"/>
  </r>
  <r>
    <x v="0"/>
    <x v="0"/>
    <x v="0"/>
    <x v="4"/>
    <x v="7"/>
    <s v="NO3_A1"/>
    <x v="2"/>
    <x v="2"/>
    <x v="0"/>
    <x v="0"/>
  </r>
  <r>
    <x v="0"/>
    <x v="0"/>
    <x v="0"/>
    <x v="4"/>
    <x v="7"/>
    <s v="NO3_A1"/>
    <x v="2"/>
    <x v="3"/>
    <x v="0"/>
    <x v="0"/>
  </r>
  <r>
    <x v="0"/>
    <x v="0"/>
    <x v="0"/>
    <x v="4"/>
    <x v="7"/>
    <s v="NO3_A1"/>
    <x v="2"/>
    <x v="4"/>
    <x v="0"/>
    <x v="0"/>
  </r>
  <r>
    <x v="0"/>
    <x v="0"/>
    <x v="0"/>
    <x v="4"/>
    <x v="7"/>
    <s v="NO3_A1"/>
    <x v="2"/>
    <x v="5"/>
    <x v="0"/>
    <x v="0"/>
  </r>
  <r>
    <x v="0"/>
    <x v="0"/>
    <x v="0"/>
    <x v="4"/>
    <x v="7"/>
    <s v="NO3_A1"/>
    <x v="2"/>
    <x v="6"/>
    <x v="0"/>
    <x v="0"/>
  </r>
  <r>
    <x v="0"/>
    <x v="0"/>
    <x v="0"/>
    <x v="4"/>
    <x v="7"/>
    <s v="NO3_A1"/>
    <x v="2"/>
    <x v="7"/>
    <x v="0"/>
    <x v="0"/>
  </r>
  <r>
    <x v="0"/>
    <x v="0"/>
    <x v="0"/>
    <x v="4"/>
    <x v="7"/>
    <s v="NO3_A1"/>
    <x v="2"/>
    <x v="8"/>
    <x v="0"/>
    <x v="0"/>
  </r>
  <r>
    <x v="0"/>
    <x v="0"/>
    <x v="0"/>
    <x v="4"/>
    <x v="7"/>
    <s v="NO3_A1"/>
    <x v="2"/>
    <x v="9"/>
    <x v="0"/>
    <x v="0"/>
  </r>
  <r>
    <x v="0"/>
    <x v="0"/>
    <x v="0"/>
    <x v="4"/>
    <x v="7"/>
    <s v="NO3_A1"/>
    <x v="2"/>
    <x v="10"/>
    <x v="0"/>
    <x v="0"/>
  </r>
  <r>
    <x v="0"/>
    <x v="0"/>
    <x v="0"/>
    <x v="4"/>
    <x v="7"/>
    <s v="NO3_A1"/>
    <x v="2"/>
    <x v="11"/>
    <x v="0"/>
    <x v="0"/>
  </r>
  <r>
    <x v="0"/>
    <x v="0"/>
    <x v="0"/>
    <x v="4"/>
    <x v="7"/>
    <s v="NO3_A1"/>
    <x v="3"/>
    <x v="0"/>
    <x v="0"/>
    <x v="0"/>
  </r>
  <r>
    <x v="0"/>
    <x v="0"/>
    <x v="0"/>
    <x v="4"/>
    <x v="7"/>
    <s v="NO3_A1"/>
    <x v="3"/>
    <x v="1"/>
    <x v="0"/>
    <x v="0"/>
  </r>
  <r>
    <x v="0"/>
    <x v="0"/>
    <x v="0"/>
    <x v="4"/>
    <x v="7"/>
    <s v="NO3_A1"/>
    <x v="3"/>
    <x v="2"/>
    <x v="0"/>
    <x v="0"/>
  </r>
  <r>
    <x v="0"/>
    <x v="0"/>
    <x v="0"/>
    <x v="4"/>
    <x v="7"/>
    <s v="NO3_A1"/>
    <x v="3"/>
    <x v="3"/>
    <x v="0"/>
    <x v="0"/>
  </r>
  <r>
    <x v="0"/>
    <x v="0"/>
    <x v="0"/>
    <x v="4"/>
    <x v="7"/>
    <s v="NO3_A1"/>
    <x v="3"/>
    <x v="4"/>
    <x v="0"/>
    <x v="0"/>
  </r>
  <r>
    <x v="0"/>
    <x v="0"/>
    <x v="0"/>
    <x v="4"/>
    <x v="7"/>
    <s v="NO3_A1"/>
    <x v="3"/>
    <x v="5"/>
    <x v="0"/>
    <x v="0"/>
  </r>
  <r>
    <x v="0"/>
    <x v="0"/>
    <x v="0"/>
    <x v="4"/>
    <x v="7"/>
    <s v="NO3_A1"/>
    <x v="3"/>
    <x v="6"/>
    <x v="0"/>
    <x v="0"/>
  </r>
  <r>
    <x v="0"/>
    <x v="0"/>
    <x v="0"/>
    <x v="4"/>
    <x v="7"/>
    <s v="NO3_A1"/>
    <x v="3"/>
    <x v="7"/>
    <x v="0"/>
    <x v="0"/>
  </r>
  <r>
    <x v="0"/>
    <x v="0"/>
    <x v="0"/>
    <x v="4"/>
    <x v="7"/>
    <s v="NO3_A1"/>
    <x v="3"/>
    <x v="8"/>
    <x v="0"/>
    <x v="0"/>
  </r>
  <r>
    <x v="0"/>
    <x v="0"/>
    <x v="0"/>
    <x v="4"/>
    <x v="7"/>
    <s v="NO3_A1"/>
    <x v="3"/>
    <x v="9"/>
    <x v="0"/>
    <x v="0"/>
  </r>
  <r>
    <x v="0"/>
    <x v="0"/>
    <x v="0"/>
    <x v="4"/>
    <x v="7"/>
    <s v="NO3_A1"/>
    <x v="3"/>
    <x v="10"/>
    <x v="0"/>
    <x v="0"/>
  </r>
  <r>
    <x v="0"/>
    <x v="0"/>
    <x v="0"/>
    <x v="4"/>
    <x v="7"/>
    <s v="NO3_A1"/>
    <x v="3"/>
    <x v="11"/>
    <x v="0"/>
    <x v="0"/>
  </r>
  <r>
    <x v="0"/>
    <x v="0"/>
    <x v="0"/>
    <x v="4"/>
    <x v="7"/>
    <s v="NO3_A1"/>
    <x v="4"/>
    <x v="0"/>
    <x v="0"/>
    <x v="0"/>
  </r>
  <r>
    <x v="0"/>
    <x v="0"/>
    <x v="0"/>
    <x v="4"/>
    <x v="7"/>
    <s v="NO3_A1"/>
    <x v="4"/>
    <x v="1"/>
    <x v="0"/>
    <x v="0"/>
  </r>
  <r>
    <x v="0"/>
    <x v="0"/>
    <x v="0"/>
    <x v="4"/>
    <x v="7"/>
    <s v="NO3_A1"/>
    <x v="4"/>
    <x v="2"/>
    <x v="0"/>
    <x v="0"/>
  </r>
  <r>
    <x v="0"/>
    <x v="0"/>
    <x v="0"/>
    <x v="4"/>
    <x v="7"/>
    <s v="NO3_A1"/>
    <x v="4"/>
    <x v="3"/>
    <x v="0"/>
    <x v="0"/>
  </r>
  <r>
    <x v="0"/>
    <x v="0"/>
    <x v="0"/>
    <x v="4"/>
    <x v="7"/>
    <s v="NO3_A1"/>
    <x v="4"/>
    <x v="4"/>
    <x v="0"/>
    <x v="0"/>
  </r>
  <r>
    <x v="0"/>
    <x v="0"/>
    <x v="0"/>
    <x v="4"/>
    <x v="7"/>
    <s v="NO3_A1"/>
    <x v="4"/>
    <x v="5"/>
    <x v="0"/>
    <x v="0"/>
  </r>
  <r>
    <x v="0"/>
    <x v="0"/>
    <x v="0"/>
    <x v="4"/>
    <x v="7"/>
    <s v="NO3_A1"/>
    <x v="4"/>
    <x v="6"/>
    <x v="0"/>
    <x v="0"/>
  </r>
  <r>
    <x v="0"/>
    <x v="0"/>
    <x v="0"/>
    <x v="4"/>
    <x v="7"/>
    <s v="NO3_A1"/>
    <x v="4"/>
    <x v="7"/>
    <x v="0"/>
    <x v="0"/>
  </r>
  <r>
    <x v="0"/>
    <x v="0"/>
    <x v="0"/>
    <x v="4"/>
    <x v="7"/>
    <s v="NO3_A1"/>
    <x v="4"/>
    <x v="8"/>
    <x v="0"/>
    <x v="0"/>
  </r>
  <r>
    <x v="0"/>
    <x v="0"/>
    <x v="0"/>
    <x v="4"/>
    <x v="7"/>
    <s v="NO3_A1"/>
    <x v="4"/>
    <x v="9"/>
    <x v="0"/>
    <x v="0"/>
  </r>
  <r>
    <x v="0"/>
    <x v="0"/>
    <x v="0"/>
    <x v="4"/>
    <x v="7"/>
    <s v="NO3_A1"/>
    <x v="4"/>
    <x v="10"/>
    <x v="0"/>
    <x v="0"/>
  </r>
  <r>
    <x v="0"/>
    <x v="0"/>
    <x v="0"/>
    <x v="4"/>
    <x v="7"/>
    <s v="NO3_A1"/>
    <x v="4"/>
    <x v="11"/>
    <x v="0"/>
    <x v="0"/>
  </r>
  <r>
    <x v="0"/>
    <x v="0"/>
    <x v="0"/>
    <x v="4"/>
    <x v="7"/>
    <s v="NO3_A1"/>
    <x v="5"/>
    <x v="0"/>
    <x v="0"/>
    <x v="0"/>
  </r>
  <r>
    <x v="0"/>
    <x v="0"/>
    <x v="0"/>
    <x v="4"/>
    <x v="7"/>
    <s v="NO3_A1"/>
    <x v="5"/>
    <x v="1"/>
    <x v="0"/>
    <x v="0"/>
  </r>
  <r>
    <x v="0"/>
    <x v="0"/>
    <x v="0"/>
    <x v="4"/>
    <x v="7"/>
    <s v="NO3_A1"/>
    <x v="5"/>
    <x v="2"/>
    <x v="0"/>
    <x v="0"/>
  </r>
  <r>
    <x v="0"/>
    <x v="0"/>
    <x v="0"/>
    <x v="4"/>
    <x v="7"/>
    <s v="NO3_A1"/>
    <x v="5"/>
    <x v="3"/>
    <x v="0"/>
    <x v="0"/>
  </r>
  <r>
    <x v="0"/>
    <x v="0"/>
    <x v="0"/>
    <x v="4"/>
    <x v="7"/>
    <s v="NO3_A1"/>
    <x v="5"/>
    <x v="4"/>
    <x v="0"/>
    <x v="0"/>
  </r>
  <r>
    <x v="0"/>
    <x v="0"/>
    <x v="0"/>
    <x v="4"/>
    <x v="7"/>
    <s v="NO3_A1"/>
    <x v="5"/>
    <x v="5"/>
    <x v="0"/>
    <x v="0"/>
  </r>
  <r>
    <x v="0"/>
    <x v="0"/>
    <x v="0"/>
    <x v="4"/>
    <x v="7"/>
    <s v="NO3_A1"/>
    <x v="5"/>
    <x v="6"/>
    <x v="0"/>
    <x v="0"/>
  </r>
  <r>
    <x v="0"/>
    <x v="0"/>
    <x v="0"/>
    <x v="4"/>
    <x v="7"/>
    <s v="NO3_A1"/>
    <x v="5"/>
    <x v="7"/>
    <x v="0"/>
    <x v="0"/>
  </r>
  <r>
    <x v="0"/>
    <x v="0"/>
    <x v="0"/>
    <x v="4"/>
    <x v="7"/>
    <s v="NO3_A1"/>
    <x v="5"/>
    <x v="8"/>
    <x v="0"/>
    <x v="0"/>
  </r>
  <r>
    <x v="0"/>
    <x v="0"/>
    <x v="0"/>
    <x v="4"/>
    <x v="7"/>
    <s v="NO3_A1"/>
    <x v="5"/>
    <x v="9"/>
    <x v="0"/>
    <x v="0"/>
  </r>
  <r>
    <x v="0"/>
    <x v="0"/>
    <x v="0"/>
    <x v="4"/>
    <x v="7"/>
    <s v="NO3_A1"/>
    <x v="5"/>
    <x v="10"/>
    <x v="0"/>
    <x v="0"/>
  </r>
  <r>
    <x v="0"/>
    <x v="0"/>
    <x v="0"/>
    <x v="4"/>
    <x v="7"/>
    <s v="NO3_A1"/>
    <x v="5"/>
    <x v="11"/>
    <x v="0"/>
    <x v="0"/>
  </r>
  <r>
    <x v="0"/>
    <x v="0"/>
    <x v="0"/>
    <x v="4"/>
    <x v="7"/>
    <s v="NO3_A1"/>
    <x v="6"/>
    <x v="0"/>
    <x v="0"/>
    <x v="0"/>
  </r>
  <r>
    <x v="0"/>
    <x v="0"/>
    <x v="0"/>
    <x v="4"/>
    <x v="7"/>
    <s v="NO3_A1"/>
    <x v="6"/>
    <x v="1"/>
    <x v="0"/>
    <x v="0"/>
  </r>
  <r>
    <x v="0"/>
    <x v="0"/>
    <x v="0"/>
    <x v="4"/>
    <x v="7"/>
    <s v="NO3_A1"/>
    <x v="6"/>
    <x v="2"/>
    <x v="0"/>
    <x v="0"/>
  </r>
  <r>
    <x v="0"/>
    <x v="0"/>
    <x v="0"/>
    <x v="4"/>
    <x v="7"/>
    <s v="NO3_A1"/>
    <x v="6"/>
    <x v="3"/>
    <x v="0"/>
    <x v="0"/>
  </r>
  <r>
    <x v="0"/>
    <x v="0"/>
    <x v="0"/>
    <x v="4"/>
    <x v="7"/>
    <s v="NO3_A1"/>
    <x v="6"/>
    <x v="4"/>
    <x v="0"/>
    <x v="0"/>
  </r>
  <r>
    <x v="0"/>
    <x v="0"/>
    <x v="0"/>
    <x v="4"/>
    <x v="7"/>
    <s v="NO3_A1"/>
    <x v="6"/>
    <x v="5"/>
    <x v="0"/>
    <x v="0"/>
  </r>
  <r>
    <x v="0"/>
    <x v="0"/>
    <x v="0"/>
    <x v="4"/>
    <x v="7"/>
    <s v="NO3_A1"/>
    <x v="6"/>
    <x v="6"/>
    <x v="0"/>
    <x v="0"/>
  </r>
  <r>
    <x v="0"/>
    <x v="0"/>
    <x v="0"/>
    <x v="4"/>
    <x v="7"/>
    <s v="NO3_A1"/>
    <x v="6"/>
    <x v="7"/>
    <x v="0"/>
    <x v="0"/>
  </r>
  <r>
    <x v="0"/>
    <x v="0"/>
    <x v="0"/>
    <x v="4"/>
    <x v="7"/>
    <s v="NO3_A1"/>
    <x v="6"/>
    <x v="8"/>
    <x v="0"/>
    <x v="0"/>
  </r>
  <r>
    <x v="0"/>
    <x v="0"/>
    <x v="0"/>
    <x v="4"/>
    <x v="7"/>
    <s v="NO3_A1"/>
    <x v="6"/>
    <x v="9"/>
    <x v="0"/>
    <x v="0"/>
  </r>
  <r>
    <x v="0"/>
    <x v="0"/>
    <x v="0"/>
    <x v="4"/>
    <x v="7"/>
    <s v="NO3_A1"/>
    <x v="6"/>
    <x v="10"/>
    <x v="0"/>
    <x v="0"/>
  </r>
  <r>
    <x v="0"/>
    <x v="0"/>
    <x v="0"/>
    <x v="4"/>
    <x v="7"/>
    <s v="NO3_A1"/>
    <x v="6"/>
    <x v="11"/>
    <x v="0"/>
    <x v="0"/>
  </r>
  <r>
    <x v="0"/>
    <x v="0"/>
    <x v="0"/>
    <x v="4"/>
    <x v="7"/>
    <s v="NO3_A1"/>
    <x v="7"/>
    <x v="0"/>
    <x v="0"/>
    <x v="0"/>
  </r>
  <r>
    <x v="0"/>
    <x v="0"/>
    <x v="0"/>
    <x v="4"/>
    <x v="7"/>
    <s v="NO3_A1"/>
    <x v="7"/>
    <x v="1"/>
    <x v="0"/>
    <x v="0"/>
  </r>
  <r>
    <x v="0"/>
    <x v="0"/>
    <x v="0"/>
    <x v="4"/>
    <x v="7"/>
    <s v="NO3_A1"/>
    <x v="7"/>
    <x v="2"/>
    <x v="0"/>
    <x v="0"/>
  </r>
  <r>
    <x v="0"/>
    <x v="0"/>
    <x v="0"/>
    <x v="4"/>
    <x v="7"/>
    <s v="NO3_A1"/>
    <x v="7"/>
    <x v="3"/>
    <x v="0"/>
    <x v="0"/>
  </r>
  <r>
    <x v="0"/>
    <x v="0"/>
    <x v="0"/>
    <x v="4"/>
    <x v="7"/>
    <s v="NO3_A1"/>
    <x v="7"/>
    <x v="4"/>
    <x v="0"/>
    <x v="0"/>
  </r>
  <r>
    <x v="0"/>
    <x v="0"/>
    <x v="0"/>
    <x v="4"/>
    <x v="7"/>
    <s v="NO3_A1"/>
    <x v="7"/>
    <x v="5"/>
    <x v="0"/>
    <x v="0"/>
  </r>
  <r>
    <x v="0"/>
    <x v="0"/>
    <x v="0"/>
    <x v="4"/>
    <x v="7"/>
    <s v="NO3_A1"/>
    <x v="7"/>
    <x v="6"/>
    <x v="0"/>
    <x v="0"/>
  </r>
  <r>
    <x v="0"/>
    <x v="0"/>
    <x v="0"/>
    <x v="4"/>
    <x v="7"/>
    <s v="NO3_A1"/>
    <x v="7"/>
    <x v="7"/>
    <x v="0"/>
    <x v="0"/>
  </r>
  <r>
    <x v="0"/>
    <x v="0"/>
    <x v="0"/>
    <x v="4"/>
    <x v="7"/>
    <s v="NO3_A1"/>
    <x v="7"/>
    <x v="8"/>
    <x v="0"/>
    <x v="0"/>
  </r>
  <r>
    <x v="0"/>
    <x v="0"/>
    <x v="0"/>
    <x v="4"/>
    <x v="7"/>
    <s v="NO3_A1"/>
    <x v="7"/>
    <x v="9"/>
    <x v="0"/>
    <x v="0"/>
  </r>
  <r>
    <x v="0"/>
    <x v="0"/>
    <x v="0"/>
    <x v="4"/>
    <x v="7"/>
    <s v="NO3_A1"/>
    <x v="7"/>
    <x v="10"/>
    <x v="0"/>
    <x v="0"/>
  </r>
  <r>
    <x v="0"/>
    <x v="0"/>
    <x v="0"/>
    <x v="4"/>
    <x v="7"/>
    <s v="NO3_A1"/>
    <x v="7"/>
    <x v="11"/>
    <x v="0"/>
    <x v="0"/>
  </r>
  <r>
    <x v="0"/>
    <x v="0"/>
    <x v="0"/>
    <x v="4"/>
    <x v="7"/>
    <s v="NO3_A1"/>
    <x v="8"/>
    <x v="0"/>
    <x v="0"/>
    <x v="0"/>
  </r>
  <r>
    <x v="0"/>
    <x v="0"/>
    <x v="0"/>
    <x v="4"/>
    <x v="7"/>
    <s v="NO3_A1"/>
    <x v="8"/>
    <x v="1"/>
    <x v="0"/>
    <x v="0"/>
  </r>
  <r>
    <x v="0"/>
    <x v="0"/>
    <x v="0"/>
    <x v="4"/>
    <x v="7"/>
    <s v="NO3_A1"/>
    <x v="8"/>
    <x v="2"/>
    <x v="0"/>
    <x v="0"/>
  </r>
  <r>
    <x v="0"/>
    <x v="0"/>
    <x v="0"/>
    <x v="4"/>
    <x v="7"/>
    <s v="NO3_A1"/>
    <x v="8"/>
    <x v="3"/>
    <x v="0"/>
    <x v="0"/>
  </r>
  <r>
    <x v="0"/>
    <x v="0"/>
    <x v="0"/>
    <x v="4"/>
    <x v="7"/>
    <s v="NO3_A1"/>
    <x v="8"/>
    <x v="4"/>
    <x v="0"/>
    <x v="0"/>
  </r>
  <r>
    <x v="0"/>
    <x v="0"/>
    <x v="0"/>
    <x v="4"/>
    <x v="7"/>
    <s v="NO3_A1"/>
    <x v="8"/>
    <x v="5"/>
    <x v="0"/>
    <x v="0"/>
  </r>
  <r>
    <x v="0"/>
    <x v="0"/>
    <x v="0"/>
    <x v="4"/>
    <x v="7"/>
    <s v="NO3_A1"/>
    <x v="8"/>
    <x v="6"/>
    <x v="0"/>
    <x v="0"/>
  </r>
  <r>
    <x v="0"/>
    <x v="0"/>
    <x v="0"/>
    <x v="4"/>
    <x v="7"/>
    <s v="NO3_A1"/>
    <x v="8"/>
    <x v="7"/>
    <x v="0"/>
    <x v="0"/>
  </r>
  <r>
    <x v="0"/>
    <x v="0"/>
    <x v="0"/>
    <x v="4"/>
    <x v="7"/>
    <s v="NO3_A1"/>
    <x v="8"/>
    <x v="8"/>
    <x v="0"/>
    <x v="0"/>
  </r>
  <r>
    <x v="0"/>
    <x v="0"/>
    <x v="0"/>
    <x v="4"/>
    <x v="7"/>
    <s v="NO3_A1"/>
    <x v="8"/>
    <x v="9"/>
    <x v="0"/>
    <x v="0"/>
  </r>
  <r>
    <x v="0"/>
    <x v="0"/>
    <x v="0"/>
    <x v="4"/>
    <x v="7"/>
    <s v="NO3_A1"/>
    <x v="8"/>
    <x v="10"/>
    <x v="0"/>
    <x v="0"/>
  </r>
  <r>
    <x v="0"/>
    <x v="0"/>
    <x v="0"/>
    <x v="4"/>
    <x v="7"/>
    <s v="NO3_A1"/>
    <x v="8"/>
    <x v="11"/>
    <x v="0"/>
    <x v="0"/>
  </r>
  <r>
    <x v="0"/>
    <x v="0"/>
    <x v="0"/>
    <x v="4"/>
    <x v="7"/>
    <s v="NO3_A1"/>
    <x v="9"/>
    <x v="0"/>
    <x v="0"/>
    <x v="0"/>
  </r>
  <r>
    <x v="0"/>
    <x v="0"/>
    <x v="0"/>
    <x v="4"/>
    <x v="7"/>
    <s v="NO3_A1"/>
    <x v="9"/>
    <x v="1"/>
    <x v="0"/>
    <x v="0"/>
  </r>
  <r>
    <x v="0"/>
    <x v="0"/>
    <x v="0"/>
    <x v="4"/>
    <x v="7"/>
    <s v="NO3_A1"/>
    <x v="9"/>
    <x v="2"/>
    <x v="0"/>
    <x v="0"/>
  </r>
  <r>
    <x v="0"/>
    <x v="0"/>
    <x v="0"/>
    <x v="4"/>
    <x v="7"/>
    <s v="NO3_A1"/>
    <x v="9"/>
    <x v="3"/>
    <x v="0"/>
    <x v="0"/>
  </r>
  <r>
    <x v="0"/>
    <x v="0"/>
    <x v="0"/>
    <x v="4"/>
    <x v="7"/>
    <s v="NO3_A1"/>
    <x v="9"/>
    <x v="4"/>
    <x v="0"/>
    <x v="0"/>
  </r>
  <r>
    <x v="0"/>
    <x v="0"/>
    <x v="0"/>
    <x v="4"/>
    <x v="7"/>
    <s v="NO3_A1"/>
    <x v="9"/>
    <x v="5"/>
    <x v="0"/>
    <x v="0"/>
  </r>
  <r>
    <x v="0"/>
    <x v="0"/>
    <x v="0"/>
    <x v="4"/>
    <x v="7"/>
    <s v="NO3_A1"/>
    <x v="9"/>
    <x v="6"/>
    <x v="0"/>
    <x v="0"/>
  </r>
  <r>
    <x v="0"/>
    <x v="0"/>
    <x v="0"/>
    <x v="4"/>
    <x v="7"/>
    <s v="NO3_A1"/>
    <x v="9"/>
    <x v="7"/>
    <x v="0"/>
    <x v="0"/>
  </r>
  <r>
    <x v="0"/>
    <x v="0"/>
    <x v="0"/>
    <x v="4"/>
    <x v="7"/>
    <s v="NO3_A1"/>
    <x v="9"/>
    <x v="8"/>
    <x v="0"/>
    <x v="0"/>
  </r>
  <r>
    <x v="0"/>
    <x v="0"/>
    <x v="0"/>
    <x v="4"/>
    <x v="7"/>
    <s v="NO3_A1"/>
    <x v="9"/>
    <x v="9"/>
    <x v="0"/>
    <x v="0"/>
  </r>
  <r>
    <x v="0"/>
    <x v="0"/>
    <x v="0"/>
    <x v="4"/>
    <x v="7"/>
    <s v="NO3_A1"/>
    <x v="9"/>
    <x v="10"/>
    <x v="0"/>
    <x v="0"/>
  </r>
  <r>
    <x v="0"/>
    <x v="0"/>
    <x v="0"/>
    <x v="4"/>
    <x v="7"/>
    <s v="NO3_A1"/>
    <x v="9"/>
    <x v="11"/>
    <x v="0"/>
    <x v="0"/>
  </r>
  <r>
    <x v="0"/>
    <x v="0"/>
    <x v="0"/>
    <x v="4"/>
    <x v="7"/>
    <s v="NO3_A1"/>
    <x v="10"/>
    <x v="0"/>
    <x v="0"/>
    <x v="0"/>
  </r>
  <r>
    <x v="0"/>
    <x v="0"/>
    <x v="0"/>
    <x v="4"/>
    <x v="7"/>
    <s v="NO3_A1"/>
    <x v="10"/>
    <x v="1"/>
    <x v="0"/>
    <x v="0"/>
  </r>
  <r>
    <x v="0"/>
    <x v="0"/>
    <x v="0"/>
    <x v="4"/>
    <x v="7"/>
    <s v="NO3_A1"/>
    <x v="10"/>
    <x v="2"/>
    <x v="0"/>
    <x v="0"/>
  </r>
  <r>
    <x v="0"/>
    <x v="0"/>
    <x v="0"/>
    <x v="4"/>
    <x v="7"/>
    <s v="NO3_A1"/>
    <x v="10"/>
    <x v="3"/>
    <x v="0"/>
    <x v="0"/>
  </r>
  <r>
    <x v="0"/>
    <x v="0"/>
    <x v="0"/>
    <x v="4"/>
    <x v="7"/>
    <s v="NO3_A1"/>
    <x v="10"/>
    <x v="4"/>
    <x v="0"/>
    <x v="0"/>
  </r>
  <r>
    <x v="0"/>
    <x v="0"/>
    <x v="0"/>
    <x v="4"/>
    <x v="7"/>
    <s v="NO3_A1"/>
    <x v="10"/>
    <x v="5"/>
    <x v="0"/>
    <x v="0"/>
  </r>
  <r>
    <x v="0"/>
    <x v="0"/>
    <x v="0"/>
    <x v="4"/>
    <x v="7"/>
    <s v="NO3_A1"/>
    <x v="10"/>
    <x v="6"/>
    <x v="0"/>
    <x v="0"/>
  </r>
  <r>
    <x v="0"/>
    <x v="0"/>
    <x v="0"/>
    <x v="4"/>
    <x v="7"/>
    <s v="NO3_A1"/>
    <x v="10"/>
    <x v="7"/>
    <x v="0"/>
    <x v="0"/>
  </r>
  <r>
    <x v="0"/>
    <x v="0"/>
    <x v="0"/>
    <x v="4"/>
    <x v="7"/>
    <s v="NO3_A1"/>
    <x v="10"/>
    <x v="8"/>
    <x v="0"/>
    <x v="0"/>
  </r>
  <r>
    <x v="0"/>
    <x v="0"/>
    <x v="0"/>
    <x v="4"/>
    <x v="7"/>
    <s v="NO3_A1"/>
    <x v="10"/>
    <x v="9"/>
    <x v="0"/>
    <x v="0"/>
  </r>
  <r>
    <x v="0"/>
    <x v="0"/>
    <x v="0"/>
    <x v="4"/>
    <x v="7"/>
    <s v="NO3_A1"/>
    <x v="10"/>
    <x v="10"/>
    <x v="0"/>
    <x v="0"/>
  </r>
  <r>
    <x v="0"/>
    <x v="0"/>
    <x v="0"/>
    <x v="4"/>
    <x v="7"/>
    <s v="NO3_A1"/>
    <x v="10"/>
    <x v="11"/>
    <x v="0"/>
    <x v="0"/>
  </r>
  <r>
    <x v="0"/>
    <x v="0"/>
    <x v="0"/>
    <x v="4"/>
    <x v="7"/>
    <s v="NO3_A1"/>
    <x v="11"/>
    <x v="0"/>
    <x v="0"/>
    <x v="0"/>
  </r>
  <r>
    <x v="0"/>
    <x v="0"/>
    <x v="0"/>
    <x v="4"/>
    <x v="7"/>
    <s v="NO3_A1"/>
    <x v="11"/>
    <x v="1"/>
    <x v="0"/>
    <x v="0"/>
  </r>
  <r>
    <x v="0"/>
    <x v="0"/>
    <x v="0"/>
    <x v="4"/>
    <x v="7"/>
    <s v="NO3_A1"/>
    <x v="11"/>
    <x v="2"/>
    <x v="0"/>
    <x v="0"/>
  </r>
  <r>
    <x v="0"/>
    <x v="0"/>
    <x v="0"/>
    <x v="4"/>
    <x v="7"/>
    <s v="NO3_A1"/>
    <x v="11"/>
    <x v="3"/>
    <x v="0"/>
    <x v="0"/>
  </r>
  <r>
    <x v="0"/>
    <x v="0"/>
    <x v="0"/>
    <x v="4"/>
    <x v="7"/>
    <s v="NO3_A1"/>
    <x v="11"/>
    <x v="4"/>
    <x v="0"/>
    <x v="0"/>
  </r>
  <r>
    <x v="0"/>
    <x v="0"/>
    <x v="0"/>
    <x v="4"/>
    <x v="7"/>
    <s v="NO3_A1"/>
    <x v="11"/>
    <x v="5"/>
    <x v="0"/>
    <x v="0"/>
  </r>
  <r>
    <x v="0"/>
    <x v="0"/>
    <x v="0"/>
    <x v="4"/>
    <x v="7"/>
    <s v="NO3_A1"/>
    <x v="11"/>
    <x v="6"/>
    <x v="0"/>
    <x v="0"/>
  </r>
  <r>
    <x v="0"/>
    <x v="0"/>
    <x v="0"/>
    <x v="4"/>
    <x v="7"/>
    <s v="NO3_A1"/>
    <x v="11"/>
    <x v="7"/>
    <x v="0"/>
    <x v="0"/>
  </r>
  <r>
    <x v="0"/>
    <x v="0"/>
    <x v="0"/>
    <x v="4"/>
    <x v="7"/>
    <s v="NO3_A1"/>
    <x v="11"/>
    <x v="8"/>
    <x v="0"/>
    <x v="0"/>
  </r>
  <r>
    <x v="0"/>
    <x v="0"/>
    <x v="0"/>
    <x v="4"/>
    <x v="7"/>
    <s v="NO3_A1"/>
    <x v="11"/>
    <x v="9"/>
    <x v="0"/>
    <x v="0"/>
  </r>
  <r>
    <x v="0"/>
    <x v="0"/>
    <x v="0"/>
    <x v="4"/>
    <x v="7"/>
    <s v="NO3_A1"/>
    <x v="11"/>
    <x v="10"/>
    <x v="0"/>
    <x v="0"/>
  </r>
  <r>
    <x v="0"/>
    <x v="0"/>
    <x v="0"/>
    <x v="4"/>
    <x v="7"/>
    <s v="NO3_A1"/>
    <x v="11"/>
    <x v="11"/>
    <x v="0"/>
    <x v="0"/>
  </r>
  <r>
    <x v="0"/>
    <x v="0"/>
    <x v="0"/>
    <x v="4"/>
    <x v="7"/>
    <s v="NO3_A2"/>
    <x v="0"/>
    <x v="0"/>
    <x v="0"/>
    <x v="0"/>
  </r>
  <r>
    <x v="0"/>
    <x v="0"/>
    <x v="0"/>
    <x v="4"/>
    <x v="7"/>
    <s v="NO3_A2"/>
    <x v="0"/>
    <x v="1"/>
    <x v="0"/>
    <x v="0"/>
  </r>
  <r>
    <x v="0"/>
    <x v="0"/>
    <x v="0"/>
    <x v="4"/>
    <x v="7"/>
    <s v="NO3_A2"/>
    <x v="0"/>
    <x v="2"/>
    <x v="0"/>
    <x v="0"/>
  </r>
  <r>
    <x v="0"/>
    <x v="0"/>
    <x v="0"/>
    <x v="4"/>
    <x v="7"/>
    <s v="NO3_A2"/>
    <x v="0"/>
    <x v="3"/>
    <x v="0"/>
    <x v="0"/>
  </r>
  <r>
    <x v="0"/>
    <x v="0"/>
    <x v="0"/>
    <x v="4"/>
    <x v="7"/>
    <s v="NO3_A2"/>
    <x v="0"/>
    <x v="4"/>
    <x v="0"/>
    <x v="0"/>
  </r>
  <r>
    <x v="0"/>
    <x v="0"/>
    <x v="0"/>
    <x v="4"/>
    <x v="7"/>
    <s v="NO3_A2"/>
    <x v="0"/>
    <x v="5"/>
    <x v="0"/>
    <x v="0"/>
  </r>
  <r>
    <x v="0"/>
    <x v="0"/>
    <x v="0"/>
    <x v="4"/>
    <x v="7"/>
    <s v="NO3_A2"/>
    <x v="0"/>
    <x v="6"/>
    <x v="0"/>
    <x v="0"/>
  </r>
  <r>
    <x v="0"/>
    <x v="0"/>
    <x v="0"/>
    <x v="4"/>
    <x v="7"/>
    <s v="NO3_A2"/>
    <x v="0"/>
    <x v="7"/>
    <x v="0"/>
    <x v="0"/>
  </r>
  <r>
    <x v="0"/>
    <x v="0"/>
    <x v="0"/>
    <x v="4"/>
    <x v="7"/>
    <s v="NO3_A2"/>
    <x v="0"/>
    <x v="8"/>
    <x v="0"/>
    <x v="0"/>
  </r>
  <r>
    <x v="0"/>
    <x v="0"/>
    <x v="0"/>
    <x v="4"/>
    <x v="7"/>
    <s v="NO3_A2"/>
    <x v="0"/>
    <x v="9"/>
    <x v="0"/>
    <x v="0"/>
  </r>
  <r>
    <x v="0"/>
    <x v="0"/>
    <x v="0"/>
    <x v="4"/>
    <x v="7"/>
    <s v="NO3_A2"/>
    <x v="0"/>
    <x v="10"/>
    <x v="0"/>
    <x v="0"/>
  </r>
  <r>
    <x v="0"/>
    <x v="0"/>
    <x v="0"/>
    <x v="4"/>
    <x v="7"/>
    <s v="NO3_A2"/>
    <x v="0"/>
    <x v="11"/>
    <x v="0"/>
    <x v="0"/>
  </r>
  <r>
    <x v="0"/>
    <x v="0"/>
    <x v="0"/>
    <x v="4"/>
    <x v="7"/>
    <s v="NO3_A2"/>
    <x v="1"/>
    <x v="0"/>
    <x v="0"/>
    <x v="0"/>
  </r>
  <r>
    <x v="0"/>
    <x v="0"/>
    <x v="0"/>
    <x v="4"/>
    <x v="7"/>
    <s v="NO3_A2"/>
    <x v="1"/>
    <x v="1"/>
    <x v="0"/>
    <x v="0"/>
  </r>
  <r>
    <x v="0"/>
    <x v="0"/>
    <x v="0"/>
    <x v="4"/>
    <x v="7"/>
    <s v="NO3_A2"/>
    <x v="1"/>
    <x v="2"/>
    <x v="0"/>
    <x v="0"/>
  </r>
  <r>
    <x v="0"/>
    <x v="0"/>
    <x v="0"/>
    <x v="4"/>
    <x v="7"/>
    <s v="NO3_A2"/>
    <x v="1"/>
    <x v="3"/>
    <x v="0"/>
    <x v="0"/>
  </r>
  <r>
    <x v="0"/>
    <x v="0"/>
    <x v="0"/>
    <x v="4"/>
    <x v="7"/>
    <s v="NO3_A2"/>
    <x v="1"/>
    <x v="4"/>
    <x v="0"/>
    <x v="0"/>
  </r>
  <r>
    <x v="0"/>
    <x v="0"/>
    <x v="0"/>
    <x v="4"/>
    <x v="7"/>
    <s v="NO3_A2"/>
    <x v="1"/>
    <x v="5"/>
    <x v="0"/>
    <x v="0"/>
  </r>
  <r>
    <x v="0"/>
    <x v="0"/>
    <x v="0"/>
    <x v="4"/>
    <x v="7"/>
    <s v="NO3_A2"/>
    <x v="1"/>
    <x v="6"/>
    <x v="0"/>
    <x v="0"/>
  </r>
  <r>
    <x v="0"/>
    <x v="0"/>
    <x v="0"/>
    <x v="4"/>
    <x v="7"/>
    <s v="NO3_A2"/>
    <x v="1"/>
    <x v="7"/>
    <x v="0"/>
    <x v="0"/>
  </r>
  <r>
    <x v="0"/>
    <x v="0"/>
    <x v="0"/>
    <x v="4"/>
    <x v="7"/>
    <s v="NO3_A2"/>
    <x v="1"/>
    <x v="8"/>
    <x v="0"/>
    <x v="0"/>
  </r>
  <r>
    <x v="0"/>
    <x v="0"/>
    <x v="0"/>
    <x v="4"/>
    <x v="7"/>
    <s v="NO3_A2"/>
    <x v="1"/>
    <x v="9"/>
    <x v="0"/>
    <x v="0"/>
  </r>
  <r>
    <x v="0"/>
    <x v="0"/>
    <x v="0"/>
    <x v="4"/>
    <x v="7"/>
    <s v="NO3_A2"/>
    <x v="1"/>
    <x v="10"/>
    <x v="0"/>
    <x v="0"/>
  </r>
  <r>
    <x v="0"/>
    <x v="0"/>
    <x v="0"/>
    <x v="4"/>
    <x v="7"/>
    <s v="NO3_A2"/>
    <x v="1"/>
    <x v="11"/>
    <x v="0"/>
    <x v="0"/>
  </r>
  <r>
    <x v="0"/>
    <x v="0"/>
    <x v="0"/>
    <x v="4"/>
    <x v="7"/>
    <s v="NO3_A2"/>
    <x v="2"/>
    <x v="0"/>
    <x v="0"/>
    <x v="0"/>
  </r>
  <r>
    <x v="0"/>
    <x v="0"/>
    <x v="0"/>
    <x v="4"/>
    <x v="7"/>
    <s v="NO3_A2"/>
    <x v="2"/>
    <x v="1"/>
    <x v="0"/>
    <x v="0"/>
  </r>
  <r>
    <x v="0"/>
    <x v="0"/>
    <x v="0"/>
    <x v="4"/>
    <x v="7"/>
    <s v="NO3_A2"/>
    <x v="2"/>
    <x v="2"/>
    <x v="0"/>
    <x v="0"/>
  </r>
  <r>
    <x v="0"/>
    <x v="0"/>
    <x v="0"/>
    <x v="4"/>
    <x v="7"/>
    <s v="NO3_A2"/>
    <x v="2"/>
    <x v="3"/>
    <x v="0"/>
    <x v="0"/>
  </r>
  <r>
    <x v="0"/>
    <x v="0"/>
    <x v="0"/>
    <x v="4"/>
    <x v="7"/>
    <s v="NO3_A2"/>
    <x v="2"/>
    <x v="4"/>
    <x v="0"/>
    <x v="0"/>
  </r>
  <r>
    <x v="0"/>
    <x v="0"/>
    <x v="0"/>
    <x v="4"/>
    <x v="7"/>
    <s v="NO3_A2"/>
    <x v="2"/>
    <x v="5"/>
    <x v="0"/>
    <x v="0"/>
  </r>
  <r>
    <x v="0"/>
    <x v="0"/>
    <x v="0"/>
    <x v="4"/>
    <x v="7"/>
    <s v="NO3_A2"/>
    <x v="2"/>
    <x v="6"/>
    <x v="0"/>
    <x v="0"/>
  </r>
  <r>
    <x v="0"/>
    <x v="0"/>
    <x v="0"/>
    <x v="4"/>
    <x v="7"/>
    <s v="NO3_A2"/>
    <x v="2"/>
    <x v="7"/>
    <x v="0"/>
    <x v="0"/>
  </r>
  <r>
    <x v="0"/>
    <x v="0"/>
    <x v="0"/>
    <x v="4"/>
    <x v="7"/>
    <s v="NO3_A2"/>
    <x v="2"/>
    <x v="8"/>
    <x v="0"/>
    <x v="0"/>
  </r>
  <r>
    <x v="0"/>
    <x v="0"/>
    <x v="0"/>
    <x v="4"/>
    <x v="7"/>
    <s v="NO3_A2"/>
    <x v="2"/>
    <x v="9"/>
    <x v="0"/>
    <x v="0"/>
  </r>
  <r>
    <x v="0"/>
    <x v="0"/>
    <x v="0"/>
    <x v="4"/>
    <x v="7"/>
    <s v="NO3_A2"/>
    <x v="2"/>
    <x v="10"/>
    <x v="0"/>
    <x v="0"/>
  </r>
  <r>
    <x v="0"/>
    <x v="0"/>
    <x v="0"/>
    <x v="4"/>
    <x v="7"/>
    <s v="NO3_A2"/>
    <x v="2"/>
    <x v="11"/>
    <x v="0"/>
    <x v="0"/>
  </r>
  <r>
    <x v="0"/>
    <x v="0"/>
    <x v="0"/>
    <x v="4"/>
    <x v="7"/>
    <s v="NO3_A2"/>
    <x v="3"/>
    <x v="0"/>
    <x v="0"/>
    <x v="0"/>
  </r>
  <r>
    <x v="0"/>
    <x v="0"/>
    <x v="0"/>
    <x v="4"/>
    <x v="7"/>
    <s v="NO3_A2"/>
    <x v="3"/>
    <x v="1"/>
    <x v="0"/>
    <x v="0"/>
  </r>
  <r>
    <x v="0"/>
    <x v="0"/>
    <x v="0"/>
    <x v="4"/>
    <x v="7"/>
    <s v="NO3_A2"/>
    <x v="3"/>
    <x v="2"/>
    <x v="0"/>
    <x v="0"/>
  </r>
  <r>
    <x v="0"/>
    <x v="0"/>
    <x v="0"/>
    <x v="4"/>
    <x v="7"/>
    <s v="NO3_A2"/>
    <x v="3"/>
    <x v="3"/>
    <x v="0"/>
    <x v="0"/>
  </r>
  <r>
    <x v="0"/>
    <x v="0"/>
    <x v="0"/>
    <x v="4"/>
    <x v="7"/>
    <s v="NO3_A2"/>
    <x v="3"/>
    <x v="4"/>
    <x v="0"/>
    <x v="0"/>
  </r>
  <r>
    <x v="0"/>
    <x v="0"/>
    <x v="0"/>
    <x v="4"/>
    <x v="7"/>
    <s v="NO3_A2"/>
    <x v="3"/>
    <x v="5"/>
    <x v="0"/>
    <x v="0"/>
  </r>
  <r>
    <x v="0"/>
    <x v="0"/>
    <x v="0"/>
    <x v="4"/>
    <x v="7"/>
    <s v="NO3_A2"/>
    <x v="3"/>
    <x v="6"/>
    <x v="0"/>
    <x v="0"/>
  </r>
  <r>
    <x v="0"/>
    <x v="0"/>
    <x v="0"/>
    <x v="4"/>
    <x v="7"/>
    <s v="NO3_A2"/>
    <x v="3"/>
    <x v="7"/>
    <x v="0"/>
    <x v="0"/>
  </r>
  <r>
    <x v="0"/>
    <x v="0"/>
    <x v="0"/>
    <x v="4"/>
    <x v="7"/>
    <s v="NO3_A2"/>
    <x v="3"/>
    <x v="8"/>
    <x v="0"/>
    <x v="0"/>
  </r>
  <r>
    <x v="0"/>
    <x v="0"/>
    <x v="0"/>
    <x v="4"/>
    <x v="7"/>
    <s v="NO3_A2"/>
    <x v="3"/>
    <x v="9"/>
    <x v="0"/>
    <x v="0"/>
  </r>
  <r>
    <x v="0"/>
    <x v="0"/>
    <x v="0"/>
    <x v="4"/>
    <x v="7"/>
    <s v="NO3_A2"/>
    <x v="3"/>
    <x v="10"/>
    <x v="0"/>
    <x v="0"/>
  </r>
  <r>
    <x v="0"/>
    <x v="0"/>
    <x v="0"/>
    <x v="4"/>
    <x v="7"/>
    <s v="NO3_A2"/>
    <x v="3"/>
    <x v="11"/>
    <x v="0"/>
    <x v="0"/>
  </r>
  <r>
    <x v="0"/>
    <x v="0"/>
    <x v="0"/>
    <x v="4"/>
    <x v="7"/>
    <s v="NO3_A2"/>
    <x v="4"/>
    <x v="0"/>
    <x v="0"/>
    <x v="0"/>
  </r>
  <r>
    <x v="0"/>
    <x v="0"/>
    <x v="0"/>
    <x v="4"/>
    <x v="7"/>
    <s v="NO3_A2"/>
    <x v="4"/>
    <x v="1"/>
    <x v="0"/>
    <x v="0"/>
  </r>
  <r>
    <x v="0"/>
    <x v="0"/>
    <x v="0"/>
    <x v="4"/>
    <x v="7"/>
    <s v="NO3_A2"/>
    <x v="4"/>
    <x v="2"/>
    <x v="0"/>
    <x v="0"/>
  </r>
  <r>
    <x v="0"/>
    <x v="0"/>
    <x v="0"/>
    <x v="4"/>
    <x v="7"/>
    <s v="NO3_A2"/>
    <x v="4"/>
    <x v="3"/>
    <x v="0"/>
    <x v="0"/>
  </r>
  <r>
    <x v="0"/>
    <x v="0"/>
    <x v="0"/>
    <x v="4"/>
    <x v="7"/>
    <s v="NO3_A2"/>
    <x v="4"/>
    <x v="4"/>
    <x v="0"/>
    <x v="0"/>
  </r>
  <r>
    <x v="0"/>
    <x v="0"/>
    <x v="0"/>
    <x v="4"/>
    <x v="7"/>
    <s v="NO3_A2"/>
    <x v="4"/>
    <x v="5"/>
    <x v="0"/>
    <x v="0"/>
  </r>
  <r>
    <x v="0"/>
    <x v="0"/>
    <x v="0"/>
    <x v="4"/>
    <x v="7"/>
    <s v="NO3_A2"/>
    <x v="4"/>
    <x v="6"/>
    <x v="0"/>
    <x v="0"/>
  </r>
  <r>
    <x v="0"/>
    <x v="0"/>
    <x v="0"/>
    <x v="4"/>
    <x v="7"/>
    <s v="NO3_A2"/>
    <x v="4"/>
    <x v="7"/>
    <x v="0"/>
    <x v="0"/>
  </r>
  <r>
    <x v="0"/>
    <x v="0"/>
    <x v="0"/>
    <x v="4"/>
    <x v="7"/>
    <s v="NO3_A2"/>
    <x v="4"/>
    <x v="8"/>
    <x v="0"/>
    <x v="0"/>
  </r>
  <r>
    <x v="0"/>
    <x v="0"/>
    <x v="0"/>
    <x v="4"/>
    <x v="7"/>
    <s v="NO3_A2"/>
    <x v="4"/>
    <x v="9"/>
    <x v="0"/>
    <x v="0"/>
  </r>
  <r>
    <x v="0"/>
    <x v="0"/>
    <x v="0"/>
    <x v="4"/>
    <x v="7"/>
    <s v="NO3_A2"/>
    <x v="4"/>
    <x v="10"/>
    <x v="0"/>
    <x v="0"/>
  </r>
  <r>
    <x v="0"/>
    <x v="0"/>
    <x v="0"/>
    <x v="4"/>
    <x v="7"/>
    <s v="NO3_A2"/>
    <x v="4"/>
    <x v="11"/>
    <x v="0"/>
    <x v="0"/>
  </r>
  <r>
    <x v="0"/>
    <x v="0"/>
    <x v="0"/>
    <x v="4"/>
    <x v="7"/>
    <s v="NO3_A2"/>
    <x v="5"/>
    <x v="0"/>
    <x v="0"/>
    <x v="0"/>
  </r>
  <r>
    <x v="0"/>
    <x v="0"/>
    <x v="0"/>
    <x v="4"/>
    <x v="7"/>
    <s v="NO3_A2"/>
    <x v="5"/>
    <x v="1"/>
    <x v="0"/>
    <x v="0"/>
  </r>
  <r>
    <x v="0"/>
    <x v="0"/>
    <x v="0"/>
    <x v="4"/>
    <x v="7"/>
    <s v="NO3_A2"/>
    <x v="5"/>
    <x v="2"/>
    <x v="0"/>
    <x v="0"/>
  </r>
  <r>
    <x v="0"/>
    <x v="0"/>
    <x v="0"/>
    <x v="4"/>
    <x v="7"/>
    <s v="NO3_A2"/>
    <x v="5"/>
    <x v="3"/>
    <x v="0"/>
    <x v="0"/>
  </r>
  <r>
    <x v="0"/>
    <x v="0"/>
    <x v="0"/>
    <x v="4"/>
    <x v="7"/>
    <s v="NO3_A2"/>
    <x v="5"/>
    <x v="4"/>
    <x v="0"/>
    <x v="0"/>
  </r>
  <r>
    <x v="0"/>
    <x v="0"/>
    <x v="0"/>
    <x v="4"/>
    <x v="7"/>
    <s v="NO3_A2"/>
    <x v="5"/>
    <x v="5"/>
    <x v="0"/>
    <x v="0"/>
  </r>
  <r>
    <x v="0"/>
    <x v="0"/>
    <x v="0"/>
    <x v="4"/>
    <x v="7"/>
    <s v="NO3_A2"/>
    <x v="5"/>
    <x v="6"/>
    <x v="0"/>
    <x v="0"/>
  </r>
  <r>
    <x v="0"/>
    <x v="0"/>
    <x v="0"/>
    <x v="4"/>
    <x v="7"/>
    <s v="NO3_A2"/>
    <x v="5"/>
    <x v="7"/>
    <x v="0"/>
    <x v="0"/>
  </r>
  <r>
    <x v="0"/>
    <x v="0"/>
    <x v="0"/>
    <x v="4"/>
    <x v="7"/>
    <s v="NO3_A2"/>
    <x v="5"/>
    <x v="8"/>
    <x v="0"/>
    <x v="0"/>
  </r>
  <r>
    <x v="0"/>
    <x v="0"/>
    <x v="0"/>
    <x v="4"/>
    <x v="7"/>
    <s v="NO3_A2"/>
    <x v="5"/>
    <x v="9"/>
    <x v="0"/>
    <x v="0"/>
  </r>
  <r>
    <x v="0"/>
    <x v="0"/>
    <x v="0"/>
    <x v="4"/>
    <x v="7"/>
    <s v="NO3_A2"/>
    <x v="5"/>
    <x v="10"/>
    <x v="0"/>
    <x v="0"/>
  </r>
  <r>
    <x v="0"/>
    <x v="0"/>
    <x v="0"/>
    <x v="4"/>
    <x v="7"/>
    <s v="NO3_A2"/>
    <x v="5"/>
    <x v="11"/>
    <x v="0"/>
    <x v="0"/>
  </r>
  <r>
    <x v="0"/>
    <x v="0"/>
    <x v="0"/>
    <x v="4"/>
    <x v="7"/>
    <s v="NO3_A2"/>
    <x v="6"/>
    <x v="0"/>
    <x v="0"/>
    <x v="0"/>
  </r>
  <r>
    <x v="0"/>
    <x v="0"/>
    <x v="0"/>
    <x v="4"/>
    <x v="7"/>
    <s v="NO3_A2"/>
    <x v="6"/>
    <x v="1"/>
    <x v="0"/>
    <x v="0"/>
  </r>
  <r>
    <x v="0"/>
    <x v="0"/>
    <x v="0"/>
    <x v="4"/>
    <x v="7"/>
    <s v="NO3_A2"/>
    <x v="6"/>
    <x v="2"/>
    <x v="0"/>
    <x v="0"/>
  </r>
  <r>
    <x v="0"/>
    <x v="0"/>
    <x v="0"/>
    <x v="4"/>
    <x v="7"/>
    <s v="NO3_A2"/>
    <x v="6"/>
    <x v="3"/>
    <x v="0"/>
    <x v="0"/>
  </r>
  <r>
    <x v="0"/>
    <x v="0"/>
    <x v="0"/>
    <x v="4"/>
    <x v="7"/>
    <s v="NO3_A2"/>
    <x v="6"/>
    <x v="4"/>
    <x v="0"/>
    <x v="0"/>
  </r>
  <r>
    <x v="0"/>
    <x v="0"/>
    <x v="0"/>
    <x v="4"/>
    <x v="7"/>
    <s v="NO3_A2"/>
    <x v="6"/>
    <x v="5"/>
    <x v="0"/>
    <x v="0"/>
  </r>
  <r>
    <x v="0"/>
    <x v="0"/>
    <x v="0"/>
    <x v="4"/>
    <x v="7"/>
    <s v="NO3_A2"/>
    <x v="6"/>
    <x v="6"/>
    <x v="0"/>
    <x v="0"/>
  </r>
  <r>
    <x v="0"/>
    <x v="0"/>
    <x v="0"/>
    <x v="4"/>
    <x v="7"/>
    <s v="NO3_A2"/>
    <x v="6"/>
    <x v="7"/>
    <x v="0"/>
    <x v="0"/>
  </r>
  <r>
    <x v="0"/>
    <x v="0"/>
    <x v="0"/>
    <x v="4"/>
    <x v="7"/>
    <s v="NO3_A2"/>
    <x v="6"/>
    <x v="8"/>
    <x v="0"/>
    <x v="0"/>
  </r>
  <r>
    <x v="0"/>
    <x v="0"/>
    <x v="0"/>
    <x v="4"/>
    <x v="7"/>
    <s v="NO3_A2"/>
    <x v="6"/>
    <x v="9"/>
    <x v="0"/>
    <x v="0"/>
  </r>
  <r>
    <x v="0"/>
    <x v="0"/>
    <x v="0"/>
    <x v="4"/>
    <x v="7"/>
    <s v="NO3_A2"/>
    <x v="6"/>
    <x v="10"/>
    <x v="0"/>
    <x v="0"/>
  </r>
  <r>
    <x v="0"/>
    <x v="0"/>
    <x v="0"/>
    <x v="4"/>
    <x v="7"/>
    <s v="NO3_A2"/>
    <x v="6"/>
    <x v="11"/>
    <x v="0"/>
    <x v="0"/>
  </r>
  <r>
    <x v="0"/>
    <x v="0"/>
    <x v="0"/>
    <x v="4"/>
    <x v="7"/>
    <s v="NO3_A2"/>
    <x v="7"/>
    <x v="0"/>
    <x v="0"/>
    <x v="0"/>
  </r>
  <r>
    <x v="0"/>
    <x v="0"/>
    <x v="0"/>
    <x v="4"/>
    <x v="7"/>
    <s v="NO3_A2"/>
    <x v="7"/>
    <x v="1"/>
    <x v="0"/>
    <x v="0"/>
  </r>
  <r>
    <x v="0"/>
    <x v="0"/>
    <x v="0"/>
    <x v="4"/>
    <x v="7"/>
    <s v="NO3_A2"/>
    <x v="7"/>
    <x v="2"/>
    <x v="0"/>
    <x v="0"/>
  </r>
  <r>
    <x v="0"/>
    <x v="0"/>
    <x v="0"/>
    <x v="4"/>
    <x v="7"/>
    <s v="NO3_A2"/>
    <x v="7"/>
    <x v="3"/>
    <x v="0"/>
    <x v="0"/>
  </r>
  <r>
    <x v="0"/>
    <x v="0"/>
    <x v="0"/>
    <x v="4"/>
    <x v="7"/>
    <s v="NO3_A2"/>
    <x v="7"/>
    <x v="4"/>
    <x v="0"/>
    <x v="0"/>
  </r>
  <r>
    <x v="0"/>
    <x v="0"/>
    <x v="0"/>
    <x v="4"/>
    <x v="7"/>
    <s v="NO3_A2"/>
    <x v="7"/>
    <x v="5"/>
    <x v="0"/>
    <x v="0"/>
  </r>
  <r>
    <x v="0"/>
    <x v="0"/>
    <x v="0"/>
    <x v="4"/>
    <x v="7"/>
    <s v="NO3_A2"/>
    <x v="7"/>
    <x v="6"/>
    <x v="0"/>
    <x v="0"/>
  </r>
  <r>
    <x v="0"/>
    <x v="0"/>
    <x v="0"/>
    <x v="4"/>
    <x v="7"/>
    <s v="NO3_A2"/>
    <x v="7"/>
    <x v="7"/>
    <x v="0"/>
    <x v="0"/>
  </r>
  <r>
    <x v="0"/>
    <x v="0"/>
    <x v="0"/>
    <x v="4"/>
    <x v="7"/>
    <s v="NO3_A2"/>
    <x v="7"/>
    <x v="8"/>
    <x v="0"/>
    <x v="0"/>
  </r>
  <r>
    <x v="0"/>
    <x v="0"/>
    <x v="0"/>
    <x v="4"/>
    <x v="7"/>
    <s v="NO3_A2"/>
    <x v="7"/>
    <x v="9"/>
    <x v="0"/>
    <x v="0"/>
  </r>
  <r>
    <x v="0"/>
    <x v="0"/>
    <x v="0"/>
    <x v="4"/>
    <x v="7"/>
    <s v="NO3_A2"/>
    <x v="7"/>
    <x v="10"/>
    <x v="0"/>
    <x v="0"/>
  </r>
  <r>
    <x v="0"/>
    <x v="0"/>
    <x v="0"/>
    <x v="4"/>
    <x v="7"/>
    <s v="NO3_A2"/>
    <x v="7"/>
    <x v="11"/>
    <x v="0"/>
    <x v="0"/>
  </r>
  <r>
    <x v="0"/>
    <x v="0"/>
    <x v="0"/>
    <x v="4"/>
    <x v="7"/>
    <s v="NO3_A2"/>
    <x v="8"/>
    <x v="0"/>
    <x v="0"/>
    <x v="0"/>
  </r>
  <r>
    <x v="0"/>
    <x v="0"/>
    <x v="0"/>
    <x v="4"/>
    <x v="7"/>
    <s v="NO3_A2"/>
    <x v="8"/>
    <x v="1"/>
    <x v="0"/>
    <x v="0"/>
  </r>
  <r>
    <x v="0"/>
    <x v="0"/>
    <x v="0"/>
    <x v="4"/>
    <x v="7"/>
    <s v="NO3_A2"/>
    <x v="8"/>
    <x v="2"/>
    <x v="0"/>
    <x v="0"/>
  </r>
  <r>
    <x v="0"/>
    <x v="0"/>
    <x v="0"/>
    <x v="4"/>
    <x v="7"/>
    <s v="NO3_A2"/>
    <x v="8"/>
    <x v="3"/>
    <x v="0"/>
    <x v="0"/>
  </r>
  <r>
    <x v="0"/>
    <x v="0"/>
    <x v="0"/>
    <x v="4"/>
    <x v="7"/>
    <s v="NO3_A2"/>
    <x v="8"/>
    <x v="4"/>
    <x v="0"/>
    <x v="0"/>
  </r>
  <r>
    <x v="0"/>
    <x v="0"/>
    <x v="0"/>
    <x v="4"/>
    <x v="7"/>
    <s v="NO3_A2"/>
    <x v="8"/>
    <x v="5"/>
    <x v="0"/>
    <x v="0"/>
  </r>
  <r>
    <x v="0"/>
    <x v="0"/>
    <x v="0"/>
    <x v="4"/>
    <x v="7"/>
    <s v="NO3_A2"/>
    <x v="8"/>
    <x v="6"/>
    <x v="0"/>
    <x v="0"/>
  </r>
  <r>
    <x v="0"/>
    <x v="0"/>
    <x v="0"/>
    <x v="4"/>
    <x v="7"/>
    <s v="NO3_A2"/>
    <x v="8"/>
    <x v="7"/>
    <x v="0"/>
    <x v="0"/>
  </r>
  <r>
    <x v="0"/>
    <x v="0"/>
    <x v="0"/>
    <x v="4"/>
    <x v="7"/>
    <s v="NO3_A2"/>
    <x v="8"/>
    <x v="8"/>
    <x v="0"/>
    <x v="0"/>
  </r>
  <r>
    <x v="0"/>
    <x v="0"/>
    <x v="0"/>
    <x v="4"/>
    <x v="7"/>
    <s v="NO3_A2"/>
    <x v="8"/>
    <x v="9"/>
    <x v="0"/>
    <x v="0"/>
  </r>
  <r>
    <x v="0"/>
    <x v="0"/>
    <x v="0"/>
    <x v="4"/>
    <x v="7"/>
    <s v="NO3_A2"/>
    <x v="8"/>
    <x v="10"/>
    <x v="0"/>
    <x v="0"/>
  </r>
  <r>
    <x v="0"/>
    <x v="0"/>
    <x v="0"/>
    <x v="4"/>
    <x v="7"/>
    <s v="NO3_A2"/>
    <x v="8"/>
    <x v="11"/>
    <x v="0"/>
    <x v="0"/>
  </r>
  <r>
    <x v="0"/>
    <x v="0"/>
    <x v="0"/>
    <x v="4"/>
    <x v="7"/>
    <s v="NO3_A2"/>
    <x v="9"/>
    <x v="0"/>
    <x v="0"/>
    <x v="0"/>
  </r>
  <r>
    <x v="0"/>
    <x v="0"/>
    <x v="0"/>
    <x v="4"/>
    <x v="7"/>
    <s v="NO3_A2"/>
    <x v="9"/>
    <x v="1"/>
    <x v="0"/>
    <x v="0"/>
  </r>
  <r>
    <x v="0"/>
    <x v="0"/>
    <x v="0"/>
    <x v="4"/>
    <x v="7"/>
    <s v="NO3_A2"/>
    <x v="9"/>
    <x v="2"/>
    <x v="0"/>
    <x v="0"/>
  </r>
  <r>
    <x v="0"/>
    <x v="0"/>
    <x v="0"/>
    <x v="4"/>
    <x v="7"/>
    <s v="NO3_A2"/>
    <x v="9"/>
    <x v="3"/>
    <x v="0"/>
    <x v="0"/>
  </r>
  <r>
    <x v="0"/>
    <x v="0"/>
    <x v="0"/>
    <x v="4"/>
    <x v="7"/>
    <s v="NO3_A2"/>
    <x v="9"/>
    <x v="4"/>
    <x v="0"/>
    <x v="0"/>
  </r>
  <r>
    <x v="0"/>
    <x v="0"/>
    <x v="0"/>
    <x v="4"/>
    <x v="7"/>
    <s v="NO3_A2"/>
    <x v="9"/>
    <x v="5"/>
    <x v="0"/>
    <x v="0"/>
  </r>
  <r>
    <x v="0"/>
    <x v="0"/>
    <x v="0"/>
    <x v="4"/>
    <x v="7"/>
    <s v="NO3_A2"/>
    <x v="9"/>
    <x v="6"/>
    <x v="0"/>
    <x v="0"/>
  </r>
  <r>
    <x v="0"/>
    <x v="0"/>
    <x v="0"/>
    <x v="4"/>
    <x v="7"/>
    <s v="NO3_A2"/>
    <x v="9"/>
    <x v="7"/>
    <x v="0"/>
    <x v="0"/>
  </r>
  <r>
    <x v="0"/>
    <x v="0"/>
    <x v="0"/>
    <x v="4"/>
    <x v="7"/>
    <s v="NO3_A2"/>
    <x v="9"/>
    <x v="8"/>
    <x v="0"/>
    <x v="0"/>
  </r>
  <r>
    <x v="0"/>
    <x v="0"/>
    <x v="0"/>
    <x v="4"/>
    <x v="7"/>
    <s v="NO3_A2"/>
    <x v="9"/>
    <x v="9"/>
    <x v="0"/>
    <x v="0"/>
  </r>
  <r>
    <x v="0"/>
    <x v="0"/>
    <x v="0"/>
    <x v="4"/>
    <x v="7"/>
    <s v="NO3_A2"/>
    <x v="9"/>
    <x v="10"/>
    <x v="0"/>
    <x v="0"/>
  </r>
  <r>
    <x v="0"/>
    <x v="0"/>
    <x v="0"/>
    <x v="4"/>
    <x v="7"/>
    <s v="NO3_A2"/>
    <x v="9"/>
    <x v="11"/>
    <x v="0"/>
    <x v="0"/>
  </r>
  <r>
    <x v="0"/>
    <x v="0"/>
    <x v="0"/>
    <x v="4"/>
    <x v="7"/>
    <s v="NO3_A2"/>
    <x v="10"/>
    <x v="0"/>
    <x v="0"/>
    <x v="0"/>
  </r>
  <r>
    <x v="0"/>
    <x v="0"/>
    <x v="0"/>
    <x v="4"/>
    <x v="7"/>
    <s v="NO3_A2"/>
    <x v="10"/>
    <x v="1"/>
    <x v="0"/>
    <x v="0"/>
  </r>
  <r>
    <x v="0"/>
    <x v="0"/>
    <x v="0"/>
    <x v="4"/>
    <x v="7"/>
    <s v="NO3_A2"/>
    <x v="10"/>
    <x v="2"/>
    <x v="0"/>
    <x v="0"/>
  </r>
  <r>
    <x v="0"/>
    <x v="0"/>
    <x v="0"/>
    <x v="4"/>
    <x v="7"/>
    <s v="NO3_A2"/>
    <x v="10"/>
    <x v="3"/>
    <x v="0"/>
    <x v="0"/>
  </r>
  <r>
    <x v="0"/>
    <x v="0"/>
    <x v="0"/>
    <x v="4"/>
    <x v="7"/>
    <s v="NO3_A2"/>
    <x v="10"/>
    <x v="4"/>
    <x v="0"/>
    <x v="0"/>
  </r>
  <r>
    <x v="0"/>
    <x v="0"/>
    <x v="0"/>
    <x v="4"/>
    <x v="7"/>
    <s v="NO3_A2"/>
    <x v="10"/>
    <x v="5"/>
    <x v="0"/>
    <x v="0"/>
  </r>
  <r>
    <x v="0"/>
    <x v="0"/>
    <x v="0"/>
    <x v="4"/>
    <x v="7"/>
    <s v="NO3_A2"/>
    <x v="10"/>
    <x v="6"/>
    <x v="0"/>
    <x v="0"/>
  </r>
  <r>
    <x v="0"/>
    <x v="0"/>
    <x v="0"/>
    <x v="4"/>
    <x v="7"/>
    <s v="NO3_A2"/>
    <x v="10"/>
    <x v="7"/>
    <x v="0"/>
    <x v="0"/>
  </r>
  <r>
    <x v="0"/>
    <x v="0"/>
    <x v="0"/>
    <x v="4"/>
    <x v="7"/>
    <s v="NO3_A2"/>
    <x v="10"/>
    <x v="8"/>
    <x v="0"/>
    <x v="0"/>
  </r>
  <r>
    <x v="0"/>
    <x v="0"/>
    <x v="0"/>
    <x v="4"/>
    <x v="7"/>
    <s v="NO3_A2"/>
    <x v="10"/>
    <x v="9"/>
    <x v="0"/>
    <x v="0"/>
  </r>
  <r>
    <x v="0"/>
    <x v="0"/>
    <x v="0"/>
    <x v="4"/>
    <x v="7"/>
    <s v="NO3_A2"/>
    <x v="10"/>
    <x v="10"/>
    <x v="0"/>
    <x v="0"/>
  </r>
  <r>
    <x v="0"/>
    <x v="0"/>
    <x v="0"/>
    <x v="4"/>
    <x v="7"/>
    <s v="NO3_A2"/>
    <x v="10"/>
    <x v="11"/>
    <x v="0"/>
    <x v="0"/>
  </r>
  <r>
    <x v="0"/>
    <x v="0"/>
    <x v="0"/>
    <x v="4"/>
    <x v="7"/>
    <s v="NO3_A2"/>
    <x v="11"/>
    <x v="0"/>
    <x v="0"/>
    <x v="0"/>
  </r>
  <r>
    <x v="0"/>
    <x v="0"/>
    <x v="0"/>
    <x v="4"/>
    <x v="7"/>
    <s v="NO3_A2"/>
    <x v="11"/>
    <x v="1"/>
    <x v="0"/>
    <x v="0"/>
  </r>
  <r>
    <x v="0"/>
    <x v="0"/>
    <x v="0"/>
    <x v="4"/>
    <x v="7"/>
    <s v="NO3_A2"/>
    <x v="11"/>
    <x v="2"/>
    <x v="0"/>
    <x v="0"/>
  </r>
  <r>
    <x v="0"/>
    <x v="0"/>
    <x v="0"/>
    <x v="4"/>
    <x v="7"/>
    <s v="NO3_A2"/>
    <x v="11"/>
    <x v="3"/>
    <x v="0"/>
    <x v="0"/>
  </r>
  <r>
    <x v="0"/>
    <x v="0"/>
    <x v="0"/>
    <x v="4"/>
    <x v="7"/>
    <s v="NO3_A2"/>
    <x v="11"/>
    <x v="4"/>
    <x v="0"/>
    <x v="0"/>
  </r>
  <r>
    <x v="0"/>
    <x v="0"/>
    <x v="0"/>
    <x v="4"/>
    <x v="7"/>
    <s v="NO3_A2"/>
    <x v="11"/>
    <x v="5"/>
    <x v="0"/>
    <x v="0"/>
  </r>
  <r>
    <x v="0"/>
    <x v="0"/>
    <x v="0"/>
    <x v="4"/>
    <x v="7"/>
    <s v="NO3_A2"/>
    <x v="11"/>
    <x v="6"/>
    <x v="0"/>
    <x v="0"/>
  </r>
  <r>
    <x v="0"/>
    <x v="0"/>
    <x v="0"/>
    <x v="4"/>
    <x v="7"/>
    <s v="NO3_A2"/>
    <x v="11"/>
    <x v="7"/>
    <x v="0"/>
    <x v="0"/>
  </r>
  <r>
    <x v="0"/>
    <x v="0"/>
    <x v="0"/>
    <x v="4"/>
    <x v="7"/>
    <s v="NO3_A2"/>
    <x v="11"/>
    <x v="8"/>
    <x v="0"/>
    <x v="0"/>
  </r>
  <r>
    <x v="0"/>
    <x v="0"/>
    <x v="0"/>
    <x v="4"/>
    <x v="7"/>
    <s v="NO3_A2"/>
    <x v="11"/>
    <x v="9"/>
    <x v="0"/>
    <x v="0"/>
  </r>
  <r>
    <x v="0"/>
    <x v="0"/>
    <x v="0"/>
    <x v="4"/>
    <x v="7"/>
    <s v="NO3_A2"/>
    <x v="11"/>
    <x v="10"/>
    <x v="0"/>
    <x v="0"/>
  </r>
  <r>
    <x v="0"/>
    <x v="0"/>
    <x v="0"/>
    <x v="4"/>
    <x v="7"/>
    <s v="NO3_A2"/>
    <x v="11"/>
    <x v="11"/>
    <x v="0"/>
    <x v="0"/>
  </r>
  <r>
    <x v="0"/>
    <x v="0"/>
    <x v="0"/>
    <x v="4"/>
    <x v="8"/>
    <s v="NO4_A1"/>
    <x v="0"/>
    <x v="0"/>
    <x v="0"/>
    <x v="0"/>
  </r>
  <r>
    <x v="0"/>
    <x v="0"/>
    <x v="0"/>
    <x v="4"/>
    <x v="8"/>
    <s v="NO4_A1"/>
    <x v="0"/>
    <x v="1"/>
    <x v="0"/>
    <x v="0"/>
  </r>
  <r>
    <x v="0"/>
    <x v="0"/>
    <x v="0"/>
    <x v="4"/>
    <x v="8"/>
    <s v="NO4_A1"/>
    <x v="0"/>
    <x v="2"/>
    <x v="0"/>
    <x v="0"/>
  </r>
  <r>
    <x v="0"/>
    <x v="0"/>
    <x v="0"/>
    <x v="4"/>
    <x v="8"/>
    <s v="NO4_A1"/>
    <x v="0"/>
    <x v="3"/>
    <x v="0"/>
    <x v="0"/>
  </r>
  <r>
    <x v="0"/>
    <x v="0"/>
    <x v="0"/>
    <x v="4"/>
    <x v="8"/>
    <s v="NO4_A1"/>
    <x v="0"/>
    <x v="4"/>
    <x v="0"/>
    <x v="0"/>
  </r>
  <r>
    <x v="0"/>
    <x v="0"/>
    <x v="0"/>
    <x v="4"/>
    <x v="8"/>
    <s v="NO4_A1"/>
    <x v="0"/>
    <x v="5"/>
    <x v="0"/>
    <x v="0"/>
  </r>
  <r>
    <x v="0"/>
    <x v="0"/>
    <x v="0"/>
    <x v="4"/>
    <x v="8"/>
    <s v="NO4_A1"/>
    <x v="0"/>
    <x v="6"/>
    <x v="0"/>
    <x v="0"/>
  </r>
  <r>
    <x v="0"/>
    <x v="0"/>
    <x v="0"/>
    <x v="4"/>
    <x v="8"/>
    <s v="NO4_A1"/>
    <x v="0"/>
    <x v="7"/>
    <x v="0"/>
    <x v="0"/>
  </r>
  <r>
    <x v="0"/>
    <x v="0"/>
    <x v="0"/>
    <x v="4"/>
    <x v="8"/>
    <s v="NO4_A1"/>
    <x v="0"/>
    <x v="8"/>
    <x v="0"/>
    <x v="0"/>
  </r>
  <r>
    <x v="0"/>
    <x v="0"/>
    <x v="0"/>
    <x v="4"/>
    <x v="8"/>
    <s v="NO4_A1"/>
    <x v="0"/>
    <x v="9"/>
    <x v="0"/>
    <x v="0"/>
  </r>
  <r>
    <x v="0"/>
    <x v="0"/>
    <x v="0"/>
    <x v="4"/>
    <x v="8"/>
    <s v="NO4_A1"/>
    <x v="0"/>
    <x v="10"/>
    <x v="0"/>
    <x v="0"/>
  </r>
  <r>
    <x v="0"/>
    <x v="0"/>
    <x v="0"/>
    <x v="4"/>
    <x v="8"/>
    <s v="NO4_A1"/>
    <x v="0"/>
    <x v="11"/>
    <x v="0"/>
    <x v="0"/>
  </r>
  <r>
    <x v="0"/>
    <x v="0"/>
    <x v="0"/>
    <x v="4"/>
    <x v="8"/>
    <s v="NO4_A1"/>
    <x v="1"/>
    <x v="0"/>
    <x v="0"/>
    <x v="0"/>
  </r>
  <r>
    <x v="0"/>
    <x v="0"/>
    <x v="0"/>
    <x v="4"/>
    <x v="8"/>
    <s v="NO4_A1"/>
    <x v="1"/>
    <x v="1"/>
    <x v="0"/>
    <x v="0"/>
  </r>
  <r>
    <x v="0"/>
    <x v="0"/>
    <x v="0"/>
    <x v="4"/>
    <x v="8"/>
    <s v="NO4_A1"/>
    <x v="1"/>
    <x v="2"/>
    <x v="0"/>
    <x v="0"/>
  </r>
  <r>
    <x v="0"/>
    <x v="0"/>
    <x v="0"/>
    <x v="4"/>
    <x v="8"/>
    <s v="NO4_A1"/>
    <x v="1"/>
    <x v="3"/>
    <x v="0"/>
    <x v="0"/>
  </r>
  <r>
    <x v="0"/>
    <x v="0"/>
    <x v="0"/>
    <x v="4"/>
    <x v="8"/>
    <s v="NO4_A1"/>
    <x v="1"/>
    <x v="4"/>
    <x v="0"/>
    <x v="0"/>
  </r>
  <r>
    <x v="0"/>
    <x v="0"/>
    <x v="0"/>
    <x v="4"/>
    <x v="8"/>
    <s v="NO4_A1"/>
    <x v="1"/>
    <x v="5"/>
    <x v="0"/>
    <x v="0"/>
  </r>
  <r>
    <x v="0"/>
    <x v="0"/>
    <x v="0"/>
    <x v="4"/>
    <x v="8"/>
    <s v="NO4_A1"/>
    <x v="1"/>
    <x v="6"/>
    <x v="0"/>
    <x v="0"/>
  </r>
  <r>
    <x v="0"/>
    <x v="0"/>
    <x v="0"/>
    <x v="4"/>
    <x v="8"/>
    <s v="NO4_A1"/>
    <x v="1"/>
    <x v="7"/>
    <x v="0"/>
    <x v="0"/>
  </r>
  <r>
    <x v="0"/>
    <x v="0"/>
    <x v="0"/>
    <x v="4"/>
    <x v="8"/>
    <s v="NO4_A1"/>
    <x v="1"/>
    <x v="8"/>
    <x v="0"/>
    <x v="0"/>
  </r>
  <r>
    <x v="0"/>
    <x v="0"/>
    <x v="0"/>
    <x v="4"/>
    <x v="8"/>
    <s v="NO4_A1"/>
    <x v="1"/>
    <x v="9"/>
    <x v="0"/>
    <x v="0"/>
  </r>
  <r>
    <x v="0"/>
    <x v="0"/>
    <x v="0"/>
    <x v="4"/>
    <x v="8"/>
    <s v="NO4_A1"/>
    <x v="1"/>
    <x v="10"/>
    <x v="0"/>
    <x v="0"/>
  </r>
  <r>
    <x v="0"/>
    <x v="0"/>
    <x v="0"/>
    <x v="4"/>
    <x v="8"/>
    <s v="NO4_A1"/>
    <x v="1"/>
    <x v="11"/>
    <x v="0"/>
    <x v="0"/>
  </r>
  <r>
    <x v="0"/>
    <x v="0"/>
    <x v="0"/>
    <x v="4"/>
    <x v="8"/>
    <s v="NO4_A1"/>
    <x v="2"/>
    <x v="0"/>
    <x v="0"/>
    <x v="0"/>
  </r>
  <r>
    <x v="0"/>
    <x v="0"/>
    <x v="0"/>
    <x v="4"/>
    <x v="8"/>
    <s v="NO4_A1"/>
    <x v="2"/>
    <x v="1"/>
    <x v="0"/>
    <x v="0"/>
  </r>
  <r>
    <x v="0"/>
    <x v="0"/>
    <x v="0"/>
    <x v="4"/>
    <x v="8"/>
    <s v="NO4_A1"/>
    <x v="2"/>
    <x v="2"/>
    <x v="0"/>
    <x v="0"/>
  </r>
  <r>
    <x v="0"/>
    <x v="0"/>
    <x v="0"/>
    <x v="4"/>
    <x v="8"/>
    <s v="NO4_A1"/>
    <x v="2"/>
    <x v="3"/>
    <x v="0"/>
    <x v="0"/>
  </r>
  <r>
    <x v="0"/>
    <x v="0"/>
    <x v="0"/>
    <x v="4"/>
    <x v="8"/>
    <s v="NO4_A1"/>
    <x v="2"/>
    <x v="4"/>
    <x v="0"/>
    <x v="0"/>
  </r>
  <r>
    <x v="0"/>
    <x v="0"/>
    <x v="0"/>
    <x v="4"/>
    <x v="8"/>
    <s v="NO4_A1"/>
    <x v="2"/>
    <x v="5"/>
    <x v="0"/>
    <x v="0"/>
  </r>
  <r>
    <x v="0"/>
    <x v="0"/>
    <x v="0"/>
    <x v="4"/>
    <x v="8"/>
    <s v="NO4_A1"/>
    <x v="2"/>
    <x v="6"/>
    <x v="0"/>
    <x v="0"/>
  </r>
  <r>
    <x v="0"/>
    <x v="0"/>
    <x v="0"/>
    <x v="4"/>
    <x v="8"/>
    <s v="NO4_A1"/>
    <x v="2"/>
    <x v="7"/>
    <x v="0"/>
    <x v="0"/>
  </r>
  <r>
    <x v="0"/>
    <x v="0"/>
    <x v="0"/>
    <x v="4"/>
    <x v="8"/>
    <s v="NO4_A1"/>
    <x v="2"/>
    <x v="8"/>
    <x v="0"/>
    <x v="0"/>
  </r>
  <r>
    <x v="0"/>
    <x v="0"/>
    <x v="0"/>
    <x v="4"/>
    <x v="8"/>
    <s v="NO4_A1"/>
    <x v="2"/>
    <x v="9"/>
    <x v="0"/>
    <x v="0"/>
  </r>
  <r>
    <x v="0"/>
    <x v="0"/>
    <x v="0"/>
    <x v="4"/>
    <x v="8"/>
    <s v="NO4_A1"/>
    <x v="2"/>
    <x v="10"/>
    <x v="0"/>
    <x v="0"/>
  </r>
  <r>
    <x v="0"/>
    <x v="0"/>
    <x v="0"/>
    <x v="4"/>
    <x v="8"/>
    <s v="NO4_A1"/>
    <x v="2"/>
    <x v="11"/>
    <x v="0"/>
    <x v="0"/>
  </r>
  <r>
    <x v="0"/>
    <x v="0"/>
    <x v="0"/>
    <x v="4"/>
    <x v="8"/>
    <s v="NO4_A1"/>
    <x v="3"/>
    <x v="0"/>
    <x v="0"/>
    <x v="0"/>
  </r>
  <r>
    <x v="0"/>
    <x v="0"/>
    <x v="0"/>
    <x v="4"/>
    <x v="8"/>
    <s v="NO4_A1"/>
    <x v="3"/>
    <x v="1"/>
    <x v="0"/>
    <x v="0"/>
  </r>
  <r>
    <x v="0"/>
    <x v="0"/>
    <x v="0"/>
    <x v="4"/>
    <x v="8"/>
    <s v="NO4_A1"/>
    <x v="3"/>
    <x v="2"/>
    <x v="0"/>
    <x v="0"/>
  </r>
  <r>
    <x v="0"/>
    <x v="0"/>
    <x v="0"/>
    <x v="4"/>
    <x v="8"/>
    <s v="NO4_A1"/>
    <x v="3"/>
    <x v="3"/>
    <x v="0"/>
    <x v="0"/>
  </r>
  <r>
    <x v="0"/>
    <x v="0"/>
    <x v="0"/>
    <x v="4"/>
    <x v="8"/>
    <s v="NO4_A1"/>
    <x v="3"/>
    <x v="4"/>
    <x v="0"/>
    <x v="0"/>
  </r>
  <r>
    <x v="0"/>
    <x v="0"/>
    <x v="0"/>
    <x v="4"/>
    <x v="8"/>
    <s v="NO4_A1"/>
    <x v="3"/>
    <x v="5"/>
    <x v="0"/>
    <x v="0"/>
  </r>
  <r>
    <x v="0"/>
    <x v="0"/>
    <x v="0"/>
    <x v="4"/>
    <x v="8"/>
    <s v="NO4_A1"/>
    <x v="3"/>
    <x v="6"/>
    <x v="0"/>
    <x v="0"/>
  </r>
  <r>
    <x v="0"/>
    <x v="0"/>
    <x v="0"/>
    <x v="4"/>
    <x v="8"/>
    <s v="NO4_A1"/>
    <x v="3"/>
    <x v="7"/>
    <x v="0"/>
    <x v="0"/>
  </r>
  <r>
    <x v="0"/>
    <x v="0"/>
    <x v="0"/>
    <x v="4"/>
    <x v="8"/>
    <s v="NO4_A1"/>
    <x v="3"/>
    <x v="8"/>
    <x v="0"/>
    <x v="0"/>
  </r>
  <r>
    <x v="0"/>
    <x v="0"/>
    <x v="0"/>
    <x v="4"/>
    <x v="8"/>
    <s v="NO4_A1"/>
    <x v="3"/>
    <x v="9"/>
    <x v="0"/>
    <x v="0"/>
  </r>
  <r>
    <x v="0"/>
    <x v="0"/>
    <x v="0"/>
    <x v="4"/>
    <x v="8"/>
    <s v="NO4_A1"/>
    <x v="3"/>
    <x v="10"/>
    <x v="0"/>
    <x v="0"/>
  </r>
  <r>
    <x v="0"/>
    <x v="0"/>
    <x v="0"/>
    <x v="4"/>
    <x v="8"/>
    <s v="NO4_A1"/>
    <x v="3"/>
    <x v="11"/>
    <x v="0"/>
    <x v="0"/>
  </r>
  <r>
    <x v="0"/>
    <x v="0"/>
    <x v="0"/>
    <x v="4"/>
    <x v="8"/>
    <s v="NO4_A1"/>
    <x v="4"/>
    <x v="0"/>
    <x v="0"/>
    <x v="0"/>
  </r>
  <r>
    <x v="0"/>
    <x v="0"/>
    <x v="0"/>
    <x v="4"/>
    <x v="8"/>
    <s v="NO4_A1"/>
    <x v="4"/>
    <x v="1"/>
    <x v="0"/>
    <x v="0"/>
  </r>
  <r>
    <x v="0"/>
    <x v="0"/>
    <x v="0"/>
    <x v="4"/>
    <x v="8"/>
    <s v="NO4_A1"/>
    <x v="4"/>
    <x v="2"/>
    <x v="0"/>
    <x v="0"/>
  </r>
  <r>
    <x v="0"/>
    <x v="0"/>
    <x v="0"/>
    <x v="4"/>
    <x v="8"/>
    <s v="NO4_A1"/>
    <x v="4"/>
    <x v="3"/>
    <x v="0"/>
    <x v="0"/>
  </r>
  <r>
    <x v="0"/>
    <x v="0"/>
    <x v="0"/>
    <x v="4"/>
    <x v="8"/>
    <s v="NO4_A1"/>
    <x v="4"/>
    <x v="4"/>
    <x v="0"/>
    <x v="0"/>
  </r>
  <r>
    <x v="0"/>
    <x v="0"/>
    <x v="0"/>
    <x v="4"/>
    <x v="8"/>
    <s v="NO4_A1"/>
    <x v="4"/>
    <x v="5"/>
    <x v="0"/>
    <x v="0"/>
  </r>
  <r>
    <x v="0"/>
    <x v="0"/>
    <x v="0"/>
    <x v="4"/>
    <x v="8"/>
    <s v="NO4_A1"/>
    <x v="4"/>
    <x v="6"/>
    <x v="0"/>
    <x v="0"/>
  </r>
  <r>
    <x v="0"/>
    <x v="0"/>
    <x v="0"/>
    <x v="4"/>
    <x v="8"/>
    <s v="NO4_A1"/>
    <x v="4"/>
    <x v="7"/>
    <x v="0"/>
    <x v="0"/>
  </r>
  <r>
    <x v="0"/>
    <x v="0"/>
    <x v="0"/>
    <x v="4"/>
    <x v="8"/>
    <s v="NO4_A1"/>
    <x v="4"/>
    <x v="8"/>
    <x v="0"/>
    <x v="0"/>
  </r>
  <r>
    <x v="0"/>
    <x v="0"/>
    <x v="0"/>
    <x v="4"/>
    <x v="8"/>
    <s v="NO4_A1"/>
    <x v="4"/>
    <x v="9"/>
    <x v="0"/>
    <x v="0"/>
  </r>
  <r>
    <x v="0"/>
    <x v="0"/>
    <x v="0"/>
    <x v="4"/>
    <x v="8"/>
    <s v="NO4_A1"/>
    <x v="4"/>
    <x v="10"/>
    <x v="0"/>
    <x v="0"/>
  </r>
  <r>
    <x v="0"/>
    <x v="0"/>
    <x v="0"/>
    <x v="4"/>
    <x v="8"/>
    <s v="NO4_A1"/>
    <x v="4"/>
    <x v="11"/>
    <x v="0"/>
    <x v="0"/>
  </r>
  <r>
    <x v="0"/>
    <x v="0"/>
    <x v="0"/>
    <x v="4"/>
    <x v="8"/>
    <s v="NO4_A1"/>
    <x v="5"/>
    <x v="0"/>
    <x v="0"/>
    <x v="0"/>
  </r>
  <r>
    <x v="0"/>
    <x v="0"/>
    <x v="0"/>
    <x v="4"/>
    <x v="8"/>
    <s v="NO4_A1"/>
    <x v="5"/>
    <x v="1"/>
    <x v="0"/>
    <x v="0"/>
  </r>
  <r>
    <x v="0"/>
    <x v="0"/>
    <x v="0"/>
    <x v="4"/>
    <x v="8"/>
    <s v="NO4_A1"/>
    <x v="5"/>
    <x v="2"/>
    <x v="0"/>
    <x v="0"/>
  </r>
  <r>
    <x v="0"/>
    <x v="0"/>
    <x v="0"/>
    <x v="4"/>
    <x v="8"/>
    <s v="NO4_A1"/>
    <x v="5"/>
    <x v="3"/>
    <x v="0"/>
    <x v="0"/>
  </r>
  <r>
    <x v="0"/>
    <x v="0"/>
    <x v="0"/>
    <x v="4"/>
    <x v="8"/>
    <s v="NO4_A1"/>
    <x v="5"/>
    <x v="4"/>
    <x v="0"/>
    <x v="0"/>
  </r>
  <r>
    <x v="0"/>
    <x v="0"/>
    <x v="0"/>
    <x v="4"/>
    <x v="8"/>
    <s v="NO4_A1"/>
    <x v="5"/>
    <x v="5"/>
    <x v="0"/>
    <x v="0"/>
  </r>
  <r>
    <x v="0"/>
    <x v="0"/>
    <x v="0"/>
    <x v="4"/>
    <x v="8"/>
    <s v="NO4_A1"/>
    <x v="5"/>
    <x v="6"/>
    <x v="0"/>
    <x v="0"/>
  </r>
  <r>
    <x v="0"/>
    <x v="0"/>
    <x v="0"/>
    <x v="4"/>
    <x v="8"/>
    <s v="NO4_A1"/>
    <x v="5"/>
    <x v="7"/>
    <x v="0"/>
    <x v="0"/>
  </r>
  <r>
    <x v="0"/>
    <x v="0"/>
    <x v="0"/>
    <x v="4"/>
    <x v="8"/>
    <s v="NO4_A1"/>
    <x v="5"/>
    <x v="8"/>
    <x v="0"/>
    <x v="0"/>
  </r>
  <r>
    <x v="0"/>
    <x v="0"/>
    <x v="0"/>
    <x v="4"/>
    <x v="8"/>
    <s v="NO4_A1"/>
    <x v="5"/>
    <x v="9"/>
    <x v="0"/>
    <x v="0"/>
  </r>
  <r>
    <x v="0"/>
    <x v="0"/>
    <x v="0"/>
    <x v="4"/>
    <x v="8"/>
    <s v="NO4_A1"/>
    <x v="5"/>
    <x v="10"/>
    <x v="0"/>
    <x v="0"/>
  </r>
  <r>
    <x v="0"/>
    <x v="0"/>
    <x v="0"/>
    <x v="4"/>
    <x v="8"/>
    <s v="NO4_A1"/>
    <x v="5"/>
    <x v="11"/>
    <x v="0"/>
    <x v="0"/>
  </r>
  <r>
    <x v="0"/>
    <x v="0"/>
    <x v="0"/>
    <x v="4"/>
    <x v="8"/>
    <s v="NO4_A1"/>
    <x v="6"/>
    <x v="0"/>
    <x v="0"/>
    <x v="0"/>
  </r>
  <r>
    <x v="0"/>
    <x v="0"/>
    <x v="0"/>
    <x v="4"/>
    <x v="8"/>
    <s v="NO4_A1"/>
    <x v="6"/>
    <x v="1"/>
    <x v="0"/>
    <x v="0"/>
  </r>
  <r>
    <x v="0"/>
    <x v="0"/>
    <x v="0"/>
    <x v="4"/>
    <x v="8"/>
    <s v="NO4_A1"/>
    <x v="6"/>
    <x v="2"/>
    <x v="0"/>
    <x v="0"/>
  </r>
  <r>
    <x v="0"/>
    <x v="0"/>
    <x v="0"/>
    <x v="4"/>
    <x v="8"/>
    <s v="NO4_A1"/>
    <x v="6"/>
    <x v="3"/>
    <x v="0"/>
    <x v="0"/>
  </r>
  <r>
    <x v="0"/>
    <x v="0"/>
    <x v="0"/>
    <x v="4"/>
    <x v="8"/>
    <s v="NO4_A1"/>
    <x v="6"/>
    <x v="4"/>
    <x v="0"/>
    <x v="0"/>
  </r>
  <r>
    <x v="0"/>
    <x v="0"/>
    <x v="0"/>
    <x v="4"/>
    <x v="8"/>
    <s v="NO4_A1"/>
    <x v="6"/>
    <x v="5"/>
    <x v="0"/>
    <x v="0"/>
  </r>
  <r>
    <x v="0"/>
    <x v="0"/>
    <x v="0"/>
    <x v="4"/>
    <x v="8"/>
    <s v="NO4_A1"/>
    <x v="6"/>
    <x v="6"/>
    <x v="0"/>
    <x v="0"/>
  </r>
  <r>
    <x v="0"/>
    <x v="0"/>
    <x v="0"/>
    <x v="4"/>
    <x v="8"/>
    <s v="NO4_A1"/>
    <x v="6"/>
    <x v="7"/>
    <x v="0"/>
    <x v="0"/>
  </r>
  <r>
    <x v="0"/>
    <x v="0"/>
    <x v="0"/>
    <x v="4"/>
    <x v="8"/>
    <s v="NO4_A1"/>
    <x v="6"/>
    <x v="8"/>
    <x v="0"/>
    <x v="0"/>
  </r>
  <r>
    <x v="0"/>
    <x v="0"/>
    <x v="0"/>
    <x v="4"/>
    <x v="8"/>
    <s v="NO4_A1"/>
    <x v="6"/>
    <x v="9"/>
    <x v="0"/>
    <x v="0"/>
  </r>
  <r>
    <x v="0"/>
    <x v="0"/>
    <x v="0"/>
    <x v="4"/>
    <x v="8"/>
    <s v="NO4_A1"/>
    <x v="6"/>
    <x v="10"/>
    <x v="0"/>
    <x v="0"/>
  </r>
  <r>
    <x v="0"/>
    <x v="0"/>
    <x v="0"/>
    <x v="4"/>
    <x v="8"/>
    <s v="NO4_A1"/>
    <x v="6"/>
    <x v="11"/>
    <x v="0"/>
    <x v="0"/>
  </r>
  <r>
    <x v="0"/>
    <x v="0"/>
    <x v="0"/>
    <x v="4"/>
    <x v="8"/>
    <s v="NO4_A1"/>
    <x v="7"/>
    <x v="0"/>
    <x v="0"/>
    <x v="0"/>
  </r>
  <r>
    <x v="0"/>
    <x v="0"/>
    <x v="0"/>
    <x v="4"/>
    <x v="8"/>
    <s v="NO4_A1"/>
    <x v="7"/>
    <x v="1"/>
    <x v="0"/>
    <x v="0"/>
  </r>
  <r>
    <x v="0"/>
    <x v="0"/>
    <x v="0"/>
    <x v="4"/>
    <x v="8"/>
    <s v="NO4_A1"/>
    <x v="7"/>
    <x v="2"/>
    <x v="0"/>
    <x v="0"/>
  </r>
  <r>
    <x v="0"/>
    <x v="0"/>
    <x v="0"/>
    <x v="4"/>
    <x v="8"/>
    <s v="NO4_A1"/>
    <x v="7"/>
    <x v="3"/>
    <x v="0"/>
    <x v="0"/>
  </r>
  <r>
    <x v="0"/>
    <x v="0"/>
    <x v="0"/>
    <x v="4"/>
    <x v="8"/>
    <s v="NO4_A1"/>
    <x v="7"/>
    <x v="4"/>
    <x v="0"/>
    <x v="0"/>
  </r>
  <r>
    <x v="0"/>
    <x v="0"/>
    <x v="0"/>
    <x v="4"/>
    <x v="8"/>
    <s v="NO4_A1"/>
    <x v="7"/>
    <x v="5"/>
    <x v="0"/>
    <x v="0"/>
  </r>
  <r>
    <x v="0"/>
    <x v="0"/>
    <x v="0"/>
    <x v="4"/>
    <x v="8"/>
    <s v="NO4_A1"/>
    <x v="7"/>
    <x v="6"/>
    <x v="0"/>
    <x v="0"/>
  </r>
  <r>
    <x v="0"/>
    <x v="0"/>
    <x v="0"/>
    <x v="4"/>
    <x v="8"/>
    <s v="NO4_A1"/>
    <x v="7"/>
    <x v="7"/>
    <x v="0"/>
    <x v="0"/>
  </r>
  <r>
    <x v="0"/>
    <x v="0"/>
    <x v="0"/>
    <x v="4"/>
    <x v="8"/>
    <s v="NO4_A1"/>
    <x v="7"/>
    <x v="8"/>
    <x v="0"/>
    <x v="0"/>
  </r>
  <r>
    <x v="0"/>
    <x v="0"/>
    <x v="0"/>
    <x v="4"/>
    <x v="8"/>
    <s v="NO4_A1"/>
    <x v="7"/>
    <x v="9"/>
    <x v="0"/>
    <x v="0"/>
  </r>
  <r>
    <x v="0"/>
    <x v="0"/>
    <x v="0"/>
    <x v="4"/>
    <x v="8"/>
    <s v="NO4_A1"/>
    <x v="7"/>
    <x v="10"/>
    <x v="0"/>
    <x v="0"/>
  </r>
  <r>
    <x v="0"/>
    <x v="0"/>
    <x v="0"/>
    <x v="4"/>
    <x v="8"/>
    <s v="NO4_A1"/>
    <x v="7"/>
    <x v="11"/>
    <x v="0"/>
    <x v="0"/>
  </r>
  <r>
    <x v="0"/>
    <x v="0"/>
    <x v="0"/>
    <x v="4"/>
    <x v="8"/>
    <s v="NO4_A1"/>
    <x v="8"/>
    <x v="0"/>
    <x v="0"/>
    <x v="0"/>
  </r>
  <r>
    <x v="0"/>
    <x v="0"/>
    <x v="0"/>
    <x v="4"/>
    <x v="8"/>
    <s v="NO4_A1"/>
    <x v="8"/>
    <x v="1"/>
    <x v="0"/>
    <x v="0"/>
  </r>
  <r>
    <x v="0"/>
    <x v="0"/>
    <x v="0"/>
    <x v="4"/>
    <x v="8"/>
    <s v="NO4_A1"/>
    <x v="8"/>
    <x v="2"/>
    <x v="0"/>
    <x v="0"/>
  </r>
  <r>
    <x v="0"/>
    <x v="0"/>
    <x v="0"/>
    <x v="4"/>
    <x v="8"/>
    <s v="NO4_A1"/>
    <x v="8"/>
    <x v="3"/>
    <x v="0"/>
    <x v="0"/>
  </r>
  <r>
    <x v="0"/>
    <x v="0"/>
    <x v="0"/>
    <x v="4"/>
    <x v="8"/>
    <s v="NO4_A1"/>
    <x v="8"/>
    <x v="4"/>
    <x v="0"/>
    <x v="0"/>
  </r>
  <r>
    <x v="0"/>
    <x v="0"/>
    <x v="0"/>
    <x v="4"/>
    <x v="8"/>
    <s v="NO4_A1"/>
    <x v="8"/>
    <x v="5"/>
    <x v="0"/>
    <x v="0"/>
  </r>
  <r>
    <x v="0"/>
    <x v="0"/>
    <x v="0"/>
    <x v="4"/>
    <x v="8"/>
    <s v="NO4_A1"/>
    <x v="8"/>
    <x v="6"/>
    <x v="0"/>
    <x v="0"/>
  </r>
  <r>
    <x v="0"/>
    <x v="0"/>
    <x v="0"/>
    <x v="4"/>
    <x v="8"/>
    <s v="NO4_A1"/>
    <x v="8"/>
    <x v="7"/>
    <x v="0"/>
    <x v="0"/>
  </r>
  <r>
    <x v="0"/>
    <x v="0"/>
    <x v="0"/>
    <x v="4"/>
    <x v="8"/>
    <s v="NO4_A1"/>
    <x v="8"/>
    <x v="8"/>
    <x v="0"/>
    <x v="0"/>
  </r>
  <r>
    <x v="0"/>
    <x v="0"/>
    <x v="0"/>
    <x v="4"/>
    <x v="8"/>
    <s v="NO4_A1"/>
    <x v="8"/>
    <x v="9"/>
    <x v="0"/>
    <x v="0"/>
  </r>
  <r>
    <x v="0"/>
    <x v="0"/>
    <x v="0"/>
    <x v="4"/>
    <x v="8"/>
    <s v="NO4_A1"/>
    <x v="8"/>
    <x v="10"/>
    <x v="0"/>
    <x v="0"/>
  </r>
  <r>
    <x v="0"/>
    <x v="0"/>
    <x v="0"/>
    <x v="4"/>
    <x v="8"/>
    <s v="NO4_A1"/>
    <x v="8"/>
    <x v="11"/>
    <x v="0"/>
    <x v="0"/>
  </r>
  <r>
    <x v="0"/>
    <x v="0"/>
    <x v="0"/>
    <x v="4"/>
    <x v="8"/>
    <s v="NO4_A1"/>
    <x v="9"/>
    <x v="0"/>
    <x v="0"/>
    <x v="0"/>
  </r>
  <r>
    <x v="0"/>
    <x v="0"/>
    <x v="0"/>
    <x v="4"/>
    <x v="8"/>
    <s v="NO4_A1"/>
    <x v="9"/>
    <x v="1"/>
    <x v="0"/>
    <x v="0"/>
  </r>
  <r>
    <x v="0"/>
    <x v="0"/>
    <x v="0"/>
    <x v="4"/>
    <x v="8"/>
    <s v="NO4_A1"/>
    <x v="9"/>
    <x v="2"/>
    <x v="0"/>
    <x v="0"/>
  </r>
  <r>
    <x v="0"/>
    <x v="0"/>
    <x v="0"/>
    <x v="4"/>
    <x v="8"/>
    <s v="NO4_A1"/>
    <x v="9"/>
    <x v="3"/>
    <x v="0"/>
    <x v="0"/>
  </r>
  <r>
    <x v="0"/>
    <x v="0"/>
    <x v="0"/>
    <x v="4"/>
    <x v="8"/>
    <s v="NO4_A1"/>
    <x v="9"/>
    <x v="4"/>
    <x v="0"/>
    <x v="0"/>
  </r>
  <r>
    <x v="0"/>
    <x v="0"/>
    <x v="0"/>
    <x v="4"/>
    <x v="8"/>
    <s v="NO4_A1"/>
    <x v="9"/>
    <x v="5"/>
    <x v="0"/>
    <x v="0"/>
  </r>
  <r>
    <x v="0"/>
    <x v="0"/>
    <x v="0"/>
    <x v="4"/>
    <x v="8"/>
    <s v="NO4_A1"/>
    <x v="9"/>
    <x v="6"/>
    <x v="0"/>
    <x v="0"/>
  </r>
  <r>
    <x v="0"/>
    <x v="0"/>
    <x v="0"/>
    <x v="4"/>
    <x v="8"/>
    <s v="NO4_A1"/>
    <x v="9"/>
    <x v="7"/>
    <x v="0"/>
    <x v="0"/>
  </r>
  <r>
    <x v="0"/>
    <x v="0"/>
    <x v="0"/>
    <x v="4"/>
    <x v="8"/>
    <s v="NO4_A1"/>
    <x v="9"/>
    <x v="8"/>
    <x v="0"/>
    <x v="0"/>
  </r>
  <r>
    <x v="0"/>
    <x v="0"/>
    <x v="0"/>
    <x v="4"/>
    <x v="8"/>
    <s v="NO4_A1"/>
    <x v="9"/>
    <x v="9"/>
    <x v="0"/>
    <x v="0"/>
  </r>
  <r>
    <x v="0"/>
    <x v="0"/>
    <x v="0"/>
    <x v="4"/>
    <x v="8"/>
    <s v="NO4_A1"/>
    <x v="9"/>
    <x v="10"/>
    <x v="0"/>
    <x v="0"/>
  </r>
  <r>
    <x v="0"/>
    <x v="0"/>
    <x v="0"/>
    <x v="4"/>
    <x v="8"/>
    <s v="NO4_A1"/>
    <x v="9"/>
    <x v="11"/>
    <x v="0"/>
    <x v="0"/>
  </r>
  <r>
    <x v="0"/>
    <x v="0"/>
    <x v="0"/>
    <x v="4"/>
    <x v="8"/>
    <s v="NO4_A1"/>
    <x v="10"/>
    <x v="0"/>
    <x v="0"/>
    <x v="0"/>
  </r>
  <r>
    <x v="0"/>
    <x v="0"/>
    <x v="0"/>
    <x v="4"/>
    <x v="8"/>
    <s v="NO4_A1"/>
    <x v="10"/>
    <x v="1"/>
    <x v="0"/>
    <x v="0"/>
  </r>
  <r>
    <x v="0"/>
    <x v="0"/>
    <x v="0"/>
    <x v="4"/>
    <x v="8"/>
    <s v="NO4_A1"/>
    <x v="10"/>
    <x v="2"/>
    <x v="0"/>
    <x v="0"/>
  </r>
  <r>
    <x v="0"/>
    <x v="0"/>
    <x v="0"/>
    <x v="4"/>
    <x v="8"/>
    <s v="NO4_A1"/>
    <x v="10"/>
    <x v="3"/>
    <x v="0"/>
    <x v="0"/>
  </r>
  <r>
    <x v="0"/>
    <x v="0"/>
    <x v="0"/>
    <x v="4"/>
    <x v="8"/>
    <s v="NO4_A1"/>
    <x v="10"/>
    <x v="4"/>
    <x v="0"/>
    <x v="0"/>
  </r>
  <r>
    <x v="0"/>
    <x v="0"/>
    <x v="0"/>
    <x v="4"/>
    <x v="8"/>
    <s v="NO4_A1"/>
    <x v="10"/>
    <x v="5"/>
    <x v="0"/>
    <x v="0"/>
  </r>
  <r>
    <x v="0"/>
    <x v="0"/>
    <x v="0"/>
    <x v="4"/>
    <x v="8"/>
    <s v="NO4_A1"/>
    <x v="10"/>
    <x v="6"/>
    <x v="0"/>
    <x v="0"/>
  </r>
  <r>
    <x v="0"/>
    <x v="0"/>
    <x v="0"/>
    <x v="4"/>
    <x v="8"/>
    <s v="NO4_A1"/>
    <x v="10"/>
    <x v="7"/>
    <x v="0"/>
    <x v="0"/>
  </r>
  <r>
    <x v="0"/>
    <x v="0"/>
    <x v="0"/>
    <x v="4"/>
    <x v="8"/>
    <s v="NO4_A1"/>
    <x v="10"/>
    <x v="8"/>
    <x v="0"/>
    <x v="0"/>
  </r>
  <r>
    <x v="0"/>
    <x v="0"/>
    <x v="0"/>
    <x v="4"/>
    <x v="8"/>
    <s v="NO4_A1"/>
    <x v="10"/>
    <x v="9"/>
    <x v="0"/>
    <x v="0"/>
  </r>
  <r>
    <x v="0"/>
    <x v="0"/>
    <x v="0"/>
    <x v="4"/>
    <x v="8"/>
    <s v="NO4_A1"/>
    <x v="10"/>
    <x v="10"/>
    <x v="0"/>
    <x v="0"/>
  </r>
  <r>
    <x v="0"/>
    <x v="0"/>
    <x v="0"/>
    <x v="4"/>
    <x v="8"/>
    <s v="NO4_A1"/>
    <x v="10"/>
    <x v="11"/>
    <x v="0"/>
    <x v="0"/>
  </r>
  <r>
    <x v="0"/>
    <x v="0"/>
    <x v="0"/>
    <x v="4"/>
    <x v="8"/>
    <s v="NO4_A1"/>
    <x v="11"/>
    <x v="0"/>
    <x v="0"/>
    <x v="0"/>
  </r>
  <r>
    <x v="0"/>
    <x v="0"/>
    <x v="0"/>
    <x v="4"/>
    <x v="8"/>
    <s v="NO4_A1"/>
    <x v="11"/>
    <x v="1"/>
    <x v="0"/>
    <x v="0"/>
  </r>
  <r>
    <x v="0"/>
    <x v="0"/>
    <x v="0"/>
    <x v="4"/>
    <x v="8"/>
    <s v="NO4_A1"/>
    <x v="11"/>
    <x v="2"/>
    <x v="0"/>
    <x v="0"/>
  </r>
  <r>
    <x v="0"/>
    <x v="0"/>
    <x v="0"/>
    <x v="4"/>
    <x v="8"/>
    <s v="NO4_A1"/>
    <x v="11"/>
    <x v="3"/>
    <x v="0"/>
    <x v="0"/>
  </r>
  <r>
    <x v="0"/>
    <x v="0"/>
    <x v="0"/>
    <x v="4"/>
    <x v="8"/>
    <s v="NO4_A1"/>
    <x v="11"/>
    <x v="4"/>
    <x v="0"/>
    <x v="0"/>
  </r>
  <r>
    <x v="0"/>
    <x v="0"/>
    <x v="0"/>
    <x v="4"/>
    <x v="8"/>
    <s v="NO4_A1"/>
    <x v="11"/>
    <x v="5"/>
    <x v="0"/>
    <x v="0"/>
  </r>
  <r>
    <x v="0"/>
    <x v="0"/>
    <x v="0"/>
    <x v="4"/>
    <x v="8"/>
    <s v="NO4_A1"/>
    <x v="11"/>
    <x v="6"/>
    <x v="0"/>
    <x v="0"/>
  </r>
  <r>
    <x v="0"/>
    <x v="0"/>
    <x v="0"/>
    <x v="4"/>
    <x v="8"/>
    <s v="NO4_A1"/>
    <x v="11"/>
    <x v="7"/>
    <x v="0"/>
    <x v="0"/>
  </r>
  <r>
    <x v="0"/>
    <x v="0"/>
    <x v="0"/>
    <x v="4"/>
    <x v="8"/>
    <s v="NO4_A1"/>
    <x v="11"/>
    <x v="8"/>
    <x v="0"/>
    <x v="0"/>
  </r>
  <r>
    <x v="0"/>
    <x v="0"/>
    <x v="0"/>
    <x v="4"/>
    <x v="8"/>
    <s v="NO4_A1"/>
    <x v="11"/>
    <x v="9"/>
    <x v="0"/>
    <x v="0"/>
  </r>
  <r>
    <x v="0"/>
    <x v="0"/>
    <x v="0"/>
    <x v="4"/>
    <x v="8"/>
    <s v="NO4_A1"/>
    <x v="11"/>
    <x v="10"/>
    <x v="0"/>
    <x v="0"/>
  </r>
  <r>
    <x v="0"/>
    <x v="0"/>
    <x v="0"/>
    <x v="4"/>
    <x v="8"/>
    <s v="NO4_A1"/>
    <x v="11"/>
    <x v="11"/>
    <x v="0"/>
    <x v="0"/>
  </r>
  <r>
    <x v="0"/>
    <x v="0"/>
    <x v="0"/>
    <x v="4"/>
    <x v="9"/>
    <s v="NO5_A1"/>
    <x v="0"/>
    <x v="0"/>
    <x v="0"/>
    <x v="0"/>
  </r>
  <r>
    <x v="0"/>
    <x v="0"/>
    <x v="0"/>
    <x v="4"/>
    <x v="9"/>
    <s v="NO5_A1"/>
    <x v="0"/>
    <x v="1"/>
    <x v="0"/>
    <x v="0"/>
  </r>
  <r>
    <x v="0"/>
    <x v="0"/>
    <x v="0"/>
    <x v="4"/>
    <x v="9"/>
    <s v="NO5_A1"/>
    <x v="0"/>
    <x v="2"/>
    <x v="0"/>
    <x v="0"/>
  </r>
  <r>
    <x v="0"/>
    <x v="0"/>
    <x v="0"/>
    <x v="4"/>
    <x v="9"/>
    <s v="NO5_A1"/>
    <x v="0"/>
    <x v="3"/>
    <x v="0"/>
    <x v="0"/>
  </r>
  <r>
    <x v="0"/>
    <x v="0"/>
    <x v="0"/>
    <x v="4"/>
    <x v="9"/>
    <s v="NO5_A1"/>
    <x v="0"/>
    <x v="4"/>
    <x v="0"/>
    <x v="0"/>
  </r>
  <r>
    <x v="0"/>
    <x v="0"/>
    <x v="0"/>
    <x v="4"/>
    <x v="9"/>
    <s v="NO5_A1"/>
    <x v="0"/>
    <x v="5"/>
    <x v="0"/>
    <x v="0"/>
  </r>
  <r>
    <x v="0"/>
    <x v="0"/>
    <x v="0"/>
    <x v="4"/>
    <x v="9"/>
    <s v="NO5_A1"/>
    <x v="0"/>
    <x v="6"/>
    <x v="0"/>
    <x v="0"/>
  </r>
  <r>
    <x v="0"/>
    <x v="0"/>
    <x v="0"/>
    <x v="4"/>
    <x v="9"/>
    <s v="NO5_A1"/>
    <x v="0"/>
    <x v="7"/>
    <x v="0"/>
    <x v="0"/>
  </r>
  <r>
    <x v="0"/>
    <x v="0"/>
    <x v="0"/>
    <x v="4"/>
    <x v="9"/>
    <s v="NO5_A1"/>
    <x v="0"/>
    <x v="8"/>
    <x v="0"/>
    <x v="0"/>
  </r>
  <r>
    <x v="0"/>
    <x v="0"/>
    <x v="0"/>
    <x v="4"/>
    <x v="9"/>
    <s v="NO5_A1"/>
    <x v="0"/>
    <x v="9"/>
    <x v="0"/>
    <x v="0"/>
  </r>
  <r>
    <x v="0"/>
    <x v="0"/>
    <x v="0"/>
    <x v="4"/>
    <x v="9"/>
    <s v="NO5_A1"/>
    <x v="0"/>
    <x v="10"/>
    <x v="0"/>
    <x v="0"/>
  </r>
  <r>
    <x v="0"/>
    <x v="0"/>
    <x v="0"/>
    <x v="4"/>
    <x v="9"/>
    <s v="NO5_A1"/>
    <x v="0"/>
    <x v="11"/>
    <x v="0"/>
    <x v="0"/>
  </r>
  <r>
    <x v="0"/>
    <x v="0"/>
    <x v="0"/>
    <x v="4"/>
    <x v="9"/>
    <s v="NO5_A1"/>
    <x v="1"/>
    <x v="0"/>
    <x v="0"/>
    <x v="0"/>
  </r>
  <r>
    <x v="0"/>
    <x v="0"/>
    <x v="0"/>
    <x v="4"/>
    <x v="9"/>
    <s v="NO5_A1"/>
    <x v="1"/>
    <x v="1"/>
    <x v="0"/>
    <x v="0"/>
  </r>
  <r>
    <x v="0"/>
    <x v="0"/>
    <x v="0"/>
    <x v="4"/>
    <x v="9"/>
    <s v="NO5_A1"/>
    <x v="1"/>
    <x v="2"/>
    <x v="0"/>
    <x v="0"/>
  </r>
  <r>
    <x v="0"/>
    <x v="0"/>
    <x v="0"/>
    <x v="4"/>
    <x v="9"/>
    <s v="NO5_A1"/>
    <x v="1"/>
    <x v="3"/>
    <x v="0"/>
    <x v="0"/>
  </r>
  <r>
    <x v="0"/>
    <x v="0"/>
    <x v="0"/>
    <x v="4"/>
    <x v="9"/>
    <s v="NO5_A1"/>
    <x v="1"/>
    <x v="4"/>
    <x v="0"/>
    <x v="0"/>
  </r>
  <r>
    <x v="0"/>
    <x v="0"/>
    <x v="0"/>
    <x v="4"/>
    <x v="9"/>
    <s v="NO5_A1"/>
    <x v="1"/>
    <x v="5"/>
    <x v="0"/>
    <x v="0"/>
  </r>
  <r>
    <x v="0"/>
    <x v="0"/>
    <x v="0"/>
    <x v="4"/>
    <x v="9"/>
    <s v="NO5_A1"/>
    <x v="1"/>
    <x v="6"/>
    <x v="0"/>
    <x v="0"/>
  </r>
  <r>
    <x v="0"/>
    <x v="0"/>
    <x v="0"/>
    <x v="4"/>
    <x v="9"/>
    <s v="NO5_A1"/>
    <x v="1"/>
    <x v="7"/>
    <x v="0"/>
    <x v="0"/>
  </r>
  <r>
    <x v="0"/>
    <x v="0"/>
    <x v="0"/>
    <x v="4"/>
    <x v="9"/>
    <s v="NO5_A1"/>
    <x v="1"/>
    <x v="8"/>
    <x v="0"/>
    <x v="0"/>
  </r>
  <r>
    <x v="0"/>
    <x v="0"/>
    <x v="0"/>
    <x v="4"/>
    <x v="9"/>
    <s v="NO5_A1"/>
    <x v="1"/>
    <x v="9"/>
    <x v="0"/>
    <x v="0"/>
  </r>
  <r>
    <x v="0"/>
    <x v="0"/>
    <x v="0"/>
    <x v="4"/>
    <x v="9"/>
    <s v="NO5_A1"/>
    <x v="1"/>
    <x v="10"/>
    <x v="0"/>
    <x v="0"/>
  </r>
  <r>
    <x v="0"/>
    <x v="0"/>
    <x v="0"/>
    <x v="4"/>
    <x v="9"/>
    <s v="NO5_A1"/>
    <x v="1"/>
    <x v="11"/>
    <x v="0"/>
    <x v="0"/>
  </r>
  <r>
    <x v="0"/>
    <x v="0"/>
    <x v="0"/>
    <x v="4"/>
    <x v="9"/>
    <s v="NO5_A1"/>
    <x v="2"/>
    <x v="0"/>
    <x v="0"/>
    <x v="0"/>
  </r>
  <r>
    <x v="0"/>
    <x v="0"/>
    <x v="0"/>
    <x v="4"/>
    <x v="9"/>
    <s v="NO5_A1"/>
    <x v="2"/>
    <x v="1"/>
    <x v="0"/>
    <x v="0"/>
  </r>
  <r>
    <x v="0"/>
    <x v="0"/>
    <x v="0"/>
    <x v="4"/>
    <x v="9"/>
    <s v="NO5_A1"/>
    <x v="2"/>
    <x v="2"/>
    <x v="0"/>
    <x v="0"/>
  </r>
  <r>
    <x v="0"/>
    <x v="0"/>
    <x v="0"/>
    <x v="4"/>
    <x v="9"/>
    <s v="NO5_A1"/>
    <x v="2"/>
    <x v="3"/>
    <x v="0"/>
    <x v="0"/>
  </r>
  <r>
    <x v="0"/>
    <x v="0"/>
    <x v="0"/>
    <x v="4"/>
    <x v="9"/>
    <s v="NO5_A1"/>
    <x v="2"/>
    <x v="4"/>
    <x v="0"/>
    <x v="0"/>
  </r>
  <r>
    <x v="0"/>
    <x v="0"/>
    <x v="0"/>
    <x v="4"/>
    <x v="9"/>
    <s v="NO5_A1"/>
    <x v="2"/>
    <x v="5"/>
    <x v="0"/>
    <x v="0"/>
  </r>
  <r>
    <x v="0"/>
    <x v="0"/>
    <x v="0"/>
    <x v="4"/>
    <x v="9"/>
    <s v="NO5_A1"/>
    <x v="2"/>
    <x v="6"/>
    <x v="0"/>
    <x v="0"/>
  </r>
  <r>
    <x v="0"/>
    <x v="0"/>
    <x v="0"/>
    <x v="4"/>
    <x v="9"/>
    <s v="NO5_A1"/>
    <x v="2"/>
    <x v="7"/>
    <x v="0"/>
    <x v="0"/>
  </r>
  <r>
    <x v="0"/>
    <x v="0"/>
    <x v="0"/>
    <x v="4"/>
    <x v="9"/>
    <s v="NO5_A1"/>
    <x v="2"/>
    <x v="8"/>
    <x v="0"/>
    <x v="0"/>
  </r>
  <r>
    <x v="0"/>
    <x v="0"/>
    <x v="0"/>
    <x v="4"/>
    <x v="9"/>
    <s v="NO5_A1"/>
    <x v="2"/>
    <x v="9"/>
    <x v="0"/>
    <x v="0"/>
  </r>
  <r>
    <x v="0"/>
    <x v="0"/>
    <x v="0"/>
    <x v="4"/>
    <x v="9"/>
    <s v="NO5_A1"/>
    <x v="2"/>
    <x v="10"/>
    <x v="0"/>
    <x v="0"/>
  </r>
  <r>
    <x v="0"/>
    <x v="0"/>
    <x v="0"/>
    <x v="4"/>
    <x v="9"/>
    <s v="NO5_A1"/>
    <x v="2"/>
    <x v="11"/>
    <x v="0"/>
    <x v="0"/>
  </r>
  <r>
    <x v="0"/>
    <x v="0"/>
    <x v="0"/>
    <x v="4"/>
    <x v="9"/>
    <s v="NO5_A1"/>
    <x v="3"/>
    <x v="0"/>
    <x v="0"/>
    <x v="0"/>
  </r>
  <r>
    <x v="0"/>
    <x v="0"/>
    <x v="0"/>
    <x v="4"/>
    <x v="9"/>
    <s v="NO5_A1"/>
    <x v="3"/>
    <x v="1"/>
    <x v="0"/>
    <x v="0"/>
  </r>
  <r>
    <x v="0"/>
    <x v="0"/>
    <x v="0"/>
    <x v="4"/>
    <x v="9"/>
    <s v="NO5_A1"/>
    <x v="3"/>
    <x v="2"/>
    <x v="0"/>
    <x v="0"/>
  </r>
  <r>
    <x v="0"/>
    <x v="0"/>
    <x v="0"/>
    <x v="4"/>
    <x v="9"/>
    <s v="NO5_A1"/>
    <x v="3"/>
    <x v="3"/>
    <x v="0"/>
    <x v="0"/>
  </r>
  <r>
    <x v="0"/>
    <x v="0"/>
    <x v="0"/>
    <x v="4"/>
    <x v="9"/>
    <s v="NO5_A1"/>
    <x v="3"/>
    <x v="4"/>
    <x v="0"/>
    <x v="0"/>
  </r>
  <r>
    <x v="0"/>
    <x v="0"/>
    <x v="0"/>
    <x v="4"/>
    <x v="9"/>
    <s v="NO5_A1"/>
    <x v="3"/>
    <x v="5"/>
    <x v="0"/>
    <x v="0"/>
  </r>
  <r>
    <x v="0"/>
    <x v="0"/>
    <x v="0"/>
    <x v="4"/>
    <x v="9"/>
    <s v="NO5_A1"/>
    <x v="3"/>
    <x v="6"/>
    <x v="0"/>
    <x v="0"/>
  </r>
  <r>
    <x v="0"/>
    <x v="0"/>
    <x v="0"/>
    <x v="4"/>
    <x v="9"/>
    <s v="NO5_A1"/>
    <x v="3"/>
    <x v="7"/>
    <x v="0"/>
    <x v="0"/>
  </r>
  <r>
    <x v="0"/>
    <x v="0"/>
    <x v="0"/>
    <x v="4"/>
    <x v="9"/>
    <s v="NO5_A1"/>
    <x v="3"/>
    <x v="8"/>
    <x v="0"/>
    <x v="0"/>
  </r>
  <r>
    <x v="0"/>
    <x v="0"/>
    <x v="0"/>
    <x v="4"/>
    <x v="9"/>
    <s v="NO5_A1"/>
    <x v="3"/>
    <x v="9"/>
    <x v="0"/>
    <x v="0"/>
  </r>
  <r>
    <x v="0"/>
    <x v="0"/>
    <x v="0"/>
    <x v="4"/>
    <x v="9"/>
    <s v="NO5_A1"/>
    <x v="3"/>
    <x v="10"/>
    <x v="0"/>
    <x v="0"/>
  </r>
  <r>
    <x v="0"/>
    <x v="0"/>
    <x v="0"/>
    <x v="4"/>
    <x v="9"/>
    <s v="NO5_A1"/>
    <x v="3"/>
    <x v="11"/>
    <x v="0"/>
    <x v="0"/>
  </r>
  <r>
    <x v="0"/>
    <x v="0"/>
    <x v="0"/>
    <x v="4"/>
    <x v="9"/>
    <s v="NO5_A1"/>
    <x v="4"/>
    <x v="0"/>
    <x v="0"/>
    <x v="0"/>
  </r>
  <r>
    <x v="0"/>
    <x v="0"/>
    <x v="0"/>
    <x v="4"/>
    <x v="9"/>
    <s v="NO5_A1"/>
    <x v="4"/>
    <x v="1"/>
    <x v="0"/>
    <x v="0"/>
  </r>
  <r>
    <x v="0"/>
    <x v="0"/>
    <x v="0"/>
    <x v="4"/>
    <x v="9"/>
    <s v="NO5_A1"/>
    <x v="4"/>
    <x v="2"/>
    <x v="0"/>
    <x v="0"/>
  </r>
  <r>
    <x v="0"/>
    <x v="0"/>
    <x v="0"/>
    <x v="4"/>
    <x v="9"/>
    <s v="NO5_A1"/>
    <x v="4"/>
    <x v="3"/>
    <x v="0"/>
    <x v="0"/>
  </r>
  <r>
    <x v="0"/>
    <x v="0"/>
    <x v="0"/>
    <x v="4"/>
    <x v="9"/>
    <s v="NO5_A1"/>
    <x v="4"/>
    <x v="4"/>
    <x v="0"/>
    <x v="0"/>
  </r>
  <r>
    <x v="0"/>
    <x v="0"/>
    <x v="0"/>
    <x v="4"/>
    <x v="9"/>
    <s v="NO5_A1"/>
    <x v="4"/>
    <x v="5"/>
    <x v="0"/>
    <x v="0"/>
  </r>
  <r>
    <x v="0"/>
    <x v="0"/>
    <x v="0"/>
    <x v="4"/>
    <x v="9"/>
    <s v="NO5_A1"/>
    <x v="4"/>
    <x v="6"/>
    <x v="0"/>
    <x v="0"/>
  </r>
  <r>
    <x v="0"/>
    <x v="0"/>
    <x v="0"/>
    <x v="4"/>
    <x v="9"/>
    <s v="NO5_A1"/>
    <x v="4"/>
    <x v="7"/>
    <x v="0"/>
    <x v="0"/>
  </r>
  <r>
    <x v="0"/>
    <x v="0"/>
    <x v="0"/>
    <x v="4"/>
    <x v="9"/>
    <s v="NO5_A1"/>
    <x v="4"/>
    <x v="8"/>
    <x v="0"/>
    <x v="0"/>
  </r>
  <r>
    <x v="0"/>
    <x v="0"/>
    <x v="0"/>
    <x v="4"/>
    <x v="9"/>
    <s v="NO5_A1"/>
    <x v="4"/>
    <x v="9"/>
    <x v="0"/>
    <x v="0"/>
  </r>
  <r>
    <x v="0"/>
    <x v="0"/>
    <x v="0"/>
    <x v="4"/>
    <x v="9"/>
    <s v="NO5_A1"/>
    <x v="4"/>
    <x v="10"/>
    <x v="0"/>
    <x v="0"/>
  </r>
  <r>
    <x v="0"/>
    <x v="0"/>
    <x v="0"/>
    <x v="4"/>
    <x v="9"/>
    <s v="NO5_A1"/>
    <x v="4"/>
    <x v="11"/>
    <x v="0"/>
    <x v="0"/>
  </r>
  <r>
    <x v="0"/>
    <x v="0"/>
    <x v="0"/>
    <x v="4"/>
    <x v="9"/>
    <s v="NO5_A1"/>
    <x v="5"/>
    <x v="0"/>
    <x v="0"/>
    <x v="0"/>
  </r>
  <r>
    <x v="0"/>
    <x v="0"/>
    <x v="0"/>
    <x v="4"/>
    <x v="9"/>
    <s v="NO5_A1"/>
    <x v="5"/>
    <x v="1"/>
    <x v="0"/>
    <x v="0"/>
  </r>
  <r>
    <x v="0"/>
    <x v="0"/>
    <x v="0"/>
    <x v="4"/>
    <x v="9"/>
    <s v="NO5_A1"/>
    <x v="5"/>
    <x v="2"/>
    <x v="0"/>
    <x v="0"/>
  </r>
  <r>
    <x v="0"/>
    <x v="0"/>
    <x v="0"/>
    <x v="4"/>
    <x v="9"/>
    <s v="NO5_A1"/>
    <x v="5"/>
    <x v="3"/>
    <x v="0"/>
    <x v="0"/>
  </r>
  <r>
    <x v="0"/>
    <x v="0"/>
    <x v="0"/>
    <x v="4"/>
    <x v="9"/>
    <s v="NO5_A1"/>
    <x v="5"/>
    <x v="4"/>
    <x v="0"/>
    <x v="0"/>
  </r>
  <r>
    <x v="0"/>
    <x v="0"/>
    <x v="0"/>
    <x v="4"/>
    <x v="9"/>
    <s v="NO5_A1"/>
    <x v="5"/>
    <x v="5"/>
    <x v="0"/>
    <x v="0"/>
  </r>
  <r>
    <x v="0"/>
    <x v="0"/>
    <x v="0"/>
    <x v="4"/>
    <x v="9"/>
    <s v="NO5_A1"/>
    <x v="5"/>
    <x v="6"/>
    <x v="0"/>
    <x v="0"/>
  </r>
  <r>
    <x v="0"/>
    <x v="0"/>
    <x v="0"/>
    <x v="4"/>
    <x v="9"/>
    <s v="NO5_A1"/>
    <x v="5"/>
    <x v="7"/>
    <x v="0"/>
    <x v="0"/>
  </r>
  <r>
    <x v="0"/>
    <x v="0"/>
    <x v="0"/>
    <x v="4"/>
    <x v="9"/>
    <s v="NO5_A1"/>
    <x v="5"/>
    <x v="8"/>
    <x v="0"/>
    <x v="0"/>
  </r>
  <r>
    <x v="0"/>
    <x v="0"/>
    <x v="0"/>
    <x v="4"/>
    <x v="9"/>
    <s v="NO5_A1"/>
    <x v="5"/>
    <x v="9"/>
    <x v="0"/>
    <x v="0"/>
  </r>
  <r>
    <x v="0"/>
    <x v="0"/>
    <x v="0"/>
    <x v="4"/>
    <x v="9"/>
    <s v="NO5_A1"/>
    <x v="5"/>
    <x v="10"/>
    <x v="0"/>
    <x v="0"/>
  </r>
  <r>
    <x v="0"/>
    <x v="0"/>
    <x v="0"/>
    <x v="4"/>
    <x v="9"/>
    <s v="NO5_A1"/>
    <x v="5"/>
    <x v="11"/>
    <x v="0"/>
    <x v="0"/>
  </r>
  <r>
    <x v="0"/>
    <x v="0"/>
    <x v="0"/>
    <x v="4"/>
    <x v="9"/>
    <s v="NO5_A1"/>
    <x v="6"/>
    <x v="0"/>
    <x v="0"/>
    <x v="0"/>
  </r>
  <r>
    <x v="0"/>
    <x v="0"/>
    <x v="0"/>
    <x v="4"/>
    <x v="9"/>
    <s v="NO5_A1"/>
    <x v="6"/>
    <x v="1"/>
    <x v="0"/>
    <x v="0"/>
  </r>
  <r>
    <x v="0"/>
    <x v="0"/>
    <x v="0"/>
    <x v="4"/>
    <x v="9"/>
    <s v="NO5_A1"/>
    <x v="6"/>
    <x v="2"/>
    <x v="0"/>
    <x v="0"/>
  </r>
  <r>
    <x v="0"/>
    <x v="0"/>
    <x v="0"/>
    <x v="4"/>
    <x v="9"/>
    <s v="NO5_A1"/>
    <x v="6"/>
    <x v="3"/>
    <x v="0"/>
    <x v="0"/>
  </r>
  <r>
    <x v="0"/>
    <x v="0"/>
    <x v="0"/>
    <x v="4"/>
    <x v="9"/>
    <s v="NO5_A1"/>
    <x v="6"/>
    <x v="4"/>
    <x v="0"/>
    <x v="0"/>
  </r>
  <r>
    <x v="0"/>
    <x v="0"/>
    <x v="0"/>
    <x v="4"/>
    <x v="9"/>
    <s v="NO5_A1"/>
    <x v="6"/>
    <x v="5"/>
    <x v="0"/>
    <x v="0"/>
  </r>
  <r>
    <x v="0"/>
    <x v="0"/>
    <x v="0"/>
    <x v="4"/>
    <x v="9"/>
    <s v="NO5_A1"/>
    <x v="6"/>
    <x v="6"/>
    <x v="0"/>
    <x v="0"/>
  </r>
  <r>
    <x v="0"/>
    <x v="0"/>
    <x v="0"/>
    <x v="4"/>
    <x v="9"/>
    <s v="NO5_A1"/>
    <x v="6"/>
    <x v="7"/>
    <x v="0"/>
    <x v="0"/>
  </r>
  <r>
    <x v="0"/>
    <x v="0"/>
    <x v="0"/>
    <x v="4"/>
    <x v="9"/>
    <s v="NO5_A1"/>
    <x v="6"/>
    <x v="8"/>
    <x v="0"/>
    <x v="0"/>
  </r>
  <r>
    <x v="0"/>
    <x v="0"/>
    <x v="0"/>
    <x v="4"/>
    <x v="9"/>
    <s v="NO5_A1"/>
    <x v="6"/>
    <x v="9"/>
    <x v="0"/>
    <x v="0"/>
  </r>
  <r>
    <x v="0"/>
    <x v="0"/>
    <x v="0"/>
    <x v="4"/>
    <x v="9"/>
    <s v="NO5_A1"/>
    <x v="6"/>
    <x v="10"/>
    <x v="0"/>
    <x v="0"/>
  </r>
  <r>
    <x v="0"/>
    <x v="0"/>
    <x v="0"/>
    <x v="4"/>
    <x v="9"/>
    <s v="NO5_A1"/>
    <x v="6"/>
    <x v="11"/>
    <x v="0"/>
    <x v="0"/>
  </r>
  <r>
    <x v="0"/>
    <x v="0"/>
    <x v="0"/>
    <x v="4"/>
    <x v="9"/>
    <s v="NO5_A1"/>
    <x v="7"/>
    <x v="0"/>
    <x v="0"/>
    <x v="0"/>
  </r>
  <r>
    <x v="0"/>
    <x v="0"/>
    <x v="0"/>
    <x v="4"/>
    <x v="9"/>
    <s v="NO5_A1"/>
    <x v="7"/>
    <x v="1"/>
    <x v="0"/>
    <x v="0"/>
  </r>
  <r>
    <x v="0"/>
    <x v="0"/>
    <x v="0"/>
    <x v="4"/>
    <x v="9"/>
    <s v="NO5_A1"/>
    <x v="7"/>
    <x v="2"/>
    <x v="0"/>
    <x v="0"/>
  </r>
  <r>
    <x v="0"/>
    <x v="0"/>
    <x v="0"/>
    <x v="4"/>
    <x v="9"/>
    <s v="NO5_A1"/>
    <x v="7"/>
    <x v="3"/>
    <x v="0"/>
    <x v="0"/>
  </r>
  <r>
    <x v="0"/>
    <x v="0"/>
    <x v="0"/>
    <x v="4"/>
    <x v="9"/>
    <s v="NO5_A1"/>
    <x v="7"/>
    <x v="4"/>
    <x v="0"/>
    <x v="0"/>
  </r>
  <r>
    <x v="0"/>
    <x v="0"/>
    <x v="0"/>
    <x v="4"/>
    <x v="9"/>
    <s v="NO5_A1"/>
    <x v="7"/>
    <x v="5"/>
    <x v="0"/>
    <x v="0"/>
  </r>
  <r>
    <x v="0"/>
    <x v="0"/>
    <x v="0"/>
    <x v="4"/>
    <x v="9"/>
    <s v="NO5_A1"/>
    <x v="7"/>
    <x v="6"/>
    <x v="0"/>
    <x v="0"/>
  </r>
  <r>
    <x v="0"/>
    <x v="0"/>
    <x v="0"/>
    <x v="4"/>
    <x v="9"/>
    <s v="NO5_A1"/>
    <x v="7"/>
    <x v="7"/>
    <x v="0"/>
    <x v="0"/>
  </r>
  <r>
    <x v="0"/>
    <x v="0"/>
    <x v="0"/>
    <x v="4"/>
    <x v="9"/>
    <s v="NO5_A1"/>
    <x v="7"/>
    <x v="8"/>
    <x v="0"/>
    <x v="0"/>
  </r>
  <r>
    <x v="0"/>
    <x v="0"/>
    <x v="0"/>
    <x v="4"/>
    <x v="9"/>
    <s v="NO5_A1"/>
    <x v="7"/>
    <x v="9"/>
    <x v="0"/>
    <x v="0"/>
  </r>
  <r>
    <x v="0"/>
    <x v="0"/>
    <x v="0"/>
    <x v="4"/>
    <x v="9"/>
    <s v="NO5_A1"/>
    <x v="7"/>
    <x v="10"/>
    <x v="0"/>
    <x v="0"/>
  </r>
  <r>
    <x v="0"/>
    <x v="0"/>
    <x v="0"/>
    <x v="4"/>
    <x v="9"/>
    <s v="NO5_A1"/>
    <x v="7"/>
    <x v="11"/>
    <x v="0"/>
    <x v="0"/>
  </r>
  <r>
    <x v="0"/>
    <x v="0"/>
    <x v="0"/>
    <x v="4"/>
    <x v="9"/>
    <s v="NO5_A1"/>
    <x v="8"/>
    <x v="0"/>
    <x v="0"/>
    <x v="0"/>
  </r>
  <r>
    <x v="0"/>
    <x v="0"/>
    <x v="0"/>
    <x v="4"/>
    <x v="9"/>
    <s v="NO5_A1"/>
    <x v="8"/>
    <x v="1"/>
    <x v="0"/>
    <x v="0"/>
  </r>
  <r>
    <x v="0"/>
    <x v="0"/>
    <x v="0"/>
    <x v="4"/>
    <x v="9"/>
    <s v="NO5_A1"/>
    <x v="8"/>
    <x v="2"/>
    <x v="0"/>
    <x v="0"/>
  </r>
  <r>
    <x v="0"/>
    <x v="0"/>
    <x v="0"/>
    <x v="4"/>
    <x v="9"/>
    <s v="NO5_A1"/>
    <x v="8"/>
    <x v="3"/>
    <x v="0"/>
    <x v="0"/>
  </r>
  <r>
    <x v="0"/>
    <x v="0"/>
    <x v="0"/>
    <x v="4"/>
    <x v="9"/>
    <s v="NO5_A1"/>
    <x v="8"/>
    <x v="4"/>
    <x v="0"/>
    <x v="0"/>
  </r>
  <r>
    <x v="0"/>
    <x v="0"/>
    <x v="0"/>
    <x v="4"/>
    <x v="9"/>
    <s v="NO5_A1"/>
    <x v="8"/>
    <x v="5"/>
    <x v="0"/>
    <x v="0"/>
  </r>
  <r>
    <x v="0"/>
    <x v="0"/>
    <x v="0"/>
    <x v="4"/>
    <x v="9"/>
    <s v="NO5_A1"/>
    <x v="8"/>
    <x v="6"/>
    <x v="0"/>
    <x v="0"/>
  </r>
  <r>
    <x v="0"/>
    <x v="0"/>
    <x v="0"/>
    <x v="4"/>
    <x v="9"/>
    <s v="NO5_A1"/>
    <x v="8"/>
    <x v="7"/>
    <x v="0"/>
    <x v="0"/>
  </r>
  <r>
    <x v="0"/>
    <x v="0"/>
    <x v="0"/>
    <x v="4"/>
    <x v="9"/>
    <s v="NO5_A1"/>
    <x v="8"/>
    <x v="8"/>
    <x v="0"/>
    <x v="0"/>
  </r>
  <r>
    <x v="0"/>
    <x v="0"/>
    <x v="0"/>
    <x v="4"/>
    <x v="9"/>
    <s v="NO5_A1"/>
    <x v="8"/>
    <x v="9"/>
    <x v="0"/>
    <x v="0"/>
  </r>
  <r>
    <x v="0"/>
    <x v="0"/>
    <x v="0"/>
    <x v="4"/>
    <x v="9"/>
    <s v="NO5_A1"/>
    <x v="8"/>
    <x v="10"/>
    <x v="0"/>
    <x v="0"/>
  </r>
  <r>
    <x v="0"/>
    <x v="0"/>
    <x v="0"/>
    <x v="4"/>
    <x v="9"/>
    <s v="NO5_A1"/>
    <x v="8"/>
    <x v="11"/>
    <x v="0"/>
    <x v="0"/>
  </r>
  <r>
    <x v="0"/>
    <x v="0"/>
    <x v="0"/>
    <x v="4"/>
    <x v="9"/>
    <s v="NO5_A1"/>
    <x v="9"/>
    <x v="0"/>
    <x v="0"/>
    <x v="0"/>
  </r>
  <r>
    <x v="0"/>
    <x v="0"/>
    <x v="0"/>
    <x v="4"/>
    <x v="9"/>
    <s v="NO5_A1"/>
    <x v="9"/>
    <x v="1"/>
    <x v="0"/>
    <x v="0"/>
  </r>
  <r>
    <x v="0"/>
    <x v="0"/>
    <x v="0"/>
    <x v="4"/>
    <x v="9"/>
    <s v="NO5_A1"/>
    <x v="9"/>
    <x v="2"/>
    <x v="0"/>
    <x v="0"/>
  </r>
  <r>
    <x v="0"/>
    <x v="0"/>
    <x v="0"/>
    <x v="4"/>
    <x v="9"/>
    <s v="NO5_A1"/>
    <x v="9"/>
    <x v="3"/>
    <x v="0"/>
    <x v="0"/>
  </r>
  <r>
    <x v="0"/>
    <x v="0"/>
    <x v="0"/>
    <x v="4"/>
    <x v="9"/>
    <s v="NO5_A1"/>
    <x v="9"/>
    <x v="4"/>
    <x v="0"/>
    <x v="0"/>
  </r>
  <r>
    <x v="0"/>
    <x v="0"/>
    <x v="0"/>
    <x v="4"/>
    <x v="9"/>
    <s v="NO5_A1"/>
    <x v="9"/>
    <x v="5"/>
    <x v="0"/>
    <x v="0"/>
  </r>
  <r>
    <x v="0"/>
    <x v="0"/>
    <x v="0"/>
    <x v="4"/>
    <x v="9"/>
    <s v="NO5_A1"/>
    <x v="9"/>
    <x v="6"/>
    <x v="0"/>
    <x v="0"/>
  </r>
  <r>
    <x v="0"/>
    <x v="0"/>
    <x v="0"/>
    <x v="4"/>
    <x v="9"/>
    <s v="NO5_A1"/>
    <x v="9"/>
    <x v="7"/>
    <x v="0"/>
    <x v="0"/>
  </r>
  <r>
    <x v="0"/>
    <x v="0"/>
    <x v="0"/>
    <x v="4"/>
    <x v="9"/>
    <s v="NO5_A1"/>
    <x v="9"/>
    <x v="8"/>
    <x v="0"/>
    <x v="0"/>
  </r>
  <r>
    <x v="0"/>
    <x v="0"/>
    <x v="0"/>
    <x v="4"/>
    <x v="9"/>
    <s v="NO5_A1"/>
    <x v="9"/>
    <x v="9"/>
    <x v="0"/>
    <x v="0"/>
  </r>
  <r>
    <x v="0"/>
    <x v="0"/>
    <x v="0"/>
    <x v="4"/>
    <x v="9"/>
    <s v="NO5_A1"/>
    <x v="9"/>
    <x v="10"/>
    <x v="0"/>
    <x v="0"/>
  </r>
  <r>
    <x v="0"/>
    <x v="0"/>
    <x v="0"/>
    <x v="4"/>
    <x v="9"/>
    <s v="NO5_A1"/>
    <x v="9"/>
    <x v="11"/>
    <x v="0"/>
    <x v="0"/>
  </r>
  <r>
    <x v="0"/>
    <x v="0"/>
    <x v="0"/>
    <x v="4"/>
    <x v="9"/>
    <s v="NO5_A1"/>
    <x v="10"/>
    <x v="0"/>
    <x v="0"/>
    <x v="0"/>
  </r>
  <r>
    <x v="0"/>
    <x v="0"/>
    <x v="0"/>
    <x v="4"/>
    <x v="9"/>
    <s v="NO5_A1"/>
    <x v="10"/>
    <x v="1"/>
    <x v="0"/>
    <x v="0"/>
  </r>
  <r>
    <x v="0"/>
    <x v="0"/>
    <x v="0"/>
    <x v="4"/>
    <x v="9"/>
    <s v="NO5_A1"/>
    <x v="10"/>
    <x v="2"/>
    <x v="0"/>
    <x v="0"/>
  </r>
  <r>
    <x v="0"/>
    <x v="0"/>
    <x v="0"/>
    <x v="4"/>
    <x v="9"/>
    <s v="NO5_A1"/>
    <x v="10"/>
    <x v="3"/>
    <x v="0"/>
    <x v="0"/>
  </r>
  <r>
    <x v="0"/>
    <x v="0"/>
    <x v="0"/>
    <x v="4"/>
    <x v="9"/>
    <s v="NO5_A1"/>
    <x v="10"/>
    <x v="4"/>
    <x v="0"/>
    <x v="0"/>
  </r>
  <r>
    <x v="0"/>
    <x v="0"/>
    <x v="0"/>
    <x v="4"/>
    <x v="9"/>
    <s v="NO5_A1"/>
    <x v="10"/>
    <x v="5"/>
    <x v="0"/>
    <x v="0"/>
  </r>
  <r>
    <x v="0"/>
    <x v="0"/>
    <x v="0"/>
    <x v="4"/>
    <x v="9"/>
    <s v="NO5_A1"/>
    <x v="10"/>
    <x v="6"/>
    <x v="0"/>
    <x v="0"/>
  </r>
  <r>
    <x v="0"/>
    <x v="0"/>
    <x v="0"/>
    <x v="4"/>
    <x v="9"/>
    <s v="NO5_A1"/>
    <x v="10"/>
    <x v="7"/>
    <x v="0"/>
    <x v="0"/>
  </r>
  <r>
    <x v="0"/>
    <x v="0"/>
    <x v="0"/>
    <x v="4"/>
    <x v="9"/>
    <s v="NO5_A1"/>
    <x v="10"/>
    <x v="8"/>
    <x v="0"/>
    <x v="0"/>
  </r>
  <r>
    <x v="0"/>
    <x v="0"/>
    <x v="0"/>
    <x v="4"/>
    <x v="9"/>
    <s v="NO5_A1"/>
    <x v="10"/>
    <x v="9"/>
    <x v="0"/>
    <x v="0"/>
  </r>
  <r>
    <x v="0"/>
    <x v="0"/>
    <x v="0"/>
    <x v="4"/>
    <x v="9"/>
    <s v="NO5_A1"/>
    <x v="10"/>
    <x v="10"/>
    <x v="0"/>
    <x v="0"/>
  </r>
  <r>
    <x v="0"/>
    <x v="0"/>
    <x v="0"/>
    <x v="4"/>
    <x v="9"/>
    <s v="NO5_A1"/>
    <x v="10"/>
    <x v="11"/>
    <x v="0"/>
    <x v="0"/>
  </r>
  <r>
    <x v="0"/>
    <x v="0"/>
    <x v="0"/>
    <x v="4"/>
    <x v="9"/>
    <s v="NO5_A1"/>
    <x v="11"/>
    <x v="0"/>
    <x v="0"/>
    <x v="0"/>
  </r>
  <r>
    <x v="0"/>
    <x v="0"/>
    <x v="0"/>
    <x v="4"/>
    <x v="9"/>
    <s v="NO5_A1"/>
    <x v="11"/>
    <x v="1"/>
    <x v="0"/>
    <x v="0"/>
  </r>
  <r>
    <x v="0"/>
    <x v="0"/>
    <x v="0"/>
    <x v="4"/>
    <x v="9"/>
    <s v="NO5_A1"/>
    <x v="11"/>
    <x v="2"/>
    <x v="0"/>
    <x v="0"/>
  </r>
  <r>
    <x v="0"/>
    <x v="0"/>
    <x v="0"/>
    <x v="4"/>
    <x v="9"/>
    <s v="NO5_A1"/>
    <x v="11"/>
    <x v="3"/>
    <x v="0"/>
    <x v="0"/>
  </r>
  <r>
    <x v="0"/>
    <x v="0"/>
    <x v="0"/>
    <x v="4"/>
    <x v="9"/>
    <s v="NO5_A1"/>
    <x v="11"/>
    <x v="4"/>
    <x v="0"/>
    <x v="0"/>
  </r>
  <r>
    <x v="0"/>
    <x v="0"/>
    <x v="0"/>
    <x v="4"/>
    <x v="9"/>
    <s v="NO5_A1"/>
    <x v="11"/>
    <x v="5"/>
    <x v="0"/>
    <x v="0"/>
  </r>
  <r>
    <x v="0"/>
    <x v="0"/>
    <x v="0"/>
    <x v="4"/>
    <x v="9"/>
    <s v="NO5_A1"/>
    <x v="11"/>
    <x v="6"/>
    <x v="0"/>
    <x v="0"/>
  </r>
  <r>
    <x v="0"/>
    <x v="0"/>
    <x v="0"/>
    <x v="4"/>
    <x v="9"/>
    <s v="NO5_A1"/>
    <x v="11"/>
    <x v="7"/>
    <x v="0"/>
    <x v="0"/>
  </r>
  <r>
    <x v="0"/>
    <x v="0"/>
    <x v="0"/>
    <x v="4"/>
    <x v="9"/>
    <s v="NO5_A1"/>
    <x v="11"/>
    <x v="8"/>
    <x v="0"/>
    <x v="0"/>
  </r>
  <r>
    <x v="0"/>
    <x v="0"/>
    <x v="0"/>
    <x v="4"/>
    <x v="9"/>
    <s v="NO5_A1"/>
    <x v="11"/>
    <x v="9"/>
    <x v="0"/>
    <x v="0"/>
  </r>
  <r>
    <x v="0"/>
    <x v="0"/>
    <x v="0"/>
    <x v="4"/>
    <x v="9"/>
    <s v="NO5_A1"/>
    <x v="11"/>
    <x v="10"/>
    <x v="0"/>
    <x v="0"/>
  </r>
  <r>
    <x v="0"/>
    <x v="0"/>
    <x v="0"/>
    <x v="4"/>
    <x v="9"/>
    <s v="NO5_A1"/>
    <x v="11"/>
    <x v="11"/>
    <x v="0"/>
    <x v="0"/>
  </r>
  <r>
    <x v="0"/>
    <x v="0"/>
    <x v="0"/>
    <x v="5"/>
    <x v="10"/>
    <s v="SE1A"/>
    <x v="0"/>
    <x v="0"/>
    <x v="0"/>
    <x v="0"/>
  </r>
  <r>
    <x v="0"/>
    <x v="0"/>
    <x v="0"/>
    <x v="5"/>
    <x v="10"/>
    <s v="SE1A"/>
    <x v="0"/>
    <x v="1"/>
    <x v="0"/>
    <x v="0"/>
  </r>
  <r>
    <x v="0"/>
    <x v="0"/>
    <x v="0"/>
    <x v="5"/>
    <x v="10"/>
    <s v="SE1A"/>
    <x v="0"/>
    <x v="2"/>
    <x v="0"/>
    <x v="0"/>
  </r>
  <r>
    <x v="0"/>
    <x v="0"/>
    <x v="0"/>
    <x v="5"/>
    <x v="10"/>
    <s v="SE1A"/>
    <x v="0"/>
    <x v="3"/>
    <x v="0"/>
    <x v="0"/>
  </r>
  <r>
    <x v="0"/>
    <x v="0"/>
    <x v="0"/>
    <x v="5"/>
    <x v="10"/>
    <s v="SE1A"/>
    <x v="0"/>
    <x v="4"/>
    <x v="0"/>
    <x v="0"/>
  </r>
  <r>
    <x v="0"/>
    <x v="0"/>
    <x v="0"/>
    <x v="5"/>
    <x v="10"/>
    <s v="SE1A"/>
    <x v="0"/>
    <x v="5"/>
    <x v="0"/>
    <x v="0"/>
  </r>
  <r>
    <x v="0"/>
    <x v="0"/>
    <x v="0"/>
    <x v="5"/>
    <x v="10"/>
    <s v="SE1A"/>
    <x v="0"/>
    <x v="6"/>
    <x v="0"/>
    <x v="0"/>
  </r>
  <r>
    <x v="0"/>
    <x v="0"/>
    <x v="0"/>
    <x v="5"/>
    <x v="10"/>
    <s v="SE1A"/>
    <x v="0"/>
    <x v="7"/>
    <x v="0"/>
    <x v="0"/>
  </r>
  <r>
    <x v="0"/>
    <x v="0"/>
    <x v="0"/>
    <x v="5"/>
    <x v="10"/>
    <s v="SE1A"/>
    <x v="0"/>
    <x v="8"/>
    <x v="0"/>
    <x v="0"/>
  </r>
  <r>
    <x v="0"/>
    <x v="0"/>
    <x v="0"/>
    <x v="5"/>
    <x v="10"/>
    <s v="SE1A"/>
    <x v="0"/>
    <x v="9"/>
    <x v="0"/>
    <x v="0"/>
  </r>
  <r>
    <x v="0"/>
    <x v="0"/>
    <x v="0"/>
    <x v="5"/>
    <x v="10"/>
    <s v="SE1A"/>
    <x v="0"/>
    <x v="10"/>
    <x v="0"/>
    <x v="0"/>
  </r>
  <r>
    <x v="0"/>
    <x v="0"/>
    <x v="0"/>
    <x v="5"/>
    <x v="10"/>
    <s v="SE1A"/>
    <x v="0"/>
    <x v="11"/>
    <x v="0"/>
    <x v="0"/>
  </r>
  <r>
    <x v="0"/>
    <x v="0"/>
    <x v="0"/>
    <x v="5"/>
    <x v="10"/>
    <s v="SE1A"/>
    <x v="1"/>
    <x v="0"/>
    <x v="0"/>
    <x v="0"/>
  </r>
  <r>
    <x v="0"/>
    <x v="0"/>
    <x v="0"/>
    <x v="5"/>
    <x v="10"/>
    <s v="SE1A"/>
    <x v="1"/>
    <x v="1"/>
    <x v="0"/>
    <x v="0"/>
  </r>
  <r>
    <x v="0"/>
    <x v="0"/>
    <x v="0"/>
    <x v="5"/>
    <x v="10"/>
    <s v="SE1A"/>
    <x v="1"/>
    <x v="2"/>
    <x v="0"/>
    <x v="0"/>
  </r>
  <r>
    <x v="0"/>
    <x v="0"/>
    <x v="0"/>
    <x v="5"/>
    <x v="10"/>
    <s v="SE1A"/>
    <x v="1"/>
    <x v="3"/>
    <x v="0"/>
    <x v="0"/>
  </r>
  <r>
    <x v="0"/>
    <x v="0"/>
    <x v="0"/>
    <x v="5"/>
    <x v="10"/>
    <s v="SE1A"/>
    <x v="1"/>
    <x v="4"/>
    <x v="0"/>
    <x v="0"/>
  </r>
  <r>
    <x v="0"/>
    <x v="0"/>
    <x v="0"/>
    <x v="5"/>
    <x v="10"/>
    <s v="SE1A"/>
    <x v="1"/>
    <x v="5"/>
    <x v="0"/>
    <x v="0"/>
  </r>
  <r>
    <x v="0"/>
    <x v="0"/>
    <x v="0"/>
    <x v="5"/>
    <x v="10"/>
    <s v="SE1A"/>
    <x v="1"/>
    <x v="6"/>
    <x v="0"/>
    <x v="0"/>
  </r>
  <r>
    <x v="0"/>
    <x v="0"/>
    <x v="0"/>
    <x v="5"/>
    <x v="10"/>
    <s v="SE1A"/>
    <x v="1"/>
    <x v="7"/>
    <x v="0"/>
    <x v="0"/>
  </r>
  <r>
    <x v="0"/>
    <x v="0"/>
    <x v="0"/>
    <x v="5"/>
    <x v="10"/>
    <s v="SE1A"/>
    <x v="1"/>
    <x v="8"/>
    <x v="0"/>
    <x v="0"/>
  </r>
  <r>
    <x v="0"/>
    <x v="0"/>
    <x v="0"/>
    <x v="5"/>
    <x v="10"/>
    <s v="SE1A"/>
    <x v="1"/>
    <x v="9"/>
    <x v="0"/>
    <x v="0"/>
  </r>
  <r>
    <x v="0"/>
    <x v="0"/>
    <x v="0"/>
    <x v="5"/>
    <x v="10"/>
    <s v="SE1A"/>
    <x v="1"/>
    <x v="10"/>
    <x v="0"/>
    <x v="0"/>
  </r>
  <r>
    <x v="0"/>
    <x v="0"/>
    <x v="0"/>
    <x v="5"/>
    <x v="10"/>
    <s v="SE1A"/>
    <x v="1"/>
    <x v="11"/>
    <x v="0"/>
    <x v="0"/>
  </r>
  <r>
    <x v="0"/>
    <x v="0"/>
    <x v="0"/>
    <x v="5"/>
    <x v="10"/>
    <s v="SE1A"/>
    <x v="2"/>
    <x v="0"/>
    <x v="0"/>
    <x v="0"/>
  </r>
  <r>
    <x v="0"/>
    <x v="0"/>
    <x v="0"/>
    <x v="5"/>
    <x v="10"/>
    <s v="SE1A"/>
    <x v="2"/>
    <x v="1"/>
    <x v="0"/>
    <x v="0"/>
  </r>
  <r>
    <x v="0"/>
    <x v="0"/>
    <x v="0"/>
    <x v="5"/>
    <x v="10"/>
    <s v="SE1A"/>
    <x v="2"/>
    <x v="2"/>
    <x v="0"/>
    <x v="0"/>
  </r>
  <r>
    <x v="0"/>
    <x v="0"/>
    <x v="0"/>
    <x v="5"/>
    <x v="10"/>
    <s v="SE1A"/>
    <x v="2"/>
    <x v="3"/>
    <x v="0"/>
    <x v="0"/>
  </r>
  <r>
    <x v="0"/>
    <x v="0"/>
    <x v="0"/>
    <x v="5"/>
    <x v="10"/>
    <s v="SE1A"/>
    <x v="2"/>
    <x v="4"/>
    <x v="0"/>
    <x v="0"/>
  </r>
  <r>
    <x v="0"/>
    <x v="0"/>
    <x v="0"/>
    <x v="5"/>
    <x v="10"/>
    <s v="SE1A"/>
    <x v="2"/>
    <x v="5"/>
    <x v="0"/>
    <x v="0"/>
  </r>
  <r>
    <x v="0"/>
    <x v="0"/>
    <x v="0"/>
    <x v="5"/>
    <x v="10"/>
    <s v="SE1A"/>
    <x v="2"/>
    <x v="6"/>
    <x v="0"/>
    <x v="0"/>
  </r>
  <r>
    <x v="0"/>
    <x v="0"/>
    <x v="0"/>
    <x v="5"/>
    <x v="10"/>
    <s v="SE1A"/>
    <x v="2"/>
    <x v="7"/>
    <x v="0"/>
    <x v="0"/>
  </r>
  <r>
    <x v="0"/>
    <x v="0"/>
    <x v="0"/>
    <x v="5"/>
    <x v="10"/>
    <s v="SE1A"/>
    <x v="2"/>
    <x v="8"/>
    <x v="0"/>
    <x v="0"/>
  </r>
  <r>
    <x v="0"/>
    <x v="0"/>
    <x v="0"/>
    <x v="5"/>
    <x v="10"/>
    <s v="SE1A"/>
    <x v="2"/>
    <x v="9"/>
    <x v="0"/>
    <x v="0"/>
  </r>
  <r>
    <x v="0"/>
    <x v="0"/>
    <x v="0"/>
    <x v="5"/>
    <x v="10"/>
    <s v="SE1A"/>
    <x v="2"/>
    <x v="10"/>
    <x v="0"/>
    <x v="0"/>
  </r>
  <r>
    <x v="0"/>
    <x v="0"/>
    <x v="0"/>
    <x v="5"/>
    <x v="10"/>
    <s v="SE1A"/>
    <x v="2"/>
    <x v="11"/>
    <x v="0"/>
    <x v="0"/>
  </r>
  <r>
    <x v="0"/>
    <x v="0"/>
    <x v="0"/>
    <x v="5"/>
    <x v="10"/>
    <s v="SE1A"/>
    <x v="3"/>
    <x v="0"/>
    <x v="0"/>
    <x v="0"/>
  </r>
  <r>
    <x v="0"/>
    <x v="0"/>
    <x v="0"/>
    <x v="5"/>
    <x v="10"/>
    <s v="SE1A"/>
    <x v="3"/>
    <x v="1"/>
    <x v="0"/>
    <x v="0"/>
  </r>
  <r>
    <x v="0"/>
    <x v="0"/>
    <x v="0"/>
    <x v="5"/>
    <x v="10"/>
    <s v="SE1A"/>
    <x v="3"/>
    <x v="2"/>
    <x v="0"/>
    <x v="0"/>
  </r>
  <r>
    <x v="0"/>
    <x v="0"/>
    <x v="0"/>
    <x v="5"/>
    <x v="10"/>
    <s v="SE1A"/>
    <x v="3"/>
    <x v="3"/>
    <x v="0"/>
    <x v="0"/>
  </r>
  <r>
    <x v="0"/>
    <x v="0"/>
    <x v="0"/>
    <x v="5"/>
    <x v="10"/>
    <s v="SE1A"/>
    <x v="3"/>
    <x v="4"/>
    <x v="0"/>
    <x v="0"/>
  </r>
  <r>
    <x v="0"/>
    <x v="0"/>
    <x v="0"/>
    <x v="5"/>
    <x v="10"/>
    <s v="SE1A"/>
    <x v="3"/>
    <x v="5"/>
    <x v="0"/>
    <x v="0"/>
  </r>
  <r>
    <x v="0"/>
    <x v="0"/>
    <x v="0"/>
    <x v="5"/>
    <x v="10"/>
    <s v="SE1A"/>
    <x v="3"/>
    <x v="6"/>
    <x v="0"/>
    <x v="0"/>
  </r>
  <r>
    <x v="0"/>
    <x v="0"/>
    <x v="0"/>
    <x v="5"/>
    <x v="10"/>
    <s v="SE1A"/>
    <x v="3"/>
    <x v="7"/>
    <x v="0"/>
    <x v="0"/>
  </r>
  <r>
    <x v="0"/>
    <x v="0"/>
    <x v="0"/>
    <x v="5"/>
    <x v="10"/>
    <s v="SE1A"/>
    <x v="3"/>
    <x v="8"/>
    <x v="0"/>
    <x v="0"/>
  </r>
  <r>
    <x v="0"/>
    <x v="0"/>
    <x v="0"/>
    <x v="5"/>
    <x v="10"/>
    <s v="SE1A"/>
    <x v="3"/>
    <x v="9"/>
    <x v="0"/>
    <x v="0"/>
  </r>
  <r>
    <x v="0"/>
    <x v="0"/>
    <x v="0"/>
    <x v="5"/>
    <x v="10"/>
    <s v="SE1A"/>
    <x v="3"/>
    <x v="10"/>
    <x v="0"/>
    <x v="0"/>
  </r>
  <r>
    <x v="0"/>
    <x v="0"/>
    <x v="0"/>
    <x v="5"/>
    <x v="10"/>
    <s v="SE1A"/>
    <x v="3"/>
    <x v="11"/>
    <x v="0"/>
    <x v="0"/>
  </r>
  <r>
    <x v="0"/>
    <x v="0"/>
    <x v="0"/>
    <x v="5"/>
    <x v="10"/>
    <s v="SE1A"/>
    <x v="4"/>
    <x v="0"/>
    <x v="0"/>
    <x v="0"/>
  </r>
  <r>
    <x v="0"/>
    <x v="0"/>
    <x v="0"/>
    <x v="5"/>
    <x v="10"/>
    <s v="SE1A"/>
    <x v="4"/>
    <x v="1"/>
    <x v="0"/>
    <x v="0"/>
  </r>
  <r>
    <x v="0"/>
    <x v="0"/>
    <x v="0"/>
    <x v="5"/>
    <x v="10"/>
    <s v="SE1A"/>
    <x v="4"/>
    <x v="2"/>
    <x v="0"/>
    <x v="0"/>
  </r>
  <r>
    <x v="0"/>
    <x v="0"/>
    <x v="0"/>
    <x v="5"/>
    <x v="10"/>
    <s v="SE1A"/>
    <x v="4"/>
    <x v="3"/>
    <x v="0"/>
    <x v="0"/>
  </r>
  <r>
    <x v="0"/>
    <x v="0"/>
    <x v="0"/>
    <x v="5"/>
    <x v="10"/>
    <s v="SE1A"/>
    <x v="4"/>
    <x v="4"/>
    <x v="0"/>
    <x v="0"/>
  </r>
  <r>
    <x v="0"/>
    <x v="0"/>
    <x v="0"/>
    <x v="5"/>
    <x v="10"/>
    <s v="SE1A"/>
    <x v="4"/>
    <x v="5"/>
    <x v="0"/>
    <x v="0"/>
  </r>
  <r>
    <x v="0"/>
    <x v="0"/>
    <x v="0"/>
    <x v="5"/>
    <x v="10"/>
    <s v="SE1A"/>
    <x v="4"/>
    <x v="6"/>
    <x v="0"/>
    <x v="0"/>
  </r>
  <r>
    <x v="0"/>
    <x v="0"/>
    <x v="0"/>
    <x v="5"/>
    <x v="10"/>
    <s v="SE1A"/>
    <x v="4"/>
    <x v="7"/>
    <x v="0"/>
    <x v="0"/>
  </r>
  <r>
    <x v="0"/>
    <x v="0"/>
    <x v="0"/>
    <x v="5"/>
    <x v="10"/>
    <s v="SE1A"/>
    <x v="4"/>
    <x v="8"/>
    <x v="0"/>
    <x v="0"/>
  </r>
  <r>
    <x v="0"/>
    <x v="0"/>
    <x v="0"/>
    <x v="5"/>
    <x v="10"/>
    <s v="SE1A"/>
    <x v="4"/>
    <x v="9"/>
    <x v="0"/>
    <x v="0"/>
  </r>
  <r>
    <x v="0"/>
    <x v="0"/>
    <x v="0"/>
    <x v="5"/>
    <x v="10"/>
    <s v="SE1A"/>
    <x v="4"/>
    <x v="10"/>
    <x v="0"/>
    <x v="0"/>
  </r>
  <r>
    <x v="0"/>
    <x v="0"/>
    <x v="0"/>
    <x v="5"/>
    <x v="10"/>
    <s v="SE1A"/>
    <x v="4"/>
    <x v="11"/>
    <x v="0"/>
    <x v="0"/>
  </r>
  <r>
    <x v="0"/>
    <x v="0"/>
    <x v="0"/>
    <x v="5"/>
    <x v="10"/>
    <s v="SE1A"/>
    <x v="5"/>
    <x v="0"/>
    <x v="0"/>
    <x v="0"/>
  </r>
  <r>
    <x v="0"/>
    <x v="0"/>
    <x v="0"/>
    <x v="5"/>
    <x v="10"/>
    <s v="SE1A"/>
    <x v="5"/>
    <x v="1"/>
    <x v="0"/>
    <x v="0"/>
  </r>
  <r>
    <x v="0"/>
    <x v="0"/>
    <x v="0"/>
    <x v="5"/>
    <x v="10"/>
    <s v="SE1A"/>
    <x v="5"/>
    <x v="2"/>
    <x v="0"/>
    <x v="0"/>
  </r>
  <r>
    <x v="0"/>
    <x v="0"/>
    <x v="0"/>
    <x v="5"/>
    <x v="10"/>
    <s v="SE1A"/>
    <x v="5"/>
    <x v="3"/>
    <x v="0"/>
    <x v="0"/>
  </r>
  <r>
    <x v="0"/>
    <x v="0"/>
    <x v="0"/>
    <x v="5"/>
    <x v="10"/>
    <s v="SE1A"/>
    <x v="5"/>
    <x v="4"/>
    <x v="0"/>
    <x v="0"/>
  </r>
  <r>
    <x v="0"/>
    <x v="0"/>
    <x v="0"/>
    <x v="5"/>
    <x v="10"/>
    <s v="SE1A"/>
    <x v="5"/>
    <x v="5"/>
    <x v="0"/>
    <x v="0"/>
  </r>
  <r>
    <x v="0"/>
    <x v="0"/>
    <x v="0"/>
    <x v="5"/>
    <x v="10"/>
    <s v="SE1A"/>
    <x v="5"/>
    <x v="6"/>
    <x v="0"/>
    <x v="0"/>
  </r>
  <r>
    <x v="0"/>
    <x v="0"/>
    <x v="0"/>
    <x v="5"/>
    <x v="10"/>
    <s v="SE1A"/>
    <x v="5"/>
    <x v="7"/>
    <x v="0"/>
    <x v="0"/>
  </r>
  <r>
    <x v="0"/>
    <x v="0"/>
    <x v="0"/>
    <x v="5"/>
    <x v="10"/>
    <s v="SE1A"/>
    <x v="5"/>
    <x v="8"/>
    <x v="0"/>
    <x v="0"/>
  </r>
  <r>
    <x v="0"/>
    <x v="0"/>
    <x v="0"/>
    <x v="5"/>
    <x v="10"/>
    <s v="SE1A"/>
    <x v="5"/>
    <x v="9"/>
    <x v="0"/>
    <x v="0"/>
  </r>
  <r>
    <x v="0"/>
    <x v="0"/>
    <x v="0"/>
    <x v="5"/>
    <x v="10"/>
    <s v="SE1A"/>
    <x v="5"/>
    <x v="10"/>
    <x v="0"/>
    <x v="0"/>
  </r>
  <r>
    <x v="0"/>
    <x v="0"/>
    <x v="0"/>
    <x v="5"/>
    <x v="10"/>
    <s v="SE1A"/>
    <x v="5"/>
    <x v="11"/>
    <x v="0"/>
    <x v="0"/>
  </r>
  <r>
    <x v="0"/>
    <x v="0"/>
    <x v="0"/>
    <x v="5"/>
    <x v="10"/>
    <s v="SE1A"/>
    <x v="6"/>
    <x v="0"/>
    <x v="0"/>
    <x v="0"/>
  </r>
  <r>
    <x v="0"/>
    <x v="0"/>
    <x v="0"/>
    <x v="5"/>
    <x v="10"/>
    <s v="SE1A"/>
    <x v="6"/>
    <x v="1"/>
    <x v="0"/>
    <x v="0"/>
  </r>
  <r>
    <x v="0"/>
    <x v="0"/>
    <x v="0"/>
    <x v="5"/>
    <x v="10"/>
    <s v="SE1A"/>
    <x v="6"/>
    <x v="2"/>
    <x v="0"/>
    <x v="0"/>
  </r>
  <r>
    <x v="0"/>
    <x v="0"/>
    <x v="0"/>
    <x v="5"/>
    <x v="10"/>
    <s v="SE1A"/>
    <x v="6"/>
    <x v="3"/>
    <x v="0"/>
    <x v="0"/>
  </r>
  <r>
    <x v="0"/>
    <x v="0"/>
    <x v="0"/>
    <x v="5"/>
    <x v="10"/>
    <s v="SE1A"/>
    <x v="6"/>
    <x v="4"/>
    <x v="0"/>
    <x v="0"/>
  </r>
  <r>
    <x v="0"/>
    <x v="0"/>
    <x v="0"/>
    <x v="5"/>
    <x v="10"/>
    <s v="SE1A"/>
    <x v="6"/>
    <x v="5"/>
    <x v="0"/>
    <x v="0"/>
  </r>
  <r>
    <x v="0"/>
    <x v="0"/>
    <x v="0"/>
    <x v="5"/>
    <x v="10"/>
    <s v="SE1A"/>
    <x v="6"/>
    <x v="6"/>
    <x v="0"/>
    <x v="0"/>
  </r>
  <r>
    <x v="0"/>
    <x v="0"/>
    <x v="0"/>
    <x v="5"/>
    <x v="10"/>
    <s v="SE1A"/>
    <x v="6"/>
    <x v="7"/>
    <x v="0"/>
    <x v="0"/>
  </r>
  <r>
    <x v="0"/>
    <x v="0"/>
    <x v="0"/>
    <x v="5"/>
    <x v="10"/>
    <s v="SE1A"/>
    <x v="6"/>
    <x v="8"/>
    <x v="0"/>
    <x v="0"/>
  </r>
  <r>
    <x v="0"/>
    <x v="0"/>
    <x v="0"/>
    <x v="5"/>
    <x v="10"/>
    <s v="SE1A"/>
    <x v="6"/>
    <x v="9"/>
    <x v="0"/>
    <x v="0"/>
  </r>
  <r>
    <x v="0"/>
    <x v="0"/>
    <x v="0"/>
    <x v="5"/>
    <x v="10"/>
    <s v="SE1A"/>
    <x v="6"/>
    <x v="10"/>
    <x v="0"/>
    <x v="0"/>
  </r>
  <r>
    <x v="0"/>
    <x v="0"/>
    <x v="0"/>
    <x v="5"/>
    <x v="10"/>
    <s v="SE1A"/>
    <x v="6"/>
    <x v="11"/>
    <x v="0"/>
    <x v="0"/>
  </r>
  <r>
    <x v="0"/>
    <x v="0"/>
    <x v="0"/>
    <x v="5"/>
    <x v="10"/>
    <s v="SE1A"/>
    <x v="7"/>
    <x v="0"/>
    <x v="0"/>
    <x v="0"/>
  </r>
  <r>
    <x v="0"/>
    <x v="0"/>
    <x v="0"/>
    <x v="5"/>
    <x v="10"/>
    <s v="SE1A"/>
    <x v="7"/>
    <x v="1"/>
    <x v="0"/>
    <x v="0"/>
  </r>
  <r>
    <x v="0"/>
    <x v="0"/>
    <x v="0"/>
    <x v="5"/>
    <x v="10"/>
    <s v="SE1A"/>
    <x v="7"/>
    <x v="2"/>
    <x v="0"/>
    <x v="0"/>
  </r>
  <r>
    <x v="0"/>
    <x v="0"/>
    <x v="0"/>
    <x v="5"/>
    <x v="10"/>
    <s v="SE1A"/>
    <x v="7"/>
    <x v="3"/>
    <x v="0"/>
    <x v="0"/>
  </r>
  <r>
    <x v="0"/>
    <x v="0"/>
    <x v="0"/>
    <x v="5"/>
    <x v="10"/>
    <s v="SE1A"/>
    <x v="7"/>
    <x v="4"/>
    <x v="0"/>
    <x v="0"/>
  </r>
  <r>
    <x v="0"/>
    <x v="0"/>
    <x v="0"/>
    <x v="5"/>
    <x v="10"/>
    <s v="SE1A"/>
    <x v="7"/>
    <x v="5"/>
    <x v="0"/>
    <x v="0"/>
  </r>
  <r>
    <x v="0"/>
    <x v="0"/>
    <x v="0"/>
    <x v="5"/>
    <x v="10"/>
    <s v="SE1A"/>
    <x v="7"/>
    <x v="6"/>
    <x v="0"/>
    <x v="0"/>
  </r>
  <r>
    <x v="0"/>
    <x v="0"/>
    <x v="0"/>
    <x v="5"/>
    <x v="10"/>
    <s v="SE1A"/>
    <x v="7"/>
    <x v="7"/>
    <x v="0"/>
    <x v="0"/>
  </r>
  <r>
    <x v="0"/>
    <x v="0"/>
    <x v="0"/>
    <x v="5"/>
    <x v="10"/>
    <s v="SE1A"/>
    <x v="7"/>
    <x v="8"/>
    <x v="0"/>
    <x v="0"/>
  </r>
  <r>
    <x v="0"/>
    <x v="0"/>
    <x v="0"/>
    <x v="5"/>
    <x v="10"/>
    <s v="SE1A"/>
    <x v="7"/>
    <x v="9"/>
    <x v="0"/>
    <x v="0"/>
  </r>
  <r>
    <x v="0"/>
    <x v="0"/>
    <x v="0"/>
    <x v="5"/>
    <x v="10"/>
    <s v="SE1A"/>
    <x v="7"/>
    <x v="10"/>
    <x v="0"/>
    <x v="0"/>
  </r>
  <r>
    <x v="0"/>
    <x v="0"/>
    <x v="0"/>
    <x v="5"/>
    <x v="10"/>
    <s v="SE1A"/>
    <x v="7"/>
    <x v="11"/>
    <x v="0"/>
    <x v="0"/>
  </r>
  <r>
    <x v="0"/>
    <x v="0"/>
    <x v="0"/>
    <x v="5"/>
    <x v="10"/>
    <s v="SE1A"/>
    <x v="8"/>
    <x v="0"/>
    <x v="0"/>
    <x v="0"/>
  </r>
  <r>
    <x v="0"/>
    <x v="0"/>
    <x v="0"/>
    <x v="5"/>
    <x v="10"/>
    <s v="SE1A"/>
    <x v="8"/>
    <x v="1"/>
    <x v="0"/>
    <x v="0"/>
  </r>
  <r>
    <x v="0"/>
    <x v="0"/>
    <x v="0"/>
    <x v="5"/>
    <x v="10"/>
    <s v="SE1A"/>
    <x v="8"/>
    <x v="2"/>
    <x v="0"/>
    <x v="0"/>
  </r>
  <r>
    <x v="0"/>
    <x v="0"/>
    <x v="0"/>
    <x v="5"/>
    <x v="10"/>
    <s v="SE1A"/>
    <x v="8"/>
    <x v="3"/>
    <x v="0"/>
    <x v="0"/>
  </r>
  <r>
    <x v="0"/>
    <x v="0"/>
    <x v="0"/>
    <x v="5"/>
    <x v="10"/>
    <s v="SE1A"/>
    <x v="8"/>
    <x v="4"/>
    <x v="0"/>
    <x v="0"/>
  </r>
  <r>
    <x v="0"/>
    <x v="0"/>
    <x v="0"/>
    <x v="5"/>
    <x v="10"/>
    <s v="SE1A"/>
    <x v="8"/>
    <x v="5"/>
    <x v="0"/>
    <x v="0"/>
  </r>
  <r>
    <x v="0"/>
    <x v="0"/>
    <x v="0"/>
    <x v="5"/>
    <x v="10"/>
    <s v="SE1A"/>
    <x v="8"/>
    <x v="6"/>
    <x v="0"/>
    <x v="0"/>
  </r>
  <r>
    <x v="0"/>
    <x v="0"/>
    <x v="0"/>
    <x v="5"/>
    <x v="10"/>
    <s v="SE1A"/>
    <x v="8"/>
    <x v="7"/>
    <x v="0"/>
    <x v="0"/>
  </r>
  <r>
    <x v="0"/>
    <x v="0"/>
    <x v="0"/>
    <x v="5"/>
    <x v="10"/>
    <s v="SE1A"/>
    <x v="8"/>
    <x v="8"/>
    <x v="0"/>
    <x v="0"/>
  </r>
  <r>
    <x v="0"/>
    <x v="0"/>
    <x v="0"/>
    <x v="5"/>
    <x v="10"/>
    <s v="SE1A"/>
    <x v="8"/>
    <x v="9"/>
    <x v="0"/>
    <x v="0"/>
  </r>
  <r>
    <x v="0"/>
    <x v="0"/>
    <x v="0"/>
    <x v="5"/>
    <x v="10"/>
    <s v="SE1A"/>
    <x v="8"/>
    <x v="10"/>
    <x v="0"/>
    <x v="0"/>
  </r>
  <r>
    <x v="0"/>
    <x v="0"/>
    <x v="0"/>
    <x v="5"/>
    <x v="10"/>
    <s v="SE1A"/>
    <x v="8"/>
    <x v="11"/>
    <x v="0"/>
    <x v="0"/>
  </r>
  <r>
    <x v="0"/>
    <x v="0"/>
    <x v="0"/>
    <x v="5"/>
    <x v="10"/>
    <s v="SE1A"/>
    <x v="9"/>
    <x v="0"/>
    <x v="0"/>
    <x v="0"/>
  </r>
  <r>
    <x v="0"/>
    <x v="0"/>
    <x v="0"/>
    <x v="5"/>
    <x v="10"/>
    <s v="SE1A"/>
    <x v="9"/>
    <x v="1"/>
    <x v="0"/>
    <x v="0"/>
  </r>
  <r>
    <x v="0"/>
    <x v="0"/>
    <x v="0"/>
    <x v="5"/>
    <x v="10"/>
    <s v="SE1A"/>
    <x v="9"/>
    <x v="2"/>
    <x v="0"/>
    <x v="0"/>
  </r>
  <r>
    <x v="0"/>
    <x v="0"/>
    <x v="0"/>
    <x v="5"/>
    <x v="10"/>
    <s v="SE1A"/>
    <x v="9"/>
    <x v="3"/>
    <x v="0"/>
    <x v="0"/>
  </r>
  <r>
    <x v="0"/>
    <x v="0"/>
    <x v="0"/>
    <x v="5"/>
    <x v="10"/>
    <s v="SE1A"/>
    <x v="9"/>
    <x v="4"/>
    <x v="0"/>
    <x v="0"/>
  </r>
  <r>
    <x v="0"/>
    <x v="0"/>
    <x v="0"/>
    <x v="5"/>
    <x v="10"/>
    <s v="SE1A"/>
    <x v="9"/>
    <x v="5"/>
    <x v="0"/>
    <x v="0"/>
  </r>
  <r>
    <x v="0"/>
    <x v="0"/>
    <x v="0"/>
    <x v="5"/>
    <x v="10"/>
    <s v="SE1A"/>
    <x v="9"/>
    <x v="6"/>
    <x v="0"/>
    <x v="0"/>
  </r>
  <r>
    <x v="0"/>
    <x v="0"/>
    <x v="0"/>
    <x v="5"/>
    <x v="10"/>
    <s v="SE1A"/>
    <x v="9"/>
    <x v="7"/>
    <x v="0"/>
    <x v="0"/>
  </r>
  <r>
    <x v="0"/>
    <x v="0"/>
    <x v="0"/>
    <x v="5"/>
    <x v="10"/>
    <s v="SE1A"/>
    <x v="9"/>
    <x v="8"/>
    <x v="0"/>
    <x v="0"/>
  </r>
  <r>
    <x v="0"/>
    <x v="0"/>
    <x v="0"/>
    <x v="5"/>
    <x v="10"/>
    <s v="SE1A"/>
    <x v="9"/>
    <x v="9"/>
    <x v="0"/>
    <x v="0"/>
  </r>
  <r>
    <x v="0"/>
    <x v="0"/>
    <x v="0"/>
    <x v="5"/>
    <x v="10"/>
    <s v="SE1A"/>
    <x v="9"/>
    <x v="10"/>
    <x v="0"/>
    <x v="0"/>
  </r>
  <r>
    <x v="0"/>
    <x v="0"/>
    <x v="0"/>
    <x v="5"/>
    <x v="10"/>
    <s v="SE1A"/>
    <x v="9"/>
    <x v="11"/>
    <x v="0"/>
    <x v="0"/>
  </r>
  <r>
    <x v="0"/>
    <x v="0"/>
    <x v="0"/>
    <x v="5"/>
    <x v="10"/>
    <s v="SE1A"/>
    <x v="10"/>
    <x v="0"/>
    <x v="0"/>
    <x v="0"/>
  </r>
  <r>
    <x v="0"/>
    <x v="0"/>
    <x v="0"/>
    <x v="5"/>
    <x v="10"/>
    <s v="SE1A"/>
    <x v="10"/>
    <x v="1"/>
    <x v="0"/>
    <x v="0"/>
  </r>
  <r>
    <x v="0"/>
    <x v="0"/>
    <x v="0"/>
    <x v="5"/>
    <x v="10"/>
    <s v="SE1A"/>
    <x v="10"/>
    <x v="2"/>
    <x v="0"/>
    <x v="0"/>
  </r>
  <r>
    <x v="0"/>
    <x v="0"/>
    <x v="0"/>
    <x v="5"/>
    <x v="10"/>
    <s v="SE1A"/>
    <x v="10"/>
    <x v="3"/>
    <x v="0"/>
    <x v="0"/>
  </r>
  <r>
    <x v="0"/>
    <x v="0"/>
    <x v="0"/>
    <x v="5"/>
    <x v="10"/>
    <s v="SE1A"/>
    <x v="10"/>
    <x v="4"/>
    <x v="0"/>
    <x v="0"/>
  </r>
  <r>
    <x v="0"/>
    <x v="0"/>
    <x v="0"/>
    <x v="5"/>
    <x v="10"/>
    <s v="SE1A"/>
    <x v="10"/>
    <x v="5"/>
    <x v="0"/>
    <x v="0"/>
  </r>
  <r>
    <x v="0"/>
    <x v="0"/>
    <x v="0"/>
    <x v="5"/>
    <x v="10"/>
    <s v="SE1A"/>
    <x v="10"/>
    <x v="6"/>
    <x v="0"/>
    <x v="0"/>
  </r>
  <r>
    <x v="0"/>
    <x v="0"/>
    <x v="0"/>
    <x v="5"/>
    <x v="10"/>
    <s v="SE1A"/>
    <x v="10"/>
    <x v="7"/>
    <x v="0"/>
    <x v="0"/>
  </r>
  <r>
    <x v="0"/>
    <x v="0"/>
    <x v="0"/>
    <x v="5"/>
    <x v="10"/>
    <s v="SE1A"/>
    <x v="10"/>
    <x v="8"/>
    <x v="0"/>
    <x v="0"/>
  </r>
  <r>
    <x v="0"/>
    <x v="0"/>
    <x v="0"/>
    <x v="5"/>
    <x v="10"/>
    <s v="SE1A"/>
    <x v="10"/>
    <x v="9"/>
    <x v="0"/>
    <x v="0"/>
  </r>
  <r>
    <x v="0"/>
    <x v="0"/>
    <x v="0"/>
    <x v="5"/>
    <x v="10"/>
    <s v="SE1A"/>
    <x v="10"/>
    <x v="10"/>
    <x v="0"/>
    <x v="0"/>
  </r>
  <r>
    <x v="0"/>
    <x v="0"/>
    <x v="0"/>
    <x v="5"/>
    <x v="10"/>
    <s v="SE1A"/>
    <x v="10"/>
    <x v="11"/>
    <x v="0"/>
    <x v="0"/>
  </r>
  <r>
    <x v="0"/>
    <x v="0"/>
    <x v="0"/>
    <x v="5"/>
    <x v="10"/>
    <s v="SE1A"/>
    <x v="11"/>
    <x v="0"/>
    <x v="0"/>
    <x v="0"/>
  </r>
  <r>
    <x v="0"/>
    <x v="0"/>
    <x v="0"/>
    <x v="5"/>
    <x v="10"/>
    <s v="SE1A"/>
    <x v="11"/>
    <x v="1"/>
    <x v="0"/>
    <x v="0"/>
  </r>
  <r>
    <x v="0"/>
    <x v="0"/>
    <x v="0"/>
    <x v="5"/>
    <x v="10"/>
    <s v="SE1A"/>
    <x v="11"/>
    <x v="2"/>
    <x v="0"/>
    <x v="0"/>
  </r>
  <r>
    <x v="0"/>
    <x v="0"/>
    <x v="0"/>
    <x v="5"/>
    <x v="10"/>
    <s v="SE1A"/>
    <x v="11"/>
    <x v="3"/>
    <x v="0"/>
    <x v="0"/>
  </r>
  <r>
    <x v="0"/>
    <x v="0"/>
    <x v="0"/>
    <x v="5"/>
    <x v="10"/>
    <s v="SE1A"/>
    <x v="11"/>
    <x v="4"/>
    <x v="0"/>
    <x v="0"/>
  </r>
  <r>
    <x v="0"/>
    <x v="0"/>
    <x v="0"/>
    <x v="5"/>
    <x v="10"/>
    <s v="SE1A"/>
    <x v="11"/>
    <x v="5"/>
    <x v="0"/>
    <x v="0"/>
  </r>
  <r>
    <x v="0"/>
    <x v="0"/>
    <x v="0"/>
    <x v="5"/>
    <x v="10"/>
    <s v="SE1A"/>
    <x v="11"/>
    <x v="6"/>
    <x v="0"/>
    <x v="0"/>
  </r>
  <r>
    <x v="0"/>
    <x v="0"/>
    <x v="0"/>
    <x v="5"/>
    <x v="10"/>
    <s v="SE1A"/>
    <x v="11"/>
    <x v="7"/>
    <x v="0"/>
    <x v="0"/>
  </r>
  <r>
    <x v="0"/>
    <x v="0"/>
    <x v="0"/>
    <x v="5"/>
    <x v="10"/>
    <s v="SE1A"/>
    <x v="11"/>
    <x v="8"/>
    <x v="0"/>
    <x v="0"/>
  </r>
  <r>
    <x v="0"/>
    <x v="0"/>
    <x v="0"/>
    <x v="5"/>
    <x v="10"/>
    <s v="SE1A"/>
    <x v="11"/>
    <x v="9"/>
    <x v="0"/>
    <x v="0"/>
  </r>
  <r>
    <x v="0"/>
    <x v="0"/>
    <x v="0"/>
    <x v="5"/>
    <x v="10"/>
    <s v="SE1A"/>
    <x v="11"/>
    <x v="10"/>
    <x v="0"/>
    <x v="0"/>
  </r>
  <r>
    <x v="0"/>
    <x v="0"/>
    <x v="0"/>
    <x v="5"/>
    <x v="10"/>
    <s v="SE1A"/>
    <x v="11"/>
    <x v="11"/>
    <x v="0"/>
    <x v="0"/>
  </r>
  <r>
    <x v="0"/>
    <x v="0"/>
    <x v="0"/>
    <x v="5"/>
    <x v="10"/>
    <s v="SE1_EL"/>
    <x v="0"/>
    <x v="0"/>
    <x v="0"/>
    <x v="0"/>
  </r>
  <r>
    <x v="0"/>
    <x v="0"/>
    <x v="0"/>
    <x v="5"/>
    <x v="10"/>
    <s v="SE1_EL"/>
    <x v="0"/>
    <x v="1"/>
    <x v="0"/>
    <x v="0"/>
  </r>
  <r>
    <x v="0"/>
    <x v="0"/>
    <x v="0"/>
    <x v="5"/>
    <x v="10"/>
    <s v="SE1_EL"/>
    <x v="0"/>
    <x v="2"/>
    <x v="0"/>
    <x v="0"/>
  </r>
  <r>
    <x v="0"/>
    <x v="0"/>
    <x v="0"/>
    <x v="5"/>
    <x v="10"/>
    <s v="SE1_EL"/>
    <x v="0"/>
    <x v="3"/>
    <x v="0"/>
    <x v="0"/>
  </r>
  <r>
    <x v="0"/>
    <x v="0"/>
    <x v="0"/>
    <x v="5"/>
    <x v="10"/>
    <s v="SE1_EL"/>
    <x v="0"/>
    <x v="4"/>
    <x v="0"/>
    <x v="0"/>
  </r>
  <r>
    <x v="0"/>
    <x v="0"/>
    <x v="0"/>
    <x v="5"/>
    <x v="10"/>
    <s v="SE1_EL"/>
    <x v="0"/>
    <x v="5"/>
    <x v="0"/>
    <x v="0"/>
  </r>
  <r>
    <x v="0"/>
    <x v="0"/>
    <x v="0"/>
    <x v="5"/>
    <x v="10"/>
    <s v="SE1_EL"/>
    <x v="0"/>
    <x v="6"/>
    <x v="0"/>
    <x v="0"/>
  </r>
  <r>
    <x v="0"/>
    <x v="0"/>
    <x v="0"/>
    <x v="5"/>
    <x v="10"/>
    <s v="SE1_EL"/>
    <x v="0"/>
    <x v="7"/>
    <x v="0"/>
    <x v="0"/>
  </r>
  <r>
    <x v="0"/>
    <x v="0"/>
    <x v="0"/>
    <x v="5"/>
    <x v="10"/>
    <s v="SE1_EL"/>
    <x v="0"/>
    <x v="8"/>
    <x v="0"/>
    <x v="0"/>
  </r>
  <r>
    <x v="0"/>
    <x v="0"/>
    <x v="0"/>
    <x v="5"/>
    <x v="10"/>
    <s v="SE1_EL"/>
    <x v="0"/>
    <x v="9"/>
    <x v="0"/>
    <x v="0"/>
  </r>
  <r>
    <x v="0"/>
    <x v="0"/>
    <x v="0"/>
    <x v="5"/>
    <x v="10"/>
    <s v="SE1_EL"/>
    <x v="0"/>
    <x v="10"/>
    <x v="0"/>
    <x v="0"/>
  </r>
  <r>
    <x v="0"/>
    <x v="0"/>
    <x v="0"/>
    <x v="5"/>
    <x v="10"/>
    <s v="SE1_EL"/>
    <x v="0"/>
    <x v="11"/>
    <x v="0"/>
    <x v="0"/>
  </r>
  <r>
    <x v="0"/>
    <x v="0"/>
    <x v="0"/>
    <x v="5"/>
    <x v="10"/>
    <s v="SE1_EL"/>
    <x v="1"/>
    <x v="0"/>
    <x v="0"/>
    <x v="0"/>
  </r>
  <r>
    <x v="0"/>
    <x v="0"/>
    <x v="0"/>
    <x v="5"/>
    <x v="10"/>
    <s v="SE1_EL"/>
    <x v="1"/>
    <x v="1"/>
    <x v="0"/>
    <x v="0"/>
  </r>
  <r>
    <x v="0"/>
    <x v="0"/>
    <x v="0"/>
    <x v="5"/>
    <x v="10"/>
    <s v="SE1_EL"/>
    <x v="1"/>
    <x v="2"/>
    <x v="0"/>
    <x v="0"/>
  </r>
  <r>
    <x v="0"/>
    <x v="0"/>
    <x v="0"/>
    <x v="5"/>
    <x v="10"/>
    <s v="SE1_EL"/>
    <x v="1"/>
    <x v="3"/>
    <x v="0"/>
    <x v="0"/>
  </r>
  <r>
    <x v="0"/>
    <x v="0"/>
    <x v="0"/>
    <x v="5"/>
    <x v="10"/>
    <s v="SE1_EL"/>
    <x v="1"/>
    <x v="4"/>
    <x v="0"/>
    <x v="0"/>
  </r>
  <r>
    <x v="0"/>
    <x v="0"/>
    <x v="0"/>
    <x v="5"/>
    <x v="10"/>
    <s v="SE1_EL"/>
    <x v="1"/>
    <x v="5"/>
    <x v="0"/>
    <x v="0"/>
  </r>
  <r>
    <x v="0"/>
    <x v="0"/>
    <x v="0"/>
    <x v="5"/>
    <x v="10"/>
    <s v="SE1_EL"/>
    <x v="1"/>
    <x v="6"/>
    <x v="0"/>
    <x v="0"/>
  </r>
  <r>
    <x v="0"/>
    <x v="0"/>
    <x v="0"/>
    <x v="5"/>
    <x v="10"/>
    <s v="SE1_EL"/>
    <x v="1"/>
    <x v="7"/>
    <x v="0"/>
    <x v="0"/>
  </r>
  <r>
    <x v="0"/>
    <x v="0"/>
    <x v="0"/>
    <x v="5"/>
    <x v="10"/>
    <s v="SE1_EL"/>
    <x v="1"/>
    <x v="8"/>
    <x v="0"/>
    <x v="0"/>
  </r>
  <r>
    <x v="0"/>
    <x v="0"/>
    <x v="0"/>
    <x v="5"/>
    <x v="10"/>
    <s v="SE1_EL"/>
    <x v="1"/>
    <x v="9"/>
    <x v="0"/>
    <x v="0"/>
  </r>
  <r>
    <x v="0"/>
    <x v="0"/>
    <x v="0"/>
    <x v="5"/>
    <x v="10"/>
    <s v="SE1_EL"/>
    <x v="1"/>
    <x v="10"/>
    <x v="0"/>
    <x v="0"/>
  </r>
  <r>
    <x v="0"/>
    <x v="0"/>
    <x v="0"/>
    <x v="5"/>
    <x v="10"/>
    <s v="SE1_EL"/>
    <x v="1"/>
    <x v="11"/>
    <x v="0"/>
    <x v="0"/>
  </r>
  <r>
    <x v="0"/>
    <x v="0"/>
    <x v="0"/>
    <x v="5"/>
    <x v="10"/>
    <s v="SE1_EL"/>
    <x v="2"/>
    <x v="0"/>
    <x v="0"/>
    <x v="0"/>
  </r>
  <r>
    <x v="0"/>
    <x v="0"/>
    <x v="0"/>
    <x v="5"/>
    <x v="10"/>
    <s v="SE1_EL"/>
    <x v="2"/>
    <x v="1"/>
    <x v="0"/>
    <x v="0"/>
  </r>
  <r>
    <x v="0"/>
    <x v="0"/>
    <x v="0"/>
    <x v="5"/>
    <x v="10"/>
    <s v="SE1_EL"/>
    <x v="2"/>
    <x v="2"/>
    <x v="0"/>
    <x v="0"/>
  </r>
  <r>
    <x v="0"/>
    <x v="0"/>
    <x v="0"/>
    <x v="5"/>
    <x v="10"/>
    <s v="SE1_EL"/>
    <x v="2"/>
    <x v="3"/>
    <x v="0"/>
    <x v="0"/>
  </r>
  <r>
    <x v="0"/>
    <x v="0"/>
    <x v="0"/>
    <x v="5"/>
    <x v="10"/>
    <s v="SE1_EL"/>
    <x v="2"/>
    <x v="4"/>
    <x v="0"/>
    <x v="0"/>
  </r>
  <r>
    <x v="0"/>
    <x v="0"/>
    <x v="0"/>
    <x v="5"/>
    <x v="10"/>
    <s v="SE1_EL"/>
    <x v="2"/>
    <x v="5"/>
    <x v="0"/>
    <x v="0"/>
  </r>
  <r>
    <x v="0"/>
    <x v="0"/>
    <x v="0"/>
    <x v="5"/>
    <x v="10"/>
    <s v="SE1_EL"/>
    <x v="2"/>
    <x v="6"/>
    <x v="0"/>
    <x v="0"/>
  </r>
  <r>
    <x v="0"/>
    <x v="0"/>
    <x v="0"/>
    <x v="5"/>
    <x v="10"/>
    <s v="SE1_EL"/>
    <x v="2"/>
    <x v="7"/>
    <x v="0"/>
    <x v="0"/>
  </r>
  <r>
    <x v="0"/>
    <x v="0"/>
    <x v="0"/>
    <x v="5"/>
    <x v="10"/>
    <s v="SE1_EL"/>
    <x v="2"/>
    <x v="8"/>
    <x v="0"/>
    <x v="0"/>
  </r>
  <r>
    <x v="0"/>
    <x v="0"/>
    <x v="0"/>
    <x v="5"/>
    <x v="10"/>
    <s v="SE1_EL"/>
    <x v="2"/>
    <x v="9"/>
    <x v="0"/>
    <x v="0"/>
  </r>
  <r>
    <x v="0"/>
    <x v="0"/>
    <x v="0"/>
    <x v="5"/>
    <x v="10"/>
    <s v="SE1_EL"/>
    <x v="2"/>
    <x v="10"/>
    <x v="0"/>
    <x v="0"/>
  </r>
  <r>
    <x v="0"/>
    <x v="0"/>
    <x v="0"/>
    <x v="5"/>
    <x v="10"/>
    <s v="SE1_EL"/>
    <x v="2"/>
    <x v="11"/>
    <x v="0"/>
    <x v="0"/>
  </r>
  <r>
    <x v="0"/>
    <x v="0"/>
    <x v="0"/>
    <x v="5"/>
    <x v="10"/>
    <s v="SE1_EL"/>
    <x v="3"/>
    <x v="0"/>
    <x v="0"/>
    <x v="0"/>
  </r>
  <r>
    <x v="0"/>
    <x v="0"/>
    <x v="0"/>
    <x v="5"/>
    <x v="10"/>
    <s v="SE1_EL"/>
    <x v="3"/>
    <x v="1"/>
    <x v="0"/>
    <x v="0"/>
  </r>
  <r>
    <x v="0"/>
    <x v="0"/>
    <x v="0"/>
    <x v="5"/>
    <x v="10"/>
    <s v="SE1_EL"/>
    <x v="3"/>
    <x v="2"/>
    <x v="0"/>
    <x v="0"/>
  </r>
  <r>
    <x v="0"/>
    <x v="0"/>
    <x v="0"/>
    <x v="5"/>
    <x v="10"/>
    <s v="SE1_EL"/>
    <x v="3"/>
    <x v="3"/>
    <x v="0"/>
    <x v="0"/>
  </r>
  <r>
    <x v="0"/>
    <x v="0"/>
    <x v="0"/>
    <x v="5"/>
    <x v="10"/>
    <s v="SE1_EL"/>
    <x v="3"/>
    <x v="4"/>
    <x v="0"/>
    <x v="0"/>
  </r>
  <r>
    <x v="0"/>
    <x v="0"/>
    <x v="0"/>
    <x v="5"/>
    <x v="10"/>
    <s v="SE1_EL"/>
    <x v="3"/>
    <x v="5"/>
    <x v="0"/>
    <x v="0"/>
  </r>
  <r>
    <x v="0"/>
    <x v="0"/>
    <x v="0"/>
    <x v="5"/>
    <x v="10"/>
    <s v="SE1_EL"/>
    <x v="3"/>
    <x v="6"/>
    <x v="0"/>
    <x v="0"/>
  </r>
  <r>
    <x v="0"/>
    <x v="0"/>
    <x v="0"/>
    <x v="5"/>
    <x v="10"/>
    <s v="SE1_EL"/>
    <x v="3"/>
    <x v="7"/>
    <x v="0"/>
    <x v="0"/>
  </r>
  <r>
    <x v="0"/>
    <x v="0"/>
    <x v="0"/>
    <x v="5"/>
    <x v="10"/>
    <s v="SE1_EL"/>
    <x v="3"/>
    <x v="8"/>
    <x v="0"/>
    <x v="0"/>
  </r>
  <r>
    <x v="0"/>
    <x v="0"/>
    <x v="0"/>
    <x v="5"/>
    <x v="10"/>
    <s v="SE1_EL"/>
    <x v="3"/>
    <x v="9"/>
    <x v="0"/>
    <x v="0"/>
  </r>
  <r>
    <x v="0"/>
    <x v="0"/>
    <x v="0"/>
    <x v="5"/>
    <x v="10"/>
    <s v="SE1_EL"/>
    <x v="3"/>
    <x v="10"/>
    <x v="0"/>
    <x v="0"/>
  </r>
  <r>
    <x v="0"/>
    <x v="0"/>
    <x v="0"/>
    <x v="5"/>
    <x v="10"/>
    <s v="SE1_EL"/>
    <x v="3"/>
    <x v="11"/>
    <x v="0"/>
    <x v="0"/>
  </r>
  <r>
    <x v="0"/>
    <x v="0"/>
    <x v="0"/>
    <x v="5"/>
    <x v="10"/>
    <s v="SE1_EL"/>
    <x v="4"/>
    <x v="0"/>
    <x v="0"/>
    <x v="0"/>
  </r>
  <r>
    <x v="0"/>
    <x v="0"/>
    <x v="0"/>
    <x v="5"/>
    <x v="10"/>
    <s v="SE1_EL"/>
    <x v="4"/>
    <x v="1"/>
    <x v="0"/>
    <x v="0"/>
  </r>
  <r>
    <x v="0"/>
    <x v="0"/>
    <x v="0"/>
    <x v="5"/>
    <x v="10"/>
    <s v="SE1_EL"/>
    <x v="4"/>
    <x v="2"/>
    <x v="0"/>
    <x v="0"/>
  </r>
  <r>
    <x v="0"/>
    <x v="0"/>
    <x v="0"/>
    <x v="5"/>
    <x v="10"/>
    <s v="SE1_EL"/>
    <x v="4"/>
    <x v="3"/>
    <x v="0"/>
    <x v="0"/>
  </r>
  <r>
    <x v="0"/>
    <x v="0"/>
    <x v="0"/>
    <x v="5"/>
    <x v="10"/>
    <s v="SE1_EL"/>
    <x v="4"/>
    <x v="4"/>
    <x v="0"/>
    <x v="0"/>
  </r>
  <r>
    <x v="0"/>
    <x v="0"/>
    <x v="0"/>
    <x v="5"/>
    <x v="10"/>
    <s v="SE1_EL"/>
    <x v="4"/>
    <x v="5"/>
    <x v="0"/>
    <x v="0"/>
  </r>
  <r>
    <x v="0"/>
    <x v="0"/>
    <x v="0"/>
    <x v="5"/>
    <x v="10"/>
    <s v="SE1_EL"/>
    <x v="4"/>
    <x v="6"/>
    <x v="0"/>
    <x v="0"/>
  </r>
  <r>
    <x v="0"/>
    <x v="0"/>
    <x v="0"/>
    <x v="5"/>
    <x v="10"/>
    <s v="SE1_EL"/>
    <x v="4"/>
    <x v="7"/>
    <x v="0"/>
    <x v="0"/>
  </r>
  <r>
    <x v="0"/>
    <x v="0"/>
    <x v="0"/>
    <x v="5"/>
    <x v="10"/>
    <s v="SE1_EL"/>
    <x v="4"/>
    <x v="8"/>
    <x v="0"/>
    <x v="0"/>
  </r>
  <r>
    <x v="0"/>
    <x v="0"/>
    <x v="0"/>
    <x v="5"/>
    <x v="10"/>
    <s v="SE1_EL"/>
    <x v="4"/>
    <x v="9"/>
    <x v="0"/>
    <x v="0"/>
  </r>
  <r>
    <x v="0"/>
    <x v="0"/>
    <x v="0"/>
    <x v="5"/>
    <x v="10"/>
    <s v="SE1_EL"/>
    <x v="4"/>
    <x v="10"/>
    <x v="0"/>
    <x v="0"/>
  </r>
  <r>
    <x v="0"/>
    <x v="0"/>
    <x v="0"/>
    <x v="5"/>
    <x v="10"/>
    <s v="SE1_EL"/>
    <x v="4"/>
    <x v="11"/>
    <x v="0"/>
    <x v="0"/>
  </r>
  <r>
    <x v="0"/>
    <x v="0"/>
    <x v="0"/>
    <x v="5"/>
    <x v="10"/>
    <s v="SE1_EL"/>
    <x v="5"/>
    <x v="0"/>
    <x v="0"/>
    <x v="0"/>
  </r>
  <r>
    <x v="0"/>
    <x v="0"/>
    <x v="0"/>
    <x v="5"/>
    <x v="10"/>
    <s v="SE1_EL"/>
    <x v="5"/>
    <x v="1"/>
    <x v="0"/>
    <x v="0"/>
  </r>
  <r>
    <x v="0"/>
    <x v="0"/>
    <x v="0"/>
    <x v="5"/>
    <x v="10"/>
    <s v="SE1_EL"/>
    <x v="5"/>
    <x v="2"/>
    <x v="0"/>
    <x v="0"/>
  </r>
  <r>
    <x v="0"/>
    <x v="0"/>
    <x v="0"/>
    <x v="5"/>
    <x v="10"/>
    <s v="SE1_EL"/>
    <x v="5"/>
    <x v="3"/>
    <x v="0"/>
    <x v="0"/>
  </r>
  <r>
    <x v="0"/>
    <x v="0"/>
    <x v="0"/>
    <x v="5"/>
    <x v="10"/>
    <s v="SE1_EL"/>
    <x v="5"/>
    <x v="4"/>
    <x v="0"/>
    <x v="0"/>
  </r>
  <r>
    <x v="0"/>
    <x v="0"/>
    <x v="0"/>
    <x v="5"/>
    <x v="10"/>
    <s v="SE1_EL"/>
    <x v="5"/>
    <x v="5"/>
    <x v="0"/>
    <x v="0"/>
  </r>
  <r>
    <x v="0"/>
    <x v="0"/>
    <x v="0"/>
    <x v="5"/>
    <x v="10"/>
    <s v="SE1_EL"/>
    <x v="5"/>
    <x v="6"/>
    <x v="0"/>
    <x v="0"/>
  </r>
  <r>
    <x v="0"/>
    <x v="0"/>
    <x v="0"/>
    <x v="5"/>
    <x v="10"/>
    <s v="SE1_EL"/>
    <x v="5"/>
    <x v="7"/>
    <x v="0"/>
    <x v="0"/>
  </r>
  <r>
    <x v="0"/>
    <x v="0"/>
    <x v="0"/>
    <x v="5"/>
    <x v="10"/>
    <s v="SE1_EL"/>
    <x v="5"/>
    <x v="8"/>
    <x v="0"/>
    <x v="0"/>
  </r>
  <r>
    <x v="0"/>
    <x v="0"/>
    <x v="0"/>
    <x v="5"/>
    <x v="10"/>
    <s v="SE1_EL"/>
    <x v="5"/>
    <x v="9"/>
    <x v="0"/>
    <x v="0"/>
  </r>
  <r>
    <x v="0"/>
    <x v="0"/>
    <x v="0"/>
    <x v="5"/>
    <x v="10"/>
    <s v="SE1_EL"/>
    <x v="5"/>
    <x v="10"/>
    <x v="0"/>
    <x v="0"/>
  </r>
  <r>
    <x v="0"/>
    <x v="0"/>
    <x v="0"/>
    <x v="5"/>
    <x v="10"/>
    <s v="SE1_EL"/>
    <x v="5"/>
    <x v="11"/>
    <x v="0"/>
    <x v="0"/>
  </r>
  <r>
    <x v="0"/>
    <x v="0"/>
    <x v="0"/>
    <x v="5"/>
    <x v="10"/>
    <s v="SE1_EL"/>
    <x v="6"/>
    <x v="0"/>
    <x v="0"/>
    <x v="0"/>
  </r>
  <r>
    <x v="0"/>
    <x v="0"/>
    <x v="0"/>
    <x v="5"/>
    <x v="10"/>
    <s v="SE1_EL"/>
    <x v="6"/>
    <x v="1"/>
    <x v="0"/>
    <x v="0"/>
  </r>
  <r>
    <x v="0"/>
    <x v="0"/>
    <x v="0"/>
    <x v="5"/>
    <x v="10"/>
    <s v="SE1_EL"/>
    <x v="6"/>
    <x v="2"/>
    <x v="0"/>
    <x v="0"/>
  </r>
  <r>
    <x v="0"/>
    <x v="0"/>
    <x v="0"/>
    <x v="5"/>
    <x v="10"/>
    <s v="SE1_EL"/>
    <x v="6"/>
    <x v="3"/>
    <x v="0"/>
    <x v="0"/>
  </r>
  <r>
    <x v="0"/>
    <x v="0"/>
    <x v="0"/>
    <x v="5"/>
    <x v="10"/>
    <s v="SE1_EL"/>
    <x v="6"/>
    <x v="4"/>
    <x v="0"/>
    <x v="0"/>
  </r>
  <r>
    <x v="0"/>
    <x v="0"/>
    <x v="0"/>
    <x v="5"/>
    <x v="10"/>
    <s v="SE1_EL"/>
    <x v="6"/>
    <x v="5"/>
    <x v="0"/>
    <x v="0"/>
  </r>
  <r>
    <x v="0"/>
    <x v="0"/>
    <x v="0"/>
    <x v="5"/>
    <x v="10"/>
    <s v="SE1_EL"/>
    <x v="6"/>
    <x v="6"/>
    <x v="0"/>
    <x v="0"/>
  </r>
  <r>
    <x v="0"/>
    <x v="0"/>
    <x v="0"/>
    <x v="5"/>
    <x v="10"/>
    <s v="SE1_EL"/>
    <x v="6"/>
    <x v="7"/>
    <x v="0"/>
    <x v="0"/>
  </r>
  <r>
    <x v="0"/>
    <x v="0"/>
    <x v="0"/>
    <x v="5"/>
    <x v="10"/>
    <s v="SE1_EL"/>
    <x v="6"/>
    <x v="8"/>
    <x v="0"/>
    <x v="0"/>
  </r>
  <r>
    <x v="0"/>
    <x v="0"/>
    <x v="0"/>
    <x v="5"/>
    <x v="10"/>
    <s v="SE1_EL"/>
    <x v="6"/>
    <x v="9"/>
    <x v="0"/>
    <x v="0"/>
  </r>
  <r>
    <x v="0"/>
    <x v="0"/>
    <x v="0"/>
    <x v="5"/>
    <x v="10"/>
    <s v="SE1_EL"/>
    <x v="6"/>
    <x v="10"/>
    <x v="0"/>
    <x v="0"/>
  </r>
  <r>
    <x v="0"/>
    <x v="0"/>
    <x v="0"/>
    <x v="5"/>
    <x v="10"/>
    <s v="SE1_EL"/>
    <x v="6"/>
    <x v="11"/>
    <x v="0"/>
    <x v="0"/>
  </r>
  <r>
    <x v="0"/>
    <x v="0"/>
    <x v="0"/>
    <x v="5"/>
    <x v="10"/>
    <s v="SE1_EL"/>
    <x v="7"/>
    <x v="0"/>
    <x v="0"/>
    <x v="0"/>
  </r>
  <r>
    <x v="0"/>
    <x v="0"/>
    <x v="0"/>
    <x v="5"/>
    <x v="10"/>
    <s v="SE1_EL"/>
    <x v="7"/>
    <x v="1"/>
    <x v="0"/>
    <x v="0"/>
  </r>
  <r>
    <x v="0"/>
    <x v="0"/>
    <x v="0"/>
    <x v="5"/>
    <x v="10"/>
    <s v="SE1_EL"/>
    <x v="7"/>
    <x v="2"/>
    <x v="0"/>
    <x v="0"/>
  </r>
  <r>
    <x v="0"/>
    <x v="0"/>
    <x v="0"/>
    <x v="5"/>
    <x v="10"/>
    <s v="SE1_EL"/>
    <x v="7"/>
    <x v="3"/>
    <x v="0"/>
    <x v="0"/>
  </r>
  <r>
    <x v="0"/>
    <x v="0"/>
    <x v="0"/>
    <x v="5"/>
    <x v="10"/>
    <s v="SE1_EL"/>
    <x v="7"/>
    <x v="4"/>
    <x v="0"/>
    <x v="0"/>
  </r>
  <r>
    <x v="0"/>
    <x v="0"/>
    <x v="0"/>
    <x v="5"/>
    <x v="10"/>
    <s v="SE1_EL"/>
    <x v="7"/>
    <x v="5"/>
    <x v="0"/>
    <x v="0"/>
  </r>
  <r>
    <x v="0"/>
    <x v="0"/>
    <x v="0"/>
    <x v="5"/>
    <x v="10"/>
    <s v="SE1_EL"/>
    <x v="7"/>
    <x v="6"/>
    <x v="0"/>
    <x v="0"/>
  </r>
  <r>
    <x v="0"/>
    <x v="0"/>
    <x v="0"/>
    <x v="5"/>
    <x v="10"/>
    <s v="SE1_EL"/>
    <x v="7"/>
    <x v="7"/>
    <x v="0"/>
    <x v="0"/>
  </r>
  <r>
    <x v="0"/>
    <x v="0"/>
    <x v="0"/>
    <x v="5"/>
    <x v="10"/>
    <s v="SE1_EL"/>
    <x v="7"/>
    <x v="8"/>
    <x v="0"/>
    <x v="0"/>
  </r>
  <r>
    <x v="0"/>
    <x v="0"/>
    <x v="0"/>
    <x v="5"/>
    <x v="10"/>
    <s v="SE1_EL"/>
    <x v="7"/>
    <x v="9"/>
    <x v="0"/>
    <x v="0"/>
  </r>
  <r>
    <x v="0"/>
    <x v="0"/>
    <x v="0"/>
    <x v="5"/>
    <x v="10"/>
    <s v="SE1_EL"/>
    <x v="7"/>
    <x v="10"/>
    <x v="0"/>
    <x v="0"/>
  </r>
  <r>
    <x v="0"/>
    <x v="0"/>
    <x v="0"/>
    <x v="5"/>
    <x v="10"/>
    <s v="SE1_EL"/>
    <x v="7"/>
    <x v="11"/>
    <x v="0"/>
    <x v="0"/>
  </r>
  <r>
    <x v="0"/>
    <x v="0"/>
    <x v="0"/>
    <x v="5"/>
    <x v="10"/>
    <s v="SE1_EL"/>
    <x v="8"/>
    <x v="0"/>
    <x v="0"/>
    <x v="0"/>
  </r>
  <r>
    <x v="0"/>
    <x v="0"/>
    <x v="0"/>
    <x v="5"/>
    <x v="10"/>
    <s v="SE1_EL"/>
    <x v="8"/>
    <x v="1"/>
    <x v="0"/>
    <x v="0"/>
  </r>
  <r>
    <x v="0"/>
    <x v="0"/>
    <x v="0"/>
    <x v="5"/>
    <x v="10"/>
    <s v="SE1_EL"/>
    <x v="8"/>
    <x v="2"/>
    <x v="0"/>
    <x v="0"/>
  </r>
  <r>
    <x v="0"/>
    <x v="0"/>
    <x v="0"/>
    <x v="5"/>
    <x v="10"/>
    <s v="SE1_EL"/>
    <x v="8"/>
    <x v="3"/>
    <x v="0"/>
    <x v="0"/>
  </r>
  <r>
    <x v="0"/>
    <x v="0"/>
    <x v="0"/>
    <x v="5"/>
    <x v="10"/>
    <s v="SE1_EL"/>
    <x v="8"/>
    <x v="4"/>
    <x v="0"/>
    <x v="0"/>
  </r>
  <r>
    <x v="0"/>
    <x v="0"/>
    <x v="0"/>
    <x v="5"/>
    <x v="10"/>
    <s v="SE1_EL"/>
    <x v="8"/>
    <x v="5"/>
    <x v="0"/>
    <x v="0"/>
  </r>
  <r>
    <x v="0"/>
    <x v="0"/>
    <x v="0"/>
    <x v="5"/>
    <x v="10"/>
    <s v="SE1_EL"/>
    <x v="8"/>
    <x v="6"/>
    <x v="0"/>
    <x v="0"/>
  </r>
  <r>
    <x v="0"/>
    <x v="0"/>
    <x v="0"/>
    <x v="5"/>
    <x v="10"/>
    <s v="SE1_EL"/>
    <x v="8"/>
    <x v="7"/>
    <x v="0"/>
    <x v="0"/>
  </r>
  <r>
    <x v="0"/>
    <x v="0"/>
    <x v="0"/>
    <x v="5"/>
    <x v="10"/>
    <s v="SE1_EL"/>
    <x v="8"/>
    <x v="8"/>
    <x v="0"/>
    <x v="0"/>
  </r>
  <r>
    <x v="0"/>
    <x v="0"/>
    <x v="0"/>
    <x v="5"/>
    <x v="10"/>
    <s v="SE1_EL"/>
    <x v="8"/>
    <x v="9"/>
    <x v="0"/>
    <x v="0"/>
  </r>
  <r>
    <x v="0"/>
    <x v="0"/>
    <x v="0"/>
    <x v="5"/>
    <x v="10"/>
    <s v="SE1_EL"/>
    <x v="8"/>
    <x v="10"/>
    <x v="0"/>
    <x v="0"/>
  </r>
  <r>
    <x v="0"/>
    <x v="0"/>
    <x v="0"/>
    <x v="5"/>
    <x v="10"/>
    <s v="SE1_EL"/>
    <x v="8"/>
    <x v="11"/>
    <x v="0"/>
    <x v="0"/>
  </r>
  <r>
    <x v="0"/>
    <x v="0"/>
    <x v="0"/>
    <x v="5"/>
    <x v="10"/>
    <s v="SE1_EL"/>
    <x v="9"/>
    <x v="0"/>
    <x v="0"/>
    <x v="0"/>
  </r>
  <r>
    <x v="0"/>
    <x v="0"/>
    <x v="0"/>
    <x v="5"/>
    <x v="10"/>
    <s v="SE1_EL"/>
    <x v="9"/>
    <x v="1"/>
    <x v="0"/>
    <x v="0"/>
  </r>
  <r>
    <x v="0"/>
    <x v="0"/>
    <x v="0"/>
    <x v="5"/>
    <x v="10"/>
    <s v="SE1_EL"/>
    <x v="9"/>
    <x v="2"/>
    <x v="0"/>
    <x v="0"/>
  </r>
  <r>
    <x v="0"/>
    <x v="0"/>
    <x v="0"/>
    <x v="5"/>
    <x v="10"/>
    <s v="SE1_EL"/>
    <x v="9"/>
    <x v="3"/>
    <x v="0"/>
    <x v="0"/>
  </r>
  <r>
    <x v="0"/>
    <x v="0"/>
    <x v="0"/>
    <x v="5"/>
    <x v="10"/>
    <s v="SE1_EL"/>
    <x v="9"/>
    <x v="4"/>
    <x v="0"/>
    <x v="0"/>
  </r>
  <r>
    <x v="0"/>
    <x v="0"/>
    <x v="0"/>
    <x v="5"/>
    <x v="10"/>
    <s v="SE1_EL"/>
    <x v="9"/>
    <x v="5"/>
    <x v="0"/>
    <x v="0"/>
  </r>
  <r>
    <x v="0"/>
    <x v="0"/>
    <x v="0"/>
    <x v="5"/>
    <x v="10"/>
    <s v="SE1_EL"/>
    <x v="9"/>
    <x v="6"/>
    <x v="0"/>
    <x v="0"/>
  </r>
  <r>
    <x v="0"/>
    <x v="0"/>
    <x v="0"/>
    <x v="5"/>
    <x v="10"/>
    <s v="SE1_EL"/>
    <x v="9"/>
    <x v="7"/>
    <x v="0"/>
    <x v="0"/>
  </r>
  <r>
    <x v="0"/>
    <x v="0"/>
    <x v="0"/>
    <x v="5"/>
    <x v="10"/>
    <s v="SE1_EL"/>
    <x v="9"/>
    <x v="8"/>
    <x v="0"/>
    <x v="0"/>
  </r>
  <r>
    <x v="0"/>
    <x v="0"/>
    <x v="0"/>
    <x v="5"/>
    <x v="10"/>
    <s v="SE1_EL"/>
    <x v="9"/>
    <x v="9"/>
    <x v="0"/>
    <x v="0"/>
  </r>
  <r>
    <x v="0"/>
    <x v="0"/>
    <x v="0"/>
    <x v="5"/>
    <x v="10"/>
    <s v="SE1_EL"/>
    <x v="9"/>
    <x v="10"/>
    <x v="0"/>
    <x v="0"/>
  </r>
  <r>
    <x v="0"/>
    <x v="0"/>
    <x v="0"/>
    <x v="5"/>
    <x v="10"/>
    <s v="SE1_EL"/>
    <x v="9"/>
    <x v="11"/>
    <x v="0"/>
    <x v="0"/>
  </r>
  <r>
    <x v="0"/>
    <x v="0"/>
    <x v="0"/>
    <x v="5"/>
    <x v="10"/>
    <s v="SE1_EL"/>
    <x v="10"/>
    <x v="0"/>
    <x v="0"/>
    <x v="0"/>
  </r>
  <r>
    <x v="0"/>
    <x v="0"/>
    <x v="0"/>
    <x v="5"/>
    <x v="10"/>
    <s v="SE1_EL"/>
    <x v="10"/>
    <x v="1"/>
    <x v="0"/>
    <x v="0"/>
  </r>
  <r>
    <x v="0"/>
    <x v="0"/>
    <x v="0"/>
    <x v="5"/>
    <x v="10"/>
    <s v="SE1_EL"/>
    <x v="10"/>
    <x v="2"/>
    <x v="0"/>
    <x v="0"/>
  </r>
  <r>
    <x v="0"/>
    <x v="0"/>
    <x v="0"/>
    <x v="5"/>
    <x v="10"/>
    <s v="SE1_EL"/>
    <x v="10"/>
    <x v="3"/>
    <x v="0"/>
    <x v="0"/>
  </r>
  <r>
    <x v="0"/>
    <x v="0"/>
    <x v="0"/>
    <x v="5"/>
    <x v="10"/>
    <s v="SE1_EL"/>
    <x v="10"/>
    <x v="4"/>
    <x v="0"/>
    <x v="0"/>
  </r>
  <r>
    <x v="0"/>
    <x v="0"/>
    <x v="0"/>
    <x v="5"/>
    <x v="10"/>
    <s v="SE1_EL"/>
    <x v="10"/>
    <x v="5"/>
    <x v="0"/>
    <x v="0"/>
  </r>
  <r>
    <x v="0"/>
    <x v="0"/>
    <x v="0"/>
    <x v="5"/>
    <x v="10"/>
    <s v="SE1_EL"/>
    <x v="10"/>
    <x v="6"/>
    <x v="0"/>
    <x v="0"/>
  </r>
  <r>
    <x v="0"/>
    <x v="0"/>
    <x v="0"/>
    <x v="5"/>
    <x v="10"/>
    <s v="SE1_EL"/>
    <x v="10"/>
    <x v="7"/>
    <x v="0"/>
    <x v="0"/>
  </r>
  <r>
    <x v="0"/>
    <x v="0"/>
    <x v="0"/>
    <x v="5"/>
    <x v="10"/>
    <s v="SE1_EL"/>
    <x v="10"/>
    <x v="8"/>
    <x v="0"/>
    <x v="0"/>
  </r>
  <r>
    <x v="0"/>
    <x v="0"/>
    <x v="0"/>
    <x v="5"/>
    <x v="10"/>
    <s v="SE1_EL"/>
    <x v="10"/>
    <x v="9"/>
    <x v="0"/>
    <x v="0"/>
  </r>
  <r>
    <x v="0"/>
    <x v="0"/>
    <x v="0"/>
    <x v="5"/>
    <x v="10"/>
    <s v="SE1_EL"/>
    <x v="10"/>
    <x v="10"/>
    <x v="0"/>
    <x v="0"/>
  </r>
  <r>
    <x v="0"/>
    <x v="0"/>
    <x v="0"/>
    <x v="5"/>
    <x v="10"/>
    <s v="SE1_EL"/>
    <x v="10"/>
    <x v="11"/>
    <x v="0"/>
    <x v="0"/>
  </r>
  <r>
    <x v="0"/>
    <x v="0"/>
    <x v="0"/>
    <x v="5"/>
    <x v="10"/>
    <s v="SE1_EL"/>
    <x v="11"/>
    <x v="0"/>
    <x v="0"/>
    <x v="0"/>
  </r>
  <r>
    <x v="0"/>
    <x v="0"/>
    <x v="0"/>
    <x v="5"/>
    <x v="10"/>
    <s v="SE1_EL"/>
    <x v="11"/>
    <x v="1"/>
    <x v="0"/>
    <x v="0"/>
  </r>
  <r>
    <x v="0"/>
    <x v="0"/>
    <x v="0"/>
    <x v="5"/>
    <x v="10"/>
    <s v="SE1_EL"/>
    <x v="11"/>
    <x v="2"/>
    <x v="0"/>
    <x v="0"/>
  </r>
  <r>
    <x v="0"/>
    <x v="0"/>
    <x v="0"/>
    <x v="5"/>
    <x v="10"/>
    <s v="SE1_EL"/>
    <x v="11"/>
    <x v="3"/>
    <x v="0"/>
    <x v="0"/>
  </r>
  <r>
    <x v="0"/>
    <x v="0"/>
    <x v="0"/>
    <x v="5"/>
    <x v="10"/>
    <s v="SE1_EL"/>
    <x v="11"/>
    <x v="4"/>
    <x v="0"/>
    <x v="0"/>
  </r>
  <r>
    <x v="0"/>
    <x v="0"/>
    <x v="0"/>
    <x v="5"/>
    <x v="10"/>
    <s v="SE1_EL"/>
    <x v="11"/>
    <x v="5"/>
    <x v="0"/>
    <x v="0"/>
  </r>
  <r>
    <x v="0"/>
    <x v="0"/>
    <x v="0"/>
    <x v="5"/>
    <x v="10"/>
    <s v="SE1_EL"/>
    <x v="11"/>
    <x v="6"/>
    <x v="0"/>
    <x v="0"/>
  </r>
  <r>
    <x v="0"/>
    <x v="0"/>
    <x v="0"/>
    <x v="5"/>
    <x v="10"/>
    <s v="SE1_EL"/>
    <x v="11"/>
    <x v="7"/>
    <x v="0"/>
    <x v="0"/>
  </r>
  <r>
    <x v="0"/>
    <x v="0"/>
    <x v="0"/>
    <x v="5"/>
    <x v="10"/>
    <s v="SE1_EL"/>
    <x v="11"/>
    <x v="8"/>
    <x v="0"/>
    <x v="0"/>
  </r>
  <r>
    <x v="0"/>
    <x v="0"/>
    <x v="0"/>
    <x v="5"/>
    <x v="10"/>
    <s v="SE1_EL"/>
    <x v="11"/>
    <x v="9"/>
    <x v="0"/>
    <x v="0"/>
  </r>
  <r>
    <x v="0"/>
    <x v="0"/>
    <x v="0"/>
    <x v="5"/>
    <x v="10"/>
    <s v="SE1_EL"/>
    <x v="11"/>
    <x v="10"/>
    <x v="0"/>
    <x v="0"/>
  </r>
  <r>
    <x v="0"/>
    <x v="0"/>
    <x v="0"/>
    <x v="5"/>
    <x v="10"/>
    <s v="SE1_EL"/>
    <x v="11"/>
    <x v="11"/>
    <x v="0"/>
    <x v="0"/>
  </r>
  <r>
    <x v="0"/>
    <x v="0"/>
    <x v="0"/>
    <x v="5"/>
    <x v="10"/>
    <s v="SE1_OTHER"/>
    <x v="0"/>
    <x v="0"/>
    <x v="0"/>
    <x v="0"/>
  </r>
  <r>
    <x v="0"/>
    <x v="0"/>
    <x v="0"/>
    <x v="5"/>
    <x v="10"/>
    <s v="SE1_OTHER"/>
    <x v="0"/>
    <x v="1"/>
    <x v="0"/>
    <x v="0"/>
  </r>
  <r>
    <x v="0"/>
    <x v="0"/>
    <x v="0"/>
    <x v="5"/>
    <x v="10"/>
    <s v="SE1_OTHER"/>
    <x v="0"/>
    <x v="2"/>
    <x v="0"/>
    <x v="0"/>
  </r>
  <r>
    <x v="0"/>
    <x v="0"/>
    <x v="0"/>
    <x v="5"/>
    <x v="10"/>
    <s v="SE1_OTHER"/>
    <x v="0"/>
    <x v="3"/>
    <x v="0"/>
    <x v="0"/>
  </r>
  <r>
    <x v="0"/>
    <x v="0"/>
    <x v="0"/>
    <x v="5"/>
    <x v="10"/>
    <s v="SE1_OTHER"/>
    <x v="0"/>
    <x v="4"/>
    <x v="0"/>
    <x v="0"/>
  </r>
  <r>
    <x v="0"/>
    <x v="0"/>
    <x v="0"/>
    <x v="5"/>
    <x v="10"/>
    <s v="SE1_OTHER"/>
    <x v="0"/>
    <x v="5"/>
    <x v="0"/>
    <x v="0"/>
  </r>
  <r>
    <x v="0"/>
    <x v="0"/>
    <x v="0"/>
    <x v="5"/>
    <x v="10"/>
    <s v="SE1_OTHER"/>
    <x v="0"/>
    <x v="6"/>
    <x v="0"/>
    <x v="0"/>
  </r>
  <r>
    <x v="0"/>
    <x v="0"/>
    <x v="0"/>
    <x v="5"/>
    <x v="10"/>
    <s v="SE1_OTHER"/>
    <x v="0"/>
    <x v="7"/>
    <x v="0"/>
    <x v="0"/>
  </r>
  <r>
    <x v="0"/>
    <x v="0"/>
    <x v="0"/>
    <x v="5"/>
    <x v="10"/>
    <s v="SE1_OTHER"/>
    <x v="0"/>
    <x v="8"/>
    <x v="0"/>
    <x v="0"/>
  </r>
  <r>
    <x v="0"/>
    <x v="0"/>
    <x v="0"/>
    <x v="5"/>
    <x v="10"/>
    <s v="SE1_OTHER"/>
    <x v="0"/>
    <x v="9"/>
    <x v="0"/>
    <x v="0"/>
  </r>
  <r>
    <x v="0"/>
    <x v="0"/>
    <x v="0"/>
    <x v="5"/>
    <x v="10"/>
    <s v="SE1_OTHER"/>
    <x v="0"/>
    <x v="10"/>
    <x v="0"/>
    <x v="0"/>
  </r>
  <r>
    <x v="0"/>
    <x v="0"/>
    <x v="0"/>
    <x v="5"/>
    <x v="10"/>
    <s v="SE1_OTHER"/>
    <x v="0"/>
    <x v="11"/>
    <x v="0"/>
    <x v="0"/>
  </r>
  <r>
    <x v="0"/>
    <x v="0"/>
    <x v="0"/>
    <x v="5"/>
    <x v="10"/>
    <s v="SE1_OTHER"/>
    <x v="1"/>
    <x v="0"/>
    <x v="0"/>
    <x v="0"/>
  </r>
  <r>
    <x v="0"/>
    <x v="0"/>
    <x v="0"/>
    <x v="5"/>
    <x v="10"/>
    <s v="SE1_OTHER"/>
    <x v="1"/>
    <x v="1"/>
    <x v="0"/>
    <x v="0"/>
  </r>
  <r>
    <x v="0"/>
    <x v="0"/>
    <x v="0"/>
    <x v="5"/>
    <x v="10"/>
    <s v="SE1_OTHER"/>
    <x v="1"/>
    <x v="2"/>
    <x v="0"/>
    <x v="0"/>
  </r>
  <r>
    <x v="0"/>
    <x v="0"/>
    <x v="0"/>
    <x v="5"/>
    <x v="10"/>
    <s v="SE1_OTHER"/>
    <x v="1"/>
    <x v="3"/>
    <x v="0"/>
    <x v="0"/>
  </r>
  <r>
    <x v="0"/>
    <x v="0"/>
    <x v="0"/>
    <x v="5"/>
    <x v="10"/>
    <s v="SE1_OTHER"/>
    <x v="1"/>
    <x v="4"/>
    <x v="0"/>
    <x v="0"/>
  </r>
  <r>
    <x v="0"/>
    <x v="0"/>
    <x v="0"/>
    <x v="5"/>
    <x v="10"/>
    <s v="SE1_OTHER"/>
    <x v="1"/>
    <x v="5"/>
    <x v="0"/>
    <x v="0"/>
  </r>
  <r>
    <x v="0"/>
    <x v="0"/>
    <x v="0"/>
    <x v="5"/>
    <x v="10"/>
    <s v="SE1_OTHER"/>
    <x v="1"/>
    <x v="6"/>
    <x v="0"/>
    <x v="0"/>
  </r>
  <r>
    <x v="0"/>
    <x v="0"/>
    <x v="0"/>
    <x v="5"/>
    <x v="10"/>
    <s v="SE1_OTHER"/>
    <x v="1"/>
    <x v="7"/>
    <x v="0"/>
    <x v="0"/>
  </r>
  <r>
    <x v="0"/>
    <x v="0"/>
    <x v="0"/>
    <x v="5"/>
    <x v="10"/>
    <s v="SE1_OTHER"/>
    <x v="1"/>
    <x v="8"/>
    <x v="0"/>
    <x v="0"/>
  </r>
  <r>
    <x v="0"/>
    <x v="0"/>
    <x v="0"/>
    <x v="5"/>
    <x v="10"/>
    <s v="SE1_OTHER"/>
    <x v="1"/>
    <x v="9"/>
    <x v="0"/>
    <x v="0"/>
  </r>
  <r>
    <x v="0"/>
    <x v="0"/>
    <x v="0"/>
    <x v="5"/>
    <x v="10"/>
    <s v="SE1_OTHER"/>
    <x v="1"/>
    <x v="10"/>
    <x v="0"/>
    <x v="0"/>
  </r>
  <r>
    <x v="0"/>
    <x v="0"/>
    <x v="0"/>
    <x v="5"/>
    <x v="10"/>
    <s v="SE1_OTHER"/>
    <x v="1"/>
    <x v="11"/>
    <x v="0"/>
    <x v="0"/>
  </r>
  <r>
    <x v="0"/>
    <x v="0"/>
    <x v="0"/>
    <x v="5"/>
    <x v="10"/>
    <s v="SE1_OTHER"/>
    <x v="2"/>
    <x v="0"/>
    <x v="0"/>
    <x v="0"/>
  </r>
  <r>
    <x v="0"/>
    <x v="0"/>
    <x v="0"/>
    <x v="5"/>
    <x v="10"/>
    <s v="SE1_OTHER"/>
    <x v="2"/>
    <x v="1"/>
    <x v="0"/>
    <x v="0"/>
  </r>
  <r>
    <x v="0"/>
    <x v="0"/>
    <x v="0"/>
    <x v="5"/>
    <x v="10"/>
    <s v="SE1_OTHER"/>
    <x v="2"/>
    <x v="2"/>
    <x v="0"/>
    <x v="0"/>
  </r>
  <r>
    <x v="0"/>
    <x v="0"/>
    <x v="0"/>
    <x v="5"/>
    <x v="10"/>
    <s v="SE1_OTHER"/>
    <x v="2"/>
    <x v="3"/>
    <x v="0"/>
    <x v="0"/>
  </r>
  <r>
    <x v="0"/>
    <x v="0"/>
    <x v="0"/>
    <x v="5"/>
    <x v="10"/>
    <s v="SE1_OTHER"/>
    <x v="2"/>
    <x v="4"/>
    <x v="0"/>
    <x v="0"/>
  </r>
  <r>
    <x v="0"/>
    <x v="0"/>
    <x v="0"/>
    <x v="5"/>
    <x v="10"/>
    <s v="SE1_OTHER"/>
    <x v="2"/>
    <x v="5"/>
    <x v="0"/>
    <x v="0"/>
  </r>
  <r>
    <x v="0"/>
    <x v="0"/>
    <x v="0"/>
    <x v="5"/>
    <x v="10"/>
    <s v="SE1_OTHER"/>
    <x v="2"/>
    <x v="6"/>
    <x v="0"/>
    <x v="0"/>
  </r>
  <r>
    <x v="0"/>
    <x v="0"/>
    <x v="0"/>
    <x v="5"/>
    <x v="10"/>
    <s v="SE1_OTHER"/>
    <x v="2"/>
    <x v="7"/>
    <x v="0"/>
    <x v="0"/>
  </r>
  <r>
    <x v="0"/>
    <x v="0"/>
    <x v="0"/>
    <x v="5"/>
    <x v="10"/>
    <s v="SE1_OTHER"/>
    <x v="2"/>
    <x v="8"/>
    <x v="0"/>
    <x v="0"/>
  </r>
  <r>
    <x v="0"/>
    <x v="0"/>
    <x v="0"/>
    <x v="5"/>
    <x v="10"/>
    <s v="SE1_OTHER"/>
    <x v="2"/>
    <x v="9"/>
    <x v="0"/>
    <x v="0"/>
  </r>
  <r>
    <x v="0"/>
    <x v="0"/>
    <x v="0"/>
    <x v="5"/>
    <x v="10"/>
    <s v="SE1_OTHER"/>
    <x v="2"/>
    <x v="10"/>
    <x v="0"/>
    <x v="0"/>
  </r>
  <r>
    <x v="0"/>
    <x v="0"/>
    <x v="0"/>
    <x v="5"/>
    <x v="10"/>
    <s v="SE1_OTHER"/>
    <x v="2"/>
    <x v="11"/>
    <x v="0"/>
    <x v="0"/>
  </r>
  <r>
    <x v="0"/>
    <x v="0"/>
    <x v="0"/>
    <x v="5"/>
    <x v="10"/>
    <s v="SE1_OTHER"/>
    <x v="3"/>
    <x v="0"/>
    <x v="0"/>
    <x v="0"/>
  </r>
  <r>
    <x v="0"/>
    <x v="0"/>
    <x v="0"/>
    <x v="5"/>
    <x v="10"/>
    <s v="SE1_OTHER"/>
    <x v="3"/>
    <x v="1"/>
    <x v="0"/>
    <x v="0"/>
  </r>
  <r>
    <x v="0"/>
    <x v="0"/>
    <x v="0"/>
    <x v="5"/>
    <x v="10"/>
    <s v="SE1_OTHER"/>
    <x v="3"/>
    <x v="2"/>
    <x v="0"/>
    <x v="0"/>
  </r>
  <r>
    <x v="0"/>
    <x v="0"/>
    <x v="0"/>
    <x v="5"/>
    <x v="10"/>
    <s v="SE1_OTHER"/>
    <x v="3"/>
    <x v="3"/>
    <x v="0"/>
    <x v="0"/>
  </r>
  <r>
    <x v="0"/>
    <x v="0"/>
    <x v="0"/>
    <x v="5"/>
    <x v="10"/>
    <s v="SE1_OTHER"/>
    <x v="3"/>
    <x v="4"/>
    <x v="0"/>
    <x v="0"/>
  </r>
  <r>
    <x v="0"/>
    <x v="0"/>
    <x v="0"/>
    <x v="5"/>
    <x v="10"/>
    <s v="SE1_OTHER"/>
    <x v="3"/>
    <x v="5"/>
    <x v="0"/>
    <x v="0"/>
  </r>
  <r>
    <x v="0"/>
    <x v="0"/>
    <x v="0"/>
    <x v="5"/>
    <x v="10"/>
    <s v="SE1_OTHER"/>
    <x v="3"/>
    <x v="6"/>
    <x v="0"/>
    <x v="0"/>
  </r>
  <r>
    <x v="0"/>
    <x v="0"/>
    <x v="0"/>
    <x v="5"/>
    <x v="10"/>
    <s v="SE1_OTHER"/>
    <x v="3"/>
    <x v="7"/>
    <x v="0"/>
    <x v="0"/>
  </r>
  <r>
    <x v="0"/>
    <x v="0"/>
    <x v="0"/>
    <x v="5"/>
    <x v="10"/>
    <s v="SE1_OTHER"/>
    <x v="3"/>
    <x v="8"/>
    <x v="0"/>
    <x v="0"/>
  </r>
  <r>
    <x v="0"/>
    <x v="0"/>
    <x v="0"/>
    <x v="5"/>
    <x v="10"/>
    <s v="SE1_OTHER"/>
    <x v="3"/>
    <x v="9"/>
    <x v="0"/>
    <x v="0"/>
  </r>
  <r>
    <x v="0"/>
    <x v="0"/>
    <x v="0"/>
    <x v="5"/>
    <x v="10"/>
    <s v="SE1_OTHER"/>
    <x v="3"/>
    <x v="10"/>
    <x v="0"/>
    <x v="0"/>
  </r>
  <r>
    <x v="0"/>
    <x v="0"/>
    <x v="0"/>
    <x v="5"/>
    <x v="10"/>
    <s v="SE1_OTHER"/>
    <x v="3"/>
    <x v="11"/>
    <x v="0"/>
    <x v="0"/>
  </r>
  <r>
    <x v="0"/>
    <x v="0"/>
    <x v="0"/>
    <x v="5"/>
    <x v="10"/>
    <s v="SE1_OTHER"/>
    <x v="4"/>
    <x v="0"/>
    <x v="0"/>
    <x v="0"/>
  </r>
  <r>
    <x v="0"/>
    <x v="0"/>
    <x v="0"/>
    <x v="5"/>
    <x v="10"/>
    <s v="SE1_OTHER"/>
    <x v="4"/>
    <x v="1"/>
    <x v="0"/>
    <x v="0"/>
  </r>
  <r>
    <x v="0"/>
    <x v="0"/>
    <x v="0"/>
    <x v="5"/>
    <x v="10"/>
    <s v="SE1_OTHER"/>
    <x v="4"/>
    <x v="2"/>
    <x v="0"/>
    <x v="0"/>
  </r>
  <r>
    <x v="0"/>
    <x v="0"/>
    <x v="0"/>
    <x v="5"/>
    <x v="10"/>
    <s v="SE1_OTHER"/>
    <x v="4"/>
    <x v="3"/>
    <x v="0"/>
    <x v="0"/>
  </r>
  <r>
    <x v="0"/>
    <x v="0"/>
    <x v="0"/>
    <x v="5"/>
    <x v="10"/>
    <s v="SE1_OTHER"/>
    <x v="4"/>
    <x v="4"/>
    <x v="0"/>
    <x v="0"/>
  </r>
  <r>
    <x v="0"/>
    <x v="0"/>
    <x v="0"/>
    <x v="5"/>
    <x v="10"/>
    <s v="SE1_OTHER"/>
    <x v="4"/>
    <x v="5"/>
    <x v="0"/>
    <x v="0"/>
  </r>
  <r>
    <x v="0"/>
    <x v="0"/>
    <x v="0"/>
    <x v="5"/>
    <x v="10"/>
    <s v="SE1_OTHER"/>
    <x v="4"/>
    <x v="6"/>
    <x v="0"/>
    <x v="0"/>
  </r>
  <r>
    <x v="0"/>
    <x v="0"/>
    <x v="0"/>
    <x v="5"/>
    <x v="10"/>
    <s v="SE1_OTHER"/>
    <x v="4"/>
    <x v="7"/>
    <x v="0"/>
    <x v="0"/>
  </r>
  <r>
    <x v="0"/>
    <x v="0"/>
    <x v="0"/>
    <x v="5"/>
    <x v="10"/>
    <s v="SE1_OTHER"/>
    <x v="4"/>
    <x v="8"/>
    <x v="0"/>
    <x v="0"/>
  </r>
  <r>
    <x v="0"/>
    <x v="0"/>
    <x v="0"/>
    <x v="5"/>
    <x v="10"/>
    <s v="SE1_OTHER"/>
    <x v="4"/>
    <x v="9"/>
    <x v="0"/>
    <x v="0"/>
  </r>
  <r>
    <x v="0"/>
    <x v="0"/>
    <x v="0"/>
    <x v="5"/>
    <x v="10"/>
    <s v="SE1_OTHER"/>
    <x v="4"/>
    <x v="10"/>
    <x v="0"/>
    <x v="0"/>
  </r>
  <r>
    <x v="0"/>
    <x v="0"/>
    <x v="0"/>
    <x v="5"/>
    <x v="10"/>
    <s v="SE1_OTHER"/>
    <x v="4"/>
    <x v="11"/>
    <x v="0"/>
    <x v="0"/>
  </r>
  <r>
    <x v="0"/>
    <x v="0"/>
    <x v="0"/>
    <x v="5"/>
    <x v="10"/>
    <s v="SE1_OTHER"/>
    <x v="5"/>
    <x v="0"/>
    <x v="0"/>
    <x v="0"/>
  </r>
  <r>
    <x v="0"/>
    <x v="0"/>
    <x v="0"/>
    <x v="5"/>
    <x v="10"/>
    <s v="SE1_OTHER"/>
    <x v="5"/>
    <x v="1"/>
    <x v="0"/>
    <x v="0"/>
  </r>
  <r>
    <x v="0"/>
    <x v="0"/>
    <x v="0"/>
    <x v="5"/>
    <x v="10"/>
    <s v="SE1_OTHER"/>
    <x v="5"/>
    <x v="2"/>
    <x v="0"/>
    <x v="0"/>
  </r>
  <r>
    <x v="0"/>
    <x v="0"/>
    <x v="0"/>
    <x v="5"/>
    <x v="10"/>
    <s v="SE1_OTHER"/>
    <x v="5"/>
    <x v="3"/>
    <x v="0"/>
    <x v="0"/>
  </r>
  <r>
    <x v="0"/>
    <x v="0"/>
    <x v="0"/>
    <x v="5"/>
    <x v="10"/>
    <s v="SE1_OTHER"/>
    <x v="5"/>
    <x v="4"/>
    <x v="0"/>
    <x v="0"/>
  </r>
  <r>
    <x v="0"/>
    <x v="0"/>
    <x v="0"/>
    <x v="5"/>
    <x v="10"/>
    <s v="SE1_OTHER"/>
    <x v="5"/>
    <x v="5"/>
    <x v="0"/>
    <x v="0"/>
  </r>
  <r>
    <x v="0"/>
    <x v="0"/>
    <x v="0"/>
    <x v="5"/>
    <x v="10"/>
    <s v="SE1_OTHER"/>
    <x v="5"/>
    <x v="6"/>
    <x v="0"/>
    <x v="0"/>
  </r>
  <r>
    <x v="0"/>
    <x v="0"/>
    <x v="0"/>
    <x v="5"/>
    <x v="10"/>
    <s v="SE1_OTHER"/>
    <x v="5"/>
    <x v="7"/>
    <x v="0"/>
    <x v="0"/>
  </r>
  <r>
    <x v="0"/>
    <x v="0"/>
    <x v="0"/>
    <x v="5"/>
    <x v="10"/>
    <s v="SE1_OTHER"/>
    <x v="5"/>
    <x v="8"/>
    <x v="0"/>
    <x v="0"/>
  </r>
  <r>
    <x v="0"/>
    <x v="0"/>
    <x v="0"/>
    <x v="5"/>
    <x v="10"/>
    <s v="SE1_OTHER"/>
    <x v="5"/>
    <x v="9"/>
    <x v="0"/>
    <x v="0"/>
  </r>
  <r>
    <x v="0"/>
    <x v="0"/>
    <x v="0"/>
    <x v="5"/>
    <x v="10"/>
    <s v="SE1_OTHER"/>
    <x v="5"/>
    <x v="10"/>
    <x v="0"/>
    <x v="0"/>
  </r>
  <r>
    <x v="0"/>
    <x v="0"/>
    <x v="0"/>
    <x v="5"/>
    <x v="10"/>
    <s v="SE1_OTHER"/>
    <x v="5"/>
    <x v="11"/>
    <x v="0"/>
    <x v="0"/>
  </r>
  <r>
    <x v="0"/>
    <x v="0"/>
    <x v="0"/>
    <x v="5"/>
    <x v="10"/>
    <s v="SE1_OTHER"/>
    <x v="6"/>
    <x v="0"/>
    <x v="0"/>
    <x v="0"/>
  </r>
  <r>
    <x v="0"/>
    <x v="0"/>
    <x v="0"/>
    <x v="5"/>
    <x v="10"/>
    <s v="SE1_OTHER"/>
    <x v="6"/>
    <x v="1"/>
    <x v="0"/>
    <x v="0"/>
  </r>
  <r>
    <x v="0"/>
    <x v="0"/>
    <x v="0"/>
    <x v="5"/>
    <x v="10"/>
    <s v="SE1_OTHER"/>
    <x v="6"/>
    <x v="2"/>
    <x v="0"/>
    <x v="0"/>
  </r>
  <r>
    <x v="0"/>
    <x v="0"/>
    <x v="0"/>
    <x v="5"/>
    <x v="10"/>
    <s v="SE1_OTHER"/>
    <x v="6"/>
    <x v="3"/>
    <x v="0"/>
    <x v="0"/>
  </r>
  <r>
    <x v="0"/>
    <x v="0"/>
    <x v="0"/>
    <x v="5"/>
    <x v="10"/>
    <s v="SE1_OTHER"/>
    <x v="6"/>
    <x v="4"/>
    <x v="0"/>
    <x v="0"/>
  </r>
  <r>
    <x v="0"/>
    <x v="0"/>
    <x v="0"/>
    <x v="5"/>
    <x v="10"/>
    <s v="SE1_OTHER"/>
    <x v="6"/>
    <x v="5"/>
    <x v="0"/>
    <x v="0"/>
  </r>
  <r>
    <x v="0"/>
    <x v="0"/>
    <x v="0"/>
    <x v="5"/>
    <x v="10"/>
    <s v="SE1_OTHER"/>
    <x v="6"/>
    <x v="6"/>
    <x v="0"/>
    <x v="0"/>
  </r>
  <r>
    <x v="0"/>
    <x v="0"/>
    <x v="0"/>
    <x v="5"/>
    <x v="10"/>
    <s v="SE1_OTHER"/>
    <x v="6"/>
    <x v="7"/>
    <x v="0"/>
    <x v="0"/>
  </r>
  <r>
    <x v="0"/>
    <x v="0"/>
    <x v="0"/>
    <x v="5"/>
    <x v="10"/>
    <s v="SE1_OTHER"/>
    <x v="6"/>
    <x v="8"/>
    <x v="0"/>
    <x v="0"/>
  </r>
  <r>
    <x v="0"/>
    <x v="0"/>
    <x v="0"/>
    <x v="5"/>
    <x v="10"/>
    <s v="SE1_OTHER"/>
    <x v="6"/>
    <x v="9"/>
    <x v="0"/>
    <x v="0"/>
  </r>
  <r>
    <x v="0"/>
    <x v="0"/>
    <x v="0"/>
    <x v="5"/>
    <x v="10"/>
    <s v="SE1_OTHER"/>
    <x v="6"/>
    <x v="10"/>
    <x v="0"/>
    <x v="0"/>
  </r>
  <r>
    <x v="0"/>
    <x v="0"/>
    <x v="0"/>
    <x v="5"/>
    <x v="10"/>
    <s v="SE1_OTHER"/>
    <x v="6"/>
    <x v="11"/>
    <x v="0"/>
    <x v="0"/>
  </r>
  <r>
    <x v="0"/>
    <x v="0"/>
    <x v="0"/>
    <x v="5"/>
    <x v="10"/>
    <s v="SE1_OTHER"/>
    <x v="7"/>
    <x v="0"/>
    <x v="0"/>
    <x v="0"/>
  </r>
  <r>
    <x v="0"/>
    <x v="0"/>
    <x v="0"/>
    <x v="5"/>
    <x v="10"/>
    <s v="SE1_OTHER"/>
    <x v="7"/>
    <x v="1"/>
    <x v="0"/>
    <x v="0"/>
  </r>
  <r>
    <x v="0"/>
    <x v="0"/>
    <x v="0"/>
    <x v="5"/>
    <x v="10"/>
    <s v="SE1_OTHER"/>
    <x v="7"/>
    <x v="2"/>
    <x v="0"/>
    <x v="0"/>
  </r>
  <r>
    <x v="0"/>
    <x v="0"/>
    <x v="0"/>
    <x v="5"/>
    <x v="10"/>
    <s v="SE1_OTHER"/>
    <x v="7"/>
    <x v="3"/>
    <x v="0"/>
    <x v="0"/>
  </r>
  <r>
    <x v="0"/>
    <x v="0"/>
    <x v="0"/>
    <x v="5"/>
    <x v="10"/>
    <s v="SE1_OTHER"/>
    <x v="7"/>
    <x v="4"/>
    <x v="0"/>
    <x v="0"/>
  </r>
  <r>
    <x v="0"/>
    <x v="0"/>
    <x v="0"/>
    <x v="5"/>
    <x v="10"/>
    <s v="SE1_OTHER"/>
    <x v="7"/>
    <x v="5"/>
    <x v="0"/>
    <x v="0"/>
  </r>
  <r>
    <x v="0"/>
    <x v="0"/>
    <x v="0"/>
    <x v="5"/>
    <x v="10"/>
    <s v="SE1_OTHER"/>
    <x v="7"/>
    <x v="6"/>
    <x v="0"/>
    <x v="0"/>
  </r>
  <r>
    <x v="0"/>
    <x v="0"/>
    <x v="0"/>
    <x v="5"/>
    <x v="10"/>
    <s v="SE1_OTHER"/>
    <x v="7"/>
    <x v="7"/>
    <x v="0"/>
    <x v="0"/>
  </r>
  <r>
    <x v="0"/>
    <x v="0"/>
    <x v="0"/>
    <x v="5"/>
    <x v="10"/>
    <s v="SE1_OTHER"/>
    <x v="7"/>
    <x v="8"/>
    <x v="0"/>
    <x v="0"/>
  </r>
  <r>
    <x v="0"/>
    <x v="0"/>
    <x v="0"/>
    <x v="5"/>
    <x v="10"/>
    <s v="SE1_OTHER"/>
    <x v="7"/>
    <x v="9"/>
    <x v="0"/>
    <x v="0"/>
  </r>
  <r>
    <x v="0"/>
    <x v="0"/>
    <x v="0"/>
    <x v="5"/>
    <x v="10"/>
    <s v="SE1_OTHER"/>
    <x v="7"/>
    <x v="10"/>
    <x v="0"/>
    <x v="0"/>
  </r>
  <r>
    <x v="0"/>
    <x v="0"/>
    <x v="0"/>
    <x v="5"/>
    <x v="10"/>
    <s v="SE1_OTHER"/>
    <x v="7"/>
    <x v="11"/>
    <x v="0"/>
    <x v="0"/>
  </r>
  <r>
    <x v="0"/>
    <x v="0"/>
    <x v="0"/>
    <x v="5"/>
    <x v="10"/>
    <s v="SE1_OTHER"/>
    <x v="8"/>
    <x v="0"/>
    <x v="0"/>
    <x v="0"/>
  </r>
  <r>
    <x v="0"/>
    <x v="0"/>
    <x v="0"/>
    <x v="5"/>
    <x v="10"/>
    <s v="SE1_OTHER"/>
    <x v="8"/>
    <x v="1"/>
    <x v="0"/>
    <x v="0"/>
  </r>
  <r>
    <x v="0"/>
    <x v="0"/>
    <x v="0"/>
    <x v="5"/>
    <x v="10"/>
    <s v="SE1_OTHER"/>
    <x v="8"/>
    <x v="2"/>
    <x v="0"/>
    <x v="0"/>
  </r>
  <r>
    <x v="0"/>
    <x v="0"/>
    <x v="0"/>
    <x v="5"/>
    <x v="10"/>
    <s v="SE1_OTHER"/>
    <x v="8"/>
    <x v="3"/>
    <x v="0"/>
    <x v="0"/>
  </r>
  <r>
    <x v="0"/>
    <x v="0"/>
    <x v="0"/>
    <x v="5"/>
    <x v="10"/>
    <s v="SE1_OTHER"/>
    <x v="8"/>
    <x v="4"/>
    <x v="0"/>
    <x v="0"/>
  </r>
  <r>
    <x v="0"/>
    <x v="0"/>
    <x v="0"/>
    <x v="5"/>
    <x v="10"/>
    <s v="SE1_OTHER"/>
    <x v="8"/>
    <x v="5"/>
    <x v="0"/>
    <x v="0"/>
  </r>
  <r>
    <x v="0"/>
    <x v="0"/>
    <x v="0"/>
    <x v="5"/>
    <x v="10"/>
    <s v="SE1_OTHER"/>
    <x v="8"/>
    <x v="6"/>
    <x v="0"/>
    <x v="0"/>
  </r>
  <r>
    <x v="0"/>
    <x v="0"/>
    <x v="0"/>
    <x v="5"/>
    <x v="10"/>
    <s v="SE1_OTHER"/>
    <x v="8"/>
    <x v="7"/>
    <x v="0"/>
    <x v="0"/>
  </r>
  <r>
    <x v="0"/>
    <x v="0"/>
    <x v="0"/>
    <x v="5"/>
    <x v="10"/>
    <s v="SE1_OTHER"/>
    <x v="8"/>
    <x v="8"/>
    <x v="0"/>
    <x v="0"/>
  </r>
  <r>
    <x v="0"/>
    <x v="0"/>
    <x v="0"/>
    <x v="5"/>
    <x v="10"/>
    <s v="SE1_OTHER"/>
    <x v="8"/>
    <x v="9"/>
    <x v="0"/>
    <x v="0"/>
  </r>
  <r>
    <x v="0"/>
    <x v="0"/>
    <x v="0"/>
    <x v="5"/>
    <x v="10"/>
    <s v="SE1_OTHER"/>
    <x v="8"/>
    <x v="10"/>
    <x v="0"/>
    <x v="0"/>
  </r>
  <r>
    <x v="0"/>
    <x v="0"/>
    <x v="0"/>
    <x v="5"/>
    <x v="10"/>
    <s v="SE1_OTHER"/>
    <x v="8"/>
    <x v="11"/>
    <x v="0"/>
    <x v="0"/>
  </r>
  <r>
    <x v="0"/>
    <x v="0"/>
    <x v="0"/>
    <x v="5"/>
    <x v="10"/>
    <s v="SE1_OTHER"/>
    <x v="9"/>
    <x v="0"/>
    <x v="0"/>
    <x v="0"/>
  </r>
  <r>
    <x v="0"/>
    <x v="0"/>
    <x v="0"/>
    <x v="5"/>
    <x v="10"/>
    <s v="SE1_OTHER"/>
    <x v="9"/>
    <x v="1"/>
    <x v="0"/>
    <x v="0"/>
  </r>
  <r>
    <x v="0"/>
    <x v="0"/>
    <x v="0"/>
    <x v="5"/>
    <x v="10"/>
    <s v="SE1_OTHER"/>
    <x v="9"/>
    <x v="2"/>
    <x v="0"/>
    <x v="0"/>
  </r>
  <r>
    <x v="0"/>
    <x v="0"/>
    <x v="0"/>
    <x v="5"/>
    <x v="10"/>
    <s v="SE1_OTHER"/>
    <x v="9"/>
    <x v="3"/>
    <x v="0"/>
    <x v="0"/>
  </r>
  <r>
    <x v="0"/>
    <x v="0"/>
    <x v="0"/>
    <x v="5"/>
    <x v="10"/>
    <s v="SE1_OTHER"/>
    <x v="9"/>
    <x v="4"/>
    <x v="0"/>
    <x v="0"/>
  </r>
  <r>
    <x v="0"/>
    <x v="0"/>
    <x v="0"/>
    <x v="5"/>
    <x v="10"/>
    <s v="SE1_OTHER"/>
    <x v="9"/>
    <x v="5"/>
    <x v="0"/>
    <x v="0"/>
  </r>
  <r>
    <x v="0"/>
    <x v="0"/>
    <x v="0"/>
    <x v="5"/>
    <x v="10"/>
    <s v="SE1_OTHER"/>
    <x v="9"/>
    <x v="6"/>
    <x v="0"/>
    <x v="0"/>
  </r>
  <r>
    <x v="0"/>
    <x v="0"/>
    <x v="0"/>
    <x v="5"/>
    <x v="10"/>
    <s v="SE1_OTHER"/>
    <x v="9"/>
    <x v="7"/>
    <x v="0"/>
    <x v="0"/>
  </r>
  <r>
    <x v="0"/>
    <x v="0"/>
    <x v="0"/>
    <x v="5"/>
    <x v="10"/>
    <s v="SE1_OTHER"/>
    <x v="9"/>
    <x v="8"/>
    <x v="0"/>
    <x v="0"/>
  </r>
  <r>
    <x v="0"/>
    <x v="0"/>
    <x v="0"/>
    <x v="5"/>
    <x v="10"/>
    <s v="SE1_OTHER"/>
    <x v="9"/>
    <x v="9"/>
    <x v="0"/>
    <x v="0"/>
  </r>
  <r>
    <x v="0"/>
    <x v="0"/>
    <x v="0"/>
    <x v="5"/>
    <x v="10"/>
    <s v="SE1_OTHER"/>
    <x v="9"/>
    <x v="10"/>
    <x v="0"/>
    <x v="0"/>
  </r>
  <r>
    <x v="0"/>
    <x v="0"/>
    <x v="0"/>
    <x v="5"/>
    <x v="10"/>
    <s v="SE1_OTHER"/>
    <x v="9"/>
    <x v="11"/>
    <x v="0"/>
    <x v="0"/>
  </r>
  <r>
    <x v="0"/>
    <x v="0"/>
    <x v="0"/>
    <x v="5"/>
    <x v="10"/>
    <s v="SE1_OTHER"/>
    <x v="10"/>
    <x v="0"/>
    <x v="0"/>
    <x v="0"/>
  </r>
  <r>
    <x v="0"/>
    <x v="0"/>
    <x v="0"/>
    <x v="5"/>
    <x v="10"/>
    <s v="SE1_OTHER"/>
    <x v="10"/>
    <x v="1"/>
    <x v="0"/>
    <x v="0"/>
  </r>
  <r>
    <x v="0"/>
    <x v="0"/>
    <x v="0"/>
    <x v="5"/>
    <x v="10"/>
    <s v="SE1_OTHER"/>
    <x v="10"/>
    <x v="2"/>
    <x v="0"/>
    <x v="0"/>
  </r>
  <r>
    <x v="0"/>
    <x v="0"/>
    <x v="0"/>
    <x v="5"/>
    <x v="10"/>
    <s v="SE1_OTHER"/>
    <x v="10"/>
    <x v="3"/>
    <x v="0"/>
    <x v="0"/>
  </r>
  <r>
    <x v="0"/>
    <x v="0"/>
    <x v="0"/>
    <x v="5"/>
    <x v="10"/>
    <s v="SE1_OTHER"/>
    <x v="10"/>
    <x v="4"/>
    <x v="0"/>
    <x v="0"/>
  </r>
  <r>
    <x v="0"/>
    <x v="0"/>
    <x v="0"/>
    <x v="5"/>
    <x v="10"/>
    <s v="SE1_OTHER"/>
    <x v="10"/>
    <x v="5"/>
    <x v="0"/>
    <x v="0"/>
  </r>
  <r>
    <x v="0"/>
    <x v="0"/>
    <x v="0"/>
    <x v="5"/>
    <x v="10"/>
    <s v="SE1_OTHER"/>
    <x v="10"/>
    <x v="6"/>
    <x v="0"/>
    <x v="0"/>
  </r>
  <r>
    <x v="0"/>
    <x v="0"/>
    <x v="0"/>
    <x v="5"/>
    <x v="10"/>
    <s v="SE1_OTHER"/>
    <x v="10"/>
    <x v="7"/>
    <x v="0"/>
    <x v="0"/>
  </r>
  <r>
    <x v="0"/>
    <x v="0"/>
    <x v="0"/>
    <x v="5"/>
    <x v="10"/>
    <s v="SE1_OTHER"/>
    <x v="10"/>
    <x v="8"/>
    <x v="0"/>
    <x v="0"/>
  </r>
  <r>
    <x v="0"/>
    <x v="0"/>
    <x v="0"/>
    <x v="5"/>
    <x v="10"/>
    <s v="SE1_OTHER"/>
    <x v="10"/>
    <x v="9"/>
    <x v="0"/>
    <x v="0"/>
  </r>
  <r>
    <x v="0"/>
    <x v="0"/>
    <x v="0"/>
    <x v="5"/>
    <x v="10"/>
    <s v="SE1_OTHER"/>
    <x v="10"/>
    <x v="10"/>
    <x v="0"/>
    <x v="0"/>
  </r>
  <r>
    <x v="0"/>
    <x v="0"/>
    <x v="0"/>
    <x v="5"/>
    <x v="10"/>
    <s v="SE1_OTHER"/>
    <x v="10"/>
    <x v="11"/>
    <x v="0"/>
    <x v="0"/>
  </r>
  <r>
    <x v="0"/>
    <x v="0"/>
    <x v="0"/>
    <x v="5"/>
    <x v="10"/>
    <s v="SE1_OTHER"/>
    <x v="11"/>
    <x v="0"/>
    <x v="0"/>
    <x v="0"/>
  </r>
  <r>
    <x v="0"/>
    <x v="0"/>
    <x v="0"/>
    <x v="5"/>
    <x v="10"/>
    <s v="SE1_OTHER"/>
    <x v="11"/>
    <x v="1"/>
    <x v="0"/>
    <x v="0"/>
  </r>
  <r>
    <x v="0"/>
    <x v="0"/>
    <x v="0"/>
    <x v="5"/>
    <x v="10"/>
    <s v="SE1_OTHER"/>
    <x v="11"/>
    <x v="2"/>
    <x v="0"/>
    <x v="0"/>
  </r>
  <r>
    <x v="0"/>
    <x v="0"/>
    <x v="0"/>
    <x v="5"/>
    <x v="10"/>
    <s v="SE1_OTHER"/>
    <x v="11"/>
    <x v="3"/>
    <x v="0"/>
    <x v="0"/>
  </r>
  <r>
    <x v="0"/>
    <x v="0"/>
    <x v="0"/>
    <x v="5"/>
    <x v="10"/>
    <s v="SE1_OTHER"/>
    <x v="11"/>
    <x v="4"/>
    <x v="0"/>
    <x v="0"/>
  </r>
  <r>
    <x v="0"/>
    <x v="0"/>
    <x v="0"/>
    <x v="5"/>
    <x v="10"/>
    <s v="SE1_OTHER"/>
    <x v="11"/>
    <x v="5"/>
    <x v="0"/>
    <x v="0"/>
  </r>
  <r>
    <x v="0"/>
    <x v="0"/>
    <x v="0"/>
    <x v="5"/>
    <x v="10"/>
    <s v="SE1_OTHER"/>
    <x v="11"/>
    <x v="6"/>
    <x v="0"/>
    <x v="0"/>
  </r>
  <r>
    <x v="0"/>
    <x v="0"/>
    <x v="0"/>
    <x v="5"/>
    <x v="10"/>
    <s v="SE1_OTHER"/>
    <x v="11"/>
    <x v="7"/>
    <x v="0"/>
    <x v="0"/>
  </r>
  <r>
    <x v="0"/>
    <x v="0"/>
    <x v="0"/>
    <x v="5"/>
    <x v="10"/>
    <s v="SE1_OTHER"/>
    <x v="11"/>
    <x v="8"/>
    <x v="0"/>
    <x v="0"/>
  </r>
  <r>
    <x v="0"/>
    <x v="0"/>
    <x v="0"/>
    <x v="5"/>
    <x v="10"/>
    <s v="SE1_OTHER"/>
    <x v="11"/>
    <x v="9"/>
    <x v="0"/>
    <x v="0"/>
  </r>
  <r>
    <x v="0"/>
    <x v="0"/>
    <x v="0"/>
    <x v="5"/>
    <x v="10"/>
    <s v="SE1_OTHER"/>
    <x v="11"/>
    <x v="10"/>
    <x v="0"/>
    <x v="0"/>
  </r>
  <r>
    <x v="0"/>
    <x v="0"/>
    <x v="0"/>
    <x v="5"/>
    <x v="10"/>
    <s v="SE1_OTHER"/>
    <x v="11"/>
    <x v="11"/>
    <x v="0"/>
    <x v="0"/>
  </r>
  <r>
    <x v="0"/>
    <x v="0"/>
    <x v="0"/>
    <x v="5"/>
    <x v="11"/>
    <s v="SE2A"/>
    <x v="0"/>
    <x v="0"/>
    <x v="0"/>
    <x v="0"/>
  </r>
  <r>
    <x v="0"/>
    <x v="0"/>
    <x v="0"/>
    <x v="5"/>
    <x v="11"/>
    <s v="SE2A"/>
    <x v="0"/>
    <x v="1"/>
    <x v="0"/>
    <x v="0"/>
  </r>
  <r>
    <x v="0"/>
    <x v="0"/>
    <x v="0"/>
    <x v="5"/>
    <x v="11"/>
    <s v="SE2A"/>
    <x v="0"/>
    <x v="2"/>
    <x v="0"/>
    <x v="0"/>
  </r>
  <r>
    <x v="0"/>
    <x v="0"/>
    <x v="0"/>
    <x v="5"/>
    <x v="11"/>
    <s v="SE2A"/>
    <x v="0"/>
    <x v="3"/>
    <x v="0"/>
    <x v="0"/>
  </r>
  <r>
    <x v="0"/>
    <x v="0"/>
    <x v="0"/>
    <x v="5"/>
    <x v="11"/>
    <s v="SE2A"/>
    <x v="0"/>
    <x v="4"/>
    <x v="0"/>
    <x v="0"/>
  </r>
  <r>
    <x v="0"/>
    <x v="0"/>
    <x v="0"/>
    <x v="5"/>
    <x v="11"/>
    <s v="SE2A"/>
    <x v="0"/>
    <x v="5"/>
    <x v="0"/>
    <x v="0"/>
  </r>
  <r>
    <x v="0"/>
    <x v="0"/>
    <x v="0"/>
    <x v="5"/>
    <x v="11"/>
    <s v="SE2A"/>
    <x v="0"/>
    <x v="6"/>
    <x v="0"/>
    <x v="0"/>
  </r>
  <r>
    <x v="0"/>
    <x v="0"/>
    <x v="0"/>
    <x v="5"/>
    <x v="11"/>
    <s v="SE2A"/>
    <x v="0"/>
    <x v="7"/>
    <x v="0"/>
    <x v="0"/>
  </r>
  <r>
    <x v="0"/>
    <x v="0"/>
    <x v="0"/>
    <x v="5"/>
    <x v="11"/>
    <s v="SE2A"/>
    <x v="0"/>
    <x v="8"/>
    <x v="0"/>
    <x v="0"/>
  </r>
  <r>
    <x v="0"/>
    <x v="0"/>
    <x v="0"/>
    <x v="5"/>
    <x v="11"/>
    <s v="SE2A"/>
    <x v="0"/>
    <x v="9"/>
    <x v="0"/>
    <x v="0"/>
  </r>
  <r>
    <x v="0"/>
    <x v="0"/>
    <x v="0"/>
    <x v="5"/>
    <x v="11"/>
    <s v="SE2A"/>
    <x v="0"/>
    <x v="10"/>
    <x v="0"/>
    <x v="0"/>
  </r>
  <r>
    <x v="0"/>
    <x v="0"/>
    <x v="0"/>
    <x v="5"/>
    <x v="11"/>
    <s v="SE2A"/>
    <x v="0"/>
    <x v="11"/>
    <x v="0"/>
    <x v="0"/>
  </r>
  <r>
    <x v="0"/>
    <x v="0"/>
    <x v="0"/>
    <x v="5"/>
    <x v="11"/>
    <s v="SE2A"/>
    <x v="1"/>
    <x v="0"/>
    <x v="0"/>
    <x v="0"/>
  </r>
  <r>
    <x v="0"/>
    <x v="0"/>
    <x v="0"/>
    <x v="5"/>
    <x v="11"/>
    <s v="SE2A"/>
    <x v="1"/>
    <x v="1"/>
    <x v="0"/>
    <x v="0"/>
  </r>
  <r>
    <x v="0"/>
    <x v="0"/>
    <x v="0"/>
    <x v="5"/>
    <x v="11"/>
    <s v="SE2A"/>
    <x v="1"/>
    <x v="2"/>
    <x v="0"/>
    <x v="0"/>
  </r>
  <r>
    <x v="0"/>
    <x v="0"/>
    <x v="0"/>
    <x v="5"/>
    <x v="11"/>
    <s v="SE2A"/>
    <x v="1"/>
    <x v="3"/>
    <x v="0"/>
    <x v="0"/>
  </r>
  <r>
    <x v="0"/>
    <x v="0"/>
    <x v="0"/>
    <x v="5"/>
    <x v="11"/>
    <s v="SE2A"/>
    <x v="1"/>
    <x v="4"/>
    <x v="0"/>
    <x v="0"/>
  </r>
  <r>
    <x v="0"/>
    <x v="0"/>
    <x v="0"/>
    <x v="5"/>
    <x v="11"/>
    <s v="SE2A"/>
    <x v="1"/>
    <x v="5"/>
    <x v="0"/>
    <x v="0"/>
  </r>
  <r>
    <x v="0"/>
    <x v="0"/>
    <x v="0"/>
    <x v="5"/>
    <x v="11"/>
    <s v="SE2A"/>
    <x v="1"/>
    <x v="6"/>
    <x v="0"/>
    <x v="0"/>
  </r>
  <r>
    <x v="0"/>
    <x v="0"/>
    <x v="0"/>
    <x v="5"/>
    <x v="11"/>
    <s v="SE2A"/>
    <x v="1"/>
    <x v="7"/>
    <x v="0"/>
    <x v="0"/>
  </r>
  <r>
    <x v="0"/>
    <x v="0"/>
    <x v="0"/>
    <x v="5"/>
    <x v="11"/>
    <s v="SE2A"/>
    <x v="1"/>
    <x v="8"/>
    <x v="0"/>
    <x v="0"/>
  </r>
  <r>
    <x v="0"/>
    <x v="0"/>
    <x v="0"/>
    <x v="5"/>
    <x v="11"/>
    <s v="SE2A"/>
    <x v="1"/>
    <x v="9"/>
    <x v="0"/>
    <x v="0"/>
  </r>
  <r>
    <x v="0"/>
    <x v="0"/>
    <x v="0"/>
    <x v="5"/>
    <x v="11"/>
    <s v="SE2A"/>
    <x v="1"/>
    <x v="10"/>
    <x v="0"/>
    <x v="0"/>
  </r>
  <r>
    <x v="0"/>
    <x v="0"/>
    <x v="0"/>
    <x v="5"/>
    <x v="11"/>
    <s v="SE2A"/>
    <x v="1"/>
    <x v="11"/>
    <x v="0"/>
    <x v="0"/>
  </r>
  <r>
    <x v="0"/>
    <x v="0"/>
    <x v="0"/>
    <x v="5"/>
    <x v="11"/>
    <s v="SE2A"/>
    <x v="2"/>
    <x v="0"/>
    <x v="0"/>
    <x v="0"/>
  </r>
  <r>
    <x v="0"/>
    <x v="0"/>
    <x v="0"/>
    <x v="5"/>
    <x v="11"/>
    <s v="SE2A"/>
    <x v="2"/>
    <x v="1"/>
    <x v="0"/>
    <x v="0"/>
  </r>
  <r>
    <x v="0"/>
    <x v="0"/>
    <x v="0"/>
    <x v="5"/>
    <x v="11"/>
    <s v="SE2A"/>
    <x v="2"/>
    <x v="2"/>
    <x v="0"/>
    <x v="0"/>
  </r>
  <r>
    <x v="0"/>
    <x v="0"/>
    <x v="0"/>
    <x v="5"/>
    <x v="11"/>
    <s v="SE2A"/>
    <x v="2"/>
    <x v="3"/>
    <x v="0"/>
    <x v="0"/>
  </r>
  <r>
    <x v="0"/>
    <x v="0"/>
    <x v="0"/>
    <x v="5"/>
    <x v="11"/>
    <s v="SE2A"/>
    <x v="2"/>
    <x v="4"/>
    <x v="0"/>
    <x v="0"/>
  </r>
  <r>
    <x v="0"/>
    <x v="0"/>
    <x v="0"/>
    <x v="5"/>
    <x v="11"/>
    <s v="SE2A"/>
    <x v="2"/>
    <x v="5"/>
    <x v="0"/>
    <x v="0"/>
  </r>
  <r>
    <x v="0"/>
    <x v="0"/>
    <x v="0"/>
    <x v="5"/>
    <x v="11"/>
    <s v="SE2A"/>
    <x v="2"/>
    <x v="6"/>
    <x v="0"/>
    <x v="0"/>
  </r>
  <r>
    <x v="0"/>
    <x v="0"/>
    <x v="0"/>
    <x v="5"/>
    <x v="11"/>
    <s v="SE2A"/>
    <x v="2"/>
    <x v="7"/>
    <x v="0"/>
    <x v="0"/>
  </r>
  <r>
    <x v="0"/>
    <x v="0"/>
    <x v="0"/>
    <x v="5"/>
    <x v="11"/>
    <s v="SE2A"/>
    <x v="2"/>
    <x v="8"/>
    <x v="0"/>
    <x v="0"/>
  </r>
  <r>
    <x v="0"/>
    <x v="0"/>
    <x v="0"/>
    <x v="5"/>
    <x v="11"/>
    <s v="SE2A"/>
    <x v="2"/>
    <x v="9"/>
    <x v="0"/>
    <x v="0"/>
  </r>
  <r>
    <x v="0"/>
    <x v="0"/>
    <x v="0"/>
    <x v="5"/>
    <x v="11"/>
    <s v="SE2A"/>
    <x v="2"/>
    <x v="10"/>
    <x v="0"/>
    <x v="0"/>
  </r>
  <r>
    <x v="0"/>
    <x v="0"/>
    <x v="0"/>
    <x v="5"/>
    <x v="11"/>
    <s v="SE2A"/>
    <x v="2"/>
    <x v="11"/>
    <x v="0"/>
    <x v="0"/>
  </r>
  <r>
    <x v="0"/>
    <x v="0"/>
    <x v="0"/>
    <x v="5"/>
    <x v="11"/>
    <s v="SE2A"/>
    <x v="3"/>
    <x v="0"/>
    <x v="0"/>
    <x v="0"/>
  </r>
  <r>
    <x v="0"/>
    <x v="0"/>
    <x v="0"/>
    <x v="5"/>
    <x v="11"/>
    <s v="SE2A"/>
    <x v="3"/>
    <x v="1"/>
    <x v="0"/>
    <x v="0"/>
  </r>
  <r>
    <x v="0"/>
    <x v="0"/>
    <x v="0"/>
    <x v="5"/>
    <x v="11"/>
    <s v="SE2A"/>
    <x v="3"/>
    <x v="2"/>
    <x v="0"/>
    <x v="0"/>
  </r>
  <r>
    <x v="0"/>
    <x v="0"/>
    <x v="0"/>
    <x v="5"/>
    <x v="11"/>
    <s v="SE2A"/>
    <x v="3"/>
    <x v="3"/>
    <x v="0"/>
    <x v="0"/>
  </r>
  <r>
    <x v="0"/>
    <x v="0"/>
    <x v="0"/>
    <x v="5"/>
    <x v="11"/>
    <s v="SE2A"/>
    <x v="3"/>
    <x v="4"/>
    <x v="0"/>
    <x v="0"/>
  </r>
  <r>
    <x v="0"/>
    <x v="0"/>
    <x v="0"/>
    <x v="5"/>
    <x v="11"/>
    <s v="SE2A"/>
    <x v="3"/>
    <x v="5"/>
    <x v="0"/>
    <x v="0"/>
  </r>
  <r>
    <x v="0"/>
    <x v="0"/>
    <x v="0"/>
    <x v="5"/>
    <x v="11"/>
    <s v="SE2A"/>
    <x v="3"/>
    <x v="6"/>
    <x v="0"/>
    <x v="0"/>
  </r>
  <r>
    <x v="0"/>
    <x v="0"/>
    <x v="0"/>
    <x v="5"/>
    <x v="11"/>
    <s v="SE2A"/>
    <x v="3"/>
    <x v="7"/>
    <x v="0"/>
    <x v="0"/>
  </r>
  <r>
    <x v="0"/>
    <x v="0"/>
    <x v="0"/>
    <x v="5"/>
    <x v="11"/>
    <s v="SE2A"/>
    <x v="3"/>
    <x v="8"/>
    <x v="0"/>
    <x v="0"/>
  </r>
  <r>
    <x v="0"/>
    <x v="0"/>
    <x v="0"/>
    <x v="5"/>
    <x v="11"/>
    <s v="SE2A"/>
    <x v="3"/>
    <x v="9"/>
    <x v="0"/>
    <x v="0"/>
  </r>
  <r>
    <x v="0"/>
    <x v="0"/>
    <x v="0"/>
    <x v="5"/>
    <x v="11"/>
    <s v="SE2A"/>
    <x v="3"/>
    <x v="10"/>
    <x v="0"/>
    <x v="0"/>
  </r>
  <r>
    <x v="0"/>
    <x v="0"/>
    <x v="0"/>
    <x v="5"/>
    <x v="11"/>
    <s v="SE2A"/>
    <x v="3"/>
    <x v="11"/>
    <x v="0"/>
    <x v="0"/>
  </r>
  <r>
    <x v="0"/>
    <x v="0"/>
    <x v="0"/>
    <x v="5"/>
    <x v="11"/>
    <s v="SE2A"/>
    <x v="4"/>
    <x v="0"/>
    <x v="0"/>
    <x v="0"/>
  </r>
  <r>
    <x v="0"/>
    <x v="0"/>
    <x v="0"/>
    <x v="5"/>
    <x v="11"/>
    <s v="SE2A"/>
    <x v="4"/>
    <x v="1"/>
    <x v="0"/>
    <x v="0"/>
  </r>
  <r>
    <x v="0"/>
    <x v="0"/>
    <x v="0"/>
    <x v="5"/>
    <x v="11"/>
    <s v="SE2A"/>
    <x v="4"/>
    <x v="2"/>
    <x v="0"/>
    <x v="0"/>
  </r>
  <r>
    <x v="0"/>
    <x v="0"/>
    <x v="0"/>
    <x v="5"/>
    <x v="11"/>
    <s v="SE2A"/>
    <x v="4"/>
    <x v="3"/>
    <x v="0"/>
    <x v="0"/>
  </r>
  <r>
    <x v="0"/>
    <x v="0"/>
    <x v="0"/>
    <x v="5"/>
    <x v="11"/>
    <s v="SE2A"/>
    <x v="4"/>
    <x v="4"/>
    <x v="0"/>
    <x v="0"/>
  </r>
  <r>
    <x v="0"/>
    <x v="0"/>
    <x v="0"/>
    <x v="5"/>
    <x v="11"/>
    <s v="SE2A"/>
    <x v="4"/>
    <x v="5"/>
    <x v="0"/>
    <x v="0"/>
  </r>
  <r>
    <x v="0"/>
    <x v="0"/>
    <x v="0"/>
    <x v="5"/>
    <x v="11"/>
    <s v="SE2A"/>
    <x v="4"/>
    <x v="6"/>
    <x v="0"/>
    <x v="0"/>
  </r>
  <r>
    <x v="0"/>
    <x v="0"/>
    <x v="0"/>
    <x v="5"/>
    <x v="11"/>
    <s v="SE2A"/>
    <x v="4"/>
    <x v="7"/>
    <x v="0"/>
    <x v="0"/>
  </r>
  <r>
    <x v="0"/>
    <x v="0"/>
    <x v="0"/>
    <x v="5"/>
    <x v="11"/>
    <s v="SE2A"/>
    <x v="4"/>
    <x v="8"/>
    <x v="0"/>
    <x v="0"/>
  </r>
  <r>
    <x v="0"/>
    <x v="0"/>
    <x v="0"/>
    <x v="5"/>
    <x v="11"/>
    <s v="SE2A"/>
    <x v="4"/>
    <x v="9"/>
    <x v="0"/>
    <x v="0"/>
  </r>
  <r>
    <x v="0"/>
    <x v="0"/>
    <x v="0"/>
    <x v="5"/>
    <x v="11"/>
    <s v="SE2A"/>
    <x v="4"/>
    <x v="10"/>
    <x v="0"/>
    <x v="0"/>
  </r>
  <r>
    <x v="0"/>
    <x v="0"/>
    <x v="0"/>
    <x v="5"/>
    <x v="11"/>
    <s v="SE2A"/>
    <x v="4"/>
    <x v="11"/>
    <x v="0"/>
    <x v="0"/>
  </r>
  <r>
    <x v="0"/>
    <x v="0"/>
    <x v="0"/>
    <x v="5"/>
    <x v="11"/>
    <s v="SE2A"/>
    <x v="5"/>
    <x v="0"/>
    <x v="0"/>
    <x v="0"/>
  </r>
  <r>
    <x v="0"/>
    <x v="0"/>
    <x v="0"/>
    <x v="5"/>
    <x v="11"/>
    <s v="SE2A"/>
    <x v="5"/>
    <x v="1"/>
    <x v="0"/>
    <x v="0"/>
  </r>
  <r>
    <x v="0"/>
    <x v="0"/>
    <x v="0"/>
    <x v="5"/>
    <x v="11"/>
    <s v="SE2A"/>
    <x v="5"/>
    <x v="2"/>
    <x v="0"/>
    <x v="0"/>
  </r>
  <r>
    <x v="0"/>
    <x v="0"/>
    <x v="0"/>
    <x v="5"/>
    <x v="11"/>
    <s v="SE2A"/>
    <x v="5"/>
    <x v="3"/>
    <x v="0"/>
    <x v="0"/>
  </r>
  <r>
    <x v="0"/>
    <x v="0"/>
    <x v="0"/>
    <x v="5"/>
    <x v="11"/>
    <s v="SE2A"/>
    <x v="5"/>
    <x v="4"/>
    <x v="0"/>
    <x v="0"/>
  </r>
  <r>
    <x v="0"/>
    <x v="0"/>
    <x v="0"/>
    <x v="5"/>
    <x v="11"/>
    <s v="SE2A"/>
    <x v="5"/>
    <x v="5"/>
    <x v="0"/>
    <x v="0"/>
  </r>
  <r>
    <x v="0"/>
    <x v="0"/>
    <x v="0"/>
    <x v="5"/>
    <x v="11"/>
    <s v="SE2A"/>
    <x v="5"/>
    <x v="6"/>
    <x v="0"/>
    <x v="0"/>
  </r>
  <r>
    <x v="0"/>
    <x v="0"/>
    <x v="0"/>
    <x v="5"/>
    <x v="11"/>
    <s v="SE2A"/>
    <x v="5"/>
    <x v="7"/>
    <x v="0"/>
    <x v="0"/>
  </r>
  <r>
    <x v="0"/>
    <x v="0"/>
    <x v="0"/>
    <x v="5"/>
    <x v="11"/>
    <s v="SE2A"/>
    <x v="5"/>
    <x v="8"/>
    <x v="0"/>
    <x v="0"/>
  </r>
  <r>
    <x v="0"/>
    <x v="0"/>
    <x v="0"/>
    <x v="5"/>
    <x v="11"/>
    <s v="SE2A"/>
    <x v="5"/>
    <x v="9"/>
    <x v="0"/>
    <x v="0"/>
  </r>
  <r>
    <x v="0"/>
    <x v="0"/>
    <x v="0"/>
    <x v="5"/>
    <x v="11"/>
    <s v="SE2A"/>
    <x v="5"/>
    <x v="10"/>
    <x v="0"/>
    <x v="0"/>
  </r>
  <r>
    <x v="0"/>
    <x v="0"/>
    <x v="0"/>
    <x v="5"/>
    <x v="11"/>
    <s v="SE2A"/>
    <x v="5"/>
    <x v="11"/>
    <x v="0"/>
    <x v="0"/>
  </r>
  <r>
    <x v="0"/>
    <x v="0"/>
    <x v="0"/>
    <x v="5"/>
    <x v="11"/>
    <s v="SE2A"/>
    <x v="6"/>
    <x v="0"/>
    <x v="0"/>
    <x v="0"/>
  </r>
  <r>
    <x v="0"/>
    <x v="0"/>
    <x v="0"/>
    <x v="5"/>
    <x v="11"/>
    <s v="SE2A"/>
    <x v="6"/>
    <x v="1"/>
    <x v="0"/>
    <x v="0"/>
  </r>
  <r>
    <x v="0"/>
    <x v="0"/>
    <x v="0"/>
    <x v="5"/>
    <x v="11"/>
    <s v="SE2A"/>
    <x v="6"/>
    <x v="2"/>
    <x v="0"/>
    <x v="0"/>
  </r>
  <r>
    <x v="0"/>
    <x v="0"/>
    <x v="0"/>
    <x v="5"/>
    <x v="11"/>
    <s v="SE2A"/>
    <x v="6"/>
    <x v="3"/>
    <x v="0"/>
    <x v="0"/>
  </r>
  <r>
    <x v="0"/>
    <x v="0"/>
    <x v="0"/>
    <x v="5"/>
    <x v="11"/>
    <s v="SE2A"/>
    <x v="6"/>
    <x v="4"/>
    <x v="0"/>
    <x v="0"/>
  </r>
  <r>
    <x v="0"/>
    <x v="0"/>
    <x v="0"/>
    <x v="5"/>
    <x v="11"/>
    <s v="SE2A"/>
    <x v="6"/>
    <x v="5"/>
    <x v="0"/>
    <x v="0"/>
  </r>
  <r>
    <x v="0"/>
    <x v="0"/>
    <x v="0"/>
    <x v="5"/>
    <x v="11"/>
    <s v="SE2A"/>
    <x v="6"/>
    <x v="6"/>
    <x v="0"/>
    <x v="0"/>
  </r>
  <r>
    <x v="0"/>
    <x v="0"/>
    <x v="0"/>
    <x v="5"/>
    <x v="11"/>
    <s v="SE2A"/>
    <x v="6"/>
    <x v="7"/>
    <x v="0"/>
    <x v="0"/>
  </r>
  <r>
    <x v="0"/>
    <x v="0"/>
    <x v="0"/>
    <x v="5"/>
    <x v="11"/>
    <s v="SE2A"/>
    <x v="6"/>
    <x v="8"/>
    <x v="0"/>
    <x v="0"/>
  </r>
  <r>
    <x v="0"/>
    <x v="0"/>
    <x v="0"/>
    <x v="5"/>
    <x v="11"/>
    <s v="SE2A"/>
    <x v="6"/>
    <x v="9"/>
    <x v="0"/>
    <x v="0"/>
  </r>
  <r>
    <x v="0"/>
    <x v="0"/>
    <x v="0"/>
    <x v="5"/>
    <x v="11"/>
    <s v="SE2A"/>
    <x v="6"/>
    <x v="10"/>
    <x v="0"/>
    <x v="0"/>
  </r>
  <r>
    <x v="0"/>
    <x v="0"/>
    <x v="0"/>
    <x v="5"/>
    <x v="11"/>
    <s v="SE2A"/>
    <x v="6"/>
    <x v="11"/>
    <x v="0"/>
    <x v="0"/>
  </r>
  <r>
    <x v="0"/>
    <x v="0"/>
    <x v="0"/>
    <x v="5"/>
    <x v="11"/>
    <s v="SE2A"/>
    <x v="7"/>
    <x v="0"/>
    <x v="0"/>
    <x v="0"/>
  </r>
  <r>
    <x v="0"/>
    <x v="0"/>
    <x v="0"/>
    <x v="5"/>
    <x v="11"/>
    <s v="SE2A"/>
    <x v="7"/>
    <x v="1"/>
    <x v="0"/>
    <x v="0"/>
  </r>
  <r>
    <x v="0"/>
    <x v="0"/>
    <x v="0"/>
    <x v="5"/>
    <x v="11"/>
    <s v="SE2A"/>
    <x v="7"/>
    <x v="2"/>
    <x v="0"/>
    <x v="0"/>
  </r>
  <r>
    <x v="0"/>
    <x v="0"/>
    <x v="0"/>
    <x v="5"/>
    <x v="11"/>
    <s v="SE2A"/>
    <x v="7"/>
    <x v="3"/>
    <x v="0"/>
    <x v="0"/>
  </r>
  <r>
    <x v="0"/>
    <x v="0"/>
    <x v="0"/>
    <x v="5"/>
    <x v="11"/>
    <s v="SE2A"/>
    <x v="7"/>
    <x v="4"/>
    <x v="0"/>
    <x v="0"/>
  </r>
  <r>
    <x v="0"/>
    <x v="0"/>
    <x v="0"/>
    <x v="5"/>
    <x v="11"/>
    <s v="SE2A"/>
    <x v="7"/>
    <x v="5"/>
    <x v="0"/>
    <x v="0"/>
  </r>
  <r>
    <x v="0"/>
    <x v="0"/>
    <x v="0"/>
    <x v="5"/>
    <x v="11"/>
    <s v="SE2A"/>
    <x v="7"/>
    <x v="6"/>
    <x v="0"/>
    <x v="0"/>
  </r>
  <r>
    <x v="0"/>
    <x v="0"/>
    <x v="0"/>
    <x v="5"/>
    <x v="11"/>
    <s v="SE2A"/>
    <x v="7"/>
    <x v="7"/>
    <x v="0"/>
    <x v="0"/>
  </r>
  <r>
    <x v="0"/>
    <x v="0"/>
    <x v="0"/>
    <x v="5"/>
    <x v="11"/>
    <s v="SE2A"/>
    <x v="7"/>
    <x v="8"/>
    <x v="0"/>
    <x v="0"/>
  </r>
  <r>
    <x v="0"/>
    <x v="0"/>
    <x v="0"/>
    <x v="5"/>
    <x v="11"/>
    <s v="SE2A"/>
    <x v="7"/>
    <x v="9"/>
    <x v="0"/>
    <x v="0"/>
  </r>
  <r>
    <x v="0"/>
    <x v="0"/>
    <x v="0"/>
    <x v="5"/>
    <x v="11"/>
    <s v="SE2A"/>
    <x v="7"/>
    <x v="10"/>
    <x v="0"/>
    <x v="0"/>
  </r>
  <r>
    <x v="0"/>
    <x v="0"/>
    <x v="0"/>
    <x v="5"/>
    <x v="11"/>
    <s v="SE2A"/>
    <x v="7"/>
    <x v="11"/>
    <x v="0"/>
    <x v="0"/>
  </r>
  <r>
    <x v="0"/>
    <x v="0"/>
    <x v="0"/>
    <x v="5"/>
    <x v="11"/>
    <s v="SE2A"/>
    <x v="8"/>
    <x v="0"/>
    <x v="0"/>
    <x v="0"/>
  </r>
  <r>
    <x v="0"/>
    <x v="0"/>
    <x v="0"/>
    <x v="5"/>
    <x v="11"/>
    <s v="SE2A"/>
    <x v="8"/>
    <x v="1"/>
    <x v="0"/>
    <x v="0"/>
  </r>
  <r>
    <x v="0"/>
    <x v="0"/>
    <x v="0"/>
    <x v="5"/>
    <x v="11"/>
    <s v="SE2A"/>
    <x v="8"/>
    <x v="2"/>
    <x v="0"/>
    <x v="0"/>
  </r>
  <r>
    <x v="0"/>
    <x v="0"/>
    <x v="0"/>
    <x v="5"/>
    <x v="11"/>
    <s v="SE2A"/>
    <x v="8"/>
    <x v="3"/>
    <x v="0"/>
    <x v="0"/>
  </r>
  <r>
    <x v="0"/>
    <x v="0"/>
    <x v="0"/>
    <x v="5"/>
    <x v="11"/>
    <s v="SE2A"/>
    <x v="8"/>
    <x v="4"/>
    <x v="0"/>
    <x v="0"/>
  </r>
  <r>
    <x v="0"/>
    <x v="0"/>
    <x v="0"/>
    <x v="5"/>
    <x v="11"/>
    <s v="SE2A"/>
    <x v="8"/>
    <x v="5"/>
    <x v="0"/>
    <x v="0"/>
  </r>
  <r>
    <x v="0"/>
    <x v="0"/>
    <x v="0"/>
    <x v="5"/>
    <x v="11"/>
    <s v="SE2A"/>
    <x v="8"/>
    <x v="6"/>
    <x v="0"/>
    <x v="0"/>
  </r>
  <r>
    <x v="0"/>
    <x v="0"/>
    <x v="0"/>
    <x v="5"/>
    <x v="11"/>
    <s v="SE2A"/>
    <x v="8"/>
    <x v="7"/>
    <x v="0"/>
    <x v="0"/>
  </r>
  <r>
    <x v="0"/>
    <x v="0"/>
    <x v="0"/>
    <x v="5"/>
    <x v="11"/>
    <s v="SE2A"/>
    <x v="8"/>
    <x v="8"/>
    <x v="0"/>
    <x v="0"/>
  </r>
  <r>
    <x v="0"/>
    <x v="0"/>
    <x v="0"/>
    <x v="5"/>
    <x v="11"/>
    <s v="SE2A"/>
    <x v="8"/>
    <x v="9"/>
    <x v="0"/>
    <x v="0"/>
  </r>
  <r>
    <x v="0"/>
    <x v="0"/>
    <x v="0"/>
    <x v="5"/>
    <x v="11"/>
    <s v="SE2A"/>
    <x v="8"/>
    <x v="10"/>
    <x v="0"/>
    <x v="0"/>
  </r>
  <r>
    <x v="0"/>
    <x v="0"/>
    <x v="0"/>
    <x v="5"/>
    <x v="11"/>
    <s v="SE2A"/>
    <x v="8"/>
    <x v="11"/>
    <x v="0"/>
    <x v="0"/>
  </r>
  <r>
    <x v="0"/>
    <x v="0"/>
    <x v="0"/>
    <x v="5"/>
    <x v="11"/>
    <s v="SE2A"/>
    <x v="9"/>
    <x v="0"/>
    <x v="0"/>
    <x v="0"/>
  </r>
  <r>
    <x v="0"/>
    <x v="0"/>
    <x v="0"/>
    <x v="5"/>
    <x v="11"/>
    <s v="SE2A"/>
    <x v="9"/>
    <x v="1"/>
    <x v="0"/>
    <x v="0"/>
  </r>
  <r>
    <x v="0"/>
    <x v="0"/>
    <x v="0"/>
    <x v="5"/>
    <x v="11"/>
    <s v="SE2A"/>
    <x v="9"/>
    <x v="2"/>
    <x v="0"/>
    <x v="0"/>
  </r>
  <r>
    <x v="0"/>
    <x v="0"/>
    <x v="0"/>
    <x v="5"/>
    <x v="11"/>
    <s v="SE2A"/>
    <x v="9"/>
    <x v="3"/>
    <x v="0"/>
    <x v="0"/>
  </r>
  <r>
    <x v="0"/>
    <x v="0"/>
    <x v="0"/>
    <x v="5"/>
    <x v="11"/>
    <s v="SE2A"/>
    <x v="9"/>
    <x v="4"/>
    <x v="0"/>
    <x v="0"/>
  </r>
  <r>
    <x v="0"/>
    <x v="0"/>
    <x v="0"/>
    <x v="5"/>
    <x v="11"/>
    <s v="SE2A"/>
    <x v="9"/>
    <x v="5"/>
    <x v="0"/>
    <x v="0"/>
  </r>
  <r>
    <x v="0"/>
    <x v="0"/>
    <x v="0"/>
    <x v="5"/>
    <x v="11"/>
    <s v="SE2A"/>
    <x v="9"/>
    <x v="6"/>
    <x v="0"/>
    <x v="0"/>
  </r>
  <r>
    <x v="0"/>
    <x v="0"/>
    <x v="0"/>
    <x v="5"/>
    <x v="11"/>
    <s v="SE2A"/>
    <x v="9"/>
    <x v="7"/>
    <x v="0"/>
    <x v="0"/>
  </r>
  <r>
    <x v="0"/>
    <x v="0"/>
    <x v="0"/>
    <x v="5"/>
    <x v="11"/>
    <s v="SE2A"/>
    <x v="9"/>
    <x v="8"/>
    <x v="0"/>
    <x v="0"/>
  </r>
  <r>
    <x v="0"/>
    <x v="0"/>
    <x v="0"/>
    <x v="5"/>
    <x v="11"/>
    <s v="SE2A"/>
    <x v="9"/>
    <x v="9"/>
    <x v="0"/>
    <x v="0"/>
  </r>
  <r>
    <x v="0"/>
    <x v="0"/>
    <x v="0"/>
    <x v="5"/>
    <x v="11"/>
    <s v="SE2A"/>
    <x v="9"/>
    <x v="10"/>
    <x v="0"/>
    <x v="0"/>
  </r>
  <r>
    <x v="0"/>
    <x v="0"/>
    <x v="0"/>
    <x v="5"/>
    <x v="11"/>
    <s v="SE2A"/>
    <x v="9"/>
    <x v="11"/>
    <x v="0"/>
    <x v="0"/>
  </r>
  <r>
    <x v="0"/>
    <x v="0"/>
    <x v="0"/>
    <x v="5"/>
    <x v="11"/>
    <s v="SE2A"/>
    <x v="10"/>
    <x v="0"/>
    <x v="0"/>
    <x v="0"/>
  </r>
  <r>
    <x v="0"/>
    <x v="0"/>
    <x v="0"/>
    <x v="5"/>
    <x v="11"/>
    <s v="SE2A"/>
    <x v="10"/>
    <x v="1"/>
    <x v="0"/>
    <x v="0"/>
  </r>
  <r>
    <x v="0"/>
    <x v="0"/>
    <x v="0"/>
    <x v="5"/>
    <x v="11"/>
    <s v="SE2A"/>
    <x v="10"/>
    <x v="2"/>
    <x v="0"/>
    <x v="0"/>
  </r>
  <r>
    <x v="0"/>
    <x v="0"/>
    <x v="0"/>
    <x v="5"/>
    <x v="11"/>
    <s v="SE2A"/>
    <x v="10"/>
    <x v="3"/>
    <x v="0"/>
    <x v="0"/>
  </r>
  <r>
    <x v="0"/>
    <x v="0"/>
    <x v="0"/>
    <x v="5"/>
    <x v="11"/>
    <s v="SE2A"/>
    <x v="10"/>
    <x v="4"/>
    <x v="0"/>
    <x v="0"/>
  </r>
  <r>
    <x v="0"/>
    <x v="0"/>
    <x v="0"/>
    <x v="5"/>
    <x v="11"/>
    <s v="SE2A"/>
    <x v="10"/>
    <x v="5"/>
    <x v="0"/>
    <x v="0"/>
  </r>
  <r>
    <x v="0"/>
    <x v="0"/>
    <x v="0"/>
    <x v="5"/>
    <x v="11"/>
    <s v="SE2A"/>
    <x v="10"/>
    <x v="6"/>
    <x v="0"/>
    <x v="0"/>
  </r>
  <r>
    <x v="0"/>
    <x v="0"/>
    <x v="0"/>
    <x v="5"/>
    <x v="11"/>
    <s v="SE2A"/>
    <x v="10"/>
    <x v="7"/>
    <x v="0"/>
    <x v="0"/>
  </r>
  <r>
    <x v="0"/>
    <x v="0"/>
    <x v="0"/>
    <x v="5"/>
    <x v="11"/>
    <s v="SE2A"/>
    <x v="10"/>
    <x v="8"/>
    <x v="0"/>
    <x v="0"/>
  </r>
  <r>
    <x v="0"/>
    <x v="0"/>
    <x v="0"/>
    <x v="5"/>
    <x v="11"/>
    <s v="SE2A"/>
    <x v="10"/>
    <x v="9"/>
    <x v="0"/>
    <x v="0"/>
  </r>
  <r>
    <x v="0"/>
    <x v="0"/>
    <x v="0"/>
    <x v="5"/>
    <x v="11"/>
    <s v="SE2A"/>
    <x v="10"/>
    <x v="10"/>
    <x v="0"/>
    <x v="0"/>
  </r>
  <r>
    <x v="0"/>
    <x v="0"/>
    <x v="0"/>
    <x v="5"/>
    <x v="11"/>
    <s v="SE2A"/>
    <x v="10"/>
    <x v="11"/>
    <x v="0"/>
    <x v="0"/>
  </r>
  <r>
    <x v="0"/>
    <x v="0"/>
    <x v="0"/>
    <x v="5"/>
    <x v="11"/>
    <s v="SE2A"/>
    <x v="11"/>
    <x v="0"/>
    <x v="0"/>
    <x v="0"/>
  </r>
  <r>
    <x v="0"/>
    <x v="0"/>
    <x v="0"/>
    <x v="5"/>
    <x v="11"/>
    <s v="SE2A"/>
    <x v="11"/>
    <x v="1"/>
    <x v="0"/>
    <x v="0"/>
  </r>
  <r>
    <x v="0"/>
    <x v="0"/>
    <x v="0"/>
    <x v="5"/>
    <x v="11"/>
    <s v="SE2A"/>
    <x v="11"/>
    <x v="2"/>
    <x v="0"/>
    <x v="0"/>
  </r>
  <r>
    <x v="0"/>
    <x v="0"/>
    <x v="0"/>
    <x v="5"/>
    <x v="11"/>
    <s v="SE2A"/>
    <x v="11"/>
    <x v="3"/>
    <x v="0"/>
    <x v="0"/>
  </r>
  <r>
    <x v="0"/>
    <x v="0"/>
    <x v="0"/>
    <x v="5"/>
    <x v="11"/>
    <s v="SE2A"/>
    <x v="11"/>
    <x v="4"/>
    <x v="0"/>
    <x v="0"/>
  </r>
  <r>
    <x v="0"/>
    <x v="0"/>
    <x v="0"/>
    <x v="5"/>
    <x v="11"/>
    <s v="SE2A"/>
    <x v="11"/>
    <x v="5"/>
    <x v="0"/>
    <x v="0"/>
  </r>
  <r>
    <x v="0"/>
    <x v="0"/>
    <x v="0"/>
    <x v="5"/>
    <x v="11"/>
    <s v="SE2A"/>
    <x v="11"/>
    <x v="6"/>
    <x v="0"/>
    <x v="0"/>
  </r>
  <r>
    <x v="0"/>
    <x v="0"/>
    <x v="0"/>
    <x v="5"/>
    <x v="11"/>
    <s v="SE2A"/>
    <x v="11"/>
    <x v="7"/>
    <x v="0"/>
    <x v="0"/>
  </r>
  <r>
    <x v="0"/>
    <x v="0"/>
    <x v="0"/>
    <x v="5"/>
    <x v="11"/>
    <s v="SE2A"/>
    <x v="11"/>
    <x v="8"/>
    <x v="0"/>
    <x v="0"/>
  </r>
  <r>
    <x v="0"/>
    <x v="0"/>
    <x v="0"/>
    <x v="5"/>
    <x v="11"/>
    <s v="SE2A"/>
    <x v="11"/>
    <x v="9"/>
    <x v="0"/>
    <x v="0"/>
  </r>
  <r>
    <x v="0"/>
    <x v="0"/>
    <x v="0"/>
    <x v="5"/>
    <x v="11"/>
    <s v="SE2A"/>
    <x v="11"/>
    <x v="10"/>
    <x v="0"/>
    <x v="0"/>
  </r>
  <r>
    <x v="0"/>
    <x v="0"/>
    <x v="0"/>
    <x v="5"/>
    <x v="11"/>
    <s v="SE2A"/>
    <x v="11"/>
    <x v="11"/>
    <x v="0"/>
    <x v="0"/>
  </r>
  <r>
    <x v="0"/>
    <x v="0"/>
    <x v="0"/>
    <x v="5"/>
    <x v="11"/>
    <s v="SE2_EL"/>
    <x v="0"/>
    <x v="0"/>
    <x v="0"/>
    <x v="0"/>
  </r>
  <r>
    <x v="0"/>
    <x v="0"/>
    <x v="0"/>
    <x v="5"/>
    <x v="11"/>
    <s v="SE2_EL"/>
    <x v="0"/>
    <x v="1"/>
    <x v="0"/>
    <x v="0"/>
  </r>
  <r>
    <x v="0"/>
    <x v="0"/>
    <x v="0"/>
    <x v="5"/>
    <x v="11"/>
    <s v="SE2_EL"/>
    <x v="0"/>
    <x v="2"/>
    <x v="0"/>
    <x v="0"/>
  </r>
  <r>
    <x v="0"/>
    <x v="0"/>
    <x v="0"/>
    <x v="5"/>
    <x v="11"/>
    <s v="SE2_EL"/>
    <x v="0"/>
    <x v="3"/>
    <x v="0"/>
    <x v="0"/>
  </r>
  <r>
    <x v="0"/>
    <x v="0"/>
    <x v="0"/>
    <x v="5"/>
    <x v="11"/>
    <s v="SE2_EL"/>
    <x v="0"/>
    <x v="4"/>
    <x v="0"/>
    <x v="0"/>
  </r>
  <r>
    <x v="0"/>
    <x v="0"/>
    <x v="0"/>
    <x v="5"/>
    <x v="11"/>
    <s v="SE2_EL"/>
    <x v="0"/>
    <x v="5"/>
    <x v="0"/>
    <x v="0"/>
  </r>
  <r>
    <x v="0"/>
    <x v="0"/>
    <x v="0"/>
    <x v="5"/>
    <x v="11"/>
    <s v="SE2_EL"/>
    <x v="0"/>
    <x v="6"/>
    <x v="0"/>
    <x v="0"/>
  </r>
  <r>
    <x v="0"/>
    <x v="0"/>
    <x v="0"/>
    <x v="5"/>
    <x v="11"/>
    <s v="SE2_EL"/>
    <x v="0"/>
    <x v="7"/>
    <x v="0"/>
    <x v="0"/>
  </r>
  <r>
    <x v="0"/>
    <x v="0"/>
    <x v="0"/>
    <x v="5"/>
    <x v="11"/>
    <s v="SE2_EL"/>
    <x v="0"/>
    <x v="8"/>
    <x v="0"/>
    <x v="0"/>
  </r>
  <r>
    <x v="0"/>
    <x v="0"/>
    <x v="0"/>
    <x v="5"/>
    <x v="11"/>
    <s v="SE2_EL"/>
    <x v="0"/>
    <x v="9"/>
    <x v="0"/>
    <x v="0"/>
  </r>
  <r>
    <x v="0"/>
    <x v="0"/>
    <x v="0"/>
    <x v="5"/>
    <x v="11"/>
    <s v="SE2_EL"/>
    <x v="0"/>
    <x v="10"/>
    <x v="0"/>
    <x v="0"/>
  </r>
  <r>
    <x v="0"/>
    <x v="0"/>
    <x v="0"/>
    <x v="5"/>
    <x v="11"/>
    <s v="SE2_EL"/>
    <x v="0"/>
    <x v="11"/>
    <x v="0"/>
    <x v="0"/>
  </r>
  <r>
    <x v="0"/>
    <x v="0"/>
    <x v="0"/>
    <x v="5"/>
    <x v="11"/>
    <s v="SE2_EL"/>
    <x v="1"/>
    <x v="0"/>
    <x v="0"/>
    <x v="0"/>
  </r>
  <r>
    <x v="0"/>
    <x v="0"/>
    <x v="0"/>
    <x v="5"/>
    <x v="11"/>
    <s v="SE2_EL"/>
    <x v="1"/>
    <x v="1"/>
    <x v="0"/>
    <x v="0"/>
  </r>
  <r>
    <x v="0"/>
    <x v="0"/>
    <x v="0"/>
    <x v="5"/>
    <x v="11"/>
    <s v="SE2_EL"/>
    <x v="1"/>
    <x v="2"/>
    <x v="0"/>
    <x v="0"/>
  </r>
  <r>
    <x v="0"/>
    <x v="0"/>
    <x v="0"/>
    <x v="5"/>
    <x v="11"/>
    <s v="SE2_EL"/>
    <x v="1"/>
    <x v="3"/>
    <x v="0"/>
    <x v="0"/>
  </r>
  <r>
    <x v="0"/>
    <x v="0"/>
    <x v="0"/>
    <x v="5"/>
    <x v="11"/>
    <s v="SE2_EL"/>
    <x v="1"/>
    <x v="4"/>
    <x v="0"/>
    <x v="0"/>
  </r>
  <r>
    <x v="0"/>
    <x v="0"/>
    <x v="0"/>
    <x v="5"/>
    <x v="11"/>
    <s v="SE2_EL"/>
    <x v="1"/>
    <x v="5"/>
    <x v="0"/>
    <x v="0"/>
  </r>
  <r>
    <x v="0"/>
    <x v="0"/>
    <x v="0"/>
    <x v="5"/>
    <x v="11"/>
    <s v="SE2_EL"/>
    <x v="1"/>
    <x v="6"/>
    <x v="0"/>
    <x v="0"/>
  </r>
  <r>
    <x v="0"/>
    <x v="0"/>
    <x v="0"/>
    <x v="5"/>
    <x v="11"/>
    <s v="SE2_EL"/>
    <x v="1"/>
    <x v="7"/>
    <x v="0"/>
    <x v="0"/>
  </r>
  <r>
    <x v="0"/>
    <x v="0"/>
    <x v="0"/>
    <x v="5"/>
    <x v="11"/>
    <s v="SE2_EL"/>
    <x v="1"/>
    <x v="8"/>
    <x v="0"/>
    <x v="0"/>
  </r>
  <r>
    <x v="0"/>
    <x v="0"/>
    <x v="0"/>
    <x v="5"/>
    <x v="11"/>
    <s v="SE2_EL"/>
    <x v="1"/>
    <x v="9"/>
    <x v="0"/>
    <x v="0"/>
  </r>
  <r>
    <x v="0"/>
    <x v="0"/>
    <x v="0"/>
    <x v="5"/>
    <x v="11"/>
    <s v="SE2_EL"/>
    <x v="1"/>
    <x v="10"/>
    <x v="0"/>
    <x v="0"/>
  </r>
  <r>
    <x v="0"/>
    <x v="0"/>
    <x v="0"/>
    <x v="5"/>
    <x v="11"/>
    <s v="SE2_EL"/>
    <x v="1"/>
    <x v="11"/>
    <x v="0"/>
    <x v="0"/>
  </r>
  <r>
    <x v="0"/>
    <x v="0"/>
    <x v="0"/>
    <x v="5"/>
    <x v="11"/>
    <s v="SE2_EL"/>
    <x v="2"/>
    <x v="0"/>
    <x v="0"/>
    <x v="0"/>
  </r>
  <r>
    <x v="0"/>
    <x v="0"/>
    <x v="0"/>
    <x v="5"/>
    <x v="11"/>
    <s v="SE2_EL"/>
    <x v="2"/>
    <x v="1"/>
    <x v="0"/>
    <x v="0"/>
  </r>
  <r>
    <x v="0"/>
    <x v="0"/>
    <x v="0"/>
    <x v="5"/>
    <x v="11"/>
    <s v="SE2_EL"/>
    <x v="2"/>
    <x v="2"/>
    <x v="0"/>
    <x v="0"/>
  </r>
  <r>
    <x v="0"/>
    <x v="0"/>
    <x v="0"/>
    <x v="5"/>
    <x v="11"/>
    <s v="SE2_EL"/>
    <x v="2"/>
    <x v="3"/>
    <x v="0"/>
    <x v="0"/>
  </r>
  <r>
    <x v="0"/>
    <x v="0"/>
    <x v="0"/>
    <x v="5"/>
    <x v="11"/>
    <s v="SE2_EL"/>
    <x v="2"/>
    <x v="4"/>
    <x v="0"/>
    <x v="0"/>
  </r>
  <r>
    <x v="0"/>
    <x v="0"/>
    <x v="0"/>
    <x v="5"/>
    <x v="11"/>
    <s v="SE2_EL"/>
    <x v="2"/>
    <x v="5"/>
    <x v="0"/>
    <x v="0"/>
  </r>
  <r>
    <x v="0"/>
    <x v="0"/>
    <x v="0"/>
    <x v="5"/>
    <x v="11"/>
    <s v="SE2_EL"/>
    <x v="2"/>
    <x v="6"/>
    <x v="0"/>
    <x v="0"/>
  </r>
  <r>
    <x v="0"/>
    <x v="0"/>
    <x v="0"/>
    <x v="5"/>
    <x v="11"/>
    <s v="SE2_EL"/>
    <x v="2"/>
    <x v="7"/>
    <x v="0"/>
    <x v="0"/>
  </r>
  <r>
    <x v="0"/>
    <x v="0"/>
    <x v="0"/>
    <x v="5"/>
    <x v="11"/>
    <s v="SE2_EL"/>
    <x v="2"/>
    <x v="8"/>
    <x v="0"/>
    <x v="0"/>
  </r>
  <r>
    <x v="0"/>
    <x v="0"/>
    <x v="0"/>
    <x v="5"/>
    <x v="11"/>
    <s v="SE2_EL"/>
    <x v="2"/>
    <x v="9"/>
    <x v="0"/>
    <x v="0"/>
  </r>
  <r>
    <x v="0"/>
    <x v="0"/>
    <x v="0"/>
    <x v="5"/>
    <x v="11"/>
    <s v="SE2_EL"/>
    <x v="2"/>
    <x v="10"/>
    <x v="0"/>
    <x v="0"/>
  </r>
  <r>
    <x v="0"/>
    <x v="0"/>
    <x v="0"/>
    <x v="5"/>
    <x v="11"/>
    <s v="SE2_EL"/>
    <x v="2"/>
    <x v="11"/>
    <x v="0"/>
    <x v="0"/>
  </r>
  <r>
    <x v="0"/>
    <x v="0"/>
    <x v="0"/>
    <x v="5"/>
    <x v="11"/>
    <s v="SE2_EL"/>
    <x v="3"/>
    <x v="0"/>
    <x v="0"/>
    <x v="0"/>
  </r>
  <r>
    <x v="0"/>
    <x v="0"/>
    <x v="0"/>
    <x v="5"/>
    <x v="11"/>
    <s v="SE2_EL"/>
    <x v="3"/>
    <x v="1"/>
    <x v="0"/>
    <x v="0"/>
  </r>
  <r>
    <x v="0"/>
    <x v="0"/>
    <x v="0"/>
    <x v="5"/>
    <x v="11"/>
    <s v="SE2_EL"/>
    <x v="3"/>
    <x v="2"/>
    <x v="0"/>
    <x v="0"/>
  </r>
  <r>
    <x v="0"/>
    <x v="0"/>
    <x v="0"/>
    <x v="5"/>
    <x v="11"/>
    <s v="SE2_EL"/>
    <x v="3"/>
    <x v="3"/>
    <x v="0"/>
    <x v="0"/>
  </r>
  <r>
    <x v="0"/>
    <x v="0"/>
    <x v="0"/>
    <x v="5"/>
    <x v="11"/>
    <s v="SE2_EL"/>
    <x v="3"/>
    <x v="4"/>
    <x v="0"/>
    <x v="0"/>
  </r>
  <r>
    <x v="0"/>
    <x v="0"/>
    <x v="0"/>
    <x v="5"/>
    <x v="11"/>
    <s v="SE2_EL"/>
    <x v="3"/>
    <x v="5"/>
    <x v="0"/>
    <x v="0"/>
  </r>
  <r>
    <x v="0"/>
    <x v="0"/>
    <x v="0"/>
    <x v="5"/>
    <x v="11"/>
    <s v="SE2_EL"/>
    <x v="3"/>
    <x v="6"/>
    <x v="0"/>
    <x v="0"/>
  </r>
  <r>
    <x v="0"/>
    <x v="0"/>
    <x v="0"/>
    <x v="5"/>
    <x v="11"/>
    <s v="SE2_EL"/>
    <x v="3"/>
    <x v="7"/>
    <x v="0"/>
    <x v="0"/>
  </r>
  <r>
    <x v="0"/>
    <x v="0"/>
    <x v="0"/>
    <x v="5"/>
    <x v="11"/>
    <s v="SE2_EL"/>
    <x v="3"/>
    <x v="8"/>
    <x v="0"/>
    <x v="0"/>
  </r>
  <r>
    <x v="0"/>
    <x v="0"/>
    <x v="0"/>
    <x v="5"/>
    <x v="11"/>
    <s v="SE2_EL"/>
    <x v="3"/>
    <x v="9"/>
    <x v="0"/>
    <x v="0"/>
  </r>
  <r>
    <x v="0"/>
    <x v="0"/>
    <x v="0"/>
    <x v="5"/>
    <x v="11"/>
    <s v="SE2_EL"/>
    <x v="3"/>
    <x v="10"/>
    <x v="0"/>
    <x v="0"/>
  </r>
  <r>
    <x v="0"/>
    <x v="0"/>
    <x v="0"/>
    <x v="5"/>
    <x v="11"/>
    <s v="SE2_EL"/>
    <x v="3"/>
    <x v="11"/>
    <x v="0"/>
    <x v="0"/>
  </r>
  <r>
    <x v="0"/>
    <x v="0"/>
    <x v="0"/>
    <x v="5"/>
    <x v="11"/>
    <s v="SE2_EL"/>
    <x v="4"/>
    <x v="0"/>
    <x v="0"/>
    <x v="0"/>
  </r>
  <r>
    <x v="0"/>
    <x v="0"/>
    <x v="0"/>
    <x v="5"/>
    <x v="11"/>
    <s v="SE2_EL"/>
    <x v="4"/>
    <x v="1"/>
    <x v="0"/>
    <x v="0"/>
  </r>
  <r>
    <x v="0"/>
    <x v="0"/>
    <x v="0"/>
    <x v="5"/>
    <x v="11"/>
    <s v="SE2_EL"/>
    <x v="4"/>
    <x v="2"/>
    <x v="0"/>
    <x v="0"/>
  </r>
  <r>
    <x v="0"/>
    <x v="0"/>
    <x v="0"/>
    <x v="5"/>
    <x v="11"/>
    <s v="SE2_EL"/>
    <x v="4"/>
    <x v="3"/>
    <x v="0"/>
    <x v="0"/>
  </r>
  <r>
    <x v="0"/>
    <x v="0"/>
    <x v="0"/>
    <x v="5"/>
    <x v="11"/>
    <s v="SE2_EL"/>
    <x v="4"/>
    <x v="4"/>
    <x v="0"/>
    <x v="0"/>
  </r>
  <r>
    <x v="0"/>
    <x v="0"/>
    <x v="0"/>
    <x v="5"/>
    <x v="11"/>
    <s v="SE2_EL"/>
    <x v="4"/>
    <x v="5"/>
    <x v="0"/>
    <x v="0"/>
  </r>
  <r>
    <x v="0"/>
    <x v="0"/>
    <x v="0"/>
    <x v="5"/>
    <x v="11"/>
    <s v="SE2_EL"/>
    <x v="4"/>
    <x v="6"/>
    <x v="0"/>
    <x v="0"/>
  </r>
  <r>
    <x v="0"/>
    <x v="0"/>
    <x v="0"/>
    <x v="5"/>
    <x v="11"/>
    <s v="SE2_EL"/>
    <x v="4"/>
    <x v="7"/>
    <x v="0"/>
    <x v="0"/>
  </r>
  <r>
    <x v="0"/>
    <x v="0"/>
    <x v="0"/>
    <x v="5"/>
    <x v="11"/>
    <s v="SE2_EL"/>
    <x v="4"/>
    <x v="8"/>
    <x v="0"/>
    <x v="0"/>
  </r>
  <r>
    <x v="0"/>
    <x v="0"/>
    <x v="0"/>
    <x v="5"/>
    <x v="11"/>
    <s v="SE2_EL"/>
    <x v="4"/>
    <x v="9"/>
    <x v="0"/>
    <x v="0"/>
  </r>
  <r>
    <x v="0"/>
    <x v="0"/>
    <x v="0"/>
    <x v="5"/>
    <x v="11"/>
    <s v="SE2_EL"/>
    <x v="4"/>
    <x v="10"/>
    <x v="0"/>
    <x v="0"/>
  </r>
  <r>
    <x v="0"/>
    <x v="0"/>
    <x v="0"/>
    <x v="5"/>
    <x v="11"/>
    <s v="SE2_EL"/>
    <x v="4"/>
    <x v="11"/>
    <x v="0"/>
    <x v="0"/>
  </r>
  <r>
    <x v="0"/>
    <x v="0"/>
    <x v="0"/>
    <x v="5"/>
    <x v="11"/>
    <s v="SE2_EL"/>
    <x v="5"/>
    <x v="0"/>
    <x v="0"/>
    <x v="0"/>
  </r>
  <r>
    <x v="0"/>
    <x v="0"/>
    <x v="0"/>
    <x v="5"/>
    <x v="11"/>
    <s v="SE2_EL"/>
    <x v="5"/>
    <x v="1"/>
    <x v="0"/>
    <x v="0"/>
  </r>
  <r>
    <x v="0"/>
    <x v="0"/>
    <x v="0"/>
    <x v="5"/>
    <x v="11"/>
    <s v="SE2_EL"/>
    <x v="5"/>
    <x v="2"/>
    <x v="0"/>
    <x v="0"/>
  </r>
  <r>
    <x v="0"/>
    <x v="0"/>
    <x v="0"/>
    <x v="5"/>
    <x v="11"/>
    <s v="SE2_EL"/>
    <x v="5"/>
    <x v="3"/>
    <x v="0"/>
    <x v="0"/>
  </r>
  <r>
    <x v="0"/>
    <x v="0"/>
    <x v="0"/>
    <x v="5"/>
    <x v="11"/>
    <s v="SE2_EL"/>
    <x v="5"/>
    <x v="4"/>
    <x v="0"/>
    <x v="0"/>
  </r>
  <r>
    <x v="0"/>
    <x v="0"/>
    <x v="0"/>
    <x v="5"/>
    <x v="11"/>
    <s v="SE2_EL"/>
    <x v="5"/>
    <x v="5"/>
    <x v="0"/>
    <x v="0"/>
  </r>
  <r>
    <x v="0"/>
    <x v="0"/>
    <x v="0"/>
    <x v="5"/>
    <x v="11"/>
    <s v="SE2_EL"/>
    <x v="5"/>
    <x v="6"/>
    <x v="0"/>
    <x v="0"/>
  </r>
  <r>
    <x v="0"/>
    <x v="0"/>
    <x v="0"/>
    <x v="5"/>
    <x v="11"/>
    <s v="SE2_EL"/>
    <x v="5"/>
    <x v="7"/>
    <x v="0"/>
    <x v="0"/>
  </r>
  <r>
    <x v="0"/>
    <x v="0"/>
    <x v="0"/>
    <x v="5"/>
    <x v="11"/>
    <s v="SE2_EL"/>
    <x v="5"/>
    <x v="8"/>
    <x v="0"/>
    <x v="0"/>
  </r>
  <r>
    <x v="0"/>
    <x v="0"/>
    <x v="0"/>
    <x v="5"/>
    <x v="11"/>
    <s v="SE2_EL"/>
    <x v="5"/>
    <x v="9"/>
    <x v="0"/>
    <x v="0"/>
  </r>
  <r>
    <x v="0"/>
    <x v="0"/>
    <x v="0"/>
    <x v="5"/>
    <x v="11"/>
    <s v="SE2_EL"/>
    <x v="5"/>
    <x v="10"/>
    <x v="0"/>
    <x v="0"/>
  </r>
  <r>
    <x v="0"/>
    <x v="0"/>
    <x v="0"/>
    <x v="5"/>
    <x v="11"/>
    <s v="SE2_EL"/>
    <x v="5"/>
    <x v="11"/>
    <x v="0"/>
    <x v="0"/>
  </r>
  <r>
    <x v="0"/>
    <x v="0"/>
    <x v="0"/>
    <x v="5"/>
    <x v="11"/>
    <s v="SE2_EL"/>
    <x v="6"/>
    <x v="0"/>
    <x v="0"/>
    <x v="0"/>
  </r>
  <r>
    <x v="0"/>
    <x v="0"/>
    <x v="0"/>
    <x v="5"/>
    <x v="11"/>
    <s v="SE2_EL"/>
    <x v="6"/>
    <x v="1"/>
    <x v="0"/>
    <x v="0"/>
  </r>
  <r>
    <x v="0"/>
    <x v="0"/>
    <x v="0"/>
    <x v="5"/>
    <x v="11"/>
    <s v="SE2_EL"/>
    <x v="6"/>
    <x v="2"/>
    <x v="0"/>
    <x v="0"/>
  </r>
  <r>
    <x v="0"/>
    <x v="0"/>
    <x v="0"/>
    <x v="5"/>
    <x v="11"/>
    <s v="SE2_EL"/>
    <x v="6"/>
    <x v="3"/>
    <x v="0"/>
    <x v="0"/>
  </r>
  <r>
    <x v="0"/>
    <x v="0"/>
    <x v="0"/>
    <x v="5"/>
    <x v="11"/>
    <s v="SE2_EL"/>
    <x v="6"/>
    <x v="4"/>
    <x v="0"/>
    <x v="0"/>
  </r>
  <r>
    <x v="0"/>
    <x v="0"/>
    <x v="0"/>
    <x v="5"/>
    <x v="11"/>
    <s v="SE2_EL"/>
    <x v="6"/>
    <x v="5"/>
    <x v="0"/>
    <x v="0"/>
  </r>
  <r>
    <x v="0"/>
    <x v="0"/>
    <x v="0"/>
    <x v="5"/>
    <x v="11"/>
    <s v="SE2_EL"/>
    <x v="6"/>
    <x v="6"/>
    <x v="0"/>
    <x v="0"/>
  </r>
  <r>
    <x v="0"/>
    <x v="0"/>
    <x v="0"/>
    <x v="5"/>
    <x v="11"/>
    <s v="SE2_EL"/>
    <x v="6"/>
    <x v="7"/>
    <x v="0"/>
    <x v="0"/>
  </r>
  <r>
    <x v="0"/>
    <x v="0"/>
    <x v="0"/>
    <x v="5"/>
    <x v="11"/>
    <s v="SE2_EL"/>
    <x v="6"/>
    <x v="8"/>
    <x v="0"/>
    <x v="0"/>
  </r>
  <r>
    <x v="0"/>
    <x v="0"/>
    <x v="0"/>
    <x v="5"/>
    <x v="11"/>
    <s v="SE2_EL"/>
    <x v="6"/>
    <x v="9"/>
    <x v="0"/>
    <x v="0"/>
  </r>
  <r>
    <x v="0"/>
    <x v="0"/>
    <x v="0"/>
    <x v="5"/>
    <x v="11"/>
    <s v="SE2_EL"/>
    <x v="6"/>
    <x v="10"/>
    <x v="0"/>
    <x v="0"/>
  </r>
  <r>
    <x v="0"/>
    <x v="0"/>
    <x v="0"/>
    <x v="5"/>
    <x v="11"/>
    <s v="SE2_EL"/>
    <x v="6"/>
    <x v="11"/>
    <x v="0"/>
    <x v="0"/>
  </r>
  <r>
    <x v="0"/>
    <x v="0"/>
    <x v="0"/>
    <x v="5"/>
    <x v="11"/>
    <s v="SE2_EL"/>
    <x v="7"/>
    <x v="0"/>
    <x v="0"/>
    <x v="0"/>
  </r>
  <r>
    <x v="0"/>
    <x v="0"/>
    <x v="0"/>
    <x v="5"/>
    <x v="11"/>
    <s v="SE2_EL"/>
    <x v="7"/>
    <x v="1"/>
    <x v="0"/>
    <x v="0"/>
  </r>
  <r>
    <x v="0"/>
    <x v="0"/>
    <x v="0"/>
    <x v="5"/>
    <x v="11"/>
    <s v="SE2_EL"/>
    <x v="7"/>
    <x v="2"/>
    <x v="0"/>
    <x v="0"/>
  </r>
  <r>
    <x v="0"/>
    <x v="0"/>
    <x v="0"/>
    <x v="5"/>
    <x v="11"/>
    <s v="SE2_EL"/>
    <x v="7"/>
    <x v="3"/>
    <x v="0"/>
    <x v="0"/>
  </r>
  <r>
    <x v="0"/>
    <x v="0"/>
    <x v="0"/>
    <x v="5"/>
    <x v="11"/>
    <s v="SE2_EL"/>
    <x v="7"/>
    <x v="4"/>
    <x v="0"/>
    <x v="0"/>
  </r>
  <r>
    <x v="0"/>
    <x v="0"/>
    <x v="0"/>
    <x v="5"/>
    <x v="11"/>
    <s v="SE2_EL"/>
    <x v="7"/>
    <x v="5"/>
    <x v="0"/>
    <x v="0"/>
  </r>
  <r>
    <x v="0"/>
    <x v="0"/>
    <x v="0"/>
    <x v="5"/>
    <x v="11"/>
    <s v="SE2_EL"/>
    <x v="7"/>
    <x v="6"/>
    <x v="0"/>
    <x v="0"/>
  </r>
  <r>
    <x v="0"/>
    <x v="0"/>
    <x v="0"/>
    <x v="5"/>
    <x v="11"/>
    <s v="SE2_EL"/>
    <x v="7"/>
    <x v="7"/>
    <x v="0"/>
    <x v="0"/>
  </r>
  <r>
    <x v="0"/>
    <x v="0"/>
    <x v="0"/>
    <x v="5"/>
    <x v="11"/>
    <s v="SE2_EL"/>
    <x v="7"/>
    <x v="8"/>
    <x v="0"/>
    <x v="0"/>
  </r>
  <r>
    <x v="0"/>
    <x v="0"/>
    <x v="0"/>
    <x v="5"/>
    <x v="11"/>
    <s v="SE2_EL"/>
    <x v="7"/>
    <x v="9"/>
    <x v="0"/>
    <x v="0"/>
  </r>
  <r>
    <x v="0"/>
    <x v="0"/>
    <x v="0"/>
    <x v="5"/>
    <x v="11"/>
    <s v="SE2_EL"/>
    <x v="7"/>
    <x v="10"/>
    <x v="0"/>
    <x v="0"/>
  </r>
  <r>
    <x v="0"/>
    <x v="0"/>
    <x v="0"/>
    <x v="5"/>
    <x v="11"/>
    <s v="SE2_EL"/>
    <x v="7"/>
    <x v="11"/>
    <x v="0"/>
    <x v="0"/>
  </r>
  <r>
    <x v="0"/>
    <x v="0"/>
    <x v="0"/>
    <x v="5"/>
    <x v="11"/>
    <s v="SE2_EL"/>
    <x v="8"/>
    <x v="0"/>
    <x v="0"/>
    <x v="0"/>
  </r>
  <r>
    <x v="0"/>
    <x v="0"/>
    <x v="0"/>
    <x v="5"/>
    <x v="11"/>
    <s v="SE2_EL"/>
    <x v="8"/>
    <x v="1"/>
    <x v="0"/>
    <x v="0"/>
  </r>
  <r>
    <x v="0"/>
    <x v="0"/>
    <x v="0"/>
    <x v="5"/>
    <x v="11"/>
    <s v="SE2_EL"/>
    <x v="8"/>
    <x v="2"/>
    <x v="0"/>
    <x v="0"/>
  </r>
  <r>
    <x v="0"/>
    <x v="0"/>
    <x v="0"/>
    <x v="5"/>
    <x v="11"/>
    <s v="SE2_EL"/>
    <x v="8"/>
    <x v="3"/>
    <x v="0"/>
    <x v="0"/>
  </r>
  <r>
    <x v="0"/>
    <x v="0"/>
    <x v="0"/>
    <x v="5"/>
    <x v="11"/>
    <s v="SE2_EL"/>
    <x v="8"/>
    <x v="4"/>
    <x v="0"/>
    <x v="0"/>
  </r>
  <r>
    <x v="0"/>
    <x v="0"/>
    <x v="0"/>
    <x v="5"/>
    <x v="11"/>
    <s v="SE2_EL"/>
    <x v="8"/>
    <x v="5"/>
    <x v="0"/>
    <x v="0"/>
  </r>
  <r>
    <x v="0"/>
    <x v="0"/>
    <x v="0"/>
    <x v="5"/>
    <x v="11"/>
    <s v="SE2_EL"/>
    <x v="8"/>
    <x v="6"/>
    <x v="0"/>
    <x v="0"/>
  </r>
  <r>
    <x v="0"/>
    <x v="0"/>
    <x v="0"/>
    <x v="5"/>
    <x v="11"/>
    <s v="SE2_EL"/>
    <x v="8"/>
    <x v="7"/>
    <x v="0"/>
    <x v="0"/>
  </r>
  <r>
    <x v="0"/>
    <x v="0"/>
    <x v="0"/>
    <x v="5"/>
    <x v="11"/>
    <s v="SE2_EL"/>
    <x v="8"/>
    <x v="8"/>
    <x v="0"/>
    <x v="0"/>
  </r>
  <r>
    <x v="0"/>
    <x v="0"/>
    <x v="0"/>
    <x v="5"/>
    <x v="11"/>
    <s v="SE2_EL"/>
    <x v="8"/>
    <x v="9"/>
    <x v="0"/>
    <x v="0"/>
  </r>
  <r>
    <x v="0"/>
    <x v="0"/>
    <x v="0"/>
    <x v="5"/>
    <x v="11"/>
    <s v="SE2_EL"/>
    <x v="8"/>
    <x v="10"/>
    <x v="0"/>
    <x v="0"/>
  </r>
  <r>
    <x v="0"/>
    <x v="0"/>
    <x v="0"/>
    <x v="5"/>
    <x v="11"/>
    <s v="SE2_EL"/>
    <x v="8"/>
    <x v="11"/>
    <x v="0"/>
    <x v="0"/>
  </r>
  <r>
    <x v="0"/>
    <x v="0"/>
    <x v="0"/>
    <x v="5"/>
    <x v="11"/>
    <s v="SE2_EL"/>
    <x v="9"/>
    <x v="0"/>
    <x v="0"/>
    <x v="0"/>
  </r>
  <r>
    <x v="0"/>
    <x v="0"/>
    <x v="0"/>
    <x v="5"/>
    <x v="11"/>
    <s v="SE2_EL"/>
    <x v="9"/>
    <x v="1"/>
    <x v="0"/>
    <x v="0"/>
  </r>
  <r>
    <x v="0"/>
    <x v="0"/>
    <x v="0"/>
    <x v="5"/>
    <x v="11"/>
    <s v="SE2_EL"/>
    <x v="9"/>
    <x v="2"/>
    <x v="0"/>
    <x v="0"/>
  </r>
  <r>
    <x v="0"/>
    <x v="0"/>
    <x v="0"/>
    <x v="5"/>
    <x v="11"/>
    <s v="SE2_EL"/>
    <x v="9"/>
    <x v="3"/>
    <x v="0"/>
    <x v="0"/>
  </r>
  <r>
    <x v="0"/>
    <x v="0"/>
    <x v="0"/>
    <x v="5"/>
    <x v="11"/>
    <s v="SE2_EL"/>
    <x v="9"/>
    <x v="4"/>
    <x v="0"/>
    <x v="0"/>
  </r>
  <r>
    <x v="0"/>
    <x v="0"/>
    <x v="0"/>
    <x v="5"/>
    <x v="11"/>
    <s v="SE2_EL"/>
    <x v="9"/>
    <x v="5"/>
    <x v="0"/>
    <x v="0"/>
  </r>
  <r>
    <x v="0"/>
    <x v="0"/>
    <x v="0"/>
    <x v="5"/>
    <x v="11"/>
    <s v="SE2_EL"/>
    <x v="9"/>
    <x v="6"/>
    <x v="0"/>
    <x v="0"/>
  </r>
  <r>
    <x v="0"/>
    <x v="0"/>
    <x v="0"/>
    <x v="5"/>
    <x v="11"/>
    <s v="SE2_EL"/>
    <x v="9"/>
    <x v="7"/>
    <x v="0"/>
    <x v="0"/>
  </r>
  <r>
    <x v="0"/>
    <x v="0"/>
    <x v="0"/>
    <x v="5"/>
    <x v="11"/>
    <s v="SE2_EL"/>
    <x v="9"/>
    <x v="8"/>
    <x v="0"/>
    <x v="0"/>
  </r>
  <r>
    <x v="0"/>
    <x v="0"/>
    <x v="0"/>
    <x v="5"/>
    <x v="11"/>
    <s v="SE2_EL"/>
    <x v="9"/>
    <x v="9"/>
    <x v="0"/>
    <x v="0"/>
  </r>
  <r>
    <x v="0"/>
    <x v="0"/>
    <x v="0"/>
    <x v="5"/>
    <x v="11"/>
    <s v="SE2_EL"/>
    <x v="9"/>
    <x v="10"/>
    <x v="0"/>
    <x v="0"/>
  </r>
  <r>
    <x v="0"/>
    <x v="0"/>
    <x v="0"/>
    <x v="5"/>
    <x v="11"/>
    <s v="SE2_EL"/>
    <x v="9"/>
    <x v="11"/>
    <x v="0"/>
    <x v="0"/>
  </r>
  <r>
    <x v="0"/>
    <x v="0"/>
    <x v="0"/>
    <x v="5"/>
    <x v="11"/>
    <s v="SE2_EL"/>
    <x v="10"/>
    <x v="0"/>
    <x v="0"/>
    <x v="0"/>
  </r>
  <r>
    <x v="0"/>
    <x v="0"/>
    <x v="0"/>
    <x v="5"/>
    <x v="11"/>
    <s v="SE2_EL"/>
    <x v="10"/>
    <x v="1"/>
    <x v="0"/>
    <x v="0"/>
  </r>
  <r>
    <x v="0"/>
    <x v="0"/>
    <x v="0"/>
    <x v="5"/>
    <x v="11"/>
    <s v="SE2_EL"/>
    <x v="10"/>
    <x v="2"/>
    <x v="0"/>
    <x v="0"/>
  </r>
  <r>
    <x v="0"/>
    <x v="0"/>
    <x v="0"/>
    <x v="5"/>
    <x v="11"/>
    <s v="SE2_EL"/>
    <x v="10"/>
    <x v="3"/>
    <x v="0"/>
    <x v="0"/>
  </r>
  <r>
    <x v="0"/>
    <x v="0"/>
    <x v="0"/>
    <x v="5"/>
    <x v="11"/>
    <s v="SE2_EL"/>
    <x v="10"/>
    <x v="4"/>
    <x v="0"/>
    <x v="0"/>
  </r>
  <r>
    <x v="0"/>
    <x v="0"/>
    <x v="0"/>
    <x v="5"/>
    <x v="11"/>
    <s v="SE2_EL"/>
    <x v="10"/>
    <x v="5"/>
    <x v="0"/>
    <x v="0"/>
  </r>
  <r>
    <x v="0"/>
    <x v="0"/>
    <x v="0"/>
    <x v="5"/>
    <x v="11"/>
    <s v="SE2_EL"/>
    <x v="10"/>
    <x v="6"/>
    <x v="0"/>
    <x v="0"/>
  </r>
  <r>
    <x v="0"/>
    <x v="0"/>
    <x v="0"/>
    <x v="5"/>
    <x v="11"/>
    <s v="SE2_EL"/>
    <x v="10"/>
    <x v="7"/>
    <x v="0"/>
    <x v="0"/>
  </r>
  <r>
    <x v="0"/>
    <x v="0"/>
    <x v="0"/>
    <x v="5"/>
    <x v="11"/>
    <s v="SE2_EL"/>
    <x v="10"/>
    <x v="8"/>
    <x v="0"/>
    <x v="0"/>
  </r>
  <r>
    <x v="0"/>
    <x v="0"/>
    <x v="0"/>
    <x v="5"/>
    <x v="11"/>
    <s v="SE2_EL"/>
    <x v="10"/>
    <x v="9"/>
    <x v="0"/>
    <x v="0"/>
  </r>
  <r>
    <x v="0"/>
    <x v="0"/>
    <x v="0"/>
    <x v="5"/>
    <x v="11"/>
    <s v="SE2_EL"/>
    <x v="10"/>
    <x v="10"/>
    <x v="0"/>
    <x v="0"/>
  </r>
  <r>
    <x v="0"/>
    <x v="0"/>
    <x v="0"/>
    <x v="5"/>
    <x v="11"/>
    <s v="SE2_EL"/>
    <x v="10"/>
    <x v="11"/>
    <x v="0"/>
    <x v="0"/>
  </r>
  <r>
    <x v="0"/>
    <x v="0"/>
    <x v="0"/>
    <x v="5"/>
    <x v="11"/>
    <s v="SE2_EL"/>
    <x v="11"/>
    <x v="0"/>
    <x v="0"/>
    <x v="0"/>
  </r>
  <r>
    <x v="0"/>
    <x v="0"/>
    <x v="0"/>
    <x v="5"/>
    <x v="11"/>
    <s v="SE2_EL"/>
    <x v="11"/>
    <x v="1"/>
    <x v="0"/>
    <x v="0"/>
  </r>
  <r>
    <x v="0"/>
    <x v="0"/>
    <x v="0"/>
    <x v="5"/>
    <x v="11"/>
    <s v="SE2_EL"/>
    <x v="11"/>
    <x v="2"/>
    <x v="0"/>
    <x v="0"/>
  </r>
  <r>
    <x v="0"/>
    <x v="0"/>
    <x v="0"/>
    <x v="5"/>
    <x v="11"/>
    <s v="SE2_EL"/>
    <x v="11"/>
    <x v="3"/>
    <x v="0"/>
    <x v="0"/>
  </r>
  <r>
    <x v="0"/>
    <x v="0"/>
    <x v="0"/>
    <x v="5"/>
    <x v="11"/>
    <s v="SE2_EL"/>
    <x v="11"/>
    <x v="4"/>
    <x v="0"/>
    <x v="0"/>
  </r>
  <r>
    <x v="0"/>
    <x v="0"/>
    <x v="0"/>
    <x v="5"/>
    <x v="11"/>
    <s v="SE2_EL"/>
    <x v="11"/>
    <x v="5"/>
    <x v="0"/>
    <x v="0"/>
  </r>
  <r>
    <x v="0"/>
    <x v="0"/>
    <x v="0"/>
    <x v="5"/>
    <x v="11"/>
    <s v="SE2_EL"/>
    <x v="11"/>
    <x v="6"/>
    <x v="0"/>
    <x v="0"/>
  </r>
  <r>
    <x v="0"/>
    <x v="0"/>
    <x v="0"/>
    <x v="5"/>
    <x v="11"/>
    <s v="SE2_EL"/>
    <x v="11"/>
    <x v="7"/>
    <x v="0"/>
    <x v="0"/>
  </r>
  <r>
    <x v="0"/>
    <x v="0"/>
    <x v="0"/>
    <x v="5"/>
    <x v="11"/>
    <s v="SE2_EL"/>
    <x v="11"/>
    <x v="8"/>
    <x v="0"/>
    <x v="0"/>
  </r>
  <r>
    <x v="0"/>
    <x v="0"/>
    <x v="0"/>
    <x v="5"/>
    <x v="11"/>
    <s v="SE2_EL"/>
    <x v="11"/>
    <x v="9"/>
    <x v="0"/>
    <x v="0"/>
  </r>
  <r>
    <x v="0"/>
    <x v="0"/>
    <x v="0"/>
    <x v="5"/>
    <x v="11"/>
    <s v="SE2_EL"/>
    <x v="11"/>
    <x v="10"/>
    <x v="0"/>
    <x v="0"/>
  </r>
  <r>
    <x v="0"/>
    <x v="0"/>
    <x v="0"/>
    <x v="5"/>
    <x v="11"/>
    <s v="SE2_EL"/>
    <x v="11"/>
    <x v="11"/>
    <x v="0"/>
    <x v="0"/>
  </r>
  <r>
    <x v="0"/>
    <x v="0"/>
    <x v="0"/>
    <x v="5"/>
    <x v="11"/>
    <s v="SE2_OTHER"/>
    <x v="0"/>
    <x v="0"/>
    <x v="0"/>
    <x v="0"/>
  </r>
  <r>
    <x v="0"/>
    <x v="0"/>
    <x v="0"/>
    <x v="5"/>
    <x v="11"/>
    <s v="SE2_OTHER"/>
    <x v="0"/>
    <x v="1"/>
    <x v="0"/>
    <x v="0"/>
  </r>
  <r>
    <x v="0"/>
    <x v="0"/>
    <x v="0"/>
    <x v="5"/>
    <x v="11"/>
    <s v="SE2_OTHER"/>
    <x v="0"/>
    <x v="2"/>
    <x v="0"/>
    <x v="0"/>
  </r>
  <r>
    <x v="0"/>
    <x v="0"/>
    <x v="0"/>
    <x v="5"/>
    <x v="11"/>
    <s v="SE2_OTHER"/>
    <x v="0"/>
    <x v="3"/>
    <x v="0"/>
    <x v="0"/>
  </r>
  <r>
    <x v="0"/>
    <x v="0"/>
    <x v="0"/>
    <x v="5"/>
    <x v="11"/>
    <s v="SE2_OTHER"/>
    <x v="0"/>
    <x v="4"/>
    <x v="0"/>
    <x v="0"/>
  </r>
  <r>
    <x v="0"/>
    <x v="0"/>
    <x v="0"/>
    <x v="5"/>
    <x v="11"/>
    <s v="SE2_OTHER"/>
    <x v="0"/>
    <x v="5"/>
    <x v="0"/>
    <x v="0"/>
  </r>
  <r>
    <x v="0"/>
    <x v="0"/>
    <x v="0"/>
    <x v="5"/>
    <x v="11"/>
    <s v="SE2_OTHER"/>
    <x v="0"/>
    <x v="6"/>
    <x v="0"/>
    <x v="0"/>
  </r>
  <r>
    <x v="0"/>
    <x v="0"/>
    <x v="0"/>
    <x v="5"/>
    <x v="11"/>
    <s v="SE2_OTHER"/>
    <x v="0"/>
    <x v="7"/>
    <x v="0"/>
    <x v="0"/>
  </r>
  <r>
    <x v="0"/>
    <x v="0"/>
    <x v="0"/>
    <x v="5"/>
    <x v="11"/>
    <s v="SE2_OTHER"/>
    <x v="0"/>
    <x v="8"/>
    <x v="0"/>
    <x v="0"/>
  </r>
  <r>
    <x v="0"/>
    <x v="0"/>
    <x v="0"/>
    <x v="5"/>
    <x v="11"/>
    <s v="SE2_OTHER"/>
    <x v="0"/>
    <x v="9"/>
    <x v="0"/>
    <x v="0"/>
  </r>
  <r>
    <x v="0"/>
    <x v="0"/>
    <x v="0"/>
    <x v="5"/>
    <x v="11"/>
    <s v="SE2_OTHER"/>
    <x v="0"/>
    <x v="10"/>
    <x v="0"/>
    <x v="0"/>
  </r>
  <r>
    <x v="0"/>
    <x v="0"/>
    <x v="0"/>
    <x v="5"/>
    <x v="11"/>
    <s v="SE2_OTHER"/>
    <x v="0"/>
    <x v="11"/>
    <x v="0"/>
    <x v="0"/>
  </r>
  <r>
    <x v="0"/>
    <x v="0"/>
    <x v="0"/>
    <x v="5"/>
    <x v="11"/>
    <s v="SE2_OTHER"/>
    <x v="1"/>
    <x v="0"/>
    <x v="0"/>
    <x v="0"/>
  </r>
  <r>
    <x v="0"/>
    <x v="0"/>
    <x v="0"/>
    <x v="5"/>
    <x v="11"/>
    <s v="SE2_OTHER"/>
    <x v="1"/>
    <x v="1"/>
    <x v="0"/>
    <x v="0"/>
  </r>
  <r>
    <x v="0"/>
    <x v="0"/>
    <x v="0"/>
    <x v="5"/>
    <x v="11"/>
    <s v="SE2_OTHER"/>
    <x v="1"/>
    <x v="2"/>
    <x v="0"/>
    <x v="0"/>
  </r>
  <r>
    <x v="0"/>
    <x v="0"/>
    <x v="0"/>
    <x v="5"/>
    <x v="11"/>
    <s v="SE2_OTHER"/>
    <x v="1"/>
    <x v="3"/>
    <x v="0"/>
    <x v="0"/>
  </r>
  <r>
    <x v="0"/>
    <x v="0"/>
    <x v="0"/>
    <x v="5"/>
    <x v="11"/>
    <s v="SE2_OTHER"/>
    <x v="1"/>
    <x v="4"/>
    <x v="0"/>
    <x v="0"/>
  </r>
  <r>
    <x v="0"/>
    <x v="0"/>
    <x v="0"/>
    <x v="5"/>
    <x v="11"/>
    <s v="SE2_OTHER"/>
    <x v="1"/>
    <x v="5"/>
    <x v="0"/>
    <x v="0"/>
  </r>
  <r>
    <x v="0"/>
    <x v="0"/>
    <x v="0"/>
    <x v="5"/>
    <x v="11"/>
    <s v="SE2_OTHER"/>
    <x v="1"/>
    <x v="6"/>
    <x v="0"/>
    <x v="0"/>
  </r>
  <r>
    <x v="0"/>
    <x v="0"/>
    <x v="0"/>
    <x v="5"/>
    <x v="11"/>
    <s v="SE2_OTHER"/>
    <x v="1"/>
    <x v="7"/>
    <x v="0"/>
    <x v="0"/>
  </r>
  <r>
    <x v="0"/>
    <x v="0"/>
    <x v="0"/>
    <x v="5"/>
    <x v="11"/>
    <s v="SE2_OTHER"/>
    <x v="1"/>
    <x v="8"/>
    <x v="0"/>
    <x v="0"/>
  </r>
  <r>
    <x v="0"/>
    <x v="0"/>
    <x v="0"/>
    <x v="5"/>
    <x v="11"/>
    <s v="SE2_OTHER"/>
    <x v="1"/>
    <x v="9"/>
    <x v="0"/>
    <x v="0"/>
  </r>
  <r>
    <x v="0"/>
    <x v="0"/>
    <x v="0"/>
    <x v="5"/>
    <x v="11"/>
    <s v="SE2_OTHER"/>
    <x v="1"/>
    <x v="10"/>
    <x v="0"/>
    <x v="0"/>
  </r>
  <r>
    <x v="0"/>
    <x v="0"/>
    <x v="0"/>
    <x v="5"/>
    <x v="11"/>
    <s v="SE2_OTHER"/>
    <x v="1"/>
    <x v="11"/>
    <x v="0"/>
    <x v="0"/>
  </r>
  <r>
    <x v="0"/>
    <x v="0"/>
    <x v="0"/>
    <x v="5"/>
    <x v="11"/>
    <s v="SE2_OTHER"/>
    <x v="2"/>
    <x v="0"/>
    <x v="0"/>
    <x v="0"/>
  </r>
  <r>
    <x v="0"/>
    <x v="0"/>
    <x v="0"/>
    <x v="5"/>
    <x v="11"/>
    <s v="SE2_OTHER"/>
    <x v="2"/>
    <x v="1"/>
    <x v="0"/>
    <x v="0"/>
  </r>
  <r>
    <x v="0"/>
    <x v="0"/>
    <x v="0"/>
    <x v="5"/>
    <x v="11"/>
    <s v="SE2_OTHER"/>
    <x v="2"/>
    <x v="2"/>
    <x v="0"/>
    <x v="0"/>
  </r>
  <r>
    <x v="0"/>
    <x v="0"/>
    <x v="0"/>
    <x v="5"/>
    <x v="11"/>
    <s v="SE2_OTHER"/>
    <x v="2"/>
    <x v="3"/>
    <x v="0"/>
    <x v="0"/>
  </r>
  <r>
    <x v="0"/>
    <x v="0"/>
    <x v="0"/>
    <x v="5"/>
    <x v="11"/>
    <s v="SE2_OTHER"/>
    <x v="2"/>
    <x v="4"/>
    <x v="0"/>
    <x v="0"/>
  </r>
  <r>
    <x v="0"/>
    <x v="0"/>
    <x v="0"/>
    <x v="5"/>
    <x v="11"/>
    <s v="SE2_OTHER"/>
    <x v="2"/>
    <x v="5"/>
    <x v="0"/>
    <x v="0"/>
  </r>
  <r>
    <x v="0"/>
    <x v="0"/>
    <x v="0"/>
    <x v="5"/>
    <x v="11"/>
    <s v="SE2_OTHER"/>
    <x v="2"/>
    <x v="6"/>
    <x v="0"/>
    <x v="0"/>
  </r>
  <r>
    <x v="0"/>
    <x v="0"/>
    <x v="0"/>
    <x v="5"/>
    <x v="11"/>
    <s v="SE2_OTHER"/>
    <x v="2"/>
    <x v="7"/>
    <x v="0"/>
    <x v="0"/>
  </r>
  <r>
    <x v="0"/>
    <x v="0"/>
    <x v="0"/>
    <x v="5"/>
    <x v="11"/>
    <s v="SE2_OTHER"/>
    <x v="2"/>
    <x v="8"/>
    <x v="0"/>
    <x v="0"/>
  </r>
  <r>
    <x v="0"/>
    <x v="0"/>
    <x v="0"/>
    <x v="5"/>
    <x v="11"/>
    <s v="SE2_OTHER"/>
    <x v="2"/>
    <x v="9"/>
    <x v="0"/>
    <x v="0"/>
  </r>
  <r>
    <x v="0"/>
    <x v="0"/>
    <x v="0"/>
    <x v="5"/>
    <x v="11"/>
    <s v="SE2_OTHER"/>
    <x v="2"/>
    <x v="10"/>
    <x v="0"/>
    <x v="0"/>
  </r>
  <r>
    <x v="0"/>
    <x v="0"/>
    <x v="0"/>
    <x v="5"/>
    <x v="11"/>
    <s v="SE2_OTHER"/>
    <x v="2"/>
    <x v="11"/>
    <x v="0"/>
    <x v="0"/>
  </r>
  <r>
    <x v="0"/>
    <x v="0"/>
    <x v="0"/>
    <x v="5"/>
    <x v="11"/>
    <s v="SE2_OTHER"/>
    <x v="3"/>
    <x v="0"/>
    <x v="0"/>
    <x v="0"/>
  </r>
  <r>
    <x v="0"/>
    <x v="0"/>
    <x v="0"/>
    <x v="5"/>
    <x v="11"/>
    <s v="SE2_OTHER"/>
    <x v="3"/>
    <x v="1"/>
    <x v="0"/>
    <x v="0"/>
  </r>
  <r>
    <x v="0"/>
    <x v="0"/>
    <x v="0"/>
    <x v="5"/>
    <x v="11"/>
    <s v="SE2_OTHER"/>
    <x v="3"/>
    <x v="2"/>
    <x v="0"/>
    <x v="0"/>
  </r>
  <r>
    <x v="0"/>
    <x v="0"/>
    <x v="0"/>
    <x v="5"/>
    <x v="11"/>
    <s v="SE2_OTHER"/>
    <x v="3"/>
    <x v="3"/>
    <x v="0"/>
    <x v="0"/>
  </r>
  <r>
    <x v="0"/>
    <x v="0"/>
    <x v="0"/>
    <x v="5"/>
    <x v="11"/>
    <s v="SE2_OTHER"/>
    <x v="3"/>
    <x v="4"/>
    <x v="0"/>
    <x v="0"/>
  </r>
  <r>
    <x v="0"/>
    <x v="0"/>
    <x v="0"/>
    <x v="5"/>
    <x v="11"/>
    <s v="SE2_OTHER"/>
    <x v="3"/>
    <x v="5"/>
    <x v="0"/>
    <x v="0"/>
  </r>
  <r>
    <x v="0"/>
    <x v="0"/>
    <x v="0"/>
    <x v="5"/>
    <x v="11"/>
    <s v="SE2_OTHER"/>
    <x v="3"/>
    <x v="6"/>
    <x v="0"/>
    <x v="0"/>
  </r>
  <r>
    <x v="0"/>
    <x v="0"/>
    <x v="0"/>
    <x v="5"/>
    <x v="11"/>
    <s v="SE2_OTHER"/>
    <x v="3"/>
    <x v="7"/>
    <x v="0"/>
    <x v="0"/>
  </r>
  <r>
    <x v="0"/>
    <x v="0"/>
    <x v="0"/>
    <x v="5"/>
    <x v="11"/>
    <s v="SE2_OTHER"/>
    <x v="3"/>
    <x v="8"/>
    <x v="0"/>
    <x v="0"/>
  </r>
  <r>
    <x v="0"/>
    <x v="0"/>
    <x v="0"/>
    <x v="5"/>
    <x v="11"/>
    <s v="SE2_OTHER"/>
    <x v="3"/>
    <x v="9"/>
    <x v="0"/>
    <x v="0"/>
  </r>
  <r>
    <x v="0"/>
    <x v="0"/>
    <x v="0"/>
    <x v="5"/>
    <x v="11"/>
    <s v="SE2_OTHER"/>
    <x v="3"/>
    <x v="10"/>
    <x v="0"/>
    <x v="0"/>
  </r>
  <r>
    <x v="0"/>
    <x v="0"/>
    <x v="0"/>
    <x v="5"/>
    <x v="11"/>
    <s v="SE2_OTHER"/>
    <x v="3"/>
    <x v="11"/>
    <x v="0"/>
    <x v="0"/>
  </r>
  <r>
    <x v="0"/>
    <x v="0"/>
    <x v="0"/>
    <x v="5"/>
    <x v="11"/>
    <s v="SE2_OTHER"/>
    <x v="4"/>
    <x v="0"/>
    <x v="0"/>
    <x v="0"/>
  </r>
  <r>
    <x v="0"/>
    <x v="0"/>
    <x v="0"/>
    <x v="5"/>
    <x v="11"/>
    <s v="SE2_OTHER"/>
    <x v="4"/>
    <x v="1"/>
    <x v="0"/>
    <x v="0"/>
  </r>
  <r>
    <x v="0"/>
    <x v="0"/>
    <x v="0"/>
    <x v="5"/>
    <x v="11"/>
    <s v="SE2_OTHER"/>
    <x v="4"/>
    <x v="2"/>
    <x v="0"/>
    <x v="0"/>
  </r>
  <r>
    <x v="0"/>
    <x v="0"/>
    <x v="0"/>
    <x v="5"/>
    <x v="11"/>
    <s v="SE2_OTHER"/>
    <x v="4"/>
    <x v="3"/>
    <x v="0"/>
    <x v="0"/>
  </r>
  <r>
    <x v="0"/>
    <x v="0"/>
    <x v="0"/>
    <x v="5"/>
    <x v="11"/>
    <s v="SE2_OTHER"/>
    <x v="4"/>
    <x v="4"/>
    <x v="0"/>
    <x v="0"/>
  </r>
  <r>
    <x v="0"/>
    <x v="0"/>
    <x v="0"/>
    <x v="5"/>
    <x v="11"/>
    <s v="SE2_OTHER"/>
    <x v="4"/>
    <x v="5"/>
    <x v="0"/>
    <x v="0"/>
  </r>
  <r>
    <x v="0"/>
    <x v="0"/>
    <x v="0"/>
    <x v="5"/>
    <x v="11"/>
    <s v="SE2_OTHER"/>
    <x v="4"/>
    <x v="6"/>
    <x v="0"/>
    <x v="0"/>
  </r>
  <r>
    <x v="0"/>
    <x v="0"/>
    <x v="0"/>
    <x v="5"/>
    <x v="11"/>
    <s v="SE2_OTHER"/>
    <x v="4"/>
    <x v="7"/>
    <x v="0"/>
    <x v="0"/>
  </r>
  <r>
    <x v="0"/>
    <x v="0"/>
    <x v="0"/>
    <x v="5"/>
    <x v="11"/>
    <s v="SE2_OTHER"/>
    <x v="4"/>
    <x v="8"/>
    <x v="0"/>
    <x v="0"/>
  </r>
  <r>
    <x v="0"/>
    <x v="0"/>
    <x v="0"/>
    <x v="5"/>
    <x v="11"/>
    <s v="SE2_OTHER"/>
    <x v="4"/>
    <x v="9"/>
    <x v="0"/>
    <x v="0"/>
  </r>
  <r>
    <x v="0"/>
    <x v="0"/>
    <x v="0"/>
    <x v="5"/>
    <x v="11"/>
    <s v="SE2_OTHER"/>
    <x v="4"/>
    <x v="10"/>
    <x v="0"/>
    <x v="0"/>
  </r>
  <r>
    <x v="0"/>
    <x v="0"/>
    <x v="0"/>
    <x v="5"/>
    <x v="11"/>
    <s v="SE2_OTHER"/>
    <x v="4"/>
    <x v="11"/>
    <x v="0"/>
    <x v="0"/>
  </r>
  <r>
    <x v="0"/>
    <x v="0"/>
    <x v="0"/>
    <x v="5"/>
    <x v="11"/>
    <s v="SE2_OTHER"/>
    <x v="5"/>
    <x v="0"/>
    <x v="0"/>
    <x v="0"/>
  </r>
  <r>
    <x v="0"/>
    <x v="0"/>
    <x v="0"/>
    <x v="5"/>
    <x v="11"/>
    <s v="SE2_OTHER"/>
    <x v="5"/>
    <x v="1"/>
    <x v="0"/>
    <x v="0"/>
  </r>
  <r>
    <x v="0"/>
    <x v="0"/>
    <x v="0"/>
    <x v="5"/>
    <x v="11"/>
    <s v="SE2_OTHER"/>
    <x v="5"/>
    <x v="2"/>
    <x v="0"/>
    <x v="0"/>
  </r>
  <r>
    <x v="0"/>
    <x v="0"/>
    <x v="0"/>
    <x v="5"/>
    <x v="11"/>
    <s v="SE2_OTHER"/>
    <x v="5"/>
    <x v="3"/>
    <x v="0"/>
    <x v="0"/>
  </r>
  <r>
    <x v="0"/>
    <x v="0"/>
    <x v="0"/>
    <x v="5"/>
    <x v="11"/>
    <s v="SE2_OTHER"/>
    <x v="5"/>
    <x v="4"/>
    <x v="0"/>
    <x v="0"/>
  </r>
  <r>
    <x v="0"/>
    <x v="0"/>
    <x v="0"/>
    <x v="5"/>
    <x v="11"/>
    <s v="SE2_OTHER"/>
    <x v="5"/>
    <x v="5"/>
    <x v="0"/>
    <x v="0"/>
  </r>
  <r>
    <x v="0"/>
    <x v="0"/>
    <x v="0"/>
    <x v="5"/>
    <x v="11"/>
    <s v="SE2_OTHER"/>
    <x v="5"/>
    <x v="6"/>
    <x v="0"/>
    <x v="0"/>
  </r>
  <r>
    <x v="0"/>
    <x v="0"/>
    <x v="0"/>
    <x v="5"/>
    <x v="11"/>
    <s v="SE2_OTHER"/>
    <x v="5"/>
    <x v="7"/>
    <x v="0"/>
    <x v="0"/>
  </r>
  <r>
    <x v="0"/>
    <x v="0"/>
    <x v="0"/>
    <x v="5"/>
    <x v="11"/>
    <s v="SE2_OTHER"/>
    <x v="5"/>
    <x v="8"/>
    <x v="0"/>
    <x v="0"/>
  </r>
  <r>
    <x v="0"/>
    <x v="0"/>
    <x v="0"/>
    <x v="5"/>
    <x v="11"/>
    <s v="SE2_OTHER"/>
    <x v="5"/>
    <x v="9"/>
    <x v="0"/>
    <x v="0"/>
  </r>
  <r>
    <x v="0"/>
    <x v="0"/>
    <x v="0"/>
    <x v="5"/>
    <x v="11"/>
    <s v="SE2_OTHER"/>
    <x v="5"/>
    <x v="10"/>
    <x v="0"/>
    <x v="0"/>
  </r>
  <r>
    <x v="0"/>
    <x v="0"/>
    <x v="0"/>
    <x v="5"/>
    <x v="11"/>
    <s v="SE2_OTHER"/>
    <x v="5"/>
    <x v="11"/>
    <x v="0"/>
    <x v="0"/>
  </r>
  <r>
    <x v="0"/>
    <x v="0"/>
    <x v="0"/>
    <x v="5"/>
    <x v="11"/>
    <s v="SE2_OTHER"/>
    <x v="6"/>
    <x v="0"/>
    <x v="0"/>
    <x v="0"/>
  </r>
  <r>
    <x v="0"/>
    <x v="0"/>
    <x v="0"/>
    <x v="5"/>
    <x v="11"/>
    <s v="SE2_OTHER"/>
    <x v="6"/>
    <x v="1"/>
    <x v="0"/>
    <x v="0"/>
  </r>
  <r>
    <x v="0"/>
    <x v="0"/>
    <x v="0"/>
    <x v="5"/>
    <x v="11"/>
    <s v="SE2_OTHER"/>
    <x v="6"/>
    <x v="2"/>
    <x v="0"/>
    <x v="0"/>
  </r>
  <r>
    <x v="0"/>
    <x v="0"/>
    <x v="0"/>
    <x v="5"/>
    <x v="11"/>
    <s v="SE2_OTHER"/>
    <x v="6"/>
    <x v="3"/>
    <x v="0"/>
    <x v="0"/>
  </r>
  <r>
    <x v="0"/>
    <x v="0"/>
    <x v="0"/>
    <x v="5"/>
    <x v="11"/>
    <s v="SE2_OTHER"/>
    <x v="6"/>
    <x v="4"/>
    <x v="0"/>
    <x v="0"/>
  </r>
  <r>
    <x v="0"/>
    <x v="0"/>
    <x v="0"/>
    <x v="5"/>
    <x v="11"/>
    <s v="SE2_OTHER"/>
    <x v="6"/>
    <x v="5"/>
    <x v="0"/>
    <x v="0"/>
  </r>
  <r>
    <x v="0"/>
    <x v="0"/>
    <x v="0"/>
    <x v="5"/>
    <x v="11"/>
    <s v="SE2_OTHER"/>
    <x v="6"/>
    <x v="6"/>
    <x v="0"/>
    <x v="0"/>
  </r>
  <r>
    <x v="0"/>
    <x v="0"/>
    <x v="0"/>
    <x v="5"/>
    <x v="11"/>
    <s v="SE2_OTHER"/>
    <x v="6"/>
    <x v="7"/>
    <x v="0"/>
    <x v="0"/>
  </r>
  <r>
    <x v="0"/>
    <x v="0"/>
    <x v="0"/>
    <x v="5"/>
    <x v="11"/>
    <s v="SE2_OTHER"/>
    <x v="6"/>
    <x v="8"/>
    <x v="0"/>
    <x v="0"/>
  </r>
  <r>
    <x v="0"/>
    <x v="0"/>
    <x v="0"/>
    <x v="5"/>
    <x v="11"/>
    <s v="SE2_OTHER"/>
    <x v="6"/>
    <x v="9"/>
    <x v="0"/>
    <x v="0"/>
  </r>
  <r>
    <x v="0"/>
    <x v="0"/>
    <x v="0"/>
    <x v="5"/>
    <x v="11"/>
    <s v="SE2_OTHER"/>
    <x v="6"/>
    <x v="10"/>
    <x v="0"/>
    <x v="0"/>
  </r>
  <r>
    <x v="0"/>
    <x v="0"/>
    <x v="0"/>
    <x v="5"/>
    <x v="11"/>
    <s v="SE2_OTHER"/>
    <x v="6"/>
    <x v="11"/>
    <x v="0"/>
    <x v="0"/>
  </r>
  <r>
    <x v="0"/>
    <x v="0"/>
    <x v="0"/>
    <x v="5"/>
    <x v="11"/>
    <s v="SE2_OTHER"/>
    <x v="7"/>
    <x v="0"/>
    <x v="0"/>
    <x v="0"/>
  </r>
  <r>
    <x v="0"/>
    <x v="0"/>
    <x v="0"/>
    <x v="5"/>
    <x v="11"/>
    <s v="SE2_OTHER"/>
    <x v="7"/>
    <x v="1"/>
    <x v="0"/>
    <x v="0"/>
  </r>
  <r>
    <x v="0"/>
    <x v="0"/>
    <x v="0"/>
    <x v="5"/>
    <x v="11"/>
    <s v="SE2_OTHER"/>
    <x v="7"/>
    <x v="2"/>
    <x v="0"/>
    <x v="0"/>
  </r>
  <r>
    <x v="0"/>
    <x v="0"/>
    <x v="0"/>
    <x v="5"/>
    <x v="11"/>
    <s v="SE2_OTHER"/>
    <x v="7"/>
    <x v="3"/>
    <x v="0"/>
    <x v="0"/>
  </r>
  <r>
    <x v="0"/>
    <x v="0"/>
    <x v="0"/>
    <x v="5"/>
    <x v="11"/>
    <s v="SE2_OTHER"/>
    <x v="7"/>
    <x v="4"/>
    <x v="0"/>
    <x v="0"/>
  </r>
  <r>
    <x v="0"/>
    <x v="0"/>
    <x v="0"/>
    <x v="5"/>
    <x v="11"/>
    <s v="SE2_OTHER"/>
    <x v="7"/>
    <x v="5"/>
    <x v="0"/>
    <x v="0"/>
  </r>
  <r>
    <x v="0"/>
    <x v="0"/>
    <x v="0"/>
    <x v="5"/>
    <x v="11"/>
    <s v="SE2_OTHER"/>
    <x v="7"/>
    <x v="6"/>
    <x v="0"/>
    <x v="0"/>
  </r>
  <r>
    <x v="0"/>
    <x v="0"/>
    <x v="0"/>
    <x v="5"/>
    <x v="11"/>
    <s v="SE2_OTHER"/>
    <x v="7"/>
    <x v="7"/>
    <x v="0"/>
    <x v="0"/>
  </r>
  <r>
    <x v="0"/>
    <x v="0"/>
    <x v="0"/>
    <x v="5"/>
    <x v="11"/>
    <s v="SE2_OTHER"/>
    <x v="7"/>
    <x v="8"/>
    <x v="0"/>
    <x v="0"/>
  </r>
  <r>
    <x v="0"/>
    <x v="0"/>
    <x v="0"/>
    <x v="5"/>
    <x v="11"/>
    <s v="SE2_OTHER"/>
    <x v="7"/>
    <x v="9"/>
    <x v="0"/>
    <x v="0"/>
  </r>
  <r>
    <x v="0"/>
    <x v="0"/>
    <x v="0"/>
    <x v="5"/>
    <x v="11"/>
    <s v="SE2_OTHER"/>
    <x v="7"/>
    <x v="10"/>
    <x v="0"/>
    <x v="0"/>
  </r>
  <r>
    <x v="0"/>
    <x v="0"/>
    <x v="0"/>
    <x v="5"/>
    <x v="11"/>
    <s v="SE2_OTHER"/>
    <x v="7"/>
    <x v="11"/>
    <x v="0"/>
    <x v="0"/>
  </r>
  <r>
    <x v="0"/>
    <x v="0"/>
    <x v="0"/>
    <x v="5"/>
    <x v="11"/>
    <s v="SE2_OTHER"/>
    <x v="8"/>
    <x v="0"/>
    <x v="0"/>
    <x v="0"/>
  </r>
  <r>
    <x v="0"/>
    <x v="0"/>
    <x v="0"/>
    <x v="5"/>
    <x v="11"/>
    <s v="SE2_OTHER"/>
    <x v="8"/>
    <x v="1"/>
    <x v="0"/>
    <x v="0"/>
  </r>
  <r>
    <x v="0"/>
    <x v="0"/>
    <x v="0"/>
    <x v="5"/>
    <x v="11"/>
    <s v="SE2_OTHER"/>
    <x v="8"/>
    <x v="2"/>
    <x v="0"/>
    <x v="0"/>
  </r>
  <r>
    <x v="0"/>
    <x v="0"/>
    <x v="0"/>
    <x v="5"/>
    <x v="11"/>
    <s v="SE2_OTHER"/>
    <x v="8"/>
    <x v="3"/>
    <x v="0"/>
    <x v="0"/>
  </r>
  <r>
    <x v="0"/>
    <x v="0"/>
    <x v="0"/>
    <x v="5"/>
    <x v="11"/>
    <s v="SE2_OTHER"/>
    <x v="8"/>
    <x v="4"/>
    <x v="0"/>
    <x v="0"/>
  </r>
  <r>
    <x v="0"/>
    <x v="0"/>
    <x v="0"/>
    <x v="5"/>
    <x v="11"/>
    <s v="SE2_OTHER"/>
    <x v="8"/>
    <x v="5"/>
    <x v="0"/>
    <x v="0"/>
  </r>
  <r>
    <x v="0"/>
    <x v="0"/>
    <x v="0"/>
    <x v="5"/>
    <x v="11"/>
    <s v="SE2_OTHER"/>
    <x v="8"/>
    <x v="6"/>
    <x v="0"/>
    <x v="0"/>
  </r>
  <r>
    <x v="0"/>
    <x v="0"/>
    <x v="0"/>
    <x v="5"/>
    <x v="11"/>
    <s v="SE2_OTHER"/>
    <x v="8"/>
    <x v="7"/>
    <x v="0"/>
    <x v="0"/>
  </r>
  <r>
    <x v="0"/>
    <x v="0"/>
    <x v="0"/>
    <x v="5"/>
    <x v="11"/>
    <s v="SE2_OTHER"/>
    <x v="8"/>
    <x v="8"/>
    <x v="0"/>
    <x v="0"/>
  </r>
  <r>
    <x v="0"/>
    <x v="0"/>
    <x v="0"/>
    <x v="5"/>
    <x v="11"/>
    <s v="SE2_OTHER"/>
    <x v="8"/>
    <x v="9"/>
    <x v="0"/>
    <x v="0"/>
  </r>
  <r>
    <x v="0"/>
    <x v="0"/>
    <x v="0"/>
    <x v="5"/>
    <x v="11"/>
    <s v="SE2_OTHER"/>
    <x v="8"/>
    <x v="10"/>
    <x v="0"/>
    <x v="0"/>
  </r>
  <r>
    <x v="0"/>
    <x v="0"/>
    <x v="0"/>
    <x v="5"/>
    <x v="11"/>
    <s v="SE2_OTHER"/>
    <x v="8"/>
    <x v="11"/>
    <x v="0"/>
    <x v="0"/>
  </r>
  <r>
    <x v="0"/>
    <x v="0"/>
    <x v="0"/>
    <x v="5"/>
    <x v="11"/>
    <s v="SE2_OTHER"/>
    <x v="9"/>
    <x v="0"/>
    <x v="0"/>
    <x v="0"/>
  </r>
  <r>
    <x v="0"/>
    <x v="0"/>
    <x v="0"/>
    <x v="5"/>
    <x v="11"/>
    <s v="SE2_OTHER"/>
    <x v="9"/>
    <x v="1"/>
    <x v="0"/>
    <x v="0"/>
  </r>
  <r>
    <x v="0"/>
    <x v="0"/>
    <x v="0"/>
    <x v="5"/>
    <x v="11"/>
    <s v="SE2_OTHER"/>
    <x v="9"/>
    <x v="2"/>
    <x v="0"/>
    <x v="0"/>
  </r>
  <r>
    <x v="0"/>
    <x v="0"/>
    <x v="0"/>
    <x v="5"/>
    <x v="11"/>
    <s v="SE2_OTHER"/>
    <x v="9"/>
    <x v="3"/>
    <x v="0"/>
    <x v="0"/>
  </r>
  <r>
    <x v="0"/>
    <x v="0"/>
    <x v="0"/>
    <x v="5"/>
    <x v="11"/>
    <s v="SE2_OTHER"/>
    <x v="9"/>
    <x v="4"/>
    <x v="0"/>
    <x v="0"/>
  </r>
  <r>
    <x v="0"/>
    <x v="0"/>
    <x v="0"/>
    <x v="5"/>
    <x v="11"/>
    <s v="SE2_OTHER"/>
    <x v="9"/>
    <x v="5"/>
    <x v="0"/>
    <x v="0"/>
  </r>
  <r>
    <x v="0"/>
    <x v="0"/>
    <x v="0"/>
    <x v="5"/>
    <x v="11"/>
    <s v="SE2_OTHER"/>
    <x v="9"/>
    <x v="6"/>
    <x v="0"/>
    <x v="0"/>
  </r>
  <r>
    <x v="0"/>
    <x v="0"/>
    <x v="0"/>
    <x v="5"/>
    <x v="11"/>
    <s v="SE2_OTHER"/>
    <x v="9"/>
    <x v="7"/>
    <x v="0"/>
    <x v="0"/>
  </r>
  <r>
    <x v="0"/>
    <x v="0"/>
    <x v="0"/>
    <x v="5"/>
    <x v="11"/>
    <s v="SE2_OTHER"/>
    <x v="9"/>
    <x v="8"/>
    <x v="0"/>
    <x v="0"/>
  </r>
  <r>
    <x v="0"/>
    <x v="0"/>
    <x v="0"/>
    <x v="5"/>
    <x v="11"/>
    <s v="SE2_OTHER"/>
    <x v="9"/>
    <x v="9"/>
    <x v="0"/>
    <x v="0"/>
  </r>
  <r>
    <x v="0"/>
    <x v="0"/>
    <x v="0"/>
    <x v="5"/>
    <x v="11"/>
    <s v="SE2_OTHER"/>
    <x v="9"/>
    <x v="10"/>
    <x v="0"/>
    <x v="0"/>
  </r>
  <r>
    <x v="0"/>
    <x v="0"/>
    <x v="0"/>
    <x v="5"/>
    <x v="11"/>
    <s v="SE2_OTHER"/>
    <x v="9"/>
    <x v="11"/>
    <x v="0"/>
    <x v="0"/>
  </r>
  <r>
    <x v="0"/>
    <x v="0"/>
    <x v="0"/>
    <x v="5"/>
    <x v="11"/>
    <s v="SE2_OTHER"/>
    <x v="10"/>
    <x v="0"/>
    <x v="0"/>
    <x v="0"/>
  </r>
  <r>
    <x v="0"/>
    <x v="0"/>
    <x v="0"/>
    <x v="5"/>
    <x v="11"/>
    <s v="SE2_OTHER"/>
    <x v="10"/>
    <x v="1"/>
    <x v="0"/>
    <x v="0"/>
  </r>
  <r>
    <x v="0"/>
    <x v="0"/>
    <x v="0"/>
    <x v="5"/>
    <x v="11"/>
    <s v="SE2_OTHER"/>
    <x v="10"/>
    <x v="2"/>
    <x v="0"/>
    <x v="0"/>
  </r>
  <r>
    <x v="0"/>
    <x v="0"/>
    <x v="0"/>
    <x v="5"/>
    <x v="11"/>
    <s v="SE2_OTHER"/>
    <x v="10"/>
    <x v="3"/>
    <x v="0"/>
    <x v="0"/>
  </r>
  <r>
    <x v="0"/>
    <x v="0"/>
    <x v="0"/>
    <x v="5"/>
    <x v="11"/>
    <s v="SE2_OTHER"/>
    <x v="10"/>
    <x v="4"/>
    <x v="0"/>
    <x v="0"/>
  </r>
  <r>
    <x v="0"/>
    <x v="0"/>
    <x v="0"/>
    <x v="5"/>
    <x v="11"/>
    <s v="SE2_OTHER"/>
    <x v="10"/>
    <x v="5"/>
    <x v="0"/>
    <x v="0"/>
  </r>
  <r>
    <x v="0"/>
    <x v="0"/>
    <x v="0"/>
    <x v="5"/>
    <x v="11"/>
    <s v="SE2_OTHER"/>
    <x v="10"/>
    <x v="6"/>
    <x v="0"/>
    <x v="0"/>
  </r>
  <r>
    <x v="0"/>
    <x v="0"/>
    <x v="0"/>
    <x v="5"/>
    <x v="11"/>
    <s v="SE2_OTHER"/>
    <x v="10"/>
    <x v="7"/>
    <x v="0"/>
    <x v="0"/>
  </r>
  <r>
    <x v="0"/>
    <x v="0"/>
    <x v="0"/>
    <x v="5"/>
    <x v="11"/>
    <s v="SE2_OTHER"/>
    <x v="10"/>
    <x v="8"/>
    <x v="0"/>
    <x v="0"/>
  </r>
  <r>
    <x v="0"/>
    <x v="0"/>
    <x v="0"/>
    <x v="5"/>
    <x v="11"/>
    <s v="SE2_OTHER"/>
    <x v="10"/>
    <x v="9"/>
    <x v="0"/>
    <x v="0"/>
  </r>
  <r>
    <x v="0"/>
    <x v="0"/>
    <x v="0"/>
    <x v="5"/>
    <x v="11"/>
    <s v="SE2_OTHER"/>
    <x v="10"/>
    <x v="10"/>
    <x v="0"/>
    <x v="0"/>
  </r>
  <r>
    <x v="0"/>
    <x v="0"/>
    <x v="0"/>
    <x v="5"/>
    <x v="11"/>
    <s v="SE2_OTHER"/>
    <x v="10"/>
    <x v="11"/>
    <x v="0"/>
    <x v="0"/>
  </r>
  <r>
    <x v="0"/>
    <x v="0"/>
    <x v="0"/>
    <x v="5"/>
    <x v="11"/>
    <s v="SE2_OTHER"/>
    <x v="11"/>
    <x v="0"/>
    <x v="0"/>
    <x v="0"/>
  </r>
  <r>
    <x v="0"/>
    <x v="0"/>
    <x v="0"/>
    <x v="5"/>
    <x v="11"/>
    <s v="SE2_OTHER"/>
    <x v="11"/>
    <x v="1"/>
    <x v="0"/>
    <x v="0"/>
  </r>
  <r>
    <x v="0"/>
    <x v="0"/>
    <x v="0"/>
    <x v="5"/>
    <x v="11"/>
    <s v="SE2_OTHER"/>
    <x v="11"/>
    <x v="2"/>
    <x v="0"/>
    <x v="0"/>
  </r>
  <r>
    <x v="0"/>
    <x v="0"/>
    <x v="0"/>
    <x v="5"/>
    <x v="11"/>
    <s v="SE2_OTHER"/>
    <x v="11"/>
    <x v="3"/>
    <x v="0"/>
    <x v="0"/>
  </r>
  <r>
    <x v="0"/>
    <x v="0"/>
    <x v="0"/>
    <x v="5"/>
    <x v="11"/>
    <s v="SE2_OTHER"/>
    <x v="11"/>
    <x v="4"/>
    <x v="0"/>
    <x v="0"/>
  </r>
  <r>
    <x v="0"/>
    <x v="0"/>
    <x v="0"/>
    <x v="5"/>
    <x v="11"/>
    <s v="SE2_OTHER"/>
    <x v="11"/>
    <x v="5"/>
    <x v="0"/>
    <x v="0"/>
  </r>
  <r>
    <x v="0"/>
    <x v="0"/>
    <x v="0"/>
    <x v="5"/>
    <x v="11"/>
    <s v="SE2_OTHER"/>
    <x v="11"/>
    <x v="6"/>
    <x v="0"/>
    <x v="0"/>
  </r>
  <r>
    <x v="0"/>
    <x v="0"/>
    <x v="0"/>
    <x v="5"/>
    <x v="11"/>
    <s v="SE2_OTHER"/>
    <x v="11"/>
    <x v="7"/>
    <x v="0"/>
    <x v="0"/>
  </r>
  <r>
    <x v="0"/>
    <x v="0"/>
    <x v="0"/>
    <x v="5"/>
    <x v="11"/>
    <s v="SE2_OTHER"/>
    <x v="11"/>
    <x v="8"/>
    <x v="0"/>
    <x v="0"/>
  </r>
  <r>
    <x v="0"/>
    <x v="0"/>
    <x v="0"/>
    <x v="5"/>
    <x v="11"/>
    <s v="SE2_OTHER"/>
    <x v="11"/>
    <x v="9"/>
    <x v="0"/>
    <x v="0"/>
  </r>
  <r>
    <x v="0"/>
    <x v="0"/>
    <x v="0"/>
    <x v="5"/>
    <x v="11"/>
    <s v="SE2_OTHER"/>
    <x v="11"/>
    <x v="10"/>
    <x v="0"/>
    <x v="0"/>
  </r>
  <r>
    <x v="0"/>
    <x v="0"/>
    <x v="0"/>
    <x v="5"/>
    <x v="11"/>
    <s v="SE2_OTHER"/>
    <x v="11"/>
    <x v="11"/>
    <x v="0"/>
    <x v="0"/>
  </r>
  <r>
    <x v="0"/>
    <x v="0"/>
    <x v="0"/>
    <x v="5"/>
    <x v="12"/>
    <s v="SE3A"/>
    <x v="0"/>
    <x v="0"/>
    <x v="0"/>
    <x v="0"/>
  </r>
  <r>
    <x v="0"/>
    <x v="0"/>
    <x v="0"/>
    <x v="5"/>
    <x v="12"/>
    <s v="SE3A"/>
    <x v="0"/>
    <x v="1"/>
    <x v="0"/>
    <x v="0"/>
  </r>
  <r>
    <x v="0"/>
    <x v="0"/>
    <x v="0"/>
    <x v="5"/>
    <x v="12"/>
    <s v="SE3A"/>
    <x v="0"/>
    <x v="2"/>
    <x v="0"/>
    <x v="0"/>
  </r>
  <r>
    <x v="0"/>
    <x v="0"/>
    <x v="0"/>
    <x v="5"/>
    <x v="12"/>
    <s v="SE3A"/>
    <x v="0"/>
    <x v="3"/>
    <x v="0"/>
    <x v="0"/>
  </r>
  <r>
    <x v="0"/>
    <x v="0"/>
    <x v="0"/>
    <x v="5"/>
    <x v="12"/>
    <s v="SE3A"/>
    <x v="0"/>
    <x v="4"/>
    <x v="0"/>
    <x v="0"/>
  </r>
  <r>
    <x v="0"/>
    <x v="0"/>
    <x v="0"/>
    <x v="5"/>
    <x v="12"/>
    <s v="SE3A"/>
    <x v="0"/>
    <x v="5"/>
    <x v="0"/>
    <x v="0"/>
  </r>
  <r>
    <x v="0"/>
    <x v="0"/>
    <x v="0"/>
    <x v="5"/>
    <x v="12"/>
    <s v="SE3A"/>
    <x v="0"/>
    <x v="6"/>
    <x v="0"/>
    <x v="0"/>
  </r>
  <r>
    <x v="0"/>
    <x v="0"/>
    <x v="0"/>
    <x v="5"/>
    <x v="12"/>
    <s v="SE3A"/>
    <x v="0"/>
    <x v="7"/>
    <x v="0"/>
    <x v="0"/>
  </r>
  <r>
    <x v="0"/>
    <x v="0"/>
    <x v="0"/>
    <x v="5"/>
    <x v="12"/>
    <s v="SE3A"/>
    <x v="0"/>
    <x v="8"/>
    <x v="0"/>
    <x v="0"/>
  </r>
  <r>
    <x v="0"/>
    <x v="0"/>
    <x v="0"/>
    <x v="5"/>
    <x v="12"/>
    <s v="SE3A"/>
    <x v="0"/>
    <x v="9"/>
    <x v="0"/>
    <x v="0"/>
  </r>
  <r>
    <x v="0"/>
    <x v="0"/>
    <x v="0"/>
    <x v="5"/>
    <x v="12"/>
    <s v="SE3A"/>
    <x v="0"/>
    <x v="10"/>
    <x v="0"/>
    <x v="0"/>
  </r>
  <r>
    <x v="0"/>
    <x v="0"/>
    <x v="0"/>
    <x v="5"/>
    <x v="12"/>
    <s v="SE3A"/>
    <x v="0"/>
    <x v="11"/>
    <x v="0"/>
    <x v="0"/>
  </r>
  <r>
    <x v="0"/>
    <x v="0"/>
    <x v="0"/>
    <x v="5"/>
    <x v="12"/>
    <s v="SE3A"/>
    <x v="1"/>
    <x v="0"/>
    <x v="0"/>
    <x v="0"/>
  </r>
  <r>
    <x v="0"/>
    <x v="0"/>
    <x v="0"/>
    <x v="5"/>
    <x v="12"/>
    <s v="SE3A"/>
    <x v="1"/>
    <x v="1"/>
    <x v="0"/>
    <x v="0"/>
  </r>
  <r>
    <x v="0"/>
    <x v="0"/>
    <x v="0"/>
    <x v="5"/>
    <x v="12"/>
    <s v="SE3A"/>
    <x v="1"/>
    <x v="2"/>
    <x v="0"/>
    <x v="0"/>
  </r>
  <r>
    <x v="0"/>
    <x v="0"/>
    <x v="0"/>
    <x v="5"/>
    <x v="12"/>
    <s v="SE3A"/>
    <x v="1"/>
    <x v="3"/>
    <x v="0"/>
    <x v="0"/>
  </r>
  <r>
    <x v="0"/>
    <x v="0"/>
    <x v="0"/>
    <x v="5"/>
    <x v="12"/>
    <s v="SE3A"/>
    <x v="1"/>
    <x v="4"/>
    <x v="0"/>
    <x v="0"/>
  </r>
  <r>
    <x v="0"/>
    <x v="0"/>
    <x v="0"/>
    <x v="5"/>
    <x v="12"/>
    <s v="SE3A"/>
    <x v="1"/>
    <x v="5"/>
    <x v="0"/>
    <x v="0"/>
  </r>
  <r>
    <x v="0"/>
    <x v="0"/>
    <x v="0"/>
    <x v="5"/>
    <x v="12"/>
    <s v="SE3A"/>
    <x v="1"/>
    <x v="6"/>
    <x v="0"/>
    <x v="0"/>
  </r>
  <r>
    <x v="0"/>
    <x v="0"/>
    <x v="0"/>
    <x v="5"/>
    <x v="12"/>
    <s v="SE3A"/>
    <x v="1"/>
    <x v="7"/>
    <x v="0"/>
    <x v="0"/>
  </r>
  <r>
    <x v="0"/>
    <x v="0"/>
    <x v="0"/>
    <x v="5"/>
    <x v="12"/>
    <s v="SE3A"/>
    <x v="1"/>
    <x v="8"/>
    <x v="0"/>
    <x v="0"/>
  </r>
  <r>
    <x v="0"/>
    <x v="0"/>
    <x v="0"/>
    <x v="5"/>
    <x v="12"/>
    <s v="SE3A"/>
    <x v="1"/>
    <x v="9"/>
    <x v="0"/>
    <x v="0"/>
  </r>
  <r>
    <x v="0"/>
    <x v="0"/>
    <x v="0"/>
    <x v="5"/>
    <x v="12"/>
    <s v="SE3A"/>
    <x v="1"/>
    <x v="10"/>
    <x v="0"/>
    <x v="0"/>
  </r>
  <r>
    <x v="0"/>
    <x v="0"/>
    <x v="0"/>
    <x v="5"/>
    <x v="12"/>
    <s v="SE3A"/>
    <x v="1"/>
    <x v="11"/>
    <x v="0"/>
    <x v="0"/>
  </r>
  <r>
    <x v="0"/>
    <x v="0"/>
    <x v="0"/>
    <x v="5"/>
    <x v="12"/>
    <s v="SE3A"/>
    <x v="2"/>
    <x v="0"/>
    <x v="0"/>
    <x v="0"/>
  </r>
  <r>
    <x v="0"/>
    <x v="0"/>
    <x v="0"/>
    <x v="5"/>
    <x v="12"/>
    <s v="SE3A"/>
    <x v="2"/>
    <x v="1"/>
    <x v="0"/>
    <x v="0"/>
  </r>
  <r>
    <x v="0"/>
    <x v="0"/>
    <x v="0"/>
    <x v="5"/>
    <x v="12"/>
    <s v="SE3A"/>
    <x v="2"/>
    <x v="2"/>
    <x v="0"/>
    <x v="0"/>
  </r>
  <r>
    <x v="0"/>
    <x v="0"/>
    <x v="0"/>
    <x v="5"/>
    <x v="12"/>
    <s v="SE3A"/>
    <x v="2"/>
    <x v="3"/>
    <x v="0"/>
    <x v="0"/>
  </r>
  <r>
    <x v="0"/>
    <x v="0"/>
    <x v="0"/>
    <x v="5"/>
    <x v="12"/>
    <s v="SE3A"/>
    <x v="2"/>
    <x v="4"/>
    <x v="0"/>
    <x v="0"/>
  </r>
  <r>
    <x v="0"/>
    <x v="0"/>
    <x v="0"/>
    <x v="5"/>
    <x v="12"/>
    <s v="SE3A"/>
    <x v="2"/>
    <x v="5"/>
    <x v="0"/>
    <x v="0"/>
  </r>
  <r>
    <x v="0"/>
    <x v="0"/>
    <x v="0"/>
    <x v="5"/>
    <x v="12"/>
    <s v="SE3A"/>
    <x v="2"/>
    <x v="6"/>
    <x v="0"/>
    <x v="0"/>
  </r>
  <r>
    <x v="0"/>
    <x v="0"/>
    <x v="0"/>
    <x v="5"/>
    <x v="12"/>
    <s v="SE3A"/>
    <x v="2"/>
    <x v="7"/>
    <x v="0"/>
    <x v="0"/>
  </r>
  <r>
    <x v="0"/>
    <x v="0"/>
    <x v="0"/>
    <x v="5"/>
    <x v="12"/>
    <s v="SE3A"/>
    <x v="2"/>
    <x v="8"/>
    <x v="0"/>
    <x v="0"/>
  </r>
  <r>
    <x v="0"/>
    <x v="0"/>
    <x v="0"/>
    <x v="5"/>
    <x v="12"/>
    <s v="SE3A"/>
    <x v="2"/>
    <x v="9"/>
    <x v="0"/>
    <x v="0"/>
  </r>
  <r>
    <x v="0"/>
    <x v="0"/>
    <x v="0"/>
    <x v="5"/>
    <x v="12"/>
    <s v="SE3A"/>
    <x v="2"/>
    <x v="10"/>
    <x v="0"/>
    <x v="0"/>
  </r>
  <r>
    <x v="0"/>
    <x v="0"/>
    <x v="0"/>
    <x v="5"/>
    <x v="12"/>
    <s v="SE3A"/>
    <x v="2"/>
    <x v="11"/>
    <x v="0"/>
    <x v="0"/>
  </r>
  <r>
    <x v="0"/>
    <x v="0"/>
    <x v="0"/>
    <x v="5"/>
    <x v="12"/>
    <s v="SE3A"/>
    <x v="3"/>
    <x v="0"/>
    <x v="0"/>
    <x v="0"/>
  </r>
  <r>
    <x v="0"/>
    <x v="0"/>
    <x v="0"/>
    <x v="5"/>
    <x v="12"/>
    <s v="SE3A"/>
    <x v="3"/>
    <x v="1"/>
    <x v="0"/>
    <x v="0"/>
  </r>
  <r>
    <x v="0"/>
    <x v="0"/>
    <x v="0"/>
    <x v="5"/>
    <x v="12"/>
    <s v="SE3A"/>
    <x v="3"/>
    <x v="2"/>
    <x v="0"/>
    <x v="0"/>
  </r>
  <r>
    <x v="0"/>
    <x v="0"/>
    <x v="0"/>
    <x v="5"/>
    <x v="12"/>
    <s v="SE3A"/>
    <x v="3"/>
    <x v="3"/>
    <x v="0"/>
    <x v="0"/>
  </r>
  <r>
    <x v="0"/>
    <x v="0"/>
    <x v="0"/>
    <x v="5"/>
    <x v="12"/>
    <s v="SE3A"/>
    <x v="3"/>
    <x v="4"/>
    <x v="0"/>
    <x v="0"/>
  </r>
  <r>
    <x v="0"/>
    <x v="0"/>
    <x v="0"/>
    <x v="5"/>
    <x v="12"/>
    <s v="SE3A"/>
    <x v="3"/>
    <x v="5"/>
    <x v="0"/>
    <x v="0"/>
  </r>
  <r>
    <x v="0"/>
    <x v="0"/>
    <x v="0"/>
    <x v="5"/>
    <x v="12"/>
    <s v="SE3A"/>
    <x v="3"/>
    <x v="6"/>
    <x v="0"/>
    <x v="0"/>
  </r>
  <r>
    <x v="0"/>
    <x v="0"/>
    <x v="0"/>
    <x v="5"/>
    <x v="12"/>
    <s v="SE3A"/>
    <x v="3"/>
    <x v="7"/>
    <x v="0"/>
    <x v="0"/>
  </r>
  <r>
    <x v="0"/>
    <x v="0"/>
    <x v="0"/>
    <x v="5"/>
    <x v="12"/>
    <s v="SE3A"/>
    <x v="3"/>
    <x v="8"/>
    <x v="0"/>
    <x v="0"/>
  </r>
  <r>
    <x v="0"/>
    <x v="0"/>
    <x v="0"/>
    <x v="5"/>
    <x v="12"/>
    <s v="SE3A"/>
    <x v="3"/>
    <x v="9"/>
    <x v="0"/>
    <x v="0"/>
  </r>
  <r>
    <x v="0"/>
    <x v="0"/>
    <x v="0"/>
    <x v="5"/>
    <x v="12"/>
    <s v="SE3A"/>
    <x v="3"/>
    <x v="10"/>
    <x v="0"/>
    <x v="0"/>
  </r>
  <r>
    <x v="0"/>
    <x v="0"/>
    <x v="0"/>
    <x v="5"/>
    <x v="12"/>
    <s v="SE3A"/>
    <x v="3"/>
    <x v="11"/>
    <x v="0"/>
    <x v="0"/>
  </r>
  <r>
    <x v="0"/>
    <x v="0"/>
    <x v="0"/>
    <x v="5"/>
    <x v="12"/>
    <s v="SE3A"/>
    <x v="4"/>
    <x v="0"/>
    <x v="0"/>
    <x v="0"/>
  </r>
  <r>
    <x v="0"/>
    <x v="0"/>
    <x v="0"/>
    <x v="5"/>
    <x v="12"/>
    <s v="SE3A"/>
    <x v="4"/>
    <x v="1"/>
    <x v="0"/>
    <x v="0"/>
  </r>
  <r>
    <x v="0"/>
    <x v="0"/>
    <x v="0"/>
    <x v="5"/>
    <x v="12"/>
    <s v="SE3A"/>
    <x v="4"/>
    <x v="2"/>
    <x v="0"/>
    <x v="0"/>
  </r>
  <r>
    <x v="0"/>
    <x v="0"/>
    <x v="0"/>
    <x v="5"/>
    <x v="12"/>
    <s v="SE3A"/>
    <x v="4"/>
    <x v="3"/>
    <x v="0"/>
    <x v="0"/>
  </r>
  <r>
    <x v="0"/>
    <x v="0"/>
    <x v="0"/>
    <x v="5"/>
    <x v="12"/>
    <s v="SE3A"/>
    <x v="4"/>
    <x v="4"/>
    <x v="0"/>
    <x v="0"/>
  </r>
  <r>
    <x v="0"/>
    <x v="0"/>
    <x v="0"/>
    <x v="5"/>
    <x v="12"/>
    <s v="SE3A"/>
    <x v="4"/>
    <x v="5"/>
    <x v="0"/>
    <x v="0"/>
  </r>
  <r>
    <x v="0"/>
    <x v="0"/>
    <x v="0"/>
    <x v="5"/>
    <x v="12"/>
    <s v="SE3A"/>
    <x v="4"/>
    <x v="6"/>
    <x v="0"/>
    <x v="0"/>
  </r>
  <r>
    <x v="0"/>
    <x v="0"/>
    <x v="0"/>
    <x v="5"/>
    <x v="12"/>
    <s v="SE3A"/>
    <x v="4"/>
    <x v="7"/>
    <x v="0"/>
    <x v="0"/>
  </r>
  <r>
    <x v="0"/>
    <x v="0"/>
    <x v="0"/>
    <x v="5"/>
    <x v="12"/>
    <s v="SE3A"/>
    <x v="4"/>
    <x v="8"/>
    <x v="0"/>
    <x v="0"/>
  </r>
  <r>
    <x v="0"/>
    <x v="0"/>
    <x v="0"/>
    <x v="5"/>
    <x v="12"/>
    <s v="SE3A"/>
    <x v="4"/>
    <x v="9"/>
    <x v="0"/>
    <x v="0"/>
  </r>
  <r>
    <x v="0"/>
    <x v="0"/>
    <x v="0"/>
    <x v="5"/>
    <x v="12"/>
    <s v="SE3A"/>
    <x v="4"/>
    <x v="10"/>
    <x v="0"/>
    <x v="0"/>
  </r>
  <r>
    <x v="0"/>
    <x v="0"/>
    <x v="0"/>
    <x v="5"/>
    <x v="12"/>
    <s v="SE3A"/>
    <x v="4"/>
    <x v="11"/>
    <x v="0"/>
    <x v="0"/>
  </r>
  <r>
    <x v="0"/>
    <x v="0"/>
    <x v="0"/>
    <x v="5"/>
    <x v="12"/>
    <s v="SE3A"/>
    <x v="5"/>
    <x v="0"/>
    <x v="0"/>
    <x v="0"/>
  </r>
  <r>
    <x v="0"/>
    <x v="0"/>
    <x v="0"/>
    <x v="5"/>
    <x v="12"/>
    <s v="SE3A"/>
    <x v="5"/>
    <x v="1"/>
    <x v="0"/>
    <x v="0"/>
  </r>
  <r>
    <x v="0"/>
    <x v="0"/>
    <x v="0"/>
    <x v="5"/>
    <x v="12"/>
    <s v="SE3A"/>
    <x v="5"/>
    <x v="2"/>
    <x v="0"/>
    <x v="0"/>
  </r>
  <r>
    <x v="0"/>
    <x v="0"/>
    <x v="0"/>
    <x v="5"/>
    <x v="12"/>
    <s v="SE3A"/>
    <x v="5"/>
    <x v="3"/>
    <x v="0"/>
    <x v="0"/>
  </r>
  <r>
    <x v="0"/>
    <x v="0"/>
    <x v="0"/>
    <x v="5"/>
    <x v="12"/>
    <s v="SE3A"/>
    <x v="5"/>
    <x v="4"/>
    <x v="0"/>
    <x v="0"/>
  </r>
  <r>
    <x v="0"/>
    <x v="0"/>
    <x v="0"/>
    <x v="5"/>
    <x v="12"/>
    <s v="SE3A"/>
    <x v="5"/>
    <x v="5"/>
    <x v="0"/>
    <x v="0"/>
  </r>
  <r>
    <x v="0"/>
    <x v="0"/>
    <x v="0"/>
    <x v="5"/>
    <x v="12"/>
    <s v="SE3A"/>
    <x v="5"/>
    <x v="6"/>
    <x v="0"/>
    <x v="0"/>
  </r>
  <r>
    <x v="0"/>
    <x v="0"/>
    <x v="0"/>
    <x v="5"/>
    <x v="12"/>
    <s v="SE3A"/>
    <x v="5"/>
    <x v="7"/>
    <x v="0"/>
    <x v="0"/>
  </r>
  <r>
    <x v="0"/>
    <x v="0"/>
    <x v="0"/>
    <x v="5"/>
    <x v="12"/>
    <s v="SE3A"/>
    <x v="5"/>
    <x v="8"/>
    <x v="0"/>
    <x v="0"/>
  </r>
  <r>
    <x v="0"/>
    <x v="0"/>
    <x v="0"/>
    <x v="5"/>
    <x v="12"/>
    <s v="SE3A"/>
    <x v="5"/>
    <x v="9"/>
    <x v="0"/>
    <x v="0"/>
  </r>
  <r>
    <x v="0"/>
    <x v="0"/>
    <x v="0"/>
    <x v="5"/>
    <x v="12"/>
    <s v="SE3A"/>
    <x v="5"/>
    <x v="10"/>
    <x v="0"/>
    <x v="0"/>
  </r>
  <r>
    <x v="0"/>
    <x v="0"/>
    <x v="0"/>
    <x v="5"/>
    <x v="12"/>
    <s v="SE3A"/>
    <x v="5"/>
    <x v="11"/>
    <x v="0"/>
    <x v="0"/>
  </r>
  <r>
    <x v="0"/>
    <x v="0"/>
    <x v="0"/>
    <x v="5"/>
    <x v="12"/>
    <s v="SE3A"/>
    <x v="6"/>
    <x v="0"/>
    <x v="0"/>
    <x v="0"/>
  </r>
  <r>
    <x v="0"/>
    <x v="0"/>
    <x v="0"/>
    <x v="5"/>
    <x v="12"/>
    <s v="SE3A"/>
    <x v="6"/>
    <x v="1"/>
    <x v="0"/>
    <x v="0"/>
  </r>
  <r>
    <x v="0"/>
    <x v="0"/>
    <x v="0"/>
    <x v="5"/>
    <x v="12"/>
    <s v="SE3A"/>
    <x v="6"/>
    <x v="2"/>
    <x v="0"/>
    <x v="0"/>
  </r>
  <r>
    <x v="0"/>
    <x v="0"/>
    <x v="0"/>
    <x v="5"/>
    <x v="12"/>
    <s v="SE3A"/>
    <x v="6"/>
    <x v="3"/>
    <x v="0"/>
    <x v="0"/>
  </r>
  <r>
    <x v="0"/>
    <x v="0"/>
    <x v="0"/>
    <x v="5"/>
    <x v="12"/>
    <s v="SE3A"/>
    <x v="6"/>
    <x v="4"/>
    <x v="0"/>
    <x v="0"/>
  </r>
  <r>
    <x v="0"/>
    <x v="0"/>
    <x v="0"/>
    <x v="5"/>
    <x v="12"/>
    <s v="SE3A"/>
    <x v="6"/>
    <x v="5"/>
    <x v="0"/>
    <x v="0"/>
  </r>
  <r>
    <x v="0"/>
    <x v="0"/>
    <x v="0"/>
    <x v="5"/>
    <x v="12"/>
    <s v="SE3A"/>
    <x v="6"/>
    <x v="6"/>
    <x v="0"/>
    <x v="0"/>
  </r>
  <r>
    <x v="0"/>
    <x v="0"/>
    <x v="0"/>
    <x v="5"/>
    <x v="12"/>
    <s v="SE3A"/>
    <x v="6"/>
    <x v="7"/>
    <x v="0"/>
    <x v="0"/>
  </r>
  <r>
    <x v="0"/>
    <x v="0"/>
    <x v="0"/>
    <x v="5"/>
    <x v="12"/>
    <s v="SE3A"/>
    <x v="6"/>
    <x v="8"/>
    <x v="0"/>
    <x v="0"/>
  </r>
  <r>
    <x v="0"/>
    <x v="0"/>
    <x v="0"/>
    <x v="5"/>
    <x v="12"/>
    <s v="SE3A"/>
    <x v="6"/>
    <x v="9"/>
    <x v="0"/>
    <x v="0"/>
  </r>
  <r>
    <x v="0"/>
    <x v="0"/>
    <x v="0"/>
    <x v="5"/>
    <x v="12"/>
    <s v="SE3A"/>
    <x v="6"/>
    <x v="10"/>
    <x v="0"/>
    <x v="0"/>
  </r>
  <r>
    <x v="0"/>
    <x v="0"/>
    <x v="0"/>
    <x v="5"/>
    <x v="12"/>
    <s v="SE3A"/>
    <x v="6"/>
    <x v="11"/>
    <x v="0"/>
    <x v="0"/>
  </r>
  <r>
    <x v="0"/>
    <x v="0"/>
    <x v="0"/>
    <x v="5"/>
    <x v="12"/>
    <s v="SE3A"/>
    <x v="7"/>
    <x v="0"/>
    <x v="0"/>
    <x v="0"/>
  </r>
  <r>
    <x v="0"/>
    <x v="0"/>
    <x v="0"/>
    <x v="5"/>
    <x v="12"/>
    <s v="SE3A"/>
    <x v="7"/>
    <x v="1"/>
    <x v="0"/>
    <x v="0"/>
  </r>
  <r>
    <x v="0"/>
    <x v="0"/>
    <x v="0"/>
    <x v="5"/>
    <x v="12"/>
    <s v="SE3A"/>
    <x v="7"/>
    <x v="2"/>
    <x v="0"/>
    <x v="0"/>
  </r>
  <r>
    <x v="0"/>
    <x v="0"/>
    <x v="0"/>
    <x v="5"/>
    <x v="12"/>
    <s v="SE3A"/>
    <x v="7"/>
    <x v="3"/>
    <x v="0"/>
    <x v="0"/>
  </r>
  <r>
    <x v="0"/>
    <x v="0"/>
    <x v="0"/>
    <x v="5"/>
    <x v="12"/>
    <s v="SE3A"/>
    <x v="7"/>
    <x v="4"/>
    <x v="0"/>
    <x v="0"/>
  </r>
  <r>
    <x v="0"/>
    <x v="0"/>
    <x v="0"/>
    <x v="5"/>
    <x v="12"/>
    <s v="SE3A"/>
    <x v="7"/>
    <x v="5"/>
    <x v="0"/>
    <x v="0"/>
  </r>
  <r>
    <x v="0"/>
    <x v="0"/>
    <x v="0"/>
    <x v="5"/>
    <x v="12"/>
    <s v="SE3A"/>
    <x v="7"/>
    <x v="6"/>
    <x v="0"/>
    <x v="0"/>
  </r>
  <r>
    <x v="0"/>
    <x v="0"/>
    <x v="0"/>
    <x v="5"/>
    <x v="12"/>
    <s v="SE3A"/>
    <x v="7"/>
    <x v="7"/>
    <x v="0"/>
    <x v="0"/>
  </r>
  <r>
    <x v="0"/>
    <x v="0"/>
    <x v="0"/>
    <x v="5"/>
    <x v="12"/>
    <s v="SE3A"/>
    <x v="7"/>
    <x v="8"/>
    <x v="0"/>
    <x v="0"/>
  </r>
  <r>
    <x v="0"/>
    <x v="0"/>
    <x v="0"/>
    <x v="5"/>
    <x v="12"/>
    <s v="SE3A"/>
    <x v="7"/>
    <x v="9"/>
    <x v="0"/>
    <x v="0"/>
  </r>
  <r>
    <x v="0"/>
    <x v="0"/>
    <x v="0"/>
    <x v="5"/>
    <x v="12"/>
    <s v="SE3A"/>
    <x v="7"/>
    <x v="10"/>
    <x v="0"/>
    <x v="0"/>
  </r>
  <r>
    <x v="0"/>
    <x v="0"/>
    <x v="0"/>
    <x v="5"/>
    <x v="12"/>
    <s v="SE3A"/>
    <x v="7"/>
    <x v="11"/>
    <x v="0"/>
    <x v="0"/>
  </r>
  <r>
    <x v="0"/>
    <x v="0"/>
    <x v="0"/>
    <x v="5"/>
    <x v="12"/>
    <s v="SE3A"/>
    <x v="8"/>
    <x v="0"/>
    <x v="0"/>
    <x v="0"/>
  </r>
  <r>
    <x v="0"/>
    <x v="0"/>
    <x v="0"/>
    <x v="5"/>
    <x v="12"/>
    <s v="SE3A"/>
    <x v="8"/>
    <x v="1"/>
    <x v="0"/>
    <x v="0"/>
  </r>
  <r>
    <x v="0"/>
    <x v="0"/>
    <x v="0"/>
    <x v="5"/>
    <x v="12"/>
    <s v="SE3A"/>
    <x v="8"/>
    <x v="2"/>
    <x v="0"/>
    <x v="0"/>
  </r>
  <r>
    <x v="0"/>
    <x v="0"/>
    <x v="0"/>
    <x v="5"/>
    <x v="12"/>
    <s v="SE3A"/>
    <x v="8"/>
    <x v="3"/>
    <x v="0"/>
    <x v="0"/>
  </r>
  <r>
    <x v="0"/>
    <x v="0"/>
    <x v="0"/>
    <x v="5"/>
    <x v="12"/>
    <s v="SE3A"/>
    <x v="8"/>
    <x v="4"/>
    <x v="0"/>
    <x v="0"/>
  </r>
  <r>
    <x v="0"/>
    <x v="0"/>
    <x v="0"/>
    <x v="5"/>
    <x v="12"/>
    <s v="SE3A"/>
    <x v="8"/>
    <x v="5"/>
    <x v="0"/>
    <x v="0"/>
  </r>
  <r>
    <x v="0"/>
    <x v="0"/>
    <x v="0"/>
    <x v="5"/>
    <x v="12"/>
    <s v="SE3A"/>
    <x v="8"/>
    <x v="6"/>
    <x v="0"/>
    <x v="0"/>
  </r>
  <r>
    <x v="0"/>
    <x v="0"/>
    <x v="0"/>
    <x v="5"/>
    <x v="12"/>
    <s v="SE3A"/>
    <x v="8"/>
    <x v="7"/>
    <x v="0"/>
    <x v="0"/>
  </r>
  <r>
    <x v="0"/>
    <x v="0"/>
    <x v="0"/>
    <x v="5"/>
    <x v="12"/>
    <s v="SE3A"/>
    <x v="8"/>
    <x v="8"/>
    <x v="0"/>
    <x v="0"/>
  </r>
  <r>
    <x v="0"/>
    <x v="0"/>
    <x v="0"/>
    <x v="5"/>
    <x v="12"/>
    <s v="SE3A"/>
    <x v="8"/>
    <x v="9"/>
    <x v="0"/>
    <x v="0"/>
  </r>
  <r>
    <x v="0"/>
    <x v="0"/>
    <x v="0"/>
    <x v="5"/>
    <x v="12"/>
    <s v="SE3A"/>
    <x v="8"/>
    <x v="10"/>
    <x v="0"/>
    <x v="0"/>
  </r>
  <r>
    <x v="0"/>
    <x v="0"/>
    <x v="0"/>
    <x v="5"/>
    <x v="12"/>
    <s v="SE3A"/>
    <x v="8"/>
    <x v="11"/>
    <x v="0"/>
    <x v="0"/>
  </r>
  <r>
    <x v="0"/>
    <x v="0"/>
    <x v="0"/>
    <x v="5"/>
    <x v="12"/>
    <s v="SE3A"/>
    <x v="9"/>
    <x v="0"/>
    <x v="0"/>
    <x v="0"/>
  </r>
  <r>
    <x v="0"/>
    <x v="0"/>
    <x v="0"/>
    <x v="5"/>
    <x v="12"/>
    <s v="SE3A"/>
    <x v="9"/>
    <x v="1"/>
    <x v="0"/>
    <x v="0"/>
  </r>
  <r>
    <x v="0"/>
    <x v="0"/>
    <x v="0"/>
    <x v="5"/>
    <x v="12"/>
    <s v="SE3A"/>
    <x v="9"/>
    <x v="2"/>
    <x v="0"/>
    <x v="0"/>
  </r>
  <r>
    <x v="0"/>
    <x v="0"/>
    <x v="0"/>
    <x v="5"/>
    <x v="12"/>
    <s v="SE3A"/>
    <x v="9"/>
    <x v="3"/>
    <x v="0"/>
    <x v="0"/>
  </r>
  <r>
    <x v="0"/>
    <x v="0"/>
    <x v="0"/>
    <x v="5"/>
    <x v="12"/>
    <s v="SE3A"/>
    <x v="9"/>
    <x v="4"/>
    <x v="0"/>
    <x v="0"/>
  </r>
  <r>
    <x v="0"/>
    <x v="0"/>
    <x v="0"/>
    <x v="5"/>
    <x v="12"/>
    <s v="SE3A"/>
    <x v="9"/>
    <x v="5"/>
    <x v="0"/>
    <x v="0"/>
  </r>
  <r>
    <x v="0"/>
    <x v="0"/>
    <x v="0"/>
    <x v="5"/>
    <x v="12"/>
    <s v="SE3A"/>
    <x v="9"/>
    <x v="6"/>
    <x v="0"/>
    <x v="0"/>
  </r>
  <r>
    <x v="0"/>
    <x v="0"/>
    <x v="0"/>
    <x v="5"/>
    <x v="12"/>
    <s v="SE3A"/>
    <x v="9"/>
    <x v="7"/>
    <x v="0"/>
    <x v="0"/>
  </r>
  <r>
    <x v="0"/>
    <x v="0"/>
    <x v="0"/>
    <x v="5"/>
    <x v="12"/>
    <s v="SE3A"/>
    <x v="9"/>
    <x v="8"/>
    <x v="0"/>
    <x v="0"/>
  </r>
  <r>
    <x v="0"/>
    <x v="0"/>
    <x v="0"/>
    <x v="5"/>
    <x v="12"/>
    <s v="SE3A"/>
    <x v="9"/>
    <x v="9"/>
    <x v="0"/>
    <x v="0"/>
  </r>
  <r>
    <x v="0"/>
    <x v="0"/>
    <x v="0"/>
    <x v="5"/>
    <x v="12"/>
    <s v="SE3A"/>
    <x v="9"/>
    <x v="10"/>
    <x v="0"/>
    <x v="0"/>
  </r>
  <r>
    <x v="0"/>
    <x v="0"/>
    <x v="0"/>
    <x v="5"/>
    <x v="12"/>
    <s v="SE3A"/>
    <x v="9"/>
    <x v="11"/>
    <x v="0"/>
    <x v="0"/>
  </r>
  <r>
    <x v="0"/>
    <x v="0"/>
    <x v="0"/>
    <x v="5"/>
    <x v="12"/>
    <s v="SE3A"/>
    <x v="10"/>
    <x v="0"/>
    <x v="0"/>
    <x v="0"/>
  </r>
  <r>
    <x v="0"/>
    <x v="0"/>
    <x v="0"/>
    <x v="5"/>
    <x v="12"/>
    <s v="SE3A"/>
    <x v="10"/>
    <x v="1"/>
    <x v="0"/>
    <x v="0"/>
  </r>
  <r>
    <x v="0"/>
    <x v="0"/>
    <x v="0"/>
    <x v="5"/>
    <x v="12"/>
    <s v="SE3A"/>
    <x v="10"/>
    <x v="2"/>
    <x v="0"/>
    <x v="0"/>
  </r>
  <r>
    <x v="0"/>
    <x v="0"/>
    <x v="0"/>
    <x v="5"/>
    <x v="12"/>
    <s v="SE3A"/>
    <x v="10"/>
    <x v="3"/>
    <x v="0"/>
    <x v="0"/>
  </r>
  <r>
    <x v="0"/>
    <x v="0"/>
    <x v="0"/>
    <x v="5"/>
    <x v="12"/>
    <s v="SE3A"/>
    <x v="10"/>
    <x v="4"/>
    <x v="0"/>
    <x v="0"/>
  </r>
  <r>
    <x v="0"/>
    <x v="0"/>
    <x v="0"/>
    <x v="5"/>
    <x v="12"/>
    <s v="SE3A"/>
    <x v="10"/>
    <x v="5"/>
    <x v="0"/>
    <x v="0"/>
  </r>
  <r>
    <x v="0"/>
    <x v="0"/>
    <x v="0"/>
    <x v="5"/>
    <x v="12"/>
    <s v="SE3A"/>
    <x v="10"/>
    <x v="6"/>
    <x v="0"/>
    <x v="0"/>
  </r>
  <r>
    <x v="0"/>
    <x v="0"/>
    <x v="0"/>
    <x v="5"/>
    <x v="12"/>
    <s v="SE3A"/>
    <x v="10"/>
    <x v="7"/>
    <x v="0"/>
    <x v="0"/>
  </r>
  <r>
    <x v="0"/>
    <x v="0"/>
    <x v="0"/>
    <x v="5"/>
    <x v="12"/>
    <s v="SE3A"/>
    <x v="10"/>
    <x v="8"/>
    <x v="0"/>
    <x v="0"/>
  </r>
  <r>
    <x v="0"/>
    <x v="0"/>
    <x v="0"/>
    <x v="5"/>
    <x v="12"/>
    <s v="SE3A"/>
    <x v="10"/>
    <x v="9"/>
    <x v="0"/>
    <x v="0"/>
  </r>
  <r>
    <x v="0"/>
    <x v="0"/>
    <x v="0"/>
    <x v="5"/>
    <x v="12"/>
    <s v="SE3A"/>
    <x v="10"/>
    <x v="10"/>
    <x v="0"/>
    <x v="0"/>
  </r>
  <r>
    <x v="0"/>
    <x v="0"/>
    <x v="0"/>
    <x v="5"/>
    <x v="12"/>
    <s v="SE3A"/>
    <x v="10"/>
    <x v="11"/>
    <x v="0"/>
    <x v="0"/>
  </r>
  <r>
    <x v="0"/>
    <x v="0"/>
    <x v="0"/>
    <x v="5"/>
    <x v="12"/>
    <s v="SE3A"/>
    <x v="11"/>
    <x v="0"/>
    <x v="0"/>
    <x v="0"/>
  </r>
  <r>
    <x v="0"/>
    <x v="0"/>
    <x v="0"/>
    <x v="5"/>
    <x v="12"/>
    <s v="SE3A"/>
    <x v="11"/>
    <x v="1"/>
    <x v="0"/>
    <x v="0"/>
  </r>
  <r>
    <x v="0"/>
    <x v="0"/>
    <x v="0"/>
    <x v="5"/>
    <x v="12"/>
    <s v="SE3A"/>
    <x v="11"/>
    <x v="2"/>
    <x v="0"/>
    <x v="0"/>
  </r>
  <r>
    <x v="0"/>
    <x v="0"/>
    <x v="0"/>
    <x v="5"/>
    <x v="12"/>
    <s v="SE3A"/>
    <x v="11"/>
    <x v="3"/>
    <x v="0"/>
    <x v="0"/>
  </r>
  <r>
    <x v="0"/>
    <x v="0"/>
    <x v="0"/>
    <x v="5"/>
    <x v="12"/>
    <s v="SE3A"/>
    <x v="11"/>
    <x v="4"/>
    <x v="0"/>
    <x v="0"/>
  </r>
  <r>
    <x v="0"/>
    <x v="0"/>
    <x v="0"/>
    <x v="5"/>
    <x v="12"/>
    <s v="SE3A"/>
    <x v="11"/>
    <x v="5"/>
    <x v="0"/>
    <x v="0"/>
  </r>
  <r>
    <x v="0"/>
    <x v="0"/>
    <x v="0"/>
    <x v="5"/>
    <x v="12"/>
    <s v="SE3A"/>
    <x v="11"/>
    <x v="6"/>
    <x v="0"/>
    <x v="0"/>
  </r>
  <r>
    <x v="0"/>
    <x v="0"/>
    <x v="0"/>
    <x v="5"/>
    <x v="12"/>
    <s v="SE3A"/>
    <x v="11"/>
    <x v="7"/>
    <x v="0"/>
    <x v="0"/>
  </r>
  <r>
    <x v="0"/>
    <x v="0"/>
    <x v="0"/>
    <x v="5"/>
    <x v="12"/>
    <s v="SE3A"/>
    <x v="11"/>
    <x v="8"/>
    <x v="0"/>
    <x v="0"/>
  </r>
  <r>
    <x v="0"/>
    <x v="0"/>
    <x v="0"/>
    <x v="5"/>
    <x v="12"/>
    <s v="SE3A"/>
    <x v="11"/>
    <x v="9"/>
    <x v="0"/>
    <x v="0"/>
  </r>
  <r>
    <x v="0"/>
    <x v="0"/>
    <x v="0"/>
    <x v="5"/>
    <x v="12"/>
    <s v="SE3A"/>
    <x v="11"/>
    <x v="10"/>
    <x v="0"/>
    <x v="0"/>
  </r>
  <r>
    <x v="0"/>
    <x v="0"/>
    <x v="0"/>
    <x v="5"/>
    <x v="12"/>
    <s v="SE3A"/>
    <x v="11"/>
    <x v="11"/>
    <x v="0"/>
    <x v="0"/>
  </r>
  <r>
    <x v="0"/>
    <x v="0"/>
    <x v="0"/>
    <x v="5"/>
    <x v="12"/>
    <s v="SE3_EL"/>
    <x v="0"/>
    <x v="0"/>
    <x v="0"/>
    <x v="0"/>
  </r>
  <r>
    <x v="0"/>
    <x v="0"/>
    <x v="0"/>
    <x v="5"/>
    <x v="12"/>
    <s v="SE3_EL"/>
    <x v="0"/>
    <x v="1"/>
    <x v="0"/>
    <x v="0"/>
  </r>
  <r>
    <x v="0"/>
    <x v="0"/>
    <x v="0"/>
    <x v="5"/>
    <x v="12"/>
    <s v="SE3_EL"/>
    <x v="0"/>
    <x v="2"/>
    <x v="0"/>
    <x v="0"/>
  </r>
  <r>
    <x v="0"/>
    <x v="0"/>
    <x v="0"/>
    <x v="5"/>
    <x v="12"/>
    <s v="SE3_EL"/>
    <x v="0"/>
    <x v="3"/>
    <x v="0"/>
    <x v="0"/>
  </r>
  <r>
    <x v="0"/>
    <x v="0"/>
    <x v="0"/>
    <x v="5"/>
    <x v="12"/>
    <s v="SE3_EL"/>
    <x v="0"/>
    <x v="4"/>
    <x v="0"/>
    <x v="0"/>
  </r>
  <r>
    <x v="0"/>
    <x v="0"/>
    <x v="0"/>
    <x v="5"/>
    <x v="12"/>
    <s v="SE3_EL"/>
    <x v="0"/>
    <x v="5"/>
    <x v="0"/>
    <x v="0"/>
  </r>
  <r>
    <x v="0"/>
    <x v="0"/>
    <x v="0"/>
    <x v="5"/>
    <x v="12"/>
    <s v="SE3_EL"/>
    <x v="0"/>
    <x v="6"/>
    <x v="0"/>
    <x v="0"/>
  </r>
  <r>
    <x v="0"/>
    <x v="0"/>
    <x v="0"/>
    <x v="5"/>
    <x v="12"/>
    <s v="SE3_EL"/>
    <x v="0"/>
    <x v="7"/>
    <x v="0"/>
    <x v="0"/>
  </r>
  <r>
    <x v="0"/>
    <x v="0"/>
    <x v="0"/>
    <x v="5"/>
    <x v="12"/>
    <s v="SE3_EL"/>
    <x v="0"/>
    <x v="8"/>
    <x v="0"/>
    <x v="0"/>
  </r>
  <r>
    <x v="0"/>
    <x v="0"/>
    <x v="0"/>
    <x v="5"/>
    <x v="12"/>
    <s v="SE3_EL"/>
    <x v="0"/>
    <x v="9"/>
    <x v="0"/>
    <x v="0"/>
  </r>
  <r>
    <x v="0"/>
    <x v="0"/>
    <x v="0"/>
    <x v="5"/>
    <x v="12"/>
    <s v="SE3_EL"/>
    <x v="0"/>
    <x v="10"/>
    <x v="0"/>
    <x v="0"/>
  </r>
  <r>
    <x v="0"/>
    <x v="0"/>
    <x v="0"/>
    <x v="5"/>
    <x v="12"/>
    <s v="SE3_EL"/>
    <x v="0"/>
    <x v="11"/>
    <x v="0"/>
    <x v="0"/>
  </r>
  <r>
    <x v="0"/>
    <x v="0"/>
    <x v="0"/>
    <x v="5"/>
    <x v="12"/>
    <s v="SE3_EL"/>
    <x v="1"/>
    <x v="0"/>
    <x v="0"/>
    <x v="0"/>
  </r>
  <r>
    <x v="0"/>
    <x v="0"/>
    <x v="0"/>
    <x v="5"/>
    <x v="12"/>
    <s v="SE3_EL"/>
    <x v="1"/>
    <x v="1"/>
    <x v="0"/>
    <x v="0"/>
  </r>
  <r>
    <x v="0"/>
    <x v="0"/>
    <x v="0"/>
    <x v="5"/>
    <x v="12"/>
    <s v="SE3_EL"/>
    <x v="1"/>
    <x v="2"/>
    <x v="0"/>
    <x v="0"/>
  </r>
  <r>
    <x v="0"/>
    <x v="0"/>
    <x v="0"/>
    <x v="5"/>
    <x v="12"/>
    <s v="SE3_EL"/>
    <x v="1"/>
    <x v="3"/>
    <x v="0"/>
    <x v="0"/>
  </r>
  <r>
    <x v="0"/>
    <x v="0"/>
    <x v="0"/>
    <x v="5"/>
    <x v="12"/>
    <s v="SE3_EL"/>
    <x v="1"/>
    <x v="4"/>
    <x v="0"/>
    <x v="0"/>
  </r>
  <r>
    <x v="0"/>
    <x v="0"/>
    <x v="0"/>
    <x v="5"/>
    <x v="12"/>
    <s v="SE3_EL"/>
    <x v="1"/>
    <x v="5"/>
    <x v="0"/>
    <x v="0"/>
  </r>
  <r>
    <x v="0"/>
    <x v="0"/>
    <x v="0"/>
    <x v="5"/>
    <x v="12"/>
    <s v="SE3_EL"/>
    <x v="1"/>
    <x v="6"/>
    <x v="0"/>
    <x v="0"/>
  </r>
  <r>
    <x v="0"/>
    <x v="0"/>
    <x v="0"/>
    <x v="5"/>
    <x v="12"/>
    <s v="SE3_EL"/>
    <x v="1"/>
    <x v="7"/>
    <x v="0"/>
    <x v="0"/>
  </r>
  <r>
    <x v="0"/>
    <x v="0"/>
    <x v="0"/>
    <x v="5"/>
    <x v="12"/>
    <s v="SE3_EL"/>
    <x v="1"/>
    <x v="8"/>
    <x v="0"/>
    <x v="0"/>
  </r>
  <r>
    <x v="0"/>
    <x v="0"/>
    <x v="0"/>
    <x v="5"/>
    <x v="12"/>
    <s v="SE3_EL"/>
    <x v="1"/>
    <x v="9"/>
    <x v="0"/>
    <x v="0"/>
  </r>
  <r>
    <x v="0"/>
    <x v="0"/>
    <x v="0"/>
    <x v="5"/>
    <x v="12"/>
    <s v="SE3_EL"/>
    <x v="1"/>
    <x v="10"/>
    <x v="0"/>
    <x v="0"/>
  </r>
  <r>
    <x v="0"/>
    <x v="0"/>
    <x v="0"/>
    <x v="5"/>
    <x v="12"/>
    <s v="SE3_EL"/>
    <x v="1"/>
    <x v="11"/>
    <x v="0"/>
    <x v="0"/>
  </r>
  <r>
    <x v="0"/>
    <x v="0"/>
    <x v="0"/>
    <x v="5"/>
    <x v="12"/>
    <s v="SE3_EL"/>
    <x v="2"/>
    <x v="0"/>
    <x v="0"/>
    <x v="0"/>
  </r>
  <r>
    <x v="0"/>
    <x v="0"/>
    <x v="0"/>
    <x v="5"/>
    <x v="12"/>
    <s v="SE3_EL"/>
    <x v="2"/>
    <x v="1"/>
    <x v="0"/>
    <x v="0"/>
  </r>
  <r>
    <x v="0"/>
    <x v="0"/>
    <x v="0"/>
    <x v="5"/>
    <x v="12"/>
    <s v="SE3_EL"/>
    <x v="2"/>
    <x v="2"/>
    <x v="0"/>
    <x v="0"/>
  </r>
  <r>
    <x v="0"/>
    <x v="0"/>
    <x v="0"/>
    <x v="5"/>
    <x v="12"/>
    <s v="SE3_EL"/>
    <x v="2"/>
    <x v="3"/>
    <x v="0"/>
    <x v="0"/>
  </r>
  <r>
    <x v="0"/>
    <x v="0"/>
    <x v="0"/>
    <x v="5"/>
    <x v="12"/>
    <s v="SE3_EL"/>
    <x v="2"/>
    <x v="4"/>
    <x v="0"/>
    <x v="0"/>
  </r>
  <r>
    <x v="0"/>
    <x v="0"/>
    <x v="0"/>
    <x v="5"/>
    <x v="12"/>
    <s v="SE3_EL"/>
    <x v="2"/>
    <x v="5"/>
    <x v="0"/>
    <x v="0"/>
  </r>
  <r>
    <x v="0"/>
    <x v="0"/>
    <x v="0"/>
    <x v="5"/>
    <x v="12"/>
    <s v="SE3_EL"/>
    <x v="2"/>
    <x v="6"/>
    <x v="0"/>
    <x v="0"/>
  </r>
  <r>
    <x v="0"/>
    <x v="0"/>
    <x v="0"/>
    <x v="5"/>
    <x v="12"/>
    <s v="SE3_EL"/>
    <x v="2"/>
    <x v="7"/>
    <x v="0"/>
    <x v="0"/>
  </r>
  <r>
    <x v="0"/>
    <x v="0"/>
    <x v="0"/>
    <x v="5"/>
    <x v="12"/>
    <s v="SE3_EL"/>
    <x v="2"/>
    <x v="8"/>
    <x v="0"/>
    <x v="0"/>
  </r>
  <r>
    <x v="0"/>
    <x v="0"/>
    <x v="0"/>
    <x v="5"/>
    <x v="12"/>
    <s v="SE3_EL"/>
    <x v="2"/>
    <x v="9"/>
    <x v="0"/>
    <x v="0"/>
  </r>
  <r>
    <x v="0"/>
    <x v="0"/>
    <x v="0"/>
    <x v="5"/>
    <x v="12"/>
    <s v="SE3_EL"/>
    <x v="2"/>
    <x v="10"/>
    <x v="0"/>
    <x v="0"/>
  </r>
  <r>
    <x v="0"/>
    <x v="0"/>
    <x v="0"/>
    <x v="5"/>
    <x v="12"/>
    <s v="SE3_EL"/>
    <x v="2"/>
    <x v="11"/>
    <x v="0"/>
    <x v="0"/>
  </r>
  <r>
    <x v="0"/>
    <x v="0"/>
    <x v="0"/>
    <x v="5"/>
    <x v="12"/>
    <s v="SE3_EL"/>
    <x v="3"/>
    <x v="0"/>
    <x v="0"/>
    <x v="0"/>
  </r>
  <r>
    <x v="0"/>
    <x v="0"/>
    <x v="0"/>
    <x v="5"/>
    <x v="12"/>
    <s v="SE3_EL"/>
    <x v="3"/>
    <x v="1"/>
    <x v="0"/>
    <x v="0"/>
  </r>
  <r>
    <x v="0"/>
    <x v="0"/>
    <x v="0"/>
    <x v="5"/>
    <x v="12"/>
    <s v="SE3_EL"/>
    <x v="3"/>
    <x v="2"/>
    <x v="0"/>
    <x v="0"/>
  </r>
  <r>
    <x v="0"/>
    <x v="0"/>
    <x v="0"/>
    <x v="5"/>
    <x v="12"/>
    <s v="SE3_EL"/>
    <x v="3"/>
    <x v="3"/>
    <x v="0"/>
    <x v="0"/>
  </r>
  <r>
    <x v="0"/>
    <x v="0"/>
    <x v="0"/>
    <x v="5"/>
    <x v="12"/>
    <s v="SE3_EL"/>
    <x v="3"/>
    <x v="4"/>
    <x v="0"/>
    <x v="0"/>
  </r>
  <r>
    <x v="0"/>
    <x v="0"/>
    <x v="0"/>
    <x v="5"/>
    <x v="12"/>
    <s v="SE3_EL"/>
    <x v="3"/>
    <x v="5"/>
    <x v="0"/>
    <x v="0"/>
  </r>
  <r>
    <x v="0"/>
    <x v="0"/>
    <x v="0"/>
    <x v="5"/>
    <x v="12"/>
    <s v="SE3_EL"/>
    <x v="3"/>
    <x v="6"/>
    <x v="0"/>
    <x v="0"/>
  </r>
  <r>
    <x v="0"/>
    <x v="0"/>
    <x v="0"/>
    <x v="5"/>
    <x v="12"/>
    <s v="SE3_EL"/>
    <x v="3"/>
    <x v="7"/>
    <x v="0"/>
    <x v="0"/>
  </r>
  <r>
    <x v="0"/>
    <x v="0"/>
    <x v="0"/>
    <x v="5"/>
    <x v="12"/>
    <s v="SE3_EL"/>
    <x v="3"/>
    <x v="8"/>
    <x v="0"/>
    <x v="0"/>
  </r>
  <r>
    <x v="0"/>
    <x v="0"/>
    <x v="0"/>
    <x v="5"/>
    <x v="12"/>
    <s v="SE3_EL"/>
    <x v="3"/>
    <x v="9"/>
    <x v="0"/>
    <x v="0"/>
  </r>
  <r>
    <x v="0"/>
    <x v="0"/>
    <x v="0"/>
    <x v="5"/>
    <x v="12"/>
    <s v="SE3_EL"/>
    <x v="3"/>
    <x v="10"/>
    <x v="0"/>
    <x v="0"/>
  </r>
  <r>
    <x v="0"/>
    <x v="0"/>
    <x v="0"/>
    <x v="5"/>
    <x v="12"/>
    <s v="SE3_EL"/>
    <x v="3"/>
    <x v="11"/>
    <x v="0"/>
    <x v="0"/>
  </r>
  <r>
    <x v="0"/>
    <x v="0"/>
    <x v="0"/>
    <x v="5"/>
    <x v="12"/>
    <s v="SE3_EL"/>
    <x v="4"/>
    <x v="0"/>
    <x v="0"/>
    <x v="0"/>
  </r>
  <r>
    <x v="0"/>
    <x v="0"/>
    <x v="0"/>
    <x v="5"/>
    <x v="12"/>
    <s v="SE3_EL"/>
    <x v="4"/>
    <x v="1"/>
    <x v="0"/>
    <x v="0"/>
  </r>
  <r>
    <x v="0"/>
    <x v="0"/>
    <x v="0"/>
    <x v="5"/>
    <x v="12"/>
    <s v="SE3_EL"/>
    <x v="4"/>
    <x v="2"/>
    <x v="0"/>
    <x v="0"/>
  </r>
  <r>
    <x v="0"/>
    <x v="0"/>
    <x v="0"/>
    <x v="5"/>
    <x v="12"/>
    <s v="SE3_EL"/>
    <x v="4"/>
    <x v="3"/>
    <x v="0"/>
    <x v="0"/>
  </r>
  <r>
    <x v="0"/>
    <x v="0"/>
    <x v="0"/>
    <x v="5"/>
    <x v="12"/>
    <s v="SE3_EL"/>
    <x v="4"/>
    <x v="4"/>
    <x v="0"/>
    <x v="0"/>
  </r>
  <r>
    <x v="0"/>
    <x v="0"/>
    <x v="0"/>
    <x v="5"/>
    <x v="12"/>
    <s v="SE3_EL"/>
    <x v="4"/>
    <x v="5"/>
    <x v="0"/>
    <x v="0"/>
  </r>
  <r>
    <x v="0"/>
    <x v="0"/>
    <x v="0"/>
    <x v="5"/>
    <x v="12"/>
    <s v="SE3_EL"/>
    <x v="4"/>
    <x v="6"/>
    <x v="0"/>
    <x v="0"/>
  </r>
  <r>
    <x v="0"/>
    <x v="0"/>
    <x v="0"/>
    <x v="5"/>
    <x v="12"/>
    <s v="SE3_EL"/>
    <x v="4"/>
    <x v="7"/>
    <x v="0"/>
    <x v="0"/>
  </r>
  <r>
    <x v="0"/>
    <x v="0"/>
    <x v="0"/>
    <x v="5"/>
    <x v="12"/>
    <s v="SE3_EL"/>
    <x v="4"/>
    <x v="8"/>
    <x v="0"/>
    <x v="0"/>
  </r>
  <r>
    <x v="0"/>
    <x v="0"/>
    <x v="0"/>
    <x v="5"/>
    <x v="12"/>
    <s v="SE3_EL"/>
    <x v="4"/>
    <x v="9"/>
    <x v="0"/>
    <x v="0"/>
  </r>
  <r>
    <x v="0"/>
    <x v="0"/>
    <x v="0"/>
    <x v="5"/>
    <x v="12"/>
    <s v="SE3_EL"/>
    <x v="4"/>
    <x v="10"/>
    <x v="0"/>
    <x v="0"/>
  </r>
  <r>
    <x v="0"/>
    <x v="0"/>
    <x v="0"/>
    <x v="5"/>
    <x v="12"/>
    <s v="SE3_EL"/>
    <x v="4"/>
    <x v="11"/>
    <x v="0"/>
    <x v="0"/>
  </r>
  <r>
    <x v="0"/>
    <x v="0"/>
    <x v="0"/>
    <x v="5"/>
    <x v="12"/>
    <s v="SE3_EL"/>
    <x v="5"/>
    <x v="0"/>
    <x v="0"/>
    <x v="0"/>
  </r>
  <r>
    <x v="0"/>
    <x v="0"/>
    <x v="0"/>
    <x v="5"/>
    <x v="12"/>
    <s v="SE3_EL"/>
    <x v="5"/>
    <x v="1"/>
    <x v="0"/>
    <x v="0"/>
  </r>
  <r>
    <x v="0"/>
    <x v="0"/>
    <x v="0"/>
    <x v="5"/>
    <x v="12"/>
    <s v="SE3_EL"/>
    <x v="5"/>
    <x v="2"/>
    <x v="0"/>
    <x v="0"/>
  </r>
  <r>
    <x v="0"/>
    <x v="0"/>
    <x v="0"/>
    <x v="5"/>
    <x v="12"/>
    <s v="SE3_EL"/>
    <x v="5"/>
    <x v="3"/>
    <x v="0"/>
    <x v="0"/>
  </r>
  <r>
    <x v="0"/>
    <x v="0"/>
    <x v="0"/>
    <x v="5"/>
    <x v="12"/>
    <s v="SE3_EL"/>
    <x v="5"/>
    <x v="4"/>
    <x v="0"/>
    <x v="0"/>
  </r>
  <r>
    <x v="0"/>
    <x v="0"/>
    <x v="0"/>
    <x v="5"/>
    <x v="12"/>
    <s v="SE3_EL"/>
    <x v="5"/>
    <x v="5"/>
    <x v="0"/>
    <x v="0"/>
  </r>
  <r>
    <x v="0"/>
    <x v="0"/>
    <x v="0"/>
    <x v="5"/>
    <x v="12"/>
    <s v="SE3_EL"/>
    <x v="5"/>
    <x v="6"/>
    <x v="0"/>
    <x v="0"/>
  </r>
  <r>
    <x v="0"/>
    <x v="0"/>
    <x v="0"/>
    <x v="5"/>
    <x v="12"/>
    <s v="SE3_EL"/>
    <x v="5"/>
    <x v="7"/>
    <x v="0"/>
    <x v="0"/>
  </r>
  <r>
    <x v="0"/>
    <x v="0"/>
    <x v="0"/>
    <x v="5"/>
    <x v="12"/>
    <s v="SE3_EL"/>
    <x v="5"/>
    <x v="8"/>
    <x v="0"/>
    <x v="0"/>
  </r>
  <r>
    <x v="0"/>
    <x v="0"/>
    <x v="0"/>
    <x v="5"/>
    <x v="12"/>
    <s v="SE3_EL"/>
    <x v="5"/>
    <x v="9"/>
    <x v="0"/>
    <x v="0"/>
  </r>
  <r>
    <x v="0"/>
    <x v="0"/>
    <x v="0"/>
    <x v="5"/>
    <x v="12"/>
    <s v="SE3_EL"/>
    <x v="5"/>
    <x v="10"/>
    <x v="0"/>
    <x v="0"/>
  </r>
  <r>
    <x v="0"/>
    <x v="0"/>
    <x v="0"/>
    <x v="5"/>
    <x v="12"/>
    <s v="SE3_EL"/>
    <x v="5"/>
    <x v="11"/>
    <x v="0"/>
    <x v="0"/>
  </r>
  <r>
    <x v="0"/>
    <x v="0"/>
    <x v="0"/>
    <x v="5"/>
    <x v="12"/>
    <s v="SE3_EL"/>
    <x v="6"/>
    <x v="0"/>
    <x v="0"/>
    <x v="0"/>
  </r>
  <r>
    <x v="0"/>
    <x v="0"/>
    <x v="0"/>
    <x v="5"/>
    <x v="12"/>
    <s v="SE3_EL"/>
    <x v="6"/>
    <x v="1"/>
    <x v="0"/>
    <x v="0"/>
  </r>
  <r>
    <x v="0"/>
    <x v="0"/>
    <x v="0"/>
    <x v="5"/>
    <x v="12"/>
    <s v="SE3_EL"/>
    <x v="6"/>
    <x v="2"/>
    <x v="0"/>
    <x v="0"/>
  </r>
  <r>
    <x v="0"/>
    <x v="0"/>
    <x v="0"/>
    <x v="5"/>
    <x v="12"/>
    <s v="SE3_EL"/>
    <x v="6"/>
    <x v="3"/>
    <x v="0"/>
    <x v="0"/>
  </r>
  <r>
    <x v="0"/>
    <x v="0"/>
    <x v="0"/>
    <x v="5"/>
    <x v="12"/>
    <s v="SE3_EL"/>
    <x v="6"/>
    <x v="4"/>
    <x v="0"/>
    <x v="0"/>
  </r>
  <r>
    <x v="0"/>
    <x v="0"/>
    <x v="0"/>
    <x v="5"/>
    <x v="12"/>
    <s v="SE3_EL"/>
    <x v="6"/>
    <x v="5"/>
    <x v="0"/>
    <x v="0"/>
  </r>
  <r>
    <x v="0"/>
    <x v="0"/>
    <x v="0"/>
    <x v="5"/>
    <x v="12"/>
    <s v="SE3_EL"/>
    <x v="6"/>
    <x v="6"/>
    <x v="0"/>
    <x v="0"/>
  </r>
  <r>
    <x v="0"/>
    <x v="0"/>
    <x v="0"/>
    <x v="5"/>
    <x v="12"/>
    <s v="SE3_EL"/>
    <x v="6"/>
    <x v="7"/>
    <x v="0"/>
    <x v="0"/>
  </r>
  <r>
    <x v="0"/>
    <x v="0"/>
    <x v="0"/>
    <x v="5"/>
    <x v="12"/>
    <s v="SE3_EL"/>
    <x v="6"/>
    <x v="8"/>
    <x v="0"/>
    <x v="0"/>
  </r>
  <r>
    <x v="0"/>
    <x v="0"/>
    <x v="0"/>
    <x v="5"/>
    <x v="12"/>
    <s v="SE3_EL"/>
    <x v="6"/>
    <x v="9"/>
    <x v="0"/>
    <x v="0"/>
  </r>
  <r>
    <x v="0"/>
    <x v="0"/>
    <x v="0"/>
    <x v="5"/>
    <x v="12"/>
    <s v="SE3_EL"/>
    <x v="6"/>
    <x v="10"/>
    <x v="0"/>
    <x v="0"/>
  </r>
  <r>
    <x v="0"/>
    <x v="0"/>
    <x v="0"/>
    <x v="5"/>
    <x v="12"/>
    <s v="SE3_EL"/>
    <x v="6"/>
    <x v="11"/>
    <x v="0"/>
    <x v="0"/>
  </r>
  <r>
    <x v="0"/>
    <x v="0"/>
    <x v="0"/>
    <x v="5"/>
    <x v="12"/>
    <s v="SE3_EL"/>
    <x v="7"/>
    <x v="0"/>
    <x v="0"/>
    <x v="0"/>
  </r>
  <r>
    <x v="0"/>
    <x v="0"/>
    <x v="0"/>
    <x v="5"/>
    <x v="12"/>
    <s v="SE3_EL"/>
    <x v="7"/>
    <x v="1"/>
    <x v="0"/>
    <x v="0"/>
  </r>
  <r>
    <x v="0"/>
    <x v="0"/>
    <x v="0"/>
    <x v="5"/>
    <x v="12"/>
    <s v="SE3_EL"/>
    <x v="7"/>
    <x v="2"/>
    <x v="0"/>
    <x v="0"/>
  </r>
  <r>
    <x v="0"/>
    <x v="0"/>
    <x v="0"/>
    <x v="5"/>
    <x v="12"/>
    <s v="SE3_EL"/>
    <x v="7"/>
    <x v="3"/>
    <x v="0"/>
    <x v="0"/>
  </r>
  <r>
    <x v="0"/>
    <x v="0"/>
    <x v="0"/>
    <x v="5"/>
    <x v="12"/>
    <s v="SE3_EL"/>
    <x v="7"/>
    <x v="4"/>
    <x v="0"/>
    <x v="0"/>
  </r>
  <r>
    <x v="0"/>
    <x v="0"/>
    <x v="0"/>
    <x v="5"/>
    <x v="12"/>
    <s v="SE3_EL"/>
    <x v="7"/>
    <x v="5"/>
    <x v="0"/>
    <x v="0"/>
  </r>
  <r>
    <x v="0"/>
    <x v="0"/>
    <x v="0"/>
    <x v="5"/>
    <x v="12"/>
    <s v="SE3_EL"/>
    <x v="7"/>
    <x v="6"/>
    <x v="0"/>
    <x v="0"/>
  </r>
  <r>
    <x v="0"/>
    <x v="0"/>
    <x v="0"/>
    <x v="5"/>
    <x v="12"/>
    <s v="SE3_EL"/>
    <x v="7"/>
    <x v="7"/>
    <x v="0"/>
    <x v="0"/>
  </r>
  <r>
    <x v="0"/>
    <x v="0"/>
    <x v="0"/>
    <x v="5"/>
    <x v="12"/>
    <s v="SE3_EL"/>
    <x v="7"/>
    <x v="8"/>
    <x v="0"/>
    <x v="0"/>
  </r>
  <r>
    <x v="0"/>
    <x v="0"/>
    <x v="0"/>
    <x v="5"/>
    <x v="12"/>
    <s v="SE3_EL"/>
    <x v="7"/>
    <x v="9"/>
    <x v="0"/>
    <x v="0"/>
  </r>
  <r>
    <x v="0"/>
    <x v="0"/>
    <x v="0"/>
    <x v="5"/>
    <x v="12"/>
    <s v="SE3_EL"/>
    <x v="7"/>
    <x v="10"/>
    <x v="0"/>
    <x v="0"/>
  </r>
  <r>
    <x v="0"/>
    <x v="0"/>
    <x v="0"/>
    <x v="5"/>
    <x v="12"/>
    <s v="SE3_EL"/>
    <x v="7"/>
    <x v="11"/>
    <x v="0"/>
    <x v="0"/>
  </r>
  <r>
    <x v="0"/>
    <x v="0"/>
    <x v="0"/>
    <x v="5"/>
    <x v="12"/>
    <s v="SE3_EL"/>
    <x v="8"/>
    <x v="0"/>
    <x v="0"/>
    <x v="0"/>
  </r>
  <r>
    <x v="0"/>
    <x v="0"/>
    <x v="0"/>
    <x v="5"/>
    <x v="12"/>
    <s v="SE3_EL"/>
    <x v="8"/>
    <x v="1"/>
    <x v="0"/>
    <x v="0"/>
  </r>
  <r>
    <x v="0"/>
    <x v="0"/>
    <x v="0"/>
    <x v="5"/>
    <x v="12"/>
    <s v="SE3_EL"/>
    <x v="8"/>
    <x v="2"/>
    <x v="0"/>
    <x v="0"/>
  </r>
  <r>
    <x v="0"/>
    <x v="0"/>
    <x v="0"/>
    <x v="5"/>
    <x v="12"/>
    <s v="SE3_EL"/>
    <x v="8"/>
    <x v="3"/>
    <x v="0"/>
    <x v="0"/>
  </r>
  <r>
    <x v="0"/>
    <x v="0"/>
    <x v="0"/>
    <x v="5"/>
    <x v="12"/>
    <s v="SE3_EL"/>
    <x v="8"/>
    <x v="4"/>
    <x v="0"/>
    <x v="0"/>
  </r>
  <r>
    <x v="0"/>
    <x v="0"/>
    <x v="0"/>
    <x v="5"/>
    <x v="12"/>
    <s v="SE3_EL"/>
    <x v="8"/>
    <x v="5"/>
    <x v="0"/>
    <x v="0"/>
  </r>
  <r>
    <x v="0"/>
    <x v="0"/>
    <x v="0"/>
    <x v="5"/>
    <x v="12"/>
    <s v="SE3_EL"/>
    <x v="8"/>
    <x v="6"/>
    <x v="0"/>
    <x v="0"/>
  </r>
  <r>
    <x v="0"/>
    <x v="0"/>
    <x v="0"/>
    <x v="5"/>
    <x v="12"/>
    <s v="SE3_EL"/>
    <x v="8"/>
    <x v="7"/>
    <x v="0"/>
    <x v="0"/>
  </r>
  <r>
    <x v="0"/>
    <x v="0"/>
    <x v="0"/>
    <x v="5"/>
    <x v="12"/>
    <s v="SE3_EL"/>
    <x v="8"/>
    <x v="8"/>
    <x v="0"/>
    <x v="0"/>
  </r>
  <r>
    <x v="0"/>
    <x v="0"/>
    <x v="0"/>
    <x v="5"/>
    <x v="12"/>
    <s v="SE3_EL"/>
    <x v="8"/>
    <x v="9"/>
    <x v="0"/>
    <x v="0"/>
  </r>
  <r>
    <x v="0"/>
    <x v="0"/>
    <x v="0"/>
    <x v="5"/>
    <x v="12"/>
    <s v="SE3_EL"/>
    <x v="8"/>
    <x v="10"/>
    <x v="0"/>
    <x v="0"/>
  </r>
  <r>
    <x v="0"/>
    <x v="0"/>
    <x v="0"/>
    <x v="5"/>
    <x v="12"/>
    <s v="SE3_EL"/>
    <x v="8"/>
    <x v="11"/>
    <x v="0"/>
    <x v="0"/>
  </r>
  <r>
    <x v="0"/>
    <x v="0"/>
    <x v="0"/>
    <x v="5"/>
    <x v="12"/>
    <s v="SE3_EL"/>
    <x v="9"/>
    <x v="0"/>
    <x v="0"/>
    <x v="0"/>
  </r>
  <r>
    <x v="0"/>
    <x v="0"/>
    <x v="0"/>
    <x v="5"/>
    <x v="12"/>
    <s v="SE3_EL"/>
    <x v="9"/>
    <x v="1"/>
    <x v="0"/>
    <x v="0"/>
  </r>
  <r>
    <x v="0"/>
    <x v="0"/>
    <x v="0"/>
    <x v="5"/>
    <x v="12"/>
    <s v="SE3_EL"/>
    <x v="9"/>
    <x v="2"/>
    <x v="0"/>
    <x v="0"/>
  </r>
  <r>
    <x v="0"/>
    <x v="0"/>
    <x v="0"/>
    <x v="5"/>
    <x v="12"/>
    <s v="SE3_EL"/>
    <x v="9"/>
    <x v="3"/>
    <x v="0"/>
    <x v="0"/>
  </r>
  <r>
    <x v="0"/>
    <x v="0"/>
    <x v="0"/>
    <x v="5"/>
    <x v="12"/>
    <s v="SE3_EL"/>
    <x v="9"/>
    <x v="4"/>
    <x v="0"/>
    <x v="0"/>
  </r>
  <r>
    <x v="0"/>
    <x v="0"/>
    <x v="0"/>
    <x v="5"/>
    <x v="12"/>
    <s v="SE3_EL"/>
    <x v="9"/>
    <x v="5"/>
    <x v="0"/>
    <x v="0"/>
  </r>
  <r>
    <x v="0"/>
    <x v="0"/>
    <x v="0"/>
    <x v="5"/>
    <x v="12"/>
    <s v="SE3_EL"/>
    <x v="9"/>
    <x v="6"/>
    <x v="0"/>
    <x v="0"/>
  </r>
  <r>
    <x v="0"/>
    <x v="0"/>
    <x v="0"/>
    <x v="5"/>
    <x v="12"/>
    <s v="SE3_EL"/>
    <x v="9"/>
    <x v="7"/>
    <x v="0"/>
    <x v="0"/>
  </r>
  <r>
    <x v="0"/>
    <x v="0"/>
    <x v="0"/>
    <x v="5"/>
    <x v="12"/>
    <s v="SE3_EL"/>
    <x v="9"/>
    <x v="8"/>
    <x v="0"/>
    <x v="0"/>
  </r>
  <r>
    <x v="0"/>
    <x v="0"/>
    <x v="0"/>
    <x v="5"/>
    <x v="12"/>
    <s v="SE3_EL"/>
    <x v="9"/>
    <x v="9"/>
    <x v="0"/>
    <x v="0"/>
  </r>
  <r>
    <x v="0"/>
    <x v="0"/>
    <x v="0"/>
    <x v="5"/>
    <x v="12"/>
    <s v="SE3_EL"/>
    <x v="9"/>
    <x v="10"/>
    <x v="0"/>
    <x v="0"/>
  </r>
  <r>
    <x v="0"/>
    <x v="0"/>
    <x v="0"/>
    <x v="5"/>
    <x v="12"/>
    <s v="SE3_EL"/>
    <x v="9"/>
    <x v="11"/>
    <x v="0"/>
    <x v="0"/>
  </r>
  <r>
    <x v="0"/>
    <x v="0"/>
    <x v="0"/>
    <x v="5"/>
    <x v="12"/>
    <s v="SE3_EL"/>
    <x v="10"/>
    <x v="0"/>
    <x v="0"/>
    <x v="0"/>
  </r>
  <r>
    <x v="0"/>
    <x v="0"/>
    <x v="0"/>
    <x v="5"/>
    <x v="12"/>
    <s v="SE3_EL"/>
    <x v="10"/>
    <x v="1"/>
    <x v="0"/>
    <x v="0"/>
  </r>
  <r>
    <x v="0"/>
    <x v="0"/>
    <x v="0"/>
    <x v="5"/>
    <x v="12"/>
    <s v="SE3_EL"/>
    <x v="10"/>
    <x v="2"/>
    <x v="0"/>
    <x v="0"/>
  </r>
  <r>
    <x v="0"/>
    <x v="0"/>
    <x v="0"/>
    <x v="5"/>
    <x v="12"/>
    <s v="SE3_EL"/>
    <x v="10"/>
    <x v="3"/>
    <x v="0"/>
    <x v="0"/>
  </r>
  <r>
    <x v="0"/>
    <x v="0"/>
    <x v="0"/>
    <x v="5"/>
    <x v="12"/>
    <s v="SE3_EL"/>
    <x v="10"/>
    <x v="4"/>
    <x v="0"/>
    <x v="0"/>
  </r>
  <r>
    <x v="0"/>
    <x v="0"/>
    <x v="0"/>
    <x v="5"/>
    <x v="12"/>
    <s v="SE3_EL"/>
    <x v="10"/>
    <x v="5"/>
    <x v="0"/>
    <x v="0"/>
  </r>
  <r>
    <x v="0"/>
    <x v="0"/>
    <x v="0"/>
    <x v="5"/>
    <x v="12"/>
    <s v="SE3_EL"/>
    <x v="10"/>
    <x v="6"/>
    <x v="0"/>
    <x v="0"/>
  </r>
  <r>
    <x v="0"/>
    <x v="0"/>
    <x v="0"/>
    <x v="5"/>
    <x v="12"/>
    <s v="SE3_EL"/>
    <x v="10"/>
    <x v="7"/>
    <x v="0"/>
    <x v="0"/>
  </r>
  <r>
    <x v="0"/>
    <x v="0"/>
    <x v="0"/>
    <x v="5"/>
    <x v="12"/>
    <s v="SE3_EL"/>
    <x v="10"/>
    <x v="8"/>
    <x v="0"/>
    <x v="0"/>
  </r>
  <r>
    <x v="0"/>
    <x v="0"/>
    <x v="0"/>
    <x v="5"/>
    <x v="12"/>
    <s v="SE3_EL"/>
    <x v="10"/>
    <x v="9"/>
    <x v="0"/>
    <x v="0"/>
  </r>
  <r>
    <x v="0"/>
    <x v="0"/>
    <x v="0"/>
    <x v="5"/>
    <x v="12"/>
    <s v="SE3_EL"/>
    <x v="10"/>
    <x v="10"/>
    <x v="0"/>
    <x v="0"/>
  </r>
  <r>
    <x v="0"/>
    <x v="0"/>
    <x v="0"/>
    <x v="5"/>
    <x v="12"/>
    <s v="SE3_EL"/>
    <x v="10"/>
    <x v="11"/>
    <x v="0"/>
    <x v="0"/>
  </r>
  <r>
    <x v="0"/>
    <x v="0"/>
    <x v="0"/>
    <x v="5"/>
    <x v="12"/>
    <s v="SE3_EL"/>
    <x v="11"/>
    <x v="0"/>
    <x v="0"/>
    <x v="0"/>
  </r>
  <r>
    <x v="0"/>
    <x v="0"/>
    <x v="0"/>
    <x v="5"/>
    <x v="12"/>
    <s v="SE3_EL"/>
    <x v="11"/>
    <x v="1"/>
    <x v="0"/>
    <x v="0"/>
  </r>
  <r>
    <x v="0"/>
    <x v="0"/>
    <x v="0"/>
    <x v="5"/>
    <x v="12"/>
    <s v="SE3_EL"/>
    <x v="11"/>
    <x v="2"/>
    <x v="0"/>
    <x v="0"/>
  </r>
  <r>
    <x v="0"/>
    <x v="0"/>
    <x v="0"/>
    <x v="5"/>
    <x v="12"/>
    <s v="SE3_EL"/>
    <x v="11"/>
    <x v="3"/>
    <x v="0"/>
    <x v="0"/>
  </r>
  <r>
    <x v="0"/>
    <x v="0"/>
    <x v="0"/>
    <x v="5"/>
    <x v="12"/>
    <s v="SE3_EL"/>
    <x v="11"/>
    <x v="4"/>
    <x v="0"/>
    <x v="0"/>
  </r>
  <r>
    <x v="0"/>
    <x v="0"/>
    <x v="0"/>
    <x v="5"/>
    <x v="12"/>
    <s v="SE3_EL"/>
    <x v="11"/>
    <x v="5"/>
    <x v="0"/>
    <x v="0"/>
  </r>
  <r>
    <x v="0"/>
    <x v="0"/>
    <x v="0"/>
    <x v="5"/>
    <x v="12"/>
    <s v="SE3_EL"/>
    <x v="11"/>
    <x v="6"/>
    <x v="0"/>
    <x v="0"/>
  </r>
  <r>
    <x v="0"/>
    <x v="0"/>
    <x v="0"/>
    <x v="5"/>
    <x v="12"/>
    <s v="SE3_EL"/>
    <x v="11"/>
    <x v="7"/>
    <x v="0"/>
    <x v="0"/>
  </r>
  <r>
    <x v="0"/>
    <x v="0"/>
    <x v="0"/>
    <x v="5"/>
    <x v="12"/>
    <s v="SE3_EL"/>
    <x v="11"/>
    <x v="8"/>
    <x v="0"/>
    <x v="0"/>
  </r>
  <r>
    <x v="0"/>
    <x v="0"/>
    <x v="0"/>
    <x v="5"/>
    <x v="12"/>
    <s v="SE3_EL"/>
    <x v="11"/>
    <x v="9"/>
    <x v="0"/>
    <x v="0"/>
  </r>
  <r>
    <x v="0"/>
    <x v="0"/>
    <x v="0"/>
    <x v="5"/>
    <x v="12"/>
    <s v="SE3_EL"/>
    <x v="11"/>
    <x v="10"/>
    <x v="0"/>
    <x v="0"/>
  </r>
  <r>
    <x v="0"/>
    <x v="0"/>
    <x v="0"/>
    <x v="5"/>
    <x v="12"/>
    <s v="SE3_EL"/>
    <x v="11"/>
    <x v="11"/>
    <x v="0"/>
    <x v="0"/>
  </r>
  <r>
    <x v="0"/>
    <x v="0"/>
    <x v="0"/>
    <x v="5"/>
    <x v="12"/>
    <s v="SE3_GOT"/>
    <x v="0"/>
    <x v="0"/>
    <x v="0"/>
    <x v="0"/>
  </r>
  <r>
    <x v="0"/>
    <x v="0"/>
    <x v="0"/>
    <x v="5"/>
    <x v="12"/>
    <s v="SE3_GOT"/>
    <x v="0"/>
    <x v="1"/>
    <x v="0"/>
    <x v="0"/>
  </r>
  <r>
    <x v="0"/>
    <x v="0"/>
    <x v="0"/>
    <x v="5"/>
    <x v="12"/>
    <s v="SE3_GOT"/>
    <x v="0"/>
    <x v="2"/>
    <x v="0"/>
    <x v="0"/>
  </r>
  <r>
    <x v="0"/>
    <x v="0"/>
    <x v="0"/>
    <x v="5"/>
    <x v="12"/>
    <s v="SE3_GOT"/>
    <x v="0"/>
    <x v="3"/>
    <x v="0"/>
    <x v="0"/>
  </r>
  <r>
    <x v="0"/>
    <x v="0"/>
    <x v="0"/>
    <x v="5"/>
    <x v="12"/>
    <s v="SE3_GOT"/>
    <x v="0"/>
    <x v="4"/>
    <x v="0"/>
    <x v="0"/>
  </r>
  <r>
    <x v="0"/>
    <x v="0"/>
    <x v="0"/>
    <x v="5"/>
    <x v="12"/>
    <s v="SE3_GOT"/>
    <x v="0"/>
    <x v="5"/>
    <x v="0"/>
    <x v="0"/>
  </r>
  <r>
    <x v="0"/>
    <x v="0"/>
    <x v="0"/>
    <x v="5"/>
    <x v="12"/>
    <s v="SE3_GOT"/>
    <x v="0"/>
    <x v="6"/>
    <x v="0"/>
    <x v="0"/>
  </r>
  <r>
    <x v="0"/>
    <x v="0"/>
    <x v="0"/>
    <x v="5"/>
    <x v="12"/>
    <s v="SE3_GOT"/>
    <x v="0"/>
    <x v="7"/>
    <x v="0"/>
    <x v="0"/>
  </r>
  <r>
    <x v="0"/>
    <x v="0"/>
    <x v="0"/>
    <x v="5"/>
    <x v="12"/>
    <s v="SE3_GOT"/>
    <x v="0"/>
    <x v="8"/>
    <x v="0"/>
    <x v="0"/>
  </r>
  <r>
    <x v="0"/>
    <x v="0"/>
    <x v="0"/>
    <x v="5"/>
    <x v="12"/>
    <s v="SE3_GOT"/>
    <x v="0"/>
    <x v="9"/>
    <x v="0"/>
    <x v="0"/>
  </r>
  <r>
    <x v="0"/>
    <x v="0"/>
    <x v="0"/>
    <x v="5"/>
    <x v="12"/>
    <s v="SE3_GOT"/>
    <x v="0"/>
    <x v="10"/>
    <x v="0"/>
    <x v="0"/>
  </r>
  <r>
    <x v="0"/>
    <x v="0"/>
    <x v="0"/>
    <x v="5"/>
    <x v="12"/>
    <s v="SE3_GOT"/>
    <x v="0"/>
    <x v="11"/>
    <x v="0"/>
    <x v="0"/>
  </r>
  <r>
    <x v="0"/>
    <x v="0"/>
    <x v="0"/>
    <x v="5"/>
    <x v="12"/>
    <s v="SE3_GOT"/>
    <x v="1"/>
    <x v="0"/>
    <x v="0"/>
    <x v="0"/>
  </r>
  <r>
    <x v="0"/>
    <x v="0"/>
    <x v="0"/>
    <x v="5"/>
    <x v="12"/>
    <s v="SE3_GOT"/>
    <x v="1"/>
    <x v="1"/>
    <x v="0"/>
    <x v="0"/>
  </r>
  <r>
    <x v="0"/>
    <x v="0"/>
    <x v="0"/>
    <x v="5"/>
    <x v="12"/>
    <s v="SE3_GOT"/>
    <x v="1"/>
    <x v="2"/>
    <x v="0"/>
    <x v="0"/>
  </r>
  <r>
    <x v="0"/>
    <x v="0"/>
    <x v="0"/>
    <x v="5"/>
    <x v="12"/>
    <s v="SE3_GOT"/>
    <x v="1"/>
    <x v="3"/>
    <x v="0"/>
    <x v="0"/>
  </r>
  <r>
    <x v="0"/>
    <x v="0"/>
    <x v="0"/>
    <x v="5"/>
    <x v="12"/>
    <s v="SE3_GOT"/>
    <x v="1"/>
    <x v="4"/>
    <x v="0"/>
    <x v="0"/>
  </r>
  <r>
    <x v="0"/>
    <x v="0"/>
    <x v="0"/>
    <x v="5"/>
    <x v="12"/>
    <s v="SE3_GOT"/>
    <x v="1"/>
    <x v="5"/>
    <x v="0"/>
    <x v="0"/>
  </r>
  <r>
    <x v="0"/>
    <x v="0"/>
    <x v="0"/>
    <x v="5"/>
    <x v="12"/>
    <s v="SE3_GOT"/>
    <x v="1"/>
    <x v="6"/>
    <x v="0"/>
    <x v="0"/>
  </r>
  <r>
    <x v="0"/>
    <x v="0"/>
    <x v="0"/>
    <x v="5"/>
    <x v="12"/>
    <s v="SE3_GOT"/>
    <x v="1"/>
    <x v="7"/>
    <x v="0"/>
    <x v="0"/>
  </r>
  <r>
    <x v="0"/>
    <x v="0"/>
    <x v="0"/>
    <x v="5"/>
    <x v="12"/>
    <s v="SE3_GOT"/>
    <x v="1"/>
    <x v="8"/>
    <x v="0"/>
    <x v="0"/>
  </r>
  <r>
    <x v="0"/>
    <x v="0"/>
    <x v="0"/>
    <x v="5"/>
    <x v="12"/>
    <s v="SE3_GOT"/>
    <x v="1"/>
    <x v="9"/>
    <x v="0"/>
    <x v="0"/>
  </r>
  <r>
    <x v="0"/>
    <x v="0"/>
    <x v="0"/>
    <x v="5"/>
    <x v="12"/>
    <s v="SE3_GOT"/>
    <x v="1"/>
    <x v="10"/>
    <x v="0"/>
    <x v="0"/>
  </r>
  <r>
    <x v="0"/>
    <x v="0"/>
    <x v="0"/>
    <x v="5"/>
    <x v="12"/>
    <s v="SE3_GOT"/>
    <x v="1"/>
    <x v="11"/>
    <x v="0"/>
    <x v="0"/>
  </r>
  <r>
    <x v="0"/>
    <x v="0"/>
    <x v="0"/>
    <x v="5"/>
    <x v="12"/>
    <s v="SE3_GOT"/>
    <x v="2"/>
    <x v="0"/>
    <x v="0"/>
    <x v="0"/>
  </r>
  <r>
    <x v="0"/>
    <x v="0"/>
    <x v="0"/>
    <x v="5"/>
    <x v="12"/>
    <s v="SE3_GOT"/>
    <x v="2"/>
    <x v="1"/>
    <x v="0"/>
    <x v="0"/>
  </r>
  <r>
    <x v="0"/>
    <x v="0"/>
    <x v="0"/>
    <x v="5"/>
    <x v="12"/>
    <s v="SE3_GOT"/>
    <x v="2"/>
    <x v="2"/>
    <x v="0"/>
    <x v="0"/>
  </r>
  <r>
    <x v="0"/>
    <x v="0"/>
    <x v="0"/>
    <x v="5"/>
    <x v="12"/>
    <s v="SE3_GOT"/>
    <x v="2"/>
    <x v="3"/>
    <x v="0"/>
    <x v="0"/>
  </r>
  <r>
    <x v="0"/>
    <x v="0"/>
    <x v="0"/>
    <x v="5"/>
    <x v="12"/>
    <s v="SE3_GOT"/>
    <x v="2"/>
    <x v="4"/>
    <x v="0"/>
    <x v="0"/>
  </r>
  <r>
    <x v="0"/>
    <x v="0"/>
    <x v="0"/>
    <x v="5"/>
    <x v="12"/>
    <s v="SE3_GOT"/>
    <x v="2"/>
    <x v="5"/>
    <x v="0"/>
    <x v="0"/>
  </r>
  <r>
    <x v="0"/>
    <x v="0"/>
    <x v="0"/>
    <x v="5"/>
    <x v="12"/>
    <s v="SE3_GOT"/>
    <x v="2"/>
    <x v="6"/>
    <x v="0"/>
    <x v="0"/>
  </r>
  <r>
    <x v="0"/>
    <x v="0"/>
    <x v="0"/>
    <x v="5"/>
    <x v="12"/>
    <s v="SE3_GOT"/>
    <x v="2"/>
    <x v="7"/>
    <x v="0"/>
    <x v="0"/>
  </r>
  <r>
    <x v="0"/>
    <x v="0"/>
    <x v="0"/>
    <x v="5"/>
    <x v="12"/>
    <s v="SE3_GOT"/>
    <x v="2"/>
    <x v="8"/>
    <x v="0"/>
    <x v="0"/>
  </r>
  <r>
    <x v="0"/>
    <x v="0"/>
    <x v="0"/>
    <x v="5"/>
    <x v="12"/>
    <s v="SE3_GOT"/>
    <x v="2"/>
    <x v="9"/>
    <x v="0"/>
    <x v="0"/>
  </r>
  <r>
    <x v="0"/>
    <x v="0"/>
    <x v="0"/>
    <x v="5"/>
    <x v="12"/>
    <s v="SE3_GOT"/>
    <x v="2"/>
    <x v="10"/>
    <x v="0"/>
    <x v="0"/>
  </r>
  <r>
    <x v="0"/>
    <x v="0"/>
    <x v="0"/>
    <x v="5"/>
    <x v="12"/>
    <s v="SE3_GOT"/>
    <x v="2"/>
    <x v="11"/>
    <x v="0"/>
    <x v="0"/>
  </r>
  <r>
    <x v="0"/>
    <x v="0"/>
    <x v="0"/>
    <x v="5"/>
    <x v="12"/>
    <s v="SE3_GOT"/>
    <x v="3"/>
    <x v="0"/>
    <x v="0"/>
    <x v="0"/>
  </r>
  <r>
    <x v="0"/>
    <x v="0"/>
    <x v="0"/>
    <x v="5"/>
    <x v="12"/>
    <s v="SE3_GOT"/>
    <x v="3"/>
    <x v="1"/>
    <x v="0"/>
    <x v="0"/>
  </r>
  <r>
    <x v="0"/>
    <x v="0"/>
    <x v="0"/>
    <x v="5"/>
    <x v="12"/>
    <s v="SE3_GOT"/>
    <x v="3"/>
    <x v="2"/>
    <x v="0"/>
    <x v="0"/>
  </r>
  <r>
    <x v="0"/>
    <x v="0"/>
    <x v="0"/>
    <x v="5"/>
    <x v="12"/>
    <s v="SE3_GOT"/>
    <x v="3"/>
    <x v="3"/>
    <x v="0"/>
    <x v="0"/>
  </r>
  <r>
    <x v="0"/>
    <x v="0"/>
    <x v="0"/>
    <x v="5"/>
    <x v="12"/>
    <s v="SE3_GOT"/>
    <x v="3"/>
    <x v="4"/>
    <x v="0"/>
    <x v="0"/>
  </r>
  <r>
    <x v="0"/>
    <x v="0"/>
    <x v="0"/>
    <x v="5"/>
    <x v="12"/>
    <s v="SE3_GOT"/>
    <x v="3"/>
    <x v="5"/>
    <x v="0"/>
    <x v="0"/>
  </r>
  <r>
    <x v="0"/>
    <x v="0"/>
    <x v="0"/>
    <x v="5"/>
    <x v="12"/>
    <s v="SE3_GOT"/>
    <x v="3"/>
    <x v="6"/>
    <x v="0"/>
    <x v="0"/>
  </r>
  <r>
    <x v="0"/>
    <x v="0"/>
    <x v="0"/>
    <x v="5"/>
    <x v="12"/>
    <s v="SE3_GOT"/>
    <x v="3"/>
    <x v="7"/>
    <x v="0"/>
    <x v="0"/>
  </r>
  <r>
    <x v="0"/>
    <x v="0"/>
    <x v="0"/>
    <x v="5"/>
    <x v="12"/>
    <s v="SE3_GOT"/>
    <x v="3"/>
    <x v="8"/>
    <x v="0"/>
    <x v="0"/>
  </r>
  <r>
    <x v="0"/>
    <x v="0"/>
    <x v="0"/>
    <x v="5"/>
    <x v="12"/>
    <s v="SE3_GOT"/>
    <x v="3"/>
    <x v="9"/>
    <x v="0"/>
    <x v="0"/>
  </r>
  <r>
    <x v="0"/>
    <x v="0"/>
    <x v="0"/>
    <x v="5"/>
    <x v="12"/>
    <s v="SE3_GOT"/>
    <x v="3"/>
    <x v="10"/>
    <x v="0"/>
    <x v="0"/>
  </r>
  <r>
    <x v="0"/>
    <x v="0"/>
    <x v="0"/>
    <x v="5"/>
    <x v="12"/>
    <s v="SE3_GOT"/>
    <x v="3"/>
    <x v="11"/>
    <x v="0"/>
    <x v="0"/>
  </r>
  <r>
    <x v="0"/>
    <x v="0"/>
    <x v="0"/>
    <x v="5"/>
    <x v="12"/>
    <s v="SE3_GOT"/>
    <x v="4"/>
    <x v="0"/>
    <x v="0"/>
    <x v="0"/>
  </r>
  <r>
    <x v="0"/>
    <x v="0"/>
    <x v="0"/>
    <x v="5"/>
    <x v="12"/>
    <s v="SE3_GOT"/>
    <x v="4"/>
    <x v="1"/>
    <x v="0"/>
    <x v="0"/>
  </r>
  <r>
    <x v="0"/>
    <x v="0"/>
    <x v="0"/>
    <x v="5"/>
    <x v="12"/>
    <s v="SE3_GOT"/>
    <x v="4"/>
    <x v="2"/>
    <x v="0"/>
    <x v="0"/>
  </r>
  <r>
    <x v="0"/>
    <x v="0"/>
    <x v="0"/>
    <x v="5"/>
    <x v="12"/>
    <s v="SE3_GOT"/>
    <x v="4"/>
    <x v="3"/>
    <x v="0"/>
    <x v="0"/>
  </r>
  <r>
    <x v="0"/>
    <x v="0"/>
    <x v="0"/>
    <x v="5"/>
    <x v="12"/>
    <s v="SE3_GOT"/>
    <x v="4"/>
    <x v="4"/>
    <x v="0"/>
    <x v="0"/>
  </r>
  <r>
    <x v="0"/>
    <x v="0"/>
    <x v="0"/>
    <x v="5"/>
    <x v="12"/>
    <s v="SE3_GOT"/>
    <x v="4"/>
    <x v="5"/>
    <x v="0"/>
    <x v="0"/>
  </r>
  <r>
    <x v="0"/>
    <x v="0"/>
    <x v="0"/>
    <x v="5"/>
    <x v="12"/>
    <s v="SE3_GOT"/>
    <x v="4"/>
    <x v="6"/>
    <x v="0"/>
    <x v="0"/>
  </r>
  <r>
    <x v="0"/>
    <x v="0"/>
    <x v="0"/>
    <x v="5"/>
    <x v="12"/>
    <s v="SE3_GOT"/>
    <x v="4"/>
    <x v="7"/>
    <x v="0"/>
    <x v="0"/>
  </r>
  <r>
    <x v="0"/>
    <x v="0"/>
    <x v="0"/>
    <x v="5"/>
    <x v="12"/>
    <s v="SE3_GOT"/>
    <x v="4"/>
    <x v="8"/>
    <x v="0"/>
    <x v="0"/>
  </r>
  <r>
    <x v="0"/>
    <x v="0"/>
    <x v="0"/>
    <x v="5"/>
    <x v="12"/>
    <s v="SE3_GOT"/>
    <x v="4"/>
    <x v="9"/>
    <x v="0"/>
    <x v="0"/>
  </r>
  <r>
    <x v="0"/>
    <x v="0"/>
    <x v="0"/>
    <x v="5"/>
    <x v="12"/>
    <s v="SE3_GOT"/>
    <x v="4"/>
    <x v="10"/>
    <x v="0"/>
    <x v="0"/>
  </r>
  <r>
    <x v="0"/>
    <x v="0"/>
    <x v="0"/>
    <x v="5"/>
    <x v="12"/>
    <s v="SE3_GOT"/>
    <x v="4"/>
    <x v="11"/>
    <x v="0"/>
    <x v="0"/>
  </r>
  <r>
    <x v="0"/>
    <x v="0"/>
    <x v="0"/>
    <x v="5"/>
    <x v="12"/>
    <s v="SE3_GOT"/>
    <x v="5"/>
    <x v="0"/>
    <x v="0"/>
    <x v="0"/>
  </r>
  <r>
    <x v="0"/>
    <x v="0"/>
    <x v="0"/>
    <x v="5"/>
    <x v="12"/>
    <s v="SE3_GOT"/>
    <x v="5"/>
    <x v="1"/>
    <x v="0"/>
    <x v="0"/>
  </r>
  <r>
    <x v="0"/>
    <x v="0"/>
    <x v="0"/>
    <x v="5"/>
    <x v="12"/>
    <s v="SE3_GOT"/>
    <x v="5"/>
    <x v="2"/>
    <x v="0"/>
    <x v="0"/>
  </r>
  <r>
    <x v="0"/>
    <x v="0"/>
    <x v="0"/>
    <x v="5"/>
    <x v="12"/>
    <s v="SE3_GOT"/>
    <x v="5"/>
    <x v="3"/>
    <x v="0"/>
    <x v="0"/>
  </r>
  <r>
    <x v="0"/>
    <x v="0"/>
    <x v="0"/>
    <x v="5"/>
    <x v="12"/>
    <s v="SE3_GOT"/>
    <x v="5"/>
    <x v="4"/>
    <x v="0"/>
    <x v="0"/>
  </r>
  <r>
    <x v="0"/>
    <x v="0"/>
    <x v="0"/>
    <x v="5"/>
    <x v="12"/>
    <s v="SE3_GOT"/>
    <x v="5"/>
    <x v="5"/>
    <x v="0"/>
    <x v="0"/>
  </r>
  <r>
    <x v="0"/>
    <x v="0"/>
    <x v="0"/>
    <x v="5"/>
    <x v="12"/>
    <s v="SE3_GOT"/>
    <x v="5"/>
    <x v="6"/>
    <x v="0"/>
    <x v="0"/>
  </r>
  <r>
    <x v="0"/>
    <x v="0"/>
    <x v="0"/>
    <x v="5"/>
    <x v="12"/>
    <s v="SE3_GOT"/>
    <x v="5"/>
    <x v="7"/>
    <x v="0"/>
    <x v="0"/>
  </r>
  <r>
    <x v="0"/>
    <x v="0"/>
    <x v="0"/>
    <x v="5"/>
    <x v="12"/>
    <s v="SE3_GOT"/>
    <x v="5"/>
    <x v="8"/>
    <x v="0"/>
    <x v="0"/>
  </r>
  <r>
    <x v="0"/>
    <x v="0"/>
    <x v="0"/>
    <x v="5"/>
    <x v="12"/>
    <s v="SE3_GOT"/>
    <x v="5"/>
    <x v="9"/>
    <x v="0"/>
    <x v="0"/>
  </r>
  <r>
    <x v="0"/>
    <x v="0"/>
    <x v="0"/>
    <x v="5"/>
    <x v="12"/>
    <s v="SE3_GOT"/>
    <x v="5"/>
    <x v="10"/>
    <x v="0"/>
    <x v="0"/>
  </r>
  <r>
    <x v="0"/>
    <x v="0"/>
    <x v="0"/>
    <x v="5"/>
    <x v="12"/>
    <s v="SE3_GOT"/>
    <x v="5"/>
    <x v="11"/>
    <x v="0"/>
    <x v="0"/>
  </r>
  <r>
    <x v="0"/>
    <x v="0"/>
    <x v="0"/>
    <x v="5"/>
    <x v="12"/>
    <s v="SE3_GOT"/>
    <x v="6"/>
    <x v="0"/>
    <x v="0"/>
    <x v="0"/>
  </r>
  <r>
    <x v="0"/>
    <x v="0"/>
    <x v="0"/>
    <x v="5"/>
    <x v="12"/>
    <s v="SE3_GOT"/>
    <x v="6"/>
    <x v="1"/>
    <x v="0"/>
    <x v="0"/>
  </r>
  <r>
    <x v="0"/>
    <x v="0"/>
    <x v="0"/>
    <x v="5"/>
    <x v="12"/>
    <s v="SE3_GOT"/>
    <x v="6"/>
    <x v="2"/>
    <x v="0"/>
    <x v="0"/>
  </r>
  <r>
    <x v="0"/>
    <x v="0"/>
    <x v="0"/>
    <x v="5"/>
    <x v="12"/>
    <s v="SE3_GOT"/>
    <x v="6"/>
    <x v="3"/>
    <x v="0"/>
    <x v="0"/>
  </r>
  <r>
    <x v="0"/>
    <x v="0"/>
    <x v="0"/>
    <x v="5"/>
    <x v="12"/>
    <s v="SE3_GOT"/>
    <x v="6"/>
    <x v="4"/>
    <x v="0"/>
    <x v="0"/>
  </r>
  <r>
    <x v="0"/>
    <x v="0"/>
    <x v="0"/>
    <x v="5"/>
    <x v="12"/>
    <s v="SE3_GOT"/>
    <x v="6"/>
    <x v="5"/>
    <x v="0"/>
    <x v="0"/>
  </r>
  <r>
    <x v="0"/>
    <x v="0"/>
    <x v="0"/>
    <x v="5"/>
    <x v="12"/>
    <s v="SE3_GOT"/>
    <x v="6"/>
    <x v="6"/>
    <x v="0"/>
    <x v="0"/>
  </r>
  <r>
    <x v="0"/>
    <x v="0"/>
    <x v="0"/>
    <x v="5"/>
    <x v="12"/>
    <s v="SE3_GOT"/>
    <x v="6"/>
    <x v="7"/>
    <x v="0"/>
    <x v="0"/>
  </r>
  <r>
    <x v="0"/>
    <x v="0"/>
    <x v="0"/>
    <x v="5"/>
    <x v="12"/>
    <s v="SE3_GOT"/>
    <x v="6"/>
    <x v="8"/>
    <x v="0"/>
    <x v="0"/>
  </r>
  <r>
    <x v="0"/>
    <x v="0"/>
    <x v="0"/>
    <x v="5"/>
    <x v="12"/>
    <s v="SE3_GOT"/>
    <x v="6"/>
    <x v="9"/>
    <x v="0"/>
    <x v="0"/>
  </r>
  <r>
    <x v="0"/>
    <x v="0"/>
    <x v="0"/>
    <x v="5"/>
    <x v="12"/>
    <s v="SE3_GOT"/>
    <x v="6"/>
    <x v="10"/>
    <x v="0"/>
    <x v="0"/>
  </r>
  <r>
    <x v="0"/>
    <x v="0"/>
    <x v="0"/>
    <x v="5"/>
    <x v="12"/>
    <s v="SE3_GOT"/>
    <x v="6"/>
    <x v="11"/>
    <x v="0"/>
    <x v="0"/>
  </r>
  <r>
    <x v="0"/>
    <x v="0"/>
    <x v="0"/>
    <x v="5"/>
    <x v="12"/>
    <s v="SE3_GOT"/>
    <x v="7"/>
    <x v="0"/>
    <x v="0"/>
    <x v="0"/>
  </r>
  <r>
    <x v="0"/>
    <x v="0"/>
    <x v="0"/>
    <x v="5"/>
    <x v="12"/>
    <s v="SE3_GOT"/>
    <x v="7"/>
    <x v="1"/>
    <x v="0"/>
    <x v="0"/>
  </r>
  <r>
    <x v="0"/>
    <x v="0"/>
    <x v="0"/>
    <x v="5"/>
    <x v="12"/>
    <s v="SE3_GOT"/>
    <x v="7"/>
    <x v="2"/>
    <x v="0"/>
    <x v="0"/>
  </r>
  <r>
    <x v="0"/>
    <x v="0"/>
    <x v="0"/>
    <x v="5"/>
    <x v="12"/>
    <s v="SE3_GOT"/>
    <x v="7"/>
    <x v="3"/>
    <x v="0"/>
    <x v="0"/>
  </r>
  <r>
    <x v="0"/>
    <x v="0"/>
    <x v="0"/>
    <x v="5"/>
    <x v="12"/>
    <s v="SE3_GOT"/>
    <x v="7"/>
    <x v="4"/>
    <x v="0"/>
    <x v="0"/>
  </r>
  <r>
    <x v="0"/>
    <x v="0"/>
    <x v="0"/>
    <x v="5"/>
    <x v="12"/>
    <s v="SE3_GOT"/>
    <x v="7"/>
    <x v="5"/>
    <x v="0"/>
    <x v="0"/>
  </r>
  <r>
    <x v="0"/>
    <x v="0"/>
    <x v="0"/>
    <x v="5"/>
    <x v="12"/>
    <s v="SE3_GOT"/>
    <x v="7"/>
    <x v="6"/>
    <x v="0"/>
    <x v="0"/>
  </r>
  <r>
    <x v="0"/>
    <x v="0"/>
    <x v="0"/>
    <x v="5"/>
    <x v="12"/>
    <s v="SE3_GOT"/>
    <x v="7"/>
    <x v="7"/>
    <x v="0"/>
    <x v="0"/>
  </r>
  <r>
    <x v="0"/>
    <x v="0"/>
    <x v="0"/>
    <x v="5"/>
    <x v="12"/>
    <s v="SE3_GOT"/>
    <x v="7"/>
    <x v="8"/>
    <x v="0"/>
    <x v="0"/>
  </r>
  <r>
    <x v="0"/>
    <x v="0"/>
    <x v="0"/>
    <x v="5"/>
    <x v="12"/>
    <s v="SE3_GOT"/>
    <x v="7"/>
    <x v="9"/>
    <x v="0"/>
    <x v="0"/>
  </r>
  <r>
    <x v="0"/>
    <x v="0"/>
    <x v="0"/>
    <x v="5"/>
    <x v="12"/>
    <s v="SE3_GOT"/>
    <x v="7"/>
    <x v="10"/>
    <x v="0"/>
    <x v="0"/>
  </r>
  <r>
    <x v="0"/>
    <x v="0"/>
    <x v="0"/>
    <x v="5"/>
    <x v="12"/>
    <s v="SE3_GOT"/>
    <x v="7"/>
    <x v="11"/>
    <x v="0"/>
    <x v="0"/>
  </r>
  <r>
    <x v="0"/>
    <x v="0"/>
    <x v="0"/>
    <x v="5"/>
    <x v="12"/>
    <s v="SE3_GOT"/>
    <x v="8"/>
    <x v="0"/>
    <x v="0"/>
    <x v="0"/>
  </r>
  <r>
    <x v="0"/>
    <x v="0"/>
    <x v="0"/>
    <x v="5"/>
    <x v="12"/>
    <s v="SE3_GOT"/>
    <x v="8"/>
    <x v="1"/>
    <x v="0"/>
    <x v="0"/>
  </r>
  <r>
    <x v="0"/>
    <x v="0"/>
    <x v="0"/>
    <x v="5"/>
    <x v="12"/>
    <s v="SE3_GOT"/>
    <x v="8"/>
    <x v="2"/>
    <x v="0"/>
    <x v="0"/>
  </r>
  <r>
    <x v="0"/>
    <x v="0"/>
    <x v="0"/>
    <x v="5"/>
    <x v="12"/>
    <s v="SE3_GOT"/>
    <x v="8"/>
    <x v="3"/>
    <x v="0"/>
    <x v="0"/>
  </r>
  <r>
    <x v="0"/>
    <x v="0"/>
    <x v="0"/>
    <x v="5"/>
    <x v="12"/>
    <s v="SE3_GOT"/>
    <x v="8"/>
    <x v="4"/>
    <x v="0"/>
    <x v="0"/>
  </r>
  <r>
    <x v="0"/>
    <x v="0"/>
    <x v="0"/>
    <x v="5"/>
    <x v="12"/>
    <s v="SE3_GOT"/>
    <x v="8"/>
    <x v="5"/>
    <x v="0"/>
    <x v="0"/>
  </r>
  <r>
    <x v="0"/>
    <x v="0"/>
    <x v="0"/>
    <x v="5"/>
    <x v="12"/>
    <s v="SE3_GOT"/>
    <x v="8"/>
    <x v="6"/>
    <x v="0"/>
    <x v="0"/>
  </r>
  <r>
    <x v="0"/>
    <x v="0"/>
    <x v="0"/>
    <x v="5"/>
    <x v="12"/>
    <s v="SE3_GOT"/>
    <x v="8"/>
    <x v="7"/>
    <x v="0"/>
    <x v="0"/>
  </r>
  <r>
    <x v="0"/>
    <x v="0"/>
    <x v="0"/>
    <x v="5"/>
    <x v="12"/>
    <s v="SE3_GOT"/>
    <x v="8"/>
    <x v="8"/>
    <x v="0"/>
    <x v="0"/>
  </r>
  <r>
    <x v="0"/>
    <x v="0"/>
    <x v="0"/>
    <x v="5"/>
    <x v="12"/>
    <s v="SE3_GOT"/>
    <x v="8"/>
    <x v="9"/>
    <x v="0"/>
    <x v="0"/>
  </r>
  <r>
    <x v="0"/>
    <x v="0"/>
    <x v="0"/>
    <x v="5"/>
    <x v="12"/>
    <s v="SE3_GOT"/>
    <x v="8"/>
    <x v="10"/>
    <x v="0"/>
    <x v="0"/>
  </r>
  <r>
    <x v="0"/>
    <x v="0"/>
    <x v="0"/>
    <x v="5"/>
    <x v="12"/>
    <s v="SE3_GOT"/>
    <x v="8"/>
    <x v="11"/>
    <x v="0"/>
    <x v="0"/>
  </r>
  <r>
    <x v="0"/>
    <x v="0"/>
    <x v="0"/>
    <x v="5"/>
    <x v="12"/>
    <s v="SE3_GOT"/>
    <x v="9"/>
    <x v="0"/>
    <x v="0"/>
    <x v="0"/>
  </r>
  <r>
    <x v="0"/>
    <x v="0"/>
    <x v="0"/>
    <x v="5"/>
    <x v="12"/>
    <s v="SE3_GOT"/>
    <x v="9"/>
    <x v="1"/>
    <x v="0"/>
    <x v="0"/>
  </r>
  <r>
    <x v="0"/>
    <x v="0"/>
    <x v="0"/>
    <x v="5"/>
    <x v="12"/>
    <s v="SE3_GOT"/>
    <x v="9"/>
    <x v="2"/>
    <x v="0"/>
    <x v="0"/>
  </r>
  <r>
    <x v="0"/>
    <x v="0"/>
    <x v="0"/>
    <x v="5"/>
    <x v="12"/>
    <s v="SE3_GOT"/>
    <x v="9"/>
    <x v="3"/>
    <x v="0"/>
    <x v="0"/>
  </r>
  <r>
    <x v="0"/>
    <x v="0"/>
    <x v="0"/>
    <x v="5"/>
    <x v="12"/>
    <s v="SE3_GOT"/>
    <x v="9"/>
    <x v="4"/>
    <x v="0"/>
    <x v="0"/>
  </r>
  <r>
    <x v="0"/>
    <x v="0"/>
    <x v="0"/>
    <x v="5"/>
    <x v="12"/>
    <s v="SE3_GOT"/>
    <x v="9"/>
    <x v="5"/>
    <x v="0"/>
    <x v="0"/>
  </r>
  <r>
    <x v="0"/>
    <x v="0"/>
    <x v="0"/>
    <x v="5"/>
    <x v="12"/>
    <s v="SE3_GOT"/>
    <x v="9"/>
    <x v="6"/>
    <x v="0"/>
    <x v="0"/>
  </r>
  <r>
    <x v="0"/>
    <x v="0"/>
    <x v="0"/>
    <x v="5"/>
    <x v="12"/>
    <s v="SE3_GOT"/>
    <x v="9"/>
    <x v="7"/>
    <x v="0"/>
    <x v="0"/>
  </r>
  <r>
    <x v="0"/>
    <x v="0"/>
    <x v="0"/>
    <x v="5"/>
    <x v="12"/>
    <s v="SE3_GOT"/>
    <x v="9"/>
    <x v="8"/>
    <x v="0"/>
    <x v="0"/>
  </r>
  <r>
    <x v="0"/>
    <x v="0"/>
    <x v="0"/>
    <x v="5"/>
    <x v="12"/>
    <s v="SE3_GOT"/>
    <x v="9"/>
    <x v="9"/>
    <x v="0"/>
    <x v="0"/>
  </r>
  <r>
    <x v="0"/>
    <x v="0"/>
    <x v="0"/>
    <x v="5"/>
    <x v="12"/>
    <s v="SE3_GOT"/>
    <x v="9"/>
    <x v="10"/>
    <x v="0"/>
    <x v="0"/>
  </r>
  <r>
    <x v="0"/>
    <x v="0"/>
    <x v="0"/>
    <x v="5"/>
    <x v="12"/>
    <s v="SE3_GOT"/>
    <x v="9"/>
    <x v="11"/>
    <x v="0"/>
    <x v="0"/>
  </r>
  <r>
    <x v="0"/>
    <x v="0"/>
    <x v="0"/>
    <x v="5"/>
    <x v="12"/>
    <s v="SE3_GOT"/>
    <x v="10"/>
    <x v="0"/>
    <x v="0"/>
    <x v="0"/>
  </r>
  <r>
    <x v="0"/>
    <x v="0"/>
    <x v="0"/>
    <x v="5"/>
    <x v="12"/>
    <s v="SE3_GOT"/>
    <x v="10"/>
    <x v="1"/>
    <x v="0"/>
    <x v="0"/>
  </r>
  <r>
    <x v="0"/>
    <x v="0"/>
    <x v="0"/>
    <x v="5"/>
    <x v="12"/>
    <s v="SE3_GOT"/>
    <x v="10"/>
    <x v="2"/>
    <x v="0"/>
    <x v="0"/>
  </r>
  <r>
    <x v="0"/>
    <x v="0"/>
    <x v="0"/>
    <x v="5"/>
    <x v="12"/>
    <s v="SE3_GOT"/>
    <x v="10"/>
    <x v="3"/>
    <x v="0"/>
    <x v="0"/>
  </r>
  <r>
    <x v="0"/>
    <x v="0"/>
    <x v="0"/>
    <x v="5"/>
    <x v="12"/>
    <s v="SE3_GOT"/>
    <x v="10"/>
    <x v="4"/>
    <x v="0"/>
    <x v="0"/>
  </r>
  <r>
    <x v="0"/>
    <x v="0"/>
    <x v="0"/>
    <x v="5"/>
    <x v="12"/>
    <s v="SE3_GOT"/>
    <x v="10"/>
    <x v="5"/>
    <x v="0"/>
    <x v="0"/>
  </r>
  <r>
    <x v="0"/>
    <x v="0"/>
    <x v="0"/>
    <x v="5"/>
    <x v="12"/>
    <s v="SE3_GOT"/>
    <x v="10"/>
    <x v="6"/>
    <x v="0"/>
    <x v="0"/>
  </r>
  <r>
    <x v="0"/>
    <x v="0"/>
    <x v="0"/>
    <x v="5"/>
    <x v="12"/>
    <s v="SE3_GOT"/>
    <x v="10"/>
    <x v="7"/>
    <x v="0"/>
    <x v="0"/>
  </r>
  <r>
    <x v="0"/>
    <x v="0"/>
    <x v="0"/>
    <x v="5"/>
    <x v="12"/>
    <s v="SE3_GOT"/>
    <x v="10"/>
    <x v="8"/>
    <x v="0"/>
    <x v="0"/>
  </r>
  <r>
    <x v="0"/>
    <x v="0"/>
    <x v="0"/>
    <x v="5"/>
    <x v="12"/>
    <s v="SE3_GOT"/>
    <x v="10"/>
    <x v="9"/>
    <x v="0"/>
    <x v="0"/>
  </r>
  <r>
    <x v="0"/>
    <x v="0"/>
    <x v="0"/>
    <x v="5"/>
    <x v="12"/>
    <s v="SE3_GOT"/>
    <x v="10"/>
    <x v="10"/>
    <x v="0"/>
    <x v="0"/>
  </r>
  <r>
    <x v="0"/>
    <x v="0"/>
    <x v="0"/>
    <x v="5"/>
    <x v="12"/>
    <s v="SE3_GOT"/>
    <x v="10"/>
    <x v="11"/>
    <x v="0"/>
    <x v="0"/>
  </r>
  <r>
    <x v="0"/>
    <x v="0"/>
    <x v="0"/>
    <x v="5"/>
    <x v="12"/>
    <s v="SE3_GOT"/>
    <x v="11"/>
    <x v="0"/>
    <x v="0"/>
    <x v="0"/>
  </r>
  <r>
    <x v="0"/>
    <x v="0"/>
    <x v="0"/>
    <x v="5"/>
    <x v="12"/>
    <s v="SE3_GOT"/>
    <x v="11"/>
    <x v="1"/>
    <x v="0"/>
    <x v="0"/>
  </r>
  <r>
    <x v="0"/>
    <x v="0"/>
    <x v="0"/>
    <x v="5"/>
    <x v="12"/>
    <s v="SE3_GOT"/>
    <x v="11"/>
    <x v="2"/>
    <x v="0"/>
    <x v="0"/>
  </r>
  <r>
    <x v="0"/>
    <x v="0"/>
    <x v="0"/>
    <x v="5"/>
    <x v="12"/>
    <s v="SE3_GOT"/>
    <x v="11"/>
    <x v="3"/>
    <x v="0"/>
    <x v="0"/>
  </r>
  <r>
    <x v="0"/>
    <x v="0"/>
    <x v="0"/>
    <x v="5"/>
    <x v="12"/>
    <s v="SE3_GOT"/>
    <x v="11"/>
    <x v="4"/>
    <x v="0"/>
    <x v="0"/>
  </r>
  <r>
    <x v="0"/>
    <x v="0"/>
    <x v="0"/>
    <x v="5"/>
    <x v="12"/>
    <s v="SE3_GOT"/>
    <x v="11"/>
    <x v="5"/>
    <x v="0"/>
    <x v="0"/>
  </r>
  <r>
    <x v="0"/>
    <x v="0"/>
    <x v="0"/>
    <x v="5"/>
    <x v="12"/>
    <s v="SE3_GOT"/>
    <x v="11"/>
    <x v="6"/>
    <x v="0"/>
    <x v="0"/>
  </r>
  <r>
    <x v="0"/>
    <x v="0"/>
    <x v="0"/>
    <x v="5"/>
    <x v="12"/>
    <s v="SE3_GOT"/>
    <x v="11"/>
    <x v="7"/>
    <x v="0"/>
    <x v="0"/>
  </r>
  <r>
    <x v="0"/>
    <x v="0"/>
    <x v="0"/>
    <x v="5"/>
    <x v="12"/>
    <s v="SE3_GOT"/>
    <x v="11"/>
    <x v="8"/>
    <x v="0"/>
    <x v="0"/>
  </r>
  <r>
    <x v="0"/>
    <x v="0"/>
    <x v="0"/>
    <x v="5"/>
    <x v="12"/>
    <s v="SE3_GOT"/>
    <x v="11"/>
    <x v="9"/>
    <x v="0"/>
    <x v="0"/>
  </r>
  <r>
    <x v="0"/>
    <x v="0"/>
    <x v="0"/>
    <x v="5"/>
    <x v="12"/>
    <s v="SE3_GOT"/>
    <x v="11"/>
    <x v="10"/>
    <x v="0"/>
    <x v="0"/>
  </r>
  <r>
    <x v="0"/>
    <x v="0"/>
    <x v="0"/>
    <x v="5"/>
    <x v="12"/>
    <s v="SE3_GOT"/>
    <x v="11"/>
    <x v="11"/>
    <x v="0"/>
    <x v="0"/>
  </r>
  <r>
    <x v="0"/>
    <x v="0"/>
    <x v="0"/>
    <x v="5"/>
    <x v="12"/>
    <s v="SE3_HP"/>
    <x v="0"/>
    <x v="0"/>
    <x v="0"/>
    <x v="0"/>
  </r>
  <r>
    <x v="0"/>
    <x v="0"/>
    <x v="0"/>
    <x v="5"/>
    <x v="12"/>
    <s v="SE3_HP"/>
    <x v="0"/>
    <x v="1"/>
    <x v="0"/>
    <x v="0"/>
  </r>
  <r>
    <x v="0"/>
    <x v="0"/>
    <x v="0"/>
    <x v="5"/>
    <x v="12"/>
    <s v="SE3_HP"/>
    <x v="0"/>
    <x v="2"/>
    <x v="0"/>
    <x v="0"/>
  </r>
  <r>
    <x v="0"/>
    <x v="0"/>
    <x v="0"/>
    <x v="5"/>
    <x v="12"/>
    <s v="SE3_HP"/>
    <x v="0"/>
    <x v="3"/>
    <x v="0"/>
    <x v="0"/>
  </r>
  <r>
    <x v="0"/>
    <x v="0"/>
    <x v="0"/>
    <x v="5"/>
    <x v="12"/>
    <s v="SE3_HP"/>
    <x v="0"/>
    <x v="4"/>
    <x v="0"/>
    <x v="0"/>
  </r>
  <r>
    <x v="0"/>
    <x v="0"/>
    <x v="0"/>
    <x v="5"/>
    <x v="12"/>
    <s v="SE3_HP"/>
    <x v="0"/>
    <x v="5"/>
    <x v="0"/>
    <x v="0"/>
  </r>
  <r>
    <x v="0"/>
    <x v="0"/>
    <x v="0"/>
    <x v="5"/>
    <x v="12"/>
    <s v="SE3_HP"/>
    <x v="0"/>
    <x v="6"/>
    <x v="0"/>
    <x v="0"/>
  </r>
  <r>
    <x v="0"/>
    <x v="0"/>
    <x v="0"/>
    <x v="5"/>
    <x v="12"/>
    <s v="SE3_HP"/>
    <x v="0"/>
    <x v="7"/>
    <x v="0"/>
    <x v="0"/>
  </r>
  <r>
    <x v="0"/>
    <x v="0"/>
    <x v="0"/>
    <x v="5"/>
    <x v="12"/>
    <s v="SE3_HP"/>
    <x v="0"/>
    <x v="8"/>
    <x v="0"/>
    <x v="0"/>
  </r>
  <r>
    <x v="0"/>
    <x v="0"/>
    <x v="0"/>
    <x v="5"/>
    <x v="12"/>
    <s v="SE3_HP"/>
    <x v="0"/>
    <x v="9"/>
    <x v="0"/>
    <x v="0"/>
  </r>
  <r>
    <x v="0"/>
    <x v="0"/>
    <x v="0"/>
    <x v="5"/>
    <x v="12"/>
    <s v="SE3_HP"/>
    <x v="0"/>
    <x v="10"/>
    <x v="0"/>
    <x v="0"/>
  </r>
  <r>
    <x v="0"/>
    <x v="0"/>
    <x v="0"/>
    <x v="5"/>
    <x v="12"/>
    <s v="SE3_HP"/>
    <x v="0"/>
    <x v="11"/>
    <x v="0"/>
    <x v="0"/>
  </r>
  <r>
    <x v="0"/>
    <x v="0"/>
    <x v="0"/>
    <x v="5"/>
    <x v="12"/>
    <s v="SE3_HP"/>
    <x v="1"/>
    <x v="0"/>
    <x v="0"/>
    <x v="0"/>
  </r>
  <r>
    <x v="0"/>
    <x v="0"/>
    <x v="0"/>
    <x v="5"/>
    <x v="12"/>
    <s v="SE3_HP"/>
    <x v="1"/>
    <x v="1"/>
    <x v="0"/>
    <x v="0"/>
  </r>
  <r>
    <x v="0"/>
    <x v="0"/>
    <x v="0"/>
    <x v="5"/>
    <x v="12"/>
    <s v="SE3_HP"/>
    <x v="1"/>
    <x v="2"/>
    <x v="0"/>
    <x v="0"/>
  </r>
  <r>
    <x v="0"/>
    <x v="0"/>
    <x v="0"/>
    <x v="5"/>
    <x v="12"/>
    <s v="SE3_HP"/>
    <x v="1"/>
    <x v="3"/>
    <x v="0"/>
    <x v="0"/>
  </r>
  <r>
    <x v="0"/>
    <x v="0"/>
    <x v="0"/>
    <x v="5"/>
    <x v="12"/>
    <s v="SE3_HP"/>
    <x v="1"/>
    <x v="4"/>
    <x v="0"/>
    <x v="0"/>
  </r>
  <r>
    <x v="0"/>
    <x v="0"/>
    <x v="0"/>
    <x v="5"/>
    <x v="12"/>
    <s v="SE3_HP"/>
    <x v="1"/>
    <x v="5"/>
    <x v="0"/>
    <x v="0"/>
  </r>
  <r>
    <x v="0"/>
    <x v="0"/>
    <x v="0"/>
    <x v="5"/>
    <x v="12"/>
    <s v="SE3_HP"/>
    <x v="1"/>
    <x v="6"/>
    <x v="0"/>
    <x v="0"/>
  </r>
  <r>
    <x v="0"/>
    <x v="0"/>
    <x v="0"/>
    <x v="5"/>
    <x v="12"/>
    <s v="SE3_HP"/>
    <x v="1"/>
    <x v="7"/>
    <x v="0"/>
    <x v="0"/>
  </r>
  <r>
    <x v="0"/>
    <x v="0"/>
    <x v="0"/>
    <x v="5"/>
    <x v="12"/>
    <s v="SE3_HP"/>
    <x v="1"/>
    <x v="8"/>
    <x v="0"/>
    <x v="0"/>
  </r>
  <r>
    <x v="0"/>
    <x v="0"/>
    <x v="0"/>
    <x v="5"/>
    <x v="12"/>
    <s v="SE3_HP"/>
    <x v="1"/>
    <x v="9"/>
    <x v="0"/>
    <x v="0"/>
  </r>
  <r>
    <x v="0"/>
    <x v="0"/>
    <x v="0"/>
    <x v="5"/>
    <x v="12"/>
    <s v="SE3_HP"/>
    <x v="1"/>
    <x v="10"/>
    <x v="0"/>
    <x v="0"/>
  </r>
  <r>
    <x v="0"/>
    <x v="0"/>
    <x v="0"/>
    <x v="5"/>
    <x v="12"/>
    <s v="SE3_HP"/>
    <x v="1"/>
    <x v="11"/>
    <x v="0"/>
    <x v="0"/>
  </r>
  <r>
    <x v="0"/>
    <x v="0"/>
    <x v="0"/>
    <x v="5"/>
    <x v="12"/>
    <s v="SE3_HP"/>
    <x v="2"/>
    <x v="0"/>
    <x v="0"/>
    <x v="0"/>
  </r>
  <r>
    <x v="0"/>
    <x v="0"/>
    <x v="0"/>
    <x v="5"/>
    <x v="12"/>
    <s v="SE3_HP"/>
    <x v="2"/>
    <x v="1"/>
    <x v="0"/>
    <x v="0"/>
  </r>
  <r>
    <x v="0"/>
    <x v="0"/>
    <x v="0"/>
    <x v="5"/>
    <x v="12"/>
    <s v="SE3_HP"/>
    <x v="2"/>
    <x v="2"/>
    <x v="0"/>
    <x v="0"/>
  </r>
  <r>
    <x v="0"/>
    <x v="0"/>
    <x v="0"/>
    <x v="5"/>
    <x v="12"/>
    <s v="SE3_HP"/>
    <x v="2"/>
    <x v="3"/>
    <x v="0"/>
    <x v="0"/>
  </r>
  <r>
    <x v="0"/>
    <x v="0"/>
    <x v="0"/>
    <x v="5"/>
    <x v="12"/>
    <s v="SE3_HP"/>
    <x v="2"/>
    <x v="4"/>
    <x v="0"/>
    <x v="0"/>
  </r>
  <r>
    <x v="0"/>
    <x v="0"/>
    <x v="0"/>
    <x v="5"/>
    <x v="12"/>
    <s v="SE3_HP"/>
    <x v="2"/>
    <x v="5"/>
    <x v="0"/>
    <x v="0"/>
  </r>
  <r>
    <x v="0"/>
    <x v="0"/>
    <x v="0"/>
    <x v="5"/>
    <x v="12"/>
    <s v="SE3_HP"/>
    <x v="2"/>
    <x v="6"/>
    <x v="0"/>
    <x v="0"/>
  </r>
  <r>
    <x v="0"/>
    <x v="0"/>
    <x v="0"/>
    <x v="5"/>
    <x v="12"/>
    <s v="SE3_HP"/>
    <x v="2"/>
    <x v="7"/>
    <x v="0"/>
    <x v="0"/>
  </r>
  <r>
    <x v="0"/>
    <x v="0"/>
    <x v="0"/>
    <x v="5"/>
    <x v="12"/>
    <s v="SE3_HP"/>
    <x v="2"/>
    <x v="8"/>
    <x v="0"/>
    <x v="0"/>
  </r>
  <r>
    <x v="0"/>
    <x v="0"/>
    <x v="0"/>
    <x v="5"/>
    <x v="12"/>
    <s v="SE3_HP"/>
    <x v="2"/>
    <x v="9"/>
    <x v="0"/>
    <x v="0"/>
  </r>
  <r>
    <x v="0"/>
    <x v="0"/>
    <x v="0"/>
    <x v="5"/>
    <x v="12"/>
    <s v="SE3_HP"/>
    <x v="2"/>
    <x v="10"/>
    <x v="0"/>
    <x v="0"/>
  </r>
  <r>
    <x v="0"/>
    <x v="0"/>
    <x v="0"/>
    <x v="5"/>
    <x v="12"/>
    <s v="SE3_HP"/>
    <x v="2"/>
    <x v="11"/>
    <x v="0"/>
    <x v="0"/>
  </r>
  <r>
    <x v="0"/>
    <x v="0"/>
    <x v="0"/>
    <x v="5"/>
    <x v="12"/>
    <s v="SE3_HP"/>
    <x v="3"/>
    <x v="0"/>
    <x v="0"/>
    <x v="0"/>
  </r>
  <r>
    <x v="0"/>
    <x v="0"/>
    <x v="0"/>
    <x v="5"/>
    <x v="12"/>
    <s v="SE3_HP"/>
    <x v="3"/>
    <x v="1"/>
    <x v="0"/>
    <x v="0"/>
  </r>
  <r>
    <x v="0"/>
    <x v="0"/>
    <x v="0"/>
    <x v="5"/>
    <x v="12"/>
    <s v="SE3_HP"/>
    <x v="3"/>
    <x v="2"/>
    <x v="0"/>
    <x v="0"/>
  </r>
  <r>
    <x v="0"/>
    <x v="0"/>
    <x v="0"/>
    <x v="5"/>
    <x v="12"/>
    <s v="SE3_HP"/>
    <x v="3"/>
    <x v="3"/>
    <x v="0"/>
    <x v="0"/>
  </r>
  <r>
    <x v="0"/>
    <x v="0"/>
    <x v="0"/>
    <x v="5"/>
    <x v="12"/>
    <s v="SE3_HP"/>
    <x v="3"/>
    <x v="4"/>
    <x v="0"/>
    <x v="0"/>
  </r>
  <r>
    <x v="0"/>
    <x v="0"/>
    <x v="0"/>
    <x v="5"/>
    <x v="12"/>
    <s v="SE3_HP"/>
    <x v="3"/>
    <x v="5"/>
    <x v="0"/>
    <x v="0"/>
  </r>
  <r>
    <x v="0"/>
    <x v="0"/>
    <x v="0"/>
    <x v="5"/>
    <x v="12"/>
    <s v="SE3_HP"/>
    <x v="3"/>
    <x v="6"/>
    <x v="0"/>
    <x v="0"/>
  </r>
  <r>
    <x v="0"/>
    <x v="0"/>
    <x v="0"/>
    <x v="5"/>
    <x v="12"/>
    <s v="SE3_HP"/>
    <x v="3"/>
    <x v="7"/>
    <x v="0"/>
    <x v="0"/>
  </r>
  <r>
    <x v="0"/>
    <x v="0"/>
    <x v="0"/>
    <x v="5"/>
    <x v="12"/>
    <s v="SE3_HP"/>
    <x v="3"/>
    <x v="8"/>
    <x v="0"/>
    <x v="0"/>
  </r>
  <r>
    <x v="0"/>
    <x v="0"/>
    <x v="0"/>
    <x v="5"/>
    <x v="12"/>
    <s v="SE3_HP"/>
    <x v="3"/>
    <x v="9"/>
    <x v="0"/>
    <x v="0"/>
  </r>
  <r>
    <x v="0"/>
    <x v="0"/>
    <x v="0"/>
    <x v="5"/>
    <x v="12"/>
    <s v="SE3_HP"/>
    <x v="3"/>
    <x v="10"/>
    <x v="0"/>
    <x v="0"/>
  </r>
  <r>
    <x v="0"/>
    <x v="0"/>
    <x v="0"/>
    <x v="5"/>
    <x v="12"/>
    <s v="SE3_HP"/>
    <x v="3"/>
    <x v="11"/>
    <x v="0"/>
    <x v="0"/>
  </r>
  <r>
    <x v="0"/>
    <x v="0"/>
    <x v="0"/>
    <x v="5"/>
    <x v="12"/>
    <s v="SE3_HP"/>
    <x v="4"/>
    <x v="0"/>
    <x v="0"/>
    <x v="0"/>
  </r>
  <r>
    <x v="0"/>
    <x v="0"/>
    <x v="0"/>
    <x v="5"/>
    <x v="12"/>
    <s v="SE3_HP"/>
    <x v="4"/>
    <x v="1"/>
    <x v="0"/>
    <x v="0"/>
  </r>
  <r>
    <x v="0"/>
    <x v="0"/>
    <x v="0"/>
    <x v="5"/>
    <x v="12"/>
    <s v="SE3_HP"/>
    <x v="4"/>
    <x v="2"/>
    <x v="0"/>
    <x v="0"/>
  </r>
  <r>
    <x v="0"/>
    <x v="0"/>
    <x v="0"/>
    <x v="5"/>
    <x v="12"/>
    <s v="SE3_HP"/>
    <x v="4"/>
    <x v="3"/>
    <x v="0"/>
    <x v="0"/>
  </r>
  <r>
    <x v="0"/>
    <x v="0"/>
    <x v="0"/>
    <x v="5"/>
    <x v="12"/>
    <s v="SE3_HP"/>
    <x v="4"/>
    <x v="4"/>
    <x v="0"/>
    <x v="0"/>
  </r>
  <r>
    <x v="0"/>
    <x v="0"/>
    <x v="0"/>
    <x v="5"/>
    <x v="12"/>
    <s v="SE3_HP"/>
    <x v="4"/>
    <x v="5"/>
    <x v="0"/>
    <x v="0"/>
  </r>
  <r>
    <x v="0"/>
    <x v="0"/>
    <x v="0"/>
    <x v="5"/>
    <x v="12"/>
    <s v="SE3_HP"/>
    <x v="4"/>
    <x v="6"/>
    <x v="0"/>
    <x v="0"/>
  </r>
  <r>
    <x v="0"/>
    <x v="0"/>
    <x v="0"/>
    <x v="5"/>
    <x v="12"/>
    <s v="SE3_HP"/>
    <x v="4"/>
    <x v="7"/>
    <x v="0"/>
    <x v="0"/>
  </r>
  <r>
    <x v="0"/>
    <x v="0"/>
    <x v="0"/>
    <x v="5"/>
    <x v="12"/>
    <s v="SE3_HP"/>
    <x v="4"/>
    <x v="8"/>
    <x v="0"/>
    <x v="0"/>
  </r>
  <r>
    <x v="0"/>
    <x v="0"/>
    <x v="0"/>
    <x v="5"/>
    <x v="12"/>
    <s v="SE3_HP"/>
    <x v="4"/>
    <x v="9"/>
    <x v="0"/>
    <x v="0"/>
  </r>
  <r>
    <x v="0"/>
    <x v="0"/>
    <x v="0"/>
    <x v="5"/>
    <x v="12"/>
    <s v="SE3_HP"/>
    <x v="4"/>
    <x v="10"/>
    <x v="0"/>
    <x v="0"/>
  </r>
  <r>
    <x v="0"/>
    <x v="0"/>
    <x v="0"/>
    <x v="5"/>
    <x v="12"/>
    <s v="SE3_HP"/>
    <x v="4"/>
    <x v="11"/>
    <x v="0"/>
    <x v="0"/>
  </r>
  <r>
    <x v="0"/>
    <x v="0"/>
    <x v="0"/>
    <x v="5"/>
    <x v="12"/>
    <s v="SE3_HP"/>
    <x v="5"/>
    <x v="0"/>
    <x v="0"/>
    <x v="0"/>
  </r>
  <r>
    <x v="0"/>
    <x v="0"/>
    <x v="0"/>
    <x v="5"/>
    <x v="12"/>
    <s v="SE3_HP"/>
    <x v="5"/>
    <x v="1"/>
    <x v="0"/>
    <x v="0"/>
  </r>
  <r>
    <x v="0"/>
    <x v="0"/>
    <x v="0"/>
    <x v="5"/>
    <x v="12"/>
    <s v="SE3_HP"/>
    <x v="5"/>
    <x v="2"/>
    <x v="0"/>
    <x v="0"/>
  </r>
  <r>
    <x v="0"/>
    <x v="0"/>
    <x v="0"/>
    <x v="5"/>
    <x v="12"/>
    <s v="SE3_HP"/>
    <x v="5"/>
    <x v="3"/>
    <x v="0"/>
    <x v="0"/>
  </r>
  <r>
    <x v="0"/>
    <x v="0"/>
    <x v="0"/>
    <x v="5"/>
    <x v="12"/>
    <s v="SE3_HP"/>
    <x v="5"/>
    <x v="4"/>
    <x v="0"/>
    <x v="0"/>
  </r>
  <r>
    <x v="0"/>
    <x v="0"/>
    <x v="0"/>
    <x v="5"/>
    <x v="12"/>
    <s v="SE3_HP"/>
    <x v="5"/>
    <x v="5"/>
    <x v="0"/>
    <x v="0"/>
  </r>
  <r>
    <x v="0"/>
    <x v="0"/>
    <x v="0"/>
    <x v="5"/>
    <x v="12"/>
    <s v="SE3_HP"/>
    <x v="5"/>
    <x v="6"/>
    <x v="0"/>
    <x v="0"/>
  </r>
  <r>
    <x v="0"/>
    <x v="0"/>
    <x v="0"/>
    <x v="5"/>
    <x v="12"/>
    <s v="SE3_HP"/>
    <x v="5"/>
    <x v="7"/>
    <x v="0"/>
    <x v="0"/>
  </r>
  <r>
    <x v="0"/>
    <x v="0"/>
    <x v="0"/>
    <x v="5"/>
    <x v="12"/>
    <s v="SE3_HP"/>
    <x v="5"/>
    <x v="8"/>
    <x v="0"/>
    <x v="0"/>
  </r>
  <r>
    <x v="0"/>
    <x v="0"/>
    <x v="0"/>
    <x v="5"/>
    <x v="12"/>
    <s v="SE3_HP"/>
    <x v="5"/>
    <x v="9"/>
    <x v="0"/>
    <x v="0"/>
  </r>
  <r>
    <x v="0"/>
    <x v="0"/>
    <x v="0"/>
    <x v="5"/>
    <x v="12"/>
    <s v="SE3_HP"/>
    <x v="5"/>
    <x v="10"/>
    <x v="0"/>
    <x v="0"/>
  </r>
  <r>
    <x v="0"/>
    <x v="0"/>
    <x v="0"/>
    <x v="5"/>
    <x v="12"/>
    <s v="SE3_HP"/>
    <x v="5"/>
    <x v="11"/>
    <x v="0"/>
    <x v="0"/>
  </r>
  <r>
    <x v="0"/>
    <x v="0"/>
    <x v="0"/>
    <x v="5"/>
    <x v="12"/>
    <s v="SE3_HP"/>
    <x v="6"/>
    <x v="0"/>
    <x v="0"/>
    <x v="0"/>
  </r>
  <r>
    <x v="0"/>
    <x v="0"/>
    <x v="0"/>
    <x v="5"/>
    <x v="12"/>
    <s v="SE3_HP"/>
    <x v="6"/>
    <x v="1"/>
    <x v="0"/>
    <x v="0"/>
  </r>
  <r>
    <x v="0"/>
    <x v="0"/>
    <x v="0"/>
    <x v="5"/>
    <x v="12"/>
    <s v="SE3_HP"/>
    <x v="6"/>
    <x v="2"/>
    <x v="0"/>
    <x v="0"/>
  </r>
  <r>
    <x v="0"/>
    <x v="0"/>
    <x v="0"/>
    <x v="5"/>
    <x v="12"/>
    <s v="SE3_HP"/>
    <x v="6"/>
    <x v="3"/>
    <x v="0"/>
    <x v="0"/>
  </r>
  <r>
    <x v="0"/>
    <x v="0"/>
    <x v="0"/>
    <x v="5"/>
    <x v="12"/>
    <s v="SE3_HP"/>
    <x v="6"/>
    <x v="4"/>
    <x v="0"/>
    <x v="0"/>
  </r>
  <r>
    <x v="0"/>
    <x v="0"/>
    <x v="0"/>
    <x v="5"/>
    <x v="12"/>
    <s v="SE3_HP"/>
    <x v="6"/>
    <x v="5"/>
    <x v="0"/>
    <x v="0"/>
  </r>
  <r>
    <x v="0"/>
    <x v="0"/>
    <x v="0"/>
    <x v="5"/>
    <x v="12"/>
    <s v="SE3_HP"/>
    <x v="6"/>
    <x v="6"/>
    <x v="0"/>
    <x v="0"/>
  </r>
  <r>
    <x v="0"/>
    <x v="0"/>
    <x v="0"/>
    <x v="5"/>
    <x v="12"/>
    <s v="SE3_HP"/>
    <x v="6"/>
    <x v="7"/>
    <x v="0"/>
    <x v="0"/>
  </r>
  <r>
    <x v="0"/>
    <x v="0"/>
    <x v="0"/>
    <x v="5"/>
    <x v="12"/>
    <s v="SE3_HP"/>
    <x v="6"/>
    <x v="8"/>
    <x v="0"/>
    <x v="0"/>
  </r>
  <r>
    <x v="0"/>
    <x v="0"/>
    <x v="0"/>
    <x v="5"/>
    <x v="12"/>
    <s v="SE3_HP"/>
    <x v="6"/>
    <x v="9"/>
    <x v="0"/>
    <x v="0"/>
  </r>
  <r>
    <x v="0"/>
    <x v="0"/>
    <x v="0"/>
    <x v="5"/>
    <x v="12"/>
    <s v="SE3_HP"/>
    <x v="6"/>
    <x v="10"/>
    <x v="0"/>
    <x v="0"/>
  </r>
  <r>
    <x v="0"/>
    <x v="0"/>
    <x v="0"/>
    <x v="5"/>
    <x v="12"/>
    <s v="SE3_HP"/>
    <x v="6"/>
    <x v="11"/>
    <x v="0"/>
    <x v="0"/>
  </r>
  <r>
    <x v="0"/>
    <x v="0"/>
    <x v="0"/>
    <x v="5"/>
    <x v="12"/>
    <s v="SE3_HP"/>
    <x v="7"/>
    <x v="0"/>
    <x v="0"/>
    <x v="0"/>
  </r>
  <r>
    <x v="0"/>
    <x v="0"/>
    <x v="0"/>
    <x v="5"/>
    <x v="12"/>
    <s v="SE3_HP"/>
    <x v="7"/>
    <x v="1"/>
    <x v="0"/>
    <x v="0"/>
  </r>
  <r>
    <x v="0"/>
    <x v="0"/>
    <x v="0"/>
    <x v="5"/>
    <x v="12"/>
    <s v="SE3_HP"/>
    <x v="7"/>
    <x v="2"/>
    <x v="0"/>
    <x v="0"/>
  </r>
  <r>
    <x v="0"/>
    <x v="0"/>
    <x v="0"/>
    <x v="5"/>
    <x v="12"/>
    <s v="SE3_HP"/>
    <x v="7"/>
    <x v="3"/>
    <x v="0"/>
    <x v="0"/>
  </r>
  <r>
    <x v="0"/>
    <x v="0"/>
    <x v="0"/>
    <x v="5"/>
    <x v="12"/>
    <s v="SE3_HP"/>
    <x v="7"/>
    <x v="4"/>
    <x v="0"/>
    <x v="0"/>
  </r>
  <r>
    <x v="0"/>
    <x v="0"/>
    <x v="0"/>
    <x v="5"/>
    <x v="12"/>
    <s v="SE3_HP"/>
    <x v="7"/>
    <x v="5"/>
    <x v="0"/>
    <x v="0"/>
  </r>
  <r>
    <x v="0"/>
    <x v="0"/>
    <x v="0"/>
    <x v="5"/>
    <x v="12"/>
    <s v="SE3_HP"/>
    <x v="7"/>
    <x v="6"/>
    <x v="0"/>
    <x v="0"/>
  </r>
  <r>
    <x v="0"/>
    <x v="0"/>
    <x v="0"/>
    <x v="5"/>
    <x v="12"/>
    <s v="SE3_HP"/>
    <x v="7"/>
    <x v="7"/>
    <x v="0"/>
    <x v="0"/>
  </r>
  <r>
    <x v="0"/>
    <x v="0"/>
    <x v="0"/>
    <x v="5"/>
    <x v="12"/>
    <s v="SE3_HP"/>
    <x v="7"/>
    <x v="8"/>
    <x v="0"/>
    <x v="0"/>
  </r>
  <r>
    <x v="0"/>
    <x v="0"/>
    <x v="0"/>
    <x v="5"/>
    <x v="12"/>
    <s v="SE3_HP"/>
    <x v="7"/>
    <x v="9"/>
    <x v="0"/>
    <x v="0"/>
  </r>
  <r>
    <x v="0"/>
    <x v="0"/>
    <x v="0"/>
    <x v="5"/>
    <x v="12"/>
    <s v="SE3_HP"/>
    <x v="7"/>
    <x v="10"/>
    <x v="0"/>
    <x v="0"/>
  </r>
  <r>
    <x v="0"/>
    <x v="0"/>
    <x v="0"/>
    <x v="5"/>
    <x v="12"/>
    <s v="SE3_HP"/>
    <x v="7"/>
    <x v="11"/>
    <x v="0"/>
    <x v="0"/>
  </r>
  <r>
    <x v="0"/>
    <x v="0"/>
    <x v="0"/>
    <x v="5"/>
    <x v="12"/>
    <s v="SE3_HP"/>
    <x v="8"/>
    <x v="0"/>
    <x v="0"/>
    <x v="0"/>
  </r>
  <r>
    <x v="0"/>
    <x v="0"/>
    <x v="0"/>
    <x v="5"/>
    <x v="12"/>
    <s v="SE3_HP"/>
    <x v="8"/>
    <x v="1"/>
    <x v="0"/>
    <x v="0"/>
  </r>
  <r>
    <x v="0"/>
    <x v="0"/>
    <x v="0"/>
    <x v="5"/>
    <x v="12"/>
    <s v="SE3_HP"/>
    <x v="8"/>
    <x v="2"/>
    <x v="0"/>
    <x v="0"/>
  </r>
  <r>
    <x v="0"/>
    <x v="0"/>
    <x v="0"/>
    <x v="5"/>
    <x v="12"/>
    <s v="SE3_HP"/>
    <x v="8"/>
    <x v="3"/>
    <x v="0"/>
    <x v="0"/>
  </r>
  <r>
    <x v="0"/>
    <x v="0"/>
    <x v="0"/>
    <x v="5"/>
    <x v="12"/>
    <s v="SE3_HP"/>
    <x v="8"/>
    <x v="4"/>
    <x v="0"/>
    <x v="0"/>
  </r>
  <r>
    <x v="0"/>
    <x v="0"/>
    <x v="0"/>
    <x v="5"/>
    <x v="12"/>
    <s v="SE3_HP"/>
    <x v="8"/>
    <x v="5"/>
    <x v="0"/>
    <x v="0"/>
  </r>
  <r>
    <x v="0"/>
    <x v="0"/>
    <x v="0"/>
    <x v="5"/>
    <x v="12"/>
    <s v="SE3_HP"/>
    <x v="8"/>
    <x v="6"/>
    <x v="0"/>
    <x v="0"/>
  </r>
  <r>
    <x v="0"/>
    <x v="0"/>
    <x v="0"/>
    <x v="5"/>
    <x v="12"/>
    <s v="SE3_HP"/>
    <x v="8"/>
    <x v="7"/>
    <x v="0"/>
    <x v="0"/>
  </r>
  <r>
    <x v="0"/>
    <x v="0"/>
    <x v="0"/>
    <x v="5"/>
    <x v="12"/>
    <s v="SE3_HP"/>
    <x v="8"/>
    <x v="8"/>
    <x v="0"/>
    <x v="0"/>
  </r>
  <r>
    <x v="0"/>
    <x v="0"/>
    <x v="0"/>
    <x v="5"/>
    <x v="12"/>
    <s v="SE3_HP"/>
    <x v="8"/>
    <x v="9"/>
    <x v="0"/>
    <x v="0"/>
  </r>
  <r>
    <x v="0"/>
    <x v="0"/>
    <x v="0"/>
    <x v="5"/>
    <x v="12"/>
    <s v="SE3_HP"/>
    <x v="8"/>
    <x v="10"/>
    <x v="0"/>
    <x v="0"/>
  </r>
  <r>
    <x v="0"/>
    <x v="0"/>
    <x v="0"/>
    <x v="5"/>
    <x v="12"/>
    <s v="SE3_HP"/>
    <x v="8"/>
    <x v="11"/>
    <x v="0"/>
    <x v="0"/>
  </r>
  <r>
    <x v="0"/>
    <x v="0"/>
    <x v="0"/>
    <x v="5"/>
    <x v="12"/>
    <s v="SE3_HP"/>
    <x v="9"/>
    <x v="0"/>
    <x v="0"/>
    <x v="0"/>
  </r>
  <r>
    <x v="0"/>
    <x v="0"/>
    <x v="0"/>
    <x v="5"/>
    <x v="12"/>
    <s v="SE3_HP"/>
    <x v="9"/>
    <x v="1"/>
    <x v="0"/>
    <x v="0"/>
  </r>
  <r>
    <x v="0"/>
    <x v="0"/>
    <x v="0"/>
    <x v="5"/>
    <x v="12"/>
    <s v="SE3_HP"/>
    <x v="9"/>
    <x v="2"/>
    <x v="0"/>
    <x v="0"/>
  </r>
  <r>
    <x v="0"/>
    <x v="0"/>
    <x v="0"/>
    <x v="5"/>
    <x v="12"/>
    <s v="SE3_HP"/>
    <x v="9"/>
    <x v="3"/>
    <x v="0"/>
    <x v="0"/>
  </r>
  <r>
    <x v="0"/>
    <x v="0"/>
    <x v="0"/>
    <x v="5"/>
    <x v="12"/>
    <s v="SE3_HP"/>
    <x v="9"/>
    <x v="4"/>
    <x v="0"/>
    <x v="0"/>
  </r>
  <r>
    <x v="0"/>
    <x v="0"/>
    <x v="0"/>
    <x v="5"/>
    <x v="12"/>
    <s v="SE3_HP"/>
    <x v="9"/>
    <x v="5"/>
    <x v="0"/>
    <x v="0"/>
  </r>
  <r>
    <x v="0"/>
    <x v="0"/>
    <x v="0"/>
    <x v="5"/>
    <x v="12"/>
    <s v="SE3_HP"/>
    <x v="9"/>
    <x v="6"/>
    <x v="0"/>
    <x v="0"/>
  </r>
  <r>
    <x v="0"/>
    <x v="0"/>
    <x v="0"/>
    <x v="5"/>
    <x v="12"/>
    <s v="SE3_HP"/>
    <x v="9"/>
    <x v="7"/>
    <x v="0"/>
    <x v="0"/>
  </r>
  <r>
    <x v="0"/>
    <x v="0"/>
    <x v="0"/>
    <x v="5"/>
    <x v="12"/>
    <s v="SE3_HP"/>
    <x v="9"/>
    <x v="8"/>
    <x v="0"/>
    <x v="0"/>
  </r>
  <r>
    <x v="0"/>
    <x v="0"/>
    <x v="0"/>
    <x v="5"/>
    <x v="12"/>
    <s v="SE3_HP"/>
    <x v="9"/>
    <x v="9"/>
    <x v="0"/>
    <x v="0"/>
  </r>
  <r>
    <x v="0"/>
    <x v="0"/>
    <x v="0"/>
    <x v="5"/>
    <x v="12"/>
    <s v="SE3_HP"/>
    <x v="9"/>
    <x v="10"/>
    <x v="0"/>
    <x v="0"/>
  </r>
  <r>
    <x v="0"/>
    <x v="0"/>
    <x v="0"/>
    <x v="5"/>
    <x v="12"/>
    <s v="SE3_HP"/>
    <x v="9"/>
    <x v="11"/>
    <x v="0"/>
    <x v="0"/>
  </r>
  <r>
    <x v="0"/>
    <x v="0"/>
    <x v="0"/>
    <x v="5"/>
    <x v="12"/>
    <s v="SE3_HP"/>
    <x v="10"/>
    <x v="0"/>
    <x v="0"/>
    <x v="0"/>
  </r>
  <r>
    <x v="0"/>
    <x v="0"/>
    <x v="0"/>
    <x v="5"/>
    <x v="12"/>
    <s v="SE3_HP"/>
    <x v="10"/>
    <x v="1"/>
    <x v="0"/>
    <x v="0"/>
  </r>
  <r>
    <x v="0"/>
    <x v="0"/>
    <x v="0"/>
    <x v="5"/>
    <x v="12"/>
    <s v="SE3_HP"/>
    <x v="10"/>
    <x v="2"/>
    <x v="0"/>
    <x v="0"/>
  </r>
  <r>
    <x v="0"/>
    <x v="0"/>
    <x v="0"/>
    <x v="5"/>
    <x v="12"/>
    <s v="SE3_HP"/>
    <x v="10"/>
    <x v="3"/>
    <x v="0"/>
    <x v="0"/>
  </r>
  <r>
    <x v="0"/>
    <x v="0"/>
    <x v="0"/>
    <x v="5"/>
    <x v="12"/>
    <s v="SE3_HP"/>
    <x v="10"/>
    <x v="4"/>
    <x v="0"/>
    <x v="0"/>
  </r>
  <r>
    <x v="0"/>
    <x v="0"/>
    <x v="0"/>
    <x v="5"/>
    <x v="12"/>
    <s v="SE3_HP"/>
    <x v="10"/>
    <x v="5"/>
    <x v="0"/>
    <x v="0"/>
  </r>
  <r>
    <x v="0"/>
    <x v="0"/>
    <x v="0"/>
    <x v="5"/>
    <x v="12"/>
    <s v="SE3_HP"/>
    <x v="10"/>
    <x v="6"/>
    <x v="0"/>
    <x v="0"/>
  </r>
  <r>
    <x v="0"/>
    <x v="0"/>
    <x v="0"/>
    <x v="5"/>
    <x v="12"/>
    <s v="SE3_HP"/>
    <x v="10"/>
    <x v="7"/>
    <x v="0"/>
    <x v="0"/>
  </r>
  <r>
    <x v="0"/>
    <x v="0"/>
    <x v="0"/>
    <x v="5"/>
    <x v="12"/>
    <s v="SE3_HP"/>
    <x v="10"/>
    <x v="8"/>
    <x v="0"/>
    <x v="0"/>
  </r>
  <r>
    <x v="0"/>
    <x v="0"/>
    <x v="0"/>
    <x v="5"/>
    <x v="12"/>
    <s v="SE3_HP"/>
    <x v="10"/>
    <x v="9"/>
    <x v="0"/>
    <x v="0"/>
  </r>
  <r>
    <x v="0"/>
    <x v="0"/>
    <x v="0"/>
    <x v="5"/>
    <x v="12"/>
    <s v="SE3_HP"/>
    <x v="10"/>
    <x v="10"/>
    <x v="0"/>
    <x v="0"/>
  </r>
  <r>
    <x v="0"/>
    <x v="0"/>
    <x v="0"/>
    <x v="5"/>
    <x v="12"/>
    <s v="SE3_HP"/>
    <x v="10"/>
    <x v="11"/>
    <x v="0"/>
    <x v="0"/>
  </r>
  <r>
    <x v="0"/>
    <x v="0"/>
    <x v="0"/>
    <x v="5"/>
    <x v="12"/>
    <s v="SE3_HP"/>
    <x v="11"/>
    <x v="0"/>
    <x v="0"/>
    <x v="0"/>
  </r>
  <r>
    <x v="0"/>
    <x v="0"/>
    <x v="0"/>
    <x v="5"/>
    <x v="12"/>
    <s v="SE3_HP"/>
    <x v="11"/>
    <x v="1"/>
    <x v="0"/>
    <x v="0"/>
  </r>
  <r>
    <x v="0"/>
    <x v="0"/>
    <x v="0"/>
    <x v="5"/>
    <x v="12"/>
    <s v="SE3_HP"/>
    <x v="11"/>
    <x v="2"/>
    <x v="0"/>
    <x v="0"/>
  </r>
  <r>
    <x v="0"/>
    <x v="0"/>
    <x v="0"/>
    <x v="5"/>
    <x v="12"/>
    <s v="SE3_HP"/>
    <x v="11"/>
    <x v="3"/>
    <x v="0"/>
    <x v="0"/>
  </r>
  <r>
    <x v="0"/>
    <x v="0"/>
    <x v="0"/>
    <x v="5"/>
    <x v="12"/>
    <s v="SE3_HP"/>
    <x v="11"/>
    <x v="4"/>
    <x v="0"/>
    <x v="0"/>
  </r>
  <r>
    <x v="0"/>
    <x v="0"/>
    <x v="0"/>
    <x v="5"/>
    <x v="12"/>
    <s v="SE3_HP"/>
    <x v="11"/>
    <x v="5"/>
    <x v="0"/>
    <x v="0"/>
  </r>
  <r>
    <x v="0"/>
    <x v="0"/>
    <x v="0"/>
    <x v="5"/>
    <x v="12"/>
    <s v="SE3_HP"/>
    <x v="11"/>
    <x v="6"/>
    <x v="0"/>
    <x v="0"/>
  </r>
  <r>
    <x v="0"/>
    <x v="0"/>
    <x v="0"/>
    <x v="5"/>
    <x v="12"/>
    <s v="SE3_HP"/>
    <x v="11"/>
    <x v="7"/>
    <x v="0"/>
    <x v="0"/>
  </r>
  <r>
    <x v="0"/>
    <x v="0"/>
    <x v="0"/>
    <x v="5"/>
    <x v="12"/>
    <s v="SE3_HP"/>
    <x v="11"/>
    <x v="8"/>
    <x v="0"/>
    <x v="0"/>
  </r>
  <r>
    <x v="0"/>
    <x v="0"/>
    <x v="0"/>
    <x v="5"/>
    <x v="12"/>
    <s v="SE3_HP"/>
    <x v="11"/>
    <x v="9"/>
    <x v="0"/>
    <x v="0"/>
  </r>
  <r>
    <x v="0"/>
    <x v="0"/>
    <x v="0"/>
    <x v="5"/>
    <x v="12"/>
    <s v="SE3_HP"/>
    <x v="11"/>
    <x v="10"/>
    <x v="0"/>
    <x v="0"/>
  </r>
  <r>
    <x v="0"/>
    <x v="0"/>
    <x v="0"/>
    <x v="5"/>
    <x v="12"/>
    <s v="SE3_HP"/>
    <x v="11"/>
    <x v="11"/>
    <x v="0"/>
    <x v="0"/>
  </r>
  <r>
    <x v="0"/>
    <x v="0"/>
    <x v="0"/>
    <x v="5"/>
    <x v="12"/>
    <s v="SE3_OTHER"/>
    <x v="0"/>
    <x v="0"/>
    <x v="0"/>
    <x v="0"/>
  </r>
  <r>
    <x v="0"/>
    <x v="0"/>
    <x v="0"/>
    <x v="5"/>
    <x v="12"/>
    <s v="SE3_OTHER"/>
    <x v="0"/>
    <x v="1"/>
    <x v="0"/>
    <x v="0"/>
  </r>
  <r>
    <x v="0"/>
    <x v="0"/>
    <x v="0"/>
    <x v="5"/>
    <x v="12"/>
    <s v="SE3_OTHER"/>
    <x v="0"/>
    <x v="2"/>
    <x v="0"/>
    <x v="0"/>
  </r>
  <r>
    <x v="0"/>
    <x v="0"/>
    <x v="0"/>
    <x v="5"/>
    <x v="12"/>
    <s v="SE3_OTHER"/>
    <x v="0"/>
    <x v="3"/>
    <x v="0"/>
    <x v="0"/>
  </r>
  <r>
    <x v="0"/>
    <x v="0"/>
    <x v="0"/>
    <x v="5"/>
    <x v="12"/>
    <s v="SE3_OTHER"/>
    <x v="0"/>
    <x v="4"/>
    <x v="0"/>
    <x v="0"/>
  </r>
  <r>
    <x v="0"/>
    <x v="0"/>
    <x v="0"/>
    <x v="5"/>
    <x v="12"/>
    <s v="SE3_OTHER"/>
    <x v="0"/>
    <x v="5"/>
    <x v="0"/>
    <x v="0"/>
  </r>
  <r>
    <x v="0"/>
    <x v="0"/>
    <x v="0"/>
    <x v="5"/>
    <x v="12"/>
    <s v="SE3_OTHER"/>
    <x v="0"/>
    <x v="6"/>
    <x v="0"/>
    <x v="0"/>
  </r>
  <r>
    <x v="0"/>
    <x v="0"/>
    <x v="0"/>
    <x v="5"/>
    <x v="12"/>
    <s v="SE3_OTHER"/>
    <x v="0"/>
    <x v="7"/>
    <x v="0"/>
    <x v="0"/>
  </r>
  <r>
    <x v="0"/>
    <x v="0"/>
    <x v="0"/>
    <x v="5"/>
    <x v="12"/>
    <s v="SE3_OTHER"/>
    <x v="0"/>
    <x v="8"/>
    <x v="0"/>
    <x v="0"/>
  </r>
  <r>
    <x v="0"/>
    <x v="0"/>
    <x v="0"/>
    <x v="5"/>
    <x v="12"/>
    <s v="SE3_OTHER"/>
    <x v="0"/>
    <x v="9"/>
    <x v="0"/>
    <x v="0"/>
  </r>
  <r>
    <x v="0"/>
    <x v="0"/>
    <x v="0"/>
    <x v="5"/>
    <x v="12"/>
    <s v="SE3_OTHER"/>
    <x v="0"/>
    <x v="10"/>
    <x v="0"/>
    <x v="0"/>
  </r>
  <r>
    <x v="0"/>
    <x v="0"/>
    <x v="0"/>
    <x v="5"/>
    <x v="12"/>
    <s v="SE3_OTHER"/>
    <x v="0"/>
    <x v="11"/>
    <x v="0"/>
    <x v="0"/>
  </r>
  <r>
    <x v="0"/>
    <x v="0"/>
    <x v="0"/>
    <x v="5"/>
    <x v="12"/>
    <s v="SE3_OTHER"/>
    <x v="1"/>
    <x v="0"/>
    <x v="0"/>
    <x v="0"/>
  </r>
  <r>
    <x v="0"/>
    <x v="0"/>
    <x v="0"/>
    <x v="5"/>
    <x v="12"/>
    <s v="SE3_OTHER"/>
    <x v="1"/>
    <x v="1"/>
    <x v="0"/>
    <x v="0"/>
  </r>
  <r>
    <x v="0"/>
    <x v="0"/>
    <x v="0"/>
    <x v="5"/>
    <x v="12"/>
    <s v="SE3_OTHER"/>
    <x v="1"/>
    <x v="2"/>
    <x v="0"/>
    <x v="0"/>
  </r>
  <r>
    <x v="0"/>
    <x v="0"/>
    <x v="0"/>
    <x v="5"/>
    <x v="12"/>
    <s v="SE3_OTHER"/>
    <x v="1"/>
    <x v="3"/>
    <x v="0"/>
    <x v="0"/>
  </r>
  <r>
    <x v="0"/>
    <x v="0"/>
    <x v="0"/>
    <x v="5"/>
    <x v="12"/>
    <s v="SE3_OTHER"/>
    <x v="1"/>
    <x v="4"/>
    <x v="0"/>
    <x v="0"/>
  </r>
  <r>
    <x v="0"/>
    <x v="0"/>
    <x v="0"/>
    <x v="5"/>
    <x v="12"/>
    <s v="SE3_OTHER"/>
    <x v="1"/>
    <x v="5"/>
    <x v="0"/>
    <x v="0"/>
  </r>
  <r>
    <x v="0"/>
    <x v="0"/>
    <x v="0"/>
    <x v="5"/>
    <x v="12"/>
    <s v="SE3_OTHER"/>
    <x v="1"/>
    <x v="6"/>
    <x v="0"/>
    <x v="0"/>
  </r>
  <r>
    <x v="0"/>
    <x v="0"/>
    <x v="0"/>
    <x v="5"/>
    <x v="12"/>
    <s v="SE3_OTHER"/>
    <x v="1"/>
    <x v="7"/>
    <x v="0"/>
    <x v="0"/>
  </r>
  <r>
    <x v="0"/>
    <x v="0"/>
    <x v="0"/>
    <x v="5"/>
    <x v="12"/>
    <s v="SE3_OTHER"/>
    <x v="1"/>
    <x v="8"/>
    <x v="0"/>
    <x v="0"/>
  </r>
  <r>
    <x v="0"/>
    <x v="0"/>
    <x v="0"/>
    <x v="5"/>
    <x v="12"/>
    <s v="SE3_OTHER"/>
    <x v="1"/>
    <x v="9"/>
    <x v="0"/>
    <x v="0"/>
  </r>
  <r>
    <x v="0"/>
    <x v="0"/>
    <x v="0"/>
    <x v="5"/>
    <x v="12"/>
    <s v="SE3_OTHER"/>
    <x v="1"/>
    <x v="10"/>
    <x v="0"/>
    <x v="0"/>
  </r>
  <r>
    <x v="0"/>
    <x v="0"/>
    <x v="0"/>
    <x v="5"/>
    <x v="12"/>
    <s v="SE3_OTHER"/>
    <x v="1"/>
    <x v="11"/>
    <x v="0"/>
    <x v="0"/>
  </r>
  <r>
    <x v="0"/>
    <x v="0"/>
    <x v="0"/>
    <x v="5"/>
    <x v="12"/>
    <s v="SE3_OTHER"/>
    <x v="2"/>
    <x v="0"/>
    <x v="0"/>
    <x v="0"/>
  </r>
  <r>
    <x v="0"/>
    <x v="0"/>
    <x v="0"/>
    <x v="5"/>
    <x v="12"/>
    <s v="SE3_OTHER"/>
    <x v="2"/>
    <x v="1"/>
    <x v="0"/>
    <x v="0"/>
  </r>
  <r>
    <x v="0"/>
    <x v="0"/>
    <x v="0"/>
    <x v="5"/>
    <x v="12"/>
    <s v="SE3_OTHER"/>
    <x v="2"/>
    <x v="2"/>
    <x v="0"/>
    <x v="0"/>
  </r>
  <r>
    <x v="0"/>
    <x v="0"/>
    <x v="0"/>
    <x v="5"/>
    <x v="12"/>
    <s v="SE3_OTHER"/>
    <x v="2"/>
    <x v="3"/>
    <x v="0"/>
    <x v="0"/>
  </r>
  <r>
    <x v="0"/>
    <x v="0"/>
    <x v="0"/>
    <x v="5"/>
    <x v="12"/>
    <s v="SE3_OTHER"/>
    <x v="2"/>
    <x v="4"/>
    <x v="0"/>
    <x v="0"/>
  </r>
  <r>
    <x v="0"/>
    <x v="0"/>
    <x v="0"/>
    <x v="5"/>
    <x v="12"/>
    <s v="SE3_OTHER"/>
    <x v="2"/>
    <x v="5"/>
    <x v="0"/>
    <x v="0"/>
  </r>
  <r>
    <x v="0"/>
    <x v="0"/>
    <x v="0"/>
    <x v="5"/>
    <x v="12"/>
    <s v="SE3_OTHER"/>
    <x v="2"/>
    <x v="6"/>
    <x v="0"/>
    <x v="0"/>
  </r>
  <r>
    <x v="0"/>
    <x v="0"/>
    <x v="0"/>
    <x v="5"/>
    <x v="12"/>
    <s v="SE3_OTHER"/>
    <x v="2"/>
    <x v="7"/>
    <x v="0"/>
    <x v="0"/>
  </r>
  <r>
    <x v="0"/>
    <x v="0"/>
    <x v="0"/>
    <x v="5"/>
    <x v="12"/>
    <s v="SE3_OTHER"/>
    <x v="2"/>
    <x v="8"/>
    <x v="0"/>
    <x v="0"/>
  </r>
  <r>
    <x v="0"/>
    <x v="0"/>
    <x v="0"/>
    <x v="5"/>
    <x v="12"/>
    <s v="SE3_OTHER"/>
    <x v="2"/>
    <x v="9"/>
    <x v="0"/>
    <x v="0"/>
  </r>
  <r>
    <x v="0"/>
    <x v="0"/>
    <x v="0"/>
    <x v="5"/>
    <x v="12"/>
    <s v="SE3_OTHER"/>
    <x v="2"/>
    <x v="10"/>
    <x v="0"/>
    <x v="0"/>
  </r>
  <r>
    <x v="0"/>
    <x v="0"/>
    <x v="0"/>
    <x v="5"/>
    <x v="12"/>
    <s v="SE3_OTHER"/>
    <x v="2"/>
    <x v="11"/>
    <x v="0"/>
    <x v="0"/>
  </r>
  <r>
    <x v="0"/>
    <x v="0"/>
    <x v="0"/>
    <x v="5"/>
    <x v="12"/>
    <s v="SE3_OTHER"/>
    <x v="3"/>
    <x v="0"/>
    <x v="0"/>
    <x v="0"/>
  </r>
  <r>
    <x v="0"/>
    <x v="0"/>
    <x v="0"/>
    <x v="5"/>
    <x v="12"/>
    <s v="SE3_OTHER"/>
    <x v="3"/>
    <x v="1"/>
    <x v="0"/>
    <x v="0"/>
  </r>
  <r>
    <x v="0"/>
    <x v="0"/>
    <x v="0"/>
    <x v="5"/>
    <x v="12"/>
    <s v="SE3_OTHER"/>
    <x v="3"/>
    <x v="2"/>
    <x v="0"/>
    <x v="0"/>
  </r>
  <r>
    <x v="0"/>
    <x v="0"/>
    <x v="0"/>
    <x v="5"/>
    <x v="12"/>
    <s v="SE3_OTHER"/>
    <x v="3"/>
    <x v="3"/>
    <x v="0"/>
    <x v="0"/>
  </r>
  <r>
    <x v="0"/>
    <x v="0"/>
    <x v="0"/>
    <x v="5"/>
    <x v="12"/>
    <s v="SE3_OTHER"/>
    <x v="3"/>
    <x v="4"/>
    <x v="0"/>
    <x v="0"/>
  </r>
  <r>
    <x v="0"/>
    <x v="0"/>
    <x v="0"/>
    <x v="5"/>
    <x v="12"/>
    <s v="SE3_OTHER"/>
    <x v="3"/>
    <x v="5"/>
    <x v="0"/>
    <x v="0"/>
  </r>
  <r>
    <x v="0"/>
    <x v="0"/>
    <x v="0"/>
    <x v="5"/>
    <x v="12"/>
    <s v="SE3_OTHER"/>
    <x v="3"/>
    <x v="6"/>
    <x v="0"/>
    <x v="0"/>
  </r>
  <r>
    <x v="0"/>
    <x v="0"/>
    <x v="0"/>
    <x v="5"/>
    <x v="12"/>
    <s v="SE3_OTHER"/>
    <x v="3"/>
    <x v="7"/>
    <x v="0"/>
    <x v="0"/>
  </r>
  <r>
    <x v="0"/>
    <x v="0"/>
    <x v="0"/>
    <x v="5"/>
    <x v="12"/>
    <s v="SE3_OTHER"/>
    <x v="3"/>
    <x v="8"/>
    <x v="0"/>
    <x v="0"/>
  </r>
  <r>
    <x v="0"/>
    <x v="0"/>
    <x v="0"/>
    <x v="5"/>
    <x v="12"/>
    <s v="SE3_OTHER"/>
    <x v="3"/>
    <x v="9"/>
    <x v="0"/>
    <x v="0"/>
  </r>
  <r>
    <x v="0"/>
    <x v="0"/>
    <x v="0"/>
    <x v="5"/>
    <x v="12"/>
    <s v="SE3_OTHER"/>
    <x v="3"/>
    <x v="10"/>
    <x v="0"/>
    <x v="0"/>
  </r>
  <r>
    <x v="0"/>
    <x v="0"/>
    <x v="0"/>
    <x v="5"/>
    <x v="12"/>
    <s v="SE3_OTHER"/>
    <x v="3"/>
    <x v="11"/>
    <x v="0"/>
    <x v="0"/>
  </r>
  <r>
    <x v="0"/>
    <x v="0"/>
    <x v="0"/>
    <x v="5"/>
    <x v="12"/>
    <s v="SE3_OTHER"/>
    <x v="4"/>
    <x v="0"/>
    <x v="0"/>
    <x v="0"/>
  </r>
  <r>
    <x v="0"/>
    <x v="0"/>
    <x v="0"/>
    <x v="5"/>
    <x v="12"/>
    <s v="SE3_OTHER"/>
    <x v="4"/>
    <x v="1"/>
    <x v="0"/>
    <x v="0"/>
  </r>
  <r>
    <x v="0"/>
    <x v="0"/>
    <x v="0"/>
    <x v="5"/>
    <x v="12"/>
    <s v="SE3_OTHER"/>
    <x v="4"/>
    <x v="2"/>
    <x v="0"/>
    <x v="0"/>
  </r>
  <r>
    <x v="0"/>
    <x v="0"/>
    <x v="0"/>
    <x v="5"/>
    <x v="12"/>
    <s v="SE3_OTHER"/>
    <x v="4"/>
    <x v="3"/>
    <x v="0"/>
    <x v="0"/>
  </r>
  <r>
    <x v="0"/>
    <x v="0"/>
    <x v="0"/>
    <x v="5"/>
    <x v="12"/>
    <s v="SE3_OTHER"/>
    <x v="4"/>
    <x v="4"/>
    <x v="0"/>
    <x v="0"/>
  </r>
  <r>
    <x v="0"/>
    <x v="0"/>
    <x v="0"/>
    <x v="5"/>
    <x v="12"/>
    <s v="SE3_OTHER"/>
    <x v="4"/>
    <x v="5"/>
    <x v="0"/>
    <x v="0"/>
  </r>
  <r>
    <x v="0"/>
    <x v="0"/>
    <x v="0"/>
    <x v="5"/>
    <x v="12"/>
    <s v="SE3_OTHER"/>
    <x v="4"/>
    <x v="6"/>
    <x v="0"/>
    <x v="0"/>
  </r>
  <r>
    <x v="0"/>
    <x v="0"/>
    <x v="0"/>
    <x v="5"/>
    <x v="12"/>
    <s v="SE3_OTHER"/>
    <x v="4"/>
    <x v="7"/>
    <x v="0"/>
    <x v="0"/>
  </r>
  <r>
    <x v="0"/>
    <x v="0"/>
    <x v="0"/>
    <x v="5"/>
    <x v="12"/>
    <s v="SE3_OTHER"/>
    <x v="4"/>
    <x v="8"/>
    <x v="0"/>
    <x v="0"/>
  </r>
  <r>
    <x v="0"/>
    <x v="0"/>
    <x v="0"/>
    <x v="5"/>
    <x v="12"/>
    <s v="SE3_OTHER"/>
    <x v="4"/>
    <x v="9"/>
    <x v="0"/>
    <x v="0"/>
  </r>
  <r>
    <x v="0"/>
    <x v="0"/>
    <x v="0"/>
    <x v="5"/>
    <x v="12"/>
    <s v="SE3_OTHER"/>
    <x v="4"/>
    <x v="10"/>
    <x v="0"/>
    <x v="0"/>
  </r>
  <r>
    <x v="0"/>
    <x v="0"/>
    <x v="0"/>
    <x v="5"/>
    <x v="12"/>
    <s v="SE3_OTHER"/>
    <x v="4"/>
    <x v="11"/>
    <x v="0"/>
    <x v="0"/>
  </r>
  <r>
    <x v="0"/>
    <x v="0"/>
    <x v="0"/>
    <x v="5"/>
    <x v="12"/>
    <s v="SE3_OTHER"/>
    <x v="5"/>
    <x v="0"/>
    <x v="0"/>
    <x v="0"/>
  </r>
  <r>
    <x v="0"/>
    <x v="0"/>
    <x v="0"/>
    <x v="5"/>
    <x v="12"/>
    <s v="SE3_OTHER"/>
    <x v="5"/>
    <x v="1"/>
    <x v="0"/>
    <x v="0"/>
  </r>
  <r>
    <x v="0"/>
    <x v="0"/>
    <x v="0"/>
    <x v="5"/>
    <x v="12"/>
    <s v="SE3_OTHER"/>
    <x v="5"/>
    <x v="2"/>
    <x v="0"/>
    <x v="0"/>
  </r>
  <r>
    <x v="0"/>
    <x v="0"/>
    <x v="0"/>
    <x v="5"/>
    <x v="12"/>
    <s v="SE3_OTHER"/>
    <x v="5"/>
    <x v="3"/>
    <x v="0"/>
    <x v="0"/>
  </r>
  <r>
    <x v="0"/>
    <x v="0"/>
    <x v="0"/>
    <x v="5"/>
    <x v="12"/>
    <s v="SE3_OTHER"/>
    <x v="5"/>
    <x v="4"/>
    <x v="0"/>
    <x v="0"/>
  </r>
  <r>
    <x v="0"/>
    <x v="0"/>
    <x v="0"/>
    <x v="5"/>
    <x v="12"/>
    <s v="SE3_OTHER"/>
    <x v="5"/>
    <x v="5"/>
    <x v="0"/>
    <x v="0"/>
  </r>
  <r>
    <x v="0"/>
    <x v="0"/>
    <x v="0"/>
    <x v="5"/>
    <x v="12"/>
    <s v="SE3_OTHER"/>
    <x v="5"/>
    <x v="6"/>
    <x v="0"/>
    <x v="0"/>
  </r>
  <r>
    <x v="0"/>
    <x v="0"/>
    <x v="0"/>
    <x v="5"/>
    <x v="12"/>
    <s v="SE3_OTHER"/>
    <x v="5"/>
    <x v="7"/>
    <x v="0"/>
    <x v="0"/>
  </r>
  <r>
    <x v="0"/>
    <x v="0"/>
    <x v="0"/>
    <x v="5"/>
    <x v="12"/>
    <s v="SE3_OTHER"/>
    <x v="5"/>
    <x v="8"/>
    <x v="0"/>
    <x v="0"/>
  </r>
  <r>
    <x v="0"/>
    <x v="0"/>
    <x v="0"/>
    <x v="5"/>
    <x v="12"/>
    <s v="SE3_OTHER"/>
    <x v="5"/>
    <x v="9"/>
    <x v="0"/>
    <x v="0"/>
  </r>
  <r>
    <x v="0"/>
    <x v="0"/>
    <x v="0"/>
    <x v="5"/>
    <x v="12"/>
    <s v="SE3_OTHER"/>
    <x v="5"/>
    <x v="10"/>
    <x v="0"/>
    <x v="0"/>
  </r>
  <r>
    <x v="0"/>
    <x v="0"/>
    <x v="0"/>
    <x v="5"/>
    <x v="12"/>
    <s v="SE3_OTHER"/>
    <x v="5"/>
    <x v="11"/>
    <x v="0"/>
    <x v="0"/>
  </r>
  <r>
    <x v="0"/>
    <x v="0"/>
    <x v="0"/>
    <x v="5"/>
    <x v="12"/>
    <s v="SE3_OTHER"/>
    <x v="6"/>
    <x v="0"/>
    <x v="0"/>
    <x v="0"/>
  </r>
  <r>
    <x v="0"/>
    <x v="0"/>
    <x v="0"/>
    <x v="5"/>
    <x v="12"/>
    <s v="SE3_OTHER"/>
    <x v="6"/>
    <x v="1"/>
    <x v="0"/>
    <x v="0"/>
  </r>
  <r>
    <x v="0"/>
    <x v="0"/>
    <x v="0"/>
    <x v="5"/>
    <x v="12"/>
    <s v="SE3_OTHER"/>
    <x v="6"/>
    <x v="2"/>
    <x v="0"/>
    <x v="0"/>
  </r>
  <r>
    <x v="0"/>
    <x v="0"/>
    <x v="0"/>
    <x v="5"/>
    <x v="12"/>
    <s v="SE3_OTHER"/>
    <x v="6"/>
    <x v="3"/>
    <x v="0"/>
    <x v="0"/>
  </r>
  <r>
    <x v="0"/>
    <x v="0"/>
    <x v="0"/>
    <x v="5"/>
    <x v="12"/>
    <s v="SE3_OTHER"/>
    <x v="6"/>
    <x v="4"/>
    <x v="0"/>
    <x v="0"/>
  </r>
  <r>
    <x v="0"/>
    <x v="0"/>
    <x v="0"/>
    <x v="5"/>
    <x v="12"/>
    <s v="SE3_OTHER"/>
    <x v="6"/>
    <x v="5"/>
    <x v="0"/>
    <x v="0"/>
  </r>
  <r>
    <x v="0"/>
    <x v="0"/>
    <x v="0"/>
    <x v="5"/>
    <x v="12"/>
    <s v="SE3_OTHER"/>
    <x v="6"/>
    <x v="6"/>
    <x v="0"/>
    <x v="0"/>
  </r>
  <r>
    <x v="0"/>
    <x v="0"/>
    <x v="0"/>
    <x v="5"/>
    <x v="12"/>
    <s v="SE3_OTHER"/>
    <x v="6"/>
    <x v="7"/>
    <x v="0"/>
    <x v="0"/>
  </r>
  <r>
    <x v="0"/>
    <x v="0"/>
    <x v="0"/>
    <x v="5"/>
    <x v="12"/>
    <s v="SE3_OTHER"/>
    <x v="6"/>
    <x v="8"/>
    <x v="0"/>
    <x v="0"/>
  </r>
  <r>
    <x v="0"/>
    <x v="0"/>
    <x v="0"/>
    <x v="5"/>
    <x v="12"/>
    <s v="SE3_OTHER"/>
    <x v="6"/>
    <x v="9"/>
    <x v="0"/>
    <x v="0"/>
  </r>
  <r>
    <x v="0"/>
    <x v="0"/>
    <x v="0"/>
    <x v="5"/>
    <x v="12"/>
    <s v="SE3_OTHER"/>
    <x v="6"/>
    <x v="10"/>
    <x v="0"/>
    <x v="0"/>
  </r>
  <r>
    <x v="0"/>
    <x v="0"/>
    <x v="0"/>
    <x v="5"/>
    <x v="12"/>
    <s v="SE3_OTHER"/>
    <x v="6"/>
    <x v="11"/>
    <x v="0"/>
    <x v="0"/>
  </r>
  <r>
    <x v="0"/>
    <x v="0"/>
    <x v="0"/>
    <x v="5"/>
    <x v="12"/>
    <s v="SE3_OTHER"/>
    <x v="7"/>
    <x v="0"/>
    <x v="0"/>
    <x v="0"/>
  </r>
  <r>
    <x v="0"/>
    <x v="0"/>
    <x v="0"/>
    <x v="5"/>
    <x v="12"/>
    <s v="SE3_OTHER"/>
    <x v="7"/>
    <x v="1"/>
    <x v="0"/>
    <x v="0"/>
  </r>
  <r>
    <x v="0"/>
    <x v="0"/>
    <x v="0"/>
    <x v="5"/>
    <x v="12"/>
    <s v="SE3_OTHER"/>
    <x v="7"/>
    <x v="2"/>
    <x v="0"/>
    <x v="0"/>
  </r>
  <r>
    <x v="0"/>
    <x v="0"/>
    <x v="0"/>
    <x v="5"/>
    <x v="12"/>
    <s v="SE3_OTHER"/>
    <x v="7"/>
    <x v="3"/>
    <x v="0"/>
    <x v="0"/>
  </r>
  <r>
    <x v="0"/>
    <x v="0"/>
    <x v="0"/>
    <x v="5"/>
    <x v="12"/>
    <s v="SE3_OTHER"/>
    <x v="7"/>
    <x v="4"/>
    <x v="0"/>
    <x v="0"/>
  </r>
  <r>
    <x v="0"/>
    <x v="0"/>
    <x v="0"/>
    <x v="5"/>
    <x v="12"/>
    <s v="SE3_OTHER"/>
    <x v="7"/>
    <x v="5"/>
    <x v="0"/>
    <x v="0"/>
  </r>
  <r>
    <x v="0"/>
    <x v="0"/>
    <x v="0"/>
    <x v="5"/>
    <x v="12"/>
    <s v="SE3_OTHER"/>
    <x v="7"/>
    <x v="6"/>
    <x v="0"/>
    <x v="0"/>
  </r>
  <r>
    <x v="0"/>
    <x v="0"/>
    <x v="0"/>
    <x v="5"/>
    <x v="12"/>
    <s v="SE3_OTHER"/>
    <x v="7"/>
    <x v="7"/>
    <x v="0"/>
    <x v="0"/>
  </r>
  <r>
    <x v="0"/>
    <x v="0"/>
    <x v="0"/>
    <x v="5"/>
    <x v="12"/>
    <s v="SE3_OTHER"/>
    <x v="7"/>
    <x v="8"/>
    <x v="0"/>
    <x v="0"/>
  </r>
  <r>
    <x v="0"/>
    <x v="0"/>
    <x v="0"/>
    <x v="5"/>
    <x v="12"/>
    <s v="SE3_OTHER"/>
    <x v="7"/>
    <x v="9"/>
    <x v="0"/>
    <x v="0"/>
  </r>
  <r>
    <x v="0"/>
    <x v="0"/>
    <x v="0"/>
    <x v="5"/>
    <x v="12"/>
    <s v="SE3_OTHER"/>
    <x v="7"/>
    <x v="10"/>
    <x v="0"/>
    <x v="0"/>
  </r>
  <r>
    <x v="0"/>
    <x v="0"/>
    <x v="0"/>
    <x v="5"/>
    <x v="12"/>
    <s v="SE3_OTHER"/>
    <x v="7"/>
    <x v="11"/>
    <x v="0"/>
    <x v="0"/>
  </r>
  <r>
    <x v="0"/>
    <x v="0"/>
    <x v="0"/>
    <x v="5"/>
    <x v="12"/>
    <s v="SE3_OTHER"/>
    <x v="8"/>
    <x v="0"/>
    <x v="0"/>
    <x v="0"/>
  </r>
  <r>
    <x v="0"/>
    <x v="0"/>
    <x v="0"/>
    <x v="5"/>
    <x v="12"/>
    <s v="SE3_OTHER"/>
    <x v="8"/>
    <x v="1"/>
    <x v="0"/>
    <x v="0"/>
  </r>
  <r>
    <x v="0"/>
    <x v="0"/>
    <x v="0"/>
    <x v="5"/>
    <x v="12"/>
    <s v="SE3_OTHER"/>
    <x v="8"/>
    <x v="2"/>
    <x v="0"/>
    <x v="0"/>
  </r>
  <r>
    <x v="0"/>
    <x v="0"/>
    <x v="0"/>
    <x v="5"/>
    <x v="12"/>
    <s v="SE3_OTHER"/>
    <x v="8"/>
    <x v="3"/>
    <x v="0"/>
    <x v="0"/>
  </r>
  <r>
    <x v="0"/>
    <x v="0"/>
    <x v="0"/>
    <x v="5"/>
    <x v="12"/>
    <s v="SE3_OTHER"/>
    <x v="8"/>
    <x v="4"/>
    <x v="0"/>
    <x v="0"/>
  </r>
  <r>
    <x v="0"/>
    <x v="0"/>
    <x v="0"/>
    <x v="5"/>
    <x v="12"/>
    <s v="SE3_OTHER"/>
    <x v="8"/>
    <x v="5"/>
    <x v="0"/>
    <x v="0"/>
  </r>
  <r>
    <x v="0"/>
    <x v="0"/>
    <x v="0"/>
    <x v="5"/>
    <x v="12"/>
    <s v="SE3_OTHER"/>
    <x v="8"/>
    <x v="6"/>
    <x v="0"/>
    <x v="0"/>
  </r>
  <r>
    <x v="0"/>
    <x v="0"/>
    <x v="0"/>
    <x v="5"/>
    <x v="12"/>
    <s v="SE3_OTHER"/>
    <x v="8"/>
    <x v="7"/>
    <x v="0"/>
    <x v="0"/>
  </r>
  <r>
    <x v="0"/>
    <x v="0"/>
    <x v="0"/>
    <x v="5"/>
    <x v="12"/>
    <s v="SE3_OTHER"/>
    <x v="8"/>
    <x v="8"/>
    <x v="0"/>
    <x v="0"/>
  </r>
  <r>
    <x v="0"/>
    <x v="0"/>
    <x v="0"/>
    <x v="5"/>
    <x v="12"/>
    <s v="SE3_OTHER"/>
    <x v="8"/>
    <x v="9"/>
    <x v="0"/>
    <x v="0"/>
  </r>
  <r>
    <x v="0"/>
    <x v="0"/>
    <x v="0"/>
    <x v="5"/>
    <x v="12"/>
    <s v="SE3_OTHER"/>
    <x v="8"/>
    <x v="10"/>
    <x v="0"/>
    <x v="0"/>
  </r>
  <r>
    <x v="0"/>
    <x v="0"/>
    <x v="0"/>
    <x v="5"/>
    <x v="12"/>
    <s v="SE3_OTHER"/>
    <x v="8"/>
    <x v="11"/>
    <x v="0"/>
    <x v="0"/>
  </r>
  <r>
    <x v="0"/>
    <x v="0"/>
    <x v="0"/>
    <x v="5"/>
    <x v="12"/>
    <s v="SE3_OTHER"/>
    <x v="9"/>
    <x v="0"/>
    <x v="0"/>
    <x v="0"/>
  </r>
  <r>
    <x v="0"/>
    <x v="0"/>
    <x v="0"/>
    <x v="5"/>
    <x v="12"/>
    <s v="SE3_OTHER"/>
    <x v="9"/>
    <x v="1"/>
    <x v="0"/>
    <x v="0"/>
  </r>
  <r>
    <x v="0"/>
    <x v="0"/>
    <x v="0"/>
    <x v="5"/>
    <x v="12"/>
    <s v="SE3_OTHER"/>
    <x v="9"/>
    <x v="2"/>
    <x v="0"/>
    <x v="0"/>
  </r>
  <r>
    <x v="0"/>
    <x v="0"/>
    <x v="0"/>
    <x v="5"/>
    <x v="12"/>
    <s v="SE3_OTHER"/>
    <x v="9"/>
    <x v="3"/>
    <x v="0"/>
    <x v="0"/>
  </r>
  <r>
    <x v="0"/>
    <x v="0"/>
    <x v="0"/>
    <x v="5"/>
    <x v="12"/>
    <s v="SE3_OTHER"/>
    <x v="9"/>
    <x v="4"/>
    <x v="0"/>
    <x v="0"/>
  </r>
  <r>
    <x v="0"/>
    <x v="0"/>
    <x v="0"/>
    <x v="5"/>
    <x v="12"/>
    <s v="SE3_OTHER"/>
    <x v="9"/>
    <x v="5"/>
    <x v="0"/>
    <x v="0"/>
  </r>
  <r>
    <x v="0"/>
    <x v="0"/>
    <x v="0"/>
    <x v="5"/>
    <x v="12"/>
    <s v="SE3_OTHER"/>
    <x v="9"/>
    <x v="6"/>
    <x v="0"/>
    <x v="0"/>
  </r>
  <r>
    <x v="0"/>
    <x v="0"/>
    <x v="0"/>
    <x v="5"/>
    <x v="12"/>
    <s v="SE3_OTHER"/>
    <x v="9"/>
    <x v="7"/>
    <x v="0"/>
    <x v="0"/>
  </r>
  <r>
    <x v="0"/>
    <x v="0"/>
    <x v="0"/>
    <x v="5"/>
    <x v="12"/>
    <s v="SE3_OTHER"/>
    <x v="9"/>
    <x v="8"/>
    <x v="0"/>
    <x v="0"/>
  </r>
  <r>
    <x v="0"/>
    <x v="0"/>
    <x v="0"/>
    <x v="5"/>
    <x v="12"/>
    <s v="SE3_OTHER"/>
    <x v="9"/>
    <x v="9"/>
    <x v="0"/>
    <x v="0"/>
  </r>
  <r>
    <x v="0"/>
    <x v="0"/>
    <x v="0"/>
    <x v="5"/>
    <x v="12"/>
    <s v="SE3_OTHER"/>
    <x v="9"/>
    <x v="10"/>
    <x v="0"/>
    <x v="0"/>
  </r>
  <r>
    <x v="0"/>
    <x v="0"/>
    <x v="0"/>
    <x v="5"/>
    <x v="12"/>
    <s v="SE3_OTHER"/>
    <x v="9"/>
    <x v="11"/>
    <x v="0"/>
    <x v="0"/>
  </r>
  <r>
    <x v="0"/>
    <x v="0"/>
    <x v="0"/>
    <x v="5"/>
    <x v="12"/>
    <s v="SE3_OTHER"/>
    <x v="10"/>
    <x v="0"/>
    <x v="0"/>
    <x v="0"/>
  </r>
  <r>
    <x v="0"/>
    <x v="0"/>
    <x v="0"/>
    <x v="5"/>
    <x v="12"/>
    <s v="SE3_OTHER"/>
    <x v="10"/>
    <x v="1"/>
    <x v="0"/>
    <x v="0"/>
  </r>
  <r>
    <x v="0"/>
    <x v="0"/>
    <x v="0"/>
    <x v="5"/>
    <x v="12"/>
    <s v="SE3_OTHER"/>
    <x v="10"/>
    <x v="2"/>
    <x v="0"/>
    <x v="0"/>
  </r>
  <r>
    <x v="0"/>
    <x v="0"/>
    <x v="0"/>
    <x v="5"/>
    <x v="12"/>
    <s v="SE3_OTHER"/>
    <x v="10"/>
    <x v="3"/>
    <x v="0"/>
    <x v="0"/>
  </r>
  <r>
    <x v="0"/>
    <x v="0"/>
    <x v="0"/>
    <x v="5"/>
    <x v="12"/>
    <s v="SE3_OTHER"/>
    <x v="10"/>
    <x v="4"/>
    <x v="0"/>
    <x v="0"/>
  </r>
  <r>
    <x v="0"/>
    <x v="0"/>
    <x v="0"/>
    <x v="5"/>
    <x v="12"/>
    <s v="SE3_OTHER"/>
    <x v="10"/>
    <x v="5"/>
    <x v="0"/>
    <x v="0"/>
  </r>
  <r>
    <x v="0"/>
    <x v="0"/>
    <x v="0"/>
    <x v="5"/>
    <x v="12"/>
    <s v="SE3_OTHER"/>
    <x v="10"/>
    <x v="6"/>
    <x v="0"/>
    <x v="0"/>
  </r>
  <r>
    <x v="0"/>
    <x v="0"/>
    <x v="0"/>
    <x v="5"/>
    <x v="12"/>
    <s v="SE3_OTHER"/>
    <x v="10"/>
    <x v="7"/>
    <x v="0"/>
    <x v="0"/>
  </r>
  <r>
    <x v="0"/>
    <x v="0"/>
    <x v="0"/>
    <x v="5"/>
    <x v="12"/>
    <s v="SE3_OTHER"/>
    <x v="10"/>
    <x v="8"/>
    <x v="0"/>
    <x v="0"/>
  </r>
  <r>
    <x v="0"/>
    <x v="0"/>
    <x v="0"/>
    <x v="5"/>
    <x v="12"/>
    <s v="SE3_OTHER"/>
    <x v="10"/>
    <x v="9"/>
    <x v="0"/>
    <x v="0"/>
  </r>
  <r>
    <x v="0"/>
    <x v="0"/>
    <x v="0"/>
    <x v="5"/>
    <x v="12"/>
    <s v="SE3_OTHER"/>
    <x v="10"/>
    <x v="10"/>
    <x v="0"/>
    <x v="0"/>
  </r>
  <r>
    <x v="0"/>
    <x v="0"/>
    <x v="0"/>
    <x v="5"/>
    <x v="12"/>
    <s v="SE3_OTHER"/>
    <x v="10"/>
    <x v="11"/>
    <x v="0"/>
    <x v="0"/>
  </r>
  <r>
    <x v="0"/>
    <x v="0"/>
    <x v="0"/>
    <x v="5"/>
    <x v="12"/>
    <s v="SE3_OTHER"/>
    <x v="11"/>
    <x v="0"/>
    <x v="0"/>
    <x v="0"/>
  </r>
  <r>
    <x v="0"/>
    <x v="0"/>
    <x v="0"/>
    <x v="5"/>
    <x v="12"/>
    <s v="SE3_OTHER"/>
    <x v="11"/>
    <x v="1"/>
    <x v="0"/>
    <x v="0"/>
  </r>
  <r>
    <x v="0"/>
    <x v="0"/>
    <x v="0"/>
    <x v="5"/>
    <x v="12"/>
    <s v="SE3_OTHER"/>
    <x v="11"/>
    <x v="2"/>
    <x v="0"/>
    <x v="0"/>
  </r>
  <r>
    <x v="0"/>
    <x v="0"/>
    <x v="0"/>
    <x v="5"/>
    <x v="12"/>
    <s v="SE3_OTHER"/>
    <x v="11"/>
    <x v="3"/>
    <x v="0"/>
    <x v="0"/>
  </r>
  <r>
    <x v="0"/>
    <x v="0"/>
    <x v="0"/>
    <x v="5"/>
    <x v="12"/>
    <s v="SE3_OTHER"/>
    <x v="11"/>
    <x v="4"/>
    <x v="0"/>
    <x v="0"/>
  </r>
  <r>
    <x v="0"/>
    <x v="0"/>
    <x v="0"/>
    <x v="5"/>
    <x v="12"/>
    <s v="SE3_OTHER"/>
    <x v="11"/>
    <x v="5"/>
    <x v="0"/>
    <x v="0"/>
  </r>
  <r>
    <x v="0"/>
    <x v="0"/>
    <x v="0"/>
    <x v="5"/>
    <x v="12"/>
    <s v="SE3_OTHER"/>
    <x v="11"/>
    <x v="6"/>
    <x v="0"/>
    <x v="0"/>
  </r>
  <r>
    <x v="0"/>
    <x v="0"/>
    <x v="0"/>
    <x v="5"/>
    <x v="12"/>
    <s v="SE3_OTHER"/>
    <x v="11"/>
    <x v="7"/>
    <x v="0"/>
    <x v="0"/>
  </r>
  <r>
    <x v="0"/>
    <x v="0"/>
    <x v="0"/>
    <x v="5"/>
    <x v="12"/>
    <s v="SE3_OTHER"/>
    <x v="11"/>
    <x v="8"/>
    <x v="0"/>
    <x v="0"/>
  </r>
  <r>
    <x v="0"/>
    <x v="0"/>
    <x v="0"/>
    <x v="5"/>
    <x v="12"/>
    <s v="SE3_OTHER"/>
    <x v="11"/>
    <x v="9"/>
    <x v="0"/>
    <x v="0"/>
  </r>
  <r>
    <x v="0"/>
    <x v="0"/>
    <x v="0"/>
    <x v="5"/>
    <x v="12"/>
    <s v="SE3_OTHER"/>
    <x v="11"/>
    <x v="10"/>
    <x v="0"/>
    <x v="0"/>
  </r>
  <r>
    <x v="0"/>
    <x v="0"/>
    <x v="0"/>
    <x v="5"/>
    <x v="12"/>
    <s v="SE3_OTHER"/>
    <x v="11"/>
    <x v="11"/>
    <x v="0"/>
    <x v="0"/>
  </r>
  <r>
    <x v="0"/>
    <x v="0"/>
    <x v="0"/>
    <x v="5"/>
    <x v="12"/>
    <s v="SE3_STO"/>
    <x v="0"/>
    <x v="0"/>
    <x v="0"/>
    <x v="0"/>
  </r>
  <r>
    <x v="0"/>
    <x v="0"/>
    <x v="0"/>
    <x v="5"/>
    <x v="12"/>
    <s v="SE3_STO"/>
    <x v="0"/>
    <x v="1"/>
    <x v="0"/>
    <x v="0"/>
  </r>
  <r>
    <x v="0"/>
    <x v="0"/>
    <x v="0"/>
    <x v="5"/>
    <x v="12"/>
    <s v="SE3_STO"/>
    <x v="0"/>
    <x v="2"/>
    <x v="0"/>
    <x v="0"/>
  </r>
  <r>
    <x v="0"/>
    <x v="0"/>
    <x v="0"/>
    <x v="5"/>
    <x v="12"/>
    <s v="SE3_STO"/>
    <x v="0"/>
    <x v="3"/>
    <x v="0"/>
    <x v="0"/>
  </r>
  <r>
    <x v="0"/>
    <x v="0"/>
    <x v="0"/>
    <x v="5"/>
    <x v="12"/>
    <s v="SE3_STO"/>
    <x v="0"/>
    <x v="4"/>
    <x v="0"/>
    <x v="0"/>
  </r>
  <r>
    <x v="0"/>
    <x v="0"/>
    <x v="0"/>
    <x v="5"/>
    <x v="12"/>
    <s v="SE3_STO"/>
    <x v="0"/>
    <x v="5"/>
    <x v="0"/>
    <x v="0"/>
  </r>
  <r>
    <x v="0"/>
    <x v="0"/>
    <x v="0"/>
    <x v="5"/>
    <x v="12"/>
    <s v="SE3_STO"/>
    <x v="0"/>
    <x v="6"/>
    <x v="0"/>
    <x v="0"/>
  </r>
  <r>
    <x v="0"/>
    <x v="0"/>
    <x v="0"/>
    <x v="5"/>
    <x v="12"/>
    <s v="SE3_STO"/>
    <x v="0"/>
    <x v="7"/>
    <x v="0"/>
    <x v="0"/>
  </r>
  <r>
    <x v="0"/>
    <x v="0"/>
    <x v="0"/>
    <x v="5"/>
    <x v="12"/>
    <s v="SE3_STO"/>
    <x v="0"/>
    <x v="8"/>
    <x v="0"/>
    <x v="0"/>
  </r>
  <r>
    <x v="0"/>
    <x v="0"/>
    <x v="0"/>
    <x v="5"/>
    <x v="12"/>
    <s v="SE3_STO"/>
    <x v="0"/>
    <x v="9"/>
    <x v="0"/>
    <x v="0"/>
  </r>
  <r>
    <x v="0"/>
    <x v="0"/>
    <x v="0"/>
    <x v="5"/>
    <x v="12"/>
    <s v="SE3_STO"/>
    <x v="0"/>
    <x v="10"/>
    <x v="0"/>
    <x v="0"/>
  </r>
  <r>
    <x v="0"/>
    <x v="0"/>
    <x v="0"/>
    <x v="5"/>
    <x v="12"/>
    <s v="SE3_STO"/>
    <x v="0"/>
    <x v="11"/>
    <x v="0"/>
    <x v="0"/>
  </r>
  <r>
    <x v="0"/>
    <x v="0"/>
    <x v="0"/>
    <x v="5"/>
    <x v="12"/>
    <s v="SE3_STO"/>
    <x v="1"/>
    <x v="0"/>
    <x v="0"/>
    <x v="0"/>
  </r>
  <r>
    <x v="0"/>
    <x v="0"/>
    <x v="0"/>
    <x v="5"/>
    <x v="12"/>
    <s v="SE3_STO"/>
    <x v="1"/>
    <x v="1"/>
    <x v="0"/>
    <x v="0"/>
  </r>
  <r>
    <x v="0"/>
    <x v="0"/>
    <x v="0"/>
    <x v="5"/>
    <x v="12"/>
    <s v="SE3_STO"/>
    <x v="1"/>
    <x v="2"/>
    <x v="0"/>
    <x v="0"/>
  </r>
  <r>
    <x v="0"/>
    <x v="0"/>
    <x v="0"/>
    <x v="5"/>
    <x v="12"/>
    <s v="SE3_STO"/>
    <x v="1"/>
    <x v="3"/>
    <x v="0"/>
    <x v="0"/>
  </r>
  <r>
    <x v="0"/>
    <x v="0"/>
    <x v="0"/>
    <x v="5"/>
    <x v="12"/>
    <s v="SE3_STO"/>
    <x v="1"/>
    <x v="4"/>
    <x v="0"/>
    <x v="0"/>
  </r>
  <r>
    <x v="0"/>
    <x v="0"/>
    <x v="0"/>
    <x v="5"/>
    <x v="12"/>
    <s v="SE3_STO"/>
    <x v="1"/>
    <x v="5"/>
    <x v="0"/>
    <x v="0"/>
  </r>
  <r>
    <x v="0"/>
    <x v="0"/>
    <x v="0"/>
    <x v="5"/>
    <x v="12"/>
    <s v="SE3_STO"/>
    <x v="1"/>
    <x v="6"/>
    <x v="0"/>
    <x v="0"/>
  </r>
  <r>
    <x v="0"/>
    <x v="0"/>
    <x v="0"/>
    <x v="5"/>
    <x v="12"/>
    <s v="SE3_STO"/>
    <x v="1"/>
    <x v="7"/>
    <x v="0"/>
    <x v="0"/>
  </r>
  <r>
    <x v="0"/>
    <x v="0"/>
    <x v="0"/>
    <x v="5"/>
    <x v="12"/>
    <s v="SE3_STO"/>
    <x v="1"/>
    <x v="8"/>
    <x v="0"/>
    <x v="0"/>
  </r>
  <r>
    <x v="0"/>
    <x v="0"/>
    <x v="0"/>
    <x v="5"/>
    <x v="12"/>
    <s v="SE3_STO"/>
    <x v="1"/>
    <x v="9"/>
    <x v="0"/>
    <x v="0"/>
  </r>
  <r>
    <x v="0"/>
    <x v="0"/>
    <x v="0"/>
    <x v="5"/>
    <x v="12"/>
    <s v="SE3_STO"/>
    <x v="1"/>
    <x v="10"/>
    <x v="0"/>
    <x v="0"/>
  </r>
  <r>
    <x v="0"/>
    <x v="0"/>
    <x v="0"/>
    <x v="5"/>
    <x v="12"/>
    <s v="SE3_STO"/>
    <x v="1"/>
    <x v="11"/>
    <x v="0"/>
    <x v="0"/>
  </r>
  <r>
    <x v="0"/>
    <x v="0"/>
    <x v="0"/>
    <x v="5"/>
    <x v="12"/>
    <s v="SE3_STO"/>
    <x v="2"/>
    <x v="0"/>
    <x v="0"/>
    <x v="0"/>
  </r>
  <r>
    <x v="0"/>
    <x v="0"/>
    <x v="0"/>
    <x v="5"/>
    <x v="12"/>
    <s v="SE3_STO"/>
    <x v="2"/>
    <x v="1"/>
    <x v="0"/>
    <x v="0"/>
  </r>
  <r>
    <x v="0"/>
    <x v="0"/>
    <x v="0"/>
    <x v="5"/>
    <x v="12"/>
    <s v="SE3_STO"/>
    <x v="2"/>
    <x v="2"/>
    <x v="0"/>
    <x v="0"/>
  </r>
  <r>
    <x v="0"/>
    <x v="0"/>
    <x v="0"/>
    <x v="5"/>
    <x v="12"/>
    <s v="SE3_STO"/>
    <x v="2"/>
    <x v="3"/>
    <x v="0"/>
    <x v="0"/>
  </r>
  <r>
    <x v="0"/>
    <x v="0"/>
    <x v="0"/>
    <x v="5"/>
    <x v="12"/>
    <s v="SE3_STO"/>
    <x v="2"/>
    <x v="4"/>
    <x v="0"/>
    <x v="0"/>
  </r>
  <r>
    <x v="0"/>
    <x v="0"/>
    <x v="0"/>
    <x v="5"/>
    <x v="12"/>
    <s v="SE3_STO"/>
    <x v="2"/>
    <x v="5"/>
    <x v="0"/>
    <x v="0"/>
  </r>
  <r>
    <x v="0"/>
    <x v="0"/>
    <x v="0"/>
    <x v="5"/>
    <x v="12"/>
    <s v="SE3_STO"/>
    <x v="2"/>
    <x v="6"/>
    <x v="0"/>
    <x v="0"/>
  </r>
  <r>
    <x v="0"/>
    <x v="0"/>
    <x v="0"/>
    <x v="5"/>
    <x v="12"/>
    <s v="SE3_STO"/>
    <x v="2"/>
    <x v="7"/>
    <x v="0"/>
    <x v="0"/>
  </r>
  <r>
    <x v="0"/>
    <x v="0"/>
    <x v="0"/>
    <x v="5"/>
    <x v="12"/>
    <s v="SE3_STO"/>
    <x v="2"/>
    <x v="8"/>
    <x v="0"/>
    <x v="0"/>
  </r>
  <r>
    <x v="0"/>
    <x v="0"/>
    <x v="0"/>
    <x v="5"/>
    <x v="12"/>
    <s v="SE3_STO"/>
    <x v="2"/>
    <x v="9"/>
    <x v="0"/>
    <x v="0"/>
  </r>
  <r>
    <x v="0"/>
    <x v="0"/>
    <x v="0"/>
    <x v="5"/>
    <x v="12"/>
    <s v="SE3_STO"/>
    <x v="2"/>
    <x v="10"/>
    <x v="0"/>
    <x v="0"/>
  </r>
  <r>
    <x v="0"/>
    <x v="0"/>
    <x v="0"/>
    <x v="5"/>
    <x v="12"/>
    <s v="SE3_STO"/>
    <x v="2"/>
    <x v="11"/>
    <x v="0"/>
    <x v="0"/>
  </r>
  <r>
    <x v="0"/>
    <x v="0"/>
    <x v="0"/>
    <x v="5"/>
    <x v="12"/>
    <s v="SE3_STO"/>
    <x v="3"/>
    <x v="0"/>
    <x v="0"/>
    <x v="0"/>
  </r>
  <r>
    <x v="0"/>
    <x v="0"/>
    <x v="0"/>
    <x v="5"/>
    <x v="12"/>
    <s v="SE3_STO"/>
    <x v="3"/>
    <x v="1"/>
    <x v="0"/>
    <x v="0"/>
  </r>
  <r>
    <x v="0"/>
    <x v="0"/>
    <x v="0"/>
    <x v="5"/>
    <x v="12"/>
    <s v="SE3_STO"/>
    <x v="3"/>
    <x v="2"/>
    <x v="0"/>
    <x v="0"/>
  </r>
  <r>
    <x v="0"/>
    <x v="0"/>
    <x v="0"/>
    <x v="5"/>
    <x v="12"/>
    <s v="SE3_STO"/>
    <x v="3"/>
    <x v="3"/>
    <x v="0"/>
    <x v="0"/>
  </r>
  <r>
    <x v="0"/>
    <x v="0"/>
    <x v="0"/>
    <x v="5"/>
    <x v="12"/>
    <s v="SE3_STO"/>
    <x v="3"/>
    <x v="4"/>
    <x v="0"/>
    <x v="0"/>
  </r>
  <r>
    <x v="0"/>
    <x v="0"/>
    <x v="0"/>
    <x v="5"/>
    <x v="12"/>
    <s v="SE3_STO"/>
    <x v="3"/>
    <x v="5"/>
    <x v="0"/>
    <x v="0"/>
  </r>
  <r>
    <x v="0"/>
    <x v="0"/>
    <x v="0"/>
    <x v="5"/>
    <x v="12"/>
    <s v="SE3_STO"/>
    <x v="3"/>
    <x v="6"/>
    <x v="0"/>
    <x v="0"/>
  </r>
  <r>
    <x v="0"/>
    <x v="0"/>
    <x v="0"/>
    <x v="5"/>
    <x v="12"/>
    <s v="SE3_STO"/>
    <x v="3"/>
    <x v="7"/>
    <x v="0"/>
    <x v="0"/>
  </r>
  <r>
    <x v="0"/>
    <x v="0"/>
    <x v="0"/>
    <x v="5"/>
    <x v="12"/>
    <s v="SE3_STO"/>
    <x v="3"/>
    <x v="8"/>
    <x v="0"/>
    <x v="0"/>
  </r>
  <r>
    <x v="0"/>
    <x v="0"/>
    <x v="0"/>
    <x v="5"/>
    <x v="12"/>
    <s v="SE3_STO"/>
    <x v="3"/>
    <x v="9"/>
    <x v="0"/>
    <x v="0"/>
  </r>
  <r>
    <x v="0"/>
    <x v="0"/>
    <x v="0"/>
    <x v="5"/>
    <x v="12"/>
    <s v="SE3_STO"/>
    <x v="3"/>
    <x v="10"/>
    <x v="0"/>
    <x v="0"/>
  </r>
  <r>
    <x v="0"/>
    <x v="0"/>
    <x v="0"/>
    <x v="5"/>
    <x v="12"/>
    <s v="SE3_STO"/>
    <x v="3"/>
    <x v="11"/>
    <x v="0"/>
    <x v="0"/>
  </r>
  <r>
    <x v="0"/>
    <x v="0"/>
    <x v="0"/>
    <x v="5"/>
    <x v="12"/>
    <s v="SE3_STO"/>
    <x v="4"/>
    <x v="0"/>
    <x v="0"/>
    <x v="0"/>
  </r>
  <r>
    <x v="0"/>
    <x v="0"/>
    <x v="0"/>
    <x v="5"/>
    <x v="12"/>
    <s v="SE3_STO"/>
    <x v="4"/>
    <x v="1"/>
    <x v="0"/>
    <x v="0"/>
  </r>
  <r>
    <x v="0"/>
    <x v="0"/>
    <x v="0"/>
    <x v="5"/>
    <x v="12"/>
    <s v="SE3_STO"/>
    <x v="4"/>
    <x v="2"/>
    <x v="0"/>
    <x v="0"/>
  </r>
  <r>
    <x v="0"/>
    <x v="0"/>
    <x v="0"/>
    <x v="5"/>
    <x v="12"/>
    <s v="SE3_STO"/>
    <x v="4"/>
    <x v="3"/>
    <x v="0"/>
    <x v="0"/>
  </r>
  <r>
    <x v="0"/>
    <x v="0"/>
    <x v="0"/>
    <x v="5"/>
    <x v="12"/>
    <s v="SE3_STO"/>
    <x v="4"/>
    <x v="4"/>
    <x v="0"/>
    <x v="0"/>
  </r>
  <r>
    <x v="0"/>
    <x v="0"/>
    <x v="0"/>
    <x v="5"/>
    <x v="12"/>
    <s v="SE3_STO"/>
    <x v="4"/>
    <x v="5"/>
    <x v="0"/>
    <x v="0"/>
  </r>
  <r>
    <x v="0"/>
    <x v="0"/>
    <x v="0"/>
    <x v="5"/>
    <x v="12"/>
    <s v="SE3_STO"/>
    <x v="4"/>
    <x v="6"/>
    <x v="0"/>
    <x v="0"/>
  </r>
  <r>
    <x v="0"/>
    <x v="0"/>
    <x v="0"/>
    <x v="5"/>
    <x v="12"/>
    <s v="SE3_STO"/>
    <x v="4"/>
    <x v="7"/>
    <x v="0"/>
    <x v="0"/>
  </r>
  <r>
    <x v="0"/>
    <x v="0"/>
    <x v="0"/>
    <x v="5"/>
    <x v="12"/>
    <s v="SE3_STO"/>
    <x v="4"/>
    <x v="8"/>
    <x v="0"/>
    <x v="0"/>
  </r>
  <r>
    <x v="0"/>
    <x v="0"/>
    <x v="0"/>
    <x v="5"/>
    <x v="12"/>
    <s v="SE3_STO"/>
    <x v="4"/>
    <x v="9"/>
    <x v="0"/>
    <x v="0"/>
  </r>
  <r>
    <x v="0"/>
    <x v="0"/>
    <x v="0"/>
    <x v="5"/>
    <x v="12"/>
    <s v="SE3_STO"/>
    <x v="4"/>
    <x v="10"/>
    <x v="0"/>
    <x v="0"/>
  </r>
  <r>
    <x v="0"/>
    <x v="0"/>
    <x v="0"/>
    <x v="5"/>
    <x v="12"/>
    <s v="SE3_STO"/>
    <x v="4"/>
    <x v="11"/>
    <x v="0"/>
    <x v="0"/>
  </r>
  <r>
    <x v="0"/>
    <x v="0"/>
    <x v="0"/>
    <x v="5"/>
    <x v="12"/>
    <s v="SE3_STO"/>
    <x v="5"/>
    <x v="0"/>
    <x v="0"/>
    <x v="0"/>
  </r>
  <r>
    <x v="0"/>
    <x v="0"/>
    <x v="0"/>
    <x v="5"/>
    <x v="12"/>
    <s v="SE3_STO"/>
    <x v="5"/>
    <x v="1"/>
    <x v="0"/>
    <x v="0"/>
  </r>
  <r>
    <x v="0"/>
    <x v="0"/>
    <x v="0"/>
    <x v="5"/>
    <x v="12"/>
    <s v="SE3_STO"/>
    <x v="5"/>
    <x v="2"/>
    <x v="0"/>
    <x v="0"/>
  </r>
  <r>
    <x v="0"/>
    <x v="0"/>
    <x v="0"/>
    <x v="5"/>
    <x v="12"/>
    <s v="SE3_STO"/>
    <x v="5"/>
    <x v="3"/>
    <x v="0"/>
    <x v="0"/>
  </r>
  <r>
    <x v="0"/>
    <x v="0"/>
    <x v="0"/>
    <x v="5"/>
    <x v="12"/>
    <s v="SE3_STO"/>
    <x v="5"/>
    <x v="4"/>
    <x v="0"/>
    <x v="0"/>
  </r>
  <r>
    <x v="0"/>
    <x v="0"/>
    <x v="0"/>
    <x v="5"/>
    <x v="12"/>
    <s v="SE3_STO"/>
    <x v="5"/>
    <x v="5"/>
    <x v="0"/>
    <x v="0"/>
  </r>
  <r>
    <x v="0"/>
    <x v="0"/>
    <x v="0"/>
    <x v="5"/>
    <x v="12"/>
    <s v="SE3_STO"/>
    <x v="5"/>
    <x v="6"/>
    <x v="0"/>
    <x v="0"/>
  </r>
  <r>
    <x v="0"/>
    <x v="0"/>
    <x v="0"/>
    <x v="5"/>
    <x v="12"/>
    <s v="SE3_STO"/>
    <x v="5"/>
    <x v="7"/>
    <x v="0"/>
    <x v="0"/>
  </r>
  <r>
    <x v="0"/>
    <x v="0"/>
    <x v="0"/>
    <x v="5"/>
    <x v="12"/>
    <s v="SE3_STO"/>
    <x v="5"/>
    <x v="8"/>
    <x v="0"/>
    <x v="0"/>
  </r>
  <r>
    <x v="0"/>
    <x v="0"/>
    <x v="0"/>
    <x v="5"/>
    <x v="12"/>
    <s v="SE3_STO"/>
    <x v="5"/>
    <x v="9"/>
    <x v="0"/>
    <x v="0"/>
  </r>
  <r>
    <x v="0"/>
    <x v="0"/>
    <x v="0"/>
    <x v="5"/>
    <x v="12"/>
    <s v="SE3_STO"/>
    <x v="5"/>
    <x v="10"/>
    <x v="0"/>
    <x v="0"/>
  </r>
  <r>
    <x v="0"/>
    <x v="0"/>
    <x v="0"/>
    <x v="5"/>
    <x v="12"/>
    <s v="SE3_STO"/>
    <x v="5"/>
    <x v="11"/>
    <x v="0"/>
    <x v="0"/>
  </r>
  <r>
    <x v="0"/>
    <x v="0"/>
    <x v="0"/>
    <x v="5"/>
    <x v="12"/>
    <s v="SE3_STO"/>
    <x v="6"/>
    <x v="0"/>
    <x v="0"/>
    <x v="0"/>
  </r>
  <r>
    <x v="0"/>
    <x v="0"/>
    <x v="0"/>
    <x v="5"/>
    <x v="12"/>
    <s v="SE3_STO"/>
    <x v="6"/>
    <x v="1"/>
    <x v="0"/>
    <x v="0"/>
  </r>
  <r>
    <x v="0"/>
    <x v="0"/>
    <x v="0"/>
    <x v="5"/>
    <x v="12"/>
    <s v="SE3_STO"/>
    <x v="6"/>
    <x v="2"/>
    <x v="0"/>
    <x v="0"/>
  </r>
  <r>
    <x v="0"/>
    <x v="0"/>
    <x v="0"/>
    <x v="5"/>
    <x v="12"/>
    <s v="SE3_STO"/>
    <x v="6"/>
    <x v="3"/>
    <x v="0"/>
    <x v="0"/>
  </r>
  <r>
    <x v="0"/>
    <x v="0"/>
    <x v="0"/>
    <x v="5"/>
    <x v="12"/>
    <s v="SE3_STO"/>
    <x v="6"/>
    <x v="4"/>
    <x v="0"/>
    <x v="0"/>
  </r>
  <r>
    <x v="0"/>
    <x v="0"/>
    <x v="0"/>
    <x v="5"/>
    <x v="12"/>
    <s v="SE3_STO"/>
    <x v="6"/>
    <x v="5"/>
    <x v="0"/>
    <x v="0"/>
  </r>
  <r>
    <x v="0"/>
    <x v="0"/>
    <x v="0"/>
    <x v="5"/>
    <x v="12"/>
    <s v="SE3_STO"/>
    <x v="6"/>
    <x v="6"/>
    <x v="0"/>
    <x v="0"/>
  </r>
  <r>
    <x v="0"/>
    <x v="0"/>
    <x v="0"/>
    <x v="5"/>
    <x v="12"/>
    <s v="SE3_STO"/>
    <x v="6"/>
    <x v="7"/>
    <x v="0"/>
    <x v="0"/>
  </r>
  <r>
    <x v="0"/>
    <x v="0"/>
    <x v="0"/>
    <x v="5"/>
    <x v="12"/>
    <s v="SE3_STO"/>
    <x v="6"/>
    <x v="8"/>
    <x v="0"/>
    <x v="0"/>
  </r>
  <r>
    <x v="0"/>
    <x v="0"/>
    <x v="0"/>
    <x v="5"/>
    <x v="12"/>
    <s v="SE3_STO"/>
    <x v="6"/>
    <x v="9"/>
    <x v="0"/>
    <x v="0"/>
  </r>
  <r>
    <x v="0"/>
    <x v="0"/>
    <x v="0"/>
    <x v="5"/>
    <x v="12"/>
    <s v="SE3_STO"/>
    <x v="6"/>
    <x v="10"/>
    <x v="0"/>
    <x v="0"/>
  </r>
  <r>
    <x v="0"/>
    <x v="0"/>
    <x v="0"/>
    <x v="5"/>
    <x v="12"/>
    <s v="SE3_STO"/>
    <x v="6"/>
    <x v="11"/>
    <x v="0"/>
    <x v="0"/>
  </r>
  <r>
    <x v="0"/>
    <x v="0"/>
    <x v="0"/>
    <x v="5"/>
    <x v="12"/>
    <s v="SE3_STO"/>
    <x v="7"/>
    <x v="0"/>
    <x v="0"/>
    <x v="0"/>
  </r>
  <r>
    <x v="0"/>
    <x v="0"/>
    <x v="0"/>
    <x v="5"/>
    <x v="12"/>
    <s v="SE3_STO"/>
    <x v="7"/>
    <x v="1"/>
    <x v="0"/>
    <x v="0"/>
  </r>
  <r>
    <x v="0"/>
    <x v="0"/>
    <x v="0"/>
    <x v="5"/>
    <x v="12"/>
    <s v="SE3_STO"/>
    <x v="7"/>
    <x v="2"/>
    <x v="0"/>
    <x v="0"/>
  </r>
  <r>
    <x v="0"/>
    <x v="0"/>
    <x v="0"/>
    <x v="5"/>
    <x v="12"/>
    <s v="SE3_STO"/>
    <x v="7"/>
    <x v="3"/>
    <x v="0"/>
    <x v="0"/>
  </r>
  <r>
    <x v="0"/>
    <x v="0"/>
    <x v="0"/>
    <x v="5"/>
    <x v="12"/>
    <s v="SE3_STO"/>
    <x v="7"/>
    <x v="4"/>
    <x v="0"/>
    <x v="0"/>
  </r>
  <r>
    <x v="0"/>
    <x v="0"/>
    <x v="0"/>
    <x v="5"/>
    <x v="12"/>
    <s v="SE3_STO"/>
    <x v="7"/>
    <x v="5"/>
    <x v="0"/>
    <x v="0"/>
  </r>
  <r>
    <x v="0"/>
    <x v="0"/>
    <x v="0"/>
    <x v="5"/>
    <x v="12"/>
    <s v="SE3_STO"/>
    <x v="7"/>
    <x v="6"/>
    <x v="0"/>
    <x v="0"/>
  </r>
  <r>
    <x v="0"/>
    <x v="0"/>
    <x v="0"/>
    <x v="5"/>
    <x v="12"/>
    <s v="SE3_STO"/>
    <x v="7"/>
    <x v="7"/>
    <x v="0"/>
    <x v="0"/>
  </r>
  <r>
    <x v="0"/>
    <x v="0"/>
    <x v="0"/>
    <x v="5"/>
    <x v="12"/>
    <s v="SE3_STO"/>
    <x v="7"/>
    <x v="8"/>
    <x v="0"/>
    <x v="0"/>
  </r>
  <r>
    <x v="0"/>
    <x v="0"/>
    <x v="0"/>
    <x v="5"/>
    <x v="12"/>
    <s v="SE3_STO"/>
    <x v="7"/>
    <x v="9"/>
    <x v="0"/>
    <x v="0"/>
  </r>
  <r>
    <x v="0"/>
    <x v="0"/>
    <x v="0"/>
    <x v="5"/>
    <x v="12"/>
    <s v="SE3_STO"/>
    <x v="7"/>
    <x v="10"/>
    <x v="0"/>
    <x v="0"/>
  </r>
  <r>
    <x v="0"/>
    <x v="0"/>
    <x v="0"/>
    <x v="5"/>
    <x v="12"/>
    <s v="SE3_STO"/>
    <x v="7"/>
    <x v="11"/>
    <x v="0"/>
    <x v="0"/>
  </r>
  <r>
    <x v="0"/>
    <x v="0"/>
    <x v="0"/>
    <x v="5"/>
    <x v="12"/>
    <s v="SE3_STO"/>
    <x v="8"/>
    <x v="0"/>
    <x v="0"/>
    <x v="0"/>
  </r>
  <r>
    <x v="0"/>
    <x v="0"/>
    <x v="0"/>
    <x v="5"/>
    <x v="12"/>
    <s v="SE3_STO"/>
    <x v="8"/>
    <x v="1"/>
    <x v="0"/>
    <x v="0"/>
  </r>
  <r>
    <x v="0"/>
    <x v="0"/>
    <x v="0"/>
    <x v="5"/>
    <x v="12"/>
    <s v="SE3_STO"/>
    <x v="8"/>
    <x v="2"/>
    <x v="0"/>
    <x v="0"/>
  </r>
  <r>
    <x v="0"/>
    <x v="0"/>
    <x v="0"/>
    <x v="5"/>
    <x v="12"/>
    <s v="SE3_STO"/>
    <x v="8"/>
    <x v="3"/>
    <x v="0"/>
    <x v="0"/>
  </r>
  <r>
    <x v="0"/>
    <x v="0"/>
    <x v="0"/>
    <x v="5"/>
    <x v="12"/>
    <s v="SE3_STO"/>
    <x v="8"/>
    <x v="4"/>
    <x v="0"/>
    <x v="0"/>
  </r>
  <r>
    <x v="0"/>
    <x v="0"/>
    <x v="0"/>
    <x v="5"/>
    <x v="12"/>
    <s v="SE3_STO"/>
    <x v="8"/>
    <x v="5"/>
    <x v="0"/>
    <x v="0"/>
  </r>
  <r>
    <x v="0"/>
    <x v="0"/>
    <x v="0"/>
    <x v="5"/>
    <x v="12"/>
    <s v="SE3_STO"/>
    <x v="8"/>
    <x v="6"/>
    <x v="0"/>
    <x v="0"/>
  </r>
  <r>
    <x v="0"/>
    <x v="0"/>
    <x v="0"/>
    <x v="5"/>
    <x v="12"/>
    <s v="SE3_STO"/>
    <x v="8"/>
    <x v="7"/>
    <x v="0"/>
    <x v="0"/>
  </r>
  <r>
    <x v="0"/>
    <x v="0"/>
    <x v="0"/>
    <x v="5"/>
    <x v="12"/>
    <s v="SE3_STO"/>
    <x v="8"/>
    <x v="8"/>
    <x v="0"/>
    <x v="0"/>
  </r>
  <r>
    <x v="0"/>
    <x v="0"/>
    <x v="0"/>
    <x v="5"/>
    <x v="12"/>
    <s v="SE3_STO"/>
    <x v="8"/>
    <x v="9"/>
    <x v="0"/>
    <x v="0"/>
  </r>
  <r>
    <x v="0"/>
    <x v="0"/>
    <x v="0"/>
    <x v="5"/>
    <x v="12"/>
    <s v="SE3_STO"/>
    <x v="8"/>
    <x v="10"/>
    <x v="0"/>
    <x v="0"/>
  </r>
  <r>
    <x v="0"/>
    <x v="0"/>
    <x v="0"/>
    <x v="5"/>
    <x v="12"/>
    <s v="SE3_STO"/>
    <x v="8"/>
    <x v="11"/>
    <x v="0"/>
    <x v="0"/>
  </r>
  <r>
    <x v="0"/>
    <x v="0"/>
    <x v="0"/>
    <x v="5"/>
    <x v="12"/>
    <s v="SE3_STO"/>
    <x v="9"/>
    <x v="0"/>
    <x v="0"/>
    <x v="0"/>
  </r>
  <r>
    <x v="0"/>
    <x v="0"/>
    <x v="0"/>
    <x v="5"/>
    <x v="12"/>
    <s v="SE3_STO"/>
    <x v="9"/>
    <x v="1"/>
    <x v="0"/>
    <x v="0"/>
  </r>
  <r>
    <x v="0"/>
    <x v="0"/>
    <x v="0"/>
    <x v="5"/>
    <x v="12"/>
    <s v="SE3_STO"/>
    <x v="9"/>
    <x v="2"/>
    <x v="0"/>
    <x v="0"/>
  </r>
  <r>
    <x v="0"/>
    <x v="0"/>
    <x v="0"/>
    <x v="5"/>
    <x v="12"/>
    <s v="SE3_STO"/>
    <x v="9"/>
    <x v="3"/>
    <x v="0"/>
    <x v="0"/>
  </r>
  <r>
    <x v="0"/>
    <x v="0"/>
    <x v="0"/>
    <x v="5"/>
    <x v="12"/>
    <s v="SE3_STO"/>
    <x v="9"/>
    <x v="4"/>
    <x v="0"/>
    <x v="0"/>
  </r>
  <r>
    <x v="0"/>
    <x v="0"/>
    <x v="0"/>
    <x v="5"/>
    <x v="12"/>
    <s v="SE3_STO"/>
    <x v="9"/>
    <x v="5"/>
    <x v="0"/>
    <x v="0"/>
  </r>
  <r>
    <x v="0"/>
    <x v="0"/>
    <x v="0"/>
    <x v="5"/>
    <x v="12"/>
    <s v="SE3_STO"/>
    <x v="9"/>
    <x v="6"/>
    <x v="0"/>
    <x v="0"/>
  </r>
  <r>
    <x v="0"/>
    <x v="0"/>
    <x v="0"/>
    <x v="5"/>
    <x v="12"/>
    <s v="SE3_STO"/>
    <x v="9"/>
    <x v="7"/>
    <x v="0"/>
    <x v="0"/>
  </r>
  <r>
    <x v="0"/>
    <x v="0"/>
    <x v="0"/>
    <x v="5"/>
    <x v="12"/>
    <s v="SE3_STO"/>
    <x v="9"/>
    <x v="8"/>
    <x v="0"/>
    <x v="0"/>
  </r>
  <r>
    <x v="0"/>
    <x v="0"/>
    <x v="0"/>
    <x v="5"/>
    <x v="12"/>
    <s v="SE3_STO"/>
    <x v="9"/>
    <x v="9"/>
    <x v="0"/>
    <x v="0"/>
  </r>
  <r>
    <x v="0"/>
    <x v="0"/>
    <x v="0"/>
    <x v="5"/>
    <x v="12"/>
    <s v="SE3_STO"/>
    <x v="9"/>
    <x v="10"/>
    <x v="0"/>
    <x v="0"/>
  </r>
  <r>
    <x v="0"/>
    <x v="0"/>
    <x v="0"/>
    <x v="5"/>
    <x v="12"/>
    <s v="SE3_STO"/>
    <x v="9"/>
    <x v="11"/>
    <x v="0"/>
    <x v="0"/>
  </r>
  <r>
    <x v="0"/>
    <x v="0"/>
    <x v="0"/>
    <x v="5"/>
    <x v="12"/>
    <s v="SE3_STO"/>
    <x v="10"/>
    <x v="0"/>
    <x v="0"/>
    <x v="0"/>
  </r>
  <r>
    <x v="0"/>
    <x v="0"/>
    <x v="0"/>
    <x v="5"/>
    <x v="12"/>
    <s v="SE3_STO"/>
    <x v="10"/>
    <x v="1"/>
    <x v="0"/>
    <x v="0"/>
  </r>
  <r>
    <x v="0"/>
    <x v="0"/>
    <x v="0"/>
    <x v="5"/>
    <x v="12"/>
    <s v="SE3_STO"/>
    <x v="10"/>
    <x v="2"/>
    <x v="0"/>
    <x v="0"/>
  </r>
  <r>
    <x v="0"/>
    <x v="0"/>
    <x v="0"/>
    <x v="5"/>
    <x v="12"/>
    <s v="SE3_STO"/>
    <x v="10"/>
    <x v="3"/>
    <x v="0"/>
    <x v="0"/>
  </r>
  <r>
    <x v="0"/>
    <x v="0"/>
    <x v="0"/>
    <x v="5"/>
    <x v="12"/>
    <s v="SE3_STO"/>
    <x v="10"/>
    <x v="4"/>
    <x v="0"/>
    <x v="0"/>
  </r>
  <r>
    <x v="0"/>
    <x v="0"/>
    <x v="0"/>
    <x v="5"/>
    <x v="12"/>
    <s v="SE3_STO"/>
    <x v="10"/>
    <x v="5"/>
    <x v="0"/>
    <x v="0"/>
  </r>
  <r>
    <x v="0"/>
    <x v="0"/>
    <x v="0"/>
    <x v="5"/>
    <x v="12"/>
    <s v="SE3_STO"/>
    <x v="10"/>
    <x v="6"/>
    <x v="0"/>
    <x v="0"/>
  </r>
  <r>
    <x v="0"/>
    <x v="0"/>
    <x v="0"/>
    <x v="5"/>
    <x v="12"/>
    <s v="SE3_STO"/>
    <x v="10"/>
    <x v="7"/>
    <x v="0"/>
    <x v="0"/>
  </r>
  <r>
    <x v="0"/>
    <x v="0"/>
    <x v="0"/>
    <x v="5"/>
    <x v="12"/>
    <s v="SE3_STO"/>
    <x v="10"/>
    <x v="8"/>
    <x v="0"/>
    <x v="0"/>
  </r>
  <r>
    <x v="0"/>
    <x v="0"/>
    <x v="0"/>
    <x v="5"/>
    <x v="12"/>
    <s v="SE3_STO"/>
    <x v="10"/>
    <x v="9"/>
    <x v="0"/>
    <x v="0"/>
  </r>
  <r>
    <x v="0"/>
    <x v="0"/>
    <x v="0"/>
    <x v="5"/>
    <x v="12"/>
    <s v="SE3_STO"/>
    <x v="10"/>
    <x v="10"/>
    <x v="0"/>
    <x v="0"/>
  </r>
  <r>
    <x v="0"/>
    <x v="0"/>
    <x v="0"/>
    <x v="5"/>
    <x v="12"/>
    <s v="SE3_STO"/>
    <x v="10"/>
    <x v="11"/>
    <x v="0"/>
    <x v="0"/>
  </r>
  <r>
    <x v="0"/>
    <x v="0"/>
    <x v="0"/>
    <x v="5"/>
    <x v="12"/>
    <s v="SE3_STO"/>
    <x v="11"/>
    <x v="0"/>
    <x v="0"/>
    <x v="0"/>
  </r>
  <r>
    <x v="0"/>
    <x v="0"/>
    <x v="0"/>
    <x v="5"/>
    <x v="12"/>
    <s v="SE3_STO"/>
    <x v="11"/>
    <x v="1"/>
    <x v="0"/>
    <x v="0"/>
  </r>
  <r>
    <x v="0"/>
    <x v="0"/>
    <x v="0"/>
    <x v="5"/>
    <x v="12"/>
    <s v="SE3_STO"/>
    <x v="11"/>
    <x v="2"/>
    <x v="0"/>
    <x v="0"/>
  </r>
  <r>
    <x v="0"/>
    <x v="0"/>
    <x v="0"/>
    <x v="5"/>
    <x v="12"/>
    <s v="SE3_STO"/>
    <x v="11"/>
    <x v="3"/>
    <x v="0"/>
    <x v="0"/>
  </r>
  <r>
    <x v="0"/>
    <x v="0"/>
    <x v="0"/>
    <x v="5"/>
    <x v="12"/>
    <s v="SE3_STO"/>
    <x v="11"/>
    <x v="4"/>
    <x v="0"/>
    <x v="0"/>
  </r>
  <r>
    <x v="0"/>
    <x v="0"/>
    <x v="0"/>
    <x v="5"/>
    <x v="12"/>
    <s v="SE3_STO"/>
    <x v="11"/>
    <x v="5"/>
    <x v="0"/>
    <x v="0"/>
  </r>
  <r>
    <x v="0"/>
    <x v="0"/>
    <x v="0"/>
    <x v="5"/>
    <x v="12"/>
    <s v="SE3_STO"/>
    <x v="11"/>
    <x v="6"/>
    <x v="0"/>
    <x v="0"/>
  </r>
  <r>
    <x v="0"/>
    <x v="0"/>
    <x v="0"/>
    <x v="5"/>
    <x v="12"/>
    <s v="SE3_STO"/>
    <x v="11"/>
    <x v="7"/>
    <x v="0"/>
    <x v="0"/>
  </r>
  <r>
    <x v="0"/>
    <x v="0"/>
    <x v="0"/>
    <x v="5"/>
    <x v="12"/>
    <s v="SE3_STO"/>
    <x v="11"/>
    <x v="8"/>
    <x v="0"/>
    <x v="0"/>
  </r>
  <r>
    <x v="0"/>
    <x v="0"/>
    <x v="0"/>
    <x v="5"/>
    <x v="12"/>
    <s v="SE3_STO"/>
    <x v="11"/>
    <x v="9"/>
    <x v="0"/>
    <x v="0"/>
  </r>
  <r>
    <x v="0"/>
    <x v="0"/>
    <x v="0"/>
    <x v="5"/>
    <x v="12"/>
    <s v="SE3_STO"/>
    <x v="11"/>
    <x v="10"/>
    <x v="0"/>
    <x v="0"/>
  </r>
  <r>
    <x v="0"/>
    <x v="0"/>
    <x v="0"/>
    <x v="5"/>
    <x v="12"/>
    <s v="SE3_STO"/>
    <x v="11"/>
    <x v="11"/>
    <x v="0"/>
    <x v="0"/>
  </r>
  <r>
    <x v="0"/>
    <x v="0"/>
    <x v="0"/>
    <x v="5"/>
    <x v="13"/>
    <s v="SE4A"/>
    <x v="0"/>
    <x v="0"/>
    <x v="0"/>
    <x v="0"/>
  </r>
  <r>
    <x v="0"/>
    <x v="0"/>
    <x v="0"/>
    <x v="5"/>
    <x v="13"/>
    <s v="SE4A"/>
    <x v="0"/>
    <x v="1"/>
    <x v="0"/>
    <x v="0"/>
  </r>
  <r>
    <x v="0"/>
    <x v="0"/>
    <x v="0"/>
    <x v="5"/>
    <x v="13"/>
    <s v="SE4A"/>
    <x v="0"/>
    <x v="2"/>
    <x v="0"/>
    <x v="0"/>
  </r>
  <r>
    <x v="0"/>
    <x v="0"/>
    <x v="0"/>
    <x v="5"/>
    <x v="13"/>
    <s v="SE4A"/>
    <x v="0"/>
    <x v="3"/>
    <x v="0"/>
    <x v="0"/>
  </r>
  <r>
    <x v="0"/>
    <x v="0"/>
    <x v="0"/>
    <x v="5"/>
    <x v="13"/>
    <s v="SE4A"/>
    <x v="0"/>
    <x v="4"/>
    <x v="0"/>
    <x v="0"/>
  </r>
  <r>
    <x v="0"/>
    <x v="0"/>
    <x v="0"/>
    <x v="5"/>
    <x v="13"/>
    <s v="SE4A"/>
    <x v="0"/>
    <x v="5"/>
    <x v="0"/>
    <x v="0"/>
  </r>
  <r>
    <x v="0"/>
    <x v="0"/>
    <x v="0"/>
    <x v="5"/>
    <x v="13"/>
    <s v="SE4A"/>
    <x v="0"/>
    <x v="6"/>
    <x v="0"/>
    <x v="0"/>
  </r>
  <r>
    <x v="0"/>
    <x v="0"/>
    <x v="0"/>
    <x v="5"/>
    <x v="13"/>
    <s v="SE4A"/>
    <x v="0"/>
    <x v="7"/>
    <x v="0"/>
    <x v="0"/>
  </r>
  <r>
    <x v="0"/>
    <x v="0"/>
    <x v="0"/>
    <x v="5"/>
    <x v="13"/>
    <s v="SE4A"/>
    <x v="0"/>
    <x v="8"/>
    <x v="0"/>
    <x v="0"/>
  </r>
  <r>
    <x v="0"/>
    <x v="0"/>
    <x v="0"/>
    <x v="5"/>
    <x v="13"/>
    <s v="SE4A"/>
    <x v="0"/>
    <x v="9"/>
    <x v="0"/>
    <x v="0"/>
  </r>
  <r>
    <x v="0"/>
    <x v="0"/>
    <x v="0"/>
    <x v="5"/>
    <x v="13"/>
    <s v="SE4A"/>
    <x v="0"/>
    <x v="10"/>
    <x v="0"/>
    <x v="0"/>
  </r>
  <r>
    <x v="0"/>
    <x v="0"/>
    <x v="0"/>
    <x v="5"/>
    <x v="13"/>
    <s v="SE4A"/>
    <x v="0"/>
    <x v="11"/>
    <x v="0"/>
    <x v="0"/>
  </r>
  <r>
    <x v="0"/>
    <x v="0"/>
    <x v="0"/>
    <x v="5"/>
    <x v="13"/>
    <s v="SE4A"/>
    <x v="1"/>
    <x v="0"/>
    <x v="0"/>
    <x v="0"/>
  </r>
  <r>
    <x v="0"/>
    <x v="0"/>
    <x v="0"/>
    <x v="5"/>
    <x v="13"/>
    <s v="SE4A"/>
    <x v="1"/>
    <x v="1"/>
    <x v="0"/>
    <x v="0"/>
  </r>
  <r>
    <x v="0"/>
    <x v="0"/>
    <x v="0"/>
    <x v="5"/>
    <x v="13"/>
    <s v="SE4A"/>
    <x v="1"/>
    <x v="2"/>
    <x v="0"/>
    <x v="0"/>
  </r>
  <r>
    <x v="0"/>
    <x v="0"/>
    <x v="0"/>
    <x v="5"/>
    <x v="13"/>
    <s v="SE4A"/>
    <x v="1"/>
    <x v="3"/>
    <x v="0"/>
    <x v="0"/>
  </r>
  <r>
    <x v="0"/>
    <x v="0"/>
    <x v="0"/>
    <x v="5"/>
    <x v="13"/>
    <s v="SE4A"/>
    <x v="1"/>
    <x v="4"/>
    <x v="0"/>
    <x v="0"/>
  </r>
  <r>
    <x v="0"/>
    <x v="0"/>
    <x v="0"/>
    <x v="5"/>
    <x v="13"/>
    <s v="SE4A"/>
    <x v="1"/>
    <x v="5"/>
    <x v="0"/>
    <x v="0"/>
  </r>
  <r>
    <x v="0"/>
    <x v="0"/>
    <x v="0"/>
    <x v="5"/>
    <x v="13"/>
    <s v="SE4A"/>
    <x v="1"/>
    <x v="6"/>
    <x v="0"/>
    <x v="0"/>
  </r>
  <r>
    <x v="0"/>
    <x v="0"/>
    <x v="0"/>
    <x v="5"/>
    <x v="13"/>
    <s v="SE4A"/>
    <x v="1"/>
    <x v="7"/>
    <x v="0"/>
    <x v="0"/>
  </r>
  <r>
    <x v="0"/>
    <x v="0"/>
    <x v="0"/>
    <x v="5"/>
    <x v="13"/>
    <s v="SE4A"/>
    <x v="1"/>
    <x v="8"/>
    <x v="0"/>
    <x v="0"/>
  </r>
  <r>
    <x v="0"/>
    <x v="0"/>
    <x v="0"/>
    <x v="5"/>
    <x v="13"/>
    <s v="SE4A"/>
    <x v="1"/>
    <x v="9"/>
    <x v="0"/>
    <x v="0"/>
  </r>
  <r>
    <x v="0"/>
    <x v="0"/>
    <x v="0"/>
    <x v="5"/>
    <x v="13"/>
    <s v="SE4A"/>
    <x v="1"/>
    <x v="10"/>
    <x v="0"/>
    <x v="0"/>
  </r>
  <r>
    <x v="0"/>
    <x v="0"/>
    <x v="0"/>
    <x v="5"/>
    <x v="13"/>
    <s v="SE4A"/>
    <x v="1"/>
    <x v="11"/>
    <x v="0"/>
    <x v="0"/>
  </r>
  <r>
    <x v="0"/>
    <x v="0"/>
    <x v="0"/>
    <x v="5"/>
    <x v="13"/>
    <s v="SE4A"/>
    <x v="2"/>
    <x v="0"/>
    <x v="0"/>
    <x v="0"/>
  </r>
  <r>
    <x v="0"/>
    <x v="0"/>
    <x v="0"/>
    <x v="5"/>
    <x v="13"/>
    <s v="SE4A"/>
    <x v="2"/>
    <x v="1"/>
    <x v="0"/>
    <x v="0"/>
  </r>
  <r>
    <x v="0"/>
    <x v="0"/>
    <x v="0"/>
    <x v="5"/>
    <x v="13"/>
    <s v="SE4A"/>
    <x v="2"/>
    <x v="2"/>
    <x v="0"/>
    <x v="0"/>
  </r>
  <r>
    <x v="0"/>
    <x v="0"/>
    <x v="0"/>
    <x v="5"/>
    <x v="13"/>
    <s v="SE4A"/>
    <x v="2"/>
    <x v="3"/>
    <x v="0"/>
    <x v="0"/>
  </r>
  <r>
    <x v="0"/>
    <x v="0"/>
    <x v="0"/>
    <x v="5"/>
    <x v="13"/>
    <s v="SE4A"/>
    <x v="2"/>
    <x v="4"/>
    <x v="0"/>
    <x v="0"/>
  </r>
  <r>
    <x v="0"/>
    <x v="0"/>
    <x v="0"/>
    <x v="5"/>
    <x v="13"/>
    <s v="SE4A"/>
    <x v="2"/>
    <x v="5"/>
    <x v="0"/>
    <x v="0"/>
  </r>
  <r>
    <x v="0"/>
    <x v="0"/>
    <x v="0"/>
    <x v="5"/>
    <x v="13"/>
    <s v="SE4A"/>
    <x v="2"/>
    <x v="6"/>
    <x v="0"/>
    <x v="0"/>
  </r>
  <r>
    <x v="0"/>
    <x v="0"/>
    <x v="0"/>
    <x v="5"/>
    <x v="13"/>
    <s v="SE4A"/>
    <x v="2"/>
    <x v="7"/>
    <x v="0"/>
    <x v="0"/>
  </r>
  <r>
    <x v="0"/>
    <x v="0"/>
    <x v="0"/>
    <x v="5"/>
    <x v="13"/>
    <s v="SE4A"/>
    <x v="2"/>
    <x v="8"/>
    <x v="0"/>
    <x v="0"/>
  </r>
  <r>
    <x v="0"/>
    <x v="0"/>
    <x v="0"/>
    <x v="5"/>
    <x v="13"/>
    <s v="SE4A"/>
    <x v="2"/>
    <x v="9"/>
    <x v="0"/>
    <x v="0"/>
  </r>
  <r>
    <x v="0"/>
    <x v="0"/>
    <x v="0"/>
    <x v="5"/>
    <x v="13"/>
    <s v="SE4A"/>
    <x v="2"/>
    <x v="10"/>
    <x v="0"/>
    <x v="0"/>
  </r>
  <r>
    <x v="0"/>
    <x v="0"/>
    <x v="0"/>
    <x v="5"/>
    <x v="13"/>
    <s v="SE4A"/>
    <x v="2"/>
    <x v="11"/>
    <x v="0"/>
    <x v="0"/>
  </r>
  <r>
    <x v="0"/>
    <x v="0"/>
    <x v="0"/>
    <x v="5"/>
    <x v="13"/>
    <s v="SE4A"/>
    <x v="3"/>
    <x v="0"/>
    <x v="0"/>
    <x v="0"/>
  </r>
  <r>
    <x v="0"/>
    <x v="0"/>
    <x v="0"/>
    <x v="5"/>
    <x v="13"/>
    <s v="SE4A"/>
    <x v="3"/>
    <x v="1"/>
    <x v="0"/>
    <x v="0"/>
  </r>
  <r>
    <x v="0"/>
    <x v="0"/>
    <x v="0"/>
    <x v="5"/>
    <x v="13"/>
    <s v="SE4A"/>
    <x v="3"/>
    <x v="2"/>
    <x v="0"/>
    <x v="0"/>
  </r>
  <r>
    <x v="0"/>
    <x v="0"/>
    <x v="0"/>
    <x v="5"/>
    <x v="13"/>
    <s v="SE4A"/>
    <x v="3"/>
    <x v="3"/>
    <x v="0"/>
    <x v="0"/>
  </r>
  <r>
    <x v="0"/>
    <x v="0"/>
    <x v="0"/>
    <x v="5"/>
    <x v="13"/>
    <s v="SE4A"/>
    <x v="3"/>
    <x v="4"/>
    <x v="0"/>
    <x v="0"/>
  </r>
  <r>
    <x v="0"/>
    <x v="0"/>
    <x v="0"/>
    <x v="5"/>
    <x v="13"/>
    <s v="SE4A"/>
    <x v="3"/>
    <x v="5"/>
    <x v="0"/>
    <x v="0"/>
  </r>
  <r>
    <x v="0"/>
    <x v="0"/>
    <x v="0"/>
    <x v="5"/>
    <x v="13"/>
    <s v="SE4A"/>
    <x v="3"/>
    <x v="6"/>
    <x v="0"/>
    <x v="0"/>
  </r>
  <r>
    <x v="0"/>
    <x v="0"/>
    <x v="0"/>
    <x v="5"/>
    <x v="13"/>
    <s v="SE4A"/>
    <x v="3"/>
    <x v="7"/>
    <x v="0"/>
    <x v="0"/>
  </r>
  <r>
    <x v="0"/>
    <x v="0"/>
    <x v="0"/>
    <x v="5"/>
    <x v="13"/>
    <s v="SE4A"/>
    <x v="3"/>
    <x v="8"/>
    <x v="0"/>
    <x v="0"/>
  </r>
  <r>
    <x v="0"/>
    <x v="0"/>
    <x v="0"/>
    <x v="5"/>
    <x v="13"/>
    <s v="SE4A"/>
    <x v="3"/>
    <x v="9"/>
    <x v="0"/>
    <x v="0"/>
  </r>
  <r>
    <x v="0"/>
    <x v="0"/>
    <x v="0"/>
    <x v="5"/>
    <x v="13"/>
    <s v="SE4A"/>
    <x v="3"/>
    <x v="10"/>
    <x v="0"/>
    <x v="0"/>
  </r>
  <r>
    <x v="0"/>
    <x v="0"/>
    <x v="0"/>
    <x v="5"/>
    <x v="13"/>
    <s v="SE4A"/>
    <x v="3"/>
    <x v="11"/>
    <x v="0"/>
    <x v="0"/>
  </r>
  <r>
    <x v="0"/>
    <x v="0"/>
    <x v="0"/>
    <x v="5"/>
    <x v="13"/>
    <s v="SE4A"/>
    <x v="4"/>
    <x v="0"/>
    <x v="0"/>
    <x v="0"/>
  </r>
  <r>
    <x v="0"/>
    <x v="0"/>
    <x v="0"/>
    <x v="5"/>
    <x v="13"/>
    <s v="SE4A"/>
    <x v="4"/>
    <x v="1"/>
    <x v="0"/>
    <x v="0"/>
  </r>
  <r>
    <x v="0"/>
    <x v="0"/>
    <x v="0"/>
    <x v="5"/>
    <x v="13"/>
    <s v="SE4A"/>
    <x v="4"/>
    <x v="2"/>
    <x v="0"/>
    <x v="0"/>
  </r>
  <r>
    <x v="0"/>
    <x v="0"/>
    <x v="0"/>
    <x v="5"/>
    <x v="13"/>
    <s v="SE4A"/>
    <x v="4"/>
    <x v="3"/>
    <x v="0"/>
    <x v="0"/>
  </r>
  <r>
    <x v="0"/>
    <x v="0"/>
    <x v="0"/>
    <x v="5"/>
    <x v="13"/>
    <s v="SE4A"/>
    <x v="4"/>
    <x v="4"/>
    <x v="0"/>
    <x v="0"/>
  </r>
  <r>
    <x v="0"/>
    <x v="0"/>
    <x v="0"/>
    <x v="5"/>
    <x v="13"/>
    <s v="SE4A"/>
    <x v="4"/>
    <x v="5"/>
    <x v="0"/>
    <x v="0"/>
  </r>
  <r>
    <x v="0"/>
    <x v="0"/>
    <x v="0"/>
    <x v="5"/>
    <x v="13"/>
    <s v="SE4A"/>
    <x v="4"/>
    <x v="6"/>
    <x v="0"/>
    <x v="0"/>
  </r>
  <r>
    <x v="0"/>
    <x v="0"/>
    <x v="0"/>
    <x v="5"/>
    <x v="13"/>
    <s v="SE4A"/>
    <x v="4"/>
    <x v="7"/>
    <x v="0"/>
    <x v="0"/>
  </r>
  <r>
    <x v="0"/>
    <x v="0"/>
    <x v="0"/>
    <x v="5"/>
    <x v="13"/>
    <s v="SE4A"/>
    <x v="4"/>
    <x v="8"/>
    <x v="0"/>
    <x v="0"/>
  </r>
  <r>
    <x v="0"/>
    <x v="0"/>
    <x v="0"/>
    <x v="5"/>
    <x v="13"/>
    <s v="SE4A"/>
    <x v="4"/>
    <x v="9"/>
    <x v="0"/>
    <x v="0"/>
  </r>
  <r>
    <x v="0"/>
    <x v="0"/>
    <x v="0"/>
    <x v="5"/>
    <x v="13"/>
    <s v="SE4A"/>
    <x v="4"/>
    <x v="10"/>
    <x v="0"/>
    <x v="0"/>
  </r>
  <r>
    <x v="0"/>
    <x v="0"/>
    <x v="0"/>
    <x v="5"/>
    <x v="13"/>
    <s v="SE4A"/>
    <x v="4"/>
    <x v="11"/>
    <x v="0"/>
    <x v="0"/>
  </r>
  <r>
    <x v="0"/>
    <x v="0"/>
    <x v="0"/>
    <x v="5"/>
    <x v="13"/>
    <s v="SE4A"/>
    <x v="5"/>
    <x v="0"/>
    <x v="0"/>
    <x v="0"/>
  </r>
  <r>
    <x v="0"/>
    <x v="0"/>
    <x v="0"/>
    <x v="5"/>
    <x v="13"/>
    <s v="SE4A"/>
    <x v="5"/>
    <x v="1"/>
    <x v="0"/>
    <x v="0"/>
  </r>
  <r>
    <x v="0"/>
    <x v="0"/>
    <x v="0"/>
    <x v="5"/>
    <x v="13"/>
    <s v="SE4A"/>
    <x v="5"/>
    <x v="2"/>
    <x v="0"/>
    <x v="0"/>
  </r>
  <r>
    <x v="0"/>
    <x v="0"/>
    <x v="0"/>
    <x v="5"/>
    <x v="13"/>
    <s v="SE4A"/>
    <x v="5"/>
    <x v="3"/>
    <x v="0"/>
    <x v="0"/>
  </r>
  <r>
    <x v="0"/>
    <x v="0"/>
    <x v="0"/>
    <x v="5"/>
    <x v="13"/>
    <s v="SE4A"/>
    <x v="5"/>
    <x v="4"/>
    <x v="0"/>
    <x v="0"/>
  </r>
  <r>
    <x v="0"/>
    <x v="0"/>
    <x v="0"/>
    <x v="5"/>
    <x v="13"/>
    <s v="SE4A"/>
    <x v="5"/>
    <x v="5"/>
    <x v="0"/>
    <x v="0"/>
  </r>
  <r>
    <x v="0"/>
    <x v="0"/>
    <x v="0"/>
    <x v="5"/>
    <x v="13"/>
    <s v="SE4A"/>
    <x v="5"/>
    <x v="6"/>
    <x v="0"/>
    <x v="0"/>
  </r>
  <r>
    <x v="0"/>
    <x v="0"/>
    <x v="0"/>
    <x v="5"/>
    <x v="13"/>
    <s v="SE4A"/>
    <x v="5"/>
    <x v="7"/>
    <x v="0"/>
    <x v="0"/>
  </r>
  <r>
    <x v="0"/>
    <x v="0"/>
    <x v="0"/>
    <x v="5"/>
    <x v="13"/>
    <s v="SE4A"/>
    <x v="5"/>
    <x v="8"/>
    <x v="0"/>
    <x v="0"/>
  </r>
  <r>
    <x v="0"/>
    <x v="0"/>
    <x v="0"/>
    <x v="5"/>
    <x v="13"/>
    <s v="SE4A"/>
    <x v="5"/>
    <x v="9"/>
    <x v="0"/>
    <x v="0"/>
  </r>
  <r>
    <x v="0"/>
    <x v="0"/>
    <x v="0"/>
    <x v="5"/>
    <x v="13"/>
    <s v="SE4A"/>
    <x v="5"/>
    <x v="10"/>
    <x v="0"/>
    <x v="0"/>
  </r>
  <r>
    <x v="0"/>
    <x v="0"/>
    <x v="0"/>
    <x v="5"/>
    <x v="13"/>
    <s v="SE4A"/>
    <x v="5"/>
    <x v="11"/>
    <x v="0"/>
    <x v="0"/>
  </r>
  <r>
    <x v="0"/>
    <x v="0"/>
    <x v="0"/>
    <x v="5"/>
    <x v="13"/>
    <s v="SE4A"/>
    <x v="6"/>
    <x v="0"/>
    <x v="0"/>
    <x v="0"/>
  </r>
  <r>
    <x v="0"/>
    <x v="0"/>
    <x v="0"/>
    <x v="5"/>
    <x v="13"/>
    <s v="SE4A"/>
    <x v="6"/>
    <x v="1"/>
    <x v="0"/>
    <x v="0"/>
  </r>
  <r>
    <x v="0"/>
    <x v="0"/>
    <x v="0"/>
    <x v="5"/>
    <x v="13"/>
    <s v="SE4A"/>
    <x v="6"/>
    <x v="2"/>
    <x v="0"/>
    <x v="0"/>
  </r>
  <r>
    <x v="0"/>
    <x v="0"/>
    <x v="0"/>
    <x v="5"/>
    <x v="13"/>
    <s v="SE4A"/>
    <x v="6"/>
    <x v="3"/>
    <x v="0"/>
    <x v="0"/>
  </r>
  <r>
    <x v="0"/>
    <x v="0"/>
    <x v="0"/>
    <x v="5"/>
    <x v="13"/>
    <s v="SE4A"/>
    <x v="6"/>
    <x v="4"/>
    <x v="0"/>
    <x v="0"/>
  </r>
  <r>
    <x v="0"/>
    <x v="0"/>
    <x v="0"/>
    <x v="5"/>
    <x v="13"/>
    <s v="SE4A"/>
    <x v="6"/>
    <x v="5"/>
    <x v="0"/>
    <x v="0"/>
  </r>
  <r>
    <x v="0"/>
    <x v="0"/>
    <x v="0"/>
    <x v="5"/>
    <x v="13"/>
    <s v="SE4A"/>
    <x v="6"/>
    <x v="6"/>
    <x v="0"/>
    <x v="0"/>
  </r>
  <r>
    <x v="0"/>
    <x v="0"/>
    <x v="0"/>
    <x v="5"/>
    <x v="13"/>
    <s v="SE4A"/>
    <x v="6"/>
    <x v="7"/>
    <x v="0"/>
    <x v="0"/>
  </r>
  <r>
    <x v="0"/>
    <x v="0"/>
    <x v="0"/>
    <x v="5"/>
    <x v="13"/>
    <s v="SE4A"/>
    <x v="6"/>
    <x v="8"/>
    <x v="0"/>
    <x v="0"/>
  </r>
  <r>
    <x v="0"/>
    <x v="0"/>
    <x v="0"/>
    <x v="5"/>
    <x v="13"/>
    <s v="SE4A"/>
    <x v="6"/>
    <x v="9"/>
    <x v="0"/>
    <x v="0"/>
  </r>
  <r>
    <x v="0"/>
    <x v="0"/>
    <x v="0"/>
    <x v="5"/>
    <x v="13"/>
    <s v="SE4A"/>
    <x v="6"/>
    <x v="10"/>
    <x v="0"/>
    <x v="0"/>
  </r>
  <r>
    <x v="0"/>
    <x v="0"/>
    <x v="0"/>
    <x v="5"/>
    <x v="13"/>
    <s v="SE4A"/>
    <x v="6"/>
    <x v="11"/>
    <x v="0"/>
    <x v="0"/>
  </r>
  <r>
    <x v="0"/>
    <x v="0"/>
    <x v="0"/>
    <x v="5"/>
    <x v="13"/>
    <s v="SE4A"/>
    <x v="7"/>
    <x v="0"/>
    <x v="0"/>
    <x v="0"/>
  </r>
  <r>
    <x v="0"/>
    <x v="0"/>
    <x v="0"/>
    <x v="5"/>
    <x v="13"/>
    <s v="SE4A"/>
    <x v="7"/>
    <x v="1"/>
    <x v="0"/>
    <x v="0"/>
  </r>
  <r>
    <x v="0"/>
    <x v="0"/>
    <x v="0"/>
    <x v="5"/>
    <x v="13"/>
    <s v="SE4A"/>
    <x v="7"/>
    <x v="2"/>
    <x v="0"/>
    <x v="0"/>
  </r>
  <r>
    <x v="0"/>
    <x v="0"/>
    <x v="0"/>
    <x v="5"/>
    <x v="13"/>
    <s v="SE4A"/>
    <x v="7"/>
    <x v="3"/>
    <x v="0"/>
    <x v="0"/>
  </r>
  <r>
    <x v="0"/>
    <x v="0"/>
    <x v="0"/>
    <x v="5"/>
    <x v="13"/>
    <s v="SE4A"/>
    <x v="7"/>
    <x v="4"/>
    <x v="0"/>
    <x v="0"/>
  </r>
  <r>
    <x v="0"/>
    <x v="0"/>
    <x v="0"/>
    <x v="5"/>
    <x v="13"/>
    <s v="SE4A"/>
    <x v="7"/>
    <x v="5"/>
    <x v="0"/>
    <x v="0"/>
  </r>
  <r>
    <x v="0"/>
    <x v="0"/>
    <x v="0"/>
    <x v="5"/>
    <x v="13"/>
    <s v="SE4A"/>
    <x v="7"/>
    <x v="6"/>
    <x v="0"/>
    <x v="0"/>
  </r>
  <r>
    <x v="0"/>
    <x v="0"/>
    <x v="0"/>
    <x v="5"/>
    <x v="13"/>
    <s v="SE4A"/>
    <x v="7"/>
    <x v="7"/>
    <x v="0"/>
    <x v="0"/>
  </r>
  <r>
    <x v="0"/>
    <x v="0"/>
    <x v="0"/>
    <x v="5"/>
    <x v="13"/>
    <s v="SE4A"/>
    <x v="7"/>
    <x v="8"/>
    <x v="0"/>
    <x v="0"/>
  </r>
  <r>
    <x v="0"/>
    <x v="0"/>
    <x v="0"/>
    <x v="5"/>
    <x v="13"/>
    <s v="SE4A"/>
    <x v="7"/>
    <x v="9"/>
    <x v="0"/>
    <x v="0"/>
  </r>
  <r>
    <x v="0"/>
    <x v="0"/>
    <x v="0"/>
    <x v="5"/>
    <x v="13"/>
    <s v="SE4A"/>
    <x v="7"/>
    <x v="10"/>
    <x v="0"/>
    <x v="0"/>
  </r>
  <r>
    <x v="0"/>
    <x v="0"/>
    <x v="0"/>
    <x v="5"/>
    <x v="13"/>
    <s v="SE4A"/>
    <x v="7"/>
    <x v="11"/>
    <x v="0"/>
    <x v="0"/>
  </r>
  <r>
    <x v="0"/>
    <x v="0"/>
    <x v="0"/>
    <x v="5"/>
    <x v="13"/>
    <s v="SE4A"/>
    <x v="8"/>
    <x v="0"/>
    <x v="0"/>
    <x v="0"/>
  </r>
  <r>
    <x v="0"/>
    <x v="0"/>
    <x v="0"/>
    <x v="5"/>
    <x v="13"/>
    <s v="SE4A"/>
    <x v="8"/>
    <x v="1"/>
    <x v="0"/>
    <x v="0"/>
  </r>
  <r>
    <x v="0"/>
    <x v="0"/>
    <x v="0"/>
    <x v="5"/>
    <x v="13"/>
    <s v="SE4A"/>
    <x v="8"/>
    <x v="2"/>
    <x v="0"/>
    <x v="0"/>
  </r>
  <r>
    <x v="0"/>
    <x v="0"/>
    <x v="0"/>
    <x v="5"/>
    <x v="13"/>
    <s v="SE4A"/>
    <x v="8"/>
    <x v="3"/>
    <x v="0"/>
    <x v="0"/>
  </r>
  <r>
    <x v="0"/>
    <x v="0"/>
    <x v="0"/>
    <x v="5"/>
    <x v="13"/>
    <s v="SE4A"/>
    <x v="8"/>
    <x v="4"/>
    <x v="0"/>
    <x v="0"/>
  </r>
  <r>
    <x v="0"/>
    <x v="0"/>
    <x v="0"/>
    <x v="5"/>
    <x v="13"/>
    <s v="SE4A"/>
    <x v="8"/>
    <x v="5"/>
    <x v="0"/>
    <x v="0"/>
  </r>
  <r>
    <x v="0"/>
    <x v="0"/>
    <x v="0"/>
    <x v="5"/>
    <x v="13"/>
    <s v="SE4A"/>
    <x v="8"/>
    <x v="6"/>
    <x v="0"/>
    <x v="0"/>
  </r>
  <r>
    <x v="0"/>
    <x v="0"/>
    <x v="0"/>
    <x v="5"/>
    <x v="13"/>
    <s v="SE4A"/>
    <x v="8"/>
    <x v="7"/>
    <x v="0"/>
    <x v="0"/>
  </r>
  <r>
    <x v="0"/>
    <x v="0"/>
    <x v="0"/>
    <x v="5"/>
    <x v="13"/>
    <s v="SE4A"/>
    <x v="8"/>
    <x v="8"/>
    <x v="0"/>
    <x v="0"/>
  </r>
  <r>
    <x v="0"/>
    <x v="0"/>
    <x v="0"/>
    <x v="5"/>
    <x v="13"/>
    <s v="SE4A"/>
    <x v="8"/>
    <x v="9"/>
    <x v="0"/>
    <x v="0"/>
  </r>
  <r>
    <x v="0"/>
    <x v="0"/>
    <x v="0"/>
    <x v="5"/>
    <x v="13"/>
    <s v="SE4A"/>
    <x v="8"/>
    <x v="10"/>
    <x v="0"/>
    <x v="0"/>
  </r>
  <r>
    <x v="0"/>
    <x v="0"/>
    <x v="0"/>
    <x v="5"/>
    <x v="13"/>
    <s v="SE4A"/>
    <x v="8"/>
    <x v="11"/>
    <x v="0"/>
    <x v="0"/>
  </r>
  <r>
    <x v="0"/>
    <x v="0"/>
    <x v="0"/>
    <x v="5"/>
    <x v="13"/>
    <s v="SE4A"/>
    <x v="9"/>
    <x v="0"/>
    <x v="0"/>
    <x v="0"/>
  </r>
  <r>
    <x v="0"/>
    <x v="0"/>
    <x v="0"/>
    <x v="5"/>
    <x v="13"/>
    <s v="SE4A"/>
    <x v="9"/>
    <x v="1"/>
    <x v="0"/>
    <x v="0"/>
  </r>
  <r>
    <x v="0"/>
    <x v="0"/>
    <x v="0"/>
    <x v="5"/>
    <x v="13"/>
    <s v="SE4A"/>
    <x v="9"/>
    <x v="2"/>
    <x v="0"/>
    <x v="0"/>
  </r>
  <r>
    <x v="0"/>
    <x v="0"/>
    <x v="0"/>
    <x v="5"/>
    <x v="13"/>
    <s v="SE4A"/>
    <x v="9"/>
    <x v="3"/>
    <x v="0"/>
    <x v="0"/>
  </r>
  <r>
    <x v="0"/>
    <x v="0"/>
    <x v="0"/>
    <x v="5"/>
    <x v="13"/>
    <s v="SE4A"/>
    <x v="9"/>
    <x v="4"/>
    <x v="0"/>
    <x v="0"/>
  </r>
  <r>
    <x v="0"/>
    <x v="0"/>
    <x v="0"/>
    <x v="5"/>
    <x v="13"/>
    <s v="SE4A"/>
    <x v="9"/>
    <x v="5"/>
    <x v="0"/>
    <x v="0"/>
  </r>
  <r>
    <x v="0"/>
    <x v="0"/>
    <x v="0"/>
    <x v="5"/>
    <x v="13"/>
    <s v="SE4A"/>
    <x v="9"/>
    <x v="6"/>
    <x v="0"/>
    <x v="0"/>
  </r>
  <r>
    <x v="0"/>
    <x v="0"/>
    <x v="0"/>
    <x v="5"/>
    <x v="13"/>
    <s v="SE4A"/>
    <x v="9"/>
    <x v="7"/>
    <x v="0"/>
    <x v="0"/>
  </r>
  <r>
    <x v="0"/>
    <x v="0"/>
    <x v="0"/>
    <x v="5"/>
    <x v="13"/>
    <s v="SE4A"/>
    <x v="9"/>
    <x v="8"/>
    <x v="0"/>
    <x v="0"/>
  </r>
  <r>
    <x v="0"/>
    <x v="0"/>
    <x v="0"/>
    <x v="5"/>
    <x v="13"/>
    <s v="SE4A"/>
    <x v="9"/>
    <x v="9"/>
    <x v="0"/>
    <x v="0"/>
  </r>
  <r>
    <x v="0"/>
    <x v="0"/>
    <x v="0"/>
    <x v="5"/>
    <x v="13"/>
    <s v="SE4A"/>
    <x v="9"/>
    <x v="10"/>
    <x v="0"/>
    <x v="0"/>
  </r>
  <r>
    <x v="0"/>
    <x v="0"/>
    <x v="0"/>
    <x v="5"/>
    <x v="13"/>
    <s v="SE4A"/>
    <x v="9"/>
    <x v="11"/>
    <x v="0"/>
    <x v="0"/>
  </r>
  <r>
    <x v="0"/>
    <x v="0"/>
    <x v="0"/>
    <x v="5"/>
    <x v="13"/>
    <s v="SE4A"/>
    <x v="10"/>
    <x v="0"/>
    <x v="0"/>
    <x v="0"/>
  </r>
  <r>
    <x v="0"/>
    <x v="0"/>
    <x v="0"/>
    <x v="5"/>
    <x v="13"/>
    <s v="SE4A"/>
    <x v="10"/>
    <x v="1"/>
    <x v="0"/>
    <x v="0"/>
  </r>
  <r>
    <x v="0"/>
    <x v="0"/>
    <x v="0"/>
    <x v="5"/>
    <x v="13"/>
    <s v="SE4A"/>
    <x v="10"/>
    <x v="2"/>
    <x v="0"/>
    <x v="0"/>
  </r>
  <r>
    <x v="0"/>
    <x v="0"/>
    <x v="0"/>
    <x v="5"/>
    <x v="13"/>
    <s v="SE4A"/>
    <x v="10"/>
    <x v="3"/>
    <x v="0"/>
    <x v="0"/>
  </r>
  <r>
    <x v="0"/>
    <x v="0"/>
    <x v="0"/>
    <x v="5"/>
    <x v="13"/>
    <s v="SE4A"/>
    <x v="10"/>
    <x v="4"/>
    <x v="0"/>
    <x v="0"/>
  </r>
  <r>
    <x v="0"/>
    <x v="0"/>
    <x v="0"/>
    <x v="5"/>
    <x v="13"/>
    <s v="SE4A"/>
    <x v="10"/>
    <x v="5"/>
    <x v="0"/>
    <x v="0"/>
  </r>
  <r>
    <x v="0"/>
    <x v="0"/>
    <x v="0"/>
    <x v="5"/>
    <x v="13"/>
    <s v="SE4A"/>
    <x v="10"/>
    <x v="6"/>
    <x v="0"/>
    <x v="0"/>
  </r>
  <r>
    <x v="0"/>
    <x v="0"/>
    <x v="0"/>
    <x v="5"/>
    <x v="13"/>
    <s v="SE4A"/>
    <x v="10"/>
    <x v="7"/>
    <x v="0"/>
    <x v="0"/>
  </r>
  <r>
    <x v="0"/>
    <x v="0"/>
    <x v="0"/>
    <x v="5"/>
    <x v="13"/>
    <s v="SE4A"/>
    <x v="10"/>
    <x v="8"/>
    <x v="0"/>
    <x v="0"/>
  </r>
  <r>
    <x v="0"/>
    <x v="0"/>
    <x v="0"/>
    <x v="5"/>
    <x v="13"/>
    <s v="SE4A"/>
    <x v="10"/>
    <x v="9"/>
    <x v="0"/>
    <x v="0"/>
  </r>
  <r>
    <x v="0"/>
    <x v="0"/>
    <x v="0"/>
    <x v="5"/>
    <x v="13"/>
    <s v="SE4A"/>
    <x v="10"/>
    <x v="10"/>
    <x v="0"/>
    <x v="0"/>
  </r>
  <r>
    <x v="0"/>
    <x v="0"/>
    <x v="0"/>
    <x v="5"/>
    <x v="13"/>
    <s v="SE4A"/>
    <x v="10"/>
    <x v="11"/>
    <x v="0"/>
    <x v="0"/>
  </r>
  <r>
    <x v="0"/>
    <x v="0"/>
    <x v="0"/>
    <x v="5"/>
    <x v="13"/>
    <s v="SE4A"/>
    <x v="11"/>
    <x v="0"/>
    <x v="0"/>
    <x v="0"/>
  </r>
  <r>
    <x v="0"/>
    <x v="0"/>
    <x v="0"/>
    <x v="5"/>
    <x v="13"/>
    <s v="SE4A"/>
    <x v="11"/>
    <x v="1"/>
    <x v="0"/>
    <x v="0"/>
  </r>
  <r>
    <x v="0"/>
    <x v="0"/>
    <x v="0"/>
    <x v="5"/>
    <x v="13"/>
    <s v="SE4A"/>
    <x v="11"/>
    <x v="2"/>
    <x v="0"/>
    <x v="0"/>
  </r>
  <r>
    <x v="0"/>
    <x v="0"/>
    <x v="0"/>
    <x v="5"/>
    <x v="13"/>
    <s v="SE4A"/>
    <x v="11"/>
    <x v="3"/>
    <x v="0"/>
    <x v="0"/>
  </r>
  <r>
    <x v="0"/>
    <x v="0"/>
    <x v="0"/>
    <x v="5"/>
    <x v="13"/>
    <s v="SE4A"/>
    <x v="11"/>
    <x v="4"/>
    <x v="0"/>
    <x v="0"/>
  </r>
  <r>
    <x v="0"/>
    <x v="0"/>
    <x v="0"/>
    <x v="5"/>
    <x v="13"/>
    <s v="SE4A"/>
    <x v="11"/>
    <x v="5"/>
    <x v="0"/>
    <x v="0"/>
  </r>
  <r>
    <x v="0"/>
    <x v="0"/>
    <x v="0"/>
    <x v="5"/>
    <x v="13"/>
    <s v="SE4A"/>
    <x v="11"/>
    <x v="6"/>
    <x v="0"/>
    <x v="0"/>
  </r>
  <r>
    <x v="0"/>
    <x v="0"/>
    <x v="0"/>
    <x v="5"/>
    <x v="13"/>
    <s v="SE4A"/>
    <x v="11"/>
    <x v="7"/>
    <x v="0"/>
    <x v="0"/>
  </r>
  <r>
    <x v="0"/>
    <x v="0"/>
    <x v="0"/>
    <x v="5"/>
    <x v="13"/>
    <s v="SE4A"/>
    <x v="11"/>
    <x v="8"/>
    <x v="0"/>
    <x v="0"/>
  </r>
  <r>
    <x v="0"/>
    <x v="0"/>
    <x v="0"/>
    <x v="5"/>
    <x v="13"/>
    <s v="SE4A"/>
    <x v="11"/>
    <x v="9"/>
    <x v="0"/>
    <x v="0"/>
  </r>
  <r>
    <x v="0"/>
    <x v="0"/>
    <x v="0"/>
    <x v="5"/>
    <x v="13"/>
    <s v="SE4A"/>
    <x v="11"/>
    <x v="10"/>
    <x v="0"/>
    <x v="0"/>
  </r>
  <r>
    <x v="0"/>
    <x v="0"/>
    <x v="0"/>
    <x v="5"/>
    <x v="13"/>
    <s v="SE4A"/>
    <x v="11"/>
    <x v="11"/>
    <x v="0"/>
    <x v="0"/>
  </r>
  <r>
    <x v="0"/>
    <x v="0"/>
    <x v="0"/>
    <x v="5"/>
    <x v="13"/>
    <s v="SE4_EL"/>
    <x v="0"/>
    <x v="0"/>
    <x v="0"/>
    <x v="0"/>
  </r>
  <r>
    <x v="0"/>
    <x v="0"/>
    <x v="0"/>
    <x v="5"/>
    <x v="13"/>
    <s v="SE4_EL"/>
    <x v="0"/>
    <x v="1"/>
    <x v="0"/>
    <x v="0"/>
  </r>
  <r>
    <x v="0"/>
    <x v="0"/>
    <x v="0"/>
    <x v="5"/>
    <x v="13"/>
    <s v="SE4_EL"/>
    <x v="0"/>
    <x v="2"/>
    <x v="0"/>
    <x v="0"/>
  </r>
  <r>
    <x v="0"/>
    <x v="0"/>
    <x v="0"/>
    <x v="5"/>
    <x v="13"/>
    <s v="SE4_EL"/>
    <x v="0"/>
    <x v="3"/>
    <x v="0"/>
    <x v="0"/>
  </r>
  <r>
    <x v="0"/>
    <x v="0"/>
    <x v="0"/>
    <x v="5"/>
    <x v="13"/>
    <s v="SE4_EL"/>
    <x v="0"/>
    <x v="4"/>
    <x v="0"/>
    <x v="0"/>
  </r>
  <r>
    <x v="0"/>
    <x v="0"/>
    <x v="0"/>
    <x v="5"/>
    <x v="13"/>
    <s v="SE4_EL"/>
    <x v="0"/>
    <x v="5"/>
    <x v="0"/>
    <x v="0"/>
  </r>
  <r>
    <x v="0"/>
    <x v="0"/>
    <x v="0"/>
    <x v="5"/>
    <x v="13"/>
    <s v="SE4_EL"/>
    <x v="0"/>
    <x v="6"/>
    <x v="0"/>
    <x v="0"/>
  </r>
  <r>
    <x v="0"/>
    <x v="0"/>
    <x v="0"/>
    <x v="5"/>
    <x v="13"/>
    <s v="SE4_EL"/>
    <x v="0"/>
    <x v="7"/>
    <x v="0"/>
    <x v="0"/>
  </r>
  <r>
    <x v="0"/>
    <x v="0"/>
    <x v="0"/>
    <x v="5"/>
    <x v="13"/>
    <s v="SE4_EL"/>
    <x v="0"/>
    <x v="8"/>
    <x v="0"/>
    <x v="0"/>
  </r>
  <r>
    <x v="0"/>
    <x v="0"/>
    <x v="0"/>
    <x v="5"/>
    <x v="13"/>
    <s v="SE4_EL"/>
    <x v="0"/>
    <x v="9"/>
    <x v="0"/>
    <x v="0"/>
  </r>
  <r>
    <x v="0"/>
    <x v="0"/>
    <x v="0"/>
    <x v="5"/>
    <x v="13"/>
    <s v="SE4_EL"/>
    <x v="0"/>
    <x v="10"/>
    <x v="0"/>
    <x v="0"/>
  </r>
  <r>
    <x v="0"/>
    <x v="0"/>
    <x v="0"/>
    <x v="5"/>
    <x v="13"/>
    <s v="SE4_EL"/>
    <x v="0"/>
    <x v="11"/>
    <x v="0"/>
    <x v="0"/>
  </r>
  <r>
    <x v="0"/>
    <x v="0"/>
    <x v="0"/>
    <x v="5"/>
    <x v="13"/>
    <s v="SE4_EL"/>
    <x v="1"/>
    <x v="0"/>
    <x v="0"/>
    <x v="0"/>
  </r>
  <r>
    <x v="0"/>
    <x v="0"/>
    <x v="0"/>
    <x v="5"/>
    <x v="13"/>
    <s v="SE4_EL"/>
    <x v="1"/>
    <x v="1"/>
    <x v="0"/>
    <x v="0"/>
  </r>
  <r>
    <x v="0"/>
    <x v="0"/>
    <x v="0"/>
    <x v="5"/>
    <x v="13"/>
    <s v="SE4_EL"/>
    <x v="1"/>
    <x v="2"/>
    <x v="0"/>
    <x v="0"/>
  </r>
  <r>
    <x v="0"/>
    <x v="0"/>
    <x v="0"/>
    <x v="5"/>
    <x v="13"/>
    <s v="SE4_EL"/>
    <x v="1"/>
    <x v="3"/>
    <x v="0"/>
    <x v="0"/>
  </r>
  <r>
    <x v="0"/>
    <x v="0"/>
    <x v="0"/>
    <x v="5"/>
    <x v="13"/>
    <s v="SE4_EL"/>
    <x v="1"/>
    <x v="4"/>
    <x v="0"/>
    <x v="0"/>
  </r>
  <r>
    <x v="0"/>
    <x v="0"/>
    <x v="0"/>
    <x v="5"/>
    <x v="13"/>
    <s v="SE4_EL"/>
    <x v="1"/>
    <x v="5"/>
    <x v="0"/>
    <x v="0"/>
  </r>
  <r>
    <x v="0"/>
    <x v="0"/>
    <x v="0"/>
    <x v="5"/>
    <x v="13"/>
    <s v="SE4_EL"/>
    <x v="1"/>
    <x v="6"/>
    <x v="0"/>
    <x v="0"/>
  </r>
  <r>
    <x v="0"/>
    <x v="0"/>
    <x v="0"/>
    <x v="5"/>
    <x v="13"/>
    <s v="SE4_EL"/>
    <x v="1"/>
    <x v="7"/>
    <x v="0"/>
    <x v="0"/>
  </r>
  <r>
    <x v="0"/>
    <x v="0"/>
    <x v="0"/>
    <x v="5"/>
    <x v="13"/>
    <s v="SE4_EL"/>
    <x v="1"/>
    <x v="8"/>
    <x v="0"/>
    <x v="0"/>
  </r>
  <r>
    <x v="0"/>
    <x v="0"/>
    <x v="0"/>
    <x v="5"/>
    <x v="13"/>
    <s v="SE4_EL"/>
    <x v="1"/>
    <x v="9"/>
    <x v="0"/>
    <x v="0"/>
  </r>
  <r>
    <x v="0"/>
    <x v="0"/>
    <x v="0"/>
    <x v="5"/>
    <x v="13"/>
    <s v="SE4_EL"/>
    <x v="1"/>
    <x v="10"/>
    <x v="0"/>
    <x v="0"/>
  </r>
  <r>
    <x v="0"/>
    <x v="0"/>
    <x v="0"/>
    <x v="5"/>
    <x v="13"/>
    <s v="SE4_EL"/>
    <x v="1"/>
    <x v="11"/>
    <x v="0"/>
    <x v="0"/>
  </r>
  <r>
    <x v="0"/>
    <x v="0"/>
    <x v="0"/>
    <x v="5"/>
    <x v="13"/>
    <s v="SE4_EL"/>
    <x v="2"/>
    <x v="0"/>
    <x v="0"/>
    <x v="0"/>
  </r>
  <r>
    <x v="0"/>
    <x v="0"/>
    <x v="0"/>
    <x v="5"/>
    <x v="13"/>
    <s v="SE4_EL"/>
    <x v="2"/>
    <x v="1"/>
    <x v="0"/>
    <x v="0"/>
  </r>
  <r>
    <x v="0"/>
    <x v="0"/>
    <x v="0"/>
    <x v="5"/>
    <x v="13"/>
    <s v="SE4_EL"/>
    <x v="2"/>
    <x v="2"/>
    <x v="0"/>
    <x v="0"/>
  </r>
  <r>
    <x v="0"/>
    <x v="0"/>
    <x v="0"/>
    <x v="5"/>
    <x v="13"/>
    <s v="SE4_EL"/>
    <x v="2"/>
    <x v="3"/>
    <x v="0"/>
    <x v="0"/>
  </r>
  <r>
    <x v="0"/>
    <x v="0"/>
    <x v="0"/>
    <x v="5"/>
    <x v="13"/>
    <s v="SE4_EL"/>
    <x v="2"/>
    <x v="4"/>
    <x v="0"/>
    <x v="0"/>
  </r>
  <r>
    <x v="0"/>
    <x v="0"/>
    <x v="0"/>
    <x v="5"/>
    <x v="13"/>
    <s v="SE4_EL"/>
    <x v="2"/>
    <x v="5"/>
    <x v="0"/>
    <x v="0"/>
  </r>
  <r>
    <x v="0"/>
    <x v="0"/>
    <x v="0"/>
    <x v="5"/>
    <x v="13"/>
    <s v="SE4_EL"/>
    <x v="2"/>
    <x v="6"/>
    <x v="0"/>
    <x v="0"/>
  </r>
  <r>
    <x v="0"/>
    <x v="0"/>
    <x v="0"/>
    <x v="5"/>
    <x v="13"/>
    <s v="SE4_EL"/>
    <x v="2"/>
    <x v="7"/>
    <x v="0"/>
    <x v="0"/>
  </r>
  <r>
    <x v="0"/>
    <x v="0"/>
    <x v="0"/>
    <x v="5"/>
    <x v="13"/>
    <s v="SE4_EL"/>
    <x v="2"/>
    <x v="8"/>
    <x v="0"/>
    <x v="0"/>
  </r>
  <r>
    <x v="0"/>
    <x v="0"/>
    <x v="0"/>
    <x v="5"/>
    <x v="13"/>
    <s v="SE4_EL"/>
    <x v="2"/>
    <x v="9"/>
    <x v="0"/>
    <x v="0"/>
  </r>
  <r>
    <x v="0"/>
    <x v="0"/>
    <x v="0"/>
    <x v="5"/>
    <x v="13"/>
    <s v="SE4_EL"/>
    <x v="2"/>
    <x v="10"/>
    <x v="0"/>
    <x v="0"/>
  </r>
  <r>
    <x v="0"/>
    <x v="0"/>
    <x v="0"/>
    <x v="5"/>
    <x v="13"/>
    <s v="SE4_EL"/>
    <x v="2"/>
    <x v="11"/>
    <x v="0"/>
    <x v="0"/>
  </r>
  <r>
    <x v="0"/>
    <x v="0"/>
    <x v="0"/>
    <x v="5"/>
    <x v="13"/>
    <s v="SE4_EL"/>
    <x v="3"/>
    <x v="0"/>
    <x v="0"/>
    <x v="0"/>
  </r>
  <r>
    <x v="0"/>
    <x v="0"/>
    <x v="0"/>
    <x v="5"/>
    <x v="13"/>
    <s v="SE4_EL"/>
    <x v="3"/>
    <x v="1"/>
    <x v="0"/>
    <x v="0"/>
  </r>
  <r>
    <x v="0"/>
    <x v="0"/>
    <x v="0"/>
    <x v="5"/>
    <x v="13"/>
    <s v="SE4_EL"/>
    <x v="3"/>
    <x v="2"/>
    <x v="0"/>
    <x v="0"/>
  </r>
  <r>
    <x v="0"/>
    <x v="0"/>
    <x v="0"/>
    <x v="5"/>
    <x v="13"/>
    <s v="SE4_EL"/>
    <x v="3"/>
    <x v="3"/>
    <x v="0"/>
    <x v="0"/>
  </r>
  <r>
    <x v="0"/>
    <x v="0"/>
    <x v="0"/>
    <x v="5"/>
    <x v="13"/>
    <s v="SE4_EL"/>
    <x v="3"/>
    <x v="4"/>
    <x v="0"/>
    <x v="0"/>
  </r>
  <r>
    <x v="0"/>
    <x v="0"/>
    <x v="0"/>
    <x v="5"/>
    <x v="13"/>
    <s v="SE4_EL"/>
    <x v="3"/>
    <x v="5"/>
    <x v="0"/>
    <x v="0"/>
  </r>
  <r>
    <x v="0"/>
    <x v="0"/>
    <x v="0"/>
    <x v="5"/>
    <x v="13"/>
    <s v="SE4_EL"/>
    <x v="3"/>
    <x v="6"/>
    <x v="0"/>
    <x v="0"/>
  </r>
  <r>
    <x v="0"/>
    <x v="0"/>
    <x v="0"/>
    <x v="5"/>
    <x v="13"/>
    <s v="SE4_EL"/>
    <x v="3"/>
    <x v="7"/>
    <x v="0"/>
    <x v="0"/>
  </r>
  <r>
    <x v="0"/>
    <x v="0"/>
    <x v="0"/>
    <x v="5"/>
    <x v="13"/>
    <s v="SE4_EL"/>
    <x v="3"/>
    <x v="8"/>
    <x v="0"/>
    <x v="0"/>
  </r>
  <r>
    <x v="0"/>
    <x v="0"/>
    <x v="0"/>
    <x v="5"/>
    <x v="13"/>
    <s v="SE4_EL"/>
    <x v="3"/>
    <x v="9"/>
    <x v="0"/>
    <x v="0"/>
  </r>
  <r>
    <x v="0"/>
    <x v="0"/>
    <x v="0"/>
    <x v="5"/>
    <x v="13"/>
    <s v="SE4_EL"/>
    <x v="3"/>
    <x v="10"/>
    <x v="0"/>
    <x v="0"/>
  </r>
  <r>
    <x v="0"/>
    <x v="0"/>
    <x v="0"/>
    <x v="5"/>
    <x v="13"/>
    <s v="SE4_EL"/>
    <x v="3"/>
    <x v="11"/>
    <x v="0"/>
    <x v="0"/>
  </r>
  <r>
    <x v="0"/>
    <x v="0"/>
    <x v="0"/>
    <x v="5"/>
    <x v="13"/>
    <s v="SE4_EL"/>
    <x v="4"/>
    <x v="0"/>
    <x v="0"/>
    <x v="0"/>
  </r>
  <r>
    <x v="0"/>
    <x v="0"/>
    <x v="0"/>
    <x v="5"/>
    <x v="13"/>
    <s v="SE4_EL"/>
    <x v="4"/>
    <x v="1"/>
    <x v="0"/>
    <x v="0"/>
  </r>
  <r>
    <x v="0"/>
    <x v="0"/>
    <x v="0"/>
    <x v="5"/>
    <x v="13"/>
    <s v="SE4_EL"/>
    <x v="4"/>
    <x v="2"/>
    <x v="0"/>
    <x v="0"/>
  </r>
  <r>
    <x v="0"/>
    <x v="0"/>
    <x v="0"/>
    <x v="5"/>
    <x v="13"/>
    <s v="SE4_EL"/>
    <x v="4"/>
    <x v="3"/>
    <x v="0"/>
    <x v="0"/>
  </r>
  <r>
    <x v="0"/>
    <x v="0"/>
    <x v="0"/>
    <x v="5"/>
    <x v="13"/>
    <s v="SE4_EL"/>
    <x v="4"/>
    <x v="4"/>
    <x v="0"/>
    <x v="0"/>
  </r>
  <r>
    <x v="0"/>
    <x v="0"/>
    <x v="0"/>
    <x v="5"/>
    <x v="13"/>
    <s v="SE4_EL"/>
    <x v="4"/>
    <x v="5"/>
    <x v="0"/>
    <x v="0"/>
  </r>
  <r>
    <x v="0"/>
    <x v="0"/>
    <x v="0"/>
    <x v="5"/>
    <x v="13"/>
    <s v="SE4_EL"/>
    <x v="4"/>
    <x v="6"/>
    <x v="0"/>
    <x v="0"/>
  </r>
  <r>
    <x v="0"/>
    <x v="0"/>
    <x v="0"/>
    <x v="5"/>
    <x v="13"/>
    <s v="SE4_EL"/>
    <x v="4"/>
    <x v="7"/>
    <x v="0"/>
    <x v="0"/>
  </r>
  <r>
    <x v="0"/>
    <x v="0"/>
    <x v="0"/>
    <x v="5"/>
    <x v="13"/>
    <s v="SE4_EL"/>
    <x v="4"/>
    <x v="8"/>
    <x v="0"/>
    <x v="0"/>
  </r>
  <r>
    <x v="0"/>
    <x v="0"/>
    <x v="0"/>
    <x v="5"/>
    <x v="13"/>
    <s v="SE4_EL"/>
    <x v="4"/>
    <x v="9"/>
    <x v="0"/>
    <x v="0"/>
  </r>
  <r>
    <x v="0"/>
    <x v="0"/>
    <x v="0"/>
    <x v="5"/>
    <x v="13"/>
    <s v="SE4_EL"/>
    <x v="4"/>
    <x v="10"/>
    <x v="0"/>
    <x v="0"/>
  </r>
  <r>
    <x v="0"/>
    <x v="0"/>
    <x v="0"/>
    <x v="5"/>
    <x v="13"/>
    <s v="SE4_EL"/>
    <x v="4"/>
    <x v="11"/>
    <x v="0"/>
    <x v="0"/>
  </r>
  <r>
    <x v="0"/>
    <x v="0"/>
    <x v="0"/>
    <x v="5"/>
    <x v="13"/>
    <s v="SE4_EL"/>
    <x v="5"/>
    <x v="0"/>
    <x v="0"/>
    <x v="0"/>
  </r>
  <r>
    <x v="0"/>
    <x v="0"/>
    <x v="0"/>
    <x v="5"/>
    <x v="13"/>
    <s v="SE4_EL"/>
    <x v="5"/>
    <x v="1"/>
    <x v="0"/>
    <x v="0"/>
  </r>
  <r>
    <x v="0"/>
    <x v="0"/>
    <x v="0"/>
    <x v="5"/>
    <x v="13"/>
    <s v="SE4_EL"/>
    <x v="5"/>
    <x v="2"/>
    <x v="0"/>
    <x v="0"/>
  </r>
  <r>
    <x v="0"/>
    <x v="0"/>
    <x v="0"/>
    <x v="5"/>
    <x v="13"/>
    <s v="SE4_EL"/>
    <x v="5"/>
    <x v="3"/>
    <x v="0"/>
    <x v="0"/>
  </r>
  <r>
    <x v="0"/>
    <x v="0"/>
    <x v="0"/>
    <x v="5"/>
    <x v="13"/>
    <s v="SE4_EL"/>
    <x v="5"/>
    <x v="4"/>
    <x v="0"/>
    <x v="0"/>
  </r>
  <r>
    <x v="0"/>
    <x v="0"/>
    <x v="0"/>
    <x v="5"/>
    <x v="13"/>
    <s v="SE4_EL"/>
    <x v="5"/>
    <x v="5"/>
    <x v="0"/>
    <x v="0"/>
  </r>
  <r>
    <x v="0"/>
    <x v="0"/>
    <x v="0"/>
    <x v="5"/>
    <x v="13"/>
    <s v="SE4_EL"/>
    <x v="5"/>
    <x v="6"/>
    <x v="0"/>
    <x v="0"/>
  </r>
  <r>
    <x v="0"/>
    <x v="0"/>
    <x v="0"/>
    <x v="5"/>
    <x v="13"/>
    <s v="SE4_EL"/>
    <x v="5"/>
    <x v="7"/>
    <x v="0"/>
    <x v="0"/>
  </r>
  <r>
    <x v="0"/>
    <x v="0"/>
    <x v="0"/>
    <x v="5"/>
    <x v="13"/>
    <s v="SE4_EL"/>
    <x v="5"/>
    <x v="8"/>
    <x v="0"/>
    <x v="0"/>
  </r>
  <r>
    <x v="0"/>
    <x v="0"/>
    <x v="0"/>
    <x v="5"/>
    <x v="13"/>
    <s v="SE4_EL"/>
    <x v="5"/>
    <x v="9"/>
    <x v="0"/>
    <x v="0"/>
  </r>
  <r>
    <x v="0"/>
    <x v="0"/>
    <x v="0"/>
    <x v="5"/>
    <x v="13"/>
    <s v="SE4_EL"/>
    <x v="5"/>
    <x v="10"/>
    <x v="0"/>
    <x v="0"/>
  </r>
  <r>
    <x v="0"/>
    <x v="0"/>
    <x v="0"/>
    <x v="5"/>
    <x v="13"/>
    <s v="SE4_EL"/>
    <x v="5"/>
    <x v="11"/>
    <x v="0"/>
    <x v="0"/>
  </r>
  <r>
    <x v="0"/>
    <x v="0"/>
    <x v="0"/>
    <x v="5"/>
    <x v="13"/>
    <s v="SE4_EL"/>
    <x v="6"/>
    <x v="0"/>
    <x v="0"/>
    <x v="0"/>
  </r>
  <r>
    <x v="0"/>
    <x v="0"/>
    <x v="0"/>
    <x v="5"/>
    <x v="13"/>
    <s v="SE4_EL"/>
    <x v="6"/>
    <x v="1"/>
    <x v="0"/>
    <x v="0"/>
  </r>
  <r>
    <x v="0"/>
    <x v="0"/>
    <x v="0"/>
    <x v="5"/>
    <x v="13"/>
    <s v="SE4_EL"/>
    <x v="6"/>
    <x v="2"/>
    <x v="0"/>
    <x v="0"/>
  </r>
  <r>
    <x v="0"/>
    <x v="0"/>
    <x v="0"/>
    <x v="5"/>
    <x v="13"/>
    <s v="SE4_EL"/>
    <x v="6"/>
    <x v="3"/>
    <x v="0"/>
    <x v="0"/>
  </r>
  <r>
    <x v="0"/>
    <x v="0"/>
    <x v="0"/>
    <x v="5"/>
    <x v="13"/>
    <s v="SE4_EL"/>
    <x v="6"/>
    <x v="4"/>
    <x v="0"/>
    <x v="0"/>
  </r>
  <r>
    <x v="0"/>
    <x v="0"/>
    <x v="0"/>
    <x v="5"/>
    <x v="13"/>
    <s v="SE4_EL"/>
    <x v="6"/>
    <x v="5"/>
    <x v="0"/>
    <x v="0"/>
  </r>
  <r>
    <x v="0"/>
    <x v="0"/>
    <x v="0"/>
    <x v="5"/>
    <x v="13"/>
    <s v="SE4_EL"/>
    <x v="6"/>
    <x v="6"/>
    <x v="0"/>
    <x v="0"/>
  </r>
  <r>
    <x v="0"/>
    <x v="0"/>
    <x v="0"/>
    <x v="5"/>
    <x v="13"/>
    <s v="SE4_EL"/>
    <x v="6"/>
    <x v="7"/>
    <x v="0"/>
    <x v="0"/>
  </r>
  <r>
    <x v="0"/>
    <x v="0"/>
    <x v="0"/>
    <x v="5"/>
    <x v="13"/>
    <s v="SE4_EL"/>
    <x v="6"/>
    <x v="8"/>
    <x v="0"/>
    <x v="0"/>
  </r>
  <r>
    <x v="0"/>
    <x v="0"/>
    <x v="0"/>
    <x v="5"/>
    <x v="13"/>
    <s v="SE4_EL"/>
    <x v="6"/>
    <x v="9"/>
    <x v="0"/>
    <x v="0"/>
  </r>
  <r>
    <x v="0"/>
    <x v="0"/>
    <x v="0"/>
    <x v="5"/>
    <x v="13"/>
    <s v="SE4_EL"/>
    <x v="6"/>
    <x v="10"/>
    <x v="0"/>
    <x v="0"/>
  </r>
  <r>
    <x v="0"/>
    <x v="0"/>
    <x v="0"/>
    <x v="5"/>
    <x v="13"/>
    <s v="SE4_EL"/>
    <x v="6"/>
    <x v="11"/>
    <x v="0"/>
    <x v="0"/>
  </r>
  <r>
    <x v="0"/>
    <x v="0"/>
    <x v="0"/>
    <x v="5"/>
    <x v="13"/>
    <s v="SE4_EL"/>
    <x v="7"/>
    <x v="0"/>
    <x v="0"/>
    <x v="0"/>
  </r>
  <r>
    <x v="0"/>
    <x v="0"/>
    <x v="0"/>
    <x v="5"/>
    <x v="13"/>
    <s v="SE4_EL"/>
    <x v="7"/>
    <x v="1"/>
    <x v="0"/>
    <x v="0"/>
  </r>
  <r>
    <x v="0"/>
    <x v="0"/>
    <x v="0"/>
    <x v="5"/>
    <x v="13"/>
    <s v="SE4_EL"/>
    <x v="7"/>
    <x v="2"/>
    <x v="0"/>
    <x v="0"/>
  </r>
  <r>
    <x v="0"/>
    <x v="0"/>
    <x v="0"/>
    <x v="5"/>
    <x v="13"/>
    <s v="SE4_EL"/>
    <x v="7"/>
    <x v="3"/>
    <x v="0"/>
    <x v="0"/>
  </r>
  <r>
    <x v="0"/>
    <x v="0"/>
    <x v="0"/>
    <x v="5"/>
    <x v="13"/>
    <s v="SE4_EL"/>
    <x v="7"/>
    <x v="4"/>
    <x v="0"/>
    <x v="0"/>
  </r>
  <r>
    <x v="0"/>
    <x v="0"/>
    <x v="0"/>
    <x v="5"/>
    <x v="13"/>
    <s v="SE4_EL"/>
    <x v="7"/>
    <x v="5"/>
    <x v="0"/>
    <x v="0"/>
  </r>
  <r>
    <x v="0"/>
    <x v="0"/>
    <x v="0"/>
    <x v="5"/>
    <x v="13"/>
    <s v="SE4_EL"/>
    <x v="7"/>
    <x v="6"/>
    <x v="0"/>
    <x v="0"/>
  </r>
  <r>
    <x v="0"/>
    <x v="0"/>
    <x v="0"/>
    <x v="5"/>
    <x v="13"/>
    <s v="SE4_EL"/>
    <x v="7"/>
    <x v="7"/>
    <x v="0"/>
    <x v="0"/>
  </r>
  <r>
    <x v="0"/>
    <x v="0"/>
    <x v="0"/>
    <x v="5"/>
    <x v="13"/>
    <s v="SE4_EL"/>
    <x v="7"/>
    <x v="8"/>
    <x v="0"/>
    <x v="0"/>
  </r>
  <r>
    <x v="0"/>
    <x v="0"/>
    <x v="0"/>
    <x v="5"/>
    <x v="13"/>
    <s v="SE4_EL"/>
    <x v="7"/>
    <x v="9"/>
    <x v="0"/>
    <x v="0"/>
  </r>
  <r>
    <x v="0"/>
    <x v="0"/>
    <x v="0"/>
    <x v="5"/>
    <x v="13"/>
    <s v="SE4_EL"/>
    <x v="7"/>
    <x v="10"/>
    <x v="0"/>
    <x v="0"/>
  </r>
  <r>
    <x v="0"/>
    <x v="0"/>
    <x v="0"/>
    <x v="5"/>
    <x v="13"/>
    <s v="SE4_EL"/>
    <x v="7"/>
    <x v="11"/>
    <x v="0"/>
    <x v="0"/>
  </r>
  <r>
    <x v="0"/>
    <x v="0"/>
    <x v="0"/>
    <x v="5"/>
    <x v="13"/>
    <s v="SE4_EL"/>
    <x v="8"/>
    <x v="0"/>
    <x v="0"/>
    <x v="0"/>
  </r>
  <r>
    <x v="0"/>
    <x v="0"/>
    <x v="0"/>
    <x v="5"/>
    <x v="13"/>
    <s v="SE4_EL"/>
    <x v="8"/>
    <x v="1"/>
    <x v="0"/>
    <x v="0"/>
  </r>
  <r>
    <x v="0"/>
    <x v="0"/>
    <x v="0"/>
    <x v="5"/>
    <x v="13"/>
    <s v="SE4_EL"/>
    <x v="8"/>
    <x v="2"/>
    <x v="0"/>
    <x v="0"/>
  </r>
  <r>
    <x v="0"/>
    <x v="0"/>
    <x v="0"/>
    <x v="5"/>
    <x v="13"/>
    <s v="SE4_EL"/>
    <x v="8"/>
    <x v="3"/>
    <x v="0"/>
    <x v="0"/>
  </r>
  <r>
    <x v="0"/>
    <x v="0"/>
    <x v="0"/>
    <x v="5"/>
    <x v="13"/>
    <s v="SE4_EL"/>
    <x v="8"/>
    <x v="4"/>
    <x v="0"/>
    <x v="0"/>
  </r>
  <r>
    <x v="0"/>
    <x v="0"/>
    <x v="0"/>
    <x v="5"/>
    <x v="13"/>
    <s v="SE4_EL"/>
    <x v="8"/>
    <x v="5"/>
    <x v="0"/>
    <x v="0"/>
  </r>
  <r>
    <x v="0"/>
    <x v="0"/>
    <x v="0"/>
    <x v="5"/>
    <x v="13"/>
    <s v="SE4_EL"/>
    <x v="8"/>
    <x v="6"/>
    <x v="0"/>
    <x v="0"/>
  </r>
  <r>
    <x v="0"/>
    <x v="0"/>
    <x v="0"/>
    <x v="5"/>
    <x v="13"/>
    <s v="SE4_EL"/>
    <x v="8"/>
    <x v="7"/>
    <x v="0"/>
    <x v="0"/>
  </r>
  <r>
    <x v="0"/>
    <x v="0"/>
    <x v="0"/>
    <x v="5"/>
    <x v="13"/>
    <s v="SE4_EL"/>
    <x v="8"/>
    <x v="8"/>
    <x v="0"/>
    <x v="0"/>
  </r>
  <r>
    <x v="0"/>
    <x v="0"/>
    <x v="0"/>
    <x v="5"/>
    <x v="13"/>
    <s v="SE4_EL"/>
    <x v="8"/>
    <x v="9"/>
    <x v="0"/>
    <x v="0"/>
  </r>
  <r>
    <x v="0"/>
    <x v="0"/>
    <x v="0"/>
    <x v="5"/>
    <x v="13"/>
    <s v="SE4_EL"/>
    <x v="8"/>
    <x v="10"/>
    <x v="0"/>
    <x v="0"/>
  </r>
  <r>
    <x v="0"/>
    <x v="0"/>
    <x v="0"/>
    <x v="5"/>
    <x v="13"/>
    <s v="SE4_EL"/>
    <x v="8"/>
    <x v="11"/>
    <x v="0"/>
    <x v="0"/>
  </r>
  <r>
    <x v="0"/>
    <x v="0"/>
    <x v="0"/>
    <x v="5"/>
    <x v="13"/>
    <s v="SE4_EL"/>
    <x v="9"/>
    <x v="0"/>
    <x v="0"/>
    <x v="0"/>
  </r>
  <r>
    <x v="0"/>
    <x v="0"/>
    <x v="0"/>
    <x v="5"/>
    <x v="13"/>
    <s v="SE4_EL"/>
    <x v="9"/>
    <x v="1"/>
    <x v="0"/>
    <x v="0"/>
  </r>
  <r>
    <x v="0"/>
    <x v="0"/>
    <x v="0"/>
    <x v="5"/>
    <x v="13"/>
    <s v="SE4_EL"/>
    <x v="9"/>
    <x v="2"/>
    <x v="0"/>
    <x v="0"/>
  </r>
  <r>
    <x v="0"/>
    <x v="0"/>
    <x v="0"/>
    <x v="5"/>
    <x v="13"/>
    <s v="SE4_EL"/>
    <x v="9"/>
    <x v="3"/>
    <x v="0"/>
    <x v="0"/>
  </r>
  <r>
    <x v="0"/>
    <x v="0"/>
    <x v="0"/>
    <x v="5"/>
    <x v="13"/>
    <s v="SE4_EL"/>
    <x v="9"/>
    <x v="4"/>
    <x v="0"/>
    <x v="0"/>
  </r>
  <r>
    <x v="0"/>
    <x v="0"/>
    <x v="0"/>
    <x v="5"/>
    <x v="13"/>
    <s v="SE4_EL"/>
    <x v="9"/>
    <x v="5"/>
    <x v="0"/>
    <x v="0"/>
  </r>
  <r>
    <x v="0"/>
    <x v="0"/>
    <x v="0"/>
    <x v="5"/>
    <x v="13"/>
    <s v="SE4_EL"/>
    <x v="9"/>
    <x v="6"/>
    <x v="0"/>
    <x v="0"/>
  </r>
  <r>
    <x v="0"/>
    <x v="0"/>
    <x v="0"/>
    <x v="5"/>
    <x v="13"/>
    <s v="SE4_EL"/>
    <x v="9"/>
    <x v="7"/>
    <x v="0"/>
    <x v="0"/>
  </r>
  <r>
    <x v="0"/>
    <x v="0"/>
    <x v="0"/>
    <x v="5"/>
    <x v="13"/>
    <s v="SE4_EL"/>
    <x v="9"/>
    <x v="8"/>
    <x v="0"/>
    <x v="0"/>
  </r>
  <r>
    <x v="0"/>
    <x v="0"/>
    <x v="0"/>
    <x v="5"/>
    <x v="13"/>
    <s v="SE4_EL"/>
    <x v="9"/>
    <x v="9"/>
    <x v="0"/>
    <x v="0"/>
  </r>
  <r>
    <x v="0"/>
    <x v="0"/>
    <x v="0"/>
    <x v="5"/>
    <x v="13"/>
    <s v="SE4_EL"/>
    <x v="9"/>
    <x v="10"/>
    <x v="0"/>
    <x v="0"/>
  </r>
  <r>
    <x v="0"/>
    <x v="0"/>
    <x v="0"/>
    <x v="5"/>
    <x v="13"/>
    <s v="SE4_EL"/>
    <x v="9"/>
    <x v="11"/>
    <x v="0"/>
    <x v="0"/>
  </r>
  <r>
    <x v="0"/>
    <x v="0"/>
    <x v="0"/>
    <x v="5"/>
    <x v="13"/>
    <s v="SE4_EL"/>
    <x v="10"/>
    <x v="0"/>
    <x v="0"/>
    <x v="0"/>
  </r>
  <r>
    <x v="0"/>
    <x v="0"/>
    <x v="0"/>
    <x v="5"/>
    <x v="13"/>
    <s v="SE4_EL"/>
    <x v="10"/>
    <x v="1"/>
    <x v="0"/>
    <x v="0"/>
  </r>
  <r>
    <x v="0"/>
    <x v="0"/>
    <x v="0"/>
    <x v="5"/>
    <x v="13"/>
    <s v="SE4_EL"/>
    <x v="10"/>
    <x v="2"/>
    <x v="0"/>
    <x v="0"/>
  </r>
  <r>
    <x v="0"/>
    <x v="0"/>
    <x v="0"/>
    <x v="5"/>
    <x v="13"/>
    <s v="SE4_EL"/>
    <x v="10"/>
    <x v="3"/>
    <x v="0"/>
    <x v="0"/>
  </r>
  <r>
    <x v="0"/>
    <x v="0"/>
    <x v="0"/>
    <x v="5"/>
    <x v="13"/>
    <s v="SE4_EL"/>
    <x v="10"/>
    <x v="4"/>
    <x v="0"/>
    <x v="0"/>
  </r>
  <r>
    <x v="0"/>
    <x v="0"/>
    <x v="0"/>
    <x v="5"/>
    <x v="13"/>
    <s v="SE4_EL"/>
    <x v="10"/>
    <x v="5"/>
    <x v="0"/>
    <x v="0"/>
  </r>
  <r>
    <x v="0"/>
    <x v="0"/>
    <x v="0"/>
    <x v="5"/>
    <x v="13"/>
    <s v="SE4_EL"/>
    <x v="10"/>
    <x v="6"/>
    <x v="0"/>
    <x v="0"/>
  </r>
  <r>
    <x v="0"/>
    <x v="0"/>
    <x v="0"/>
    <x v="5"/>
    <x v="13"/>
    <s v="SE4_EL"/>
    <x v="10"/>
    <x v="7"/>
    <x v="0"/>
    <x v="0"/>
  </r>
  <r>
    <x v="0"/>
    <x v="0"/>
    <x v="0"/>
    <x v="5"/>
    <x v="13"/>
    <s v="SE4_EL"/>
    <x v="10"/>
    <x v="8"/>
    <x v="0"/>
    <x v="0"/>
  </r>
  <r>
    <x v="0"/>
    <x v="0"/>
    <x v="0"/>
    <x v="5"/>
    <x v="13"/>
    <s v="SE4_EL"/>
    <x v="10"/>
    <x v="9"/>
    <x v="0"/>
    <x v="0"/>
  </r>
  <r>
    <x v="0"/>
    <x v="0"/>
    <x v="0"/>
    <x v="5"/>
    <x v="13"/>
    <s v="SE4_EL"/>
    <x v="10"/>
    <x v="10"/>
    <x v="0"/>
    <x v="0"/>
  </r>
  <r>
    <x v="0"/>
    <x v="0"/>
    <x v="0"/>
    <x v="5"/>
    <x v="13"/>
    <s v="SE4_EL"/>
    <x v="10"/>
    <x v="11"/>
    <x v="0"/>
    <x v="0"/>
  </r>
  <r>
    <x v="0"/>
    <x v="0"/>
    <x v="0"/>
    <x v="5"/>
    <x v="13"/>
    <s v="SE4_EL"/>
    <x v="11"/>
    <x v="0"/>
    <x v="0"/>
    <x v="0"/>
  </r>
  <r>
    <x v="0"/>
    <x v="0"/>
    <x v="0"/>
    <x v="5"/>
    <x v="13"/>
    <s v="SE4_EL"/>
    <x v="11"/>
    <x v="1"/>
    <x v="0"/>
    <x v="0"/>
  </r>
  <r>
    <x v="0"/>
    <x v="0"/>
    <x v="0"/>
    <x v="5"/>
    <x v="13"/>
    <s v="SE4_EL"/>
    <x v="11"/>
    <x v="2"/>
    <x v="0"/>
    <x v="0"/>
  </r>
  <r>
    <x v="0"/>
    <x v="0"/>
    <x v="0"/>
    <x v="5"/>
    <x v="13"/>
    <s v="SE4_EL"/>
    <x v="11"/>
    <x v="3"/>
    <x v="0"/>
    <x v="0"/>
  </r>
  <r>
    <x v="0"/>
    <x v="0"/>
    <x v="0"/>
    <x v="5"/>
    <x v="13"/>
    <s v="SE4_EL"/>
    <x v="11"/>
    <x v="4"/>
    <x v="0"/>
    <x v="0"/>
  </r>
  <r>
    <x v="0"/>
    <x v="0"/>
    <x v="0"/>
    <x v="5"/>
    <x v="13"/>
    <s v="SE4_EL"/>
    <x v="11"/>
    <x v="5"/>
    <x v="0"/>
    <x v="0"/>
  </r>
  <r>
    <x v="0"/>
    <x v="0"/>
    <x v="0"/>
    <x v="5"/>
    <x v="13"/>
    <s v="SE4_EL"/>
    <x v="11"/>
    <x v="6"/>
    <x v="0"/>
    <x v="0"/>
  </r>
  <r>
    <x v="0"/>
    <x v="0"/>
    <x v="0"/>
    <x v="5"/>
    <x v="13"/>
    <s v="SE4_EL"/>
    <x v="11"/>
    <x v="7"/>
    <x v="0"/>
    <x v="0"/>
  </r>
  <r>
    <x v="0"/>
    <x v="0"/>
    <x v="0"/>
    <x v="5"/>
    <x v="13"/>
    <s v="SE4_EL"/>
    <x v="11"/>
    <x v="8"/>
    <x v="0"/>
    <x v="0"/>
  </r>
  <r>
    <x v="0"/>
    <x v="0"/>
    <x v="0"/>
    <x v="5"/>
    <x v="13"/>
    <s v="SE4_EL"/>
    <x v="11"/>
    <x v="9"/>
    <x v="0"/>
    <x v="0"/>
  </r>
  <r>
    <x v="0"/>
    <x v="0"/>
    <x v="0"/>
    <x v="5"/>
    <x v="13"/>
    <s v="SE4_EL"/>
    <x v="11"/>
    <x v="10"/>
    <x v="0"/>
    <x v="0"/>
  </r>
  <r>
    <x v="0"/>
    <x v="0"/>
    <x v="0"/>
    <x v="5"/>
    <x v="13"/>
    <s v="SE4_EL"/>
    <x v="11"/>
    <x v="11"/>
    <x v="0"/>
    <x v="0"/>
  </r>
  <r>
    <x v="0"/>
    <x v="0"/>
    <x v="0"/>
    <x v="5"/>
    <x v="13"/>
    <s v="SE4_HP"/>
    <x v="0"/>
    <x v="0"/>
    <x v="0"/>
    <x v="0"/>
  </r>
  <r>
    <x v="0"/>
    <x v="0"/>
    <x v="0"/>
    <x v="5"/>
    <x v="13"/>
    <s v="SE4_HP"/>
    <x v="0"/>
    <x v="1"/>
    <x v="0"/>
    <x v="0"/>
  </r>
  <r>
    <x v="0"/>
    <x v="0"/>
    <x v="0"/>
    <x v="5"/>
    <x v="13"/>
    <s v="SE4_HP"/>
    <x v="0"/>
    <x v="2"/>
    <x v="0"/>
    <x v="0"/>
  </r>
  <r>
    <x v="0"/>
    <x v="0"/>
    <x v="0"/>
    <x v="5"/>
    <x v="13"/>
    <s v="SE4_HP"/>
    <x v="0"/>
    <x v="3"/>
    <x v="0"/>
    <x v="0"/>
  </r>
  <r>
    <x v="0"/>
    <x v="0"/>
    <x v="0"/>
    <x v="5"/>
    <x v="13"/>
    <s v="SE4_HP"/>
    <x v="0"/>
    <x v="4"/>
    <x v="0"/>
    <x v="0"/>
  </r>
  <r>
    <x v="0"/>
    <x v="0"/>
    <x v="0"/>
    <x v="5"/>
    <x v="13"/>
    <s v="SE4_HP"/>
    <x v="0"/>
    <x v="5"/>
    <x v="0"/>
    <x v="0"/>
  </r>
  <r>
    <x v="0"/>
    <x v="0"/>
    <x v="0"/>
    <x v="5"/>
    <x v="13"/>
    <s v="SE4_HP"/>
    <x v="0"/>
    <x v="6"/>
    <x v="0"/>
    <x v="0"/>
  </r>
  <r>
    <x v="0"/>
    <x v="0"/>
    <x v="0"/>
    <x v="5"/>
    <x v="13"/>
    <s v="SE4_HP"/>
    <x v="0"/>
    <x v="7"/>
    <x v="0"/>
    <x v="0"/>
  </r>
  <r>
    <x v="0"/>
    <x v="0"/>
    <x v="0"/>
    <x v="5"/>
    <x v="13"/>
    <s v="SE4_HP"/>
    <x v="0"/>
    <x v="8"/>
    <x v="0"/>
    <x v="0"/>
  </r>
  <r>
    <x v="0"/>
    <x v="0"/>
    <x v="0"/>
    <x v="5"/>
    <x v="13"/>
    <s v="SE4_HP"/>
    <x v="0"/>
    <x v="9"/>
    <x v="0"/>
    <x v="0"/>
  </r>
  <r>
    <x v="0"/>
    <x v="0"/>
    <x v="0"/>
    <x v="5"/>
    <x v="13"/>
    <s v="SE4_HP"/>
    <x v="0"/>
    <x v="10"/>
    <x v="0"/>
    <x v="0"/>
  </r>
  <r>
    <x v="0"/>
    <x v="0"/>
    <x v="0"/>
    <x v="5"/>
    <x v="13"/>
    <s v="SE4_HP"/>
    <x v="0"/>
    <x v="11"/>
    <x v="0"/>
    <x v="0"/>
  </r>
  <r>
    <x v="0"/>
    <x v="0"/>
    <x v="0"/>
    <x v="5"/>
    <x v="13"/>
    <s v="SE4_HP"/>
    <x v="1"/>
    <x v="0"/>
    <x v="0"/>
    <x v="0"/>
  </r>
  <r>
    <x v="0"/>
    <x v="0"/>
    <x v="0"/>
    <x v="5"/>
    <x v="13"/>
    <s v="SE4_HP"/>
    <x v="1"/>
    <x v="1"/>
    <x v="0"/>
    <x v="0"/>
  </r>
  <r>
    <x v="0"/>
    <x v="0"/>
    <x v="0"/>
    <x v="5"/>
    <x v="13"/>
    <s v="SE4_HP"/>
    <x v="1"/>
    <x v="2"/>
    <x v="0"/>
    <x v="0"/>
  </r>
  <r>
    <x v="0"/>
    <x v="0"/>
    <x v="0"/>
    <x v="5"/>
    <x v="13"/>
    <s v="SE4_HP"/>
    <x v="1"/>
    <x v="3"/>
    <x v="0"/>
    <x v="0"/>
  </r>
  <r>
    <x v="0"/>
    <x v="0"/>
    <x v="0"/>
    <x v="5"/>
    <x v="13"/>
    <s v="SE4_HP"/>
    <x v="1"/>
    <x v="4"/>
    <x v="0"/>
    <x v="0"/>
  </r>
  <r>
    <x v="0"/>
    <x v="0"/>
    <x v="0"/>
    <x v="5"/>
    <x v="13"/>
    <s v="SE4_HP"/>
    <x v="1"/>
    <x v="5"/>
    <x v="0"/>
    <x v="0"/>
  </r>
  <r>
    <x v="0"/>
    <x v="0"/>
    <x v="0"/>
    <x v="5"/>
    <x v="13"/>
    <s v="SE4_HP"/>
    <x v="1"/>
    <x v="6"/>
    <x v="0"/>
    <x v="0"/>
  </r>
  <r>
    <x v="0"/>
    <x v="0"/>
    <x v="0"/>
    <x v="5"/>
    <x v="13"/>
    <s v="SE4_HP"/>
    <x v="1"/>
    <x v="7"/>
    <x v="0"/>
    <x v="0"/>
  </r>
  <r>
    <x v="0"/>
    <x v="0"/>
    <x v="0"/>
    <x v="5"/>
    <x v="13"/>
    <s v="SE4_HP"/>
    <x v="1"/>
    <x v="8"/>
    <x v="0"/>
    <x v="0"/>
  </r>
  <r>
    <x v="0"/>
    <x v="0"/>
    <x v="0"/>
    <x v="5"/>
    <x v="13"/>
    <s v="SE4_HP"/>
    <x v="1"/>
    <x v="9"/>
    <x v="0"/>
    <x v="0"/>
  </r>
  <r>
    <x v="0"/>
    <x v="0"/>
    <x v="0"/>
    <x v="5"/>
    <x v="13"/>
    <s v="SE4_HP"/>
    <x v="1"/>
    <x v="10"/>
    <x v="0"/>
    <x v="0"/>
  </r>
  <r>
    <x v="0"/>
    <x v="0"/>
    <x v="0"/>
    <x v="5"/>
    <x v="13"/>
    <s v="SE4_HP"/>
    <x v="1"/>
    <x v="11"/>
    <x v="0"/>
    <x v="0"/>
  </r>
  <r>
    <x v="0"/>
    <x v="0"/>
    <x v="0"/>
    <x v="5"/>
    <x v="13"/>
    <s v="SE4_HP"/>
    <x v="2"/>
    <x v="0"/>
    <x v="0"/>
    <x v="0"/>
  </r>
  <r>
    <x v="0"/>
    <x v="0"/>
    <x v="0"/>
    <x v="5"/>
    <x v="13"/>
    <s v="SE4_HP"/>
    <x v="2"/>
    <x v="1"/>
    <x v="0"/>
    <x v="0"/>
  </r>
  <r>
    <x v="0"/>
    <x v="0"/>
    <x v="0"/>
    <x v="5"/>
    <x v="13"/>
    <s v="SE4_HP"/>
    <x v="2"/>
    <x v="2"/>
    <x v="0"/>
    <x v="0"/>
  </r>
  <r>
    <x v="0"/>
    <x v="0"/>
    <x v="0"/>
    <x v="5"/>
    <x v="13"/>
    <s v="SE4_HP"/>
    <x v="2"/>
    <x v="3"/>
    <x v="0"/>
    <x v="0"/>
  </r>
  <r>
    <x v="0"/>
    <x v="0"/>
    <x v="0"/>
    <x v="5"/>
    <x v="13"/>
    <s v="SE4_HP"/>
    <x v="2"/>
    <x v="4"/>
    <x v="0"/>
    <x v="0"/>
  </r>
  <r>
    <x v="0"/>
    <x v="0"/>
    <x v="0"/>
    <x v="5"/>
    <x v="13"/>
    <s v="SE4_HP"/>
    <x v="2"/>
    <x v="5"/>
    <x v="0"/>
    <x v="0"/>
  </r>
  <r>
    <x v="0"/>
    <x v="0"/>
    <x v="0"/>
    <x v="5"/>
    <x v="13"/>
    <s v="SE4_HP"/>
    <x v="2"/>
    <x v="6"/>
    <x v="0"/>
    <x v="0"/>
  </r>
  <r>
    <x v="0"/>
    <x v="0"/>
    <x v="0"/>
    <x v="5"/>
    <x v="13"/>
    <s v="SE4_HP"/>
    <x v="2"/>
    <x v="7"/>
    <x v="0"/>
    <x v="0"/>
  </r>
  <r>
    <x v="0"/>
    <x v="0"/>
    <x v="0"/>
    <x v="5"/>
    <x v="13"/>
    <s v="SE4_HP"/>
    <x v="2"/>
    <x v="8"/>
    <x v="0"/>
    <x v="0"/>
  </r>
  <r>
    <x v="0"/>
    <x v="0"/>
    <x v="0"/>
    <x v="5"/>
    <x v="13"/>
    <s v="SE4_HP"/>
    <x v="2"/>
    <x v="9"/>
    <x v="0"/>
    <x v="0"/>
  </r>
  <r>
    <x v="0"/>
    <x v="0"/>
    <x v="0"/>
    <x v="5"/>
    <x v="13"/>
    <s v="SE4_HP"/>
    <x v="2"/>
    <x v="10"/>
    <x v="0"/>
    <x v="0"/>
  </r>
  <r>
    <x v="0"/>
    <x v="0"/>
    <x v="0"/>
    <x v="5"/>
    <x v="13"/>
    <s v="SE4_HP"/>
    <x v="2"/>
    <x v="11"/>
    <x v="0"/>
    <x v="0"/>
  </r>
  <r>
    <x v="0"/>
    <x v="0"/>
    <x v="0"/>
    <x v="5"/>
    <x v="13"/>
    <s v="SE4_HP"/>
    <x v="3"/>
    <x v="0"/>
    <x v="0"/>
    <x v="0"/>
  </r>
  <r>
    <x v="0"/>
    <x v="0"/>
    <x v="0"/>
    <x v="5"/>
    <x v="13"/>
    <s v="SE4_HP"/>
    <x v="3"/>
    <x v="1"/>
    <x v="0"/>
    <x v="0"/>
  </r>
  <r>
    <x v="0"/>
    <x v="0"/>
    <x v="0"/>
    <x v="5"/>
    <x v="13"/>
    <s v="SE4_HP"/>
    <x v="3"/>
    <x v="2"/>
    <x v="0"/>
    <x v="0"/>
  </r>
  <r>
    <x v="0"/>
    <x v="0"/>
    <x v="0"/>
    <x v="5"/>
    <x v="13"/>
    <s v="SE4_HP"/>
    <x v="3"/>
    <x v="3"/>
    <x v="0"/>
    <x v="0"/>
  </r>
  <r>
    <x v="0"/>
    <x v="0"/>
    <x v="0"/>
    <x v="5"/>
    <x v="13"/>
    <s v="SE4_HP"/>
    <x v="3"/>
    <x v="4"/>
    <x v="0"/>
    <x v="0"/>
  </r>
  <r>
    <x v="0"/>
    <x v="0"/>
    <x v="0"/>
    <x v="5"/>
    <x v="13"/>
    <s v="SE4_HP"/>
    <x v="3"/>
    <x v="5"/>
    <x v="0"/>
    <x v="0"/>
  </r>
  <r>
    <x v="0"/>
    <x v="0"/>
    <x v="0"/>
    <x v="5"/>
    <x v="13"/>
    <s v="SE4_HP"/>
    <x v="3"/>
    <x v="6"/>
    <x v="0"/>
    <x v="0"/>
  </r>
  <r>
    <x v="0"/>
    <x v="0"/>
    <x v="0"/>
    <x v="5"/>
    <x v="13"/>
    <s v="SE4_HP"/>
    <x v="3"/>
    <x v="7"/>
    <x v="0"/>
    <x v="0"/>
  </r>
  <r>
    <x v="0"/>
    <x v="0"/>
    <x v="0"/>
    <x v="5"/>
    <x v="13"/>
    <s v="SE4_HP"/>
    <x v="3"/>
    <x v="8"/>
    <x v="0"/>
    <x v="0"/>
  </r>
  <r>
    <x v="0"/>
    <x v="0"/>
    <x v="0"/>
    <x v="5"/>
    <x v="13"/>
    <s v="SE4_HP"/>
    <x v="3"/>
    <x v="9"/>
    <x v="0"/>
    <x v="0"/>
  </r>
  <r>
    <x v="0"/>
    <x v="0"/>
    <x v="0"/>
    <x v="5"/>
    <x v="13"/>
    <s v="SE4_HP"/>
    <x v="3"/>
    <x v="10"/>
    <x v="0"/>
    <x v="0"/>
  </r>
  <r>
    <x v="0"/>
    <x v="0"/>
    <x v="0"/>
    <x v="5"/>
    <x v="13"/>
    <s v="SE4_HP"/>
    <x v="3"/>
    <x v="11"/>
    <x v="0"/>
    <x v="0"/>
  </r>
  <r>
    <x v="0"/>
    <x v="0"/>
    <x v="0"/>
    <x v="5"/>
    <x v="13"/>
    <s v="SE4_HP"/>
    <x v="4"/>
    <x v="0"/>
    <x v="0"/>
    <x v="0"/>
  </r>
  <r>
    <x v="0"/>
    <x v="0"/>
    <x v="0"/>
    <x v="5"/>
    <x v="13"/>
    <s v="SE4_HP"/>
    <x v="4"/>
    <x v="1"/>
    <x v="0"/>
    <x v="0"/>
  </r>
  <r>
    <x v="0"/>
    <x v="0"/>
    <x v="0"/>
    <x v="5"/>
    <x v="13"/>
    <s v="SE4_HP"/>
    <x v="4"/>
    <x v="2"/>
    <x v="0"/>
    <x v="0"/>
  </r>
  <r>
    <x v="0"/>
    <x v="0"/>
    <x v="0"/>
    <x v="5"/>
    <x v="13"/>
    <s v="SE4_HP"/>
    <x v="4"/>
    <x v="3"/>
    <x v="0"/>
    <x v="0"/>
  </r>
  <r>
    <x v="0"/>
    <x v="0"/>
    <x v="0"/>
    <x v="5"/>
    <x v="13"/>
    <s v="SE4_HP"/>
    <x v="4"/>
    <x v="4"/>
    <x v="0"/>
    <x v="0"/>
  </r>
  <r>
    <x v="0"/>
    <x v="0"/>
    <x v="0"/>
    <x v="5"/>
    <x v="13"/>
    <s v="SE4_HP"/>
    <x v="4"/>
    <x v="5"/>
    <x v="0"/>
    <x v="0"/>
  </r>
  <r>
    <x v="0"/>
    <x v="0"/>
    <x v="0"/>
    <x v="5"/>
    <x v="13"/>
    <s v="SE4_HP"/>
    <x v="4"/>
    <x v="6"/>
    <x v="0"/>
    <x v="0"/>
  </r>
  <r>
    <x v="0"/>
    <x v="0"/>
    <x v="0"/>
    <x v="5"/>
    <x v="13"/>
    <s v="SE4_HP"/>
    <x v="4"/>
    <x v="7"/>
    <x v="0"/>
    <x v="0"/>
  </r>
  <r>
    <x v="0"/>
    <x v="0"/>
    <x v="0"/>
    <x v="5"/>
    <x v="13"/>
    <s v="SE4_HP"/>
    <x v="4"/>
    <x v="8"/>
    <x v="0"/>
    <x v="0"/>
  </r>
  <r>
    <x v="0"/>
    <x v="0"/>
    <x v="0"/>
    <x v="5"/>
    <x v="13"/>
    <s v="SE4_HP"/>
    <x v="4"/>
    <x v="9"/>
    <x v="0"/>
    <x v="0"/>
  </r>
  <r>
    <x v="0"/>
    <x v="0"/>
    <x v="0"/>
    <x v="5"/>
    <x v="13"/>
    <s v="SE4_HP"/>
    <x v="4"/>
    <x v="10"/>
    <x v="0"/>
    <x v="0"/>
  </r>
  <r>
    <x v="0"/>
    <x v="0"/>
    <x v="0"/>
    <x v="5"/>
    <x v="13"/>
    <s v="SE4_HP"/>
    <x v="4"/>
    <x v="11"/>
    <x v="0"/>
    <x v="0"/>
  </r>
  <r>
    <x v="0"/>
    <x v="0"/>
    <x v="0"/>
    <x v="5"/>
    <x v="13"/>
    <s v="SE4_HP"/>
    <x v="5"/>
    <x v="0"/>
    <x v="0"/>
    <x v="0"/>
  </r>
  <r>
    <x v="0"/>
    <x v="0"/>
    <x v="0"/>
    <x v="5"/>
    <x v="13"/>
    <s v="SE4_HP"/>
    <x v="5"/>
    <x v="1"/>
    <x v="0"/>
    <x v="0"/>
  </r>
  <r>
    <x v="0"/>
    <x v="0"/>
    <x v="0"/>
    <x v="5"/>
    <x v="13"/>
    <s v="SE4_HP"/>
    <x v="5"/>
    <x v="2"/>
    <x v="0"/>
    <x v="0"/>
  </r>
  <r>
    <x v="0"/>
    <x v="0"/>
    <x v="0"/>
    <x v="5"/>
    <x v="13"/>
    <s v="SE4_HP"/>
    <x v="5"/>
    <x v="3"/>
    <x v="0"/>
    <x v="0"/>
  </r>
  <r>
    <x v="0"/>
    <x v="0"/>
    <x v="0"/>
    <x v="5"/>
    <x v="13"/>
    <s v="SE4_HP"/>
    <x v="5"/>
    <x v="4"/>
    <x v="0"/>
    <x v="0"/>
  </r>
  <r>
    <x v="0"/>
    <x v="0"/>
    <x v="0"/>
    <x v="5"/>
    <x v="13"/>
    <s v="SE4_HP"/>
    <x v="5"/>
    <x v="5"/>
    <x v="0"/>
    <x v="0"/>
  </r>
  <r>
    <x v="0"/>
    <x v="0"/>
    <x v="0"/>
    <x v="5"/>
    <x v="13"/>
    <s v="SE4_HP"/>
    <x v="5"/>
    <x v="6"/>
    <x v="0"/>
    <x v="0"/>
  </r>
  <r>
    <x v="0"/>
    <x v="0"/>
    <x v="0"/>
    <x v="5"/>
    <x v="13"/>
    <s v="SE4_HP"/>
    <x v="5"/>
    <x v="7"/>
    <x v="0"/>
    <x v="0"/>
  </r>
  <r>
    <x v="0"/>
    <x v="0"/>
    <x v="0"/>
    <x v="5"/>
    <x v="13"/>
    <s v="SE4_HP"/>
    <x v="5"/>
    <x v="8"/>
    <x v="0"/>
    <x v="0"/>
  </r>
  <r>
    <x v="0"/>
    <x v="0"/>
    <x v="0"/>
    <x v="5"/>
    <x v="13"/>
    <s v="SE4_HP"/>
    <x v="5"/>
    <x v="9"/>
    <x v="0"/>
    <x v="0"/>
  </r>
  <r>
    <x v="0"/>
    <x v="0"/>
    <x v="0"/>
    <x v="5"/>
    <x v="13"/>
    <s v="SE4_HP"/>
    <x v="5"/>
    <x v="10"/>
    <x v="0"/>
    <x v="0"/>
  </r>
  <r>
    <x v="0"/>
    <x v="0"/>
    <x v="0"/>
    <x v="5"/>
    <x v="13"/>
    <s v="SE4_HP"/>
    <x v="5"/>
    <x v="11"/>
    <x v="0"/>
    <x v="0"/>
  </r>
  <r>
    <x v="0"/>
    <x v="0"/>
    <x v="0"/>
    <x v="5"/>
    <x v="13"/>
    <s v="SE4_HP"/>
    <x v="6"/>
    <x v="0"/>
    <x v="0"/>
    <x v="0"/>
  </r>
  <r>
    <x v="0"/>
    <x v="0"/>
    <x v="0"/>
    <x v="5"/>
    <x v="13"/>
    <s v="SE4_HP"/>
    <x v="6"/>
    <x v="1"/>
    <x v="0"/>
    <x v="0"/>
  </r>
  <r>
    <x v="0"/>
    <x v="0"/>
    <x v="0"/>
    <x v="5"/>
    <x v="13"/>
    <s v="SE4_HP"/>
    <x v="6"/>
    <x v="2"/>
    <x v="0"/>
    <x v="0"/>
  </r>
  <r>
    <x v="0"/>
    <x v="0"/>
    <x v="0"/>
    <x v="5"/>
    <x v="13"/>
    <s v="SE4_HP"/>
    <x v="6"/>
    <x v="3"/>
    <x v="0"/>
    <x v="0"/>
  </r>
  <r>
    <x v="0"/>
    <x v="0"/>
    <x v="0"/>
    <x v="5"/>
    <x v="13"/>
    <s v="SE4_HP"/>
    <x v="6"/>
    <x v="4"/>
    <x v="0"/>
    <x v="0"/>
  </r>
  <r>
    <x v="0"/>
    <x v="0"/>
    <x v="0"/>
    <x v="5"/>
    <x v="13"/>
    <s v="SE4_HP"/>
    <x v="6"/>
    <x v="5"/>
    <x v="0"/>
    <x v="0"/>
  </r>
  <r>
    <x v="0"/>
    <x v="0"/>
    <x v="0"/>
    <x v="5"/>
    <x v="13"/>
    <s v="SE4_HP"/>
    <x v="6"/>
    <x v="6"/>
    <x v="0"/>
    <x v="0"/>
  </r>
  <r>
    <x v="0"/>
    <x v="0"/>
    <x v="0"/>
    <x v="5"/>
    <x v="13"/>
    <s v="SE4_HP"/>
    <x v="6"/>
    <x v="7"/>
    <x v="0"/>
    <x v="0"/>
  </r>
  <r>
    <x v="0"/>
    <x v="0"/>
    <x v="0"/>
    <x v="5"/>
    <x v="13"/>
    <s v="SE4_HP"/>
    <x v="6"/>
    <x v="8"/>
    <x v="0"/>
    <x v="0"/>
  </r>
  <r>
    <x v="0"/>
    <x v="0"/>
    <x v="0"/>
    <x v="5"/>
    <x v="13"/>
    <s v="SE4_HP"/>
    <x v="6"/>
    <x v="9"/>
    <x v="0"/>
    <x v="0"/>
  </r>
  <r>
    <x v="0"/>
    <x v="0"/>
    <x v="0"/>
    <x v="5"/>
    <x v="13"/>
    <s v="SE4_HP"/>
    <x v="6"/>
    <x v="10"/>
    <x v="0"/>
    <x v="0"/>
  </r>
  <r>
    <x v="0"/>
    <x v="0"/>
    <x v="0"/>
    <x v="5"/>
    <x v="13"/>
    <s v="SE4_HP"/>
    <x v="6"/>
    <x v="11"/>
    <x v="0"/>
    <x v="0"/>
  </r>
  <r>
    <x v="0"/>
    <x v="0"/>
    <x v="0"/>
    <x v="5"/>
    <x v="13"/>
    <s v="SE4_HP"/>
    <x v="7"/>
    <x v="0"/>
    <x v="0"/>
    <x v="0"/>
  </r>
  <r>
    <x v="0"/>
    <x v="0"/>
    <x v="0"/>
    <x v="5"/>
    <x v="13"/>
    <s v="SE4_HP"/>
    <x v="7"/>
    <x v="1"/>
    <x v="0"/>
    <x v="0"/>
  </r>
  <r>
    <x v="0"/>
    <x v="0"/>
    <x v="0"/>
    <x v="5"/>
    <x v="13"/>
    <s v="SE4_HP"/>
    <x v="7"/>
    <x v="2"/>
    <x v="0"/>
    <x v="0"/>
  </r>
  <r>
    <x v="0"/>
    <x v="0"/>
    <x v="0"/>
    <x v="5"/>
    <x v="13"/>
    <s v="SE4_HP"/>
    <x v="7"/>
    <x v="3"/>
    <x v="0"/>
    <x v="0"/>
  </r>
  <r>
    <x v="0"/>
    <x v="0"/>
    <x v="0"/>
    <x v="5"/>
    <x v="13"/>
    <s v="SE4_HP"/>
    <x v="7"/>
    <x v="4"/>
    <x v="0"/>
    <x v="0"/>
  </r>
  <r>
    <x v="0"/>
    <x v="0"/>
    <x v="0"/>
    <x v="5"/>
    <x v="13"/>
    <s v="SE4_HP"/>
    <x v="7"/>
    <x v="5"/>
    <x v="0"/>
    <x v="0"/>
  </r>
  <r>
    <x v="0"/>
    <x v="0"/>
    <x v="0"/>
    <x v="5"/>
    <x v="13"/>
    <s v="SE4_HP"/>
    <x v="7"/>
    <x v="6"/>
    <x v="0"/>
    <x v="0"/>
  </r>
  <r>
    <x v="0"/>
    <x v="0"/>
    <x v="0"/>
    <x v="5"/>
    <x v="13"/>
    <s v="SE4_HP"/>
    <x v="7"/>
    <x v="7"/>
    <x v="0"/>
    <x v="0"/>
  </r>
  <r>
    <x v="0"/>
    <x v="0"/>
    <x v="0"/>
    <x v="5"/>
    <x v="13"/>
    <s v="SE4_HP"/>
    <x v="7"/>
    <x v="8"/>
    <x v="0"/>
    <x v="0"/>
  </r>
  <r>
    <x v="0"/>
    <x v="0"/>
    <x v="0"/>
    <x v="5"/>
    <x v="13"/>
    <s v="SE4_HP"/>
    <x v="7"/>
    <x v="9"/>
    <x v="0"/>
    <x v="0"/>
  </r>
  <r>
    <x v="0"/>
    <x v="0"/>
    <x v="0"/>
    <x v="5"/>
    <x v="13"/>
    <s v="SE4_HP"/>
    <x v="7"/>
    <x v="10"/>
    <x v="0"/>
    <x v="0"/>
  </r>
  <r>
    <x v="0"/>
    <x v="0"/>
    <x v="0"/>
    <x v="5"/>
    <x v="13"/>
    <s v="SE4_HP"/>
    <x v="7"/>
    <x v="11"/>
    <x v="0"/>
    <x v="0"/>
  </r>
  <r>
    <x v="0"/>
    <x v="0"/>
    <x v="0"/>
    <x v="5"/>
    <x v="13"/>
    <s v="SE4_HP"/>
    <x v="8"/>
    <x v="0"/>
    <x v="0"/>
    <x v="0"/>
  </r>
  <r>
    <x v="0"/>
    <x v="0"/>
    <x v="0"/>
    <x v="5"/>
    <x v="13"/>
    <s v="SE4_HP"/>
    <x v="8"/>
    <x v="1"/>
    <x v="0"/>
    <x v="0"/>
  </r>
  <r>
    <x v="0"/>
    <x v="0"/>
    <x v="0"/>
    <x v="5"/>
    <x v="13"/>
    <s v="SE4_HP"/>
    <x v="8"/>
    <x v="2"/>
    <x v="0"/>
    <x v="0"/>
  </r>
  <r>
    <x v="0"/>
    <x v="0"/>
    <x v="0"/>
    <x v="5"/>
    <x v="13"/>
    <s v="SE4_HP"/>
    <x v="8"/>
    <x v="3"/>
    <x v="0"/>
    <x v="0"/>
  </r>
  <r>
    <x v="0"/>
    <x v="0"/>
    <x v="0"/>
    <x v="5"/>
    <x v="13"/>
    <s v="SE4_HP"/>
    <x v="8"/>
    <x v="4"/>
    <x v="0"/>
    <x v="0"/>
  </r>
  <r>
    <x v="0"/>
    <x v="0"/>
    <x v="0"/>
    <x v="5"/>
    <x v="13"/>
    <s v="SE4_HP"/>
    <x v="8"/>
    <x v="5"/>
    <x v="0"/>
    <x v="0"/>
  </r>
  <r>
    <x v="0"/>
    <x v="0"/>
    <x v="0"/>
    <x v="5"/>
    <x v="13"/>
    <s v="SE4_HP"/>
    <x v="8"/>
    <x v="6"/>
    <x v="0"/>
    <x v="0"/>
  </r>
  <r>
    <x v="0"/>
    <x v="0"/>
    <x v="0"/>
    <x v="5"/>
    <x v="13"/>
    <s v="SE4_HP"/>
    <x v="8"/>
    <x v="7"/>
    <x v="0"/>
    <x v="0"/>
  </r>
  <r>
    <x v="0"/>
    <x v="0"/>
    <x v="0"/>
    <x v="5"/>
    <x v="13"/>
    <s v="SE4_HP"/>
    <x v="8"/>
    <x v="8"/>
    <x v="0"/>
    <x v="0"/>
  </r>
  <r>
    <x v="0"/>
    <x v="0"/>
    <x v="0"/>
    <x v="5"/>
    <x v="13"/>
    <s v="SE4_HP"/>
    <x v="8"/>
    <x v="9"/>
    <x v="0"/>
    <x v="0"/>
  </r>
  <r>
    <x v="0"/>
    <x v="0"/>
    <x v="0"/>
    <x v="5"/>
    <x v="13"/>
    <s v="SE4_HP"/>
    <x v="8"/>
    <x v="10"/>
    <x v="0"/>
    <x v="0"/>
  </r>
  <r>
    <x v="0"/>
    <x v="0"/>
    <x v="0"/>
    <x v="5"/>
    <x v="13"/>
    <s v="SE4_HP"/>
    <x v="8"/>
    <x v="11"/>
    <x v="0"/>
    <x v="0"/>
  </r>
  <r>
    <x v="0"/>
    <x v="0"/>
    <x v="0"/>
    <x v="5"/>
    <x v="13"/>
    <s v="SE4_HP"/>
    <x v="9"/>
    <x v="0"/>
    <x v="0"/>
    <x v="0"/>
  </r>
  <r>
    <x v="0"/>
    <x v="0"/>
    <x v="0"/>
    <x v="5"/>
    <x v="13"/>
    <s v="SE4_HP"/>
    <x v="9"/>
    <x v="1"/>
    <x v="0"/>
    <x v="0"/>
  </r>
  <r>
    <x v="0"/>
    <x v="0"/>
    <x v="0"/>
    <x v="5"/>
    <x v="13"/>
    <s v="SE4_HP"/>
    <x v="9"/>
    <x v="2"/>
    <x v="0"/>
    <x v="0"/>
  </r>
  <r>
    <x v="0"/>
    <x v="0"/>
    <x v="0"/>
    <x v="5"/>
    <x v="13"/>
    <s v="SE4_HP"/>
    <x v="9"/>
    <x v="3"/>
    <x v="0"/>
    <x v="0"/>
  </r>
  <r>
    <x v="0"/>
    <x v="0"/>
    <x v="0"/>
    <x v="5"/>
    <x v="13"/>
    <s v="SE4_HP"/>
    <x v="9"/>
    <x v="4"/>
    <x v="0"/>
    <x v="0"/>
  </r>
  <r>
    <x v="0"/>
    <x v="0"/>
    <x v="0"/>
    <x v="5"/>
    <x v="13"/>
    <s v="SE4_HP"/>
    <x v="9"/>
    <x v="5"/>
    <x v="0"/>
    <x v="0"/>
  </r>
  <r>
    <x v="0"/>
    <x v="0"/>
    <x v="0"/>
    <x v="5"/>
    <x v="13"/>
    <s v="SE4_HP"/>
    <x v="9"/>
    <x v="6"/>
    <x v="0"/>
    <x v="0"/>
  </r>
  <r>
    <x v="0"/>
    <x v="0"/>
    <x v="0"/>
    <x v="5"/>
    <x v="13"/>
    <s v="SE4_HP"/>
    <x v="9"/>
    <x v="7"/>
    <x v="0"/>
    <x v="0"/>
  </r>
  <r>
    <x v="0"/>
    <x v="0"/>
    <x v="0"/>
    <x v="5"/>
    <x v="13"/>
    <s v="SE4_HP"/>
    <x v="9"/>
    <x v="8"/>
    <x v="0"/>
    <x v="0"/>
  </r>
  <r>
    <x v="0"/>
    <x v="0"/>
    <x v="0"/>
    <x v="5"/>
    <x v="13"/>
    <s v="SE4_HP"/>
    <x v="9"/>
    <x v="9"/>
    <x v="0"/>
    <x v="0"/>
  </r>
  <r>
    <x v="0"/>
    <x v="0"/>
    <x v="0"/>
    <x v="5"/>
    <x v="13"/>
    <s v="SE4_HP"/>
    <x v="9"/>
    <x v="10"/>
    <x v="0"/>
    <x v="0"/>
  </r>
  <r>
    <x v="0"/>
    <x v="0"/>
    <x v="0"/>
    <x v="5"/>
    <x v="13"/>
    <s v="SE4_HP"/>
    <x v="9"/>
    <x v="11"/>
    <x v="0"/>
    <x v="0"/>
  </r>
  <r>
    <x v="0"/>
    <x v="0"/>
    <x v="0"/>
    <x v="5"/>
    <x v="13"/>
    <s v="SE4_HP"/>
    <x v="10"/>
    <x v="0"/>
    <x v="0"/>
    <x v="0"/>
  </r>
  <r>
    <x v="0"/>
    <x v="0"/>
    <x v="0"/>
    <x v="5"/>
    <x v="13"/>
    <s v="SE4_HP"/>
    <x v="10"/>
    <x v="1"/>
    <x v="0"/>
    <x v="0"/>
  </r>
  <r>
    <x v="0"/>
    <x v="0"/>
    <x v="0"/>
    <x v="5"/>
    <x v="13"/>
    <s v="SE4_HP"/>
    <x v="10"/>
    <x v="2"/>
    <x v="0"/>
    <x v="0"/>
  </r>
  <r>
    <x v="0"/>
    <x v="0"/>
    <x v="0"/>
    <x v="5"/>
    <x v="13"/>
    <s v="SE4_HP"/>
    <x v="10"/>
    <x v="3"/>
    <x v="0"/>
    <x v="0"/>
  </r>
  <r>
    <x v="0"/>
    <x v="0"/>
    <x v="0"/>
    <x v="5"/>
    <x v="13"/>
    <s v="SE4_HP"/>
    <x v="10"/>
    <x v="4"/>
    <x v="0"/>
    <x v="0"/>
  </r>
  <r>
    <x v="0"/>
    <x v="0"/>
    <x v="0"/>
    <x v="5"/>
    <x v="13"/>
    <s v="SE4_HP"/>
    <x v="10"/>
    <x v="5"/>
    <x v="0"/>
    <x v="0"/>
  </r>
  <r>
    <x v="0"/>
    <x v="0"/>
    <x v="0"/>
    <x v="5"/>
    <x v="13"/>
    <s v="SE4_HP"/>
    <x v="10"/>
    <x v="6"/>
    <x v="0"/>
    <x v="0"/>
  </r>
  <r>
    <x v="0"/>
    <x v="0"/>
    <x v="0"/>
    <x v="5"/>
    <x v="13"/>
    <s v="SE4_HP"/>
    <x v="10"/>
    <x v="7"/>
    <x v="0"/>
    <x v="0"/>
  </r>
  <r>
    <x v="0"/>
    <x v="0"/>
    <x v="0"/>
    <x v="5"/>
    <x v="13"/>
    <s v="SE4_HP"/>
    <x v="10"/>
    <x v="8"/>
    <x v="0"/>
    <x v="0"/>
  </r>
  <r>
    <x v="0"/>
    <x v="0"/>
    <x v="0"/>
    <x v="5"/>
    <x v="13"/>
    <s v="SE4_HP"/>
    <x v="10"/>
    <x v="9"/>
    <x v="0"/>
    <x v="0"/>
  </r>
  <r>
    <x v="0"/>
    <x v="0"/>
    <x v="0"/>
    <x v="5"/>
    <x v="13"/>
    <s v="SE4_HP"/>
    <x v="10"/>
    <x v="10"/>
    <x v="0"/>
    <x v="0"/>
  </r>
  <r>
    <x v="0"/>
    <x v="0"/>
    <x v="0"/>
    <x v="5"/>
    <x v="13"/>
    <s v="SE4_HP"/>
    <x v="10"/>
    <x v="11"/>
    <x v="0"/>
    <x v="0"/>
  </r>
  <r>
    <x v="0"/>
    <x v="0"/>
    <x v="0"/>
    <x v="5"/>
    <x v="13"/>
    <s v="SE4_HP"/>
    <x v="11"/>
    <x v="0"/>
    <x v="0"/>
    <x v="0"/>
  </r>
  <r>
    <x v="0"/>
    <x v="0"/>
    <x v="0"/>
    <x v="5"/>
    <x v="13"/>
    <s v="SE4_HP"/>
    <x v="11"/>
    <x v="1"/>
    <x v="0"/>
    <x v="0"/>
  </r>
  <r>
    <x v="0"/>
    <x v="0"/>
    <x v="0"/>
    <x v="5"/>
    <x v="13"/>
    <s v="SE4_HP"/>
    <x v="11"/>
    <x v="2"/>
    <x v="0"/>
    <x v="0"/>
  </r>
  <r>
    <x v="0"/>
    <x v="0"/>
    <x v="0"/>
    <x v="5"/>
    <x v="13"/>
    <s v="SE4_HP"/>
    <x v="11"/>
    <x v="3"/>
    <x v="0"/>
    <x v="0"/>
  </r>
  <r>
    <x v="0"/>
    <x v="0"/>
    <x v="0"/>
    <x v="5"/>
    <x v="13"/>
    <s v="SE4_HP"/>
    <x v="11"/>
    <x v="4"/>
    <x v="0"/>
    <x v="0"/>
  </r>
  <r>
    <x v="0"/>
    <x v="0"/>
    <x v="0"/>
    <x v="5"/>
    <x v="13"/>
    <s v="SE4_HP"/>
    <x v="11"/>
    <x v="5"/>
    <x v="0"/>
    <x v="0"/>
  </r>
  <r>
    <x v="0"/>
    <x v="0"/>
    <x v="0"/>
    <x v="5"/>
    <x v="13"/>
    <s v="SE4_HP"/>
    <x v="11"/>
    <x v="6"/>
    <x v="0"/>
    <x v="0"/>
  </r>
  <r>
    <x v="0"/>
    <x v="0"/>
    <x v="0"/>
    <x v="5"/>
    <x v="13"/>
    <s v="SE4_HP"/>
    <x v="11"/>
    <x v="7"/>
    <x v="0"/>
    <x v="0"/>
  </r>
  <r>
    <x v="0"/>
    <x v="0"/>
    <x v="0"/>
    <x v="5"/>
    <x v="13"/>
    <s v="SE4_HP"/>
    <x v="11"/>
    <x v="8"/>
    <x v="0"/>
    <x v="0"/>
  </r>
  <r>
    <x v="0"/>
    <x v="0"/>
    <x v="0"/>
    <x v="5"/>
    <x v="13"/>
    <s v="SE4_HP"/>
    <x v="11"/>
    <x v="9"/>
    <x v="0"/>
    <x v="0"/>
  </r>
  <r>
    <x v="0"/>
    <x v="0"/>
    <x v="0"/>
    <x v="5"/>
    <x v="13"/>
    <s v="SE4_HP"/>
    <x v="11"/>
    <x v="10"/>
    <x v="0"/>
    <x v="0"/>
  </r>
  <r>
    <x v="0"/>
    <x v="0"/>
    <x v="0"/>
    <x v="5"/>
    <x v="13"/>
    <s v="SE4_HP"/>
    <x v="11"/>
    <x v="11"/>
    <x v="0"/>
    <x v="0"/>
  </r>
  <r>
    <x v="0"/>
    <x v="0"/>
    <x v="0"/>
    <x v="5"/>
    <x v="13"/>
    <s v="SE4_MAL"/>
    <x v="0"/>
    <x v="0"/>
    <x v="0"/>
    <x v="0"/>
  </r>
  <r>
    <x v="0"/>
    <x v="0"/>
    <x v="0"/>
    <x v="5"/>
    <x v="13"/>
    <s v="SE4_MAL"/>
    <x v="0"/>
    <x v="1"/>
    <x v="0"/>
    <x v="0"/>
  </r>
  <r>
    <x v="0"/>
    <x v="0"/>
    <x v="0"/>
    <x v="5"/>
    <x v="13"/>
    <s v="SE4_MAL"/>
    <x v="0"/>
    <x v="2"/>
    <x v="0"/>
    <x v="0"/>
  </r>
  <r>
    <x v="0"/>
    <x v="0"/>
    <x v="0"/>
    <x v="5"/>
    <x v="13"/>
    <s v="SE4_MAL"/>
    <x v="0"/>
    <x v="3"/>
    <x v="0"/>
    <x v="0"/>
  </r>
  <r>
    <x v="0"/>
    <x v="0"/>
    <x v="0"/>
    <x v="5"/>
    <x v="13"/>
    <s v="SE4_MAL"/>
    <x v="0"/>
    <x v="4"/>
    <x v="0"/>
    <x v="0"/>
  </r>
  <r>
    <x v="0"/>
    <x v="0"/>
    <x v="0"/>
    <x v="5"/>
    <x v="13"/>
    <s v="SE4_MAL"/>
    <x v="0"/>
    <x v="5"/>
    <x v="0"/>
    <x v="0"/>
  </r>
  <r>
    <x v="0"/>
    <x v="0"/>
    <x v="0"/>
    <x v="5"/>
    <x v="13"/>
    <s v="SE4_MAL"/>
    <x v="0"/>
    <x v="6"/>
    <x v="0"/>
    <x v="0"/>
  </r>
  <r>
    <x v="0"/>
    <x v="0"/>
    <x v="0"/>
    <x v="5"/>
    <x v="13"/>
    <s v="SE4_MAL"/>
    <x v="0"/>
    <x v="7"/>
    <x v="0"/>
    <x v="0"/>
  </r>
  <r>
    <x v="0"/>
    <x v="0"/>
    <x v="0"/>
    <x v="5"/>
    <x v="13"/>
    <s v="SE4_MAL"/>
    <x v="0"/>
    <x v="8"/>
    <x v="0"/>
    <x v="0"/>
  </r>
  <r>
    <x v="0"/>
    <x v="0"/>
    <x v="0"/>
    <x v="5"/>
    <x v="13"/>
    <s v="SE4_MAL"/>
    <x v="0"/>
    <x v="9"/>
    <x v="0"/>
    <x v="0"/>
  </r>
  <r>
    <x v="0"/>
    <x v="0"/>
    <x v="0"/>
    <x v="5"/>
    <x v="13"/>
    <s v="SE4_MAL"/>
    <x v="0"/>
    <x v="10"/>
    <x v="0"/>
    <x v="0"/>
  </r>
  <r>
    <x v="0"/>
    <x v="0"/>
    <x v="0"/>
    <x v="5"/>
    <x v="13"/>
    <s v="SE4_MAL"/>
    <x v="0"/>
    <x v="11"/>
    <x v="0"/>
    <x v="0"/>
  </r>
  <r>
    <x v="0"/>
    <x v="0"/>
    <x v="0"/>
    <x v="5"/>
    <x v="13"/>
    <s v="SE4_MAL"/>
    <x v="1"/>
    <x v="0"/>
    <x v="0"/>
    <x v="0"/>
  </r>
  <r>
    <x v="0"/>
    <x v="0"/>
    <x v="0"/>
    <x v="5"/>
    <x v="13"/>
    <s v="SE4_MAL"/>
    <x v="1"/>
    <x v="1"/>
    <x v="0"/>
    <x v="0"/>
  </r>
  <r>
    <x v="0"/>
    <x v="0"/>
    <x v="0"/>
    <x v="5"/>
    <x v="13"/>
    <s v="SE4_MAL"/>
    <x v="1"/>
    <x v="2"/>
    <x v="0"/>
    <x v="0"/>
  </r>
  <r>
    <x v="0"/>
    <x v="0"/>
    <x v="0"/>
    <x v="5"/>
    <x v="13"/>
    <s v="SE4_MAL"/>
    <x v="1"/>
    <x v="3"/>
    <x v="0"/>
    <x v="0"/>
  </r>
  <r>
    <x v="0"/>
    <x v="0"/>
    <x v="0"/>
    <x v="5"/>
    <x v="13"/>
    <s v="SE4_MAL"/>
    <x v="1"/>
    <x v="4"/>
    <x v="0"/>
    <x v="0"/>
  </r>
  <r>
    <x v="0"/>
    <x v="0"/>
    <x v="0"/>
    <x v="5"/>
    <x v="13"/>
    <s v="SE4_MAL"/>
    <x v="1"/>
    <x v="5"/>
    <x v="0"/>
    <x v="0"/>
  </r>
  <r>
    <x v="0"/>
    <x v="0"/>
    <x v="0"/>
    <x v="5"/>
    <x v="13"/>
    <s v="SE4_MAL"/>
    <x v="1"/>
    <x v="6"/>
    <x v="0"/>
    <x v="0"/>
  </r>
  <r>
    <x v="0"/>
    <x v="0"/>
    <x v="0"/>
    <x v="5"/>
    <x v="13"/>
    <s v="SE4_MAL"/>
    <x v="1"/>
    <x v="7"/>
    <x v="0"/>
    <x v="0"/>
  </r>
  <r>
    <x v="0"/>
    <x v="0"/>
    <x v="0"/>
    <x v="5"/>
    <x v="13"/>
    <s v="SE4_MAL"/>
    <x v="1"/>
    <x v="8"/>
    <x v="0"/>
    <x v="0"/>
  </r>
  <r>
    <x v="0"/>
    <x v="0"/>
    <x v="0"/>
    <x v="5"/>
    <x v="13"/>
    <s v="SE4_MAL"/>
    <x v="1"/>
    <x v="9"/>
    <x v="0"/>
    <x v="0"/>
  </r>
  <r>
    <x v="0"/>
    <x v="0"/>
    <x v="0"/>
    <x v="5"/>
    <x v="13"/>
    <s v="SE4_MAL"/>
    <x v="1"/>
    <x v="10"/>
    <x v="0"/>
    <x v="0"/>
  </r>
  <r>
    <x v="0"/>
    <x v="0"/>
    <x v="0"/>
    <x v="5"/>
    <x v="13"/>
    <s v="SE4_MAL"/>
    <x v="1"/>
    <x v="11"/>
    <x v="0"/>
    <x v="0"/>
  </r>
  <r>
    <x v="0"/>
    <x v="0"/>
    <x v="0"/>
    <x v="5"/>
    <x v="13"/>
    <s v="SE4_MAL"/>
    <x v="2"/>
    <x v="0"/>
    <x v="0"/>
    <x v="0"/>
  </r>
  <r>
    <x v="0"/>
    <x v="0"/>
    <x v="0"/>
    <x v="5"/>
    <x v="13"/>
    <s v="SE4_MAL"/>
    <x v="2"/>
    <x v="1"/>
    <x v="0"/>
    <x v="0"/>
  </r>
  <r>
    <x v="0"/>
    <x v="0"/>
    <x v="0"/>
    <x v="5"/>
    <x v="13"/>
    <s v="SE4_MAL"/>
    <x v="2"/>
    <x v="2"/>
    <x v="0"/>
    <x v="0"/>
  </r>
  <r>
    <x v="0"/>
    <x v="0"/>
    <x v="0"/>
    <x v="5"/>
    <x v="13"/>
    <s v="SE4_MAL"/>
    <x v="2"/>
    <x v="3"/>
    <x v="0"/>
    <x v="0"/>
  </r>
  <r>
    <x v="0"/>
    <x v="0"/>
    <x v="0"/>
    <x v="5"/>
    <x v="13"/>
    <s v="SE4_MAL"/>
    <x v="2"/>
    <x v="4"/>
    <x v="0"/>
    <x v="0"/>
  </r>
  <r>
    <x v="0"/>
    <x v="0"/>
    <x v="0"/>
    <x v="5"/>
    <x v="13"/>
    <s v="SE4_MAL"/>
    <x v="2"/>
    <x v="5"/>
    <x v="0"/>
    <x v="0"/>
  </r>
  <r>
    <x v="0"/>
    <x v="0"/>
    <x v="0"/>
    <x v="5"/>
    <x v="13"/>
    <s v="SE4_MAL"/>
    <x v="2"/>
    <x v="6"/>
    <x v="0"/>
    <x v="0"/>
  </r>
  <r>
    <x v="0"/>
    <x v="0"/>
    <x v="0"/>
    <x v="5"/>
    <x v="13"/>
    <s v="SE4_MAL"/>
    <x v="2"/>
    <x v="7"/>
    <x v="0"/>
    <x v="0"/>
  </r>
  <r>
    <x v="0"/>
    <x v="0"/>
    <x v="0"/>
    <x v="5"/>
    <x v="13"/>
    <s v="SE4_MAL"/>
    <x v="2"/>
    <x v="8"/>
    <x v="0"/>
    <x v="0"/>
  </r>
  <r>
    <x v="0"/>
    <x v="0"/>
    <x v="0"/>
    <x v="5"/>
    <x v="13"/>
    <s v="SE4_MAL"/>
    <x v="2"/>
    <x v="9"/>
    <x v="0"/>
    <x v="0"/>
  </r>
  <r>
    <x v="0"/>
    <x v="0"/>
    <x v="0"/>
    <x v="5"/>
    <x v="13"/>
    <s v="SE4_MAL"/>
    <x v="2"/>
    <x v="10"/>
    <x v="0"/>
    <x v="0"/>
  </r>
  <r>
    <x v="0"/>
    <x v="0"/>
    <x v="0"/>
    <x v="5"/>
    <x v="13"/>
    <s v="SE4_MAL"/>
    <x v="2"/>
    <x v="11"/>
    <x v="0"/>
    <x v="0"/>
  </r>
  <r>
    <x v="0"/>
    <x v="0"/>
    <x v="0"/>
    <x v="5"/>
    <x v="13"/>
    <s v="SE4_MAL"/>
    <x v="3"/>
    <x v="0"/>
    <x v="0"/>
    <x v="0"/>
  </r>
  <r>
    <x v="0"/>
    <x v="0"/>
    <x v="0"/>
    <x v="5"/>
    <x v="13"/>
    <s v="SE4_MAL"/>
    <x v="3"/>
    <x v="1"/>
    <x v="0"/>
    <x v="0"/>
  </r>
  <r>
    <x v="0"/>
    <x v="0"/>
    <x v="0"/>
    <x v="5"/>
    <x v="13"/>
    <s v="SE4_MAL"/>
    <x v="3"/>
    <x v="2"/>
    <x v="0"/>
    <x v="0"/>
  </r>
  <r>
    <x v="0"/>
    <x v="0"/>
    <x v="0"/>
    <x v="5"/>
    <x v="13"/>
    <s v="SE4_MAL"/>
    <x v="3"/>
    <x v="3"/>
    <x v="0"/>
    <x v="0"/>
  </r>
  <r>
    <x v="0"/>
    <x v="0"/>
    <x v="0"/>
    <x v="5"/>
    <x v="13"/>
    <s v="SE4_MAL"/>
    <x v="3"/>
    <x v="4"/>
    <x v="0"/>
    <x v="0"/>
  </r>
  <r>
    <x v="0"/>
    <x v="0"/>
    <x v="0"/>
    <x v="5"/>
    <x v="13"/>
    <s v="SE4_MAL"/>
    <x v="3"/>
    <x v="5"/>
    <x v="0"/>
    <x v="0"/>
  </r>
  <r>
    <x v="0"/>
    <x v="0"/>
    <x v="0"/>
    <x v="5"/>
    <x v="13"/>
    <s v="SE4_MAL"/>
    <x v="3"/>
    <x v="6"/>
    <x v="0"/>
    <x v="0"/>
  </r>
  <r>
    <x v="0"/>
    <x v="0"/>
    <x v="0"/>
    <x v="5"/>
    <x v="13"/>
    <s v="SE4_MAL"/>
    <x v="3"/>
    <x v="7"/>
    <x v="0"/>
    <x v="0"/>
  </r>
  <r>
    <x v="0"/>
    <x v="0"/>
    <x v="0"/>
    <x v="5"/>
    <x v="13"/>
    <s v="SE4_MAL"/>
    <x v="3"/>
    <x v="8"/>
    <x v="0"/>
    <x v="0"/>
  </r>
  <r>
    <x v="0"/>
    <x v="0"/>
    <x v="0"/>
    <x v="5"/>
    <x v="13"/>
    <s v="SE4_MAL"/>
    <x v="3"/>
    <x v="9"/>
    <x v="0"/>
    <x v="0"/>
  </r>
  <r>
    <x v="0"/>
    <x v="0"/>
    <x v="0"/>
    <x v="5"/>
    <x v="13"/>
    <s v="SE4_MAL"/>
    <x v="3"/>
    <x v="10"/>
    <x v="0"/>
    <x v="0"/>
  </r>
  <r>
    <x v="0"/>
    <x v="0"/>
    <x v="0"/>
    <x v="5"/>
    <x v="13"/>
    <s v="SE4_MAL"/>
    <x v="3"/>
    <x v="11"/>
    <x v="0"/>
    <x v="0"/>
  </r>
  <r>
    <x v="0"/>
    <x v="0"/>
    <x v="0"/>
    <x v="5"/>
    <x v="13"/>
    <s v="SE4_MAL"/>
    <x v="4"/>
    <x v="0"/>
    <x v="0"/>
    <x v="0"/>
  </r>
  <r>
    <x v="0"/>
    <x v="0"/>
    <x v="0"/>
    <x v="5"/>
    <x v="13"/>
    <s v="SE4_MAL"/>
    <x v="4"/>
    <x v="1"/>
    <x v="0"/>
    <x v="0"/>
  </r>
  <r>
    <x v="0"/>
    <x v="0"/>
    <x v="0"/>
    <x v="5"/>
    <x v="13"/>
    <s v="SE4_MAL"/>
    <x v="4"/>
    <x v="2"/>
    <x v="0"/>
    <x v="0"/>
  </r>
  <r>
    <x v="0"/>
    <x v="0"/>
    <x v="0"/>
    <x v="5"/>
    <x v="13"/>
    <s v="SE4_MAL"/>
    <x v="4"/>
    <x v="3"/>
    <x v="0"/>
    <x v="0"/>
  </r>
  <r>
    <x v="0"/>
    <x v="0"/>
    <x v="0"/>
    <x v="5"/>
    <x v="13"/>
    <s v="SE4_MAL"/>
    <x v="4"/>
    <x v="4"/>
    <x v="0"/>
    <x v="0"/>
  </r>
  <r>
    <x v="0"/>
    <x v="0"/>
    <x v="0"/>
    <x v="5"/>
    <x v="13"/>
    <s v="SE4_MAL"/>
    <x v="4"/>
    <x v="5"/>
    <x v="0"/>
    <x v="0"/>
  </r>
  <r>
    <x v="0"/>
    <x v="0"/>
    <x v="0"/>
    <x v="5"/>
    <x v="13"/>
    <s v="SE4_MAL"/>
    <x v="4"/>
    <x v="6"/>
    <x v="0"/>
    <x v="0"/>
  </r>
  <r>
    <x v="0"/>
    <x v="0"/>
    <x v="0"/>
    <x v="5"/>
    <x v="13"/>
    <s v="SE4_MAL"/>
    <x v="4"/>
    <x v="7"/>
    <x v="0"/>
    <x v="0"/>
  </r>
  <r>
    <x v="0"/>
    <x v="0"/>
    <x v="0"/>
    <x v="5"/>
    <x v="13"/>
    <s v="SE4_MAL"/>
    <x v="4"/>
    <x v="8"/>
    <x v="0"/>
    <x v="0"/>
  </r>
  <r>
    <x v="0"/>
    <x v="0"/>
    <x v="0"/>
    <x v="5"/>
    <x v="13"/>
    <s v="SE4_MAL"/>
    <x v="4"/>
    <x v="9"/>
    <x v="0"/>
    <x v="0"/>
  </r>
  <r>
    <x v="0"/>
    <x v="0"/>
    <x v="0"/>
    <x v="5"/>
    <x v="13"/>
    <s v="SE4_MAL"/>
    <x v="4"/>
    <x v="10"/>
    <x v="0"/>
    <x v="0"/>
  </r>
  <r>
    <x v="0"/>
    <x v="0"/>
    <x v="0"/>
    <x v="5"/>
    <x v="13"/>
    <s v="SE4_MAL"/>
    <x v="4"/>
    <x v="11"/>
    <x v="0"/>
    <x v="0"/>
  </r>
  <r>
    <x v="0"/>
    <x v="0"/>
    <x v="0"/>
    <x v="5"/>
    <x v="13"/>
    <s v="SE4_MAL"/>
    <x v="5"/>
    <x v="0"/>
    <x v="0"/>
    <x v="0"/>
  </r>
  <r>
    <x v="0"/>
    <x v="0"/>
    <x v="0"/>
    <x v="5"/>
    <x v="13"/>
    <s v="SE4_MAL"/>
    <x v="5"/>
    <x v="1"/>
    <x v="0"/>
    <x v="0"/>
  </r>
  <r>
    <x v="0"/>
    <x v="0"/>
    <x v="0"/>
    <x v="5"/>
    <x v="13"/>
    <s v="SE4_MAL"/>
    <x v="5"/>
    <x v="2"/>
    <x v="0"/>
    <x v="0"/>
  </r>
  <r>
    <x v="0"/>
    <x v="0"/>
    <x v="0"/>
    <x v="5"/>
    <x v="13"/>
    <s v="SE4_MAL"/>
    <x v="5"/>
    <x v="3"/>
    <x v="0"/>
    <x v="0"/>
  </r>
  <r>
    <x v="0"/>
    <x v="0"/>
    <x v="0"/>
    <x v="5"/>
    <x v="13"/>
    <s v="SE4_MAL"/>
    <x v="5"/>
    <x v="4"/>
    <x v="0"/>
    <x v="0"/>
  </r>
  <r>
    <x v="0"/>
    <x v="0"/>
    <x v="0"/>
    <x v="5"/>
    <x v="13"/>
    <s v="SE4_MAL"/>
    <x v="5"/>
    <x v="5"/>
    <x v="0"/>
    <x v="0"/>
  </r>
  <r>
    <x v="0"/>
    <x v="0"/>
    <x v="0"/>
    <x v="5"/>
    <x v="13"/>
    <s v="SE4_MAL"/>
    <x v="5"/>
    <x v="6"/>
    <x v="0"/>
    <x v="0"/>
  </r>
  <r>
    <x v="0"/>
    <x v="0"/>
    <x v="0"/>
    <x v="5"/>
    <x v="13"/>
    <s v="SE4_MAL"/>
    <x v="5"/>
    <x v="7"/>
    <x v="0"/>
    <x v="0"/>
  </r>
  <r>
    <x v="0"/>
    <x v="0"/>
    <x v="0"/>
    <x v="5"/>
    <x v="13"/>
    <s v="SE4_MAL"/>
    <x v="5"/>
    <x v="8"/>
    <x v="0"/>
    <x v="0"/>
  </r>
  <r>
    <x v="0"/>
    <x v="0"/>
    <x v="0"/>
    <x v="5"/>
    <x v="13"/>
    <s v="SE4_MAL"/>
    <x v="5"/>
    <x v="9"/>
    <x v="0"/>
    <x v="0"/>
  </r>
  <r>
    <x v="0"/>
    <x v="0"/>
    <x v="0"/>
    <x v="5"/>
    <x v="13"/>
    <s v="SE4_MAL"/>
    <x v="5"/>
    <x v="10"/>
    <x v="0"/>
    <x v="0"/>
  </r>
  <r>
    <x v="0"/>
    <x v="0"/>
    <x v="0"/>
    <x v="5"/>
    <x v="13"/>
    <s v="SE4_MAL"/>
    <x v="5"/>
    <x v="11"/>
    <x v="0"/>
    <x v="0"/>
  </r>
  <r>
    <x v="0"/>
    <x v="0"/>
    <x v="0"/>
    <x v="5"/>
    <x v="13"/>
    <s v="SE4_MAL"/>
    <x v="6"/>
    <x v="0"/>
    <x v="0"/>
    <x v="0"/>
  </r>
  <r>
    <x v="0"/>
    <x v="0"/>
    <x v="0"/>
    <x v="5"/>
    <x v="13"/>
    <s v="SE4_MAL"/>
    <x v="6"/>
    <x v="1"/>
    <x v="0"/>
    <x v="0"/>
  </r>
  <r>
    <x v="0"/>
    <x v="0"/>
    <x v="0"/>
    <x v="5"/>
    <x v="13"/>
    <s v="SE4_MAL"/>
    <x v="6"/>
    <x v="2"/>
    <x v="0"/>
    <x v="0"/>
  </r>
  <r>
    <x v="0"/>
    <x v="0"/>
    <x v="0"/>
    <x v="5"/>
    <x v="13"/>
    <s v="SE4_MAL"/>
    <x v="6"/>
    <x v="3"/>
    <x v="0"/>
    <x v="0"/>
  </r>
  <r>
    <x v="0"/>
    <x v="0"/>
    <x v="0"/>
    <x v="5"/>
    <x v="13"/>
    <s v="SE4_MAL"/>
    <x v="6"/>
    <x v="4"/>
    <x v="0"/>
    <x v="0"/>
  </r>
  <r>
    <x v="0"/>
    <x v="0"/>
    <x v="0"/>
    <x v="5"/>
    <x v="13"/>
    <s v="SE4_MAL"/>
    <x v="6"/>
    <x v="5"/>
    <x v="0"/>
    <x v="0"/>
  </r>
  <r>
    <x v="0"/>
    <x v="0"/>
    <x v="0"/>
    <x v="5"/>
    <x v="13"/>
    <s v="SE4_MAL"/>
    <x v="6"/>
    <x v="6"/>
    <x v="0"/>
    <x v="0"/>
  </r>
  <r>
    <x v="0"/>
    <x v="0"/>
    <x v="0"/>
    <x v="5"/>
    <x v="13"/>
    <s v="SE4_MAL"/>
    <x v="6"/>
    <x v="7"/>
    <x v="0"/>
    <x v="0"/>
  </r>
  <r>
    <x v="0"/>
    <x v="0"/>
    <x v="0"/>
    <x v="5"/>
    <x v="13"/>
    <s v="SE4_MAL"/>
    <x v="6"/>
    <x v="8"/>
    <x v="0"/>
    <x v="0"/>
  </r>
  <r>
    <x v="0"/>
    <x v="0"/>
    <x v="0"/>
    <x v="5"/>
    <x v="13"/>
    <s v="SE4_MAL"/>
    <x v="6"/>
    <x v="9"/>
    <x v="0"/>
    <x v="0"/>
  </r>
  <r>
    <x v="0"/>
    <x v="0"/>
    <x v="0"/>
    <x v="5"/>
    <x v="13"/>
    <s v="SE4_MAL"/>
    <x v="6"/>
    <x v="10"/>
    <x v="0"/>
    <x v="0"/>
  </r>
  <r>
    <x v="0"/>
    <x v="0"/>
    <x v="0"/>
    <x v="5"/>
    <x v="13"/>
    <s v="SE4_MAL"/>
    <x v="6"/>
    <x v="11"/>
    <x v="0"/>
    <x v="0"/>
  </r>
  <r>
    <x v="0"/>
    <x v="0"/>
    <x v="0"/>
    <x v="5"/>
    <x v="13"/>
    <s v="SE4_MAL"/>
    <x v="7"/>
    <x v="0"/>
    <x v="0"/>
    <x v="0"/>
  </r>
  <r>
    <x v="0"/>
    <x v="0"/>
    <x v="0"/>
    <x v="5"/>
    <x v="13"/>
    <s v="SE4_MAL"/>
    <x v="7"/>
    <x v="1"/>
    <x v="0"/>
    <x v="0"/>
  </r>
  <r>
    <x v="0"/>
    <x v="0"/>
    <x v="0"/>
    <x v="5"/>
    <x v="13"/>
    <s v="SE4_MAL"/>
    <x v="7"/>
    <x v="2"/>
    <x v="0"/>
    <x v="0"/>
  </r>
  <r>
    <x v="0"/>
    <x v="0"/>
    <x v="0"/>
    <x v="5"/>
    <x v="13"/>
    <s v="SE4_MAL"/>
    <x v="7"/>
    <x v="3"/>
    <x v="0"/>
    <x v="0"/>
  </r>
  <r>
    <x v="0"/>
    <x v="0"/>
    <x v="0"/>
    <x v="5"/>
    <x v="13"/>
    <s v="SE4_MAL"/>
    <x v="7"/>
    <x v="4"/>
    <x v="0"/>
    <x v="0"/>
  </r>
  <r>
    <x v="0"/>
    <x v="0"/>
    <x v="0"/>
    <x v="5"/>
    <x v="13"/>
    <s v="SE4_MAL"/>
    <x v="7"/>
    <x v="5"/>
    <x v="0"/>
    <x v="0"/>
  </r>
  <r>
    <x v="0"/>
    <x v="0"/>
    <x v="0"/>
    <x v="5"/>
    <x v="13"/>
    <s v="SE4_MAL"/>
    <x v="7"/>
    <x v="6"/>
    <x v="0"/>
    <x v="0"/>
  </r>
  <r>
    <x v="0"/>
    <x v="0"/>
    <x v="0"/>
    <x v="5"/>
    <x v="13"/>
    <s v="SE4_MAL"/>
    <x v="7"/>
    <x v="7"/>
    <x v="0"/>
    <x v="0"/>
  </r>
  <r>
    <x v="0"/>
    <x v="0"/>
    <x v="0"/>
    <x v="5"/>
    <x v="13"/>
    <s v="SE4_MAL"/>
    <x v="7"/>
    <x v="8"/>
    <x v="0"/>
    <x v="0"/>
  </r>
  <r>
    <x v="0"/>
    <x v="0"/>
    <x v="0"/>
    <x v="5"/>
    <x v="13"/>
    <s v="SE4_MAL"/>
    <x v="7"/>
    <x v="9"/>
    <x v="0"/>
    <x v="0"/>
  </r>
  <r>
    <x v="0"/>
    <x v="0"/>
    <x v="0"/>
    <x v="5"/>
    <x v="13"/>
    <s v="SE4_MAL"/>
    <x v="7"/>
    <x v="10"/>
    <x v="0"/>
    <x v="0"/>
  </r>
  <r>
    <x v="0"/>
    <x v="0"/>
    <x v="0"/>
    <x v="5"/>
    <x v="13"/>
    <s v="SE4_MAL"/>
    <x v="7"/>
    <x v="11"/>
    <x v="0"/>
    <x v="0"/>
  </r>
  <r>
    <x v="0"/>
    <x v="0"/>
    <x v="0"/>
    <x v="5"/>
    <x v="13"/>
    <s v="SE4_MAL"/>
    <x v="8"/>
    <x v="0"/>
    <x v="0"/>
    <x v="0"/>
  </r>
  <r>
    <x v="0"/>
    <x v="0"/>
    <x v="0"/>
    <x v="5"/>
    <x v="13"/>
    <s v="SE4_MAL"/>
    <x v="8"/>
    <x v="1"/>
    <x v="0"/>
    <x v="0"/>
  </r>
  <r>
    <x v="0"/>
    <x v="0"/>
    <x v="0"/>
    <x v="5"/>
    <x v="13"/>
    <s v="SE4_MAL"/>
    <x v="8"/>
    <x v="2"/>
    <x v="0"/>
    <x v="0"/>
  </r>
  <r>
    <x v="0"/>
    <x v="0"/>
    <x v="0"/>
    <x v="5"/>
    <x v="13"/>
    <s v="SE4_MAL"/>
    <x v="8"/>
    <x v="3"/>
    <x v="0"/>
    <x v="0"/>
  </r>
  <r>
    <x v="0"/>
    <x v="0"/>
    <x v="0"/>
    <x v="5"/>
    <x v="13"/>
    <s v="SE4_MAL"/>
    <x v="8"/>
    <x v="4"/>
    <x v="0"/>
    <x v="0"/>
  </r>
  <r>
    <x v="0"/>
    <x v="0"/>
    <x v="0"/>
    <x v="5"/>
    <x v="13"/>
    <s v="SE4_MAL"/>
    <x v="8"/>
    <x v="5"/>
    <x v="0"/>
    <x v="0"/>
  </r>
  <r>
    <x v="0"/>
    <x v="0"/>
    <x v="0"/>
    <x v="5"/>
    <x v="13"/>
    <s v="SE4_MAL"/>
    <x v="8"/>
    <x v="6"/>
    <x v="0"/>
    <x v="0"/>
  </r>
  <r>
    <x v="0"/>
    <x v="0"/>
    <x v="0"/>
    <x v="5"/>
    <x v="13"/>
    <s v="SE4_MAL"/>
    <x v="8"/>
    <x v="7"/>
    <x v="0"/>
    <x v="0"/>
  </r>
  <r>
    <x v="0"/>
    <x v="0"/>
    <x v="0"/>
    <x v="5"/>
    <x v="13"/>
    <s v="SE4_MAL"/>
    <x v="8"/>
    <x v="8"/>
    <x v="0"/>
    <x v="0"/>
  </r>
  <r>
    <x v="0"/>
    <x v="0"/>
    <x v="0"/>
    <x v="5"/>
    <x v="13"/>
    <s v="SE4_MAL"/>
    <x v="8"/>
    <x v="9"/>
    <x v="0"/>
    <x v="0"/>
  </r>
  <r>
    <x v="0"/>
    <x v="0"/>
    <x v="0"/>
    <x v="5"/>
    <x v="13"/>
    <s v="SE4_MAL"/>
    <x v="8"/>
    <x v="10"/>
    <x v="0"/>
    <x v="0"/>
  </r>
  <r>
    <x v="0"/>
    <x v="0"/>
    <x v="0"/>
    <x v="5"/>
    <x v="13"/>
    <s v="SE4_MAL"/>
    <x v="8"/>
    <x v="11"/>
    <x v="0"/>
    <x v="0"/>
  </r>
  <r>
    <x v="0"/>
    <x v="0"/>
    <x v="0"/>
    <x v="5"/>
    <x v="13"/>
    <s v="SE4_MAL"/>
    <x v="9"/>
    <x v="0"/>
    <x v="0"/>
    <x v="0"/>
  </r>
  <r>
    <x v="0"/>
    <x v="0"/>
    <x v="0"/>
    <x v="5"/>
    <x v="13"/>
    <s v="SE4_MAL"/>
    <x v="9"/>
    <x v="1"/>
    <x v="0"/>
    <x v="0"/>
  </r>
  <r>
    <x v="0"/>
    <x v="0"/>
    <x v="0"/>
    <x v="5"/>
    <x v="13"/>
    <s v="SE4_MAL"/>
    <x v="9"/>
    <x v="2"/>
    <x v="0"/>
    <x v="0"/>
  </r>
  <r>
    <x v="0"/>
    <x v="0"/>
    <x v="0"/>
    <x v="5"/>
    <x v="13"/>
    <s v="SE4_MAL"/>
    <x v="9"/>
    <x v="3"/>
    <x v="0"/>
    <x v="0"/>
  </r>
  <r>
    <x v="0"/>
    <x v="0"/>
    <x v="0"/>
    <x v="5"/>
    <x v="13"/>
    <s v="SE4_MAL"/>
    <x v="9"/>
    <x v="4"/>
    <x v="0"/>
    <x v="0"/>
  </r>
  <r>
    <x v="0"/>
    <x v="0"/>
    <x v="0"/>
    <x v="5"/>
    <x v="13"/>
    <s v="SE4_MAL"/>
    <x v="9"/>
    <x v="5"/>
    <x v="0"/>
    <x v="0"/>
  </r>
  <r>
    <x v="0"/>
    <x v="0"/>
    <x v="0"/>
    <x v="5"/>
    <x v="13"/>
    <s v="SE4_MAL"/>
    <x v="9"/>
    <x v="6"/>
    <x v="0"/>
    <x v="0"/>
  </r>
  <r>
    <x v="0"/>
    <x v="0"/>
    <x v="0"/>
    <x v="5"/>
    <x v="13"/>
    <s v="SE4_MAL"/>
    <x v="9"/>
    <x v="7"/>
    <x v="0"/>
    <x v="0"/>
  </r>
  <r>
    <x v="0"/>
    <x v="0"/>
    <x v="0"/>
    <x v="5"/>
    <x v="13"/>
    <s v="SE4_MAL"/>
    <x v="9"/>
    <x v="8"/>
    <x v="0"/>
    <x v="0"/>
  </r>
  <r>
    <x v="0"/>
    <x v="0"/>
    <x v="0"/>
    <x v="5"/>
    <x v="13"/>
    <s v="SE4_MAL"/>
    <x v="9"/>
    <x v="9"/>
    <x v="0"/>
    <x v="0"/>
  </r>
  <r>
    <x v="0"/>
    <x v="0"/>
    <x v="0"/>
    <x v="5"/>
    <x v="13"/>
    <s v="SE4_MAL"/>
    <x v="9"/>
    <x v="10"/>
    <x v="0"/>
    <x v="0"/>
  </r>
  <r>
    <x v="0"/>
    <x v="0"/>
    <x v="0"/>
    <x v="5"/>
    <x v="13"/>
    <s v="SE4_MAL"/>
    <x v="9"/>
    <x v="11"/>
    <x v="0"/>
    <x v="0"/>
  </r>
  <r>
    <x v="0"/>
    <x v="0"/>
    <x v="0"/>
    <x v="5"/>
    <x v="13"/>
    <s v="SE4_MAL"/>
    <x v="10"/>
    <x v="0"/>
    <x v="0"/>
    <x v="0"/>
  </r>
  <r>
    <x v="0"/>
    <x v="0"/>
    <x v="0"/>
    <x v="5"/>
    <x v="13"/>
    <s v="SE4_MAL"/>
    <x v="10"/>
    <x v="1"/>
    <x v="0"/>
    <x v="0"/>
  </r>
  <r>
    <x v="0"/>
    <x v="0"/>
    <x v="0"/>
    <x v="5"/>
    <x v="13"/>
    <s v="SE4_MAL"/>
    <x v="10"/>
    <x v="2"/>
    <x v="0"/>
    <x v="0"/>
  </r>
  <r>
    <x v="0"/>
    <x v="0"/>
    <x v="0"/>
    <x v="5"/>
    <x v="13"/>
    <s v="SE4_MAL"/>
    <x v="10"/>
    <x v="3"/>
    <x v="0"/>
    <x v="0"/>
  </r>
  <r>
    <x v="0"/>
    <x v="0"/>
    <x v="0"/>
    <x v="5"/>
    <x v="13"/>
    <s v="SE4_MAL"/>
    <x v="10"/>
    <x v="4"/>
    <x v="0"/>
    <x v="0"/>
  </r>
  <r>
    <x v="0"/>
    <x v="0"/>
    <x v="0"/>
    <x v="5"/>
    <x v="13"/>
    <s v="SE4_MAL"/>
    <x v="10"/>
    <x v="5"/>
    <x v="0"/>
    <x v="0"/>
  </r>
  <r>
    <x v="0"/>
    <x v="0"/>
    <x v="0"/>
    <x v="5"/>
    <x v="13"/>
    <s v="SE4_MAL"/>
    <x v="10"/>
    <x v="6"/>
    <x v="0"/>
    <x v="0"/>
  </r>
  <r>
    <x v="0"/>
    <x v="0"/>
    <x v="0"/>
    <x v="5"/>
    <x v="13"/>
    <s v="SE4_MAL"/>
    <x v="10"/>
    <x v="7"/>
    <x v="0"/>
    <x v="0"/>
  </r>
  <r>
    <x v="0"/>
    <x v="0"/>
    <x v="0"/>
    <x v="5"/>
    <x v="13"/>
    <s v="SE4_MAL"/>
    <x v="10"/>
    <x v="8"/>
    <x v="0"/>
    <x v="0"/>
  </r>
  <r>
    <x v="0"/>
    <x v="0"/>
    <x v="0"/>
    <x v="5"/>
    <x v="13"/>
    <s v="SE4_MAL"/>
    <x v="10"/>
    <x v="9"/>
    <x v="0"/>
    <x v="0"/>
  </r>
  <r>
    <x v="0"/>
    <x v="0"/>
    <x v="0"/>
    <x v="5"/>
    <x v="13"/>
    <s v="SE4_MAL"/>
    <x v="10"/>
    <x v="10"/>
    <x v="0"/>
    <x v="0"/>
  </r>
  <r>
    <x v="0"/>
    <x v="0"/>
    <x v="0"/>
    <x v="5"/>
    <x v="13"/>
    <s v="SE4_MAL"/>
    <x v="10"/>
    <x v="11"/>
    <x v="0"/>
    <x v="0"/>
  </r>
  <r>
    <x v="0"/>
    <x v="0"/>
    <x v="0"/>
    <x v="5"/>
    <x v="13"/>
    <s v="SE4_MAL"/>
    <x v="11"/>
    <x v="0"/>
    <x v="0"/>
    <x v="0"/>
  </r>
  <r>
    <x v="0"/>
    <x v="0"/>
    <x v="0"/>
    <x v="5"/>
    <x v="13"/>
    <s v="SE4_MAL"/>
    <x v="11"/>
    <x v="1"/>
    <x v="0"/>
    <x v="0"/>
  </r>
  <r>
    <x v="0"/>
    <x v="0"/>
    <x v="0"/>
    <x v="5"/>
    <x v="13"/>
    <s v="SE4_MAL"/>
    <x v="11"/>
    <x v="2"/>
    <x v="0"/>
    <x v="0"/>
  </r>
  <r>
    <x v="0"/>
    <x v="0"/>
    <x v="0"/>
    <x v="5"/>
    <x v="13"/>
    <s v="SE4_MAL"/>
    <x v="11"/>
    <x v="3"/>
    <x v="0"/>
    <x v="0"/>
  </r>
  <r>
    <x v="0"/>
    <x v="0"/>
    <x v="0"/>
    <x v="5"/>
    <x v="13"/>
    <s v="SE4_MAL"/>
    <x v="11"/>
    <x v="4"/>
    <x v="0"/>
    <x v="0"/>
  </r>
  <r>
    <x v="0"/>
    <x v="0"/>
    <x v="0"/>
    <x v="5"/>
    <x v="13"/>
    <s v="SE4_MAL"/>
    <x v="11"/>
    <x v="5"/>
    <x v="0"/>
    <x v="0"/>
  </r>
  <r>
    <x v="0"/>
    <x v="0"/>
    <x v="0"/>
    <x v="5"/>
    <x v="13"/>
    <s v="SE4_MAL"/>
    <x v="11"/>
    <x v="6"/>
    <x v="0"/>
    <x v="0"/>
  </r>
  <r>
    <x v="0"/>
    <x v="0"/>
    <x v="0"/>
    <x v="5"/>
    <x v="13"/>
    <s v="SE4_MAL"/>
    <x v="11"/>
    <x v="7"/>
    <x v="0"/>
    <x v="0"/>
  </r>
  <r>
    <x v="0"/>
    <x v="0"/>
    <x v="0"/>
    <x v="5"/>
    <x v="13"/>
    <s v="SE4_MAL"/>
    <x v="11"/>
    <x v="8"/>
    <x v="0"/>
    <x v="0"/>
  </r>
  <r>
    <x v="0"/>
    <x v="0"/>
    <x v="0"/>
    <x v="5"/>
    <x v="13"/>
    <s v="SE4_MAL"/>
    <x v="11"/>
    <x v="9"/>
    <x v="0"/>
    <x v="0"/>
  </r>
  <r>
    <x v="0"/>
    <x v="0"/>
    <x v="0"/>
    <x v="5"/>
    <x v="13"/>
    <s v="SE4_MAL"/>
    <x v="11"/>
    <x v="10"/>
    <x v="0"/>
    <x v="0"/>
  </r>
  <r>
    <x v="0"/>
    <x v="0"/>
    <x v="0"/>
    <x v="5"/>
    <x v="13"/>
    <s v="SE4_MAL"/>
    <x v="11"/>
    <x v="11"/>
    <x v="0"/>
    <x v="0"/>
  </r>
  <r>
    <x v="0"/>
    <x v="0"/>
    <x v="0"/>
    <x v="5"/>
    <x v="13"/>
    <s v="SE4_OTHER"/>
    <x v="0"/>
    <x v="0"/>
    <x v="0"/>
    <x v="0"/>
  </r>
  <r>
    <x v="0"/>
    <x v="0"/>
    <x v="0"/>
    <x v="5"/>
    <x v="13"/>
    <s v="SE4_OTHER"/>
    <x v="0"/>
    <x v="1"/>
    <x v="0"/>
    <x v="0"/>
  </r>
  <r>
    <x v="0"/>
    <x v="0"/>
    <x v="0"/>
    <x v="5"/>
    <x v="13"/>
    <s v="SE4_OTHER"/>
    <x v="0"/>
    <x v="2"/>
    <x v="0"/>
    <x v="0"/>
  </r>
  <r>
    <x v="0"/>
    <x v="0"/>
    <x v="0"/>
    <x v="5"/>
    <x v="13"/>
    <s v="SE4_OTHER"/>
    <x v="0"/>
    <x v="3"/>
    <x v="0"/>
    <x v="0"/>
  </r>
  <r>
    <x v="0"/>
    <x v="0"/>
    <x v="0"/>
    <x v="5"/>
    <x v="13"/>
    <s v="SE4_OTHER"/>
    <x v="0"/>
    <x v="4"/>
    <x v="0"/>
    <x v="0"/>
  </r>
  <r>
    <x v="0"/>
    <x v="0"/>
    <x v="0"/>
    <x v="5"/>
    <x v="13"/>
    <s v="SE4_OTHER"/>
    <x v="0"/>
    <x v="5"/>
    <x v="0"/>
    <x v="0"/>
  </r>
  <r>
    <x v="0"/>
    <x v="0"/>
    <x v="0"/>
    <x v="5"/>
    <x v="13"/>
    <s v="SE4_OTHER"/>
    <x v="0"/>
    <x v="6"/>
    <x v="0"/>
    <x v="0"/>
  </r>
  <r>
    <x v="0"/>
    <x v="0"/>
    <x v="0"/>
    <x v="5"/>
    <x v="13"/>
    <s v="SE4_OTHER"/>
    <x v="0"/>
    <x v="7"/>
    <x v="0"/>
    <x v="0"/>
  </r>
  <r>
    <x v="0"/>
    <x v="0"/>
    <x v="0"/>
    <x v="5"/>
    <x v="13"/>
    <s v="SE4_OTHER"/>
    <x v="0"/>
    <x v="8"/>
    <x v="0"/>
    <x v="0"/>
  </r>
  <r>
    <x v="0"/>
    <x v="0"/>
    <x v="0"/>
    <x v="5"/>
    <x v="13"/>
    <s v="SE4_OTHER"/>
    <x v="0"/>
    <x v="9"/>
    <x v="0"/>
    <x v="0"/>
  </r>
  <r>
    <x v="0"/>
    <x v="0"/>
    <x v="0"/>
    <x v="5"/>
    <x v="13"/>
    <s v="SE4_OTHER"/>
    <x v="0"/>
    <x v="10"/>
    <x v="0"/>
    <x v="0"/>
  </r>
  <r>
    <x v="0"/>
    <x v="0"/>
    <x v="0"/>
    <x v="5"/>
    <x v="13"/>
    <s v="SE4_OTHER"/>
    <x v="0"/>
    <x v="11"/>
    <x v="0"/>
    <x v="0"/>
  </r>
  <r>
    <x v="0"/>
    <x v="0"/>
    <x v="0"/>
    <x v="5"/>
    <x v="13"/>
    <s v="SE4_OTHER"/>
    <x v="1"/>
    <x v="0"/>
    <x v="0"/>
    <x v="0"/>
  </r>
  <r>
    <x v="0"/>
    <x v="0"/>
    <x v="0"/>
    <x v="5"/>
    <x v="13"/>
    <s v="SE4_OTHER"/>
    <x v="1"/>
    <x v="1"/>
    <x v="0"/>
    <x v="0"/>
  </r>
  <r>
    <x v="0"/>
    <x v="0"/>
    <x v="0"/>
    <x v="5"/>
    <x v="13"/>
    <s v="SE4_OTHER"/>
    <x v="1"/>
    <x v="2"/>
    <x v="0"/>
    <x v="0"/>
  </r>
  <r>
    <x v="0"/>
    <x v="0"/>
    <x v="0"/>
    <x v="5"/>
    <x v="13"/>
    <s v="SE4_OTHER"/>
    <x v="1"/>
    <x v="3"/>
    <x v="0"/>
    <x v="0"/>
  </r>
  <r>
    <x v="0"/>
    <x v="0"/>
    <x v="0"/>
    <x v="5"/>
    <x v="13"/>
    <s v="SE4_OTHER"/>
    <x v="1"/>
    <x v="4"/>
    <x v="0"/>
    <x v="0"/>
  </r>
  <r>
    <x v="0"/>
    <x v="0"/>
    <x v="0"/>
    <x v="5"/>
    <x v="13"/>
    <s v="SE4_OTHER"/>
    <x v="1"/>
    <x v="5"/>
    <x v="0"/>
    <x v="0"/>
  </r>
  <r>
    <x v="0"/>
    <x v="0"/>
    <x v="0"/>
    <x v="5"/>
    <x v="13"/>
    <s v="SE4_OTHER"/>
    <x v="1"/>
    <x v="6"/>
    <x v="0"/>
    <x v="0"/>
  </r>
  <r>
    <x v="0"/>
    <x v="0"/>
    <x v="0"/>
    <x v="5"/>
    <x v="13"/>
    <s v="SE4_OTHER"/>
    <x v="1"/>
    <x v="7"/>
    <x v="0"/>
    <x v="0"/>
  </r>
  <r>
    <x v="0"/>
    <x v="0"/>
    <x v="0"/>
    <x v="5"/>
    <x v="13"/>
    <s v="SE4_OTHER"/>
    <x v="1"/>
    <x v="8"/>
    <x v="0"/>
    <x v="0"/>
  </r>
  <r>
    <x v="0"/>
    <x v="0"/>
    <x v="0"/>
    <x v="5"/>
    <x v="13"/>
    <s v="SE4_OTHER"/>
    <x v="1"/>
    <x v="9"/>
    <x v="0"/>
    <x v="0"/>
  </r>
  <r>
    <x v="0"/>
    <x v="0"/>
    <x v="0"/>
    <x v="5"/>
    <x v="13"/>
    <s v="SE4_OTHER"/>
    <x v="1"/>
    <x v="10"/>
    <x v="0"/>
    <x v="0"/>
  </r>
  <r>
    <x v="0"/>
    <x v="0"/>
    <x v="0"/>
    <x v="5"/>
    <x v="13"/>
    <s v="SE4_OTHER"/>
    <x v="1"/>
    <x v="11"/>
    <x v="0"/>
    <x v="0"/>
  </r>
  <r>
    <x v="0"/>
    <x v="0"/>
    <x v="0"/>
    <x v="5"/>
    <x v="13"/>
    <s v="SE4_OTHER"/>
    <x v="2"/>
    <x v="0"/>
    <x v="0"/>
    <x v="0"/>
  </r>
  <r>
    <x v="0"/>
    <x v="0"/>
    <x v="0"/>
    <x v="5"/>
    <x v="13"/>
    <s v="SE4_OTHER"/>
    <x v="2"/>
    <x v="1"/>
    <x v="0"/>
    <x v="0"/>
  </r>
  <r>
    <x v="0"/>
    <x v="0"/>
    <x v="0"/>
    <x v="5"/>
    <x v="13"/>
    <s v="SE4_OTHER"/>
    <x v="2"/>
    <x v="2"/>
    <x v="0"/>
    <x v="0"/>
  </r>
  <r>
    <x v="0"/>
    <x v="0"/>
    <x v="0"/>
    <x v="5"/>
    <x v="13"/>
    <s v="SE4_OTHER"/>
    <x v="2"/>
    <x v="3"/>
    <x v="0"/>
    <x v="0"/>
  </r>
  <r>
    <x v="0"/>
    <x v="0"/>
    <x v="0"/>
    <x v="5"/>
    <x v="13"/>
    <s v="SE4_OTHER"/>
    <x v="2"/>
    <x v="4"/>
    <x v="0"/>
    <x v="0"/>
  </r>
  <r>
    <x v="0"/>
    <x v="0"/>
    <x v="0"/>
    <x v="5"/>
    <x v="13"/>
    <s v="SE4_OTHER"/>
    <x v="2"/>
    <x v="5"/>
    <x v="0"/>
    <x v="0"/>
  </r>
  <r>
    <x v="0"/>
    <x v="0"/>
    <x v="0"/>
    <x v="5"/>
    <x v="13"/>
    <s v="SE4_OTHER"/>
    <x v="2"/>
    <x v="6"/>
    <x v="0"/>
    <x v="0"/>
  </r>
  <r>
    <x v="0"/>
    <x v="0"/>
    <x v="0"/>
    <x v="5"/>
    <x v="13"/>
    <s v="SE4_OTHER"/>
    <x v="2"/>
    <x v="7"/>
    <x v="0"/>
    <x v="0"/>
  </r>
  <r>
    <x v="0"/>
    <x v="0"/>
    <x v="0"/>
    <x v="5"/>
    <x v="13"/>
    <s v="SE4_OTHER"/>
    <x v="2"/>
    <x v="8"/>
    <x v="0"/>
    <x v="0"/>
  </r>
  <r>
    <x v="0"/>
    <x v="0"/>
    <x v="0"/>
    <x v="5"/>
    <x v="13"/>
    <s v="SE4_OTHER"/>
    <x v="2"/>
    <x v="9"/>
    <x v="0"/>
    <x v="0"/>
  </r>
  <r>
    <x v="0"/>
    <x v="0"/>
    <x v="0"/>
    <x v="5"/>
    <x v="13"/>
    <s v="SE4_OTHER"/>
    <x v="2"/>
    <x v="10"/>
    <x v="0"/>
    <x v="0"/>
  </r>
  <r>
    <x v="0"/>
    <x v="0"/>
    <x v="0"/>
    <x v="5"/>
    <x v="13"/>
    <s v="SE4_OTHER"/>
    <x v="2"/>
    <x v="11"/>
    <x v="0"/>
    <x v="0"/>
  </r>
  <r>
    <x v="0"/>
    <x v="0"/>
    <x v="0"/>
    <x v="5"/>
    <x v="13"/>
    <s v="SE4_OTHER"/>
    <x v="3"/>
    <x v="0"/>
    <x v="0"/>
    <x v="0"/>
  </r>
  <r>
    <x v="0"/>
    <x v="0"/>
    <x v="0"/>
    <x v="5"/>
    <x v="13"/>
    <s v="SE4_OTHER"/>
    <x v="3"/>
    <x v="1"/>
    <x v="0"/>
    <x v="0"/>
  </r>
  <r>
    <x v="0"/>
    <x v="0"/>
    <x v="0"/>
    <x v="5"/>
    <x v="13"/>
    <s v="SE4_OTHER"/>
    <x v="3"/>
    <x v="2"/>
    <x v="0"/>
    <x v="0"/>
  </r>
  <r>
    <x v="0"/>
    <x v="0"/>
    <x v="0"/>
    <x v="5"/>
    <x v="13"/>
    <s v="SE4_OTHER"/>
    <x v="3"/>
    <x v="3"/>
    <x v="0"/>
    <x v="0"/>
  </r>
  <r>
    <x v="0"/>
    <x v="0"/>
    <x v="0"/>
    <x v="5"/>
    <x v="13"/>
    <s v="SE4_OTHER"/>
    <x v="3"/>
    <x v="4"/>
    <x v="0"/>
    <x v="0"/>
  </r>
  <r>
    <x v="0"/>
    <x v="0"/>
    <x v="0"/>
    <x v="5"/>
    <x v="13"/>
    <s v="SE4_OTHER"/>
    <x v="3"/>
    <x v="5"/>
    <x v="0"/>
    <x v="0"/>
  </r>
  <r>
    <x v="0"/>
    <x v="0"/>
    <x v="0"/>
    <x v="5"/>
    <x v="13"/>
    <s v="SE4_OTHER"/>
    <x v="3"/>
    <x v="6"/>
    <x v="0"/>
    <x v="0"/>
  </r>
  <r>
    <x v="0"/>
    <x v="0"/>
    <x v="0"/>
    <x v="5"/>
    <x v="13"/>
    <s v="SE4_OTHER"/>
    <x v="3"/>
    <x v="7"/>
    <x v="0"/>
    <x v="0"/>
  </r>
  <r>
    <x v="0"/>
    <x v="0"/>
    <x v="0"/>
    <x v="5"/>
    <x v="13"/>
    <s v="SE4_OTHER"/>
    <x v="3"/>
    <x v="8"/>
    <x v="0"/>
    <x v="0"/>
  </r>
  <r>
    <x v="0"/>
    <x v="0"/>
    <x v="0"/>
    <x v="5"/>
    <x v="13"/>
    <s v="SE4_OTHER"/>
    <x v="3"/>
    <x v="9"/>
    <x v="0"/>
    <x v="0"/>
  </r>
  <r>
    <x v="0"/>
    <x v="0"/>
    <x v="0"/>
    <x v="5"/>
    <x v="13"/>
    <s v="SE4_OTHER"/>
    <x v="3"/>
    <x v="10"/>
    <x v="0"/>
    <x v="0"/>
  </r>
  <r>
    <x v="0"/>
    <x v="0"/>
    <x v="0"/>
    <x v="5"/>
    <x v="13"/>
    <s v="SE4_OTHER"/>
    <x v="3"/>
    <x v="11"/>
    <x v="0"/>
    <x v="0"/>
  </r>
  <r>
    <x v="0"/>
    <x v="0"/>
    <x v="0"/>
    <x v="5"/>
    <x v="13"/>
    <s v="SE4_OTHER"/>
    <x v="4"/>
    <x v="0"/>
    <x v="0"/>
    <x v="0"/>
  </r>
  <r>
    <x v="0"/>
    <x v="0"/>
    <x v="0"/>
    <x v="5"/>
    <x v="13"/>
    <s v="SE4_OTHER"/>
    <x v="4"/>
    <x v="1"/>
    <x v="0"/>
    <x v="0"/>
  </r>
  <r>
    <x v="0"/>
    <x v="0"/>
    <x v="0"/>
    <x v="5"/>
    <x v="13"/>
    <s v="SE4_OTHER"/>
    <x v="4"/>
    <x v="2"/>
    <x v="0"/>
    <x v="0"/>
  </r>
  <r>
    <x v="0"/>
    <x v="0"/>
    <x v="0"/>
    <x v="5"/>
    <x v="13"/>
    <s v="SE4_OTHER"/>
    <x v="4"/>
    <x v="3"/>
    <x v="0"/>
    <x v="0"/>
  </r>
  <r>
    <x v="0"/>
    <x v="0"/>
    <x v="0"/>
    <x v="5"/>
    <x v="13"/>
    <s v="SE4_OTHER"/>
    <x v="4"/>
    <x v="4"/>
    <x v="0"/>
    <x v="0"/>
  </r>
  <r>
    <x v="0"/>
    <x v="0"/>
    <x v="0"/>
    <x v="5"/>
    <x v="13"/>
    <s v="SE4_OTHER"/>
    <x v="4"/>
    <x v="5"/>
    <x v="0"/>
    <x v="0"/>
  </r>
  <r>
    <x v="0"/>
    <x v="0"/>
    <x v="0"/>
    <x v="5"/>
    <x v="13"/>
    <s v="SE4_OTHER"/>
    <x v="4"/>
    <x v="6"/>
    <x v="0"/>
    <x v="0"/>
  </r>
  <r>
    <x v="0"/>
    <x v="0"/>
    <x v="0"/>
    <x v="5"/>
    <x v="13"/>
    <s v="SE4_OTHER"/>
    <x v="4"/>
    <x v="7"/>
    <x v="0"/>
    <x v="0"/>
  </r>
  <r>
    <x v="0"/>
    <x v="0"/>
    <x v="0"/>
    <x v="5"/>
    <x v="13"/>
    <s v="SE4_OTHER"/>
    <x v="4"/>
    <x v="8"/>
    <x v="0"/>
    <x v="0"/>
  </r>
  <r>
    <x v="0"/>
    <x v="0"/>
    <x v="0"/>
    <x v="5"/>
    <x v="13"/>
    <s v="SE4_OTHER"/>
    <x v="4"/>
    <x v="9"/>
    <x v="0"/>
    <x v="0"/>
  </r>
  <r>
    <x v="0"/>
    <x v="0"/>
    <x v="0"/>
    <x v="5"/>
    <x v="13"/>
    <s v="SE4_OTHER"/>
    <x v="4"/>
    <x v="10"/>
    <x v="0"/>
    <x v="0"/>
  </r>
  <r>
    <x v="0"/>
    <x v="0"/>
    <x v="0"/>
    <x v="5"/>
    <x v="13"/>
    <s v="SE4_OTHER"/>
    <x v="4"/>
    <x v="11"/>
    <x v="0"/>
    <x v="0"/>
  </r>
  <r>
    <x v="0"/>
    <x v="0"/>
    <x v="0"/>
    <x v="5"/>
    <x v="13"/>
    <s v="SE4_OTHER"/>
    <x v="5"/>
    <x v="0"/>
    <x v="0"/>
    <x v="0"/>
  </r>
  <r>
    <x v="0"/>
    <x v="0"/>
    <x v="0"/>
    <x v="5"/>
    <x v="13"/>
    <s v="SE4_OTHER"/>
    <x v="5"/>
    <x v="1"/>
    <x v="0"/>
    <x v="0"/>
  </r>
  <r>
    <x v="0"/>
    <x v="0"/>
    <x v="0"/>
    <x v="5"/>
    <x v="13"/>
    <s v="SE4_OTHER"/>
    <x v="5"/>
    <x v="2"/>
    <x v="0"/>
    <x v="0"/>
  </r>
  <r>
    <x v="0"/>
    <x v="0"/>
    <x v="0"/>
    <x v="5"/>
    <x v="13"/>
    <s v="SE4_OTHER"/>
    <x v="5"/>
    <x v="3"/>
    <x v="0"/>
    <x v="0"/>
  </r>
  <r>
    <x v="0"/>
    <x v="0"/>
    <x v="0"/>
    <x v="5"/>
    <x v="13"/>
    <s v="SE4_OTHER"/>
    <x v="5"/>
    <x v="4"/>
    <x v="0"/>
    <x v="0"/>
  </r>
  <r>
    <x v="0"/>
    <x v="0"/>
    <x v="0"/>
    <x v="5"/>
    <x v="13"/>
    <s v="SE4_OTHER"/>
    <x v="5"/>
    <x v="5"/>
    <x v="0"/>
    <x v="0"/>
  </r>
  <r>
    <x v="0"/>
    <x v="0"/>
    <x v="0"/>
    <x v="5"/>
    <x v="13"/>
    <s v="SE4_OTHER"/>
    <x v="5"/>
    <x v="6"/>
    <x v="0"/>
    <x v="0"/>
  </r>
  <r>
    <x v="0"/>
    <x v="0"/>
    <x v="0"/>
    <x v="5"/>
    <x v="13"/>
    <s v="SE4_OTHER"/>
    <x v="5"/>
    <x v="7"/>
    <x v="0"/>
    <x v="0"/>
  </r>
  <r>
    <x v="0"/>
    <x v="0"/>
    <x v="0"/>
    <x v="5"/>
    <x v="13"/>
    <s v="SE4_OTHER"/>
    <x v="5"/>
    <x v="8"/>
    <x v="0"/>
    <x v="0"/>
  </r>
  <r>
    <x v="0"/>
    <x v="0"/>
    <x v="0"/>
    <x v="5"/>
    <x v="13"/>
    <s v="SE4_OTHER"/>
    <x v="5"/>
    <x v="9"/>
    <x v="0"/>
    <x v="0"/>
  </r>
  <r>
    <x v="0"/>
    <x v="0"/>
    <x v="0"/>
    <x v="5"/>
    <x v="13"/>
    <s v="SE4_OTHER"/>
    <x v="5"/>
    <x v="10"/>
    <x v="0"/>
    <x v="0"/>
  </r>
  <r>
    <x v="0"/>
    <x v="0"/>
    <x v="0"/>
    <x v="5"/>
    <x v="13"/>
    <s v="SE4_OTHER"/>
    <x v="5"/>
    <x v="11"/>
    <x v="0"/>
    <x v="0"/>
  </r>
  <r>
    <x v="0"/>
    <x v="0"/>
    <x v="0"/>
    <x v="5"/>
    <x v="13"/>
    <s v="SE4_OTHER"/>
    <x v="6"/>
    <x v="0"/>
    <x v="0"/>
    <x v="0"/>
  </r>
  <r>
    <x v="0"/>
    <x v="0"/>
    <x v="0"/>
    <x v="5"/>
    <x v="13"/>
    <s v="SE4_OTHER"/>
    <x v="6"/>
    <x v="1"/>
    <x v="0"/>
    <x v="0"/>
  </r>
  <r>
    <x v="0"/>
    <x v="0"/>
    <x v="0"/>
    <x v="5"/>
    <x v="13"/>
    <s v="SE4_OTHER"/>
    <x v="6"/>
    <x v="2"/>
    <x v="0"/>
    <x v="0"/>
  </r>
  <r>
    <x v="0"/>
    <x v="0"/>
    <x v="0"/>
    <x v="5"/>
    <x v="13"/>
    <s v="SE4_OTHER"/>
    <x v="6"/>
    <x v="3"/>
    <x v="0"/>
    <x v="0"/>
  </r>
  <r>
    <x v="0"/>
    <x v="0"/>
    <x v="0"/>
    <x v="5"/>
    <x v="13"/>
    <s v="SE4_OTHER"/>
    <x v="6"/>
    <x v="4"/>
    <x v="0"/>
    <x v="0"/>
  </r>
  <r>
    <x v="0"/>
    <x v="0"/>
    <x v="0"/>
    <x v="5"/>
    <x v="13"/>
    <s v="SE4_OTHER"/>
    <x v="6"/>
    <x v="5"/>
    <x v="0"/>
    <x v="0"/>
  </r>
  <r>
    <x v="0"/>
    <x v="0"/>
    <x v="0"/>
    <x v="5"/>
    <x v="13"/>
    <s v="SE4_OTHER"/>
    <x v="6"/>
    <x v="6"/>
    <x v="0"/>
    <x v="0"/>
  </r>
  <r>
    <x v="0"/>
    <x v="0"/>
    <x v="0"/>
    <x v="5"/>
    <x v="13"/>
    <s v="SE4_OTHER"/>
    <x v="6"/>
    <x v="7"/>
    <x v="0"/>
    <x v="0"/>
  </r>
  <r>
    <x v="0"/>
    <x v="0"/>
    <x v="0"/>
    <x v="5"/>
    <x v="13"/>
    <s v="SE4_OTHER"/>
    <x v="6"/>
    <x v="8"/>
    <x v="0"/>
    <x v="0"/>
  </r>
  <r>
    <x v="0"/>
    <x v="0"/>
    <x v="0"/>
    <x v="5"/>
    <x v="13"/>
    <s v="SE4_OTHER"/>
    <x v="6"/>
    <x v="9"/>
    <x v="0"/>
    <x v="0"/>
  </r>
  <r>
    <x v="0"/>
    <x v="0"/>
    <x v="0"/>
    <x v="5"/>
    <x v="13"/>
    <s v="SE4_OTHER"/>
    <x v="6"/>
    <x v="10"/>
    <x v="0"/>
    <x v="0"/>
  </r>
  <r>
    <x v="0"/>
    <x v="0"/>
    <x v="0"/>
    <x v="5"/>
    <x v="13"/>
    <s v="SE4_OTHER"/>
    <x v="6"/>
    <x v="11"/>
    <x v="0"/>
    <x v="0"/>
  </r>
  <r>
    <x v="0"/>
    <x v="0"/>
    <x v="0"/>
    <x v="5"/>
    <x v="13"/>
    <s v="SE4_OTHER"/>
    <x v="7"/>
    <x v="0"/>
    <x v="0"/>
    <x v="0"/>
  </r>
  <r>
    <x v="0"/>
    <x v="0"/>
    <x v="0"/>
    <x v="5"/>
    <x v="13"/>
    <s v="SE4_OTHER"/>
    <x v="7"/>
    <x v="1"/>
    <x v="0"/>
    <x v="0"/>
  </r>
  <r>
    <x v="0"/>
    <x v="0"/>
    <x v="0"/>
    <x v="5"/>
    <x v="13"/>
    <s v="SE4_OTHER"/>
    <x v="7"/>
    <x v="2"/>
    <x v="0"/>
    <x v="0"/>
  </r>
  <r>
    <x v="0"/>
    <x v="0"/>
    <x v="0"/>
    <x v="5"/>
    <x v="13"/>
    <s v="SE4_OTHER"/>
    <x v="7"/>
    <x v="3"/>
    <x v="0"/>
    <x v="0"/>
  </r>
  <r>
    <x v="0"/>
    <x v="0"/>
    <x v="0"/>
    <x v="5"/>
    <x v="13"/>
    <s v="SE4_OTHER"/>
    <x v="7"/>
    <x v="4"/>
    <x v="0"/>
    <x v="0"/>
  </r>
  <r>
    <x v="0"/>
    <x v="0"/>
    <x v="0"/>
    <x v="5"/>
    <x v="13"/>
    <s v="SE4_OTHER"/>
    <x v="7"/>
    <x v="5"/>
    <x v="0"/>
    <x v="0"/>
  </r>
  <r>
    <x v="0"/>
    <x v="0"/>
    <x v="0"/>
    <x v="5"/>
    <x v="13"/>
    <s v="SE4_OTHER"/>
    <x v="7"/>
    <x v="6"/>
    <x v="0"/>
    <x v="0"/>
  </r>
  <r>
    <x v="0"/>
    <x v="0"/>
    <x v="0"/>
    <x v="5"/>
    <x v="13"/>
    <s v="SE4_OTHER"/>
    <x v="7"/>
    <x v="7"/>
    <x v="0"/>
    <x v="0"/>
  </r>
  <r>
    <x v="0"/>
    <x v="0"/>
    <x v="0"/>
    <x v="5"/>
    <x v="13"/>
    <s v="SE4_OTHER"/>
    <x v="7"/>
    <x v="8"/>
    <x v="0"/>
    <x v="0"/>
  </r>
  <r>
    <x v="0"/>
    <x v="0"/>
    <x v="0"/>
    <x v="5"/>
    <x v="13"/>
    <s v="SE4_OTHER"/>
    <x v="7"/>
    <x v="9"/>
    <x v="0"/>
    <x v="0"/>
  </r>
  <r>
    <x v="0"/>
    <x v="0"/>
    <x v="0"/>
    <x v="5"/>
    <x v="13"/>
    <s v="SE4_OTHER"/>
    <x v="7"/>
    <x v="10"/>
    <x v="0"/>
    <x v="0"/>
  </r>
  <r>
    <x v="0"/>
    <x v="0"/>
    <x v="0"/>
    <x v="5"/>
    <x v="13"/>
    <s v="SE4_OTHER"/>
    <x v="7"/>
    <x v="11"/>
    <x v="0"/>
    <x v="0"/>
  </r>
  <r>
    <x v="0"/>
    <x v="0"/>
    <x v="0"/>
    <x v="5"/>
    <x v="13"/>
    <s v="SE4_OTHER"/>
    <x v="8"/>
    <x v="0"/>
    <x v="0"/>
    <x v="0"/>
  </r>
  <r>
    <x v="0"/>
    <x v="0"/>
    <x v="0"/>
    <x v="5"/>
    <x v="13"/>
    <s v="SE4_OTHER"/>
    <x v="8"/>
    <x v="1"/>
    <x v="0"/>
    <x v="0"/>
  </r>
  <r>
    <x v="0"/>
    <x v="0"/>
    <x v="0"/>
    <x v="5"/>
    <x v="13"/>
    <s v="SE4_OTHER"/>
    <x v="8"/>
    <x v="2"/>
    <x v="0"/>
    <x v="0"/>
  </r>
  <r>
    <x v="0"/>
    <x v="0"/>
    <x v="0"/>
    <x v="5"/>
    <x v="13"/>
    <s v="SE4_OTHER"/>
    <x v="8"/>
    <x v="3"/>
    <x v="0"/>
    <x v="0"/>
  </r>
  <r>
    <x v="0"/>
    <x v="0"/>
    <x v="0"/>
    <x v="5"/>
    <x v="13"/>
    <s v="SE4_OTHER"/>
    <x v="8"/>
    <x v="4"/>
    <x v="0"/>
    <x v="0"/>
  </r>
  <r>
    <x v="0"/>
    <x v="0"/>
    <x v="0"/>
    <x v="5"/>
    <x v="13"/>
    <s v="SE4_OTHER"/>
    <x v="8"/>
    <x v="5"/>
    <x v="0"/>
    <x v="0"/>
  </r>
  <r>
    <x v="0"/>
    <x v="0"/>
    <x v="0"/>
    <x v="5"/>
    <x v="13"/>
    <s v="SE4_OTHER"/>
    <x v="8"/>
    <x v="6"/>
    <x v="0"/>
    <x v="0"/>
  </r>
  <r>
    <x v="0"/>
    <x v="0"/>
    <x v="0"/>
    <x v="5"/>
    <x v="13"/>
    <s v="SE4_OTHER"/>
    <x v="8"/>
    <x v="7"/>
    <x v="0"/>
    <x v="0"/>
  </r>
  <r>
    <x v="0"/>
    <x v="0"/>
    <x v="0"/>
    <x v="5"/>
    <x v="13"/>
    <s v="SE4_OTHER"/>
    <x v="8"/>
    <x v="8"/>
    <x v="0"/>
    <x v="0"/>
  </r>
  <r>
    <x v="0"/>
    <x v="0"/>
    <x v="0"/>
    <x v="5"/>
    <x v="13"/>
    <s v="SE4_OTHER"/>
    <x v="8"/>
    <x v="9"/>
    <x v="0"/>
    <x v="0"/>
  </r>
  <r>
    <x v="0"/>
    <x v="0"/>
    <x v="0"/>
    <x v="5"/>
    <x v="13"/>
    <s v="SE4_OTHER"/>
    <x v="8"/>
    <x v="10"/>
    <x v="0"/>
    <x v="0"/>
  </r>
  <r>
    <x v="0"/>
    <x v="0"/>
    <x v="0"/>
    <x v="5"/>
    <x v="13"/>
    <s v="SE4_OTHER"/>
    <x v="8"/>
    <x v="11"/>
    <x v="0"/>
    <x v="0"/>
  </r>
  <r>
    <x v="0"/>
    <x v="0"/>
    <x v="0"/>
    <x v="5"/>
    <x v="13"/>
    <s v="SE4_OTHER"/>
    <x v="9"/>
    <x v="0"/>
    <x v="0"/>
    <x v="0"/>
  </r>
  <r>
    <x v="0"/>
    <x v="0"/>
    <x v="0"/>
    <x v="5"/>
    <x v="13"/>
    <s v="SE4_OTHER"/>
    <x v="9"/>
    <x v="1"/>
    <x v="0"/>
    <x v="0"/>
  </r>
  <r>
    <x v="0"/>
    <x v="0"/>
    <x v="0"/>
    <x v="5"/>
    <x v="13"/>
    <s v="SE4_OTHER"/>
    <x v="9"/>
    <x v="2"/>
    <x v="0"/>
    <x v="0"/>
  </r>
  <r>
    <x v="0"/>
    <x v="0"/>
    <x v="0"/>
    <x v="5"/>
    <x v="13"/>
    <s v="SE4_OTHER"/>
    <x v="9"/>
    <x v="3"/>
    <x v="0"/>
    <x v="0"/>
  </r>
  <r>
    <x v="0"/>
    <x v="0"/>
    <x v="0"/>
    <x v="5"/>
    <x v="13"/>
    <s v="SE4_OTHER"/>
    <x v="9"/>
    <x v="4"/>
    <x v="0"/>
    <x v="0"/>
  </r>
  <r>
    <x v="0"/>
    <x v="0"/>
    <x v="0"/>
    <x v="5"/>
    <x v="13"/>
    <s v="SE4_OTHER"/>
    <x v="9"/>
    <x v="5"/>
    <x v="0"/>
    <x v="0"/>
  </r>
  <r>
    <x v="0"/>
    <x v="0"/>
    <x v="0"/>
    <x v="5"/>
    <x v="13"/>
    <s v="SE4_OTHER"/>
    <x v="9"/>
    <x v="6"/>
    <x v="0"/>
    <x v="0"/>
  </r>
  <r>
    <x v="0"/>
    <x v="0"/>
    <x v="0"/>
    <x v="5"/>
    <x v="13"/>
    <s v="SE4_OTHER"/>
    <x v="9"/>
    <x v="7"/>
    <x v="0"/>
    <x v="0"/>
  </r>
  <r>
    <x v="0"/>
    <x v="0"/>
    <x v="0"/>
    <x v="5"/>
    <x v="13"/>
    <s v="SE4_OTHER"/>
    <x v="9"/>
    <x v="8"/>
    <x v="0"/>
    <x v="0"/>
  </r>
  <r>
    <x v="0"/>
    <x v="0"/>
    <x v="0"/>
    <x v="5"/>
    <x v="13"/>
    <s v="SE4_OTHER"/>
    <x v="9"/>
    <x v="9"/>
    <x v="0"/>
    <x v="0"/>
  </r>
  <r>
    <x v="0"/>
    <x v="0"/>
    <x v="0"/>
    <x v="5"/>
    <x v="13"/>
    <s v="SE4_OTHER"/>
    <x v="9"/>
    <x v="10"/>
    <x v="0"/>
    <x v="0"/>
  </r>
  <r>
    <x v="0"/>
    <x v="0"/>
    <x v="0"/>
    <x v="5"/>
    <x v="13"/>
    <s v="SE4_OTHER"/>
    <x v="9"/>
    <x v="11"/>
    <x v="0"/>
    <x v="0"/>
  </r>
  <r>
    <x v="0"/>
    <x v="0"/>
    <x v="0"/>
    <x v="5"/>
    <x v="13"/>
    <s v="SE4_OTHER"/>
    <x v="10"/>
    <x v="0"/>
    <x v="0"/>
    <x v="0"/>
  </r>
  <r>
    <x v="0"/>
    <x v="0"/>
    <x v="0"/>
    <x v="5"/>
    <x v="13"/>
    <s v="SE4_OTHER"/>
    <x v="10"/>
    <x v="1"/>
    <x v="0"/>
    <x v="0"/>
  </r>
  <r>
    <x v="0"/>
    <x v="0"/>
    <x v="0"/>
    <x v="5"/>
    <x v="13"/>
    <s v="SE4_OTHER"/>
    <x v="10"/>
    <x v="2"/>
    <x v="0"/>
    <x v="0"/>
  </r>
  <r>
    <x v="0"/>
    <x v="0"/>
    <x v="0"/>
    <x v="5"/>
    <x v="13"/>
    <s v="SE4_OTHER"/>
    <x v="10"/>
    <x v="3"/>
    <x v="0"/>
    <x v="0"/>
  </r>
  <r>
    <x v="0"/>
    <x v="0"/>
    <x v="0"/>
    <x v="5"/>
    <x v="13"/>
    <s v="SE4_OTHER"/>
    <x v="10"/>
    <x v="4"/>
    <x v="0"/>
    <x v="0"/>
  </r>
  <r>
    <x v="0"/>
    <x v="0"/>
    <x v="0"/>
    <x v="5"/>
    <x v="13"/>
    <s v="SE4_OTHER"/>
    <x v="10"/>
    <x v="5"/>
    <x v="0"/>
    <x v="0"/>
  </r>
  <r>
    <x v="0"/>
    <x v="0"/>
    <x v="0"/>
    <x v="5"/>
    <x v="13"/>
    <s v="SE4_OTHER"/>
    <x v="10"/>
    <x v="6"/>
    <x v="0"/>
    <x v="0"/>
  </r>
  <r>
    <x v="0"/>
    <x v="0"/>
    <x v="0"/>
    <x v="5"/>
    <x v="13"/>
    <s v="SE4_OTHER"/>
    <x v="10"/>
    <x v="7"/>
    <x v="0"/>
    <x v="0"/>
  </r>
  <r>
    <x v="0"/>
    <x v="0"/>
    <x v="0"/>
    <x v="5"/>
    <x v="13"/>
    <s v="SE4_OTHER"/>
    <x v="10"/>
    <x v="8"/>
    <x v="0"/>
    <x v="0"/>
  </r>
  <r>
    <x v="0"/>
    <x v="0"/>
    <x v="0"/>
    <x v="5"/>
    <x v="13"/>
    <s v="SE4_OTHER"/>
    <x v="10"/>
    <x v="9"/>
    <x v="0"/>
    <x v="0"/>
  </r>
  <r>
    <x v="0"/>
    <x v="0"/>
    <x v="0"/>
    <x v="5"/>
    <x v="13"/>
    <s v="SE4_OTHER"/>
    <x v="10"/>
    <x v="10"/>
    <x v="0"/>
    <x v="0"/>
  </r>
  <r>
    <x v="0"/>
    <x v="0"/>
    <x v="0"/>
    <x v="5"/>
    <x v="13"/>
    <s v="SE4_OTHER"/>
    <x v="10"/>
    <x v="11"/>
    <x v="0"/>
    <x v="0"/>
  </r>
  <r>
    <x v="0"/>
    <x v="0"/>
    <x v="0"/>
    <x v="5"/>
    <x v="13"/>
    <s v="SE4_OTHER"/>
    <x v="11"/>
    <x v="0"/>
    <x v="0"/>
    <x v="0"/>
  </r>
  <r>
    <x v="0"/>
    <x v="0"/>
    <x v="0"/>
    <x v="5"/>
    <x v="13"/>
    <s v="SE4_OTHER"/>
    <x v="11"/>
    <x v="1"/>
    <x v="0"/>
    <x v="0"/>
  </r>
  <r>
    <x v="0"/>
    <x v="0"/>
    <x v="0"/>
    <x v="5"/>
    <x v="13"/>
    <s v="SE4_OTHER"/>
    <x v="11"/>
    <x v="2"/>
    <x v="0"/>
    <x v="0"/>
  </r>
  <r>
    <x v="0"/>
    <x v="0"/>
    <x v="0"/>
    <x v="5"/>
    <x v="13"/>
    <s v="SE4_OTHER"/>
    <x v="11"/>
    <x v="3"/>
    <x v="0"/>
    <x v="0"/>
  </r>
  <r>
    <x v="0"/>
    <x v="0"/>
    <x v="0"/>
    <x v="5"/>
    <x v="13"/>
    <s v="SE4_OTHER"/>
    <x v="11"/>
    <x v="4"/>
    <x v="0"/>
    <x v="0"/>
  </r>
  <r>
    <x v="0"/>
    <x v="0"/>
    <x v="0"/>
    <x v="5"/>
    <x v="13"/>
    <s v="SE4_OTHER"/>
    <x v="11"/>
    <x v="5"/>
    <x v="0"/>
    <x v="0"/>
  </r>
  <r>
    <x v="0"/>
    <x v="0"/>
    <x v="0"/>
    <x v="5"/>
    <x v="13"/>
    <s v="SE4_OTHER"/>
    <x v="11"/>
    <x v="6"/>
    <x v="0"/>
    <x v="0"/>
  </r>
  <r>
    <x v="0"/>
    <x v="0"/>
    <x v="0"/>
    <x v="5"/>
    <x v="13"/>
    <s v="SE4_OTHER"/>
    <x v="11"/>
    <x v="7"/>
    <x v="0"/>
    <x v="0"/>
  </r>
  <r>
    <x v="0"/>
    <x v="0"/>
    <x v="0"/>
    <x v="5"/>
    <x v="13"/>
    <s v="SE4_OTHER"/>
    <x v="11"/>
    <x v="8"/>
    <x v="0"/>
    <x v="0"/>
  </r>
  <r>
    <x v="0"/>
    <x v="0"/>
    <x v="0"/>
    <x v="5"/>
    <x v="13"/>
    <s v="SE4_OTHER"/>
    <x v="11"/>
    <x v="9"/>
    <x v="0"/>
    <x v="0"/>
  </r>
  <r>
    <x v="0"/>
    <x v="0"/>
    <x v="0"/>
    <x v="5"/>
    <x v="13"/>
    <s v="SE4_OTHER"/>
    <x v="11"/>
    <x v="10"/>
    <x v="0"/>
    <x v="0"/>
  </r>
  <r>
    <x v="0"/>
    <x v="0"/>
    <x v="0"/>
    <x v="5"/>
    <x v="13"/>
    <s v="SE4_OTHER"/>
    <x v="11"/>
    <x v="11"/>
    <x v="0"/>
    <x v="0"/>
  </r>
  <r>
    <x v="0"/>
    <x v="0"/>
    <x v="0"/>
    <x v="6"/>
    <x v="14"/>
    <s v="UKA"/>
    <x v="0"/>
    <x v="0"/>
    <x v="0"/>
    <x v="0"/>
  </r>
  <r>
    <x v="0"/>
    <x v="0"/>
    <x v="0"/>
    <x v="6"/>
    <x v="14"/>
    <s v="UKA"/>
    <x v="0"/>
    <x v="1"/>
    <x v="0"/>
    <x v="0"/>
  </r>
  <r>
    <x v="0"/>
    <x v="0"/>
    <x v="0"/>
    <x v="6"/>
    <x v="14"/>
    <s v="UKA"/>
    <x v="0"/>
    <x v="2"/>
    <x v="0"/>
    <x v="0"/>
  </r>
  <r>
    <x v="0"/>
    <x v="0"/>
    <x v="0"/>
    <x v="6"/>
    <x v="14"/>
    <s v="UKA"/>
    <x v="0"/>
    <x v="3"/>
    <x v="0"/>
    <x v="0"/>
  </r>
  <r>
    <x v="0"/>
    <x v="0"/>
    <x v="0"/>
    <x v="6"/>
    <x v="14"/>
    <s v="UKA"/>
    <x v="0"/>
    <x v="4"/>
    <x v="0"/>
    <x v="0"/>
  </r>
  <r>
    <x v="0"/>
    <x v="0"/>
    <x v="0"/>
    <x v="6"/>
    <x v="14"/>
    <s v="UKA"/>
    <x v="0"/>
    <x v="5"/>
    <x v="0"/>
    <x v="0"/>
  </r>
  <r>
    <x v="0"/>
    <x v="0"/>
    <x v="0"/>
    <x v="6"/>
    <x v="14"/>
    <s v="UKA"/>
    <x v="0"/>
    <x v="6"/>
    <x v="0"/>
    <x v="0"/>
  </r>
  <r>
    <x v="0"/>
    <x v="0"/>
    <x v="0"/>
    <x v="6"/>
    <x v="14"/>
    <s v="UKA"/>
    <x v="0"/>
    <x v="7"/>
    <x v="0"/>
    <x v="0"/>
  </r>
  <r>
    <x v="0"/>
    <x v="0"/>
    <x v="0"/>
    <x v="6"/>
    <x v="14"/>
    <s v="UKA"/>
    <x v="0"/>
    <x v="8"/>
    <x v="0"/>
    <x v="0"/>
  </r>
  <r>
    <x v="0"/>
    <x v="0"/>
    <x v="0"/>
    <x v="6"/>
    <x v="14"/>
    <s v="UKA"/>
    <x v="0"/>
    <x v="9"/>
    <x v="0"/>
    <x v="0"/>
  </r>
  <r>
    <x v="0"/>
    <x v="0"/>
    <x v="0"/>
    <x v="6"/>
    <x v="14"/>
    <s v="UKA"/>
    <x v="0"/>
    <x v="10"/>
    <x v="0"/>
    <x v="0"/>
  </r>
  <r>
    <x v="0"/>
    <x v="0"/>
    <x v="0"/>
    <x v="6"/>
    <x v="14"/>
    <s v="UKA"/>
    <x v="0"/>
    <x v="11"/>
    <x v="0"/>
    <x v="0"/>
  </r>
  <r>
    <x v="0"/>
    <x v="0"/>
    <x v="0"/>
    <x v="6"/>
    <x v="14"/>
    <s v="UKA"/>
    <x v="1"/>
    <x v="0"/>
    <x v="0"/>
    <x v="0"/>
  </r>
  <r>
    <x v="0"/>
    <x v="0"/>
    <x v="0"/>
    <x v="6"/>
    <x v="14"/>
    <s v="UKA"/>
    <x v="1"/>
    <x v="1"/>
    <x v="0"/>
    <x v="0"/>
  </r>
  <r>
    <x v="0"/>
    <x v="0"/>
    <x v="0"/>
    <x v="6"/>
    <x v="14"/>
    <s v="UKA"/>
    <x v="1"/>
    <x v="2"/>
    <x v="0"/>
    <x v="0"/>
  </r>
  <r>
    <x v="0"/>
    <x v="0"/>
    <x v="0"/>
    <x v="6"/>
    <x v="14"/>
    <s v="UKA"/>
    <x v="1"/>
    <x v="3"/>
    <x v="0"/>
    <x v="0"/>
  </r>
  <r>
    <x v="0"/>
    <x v="0"/>
    <x v="0"/>
    <x v="6"/>
    <x v="14"/>
    <s v="UKA"/>
    <x v="1"/>
    <x v="4"/>
    <x v="0"/>
    <x v="0"/>
  </r>
  <r>
    <x v="0"/>
    <x v="0"/>
    <x v="0"/>
    <x v="6"/>
    <x v="14"/>
    <s v="UKA"/>
    <x v="1"/>
    <x v="5"/>
    <x v="0"/>
    <x v="0"/>
  </r>
  <r>
    <x v="0"/>
    <x v="0"/>
    <x v="0"/>
    <x v="6"/>
    <x v="14"/>
    <s v="UKA"/>
    <x v="1"/>
    <x v="6"/>
    <x v="0"/>
    <x v="0"/>
  </r>
  <r>
    <x v="0"/>
    <x v="0"/>
    <x v="0"/>
    <x v="6"/>
    <x v="14"/>
    <s v="UKA"/>
    <x v="1"/>
    <x v="7"/>
    <x v="0"/>
    <x v="0"/>
  </r>
  <r>
    <x v="0"/>
    <x v="0"/>
    <x v="0"/>
    <x v="6"/>
    <x v="14"/>
    <s v="UKA"/>
    <x v="1"/>
    <x v="8"/>
    <x v="0"/>
    <x v="0"/>
  </r>
  <r>
    <x v="0"/>
    <x v="0"/>
    <x v="0"/>
    <x v="6"/>
    <x v="14"/>
    <s v="UKA"/>
    <x v="1"/>
    <x v="9"/>
    <x v="0"/>
    <x v="0"/>
  </r>
  <r>
    <x v="0"/>
    <x v="0"/>
    <x v="0"/>
    <x v="6"/>
    <x v="14"/>
    <s v="UKA"/>
    <x v="1"/>
    <x v="10"/>
    <x v="0"/>
    <x v="0"/>
  </r>
  <r>
    <x v="0"/>
    <x v="0"/>
    <x v="0"/>
    <x v="6"/>
    <x v="14"/>
    <s v="UKA"/>
    <x v="1"/>
    <x v="11"/>
    <x v="0"/>
    <x v="0"/>
  </r>
  <r>
    <x v="0"/>
    <x v="0"/>
    <x v="0"/>
    <x v="6"/>
    <x v="14"/>
    <s v="UKA"/>
    <x v="2"/>
    <x v="0"/>
    <x v="0"/>
    <x v="0"/>
  </r>
  <r>
    <x v="0"/>
    <x v="0"/>
    <x v="0"/>
    <x v="6"/>
    <x v="14"/>
    <s v="UKA"/>
    <x v="2"/>
    <x v="1"/>
    <x v="0"/>
    <x v="0"/>
  </r>
  <r>
    <x v="0"/>
    <x v="0"/>
    <x v="0"/>
    <x v="6"/>
    <x v="14"/>
    <s v="UKA"/>
    <x v="2"/>
    <x v="2"/>
    <x v="0"/>
    <x v="0"/>
  </r>
  <r>
    <x v="0"/>
    <x v="0"/>
    <x v="0"/>
    <x v="6"/>
    <x v="14"/>
    <s v="UKA"/>
    <x v="2"/>
    <x v="3"/>
    <x v="0"/>
    <x v="0"/>
  </r>
  <r>
    <x v="0"/>
    <x v="0"/>
    <x v="0"/>
    <x v="6"/>
    <x v="14"/>
    <s v="UKA"/>
    <x v="2"/>
    <x v="4"/>
    <x v="0"/>
    <x v="0"/>
  </r>
  <r>
    <x v="0"/>
    <x v="0"/>
    <x v="0"/>
    <x v="6"/>
    <x v="14"/>
    <s v="UKA"/>
    <x v="2"/>
    <x v="5"/>
    <x v="0"/>
    <x v="0"/>
  </r>
  <r>
    <x v="0"/>
    <x v="0"/>
    <x v="0"/>
    <x v="6"/>
    <x v="14"/>
    <s v="UKA"/>
    <x v="2"/>
    <x v="6"/>
    <x v="0"/>
    <x v="0"/>
  </r>
  <r>
    <x v="0"/>
    <x v="0"/>
    <x v="0"/>
    <x v="6"/>
    <x v="14"/>
    <s v="UKA"/>
    <x v="2"/>
    <x v="7"/>
    <x v="0"/>
    <x v="0"/>
  </r>
  <r>
    <x v="0"/>
    <x v="0"/>
    <x v="0"/>
    <x v="6"/>
    <x v="14"/>
    <s v="UKA"/>
    <x v="2"/>
    <x v="8"/>
    <x v="0"/>
    <x v="0"/>
  </r>
  <r>
    <x v="0"/>
    <x v="0"/>
    <x v="0"/>
    <x v="6"/>
    <x v="14"/>
    <s v="UKA"/>
    <x v="2"/>
    <x v="9"/>
    <x v="0"/>
    <x v="0"/>
  </r>
  <r>
    <x v="0"/>
    <x v="0"/>
    <x v="0"/>
    <x v="6"/>
    <x v="14"/>
    <s v="UKA"/>
    <x v="2"/>
    <x v="10"/>
    <x v="0"/>
    <x v="0"/>
  </r>
  <r>
    <x v="0"/>
    <x v="0"/>
    <x v="0"/>
    <x v="6"/>
    <x v="14"/>
    <s v="UKA"/>
    <x v="2"/>
    <x v="11"/>
    <x v="0"/>
    <x v="0"/>
  </r>
  <r>
    <x v="0"/>
    <x v="0"/>
    <x v="0"/>
    <x v="6"/>
    <x v="14"/>
    <s v="UKA"/>
    <x v="3"/>
    <x v="0"/>
    <x v="0"/>
    <x v="0"/>
  </r>
  <r>
    <x v="0"/>
    <x v="0"/>
    <x v="0"/>
    <x v="6"/>
    <x v="14"/>
    <s v="UKA"/>
    <x v="3"/>
    <x v="1"/>
    <x v="0"/>
    <x v="0"/>
  </r>
  <r>
    <x v="0"/>
    <x v="0"/>
    <x v="0"/>
    <x v="6"/>
    <x v="14"/>
    <s v="UKA"/>
    <x v="3"/>
    <x v="2"/>
    <x v="0"/>
    <x v="0"/>
  </r>
  <r>
    <x v="0"/>
    <x v="0"/>
    <x v="0"/>
    <x v="6"/>
    <x v="14"/>
    <s v="UKA"/>
    <x v="3"/>
    <x v="3"/>
    <x v="0"/>
    <x v="0"/>
  </r>
  <r>
    <x v="0"/>
    <x v="0"/>
    <x v="0"/>
    <x v="6"/>
    <x v="14"/>
    <s v="UKA"/>
    <x v="3"/>
    <x v="4"/>
    <x v="0"/>
    <x v="0"/>
  </r>
  <r>
    <x v="0"/>
    <x v="0"/>
    <x v="0"/>
    <x v="6"/>
    <x v="14"/>
    <s v="UKA"/>
    <x v="3"/>
    <x v="5"/>
    <x v="0"/>
    <x v="0"/>
  </r>
  <r>
    <x v="0"/>
    <x v="0"/>
    <x v="0"/>
    <x v="6"/>
    <x v="14"/>
    <s v="UKA"/>
    <x v="3"/>
    <x v="6"/>
    <x v="0"/>
    <x v="0"/>
  </r>
  <r>
    <x v="0"/>
    <x v="0"/>
    <x v="0"/>
    <x v="6"/>
    <x v="14"/>
    <s v="UKA"/>
    <x v="3"/>
    <x v="7"/>
    <x v="0"/>
    <x v="0"/>
  </r>
  <r>
    <x v="0"/>
    <x v="0"/>
    <x v="0"/>
    <x v="6"/>
    <x v="14"/>
    <s v="UKA"/>
    <x v="3"/>
    <x v="8"/>
    <x v="0"/>
    <x v="0"/>
  </r>
  <r>
    <x v="0"/>
    <x v="0"/>
    <x v="0"/>
    <x v="6"/>
    <x v="14"/>
    <s v="UKA"/>
    <x v="3"/>
    <x v="9"/>
    <x v="0"/>
    <x v="0"/>
  </r>
  <r>
    <x v="0"/>
    <x v="0"/>
    <x v="0"/>
    <x v="6"/>
    <x v="14"/>
    <s v="UKA"/>
    <x v="3"/>
    <x v="10"/>
    <x v="0"/>
    <x v="0"/>
  </r>
  <r>
    <x v="0"/>
    <x v="0"/>
    <x v="0"/>
    <x v="6"/>
    <x v="14"/>
    <s v="UKA"/>
    <x v="3"/>
    <x v="11"/>
    <x v="0"/>
    <x v="0"/>
  </r>
  <r>
    <x v="0"/>
    <x v="0"/>
    <x v="0"/>
    <x v="6"/>
    <x v="14"/>
    <s v="UKA"/>
    <x v="4"/>
    <x v="0"/>
    <x v="0"/>
    <x v="0"/>
  </r>
  <r>
    <x v="0"/>
    <x v="0"/>
    <x v="0"/>
    <x v="6"/>
    <x v="14"/>
    <s v="UKA"/>
    <x v="4"/>
    <x v="1"/>
    <x v="0"/>
    <x v="0"/>
  </r>
  <r>
    <x v="0"/>
    <x v="0"/>
    <x v="0"/>
    <x v="6"/>
    <x v="14"/>
    <s v="UKA"/>
    <x v="4"/>
    <x v="2"/>
    <x v="0"/>
    <x v="0"/>
  </r>
  <r>
    <x v="0"/>
    <x v="0"/>
    <x v="0"/>
    <x v="6"/>
    <x v="14"/>
    <s v="UKA"/>
    <x v="4"/>
    <x v="3"/>
    <x v="0"/>
    <x v="0"/>
  </r>
  <r>
    <x v="0"/>
    <x v="0"/>
    <x v="0"/>
    <x v="6"/>
    <x v="14"/>
    <s v="UKA"/>
    <x v="4"/>
    <x v="4"/>
    <x v="0"/>
    <x v="0"/>
  </r>
  <r>
    <x v="0"/>
    <x v="0"/>
    <x v="0"/>
    <x v="6"/>
    <x v="14"/>
    <s v="UKA"/>
    <x v="4"/>
    <x v="5"/>
    <x v="0"/>
    <x v="0"/>
  </r>
  <r>
    <x v="0"/>
    <x v="0"/>
    <x v="0"/>
    <x v="6"/>
    <x v="14"/>
    <s v="UKA"/>
    <x v="4"/>
    <x v="6"/>
    <x v="0"/>
    <x v="0"/>
  </r>
  <r>
    <x v="0"/>
    <x v="0"/>
    <x v="0"/>
    <x v="6"/>
    <x v="14"/>
    <s v="UKA"/>
    <x v="4"/>
    <x v="7"/>
    <x v="0"/>
    <x v="0"/>
  </r>
  <r>
    <x v="0"/>
    <x v="0"/>
    <x v="0"/>
    <x v="6"/>
    <x v="14"/>
    <s v="UKA"/>
    <x v="4"/>
    <x v="8"/>
    <x v="0"/>
    <x v="0"/>
  </r>
  <r>
    <x v="0"/>
    <x v="0"/>
    <x v="0"/>
    <x v="6"/>
    <x v="14"/>
    <s v="UKA"/>
    <x v="4"/>
    <x v="9"/>
    <x v="0"/>
    <x v="0"/>
  </r>
  <r>
    <x v="0"/>
    <x v="0"/>
    <x v="0"/>
    <x v="6"/>
    <x v="14"/>
    <s v="UKA"/>
    <x v="4"/>
    <x v="10"/>
    <x v="0"/>
    <x v="0"/>
  </r>
  <r>
    <x v="0"/>
    <x v="0"/>
    <x v="0"/>
    <x v="6"/>
    <x v="14"/>
    <s v="UKA"/>
    <x v="4"/>
    <x v="11"/>
    <x v="0"/>
    <x v="0"/>
  </r>
  <r>
    <x v="0"/>
    <x v="0"/>
    <x v="0"/>
    <x v="6"/>
    <x v="14"/>
    <s v="UKA"/>
    <x v="5"/>
    <x v="0"/>
    <x v="0"/>
    <x v="0"/>
  </r>
  <r>
    <x v="0"/>
    <x v="0"/>
    <x v="0"/>
    <x v="6"/>
    <x v="14"/>
    <s v="UKA"/>
    <x v="5"/>
    <x v="1"/>
    <x v="0"/>
    <x v="0"/>
  </r>
  <r>
    <x v="0"/>
    <x v="0"/>
    <x v="0"/>
    <x v="6"/>
    <x v="14"/>
    <s v="UKA"/>
    <x v="5"/>
    <x v="2"/>
    <x v="0"/>
    <x v="0"/>
  </r>
  <r>
    <x v="0"/>
    <x v="0"/>
    <x v="0"/>
    <x v="6"/>
    <x v="14"/>
    <s v="UKA"/>
    <x v="5"/>
    <x v="3"/>
    <x v="0"/>
    <x v="0"/>
  </r>
  <r>
    <x v="0"/>
    <x v="0"/>
    <x v="0"/>
    <x v="6"/>
    <x v="14"/>
    <s v="UKA"/>
    <x v="5"/>
    <x v="4"/>
    <x v="0"/>
    <x v="0"/>
  </r>
  <r>
    <x v="0"/>
    <x v="0"/>
    <x v="0"/>
    <x v="6"/>
    <x v="14"/>
    <s v="UKA"/>
    <x v="5"/>
    <x v="5"/>
    <x v="0"/>
    <x v="0"/>
  </r>
  <r>
    <x v="0"/>
    <x v="0"/>
    <x v="0"/>
    <x v="6"/>
    <x v="14"/>
    <s v="UKA"/>
    <x v="5"/>
    <x v="6"/>
    <x v="0"/>
    <x v="0"/>
  </r>
  <r>
    <x v="0"/>
    <x v="0"/>
    <x v="0"/>
    <x v="6"/>
    <x v="14"/>
    <s v="UKA"/>
    <x v="5"/>
    <x v="7"/>
    <x v="0"/>
    <x v="0"/>
  </r>
  <r>
    <x v="0"/>
    <x v="0"/>
    <x v="0"/>
    <x v="6"/>
    <x v="14"/>
    <s v="UKA"/>
    <x v="5"/>
    <x v="8"/>
    <x v="0"/>
    <x v="0"/>
  </r>
  <r>
    <x v="0"/>
    <x v="0"/>
    <x v="0"/>
    <x v="6"/>
    <x v="14"/>
    <s v="UKA"/>
    <x v="5"/>
    <x v="9"/>
    <x v="0"/>
    <x v="0"/>
  </r>
  <r>
    <x v="0"/>
    <x v="0"/>
    <x v="0"/>
    <x v="6"/>
    <x v="14"/>
    <s v="UKA"/>
    <x v="5"/>
    <x v="10"/>
    <x v="0"/>
    <x v="0"/>
  </r>
  <r>
    <x v="0"/>
    <x v="0"/>
    <x v="0"/>
    <x v="6"/>
    <x v="14"/>
    <s v="UKA"/>
    <x v="5"/>
    <x v="11"/>
    <x v="0"/>
    <x v="0"/>
  </r>
  <r>
    <x v="0"/>
    <x v="0"/>
    <x v="0"/>
    <x v="6"/>
    <x v="14"/>
    <s v="UKA"/>
    <x v="6"/>
    <x v="0"/>
    <x v="0"/>
    <x v="0"/>
  </r>
  <r>
    <x v="0"/>
    <x v="0"/>
    <x v="0"/>
    <x v="6"/>
    <x v="14"/>
    <s v="UKA"/>
    <x v="6"/>
    <x v="1"/>
    <x v="0"/>
    <x v="0"/>
  </r>
  <r>
    <x v="0"/>
    <x v="0"/>
    <x v="0"/>
    <x v="6"/>
    <x v="14"/>
    <s v="UKA"/>
    <x v="6"/>
    <x v="2"/>
    <x v="0"/>
    <x v="0"/>
  </r>
  <r>
    <x v="0"/>
    <x v="0"/>
    <x v="0"/>
    <x v="6"/>
    <x v="14"/>
    <s v="UKA"/>
    <x v="6"/>
    <x v="3"/>
    <x v="0"/>
    <x v="0"/>
  </r>
  <r>
    <x v="0"/>
    <x v="0"/>
    <x v="0"/>
    <x v="6"/>
    <x v="14"/>
    <s v="UKA"/>
    <x v="6"/>
    <x v="4"/>
    <x v="0"/>
    <x v="0"/>
  </r>
  <r>
    <x v="0"/>
    <x v="0"/>
    <x v="0"/>
    <x v="6"/>
    <x v="14"/>
    <s v="UKA"/>
    <x v="6"/>
    <x v="5"/>
    <x v="0"/>
    <x v="0"/>
  </r>
  <r>
    <x v="0"/>
    <x v="0"/>
    <x v="0"/>
    <x v="6"/>
    <x v="14"/>
    <s v="UKA"/>
    <x v="6"/>
    <x v="6"/>
    <x v="0"/>
    <x v="0"/>
  </r>
  <r>
    <x v="0"/>
    <x v="0"/>
    <x v="0"/>
    <x v="6"/>
    <x v="14"/>
    <s v="UKA"/>
    <x v="6"/>
    <x v="7"/>
    <x v="0"/>
    <x v="0"/>
  </r>
  <r>
    <x v="0"/>
    <x v="0"/>
    <x v="0"/>
    <x v="6"/>
    <x v="14"/>
    <s v="UKA"/>
    <x v="6"/>
    <x v="8"/>
    <x v="0"/>
    <x v="0"/>
  </r>
  <r>
    <x v="0"/>
    <x v="0"/>
    <x v="0"/>
    <x v="6"/>
    <x v="14"/>
    <s v="UKA"/>
    <x v="6"/>
    <x v="9"/>
    <x v="0"/>
    <x v="0"/>
  </r>
  <r>
    <x v="0"/>
    <x v="0"/>
    <x v="0"/>
    <x v="6"/>
    <x v="14"/>
    <s v="UKA"/>
    <x v="6"/>
    <x v="10"/>
    <x v="0"/>
    <x v="0"/>
  </r>
  <r>
    <x v="0"/>
    <x v="0"/>
    <x v="0"/>
    <x v="6"/>
    <x v="14"/>
    <s v="UKA"/>
    <x v="6"/>
    <x v="11"/>
    <x v="0"/>
    <x v="0"/>
  </r>
  <r>
    <x v="0"/>
    <x v="0"/>
    <x v="0"/>
    <x v="6"/>
    <x v="14"/>
    <s v="UKA"/>
    <x v="7"/>
    <x v="0"/>
    <x v="0"/>
    <x v="0"/>
  </r>
  <r>
    <x v="0"/>
    <x v="0"/>
    <x v="0"/>
    <x v="6"/>
    <x v="14"/>
    <s v="UKA"/>
    <x v="7"/>
    <x v="1"/>
    <x v="0"/>
    <x v="0"/>
  </r>
  <r>
    <x v="0"/>
    <x v="0"/>
    <x v="0"/>
    <x v="6"/>
    <x v="14"/>
    <s v="UKA"/>
    <x v="7"/>
    <x v="2"/>
    <x v="0"/>
    <x v="0"/>
  </r>
  <r>
    <x v="0"/>
    <x v="0"/>
    <x v="0"/>
    <x v="6"/>
    <x v="14"/>
    <s v="UKA"/>
    <x v="7"/>
    <x v="3"/>
    <x v="0"/>
    <x v="0"/>
  </r>
  <r>
    <x v="0"/>
    <x v="0"/>
    <x v="0"/>
    <x v="6"/>
    <x v="14"/>
    <s v="UKA"/>
    <x v="7"/>
    <x v="4"/>
    <x v="0"/>
    <x v="0"/>
  </r>
  <r>
    <x v="0"/>
    <x v="0"/>
    <x v="0"/>
    <x v="6"/>
    <x v="14"/>
    <s v="UKA"/>
    <x v="7"/>
    <x v="5"/>
    <x v="0"/>
    <x v="0"/>
  </r>
  <r>
    <x v="0"/>
    <x v="0"/>
    <x v="0"/>
    <x v="6"/>
    <x v="14"/>
    <s v="UKA"/>
    <x v="7"/>
    <x v="6"/>
    <x v="0"/>
    <x v="0"/>
  </r>
  <r>
    <x v="0"/>
    <x v="0"/>
    <x v="0"/>
    <x v="6"/>
    <x v="14"/>
    <s v="UKA"/>
    <x v="7"/>
    <x v="7"/>
    <x v="0"/>
    <x v="0"/>
  </r>
  <r>
    <x v="0"/>
    <x v="0"/>
    <x v="0"/>
    <x v="6"/>
    <x v="14"/>
    <s v="UKA"/>
    <x v="7"/>
    <x v="8"/>
    <x v="0"/>
    <x v="0"/>
  </r>
  <r>
    <x v="0"/>
    <x v="0"/>
    <x v="0"/>
    <x v="6"/>
    <x v="14"/>
    <s v="UKA"/>
    <x v="7"/>
    <x v="9"/>
    <x v="0"/>
    <x v="0"/>
  </r>
  <r>
    <x v="0"/>
    <x v="0"/>
    <x v="0"/>
    <x v="6"/>
    <x v="14"/>
    <s v="UKA"/>
    <x v="7"/>
    <x v="10"/>
    <x v="0"/>
    <x v="0"/>
  </r>
  <r>
    <x v="0"/>
    <x v="0"/>
    <x v="0"/>
    <x v="6"/>
    <x v="14"/>
    <s v="UKA"/>
    <x v="7"/>
    <x v="11"/>
    <x v="0"/>
    <x v="0"/>
  </r>
  <r>
    <x v="0"/>
    <x v="0"/>
    <x v="0"/>
    <x v="6"/>
    <x v="14"/>
    <s v="UKA"/>
    <x v="8"/>
    <x v="0"/>
    <x v="0"/>
    <x v="0"/>
  </r>
  <r>
    <x v="0"/>
    <x v="0"/>
    <x v="0"/>
    <x v="6"/>
    <x v="14"/>
    <s v="UKA"/>
    <x v="8"/>
    <x v="1"/>
    <x v="0"/>
    <x v="0"/>
  </r>
  <r>
    <x v="0"/>
    <x v="0"/>
    <x v="0"/>
    <x v="6"/>
    <x v="14"/>
    <s v="UKA"/>
    <x v="8"/>
    <x v="2"/>
    <x v="0"/>
    <x v="0"/>
  </r>
  <r>
    <x v="0"/>
    <x v="0"/>
    <x v="0"/>
    <x v="6"/>
    <x v="14"/>
    <s v="UKA"/>
    <x v="8"/>
    <x v="3"/>
    <x v="0"/>
    <x v="0"/>
  </r>
  <r>
    <x v="0"/>
    <x v="0"/>
    <x v="0"/>
    <x v="6"/>
    <x v="14"/>
    <s v="UKA"/>
    <x v="8"/>
    <x v="4"/>
    <x v="0"/>
    <x v="0"/>
  </r>
  <r>
    <x v="0"/>
    <x v="0"/>
    <x v="0"/>
    <x v="6"/>
    <x v="14"/>
    <s v="UKA"/>
    <x v="8"/>
    <x v="5"/>
    <x v="0"/>
    <x v="0"/>
  </r>
  <r>
    <x v="0"/>
    <x v="0"/>
    <x v="0"/>
    <x v="6"/>
    <x v="14"/>
    <s v="UKA"/>
    <x v="8"/>
    <x v="6"/>
    <x v="0"/>
    <x v="0"/>
  </r>
  <r>
    <x v="0"/>
    <x v="0"/>
    <x v="0"/>
    <x v="6"/>
    <x v="14"/>
    <s v="UKA"/>
    <x v="8"/>
    <x v="7"/>
    <x v="0"/>
    <x v="0"/>
  </r>
  <r>
    <x v="0"/>
    <x v="0"/>
    <x v="0"/>
    <x v="6"/>
    <x v="14"/>
    <s v="UKA"/>
    <x v="8"/>
    <x v="8"/>
    <x v="0"/>
    <x v="0"/>
  </r>
  <r>
    <x v="0"/>
    <x v="0"/>
    <x v="0"/>
    <x v="6"/>
    <x v="14"/>
    <s v="UKA"/>
    <x v="8"/>
    <x v="9"/>
    <x v="0"/>
    <x v="0"/>
  </r>
  <r>
    <x v="0"/>
    <x v="0"/>
    <x v="0"/>
    <x v="6"/>
    <x v="14"/>
    <s v="UKA"/>
    <x v="8"/>
    <x v="10"/>
    <x v="0"/>
    <x v="0"/>
  </r>
  <r>
    <x v="0"/>
    <x v="0"/>
    <x v="0"/>
    <x v="6"/>
    <x v="14"/>
    <s v="UKA"/>
    <x v="8"/>
    <x v="11"/>
    <x v="0"/>
    <x v="0"/>
  </r>
  <r>
    <x v="0"/>
    <x v="0"/>
    <x v="0"/>
    <x v="6"/>
    <x v="14"/>
    <s v="UKA"/>
    <x v="9"/>
    <x v="0"/>
    <x v="0"/>
    <x v="0"/>
  </r>
  <r>
    <x v="0"/>
    <x v="0"/>
    <x v="0"/>
    <x v="6"/>
    <x v="14"/>
    <s v="UKA"/>
    <x v="9"/>
    <x v="1"/>
    <x v="0"/>
    <x v="0"/>
  </r>
  <r>
    <x v="0"/>
    <x v="0"/>
    <x v="0"/>
    <x v="6"/>
    <x v="14"/>
    <s v="UKA"/>
    <x v="9"/>
    <x v="2"/>
    <x v="0"/>
    <x v="0"/>
  </r>
  <r>
    <x v="0"/>
    <x v="0"/>
    <x v="0"/>
    <x v="6"/>
    <x v="14"/>
    <s v="UKA"/>
    <x v="9"/>
    <x v="3"/>
    <x v="0"/>
    <x v="0"/>
  </r>
  <r>
    <x v="0"/>
    <x v="0"/>
    <x v="0"/>
    <x v="6"/>
    <x v="14"/>
    <s v="UKA"/>
    <x v="9"/>
    <x v="4"/>
    <x v="0"/>
    <x v="0"/>
  </r>
  <r>
    <x v="0"/>
    <x v="0"/>
    <x v="0"/>
    <x v="6"/>
    <x v="14"/>
    <s v="UKA"/>
    <x v="9"/>
    <x v="5"/>
    <x v="0"/>
    <x v="0"/>
  </r>
  <r>
    <x v="0"/>
    <x v="0"/>
    <x v="0"/>
    <x v="6"/>
    <x v="14"/>
    <s v="UKA"/>
    <x v="9"/>
    <x v="6"/>
    <x v="0"/>
    <x v="0"/>
  </r>
  <r>
    <x v="0"/>
    <x v="0"/>
    <x v="0"/>
    <x v="6"/>
    <x v="14"/>
    <s v="UKA"/>
    <x v="9"/>
    <x v="7"/>
    <x v="0"/>
    <x v="0"/>
  </r>
  <r>
    <x v="0"/>
    <x v="0"/>
    <x v="0"/>
    <x v="6"/>
    <x v="14"/>
    <s v="UKA"/>
    <x v="9"/>
    <x v="8"/>
    <x v="0"/>
    <x v="0"/>
  </r>
  <r>
    <x v="0"/>
    <x v="0"/>
    <x v="0"/>
    <x v="6"/>
    <x v="14"/>
    <s v="UKA"/>
    <x v="9"/>
    <x v="9"/>
    <x v="0"/>
    <x v="0"/>
  </r>
  <r>
    <x v="0"/>
    <x v="0"/>
    <x v="0"/>
    <x v="6"/>
    <x v="14"/>
    <s v="UKA"/>
    <x v="9"/>
    <x v="10"/>
    <x v="0"/>
    <x v="0"/>
  </r>
  <r>
    <x v="0"/>
    <x v="0"/>
    <x v="0"/>
    <x v="6"/>
    <x v="14"/>
    <s v="UKA"/>
    <x v="9"/>
    <x v="11"/>
    <x v="0"/>
    <x v="0"/>
  </r>
  <r>
    <x v="0"/>
    <x v="0"/>
    <x v="0"/>
    <x v="6"/>
    <x v="14"/>
    <s v="UKA"/>
    <x v="10"/>
    <x v="0"/>
    <x v="0"/>
    <x v="0"/>
  </r>
  <r>
    <x v="0"/>
    <x v="0"/>
    <x v="0"/>
    <x v="6"/>
    <x v="14"/>
    <s v="UKA"/>
    <x v="10"/>
    <x v="1"/>
    <x v="0"/>
    <x v="0"/>
  </r>
  <r>
    <x v="0"/>
    <x v="0"/>
    <x v="0"/>
    <x v="6"/>
    <x v="14"/>
    <s v="UKA"/>
    <x v="10"/>
    <x v="2"/>
    <x v="0"/>
    <x v="0"/>
  </r>
  <r>
    <x v="0"/>
    <x v="0"/>
    <x v="0"/>
    <x v="6"/>
    <x v="14"/>
    <s v="UKA"/>
    <x v="10"/>
    <x v="3"/>
    <x v="0"/>
    <x v="0"/>
  </r>
  <r>
    <x v="0"/>
    <x v="0"/>
    <x v="0"/>
    <x v="6"/>
    <x v="14"/>
    <s v="UKA"/>
    <x v="10"/>
    <x v="4"/>
    <x v="0"/>
    <x v="0"/>
  </r>
  <r>
    <x v="0"/>
    <x v="0"/>
    <x v="0"/>
    <x v="6"/>
    <x v="14"/>
    <s v="UKA"/>
    <x v="10"/>
    <x v="5"/>
    <x v="0"/>
    <x v="0"/>
  </r>
  <r>
    <x v="0"/>
    <x v="0"/>
    <x v="0"/>
    <x v="6"/>
    <x v="14"/>
    <s v="UKA"/>
    <x v="10"/>
    <x v="6"/>
    <x v="0"/>
    <x v="0"/>
  </r>
  <r>
    <x v="0"/>
    <x v="0"/>
    <x v="0"/>
    <x v="6"/>
    <x v="14"/>
    <s v="UKA"/>
    <x v="10"/>
    <x v="7"/>
    <x v="0"/>
    <x v="0"/>
  </r>
  <r>
    <x v="0"/>
    <x v="0"/>
    <x v="0"/>
    <x v="6"/>
    <x v="14"/>
    <s v="UKA"/>
    <x v="10"/>
    <x v="8"/>
    <x v="0"/>
    <x v="0"/>
  </r>
  <r>
    <x v="0"/>
    <x v="0"/>
    <x v="0"/>
    <x v="6"/>
    <x v="14"/>
    <s v="UKA"/>
    <x v="10"/>
    <x v="9"/>
    <x v="0"/>
    <x v="0"/>
  </r>
  <r>
    <x v="0"/>
    <x v="0"/>
    <x v="0"/>
    <x v="6"/>
    <x v="14"/>
    <s v="UKA"/>
    <x v="10"/>
    <x v="10"/>
    <x v="0"/>
    <x v="0"/>
  </r>
  <r>
    <x v="0"/>
    <x v="0"/>
    <x v="0"/>
    <x v="6"/>
    <x v="14"/>
    <s v="UKA"/>
    <x v="10"/>
    <x v="11"/>
    <x v="0"/>
    <x v="0"/>
  </r>
  <r>
    <x v="0"/>
    <x v="0"/>
    <x v="0"/>
    <x v="6"/>
    <x v="14"/>
    <s v="UKA"/>
    <x v="11"/>
    <x v="0"/>
    <x v="0"/>
    <x v="0"/>
  </r>
  <r>
    <x v="0"/>
    <x v="0"/>
    <x v="0"/>
    <x v="6"/>
    <x v="14"/>
    <s v="UKA"/>
    <x v="11"/>
    <x v="1"/>
    <x v="0"/>
    <x v="0"/>
  </r>
  <r>
    <x v="0"/>
    <x v="0"/>
    <x v="0"/>
    <x v="6"/>
    <x v="14"/>
    <s v="UKA"/>
    <x v="11"/>
    <x v="2"/>
    <x v="0"/>
    <x v="0"/>
  </r>
  <r>
    <x v="0"/>
    <x v="0"/>
    <x v="0"/>
    <x v="6"/>
    <x v="14"/>
    <s v="UKA"/>
    <x v="11"/>
    <x v="3"/>
    <x v="0"/>
    <x v="0"/>
  </r>
  <r>
    <x v="0"/>
    <x v="0"/>
    <x v="0"/>
    <x v="6"/>
    <x v="14"/>
    <s v="UKA"/>
    <x v="11"/>
    <x v="4"/>
    <x v="0"/>
    <x v="0"/>
  </r>
  <r>
    <x v="0"/>
    <x v="0"/>
    <x v="0"/>
    <x v="6"/>
    <x v="14"/>
    <s v="UKA"/>
    <x v="11"/>
    <x v="5"/>
    <x v="0"/>
    <x v="0"/>
  </r>
  <r>
    <x v="0"/>
    <x v="0"/>
    <x v="0"/>
    <x v="6"/>
    <x v="14"/>
    <s v="UKA"/>
    <x v="11"/>
    <x v="6"/>
    <x v="0"/>
    <x v="0"/>
  </r>
  <r>
    <x v="0"/>
    <x v="0"/>
    <x v="0"/>
    <x v="6"/>
    <x v="14"/>
    <s v="UKA"/>
    <x v="11"/>
    <x v="7"/>
    <x v="0"/>
    <x v="0"/>
  </r>
  <r>
    <x v="0"/>
    <x v="0"/>
    <x v="0"/>
    <x v="6"/>
    <x v="14"/>
    <s v="UKA"/>
    <x v="11"/>
    <x v="8"/>
    <x v="0"/>
    <x v="0"/>
  </r>
  <r>
    <x v="0"/>
    <x v="0"/>
    <x v="0"/>
    <x v="6"/>
    <x v="14"/>
    <s v="UKA"/>
    <x v="11"/>
    <x v="9"/>
    <x v="0"/>
    <x v="0"/>
  </r>
  <r>
    <x v="0"/>
    <x v="0"/>
    <x v="0"/>
    <x v="6"/>
    <x v="14"/>
    <s v="UKA"/>
    <x v="11"/>
    <x v="10"/>
    <x v="0"/>
    <x v="0"/>
  </r>
  <r>
    <x v="0"/>
    <x v="0"/>
    <x v="0"/>
    <x v="6"/>
    <x v="14"/>
    <s v="UKA"/>
    <x v="11"/>
    <x v="11"/>
    <x v="0"/>
    <x v="0"/>
  </r>
</pivotCacheRecords>
</file>

<file path=xl/pivotCache/pivotCacheRecords6.xml><?xml version="1.0" encoding="utf-8"?>
<pivotCacheRecords xmlns="http://schemas.openxmlformats.org/spreadsheetml/2006/main" xmlns:r="http://schemas.openxmlformats.org/officeDocument/2006/relationships" count="26">
  <r>
    <x v="0"/>
    <x v="0"/>
    <x v="0"/>
    <x v="0"/>
    <x v="0"/>
    <x v="0"/>
    <x v="0"/>
    <x v="0"/>
    <x v="0"/>
    <x v="0"/>
    <x v="0"/>
    <x v="0"/>
    <x v="0"/>
    <x v="0"/>
  </r>
  <r>
    <x v="0"/>
    <x v="0"/>
    <x v="0"/>
    <x v="0"/>
    <x v="0"/>
    <x v="1"/>
    <x v="1"/>
    <x v="1"/>
    <x v="1"/>
    <x v="1"/>
    <x v="1"/>
    <x v="1"/>
    <x v="1"/>
    <x v="1"/>
  </r>
  <r>
    <x v="0"/>
    <x v="0"/>
    <x v="0"/>
    <x v="0"/>
    <x v="0"/>
    <x v="1"/>
    <x v="1"/>
    <x v="2"/>
    <x v="2"/>
    <x v="2"/>
    <x v="2"/>
    <x v="2"/>
    <x v="2"/>
    <x v="2"/>
  </r>
  <r>
    <x v="0"/>
    <x v="0"/>
    <x v="0"/>
    <x v="0"/>
    <x v="0"/>
    <x v="1"/>
    <x v="1"/>
    <x v="3"/>
    <x v="3"/>
    <x v="3"/>
    <x v="3"/>
    <x v="3"/>
    <x v="3"/>
    <x v="3"/>
  </r>
  <r>
    <x v="0"/>
    <x v="0"/>
    <x v="0"/>
    <x v="0"/>
    <x v="0"/>
    <x v="1"/>
    <x v="1"/>
    <x v="4"/>
    <x v="4"/>
    <x v="4"/>
    <x v="4"/>
    <x v="4"/>
    <x v="4"/>
    <x v="4"/>
  </r>
  <r>
    <x v="0"/>
    <x v="0"/>
    <x v="0"/>
    <x v="0"/>
    <x v="0"/>
    <x v="1"/>
    <x v="1"/>
    <x v="5"/>
    <x v="5"/>
    <x v="5"/>
    <x v="5"/>
    <x v="5"/>
    <x v="5"/>
    <x v="5"/>
  </r>
  <r>
    <x v="0"/>
    <x v="0"/>
    <x v="0"/>
    <x v="0"/>
    <x v="0"/>
    <x v="1"/>
    <x v="1"/>
    <x v="6"/>
    <x v="6"/>
    <x v="6"/>
    <x v="6"/>
    <x v="6"/>
    <x v="6"/>
    <x v="6"/>
  </r>
  <r>
    <x v="0"/>
    <x v="0"/>
    <x v="0"/>
    <x v="0"/>
    <x v="0"/>
    <x v="1"/>
    <x v="1"/>
    <x v="7"/>
    <x v="7"/>
    <x v="7"/>
    <x v="7"/>
    <x v="7"/>
    <x v="7"/>
    <x v="7"/>
  </r>
  <r>
    <x v="0"/>
    <x v="0"/>
    <x v="0"/>
    <x v="0"/>
    <x v="0"/>
    <x v="1"/>
    <x v="1"/>
    <x v="8"/>
    <x v="8"/>
    <x v="8"/>
    <x v="8"/>
    <x v="8"/>
    <x v="8"/>
    <x v="8"/>
  </r>
  <r>
    <x v="0"/>
    <x v="0"/>
    <x v="0"/>
    <x v="0"/>
    <x v="0"/>
    <x v="1"/>
    <x v="1"/>
    <x v="9"/>
    <x v="9"/>
    <x v="9"/>
    <x v="9"/>
    <x v="9"/>
    <x v="9"/>
    <x v="9"/>
  </r>
  <r>
    <x v="0"/>
    <x v="0"/>
    <x v="0"/>
    <x v="0"/>
    <x v="0"/>
    <x v="1"/>
    <x v="1"/>
    <x v="10"/>
    <x v="10"/>
    <x v="10"/>
    <x v="10"/>
    <x v="10"/>
    <x v="10"/>
    <x v="10"/>
  </r>
  <r>
    <x v="0"/>
    <x v="0"/>
    <x v="0"/>
    <x v="0"/>
    <x v="0"/>
    <x v="1"/>
    <x v="1"/>
    <x v="11"/>
    <x v="11"/>
    <x v="11"/>
    <x v="11"/>
    <x v="11"/>
    <x v="11"/>
    <x v="11"/>
  </r>
  <r>
    <x v="0"/>
    <x v="0"/>
    <x v="0"/>
    <x v="0"/>
    <x v="0"/>
    <x v="2"/>
    <x v="1"/>
    <x v="12"/>
    <x v="12"/>
    <x v="12"/>
    <x v="12"/>
    <x v="12"/>
    <x v="12"/>
    <x v="12"/>
  </r>
  <r>
    <x v="0"/>
    <x v="0"/>
    <x v="0"/>
    <x v="0"/>
    <x v="0"/>
    <x v="2"/>
    <x v="1"/>
    <x v="13"/>
    <x v="13"/>
    <x v="13"/>
    <x v="13"/>
    <x v="13"/>
    <x v="13"/>
    <x v="13"/>
  </r>
  <r>
    <x v="0"/>
    <x v="0"/>
    <x v="0"/>
    <x v="1"/>
    <x v="1"/>
    <x v="3"/>
    <x v="2"/>
    <x v="14"/>
    <x v="14"/>
    <x v="14"/>
    <x v="14"/>
    <x v="14"/>
    <x v="14"/>
    <x v="14"/>
  </r>
  <r>
    <x v="0"/>
    <x v="0"/>
    <x v="0"/>
    <x v="2"/>
    <x v="2"/>
    <x v="4"/>
    <x v="3"/>
    <x v="15"/>
    <x v="15"/>
    <x v="15"/>
    <x v="15"/>
    <x v="15"/>
    <x v="15"/>
    <x v="15"/>
  </r>
  <r>
    <x v="0"/>
    <x v="0"/>
    <x v="0"/>
    <x v="3"/>
    <x v="3"/>
    <x v="5"/>
    <x v="2"/>
    <x v="16"/>
    <x v="16"/>
    <x v="16"/>
    <x v="16"/>
    <x v="16"/>
    <x v="16"/>
    <x v="16"/>
  </r>
  <r>
    <x v="0"/>
    <x v="0"/>
    <x v="0"/>
    <x v="3"/>
    <x v="3"/>
    <x v="5"/>
    <x v="2"/>
    <x v="17"/>
    <x v="17"/>
    <x v="17"/>
    <x v="17"/>
    <x v="17"/>
    <x v="17"/>
    <x v="17"/>
  </r>
  <r>
    <x v="0"/>
    <x v="0"/>
    <x v="0"/>
    <x v="3"/>
    <x v="3"/>
    <x v="5"/>
    <x v="2"/>
    <x v="18"/>
    <x v="18"/>
    <x v="18"/>
    <x v="18"/>
    <x v="18"/>
    <x v="18"/>
    <x v="18"/>
  </r>
  <r>
    <x v="0"/>
    <x v="0"/>
    <x v="0"/>
    <x v="3"/>
    <x v="3"/>
    <x v="5"/>
    <x v="4"/>
    <x v="19"/>
    <x v="19"/>
    <x v="19"/>
    <x v="19"/>
    <x v="19"/>
    <x v="19"/>
    <x v="19"/>
  </r>
  <r>
    <x v="0"/>
    <x v="0"/>
    <x v="0"/>
    <x v="3"/>
    <x v="3"/>
    <x v="6"/>
    <x v="2"/>
    <x v="20"/>
    <x v="20"/>
    <x v="20"/>
    <x v="20"/>
    <x v="20"/>
    <x v="20"/>
    <x v="20"/>
  </r>
  <r>
    <x v="0"/>
    <x v="0"/>
    <x v="0"/>
    <x v="3"/>
    <x v="3"/>
    <x v="6"/>
    <x v="2"/>
    <x v="21"/>
    <x v="21"/>
    <x v="21"/>
    <x v="21"/>
    <x v="21"/>
    <x v="21"/>
    <x v="21"/>
  </r>
  <r>
    <x v="0"/>
    <x v="0"/>
    <x v="0"/>
    <x v="3"/>
    <x v="3"/>
    <x v="6"/>
    <x v="2"/>
    <x v="22"/>
    <x v="22"/>
    <x v="22"/>
    <x v="22"/>
    <x v="22"/>
    <x v="22"/>
    <x v="22"/>
  </r>
  <r>
    <x v="0"/>
    <x v="0"/>
    <x v="0"/>
    <x v="3"/>
    <x v="3"/>
    <x v="6"/>
    <x v="2"/>
    <x v="23"/>
    <x v="23"/>
    <x v="23"/>
    <x v="23"/>
    <x v="23"/>
    <x v="23"/>
    <x v="23"/>
  </r>
  <r>
    <x v="0"/>
    <x v="0"/>
    <x v="0"/>
    <x v="3"/>
    <x v="3"/>
    <x v="6"/>
    <x v="4"/>
    <x v="24"/>
    <x v="24"/>
    <x v="24"/>
    <x v="24"/>
    <x v="24"/>
    <x v="24"/>
    <x v="24"/>
  </r>
  <r>
    <x v="0"/>
    <x v="0"/>
    <x v="0"/>
    <x v="3"/>
    <x v="3"/>
    <x v="6"/>
    <x v="4"/>
    <x v="25"/>
    <x v="25"/>
    <x v="25"/>
    <x v="25"/>
    <x v="25"/>
    <x v="25"/>
    <x v="25"/>
  </r>
</pivotCacheRecords>
</file>

<file path=xl/pivotCache/pivotCacheRecords7.xml><?xml version="1.0" encoding="utf-8"?>
<pivotCacheRecords xmlns="http://schemas.openxmlformats.org/spreadsheetml/2006/main" xmlns:r="http://schemas.openxmlformats.org/officeDocument/2006/relationships" count="191">
  <r>
    <x v="0"/>
    <x v="0"/>
    <x v="0"/>
    <x v="0"/>
    <x v="0"/>
    <s v="DK1_Large"/>
    <x v="0"/>
    <s v="SolarDH-10_19"/>
    <n v="10.1024586"/>
    <n v="36.368850960000003"/>
  </r>
  <r>
    <x v="0"/>
    <x v="0"/>
    <x v="0"/>
    <x v="0"/>
    <x v="0"/>
    <s v="DK1_Large"/>
    <x v="1"/>
    <s v="WI-L10"/>
    <n v="1.2087479999999999"/>
    <n v="4.3514927999999999"/>
  </r>
  <r>
    <x v="0"/>
    <x v="0"/>
    <x v="0"/>
    <x v="0"/>
    <x v="0"/>
    <s v="DK1_MedSmall"/>
    <x v="0"/>
    <s v="SolarDH-10_19"/>
    <n v="2.1230258000000002"/>
    <n v="7.6428928799999998"/>
  </r>
  <r>
    <x v="0"/>
    <x v="0"/>
    <x v="0"/>
    <x v="0"/>
    <x v="0"/>
    <s v="DK1_MedSmall"/>
    <x v="1"/>
    <s v="DK1_Rural_WI"/>
    <n v="1.4010731999999999"/>
    <n v="5.0438635200000004"/>
  </r>
  <r>
    <x v="0"/>
    <x v="0"/>
    <x v="0"/>
    <x v="0"/>
    <x v="0"/>
    <s v="DK1_Medium"/>
    <x v="0"/>
    <s v="SolarDH-10_19"/>
    <n v="4.4767533000000004"/>
    <n v="16.116311880000001"/>
  </r>
  <r>
    <x v="0"/>
    <x v="0"/>
    <x v="0"/>
    <x v="0"/>
    <x v="0"/>
    <s v="DK1_Medium"/>
    <x v="1"/>
    <s v="DK1_Rural_WI"/>
    <n v="2.4100964"/>
    <n v="8.6763470399999996"/>
  </r>
  <r>
    <x v="0"/>
    <x v="0"/>
    <x v="0"/>
    <x v="0"/>
    <x v="0"/>
    <s v="DK1_Rural"/>
    <x v="0"/>
    <s v="SolarDH-10_19"/>
    <n v="6.0381289000000002"/>
    <n v="21.737264039999999"/>
  </r>
  <r>
    <x v="0"/>
    <x v="0"/>
    <x v="0"/>
    <x v="0"/>
    <x v="0"/>
    <s v="DK1_Rural"/>
    <x v="0"/>
    <s v="SolarPV-50"/>
    <n v="25.047665006325701"/>
    <n v="90.171594022772396"/>
  </r>
  <r>
    <x v="0"/>
    <x v="0"/>
    <x v="0"/>
    <x v="0"/>
    <x v="0"/>
    <s v="DK1_Small"/>
    <x v="0"/>
    <s v="SolarDH-10_19"/>
    <n v="0.52204249999999996"/>
    <n v="1.8793530000000001"/>
  </r>
  <r>
    <x v="0"/>
    <x v="0"/>
    <x v="0"/>
    <x v="0"/>
    <x v="0"/>
    <s v="DK1_Small"/>
    <x v="1"/>
    <s v="DK1_Rural_WI"/>
    <n v="0.59032240000000002"/>
    <n v="2.1251606399999998"/>
  </r>
  <r>
    <x v="0"/>
    <x v="0"/>
    <x v="0"/>
    <x v="0"/>
    <x v="1"/>
    <s v="DK2_Large"/>
    <x v="2"/>
    <s v="HeatPump-EL-10_19"/>
    <n v="3.4303632500000001"/>
    <n v="12.349307700000001"/>
  </r>
  <r>
    <x v="0"/>
    <x v="0"/>
    <x v="0"/>
    <x v="0"/>
    <x v="1"/>
    <s v="DK2_Large"/>
    <x v="1"/>
    <s v="WI-L10"/>
    <n v="7.4555100000000096E-2"/>
    <n v="0.26839836"/>
  </r>
  <r>
    <x v="0"/>
    <x v="0"/>
    <x v="0"/>
    <x v="0"/>
    <x v="1"/>
    <s v="DK2_MedSmall"/>
    <x v="0"/>
    <s v="SolarDH-10_19"/>
    <n v="0.74839270000000002"/>
    <n v="2.69421372"/>
  </r>
  <r>
    <x v="0"/>
    <x v="0"/>
    <x v="0"/>
    <x v="0"/>
    <x v="1"/>
    <s v="DK2_MedSmall"/>
    <x v="1"/>
    <s v="DK2_Rural_WI"/>
    <n v="0.66544800000000004"/>
    <n v="2.3956127999999999"/>
  </r>
  <r>
    <x v="0"/>
    <x v="0"/>
    <x v="0"/>
    <x v="0"/>
    <x v="1"/>
    <s v="DK2_Medium"/>
    <x v="0"/>
    <s v="SolarDH-10_19"/>
    <n v="1.8731586"/>
    <n v="6.74337096"/>
  </r>
  <r>
    <x v="0"/>
    <x v="0"/>
    <x v="0"/>
    <x v="0"/>
    <x v="1"/>
    <s v="DK2_Medium"/>
    <x v="1"/>
    <s v="DK2_Rural_WI"/>
    <n v="0.28500560000000003"/>
    <n v="1.0260201600000001"/>
  </r>
  <r>
    <x v="0"/>
    <x v="0"/>
    <x v="0"/>
    <x v="0"/>
    <x v="1"/>
    <s v="DK2_Rural"/>
    <x v="0"/>
    <s v="SolarDH-10_19"/>
    <n v="2.1893465999999999"/>
    <n v="7.8816477599999999"/>
  </r>
  <r>
    <x v="0"/>
    <x v="0"/>
    <x v="0"/>
    <x v="0"/>
    <x v="1"/>
    <s v="DK2_Rural"/>
    <x v="0"/>
    <s v="SolarPV-50"/>
    <n v="21.1313248062947"/>
    <n v="76.072769302661101"/>
  </r>
  <r>
    <x v="0"/>
    <x v="0"/>
    <x v="0"/>
    <x v="0"/>
    <x v="1"/>
    <s v="DK2_Small"/>
    <x v="0"/>
    <s v="SolarDH-10_19"/>
    <n v="0.1758284"/>
    <n v="0.63298224000000003"/>
  </r>
  <r>
    <x v="0"/>
    <x v="0"/>
    <x v="0"/>
    <x v="0"/>
    <x v="1"/>
    <s v="DK2_Small"/>
    <x v="1"/>
    <s v="DK2_Rural_WI"/>
    <n v="6.7198999999999995E-2"/>
    <n v="0.2419164"/>
  </r>
  <r>
    <x v="0"/>
    <x v="0"/>
    <x v="0"/>
    <x v="1"/>
    <x v="2"/>
    <s v="EE_A"/>
    <x v="1"/>
    <s v="WI-L10"/>
    <n v="0.66047999999999996"/>
    <n v="2.3777279999999998"/>
  </r>
  <r>
    <x v="0"/>
    <x v="0"/>
    <x v="0"/>
    <x v="1"/>
    <x v="2"/>
    <s v="EE_Industry"/>
    <x v="3"/>
    <s v="GHOB_FUELOIL"/>
    <n v="3.1172341286592901E-2"/>
    <n v="0.112220428631734"/>
  </r>
  <r>
    <x v="0"/>
    <x v="0"/>
    <x v="0"/>
    <x v="1"/>
    <x v="2"/>
    <s v="EE_Industry"/>
    <x v="4"/>
    <s v="GBPR_NATGAS"/>
    <n v="0.60696740565261298"/>
    <n v="2.1850826603494"/>
  </r>
  <r>
    <x v="0"/>
    <x v="0"/>
    <x v="0"/>
    <x v="1"/>
    <x v="2"/>
    <s v="EE_Industry"/>
    <x v="5"/>
    <s v="GBPR_WOODCHIPS"/>
    <n v="0.19752028198959401"/>
    <n v="0.71107301516253396"/>
  </r>
  <r>
    <x v="0"/>
    <x v="0"/>
    <x v="0"/>
    <x v="1"/>
    <x v="2"/>
    <s v="EE_Kohtla_Jarve"/>
    <x v="6"/>
    <s v="GEXT_RETORTGAS"/>
    <n v="0.46928571428571397"/>
    <n v="1.6894285714285699"/>
  </r>
  <r>
    <x v="0"/>
    <x v="0"/>
    <x v="0"/>
    <x v="1"/>
    <x v="2"/>
    <s v="EE_Kohtla_Jarve"/>
    <x v="6"/>
    <s v="GHOB_RETORTGAS"/>
    <n v="0.34618588235294101"/>
    <n v="1.24626917647059"/>
  </r>
  <r>
    <x v="0"/>
    <x v="0"/>
    <x v="0"/>
    <x v="1"/>
    <x v="2"/>
    <s v="EE_Narva"/>
    <x v="7"/>
    <s v="GEXT_SHALE_NARVA_TG11"/>
    <n v="4.6719999999999997"/>
    <n v="16.819199999999999"/>
  </r>
  <r>
    <x v="0"/>
    <x v="0"/>
    <x v="0"/>
    <x v="1"/>
    <x v="2"/>
    <s v="EE_Narva"/>
    <x v="7"/>
    <s v="Narva-EJ-TG1"/>
    <n v="4.4086628595866602"/>
    <n v="15.871186294512"/>
  </r>
  <r>
    <x v="0"/>
    <x v="0"/>
    <x v="0"/>
    <x v="1"/>
    <x v="2"/>
    <s v="EE_Narva"/>
    <x v="7"/>
    <s v="Narva-EJ-TG11"/>
    <n v="5.0967272727272803"/>
    <n v="18.348218181818201"/>
  </r>
  <r>
    <x v="0"/>
    <x v="0"/>
    <x v="0"/>
    <x v="1"/>
    <x v="2"/>
    <s v="EE_Narva"/>
    <x v="7"/>
    <s v="Narva-EJ-TG12"/>
    <n v="0.128320152766876"/>
    <n v="0.46195254996075502"/>
  </r>
  <r>
    <x v="0"/>
    <x v="0"/>
    <x v="0"/>
    <x v="1"/>
    <x v="2"/>
    <s v="EE_Narva"/>
    <x v="7"/>
    <s v="Narva-EJ-TG2"/>
    <n v="2.0217829293574701"/>
    <n v="7.2784185456868897"/>
  </r>
  <r>
    <x v="0"/>
    <x v="0"/>
    <x v="0"/>
    <x v="1"/>
    <x v="2"/>
    <s v="EE_Narva"/>
    <x v="7"/>
    <s v="Narva-EJ-TG3"/>
    <n v="2.48952440007628"/>
    <n v="8.9622878402746196"/>
  </r>
  <r>
    <x v="0"/>
    <x v="0"/>
    <x v="0"/>
    <x v="1"/>
    <x v="2"/>
    <s v="EE_Narva"/>
    <x v="7"/>
    <s v="Narva-EJ-TG4"/>
    <n v="3.8189061092748"/>
    <n v="13.7480619933893"/>
  </r>
  <r>
    <x v="0"/>
    <x v="0"/>
    <x v="0"/>
    <x v="1"/>
    <x v="2"/>
    <s v="EE_Narva"/>
    <x v="7"/>
    <s v="Narva-EJ-TG5"/>
    <n v="2.1501357218025499"/>
    <n v="7.7404885984891996"/>
  </r>
  <r>
    <x v="0"/>
    <x v="0"/>
    <x v="0"/>
    <x v="1"/>
    <x v="2"/>
    <s v="EE_Narva"/>
    <x v="7"/>
    <s v="Narva-EJ-TG6"/>
    <n v="1.08469151717917"/>
    <n v="3.9048894618450101"/>
  </r>
  <r>
    <x v="0"/>
    <x v="0"/>
    <x v="0"/>
    <x v="1"/>
    <x v="2"/>
    <s v="EE_Narva"/>
    <x v="7"/>
    <s v="Narva-EJ-TG7"/>
    <n v="1.25300126701015"/>
    <n v="4.5108045612365304"/>
  </r>
  <r>
    <x v="0"/>
    <x v="0"/>
    <x v="0"/>
    <x v="1"/>
    <x v="2"/>
    <s v="EE_Narva"/>
    <x v="7"/>
    <s v="Narva-EJ-TG8"/>
    <n v="5.1498181818181701"/>
    <n v="18.539345454545501"/>
  </r>
  <r>
    <x v="0"/>
    <x v="0"/>
    <x v="0"/>
    <x v="1"/>
    <x v="2"/>
    <s v="EE_Narva"/>
    <x v="7"/>
    <s v="Narva-EJ-TG9"/>
    <n v="0.80671043551948596"/>
    <n v="2.9041575678701501"/>
  </r>
  <r>
    <x v="0"/>
    <x v="0"/>
    <x v="0"/>
    <x v="1"/>
    <x v="2"/>
    <s v="EE_Parnu"/>
    <x v="5"/>
    <s v="GBPR_WOODCHIPS_TARTU"/>
    <n v="0.27600195652173898"/>
    <n v="0.99360704347826101"/>
  </r>
  <r>
    <x v="0"/>
    <x v="0"/>
    <x v="0"/>
    <x v="1"/>
    <x v="2"/>
    <s v="EE_Small"/>
    <x v="6"/>
    <s v="GHOB_RETORTGAS"/>
    <n v="0.82161096676724499"/>
    <n v="2.95779948036208"/>
  </r>
  <r>
    <x v="0"/>
    <x v="0"/>
    <x v="0"/>
    <x v="1"/>
    <x v="2"/>
    <s v="EE_Small"/>
    <x v="7"/>
    <s v="GEXT_SHALE_SILLAMAE"/>
    <n v="6.61354814757774E-2"/>
    <n v="0.238087733312799"/>
  </r>
  <r>
    <x v="0"/>
    <x v="0"/>
    <x v="0"/>
    <x v="1"/>
    <x v="2"/>
    <s v="EE_Small"/>
    <x v="7"/>
    <s v="GHOB_SHALE"/>
    <n v="7.5887277460566799E-3"/>
    <n v="2.7319419885804001E-2"/>
  </r>
  <r>
    <x v="0"/>
    <x v="0"/>
    <x v="0"/>
    <x v="1"/>
    <x v="2"/>
    <s v="EE_Tallinn"/>
    <x v="4"/>
    <s v="GHOB_NATGAS"/>
    <n v="1.60794385606737"/>
    <n v="5.7885978818425396"/>
  </r>
  <r>
    <x v="0"/>
    <x v="0"/>
    <x v="0"/>
    <x v="1"/>
    <x v="2"/>
    <s v="EE_Tallinn"/>
    <x v="5"/>
    <s v="GBPR_WOODCHIPS_TARTU"/>
    <n v="0.66387795906818903"/>
    <n v="2.38996065264547"/>
  </r>
  <r>
    <x v="0"/>
    <x v="0"/>
    <x v="0"/>
    <x v="1"/>
    <x v="2"/>
    <s v="EE_Tartu"/>
    <x v="4"/>
    <s v="GHOB_NATGAS"/>
    <n v="6.27964812974144E-2"/>
    <n v="0.22606733267069201"/>
  </r>
  <r>
    <x v="0"/>
    <x v="0"/>
    <x v="0"/>
    <x v="1"/>
    <x v="2"/>
    <s v="EE_Tartu"/>
    <x v="5"/>
    <s v="GBPR_WOODCHIPS_TARTU"/>
    <n v="0.63893498663130999"/>
    <n v="2.30016595187272"/>
  </r>
  <r>
    <x v="0"/>
    <x v="0"/>
    <x v="0"/>
    <x v="2"/>
    <x v="3"/>
    <s v="FIN_EL"/>
    <x v="0"/>
    <s v="SolarDH-10_19"/>
    <n v="2.6110000000000002"/>
    <n v="9.3996000000000102"/>
  </r>
  <r>
    <x v="0"/>
    <x v="0"/>
    <x v="0"/>
    <x v="2"/>
    <x v="3"/>
    <s v="FIN_EL"/>
    <x v="0"/>
    <s v="SolarPV-50"/>
    <n v="7.61437568607617"/>
    <n v="27.411752469874202"/>
  </r>
  <r>
    <x v="0"/>
    <x v="0"/>
    <x v="0"/>
    <x v="2"/>
    <x v="3"/>
    <s v="FIN_ESPOO"/>
    <x v="0"/>
    <s v="SolarDH-10_19"/>
    <n v="2.3525"/>
    <n v="8.4689999999999994"/>
  </r>
  <r>
    <x v="0"/>
    <x v="0"/>
    <x v="0"/>
    <x v="2"/>
    <x v="3"/>
    <s v="FIN_ESPOO"/>
    <x v="0"/>
    <s v="SolarPV-50"/>
    <n v="2.64614411550752"/>
    <n v="9.5261188158270702"/>
  </r>
  <r>
    <x v="0"/>
    <x v="0"/>
    <x v="0"/>
    <x v="2"/>
    <x v="3"/>
    <s v="FIN_GAS"/>
    <x v="0"/>
    <s v="SolarDH-10_19"/>
    <n v="1.2396"/>
    <n v="4.4625599999999999"/>
  </r>
  <r>
    <x v="0"/>
    <x v="0"/>
    <x v="0"/>
    <x v="2"/>
    <x v="3"/>
    <s v="FIN_GAS"/>
    <x v="0"/>
    <s v="SolarPV-50"/>
    <n v="13.1883593182026"/>
    <n v="47.478093545529497"/>
  </r>
  <r>
    <x v="0"/>
    <x v="0"/>
    <x v="0"/>
    <x v="2"/>
    <x v="3"/>
    <s v="FIN_HELS"/>
    <x v="0"/>
    <s v="SolarDH-10_19"/>
    <n v="9.1858000000000004"/>
    <n v="33.06888"/>
  </r>
  <r>
    <x v="0"/>
    <x v="0"/>
    <x v="0"/>
    <x v="2"/>
    <x v="3"/>
    <s v="FIN_HELS"/>
    <x v="0"/>
    <s v="SolarPV-50"/>
    <n v="14.1121117026238"/>
    <n v="50.8036021294457"/>
  </r>
  <r>
    <x v="0"/>
    <x v="0"/>
    <x v="0"/>
    <x v="2"/>
    <x v="3"/>
    <s v="FIN_HP"/>
    <x v="0"/>
    <s v="SolarDH-10_19"/>
    <n v="2.6017999999999999"/>
    <n v="9.3664799999999993"/>
  </r>
  <r>
    <x v="0"/>
    <x v="0"/>
    <x v="0"/>
    <x v="2"/>
    <x v="3"/>
    <s v="FIN_HP"/>
    <x v="0"/>
    <s v="SolarPV-50"/>
    <n v="3.2379692008144798"/>
    <n v="11.6566891229321"/>
  </r>
  <r>
    <x v="0"/>
    <x v="0"/>
    <x v="0"/>
    <x v="2"/>
    <x v="3"/>
    <s v="FIN_OTHER"/>
    <x v="0"/>
    <s v="SolarDH-10_19"/>
    <n v="16.749400000000001"/>
    <n v="60.297840000000001"/>
  </r>
  <r>
    <x v="0"/>
    <x v="0"/>
    <x v="0"/>
    <x v="2"/>
    <x v="3"/>
    <s v="FIN_OTHER"/>
    <x v="0"/>
    <s v="SolarPV-50"/>
    <n v="8.1163588076673197"/>
    <n v="29.218891707602399"/>
  </r>
  <r>
    <x v="0"/>
    <x v="0"/>
    <x v="0"/>
    <x v="2"/>
    <x v="3"/>
    <s v="FIN_TAMP"/>
    <x v="0"/>
    <s v="SolarDH-10_19"/>
    <n v="2.3892000000000002"/>
    <n v="8.6011200000000105"/>
  </r>
  <r>
    <x v="0"/>
    <x v="0"/>
    <x v="0"/>
    <x v="2"/>
    <x v="3"/>
    <s v="FIN_TAMP"/>
    <x v="0"/>
    <s v="SolarPV-50"/>
    <n v="7.4940132192037003"/>
    <n v="26.9784475891333"/>
  </r>
  <r>
    <x v="0"/>
    <x v="0"/>
    <x v="0"/>
    <x v="2"/>
    <x v="3"/>
    <s v="FinA"/>
    <x v="8"/>
    <s v="GHYRR_WATER"/>
    <n v="8.3889774999999993"/>
    <n v="30.200319"/>
  </r>
  <r>
    <x v="0"/>
    <x v="0"/>
    <x v="0"/>
    <x v="2"/>
    <x v="3"/>
    <s v="FinA"/>
    <x v="8"/>
    <s v="GHYRS_WATER"/>
    <n v="8.38897750000001"/>
    <n v="30.200319"/>
  </r>
  <r>
    <x v="0"/>
    <x v="0"/>
    <x v="0"/>
    <x v="2"/>
    <x v="3"/>
    <s v="FinA"/>
    <x v="1"/>
    <s v="GWND_WIND"/>
    <n v="0.42531999999999998"/>
    <n v="1.5311520000000001"/>
  </r>
  <r>
    <x v="0"/>
    <x v="0"/>
    <x v="0"/>
    <x v="3"/>
    <x v="4"/>
    <s v="GER_OFFSHORE"/>
    <x v="1"/>
    <s v="GWND_WIND"/>
    <n v="0.92942400000000103"/>
    <n v="3.3459264000000002"/>
  </r>
  <r>
    <x v="0"/>
    <x v="0"/>
    <x v="0"/>
    <x v="3"/>
    <x v="4"/>
    <s v="GerA"/>
    <x v="9"/>
    <s v="GCND_NUCLEAR"/>
    <n v="298.97737515648299"/>
    <n v="1076.3185505633401"/>
  </r>
  <r>
    <x v="0"/>
    <x v="0"/>
    <x v="0"/>
    <x v="3"/>
    <x v="4"/>
    <s v="GerA"/>
    <x v="0"/>
    <s v="GSOLE_SUN"/>
    <n v="32.801769"/>
    <n v="118.0863684"/>
  </r>
  <r>
    <x v="0"/>
    <x v="0"/>
    <x v="0"/>
    <x v="3"/>
    <x v="4"/>
    <s v="GerA"/>
    <x v="8"/>
    <s v="GHYRR_WATER"/>
    <n v="16.980884762280901"/>
    <n v="61.131185144211102"/>
  </r>
  <r>
    <x v="0"/>
    <x v="0"/>
    <x v="0"/>
    <x v="3"/>
    <x v="4"/>
    <s v="GerA"/>
    <x v="8"/>
    <s v="GHYRS_WATER"/>
    <n v="30.975769460434201"/>
    <n v="111.512770057563"/>
  </r>
  <r>
    <x v="0"/>
    <x v="0"/>
    <x v="0"/>
    <x v="3"/>
    <x v="4"/>
    <s v="GerA"/>
    <x v="1"/>
    <s v="GWND_WIND"/>
    <n v="67.498204000000001"/>
    <n v="242.99353439999999"/>
  </r>
  <r>
    <x v="0"/>
    <x v="0"/>
    <x v="0"/>
    <x v="4"/>
    <x v="5"/>
    <s v="LV_A"/>
    <x v="10"/>
    <s v="ST-B1-waste-LV"/>
    <n v="0.438"/>
    <n v="1.5768"/>
  </r>
  <r>
    <x v="0"/>
    <x v="0"/>
    <x v="0"/>
    <x v="4"/>
    <x v="5"/>
    <s v="LV_A"/>
    <x v="4"/>
    <s v="GE-BP-LV-G"/>
    <n v="3.4761904761904702E-2"/>
    <n v="0.125142857142857"/>
  </r>
  <r>
    <x v="0"/>
    <x v="0"/>
    <x v="0"/>
    <x v="4"/>
    <x v="5"/>
    <s v="LV_A"/>
    <x v="8"/>
    <s v="Keguma-HPP-1"/>
    <n v="8.4806141213734004E-2"/>
    <n v="0.30530210836944199"/>
  </r>
  <r>
    <x v="0"/>
    <x v="0"/>
    <x v="0"/>
    <x v="4"/>
    <x v="5"/>
    <s v="LV_A"/>
    <x v="8"/>
    <s v="Keguma-HPP-2"/>
    <n v="0.76052270676885003"/>
    <n v="2.73788174436786"/>
  </r>
  <r>
    <x v="0"/>
    <x v="0"/>
    <x v="0"/>
    <x v="4"/>
    <x v="5"/>
    <s v="LV_A"/>
    <x v="8"/>
    <s v="NEW-HYDRO-LV"/>
    <n v="1.4789999999999999E-2"/>
    <n v="5.3244E-2"/>
  </r>
  <r>
    <x v="0"/>
    <x v="0"/>
    <x v="0"/>
    <x v="4"/>
    <x v="5"/>
    <s v="LV_A"/>
    <x v="8"/>
    <s v="Planivas-HPP"/>
    <n v="1.2397311520174199"/>
    <n v="4.4630321472626999"/>
  </r>
  <r>
    <x v="0"/>
    <x v="0"/>
    <x v="0"/>
    <x v="4"/>
    <x v="5"/>
    <s v="LV_A"/>
    <x v="8"/>
    <s v="Riga-HPP"/>
    <n v="0.97860499999999795"/>
    <n v="3.5229780000000099"/>
  </r>
  <r>
    <x v="0"/>
    <x v="0"/>
    <x v="0"/>
    <x v="4"/>
    <x v="5"/>
    <s v="LV_A"/>
    <x v="8"/>
    <s v="SM-HPP-LV"/>
    <n v="8.8739999999999805E-2"/>
    <n v="0.31946400000000003"/>
  </r>
  <r>
    <x v="0"/>
    <x v="0"/>
    <x v="0"/>
    <x v="4"/>
    <x v="5"/>
    <s v="LV_A"/>
    <x v="1"/>
    <s v="WI-L10"/>
    <n v="0.13688400000000001"/>
    <n v="0.49278240000000001"/>
  </r>
  <r>
    <x v="0"/>
    <x v="0"/>
    <x v="0"/>
    <x v="4"/>
    <x v="5"/>
    <s v="LV_A"/>
    <x v="1"/>
    <s v="WI-L9"/>
    <n v="0.10065"/>
    <n v="0.36234"/>
  </r>
  <r>
    <x v="0"/>
    <x v="0"/>
    <x v="0"/>
    <x v="4"/>
    <x v="5"/>
    <s v="LV_A1"/>
    <x v="4"/>
    <s v="GBPR_NATGAS"/>
    <n v="3.3102305565571499"/>
    <n v="11.9168300036057"/>
  </r>
  <r>
    <x v="0"/>
    <x v="0"/>
    <x v="0"/>
    <x v="4"/>
    <x v="5"/>
    <s v="LV_A1"/>
    <x v="4"/>
    <s v="GEXT_NATGAS"/>
    <n v="1.19983122946297E-2"/>
    <n v="4.3193924260666899E-2"/>
  </r>
  <r>
    <x v="0"/>
    <x v="0"/>
    <x v="0"/>
    <x v="4"/>
    <x v="5"/>
    <s v="LV_A1"/>
    <x v="4"/>
    <s v="GHOB_NATGAS"/>
    <n v="0.36082049908784403"/>
    <n v="1.2989537967162299"/>
  </r>
  <r>
    <x v="0"/>
    <x v="0"/>
    <x v="0"/>
    <x v="4"/>
    <x v="5"/>
    <s v="LV_A1"/>
    <x v="11"/>
    <s v="GHOB_NATGAS_EXETS"/>
    <n v="0.38494371417229201"/>
    <n v="1.38579737102025"/>
  </r>
  <r>
    <x v="0"/>
    <x v="0"/>
    <x v="0"/>
    <x v="4"/>
    <x v="5"/>
    <s v="LV_A1"/>
    <x v="5"/>
    <s v="GHOB_WOODCHIPS"/>
    <n v="0.16546666666666701"/>
    <n v="0.59568000000000099"/>
  </r>
  <r>
    <x v="0"/>
    <x v="0"/>
    <x v="0"/>
    <x v="4"/>
    <x v="5"/>
    <s v="LV_A1"/>
    <x v="12"/>
    <s v="GBPR_WOODWASTE"/>
    <n v="0.12155094276282701"/>
    <n v="0.43758339394617701"/>
  </r>
  <r>
    <x v="0"/>
    <x v="0"/>
    <x v="0"/>
    <x v="4"/>
    <x v="5"/>
    <s v="LV_A1"/>
    <x v="12"/>
    <s v="GBPR_WOODWASTE_IND"/>
    <n v="3.7606060606060601E-2"/>
    <n v="0.13538181818181799"/>
  </r>
  <r>
    <x v="0"/>
    <x v="0"/>
    <x v="0"/>
    <x v="4"/>
    <x v="5"/>
    <s v="LV_A2"/>
    <x v="13"/>
    <s v="GHOB_COAL_EXETS"/>
    <n v="4.3800000000000103E-2"/>
    <n v="0.15767999999999999"/>
  </r>
  <r>
    <x v="0"/>
    <x v="0"/>
    <x v="0"/>
    <x v="4"/>
    <x v="5"/>
    <s v="LV_A2"/>
    <x v="5"/>
    <s v="GBPR_WOODCHIPS"/>
    <n v="0.31338045213541399"/>
    <n v="1.12816962768749"/>
  </r>
  <r>
    <x v="0"/>
    <x v="0"/>
    <x v="0"/>
    <x v="4"/>
    <x v="5"/>
    <s v="LV_A2"/>
    <x v="5"/>
    <s v="GHOB_WOODCHIPS"/>
    <n v="0.22271916671747999"/>
    <n v="0.80178900018292898"/>
  </r>
  <r>
    <x v="0"/>
    <x v="0"/>
    <x v="0"/>
    <x v="4"/>
    <x v="5"/>
    <s v="LV_A2"/>
    <x v="12"/>
    <s v="GBPR_WOODWASTE"/>
    <n v="0.18802411458624799"/>
    <n v="0.67688681251049199"/>
  </r>
  <r>
    <x v="0"/>
    <x v="0"/>
    <x v="0"/>
    <x v="4"/>
    <x v="5"/>
    <s v="LV_A2"/>
    <x v="12"/>
    <s v="GBPR_WOODWASTE_IND"/>
    <n v="0.15042424242424199"/>
    <n v="0.54152727272727297"/>
  </r>
  <r>
    <x v="0"/>
    <x v="0"/>
    <x v="0"/>
    <x v="4"/>
    <x v="5"/>
    <s v="LV_A2"/>
    <x v="12"/>
    <s v="GHOB_WOODWASTE"/>
    <n v="8.5474634806775598E-2"/>
    <n v="0.30770868530439099"/>
  </r>
  <r>
    <x v="0"/>
    <x v="0"/>
    <x v="0"/>
    <x v="4"/>
    <x v="5"/>
    <s v="LV_A3"/>
    <x v="14"/>
    <s v="GBPR_COAL"/>
    <n v="9.6637385086823499E-2"/>
    <n v="0.34789458631256398"/>
  </r>
  <r>
    <x v="0"/>
    <x v="0"/>
    <x v="0"/>
    <x v="4"/>
    <x v="5"/>
    <s v="LV_A3"/>
    <x v="13"/>
    <s v="GHOB_COAL_EXETS"/>
    <n v="5.475E-2"/>
    <n v="0.1971"/>
  </r>
  <r>
    <x v="0"/>
    <x v="0"/>
    <x v="0"/>
    <x v="4"/>
    <x v="5"/>
    <s v="LV_A3"/>
    <x v="15"/>
    <s v="GHOB_STRAW"/>
    <n v="1.7398333333333401E-2"/>
    <n v="6.2634000000000106E-2"/>
  </r>
  <r>
    <x v="0"/>
    <x v="0"/>
    <x v="0"/>
    <x v="4"/>
    <x v="5"/>
    <s v="LV_A3"/>
    <x v="5"/>
    <s v="GBPR_WOODCHIPS"/>
    <n v="7.4602263833392093E-2"/>
    <n v="0.26856814980021199"/>
  </r>
  <r>
    <x v="0"/>
    <x v="0"/>
    <x v="0"/>
    <x v="4"/>
    <x v="5"/>
    <s v="LV_A3"/>
    <x v="5"/>
    <s v="GHOB_WOODCHIPS"/>
    <n v="0.14166284497898399"/>
    <n v="0.50998624192434205"/>
  </r>
  <r>
    <x v="0"/>
    <x v="0"/>
    <x v="0"/>
    <x v="4"/>
    <x v="5"/>
    <s v="LV_A3"/>
    <x v="12"/>
    <s v="GBPR_WOODWASTE"/>
    <n v="0.44407796708468"/>
    <n v="1.59868068150485"/>
  </r>
  <r>
    <x v="0"/>
    <x v="0"/>
    <x v="0"/>
    <x v="4"/>
    <x v="5"/>
    <s v="LV_A3"/>
    <x v="12"/>
    <s v="GHOB_WOODWASTE"/>
    <n v="1.82681141853967"/>
    <n v="6.5765211067428204"/>
  </r>
  <r>
    <x v="0"/>
    <x v="0"/>
    <x v="0"/>
    <x v="5"/>
    <x v="6"/>
    <s v="LT_A"/>
    <x v="8"/>
    <s v="KaunasHPP"/>
    <n v="0.48480000000000001"/>
    <n v="1.74527999999999"/>
  </r>
  <r>
    <x v="0"/>
    <x v="0"/>
    <x v="0"/>
    <x v="5"/>
    <x v="6"/>
    <s v="LT_A"/>
    <x v="8"/>
    <s v="Kruonis"/>
    <n v="5.2691311157827603E-2"/>
    <n v="0.189688720168179"/>
  </r>
  <r>
    <x v="0"/>
    <x v="0"/>
    <x v="0"/>
    <x v="5"/>
    <x v="6"/>
    <s v="LT_A"/>
    <x v="1"/>
    <s v="WI-L10"/>
    <n v="0.197379"/>
    <n v="0.71056439999999998"/>
  </r>
  <r>
    <x v="0"/>
    <x v="0"/>
    <x v="0"/>
    <x v="5"/>
    <x v="6"/>
    <s v="LT_A1"/>
    <x v="13"/>
    <s v="GHOB_COAL_EXETS"/>
    <n v="0.219"/>
    <n v="0.78840000000000099"/>
  </r>
  <r>
    <x v="0"/>
    <x v="0"/>
    <x v="0"/>
    <x v="5"/>
    <x v="6"/>
    <s v="LT_A1"/>
    <x v="16"/>
    <s v="GHOB_PEAT"/>
    <n v="0.16425000000000101"/>
    <n v="0.59129999999999805"/>
  </r>
  <r>
    <x v="0"/>
    <x v="0"/>
    <x v="0"/>
    <x v="5"/>
    <x v="6"/>
    <s v="LT_A1"/>
    <x v="12"/>
    <s v="GBPR_WOODWASTE"/>
    <n v="8.2338525000212393"/>
    <n v="29.6418690000765"/>
  </r>
  <r>
    <x v="0"/>
    <x v="0"/>
    <x v="0"/>
    <x v="5"/>
    <x v="6"/>
    <s v="LT_A1"/>
    <x v="12"/>
    <s v="GHOB_WOODWASTE"/>
    <n v="2.46873730994754"/>
    <n v="8.8874543158111194"/>
  </r>
  <r>
    <x v="0"/>
    <x v="0"/>
    <x v="0"/>
    <x v="6"/>
    <x v="7"/>
    <s v="NE_OFFSHORE"/>
    <x v="1"/>
    <s v="GWND_WIND"/>
    <n v="0.77748000000000095"/>
    <n v="2.7989280000000001"/>
  </r>
  <r>
    <x v="0"/>
    <x v="0"/>
    <x v="0"/>
    <x v="6"/>
    <x v="7"/>
    <s v="NeA"/>
    <x v="9"/>
    <s v="GCND_NUCLEAR"/>
    <n v="12.3895914790284"/>
    <n v="44.602529324502299"/>
  </r>
  <r>
    <x v="0"/>
    <x v="0"/>
    <x v="0"/>
    <x v="6"/>
    <x v="7"/>
    <s v="NeA"/>
    <x v="0"/>
    <s v="GSOLE_SUN"/>
    <n v="0.36244500000000002"/>
    <n v="1.304802"/>
  </r>
  <r>
    <x v="0"/>
    <x v="0"/>
    <x v="0"/>
    <x v="6"/>
    <x v="7"/>
    <s v="NeA"/>
    <x v="0"/>
    <s v="SolarDH-10_19"/>
    <n v="0.999999999999999"/>
    <n v="3.6"/>
  </r>
  <r>
    <x v="0"/>
    <x v="0"/>
    <x v="0"/>
    <x v="6"/>
    <x v="7"/>
    <s v="NeA"/>
    <x v="8"/>
    <s v="GHYRR_WATER"/>
    <n v="0.15540000000000001"/>
    <n v="0.55943999999999905"/>
  </r>
  <r>
    <x v="0"/>
    <x v="0"/>
    <x v="0"/>
    <x v="6"/>
    <x v="7"/>
    <s v="NeA"/>
    <x v="1"/>
    <s v="GWND_WIND"/>
    <n v="4.41"/>
    <n v="15.875999999999999"/>
  </r>
  <r>
    <x v="0"/>
    <x v="0"/>
    <x v="0"/>
    <x v="7"/>
    <x v="8"/>
    <s v="NO1_A1"/>
    <x v="0"/>
    <s v="SolarDH-10_19"/>
    <n v="1.2971269999999999"/>
    <n v="4.6696571999999996"/>
  </r>
  <r>
    <x v="0"/>
    <x v="0"/>
    <x v="0"/>
    <x v="7"/>
    <x v="8"/>
    <s v="NO1_A1"/>
    <x v="8"/>
    <s v="GHYRR_WATER"/>
    <n v="10.2271633350166"/>
    <n v="36.817788006059601"/>
  </r>
  <r>
    <x v="0"/>
    <x v="0"/>
    <x v="0"/>
    <x v="7"/>
    <x v="8"/>
    <s v="NO1_A1"/>
    <x v="8"/>
    <s v="GHYRS_WATER"/>
    <n v="30.3408069508613"/>
    <n v="109.226905023101"/>
  </r>
  <r>
    <x v="0"/>
    <x v="0"/>
    <x v="0"/>
    <x v="7"/>
    <x v="8"/>
    <s v="NO1_A2"/>
    <x v="0"/>
    <s v="SolarDH-10_19"/>
    <n v="1.6611320000000001"/>
    <n v="5.9800751999999999"/>
  </r>
  <r>
    <x v="0"/>
    <x v="0"/>
    <x v="0"/>
    <x v="7"/>
    <x v="8"/>
    <s v="NO1_A2"/>
    <x v="0"/>
    <s v="SolarPV-50"/>
    <n v="9.3684036248473692"/>
    <n v="33.726253049450499"/>
  </r>
  <r>
    <x v="0"/>
    <x v="0"/>
    <x v="0"/>
    <x v="7"/>
    <x v="9"/>
    <s v="NO2_A1"/>
    <x v="0"/>
    <s v="SolarDH-10_19"/>
    <n v="0.38394400000000001"/>
    <n v="1.3821984"/>
  </r>
  <r>
    <x v="0"/>
    <x v="0"/>
    <x v="0"/>
    <x v="7"/>
    <x v="9"/>
    <s v="NO2_A1"/>
    <x v="8"/>
    <s v="GHYRR_WATER"/>
    <n v="11.1349730113717"/>
    <n v="40.085902840937997"/>
  </r>
  <r>
    <x v="0"/>
    <x v="0"/>
    <x v="0"/>
    <x v="7"/>
    <x v="9"/>
    <s v="NO2_A1"/>
    <x v="8"/>
    <s v="GHYRS_WATER"/>
    <n v="24.4824985281981"/>
    <n v="88.136994701513103"/>
  </r>
  <r>
    <x v="0"/>
    <x v="0"/>
    <x v="0"/>
    <x v="7"/>
    <x v="9"/>
    <s v="NO2_A1"/>
    <x v="1"/>
    <s v="GWND_WIND"/>
    <n v="0.18081498347241301"/>
    <n v="0.65093394050068598"/>
  </r>
  <r>
    <x v="0"/>
    <x v="0"/>
    <x v="0"/>
    <x v="7"/>
    <x v="10"/>
    <s v="NO3_A1"/>
    <x v="0"/>
    <s v="SolarDH-10_19"/>
    <n v="0.21962100000000001"/>
    <n v="0.79063559999999999"/>
  </r>
  <r>
    <x v="0"/>
    <x v="0"/>
    <x v="0"/>
    <x v="7"/>
    <x v="10"/>
    <s v="NO3_A1"/>
    <x v="8"/>
    <s v="GHYRR_WATER"/>
    <n v="6.6387986823861098"/>
    <n v="23.899675256590001"/>
  </r>
  <r>
    <x v="0"/>
    <x v="0"/>
    <x v="0"/>
    <x v="7"/>
    <x v="10"/>
    <s v="NO3_A1"/>
    <x v="8"/>
    <s v="GHYRS_WATER"/>
    <n v="14.7618662902597"/>
    <n v="53.142718644934902"/>
  </r>
  <r>
    <x v="0"/>
    <x v="0"/>
    <x v="0"/>
    <x v="7"/>
    <x v="10"/>
    <s v="NO3_A1"/>
    <x v="1"/>
    <s v="GWND_WIND"/>
    <n v="0.94817012325233696"/>
    <n v="3.4134124437084101"/>
  </r>
  <r>
    <x v="0"/>
    <x v="0"/>
    <x v="0"/>
    <x v="7"/>
    <x v="10"/>
    <s v="NO3_A2"/>
    <x v="0"/>
    <s v="SolarDH-10_19"/>
    <n v="0.618058"/>
    <n v="2.2250087999999999"/>
  </r>
  <r>
    <x v="0"/>
    <x v="0"/>
    <x v="0"/>
    <x v="7"/>
    <x v="10"/>
    <s v="NO3_A2"/>
    <x v="0"/>
    <s v="SolarPV-50"/>
    <n v="10.2680679341925"/>
    <n v="36.965044563093102"/>
  </r>
  <r>
    <x v="0"/>
    <x v="0"/>
    <x v="0"/>
    <x v="7"/>
    <x v="11"/>
    <s v="NO4_A1"/>
    <x v="0"/>
    <s v="SolarDH-10_19"/>
    <n v="0.24431800000000001"/>
    <n v="0.87954480000000002"/>
  </r>
  <r>
    <x v="0"/>
    <x v="0"/>
    <x v="0"/>
    <x v="7"/>
    <x v="11"/>
    <s v="NO4_A1"/>
    <x v="8"/>
    <s v="GHYRR_WATER"/>
    <n v="5.1852603013375997"/>
    <n v="18.666937084815299"/>
  </r>
  <r>
    <x v="0"/>
    <x v="0"/>
    <x v="0"/>
    <x v="7"/>
    <x v="11"/>
    <s v="NO4_A1"/>
    <x v="8"/>
    <s v="GHYRS_WATER"/>
    <n v="11.457208036614499"/>
    <n v="41.245948931812201"/>
  </r>
  <r>
    <x v="0"/>
    <x v="0"/>
    <x v="0"/>
    <x v="7"/>
    <x v="11"/>
    <s v="NO4_A1"/>
    <x v="1"/>
    <s v="GWND_WIND"/>
    <n v="0.28869564084143201"/>
    <n v="1.0393043070291601"/>
  </r>
  <r>
    <x v="0"/>
    <x v="0"/>
    <x v="0"/>
    <x v="7"/>
    <x v="12"/>
    <s v="NO5_A1"/>
    <x v="0"/>
    <s v="SolarDH-10_19"/>
    <n v="0.29778100000000002"/>
    <n v="1.0720116"/>
  </r>
  <r>
    <x v="0"/>
    <x v="0"/>
    <x v="0"/>
    <x v="7"/>
    <x v="12"/>
    <s v="NO5_A1"/>
    <x v="8"/>
    <s v="GHYRR_WATER"/>
    <n v="3.9736818429202798"/>
    <n v="14.305254634513"/>
  </r>
  <r>
    <x v="0"/>
    <x v="0"/>
    <x v="0"/>
    <x v="7"/>
    <x v="12"/>
    <s v="NO5_A1"/>
    <x v="8"/>
    <s v="GHYRS_WATER"/>
    <n v="9.8345840409323504"/>
    <n v="35.4045025473565"/>
  </r>
  <r>
    <x v="0"/>
    <x v="0"/>
    <x v="0"/>
    <x v="7"/>
    <x v="12"/>
    <s v="NO5_A1"/>
    <x v="1"/>
    <s v="GWND_WIND"/>
    <n v="9.8014472398632296E-3"/>
    <n v="3.5285210063507599E-2"/>
  </r>
  <r>
    <x v="0"/>
    <x v="0"/>
    <x v="0"/>
    <x v="8"/>
    <x v="13"/>
    <s v="PL_A"/>
    <x v="14"/>
    <s v="GCND-CO-038"/>
    <n v="0.75554835657076402"/>
    <n v="2.7199740836547499"/>
  </r>
  <r>
    <x v="0"/>
    <x v="0"/>
    <x v="0"/>
    <x v="8"/>
    <x v="13"/>
    <s v="PL_A"/>
    <x v="14"/>
    <s v="GCND-CO-039"/>
    <n v="69.353710073114598"/>
    <n v="249.67335626321301"/>
  </r>
  <r>
    <x v="0"/>
    <x v="0"/>
    <x v="0"/>
    <x v="8"/>
    <x v="13"/>
    <s v="PL_A"/>
    <x v="14"/>
    <s v="GCND-CO-040"/>
    <n v="111.90707034704801"/>
    <n v="402.865453249371"/>
  </r>
  <r>
    <x v="0"/>
    <x v="0"/>
    <x v="0"/>
    <x v="8"/>
    <x v="13"/>
    <s v="PL_A"/>
    <x v="17"/>
    <s v="GCND-LI"/>
    <n v="57.295264017419797"/>
    <n v="206.26295046271099"/>
  </r>
  <r>
    <x v="0"/>
    <x v="0"/>
    <x v="0"/>
    <x v="8"/>
    <x v="13"/>
    <s v="PL_A"/>
    <x v="8"/>
    <s v="HY-ROR"/>
    <n v="2.3110249999999999"/>
    <n v="8.3196899999999996"/>
  </r>
  <r>
    <x v="0"/>
    <x v="0"/>
    <x v="0"/>
    <x v="8"/>
    <x v="13"/>
    <s v="PL_A"/>
    <x v="1"/>
    <s v="WI-L9"/>
    <n v="2.3858999999999999"/>
    <n v="8.5892400000000109"/>
  </r>
  <r>
    <x v="0"/>
    <x v="0"/>
    <x v="0"/>
    <x v="8"/>
    <x v="13"/>
    <s v="PL_A1"/>
    <x v="14"/>
    <s v="GBPR-CO-07"/>
    <n v="11.701749476087301"/>
    <n v="42.126298113914203"/>
  </r>
  <r>
    <x v="0"/>
    <x v="0"/>
    <x v="0"/>
    <x v="8"/>
    <x v="13"/>
    <s v="PL_A1"/>
    <x v="14"/>
    <s v="GBPR-CO-09"/>
    <n v="110.300468048681"/>
    <n v="397.08168497525099"/>
  </r>
  <r>
    <x v="0"/>
    <x v="0"/>
    <x v="0"/>
    <x v="8"/>
    <x v="13"/>
    <s v="PL_A1"/>
    <x v="14"/>
    <s v="GEXT-CO-025"/>
    <n v="2.04832714019755"/>
    <n v="7.3739777047111801"/>
  </r>
  <r>
    <x v="0"/>
    <x v="0"/>
    <x v="0"/>
    <x v="8"/>
    <x v="13"/>
    <s v="PL_A1"/>
    <x v="14"/>
    <s v="GEXT-CO-04"/>
    <n v="9.8079090459713303"/>
    <n v="35.3084725654968"/>
  </r>
  <r>
    <x v="0"/>
    <x v="0"/>
    <x v="0"/>
    <x v="8"/>
    <x v="13"/>
    <s v="PL_A1"/>
    <x v="17"/>
    <s v="GBRP-LIGNITE-047"/>
    <n v="3.2101018918684501"/>
    <n v="11.5563668107264"/>
  </r>
  <r>
    <x v="0"/>
    <x v="0"/>
    <x v="0"/>
    <x v="8"/>
    <x v="13"/>
    <s v="PL_A1"/>
    <x v="17"/>
    <s v="GEXT-LIGNITE-036"/>
    <n v="3.25073386873443"/>
    <n v="11.702641927443899"/>
  </r>
  <r>
    <x v="0"/>
    <x v="0"/>
    <x v="0"/>
    <x v="8"/>
    <x v="13"/>
    <s v="PL_A1"/>
    <x v="10"/>
    <s v="GBPR-WASTE"/>
    <n v="1.8981529116045299"/>
    <n v="6.8333504817763098"/>
  </r>
  <r>
    <x v="0"/>
    <x v="0"/>
    <x v="0"/>
    <x v="9"/>
    <x v="14"/>
    <s v="SE1A"/>
    <x v="8"/>
    <s v="GHYRR_WATER"/>
    <n v="5.1327420814479696"/>
    <n v="18.4778714932127"/>
  </r>
  <r>
    <x v="0"/>
    <x v="0"/>
    <x v="0"/>
    <x v="9"/>
    <x v="14"/>
    <s v="SE1A"/>
    <x v="8"/>
    <s v="GHYRS_WATER"/>
    <n v="20.5261031674208"/>
    <n v="73.893971402714897"/>
  </r>
  <r>
    <x v="0"/>
    <x v="0"/>
    <x v="0"/>
    <x v="9"/>
    <x v="14"/>
    <s v="SE1A"/>
    <x v="1"/>
    <s v="GWND_WIND"/>
    <n v="0.59501999999999999"/>
    <n v="2.1420720000000002"/>
  </r>
  <r>
    <x v="0"/>
    <x v="0"/>
    <x v="0"/>
    <x v="9"/>
    <x v="14"/>
    <s v="SE1_EL"/>
    <x v="0"/>
    <s v="SolarDH-10_19"/>
    <n v="1.2397800000000001"/>
    <n v="4.4632079999999998"/>
  </r>
  <r>
    <x v="0"/>
    <x v="0"/>
    <x v="0"/>
    <x v="9"/>
    <x v="14"/>
    <s v="SE1_EL"/>
    <x v="0"/>
    <s v="SolarPV-50"/>
    <n v="1.70719801979624"/>
    <n v="6.1459128712664599"/>
  </r>
  <r>
    <x v="0"/>
    <x v="0"/>
    <x v="0"/>
    <x v="9"/>
    <x v="14"/>
    <s v="SE1_OTHER"/>
    <x v="0"/>
    <s v="SolarDH-10_19"/>
    <n v="1.13686"/>
    <n v="4.0926960000000001"/>
  </r>
  <r>
    <x v="0"/>
    <x v="0"/>
    <x v="0"/>
    <x v="9"/>
    <x v="14"/>
    <s v="SE1_OTHER"/>
    <x v="0"/>
    <s v="SolarPV-50"/>
    <n v="1.3595529401219999"/>
    <n v="4.8943905844392104"/>
  </r>
  <r>
    <x v="0"/>
    <x v="0"/>
    <x v="0"/>
    <x v="9"/>
    <x v="15"/>
    <s v="SE2A"/>
    <x v="8"/>
    <s v="GHYRR_WATER"/>
    <n v="7.7745230769230904"/>
    <n v="27.9882830769231"/>
  </r>
  <r>
    <x v="0"/>
    <x v="0"/>
    <x v="0"/>
    <x v="9"/>
    <x v="15"/>
    <s v="SE2A"/>
    <x v="8"/>
    <s v="GHYRS_WATER"/>
    <n v="31.102957466063302"/>
    <n v="111.970646877828"/>
  </r>
  <r>
    <x v="0"/>
    <x v="0"/>
    <x v="0"/>
    <x v="9"/>
    <x v="15"/>
    <s v="SE2A"/>
    <x v="1"/>
    <s v="GWND_WIND"/>
    <n v="1.2216899999999999"/>
    <n v="4.3980839999999999"/>
  </r>
  <r>
    <x v="0"/>
    <x v="0"/>
    <x v="0"/>
    <x v="9"/>
    <x v="15"/>
    <s v="SE2_EL"/>
    <x v="0"/>
    <s v="SolarDH-10_19"/>
    <n v="2.6497600000000001"/>
    <n v="9.5391359999999992"/>
  </r>
  <r>
    <x v="0"/>
    <x v="0"/>
    <x v="0"/>
    <x v="9"/>
    <x v="15"/>
    <s v="SE2_EL"/>
    <x v="0"/>
    <s v="SolarPV-50"/>
    <n v="1.3963003667712"/>
    <n v="5.0266813203763201"/>
  </r>
  <r>
    <x v="0"/>
    <x v="0"/>
    <x v="0"/>
    <x v="9"/>
    <x v="15"/>
    <s v="SE2_OTHER"/>
    <x v="0"/>
    <s v="SolarDH-10_19"/>
    <n v="1.8559099999999999"/>
    <n v="6.6812760000000004"/>
  </r>
  <r>
    <x v="0"/>
    <x v="0"/>
    <x v="0"/>
    <x v="9"/>
    <x v="15"/>
    <s v="SE2_OTHER"/>
    <x v="0"/>
    <s v="SolarPV-50"/>
    <n v="0.73169667466464605"/>
    <n v="2.6341080287927299"/>
  </r>
  <r>
    <x v="0"/>
    <x v="0"/>
    <x v="0"/>
    <x v="9"/>
    <x v="16"/>
    <s v="SE3A"/>
    <x v="8"/>
    <s v="GHYRR_WATER"/>
    <n v="2.4423095022624501"/>
    <n v="8.7923142081448091"/>
  </r>
  <r>
    <x v="0"/>
    <x v="0"/>
    <x v="0"/>
    <x v="9"/>
    <x v="16"/>
    <s v="SE3A"/>
    <x v="8"/>
    <s v="GHYRS_WATER"/>
    <n v="9.7789683257918494"/>
    <n v="35.204285972850698"/>
  </r>
  <r>
    <x v="0"/>
    <x v="0"/>
    <x v="0"/>
    <x v="9"/>
    <x v="16"/>
    <s v="SE3A"/>
    <x v="1"/>
    <s v="GWND_WIND"/>
    <n v="3.29793"/>
    <n v="11.872548"/>
  </r>
  <r>
    <x v="0"/>
    <x v="0"/>
    <x v="0"/>
    <x v="9"/>
    <x v="16"/>
    <s v="SE3_EL"/>
    <x v="0"/>
    <s v="SolarDH-10_19"/>
    <n v="10.494770000000001"/>
    <n v="37.781171999999998"/>
  </r>
  <r>
    <x v="0"/>
    <x v="0"/>
    <x v="0"/>
    <x v="9"/>
    <x v="16"/>
    <s v="SE3_EL"/>
    <x v="0"/>
    <s v="SolarPV-50"/>
    <n v="5.1326410268372502"/>
    <n v="18.477507696614101"/>
  </r>
  <r>
    <x v="0"/>
    <x v="0"/>
    <x v="0"/>
    <x v="9"/>
    <x v="16"/>
    <s v="SE3_GOT"/>
    <x v="0"/>
    <s v="SolarDH-10_19"/>
    <n v="4.2590000000000003"/>
    <n v="15.3324"/>
  </r>
  <r>
    <x v="0"/>
    <x v="0"/>
    <x v="0"/>
    <x v="9"/>
    <x v="16"/>
    <s v="SE3_GOT"/>
    <x v="0"/>
    <s v="SolarPV-50"/>
    <n v="0.32708816704566401"/>
    <n v="1.1775174013643901"/>
  </r>
  <r>
    <x v="0"/>
    <x v="0"/>
    <x v="0"/>
    <x v="9"/>
    <x v="16"/>
    <s v="SE3_HP"/>
    <x v="0"/>
    <s v="SolarDH-10_19"/>
    <n v="4.0759999999999996"/>
    <n v="14.6736"/>
  </r>
  <r>
    <x v="0"/>
    <x v="0"/>
    <x v="0"/>
    <x v="9"/>
    <x v="16"/>
    <s v="SE3_HP"/>
    <x v="0"/>
    <s v="SolarPV-50"/>
    <n v="10.6412993297001"/>
    <n v="38.308677586920503"/>
  </r>
  <r>
    <x v="0"/>
    <x v="0"/>
    <x v="0"/>
    <x v="9"/>
    <x v="16"/>
    <s v="SE3_OTHER"/>
    <x v="0"/>
    <s v="SolarDH-10_19"/>
    <n v="12.289720000000001"/>
    <n v="44.242992000000001"/>
  </r>
  <r>
    <x v="0"/>
    <x v="0"/>
    <x v="0"/>
    <x v="9"/>
    <x v="16"/>
    <s v="SE3_OTHER"/>
    <x v="0"/>
    <s v="SolarPV-50"/>
    <n v="5.5596519666196498"/>
    <n v="20.014747079830698"/>
  </r>
  <r>
    <x v="0"/>
    <x v="0"/>
    <x v="0"/>
    <x v="9"/>
    <x v="16"/>
    <s v="SE3_STO"/>
    <x v="0"/>
    <s v="SolarDH-10_19"/>
    <n v="8.0440000000000005"/>
    <n v="28.958400000000001"/>
  </r>
  <r>
    <x v="0"/>
    <x v="0"/>
    <x v="0"/>
    <x v="9"/>
    <x v="16"/>
    <s v="SE3_STO"/>
    <x v="0"/>
    <s v="SolarPV-50"/>
    <n v="6.7732279516912897"/>
    <n v="24.3836206260886"/>
  </r>
  <r>
    <x v="0"/>
    <x v="0"/>
    <x v="0"/>
    <x v="9"/>
    <x v="17"/>
    <s v="SE4A"/>
    <x v="8"/>
    <s v="GHYRR_WATER"/>
    <n v="0.695717647058823"/>
    <n v="2.5045835294117702"/>
  </r>
  <r>
    <x v="0"/>
    <x v="0"/>
    <x v="0"/>
    <x v="9"/>
    <x v="17"/>
    <s v="SE4A"/>
    <x v="8"/>
    <s v="GHYRS_WATER"/>
    <n v="1.65901900452488"/>
    <n v="5.9724684162895798"/>
  </r>
  <r>
    <x v="0"/>
    <x v="0"/>
    <x v="0"/>
    <x v="9"/>
    <x v="17"/>
    <s v="SE4A"/>
    <x v="1"/>
    <s v="GWND_WIND"/>
    <n v="2.4349400000000001"/>
    <n v="8.7657839999999894"/>
  </r>
  <r>
    <x v="0"/>
    <x v="0"/>
    <x v="0"/>
    <x v="9"/>
    <x v="17"/>
    <s v="SE4_EL"/>
    <x v="0"/>
    <s v="SolarDH-10_19"/>
    <n v="1.17876"/>
    <n v="4.2435359999999998"/>
  </r>
  <r>
    <x v="0"/>
    <x v="0"/>
    <x v="0"/>
    <x v="9"/>
    <x v="17"/>
    <s v="SE4_EL"/>
    <x v="0"/>
    <s v="SolarPV-50"/>
    <n v="4.4673576867000202"/>
    <n v="16.082487672120099"/>
  </r>
  <r>
    <x v="0"/>
    <x v="0"/>
    <x v="0"/>
    <x v="9"/>
    <x v="17"/>
    <s v="SE4_HP"/>
    <x v="0"/>
    <s v="SolarDH-10_19"/>
    <n v="1.1307"/>
    <n v="4.0705200000000001"/>
  </r>
  <r>
    <x v="0"/>
    <x v="0"/>
    <x v="0"/>
    <x v="9"/>
    <x v="17"/>
    <s v="SE4_HP"/>
    <x v="0"/>
    <s v="SolarPV-50"/>
    <n v="6.8304851925885899"/>
    <n v="24.589746693318901"/>
  </r>
  <r>
    <x v="0"/>
    <x v="0"/>
    <x v="0"/>
    <x v="9"/>
    <x v="17"/>
    <s v="SE4_MAL"/>
    <x v="0"/>
    <s v="SolarDH-10_19"/>
    <n v="2.2440000000000002"/>
    <n v="8.0784000000000002"/>
  </r>
  <r>
    <x v="0"/>
    <x v="0"/>
    <x v="0"/>
    <x v="9"/>
    <x v="17"/>
    <s v="SE4_MAL"/>
    <x v="0"/>
    <s v="SolarPV-50"/>
    <n v="7.2702792792308601"/>
    <n v="26.173005405231098"/>
  </r>
  <r>
    <x v="0"/>
    <x v="0"/>
    <x v="0"/>
    <x v="9"/>
    <x v="17"/>
    <s v="SE4_OTHER"/>
    <x v="0"/>
    <s v="SolarDH-10_19"/>
    <n v="5.0191400000000002"/>
    <n v="18.068904"/>
  </r>
  <r>
    <x v="0"/>
    <x v="0"/>
    <x v="0"/>
    <x v="9"/>
    <x v="17"/>
    <s v="SE4_OTHER"/>
    <x v="0"/>
    <s v="SolarPV-50"/>
    <n v="6.6970838647183202"/>
    <n v="24.109501912985898"/>
  </r>
  <r>
    <x v="0"/>
    <x v="0"/>
    <x v="0"/>
    <x v="10"/>
    <x v="18"/>
    <s v="UKA"/>
    <x v="9"/>
    <s v="GCND_NUCLEAR"/>
    <n v="185.84385462866601"/>
    <n v="669.03787666319795"/>
  </r>
  <r>
    <x v="0"/>
    <x v="0"/>
    <x v="0"/>
    <x v="10"/>
    <x v="18"/>
    <s v="UKA"/>
    <x v="0"/>
    <s v="GSOLE_SUN"/>
    <n v="1.682248"/>
    <n v="6.0560928000000001"/>
  </r>
  <r>
    <x v="0"/>
    <x v="0"/>
    <x v="0"/>
    <x v="10"/>
    <x v="18"/>
    <s v="UKA"/>
    <x v="8"/>
    <s v="GHYRR_WATER"/>
    <n v="5.1395607069672202"/>
    <n v="18.502418545082001"/>
  </r>
  <r>
    <x v="0"/>
    <x v="0"/>
    <x v="0"/>
    <x v="10"/>
    <x v="18"/>
    <s v="UKA"/>
    <x v="1"/>
    <s v="GWND_WIND"/>
    <n v="14.016095999999999"/>
    <n v="50.457945600000002"/>
  </r>
  <r>
    <x v="0"/>
    <x v="0"/>
    <x v="0"/>
    <x v="10"/>
    <x v="18"/>
    <s v="UK_OFFSHORE"/>
    <x v="1"/>
    <s v="GWND_WIND"/>
    <n v="9.9553799999999999"/>
    <n v="35.839368"/>
  </r>
</pivotCacheRecords>
</file>

<file path=xl/pivotCache/pivotCacheRecords8.xml><?xml version="1.0" encoding="utf-8"?>
<pivotCacheRecords xmlns="http://schemas.openxmlformats.org/spreadsheetml/2006/main" xmlns:r="http://schemas.openxmlformats.org/officeDocument/2006/relationships" count="156">
  <r>
    <x v="0"/>
    <x v="0"/>
    <x v="0"/>
    <x v="0"/>
    <x v="0"/>
    <x v="0"/>
    <x v="0"/>
    <n v="0"/>
  </r>
  <r>
    <x v="0"/>
    <x v="0"/>
    <x v="0"/>
    <x v="0"/>
    <x v="0"/>
    <x v="0"/>
    <x v="1"/>
    <n v="866297.29420252796"/>
  </r>
  <r>
    <x v="0"/>
    <x v="0"/>
    <x v="0"/>
    <x v="0"/>
    <x v="0"/>
    <x v="0"/>
    <x v="2"/>
    <n v="1691857.08544988"/>
  </r>
  <r>
    <x v="0"/>
    <x v="0"/>
    <x v="0"/>
    <x v="0"/>
    <x v="0"/>
    <x v="0"/>
    <x v="3"/>
    <n v="2491777.26409167"/>
  </r>
  <r>
    <x v="0"/>
    <x v="0"/>
    <x v="0"/>
    <x v="0"/>
    <x v="0"/>
    <x v="0"/>
    <x v="4"/>
    <n v="3239882.1977466098"/>
  </r>
  <r>
    <x v="0"/>
    <x v="0"/>
    <x v="0"/>
    <x v="0"/>
    <x v="0"/>
    <x v="0"/>
    <x v="5"/>
    <n v="2791687.5992247299"/>
  </r>
  <r>
    <x v="0"/>
    <x v="0"/>
    <x v="0"/>
    <x v="0"/>
    <x v="0"/>
    <x v="0"/>
    <x v="6"/>
    <n v="2367167.2074640798"/>
  </r>
  <r>
    <x v="0"/>
    <x v="0"/>
    <x v="0"/>
    <x v="0"/>
    <x v="0"/>
    <x v="0"/>
    <x v="7"/>
    <n v="1904768.0848854701"/>
  </r>
  <r>
    <x v="0"/>
    <x v="0"/>
    <x v="0"/>
    <x v="0"/>
    <x v="0"/>
    <x v="0"/>
    <x v="8"/>
    <n v="2178891.3058688198"/>
  </r>
  <r>
    <x v="0"/>
    <x v="0"/>
    <x v="0"/>
    <x v="0"/>
    <x v="0"/>
    <x v="0"/>
    <x v="9"/>
    <n v="1651455.11716878"/>
  </r>
  <r>
    <x v="0"/>
    <x v="0"/>
    <x v="0"/>
    <x v="0"/>
    <x v="0"/>
    <x v="0"/>
    <x v="10"/>
    <n v="1111243.7904806"/>
  </r>
  <r>
    <x v="0"/>
    <x v="0"/>
    <x v="0"/>
    <x v="0"/>
    <x v="0"/>
    <x v="0"/>
    <x v="11"/>
    <n v="559061.35546787595"/>
  </r>
  <r>
    <x v="0"/>
    <x v="0"/>
    <x v="0"/>
    <x v="1"/>
    <x v="1"/>
    <x v="1"/>
    <x v="0"/>
    <n v="0"/>
  </r>
  <r>
    <x v="0"/>
    <x v="0"/>
    <x v="0"/>
    <x v="1"/>
    <x v="1"/>
    <x v="1"/>
    <x v="1"/>
    <n v="2467608.3010840002"/>
  </r>
  <r>
    <x v="0"/>
    <x v="0"/>
    <x v="0"/>
    <x v="1"/>
    <x v="1"/>
    <x v="1"/>
    <x v="2"/>
    <n v="5004472.4033087203"/>
  </r>
  <r>
    <x v="0"/>
    <x v="0"/>
    <x v="0"/>
    <x v="1"/>
    <x v="1"/>
    <x v="1"/>
    <x v="3"/>
    <n v="7580002.3563597398"/>
  </r>
  <r>
    <x v="0"/>
    <x v="0"/>
    <x v="0"/>
    <x v="1"/>
    <x v="1"/>
    <x v="1"/>
    <x v="4"/>
    <n v="10182950.5624392"/>
  </r>
  <r>
    <x v="0"/>
    <x v="0"/>
    <x v="0"/>
    <x v="1"/>
    <x v="1"/>
    <x v="1"/>
    <x v="5"/>
    <n v="8122776.3459598701"/>
  </r>
  <r>
    <x v="0"/>
    <x v="0"/>
    <x v="0"/>
    <x v="1"/>
    <x v="1"/>
    <x v="1"/>
    <x v="6"/>
    <n v="6079919.1988840699"/>
  </r>
  <r>
    <x v="0"/>
    <x v="0"/>
    <x v="0"/>
    <x v="1"/>
    <x v="1"/>
    <x v="1"/>
    <x v="7"/>
    <n v="5887254.7357525704"/>
  </r>
  <r>
    <x v="0"/>
    <x v="0"/>
    <x v="0"/>
    <x v="1"/>
    <x v="1"/>
    <x v="1"/>
    <x v="8"/>
    <n v="8480006.4083699305"/>
  </r>
  <r>
    <x v="0"/>
    <x v="0"/>
    <x v="0"/>
    <x v="1"/>
    <x v="1"/>
    <x v="1"/>
    <x v="9"/>
    <n v="6346271.8896259703"/>
  </r>
  <r>
    <x v="0"/>
    <x v="0"/>
    <x v="0"/>
    <x v="1"/>
    <x v="1"/>
    <x v="1"/>
    <x v="10"/>
    <n v="4209175.5511090299"/>
  </r>
  <r>
    <x v="0"/>
    <x v="0"/>
    <x v="0"/>
    <x v="1"/>
    <x v="1"/>
    <x v="1"/>
    <x v="11"/>
    <n v="2092162.8198104701"/>
  </r>
  <r>
    <x v="0"/>
    <x v="0"/>
    <x v="0"/>
    <x v="2"/>
    <x v="2"/>
    <x v="2"/>
    <x v="0"/>
    <n v="0"/>
  </r>
  <r>
    <x v="0"/>
    <x v="0"/>
    <x v="0"/>
    <x v="2"/>
    <x v="2"/>
    <x v="2"/>
    <x v="1"/>
    <n v="2485268.3737024199"/>
  </r>
  <r>
    <x v="0"/>
    <x v="0"/>
    <x v="0"/>
    <x v="2"/>
    <x v="2"/>
    <x v="2"/>
    <x v="2"/>
    <n v="4591541.7052612901"/>
  </r>
  <r>
    <x v="0"/>
    <x v="0"/>
    <x v="0"/>
    <x v="2"/>
    <x v="2"/>
    <x v="2"/>
    <x v="3"/>
    <n v="6647505.9604294105"/>
  </r>
  <r>
    <x v="0"/>
    <x v="0"/>
    <x v="0"/>
    <x v="2"/>
    <x v="2"/>
    <x v="2"/>
    <x v="4"/>
    <n v="8170194.0058557298"/>
  </r>
  <r>
    <x v="0"/>
    <x v="0"/>
    <x v="0"/>
    <x v="2"/>
    <x v="2"/>
    <x v="2"/>
    <x v="5"/>
    <n v="7370860.3507026797"/>
  </r>
  <r>
    <x v="0"/>
    <x v="0"/>
    <x v="0"/>
    <x v="2"/>
    <x v="2"/>
    <x v="2"/>
    <x v="6"/>
    <n v="6365672.2423994597"/>
  </r>
  <r>
    <x v="0"/>
    <x v="0"/>
    <x v="0"/>
    <x v="2"/>
    <x v="2"/>
    <x v="2"/>
    <x v="7"/>
    <n v="5871979.3317187401"/>
  </r>
  <r>
    <x v="0"/>
    <x v="0"/>
    <x v="0"/>
    <x v="2"/>
    <x v="2"/>
    <x v="2"/>
    <x v="8"/>
    <n v="4897214.2631532298"/>
  </r>
  <r>
    <x v="0"/>
    <x v="0"/>
    <x v="0"/>
    <x v="2"/>
    <x v="2"/>
    <x v="2"/>
    <x v="9"/>
    <n v="3313200.8011711598"/>
  </r>
  <r>
    <x v="0"/>
    <x v="0"/>
    <x v="0"/>
    <x v="2"/>
    <x v="2"/>
    <x v="2"/>
    <x v="10"/>
    <n v="1625215.2479815499"/>
  </r>
  <r>
    <x v="0"/>
    <x v="0"/>
    <x v="0"/>
    <x v="2"/>
    <x v="2"/>
    <x v="2"/>
    <x v="11"/>
    <n v="222314.46100612599"/>
  </r>
  <r>
    <x v="0"/>
    <x v="0"/>
    <x v="0"/>
    <x v="2"/>
    <x v="3"/>
    <x v="3"/>
    <x v="0"/>
    <n v="1626140.5753744501"/>
  </r>
  <r>
    <x v="0"/>
    <x v="0"/>
    <x v="0"/>
    <x v="2"/>
    <x v="3"/>
    <x v="3"/>
    <x v="1"/>
    <n v="5392037.8764125099"/>
  </r>
  <r>
    <x v="0"/>
    <x v="0"/>
    <x v="0"/>
    <x v="2"/>
    <x v="3"/>
    <x v="3"/>
    <x v="2"/>
    <n v="8583648.5444987491"/>
  </r>
  <r>
    <x v="0"/>
    <x v="0"/>
    <x v="0"/>
    <x v="2"/>
    <x v="3"/>
    <x v="3"/>
    <x v="3"/>
    <n v="11699026.473697601"/>
  </r>
  <r>
    <x v="0"/>
    <x v="0"/>
    <x v="0"/>
    <x v="2"/>
    <x v="3"/>
    <x v="3"/>
    <x v="4"/>
    <n v="14006337.370689901"/>
  </r>
  <r>
    <x v="0"/>
    <x v="0"/>
    <x v="0"/>
    <x v="2"/>
    <x v="3"/>
    <x v="3"/>
    <x v="5"/>
    <n v="11208001.1223401"/>
  </r>
  <r>
    <x v="0"/>
    <x v="0"/>
    <x v="0"/>
    <x v="2"/>
    <x v="3"/>
    <x v="3"/>
    <x v="6"/>
    <n v="8456819.7169649899"/>
  </r>
  <r>
    <x v="0"/>
    <x v="0"/>
    <x v="0"/>
    <x v="2"/>
    <x v="3"/>
    <x v="3"/>
    <x v="7"/>
    <n v="5741487.83248269"/>
  </r>
  <r>
    <x v="0"/>
    <x v="0"/>
    <x v="0"/>
    <x v="2"/>
    <x v="3"/>
    <x v="3"/>
    <x v="8"/>
    <n v="4021107.17189764"/>
  </r>
  <r>
    <x v="0"/>
    <x v="0"/>
    <x v="0"/>
    <x v="2"/>
    <x v="3"/>
    <x v="3"/>
    <x v="9"/>
    <n v="2484790.0869567501"/>
  </r>
  <r>
    <x v="0"/>
    <x v="0"/>
    <x v="0"/>
    <x v="2"/>
    <x v="3"/>
    <x v="3"/>
    <x v="10"/>
    <n v="677427.32732880895"/>
  </r>
  <r>
    <x v="0"/>
    <x v="0"/>
    <x v="0"/>
    <x v="2"/>
    <x v="3"/>
    <x v="3"/>
    <x v="11"/>
    <n v="0"/>
  </r>
  <r>
    <x v="0"/>
    <x v="0"/>
    <x v="0"/>
    <x v="2"/>
    <x v="4"/>
    <x v="4"/>
    <x v="0"/>
    <n v="34828.791541025697"/>
  </r>
  <r>
    <x v="0"/>
    <x v="0"/>
    <x v="0"/>
    <x v="2"/>
    <x v="4"/>
    <x v="4"/>
    <x v="1"/>
    <n v="1218850.93686975"/>
  </r>
  <r>
    <x v="0"/>
    <x v="0"/>
    <x v="0"/>
    <x v="2"/>
    <x v="4"/>
    <x v="4"/>
    <x v="2"/>
    <n v="2222313.6997124399"/>
  </r>
  <r>
    <x v="0"/>
    <x v="0"/>
    <x v="0"/>
    <x v="2"/>
    <x v="4"/>
    <x v="4"/>
    <x v="3"/>
    <n v="3201808.40293309"/>
  </r>
  <r>
    <x v="0"/>
    <x v="0"/>
    <x v="0"/>
    <x v="2"/>
    <x v="4"/>
    <x v="4"/>
    <x v="4"/>
    <n v="3927241.6741601299"/>
  </r>
  <r>
    <x v="0"/>
    <x v="0"/>
    <x v="0"/>
    <x v="2"/>
    <x v="4"/>
    <x v="4"/>
    <x v="5"/>
    <n v="3574228.9867222002"/>
  </r>
  <r>
    <x v="0"/>
    <x v="0"/>
    <x v="0"/>
    <x v="2"/>
    <x v="4"/>
    <x v="4"/>
    <x v="6"/>
    <n v="2752294.6919624298"/>
  </r>
  <r>
    <x v="0"/>
    <x v="0"/>
    <x v="0"/>
    <x v="2"/>
    <x v="4"/>
    <x v="4"/>
    <x v="7"/>
    <n v="2378584.00776537"/>
  </r>
  <r>
    <x v="0"/>
    <x v="0"/>
    <x v="0"/>
    <x v="2"/>
    <x v="4"/>
    <x v="4"/>
    <x v="8"/>
    <n v="2227198.0569603401"/>
  </r>
  <r>
    <x v="0"/>
    <x v="0"/>
    <x v="0"/>
    <x v="2"/>
    <x v="4"/>
    <x v="4"/>
    <x v="9"/>
    <n v="1472548.3630556299"/>
  </r>
  <r>
    <x v="0"/>
    <x v="0"/>
    <x v="0"/>
    <x v="2"/>
    <x v="4"/>
    <x v="4"/>
    <x v="10"/>
    <n v="668364.67926537199"/>
  </r>
  <r>
    <x v="0"/>
    <x v="0"/>
    <x v="0"/>
    <x v="2"/>
    <x v="4"/>
    <x v="4"/>
    <x v="11"/>
    <n v="0"/>
  </r>
  <r>
    <x v="0"/>
    <x v="0"/>
    <x v="0"/>
    <x v="2"/>
    <x v="5"/>
    <x v="5"/>
    <x v="0"/>
    <n v="0"/>
  </r>
  <r>
    <x v="0"/>
    <x v="0"/>
    <x v="0"/>
    <x v="2"/>
    <x v="5"/>
    <x v="5"/>
    <x v="1"/>
    <n v="200871.418685121"/>
  </r>
  <r>
    <x v="0"/>
    <x v="0"/>
    <x v="0"/>
    <x v="2"/>
    <x v="5"/>
    <x v="5"/>
    <x v="2"/>
    <n v="371110.62372460298"/>
  </r>
  <r>
    <x v="0"/>
    <x v="0"/>
    <x v="0"/>
    <x v="2"/>
    <x v="5"/>
    <x v="5"/>
    <x v="3"/>
    <n v="537283.60571377794"/>
  </r>
  <r>
    <x v="0"/>
    <x v="0"/>
    <x v="0"/>
    <x v="2"/>
    <x v="5"/>
    <x v="5"/>
    <x v="4"/>
    <n v="660354.62336971005"/>
  </r>
  <r>
    <x v="0"/>
    <x v="0"/>
    <x v="0"/>
    <x v="2"/>
    <x v="5"/>
    <x v="5"/>
    <x v="5"/>
    <n v="504947.75352675002"/>
  </r>
  <r>
    <x v="0"/>
    <x v="0"/>
    <x v="0"/>
    <x v="2"/>
    <x v="5"/>
    <x v="5"/>
    <x v="6"/>
    <n v="599013.04675716395"/>
  </r>
  <r>
    <x v="0"/>
    <x v="0"/>
    <x v="0"/>
    <x v="2"/>
    <x v="5"/>
    <x v="5"/>
    <x v="7"/>
    <n v="537669.35232011497"/>
  </r>
  <r>
    <x v="0"/>
    <x v="0"/>
    <x v="0"/>
    <x v="2"/>
    <x v="5"/>
    <x v="5"/>
    <x v="8"/>
    <n v="395816.55931150803"/>
  </r>
  <r>
    <x v="0"/>
    <x v="0"/>
    <x v="0"/>
    <x v="2"/>
    <x v="5"/>
    <x v="5"/>
    <x v="9"/>
    <n v="267788.92467394302"/>
  </r>
  <r>
    <x v="0"/>
    <x v="0"/>
    <x v="0"/>
    <x v="2"/>
    <x v="5"/>
    <x v="5"/>
    <x v="10"/>
    <n v="131357.762399078"/>
  </r>
  <r>
    <x v="0"/>
    <x v="0"/>
    <x v="0"/>
    <x v="2"/>
    <x v="5"/>
    <x v="5"/>
    <x v="11"/>
    <n v="17968.530742614101"/>
  </r>
  <r>
    <x v="0"/>
    <x v="0"/>
    <x v="0"/>
    <x v="3"/>
    <x v="6"/>
    <x v="6"/>
    <x v="0"/>
    <n v="0"/>
  </r>
  <r>
    <x v="0"/>
    <x v="0"/>
    <x v="0"/>
    <x v="3"/>
    <x v="6"/>
    <x v="6"/>
    <x v="1"/>
    <n v="0"/>
  </r>
  <r>
    <x v="0"/>
    <x v="0"/>
    <x v="0"/>
    <x v="3"/>
    <x v="6"/>
    <x v="6"/>
    <x v="2"/>
    <n v="0"/>
  </r>
  <r>
    <x v="0"/>
    <x v="0"/>
    <x v="0"/>
    <x v="3"/>
    <x v="6"/>
    <x v="6"/>
    <x v="3"/>
    <n v="0"/>
  </r>
  <r>
    <x v="0"/>
    <x v="0"/>
    <x v="0"/>
    <x v="3"/>
    <x v="6"/>
    <x v="6"/>
    <x v="4"/>
    <n v="0"/>
  </r>
  <r>
    <x v="0"/>
    <x v="0"/>
    <x v="0"/>
    <x v="3"/>
    <x v="6"/>
    <x v="6"/>
    <x v="5"/>
    <n v="0"/>
  </r>
  <r>
    <x v="0"/>
    <x v="0"/>
    <x v="0"/>
    <x v="3"/>
    <x v="6"/>
    <x v="6"/>
    <x v="6"/>
    <n v="0"/>
  </r>
  <r>
    <x v="0"/>
    <x v="0"/>
    <x v="0"/>
    <x v="3"/>
    <x v="6"/>
    <x v="6"/>
    <x v="7"/>
    <n v="0"/>
  </r>
  <r>
    <x v="0"/>
    <x v="0"/>
    <x v="0"/>
    <x v="3"/>
    <x v="6"/>
    <x v="6"/>
    <x v="8"/>
    <n v="0"/>
  </r>
  <r>
    <x v="0"/>
    <x v="0"/>
    <x v="0"/>
    <x v="3"/>
    <x v="6"/>
    <x v="6"/>
    <x v="9"/>
    <n v="0"/>
  </r>
  <r>
    <x v="0"/>
    <x v="0"/>
    <x v="0"/>
    <x v="3"/>
    <x v="6"/>
    <x v="6"/>
    <x v="10"/>
    <n v="0"/>
  </r>
  <r>
    <x v="0"/>
    <x v="0"/>
    <x v="0"/>
    <x v="3"/>
    <x v="6"/>
    <x v="6"/>
    <x v="11"/>
    <n v="0"/>
  </r>
  <r>
    <x v="0"/>
    <x v="0"/>
    <x v="0"/>
    <x v="4"/>
    <x v="7"/>
    <x v="7"/>
    <x v="0"/>
    <n v="0"/>
  </r>
  <r>
    <x v="0"/>
    <x v="0"/>
    <x v="0"/>
    <x v="4"/>
    <x v="7"/>
    <x v="7"/>
    <x v="1"/>
    <n v="296360.10125672701"/>
  </r>
  <r>
    <x v="0"/>
    <x v="0"/>
    <x v="0"/>
    <x v="4"/>
    <x v="7"/>
    <x v="7"/>
    <x v="2"/>
    <n v="370689.29599008599"/>
  </r>
  <r>
    <x v="0"/>
    <x v="0"/>
    <x v="0"/>
    <x v="4"/>
    <x v="7"/>
    <x v="7"/>
    <x v="3"/>
    <n v="463892.41578081797"/>
  </r>
  <r>
    <x v="0"/>
    <x v="0"/>
    <x v="0"/>
    <x v="4"/>
    <x v="7"/>
    <x v="7"/>
    <x v="4"/>
    <n v="446406.305941795"/>
  </r>
  <r>
    <x v="0"/>
    <x v="0"/>
    <x v="0"/>
    <x v="4"/>
    <x v="7"/>
    <x v="7"/>
    <x v="5"/>
    <n v="364543.131862109"/>
  </r>
  <r>
    <x v="0"/>
    <x v="0"/>
    <x v="0"/>
    <x v="4"/>
    <x v="7"/>
    <x v="7"/>
    <x v="6"/>
    <n v="332341.40650222398"/>
  </r>
  <r>
    <x v="0"/>
    <x v="0"/>
    <x v="0"/>
    <x v="4"/>
    <x v="7"/>
    <x v="7"/>
    <x v="7"/>
    <n v="287513.97071891901"/>
  </r>
  <r>
    <x v="0"/>
    <x v="0"/>
    <x v="0"/>
    <x v="4"/>
    <x v="7"/>
    <x v="7"/>
    <x v="8"/>
    <n v="235877.18327888101"/>
  </r>
  <r>
    <x v="0"/>
    <x v="0"/>
    <x v="0"/>
    <x v="4"/>
    <x v="7"/>
    <x v="7"/>
    <x v="9"/>
    <n v="114832.235239225"/>
  </r>
  <r>
    <x v="0"/>
    <x v="0"/>
    <x v="0"/>
    <x v="4"/>
    <x v="7"/>
    <x v="7"/>
    <x v="10"/>
    <n v="36232.4094899954"/>
  </r>
  <r>
    <x v="0"/>
    <x v="0"/>
    <x v="0"/>
    <x v="4"/>
    <x v="7"/>
    <x v="7"/>
    <x v="11"/>
    <n v="24314.965418974702"/>
  </r>
  <r>
    <x v="0"/>
    <x v="0"/>
    <x v="0"/>
    <x v="5"/>
    <x v="8"/>
    <x v="8"/>
    <x v="0"/>
    <n v="1496849.90011967"/>
  </r>
  <r>
    <x v="0"/>
    <x v="0"/>
    <x v="0"/>
    <x v="5"/>
    <x v="8"/>
    <x v="8"/>
    <x v="1"/>
    <n v="5170467.2123073004"/>
  </r>
  <r>
    <x v="0"/>
    <x v="0"/>
    <x v="0"/>
    <x v="5"/>
    <x v="8"/>
    <x v="8"/>
    <x v="2"/>
    <n v="8283870.2785067903"/>
  </r>
  <r>
    <x v="0"/>
    <x v="0"/>
    <x v="0"/>
    <x v="5"/>
    <x v="8"/>
    <x v="8"/>
    <x v="3"/>
    <n v="11322908.6217875"/>
  </r>
  <r>
    <x v="0"/>
    <x v="0"/>
    <x v="0"/>
    <x v="5"/>
    <x v="8"/>
    <x v="8"/>
    <x v="4"/>
    <n v="13573680.902129199"/>
  </r>
  <r>
    <x v="0"/>
    <x v="0"/>
    <x v="0"/>
    <x v="5"/>
    <x v="8"/>
    <x v="8"/>
    <x v="5"/>
    <n v="11135356.3786237"/>
  </r>
  <r>
    <x v="0"/>
    <x v="0"/>
    <x v="0"/>
    <x v="5"/>
    <x v="8"/>
    <x v="8"/>
    <x v="6"/>
    <n v="8530381.6633281894"/>
  </r>
  <r>
    <x v="0"/>
    <x v="0"/>
    <x v="0"/>
    <x v="5"/>
    <x v="8"/>
    <x v="8"/>
    <x v="7"/>
    <n v="6186447.4690357698"/>
  </r>
  <r>
    <x v="0"/>
    <x v="0"/>
    <x v="0"/>
    <x v="5"/>
    <x v="8"/>
    <x v="8"/>
    <x v="8"/>
    <n v="4069107.0133050298"/>
  </r>
  <r>
    <x v="0"/>
    <x v="0"/>
    <x v="0"/>
    <x v="5"/>
    <x v="8"/>
    <x v="8"/>
    <x v="9"/>
    <n v="2592315.0833975798"/>
  </r>
  <r>
    <x v="0"/>
    <x v="0"/>
    <x v="0"/>
    <x v="5"/>
    <x v="8"/>
    <x v="8"/>
    <x v="10"/>
    <n v="433424.25653465401"/>
  </r>
  <r>
    <x v="0"/>
    <x v="0"/>
    <x v="0"/>
    <x v="5"/>
    <x v="8"/>
    <x v="8"/>
    <x v="11"/>
    <n v="0"/>
  </r>
  <r>
    <x v="0"/>
    <x v="0"/>
    <x v="0"/>
    <x v="5"/>
    <x v="9"/>
    <x v="9"/>
    <x v="0"/>
    <n v="2104224.6639067298"/>
  </r>
  <r>
    <x v="0"/>
    <x v="0"/>
    <x v="0"/>
    <x v="5"/>
    <x v="9"/>
    <x v="9"/>
    <x v="1"/>
    <n v="4280592.2908029398"/>
  </r>
  <r>
    <x v="0"/>
    <x v="0"/>
    <x v="0"/>
    <x v="5"/>
    <x v="9"/>
    <x v="9"/>
    <x v="2"/>
    <n v="5597151.4093730301"/>
  </r>
  <r>
    <x v="0"/>
    <x v="0"/>
    <x v="0"/>
    <x v="5"/>
    <x v="9"/>
    <x v="9"/>
    <x v="3"/>
    <n v="6842350.3056794303"/>
  </r>
  <r>
    <x v="0"/>
    <x v="0"/>
    <x v="0"/>
    <x v="5"/>
    <x v="9"/>
    <x v="9"/>
    <x v="4"/>
    <n v="7879886.5465878705"/>
  </r>
  <r>
    <x v="0"/>
    <x v="0"/>
    <x v="0"/>
    <x v="5"/>
    <x v="9"/>
    <x v="9"/>
    <x v="5"/>
    <n v="6573104.8769436805"/>
  </r>
  <r>
    <x v="0"/>
    <x v="0"/>
    <x v="0"/>
    <x v="5"/>
    <x v="9"/>
    <x v="9"/>
    <x v="6"/>
    <n v="5063131.1759762196"/>
  </r>
  <r>
    <x v="0"/>
    <x v="0"/>
    <x v="0"/>
    <x v="5"/>
    <x v="9"/>
    <x v="9"/>
    <x v="7"/>
    <n v="3872793.9927260499"/>
  </r>
  <r>
    <x v="0"/>
    <x v="0"/>
    <x v="0"/>
    <x v="5"/>
    <x v="9"/>
    <x v="9"/>
    <x v="8"/>
    <n v="3014787.9189286702"/>
  </r>
  <r>
    <x v="0"/>
    <x v="0"/>
    <x v="0"/>
    <x v="5"/>
    <x v="9"/>
    <x v="9"/>
    <x v="9"/>
    <n v="2003433.6056607601"/>
  </r>
  <r>
    <x v="0"/>
    <x v="0"/>
    <x v="0"/>
    <x v="5"/>
    <x v="9"/>
    <x v="9"/>
    <x v="10"/>
    <n v="668015.02645488305"/>
  </r>
  <r>
    <x v="0"/>
    <x v="0"/>
    <x v="0"/>
    <x v="5"/>
    <x v="9"/>
    <x v="9"/>
    <x v="11"/>
    <n v="0"/>
  </r>
  <r>
    <x v="0"/>
    <x v="0"/>
    <x v="0"/>
    <x v="5"/>
    <x v="10"/>
    <x v="10"/>
    <x v="0"/>
    <n v="687996.44381693099"/>
  </r>
  <r>
    <x v="0"/>
    <x v="0"/>
    <x v="0"/>
    <x v="5"/>
    <x v="10"/>
    <x v="10"/>
    <x v="1"/>
    <n v="2475340.0583728901"/>
  </r>
  <r>
    <x v="0"/>
    <x v="0"/>
    <x v="0"/>
    <x v="5"/>
    <x v="10"/>
    <x v="10"/>
    <x v="2"/>
    <n v="3990119.8018832002"/>
  </r>
  <r>
    <x v="0"/>
    <x v="0"/>
    <x v="0"/>
    <x v="5"/>
    <x v="10"/>
    <x v="10"/>
    <x v="3"/>
    <n v="5468718.5005644402"/>
  </r>
  <r>
    <x v="0"/>
    <x v="0"/>
    <x v="0"/>
    <x v="5"/>
    <x v="10"/>
    <x v="10"/>
    <x v="4"/>
    <n v="6563798.1240575602"/>
  </r>
  <r>
    <x v="0"/>
    <x v="0"/>
    <x v="0"/>
    <x v="5"/>
    <x v="10"/>
    <x v="10"/>
    <x v="5"/>
    <n v="4840723.4907154599"/>
  </r>
  <r>
    <x v="0"/>
    <x v="0"/>
    <x v="0"/>
    <x v="5"/>
    <x v="10"/>
    <x v="10"/>
    <x v="6"/>
    <n v="3180982.8646459398"/>
  </r>
  <r>
    <x v="0"/>
    <x v="0"/>
    <x v="0"/>
    <x v="5"/>
    <x v="10"/>
    <x v="10"/>
    <x v="7"/>
    <n v="1806955.92364918"/>
  </r>
  <r>
    <x v="0"/>
    <x v="0"/>
    <x v="0"/>
    <x v="5"/>
    <x v="10"/>
    <x v="10"/>
    <x v="8"/>
    <n v="410153.98492228298"/>
  </r>
  <r>
    <x v="0"/>
    <x v="0"/>
    <x v="0"/>
    <x v="5"/>
    <x v="10"/>
    <x v="10"/>
    <x v="9"/>
    <n v="0"/>
  </r>
  <r>
    <x v="0"/>
    <x v="0"/>
    <x v="0"/>
    <x v="5"/>
    <x v="10"/>
    <x v="10"/>
    <x v="10"/>
    <n v="0"/>
  </r>
  <r>
    <x v="0"/>
    <x v="0"/>
    <x v="0"/>
    <x v="5"/>
    <x v="10"/>
    <x v="10"/>
    <x v="11"/>
    <n v="0"/>
  </r>
  <r>
    <x v="0"/>
    <x v="0"/>
    <x v="0"/>
    <x v="5"/>
    <x v="11"/>
    <x v="11"/>
    <x v="0"/>
    <n v="491059.32547435298"/>
  </r>
  <r>
    <x v="0"/>
    <x v="0"/>
    <x v="0"/>
    <x v="5"/>
    <x v="11"/>
    <x v="11"/>
    <x v="1"/>
    <n v="1878280.1024565999"/>
  </r>
  <r>
    <x v="0"/>
    <x v="0"/>
    <x v="0"/>
    <x v="5"/>
    <x v="11"/>
    <x v="11"/>
    <x v="2"/>
    <n v="3002097.6589383399"/>
  </r>
  <r>
    <x v="0"/>
    <x v="0"/>
    <x v="0"/>
    <x v="5"/>
    <x v="11"/>
    <x v="11"/>
    <x v="3"/>
    <n v="4149690.5554162199"/>
  </r>
  <r>
    <x v="0"/>
    <x v="0"/>
    <x v="0"/>
    <x v="5"/>
    <x v="11"/>
    <x v="11"/>
    <x v="4"/>
    <n v="4876912.7484776396"/>
  </r>
  <r>
    <x v="0"/>
    <x v="0"/>
    <x v="0"/>
    <x v="5"/>
    <x v="11"/>
    <x v="11"/>
    <x v="5"/>
    <n v="4145462.37908071"/>
  </r>
  <r>
    <x v="0"/>
    <x v="0"/>
    <x v="0"/>
    <x v="5"/>
    <x v="11"/>
    <x v="11"/>
    <x v="6"/>
    <n v="3460643.52205555"/>
  </r>
  <r>
    <x v="0"/>
    <x v="0"/>
    <x v="0"/>
    <x v="5"/>
    <x v="11"/>
    <x v="11"/>
    <x v="7"/>
    <n v="3069848.4916339298"/>
  </r>
  <r>
    <x v="0"/>
    <x v="0"/>
    <x v="0"/>
    <x v="5"/>
    <x v="11"/>
    <x v="11"/>
    <x v="8"/>
    <n v="2640037.0001174202"/>
  </r>
  <r>
    <x v="0"/>
    <x v="0"/>
    <x v="0"/>
    <x v="5"/>
    <x v="11"/>
    <x v="11"/>
    <x v="9"/>
    <n v="1609659.6550064699"/>
  </r>
  <r>
    <x v="0"/>
    <x v="0"/>
    <x v="0"/>
    <x v="5"/>
    <x v="11"/>
    <x v="11"/>
    <x v="10"/>
    <n v="543235.19775575504"/>
  </r>
  <r>
    <x v="0"/>
    <x v="0"/>
    <x v="0"/>
    <x v="5"/>
    <x v="11"/>
    <x v="11"/>
    <x v="11"/>
    <n v="0"/>
  </r>
  <r>
    <x v="0"/>
    <x v="0"/>
    <x v="0"/>
    <x v="5"/>
    <x v="12"/>
    <x v="12"/>
    <x v="0"/>
    <n v="465590.869576036"/>
  </r>
  <r>
    <x v="0"/>
    <x v="0"/>
    <x v="0"/>
    <x v="5"/>
    <x v="12"/>
    <x v="12"/>
    <x v="1"/>
    <n v="1489269.7175201599"/>
  </r>
  <r>
    <x v="0"/>
    <x v="0"/>
    <x v="0"/>
    <x v="5"/>
    <x v="12"/>
    <x v="12"/>
    <x v="2"/>
    <n v="2120084.2326994902"/>
  </r>
  <r>
    <x v="0"/>
    <x v="0"/>
    <x v="0"/>
    <x v="5"/>
    <x v="12"/>
    <x v="12"/>
    <x v="3"/>
    <n v="2759498.8027335899"/>
  </r>
  <r>
    <x v="0"/>
    <x v="0"/>
    <x v="0"/>
    <x v="5"/>
    <x v="12"/>
    <x v="12"/>
    <x v="4"/>
    <n v="2967105.1743597002"/>
  </r>
  <r>
    <x v="0"/>
    <x v="0"/>
    <x v="0"/>
    <x v="5"/>
    <x v="12"/>
    <x v="12"/>
    <x v="5"/>
    <n v="2180573.8352851402"/>
  </r>
  <r>
    <x v="0"/>
    <x v="0"/>
    <x v="0"/>
    <x v="5"/>
    <x v="12"/>
    <x v="12"/>
    <x v="6"/>
    <n v="1336767.6119246699"/>
  </r>
  <r>
    <x v="0"/>
    <x v="0"/>
    <x v="0"/>
    <x v="5"/>
    <x v="12"/>
    <x v="12"/>
    <x v="7"/>
    <n v="635280.876872177"/>
  </r>
  <r>
    <x v="0"/>
    <x v="0"/>
    <x v="0"/>
    <x v="5"/>
    <x v="12"/>
    <x v="12"/>
    <x v="8"/>
    <n v="0"/>
  </r>
  <r>
    <x v="0"/>
    <x v="0"/>
    <x v="0"/>
    <x v="5"/>
    <x v="12"/>
    <x v="12"/>
    <x v="9"/>
    <n v="0"/>
  </r>
  <r>
    <x v="0"/>
    <x v="0"/>
    <x v="0"/>
    <x v="5"/>
    <x v="12"/>
    <x v="12"/>
    <x v="10"/>
    <n v="0"/>
  </r>
  <r>
    <x v="0"/>
    <x v="0"/>
    <x v="0"/>
    <x v="5"/>
    <x v="12"/>
    <x v="12"/>
    <x v="11"/>
    <n v="0"/>
  </r>
</pivotCacheRecords>
</file>

<file path=xl/pivotCache/pivotCacheRecords9.xml><?xml version="1.0" encoding="utf-8"?>
<pivotCacheRecords xmlns="http://schemas.openxmlformats.org/spreadsheetml/2006/main" xmlns:r="http://schemas.openxmlformats.org/officeDocument/2006/relationships" count="14154">
  <r>
    <x v="0"/>
    <x v="0"/>
    <x v="0"/>
    <x v="0"/>
    <x v="0"/>
    <s v="DK1_Large"/>
    <x v="0"/>
    <x v="0"/>
    <s v="WI-L10"/>
    <x v="0"/>
    <x v="0"/>
    <n v="122.46062281950201"/>
    <n v="7449.6878881863804"/>
    <n v="26818.8763974709"/>
  </r>
  <r>
    <x v="0"/>
    <x v="0"/>
    <x v="0"/>
    <x v="0"/>
    <x v="0"/>
    <s v="DK1_Large"/>
    <x v="0"/>
    <x v="0"/>
    <s v="WI-L10"/>
    <x v="0"/>
    <x v="1"/>
    <n v="105.984678740294"/>
    <n v="6447.4012900345197"/>
    <n v="23210.644644124299"/>
  </r>
  <r>
    <x v="0"/>
    <x v="0"/>
    <x v="0"/>
    <x v="0"/>
    <x v="0"/>
    <s v="DK1_Large"/>
    <x v="0"/>
    <x v="0"/>
    <s v="WI-L10"/>
    <x v="0"/>
    <x v="2"/>
    <n v="108.519439367864"/>
    <n v="6601.5992282117304"/>
    <n v="23765.757221562199"/>
  </r>
  <r>
    <x v="0"/>
    <x v="0"/>
    <x v="0"/>
    <x v="0"/>
    <x v="0"/>
    <s v="DK1_Large"/>
    <x v="0"/>
    <x v="0"/>
    <s v="WI-L10"/>
    <x v="0"/>
    <x v="3"/>
    <n v="129.11436946687499"/>
    <n v="7854.4574759015504"/>
    <n v="28276.046913245598"/>
  </r>
  <r>
    <x v="0"/>
    <x v="0"/>
    <x v="0"/>
    <x v="0"/>
    <x v="0"/>
    <s v="DK1_Large"/>
    <x v="0"/>
    <x v="0"/>
    <s v="WI-L10"/>
    <x v="0"/>
    <x v="4"/>
    <n v="139.25341197715699"/>
    <n v="8471.2492286103807"/>
    <n v="30496.497222997401"/>
  </r>
  <r>
    <x v="0"/>
    <x v="0"/>
    <x v="0"/>
    <x v="0"/>
    <x v="0"/>
    <s v="DK1_Large"/>
    <x v="0"/>
    <x v="0"/>
    <s v="WI-L10"/>
    <x v="0"/>
    <x v="5"/>
    <n v="147.491384016761"/>
    <n v="8972.3925276863101"/>
    <n v="32300.6130996707"/>
  </r>
  <r>
    <x v="0"/>
    <x v="0"/>
    <x v="0"/>
    <x v="0"/>
    <x v="0"/>
    <s v="DK1_Large"/>
    <x v="0"/>
    <x v="0"/>
    <s v="WI-L10"/>
    <x v="0"/>
    <x v="6"/>
    <n v="147.016116399092"/>
    <n v="8943.4804142780795"/>
    <n v="32196.529491401099"/>
  </r>
  <r>
    <x v="0"/>
    <x v="0"/>
    <x v="0"/>
    <x v="0"/>
    <x v="0"/>
    <s v="DK1_Large"/>
    <x v="0"/>
    <x v="0"/>
    <s v="WI-L10"/>
    <x v="0"/>
    <x v="7"/>
    <n v="143.68924307540499"/>
    <n v="8741.0956204204904"/>
    <n v="31467.944233513801"/>
  </r>
  <r>
    <x v="0"/>
    <x v="0"/>
    <x v="0"/>
    <x v="0"/>
    <x v="0"/>
    <s v="DK1_Large"/>
    <x v="0"/>
    <x v="0"/>
    <s v="WI-L10"/>
    <x v="0"/>
    <x v="8"/>
    <n v="141.78817260472701"/>
    <n v="8625.4471667875896"/>
    <n v="31051.609800435301"/>
  </r>
  <r>
    <x v="0"/>
    <x v="0"/>
    <x v="0"/>
    <x v="0"/>
    <x v="0"/>
    <s v="DK1_Large"/>
    <x v="0"/>
    <x v="0"/>
    <s v="WI-L10"/>
    <x v="0"/>
    <x v="9"/>
    <n v="130.69859485910601"/>
    <n v="7950.8311872622999"/>
    <n v="28622.992274144301"/>
  </r>
  <r>
    <x v="0"/>
    <x v="0"/>
    <x v="0"/>
    <x v="0"/>
    <x v="0"/>
    <s v="DK1_Large"/>
    <x v="0"/>
    <x v="0"/>
    <s v="WI-L10"/>
    <x v="0"/>
    <x v="10"/>
    <n v="128.005411692313"/>
    <n v="7786.9958779490198"/>
    <n v="28033.1851606165"/>
  </r>
  <r>
    <x v="0"/>
    <x v="0"/>
    <x v="0"/>
    <x v="0"/>
    <x v="0"/>
    <s v="DK1_Large"/>
    <x v="0"/>
    <x v="0"/>
    <s v="WI-L10"/>
    <x v="0"/>
    <x v="11"/>
    <n v="138.93656689871099"/>
    <n v="8451.9744863382293"/>
    <n v="30427.108150817599"/>
  </r>
  <r>
    <x v="0"/>
    <x v="0"/>
    <x v="0"/>
    <x v="0"/>
    <x v="0"/>
    <s v="DK1_Large"/>
    <x v="0"/>
    <x v="0"/>
    <s v="WI-L10"/>
    <x v="1"/>
    <x v="0"/>
    <n v="3.6437184021326599"/>
    <n v="221.65953612973701"/>
    <n v="797.97433006705296"/>
  </r>
  <r>
    <x v="0"/>
    <x v="0"/>
    <x v="0"/>
    <x v="0"/>
    <x v="0"/>
    <s v="DK1_Large"/>
    <x v="0"/>
    <x v="0"/>
    <s v="WI-L10"/>
    <x v="1"/>
    <x v="1"/>
    <n v="3.3268733236863399"/>
    <n v="202.384793857586"/>
    <n v="728.58525788730901"/>
  </r>
  <r>
    <x v="0"/>
    <x v="0"/>
    <x v="0"/>
    <x v="0"/>
    <x v="0"/>
    <s v="DK1_Large"/>
    <x v="0"/>
    <x v="0"/>
    <s v="WI-L10"/>
    <x v="1"/>
    <x v="2"/>
    <n v="1.5842253922315901"/>
    <n v="96.373711360755195"/>
    <n v="346.945360898719"/>
  </r>
  <r>
    <x v="0"/>
    <x v="0"/>
    <x v="0"/>
    <x v="0"/>
    <x v="0"/>
    <s v="DK1_Large"/>
    <x v="0"/>
    <x v="0"/>
    <s v="WI-L10"/>
    <x v="1"/>
    <x v="3"/>
    <n v="1.7426479314547501"/>
    <n v="106.01108249683099"/>
    <n v="381.63989698859001"/>
  </r>
  <r>
    <x v="0"/>
    <x v="0"/>
    <x v="0"/>
    <x v="0"/>
    <x v="0"/>
    <s v="DK1_Large"/>
    <x v="0"/>
    <x v="0"/>
    <s v="WI-L10"/>
    <x v="1"/>
    <x v="4"/>
    <n v="3.1684507844631802"/>
    <n v="192.74742272150999"/>
    <n v="693.89072179743698"/>
  </r>
  <r>
    <x v="0"/>
    <x v="0"/>
    <x v="0"/>
    <x v="0"/>
    <x v="0"/>
    <s v="DK1_Large"/>
    <x v="0"/>
    <x v="0"/>
    <s v="WI-L10"/>
    <x v="1"/>
    <x v="5"/>
    <n v="5.5447888728105701"/>
    <n v="337.30798976264299"/>
    <n v="1214.3087631455201"/>
  </r>
  <r>
    <x v="0"/>
    <x v="0"/>
    <x v="0"/>
    <x v="0"/>
    <x v="0"/>
    <s v="DK1_Large"/>
    <x v="0"/>
    <x v="0"/>
    <s v="WI-L10"/>
    <x v="1"/>
    <x v="6"/>
    <n v="11.2480002848443"/>
    <n v="684.25335066136199"/>
    <n v="2463.3120623809"/>
  </r>
  <r>
    <x v="0"/>
    <x v="0"/>
    <x v="0"/>
    <x v="0"/>
    <x v="0"/>
    <s v="DK1_Large"/>
    <x v="0"/>
    <x v="0"/>
    <s v="WI-L10"/>
    <x v="1"/>
    <x v="7"/>
    <n v="23.446535805027601"/>
    <n v="1426.3309281391801"/>
    <n v="5134.7913413010401"/>
  </r>
  <r>
    <x v="0"/>
    <x v="0"/>
    <x v="0"/>
    <x v="0"/>
    <x v="0"/>
    <s v="DK1_Large"/>
    <x v="0"/>
    <x v="0"/>
    <s v="WI-L10"/>
    <x v="1"/>
    <x v="8"/>
    <n v="38.813522109673997"/>
    <n v="2361.1559283385"/>
    <n v="8500.1613420186095"/>
  </r>
  <r>
    <x v="0"/>
    <x v="0"/>
    <x v="0"/>
    <x v="0"/>
    <x v="0"/>
    <s v="DK1_Large"/>
    <x v="0"/>
    <x v="0"/>
    <s v="WI-L10"/>
    <x v="1"/>
    <x v="9"/>
    <n v="57.348959198783596"/>
    <n v="3488.7283512593399"/>
    <n v="12559.422064533601"/>
  </r>
  <r>
    <x v="0"/>
    <x v="0"/>
    <x v="0"/>
    <x v="0"/>
    <x v="0"/>
    <s v="DK1_Large"/>
    <x v="0"/>
    <x v="0"/>
    <s v="WI-L10"/>
    <x v="1"/>
    <x v="10"/>
    <n v="76.201241366339602"/>
    <n v="4635.5755164523198"/>
    <n v="16688.071859228399"/>
  </r>
  <r>
    <x v="0"/>
    <x v="0"/>
    <x v="0"/>
    <x v="0"/>
    <x v="0"/>
    <s v="DK1_Large"/>
    <x v="0"/>
    <x v="0"/>
    <s v="WI-L10"/>
    <x v="1"/>
    <x v="11"/>
    <n v="93.310875602440802"/>
    <n v="5676.4115991484796"/>
    <n v="20435.081756934502"/>
  </r>
  <r>
    <x v="0"/>
    <x v="0"/>
    <x v="0"/>
    <x v="0"/>
    <x v="0"/>
    <s v="DK1_Large"/>
    <x v="0"/>
    <x v="0"/>
    <s v="WI-L10"/>
    <x v="2"/>
    <x v="0"/>
    <n v="44.358310982484603"/>
    <n v="2698.4639181011398"/>
    <n v="9714.4701051641205"/>
  </r>
  <r>
    <x v="0"/>
    <x v="0"/>
    <x v="0"/>
    <x v="0"/>
    <x v="0"/>
    <s v="DK1_Large"/>
    <x v="0"/>
    <x v="0"/>
    <s v="WI-L10"/>
    <x v="2"/>
    <x v="1"/>
    <n v="45.308846217823501"/>
    <n v="2756.2881449176002"/>
    <n v="9922.6373217033506"/>
  </r>
  <r>
    <x v="0"/>
    <x v="0"/>
    <x v="0"/>
    <x v="0"/>
    <x v="0"/>
    <s v="DK1_Large"/>
    <x v="0"/>
    <x v="0"/>
    <s v="WI-L10"/>
    <x v="2"/>
    <x v="2"/>
    <n v="46.100958913939301"/>
    <n v="2804.4750005979799"/>
    <n v="10096.1100021527"/>
  </r>
  <r>
    <x v="0"/>
    <x v="0"/>
    <x v="0"/>
    <x v="0"/>
    <x v="0"/>
    <s v="DK1_Large"/>
    <x v="0"/>
    <x v="0"/>
    <s v="WI-L10"/>
    <x v="2"/>
    <x v="3"/>
    <n v="47.368339227724597"/>
    <n v="2881.5739696865799"/>
    <n v="10373.666290871701"/>
  </r>
  <r>
    <x v="0"/>
    <x v="0"/>
    <x v="0"/>
    <x v="0"/>
    <x v="0"/>
    <s v="DK1_Large"/>
    <x v="0"/>
    <x v="0"/>
    <s v="WI-L10"/>
    <x v="2"/>
    <x v="4"/>
    <n v="49.269409698402498"/>
    <n v="2997.2224233194902"/>
    <n v="10790.000723950099"/>
  </r>
  <r>
    <x v="0"/>
    <x v="0"/>
    <x v="0"/>
    <x v="0"/>
    <x v="0"/>
    <s v="DK1_Large"/>
    <x v="0"/>
    <x v="0"/>
    <s v="WI-L10"/>
    <x v="2"/>
    <x v="5"/>
    <n v="53.863663335874101"/>
    <n v="3276.7061862656801"/>
    <n v="11796.1422705564"/>
  </r>
  <r>
    <x v="0"/>
    <x v="0"/>
    <x v="0"/>
    <x v="0"/>
    <x v="0"/>
    <s v="DK1_Large"/>
    <x v="0"/>
    <x v="0"/>
    <s v="WI-L10"/>
    <x v="2"/>
    <x v="6"/>
    <n v="56.398423963444699"/>
    <n v="3430.9041244428799"/>
    <n v="12351.2548479944"/>
  </r>
  <r>
    <x v="0"/>
    <x v="0"/>
    <x v="0"/>
    <x v="0"/>
    <x v="0"/>
    <s v="DK1_Large"/>
    <x v="0"/>
    <x v="0"/>
    <s v="WI-L10"/>
    <x v="2"/>
    <x v="7"/>
    <n v="61.784790297032103"/>
    <n v="3758.5747430694501"/>
    <n v="13530.869075050001"/>
  </r>
  <r>
    <x v="0"/>
    <x v="0"/>
    <x v="0"/>
    <x v="0"/>
    <x v="0"/>
    <s v="DK1_Large"/>
    <x v="0"/>
    <x v="0"/>
    <s v="WI-L10"/>
    <x v="2"/>
    <x v="8"/>
    <n v="63.8442833069332"/>
    <n v="3883.8605678384301"/>
    <n v="13981.8980442184"/>
  </r>
  <r>
    <x v="0"/>
    <x v="0"/>
    <x v="0"/>
    <x v="0"/>
    <x v="0"/>
    <s v="DK1_Large"/>
    <x v="0"/>
    <x v="0"/>
    <s v="WI-L10"/>
    <x v="2"/>
    <x v="9"/>
    <n v="64.477973463825805"/>
    <n v="3922.4100523827401"/>
    <n v="14120.6761885779"/>
  </r>
  <r>
    <x v="0"/>
    <x v="0"/>
    <x v="0"/>
    <x v="0"/>
    <x v="0"/>
    <s v="DK1_Large"/>
    <x v="0"/>
    <x v="0"/>
    <s v="WI-L10"/>
    <x v="2"/>
    <x v="10"/>
    <n v="65.586931238387905"/>
    <n v="3989.8716503352598"/>
    <n v="14363.537941207"/>
  </r>
  <r>
    <x v="0"/>
    <x v="0"/>
    <x v="0"/>
    <x v="0"/>
    <x v="0"/>
    <s v="DK1_Large"/>
    <x v="0"/>
    <x v="0"/>
    <s v="WI-L10"/>
    <x v="2"/>
    <x v="11"/>
    <n v="70.022762336636404"/>
    <n v="4259.7180421453804"/>
    <n v="15334.9849517234"/>
  </r>
  <r>
    <x v="0"/>
    <x v="0"/>
    <x v="0"/>
    <x v="0"/>
    <x v="0"/>
    <s v="DK1_Large"/>
    <x v="0"/>
    <x v="0"/>
    <s v="WI-L10"/>
    <x v="3"/>
    <x v="0"/>
    <n v="9.9806199710590295"/>
    <n v="607.15438157275798"/>
    <n v="2185.7557736619301"/>
  </r>
  <r>
    <x v="0"/>
    <x v="0"/>
    <x v="0"/>
    <x v="0"/>
    <x v="0"/>
    <s v="DK1_Large"/>
    <x v="0"/>
    <x v="0"/>
    <s v="WI-L10"/>
    <x v="3"/>
    <x v="1"/>
    <n v="6.0200564904800498"/>
    <n v="366.22010317087"/>
    <n v="1318.3923714151299"/>
  </r>
  <r>
    <x v="0"/>
    <x v="0"/>
    <x v="0"/>
    <x v="0"/>
    <x v="0"/>
    <s v="DK1_Large"/>
    <x v="0"/>
    <x v="0"/>
    <s v="WI-L10"/>
    <x v="3"/>
    <x v="2"/>
    <n v="3.9605634805789798"/>
    <n v="240.93427840188801"/>
    <n v="867.36340224679702"/>
  </r>
  <r>
    <x v="0"/>
    <x v="0"/>
    <x v="0"/>
    <x v="0"/>
    <x v="0"/>
    <s v="DK1_Large"/>
    <x v="0"/>
    <x v="0"/>
    <s v="WI-L10"/>
    <x v="3"/>
    <x v="3"/>
    <n v="3.3268733236863399"/>
    <n v="202.384793857586"/>
    <n v="728.58525788730901"/>
  </r>
  <r>
    <x v="0"/>
    <x v="0"/>
    <x v="0"/>
    <x v="0"/>
    <x v="0"/>
    <s v="DK1_Large"/>
    <x v="0"/>
    <x v="0"/>
    <s v="WI-L10"/>
    <x v="3"/>
    <x v="4"/>
    <n v="4.2774085590253001"/>
    <n v="260.20902067403898"/>
    <n v="936.75247442653995"/>
  </r>
  <r>
    <x v="0"/>
    <x v="0"/>
    <x v="0"/>
    <x v="0"/>
    <x v="0"/>
    <s v="DK1_Large"/>
    <x v="0"/>
    <x v="0"/>
    <s v="WI-L10"/>
    <x v="3"/>
    <x v="5"/>
    <n v="6.0200564904800498"/>
    <n v="366.22010317087"/>
    <n v="1318.3923714151299"/>
  </r>
  <r>
    <x v="0"/>
    <x v="0"/>
    <x v="0"/>
    <x v="0"/>
    <x v="0"/>
    <s v="DK1_Large"/>
    <x v="0"/>
    <x v="0"/>
    <s v="WI-L10"/>
    <x v="3"/>
    <x v="6"/>
    <n v="6.9705917258190002"/>
    <n v="424.04432998732301"/>
    <n v="1526.55958795436"/>
  </r>
  <r>
    <x v="0"/>
    <x v="0"/>
    <x v="0"/>
    <x v="0"/>
    <x v="0"/>
    <s v="DK1_Large"/>
    <x v="0"/>
    <x v="0"/>
    <s v="WI-L10"/>
    <x v="3"/>
    <x v="7"/>
    <n v="8.7132396572737605"/>
    <n v="530.05541248415295"/>
    <n v="1908.19948494295"/>
  </r>
  <r>
    <x v="0"/>
    <x v="0"/>
    <x v="0"/>
    <x v="0"/>
    <x v="0"/>
    <s v="DK1_Large"/>
    <x v="0"/>
    <x v="0"/>
    <s v="WI-L10"/>
    <x v="3"/>
    <x v="8"/>
    <n v="14.0996059908612"/>
    <n v="857.72603111072101"/>
    <n v="3087.8137119986"/>
  </r>
  <r>
    <x v="0"/>
    <x v="0"/>
    <x v="0"/>
    <x v="0"/>
    <x v="0"/>
    <s v="DK1_Large"/>
    <x v="0"/>
    <x v="0"/>
    <s v="WI-L10"/>
    <x v="3"/>
    <x v="9"/>
    <n v="15.2085637654233"/>
    <n v="925.18762906325003"/>
    <n v="3330.6754646277"/>
  </r>
  <r>
    <x v="0"/>
    <x v="0"/>
    <x v="0"/>
    <x v="0"/>
    <x v="0"/>
    <s v="DK1_Large"/>
    <x v="0"/>
    <x v="0"/>
    <s v="WI-L10"/>
    <x v="3"/>
    <x v="10"/>
    <n v="14.0996059908612"/>
    <n v="857.72603111072101"/>
    <n v="3087.8137119986"/>
  </r>
  <r>
    <x v="0"/>
    <x v="0"/>
    <x v="0"/>
    <x v="0"/>
    <x v="0"/>
    <s v="DK1_Large"/>
    <x v="0"/>
    <x v="0"/>
    <s v="WI-L10"/>
    <x v="3"/>
    <x v="11"/>
    <n v="16.475944079208599"/>
    <n v="1002.2865981518499"/>
    <n v="3608.2317533466698"/>
  </r>
  <r>
    <x v="0"/>
    <x v="0"/>
    <x v="0"/>
    <x v="0"/>
    <x v="0"/>
    <s v="DK1_Large"/>
    <x v="0"/>
    <x v="0"/>
    <s v="WI-L10"/>
    <x v="4"/>
    <x v="0"/>
    <n v="214.34569556893399"/>
    <n v="13039.3631471102"/>
    <n v="46941.707329596597"/>
  </r>
  <r>
    <x v="0"/>
    <x v="0"/>
    <x v="0"/>
    <x v="0"/>
    <x v="0"/>
    <s v="DK1_Large"/>
    <x v="0"/>
    <x v="0"/>
    <s v="WI-L10"/>
    <x v="4"/>
    <x v="1"/>
    <n v="215.61307588272001"/>
    <n v="13116.4621161988"/>
    <n v="47219.263618315599"/>
  </r>
  <r>
    <x v="0"/>
    <x v="0"/>
    <x v="0"/>
    <x v="0"/>
    <x v="0"/>
    <s v="DK1_Large"/>
    <x v="0"/>
    <x v="0"/>
    <s v="WI-L10"/>
    <x v="4"/>
    <x v="2"/>
    <n v="225.27685077533201"/>
    <n v="13704.341755499399"/>
    <n v="49335.630319797798"/>
  </r>
  <r>
    <x v="0"/>
    <x v="0"/>
    <x v="0"/>
    <x v="0"/>
    <x v="0"/>
    <s v="DK1_Large"/>
    <x v="0"/>
    <x v="0"/>
    <s v="WI-L10"/>
    <x v="4"/>
    <x v="3"/>
    <n v="220.207329520191"/>
    <n v="13395.945879145"/>
    <n v="48225.405164921904"/>
  </r>
  <r>
    <x v="0"/>
    <x v="0"/>
    <x v="0"/>
    <x v="0"/>
    <x v="0"/>
    <s v="DK1_Large"/>
    <x v="0"/>
    <x v="0"/>
    <s v="WI-L10"/>
    <x v="4"/>
    <x v="4"/>
    <n v="214.18727302971101"/>
    <n v="13029.725775974101"/>
    <n v="46907.012793506801"/>
  </r>
  <r>
    <x v="0"/>
    <x v="0"/>
    <x v="0"/>
    <x v="0"/>
    <x v="0"/>
    <s v="DK1_Large"/>
    <x v="0"/>
    <x v="0"/>
    <s v="WI-L10"/>
    <x v="4"/>
    <x v="5"/>
    <n v="213.87042795126499"/>
    <n v="13010.4510337019"/>
    <n v="46837.623721327"/>
  </r>
  <r>
    <x v="0"/>
    <x v="0"/>
    <x v="0"/>
    <x v="0"/>
    <x v="0"/>
    <s v="DK1_Large"/>
    <x v="0"/>
    <x v="0"/>
    <s v="WI-L10"/>
    <x v="4"/>
    <x v="6"/>
    <n v="228.12845648134899"/>
    <n v="13877.8144359487"/>
    <n v="49960.131969415503"/>
  </r>
  <r>
    <x v="0"/>
    <x v="0"/>
    <x v="0"/>
    <x v="0"/>
    <x v="0"/>
    <s v="DK1_Large"/>
    <x v="0"/>
    <x v="0"/>
    <s v="WI-L10"/>
    <x v="4"/>
    <x v="7"/>
    <n v="243.02017516832601"/>
    <n v="14783.7273227398"/>
    <n v="53221.418361863398"/>
  </r>
  <r>
    <x v="0"/>
    <x v="0"/>
    <x v="0"/>
    <x v="0"/>
    <x v="0"/>
    <s v="DK1_Large"/>
    <x v="0"/>
    <x v="0"/>
    <s v="WI-L10"/>
    <x v="4"/>
    <x v="8"/>
    <n v="257.59504877685703"/>
    <n v="15670.3654672588"/>
    <n v="56413.315682131601"/>
  </r>
  <r>
    <x v="0"/>
    <x v="0"/>
    <x v="0"/>
    <x v="0"/>
    <x v="0"/>
    <s v="DK1_Large"/>
    <x v="0"/>
    <x v="0"/>
    <s v="WI-L10"/>
    <x v="4"/>
    <x v="9"/>
    <n v="277.556288718975"/>
    <n v="16884.6742304043"/>
    <n v="60784.827229455499"/>
  </r>
  <r>
    <x v="0"/>
    <x v="0"/>
    <x v="0"/>
    <x v="0"/>
    <x v="0"/>
    <s v="DK1_Large"/>
    <x v="0"/>
    <x v="0"/>
    <s v="WI-L10"/>
    <x v="4"/>
    <x v="10"/>
    <n v="294.03223279818297"/>
    <n v="17886.960828556199"/>
    <n v="64393.058982802198"/>
  </r>
  <r>
    <x v="0"/>
    <x v="0"/>
    <x v="0"/>
    <x v="0"/>
    <x v="0"/>
    <s v="DK1_Large"/>
    <x v="0"/>
    <x v="0"/>
    <s v="WI-L10"/>
    <x v="4"/>
    <x v="11"/>
    <n v="306.23076831836698"/>
    <n v="18629.038406034"/>
    <n v="67064.538261722293"/>
  </r>
  <r>
    <x v="0"/>
    <x v="0"/>
    <x v="0"/>
    <x v="0"/>
    <x v="0"/>
    <s v="DK1_Large"/>
    <x v="0"/>
    <x v="0"/>
    <s v="WI-L10"/>
    <x v="5"/>
    <x v="0"/>
    <n v="108.67786190708701"/>
    <n v="6611.2365993477997"/>
    <n v="23800.451757652099"/>
  </r>
  <r>
    <x v="0"/>
    <x v="0"/>
    <x v="0"/>
    <x v="0"/>
    <x v="0"/>
    <s v="DK1_Large"/>
    <x v="0"/>
    <x v="0"/>
    <s v="WI-L10"/>
    <x v="5"/>
    <x v="1"/>
    <n v="107.093636514856"/>
    <n v="6514.8628879870503"/>
    <n v="23453.506396753401"/>
  </r>
  <r>
    <x v="0"/>
    <x v="0"/>
    <x v="0"/>
    <x v="0"/>
    <x v="0"/>
    <s v="DK1_Large"/>
    <x v="0"/>
    <x v="0"/>
    <s v="WI-L10"/>
    <x v="5"/>
    <x v="2"/>
    <n v="107.56890413252501"/>
    <n v="6543.77500139528"/>
    <n v="23557.590005023001"/>
  </r>
  <r>
    <x v="0"/>
    <x v="0"/>
    <x v="0"/>
    <x v="0"/>
    <x v="0"/>
    <s v="DK1_Large"/>
    <x v="0"/>
    <x v="0"/>
    <s v="WI-L10"/>
    <x v="5"/>
    <x v="3"/>
    <n v="109.945242220872"/>
    <n v="6688.3355684364096"/>
    <n v="24078.008046371098"/>
  </r>
  <r>
    <x v="0"/>
    <x v="0"/>
    <x v="0"/>
    <x v="0"/>
    <x v="0"/>
    <s v="DK1_Large"/>
    <x v="0"/>
    <x v="0"/>
    <s v="WI-L10"/>
    <x v="5"/>
    <x v="4"/>
    <n v="108.99470698553399"/>
    <n v="6630.5113416199601"/>
    <n v="23869.840829831799"/>
  </r>
  <r>
    <x v="0"/>
    <x v="0"/>
    <x v="0"/>
    <x v="0"/>
    <x v="0"/>
    <s v="DK1_Large"/>
    <x v="0"/>
    <x v="0"/>
    <s v="WI-L10"/>
    <x v="5"/>
    <x v="5"/>
    <n v="109.945242220872"/>
    <n v="6688.3355684364096"/>
    <n v="24078.008046371098"/>
  </r>
  <r>
    <x v="0"/>
    <x v="0"/>
    <x v="0"/>
    <x v="0"/>
    <x v="0"/>
    <s v="DK1_Large"/>
    <x v="0"/>
    <x v="0"/>
    <s v="WI-L10"/>
    <x v="5"/>
    <x v="6"/>
    <n v="106.935213975632"/>
    <n v="6505.2255168509801"/>
    <n v="23418.8118606635"/>
  </r>
  <r>
    <x v="0"/>
    <x v="0"/>
    <x v="0"/>
    <x v="0"/>
    <x v="0"/>
    <s v="DK1_Large"/>
    <x v="0"/>
    <x v="0"/>
    <s v="WI-L10"/>
    <x v="5"/>
    <x v="7"/>
    <n v="105.509411122624"/>
    <n v="6418.4891766262899"/>
    <n v="23106.561035854698"/>
  </r>
  <r>
    <x v="0"/>
    <x v="0"/>
    <x v="0"/>
    <x v="0"/>
    <x v="0"/>
    <s v="DK1_Large"/>
    <x v="0"/>
    <x v="0"/>
    <s v="WI-L10"/>
    <x v="5"/>
    <x v="8"/>
    <n v="107.093636514856"/>
    <n v="6514.8628879870503"/>
    <n v="23453.506396753401"/>
  </r>
  <r>
    <x v="0"/>
    <x v="0"/>
    <x v="0"/>
    <x v="0"/>
    <x v="0"/>
    <s v="DK1_Large"/>
    <x v="0"/>
    <x v="0"/>
    <s v="WI-L10"/>
    <x v="5"/>
    <x v="9"/>
    <n v="114.85634093679001"/>
    <n v="6987.09407365475"/>
    <n v="25153.538665157099"/>
  </r>
  <r>
    <x v="0"/>
    <x v="0"/>
    <x v="0"/>
    <x v="0"/>
    <x v="0"/>
    <s v="DK1_Large"/>
    <x v="0"/>
    <x v="0"/>
    <s v="WI-L10"/>
    <x v="5"/>
    <x v="10"/>
    <n v="136.08496119269401"/>
    <n v="8278.5018058888709"/>
    <n v="29802.606501199902"/>
  </r>
  <r>
    <x v="0"/>
    <x v="0"/>
    <x v="0"/>
    <x v="0"/>
    <x v="0"/>
    <s v="DK1_Large"/>
    <x v="0"/>
    <x v="0"/>
    <s v="WI-L10"/>
    <x v="5"/>
    <x v="11"/>
    <n v="148.758764330546"/>
    <n v="9049.49149677491"/>
    <n v="32578.169388389699"/>
  </r>
  <r>
    <x v="0"/>
    <x v="0"/>
    <x v="0"/>
    <x v="0"/>
    <x v="0"/>
    <s v="DK1_Large"/>
    <x v="0"/>
    <x v="0"/>
    <s v="WI-L10"/>
    <x v="6"/>
    <x v="0"/>
    <n v="8.5548171180506003"/>
    <n v="520.41804134807796"/>
    <n v="1873.5049488530799"/>
  </r>
  <r>
    <x v="0"/>
    <x v="0"/>
    <x v="0"/>
    <x v="0"/>
    <x v="0"/>
    <s v="DK1_Large"/>
    <x v="0"/>
    <x v="0"/>
    <s v="WI-L10"/>
    <x v="6"/>
    <x v="1"/>
    <n v="4.91109871591794"/>
    <n v="298.75850521834099"/>
    <n v="1075.5306187860299"/>
  </r>
  <r>
    <x v="0"/>
    <x v="0"/>
    <x v="0"/>
    <x v="0"/>
    <x v="0"/>
    <s v="DK1_Large"/>
    <x v="0"/>
    <x v="0"/>
    <s v="WI-L10"/>
    <x v="6"/>
    <x v="2"/>
    <n v="2.6931831667937098"/>
    <n v="163.835309313284"/>
    <n v="589.80711352782203"/>
  </r>
  <r>
    <x v="0"/>
    <x v="0"/>
    <x v="0"/>
    <x v="0"/>
    <x v="0"/>
    <s v="DK1_Large"/>
    <x v="0"/>
    <x v="0"/>
    <s v="WI-L10"/>
    <x v="6"/>
    <x v="3"/>
    <n v="2.3763380883473899"/>
    <n v="144.560567041133"/>
    <n v="520.41804134807796"/>
  </r>
  <r>
    <x v="0"/>
    <x v="0"/>
    <x v="0"/>
    <x v="0"/>
    <x v="0"/>
    <s v="DK1_Large"/>
    <x v="0"/>
    <x v="0"/>
    <s v="WI-L10"/>
    <x v="6"/>
    <x v="4"/>
    <n v="6.1784790297032099"/>
    <n v="375.85747430694499"/>
    <n v="1353.086907505"/>
  </r>
  <r>
    <x v="0"/>
    <x v="0"/>
    <x v="0"/>
    <x v="0"/>
    <x v="0"/>
    <s v="DK1_Large"/>
    <x v="0"/>
    <x v="0"/>
    <s v="WI-L10"/>
    <x v="6"/>
    <x v="5"/>
    <n v="9.3469298141663906"/>
    <n v="568.60489702845496"/>
    <n v="2046.9776293024399"/>
  </r>
  <r>
    <x v="0"/>
    <x v="0"/>
    <x v="0"/>
    <x v="0"/>
    <x v="0"/>
    <s v="DK1_Large"/>
    <x v="0"/>
    <x v="0"/>
    <s v="WI-L10"/>
    <x v="6"/>
    <x v="6"/>
    <n v="13.941183451638"/>
    <n v="848.08865997464602"/>
    <n v="3053.1191759087201"/>
  </r>
  <r>
    <x v="0"/>
    <x v="0"/>
    <x v="0"/>
    <x v="0"/>
    <x v="0"/>
    <s v="DK1_Large"/>
    <x v="0"/>
    <x v="0"/>
    <s v="WI-L10"/>
    <x v="6"/>
    <x v="7"/>
    <n v="23.129690726581199"/>
    <n v="1407.0561858670301"/>
    <n v="5065.4022691212904"/>
  </r>
  <r>
    <x v="0"/>
    <x v="0"/>
    <x v="0"/>
    <x v="0"/>
    <x v="0"/>
    <s v="DK1_Large"/>
    <x v="0"/>
    <x v="0"/>
    <s v="WI-L10"/>
    <x v="6"/>
    <x v="8"/>
    <n v="31.684507844631799"/>
    <n v="1927.4742272151"/>
    <n v="6938.9072179743698"/>
  </r>
  <r>
    <x v="0"/>
    <x v="0"/>
    <x v="0"/>
    <x v="0"/>
    <x v="0"/>
    <s v="DK1_Large"/>
    <x v="0"/>
    <x v="0"/>
    <s v="WI-L10"/>
    <x v="6"/>
    <x v="9"/>
    <n v="30.892395148516002"/>
    <n v="1879.28737153473"/>
    <n v="6765.4345375250095"/>
  </r>
  <r>
    <x v="0"/>
    <x v="0"/>
    <x v="0"/>
    <x v="0"/>
    <x v="0"/>
    <s v="DK1_Large"/>
    <x v="0"/>
    <x v="0"/>
    <s v="WI-L10"/>
    <x v="6"/>
    <x v="10"/>
    <n v="27.248676746383399"/>
    <n v="1657.62783540499"/>
    <n v="5967.4602074579598"/>
  </r>
  <r>
    <x v="0"/>
    <x v="0"/>
    <x v="0"/>
    <x v="0"/>
    <x v="0"/>
    <s v="DK1_Large"/>
    <x v="0"/>
    <x v="0"/>
    <s v="WI-L10"/>
    <x v="6"/>
    <x v="11"/>
    <n v="28.1992119817223"/>
    <n v="1715.45206222144"/>
    <n v="6175.6274239971899"/>
  </r>
  <r>
    <x v="0"/>
    <x v="0"/>
    <x v="0"/>
    <x v="0"/>
    <x v="0"/>
    <s v="DK1_Large"/>
    <x v="0"/>
    <x v="0"/>
    <s v="WI-L10"/>
    <x v="7"/>
    <x v="0"/>
    <n v="202.147160048751"/>
    <n v="12297.2855696324"/>
    <n v="44270.228050676502"/>
  </r>
  <r>
    <x v="0"/>
    <x v="0"/>
    <x v="0"/>
    <x v="0"/>
    <x v="0"/>
    <s v="DK1_Large"/>
    <x v="0"/>
    <x v="0"/>
    <s v="WI-L10"/>
    <x v="7"/>
    <x v="1"/>
    <n v="150.184567183555"/>
    <n v="9136.2278369995893"/>
    <n v="32890.4202131985"/>
  </r>
  <r>
    <x v="0"/>
    <x v="0"/>
    <x v="0"/>
    <x v="0"/>
    <x v="0"/>
    <s v="DK1_Large"/>
    <x v="0"/>
    <x v="0"/>
    <s v="WI-L10"/>
    <x v="7"/>
    <x v="2"/>
    <n v="111.212622534658"/>
    <n v="6765.4345375250095"/>
    <n v="24355.564335089999"/>
  </r>
  <r>
    <x v="0"/>
    <x v="0"/>
    <x v="0"/>
    <x v="0"/>
    <x v="0"/>
    <s v="DK1_Large"/>
    <x v="0"/>
    <x v="0"/>
    <s v="WI-L10"/>
    <x v="7"/>
    <x v="3"/>
    <n v="109.469974603203"/>
    <n v="6659.4234550281799"/>
    <n v="23973.924438101501"/>
  </r>
  <r>
    <x v="0"/>
    <x v="0"/>
    <x v="0"/>
    <x v="0"/>
    <x v="0"/>
    <s v="DK1_Large"/>
    <x v="0"/>
    <x v="0"/>
    <s v="WI-L10"/>
    <x v="7"/>
    <x v="4"/>
    <n v="110.420509838542"/>
    <n v="6717.2476818446403"/>
    <n v="24182.091654640699"/>
  </r>
  <r>
    <x v="0"/>
    <x v="0"/>
    <x v="0"/>
    <x v="0"/>
    <x v="0"/>
    <s v="DK1_Large"/>
    <x v="0"/>
    <x v="0"/>
    <s v="WI-L10"/>
    <x v="7"/>
    <x v="5"/>
    <n v="105.984678740294"/>
    <n v="6447.4012900345197"/>
    <n v="23210.644644124299"/>
  </r>
  <r>
    <x v="0"/>
    <x v="0"/>
    <x v="0"/>
    <x v="0"/>
    <x v="0"/>
    <s v="DK1_Large"/>
    <x v="0"/>
    <x v="0"/>
    <s v="WI-L10"/>
    <x v="7"/>
    <x v="6"/>
    <n v="112.004735230774"/>
    <n v="6813.6213932053897"/>
    <n v="24529.037015539401"/>
  </r>
  <r>
    <x v="0"/>
    <x v="0"/>
    <x v="0"/>
    <x v="0"/>
    <x v="0"/>
    <s v="DK1_Large"/>
    <x v="0"/>
    <x v="0"/>
    <s v="WI-L10"/>
    <x v="7"/>
    <x v="7"/>
    <n v="119.925862191932"/>
    <n v="7295.4899500091697"/>
    <n v="26263.763820033"/>
  </r>
  <r>
    <x v="0"/>
    <x v="0"/>
    <x v="0"/>
    <x v="0"/>
    <x v="0"/>
    <s v="DK1_Large"/>
    <x v="0"/>
    <x v="0"/>
    <s v="WI-L10"/>
    <x v="7"/>
    <x v="8"/>
    <n v="131.490707555222"/>
    <n v="7999.01804294268"/>
    <n v="28796.464954593601"/>
  </r>
  <r>
    <x v="0"/>
    <x v="0"/>
    <x v="0"/>
    <x v="0"/>
    <x v="0"/>
    <s v="DK1_Large"/>
    <x v="0"/>
    <x v="0"/>
    <s v="WI-L10"/>
    <x v="7"/>
    <x v="9"/>
    <n v="166.185243645094"/>
    <n v="10109.602321743199"/>
    <n v="36394.568358275603"/>
  </r>
  <r>
    <x v="0"/>
    <x v="0"/>
    <x v="0"/>
    <x v="0"/>
    <x v="0"/>
    <s v="DK1_Large"/>
    <x v="0"/>
    <x v="0"/>
    <s v="WI-L10"/>
    <x v="7"/>
    <x v="10"/>
    <n v="208.95932923534701"/>
    <n v="12711.6925284836"/>
    <n v="45762.093102541003"/>
  </r>
  <r>
    <x v="0"/>
    <x v="0"/>
    <x v="0"/>
    <x v="0"/>
    <x v="0"/>
    <s v="DK1_Large"/>
    <x v="0"/>
    <x v="0"/>
    <s v="WI-L10"/>
    <x v="7"/>
    <x v="11"/>
    <n v="256.32766846307197"/>
    <n v="15593.2664981702"/>
    <n v="56135.7593934127"/>
  </r>
  <r>
    <x v="0"/>
    <x v="0"/>
    <x v="0"/>
    <x v="0"/>
    <x v="0"/>
    <s v="DK1_Large"/>
    <x v="0"/>
    <x v="0"/>
    <s v="WI-L10"/>
    <x v="8"/>
    <x v="0"/>
    <n v="11.7232679025138"/>
    <n v="713.16546406958798"/>
    <n v="2567.3956706505201"/>
  </r>
  <r>
    <x v="0"/>
    <x v="0"/>
    <x v="0"/>
    <x v="0"/>
    <x v="0"/>
    <s v="DK1_Large"/>
    <x v="0"/>
    <x v="0"/>
    <s v="WI-L10"/>
    <x v="8"/>
    <x v="1"/>
    <n v="22.971268187358099"/>
    <n v="1397.4188147309501"/>
    <n v="5030.7077330314196"/>
  </r>
  <r>
    <x v="0"/>
    <x v="0"/>
    <x v="0"/>
    <x v="0"/>
    <x v="0"/>
    <s v="DK1_Large"/>
    <x v="0"/>
    <x v="0"/>
    <s v="WI-L10"/>
    <x v="8"/>
    <x v="2"/>
    <n v="30.892395148516002"/>
    <n v="1879.28737153473"/>
    <n v="6765.4345375250095"/>
  </r>
  <r>
    <x v="0"/>
    <x v="0"/>
    <x v="0"/>
    <x v="0"/>
    <x v="0"/>
    <s v="DK1_Large"/>
    <x v="0"/>
    <x v="0"/>
    <s v="WI-L10"/>
    <x v="8"/>
    <x v="3"/>
    <n v="40.714592580351898"/>
    <n v="2476.8043819714098"/>
    <n v="8916.4957750970698"/>
  </r>
  <r>
    <x v="0"/>
    <x v="0"/>
    <x v="0"/>
    <x v="0"/>
    <x v="0"/>
    <s v="DK1_Large"/>
    <x v="0"/>
    <x v="0"/>
    <s v="WI-L10"/>
    <x v="8"/>
    <x v="4"/>
    <n v="48.6357195415099"/>
    <n v="2958.6729387751798"/>
    <n v="10651.2225795907"/>
  </r>
  <r>
    <x v="0"/>
    <x v="0"/>
    <x v="0"/>
    <x v="0"/>
    <x v="0"/>
    <s v="DK1_Large"/>
    <x v="0"/>
    <x v="0"/>
    <s v="WI-L10"/>
    <x v="8"/>
    <x v="5"/>
    <n v="62.101635375478402"/>
    <n v="3777.8494853416"/>
    <n v="13600.258147229801"/>
  </r>
  <r>
    <x v="0"/>
    <x v="0"/>
    <x v="0"/>
    <x v="0"/>
    <x v="0"/>
    <s v="DK1_Large"/>
    <x v="0"/>
    <x v="0"/>
    <s v="WI-L10"/>
    <x v="8"/>
    <x v="6"/>
    <n v="79.0528470723564"/>
    <n v="4809.0481969016801"/>
    <n v="17312.573508846101"/>
  </r>
  <r>
    <x v="0"/>
    <x v="0"/>
    <x v="0"/>
    <x v="0"/>
    <x v="0"/>
    <s v="DK1_Large"/>
    <x v="0"/>
    <x v="0"/>
    <s v="WI-L10"/>
    <x v="8"/>
    <x v="7"/>
    <n v="100.756734945929"/>
    <n v="6129.3680425440298"/>
    <n v="22065.7249531585"/>
  </r>
  <r>
    <x v="0"/>
    <x v="0"/>
    <x v="0"/>
    <x v="0"/>
    <x v="0"/>
    <s v="DK1_Large"/>
    <x v="0"/>
    <x v="0"/>
    <s v="WI-L10"/>
    <x v="8"/>
    <x v="8"/>
    <n v="126.421186300081"/>
    <n v="7690.6221665882604"/>
    <n v="27686.239799717699"/>
  </r>
  <r>
    <x v="0"/>
    <x v="0"/>
    <x v="0"/>
    <x v="0"/>
    <x v="0"/>
    <s v="DK1_Large"/>
    <x v="0"/>
    <x v="0"/>
    <s v="WI-L10"/>
    <x v="8"/>
    <x v="9"/>
    <n v="146.065581163753"/>
    <n v="8885.6561874616309"/>
    <n v="31988.362274861898"/>
  </r>
  <r>
    <x v="0"/>
    <x v="0"/>
    <x v="0"/>
    <x v="0"/>
    <x v="0"/>
    <s v="DK1_Large"/>
    <x v="0"/>
    <x v="0"/>
    <s v="WI-L10"/>
    <x v="8"/>
    <x v="10"/>
    <n v="161.43256746839899"/>
    <n v="9820.4811876609492"/>
    <n v="35353.732275579401"/>
  </r>
  <r>
    <x v="0"/>
    <x v="0"/>
    <x v="0"/>
    <x v="0"/>
    <x v="0"/>
    <s v="DK1_Large"/>
    <x v="0"/>
    <x v="0"/>
    <s v="WI-L10"/>
    <x v="8"/>
    <x v="11"/>
    <n v="154.145130664134"/>
    <n v="9377.1621154014792"/>
    <n v="33757.783615445303"/>
  </r>
  <r>
    <x v="0"/>
    <x v="0"/>
    <x v="0"/>
    <x v="0"/>
    <x v="0"/>
    <s v="DK1_Large"/>
    <x v="0"/>
    <x v="0"/>
    <s v="WI-L10"/>
    <x v="9"/>
    <x v="0"/>
    <n v="190.582314685461"/>
    <n v="11593.7574766988"/>
    <n v="41737.526916115901"/>
  </r>
  <r>
    <x v="0"/>
    <x v="0"/>
    <x v="0"/>
    <x v="0"/>
    <x v="0"/>
    <s v="DK1_Large"/>
    <x v="0"/>
    <x v="0"/>
    <s v="WI-L10"/>
    <x v="9"/>
    <x v="1"/>
    <n v="203.73138544098299"/>
    <n v="12393.659280993101"/>
    <n v="44617.173411575197"/>
  </r>
  <r>
    <x v="0"/>
    <x v="0"/>
    <x v="0"/>
    <x v="0"/>
    <x v="0"/>
    <s v="DK1_Large"/>
    <x v="0"/>
    <x v="0"/>
    <s v="WI-L10"/>
    <x v="9"/>
    <x v="2"/>
    <n v="214.028850490488"/>
    <n v="13020.088404837999"/>
    <n v="46872.318257416897"/>
  </r>
  <r>
    <x v="0"/>
    <x v="0"/>
    <x v="0"/>
    <x v="0"/>
    <x v="0"/>
    <s v="DK1_Large"/>
    <x v="0"/>
    <x v="0"/>
    <s v="WI-L10"/>
    <x v="9"/>
    <x v="3"/>
    <n v="220.207329520191"/>
    <n v="13395.945879145"/>
    <n v="48225.405164921904"/>
  </r>
  <r>
    <x v="0"/>
    <x v="0"/>
    <x v="0"/>
    <x v="0"/>
    <x v="0"/>
    <s v="DK1_Large"/>
    <x v="0"/>
    <x v="0"/>
    <s v="WI-L10"/>
    <x v="9"/>
    <x v="4"/>
    <n v="224.64316061843999"/>
    <n v="13665.7922709551"/>
    <n v="49196.852175438296"/>
  </r>
  <r>
    <x v="0"/>
    <x v="0"/>
    <x v="0"/>
    <x v="0"/>
    <x v="0"/>
    <s v="DK1_Large"/>
    <x v="0"/>
    <x v="0"/>
    <s v="WI-L10"/>
    <x v="9"/>
    <x v="5"/>
    <n v="225.75211839300201"/>
    <n v="13733.253868907599"/>
    <n v="49439.713928067402"/>
  </r>
  <r>
    <x v="0"/>
    <x v="0"/>
    <x v="0"/>
    <x v="0"/>
    <x v="0"/>
    <s v="DK1_Large"/>
    <x v="0"/>
    <x v="0"/>
    <s v="WI-L10"/>
    <x v="9"/>
    <x v="6"/>
    <n v="231.93059742270501"/>
    <n v="14109.111343214599"/>
    <n v="50792.800835572401"/>
  </r>
  <r>
    <x v="0"/>
    <x v="0"/>
    <x v="0"/>
    <x v="0"/>
    <x v="0"/>
    <s v="DK1_Large"/>
    <x v="0"/>
    <x v="0"/>
    <s v="WI-L10"/>
    <x v="9"/>
    <x v="7"/>
    <n v="237.95065391318499"/>
    <n v="14475.3314463854"/>
    <n v="52111.193206987497"/>
  </r>
  <r>
    <x v="0"/>
    <x v="0"/>
    <x v="0"/>
    <x v="0"/>
    <x v="0"/>
    <s v="DK1_Large"/>
    <x v="0"/>
    <x v="0"/>
    <s v="WI-L10"/>
    <x v="9"/>
    <x v="8"/>
    <n v="246.34704849201199"/>
    <n v="14986.1121165974"/>
    <n v="53950.0036197507"/>
  </r>
  <r>
    <x v="0"/>
    <x v="0"/>
    <x v="0"/>
    <x v="0"/>
    <x v="0"/>
    <s v="DK1_Large"/>
    <x v="0"/>
    <x v="0"/>
    <s v="WI-L10"/>
    <x v="9"/>
    <x v="9"/>
    <n v="246.18862595278901"/>
    <n v="14976.474745461401"/>
    <n v="53915.309083660897"/>
  </r>
  <r>
    <x v="0"/>
    <x v="0"/>
    <x v="0"/>
    <x v="0"/>
    <x v="0"/>
    <s v="DK1_Large"/>
    <x v="0"/>
    <x v="0"/>
    <s v="WI-L10"/>
    <x v="9"/>
    <x v="10"/>
    <n v="234.30693551105199"/>
    <n v="14253.6719102557"/>
    <n v="51313.218876920502"/>
  </r>
  <r>
    <x v="0"/>
    <x v="0"/>
    <x v="0"/>
    <x v="0"/>
    <x v="0"/>
    <s v="DK1_Large"/>
    <x v="0"/>
    <x v="0"/>
    <s v="WI-L10"/>
    <x v="9"/>
    <x v="11"/>
    <n v="229.39583679513399"/>
    <n v="13954.9134050373"/>
    <n v="50237.688258134498"/>
  </r>
  <r>
    <x v="0"/>
    <x v="0"/>
    <x v="0"/>
    <x v="0"/>
    <x v="0"/>
    <s v="DK1_Large"/>
    <x v="0"/>
    <x v="0"/>
    <s v="WI-L10"/>
    <x v="10"/>
    <x v="0"/>
    <n v="330.15257174106398"/>
    <n v="20084.281447581401"/>
    <n v="72303.413211292995"/>
  </r>
  <r>
    <x v="0"/>
    <x v="0"/>
    <x v="0"/>
    <x v="0"/>
    <x v="0"/>
    <s v="DK1_Large"/>
    <x v="0"/>
    <x v="0"/>
    <s v="WI-L10"/>
    <x v="10"/>
    <x v="1"/>
    <n v="320.80564192689701"/>
    <n v="19515.6765505529"/>
    <n v="70256.435581990503"/>
  </r>
  <r>
    <x v="0"/>
    <x v="0"/>
    <x v="0"/>
    <x v="0"/>
    <x v="0"/>
    <s v="DK1_Large"/>
    <x v="0"/>
    <x v="0"/>
    <s v="WI-L10"/>
    <x v="10"/>
    <x v="2"/>
    <n v="312.09240226962402"/>
    <n v="18985.6211380688"/>
    <n v="68348.2360970476"/>
  </r>
  <r>
    <x v="0"/>
    <x v="0"/>
    <x v="0"/>
    <x v="0"/>
    <x v="0"/>
    <s v="DK1_Large"/>
    <x v="0"/>
    <x v="0"/>
    <s v="WI-L10"/>
    <x v="10"/>
    <x v="3"/>
    <n v="306.38919085758999"/>
    <n v="18638.675777169999"/>
    <n v="67099.232797812205"/>
  </r>
  <r>
    <x v="0"/>
    <x v="0"/>
    <x v="0"/>
    <x v="0"/>
    <x v="0"/>
    <s v="DK1_Large"/>
    <x v="0"/>
    <x v="0"/>
    <s v="WI-L10"/>
    <x v="10"/>
    <x v="4"/>
    <n v="295.29961311196899"/>
    <n v="17964.059797644801"/>
    <n v="64670.615271521201"/>
  </r>
  <r>
    <x v="0"/>
    <x v="0"/>
    <x v="0"/>
    <x v="0"/>
    <x v="0"/>
    <s v="DK1_Large"/>
    <x v="0"/>
    <x v="0"/>
    <s v="WI-L10"/>
    <x v="10"/>
    <x v="5"/>
    <n v="283.734767748678"/>
    <n v="17260.531704711299"/>
    <n v="62137.914136960499"/>
  </r>
  <r>
    <x v="0"/>
    <x v="0"/>
    <x v="0"/>
    <x v="0"/>
    <x v="0"/>
    <s v="DK1_Large"/>
    <x v="0"/>
    <x v="0"/>
    <s v="WI-L10"/>
    <x v="10"/>
    <x v="6"/>
    <n v="290.86378201372003"/>
    <n v="17694.2134058347"/>
    <n v="63699.168261004699"/>
  </r>
  <r>
    <x v="0"/>
    <x v="0"/>
    <x v="0"/>
    <x v="0"/>
    <x v="0"/>
    <s v="DK1_Large"/>
    <x v="0"/>
    <x v="0"/>
    <s v="WI-L10"/>
    <x v="10"/>
    <x v="7"/>
    <n v="276.60575348363602"/>
    <n v="16826.850003587901"/>
    <n v="60576.660012916298"/>
  </r>
  <r>
    <x v="0"/>
    <x v="0"/>
    <x v="0"/>
    <x v="0"/>
    <x v="0"/>
    <s v="DK1_Large"/>
    <x v="0"/>
    <x v="0"/>
    <s v="WI-L10"/>
    <x v="10"/>
    <x v="8"/>
    <n v="276.92259856208199"/>
    <n v="16846.124745860001"/>
    <n v="60646.049085095998"/>
  </r>
  <r>
    <x v="0"/>
    <x v="0"/>
    <x v="0"/>
    <x v="0"/>
    <x v="0"/>
    <s v="DK1_Large"/>
    <x v="0"/>
    <x v="0"/>
    <s v="WI-L10"/>
    <x v="10"/>
    <x v="9"/>
    <n v="303.06231753390398"/>
    <n v="18436.290983312501"/>
    <n v="66370.647539924903"/>
  </r>
  <r>
    <x v="0"/>
    <x v="0"/>
    <x v="0"/>
    <x v="0"/>
    <x v="0"/>
    <s v="DK1_Large"/>
    <x v="0"/>
    <x v="0"/>
    <s v="WI-L10"/>
    <x v="10"/>
    <x v="10"/>
    <n v="319.22141653466599"/>
    <n v="19419.302839192202"/>
    <n v="69909.490221091794"/>
  </r>
  <r>
    <x v="0"/>
    <x v="0"/>
    <x v="0"/>
    <x v="0"/>
    <x v="0"/>
    <s v="DK1_Large"/>
    <x v="0"/>
    <x v="0"/>
    <s v="WI-L10"/>
    <x v="10"/>
    <x v="11"/>
    <n v="327.45938857427001"/>
    <n v="19920.4461382681"/>
    <n v="71713.606097765107"/>
  </r>
  <r>
    <x v="0"/>
    <x v="0"/>
    <x v="0"/>
    <x v="0"/>
    <x v="0"/>
    <s v="DK1_Large"/>
    <x v="0"/>
    <x v="0"/>
    <s v="WI-L10"/>
    <x v="11"/>
    <x v="0"/>
    <n v="234.62378058949901"/>
    <n v="14272.9466525278"/>
    <n v="51382.607949100202"/>
  </r>
  <r>
    <x v="0"/>
    <x v="0"/>
    <x v="0"/>
    <x v="0"/>
    <x v="0"/>
    <s v="DK1_Large"/>
    <x v="0"/>
    <x v="0"/>
    <s v="WI-L10"/>
    <x v="11"/>
    <x v="1"/>
    <n v="256.32766846307197"/>
    <n v="15593.2664981702"/>
    <n v="56135.7593934127"/>
  </r>
  <r>
    <x v="0"/>
    <x v="0"/>
    <x v="0"/>
    <x v="0"/>
    <x v="0"/>
    <s v="DK1_Large"/>
    <x v="0"/>
    <x v="0"/>
    <s v="WI-L10"/>
    <x v="11"/>
    <x v="2"/>
    <n v="273.91257031684199"/>
    <n v="16663.0146942746"/>
    <n v="59986.852899388497"/>
  </r>
  <r>
    <x v="0"/>
    <x v="0"/>
    <x v="0"/>
    <x v="0"/>
    <x v="0"/>
    <s v="DK1_Large"/>
    <x v="0"/>
    <x v="0"/>
    <s v="WI-L10"/>
    <x v="11"/>
    <x v="3"/>
    <n v="309.87448672049902"/>
    <n v="18850.697942163701"/>
    <n v="67862.512591789404"/>
  </r>
  <r>
    <x v="0"/>
    <x v="0"/>
    <x v="0"/>
    <x v="0"/>
    <x v="0"/>
    <s v="DK1_Large"/>
    <x v="0"/>
    <x v="0"/>
    <s v="WI-L10"/>
    <x v="11"/>
    <x v="4"/>
    <n v="328.72676888805501"/>
    <n v="19997.545107356698"/>
    <n v="71991.162386484095"/>
  </r>
  <r>
    <x v="0"/>
    <x v="0"/>
    <x v="0"/>
    <x v="0"/>
    <x v="0"/>
    <s v="DK1_Large"/>
    <x v="0"/>
    <x v="0"/>
    <s v="WI-L10"/>
    <x v="11"/>
    <x v="5"/>
    <n v="347.10378343794201"/>
    <n v="21115.480159141502"/>
    <n v="76015.728572909196"/>
  </r>
  <r>
    <x v="0"/>
    <x v="0"/>
    <x v="0"/>
    <x v="0"/>
    <x v="0"/>
    <s v="DK1_Large"/>
    <x v="0"/>
    <x v="0"/>
    <s v="WI-L10"/>
    <x v="11"/>
    <x v="6"/>
    <n v="354.70806532065302"/>
    <n v="21578.073973673101"/>
    <n v="77681.066305223096"/>
  </r>
  <r>
    <x v="0"/>
    <x v="0"/>
    <x v="0"/>
    <x v="0"/>
    <x v="0"/>
    <s v="DK1_Large"/>
    <x v="0"/>
    <x v="0"/>
    <s v="WI-L10"/>
    <x v="11"/>
    <x v="7"/>
    <n v="350.27223422240502"/>
    <n v="21308.227581863001"/>
    <n v="76709.619294706703"/>
  </r>
  <r>
    <x v="0"/>
    <x v="0"/>
    <x v="0"/>
    <x v="0"/>
    <x v="0"/>
    <s v="DK1_Large"/>
    <x v="0"/>
    <x v="0"/>
    <s v="WI-L10"/>
    <x v="11"/>
    <x v="8"/>
    <n v="322.07302224068297"/>
    <n v="19592.775519641498"/>
    <n v="70533.991870709506"/>
  </r>
  <r>
    <x v="0"/>
    <x v="0"/>
    <x v="0"/>
    <x v="0"/>
    <x v="0"/>
    <s v="DK1_Large"/>
    <x v="0"/>
    <x v="0"/>
    <s v="WI-L10"/>
    <x v="11"/>
    <x v="9"/>
    <n v="304.01285276924199"/>
    <n v="18494.115210128901"/>
    <n v="66578.814756464097"/>
  </r>
  <r>
    <x v="0"/>
    <x v="0"/>
    <x v="0"/>
    <x v="0"/>
    <x v="0"/>
    <s v="DK1_Large"/>
    <x v="0"/>
    <x v="0"/>
    <s v="WI-L10"/>
    <x v="11"/>
    <x v="10"/>
    <n v="271.69465476771802"/>
    <n v="16528.0914983695"/>
    <n v="59501.129394130199"/>
  </r>
  <r>
    <x v="0"/>
    <x v="0"/>
    <x v="0"/>
    <x v="0"/>
    <x v="0"/>
    <s v="DK1_Large"/>
    <x v="0"/>
    <x v="0"/>
    <s v="WI-L10"/>
    <x v="11"/>
    <x v="11"/>
    <n v="249.04023165880599"/>
    <n v="15149.947425910699"/>
    <n v="54539.810733278602"/>
  </r>
  <r>
    <x v="0"/>
    <x v="0"/>
    <x v="0"/>
    <x v="0"/>
    <x v="0"/>
    <s v="DK1_MedSmall"/>
    <x v="0"/>
    <x v="0"/>
    <s v="DK1_Rural_WI"/>
    <x v="0"/>
    <x v="0"/>
    <n v="141.94546480135901"/>
    <n v="8635.01577541599"/>
    <n v="31086.056791497602"/>
  </r>
  <r>
    <x v="0"/>
    <x v="0"/>
    <x v="0"/>
    <x v="0"/>
    <x v="0"/>
    <s v="DK1_MedSmall"/>
    <x v="0"/>
    <x v="0"/>
    <s v="DK1_Rural_WI"/>
    <x v="0"/>
    <x v="1"/>
    <n v="122.84801546197799"/>
    <n v="7473.2542739369901"/>
    <n v="26903.7153861732"/>
  </r>
  <r>
    <x v="0"/>
    <x v="0"/>
    <x v="0"/>
    <x v="0"/>
    <x v="0"/>
    <s v="DK1_MedSmall"/>
    <x v="0"/>
    <x v="0"/>
    <s v="DK1_Rural_WI"/>
    <x v="0"/>
    <x v="2"/>
    <n v="125.786084591114"/>
    <n v="7651.9868126260699"/>
    <n v="27547.152525453901"/>
  </r>
  <r>
    <x v="0"/>
    <x v="0"/>
    <x v="0"/>
    <x v="0"/>
    <x v="0"/>
    <s v="DK1_MedSmall"/>
    <x v="0"/>
    <x v="0"/>
    <s v="DK1_Rural_WI"/>
    <x v="0"/>
    <x v="3"/>
    <n v="149.65789626533899"/>
    <n v="9104.1886894748095"/>
    <n v="32775.079282109298"/>
  </r>
  <r>
    <x v="0"/>
    <x v="0"/>
    <x v="0"/>
    <x v="0"/>
    <x v="0"/>
    <s v="DK1_MedSmall"/>
    <x v="0"/>
    <x v="0"/>
    <s v="DK1_Rural_WI"/>
    <x v="0"/>
    <x v="4"/>
    <n v="161.41017278188099"/>
    <n v="9819.1188442311195"/>
    <n v="35348.827839231999"/>
  </r>
  <r>
    <x v="0"/>
    <x v="0"/>
    <x v="0"/>
    <x v="0"/>
    <x v="0"/>
    <s v="DK1_MedSmall"/>
    <x v="0"/>
    <x v="0"/>
    <s v="DK1_Rural_WI"/>
    <x v="0"/>
    <x v="5"/>
    <n v="170.958897451572"/>
    <n v="10399.999594970601"/>
    <n v="37439.998541894201"/>
  </r>
  <r>
    <x v="0"/>
    <x v="0"/>
    <x v="0"/>
    <x v="0"/>
    <x v="0"/>
    <s v="DK1_MedSmall"/>
    <x v="0"/>
    <x v="0"/>
    <s v="DK1_Rural_WI"/>
    <x v="0"/>
    <x v="6"/>
    <n v="170.40800948985901"/>
    <n v="10366.4872439664"/>
    <n v="37319.354078279102"/>
  </r>
  <r>
    <x v="0"/>
    <x v="0"/>
    <x v="0"/>
    <x v="0"/>
    <x v="0"/>
    <s v="DK1_MedSmall"/>
    <x v="0"/>
    <x v="0"/>
    <s v="DK1_Rural_WI"/>
    <x v="0"/>
    <x v="7"/>
    <n v="166.55179375786901"/>
    <n v="10131.900786937"/>
    <n v="36474.842832973198"/>
  </r>
  <r>
    <x v="0"/>
    <x v="0"/>
    <x v="0"/>
    <x v="0"/>
    <x v="0"/>
    <s v="DK1_MedSmall"/>
    <x v="0"/>
    <x v="0"/>
    <s v="DK1_Rural_WI"/>
    <x v="0"/>
    <x v="8"/>
    <n v="164.348241911017"/>
    <n v="9997.8513829201893"/>
    <n v="35992.2649785127"/>
  </r>
  <r>
    <x v="0"/>
    <x v="0"/>
    <x v="0"/>
    <x v="0"/>
    <x v="0"/>
    <s v="DK1_MedSmall"/>
    <x v="0"/>
    <x v="0"/>
    <s v="DK1_Rural_WI"/>
    <x v="0"/>
    <x v="9"/>
    <n v="151.494189471049"/>
    <n v="9215.8965261554895"/>
    <n v="33177.227494159699"/>
  </r>
  <r>
    <x v="0"/>
    <x v="0"/>
    <x v="0"/>
    <x v="0"/>
    <x v="0"/>
    <s v="DK1_MedSmall"/>
    <x v="0"/>
    <x v="0"/>
    <s v="DK1_Rural_WI"/>
    <x v="0"/>
    <x v="10"/>
    <n v="148.372491021343"/>
    <n v="9025.9932037983399"/>
    <n v="32493.575533674"/>
  </r>
  <r>
    <x v="0"/>
    <x v="0"/>
    <x v="0"/>
    <x v="0"/>
    <x v="0"/>
    <s v="DK1_MedSmall"/>
    <x v="0"/>
    <x v="0"/>
    <s v="DK1_Rural_WI"/>
    <x v="0"/>
    <x v="11"/>
    <n v="161.04291414073899"/>
    <n v="9796.7772768949799"/>
    <n v="35268.398196821901"/>
  </r>
  <r>
    <x v="0"/>
    <x v="0"/>
    <x v="0"/>
    <x v="0"/>
    <x v="0"/>
    <s v="DK1_MedSmall"/>
    <x v="0"/>
    <x v="0"/>
    <s v="DK1_Rural_WI"/>
    <x v="1"/>
    <x v="0"/>
    <n v="4.2234743731322801"/>
    <n v="256.928024365547"/>
    <n v="924.94088771596898"/>
  </r>
  <r>
    <x v="0"/>
    <x v="0"/>
    <x v="0"/>
    <x v="0"/>
    <x v="0"/>
    <s v="DK1_MedSmall"/>
    <x v="0"/>
    <x v="0"/>
    <s v="DK1_Rural_WI"/>
    <x v="1"/>
    <x v="1"/>
    <n v="3.8562157319903401"/>
    <n v="234.586457029412"/>
    <n v="844.51124530588504"/>
  </r>
  <r>
    <x v="0"/>
    <x v="0"/>
    <x v="0"/>
    <x v="0"/>
    <x v="0"/>
    <s v="DK1_MedSmall"/>
    <x v="0"/>
    <x v="0"/>
    <s v="DK1_Rural_WI"/>
    <x v="1"/>
    <x v="2"/>
    <n v="1.8362932057096899"/>
    <n v="111.707836680673"/>
    <n v="402.14821205042102"/>
  </r>
  <r>
    <x v="0"/>
    <x v="0"/>
    <x v="0"/>
    <x v="0"/>
    <x v="0"/>
    <s v="DK1_MedSmall"/>
    <x v="0"/>
    <x v="0"/>
    <s v="DK1_Rural_WI"/>
    <x v="1"/>
    <x v="3"/>
    <n v="2.0199225262806499"/>
    <n v="122.87862034874"/>
    <n v="442.36303325546299"/>
  </r>
  <r>
    <x v="0"/>
    <x v="0"/>
    <x v="0"/>
    <x v="0"/>
    <x v="0"/>
    <s v="DK1_MedSmall"/>
    <x v="0"/>
    <x v="0"/>
    <s v="DK1_Rural_WI"/>
    <x v="1"/>
    <x v="4"/>
    <n v="3.67258641141937"/>
    <n v="223.415673361345"/>
    <n v="804.29642410084205"/>
  </r>
  <r>
    <x v="0"/>
    <x v="0"/>
    <x v="0"/>
    <x v="0"/>
    <x v="0"/>
    <s v="DK1_MedSmall"/>
    <x v="0"/>
    <x v="0"/>
    <s v="DK1_Rural_WI"/>
    <x v="1"/>
    <x v="5"/>
    <n v="6.4270262199839001"/>
    <n v="390.97742838235399"/>
    <n v="1407.5187421764699"/>
  </r>
  <r>
    <x v="0"/>
    <x v="0"/>
    <x v="0"/>
    <x v="0"/>
    <x v="0"/>
    <s v="DK1_MedSmall"/>
    <x v="0"/>
    <x v="0"/>
    <s v="DK1_Rural_WI"/>
    <x v="1"/>
    <x v="6"/>
    <n v="13.037681760538799"/>
    <n v="793.12564043277496"/>
    <n v="2855.25230555799"/>
  </r>
  <r>
    <x v="0"/>
    <x v="0"/>
    <x v="0"/>
    <x v="0"/>
    <x v="0"/>
    <s v="DK1_MedSmall"/>
    <x v="0"/>
    <x v="0"/>
    <s v="DK1_Rural_WI"/>
    <x v="1"/>
    <x v="7"/>
    <n v="27.1771394445033"/>
    <n v="1653.2759828739499"/>
    <n v="5951.79353834623"/>
  </r>
  <r>
    <x v="0"/>
    <x v="0"/>
    <x v="0"/>
    <x v="0"/>
    <x v="0"/>
    <s v="DK1_MedSmall"/>
    <x v="0"/>
    <x v="0"/>
    <s v="DK1_Rural_WI"/>
    <x v="1"/>
    <x v="8"/>
    <n v="44.9891835398873"/>
    <n v="2736.8419986764802"/>
    <n v="9852.6311952353208"/>
  </r>
  <r>
    <x v="0"/>
    <x v="0"/>
    <x v="0"/>
    <x v="0"/>
    <x v="0"/>
    <s v="DK1_MedSmall"/>
    <x v="0"/>
    <x v="0"/>
    <s v="DK1_Rural_WI"/>
    <x v="1"/>
    <x v="9"/>
    <n v="66.473814046690606"/>
    <n v="4043.82368784035"/>
    <n v="14557.7652762252"/>
  </r>
  <r>
    <x v="0"/>
    <x v="0"/>
    <x v="0"/>
    <x v="0"/>
    <x v="0"/>
    <s v="DK1_MedSmall"/>
    <x v="0"/>
    <x v="0"/>
    <s v="DK1_Rural_WI"/>
    <x v="1"/>
    <x v="10"/>
    <n v="88.325703194635906"/>
    <n v="5373.1469443403503"/>
    <n v="19343.328999625301"/>
  </r>
  <r>
    <x v="0"/>
    <x v="0"/>
    <x v="0"/>
    <x v="0"/>
    <x v="0"/>
    <s v="DK1_MedSmall"/>
    <x v="0"/>
    <x v="0"/>
    <s v="DK1_Rural_WI"/>
    <x v="1"/>
    <x v="11"/>
    <n v="108.157669816301"/>
    <n v="6579.5915804916103"/>
    <n v="23686.529689769799"/>
  </r>
  <r>
    <x v="0"/>
    <x v="0"/>
    <x v="0"/>
    <x v="0"/>
    <x v="0"/>
    <s v="DK1_MedSmall"/>
    <x v="0"/>
    <x v="0"/>
    <s v="DK1_Rural_WI"/>
    <x v="2"/>
    <x v="0"/>
    <n v="51.416209759871201"/>
    <n v="3127.8194270588301"/>
    <n v="11260.149937411799"/>
  </r>
  <r>
    <x v="0"/>
    <x v="0"/>
    <x v="0"/>
    <x v="0"/>
    <x v="0"/>
    <s v="DK1_MedSmall"/>
    <x v="0"/>
    <x v="0"/>
    <s v="DK1_Rural_WI"/>
    <x v="2"/>
    <x v="1"/>
    <n v="52.517985683296999"/>
    <n v="3194.8441290672299"/>
    <n v="11501.438864641999"/>
  </r>
  <r>
    <x v="0"/>
    <x v="0"/>
    <x v="0"/>
    <x v="0"/>
    <x v="0"/>
    <s v="DK1_MedSmall"/>
    <x v="0"/>
    <x v="0"/>
    <s v="DK1_Rural_WI"/>
    <x v="2"/>
    <x v="2"/>
    <n v="53.436132286151903"/>
    <n v="3250.6980474075699"/>
    <n v="11702.5129706673"/>
  </r>
  <r>
    <x v="0"/>
    <x v="0"/>
    <x v="0"/>
    <x v="0"/>
    <x v="0"/>
    <s v="DK1_MedSmall"/>
    <x v="0"/>
    <x v="0"/>
    <s v="DK1_Rural_WI"/>
    <x v="2"/>
    <x v="3"/>
    <n v="54.905166850719603"/>
    <n v="3340.0643167521098"/>
    <n v="12024.231540307601"/>
  </r>
  <r>
    <x v="0"/>
    <x v="0"/>
    <x v="0"/>
    <x v="0"/>
    <x v="0"/>
    <s v="DK1_MedSmall"/>
    <x v="0"/>
    <x v="0"/>
    <s v="DK1_Rural_WI"/>
    <x v="2"/>
    <x v="4"/>
    <n v="57.108718697571199"/>
    <n v="3474.1137207689198"/>
    <n v="12506.809394768101"/>
  </r>
  <r>
    <x v="0"/>
    <x v="0"/>
    <x v="0"/>
    <x v="0"/>
    <x v="0"/>
    <s v="DK1_MedSmall"/>
    <x v="0"/>
    <x v="0"/>
    <s v="DK1_Rural_WI"/>
    <x v="2"/>
    <x v="5"/>
    <n v="62.433968994129302"/>
    <n v="3798.0664471428699"/>
    <n v="13673.039209714299"/>
  </r>
  <r>
    <x v="0"/>
    <x v="0"/>
    <x v="0"/>
    <x v="0"/>
    <x v="0"/>
    <s v="DK1_MedSmall"/>
    <x v="0"/>
    <x v="0"/>
    <s v="DK1_Rural_WI"/>
    <x v="2"/>
    <x v="6"/>
    <n v="65.372038123264801"/>
    <n v="3976.7989858319402"/>
    <n v="14316.476348995"/>
  </r>
  <r>
    <x v="0"/>
    <x v="0"/>
    <x v="0"/>
    <x v="0"/>
    <x v="0"/>
    <s v="DK1_MedSmall"/>
    <x v="0"/>
    <x v="0"/>
    <s v="DK1_Rural_WI"/>
    <x v="2"/>
    <x v="7"/>
    <n v="71.615435022677701"/>
    <n v="4356.6056305462298"/>
    <n v="15683.780269966401"/>
  </r>
  <r>
    <x v="0"/>
    <x v="0"/>
    <x v="0"/>
    <x v="0"/>
    <x v="0"/>
    <s v="DK1_MedSmall"/>
    <x v="0"/>
    <x v="0"/>
    <s v="DK1_Rural_WI"/>
    <x v="2"/>
    <x v="8"/>
    <n v="74.002616190100298"/>
    <n v="4501.8258182311001"/>
    <n v="16206.572945632"/>
  </r>
  <r>
    <x v="0"/>
    <x v="0"/>
    <x v="0"/>
    <x v="0"/>
    <x v="0"/>
    <s v="DK1_MedSmall"/>
    <x v="0"/>
    <x v="0"/>
    <s v="DK1_Rural_WI"/>
    <x v="2"/>
    <x v="9"/>
    <n v="74.737133472384201"/>
    <n v="4546.5089529033703"/>
    <n v="16367.432230452099"/>
  </r>
  <r>
    <x v="0"/>
    <x v="0"/>
    <x v="0"/>
    <x v="0"/>
    <x v="0"/>
    <s v="DK1_MedSmall"/>
    <x v="0"/>
    <x v="0"/>
    <s v="DK1_Rural_WI"/>
    <x v="2"/>
    <x v="10"/>
    <n v="76.022538716381007"/>
    <n v="4624.7044385798399"/>
    <n v="16648.935978887399"/>
  </r>
  <r>
    <x v="0"/>
    <x v="0"/>
    <x v="0"/>
    <x v="0"/>
    <x v="0"/>
    <s v="DK1_MedSmall"/>
    <x v="0"/>
    <x v="0"/>
    <s v="DK1_Rural_WI"/>
    <x v="2"/>
    <x v="11"/>
    <n v="81.164159692368102"/>
    <n v="4937.4863812857302"/>
    <n v="17774.950972628601"/>
  </r>
  <r>
    <x v="0"/>
    <x v="0"/>
    <x v="0"/>
    <x v="0"/>
    <x v="0"/>
    <s v="DK1_MedSmall"/>
    <x v="0"/>
    <x v="0"/>
    <s v="DK1_Rural_WI"/>
    <x v="3"/>
    <x v="0"/>
    <n v="11.568647195971"/>
    <n v="703.759371088237"/>
    <n v="2533.5337359176501"/>
  </r>
  <r>
    <x v="0"/>
    <x v="0"/>
    <x v="0"/>
    <x v="0"/>
    <x v="0"/>
    <s v="DK1_MedSmall"/>
    <x v="0"/>
    <x v="0"/>
    <s v="DK1_Rural_WI"/>
    <x v="3"/>
    <x v="1"/>
    <n v="6.9779141816968098"/>
    <n v="424.48977938655599"/>
    <n v="1528.1632057915999"/>
  </r>
  <r>
    <x v="0"/>
    <x v="0"/>
    <x v="0"/>
    <x v="0"/>
    <x v="0"/>
    <s v="DK1_MedSmall"/>
    <x v="0"/>
    <x v="0"/>
    <s v="DK1_Rural_WI"/>
    <x v="3"/>
    <x v="2"/>
    <n v="4.5907330142742202"/>
    <n v="279.26959170168101"/>
    <n v="1005.37053012605"/>
  </r>
  <r>
    <x v="0"/>
    <x v="0"/>
    <x v="0"/>
    <x v="0"/>
    <x v="0"/>
    <s v="DK1_MedSmall"/>
    <x v="0"/>
    <x v="0"/>
    <s v="DK1_Rural_WI"/>
    <x v="3"/>
    <x v="3"/>
    <n v="3.8562157319903401"/>
    <n v="234.586457029412"/>
    <n v="844.51124530588504"/>
  </r>
  <r>
    <x v="0"/>
    <x v="0"/>
    <x v="0"/>
    <x v="0"/>
    <x v="0"/>
    <s v="DK1_MedSmall"/>
    <x v="0"/>
    <x v="0"/>
    <s v="DK1_Rural_WI"/>
    <x v="3"/>
    <x v="4"/>
    <n v="4.9579916554161496"/>
    <n v="301.61115903781598"/>
    <n v="1085.8001725361401"/>
  </r>
  <r>
    <x v="0"/>
    <x v="0"/>
    <x v="0"/>
    <x v="0"/>
    <x v="0"/>
    <s v="DK1_MedSmall"/>
    <x v="0"/>
    <x v="0"/>
    <s v="DK1_Rural_WI"/>
    <x v="3"/>
    <x v="5"/>
    <n v="6.9779141816968098"/>
    <n v="424.48977938655599"/>
    <n v="1528.1632057915999"/>
  </r>
  <r>
    <x v="0"/>
    <x v="0"/>
    <x v="0"/>
    <x v="0"/>
    <x v="0"/>
    <s v="DK1_MedSmall"/>
    <x v="0"/>
    <x v="0"/>
    <s v="DK1_Rural_WI"/>
    <x v="3"/>
    <x v="6"/>
    <n v="8.0796901051226193"/>
    <n v="491.51448139495898"/>
    <n v="1769.4521330218499"/>
  </r>
  <r>
    <x v="0"/>
    <x v="0"/>
    <x v="0"/>
    <x v="0"/>
    <x v="0"/>
    <s v="DK1_MedSmall"/>
    <x v="0"/>
    <x v="0"/>
    <s v="DK1_Rural_WI"/>
    <x v="3"/>
    <x v="7"/>
    <n v="10.0996126314033"/>
    <n v="614.39310174369905"/>
    <n v="2211.8151662773198"/>
  </r>
  <r>
    <x v="0"/>
    <x v="0"/>
    <x v="0"/>
    <x v="0"/>
    <x v="0"/>
    <s v="DK1_MedSmall"/>
    <x v="0"/>
    <x v="0"/>
    <s v="DK1_Rural_WI"/>
    <x v="3"/>
    <x v="8"/>
    <n v="16.3430095308162"/>
    <n v="994.19974645798595"/>
    <n v="3579.11908724875"/>
  </r>
  <r>
    <x v="0"/>
    <x v="0"/>
    <x v="0"/>
    <x v="0"/>
    <x v="0"/>
    <s v="DK1_MedSmall"/>
    <x v="0"/>
    <x v="0"/>
    <s v="DK1_Rural_WI"/>
    <x v="3"/>
    <x v="9"/>
    <n v="17.628414774812999"/>
    <n v="1072.39523213446"/>
    <n v="3860.6228356840402"/>
  </r>
  <r>
    <x v="0"/>
    <x v="0"/>
    <x v="0"/>
    <x v="0"/>
    <x v="0"/>
    <s v="DK1_MedSmall"/>
    <x v="0"/>
    <x v="0"/>
    <s v="DK1_Rural_WI"/>
    <x v="3"/>
    <x v="10"/>
    <n v="16.3430095308162"/>
    <n v="994.19974645798595"/>
    <n v="3579.11908724875"/>
  </r>
  <r>
    <x v="0"/>
    <x v="0"/>
    <x v="0"/>
    <x v="0"/>
    <x v="0"/>
    <s v="DK1_MedSmall"/>
    <x v="0"/>
    <x v="0"/>
    <s v="DK1_Rural_WI"/>
    <x v="3"/>
    <x v="11"/>
    <n v="19.097449339380699"/>
    <n v="1161.7615014789901"/>
    <n v="4182.3414053243796"/>
  </r>
  <r>
    <x v="0"/>
    <x v="0"/>
    <x v="0"/>
    <x v="0"/>
    <x v="0"/>
    <s v="DK1_MedSmall"/>
    <x v="0"/>
    <x v="0"/>
    <s v="DK1_Rural_WI"/>
    <x v="4"/>
    <x v="0"/>
    <n v="248.45047073251999"/>
    <n v="15114.070302894999"/>
    <n v="54410.653090421998"/>
  </r>
  <r>
    <x v="0"/>
    <x v="0"/>
    <x v="0"/>
    <x v="0"/>
    <x v="0"/>
    <s v="DK1_MedSmall"/>
    <x v="0"/>
    <x v="0"/>
    <s v="DK1_Rural_WI"/>
    <x v="4"/>
    <x v="1"/>
    <n v="249.91950529708799"/>
    <n v="15203.4365722395"/>
    <n v="54732.371660062301"/>
  </r>
  <r>
    <x v="0"/>
    <x v="0"/>
    <x v="0"/>
    <x v="0"/>
    <x v="0"/>
    <s v="DK1_MedSmall"/>
    <x v="0"/>
    <x v="0"/>
    <s v="DK1_Rural_WI"/>
    <x v="4"/>
    <x v="2"/>
    <n v="261.120893851917"/>
    <n v="15884.854375991599"/>
    <n v="57185.475753569903"/>
  </r>
  <r>
    <x v="0"/>
    <x v="0"/>
    <x v="0"/>
    <x v="0"/>
    <x v="0"/>
    <s v="DK1_MedSmall"/>
    <x v="0"/>
    <x v="0"/>
    <s v="DK1_Rural_WI"/>
    <x v="4"/>
    <x v="3"/>
    <n v="255.244755593646"/>
    <n v="15527.3892986135"/>
    <n v="55898.601475008603"/>
  </r>
  <r>
    <x v="0"/>
    <x v="0"/>
    <x v="0"/>
    <x v="0"/>
    <x v="0"/>
    <s v="DK1_MedSmall"/>
    <x v="0"/>
    <x v="0"/>
    <s v="DK1_Rural_WI"/>
    <x v="4"/>
    <x v="4"/>
    <n v="248.266841411949"/>
    <n v="15102.899519226899"/>
    <n v="54370.438269216997"/>
  </r>
  <r>
    <x v="0"/>
    <x v="0"/>
    <x v="0"/>
    <x v="0"/>
    <x v="0"/>
    <s v="DK1_MedSmall"/>
    <x v="0"/>
    <x v="0"/>
    <s v="DK1_Rural_WI"/>
    <x v="4"/>
    <x v="5"/>
    <n v="247.899582770808"/>
    <n v="15080.5579518908"/>
    <n v="54290.008626806899"/>
  </r>
  <r>
    <x v="0"/>
    <x v="0"/>
    <x v="0"/>
    <x v="0"/>
    <x v="0"/>
    <s v="DK1_MedSmall"/>
    <x v="0"/>
    <x v="0"/>
    <s v="DK1_Rural_WI"/>
    <x v="4"/>
    <x v="6"/>
    <n v="264.42622162219499"/>
    <n v="16085.9284820169"/>
    <n v="57909.342535260701"/>
  </r>
  <r>
    <x v="0"/>
    <x v="0"/>
    <x v="0"/>
    <x v="0"/>
    <x v="0"/>
    <s v="DK1_MedSmall"/>
    <x v="0"/>
    <x v="0"/>
    <s v="DK1_Rural_WI"/>
    <x v="4"/>
    <x v="7"/>
    <n v="281.68737775586601"/>
    <n v="17135.9821468152"/>
    <n v="61689.535728534604"/>
  </r>
  <r>
    <x v="0"/>
    <x v="0"/>
    <x v="0"/>
    <x v="0"/>
    <x v="0"/>
    <s v="DK1_MedSmall"/>
    <x v="0"/>
    <x v="0"/>
    <s v="DK1_Rural_WI"/>
    <x v="4"/>
    <x v="8"/>
    <n v="298.581275248395"/>
    <n v="18163.694244277402"/>
    <n v="65389.299279398503"/>
  </r>
  <r>
    <x v="0"/>
    <x v="0"/>
    <x v="0"/>
    <x v="0"/>
    <x v="0"/>
    <s v="DK1_MedSmall"/>
    <x v="0"/>
    <x v="0"/>
    <s v="DK1_Rural_WI"/>
    <x v="4"/>
    <x v="9"/>
    <n v="321.71856964033702"/>
    <n v="19571.2129864538"/>
    <n v="70456.3667512338"/>
  </r>
  <r>
    <x v="0"/>
    <x v="0"/>
    <x v="0"/>
    <x v="0"/>
    <x v="0"/>
    <s v="DK1_MedSmall"/>
    <x v="0"/>
    <x v="0"/>
    <s v="DK1_Rural_WI"/>
    <x v="4"/>
    <x v="10"/>
    <n v="340.81601897971802"/>
    <n v="20732.974487932799"/>
    <n v="74638.708156558205"/>
  </r>
  <r>
    <x v="0"/>
    <x v="0"/>
    <x v="0"/>
    <x v="0"/>
    <x v="0"/>
    <s v="DK1_MedSmall"/>
    <x v="0"/>
    <x v="0"/>
    <s v="DK1_Rural_WI"/>
    <x v="4"/>
    <x v="11"/>
    <n v="354.95547666368202"/>
    <n v="21593.124830373999"/>
    <n v="77735.249389346398"/>
  </r>
  <r>
    <x v="0"/>
    <x v="0"/>
    <x v="0"/>
    <x v="0"/>
    <x v="0"/>
    <s v="DK1_MedSmall"/>
    <x v="0"/>
    <x v="0"/>
    <s v="DK1_Rural_WI"/>
    <x v="5"/>
    <x v="0"/>
    <n v="125.969713911684"/>
    <n v="7663.1575962941397"/>
    <n v="27587.367346658899"/>
  </r>
  <r>
    <x v="0"/>
    <x v="0"/>
    <x v="0"/>
    <x v="0"/>
    <x v="0"/>
    <s v="DK1_MedSmall"/>
    <x v="0"/>
    <x v="0"/>
    <s v="DK1_Rural_WI"/>
    <x v="5"/>
    <x v="1"/>
    <n v="124.133420705975"/>
    <n v="7551.4497596134597"/>
    <n v="27185.219134608498"/>
  </r>
  <r>
    <x v="0"/>
    <x v="0"/>
    <x v="0"/>
    <x v="0"/>
    <x v="0"/>
    <s v="DK1_MedSmall"/>
    <x v="0"/>
    <x v="0"/>
    <s v="DK1_Rural_WI"/>
    <x v="5"/>
    <x v="2"/>
    <n v="124.684308667688"/>
    <n v="7584.9621106176701"/>
    <n v="27305.863598223601"/>
  </r>
  <r>
    <x v="0"/>
    <x v="0"/>
    <x v="0"/>
    <x v="0"/>
    <x v="0"/>
    <s v="DK1_MedSmall"/>
    <x v="0"/>
    <x v="0"/>
    <s v="DK1_Rural_WI"/>
    <x v="5"/>
    <x v="3"/>
    <n v="127.438748476252"/>
    <n v="7752.52386563868"/>
    <n v="27909.085916299198"/>
  </r>
  <r>
    <x v="0"/>
    <x v="0"/>
    <x v="0"/>
    <x v="0"/>
    <x v="0"/>
    <s v="DK1_MedSmall"/>
    <x v="0"/>
    <x v="0"/>
    <s v="DK1_Rural_WI"/>
    <x v="5"/>
    <x v="4"/>
    <n v="126.336972552826"/>
    <n v="7685.4991636302702"/>
    <n v="27667.796989069"/>
  </r>
  <r>
    <x v="0"/>
    <x v="0"/>
    <x v="0"/>
    <x v="0"/>
    <x v="0"/>
    <s v="DK1_MedSmall"/>
    <x v="0"/>
    <x v="0"/>
    <s v="DK1_Rural_WI"/>
    <x v="5"/>
    <x v="5"/>
    <n v="127.438748476252"/>
    <n v="7752.52386563868"/>
    <n v="27909.085916299198"/>
  </r>
  <r>
    <x v="0"/>
    <x v="0"/>
    <x v="0"/>
    <x v="0"/>
    <x v="0"/>
    <s v="DK1_MedSmall"/>
    <x v="0"/>
    <x v="0"/>
    <s v="DK1_Rural_WI"/>
    <x v="5"/>
    <x v="6"/>
    <n v="123.949791385404"/>
    <n v="7540.2789759453999"/>
    <n v="27145.004313403399"/>
  </r>
  <r>
    <x v="0"/>
    <x v="0"/>
    <x v="0"/>
    <x v="0"/>
    <x v="0"/>
    <s v="DK1_MedSmall"/>
    <x v="0"/>
    <x v="0"/>
    <s v="DK1_Rural_WI"/>
    <x v="5"/>
    <x v="7"/>
    <n v="122.29712750026501"/>
    <n v="7439.7419229327897"/>
    <n v="26783.070922558101"/>
  </r>
  <r>
    <x v="0"/>
    <x v="0"/>
    <x v="0"/>
    <x v="0"/>
    <x v="0"/>
    <s v="DK1_MedSmall"/>
    <x v="0"/>
    <x v="0"/>
    <s v="DK1_Rural_WI"/>
    <x v="5"/>
    <x v="8"/>
    <n v="124.133420705975"/>
    <n v="7551.4497596134597"/>
    <n v="27185.219134608498"/>
  </r>
  <r>
    <x v="0"/>
    <x v="0"/>
    <x v="0"/>
    <x v="0"/>
    <x v="0"/>
    <s v="DK1_MedSmall"/>
    <x v="0"/>
    <x v="0"/>
    <s v="DK1_Rural_WI"/>
    <x v="5"/>
    <x v="9"/>
    <n v="133.131257413952"/>
    <n v="8098.8181593487598"/>
    <n v="29155.7453736555"/>
  </r>
  <r>
    <x v="0"/>
    <x v="0"/>
    <x v="0"/>
    <x v="0"/>
    <x v="0"/>
    <s v="DK1_MedSmall"/>
    <x v="0"/>
    <x v="0"/>
    <s v="DK1_Rural_WI"/>
    <x v="5"/>
    <x v="10"/>
    <n v="157.737586370462"/>
    <n v="9595.7031708697705"/>
    <n v="34544.531415131198"/>
  </r>
  <r>
    <x v="0"/>
    <x v="0"/>
    <x v="0"/>
    <x v="0"/>
    <x v="0"/>
    <s v="DK1_MedSmall"/>
    <x v="0"/>
    <x v="0"/>
    <s v="DK1_Rural_WI"/>
    <x v="5"/>
    <x v="11"/>
    <n v="172.42793201613901"/>
    <n v="10489.365864315199"/>
    <n v="37761.717111534497"/>
  </r>
  <r>
    <x v="0"/>
    <x v="0"/>
    <x v="0"/>
    <x v="0"/>
    <x v="0"/>
    <s v="DK1_MedSmall"/>
    <x v="0"/>
    <x v="0"/>
    <s v="DK1_Rural_WI"/>
    <x v="6"/>
    <x v="0"/>
    <n v="9.9159833108322992"/>
    <n v="603.22231807563196"/>
    <n v="2171.6003450722701"/>
  </r>
  <r>
    <x v="0"/>
    <x v="0"/>
    <x v="0"/>
    <x v="0"/>
    <x v="0"/>
    <s v="DK1_MedSmall"/>
    <x v="0"/>
    <x v="0"/>
    <s v="DK1_Rural_WI"/>
    <x v="6"/>
    <x v="1"/>
    <n v="5.6925089377000297"/>
    <n v="346.29429371008501"/>
    <n v="1246.65945735631"/>
  </r>
  <r>
    <x v="0"/>
    <x v="0"/>
    <x v="0"/>
    <x v="0"/>
    <x v="0"/>
    <s v="DK1_MedSmall"/>
    <x v="0"/>
    <x v="0"/>
    <s v="DK1_Rural_WI"/>
    <x v="6"/>
    <x v="2"/>
    <n v="3.1216984497064701"/>
    <n v="189.903322357143"/>
    <n v="683.65196048571602"/>
  </r>
  <r>
    <x v="0"/>
    <x v="0"/>
    <x v="0"/>
    <x v="0"/>
    <x v="0"/>
    <s v="DK1_MedSmall"/>
    <x v="0"/>
    <x v="0"/>
    <s v="DK1_Rural_WI"/>
    <x v="6"/>
    <x v="3"/>
    <n v="2.7544398085645301"/>
    <n v="167.56175502100899"/>
    <n v="603.22231807563196"/>
  </r>
  <r>
    <x v="0"/>
    <x v="0"/>
    <x v="0"/>
    <x v="0"/>
    <x v="0"/>
    <s v="DK1_MedSmall"/>
    <x v="0"/>
    <x v="0"/>
    <s v="DK1_Rural_WI"/>
    <x v="6"/>
    <x v="4"/>
    <n v="7.1615435022677802"/>
    <n v="435.66056305462303"/>
    <n v="1568.3780269966401"/>
  </r>
  <r>
    <x v="0"/>
    <x v="0"/>
    <x v="0"/>
    <x v="0"/>
    <x v="0"/>
    <s v="DK1_MedSmall"/>
    <x v="0"/>
    <x v="0"/>
    <s v="DK1_Rural_WI"/>
    <x v="6"/>
    <x v="5"/>
    <n v="10.8341299136871"/>
    <n v="659.07623641596797"/>
    <n v="2372.67445109748"/>
  </r>
  <r>
    <x v="0"/>
    <x v="0"/>
    <x v="0"/>
    <x v="0"/>
    <x v="0"/>
    <s v="DK1_MedSmall"/>
    <x v="0"/>
    <x v="0"/>
    <s v="DK1_Rural_WI"/>
    <x v="6"/>
    <x v="6"/>
    <n v="16.1593802102452"/>
    <n v="983.02896278991898"/>
    <n v="3538.9042660437099"/>
  </r>
  <r>
    <x v="0"/>
    <x v="0"/>
    <x v="0"/>
    <x v="0"/>
    <x v="0"/>
    <s v="DK1_MedSmall"/>
    <x v="0"/>
    <x v="0"/>
    <s v="DK1_Rural_WI"/>
    <x v="6"/>
    <x v="7"/>
    <n v="26.809880803361398"/>
    <n v="1630.9344155378201"/>
    <n v="5871.3638959361497"/>
  </r>
  <r>
    <x v="0"/>
    <x v="0"/>
    <x v="0"/>
    <x v="0"/>
    <x v="0"/>
    <s v="DK1_MedSmall"/>
    <x v="0"/>
    <x v="0"/>
    <s v="DK1_Rural_WI"/>
    <x v="6"/>
    <x v="8"/>
    <n v="36.725864114193698"/>
    <n v="2234.1567336134499"/>
    <n v="8042.9642410084198"/>
  </r>
  <r>
    <x v="0"/>
    <x v="0"/>
    <x v="0"/>
    <x v="0"/>
    <x v="0"/>
    <s v="DK1_MedSmall"/>
    <x v="0"/>
    <x v="0"/>
    <s v="DK1_Rural_WI"/>
    <x v="6"/>
    <x v="9"/>
    <n v="35.8077175113389"/>
    <n v="2178.3028152731099"/>
    <n v="7841.8901349832104"/>
  </r>
  <r>
    <x v="0"/>
    <x v="0"/>
    <x v="0"/>
    <x v="0"/>
    <x v="0"/>
    <s v="DK1_MedSmall"/>
    <x v="0"/>
    <x v="0"/>
    <s v="DK1_Rural_WI"/>
    <x v="6"/>
    <x v="10"/>
    <n v="31.584243138206599"/>
    <n v="1921.3747909075701"/>
    <n v="6916.94924726725"/>
  </r>
  <r>
    <x v="0"/>
    <x v="0"/>
    <x v="0"/>
    <x v="0"/>
    <x v="0"/>
    <s v="DK1_MedSmall"/>
    <x v="0"/>
    <x v="0"/>
    <s v="DK1_Rural_WI"/>
    <x v="6"/>
    <x v="11"/>
    <n v="32.6860190616324"/>
    <n v="1988.3994929159701"/>
    <n v="7158.2381744975"/>
  </r>
  <r>
    <x v="0"/>
    <x v="0"/>
    <x v="0"/>
    <x v="0"/>
    <x v="0"/>
    <s v="DK1_MedSmall"/>
    <x v="0"/>
    <x v="0"/>
    <s v="DK1_Rural_WI"/>
    <x v="7"/>
    <x v="0"/>
    <n v="234.31101304855599"/>
    <n v="14253.919960453801"/>
    <n v="51314.111857633798"/>
  </r>
  <r>
    <x v="0"/>
    <x v="0"/>
    <x v="0"/>
    <x v="0"/>
    <x v="0"/>
    <s v="DK1_MedSmall"/>
    <x v="0"/>
    <x v="0"/>
    <s v="DK1_Rural_WI"/>
    <x v="7"/>
    <x v="1"/>
    <n v="174.080595901278"/>
    <n v="10589.9029173278"/>
    <n v="38123.650502379904"/>
  </r>
  <r>
    <x v="0"/>
    <x v="0"/>
    <x v="0"/>
    <x v="0"/>
    <x v="0"/>
    <s v="DK1_MedSmall"/>
    <x v="0"/>
    <x v="0"/>
    <s v="DK1_Rural_WI"/>
    <x v="7"/>
    <x v="2"/>
    <n v="128.90778304081999"/>
    <n v="7841.8901349832104"/>
    <n v="28230.8044859396"/>
  </r>
  <r>
    <x v="0"/>
    <x v="0"/>
    <x v="0"/>
    <x v="0"/>
    <x v="0"/>
    <s v="DK1_MedSmall"/>
    <x v="0"/>
    <x v="0"/>
    <s v="DK1_Rural_WI"/>
    <x v="7"/>
    <x v="3"/>
    <n v="126.887860514539"/>
    <n v="7719.0115146344697"/>
    <n v="27788.441452684099"/>
  </r>
  <r>
    <x v="0"/>
    <x v="0"/>
    <x v="0"/>
    <x v="0"/>
    <x v="0"/>
    <s v="DK1_MedSmall"/>
    <x v="0"/>
    <x v="0"/>
    <s v="DK1_Rural_WI"/>
    <x v="7"/>
    <x v="4"/>
    <n v="127.989636437965"/>
    <n v="7786.0362166428804"/>
    <n v="28029.730379914399"/>
  </r>
  <r>
    <x v="0"/>
    <x v="0"/>
    <x v="0"/>
    <x v="0"/>
    <x v="0"/>
    <s v="DK1_MedSmall"/>
    <x v="0"/>
    <x v="0"/>
    <s v="DK1_Rural_WI"/>
    <x v="7"/>
    <x v="5"/>
    <n v="122.84801546197799"/>
    <n v="7473.2542739369901"/>
    <n v="26903.7153861732"/>
  </r>
  <r>
    <x v="0"/>
    <x v="0"/>
    <x v="0"/>
    <x v="0"/>
    <x v="0"/>
    <s v="DK1_MedSmall"/>
    <x v="0"/>
    <x v="0"/>
    <s v="DK1_Rural_WI"/>
    <x v="7"/>
    <x v="6"/>
    <n v="129.82592964367501"/>
    <n v="7897.7440533235504"/>
    <n v="28431.8785919648"/>
  </r>
  <r>
    <x v="0"/>
    <x v="0"/>
    <x v="0"/>
    <x v="0"/>
    <x v="0"/>
    <s v="DK1_MedSmall"/>
    <x v="0"/>
    <x v="0"/>
    <s v="DK1_Rural_WI"/>
    <x v="7"/>
    <x v="7"/>
    <n v="139.007395672223"/>
    <n v="8456.2832367269093"/>
    <n v="30442.619652216901"/>
  </r>
  <r>
    <x v="0"/>
    <x v="0"/>
    <x v="0"/>
    <x v="0"/>
    <x v="0"/>
    <s v="DK1_MedSmall"/>
    <x v="0"/>
    <x v="0"/>
    <s v="DK1_Rural_WI"/>
    <x v="7"/>
    <x v="8"/>
    <n v="152.41233607390399"/>
    <n v="9271.7504444958195"/>
    <n v="33378.301600184997"/>
  </r>
  <r>
    <x v="0"/>
    <x v="0"/>
    <x v="0"/>
    <x v="0"/>
    <x v="0"/>
    <s v="DK1_MedSmall"/>
    <x v="0"/>
    <x v="0"/>
    <s v="DK1_Rural_WI"/>
    <x v="7"/>
    <x v="9"/>
    <n v="192.62715727894599"/>
    <n v="11718.152067802601"/>
    <n v="42185.347444089202"/>
  </r>
  <r>
    <x v="0"/>
    <x v="0"/>
    <x v="0"/>
    <x v="0"/>
    <x v="0"/>
    <s v="DK1_MedSmall"/>
    <x v="0"/>
    <x v="0"/>
    <s v="DK1_Rural_WI"/>
    <x v="7"/>
    <x v="10"/>
    <n v="242.20707383310801"/>
    <n v="14734.2636581807"/>
    <n v="53043.349169450601"/>
  </r>
  <r>
    <x v="0"/>
    <x v="0"/>
    <x v="0"/>
    <x v="0"/>
    <x v="0"/>
    <s v="DK1_MedSmall"/>
    <x v="0"/>
    <x v="0"/>
    <s v="DK1_Rural_WI"/>
    <x v="7"/>
    <x v="11"/>
    <n v="297.112240683827"/>
    <n v="18074.327974932799"/>
    <n v="65067.5807097582"/>
  </r>
  <r>
    <x v="0"/>
    <x v="0"/>
    <x v="0"/>
    <x v="0"/>
    <x v="0"/>
    <s v="DK1_MedSmall"/>
    <x v="0"/>
    <x v="0"/>
    <s v="DK1_Rural_WI"/>
    <x v="8"/>
    <x v="0"/>
    <n v="13.5885697222517"/>
    <n v="826.63799143697702"/>
    <n v="2975.89676917312"/>
  </r>
  <r>
    <x v="0"/>
    <x v="0"/>
    <x v="0"/>
    <x v="0"/>
    <x v="0"/>
    <s v="DK1_MedSmall"/>
    <x v="0"/>
    <x v="0"/>
    <s v="DK1_Rural_WI"/>
    <x v="8"/>
    <x v="1"/>
    <n v="26.626251482790401"/>
    <n v="1619.76363186975"/>
    <n v="5831.14907473111"/>
  </r>
  <r>
    <x v="0"/>
    <x v="0"/>
    <x v="0"/>
    <x v="0"/>
    <x v="0"/>
    <s v="DK1_MedSmall"/>
    <x v="0"/>
    <x v="0"/>
    <s v="DK1_Rural_WI"/>
    <x v="8"/>
    <x v="2"/>
    <n v="35.8077175113389"/>
    <n v="2178.3028152731099"/>
    <n v="7841.8901349832104"/>
  </r>
  <r>
    <x v="0"/>
    <x v="0"/>
    <x v="0"/>
    <x v="0"/>
    <x v="0"/>
    <s v="DK1_MedSmall"/>
    <x v="0"/>
    <x v="0"/>
    <s v="DK1_Rural_WI"/>
    <x v="8"/>
    <x v="3"/>
    <n v="47.192735386738903"/>
    <n v="2870.8914026932798"/>
    <n v="10335.209049695801"/>
  </r>
  <r>
    <x v="0"/>
    <x v="0"/>
    <x v="0"/>
    <x v="0"/>
    <x v="0"/>
    <s v="DK1_MedSmall"/>
    <x v="0"/>
    <x v="0"/>
    <s v="DK1_Rural_WI"/>
    <x v="8"/>
    <x v="4"/>
    <n v="56.374201415287402"/>
    <n v="3429.4305860966501"/>
    <n v="12345.9501099479"/>
  </r>
  <r>
    <x v="0"/>
    <x v="0"/>
    <x v="0"/>
    <x v="0"/>
    <x v="0"/>
    <s v="DK1_MedSmall"/>
    <x v="0"/>
    <x v="0"/>
    <s v="DK1_Rural_WI"/>
    <x v="8"/>
    <x v="5"/>
    <n v="71.982693663819703"/>
    <n v="4378.9471978823703"/>
    <n v="15764.2099123765"/>
  </r>
  <r>
    <x v="0"/>
    <x v="0"/>
    <x v="0"/>
    <x v="0"/>
    <x v="0"/>
    <s v="DK1_MedSmall"/>
    <x v="0"/>
    <x v="0"/>
    <s v="DK1_Rural_WI"/>
    <x v="8"/>
    <x v="6"/>
    <n v="91.631030964913293"/>
    <n v="5574.2210503655597"/>
    <n v="20067.195781316001"/>
  </r>
  <r>
    <x v="0"/>
    <x v="0"/>
    <x v="0"/>
    <x v="0"/>
    <x v="0"/>
    <s v="DK1_MedSmall"/>
    <x v="0"/>
    <x v="0"/>
    <s v="DK1_Rural_WI"/>
    <x v="8"/>
    <x v="7"/>
    <n v="116.78824788313599"/>
    <n v="7104.6184128907698"/>
    <n v="25576.626286406801"/>
  </r>
  <r>
    <x v="0"/>
    <x v="0"/>
    <x v="0"/>
    <x v="0"/>
    <x v="0"/>
    <s v="DK1_MedSmall"/>
    <x v="0"/>
    <x v="0"/>
    <s v="DK1_Rural_WI"/>
    <x v="8"/>
    <x v="8"/>
    <n v="146.53619781563299"/>
    <n v="8914.2853671176708"/>
    <n v="32091.4273216236"/>
  </r>
  <r>
    <x v="0"/>
    <x v="0"/>
    <x v="0"/>
    <x v="0"/>
    <x v="0"/>
    <s v="DK1_MedSmall"/>
    <x v="0"/>
    <x v="0"/>
    <s v="DK1_Rural_WI"/>
    <x v="8"/>
    <x v="9"/>
    <n v="169.30623356643301"/>
    <n v="10299.462541958001"/>
    <n v="37078.065151048802"/>
  </r>
  <r>
    <x v="0"/>
    <x v="0"/>
    <x v="0"/>
    <x v="0"/>
    <x v="0"/>
    <s v="DK1_MedSmall"/>
    <x v="0"/>
    <x v="0"/>
    <s v="DK1_Rural_WI"/>
    <x v="8"/>
    <x v="10"/>
    <n v="187.11827766181699"/>
    <n v="11383.028557760499"/>
    <n v="40978.902807937899"/>
  </r>
  <r>
    <x v="0"/>
    <x v="0"/>
    <x v="0"/>
    <x v="0"/>
    <x v="0"/>
    <s v="DK1_MedSmall"/>
    <x v="0"/>
    <x v="0"/>
    <s v="DK1_Rural_WI"/>
    <x v="8"/>
    <x v="11"/>
    <n v="178.67132891555201"/>
    <n v="10869.1725090294"/>
    <n v="39129.021032506003"/>
  </r>
  <r>
    <x v="0"/>
    <x v="0"/>
    <x v="0"/>
    <x v="0"/>
    <x v="0"/>
    <s v="DK1_MedSmall"/>
    <x v="0"/>
    <x v="0"/>
    <s v="DK1_Rural_WI"/>
    <x v="9"/>
    <x v="0"/>
    <n v="220.906072646875"/>
    <n v="13438.4527526849"/>
    <n v="48378.429909665698"/>
  </r>
  <r>
    <x v="0"/>
    <x v="0"/>
    <x v="0"/>
    <x v="0"/>
    <x v="0"/>
    <s v="DK1_MedSmall"/>
    <x v="0"/>
    <x v="0"/>
    <s v="DK1_Rural_WI"/>
    <x v="9"/>
    <x v="1"/>
    <n v="236.147306254266"/>
    <n v="14365.627797134501"/>
    <n v="51716.260069684198"/>
  </r>
  <r>
    <x v="0"/>
    <x v="0"/>
    <x v="0"/>
    <x v="0"/>
    <x v="0"/>
    <s v="DK1_MedSmall"/>
    <x v="0"/>
    <x v="0"/>
    <s v="DK1_Rural_WI"/>
    <x v="9"/>
    <x v="2"/>
    <n v="248.08321209137901"/>
    <n v="15091.7287355589"/>
    <n v="54330.2234480119"/>
  </r>
  <r>
    <x v="0"/>
    <x v="0"/>
    <x v="0"/>
    <x v="0"/>
    <x v="0"/>
    <s v="DK1_MedSmall"/>
    <x v="0"/>
    <x v="0"/>
    <s v="DK1_Rural_WI"/>
    <x v="9"/>
    <x v="3"/>
    <n v="255.244755593646"/>
    <n v="15527.3892986135"/>
    <n v="55898.601475008603"/>
  </r>
  <r>
    <x v="0"/>
    <x v="0"/>
    <x v="0"/>
    <x v="0"/>
    <x v="0"/>
    <s v="DK1_MedSmall"/>
    <x v="0"/>
    <x v="0"/>
    <s v="DK1_Rural_WI"/>
    <x v="9"/>
    <x v="4"/>
    <n v="260.386376569633"/>
    <n v="15840.1712413194"/>
    <n v="57024.6164687497"/>
  </r>
  <r>
    <x v="0"/>
    <x v="0"/>
    <x v="0"/>
    <x v="0"/>
    <x v="0"/>
    <s v="DK1_MedSmall"/>
    <x v="0"/>
    <x v="0"/>
    <s v="DK1_Rural_WI"/>
    <x v="9"/>
    <x v="5"/>
    <n v="261.67178181362999"/>
    <n v="15918.3667269958"/>
    <n v="57306.120217185002"/>
  </r>
  <r>
    <x v="0"/>
    <x v="0"/>
    <x v="0"/>
    <x v="0"/>
    <x v="0"/>
    <s v="DK1_MedSmall"/>
    <x v="0"/>
    <x v="0"/>
    <s v="DK1_Rural_WI"/>
    <x v="9"/>
    <x v="6"/>
    <n v="268.83332531589798"/>
    <n v="16354.027290050501"/>
    <n v="58874.498244181697"/>
  </r>
  <r>
    <x v="0"/>
    <x v="0"/>
    <x v="0"/>
    <x v="0"/>
    <x v="0"/>
    <s v="DK1_MedSmall"/>
    <x v="0"/>
    <x v="0"/>
    <s v="DK1_Rural_WI"/>
    <x v="9"/>
    <x v="7"/>
    <n v="275.81123949759501"/>
    <n v="16778.517069436999"/>
    <n v="60402.661449973297"/>
  </r>
  <r>
    <x v="0"/>
    <x v="0"/>
    <x v="0"/>
    <x v="0"/>
    <x v="0"/>
    <s v="DK1_MedSmall"/>
    <x v="0"/>
    <x v="0"/>
    <s v="DK1_Rural_WI"/>
    <x v="9"/>
    <x v="8"/>
    <n v="285.54359348785601"/>
    <n v="17370.5686038446"/>
    <n v="62534.046973840501"/>
  </r>
  <r>
    <x v="0"/>
    <x v="0"/>
    <x v="0"/>
    <x v="0"/>
    <x v="0"/>
    <s v="DK1_MedSmall"/>
    <x v="0"/>
    <x v="0"/>
    <s v="DK1_Rural_WI"/>
    <x v="9"/>
    <x v="9"/>
    <n v="285.359964167285"/>
    <n v="17359.397820176498"/>
    <n v="62493.832152635499"/>
  </r>
  <r>
    <x v="0"/>
    <x v="0"/>
    <x v="0"/>
    <x v="0"/>
    <x v="0"/>
    <s v="DK1_MedSmall"/>
    <x v="0"/>
    <x v="0"/>
    <s v="DK1_Rural_WI"/>
    <x v="9"/>
    <x v="10"/>
    <n v="271.58776512446298"/>
    <n v="16521.589045071501"/>
    <n v="59477.720562257302"/>
  </r>
  <r>
    <x v="0"/>
    <x v="0"/>
    <x v="0"/>
    <x v="0"/>
    <x v="0"/>
    <s v="DK1_MedSmall"/>
    <x v="0"/>
    <x v="0"/>
    <s v="DK1_Rural_WI"/>
    <x v="9"/>
    <x v="11"/>
    <n v="265.89525618676203"/>
    <n v="16175.2947513614"/>
    <n v="58231.061104900997"/>
  </r>
  <r>
    <x v="0"/>
    <x v="0"/>
    <x v="0"/>
    <x v="0"/>
    <x v="0"/>
    <s v="DK1_MedSmall"/>
    <x v="0"/>
    <x v="0"/>
    <s v="DK1_Rural_WI"/>
    <x v="10"/>
    <x v="0"/>
    <n v="382.68350406989799"/>
    <n v="23279.913164252201"/>
    <n v="83807.687391307802"/>
  </r>
  <r>
    <x v="0"/>
    <x v="0"/>
    <x v="0"/>
    <x v="0"/>
    <x v="0"/>
    <s v="DK1_MedSmall"/>
    <x v="0"/>
    <x v="0"/>
    <s v="DK1_Rural_WI"/>
    <x v="10"/>
    <x v="1"/>
    <n v="371.84937415621101"/>
    <n v="22620.836927836201"/>
    <n v="81435.012940210305"/>
  </r>
  <r>
    <x v="0"/>
    <x v="0"/>
    <x v="0"/>
    <x v="0"/>
    <x v="0"/>
    <s v="DK1_MedSmall"/>
    <x v="0"/>
    <x v="0"/>
    <s v="DK1_Rural_WI"/>
    <x v="10"/>
    <x v="2"/>
    <n v="361.74976152480798"/>
    <n v="22006.443826092502"/>
    <n v="79223.197773933003"/>
  </r>
  <r>
    <x v="0"/>
    <x v="0"/>
    <x v="0"/>
    <x v="0"/>
    <x v="0"/>
    <s v="DK1_MedSmall"/>
    <x v="0"/>
    <x v="0"/>
    <s v="DK1_Rural_WI"/>
    <x v="10"/>
    <x v="3"/>
    <n v="355.13910598425298"/>
    <n v="21604.295614042101"/>
    <n v="77775.464210551494"/>
  </r>
  <r>
    <x v="0"/>
    <x v="0"/>
    <x v="0"/>
    <x v="0"/>
    <x v="0"/>
    <s v="DK1_MedSmall"/>
    <x v="0"/>
    <x v="0"/>
    <s v="DK1_Rural_WI"/>
    <x v="10"/>
    <x v="4"/>
    <n v="342.28505354428501"/>
    <n v="20822.340757277401"/>
    <n v="74960.426726198493"/>
  </r>
  <r>
    <x v="0"/>
    <x v="0"/>
    <x v="0"/>
    <x v="0"/>
    <x v="0"/>
    <s v="DK1_MedSmall"/>
    <x v="0"/>
    <x v="0"/>
    <s v="DK1_Rural_WI"/>
    <x v="10"/>
    <x v="5"/>
    <n v="328.88011314260501"/>
    <n v="20006.873549508498"/>
    <n v="72024.744778230393"/>
  </r>
  <r>
    <x v="0"/>
    <x v="0"/>
    <x v="0"/>
    <x v="0"/>
    <x v="0"/>
    <s v="DK1_MedSmall"/>
    <x v="0"/>
    <x v="0"/>
    <s v="DK1_Rural_WI"/>
    <x v="10"/>
    <x v="6"/>
    <n v="337.14343256829801"/>
    <n v="20509.558814571501"/>
    <n v="73834.411732457302"/>
  </r>
  <r>
    <x v="0"/>
    <x v="0"/>
    <x v="0"/>
    <x v="0"/>
    <x v="0"/>
    <s v="DK1_MedSmall"/>
    <x v="0"/>
    <x v="0"/>
    <s v="DK1_Rural_WI"/>
    <x v="10"/>
    <x v="7"/>
    <n v="320.61679371691099"/>
    <n v="19504.188284445401"/>
    <n v="70215.0778240035"/>
  </r>
  <r>
    <x v="0"/>
    <x v="0"/>
    <x v="0"/>
    <x v="0"/>
    <x v="0"/>
    <s v="DK1_MedSmall"/>
    <x v="0"/>
    <x v="0"/>
    <s v="DK1_Rural_WI"/>
    <x v="10"/>
    <x v="8"/>
    <n v="320.98405235805302"/>
    <n v="19526.529851781601"/>
    <n v="70295.507466413605"/>
  </r>
  <r>
    <x v="0"/>
    <x v="0"/>
    <x v="0"/>
    <x v="0"/>
    <x v="0"/>
    <s v="DK1_MedSmall"/>
    <x v="0"/>
    <x v="0"/>
    <s v="DK1_Rural_WI"/>
    <x v="10"/>
    <x v="9"/>
    <n v="351.28289025226297"/>
    <n v="21369.709157012701"/>
    <n v="76930.952965245597"/>
  </r>
  <r>
    <x v="0"/>
    <x v="0"/>
    <x v="0"/>
    <x v="0"/>
    <x v="0"/>
    <s v="DK1_MedSmall"/>
    <x v="0"/>
    <x v="0"/>
    <s v="DK1_Rural_WI"/>
    <x v="10"/>
    <x v="10"/>
    <n v="370.013080950502"/>
    <n v="22509.129091155501"/>
    <n v="81032.864728159897"/>
  </r>
  <r>
    <x v="0"/>
    <x v="0"/>
    <x v="0"/>
    <x v="0"/>
    <x v="0"/>
    <s v="DK1_MedSmall"/>
    <x v="0"/>
    <x v="0"/>
    <s v="DK1_Rural_WI"/>
    <x v="10"/>
    <x v="11"/>
    <n v="379.56180562019199"/>
    <n v="23090.009841895"/>
    <n v="83124.035430822099"/>
  </r>
  <r>
    <x v="0"/>
    <x v="0"/>
    <x v="0"/>
    <x v="0"/>
    <x v="0"/>
    <s v="DK1_MedSmall"/>
    <x v="0"/>
    <x v="0"/>
    <s v="DK1_Rural_WI"/>
    <x v="11"/>
    <x v="0"/>
    <n v="271.95502376560398"/>
    <n v="16543.930612407599"/>
    <n v="59558.1502046674"/>
  </r>
  <r>
    <x v="0"/>
    <x v="0"/>
    <x v="0"/>
    <x v="0"/>
    <x v="0"/>
    <s v="DK1_MedSmall"/>
    <x v="0"/>
    <x v="0"/>
    <s v="DK1_Rural_WI"/>
    <x v="11"/>
    <x v="1"/>
    <n v="297.112240683827"/>
    <n v="18074.327974932799"/>
    <n v="65067.5807097582"/>
  </r>
  <r>
    <x v="0"/>
    <x v="0"/>
    <x v="0"/>
    <x v="0"/>
    <x v="0"/>
    <s v="DK1_MedSmall"/>
    <x v="0"/>
    <x v="0"/>
    <s v="DK1_Rural_WI"/>
    <x v="11"/>
    <x v="2"/>
    <n v="317.49509526720499"/>
    <n v="19314.284962088299"/>
    <n v="69531.425863517798"/>
  </r>
  <r>
    <x v="0"/>
    <x v="0"/>
    <x v="0"/>
    <x v="0"/>
    <x v="0"/>
    <s v="DK1_MedSmall"/>
    <x v="0"/>
    <x v="0"/>
    <s v="DK1_Rural_WI"/>
    <x v="11"/>
    <x v="3"/>
    <n v="359.178951036814"/>
    <n v="21850.052854739501"/>
    <n v="78660.1902770624"/>
  </r>
  <r>
    <x v="0"/>
    <x v="0"/>
    <x v="0"/>
    <x v="0"/>
    <x v="0"/>
    <s v="DK1_MedSmall"/>
    <x v="0"/>
    <x v="0"/>
    <s v="DK1_Rural_WI"/>
    <x v="11"/>
    <x v="4"/>
    <n v="381.03084018476"/>
    <n v="23179.376111239599"/>
    <n v="83445.754000462402"/>
  </r>
  <r>
    <x v="0"/>
    <x v="0"/>
    <x v="0"/>
    <x v="0"/>
    <x v="0"/>
    <s v="DK1_MedSmall"/>
    <x v="0"/>
    <x v="0"/>
    <s v="DK1_Rural_WI"/>
    <x v="11"/>
    <x v="5"/>
    <n v="402.33184137099198"/>
    <n v="24475.187016735399"/>
    <n v="88110.673260247306"/>
  </r>
  <r>
    <x v="0"/>
    <x v="0"/>
    <x v="0"/>
    <x v="0"/>
    <x v="0"/>
    <s v="DK1_MedSmall"/>
    <x v="0"/>
    <x v="0"/>
    <s v="DK1_Rural_WI"/>
    <x v="11"/>
    <x v="6"/>
    <n v="411.14604875839899"/>
    <n v="25011.384632802601"/>
    <n v="90040.984678089299"/>
  </r>
  <r>
    <x v="0"/>
    <x v="0"/>
    <x v="0"/>
    <x v="0"/>
    <x v="0"/>
    <s v="DK1_MedSmall"/>
    <x v="0"/>
    <x v="0"/>
    <s v="DK1_Rural_WI"/>
    <x v="11"/>
    <x v="7"/>
    <n v="406.00442778241199"/>
    <n v="24698.602690096701"/>
    <n v="88914.969684348107"/>
  </r>
  <r>
    <x v="0"/>
    <x v="0"/>
    <x v="0"/>
    <x v="0"/>
    <x v="0"/>
    <s v="DK1_MedSmall"/>
    <x v="0"/>
    <x v="0"/>
    <s v="DK1_Rural_WI"/>
    <x v="11"/>
    <x v="8"/>
    <n v="373.31840872077902"/>
    <n v="22710.203197180701"/>
    <n v="81756.731509850593"/>
  </r>
  <r>
    <x v="0"/>
    <x v="0"/>
    <x v="0"/>
    <x v="0"/>
    <x v="0"/>
    <s v="DK1_MedSmall"/>
    <x v="0"/>
    <x v="0"/>
    <s v="DK1_Rural_WI"/>
    <x v="11"/>
    <x v="9"/>
    <n v="352.38466617568901"/>
    <n v="21436.7338590211"/>
    <n v="77172.241892475795"/>
  </r>
  <r>
    <x v="0"/>
    <x v="0"/>
    <x v="0"/>
    <x v="0"/>
    <x v="0"/>
    <s v="DK1_MedSmall"/>
    <x v="0"/>
    <x v="0"/>
    <s v="DK1_Rural_WI"/>
    <x v="11"/>
    <x v="10"/>
    <n v="314.92428477921101"/>
    <n v="19157.893990735301"/>
    <n v="68968.418366647194"/>
  </r>
  <r>
    <x v="0"/>
    <x v="0"/>
    <x v="0"/>
    <x v="0"/>
    <x v="0"/>
    <s v="DK1_MedSmall"/>
    <x v="0"/>
    <x v="0"/>
    <s v="DK1_Rural_WI"/>
    <x v="11"/>
    <x v="11"/>
    <n v="288.66529193756298"/>
    <n v="17560.471926201699"/>
    <n v="63217.698934326203"/>
  </r>
  <r>
    <x v="0"/>
    <x v="0"/>
    <x v="0"/>
    <x v="0"/>
    <x v="0"/>
    <s v="DK1_Medium"/>
    <x v="0"/>
    <x v="0"/>
    <s v="DK1_Rural_WI"/>
    <x v="0"/>
    <x v="0"/>
    <n v="244.17157769778299"/>
    <n v="14853.7709766151"/>
    <n v="53473.575515814497"/>
  </r>
  <r>
    <x v="0"/>
    <x v="0"/>
    <x v="0"/>
    <x v="0"/>
    <x v="0"/>
    <s v="DK1_Medium"/>
    <x v="0"/>
    <x v="0"/>
    <s v="DK1_Rural_WI"/>
    <x v="0"/>
    <x v="1"/>
    <n v="211.32055042667099"/>
    <n v="12855.3334842892"/>
    <n v="46279.200543441002"/>
  </r>
  <r>
    <x v="0"/>
    <x v="0"/>
    <x v="0"/>
    <x v="0"/>
    <x v="0"/>
    <s v="DK1_Medium"/>
    <x v="0"/>
    <x v="0"/>
    <s v="DK1_Rural_WI"/>
    <x v="0"/>
    <x v="2"/>
    <n v="216.37455462222701"/>
    <n v="13162.7854061855"/>
    <n v="47386.027462267703"/>
  </r>
  <r>
    <x v="0"/>
    <x v="0"/>
    <x v="0"/>
    <x v="0"/>
    <x v="0"/>
    <s v="DK1_Medium"/>
    <x v="0"/>
    <x v="0"/>
    <s v="DK1_Rural_WI"/>
    <x v="0"/>
    <x v="3"/>
    <n v="257.43833871111701"/>
    <n v="15660.832271592901"/>
    <n v="56378.996177734502"/>
  </r>
  <r>
    <x v="0"/>
    <x v="0"/>
    <x v="0"/>
    <x v="0"/>
    <x v="0"/>
    <s v="DK1_Medium"/>
    <x v="0"/>
    <x v="0"/>
    <s v="DK1_Rural_WI"/>
    <x v="0"/>
    <x v="4"/>
    <n v="277.65435549333898"/>
    <n v="16890.639959178101"/>
    <n v="60806.303853041303"/>
  </r>
  <r>
    <x v="0"/>
    <x v="0"/>
    <x v="0"/>
    <x v="0"/>
    <x v="0"/>
    <s v="DK1_Medium"/>
    <x v="0"/>
    <x v="0"/>
    <s v="DK1_Rural_WI"/>
    <x v="0"/>
    <x v="5"/>
    <n v="294.07986912889498"/>
    <n v="17889.858705341099"/>
    <n v="64403.491339228"/>
  </r>
  <r>
    <x v="0"/>
    <x v="0"/>
    <x v="0"/>
    <x v="0"/>
    <x v="0"/>
    <s v="DK1_Medium"/>
    <x v="0"/>
    <x v="0"/>
    <s v="DK1_Rural_WI"/>
    <x v="0"/>
    <x v="6"/>
    <n v="293.13224334222798"/>
    <n v="17832.211469985599"/>
    <n v="64195.961291947999"/>
  </r>
  <r>
    <x v="0"/>
    <x v="0"/>
    <x v="0"/>
    <x v="0"/>
    <x v="0"/>
    <s v="DK1_Medium"/>
    <x v="0"/>
    <x v="0"/>
    <s v="DK1_Rural_WI"/>
    <x v="0"/>
    <x v="7"/>
    <n v="286.49886283556202"/>
    <n v="17428.680822496699"/>
    <n v="62743.250960988"/>
  </r>
  <r>
    <x v="0"/>
    <x v="0"/>
    <x v="0"/>
    <x v="0"/>
    <x v="0"/>
    <s v="DK1_Medium"/>
    <x v="0"/>
    <x v="0"/>
    <s v="DK1_Rural_WI"/>
    <x v="0"/>
    <x v="8"/>
    <n v="282.70835968889497"/>
    <n v="17198.091881074401"/>
    <n v="61913.130771867996"/>
  </r>
  <r>
    <x v="0"/>
    <x v="0"/>
    <x v="0"/>
    <x v="0"/>
    <x v="0"/>
    <s v="DK1_Medium"/>
    <x v="0"/>
    <x v="0"/>
    <s v="DK1_Rural_WI"/>
    <x v="0"/>
    <x v="9"/>
    <n v="260.59709133333899"/>
    <n v="15852.9897227781"/>
    <n v="57070.7630020012"/>
  </r>
  <r>
    <x v="0"/>
    <x v="0"/>
    <x v="0"/>
    <x v="0"/>
    <x v="0"/>
    <s v="DK1_Medium"/>
    <x v="0"/>
    <x v="0"/>
    <s v="DK1_Rural_WI"/>
    <x v="0"/>
    <x v="10"/>
    <n v="255.22721187556101"/>
    <n v="15526.322055763299"/>
    <n v="55894.759400747796"/>
  </r>
  <r>
    <x v="0"/>
    <x v="0"/>
    <x v="0"/>
    <x v="0"/>
    <x v="0"/>
    <s v="DK1_Medium"/>
    <x v="0"/>
    <x v="0"/>
    <s v="DK1_Rural_WI"/>
    <x v="0"/>
    <x v="11"/>
    <n v="277.022604968895"/>
    <n v="16852.208468941099"/>
    <n v="60667.950488187897"/>
  </r>
  <r>
    <x v="0"/>
    <x v="0"/>
    <x v="0"/>
    <x v="0"/>
    <x v="0"/>
    <s v="DK1_Medium"/>
    <x v="0"/>
    <x v="0"/>
    <s v="DK1_Rural_WI"/>
    <x v="1"/>
    <x v="0"/>
    <n v="7.2651310311112596"/>
    <n v="441.96213772593501"/>
    <n v="1591.06369581337"/>
  </r>
  <r>
    <x v="0"/>
    <x v="0"/>
    <x v="0"/>
    <x v="0"/>
    <x v="0"/>
    <s v="DK1_Medium"/>
    <x v="0"/>
    <x v="0"/>
    <s v="DK1_Rural_WI"/>
    <x v="1"/>
    <x v="1"/>
    <n v="6.6333805066668097"/>
    <n v="403.53064748889699"/>
    <n v="1452.71033096003"/>
  </r>
  <r>
    <x v="0"/>
    <x v="0"/>
    <x v="0"/>
    <x v="0"/>
    <x v="0"/>
    <s v="DK1_Medium"/>
    <x v="0"/>
    <x v="0"/>
    <s v="DK1_Rural_WI"/>
    <x v="1"/>
    <x v="2"/>
    <n v="3.1587526222222899"/>
    <n v="192.15745118518899"/>
    <n v="691.76682426668106"/>
  </r>
  <r>
    <x v="0"/>
    <x v="0"/>
    <x v="0"/>
    <x v="0"/>
    <x v="0"/>
    <s v="DK1_Medium"/>
    <x v="0"/>
    <x v="0"/>
    <s v="DK1_Rural_WI"/>
    <x v="1"/>
    <x v="3"/>
    <n v="3.4746278844445202"/>
    <n v="211.373196303708"/>
    <n v="760.94350669334904"/>
  </r>
  <r>
    <x v="0"/>
    <x v="0"/>
    <x v="0"/>
    <x v="0"/>
    <x v="0"/>
    <s v="DK1_Medium"/>
    <x v="0"/>
    <x v="0"/>
    <s v="DK1_Rural_WI"/>
    <x v="1"/>
    <x v="4"/>
    <n v="6.3175052444445798"/>
    <n v="384.31490237037798"/>
    <n v="1383.5336485333601"/>
  </r>
  <r>
    <x v="0"/>
    <x v="0"/>
    <x v="0"/>
    <x v="0"/>
    <x v="0"/>
    <s v="DK1_Medium"/>
    <x v="0"/>
    <x v="0"/>
    <s v="DK1_Rural_WI"/>
    <x v="1"/>
    <x v="5"/>
    <n v="11.055634177778"/>
    <n v="672.55107914816199"/>
    <n v="2421.1838849333799"/>
  </r>
  <r>
    <x v="0"/>
    <x v="0"/>
    <x v="0"/>
    <x v="0"/>
    <x v="0"/>
    <s v="DK1_Medium"/>
    <x v="0"/>
    <x v="0"/>
    <s v="DK1_Rural_WI"/>
    <x v="1"/>
    <x v="6"/>
    <n v="22.427143617778299"/>
    <n v="1364.31790341484"/>
    <n v="4911.5444522934404"/>
  </r>
  <r>
    <x v="0"/>
    <x v="0"/>
    <x v="0"/>
    <x v="0"/>
    <x v="0"/>
    <s v="DK1_Medium"/>
    <x v="0"/>
    <x v="0"/>
    <s v="DK1_Rural_WI"/>
    <x v="1"/>
    <x v="7"/>
    <n v="46.749538808889902"/>
    <n v="2843.9302775408"/>
    <n v="10238.148999146901"/>
  </r>
  <r>
    <x v="0"/>
    <x v="0"/>
    <x v="0"/>
    <x v="0"/>
    <x v="0"/>
    <s v="DK1_Medium"/>
    <x v="0"/>
    <x v="0"/>
    <s v="DK1_Rural_WI"/>
    <x v="1"/>
    <x v="8"/>
    <n v="77.389439244446095"/>
    <n v="4707.8575540371403"/>
    <n v="16948.287194533699"/>
  </r>
  <r>
    <x v="0"/>
    <x v="0"/>
    <x v="0"/>
    <x v="0"/>
    <x v="0"/>
    <s v="DK1_Medium"/>
    <x v="0"/>
    <x v="0"/>
    <s v="DK1_Rural_WI"/>
    <x v="1"/>
    <x v="9"/>
    <n v="114.346844924447"/>
    <n v="6956.0997329038501"/>
    <n v="25041.959038453901"/>
  </r>
  <r>
    <x v="0"/>
    <x v="0"/>
    <x v="0"/>
    <x v="0"/>
    <x v="0"/>
    <s v="DK1_Medium"/>
    <x v="0"/>
    <x v="0"/>
    <s v="DK1_Rural_WI"/>
    <x v="1"/>
    <x v="10"/>
    <n v="151.936001128892"/>
    <n v="9242.7734020076005"/>
    <n v="33273.984247227403"/>
  </r>
  <r>
    <x v="0"/>
    <x v="0"/>
    <x v="0"/>
    <x v="0"/>
    <x v="0"/>
    <s v="DK1_Medium"/>
    <x v="0"/>
    <x v="0"/>
    <s v="DK1_Rural_WI"/>
    <x v="1"/>
    <x v="11"/>
    <n v="186.050529448893"/>
    <n v="11318.0738748076"/>
    <n v="40745.0659493075"/>
  </r>
  <r>
    <x v="0"/>
    <x v="0"/>
    <x v="0"/>
    <x v="0"/>
    <x v="0"/>
    <s v="DK1_Medium"/>
    <x v="0"/>
    <x v="0"/>
    <s v="DK1_Rural_WI"/>
    <x v="2"/>
    <x v="0"/>
    <n v="88.445073422224098"/>
    <n v="5380.4086331852995"/>
    <n v="19369.471079467101"/>
  </r>
  <r>
    <x v="0"/>
    <x v="0"/>
    <x v="0"/>
    <x v="0"/>
    <x v="0"/>
    <s v="DK1_Medium"/>
    <x v="0"/>
    <x v="0"/>
    <s v="DK1_Rural_WI"/>
    <x v="2"/>
    <x v="1"/>
    <n v="90.340324995557495"/>
    <n v="5495.7031038964096"/>
    <n v="19784.531174027099"/>
  </r>
  <r>
    <x v="0"/>
    <x v="0"/>
    <x v="0"/>
    <x v="0"/>
    <x v="0"/>
    <s v="DK1_Medium"/>
    <x v="0"/>
    <x v="0"/>
    <s v="DK1_Rural_WI"/>
    <x v="2"/>
    <x v="2"/>
    <n v="91.9197013066686"/>
    <n v="5591.7818294890103"/>
    <n v="20130.414586160401"/>
  </r>
  <r>
    <x v="0"/>
    <x v="0"/>
    <x v="0"/>
    <x v="0"/>
    <x v="0"/>
    <s v="DK1_Medium"/>
    <x v="0"/>
    <x v="0"/>
    <s v="DK1_Rural_WI"/>
    <x v="2"/>
    <x v="3"/>
    <n v="94.446703404446396"/>
    <n v="5745.5077904371601"/>
    <n v="20683.828045573799"/>
  </r>
  <r>
    <x v="0"/>
    <x v="0"/>
    <x v="0"/>
    <x v="0"/>
    <x v="0"/>
    <s v="DK1_Medium"/>
    <x v="0"/>
    <x v="0"/>
    <s v="DK1_Rural_WI"/>
    <x v="2"/>
    <x v="4"/>
    <n v="98.237206551113204"/>
    <n v="5976.0967318593903"/>
    <n v="21513.948234693798"/>
  </r>
  <r>
    <x v="0"/>
    <x v="0"/>
    <x v="0"/>
    <x v="0"/>
    <x v="0"/>
    <s v="DK1_Medium"/>
    <x v="0"/>
    <x v="0"/>
    <s v="DK1_Rural_WI"/>
    <x v="2"/>
    <x v="5"/>
    <n v="107.39758915555799"/>
    <n v="6533.3533402964304"/>
    <n v="23520.072025067198"/>
  </r>
  <r>
    <x v="0"/>
    <x v="0"/>
    <x v="0"/>
    <x v="0"/>
    <x v="0"/>
    <s v="DK1_Medium"/>
    <x v="0"/>
    <x v="0"/>
    <s v="DK1_Rural_WI"/>
    <x v="2"/>
    <x v="6"/>
    <n v="112.451593351113"/>
    <n v="6840.80526219274"/>
    <n v="24626.898943893899"/>
  </r>
  <r>
    <x v="0"/>
    <x v="0"/>
    <x v="0"/>
    <x v="0"/>
    <x v="0"/>
    <s v="DK1_Medium"/>
    <x v="0"/>
    <x v="0"/>
    <s v="DK1_Rural_WI"/>
    <x v="2"/>
    <x v="7"/>
    <n v="123.191352266669"/>
    <n v="7494.1405962223798"/>
    <n v="26978.906146400601"/>
  </r>
  <r>
    <x v="0"/>
    <x v="0"/>
    <x v="0"/>
    <x v="0"/>
    <x v="0"/>
    <s v="DK1_Medium"/>
    <x v="0"/>
    <x v="0"/>
    <s v="DK1_Rural_WI"/>
    <x v="2"/>
    <x v="8"/>
    <n v="127.297730675558"/>
    <n v="7743.9452827631303"/>
    <n v="27878.2030179473"/>
  </r>
  <r>
    <x v="0"/>
    <x v="0"/>
    <x v="0"/>
    <x v="0"/>
    <x v="0"/>
    <s v="DK1_Medium"/>
    <x v="0"/>
    <x v="0"/>
    <s v="DK1_Rural_WI"/>
    <x v="2"/>
    <x v="9"/>
    <n v="128.561231724447"/>
    <n v="7820.8082632371998"/>
    <n v="28154.909747653899"/>
  </r>
  <r>
    <x v="0"/>
    <x v="0"/>
    <x v="0"/>
    <x v="0"/>
    <x v="0"/>
    <s v="DK1_Medium"/>
    <x v="0"/>
    <x v="0"/>
    <s v="DK1_Rural_WI"/>
    <x v="2"/>
    <x v="10"/>
    <n v="130.772358560003"/>
    <n v="7955.3184790668302"/>
    <n v="28639.146524640601"/>
  </r>
  <r>
    <x v="0"/>
    <x v="0"/>
    <x v="0"/>
    <x v="0"/>
    <x v="0"/>
    <s v="DK1_Medium"/>
    <x v="0"/>
    <x v="0"/>
    <s v="DK1_Rural_WI"/>
    <x v="2"/>
    <x v="11"/>
    <n v="139.61686590222499"/>
    <n v="8493.3593423853599"/>
    <n v="30576.093632587301"/>
  </r>
  <r>
    <x v="0"/>
    <x v="0"/>
    <x v="0"/>
    <x v="0"/>
    <x v="0"/>
    <s v="DK1_Medium"/>
    <x v="0"/>
    <x v="0"/>
    <s v="DK1_Rural_WI"/>
    <x v="3"/>
    <x v="0"/>
    <n v="19.9001415200004"/>
    <n v="1210.5919424666899"/>
    <n v="4358.1309928800902"/>
  </r>
  <r>
    <x v="0"/>
    <x v="0"/>
    <x v="0"/>
    <x v="0"/>
    <x v="0"/>
    <s v="DK1_Medium"/>
    <x v="0"/>
    <x v="0"/>
    <s v="DK1_Rural_WI"/>
    <x v="3"/>
    <x v="1"/>
    <n v="12.0032599644447"/>
    <n v="730.19831450371896"/>
    <n v="2628.7139322133899"/>
  </r>
  <r>
    <x v="0"/>
    <x v="0"/>
    <x v="0"/>
    <x v="0"/>
    <x v="0"/>
    <s v="DK1_Medium"/>
    <x v="0"/>
    <x v="0"/>
    <s v="DK1_Rural_WI"/>
    <x v="3"/>
    <x v="2"/>
    <n v="7.8968815555557201"/>
    <n v="480.39362796297303"/>
    <n v="1729.4170606667001"/>
  </r>
  <r>
    <x v="0"/>
    <x v="0"/>
    <x v="0"/>
    <x v="0"/>
    <x v="0"/>
    <s v="DK1_Medium"/>
    <x v="0"/>
    <x v="0"/>
    <s v="DK1_Rural_WI"/>
    <x v="3"/>
    <x v="3"/>
    <n v="6.6333805066668097"/>
    <n v="403.53064748889699"/>
    <n v="1452.71033096003"/>
  </r>
  <r>
    <x v="0"/>
    <x v="0"/>
    <x v="0"/>
    <x v="0"/>
    <x v="0"/>
    <s v="DK1_Medium"/>
    <x v="0"/>
    <x v="0"/>
    <s v="DK1_Rural_WI"/>
    <x v="3"/>
    <x v="4"/>
    <n v="8.5286320800001807"/>
    <n v="518.82511820001105"/>
    <n v="1867.7704255200399"/>
  </r>
  <r>
    <x v="0"/>
    <x v="0"/>
    <x v="0"/>
    <x v="0"/>
    <x v="0"/>
    <s v="DK1_Medium"/>
    <x v="0"/>
    <x v="0"/>
    <s v="DK1_Rural_WI"/>
    <x v="3"/>
    <x v="5"/>
    <n v="12.0032599644447"/>
    <n v="730.19831450371896"/>
    <n v="2628.7139322133899"/>
  </r>
  <r>
    <x v="0"/>
    <x v="0"/>
    <x v="0"/>
    <x v="0"/>
    <x v="0"/>
    <s v="DK1_Medium"/>
    <x v="0"/>
    <x v="0"/>
    <s v="DK1_Rural_WI"/>
    <x v="3"/>
    <x v="6"/>
    <n v="13.8985115377781"/>
    <n v="845.49278521483302"/>
    <n v="3043.7740267733998"/>
  </r>
  <r>
    <x v="0"/>
    <x v="0"/>
    <x v="0"/>
    <x v="0"/>
    <x v="0"/>
    <s v="DK1_Medium"/>
    <x v="0"/>
    <x v="0"/>
    <s v="DK1_Rural_WI"/>
    <x v="3"/>
    <x v="7"/>
    <n v="17.3731394222226"/>
    <n v="1056.8659815185399"/>
    <n v="3804.71753346675"/>
  </r>
  <r>
    <x v="0"/>
    <x v="0"/>
    <x v="0"/>
    <x v="0"/>
    <x v="0"/>
    <s v="DK1_Medium"/>
    <x v="0"/>
    <x v="0"/>
    <s v="DK1_Rural_WI"/>
    <x v="3"/>
    <x v="8"/>
    <n v="28.1128983377784"/>
    <n v="1710.20131554818"/>
    <n v="6156.7247359734602"/>
  </r>
  <r>
    <x v="0"/>
    <x v="0"/>
    <x v="0"/>
    <x v="0"/>
    <x v="0"/>
    <s v="DK1_Medium"/>
    <x v="0"/>
    <x v="0"/>
    <s v="DK1_Rural_WI"/>
    <x v="3"/>
    <x v="9"/>
    <n v="30.324025173334"/>
    <n v="1844.7115313778199"/>
    <n v="6640.9615129601398"/>
  </r>
  <r>
    <x v="0"/>
    <x v="0"/>
    <x v="0"/>
    <x v="0"/>
    <x v="0"/>
    <s v="DK1_Medium"/>
    <x v="0"/>
    <x v="0"/>
    <s v="DK1_Rural_WI"/>
    <x v="3"/>
    <x v="10"/>
    <n v="28.1128983377784"/>
    <n v="1710.20131554818"/>
    <n v="6156.7247359734602"/>
  </r>
  <r>
    <x v="0"/>
    <x v="0"/>
    <x v="0"/>
    <x v="0"/>
    <x v="0"/>
    <s v="DK1_Medium"/>
    <x v="0"/>
    <x v="0"/>
    <s v="DK1_Rural_WI"/>
    <x v="3"/>
    <x v="11"/>
    <n v="32.851027271111803"/>
    <n v="1998.43749232597"/>
    <n v="7194.37497237349"/>
  </r>
  <r>
    <x v="0"/>
    <x v="0"/>
    <x v="0"/>
    <x v="0"/>
    <x v="0"/>
    <s v="DK1_Medium"/>
    <x v="0"/>
    <x v="0"/>
    <s v="DK1_Rural_WI"/>
    <x v="4"/>
    <x v="0"/>
    <n v="427.37922978667598"/>
    <n v="25998.9031453561"/>
    <n v="93596.051323281994"/>
  </r>
  <r>
    <x v="0"/>
    <x v="0"/>
    <x v="0"/>
    <x v="0"/>
    <x v="0"/>
    <s v="DK1_Medium"/>
    <x v="0"/>
    <x v="0"/>
    <s v="DK1_Rural_WI"/>
    <x v="4"/>
    <x v="1"/>
    <n v="429.90623188445397"/>
    <n v="26152.629106304299"/>
    <n v="94149.464782695301"/>
  </r>
  <r>
    <x v="0"/>
    <x v="0"/>
    <x v="0"/>
    <x v="0"/>
    <x v="0"/>
    <s v="DK1_Medium"/>
    <x v="0"/>
    <x v="0"/>
    <s v="DK1_Rural_WI"/>
    <x v="4"/>
    <x v="2"/>
    <n v="449.174622880009"/>
    <n v="27324.789558533899"/>
    <n v="98369.242410722101"/>
  </r>
  <r>
    <x v="0"/>
    <x v="0"/>
    <x v="0"/>
    <x v="0"/>
    <x v="0"/>
    <s v="DK1_Medium"/>
    <x v="0"/>
    <x v="0"/>
    <s v="DK1_Rural_WI"/>
    <x v="4"/>
    <x v="3"/>
    <n v="439.06661448889798"/>
    <n v="26709.8857147413"/>
    <n v="96155.5885730687"/>
  </r>
  <r>
    <x v="0"/>
    <x v="0"/>
    <x v="0"/>
    <x v="0"/>
    <x v="0"/>
    <s v="DK1_Medium"/>
    <x v="0"/>
    <x v="0"/>
    <s v="DK1_Rural_WI"/>
    <x v="4"/>
    <x v="4"/>
    <n v="427.06335452445302"/>
    <n v="25979.687400237599"/>
    <n v="93526.874640855298"/>
  </r>
  <r>
    <x v="0"/>
    <x v="0"/>
    <x v="0"/>
    <x v="0"/>
    <x v="0"/>
    <s v="DK1_Medium"/>
    <x v="0"/>
    <x v="0"/>
    <s v="DK1_Rural_WI"/>
    <x v="4"/>
    <x v="5"/>
    <n v="426.43160400000897"/>
    <n v="25941.255910000498"/>
    <n v="93388.521276001993"/>
  </r>
  <r>
    <x v="0"/>
    <x v="0"/>
    <x v="0"/>
    <x v="0"/>
    <x v="0"/>
    <s v="DK1_Medium"/>
    <x v="0"/>
    <x v="0"/>
    <s v="DK1_Rural_WI"/>
    <x v="4"/>
    <x v="6"/>
    <n v="454.86037760001"/>
    <n v="27670.6729706673"/>
    <n v="99614.422694402107"/>
  </r>
  <r>
    <x v="0"/>
    <x v="0"/>
    <x v="0"/>
    <x v="0"/>
    <x v="0"/>
    <s v="DK1_Medium"/>
    <x v="0"/>
    <x v="0"/>
    <s v="DK1_Rural_WI"/>
    <x v="4"/>
    <x v="7"/>
    <n v="484.55265224889899"/>
    <n v="29476.953011808"/>
    <n v="106117.030842509"/>
  </r>
  <r>
    <x v="0"/>
    <x v="0"/>
    <x v="0"/>
    <x v="0"/>
    <x v="0"/>
    <s v="DK1_Medium"/>
    <x v="0"/>
    <x v="0"/>
    <s v="DK1_Rural_WI"/>
    <x v="4"/>
    <x v="8"/>
    <n v="513.613176373344"/>
    <n v="31244.8015627118"/>
    <n v="112481.285625762"/>
  </r>
  <r>
    <x v="0"/>
    <x v="0"/>
    <x v="0"/>
    <x v="0"/>
    <x v="0"/>
    <s v="DK1_Medium"/>
    <x v="0"/>
    <x v="0"/>
    <s v="DK1_Rural_WI"/>
    <x v="4"/>
    <x v="9"/>
    <n v="553.41345941334498"/>
    <n v="33665.9854476451"/>
    <n v="121197.547611523"/>
  </r>
  <r>
    <x v="0"/>
    <x v="0"/>
    <x v="0"/>
    <x v="0"/>
    <x v="0"/>
    <s v="DK1_Medium"/>
    <x v="0"/>
    <x v="0"/>
    <s v="DK1_Rural_WI"/>
    <x v="4"/>
    <x v="10"/>
    <n v="586.26448668445698"/>
    <n v="35664.422939971097"/>
    <n v="128391.922583896"/>
  </r>
  <r>
    <x v="0"/>
    <x v="0"/>
    <x v="0"/>
    <x v="0"/>
    <x v="0"/>
    <s v="DK1_Medium"/>
    <x v="0"/>
    <x v="0"/>
    <s v="DK1_Rural_WI"/>
    <x v="4"/>
    <x v="11"/>
    <n v="610.586881875568"/>
    <n v="37144.035314097098"/>
    <n v="133718.52713075001"/>
  </r>
  <r>
    <x v="0"/>
    <x v="0"/>
    <x v="0"/>
    <x v="0"/>
    <x v="0"/>
    <s v="DK1_Medium"/>
    <x v="0"/>
    <x v="0"/>
    <s v="DK1_Rural_WI"/>
    <x v="5"/>
    <x v="0"/>
    <n v="216.690429884449"/>
    <n v="13182.001151304001"/>
    <n v="47455.204144694297"/>
  </r>
  <r>
    <x v="0"/>
    <x v="0"/>
    <x v="0"/>
    <x v="0"/>
    <x v="0"/>
    <s v="DK1_Medium"/>
    <x v="0"/>
    <x v="0"/>
    <s v="DK1_Rural_WI"/>
    <x v="5"/>
    <x v="1"/>
    <n v="213.53167726222699"/>
    <n v="12989.843700118799"/>
    <n v="46763.4373204277"/>
  </r>
  <r>
    <x v="0"/>
    <x v="0"/>
    <x v="0"/>
    <x v="0"/>
    <x v="0"/>
    <s v="DK1_Medium"/>
    <x v="0"/>
    <x v="0"/>
    <s v="DK1_Rural_WI"/>
    <x v="5"/>
    <x v="2"/>
    <n v="214.479303048893"/>
    <n v="13047.490935474299"/>
    <n v="46970.967367707701"/>
  </r>
  <r>
    <x v="0"/>
    <x v="0"/>
    <x v="0"/>
    <x v="0"/>
    <x v="0"/>
    <s v="DK1_Medium"/>
    <x v="0"/>
    <x v="0"/>
    <s v="DK1_Rural_WI"/>
    <x v="5"/>
    <x v="3"/>
    <n v="219.217431982227"/>
    <n v="13335.7271122521"/>
    <n v="48008.617604107698"/>
  </r>
  <r>
    <x v="0"/>
    <x v="0"/>
    <x v="0"/>
    <x v="0"/>
    <x v="0"/>
    <s v="DK1_Medium"/>
    <x v="0"/>
    <x v="0"/>
    <s v="DK1_Rural_WI"/>
    <x v="5"/>
    <x v="4"/>
    <n v="217.32218040889299"/>
    <n v="13220.432641541"/>
    <n v="47593.557509547703"/>
  </r>
  <r>
    <x v="0"/>
    <x v="0"/>
    <x v="0"/>
    <x v="0"/>
    <x v="0"/>
    <s v="DK1_Medium"/>
    <x v="0"/>
    <x v="0"/>
    <s v="DK1_Rural_WI"/>
    <x v="5"/>
    <x v="5"/>
    <n v="219.217431982227"/>
    <n v="13335.7271122521"/>
    <n v="48008.617604107698"/>
  </r>
  <r>
    <x v="0"/>
    <x v="0"/>
    <x v="0"/>
    <x v="0"/>
    <x v="0"/>
    <s v="DK1_Medium"/>
    <x v="0"/>
    <x v="0"/>
    <s v="DK1_Rural_WI"/>
    <x v="5"/>
    <x v="6"/>
    <n v="213.215802000004"/>
    <n v="12970.6279550003"/>
    <n v="46694.260638000997"/>
  </r>
  <r>
    <x v="0"/>
    <x v="0"/>
    <x v="0"/>
    <x v="0"/>
    <x v="0"/>
    <s v="DK1_Medium"/>
    <x v="0"/>
    <x v="0"/>
    <s v="DK1_Rural_WI"/>
    <x v="5"/>
    <x v="7"/>
    <n v="210.37292464000399"/>
    <n v="12797.6862489336"/>
    <n v="46071.670496161001"/>
  </r>
  <r>
    <x v="0"/>
    <x v="0"/>
    <x v="0"/>
    <x v="0"/>
    <x v="0"/>
    <s v="DK1_Medium"/>
    <x v="0"/>
    <x v="0"/>
    <s v="DK1_Rural_WI"/>
    <x v="5"/>
    <x v="8"/>
    <n v="213.53167726222699"/>
    <n v="12989.843700118799"/>
    <n v="46763.4373204277"/>
  </r>
  <r>
    <x v="0"/>
    <x v="0"/>
    <x v="0"/>
    <x v="0"/>
    <x v="0"/>
    <s v="DK1_Medium"/>
    <x v="0"/>
    <x v="0"/>
    <s v="DK1_Rural_WI"/>
    <x v="5"/>
    <x v="9"/>
    <n v="229.00956511111599"/>
    <n v="13931.4152109262"/>
    <n v="50153.094759334403"/>
  </r>
  <r>
    <x v="0"/>
    <x v="0"/>
    <x v="0"/>
    <x v="0"/>
    <x v="0"/>
    <s v="DK1_Medium"/>
    <x v="0"/>
    <x v="0"/>
    <s v="DK1_Rural_WI"/>
    <x v="5"/>
    <x v="10"/>
    <n v="271.33685024889502"/>
    <n v="16506.3250568078"/>
    <n v="59422.770204507899"/>
  </r>
  <r>
    <x v="0"/>
    <x v="0"/>
    <x v="0"/>
    <x v="0"/>
    <x v="0"/>
    <s v="DK1_Medium"/>
    <x v="0"/>
    <x v="0"/>
    <s v="DK1_Rural_WI"/>
    <x v="5"/>
    <x v="11"/>
    <n v="296.60687122667298"/>
    <n v="18043.584666289298"/>
    <n v="64956.904798641401"/>
  </r>
  <r>
    <x v="0"/>
    <x v="0"/>
    <x v="0"/>
    <x v="0"/>
    <x v="0"/>
    <s v="DK1_Medium"/>
    <x v="0"/>
    <x v="0"/>
    <s v="DK1_Rural_WI"/>
    <x v="6"/>
    <x v="0"/>
    <n v="17.0572641600004"/>
    <n v="1037.65023640002"/>
    <n v="3735.5408510400798"/>
  </r>
  <r>
    <x v="0"/>
    <x v="0"/>
    <x v="0"/>
    <x v="0"/>
    <x v="0"/>
    <s v="DK1_Medium"/>
    <x v="0"/>
    <x v="0"/>
    <s v="DK1_Rural_WI"/>
    <x v="6"/>
    <x v="1"/>
    <n v="9.7921331288891"/>
    <n v="595.68809867408697"/>
    <n v="2144.4771552267098"/>
  </r>
  <r>
    <x v="0"/>
    <x v="0"/>
    <x v="0"/>
    <x v="0"/>
    <x v="0"/>
    <s v="DK1_Medium"/>
    <x v="0"/>
    <x v="0"/>
    <s v="DK1_Rural_WI"/>
    <x v="6"/>
    <x v="2"/>
    <n v="5.3698794577778903"/>
    <n v="326.66766701482197"/>
    <n v="1176.0036012533601"/>
  </r>
  <r>
    <x v="0"/>
    <x v="0"/>
    <x v="0"/>
    <x v="0"/>
    <x v="0"/>
    <s v="DK1_Medium"/>
    <x v="0"/>
    <x v="0"/>
    <s v="DK1_Rural_WI"/>
    <x v="6"/>
    <x v="3"/>
    <n v="4.7381289333334298"/>
    <n v="288.23617677778401"/>
    <n v="1037.65023640002"/>
  </r>
  <r>
    <x v="0"/>
    <x v="0"/>
    <x v="0"/>
    <x v="0"/>
    <x v="0"/>
    <s v="DK1_Medium"/>
    <x v="0"/>
    <x v="0"/>
    <s v="DK1_Rural_WI"/>
    <x v="6"/>
    <x v="4"/>
    <n v="12.3191352266669"/>
    <n v="749.41405962223803"/>
    <n v="2697.89061464006"/>
  </r>
  <r>
    <x v="0"/>
    <x v="0"/>
    <x v="0"/>
    <x v="0"/>
    <x v="0"/>
    <s v="DK1_Medium"/>
    <x v="0"/>
    <x v="0"/>
    <s v="DK1_Rural_WI"/>
    <x v="6"/>
    <x v="5"/>
    <n v="18.636640471111502"/>
    <n v="1133.72896199262"/>
    <n v="4081.4242631734201"/>
  </r>
  <r>
    <x v="0"/>
    <x v="0"/>
    <x v="0"/>
    <x v="0"/>
    <x v="0"/>
    <s v="DK1_Medium"/>
    <x v="0"/>
    <x v="0"/>
    <s v="DK1_Rural_WI"/>
    <x v="6"/>
    <x v="6"/>
    <n v="27.797023075556101"/>
    <n v="1690.9855704296699"/>
    <n v="6087.5480535467996"/>
  </r>
  <r>
    <x v="0"/>
    <x v="0"/>
    <x v="0"/>
    <x v="0"/>
    <x v="0"/>
    <s v="DK1_Medium"/>
    <x v="0"/>
    <x v="0"/>
    <s v="DK1_Rural_WI"/>
    <x v="6"/>
    <x v="7"/>
    <n v="46.117788284445403"/>
    <n v="2805.4987873037599"/>
    <n v="10099.795634293499"/>
  </r>
  <r>
    <x v="0"/>
    <x v="0"/>
    <x v="0"/>
    <x v="0"/>
    <x v="0"/>
    <s v="DK1_Medium"/>
    <x v="0"/>
    <x v="0"/>
    <s v="DK1_Rural_WI"/>
    <x v="6"/>
    <x v="8"/>
    <n v="63.175052444445797"/>
    <n v="3843.1490237037801"/>
    <n v="13835.336485333601"/>
  </r>
  <r>
    <x v="0"/>
    <x v="0"/>
    <x v="0"/>
    <x v="0"/>
    <x v="0"/>
    <s v="DK1_Medium"/>
    <x v="0"/>
    <x v="0"/>
    <s v="DK1_Rural_WI"/>
    <x v="6"/>
    <x v="9"/>
    <n v="61.595676133334599"/>
    <n v="3747.0702981111899"/>
    <n v="13489.4530732003"/>
  </r>
  <r>
    <x v="0"/>
    <x v="0"/>
    <x v="0"/>
    <x v="0"/>
    <x v="0"/>
    <s v="DK1_Medium"/>
    <x v="0"/>
    <x v="0"/>
    <s v="DK1_Rural_WI"/>
    <x v="6"/>
    <x v="10"/>
    <n v="54.330545102223397"/>
    <n v="3305.1081603852499"/>
    <n v="11898.3893773869"/>
  </r>
  <r>
    <x v="0"/>
    <x v="0"/>
    <x v="0"/>
    <x v="0"/>
    <x v="0"/>
    <s v="DK1_Medium"/>
    <x v="0"/>
    <x v="0"/>
    <s v="DK1_Rural_WI"/>
    <x v="6"/>
    <x v="11"/>
    <n v="56.225796675556801"/>
    <n v="3420.40263109637"/>
    <n v="12313.4494719469"/>
  </r>
  <r>
    <x v="0"/>
    <x v="0"/>
    <x v="0"/>
    <x v="0"/>
    <x v="0"/>
    <s v="DK1_Medium"/>
    <x v="0"/>
    <x v="0"/>
    <s v="DK1_Rural_WI"/>
    <x v="7"/>
    <x v="0"/>
    <n v="403.056834595564"/>
    <n v="24519.290771230098"/>
    <n v="88269.446776428493"/>
  </r>
  <r>
    <x v="0"/>
    <x v="0"/>
    <x v="0"/>
    <x v="0"/>
    <x v="0"/>
    <s v="DK1_Medium"/>
    <x v="0"/>
    <x v="0"/>
    <s v="DK1_Rural_WI"/>
    <x v="7"/>
    <x v="1"/>
    <n v="299.44974858667302"/>
    <n v="18216.5263723559"/>
    <n v="65579.494940481396"/>
  </r>
  <r>
    <x v="0"/>
    <x v="0"/>
    <x v="0"/>
    <x v="0"/>
    <x v="0"/>
    <s v="DK1_Medium"/>
    <x v="0"/>
    <x v="0"/>
    <s v="DK1_Rural_WI"/>
    <x v="7"/>
    <x v="2"/>
    <n v="221.74443408000499"/>
    <n v="13489.4530732003"/>
    <n v="48562.031063520997"/>
  </r>
  <r>
    <x v="0"/>
    <x v="0"/>
    <x v="0"/>
    <x v="0"/>
    <x v="0"/>
    <s v="DK1_Medium"/>
    <x v="0"/>
    <x v="0"/>
    <s v="DK1_Rural_WI"/>
    <x v="7"/>
    <x v="3"/>
    <n v="218.26980619555999"/>
    <n v="13278.0798768966"/>
    <n v="47801.087556827697"/>
  </r>
  <r>
    <x v="0"/>
    <x v="0"/>
    <x v="0"/>
    <x v="0"/>
    <x v="0"/>
    <s v="DK1_Medium"/>
    <x v="0"/>
    <x v="0"/>
    <s v="DK1_Rural_WI"/>
    <x v="7"/>
    <x v="4"/>
    <n v="220.165057768894"/>
    <n v="13393.3743476077"/>
    <n v="48216.147651387699"/>
  </r>
  <r>
    <x v="0"/>
    <x v="0"/>
    <x v="0"/>
    <x v="0"/>
    <x v="0"/>
    <s v="DK1_Medium"/>
    <x v="0"/>
    <x v="0"/>
    <s v="DK1_Rural_WI"/>
    <x v="7"/>
    <x v="5"/>
    <n v="211.32055042667099"/>
    <n v="12855.3334842892"/>
    <n v="46279.200543441002"/>
  </r>
  <r>
    <x v="0"/>
    <x v="0"/>
    <x v="0"/>
    <x v="0"/>
    <x v="0"/>
    <s v="DK1_Medium"/>
    <x v="0"/>
    <x v="0"/>
    <s v="DK1_Rural_WI"/>
    <x v="7"/>
    <x v="6"/>
    <n v="223.32381039111601"/>
    <n v="13585.531798792899"/>
    <n v="48907.914475654397"/>
  </r>
  <r>
    <x v="0"/>
    <x v="0"/>
    <x v="0"/>
    <x v="0"/>
    <x v="0"/>
    <s v="DK1_Medium"/>
    <x v="0"/>
    <x v="0"/>
    <s v="DK1_Rural_WI"/>
    <x v="7"/>
    <x v="7"/>
    <n v="239.117573502227"/>
    <n v="14546.319054718801"/>
    <n v="52366.748596987803"/>
  </r>
  <r>
    <x v="0"/>
    <x v="0"/>
    <x v="0"/>
    <x v="0"/>
    <x v="0"/>
    <s v="DK1_Medium"/>
    <x v="0"/>
    <x v="0"/>
    <s v="DK1_Rural_WI"/>
    <x v="7"/>
    <x v="8"/>
    <n v="262.17646764444999"/>
    <n v="15949.068448370699"/>
    <n v="57416.6464141346"/>
  </r>
  <r>
    <x v="0"/>
    <x v="0"/>
    <x v="0"/>
    <x v="0"/>
    <x v="0"/>
    <s v="DK1_Medium"/>
    <x v="0"/>
    <x v="0"/>
    <s v="DK1_Rural_WI"/>
    <x v="7"/>
    <x v="9"/>
    <n v="331.35315007111802"/>
    <n v="20157.316629326298"/>
    <n v="72566.339865574904"/>
  </r>
  <r>
    <x v="0"/>
    <x v="0"/>
    <x v="0"/>
    <x v="0"/>
    <x v="0"/>
    <s v="DK1_Medium"/>
    <x v="0"/>
    <x v="0"/>
    <s v="DK1_Rural_WI"/>
    <x v="7"/>
    <x v="10"/>
    <n v="416.63947087112001"/>
    <n v="25345.567811326498"/>
    <n v="91244.044120775303"/>
  </r>
  <r>
    <x v="0"/>
    <x v="0"/>
    <x v="0"/>
    <x v="0"/>
    <x v="0"/>
    <s v="DK1_Medium"/>
    <x v="0"/>
    <x v="0"/>
    <s v="DK1_Rural_WI"/>
    <x v="7"/>
    <x v="11"/>
    <n v="511.08617427556601"/>
    <n v="31091.075601763601"/>
    <n v="111927.872166349"/>
  </r>
  <r>
    <x v="0"/>
    <x v="0"/>
    <x v="0"/>
    <x v="0"/>
    <x v="0"/>
    <s v="DK1_Medium"/>
    <x v="0"/>
    <x v="0"/>
    <s v="DK1_Rural_WI"/>
    <x v="8"/>
    <x v="0"/>
    <n v="23.374769404444901"/>
    <n v="1421.9651387704"/>
    <n v="5119.0744995734403"/>
  </r>
  <r>
    <x v="0"/>
    <x v="0"/>
    <x v="0"/>
    <x v="0"/>
    <x v="0"/>
    <s v="DK1_Medium"/>
    <x v="0"/>
    <x v="0"/>
    <s v="DK1_Rural_WI"/>
    <x v="8"/>
    <x v="1"/>
    <n v="45.801913022223196"/>
    <n v="2786.28304218524"/>
    <n v="10030.6189518669"/>
  </r>
  <r>
    <x v="0"/>
    <x v="0"/>
    <x v="0"/>
    <x v="0"/>
    <x v="0"/>
    <s v="DK1_Medium"/>
    <x v="0"/>
    <x v="0"/>
    <s v="DK1_Rural_WI"/>
    <x v="8"/>
    <x v="2"/>
    <n v="61.595676133334599"/>
    <n v="3747.0702981111899"/>
    <n v="13489.4530732003"/>
  </r>
  <r>
    <x v="0"/>
    <x v="0"/>
    <x v="0"/>
    <x v="0"/>
    <x v="0"/>
    <s v="DK1_Medium"/>
    <x v="0"/>
    <x v="0"/>
    <s v="DK1_Rural_WI"/>
    <x v="8"/>
    <x v="3"/>
    <n v="81.179942391112803"/>
    <n v="4938.4464954593604"/>
    <n v="17778.407383653699"/>
  </r>
  <r>
    <x v="0"/>
    <x v="0"/>
    <x v="0"/>
    <x v="0"/>
    <x v="0"/>
    <s v="DK1_Medium"/>
    <x v="0"/>
    <x v="0"/>
    <s v="DK1_Rural_WI"/>
    <x v="8"/>
    <x v="4"/>
    <n v="96.973705502224306"/>
    <n v="5899.2337513853099"/>
    <n v="21237.241504987102"/>
  </r>
  <r>
    <x v="0"/>
    <x v="0"/>
    <x v="0"/>
    <x v="0"/>
    <x v="0"/>
    <s v="DK1_Medium"/>
    <x v="0"/>
    <x v="0"/>
    <s v="DK1_Rural_WI"/>
    <x v="8"/>
    <x v="5"/>
    <n v="123.823102791114"/>
    <n v="7532.5720864594196"/>
    <n v="27117.259511253898"/>
  </r>
  <r>
    <x v="0"/>
    <x v="0"/>
    <x v="0"/>
    <x v="0"/>
    <x v="0"/>
    <s v="DK1_Medium"/>
    <x v="0"/>
    <x v="0"/>
    <s v="DK1_Rural_WI"/>
    <x v="8"/>
    <x v="6"/>
    <n v="157.62175584889201"/>
    <n v="9588.6568141409407"/>
    <n v="34519.164530907401"/>
  </r>
  <r>
    <x v="0"/>
    <x v="0"/>
    <x v="0"/>
    <x v="0"/>
    <x v="0"/>
    <s v="DK1_Medium"/>
    <x v="0"/>
    <x v="0"/>
    <s v="DK1_Rural_WI"/>
    <x v="8"/>
    <x v="7"/>
    <n v="200.89666677333801"/>
    <n v="12221.213895378"/>
    <n v="43996.370023360898"/>
  </r>
  <r>
    <x v="0"/>
    <x v="0"/>
    <x v="0"/>
    <x v="0"/>
    <x v="0"/>
    <s v="DK1_Medium"/>
    <x v="0"/>
    <x v="0"/>
    <s v="DK1_Rural_WI"/>
    <x v="8"/>
    <x v="8"/>
    <n v="252.068459253339"/>
    <n v="15334.1646045781"/>
    <n v="55202.9925764812"/>
  </r>
  <r>
    <x v="0"/>
    <x v="0"/>
    <x v="0"/>
    <x v="0"/>
    <x v="0"/>
    <s v="DK1_Medium"/>
    <x v="0"/>
    <x v="0"/>
    <s v="DK1_Rural_WI"/>
    <x v="8"/>
    <x v="9"/>
    <n v="291.236991768895"/>
    <n v="17716.916999274399"/>
    <n v="63780.901197387997"/>
  </r>
  <r>
    <x v="0"/>
    <x v="0"/>
    <x v="0"/>
    <x v="0"/>
    <x v="0"/>
    <s v="DK1_Medium"/>
    <x v="0"/>
    <x v="0"/>
    <s v="DK1_Rural_WI"/>
    <x v="8"/>
    <x v="10"/>
    <n v="321.876892204451"/>
    <n v="19580.8442757708"/>
    <n v="70491.039392774794"/>
  </r>
  <r>
    <x v="0"/>
    <x v="0"/>
    <x v="0"/>
    <x v="0"/>
    <x v="0"/>
    <s v="DK1_Medium"/>
    <x v="0"/>
    <x v="0"/>
    <s v="DK1_Rural_WI"/>
    <x v="8"/>
    <x v="11"/>
    <n v="307.346630142229"/>
    <n v="18696.9200003189"/>
    <n v="67308.912001148099"/>
  </r>
  <r>
    <x v="0"/>
    <x v="0"/>
    <x v="0"/>
    <x v="0"/>
    <x v="0"/>
    <s v="DK1_Medium"/>
    <x v="0"/>
    <x v="0"/>
    <s v="DK1_Rural_WI"/>
    <x v="9"/>
    <x v="0"/>
    <n v="379.99794045334102"/>
    <n v="23116.541377578302"/>
    <n v="83219.548959281805"/>
  </r>
  <r>
    <x v="0"/>
    <x v="0"/>
    <x v="0"/>
    <x v="0"/>
    <x v="0"/>
    <s v="DK1_Medium"/>
    <x v="0"/>
    <x v="0"/>
    <s v="DK1_Rural_WI"/>
    <x v="9"/>
    <x v="1"/>
    <n v="406.21558721778598"/>
    <n v="24711.4482224153"/>
    <n v="88961.213600695206"/>
  </r>
  <r>
    <x v="0"/>
    <x v="0"/>
    <x v="0"/>
    <x v="0"/>
    <x v="0"/>
    <s v="DK1_Medium"/>
    <x v="0"/>
    <x v="0"/>
    <s v="DK1_Rural_WI"/>
    <x v="9"/>
    <x v="2"/>
    <n v="426.74747926223102"/>
    <n v="25960.471655119101"/>
    <n v="93457.697958428602"/>
  </r>
  <r>
    <x v="0"/>
    <x v="0"/>
    <x v="0"/>
    <x v="0"/>
    <x v="0"/>
    <s v="DK1_Medium"/>
    <x v="0"/>
    <x v="0"/>
    <s v="DK1_Rural_WI"/>
    <x v="9"/>
    <x v="3"/>
    <n v="439.06661448889798"/>
    <n v="26709.8857147413"/>
    <n v="96155.5885730687"/>
  </r>
  <r>
    <x v="0"/>
    <x v="0"/>
    <x v="0"/>
    <x v="0"/>
    <x v="0"/>
    <s v="DK1_Medium"/>
    <x v="0"/>
    <x v="0"/>
    <s v="DK1_Rural_WI"/>
    <x v="9"/>
    <x v="4"/>
    <n v="447.91112183112102"/>
    <n v="27247.9265780598"/>
    <n v="98092.535681015404"/>
  </r>
  <r>
    <x v="0"/>
    <x v="0"/>
    <x v="0"/>
    <x v="0"/>
    <x v="0"/>
    <s v="DK1_Medium"/>
    <x v="0"/>
    <x v="0"/>
    <s v="DK1_Rural_WI"/>
    <x v="9"/>
    <x v="5"/>
    <n v="450.122248666676"/>
    <n v="27382.436793889501"/>
    <n v="98576.772458002102"/>
  </r>
  <r>
    <x v="0"/>
    <x v="0"/>
    <x v="0"/>
    <x v="0"/>
    <x v="0"/>
    <s v="DK1_Medium"/>
    <x v="0"/>
    <x v="0"/>
    <s v="DK1_Rural_WI"/>
    <x v="9"/>
    <x v="6"/>
    <n v="462.44138389334302"/>
    <n v="28131.8508535117"/>
    <n v="101274.663072642"/>
  </r>
  <r>
    <x v="0"/>
    <x v="0"/>
    <x v="0"/>
    <x v="0"/>
    <x v="0"/>
    <s v="DK1_Medium"/>
    <x v="0"/>
    <x v="0"/>
    <s v="DK1_Rural_WI"/>
    <x v="9"/>
    <x v="7"/>
    <n v="474.44464385778798"/>
    <n v="28862.049168015401"/>
    <n v="103903.377004856"/>
  </r>
  <r>
    <x v="0"/>
    <x v="0"/>
    <x v="0"/>
    <x v="0"/>
    <x v="0"/>
    <s v="DK1_Medium"/>
    <x v="0"/>
    <x v="0"/>
    <s v="DK1_Rural_WI"/>
    <x v="9"/>
    <x v="8"/>
    <n v="491.18603275556598"/>
    <n v="29880.4836592969"/>
    <n v="107569.741173469"/>
  </r>
  <r>
    <x v="0"/>
    <x v="0"/>
    <x v="0"/>
    <x v="0"/>
    <x v="0"/>
    <s v="DK1_Medium"/>
    <x v="0"/>
    <x v="0"/>
    <s v="DK1_Rural_WI"/>
    <x v="9"/>
    <x v="9"/>
    <n v="490.87015749334398"/>
    <n v="29861.267914178399"/>
    <n v="107500.56449104199"/>
  </r>
  <r>
    <x v="0"/>
    <x v="0"/>
    <x v="0"/>
    <x v="0"/>
    <x v="0"/>
    <s v="DK1_Medium"/>
    <x v="0"/>
    <x v="0"/>
    <s v="DK1_Rural_WI"/>
    <x v="9"/>
    <x v="10"/>
    <n v="467.17951282667701"/>
    <n v="28420.087030289498"/>
    <n v="102312.313309042"/>
  </r>
  <r>
    <x v="0"/>
    <x v="0"/>
    <x v="0"/>
    <x v="0"/>
    <x v="0"/>
    <s v="DK1_Medium"/>
    <x v="0"/>
    <x v="0"/>
    <s v="DK1_Rural_WI"/>
    <x v="9"/>
    <x v="11"/>
    <n v="457.38737969778703"/>
    <n v="27824.3989316154"/>
    <n v="100167.83615381501"/>
  </r>
  <r>
    <x v="0"/>
    <x v="0"/>
    <x v="0"/>
    <x v="0"/>
    <x v="0"/>
    <s v="DK1_Medium"/>
    <x v="0"/>
    <x v="0"/>
    <s v="DK1_Rural_WI"/>
    <x v="10"/>
    <x v="0"/>
    <n v="658.28404647112495"/>
    <n v="40045.612826993398"/>
    <n v="144164.20617717601"/>
  </r>
  <r>
    <x v="0"/>
    <x v="0"/>
    <x v="0"/>
    <x v="0"/>
    <x v="0"/>
    <s v="DK1_Medium"/>
    <x v="0"/>
    <x v="0"/>
    <s v="DK1_Rural_WI"/>
    <x v="10"/>
    <x v="1"/>
    <n v="639.64740600001301"/>
    <n v="38911.883865000797"/>
    <n v="140082.78191400299"/>
  </r>
  <r>
    <x v="0"/>
    <x v="0"/>
    <x v="0"/>
    <x v="0"/>
    <x v="0"/>
    <s v="DK1_Medium"/>
    <x v="0"/>
    <x v="0"/>
    <s v="DK1_Rural_WI"/>
    <x v="10"/>
    <x v="2"/>
    <n v="622.27426657779097"/>
    <n v="37855.017883482302"/>
    <n v="136278.064380536"/>
  </r>
  <r>
    <x v="0"/>
    <x v="0"/>
    <x v="0"/>
    <x v="0"/>
    <x v="0"/>
    <s v="DK1_Medium"/>
    <x v="0"/>
    <x v="0"/>
    <s v="DK1_Rural_WI"/>
    <x v="10"/>
    <x v="3"/>
    <n v="610.90275713779101"/>
    <n v="37163.251059215603"/>
    <n v="133787.70381317599"/>
  </r>
  <r>
    <x v="0"/>
    <x v="0"/>
    <x v="0"/>
    <x v="0"/>
    <x v="0"/>
    <s v="DK1_Medium"/>
    <x v="0"/>
    <x v="0"/>
    <s v="DK1_Rural_WI"/>
    <x v="10"/>
    <x v="4"/>
    <n v="588.79148878223498"/>
    <n v="35818.148900919303"/>
    <n v="128945.336043309"/>
  </r>
  <r>
    <x v="0"/>
    <x v="0"/>
    <x v="0"/>
    <x v="0"/>
    <x v="0"/>
    <s v="DK1_Medium"/>
    <x v="0"/>
    <x v="0"/>
    <s v="DK1_Rural_WI"/>
    <x v="10"/>
    <x v="5"/>
    <n v="565.73259464001205"/>
    <n v="34415.399507267401"/>
    <n v="123895.43822616299"/>
  </r>
  <r>
    <x v="0"/>
    <x v="0"/>
    <x v="0"/>
    <x v="0"/>
    <x v="0"/>
    <s v="DK1_Medium"/>
    <x v="0"/>
    <x v="0"/>
    <s v="DK1_Rural_WI"/>
    <x v="10"/>
    <x v="6"/>
    <n v="579.946981440012"/>
    <n v="35280.108037600701"/>
    <n v="127008.38893536299"/>
  </r>
  <r>
    <x v="0"/>
    <x v="0"/>
    <x v="0"/>
    <x v="0"/>
    <x v="0"/>
    <s v="DK1_Medium"/>
    <x v="0"/>
    <x v="0"/>
    <s v="DK1_Rural_WI"/>
    <x v="10"/>
    <x v="7"/>
    <n v="551.518207840012"/>
    <n v="33550.690976933998"/>
    <n v="120782.487516963"/>
  </r>
  <r>
    <x v="0"/>
    <x v="0"/>
    <x v="0"/>
    <x v="0"/>
    <x v="0"/>
    <s v="DK1_Medium"/>
    <x v="0"/>
    <x v="0"/>
    <s v="DK1_Rural_WI"/>
    <x v="10"/>
    <x v="8"/>
    <n v="552.14995836445598"/>
    <n v="33589.122467171102"/>
    <n v="120920.840881816"/>
  </r>
  <r>
    <x v="0"/>
    <x v="0"/>
    <x v="0"/>
    <x v="0"/>
    <x v="0"/>
    <s v="DK1_Medium"/>
    <x v="0"/>
    <x v="0"/>
    <s v="DK1_Rural_WI"/>
    <x v="10"/>
    <x v="9"/>
    <n v="604.26937663112403"/>
    <n v="36759.720411726703"/>
    <n v="132334.993482216"/>
  </r>
  <r>
    <x v="0"/>
    <x v="0"/>
    <x v="0"/>
    <x v="0"/>
    <x v="0"/>
    <s v="DK1_Medium"/>
    <x v="0"/>
    <x v="0"/>
    <s v="DK1_Rural_WI"/>
    <x v="10"/>
    <x v="10"/>
    <n v="636.48865337779102"/>
    <n v="38719.726413815602"/>
    <n v="139391.015089736"/>
  </r>
  <r>
    <x v="0"/>
    <x v="0"/>
    <x v="0"/>
    <x v="0"/>
    <x v="0"/>
    <s v="DK1_Medium"/>
    <x v="0"/>
    <x v="0"/>
    <s v="DK1_Rural_WI"/>
    <x v="10"/>
    <x v="11"/>
    <n v="652.91416701334697"/>
    <n v="39718.945159978597"/>
    <n v="142988.202575923"/>
  </r>
  <r>
    <x v="0"/>
    <x v="0"/>
    <x v="0"/>
    <x v="0"/>
    <x v="0"/>
    <s v="DK1_Medium"/>
    <x v="0"/>
    <x v="0"/>
    <s v="DK1_Rural_WI"/>
    <x v="11"/>
    <x v="0"/>
    <n v="467.811263351121"/>
    <n v="28458.518520526501"/>
    <n v="102450.666673896"/>
  </r>
  <r>
    <x v="0"/>
    <x v="0"/>
    <x v="0"/>
    <x v="0"/>
    <x v="0"/>
    <s v="DK1_Medium"/>
    <x v="0"/>
    <x v="0"/>
    <s v="DK1_Rural_WI"/>
    <x v="11"/>
    <x v="1"/>
    <n v="511.08617427556601"/>
    <n v="31091.075601763601"/>
    <n v="111927.872166349"/>
  </r>
  <r>
    <x v="0"/>
    <x v="0"/>
    <x v="0"/>
    <x v="0"/>
    <x v="0"/>
    <s v="DK1_Medium"/>
    <x v="0"/>
    <x v="0"/>
    <s v="DK1_Rural_WI"/>
    <x v="11"/>
    <x v="2"/>
    <n v="546.14832838223401"/>
    <n v="33224.023309919197"/>
    <n v="119606.483915709"/>
  </r>
  <r>
    <x v="0"/>
    <x v="0"/>
    <x v="0"/>
    <x v="0"/>
    <x v="0"/>
    <s v="DK1_Medium"/>
    <x v="0"/>
    <x v="0"/>
    <s v="DK1_Rural_WI"/>
    <x v="11"/>
    <x v="3"/>
    <n v="617.85201290667999"/>
    <n v="37585.997451823001"/>
    <n v="135309.59082656301"/>
  </r>
  <r>
    <x v="0"/>
    <x v="0"/>
    <x v="0"/>
    <x v="0"/>
    <x v="0"/>
    <s v="DK1_Medium"/>
    <x v="0"/>
    <x v="0"/>
    <s v="DK1_Rural_WI"/>
    <x v="11"/>
    <x v="4"/>
    <n v="655.44116911112496"/>
    <n v="39872.671120926803"/>
    <n v="143541.61603533599"/>
  </r>
  <r>
    <x v="0"/>
    <x v="0"/>
    <x v="0"/>
    <x v="0"/>
    <x v="0"/>
    <s v="DK1_Medium"/>
    <x v="0"/>
    <x v="0"/>
    <s v="DK1_Rural_WI"/>
    <x v="11"/>
    <x v="5"/>
    <n v="692.08269952890305"/>
    <n v="42101.697554675004"/>
    <n v="151566.11119683"/>
  </r>
  <r>
    <x v="0"/>
    <x v="0"/>
    <x v="0"/>
    <x v="0"/>
    <x v="0"/>
    <s v="DK1_Medium"/>
    <x v="0"/>
    <x v="0"/>
    <s v="DK1_Rural_WI"/>
    <x v="11"/>
    <x v="6"/>
    <n v="707.24471211557"/>
    <n v="43024.053320363899"/>
    <n v="154886.59195331001"/>
  </r>
  <r>
    <x v="0"/>
    <x v="0"/>
    <x v="0"/>
    <x v="0"/>
    <x v="0"/>
    <s v="DK1_Medium"/>
    <x v="0"/>
    <x v="0"/>
    <s v="DK1_Rural_WI"/>
    <x v="11"/>
    <x v="7"/>
    <n v="698.40020477334804"/>
    <n v="42486.012457045297"/>
    <n v="152949.64484536299"/>
  </r>
  <r>
    <x v="0"/>
    <x v="0"/>
    <x v="0"/>
    <x v="0"/>
    <x v="0"/>
    <s v="DK1_Medium"/>
    <x v="0"/>
    <x v="0"/>
    <s v="DK1_Rural_WI"/>
    <x v="11"/>
    <x v="8"/>
    <n v="642.174408097791"/>
    <n v="39065.609825949003"/>
    <n v="140636.19537341601"/>
  </r>
  <r>
    <x v="0"/>
    <x v="0"/>
    <x v="0"/>
    <x v="0"/>
    <x v="0"/>
    <s v="DK1_Medium"/>
    <x v="0"/>
    <x v="0"/>
    <s v="DK1_Rural_WI"/>
    <x v="11"/>
    <x v="9"/>
    <n v="606.16462820445702"/>
    <n v="36875.014882437797"/>
    <n v="132750.053576776"/>
  </r>
  <r>
    <x v="0"/>
    <x v="0"/>
    <x v="0"/>
    <x v="0"/>
    <x v="0"/>
    <s v="DK1_Medium"/>
    <x v="0"/>
    <x v="0"/>
    <s v="DK1_Rural_WI"/>
    <x v="11"/>
    <x v="10"/>
    <n v="541.72607471112303"/>
    <n v="32955.002878259998"/>
    <n v="118638.010361736"/>
  </r>
  <r>
    <x v="0"/>
    <x v="0"/>
    <x v="0"/>
    <x v="0"/>
    <x v="0"/>
    <s v="DK1_Medium"/>
    <x v="0"/>
    <x v="0"/>
    <s v="DK1_Rural_WI"/>
    <x v="11"/>
    <x v="11"/>
    <n v="496.55591221334402"/>
    <n v="30207.151326311701"/>
    <n v="108745.744774722"/>
  </r>
  <r>
    <x v="0"/>
    <x v="0"/>
    <x v="0"/>
    <x v="0"/>
    <x v="0"/>
    <s v="DK1_Rural"/>
    <x v="1"/>
    <x v="1"/>
    <s v="SolarPV-50"/>
    <x v="0"/>
    <x v="0"/>
    <n v="2783.9432882002602"/>
    <n v="169356.550032183"/>
    <n v="609683.58011585695"/>
  </r>
  <r>
    <x v="0"/>
    <x v="0"/>
    <x v="0"/>
    <x v="0"/>
    <x v="0"/>
    <s v="DK1_Rural"/>
    <x v="1"/>
    <x v="1"/>
    <s v="SolarPV-50"/>
    <x v="0"/>
    <x v="1"/>
    <n v="2826.47183777796"/>
    <n v="171943.70346482599"/>
    <n v="618997.33247337397"/>
  </r>
  <r>
    <x v="0"/>
    <x v="0"/>
    <x v="0"/>
    <x v="0"/>
    <x v="0"/>
    <s v="DK1_Rural"/>
    <x v="1"/>
    <x v="1"/>
    <s v="SolarPV-50"/>
    <x v="0"/>
    <x v="2"/>
    <n v="2825.68842601093"/>
    <n v="171896.04591566499"/>
    <n v="618825.76529639401"/>
  </r>
  <r>
    <x v="0"/>
    <x v="0"/>
    <x v="0"/>
    <x v="0"/>
    <x v="0"/>
    <s v="DK1_Rural"/>
    <x v="1"/>
    <x v="1"/>
    <s v="SolarPV-50"/>
    <x v="0"/>
    <x v="3"/>
    <n v="2683.1795952592502"/>
    <n v="163226.75871160399"/>
    <n v="587616.33136177598"/>
  </r>
  <r>
    <x v="0"/>
    <x v="0"/>
    <x v="0"/>
    <x v="0"/>
    <x v="0"/>
    <s v="DK1_Rural"/>
    <x v="1"/>
    <x v="1"/>
    <s v="SolarPV-50"/>
    <x v="0"/>
    <x v="4"/>
    <n v="2690.0289810156501"/>
    <n v="163643.429678452"/>
    <n v="589116.34684242797"/>
  </r>
  <r>
    <x v="0"/>
    <x v="0"/>
    <x v="0"/>
    <x v="0"/>
    <x v="0"/>
    <s v="DK1_Rural"/>
    <x v="1"/>
    <x v="1"/>
    <s v="SolarPV-50"/>
    <x v="0"/>
    <x v="5"/>
    <n v="2789.5594034036299"/>
    <n v="169698.19704038801"/>
    <n v="610913.50934539596"/>
  </r>
  <r>
    <x v="0"/>
    <x v="0"/>
    <x v="0"/>
    <x v="0"/>
    <x v="0"/>
    <s v="DK1_Rural"/>
    <x v="1"/>
    <x v="1"/>
    <s v="SolarPV-50"/>
    <x v="0"/>
    <x v="6"/>
    <n v="3149.1578687482302"/>
    <n v="191573.77034885099"/>
    <n v="689665.57325586199"/>
  </r>
  <r>
    <x v="0"/>
    <x v="0"/>
    <x v="0"/>
    <x v="0"/>
    <x v="0"/>
    <s v="DK1_Rural"/>
    <x v="1"/>
    <x v="1"/>
    <s v="SolarPV-50"/>
    <x v="0"/>
    <x v="7"/>
    <n v="3648.7761923226399"/>
    <n v="221967.21836629399"/>
    <n v="799081.98611865798"/>
  </r>
  <r>
    <x v="0"/>
    <x v="0"/>
    <x v="0"/>
    <x v="0"/>
    <x v="0"/>
    <s v="DK1_Rural"/>
    <x v="1"/>
    <x v="1"/>
    <s v="SolarPV-50"/>
    <x v="0"/>
    <x v="8"/>
    <n v="3975.0601970482498"/>
    <n v="241816.16198710201"/>
    <n v="870538.18315356597"/>
  </r>
  <r>
    <x v="0"/>
    <x v="0"/>
    <x v="0"/>
    <x v="0"/>
    <x v="0"/>
    <s v="DK1_Rural"/>
    <x v="1"/>
    <x v="1"/>
    <s v="SolarPV-50"/>
    <x v="0"/>
    <x v="9"/>
    <n v="4043.5021247987702"/>
    <n v="245979.712591925"/>
    <n v="885526.96533093101"/>
  </r>
  <r>
    <x v="0"/>
    <x v="0"/>
    <x v="0"/>
    <x v="0"/>
    <x v="0"/>
    <s v="DK1_Rural"/>
    <x v="1"/>
    <x v="1"/>
    <s v="SolarPV-50"/>
    <x v="0"/>
    <x v="10"/>
    <n v="4131.8732188813501"/>
    <n v="251355.62081528199"/>
    <n v="904880.23493501602"/>
  </r>
  <r>
    <x v="0"/>
    <x v="0"/>
    <x v="0"/>
    <x v="0"/>
    <x v="0"/>
    <s v="DK1_Rural"/>
    <x v="1"/>
    <x v="1"/>
    <s v="SolarPV-50"/>
    <x v="0"/>
    <x v="11"/>
    <n v="4086.1292600869201"/>
    <n v="248572.86332195401"/>
    <n v="894862.30795903597"/>
  </r>
  <r>
    <x v="0"/>
    <x v="0"/>
    <x v="0"/>
    <x v="0"/>
    <x v="0"/>
    <s v="DK1_Rural"/>
    <x v="1"/>
    <x v="1"/>
    <s v="SolarPV-50"/>
    <x v="1"/>
    <x v="0"/>
    <n v="3571.0154194537099"/>
    <n v="217236.77135010099"/>
    <n v="782052.37686036294"/>
  </r>
  <r>
    <x v="0"/>
    <x v="0"/>
    <x v="0"/>
    <x v="0"/>
    <x v="0"/>
    <s v="DK1_Rural"/>
    <x v="1"/>
    <x v="1"/>
    <s v="SolarPV-50"/>
    <x v="1"/>
    <x v="1"/>
    <n v="3507.5962995785098"/>
    <n v="213378.774891026"/>
    <n v="768163.58960769395"/>
  </r>
  <r>
    <x v="0"/>
    <x v="0"/>
    <x v="0"/>
    <x v="0"/>
    <x v="0"/>
    <s v="DK1_Rural"/>
    <x v="1"/>
    <x v="1"/>
    <s v="SolarPV-50"/>
    <x v="1"/>
    <x v="2"/>
    <n v="3464.7710963367899"/>
    <n v="210773.575027154"/>
    <n v="758784.87009775604"/>
  </r>
  <r>
    <x v="0"/>
    <x v="0"/>
    <x v="0"/>
    <x v="0"/>
    <x v="0"/>
    <s v="DK1_Rural"/>
    <x v="1"/>
    <x v="1"/>
    <s v="SolarPV-50"/>
    <x v="1"/>
    <x v="3"/>
    <n v="3432.0900945561598"/>
    <n v="208785.48075216601"/>
    <n v="751627.73070779897"/>
  </r>
  <r>
    <x v="0"/>
    <x v="0"/>
    <x v="0"/>
    <x v="0"/>
    <x v="0"/>
    <s v="DK1_Rural"/>
    <x v="1"/>
    <x v="1"/>
    <s v="SolarPV-50"/>
    <x v="1"/>
    <x v="4"/>
    <n v="3412.4944812051399"/>
    <n v="207593.414273312"/>
    <n v="747336.29138392501"/>
  </r>
  <r>
    <x v="0"/>
    <x v="0"/>
    <x v="0"/>
    <x v="0"/>
    <x v="0"/>
    <s v="DK1_Rural"/>
    <x v="1"/>
    <x v="1"/>
    <s v="SolarPV-50"/>
    <x v="1"/>
    <x v="5"/>
    <n v="3657.0306703812398"/>
    <n v="222469.36578152599"/>
    <n v="800889.71681349305"/>
  </r>
  <r>
    <x v="0"/>
    <x v="0"/>
    <x v="0"/>
    <x v="0"/>
    <x v="0"/>
    <s v="DK1_Rural"/>
    <x v="1"/>
    <x v="1"/>
    <s v="SolarPV-50"/>
    <x v="1"/>
    <x v="6"/>
    <n v="4178.6284897314799"/>
    <n v="254199.899791998"/>
    <n v="915119.63925119303"/>
  </r>
  <r>
    <x v="0"/>
    <x v="0"/>
    <x v="0"/>
    <x v="0"/>
    <x v="0"/>
    <s v="DK1_Rural"/>
    <x v="1"/>
    <x v="1"/>
    <s v="SolarPV-50"/>
    <x v="1"/>
    <x v="7"/>
    <n v="4723.9875199070102"/>
    <n v="287375.90746100899"/>
    <n v="1034553.26685963"/>
  </r>
  <r>
    <x v="0"/>
    <x v="0"/>
    <x v="0"/>
    <x v="0"/>
    <x v="0"/>
    <s v="DK1_Rural"/>
    <x v="1"/>
    <x v="1"/>
    <s v="SolarPV-50"/>
    <x v="1"/>
    <x v="8"/>
    <n v="4813.3905643957296"/>
    <n v="292814.59266740701"/>
    <n v="1054132.5336026701"/>
  </r>
  <r>
    <x v="0"/>
    <x v="0"/>
    <x v="0"/>
    <x v="0"/>
    <x v="0"/>
    <s v="DK1_Rural"/>
    <x v="1"/>
    <x v="1"/>
    <s v="SolarPV-50"/>
    <x v="1"/>
    <x v="9"/>
    <n v="4697.4117470933998"/>
    <n v="285759.21461484802"/>
    <n v="1028733.17261345"/>
  </r>
  <r>
    <x v="0"/>
    <x v="0"/>
    <x v="0"/>
    <x v="0"/>
    <x v="0"/>
    <s v="DK1_Rural"/>
    <x v="1"/>
    <x v="1"/>
    <s v="SolarPV-50"/>
    <x v="1"/>
    <x v="10"/>
    <n v="4654.8350824907902"/>
    <n v="283169.13418485702"/>
    <n v="1019408.88306548"/>
  </r>
  <r>
    <x v="0"/>
    <x v="0"/>
    <x v="0"/>
    <x v="0"/>
    <x v="0"/>
    <s v="DK1_Rural"/>
    <x v="1"/>
    <x v="1"/>
    <s v="SolarPV-50"/>
    <x v="1"/>
    <x v="11"/>
    <n v="4611.3619525095"/>
    <n v="280524.51877766103"/>
    <n v="1009888.26759958"/>
  </r>
  <r>
    <x v="0"/>
    <x v="0"/>
    <x v="0"/>
    <x v="0"/>
    <x v="0"/>
    <s v="DK1_Rural"/>
    <x v="1"/>
    <x v="1"/>
    <s v="SolarPV-50"/>
    <x v="2"/>
    <x v="0"/>
    <n v="3395.0220993992102"/>
    <n v="206530.51104678601"/>
    <n v="743509.83976842801"/>
  </r>
  <r>
    <x v="0"/>
    <x v="0"/>
    <x v="0"/>
    <x v="0"/>
    <x v="0"/>
    <s v="DK1_Rural"/>
    <x v="1"/>
    <x v="1"/>
    <s v="SolarPV-50"/>
    <x v="2"/>
    <x v="1"/>
    <n v="3321.72739245719"/>
    <n v="202071.749707813"/>
    <n v="727458.29894812603"/>
  </r>
  <r>
    <x v="0"/>
    <x v="0"/>
    <x v="0"/>
    <x v="0"/>
    <x v="0"/>
    <s v="DK1_Rural"/>
    <x v="1"/>
    <x v="1"/>
    <s v="SolarPV-50"/>
    <x v="2"/>
    <x v="2"/>
    <n v="3299.08314637995"/>
    <n v="200694.22473811399"/>
    <n v="722499.20905721001"/>
  </r>
  <r>
    <x v="0"/>
    <x v="0"/>
    <x v="0"/>
    <x v="0"/>
    <x v="0"/>
    <s v="DK1_Rural"/>
    <x v="1"/>
    <x v="1"/>
    <s v="SolarPV-50"/>
    <x v="2"/>
    <x v="3"/>
    <n v="3306.1787151148401"/>
    <n v="201125.871836153"/>
    <n v="724053.13861014904"/>
  </r>
  <r>
    <x v="0"/>
    <x v="0"/>
    <x v="0"/>
    <x v="0"/>
    <x v="0"/>
    <s v="DK1_Rural"/>
    <x v="1"/>
    <x v="1"/>
    <s v="SolarPV-50"/>
    <x v="2"/>
    <x v="4"/>
    <n v="3333.2940723776401"/>
    <n v="202775.389402973"/>
    <n v="729991.40185070201"/>
  </r>
  <r>
    <x v="0"/>
    <x v="0"/>
    <x v="0"/>
    <x v="0"/>
    <x v="0"/>
    <s v="DK1_Rural"/>
    <x v="1"/>
    <x v="1"/>
    <s v="SolarPV-50"/>
    <x v="2"/>
    <x v="5"/>
    <n v="3498.6531806747198"/>
    <n v="212834.73515771201"/>
    <n v="766205.04656776297"/>
  </r>
  <r>
    <x v="0"/>
    <x v="0"/>
    <x v="0"/>
    <x v="0"/>
    <x v="0"/>
    <s v="DK1_Rural"/>
    <x v="1"/>
    <x v="1"/>
    <s v="SolarPV-50"/>
    <x v="2"/>
    <x v="6"/>
    <n v="3967.07231166065"/>
    <n v="241330.23229268999"/>
    <n v="868788.83625368297"/>
  </r>
  <r>
    <x v="0"/>
    <x v="0"/>
    <x v="0"/>
    <x v="0"/>
    <x v="0"/>
    <s v="DK1_Rural"/>
    <x v="1"/>
    <x v="1"/>
    <s v="SolarPV-50"/>
    <x v="2"/>
    <x v="7"/>
    <n v="4537.0609787704298"/>
    <n v="276004.54287520098"/>
    <n v="993616.35435072496"/>
  </r>
  <r>
    <x v="0"/>
    <x v="0"/>
    <x v="0"/>
    <x v="0"/>
    <x v="0"/>
    <s v="DK1_Rural"/>
    <x v="1"/>
    <x v="1"/>
    <s v="SolarPV-50"/>
    <x v="2"/>
    <x v="8"/>
    <n v="4732.1542940256804"/>
    <n v="287872.71955322899"/>
    <n v="1036341.79039162"/>
  </r>
  <r>
    <x v="0"/>
    <x v="0"/>
    <x v="0"/>
    <x v="0"/>
    <x v="0"/>
    <s v="DK1_Rural"/>
    <x v="1"/>
    <x v="1"/>
    <s v="SolarPV-50"/>
    <x v="2"/>
    <x v="9"/>
    <n v="4694.2724921713198"/>
    <n v="285568.24327375501"/>
    <n v="1028045.67578552"/>
  </r>
  <r>
    <x v="0"/>
    <x v="0"/>
    <x v="0"/>
    <x v="0"/>
    <x v="0"/>
    <s v="DK1_Rural"/>
    <x v="1"/>
    <x v="1"/>
    <s v="SolarPV-50"/>
    <x v="2"/>
    <x v="10"/>
    <n v="4734.0490626868304"/>
    <n v="287987.98464678199"/>
    <n v="1036756.74472842"/>
  </r>
  <r>
    <x v="0"/>
    <x v="0"/>
    <x v="0"/>
    <x v="0"/>
    <x v="0"/>
    <s v="DK1_Rural"/>
    <x v="1"/>
    <x v="1"/>
    <s v="SolarPV-50"/>
    <x v="2"/>
    <x v="11"/>
    <n v="4700.4828112354098"/>
    <n v="285946.037683487"/>
    <n v="1029405.73566055"/>
  </r>
  <r>
    <x v="0"/>
    <x v="0"/>
    <x v="0"/>
    <x v="0"/>
    <x v="0"/>
    <s v="DK1_Rural"/>
    <x v="1"/>
    <x v="1"/>
    <s v="SolarPV-50"/>
    <x v="3"/>
    <x v="0"/>
    <n v="3605.4949598456701"/>
    <n v="219334.27672394499"/>
    <n v="789603.39620620199"/>
  </r>
  <r>
    <x v="0"/>
    <x v="0"/>
    <x v="0"/>
    <x v="0"/>
    <x v="0"/>
    <s v="DK1_Rural"/>
    <x v="1"/>
    <x v="1"/>
    <s v="SolarPV-50"/>
    <x v="3"/>
    <x v="1"/>
    <n v="3575.9588208410701"/>
    <n v="217537.49493449801"/>
    <n v="783134.98176419502"/>
  </r>
  <r>
    <x v="0"/>
    <x v="0"/>
    <x v="0"/>
    <x v="0"/>
    <x v="0"/>
    <s v="DK1_Rural"/>
    <x v="1"/>
    <x v="1"/>
    <s v="SolarPV-50"/>
    <x v="3"/>
    <x v="2"/>
    <n v="3559.5617931449301"/>
    <n v="216540.00908298299"/>
    <n v="779544.03269873897"/>
  </r>
  <r>
    <x v="0"/>
    <x v="0"/>
    <x v="0"/>
    <x v="0"/>
    <x v="0"/>
    <s v="DK1_Rural"/>
    <x v="1"/>
    <x v="1"/>
    <s v="SolarPV-50"/>
    <x v="3"/>
    <x v="3"/>
    <n v="3480.6421109522798"/>
    <n v="211739.06174959699"/>
    <n v="762260.622298548"/>
  </r>
  <r>
    <x v="0"/>
    <x v="0"/>
    <x v="0"/>
    <x v="0"/>
    <x v="0"/>
    <s v="DK1_Rural"/>
    <x v="1"/>
    <x v="1"/>
    <s v="SolarPV-50"/>
    <x v="3"/>
    <x v="4"/>
    <n v="3544.1149537063302"/>
    <n v="215600.32635046801"/>
    <n v="776161.174861687"/>
  </r>
  <r>
    <x v="0"/>
    <x v="0"/>
    <x v="0"/>
    <x v="0"/>
    <x v="0"/>
    <s v="DK1_Rural"/>
    <x v="1"/>
    <x v="1"/>
    <s v="SolarPV-50"/>
    <x v="3"/>
    <x v="5"/>
    <n v="3752.6585018352698"/>
    <n v="228286.725528312"/>
    <n v="821832.21190192504"/>
  </r>
  <r>
    <x v="0"/>
    <x v="0"/>
    <x v="0"/>
    <x v="0"/>
    <x v="0"/>
    <s v="DK1_Rural"/>
    <x v="1"/>
    <x v="1"/>
    <s v="SolarPV-50"/>
    <x v="3"/>
    <x v="6"/>
    <n v="4301.3067398615503"/>
    <n v="261662.82667491099"/>
    <n v="941986.17602967902"/>
  </r>
  <r>
    <x v="0"/>
    <x v="0"/>
    <x v="0"/>
    <x v="0"/>
    <x v="0"/>
    <s v="DK1_Rural"/>
    <x v="1"/>
    <x v="1"/>
    <s v="SolarPV-50"/>
    <x v="3"/>
    <x v="7"/>
    <n v="4936.1257895979697"/>
    <n v="300280.98553387698"/>
    <n v="1081011.54792196"/>
  </r>
  <r>
    <x v="0"/>
    <x v="0"/>
    <x v="0"/>
    <x v="0"/>
    <x v="0"/>
    <s v="DK1_Rural"/>
    <x v="1"/>
    <x v="1"/>
    <s v="SolarPV-50"/>
    <x v="3"/>
    <x v="8"/>
    <n v="5049.8898566266798"/>
    <n v="307201.63294478902"/>
    <n v="1105925.87860124"/>
  </r>
  <r>
    <x v="0"/>
    <x v="0"/>
    <x v="0"/>
    <x v="0"/>
    <x v="0"/>
    <s v="DK1_Rural"/>
    <x v="1"/>
    <x v="1"/>
    <s v="SolarPV-50"/>
    <x v="3"/>
    <x v="9"/>
    <n v="5982.8479759196998"/>
    <n v="363956.585201782"/>
    <n v="1310243.70672641"/>
  </r>
  <r>
    <x v="0"/>
    <x v="0"/>
    <x v="0"/>
    <x v="0"/>
    <x v="0"/>
    <s v="DK1_Rural"/>
    <x v="1"/>
    <x v="1"/>
    <s v="SolarPV-50"/>
    <x v="3"/>
    <x v="10"/>
    <n v="6000.9729957864702"/>
    <n v="365059.19057700998"/>
    <n v="1314213.0860772401"/>
  </r>
  <r>
    <x v="0"/>
    <x v="0"/>
    <x v="0"/>
    <x v="0"/>
    <x v="0"/>
    <s v="DK1_Rural"/>
    <x v="1"/>
    <x v="1"/>
    <s v="SolarPV-50"/>
    <x v="3"/>
    <x v="11"/>
    <n v="5933.0402575547496"/>
    <n v="360926.61566791398"/>
    <n v="1299335.81640449"/>
  </r>
  <r>
    <x v="0"/>
    <x v="0"/>
    <x v="0"/>
    <x v="0"/>
    <x v="0"/>
    <s v="DK1_Rural"/>
    <x v="1"/>
    <x v="1"/>
    <s v="SolarPV-50"/>
    <x v="4"/>
    <x v="0"/>
    <n v="1764.8501791450201"/>
    <n v="107361.719231322"/>
    <n v="386502.189232759"/>
  </r>
  <r>
    <x v="0"/>
    <x v="0"/>
    <x v="0"/>
    <x v="0"/>
    <x v="0"/>
    <s v="DK1_Rural"/>
    <x v="1"/>
    <x v="1"/>
    <s v="SolarPV-50"/>
    <x v="4"/>
    <x v="1"/>
    <n v="1705.0594279555401"/>
    <n v="103724.448533962"/>
    <n v="373408.01472226297"/>
  </r>
  <r>
    <x v="0"/>
    <x v="0"/>
    <x v="0"/>
    <x v="0"/>
    <x v="0"/>
    <s v="DK1_Rural"/>
    <x v="1"/>
    <x v="1"/>
    <s v="SolarPV-50"/>
    <x v="4"/>
    <x v="2"/>
    <n v="1675.1808759226501"/>
    <n v="101906.836618628"/>
    <n v="366864.61182706"/>
  </r>
  <r>
    <x v="0"/>
    <x v="0"/>
    <x v="0"/>
    <x v="0"/>
    <x v="0"/>
    <s v="DK1_Rural"/>
    <x v="1"/>
    <x v="1"/>
    <s v="SolarPV-50"/>
    <x v="4"/>
    <x v="3"/>
    <n v="1716.6798307548399"/>
    <n v="104431.35637091901"/>
    <n v="375952.88293531002"/>
  </r>
  <r>
    <x v="0"/>
    <x v="0"/>
    <x v="0"/>
    <x v="0"/>
    <x v="0"/>
    <s v="DK1_Rural"/>
    <x v="1"/>
    <x v="1"/>
    <s v="SolarPV-50"/>
    <x v="4"/>
    <x v="4"/>
    <n v="1764.5871726046901"/>
    <n v="107345.71966678499"/>
    <n v="386444.59080042702"/>
  </r>
  <r>
    <x v="0"/>
    <x v="0"/>
    <x v="0"/>
    <x v="0"/>
    <x v="0"/>
    <s v="DK1_Rural"/>
    <x v="1"/>
    <x v="1"/>
    <s v="SolarPV-50"/>
    <x v="4"/>
    <x v="5"/>
    <n v="1911.8100453270999"/>
    <n v="116301.777757398"/>
    <n v="418686.39992663497"/>
  </r>
  <r>
    <x v="0"/>
    <x v="0"/>
    <x v="0"/>
    <x v="0"/>
    <x v="0"/>
    <s v="DK1_Rural"/>
    <x v="1"/>
    <x v="1"/>
    <s v="SolarPV-50"/>
    <x v="4"/>
    <x v="6"/>
    <n v="2333.8036436553298"/>
    <n v="141973.054989033"/>
    <n v="511102.997960518"/>
  </r>
  <r>
    <x v="0"/>
    <x v="0"/>
    <x v="0"/>
    <x v="0"/>
    <x v="0"/>
    <s v="DK1_Rural"/>
    <x v="1"/>
    <x v="1"/>
    <s v="SolarPV-50"/>
    <x v="4"/>
    <x v="7"/>
    <n v="2884.6320882988798"/>
    <n v="175481.785371515"/>
    <n v="631734.42733745498"/>
  </r>
  <r>
    <x v="0"/>
    <x v="0"/>
    <x v="0"/>
    <x v="0"/>
    <x v="0"/>
    <s v="DK1_Rural"/>
    <x v="1"/>
    <x v="1"/>
    <s v="SolarPV-50"/>
    <x v="4"/>
    <x v="8"/>
    <n v="2942.7710016123801"/>
    <n v="179018.56926475299"/>
    <n v="644466.849353111"/>
  </r>
  <r>
    <x v="0"/>
    <x v="0"/>
    <x v="0"/>
    <x v="0"/>
    <x v="0"/>
    <s v="DK1_Rural"/>
    <x v="1"/>
    <x v="1"/>
    <s v="SolarPV-50"/>
    <x v="4"/>
    <x v="9"/>
    <n v="2800.20844798185"/>
    <n v="170346.013918896"/>
    <n v="613245.65010802401"/>
  </r>
  <r>
    <x v="0"/>
    <x v="0"/>
    <x v="0"/>
    <x v="0"/>
    <x v="0"/>
    <s v="DK1_Rural"/>
    <x v="1"/>
    <x v="1"/>
    <s v="SolarPV-50"/>
    <x v="4"/>
    <x v="10"/>
    <n v="2733.72061962527"/>
    <n v="166301.337693871"/>
    <n v="598684.81569793494"/>
  </r>
  <r>
    <x v="0"/>
    <x v="0"/>
    <x v="0"/>
    <x v="0"/>
    <x v="0"/>
    <s v="DK1_Rural"/>
    <x v="1"/>
    <x v="1"/>
    <s v="SolarPV-50"/>
    <x v="4"/>
    <x v="11"/>
    <n v="2615.2079669694699"/>
    <n v="159091.817990643"/>
    <n v="572730.54476631503"/>
  </r>
  <r>
    <x v="0"/>
    <x v="0"/>
    <x v="0"/>
    <x v="0"/>
    <x v="0"/>
    <s v="DK1_Rural"/>
    <x v="1"/>
    <x v="1"/>
    <s v="SolarPV-50"/>
    <x v="5"/>
    <x v="0"/>
    <n v="2422.0097543127399"/>
    <n v="147338.92672069199"/>
    <n v="530420.13619449001"/>
  </r>
  <r>
    <x v="0"/>
    <x v="0"/>
    <x v="0"/>
    <x v="0"/>
    <x v="0"/>
    <s v="DK1_Rural"/>
    <x v="1"/>
    <x v="1"/>
    <s v="SolarPV-50"/>
    <x v="5"/>
    <x v="1"/>
    <n v="2390.4288937183301"/>
    <n v="145417.75770119799"/>
    <n v="523503.92772431398"/>
  </r>
  <r>
    <x v="0"/>
    <x v="0"/>
    <x v="0"/>
    <x v="0"/>
    <x v="0"/>
    <s v="DK1_Rural"/>
    <x v="1"/>
    <x v="1"/>
    <s v="SolarPV-50"/>
    <x v="5"/>
    <x v="2"/>
    <n v="2372.2501509726999"/>
    <n v="144311.88418417299"/>
    <n v="519522.78306302201"/>
  </r>
  <r>
    <x v="0"/>
    <x v="0"/>
    <x v="0"/>
    <x v="0"/>
    <x v="0"/>
    <s v="DK1_Rural"/>
    <x v="1"/>
    <x v="1"/>
    <s v="SolarPV-50"/>
    <x v="5"/>
    <x v="3"/>
    <n v="2365.2139129706202"/>
    <n v="143883.84637238001"/>
    <n v="517981.84694056702"/>
  </r>
  <r>
    <x v="0"/>
    <x v="0"/>
    <x v="0"/>
    <x v="0"/>
    <x v="0"/>
    <s v="DK1_Rural"/>
    <x v="1"/>
    <x v="1"/>
    <s v="SolarPV-50"/>
    <x v="5"/>
    <x v="4"/>
    <n v="2479.4390544932198"/>
    <n v="150832.542481671"/>
    <n v="542997.15293401596"/>
  </r>
  <r>
    <x v="0"/>
    <x v="0"/>
    <x v="0"/>
    <x v="0"/>
    <x v="0"/>
    <s v="DK1_Rural"/>
    <x v="1"/>
    <x v="1"/>
    <s v="SolarPV-50"/>
    <x v="5"/>
    <x v="5"/>
    <n v="2659.7133812942898"/>
    <n v="161799.23069540301"/>
    <n v="582477.23050345096"/>
  </r>
  <r>
    <x v="0"/>
    <x v="0"/>
    <x v="0"/>
    <x v="0"/>
    <x v="0"/>
    <s v="DK1_Rural"/>
    <x v="1"/>
    <x v="1"/>
    <s v="SolarPV-50"/>
    <x v="5"/>
    <x v="6"/>
    <n v="3178.8254803159698"/>
    <n v="193378.55005255499"/>
    <n v="696162.78018919798"/>
  </r>
  <r>
    <x v="0"/>
    <x v="0"/>
    <x v="0"/>
    <x v="0"/>
    <x v="0"/>
    <s v="DK1_Rural"/>
    <x v="1"/>
    <x v="1"/>
    <s v="SolarPV-50"/>
    <x v="5"/>
    <x v="7"/>
    <n v="3712.5472841303499"/>
    <n v="225846.626451263"/>
    <n v="813047.85522454802"/>
  </r>
  <r>
    <x v="0"/>
    <x v="0"/>
    <x v="0"/>
    <x v="0"/>
    <x v="0"/>
    <s v="DK1_Rural"/>
    <x v="1"/>
    <x v="1"/>
    <s v="SolarPV-50"/>
    <x v="5"/>
    <x v="8"/>
    <n v="3826.9873171683798"/>
    <n v="232808.39512774299"/>
    <n v="838110.222459874"/>
  </r>
  <r>
    <x v="0"/>
    <x v="0"/>
    <x v="0"/>
    <x v="0"/>
    <x v="0"/>
    <s v="DK1_Rural"/>
    <x v="1"/>
    <x v="1"/>
    <s v="SolarPV-50"/>
    <x v="5"/>
    <x v="9"/>
    <n v="3788.9611702392899"/>
    <n v="230495.137856224"/>
    <n v="829782.49628240499"/>
  </r>
  <r>
    <x v="0"/>
    <x v="0"/>
    <x v="0"/>
    <x v="0"/>
    <x v="0"/>
    <s v="DK1_Rural"/>
    <x v="1"/>
    <x v="1"/>
    <s v="SolarPV-50"/>
    <x v="5"/>
    <x v="10"/>
    <n v="3710.3974724434702"/>
    <n v="225715.84624031099"/>
    <n v="812577.04646512005"/>
  </r>
  <r>
    <x v="0"/>
    <x v="0"/>
    <x v="0"/>
    <x v="0"/>
    <x v="0"/>
    <s v="DK1_Rural"/>
    <x v="1"/>
    <x v="1"/>
    <s v="SolarPV-50"/>
    <x v="5"/>
    <x v="11"/>
    <n v="3625.6178477296098"/>
    <n v="220558.41907021799"/>
    <n v="794010.30865278398"/>
  </r>
  <r>
    <x v="0"/>
    <x v="0"/>
    <x v="0"/>
    <x v="0"/>
    <x v="0"/>
    <s v="DK1_Rural"/>
    <x v="1"/>
    <x v="1"/>
    <s v="SolarPV-50"/>
    <x v="6"/>
    <x v="0"/>
    <n v="2835.80382793127"/>
    <n v="172511.39953248599"/>
    <n v="621041.03831694904"/>
  </r>
  <r>
    <x v="0"/>
    <x v="0"/>
    <x v="0"/>
    <x v="0"/>
    <x v="0"/>
    <s v="DK1_Rural"/>
    <x v="1"/>
    <x v="1"/>
    <s v="SolarPV-50"/>
    <x v="6"/>
    <x v="1"/>
    <n v="2798.8072757476998"/>
    <n v="170260.77594131901"/>
    <n v="612938.79338874703"/>
  </r>
  <r>
    <x v="0"/>
    <x v="0"/>
    <x v="0"/>
    <x v="0"/>
    <x v="0"/>
    <s v="DK1_Rural"/>
    <x v="1"/>
    <x v="1"/>
    <s v="SolarPV-50"/>
    <x v="6"/>
    <x v="2"/>
    <n v="2802.1133071602899"/>
    <n v="170461.89285225101"/>
    <n v="613662.81426810496"/>
  </r>
  <r>
    <x v="0"/>
    <x v="0"/>
    <x v="0"/>
    <x v="0"/>
    <x v="0"/>
    <s v="DK1_Rural"/>
    <x v="1"/>
    <x v="1"/>
    <s v="SolarPV-50"/>
    <x v="6"/>
    <x v="3"/>
    <n v="2824.5482695760602"/>
    <n v="171826.68639921001"/>
    <n v="618576.07103715802"/>
  </r>
  <r>
    <x v="0"/>
    <x v="0"/>
    <x v="0"/>
    <x v="0"/>
    <x v="0"/>
    <s v="DK1_Rural"/>
    <x v="1"/>
    <x v="1"/>
    <s v="SolarPV-50"/>
    <x v="6"/>
    <x v="4"/>
    <n v="2855.8180086052398"/>
    <n v="173728.92885681899"/>
    <n v="625424.14388454799"/>
  </r>
  <r>
    <x v="0"/>
    <x v="0"/>
    <x v="0"/>
    <x v="0"/>
    <x v="0"/>
    <s v="DK1_Rural"/>
    <x v="1"/>
    <x v="1"/>
    <s v="SolarPV-50"/>
    <x v="6"/>
    <x v="5"/>
    <n v="3000.8405989552198"/>
    <n v="182551.13643644299"/>
    <n v="657184.09117119305"/>
  </r>
  <r>
    <x v="0"/>
    <x v="0"/>
    <x v="0"/>
    <x v="0"/>
    <x v="0"/>
    <s v="DK1_Rural"/>
    <x v="1"/>
    <x v="1"/>
    <s v="SolarPV-50"/>
    <x v="6"/>
    <x v="6"/>
    <n v="3407.7891016059598"/>
    <n v="207307.170347696"/>
    <n v="746305.81325170503"/>
  </r>
  <r>
    <x v="0"/>
    <x v="0"/>
    <x v="0"/>
    <x v="0"/>
    <x v="0"/>
    <s v="DK1_Rural"/>
    <x v="1"/>
    <x v="1"/>
    <s v="SolarPV-50"/>
    <x v="6"/>
    <x v="7"/>
    <n v="3871.2816547663801"/>
    <n v="235502.967331622"/>
    <n v="847810.68239383795"/>
  </r>
  <r>
    <x v="0"/>
    <x v="0"/>
    <x v="0"/>
    <x v="0"/>
    <x v="0"/>
    <s v="DK1_Rural"/>
    <x v="1"/>
    <x v="1"/>
    <s v="SolarPV-50"/>
    <x v="6"/>
    <x v="8"/>
    <n v="3983.3177296244498"/>
    <n v="242318.49521882099"/>
    <n v="872346.58278775495"/>
  </r>
  <r>
    <x v="0"/>
    <x v="0"/>
    <x v="0"/>
    <x v="0"/>
    <x v="0"/>
    <s v="DK1_Rural"/>
    <x v="1"/>
    <x v="1"/>
    <s v="SolarPV-50"/>
    <x v="6"/>
    <x v="9"/>
    <n v="4007.9585822665999"/>
    <n v="243817.480421218"/>
    <n v="877742.92951638496"/>
  </r>
  <r>
    <x v="0"/>
    <x v="0"/>
    <x v="0"/>
    <x v="0"/>
    <x v="0"/>
    <s v="DK1_Rural"/>
    <x v="1"/>
    <x v="1"/>
    <s v="SolarPV-50"/>
    <x v="6"/>
    <x v="10"/>
    <n v="4033.8551368775802"/>
    <n v="245392.854160052"/>
    <n v="883414.27497618902"/>
  </r>
  <r>
    <x v="0"/>
    <x v="0"/>
    <x v="0"/>
    <x v="0"/>
    <x v="0"/>
    <s v="DK1_Rural"/>
    <x v="1"/>
    <x v="1"/>
    <s v="SolarPV-50"/>
    <x v="6"/>
    <x v="11"/>
    <n v="3978.52988901971"/>
    <n v="242027.23491536599"/>
    <n v="871298.04569531605"/>
  </r>
  <r>
    <x v="0"/>
    <x v="0"/>
    <x v="0"/>
    <x v="0"/>
    <x v="0"/>
    <s v="DK1_Rural"/>
    <x v="1"/>
    <x v="1"/>
    <s v="SolarPV-50"/>
    <x v="7"/>
    <x v="0"/>
    <n v="1720.6393967609499"/>
    <n v="104672.229969625"/>
    <n v="376820.02789064898"/>
  </r>
  <r>
    <x v="0"/>
    <x v="0"/>
    <x v="0"/>
    <x v="0"/>
    <x v="0"/>
    <s v="DK1_Rural"/>
    <x v="1"/>
    <x v="1"/>
    <s v="SolarPV-50"/>
    <x v="7"/>
    <x v="1"/>
    <n v="1911.9015640556299"/>
    <n v="116307.345146718"/>
    <n v="418706.44252818299"/>
  </r>
  <r>
    <x v="0"/>
    <x v="0"/>
    <x v="0"/>
    <x v="0"/>
    <x v="0"/>
    <s v="DK1_Rural"/>
    <x v="1"/>
    <x v="1"/>
    <s v="SolarPV-50"/>
    <x v="7"/>
    <x v="2"/>
    <n v="2107.7591118554301"/>
    <n v="128222.012637872"/>
    <n v="461599.24549633899"/>
  </r>
  <r>
    <x v="0"/>
    <x v="0"/>
    <x v="0"/>
    <x v="0"/>
    <x v="0"/>
    <s v="DK1_Rural"/>
    <x v="1"/>
    <x v="1"/>
    <s v="SolarPV-50"/>
    <x v="7"/>
    <x v="3"/>
    <n v="2140.8049580801398"/>
    <n v="130232.301616542"/>
    <n v="468836.28581955098"/>
  </r>
  <r>
    <x v="0"/>
    <x v="0"/>
    <x v="0"/>
    <x v="0"/>
    <x v="0"/>
    <s v="DK1_Rural"/>
    <x v="1"/>
    <x v="1"/>
    <s v="SolarPV-50"/>
    <x v="7"/>
    <x v="4"/>
    <n v="2178.32191549042"/>
    <n v="132514.58319233399"/>
    <n v="477052.49949240102"/>
  </r>
  <r>
    <x v="0"/>
    <x v="0"/>
    <x v="0"/>
    <x v="0"/>
    <x v="0"/>
    <s v="DK1_Rural"/>
    <x v="1"/>
    <x v="1"/>
    <s v="SolarPV-50"/>
    <x v="7"/>
    <x v="5"/>
    <n v="2391.5827577834002"/>
    <n v="145487.95109849001"/>
    <n v="523756.62395456398"/>
  </r>
  <r>
    <x v="0"/>
    <x v="0"/>
    <x v="0"/>
    <x v="0"/>
    <x v="0"/>
    <s v="DK1_Rural"/>
    <x v="1"/>
    <x v="1"/>
    <s v="SolarPV-50"/>
    <x v="7"/>
    <x v="6"/>
    <n v="2861.7948195267199"/>
    <n v="174092.51818787499"/>
    <n v="626733.065476352"/>
  </r>
  <r>
    <x v="0"/>
    <x v="0"/>
    <x v="0"/>
    <x v="0"/>
    <x v="0"/>
    <s v="DK1_Rural"/>
    <x v="1"/>
    <x v="1"/>
    <s v="SolarPV-50"/>
    <x v="7"/>
    <x v="7"/>
    <n v="3317.19350066981"/>
    <n v="201795.937957413"/>
    <n v="726465.37664668798"/>
  </r>
  <r>
    <x v="0"/>
    <x v="0"/>
    <x v="0"/>
    <x v="0"/>
    <x v="0"/>
    <s v="DK1_Rural"/>
    <x v="1"/>
    <x v="1"/>
    <s v="SolarPV-50"/>
    <x v="7"/>
    <x v="8"/>
    <n v="3312.4336993348102"/>
    <n v="201506.383376201"/>
    <n v="725422.98015432397"/>
  </r>
  <r>
    <x v="0"/>
    <x v="0"/>
    <x v="0"/>
    <x v="0"/>
    <x v="0"/>
    <s v="DK1_Rural"/>
    <x v="1"/>
    <x v="1"/>
    <s v="SolarPV-50"/>
    <x v="7"/>
    <x v="9"/>
    <n v="3139.4240734197801"/>
    <n v="190981.63113303599"/>
    <n v="687533.87207893096"/>
  </r>
  <r>
    <x v="0"/>
    <x v="0"/>
    <x v="0"/>
    <x v="0"/>
    <x v="0"/>
    <s v="DK1_Rural"/>
    <x v="1"/>
    <x v="1"/>
    <s v="SolarPV-50"/>
    <x v="7"/>
    <x v="10"/>
    <n v="2978.8294777789702"/>
    <n v="181212.12656488799"/>
    <n v="652363.65563359496"/>
  </r>
  <r>
    <x v="0"/>
    <x v="0"/>
    <x v="0"/>
    <x v="0"/>
    <x v="0"/>
    <s v="DK1_Rural"/>
    <x v="1"/>
    <x v="1"/>
    <s v="SolarPV-50"/>
    <x v="7"/>
    <x v="11"/>
    <n v="2723.0368337149798"/>
    <n v="165651.40738432799"/>
    <n v="596345.06658358104"/>
  </r>
  <r>
    <x v="0"/>
    <x v="0"/>
    <x v="0"/>
    <x v="0"/>
    <x v="0"/>
    <s v="DK1_Rural"/>
    <x v="1"/>
    <x v="1"/>
    <s v="SolarPV-50"/>
    <x v="8"/>
    <x v="0"/>
    <n v="2634.41517927002"/>
    <n v="160260.25673892599"/>
    <n v="576936.92426013399"/>
  </r>
  <r>
    <x v="0"/>
    <x v="0"/>
    <x v="0"/>
    <x v="0"/>
    <x v="0"/>
    <s v="DK1_Rural"/>
    <x v="1"/>
    <x v="1"/>
    <s v="SolarPV-50"/>
    <x v="8"/>
    <x v="1"/>
    <n v="2528.3007333266"/>
    <n v="153804.96127736801"/>
    <n v="553697.86059852596"/>
  </r>
  <r>
    <x v="0"/>
    <x v="0"/>
    <x v="0"/>
    <x v="0"/>
    <x v="0"/>
    <s v="DK1_Rural"/>
    <x v="1"/>
    <x v="1"/>
    <s v="SolarPV-50"/>
    <x v="8"/>
    <x v="2"/>
    <n v="2457.5935846169"/>
    <n v="149503.609730861"/>
    <n v="538212.9950311"/>
  </r>
  <r>
    <x v="0"/>
    <x v="0"/>
    <x v="0"/>
    <x v="0"/>
    <x v="0"/>
    <s v="DK1_Rural"/>
    <x v="1"/>
    <x v="1"/>
    <s v="SolarPV-50"/>
    <x v="8"/>
    <x v="3"/>
    <n v="2405.0170636279099"/>
    <n v="146305.204704031"/>
    <n v="526698.73693451297"/>
  </r>
  <r>
    <x v="0"/>
    <x v="0"/>
    <x v="0"/>
    <x v="0"/>
    <x v="0"/>
    <s v="DK1_Rural"/>
    <x v="1"/>
    <x v="1"/>
    <s v="SolarPV-50"/>
    <x v="8"/>
    <x v="4"/>
    <n v="2406.1877512548299"/>
    <n v="146376.421534669"/>
    <n v="526955.11752480699"/>
  </r>
  <r>
    <x v="0"/>
    <x v="0"/>
    <x v="0"/>
    <x v="0"/>
    <x v="0"/>
    <s v="DK1_Rural"/>
    <x v="1"/>
    <x v="1"/>
    <s v="SolarPV-50"/>
    <x v="8"/>
    <x v="5"/>
    <n v="1884.9200616875701"/>
    <n v="114665.970419327"/>
    <n v="412797.49350957799"/>
  </r>
  <r>
    <x v="0"/>
    <x v="0"/>
    <x v="0"/>
    <x v="0"/>
    <x v="0"/>
    <s v="DK1_Rural"/>
    <x v="1"/>
    <x v="1"/>
    <s v="SolarPV-50"/>
    <x v="8"/>
    <x v="6"/>
    <n v="2925.8875497506001"/>
    <n v="177991.49260982801"/>
    <n v="640769.37339538196"/>
  </r>
  <r>
    <x v="0"/>
    <x v="0"/>
    <x v="0"/>
    <x v="0"/>
    <x v="0"/>
    <s v="DK1_Rural"/>
    <x v="1"/>
    <x v="1"/>
    <s v="SolarPV-50"/>
    <x v="8"/>
    <x v="7"/>
    <n v="3282.37479944287"/>
    <n v="199677.80029944101"/>
    <n v="718840.08107798803"/>
  </r>
  <r>
    <x v="0"/>
    <x v="0"/>
    <x v="0"/>
    <x v="0"/>
    <x v="0"/>
    <s v="DK1_Rural"/>
    <x v="1"/>
    <x v="1"/>
    <s v="SolarPV-50"/>
    <x v="8"/>
    <x v="8"/>
    <n v="3304.0174900443499"/>
    <n v="200994.397311031"/>
    <n v="723579.83031971205"/>
  </r>
  <r>
    <x v="0"/>
    <x v="0"/>
    <x v="0"/>
    <x v="0"/>
    <x v="0"/>
    <s v="DK1_Rural"/>
    <x v="1"/>
    <x v="1"/>
    <s v="SolarPV-50"/>
    <x v="8"/>
    <x v="9"/>
    <n v="3260.75925157847"/>
    <n v="198362.85447102401"/>
    <n v="714106.27609568497"/>
  </r>
  <r>
    <x v="0"/>
    <x v="0"/>
    <x v="0"/>
    <x v="0"/>
    <x v="0"/>
    <s v="DK1_Rural"/>
    <x v="1"/>
    <x v="1"/>
    <s v="SolarPV-50"/>
    <x v="8"/>
    <x v="10"/>
    <n v="3339.1809599602102"/>
    <n v="203133.50839758001"/>
    <n v="731280.63023128698"/>
  </r>
  <r>
    <x v="0"/>
    <x v="0"/>
    <x v="0"/>
    <x v="0"/>
    <x v="0"/>
    <s v="DK1_Rural"/>
    <x v="1"/>
    <x v="1"/>
    <s v="SolarPV-50"/>
    <x v="8"/>
    <x v="11"/>
    <n v="3298.13186391403"/>
    <n v="200636.35505477001"/>
    <n v="722290.87819717196"/>
  </r>
  <r>
    <x v="0"/>
    <x v="0"/>
    <x v="0"/>
    <x v="0"/>
    <x v="0"/>
    <s v="DK1_Rural"/>
    <x v="1"/>
    <x v="1"/>
    <s v="SolarPV-50"/>
    <x v="9"/>
    <x v="0"/>
    <n v="1712.4212554240601"/>
    <n v="104172.29303829699"/>
    <n v="375020.25493786897"/>
  </r>
  <r>
    <x v="0"/>
    <x v="0"/>
    <x v="0"/>
    <x v="0"/>
    <x v="0"/>
    <s v="DK1_Rural"/>
    <x v="1"/>
    <x v="1"/>
    <s v="SolarPV-50"/>
    <x v="9"/>
    <x v="1"/>
    <n v="1610.46119124702"/>
    <n v="97969.722467527201"/>
    <n v="352691.00088309799"/>
  </r>
  <r>
    <x v="0"/>
    <x v="0"/>
    <x v="0"/>
    <x v="0"/>
    <x v="0"/>
    <s v="DK1_Rural"/>
    <x v="1"/>
    <x v="1"/>
    <s v="SolarPV-50"/>
    <x v="9"/>
    <x v="2"/>
    <n v="1546.6940504895799"/>
    <n v="94090.554738116203"/>
    <n v="338725.99705721799"/>
  </r>
  <r>
    <x v="0"/>
    <x v="0"/>
    <x v="0"/>
    <x v="0"/>
    <x v="0"/>
    <s v="DK1_Rural"/>
    <x v="1"/>
    <x v="1"/>
    <s v="SolarPV-50"/>
    <x v="9"/>
    <x v="3"/>
    <n v="1563.9394285395099"/>
    <n v="95139.648569486904"/>
    <n v="342502.73485015298"/>
  </r>
  <r>
    <x v="0"/>
    <x v="0"/>
    <x v="0"/>
    <x v="0"/>
    <x v="0"/>
    <s v="DK1_Rural"/>
    <x v="1"/>
    <x v="1"/>
    <s v="SolarPV-50"/>
    <x v="9"/>
    <x v="4"/>
    <n v="1614.2306528141501"/>
    <n v="98199.031379527703"/>
    <n v="353516.51296630001"/>
  </r>
  <r>
    <x v="0"/>
    <x v="0"/>
    <x v="0"/>
    <x v="0"/>
    <x v="0"/>
    <s v="DK1_Rural"/>
    <x v="1"/>
    <x v="1"/>
    <s v="SolarPV-50"/>
    <x v="9"/>
    <x v="5"/>
    <n v="1112.3805843995101"/>
    <n v="67669.818884303299"/>
    <n v="243611.34798349201"/>
  </r>
  <r>
    <x v="0"/>
    <x v="0"/>
    <x v="0"/>
    <x v="0"/>
    <x v="0"/>
    <s v="DK1_Rural"/>
    <x v="1"/>
    <x v="1"/>
    <s v="SolarPV-50"/>
    <x v="9"/>
    <x v="6"/>
    <n v="1506.98460321672"/>
    <n v="91674.896695683594"/>
    <n v="330029.62810446101"/>
  </r>
  <r>
    <x v="0"/>
    <x v="0"/>
    <x v="0"/>
    <x v="0"/>
    <x v="0"/>
    <s v="DK1_Rural"/>
    <x v="1"/>
    <x v="1"/>
    <s v="SolarPV-50"/>
    <x v="9"/>
    <x v="7"/>
    <n v="2447.1067386783898"/>
    <n v="148865.65993626899"/>
    <n v="535916.37577056699"/>
  </r>
  <r>
    <x v="0"/>
    <x v="0"/>
    <x v="0"/>
    <x v="0"/>
    <x v="0"/>
    <s v="DK1_Rural"/>
    <x v="1"/>
    <x v="1"/>
    <s v="SolarPV-50"/>
    <x v="9"/>
    <x v="8"/>
    <n v="2691.49287243758"/>
    <n v="163732.48307328601"/>
    <n v="589436.93906382902"/>
  </r>
  <r>
    <x v="0"/>
    <x v="0"/>
    <x v="0"/>
    <x v="0"/>
    <x v="0"/>
    <s v="DK1_Rural"/>
    <x v="1"/>
    <x v="1"/>
    <s v="SolarPV-50"/>
    <x v="9"/>
    <x v="9"/>
    <n v="2678.2519232253599"/>
    <n v="162926.99199620899"/>
    <n v="586537.17118635401"/>
  </r>
  <r>
    <x v="0"/>
    <x v="0"/>
    <x v="0"/>
    <x v="0"/>
    <x v="0"/>
    <s v="DK1_Rural"/>
    <x v="1"/>
    <x v="1"/>
    <s v="SolarPV-50"/>
    <x v="9"/>
    <x v="10"/>
    <n v="2728.4076624725399"/>
    <n v="165978.132800413"/>
    <n v="597521.27808148705"/>
  </r>
  <r>
    <x v="0"/>
    <x v="0"/>
    <x v="0"/>
    <x v="0"/>
    <x v="0"/>
    <s v="DK1_Rural"/>
    <x v="1"/>
    <x v="1"/>
    <s v="SolarPV-50"/>
    <x v="9"/>
    <x v="11"/>
    <n v="2758.1899844556201"/>
    <n v="167789.89072105"/>
    <n v="604043.60659578198"/>
  </r>
  <r>
    <x v="0"/>
    <x v="0"/>
    <x v="0"/>
    <x v="0"/>
    <x v="0"/>
    <s v="DK1_Rural"/>
    <x v="1"/>
    <x v="1"/>
    <s v="SolarPV-50"/>
    <x v="10"/>
    <x v="0"/>
    <n v="447.12713721444698"/>
    <n v="27200.2341805455"/>
    <n v="97920.843049963805"/>
  </r>
  <r>
    <x v="0"/>
    <x v="0"/>
    <x v="0"/>
    <x v="0"/>
    <x v="0"/>
    <s v="DK1_Rural"/>
    <x v="1"/>
    <x v="1"/>
    <s v="SolarPV-50"/>
    <x v="10"/>
    <x v="1"/>
    <n v="425.61993164042798"/>
    <n v="25891.879174792699"/>
    <n v="93210.765029253802"/>
  </r>
  <r>
    <x v="0"/>
    <x v="0"/>
    <x v="0"/>
    <x v="0"/>
    <x v="0"/>
    <s v="DK1_Rural"/>
    <x v="1"/>
    <x v="1"/>
    <s v="SolarPV-50"/>
    <x v="10"/>
    <x v="2"/>
    <n v="455.07991635037502"/>
    <n v="27684.028244647801"/>
    <n v="99662.501680732094"/>
  </r>
  <r>
    <x v="0"/>
    <x v="0"/>
    <x v="0"/>
    <x v="0"/>
    <x v="0"/>
    <s v="DK1_Rural"/>
    <x v="1"/>
    <x v="1"/>
    <s v="SolarPV-50"/>
    <x v="10"/>
    <x v="3"/>
    <n v="516.49121395277098"/>
    <n v="31419.882182126901"/>
    <n v="113111.57585565701"/>
  </r>
  <r>
    <x v="0"/>
    <x v="0"/>
    <x v="0"/>
    <x v="0"/>
    <x v="0"/>
    <s v="DK1_Rural"/>
    <x v="1"/>
    <x v="1"/>
    <s v="SolarPV-50"/>
    <x v="10"/>
    <x v="4"/>
    <n v="590.92296139801397"/>
    <n v="35947.813485045801"/>
    <n v="129412.128546165"/>
  </r>
  <r>
    <x v="0"/>
    <x v="0"/>
    <x v="0"/>
    <x v="0"/>
    <x v="0"/>
    <s v="DK1_Rural"/>
    <x v="1"/>
    <x v="1"/>
    <s v="SolarPV-50"/>
    <x v="10"/>
    <x v="5"/>
    <n v="783.36377983419698"/>
    <n v="47654.629939913699"/>
    <n v="171556.66778368899"/>
  </r>
  <r>
    <x v="0"/>
    <x v="0"/>
    <x v="0"/>
    <x v="0"/>
    <x v="0"/>
    <s v="DK1_Rural"/>
    <x v="1"/>
    <x v="1"/>
    <s v="SolarPV-50"/>
    <x v="10"/>
    <x v="6"/>
    <n v="1858.93832980206"/>
    <n v="113085.415062959"/>
    <n v="407107.49422665098"/>
  </r>
  <r>
    <x v="0"/>
    <x v="0"/>
    <x v="0"/>
    <x v="0"/>
    <x v="0"/>
    <s v="DK1_Rural"/>
    <x v="1"/>
    <x v="1"/>
    <s v="SolarPV-50"/>
    <x v="10"/>
    <x v="7"/>
    <n v="2397.31248919373"/>
    <n v="145836.50975928499"/>
    <n v="525011.43513342598"/>
  </r>
  <r>
    <x v="0"/>
    <x v="0"/>
    <x v="0"/>
    <x v="0"/>
    <x v="0"/>
    <s v="DK1_Rural"/>
    <x v="1"/>
    <x v="1"/>
    <s v="SolarPV-50"/>
    <x v="10"/>
    <x v="8"/>
    <n v="2516.6365928863001"/>
    <n v="153095.39273391699"/>
    <n v="551143.41384209995"/>
  </r>
  <r>
    <x v="0"/>
    <x v="0"/>
    <x v="0"/>
    <x v="0"/>
    <x v="0"/>
    <s v="DK1_Rural"/>
    <x v="1"/>
    <x v="1"/>
    <s v="SolarPV-50"/>
    <x v="10"/>
    <x v="9"/>
    <n v="2395.3126304355101"/>
    <n v="145714.85168482701"/>
    <n v="524573.466065377"/>
  </r>
  <r>
    <x v="0"/>
    <x v="0"/>
    <x v="0"/>
    <x v="0"/>
    <x v="0"/>
    <s v="DK1_Rural"/>
    <x v="1"/>
    <x v="1"/>
    <s v="SolarPV-50"/>
    <x v="10"/>
    <x v="10"/>
    <n v="2362.2411006016901"/>
    <n v="143703.000286603"/>
    <n v="517330.80103177001"/>
  </r>
  <r>
    <x v="0"/>
    <x v="0"/>
    <x v="0"/>
    <x v="0"/>
    <x v="0"/>
    <s v="DK1_Rural"/>
    <x v="1"/>
    <x v="1"/>
    <s v="SolarPV-50"/>
    <x v="10"/>
    <x v="11"/>
    <n v="1666.57585031642"/>
    <n v="101383.364227582"/>
    <n v="364980.11121929501"/>
  </r>
  <r>
    <x v="0"/>
    <x v="0"/>
    <x v="0"/>
    <x v="0"/>
    <x v="0"/>
    <s v="DK1_Rural"/>
    <x v="1"/>
    <x v="1"/>
    <s v="SolarPV-50"/>
    <x v="11"/>
    <x v="0"/>
    <n v="808.65020355527804"/>
    <n v="49192.887382946101"/>
    <n v="177094.39457860601"/>
  </r>
  <r>
    <x v="0"/>
    <x v="0"/>
    <x v="0"/>
    <x v="0"/>
    <x v="0"/>
    <s v="DK1_Rural"/>
    <x v="1"/>
    <x v="1"/>
    <s v="SolarPV-50"/>
    <x v="11"/>
    <x v="1"/>
    <n v="661.99259889117002"/>
    <n v="40271.2164325462"/>
    <n v="144976.379157166"/>
  </r>
  <r>
    <x v="0"/>
    <x v="0"/>
    <x v="0"/>
    <x v="0"/>
    <x v="0"/>
    <s v="DK1_Rural"/>
    <x v="1"/>
    <x v="1"/>
    <s v="SolarPV-50"/>
    <x v="11"/>
    <x v="2"/>
    <n v="568.39502112574405"/>
    <n v="34577.363785149399"/>
    <n v="124478.509626538"/>
  </r>
  <r>
    <x v="0"/>
    <x v="0"/>
    <x v="0"/>
    <x v="0"/>
    <x v="0"/>
    <s v="DK1_Rural"/>
    <x v="1"/>
    <x v="1"/>
    <s v="SolarPV-50"/>
    <x v="11"/>
    <x v="3"/>
    <n v="460.38255432787298"/>
    <n v="28006.605388279"/>
    <n v="100823.779397804"/>
  </r>
  <r>
    <x v="0"/>
    <x v="0"/>
    <x v="0"/>
    <x v="0"/>
    <x v="0"/>
    <s v="DK1_Rural"/>
    <x v="1"/>
    <x v="1"/>
    <s v="SolarPV-50"/>
    <x v="11"/>
    <x v="4"/>
    <n v="415.80928316036199"/>
    <n v="25295.064725588702"/>
    <n v="91062.233012119294"/>
  </r>
  <r>
    <x v="0"/>
    <x v="0"/>
    <x v="0"/>
    <x v="0"/>
    <x v="0"/>
    <s v="DK1_Rural"/>
    <x v="1"/>
    <x v="1"/>
    <s v="SolarPV-50"/>
    <x v="11"/>
    <x v="5"/>
    <n v="516.19927161002499"/>
    <n v="31402.122356276501"/>
    <n v="113047.64048259601"/>
  </r>
  <r>
    <x v="0"/>
    <x v="0"/>
    <x v="0"/>
    <x v="0"/>
    <x v="0"/>
    <s v="DK1_Rural"/>
    <x v="1"/>
    <x v="1"/>
    <s v="SolarPV-50"/>
    <x v="11"/>
    <x v="6"/>
    <n v="1557.6222263130101"/>
    <n v="94755.352100707998"/>
    <n v="341119.26756254898"/>
  </r>
  <r>
    <x v="0"/>
    <x v="0"/>
    <x v="0"/>
    <x v="0"/>
    <x v="0"/>
    <s v="DK1_Rural"/>
    <x v="1"/>
    <x v="1"/>
    <s v="SolarPV-50"/>
    <x v="11"/>
    <x v="7"/>
    <n v="1366.0239793719099"/>
    <n v="83099.792078458006"/>
    <n v="299159.25148244901"/>
  </r>
  <r>
    <x v="0"/>
    <x v="0"/>
    <x v="0"/>
    <x v="0"/>
    <x v="0"/>
    <s v="DK1_Rural"/>
    <x v="1"/>
    <x v="1"/>
    <s v="SolarPV-50"/>
    <x v="11"/>
    <x v="8"/>
    <n v="1607.7184638226399"/>
    <n v="97802.873215877102"/>
    <n v="352090.343577158"/>
  </r>
  <r>
    <x v="0"/>
    <x v="0"/>
    <x v="0"/>
    <x v="0"/>
    <x v="0"/>
    <s v="DK1_Rural"/>
    <x v="1"/>
    <x v="1"/>
    <s v="SolarPV-50"/>
    <x v="11"/>
    <x v="9"/>
    <n v="1700.5270219670799"/>
    <n v="103448.72716966399"/>
    <n v="372415.417810791"/>
  </r>
  <r>
    <x v="0"/>
    <x v="0"/>
    <x v="0"/>
    <x v="0"/>
    <x v="0"/>
    <s v="DK1_Rural"/>
    <x v="1"/>
    <x v="1"/>
    <s v="SolarPV-50"/>
    <x v="11"/>
    <x v="10"/>
    <n v="1860.5105901853201"/>
    <n v="113181.06090293999"/>
    <n v="407451.81925058499"/>
  </r>
  <r>
    <x v="0"/>
    <x v="0"/>
    <x v="0"/>
    <x v="0"/>
    <x v="0"/>
    <s v="DK1_Rural"/>
    <x v="1"/>
    <x v="1"/>
    <s v="SolarPV-50"/>
    <x v="11"/>
    <x v="11"/>
    <n v="1940.7004422480099"/>
    <n v="118059.27690342101"/>
    <n v="425013.396852315"/>
  </r>
  <r>
    <x v="0"/>
    <x v="0"/>
    <x v="0"/>
    <x v="0"/>
    <x v="0"/>
    <s v="DK1_Small"/>
    <x v="0"/>
    <x v="0"/>
    <s v="DK1_Rural_WI"/>
    <x v="0"/>
    <x v="0"/>
    <n v="59.806716344766002"/>
    <n v="3638.24191097327"/>
    <n v="13097.670879503799"/>
  </r>
  <r>
    <x v="0"/>
    <x v="0"/>
    <x v="0"/>
    <x v="0"/>
    <x v="0"/>
    <s v="DK1_Small"/>
    <x v="0"/>
    <x v="0"/>
    <s v="DK1_Rural_WI"/>
    <x v="0"/>
    <x v="1"/>
    <n v="51.760275853361499"/>
    <n v="3148.75011441283"/>
    <n v="11335.5004118862"/>
  </r>
  <r>
    <x v="0"/>
    <x v="0"/>
    <x v="0"/>
    <x v="0"/>
    <x v="0"/>
    <s v="DK1_Small"/>
    <x v="0"/>
    <x v="0"/>
    <s v="DK1_Rural_WI"/>
    <x v="0"/>
    <x v="2"/>
    <n v="52.998189775116103"/>
    <n v="3224.0565446528899"/>
    <n v="11606.6035607504"/>
  </r>
  <r>
    <x v="0"/>
    <x v="0"/>
    <x v="0"/>
    <x v="0"/>
    <x v="0"/>
    <s v="DK1_Small"/>
    <x v="0"/>
    <x v="0"/>
    <s v="DK1_Rural_WI"/>
    <x v="0"/>
    <x v="3"/>
    <n v="63.056240389371702"/>
    <n v="3835.9212903534399"/>
    <n v="13809.3166452724"/>
  </r>
  <r>
    <x v="0"/>
    <x v="0"/>
    <x v="0"/>
    <x v="0"/>
    <x v="0"/>
    <s v="DK1_Small"/>
    <x v="0"/>
    <x v="0"/>
    <s v="DK1_Rural_WI"/>
    <x v="0"/>
    <x v="4"/>
    <n v="68.007896076389798"/>
    <n v="4137.1470113137102"/>
    <n v="14893.729240729401"/>
  </r>
  <r>
    <x v="0"/>
    <x v="0"/>
    <x v="0"/>
    <x v="0"/>
    <x v="0"/>
    <s v="DK1_Small"/>
    <x v="0"/>
    <x v="0"/>
    <s v="DK1_Rural_WI"/>
    <x v="0"/>
    <x v="5"/>
    <n v="72.031116322092004"/>
    <n v="4381.8929095939302"/>
    <n v="15774.8144745382"/>
  </r>
  <r>
    <x v="0"/>
    <x v="0"/>
    <x v="0"/>
    <x v="0"/>
    <x v="0"/>
    <s v="DK1_Small"/>
    <x v="0"/>
    <x v="0"/>
    <s v="DK1_Rural_WI"/>
    <x v="0"/>
    <x v="6"/>
    <n v="71.799007461763097"/>
    <n v="4367.7729539239199"/>
    <n v="15723.9826341261"/>
  </r>
  <r>
    <x v="0"/>
    <x v="0"/>
    <x v="0"/>
    <x v="0"/>
    <x v="0"/>
    <s v="DK1_Small"/>
    <x v="0"/>
    <x v="0"/>
    <s v="DK1_Rural_WI"/>
    <x v="0"/>
    <x v="7"/>
    <n v="70.174245439460194"/>
    <n v="4268.9332642338304"/>
    <n v="15368.159751241799"/>
  </r>
  <r>
    <x v="0"/>
    <x v="0"/>
    <x v="0"/>
    <x v="0"/>
    <x v="0"/>
    <s v="DK1_Small"/>
    <x v="0"/>
    <x v="0"/>
    <s v="DK1_Rural_WI"/>
    <x v="0"/>
    <x v="8"/>
    <n v="69.245809998144296"/>
    <n v="4212.4534415537801"/>
    <n v="15164.832389593599"/>
  </r>
  <r>
    <x v="0"/>
    <x v="0"/>
    <x v="0"/>
    <x v="0"/>
    <x v="0"/>
    <s v="DK1_Small"/>
    <x v="0"/>
    <x v="0"/>
    <s v="DK1_Rural_WI"/>
    <x v="0"/>
    <x v="9"/>
    <n v="63.829936590468201"/>
    <n v="3882.98780925348"/>
    <n v="13978.7561133125"/>
  </r>
  <r>
    <x v="0"/>
    <x v="0"/>
    <x v="0"/>
    <x v="0"/>
    <x v="0"/>
    <s v="DK1_Small"/>
    <x v="0"/>
    <x v="0"/>
    <s v="DK1_Rural_WI"/>
    <x v="0"/>
    <x v="10"/>
    <n v="62.514653048604103"/>
    <n v="3802.97472712341"/>
    <n v="13690.7090176443"/>
  </r>
  <r>
    <x v="0"/>
    <x v="0"/>
    <x v="0"/>
    <x v="0"/>
    <x v="0"/>
    <s v="DK1_Small"/>
    <x v="0"/>
    <x v="0"/>
    <s v="DK1_Rural_WI"/>
    <x v="0"/>
    <x v="11"/>
    <n v="67.853156836170498"/>
    <n v="4127.7337075337"/>
    <n v="14859.841347121301"/>
  </r>
  <r>
    <x v="0"/>
    <x v="0"/>
    <x v="0"/>
    <x v="0"/>
    <x v="0"/>
    <s v="DK1_Small"/>
    <x v="0"/>
    <x v="0"/>
    <s v="DK1_Rural_WI"/>
    <x v="1"/>
    <x v="0"/>
    <n v="1.77950126252215"/>
    <n v="108.252993470097"/>
    <n v="389.71077649235002"/>
  </r>
  <r>
    <x v="0"/>
    <x v="0"/>
    <x v="0"/>
    <x v="0"/>
    <x v="0"/>
    <s v="DK1_Small"/>
    <x v="0"/>
    <x v="0"/>
    <s v="DK1_Rural_WI"/>
    <x v="1"/>
    <x v="1"/>
    <n v="1.6247620223028301"/>
    <n v="98.839689690088704"/>
    <n v="355.82288288431897"/>
  </r>
  <r>
    <x v="0"/>
    <x v="0"/>
    <x v="0"/>
    <x v="0"/>
    <x v="0"/>
    <s v="DK1_Small"/>
    <x v="0"/>
    <x v="0"/>
    <s v="DK1_Rural_WI"/>
    <x v="1"/>
    <x v="2"/>
    <n v="0.77369620109658499"/>
    <n v="47.066518900042198"/>
    <n v="169.43946804015201"/>
  </r>
  <r>
    <x v="0"/>
    <x v="0"/>
    <x v="0"/>
    <x v="0"/>
    <x v="0"/>
    <s v="DK1_Small"/>
    <x v="0"/>
    <x v="0"/>
    <s v="DK1_Rural_WI"/>
    <x v="1"/>
    <x v="3"/>
    <n v="0.85106582120624297"/>
    <n v="51.7731707900465"/>
    <n v="186.38341484416699"/>
  </r>
  <r>
    <x v="0"/>
    <x v="0"/>
    <x v="0"/>
    <x v="0"/>
    <x v="0"/>
    <s v="DK1_Small"/>
    <x v="0"/>
    <x v="0"/>
    <s v="DK1_Rural_WI"/>
    <x v="1"/>
    <x v="4"/>
    <n v="1.54739240219317"/>
    <n v="94.133037800084495"/>
    <n v="338.87893608030402"/>
  </r>
  <r>
    <x v="0"/>
    <x v="0"/>
    <x v="0"/>
    <x v="0"/>
    <x v="0"/>
    <s v="DK1_Small"/>
    <x v="0"/>
    <x v="0"/>
    <s v="DK1_Rural_WI"/>
    <x v="1"/>
    <x v="5"/>
    <n v="2.7079367038380502"/>
    <n v="164.73281615014801"/>
    <n v="593.03813814053206"/>
  </r>
  <r>
    <x v="0"/>
    <x v="0"/>
    <x v="0"/>
    <x v="0"/>
    <x v="0"/>
    <s v="DK1_Small"/>
    <x v="0"/>
    <x v="0"/>
    <s v="DK1_Rural_WI"/>
    <x v="1"/>
    <x v="6"/>
    <n v="5.4932430277857502"/>
    <n v="334.17228419029999"/>
    <n v="1203.02022308508"/>
  </r>
  <r>
    <x v="0"/>
    <x v="0"/>
    <x v="0"/>
    <x v="0"/>
    <x v="0"/>
    <s v="DK1_Small"/>
    <x v="0"/>
    <x v="0"/>
    <s v="DK1_Rural_WI"/>
    <x v="1"/>
    <x v="7"/>
    <n v="11.450703776229499"/>
    <n v="696.58447972062504"/>
    <n v="2507.7041269942501"/>
  </r>
  <r>
    <x v="0"/>
    <x v="0"/>
    <x v="0"/>
    <x v="0"/>
    <x v="0"/>
    <s v="DK1_Small"/>
    <x v="0"/>
    <x v="0"/>
    <s v="DK1_Rural_WI"/>
    <x v="1"/>
    <x v="8"/>
    <n v="18.955556926866301"/>
    <n v="1153.12971305103"/>
    <n v="4151.2669669837296"/>
  </r>
  <r>
    <x v="0"/>
    <x v="0"/>
    <x v="0"/>
    <x v="0"/>
    <x v="0"/>
    <s v="DK1_Small"/>
    <x v="0"/>
    <x v="0"/>
    <s v="DK1_Rural_WI"/>
    <x v="1"/>
    <x v="9"/>
    <n v="28.007802479696402"/>
    <n v="1703.8079841815299"/>
    <n v="6133.7087430535103"/>
  </r>
  <r>
    <x v="0"/>
    <x v="0"/>
    <x v="0"/>
    <x v="0"/>
    <x v="0"/>
    <s v="DK1_Small"/>
    <x v="0"/>
    <x v="0"/>
    <s v="DK1_Rural_WI"/>
    <x v="1"/>
    <x v="10"/>
    <n v="37.214787272745703"/>
    <n v="2263.8995590920299"/>
    <n v="8150.03841273132"/>
  </r>
  <r>
    <x v="0"/>
    <x v="0"/>
    <x v="0"/>
    <x v="0"/>
    <x v="0"/>
    <s v="DK1_Small"/>
    <x v="0"/>
    <x v="0"/>
    <s v="DK1_Rural_WI"/>
    <x v="1"/>
    <x v="11"/>
    <n v="45.570706244588798"/>
    <n v="2772.2179632124898"/>
    <n v="9979.9846675649605"/>
  </r>
  <r>
    <x v="0"/>
    <x v="0"/>
    <x v="0"/>
    <x v="0"/>
    <x v="0"/>
    <s v="DK1_Small"/>
    <x v="0"/>
    <x v="0"/>
    <s v="DK1_Rural_WI"/>
    <x v="2"/>
    <x v="0"/>
    <n v="21.663493630704401"/>
    <n v="1317.86252920118"/>
    <n v="4744.3051051242601"/>
  </r>
  <r>
    <x v="0"/>
    <x v="0"/>
    <x v="0"/>
    <x v="0"/>
    <x v="0"/>
    <s v="DK1_Small"/>
    <x v="0"/>
    <x v="0"/>
    <s v="DK1_Rural_WI"/>
    <x v="2"/>
    <x v="1"/>
    <n v="22.127711351362301"/>
    <n v="1346.1024405412099"/>
    <n v="4845.9687859483502"/>
  </r>
  <r>
    <x v="0"/>
    <x v="0"/>
    <x v="0"/>
    <x v="0"/>
    <x v="0"/>
    <s v="DK1_Small"/>
    <x v="0"/>
    <x v="0"/>
    <s v="DK1_Rural_WI"/>
    <x v="2"/>
    <x v="2"/>
    <n v="22.5145594519106"/>
    <n v="1369.63569999123"/>
    <n v="4930.6885199684302"/>
  </r>
  <r>
    <x v="0"/>
    <x v="0"/>
    <x v="0"/>
    <x v="0"/>
    <x v="0"/>
    <s v="DK1_Small"/>
    <x v="0"/>
    <x v="0"/>
    <s v="DK1_Rural_WI"/>
    <x v="2"/>
    <x v="3"/>
    <n v="23.133516412787898"/>
    <n v="1407.2889151112599"/>
    <n v="5066.2400944005503"/>
  </r>
  <r>
    <x v="0"/>
    <x v="0"/>
    <x v="0"/>
    <x v="0"/>
    <x v="0"/>
    <s v="DK1_Small"/>
    <x v="0"/>
    <x v="0"/>
    <s v="DK1_Rural_WI"/>
    <x v="2"/>
    <x v="4"/>
    <n v="24.0619518541038"/>
    <n v="1463.7687377913101"/>
    <n v="5269.5674560487296"/>
  </r>
  <r>
    <x v="0"/>
    <x v="0"/>
    <x v="0"/>
    <x v="0"/>
    <x v="0"/>
    <s v="DK1_Small"/>
    <x v="0"/>
    <x v="0"/>
    <s v="DK1_Rural_WI"/>
    <x v="2"/>
    <x v="5"/>
    <n v="26.305670837283898"/>
    <n v="1600.2616426014399"/>
    <n v="5760.94191336517"/>
  </r>
  <r>
    <x v="0"/>
    <x v="0"/>
    <x v="0"/>
    <x v="0"/>
    <x v="0"/>
    <s v="DK1_Small"/>
    <x v="0"/>
    <x v="0"/>
    <s v="DK1_Rural_WI"/>
    <x v="2"/>
    <x v="6"/>
    <n v="27.543584759038399"/>
    <n v="1675.5680728415"/>
    <n v="6032.0450622294102"/>
  </r>
  <r>
    <x v="0"/>
    <x v="0"/>
    <x v="0"/>
    <x v="0"/>
    <x v="0"/>
    <s v="DK1_Small"/>
    <x v="0"/>
    <x v="0"/>
    <s v="DK1_Rural_WI"/>
    <x v="2"/>
    <x v="7"/>
    <n v="30.174151842766801"/>
    <n v="1835.5942371016499"/>
    <n v="6608.1392535659297"/>
  </r>
  <r>
    <x v="0"/>
    <x v="0"/>
    <x v="0"/>
    <x v="0"/>
    <x v="0"/>
    <s v="DK1_Small"/>
    <x v="0"/>
    <x v="0"/>
    <s v="DK1_Rural_WI"/>
    <x v="2"/>
    <x v="8"/>
    <n v="31.179956904192402"/>
    <n v="1896.7807116716999"/>
    <n v="6828.4105620181299"/>
  </r>
  <r>
    <x v="0"/>
    <x v="0"/>
    <x v="0"/>
    <x v="0"/>
    <x v="0"/>
    <s v="DK1_Small"/>
    <x v="0"/>
    <x v="0"/>
    <s v="DK1_Rural_WI"/>
    <x v="2"/>
    <x v="9"/>
    <n v="31.489435384631001"/>
    <n v="1915.6073192317201"/>
    <n v="6896.1863492341899"/>
  </r>
  <r>
    <x v="0"/>
    <x v="0"/>
    <x v="0"/>
    <x v="0"/>
    <x v="0"/>
    <s v="DK1_Small"/>
    <x v="0"/>
    <x v="0"/>
    <s v="DK1_Rural_WI"/>
    <x v="2"/>
    <x v="10"/>
    <n v="32.0310227253986"/>
    <n v="1948.5538824617499"/>
    <n v="7014.7939768623"/>
  </r>
  <r>
    <x v="0"/>
    <x v="0"/>
    <x v="0"/>
    <x v="0"/>
    <x v="0"/>
    <s v="DK1_Small"/>
    <x v="0"/>
    <x v="0"/>
    <s v="DK1_Rural_WI"/>
    <x v="2"/>
    <x v="11"/>
    <n v="34.197372088469002"/>
    <n v="2080.3401353818699"/>
    <n v="7489.2244873747204"/>
  </r>
  <r>
    <x v="0"/>
    <x v="0"/>
    <x v="0"/>
    <x v="0"/>
    <x v="0"/>
    <s v="DK1_Small"/>
    <x v="0"/>
    <x v="0"/>
    <s v="DK1_Rural_WI"/>
    <x v="3"/>
    <x v="0"/>
    <n v="4.8742860669084802"/>
    <n v="296.51906907026603"/>
    <n v="1067.4686486529599"/>
  </r>
  <r>
    <x v="0"/>
    <x v="0"/>
    <x v="0"/>
    <x v="0"/>
    <x v="0"/>
    <s v="DK1_Small"/>
    <x v="0"/>
    <x v="0"/>
    <s v="DK1_Rural_WI"/>
    <x v="3"/>
    <x v="1"/>
    <n v="2.9400455641670198"/>
    <n v="178.852771820161"/>
    <n v="643.869978552578"/>
  </r>
  <r>
    <x v="0"/>
    <x v="0"/>
    <x v="0"/>
    <x v="0"/>
    <x v="0"/>
    <s v="DK1_Small"/>
    <x v="0"/>
    <x v="0"/>
    <s v="DK1_Rural_WI"/>
    <x v="3"/>
    <x v="2"/>
    <n v="1.93424050274146"/>
    <n v="117.666297250106"/>
    <n v="423.59867010037999"/>
  </r>
  <r>
    <x v="0"/>
    <x v="0"/>
    <x v="0"/>
    <x v="0"/>
    <x v="0"/>
    <s v="DK1_Small"/>
    <x v="0"/>
    <x v="0"/>
    <s v="DK1_Rural_WI"/>
    <x v="3"/>
    <x v="3"/>
    <n v="1.6247620223028301"/>
    <n v="98.839689690088704"/>
    <n v="355.82288288431897"/>
  </r>
  <r>
    <x v="0"/>
    <x v="0"/>
    <x v="0"/>
    <x v="0"/>
    <x v="0"/>
    <s v="DK1_Small"/>
    <x v="0"/>
    <x v="0"/>
    <s v="DK1_Rural_WI"/>
    <x v="3"/>
    <x v="4"/>
    <n v="2.0889797429607802"/>
    <n v="127.07960103011401"/>
    <n v="457.48656370841098"/>
  </r>
  <r>
    <x v="0"/>
    <x v="0"/>
    <x v="0"/>
    <x v="0"/>
    <x v="0"/>
    <s v="DK1_Small"/>
    <x v="0"/>
    <x v="0"/>
    <s v="DK1_Rural_WI"/>
    <x v="3"/>
    <x v="5"/>
    <n v="2.9400455641670198"/>
    <n v="178.852771820161"/>
    <n v="643.869978552578"/>
  </r>
  <r>
    <x v="0"/>
    <x v="0"/>
    <x v="0"/>
    <x v="0"/>
    <x v="0"/>
    <s v="DK1_Small"/>
    <x v="0"/>
    <x v="0"/>
    <s v="DK1_Rural_WI"/>
    <x v="3"/>
    <x v="6"/>
    <n v="3.4042632848249701"/>
    <n v="207.092683160186"/>
    <n v="745.53365937666899"/>
  </r>
  <r>
    <x v="0"/>
    <x v="0"/>
    <x v="0"/>
    <x v="0"/>
    <x v="0"/>
    <s v="DK1_Small"/>
    <x v="0"/>
    <x v="0"/>
    <s v="DK1_Rural_WI"/>
    <x v="3"/>
    <x v="7"/>
    <n v="4.2553291060312199"/>
    <n v="258.86585395023201"/>
    <n v="931.91707422083698"/>
  </r>
  <r>
    <x v="0"/>
    <x v="0"/>
    <x v="0"/>
    <x v="0"/>
    <x v="0"/>
    <s v="DK1_Small"/>
    <x v="0"/>
    <x v="0"/>
    <s v="DK1_Rural_WI"/>
    <x v="3"/>
    <x v="8"/>
    <n v="6.8858961897595998"/>
    <n v="418.89201821037602"/>
    <n v="1508.01126555735"/>
  </r>
  <r>
    <x v="0"/>
    <x v="0"/>
    <x v="0"/>
    <x v="0"/>
    <x v="0"/>
    <s v="DK1_Small"/>
    <x v="0"/>
    <x v="0"/>
    <s v="DK1_Rural_WI"/>
    <x v="3"/>
    <x v="9"/>
    <n v="7.4274835305272102"/>
    <n v="451.83858144040602"/>
    <n v="1626.6188931854599"/>
  </r>
  <r>
    <x v="0"/>
    <x v="0"/>
    <x v="0"/>
    <x v="0"/>
    <x v="0"/>
    <s v="DK1_Small"/>
    <x v="0"/>
    <x v="0"/>
    <s v="DK1_Rural_WI"/>
    <x v="3"/>
    <x v="10"/>
    <n v="6.8858961897595998"/>
    <n v="418.89201821037602"/>
    <n v="1508.01126555735"/>
  </r>
  <r>
    <x v="0"/>
    <x v="0"/>
    <x v="0"/>
    <x v="0"/>
    <x v="0"/>
    <s v="DK1_Small"/>
    <x v="0"/>
    <x v="0"/>
    <s v="DK1_Rural_WI"/>
    <x v="3"/>
    <x v="11"/>
    <n v="8.0464404914044803"/>
    <n v="489.49179656043901"/>
    <n v="1762.17046761758"/>
  </r>
  <r>
    <x v="0"/>
    <x v="0"/>
    <x v="0"/>
    <x v="0"/>
    <x v="0"/>
    <s v="DK1_Small"/>
    <x v="0"/>
    <x v="0"/>
    <s v="DK1_Rural_WI"/>
    <x v="4"/>
    <x v="0"/>
    <n v="104.681096008368"/>
    <n v="6368.1000071757198"/>
    <n v="22925.1600258326"/>
  </r>
  <r>
    <x v="0"/>
    <x v="0"/>
    <x v="0"/>
    <x v="0"/>
    <x v="0"/>
    <s v="DK1_Small"/>
    <x v="0"/>
    <x v="0"/>
    <s v="DK1_Rural_WI"/>
    <x v="4"/>
    <x v="1"/>
    <n v="105.300052969245"/>
    <n v="6405.7532222957498"/>
    <n v="23060.711600264702"/>
  </r>
  <r>
    <x v="0"/>
    <x v="0"/>
    <x v="0"/>
    <x v="0"/>
    <x v="0"/>
    <s v="DK1_Small"/>
    <x v="0"/>
    <x v="0"/>
    <s v="DK1_Rural_WI"/>
    <x v="4"/>
    <x v="2"/>
    <n v="110.019599795934"/>
    <n v="6692.8589875860098"/>
    <n v="24094.292355309601"/>
  </r>
  <r>
    <x v="0"/>
    <x v="0"/>
    <x v="0"/>
    <x v="0"/>
    <x v="0"/>
    <s v="DK1_Small"/>
    <x v="0"/>
    <x v="0"/>
    <s v="DK1_Rural_WI"/>
    <x v="4"/>
    <x v="3"/>
    <n v="107.543771952425"/>
    <n v="6542.2461271058701"/>
    <n v="23552.086057581098"/>
  </r>
  <r>
    <x v="0"/>
    <x v="0"/>
    <x v="0"/>
    <x v="0"/>
    <x v="0"/>
    <s v="DK1_Small"/>
    <x v="0"/>
    <x v="0"/>
    <s v="DK1_Rural_WI"/>
    <x v="4"/>
    <x v="4"/>
    <n v="104.603726388258"/>
    <n v="6363.3933552857097"/>
    <n v="22908.2160790286"/>
  </r>
  <r>
    <x v="0"/>
    <x v="0"/>
    <x v="0"/>
    <x v="0"/>
    <x v="0"/>
    <s v="DK1_Small"/>
    <x v="0"/>
    <x v="0"/>
    <s v="DK1_Rural_WI"/>
    <x v="4"/>
    <x v="5"/>
    <n v="104.448987148039"/>
    <n v="6353.9800515057004"/>
    <n v="22874.328185420502"/>
  </r>
  <r>
    <x v="0"/>
    <x v="0"/>
    <x v="0"/>
    <x v="0"/>
    <x v="0"/>
    <s v="DK1_Small"/>
    <x v="0"/>
    <x v="0"/>
    <s v="DK1_Rural_WI"/>
    <x v="4"/>
    <x v="6"/>
    <n v="111.412252957908"/>
    <n v="6777.5787216060799"/>
    <n v="24399.283397781899"/>
  </r>
  <r>
    <x v="0"/>
    <x v="0"/>
    <x v="0"/>
    <x v="0"/>
    <x v="0"/>
    <s v="DK1_Small"/>
    <x v="0"/>
    <x v="0"/>
    <s v="DK1_Rural_WI"/>
    <x v="4"/>
    <x v="7"/>
    <n v="118.68499724821601"/>
    <n v="7220.0039992664797"/>
    <n v="25992.0143973593"/>
  </r>
  <r>
    <x v="0"/>
    <x v="0"/>
    <x v="0"/>
    <x v="0"/>
    <x v="0"/>
    <s v="DK1_Small"/>
    <x v="0"/>
    <x v="0"/>
    <s v="DK1_Rural_WI"/>
    <x v="4"/>
    <x v="8"/>
    <n v="125.803002298305"/>
    <n v="7653.0159731468702"/>
    <n v="27550.857503328702"/>
  </r>
  <r>
    <x v="0"/>
    <x v="0"/>
    <x v="0"/>
    <x v="0"/>
    <x v="0"/>
    <s v="DK1_Small"/>
    <x v="0"/>
    <x v="0"/>
    <s v="DK1_Rural_WI"/>
    <x v="4"/>
    <x v="9"/>
    <n v="135.55157443212201"/>
    <n v="8246.0541112873998"/>
    <n v="29685.794800634601"/>
  </r>
  <r>
    <x v="0"/>
    <x v="0"/>
    <x v="0"/>
    <x v="0"/>
    <x v="0"/>
    <s v="DK1_Small"/>
    <x v="0"/>
    <x v="0"/>
    <s v="DK1_Rural_WI"/>
    <x v="4"/>
    <x v="10"/>
    <n v="143.59801492352599"/>
    <n v="8735.5459078478398"/>
    <n v="31447.965268252199"/>
  </r>
  <r>
    <x v="0"/>
    <x v="0"/>
    <x v="0"/>
    <x v="0"/>
    <x v="0"/>
    <s v="DK1_Small"/>
    <x v="0"/>
    <x v="0"/>
    <s v="DK1_Rural_WI"/>
    <x v="4"/>
    <x v="11"/>
    <n v="149.55547567196999"/>
    <n v="9097.9581033781706"/>
    <n v="32752.6491721614"/>
  </r>
  <r>
    <x v="0"/>
    <x v="0"/>
    <x v="0"/>
    <x v="0"/>
    <x v="0"/>
    <s v="DK1_Small"/>
    <x v="0"/>
    <x v="0"/>
    <s v="DK1_Rural_WI"/>
    <x v="5"/>
    <x v="0"/>
    <n v="53.075559395225703"/>
    <n v="3228.7631965429"/>
    <n v="11623.5475075544"/>
  </r>
  <r>
    <x v="0"/>
    <x v="0"/>
    <x v="0"/>
    <x v="0"/>
    <x v="0"/>
    <s v="DK1_Small"/>
    <x v="0"/>
    <x v="0"/>
    <s v="DK1_Rural_WI"/>
    <x v="5"/>
    <x v="1"/>
    <n v="52.301863194129098"/>
    <n v="3181.6966776428599"/>
    <n v="11454.1080395143"/>
  </r>
  <r>
    <x v="0"/>
    <x v="0"/>
    <x v="0"/>
    <x v="0"/>
    <x v="0"/>
    <s v="DK1_Small"/>
    <x v="0"/>
    <x v="0"/>
    <s v="DK1_Rural_WI"/>
    <x v="5"/>
    <x v="2"/>
    <n v="52.533972054458097"/>
    <n v="3195.8166333128702"/>
    <n v="11504.9398799263"/>
  </r>
  <r>
    <x v="0"/>
    <x v="0"/>
    <x v="0"/>
    <x v="0"/>
    <x v="0"/>
    <s v="DK1_Small"/>
    <x v="0"/>
    <x v="0"/>
    <s v="DK1_Rural_WI"/>
    <x v="5"/>
    <x v="3"/>
    <n v="53.694516356103001"/>
    <n v="3266.4164116629299"/>
    <n v="11759.0990819866"/>
  </r>
  <r>
    <x v="0"/>
    <x v="0"/>
    <x v="0"/>
    <x v="0"/>
    <x v="0"/>
    <s v="DK1_Small"/>
    <x v="0"/>
    <x v="0"/>
    <s v="DK1_Rural_WI"/>
    <x v="5"/>
    <x v="4"/>
    <n v="53.230298635445003"/>
    <n v="3238.1765003229102"/>
    <n v="11657.4354011625"/>
  </r>
  <r>
    <x v="0"/>
    <x v="0"/>
    <x v="0"/>
    <x v="0"/>
    <x v="0"/>
    <s v="DK1_Small"/>
    <x v="0"/>
    <x v="0"/>
    <s v="DK1_Rural_WI"/>
    <x v="5"/>
    <x v="5"/>
    <n v="53.694516356103001"/>
    <n v="3266.4164116629299"/>
    <n v="11759.0990819866"/>
  </r>
  <r>
    <x v="0"/>
    <x v="0"/>
    <x v="0"/>
    <x v="0"/>
    <x v="0"/>
    <s v="DK1_Small"/>
    <x v="0"/>
    <x v="0"/>
    <s v="DK1_Rural_WI"/>
    <x v="5"/>
    <x v="6"/>
    <n v="52.224493574019498"/>
    <n v="3176.9900257528502"/>
    <n v="11437.1640927103"/>
  </r>
  <r>
    <x v="0"/>
    <x v="0"/>
    <x v="0"/>
    <x v="0"/>
    <x v="0"/>
    <s v="DK1_Small"/>
    <x v="0"/>
    <x v="0"/>
    <s v="DK1_Rural_WI"/>
    <x v="5"/>
    <x v="7"/>
    <n v="51.528166993032599"/>
    <n v="3134.6301587428102"/>
    <n v="11284.6685714741"/>
  </r>
  <r>
    <x v="0"/>
    <x v="0"/>
    <x v="0"/>
    <x v="0"/>
    <x v="0"/>
    <s v="DK1_Small"/>
    <x v="0"/>
    <x v="0"/>
    <s v="DK1_Rural_WI"/>
    <x v="5"/>
    <x v="8"/>
    <n v="52.301863194129098"/>
    <n v="3181.6966776428599"/>
    <n v="11454.1080395143"/>
  </r>
  <r>
    <x v="0"/>
    <x v="0"/>
    <x v="0"/>
    <x v="0"/>
    <x v="0"/>
    <s v="DK1_Small"/>
    <x v="0"/>
    <x v="0"/>
    <s v="DK1_Rural_WI"/>
    <x v="5"/>
    <x v="9"/>
    <n v="56.092974579502403"/>
    <n v="3412.32262025306"/>
    <n v="12284.361432911001"/>
  </r>
  <r>
    <x v="0"/>
    <x v="0"/>
    <x v="0"/>
    <x v="0"/>
    <x v="0"/>
    <s v="DK1_Small"/>
    <x v="0"/>
    <x v="0"/>
    <s v="DK1_Rural_WI"/>
    <x v="5"/>
    <x v="10"/>
    <n v="66.460503674196602"/>
    <n v="4043.0139735136299"/>
    <n v="14554.850304649101"/>
  </r>
  <r>
    <x v="0"/>
    <x v="0"/>
    <x v="0"/>
    <x v="0"/>
    <x v="0"/>
    <s v="DK1_Small"/>
    <x v="0"/>
    <x v="0"/>
    <s v="DK1_Rural_WI"/>
    <x v="5"/>
    <x v="11"/>
    <n v="72.650073282969302"/>
    <n v="4419.5461247139701"/>
    <n v="15910.3660489703"/>
  </r>
  <r>
    <x v="0"/>
    <x v="0"/>
    <x v="0"/>
    <x v="0"/>
    <x v="0"/>
    <s v="DK1_Small"/>
    <x v="0"/>
    <x v="0"/>
    <s v="DK1_Rural_WI"/>
    <x v="6"/>
    <x v="0"/>
    <n v="4.1779594859215603"/>
    <n v="254.15920206022801"/>
    <n v="914.97312741682094"/>
  </r>
  <r>
    <x v="0"/>
    <x v="0"/>
    <x v="0"/>
    <x v="0"/>
    <x v="0"/>
    <s v="DK1_Small"/>
    <x v="0"/>
    <x v="0"/>
    <s v="DK1_Rural_WI"/>
    <x v="6"/>
    <x v="1"/>
    <n v="2.3984582233994098"/>
    <n v="145.906208590131"/>
    <n v="525.262350924472"/>
  </r>
  <r>
    <x v="0"/>
    <x v="0"/>
    <x v="0"/>
    <x v="0"/>
    <x v="0"/>
    <s v="DK1_Small"/>
    <x v="0"/>
    <x v="0"/>
    <s v="DK1_Rural_WI"/>
    <x v="6"/>
    <x v="2"/>
    <n v="1.3152835418641899"/>
    <n v="80.013082130071794"/>
    <n v="288.04709566825801"/>
  </r>
  <r>
    <x v="0"/>
    <x v="0"/>
    <x v="0"/>
    <x v="0"/>
    <x v="0"/>
    <s v="DK1_Small"/>
    <x v="0"/>
    <x v="0"/>
    <s v="DK1_Rural_WI"/>
    <x v="6"/>
    <x v="3"/>
    <n v="1.16054430164488"/>
    <n v="70.599778350063403"/>
    <n v="254.15920206022801"/>
  </r>
  <r>
    <x v="0"/>
    <x v="0"/>
    <x v="0"/>
    <x v="0"/>
    <x v="0"/>
    <s v="DK1_Small"/>
    <x v="0"/>
    <x v="0"/>
    <s v="DK1_Rural_WI"/>
    <x v="6"/>
    <x v="4"/>
    <n v="3.0174151842766799"/>
    <n v="183.55942371016499"/>
    <n v="660.81392535659302"/>
  </r>
  <r>
    <x v="0"/>
    <x v="0"/>
    <x v="0"/>
    <x v="0"/>
    <x v="0"/>
    <s v="DK1_Small"/>
    <x v="0"/>
    <x v="0"/>
    <s v="DK1_Rural_WI"/>
    <x v="6"/>
    <x v="5"/>
    <n v="4.5648075864698496"/>
    <n v="277.69246151024902"/>
    <n v="999.69286143689703"/>
  </r>
  <r>
    <x v="0"/>
    <x v="0"/>
    <x v="0"/>
    <x v="0"/>
    <x v="0"/>
    <s v="DK1_Small"/>
    <x v="0"/>
    <x v="0"/>
    <s v="DK1_Rural_WI"/>
    <x v="6"/>
    <x v="6"/>
    <n v="6.80852656964995"/>
    <n v="414.185366320372"/>
    <n v="1491.06731875334"/>
  </r>
  <r>
    <x v="0"/>
    <x v="0"/>
    <x v="0"/>
    <x v="0"/>
    <x v="0"/>
    <s v="DK1_Small"/>
    <x v="0"/>
    <x v="0"/>
    <s v="DK1_Rural_WI"/>
    <x v="6"/>
    <x v="7"/>
    <n v="11.2959645360101"/>
    <n v="687.17117594061699"/>
    <n v="2473.8162333862201"/>
  </r>
  <r>
    <x v="0"/>
    <x v="0"/>
    <x v="0"/>
    <x v="0"/>
    <x v="0"/>
    <s v="DK1_Small"/>
    <x v="0"/>
    <x v="0"/>
    <s v="DK1_Rural_WI"/>
    <x v="6"/>
    <x v="8"/>
    <n v="15.473924021931699"/>
    <n v="941.33037800084503"/>
    <n v="3388.7893608030399"/>
  </r>
  <r>
    <x v="0"/>
    <x v="0"/>
    <x v="0"/>
    <x v="0"/>
    <x v="0"/>
    <s v="DK1_Small"/>
    <x v="0"/>
    <x v="0"/>
    <s v="DK1_Rural_WI"/>
    <x v="6"/>
    <x v="9"/>
    <n v="15.0870759213834"/>
    <n v="917.79711855082405"/>
    <n v="3304.0696267829699"/>
  </r>
  <r>
    <x v="0"/>
    <x v="0"/>
    <x v="0"/>
    <x v="0"/>
    <x v="0"/>
    <s v="DK1_Small"/>
    <x v="0"/>
    <x v="0"/>
    <s v="DK1_Rural_WI"/>
    <x v="6"/>
    <x v="10"/>
    <n v="13.3075746588613"/>
    <n v="809.54412508072699"/>
    <n v="2914.35885029062"/>
  </r>
  <r>
    <x v="0"/>
    <x v="0"/>
    <x v="0"/>
    <x v="0"/>
    <x v="0"/>
    <s v="DK1_Small"/>
    <x v="0"/>
    <x v="0"/>
    <s v="DK1_Rural_WI"/>
    <x v="6"/>
    <x v="11"/>
    <n v="13.7717923795192"/>
    <n v="837.78403642075205"/>
    <n v="3016.0225311147101"/>
  </r>
  <r>
    <x v="0"/>
    <x v="0"/>
    <x v="0"/>
    <x v="0"/>
    <x v="0"/>
    <s v="DK1_Small"/>
    <x v="0"/>
    <x v="0"/>
    <s v="DK1_Rural_WI"/>
    <x v="7"/>
    <x v="0"/>
    <n v="98.723635259924194"/>
    <n v="6005.68781164539"/>
    <n v="21620.476121923399"/>
  </r>
  <r>
    <x v="0"/>
    <x v="0"/>
    <x v="0"/>
    <x v="0"/>
    <x v="0"/>
    <s v="DK1_Small"/>
    <x v="0"/>
    <x v="0"/>
    <s v="DK1_Rural_WI"/>
    <x v="7"/>
    <x v="1"/>
    <n v="73.346399863956194"/>
    <n v="4461.9059917240102"/>
    <n v="16062.8615702064"/>
  </r>
  <r>
    <x v="0"/>
    <x v="0"/>
    <x v="0"/>
    <x v="0"/>
    <x v="0"/>
    <s v="DK1_Small"/>
    <x v="0"/>
    <x v="0"/>
    <s v="DK1_Rural_WI"/>
    <x v="7"/>
    <x v="2"/>
    <n v="54.3134733169803"/>
    <n v="3304.0696267829699"/>
    <n v="11894.6506564187"/>
  </r>
  <r>
    <x v="0"/>
    <x v="0"/>
    <x v="0"/>
    <x v="0"/>
    <x v="0"/>
    <s v="DK1_Small"/>
    <x v="0"/>
    <x v="0"/>
    <s v="DK1_Rural_WI"/>
    <x v="7"/>
    <x v="3"/>
    <n v="53.462407495774002"/>
    <n v="3252.2964559929201"/>
    <n v="11708.2672415745"/>
  </r>
  <r>
    <x v="0"/>
    <x v="0"/>
    <x v="0"/>
    <x v="0"/>
    <x v="0"/>
    <s v="DK1_Small"/>
    <x v="0"/>
    <x v="0"/>
    <s v="DK1_Rural_WI"/>
    <x v="7"/>
    <x v="4"/>
    <n v="53.926625216432001"/>
    <n v="3280.5363673329398"/>
    <n v="11809.9309223986"/>
  </r>
  <r>
    <x v="0"/>
    <x v="0"/>
    <x v="0"/>
    <x v="0"/>
    <x v="0"/>
    <s v="DK1_Small"/>
    <x v="0"/>
    <x v="0"/>
    <s v="DK1_Rural_WI"/>
    <x v="7"/>
    <x v="5"/>
    <n v="51.760275853361499"/>
    <n v="3148.75011441283"/>
    <n v="11335.5004118862"/>
  </r>
  <r>
    <x v="0"/>
    <x v="0"/>
    <x v="0"/>
    <x v="0"/>
    <x v="0"/>
    <s v="DK1_Small"/>
    <x v="0"/>
    <x v="0"/>
    <s v="DK1_Rural_WI"/>
    <x v="7"/>
    <x v="6"/>
    <n v="54.7003214175285"/>
    <n v="3327.6028862329899"/>
    <n v="11979.3703904388"/>
  </r>
  <r>
    <x v="0"/>
    <x v="0"/>
    <x v="0"/>
    <x v="0"/>
    <x v="0"/>
    <s v="DK1_Small"/>
    <x v="0"/>
    <x v="0"/>
    <s v="DK1_Rural_WI"/>
    <x v="7"/>
    <x v="7"/>
    <n v="58.568802423011498"/>
    <n v="3562.9354807332002"/>
    <n v="12826.567730639499"/>
  </r>
  <r>
    <x v="0"/>
    <x v="0"/>
    <x v="0"/>
    <x v="0"/>
    <x v="0"/>
    <s v="DK1_Small"/>
    <x v="0"/>
    <x v="0"/>
    <s v="DK1_Rural_WI"/>
    <x v="7"/>
    <x v="8"/>
    <n v="64.2167846910165"/>
    <n v="3906.5210687035101"/>
    <n v="14063.4758473326"/>
  </r>
  <r>
    <x v="0"/>
    <x v="0"/>
    <x v="0"/>
    <x v="0"/>
    <x v="0"/>
    <s v="DK1_Small"/>
    <x v="0"/>
    <x v="0"/>
    <s v="DK1_Rural_WI"/>
    <x v="7"/>
    <x v="9"/>
    <n v="81.160731495031698"/>
    <n v="4937.2778326144298"/>
    <n v="17774.200197411999"/>
  </r>
  <r>
    <x v="0"/>
    <x v="0"/>
    <x v="0"/>
    <x v="0"/>
    <x v="0"/>
    <s v="DK1_Small"/>
    <x v="0"/>
    <x v="0"/>
    <s v="DK1_Rural_WI"/>
    <x v="7"/>
    <x v="10"/>
    <n v="102.05052892464001"/>
    <n v="6208.0738429155699"/>
    <n v="22349.065834496101"/>
  </r>
  <r>
    <x v="0"/>
    <x v="0"/>
    <x v="0"/>
    <x v="0"/>
    <x v="0"/>
    <s v="DK1_Small"/>
    <x v="0"/>
    <x v="0"/>
    <s v="DK1_Rural_WI"/>
    <x v="7"/>
    <x v="11"/>
    <n v="125.18404533742699"/>
    <n v="7615.3627580268403"/>
    <n v="27415.3059288966"/>
  </r>
  <r>
    <x v="0"/>
    <x v="0"/>
    <x v="0"/>
    <x v="0"/>
    <x v="0"/>
    <s v="DK1_Small"/>
    <x v="0"/>
    <x v="0"/>
    <s v="DK1_Rural_WI"/>
    <x v="8"/>
    <x v="0"/>
    <n v="5.7253518881147301"/>
    <n v="348.29223986031297"/>
    <n v="1253.8520634971301"/>
  </r>
  <r>
    <x v="0"/>
    <x v="0"/>
    <x v="0"/>
    <x v="0"/>
    <x v="0"/>
    <s v="DK1_Small"/>
    <x v="0"/>
    <x v="0"/>
    <s v="DK1_Rural_WI"/>
    <x v="8"/>
    <x v="1"/>
    <n v="11.2185949159005"/>
    <n v="682.464524050612"/>
    <n v="2456.8722865822101"/>
  </r>
  <r>
    <x v="0"/>
    <x v="0"/>
    <x v="0"/>
    <x v="0"/>
    <x v="0"/>
    <s v="DK1_Small"/>
    <x v="0"/>
    <x v="0"/>
    <s v="DK1_Rural_WI"/>
    <x v="8"/>
    <x v="2"/>
    <n v="15.0870759213834"/>
    <n v="917.79711855082405"/>
    <n v="3304.0696267829699"/>
  </r>
  <r>
    <x v="0"/>
    <x v="0"/>
    <x v="0"/>
    <x v="0"/>
    <x v="0"/>
    <s v="DK1_Small"/>
    <x v="0"/>
    <x v="0"/>
    <s v="DK1_Rural_WI"/>
    <x v="8"/>
    <x v="3"/>
    <n v="19.883992368182199"/>
    <n v="1209.6095357310901"/>
    <n v="4354.5943286319098"/>
  </r>
  <r>
    <x v="0"/>
    <x v="0"/>
    <x v="0"/>
    <x v="0"/>
    <x v="0"/>
    <s v="DK1_Small"/>
    <x v="0"/>
    <x v="0"/>
    <s v="DK1_Rural_WI"/>
    <x v="8"/>
    <x v="4"/>
    <n v="23.7524733736652"/>
    <n v="1444.9421302313001"/>
    <n v="5201.7916688326704"/>
  </r>
  <r>
    <x v="0"/>
    <x v="0"/>
    <x v="0"/>
    <x v="0"/>
    <x v="0"/>
    <s v="DK1_Small"/>
    <x v="0"/>
    <x v="0"/>
    <s v="DK1_Rural_WI"/>
    <x v="8"/>
    <x v="5"/>
    <n v="30.3288910829861"/>
    <n v="1845.0075408816599"/>
    <n v="6642.0271471739597"/>
  </r>
  <r>
    <x v="0"/>
    <x v="0"/>
    <x v="0"/>
    <x v="0"/>
    <x v="0"/>
    <s v="DK1_Small"/>
    <x v="0"/>
    <x v="0"/>
    <s v="DK1_Rural_WI"/>
    <x v="8"/>
    <x v="6"/>
    <n v="38.607440434719599"/>
    <n v="2348.61929311211"/>
    <n v="8455.0294552035903"/>
  </r>
  <r>
    <x v="0"/>
    <x v="0"/>
    <x v="0"/>
    <x v="0"/>
    <x v="0"/>
    <s v="DK1_Small"/>
    <x v="0"/>
    <x v="0"/>
    <s v="DK1_Rural_WI"/>
    <x v="8"/>
    <x v="7"/>
    <n v="49.207078389742797"/>
    <n v="2993.4306020426902"/>
    <n v="10776.350167353699"/>
  </r>
  <r>
    <x v="0"/>
    <x v="0"/>
    <x v="0"/>
    <x v="0"/>
    <x v="0"/>
    <s v="DK1_Small"/>
    <x v="0"/>
    <x v="0"/>
    <s v="DK1_Rural_WI"/>
    <x v="8"/>
    <x v="8"/>
    <n v="61.740956847507498"/>
    <n v="3755.9082082233699"/>
    <n v="13521.2695496041"/>
  </r>
  <r>
    <x v="0"/>
    <x v="0"/>
    <x v="0"/>
    <x v="0"/>
    <x v="0"/>
    <s v="DK1_Small"/>
    <x v="0"/>
    <x v="0"/>
    <s v="DK1_Rural_WI"/>
    <x v="8"/>
    <x v="9"/>
    <n v="71.334789741105098"/>
    <n v="4339.5330425839002"/>
    <n v="15622.318953301999"/>
  </r>
  <r>
    <x v="0"/>
    <x v="0"/>
    <x v="0"/>
    <x v="0"/>
    <x v="0"/>
    <s v="DK1_Small"/>
    <x v="0"/>
    <x v="0"/>
    <s v="DK1_Rural_WI"/>
    <x v="8"/>
    <x v="10"/>
    <n v="78.839642891742002"/>
    <n v="4796.0782759143103"/>
    <n v="17265.881793291501"/>
  </r>
  <r>
    <x v="0"/>
    <x v="0"/>
    <x v="0"/>
    <x v="0"/>
    <x v="0"/>
    <s v="DK1_Small"/>
    <x v="0"/>
    <x v="0"/>
    <s v="DK1_Rural_WI"/>
    <x v="8"/>
    <x v="11"/>
    <n v="75.280640366697696"/>
    <n v="4579.5722889741101"/>
    <n v="16486.460240306798"/>
  </r>
  <r>
    <x v="0"/>
    <x v="0"/>
    <x v="0"/>
    <x v="0"/>
    <x v="0"/>
    <s v="DK1_Small"/>
    <x v="0"/>
    <x v="0"/>
    <s v="DK1_Rural_WI"/>
    <x v="9"/>
    <x v="0"/>
    <n v="93.075652991919199"/>
    <n v="5662.1022236750796"/>
    <n v="20383.5680052303"/>
  </r>
  <r>
    <x v="0"/>
    <x v="0"/>
    <x v="0"/>
    <x v="0"/>
    <x v="0"/>
    <s v="DK1_Small"/>
    <x v="0"/>
    <x v="0"/>
    <s v="DK1_Rural_WI"/>
    <x v="9"/>
    <x v="1"/>
    <n v="99.497331461020806"/>
    <n v="6052.7543305454301"/>
    <n v="21789.915589963599"/>
  </r>
  <r>
    <x v="0"/>
    <x v="0"/>
    <x v="0"/>
    <x v="0"/>
    <x v="0"/>
    <s v="DK1_Small"/>
    <x v="0"/>
    <x v="0"/>
    <s v="DK1_Rural_WI"/>
    <x v="9"/>
    <x v="2"/>
    <n v="104.526356768149"/>
    <n v="6358.6867033957096"/>
    <n v="22891.272132224502"/>
  </r>
  <r>
    <x v="0"/>
    <x v="0"/>
    <x v="0"/>
    <x v="0"/>
    <x v="0"/>
    <s v="DK1_Small"/>
    <x v="0"/>
    <x v="0"/>
    <s v="DK1_Rural_WI"/>
    <x v="9"/>
    <x v="3"/>
    <n v="107.543771952425"/>
    <n v="6542.2461271058701"/>
    <n v="23552.086057581098"/>
  </r>
  <r>
    <x v="0"/>
    <x v="0"/>
    <x v="0"/>
    <x v="0"/>
    <x v="0"/>
    <s v="DK1_Small"/>
    <x v="0"/>
    <x v="0"/>
    <s v="DK1_Rural_WI"/>
    <x v="9"/>
    <x v="4"/>
    <n v="109.710121315496"/>
    <n v="6674.0323800259903"/>
    <n v="24026.516568093601"/>
  </r>
  <r>
    <x v="0"/>
    <x v="0"/>
    <x v="0"/>
    <x v="0"/>
    <x v="0"/>
    <s v="DK1_Small"/>
    <x v="0"/>
    <x v="0"/>
    <s v="DK1_Rural_WI"/>
    <x v="9"/>
    <x v="5"/>
    <n v="110.25170865626301"/>
    <n v="6706.9789432560201"/>
    <n v="24145.124195721699"/>
  </r>
  <r>
    <x v="0"/>
    <x v="0"/>
    <x v="0"/>
    <x v="0"/>
    <x v="0"/>
    <s v="DK1_Small"/>
    <x v="0"/>
    <x v="0"/>
    <s v="DK1_Rural_WI"/>
    <x v="9"/>
    <x v="6"/>
    <n v="113.26912384054"/>
    <n v="6890.5383669661796"/>
    <n v="24805.938121078299"/>
  </r>
  <r>
    <x v="0"/>
    <x v="0"/>
    <x v="0"/>
    <x v="0"/>
    <x v="0"/>
    <s v="DK1_Small"/>
    <x v="0"/>
    <x v="0"/>
    <s v="DK1_Rural_WI"/>
    <x v="9"/>
    <x v="7"/>
    <n v="116.209169404707"/>
    <n v="7069.39113878635"/>
    <n v="25449.808099630802"/>
  </r>
  <r>
    <x v="0"/>
    <x v="0"/>
    <x v="0"/>
    <x v="0"/>
    <x v="0"/>
    <s v="DK1_Small"/>
    <x v="0"/>
    <x v="0"/>
    <s v="DK1_Rural_WI"/>
    <x v="9"/>
    <x v="8"/>
    <n v="120.309759270519"/>
    <n v="7318.8436889565701"/>
    <n v="26347.837280243599"/>
  </r>
  <r>
    <x v="0"/>
    <x v="0"/>
    <x v="0"/>
    <x v="0"/>
    <x v="0"/>
    <s v="DK1_Small"/>
    <x v="0"/>
    <x v="0"/>
    <s v="DK1_Rural_WI"/>
    <x v="9"/>
    <x v="9"/>
    <n v="120.232389650409"/>
    <n v="7314.13703706656"/>
    <n v="26330.893333439599"/>
  </r>
  <r>
    <x v="0"/>
    <x v="0"/>
    <x v="0"/>
    <x v="0"/>
    <x v="0"/>
    <s v="DK1_Small"/>
    <x v="0"/>
    <x v="0"/>
    <s v="DK1_Rural_WI"/>
    <x v="9"/>
    <x v="10"/>
    <n v="114.42966814218499"/>
    <n v="6961.1381453162503"/>
    <n v="25060.0973231385"/>
  </r>
  <r>
    <x v="0"/>
    <x v="0"/>
    <x v="0"/>
    <x v="0"/>
    <x v="0"/>
    <s v="DK1_Small"/>
    <x v="0"/>
    <x v="0"/>
    <s v="DK1_Rural_WI"/>
    <x v="9"/>
    <x v="11"/>
    <n v="112.031209918785"/>
    <n v="6815.2319367261198"/>
    <n v="24534.834972214001"/>
  </r>
  <r>
    <x v="0"/>
    <x v="0"/>
    <x v="0"/>
    <x v="0"/>
    <x v="0"/>
    <s v="DK1_Small"/>
    <x v="0"/>
    <x v="0"/>
    <s v="DK1_Rural_WI"/>
    <x v="10"/>
    <x v="0"/>
    <n v="161.23828830852801"/>
    <n v="9808.6625387688"/>
    <n v="35311.1851395677"/>
  </r>
  <r>
    <x v="0"/>
    <x v="0"/>
    <x v="0"/>
    <x v="0"/>
    <x v="0"/>
    <s v="DK1_Small"/>
    <x v="0"/>
    <x v="0"/>
    <s v="DK1_Rural_WI"/>
    <x v="10"/>
    <x v="1"/>
    <n v="156.673480722058"/>
    <n v="9530.9700772585493"/>
    <n v="34311.492278130798"/>
  </r>
  <r>
    <x v="0"/>
    <x v="0"/>
    <x v="0"/>
    <x v="0"/>
    <x v="0"/>
    <s v="DK1_Small"/>
    <x v="0"/>
    <x v="0"/>
    <s v="DK1_Rural_WI"/>
    <x v="10"/>
    <x v="2"/>
    <n v="152.41815161602699"/>
    <n v="9272.1042233083208"/>
    <n v="33379.575203909997"/>
  </r>
  <r>
    <x v="0"/>
    <x v="0"/>
    <x v="0"/>
    <x v="0"/>
    <x v="0"/>
    <s v="DK1_Small"/>
    <x v="0"/>
    <x v="0"/>
    <s v="DK1_Rural_WI"/>
    <x v="10"/>
    <x v="3"/>
    <n v="149.63284529207999"/>
    <n v="9102.6647552681698"/>
    <n v="32769.5931189654"/>
  </r>
  <r>
    <x v="0"/>
    <x v="0"/>
    <x v="0"/>
    <x v="0"/>
    <x v="0"/>
    <s v="DK1_Small"/>
    <x v="0"/>
    <x v="0"/>
    <s v="DK1_Rural_WI"/>
    <x v="10"/>
    <x v="4"/>
    <n v="144.21697188440299"/>
    <n v="8773.1991229678806"/>
    <n v="31583.516842684399"/>
  </r>
  <r>
    <x v="0"/>
    <x v="0"/>
    <x v="0"/>
    <x v="0"/>
    <x v="0"/>
    <s v="DK1_Small"/>
    <x v="0"/>
    <x v="0"/>
    <s v="DK1_Rural_WI"/>
    <x v="10"/>
    <x v="5"/>
    <n v="138.568989616398"/>
    <n v="8429.6135349975702"/>
    <n v="30346.608725991198"/>
  </r>
  <r>
    <x v="0"/>
    <x v="0"/>
    <x v="0"/>
    <x v="0"/>
    <x v="0"/>
    <s v="DK1_Small"/>
    <x v="0"/>
    <x v="0"/>
    <s v="DK1_Rural_WI"/>
    <x v="10"/>
    <x v="6"/>
    <n v="142.050622521333"/>
    <n v="8641.4128700477595"/>
    <n v="31109.086332171901"/>
  </r>
  <r>
    <x v="0"/>
    <x v="0"/>
    <x v="0"/>
    <x v="0"/>
    <x v="0"/>
    <s v="DK1_Small"/>
    <x v="0"/>
    <x v="0"/>
    <s v="DK1_Rural_WI"/>
    <x v="10"/>
    <x v="7"/>
    <n v="135.087356711464"/>
    <n v="8217.8141999473792"/>
    <n v="29584.131119810601"/>
  </r>
  <r>
    <x v="0"/>
    <x v="0"/>
    <x v="0"/>
    <x v="0"/>
    <x v="0"/>
    <s v="DK1_Small"/>
    <x v="0"/>
    <x v="0"/>
    <s v="DK1_Rural_WI"/>
    <x v="10"/>
    <x v="8"/>
    <n v="135.24209595168301"/>
    <n v="8227.2275037273794"/>
    <n v="29618.019013418601"/>
  </r>
  <r>
    <x v="0"/>
    <x v="0"/>
    <x v="0"/>
    <x v="0"/>
    <x v="0"/>
    <s v="DK1_Small"/>
    <x v="0"/>
    <x v="0"/>
    <s v="DK1_Rural_WI"/>
    <x v="10"/>
    <x v="9"/>
    <n v="148.00808326977699"/>
    <n v="9003.8250655780794"/>
    <n v="32413.770236081102"/>
  </r>
  <r>
    <x v="0"/>
    <x v="0"/>
    <x v="0"/>
    <x v="0"/>
    <x v="0"/>
    <s v="DK1_Small"/>
    <x v="0"/>
    <x v="0"/>
    <s v="DK1_Rural_WI"/>
    <x v="10"/>
    <x v="10"/>
    <n v="155.89978452096199"/>
    <n v="9483.9035583585101"/>
    <n v="34142.052810090601"/>
  </r>
  <r>
    <x v="0"/>
    <x v="0"/>
    <x v="0"/>
    <x v="0"/>
    <x v="0"/>
    <s v="DK1_Small"/>
    <x v="0"/>
    <x v="0"/>
    <s v="DK1_Rural_WI"/>
    <x v="10"/>
    <x v="11"/>
    <n v="159.92300476666401"/>
    <n v="9728.64945663873"/>
    <n v="35023.138043899402"/>
  </r>
  <r>
    <x v="0"/>
    <x v="0"/>
    <x v="0"/>
    <x v="0"/>
    <x v="0"/>
    <s v="DK1_Small"/>
    <x v="0"/>
    <x v="0"/>
    <s v="DK1_Rural_WI"/>
    <x v="11"/>
    <x v="0"/>
    <n v="114.584407382404"/>
    <n v="6970.5514490962596"/>
    <n v="25093.9852167465"/>
  </r>
  <r>
    <x v="0"/>
    <x v="0"/>
    <x v="0"/>
    <x v="0"/>
    <x v="0"/>
    <s v="DK1_Small"/>
    <x v="0"/>
    <x v="0"/>
    <s v="DK1_Rural_WI"/>
    <x v="11"/>
    <x v="1"/>
    <n v="125.18404533742699"/>
    <n v="7615.3627580268403"/>
    <n v="27415.3059288966"/>
  </r>
  <r>
    <x v="0"/>
    <x v="0"/>
    <x v="0"/>
    <x v="0"/>
    <x v="0"/>
    <s v="DK1_Small"/>
    <x v="0"/>
    <x v="0"/>
    <s v="DK1_Rural_WI"/>
    <x v="11"/>
    <x v="2"/>
    <n v="133.77207316959999"/>
    <n v="8137.8011178173001"/>
    <n v="29296.084024142299"/>
  </r>
  <r>
    <x v="0"/>
    <x v="0"/>
    <x v="0"/>
    <x v="0"/>
    <x v="0"/>
    <s v="DK1_Small"/>
    <x v="0"/>
    <x v="0"/>
    <s v="DK1_Rural_WI"/>
    <x v="11"/>
    <x v="3"/>
    <n v="151.334976934492"/>
    <n v="9206.2110968482593"/>
    <n v="33142.359948653699"/>
  </r>
  <r>
    <x v="0"/>
    <x v="0"/>
    <x v="0"/>
    <x v="0"/>
    <x v="0"/>
    <s v="DK1_Small"/>
    <x v="0"/>
    <x v="0"/>
    <s v="DK1_Rural_WI"/>
    <x v="11"/>
    <x v="4"/>
    <n v="160.54196172754101"/>
    <n v="9766.30267175876"/>
    <n v="35158.689618331497"/>
  </r>
  <r>
    <x v="0"/>
    <x v="0"/>
    <x v="0"/>
    <x v="0"/>
    <x v="0"/>
    <s v="DK1_Small"/>
    <x v="0"/>
    <x v="0"/>
    <s v="DK1_Rural_WI"/>
    <x v="11"/>
    <x v="5"/>
    <n v="169.51683766026201"/>
    <n v="10312.274290999299"/>
    <n v="37124.187447597302"/>
  </r>
  <r>
    <x v="0"/>
    <x v="0"/>
    <x v="0"/>
    <x v="0"/>
    <x v="0"/>
    <s v="DK1_Small"/>
    <x v="0"/>
    <x v="0"/>
    <s v="DK1_Rural_WI"/>
    <x v="11"/>
    <x v="6"/>
    <n v="173.23057942552501"/>
    <n v="10538.193581719501"/>
    <n v="37937.496894190001"/>
  </r>
  <r>
    <x v="0"/>
    <x v="0"/>
    <x v="0"/>
    <x v="0"/>
    <x v="0"/>
    <s v="DK1_Small"/>
    <x v="0"/>
    <x v="0"/>
    <s v="DK1_Rural_WI"/>
    <x v="11"/>
    <x v="7"/>
    <n v="171.06423006245501"/>
    <n v="10406.4073287993"/>
    <n v="37463.0663836776"/>
  </r>
  <r>
    <x v="0"/>
    <x v="0"/>
    <x v="0"/>
    <x v="0"/>
    <x v="0"/>
    <s v="DK1_Small"/>
    <x v="0"/>
    <x v="0"/>
    <s v="DK1_Rural_WI"/>
    <x v="11"/>
    <x v="8"/>
    <n v="157.292437682936"/>
    <n v="9568.6232923785901"/>
    <n v="34447.0438525629"/>
  </r>
  <r>
    <x v="0"/>
    <x v="0"/>
    <x v="0"/>
    <x v="0"/>
    <x v="0"/>
    <s v="DK1_Small"/>
    <x v="0"/>
    <x v="0"/>
    <s v="DK1_Rural_WI"/>
    <x v="11"/>
    <x v="9"/>
    <n v="148.472300990435"/>
    <n v="9032.0649769181091"/>
    <n v="32515.4339169052"/>
  </r>
  <r>
    <x v="0"/>
    <x v="0"/>
    <x v="0"/>
    <x v="0"/>
    <x v="0"/>
    <s v="DK1_Small"/>
    <x v="0"/>
    <x v="0"/>
    <s v="DK1_Rural_WI"/>
    <x v="11"/>
    <x v="10"/>
    <n v="132.68889848806401"/>
    <n v="8071.9079913572396"/>
    <n v="29058.868768886099"/>
  </r>
  <r>
    <x v="0"/>
    <x v="0"/>
    <x v="0"/>
    <x v="0"/>
    <x v="0"/>
    <s v="DK1_Small"/>
    <x v="0"/>
    <x v="0"/>
    <s v="DK1_Rural_WI"/>
    <x v="11"/>
    <x v="11"/>
    <n v="121.625042812383"/>
    <n v="7398.85677108664"/>
    <n v="26635.884375911901"/>
  </r>
  <r>
    <x v="0"/>
    <x v="0"/>
    <x v="0"/>
    <x v="0"/>
    <x v="1"/>
    <s v="DK2_Large"/>
    <x v="2"/>
    <x v="2"/>
    <s v="HeatPump-EL-10_19"/>
    <x v="0"/>
    <x v="0"/>
    <n v="349.51898611443499"/>
    <n v="21262.404988628099"/>
    <n v="76544.657959061296"/>
  </r>
  <r>
    <x v="0"/>
    <x v="0"/>
    <x v="0"/>
    <x v="0"/>
    <x v="1"/>
    <s v="DK2_Large"/>
    <x v="2"/>
    <x v="2"/>
    <s v="HeatPump-EL-10_19"/>
    <x v="0"/>
    <x v="1"/>
    <n v="349.51898611443499"/>
    <n v="21262.404988628099"/>
    <n v="76544.657959061296"/>
  </r>
  <r>
    <x v="0"/>
    <x v="0"/>
    <x v="0"/>
    <x v="0"/>
    <x v="1"/>
    <s v="DK2_Large"/>
    <x v="2"/>
    <x v="2"/>
    <s v="HeatPump-EL-10_19"/>
    <x v="0"/>
    <x v="2"/>
    <n v="349.51898611443499"/>
    <n v="21262.404988628099"/>
    <n v="76544.657959061296"/>
  </r>
  <r>
    <x v="0"/>
    <x v="0"/>
    <x v="0"/>
    <x v="0"/>
    <x v="1"/>
    <s v="DK2_Large"/>
    <x v="2"/>
    <x v="2"/>
    <s v="HeatPump-EL-10_19"/>
    <x v="0"/>
    <x v="3"/>
    <n v="353.46516821572698"/>
    <n v="21502.4643997901"/>
    <n v="77408.871839244195"/>
  </r>
  <r>
    <x v="0"/>
    <x v="0"/>
    <x v="0"/>
    <x v="0"/>
    <x v="1"/>
    <s v="DK2_Large"/>
    <x v="2"/>
    <x v="2"/>
    <s v="HeatPump-EL-10_19"/>
    <x v="0"/>
    <x v="4"/>
    <n v="357.41135031701901"/>
    <n v="21742.523810952"/>
    <n v="78273.085719427196"/>
  </r>
  <r>
    <x v="0"/>
    <x v="0"/>
    <x v="0"/>
    <x v="0"/>
    <x v="1"/>
    <s v="DK2_Large"/>
    <x v="2"/>
    <x v="2"/>
    <s v="HeatPump-EL-10_19"/>
    <x v="0"/>
    <x v="5"/>
    <n v="365.30371451960298"/>
    <n v="22222.642633275798"/>
    <n v="80001.513479793095"/>
  </r>
  <r>
    <x v="0"/>
    <x v="0"/>
    <x v="0"/>
    <x v="0"/>
    <x v="1"/>
    <s v="DK2_Large"/>
    <x v="2"/>
    <x v="2"/>
    <s v="HeatPump-EL-10_19"/>
    <x v="0"/>
    <x v="6"/>
    <n v="372.91420857209499"/>
    <n v="22685.614354802401"/>
    <n v="81668.211677288797"/>
  </r>
  <r>
    <x v="0"/>
    <x v="0"/>
    <x v="0"/>
    <x v="0"/>
    <x v="1"/>
    <s v="DK2_Large"/>
    <x v="2"/>
    <x v="2"/>
    <s v="HeatPump-EL-10_19"/>
    <x v="0"/>
    <x v="7"/>
    <n v="388.69893697726297"/>
    <n v="23645.8519994501"/>
    <n v="85125.067198020493"/>
  </r>
  <r>
    <x v="0"/>
    <x v="0"/>
    <x v="0"/>
    <x v="0"/>
    <x v="1"/>
    <s v="DK2_Large"/>
    <x v="2"/>
    <x v="2"/>
    <s v="HeatPump-EL-10_19"/>
    <x v="0"/>
    <x v="8"/>
    <n v="400.53748328113898"/>
    <n v="24366.0302329359"/>
    <n v="87717.708838569393"/>
  </r>
  <r>
    <x v="0"/>
    <x v="0"/>
    <x v="0"/>
    <x v="0"/>
    <x v="1"/>
    <s v="DK2_Large"/>
    <x v="2"/>
    <x v="2"/>
    <s v="HeatPump-EL-10_19"/>
    <x v="0"/>
    <x v="9"/>
    <n v="420.268393787599"/>
    <n v="25566.327288745601"/>
    <n v="92038.778239484105"/>
  </r>
  <r>
    <x v="0"/>
    <x v="0"/>
    <x v="0"/>
    <x v="0"/>
    <x v="1"/>
    <s v="DK2_Large"/>
    <x v="2"/>
    <x v="2"/>
    <s v="HeatPump-EL-10_19"/>
    <x v="0"/>
    <x v="10"/>
    <n v="428.16075799018301"/>
    <n v="26046.446111069501"/>
    <n v="93767.205999850004"/>
  </r>
  <r>
    <x v="0"/>
    <x v="0"/>
    <x v="0"/>
    <x v="0"/>
    <x v="1"/>
    <s v="DK2_Large"/>
    <x v="2"/>
    <x v="2"/>
    <s v="HeatPump-EL-10_19"/>
    <x v="0"/>
    <x v="11"/>
    <n v="424.21457588889098"/>
    <n v="25806.3866999075"/>
    <n v="92902.992119667106"/>
  </r>
  <r>
    <x v="0"/>
    <x v="0"/>
    <x v="0"/>
    <x v="0"/>
    <x v="1"/>
    <s v="DK2_Large"/>
    <x v="2"/>
    <x v="2"/>
    <s v="HeatPump-EL-10_19"/>
    <x v="1"/>
    <x v="0"/>
    <n v="300.47357999837698"/>
    <n v="18278.809449901299"/>
    <n v="65803.714019644598"/>
  </r>
  <r>
    <x v="0"/>
    <x v="0"/>
    <x v="0"/>
    <x v="0"/>
    <x v="1"/>
    <s v="DK2_Large"/>
    <x v="2"/>
    <x v="2"/>
    <s v="HeatPump-EL-10_19"/>
    <x v="1"/>
    <x v="1"/>
    <n v="303.85602179948501"/>
    <n v="18484.574659468599"/>
    <n v="66544.468774087101"/>
  </r>
  <r>
    <x v="0"/>
    <x v="0"/>
    <x v="0"/>
    <x v="0"/>
    <x v="1"/>
    <s v="DK2_Large"/>
    <x v="2"/>
    <x v="2"/>
    <s v="HeatPump-EL-10_19"/>
    <x v="1"/>
    <x v="2"/>
    <n v="307.23846360059201"/>
    <n v="18690.339869036001"/>
    <n v="67285.223528529605"/>
  </r>
  <r>
    <x v="0"/>
    <x v="0"/>
    <x v="0"/>
    <x v="0"/>
    <x v="1"/>
    <s v="DK2_Large"/>
    <x v="2"/>
    <x v="2"/>
    <s v="HeatPump-EL-10_19"/>
    <x v="1"/>
    <x v="3"/>
    <n v="310.62090540169902"/>
    <n v="18896.105078603399"/>
    <n v="68025.978282972195"/>
  </r>
  <r>
    <x v="0"/>
    <x v="0"/>
    <x v="0"/>
    <x v="0"/>
    <x v="1"/>
    <s v="DK2_Large"/>
    <x v="2"/>
    <x v="2"/>
    <s v="HeatPump-EL-10_19"/>
    <x v="1"/>
    <x v="4"/>
    <n v="320.76823080502197"/>
    <n v="19513.4007073055"/>
    <n v="70248.242546299705"/>
  </r>
  <r>
    <x v="0"/>
    <x v="0"/>
    <x v="0"/>
    <x v="0"/>
    <x v="1"/>
    <s v="DK2_Large"/>
    <x v="2"/>
    <x v="2"/>
    <s v="HeatPump-EL-10_19"/>
    <x v="1"/>
    <x v="5"/>
    <n v="341.34475176175903"/>
    <n v="20765.139065506999"/>
    <n v="74754.500635825098"/>
  </r>
  <r>
    <x v="0"/>
    <x v="0"/>
    <x v="0"/>
    <x v="0"/>
    <x v="1"/>
    <s v="DK2_Large"/>
    <x v="2"/>
    <x v="2"/>
    <s v="HeatPump-EL-10_19"/>
    <x v="1"/>
    <x v="6"/>
    <n v="358.538830917388"/>
    <n v="21811.1122141411"/>
    <n v="78520.003970908001"/>
  </r>
  <r>
    <x v="0"/>
    <x v="0"/>
    <x v="0"/>
    <x v="0"/>
    <x v="1"/>
    <s v="DK2_Large"/>
    <x v="2"/>
    <x v="2"/>
    <s v="HeatPump-EL-10_19"/>
    <x v="1"/>
    <x v="7"/>
    <n v="372.06859812181801"/>
    <n v="22634.173052410599"/>
    <n v="81483.022988678102"/>
  </r>
  <r>
    <x v="0"/>
    <x v="0"/>
    <x v="0"/>
    <x v="0"/>
    <x v="1"/>
    <s v="DK2_Large"/>
    <x v="2"/>
    <x v="2"/>
    <s v="HeatPump-EL-10_19"/>
    <x v="1"/>
    <x v="8"/>
    <n v="375.45103992292502"/>
    <n v="22839.938261978001"/>
    <n v="82223.777743120605"/>
  </r>
  <r>
    <x v="0"/>
    <x v="0"/>
    <x v="0"/>
    <x v="0"/>
    <x v="1"/>
    <s v="DK2_Large"/>
    <x v="2"/>
    <x v="2"/>
    <s v="HeatPump-EL-10_19"/>
    <x v="1"/>
    <x v="9"/>
    <n v="365.30371451960298"/>
    <n v="22222.642633275798"/>
    <n v="80001.513479793095"/>
  </r>
  <r>
    <x v="0"/>
    <x v="0"/>
    <x v="0"/>
    <x v="0"/>
    <x v="1"/>
    <s v="DK2_Large"/>
    <x v="2"/>
    <x v="2"/>
    <s v="HeatPump-EL-10_19"/>
    <x v="1"/>
    <x v="10"/>
    <n v="354.87451896618802"/>
    <n v="21588.199903776502"/>
    <n v="77717.5196535953"/>
  </r>
  <r>
    <x v="0"/>
    <x v="0"/>
    <x v="0"/>
    <x v="0"/>
    <x v="1"/>
    <s v="DK2_Large"/>
    <x v="2"/>
    <x v="2"/>
    <s v="HeatPump-EL-10_19"/>
    <x v="1"/>
    <x v="11"/>
    <n v="348.10963536397298"/>
    <n v="21176.669484641701"/>
    <n v="76236.010144710206"/>
  </r>
  <r>
    <x v="0"/>
    <x v="0"/>
    <x v="0"/>
    <x v="0"/>
    <x v="1"/>
    <s v="DK2_Large"/>
    <x v="2"/>
    <x v="2"/>
    <s v="HeatPump-EL-10_19"/>
    <x v="2"/>
    <x v="0"/>
    <n v="381.65218322495599"/>
    <n v="23217.1744795181"/>
    <n v="83581.828126265304"/>
  </r>
  <r>
    <x v="0"/>
    <x v="0"/>
    <x v="0"/>
    <x v="0"/>
    <x v="1"/>
    <s v="DK2_Large"/>
    <x v="2"/>
    <x v="2"/>
    <s v="HeatPump-EL-10_19"/>
    <x v="2"/>
    <x v="1"/>
    <n v="385.88023547633998"/>
    <n v="23474.380991477301"/>
    <n v="84507.7715693184"/>
  </r>
  <r>
    <x v="0"/>
    <x v="0"/>
    <x v="0"/>
    <x v="0"/>
    <x v="1"/>
    <s v="DK2_Large"/>
    <x v="2"/>
    <x v="2"/>
    <s v="HeatPump-EL-10_19"/>
    <x v="2"/>
    <x v="2"/>
    <n v="390.10828772772402"/>
    <n v="23731.5875034366"/>
    <n v="85433.715012371598"/>
  </r>
  <r>
    <x v="0"/>
    <x v="0"/>
    <x v="0"/>
    <x v="0"/>
    <x v="1"/>
    <s v="DK2_Large"/>
    <x v="2"/>
    <x v="2"/>
    <s v="HeatPump-EL-10_19"/>
    <x v="2"/>
    <x v="3"/>
    <n v="394.61821012920097"/>
    <n v="24005.941116193"/>
    <n v="86421.388018294994"/>
  </r>
  <r>
    <x v="0"/>
    <x v="0"/>
    <x v="0"/>
    <x v="0"/>
    <x v="1"/>
    <s v="DK2_Large"/>
    <x v="2"/>
    <x v="2"/>
    <s v="HeatPump-EL-10_19"/>
    <x v="2"/>
    <x v="4"/>
    <n v="407.58423703344602"/>
    <n v="24794.707752867998"/>
    <n v="89260.947910324699"/>
  </r>
  <r>
    <x v="0"/>
    <x v="0"/>
    <x v="0"/>
    <x v="0"/>
    <x v="1"/>
    <s v="DK2_Large"/>
    <x v="2"/>
    <x v="2"/>
    <s v="HeatPump-EL-10_19"/>
    <x v="2"/>
    <x v="5"/>
    <n v="433.51629084193598"/>
    <n v="26372.241026217798"/>
    <n v="94940.067694383994"/>
  </r>
  <r>
    <x v="0"/>
    <x v="0"/>
    <x v="0"/>
    <x v="0"/>
    <x v="1"/>
    <s v="DK2_Large"/>
    <x v="2"/>
    <x v="2"/>
    <s v="HeatPump-EL-10_19"/>
    <x v="2"/>
    <x v="6"/>
    <n v="455.22029239904202"/>
    <n v="27692.567787608401"/>
    <n v="99693.244035390293"/>
  </r>
  <r>
    <x v="0"/>
    <x v="0"/>
    <x v="0"/>
    <x v="0"/>
    <x v="1"/>
    <s v="DK2_Large"/>
    <x v="2"/>
    <x v="2"/>
    <s v="HeatPump-EL-10_19"/>
    <x v="2"/>
    <x v="7"/>
    <n v="472.69624170476402"/>
    <n v="28755.688037039799"/>
    <n v="103520.476933343"/>
  </r>
  <r>
    <x v="0"/>
    <x v="0"/>
    <x v="0"/>
    <x v="0"/>
    <x v="1"/>
    <s v="DK2_Large"/>
    <x v="2"/>
    <x v="2"/>
    <s v="HeatPump-EL-10_19"/>
    <x v="2"/>
    <x v="8"/>
    <n v="476.92429395614801"/>
    <n v="29012.894548999"/>
    <n v="104446.420376396"/>
  </r>
  <r>
    <x v="0"/>
    <x v="0"/>
    <x v="0"/>
    <x v="0"/>
    <x v="1"/>
    <s v="DK2_Large"/>
    <x v="2"/>
    <x v="2"/>
    <s v="HeatPump-EL-10_19"/>
    <x v="2"/>
    <x v="9"/>
    <n v="463.95826705190302"/>
    <n v="28224.1279123241"/>
    <n v="101606.860484367"/>
  </r>
  <r>
    <x v="0"/>
    <x v="0"/>
    <x v="0"/>
    <x v="0"/>
    <x v="1"/>
    <s v="DK2_Large"/>
    <x v="2"/>
    <x v="2"/>
    <s v="HeatPump-EL-10_19"/>
    <x v="2"/>
    <x v="10"/>
    <n v="450.99224014765798"/>
    <n v="27435.3612756492"/>
    <n v="98767.300592337095"/>
  </r>
  <r>
    <x v="0"/>
    <x v="0"/>
    <x v="0"/>
    <x v="0"/>
    <x v="1"/>
    <s v="DK2_Large"/>
    <x v="2"/>
    <x v="2"/>
    <s v="HeatPump-EL-10_19"/>
    <x v="2"/>
    <x v="11"/>
    <n v="442.25426549479698"/>
    <n v="26903.801150933501"/>
    <n v="96853.684143360602"/>
  </r>
  <r>
    <x v="0"/>
    <x v="0"/>
    <x v="0"/>
    <x v="0"/>
    <x v="1"/>
    <s v="DK2_Large"/>
    <x v="2"/>
    <x v="2"/>
    <s v="HeatPump-EL-10_19"/>
    <x v="3"/>
    <x v="0"/>
    <n v="366.43119511997202"/>
    <n v="22291.231036465"/>
    <n v="80248.4317312739"/>
  </r>
  <r>
    <x v="0"/>
    <x v="0"/>
    <x v="0"/>
    <x v="0"/>
    <x v="1"/>
    <s v="DK2_Large"/>
    <x v="2"/>
    <x v="2"/>
    <s v="HeatPump-EL-10_19"/>
    <x v="3"/>
    <x v="1"/>
    <n v="370.659247371356"/>
    <n v="22548.437548424201"/>
    <n v="81174.375174327099"/>
  </r>
  <r>
    <x v="0"/>
    <x v="0"/>
    <x v="0"/>
    <x v="0"/>
    <x v="1"/>
    <s v="DK2_Large"/>
    <x v="2"/>
    <x v="2"/>
    <s v="HeatPump-EL-10_19"/>
    <x v="3"/>
    <x v="2"/>
    <n v="374.88729962274101"/>
    <n v="22805.644060383402"/>
    <n v="82100.318617380195"/>
  </r>
  <r>
    <x v="0"/>
    <x v="0"/>
    <x v="0"/>
    <x v="0"/>
    <x v="1"/>
    <s v="DK2_Large"/>
    <x v="2"/>
    <x v="2"/>
    <s v="HeatPump-EL-10_19"/>
    <x v="3"/>
    <x v="3"/>
    <n v="378.83348172403299"/>
    <n v="23045.703471545301"/>
    <n v="82964.532497563196"/>
  </r>
  <r>
    <x v="0"/>
    <x v="0"/>
    <x v="0"/>
    <x v="0"/>
    <x v="1"/>
    <s v="DK2_Large"/>
    <x v="2"/>
    <x v="2"/>
    <s v="HeatPump-EL-10_19"/>
    <x v="3"/>
    <x v="4"/>
    <n v="391.51763847818597"/>
    <n v="23817.323007423001"/>
    <n v="85742.362826722601"/>
  </r>
  <r>
    <x v="0"/>
    <x v="0"/>
    <x v="0"/>
    <x v="0"/>
    <x v="1"/>
    <s v="DK2_Large"/>
    <x v="2"/>
    <x v="2"/>
    <s v="HeatPump-EL-10_19"/>
    <x v="3"/>
    <x v="5"/>
    <n v="416.32221168630701"/>
    <n v="25326.267877583701"/>
    <n v="91174.564359301206"/>
  </r>
  <r>
    <x v="0"/>
    <x v="0"/>
    <x v="0"/>
    <x v="0"/>
    <x v="1"/>
    <s v="DK2_Large"/>
    <x v="2"/>
    <x v="2"/>
    <s v="HeatPump-EL-10_19"/>
    <x v="3"/>
    <x v="6"/>
    <n v="437.18060279313602"/>
    <n v="26595.1533365824"/>
    <n v="95742.552011696796"/>
  </r>
  <r>
    <x v="0"/>
    <x v="0"/>
    <x v="0"/>
    <x v="0"/>
    <x v="1"/>
    <s v="DK2_Large"/>
    <x v="2"/>
    <x v="2"/>
    <s v="HeatPump-EL-10_19"/>
    <x v="3"/>
    <x v="7"/>
    <n v="453.81094164858098"/>
    <n v="27606.832283622"/>
    <n v="99384.596221039203"/>
  </r>
  <r>
    <x v="0"/>
    <x v="0"/>
    <x v="0"/>
    <x v="0"/>
    <x v="1"/>
    <s v="DK2_Large"/>
    <x v="2"/>
    <x v="2"/>
    <s v="HeatPump-EL-10_19"/>
    <x v="3"/>
    <x v="8"/>
    <n v="458.03899389996502"/>
    <n v="27864.0387955812"/>
    <n v="100310.53966409199"/>
  </r>
  <r>
    <x v="0"/>
    <x v="0"/>
    <x v="0"/>
    <x v="0"/>
    <x v="1"/>
    <s v="DK2_Large"/>
    <x v="2"/>
    <x v="2"/>
    <s v="HeatPump-EL-10_19"/>
    <x v="3"/>
    <x v="9"/>
    <n v="445.63670729590501"/>
    <n v="27109.566360500899"/>
    <n v="97594.438897803106"/>
  </r>
  <r>
    <x v="0"/>
    <x v="0"/>
    <x v="0"/>
    <x v="0"/>
    <x v="1"/>
    <s v="DK2_Large"/>
    <x v="2"/>
    <x v="2"/>
    <s v="HeatPump-EL-10_19"/>
    <x v="3"/>
    <x v="10"/>
    <n v="433.23442069184398"/>
    <n v="26355.0939254205"/>
    <n v="94878.338131513796"/>
  </r>
  <r>
    <x v="0"/>
    <x v="0"/>
    <x v="0"/>
    <x v="0"/>
    <x v="1"/>
    <s v="DK2_Large"/>
    <x v="2"/>
    <x v="2"/>
    <s v="HeatPump-EL-10_19"/>
    <x v="3"/>
    <x v="11"/>
    <n v="424.77831618907499"/>
    <n v="25840.680901502099"/>
    <n v="93026.451245407501"/>
  </r>
  <r>
    <x v="0"/>
    <x v="0"/>
    <x v="0"/>
    <x v="0"/>
    <x v="1"/>
    <s v="DK2_Large"/>
    <x v="2"/>
    <x v="2"/>
    <s v="HeatPump-EL-10_19"/>
    <x v="4"/>
    <x v="0"/>
    <n v="320.76823080502197"/>
    <n v="19513.4007073055"/>
    <n v="70248.242546299705"/>
  </r>
  <r>
    <x v="0"/>
    <x v="0"/>
    <x v="0"/>
    <x v="0"/>
    <x v="1"/>
    <s v="DK2_Large"/>
    <x v="2"/>
    <x v="2"/>
    <s v="HeatPump-EL-10_19"/>
    <x v="4"/>
    <x v="1"/>
    <n v="324.15067260612898"/>
    <n v="19719.165916872898"/>
    <n v="70988.997300742296"/>
  </r>
  <r>
    <x v="0"/>
    <x v="0"/>
    <x v="0"/>
    <x v="0"/>
    <x v="1"/>
    <s v="DK2_Large"/>
    <x v="2"/>
    <x v="2"/>
    <s v="HeatPump-EL-10_19"/>
    <x v="4"/>
    <x v="2"/>
    <n v="327.81498455732901"/>
    <n v="19942.0782272375"/>
    <n v="71791.481618054997"/>
  </r>
  <r>
    <x v="0"/>
    <x v="0"/>
    <x v="0"/>
    <x v="0"/>
    <x v="1"/>
    <s v="DK2_Large"/>
    <x v="2"/>
    <x v="2"/>
    <s v="HeatPump-EL-10_19"/>
    <x v="4"/>
    <x v="3"/>
    <n v="331.47929650852899"/>
    <n v="20164.9905376022"/>
    <n v="72593.9659353678"/>
  </r>
  <r>
    <x v="0"/>
    <x v="0"/>
    <x v="0"/>
    <x v="0"/>
    <x v="1"/>
    <s v="DK2_Large"/>
    <x v="2"/>
    <x v="2"/>
    <s v="HeatPump-EL-10_19"/>
    <x v="4"/>
    <x v="4"/>
    <n v="342.47223236212801"/>
    <n v="20833.727468696099"/>
    <n v="75001.418887306005"/>
  </r>
  <r>
    <x v="0"/>
    <x v="0"/>
    <x v="0"/>
    <x v="0"/>
    <x v="1"/>
    <s v="DK2_Large"/>
    <x v="2"/>
    <x v="2"/>
    <s v="HeatPump-EL-10_19"/>
    <x v="4"/>
    <x v="5"/>
    <n v="364.458104069326"/>
    <n v="22171.201330884"/>
    <n v="79816.3247911824"/>
  </r>
  <r>
    <x v="0"/>
    <x v="0"/>
    <x v="0"/>
    <x v="0"/>
    <x v="1"/>
    <s v="DK2_Large"/>
    <x v="2"/>
    <x v="2"/>
    <s v="HeatPump-EL-10_19"/>
    <x v="4"/>
    <x v="6"/>
    <n v="382.497793675232"/>
    <n v="23268.615781910001"/>
    <n v="83767.016814875897"/>
  </r>
  <r>
    <x v="0"/>
    <x v="0"/>
    <x v="0"/>
    <x v="0"/>
    <x v="1"/>
    <s v="DK2_Large"/>
    <x v="2"/>
    <x v="2"/>
    <s v="HeatPump-EL-10_19"/>
    <x v="4"/>
    <x v="7"/>
    <n v="397.155041480031"/>
    <n v="24160.2650233686"/>
    <n v="86976.954084126904"/>
  </r>
  <r>
    <x v="0"/>
    <x v="0"/>
    <x v="0"/>
    <x v="0"/>
    <x v="1"/>
    <s v="DK2_Large"/>
    <x v="2"/>
    <x v="2"/>
    <s v="HeatPump-EL-10_19"/>
    <x v="4"/>
    <x v="8"/>
    <n v="400.81935343123098"/>
    <n v="24383.177333733202"/>
    <n v="87779.438401439606"/>
  </r>
  <r>
    <x v="0"/>
    <x v="0"/>
    <x v="0"/>
    <x v="0"/>
    <x v="1"/>
    <s v="DK2_Large"/>
    <x v="2"/>
    <x v="2"/>
    <s v="HeatPump-EL-10_19"/>
    <x v="4"/>
    <x v="9"/>
    <n v="389.82641757763201"/>
    <n v="23714.440402639299"/>
    <n v="85371.985449501401"/>
  </r>
  <r>
    <x v="0"/>
    <x v="0"/>
    <x v="0"/>
    <x v="0"/>
    <x v="1"/>
    <s v="DK2_Large"/>
    <x v="2"/>
    <x v="2"/>
    <s v="HeatPump-EL-10_19"/>
    <x v="4"/>
    <x v="10"/>
    <n v="378.83348172403299"/>
    <n v="23045.703471545301"/>
    <n v="82964.532497563196"/>
  </r>
  <r>
    <x v="0"/>
    <x v="0"/>
    <x v="0"/>
    <x v="0"/>
    <x v="1"/>
    <s v="DK2_Large"/>
    <x v="2"/>
    <x v="2"/>
    <s v="HeatPump-EL-10_19"/>
    <x v="4"/>
    <x v="11"/>
    <n v="371.50485782163298"/>
    <n v="22599.878850816"/>
    <n v="81359.563862937706"/>
  </r>
  <r>
    <x v="0"/>
    <x v="0"/>
    <x v="0"/>
    <x v="0"/>
    <x v="1"/>
    <s v="DK2_Large"/>
    <x v="2"/>
    <x v="2"/>
    <s v="HeatPump-EL-10_19"/>
    <x v="5"/>
    <x v="0"/>
    <n v="437.18060279313602"/>
    <n v="26595.1533365824"/>
    <n v="95742.552011696796"/>
  </r>
  <r>
    <x v="0"/>
    <x v="0"/>
    <x v="0"/>
    <x v="0"/>
    <x v="1"/>
    <s v="DK2_Large"/>
    <x v="2"/>
    <x v="2"/>
    <s v="HeatPump-EL-10_19"/>
    <x v="5"/>
    <x v="1"/>
    <n v="442.25426549479698"/>
    <n v="26903.801150933501"/>
    <n v="96853.684143360602"/>
  </r>
  <r>
    <x v="0"/>
    <x v="0"/>
    <x v="0"/>
    <x v="0"/>
    <x v="1"/>
    <s v="DK2_Large"/>
    <x v="2"/>
    <x v="2"/>
    <s v="HeatPump-EL-10_19"/>
    <x v="5"/>
    <x v="2"/>
    <n v="447.046058046366"/>
    <n v="27195.301864487301"/>
    <n v="97903.086712154094"/>
  </r>
  <r>
    <x v="0"/>
    <x v="0"/>
    <x v="0"/>
    <x v="0"/>
    <x v="1"/>
    <s v="DK2_Large"/>
    <x v="2"/>
    <x v="2"/>
    <s v="HeatPump-EL-10_19"/>
    <x v="5"/>
    <x v="3"/>
    <n v="452.11972074802702"/>
    <n v="27503.9496788383"/>
    <n v="99014.2188438179"/>
  </r>
  <r>
    <x v="0"/>
    <x v="0"/>
    <x v="0"/>
    <x v="0"/>
    <x v="1"/>
    <s v="DK2_Large"/>
    <x v="2"/>
    <x v="2"/>
    <s v="HeatPump-EL-10_19"/>
    <x v="5"/>
    <x v="4"/>
    <n v="467.05883870291802"/>
    <n v="28412.746021094201"/>
    <n v="102285.885675939"/>
  </r>
  <r>
    <x v="0"/>
    <x v="0"/>
    <x v="0"/>
    <x v="0"/>
    <x v="1"/>
    <s v="DK2_Large"/>
    <x v="2"/>
    <x v="2"/>
    <s v="HeatPump-EL-10_19"/>
    <x v="5"/>
    <x v="5"/>
    <n v="496.65520446260803"/>
    <n v="30213.191604808701"/>
    <n v="108767.489777311"/>
  </r>
  <r>
    <x v="0"/>
    <x v="0"/>
    <x v="0"/>
    <x v="0"/>
    <x v="1"/>
    <s v="DK2_Large"/>
    <x v="2"/>
    <x v="2"/>
    <s v="HeatPump-EL-10_19"/>
    <x v="5"/>
    <x v="6"/>
    <n v="521.74164782082198"/>
    <n v="31739.283575766702"/>
    <n v="114261.42087276001"/>
  </r>
  <r>
    <x v="0"/>
    <x v="0"/>
    <x v="0"/>
    <x v="0"/>
    <x v="1"/>
    <s v="DK2_Large"/>
    <x v="2"/>
    <x v="2"/>
    <s v="HeatPump-EL-10_19"/>
    <x v="5"/>
    <x v="7"/>
    <n v="541.47255832728194"/>
    <n v="32939.580631576297"/>
    <n v="118582.49027367499"/>
  </r>
  <r>
    <x v="0"/>
    <x v="0"/>
    <x v="0"/>
    <x v="0"/>
    <x v="1"/>
    <s v="DK2_Large"/>
    <x v="2"/>
    <x v="2"/>
    <s v="HeatPump-EL-10_19"/>
    <x v="5"/>
    <x v="8"/>
    <n v="546.54622102894302"/>
    <n v="33248.228445927401"/>
    <n v="119693.622405339"/>
  </r>
  <r>
    <x v="0"/>
    <x v="0"/>
    <x v="0"/>
    <x v="0"/>
    <x v="1"/>
    <s v="DK2_Large"/>
    <x v="2"/>
    <x v="2"/>
    <s v="HeatPump-EL-10_19"/>
    <x v="5"/>
    <x v="9"/>
    <n v="531.60710307405202"/>
    <n v="32339.432103671501"/>
    <n v="116421.955573217"/>
  </r>
  <r>
    <x v="0"/>
    <x v="0"/>
    <x v="0"/>
    <x v="0"/>
    <x v="1"/>
    <s v="DK2_Large"/>
    <x v="2"/>
    <x v="2"/>
    <s v="HeatPump-EL-10_19"/>
    <x v="5"/>
    <x v="10"/>
    <n v="516.66798511916102"/>
    <n v="31430.6357614156"/>
    <n v="113150.288741096"/>
  </r>
  <r>
    <x v="0"/>
    <x v="0"/>
    <x v="0"/>
    <x v="0"/>
    <x v="1"/>
    <s v="DK2_Large"/>
    <x v="2"/>
    <x v="2"/>
    <s v="HeatPump-EL-10_19"/>
    <x v="5"/>
    <x v="11"/>
    <n v="506.80252986593098"/>
    <n v="30830.487233510801"/>
    <n v="110989.754040639"/>
  </r>
  <r>
    <x v="0"/>
    <x v="0"/>
    <x v="0"/>
    <x v="0"/>
    <x v="1"/>
    <s v="DK2_Large"/>
    <x v="2"/>
    <x v="2"/>
    <s v="HeatPump-EL-10_19"/>
    <x v="6"/>
    <x v="0"/>
    <n v="290.60812474514699"/>
    <n v="17678.660921996401"/>
    <n v="63643.179319187198"/>
  </r>
  <r>
    <x v="0"/>
    <x v="0"/>
    <x v="0"/>
    <x v="0"/>
    <x v="1"/>
    <s v="DK2_Large"/>
    <x v="2"/>
    <x v="2"/>
    <s v="HeatPump-EL-10_19"/>
    <x v="6"/>
    <x v="1"/>
    <n v="293.708696396162"/>
    <n v="17867.279030766498"/>
    <n v="64322.204510759497"/>
  </r>
  <r>
    <x v="0"/>
    <x v="0"/>
    <x v="0"/>
    <x v="0"/>
    <x v="1"/>
    <s v="DK2_Large"/>
    <x v="2"/>
    <x v="2"/>
    <s v="HeatPump-EL-10_19"/>
    <x v="6"/>
    <x v="2"/>
    <n v="297.09113819727003"/>
    <n v="18073.0442403339"/>
    <n v="65062.959265202102"/>
  </r>
  <r>
    <x v="0"/>
    <x v="0"/>
    <x v="0"/>
    <x v="0"/>
    <x v="1"/>
    <s v="DK2_Large"/>
    <x v="2"/>
    <x v="2"/>
    <s v="HeatPump-EL-10_19"/>
    <x v="6"/>
    <x v="3"/>
    <n v="300.47357999837698"/>
    <n v="18278.809449901299"/>
    <n v="65803.714019644598"/>
  </r>
  <r>
    <x v="0"/>
    <x v="0"/>
    <x v="0"/>
    <x v="0"/>
    <x v="1"/>
    <s v="DK2_Large"/>
    <x v="2"/>
    <x v="2"/>
    <s v="HeatPump-EL-10_19"/>
    <x v="6"/>
    <x v="4"/>
    <n v="310.33903525160702"/>
    <n v="18878.957977806102"/>
    <n v="67964.248720101998"/>
  </r>
  <r>
    <x v="0"/>
    <x v="0"/>
    <x v="0"/>
    <x v="0"/>
    <x v="1"/>
    <s v="DK2_Large"/>
    <x v="2"/>
    <x v="2"/>
    <s v="HeatPump-EL-10_19"/>
    <x v="6"/>
    <x v="5"/>
    <n v="330.06994575806698"/>
    <n v="20079.255033615798"/>
    <n v="72285.318121016695"/>
  </r>
  <r>
    <x v="0"/>
    <x v="0"/>
    <x v="0"/>
    <x v="0"/>
    <x v="1"/>
    <s v="DK2_Large"/>
    <x v="2"/>
    <x v="2"/>
    <s v="HeatPump-EL-10_19"/>
    <x v="6"/>
    <x v="6"/>
    <n v="346.700284613512"/>
    <n v="21090.9339806553"/>
    <n v="75927.362330359101"/>
  </r>
  <r>
    <x v="0"/>
    <x v="0"/>
    <x v="0"/>
    <x v="0"/>
    <x v="1"/>
    <s v="DK2_Large"/>
    <x v="2"/>
    <x v="2"/>
    <s v="HeatPump-EL-10_19"/>
    <x v="6"/>
    <x v="7"/>
    <n v="359.66631151775698"/>
    <n v="21879.7006173302"/>
    <n v="78766.922222388894"/>
  </r>
  <r>
    <x v="0"/>
    <x v="0"/>
    <x v="0"/>
    <x v="0"/>
    <x v="1"/>
    <s v="DK2_Large"/>
    <x v="2"/>
    <x v="2"/>
    <s v="HeatPump-EL-10_19"/>
    <x v="6"/>
    <x v="8"/>
    <n v="363.04875331886501"/>
    <n v="22085.465826897602"/>
    <n v="79507.676976831397"/>
  </r>
  <r>
    <x v="0"/>
    <x v="0"/>
    <x v="0"/>
    <x v="0"/>
    <x v="1"/>
    <s v="DK2_Large"/>
    <x v="2"/>
    <x v="2"/>
    <s v="HeatPump-EL-10_19"/>
    <x v="6"/>
    <x v="9"/>
    <n v="353.18329806563497"/>
    <n v="21485.317298992799"/>
    <n v="77347.142276373997"/>
  </r>
  <r>
    <x v="0"/>
    <x v="0"/>
    <x v="0"/>
    <x v="0"/>
    <x v="1"/>
    <s v="DK2_Large"/>
    <x v="2"/>
    <x v="2"/>
    <s v="HeatPump-EL-10_19"/>
    <x v="6"/>
    <x v="10"/>
    <n v="343.31784281240499"/>
    <n v="20885.168771087901"/>
    <n v="75186.607575916598"/>
  </r>
  <r>
    <x v="0"/>
    <x v="0"/>
    <x v="0"/>
    <x v="0"/>
    <x v="1"/>
    <s v="DK2_Large"/>
    <x v="2"/>
    <x v="2"/>
    <s v="HeatPump-EL-10_19"/>
    <x v="6"/>
    <x v="11"/>
    <n v="336.55295921019001"/>
    <n v="20473.638351953199"/>
    <n v="73705.098067031606"/>
  </r>
  <r>
    <x v="0"/>
    <x v="0"/>
    <x v="0"/>
    <x v="0"/>
    <x v="1"/>
    <s v="DK2_Large"/>
    <x v="2"/>
    <x v="2"/>
    <s v="HeatPump-EL-10_19"/>
    <x v="7"/>
    <x v="0"/>
    <n v="315.13082780317598"/>
    <n v="19170.458691359901"/>
    <n v="69013.651288895504"/>
  </r>
  <r>
    <x v="0"/>
    <x v="0"/>
    <x v="0"/>
    <x v="0"/>
    <x v="1"/>
    <s v="DK2_Large"/>
    <x v="2"/>
    <x v="2"/>
    <s v="HeatPump-EL-10_19"/>
    <x v="7"/>
    <x v="1"/>
    <n v="318.79513975437601"/>
    <n v="19393.371001724499"/>
    <n v="69816.135606208307"/>
  </r>
  <r>
    <x v="0"/>
    <x v="0"/>
    <x v="0"/>
    <x v="0"/>
    <x v="1"/>
    <s v="DK2_Large"/>
    <x v="2"/>
    <x v="2"/>
    <s v="HeatPump-EL-10_19"/>
    <x v="7"/>
    <x v="2"/>
    <n v="322.45945170557502"/>
    <n v="19616.283312089199"/>
    <n v="70618.619923520993"/>
  </r>
  <r>
    <x v="0"/>
    <x v="0"/>
    <x v="0"/>
    <x v="0"/>
    <x v="1"/>
    <s v="DK2_Large"/>
    <x v="2"/>
    <x v="2"/>
    <s v="HeatPump-EL-10_19"/>
    <x v="7"/>
    <x v="3"/>
    <n v="325.84189350668299"/>
    <n v="19822.048521656499"/>
    <n v="71359.374677963599"/>
  </r>
  <r>
    <x v="0"/>
    <x v="0"/>
    <x v="0"/>
    <x v="0"/>
    <x v="1"/>
    <s v="DK2_Large"/>
    <x v="2"/>
    <x v="2"/>
    <s v="HeatPump-EL-10_19"/>
    <x v="7"/>
    <x v="4"/>
    <n v="336.55295921019001"/>
    <n v="20473.638351953199"/>
    <n v="73705.098067031606"/>
  </r>
  <r>
    <x v="0"/>
    <x v="0"/>
    <x v="0"/>
    <x v="0"/>
    <x v="1"/>
    <s v="DK2_Large"/>
    <x v="2"/>
    <x v="2"/>
    <s v="HeatPump-EL-10_19"/>
    <x v="7"/>
    <x v="5"/>
    <n v="358.25696076729599"/>
    <n v="21793.965113343798"/>
    <n v="78458.274408037803"/>
  </r>
  <r>
    <x v="0"/>
    <x v="0"/>
    <x v="0"/>
    <x v="0"/>
    <x v="1"/>
    <s v="DK2_Large"/>
    <x v="2"/>
    <x v="2"/>
    <s v="HeatPump-EL-10_19"/>
    <x v="7"/>
    <x v="6"/>
    <n v="376.01478022310999"/>
    <n v="22874.232463572502"/>
    <n v="82347.236868861102"/>
  </r>
  <r>
    <x v="0"/>
    <x v="0"/>
    <x v="0"/>
    <x v="0"/>
    <x v="1"/>
    <s v="DK2_Large"/>
    <x v="2"/>
    <x v="2"/>
    <s v="HeatPump-EL-10_19"/>
    <x v="7"/>
    <x v="7"/>
    <n v="390.39015787781602"/>
    <n v="23748.734604233799"/>
    <n v="85495.444575241796"/>
  </r>
  <r>
    <x v="0"/>
    <x v="0"/>
    <x v="0"/>
    <x v="0"/>
    <x v="1"/>
    <s v="DK2_Large"/>
    <x v="2"/>
    <x v="2"/>
    <s v="HeatPump-EL-10_19"/>
    <x v="7"/>
    <x v="8"/>
    <n v="394.054469829016"/>
    <n v="23971.646914598499"/>
    <n v="86297.928892554497"/>
  </r>
  <r>
    <x v="0"/>
    <x v="0"/>
    <x v="0"/>
    <x v="0"/>
    <x v="1"/>
    <s v="DK2_Large"/>
    <x v="2"/>
    <x v="2"/>
    <s v="HeatPump-EL-10_19"/>
    <x v="7"/>
    <x v="9"/>
    <n v="383.34340412550898"/>
    <n v="23320.057084301799"/>
    <n v="83952.205503486504"/>
  </r>
  <r>
    <x v="0"/>
    <x v="0"/>
    <x v="0"/>
    <x v="0"/>
    <x v="1"/>
    <s v="DK2_Large"/>
    <x v="2"/>
    <x v="2"/>
    <s v="HeatPump-EL-10_19"/>
    <x v="7"/>
    <x v="10"/>
    <n v="372.35046827191002"/>
    <n v="22651.3201532079"/>
    <n v="81544.752551548299"/>
  </r>
  <r>
    <x v="0"/>
    <x v="0"/>
    <x v="0"/>
    <x v="0"/>
    <x v="1"/>
    <s v="DK2_Large"/>
    <x v="2"/>
    <x v="2"/>
    <s v="HeatPump-EL-10_19"/>
    <x v="7"/>
    <x v="11"/>
    <n v="365.30371451960298"/>
    <n v="22222.642633275798"/>
    <n v="80001.513479793095"/>
  </r>
  <r>
    <x v="0"/>
    <x v="0"/>
    <x v="0"/>
    <x v="0"/>
    <x v="1"/>
    <s v="DK2_Large"/>
    <x v="2"/>
    <x v="2"/>
    <s v="HeatPump-EL-10_19"/>
    <x v="8"/>
    <x v="0"/>
    <n v="368.40428617061798"/>
    <n v="22411.260742045899"/>
    <n v="80680.538671365401"/>
  </r>
  <r>
    <x v="0"/>
    <x v="0"/>
    <x v="0"/>
    <x v="0"/>
    <x v="1"/>
    <s v="DK2_Large"/>
    <x v="2"/>
    <x v="2"/>
    <s v="HeatPump-EL-10_19"/>
    <x v="8"/>
    <x v="1"/>
    <n v="372.63233842200202"/>
    <n v="22668.4672540051"/>
    <n v="81606.482114418497"/>
  </r>
  <r>
    <x v="0"/>
    <x v="0"/>
    <x v="0"/>
    <x v="0"/>
    <x v="1"/>
    <s v="DK2_Large"/>
    <x v="2"/>
    <x v="2"/>
    <s v="HeatPump-EL-10_19"/>
    <x v="8"/>
    <x v="2"/>
    <n v="376.86039067338697"/>
    <n v="22925.673765964399"/>
    <n v="82532.425557471695"/>
  </r>
  <r>
    <x v="0"/>
    <x v="0"/>
    <x v="0"/>
    <x v="0"/>
    <x v="1"/>
    <s v="DK2_Large"/>
    <x v="2"/>
    <x v="2"/>
    <s v="HeatPump-EL-10_19"/>
    <x v="8"/>
    <x v="3"/>
    <n v="380.80657277467901"/>
    <n v="23165.733177126302"/>
    <n v="83396.639437654696"/>
  </r>
  <r>
    <x v="0"/>
    <x v="0"/>
    <x v="0"/>
    <x v="0"/>
    <x v="1"/>
    <s v="DK2_Large"/>
    <x v="2"/>
    <x v="2"/>
    <s v="HeatPump-EL-10_19"/>
    <x v="8"/>
    <x v="4"/>
    <n v="393.49072952883199"/>
    <n v="23937.3527130039"/>
    <n v="86174.469766814102"/>
  </r>
  <r>
    <x v="0"/>
    <x v="0"/>
    <x v="0"/>
    <x v="0"/>
    <x v="1"/>
    <s v="DK2_Large"/>
    <x v="2"/>
    <x v="2"/>
    <s v="HeatPump-EL-10_19"/>
    <x v="8"/>
    <x v="5"/>
    <n v="418.57717288704498"/>
    <n v="25463.444683961901"/>
    <n v="91668.400862262904"/>
  </r>
  <r>
    <x v="0"/>
    <x v="0"/>
    <x v="0"/>
    <x v="0"/>
    <x v="1"/>
    <s v="DK2_Large"/>
    <x v="2"/>
    <x v="2"/>
    <s v="HeatPump-EL-10_19"/>
    <x v="8"/>
    <x v="6"/>
    <n v="439.43556399387398"/>
    <n v="26732.330142960702"/>
    <n v="96236.388514658494"/>
  </r>
  <r>
    <x v="0"/>
    <x v="0"/>
    <x v="0"/>
    <x v="0"/>
    <x v="1"/>
    <s v="DK2_Large"/>
    <x v="2"/>
    <x v="2"/>
    <s v="HeatPump-EL-10_19"/>
    <x v="8"/>
    <x v="7"/>
    <n v="456.34777299941101"/>
    <n v="27761.156190797501"/>
    <n v="99940.162286871098"/>
  </r>
  <r>
    <x v="0"/>
    <x v="0"/>
    <x v="0"/>
    <x v="0"/>
    <x v="1"/>
    <s v="DK2_Large"/>
    <x v="2"/>
    <x v="2"/>
    <s v="HeatPump-EL-10_19"/>
    <x v="8"/>
    <x v="8"/>
    <n v="460.57582525079602"/>
    <n v="28018.362702756702"/>
    <n v="100866.10572992401"/>
  </r>
  <r>
    <x v="0"/>
    <x v="0"/>
    <x v="0"/>
    <x v="0"/>
    <x v="1"/>
    <s v="DK2_Large"/>
    <x v="2"/>
    <x v="2"/>
    <s v="HeatPump-EL-10_19"/>
    <x v="8"/>
    <x v="9"/>
    <n v="447.89166849664298"/>
    <n v="27246.7431668791"/>
    <n v="98088.275400764804"/>
  </r>
  <r>
    <x v="0"/>
    <x v="0"/>
    <x v="0"/>
    <x v="0"/>
    <x v="1"/>
    <s v="DK2_Large"/>
    <x v="2"/>
    <x v="2"/>
    <s v="HeatPump-EL-10_19"/>
    <x v="8"/>
    <x v="10"/>
    <n v="435.20751174249"/>
    <n v="26475.123631001501"/>
    <n v="95310.445071605296"/>
  </r>
  <r>
    <x v="0"/>
    <x v="0"/>
    <x v="0"/>
    <x v="0"/>
    <x v="1"/>
    <s v="DK2_Large"/>
    <x v="2"/>
    <x v="2"/>
    <s v="HeatPump-EL-10_19"/>
    <x v="8"/>
    <x v="11"/>
    <n v="427.03327738981397"/>
    <n v="25977.857707880299"/>
    <n v="93520.287748369199"/>
  </r>
  <r>
    <x v="0"/>
    <x v="0"/>
    <x v="0"/>
    <x v="0"/>
    <x v="1"/>
    <s v="DK2_Large"/>
    <x v="2"/>
    <x v="2"/>
    <s v="HeatPump-EL-10_19"/>
    <x v="9"/>
    <x v="0"/>
    <n v="354.59264881609602"/>
    <n v="21571.0528029792"/>
    <n v="77655.790090725"/>
  </r>
  <r>
    <x v="0"/>
    <x v="0"/>
    <x v="0"/>
    <x v="0"/>
    <x v="1"/>
    <s v="DK2_Large"/>
    <x v="2"/>
    <x v="2"/>
    <s v="HeatPump-EL-10_19"/>
    <x v="9"/>
    <x v="1"/>
    <n v="354.59264881609602"/>
    <n v="21571.0528029792"/>
    <n v="77655.790090725"/>
  </r>
  <r>
    <x v="0"/>
    <x v="0"/>
    <x v="0"/>
    <x v="0"/>
    <x v="1"/>
    <s v="DK2_Large"/>
    <x v="2"/>
    <x v="2"/>
    <s v="HeatPump-EL-10_19"/>
    <x v="9"/>
    <x v="2"/>
    <n v="358.538830917388"/>
    <n v="21811.1122141411"/>
    <n v="78520.003970908001"/>
  </r>
  <r>
    <x v="0"/>
    <x v="0"/>
    <x v="0"/>
    <x v="0"/>
    <x v="1"/>
    <s v="DK2_Large"/>
    <x v="2"/>
    <x v="2"/>
    <s v="HeatPump-EL-10_19"/>
    <x v="9"/>
    <x v="3"/>
    <n v="383.34340412550898"/>
    <n v="23320.057084301799"/>
    <n v="83952.205503486504"/>
  </r>
  <r>
    <x v="0"/>
    <x v="0"/>
    <x v="0"/>
    <x v="0"/>
    <x v="1"/>
    <s v="DK2_Large"/>
    <x v="2"/>
    <x v="2"/>
    <s v="HeatPump-EL-10_19"/>
    <x v="9"/>
    <x v="4"/>
    <n v="420.550263937691"/>
    <n v="25583.474389542898"/>
    <n v="92100.507802354303"/>
  </r>
  <r>
    <x v="0"/>
    <x v="0"/>
    <x v="0"/>
    <x v="0"/>
    <x v="1"/>
    <s v="DK2_Large"/>
    <x v="2"/>
    <x v="2"/>
    <s v="HeatPump-EL-10_19"/>
    <x v="9"/>
    <x v="5"/>
    <n v="482.279826807902"/>
    <n v="29338.689464147399"/>
    <n v="105619.28207093"/>
  </r>
  <r>
    <x v="0"/>
    <x v="0"/>
    <x v="0"/>
    <x v="0"/>
    <x v="1"/>
    <s v="DK2_Large"/>
    <x v="2"/>
    <x v="2"/>
    <s v="HeatPump-EL-10_19"/>
    <x v="9"/>
    <x v="6"/>
    <n v="490.45406116057802"/>
    <n v="29835.955387268499"/>
    <n v="107409.439394167"/>
  </r>
  <r>
    <x v="0"/>
    <x v="0"/>
    <x v="0"/>
    <x v="0"/>
    <x v="1"/>
    <s v="DK2_Large"/>
    <x v="2"/>
    <x v="2"/>
    <s v="HeatPump-EL-10_19"/>
    <x v="9"/>
    <x v="7"/>
    <n v="486.22600890919398"/>
    <n v="29578.748875309298"/>
    <n v="106483.495951113"/>
  </r>
  <r>
    <x v="0"/>
    <x v="0"/>
    <x v="0"/>
    <x v="0"/>
    <x v="1"/>
    <s v="DK2_Large"/>
    <x v="2"/>
    <x v="2"/>
    <s v="HeatPump-EL-10_19"/>
    <x v="9"/>
    <x v="8"/>
    <n v="474.10559245522501"/>
    <n v="28841.423541026201"/>
    <n v="103829.124747694"/>
  </r>
  <r>
    <x v="0"/>
    <x v="0"/>
    <x v="0"/>
    <x v="0"/>
    <x v="1"/>
    <s v="DK2_Large"/>
    <x v="2"/>
    <x v="2"/>
    <s v="HeatPump-EL-10_19"/>
    <x v="9"/>
    <x v="9"/>
    <n v="445.07296699571998"/>
    <n v="27075.2721589063"/>
    <n v="97470.979772062696"/>
  </r>
  <r>
    <x v="0"/>
    <x v="0"/>
    <x v="0"/>
    <x v="0"/>
    <x v="1"/>
    <s v="DK2_Large"/>
    <x v="2"/>
    <x v="2"/>
    <s v="HeatPump-EL-10_19"/>
    <x v="9"/>
    <x v="10"/>
    <n v="424.49644603898298"/>
    <n v="25823.533800704801"/>
    <n v="92964.721682537303"/>
  </r>
  <r>
    <x v="0"/>
    <x v="0"/>
    <x v="0"/>
    <x v="0"/>
    <x v="1"/>
    <s v="DK2_Large"/>
    <x v="2"/>
    <x v="2"/>
    <s v="HeatPump-EL-10_19"/>
    <x v="9"/>
    <x v="11"/>
    <n v="403.91992508224598"/>
    <n v="24571.795442503299"/>
    <n v="88458.463593011897"/>
  </r>
  <r>
    <x v="0"/>
    <x v="0"/>
    <x v="0"/>
    <x v="0"/>
    <x v="1"/>
    <s v="DK2_Large"/>
    <x v="2"/>
    <x v="2"/>
    <s v="HeatPump-EL-10_19"/>
    <x v="10"/>
    <x v="0"/>
    <n v="257.34744703425702"/>
    <n v="15655.3030279173"/>
    <n v="56359.090900502299"/>
  </r>
  <r>
    <x v="0"/>
    <x v="0"/>
    <x v="0"/>
    <x v="0"/>
    <x v="1"/>
    <s v="DK2_Large"/>
    <x v="2"/>
    <x v="2"/>
    <s v="HeatPump-EL-10_19"/>
    <x v="10"/>
    <x v="1"/>
    <n v="257.34744703425702"/>
    <n v="15655.3030279173"/>
    <n v="56359.090900502299"/>
  </r>
  <r>
    <x v="0"/>
    <x v="0"/>
    <x v="0"/>
    <x v="0"/>
    <x v="1"/>
    <s v="DK2_Large"/>
    <x v="2"/>
    <x v="2"/>
    <s v="HeatPump-EL-10_19"/>
    <x v="10"/>
    <x v="2"/>
    <n v="260.16614853518001"/>
    <n v="15826.774035890099"/>
    <n v="56976.386529204501"/>
  </r>
  <r>
    <x v="0"/>
    <x v="0"/>
    <x v="0"/>
    <x v="0"/>
    <x v="1"/>
    <s v="DK2_Large"/>
    <x v="2"/>
    <x v="2"/>
    <s v="HeatPump-EL-10_19"/>
    <x v="10"/>
    <x v="3"/>
    <n v="278.20583814108602"/>
    <n v="16924.1884869161"/>
    <n v="60927.078552897903"/>
  </r>
  <r>
    <x v="0"/>
    <x v="0"/>
    <x v="0"/>
    <x v="0"/>
    <x v="1"/>
    <s v="DK2_Large"/>
    <x v="2"/>
    <x v="2"/>
    <s v="HeatPump-EL-10_19"/>
    <x v="10"/>
    <x v="4"/>
    <n v="305.26537254994599"/>
    <n v="18570.310163455"/>
    <n v="66853.116588438206"/>
  </r>
  <r>
    <x v="0"/>
    <x v="0"/>
    <x v="0"/>
    <x v="0"/>
    <x v="1"/>
    <s v="DK2_Large"/>
    <x v="2"/>
    <x v="2"/>
    <s v="HeatPump-EL-10_19"/>
    <x v="10"/>
    <x v="5"/>
    <n v="350.082726414619"/>
    <n v="21296.699190222698"/>
    <n v="76668.117084801706"/>
  </r>
  <r>
    <x v="0"/>
    <x v="0"/>
    <x v="0"/>
    <x v="0"/>
    <x v="1"/>
    <s v="DK2_Large"/>
    <x v="2"/>
    <x v="2"/>
    <s v="HeatPump-EL-10_19"/>
    <x v="10"/>
    <x v="6"/>
    <n v="356.00199956655803"/>
    <n v="21656.788306965602"/>
    <n v="77964.437905076105"/>
  </r>
  <r>
    <x v="0"/>
    <x v="0"/>
    <x v="0"/>
    <x v="0"/>
    <x v="1"/>
    <s v="DK2_Large"/>
    <x v="2"/>
    <x v="2"/>
    <s v="HeatPump-EL-10_19"/>
    <x v="10"/>
    <x v="7"/>
    <n v="352.901427915542"/>
    <n v="21468.170198195501"/>
    <n v="77285.4127135038"/>
  </r>
  <r>
    <x v="0"/>
    <x v="0"/>
    <x v="0"/>
    <x v="0"/>
    <x v="1"/>
    <s v="DK2_Large"/>
    <x v="2"/>
    <x v="2"/>
    <s v="HeatPump-EL-10_19"/>
    <x v="10"/>
    <x v="8"/>
    <n v="344.16345326268203"/>
    <n v="20936.610073479798"/>
    <n v="75371.796264527293"/>
  </r>
  <r>
    <x v="0"/>
    <x v="0"/>
    <x v="0"/>
    <x v="0"/>
    <x v="1"/>
    <s v="DK2_Large"/>
    <x v="2"/>
    <x v="2"/>
    <s v="HeatPump-EL-10_19"/>
    <x v="10"/>
    <x v="9"/>
    <n v="323.02319200576"/>
    <n v="19650.5775136837"/>
    <n v="70742.079049261505"/>
  </r>
  <r>
    <x v="0"/>
    <x v="0"/>
    <x v="0"/>
    <x v="0"/>
    <x v="1"/>
    <s v="DK2_Large"/>
    <x v="2"/>
    <x v="2"/>
    <s v="HeatPump-EL-10_19"/>
    <x v="10"/>
    <x v="10"/>
    <n v="308.08407405086899"/>
    <n v="18741.781171427901"/>
    <n v="67470.4122171403"/>
  </r>
  <r>
    <x v="0"/>
    <x v="0"/>
    <x v="0"/>
    <x v="0"/>
    <x v="1"/>
    <s v="DK2_Large"/>
    <x v="2"/>
    <x v="2"/>
    <s v="HeatPump-EL-10_19"/>
    <x v="10"/>
    <x v="11"/>
    <n v="293.14495609597799"/>
    <n v="17832.984829172001"/>
    <n v="64198.745385019101"/>
  </r>
  <r>
    <x v="0"/>
    <x v="0"/>
    <x v="0"/>
    <x v="0"/>
    <x v="1"/>
    <s v="DK2_Large"/>
    <x v="2"/>
    <x v="2"/>
    <s v="HeatPump-EL-10_19"/>
    <x v="11"/>
    <x v="0"/>
    <n v="383.90714442569401"/>
    <n v="23354.351285896399"/>
    <n v="84075.664629227002"/>
  </r>
  <r>
    <x v="0"/>
    <x v="0"/>
    <x v="0"/>
    <x v="0"/>
    <x v="1"/>
    <s v="DK2_Large"/>
    <x v="2"/>
    <x v="2"/>
    <s v="HeatPump-EL-10_19"/>
    <x v="11"/>
    <x v="1"/>
    <n v="383.90714442569401"/>
    <n v="23354.351285896399"/>
    <n v="84075.664629227002"/>
  </r>
  <r>
    <x v="0"/>
    <x v="0"/>
    <x v="0"/>
    <x v="0"/>
    <x v="1"/>
    <s v="DK2_Large"/>
    <x v="2"/>
    <x v="2"/>
    <s v="HeatPump-EL-10_19"/>
    <x v="11"/>
    <x v="2"/>
    <n v="388.41706682717"/>
    <n v="23628.704898652901"/>
    <n v="85063.337635150296"/>
  </r>
  <r>
    <x v="0"/>
    <x v="0"/>
    <x v="0"/>
    <x v="0"/>
    <x v="1"/>
    <s v="DK2_Large"/>
    <x v="2"/>
    <x v="2"/>
    <s v="HeatPump-EL-10_19"/>
    <x v="11"/>
    <x v="3"/>
    <n v="415.19473108593797"/>
    <n v="25257.679474394499"/>
    <n v="90927.646107820299"/>
  </r>
  <r>
    <x v="0"/>
    <x v="0"/>
    <x v="0"/>
    <x v="0"/>
    <x v="1"/>
    <s v="DK2_Large"/>
    <x v="2"/>
    <x v="2"/>
    <s v="HeatPump-EL-10_19"/>
    <x v="11"/>
    <x v="4"/>
    <n v="455.50216254913499"/>
    <n v="27709.714888405699"/>
    <n v="99754.973598260505"/>
  </r>
  <r>
    <x v="0"/>
    <x v="0"/>
    <x v="0"/>
    <x v="0"/>
    <x v="1"/>
    <s v="DK2_Large"/>
    <x v="2"/>
    <x v="2"/>
    <s v="HeatPump-EL-10_19"/>
    <x v="11"/>
    <x v="5"/>
    <n v="522.58725827109902"/>
    <n v="31790.7248781585"/>
    <n v="114446.60956137101"/>
  </r>
  <r>
    <x v="0"/>
    <x v="0"/>
    <x v="0"/>
    <x v="0"/>
    <x v="1"/>
    <s v="DK2_Large"/>
    <x v="2"/>
    <x v="2"/>
    <s v="HeatPump-EL-10_19"/>
    <x v="11"/>
    <x v="6"/>
    <n v="531.32523292396002"/>
    <n v="32322.2850028742"/>
    <n v="116360.226010347"/>
  </r>
  <r>
    <x v="0"/>
    <x v="0"/>
    <x v="0"/>
    <x v="0"/>
    <x v="1"/>
    <s v="DK2_Large"/>
    <x v="2"/>
    <x v="2"/>
    <s v="HeatPump-EL-10_19"/>
    <x v="11"/>
    <x v="7"/>
    <n v="526.81531052248295"/>
    <n v="32047.931390117701"/>
    <n v="115372.553004424"/>
  </r>
  <r>
    <x v="0"/>
    <x v="0"/>
    <x v="0"/>
    <x v="0"/>
    <x v="1"/>
    <s v="DK2_Large"/>
    <x v="2"/>
    <x v="2"/>
    <s v="HeatPump-EL-10_19"/>
    <x v="11"/>
    <x v="8"/>
    <n v="513.56741346814601"/>
    <n v="31242.0176526455"/>
    <n v="112471.263549524"/>
  </r>
  <r>
    <x v="0"/>
    <x v="0"/>
    <x v="0"/>
    <x v="0"/>
    <x v="1"/>
    <s v="DK2_Large"/>
    <x v="2"/>
    <x v="2"/>
    <s v="HeatPump-EL-10_19"/>
    <x v="11"/>
    <x v="9"/>
    <n v="482.279826807902"/>
    <n v="29338.689464147399"/>
    <n v="105619.28207093"/>
  </r>
  <r>
    <x v="0"/>
    <x v="0"/>
    <x v="0"/>
    <x v="0"/>
    <x v="1"/>
    <s v="DK2_Large"/>
    <x v="2"/>
    <x v="2"/>
    <s v="HeatPump-EL-10_19"/>
    <x v="11"/>
    <x v="10"/>
    <n v="460.01208495061098"/>
    <n v="27984.068501162201"/>
    <n v="100742.646604184"/>
  </r>
  <r>
    <x v="0"/>
    <x v="0"/>
    <x v="0"/>
    <x v="0"/>
    <x v="1"/>
    <s v="DK2_Large"/>
    <x v="2"/>
    <x v="2"/>
    <s v="HeatPump-EL-10_19"/>
    <x v="11"/>
    <x v="11"/>
    <n v="437.74434309332099"/>
    <n v="26629.447538176999"/>
    <n v="95866.011137437206"/>
  </r>
  <r>
    <x v="0"/>
    <x v="0"/>
    <x v="0"/>
    <x v="0"/>
    <x v="1"/>
    <s v="DK2_Large"/>
    <x v="0"/>
    <x v="0"/>
    <s v="WI-L10"/>
    <x v="0"/>
    <x v="0"/>
    <n v="14.367247089107799"/>
    <n v="874.00753125405595"/>
    <n v="3146.4271125146001"/>
  </r>
  <r>
    <x v="0"/>
    <x v="0"/>
    <x v="0"/>
    <x v="0"/>
    <x v="1"/>
    <s v="DK2_Large"/>
    <x v="0"/>
    <x v="0"/>
    <s v="WI-L10"/>
    <x v="0"/>
    <x v="1"/>
    <n v="15.029942988051801"/>
    <n v="914.32153177315399"/>
    <n v="3291.5575143833498"/>
  </r>
  <r>
    <x v="0"/>
    <x v="0"/>
    <x v="0"/>
    <x v="0"/>
    <x v="1"/>
    <s v="DK2_Large"/>
    <x v="0"/>
    <x v="0"/>
    <s v="WI-L10"/>
    <x v="0"/>
    <x v="2"/>
    <n v="13.545504174417101"/>
    <n v="824.01817061037298"/>
    <n v="2966.4654141973401"/>
  </r>
  <r>
    <x v="0"/>
    <x v="0"/>
    <x v="0"/>
    <x v="0"/>
    <x v="1"/>
    <s v="DK2_Large"/>
    <x v="0"/>
    <x v="0"/>
    <s v="WI-L10"/>
    <x v="0"/>
    <x v="3"/>
    <n v="9.7018679605413993"/>
    <n v="590.19696759960198"/>
    <n v="2124.7090833585698"/>
  </r>
  <r>
    <x v="0"/>
    <x v="0"/>
    <x v="0"/>
    <x v="0"/>
    <x v="1"/>
    <s v="DK2_Large"/>
    <x v="0"/>
    <x v="0"/>
    <s v="WI-L10"/>
    <x v="0"/>
    <x v="4"/>
    <n v="8.9066328818085001"/>
    <n v="541.82016697668405"/>
    <n v="1950.55260111606"/>
  </r>
  <r>
    <x v="0"/>
    <x v="0"/>
    <x v="0"/>
    <x v="0"/>
    <x v="1"/>
    <s v="DK2_Large"/>
    <x v="0"/>
    <x v="0"/>
    <s v="WI-L10"/>
    <x v="0"/>
    <x v="5"/>
    <n v="12.352651556317699"/>
    <n v="751.45296967599597"/>
    <n v="2705.23069083359"/>
  </r>
  <r>
    <x v="0"/>
    <x v="0"/>
    <x v="0"/>
    <x v="0"/>
    <x v="1"/>
    <s v="DK2_Large"/>
    <x v="0"/>
    <x v="0"/>
    <s v="WI-L10"/>
    <x v="0"/>
    <x v="6"/>
    <n v="14.685341120600899"/>
    <n v="893.35825150322296"/>
    <n v="3216.0897054115999"/>
  </r>
  <r>
    <x v="0"/>
    <x v="0"/>
    <x v="0"/>
    <x v="0"/>
    <x v="1"/>
    <s v="DK2_Large"/>
    <x v="0"/>
    <x v="0"/>
    <s v="WI-L10"/>
    <x v="0"/>
    <x v="7"/>
    <n v="12.511698572064301"/>
    <n v="761.12832980057999"/>
    <n v="2740.0619872820898"/>
  </r>
  <r>
    <x v="0"/>
    <x v="0"/>
    <x v="0"/>
    <x v="0"/>
    <x v="1"/>
    <s v="DK2_Large"/>
    <x v="0"/>
    <x v="0"/>
    <s v="WI-L10"/>
    <x v="0"/>
    <x v="8"/>
    <n v="12.061065360782299"/>
    <n v="733.71480944759298"/>
    <n v="2641.37331401133"/>
  </r>
  <r>
    <x v="0"/>
    <x v="0"/>
    <x v="0"/>
    <x v="0"/>
    <x v="1"/>
    <s v="DK2_Large"/>
    <x v="0"/>
    <x v="0"/>
    <s v="WI-L10"/>
    <x v="0"/>
    <x v="9"/>
    <n v="9.6488522886258803"/>
    <n v="586.97184755807405"/>
    <n v="2113.0986512090699"/>
  </r>
  <r>
    <x v="0"/>
    <x v="0"/>
    <x v="0"/>
    <x v="0"/>
    <x v="1"/>
    <s v="DK2_Large"/>
    <x v="0"/>
    <x v="0"/>
    <s v="WI-L10"/>
    <x v="0"/>
    <x v="10"/>
    <n v="9.0921877335128496"/>
    <n v="553.10808712203198"/>
    <n v="1991.1891136393101"/>
  </r>
  <r>
    <x v="0"/>
    <x v="0"/>
    <x v="0"/>
    <x v="0"/>
    <x v="1"/>
    <s v="DK2_Large"/>
    <x v="0"/>
    <x v="0"/>
    <s v="WI-L10"/>
    <x v="0"/>
    <x v="11"/>
    <n v="10.7091657269364"/>
    <n v="651.47424838863196"/>
    <n v="2345.3072941990699"/>
  </r>
  <r>
    <x v="0"/>
    <x v="0"/>
    <x v="0"/>
    <x v="0"/>
    <x v="1"/>
    <s v="DK2_Large"/>
    <x v="0"/>
    <x v="0"/>
    <s v="WI-L10"/>
    <x v="1"/>
    <x v="0"/>
    <n v="1.85554851704344"/>
    <n v="112.879201453476"/>
    <n v="406.36512523251298"/>
  </r>
  <r>
    <x v="0"/>
    <x v="0"/>
    <x v="0"/>
    <x v="0"/>
    <x v="1"/>
    <s v="DK2_Large"/>
    <x v="0"/>
    <x v="0"/>
    <s v="WI-L10"/>
    <x v="1"/>
    <x v="1"/>
    <n v="2.2266582204521299"/>
    <n v="135.45504174417101"/>
    <n v="487.63815027901597"/>
  </r>
  <r>
    <x v="0"/>
    <x v="0"/>
    <x v="0"/>
    <x v="0"/>
    <x v="1"/>
    <s v="DK2_Large"/>
    <x v="0"/>
    <x v="0"/>
    <s v="WI-L10"/>
    <x v="1"/>
    <x v="2"/>
    <n v="2.1736425485366002"/>
    <n v="132.229921702643"/>
    <n v="476.02771812951499"/>
  </r>
  <r>
    <x v="0"/>
    <x v="0"/>
    <x v="0"/>
    <x v="0"/>
    <x v="1"/>
    <s v="DK2_Large"/>
    <x v="0"/>
    <x v="0"/>
    <s v="WI-L10"/>
    <x v="1"/>
    <x v="3"/>
    <n v="2.04110336874778"/>
    <n v="124.167121598823"/>
    <n v="447.00163775576402"/>
  </r>
  <r>
    <x v="0"/>
    <x v="0"/>
    <x v="0"/>
    <x v="0"/>
    <x v="1"/>
    <s v="DK2_Large"/>
    <x v="0"/>
    <x v="0"/>
    <s v="WI-L10"/>
    <x v="1"/>
    <x v="4"/>
    <n v="1.5109466495925099"/>
    <n v="91.915921183544597"/>
    <n v="330.89731626076099"/>
  </r>
  <r>
    <x v="0"/>
    <x v="0"/>
    <x v="0"/>
    <x v="0"/>
    <x v="1"/>
    <s v="DK2_Large"/>
    <x v="0"/>
    <x v="0"/>
    <s v="WI-L10"/>
    <x v="1"/>
    <x v="5"/>
    <n v="0.87475858660619199"/>
    <n v="53.214480685209999"/>
    <n v="191.57213046675599"/>
  </r>
  <r>
    <x v="0"/>
    <x v="0"/>
    <x v="0"/>
    <x v="0"/>
    <x v="1"/>
    <s v="DK2_Large"/>
    <x v="0"/>
    <x v="0"/>
    <s v="WI-L10"/>
    <x v="1"/>
    <x v="6"/>
    <n v="0.18555485170434399"/>
    <n v="11.2879201453476"/>
    <n v="40.636512523251298"/>
  </r>
  <r>
    <x v="0"/>
    <x v="0"/>
    <x v="0"/>
    <x v="0"/>
    <x v="1"/>
    <s v="DK2_Large"/>
    <x v="0"/>
    <x v="0"/>
    <s v="WI-L10"/>
    <x v="1"/>
    <x v="7"/>
    <n v="0.13253917978881699"/>
    <n v="8.0628001038197006"/>
    <n v="29.026080373750901"/>
  </r>
  <r>
    <x v="0"/>
    <x v="0"/>
    <x v="0"/>
    <x v="0"/>
    <x v="1"/>
    <s v="DK2_Large"/>
    <x v="0"/>
    <x v="0"/>
    <s v="WI-L10"/>
    <x v="1"/>
    <x v="8"/>
    <n v="0.18555485170434399"/>
    <n v="11.2879201453476"/>
    <n v="40.636512523251298"/>
  </r>
  <r>
    <x v="0"/>
    <x v="0"/>
    <x v="0"/>
    <x v="0"/>
    <x v="1"/>
    <s v="DK2_Large"/>
    <x v="0"/>
    <x v="0"/>
    <s v="WI-L10"/>
    <x v="1"/>
    <x v="9"/>
    <n v="0.87475858660619199"/>
    <n v="53.214480685209999"/>
    <n v="191.57213046675599"/>
  </r>
  <r>
    <x v="0"/>
    <x v="0"/>
    <x v="0"/>
    <x v="0"/>
    <x v="1"/>
    <s v="DK2_Large"/>
    <x v="0"/>
    <x v="0"/>
    <s v="WI-L10"/>
    <x v="1"/>
    <x v="10"/>
    <n v="2.04110336874778"/>
    <n v="124.167121598823"/>
    <n v="447.00163775576402"/>
  </r>
  <r>
    <x v="0"/>
    <x v="0"/>
    <x v="0"/>
    <x v="0"/>
    <x v="1"/>
    <s v="DK2_Large"/>
    <x v="0"/>
    <x v="0"/>
    <s v="WI-L10"/>
    <x v="1"/>
    <x v="11"/>
    <n v="3.15443247897384"/>
    <n v="191.89464247090899"/>
    <n v="690.82071289527198"/>
  </r>
  <r>
    <x v="0"/>
    <x v="0"/>
    <x v="0"/>
    <x v="0"/>
    <x v="1"/>
    <s v="DK2_Large"/>
    <x v="0"/>
    <x v="0"/>
    <s v="WI-L10"/>
    <x v="2"/>
    <x v="0"/>
    <n v="2.2266582204521299"/>
    <n v="135.45504174417101"/>
    <n v="487.63815027901597"/>
  </r>
  <r>
    <x v="0"/>
    <x v="0"/>
    <x v="0"/>
    <x v="0"/>
    <x v="1"/>
    <s v="DK2_Large"/>
    <x v="0"/>
    <x v="0"/>
    <s v="WI-L10"/>
    <x v="2"/>
    <x v="1"/>
    <n v="2.3857052361987101"/>
    <n v="145.130401868755"/>
    <n v="522.46944672751704"/>
  </r>
  <r>
    <x v="0"/>
    <x v="0"/>
    <x v="0"/>
    <x v="0"/>
    <x v="1"/>
    <s v="DK2_Large"/>
    <x v="0"/>
    <x v="0"/>
    <s v="WI-L10"/>
    <x v="2"/>
    <x v="2"/>
    <n v="3.8171283779179301"/>
    <n v="232.20864299000701"/>
    <n v="835.95111476402701"/>
  </r>
  <r>
    <x v="0"/>
    <x v="0"/>
    <x v="0"/>
    <x v="0"/>
    <x v="1"/>
    <s v="DK2_Large"/>
    <x v="0"/>
    <x v="0"/>
    <s v="WI-L10"/>
    <x v="2"/>
    <x v="3"/>
    <n v="4.1617302453688501"/>
    <n v="253.17192325993901"/>
    <n v="911.418923735779"/>
  </r>
  <r>
    <x v="0"/>
    <x v="0"/>
    <x v="0"/>
    <x v="0"/>
    <x v="1"/>
    <s v="DK2_Large"/>
    <x v="0"/>
    <x v="0"/>
    <s v="WI-L10"/>
    <x v="2"/>
    <x v="4"/>
    <n v="4.5593477847353103"/>
    <n v="277.360323571398"/>
    <n v="998.49716485703198"/>
  </r>
  <r>
    <x v="0"/>
    <x v="0"/>
    <x v="0"/>
    <x v="0"/>
    <x v="1"/>
    <s v="DK2_Large"/>
    <x v="0"/>
    <x v="0"/>
    <s v="WI-L10"/>
    <x v="2"/>
    <x v="5"/>
    <n v="4.1882380813266202"/>
    <n v="254.784483280703"/>
    <n v="917.22413981052898"/>
  </r>
  <r>
    <x v="0"/>
    <x v="0"/>
    <x v="0"/>
    <x v="0"/>
    <x v="1"/>
    <s v="DK2_Large"/>
    <x v="0"/>
    <x v="0"/>
    <s v="WI-L10"/>
    <x v="2"/>
    <x v="6"/>
    <n v="3.9496675577067499"/>
    <n v="240.271443093827"/>
    <n v="864.97719513777804"/>
  </r>
  <r>
    <x v="0"/>
    <x v="0"/>
    <x v="0"/>
    <x v="0"/>
    <x v="1"/>
    <s v="DK2_Large"/>
    <x v="0"/>
    <x v="0"/>
    <s v="WI-L10"/>
    <x v="2"/>
    <x v="7"/>
    <n v="3.8171283779179301"/>
    <n v="232.20864299000701"/>
    <n v="835.95111476402701"/>
  </r>
  <r>
    <x v="0"/>
    <x v="0"/>
    <x v="0"/>
    <x v="0"/>
    <x v="1"/>
    <s v="DK2_Large"/>
    <x v="0"/>
    <x v="0"/>
    <s v="WI-L10"/>
    <x v="2"/>
    <x v="8"/>
    <n v="3.7641127060024"/>
    <n v="228.98352294847999"/>
    <n v="824.34068261452603"/>
  </r>
  <r>
    <x v="0"/>
    <x v="0"/>
    <x v="0"/>
    <x v="0"/>
    <x v="1"/>
    <s v="DK2_Large"/>
    <x v="0"/>
    <x v="0"/>
    <s v="WI-L10"/>
    <x v="2"/>
    <x v="9"/>
    <n v="3.5255421823825301"/>
    <n v="214.47048276160399"/>
    <n v="772.09373794177498"/>
  </r>
  <r>
    <x v="0"/>
    <x v="0"/>
    <x v="0"/>
    <x v="0"/>
    <x v="1"/>
    <s v="DK2_Large"/>
    <x v="0"/>
    <x v="0"/>
    <s v="WI-L10"/>
    <x v="2"/>
    <x v="10"/>
    <n v="3.63157352621359"/>
    <n v="220.92072284465999"/>
    <n v="795.314602240775"/>
  </r>
  <r>
    <x v="0"/>
    <x v="0"/>
    <x v="0"/>
    <x v="0"/>
    <x v="1"/>
    <s v="DK2_Large"/>
    <x v="0"/>
    <x v="0"/>
    <s v="WI-L10"/>
    <x v="2"/>
    <x v="11"/>
    <n v="4.02919106558004"/>
    <n v="245.10912315611901"/>
    <n v="882.39284336202797"/>
  </r>
  <r>
    <x v="0"/>
    <x v="0"/>
    <x v="0"/>
    <x v="0"/>
    <x v="1"/>
    <s v="DK2_Large"/>
    <x v="0"/>
    <x v="0"/>
    <s v="WI-L10"/>
    <x v="3"/>
    <x v="0"/>
    <n v="3.6845891981291099"/>
    <n v="224.14584288618801"/>
    <n v="806.92503439027598"/>
  </r>
  <r>
    <x v="0"/>
    <x v="0"/>
    <x v="0"/>
    <x v="0"/>
    <x v="1"/>
    <s v="DK2_Large"/>
    <x v="0"/>
    <x v="0"/>
    <s v="WI-L10"/>
    <x v="3"/>
    <x v="1"/>
    <n v="2.8363384474806801"/>
    <n v="172.54392222174201"/>
    <n v="621.15811999826997"/>
  </r>
  <r>
    <x v="0"/>
    <x v="0"/>
    <x v="0"/>
    <x v="0"/>
    <x v="1"/>
    <s v="DK2_Large"/>
    <x v="0"/>
    <x v="0"/>
    <s v="WI-L10"/>
    <x v="3"/>
    <x v="2"/>
    <n v="3.2604638228048999"/>
    <n v="198.34488255396499"/>
    <n v="714.04157719427303"/>
  </r>
  <r>
    <x v="0"/>
    <x v="0"/>
    <x v="0"/>
    <x v="0"/>
    <x v="1"/>
    <s v="DK2_Large"/>
    <x v="0"/>
    <x v="0"/>
    <s v="WI-L10"/>
    <x v="3"/>
    <x v="3"/>
    <n v="3.02189329918503"/>
    <n v="183.831842367089"/>
    <n v="661.79463252152095"/>
  </r>
  <r>
    <x v="0"/>
    <x v="0"/>
    <x v="0"/>
    <x v="0"/>
    <x v="1"/>
    <s v="DK2_Large"/>
    <x v="0"/>
    <x v="0"/>
    <s v="WI-L10"/>
    <x v="3"/>
    <x v="4"/>
    <n v="2.4652287440720002"/>
    <n v="149.96808193104599"/>
    <n v="539.88509495176697"/>
  </r>
  <r>
    <x v="0"/>
    <x v="0"/>
    <x v="0"/>
    <x v="0"/>
    <x v="1"/>
    <s v="DK2_Large"/>
    <x v="0"/>
    <x v="0"/>
    <s v="WI-L10"/>
    <x v="3"/>
    <x v="5"/>
    <n v="1.9615798608744901"/>
    <n v="119.329441536532"/>
    <n v="429.58598953151397"/>
  </r>
  <r>
    <x v="0"/>
    <x v="0"/>
    <x v="0"/>
    <x v="0"/>
    <x v="1"/>
    <s v="DK2_Large"/>
    <x v="0"/>
    <x v="0"/>
    <s v="WI-L10"/>
    <x v="3"/>
    <x v="6"/>
    <n v="1.27237612597264"/>
    <n v="77.402880996669097"/>
    <n v="278.65037158800902"/>
  </r>
  <r>
    <x v="0"/>
    <x v="0"/>
    <x v="0"/>
    <x v="0"/>
    <x v="1"/>
    <s v="DK2_Large"/>
    <x v="0"/>
    <x v="0"/>
    <s v="WI-L10"/>
    <x v="3"/>
    <x v="7"/>
    <n v="0.95428209447948198"/>
    <n v="58.052160747501901"/>
    <n v="208.98777869100701"/>
  </r>
  <r>
    <x v="0"/>
    <x v="0"/>
    <x v="0"/>
    <x v="0"/>
    <x v="1"/>
    <s v="DK2_Large"/>
    <x v="0"/>
    <x v="0"/>
    <s v="WI-L10"/>
    <x v="3"/>
    <x v="8"/>
    <n v="0.71571157085961201"/>
    <n v="43.539120560626401"/>
    <n v="156.74083401825499"/>
  </r>
  <r>
    <x v="0"/>
    <x v="0"/>
    <x v="0"/>
    <x v="0"/>
    <x v="1"/>
    <s v="DK2_Large"/>
    <x v="0"/>
    <x v="0"/>
    <s v="WI-L10"/>
    <x v="3"/>
    <x v="9"/>
    <n v="0.53015671915526796"/>
    <n v="32.251200415278802"/>
    <n v="116.104321495004"/>
  </r>
  <r>
    <x v="0"/>
    <x v="0"/>
    <x v="0"/>
    <x v="0"/>
    <x v="1"/>
    <s v="DK2_Large"/>
    <x v="0"/>
    <x v="0"/>
    <s v="WI-L10"/>
    <x v="3"/>
    <x v="10"/>
    <n v="0.37110970340868799"/>
    <n v="22.575840290695201"/>
    <n v="81.273025046502596"/>
  </r>
  <r>
    <x v="0"/>
    <x v="0"/>
    <x v="0"/>
    <x v="0"/>
    <x v="1"/>
    <s v="DK2_Large"/>
    <x v="0"/>
    <x v="0"/>
    <s v="WI-L10"/>
    <x v="3"/>
    <x v="11"/>
    <n v="0.31809403149316101"/>
    <n v="19.350720249167299"/>
    <n v="69.662592897002199"/>
  </r>
  <r>
    <x v="0"/>
    <x v="0"/>
    <x v="0"/>
    <x v="0"/>
    <x v="1"/>
    <s v="DK2_Large"/>
    <x v="0"/>
    <x v="0"/>
    <s v="WI-L10"/>
    <x v="4"/>
    <x v="0"/>
    <n v="15.1624821678407"/>
    <n v="922.38433187697399"/>
    <n v="3320.5835947571099"/>
  </r>
  <r>
    <x v="0"/>
    <x v="0"/>
    <x v="0"/>
    <x v="0"/>
    <x v="1"/>
    <s v="DK2_Large"/>
    <x v="0"/>
    <x v="0"/>
    <s v="WI-L10"/>
    <x v="4"/>
    <x v="1"/>
    <n v="14.7648646284742"/>
    <n v="898.19593156551502"/>
    <n v="3233.50535363585"/>
  </r>
  <r>
    <x v="0"/>
    <x v="0"/>
    <x v="0"/>
    <x v="0"/>
    <x v="1"/>
    <s v="DK2_Large"/>
    <x v="0"/>
    <x v="0"/>
    <s v="WI-L10"/>
    <x v="4"/>
    <x v="2"/>
    <n v="15.082958659967399"/>
    <n v="917.54665181468204"/>
    <n v="3303.1679465328598"/>
  </r>
  <r>
    <x v="0"/>
    <x v="0"/>
    <x v="0"/>
    <x v="0"/>
    <x v="1"/>
    <s v="DK2_Large"/>
    <x v="0"/>
    <x v="0"/>
    <s v="WI-L10"/>
    <x v="4"/>
    <x v="3"/>
    <n v="15.1624821678407"/>
    <n v="922.38433187697399"/>
    <n v="3320.5835947571099"/>
  </r>
  <r>
    <x v="0"/>
    <x v="0"/>
    <x v="0"/>
    <x v="0"/>
    <x v="1"/>
    <s v="DK2_Large"/>
    <x v="0"/>
    <x v="0"/>
    <s v="WI-L10"/>
    <x v="4"/>
    <x v="4"/>
    <n v="15.109466495925099"/>
    <n v="919.15921183544594"/>
    <n v="3308.97316260761"/>
  </r>
  <r>
    <x v="0"/>
    <x v="0"/>
    <x v="0"/>
    <x v="0"/>
    <x v="1"/>
    <s v="DK2_Large"/>
    <x v="0"/>
    <x v="0"/>
    <s v="WI-L10"/>
    <x v="4"/>
    <x v="5"/>
    <n v="16.1962877701934"/>
    <n v="985.27417268676697"/>
    <n v="3546.9870216723598"/>
  </r>
  <r>
    <x v="0"/>
    <x v="0"/>
    <x v="0"/>
    <x v="0"/>
    <x v="1"/>
    <s v="DK2_Large"/>
    <x v="0"/>
    <x v="0"/>
    <s v="WI-L10"/>
    <x v="4"/>
    <x v="6"/>
    <n v="16.620413145517698"/>
    <n v="1011.07513301899"/>
    <n v="3639.8704788683699"/>
  </r>
  <r>
    <x v="0"/>
    <x v="0"/>
    <x v="0"/>
    <x v="0"/>
    <x v="1"/>
    <s v="DK2_Large"/>
    <x v="0"/>
    <x v="0"/>
    <s v="WI-L10"/>
    <x v="4"/>
    <x v="7"/>
    <n v="16.858983669137501"/>
    <n v="1025.5881732058699"/>
    <n v="3692.1174235411199"/>
  </r>
  <r>
    <x v="0"/>
    <x v="0"/>
    <x v="0"/>
    <x v="0"/>
    <x v="1"/>
    <s v="DK2_Large"/>
    <x v="0"/>
    <x v="0"/>
    <s v="WI-L10"/>
    <x v="4"/>
    <x v="8"/>
    <n v="17.362632552335"/>
    <n v="1056.22681360038"/>
    <n v="3802.4165289613702"/>
  </r>
  <r>
    <x v="0"/>
    <x v="0"/>
    <x v="0"/>
    <x v="0"/>
    <x v="1"/>
    <s v="DK2_Large"/>
    <x v="0"/>
    <x v="0"/>
    <s v="WI-L10"/>
    <x v="4"/>
    <x v="9"/>
    <n v="17.786757927659199"/>
    <n v="1082.0277739326"/>
    <n v="3895.2999861573699"/>
  </r>
  <r>
    <x v="0"/>
    <x v="0"/>
    <x v="0"/>
    <x v="0"/>
    <x v="1"/>
    <s v="DK2_Large"/>
    <x v="0"/>
    <x v="0"/>
    <s v="WI-L10"/>
    <x v="4"/>
    <x v="10"/>
    <n v="18.157867631067901"/>
    <n v="1104.6036142232999"/>
    <n v="3976.57301120388"/>
  </r>
  <r>
    <x v="0"/>
    <x v="0"/>
    <x v="0"/>
    <x v="0"/>
    <x v="1"/>
    <s v="DK2_Large"/>
    <x v="0"/>
    <x v="0"/>
    <s v="WI-L10"/>
    <x v="4"/>
    <x v="11"/>
    <n v="18.926594873843101"/>
    <n v="1151.36785482545"/>
    <n v="4144.9242773716296"/>
  </r>
  <r>
    <x v="0"/>
    <x v="0"/>
    <x v="0"/>
    <x v="0"/>
    <x v="1"/>
    <s v="DK2_Large"/>
    <x v="0"/>
    <x v="0"/>
    <s v="WI-L10"/>
    <x v="5"/>
    <x v="0"/>
    <n v="4.7714104723974096"/>
    <n v="290.26080373750898"/>
    <n v="1044.93889345503"/>
  </r>
  <r>
    <x v="0"/>
    <x v="0"/>
    <x v="0"/>
    <x v="0"/>
    <x v="1"/>
    <s v="DK2_Large"/>
    <x v="0"/>
    <x v="0"/>
    <s v="WI-L10"/>
    <x v="5"/>
    <x v="1"/>
    <n v="3.9761753936645099"/>
    <n v="241.884003114591"/>
    <n v="870.78241121252802"/>
  </r>
  <r>
    <x v="0"/>
    <x v="0"/>
    <x v="0"/>
    <x v="0"/>
    <x v="1"/>
    <s v="DK2_Large"/>
    <x v="0"/>
    <x v="0"/>
    <s v="WI-L10"/>
    <x v="5"/>
    <x v="2"/>
    <n v="3.4725265104670102"/>
    <n v="211.245362720076"/>
    <n v="760.483305792274"/>
  </r>
  <r>
    <x v="0"/>
    <x v="0"/>
    <x v="0"/>
    <x v="0"/>
    <x v="1"/>
    <s v="DK2_Large"/>
    <x v="0"/>
    <x v="0"/>
    <s v="WI-L10"/>
    <x v="5"/>
    <x v="3"/>
    <n v="2.9158619553539702"/>
    <n v="177.38160228403299"/>
    <n v="638.57376822252104"/>
  </r>
  <r>
    <x v="0"/>
    <x v="0"/>
    <x v="0"/>
    <x v="0"/>
    <x v="1"/>
    <s v="DK2_Large"/>
    <x v="0"/>
    <x v="0"/>
    <s v="WI-L10"/>
    <x v="5"/>
    <x v="4"/>
    <n v="2.33268956428318"/>
    <n v="141.90528182722699"/>
    <n v="510.859014578016"/>
  </r>
  <r>
    <x v="0"/>
    <x v="0"/>
    <x v="0"/>
    <x v="0"/>
    <x v="1"/>
    <s v="DK2_Large"/>
    <x v="0"/>
    <x v="0"/>
    <s v="WI-L10"/>
    <x v="5"/>
    <x v="5"/>
    <n v="2.2001503844943602"/>
    <n v="133.84248172340699"/>
    <n v="481.83293420426497"/>
  </r>
  <r>
    <x v="0"/>
    <x v="0"/>
    <x v="0"/>
    <x v="0"/>
    <x v="1"/>
    <s v="DK2_Large"/>
    <x v="0"/>
    <x v="0"/>
    <s v="WI-L10"/>
    <x v="5"/>
    <x v="6"/>
    <n v="2.04110336874778"/>
    <n v="124.167121598823"/>
    <n v="447.00163775576402"/>
  </r>
  <r>
    <x v="0"/>
    <x v="0"/>
    <x v="0"/>
    <x v="0"/>
    <x v="1"/>
    <s v="DK2_Large"/>
    <x v="0"/>
    <x v="0"/>
    <s v="WI-L10"/>
    <x v="5"/>
    <x v="7"/>
    <n v="1.9615798608744901"/>
    <n v="119.329441536532"/>
    <n v="429.58598953151397"/>
  </r>
  <r>
    <x v="0"/>
    <x v="0"/>
    <x v="0"/>
    <x v="0"/>
    <x v="1"/>
    <s v="DK2_Large"/>
    <x v="0"/>
    <x v="0"/>
    <s v="WI-L10"/>
    <x v="5"/>
    <x v="8"/>
    <n v="1.8025328451279099"/>
    <n v="109.654081411948"/>
    <n v="394.75469308301302"/>
  </r>
  <r>
    <x v="0"/>
    <x v="0"/>
    <x v="0"/>
    <x v="0"/>
    <x v="1"/>
    <s v="DK2_Large"/>
    <x v="0"/>
    <x v="0"/>
    <s v="WI-L10"/>
    <x v="5"/>
    <x v="9"/>
    <n v="1.8025328451279099"/>
    <n v="109.654081411948"/>
    <n v="394.75469308301302"/>
  </r>
  <r>
    <x v="0"/>
    <x v="0"/>
    <x v="0"/>
    <x v="0"/>
    <x v="1"/>
    <s v="DK2_Large"/>
    <x v="0"/>
    <x v="0"/>
    <s v="WI-L10"/>
    <x v="5"/>
    <x v="10"/>
    <n v="1.9615798608744901"/>
    <n v="119.329441536532"/>
    <n v="429.58598953151397"/>
  </r>
  <r>
    <x v="0"/>
    <x v="0"/>
    <x v="0"/>
    <x v="0"/>
    <x v="1"/>
    <s v="DK2_Large"/>
    <x v="0"/>
    <x v="0"/>
    <s v="WI-L10"/>
    <x v="5"/>
    <x v="11"/>
    <n v="2.8363384474806801"/>
    <n v="172.54392222174201"/>
    <n v="621.15811999826997"/>
  </r>
  <r>
    <x v="0"/>
    <x v="0"/>
    <x v="0"/>
    <x v="0"/>
    <x v="1"/>
    <s v="DK2_Large"/>
    <x v="0"/>
    <x v="0"/>
    <s v="WI-L10"/>
    <x v="6"/>
    <x v="0"/>
    <n v="1.43142314171922"/>
    <n v="87.078241121252802"/>
    <n v="313.48166803650997"/>
  </r>
  <r>
    <x v="0"/>
    <x v="0"/>
    <x v="0"/>
    <x v="0"/>
    <x v="1"/>
    <s v="DK2_Large"/>
    <x v="0"/>
    <x v="0"/>
    <s v="WI-L10"/>
    <x v="6"/>
    <x v="1"/>
    <n v="1.5904701574658"/>
    <n v="96.753601245836407"/>
    <n v="348.31296448501098"/>
  </r>
  <r>
    <x v="0"/>
    <x v="0"/>
    <x v="0"/>
    <x v="0"/>
    <x v="1"/>
    <s v="DK2_Large"/>
    <x v="0"/>
    <x v="0"/>
    <s v="WI-L10"/>
    <x v="6"/>
    <x v="2"/>
    <n v="0.95428209447948198"/>
    <n v="58.052160747501901"/>
    <n v="208.98777869100701"/>
  </r>
  <r>
    <x v="0"/>
    <x v="0"/>
    <x v="0"/>
    <x v="0"/>
    <x v="1"/>
    <s v="DK2_Large"/>
    <x v="0"/>
    <x v="0"/>
    <s v="WI-L10"/>
    <x v="6"/>
    <x v="3"/>
    <n v="0.82174291469066496"/>
    <n v="49.989360643682097"/>
    <n v="179.96169831725601"/>
  </r>
  <r>
    <x v="0"/>
    <x v="0"/>
    <x v="0"/>
    <x v="0"/>
    <x v="1"/>
    <s v="DK2_Large"/>
    <x v="0"/>
    <x v="0"/>
    <s v="WI-L10"/>
    <x v="6"/>
    <x v="4"/>
    <n v="0.90126642256395595"/>
    <n v="54.827040705973999"/>
    <n v="197.377346541506"/>
  </r>
  <r>
    <x v="0"/>
    <x v="0"/>
    <x v="0"/>
    <x v="0"/>
    <x v="1"/>
    <s v="DK2_Large"/>
    <x v="0"/>
    <x v="0"/>
    <s v="WI-L10"/>
    <x v="6"/>
    <x v="5"/>
    <n v="0.503648883197505"/>
    <n v="30.638640394514901"/>
    <n v="110.29910542025399"/>
  </r>
  <r>
    <x v="0"/>
    <x v="0"/>
    <x v="0"/>
    <x v="0"/>
    <x v="1"/>
    <s v="DK2_Large"/>
    <x v="0"/>
    <x v="0"/>
    <s v="WI-L10"/>
    <x v="6"/>
    <x v="6"/>
    <n v="0.53015671915526796"/>
    <n v="32.251200415278802"/>
    <n v="116.104321495004"/>
  </r>
  <r>
    <x v="0"/>
    <x v="0"/>
    <x v="0"/>
    <x v="0"/>
    <x v="1"/>
    <s v="DK2_Large"/>
    <x v="0"/>
    <x v="0"/>
    <s v="WI-L10"/>
    <x v="6"/>
    <x v="7"/>
    <n v="0.37110970340868799"/>
    <n v="22.575840290695201"/>
    <n v="81.273025046502596"/>
  </r>
  <r>
    <x v="0"/>
    <x v="0"/>
    <x v="0"/>
    <x v="0"/>
    <x v="1"/>
    <s v="DK2_Large"/>
    <x v="0"/>
    <x v="0"/>
    <s v="WI-L10"/>
    <x v="6"/>
    <x v="8"/>
    <n v="0.42412537532421402"/>
    <n v="25.800960332222999"/>
    <n v="92.883457196002993"/>
  </r>
  <r>
    <x v="0"/>
    <x v="0"/>
    <x v="0"/>
    <x v="0"/>
    <x v="1"/>
    <s v="DK2_Large"/>
    <x v="0"/>
    <x v="0"/>
    <s v="WI-L10"/>
    <x v="6"/>
    <x v="9"/>
    <n v="0.34460186745092403"/>
    <n v="20.9632802699312"/>
    <n v="75.467808971752405"/>
  </r>
  <r>
    <x v="0"/>
    <x v="0"/>
    <x v="0"/>
    <x v="0"/>
    <x v="1"/>
    <s v="DK2_Large"/>
    <x v="0"/>
    <x v="0"/>
    <s v="WI-L10"/>
    <x v="6"/>
    <x v="10"/>
    <n v="0.31809403149316101"/>
    <n v="19.350720249167299"/>
    <n v="69.662592897002199"/>
  </r>
  <r>
    <x v="0"/>
    <x v="0"/>
    <x v="0"/>
    <x v="0"/>
    <x v="1"/>
    <s v="DK2_Large"/>
    <x v="0"/>
    <x v="0"/>
    <s v="WI-L10"/>
    <x v="6"/>
    <x v="11"/>
    <n v="0.45063321128197797"/>
    <n v="27.413520352987"/>
    <n v="98.688673270753199"/>
  </r>
  <r>
    <x v="0"/>
    <x v="0"/>
    <x v="0"/>
    <x v="0"/>
    <x v="1"/>
    <s v="DK2_Large"/>
    <x v="0"/>
    <x v="0"/>
    <s v="WI-L10"/>
    <x v="7"/>
    <x v="0"/>
    <n v="18.237391138941199"/>
    <n v="1109.4412942855899"/>
    <n v="3993.9886594281302"/>
  </r>
  <r>
    <x v="0"/>
    <x v="0"/>
    <x v="0"/>
    <x v="0"/>
    <x v="1"/>
    <s v="DK2_Large"/>
    <x v="0"/>
    <x v="0"/>
    <s v="WI-L10"/>
    <x v="7"/>
    <x v="1"/>
    <n v="18.104851959152398"/>
    <n v="1101.3784941817701"/>
    <n v="3964.9625790543801"/>
  </r>
  <r>
    <x v="0"/>
    <x v="0"/>
    <x v="0"/>
    <x v="0"/>
    <x v="1"/>
    <s v="DK2_Large"/>
    <x v="0"/>
    <x v="0"/>
    <s v="WI-L10"/>
    <x v="7"/>
    <x v="2"/>
    <n v="17.468663896166099"/>
    <n v="1062.6770536834399"/>
    <n v="3825.6373932603701"/>
  </r>
  <r>
    <x v="0"/>
    <x v="0"/>
    <x v="0"/>
    <x v="0"/>
    <x v="1"/>
    <s v="DK2_Large"/>
    <x v="0"/>
    <x v="0"/>
    <s v="WI-L10"/>
    <x v="7"/>
    <x v="3"/>
    <n v="15.003435152094101"/>
    <n v="912.70897175238997"/>
    <n v="3285.7522983086001"/>
  </r>
  <r>
    <x v="0"/>
    <x v="0"/>
    <x v="0"/>
    <x v="0"/>
    <x v="1"/>
    <s v="DK2_Large"/>
    <x v="0"/>
    <x v="0"/>
    <s v="WI-L10"/>
    <x v="7"/>
    <x v="4"/>
    <n v="11.769479165247001"/>
    <n v="715.97664921918999"/>
    <n v="2577.51593718908"/>
  </r>
  <r>
    <x v="0"/>
    <x v="0"/>
    <x v="0"/>
    <x v="0"/>
    <x v="1"/>
    <s v="DK2_Large"/>
    <x v="0"/>
    <x v="0"/>
    <s v="WI-L10"/>
    <x v="7"/>
    <x v="5"/>
    <n v="9.0921877335128496"/>
    <n v="553.10808712203198"/>
    <n v="1991.1891136393101"/>
  </r>
  <r>
    <x v="0"/>
    <x v="0"/>
    <x v="0"/>
    <x v="0"/>
    <x v="1"/>
    <s v="DK2_Large"/>
    <x v="0"/>
    <x v="0"/>
    <s v="WI-L10"/>
    <x v="7"/>
    <x v="6"/>
    <n v="7.6342567558358603"/>
    <n v="464.41728598001498"/>
    <n v="1671.9022295280499"/>
  </r>
  <r>
    <x v="0"/>
    <x v="0"/>
    <x v="0"/>
    <x v="0"/>
    <x v="1"/>
    <s v="DK2_Large"/>
    <x v="0"/>
    <x v="0"/>
    <s v="WI-L10"/>
    <x v="7"/>
    <x v="7"/>
    <n v="7.1306078726383602"/>
    <n v="433.77864558549999"/>
    <n v="1561.6031241078001"/>
  </r>
  <r>
    <x v="0"/>
    <x v="0"/>
    <x v="0"/>
    <x v="0"/>
    <x v="1"/>
    <s v="DK2_Large"/>
    <x v="0"/>
    <x v="0"/>
    <s v="WI-L10"/>
    <x v="7"/>
    <x v="8"/>
    <n v="7.3161627243426999"/>
    <n v="445.06656573084803"/>
    <n v="1602.23963663105"/>
  </r>
  <r>
    <x v="0"/>
    <x v="0"/>
    <x v="0"/>
    <x v="0"/>
    <x v="1"/>
    <s v="DK2_Large"/>
    <x v="0"/>
    <x v="0"/>
    <s v="WI-L10"/>
    <x v="7"/>
    <x v="9"/>
    <n v="7.2896548883849404"/>
    <n v="443.454005710084"/>
    <n v="1596.4344205563"/>
  </r>
  <r>
    <x v="0"/>
    <x v="0"/>
    <x v="0"/>
    <x v="0"/>
    <x v="1"/>
    <s v="DK2_Large"/>
    <x v="0"/>
    <x v="0"/>
    <s v="WI-L10"/>
    <x v="7"/>
    <x v="10"/>
    <n v="10.6561500550209"/>
    <n v="648.24912834710403"/>
    <n v="2333.69686204957"/>
  </r>
  <r>
    <x v="0"/>
    <x v="0"/>
    <x v="0"/>
    <x v="0"/>
    <x v="1"/>
    <s v="DK2_Large"/>
    <x v="0"/>
    <x v="0"/>
    <s v="WI-L10"/>
    <x v="7"/>
    <x v="11"/>
    <n v="12.5912220799376"/>
    <n v="765.96600986287206"/>
    <n v="2757.47763550634"/>
  </r>
  <r>
    <x v="0"/>
    <x v="0"/>
    <x v="0"/>
    <x v="0"/>
    <x v="1"/>
    <s v="DK2_Large"/>
    <x v="0"/>
    <x v="0"/>
    <s v="WI-L10"/>
    <x v="8"/>
    <x v="0"/>
    <n v="0.47714104723974099"/>
    <n v="29.026080373750901"/>
    <n v="104.49388934550301"/>
  </r>
  <r>
    <x v="0"/>
    <x v="0"/>
    <x v="0"/>
    <x v="0"/>
    <x v="1"/>
    <s v="DK2_Large"/>
    <x v="0"/>
    <x v="0"/>
    <s v="WI-L10"/>
    <x v="8"/>
    <x v="1"/>
    <n v="0.37110970340868799"/>
    <n v="22.575840290695201"/>
    <n v="81.273025046502596"/>
  </r>
  <r>
    <x v="0"/>
    <x v="0"/>
    <x v="0"/>
    <x v="0"/>
    <x v="1"/>
    <s v="DK2_Large"/>
    <x v="0"/>
    <x v="0"/>
    <s v="WI-L10"/>
    <x v="8"/>
    <x v="2"/>
    <n v="0.74221940681737497"/>
    <n v="45.151680581390302"/>
    <n v="162.54605009300499"/>
  </r>
  <r>
    <x v="0"/>
    <x v="0"/>
    <x v="0"/>
    <x v="0"/>
    <x v="1"/>
    <s v="DK2_Large"/>
    <x v="0"/>
    <x v="0"/>
    <s v="WI-L10"/>
    <x v="8"/>
    <x v="3"/>
    <n v="1.74951717321238"/>
    <n v="106.42896137042"/>
    <n v="383.14426093351199"/>
  </r>
  <r>
    <x v="0"/>
    <x v="0"/>
    <x v="0"/>
    <x v="0"/>
    <x v="1"/>
    <s v="DK2_Large"/>
    <x v="0"/>
    <x v="0"/>
    <s v="WI-L10"/>
    <x v="8"/>
    <x v="4"/>
    <n v="2.4917365800297602"/>
    <n v="151.58064195181001"/>
    <n v="545.69031102651695"/>
  </r>
  <r>
    <x v="0"/>
    <x v="0"/>
    <x v="0"/>
    <x v="0"/>
    <x v="1"/>
    <s v="DK2_Large"/>
    <x v="0"/>
    <x v="0"/>
    <s v="WI-L10"/>
    <x v="8"/>
    <x v="5"/>
    <n v="2.6507835957763399"/>
    <n v="161.256002076394"/>
    <n v="580.52160747501898"/>
  </r>
  <r>
    <x v="0"/>
    <x v="0"/>
    <x v="0"/>
    <x v="0"/>
    <x v="1"/>
    <s v="DK2_Large"/>
    <x v="0"/>
    <x v="0"/>
    <s v="WI-L10"/>
    <x v="8"/>
    <x v="6"/>
    <n v="1.8290406810856701"/>
    <n v="111.26664143271201"/>
    <n v="400.559909157763"/>
  </r>
  <r>
    <x v="0"/>
    <x v="0"/>
    <x v="0"/>
    <x v="0"/>
    <x v="1"/>
    <s v="DK2_Large"/>
    <x v="0"/>
    <x v="0"/>
    <s v="WI-L10"/>
    <x v="8"/>
    <x v="7"/>
    <n v="1.9880876968322501"/>
    <n v="120.942001557296"/>
    <n v="435.39120560626401"/>
  </r>
  <r>
    <x v="0"/>
    <x v="0"/>
    <x v="0"/>
    <x v="0"/>
    <x v="1"/>
    <s v="DK2_Large"/>
    <x v="0"/>
    <x v="0"/>
    <s v="WI-L10"/>
    <x v="8"/>
    <x v="8"/>
    <n v="1.5374544855502801"/>
    <n v="93.528481204308505"/>
    <n v="336.70253233551102"/>
  </r>
  <r>
    <x v="0"/>
    <x v="0"/>
    <x v="0"/>
    <x v="0"/>
    <x v="1"/>
    <s v="DK2_Large"/>
    <x v="0"/>
    <x v="0"/>
    <s v="WI-L10"/>
    <x v="8"/>
    <x v="9"/>
    <n v="2.33268956428318"/>
    <n v="141.90528182722699"/>
    <n v="510.859014578016"/>
  </r>
  <r>
    <x v="0"/>
    <x v="0"/>
    <x v="0"/>
    <x v="0"/>
    <x v="1"/>
    <s v="DK2_Large"/>
    <x v="0"/>
    <x v="0"/>
    <s v="WI-L10"/>
    <x v="8"/>
    <x v="10"/>
    <n v="4.37379293303096"/>
    <n v="266.07240342605002"/>
    <n v="957.86065233378099"/>
  </r>
  <r>
    <x v="0"/>
    <x v="0"/>
    <x v="0"/>
    <x v="0"/>
    <x v="1"/>
    <s v="DK2_Large"/>
    <x v="0"/>
    <x v="0"/>
    <s v="WI-L10"/>
    <x v="8"/>
    <x v="11"/>
    <n v="4.3472850970732004"/>
    <n v="264.45984340528599"/>
    <n v="952.05543625903101"/>
  </r>
  <r>
    <x v="0"/>
    <x v="0"/>
    <x v="0"/>
    <x v="0"/>
    <x v="1"/>
    <s v="DK2_Large"/>
    <x v="0"/>
    <x v="0"/>
    <s v="WI-L10"/>
    <x v="9"/>
    <x v="0"/>
    <n v="16.6469209814754"/>
    <n v="1012.68769303975"/>
    <n v="3645.6756949431201"/>
  </r>
  <r>
    <x v="0"/>
    <x v="0"/>
    <x v="0"/>
    <x v="0"/>
    <x v="1"/>
    <s v="DK2_Large"/>
    <x v="0"/>
    <x v="0"/>
    <s v="WI-L10"/>
    <x v="9"/>
    <x v="1"/>
    <n v="16.7794601612642"/>
    <n v="1020.75049314357"/>
    <n v="3674.7017753168702"/>
  </r>
  <r>
    <x v="0"/>
    <x v="0"/>
    <x v="0"/>
    <x v="0"/>
    <x v="1"/>
    <s v="DK2_Large"/>
    <x v="0"/>
    <x v="0"/>
    <s v="WI-L10"/>
    <x v="9"/>
    <x v="2"/>
    <n v="16.090256426362401"/>
    <n v="978.82393260371202"/>
    <n v="3523.7661573733599"/>
  </r>
  <r>
    <x v="0"/>
    <x v="0"/>
    <x v="0"/>
    <x v="0"/>
    <x v="1"/>
    <s v="DK2_Large"/>
    <x v="0"/>
    <x v="0"/>
    <s v="WI-L10"/>
    <x v="9"/>
    <x v="3"/>
    <n v="15.109466495925099"/>
    <n v="919.15921183544594"/>
    <n v="3308.97316260761"/>
  </r>
  <r>
    <x v="0"/>
    <x v="0"/>
    <x v="0"/>
    <x v="0"/>
    <x v="1"/>
    <s v="DK2_Large"/>
    <x v="0"/>
    <x v="0"/>
    <s v="WI-L10"/>
    <x v="9"/>
    <x v="4"/>
    <n v="15.029942988051801"/>
    <n v="914.32153177315399"/>
    <n v="3291.5575143833498"/>
  </r>
  <r>
    <x v="0"/>
    <x v="0"/>
    <x v="0"/>
    <x v="0"/>
    <x v="1"/>
    <s v="DK2_Large"/>
    <x v="0"/>
    <x v="0"/>
    <s v="WI-L10"/>
    <x v="9"/>
    <x v="5"/>
    <n v="14.6058176127276"/>
    <n v="888.52057144093101"/>
    <n v="3198.6740571873502"/>
  </r>
  <r>
    <x v="0"/>
    <x v="0"/>
    <x v="0"/>
    <x v="0"/>
    <x v="1"/>
    <s v="DK2_Large"/>
    <x v="0"/>
    <x v="0"/>
    <s v="WI-L10"/>
    <x v="9"/>
    <x v="6"/>
    <n v="14.552801940812101"/>
    <n v="885.29545139940296"/>
    <n v="3187.0636250378502"/>
  </r>
  <r>
    <x v="0"/>
    <x v="0"/>
    <x v="0"/>
    <x v="0"/>
    <x v="1"/>
    <s v="DK2_Large"/>
    <x v="0"/>
    <x v="0"/>
    <s v="WI-L10"/>
    <x v="9"/>
    <x v="7"/>
    <n v="13.518996338459299"/>
    <n v="822.40561058960895"/>
    <n v="2960.6601981225899"/>
  </r>
  <r>
    <x v="0"/>
    <x v="0"/>
    <x v="0"/>
    <x v="0"/>
    <x v="1"/>
    <s v="DK2_Large"/>
    <x v="0"/>
    <x v="0"/>
    <s v="WI-L10"/>
    <x v="9"/>
    <x v="8"/>
    <n v="14.261215745276701"/>
    <n v="867.55729117099997"/>
    <n v="3123.2062482156002"/>
  </r>
  <r>
    <x v="0"/>
    <x v="0"/>
    <x v="0"/>
    <x v="0"/>
    <x v="1"/>
    <s v="DK2_Large"/>
    <x v="0"/>
    <x v="0"/>
    <s v="WI-L10"/>
    <x v="9"/>
    <x v="9"/>
    <n v="15.4805761993338"/>
    <n v="941.735052126141"/>
    <n v="3390.2461876541101"/>
  </r>
  <r>
    <x v="0"/>
    <x v="0"/>
    <x v="0"/>
    <x v="0"/>
    <x v="1"/>
    <s v="DK2_Large"/>
    <x v="0"/>
    <x v="0"/>
    <s v="WI-L10"/>
    <x v="9"/>
    <x v="10"/>
    <n v="16.434858293813299"/>
    <n v="999.78721287364306"/>
    <n v="3599.2339663451098"/>
  </r>
  <r>
    <x v="0"/>
    <x v="0"/>
    <x v="0"/>
    <x v="0"/>
    <x v="1"/>
    <s v="DK2_Large"/>
    <x v="0"/>
    <x v="0"/>
    <s v="WI-L10"/>
    <x v="9"/>
    <x v="11"/>
    <n v="16.090256426362401"/>
    <n v="978.82393260371202"/>
    <n v="3523.7661573733599"/>
  </r>
  <r>
    <x v="0"/>
    <x v="0"/>
    <x v="0"/>
    <x v="0"/>
    <x v="1"/>
    <s v="DK2_Large"/>
    <x v="0"/>
    <x v="0"/>
    <s v="WI-L10"/>
    <x v="10"/>
    <x v="0"/>
    <n v="16.037240754446898"/>
    <n v="975.59881256218398"/>
    <n v="3512.1557252238599"/>
  </r>
  <r>
    <x v="0"/>
    <x v="0"/>
    <x v="0"/>
    <x v="0"/>
    <x v="1"/>
    <s v="DK2_Large"/>
    <x v="0"/>
    <x v="0"/>
    <s v="WI-L10"/>
    <x v="10"/>
    <x v="1"/>
    <n v="16.752952325306499"/>
    <n v="1019.13793312281"/>
    <n v="3668.89655924212"/>
  </r>
  <r>
    <x v="0"/>
    <x v="0"/>
    <x v="0"/>
    <x v="0"/>
    <x v="1"/>
    <s v="DK2_Large"/>
    <x v="0"/>
    <x v="0"/>
    <s v="WI-L10"/>
    <x v="10"/>
    <x v="2"/>
    <n v="16.593905309559901"/>
    <n v="1009.46257299823"/>
    <n v="3634.0652627936201"/>
  </r>
  <r>
    <x v="0"/>
    <x v="0"/>
    <x v="0"/>
    <x v="0"/>
    <x v="1"/>
    <s v="DK2_Large"/>
    <x v="0"/>
    <x v="0"/>
    <s v="WI-L10"/>
    <x v="10"/>
    <x v="3"/>
    <n v="16.275811278066701"/>
    <n v="990.11185274905904"/>
    <n v="3564.40266989661"/>
  </r>
  <r>
    <x v="0"/>
    <x v="0"/>
    <x v="0"/>
    <x v="0"/>
    <x v="1"/>
    <s v="DK2_Large"/>
    <x v="0"/>
    <x v="0"/>
    <s v="WI-L10"/>
    <x v="10"/>
    <x v="4"/>
    <n v="15.268513511671699"/>
    <n v="928.83457196002996"/>
    <n v="3343.8044590561099"/>
  </r>
  <r>
    <x v="0"/>
    <x v="0"/>
    <x v="0"/>
    <x v="0"/>
    <x v="1"/>
    <s v="DK2_Large"/>
    <x v="0"/>
    <x v="0"/>
    <s v="WI-L10"/>
    <x v="10"/>
    <x v="5"/>
    <n v="16.0637485904046"/>
    <n v="977.211372582948"/>
    <n v="3517.9609412986101"/>
  </r>
  <r>
    <x v="0"/>
    <x v="0"/>
    <x v="0"/>
    <x v="0"/>
    <x v="1"/>
    <s v="DK2_Large"/>
    <x v="0"/>
    <x v="0"/>
    <s v="WI-L10"/>
    <x v="10"/>
    <x v="6"/>
    <n v="14.738356792516401"/>
    <n v="896.583371544751"/>
    <n v="3227.7001375610998"/>
  </r>
  <r>
    <x v="0"/>
    <x v="0"/>
    <x v="0"/>
    <x v="0"/>
    <x v="1"/>
    <s v="DK2_Large"/>
    <x v="0"/>
    <x v="0"/>
    <s v="WI-L10"/>
    <x v="10"/>
    <x v="7"/>
    <n v="12.935823947388499"/>
    <n v="786.92929013280298"/>
    <n v="2832.9454444780899"/>
  </r>
  <r>
    <x v="0"/>
    <x v="0"/>
    <x v="0"/>
    <x v="0"/>
    <x v="1"/>
    <s v="DK2_Large"/>
    <x v="0"/>
    <x v="0"/>
    <s v="WI-L10"/>
    <x v="10"/>
    <x v="8"/>
    <n v="11.610432149500401"/>
    <n v="706.30128909460598"/>
    <n v="2542.6846407405801"/>
  </r>
  <r>
    <x v="0"/>
    <x v="0"/>
    <x v="0"/>
    <x v="0"/>
    <x v="1"/>
    <s v="DK2_Large"/>
    <x v="0"/>
    <x v="0"/>
    <s v="WI-L10"/>
    <x v="10"/>
    <x v="9"/>
    <n v="10.2585325156544"/>
    <n v="624.06072803564496"/>
    <n v="2246.6186209283201"/>
  </r>
  <r>
    <x v="0"/>
    <x v="0"/>
    <x v="0"/>
    <x v="0"/>
    <x v="1"/>
    <s v="DK2_Large"/>
    <x v="0"/>
    <x v="0"/>
    <s v="WI-L10"/>
    <x v="10"/>
    <x v="10"/>
    <n v="9.8609149762879902"/>
    <n v="599.87232772418599"/>
    <n v="2159.5403798070702"/>
  </r>
  <r>
    <x v="0"/>
    <x v="0"/>
    <x v="0"/>
    <x v="0"/>
    <x v="1"/>
    <s v="DK2_Large"/>
    <x v="0"/>
    <x v="0"/>
    <s v="WI-L10"/>
    <x v="10"/>
    <x v="11"/>
    <n v="11.5839243135426"/>
    <n v="704.68872907384196"/>
    <n v="2536.8794246658299"/>
  </r>
  <r>
    <x v="0"/>
    <x v="0"/>
    <x v="0"/>
    <x v="0"/>
    <x v="1"/>
    <s v="DK2_Large"/>
    <x v="0"/>
    <x v="0"/>
    <s v="WI-L10"/>
    <x v="11"/>
    <x v="0"/>
    <n v="15.692638886995899"/>
    <n v="954.63553229225295"/>
    <n v="3436.68791625211"/>
  </r>
  <r>
    <x v="0"/>
    <x v="0"/>
    <x v="0"/>
    <x v="0"/>
    <x v="1"/>
    <s v="DK2_Large"/>
    <x v="0"/>
    <x v="0"/>
    <s v="WI-L10"/>
    <x v="11"/>
    <x v="1"/>
    <n v="16.037240754446898"/>
    <n v="975.59881256218398"/>
    <n v="3512.1557252238599"/>
  </r>
  <r>
    <x v="0"/>
    <x v="0"/>
    <x v="0"/>
    <x v="0"/>
    <x v="1"/>
    <s v="DK2_Large"/>
    <x v="0"/>
    <x v="0"/>
    <s v="WI-L10"/>
    <x v="11"/>
    <x v="2"/>
    <n v="16.4613661297711"/>
    <n v="1001.39977289441"/>
    <n v="3605.03918241986"/>
  </r>
  <r>
    <x v="0"/>
    <x v="0"/>
    <x v="0"/>
    <x v="0"/>
    <x v="1"/>
    <s v="DK2_Large"/>
    <x v="0"/>
    <x v="0"/>
    <s v="WI-L10"/>
    <x v="11"/>
    <x v="3"/>
    <n v="15.7721623948692"/>
    <n v="959.47321235454399"/>
    <n v="3454.1035644763601"/>
  </r>
  <r>
    <x v="0"/>
    <x v="0"/>
    <x v="0"/>
    <x v="0"/>
    <x v="1"/>
    <s v="DK2_Large"/>
    <x v="0"/>
    <x v="0"/>
    <s v="WI-L10"/>
    <x v="11"/>
    <x v="4"/>
    <n v="18.608500842349901"/>
    <n v="1132.0171345762899"/>
    <n v="4075.2616844746299"/>
  </r>
  <r>
    <x v="0"/>
    <x v="0"/>
    <x v="0"/>
    <x v="0"/>
    <x v="1"/>
    <s v="DK2_Large"/>
    <x v="0"/>
    <x v="0"/>
    <s v="WI-L10"/>
    <x v="11"/>
    <x v="5"/>
    <n v="20.570080703224399"/>
    <n v="1251.34657611282"/>
    <n v="4504.8476740061396"/>
  </r>
  <r>
    <x v="0"/>
    <x v="0"/>
    <x v="0"/>
    <x v="0"/>
    <x v="1"/>
    <s v="DK2_Large"/>
    <x v="0"/>
    <x v="0"/>
    <s v="WI-L10"/>
    <x v="11"/>
    <x v="6"/>
    <n v="21.789441157281502"/>
    <n v="1325.52433706796"/>
    <n v="4771.88761344465"/>
  </r>
  <r>
    <x v="0"/>
    <x v="0"/>
    <x v="0"/>
    <x v="0"/>
    <x v="1"/>
    <s v="DK2_Large"/>
    <x v="0"/>
    <x v="0"/>
    <s v="WI-L10"/>
    <x v="11"/>
    <x v="7"/>
    <n v="23.5124504945361"/>
    <n v="1430.3407384176201"/>
    <n v="5149.2266583034097"/>
  </r>
  <r>
    <x v="0"/>
    <x v="0"/>
    <x v="0"/>
    <x v="0"/>
    <x v="1"/>
    <s v="DK2_Large"/>
    <x v="0"/>
    <x v="0"/>
    <s v="WI-L10"/>
    <x v="11"/>
    <x v="8"/>
    <n v="24.4137169171001"/>
    <n v="1485.16777912359"/>
    <n v="5346.6040048449204"/>
  </r>
  <r>
    <x v="0"/>
    <x v="0"/>
    <x v="0"/>
    <x v="0"/>
    <x v="1"/>
    <s v="DK2_Large"/>
    <x v="0"/>
    <x v="0"/>
    <s v="WI-L10"/>
    <x v="11"/>
    <x v="9"/>
    <n v="24.254669901353498"/>
    <n v="1475.4924189990099"/>
    <n v="5311.7727083964201"/>
  </r>
  <r>
    <x v="0"/>
    <x v="0"/>
    <x v="0"/>
    <x v="0"/>
    <x v="1"/>
    <s v="DK2_Large"/>
    <x v="0"/>
    <x v="0"/>
    <s v="WI-L10"/>
    <x v="11"/>
    <x v="10"/>
    <n v="23.565466166451699"/>
    <n v="1433.5658584591399"/>
    <n v="5160.8370904529102"/>
  </r>
  <r>
    <x v="0"/>
    <x v="0"/>
    <x v="0"/>
    <x v="0"/>
    <x v="1"/>
    <s v="DK2_Large"/>
    <x v="0"/>
    <x v="0"/>
    <s v="WI-L10"/>
    <x v="11"/>
    <x v="11"/>
    <n v="21.8954725011126"/>
    <n v="1331.97457715101"/>
    <n v="4795.1084777436499"/>
  </r>
  <r>
    <x v="0"/>
    <x v="0"/>
    <x v="0"/>
    <x v="0"/>
    <x v="1"/>
    <s v="DK2_MedSmall"/>
    <x v="0"/>
    <x v="0"/>
    <s v="DK2_Rural_WI"/>
    <x v="0"/>
    <x v="0"/>
    <n v="128.236107804196"/>
    <n v="7801.0298914219002"/>
    <n v="28083.707609118799"/>
  </r>
  <r>
    <x v="0"/>
    <x v="0"/>
    <x v="0"/>
    <x v="0"/>
    <x v="1"/>
    <s v="DK2_MedSmall"/>
    <x v="0"/>
    <x v="0"/>
    <s v="DK2_Rural_WI"/>
    <x v="0"/>
    <x v="1"/>
    <n v="134.15105742616001"/>
    <n v="8160.8559934247496"/>
    <n v="29379.081576329099"/>
  </r>
  <r>
    <x v="0"/>
    <x v="0"/>
    <x v="0"/>
    <x v="0"/>
    <x v="1"/>
    <s v="DK2_MedSmall"/>
    <x v="0"/>
    <x v="0"/>
    <s v="DK2_Rural_WI"/>
    <x v="0"/>
    <x v="2"/>
    <n v="120.90157027295901"/>
    <n v="7354.8455249383596"/>
    <n v="26477.4438897781"/>
  </r>
  <r>
    <x v="0"/>
    <x v="0"/>
    <x v="0"/>
    <x v="0"/>
    <x v="1"/>
    <s v="DK2_MedSmall"/>
    <x v="0"/>
    <x v="0"/>
    <s v="DK2_Rural_WI"/>
    <x v="0"/>
    <x v="3"/>
    <n v="86.594862465563807"/>
    <n v="5267.8541333218"/>
    <n v="18964.274879958499"/>
  </r>
  <r>
    <x v="0"/>
    <x v="0"/>
    <x v="0"/>
    <x v="0"/>
    <x v="1"/>
    <s v="DK2_MedSmall"/>
    <x v="0"/>
    <x v="0"/>
    <s v="DK2_Rural_WI"/>
    <x v="0"/>
    <x v="4"/>
    <n v="79.496922919206099"/>
    <n v="4836.0628109183699"/>
    <n v="17409.826119306101"/>
  </r>
  <r>
    <x v="0"/>
    <x v="0"/>
    <x v="0"/>
    <x v="0"/>
    <x v="1"/>
    <s v="DK2_MedSmall"/>
    <x v="0"/>
    <x v="0"/>
    <s v="DK2_Rural_WI"/>
    <x v="0"/>
    <x v="5"/>
    <n v="110.254660953423"/>
    <n v="6707.1585413332195"/>
    <n v="24145.770748799601"/>
  </r>
  <r>
    <x v="0"/>
    <x v="0"/>
    <x v="0"/>
    <x v="0"/>
    <x v="1"/>
    <s v="DK2_MedSmall"/>
    <x v="0"/>
    <x v="0"/>
    <s v="DK2_Rural_WI"/>
    <x v="0"/>
    <x v="6"/>
    <n v="131.07528362273899"/>
    <n v="7973.7464203832697"/>
    <n v="28705.487113379801"/>
  </r>
  <r>
    <x v="0"/>
    <x v="0"/>
    <x v="0"/>
    <x v="0"/>
    <x v="1"/>
    <s v="DK2_MedSmall"/>
    <x v="0"/>
    <x v="0"/>
    <s v="DK2_Rural_WI"/>
    <x v="0"/>
    <x v="7"/>
    <n v="111.674248862694"/>
    <n v="6793.5168058138997"/>
    <n v="24456.660500930098"/>
  </r>
  <r>
    <x v="0"/>
    <x v="0"/>
    <x v="0"/>
    <x v="0"/>
    <x v="1"/>
    <s v="DK2_MedSmall"/>
    <x v="0"/>
    <x v="0"/>
    <s v="DK2_Rural_WI"/>
    <x v="0"/>
    <x v="8"/>
    <n v="107.652083119758"/>
    <n v="6548.8350564519596"/>
    <n v="23575.806203227101"/>
  </r>
  <r>
    <x v="0"/>
    <x v="0"/>
    <x v="0"/>
    <x v="0"/>
    <x v="1"/>
    <s v="DK2_MedSmall"/>
    <x v="0"/>
    <x v="0"/>
    <s v="DK2_Rural_WI"/>
    <x v="0"/>
    <x v="9"/>
    <n v="86.121666495806593"/>
    <n v="5239.0680451615699"/>
    <n v="18860.6449625817"/>
  </r>
  <r>
    <x v="0"/>
    <x v="0"/>
    <x v="0"/>
    <x v="0"/>
    <x v="1"/>
    <s v="DK2_MedSmall"/>
    <x v="0"/>
    <x v="0"/>
    <s v="DK2_Rural_WI"/>
    <x v="0"/>
    <x v="10"/>
    <n v="81.153108813356198"/>
    <n v="4936.8141194791697"/>
    <n v="17772.530830125001"/>
  </r>
  <r>
    <x v="0"/>
    <x v="0"/>
    <x v="0"/>
    <x v="0"/>
    <x v="1"/>
    <s v="DK2_MedSmall"/>
    <x v="0"/>
    <x v="0"/>
    <s v="DK2_Rural_WI"/>
    <x v="0"/>
    <x v="11"/>
    <n v="95.585585890950199"/>
    <n v="5814.7898083661403"/>
    <n v="20933.243310118101"/>
  </r>
  <r>
    <x v="0"/>
    <x v="0"/>
    <x v="0"/>
    <x v="0"/>
    <x v="1"/>
    <s v="DK2_MedSmall"/>
    <x v="0"/>
    <x v="0"/>
    <s v="DK2_Rural_WI"/>
    <x v="1"/>
    <x v="0"/>
    <n v="16.561858941501299"/>
    <n v="1007.51308560799"/>
    <n v="3627.0471081887799"/>
  </r>
  <r>
    <x v="0"/>
    <x v="0"/>
    <x v="0"/>
    <x v="0"/>
    <x v="1"/>
    <s v="DK2_MedSmall"/>
    <x v="0"/>
    <x v="0"/>
    <s v="DK2_Rural_WI"/>
    <x v="1"/>
    <x v="1"/>
    <n v="19.8742307298015"/>
    <n v="1209.01570272959"/>
    <n v="4352.4565298265297"/>
  </r>
  <r>
    <x v="0"/>
    <x v="0"/>
    <x v="0"/>
    <x v="0"/>
    <x v="1"/>
    <s v="DK2_MedSmall"/>
    <x v="0"/>
    <x v="0"/>
    <s v="DK2_Rural_WI"/>
    <x v="1"/>
    <x v="2"/>
    <n v="19.4010347600444"/>
    <n v="1180.2296145693599"/>
    <n v="4248.8266124497104"/>
  </r>
  <r>
    <x v="0"/>
    <x v="0"/>
    <x v="0"/>
    <x v="0"/>
    <x v="1"/>
    <s v="DK2_MedSmall"/>
    <x v="0"/>
    <x v="0"/>
    <s v="DK2_Rural_WI"/>
    <x v="1"/>
    <x v="3"/>
    <n v="18.218044835651401"/>
    <n v="1108.26439416879"/>
    <n v="3989.7518190076598"/>
  </r>
  <r>
    <x v="0"/>
    <x v="0"/>
    <x v="0"/>
    <x v="0"/>
    <x v="1"/>
    <s v="DK2_MedSmall"/>
    <x v="0"/>
    <x v="0"/>
    <s v="DK2_Rural_WI"/>
    <x v="1"/>
    <x v="4"/>
    <n v="13.4860851380796"/>
    <n v="820.40351256651002"/>
    <n v="2953.4526452394298"/>
  </r>
  <r>
    <x v="0"/>
    <x v="0"/>
    <x v="0"/>
    <x v="0"/>
    <x v="1"/>
    <s v="DK2_MedSmall"/>
    <x v="0"/>
    <x v="0"/>
    <s v="DK2_Rural_WI"/>
    <x v="1"/>
    <x v="5"/>
    <n v="7.8077335009934599"/>
    <n v="474.97045464376902"/>
    <n v="1709.89363671757"/>
  </r>
  <r>
    <x v="0"/>
    <x v="0"/>
    <x v="0"/>
    <x v="0"/>
    <x v="1"/>
    <s v="DK2_MedSmall"/>
    <x v="0"/>
    <x v="0"/>
    <s v="DK2_Rural_WI"/>
    <x v="1"/>
    <x v="6"/>
    <n v="1.65618589415013"/>
    <n v="100.751308560799"/>
    <n v="362.70471081887803"/>
  </r>
  <r>
    <x v="0"/>
    <x v="0"/>
    <x v="0"/>
    <x v="0"/>
    <x v="1"/>
    <s v="DK2_MedSmall"/>
    <x v="0"/>
    <x v="0"/>
    <s v="DK2_Rural_WI"/>
    <x v="1"/>
    <x v="7"/>
    <n v="1.18298992439295"/>
    <n v="71.965220400570999"/>
    <n v="259.07479344205598"/>
  </r>
  <r>
    <x v="0"/>
    <x v="0"/>
    <x v="0"/>
    <x v="0"/>
    <x v="1"/>
    <s v="DK2_MedSmall"/>
    <x v="0"/>
    <x v="0"/>
    <s v="DK2_Rural_WI"/>
    <x v="1"/>
    <x v="8"/>
    <n v="1.65618589415013"/>
    <n v="100.751308560799"/>
    <n v="362.70471081887803"/>
  </r>
  <r>
    <x v="0"/>
    <x v="0"/>
    <x v="0"/>
    <x v="0"/>
    <x v="1"/>
    <s v="DK2_MedSmall"/>
    <x v="0"/>
    <x v="0"/>
    <s v="DK2_Rural_WI"/>
    <x v="1"/>
    <x v="9"/>
    <n v="7.8077335009934599"/>
    <n v="474.97045464376902"/>
    <n v="1709.89363671757"/>
  </r>
  <r>
    <x v="0"/>
    <x v="0"/>
    <x v="0"/>
    <x v="0"/>
    <x v="1"/>
    <s v="DK2_MedSmall"/>
    <x v="0"/>
    <x v="0"/>
    <s v="DK2_Rural_WI"/>
    <x v="1"/>
    <x v="10"/>
    <n v="18.218044835651401"/>
    <n v="1108.26439416879"/>
    <n v="3989.7518190076598"/>
  </r>
  <r>
    <x v="0"/>
    <x v="0"/>
    <x v="0"/>
    <x v="0"/>
    <x v="1"/>
    <s v="DK2_MedSmall"/>
    <x v="0"/>
    <x v="0"/>
    <s v="DK2_Rural_WI"/>
    <x v="1"/>
    <x v="11"/>
    <n v="28.155160200552199"/>
    <n v="1712.77224553359"/>
    <n v="6165.9800839209202"/>
  </r>
  <r>
    <x v="0"/>
    <x v="0"/>
    <x v="0"/>
    <x v="0"/>
    <x v="1"/>
    <s v="DK2_MedSmall"/>
    <x v="0"/>
    <x v="0"/>
    <s v="DK2_Rural_WI"/>
    <x v="2"/>
    <x v="0"/>
    <n v="19.8742307298015"/>
    <n v="1209.01570272959"/>
    <n v="4352.4565298265297"/>
  </r>
  <r>
    <x v="0"/>
    <x v="0"/>
    <x v="0"/>
    <x v="0"/>
    <x v="1"/>
    <s v="DK2_MedSmall"/>
    <x v="0"/>
    <x v="0"/>
    <s v="DK2_Rural_WI"/>
    <x v="2"/>
    <x v="1"/>
    <n v="21.293818639073098"/>
    <n v="1295.3739672102799"/>
    <n v="4663.3462819570004"/>
  </r>
  <r>
    <x v="0"/>
    <x v="0"/>
    <x v="0"/>
    <x v="0"/>
    <x v="1"/>
    <s v="DK2_MedSmall"/>
    <x v="0"/>
    <x v="0"/>
    <s v="DK2_Rural_WI"/>
    <x v="2"/>
    <x v="2"/>
    <n v="34.070109822516898"/>
    <n v="2072.5983475364501"/>
    <n v="7461.3540511312003"/>
  </r>
  <r>
    <x v="0"/>
    <x v="0"/>
    <x v="0"/>
    <x v="0"/>
    <x v="1"/>
    <s v="DK2_MedSmall"/>
    <x v="0"/>
    <x v="0"/>
    <s v="DK2_Rural_WI"/>
    <x v="2"/>
    <x v="3"/>
    <n v="37.145883625938602"/>
    <n v="2259.7079205779301"/>
    <n v="8134.94851408055"/>
  </r>
  <r>
    <x v="0"/>
    <x v="0"/>
    <x v="0"/>
    <x v="0"/>
    <x v="1"/>
    <s v="DK2_MedSmall"/>
    <x v="0"/>
    <x v="0"/>
    <s v="DK2_Rural_WI"/>
    <x v="2"/>
    <x v="4"/>
    <n v="40.694853399117399"/>
    <n v="2475.6035817796401"/>
    <n v="8912.1728944067199"/>
  </r>
  <r>
    <x v="0"/>
    <x v="0"/>
    <x v="0"/>
    <x v="0"/>
    <x v="1"/>
    <s v="DK2_MedSmall"/>
    <x v="0"/>
    <x v="0"/>
    <s v="DK2_Rural_WI"/>
    <x v="2"/>
    <x v="5"/>
    <n v="37.382481610817202"/>
    <n v="2274.1009646580401"/>
    <n v="8186.7634727689601"/>
  </r>
  <r>
    <x v="0"/>
    <x v="0"/>
    <x v="0"/>
    <x v="0"/>
    <x v="1"/>
    <s v="DK2_MedSmall"/>
    <x v="0"/>
    <x v="0"/>
    <s v="DK2_Rural_WI"/>
    <x v="2"/>
    <x v="6"/>
    <n v="35.253099746909903"/>
    <n v="2144.5635679370198"/>
    <n v="7720.42884457326"/>
  </r>
  <r>
    <x v="0"/>
    <x v="0"/>
    <x v="0"/>
    <x v="0"/>
    <x v="1"/>
    <s v="DK2_MedSmall"/>
    <x v="0"/>
    <x v="0"/>
    <s v="DK2_Rural_WI"/>
    <x v="2"/>
    <x v="7"/>
    <n v="34.070109822516898"/>
    <n v="2072.5983475364501"/>
    <n v="7461.3540511312003"/>
  </r>
  <r>
    <x v="0"/>
    <x v="0"/>
    <x v="0"/>
    <x v="0"/>
    <x v="1"/>
    <s v="DK2_MedSmall"/>
    <x v="0"/>
    <x v="0"/>
    <s v="DK2_Rural_WI"/>
    <x v="2"/>
    <x v="8"/>
    <n v="33.596913852759698"/>
    <n v="2043.81225937622"/>
    <n v="7357.7241337543801"/>
  </r>
  <r>
    <x v="0"/>
    <x v="0"/>
    <x v="0"/>
    <x v="0"/>
    <x v="1"/>
    <s v="DK2_MedSmall"/>
    <x v="0"/>
    <x v="0"/>
    <s v="DK2_Rural_WI"/>
    <x v="2"/>
    <x v="9"/>
    <n v="31.4675319888524"/>
    <n v="1914.27486265519"/>
    <n v="6891.38950555868"/>
  </r>
  <r>
    <x v="0"/>
    <x v="0"/>
    <x v="0"/>
    <x v="0"/>
    <x v="1"/>
    <s v="DK2_MedSmall"/>
    <x v="0"/>
    <x v="0"/>
    <s v="DK2_Rural_WI"/>
    <x v="2"/>
    <x v="10"/>
    <n v="32.413923928366799"/>
    <n v="1971.8470389756501"/>
    <n v="7098.6493403123304"/>
  </r>
  <r>
    <x v="0"/>
    <x v="0"/>
    <x v="0"/>
    <x v="0"/>
    <x v="1"/>
    <s v="DK2_MedSmall"/>
    <x v="0"/>
    <x v="0"/>
    <s v="DK2_Rural_WI"/>
    <x v="2"/>
    <x v="11"/>
    <n v="35.962893701545603"/>
    <n v="2187.7427001773599"/>
    <n v="7875.8737206384903"/>
  </r>
  <r>
    <x v="0"/>
    <x v="0"/>
    <x v="0"/>
    <x v="0"/>
    <x v="1"/>
    <s v="DK2_MedSmall"/>
    <x v="0"/>
    <x v="0"/>
    <s v="DK2_Rural_WI"/>
    <x v="3"/>
    <x v="0"/>
    <n v="32.887119898123998"/>
    <n v="2000.6331271358699"/>
    <n v="7202.2792576891497"/>
  </r>
  <r>
    <x v="0"/>
    <x v="0"/>
    <x v="0"/>
    <x v="0"/>
    <x v="1"/>
    <s v="DK2_MedSmall"/>
    <x v="0"/>
    <x v="0"/>
    <s v="DK2_Rural_WI"/>
    <x v="3"/>
    <x v="1"/>
    <n v="25.315984382009098"/>
    <n v="1540.05571657222"/>
    <n v="5544.2005796599897"/>
  </r>
  <r>
    <x v="0"/>
    <x v="0"/>
    <x v="0"/>
    <x v="0"/>
    <x v="1"/>
    <s v="DK2_MedSmall"/>
    <x v="0"/>
    <x v="0"/>
    <s v="DK2_Rural_WI"/>
    <x v="3"/>
    <x v="2"/>
    <n v="29.101552140066499"/>
    <n v="1770.3444218540501"/>
    <n v="6373.2399186745697"/>
  </r>
  <r>
    <x v="0"/>
    <x v="0"/>
    <x v="0"/>
    <x v="0"/>
    <x v="1"/>
    <s v="DK2_MedSmall"/>
    <x v="0"/>
    <x v="0"/>
    <s v="DK2_Rural_WI"/>
    <x v="3"/>
    <x v="3"/>
    <n v="26.972170276159201"/>
    <n v="1640.80702513302"/>
    <n v="5906.9052904788696"/>
  </r>
  <r>
    <x v="0"/>
    <x v="0"/>
    <x v="0"/>
    <x v="0"/>
    <x v="1"/>
    <s v="DK2_MedSmall"/>
    <x v="0"/>
    <x v="0"/>
    <s v="DK2_Rural_WI"/>
    <x v="3"/>
    <x v="4"/>
    <n v="22.003612593708802"/>
    <n v="1338.55309945062"/>
    <n v="4818.7911580222399"/>
  </r>
  <r>
    <x v="0"/>
    <x v="0"/>
    <x v="0"/>
    <x v="0"/>
    <x v="1"/>
    <s v="DK2_MedSmall"/>
    <x v="0"/>
    <x v="0"/>
    <s v="DK2_Rural_WI"/>
    <x v="3"/>
    <x v="5"/>
    <n v="17.508250881015599"/>
    <n v="1065.0852619284501"/>
    <n v="3834.3069429424199"/>
  </r>
  <r>
    <x v="0"/>
    <x v="0"/>
    <x v="0"/>
    <x v="0"/>
    <x v="1"/>
    <s v="DK2_MedSmall"/>
    <x v="0"/>
    <x v="0"/>
    <s v="DK2_Rural_WI"/>
    <x v="3"/>
    <x v="6"/>
    <n v="11.3567032741723"/>
    <n v="690.866115845482"/>
    <n v="2487.1180170437301"/>
  </r>
  <r>
    <x v="0"/>
    <x v="0"/>
    <x v="0"/>
    <x v="0"/>
    <x v="1"/>
    <s v="DK2_MedSmall"/>
    <x v="0"/>
    <x v="0"/>
    <s v="DK2_Rural_WI"/>
    <x v="3"/>
    <x v="7"/>
    <n v="8.5175274556292297"/>
    <n v="518.14958688411105"/>
    <n v="1865.3385127828001"/>
  </r>
  <r>
    <x v="0"/>
    <x v="0"/>
    <x v="0"/>
    <x v="0"/>
    <x v="1"/>
    <s v="DK2_MedSmall"/>
    <x v="0"/>
    <x v="0"/>
    <s v="DK2_Rural_WI"/>
    <x v="3"/>
    <x v="8"/>
    <n v="6.3881455917219201"/>
    <n v="388.61219016308399"/>
    <n v="1399.0038845870999"/>
  </r>
  <r>
    <x v="0"/>
    <x v="0"/>
    <x v="0"/>
    <x v="0"/>
    <x v="1"/>
    <s v="DK2_MedSmall"/>
    <x v="0"/>
    <x v="0"/>
    <s v="DK2_Rural_WI"/>
    <x v="3"/>
    <x v="9"/>
    <n v="4.7319596975717904"/>
    <n v="287.860881602284"/>
    <n v="1036.29917376822"/>
  </r>
  <r>
    <x v="0"/>
    <x v="0"/>
    <x v="0"/>
    <x v="0"/>
    <x v="1"/>
    <s v="DK2_MedSmall"/>
    <x v="0"/>
    <x v="0"/>
    <s v="DK2_Rural_WI"/>
    <x v="3"/>
    <x v="10"/>
    <n v="3.3123717883002501"/>
    <n v="201.502617121599"/>
    <n v="725.40942163775605"/>
  </r>
  <r>
    <x v="0"/>
    <x v="0"/>
    <x v="0"/>
    <x v="0"/>
    <x v="1"/>
    <s v="DK2_MedSmall"/>
    <x v="0"/>
    <x v="0"/>
    <s v="DK2_Rural_WI"/>
    <x v="3"/>
    <x v="11"/>
    <n v="2.83917581854308"/>
    <n v="172.71652896136999"/>
    <n v="621.779504260934"/>
  </r>
  <r>
    <x v="0"/>
    <x v="0"/>
    <x v="0"/>
    <x v="0"/>
    <x v="1"/>
    <s v="DK2_MedSmall"/>
    <x v="0"/>
    <x v="0"/>
    <s v="DK2_Rural_WI"/>
    <x v="4"/>
    <x v="0"/>
    <n v="135.33404735055299"/>
    <n v="8232.8212138253202"/>
    <n v="29638.156369771201"/>
  </r>
  <r>
    <x v="0"/>
    <x v="0"/>
    <x v="0"/>
    <x v="0"/>
    <x v="1"/>
    <s v="DK2_MedSmall"/>
    <x v="0"/>
    <x v="0"/>
    <s v="DK2_Rural_WI"/>
    <x v="4"/>
    <x v="1"/>
    <n v="131.78507757737401"/>
    <n v="8016.9255526236102"/>
    <n v="28860.931989445002"/>
  </r>
  <r>
    <x v="0"/>
    <x v="0"/>
    <x v="0"/>
    <x v="0"/>
    <x v="1"/>
    <s v="DK2_MedSmall"/>
    <x v="0"/>
    <x v="0"/>
    <s v="DK2_Rural_WI"/>
    <x v="4"/>
    <x v="2"/>
    <n v="134.624253395918"/>
    <n v="8189.6420815849797"/>
    <n v="29482.711493705901"/>
  </r>
  <r>
    <x v="0"/>
    <x v="0"/>
    <x v="0"/>
    <x v="0"/>
    <x v="1"/>
    <s v="DK2_MedSmall"/>
    <x v="0"/>
    <x v="0"/>
    <s v="DK2_Rural_WI"/>
    <x v="4"/>
    <x v="3"/>
    <n v="135.33404735055299"/>
    <n v="8232.8212138253202"/>
    <n v="29638.156369771201"/>
  </r>
  <r>
    <x v="0"/>
    <x v="0"/>
    <x v="0"/>
    <x v="0"/>
    <x v="1"/>
    <s v="DK2_MedSmall"/>
    <x v="0"/>
    <x v="0"/>
    <s v="DK2_Rural_WI"/>
    <x v="4"/>
    <x v="4"/>
    <n v="134.86085138079599"/>
    <n v="8204.0351256650993"/>
    <n v="29534.526452394399"/>
  </r>
  <r>
    <x v="0"/>
    <x v="0"/>
    <x v="0"/>
    <x v="0"/>
    <x v="1"/>
    <s v="DK2_MedSmall"/>
    <x v="0"/>
    <x v="0"/>
    <s v="DK2_Rural_WI"/>
    <x v="4"/>
    <x v="5"/>
    <n v="144.561368760818"/>
    <n v="8794.1499329497801"/>
    <n v="31658.939758619199"/>
  </r>
  <r>
    <x v="0"/>
    <x v="0"/>
    <x v="0"/>
    <x v="0"/>
    <x v="1"/>
    <s v="DK2_MedSmall"/>
    <x v="0"/>
    <x v="0"/>
    <s v="DK2_Rural_WI"/>
    <x v="4"/>
    <x v="6"/>
    <n v="148.34693651887599"/>
    <n v="9024.4386382316097"/>
    <n v="32487.979097633801"/>
  </r>
  <r>
    <x v="0"/>
    <x v="0"/>
    <x v="0"/>
    <x v="0"/>
    <x v="1"/>
    <s v="DK2_MedSmall"/>
    <x v="0"/>
    <x v="0"/>
    <s v="DK2_Rural_WI"/>
    <x v="4"/>
    <x v="7"/>
    <n v="150.47631838278301"/>
    <n v="9153.9760349526296"/>
    <n v="32954.313725829503"/>
  </r>
  <r>
    <x v="0"/>
    <x v="0"/>
    <x v="0"/>
    <x v="0"/>
    <x v="1"/>
    <s v="DK2_MedSmall"/>
    <x v="0"/>
    <x v="0"/>
    <s v="DK2_Rural_WI"/>
    <x v="4"/>
    <x v="8"/>
    <n v="154.97168009547599"/>
    <n v="9427.4438724747997"/>
    <n v="33938.797940909302"/>
  </r>
  <r>
    <x v="0"/>
    <x v="0"/>
    <x v="0"/>
    <x v="0"/>
    <x v="1"/>
    <s v="DK2_MedSmall"/>
    <x v="0"/>
    <x v="0"/>
    <s v="DK2_Rural_WI"/>
    <x v="4"/>
    <x v="9"/>
    <n v="158.75724785353401"/>
    <n v="9657.7325777566293"/>
    <n v="34767.8372799239"/>
  </r>
  <r>
    <x v="0"/>
    <x v="0"/>
    <x v="0"/>
    <x v="0"/>
    <x v="1"/>
    <s v="DK2_MedSmall"/>
    <x v="0"/>
    <x v="0"/>
    <s v="DK2_Rural_WI"/>
    <x v="4"/>
    <x v="10"/>
    <n v="162.06961964183401"/>
    <n v="9859.2351948782307"/>
    <n v="35493.246701561598"/>
  </r>
  <r>
    <x v="0"/>
    <x v="0"/>
    <x v="0"/>
    <x v="0"/>
    <x v="1"/>
    <s v="DK2_MedSmall"/>
    <x v="0"/>
    <x v="0"/>
    <s v="DK2_Rural_WI"/>
    <x v="4"/>
    <x v="11"/>
    <n v="168.93096120331299"/>
    <n v="10276.6334732015"/>
    <n v="36995.880503525499"/>
  </r>
  <r>
    <x v="0"/>
    <x v="0"/>
    <x v="0"/>
    <x v="0"/>
    <x v="1"/>
    <s v="DK2_MedSmall"/>
    <x v="0"/>
    <x v="0"/>
    <s v="DK2_Rural_WI"/>
    <x v="5"/>
    <x v="0"/>
    <n v="42.587637278146097"/>
    <n v="2590.7479344205599"/>
    <n v="9326.69256391401"/>
  </r>
  <r>
    <x v="0"/>
    <x v="0"/>
    <x v="0"/>
    <x v="0"/>
    <x v="1"/>
    <s v="DK2_MedSmall"/>
    <x v="0"/>
    <x v="0"/>
    <s v="DK2_Rural_WI"/>
    <x v="5"/>
    <x v="1"/>
    <n v="35.489697731788397"/>
    <n v="2158.9566120171298"/>
    <n v="7772.2438032616701"/>
  </r>
  <r>
    <x v="0"/>
    <x v="0"/>
    <x v="0"/>
    <x v="0"/>
    <x v="1"/>
    <s v="DK2_MedSmall"/>
    <x v="0"/>
    <x v="0"/>
    <s v="DK2_Rural_WI"/>
    <x v="5"/>
    <x v="2"/>
    <n v="30.994336019095201"/>
    <n v="1885.4887744949599"/>
    <n v="6787.7595881818597"/>
  </r>
  <r>
    <x v="0"/>
    <x v="0"/>
    <x v="0"/>
    <x v="0"/>
    <x v="1"/>
    <s v="DK2_MedSmall"/>
    <x v="0"/>
    <x v="0"/>
    <s v="DK2_Rural_WI"/>
    <x v="5"/>
    <x v="3"/>
    <n v="26.025778336644901"/>
    <n v="1583.2348488125599"/>
    <n v="5699.64545572523"/>
  </r>
  <r>
    <x v="0"/>
    <x v="0"/>
    <x v="0"/>
    <x v="0"/>
    <x v="1"/>
    <s v="DK2_MedSmall"/>
    <x v="0"/>
    <x v="0"/>
    <s v="DK2_Rural_WI"/>
    <x v="5"/>
    <x v="4"/>
    <n v="20.820622669315899"/>
    <n v="1266.5878790500501"/>
    <n v="4559.7163645801802"/>
  </r>
  <r>
    <x v="0"/>
    <x v="0"/>
    <x v="0"/>
    <x v="0"/>
    <x v="1"/>
    <s v="DK2_MedSmall"/>
    <x v="0"/>
    <x v="0"/>
    <s v="DK2_Rural_WI"/>
    <x v="5"/>
    <x v="5"/>
    <n v="19.6376327449229"/>
    <n v="1194.6226586494799"/>
    <n v="4300.6415711381196"/>
  </r>
  <r>
    <x v="0"/>
    <x v="0"/>
    <x v="0"/>
    <x v="0"/>
    <x v="1"/>
    <s v="DK2_MedSmall"/>
    <x v="0"/>
    <x v="0"/>
    <s v="DK2_Rural_WI"/>
    <x v="5"/>
    <x v="6"/>
    <n v="18.218044835651401"/>
    <n v="1108.26439416879"/>
    <n v="3989.7518190076598"/>
  </r>
  <r>
    <x v="0"/>
    <x v="0"/>
    <x v="0"/>
    <x v="0"/>
    <x v="1"/>
    <s v="DK2_MedSmall"/>
    <x v="0"/>
    <x v="0"/>
    <s v="DK2_Rural_WI"/>
    <x v="5"/>
    <x v="7"/>
    <n v="17.508250881015599"/>
    <n v="1065.0852619284501"/>
    <n v="3834.3069429424199"/>
  </r>
  <r>
    <x v="0"/>
    <x v="0"/>
    <x v="0"/>
    <x v="0"/>
    <x v="1"/>
    <s v="DK2_MedSmall"/>
    <x v="0"/>
    <x v="0"/>
    <s v="DK2_Rural_WI"/>
    <x v="5"/>
    <x v="8"/>
    <n v="16.0886629717441"/>
    <n v="978.72699744776605"/>
    <n v="3523.4171908119602"/>
  </r>
  <r>
    <x v="0"/>
    <x v="0"/>
    <x v="0"/>
    <x v="0"/>
    <x v="1"/>
    <s v="DK2_MedSmall"/>
    <x v="0"/>
    <x v="0"/>
    <s v="DK2_Rural_WI"/>
    <x v="5"/>
    <x v="9"/>
    <n v="16.0886629717441"/>
    <n v="978.72699744776605"/>
    <n v="3523.4171908119602"/>
  </r>
  <r>
    <x v="0"/>
    <x v="0"/>
    <x v="0"/>
    <x v="0"/>
    <x v="1"/>
    <s v="DK2_MedSmall"/>
    <x v="0"/>
    <x v="0"/>
    <s v="DK2_Rural_WI"/>
    <x v="5"/>
    <x v="10"/>
    <n v="17.508250881015599"/>
    <n v="1065.0852619284501"/>
    <n v="3834.3069429424199"/>
  </r>
  <r>
    <x v="0"/>
    <x v="0"/>
    <x v="0"/>
    <x v="0"/>
    <x v="1"/>
    <s v="DK2_MedSmall"/>
    <x v="0"/>
    <x v="0"/>
    <s v="DK2_Rural_WI"/>
    <x v="5"/>
    <x v="11"/>
    <n v="25.315984382009098"/>
    <n v="1540.05571657222"/>
    <n v="5544.2005796599897"/>
  </r>
  <r>
    <x v="0"/>
    <x v="0"/>
    <x v="0"/>
    <x v="0"/>
    <x v="1"/>
    <s v="DK2_MedSmall"/>
    <x v="0"/>
    <x v="0"/>
    <s v="DK2_Rural_WI"/>
    <x v="6"/>
    <x v="0"/>
    <n v="12.776291183443799"/>
    <n v="777.22438032616697"/>
    <n v="2798.0077691741999"/>
  </r>
  <r>
    <x v="0"/>
    <x v="0"/>
    <x v="0"/>
    <x v="0"/>
    <x v="1"/>
    <s v="DK2_MedSmall"/>
    <x v="0"/>
    <x v="0"/>
    <s v="DK2_Rural_WI"/>
    <x v="6"/>
    <x v="1"/>
    <n v="14.195879092715399"/>
    <n v="863.58264480685204"/>
    <n v="3108.8975213046701"/>
  </r>
  <r>
    <x v="0"/>
    <x v="0"/>
    <x v="0"/>
    <x v="0"/>
    <x v="1"/>
    <s v="DK2_MedSmall"/>
    <x v="0"/>
    <x v="0"/>
    <s v="DK2_Rural_WI"/>
    <x v="6"/>
    <x v="2"/>
    <n v="8.5175274556292297"/>
    <n v="518.14958688411105"/>
    <n v="1865.3385127828001"/>
  </r>
  <r>
    <x v="0"/>
    <x v="0"/>
    <x v="0"/>
    <x v="0"/>
    <x v="1"/>
    <s v="DK2_MedSmall"/>
    <x v="0"/>
    <x v="0"/>
    <s v="DK2_Rural_WI"/>
    <x v="6"/>
    <x v="3"/>
    <n v="7.3345375312362799"/>
    <n v="446.18436648353997"/>
    <n v="1606.26371934075"/>
  </r>
  <r>
    <x v="0"/>
    <x v="0"/>
    <x v="0"/>
    <x v="0"/>
    <x v="1"/>
    <s v="DK2_MedSmall"/>
    <x v="0"/>
    <x v="0"/>
    <s v="DK2_Rural_WI"/>
    <x v="6"/>
    <x v="4"/>
    <n v="8.0443314858720498"/>
    <n v="489.36349872388303"/>
    <n v="1761.7085954059801"/>
  </r>
  <r>
    <x v="0"/>
    <x v="0"/>
    <x v="0"/>
    <x v="0"/>
    <x v="1"/>
    <s v="DK2_MedSmall"/>
    <x v="0"/>
    <x v="0"/>
    <s v="DK2_Rural_WI"/>
    <x v="6"/>
    <x v="5"/>
    <n v="4.4953617126932004"/>
    <n v="273.46783752216999"/>
    <n v="984.48421507981197"/>
  </r>
  <r>
    <x v="0"/>
    <x v="0"/>
    <x v="0"/>
    <x v="0"/>
    <x v="1"/>
    <s v="DK2_MedSmall"/>
    <x v="0"/>
    <x v="0"/>
    <s v="DK2_Rural_WI"/>
    <x v="6"/>
    <x v="6"/>
    <n v="4.7319596975717904"/>
    <n v="287.860881602284"/>
    <n v="1036.29917376822"/>
  </r>
  <r>
    <x v="0"/>
    <x v="0"/>
    <x v="0"/>
    <x v="0"/>
    <x v="1"/>
    <s v="DK2_MedSmall"/>
    <x v="0"/>
    <x v="0"/>
    <s v="DK2_Rural_WI"/>
    <x v="6"/>
    <x v="7"/>
    <n v="3.3123717883002501"/>
    <n v="201.502617121599"/>
    <n v="725.40942163775605"/>
  </r>
  <r>
    <x v="0"/>
    <x v="0"/>
    <x v="0"/>
    <x v="0"/>
    <x v="1"/>
    <s v="DK2_MedSmall"/>
    <x v="0"/>
    <x v="0"/>
    <s v="DK2_Rural_WI"/>
    <x v="6"/>
    <x v="8"/>
    <n v="3.7855677580574301"/>
    <n v="230.28870528182699"/>
    <n v="829.03933901457799"/>
  </r>
  <r>
    <x v="0"/>
    <x v="0"/>
    <x v="0"/>
    <x v="0"/>
    <x v="1"/>
    <s v="DK2_MedSmall"/>
    <x v="0"/>
    <x v="0"/>
    <s v="DK2_Rural_WI"/>
    <x v="6"/>
    <x v="9"/>
    <n v="3.0757738034216699"/>
    <n v="187.10957304148499"/>
    <n v="673.59446294934503"/>
  </r>
  <r>
    <x v="0"/>
    <x v="0"/>
    <x v="0"/>
    <x v="0"/>
    <x v="1"/>
    <s v="DK2_MedSmall"/>
    <x v="0"/>
    <x v="0"/>
    <s v="DK2_Rural_WI"/>
    <x v="6"/>
    <x v="10"/>
    <n v="2.83917581854308"/>
    <n v="172.71652896136999"/>
    <n v="621.779504260934"/>
  </r>
  <r>
    <x v="0"/>
    <x v="0"/>
    <x v="0"/>
    <x v="0"/>
    <x v="1"/>
    <s v="DK2_MedSmall"/>
    <x v="0"/>
    <x v="0"/>
    <s v="DK2_Rural_WI"/>
    <x v="6"/>
    <x v="11"/>
    <n v="4.0221657429360196"/>
    <n v="244.681749361941"/>
    <n v="880.85429770298902"/>
  </r>
  <r>
    <x v="0"/>
    <x v="0"/>
    <x v="0"/>
    <x v="0"/>
    <x v="1"/>
    <s v="DK2_MedSmall"/>
    <x v="0"/>
    <x v="0"/>
    <s v="DK2_Rural_WI"/>
    <x v="7"/>
    <x v="0"/>
    <n v="162.77941359646999"/>
    <n v="9902.4143271185694"/>
    <n v="35648.691577626902"/>
  </r>
  <r>
    <x v="0"/>
    <x v="0"/>
    <x v="0"/>
    <x v="0"/>
    <x v="1"/>
    <s v="DK2_MedSmall"/>
    <x v="0"/>
    <x v="0"/>
    <s v="DK2_Rural_WI"/>
    <x v="7"/>
    <x v="1"/>
    <n v="161.59642367207701"/>
    <n v="9830.4491067180006"/>
    <n v="35389.6167841848"/>
  </r>
  <r>
    <x v="0"/>
    <x v="0"/>
    <x v="0"/>
    <x v="0"/>
    <x v="1"/>
    <s v="DK2_MedSmall"/>
    <x v="0"/>
    <x v="0"/>
    <s v="DK2_Rural_WI"/>
    <x v="7"/>
    <x v="2"/>
    <n v="155.91807203499101"/>
    <n v="9485.0160487952598"/>
    <n v="34146.057775662899"/>
  </r>
  <r>
    <x v="0"/>
    <x v="0"/>
    <x v="0"/>
    <x v="0"/>
    <x v="1"/>
    <s v="DK2_MedSmall"/>
    <x v="0"/>
    <x v="0"/>
    <s v="DK2_Rural_WI"/>
    <x v="7"/>
    <x v="3"/>
    <n v="133.91445944128199"/>
    <n v="8146.46294934464"/>
    <n v="29327.2666176407"/>
  </r>
  <r>
    <x v="0"/>
    <x v="0"/>
    <x v="0"/>
    <x v="0"/>
    <x v="1"/>
    <s v="DK2_MedSmall"/>
    <x v="0"/>
    <x v="0"/>
    <s v="DK2_Rural_WI"/>
    <x v="7"/>
    <x v="4"/>
    <n v="105.049505286094"/>
    <n v="6390.5115715707097"/>
    <n v="23005.841657654499"/>
  </r>
  <r>
    <x v="0"/>
    <x v="0"/>
    <x v="0"/>
    <x v="0"/>
    <x v="1"/>
    <s v="DK2_MedSmall"/>
    <x v="0"/>
    <x v="0"/>
    <s v="DK2_Rural_WI"/>
    <x v="7"/>
    <x v="5"/>
    <n v="81.153108813356198"/>
    <n v="4936.8141194791697"/>
    <n v="17772.530830125001"/>
  </r>
  <r>
    <x v="0"/>
    <x v="0"/>
    <x v="0"/>
    <x v="0"/>
    <x v="1"/>
    <s v="DK2_MedSmall"/>
    <x v="0"/>
    <x v="0"/>
    <s v="DK2_Rural_WI"/>
    <x v="7"/>
    <x v="6"/>
    <n v="68.140219645033795"/>
    <n v="4145.1966950728902"/>
    <n v="14922.708102262401"/>
  </r>
  <r>
    <x v="0"/>
    <x v="0"/>
    <x v="0"/>
    <x v="0"/>
    <x v="1"/>
    <s v="DK2_MedSmall"/>
    <x v="0"/>
    <x v="0"/>
    <s v="DK2_Rural_WI"/>
    <x v="7"/>
    <x v="7"/>
    <n v="63.644857932340599"/>
    <n v="3871.72885755072"/>
    <n v="13938.223887182599"/>
  </r>
  <r>
    <x v="0"/>
    <x v="0"/>
    <x v="0"/>
    <x v="0"/>
    <x v="1"/>
    <s v="DK2_MedSmall"/>
    <x v="0"/>
    <x v="0"/>
    <s v="DK2_Rural_WI"/>
    <x v="7"/>
    <x v="8"/>
    <n v="65.301043826490698"/>
    <n v="3972.4801661115198"/>
    <n v="14300.928598001499"/>
  </r>
  <r>
    <x v="0"/>
    <x v="0"/>
    <x v="0"/>
    <x v="0"/>
    <x v="1"/>
    <s v="DK2_MedSmall"/>
    <x v="0"/>
    <x v="0"/>
    <s v="DK2_Rural_WI"/>
    <x v="7"/>
    <x v="9"/>
    <n v="65.064445841612198"/>
    <n v="3958.0871220314102"/>
    <n v="14249.1136393131"/>
  </r>
  <r>
    <x v="0"/>
    <x v="0"/>
    <x v="0"/>
    <x v="0"/>
    <x v="1"/>
    <s v="DK2_MedSmall"/>
    <x v="0"/>
    <x v="0"/>
    <s v="DK2_Rural_WI"/>
    <x v="7"/>
    <x v="10"/>
    <n v="95.112389921193"/>
    <n v="5786.0037202059102"/>
    <n v="20829.613392741299"/>
  </r>
  <r>
    <x v="0"/>
    <x v="0"/>
    <x v="0"/>
    <x v="0"/>
    <x v="1"/>
    <s v="DK2_MedSmall"/>
    <x v="0"/>
    <x v="0"/>
    <s v="DK2_Rural_WI"/>
    <x v="7"/>
    <x v="11"/>
    <n v="112.38404281733"/>
    <n v="6836.6959380542503"/>
    <n v="24612.1053769953"/>
  </r>
  <r>
    <x v="0"/>
    <x v="0"/>
    <x v="0"/>
    <x v="0"/>
    <x v="1"/>
    <s v="DK2_MedSmall"/>
    <x v="0"/>
    <x v="0"/>
    <s v="DK2_Rural_WI"/>
    <x v="8"/>
    <x v="0"/>
    <n v="4.2587637278146104"/>
    <n v="259.07479344205598"/>
    <n v="932.66925639140095"/>
  </r>
  <r>
    <x v="0"/>
    <x v="0"/>
    <x v="0"/>
    <x v="0"/>
    <x v="1"/>
    <s v="DK2_MedSmall"/>
    <x v="0"/>
    <x v="0"/>
    <s v="DK2_Rural_WI"/>
    <x v="8"/>
    <x v="1"/>
    <n v="3.3123717883002501"/>
    <n v="201.502617121599"/>
    <n v="725.40942163775605"/>
  </r>
  <r>
    <x v="0"/>
    <x v="0"/>
    <x v="0"/>
    <x v="0"/>
    <x v="1"/>
    <s v="DK2_MedSmall"/>
    <x v="0"/>
    <x v="0"/>
    <s v="DK2_Rural_WI"/>
    <x v="8"/>
    <x v="2"/>
    <n v="6.6247435766005101"/>
    <n v="403.005234243198"/>
    <n v="1450.8188432755101"/>
  </r>
  <r>
    <x v="0"/>
    <x v="0"/>
    <x v="0"/>
    <x v="0"/>
    <x v="1"/>
    <s v="DK2_MedSmall"/>
    <x v="0"/>
    <x v="0"/>
    <s v="DK2_Rural_WI"/>
    <x v="8"/>
    <x v="3"/>
    <n v="15.6154670019869"/>
    <n v="949.94090928753803"/>
    <n v="3419.7872734351299"/>
  </r>
  <r>
    <x v="0"/>
    <x v="0"/>
    <x v="0"/>
    <x v="0"/>
    <x v="1"/>
    <s v="DK2_MedSmall"/>
    <x v="0"/>
    <x v="0"/>
    <s v="DK2_Rural_WI"/>
    <x v="8"/>
    <x v="4"/>
    <n v="22.240210578587401"/>
    <n v="1352.9461435307401"/>
    <n v="4870.60611671065"/>
  </r>
  <r>
    <x v="0"/>
    <x v="0"/>
    <x v="0"/>
    <x v="0"/>
    <x v="1"/>
    <s v="DK2_MedSmall"/>
    <x v="0"/>
    <x v="0"/>
    <s v="DK2_Rural_WI"/>
    <x v="8"/>
    <x v="5"/>
    <n v="23.659798487859"/>
    <n v="1439.30440801142"/>
    <n v="5181.4958688411098"/>
  </r>
  <r>
    <x v="0"/>
    <x v="0"/>
    <x v="0"/>
    <x v="0"/>
    <x v="1"/>
    <s v="DK2_MedSmall"/>
    <x v="0"/>
    <x v="0"/>
    <s v="DK2_Rural_WI"/>
    <x v="8"/>
    <x v="6"/>
    <n v="16.325260956622699"/>
    <n v="993.12004152787995"/>
    <n v="3575.2321495003698"/>
  </r>
  <r>
    <x v="0"/>
    <x v="0"/>
    <x v="0"/>
    <x v="0"/>
    <x v="1"/>
    <s v="DK2_MedSmall"/>
    <x v="0"/>
    <x v="0"/>
    <s v="DK2_Rural_WI"/>
    <x v="8"/>
    <x v="7"/>
    <n v="17.744848865894198"/>
    <n v="1079.4783060085699"/>
    <n v="3886.1219016308401"/>
  </r>
  <r>
    <x v="0"/>
    <x v="0"/>
    <x v="0"/>
    <x v="0"/>
    <x v="1"/>
    <s v="DK2_MedSmall"/>
    <x v="0"/>
    <x v="0"/>
    <s v="DK2_Rural_WI"/>
    <x v="8"/>
    <x v="8"/>
    <n v="13.7226831229582"/>
    <n v="834.79655664662403"/>
    <n v="3005.2676039278499"/>
  </r>
  <r>
    <x v="0"/>
    <x v="0"/>
    <x v="0"/>
    <x v="0"/>
    <x v="1"/>
    <s v="DK2_MedSmall"/>
    <x v="0"/>
    <x v="0"/>
    <s v="DK2_Rural_WI"/>
    <x v="8"/>
    <x v="9"/>
    <n v="20.820622669315899"/>
    <n v="1266.5878790500501"/>
    <n v="4559.7163645801802"/>
  </r>
  <r>
    <x v="0"/>
    <x v="0"/>
    <x v="0"/>
    <x v="0"/>
    <x v="1"/>
    <s v="DK2_MedSmall"/>
    <x v="0"/>
    <x v="0"/>
    <s v="DK2_Rural_WI"/>
    <x v="8"/>
    <x v="10"/>
    <n v="39.0386675049673"/>
    <n v="2374.8522732188399"/>
    <n v="8549.46818358784"/>
  </r>
  <r>
    <x v="0"/>
    <x v="0"/>
    <x v="0"/>
    <x v="0"/>
    <x v="1"/>
    <s v="DK2_MedSmall"/>
    <x v="0"/>
    <x v="0"/>
    <s v="DK2_Rural_WI"/>
    <x v="8"/>
    <x v="11"/>
    <n v="38.8020695200887"/>
    <n v="2360.4592291387298"/>
    <n v="8497.6532248994299"/>
  </r>
  <r>
    <x v="0"/>
    <x v="0"/>
    <x v="0"/>
    <x v="0"/>
    <x v="1"/>
    <s v="DK2_MedSmall"/>
    <x v="0"/>
    <x v="0"/>
    <s v="DK2_Rural_WI"/>
    <x v="9"/>
    <x v="0"/>
    <n v="148.58353450375401"/>
    <n v="9038.8316823117202"/>
    <n v="32539.7940563222"/>
  </r>
  <r>
    <x v="0"/>
    <x v="0"/>
    <x v="0"/>
    <x v="0"/>
    <x v="1"/>
    <s v="DK2_MedSmall"/>
    <x v="0"/>
    <x v="0"/>
    <s v="DK2_Rural_WI"/>
    <x v="9"/>
    <x v="1"/>
    <n v="149.76652442814699"/>
    <n v="9110.7969027122908"/>
    <n v="32798.8688497642"/>
  </r>
  <r>
    <x v="0"/>
    <x v="0"/>
    <x v="0"/>
    <x v="0"/>
    <x v="1"/>
    <s v="DK2_MedSmall"/>
    <x v="0"/>
    <x v="0"/>
    <s v="DK2_Rural_WI"/>
    <x v="9"/>
    <x v="2"/>
    <n v="143.614976821304"/>
    <n v="8736.57775662932"/>
    <n v="31451.679923865599"/>
  </r>
  <r>
    <x v="0"/>
    <x v="0"/>
    <x v="0"/>
    <x v="0"/>
    <x v="1"/>
    <s v="DK2_MedSmall"/>
    <x v="0"/>
    <x v="0"/>
    <s v="DK2_Rural_WI"/>
    <x v="9"/>
    <x v="3"/>
    <n v="134.86085138079599"/>
    <n v="8204.0351256650993"/>
    <n v="29534.526452394399"/>
  </r>
  <r>
    <x v="0"/>
    <x v="0"/>
    <x v="0"/>
    <x v="0"/>
    <x v="1"/>
    <s v="DK2_MedSmall"/>
    <x v="0"/>
    <x v="0"/>
    <s v="DK2_Rural_WI"/>
    <x v="9"/>
    <x v="4"/>
    <n v="134.15105742616001"/>
    <n v="8160.8559934247496"/>
    <n v="29379.081576329099"/>
  </r>
  <r>
    <x v="0"/>
    <x v="0"/>
    <x v="0"/>
    <x v="0"/>
    <x v="1"/>
    <s v="DK2_MedSmall"/>
    <x v="0"/>
    <x v="0"/>
    <s v="DK2_Rural_WI"/>
    <x v="9"/>
    <x v="5"/>
    <n v="130.36548966810301"/>
    <n v="7930.56728814293"/>
    <n v="28550.042237314501"/>
  </r>
  <r>
    <x v="0"/>
    <x v="0"/>
    <x v="0"/>
    <x v="0"/>
    <x v="1"/>
    <s v="DK2_MedSmall"/>
    <x v="0"/>
    <x v="0"/>
    <s v="DK2_Rural_WI"/>
    <x v="9"/>
    <x v="6"/>
    <n v="129.89229369834601"/>
    <n v="7901.7811999826999"/>
    <n v="28446.412319937699"/>
  </r>
  <r>
    <x v="0"/>
    <x v="0"/>
    <x v="0"/>
    <x v="0"/>
    <x v="1"/>
    <s v="DK2_MedSmall"/>
    <x v="0"/>
    <x v="0"/>
    <s v="DK2_Rural_WI"/>
    <x v="9"/>
    <x v="7"/>
    <n v="120.664972288081"/>
    <n v="7340.4524808582401"/>
    <n v="26425.628931089701"/>
  </r>
  <r>
    <x v="0"/>
    <x v="0"/>
    <x v="0"/>
    <x v="0"/>
    <x v="1"/>
    <s v="DK2_MedSmall"/>
    <x v="0"/>
    <x v="0"/>
    <s v="DK2_Rural_WI"/>
    <x v="9"/>
    <x v="8"/>
    <n v="127.289715864681"/>
    <n v="7743.45771510144"/>
    <n v="27876.447774365199"/>
  </r>
  <r>
    <x v="0"/>
    <x v="0"/>
    <x v="0"/>
    <x v="0"/>
    <x v="1"/>
    <s v="DK2_MedSmall"/>
    <x v="0"/>
    <x v="0"/>
    <s v="DK2_Rural_WI"/>
    <x v="9"/>
    <x v="9"/>
    <n v="138.17322316909599"/>
    <n v="8405.5377427867006"/>
    <n v="30259.9358740321"/>
  </r>
  <r>
    <x v="0"/>
    <x v="0"/>
    <x v="0"/>
    <x v="0"/>
    <x v="1"/>
    <s v="DK2_MedSmall"/>
    <x v="0"/>
    <x v="0"/>
    <s v="DK2_Rural_WI"/>
    <x v="9"/>
    <x v="10"/>
    <n v="146.69075062472601"/>
    <n v="8923.6873296708109"/>
    <n v="32125.274386814901"/>
  </r>
  <r>
    <x v="0"/>
    <x v="0"/>
    <x v="0"/>
    <x v="0"/>
    <x v="1"/>
    <s v="DK2_MedSmall"/>
    <x v="0"/>
    <x v="0"/>
    <s v="DK2_Rural_WI"/>
    <x v="9"/>
    <x v="11"/>
    <n v="143.614976821304"/>
    <n v="8736.57775662932"/>
    <n v="31451.679923865599"/>
  </r>
  <r>
    <x v="0"/>
    <x v="0"/>
    <x v="0"/>
    <x v="0"/>
    <x v="1"/>
    <s v="DK2_MedSmall"/>
    <x v="0"/>
    <x v="0"/>
    <s v="DK2_Rural_WI"/>
    <x v="10"/>
    <x v="0"/>
    <n v="143.141780851547"/>
    <n v="8707.7916684690899"/>
    <n v="31348.050006488698"/>
  </r>
  <r>
    <x v="0"/>
    <x v="0"/>
    <x v="0"/>
    <x v="0"/>
    <x v="1"/>
    <s v="DK2_MedSmall"/>
    <x v="0"/>
    <x v="0"/>
    <s v="DK2_Rural_WI"/>
    <x v="10"/>
    <x v="1"/>
    <n v="149.52992644326901"/>
    <n v="9096.4038586321803"/>
    <n v="32747.0538910758"/>
  </r>
  <r>
    <x v="0"/>
    <x v="0"/>
    <x v="0"/>
    <x v="0"/>
    <x v="1"/>
    <s v="DK2_MedSmall"/>
    <x v="0"/>
    <x v="0"/>
    <s v="DK2_Rural_WI"/>
    <x v="10"/>
    <x v="2"/>
    <n v="148.11033853399701"/>
    <n v="9010.0455941514901"/>
    <n v="32436.164138945402"/>
  </r>
  <r>
    <x v="0"/>
    <x v="0"/>
    <x v="0"/>
    <x v="0"/>
    <x v="1"/>
    <s v="DK2_MedSmall"/>
    <x v="0"/>
    <x v="0"/>
    <s v="DK2_Rural_WI"/>
    <x v="10"/>
    <x v="3"/>
    <n v="145.27116271545401"/>
    <n v="8837.3290651901207"/>
    <n v="31814.3846346844"/>
  </r>
  <r>
    <x v="0"/>
    <x v="0"/>
    <x v="0"/>
    <x v="0"/>
    <x v="1"/>
    <s v="DK2_MedSmall"/>
    <x v="0"/>
    <x v="0"/>
    <s v="DK2_Rural_WI"/>
    <x v="10"/>
    <x v="4"/>
    <n v="136.28043929006799"/>
    <n v="8290.3933901457804"/>
    <n v="29845.416204524801"/>
  </r>
  <r>
    <x v="0"/>
    <x v="0"/>
    <x v="0"/>
    <x v="0"/>
    <x v="1"/>
    <s v="DK2_MedSmall"/>
    <x v="0"/>
    <x v="0"/>
    <s v="DK2_Rural_WI"/>
    <x v="10"/>
    <x v="5"/>
    <n v="143.37837883642499"/>
    <n v="8722.1847125492095"/>
    <n v="31399.864965177101"/>
  </r>
  <r>
    <x v="0"/>
    <x v="0"/>
    <x v="0"/>
    <x v="0"/>
    <x v="1"/>
    <s v="DK2_MedSmall"/>
    <x v="0"/>
    <x v="0"/>
    <s v="DK2_Rural_WI"/>
    <x v="10"/>
    <x v="6"/>
    <n v="131.54847959249599"/>
    <n v="8002.5325085434997"/>
    <n v="28809.117030756599"/>
  </r>
  <r>
    <x v="0"/>
    <x v="0"/>
    <x v="0"/>
    <x v="0"/>
    <x v="1"/>
    <s v="DK2_MedSmall"/>
    <x v="0"/>
    <x v="0"/>
    <s v="DK2_Rural_WI"/>
    <x v="10"/>
    <x v="7"/>
    <n v="115.45981662075199"/>
    <n v="7023.8055110957303"/>
    <n v="25285.699839944598"/>
  </r>
  <r>
    <x v="0"/>
    <x v="0"/>
    <x v="0"/>
    <x v="0"/>
    <x v="1"/>
    <s v="DK2_MedSmall"/>
    <x v="0"/>
    <x v="0"/>
    <s v="DK2_Rural_WI"/>
    <x v="10"/>
    <x v="8"/>
    <n v="103.62991737682199"/>
    <n v="6304.1533070900196"/>
    <n v="22694.9519055241"/>
  </r>
  <r>
    <x v="0"/>
    <x v="0"/>
    <x v="0"/>
    <x v="0"/>
    <x v="1"/>
    <s v="DK2_MedSmall"/>
    <x v="0"/>
    <x v="0"/>
    <s v="DK2_Rural_WI"/>
    <x v="10"/>
    <x v="9"/>
    <n v="91.563420148014202"/>
    <n v="5570.1080590042002"/>
    <n v="20052.3890124151"/>
  </r>
  <r>
    <x v="0"/>
    <x v="0"/>
    <x v="0"/>
    <x v="0"/>
    <x v="1"/>
    <s v="DK2_MedSmall"/>
    <x v="0"/>
    <x v="0"/>
    <s v="DK2_Rural_WI"/>
    <x v="10"/>
    <x v="10"/>
    <n v="88.014450374835405"/>
    <n v="5354.2123978024802"/>
    <n v="19275.164632088901"/>
  </r>
  <r>
    <x v="0"/>
    <x v="0"/>
    <x v="0"/>
    <x v="0"/>
    <x v="1"/>
    <s v="DK2_MedSmall"/>
    <x v="0"/>
    <x v="0"/>
    <s v="DK2_Rural_WI"/>
    <x v="10"/>
    <x v="11"/>
    <n v="103.393319391944"/>
    <n v="6289.76026300991"/>
    <n v="22643.136946835701"/>
  </r>
  <r>
    <x v="0"/>
    <x v="0"/>
    <x v="0"/>
    <x v="0"/>
    <x v="1"/>
    <s v="DK2_MedSmall"/>
    <x v="0"/>
    <x v="0"/>
    <s v="DK2_Rural_WI"/>
    <x v="11"/>
    <x v="0"/>
    <n v="140.06600704812499"/>
    <n v="8520.68209542761"/>
    <n v="30674.4555435394"/>
  </r>
  <r>
    <x v="0"/>
    <x v="0"/>
    <x v="0"/>
    <x v="0"/>
    <x v="1"/>
    <s v="DK2_MedSmall"/>
    <x v="0"/>
    <x v="0"/>
    <s v="DK2_Rural_WI"/>
    <x v="11"/>
    <x v="1"/>
    <n v="143.141780851547"/>
    <n v="8707.7916684690899"/>
    <n v="31348.050006488698"/>
  </r>
  <r>
    <x v="0"/>
    <x v="0"/>
    <x v="0"/>
    <x v="0"/>
    <x v="1"/>
    <s v="DK2_MedSmall"/>
    <x v="0"/>
    <x v="0"/>
    <s v="DK2_Rural_WI"/>
    <x v="11"/>
    <x v="2"/>
    <n v="146.927348609604"/>
    <n v="8938.0803737509195"/>
    <n v="32177.0893455033"/>
  </r>
  <r>
    <x v="0"/>
    <x v="0"/>
    <x v="0"/>
    <x v="0"/>
    <x v="1"/>
    <s v="DK2_MedSmall"/>
    <x v="0"/>
    <x v="0"/>
    <s v="DK2_Rural_WI"/>
    <x v="11"/>
    <x v="3"/>
    <n v="140.775801002761"/>
    <n v="8563.8612276679505"/>
    <n v="30829.900419604601"/>
  </r>
  <r>
    <x v="0"/>
    <x v="0"/>
    <x v="0"/>
    <x v="0"/>
    <x v="1"/>
    <s v="DK2_MedSmall"/>
    <x v="0"/>
    <x v="0"/>
    <s v="DK2_Rural_WI"/>
    <x v="11"/>
    <x v="4"/>
    <n v="166.09178538476999"/>
    <n v="10103.9169442402"/>
    <n v="36374.1009992646"/>
  </r>
  <r>
    <x v="0"/>
    <x v="0"/>
    <x v="0"/>
    <x v="0"/>
    <x v="1"/>
    <s v="DK2_MedSmall"/>
    <x v="0"/>
    <x v="0"/>
    <s v="DK2_Rural_WI"/>
    <x v="11"/>
    <x v="5"/>
    <n v="183.600036265786"/>
    <n v="11169.0022061686"/>
    <n v="40208.407942206999"/>
  </r>
  <r>
    <x v="0"/>
    <x v="0"/>
    <x v="0"/>
    <x v="0"/>
    <x v="1"/>
    <s v="DK2_MedSmall"/>
    <x v="0"/>
    <x v="0"/>
    <s v="DK2_Rural_WI"/>
    <x v="11"/>
    <x v="6"/>
    <n v="194.48354357020099"/>
    <n v="11831.0822338539"/>
    <n v="42591.896041874003"/>
  </r>
  <r>
    <x v="0"/>
    <x v="0"/>
    <x v="0"/>
    <x v="0"/>
    <x v="1"/>
    <s v="DK2_MedSmall"/>
    <x v="0"/>
    <x v="0"/>
    <s v="DK2_Rural_WI"/>
    <x v="11"/>
    <x v="7"/>
    <n v="209.862412587309"/>
    <n v="12766.6300990613"/>
    <n v="45959.868356620696"/>
  </r>
  <r>
    <x v="0"/>
    <x v="0"/>
    <x v="0"/>
    <x v="0"/>
    <x v="1"/>
    <s v="DK2_MedSmall"/>
    <x v="0"/>
    <x v="0"/>
    <s v="DK2_Rural_WI"/>
    <x v="11"/>
    <x v="8"/>
    <n v="217.90674407318099"/>
    <n v="13255.9935977852"/>
    <n v="47721.576952026699"/>
  </r>
  <r>
    <x v="0"/>
    <x v="0"/>
    <x v="0"/>
    <x v="0"/>
    <x v="1"/>
    <s v="DK2_MedSmall"/>
    <x v="0"/>
    <x v="0"/>
    <s v="DK2_Rural_WI"/>
    <x v="11"/>
    <x v="9"/>
    <n v="216.48715616390999"/>
    <n v="13169.635333304501"/>
    <n v="47410.687199896201"/>
  </r>
  <r>
    <x v="0"/>
    <x v="0"/>
    <x v="0"/>
    <x v="0"/>
    <x v="1"/>
    <s v="DK2_MedSmall"/>
    <x v="0"/>
    <x v="0"/>
    <s v="DK2_Rural_WI"/>
    <x v="11"/>
    <x v="10"/>
    <n v="210.335608557066"/>
    <n v="12795.416187221501"/>
    <n v="46063.498273997502"/>
  </r>
  <r>
    <x v="0"/>
    <x v="0"/>
    <x v="0"/>
    <x v="0"/>
    <x v="1"/>
    <s v="DK2_MedSmall"/>
    <x v="0"/>
    <x v="0"/>
    <s v="DK2_Rural_WI"/>
    <x v="11"/>
    <x v="11"/>
    <n v="195.42993550971499"/>
    <n v="11888.6544101743"/>
    <n v="42799.155876627599"/>
  </r>
  <r>
    <x v="0"/>
    <x v="0"/>
    <x v="0"/>
    <x v="0"/>
    <x v="1"/>
    <s v="DK2_Medium"/>
    <x v="0"/>
    <x v="0"/>
    <s v="DK2_Rural_WI"/>
    <x v="0"/>
    <x v="0"/>
    <n v="54.922411437707296"/>
    <n v="3341.11336246053"/>
    <n v="12028.0081048579"/>
  </r>
  <r>
    <x v="0"/>
    <x v="0"/>
    <x v="0"/>
    <x v="0"/>
    <x v="1"/>
    <s v="DK2_Medium"/>
    <x v="0"/>
    <x v="0"/>
    <s v="DK2_Rural_WI"/>
    <x v="0"/>
    <x v="1"/>
    <n v="57.4557329984872"/>
    <n v="3495.22375740797"/>
    <n v="12582.805526668701"/>
  </r>
  <r>
    <x v="0"/>
    <x v="0"/>
    <x v="0"/>
    <x v="0"/>
    <x v="1"/>
    <s v="DK2_Medium"/>
    <x v="0"/>
    <x v="0"/>
    <s v="DK2_Rural_WI"/>
    <x v="0"/>
    <x v="2"/>
    <n v="51.781092702340302"/>
    <n v="3150.0164727257002"/>
    <n v="11340.0593018125"/>
  </r>
  <r>
    <x v="0"/>
    <x v="0"/>
    <x v="0"/>
    <x v="0"/>
    <x v="1"/>
    <s v="DK2_Medium"/>
    <x v="0"/>
    <x v="0"/>
    <s v="DK2_Rural_WI"/>
    <x v="0"/>
    <x v="3"/>
    <n v="37.0878276498171"/>
    <n v="2256.1761820305401"/>
    <n v="8122.2342553099497"/>
  </r>
  <r>
    <x v="0"/>
    <x v="0"/>
    <x v="0"/>
    <x v="0"/>
    <x v="1"/>
    <s v="DK2_Medium"/>
    <x v="0"/>
    <x v="0"/>
    <s v="DK2_Rural_WI"/>
    <x v="0"/>
    <x v="4"/>
    <n v="34.047841776881299"/>
    <n v="2071.2437080936102"/>
    <n v="7456.4773491369997"/>
  </r>
  <r>
    <x v="0"/>
    <x v="0"/>
    <x v="0"/>
    <x v="0"/>
    <x v="1"/>
    <s v="DK2_Medium"/>
    <x v="0"/>
    <x v="0"/>
    <s v="DK2_Rural_WI"/>
    <x v="0"/>
    <x v="5"/>
    <n v="47.221113892936501"/>
    <n v="2872.6177618203101"/>
    <n v="10341.4239425531"/>
  </r>
  <r>
    <x v="0"/>
    <x v="0"/>
    <x v="0"/>
    <x v="0"/>
    <x v="1"/>
    <s v="DK2_Medium"/>
    <x v="0"/>
    <x v="0"/>
    <s v="DK2_Rural_WI"/>
    <x v="0"/>
    <x v="6"/>
    <n v="56.138405786881599"/>
    <n v="3415.0863520353"/>
    <n v="12294.3108673271"/>
  </r>
  <r>
    <x v="0"/>
    <x v="0"/>
    <x v="0"/>
    <x v="0"/>
    <x v="1"/>
    <s v="DK2_Medium"/>
    <x v="0"/>
    <x v="0"/>
    <s v="DK2_Rural_WI"/>
    <x v="0"/>
    <x v="7"/>
    <n v="47.829111067523698"/>
    <n v="2909.6042566076899"/>
    <n v="10474.5753237877"/>
  </r>
  <r>
    <x v="0"/>
    <x v="0"/>
    <x v="0"/>
    <x v="0"/>
    <x v="1"/>
    <s v="DK2_Medium"/>
    <x v="0"/>
    <x v="0"/>
    <s v="DK2_Rural_WI"/>
    <x v="0"/>
    <x v="8"/>
    <n v="46.106452406193398"/>
    <n v="2804.8091880434299"/>
    <n v="10097.3130769564"/>
  </r>
  <r>
    <x v="0"/>
    <x v="0"/>
    <x v="0"/>
    <x v="0"/>
    <x v="1"/>
    <s v="DK2_Medium"/>
    <x v="0"/>
    <x v="0"/>
    <s v="DK2_Rural_WI"/>
    <x v="0"/>
    <x v="9"/>
    <n v="36.885161924954701"/>
    <n v="2243.8473504347498"/>
    <n v="8077.85046156508"/>
  </r>
  <r>
    <x v="0"/>
    <x v="0"/>
    <x v="0"/>
    <x v="0"/>
    <x v="1"/>
    <s v="DK2_Medium"/>
    <x v="0"/>
    <x v="0"/>
    <s v="DK2_Rural_WI"/>
    <x v="0"/>
    <x v="10"/>
    <n v="34.757171813899603"/>
    <n v="2114.3946186788899"/>
    <n v="7611.8206272440202"/>
  </r>
  <r>
    <x v="0"/>
    <x v="0"/>
    <x v="0"/>
    <x v="0"/>
    <x v="1"/>
    <s v="DK2_Medium"/>
    <x v="0"/>
    <x v="0"/>
    <s v="DK2_Rural_WI"/>
    <x v="0"/>
    <x v="11"/>
    <n v="40.938476422202498"/>
    <n v="2490.42398235065"/>
    <n v="8965.5263364623497"/>
  </r>
  <r>
    <x v="0"/>
    <x v="0"/>
    <x v="0"/>
    <x v="0"/>
    <x v="1"/>
    <s v="DK2_Medium"/>
    <x v="0"/>
    <x v="0"/>
    <s v="DK2_Rural_WI"/>
    <x v="1"/>
    <x v="0"/>
    <n v="7.0933003701836004"/>
    <n v="431.509105852836"/>
    <n v="1553.43278107021"/>
  </r>
  <r>
    <x v="0"/>
    <x v="0"/>
    <x v="0"/>
    <x v="0"/>
    <x v="1"/>
    <s v="DK2_Medium"/>
    <x v="0"/>
    <x v="0"/>
    <s v="DK2_Rural_WI"/>
    <x v="1"/>
    <x v="1"/>
    <n v="8.5119604442203194"/>
    <n v="517.810927023403"/>
    <n v="1864.1193372842499"/>
  </r>
  <r>
    <x v="0"/>
    <x v="0"/>
    <x v="0"/>
    <x v="0"/>
    <x v="1"/>
    <s v="DK2_Medium"/>
    <x v="0"/>
    <x v="0"/>
    <s v="DK2_Rural_WI"/>
    <x v="1"/>
    <x v="2"/>
    <n v="8.3092947193579292"/>
    <n v="505.48209542760702"/>
    <n v="1819.7355435393899"/>
  </r>
  <r>
    <x v="0"/>
    <x v="0"/>
    <x v="0"/>
    <x v="0"/>
    <x v="1"/>
    <s v="DK2_Medium"/>
    <x v="0"/>
    <x v="0"/>
    <s v="DK2_Rural_WI"/>
    <x v="1"/>
    <x v="3"/>
    <n v="7.8026304072019599"/>
    <n v="474.66001643811899"/>
    <n v="1708.7760591772301"/>
  </r>
  <r>
    <x v="0"/>
    <x v="0"/>
    <x v="0"/>
    <x v="0"/>
    <x v="1"/>
    <s v="DK2_Medium"/>
    <x v="0"/>
    <x v="0"/>
    <s v="DK2_Rural_WI"/>
    <x v="1"/>
    <x v="4"/>
    <n v="5.7759731585780703"/>
    <n v="351.371700480166"/>
    <n v="1264.9381217286"/>
  </r>
  <r>
    <x v="0"/>
    <x v="0"/>
    <x v="0"/>
    <x v="0"/>
    <x v="1"/>
    <s v="DK2_Medium"/>
    <x v="0"/>
    <x v="0"/>
    <s v="DK2_Rural_WI"/>
    <x v="1"/>
    <x v="5"/>
    <n v="3.34398446022941"/>
    <n v="203.42572133062299"/>
    <n v="732.33259679024104"/>
  </r>
  <r>
    <x v="0"/>
    <x v="0"/>
    <x v="0"/>
    <x v="0"/>
    <x v="1"/>
    <s v="DK2_Medium"/>
    <x v="0"/>
    <x v="0"/>
    <s v="DK2_Rural_WI"/>
    <x v="1"/>
    <x v="6"/>
    <n v="0.70933003701835995"/>
    <n v="43.150910585283597"/>
    <n v="155.34327810702101"/>
  </r>
  <r>
    <x v="0"/>
    <x v="0"/>
    <x v="0"/>
    <x v="0"/>
    <x v="1"/>
    <s v="DK2_Medium"/>
    <x v="0"/>
    <x v="0"/>
    <s v="DK2_Rural_WI"/>
    <x v="1"/>
    <x v="7"/>
    <n v="0.50666431215597096"/>
    <n v="30.8220789894883"/>
    <n v="110.95948436215799"/>
  </r>
  <r>
    <x v="0"/>
    <x v="0"/>
    <x v="0"/>
    <x v="0"/>
    <x v="1"/>
    <s v="DK2_Medium"/>
    <x v="0"/>
    <x v="0"/>
    <s v="DK2_Rural_WI"/>
    <x v="1"/>
    <x v="8"/>
    <n v="0.70933003701835995"/>
    <n v="43.150910585283597"/>
    <n v="155.34327810702101"/>
  </r>
  <r>
    <x v="0"/>
    <x v="0"/>
    <x v="0"/>
    <x v="0"/>
    <x v="1"/>
    <s v="DK2_Medium"/>
    <x v="0"/>
    <x v="0"/>
    <s v="DK2_Rural_WI"/>
    <x v="1"/>
    <x v="9"/>
    <n v="3.34398446022941"/>
    <n v="203.42572133062299"/>
    <n v="732.33259679024104"/>
  </r>
  <r>
    <x v="0"/>
    <x v="0"/>
    <x v="0"/>
    <x v="0"/>
    <x v="1"/>
    <s v="DK2_Medium"/>
    <x v="0"/>
    <x v="0"/>
    <s v="DK2_Rural_WI"/>
    <x v="1"/>
    <x v="10"/>
    <n v="7.8026304072019599"/>
    <n v="474.66001643811899"/>
    <n v="1708.7760591772301"/>
  </r>
  <r>
    <x v="0"/>
    <x v="0"/>
    <x v="0"/>
    <x v="0"/>
    <x v="1"/>
    <s v="DK2_Medium"/>
    <x v="0"/>
    <x v="0"/>
    <s v="DK2_Rural_WI"/>
    <x v="1"/>
    <x v="11"/>
    <n v="12.058610629312099"/>
    <n v="733.565479949821"/>
    <n v="2640.8357278193498"/>
  </r>
  <r>
    <x v="0"/>
    <x v="0"/>
    <x v="0"/>
    <x v="0"/>
    <x v="1"/>
    <s v="DK2_Medium"/>
    <x v="0"/>
    <x v="0"/>
    <s v="DK2_Rural_WI"/>
    <x v="2"/>
    <x v="0"/>
    <n v="8.5119604442203194"/>
    <n v="517.810927023403"/>
    <n v="1864.1193372842499"/>
  </r>
  <r>
    <x v="0"/>
    <x v="0"/>
    <x v="0"/>
    <x v="0"/>
    <x v="1"/>
    <s v="DK2_Medium"/>
    <x v="0"/>
    <x v="0"/>
    <s v="DK2_Rural_WI"/>
    <x v="2"/>
    <x v="1"/>
    <n v="9.11995761880749"/>
    <n v="554.79742181078905"/>
    <n v="1997.2707185188401"/>
  </r>
  <r>
    <x v="0"/>
    <x v="0"/>
    <x v="0"/>
    <x v="0"/>
    <x v="1"/>
    <s v="DK2_Medium"/>
    <x v="0"/>
    <x v="0"/>
    <s v="DK2_Rural_WI"/>
    <x v="2"/>
    <x v="2"/>
    <n v="14.591932190092001"/>
    <n v="887.67587489726202"/>
    <n v="3195.63314963014"/>
  </r>
  <r>
    <x v="0"/>
    <x v="0"/>
    <x v="0"/>
    <x v="0"/>
    <x v="1"/>
    <s v="DK2_Medium"/>
    <x v="0"/>
    <x v="0"/>
    <s v="DK2_Rural_WI"/>
    <x v="2"/>
    <x v="3"/>
    <n v="15.909259401697501"/>
    <n v="967.81328026993197"/>
    <n v="3484.1278089717498"/>
  </r>
  <r>
    <x v="0"/>
    <x v="0"/>
    <x v="0"/>
    <x v="0"/>
    <x v="1"/>
    <s v="DK2_Medium"/>
    <x v="0"/>
    <x v="0"/>
    <s v="DK2_Rural_WI"/>
    <x v="2"/>
    <x v="4"/>
    <n v="17.429252338165401"/>
    <n v="1060.2795172384001"/>
    <n v="3817.0062620582298"/>
  </r>
  <r>
    <x v="0"/>
    <x v="0"/>
    <x v="0"/>
    <x v="0"/>
    <x v="1"/>
    <s v="DK2_Medium"/>
    <x v="0"/>
    <x v="0"/>
    <s v="DK2_Rural_WI"/>
    <x v="2"/>
    <x v="5"/>
    <n v="16.0105922641287"/>
    <n v="973.97769606782902"/>
    <n v="3506.3197058441901"/>
  </r>
  <r>
    <x v="0"/>
    <x v="0"/>
    <x v="0"/>
    <x v="0"/>
    <x v="1"/>
    <s v="DK2_Medium"/>
    <x v="0"/>
    <x v="0"/>
    <s v="DK2_Rural_WI"/>
    <x v="2"/>
    <x v="6"/>
    <n v="15.098596502248"/>
    <n v="918.49795388675"/>
    <n v="3306.5926339922999"/>
  </r>
  <r>
    <x v="0"/>
    <x v="0"/>
    <x v="0"/>
    <x v="0"/>
    <x v="1"/>
    <s v="DK2_Medium"/>
    <x v="0"/>
    <x v="0"/>
    <s v="DK2_Rural_WI"/>
    <x v="2"/>
    <x v="7"/>
    <n v="14.591932190092001"/>
    <n v="887.67587489726202"/>
    <n v="3195.63314963014"/>
  </r>
  <r>
    <x v="0"/>
    <x v="0"/>
    <x v="0"/>
    <x v="0"/>
    <x v="1"/>
    <s v="DK2_Medium"/>
    <x v="0"/>
    <x v="0"/>
    <s v="DK2_Rural_WI"/>
    <x v="2"/>
    <x v="8"/>
    <n v="14.3892664652296"/>
    <n v="875.34704330146701"/>
    <n v="3151.2493558852798"/>
  </r>
  <r>
    <x v="0"/>
    <x v="0"/>
    <x v="0"/>
    <x v="0"/>
    <x v="1"/>
    <s v="DK2_Medium"/>
    <x v="0"/>
    <x v="0"/>
    <s v="DK2_Rural_WI"/>
    <x v="2"/>
    <x v="9"/>
    <n v="13.4772707033488"/>
    <n v="819.86730112038799"/>
    <n v="2951.5222840334"/>
  </r>
  <r>
    <x v="0"/>
    <x v="0"/>
    <x v="0"/>
    <x v="0"/>
    <x v="1"/>
    <s v="DK2_Medium"/>
    <x v="0"/>
    <x v="0"/>
    <s v="DK2_Rural_WI"/>
    <x v="2"/>
    <x v="10"/>
    <n v="13.8826021530736"/>
    <n v="844.52496431197801"/>
    <n v="3040.2898715231199"/>
  </r>
  <r>
    <x v="0"/>
    <x v="0"/>
    <x v="0"/>
    <x v="0"/>
    <x v="1"/>
    <s v="DK2_Medium"/>
    <x v="0"/>
    <x v="0"/>
    <s v="DK2_Rural_WI"/>
    <x v="2"/>
    <x v="11"/>
    <n v="15.402595089541499"/>
    <n v="936.99120128044297"/>
    <n v="3373.1683246095999"/>
  </r>
  <r>
    <x v="0"/>
    <x v="0"/>
    <x v="0"/>
    <x v="0"/>
    <x v="1"/>
    <s v="DK2_Medium"/>
    <x v="0"/>
    <x v="0"/>
    <s v="DK2_Rural_WI"/>
    <x v="3"/>
    <x v="0"/>
    <n v="14.085267877935999"/>
    <n v="856.85379590777404"/>
    <n v="3084.6736652679901"/>
  </r>
  <r>
    <x v="0"/>
    <x v="0"/>
    <x v="0"/>
    <x v="0"/>
    <x v="1"/>
    <s v="DK2_Medium"/>
    <x v="0"/>
    <x v="0"/>
    <s v="DK2_Rural_WI"/>
    <x v="3"/>
    <x v="1"/>
    <n v="10.842616280137801"/>
    <n v="659.59249037504901"/>
    <n v="2374.5329653501799"/>
  </r>
  <r>
    <x v="0"/>
    <x v="0"/>
    <x v="0"/>
    <x v="0"/>
    <x v="1"/>
    <s v="DK2_Medium"/>
    <x v="0"/>
    <x v="0"/>
    <s v="DK2_Rural_WI"/>
    <x v="3"/>
    <x v="2"/>
    <n v="12.463942079036901"/>
    <n v="758.22314314141101"/>
    <n v="2729.6033153090798"/>
  </r>
  <r>
    <x v="0"/>
    <x v="0"/>
    <x v="0"/>
    <x v="0"/>
    <x v="1"/>
    <s v="DK2_Medium"/>
    <x v="0"/>
    <x v="0"/>
    <s v="DK2_Rural_WI"/>
    <x v="3"/>
    <x v="3"/>
    <n v="11.5519463171561"/>
    <n v="702.743400960332"/>
    <n v="2529.8762434572"/>
  </r>
  <r>
    <x v="0"/>
    <x v="0"/>
    <x v="0"/>
    <x v="0"/>
    <x v="1"/>
    <s v="DK2_Medium"/>
    <x v="0"/>
    <x v="0"/>
    <s v="DK2_Rural_WI"/>
    <x v="3"/>
    <x v="4"/>
    <n v="9.4239562061010709"/>
    <n v="573.29066920448201"/>
    <n v="2063.8464091361302"/>
  </r>
  <r>
    <x v="0"/>
    <x v="0"/>
    <x v="0"/>
    <x v="0"/>
    <x v="1"/>
    <s v="DK2_Medium"/>
    <x v="0"/>
    <x v="0"/>
    <s v="DK2_Rural_WI"/>
    <x v="3"/>
    <x v="5"/>
    <n v="7.4986318199083799"/>
    <n v="456.16676904442602"/>
    <n v="1642.20036855993"/>
  </r>
  <r>
    <x v="0"/>
    <x v="0"/>
    <x v="0"/>
    <x v="0"/>
    <x v="1"/>
    <s v="DK2_Medium"/>
    <x v="0"/>
    <x v="0"/>
    <s v="DK2_Rural_WI"/>
    <x v="3"/>
    <x v="6"/>
    <n v="4.8639773966973303"/>
    <n v="295.89195829908698"/>
    <n v="1065.2110498767099"/>
  </r>
  <r>
    <x v="0"/>
    <x v="0"/>
    <x v="0"/>
    <x v="0"/>
    <x v="1"/>
    <s v="DK2_Medium"/>
    <x v="0"/>
    <x v="0"/>
    <s v="DK2_Rural_WI"/>
    <x v="3"/>
    <x v="7"/>
    <n v="3.64798304752299"/>
    <n v="221.91896872431499"/>
    <n v="798.90828740753602"/>
  </r>
  <r>
    <x v="0"/>
    <x v="0"/>
    <x v="0"/>
    <x v="0"/>
    <x v="1"/>
    <s v="DK2_Medium"/>
    <x v="0"/>
    <x v="0"/>
    <s v="DK2_Rural_WI"/>
    <x v="3"/>
    <x v="8"/>
    <n v="2.73598728564225"/>
    <n v="166.439226543237"/>
    <n v="599.18121555565199"/>
  </r>
  <r>
    <x v="0"/>
    <x v="0"/>
    <x v="0"/>
    <x v="0"/>
    <x v="1"/>
    <s v="DK2_Medium"/>
    <x v="0"/>
    <x v="0"/>
    <s v="DK2_Rural_WI"/>
    <x v="3"/>
    <x v="9"/>
    <n v="2.0266572486238901"/>
    <n v="123.288315957953"/>
    <n v="443.83793744863101"/>
  </r>
  <r>
    <x v="0"/>
    <x v="0"/>
    <x v="0"/>
    <x v="0"/>
    <x v="1"/>
    <s v="DK2_Medium"/>
    <x v="0"/>
    <x v="0"/>
    <s v="DK2_Rural_WI"/>
    <x v="3"/>
    <x v="10"/>
    <n v="1.4186600740367199"/>
    <n v="86.301821170567095"/>
    <n v="310.68655621404201"/>
  </r>
  <r>
    <x v="0"/>
    <x v="0"/>
    <x v="0"/>
    <x v="0"/>
    <x v="1"/>
    <s v="DK2_Medium"/>
    <x v="0"/>
    <x v="0"/>
    <s v="DK2_Rural_WI"/>
    <x v="3"/>
    <x v="11"/>
    <n v="1.2159943491743299"/>
    <n v="73.972989574771802"/>
    <n v="266.30276246917902"/>
  </r>
  <r>
    <x v="0"/>
    <x v="0"/>
    <x v="0"/>
    <x v="0"/>
    <x v="1"/>
    <s v="DK2_Medium"/>
    <x v="0"/>
    <x v="0"/>
    <s v="DK2_Rural_WI"/>
    <x v="4"/>
    <x v="0"/>
    <n v="57.962397310643098"/>
    <n v="3526.0458363974599"/>
    <n v="12693.7650110308"/>
  </r>
  <r>
    <x v="0"/>
    <x v="0"/>
    <x v="0"/>
    <x v="0"/>
    <x v="1"/>
    <s v="DK2_Medium"/>
    <x v="0"/>
    <x v="0"/>
    <s v="DK2_Rural_WI"/>
    <x v="4"/>
    <x v="1"/>
    <n v="56.442404374175197"/>
    <n v="3433.5795994289902"/>
    <n v="12360.886557944399"/>
  </r>
  <r>
    <x v="0"/>
    <x v="0"/>
    <x v="0"/>
    <x v="0"/>
    <x v="1"/>
    <s v="DK2_Medium"/>
    <x v="0"/>
    <x v="0"/>
    <s v="DK2_Rural_WI"/>
    <x v="4"/>
    <x v="2"/>
    <n v="57.658398723349499"/>
    <n v="3507.5525890037602"/>
    <n v="12627.189320413599"/>
  </r>
  <r>
    <x v="0"/>
    <x v="0"/>
    <x v="0"/>
    <x v="0"/>
    <x v="1"/>
    <s v="DK2_Medium"/>
    <x v="0"/>
    <x v="0"/>
    <s v="DK2_Rural_WI"/>
    <x v="4"/>
    <x v="3"/>
    <n v="57.962397310643098"/>
    <n v="3526.0458363974599"/>
    <n v="12693.7650110308"/>
  </r>
  <r>
    <x v="0"/>
    <x v="0"/>
    <x v="0"/>
    <x v="0"/>
    <x v="1"/>
    <s v="DK2_Medium"/>
    <x v="0"/>
    <x v="0"/>
    <s v="DK2_Rural_WI"/>
    <x v="4"/>
    <x v="4"/>
    <n v="57.759731585780798"/>
    <n v="3513.7170048016601"/>
    <n v="12649.381217286"/>
  </r>
  <r>
    <x v="0"/>
    <x v="0"/>
    <x v="0"/>
    <x v="0"/>
    <x v="1"/>
    <s v="DK2_Medium"/>
    <x v="0"/>
    <x v="0"/>
    <s v="DK2_Rural_WI"/>
    <x v="4"/>
    <x v="5"/>
    <n v="61.914378945459703"/>
    <n v="3766.4580525154702"/>
    <n v="13559.248989055701"/>
  </r>
  <r>
    <x v="0"/>
    <x v="0"/>
    <x v="0"/>
    <x v="0"/>
    <x v="1"/>
    <s v="DK2_Medium"/>
    <x v="0"/>
    <x v="0"/>
    <s v="DK2_Rural_WI"/>
    <x v="4"/>
    <x v="6"/>
    <n v="63.535704744358803"/>
    <n v="3865.0887052818298"/>
    <n v="13914.319339014601"/>
  </r>
  <r>
    <x v="0"/>
    <x v="0"/>
    <x v="0"/>
    <x v="0"/>
    <x v="1"/>
    <s v="DK2_Medium"/>
    <x v="0"/>
    <x v="0"/>
    <s v="DK2_Rural_WI"/>
    <x v="4"/>
    <x v="7"/>
    <n v="64.447700506239599"/>
    <n v="3920.5684474629102"/>
    <n v="14114.0464108665"/>
  </r>
  <r>
    <x v="0"/>
    <x v="0"/>
    <x v="0"/>
    <x v="0"/>
    <x v="1"/>
    <s v="DK2_Medium"/>
    <x v="0"/>
    <x v="0"/>
    <s v="DK2_Rural_WI"/>
    <x v="4"/>
    <x v="8"/>
    <n v="66.373024892432298"/>
    <n v="4037.6923476229599"/>
    <n v="14535.692451442699"/>
  </r>
  <r>
    <x v="0"/>
    <x v="0"/>
    <x v="0"/>
    <x v="0"/>
    <x v="1"/>
    <s v="DK2_Medium"/>
    <x v="0"/>
    <x v="0"/>
    <s v="DK2_Rural_WI"/>
    <x v="4"/>
    <x v="9"/>
    <n v="67.994350691331405"/>
    <n v="4136.3230003893304"/>
    <n v="14890.762801401601"/>
  </r>
  <r>
    <x v="0"/>
    <x v="0"/>
    <x v="0"/>
    <x v="0"/>
    <x v="1"/>
    <s v="DK2_Medium"/>
    <x v="0"/>
    <x v="0"/>
    <s v="DK2_Rural_WI"/>
    <x v="4"/>
    <x v="10"/>
    <n v="69.413010765368099"/>
    <n v="4222.6248215598898"/>
    <n v="15201.4493576156"/>
  </r>
  <r>
    <x v="0"/>
    <x v="0"/>
    <x v="0"/>
    <x v="0"/>
    <x v="1"/>
    <s v="DK2_Medium"/>
    <x v="0"/>
    <x v="0"/>
    <s v="DK2_Rural_WI"/>
    <x v="4"/>
    <x v="11"/>
    <n v="72.351663775872694"/>
    <n v="4401.3928796989203"/>
    <n v="15845.014366916101"/>
  </r>
  <r>
    <x v="0"/>
    <x v="0"/>
    <x v="0"/>
    <x v="0"/>
    <x v="1"/>
    <s v="DK2_Medium"/>
    <x v="0"/>
    <x v="0"/>
    <s v="DK2_Rural_WI"/>
    <x v="5"/>
    <x v="0"/>
    <n v="18.239915237615001"/>
    <n v="1109.5948436215799"/>
    <n v="3994.5414370376802"/>
  </r>
  <r>
    <x v="0"/>
    <x v="0"/>
    <x v="0"/>
    <x v="0"/>
    <x v="1"/>
    <s v="DK2_Medium"/>
    <x v="0"/>
    <x v="0"/>
    <s v="DK2_Rural_WI"/>
    <x v="5"/>
    <x v="1"/>
    <n v="15.1999293646791"/>
    <n v="924.66236968464796"/>
    <n v="3328.7845308647302"/>
  </r>
  <r>
    <x v="0"/>
    <x v="0"/>
    <x v="0"/>
    <x v="0"/>
    <x v="1"/>
    <s v="DK2_Medium"/>
    <x v="0"/>
    <x v="0"/>
    <s v="DK2_Rural_WI"/>
    <x v="5"/>
    <x v="2"/>
    <n v="13.274604978486501"/>
    <n v="807.53846952459196"/>
    <n v="2907.1384902885302"/>
  </r>
  <r>
    <x v="0"/>
    <x v="0"/>
    <x v="0"/>
    <x v="0"/>
    <x v="1"/>
    <s v="DK2_Medium"/>
    <x v="0"/>
    <x v="0"/>
    <s v="DK2_Rural_WI"/>
    <x v="5"/>
    <x v="3"/>
    <n v="11.146614867431399"/>
    <n v="678.08573776874198"/>
    <n v="2441.10865596747"/>
  </r>
  <r>
    <x v="0"/>
    <x v="0"/>
    <x v="0"/>
    <x v="0"/>
    <x v="1"/>
    <s v="DK2_Medium"/>
    <x v="0"/>
    <x v="0"/>
    <s v="DK2_Rural_WI"/>
    <x v="5"/>
    <x v="4"/>
    <n v="8.9172918939450998"/>
    <n v="542.46859021499301"/>
    <n v="1952.8869247739799"/>
  </r>
  <r>
    <x v="0"/>
    <x v="0"/>
    <x v="0"/>
    <x v="0"/>
    <x v="1"/>
    <s v="DK2_Medium"/>
    <x v="0"/>
    <x v="0"/>
    <s v="DK2_Rural_WI"/>
    <x v="5"/>
    <x v="5"/>
    <n v="8.4106275817891305"/>
    <n v="511.64651122550498"/>
    <n v="1841.92744041182"/>
  </r>
  <r>
    <x v="0"/>
    <x v="0"/>
    <x v="0"/>
    <x v="0"/>
    <x v="1"/>
    <s v="DK2_Medium"/>
    <x v="0"/>
    <x v="0"/>
    <s v="DK2_Rural_WI"/>
    <x v="5"/>
    <x v="6"/>
    <n v="7.8026304072019599"/>
    <n v="474.66001643811899"/>
    <n v="1708.7760591772301"/>
  </r>
  <r>
    <x v="0"/>
    <x v="0"/>
    <x v="0"/>
    <x v="0"/>
    <x v="1"/>
    <s v="DK2_Medium"/>
    <x v="0"/>
    <x v="0"/>
    <s v="DK2_Rural_WI"/>
    <x v="5"/>
    <x v="7"/>
    <n v="7.4986318199083799"/>
    <n v="456.16676904442602"/>
    <n v="1642.20036855993"/>
  </r>
  <r>
    <x v="0"/>
    <x v="0"/>
    <x v="0"/>
    <x v="0"/>
    <x v="1"/>
    <s v="DK2_Medium"/>
    <x v="0"/>
    <x v="0"/>
    <s v="DK2_Rural_WI"/>
    <x v="5"/>
    <x v="8"/>
    <n v="6.8906346453212102"/>
    <n v="419.18027425704003"/>
    <n v="1509.04898732535"/>
  </r>
  <r>
    <x v="0"/>
    <x v="0"/>
    <x v="0"/>
    <x v="0"/>
    <x v="1"/>
    <s v="DK2_Medium"/>
    <x v="0"/>
    <x v="0"/>
    <s v="DK2_Rural_WI"/>
    <x v="5"/>
    <x v="9"/>
    <n v="6.8906346453212102"/>
    <n v="419.18027425704003"/>
    <n v="1509.04898732535"/>
  </r>
  <r>
    <x v="0"/>
    <x v="0"/>
    <x v="0"/>
    <x v="0"/>
    <x v="1"/>
    <s v="DK2_Medium"/>
    <x v="0"/>
    <x v="0"/>
    <s v="DK2_Rural_WI"/>
    <x v="5"/>
    <x v="10"/>
    <n v="7.4986318199083799"/>
    <n v="456.16676904442602"/>
    <n v="1642.20036855993"/>
  </r>
  <r>
    <x v="0"/>
    <x v="0"/>
    <x v="0"/>
    <x v="0"/>
    <x v="1"/>
    <s v="DK2_Medium"/>
    <x v="0"/>
    <x v="0"/>
    <s v="DK2_Rural_WI"/>
    <x v="5"/>
    <x v="11"/>
    <n v="10.842616280137801"/>
    <n v="659.59249037504901"/>
    <n v="2374.5329653501799"/>
  </r>
  <r>
    <x v="0"/>
    <x v="0"/>
    <x v="0"/>
    <x v="0"/>
    <x v="1"/>
    <s v="DK2_Medium"/>
    <x v="0"/>
    <x v="0"/>
    <s v="DK2_Rural_WI"/>
    <x v="6"/>
    <x v="0"/>
    <n v="5.4719745712844903"/>
    <n v="332.87845308647297"/>
    <n v="1198.3624311113001"/>
  </r>
  <r>
    <x v="0"/>
    <x v="0"/>
    <x v="0"/>
    <x v="0"/>
    <x v="1"/>
    <s v="DK2_Medium"/>
    <x v="0"/>
    <x v="0"/>
    <s v="DK2_Rural_WI"/>
    <x v="6"/>
    <x v="1"/>
    <n v="6.07997174587166"/>
    <n v="369.86494787385902"/>
    <n v="1331.5138123458901"/>
  </r>
  <r>
    <x v="0"/>
    <x v="0"/>
    <x v="0"/>
    <x v="0"/>
    <x v="1"/>
    <s v="DK2_Medium"/>
    <x v="0"/>
    <x v="0"/>
    <s v="DK2_Rural_WI"/>
    <x v="6"/>
    <x v="2"/>
    <n v="3.64798304752299"/>
    <n v="221.91896872431499"/>
    <n v="798.90828740753602"/>
  </r>
  <r>
    <x v="0"/>
    <x v="0"/>
    <x v="0"/>
    <x v="0"/>
    <x v="1"/>
    <s v="DK2_Medium"/>
    <x v="0"/>
    <x v="0"/>
    <s v="DK2_Rural_WI"/>
    <x v="6"/>
    <x v="3"/>
    <n v="3.1413187353670202"/>
    <n v="191.09688973482699"/>
    <n v="687.94880304537799"/>
  </r>
  <r>
    <x v="0"/>
    <x v="0"/>
    <x v="0"/>
    <x v="0"/>
    <x v="1"/>
    <s v="DK2_Medium"/>
    <x v="0"/>
    <x v="0"/>
    <s v="DK2_Rural_WI"/>
    <x v="6"/>
    <x v="4"/>
    <n v="3.44531732266061"/>
    <n v="209.59013712852001"/>
    <n v="754.52449366267297"/>
  </r>
  <r>
    <x v="0"/>
    <x v="0"/>
    <x v="0"/>
    <x v="0"/>
    <x v="1"/>
    <s v="DK2_Medium"/>
    <x v="0"/>
    <x v="0"/>
    <s v="DK2_Rural_WI"/>
    <x v="6"/>
    <x v="5"/>
    <n v="1.9253243861926901"/>
    <n v="117.123900160055"/>
    <n v="421.64604057619903"/>
  </r>
  <r>
    <x v="0"/>
    <x v="0"/>
    <x v="0"/>
    <x v="0"/>
    <x v="1"/>
    <s v="DK2_Medium"/>
    <x v="0"/>
    <x v="0"/>
    <s v="DK2_Rural_WI"/>
    <x v="6"/>
    <x v="6"/>
    <n v="2.0266572486238901"/>
    <n v="123.288315957953"/>
    <n v="443.83793744863101"/>
  </r>
  <r>
    <x v="0"/>
    <x v="0"/>
    <x v="0"/>
    <x v="0"/>
    <x v="1"/>
    <s v="DK2_Medium"/>
    <x v="0"/>
    <x v="0"/>
    <s v="DK2_Rural_WI"/>
    <x v="6"/>
    <x v="7"/>
    <n v="1.4186600740367199"/>
    <n v="86.301821170567095"/>
    <n v="310.68655621404201"/>
  </r>
  <r>
    <x v="0"/>
    <x v="0"/>
    <x v="0"/>
    <x v="0"/>
    <x v="1"/>
    <s v="DK2_Medium"/>
    <x v="0"/>
    <x v="0"/>
    <s v="DK2_Rural_WI"/>
    <x v="6"/>
    <x v="8"/>
    <n v="1.6213257988991101"/>
    <n v="98.630652766362502"/>
    <n v="355.07034995890501"/>
  </r>
  <r>
    <x v="0"/>
    <x v="0"/>
    <x v="0"/>
    <x v="0"/>
    <x v="1"/>
    <s v="DK2_Medium"/>
    <x v="0"/>
    <x v="0"/>
    <s v="DK2_Rural_WI"/>
    <x v="6"/>
    <x v="9"/>
    <n v="1.3173272116055299"/>
    <n v="80.137405372669505"/>
    <n v="288.49465934160997"/>
  </r>
  <r>
    <x v="0"/>
    <x v="0"/>
    <x v="0"/>
    <x v="0"/>
    <x v="1"/>
    <s v="DK2_Medium"/>
    <x v="0"/>
    <x v="0"/>
    <s v="DK2_Rural_WI"/>
    <x v="6"/>
    <x v="10"/>
    <n v="1.2159943491743299"/>
    <n v="73.972989574771802"/>
    <n v="266.30276246917902"/>
  </r>
  <r>
    <x v="0"/>
    <x v="0"/>
    <x v="0"/>
    <x v="0"/>
    <x v="1"/>
    <s v="DK2_Medium"/>
    <x v="0"/>
    <x v="0"/>
    <s v="DK2_Rural_WI"/>
    <x v="6"/>
    <x v="11"/>
    <n v="1.7226586613303001"/>
    <n v="104.79506856426001"/>
    <n v="377.26224683133597"/>
  </r>
  <r>
    <x v="0"/>
    <x v="0"/>
    <x v="0"/>
    <x v="0"/>
    <x v="1"/>
    <s v="DK2_Medium"/>
    <x v="0"/>
    <x v="0"/>
    <s v="DK2_Rural_WI"/>
    <x v="7"/>
    <x v="0"/>
    <n v="69.717009352661705"/>
    <n v="4241.1180689535904"/>
    <n v="15268.025048232899"/>
  </r>
  <r>
    <x v="0"/>
    <x v="0"/>
    <x v="0"/>
    <x v="0"/>
    <x v="1"/>
    <s v="DK2_Medium"/>
    <x v="0"/>
    <x v="0"/>
    <s v="DK2_Rural_WI"/>
    <x v="7"/>
    <x v="1"/>
    <n v="69.2103450405057"/>
    <n v="4210.2959899641"/>
    <n v="15157.065563870799"/>
  </r>
  <r>
    <x v="0"/>
    <x v="0"/>
    <x v="0"/>
    <x v="0"/>
    <x v="1"/>
    <s v="DK2_Medium"/>
    <x v="0"/>
    <x v="0"/>
    <s v="DK2_Rural_WI"/>
    <x v="7"/>
    <x v="2"/>
    <n v="66.778356342156997"/>
    <n v="4062.3500108145499"/>
    <n v="14624.4600389324"/>
  </r>
  <r>
    <x v="0"/>
    <x v="0"/>
    <x v="0"/>
    <x v="0"/>
    <x v="1"/>
    <s v="DK2_Medium"/>
    <x v="0"/>
    <x v="0"/>
    <s v="DK2_Rural_WI"/>
    <x v="7"/>
    <x v="3"/>
    <n v="57.354400136056"/>
    <n v="3489.0593416100701"/>
    <n v="12560.6136297963"/>
  </r>
  <r>
    <x v="0"/>
    <x v="0"/>
    <x v="0"/>
    <x v="0"/>
    <x v="1"/>
    <s v="DK2_Medium"/>
    <x v="0"/>
    <x v="0"/>
    <s v="DK2_Rural_WI"/>
    <x v="7"/>
    <x v="4"/>
    <n v="44.991790919450303"/>
    <n v="2737.0006142665602"/>
    <n v="9853.2022113596104"/>
  </r>
  <r>
    <x v="0"/>
    <x v="0"/>
    <x v="0"/>
    <x v="0"/>
    <x v="1"/>
    <s v="DK2_Medium"/>
    <x v="0"/>
    <x v="0"/>
    <s v="DK2_Rural_WI"/>
    <x v="7"/>
    <x v="5"/>
    <n v="34.757171813899603"/>
    <n v="2114.3946186788899"/>
    <n v="7611.8206272440202"/>
  </r>
  <r>
    <x v="0"/>
    <x v="0"/>
    <x v="0"/>
    <x v="0"/>
    <x v="1"/>
    <s v="DK2_Medium"/>
    <x v="0"/>
    <x v="0"/>
    <s v="DK2_Rural_WI"/>
    <x v="7"/>
    <x v="6"/>
    <n v="29.183864380184001"/>
    <n v="1775.3517497945199"/>
    <n v="6391.26629926029"/>
  </r>
  <r>
    <x v="0"/>
    <x v="0"/>
    <x v="0"/>
    <x v="0"/>
    <x v="1"/>
    <s v="DK2_Medium"/>
    <x v="0"/>
    <x v="0"/>
    <s v="DK2_Rural_WI"/>
    <x v="7"/>
    <x v="7"/>
    <n v="27.258539993991299"/>
    <n v="1658.22784963447"/>
    <n v="5969.62025868409"/>
  </r>
  <r>
    <x v="0"/>
    <x v="0"/>
    <x v="0"/>
    <x v="0"/>
    <x v="1"/>
    <s v="DK2_Medium"/>
    <x v="0"/>
    <x v="0"/>
    <s v="DK2_Rural_WI"/>
    <x v="7"/>
    <x v="8"/>
    <n v="27.9678700310096"/>
    <n v="1701.3787602197499"/>
    <n v="6124.9635367911096"/>
  </r>
  <r>
    <x v="0"/>
    <x v="0"/>
    <x v="0"/>
    <x v="0"/>
    <x v="1"/>
    <s v="DK2_Medium"/>
    <x v="0"/>
    <x v="0"/>
    <s v="DK2_Rural_WI"/>
    <x v="7"/>
    <x v="9"/>
    <n v="27.8665371685784"/>
    <n v="1695.21434442185"/>
    <n v="6102.7716399186802"/>
  </r>
  <r>
    <x v="0"/>
    <x v="0"/>
    <x v="0"/>
    <x v="0"/>
    <x v="1"/>
    <s v="DK2_Medium"/>
    <x v="0"/>
    <x v="0"/>
    <s v="DK2_Rural_WI"/>
    <x v="7"/>
    <x v="10"/>
    <n v="40.735810697340099"/>
    <n v="2478.0951507548598"/>
    <n v="8921.14254271748"/>
  </r>
  <r>
    <x v="0"/>
    <x v="0"/>
    <x v="0"/>
    <x v="0"/>
    <x v="1"/>
    <s v="DK2_Medium"/>
    <x v="0"/>
    <x v="0"/>
    <s v="DK2_Rural_WI"/>
    <x v="7"/>
    <x v="11"/>
    <n v="48.133109654817297"/>
    <n v="2928.09750400138"/>
    <n v="10541.151014405001"/>
  </r>
  <r>
    <x v="0"/>
    <x v="0"/>
    <x v="0"/>
    <x v="0"/>
    <x v="1"/>
    <s v="DK2_Medium"/>
    <x v="0"/>
    <x v="0"/>
    <s v="DK2_Rural_WI"/>
    <x v="8"/>
    <x v="0"/>
    <n v="1.8239915237615001"/>
    <n v="110.95948436215799"/>
    <n v="399.45414370376801"/>
  </r>
  <r>
    <x v="0"/>
    <x v="0"/>
    <x v="0"/>
    <x v="0"/>
    <x v="1"/>
    <s v="DK2_Medium"/>
    <x v="0"/>
    <x v="0"/>
    <s v="DK2_Rural_WI"/>
    <x v="8"/>
    <x v="1"/>
    <n v="1.4186600740367199"/>
    <n v="86.301821170567095"/>
    <n v="310.68655621404201"/>
  </r>
  <r>
    <x v="0"/>
    <x v="0"/>
    <x v="0"/>
    <x v="0"/>
    <x v="1"/>
    <s v="DK2_Medium"/>
    <x v="0"/>
    <x v="0"/>
    <s v="DK2_Rural_WI"/>
    <x v="8"/>
    <x v="2"/>
    <n v="2.8373201480734398"/>
    <n v="172.60364234113399"/>
    <n v="621.373112428083"/>
  </r>
  <r>
    <x v="0"/>
    <x v="0"/>
    <x v="0"/>
    <x v="0"/>
    <x v="1"/>
    <s v="DK2_Medium"/>
    <x v="0"/>
    <x v="0"/>
    <s v="DK2_Rural_WI"/>
    <x v="8"/>
    <x v="3"/>
    <n v="6.68796892045882"/>
    <n v="406.85144266124502"/>
    <n v="1464.66519358048"/>
  </r>
  <r>
    <x v="0"/>
    <x v="0"/>
    <x v="0"/>
    <x v="0"/>
    <x v="1"/>
    <s v="DK2_Medium"/>
    <x v="0"/>
    <x v="0"/>
    <s v="DK2_Rural_WI"/>
    <x v="8"/>
    <x v="4"/>
    <n v="9.5252890685322598"/>
    <n v="579.45508500237895"/>
    <n v="2086.0383060085701"/>
  </r>
  <r>
    <x v="0"/>
    <x v="0"/>
    <x v="0"/>
    <x v="0"/>
    <x v="1"/>
    <s v="DK2_Medium"/>
    <x v="0"/>
    <x v="0"/>
    <s v="DK2_Rural_WI"/>
    <x v="8"/>
    <x v="5"/>
    <n v="10.1332862431194"/>
    <n v="616.441579789765"/>
    <n v="2219.1896872431498"/>
  </r>
  <r>
    <x v="0"/>
    <x v="0"/>
    <x v="0"/>
    <x v="0"/>
    <x v="1"/>
    <s v="DK2_Medium"/>
    <x v="0"/>
    <x v="0"/>
    <s v="DK2_Rural_WI"/>
    <x v="8"/>
    <x v="6"/>
    <n v="6.9919675077524097"/>
    <n v="425.34469005493798"/>
    <n v="1531.2408841977799"/>
  </r>
  <r>
    <x v="0"/>
    <x v="0"/>
    <x v="0"/>
    <x v="0"/>
    <x v="1"/>
    <s v="DK2_Medium"/>
    <x v="0"/>
    <x v="0"/>
    <s v="DK2_Rural_WI"/>
    <x v="8"/>
    <x v="7"/>
    <n v="7.5999646823395697"/>
    <n v="462.33118484232398"/>
    <n v="1664.3922654323701"/>
  </r>
  <r>
    <x v="0"/>
    <x v="0"/>
    <x v="0"/>
    <x v="0"/>
    <x v="1"/>
    <s v="DK2_Medium"/>
    <x v="0"/>
    <x v="0"/>
    <s v="DK2_Rural_WI"/>
    <x v="8"/>
    <x v="8"/>
    <n v="5.8773060210092698"/>
    <n v="357.53611627806401"/>
    <n v="1287.1300186010301"/>
  </r>
  <r>
    <x v="0"/>
    <x v="0"/>
    <x v="0"/>
    <x v="0"/>
    <x v="1"/>
    <s v="DK2_Medium"/>
    <x v="0"/>
    <x v="0"/>
    <s v="DK2_Rural_WI"/>
    <x v="8"/>
    <x v="9"/>
    <n v="8.9172918939450998"/>
    <n v="542.46859021499301"/>
    <n v="1952.8869247739799"/>
  </r>
  <r>
    <x v="0"/>
    <x v="0"/>
    <x v="0"/>
    <x v="0"/>
    <x v="1"/>
    <s v="DK2_Medium"/>
    <x v="0"/>
    <x v="0"/>
    <s v="DK2_Rural_WI"/>
    <x v="8"/>
    <x v="10"/>
    <n v="16.719922301147101"/>
    <n v="1017.12860665311"/>
    <n v="3661.6629839512102"/>
  </r>
  <r>
    <x v="0"/>
    <x v="0"/>
    <x v="0"/>
    <x v="0"/>
    <x v="1"/>
    <s v="DK2_Medium"/>
    <x v="0"/>
    <x v="0"/>
    <s v="DK2_Rural_WI"/>
    <x v="8"/>
    <x v="11"/>
    <n v="16.618589438715901"/>
    <n v="1010.96419085522"/>
    <n v="3639.4710870787699"/>
  </r>
  <r>
    <x v="0"/>
    <x v="0"/>
    <x v="0"/>
    <x v="0"/>
    <x v="1"/>
    <s v="DK2_Medium"/>
    <x v="0"/>
    <x v="0"/>
    <s v="DK2_Rural_WI"/>
    <x v="9"/>
    <x v="0"/>
    <n v="63.637037606790003"/>
    <n v="3871.2531210797301"/>
    <n v="13936.511235886999"/>
  </r>
  <r>
    <x v="0"/>
    <x v="0"/>
    <x v="0"/>
    <x v="0"/>
    <x v="1"/>
    <s v="DK2_Medium"/>
    <x v="0"/>
    <x v="0"/>
    <s v="DK2_Rural_WI"/>
    <x v="9"/>
    <x v="1"/>
    <n v="64.143701918945993"/>
    <n v="3902.07520006921"/>
    <n v="14047.470720249201"/>
  </r>
  <r>
    <x v="0"/>
    <x v="0"/>
    <x v="0"/>
    <x v="0"/>
    <x v="1"/>
    <s v="DK2_Medium"/>
    <x v="0"/>
    <x v="0"/>
    <s v="DK2_Rural_WI"/>
    <x v="9"/>
    <x v="2"/>
    <n v="61.509047495734897"/>
    <n v="3741.8003893238701"/>
    <n v="13470.481401565999"/>
  </r>
  <r>
    <x v="0"/>
    <x v="0"/>
    <x v="0"/>
    <x v="0"/>
    <x v="1"/>
    <s v="DK2_Medium"/>
    <x v="0"/>
    <x v="0"/>
    <s v="DK2_Rural_WI"/>
    <x v="9"/>
    <x v="3"/>
    <n v="57.759731585780798"/>
    <n v="3513.7170048016601"/>
    <n v="12649.381217286"/>
  </r>
  <r>
    <x v="0"/>
    <x v="0"/>
    <x v="0"/>
    <x v="0"/>
    <x v="1"/>
    <s v="DK2_Medium"/>
    <x v="0"/>
    <x v="0"/>
    <s v="DK2_Rural_WI"/>
    <x v="9"/>
    <x v="4"/>
    <n v="57.4557329984872"/>
    <n v="3495.22375740797"/>
    <n v="12582.805526668701"/>
  </r>
  <r>
    <x v="0"/>
    <x v="0"/>
    <x v="0"/>
    <x v="0"/>
    <x v="1"/>
    <s v="DK2_Medium"/>
    <x v="0"/>
    <x v="0"/>
    <s v="DK2_Rural_WI"/>
    <x v="9"/>
    <x v="5"/>
    <n v="55.8344071995881"/>
    <n v="3396.5931046416099"/>
    <n v="12227.735176709801"/>
  </r>
  <r>
    <x v="0"/>
    <x v="0"/>
    <x v="0"/>
    <x v="0"/>
    <x v="1"/>
    <s v="DK2_Medium"/>
    <x v="0"/>
    <x v="0"/>
    <s v="DK2_Rural_WI"/>
    <x v="9"/>
    <x v="6"/>
    <n v="55.6317414747257"/>
    <n v="3384.2642730458101"/>
    <n v="12183.3513829649"/>
  </r>
  <r>
    <x v="0"/>
    <x v="0"/>
    <x v="0"/>
    <x v="0"/>
    <x v="1"/>
    <s v="DK2_Medium"/>
    <x v="0"/>
    <x v="0"/>
    <s v="DK2_Rural_WI"/>
    <x v="9"/>
    <x v="7"/>
    <n v="51.679759839909103"/>
    <n v="3143.8520569277998"/>
    <n v="11317.8674049401"/>
  </r>
  <r>
    <x v="0"/>
    <x v="0"/>
    <x v="0"/>
    <x v="0"/>
    <x v="1"/>
    <s v="DK2_Medium"/>
    <x v="0"/>
    <x v="0"/>
    <s v="DK2_Rural_WI"/>
    <x v="9"/>
    <x v="8"/>
    <n v="54.517079987982498"/>
    <n v="3316.45569926894"/>
    <n v="11939.2405173682"/>
  </r>
  <r>
    <x v="0"/>
    <x v="0"/>
    <x v="0"/>
    <x v="0"/>
    <x v="1"/>
    <s v="DK2_Medium"/>
    <x v="0"/>
    <x v="0"/>
    <s v="DK2_Rural_WI"/>
    <x v="9"/>
    <x v="9"/>
    <n v="59.1783916598175"/>
    <n v="3600.0188259722299"/>
    <n v="12960.067773500001"/>
  </r>
  <r>
    <x v="0"/>
    <x v="0"/>
    <x v="0"/>
    <x v="0"/>
    <x v="1"/>
    <s v="DK2_Medium"/>
    <x v="0"/>
    <x v="0"/>
    <s v="DK2_Rural_WI"/>
    <x v="9"/>
    <x v="10"/>
    <n v="62.826374707340499"/>
    <n v="3821.9377946965501"/>
    <n v="13758.9760609076"/>
  </r>
  <r>
    <x v="0"/>
    <x v="0"/>
    <x v="0"/>
    <x v="0"/>
    <x v="1"/>
    <s v="DK2_Medium"/>
    <x v="0"/>
    <x v="0"/>
    <s v="DK2_Rural_WI"/>
    <x v="9"/>
    <x v="11"/>
    <n v="61.509047495734897"/>
    <n v="3741.8003893238701"/>
    <n v="13470.481401565999"/>
  </r>
  <r>
    <x v="0"/>
    <x v="0"/>
    <x v="0"/>
    <x v="0"/>
    <x v="1"/>
    <s v="DK2_Medium"/>
    <x v="0"/>
    <x v="0"/>
    <s v="DK2_Rural_WI"/>
    <x v="10"/>
    <x v="0"/>
    <n v="61.306381770872498"/>
    <n v="3729.4715577280799"/>
    <n v="13426.097607821101"/>
  </r>
  <r>
    <x v="0"/>
    <x v="0"/>
    <x v="0"/>
    <x v="0"/>
    <x v="1"/>
    <s v="DK2_Medium"/>
    <x v="0"/>
    <x v="0"/>
    <s v="DK2_Rural_WI"/>
    <x v="10"/>
    <x v="1"/>
    <n v="64.042369056514801"/>
    <n v="3895.9107842713202"/>
    <n v="14025.278823376701"/>
  </r>
  <r>
    <x v="0"/>
    <x v="0"/>
    <x v="0"/>
    <x v="0"/>
    <x v="1"/>
    <s v="DK2_Medium"/>
    <x v="0"/>
    <x v="0"/>
    <s v="DK2_Rural_WI"/>
    <x v="10"/>
    <x v="2"/>
    <n v="63.434371881927603"/>
    <n v="3858.9242894839299"/>
    <n v="13892.1274421422"/>
  </r>
  <r>
    <x v="0"/>
    <x v="0"/>
    <x v="0"/>
    <x v="0"/>
    <x v="1"/>
    <s v="DK2_Medium"/>
    <x v="0"/>
    <x v="0"/>
    <s v="DK2_Rural_WI"/>
    <x v="10"/>
    <x v="3"/>
    <n v="62.218377532753301"/>
    <n v="3784.9512999091598"/>
    <n v="13625.824679673"/>
  </r>
  <r>
    <x v="0"/>
    <x v="0"/>
    <x v="0"/>
    <x v="0"/>
    <x v="1"/>
    <s v="DK2_Medium"/>
    <x v="0"/>
    <x v="0"/>
    <s v="DK2_Rural_WI"/>
    <x v="10"/>
    <x v="4"/>
    <n v="58.367728760367903"/>
    <n v="3550.7034995890499"/>
    <n v="12782.5325985206"/>
  </r>
  <r>
    <x v="0"/>
    <x v="0"/>
    <x v="0"/>
    <x v="0"/>
    <x v="1"/>
    <s v="DK2_Medium"/>
    <x v="0"/>
    <x v="0"/>
    <s v="DK2_Rural_WI"/>
    <x v="10"/>
    <x v="5"/>
    <n v="61.407714633303698"/>
    <n v="3735.6359735259798"/>
    <n v="13448.289504693499"/>
  </r>
  <r>
    <x v="0"/>
    <x v="0"/>
    <x v="0"/>
    <x v="0"/>
    <x v="1"/>
    <s v="DK2_Medium"/>
    <x v="0"/>
    <x v="0"/>
    <s v="DK2_Rural_WI"/>
    <x v="10"/>
    <x v="6"/>
    <n v="56.341071511743998"/>
    <n v="3427.4151836310898"/>
    <n v="12338.694661071901"/>
  </r>
  <r>
    <x v="0"/>
    <x v="0"/>
    <x v="0"/>
    <x v="0"/>
    <x v="1"/>
    <s v="DK2_Medium"/>
    <x v="0"/>
    <x v="0"/>
    <s v="DK2_Rural_WI"/>
    <x v="10"/>
    <x v="7"/>
    <n v="49.450436866422798"/>
    <n v="3008.2349093740499"/>
    <n v="10829.6456737466"/>
  </r>
  <r>
    <x v="0"/>
    <x v="0"/>
    <x v="0"/>
    <x v="0"/>
    <x v="1"/>
    <s v="DK2_Medium"/>
    <x v="0"/>
    <x v="0"/>
    <s v="DK2_Rural_WI"/>
    <x v="10"/>
    <x v="8"/>
    <n v="44.383793744863098"/>
    <n v="2700.0141194791699"/>
    <n v="9720.0508301250193"/>
  </r>
  <r>
    <x v="0"/>
    <x v="0"/>
    <x v="0"/>
    <x v="0"/>
    <x v="1"/>
    <s v="DK2_Medium"/>
    <x v="0"/>
    <x v="0"/>
    <s v="DK2_Rural_WI"/>
    <x v="10"/>
    <x v="9"/>
    <n v="39.215817760872199"/>
    <n v="2385.6289137863901"/>
    <n v="8588.2640896310095"/>
  </r>
  <r>
    <x v="0"/>
    <x v="0"/>
    <x v="0"/>
    <x v="0"/>
    <x v="1"/>
    <s v="DK2_Medium"/>
    <x v="0"/>
    <x v="0"/>
    <s v="DK2_Rural_WI"/>
    <x v="10"/>
    <x v="10"/>
    <n v="37.695824824404298"/>
    <n v="2293.1626768179299"/>
    <n v="8255.3856365445408"/>
  </r>
  <r>
    <x v="0"/>
    <x v="0"/>
    <x v="0"/>
    <x v="0"/>
    <x v="1"/>
    <s v="DK2_Medium"/>
    <x v="0"/>
    <x v="0"/>
    <s v="DK2_Rural_WI"/>
    <x v="10"/>
    <x v="11"/>
    <n v="44.282460882431899"/>
    <n v="2693.8497036812701"/>
    <n v="9697.8589332525898"/>
  </r>
  <r>
    <x v="0"/>
    <x v="0"/>
    <x v="0"/>
    <x v="0"/>
    <x v="1"/>
    <s v="DK2_Medium"/>
    <x v="0"/>
    <x v="0"/>
    <s v="DK2_Rural_WI"/>
    <x v="11"/>
    <x v="0"/>
    <n v="59.989054559266997"/>
    <n v="3649.33415235541"/>
    <n v="13137.6029484795"/>
  </r>
  <r>
    <x v="0"/>
    <x v="0"/>
    <x v="0"/>
    <x v="0"/>
    <x v="1"/>
    <s v="DK2_Medium"/>
    <x v="0"/>
    <x v="0"/>
    <s v="DK2_Rural_WI"/>
    <x v="11"/>
    <x v="1"/>
    <n v="61.306381770872498"/>
    <n v="3729.4715577280799"/>
    <n v="13426.097607821101"/>
  </r>
  <r>
    <x v="0"/>
    <x v="0"/>
    <x v="0"/>
    <x v="0"/>
    <x v="1"/>
    <s v="DK2_Medium"/>
    <x v="0"/>
    <x v="0"/>
    <s v="DK2_Rural_WI"/>
    <x v="11"/>
    <x v="2"/>
    <n v="62.927707569771698"/>
    <n v="3828.10221049444"/>
    <n v="13781.167957780001"/>
  </r>
  <r>
    <x v="0"/>
    <x v="0"/>
    <x v="0"/>
    <x v="0"/>
    <x v="1"/>
    <s v="DK2_Medium"/>
    <x v="0"/>
    <x v="0"/>
    <s v="DK2_Rural_WI"/>
    <x v="11"/>
    <x v="3"/>
    <n v="60.293053146560602"/>
    <n v="3667.8273997491001"/>
    <n v="13204.178639096801"/>
  </r>
  <r>
    <x v="0"/>
    <x v="0"/>
    <x v="0"/>
    <x v="0"/>
    <x v="1"/>
    <s v="DK2_Medium"/>
    <x v="0"/>
    <x v="0"/>
    <s v="DK2_Rural_WI"/>
    <x v="11"/>
    <x v="4"/>
    <n v="71.135669426698399"/>
    <n v="4327.4198901241498"/>
    <n v="15578.7116044469"/>
  </r>
  <r>
    <x v="0"/>
    <x v="0"/>
    <x v="0"/>
    <x v="0"/>
    <x v="1"/>
    <s v="DK2_Medium"/>
    <x v="0"/>
    <x v="0"/>
    <s v="DK2_Rural_WI"/>
    <x v="11"/>
    <x v="5"/>
    <n v="78.634301246606796"/>
    <n v="4783.5866591685799"/>
    <n v="17220.9119730069"/>
  </r>
  <r>
    <x v="0"/>
    <x v="0"/>
    <x v="0"/>
    <x v="0"/>
    <x v="1"/>
    <s v="DK2_Medium"/>
    <x v="0"/>
    <x v="0"/>
    <s v="DK2_Rural_WI"/>
    <x v="11"/>
    <x v="6"/>
    <n v="83.295612918441705"/>
    <n v="5067.1497858718703"/>
    <n v="18241.7392291387"/>
  </r>
  <r>
    <x v="0"/>
    <x v="0"/>
    <x v="0"/>
    <x v="0"/>
    <x v="1"/>
    <s v="DK2_Medium"/>
    <x v="0"/>
    <x v="0"/>
    <s v="DK2_Rural_WI"/>
    <x v="11"/>
    <x v="7"/>
    <n v="89.882248976469299"/>
    <n v="5467.8368127352196"/>
    <n v="19684.2125258468"/>
  </r>
  <r>
    <x v="0"/>
    <x v="0"/>
    <x v="0"/>
    <x v="0"/>
    <x v="1"/>
    <s v="DK2_Medium"/>
    <x v="0"/>
    <x v="0"/>
    <s v="DK2_Rural_WI"/>
    <x v="11"/>
    <x v="8"/>
    <n v="93.327566299129899"/>
    <n v="5677.4269498637404"/>
    <n v="20438.737019509499"/>
  </r>
  <r>
    <x v="0"/>
    <x v="0"/>
    <x v="0"/>
    <x v="0"/>
    <x v="1"/>
    <s v="DK2_Medium"/>
    <x v="0"/>
    <x v="0"/>
    <s v="DK2_Rural_WI"/>
    <x v="11"/>
    <x v="9"/>
    <n v="92.719569124542801"/>
    <n v="5640.4404550763502"/>
    <n v="20305.585638274901"/>
  </r>
  <r>
    <x v="0"/>
    <x v="0"/>
    <x v="0"/>
    <x v="0"/>
    <x v="1"/>
    <s v="DK2_Medium"/>
    <x v="0"/>
    <x v="0"/>
    <s v="DK2_Rural_WI"/>
    <x v="11"/>
    <x v="10"/>
    <n v="90.084914701331698"/>
    <n v="5480.1656443310103"/>
    <n v="19728.596319591699"/>
  </r>
  <r>
    <x v="0"/>
    <x v="0"/>
    <x v="0"/>
    <x v="0"/>
    <x v="1"/>
    <s v="DK2_Medium"/>
    <x v="0"/>
    <x v="0"/>
    <s v="DK2_Rural_WI"/>
    <x v="11"/>
    <x v="11"/>
    <n v="83.700944368166503"/>
    <n v="5091.8074490634599"/>
    <n v="18330.506816628498"/>
  </r>
  <r>
    <x v="0"/>
    <x v="0"/>
    <x v="0"/>
    <x v="0"/>
    <x v="1"/>
    <s v="DK2_Rural"/>
    <x v="1"/>
    <x v="1"/>
    <s v="SolarPV-50"/>
    <x v="0"/>
    <x v="0"/>
    <n v="2060.8771810930202"/>
    <n v="125370.02851649201"/>
    <n v="451332.10265937098"/>
  </r>
  <r>
    <x v="0"/>
    <x v="0"/>
    <x v="0"/>
    <x v="0"/>
    <x v="1"/>
    <s v="DK2_Rural"/>
    <x v="1"/>
    <x v="1"/>
    <s v="SolarPV-50"/>
    <x v="0"/>
    <x v="1"/>
    <n v="2005.1724318173101"/>
    <n v="121981.32293555301"/>
    <n v="439132.76256798999"/>
  </r>
  <r>
    <x v="0"/>
    <x v="0"/>
    <x v="0"/>
    <x v="0"/>
    <x v="1"/>
    <s v="DK2_Rural"/>
    <x v="1"/>
    <x v="1"/>
    <s v="SolarPV-50"/>
    <x v="0"/>
    <x v="2"/>
    <n v="1968.2000715680299"/>
    <n v="119732.17102038801"/>
    <n v="431035.81567339803"/>
  </r>
  <r>
    <x v="0"/>
    <x v="0"/>
    <x v="0"/>
    <x v="0"/>
    <x v="1"/>
    <s v="DK2_Rural"/>
    <x v="1"/>
    <x v="1"/>
    <s v="SolarPV-50"/>
    <x v="0"/>
    <x v="3"/>
    <n v="2003.9880516988601"/>
    <n v="121909.273145014"/>
    <n v="438873.38332205103"/>
  </r>
  <r>
    <x v="0"/>
    <x v="0"/>
    <x v="0"/>
    <x v="0"/>
    <x v="1"/>
    <s v="DK2_Rural"/>
    <x v="1"/>
    <x v="1"/>
    <s v="SolarPV-50"/>
    <x v="0"/>
    <x v="4"/>
    <n v="2042.0930781746099"/>
    <n v="124227.328922289"/>
    <n v="447218.38412023999"/>
  </r>
  <r>
    <x v="0"/>
    <x v="0"/>
    <x v="0"/>
    <x v="0"/>
    <x v="1"/>
    <s v="DK2_Rural"/>
    <x v="1"/>
    <x v="1"/>
    <s v="SolarPV-50"/>
    <x v="0"/>
    <x v="5"/>
    <n v="2086.6021046998799"/>
    <n v="126934.961369243"/>
    <n v="456965.86092927301"/>
  </r>
  <r>
    <x v="0"/>
    <x v="0"/>
    <x v="0"/>
    <x v="0"/>
    <x v="1"/>
    <s v="DK2_Rural"/>
    <x v="1"/>
    <x v="1"/>
    <s v="SolarPV-50"/>
    <x v="0"/>
    <x v="6"/>
    <n v="2282.1926382060801"/>
    <n v="138833.38549086999"/>
    <n v="499800.18776713102"/>
  </r>
  <r>
    <x v="0"/>
    <x v="0"/>
    <x v="0"/>
    <x v="0"/>
    <x v="1"/>
    <s v="DK2_Rural"/>
    <x v="1"/>
    <x v="1"/>
    <s v="SolarPV-50"/>
    <x v="0"/>
    <x v="7"/>
    <n v="2587.2050302142102"/>
    <n v="157388.30600469801"/>
    <n v="566597.90161691199"/>
  </r>
  <r>
    <x v="0"/>
    <x v="0"/>
    <x v="0"/>
    <x v="0"/>
    <x v="1"/>
    <s v="DK2_Rural"/>
    <x v="1"/>
    <x v="1"/>
    <s v="SolarPV-50"/>
    <x v="0"/>
    <x v="8"/>
    <n v="2731.8908415214"/>
    <n v="166190.026192552"/>
    <n v="598284.09429318702"/>
  </r>
  <r>
    <x v="0"/>
    <x v="0"/>
    <x v="0"/>
    <x v="0"/>
    <x v="1"/>
    <s v="DK2_Rural"/>
    <x v="1"/>
    <x v="1"/>
    <s v="SolarPV-50"/>
    <x v="0"/>
    <x v="9"/>
    <n v="2838.8282426957799"/>
    <n v="172695.384763993"/>
    <n v="621703.38515037496"/>
  </r>
  <r>
    <x v="0"/>
    <x v="0"/>
    <x v="0"/>
    <x v="0"/>
    <x v="1"/>
    <s v="DK2_Rural"/>
    <x v="1"/>
    <x v="1"/>
    <s v="SolarPV-50"/>
    <x v="0"/>
    <x v="10"/>
    <n v="2883.2563616238799"/>
    <n v="175398.095332119"/>
    <n v="631433.14319563005"/>
  </r>
  <r>
    <x v="0"/>
    <x v="0"/>
    <x v="0"/>
    <x v="0"/>
    <x v="1"/>
    <s v="DK2_Rural"/>
    <x v="1"/>
    <x v="1"/>
    <s v="SolarPV-50"/>
    <x v="0"/>
    <x v="11"/>
    <n v="2863.45117037712"/>
    <n v="174193.27953127501"/>
    <n v="627095.80631259002"/>
  </r>
  <r>
    <x v="0"/>
    <x v="0"/>
    <x v="0"/>
    <x v="0"/>
    <x v="1"/>
    <s v="DK2_Rural"/>
    <x v="1"/>
    <x v="1"/>
    <s v="SolarPV-50"/>
    <x v="1"/>
    <x v="0"/>
    <n v="2229.3767371058798"/>
    <n v="135620.418173941"/>
    <n v="488233.50542618701"/>
  </r>
  <r>
    <x v="0"/>
    <x v="0"/>
    <x v="0"/>
    <x v="0"/>
    <x v="1"/>
    <s v="DK2_Rural"/>
    <x v="1"/>
    <x v="1"/>
    <s v="SolarPV-50"/>
    <x v="1"/>
    <x v="1"/>
    <n v="2161.7531045973101"/>
    <n v="131506.64719633601"/>
    <n v="473423.92990681098"/>
  </r>
  <r>
    <x v="0"/>
    <x v="0"/>
    <x v="0"/>
    <x v="0"/>
    <x v="1"/>
    <s v="DK2_Rural"/>
    <x v="1"/>
    <x v="1"/>
    <s v="SolarPV-50"/>
    <x v="1"/>
    <x v="2"/>
    <n v="2138.51005487152"/>
    <n v="130092.69500468401"/>
    <n v="468333.70201686199"/>
  </r>
  <r>
    <x v="0"/>
    <x v="0"/>
    <x v="0"/>
    <x v="0"/>
    <x v="1"/>
    <s v="DK2_Rural"/>
    <x v="1"/>
    <x v="1"/>
    <s v="SolarPV-50"/>
    <x v="1"/>
    <x v="3"/>
    <n v="2143.8341520753702"/>
    <n v="130416.577584585"/>
    <n v="469499.679304505"/>
  </r>
  <r>
    <x v="0"/>
    <x v="0"/>
    <x v="0"/>
    <x v="0"/>
    <x v="1"/>
    <s v="DK2_Rural"/>
    <x v="1"/>
    <x v="1"/>
    <s v="SolarPV-50"/>
    <x v="1"/>
    <x v="4"/>
    <n v="2195.0221428536602"/>
    <n v="133530.51369026399"/>
    <n v="480709.84928495099"/>
  </r>
  <r>
    <x v="0"/>
    <x v="0"/>
    <x v="0"/>
    <x v="0"/>
    <x v="1"/>
    <s v="DK2_Rural"/>
    <x v="1"/>
    <x v="1"/>
    <s v="SolarPV-50"/>
    <x v="1"/>
    <x v="5"/>
    <n v="2316.9115542675499"/>
    <n v="140945.45288460999"/>
    <n v="507403.63038459403"/>
  </r>
  <r>
    <x v="0"/>
    <x v="0"/>
    <x v="0"/>
    <x v="0"/>
    <x v="1"/>
    <s v="DK2_Rural"/>
    <x v="1"/>
    <x v="1"/>
    <s v="SolarPV-50"/>
    <x v="1"/>
    <x v="6"/>
    <n v="2616.2664817054301"/>
    <n v="159156.210970413"/>
    <n v="572962.35949348798"/>
  </r>
  <r>
    <x v="0"/>
    <x v="0"/>
    <x v="0"/>
    <x v="0"/>
    <x v="1"/>
    <s v="DK2_Rural"/>
    <x v="1"/>
    <x v="1"/>
    <s v="SolarPV-50"/>
    <x v="1"/>
    <x v="7"/>
    <n v="2944.7190301369301"/>
    <n v="179137.07433333001"/>
    <n v="644893.46759998798"/>
  </r>
  <r>
    <x v="0"/>
    <x v="0"/>
    <x v="0"/>
    <x v="0"/>
    <x v="1"/>
    <s v="DK2_Rural"/>
    <x v="1"/>
    <x v="1"/>
    <s v="SolarPV-50"/>
    <x v="1"/>
    <x v="8"/>
    <n v="3001.1504688069399"/>
    <n v="182569.98685242201"/>
    <n v="657251.95266871899"/>
  </r>
  <r>
    <x v="0"/>
    <x v="0"/>
    <x v="0"/>
    <x v="0"/>
    <x v="1"/>
    <s v="DK2_Rural"/>
    <x v="1"/>
    <x v="1"/>
    <s v="SolarPV-50"/>
    <x v="1"/>
    <x v="9"/>
    <n v="2989.7143704233499"/>
    <n v="181874.29086742"/>
    <n v="654747.44712271402"/>
  </r>
  <r>
    <x v="0"/>
    <x v="0"/>
    <x v="0"/>
    <x v="0"/>
    <x v="1"/>
    <s v="DK2_Rural"/>
    <x v="1"/>
    <x v="1"/>
    <s v="SolarPV-50"/>
    <x v="1"/>
    <x v="10"/>
    <n v="2962.1986073257999"/>
    <n v="180200.41527898601"/>
    <n v="648721.49500434997"/>
  </r>
  <r>
    <x v="0"/>
    <x v="0"/>
    <x v="0"/>
    <x v="0"/>
    <x v="1"/>
    <s v="DK2_Rural"/>
    <x v="1"/>
    <x v="1"/>
    <s v="SolarPV-50"/>
    <x v="1"/>
    <x v="11"/>
    <n v="2898.0205878085499"/>
    <n v="176296.25242502001"/>
    <n v="634666.50873007195"/>
  </r>
  <r>
    <x v="0"/>
    <x v="0"/>
    <x v="0"/>
    <x v="0"/>
    <x v="1"/>
    <s v="DK2_Rural"/>
    <x v="1"/>
    <x v="1"/>
    <s v="SolarPV-50"/>
    <x v="2"/>
    <x v="0"/>
    <n v="2228.7841342167799"/>
    <n v="135584.36816485401"/>
    <n v="488103.72539347498"/>
  </r>
  <r>
    <x v="0"/>
    <x v="0"/>
    <x v="0"/>
    <x v="0"/>
    <x v="1"/>
    <s v="DK2_Rural"/>
    <x v="1"/>
    <x v="1"/>
    <s v="SolarPV-50"/>
    <x v="2"/>
    <x v="1"/>
    <n v="2164.1341124568798"/>
    <n v="131651.49184112699"/>
    <n v="473945.37062805699"/>
  </r>
  <r>
    <x v="0"/>
    <x v="0"/>
    <x v="0"/>
    <x v="0"/>
    <x v="1"/>
    <s v="DK2_Rural"/>
    <x v="1"/>
    <x v="1"/>
    <s v="SolarPV-50"/>
    <x v="2"/>
    <x v="2"/>
    <n v="2120.9687810166402"/>
    <n v="129025.600845179"/>
    <n v="464492.16304264503"/>
  </r>
  <r>
    <x v="0"/>
    <x v="0"/>
    <x v="0"/>
    <x v="0"/>
    <x v="1"/>
    <s v="DK2_Rural"/>
    <x v="1"/>
    <x v="1"/>
    <s v="SolarPV-50"/>
    <x v="2"/>
    <x v="3"/>
    <n v="2124.34499275499"/>
    <n v="129230.987059262"/>
    <n v="465231.55341334199"/>
  </r>
  <r>
    <x v="0"/>
    <x v="0"/>
    <x v="0"/>
    <x v="0"/>
    <x v="1"/>
    <s v="DK2_Rural"/>
    <x v="1"/>
    <x v="1"/>
    <s v="SolarPV-50"/>
    <x v="2"/>
    <x v="4"/>
    <n v="2152.0376687170001"/>
    <n v="130915.624846951"/>
    <n v="471296.24944902398"/>
  </r>
  <r>
    <x v="0"/>
    <x v="0"/>
    <x v="0"/>
    <x v="0"/>
    <x v="1"/>
    <s v="DK2_Rural"/>
    <x v="1"/>
    <x v="1"/>
    <s v="SolarPV-50"/>
    <x v="2"/>
    <x v="5"/>
    <n v="2287.1430823291698"/>
    <n v="139134.53750835799"/>
    <n v="500884.33503008698"/>
  </r>
  <r>
    <x v="0"/>
    <x v="0"/>
    <x v="0"/>
    <x v="0"/>
    <x v="1"/>
    <s v="DK2_Rural"/>
    <x v="1"/>
    <x v="1"/>
    <s v="SolarPV-50"/>
    <x v="2"/>
    <x v="6"/>
    <n v="2570.70522695519"/>
    <n v="156384.56797310701"/>
    <n v="562984.44470318698"/>
  </r>
  <r>
    <x v="0"/>
    <x v="0"/>
    <x v="0"/>
    <x v="0"/>
    <x v="1"/>
    <s v="DK2_Rural"/>
    <x v="1"/>
    <x v="1"/>
    <s v="SolarPV-50"/>
    <x v="2"/>
    <x v="7"/>
    <n v="2893.5038189236302"/>
    <n v="176021.48231785401"/>
    <n v="633677.33634427597"/>
  </r>
  <r>
    <x v="0"/>
    <x v="0"/>
    <x v="0"/>
    <x v="0"/>
    <x v="1"/>
    <s v="DK2_Rural"/>
    <x v="1"/>
    <x v="1"/>
    <s v="SolarPV-50"/>
    <x v="2"/>
    <x v="8"/>
    <n v="2986.5868844761098"/>
    <n v="181684.03547229699"/>
    <n v="654062.52770026796"/>
  </r>
  <r>
    <x v="0"/>
    <x v="0"/>
    <x v="0"/>
    <x v="0"/>
    <x v="1"/>
    <s v="DK2_Rural"/>
    <x v="1"/>
    <x v="1"/>
    <s v="SolarPV-50"/>
    <x v="2"/>
    <x v="9"/>
    <n v="3013.3258260988"/>
    <n v="183310.65442101"/>
    <n v="659918.35591563606"/>
  </r>
  <r>
    <x v="0"/>
    <x v="0"/>
    <x v="0"/>
    <x v="0"/>
    <x v="1"/>
    <s v="DK2_Rural"/>
    <x v="1"/>
    <x v="1"/>
    <s v="SolarPV-50"/>
    <x v="2"/>
    <x v="10"/>
    <n v="3012.50755171636"/>
    <n v="183260.876062745"/>
    <n v="659739.15382588201"/>
  </r>
  <r>
    <x v="0"/>
    <x v="0"/>
    <x v="0"/>
    <x v="0"/>
    <x v="1"/>
    <s v="DK2_Rural"/>
    <x v="1"/>
    <x v="1"/>
    <s v="SolarPV-50"/>
    <x v="2"/>
    <x v="11"/>
    <n v="2986.2008307032702"/>
    <n v="181660.55053444899"/>
    <n v="653977.98192401603"/>
  </r>
  <r>
    <x v="0"/>
    <x v="0"/>
    <x v="0"/>
    <x v="0"/>
    <x v="1"/>
    <s v="DK2_Rural"/>
    <x v="1"/>
    <x v="1"/>
    <s v="SolarPV-50"/>
    <x v="3"/>
    <x v="0"/>
    <n v="2204.9273651796302"/>
    <n v="134133.081381761"/>
    <n v="482879.09297433798"/>
  </r>
  <r>
    <x v="0"/>
    <x v="0"/>
    <x v="0"/>
    <x v="0"/>
    <x v="1"/>
    <s v="DK2_Rural"/>
    <x v="1"/>
    <x v="1"/>
    <s v="SolarPV-50"/>
    <x v="3"/>
    <x v="1"/>
    <n v="2154.0552761345698"/>
    <n v="131038.36263151999"/>
    <n v="471738.10547347099"/>
  </r>
  <r>
    <x v="0"/>
    <x v="0"/>
    <x v="0"/>
    <x v="0"/>
    <x v="1"/>
    <s v="DK2_Rural"/>
    <x v="1"/>
    <x v="1"/>
    <s v="SolarPV-50"/>
    <x v="3"/>
    <x v="2"/>
    <n v="2150.1127344051802"/>
    <n v="130798.52467631501"/>
    <n v="470874.68883473403"/>
  </r>
  <r>
    <x v="0"/>
    <x v="0"/>
    <x v="0"/>
    <x v="0"/>
    <x v="1"/>
    <s v="DK2_Rural"/>
    <x v="1"/>
    <x v="1"/>
    <s v="SolarPV-50"/>
    <x v="3"/>
    <x v="3"/>
    <n v="2167.3403796914099"/>
    <n v="131846.53976456"/>
    <n v="474647.54315241799"/>
  </r>
  <r>
    <x v="0"/>
    <x v="0"/>
    <x v="0"/>
    <x v="0"/>
    <x v="1"/>
    <s v="DK2_Rural"/>
    <x v="1"/>
    <x v="1"/>
    <s v="SolarPV-50"/>
    <x v="3"/>
    <x v="4"/>
    <n v="2206.7738077110798"/>
    <n v="134245.40663575701"/>
    <n v="483283.46388872602"/>
  </r>
  <r>
    <x v="0"/>
    <x v="0"/>
    <x v="0"/>
    <x v="0"/>
    <x v="1"/>
    <s v="DK2_Rural"/>
    <x v="1"/>
    <x v="1"/>
    <s v="SolarPV-50"/>
    <x v="3"/>
    <x v="5"/>
    <n v="2338.77880274161"/>
    <n v="142275.710500115"/>
    <n v="512192.55780041299"/>
  </r>
  <r>
    <x v="0"/>
    <x v="0"/>
    <x v="0"/>
    <x v="0"/>
    <x v="1"/>
    <s v="DK2_Rural"/>
    <x v="1"/>
    <x v="1"/>
    <s v="SolarPV-50"/>
    <x v="3"/>
    <x v="6"/>
    <n v="2644.73398716868"/>
    <n v="160887.98421942801"/>
    <n v="579196.74318994198"/>
  </r>
  <r>
    <x v="0"/>
    <x v="0"/>
    <x v="0"/>
    <x v="0"/>
    <x v="1"/>
    <s v="DK2_Rural"/>
    <x v="1"/>
    <x v="1"/>
    <s v="SolarPV-50"/>
    <x v="3"/>
    <x v="7"/>
    <n v="2973.3198796346901"/>
    <n v="180876.95934444401"/>
    <n v="651157.05363999703"/>
  </r>
  <r>
    <x v="0"/>
    <x v="0"/>
    <x v="0"/>
    <x v="0"/>
    <x v="1"/>
    <s v="DK2_Rural"/>
    <x v="1"/>
    <x v="1"/>
    <s v="SolarPV-50"/>
    <x v="3"/>
    <x v="8"/>
    <n v="3052.4842408690101"/>
    <n v="185692.79131953101"/>
    <n v="668494.04875031195"/>
  </r>
  <r>
    <x v="0"/>
    <x v="0"/>
    <x v="0"/>
    <x v="0"/>
    <x v="1"/>
    <s v="DK2_Rural"/>
    <x v="1"/>
    <x v="1"/>
    <s v="SolarPV-50"/>
    <x v="3"/>
    <x v="9"/>
    <n v="3055.5227003267801"/>
    <n v="185877.63093654599"/>
    <n v="669159.47137156595"/>
  </r>
  <r>
    <x v="0"/>
    <x v="0"/>
    <x v="0"/>
    <x v="0"/>
    <x v="1"/>
    <s v="DK2_Rural"/>
    <x v="1"/>
    <x v="1"/>
    <s v="SolarPV-50"/>
    <x v="3"/>
    <x v="10"/>
    <n v="3041.5358068220098"/>
    <n v="185026.761581673"/>
    <n v="666096.34169402102"/>
  </r>
  <r>
    <x v="0"/>
    <x v="0"/>
    <x v="0"/>
    <x v="0"/>
    <x v="1"/>
    <s v="DK2_Rural"/>
    <x v="1"/>
    <x v="1"/>
    <s v="SolarPV-50"/>
    <x v="3"/>
    <x v="11"/>
    <n v="3012.3261008683498"/>
    <n v="183249.83780282401"/>
    <n v="659699.41609016794"/>
  </r>
  <r>
    <x v="0"/>
    <x v="0"/>
    <x v="0"/>
    <x v="0"/>
    <x v="1"/>
    <s v="DK2_Rural"/>
    <x v="1"/>
    <x v="1"/>
    <s v="SolarPV-50"/>
    <x v="4"/>
    <x v="0"/>
    <n v="2068.4302623211402"/>
    <n v="125829.507624536"/>
    <n v="452986.22744833003"/>
  </r>
  <r>
    <x v="0"/>
    <x v="0"/>
    <x v="0"/>
    <x v="0"/>
    <x v="1"/>
    <s v="DK2_Rural"/>
    <x v="1"/>
    <x v="1"/>
    <s v="SolarPV-50"/>
    <x v="4"/>
    <x v="1"/>
    <n v="2011.08958280248"/>
    <n v="122341.28295381799"/>
    <n v="440428.61863374402"/>
  </r>
  <r>
    <x v="0"/>
    <x v="0"/>
    <x v="0"/>
    <x v="0"/>
    <x v="1"/>
    <s v="DK2_Rural"/>
    <x v="1"/>
    <x v="1"/>
    <s v="SolarPV-50"/>
    <x v="4"/>
    <x v="2"/>
    <n v="2014.9871635171"/>
    <n v="122578.385780624"/>
    <n v="441282.18881024502"/>
  </r>
  <r>
    <x v="0"/>
    <x v="0"/>
    <x v="0"/>
    <x v="0"/>
    <x v="1"/>
    <s v="DK2_Rural"/>
    <x v="1"/>
    <x v="1"/>
    <s v="SolarPV-50"/>
    <x v="4"/>
    <x v="3"/>
    <n v="2022.37972395665"/>
    <n v="123028.09987403"/>
    <n v="442901.159546507"/>
  </r>
  <r>
    <x v="0"/>
    <x v="0"/>
    <x v="0"/>
    <x v="0"/>
    <x v="1"/>
    <s v="DK2_Rural"/>
    <x v="1"/>
    <x v="1"/>
    <s v="SolarPV-50"/>
    <x v="4"/>
    <x v="4"/>
    <n v="2060.57282731335"/>
    <n v="125351.513661562"/>
    <n v="451265.449181623"/>
  </r>
  <r>
    <x v="0"/>
    <x v="0"/>
    <x v="0"/>
    <x v="0"/>
    <x v="1"/>
    <s v="DK2_Rural"/>
    <x v="1"/>
    <x v="1"/>
    <s v="SolarPV-50"/>
    <x v="4"/>
    <x v="5"/>
    <n v="2178.20303616205"/>
    <n v="132507.35136652499"/>
    <n v="477026.464919488"/>
  </r>
  <r>
    <x v="0"/>
    <x v="0"/>
    <x v="0"/>
    <x v="0"/>
    <x v="1"/>
    <s v="DK2_Rural"/>
    <x v="1"/>
    <x v="1"/>
    <s v="SolarPV-50"/>
    <x v="4"/>
    <x v="6"/>
    <n v="2445.45664678516"/>
    <n v="148765.279346097"/>
    <n v="535555.00564594998"/>
  </r>
  <r>
    <x v="0"/>
    <x v="0"/>
    <x v="0"/>
    <x v="0"/>
    <x v="1"/>
    <s v="DK2_Rural"/>
    <x v="1"/>
    <x v="1"/>
    <s v="SolarPV-50"/>
    <x v="4"/>
    <x v="7"/>
    <n v="2746.2988252810001"/>
    <n v="167066.511871261"/>
    <n v="601439.44273653894"/>
  </r>
  <r>
    <x v="0"/>
    <x v="0"/>
    <x v="0"/>
    <x v="0"/>
    <x v="1"/>
    <s v="DK2_Rural"/>
    <x v="1"/>
    <x v="1"/>
    <s v="SolarPV-50"/>
    <x v="4"/>
    <x v="8"/>
    <n v="2792.4959123477702"/>
    <n v="169876.83466782299"/>
    <n v="611556.60480416205"/>
  </r>
  <r>
    <x v="0"/>
    <x v="0"/>
    <x v="0"/>
    <x v="0"/>
    <x v="1"/>
    <s v="DK2_Rural"/>
    <x v="1"/>
    <x v="1"/>
    <s v="SolarPV-50"/>
    <x v="4"/>
    <x v="9"/>
    <n v="2849.6669535013898"/>
    <n v="173354.739671335"/>
    <n v="624077.06281680497"/>
  </r>
  <r>
    <x v="0"/>
    <x v="0"/>
    <x v="0"/>
    <x v="0"/>
    <x v="1"/>
    <s v="DK2_Rural"/>
    <x v="1"/>
    <x v="1"/>
    <s v="SolarPV-50"/>
    <x v="4"/>
    <x v="10"/>
    <n v="2817.5790089841098"/>
    <n v="171402.723046534"/>
    <n v="617049.80296752101"/>
  </r>
  <r>
    <x v="0"/>
    <x v="0"/>
    <x v="0"/>
    <x v="0"/>
    <x v="1"/>
    <s v="DK2_Rural"/>
    <x v="1"/>
    <x v="1"/>
    <s v="SolarPV-50"/>
    <x v="4"/>
    <x v="11"/>
    <n v="2785.28770690181"/>
    <n v="169438.335503193"/>
    <n v="609978.00781149499"/>
  </r>
  <r>
    <x v="0"/>
    <x v="0"/>
    <x v="0"/>
    <x v="0"/>
    <x v="1"/>
    <s v="DK2_Rural"/>
    <x v="1"/>
    <x v="1"/>
    <s v="SolarPV-50"/>
    <x v="5"/>
    <x v="0"/>
    <n v="2496.58809828228"/>
    <n v="151875.775978839"/>
    <n v="546752.79352382"/>
  </r>
  <r>
    <x v="0"/>
    <x v="0"/>
    <x v="0"/>
    <x v="0"/>
    <x v="1"/>
    <s v="DK2_Rural"/>
    <x v="1"/>
    <x v="1"/>
    <s v="SolarPV-50"/>
    <x v="5"/>
    <x v="1"/>
    <n v="2456.5500893324001"/>
    <n v="149440.130434388"/>
    <n v="537984.469563797"/>
  </r>
  <r>
    <x v="0"/>
    <x v="0"/>
    <x v="0"/>
    <x v="0"/>
    <x v="1"/>
    <s v="DK2_Rural"/>
    <x v="1"/>
    <x v="1"/>
    <s v="SolarPV-50"/>
    <x v="5"/>
    <x v="2"/>
    <n v="2449.1472054944002"/>
    <n v="148989.78833424201"/>
    <n v="536363.23800327303"/>
  </r>
  <r>
    <x v="0"/>
    <x v="0"/>
    <x v="0"/>
    <x v="0"/>
    <x v="1"/>
    <s v="DK2_Rural"/>
    <x v="1"/>
    <x v="1"/>
    <s v="SolarPV-50"/>
    <x v="5"/>
    <x v="3"/>
    <n v="2458.4612275035802"/>
    <n v="149556.39133980099"/>
    <n v="538403.00882328395"/>
  </r>
  <r>
    <x v="0"/>
    <x v="0"/>
    <x v="0"/>
    <x v="0"/>
    <x v="1"/>
    <s v="DK2_Rural"/>
    <x v="1"/>
    <x v="1"/>
    <s v="SolarPV-50"/>
    <x v="5"/>
    <x v="4"/>
    <n v="2509.34578291854"/>
    <n v="152651.868460878"/>
    <n v="549546.72645915905"/>
  </r>
  <r>
    <x v="0"/>
    <x v="0"/>
    <x v="0"/>
    <x v="0"/>
    <x v="1"/>
    <s v="DK2_Rural"/>
    <x v="1"/>
    <x v="1"/>
    <s v="SolarPV-50"/>
    <x v="5"/>
    <x v="5"/>
    <n v="2636.7913419889601"/>
    <n v="160404.806637662"/>
    <n v="577457.30389558198"/>
  </r>
  <r>
    <x v="0"/>
    <x v="0"/>
    <x v="0"/>
    <x v="0"/>
    <x v="1"/>
    <s v="DK2_Rural"/>
    <x v="1"/>
    <x v="1"/>
    <s v="SolarPV-50"/>
    <x v="5"/>
    <x v="6"/>
    <n v="2926.4855285584499"/>
    <n v="178027.86965397201"/>
    <n v="640900.3307543"/>
  </r>
  <r>
    <x v="0"/>
    <x v="0"/>
    <x v="0"/>
    <x v="0"/>
    <x v="1"/>
    <s v="DK2_Rural"/>
    <x v="1"/>
    <x v="1"/>
    <s v="SolarPV-50"/>
    <x v="5"/>
    <x v="7"/>
    <n v="3235.1040460305298"/>
    <n v="196802.162800191"/>
    <n v="708487.78608068603"/>
  </r>
  <r>
    <x v="0"/>
    <x v="0"/>
    <x v="0"/>
    <x v="0"/>
    <x v="1"/>
    <s v="DK2_Rural"/>
    <x v="1"/>
    <x v="1"/>
    <s v="SolarPV-50"/>
    <x v="5"/>
    <x v="8"/>
    <n v="3346.24441989148"/>
    <n v="203563.20221006501"/>
    <n v="732827.52795623301"/>
  </r>
  <r>
    <x v="0"/>
    <x v="0"/>
    <x v="0"/>
    <x v="0"/>
    <x v="1"/>
    <s v="DK2_Rural"/>
    <x v="1"/>
    <x v="1"/>
    <s v="SolarPV-50"/>
    <x v="5"/>
    <x v="9"/>
    <n v="3358.7074556245798"/>
    <n v="204321.37021716201"/>
    <n v="735556.93278178398"/>
  </r>
  <r>
    <x v="0"/>
    <x v="0"/>
    <x v="0"/>
    <x v="0"/>
    <x v="1"/>
    <s v="DK2_Rural"/>
    <x v="1"/>
    <x v="1"/>
    <s v="SolarPV-50"/>
    <x v="5"/>
    <x v="10"/>
    <n v="3362.9686147983998"/>
    <n v="204580.590733569"/>
    <n v="736490.12664084998"/>
  </r>
  <r>
    <x v="0"/>
    <x v="0"/>
    <x v="0"/>
    <x v="0"/>
    <x v="1"/>
    <s v="DK2_Rural"/>
    <x v="1"/>
    <x v="1"/>
    <s v="SolarPV-50"/>
    <x v="5"/>
    <x v="11"/>
    <n v="3303.09959673907"/>
    <n v="200938.55880162699"/>
    <n v="723378.81168585597"/>
  </r>
  <r>
    <x v="0"/>
    <x v="0"/>
    <x v="0"/>
    <x v="0"/>
    <x v="1"/>
    <s v="DK2_Rural"/>
    <x v="1"/>
    <x v="1"/>
    <s v="SolarPV-50"/>
    <x v="6"/>
    <x v="0"/>
    <n v="2296.1872600534198"/>
    <n v="139684.72498658299"/>
    <n v="502865.009951699"/>
  </r>
  <r>
    <x v="0"/>
    <x v="0"/>
    <x v="0"/>
    <x v="0"/>
    <x v="1"/>
    <s v="DK2_Rural"/>
    <x v="1"/>
    <x v="1"/>
    <s v="SolarPV-50"/>
    <x v="6"/>
    <x v="1"/>
    <n v="2241.1748894991501"/>
    <n v="136338.13911119799"/>
    <n v="490817.30080031301"/>
  </r>
  <r>
    <x v="0"/>
    <x v="0"/>
    <x v="0"/>
    <x v="0"/>
    <x v="1"/>
    <s v="DK2_Rural"/>
    <x v="1"/>
    <x v="1"/>
    <s v="SolarPV-50"/>
    <x v="6"/>
    <x v="2"/>
    <n v="2227.4537718914198"/>
    <n v="135503.437790061"/>
    <n v="487812.37604422099"/>
  </r>
  <r>
    <x v="0"/>
    <x v="0"/>
    <x v="0"/>
    <x v="0"/>
    <x v="1"/>
    <s v="DK2_Rural"/>
    <x v="1"/>
    <x v="1"/>
    <s v="SolarPV-50"/>
    <x v="6"/>
    <x v="3"/>
    <n v="2221.03408894327"/>
    <n v="135112.907077382"/>
    <n v="486406.46547857701"/>
  </r>
  <r>
    <x v="0"/>
    <x v="0"/>
    <x v="0"/>
    <x v="0"/>
    <x v="1"/>
    <s v="DK2_Rural"/>
    <x v="1"/>
    <x v="1"/>
    <s v="SolarPV-50"/>
    <x v="6"/>
    <x v="4"/>
    <n v="2276.70967156285"/>
    <n v="138499.83835340699"/>
    <n v="498599.41807226499"/>
  </r>
  <r>
    <x v="0"/>
    <x v="0"/>
    <x v="0"/>
    <x v="0"/>
    <x v="1"/>
    <s v="DK2_Rural"/>
    <x v="1"/>
    <x v="1"/>
    <s v="SolarPV-50"/>
    <x v="6"/>
    <x v="5"/>
    <n v="2406.9809212995301"/>
    <n v="146424.67271238801"/>
    <n v="527128.82176459802"/>
  </r>
  <r>
    <x v="0"/>
    <x v="0"/>
    <x v="0"/>
    <x v="0"/>
    <x v="1"/>
    <s v="DK2_Rural"/>
    <x v="1"/>
    <x v="1"/>
    <s v="SolarPV-50"/>
    <x v="6"/>
    <x v="6"/>
    <n v="2651.2479936924101"/>
    <n v="161284.25294962199"/>
    <n v="580623.31061863899"/>
  </r>
  <r>
    <x v="0"/>
    <x v="0"/>
    <x v="0"/>
    <x v="0"/>
    <x v="1"/>
    <s v="DK2_Rural"/>
    <x v="1"/>
    <x v="1"/>
    <s v="SolarPV-50"/>
    <x v="6"/>
    <x v="7"/>
    <n v="2929.8004121539302"/>
    <n v="178229.52507269799"/>
    <n v="641626.29026171099"/>
  </r>
  <r>
    <x v="0"/>
    <x v="0"/>
    <x v="0"/>
    <x v="0"/>
    <x v="1"/>
    <s v="DK2_Rural"/>
    <x v="1"/>
    <x v="1"/>
    <s v="SolarPV-50"/>
    <x v="6"/>
    <x v="8"/>
    <n v="3019.50589458794"/>
    <n v="183686.608587433"/>
    <n v="661271.79091475799"/>
  </r>
  <r>
    <x v="0"/>
    <x v="0"/>
    <x v="0"/>
    <x v="0"/>
    <x v="1"/>
    <s v="DK2_Rural"/>
    <x v="1"/>
    <x v="1"/>
    <s v="SolarPV-50"/>
    <x v="6"/>
    <x v="9"/>
    <n v="3061.6951465683501"/>
    <n v="186253.12141624099"/>
    <n v="670511.237098468"/>
  </r>
  <r>
    <x v="0"/>
    <x v="0"/>
    <x v="0"/>
    <x v="0"/>
    <x v="1"/>
    <s v="DK2_Rural"/>
    <x v="1"/>
    <x v="1"/>
    <s v="SolarPV-50"/>
    <x v="6"/>
    <x v="10"/>
    <n v="3047.32478066567"/>
    <n v="185378.924157161"/>
    <n v="667364.12696578098"/>
  </r>
  <r>
    <x v="0"/>
    <x v="0"/>
    <x v="0"/>
    <x v="0"/>
    <x v="1"/>
    <s v="DK2_Rural"/>
    <x v="1"/>
    <x v="1"/>
    <s v="SolarPV-50"/>
    <x v="6"/>
    <x v="11"/>
    <n v="3019.0452747407098"/>
    <n v="183658.58754672701"/>
    <n v="661170.91516821599"/>
  </r>
  <r>
    <x v="0"/>
    <x v="0"/>
    <x v="0"/>
    <x v="0"/>
    <x v="1"/>
    <s v="DK2_Rural"/>
    <x v="1"/>
    <x v="1"/>
    <s v="SolarPV-50"/>
    <x v="7"/>
    <x v="0"/>
    <n v="2011.87456389966"/>
    <n v="122389.035970563"/>
    <n v="440600.52949402598"/>
  </r>
  <r>
    <x v="0"/>
    <x v="0"/>
    <x v="0"/>
    <x v="0"/>
    <x v="1"/>
    <s v="DK2_Rural"/>
    <x v="1"/>
    <x v="1"/>
    <s v="SolarPV-50"/>
    <x v="7"/>
    <x v="1"/>
    <n v="1959.74027883961"/>
    <n v="119217.53362941"/>
    <n v="429183.12106587499"/>
  </r>
  <r>
    <x v="0"/>
    <x v="0"/>
    <x v="0"/>
    <x v="0"/>
    <x v="1"/>
    <s v="DK2_Rural"/>
    <x v="1"/>
    <x v="1"/>
    <s v="SolarPV-50"/>
    <x v="7"/>
    <x v="2"/>
    <n v="1951.19427311198"/>
    <n v="118697.651614312"/>
    <n v="427311.54581152298"/>
  </r>
  <r>
    <x v="0"/>
    <x v="0"/>
    <x v="0"/>
    <x v="0"/>
    <x v="1"/>
    <s v="DK2_Rural"/>
    <x v="1"/>
    <x v="1"/>
    <s v="SolarPV-50"/>
    <x v="7"/>
    <x v="3"/>
    <n v="1985.7982636741001"/>
    <n v="120802.727706841"/>
    <n v="434889.81974462798"/>
  </r>
  <r>
    <x v="0"/>
    <x v="0"/>
    <x v="0"/>
    <x v="0"/>
    <x v="1"/>
    <s v="DK2_Rural"/>
    <x v="1"/>
    <x v="1"/>
    <s v="SolarPV-50"/>
    <x v="7"/>
    <x v="4"/>
    <n v="2068.3519298545302"/>
    <n v="125824.74239948401"/>
    <n v="452969.07263814198"/>
  </r>
  <r>
    <x v="0"/>
    <x v="0"/>
    <x v="0"/>
    <x v="0"/>
    <x v="1"/>
    <s v="DK2_Rural"/>
    <x v="1"/>
    <x v="1"/>
    <s v="SolarPV-50"/>
    <x v="7"/>
    <x v="5"/>
    <n v="2232.0354468770302"/>
    <n v="135782.15635168599"/>
    <n v="488815.76286607102"/>
  </r>
  <r>
    <x v="0"/>
    <x v="0"/>
    <x v="0"/>
    <x v="0"/>
    <x v="1"/>
    <s v="DK2_Rural"/>
    <x v="1"/>
    <x v="1"/>
    <s v="SolarPV-50"/>
    <x v="7"/>
    <x v="6"/>
    <n v="2501.133837073"/>
    <n v="152152.30842194101"/>
    <n v="547748.31031898805"/>
  </r>
  <r>
    <x v="0"/>
    <x v="0"/>
    <x v="0"/>
    <x v="0"/>
    <x v="1"/>
    <s v="DK2_Rural"/>
    <x v="1"/>
    <x v="1"/>
    <s v="SolarPV-50"/>
    <x v="7"/>
    <x v="7"/>
    <n v="2772.44283348811"/>
    <n v="168656.93903719401"/>
    <n v="607164.98053389695"/>
  </r>
  <r>
    <x v="0"/>
    <x v="0"/>
    <x v="0"/>
    <x v="0"/>
    <x v="1"/>
    <s v="DK2_Rural"/>
    <x v="1"/>
    <x v="1"/>
    <s v="SolarPV-50"/>
    <x v="7"/>
    <x v="8"/>
    <n v="2835.04367367347"/>
    <n v="172465.156815136"/>
    <n v="620874.56453449"/>
  </r>
  <r>
    <x v="0"/>
    <x v="0"/>
    <x v="0"/>
    <x v="0"/>
    <x v="1"/>
    <s v="DK2_Rural"/>
    <x v="1"/>
    <x v="1"/>
    <s v="SolarPV-50"/>
    <x v="7"/>
    <x v="9"/>
    <n v="2869.73876296651"/>
    <n v="174575.77474712901"/>
    <n v="628472.78908966505"/>
  </r>
  <r>
    <x v="0"/>
    <x v="0"/>
    <x v="0"/>
    <x v="0"/>
    <x v="1"/>
    <s v="DK2_Rural"/>
    <x v="1"/>
    <x v="1"/>
    <s v="SolarPV-50"/>
    <x v="7"/>
    <x v="10"/>
    <n v="2813.34237326724"/>
    <n v="171144.99437375701"/>
    <n v="616121.97974552598"/>
  </r>
  <r>
    <x v="0"/>
    <x v="0"/>
    <x v="0"/>
    <x v="0"/>
    <x v="1"/>
    <s v="DK2_Rural"/>
    <x v="1"/>
    <x v="1"/>
    <s v="SolarPV-50"/>
    <x v="7"/>
    <x v="11"/>
    <n v="2768.1609671748902"/>
    <n v="168396.45883647201"/>
    <n v="606227.25181130099"/>
  </r>
  <r>
    <x v="0"/>
    <x v="0"/>
    <x v="0"/>
    <x v="0"/>
    <x v="1"/>
    <s v="DK2_Rural"/>
    <x v="1"/>
    <x v="1"/>
    <s v="SolarPV-50"/>
    <x v="8"/>
    <x v="0"/>
    <n v="2243.1233851706502"/>
    <n v="136456.672597881"/>
    <n v="491244.02135237202"/>
  </r>
  <r>
    <x v="0"/>
    <x v="0"/>
    <x v="0"/>
    <x v="0"/>
    <x v="1"/>
    <s v="DK2_Rural"/>
    <x v="1"/>
    <x v="1"/>
    <s v="SolarPV-50"/>
    <x v="8"/>
    <x v="1"/>
    <n v="2198.0150477522302"/>
    <n v="133712.58207159399"/>
    <n v="481365.29545773898"/>
  </r>
  <r>
    <x v="0"/>
    <x v="0"/>
    <x v="0"/>
    <x v="0"/>
    <x v="1"/>
    <s v="DK2_Rural"/>
    <x v="1"/>
    <x v="1"/>
    <s v="SolarPV-50"/>
    <x v="8"/>
    <x v="2"/>
    <n v="2171.36160787994"/>
    <n v="132091.16447936301"/>
    <n v="475528.192125706"/>
  </r>
  <r>
    <x v="0"/>
    <x v="0"/>
    <x v="0"/>
    <x v="0"/>
    <x v="1"/>
    <s v="DK2_Rural"/>
    <x v="1"/>
    <x v="1"/>
    <s v="SolarPV-50"/>
    <x v="8"/>
    <x v="3"/>
    <n v="2170.3376923803798"/>
    <n v="132028.87628647301"/>
    <n v="475303.95463130402"/>
  </r>
  <r>
    <x v="0"/>
    <x v="0"/>
    <x v="0"/>
    <x v="0"/>
    <x v="1"/>
    <s v="DK2_Rural"/>
    <x v="1"/>
    <x v="1"/>
    <s v="SolarPV-50"/>
    <x v="8"/>
    <x v="4"/>
    <n v="2197.5934358751701"/>
    <n v="133686.93401574"/>
    <n v="481272.96245666302"/>
  </r>
  <r>
    <x v="0"/>
    <x v="0"/>
    <x v="0"/>
    <x v="0"/>
    <x v="1"/>
    <s v="DK2_Rural"/>
    <x v="1"/>
    <x v="1"/>
    <s v="SolarPV-50"/>
    <x v="8"/>
    <x v="5"/>
    <n v="2327.0225624640898"/>
    <n v="141560.539216565"/>
    <n v="509617.941179635"/>
  </r>
  <r>
    <x v="0"/>
    <x v="0"/>
    <x v="0"/>
    <x v="0"/>
    <x v="1"/>
    <s v="DK2_Rural"/>
    <x v="1"/>
    <x v="1"/>
    <s v="SolarPV-50"/>
    <x v="8"/>
    <x v="6"/>
    <n v="2608.4958969519098"/>
    <n v="158683.50039790801"/>
    <n v="571260.601432467"/>
  </r>
  <r>
    <x v="0"/>
    <x v="0"/>
    <x v="0"/>
    <x v="0"/>
    <x v="1"/>
    <s v="DK2_Rural"/>
    <x v="1"/>
    <x v="1"/>
    <s v="SolarPV-50"/>
    <x v="8"/>
    <x v="7"/>
    <n v="2848.1672390541298"/>
    <n v="173263.50704246"/>
    <n v="623748.625352856"/>
  </r>
  <r>
    <x v="0"/>
    <x v="0"/>
    <x v="0"/>
    <x v="0"/>
    <x v="1"/>
    <s v="DK2_Rural"/>
    <x v="1"/>
    <x v="1"/>
    <s v="SolarPV-50"/>
    <x v="8"/>
    <x v="8"/>
    <n v="2978.3920178868402"/>
    <n v="181185.51442144901"/>
    <n v="652267.85191721702"/>
  </r>
  <r>
    <x v="0"/>
    <x v="0"/>
    <x v="0"/>
    <x v="0"/>
    <x v="1"/>
    <s v="DK2_Rural"/>
    <x v="1"/>
    <x v="1"/>
    <s v="SolarPV-50"/>
    <x v="8"/>
    <x v="9"/>
    <n v="3002.99034601622"/>
    <n v="182681.91271598701"/>
    <n v="657654.88577755296"/>
  </r>
  <r>
    <x v="0"/>
    <x v="0"/>
    <x v="0"/>
    <x v="0"/>
    <x v="1"/>
    <s v="DK2_Rural"/>
    <x v="1"/>
    <x v="1"/>
    <s v="SolarPV-50"/>
    <x v="8"/>
    <x v="10"/>
    <n v="2985.8495530558298"/>
    <n v="181639.18114423001"/>
    <n v="653901.05211922596"/>
  </r>
  <r>
    <x v="0"/>
    <x v="0"/>
    <x v="0"/>
    <x v="0"/>
    <x v="1"/>
    <s v="DK2_Rural"/>
    <x v="1"/>
    <x v="1"/>
    <s v="SolarPV-50"/>
    <x v="8"/>
    <x v="11"/>
    <n v="2959.4693312097002"/>
    <n v="180034.38431525699"/>
    <n v="648123.78353492497"/>
  </r>
  <r>
    <x v="0"/>
    <x v="0"/>
    <x v="0"/>
    <x v="0"/>
    <x v="1"/>
    <s v="DK2_Rural"/>
    <x v="1"/>
    <x v="1"/>
    <s v="SolarPV-50"/>
    <x v="9"/>
    <x v="0"/>
    <n v="1993.4084370275"/>
    <n v="121265.679919173"/>
    <n v="436556.44770902401"/>
  </r>
  <r>
    <x v="0"/>
    <x v="0"/>
    <x v="0"/>
    <x v="0"/>
    <x v="1"/>
    <s v="DK2_Rural"/>
    <x v="1"/>
    <x v="1"/>
    <s v="SolarPV-50"/>
    <x v="9"/>
    <x v="1"/>
    <n v="1936.66247424877"/>
    <n v="117813.633850133"/>
    <n v="424129.08186048002"/>
  </r>
  <r>
    <x v="0"/>
    <x v="0"/>
    <x v="0"/>
    <x v="0"/>
    <x v="1"/>
    <s v="DK2_Rural"/>
    <x v="1"/>
    <x v="1"/>
    <s v="SolarPV-50"/>
    <x v="9"/>
    <x v="2"/>
    <n v="1924.2817591023199"/>
    <n v="117060.473678725"/>
    <n v="421417.70524340897"/>
  </r>
  <r>
    <x v="0"/>
    <x v="0"/>
    <x v="0"/>
    <x v="0"/>
    <x v="1"/>
    <s v="DK2_Rural"/>
    <x v="1"/>
    <x v="1"/>
    <s v="SolarPV-50"/>
    <x v="9"/>
    <x v="3"/>
    <n v="1993.7926810167401"/>
    <n v="121289.05476185201"/>
    <n v="436640.597142666"/>
  </r>
  <r>
    <x v="0"/>
    <x v="0"/>
    <x v="0"/>
    <x v="0"/>
    <x v="1"/>
    <s v="DK2_Rural"/>
    <x v="1"/>
    <x v="1"/>
    <s v="SolarPV-50"/>
    <x v="9"/>
    <x v="4"/>
    <n v="2068.3745228725602"/>
    <n v="125826.116808081"/>
    <n v="452974.02050909097"/>
  </r>
  <r>
    <x v="0"/>
    <x v="0"/>
    <x v="0"/>
    <x v="0"/>
    <x v="1"/>
    <s v="DK2_Rural"/>
    <x v="1"/>
    <x v="1"/>
    <s v="SolarPV-50"/>
    <x v="9"/>
    <x v="5"/>
    <n v="2216.56654740354"/>
    <n v="134841.131633716"/>
    <n v="485428.07388137601"/>
  </r>
  <r>
    <x v="0"/>
    <x v="0"/>
    <x v="0"/>
    <x v="0"/>
    <x v="1"/>
    <s v="DK2_Rural"/>
    <x v="1"/>
    <x v="1"/>
    <s v="SolarPV-50"/>
    <x v="9"/>
    <x v="6"/>
    <n v="2460.3930469573002"/>
    <n v="149673.91035656899"/>
    <n v="538826.07728364901"/>
  </r>
  <r>
    <x v="0"/>
    <x v="0"/>
    <x v="0"/>
    <x v="0"/>
    <x v="1"/>
    <s v="DK2_Rural"/>
    <x v="1"/>
    <x v="1"/>
    <s v="SolarPV-50"/>
    <x v="9"/>
    <x v="7"/>
    <n v="2705.20686154129"/>
    <n v="164566.75074376201"/>
    <n v="592440.30267754302"/>
  </r>
  <r>
    <x v="0"/>
    <x v="0"/>
    <x v="0"/>
    <x v="0"/>
    <x v="1"/>
    <s v="DK2_Rural"/>
    <x v="1"/>
    <x v="1"/>
    <s v="SolarPV-50"/>
    <x v="9"/>
    <x v="8"/>
    <n v="2794.75773462196"/>
    <n v="170014.42885616899"/>
    <n v="612051.94388220902"/>
  </r>
  <r>
    <x v="0"/>
    <x v="0"/>
    <x v="0"/>
    <x v="0"/>
    <x v="1"/>
    <s v="DK2_Rural"/>
    <x v="1"/>
    <x v="1"/>
    <s v="SolarPV-50"/>
    <x v="9"/>
    <x v="9"/>
    <n v="2787.0078132972099"/>
    <n v="169542.975308914"/>
    <n v="610354.71111209004"/>
  </r>
  <r>
    <x v="0"/>
    <x v="0"/>
    <x v="0"/>
    <x v="0"/>
    <x v="1"/>
    <s v="DK2_Rural"/>
    <x v="1"/>
    <x v="1"/>
    <s v="SolarPV-50"/>
    <x v="9"/>
    <x v="10"/>
    <n v="2793.5546039727301"/>
    <n v="169941.23840834101"/>
    <n v="611788.45827002695"/>
  </r>
  <r>
    <x v="0"/>
    <x v="0"/>
    <x v="0"/>
    <x v="0"/>
    <x v="1"/>
    <s v="DK2_Rural"/>
    <x v="1"/>
    <x v="1"/>
    <s v="SolarPV-50"/>
    <x v="9"/>
    <x v="11"/>
    <n v="2765.30395856512"/>
    <n v="168222.65747937799"/>
    <n v="605601.56692576199"/>
  </r>
  <r>
    <x v="0"/>
    <x v="0"/>
    <x v="0"/>
    <x v="0"/>
    <x v="1"/>
    <s v="DK2_Rural"/>
    <x v="1"/>
    <x v="1"/>
    <s v="SolarPV-50"/>
    <x v="10"/>
    <x v="0"/>
    <n v="1030.19946146743"/>
    <n v="62670.467239268801"/>
    <n v="225613.68206136799"/>
  </r>
  <r>
    <x v="0"/>
    <x v="0"/>
    <x v="0"/>
    <x v="0"/>
    <x v="1"/>
    <s v="DK2_Rural"/>
    <x v="1"/>
    <x v="1"/>
    <s v="SolarPV-50"/>
    <x v="10"/>
    <x v="1"/>
    <n v="991.92823109309404"/>
    <n v="60342.300724829904"/>
    <n v="217232.282609388"/>
  </r>
  <r>
    <x v="0"/>
    <x v="0"/>
    <x v="0"/>
    <x v="0"/>
    <x v="1"/>
    <s v="DK2_Rural"/>
    <x v="1"/>
    <x v="1"/>
    <s v="SolarPV-50"/>
    <x v="10"/>
    <x v="2"/>
    <n v="1107.3126204121399"/>
    <n v="67361.517741738702"/>
    <n v="242501.463870259"/>
  </r>
  <r>
    <x v="0"/>
    <x v="0"/>
    <x v="0"/>
    <x v="0"/>
    <x v="1"/>
    <s v="DK2_Rural"/>
    <x v="1"/>
    <x v="1"/>
    <s v="SolarPV-50"/>
    <x v="10"/>
    <x v="3"/>
    <n v="1184.82693626174"/>
    <n v="72076.971955922403"/>
    <n v="259477.09904132099"/>
  </r>
  <r>
    <x v="0"/>
    <x v="0"/>
    <x v="0"/>
    <x v="0"/>
    <x v="1"/>
    <s v="DK2_Rural"/>
    <x v="1"/>
    <x v="1"/>
    <s v="SolarPV-50"/>
    <x v="10"/>
    <x v="4"/>
    <n v="1414.19774715881"/>
    <n v="86030.362952161202"/>
    <n v="309709.30662778002"/>
  </r>
  <r>
    <x v="0"/>
    <x v="0"/>
    <x v="0"/>
    <x v="0"/>
    <x v="1"/>
    <s v="DK2_Rural"/>
    <x v="1"/>
    <x v="1"/>
    <s v="SolarPV-50"/>
    <x v="10"/>
    <x v="5"/>
    <n v="2055.18205081209"/>
    <n v="125023.574757736"/>
    <n v="450084.86912784801"/>
  </r>
  <r>
    <x v="0"/>
    <x v="0"/>
    <x v="0"/>
    <x v="0"/>
    <x v="1"/>
    <s v="DK2_Rural"/>
    <x v="1"/>
    <x v="1"/>
    <s v="SolarPV-50"/>
    <x v="10"/>
    <x v="6"/>
    <n v="2296.7991624574402"/>
    <n v="139721.949049494"/>
    <n v="502999.01657818002"/>
  </r>
  <r>
    <x v="0"/>
    <x v="0"/>
    <x v="0"/>
    <x v="0"/>
    <x v="1"/>
    <s v="DK2_Rural"/>
    <x v="1"/>
    <x v="1"/>
    <s v="SolarPV-50"/>
    <x v="10"/>
    <x v="7"/>
    <n v="2535.4077404037098"/>
    <n v="154237.304207893"/>
    <n v="555254.29514841305"/>
  </r>
  <r>
    <x v="0"/>
    <x v="0"/>
    <x v="0"/>
    <x v="0"/>
    <x v="1"/>
    <s v="DK2_Rural"/>
    <x v="1"/>
    <x v="1"/>
    <s v="SolarPV-50"/>
    <x v="10"/>
    <x v="8"/>
    <n v="2646.8870994162698"/>
    <n v="161018.96521448999"/>
    <n v="579668.27477216395"/>
  </r>
  <r>
    <x v="0"/>
    <x v="0"/>
    <x v="0"/>
    <x v="0"/>
    <x v="1"/>
    <s v="DK2_Rural"/>
    <x v="1"/>
    <x v="1"/>
    <s v="SolarPV-50"/>
    <x v="10"/>
    <x v="9"/>
    <n v="2711.1211624493199"/>
    <n v="164926.53738233401"/>
    <n v="593735.53457640205"/>
  </r>
  <r>
    <x v="0"/>
    <x v="0"/>
    <x v="0"/>
    <x v="0"/>
    <x v="1"/>
    <s v="DK2_Rural"/>
    <x v="1"/>
    <x v="1"/>
    <s v="SolarPV-50"/>
    <x v="10"/>
    <x v="10"/>
    <n v="2701.0283623566602"/>
    <n v="164312.55871002999"/>
    <n v="591525.21135610901"/>
  </r>
  <r>
    <x v="0"/>
    <x v="0"/>
    <x v="0"/>
    <x v="0"/>
    <x v="1"/>
    <s v="DK2_Rural"/>
    <x v="1"/>
    <x v="1"/>
    <s v="SolarPV-50"/>
    <x v="10"/>
    <x v="11"/>
    <n v="2636.3815155161201"/>
    <n v="160379.87552723"/>
    <n v="577367.55189802905"/>
  </r>
  <r>
    <x v="0"/>
    <x v="0"/>
    <x v="0"/>
    <x v="0"/>
    <x v="1"/>
    <s v="DK2_Rural"/>
    <x v="1"/>
    <x v="1"/>
    <s v="SolarPV-50"/>
    <x v="11"/>
    <x v="0"/>
    <n v="1353.6205341585201"/>
    <n v="82345.249161309897"/>
    <n v="296442.89698071498"/>
  </r>
  <r>
    <x v="0"/>
    <x v="0"/>
    <x v="0"/>
    <x v="0"/>
    <x v="1"/>
    <s v="DK2_Rural"/>
    <x v="1"/>
    <x v="1"/>
    <s v="SolarPV-50"/>
    <x v="11"/>
    <x v="1"/>
    <n v="765.01654559894598"/>
    <n v="46538.506523935903"/>
    <n v="167538.623486169"/>
  </r>
  <r>
    <x v="0"/>
    <x v="0"/>
    <x v="0"/>
    <x v="0"/>
    <x v="1"/>
    <s v="DK2_Rural"/>
    <x v="1"/>
    <x v="1"/>
    <s v="SolarPV-50"/>
    <x v="11"/>
    <x v="2"/>
    <n v="647.54040416242901"/>
    <n v="39392.041253214396"/>
    <n v="141811.348511572"/>
  </r>
  <r>
    <x v="0"/>
    <x v="0"/>
    <x v="0"/>
    <x v="0"/>
    <x v="1"/>
    <s v="DK2_Rural"/>
    <x v="1"/>
    <x v="1"/>
    <s v="SolarPV-50"/>
    <x v="11"/>
    <x v="3"/>
    <n v="670.71359967145997"/>
    <n v="40801.743980013802"/>
    <n v="146886.27832804999"/>
  </r>
  <r>
    <x v="0"/>
    <x v="0"/>
    <x v="0"/>
    <x v="0"/>
    <x v="1"/>
    <s v="DK2_Rural"/>
    <x v="1"/>
    <x v="1"/>
    <s v="SolarPV-50"/>
    <x v="11"/>
    <x v="4"/>
    <n v="770.27038515395304"/>
    <n v="46858.115096865498"/>
    <n v="168689.21434871599"/>
  </r>
  <r>
    <x v="0"/>
    <x v="0"/>
    <x v="0"/>
    <x v="0"/>
    <x v="1"/>
    <s v="DK2_Rural"/>
    <x v="1"/>
    <x v="1"/>
    <s v="SolarPV-50"/>
    <x v="11"/>
    <x v="5"/>
    <n v="1227.86971398227"/>
    <n v="74695.407600587903"/>
    <n v="268903.46736211597"/>
  </r>
  <r>
    <x v="0"/>
    <x v="0"/>
    <x v="0"/>
    <x v="0"/>
    <x v="1"/>
    <s v="DK2_Rural"/>
    <x v="1"/>
    <x v="1"/>
    <s v="SolarPV-50"/>
    <x v="11"/>
    <x v="6"/>
    <n v="2347.2960647769301"/>
    <n v="142793.84394059601"/>
    <n v="514057.83818614698"/>
  </r>
  <r>
    <x v="0"/>
    <x v="0"/>
    <x v="0"/>
    <x v="0"/>
    <x v="1"/>
    <s v="DK2_Rural"/>
    <x v="1"/>
    <x v="1"/>
    <s v="SolarPV-50"/>
    <x v="11"/>
    <x v="7"/>
    <n v="2592.5448073657699"/>
    <n v="157713.14244808501"/>
    <n v="567767.31281310495"/>
  </r>
  <r>
    <x v="0"/>
    <x v="0"/>
    <x v="0"/>
    <x v="0"/>
    <x v="1"/>
    <s v="DK2_Rural"/>
    <x v="1"/>
    <x v="1"/>
    <s v="SolarPV-50"/>
    <x v="11"/>
    <x v="8"/>
    <n v="2662.9798398267799"/>
    <n v="161997.94025612899"/>
    <n v="583192.58492206503"/>
  </r>
  <r>
    <x v="0"/>
    <x v="0"/>
    <x v="0"/>
    <x v="0"/>
    <x v="1"/>
    <s v="DK2_Rural"/>
    <x v="1"/>
    <x v="1"/>
    <s v="SolarPV-50"/>
    <x v="11"/>
    <x v="9"/>
    <n v="2639.8941297258302"/>
    <n v="160593.55955832099"/>
    <n v="578136.81440995599"/>
  </r>
  <r>
    <x v="0"/>
    <x v="0"/>
    <x v="0"/>
    <x v="0"/>
    <x v="1"/>
    <s v="DK2_Rural"/>
    <x v="1"/>
    <x v="1"/>
    <s v="SolarPV-50"/>
    <x v="11"/>
    <x v="10"/>
    <n v="2636.5308310768"/>
    <n v="160388.95889050499"/>
    <n v="577400.252005819"/>
  </r>
  <r>
    <x v="0"/>
    <x v="0"/>
    <x v="0"/>
    <x v="0"/>
    <x v="1"/>
    <s v="DK2_Rural"/>
    <x v="1"/>
    <x v="1"/>
    <s v="SolarPV-50"/>
    <x v="11"/>
    <x v="11"/>
    <n v="2616.2190353360702"/>
    <n v="159153.32464961099"/>
    <n v="572951.96873859898"/>
  </r>
  <r>
    <x v="0"/>
    <x v="0"/>
    <x v="0"/>
    <x v="0"/>
    <x v="1"/>
    <s v="DK2_Small"/>
    <x v="0"/>
    <x v="0"/>
    <s v="DK2_Rural_WI"/>
    <x v="0"/>
    <x v="0"/>
    <n v="12.949679326309701"/>
    <n v="787.77215901717398"/>
    <n v="2835.9797724618202"/>
  </r>
  <r>
    <x v="0"/>
    <x v="0"/>
    <x v="0"/>
    <x v="0"/>
    <x v="1"/>
    <s v="DK2_Small"/>
    <x v="0"/>
    <x v="0"/>
    <s v="DK2_Rural_WI"/>
    <x v="0"/>
    <x v="1"/>
    <n v="13.546989258335101"/>
    <n v="824.10851321538303"/>
    <n v="2966.7906475753798"/>
  </r>
  <r>
    <x v="0"/>
    <x v="0"/>
    <x v="0"/>
    <x v="0"/>
    <x v="1"/>
    <s v="DK2_Small"/>
    <x v="0"/>
    <x v="0"/>
    <s v="DK2_Rural_WI"/>
    <x v="0"/>
    <x v="2"/>
    <n v="12.2090150105983"/>
    <n v="742.71507981139405"/>
    <n v="2673.77428732102"/>
  </r>
  <r>
    <x v="0"/>
    <x v="0"/>
    <x v="0"/>
    <x v="0"/>
    <x v="1"/>
    <s v="DK2_Small"/>
    <x v="0"/>
    <x v="0"/>
    <s v="DK2_Rural_WI"/>
    <x v="0"/>
    <x v="3"/>
    <n v="8.7446174048511995"/>
    <n v="531.96422546178201"/>
    <n v="1915.07121166241"/>
  </r>
  <r>
    <x v="0"/>
    <x v="0"/>
    <x v="0"/>
    <x v="0"/>
    <x v="1"/>
    <s v="DK2_Small"/>
    <x v="0"/>
    <x v="0"/>
    <s v="DK2_Rural_WI"/>
    <x v="0"/>
    <x v="4"/>
    <n v="8.0278454864207802"/>
    <n v="488.36060042393001"/>
    <n v="1758.0981615261501"/>
  </r>
  <r>
    <x v="0"/>
    <x v="0"/>
    <x v="0"/>
    <x v="0"/>
    <x v="1"/>
    <s v="DK2_Small"/>
    <x v="0"/>
    <x v="0"/>
    <s v="DK2_Rural_WI"/>
    <x v="0"/>
    <x v="5"/>
    <n v="11.133857132952601"/>
    <n v="677.30964225461798"/>
    <n v="2438.3147121166198"/>
  </r>
  <r>
    <x v="0"/>
    <x v="0"/>
    <x v="0"/>
    <x v="0"/>
    <x v="1"/>
    <s v="DK2_Small"/>
    <x v="0"/>
    <x v="0"/>
    <s v="DK2_Rural_WI"/>
    <x v="0"/>
    <x v="6"/>
    <n v="13.236388093681899"/>
    <n v="805.21360903231403"/>
    <n v="2898.7689925163299"/>
  </r>
  <r>
    <x v="0"/>
    <x v="0"/>
    <x v="0"/>
    <x v="0"/>
    <x v="1"/>
    <s v="DK2_Small"/>
    <x v="0"/>
    <x v="0"/>
    <s v="DK2_Rural_WI"/>
    <x v="0"/>
    <x v="7"/>
    <n v="11.277211516638699"/>
    <n v="686.03036726218795"/>
    <n v="2469.7093221438799"/>
  </r>
  <r>
    <x v="0"/>
    <x v="0"/>
    <x v="0"/>
    <x v="0"/>
    <x v="1"/>
    <s v="DK2_Small"/>
    <x v="0"/>
    <x v="0"/>
    <s v="DK2_Rural_WI"/>
    <x v="0"/>
    <x v="8"/>
    <n v="10.871040762861499"/>
    <n v="661.32164640740598"/>
    <n v="2380.7579270666602"/>
  </r>
  <r>
    <x v="0"/>
    <x v="0"/>
    <x v="0"/>
    <x v="0"/>
    <x v="1"/>
    <s v="DK2_Small"/>
    <x v="0"/>
    <x v="0"/>
    <s v="DK2_Rural_WI"/>
    <x v="0"/>
    <x v="9"/>
    <n v="8.6968326102891709"/>
    <n v="529.05731712592501"/>
    <n v="1904.60634165333"/>
  </r>
  <r>
    <x v="0"/>
    <x v="0"/>
    <x v="0"/>
    <x v="0"/>
    <x v="1"/>
    <s v="DK2_Small"/>
    <x v="0"/>
    <x v="0"/>
    <s v="DK2_Rural_WI"/>
    <x v="0"/>
    <x v="10"/>
    <n v="8.1950922673878708"/>
    <n v="498.53477959942899"/>
    <n v="1794.7252065579401"/>
  </r>
  <r>
    <x v="0"/>
    <x v="0"/>
    <x v="0"/>
    <x v="0"/>
    <x v="1"/>
    <s v="DK2_Small"/>
    <x v="0"/>
    <x v="0"/>
    <s v="DK2_Rural_WI"/>
    <x v="0"/>
    <x v="11"/>
    <n v="9.6525285015297406"/>
    <n v="587.19548384305904"/>
    <n v="2113.9037418350099"/>
  </r>
  <r>
    <x v="0"/>
    <x v="0"/>
    <x v="0"/>
    <x v="0"/>
    <x v="1"/>
    <s v="DK2_Small"/>
    <x v="0"/>
    <x v="0"/>
    <s v="DK2_Rural_WI"/>
    <x v="1"/>
    <x v="0"/>
    <n v="1.67246780967099"/>
    <n v="101.741791754986"/>
    <n v="366.27045031794802"/>
  </r>
  <r>
    <x v="0"/>
    <x v="0"/>
    <x v="0"/>
    <x v="0"/>
    <x v="1"/>
    <s v="DK2_Small"/>
    <x v="0"/>
    <x v="0"/>
    <s v="DK2_Rural_WI"/>
    <x v="1"/>
    <x v="1"/>
    <n v="2.0069613716051902"/>
    <n v="122.090150105983"/>
    <n v="439.52454038153701"/>
  </r>
  <r>
    <x v="0"/>
    <x v="0"/>
    <x v="0"/>
    <x v="0"/>
    <x v="1"/>
    <s v="DK2_Small"/>
    <x v="0"/>
    <x v="0"/>
    <s v="DK2_Rural_WI"/>
    <x v="1"/>
    <x v="2"/>
    <n v="1.9591765770431699"/>
    <n v="119.183241770126"/>
    <n v="429.05967037245301"/>
  </r>
  <r>
    <x v="0"/>
    <x v="0"/>
    <x v="0"/>
    <x v="0"/>
    <x v="1"/>
    <s v="DK2_Small"/>
    <x v="0"/>
    <x v="0"/>
    <s v="DK2_Rural_WI"/>
    <x v="1"/>
    <x v="3"/>
    <n v="1.8397145906380901"/>
    <n v="111.91597093048399"/>
    <n v="402.897495349743"/>
  </r>
  <r>
    <x v="0"/>
    <x v="0"/>
    <x v="0"/>
    <x v="0"/>
    <x v="1"/>
    <s v="DK2_Small"/>
    <x v="0"/>
    <x v="0"/>
    <s v="DK2_Rural_WI"/>
    <x v="1"/>
    <x v="4"/>
    <n v="1.3618666450178101"/>
    <n v="82.846887571916795"/>
    <n v="298.24879525889997"/>
  </r>
  <r>
    <x v="0"/>
    <x v="0"/>
    <x v="0"/>
    <x v="0"/>
    <x v="1"/>
    <s v="DK2_Small"/>
    <x v="0"/>
    <x v="0"/>
    <s v="DK2_Rural_WI"/>
    <x v="1"/>
    <x v="5"/>
    <n v="0.78844911027346898"/>
    <n v="47.963987541636001"/>
    <n v="172.67035514989001"/>
  </r>
  <r>
    <x v="0"/>
    <x v="0"/>
    <x v="0"/>
    <x v="0"/>
    <x v="1"/>
    <s v="DK2_Small"/>
    <x v="0"/>
    <x v="0"/>
    <s v="DK2_Rural_WI"/>
    <x v="1"/>
    <x v="6"/>
    <n v="0.167246780967099"/>
    <n v="10.174179175498599"/>
    <n v="36.6270450317948"/>
  </r>
  <r>
    <x v="0"/>
    <x v="0"/>
    <x v="0"/>
    <x v="0"/>
    <x v="1"/>
    <s v="DK2_Small"/>
    <x v="0"/>
    <x v="0"/>
    <s v="DK2_Rural_WI"/>
    <x v="1"/>
    <x v="7"/>
    <n v="0.119461986405071"/>
    <n v="7.26727083964182"/>
    <n v="26.162175022710599"/>
  </r>
  <r>
    <x v="0"/>
    <x v="0"/>
    <x v="0"/>
    <x v="0"/>
    <x v="1"/>
    <s v="DK2_Small"/>
    <x v="0"/>
    <x v="0"/>
    <s v="DK2_Rural_WI"/>
    <x v="1"/>
    <x v="8"/>
    <n v="0.167246780967099"/>
    <n v="10.174179175498599"/>
    <n v="36.6270450317948"/>
  </r>
  <r>
    <x v="0"/>
    <x v="0"/>
    <x v="0"/>
    <x v="0"/>
    <x v="1"/>
    <s v="DK2_Small"/>
    <x v="0"/>
    <x v="0"/>
    <s v="DK2_Rural_WI"/>
    <x v="1"/>
    <x v="9"/>
    <n v="0.78844911027346898"/>
    <n v="47.963987541636001"/>
    <n v="172.67035514989001"/>
  </r>
  <r>
    <x v="0"/>
    <x v="0"/>
    <x v="0"/>
    <x v="0"/>
    <x v="1"/>
    <s v="DK2_Small"/>
    <x v="0"/>
    <x v="0"/>
    <s v="DK2_Rural_WI"/>
    <x v="1"/>
    <x v="10"/>
    <n v="1.8397145906380901"/>
    <n v="111.91597093048399"/>
    <n v="402.897495349743"/>
  </r>
  <r>
    <x v="0"/>
    <x v="0"/>
    <x v="0"/>
    <x v="0"/>
    <x v="1"/>
    <s v="DK2_Small"/>
    <x v="0"/>
    <x v="0"/>
    <s v="DK2_Rural_WI"/>
    <x v="1"/>
    <x v="11"/>
    <n v="2.84319527644069"/>
    <n v="172.961045983475"/>
    <n v="622.65976554051099"/>
  </r>
  <r>
    <x v="0"/>
    <x v="0"/>
    <x v="0"/>
    <x v="0"/>
    <x v="1"/>
    <s v="DK2_Small"/>
    <x v="0"/>
    <x v="0"/>
    <s v="DK2_Rural_WI"/>
    <x v="2"/>
    <x v="0"/>
    <n v="2.0069613716051902"/>
    <n v="122.090150105983"/>
    <n v="439.52454038153701"/>
  </r>
  <r>
    <x v="0"/>
    <x v="0"/>
    <x v="0"/>
    <x v="0"/>
    <x v="1"/>
    <s v="DK2_Small"/>
    <x v="0"/>
    <x v="0"/>
    <s v="DK2_Rural_WI"/>
    <x v="2"/>
    <x v="1"/>
    <n v="2.1503157552912802"/>
    <n v="130.81087511355301"/>
    <n v="470.91915040879002"/>
  </r>
  <r>
    <x v="0"/>
    <x v="0"/>
    <x v="0"/>
    <x v="0"/>
    <x v="1"/>
    <s v="DK2_Small"/>
    <x v="0"/>
    <x v="0"/>
    <s v="DK2_Rural_WI"/>
    <x v="2"/>
    <x v="2"/>
    <n v="3.4405052084660501"/>
    <n v="209.29740018168499"/>
    <n v="753.47064065406403"/>
  </r>
  <r>
    <x v="0"/>
    <x v="0"/>
    <x v="0"/>
    <x v="0"/>
    <x v="1"/>
    <s v="DK2_Small"/>
    <x v="0"/>
    <x v="0"/>
    <s v="DK2_Rural_WI"/>
    <x v="2"/>
    <x v="3"/>
    <n v="3.7511063731192298"/>
    <n v="228.192304364753"/>
    <n v="821.49229571311196"/>
  </r>
  <r>
    <x v="0"/>
    <x v="0"/>
    <x v="0"/>
    <x v="0"/>
    <x v="1"/>
    <s v="DK2_Small"/>
    <x v="0"/>
    <x v="0"/>
    <s v="DK2_Rural_WI"/>
    <x v="2"/>
    <x v="4"/>
    <n v="4.1094923323344501"/>
    <n v="249.994116883679"/>
    <n v="899.97882078124303"/>
  </r>
  <r>
    <x v="0"/>
    <x v="0"/>
    <x v="0"/>
    <x v="0"/>
    <x v="1"/>
    <s v="DK2_Small"/>
    <x v="0"/>
    <x v="0"/>
    <s v="DK2_Rural_WI"/>
    <x v="2"/>
    <x v="5"/>
    <n v="3.7749987704002499"/>
    <n v="229.64575853268201"/>
    <n v="826.72473071765398"/>
  </r>
  <r>
    <x v="0"/>
    <x v="0"/>
    <x v="0"/>
    <x v="0"/>
    <x v="1"/>
    <s v="DK2_Small"/>
    <x v="0"/>
    <x v="0"/>
    <s v="DK2_Rural_WI"/>
    <x v="2"/>
    <x v="6"/>
    <n v="3.55996719487112"/>
    <n v="216.56467102132601"/>
    <n v="779.63281567677495"/>
  </r>
  <r>
    <x v="0"/>
    <x v="0"/>
    <x v="0"/>
    <x v="0"/>
    <x v="1"/>
    <s v="DK2_Small"/>
    <x v="0"/>
    <x v="0"/>
    <s v="DK2_Rural_WI"/>
    <x v="2"/>
    <x v="7"/>
    <n v="3.4405052084660501"/>
    <n v="209.29740018168499"/>
    <n v="753.47064065406403"/>
  </r>
  <r>
    <x v="0"/>
    <x v="0"/>
    <x v="0"/>
    <x v="0"/>
    <x v="1"/>
    <s v="DK2_Small"/>
    <x v="0"/>
    <x v="0"/>
    <s v="DK2_Rural_WI"/>
    <x v="2"/>
    <x v="8"/>
    <n v="3.3927204139040201"/>
    <n v="206.390491845828"/>
    <n v="743.00577064497998"/>
  </r>
  <r>
    <x v="0"/>
    <x v="0"/>
    <x v="0"/>
    <x v="0"/>
    <x v="1"/>
    <s v="DK2_Small"/>
    <x v="0"/>
    <x v="0"/>
    <s v="DK2_Rural_WI"/>
    <x v="2"/>
    <x v="9"/>
    <n v="3.1776888383748898"/>
    <n v="193.30940433447299"/>
    <n v="695.91385560410095"/>
  </r>
  <r>
    <x v="0"/>
    <x v="0"/>
    <x v="0"/>
    <x v="0"/>
    <x v="1"/>
    <s v="DK2_Small"/>
    <x v="0"/>
    <x v="0"/>
    <s v="DK2_Rural_WI"/>
    <x v="2"/>
    <x v="10"/>
    <n v="3.2732584274989498"/>
    <n v="199.12322100618599"/>
    <n v="716.84359562226996"/>
  </r>
  <r>
    <x v="0"/>
    <x v="0"/>
    <x v="0"/>
    <x v="0"/>
    <x v="1"/>
    <s v="DK2_Small"/>
    <x v="0"/>
    <x v="0"/>
    <s v="DK2_Rural_WI"/>
    <x v="2"/>
    <x v="11"/>
    <n v="3.6316443867141599"/>
    <n v="220.92503352511099"/>
    <n v="795.33012069040103"/>
  </r>
  <r>
    <x v="0"/>
    <x v="0"/>
    <x v="0"/>
    <x v="0"/>
    <x v="1"/>
    <s v="DK2_Small"/>
    <x v="0"/>
    <x v="0"/>
    <s v="DK2_Rural_WI"/>
    <x v="3"/>
    <x v="0"/>
    <n v="3.3210432220609798"/>
    <n v="202.03012934204301"/>
    <n v="727.30846563135401"/>
  </r>
  <r>
    <x v="0"/>
    <x v="0"/>
    <x v="0"/>
    <x v="0"/>
    <x v="1"/>
    <s v="DK2_Small"/>
    <x v="0"/>
    <x v="0"/>
    <s v="DK2_Rural_WI"/>
    <x v="3"/>
    <x v="1"/>
    <n v="2.5564865090685198"/>
    <n v="155.51959596833501"/>
    <n v="559.87054548600599"/>
  </r>
  <r>
    <x v="0"/>
    <x v="0"/>
    <x v="0"/>
    <x v="0"/>
    <x v="1"/>
    <s v="DK2_Small"/>
    <x v="0"/>
    <x v="0"/>
    <s v="DK2_Rural_WI"/>
    <x v="3"/>
    <x v="2"/>
    <n v="2.93876486556475"/>
    <n v="178.774862655189"/>
    <n v="643.58950555868"/>
  </r>
  <r>
    <x v="0"/>
    <x v="0"/>
    <x v="0"/>
    <x v="0"/>
    <x v="1"/>
    <s v="DK2_Small"/>
    <x v="0"/>
    <x v="0"/>
    <s v="DK2_Rural_WI"/>
    <x v="3"/>
    <x v="3"/>
    <n v="2.7237332900356201"/>
    <n v="165.69377514383399"/>
    <n v="596.49759051780097"/>
  </r>
  <r>
    <x v="0"/>
    <x v="0"/>
    <x v="0"/>
    <x v="0"/>
    <x v="1"/>
    <s v="DK2_Small"/>
    <x v="0"/>
    <x v="0"/>
    <s v="DK2_Rural_WI"/>
    <x v="3"/>
    <x v="4"/>
    <n v="2.2219929471343201"/>
    <n v="135.17123761733799"/>
    <n v="486.616455422417"/>
  </r>
  <r>
    <x v="0"/>
    <x v="0"/>
    <x v="0"/>
    <x v="0"/>
    <x v="1"/>
    <s v="DK2_Small"/>
    <x v="0"/>
    <x v="0"/>
    <s v="DK2_Rural_WI"/>
    <x v="3"/>
    <x v="5"/>
    <n v="1.76803739879505"/>
    <n v="107.555608426699"/>
    <n v="387.20019033611601"/>
  </r>
  <r>
    <x v="0"/>
    <x v="0"/>
    <x v="0"/>
    <x v="0"/>
    <x v="1"/>
    <s v="DK2_Small"/>
    <x v="0"/>
    <x v="0"/>
    <s v="DK2_Rural_WI"/>
    <x v="3"/>
    <x v="6"/>
    <n v="1.14683506948868"/>
    <n v="69.765800060561503"/>
    <n v="251.156880218021"/>
  </r>
  <r>
    <x v="0"/>
    <x v="0"/>
    <x v="0"/>
    <x v="0"/>
    <x v="1"/>
    <s v="DK2_Small"/>
    <x v="0"/>
    <x v="0"/>
    <s v="DK2_Rural_WI"/>
    <x v="3"/>
    <x v="7"/>
    <n v="0.86012630211651198"/>
    <n v="52.324350045421099"/>
    <n v="188.36766016351601"/>
  </r>
  <r>
    <x v="0"/>
    <x v="0"/>
    <x v="0"/>
    <x v="0"/>
    <x v="1"/>
    <s v="DK2_Small"/>
    <x v="0"/>
    <x v="0"/>
    <s v="DK2_Rural_WI"/>
    <x v="3"/>
    <x v="8"/>
    <n v="0.64509472658738398"/>
    <n v="39.243262534065799"/>
    <n v="141.27574512263701"/>
  </r>
  <r>
    <x v="0"/>
    <x v="0"/>
    <x v="0"/>
    <x v="0"/>
    <x v="1"/>
    <s v="DK2_Small"/>
    <x v="0"/>
    <x v="0"/>
    <s v="DK2_Rural_WI"/>
    <x v="3"/>
    <x v="9"/>
    <n v="0.47784794562028399"/>
    <n v="29.069083358567301"/>
    <n v="104.648700090842"/>
  </r>
  <r>
    <x v="0"/>
    <x v="0"/>
    <x v="0"/>
    <x v="0"/>
    <x v="1"/>
    <s v="DK2_Small"/>
    <x v="0"/>
    <x v="0"/>
    <s v="DK2_Rural_WI"/>
    <x v="3"/>
    <x v="10"/>
    <n v="0.33449356193419899"/>
    <n v="20.348358350997099"/>
    <n v="73.254090063589601"/>
  </r>
  <r>
    <x v="0"/>
    <x v="0"/>
    <x v="0"/>
    <x v="0"/>
    <x v="1"/>
    <s v="DK2_Small"/>
    <x v="0"/>
    <x v="0"/>
    <s v="DK2_Rural_WI"/>
    <x v="3"/>
    <x v="11"/>
    <n v="0.28670876737217099"/>
    <n v="17.441450015140401"/>
    <n v="62.7892200545054"/>
  </r>
  <r>
    <x v="0"/>
    <x v="0"/>
    <x v="0"/>
    <x v="0"/>
    <x v="1"/>
    <s v="DK2_Small"/>
    <x v="0"/>
    <x v="0"/>
    <s v="DK2_Rural_WI"/>
    <x v="4"/>
    <x v="0"/>
    <n v="13.666451244740101"/>
    <n v="831.37578405502495"/>
    <n v="2992.9528225980898"/>
  </r>
  <r>
    <x v="0"/>
    <x v="0"/>
    <x v="0"/>
    <x v="0"/>
    <x v="1"/>
    <s v="DK2_Small"/>
    <x v="0"/>
    <x v="0"/>
    <s v="DK2_Rural_WI"/>
    <x v="4"/>
    <x v="1"/>
    <n v="13.308065285524901"/>
    <n v="809.57397153609895"/>
    <n v="2914.4662975299598"/>
  </r>
  <r>
    <x v="0"/>
    <x v="0"/>
    <x v="0"/>
    <x v="0"/>
    <x v="1"/>
    <s v="DK2_Small"/>
    <x v="0"/>
    <x v="0"/>
    <s v="DK2_Rural_WI"/>
    <x v="4"/>
    <x v="2"/>
    <n v="13.594774052897099"/>
    <n v="827.01542155124002"/>
    <n v="2977.25551758446"/>
  </r>
  <r>
    <x v="0"/>
    <x v="0"/>
    <x v="0"/>
    <x v="0"/>
    <x v="1"/>
    <s v="DK2_Small"/>
    <x v="0"/>
    <x v="0"/>
    <s v="DK2_Rural_WI"/>
    <x v="4"/>
    <x v="3"/>
    <n v="13.666451244740101"/>
    <n v="831.37578405502495"/>
    <n v="2992.9528225980898"/>
  </r>
  <r>
    <x v="0"/>
    <x v="0"/>
    <x v="0"/>
    <x v="0"/>
    <x v="1"/>
    <s v="DK2_Small"/>
    <x v="0"/>
    <x v="0"/>
    <s v="DK2_Rural_WI"/>
    <x v="4"/>
    <x v="4"/>
    <n v="13.6186664501781"/>
    <n v="828.46887571916795"/>
    <n v="2982.4879525890001"/>
  </r>
  <r>
    <x v="0"/>
    <x v="0"/>
    <x v="0"/>
    <x v="0"/>
    <x v="1"/>
    <s v="DK2_Small"/>
    <x v="0"/>
    <x v="0"/>
    <s v="DK2_Rural_WI"/>
    <x v="4"/>
    <x v="5"/>
    <n v="14.598254738699699"/>
    <n v="888.06049660423105"/>
    <n v="3197.0177877752299"/>
  </r>
  <r>
    <x v="0"/>
    <x v="0"/>
    <x v="0"/>
    <x v="0"/>
    <x v="1"/>
    <s v="DK2_Small"/>
    <x v="0"/>
    <x v="0"/>
    <s v="DK2_Rural_WI"/>
    <x v="4"/>
    <x v="6"/>
    <n v="14.9805330951959"/>
    <n v="911.31576329108498"/>
    <n v="3280.7367478479"/>
  </r>
  <r>
    <x v="0"/>
    <x v="0"/>
    <x v="0"/>
    <x v="0"/>
    <x v="1"/>
    <s v="DK2_Small"/>
    <x v="0"/>
    <x v="0"/>
    <s v="DK2_Rural_WI"/>
    <x v="4"/>
    <x v="7"/>
    <n v="15.195564670725"/>
    <n v="924.39685080243999"/>
    <n v="3327.8286628887799"/>
  </r>
  <r>
    <x v="0"/>
    <x v="0"/>
    <x v="0"/>
    <x v="0"/>
    <x v="1"/>
    <s v="DK2_Small"/>
    <x v="0"/>
    <x v="0"/>
    <s v="DK2_Rural_WI"/>
    <x v="4"/>
    <x v="8"/>
    <n v="15.6495202190643"/>
    <n v="952.01247999307895"/>
    <n v="3427.2449279750799"/>
  </r>
  <r>
    <x v="0"/>
    <x v="0"/>
    <x v="0"/>
    <x v="0"/>
    <x v="1"/>
    <s v="DK2_Small"/>
    <x v="0"/>
    <x v="0"/>
    <s v="DK2_Rural_WI"/>
    <x v="4"/>
    <x v="9"/>
    <n v="16.031798575560501"/>
    <n v="975.267746679933"/>
    <n v="3510.9638880477601"/>
  </r>
  <r>
    <x v="0"/>
    <x v="0"/>
    <x v="0"/>
    <x v="0"/>
    <x v="1"/>
    <s v="DK2_Small"/>
    <x v="0"/>
    <x v="0"/>
    <s v="DK2_Rural_WI"/>
    <x v="4"/>
    <x v="10"/>
    <n v="16.3662921374947"/>
    <n v="995.61610503093004"/>
    <n v="3584.21797811135"/>
  </r>
  <r>
    <x v="0"/>
    <x v="0"/>
    <x v="0"/>
    <x v="0"/>
    <x v="1"/>
    <s v="DK2_Small"/>
    <x v="0"/>
    <x v="0"/>
    <s v="DK2_Rural_WI"/>
    <x v="4"/>
    <x v="11"/>
    <n v="17.0591716586441"/>
    <n v="1037.7662759008499"/>
    <n v="3735.95859324307"/>
  </r>
  <r>
    <x v="0"/>
    <x v="0"/>
    <x v="0"/>
    <x v="0"/>
    <x v="1"/>
    <s v="DK2_Small"/>
    <x v="0"/>
    <x v="0"/>
    <s v="DK2_Rural_WI"/>
    <x v="5"/>
    <x v="0"/>
    <n v="4.3006315105825603"/>
    <n v="261.62175022710602"/>
    <n v="941.83830081758094"/>
  </r>
  <r>
    <x v="0"/>
    <x v="0"/>
    <x v="0"/>
    <x v="0"/>
    <x v="1"/>
    <s v="DK2_Small"/>
    <x v="0"/>
    <x v="0"/>
    <s v="DK2_Rural_WI"/>
    <x v="5"/>
    <x v="1"/>
    <n v="3.5838595921521299"/>
    <n v="218.01812518925499"/>
    <n v="784.86525068131698"/>
  </r>
  <r>
    <x v="0"/>
    <x v="0"/>
    <x v="0"/>
    <x v="0"/>
    <x v="1"/>
    <s v="DK2_Small"/>
    <x v="0"/>
    <x v="0"/>
    <s v="DK2_Rural_WI"/>
    <x v="5"/>
    <x v="2"/>
    <n v="3.1299040438128598"/>
    <n v="190.40249599861599"/>
    <n v="685.44898559501701"/>
  </r>
  <r>
    <x v="0"/>
    <x v="0"/>
    <x v="0"/>
    <x v="0"/>
    <x v="1"/>
    <s v="DK2_Small"/>
    <x v="0"/>
    <x v="0"/>
    <s v="DK2_Rural_WI"/>
    <x v="5"/>
    <x v="3"/>
    <n v="2.6281637009115602"/>
    <n v="159.87995847211999"/>
    <n v="575.56785049963196"/>
  </r>
  <r>
    <x v="0"/>
    <x v="0"/>
    <x v="0"/>
    <x v="0"/>
    <x v="1"/>
    <s v="DK2_Small"/>
    <x v="0"/>
    <x v="0"/>
    <s v="DK2_Rural_WI"/>
    <x v="5"/>
    <x v="4"/>
    <n v="2.1025309607292502"/>
    <n v="127.903966777696"/>
    <n v="460.45428039970602"/>
  </r>
  <r>
    <x v="0"/>
    <x v="0"/>
    <x v="0"/>
    <x v="0"/>
    <x v="1"/>
    <s v="DK2_Small"/>
    <x v="0"/>
    <x v="0"/>
    <s v="DK2_Rural_WI"/>
    <x v="5"/>
    <x v="5"/>
    <n v="1.9830689743241801"/>
    <n v="120.636695938054"/>
    <n v="434.29210537699498"/>
  </r>
  <r>
    <x v="0"/>
    <x v="0"/>
    <x v="0"/>
    <x v="0"/>
    <x v="1"/>
    <s v="DK2_Small"/>
    <x v="0"/>
    <x v="0"/>
    <s v="DK2_Rural_WI"/>
    <x v="5"/>
    <x v="6"/>
    <n v="1.8397145906380901"/>
    <n v="111.91597093048399"/>
    <n v="402.897495349743"/>
  </r>
  <r>
    <x v="0"/>
    <x v="0"/>
    <x v="0"/>
    <x v="0"/>
    <x v="1"/>
    <s v="DK2_Small"/>
    <x v="0"/>
    <x v="0"/>
    <s v="DK2_Rural_WI"/>
    <x v="5"/>
    <x v="7"/>
    <n v="1.76803739879505"/>
    <n v="107.555608426699"/>
    <n v="387.20019033611601"/>
  </r>
  <r>
    <x v="0"/>
    <x v="0"/>
    <x v="0"/>
    <x v="0"/>
    <x v="1"/>
    <s v="DK2_Small"/>
    <x v="0"/>
    <x v="0"/>
    <s v="DK2_Rural_WI"/>
    <x v="5"/>
    <x v="8"/>
    <n v="1.62468301510897"/>
    <n v="98.834883419128801"/>
    <n v="355.80558030886402"/>
  </r>
  <r>
    <x v="0"/>
    <x v="0"/>
    <x v="0"/>
    <x v="0"/>
    <x v="1"/>
    <s v="DK2_Small"/>
    <x v="0"/>
    <x v="0"/>
    <s v="DK2_Rural_WI"/>
    <x v="5"/>
    <x v="9"/>
    <n v="1.62468301510897"/>
    <n v="98.834883419128801"/>
    <n v="355.80558030886402"/>
  </r>
  <r>
    <x v="0"/>
    <x v="0"/>
    <x v="0"/>
    <x v="0"/>
    <x v="1"/>
    <s v="DK2_Small"/>
    <x v="0"/>
    <x v="0"/>
    <s v="DK2_Rural_WI"/>
    <x v="5"/>
    <x v="10"/>
    <n v="1.76803739879505"/>
    <n v="107.555608426699"/>
    <n v="387.20019033611601"/>
  </r>
  <r>
    <x v="0"/>
    <x v="0"/>
    <x v="0"/>
    <x v="0"/>
    <x v="1"/>
    <s v="DK2_Small"/>
    <x v="0"/>
    <x v="0"/>
    <s v="DK2_Rural_WI"/>
    <x v="5"/>
    <x v="11"/>
    <n v="2.5564865090685198"/>
    <n v="155.51959596833501"/>
    <n v="559.87054548600599"/>
  </r>
  <r>
    <x v="0"/>
    <x v="0"/>
    <x v="0"/>
    <x v="0"/>
    <x v="1"/>
    <s v="DK2_Small"/>
    <x v="0"/>
    <x v="0"/>
    <s v="DK2_Rural_WI"/>
    <x v="6"/>
    <x v="0"/>
    <n v="1.29018945317477"/>
    <n v="78.486525068131698"/>
    <n v="282.55149024527401"/>
  </r>
  <r>
    <x v="0"/>
    <x v="0"/>
    <x v="0"/>
    <x v="0"/>
    <x v="1"/>
    <s v="DK2_Small"/>
    <x v="0"/>
    <x v="0"/>
    <s v="DK2_Rural_WI"/>
    <x v="6"/>
    <x v="1"/>
    <n v="1.43354383686085"/>
    <n v="87.207250075701893"/>
    <n v="313.94610027252702"/>
  </r>
  <r>
    <x v="0"/>
    <x v="0"/>
    <x v="0"/>
    <x v="0"/>
    <x v="1"/>
    <s v="DK2_Small"/>
    <x v="0"/>
    <x v="0"/>
    <s v="DK2_Rural_WI"/>
    <x v="6"/>
    <x v="2"/>
    <n v="0.86012630211651198"/>
    <n v="52.324350045421099"/>
    <n v="188.36766016351601"/>
  </r>
  <r>
    <x v="0"/>
    <x v="0"/>
    <x v="0"/>
    <x v="0"/>
    <x v="1"/>
    <s v="DK2_Small"/>
    <x v="0"/>
    <x v="0"/>
    <s v="DK2_Rural_WI"/>
    <x v="6"/>
    <x v="3"/>
    <n v="0.74066431571144098"/>
    <n v="45.057079205779303"/>
    <n v="162.20548514080599"/>
  </r>
  <r>
    <x v="0"/>
    <x v="0"/>
    <x v="0"/>
    <x v="0"/>
    <x v="1"/>
    <s v="DK2_Small"/>
    <x v="0"/>
    <x v="0"/>
    <s v="DK2_Rural_WI"/>
    <x v="6"/>
    <x v="4"/>
    <n v="0.81234150755448298"/>
    <n v="49.4174417095644"/>
    <n v="177.90279015443201"/>
  </r>
  <r>
    <x v="0"/>
    <x v="0"/>
    <x v="0"/>
    <x v="0"/>
    <x v="1"/>
    <s v="DK2_Small"/>
    <x v="0"/>
    <x v="0"/>
    <s v="DK2_Rural_WI"/>
    <x v="6"/>
    <x v="5"/>
    <n v="0.45395554833926999"/>
    <n v="27.615629190638899"/>
    <n v="99.416265086300101"/>
  </r>
  <r>
    <x v="0"/>
    <x v="0"/>
    <x v="0"/>
    <x v="0"/>
    <x v="1"/>
    <s v="DK2_Small"/>
    <x v="0"/>
    <x v="0"/>
    <s v="DK2_Rural_WI"/>
    <x v="6"/>
    <x v="6"/>
    <n v="0.47784794562028399"/>
    <n v="29.069083358567301"/>
    <n v="104.648700090842"/>
  </r>
  <r>
    <x v="0"/>
    <x v="0"/>
    <x v="0"/>
    <x v="0"/>
    <x v="1"/>
    <s v="DK2_Small"/>
    <x v="0"/>
    <x v="0"/>
    <s v="DK2_Rural_WI"/>
    <x v="6"/>
    <x v="7"/>
    <n v="0.33449356193419899"/>
    <n v="20.348358350997099"/>
    <n v="73.254090063589601"/>
  </r>
  <r>
    <x v="0"/>
    <x v="0"/>
    <x v="0"/>
    <x v="0"/>
    <x v="1"/>
    <s v="DK2_Small"/>
    <x v="0"/>
    <x v="0"/>
    <s v="DK2_Rural_WI"/>
    <x v="6"/>
    <x v="8"/>
    <n v="0.38227835649622699"/>
    <n v="23.255266686853801"/>
    <n v="83.718960072673795"/>
  </r>
  <r>
    <x v="0"/>
    <x v="0"/>
    <x v="0"/>
    <x v="0"/>
    <x v="1"/>
    <s v="DK2_Small"/>
    <x v="0"/>
    <x v="0"/>
    <s v="DK2_Rural_WI"/>
    <x v="6"/>
    <x v="9"/>
    <n v="0.31060116465318499"/>
    <n v="18.8949041830687"/>
    <n v="68.021655059047504"/>
  </r>
  <r>
    <x v="0"/>
    <x v="0"/>
    <x v="0"/>
    <x v="0"/>
    <x v="1"/>
    <s v="DK2_Small"/>
    <x v="0"/>
    <x v="0"/>
    <s v="DK2_Rural_WI"/>
    <x v="6"/>
    <x v="10"/>
    <n v="0.28670876737217099"/>
    <n v="17.441450015140401"/>
    <n v="62.7892200545054"/>
  </r>
  <r>
    <x v="0"/>
    <x v="0"/>
    <x v="0"/>
    <x v="0"/>
    <x v="1"/>
    <s v="DK2_Small"/>
    <x v="0"/>
    <x v="0"/>
    <s v="DK2_Rural_WI"/>
    <x v="6"/>
    <x v="11"/>
    <n v="0.40617075377724199"/>
    <n v="24.7087208547822"/>
    <n v="88.951395077215906"/>
  </r>
  <r>
    <x v="0"/>
    <x v="0"/>
    <x v="0"/>
    <x v="0"/>
    <x v="1"/>
    <s v="DK2_Small"/>
    <x v="0"/>
    <x v="0"/>
    <s v="DK2_Rural_WI"/>
    <x v="7"/>
    <x v="0"/>
    <n v="16.4379693293378"/>
    <n v="999.97646753471497"/>
    <n v="3599.9152831249698"/>
  </r>
  <r>
    <x v="0"/>
    <x v="0"/>
    <x v="0"/>
    <x v="0"/>
    <x v="1"/>
    <s v="DK2_Small"/>
    <x v="0"/>
    <x v="0"/>
    <s v="DK2_Rural_WI"/>
    <x v="7"/>
    <x v="1"/>
    <n v="16.318507342932701"/>
    <n v="992.70919669507305"/>
    <n v="3573.7531081022598"/>
  </r>
  <r>
    <x v="0"/>
    <x v="0"/>
    <x v="0"/>
    <x v="0"/>
    <x v="1"/>
    <s v="DK2_Small"/>
    <x v="0"/>
    <x v="0"/>
    <s v="DK2_Rural_WI"/>
    <x v="7"/>
    <x v="2"/>
    <n v="15.7450898081884"/>
    <n v="957.82629666479204"/>
    <n v="3448.1746679932498"/>
  </r>
  <r>
    <x v="0"/>
    <x v="0"/>
    <x v="0"/>
    <x v="0"/>
    <x v="1"/>
    <s v="DK2_Small"/>
    <x v="0"/>
    <x v="0"/>
    <s v="DK2_Rural_WI"/>
    <x v="7"/>
    <x v="3"/>
    <n v="13.523096861054"/>
    <n v="822.65505904745396"/>
    <n v="2961.5582125708402"/>
  </r>
  <r>
    <x v="0"/>
    <x v="0"/>
    <x v="0"/>
    <x v="0"/>
    <x v="1"/>
    <s v="DK2_Small"/>
    <x v="0"/>
    <x v="0"/>
    <s v="DK2_Rural_WI"/>
    <x v="7"/>
    <x v="4"/>
    <n v="10.6082243927703"/>
    <n v="645.33365056019397"/>
    <n v="2323.2011420167"/>
  </r>
  <r>
    <x v="0"/>
    <x v="0"/>
    <x v="0"/>
    <x v="0"/>
    <x v="1"/>
    <s v="DK2_Small"/>
    <x v="0"/>
    <x v="0"/>
    <s v="DK2_Rural_WI"/>
    <x v="7"/>
    <x v="5"/>
    <n v="8.1950922673878708"/>
    <n v="498.53477959942899"/>
    <n v="1794.7252065579401"/>
  </r>
  <r>
    <x v="0"/>
    <x v="0"/>
    <x v="0"/>
    <x v="0"/>
    <x v="1"/>
    <s v="DK2_Small"/>
    <x v="0"/>
    <x v="0"/>
    <s v="DK2_Rural_WI"/>
    <x v="7"/>
    <x v="6"/>
    <n v="6.8810104169320896"/>
    <n v="418.59480036336902"/>
    <n v="1506.9412813081301"/>
  </r>
  <r>
    <x v="0"/>
    <x v="0"/>
    <x v="0"/>
    <x v="0"/>
    <x v="1"/>
    <s v="DK2_Small"/>
    <x v="0"/>
    <x v="0"/>
    <s v="DK2_Rural_WI"/>
    <x v="7"/>
    <x v="7"/>
    <n v="6.4270548685928199"/>
    <n v="390.97917117272999"/>
    <n v="1407.5250162218299"/>
  </r>
  <r>
    <x v="0"/>
    <x v="0"/>
    <x v="0"/>
    <x v="0"/>
    <x v="1"/>
    <s v="DK2_Small"/>
    <x v="0"/>
    <x v="0"/>
    <s v="DK2_Rural_WI"/>
    <x v="7"/>
    <x v="8"/>
    <n v="6.5943016495599203"/>
    <n v="401.15335034822903"/>
    <n v="1444.1520612536201"/>
  </r>
  <r>
    <x v="0"/>
    <x v="0"/>
    <x v="0"/>
    <x v="0"/>
    <x v="1"/>
    <s v="DK2_Small"/>
    <x v="0"/>
    <x v="0"/>
    <s v="DK2_Rural_WI"/>
    <x v="7"/>
    <x v="9"/>
    <n v="6.5704092522789104"/>
    <n v="399.69989618030002"/>
    <n v="1438.91962624908"/>
  </r>
  <r>
    <x v="0"/>
    <x v="0"/>
    <x v="0"/>
    <x v="0"/>
    <x v="1"/>
    <s v="DK2_Small"/>
    <x v="0"/>
    <x v="0"/>
    <s v="DK2_Rural_WI"/>
    <x v="7"/>
    <x v="10"/>
    <n v="9.6047437069677102"/>
    <n v="584.28857550720295"/>
    <n v="2103.4388718259302"/>
  </r>
  <r>
    <x v="0"/>
    <x v="0"/>
    <x v="0"/>
    <x v="0"/>
    <x v="1"/>
    <s v="DK2_Small"/>
    <x v="0"/>
    <x v="0"/>
    <s v="DK2_Rural_WI"/>
    <x v="7"/>
    <x v="11"/>
    <n v="11.3488887084818"/>
    <n v="690.39072976597299"/>
    <n v="2485.4066271575002"/>
  </r>
  <r>
    <x v="0"/>
    <x v="0"/>
    <x v="0"/>
    <x v="0"/>
    <x v="1"/>
    <s v="DK2_Small"/>
    <x v="0"/>
    <x v="0"/>
    <s v="DK2_Rural_WI"/>
    <x v="8"/>
    <x v="0"/>
    <n v="0.43006315105825599"/>
    <n v="26.162175022710599"/>
    <n v="94.183830081758003"/>
  </r>
  <r>
    <x v="0"/>
    <x v="0"/>
    <x v="0"/>
    <x v="0"/>
    <x v="1"/>
    <s v="DK2_Small"/>
    <x v="0"/>
    <x v="0"/>
    <s v="DK2_Rural_WI"/>
    <x v="8"/>
    <x v="1"/>
    <n v="0.33449356193419899"/>
    <n v="20.348358350997099"/>
    <n v="73.254090063589601"/>
  </r>
  <r>
    <x v="0"/>
    <x v="0"/>
    <x v="0"/>
    <x v="0"/>
    <x v="1"/>
    <s v="DK2_Small"/>
    <x v="0"/>
    <x v="0"/>
    <s v="DK2_Rural_WI"/>
    <x v="8"/>
    <x v="2"/>
    <n v="0.66898712386839798"/>
    <n v="40.696716701994198"/>
    <n v="146.508180127179"/>
  </r>
  <r>
    <x v="0"/>
    <x v="0"/>
    <x v="0"/>
    <x v="0"/>
    <x v="1"/>
    <s v="DK2_Small"/>
    <x v="0"/>
    <x v="0"/>
    <s v="DK2_Rural_WI"/>
    <x v="8"/>
    <x v="3"/>
    <n v="1.57689822054694"/>
    <n v="95.927975083272102"/>
    <n v="345.340710299779"/>
  </r>
  <r>
    <x v="0"/>
    <x v="0"/>
    <x v="0"/>
    <x v="0"/>
    <x v="1"/>
    <s v="DK2_Small"/>
    <x v="0"/>
    <x v="0"/>
    <s v="DK2_Rural_WI"/>
    <x v="8"/>
    <x v="4"/>
    <n v="2.2458853444153402"/>
    <n v="136.62469178526601"/>
    <n v="491.84889042695897"/>
  </r>
  <r>
    <x v="0"/>
    <x v="0"/>
    <x v="0"/>
    <x v="0"/>
    <x v="1"/>
    <s v="DK2_Small"/>
    <x v="0"/>
    <x v="0"/>
    <s v="DK2_Rural_WI"/>
    <x v="8"/>
    <x v="5"/>
    <n v="2.3892397281014199"/>
    <n v="145.34541679283601"/>
    <n v="523.24350045421102"/>
  </r>
  <r>
    <x v="0"/>
    <x v="0"/>
    <x v="0"/>
    <x v="0"/>
    <x v="1"/>
    <s v="DK2_Small"/>
    <x v="0"/>
    <x v="0"/>
    <s v="DK2_Rural_WI"/>
    <x v="8"/>
    <x v="6"/>
    <n v="1.6485754123899801"/>
    <n v="100.288337587057"/>
    <n v="361.03801531340599"/>
  </r>
  <r>
    <x v="0"/>
    <x v="0"/>
    <x v="0"/>
    <x v="0"/>
    <x v="1"/>
    <s v="DK2_Small"/>
    <x v="0"/>
    <x v="0"/>
    <s v="DK2_Rural_WI"/>
    <x v="8"/>
    <x v="7"/>
    <n v="1.7919297960760701"/>
    <n v="109.009062594627"/>
    <n v="392.43262534065798"/>
  </r>
  <r>
    <x v="0"/>
    <x v="0"/>
    <x v="0"/>
    <x v="0"/>
    <x v="1"/>
    <s v="DK2_Small"/>
    <x v="0"/>
    <x v="0"/>
    <s v="DK2_Rural_WI"/>
    <x v="8"/>
    <x v="8"/>
    <n v="1.38575904229882"/>
    <n v="84.300341739845194"/>
    <n v="303.48123026344302"/>
  </r>
  <r>
    <x v="0"/>
    <x v="0"/>
    <x v="0"/>
    <x v="0"/>
    <x v="1"/>
    <s v="DK2_Small"/>
    <x v="0"/>
    <x v="0"/>
    <s v="DK2_Rural_WI"/>
    <x v="8"/>
    <x v="9"/>
    <n v="2.1025309607292502"/>
    <n v="127.903966777696"/>
    <n v="460.45428039970602"/>
  </r>
  <r>
    <x v="0"/>
    <x v="0"/>
    <x v="0"/>
    <x v="0"/>
    <x v="1"/>
    <s v="DK2_Small"/>
    <x v="0"/>
    <x v="0"/>
    <s v="DK2_Rural_WI"/>
    <x v="8"/>
    <x v="10"/>
    <n v="3.94224555136734"/>
    <n v="239.81993770817999"/>
    <n v="863.35177574944896"/>
  </r>
  <r>
    <x v="0"/>
    <x v="0"/>
    <x v="0"/>
    <x v="0"/>
    <x v="1"/>
    <s v="DK2_Small"/>
    <x v="0"/>
    <x v="0"/>
    <s v="DK2_Rural_WI"/>
    <x v="8"/>
    <x v="11"/>
    <n v="3.9183531540863301"/>
    <n v="238.36648354025201"/>
    <n v="858.11934074490603"/>
  </r>
  <r>
    <x v="0"/>
    <x v="0"/>
    <x v="0"/>
    <x v="0"/>
    <x v="1"/>
    <s v="DK2_Small"/>
    <x v="0"/>
    <x v="0"/>
    <s v="DK2_Rural_WI"/>
    <x v="9"/>
    <x v="0"/>
    <n v="15.0044254924769"/>
    <n v="912.76921745901302"/>
    <n v="3285.9691828524501"/>
  </r>
  <r>
    <x v="0"/>
    <x v="0"/>
    <x v="0"/>
    <x v="0"/>
    <x v="1"/>
    <s v="DK2_Small"/>
    <x v="0"/>
    <x v="0"/>
    <s v="DK2_Rural_WI"/>
    <x v="9"/>
    <x v="1"/>
    <n v="15.123887478882001"/>
    <n v="920.03648829865494"/>
    <n v="3312.1313578751601"/>
  </r>
  <r>
    <x v="0"/>
    <x v="0"/>
    <x v="0"/>
    <x v="0"/>
    <x v="1"/>
    <s v="DK2_Small"/>
    <x v="0"/>
    <x v="0"/>
    <s v="DK2_Rural_WI"/>
    <x v="9"/>
    <x v="2"/>
    <n v="14.5026851495756"/>
    <n v="882.24667993251705"/>
    <n v="3176.0880477570599"/>
  </r>
  <r>
    <x v="0"/>
    <x v="0"/>
    <x v="0"/>
    <x v="0"/>
    <x v="1"/>
    <s v="DK2_Small"/>
    <x v="0"/>
    <x v="0"/>
    <s v="DK2_Rural_WI"/>
    <x v="9"/>
    <x v="3"/>
    <n v="13.6186664501781"/>
    <n v="828.46887571916795"/>
    <n v="2982.4879525890001"/>
  </r>
  <r>
    <x v="0"/>
    <x v="0"/>
    <x v="0"/>
    <x v="0"/>
    <x v="1"/>
    <s v="DK2_Small"/>
    <x v="0"/>
    <x v="0"/>
    <s v="DK2_Rural_WI"/>
    <x v="9"/>
    <x v="4"/>
    <n v="13.546989258335101"/>
    <n v="824.10851321538303"/>
    <n v="2966.7906475753798"/>
  </r>
  <r>
    <x v="0"/>
    <x v="0"/>
    <x v="0"/>
    <x v="0"/>
    <x v="1"/>
    <s v="DK2_Small"/>
    <x v="0"/>
    <x v="0"/>
    <s v="DK2_Rural_WI"/>
    <x v="9"/>
    <x v="5"/>
    <n v="13.1647109018388"/>
    <n v="800.85324652852898"/>
    <n v="2883.0716875027001"/>
  </r>
  <r>
    <x v="0"/>
    <x v="0"/>
    <x v="0"/>
    <x v="0"/>
    <x v="1"/>
    <s v="DK2_Small"/>
    <x v="0"/>
    <x v="0"/>
    <s v="DK2_Rural_WI"/>
    <x v="9"/>
    <x v="6"/>
    <n v="13.1169261072768"/>
    <n v="797.94633819267199"/>
    <n v="2872.6068174936199"/>
  </r>
  <r>
    <x v="0"/>
    <x v="0"/>
    <x v="0"/>
    <x v="0"/>
    <x v="1"/>
    <s v="DK2_Small"/>
    <x v="0"/>
    <x v="0"/>
    <s v="DK2_Rural_WI"/>
    <x v="9"/>
    <x v="7"/>
    <n v="12.185122613317199"/>
    <n v="741.261625643466"/>
    <n v="2668.5418523164799"/>
  </r>
  <r>
    <x v="0"/>
    <x v="0"/>
    <x v="0"/>
    <x v="0"/>
    <x v="1"/>
    <s v="DK2_Small"/>
    <x v="0"/>
    <x v="0"/>
    <s v="DK2_Rural_WI"/>
    <x v="9"/>
    <x v="8"/>
    <n v="12.854109737185601"/>
    <n v="781.95834234545998"/>
    <n v="2815.0500324436598"/>
  </r>
  <r>
    <x v="0"/>
    <x v="0"/>
    <x v="0"/>
    <x v="0"/>
    <x v="1"/>
    <s v="DK2_Small"/>
    <x v="0"/>
    <x v="0"/>
    <s v="DK2_Rural_WI"/>
    <x v="9"/>
    <x v="9"/>
    <n v="13.953160012112299"/>
    <n v="848.817234070165"/>
    <n v="3055.74204265259"/>
  </r>
  <r>
    <x v="0"/>
    <x v="0"/>
    <x v="0"/>
    <x v="0"/>
    <x v="1"/>
    <s v="DK2_Small"/>
    <x v="0"/>
    <x v="0"/>
    <s v="DK2_Rural_WI"/>
    <x v="9"/>
    <x v="10"/>
    <n v="14.813286314228799"/>
    <n v="901.14158411558606"/>
    <n v="3244.1097028161098"/>
  </r>
  <r>
    <x v="0"/>
    <x v="0"/>
    <x v="0"/>
    <x v="0"/>
    <x v="1"/>
    <s v="DK2_Small"/>
    <x v="0"/>
    <x v="0"/>
    <s v="DK2_Rural_WI"/>
    <x v="9"/>
    <x v="11"/>
    <n v="14.5026851495756"/>
    <n v="882.24667993251705"/>
    <n v="3176.0880477570599"/>
  </r>
  <r>
    <x v="0"/>
    <x v="0"/>
    <x v="0"/>
    <x v="0"/>
    <x v="1"/>
    <s v="DK2_Small"/>
    <x v="0"/>
    <x v="0"/>
    <s v="DK2_Rural_WI"/>
    <x v="10"/>
    <x v="0"/>
    <n v="14.454900355013599"/>
    <n v="879.33977159666097"/>
    <n v="3165.6231777479802"/>
  </r>
  <r>
    <x v="0"/>
    <x v="0"/>
    <x v="0"/>
    <x v="0"/>
    <x v="1"/>
    <s v="DK2_Small"/>
    <x v="0"/>
    <x v="0"/>
    <s v="DK2_Rural_WI"/>
    <x v="10"/>
    <x v="1"/>
    <n v="15.099995081601"/>
    <n v="918.58303413072599"/>
    <n v="3306.89892287062"/>
  </r>
  <r>
    <x v="0"/>
    <x v="0"/>
    <x v="0"/>
    <x v="0"/>
    <x v="1"/>
    <s v="DK2_Small"/>
    <x v="0"/>
    <x v="0"/>
    <s v="DK2_Rural_WI"/>
    <x v="10"/>
    <x v="2"/>
    <n v="14.956640697914899"/>
    <n v="909.86230912315602"/>
    <n v="3275.5043128433599"/>
  </r>
  <r>
    <x v="0"/>
    <x v="0"/>
    <x v="0"/>
    <x v="0"/>
    <x v="1"/>
    <s v="DK2_Small"/>
    <x v="0"/>
    <x v="0"/>
    <s v="DK2_Rural_WI"/>
    <x v="10"/>
    <x v="3"/>
    <n v="14.669931930542701"/>
    <n v="892.42085910801597"/>
    <n v="3212.7150927888601"/>
  </r>
  <r>
    <x v="0"/>
    <x v="0"/>
    <x v="0"/>
    <x v="0"/>
    <x v="1"/>
    <s v="DK2_Small"/>
    <x v="0"/>
    <x v="0"/>
    <s v="DK2_Rural_WI"/>
    <x v="10"/>
    <x v="4"/>
    <n v="13.7620208338642"/>
    <n v="837.18960072673804"/>
    <n v="3013.8825626162602"/>
  </r>
  <r>
    <x v="0"/>
    <x v="0"/>
    <x v="0"/>
    <x v="0"/>
    <x v="1"/>
    <s v="DK2_Small"/>
    <x v="0"/>
    <x v="0"/>
    <s v="DK2_Rural_WI"/>
    <x v="10"/>
    <x v="5"/>
    <n v="14.4787927522946"/>
    <n v="880.79322576458901"/>
    <n v="3170.8556127525198"/>
  </r>
  <r>
    <x v="0"/>
    <x v="0"/>
    <x v="0"/>
    <x v="0"/>
    <x v="1"/>
    <s v="DK2_Small"/>
    <x v="0"/>
    <x v="0"/>
    <s v="DK2_Rural_WI"/>
    <x v="10"/>
    <x v="6"/>
    <n v="13.2841728882439"/>
    <n v="808.12051736817102"/>
    <n v="2909.2338625254101"/>
  </r>
  <r>
    <x v="0"/>
    <x v="0"/>
    <x v="0"/>
    <x v="0"/>
    <x v="1"/>
    <s v="DK2_Small"/>
    <x v="0"/>
    <x v="0"/>
    <s v="DK2_Rural_WI"/>
    <x v="10"/>
    <x v="7"/>
    <n v="11.6594898731349"/>
    <n v="709.28563394904199"/>
    <n v="2553.4282822165501"/>
  </r>
  <r>
    <x v="0"/>
    <x v="0"/>
    <x v="0"/>
    <x v="0"/>
    <x v="1"/>
    <s v="DK2_Small"/>
    <x v="0"/>
    <x v="0"/>
    <s v="DK2_Rural_WI"/>
    <x v="10"/>
    <x v="8"/>
    <n v="10.4648700090842"/>
    <n v="636.61292555262401"/>
    <n v="2291.8065319894499"/>
  </r>
  <r>
    <x v="0"/>
    <x v="0"/>
    <x v="0"/>
    <x v="0"/>
    <x v="1"/>
    <s v="DK2_Small"/>
    <x v="0"/>
    <x v="0"/>
    <s v="DK2_Rural_WI"/>
    <x v="10"/>
    <x v="9"/>
    <n v="9.2463577477524996"/>
    <n v="562.48676298827695"/>
    <n v="2024.9523467577999"/>
  </r>
  <r>
    <x v="0"/>
    <x v="0"/>
    <x v="0"/>
    <x v="0"/>
    <x v="1"/>
    <s v="DK2_Small"/>
    <x v="0"/>
    <x v="0"/>
    <s v="DK2_Rural_WI"/>
    <x v="10"/>
    <x v="10"/>
    <n v="8.8879717885372909"/>
    <n v="540.68495046935197"/>
    <n v="1946.4658216896701"/>
  </r>
  <r>
    <x v="0"/>
    <x v="0"/>
    <x v="0"/>
    <x v="0"/>
    <x v="1"/>
    <s v="DK2_Small"/>
    <x v="0"/>
    <x v="0"/>
    <s v="DK2_Rural_WI"/>
    <x v="10"/>
    <x v="11"/>
    <n v="10.4409776118032"/>
    <n v="635.15947138469505"/>
    <n v="2286.5740969848998"/>
  </r>
  <r>
    <x v="0"/>
    <x v="0"/>
    <x v="0"/>
    <x v="0"/>
    <x v="1"/>
    <s v="DK2_Small"/>
    <x v="0"/>
    <x v="0"/>
    <s v="DK2_Rural_WI"/>
    <x v="11"/>
    <x v="0"/>
    <n v="14.1442991903604"/>
    <n v="860.44486741359196"/>
    <n v="3097.6015226889299"/>
  </r>
  <r>
    <x v="0"/>
    <x v="0"/>
    <x v="0"/>
    <x v="0"/>
    <x v="1"/>
    <s v="DK2_Small"/>
    <x v="0"/>
    <x v="0"/>
    <s v="DK2_Rural_WI"/>
    <x v="11"/>
    <x v="1"/>
    <n v="14.454900355013599"/>
    <n v="879.33977159666097"/>
    <n v="3165.6231777479802"/>
  </r>
  <r>
    <x v="0"/>
    <x v="0"/>
    <x v="0"/>
    <x v="0"/>
    <x v="1"/>
    <s v="DK2_Small"/>
    <x v="0"/>
    <x v="0"/>
    <s v="DK2_Rural_WI"/>
    <x v="11"/>
    <x v="2"/>
    <n v="14.8371787115098"/>
    <n v="902.59503828351501"/>
    <n v="3249.3421378206499"/>
  </r>
  <r>
    <x v="0"/>
    <x v="0"/>
    <x v="0"/>
    <x v="0"/>
    <x v="1"/>
    <s v="DK2_Small"/>
    <x v="0"/>
    <x v="0"/>
    <s v="DK2_Rural_WI"/>
    <x v="11"/>
    <x v="3"/>
    <n v="14.2159763822035"/>
    <n v="864.80522991737701"/>
    <n v="3113.2988277025602"/>
  </r>
  <r>
    <x v="0"/>
    <x v="0"/>
    <x v="0"/>
    <x v="0"/>
    <x v="1"/>
    <s v="DK2_Small"/>
    <x v="0"/>
    <x v="0"/>
    <s v="DK2_Rural_WI"/>
    <x v="11"/>
    <x v="4"/>
    <n v="16.772462891271999"/>
    <n v="1020.32482588571"/>
    <n v="3673.1693731885598"/>
  </r>
  <r>
    <x v="0"/>
    <x v="0"/>
    <x v="0"/>
    <x v="0"/>
    <x v="1"/>
    <s v="DK2_Small"/>
    <x v="0"/>
    <x v="0"/>
    <s v="DK2_Rural_WI"/>
    <x v="11"/>
    <x v="5"/>
    <n v="18.540500290067001"/>
    <n v="1127.88043431241"/>
    <n v="4060.36956352468"/>
  </r>
  <r>
    <x v="0"/>
    <x v="0"/>
    <x v="0"/>
    <x v="0"/>
    <x v="1"/>
    <s v="DK2_Small"/>
    <x v="0"/>
    <x v="0"/>
    <s v="DK2_Rural_WI"/>
    <x v="11"/>
    <x v="6"/>
    <n v="19.639550564993701"/>
    <n v="1194.73932603712"/>
    <n v="4301.0615737336202"/>
  </r>
  <r>
    <x v="0"/>
    <x v="0"/>
    <x v="0"/>
    <x v="0"/>
    <x v="1"/>
    <s v="DK2_Small"/>
    <x v="0"/>
    <x v="0"/>
    <s v="DK2_Rural_WI"/>
    <x v="11"/>
    <x v="7"/>
    <n v="21.1925563882596"/>
    <n v="1289.21384695246"/>
    <n v="4641.16984902886"/>
  </r>
  <r>
    <x v="0"/>
    <x v="0"/>
    <x v="0"/>
    <x v="0"/>
    <x v="1"/>
    <s v="DK2_Small"/>
    <x v="0"/>
    <x v="0"/>
    <s v="DK2_Rural_WI"/>
    <x v="11"/>
    <x v="8"/>
    <n v="22.0048978958141"/>
    <n v="1338.6312886620201"/>
    <n v="4819.0726391832904"/>
  </r>
  <r>
    <x v="0"/>
    <x v="0"/>
    <x v="0"/>
    <x v="0"/>
    <x v="1"/>
    <s v="DK2_Small"/>
    <x v="0"/>
    <x v="0"/>
    <s v="DK2_Rural_WI"/>
    <x v="11"/>
    <x v="9"/>
    <n v="21.861543512128002"/>
    <n v="1329.91056365445"/>
    <n v="4787.6780291560299"/>
  </r>
  <r>
    <x v="0"/>
    <x v="0"/>
    <x v="0"/>
    <x v="0"/>
    <x v="1"/>
    <s v="DK2_Small"/>
    <x v="0"/>
    <x v="0"/>
    <s v="DK2_Rural_WI"/>
    <x v="11"/>
    <x v="10"/>
    <n v="21.240341182821599"/>
    <n v="1292.12075528832"/>
    <n v="4651.6347190379402"/>
  </r>
  <r>
    <x v="0"/>
    <x v="0"/>
    <x v="0"/>
    <x v="0"/>
    <x v="1"/>
    <s v="DK2_Small"/>
    <x v="0"/>
    <x v="0"/>
    <s v="DK2_Rural_WI"/>
    <x v="11"/>
    <x v="11"/>
    <n v="19.735120154117698"/>
    <n v="1200.5531427088299"/>
    <n v="4321.9913137517797"/>
  </r>
  <r>
    <x v="0"/>
    <x v="0"/>
    <x v="0"/>
    <x v="1"/>
    <x v="2"/>
    <s v="EE_A"/>
    <x v="0"/>
    <x v="0"/>
    <s v="WI-L10"/>
    <x v="0"/>
    <x v="0"/>
    <n v="122.830020915289"/>
    <n v="7472.15960568009"/>
    <n v="26899.774580448298"/>
  </r>
  <r>
    <x v="0"/>
    <x v="0"/>
    <x v="0"/>
    <x v="1"/>
    <x v="2"/>
    <s v="EE_A"/>
    <x v="0"/>
    <x v="0"/>
    <s v="WI-L10"/>
    <x v="0"/>
    <x v="1"/>
    <n v="105.50130427163801"/>
    <n v="6417.9960098580004"/>
    <n v="23104.785635488799"/>
  </r>
  <r>
    <x v="0"/>
    <x v="0"/>
    <x v="0"/>
    <x v="1"/>
    <x v="2"/>
    <s v="EE_A"/>
    <x v="0"/>
    <x v="0"/>
    <s v="WI-L10"/>
    <x v="0"/>
    <x v="2"/>
    <n v="95.138052161219704"/>
    <n v="5787.56483980753"/>
    <n v="20835.233423307101"/>
  </r>
  <r>
    <x v="0"/>
    <x v="0"/>
    <x v="0"/>
    <x v="1"/>
    <x v="2"/>
    <s v="EE_A"/>
    <x v="0"/>
    <x v="0"/>
    <s v="WI-L10"/>
    <x v="0"/>
    <x v="3"/>
    <n v="70.419147537188493"/>
    <n v="4283.8314751789703"/>
    <n v="15421.7933106443"/>
  </r>
  <r>
    <x v="0"/>
    <x v="0"/>
    <x v="0"/>
    <x v="1"/>
    <x v="2"/>
    <s v="EE_A"/>
    <x v="0"/>
    <x v="0"/>
    <s v="WI-L10"/>
    <x v="0"/>
    <x v="4"/>
    <n v="91.570375205174003"/>
    <n v="5570.5311583147504"/>
    <n v="20053.912169933101"/>
  </r>
  <r>
    <x v="0"/>
    <x v="0"/>
    <x v="0"/>
    <x v="1"/>
    <x v="2"/>
    <s v="EE_A"/>
    <x v="0"/>
    <x v="0"/>
    <s v="WI-L10"/>
    <x v="0"/>
    <x v="5"/>
    <n v="81.716791231333403"/>
    <n v="4971.1047999061102"/>
    <n v="17895.977279661998"/>
  </r>
  <r>
    <x v="0"/>
    <x v="0"/>
    <x v="0"/>
    <x v="1"/>
    <x v="2"/>
    <s v="EE_A"/>
    <x v="0"/>
    <x v="0"/>
    <s v="WI-L10"/>
    <x v="0"/>
    <x v="6"/>
    <n v="63.028959556808097"/>
    <n v="3834.2617063724902"/>
    <n v="13803.342142940999"/>
  </r>
  <r>
    <x v="0"/>
    <x v="0"/>
    <x v="0"/>
    <x v="1"/>
    <x v="2"/>
    <s v="EE_A"/>
    <x v="0"/>
    <x v="0"/>
    <s v="WI-L10"/>
    <x v="0"/>
    <x v="7"/>
    <n v="75.685718281827505"/>
    <n v="4604.2145288111697"/>
    <n v="16575.172303720199"/>
  </r>
  <r>
    <x v="0"/>
    <x v="0"/>
    <x v="0"/>
    <x v="1"/>
    <x v="2"/>
    <s v="EE_A"/>
    <x v="0"/>
    <x v="0"/>
    <s v="WI-L10"/>
    <x v="0"/>
    <x v="8"/>
    <n v="68.890143127454607"/>
    <n v="4190.8170402534897"/>
    <n v="15086.9413449126"/>
  </r>
  <r>
    <x v="0"/>
    <x v="0"/>
    <x v="0"/>
    <x v="1"/>
    <x v="2"/>
    <s v="EE_A"/>
    <x v="0"/>
    <x v="0"/>
    <s v="WI-L10"/>
    <x v="0"/>
    <x v="9"/>
    <n v="83.415685019926599"/>
    <n v="5074.45417204554"/>
    <n v="18268.035019363899"/>
  </r>
  <r>
    <x v="0"/>
    <x v="0"/>
    <x v="0"/>
    <x v="1"/>
    <x v="2"/>
    <s v="EE_A"/>
    <x v="0"/>
    <x v="0"/>
    <s v="WI-L10"/>
    <x v="0"/>
    <x v="10"/>
    <n v="92.249932720611298"/>
    <n v="5611.8709071705198"/>
    <n v="20202.735265813899"/>
  </r>
  <r>
    <x v="0"/>
    <x v="0"/>
    <x v="0"/>
    <x v="1"/>
    <x v="2"/>
    <s v="EE_A"/>
    <x v="0"/>
    <x v="0"/>
    <s v="WI-L10"/>
    <x v="0"/>
    <x v="11"/>
    <n v="130.89976641110701"/>
    <n v="7963.0691233423304"/>
    <n v="28667.048844032401"/>
  </r>
  <r>
    <x v="0"/>
    <x v="0"/>
    <x v="0"/>
    <x v="1"/>
    <x v="2"/>
    <s v="EE_A"/>
    <x v="0"/>
    <x v="0"/>
    <s v="WI-L10"/>
    <x v="1"/>
    <x v="0"/>
    <n v="73.816935114374999"/>
    <n v="4490.5302194578098"/>
    <n v="16165.908790048101"/>
  </r>
  <r>
    <x v="0"/>
    <x v="0"/>
    <x v="0"/>
    <x v="1"/>
    <x v="2"/>
    <s v="EE_A"/>
    <x v="0"/>
    <x v="0"/>
    <s v="WI-L10"/>
    <x v="1"/>
    <x v="1"/>
    <n v="74.0717691826639"/>
    <n v="4506.0326252787199"/>
    <n v="16221.7174510034"/>
  </r>
  <r>
    <x v="0"/>
    <x v="0"/>
    <x v="0"/>
    <x v="1"/>
    <x v="2"/>
    <s v="EE_A"/>
    <x v="0"/>
    <x v="0"/>
    <s v="WI-L10"/>
    <x v="1"/>
    <x v="2"/>
    <n v="105.16152551392"/>
    <n v="6397.3261354301203"/>
    <n v="23030.3740875484"/>
  </r>
  <r>
    <x v="0"/>
    <x v="0"/>
    <x v="0"/>
    <x v="1"/>
    <x v="2"/>
    <s v="EE_A"/>
    <x v="0"/>
    <x v="0"/>
    <s v="WI-L10"/>
    <x v="1"/>
    <x v="3"/>
    <n v="116.034445760916"/>
    <n v="7058.76211712241"/>
    <n v="25411.5436216407"/>
  </r>
  <r>
    <x v="0"/>
    <x v="0"/>
    <x v="0"/>
    <x v="1"/>
    <x v="2"/>
    <s v="EE_A"/>
    <x v="0"/>
    <x v="0"/>
    <s v="WI-L10"/>
    <x v="1"/>
    <x v="4"/>
    <n v="134.807222124871"/>
    <n v="8200.7726792630001"/>
    <n v="29522.7816453468"/>
  </r>
  <r>
    <x v="0"/>
    <x v="0"/>
    <x v="0"/>
    <x v="1"/>
    <x v="2"/>
    <s v="EE_A"/>
    <x v="0"/>
    <x v="0"/>
    <s v="WI-L10"/>
    <x v="1"/>
    <x v="5"/>
    <n v="140.498516316658"/>
    <n v="8546.9930759300605"/>
    <n v="30769.1750733482"/>
  </r>
  <r>
    <x v="0"/>
    <x v="0"/>
    <x v="0"/>
    <x v="1"/>
    <x v="2"/>
    <s v="EE_A"/>
    <x v="0"/>
    <x v="0"/>
    <s v="WI-L10"/>
    <x v="1"/>
    <x v="6"/>
    <n v="151.03165780593599"/>
    <n v="9187.7591831944592"/>
    <n v="33075.933059500101"/>
  </r>
  <r>
    <x v="0"/>
    <x v="0"/>
    <x v="0"/>
    <x v="1"/>
    <x v="2"/>
    <s v="EE_A"/>
    <x v="0"/>
    <x v="0"/>
    <s v="WI-L10"/>
    <x v="1"/>
    <x v="7"/>
    <n v="144.15113796213399"/>
    <n v="8769.1942260298092"/>
    <n v="31569.099213707301"/>
  </r>
  <r>
    <x v="0"/>
    <x v="0"/>
    <x v="0"/>
    <x v="1"/>
    <x v="2"/>
    <s v="EE_A"/>
    <x v="0"/>
    <x v="0"/>
    <s v="WI-L10"/>
    <x v="1"/>
    <x v="8"/>
    <n v="131.32448985825499"/>
    <n v="7988.9064663771896"/>
    <n v="28760.063278957899"/>
  </r>
  <r>
    <x v="0"/>
    <x v="0"/>
    <x v="0"/>
    <x v="1"/>
    <x v="2"/>
    <s v="EE_A"/>
    <x v="0"/>
    <x v="0"/>
    <s v="WI-L10"/>
    <x v="1"/>
    <x v="9"/>
    <n v="97.516503465250196"/>
    <n v="5932.25396080272"/>
    <n v="21356.1142588898"/>
  </r>
  <r>
    <x v="0"/>
    <x v="0"/>
    <x v="0"/>
    <x v="1"/>
    <x v="2"/>
    <s v="EE_A"/>
    <x v="0"/>
    <x v="0"/>
    <s v="WI-L10"/>
    <x v="1"/>
    <x v="10"/>
    <n v="86.898417286542696"/>
    <n v="5286.3203849313504"/>
    <n v="19030.753385752902"/>
  </r>
  <r>
    <x v="0"/>
    <x v="0"/>
    <x v="0"/>
    <x v="1"/>
    <x v="2"/>
    <s v="EE_A"/>
    <x v="0"/>
    <x v="0"/>
    <s v="WI-L10"/>
    <x v="1"/>
    <x v="11"/>
    <n v="78.828671790724897"/>
    <n v="4795.4108672691"/>
    <n v="17263.479122168799"/>
  </r>
  <r>
    <x v="0"/>
    <x v="0"/>
    <x v="0"/>
    <x v="1"/>
    <x v="2"/>
    <s v="EE_A"/>
    <x v="0"/>
    <x v="0"/>
    <s v="WI-L10"/>
    <x v="2"/>
    <x v="0"/>
    <n v="157.23262013430201"/>
    <n v="9564.9843915033507"/>
    <n v="34433.943809411998"/>
  </r>
  <r>
    <x v="0"/>
    <x v="0"/>
    <x v="0"/>
    <x v="1"/>
    <x v="2"/>
    <s v="EE_A"/>
    <x v="0"/>
    <x v="0"/>
    <s v="WI-L10"/>
    <x v="2"/>
    <x v="1"/>
    <n v="197.32651354510099"/>
    <n v="12004.029573993699"/>
    <n v="43214.506466377199"/>
  </r>
  <r>
    <x v="0"/>
    <x v="0"/>
    <x v="0"/>
    <x v="1"/>
    <x v="2"/>
    <s v="EE_A"/>
    <x v="0"/>
    <x v="0"/>
    <s v="WI-L10"/>
    <x v="2"/>
    <x v="2"/>
    <n v="182.29130351605099"/>
    <n v="11089.387630559801"/>
    <n v="39921.795470015299"/>
  </r>
  <r>
    <x v="0"/>
    <x v="0"/>
    <x v="0"/>
    <x v="1"/>
    <x v="2"/>
    <s v="EE_A"/>
    <x v="0"/>
    <x v="0"/>
    <s v="WI-L10"/>
    <x v="2"/>
    <x v="3"/>
    <n v="199.36518609141299"/>
    <n v="12128.048820561"/>
    <n v="43660.975754019499"/>
  </r>
  <r>
    <x v="0"/>
    <x v="0"/>
    <x v="0"/>
    <x v="1"/>
    <x v="2"/>
    <s v="EE_A"/>
    <x v="0"/>
    <x v="0"/>
    <s v="WI-L10"/>
    <x v="2"/>
    <x v="4"/>
    <n v="204.63175683605201"/>
    <n v="12448.4318741932"/>
    <n v="44814.3547470954"/>
  </r>
  <r>
    <x v="0"/>
    <x v="0"/>
    <x v="0"/>
    <x v="1"/>
    <x v="2"/>
    <s v="EE_A"/>
    <x v="0"/>
    <x v="0"/>
    <s v="WI-L10"/>
    <x v="2"/>
    <x v="5"/>
    <n v="201.14902456943599"/>
    <n v="12236.565661307401"/>
    <n v="44051.636380706499"/>
  </r>
  <r>
    <x v="0"/>
    <x v="0"/>
    <x v="0"/>
    <x v="1"/>
    <x v="2"/>
    <s v="EE_A"/>
    <x v="0"/>
    <x v="0"/>
    <s v="WI-L10"/>
    <x v="2"/>
    <x v="6"/>
    <n v="195.28784099878899"/>
    <n v="11880.0103274264"/>
    <n v="42768.037178734899"/>
  </r>
  <r>
    <x v="0"/>
    <x v="0"/>
    <x v="0"/>
    <x v="1"/>
    <x v="2"/>
    <s v="EE_A"/>
    <x v="0"/>
    <x v="0"/>
    <s v="WI-L10"/>
    <x v="2"/>
    <x v="7"/>
    <n v="202.25330553202201"/>
    <n v="12303.742753197999"/>
    <n v="44293.473911512701"/>
  </r>
  <r>
    <x v="0"/>
    <x v="0"/>
    <x v="0"/>
    <x v="1"/>
    <x v="2"/>
    <s v="EE_A"/>
    <x v="0"/>
    <x v="0"/>
    <s v="WI-L10"/>
    <x v="2"/>
    <x v="8"/>
    <n v="200.97913519057701"/>
    <n v="12226.230724093401"/>
    <n v="44014.4306067363"/>
  </r>
  <r>
    <x v="0"/>
    <x v="0"/>
    <x v="0"/>
    <x v="1"/>
    <x v="2"/>
    <s v="EE_A"/>
    <x v="0"/>
    <x v="0"/>
    <s v="WI-L10"/>
    <x v="2"/>
    <x v="9"/>
    <n v="175.07100491452999"/>
    <n v="10650.1527989673"/>
    <n v="38340.550076282103"/>
  </r>
  <r>
    <x v="0"/>
    <x v="0"/>
    <x v="0"/>
    <x v="1"/>
    <x v="2"/>
    <s v="EE_A"/>
    <x v="0"/>
    <x v="0"/>
    <s v="WI-L10"/>
    <x v="2"/>
    <x v="10"/>
    <n v="144.490916719853"/>
    <n v="8789.8641004576893"/>
    <n v="31643.5107616477"/>
  </r>
  <r>
    <x v="0"/>
    <x v="0"/>
    <x v="0"/>
    <x v="1"/>
    <x v="2"/>
    <s v="EE_A"/>
    <x v="0"/>
    <x v="0"/>
    <s v="WI-L10"/>
    <x v="2"/>
    <x v="11"/>
    <n v="110.00337281141"/>
    <n v="6691.8718460274604"/>
    <n v="24090.738645698901"/>
  </r>
  <r>
    <x v="0"/>
    <x v="0"/>
    <x v="0"/>
    <x v="1"/>
    <x v="2"/>
    <s v="EE_A"/>
    <x v="0"/>
    <x v="0"/>
    <s v="WI-L10"/>
    <x v="3"/>
    <x v="0"/>
    <n v="40.093893410799701"/>
    <n v="2439.0451824903198"/>
    <n v="8780.5626569651504"/>
  </r>
  <r>
    <x v="0"/>
    <x v="0"/>
    <x v="0"/>
    <x v="1"/>
    <x v="2"/>
    <s v="EE_A"/>
    <x v="0"/>
    <x v="0"/>
    <s v="WI-L10"/>
    <x v="3"/>
    <x v="1"/>
    <n v="42.132565957111602"/>
    <n v="2563.0644290576201"/>
    <n v="9227.0319446074409"/>
  </r>
  <r>
    <x v="0"/>
    <x v="0"/>
    <x v="0"/>
    <x v="1"/>
    <x v="2"/>
    <s v="EE_A"/>
    <x v="0"/>
    <x v="0"/>
    <s v="WI-L10"/>
    <x v="3"/>
    <x v="2"/>
    <n v="40.433672168518399"/>
    <n v="2459.7150569181999"/>
    <n v="8854.9742049055294"/>
  </r>
  <r>
    <x v="0"/>
    <x v="0"/>
    <x v="0"/>
    <x v="1"/>
    <x v="2"/>
    <s v="EE_A"/>
    <x v="0"/>
    <x v="0"/>
    <s v="WI-L10"/>
    <x v="3"/>
    <x v="3"/>
    <n v="45.530353534298001"/>
    <n v="2769.7631733364601"/>
    <n v="9971.1474240112693"/>
  </r>
  <r>
    <x v="0"/>
    <x v="0"/>
    <x v="0"/>
    <x v="1"/>
    <x v="2"/>
    <s v="EE_A"/>
    <x v="0"/>
    <x v="0"/>
    <s v="WI-L10"/>
    <x v="3"/>
    <x v="4"/>
    <n v="46.124966360305599"/>
    <n v="2805.9354535852599"/>
    <n v="10101.3676329069"/>
  </r>
  <r>
    <x v="0"/>
    <x v="0"/>
    <x v="0"/>
    <x v="1"/>
    <x v="2"/>
    <s v="EE_A"/>
    <x v="0"/>
    <x v="0"/>
    <s v="WI-L10"/>
    <x v="3"/>
    <x v="5"/>
    <n v="41.028284994525997"/>
    <n v="2495.8873371670002"/>
    <n v="8985.1944138012004"/>
  </r>
  <r>
    <x v="0"/>
    <x v="0"/>
    <x v="0"/>
    <x v="1"/>
    <x v="2"/>
    <s v="EE_A"/>
    <x v="0"/>
    <x v="0"/>
    <s v="WI-L10"/>
    <x v="3"/>
    <x v="6"/>
    <n v="34.317654529582803"/>
    <n v="2087.6573172162898"/>
    <n v="7515.5663419786397"/>
  </r>
  <r>
    <x v="0"/>
    <x v="0"/>
    <x v="0"/>
    <x v="1"/>
    <x v="2"/>
    <s v="EE_A"/>
    <x v="0"/>
    <x v="0"/>
    <s v="WI-L10"/>
    <x v="3"/>
    <x v="7"/>
    <n v="26.1629643443354"/>
    <n v="1591.58033094707"/>
    <n v="5729.6891914094604"/>
  </r>
  <r>
    <x v="0"/>
    <x v="0"/>
    <x v="0"/>
    <x v="1"/>
    <x v="2"/>
    <s v="EE_A"/>
    <x v="0"/>
    <x v="0"/>
    <s v="WI-L10"/>
    <x v="3"/>
    <x v="8"/>
    <n v="22.0006745622821"/>
    <n v="1338.37436920549"/>
    <n v="4818.1477291397696"/>
  </r>
  <r>
    <x v="0"/>
    <x v="0"/>
    <x v="0"/>
    <x v="1"/>
    <x v="2"/>
    <s v="EE_A"/>
    <x v="0"/>
    <x v="0"/>
    <s v="WI-L10"/>
    <x v="3"/>
    <x v="9"/>
    <n v="20.386725463118498"/>
    <n v="1240.19246567304"/>
    <n v="4464.6928764229597"/>
  </r>
  <r>
    <x v="0"/>
    <x v="0"/>
    <x v="0"/>
    <x v="1"/>
    <x v="2"/>
    <s v="EE_A"/>
    <x v="0"/>
    <x v="0"/>
    <s v="WI-L10"/>
    <x v="3"/>
    <x v="10"/>
    <n v="12.1470905884415"/>
    <n v="738.94801079685499"/>
    <n v="2660.2128388686801"/>
  </r>
  <r>
    <x v="0"/>
    <x v="0"/>
    <x v="0"/>
    <x v="1"/>
    <x v="2"/>
    <s v="EE_A"/>
    <x v="0"/>
    <x v="0"/>
    <s v="WI-L10"/>
    <x v="3"/>
    <x v="11"/>
    <n v="13.0814821721677"/>
    <n v="795.79016547353604"/>
    <n v="2864.8445957047302"/>
  </r>
  <r>
    <x v="0"/>
    <x v="0"/>
    <x v="0"/>
    <x v="1"/>
    <x v="2"/>
    <s v="EE_A"/>
    <x v="0"/>
    <x v="0"/>
    <s v="WI-L10"/>
    <x v="4"/>
    <x v="0"/>
    <n v="22.255508630571001"/>
    <n v="1353.8767750264101"/>
    <n v="4873.9563900950598"/>
  </r>
  <r>
    <x v="0"/>
    <x v="0"/>
    <x v="0"/>
    <x v="1"/>
    <x v="2"/>
    <s v="EE_A"/>
    <x v="0"/>
    <x v="0"/>
    <s v="WI-L10"/>
    <x v="4"/>
    <x v="1"/>
    <n v="24.888794002890499"/>
    <n v="1514.06830184251"/>
    <n v="5450.6458866330304"/>
  </r>
  <r>
    <x v="0"/>
    <x v="0"/>
    <x v="0"/>
    <x v="1"/>
    <x v="2"/>
    <s v="EE_A"/>
    <x v="0"/>
    <x v="0"/>
    <s v="WI-L10"/>
    <x v="4"/>
    <x v="2"/>
    <n v="31.174701020685401"/>
    <n v="1896.4609787583599"/>
    <n v="6827.2595235300996"/>
  </r>
  <r>
    <x v="0"/>
    <x v="0"/>
    <x v="0"/>
    <x v="1"/>
    <x v="2"/>
    <s v="EE_A"/>
    <x v="0"/>
    <x v="0"/>
    <s v="WI-L10"/>
    <x v="4"/>
    <x v="3"/>
    <n v="45.700242913157297"/>
    <n v="2780.0981105504002"/>
    <n v="10008.3531979815"/>
  </r>
  <r>
    <x v="0"/>
    <x v="0"/>
    <x v="0"/>
    <x v="1"/>
    <x v="2"/>
    <s v="EE_A"/>
    <x v="0"/>
    <x v="0"/>
    <s v="WI-L10"/>
    <x v="4"/>
    <x v="4"/>
    <n v="90.805873000307002"/>
    <n v="5524.0239408520101"/>
    <n v="19886.486187067199"/>
  </r>
  <r>
    <x v="0"/>
    <x v="0"/>
    <x v="0"/>
    <x v="1"/>
    <x v="2"/>
    <s v="EE_A"/>
    <x v="0"/>
    <x v="0"/>
    <s v="WI-L10"/>
    <x v="4"/>
    <x v="5"/>
    <n v="74.921216076960505"/>
    <n v="4557.7073113484303"/>
    <n v="16407.7463208544"/>
  </r>
  <r>
    <x v="0"/>
    <x v="0"/>
    <x v="0"/>
    <x v="1"/>
    <x v="2"/>
    <s v="EE_A"/>
    <x v="0"/>
    <x v="0"/>
    <s v="WI-L10"/>
    <x v="4"/>
    <x v="6"/>
    <n v="34.912267355590501"/>
    <n v="2123.82959746509"/>
    <n v="7645.7865508743098"/>
  </r>
  <r>
    <x v="0"/>
    <x v="0"/>
    <x v="0"/>
    <x v="1"/>
    <x v="2"/>
    <s v="EE_A"/>
    <x v="0"/>
    <x v="0"/>
    <s v="WI-L10"/>
    <x v="4"/>
    <x v="7"/>
    <n v="34.487543908442198"/>
    <n v="2097.9922544302299"/>
    <n v="7552.7721159488301"/>
  </r>
  <r>
    <x v="0"/>
    <x v="0"/>
    <x v="0"/>
    <x v="1"/>
    <x v="2"/>
    <s v="EE_A"/>
    <x v="0"/>
    <x v="0"/>
    <s v="WI-L10"/>
    <x v="4"/>
    <x v="8"/>
    <n v="25.9081302760464"/>
    <n v="1576.0779251261599"/>
    <n v="5673.8805304541702"/>
  </r>
  <r>
    <x v="0"/>
    <x v="0"/>
    <x v="0"/>
    <x v="1"/>
    <x v="2"/>
    <s v="EE_A"/>
    <x v="0"/>
    <x v="0"/>
    <s v="WI-L10"/>
    <x v="4"/>
    <x v="9"/>
    <n v="16.224435681065199"/>
    <n v="986.98650393146397"/>
    <n v="3553.1514141532698"/>
  </r>
  <r>
    <x v="0"/>
    <x v="0"/>
    <x v="0"/>
    <x v="1"/>
    <x v="2"/>
    <s v="EE_A"/>
    <x v="0"/>
    <x v="0"/>
    <s v="WI-L10"/>
    <x v="4"/>
    <x v="10"/>
    <n v="54.1097671666937"/>
    <n v="3291.6775026405298"/>
    <n v="11850.039009505899"/>
  </r>
  <r>
    <x v="0"/>
    <x v="0"/>
    <x v="0"/>
    <x v="1"/>
    <x v="2"/>
    <s v="EE_A"/>
    <x v="0"/>
    <x v="0"/>
    <s v="WI-L10"/>
    <x v="4"/>
    <x v="11"/>
    <n v="88.852145143424906"/>
    <n v="5405.1721628916803"/>
    <n v="19458.619786410101"/>
  </r>
  <r>
    <x v="0"/>
    <x v="0"/>
    <x v="0"/>
    <x v="1"/>
    <x v="2"/>
    <s v="EE_A"/>
    <x v="0"/>
    <x v="0"/>
    <s v="WI-L10"/>
    <x v="5"/>
    <x v="0"/>
    <n v="53.685043719545398"/>
    <n v="3265.8401596056801"/>
    <n v="11757.0245745805"/>
  </r>
  <r>
    <x v="0"/>
    <x v="0"/>
    <x v="0"/>
    <x v="1"/>
    <x v="2"/>
    <s v="EE_A"/>
    <x v="0"/>
    <x v="0"/>
    <s v="WI-L10"/>
    <x v="5"/>
    <x v="1"/>
    <n v="46.464745118024297"/>
    <n v="2826.60532801314"/>
    <n v="10175.779180847299"/>
  </r>
  <r>
    <x v="0"/>
    <x v="0"/>
    <x v="0"/>
    <x v="1"/>
    <x v="2"/>
    <s v="EE_A"/>
    <x v="0"/>
    <x v="0"/>
    <s v="WI-L10"/>
    <x v="5"/>
    <x v="2"/>
    <n v="26.587687791483699"/>
    <n v="1617.41767398193"/>
    <n v="5822.7036263349401"/>
  </r>
  <r>
    <x v="0"/>
    <x v="0"/>
    <x v="0"/>
    <x v="1"/>
    <x v="2"/>
    <s v="EE_A"/>
    <x v="0"/>
    <x v="0"/>
    <s v="WI-L10"/>
    <x v="5"/>
    <x v="3"/>
    <n v="16.649159128213501"/>
    <n v="1012.82384696632"/>
    <n v="3646.1658490787499"/>
  </r>
  <r>
    <x v="0"/>
    <x v="0"/>
    <x v="0"/>
    <x v="1"/>
    <x v="2"/>
    <s v="EE_A"/>
    <x v="0"/>
    <x v="0"/>
    <s v="WI-L10"/>
    <x v="5"/>
    <x v="4"/>
    <n v="14.4405972030423"/>
    <n v="878.46966318507202"/>
    <n v="3162.4907874662599"/>
  </r>
  <r>
    <x v="0"/>
    <x v="0"/>
    <x v="0"/>
    <x v="1"/>
    <x v="2"/>
    <s v="EE_A"/>
    <x v="0"/>
    <x v="0"/>
    <s v="WI-L10"/>
    <x v="5"/>
    <x v="5"/>
    <n v="3.0580088194677799"/>
    <n v="186.028869850956"/>
    <n v="669.70393146344304"/>
  </r>
  <r>
    <x v="0"/>
    <x v="0"/>
    <x v="0"/>
    <x v="1"/>
    <x v="2"/>
    <s v="EE_A"/>
    <x v="0"/>
    <x v="0"/>
    <s v="WI-L10"/>
    <x v="5"/>
    <x v="6"/>
    <n v="1.44405972030423"/>
    <n v="87.846966318507199"/>
    <n v="316.24907874662603"/>
  </r>
  <r>
    <x v="0"/>
    <x v="0"/>
    <x v="0"/>
    <x v="1"/>
    <x v="2"/>
    <s v="EE_A"/>
    <x v="0"/>
    <x v="0"/>
    <s v="WI-L10"/>
    <x v="5"/>
    <x v="7"/>
    <n v="7.9848008063880904"/>
    <n v="485.742049055275"/>
    <n v="1748.67137659899"/>
  </r>
  <r>
    <x v="0"/>
    <x v="0"/>
    <x v="0"/>
    <x v="1"/>
    <x v="2"/>
    <s v="EE_A"/>
    <x v="0"/>
    <x v="0"/>
    <s v="WI-L10"/>
    <x v="5"/>
    <x v="8"/>
    <n v="12.1470905884415"/>
    <n v="738.94801079685499"/>
    <n v="2660.2128388686801"/>
  </r>
  <r>
    <x v="0"/>
    <x v="0"/>
    <x v="0"/>
    <x v="1"/>
    <x v="2"/>
    <s v="EE_A"/>
    <x v="0"/>
    <x v="0"/>
    <s v="WI-L10"/>
    <x v="5"/>
    <x v="9"/>
    <n v="1.52900440973389"/>
    <n v="93.014434925478199"/>
    <n v="334.85196573172198"/>
  </r>
  <r>
    <x v="0"/>
    <x v="0"/>
    <x v="0"/>
    <x v="1"/>
    <x v="2"/>
    <s v="EE_A"/>
    <x v="0"/>
    <x v="0"/>
    <s v="WI-L10"/>
    <x v="5"/>
    <x v="10"/>
    <n v="1.0193362731559299"/>
    <n v="62.009623283652097"/>
    <n v="223.23464382114801"/>
  </r>
  <r>
    <x v="0"/>
    <x v="0"/>
    <x v="0"/>
    <x v="1"/>
    <x v="2"/>
    <s v="EE_A"/>
    <x v="0"/>
    <x v="0"/>
    <s v="WI-L10"/>
    <x v="5"/>
    <x v="11"/>
    <n v="1.18922565201525"/>
    <n v="72.344560497594202"/>
    <n v="260.44041779133897"/>
  </r>
  <r>
    <x v="0"/>
    <x v="0"/>
    <x v="0"/>
    <x v="1"/>
    <x v="2"/>
    <s v="EE_A"/>
    <x v="0"/>
    <x v="0"/>
    <s v="WI-L10"/>
    <x v="6"/>
    <x v="0"/>
    <n v="60.140840116199598"/>
    <n v="3658.5677737354799"/>
    <n v="13170.8439854477"/>
  </r>
  <r>
    <x v="0"/>
    <x v="0"/>
    <x v="0"/>
    <x v="1"/>
    <x v="2"/>
    <s v="EE_A"/>
    <x v="0"/>
    <x v="0"/>
    <s v="WI-L10"/>
    <x v="6"/>
    <x v="1"/>
    <n v="62.264457351941097"/>
    <n v="3787.7544889097499"/>
    <n v="13635.916160075099"/>
  </r>
  <r>
    <x v="0"/>
    <x v="0"/>
    <x v="0"/>
    <x v="1"/>
    <x v="2"/>
    <s v="EE_A"/>
    <x v="0"/>
    <x v="0"/>
    <s v="WI-L10"/>
    <x v="6"/>
    <x v="2"/>
    <n v="65.407410860838596"/>
    <n v="3978.9508273676802"/>
    <n v="14324.2229785236"/>
  </r>
  <r>
    <x v="0"/>
    <x v="0"/>
    <x v="0"/>
    <x v="1"/>
    <x v="2"/>
    <s v="EE_A"/>
    <x v="0"/>
    <x v="0"/>
    <s v="WI-L10"/>
    <x v="6"/>
    <x v="3"/>
    <n v="86.643583218253696"/>
    <n v="5270.8179791104303"/>
    <n v="18974.944724797599"/>
  </r>
  <r>
    <x v="0"/>
    <x v="0"/>
    <x v="0"/>
    <x v="1"/>
    <x v="2"/>
    <s v="EE_A"/>
    <x v="0"/>
    <x v="0"/>
    <s v="WI-L10"/>
    <x v="6"/>
    <x v="4"/>
    <n v="78.488893033006306"/>
    <n v="4774.7409928412198"/>
    <n v="17189.0675742284"/>
  </r>
  <r>
    <x v="0"/>
    <x v="0"/>
    <x v="0"/>
    <x v="1"/>
    <x v="2"/>
    <s v="EE_A"/>
    <x v="0"/>
    <x v="0"/>
    <s v="WI-L10"/>
    <x v="6"/>
    <x v="5"/>
    <n v="61.075231699925901"/>
    <n v="3715.4099284121598"/>
    <n v="13375.475742283799"/>
  </r>
  <r>
    <x v="0"/>
    <x v="0"/>
    <x v="0"/>
    <x v="1"/>
    <x v="2"/>
    <s v="EE_A"/>
    <x v="0"/>
    <x v="0"/>
    <s v="WI-L10"/>
    <x v="6"/>
    <x v="6"/>
    <n v="67.531028096580101"/>
    <n v="4108.1375425419601"/>
    <n v="14789.295153151001"/>
  </r>
  <r>
    <x v="0"/>
    <x v="0"/>
    <x v="0"/>
    <x v="1"/>
    <x v="2"/>
    <s v="EE_A"/>
    <x v="0"/>
    <x v="0"/>
    <s v="WI-L10"/>
    <x v="6"/>
    <x v="7"/>
    <n v="48.4184729749065"/>
    <n v="2945.4571059734799"/>
    <n v="10603.645581504499"/>
  </r>
  <r>
    <x v="0"/>
    <x v="0"/>
    <x v="0"/>
    <x v="1"/>
    <x v="2"/>
    <s v="EE_A"/>
    <x v="0"/>
    <x v="0"/>
    <s v="WI-L10"/>
    <x v="6"/>
    <x v="8"/>
    <n v="34.827322666160804"/>
    <n v="2118.66212885811"/>
    <n v="7627.18366388921"/>
  </r>
  <r>
    <x v="0"/>
    <x v="0"/>
    <x v="0"/>
    <x v="1"/>
    <x v="2"/>
    <s v="EE_A"/>
    <x v="0"/>
    <x v="0"/>
    <s v="WI-L10"/>
    <x v="6"/>
    <x v="9"/>
    <n v="28.796249716654899"/>
    <n v="1751.7718577631699"/>
    <n v="6306.3786879474301"/>
  </r>
  <r>
    <x v="0"/>
    <x v="0"/>
    <x v="0"/>
    <x v="1"/>
    <x v="2"/>
    <s v="EE_A"/>
    <x v="0"/>
    <x v="0"/>
    <s v="WI-L10"/>
    <x v="6"/>
    <x v="10"/>
    <n v="31.3445903995447"/>
    <n v="1906.7959159723"/>
    <n v="6864.46529750029"/>
  </r>
  <r>
    <x v="0"/>
    <x v="0"/>
    <x v="0"/>
    <x v="1"/>
    <x v="2"/>
    <s v="EE_A"/>
    <x v="0"/>
    <x v="0"/>
    <s v="WI-L10"/>
    <x v="6"/>
    <x v="11"/>
    <n v="29.730641300381201"/>
    <n v="1808.6140124398501"/>
    <n v="6511.0104447834801"/>
  </r>
  <r>
    <x v="0"/>
    <x v="0"/>
    <x v="0"/>
    <x v="1"/>
    <x v="2"/>
    <s v="EE_A"/>
    <x v="0"/>
    <x v="0"/>
    <s v="WI-L10"/>
    <x v="7"/>
    <x v="0"/>
    <n v="138.374899080917"/>
    <n v="8417.8063607557797"/>
    <n v="30304.102898720801"/>
  </r>
  <r>
    <x v="0"/>
    <x v="0"/>
    <x v="0"/>
    <x v="1"/>
    <x v="2"/>
    <s v="EE_A"/>
    <x v="0"/>
    <x v="0"/>
    <s v="WI-L10"/>
    <x v="7"/>
    <x v="1"/>
    <n v="139.05445659635399"/>
    <n v="8459.1461096115509"/>
    <n v="30452.925994601599"/>
  </r>
  <r>
    <x v="0"/>
    <x v="0"/>
    <x v="0"/>
    <x v="1"/>
    <x v="2"/>
    <s v="EE_A"/>
    <x v="0"/>
    <x v="0"/>
    <s v="WI-L10"/>
    <x v="7"/>
    <x v="2"/>
    <n v="131.57932392654399"/>
    <n v="8004.4088721980997"/>
    <n v="28815.871939913199"/>
  </r>
  <r>
    <x v="0"/>
    <x v="0"/>
    <x v="0"/>
    <x v="1"/>
    <x v="2"/>
    <s v="EE_A"/>
    <x v="0"/>
    <x v="0"/>
    <s v="WI-L10"/>
    <x v="7"/>
    <x v="3"/>
    <n v="128.26648103878699"/>
    <n v="7802.8775965262303"/>
    <n v="28090.359347494399"/>
  </r>
  <r>
    <x v="0"/>
    <x v="0"/>
    <x v="0"/>
    <x v="1"/>
    <x v="2"/>
    <s v="EE_A"/>
    <x v="0"/>
    <x v="0"/>
    <s v="WI-L10"/>
    <x v="7"/>
    <x v="4"/>
    <n v="107.200198060232"/>
    <n v="6521.3453819974202"/>
    <n v="23476.8433751907"/>
  </r>
  <r>
    <x v="0"/>
    <x v="0"/>
    <x v="0"/>
    <x v="1"/>
    <x v="2"/>
    <s v="EE_A"/>
    <x v="0"/>
    <x v="0"/>
    <s v="WI-L10"/>
    <x v="7"/>
    <x v="5"/>
    <n v="94.033771198634199"/>
    <n v="5720.3877479169096"/>
    <n v="20593.395892500899"/>
  </r>
  <r>
    <x v="0"/>
    <x v="0"/>
    <x v="0"/>
    <x v="1"/>
    <x v="2"/>
    <s v="EE_A"/>
    <x v="0"/>
    <x v="0"/>
    <s v="WI-L10"/>
    <x v="7"/>
    <x v="6"/>
    <n v="99.894954769280702"/>
    <n v="6076.9430817979101"/>
    <n v="21876.995094472499"/>
  </r>
  <r>
    <x v="0"/>
    <x v="0"/>
    <x v="0"/>
    <x v="1"/>
    <x v="2"/>
    <s v="EE_A"/>
    <x v="0"/>
    <x v="0"/>
    <s v="WI-L10"/>
    <x v="7"/>
    <x v="7"/>
    <n v="83.670519088215599"/>
    <n v="5089.9565778664501"/>
    <n v="18323.843680319202"/>
  </r>
  <r>
    <x v="0"/>
    <x v="0"/>
    <x v="0"/>
    <x v="1"/>
    <x v="2"/>
    <s v="EE_A"/>
    <x v="0"/>
    <x v="0"/>
    <s v="WI-L10"/>
    <x v="7"/>
    <x v="8"/>
    <n v="81.716791231333403"/>
    <n v="4971.1047999061102"/>
    <n v="17895.977279661998"/>
  </r>
  <r>
    <x v="0"/>
    <x v="0"/>
    <x v="0"/>
    <x v="1"/>
    <x v="2"/>
    <s v="EE_A"/>
    <x v="0"/>
    <x v="0"/>
    <s v="WI-L10"/>
    <x v="7"/>
    <x v="9"/>
    <n v="48.4184729749065"/>
    <n v="2945.4571059734799"/>
    <n v="10603.645581504499"/>
  </r>
  <r>
    <x v="0"/>
    <x v="0"/>
    <x v="0"/>
    <x v="1"/>
    <x v="2"/>
    <s v="EE_A"/>
    <x v="0"/>
    <x v="0"/>
    <s v="WI-L10"/>
    <x v="7"/>
    <x v="10"/>
    <n v="30.325254126388799"/>
    <n v="1844.7862926886501"/>
    <n v="6641.2306536791502"/>
  </r>
  <r>
    <x v="0"/>
    <x v="0"/>
    <x v="0"/>
    <x v="1"/>
    <x v="2"/>
    <s v="EE_A"/>
    <x v="0"/>
    <x v="0"/>
    <s v="WI-L10"/>
    <x v="7"/>
    <x v="11"/>
    <n v="19.5372785688219"/>
    <n v="1188.5177796033299"/>
    <n v="4278.6640065720003"/>
  </r>
  <r>
    <x v="0"/>
    <x v="0"/>
    <x v="0"/>
    <x v="1"/>
    <x v="2"/>
    <s v="EE_A"/>
    <x v="0"/>
    <x v="0"/>
    <s v="WI-L10"/>
    <x v="8"/>
    <x v="0"/>
    <n v="50.372200831788703"/>
    <n v="3064.3088839338102"/>
    <n v="11031.511982161701"/>
  </r>
  <r>
    <x v="0"/>
    <x v="0"/>
    <x v="0"/>
    <x v="1"/>
    <x v="2"/>
    <s v="EE_A"/>
    <x v="0"/>
    <x v="0"/>
    <s v="WI-L10"/>
    <x v="8"/>
    <x v="1"/>
    <n v="38.0552208644879"/>
    <n v="2315.0259359230099"/>
    <n v="8334.0933693228508"/>
  </r>
  <r>
    <x v="0"/>
    <x v="0"/>
    <x v="0"/>
    <x v="1"/>
    <x v="2"/>
    <s v="EE_A"/>
    <x v="0"/>
    <x v="0"/>
    <s v="WI-L10"/>
    <x v="8"/>
    <x v="2"/>
    <n v="36.611161144183697"/>
    <n v="2227.1789696045098"/>
    <n v="8017.8442905762204"/>
  </r>
  <r>
    <x v="0"/>
    <x v="0"/>
    <x v="0"/>
    <x v="1"/>
    <x v="2"/>
    <s v="EE_A"/>
    <x v="0"/>
    <x v="0"/>
    <s v="WI-L10"/>
    <x v="8"/>
    <x v="3"/>
    <n v="26.6726324809134"/>
    <n v="1622.5851425889"/>
    <n v="5841.3065133200298"/>
  </r>
  <r>
    <x v="0"/>
    <x v="0"/>
    <x v="0"/>
    <x v="1"/>
    <x v="2"/>
    <s v="EE_A"/>
    <x v="0"/>
    <x v="0"/>
    <s v="WI-L10"/>
    <x v="8"/>
    <x v="4"/>
    <n v="25.143628071179499"/>
    <n v="1529.5707076634201"/>
    <n v="5506.4545475883097"/>
  </r>
  <r>
    <x v="0"/>
    <x v="0"/>
    <x v="0"/>
    <x v="1"/>
    <x v="2"/>
    <s v="EE_A"/>
    <x v="0"/>
    <x v="0"/>
    <s v="WI-L10"/>
    <x v="8"/>
    <x v="5"/>
    <n v="29.985475368670201"/>
    <n v="1824.1164182607699"/>
    <n v="6566.8191057387603"/>
  </r>
  <r>
    <x v="0"/>
    <x v="0"/>
    <x v="0"/>
    <x v="1"/>
    <x v="2"/>
    <s v="EE_A"/>
    <x v="0"/>
    <x v="0"/>
    <s v="WI-L10"/>
    <x v="8"/>
    <x v="6"/>
    <n v="32.194037293841298"/>
    <n v="1958.4706020420099"/>
    <n v="7050.4941673512503"/>
  </r>
  <r>
    <x v="0"/>
    <x v="0"/>
    <x v="0"/>
    <x v="1"/>
    <x v="2"/>
    <s v="EE_A"/>
    <x v="0"/>
    <x v="0"/>
    <s v="WI-L10"/>
    <x v="8"/>
    <x v="7"/>
    <n v="28.541415648365899"/>
    <n v="1736.26945194226"/>
    <n v="6250.5700269921399"/>
  </r>
  <r>
    <x v="0"/>
    <x v="0"/>
    <x v="0"/>
    <x v="1"/>
    <x v="2"/>
    <s v="EE_A"/>
    <x v="0"/>
    <x v="0"/>
    <s v="WI-L10"/>
    <x v="8"/>
    <x v="8"/>
    <n v="40.178838100229399"/>
    <n v="2444.2126510972898"/>
    <n v="8799.1655439502392"/>
  </r>
  <r>
    <x v="0"/>
    <x v="0"/>
    <x v="0"/>
    <x v="1"/>
    <x v="2"/>
    <s v="EE_A"/>
    <x v="0"/>
    <x v="0"/>
    <s v="WI-L10"/>
    <x v="8"/>
    <x v="9"/>
    <n v="28.456470958936301"/>
    <n v="1731.10198333529"/>
    <n v="6231.9671400070401"/>
  </r>
  <r>
    <x v="0"/>
    <x v="0"/>
    <x v="0"/>
    <x v="1"/>
    <x v="2"/>
    <s v="EE_A"/>
    <x v="0"/>
    <x v="0"/>
    <s v="WI-L10"/>
    <x v="8"/>
    <x v="10"/>
    <n v="13.506205619316001"/>
    <n v="821.62750850839097"/>
    <n v="2957.8590306302099"/>
  </r>
  <r>
    <x v="0"/>
    <x v="0"/>
    <x v="0"/>
    <x v="1"/>
    <x v="2"/>
    <s v="EE_A"/>
    <x v="0"/>
    <x v="0"/>
    <s v="WI-L10"/>
    <x v="8"/>
    <x v="11"/>
    <n v="4.5870132292016699"/>
    <n v="279.04330477643498"/>
    <n v="1004.55589719517"/>
  </r>
  <r>
    <x v="0"/>
    <x v="0"/>
    <x v="0"/>
    <x v="1"/>
    <x v="2"/>
    <s v="EE_A"/>
    <x v="0"/>
    <x v="0"/>
    <s v="WI-L10"/>
    <x v="9"/>
    <x v="0"/>
    <n v="64.9826874136903"/>
    <n v="3953.11348433282"/>
    <n v="14231.208543598201"/>
  </r>
  <r>
    <x v="0"/>
    <x v="0"/>
    <x v="0"/>
    <x v="1"/>
    <x v="2"/>
    <s v="EE_A"/>
    <x v="0"/>
    <x v="0"/>
    <s v="WI-L10"/>
    <x v="9"/>
    <x v="1"/>
    <n v="39.074557137643801"/>
    <n v="2377.0355592066699"/>
    <n v="8557.3280131439897"/>
  </r>
  <r>
    <x v="0"/>
    <x v="0"/>
    <x v="0"/>
    <x v="1"/>
    <x v="2"/>
    <s v="EE_A"/>
    <x v="0"/>
    <x v="0"/>
    <s v="WI-L10"/>
    <x v="9"/>
    <x v="2"/>
    <n v="46.804523875742902"/>
    <n v="2847.2752024410302"/>
    <n v="10250.1907287877"/>
  </r>
  <r>
    <x v="0"/>
    <x v="0"/>
    <x v="0"/>
    <x v="1"/>
    <x v="2"/>
    <s v="EE_A"/>
    <x v="0"/>
    <x v="0"/>
    <s v="WI-L10"/>
    <x v="9"/>
    <x v="3"/>
    <n v="51.136703036655597"/>
    <n v="3110.81610139655"/>
    <n v="11198.937965027601"/>
  </r>
  <r>
    <x v="0"/>
    <x v="0"/>
    <x v="0"/>
    <x v="1"/>
    <x v="2"/>
    <s v="EE_A"/>
    <x v="0"/>
    <x v="0"/>
    <s v="WI-L10"/>
    <x v="9"/>
    <x v="4"/>
    <n v="49.352864558632703"/>
    <n v="3002.2992606501598"/>
    <n v="10808.2773383406"/>
  </r>
  <r>
    <x v="0"/>
    <x v="0"/>
    <x v="0"/>
    <x v="1"/>
    <x v="2"/>
    <s v="EE_A"/>
    <x v="0"/>
    <x v="0"/>
    <s v="WI-L10"/>
    <x v="9"/>
    <x v="5"/>
    <n v="45.615298223727699"/>
    <n v="2774.9306419434301"/>
    <n v="9989.75031099636"/>
  </r>
  <r>
    <x v="0"/>
    <x v="0"/>
    <x v="0"/>
    <x v="1"/>
    <x v="2"/>
    <s v="EE_A"/>
    <x v="0"/>
    <x v="0"/>
    <s v="WI-L10"/>
    <x v="9"/>
    <x v="6"/>
    <n v="46.124966360305599"/>
    <n v="2805.9354535852599"/>
    <n v="10101.3676329069"/>
  </r>
  <r>
    <x v="0"/>
    <x v="0"/>
    <x v="0"/>
    <x v="1"/>
    <x v="2"/>
    <s v="EE_A"/>
    <x v="0"/>
    <x v="0"/>
    <s v="WI-L10"/>
    <x v="9"/>
    <x v="7"/>
    <n v="52.920541514678497"/>
    <n v="3219.3329421429398"/>
    <n v="11589.598591714601"/>
  </r>
  <r>
    <x v="0"/>
    <x v="0"/>
    <x v="0"/>
    <x v="1"/>
    <x v="2"/>
    <s v="EE_A"/>
    <x v="0"/>
    <x v="0"/>
    <s v="WI-L10"/>
    <x v="9"/>
    <x v="8"/>
    <n v="48.078694217187802"/>
    <n v="2924.7872315455902"/>
    <n v="10529.2340335641"/>
  </r>
  <r>
    <x v="0"/>
    <x v="0"/>
    <x v="0"/>
    <x v="1"/>
    <x v="2"/>
    <s v="EE_A"/>
    <x v="0"/>
    <x v="0"/>
    <s v="WI-L10"/>
    <x v="9"/>
    <x v="9"/>
    <n v="23.359789593156599"/>
    <n v="1421.0538669170301"/>
    <n v="5115.7939209013002"/>
  </r>
  <r>
    <x v="0"/>
    <x v="0"/>
    <x v="0"/>
    <x v="1"/>
    <x v="2"/>
    <s v="EE_A"/>
    <x v="0"/>
    <x v="0"/>
    <s v="WI-L10"/>
    <x v="9"/>
    <x v="10"/>
    <n v="10.3632521104186"/>
    <n v="630.43117005046395"/>
    <n v="2269.5522121816698"/>
  </r>
  <r>
    <x v="0"/>
    <x v="0"/>
    <x v="0"/>
    <x v="1"/>
    <x v="2"/>
    <s v="EE_A"/>
    <x v="0"/>
    <x v="0"/>
    <s v="WI-L10"/>
    <x v="9"/>
    <x v="11"/>
    <n v="14.270707824183001"/>
    <n v="868.13472597113002"/>
    <n v="3125.28501349607"/>
  </r>
  <r>
    <x v="0"/>
    <x v="0"/>
    <x v="0"/>
    <x v="1"/>
    <x v="2"/>
    <s v="EE_A"/>
    <x v="0"/>
    <x v="0"/>
    <s v="WI-L10"/>
    <x v="10"/>
    <x v="0"/>
    <n v="11.4675330730042"/>
    <n v="697.60826194108699"/>
    <n v="2511.3897429879098"/>
  </r>
  <r>
    <x v="0"/>
    <x v="0"/>
    <x v="0"/>
    <x v="1"/>
    <x v="2"/>
    <s v="EE_A"/>
    <x v="0"/>
    <x v="0"/>
    <s v="WI-L10"/>
    <x v="10"/>
    <x v="1"/>
    <n v="10.6180861787076"/>
    <n v="645.933575871377"/>
    <n v="2325.36087313696"/>
  </r>
  <r>
    <x v="0"/>
    <x v="0"/>
    <x v="0"/>
    <x v="1"/>
    <x v="2"/>
    <s v="EE_A"/>
    <x v="0"/>
    <x v="0"/>
    <s v="WI-L10"/>
    <x v="10"/>
    <x v="2"/>
    <n v="16.5642144387838"/>
    <n v="1007.65637835935"/>
    <n v="3627.5629620936502"/>
  </r>
  <r>
    <x v="0"/>
    <x v="0"/>
    <x v="0"/>
    <x v="1"/>
    <x v="2"/>
    <s v="EE_A"/>
    <x v="0"/>
    <x v="0"/>
    <s v="WI-L10"/>
    <x v="10"/>
    <x v="3"/>
    <n v="15.4599334761982"/>
    <n v="940.47928646872504"/>
    <n v="3385.7254312874102"/>
  </r>
  <r>
    <x v="0"/>
    <x v="0"/>
    <x v="0"/>
    <x v="1"/>
    <x v="2"/>
    <s v="EE_A"/>
    <x v="0"/>
    <x v="0"/>
    <s v="WI-L10"/>
    <x v="10"/>
    <x v="4"/>
    <n v="18.942665742814299"/>
    <n v="1152.3454993545399"/>
    <n v="4148.4437976763302"/>
  </r>
  <r>
    <x v="0"/>
    <x v="0"/>
    <x v="0"/>
    <x v="1"/>
    <x v="2"/>
    <s v="EE_A"/>
    <x v="0"/>
    <x v="0"/>
    <s v="WI-L10"/>
    <x v="10"/>
    <x v="5"/>
    <n v="31.769313846692999"/>
    <n v="1932.6332590071599"/>
    <n v="6957.4797324257697"/>
  </r>
  <r>
    <x v="0"/>
    <x v="0"/>
    <x v="0"/>
    <x v="1"/>
    <x v="2"/>
    <s v="EE_A"/>
    <x v="0"/>
    <x v="0"/>
    <s v="WI-L10"/>
    <x v="10"/>
    <x v="6"/>
    <n v="48.6733070431955"/>
    <n v="2960.95951179439"/>
    <n v="10659.4542424598"/>
  </r>
  <r>
    <x v="0"/>
    <x v="0"/>
    <x v="0"/>
    <x v="1"/>
    <x v="2"/>
    <s v="EE_A"/>
    <x v="0"/>
    <x v="0"/>
    <s v="WI-L10"/>
    <x v="10"/>
    <x v="7"/>
    <n v="56.743052539013199"/>
    <n v="3451.86902945664"/>
    <n v="12426.728506043901"/>
  </r>
  <r>
    <x v="0"/>
    <x v="0"/>
    <x v="0"/>
    <x v="1"/>
    <x v="2"/>
    <s v="EE_A"/>
    <x v="0"/>
    <x v="0"/>
    <s v="WI-L10"/>
    <x v="10"/>
    <x v="8"/>
    <n v="48.9281411114844"/>
    <n v="2976.4619176153001"/>
    <n v="10715.2629034151"/>
  </r>
  <r>
    <x v="0"/>
    <x v="0"/>
    <x v="0"/>
    <x v="1"/>
    <x v="2"/>
    <s v="EE_A"/>
    <x v="0"/>
    <x v="0"/>
    <s v="WI-L10"/>
    <x v="10"/>
    <x v="9"/>
    <n v="38.479944311636203"/>
    <n v="2340.8632789578701"/>
    <n v="8427.1078042483296"/>
  </r>
  <r>
    <x v="0"/>
    <x v="0"/>
    <x v="0"/>
    <x v="1"/>
    <x v="2"/>
    <s v="EE_A"/>
    <x v="0"/>
    <x v="0"/>
    <s v="WI-L10"/>
    <x v="10"/>
    <x v="10"/>
    <n v="40.263782789659103"/>
    <n v="2449.3801197042599"/>
    <n v="8817.7684309353408"/>
  </r>
  <r>
    <x v="0"/>
    <x v="0"/>
    <x v="0"/>
    <x v="1"/>
    <x v="2"/>
    <s v="EE_A"/>
    <x v="0"/>
    <x v="0"/>
    <s v="WI-L10"/>
    <x v="10"/>
    <x v="11"/>
    <n v="28.201636890647301"/>
    <n v="1715.5995775143799"/>
    <n v="6176.15847905176"/>
  </r>
  <r>
    <x v="0"/>
    <x v="0"/>
    <x v="0"/>
    <x v="1"/>
    <x v="2"/>
    <s v="EE_A"/>
    <x v="0"/>
    <x v="0"/>
    <s v="WI-L10"/>
    <x v="11"/>
    <x v="0"/>
    <n v="140.32862693779899"/>
    <n v="8536.6581387161095"/>
    <n v="30731.969299378001"/>
  </r>
  <r>
    <x v="0"/>
    <x v="0"/>
    <x v="0"/>
    <x v="1"/>
    <x v="2"/>
    <s v="EE_A"/>
    <x v="0"/>
    <x v="0"/>
    <s v="WI-L10"/>
    <x v="11"/>
    <x v="1"/>
    <n v="160.375573643199"/>
    <n v="9756.1807299612701"/>
    <n v="35122.250627860602"/>
  </r>
  <r>
    <x v="0"/>
    <x v="0"/>
    <x v="0"/>
    <x v="1"/>
    <x v="2"/>
    <s v="EE_A"/>
    <x v="0"/>
    <x v="0"/>
    <s v="WI-L10"/>
    <x v="11"/>
    <x v="2"/>
    <n v="167.93565100243899"/>
    <n v="10216.0854359817"/>
    <n v="36777.907569534102"/>
  </r>
  <r>
    <x v="0"/>
    <x v="0"/>
    <x v="0"/>
    <x v="1"/>
    <x v="2"/>
    <s v="EE_A"/>
    <x v="0"/>
    <x v="0"/>
    <s v="WI-L10"/>
    <x v="11"/>
    <x v="3"/>
    <n v="197.75123699225"/>
    <n v="12029.866917028499"/>
    <n v="43307.520901302698"/>
  </r>
  <r>
    <x v="0"/>
    <x v="0"/>
    <x v="0"/>
    <x v="1"/>
    <x v="2"/>
    <s v="EE_A"/>
    <x v="0"/>
    <x v="0"/>
    <s v="WI-L10"/>
    <x v="11"/>
    <x v="4"/>
    <n v="189.596546807002"/>
    <n v="11533.7899307593"/>
    <n v="41521.643750733499"/>
  </r>
  <r>
    <x v="0"/>
    <x v="0"/>
    <x v="0"/>
    <x v="1"/>
    <x v="2"/>
    <s v="EE_A"/>
    <x v="0"/>
    <x v="0"/>
    <s v="WI-L10"/>
    <x v="11"/>
    <x v="5"/>
    <n v="195.712564445938"/>
    <n v="11905.8476704612"/>
    <n v="42861.051613660398"/>
  </r>
  <r>
    <x v="0"/>
    <x v="0"/>
    <x v="0"/>
    <x v="1"/>
    <x v="2"/>
    <s v="EE_A"/>
    <x v="0"/>
    <x v="0"/>
    <s v="WI-L10"/>
    <x v="11"/>
    <x v="6"/>
    <n v="195.11795161993001"/>
    <n v="11869.6753902124"/>
    <n v="42730.8314047647"/>
  </r>
  <r>
    <x v="0"/>
    <x v="0"/>
    <x v="0"/>
    <x v="1"/>
    <x v="2"/>
    <s v="EE_A"/>
    <x v="0"/>
    <x v="0"/>
    <s v="WI-L10"/>
    <x v="11"/>
    <x v="7"/>
    <n v="195.54267506707799"/>
    <n v="11895.5127332473"/>
    <n v="42823.845839690199"/>
  </r>
  <r>
    <x v="0"/>
    <x v="0"/>
    <x v="0"/>
    <x v="1"/>
    <x v="2"/>
    <s v="EE_A"/>
    <x v="0"/>
    <x v="0"/>
    <s v="WI-L10"/>
    <x v="11"/>
    <x v="8"/>
    <n v="204.54681214662199"/>
    <n v="12443.2644055862"/>
    <n v="44795.7518601103"/>
  </r>
  <r>
    <x v="0"/>
    <x v="0"/>
    <x v="0"/>
    <x v="1"/>
    <x v="2"/>
    <s v="EE_A"/>
    <x v="0"/>
    <x v="0"/>
    <s v="WI-L10"/>
    <x v="11"/>
    <x v="9"/>
    <n v="185.09447826722999"/>
    <n v="11259.9140945898"/>
    <n v="40535.690740523401"/>
  </r>
  <r>
    <x v="0"/>
    <x v="0"/>
    <x v="0"/>
    <x v="1"/>
    <x v="2"/>
    <s v="EE_A"/>
    <x v="0"/>
    <x v="0"/>
    <s v="WI-L10"/>
    <x v="11"/>
    <x v="10"/>
    <n v="184.75469950951199"/>
    <n v="11239.244220162"/>
    <n v="40461.279192583002"/>
  </r>
  <r>
    <x v="0"/>
    <x v="0"/>
    <x v="0"/>
    <x v="1"/>
    <x v="2"/>
    <s v="EE_A"/>
    <x v="0"/>
    <x v="0"/>
    <s v="WI-L10"/>
    <x v="11"/>
    <x v="11"/>
    <n v="171.75816202677399"/>
    <n v="10448.6215232954"/>
    <n v="37615.037483863402"/>
  </r>
  <r>
    <x v="0"/>
    <x v="0"/>
    <x v="0"/>
    <x v="1"/>
    <x v="2"/>
    <s v="EE_Industry"/>
    <x v="3"/>
    <x v="3"/>
    <s v="GBPR_NATGAS"/>
    <x v="0"/>
    <x v="0"/>
    <n v="13.777421988393399"/>
    <n v="838.12650429393398"/>
    <n v="3017.2554154581599"/>
  </r>
  <r>
    <x v="0"/>
    <x v="0"/>
    <x v="0"/>
    <x v="1"/>
    <x v="2"/>
    <s v="EE_Industry"/>
    <x v="3"/>
    <x v="3"/>
    <s v="GBPR_NATGAS"/>
    <x v="0"/>
    <x v="1"/>
    <n v="13.767708763531999"/>
    <n v="837.53561644819604"/>
    <n v="3015.12821921351"/>
  </r>
  <r>
    <x v="0"/>
    <x v="0"/>
    <x v="0"/>
    <x v="1"/>
    <x v="2"/>
    <s v="EE_Industry"/>
    <x v="3"/>
    <x v="3"/>
    <s v="GBPR_NATGAS"/>
    <x v="0"/>
    <x v="2"/>
    <n v="13.777421988393399"/>
    <n v="838.12650429393398"/>
    <n v="3017.2554154581599"/>
  </r>
  <r>
    <x v="0"/>
    <x v="0"/>
    <x v="0"/>
    <x v="1"/>
    <x v="2"/>
    <s v="EE_Industry"/>
    <x v="3"/>
    <x v="3"/>
    <s v="GBPR_NATGAS"/>
    <x v="0"/>
    <x v="3"/>
    <n v="13.787135213254899"/>
    <n v="838.71739213967203"/>
    <n v="3019.3826117028202"/>
  </r>
  <r>
    <x v="0"/>
    <x v="0"/>
    <x v="0"/>
    <x v="1"/>
    <x v="2"/>
    <s v="EE_Industry"/>
    <x v="3"/>
    <x v="3"/>
    <s v="GBPR_NATGAS"/>
    <x v="0"/>
    <x v="4"/>
    <n v="13.787135213254899"/>
    <n v="838.71739213967203"/>
    <n v="3019.3826117028202"/>
  </r>
  <r>
    <x v="0"/>
    <x v="0"/>
    <x v="0"/>
    <x v="1"/>
    <x v="2"/>
    <s v="EE_Industry"/>
    <x v="3"/>
    <x v="3"/>
    <s v="GBPR_NATGAS"/>
    <x v="0"/>
    <x v="5"/>
    <n v="13.767708763531999"/>
    <n v="837.53561644819604"/>
    <n v="3015.12821921351"/>
  </r>
  <r>
    <x v="0"/>
    <x v="0"/>
    <x v="0"/>
    <x v="1"/>
    <x v="2"/>
    <s v="EE_Industry"/>
    <x v="3"/>
    <x v="3"/>
    <s v="GBPR_NATGAS"/>
    <x v="0"/>
    <x v="6"/>
    <n v="13.728855864086199"/>
    <n v="835.17206506524496"/>
    <n v="3006.6194342348799"/>
  </r>
  <r>
    <x v="0"/>
    <x v="0"/>
    <x v="0"/>
    <x v="1"/>
    <x v="2"/>
    <s v="EE_Industry"/>
    <x v="3"/>
    <x v="3"/>
    <s v="GBPR_NATGAS"/>
    <x v="0"/>
    <x v="7"/>
    <n v="13.699716189501901"/>
    <n v="833.39940152803001"/>
    <n v="3000.2378455009102"/>
  </r>
  <r>
    <x v="0"/>
    <x v="0"/>
    <x v="0"/>
    <x v="1"/>
    <x v="2"/>
    <s v="EE_Industry"/>
    <x v="3"/>
    <x v="3"/>
    <s v="GBPR_NATGAS"/>
    <x v="0"/>
    <x v="8"/>
    <n v="13.796848438116299"/>
    <n v="839.30827998540997"/>
    <n v="3021.5098079474801"/>
  </r>
  <r>
    <x v="0"/>
    <x v="0"/>
    <x v="0"/>
    <x v="1"/>
    <x v="2"/>
    <s v="EE_Industry"/>
    <x v="3"/>
    <x v="3"/>
    <s v="GBPR_NATGAS"/>
    <x v="0"/>
    <x v="9"/>
    <n v="13.932833586176599"/>
    <n v="847.58070982574202"/>
    <n v="3051.29055537267"/>
  </r>
  <r>
    <x v="0"/>
    <x v="0"/>
    <x v="0"/>
    <x v="1"/>
    <x v="2"/>
    <s v="EE_Industry"/>
    <x v="3"/>
    <x v="3"/>
    <s v="GBPR_NATGAS"/>
    <x v="0"/>
    <x v="10"/>
    <n v="14.1270980834055"/>
    <n v="859.39846674050204"/>
    <n v="3093.8344802658098"/>
  </r>
  <r>
    <x v="0"/>
    <x v="0"/>
    <x v="0"/>
    <x v="1"/>
    <x v="2"/>
    <s v="EE_Industry"/>
    <x v="3"/>
    <x v="3"/>
    <s v="GBPR_NATGAS"/>
    <x v="0"/>
    <x v="11"/>
    <n v="14.3602154800802"/>
    <n v="873.57977503821496"/>
    <n v="3144.8871901375701"/>
  </r>
  <r>
    <x v="0"/>
    <x v="0"/>
    <x v="0"/>
    <x v="1"/>
    <x v="2"/>
    <s v="EE_Industry"/>
    <x v="3"/>
    <x v="3"/>
    <s v="GBPR_NATGAS"/>
    <x v="1"/>
    <x v="0"/>
    <n v="18.8"/>
    <n v="1143.6666666666699"/>
    <n v="4117.2"/>
  </r>
  <r>
    <x v="0"/>
    <x v="0"/>
    <x v="0"/>
    <x v="1"/>
    <x v="2"/>
    <s v="EE_Industry"/>
    <x v="3"/>
    <x v="3"/>
    <s v="GBPR_NATGAS"/>
    <x v="1"/>
    <x v="1"/>
    <n v="18.8"/>
    <n v="1143.6666666666699"/>
    <n v="4117.2"/>
  </r>
  <r>
    <x v="0"/>
    <x v="0"/>
    <x v="0"/>
    <x v="1"/>
    <x v="2"/>
    <s v="EE_Industry"/>
    <x v="3"/>
    <x v="3"/>
    <s v="GBPR_NATGAS"/>
    <x v="1"/>
    <x v="2"/>
    <n v="18.8"/>
    <n v="1143.6666666666699"/>
    <n v="4117.2"/>
  </r>
  <r>
    <x v="0"/>
    <x v="0"/>
    <x v="0"/>
    <x v="1"/>
    <x v="2"/>
    <s v="EE_Industry"/>
    <x v="3"/>
    <x v="3"/>
    <s v="GBPR_NATGAS"/>
    <x v="1"/>
    <x v="3"/>
    <n v="18.8"/>
    <n v="1143.6666666666699"/>
    <n v="4117.2"/>
  </r>
  <r>
    <x v="0"/>
    <x v="0"/>
    <x v="0"/>
    <x v="1"/>
    <x v="2"/>
    <s v="EE_Industry"/>
    <x v="3"/>
    <x v="3"/>
    <s v="GBPR_NATGAS"/>
    <x v="1"/>
    <x v="4"/>
    <n v="18.8"/>
    <n v="1143.6666666666699"/>
    <n v="4117.2"/>
  </r>
  <r>
    <x v="0"/>
    <x v="0"/>
    <x v="0"/>
    <x v="1"/>
    <x v="2"/>
    <s v="EE_Industry"/>
    <x v="3"/>
    <x v="3"/>
    <s v="GBPR_NATGAS"/>
    <x v="1"/>
    <x v="5"/>
    <n v="18.8"/>
    <n v="1143.6666666666699"/>
    <n v="4117.2"/>
  </r>
  <r>
    <x v="0"/>
    <x v="0"/>
    <x v="0"/>
    <x v="1"/>
    <x v="2"/>
    <s v="EE_Industry"/>
    <x v="3"/>
    <x v="3"/>
    <s v="GBPR_NATGAS"/>
    <x v="1"/>
    <x v="6"/>
    <n v="18.507762495917898"/>
    <n v="1125.88888516834"/>
    <n v="4053.19998660602"/>
  </r>
  <r>
    <x v="0"/>
    <x v="0"/>
    <x v="0"/>
    <x v="1"/>
    <x v="2"/>
    <s v="EE_Industry"/>
    <x v="3"/>
    <x v="3"/>
    <s v="GBPR_NATGAS"/>
    <x v="1"/>
    <x v="7"/>
    <n v="17.779270631309299"/>
    <n v="1081.57229673799"/>
    <n v="3893.66026825675"/>
  </r>
  <r>
    <x v="0"/>
    <x v="0"/>
    <x v="0"/>
    <x v="1"/>
    <x v="2"/>
    <s v="EE_Industry"/>
    <x v="3"/>
    <x v="3"/>
    <s v="GBPR_NATGAS"/>
    <x v="1"/>
    <x v="8"/>
    <n v="17.147911015315401"/>
    <n v="1043.16458676502"/>
    <n v="3755.3925123540798"/>
  </r>
  <r>
    <x v="0"/>
    <x v="0"/>
    <x v="0"/>
    <x v="1"/>
    <x v="2"/>
    <s v="EE_Industry"/>
    <x v="3"/>
    <x v="3"/>
    <s v="GBPR_NATGAS"/>
    <x v="1"/>
    <x v="9"/>
    <n v="16.574830748490001"/>
    <n v="1008.30220386648"/>
    <n v="3629.8879339193099"/>
  </r>
  <r>
    <x v="0"/>
    <x v="0"/>
    <x v="0"/>
    <x v="1"/>
    <x v="2"/>
    <s v="EE_Industry"/>
    <x v="3"/>
    <x v="3"/>
    <s v="GBPR_NATGAS"/>
    <x v="1"/>
    <x v="10"/>
    <n v="16.0600298308334"/>
    <n v="976.985148042368"/>
    <n v="3517.1465329525199"/>
  </r>
  <r>
    <x v="0"/>
    <x v="0"/>
    <x v="0"/>
    <x v="1"/>
    <x v="2"/>
    <s v="EE_Industry"/>
    <x v="3"/>
    <x v="3"/>
    <s v="GBPR_NATGAS"/>
    <x v="1"/>
    <x v="11"/>
    <n v="15.6326479369298"/>
    <n v="950.98608282989699"/>
    <n v="3423.5498981876299"/>
  </r>
  <r>
    <x v="0"/>
    <x v="0"/>
    <x v="0"/>
    <x v="1"/>
    <x v="2"/>
    <s v="EE_Industry"/>
    <x v="3"/>
    <x v="3"/>
    <s v="GBPR_NATGAS"/>
    <x v="2"/>
    <x v="0"/>
    <n v="14.8653031728754"/>
    <n v="904.30594301659005"/>
    <n v="3255.5013948597202"/>
  </r>
  <r>
    <x v="0"/>
    <x v="0"/>
    <x v="0"/>
    <x v="1"/>
    <x v="2"/>
    <s v="EE_Industry"/>
    <x v="3"/>
    <x v="3"/>
    <s v="GBPR_NATGAS"/>
    <x v="2"/>
    <x v="1"/>
    <n v="14.8847296225983"/>
    <n v="905.48771870806604"/>
    <n v="3259.75578734904"/>
  </r>
  <r>
    <x v="0"/>
    <x v="0"/>
    <x v="0"/>
    <x v="1"/>
    <x v="2"/>
    <s v="EE_Industry"/>
    <x v="3"/>
    <x v="3"/>
    <s v="GBPR_NATGAS"/>
    <x v="2"/>
    <x v="2"/>
    <n v="14.9041560723212"/>
    <n v="906.66949439954203"/>
    <n v="3264.0101798383498"/>
  </r>
  <r>
    <x v="0"/>
    <x v="0"/>
    <x v="0"/>
    <x v="1"/>
    <x v="2"/>
    <s v="EE_Industry"/>
    <x v="3"/>
    <x v="3"/>
    <s v="GBPR_NATGAS"/>
    <x v="2"/>
    <x v="3"/>
    <n v="14.9527221966285"/>
    <n v="909.62393362823104"/>
    <n v="3274.6461610616302"/>
  </r>
  <r>
    <x v="0"/>
    <x v="0"/>
    <x v="0"/>
    <x v="1"/>
    <x v="2"/>
    <s v="EE_Industry"/>
    <x v="3"/>
    <x v="3"/>
    <s v="GBPR_NATGAS"/>
    <x v="2"/>
    <x v="4"/>
    <n v="15.0110015457971"/>
    <n v="913.16926070266004"/>
    <n v="3287.4093385295701"/>
  </r>
  <r>
    <x v="0"/>
    <x v="0"/>
    <x v="0"/>
    <x v="1"/>
    <x v="2"/>
    <s v="EE_Industry"/>
    <x v="3"/>
    <x v="3"/>
    <s v="GBPR_NATGAS"/>
    <x v="2"/>
    <x v="5"/>
    <n v="15.0789941198273"/>
    <n v="917.30547562282595"/>
    <n v="3302.2997122421698"/>
  </r>
  <r>
    <x v="0"/>
    <x v="0"/>
    <x v="0"/>
    <x v="1"/>
    <x v="2"/>
    <s v="EE_Industry"/>
    <x v="3"/>
    <x v="3"/>
    <s v="GBPR_NATGAS"/>
    <x v="2"/>
    <x v="6"/>
    <n v="15.1761263684417"/>
    <n v="923.214354080205"/>
    <n v="3323.5716746887401"/>
  </r>
  <r>
    <x v="0"/>
    <x v="0"/>
    <x v="0"/>
    <x v="1"/>
    <x v="2"/>
    <s v="EE_Industry"/>
    <x v="3"/>
    <x v="3"/>
    <s v="GBPR_NATGAS"/>
    <x v="2"/>
    <x v="7"/>
    <n v="15.2538321673333"/>
    <n v="927.94145684610896"/>
    <n v="3340.5892446459902"/>
  </r>
  <r>
    <x v="0"/>
    <x v="0"/>
    <x v="0"/>
    <x v="1"/>
    <x v="2"/>
    <s v="EE_Industry"/>
    <x v="3"/>
    <x v="3"/>
    <s v="GBPR_NATGAS"/>
    <x v="2"/>
    <x v="8"/>
    <n v="15.3218247413634"/>
    <n v="932.07767176627499"/>
    <n v="3355.47961835859"/>
  </r>
  <r>
    <x v="0"/>
    <x v="0"/>
    <x v="0"/>
    <x v="1"/>
    <x v="2"/>
    <s v="EE_Industry"/>
    <x v="3"/>
    <x v="3"/>
    <s v="GBPR_NATGAS"/>
    <x v="2"/>
    <x v="9"/>
    <n v="15.4092437651165"/>
    <n v="937.39566237791803"/>
    <n v="3374.6243845604999"/>
  </r>
  <r>
    <x v="0"/>
    <x v="0"/>
    <x v="0"/>
    <x v="1"/>
    <x v="2"/>
    <s v="EE_Industry"/>
    <x v="3"/>
    <x v="3"/>
    <s v="GBPR_NATGAS"/>
    <x v="2"/>
    <x v="10"/>
    <n v="15.4480966645622"/>
    <n v="939.75921376086899"/>
    <n v="3383.13316953913"/>
  </r>
  <r>
    <x v="0"/>
    <x v="0"/>
    <x v="0"/>
    <x v="1"/>
    <x v="2"/>
    <s v="EE_Industry"/>
    <x v="3"/>
    <x v="3"/>
    <s v="GBPR_NATGAS"/>
    <x v="2"/>
    <x v="11"/>
    <n v="15.389817315393501"/>
    <n v="936.21388668644101"/>
    <n v="3370.3699920711902"/>
  </r>
  <r>
    <x v="0"/>
    <x v="0"/>
    <x v="0"/>
    <x v="1"/>
    <x v="2"/>
    <s v="EE_Industry"/>
    <x v="3"/>
    <x v="3"/>
    <s v="GBPR_NATGAS"/>
    <x v="3"/>
    <x v="0"/>
    <n v="15.4675231142851"/>
    <n v="940.940989452346"/>
    <n v="3387.3875620284398"/>
  </r>
  <r>
    <x v="0"/>
    <x v="0"/>
    <x v="0"/>
    <x v="1"/>
    <x v="2"/>
    <s v="EE_Industry"/>
    <x v="3"/>
    <x v="3"/>
    <s v="GBPR_NATGAS"/>
    <x v="3"/>
    <x v="1"/>
    <n v="15.778346309851401"/>
    <n v="959.84940051596004"/>
    <n v="3455.4578418574602"/>
  </r>
  <r>
    <x v="0"/>
    <x v="0"/>
    <x v="0"/>
    <x v="1"/>
    <x v="2"/>
    <s v="EE_Industry"/>
    <x v="3"/>
    <x v="3"/>
    <s v="GBPR_NATGAS"/>
    <x v="3"/>
    <x v="2"/>
    <n v="16.030890156249001"/>
    <n v="975.21248450514804"/>
    <n v="3510.7649442185302"/>
  </r>
  <r>
    <x v="0"/>
    <x v="0"/>
    <x v="0"/>
    <x v="1"/>
    <x v="2"/>
    <s v="EE_Industry"/>
    <x v="3"/>
    <x v="3"/>
    <s v="GBPR_NATGAS"/>
    <x v="3"/>
    <x v="3"/>
    <n v="16.244581103200801"/>
    <n v="988.21201711138303"/>
    <n v="3557.5632616009798"/>
  </r>
  <r>
    <x v="0"/>
    <x v="0"/>
    <x v="0"/>
    <x v="1"/>
    <x v="2"/>
    <s v="EE_Industry"/>
    <x v="3"/>
    <x v="3"/>
    <s v="GBPR_NATGAS"/>
    <x v="3"/>
    <x v="4"/>
    <n v="16.4097059258455"/>
    <n v="998.25711048893504"/>
    <n v="3593.7255977601699"/>
  </r>
  <r>
    <x v="0"/>
    <x v="0"/>
    <x v="0"/>
    <x v="1"/>
    <x v="2"/>
    <s v="EE_Industry"/>
    <x v="3"/>
    <x v="3"/>
    <s v="GBPR_NATGAS"/>
    <x v="3"/>
    <x v="5"/>
    <n v="16.4679852750142"/>
    <n v="1001.8024375633599"/>
    <n v="3606.4887752281102"/>
  </r>
  <r>
    <x v="0"/>
    <x v="0"/>
    <x v="0"/>
    <x v="1"/>
    <x v="2"/>
    <s v="EE_Industry"/>
    <x v="3"/>
    <x v="3"/>
    <s v="GBPR_NATGAS"/>
    <x v="3"/>
    <x v="6"/>
    <n v="16.458272050152601"/>
    <n v="1001.21154971762"/>
    <n v="3604.3615789834298"/>
  </r>
  <r>
    <x v="0"/>
    <x v="0"/>
    <x v="0"/>
    <x v="1"/>
    <x v="2"/>
    <s v="EE_Industry"/>
    <x v="3"/>
    <x v="3"/>
    <s v="GBPR_NATGAS"/>
    <x v="3"/>
    <x v="7"/>
    <n v="16.3902794761226"/>
    <n v="997.07533479745905"/>
    <n v="3589.4712052708501"/>
  </r>
  <r>
    <x v="0"/>
    <x v="0"/>
    <x v="0"/>
    <x v="1"/>
    <x v="2"/>
    <s v="EE_Industry"/>
    <x v="3"/>
    <x v="3"/>
    <s v="GBPR_NATGAS"/>
    <x v="3"/>
    <x v="8"/>
    <n v="16.302860452369501"/>
    <n v="991.75734418581101"/>
    <n v="3570.3264390689201"/>
  </r>
  <r>
    <x v="0"/>
    <x v="0"/>
    <x v="0"/>
    <x v="1"/>
    <x v="2"/>
    <s v="EE_Industry"/>
    <x v="3"/>
    <x v="3"/>
    <s v="GBPR_NATGAS"/>
    <x v="3"/>
    <x v="9"/>
    <n v="16.186301754032101"/>
    <n v="984.66669003695495"/>
    <n v="3544.8000841330399"/>
  </r>
  <r>
    <x v="0"/>
    <x v="0"/>
    <x v="0"/>
    <x v="1"/>
    <x v="2"/>
    <s v="EE_Industry"/>
    <x v="3"/>
    <x v="3"/>
    <s v="GBPR_NATGAS"/>
    <x v="3"/>
    <x v="10"/>
    <n v="16.050316605971901"/>
    <n v="976.39426019662403"/>
    <n v="3515.01933670784"/>
  </r>
  <r>
    <x v="0"/>
    <x v="0"/>
    <x v="0"/>
    <x v="1"/>
    <x v="2"/>
    <s v="EE_Industry"/>
    <x v="3"/>
    <x v="3"/>
    <s v="GBPR_NATGAS"/>
    <x v="3"/>
    <x v="11"/>
    <n v="15.914331457911601"/>
    <n v="968.12183035629198"/>
    <n v="3485.2385892826501"/>
  </r>
  <r>
    <x v="0"/>
    <x v="0"/>
    <x v="0"/>
    <x v="1"/>
    <x v="2"/>
    <s v="EE_Industry"/>
    <x v="3"/>
    <x v="3"/>
    <s v="GBPR_NATGAS"/>
    <x v="4"/>
    <x v="0"/>
    <n v="18.8"/>
    <n v="1143.6666666666699"/>
    <n v="4117.2"/>
  </r>
  <r>
    <x v="0"/>
    <x v="0"/>
    <x v="0"/>
    <x v="1"/>
    <x v="2"/>
    <s v="EE_Industry"/>
    <x v="3"/>
    <x v="3"/>
    <s v="GBPR_NATGAS"/>
    <x v="4"/>
    <x v="1"/>
    <n v="18.8"/>
    <n v="1143.6666666666699"/>
    <n v="4117.2"/>
  </r>
  <r>
    <x v="0"/>
    <x v="0"/>
    <x v="0"/>
    <x v="1"/>
    <x v="2"/>
    <s v="EE_Industry"/>
    <x v="3"/>
    <x v="3"/>
    <s v="GBPR_NATGAS"/>
    <x v="4"/>
    <x v="2"/>
    <n v="18.8"/>
    <n v="1143.6666666666699"/>
    <n v="4117.2"/>
  </r>
  <r>
    <x v="0"/>
    <x v="0"/>
    <x v="0"/>
    <x v="1"/>
    <x v="2"/>
    <s v="EE_Industry"/>
    <x v="3"/>
    <x v="3"/>
    <s v="GBPR_NATGAS"/>
    <x v="4"/>
    <x v="3"/>
    <n v="18.8"/>
    <n v="1143.6666666666699"/>
    <n v="4117.2"/>
  </r>
  <r>
    <x v="0"/>
    <x v="0"/>
    <x v="0"/>
    <x v="1"/>
    <x v="2"/>
    <s v="EE_Industry"/>
    <x v="3"/>
    <x v="3"/>
    <s v="GBPR_NATGAS"/>
    <x v="4"/>
    <x v="4"/>
    <n v="18.8"/>
    <n v="1143.6666666666699"/>
    <n v="4117.2"/>
  </r>
  <r>
    <x v="0"/>
    <x v="0"/>
    <x v="0"/>
    <x v="1"/>
    <x v="2"/>
    <s v="EE_Industry"/>
    <x v="3"/>
    <x v="3"/>
    <s v="GBPR_NATGAS"/>
    <x v="4"/>
    <x v="5"/>
    <n v="18.8"/>
    <n v="1143.6666666666699"/>
    <n v="4117.2"/>
  </r>
  <r>
    <x v="0"/>
    <x v="0"/>
    <x v="0"/>
    <x v="1"/>
    <x v="2"/>
    <s v="EE_Industry"/>
    <x v="3"/>
    <x v="3"/>
    <s v="GBPR_NATGAS"/>
    <x v="4"/>
    <x v="6"/>
    <n v="18.8"/>
    <n v="1143.6666666666699"/>
    <n v="4117.2"/>
  </r>
  <r>
    <x v="0"/>
    <x v="0"/>
    <x v="0"/>
    <x v="1"/>
    <x v="2"/>
    <s v="EE_Industry"/>
    <x v="3"/>
    <x v="3"/>
    <s v="GBPR_NATGAS"/>
    <x v="4"/>
    <x v="7"/>
    <n v="18.8"/>
    <n v="1143.6666666666699"/>
    <n v="4117.2"/>
  </r>
  <r>
    <x v="0"/>
    <x v="0"/>
    <x v="0"/>
    <x v="1"/>
    <x v="2"/>
    <s v="EE_Industry"/>
    <x v="3"/>
    <x v="3"/>
    <s v="GBPR_NATGAS"/>
    <x v="4"/>
    <x v="8"/>
    <n v="18.8"/>
    <n v="1143.6666666666699"/>
    <n v="4117.2"/>
  </r>
  <r>
    <x v="0"/>
    <x v="0"/>
    <x v="0"/>
    <x v="1"/>
    <x v="2"/>
    <s v="EE_Industry"/>
    <x v="3"/>
    <x v="3"/>
    <s v="GBPR_NATGAS"/>
    <x v="4"/>
    <x v="9"/>
    <n v="18.8"/>
    <n v="1143.6666666666699"/>
    <n v="4117.2"/>
  </r>
  <r>
    <x v="0"/>
    <x v="0"/>
    <x v="0"/>
    <x v="1"/>
    <x v="2"/>
    <s v="EE_Industry"/>
    <x v="3"/>
    <x v="3"/>
    <s v="GBPR_NATGAS"/>
    <x v="4"/>
    <x v="10"/>
    <n v="18.8"/>
    <n v="1143.6666666666699"/>
    <n v="4117.2"/>
  </r>
  <r>
    <x v="0"/>
    <x v="0"/>
    <x v="0"/>
    <x v="1"/>
    <x v="2"/>
    <s v="EE_Industry"/>
    <x v="3"/>
    <x v="3"/>
    <s v="GBPR_NATGAS"/>
    <x v="4"/>
    <x v="11"/>
    <n v="18.8"/>
    <n v="1143.6666666666699"/>
    <n v="4117.2"/>
  </r>
  <r>
    <x v="0"/>
    <x v="0"/>
    <x v="0"/>
    <x v="1"/>
    <x v="2"/>
    <s v="EE_Industry"/>
    <x v="3"/>
    <x v="3"/>
    <s v="GBPR_NATGAS"/>
    <x v="5"/>
    <x v="0"/>
    <n v="18.8"/>
    <n v="1143.6666666666699"/>
    <n v="4117.2"/>
  </r>
  <r>
    <x v="0"/>
    <x v="0"/>
    <x v="0"/>
    <x v="1"/>
    <x v="2"/>
    <s v="EE_Industry"/>
    <x v="3"/>
    <x v="3"/>
    <s v="GBPR_NATGAS"/>
    <x v="5"/>
    <x v="1"/>
    <n v="18.8"/>
    <n v="1143.6666666666699"/>
    <n v="4117.2"/>
  </r>
  <r>
    <x v="0"/>
    <x v="0"/>
    <x v="0"/>
    <x v="1"/>
    <x v="2"/>
    <s v="EE_Industry"/>
    <x v="3"/>
    <x v="3"/>
    <s v="GBPR_NATGAS"/>
    <x v="5"/>
    <x v="2"/>
    <n v="18.8"/>
    <n v="1143.6666666666699"/>
    <n v="4117.2"/>
  </r>
  <r>
    <x v="0"/>
    <x v="0"/>
    <x v="0"/>
    <x v="1"/>
    <x v="2"/>
    <s v="EE_Industry"/>
    <x v="3"/>
    <x v="3"/>
    <s v="GBPR_NATGAS"/>
    <x v="5"/>
    <x v="3"/>
    <n v="18.8"/>
    <n v="1143.6666666666699"/>
    <n v="4117.2"/>
  </r>
  <r>
    <x v="0"/>
    <x v="0"/>
    <x v="0"/>
    <x v="1"/>
    <x v="2"/>
    <s v="EE_Industry"/>
    <x v="3"/>
    <x v="3"/>
    <s v="GBPR_NATGAS"/>
    <x v="5"/>
    <x v="4"/>
    <n v="18.8"/>
    <n v="1143.6666666666699"/>
    <n v="4117.2"/>
  </r>
  <r>
    <x v="0"/>
    <x v="0"/>
    <x v="0"/>
    <x v="1"/>
    <x v="2"/>
    <s v="EE_Industry"/>
    <x v="3"/>
    <x v="3"/>
    <s v="GBPR_NATGAS"/>
    <x v="5"/>
    <x v="5"/>
    <n v="18.8"/>
    <n v="1143.6666666666699"/>
    <n v="4117.2"/>
  </r>
  <r>
    <x v="0"/>
    <x v="0"/>
    <x v="0"/>
    <x v="1"/>
    <x v="2"/>
    <s v="EE_Industry"/>
    <x v="3"/>
    <x v="3"/>
    <s v="GBPR_NATGAS"/>
    <x v="5"/>
    <x v="6"/>
    <n v="18.8"/>
    <n v="1143.6666666666699"/>
    <n v="4117.2"/>
  </r>
  <r>
    <x v="0"/>
    <x v="0"/>
    <x v="0"/>
    <x v="1"/>
    <x v="2"/>
    <s v="EE_Industry"/>
    <x v="3"/>
    <x v="3"/>
    <s v="GBPR_NATGAS"/>
    <x v="5"/>
    <x v="7"/>
    <n v="18.8"/>
    <n v="1143.6666666666699"/>
    <n v="4117.2"/>
  </r>
  <r>
    <x v="0"/>
    <x v="0"/>
    <x v="0"/>
    <x v="1"/>
    <x v="2"/>
    <s v="EE_Industry"/>
    <x v="3"/>
    <x v="3"/>
    <s v="GBPR_NATGAS"/>
    <x v="5"/>
    <x v="8"/>
    <n v="18.8"/>
    <n v="1143.6666666666699"/>
    <n v="4117.2"/>
  </r>
  <r>
    <x v="0"/>
    <x v="0"/>
    <x v="0"/>
    <x v="1"/>
    <x v="2"/>
    <s v="EE_Industry"/>
    <x v="3"/>
    <x v="3"/>
    <s v="GBPR_NATGAS"/>
    <x v="5"/>
    <x v="9"/>
    <n v="18.8"/>
    <n v="1143.6666666666699"/>
    <n v="4117.2"/>
  </r>
  <r>
    <x v="0"/>
    <x v="0"/>
    <x v="0"/>
    <x v="1"/>
    <x v="2"/>
    <s v="EE_Industry"/>
    <x v="3"/>
    <x v="3"/>
    <s v="GBPR_NATGAS"/>
    <x v="5"/>
    <x v="10"/>
    <n v="18.8"/>
    <n v="1143.6666666666699"/>
    <n v="4117.2"/>
  </r>
  <r>
    <x v="0"/>
    <x v="0"/>
    <x v="0"/>
    <x v="1"/>
    <x v="2"/>
    <s v="EE_Industry"/>
    <x v="3"/>
    <x v="3"/>
    <s v="GBPR_NATGAS"/>
    <x v="5"/>
    <x v="11"/>
    <n v="18.8"/>
    <n v="1143.6666666666699"/>
    <n v="4117.2"/>
  </r>
  <r>
    <x v="0"/>
    <x v="0"/>
    <x v="0"/>
    <x v="1"/>
    <x v="2"/>
    <s v="EE_Industry"/>
    <x v="3"/>
    <x v="3"/>
    <s v="GBPR_NATGAS"/>
    <x v="6"/>
    <x v="0"/>
    <n v="18.8"/>
    <n v="1143.6666666666699"/>
    <n v="4117.2"/>
  </r>
  <r>
    <x v="0"/>
    <x v="0"/>
    <x v="0"/>
    <x v="1"/>
    <x v="2"/>
    <s v="EE_Industry"/>
    <x v="3"/>
    <x v="3"/>
    <s v="GBPR_NATGAS"/>
    <x v="6"/>
    <x v="1"/>
    <n v="18.8"/>
    <n v="1143.6666666666699"/>
    <n v="4117.2"/>
  </r>
  <r>
    <x v="0"/>
    <x v="0"/>
    <x v="0"/>
    <x v="1"/>
    <x v="2"/>
    <s v="EE_Industry"/>
    <x v="3"/>
    <x v="3"/>
    <s v="GBPR_NATGAS"/>
    <x v="6"/>
    <x v="2"/>
    <n v="18.8"/>
    <n v="1143.6666666666699"/>
    <n v="4117.2"/>
  </r>
  <r>
    <x v="0"/>
    <x v="0"/>
    <x v="0"/>
    <x v="1"/>
    <x v="2"/>
    <s v="EE_Industry"/>
    <x v="3"/>
    <x v="3"/>
    <s v="GBPR_NATGAS"/>
    <x v="6"/>
    <x v="3"/>
    <n v="18.8"/>
    <n v="1143.6666666666699"/>
    <n v="4117.2"/>
  </r>
  <r>
    <x v="0"/>
    <x v="0"/>
    <x v="0"/>
    <x v="1"/>
    <x v="2"/>
    <s v="EE_Industry"/>
    <x v="3"/>
    <x v="3"/>
    <s v="GBPR_NATGAS"/>
    <x v="6"/>
    <x v="4"/>
    <n v="18.8"/>
    <n v="1143.6666666666699"/>
    <n v="4117.2"/>
  </r>
  <r>
    <x v="0"/>
    <x v="0"/>
    <x v="0"/>
    <x v="1"/>
    <x v="2"/>
    <s v="EE_Industry"/>
    <x v="3"/>
    <x v="3"/>
    <s v="GBPR_NATGAS"/>
    <x v="6"/>
    <x v="5"/>
    <n v="18.8"/>
    <n v="1143.6666666666699"/>
    <n v="4117.2"/>
  </r>
  <r>
    <x v="0"/>
    <x v="0"/>
    <x v="0"/>
    <x v="1"/>
    <x v="2"/>
    <s v="EE_Industry"/>
    <x v="3"/>
    <x v="3"/>
    <s v="GBPR_NATGAS"/>
    <x v="6"/>
    <x v="6"/>
    <n v="18.8"/>
    <n v="1143.6666666666699"/>
    <n v="4117.2"/>
  </r>
  <r>
    <x v="0"/>
    <x v="0"/>
    <x v="0"/>
    <x v="1"/>
    <x v="2"/>
    <s v="EE_Industry"/>
    <x v="3"/>
    <x v="3"/>
    <s v="GBPR_NATGAS"/>
    <x v="6"/>
    <x v="7"/>
    <n v="18.731166667731099"/>
    <n v="1139.47930562031"/>
    <n v="4102.12550023311"/>
  </r>
  <r>
    <x v="0"/>
    <x v="0"/>
    <x v="0"/>
    <x v="1"/>
    <x v="2"/>
    <s v="EE_Industry"/>
    <x v="3"/>
    <x v="3"/>
    <s v="GBPR_NATGAS"/>
    <x v="6"/>
    <x v="8"/>
    <n v="18.575755069947899"/>
    <n v="1130.0251000885"/>
    <n v="4068.0903603185998"/>
  </r>
  <r>
    <x v="0"/>
    <x v="0"/>
    <x v="0"/>
    <x v="1"/>
    <x v="2"/>
    <s v="EE_Industry"/>
    <x v="3"/>
    <x v="3"/>
    <s v="GBPR_NATGAS"/>
    <x v="6"/>
    <x v="9"/>
    <n v="18.430056697026298"/>
    <n v="1121.1617824024399"/>
    <n v="4036.18241664877"/>
  </r>
  <r>
    <x v="0"/>
    <x v="0"/>
    <x v="0"/>
    <x v="1"/>
    <x v="2"/>
    <s v="EE_Industry"/>
    <x v="3"/>
    <x v="3"/>
    <s v="GBPR_NATGAS"/>
    <x v="6"/>
    <x v="10"/>
    <n v="18.294071548966102"/>
    <n v="1112.8893525620999"/>
    <n v="4006.40166922357"/>
  </r>
  <r>
    <x v="0"/>
    <x v="0"/>
    <x v="0"/>
    <x v="1"/>
    <x v="2"/>
    <s v="EE_Industry"/>
    <x v="3"/>
    <x v="3"/>
    <s v="GBPR_NATGAS"/>
    <x v="6"/>
    <x v="11"/>
    <n v="18.196939300351598"/>
    <n v="1106.9804741047201"/>
    <n v="3985.1297067770101"/>
  </r>
  <r>
    <x v="0"/>
    <x v="0"/>
    <x v="0"/>
    <x v="1"/>
    <x v="2"/>
    <s v="EE_Industry"/>
    <x v="3"/>
    <x v="3"/>
    <s v="GBPR_NATGAS"/>
    <x v="7"/>
    <x v="0"/>
    <n v="18.012388027983999"/>
    <n v="1095.7536050357"/>
    <n v="3944.7129781285098"/>
  </r>
  <r>
    <x v="0"/>
    <x v="0"/>
    <x v="0"/>
    <x v="1"/>
    <x v="2"/>
    <s v="EE_Industry"/>
    <x v="3"/>
    <x v="3"/>
    <s v="GBPR_NATGAS"/>
    <x v="7"/>
    <x v="1"/>
    <n v="17.818123530755098"/>
    <n v="1083.9358481209399"/>
    <n v="3902.16905323537"/>
  </r>
  <r>
    <x v="0"/>
    <x v="0"/>
    <x v="0"/>
    <x v="1"/>
    <x v="2"/>
    <s v="EE_Industry"/>
    <x v="3"/>
    <x v="3"/>
    <s v="GBPR_NATGAS"/>
    <x v="7"/>
    <x v="2"/>
    <n v="17.594719358942001"/>
    <n v="1070.3454276689699"/>
    <n v="3853.2435396082901"/>
  </r>
  <r>
    <x v="0"/>
    <x v="0"/>
    <x v="0"/>
    <x v="1"/>
    <x v="2"/>
    <s v="EE_Industry"/>
    <x v="3"/>
    <x v="3"/>
    <s v="GBPR_NATGAS"/>
    <x v="7"/>
    <x v="3"/>
    <n v="17.332462287682802"/>
    <n v="1054.39145583404"/>
    <n v="3795.8092410025301"/>
  </r>
  <r>
    <x v="0"/>
    <x v="0"/>
    <x v="0"/>
    <x v="1"/>
    <x v="2"/>
    <s v="EE_Industry"/>
    <x v="3"/>
    <x v="3"/>
    <s v="GBPR_NATGAS"/>
    <x v="7"/>
    <x v="4"/>
    <n v="17.011925867255201"/>
    <n v="1034.89215692469"/>
    <n v="3725.6117649288799"/>
  </r>
  <r>
    <x v="0"/>
    <x v="0"/>
    <x v="0"/>
    <x v="1"/>
    <x v="2"/>
    <s v="EE_Industry"/>
    <x v="3"/>
    <x v="3"/>
    <s v="GBPR_NATGAS"/>
    <x v="7"/>
    <x v="5"/>
    <n v="16.671962997104501"/>
    <n v="1014.21108232385"/>
    <n v="3651.1598963658798"/>
  </r>
  <r>
    <x v="0"/>
    <x v="0"/>
    <x v="0"/>
    <x v="1"/>
    <x v="2"/>
    <s v="EE_Industry"/>
    <x v="3"/>
    <x v="3"/>
    <s v="GBPR_NATGAS"/>
    <x v="7"/>
    <x v="6"/>
    <n v="16.302860452369501"/>
    <n v="991.75734418581101"/>
    <n v="3570.3264390689201"/>
  </r>
  <r>
    <x v="0"/>
    <x v="0"/>
    <x v="0"/>
    <x v="1"/>
    <x v="2"/>
    <s v="EE_Industry"/>
    <x v="3"/>
    <x v="3"/>
    <s v="GBPR_NATGAS"/>
    <x v="7"/>
    <x v="7"/>
    <n v="15.9046182330503"/>
    <n v="967.53094251055995"/>
    <n v="3483.1113930380202"/>
  </r>
  <r>
    <x v="0"/>
    <x v="0"/>
    <x v="0"/>
    <x v="1"/>
    <x v="2"/>
    <s v="EE_Industry"/>
    <x v="3"/>
    <x v="3"/>
    <s v="GBPR_NATGAS"/>
    <x v="7"/>
    <x v="8"/>
    <n v="15.5549421380382"/>
    <n v="946.25898006399302"/>
    <n v="3406.5323282303698"/>
  </r>
  <r>
    <x v="0"/>
    <x v="0"/>
    <x v="0"/>
    <x v="1"/>
    <x v="2"/>
    <s v="EE_Industry"/>
    <x v="3"/>
    <x v="3"/>
    <s v="GBPR_NATGAS"/>
    <x v="7"/>
    <x v="9"/>
    <n v="15.2732586170562"/>
    <n v="929.12323253758495"/>
    <n v="3344.84363713531"/>
  </r>
  <r>
    <x v="0"/>
    <x v="0"/>
    <x v="0"/>
    <x v="1"/>
    <x v="2"/>
    <s v="EE_Industry"/>
    <x v="3"/>
    <x v="3"/>
    <s v="GBPR_NATGAS"/>
    <x v="7"/>
    <x v="10"/>
    <n v="15.0498544452429"/>
    <n v="915.53281208561202"/>
    <n v="3295.9181235082001"/>
  </r>
  <r>
    <x v="0"/>
    <x v="0"/>
    <x v="0"/>
    <x v="1"/>
    <x v="2"/>
    <s v="EE_Industry"/>
    <x v="3"/>
    <x v="3"/>
    <s v="GBPR_NATGAS"/>
    <x v="7"/>
    <x v="11"/>
    <n v="14.8847296225983"/>
    <n v="905.48771870806604"/>
    <n v="3259.75578734904"/>
  </r>
  <r>
    <x v="0"/>
    <x v="0"/>
    <x v="0"/>
    <x v="1"/>
    <x v="2"/>
    <s v="EE_Industry"/>
    <x v="3"/>
    <x v="3"/>
    <s v="GBPR_NATGAS"/>
    <x v="8"/>
    <x v="0"/>
    <n v="15.5355156883153"/>
    <n v="945.07720437251703"/>
    <n v="3402.27793574106"/>
  </r>
  <r>
    <x v="0"/>
    <x v="0"/>
    <x v="0"/>
    <x v="1"/>
    <x v="2"/>
    <s v="EE_Industry"/>
    <x v="3"/>
    <x v="3"/>
    <s v="GBPR_NATGAS"/>
    <x v="8"/>
    <x v="1"/>
    <n v="15.7103537358214"/>
    <n v="955.71318559580004"/>
    <n v="3440.56746814488"/>
  </r>
  <r>
    <x v="0"/>
    <x v="0"/>
    <x v="0"/>
    <x v="1"/>
    <x v="2"/>
    <s v="EE_Industry"/>
    <x v="3"/>
    <x v="3"/>
    <s v="GBPR_NATGAS"/>
    <x v="8"/>
    <x v="2"/>
    <n v="15.856052108743"/>
    <n v="964.57650328186401"/>
    <n v="3472.4754118147098"/>
  </r>
  <r>
    <x v="0"/>
    <x v="0"/>
    <x v="0"/>
    <x v="1"/>
    <x v="2"/>
    <s v="EE_Industry"/>
    <x v="3"/>
    <x v="3"/>
    <s v="GBPR_NATGAS"/>
    <x v="8"/>
    <x v="3"/>
    <n v="16.0211769313877"/>
    <n v="974.62159665941601"/>
    <n v="3508.6377479738999"/>
  </r>
  <r>
    <x v="0"/>
    <x v="0"/>
    <x v="0"/>
    <x v="1"/>
    <x v="2"/>
    <s v="EE_Industry"/>
    <x v="3"/>
    <x v="3"/>
    <s v="GBPR_NATGAS"/>
    <x v="8"/>
    <x v="4"/>
    <n v="16.147448854586401"/>
    <n v="982.30313865400399"/>
    <n v="3536.2912991544099"/>
  </r>
  <r>
    <x v="0"/>
    <x v="0"/>
    <x v="0"/>
    <x v="1"/>
    <x v="2"/>
    <s v="EE_Industry"/>
    <x v="3"/>
    <x v="3"/>
    <s v="GBPR_NATGAS"/>
    <x v="8"/>
    <x v="5"/>
    <n v="16.2154414286166"/>
    <n v="986.43935357417604"/>
    <n v="3551.1816728670301"/>
  </r>
  <r>
    <x v="0"/>
    <x v="0"/>
    <x v="0"/>
    <x v="1"/>
    <x v="2"/>
    <s v="EE_Industry"/>
    <x v="3"/>
    <x v="3"/>
    <s v="GBPR_NATGAS"/>
    <x v="8"/>
    <x v="6"/>
    <n v="16.1960149788937"/>
    <n v="985.25757788270005"/>
    <n v="3546.9272803777199"/>
  </r>
  <r>
    <x v="0"/>
    <x v="0"/>
    <x v="0"/>
    <x v="1"/>
    <x v="2"/>
    <s v="EE_Industry"/>
    <x v="3"/>
    <x v="3"/>
    <s v="GBPR_NATGAS"/>
    <x v="8"/>
    <x v="7"/>
    <n v="16.089169505417701"/>
    <n v="978.75781157957601"/>
    <n v="3523.5281216864701"/>
  </r>
  <r>
    <x v="0"/>
    <x v="0"/>
    <x v="0"/>
    <x v="1"/>
    <x v="2"/>
    <s v="EE_Industry"/>
    <x v="3"/>
    <x v="3"/>
    <s v="GBPR_NATGAS"/>
    <x v="8"/>
    <x v="8"/>
    <n v="15.914331457911601"/>
    <n v="968.12183035629198"/>
    <n v="3485.2385892826501"/>
  </r>
  <r>
    <x v="0"/>
    <x v="0"/>
    <x v="0"/>
    <x v="1"/>
    <x v="2"/>
    <s v="EE_Industry"/>
    <x v="3"/>
    <x v="3"/>
    <s v="GBPR_NATGAS"/>
    <x v="8"/>
    <x v="9"/>
    <n v="15.788059534713"/>
    <n v="960.44028836170503"/>
    <n v="3457.5850381021401"/>
  </r>
  <r>
    <x v="0"/>
    <x v="0"/>
    <x v="0"/>
    <x v="1"/>
    <x v="2"/>
    <s v="EE_Industry"/>
    <x v="3"/>
    <x v="3"/>
    <s v="GBPR_NATGAS"/>
    <x v="8"/>
    <x v="10"/>
    <n v="15.6229347120683"/>
    <n v="950.395194984152"/>
    <n v="3421.42270194295"/>
  </r>
  <r>
    <x v="0"/>
    <x v="0"/>
    <x v="0"/>
    <x v="1"/>
    <x v="2"/>
    <s v="EE_Industry"/>
    <x v="3"/>
    <x v="3"/>
    <s v="GBPR_NATGAS"/>
    <x v="8"/>
    <x v="11"/>
    <n v="15.4675231142851"/>
    <n v="940.940989452346"/>
    <n v="3387.3875620284398"/>
  </r>
  <r>
    <x v="0"/>
    <x v="0"/>
    <x v="0"/>
    <x v="1"/>
    <x v="2"/>
    <s v="EE_Industry"/>
    <x v="3"/>
    <x v="3"/>
    <s v="GBPR_NATGAS"/>
    <x v="9"/>
    <x v="0"/>
    <n v="14.4184948292489"/>
    <n v="877.12510211264203"/>
    <n v="3157.6503676055099"/>
  </r>
  <r>
    <x v="0"/>
    <x v="0"/>
    <x v="0"/>
    <x v="1"/>
    <x v="2"/>
    <s v="EE_Industry"/>
    <x v="3"/>
    <x v="3"/>
    <s v="GBPR_NATGAS"/>
    <x v="9"/>
    <x v="1"/>
    <n v="14.5544799773092"/>
    <n v="885.39753195297396"/>
    <n v="3187.4311150307099"/>
  </r>
  <r>
    <x v="0"/>
    <x v="0"/>
    <x v="0"/>
    <x v="1"/>
    <x v="2"/>
    <s v="EE_Industry"/>
    <x v="3"/>
    <x v="3"/>
    <s v="GBPR_NATGAS"/>
    <x v="9"/>
    <x v="2"/>
    <n v="14.6224725513393"/>
    <n v="889.53374687313999"/>
    <n v="3202.3214887433001"/>
  </r>
  <r>
    <x v="0"/>
    <x v="0"/>
    <x v="0"/>
    <x v="1"/>
    <x v="2"/>
    <s v="EE_Industry"/>
    <x v="3"/>
    <x v="3"/>
    <s v="GBPR_NATGAS"/>
    <x v="9"/>
    <x v="3"/>
    <n v="14.593332876754999"/>
    <n v="887.76108333592595"/>
    <n v="3195.9399000093299"/>
  </r>
  <r>
    <x v="0"/>
    <x v="0"/>
    <x v="0"/>
    <x v="1"/>
    <x v="2"/>
    <s v="EE_Industry"/>
    <x v="3"/>
    <x v="3"/>
    <s v="GBPR_NATGAS"/>
    <x v="9"/>
    <x v="4"/>
    <n v="14.5059138530019"/>
    <n v="882.44309272428404"/>
    <n v="3176.7951338074199"/>
  </r>
  <r>
    <x v="0"/>
    <x v="0"/>
    <x v="0"/>
    <x v="1"/>
    <x v="2"/>
    <s v="EE_Industry"/>
    <x v="3"/>
    <x v="3"/>
    <s v="GBPR_NATGAS"/>
    <x v="9"/>
    <x v="5"/>
    <n v="14.3796419298031"/>
    <n v="874.76155072969004"/>
    <n v="3149.1415826268899"/>
  </r>
  <r>
    <x v="0"/>
    <x v="0"/>
    <x v="0"/>
    <x v="1"/>
    <x v="2"/>
    <s v="EE_Industry"/>
    <x v="3"/>
    <x v="3"/>
    <s v="GBPR_NATGAS"/>
    <x v="9"/>
    <x v="6"/>
    <n v="14.185377432574199"/>
    <n v="862.94379381493002"/>
    <n v="3106.5976577337501"/>
  </r>
  <r>
    <x v="0"/>
    <x v="0"/>
    <x v="0"/>
    <x v="1"/>
    <x v="2"/>
    <s v="EE_Industry"/>
    <x v="3"/>
    <x v="3"/>
    <s v="GBPR_NATGAS"/>
    <x v="9"/>
    <x v="7"/>
    <n v="13.952260035899499"/>
    <n v="848.76248551721801"/>
    <n v="3055.5449478619798"/>
  </r>
  <r>
    <x v="0"/>
    <x v="0"/>
    <x v="0"/>
    <x v="1"/>
    <x v="2"/>
    <s v="EE_Industry"/>
    <x v="3"/>
    <x v="3"/>
    <s v="GBPR_NATGAS"/>
    <x v="9"/>
    <x v="8"/>
    <n v="13.777421988393399"/>
    <n v="838.12650429393398"/>
    <n v="3017.2554154581599"/>
  </r>
  <r>
    <x v="0"/>
    <x v="0"/>
    <x v="0"/>
    <x v="1"/>
    <x v="2"/>
    <s v="EE_Industry"/>
    <x v="3"/>
    <x v="3"/>
    <s v="GBPR_NATGAS"/>
    <x v="9"/>
    <x v="9"/>
    <n v="13.651150065194599"/>
    <n v="830.444962299341"/>
    <n v="2989.6018642776298"/>
  </r>
  <r>
    <x v="0"/>
    <x v="0"/>
    <x v="0"/>
    <x v="1"/>
    <x v="2"/>
    <s v="EE_Industry"/>
    <x v="3"/>
    <x v="3"/>
    <s v="GBPR_NATGAS"/>
    <x v="9"/>
    <x v="10"/>
    <n v="13.612297165748901"/>
    <n v="828.08141091638902"/>
    <n v="2981.0930792989998"/>
  </r>
  <r>
    <x v="0"/>
    <x v="0"/>
    <x v="0"/>
    <x v="1"/>
    <x v="2"/>
    <s v="EE_Industry"/>
    <x v="3"/>
    <x v="3"/>
    <s v="GBPR_NATGAS"/>
    <x v="9"/>
    <x v="11"/>
    <n v="13.728855864086199"/>
    <n v="835.17206506524496"/>
    <n v="3006.6194342348799"/>
  </r>
  <r>
    <x v="0"/>
    <x v="0"/>
    <x v="0"/>
    <x v="1"/>
    <x v="2"/>
    <s v="EE_Industry"/>
    <x v="3"/>
    <x v="3"/>
    <s v="GBPR_NATGAS"/>
    <x v="10"/>
    <x v="0"/>
    <n v="12.2912985845921"/>
    <n v="747.72066389602196"/>
    <n v="2691.7943900256801"/>
  </r>
  <r>
    <x v="0"/>
    <x v="0"/>
    <x v="0"/>
    <x v="1"/>
    <x v="2"/>
    <s v="EE_Industry"/>
    <x v="3"/>
    <x v="3"/>
    <s v="GBPR_NATGAS"/>
    <x v="10"/>
    <x v="1"/>
    <n v="12.2815853597307"/>
    <n v="747.12977605028402"/>
    <n v="2689.6671937810202"/>
  </r>
  <r>
    <x v="0"/>
    <x v="0"/>
    <x v="0"/>
    <x v="1"/>
    <x v="2"/>
    <s v="EE_Industry"/>
    <x v="3"/>
    <x v="3"/>
    <s v="GBPR_NATGAS"/>
    <x v="10"/>
    <x v="2"/>
    <n v="12.2135927857006"/>
    <n v="742.993561130118"/>
    <n v="2674.77682006842"/>
  </r>
  <r>
    <x v="0"/>
    <x v="0"/>
    <x v="0"/>
    <x v="1"/>
    <x v="2"/>
    <s v="EE_Industry"/>
    <x v="3"/>
    <x v="3"/>
    <s v="GBPR_NATGAS"/>
    <x v="10"/>
    <x v="3"/>
    <n v="12.1456002116704"/>
    <n v="738.85734620995197"/>
    <n v="2659.8864463558298"/>
  </r>
  <r>
    <x v="0"/>
    <x v="0"/>
    <x v="0"/>
    <x v="1"/>
    <x v="2"/>
    <s v="EE_Industry"/>
    <x v="3"/>
    <x v="3"/>
    <s v="GBPR_NATGAS"/>
    <x v="10"/>
    <x v="4"/>
    <n v="12.0290415133331"/>
    <n v="731.76669206109602"/>
    <n v="2634.3600914199501"/>
  </r>
  <r>
    <x v="0"/>
    <x v="0"/>
    <x v="0"/>
    <x v="1"/>
    <x v="2"/>
    <s v="EE_Industry"/>
    <x v="3"/>
    <x v="3"/>
    <s v="GBPR_NATGAS"/>
    <x v="10"/>
    <x v="5"/>
    <n v="11.8542034658271"/>
    <n v="721.13071083781199"/>
    <n v="2596.0705590161201"/>
  </r>
  <r>
    <x v="0"/>
    <x v="0"/>
    <x v="0"/>
    <x v="1"/>
    <x v="2"/>
    <s v="EE_Industry"/>
    <x v="3"/>
    <x v="3"/>
    <s v="GBPR_NATGAS"/>
    <x v="10"/>
    <x v="6"/>
    <n v="11.6502257437367"/>
    <n v="708.72206607731505"/>
    <n v="2551.39943787833"/>
  </r>
  <r>
    <x v="0"/>
    <x v="0"/>
    <x v="0"/>
    <x v="1"/>
    <x v="2"/>
    <s v="EE_Industry"/>
    <x v="3"/>
    <x v="3"/>
    <s v="GBPR_NATGAS"/>
    <x v="10"/>
    <x v="7"/>
    <n v="11.455961246507799"/>
    <n v="696.90430916255502"/>
    <n v="2508.8555129852002"/>
  </r>
  <r>
    <x v="0"/>
    <x v="0"/>
    <x v="0"/>
    <x v="1"/>
    <x v="2"/>
    <s v="EE_Industry"/>
    <x v="3"/>
    <x v="3"/>
    <s v="GBPR_NATGAS"/>
    <x v="10"/>
    <x v="8"/>
    <n v="11.251983524417399"/>
    <n v="684.49566440205604"/>
    <n v="2464.1843918474001"/>
  </r>
  <r>
    <x v="0"/>
    <x v="0"/>
    <x v="0"/>
    <x v="1"/>
    <x v="2"/>
    <s v="EE_Industry"/>
    <x v="3"/>
    <x v="3"/>
    <s v="GBPR_NATGAS"/>
    <x v="10"/>
    <x v="9"/>
    <n v="11.0577190271884"/>
    <n v="672.67790748729601"/>
    <n v="2421.6404669542699"/>
  </r>
  <r>
    <x v="0"/>
    <x v="0"/>
    <x v="0"/>
    <x v="1"/>
    <x v="2"/>
    <s v="EE_Industry"/>
    <x v="3"/>
    <x v="3"/>
    <s v="GBPR_NATGAS"/>
    <x v="10"/>
    <x v="10"/>
    <n v="10.960586778573999"/>
    <n v="666.76902902991606"/>
    <n v="2400.3685045077"/>
  </r>
  <r>
    <x v="0"/>
    <x v="0"/>
    <x v="0"/>
    <x v="1"/>
    <x v="2"/>
    <s v="EE_Industry"/>
    <x v="3"/>
    <x v="3"/>
    <s v="GBPR_NATGAS"/>
    <x v="10"/>
    <x v="11"/>
    <n v="11.028579352604099"/>
    <n v="670.90524395008197"/>
    <n v="2415.2588782203002"/>
  </r>
  <r>
    <x v="0"/>
    <x v="0"/>
    <x v="0"/>
    <x v="1"/>
    <x v="2"/>
    <s v="EE_Industry"/>
    <x v="3"/>
    <x v="3"/>
    <s v="GBPR_NATGAS"/>
    <x v="11"/>
    <x v="0"/>
    <n v="12.0678944127789"/>
    <n v="734.13024344404801"/>
    <n v="2642.8688763985701"/>
  </r>
  <r>
    <x v="0"/>
    <x v="0"/>
    <x v="0"/>
    <x v="1"/>
    <x v="2"/>
    <s v="EE_Industry"/>
    <x v="3"/>
    <x v="3"/>
    <s v="GBPR_NATGAS"/>
    <x v="11"/>
    <x v="1"/>
    <n v="12.2524456851464"/>
    <n v="745.35711251306998"/>
    <n v="2683.28560504705"/>
  </r>
  <r>
    <x v="0"/>
    <x v="0"/>
    <x v="0"/>
    <x v="1"/>
    <x v="2"/>
    <s v="EE_Industry"/>
    <x v="3"/>
    <x v="3"/>
    <s v="GBPR_NATGAS"/>
    <x v="11"/>
    <x v="2"/>
    <n v="12.3787176083452"/>
    <n v="753.03865450766295"/>
    <n v="2710.93915622759"/>
  </r>
  <r>
    <x v="0"/>
    <x v="0"/>
    <x v="0"/>
    <x v="1"/>
    <x v="2"/>
    <s v="EE_Industry"/>
    <x v="3"/>
    <x v="3"/>
    <s v="GBPR_NATGAS"/>
    <x v="11"/>
    <x v="3"/>
    <n v="12.4175705077909"/>
    <n v="755.40220589061505"/>
    <n v="2719.4479412062201"/>
  </r>
  <r>
    <x v="0"/>
    <x v="0"/>
    <x v="0"/>
    <x v="1"/>
    <x v="2"/>
    <s v="EE_Industry"/>
    <x v="3"/>
    <x v="3"/>
    <s v="GBPR_NATGAS"/>
    <x v="11"/>
    <x v="4"/>
    <n v="12.3592911586223"/>
    <n v="751.85687881618696"/>
    <n v="2706.6847637382698"/>
  </r>
  <r>
    <x v="0"/>
    <x v="0"/>
    <x v="0"/>
    <x v="1"/>
    <x v="2"/>
    <s v="EE_Industry"/>
    <x v="3"/>
    <x v="3"/>
    <s v="GBPR_NATGAS"/>
    <x v="11"/>
    <x v="5"/>
    <n v="12.1941663359777"/>
    <n v="741.811785438642"/>
    <n v="2670.5224275791102"/>
  </r>
  <r>
    <x v="0"/>
    <x v="0"/>
    <x v="0"/>
    <x v="1"/>
    <x v="2"/>
    <s v="EE_Industry"/>
    <x v="3"/>
    <x v="3"/>
    <s v="GBPR_NATGAS"/>
    <x v="11"/>
    <x v="6"/>
    <n v="11.8833431404114"/>
    <n v="722.90337437502603"/>
    <n v="2602.4521477500898"/>
  </r>
  <r>
    <x v="0"/>
    <x v="0"/>
    <x v="0"/>
    <x v="1"/>
    <x v="2"/>
    <s v="EE_Industry"/>
    <x v="3"/>
    <x v="3"/>
    <s v="GBPR_NATGAS"/>
    <x v="11"/>
    <x v="7"/>
    <n v="11.4851009210921"/>
    <n v="698.67697269976895"/>
    <n v="2515.2371017191699"/>
  </r>
  <r>
    <x v="0"/>
    <x v="0"/>
    <x v="0"/>
    <x v="1"/>
    <x v="2"/>
    <s v="EE_Industry"/>
    <x v="3"/>
    <x v="3"/>
    <s v="GBPR_NATGAS"/>
    <x v="11"/>
    <x v="8"/>
    <n v="11.1159983763571"/>
    <n v="676.22323456172398"/>
    <n v="2434.4036444222102"/>
  </r>
  <r>
    <x v="0"/>
    <x v="0"/>
    <x v="0"/>
    <x v="1"/>
    <x v="2"/>
    <s v="EE_Industry"/>
    <x v="3"/>
    <x v="3"/>
    <s v="GBPR_NATGAS"/>
    <x v="11"/>
    <x v="9"/>
    <n v="10.756609056483599"/>
    <n v="654.360384269419"/>
    <n v="2355.6973833699099"/>
  </r>
  <r>
    <x v="0"/>
    <x v="0"/>
    <x v="0"/>
    <x v="1"/>
    <x v="2"/>
    <s v="EE_Industry"/>
    <x v="3"/>
    <x v="3"/>
    <s v="GBPR_NATGAS"/>
    <x v="11"/>
    <x v="10"/>
    <n v="10.436072636055901"/>
    <n v="634.86108536006498"/>
    <n v="2285.4999072962401"/>
  </r>
  <r>
    <x v="0"/>
    <x v="0"/>
    <x v="0"/>
    <x v="1"/>
    <x v="2"/>
    <s v="EE_Industry"/>
    <x v="3"/>
    <x v="3"/>
    <s v="GBPR_NATGAS"/>
    <x v="11"/>
    <x v="11"/>
    <n v="10.193242014519701"/>
    <n v="620.08888921661605"/>
    <n v="2232.3200011798199"/>
  </r>
  <r>
    <x v="0"/>
    <x v="0"/>
    <x v="0"/>
    <x v="1"/>
    <x v="2"/>
    <s v="EE_Industry"/>
    <x v="4"/>
    <x v="3"/>
    <s v="GBPR_WOODCHIPS"/>
    <x v="0"/>
    <x v="0"/>
    <n v="6.5"/>
    <n v="395.41666666666703"/>
    <n v="1423.5"/>
  </r>
  <r>
    <x v="0"/>
    <x v="0"/>
    <x v="0"/>
    <x v="1"/>
    <x v="2"/>
    <s v="EE_Industry"/>
    <x v="4"/>
    <x v="3"/>
    <s v="GBPR_WOODCHIPS"/>
    <x v="0"/>
    <x v="1"/>
    <n v="6.5"/>
    <n v="395.41666666666703"/>
    <n v="1423.5"/>
  </r>
  <r>
    <x v="0"/>
    <x v="0"/>
    <x v="0"/>
    <x v="1"/>
    <x v="2"/>
    <s v="EE_Industry"/>
    <x v="4"/>
    <x v="3"/>
    <s v="GBPR_WOODCHIPS"/>
    <x v="0"/>
    <x v="2"/>
    <n v="6.5"/>
    <n v="395.41666666666703"/>
    <n v="1423.5"/>
  </r>
  <r>
    <x v="0"/>
    <x v="0"/>
    <x v="0"/>
    <x v="1"/>
    <x v="2"/>
    <s v="EE_Industry"/>
    <x v="4"/>
    <x v="3"/>
    <s v="GBPR_WOODCHIPS"/>
    <x v="0"/>
    <x v="3"/>
    <n v="6.5"/>
    <n v="395.41666666666703"/>
    <n v="1423.5"/>
  </r>
  <r>
    <x v="0"/>
    <x v="0"/>
    <x v="0"/>
    <x v="1"/>
    <x v="2"/>
    <s v="EE_Industry"/>
    <x v="4"/>
    <x v="3"/>
    <s v="GBPR_WOODCHIPS"/>
    <x v="0"/>
    <x v="4"/>
    <n v="6.5"/>
    <n v="395.41666666666703"/>
    <n v="1423.5"/>
  </r>
  <r>
    <x v="0"/>
    <x v="0"/>
    <x v="0"/>
    <x v="1"/>
    <x v="2"/>
    <s v="EE_Industry"/>
    <x v="4"/>
    <x v="3"/>
    <s v="GBPR_WOODCHIPS"/>
    <x v="0"/>
    <x v="5"/>
    <n v="6.5"/>
    <n v="395.41666666666703"/>
    <n v="1423.5"/>
  </r>
  <r>
    <x v="0"/>
    <x v="0"/>
    <x v="0"/>
    <x v="1"/>
    <x v="2"/>
    <s v="EE_Industry"/>
    <x v="4"/>
    <x v="3"/>
    <s v="GBPR_WOODCHIPS"/>
    <x v="0"/>
    <x v="6"/>
    <n v="6.5"/>
    <n v="395.41666666666703"/>
    <n v="1423.5"/>
  </r>
  <r>
    <x v="0"/>
    <x v="0"/>
    <x v="0"/>
    <x v="1"/>
    <x v="2"/>
    <s v="EE_Industry"/>
    <x v="4"/>
    <x v="3"/>
    <s v="GBPR_WOODCHIPS"/>
    <x v="0"/>
    <x v="7"/>
    <n v="6.5"/>
    <n v="395.41666666666703"/>
    <n v="1423.5"/>
  </r>
  <r>
    <x v="0"/>
    <x v="0"/>
    <x v="0"/>
    <x v="1"/>
    <x v="2"/>
    <s v="EE_Industry"/>
    <x v="4"/>
    <x v="3"/>
    <s v="GBPR_WOODCHIPS"/>
    <x v="0"/>
    <x v="8"/>
    <n v="6.5"/>
    <n v="395.41666666666703"/>
    <n v="1423.5"/>
  </r>
  <r>
    <x v="0"/>
    <x v="0"/>
    <x v="0"/>
    <x v="1"/>
    <x v="2"/>
    <s v="EE_Industry"/>
    <x v="4"/>
    <x v="3"/>
    <s v="GBPR_WOODCHIPS"/>
    <x v="0"/>
    <x v="9"/>
    <n v="6.5"/>
    <n v="395.41666666666703"/>
    <n v="1423.5"/>
  </r>
  <r>
    <x v="0"/>
    <x v="0"/>
    <x v="0"/>
    <x v="1"/>
    <x v="2"/>
    <s v="EE_Industry"/>
    <x v="4"/>
    <x v="3"/>
    <s v="GBPR_WOODCHIPS"/>
    <x v="0"/>
    <x v="10"/>
    <n v="6.5"/>
    <n v="395.41666666666703"/>
    <n v="1423.5"/>
  </r>
  <r>
    <x v="0"/>
    <x v="0"/>
    <x v="0"/>
    <x v="1"/>
    <x v="2"/>
    <s v="EE_Industry"/>
    <x v="4"/>
    <x v="3"/>
    <s v="GBPR_WOODCHIPS"/>
    <x v="0"/>
    <x v="11"/>
    <n v="6.5"/>
    <n v="395.41666666666703"/>
    <n v="1423.5"/>
  </r>
  <r>
    <x v="0"/>
    <x v="0"/>
    <x v="0"/>
    <x v="1"/>
    <x v="2"/>
    <s v="EE_Industry"/>
    <x v="4"/>
    <x v="3"/>
    <s v="GBPR_WOODCHIPS"/>
    <x v="1"/>
    <x v="0"/>
    <n v="6.5"/>
    <n v="395.41666666666703"/>
    <n v="1423.5"/>
  </r>
  <r>
    <x v="0"/>
    <x v="0"/>
    <x v="0"/>
    <x v="1"/>
    <x v="2"/>
    <s v="EE_Industry"/>
    <x v="4"/>
    <x v="3"/>
    <s v="GBPR_WOODCHIPS"/>
    <x v="1"/>
    <x v="1"/>
    <n v="6.5"/>
    <n v="395.41666666666703"/>
    <n v="1423.5"/>
  </r>
  <r>
    <x v="0"/>
    <x v="0"/>
    <x v="0"/>
    <x v="1"/>
    <x v="2"/>
    <s v="EE_Industry"/>
    <x v="4"/>
    <x v="3"/>
    <s v="GBPR_WOODCHIPS"/>
    <x v="1"/>
    <x v="2"/>
    <n v="6.5"/>
    <n v="395.41666666666703"/>
    <n v="1423.5"/>
  </r>
  <r>
    <x v="0"/>
    <x v="0"/>
    <x v="0"/>
    <x v="1"/>
    <x v="2"/>
    <s v="EE_Industry"/>
    <x v="4"/>
    <x v="3"/>
    <s v="GBPR_WOODCHIPS"/>
    <x v="1"/>
    <x v="3"/>
    <n v="6.5"/>
    <n v="395.41666666666703"/>
    <n v="1423.5"/>
  </r>
  <r>
    <x v="0"/>
    <x v="0"/>
    <x v="0"/>
    <x v="1"/>
    <x v="2"/>
    <s v="EE_Industry"/>
    <x v="4"/>
    <x v="3"/>
    <s v="GBPR_WOODCHIPS"/>
    <x v="1"/>
    <x v="4"/>
    <n v="6.5"/>
    <n v="395.41666666666703"/>
    <n v="1423.5"/>
  </r>
  <r>
    <x v="0"/>
    <x v="0"/>
    <x v="0"/>
    <x v="1"/>
    <x v="2"/>
    <s v="EE_Industry"/>
    <x v="4"/>
    <x v="3"/>
    <s v="GBPR_WOODCHIPS"/>
    <x v="1"/>
    <x v="5"/>
    <n v="6.5"/>
    <n v="395.41666666666703"/>
    <n v="1423.5"/>
  </r>
  <r>
    <x v="0"/>
    <x v="0"/>
    <x v="0"/>
    <x v="1"/>
    <x v="2"/>
    <s v="EE_Industry"/>
    <x v="4"/>
    <x v="3"/>
    <s v="GBPR_WOODCHIPS"/>
    <x v="1"/>
    <x v="6"/>
    <n v="6.5"/>
    <n v="395.41666666666703"/>
    <n v="1423.5"/>
  </r>
  <r>
    <x v="0"/>
    <x v="0"/>
    <x v="0"/>
    <x v="1"/>
    <x v="2"/>
    <s v="EE_Industry"/>
    <x v="4"/>
    <x v="3"/>
    <s v="GBPR_WOODCHIPS"/>
    <x v="1"/>
    <x v="7"/>
    <n v="6.5"/>
    <n v="395.41666666666703"/>
    <n v="1423.5"/>
  </r>
  <r>
    <x v="0"/>
    <x v="0"/>
    <x v="0"/>
    <x v="1"/>
    <x v="2"/>
    <s v="EE_Industry"/>
    <x v="4"/>
    <x v="3"/>
    <s v="GBPR_WOODCHIPS"/>
    <x v="1"/>
    <x v="8"/>
    <n v="6.5"/>
    <n v="395.41666666666703"/>
    <n v="1423.5"/>
  </r>
  <r>
    <x v="0"/>
    <x v="0"/>
    <x v="0"/>
    <x v="1"/>
    <x v="2"/>
    <s v="EE_Industry"/>
    <x v="4"/>
    <x v="3"/>
    <s v="GBPR_WOODCHIPS"/>
    <x v="1"/>
    <x v="9"/>
    <n v="6.5"/>
    <n v="395.41666666666703"/>
    <n v="1423.5"/>
  </r>
  <r>
    <x v="0"/>
    <x v="0"/>
    <x v="0"/>
    <x v="1"/>
    <x v="2"/>
    <s v="EE_Industry"/>
    <x v="4"/>
    <x v="3"/>
    <s v="GBPR_WOODCHIPS"/>
    <x v="1"/>
    <x v="10"/>
    <n v="6.5"/>
    <n v="395.41666666666703"/>
    <n v="1423.5"/>
  </r>
  <r>
    <x v="0"/>
    <x v="0"/>
    <x v="0"/>
    <x v="1"/>
    <x v="2"/>
    <s v="EE_Industry"/>
    <x v="4"/>
    <x v="3"/>
    <s v="GBPR_WOODCHIPS"/>
    <x v="1"/>
    <x v="11"/>
    <n v="6.5"/>
    <n v="395.41666666666703"/>
    <n v="1423.5"/>
  </r>
  <r>
    <x v="0"/>
    <x v="0"/>
    <x v="0"/>
    <x v="1"/>
    <x v="2"/>
    <s v="EE_Industry"/>
    <x v="4"/>
    <x v="3"/>
    <s v="GBPR_WOODCHIPS"/>
    <x v="2"/>
    <x v="0"/>
    <n v="6.5"/>
    <n v="395.41666666666703"/>
    <n v="1423.5"/>
  </r>
  <r>
    <x v="0"/>
    <x v="0"/>
    <x v="0"/>
    <x v="1"/>
    <x v="2"/>
    <s v="EE_Industry"/>
    <x v="4"/>
    <x v="3"/>
    <s v="GBPR_WOODCHIPS"/>
    <x v="2"/>
    <x v="1"/>
    <n v="6.5"/>
    <n v="395.41666666666703"/>
    <n v="1423.5"/>
  </r>
  <r>
    <x v="0"/>
    <x v="0"/>
    <x v="0"/>
    <x v="1"/>
    <x v="2"/>
    <s v="EE_Industry"/>
    <x v="4"/>
    <x v="3"/>
    <s v="GBPR_WOODCHIPS"/>
    <x v="2"/>
    <x v="2"/>
    <n v="6.5"/>
    <n v="395.41666666666703"/>
    <n v="1423.5"/>
  </r>
  <r>
    <x v="0"/>
    <x v="0"/>
    <x v="0"/>
    <x v="1"/>
    <x v="2"/>
    <s v="EE_Industry"/>
    <x v="4"/>
    <x v="3"/>
    <s v="GBPR_WOODCHIPS"/>
    <x v="2"/>
    <x v="3"/>
    <n v="6.5"/>
    <n v="395.41666666666703"/>
    <n v="1423.5"/>
  </r>
  <r>
    <x v="0"/>
    <x v="0"/>
    <x v="0"/>
    <x v="1"/>
    <x v="2"/>
    <s v="EE_Industry"/>
    <x v="4"/>
    <x v="3"/>
    <s v="GBPR_WOODCHIPS"/>
    <x v="2"/>
    <x v="4"/>
    <n v="6.5"/>
    <n v="395.41666666666703"/>
    <n v="1423.5"/>
  </r>
  <r>
    <x v="0"/>
    <x v="0"/>
    <x v="0"/>
    <x v="1"/>
    <x v="2"/>
    <s v="EE_Industry"/>
    <x v="4"/>
    <x v="3"/>
    <s v="GBPR_WOODCHIPS"/>
    <x v="2"/>
    <x v="5"/>
    <n v="6.5"/>
    <n v="395.41666666666703"/>
    <n v="1423.5"/>
  </r>
  <r>
    <x v="0"/>
    <x v="0"/>
    <x v="0"/>
    <x v="1"/>
    <x v="2"/>
    <s v="EE_Industry"/>
    <x v="4"/>
    <x v="3"/>
    <s v="GBPR_WOODCHIPS"/>
    <x v="2"/>
    <x v="6"/>
    <n v="6.5"/>
    <n v="395.41666666666703"/>
    <n v="1423.5"/>
  </r>
  <r>
    <x v="0"/>
    <x v="0"/>
    <x v="0"/>
    <x v="1"/>
    <x v="2"/>
    <s v="EE_Industry"/>
    <x v="4"/>
    <x v="3"/>
    <s v="GBPR_WOODCHIPS"/>
    <x v="2"/>
    <x v="7"/>
    <n v="6.5"/>
    <n v="395.41666666666703"/>
    <n v="1423.5"/>
  </r>
  <r>
    <x v="0"/>
    <x v="0"/>
    <x v="0"/>
    <x v="1"/>
    <x v="2"/>
    <s v="EE_Industry"/>
    <x v="4"/>
    <x v="3"/>
    <s v="GBPR_WOODCHIPS"/>
    <x v="2"/>
    <x v="8"/>
    <n v="6.5"/>
    <n v="395.41666666666703"/>
    <n v="1423.5"/>
  </r>
  <r>
    <x v="0"/>
    <x v="0"/>
    <x v="0"/>
    <x v="1"/>
    <x v="2"/>
    <s v="EE_Industry"/>
    <x v="4"/>
    <x v="3"/>
    <s v="GBPR_WOODCHIPS"/>
    <x v="2"/>
    <x v="9"/>
    <n v="6.5"/>
    <n v="395.41666666666703"/>
    <n v="1423.5"/>
  </r>
  <r>
    <x v="0"/>
    <x v="0"/>
    <x v="0"/>
    <x v="1"/>
    <x v="2"/>
    <s v="EE_Industry"/>
    <x v="4"/>
    <x v="3"/>
    <s v="GBPR_WOODCHIPS"/>
    <x v="2"/>
    <x v="10"/>
    <n v="6.5"/>
    <n v="395.41666666666703"/>
    <n v="1423.5"/>
  </r>
  <r>
    <x v="0"/>
    <x v="0"/>
    <x v="0"/>
    <x v="1"/>
    <x v="2"/>
    <s v="EE_Industry"/>
    <x v="4"/>
    <x v="3"/>
    <s v="GBPR_WOODCHIPS"/>
    <x v="2"/>
    <x v="11"/>
    <n v="6.5"/>
    <n v="395.41666666666703"/>
    <n v="1423.5"/>
  </r>
  <r>
    <x v="0"/>
    <x v="0"/>
    <x v="0"/>
    <x v="1"/>
    <x v="2"/>
    <s v="EE_Industry"/>
    <x v="4"/>
    <x v="3"/>
    <s v="GBPR_WOODCHIPS"/>
    <x v="3"/>
    <x v="0"/>
    <n v="6.5"/>
    <n v="395.41666666666703"/>
    <n v="1423.5"/>
  </r>
  <r>
    <x v="0"/>
    <x v="0"/>
    <x v="0"/>
    <x v="1"/>
    <x v="2"/>
    <s v="EE_Industry"/>
    <x v="4"/>
    <x v="3"/>
    <s v="GBPR_WOODCHIPS"/>
    <x v="3"/>
    <x v="1"/>
    <n v="6.5"/>
    <n v="395.41666666666703"/>
    <n v="1423.5"/>
  </r>
  <r>
    <x v="0"/>
    <x v="0"/>
    <x v="0"/>
    <x v="1"/>
    <x v="2"/>
    <s v="EE_Industry"/>
    <x v="4"/>
    <x v="3"/>
    <s v="GBPR_WOODCHIPS"/>
    <x v="3"/>
    <x v="2"/>
    <n v="6.5"/>
    <n v="395.41666666666703"/>
    <n v="1423.5"/>
  </r>
  <r>
    <x v="0"/>
    <x v="0"/>
    <x v="0"/>
    <x v="1"/>
    <x v="2"/>
    <s v="EE_Industry"/>
    <x v="4"/>
    <x v="3"/>
    <s v="GBPR_WOODCHIPS"/>
    <x v="3"/>
    <x v="3"/>
    <n v="6.5"/>
    <n v="395.41666666666703"/>
    <n v="1423.5"/>
  </r>
  <r>
    <x v="0"/>
    <x v="0"/>
    <x v="0"/>
    <x v="1"/>
    <x v="2"/>
    <s v="EE_Industry"/>
    <x v="4"/>
    <x v="3"/>
    <s v="GBPR_WOODCHIPS"/>
    <x v="3"/>
    <x v="4"/>
    <n v="6.5"/>
    <n v="395.41666666666703"/>
    <n v="1423.5"/>
  </r>
  <r>
    <x v="0"/>
    <x v="0"/>
    <x v="0"/>
    <x v="1"/>
    <x v="2"/>
    <s v="EE_Industry"/>
    <x v="4"/>
    <x v="3"/>
    <s v="GBPR_WOODCHIPS"/>
    <x v="3"/>
    <x v="5"/>
    <n v="6.5"/>
    <n v="395.41666666666703"/>
    <n v="1423.5"/>
  </r>
  <r>
    <x v="0"/>
    <x v="0"/>
    <x v="0"/>
    <x v="1"/>
    <x v="2"/>
    <s v="EE_Industry"/>
    <x v="4"/>
    <x v="3"/>
    <s v="GBPR_WOODCHIPS"/>
    <x v="3"/>
    <x v="6"/>
    <n v="6.5"/>
    <n v="395.41666666666703"/>
    <n v="1423.5"/>
  </r>
  <r>
    <x v="0"/>
    <x v="0"/>
    <x v="0"/>
    <x v="1"/>
    <x v="2"/>
    <s v="EE_Industry"/>
    <x v="4"/>
    <x v="3"/>
    <s v="GBPR_WOODCHIPS"/>
    <x v="3"/>
    <x v="7"/>
    <n v="6.5"/>
    <n v="395.41666666666703"/>
    <n v="1423.5"/>
  </r>
  <r>
    <x v="0"/>
    <x v="0"/>
    <x v="0"/>
    <x v="1"/>
    <x v="2"/>
    <s v="EE_Industry"/>
    <x v="4"/>
    <x v="3"/>
    <s v="GBPR_WOODCHIPS"/>
    <x v="3"/>
    <x v="8"/>
    <n v="6.5"/>
    <n v="395.41666666666703"/>
    <n v="1423.5"/>
  </r>
  <r>
    <x v="0"/>
    <x v="0"/>
    <x v="0"/>
    <x v="1"/>
    <x v="2"/>
    <s v="EE_Industry"/>
    <x v="4"/>
    <x v="3"/>
    <s v="GBPR_WOODCHIPS"/>
    <x v="3"/>
    <x v="9"/>
    <n v="6.5"/>
    <n v="395.41666666666703"/>
    <n v="1423.5"/>
  </r>
  <r>
    <x v="0"/>
    <x v="0"/>
    <x v="0"/>
    <x v="1"/>
    <x v="2"/>
    <s v="EE_Industry"/>
    <x v="4"/>
    <x v="3"/>
    <s v="GBPR_WOODCHIPS"/>
    <x v="3"/>
    <x v="10"/>
    <n v="6.5"/>
    <n v="395.41666666666703"/>
    <n v="1423.5"/>
  </r>
  <r>
    <x v="0"/>
    <x v="0"/>
    <x v="0"/>
    <x v="1"/>
    <x v="2"/>
    <s v="EE_Industry"/>
    <x v="4"/>
    <x v="3"/>
    <s v="GBPR_WOODCHIPS"/>
    <x v="3"/>
    <x v="11"/>
    <n v="6.5"/>
    <n v="395.41666666666703"/>
    <n v="1423.5"/>
  </r>
  <r>
    <x v="0"/>
    <x v="0"/>
    <x v="0"/>
    <x v="1"/>
    <x v="2"/>
    <s v="EE_Industry"/>
    <x v="4"/>
    <x v="3"/>
    <s v="GBPR_WOODCHIPS"/>
    <x v="4"/>
    <x v="0"/>
    <n v="6.5"/>
    <n v="395.41666666666703"/>
    <n v="1423.5"/>
  </r>
  <r>
    <x v="0"/>
    <x v="0"/>
    <x v="0"/>
    <x v="1"/>
    <x v="2"/>
    <s v="EE_Industry"/>
    <x v="4"/>
    <x v="3"/>
    <s v="GBPR_WOODCHIPS"/>
    <x v="4"/>
    <x v="1"/>
    <n v="6.5"/>
    <n v="395.41666666666703"/>
    <n v="1423.5"/>
  </r>
  <r>
    <x v="0"/>
    <x v="0"/>
    <x v="0"/>
    <x v="1"/>
    <x v="2"/>
    <s v="EE_Industry"/>
    <x v="4"/>
    <x v="3"/>
    <s v="GBPR_WOODCHIPS"/>
    <x v="4"/>
    <x v="2"/>
    <n v="6.5"/>
    <n v="395.41666666666703"/>
    <n v="1423.5"/>
  </r>
  <r>
    <x v="0"/>
    <x v="0"/>
    <x v="0"/>
    <x v="1"/>
    <x v="2"/>
    <s v="EE_Industry"/>
    <x v="4"/>
    <x v="3"/>
    <s v="GBPR_WOODCHIPS"/>
    <x v="4"/>
    <x v="3"/>
    <n v="6.5"/>
    <n v="395.41666666666703"/>
    <n v="1423.5"/>
  </r>
  <r>
    <x v="0"/>
    <x v="0"/>
    <x v="0"/>
    <x v="1"/>
    <x v="2"/>
    <s v="EE_Industry"/>
    <x v="4"/>
    <x v="3"/>
    <s v="GBPR_WOODCHIPS"/>
    <x v="4"/>
    <x v="4"/>
    <n v="6.5"/>
    <n v="395.41666666666703"/>
    <n v="1423.5"/>
  </r>
  <r>
    <x v="0"/>
    <x v="0"/>
    <x v="0"/>
    <x v="1"/>
    <x v="2"/>
    <s v="EE_Industry"/>
    <x v="4"/>
    <x v="3"/>
    <s v="GBPR_WOODCHIPS"/>
    <x v="4"/>
    <x v="5"/>
    <n v="6.5"/>
    <n v="395.41666666666703"/>
    <n v="1423.5"/>
  </r>
  <r>
    <x v="0"/>
    <x v="0"/>
    <x v="0"/>
    <x v="1"/>
    <x v="2"/>
    <s v="EE_Industry"/>
    <x v="4"/>
    <x v="3"/>
    <s v="GBPR_WOODCHIPS"/>
    <x v="4"/>
    <x v="6"/>
    <n v="6.5"/>
    <n v="395.41666666666703"/>
    <n v="1423.5"/>
  </r>
  <r>
    <x v="0"/>
    <x v="0"/>
    <x v="0"/>
    <x v="1"/>
    <x v="2"/>
    <s v="EE_Industry"/>
    <x v="4"/>
    <x v="3"/>
    <s v="GBPR_WOODCHIPS"/>
    <x v="4"/>
    <x v="7"/>
    <n v="6.5"/>
    <n v="395.41666666666703"/>
    <n v="1423.5"/>
  </r>
  <r>
    <x v="0"/>
    <x v="0"/>
    <x v="0"/>
    <x v="1"/>
    <x v="2"/>
    <s v="EE_Industry"/>
    <x v="4"/>
    <x v="3"/>
    <s v="GBPR_WOODCHIPS"/>
    <x v="4"/>
    <x v="8"/>
    <n v="6.5"/>
    <n v="395.41666666666703"/>
    <n v="1423.5"/>
  </r>
  <r>
    <x v="0"/>
    <x v="0"/>
    <x v="0"/>
    <x v="1"/>
    <x v="2"/>
    <s v="EE_Industry"/>
    <x v="4"/>
    <x v="3"/>
    <s v="GBPR_WOODCHIPS"/>
    <x v="4"/>
    <x v="9"/>
    <n v="6.5"/>
    <n v="395.41666666666703"/>
    <n v="1423.5"/>
  </r>
  <r>
    <x v="0"/>
    <x v="0"/>
    <x v="0"/>
    <x v="1"/>
    <x v="2"/>
    <s v="EE_Industry"/>
    <x v="4"/>
    <x v="3"/>
    <s v="GBPR_WOODCHIPS"/>
    <x v="4"/>
    <x v="10"/>
    <n v="6.5"/>
    <n v="395.41666666666703"/>
    <n v="1423.5"/>
  </r>
  <r>
    <x v="0"/>
    <x v="0"/>
    <x v="0"/>
    <x v="1"/>
    <x v="2"/>
    <s v="EE_Industry"/>
    <x v="4"/>
    <x v="3"/>
    <s v="GBPR_WOODCHIPS"/>
    <x v="4"/>
    <x v="11"/>
    <n v="6.5"/>
    <n v="395.41666666666703"/>
    <n v="1423.5"/>
  </r>
  <r>
    <x v="0"/>
    <x v="0"/>
    <x v="0"/>
    <x v="1"/>
    <x v="2"/>
    <s v="EE_Industry"/>
    <x v="4"/>
    <x v="3"/>
    <s v="GBPR_WOODCHIPS"/>
    <x v="5"/>
    <x v="0"/>
    <n v="6.5"/>
    <n v="395.41666666666703"/>
    <n v="1423.5"/>
  </r>
  <r>
    <x v="0"/>
    <x v="0"/>
    <x v="0"/>
    <x v="1"/>
    <x v="2"/>
    <s v="EE_Industry"/>
    <x v="4"/>
    <x v="3"/>
    <s v="GBPR_WOODCHIPS"/>
    <x v="5"/>
    <x v="1"/>
    <n v="6.5"/>
    <n v="395.41666666666703"/>
    <n v="1423.5"/>
  </r>
  <r>
    <x v="0"/>
    <x v="0"/>
    <x v="0"/>
    <x v="1"/>
    <x v="2"/>
    <s v="EE_Industry"/>
    <x v="4"/>
    <x v="3"/>
    <s v="GBPR_WOODCHIPS"/>
    <x v="5"/>
    <x v="2"/>
    <n v="6.5"/>
    <n v="395.41666666666703"/>
    <n v="1423.5"/>
  </r>
  <r>
    <x v="0"/>
    <x v="0"/>
    <x v="0"/>
    <x v="1"/>
    <x v="2"/>
    <s v="EE_Industry"/>
    <x v="4"/>
    <x v="3"/>
    <s v="GBPR_WOODCHIPS"/>
    <x v="5"/>
    <x v="3"/>
    <n v="6.5"/>
    <n v="395.41666666666703"/>
    <n v="1423.5"/>
  </r>
  <r>
    <x v="0"/>
    <x v="0"/>
    <x v="0"/>
    <x v="1"/>
    <x v="2"/>
    <s v="EE_Industry"/>
    <x v="4"/>
    <x v="3"/>
    <s v="GBPR_WOODCHIPS"/>
    <x v="5"/>
    <x v="4"/>
    <n v="6.5"/>
    <n v="395.41666666666703"/>
    <n v="1423.5"/>
  </r>
  <r>
    <x v="0"/>
    <x v="0"/>
    <x v="0"/>
    <x v="1"/>
    <x v="2"/>
    <s v="EE_Industry"/>
    <x v="4"/>
    <x v="3"/>
    <s v="GBPR_WOODCHIPS"/>
    <x v="5"/>
    <x v="5"/>
    <n v="6.5"/>
    <n v="395.41666666666703"/>
    <n v="1423.5"/>
  </r>
  <r>
    <x v="0"/>
    <x v="0"/>
    <x v="0"/>
    <x v="1"/>
    <x v="2"/>
    <s v="EE_Industry"/>
    <x v="4"/>
    <x v="3"/>
    <s v="GBPR_WOODCHIPS"/>
    <x v="5"/>
    <x v="6"/>
    <n v="6.5"/>
    <n v="395.41666666666703"/>
    <n v="1423.5"/>
  </r>
  <r>
    <x v="0"/>
    <x v="0"/>
    <x v="0"/>
    <x v="1"/>
    <x v="2"/>
    <s v="EE_Industry"/>
    <x v="4"/>
    <x v="3"/>
    <s v="GBPR_WOODCHIPS"/>
    <x v="5"/>
    <x v="7"/>
    <n v="6.5"/>
    <n v="395.41666666666703"/>
    <n v="1423.5"/>
  </r>
  <r>
    <x v="0"/>
    <x v="0"/>
    <x v="0"/>
    <x v="1"/>
    <x v="2"/>
    <s v="EE_Industry"/>
    <x v="4"/>
    <x v="3"/>
    <s v="GBPR_WOODCHIPS"/>
    <x v="5"/>
    <x v="8"/>
    <n v="6.5"/>
    <n v="395.41666666666703"/>
    <n v="1423.5"/>
  </r>
  <r>
    <x v="0"/>
    <x v="0"/>
    <x v="0"/>
    <x v="1"/>
    <x v="2"/>
    <s v="EE_Industry"/>
    <x v="4"/>
    <x v="3"/>
    <s v="GBPR_WOODCHIPS"/>
    <x v="5"/>
    <x v="9"/>
    <n v="6.5"/>
    <n v="395.41666666666703"/>
    <n v="1423.5"/>
  </r>
  <r>
    <x v="0"/>
    <x v="0"/>
    <x v="0"/>
    <x v="1"/>
    <x v="2"/>
    <s v="EE_Industry"/>
    <x v="4"/>
    <x v="3"/>
    <s v="GBPR_WOODCHIPS"/>
    <x v="5"/>
    <x v="10"/>
    <n v="6.5"/>
    <n v="395.41666666666703"/>
    <n v="1423.5"/>
  </r>
  <r>
    <x v="0"/>
    <x v="0"/>
    <x v="0"/>
    <x v="1"/>
    <x v="2"/>
    <s v="EE_Industry"/>
    <x v="4"/>
    <x v="3"/>
    <s v="GBPR_WOODCHIPS"/>
    <x v="5"/>
    <x v="11"/>
    <n v="6.5"/>
    <n v="395.41666666666703"/>
    <n v="1423.5"/>
  </r>
  <r>
    <x v="0"/>
    <x v="0"/>
    <x v="0"/>
    <x v="1"/>
    <x v="2"/>
    <s v="EE_Industry"/>
    <x v="4"/>
    <x v="3"/>
    <s v="GBPR_WOODCHIPS"/>
    <x v="6"/>
    <x v="0"/>
    <n v="6.5"/>
    <n v="395.41666666666703"/>
    <n v="1423.5"/>
  </r>
  <r>
    <x v="0"/>
    <x v="0"/>
    <x v="0"/>
    <x v="1"/>
    <x v="2"/>
    <s v="EE_Industry"/>
    <x v="4"/>
    <x v="3"/>
    <s v="GBPR_WOODCHIPS"/>
    <x v="6"/>
    <x v="1"/>
    <n v="6.5"/>
    <n v="395.41666666666703"/>
    <n v="1423.5"/>
  </r>
  <r>
    <x v="0"/>
    <x v="0"/>
    <x v="0"/>
    <x v="1"/>
    <x v="2"/>
    <s v="EE_Industry"/>
    <x v="4"/>
    <x v="3"/>
    <s v="GBPR_WOODCHIPS"/>
    <x v="6"/>
    <x v="2"/>
    <n v="6.5"/>
    <n v="395.41666666666703"/>
    <n v="1423.5"/>
  </r>
  <r>
    <x v="0"/>
    <x v="0"/>
    <x v="0"/>
    <x v="1"/>
    <x v="2"/>
    <s v="EE_Industry"/>
    <x v="4"/>
    <x v="3"/>
    <s v="GBPR_WOODCHIPS"/>
    <x v="6"/>
    <x v="3"/>
    <n v="6.5"/>
    <n v="395.41666666666703"/>
    <n v="1423.5"/>
  </r>
  <r>
    <x v="0"/>
    <x v="0"/>
    <x v="0"/>
    <x v="1"/>
    <x v="2"/>
    <s v="EE_Industry"/>
    <x v="4"/>
    <x v="3"/>
    <s v="GBPR_WOODCHIPS"/>
    <x v="6"/>
    <x v="4"/>
    <n v="6.5"/>
    <n v="395.41666666666703"/>
    <n v="1423.5"/>
  </r>
  <r>
    <x v="0"/>
    <x v="0"/>
    <x v="0"/>
    <x v="1"/>
    <x v="2"/>
    <s v="EE_Industry"/>
    <x v="4"/>
    <x v="3"/>
    <s v="GBPR_WOODCHIPS"/>
    <x v="6"/>
    <x v="5"/>
    <n v="6.5"/>
    <n v="395.41666666666703"/>
    <n v="1423.5"/>
  </r>
  <r>
    <x v="0"/>
    <x v="0"/>
    <x v="0"/>
    <x v="1"/>
    <x v="2"/>
    <s v="EE_Industry"/>
    <x v="4"/>
    <x v="3"/>
    <s v="GBPR_WOODCHIPS"/>
    <x v="6"/>
    <x v="6"/>
    <n v="6.5"/>
    <n v="395.41666666666703"/>
    <n v="1423.5"/>
  </r>
  <r>
    <x v="0"/>
    <x v="0"/>
    <x v="0"/>
    <x v="1"/>
    <x v="2"/>
    <s v="EE_Industry"/>
    <x v="4"/>
    <x v="3"/>
    <s v="GBPR_WOODCHIPS"/>
    <x v="6"/>
    <x v="7"/>
    <n v="6.5"/>
    <n v="395.41666666666703"/>
    <n v="1423.5"/>
  </r>
  <r>
    <x v="0"/>
    <x v="0"/>
    <x v="0"/>
    <x v="1"/>
    <x v="2"/>
    <s v="EE_Industry"/>
    <x v="4"/>
    <x v="3"/>
    <s v="GBPR_WOODCHIPS"/>
    <x v="6"/>
    <x v="8"/>
    <n v="6.5"/>
    <n v="395.41666666666703"/>
    <n v="1423.5"/>
  </r>
  <r>
    <x v="0"/>
    <x v="0"/>
    <x v="0"/>
    <x v="1"/>
    <x v="2"/>
    <s v="EE_Industry"/>
    <x v="4"/>
    <x v="3"/>
    <s v="GBPR_WOODCHIPS"/>
    <x v="6"/>
    <x v="9"/>
    <n v="6.5"/>
    <n v="395.41666666666703"/>
    <n v="1423.5"/>
  </r>
  <r>
    <x v="0"/>
    <x v="0"/>
    <x v="0"/>
    <x v="1"/>
    <x v="2"/>
    <s v="EE_Industry"/>
    <x v="4"/>
    <x v="3"/>
    <s v="GBPR_WOODCHIPS"/>
    <x v="6"/>
    <x v="10"/>
    <n v="6.5"/>
    <n v="395.41666666666703"/>
    <n v="1423.5"/>
  </r>
  <r>
    <x v="0"/>
    <x v="0"/>
    <x v="0"/>
    <x v="1"/>
    <x v="2"/>
    <s v="EE_Industry"/>
    <x v="4"/>
    <x v="3"/>
    <s v="GBPR_WOODCHIPS"/>
    <x v="6"/>
    <x v="11"/>
    <n v="6.5"/>
    <n v="395.41666666666703"/>
    <n v="1423.5"/>
  </r>
  <r>
    <x v="0"/>
    <x v="0"/>
    <x v="0"/>
    <x v="1"/>
    <x v="2"/>
    <s v="EE_Industry"/>
    <x v="4"/>
    <x v="3"/>
    <s v="GBPR_WOODCHIPS"/>
    <x v="7"/>
    <x v="0"/>
    <n v="6.5"/>
    <n v="395.41666666666703"/>
    <n v="1423.5"/>
  </r>
  <r>
    <x v="0"/>
    <x v="0"/>
    <x v="0"/>
    <x v="1"/>
    <x v="2"/>
    <s v="EE_Industry"/>
    <x v="4"/>
    <x v="3"/>
    <s v="GBPR_WOODCHIPS"/>
    <x v="7"/>
    <x v="1"/>
    <n v="6.5"/>
    <n v="395.41666666666703"/>
    <n v="1423.5"/>
  </r>
  <r>
    <x v="0"/>
    <x v="0"/>
    <x v="0"/>
    <x v="1"/>
    <x v="2"/>
    <s v="EE_Industry"/>
    <x v="4"/>
    <x v="3"/>
    <s v="GBPR_WOODCHIPS"/>
    <x v="7"/>
    <x v="2"/>
    <n v="6.5"/>
    <n v="395.41666666666703"/>
    <n v="1423.5"/>
  </r>
  <r>
    <x v="0"/>
    <x v="0"/>
    <x v="0"/>
    <x v="1"/>
    <x v="2"/>
    <s v="EE_Industry"/>
    <x v="4"/>
    <x v="3"/>
    <s v="GBPR_WOODCHIPS"/>
    <x v="7"/>
    <x v="3"/>
    <n v="6.5"/>
    <n v="395.41666666666703"/>
    <n v="1423.5"/>
  </r>
  <r>
    <x v="0"/>
    <x v="0"/>
    <x v="0"/>
    <x v="1"/>
    <x v="2"/>
    <s v="EE_Industry"/>
    <x v="4"/>
    <x v="3"/>
    <s v="GBPR_WOODCHIPS"/>
    <x v="7"/>
    <x v="4"/>
    <n v="6.5"/>
    <n v="395.41666666666703"/>
    <n v="1423.5"/>
  </r>
  <r>
    <x v="0"/>
    <x v="0"/>
    <x v="0"/>
    <x v="1"/>
    <x v="2"/>
    <s v="EE_Industry"/>
    <x v="4"/>
    <x v="3"/>
    <s v="GBPR_WOODCHIPS"/>
    <x v="7"/>
    <x v="5"/>
    <n v="6.5"/>
    <n v="395.41666666666703"/>
    <n v="1423.5"/>
  </r>
  <r>
    <x v="0"/>
    <x v="0"/>
    <x v="0"/>
    <x v="1"/>
    <x v="2"/>
    <s v="EE_Industry"/>
    <x v="4"/>
    <x v="3"/>
    <s v="GBPR_WOODCHIPS"/>
    <x v="7"/>
    <x v="6"/>
    <n v="6.5"/>
    <n v="395.41666666666703"/>
    <n v="1423.5"/>
  </r>
  <r>
    <x v="0"/>
    <x v="0"/>
    <x v="0"/>
    <x v="1"/>
    <x v="2"/>
    <s v="EE_Industry"/>
    <x v="4"/>
    <x v="3"/>
    <s v="GBPR_WOODCHIPS"/>
    <x v="7"/>
    <x v="7"/>
    <n v="6.5"/>
    <n v="395.41666666666703"/>
    <n v="1423.5"/>
  </r>
  <r>
    <x v="0"/>
    <x v="0"/>
    <x v="0"/>
    <x v="1"/>
    <x v="2"/>
    <s v="EE_Industry"/>
    <x v="4"/>
    <x v="3"/>
    <s v="GBPR_WOODCHIPS"/>
    <x v="7"/>
    <x v="8"/>
    <n v="6.5"/>
    <n v="395.41666666666703"/>
    <n v="1423.5"/>
  </r>
  <r>
    <x v="0"/>
    <x v="0"/>
    <x v="0"/>
    <x v="1"/>
    <x v="2"/>
    <s v="EE_Industry"/>
    <x v="4"/>
    <x v="3"/>
    <s v="GBPR_WOODCHIPS"/>
    <x v="7"/>
    <x v="9"/>
    <n v="6.5"/>
    <n v="395.41666666666703"/>
    <n v="1423.5"/>
  </r>
  <r>
    <x v="0"/>
    <x v="0"/>
    <x v="0"/>
    <x v="1"/>
    <x v="2"/>
    <s v="EE_Industry"/>
    <x v="4"/>
    <x v="3"/>
    <s v="GBPR_WOODCHIPS"/>
    <x v="7"/>
    <x v="10"/>
    <n v="6.5"/>
    <n v="395.41666666666703"/>
    <n v="1423.5"/>
  </r>
  <r>
    <x v="0"/>
    <x v="0"/>
    <x v="0"/>
    <x v="1"/>
    <x v="2"/>
    <s v="EE_Industry"/>
    <x v="4"/>
    <x v="3"/>
    <s v="GBPR_WOODCHIPS"/>
    <x v="7"/>
    <x v="11"/>
    <n v="6.5"/>
    <n v="395.41666666666703"/>
    <n v="1423.5"/>
  </r>
  <r>
    <x v="0"/>
    <x v="0"/>
    <x v="0"/>
    <x v="1"/>
    <x v="2"/>
    <s v="EE_Industry"/>
    <x v="4"/>
    <x v="3"/>
    <s v="GBPR_WOODCHIPS"/>
    <x v="8"/>
    <x v="0"/>
    <n v="6.5"/>
    <n v="395.41666666666703"/>
    <n v="1423.5"/>
  </r>
  <r>
    <x v="0"/>
    <x v="0"/>
    <x v="0"/>
    <x v="1"/>
    <x v="2"/>
    <s v="EE_Industry"/>
    <x v="4"/>
    <x v="3"/>
    <s v="GBPR_WOODCHIPS"/>
    <x v="8"/>
    <x v="1"/>
    <n v="6.5"/>
    <n v="395.41666666666703"/>
    <n v="1423.5"/>
  </r>
  <r>
    <x v="0"/>
    <x v="0"/>
    <x v="0"/>
    <x v="1"/>
    <x v="2"/>
    <s v="EE_Industry"/>
    <x v="4"/>
    <x v="3"/>
    <s v="GBPR_WOODCHIPS"/>
    <x v="8"/>
    <x v="2"/>
    <n v="6.5"/>
    <n v="395.41666666666703"/>
    <n v="1423.5"/>
  </r>
  <r>
    <x v="0"/>
    <x v="0"/>
    <x v="0"/>
    <x v="1"/>
    <x v="2"/>
    <s v="EE_Industry"/>
    <x v="4"/>
    <x v="3"/>
    <s v="GBPR_WOODCHIPS"/>
    <x v="8"/>
    <x v="3"/>
    <n v="6.5"/>
    <n v="395.41666666666703"/>
    <n v="1423.5"/>
  </r>
  <r>
    <x v="0"/>
    <x v="0"/>
    <x v="0"/>
    <x v="1"/>
    <x v="2"/>
    <s v="EE_Industry"/>
    <x v="4"/>
    <x v="3"/>
    <s v="GBPR_WOODCHIPS"/>
    <x v="8"/>
    <x v="4"/>
    <n v="6.5"/>
    <n v="395.41666666666703"/>
    <n v="1423.5"/>
  </r>
  <r>
    <x v="0"/>
    <x v="0"/>
    <x v="0"/>
    <x v="1"/>
    <x v="2"/>
    <s v="EE_Industry"/>
    <x v="4"/>
    <x v="3"/>
    <s v="GBPR_WOODCHIPS"/>
    <x v="8"/>
    <x v="5"/>
    <n v="6.5"/>
    <n v="395.41666666666703"/>
    <n v="1423.5"/>
  </r>
  <r>
    <x v="0"/>
    <x v="0"/>
    <x v="0"/>
    <x v="1"/>
    <x v="2"/>
    <s v="EE_Industry"/>
    <x v="4"/>
    <x v="3"/>
    <s v="GBPR_WOODCHIPS"/>
    <x v="8"/>
    <x v="6"/>
    <n v="6.5"/>
    <n v="395.41666666666703"/>
    <n v="1423.5"/>
  </r>
  <r>
    <x v="0"/>
    <x v="0"/>
    <x v="0"/>
    <x v="1"/>
    <x v="2"/>
    <s v="EE_Industry"/>
    <x v="4"/>
    <x v="3"/>
    <s v="GBPR_WOODCHIPS"/>
    <x v="8"/>
    <x v="7"/>
    <n v="6.5"/>
    <n v="395.41666666666703"/>
    <n v="1423.5"/>
  </r>
  <r>
    <x v="0"/>
    <x v="0"/>
    <x v="0"/>
    <x v="1"/>
    <x v="2"/>
    <s v="EE_Industry"/>
    <x v="4"/>
    <x v="3"/>
    <s v="GBPR_WOODCHIPS"/>
    <x v="8"/>
    <x v="8"/>
    <n v="6.5"/>
    <n v="395.41666666666703"/>
    <n v="1423.5"/>
  </r>
  <r>
    <x v="0"/>
    <x v="0"/>
    <x v="0"/>
    <x v="1"/>
    <x v="2"/>
    <s v="EE_Industry"/>
    <x v="4"/>
    <x v="3"/>
    <s v="GBPR_WOODCHIPS"/>
    <x v="8"/>
    <x v="9"/>
    <n v="6.5"/>
    <n v="395.41666666666703"/>
    <n v="1423.5"/>
  </r>
  <r>
    <x v="0"/>
    <x v="0"/>
    <x v="0"/>
    <x v="1"/>
    <x v="2"/>
    <s v="EE_Industry"/>
    <x v="4"/>
    <x v="3"/>
    <s v="GBPR_WOODCHIPS"/>
    <x v="8"/>
    <x v="10"/>
    <n v="6.5"/>
    <n v="395.41666666666703"/>
    <n v="1423.5"/>
  </r>
  <r>
    <x v="0"/>
    <x v="0"/>
    <x v="0"/>
    <x v="1"/>
    <x v="2"/>
    <s v="EE_Industry"/>
    <x v="4"/>
    <x v="3"/>
    <s v="GBPR_WOODCHIPS"/>
    <x v="8"/>
    <x v="11"/>
    <n v="6.5"/>
    <n v="395.41666666666703"/>
    <n v="1423.5"/>
  </r>
  <r>
    <x v="0"/>
    <x v="0"/>
    <x v="0"/>
    <x v="1"/>
    <x v="2"/>
    <s v="EE_Industry"/>
    <x v="4"/>
    <x v="3"/>
    <s v="GBPR_WOODCHIPS"/>
    <x v="9"/>
    <x v="0"/>
    <n v="6.5"/>
    <n v="395.41666666666703"/>
    <n v="1423.5"/>
  </r>
  <r>
    <x v="0"/>
    <x v="0"/>
    <x v="0"/>
    <x v="1"/>
    <x v="2"/>
    <s v="EE_Industry"/>
    <x v="4"/>
    <x v="3"/>
    <s v="GBPR_WOODCHIPS"/>
    <x v="9"/>
    <x v="1"/>
    <n v="6.5"/>
    <n v="395.41666666666703"/>
    <n v="1423.5"/>
  </r>
  <r>
    <x v="0"/>
    <x v="0"/>
    <x v="0"/>
    <x v="1"/>
    <x v="2"/>
    <s v="EE_Industry"/>
    <x v="4"/>
    <x v="3"/>
    <s v="GBPR_WOODCHIPS"/>
    <x v="9"/>
    <x v="2"/>
    <n v="6.5"/>
    <n v="395.41666666666703"/>
    <n v="1423.5"/>
  </r>
  <r>
    <x v="0"/>
    <x v="0"/>
    <x v="0"/>
    <x v="1"/>
    <x v="2"/>
    <s v="EE_Industry"/>
    <x v="4"/>
    <x v="3"/>
    <s v="GBPR_WOODCHIPS"/>
    <x v="9"/>
    <x v="3"/>
    <n v="6.5"/>
    <n v="395.41666666666703"/>
    <n v="1423.5"/>
  </r>
  <r>
    <x v="0"/>
    <x v="0"/>
    <x v="0"/>
    <x v="1"/>
    <x v="2"/>
    <s v="EE_Industry"/>
    <x v="4"/>
    <x v="3"/>
    <s v="GBPR_WOODCHIPS"/>
    <x v="9"/>
    <x v="4"/>
    <n v="6.5"/>
    <n v="395.41666666666703"/>
    <n v="1423.5"/>
  </r>
  <r>
    <x v="0"/>
    <x v="0"/>
    <x v="0"/>
    <x v="1"/>
    <x v="2"/>
    <s v="EE_Industry"/>
    <x v="4"/>
    <x v="3"/>
    <s v="GBPR_WOODCHIPS"/>
    <x v="9"/>
    <x v="5"/>
    <n v="6.5"/>
    <n v="395.41666666666703"/>
    <n v="1423.5"/>
  </r>
  <r>
    <x v="0"/>
    <x v="0"/>
    <x v="0"/>
    <x v="1"/>
    <x v="2"/>
    <s v="EE_Industry"/>
    <x v="4"/>
    <x v="3"/>
    <s v="GBPR_WOODCHIPS"/>
    <x v="9"/>
    <x v="6"/>
    <n v="6.5"/>
    <n v="395.41666666666703"/>
    <n v="1423.5"/>
  </r>
  <r>
    <x v="0"/>
    <x v="0"/>
    <x v="0"/>
    <x v="1"/>
    <x v="2"/>
    <s v="EE_Industry"/>
    <x v="4"/>
    <x v="3"/>
    <s v="GBPR_WOODCHIPS"/>
    <x v="9"/>
    <x v="7"/>
    <n v="6.5"/>
    <n v="395.41666666666703"/>
    <n v="1423.5"/>
  </r>
  <r>
    <x v="0"/>
    <x v="0"/>
    <x v="0"/>
    <x v="1"/>
    <x v="2"/>
    <s v="EE_Industry"/>
    <x v="4"/>
    <x v="3"/>
    <s v="GBPR_WOODCHIPS"/>
    <x v="9"/>
    <x v="8"/>
    <n v="6.5"/>
    <n v="395.41666666666703"/>
    <n v="1423.5"/>
  </r>
  <r>
    <x v="0"/>
    <x v="0"/>
    <x v="0"/>
    <x v="1"/>
    <x v="2"/>
    <s v="EE_Industry"/>
    <x v="4"/>
    <x v="3"/>
    <s v="GBPR_WOODCHIPS"/>
    <x v="9"/>
    <x v="9"/>
    <n v="6.5"/>
    <n v="395.41666666666703"/>
    <n v="1423.5"/>
  </r>
  <r>
    <x v="0"/>
    <x v="0"/>
    <x v="0"/>
    <x v="1"/>
    <x v="2"/>
    <s v="EE_Industry"/>
    <x v="4"/>
    <x v="3"/>
    <s v="GBPR_WOODCHIPS"/>
    <x v="9"/>
    <x v="10"/>
    <n v="6.5"/>
    <n v="395.41666666666703"/>
    <n v="1423.5"/>
  </r>
  <r>
    <x v="0"/>
    <x v="0"/>
    <x v="0"/>
    <x v="1"/>
    <x v="2"/>
    <s v="EE_Industry"/>
    <x v="4"/>
    <x v="3"/>
    <s v="GBPR_WOODCHIPS"/>
    <x v="9"/>
    <x v="11"/>
    <n v="6.5"/>
    <n v="395.41666666666703"/>
    <n v="1423.5"/>
  </r>
  <r>
    <x v="0"/>
    <x v="0"/>
    <x v="0"/>
    <x v="1"/>
    <x v="2"/>
    <s v="EE_Industry"/>
    <x v="4"/>
    <x v="3"/>
    <s v="GBPR_WOODCHIPS"/>
    <x v="10"/>
    <x v="0"/>
    <n v="6.5"/>
    <n v="395.41666666666703"/>
    <n v="1423.5"/>
  </r>
  <r>
    <x v="0"/>
    <x v="0"/>
    <x v="0"/>
    <x v="1"/>
    <x v="2"/>
    <s v="EE_Industry"/>
    <x v="4"/>
    <x v="3"/>
    <s v="GBPR_WOODCHIPS"/>
    <x v="10"/>
    <x v="1"/>
    <n v="6.5"/>
    <n v="395.41666666666703"/>
    <n v="1423.5"/>
  </r>
  <r>
    <x v="0"/>
    <x v="0"/>
    <x v="0"/>
    <x v="1"/>
    <x v="2"/>
    <s v="EE_Industry"/>
    <x v="4"/>
    <x v="3"/>
    <s v="GBPR_WOODCHIPS"/>
    <x v="10"/>
    <x v="2"/>
    <n v="6.5"/>
    <n v="395.41666666666703"/>
    <n v="1423.5"/>
  </r>
  <r>
    <x v="0"/>
    <x v="0"/>
    <x v="0"/>
    <x v="1"/>
    <x v="2"/>
    <s v="EE_Industry"/>
    <x v="4"/>
    <x v="3"/>
    <s v="GBPR_WOODCHIPS"/>
    <x v="10"/>
    <x v="3"/>
    <n v="6.5"/>
    <n v="395.41666666666703"/>
    <n v="1423.5"/>
  </r>
  <r>
    <x v="0"/>
    <x v="0"/>
    <x v="0"/>
    <x v="1"/>
    <x v="2"/>
    <s v="EE_Industry"/>
    <x v="4"/>
    <x v="3"/>
    <s v="GBPR_WOODCHIPS"/>
    <x v="10"/>
    <x v="4"/>
    <n v="6.5"/>
    <n v="395.41666666666703"/>
    <n v="1423.5"/>
  </r>
  <r>
    <x v="0"/>
    <x v="0"/>
    <x v="0"/>
    <x v="1"/>
    <x v="2"/>
    <s v="EE_Industry"/>
    <x v="4"/>
    <x v="3"/>
    <s v="GBPR_WOODCHIPS"/>
    <x v="10"/>
    <x v="5"/>
    <n v="6.5"/>
    <n v="395.41666666666703"/>
    <n v="1423.5"/>
  </r>
  <r>
    <x v="0"/>
    <x v="0"/>
    <x v="0"/>
    <x v="1"/>
    <x v="2"/>
    <s v="EE_Industry"/>
    <x v="4"/>
    <x v="3"/>
    <s v="GBPR_WOODCHIPS"/>
    <x v="10"/>
    <x v="6"/>
    <n v="6.5"/>
    <n v="395.41666666666703"/>
    <n v="1423.5"/>
  </r>
  <r>
    <x v="0"/>
    <x v="0"/>
    <x v="0"/>
    <x v="1"/>
    <x v="2"/>
    <s v="EE_Industry"/>
    <x v="4"/>
    <x v="3"/>
    <s v="GBPR_WOODCHIPS"/>
    <x v="10"/>
    <x v="7"/>
    <n v="6.5"/>
    <n v="395.41666666666703"/>
    <n v="1423.5"/>
  </r>
  <r>
    <x v="0"/>
    <x v="0"/>
    <x v="0"/>
    <x v="1"/>
    <x v="2"/>
    <s v="EE_Industry"/>
    <x v="4"/>
    <x v="3"/>
    <s v="GBPR_WOODCHIPS"/>
    <x v="10"/>
    <x v="8"/>
    <n v="6.5"/>
    <n v="395.41666666666703"/>
    <n v="1423.5"/>
  </r>
  <r>
    <x v="0"/>
    <x v="0"/>
    <x v="0"/>
    <x v="1"/>
    <x v="2"/>
    <s v="EE_Industry"/>
    <x v="4"/>
    <x v="3"/>
    <s v="GBPR_WOODCHIPS"/>
    <x v="10"/>
    <x v="9"/>
    <n v="6.5"/>
    <n v="395.41666666666703"/>
    <n v="1423.5"/>
  </r>
  <r>
    <x v="0"/>
    <x v="0"/>
    <x v="0"/>
    <x v="1"/>
    <x v="2"/>
    <s v="EE_Industry"/>
    <x v="4"/>
    <x v="3"/>
    <s v="GBPR_WOODCHIPS"/>
    <x v="10"/>
    <x v="10"/>
    <n v="6.5"/>
    <n v="395.41666666666703"/>
    <n v="1423.5"/>
  </r>
  <r>
    <x v="0"/>
    <x v="0"/>
    <x v="0"/>
    <x v="1"/>
    <x v="2"/>
    <s v="EE_Industry"/>
    <x v="4"/>
    <x v="3"/>
    <s v="GBPR_WOODCHIPS"/>
    <x v="10"/>
    <x v="11"/>
    <n v="6.5"/>
    <n v="395.41666666666703"/>
    <n v="1423.5"/>
  </r>
  <r>
    <x v="0"/>
    <x v="0"/>
    <x v="0"/>
    <x v="1"/>
    <x v="2"/>
    <s v="EE_Industry"/>
    <x v="4"/>
    <x v="3"/>
    <s v="GBPR_WOODCHIPS"/>
    <x v="11"/>
    <x v="0"/>
    <n v="6.5"/>
    <n v="395.41666666666703"/>
    <n v="1423.5"/>
  </r>
  <r>
    <x v="0"/>
    <x v="0"/>
    <x v="0"/>
    <x v="1"/>
    <x v="2"/>
    <s v="EE_Industry"/>
    <x v="4"/>
    <x v="3"/>
    <s v="GBPR_WOODCHIPS"/>
    <x v="11"/>
    <x v="1"/>
    <n v="6.5"/>
    <n v="395.41666666666703"/>
    <n v="1423.5"/>
  </r>
  <r>
    <x v="0"/>
    <x v="0"/>
    <x v="0"/>
    <x v="1"/>
    <x v="2"/>
    <s v="EE_Industry"/>
    <x v="4"/>
    <x v="3"/>
    <s v="GBPR_WOODCHIPS"/>
    <x v="11"/>
    <x v="2"/>
    <n v="6.5"/>
    <n v="395.41666666666703"/>
    <n v="1423.5"/>
  </r>
  <r>
    <x v="0"/>
    <x v="0"/>
    <x v="0"/>
    <x v="1"/>
    <x v="2"/>
    <s v="EE_Industry"/>
    <x v="4"/>
    <x v="3"/>
    <s v="GBPR_WOODCHIPS"/>
    <x v="11"/>
    <x v="3"/>
    <n v="6.5"/>
    <n v="395.41666666666703"/>
    <n v="1423.5"/>
  </r>
  <r>
    <x v="0"/>
    <x v="0"/>
    <x v="0"/>
    <x v="1"/>
    <x v="2"/>
    <s v="EE_Industry"/>
    <x v="4"/>
    <x v="3"/>
    <s v="GBPR_WOODCHIPS"/>
    <x v="11"/>
    <x v="4"/>
    <n v="6.5"/>
    <n v="395.41666666666703"/>
    <n v="1423.5"/>
  </r>
  <r>
    <x v="0"/>
    <x v="0"/>
    <x v="0"/>
    <x v="1"/>
    <x v="2"/>
    <s v="EE_Industry"/>
    <x v="4"/>
    <x v="3"/>
    <s v="GBPR_WOODCHIPS"/>
    <x v="11"/>
    <x v="5"/>
    <n v="6.5"/>
    <n v="395.41666666666703"/>
    <n v="1423.5"/>
  </r>
  <r>
    <x v="0"/>
    <x v="0"/>
    <x v="0"/>
    <x v="1"/>
    <x v="2"/>
    <s v="EE_Industry"/>
    <x v="4"/>
    <x v="3"/>
    <s v="GBPR_WOODCHIPS"/>
    <x v="11"/>
    <x v="6"/>
    <n v="6.5"/>
    <n v="395.41666666666703"/>
    <n v="1423.5"/>
  </r>
  <r>
    <x v="0"/>
    <x v="0"/>
    <x v="0"/>
    <x v="1"/>
    <x v="2"/>
    <s v="EE_Industry"/>
    <x v="4"/>
    <x v="3"/>
    <s v="GBPR_WOODCHIPS"/>
    <x v="11"/>
    <x v="7"/>
    <n v="6.5"/>
    <n v="395.41666666666703"/>
    <n v="1423.5"/>
  </r>
  <r>
    <x v="0"/>
    <x v="0"/>
    <x v="0"/>
    <x v="1"/>
    <x v="2"/>
    <s v="EE_Industry"/>
    <x v="4"/>
    <x v="3"/>
    <s v="GBPR_WOODCHIPS"/>
    <x v="11"/>
    <x v="8"/>
    <n v="6.5"/>
    <n v="395.41666666666703"/>
    <n v="1423.5"/>
  </r>
  <r>
    <x v="0"/>
    <x v="0"/>
    <x v="0"/>
    <x v="1"/>
    <x v="2"/>
    <s v="EE_Industry"/>
    <x v="4"/>
    <x v="3"/>
    <s v="GBPR_WOODCHIPS"/>
    <x v="11"/>
    <x v="9"/>
    <n v="6.5"/>
    <n v="395.41666666666703"/>
    <n v="1423.5"/>
  </r>
  <r>
    <x v="0"/>
    <x v="0"/>
    <x v="0"/>
    <x v="1"/>
    <x v="2"/>
    <s v="EE_Industry"/>
    <x v="4"/>
    <x v="3"/>
    <s v="GBPR_WOODCHIPS"/>
    <x v="11"/>
    <x v="10"/>
    <n v="6.5"/>
    <n v="395.41666666666703"/>
    <n v="1423.5"/>
  </r>
  <r>
    <x v="0"/>
    <x v="0"/>
    <x v="0"/>
    <x v="1"/>
    <x v="2"/>
    <s v="EE_Industry"/>
    <x v="4"/>
    <x v="3"/>
    <s v="GBPR_WOODCHIPS"/>
    <x v="11"/>
    <x v="11"/>
    <n v="6.5"/>
    <n v="395.41666666666703"/>
    <n v="1423.5"/>
  </r>
  <r>
    <x v="0"/>
    <x v="0"/>
    <x v="0"/>
    <x v="1"/>
    <x v="2"/>
    <s v="EE_Kohtla_Jarve"/>
    <x v="5"/>
    <x v="4"/>
    <s v="GEXT_RETORTGAS"/>
    <x v="0"/>
    <x v="0"/>
    <n v="15"/>
    <n v="912.5"/>
    <n v="3285"/>
  </r>
  <r>
    <x v="0"/>
    <x v="0"/>
    <x v="0"/>
    <x v="1"/>
    <x v="2"/>
    <s v="EE_Kohtla_Jarve"/>
    <x v="5"/>
    <x v="4"/>
    <s v="GEXT_RETORTGAS"/>
    <x v="0"/>
    <x v="1"/>
    <n v="15"/>
    <n v="912.5"/>
    <n v="3285"/>
  </r>
  <r>
    <x v="0"/>
    <x v="0"/>
    <x v="0"/>
    <x v="1"/>
    <x v="2"/>
    <s v="EE_Kohtla_Jarve"/>
    <x v="5"/>
    <x v="4"/>
    <s v="GEXT_RETORTGAS"/>
    <x v="0"/>
    <x v="2"/>
    <n v="15"/>
    <n v="912.5"/>
    <n v="3285"/>
  </r>
  <r>
    <x v="0"/>
    <x v="0"/>
    <x v="0"/>
    <x v="1"/>
    <x v="2"/>
    <s v="EE_Kohtla_Jarve"/>
    <x v="5"/>
    <x v="4"/>
    <s v="GEXT_RETORTGAS"/>
    <x v="0"/>
    <x v="3"/>
    <n v="15"/>
    <n v="912.5"/>
    <n v="3285"/>
  </r>
  <r>
    <x v="0"/>
    <x v="0"/>
    <x v="0"/>
    <x v="1"/>
    <x v="2"/>
    <s v="EE_Kohtla_Jarve"/>
    <x v="5"/>
    <x v="4"/>
    <s v="GEXT_RETORTGAS"/>
    <x v="0"/>
    <x v="4"/>
    <n v="15"/>
    <n v="912.5"/>
    <n v="3285"/>
  </r>
  <r>
    <x v="0"/>
    <x v="0"/>
    <x v="0"/>
    <x v="1"/>
    <x v="2"/>
    <s v="EE_Kohtla_Jarve"/>
    <x v="5"/>
    <x v="4"/>
    <s v="GEXT_RETORTGAS"/>
    <x v="0"/>
    <x v="5"/>
    <n v="15"/>
    <n v="912.5"/>
    <n v="3285"/>
  </r>
  <r>
    <x v="0"/>
    <x v="0"/>
    <x v="0"/>
    <x v="1"/>
    <x v="2"/>
    <s v="EE_Kohtla_Jarve"/>
    <x v="5"/>
    <x v="4"/>
    <s v="GEXT_RETORTGAS"/>
    <x v="0"/>
    <x v="6"/>
    <n v="15"/>
    <n v="912.5"/>
    <n v="3285"/>
  </r>
  <r>
    <x v="0"/>
    <x v="0"/>
    <x v="0"/>
    <x v="1"/>
    <x v="2"/>
    <s v="EE_Kohtla_Jarve"/>
    <x v="5"/>
    <x v="4"/>
    <s v="GEXT_RETORTGAS"/>
    <x v="0"/>
    <x v="7"/>
    <n v="15"/>
    <n v="912.5"/>
    <n v="3285"/>
  </r>
  <r>
    <x v="0"/>
    <x v="0"/>
    <x v="0"/>
    <x v="1"/>
    <x v="2"/>
    <s v="EE_Kohtla_Jarve"/>
    <x v="5"/>
    <x v="4"/>
    <s v="GEXT_RETORTGAS"/>
    <x v="0"/>
    <x v="8"/>
    <n v="15"/>
    <n v="912.5"/>
    <n v="3285"/>
  </r>
  <r>
    <x v="0"/>
    <x v="0"/>
    <x v="0"/>
    <x v="1"/>
    <x v="2"/>
    <s v="EE_Kohtla_Jarve"/>
    <x v="5"/>
    <x v="4"/>
    <s v="GEXT_RETORTGAS"/>
    <x v="0"/>
    <x v="9"/>
    <n v="15"/>
    <n v="912.5"/>
    <n v="3285"/>
  </r>
  <r>
    <x v="0"/>
    <x v="0"/>
    <x v="0"/>
    <x v="1"/>
    <x v="2"/>
    <s v="EE_Kohtla_Jarve"/>
    <x v="5"/>
    <x v="4"/>
    <s v="GEXT_RETORTGAS"/>
    <x v="0"/>
    <x v="10"/>
    <n v="15"/>
    <n v="912.5"/>
    <n v="3285"/>
  </r>
  <r>
    <x v="0"/>
    <x v="0"/>
    <x v="0"/>
    <x v="1"/>
    <x v="2"/>
    <s v="EE_Kohtla_Jarve"/>
    <x v="5"/>
    <x v="4"/>
    <s v="GEXT_RETORTGAS"/>
    <x v="0"/>
    <x v="11"/>
    <n v="15"/>
    <n v="912.5"/>
    <n v="3285"/>
  </r>
  <r>
    <x v="0"/>
    <x v="0"/>
    <x v="0"/>
    <x v="1"/>
    <x v="2"/>
    <s v="EE_Kohtla_Jarve"/>
    <x v="5"/>
    <x v="4"/>
    <s v="GEXT_RETORTGAS"/>
    <x v="1"/>
    <x v="0"/>
    <n v="15"/>
    <n v="912.5"/>
    <n v="3285"/>
  </r>
  <r>
    <x v="0"/>
    <x v="0"/>
    <x v="0"/>
    <x v="1"/>
    <x v="2"/>
    <s v="EE_Kohtla_Jarve"/>
    <x v="5"/>
    <x v="4"/>
    <s v="GEXT_RETORTGAS"/>
    <x v="1"/>
    <x v="1"/>
    <n v="15"/>
    <n v="912.5"/>
    <n v="3285"/>
  </r>
  <r>
    <x v="0"/>
    <x v="0"/>
    <x v="0"/>
    <x v="1"/>
    <x v="2"/>
    <s v="EE_Kohtla_Jarve"/>
    <x v="5"/>
    <x v="4"/>
    <s v="GEXT_RETORTGAS"/>
    <x v="1"/>
    <x v="2"/>
    <n v="15"/>
    <n v="912.5"/>
    <n v="3285"/>
  </r>
  <r>
    <x v="0"/>
    <x v="0"/>
    <x v="0"/>
    <x v="1"/>
    <x v="2"/>
    <s v="EE_Kohtla_Jarve"/>
    <x v="5"/>
    <x v="4"/>
    <s v="GEXT_RETORTGAS"/>
    <x v="1"/>
    <x v="3"/>
    <n v="15"/>
    <n v="912.5"/>
    <n v="3285"/>
  </r>
  <r>
    <x v="0"/>
    <x v="0"/>
    <x v="0"/>
    <x v="1"/>
    <x v="2"/>
    <s v="EE_Kohtla_Jarve"/>
    <x v="5"/>
    <x v="4"/>
    <s v="GEXT_RETORTGAS"/>
    <x v="1"/>
    <x v="4"/>
    <n v="15"/>
    <n v="912.5"/>
    <n v="3285"/>
  </r>
  <r>
    <x v="0"/>
    <x v="0"/>
    <x v="0"/>
    <x v="1"/>
    <x v="2"/>
    <s v="EE_Kohtla_Jarve"/>
    <x v="5"/>
    <x v="4"/>
    <s v="GEXT_RETORTGAS"/>
    <x v="1"/>
    <x v="5"/>
    <n v="15"/>
    <n v="912.5"/>
    <n v="3285"/>
  </r>
  <r>
    <x v="0"/>
    <x v="0"/>
    <x v="0"/>
    <x v="1"/>
    <x v="2"/>
    <s v="EE_Kohtla_Jarve"/>
    <x v="5"/>
    <x v="4"/>
    <s v="GEXT_RETORTGAS"/>
    <x v="1"/>
    <x v="6"/>
    <n v="15"/>
    <n v="912.5"/>
    <n v="3285"/>
  </r>
  <r>
    <x v="0"/>
    <x v="0"/>
    <x v="0"/>
    <x v="1"/>
    <x v="2"/>
    <s v="EE_Kohtla_Jarve"/>
    <x v="5"/>
    <x v="4"/>
    <s v="GEXT_RETORTGAS"/>
    <x v="1"/>
    <x v="7"/>
    <n v="15"/>
    <n v="912.5"/>
    <n v="3285"/>
  </r>
  <r>
    <x v="0"/>
    <x v="0"/>
    <x v="0"/>
    <x v="1"/>
    <x v="2"/>
    <s v="EE_Kohtla_Jarve"/>
    <x v="5"/>
    <x v="4"/>
    <s v="GEXT_RETORTGAS"/>
    <x v="1"/>
    <x v="8"/>
    <n v="15"/>
    <n v="912.5"/>
    <n v="3285"/>
  </r>
  <r>
    <x v="0"/>
    <x v="0"/>
    <x v="0"/>
    <x v="1"/>
    <x v="2"/>
    <s v="EE_Kohtla_Jarve"/>
    <x v="5"/>
    <x v="4"/>
    <s v="GEXT_RETORTGAS"/>
    <x v="1"/>
    <x v="9"/>
    <n v="15"/>
    <n v="912.5"/>
    <n v="3285"/>
  </r>
  <r>
    <x v="0"/>
    <x v="0"/>
    <x v="0"/>
    <x v="1"/>
    <x v="2"/>
    <s v="EE_Kohtla_Jarve"/>
    <x v="5"/>
    <x v="4"/>
    <s v="GEXT_RETORTGAS"/>
    <x v="1"/>
    <x v="10"/>
    <n v="15"/>
    <n v="912.5"/>
    <n v="3285"/>
  </r>
  <r>
    <x v="0"/>
    <x v="0"/>
    <x v="0"/>
    <x v="1"/>
    <x v="2"/>
    <s v="EE_Kohtla_Jarve"/>
    <x v="5"/>
    <x v="4"/>
    <s v="GEXT_RETORTGAS"/>
    <x v="1"/>
    <x v="11"/>
    <n v="15"/>
    <n v="912.5"/>
    <n v="3285"/>
  </r>
  <r>
    <x v="0"/>
    <x v="0"/>
    <x v="0"/>
    <x v="1"/>
    <x v="2"/>
    <s v="EE_Kohtla_Jarve"/>
    <x v="5"/>
    <x v="4"/>
    <s v="GEXT_RETORTGAS"/>
    <x v="2"/>
    <x v="0"/>
    <n v="15"/>
    <n v="912.5"/>
    <n v="3285"/>
  </r>
  <r>
    <x v="0"/>
    <x v="0"/>
    <x v="0"/>
    <x v="1"/>
    <x v="2"/>
    <s v="EE_Kohtla_Jarve"/>
    <x v="5"/>
    <x v="4"/>
    <s v="GEXT_RETORTGAS"/>
    <x v="2"/>
    <x v="1"/>
    <n v="15"/>
    <n v="912.5"/>
    <n v="3285"/>
  </r>
  <r>
    <x v="0"/>
    <x v="0"/>
    <x v="0"/>
    <x v="1"/>
    <x v="2"/>
    <s v="EE_Kohtla_Jarve"/>
    <x v="5"/>
    <x v="4"/>
    <s v="GEXT_RETORTGAS"/>
    <x v="2"/>
    <x v="2"/>
    <n v="15"/>
    <n v="912.5"/>
    <n v="3285"/>
  </r>
  <r>
    <x v="0"/>
    <x v="0"/>
    <x v="0"/>
    <x v="1"/>
    <x v="2"/>
    <s v="EE_Kohtla_Jarve"/>
    <x v="5"/>
    <x v="4"/>
    <s v="GEXT_RETORTGAS"/>
    <x v="2"/>
    <x v="3"/>
    <n v="15"/>
    <n v="912.5"/>
    <n v="3285"/>
  </r>
  <r>
    <x v="0"/>
    <x v="0"/>
    <x v="0"/>
    <x v="1"/>
    <x v="2"/>
    <s v="EE_Kohtla_Jarve"/>
    <x v="5"/>
    <x v="4"/>
    <s v="GEXT_RETORTGAS"/>
    <x v="2"/>
    <x v="4"/>
    <n v="15"/>
    <n v="912.5"/>
    <n v="3285"/>
  </r>
  <r>
    <x v="0"/>
    <x v="0"/>
    <x v="0"/>
    <x v="1"/>
    <x v="2"/>
    <s v="EE_Kohtla_Jarve"/>
    <x v="5"/>
    <x v="4"/>
    <s v="GEXT_RETORTGAS"/>
    <x v="2"/>
    <x v="5"/>
    <n v="15"/>
    <n v="912.5"/>
    <n v="3285"/>
  </r>
  <r>
    <x v="0"/>
    <x v="0"/>
    <x v="0"/>
    <x v="1"/>
    <x v="2"/>
    <s v="EE_Kohtla_Jarve"/>
    <x v="5"/>
    <x v="4"/>
    <s v="GEXT_RETORTGAS"/>
    <x v="2"/>
    <x v="6"/>
    <n v="15"/>
    <n v="912.5"/>
    <n v="3285"/>
  </r>
  <r>
    <x v="0"/>
    <x v="0"/>
    <x v="0"/>
    <x v="1"/>
    <x v="2"/>
    <s v="EE_Kohtla_Jarve"/>
    <x v="5"/>
    <x v="4"/>
    <s v="GEXT_RETORTGAS"/>
    <x v="2"/>
    <x v="7"/>
    <n v="15"/>
    <n v="912.5"/>
    <n v="3285"/>
  </r>
  <r>
    <x v="0"/>
    <x v="0"/>
    <x v="0"/>
    <x v="1"/>
    <x v="2"/>
    <s v="EE_Kohtla_Jarve"/>
    <x v="5"/>
    <x v="4"/>
    <s v="GEXT_RETORTGAS"/>
    <x v="2"/>
    <x v="8"/>
    <n v="15"/>
    <n v="912.5"/>
    <n v="3285"/>
  </r>
  <r>
    <x v="0"/>
    <x v="0"/>
    <x v="0"/>
    <x v="1"/>
    <x v="2"/>
    <s v="EE_Kohtla_Jarve"/>
    <x v="5"/>
    <x v="4"/>
    <s v="GEXT_RETORTGAS"/>
    <x v="2"/>
    <x v="9"/>
    <n v="15"/>
    <n v="912.5"/>
    <n v="3285"/>
  </r>
  <r>
    <x v="0"/>
    <x v="0"/>
    <x v="0"/>
    <x v="1"/>
    <x v="2"/>
    <s v="EE_Kohtla_Jarve"/>
    <x v="5"/>
    <x v="4"/>
    <s v="GEXT_RETORTGAS"/>
    <x v="2"/>
    <x v="10"/>
    <n v="15"/>
    <n v="912.5"/>
    <n v="3285"/>
  </r>
  <r>
    <x v="0"/>
    <x v="0"/>
    <x v="0"/>
    <x v="1"/>
    <x v="2"/>
    <s v="EE_Kohtla_Jarve"/>
    <x v="5"/>
    <x v="4"/>
    <s v="GEXT_RETORTGAS"/>
    <x v="2"/>
    <x v="11"/>
    <n v="15"/>
    <n v="912.5"/>
    <n v="3285"/>
  </r>
  <r>
    <x v="0"/>
    <x v="0"/>
    <x v="0"/>
    <x v="1"/>
    <x v="2"/>
    <s v="EE_Kohtla_Jarve"/>
    <x v="5"/>
    <x v="4"/>
    <s v="GEXT_RETORTGAS"/>
    <x v="3"/>
    <x v="0"/>
    <n v="15"/>
    <n v="912.5"/>
    <n v="3285"/>
  </r>
  <r>
    <x v="0"/>
    <x v="0"/>
    <x v="0"/>
    <x v="1"/>
    <x v="2"/>
    <s v="EE_Kohtla_Jarve"/>
    <x v="5"/>
    <x v="4"/>
    <s v="GEXT_RETORTGAS"/>
    <x v="3"/>
    <x v="1"/>
    <n v="15"/>
    <n v="912.5"/>
    <n v="3285"/>
  </r>
  <r>
    <x v="0"/>
    <x v="0"/>
    <x v="0"/>
    <x v="1"/>
    <x v="2"/>
    <s v="EE_Kohtla_Jarve"/>
    <x v="5"/>
    <x v="4"/>
    <s v="GEXT_RETORTGAS"/>
    <x v="3"/>
    <x v="2"/>
    <n v="15"/>
    <n v="912.5"/>
    <n v="3285"/>
  </r>
  <r>
    <x v="0"/>
    <x v="0"/>
    <x v="0"/>
    <x v="1"/>
    <x v="2"/>
    <s v="EE_Kohtla_Jarve"/>
    <x v="5"/>
    <x v="4"/>
    <s v="GEXT_RETORTGAS"/>
    <x v="3"/>
    <x v="3"/>
    <n v="15"/>
    <n v="912.5"/>
    <n v="3285"/>
  </r>
  <r>
    <x v="0"/>
    <x v="0"/>
    <x v="0"/>
    <x v="1"/>
    <x v="2"/>
    <s v="EE_Kohtla_Jarve"/>
    <x v="5"/>
    <x v="4"/>
    <s v="GEXT_RETORTGAS"/>
    <x v="3"/>
    <x v="4"/>
    <n v="15"/>
    <n v="912.5"/>
    <n v="3285"/>
  </r>
  <r>
    <x v="0"/>
    <x v="0"/>
    <x v="0"/>
    <x v="1"/>
    <x v="2"/>
    <s v="EE_Kohtla_Jarve"/>
    <x v="5"/>
    <x v="4"/>
    <s v="GEXT_RETORTGAS"/>
    <x v="3"/>
    <x v="5"/>
    <n v="15"/>
    <n v="912.5"/>
    <n v="3285"/>
  </r>
  <r>
    <x v="0"/>
    <x v="0"/>
    <x v="0"/>
    <x v="1"/>
    <x v="2"/>
    <s v="EE_Kohtla_Jarve"/>
    <x v="5"/>
    <x v="4"/>
    <s v="GEXT_RETORTGAS"/>
    <x v="3"/>
    <x v="6"/>
    <n v="15"/>
    <n v="912.5"/>
    <n v="3285"/>
  </r>
  <r>
    <x v="0"/>
    <x v="0"/>
    <x v="0"/>
    <x v="1"/>
    <x v="2"/>
    <s v="EE_Kohtla_Jarve"/>
    <x v="5"/>
    <x v="4"/>
    <s v="GEXT_RETORTGAS"/>
    <x v="3"/>
    <x v="7"/>
    <n v="15"/>
    <n v="912.5"/>
    <n v="3285"/>
  </r>
  <r>
    <x v="0"/>
    <x v="0"/>
    <x v="0"/>
    <x v="1"/>
    <x v="2"/>
    <s v="EE_Kohtla_Jarve"/>
    <x v="5"/>
    <x v="4"/>
    <s v="GEXT_RETORTGAS"/>
    <x v="3"/>
    <x v="8"/>
    <n v="15"/>
    <n v="912.5"/>
    <n v="3285"/>
  </r>
  <r>
    <x v="0"/>
    <x v="0"/>
    <x v="0"/>
    <x v="1"/>
    <x v="2"/>
    <s v="EE_Kohtla_Jarve"/>
    <x v="5"/>
    <x v="4"/>
    <s v="GEXT_RETORTGAS"/>
    <x v="3"/>
    <x v="9"/>
    <n v="15"/>
    <n v="912.5"/>
    <n v="3285"/>
  </r>
  <r>
    <x v="0"/>
    <x v="0"/>
    <x v="0"/>
    <x v="1"/>
    <x v="2"/>
    <s v="EE_Kohtla_Jarve"/>
    <x v="5"/>
    <x v="4"/>
    <s v="GEXT_RETORTGAS"/>
    <x v="3"/>
    <x v="10"/>
    <n v="15"/>
    <n v="912.5"/>
    <n v="3285"/>
  </r>
  <r>
    <x v="0"/>
    <x v="0"/>
    <x v="0"/>
    <x v="1"/>
    <x v="2"/>
    <s v="EE_Kohtla_Jarve"/>
    <x v="5"/>
    <x v="4"/>
    <s v="GEXT_RETORTGAS"/>
    <x v="3"/>
    <x v="11"/>
    <n v="15"/>
    <n v="912.5"/>
    <n v="3285"/>
  </r>
  <r>
    <x v="0"/>
    <x v="0"/>
    <x v="0"/>
    <x v="1"/>
    <x v="2"/>
    <s v="EE_Kohtla_Jarve"/>
    <x v="5"/>
    <x v="4"/>
    <s v="GEXT_RETORTGAS"/>
    <x v="4"/>
    <x v="0"/>
    <n v="15"/>
    <n v="912.5"/>
    <n v="3285"/>
  </r>
  <r>
    <x v="0"/>
    <x v="0"/>
    <x v="0"/>
    <x v="1"/>
    <x v="2"/>
    <s v="EE_Kohtla_Jarve"/>
    <x v="5"/>
    <x v="4"/>
    <s v="GEXT_RETORTGAS"/>
    <x v="4"/>
    <x v="1"/>
    <n v="15"/>
    <n v="912.5"/>
    <n v="3285"/>
  </r>
  <r>
    <x v="0"/>
    <x v="0"/>
    <x v="0"/>
    <x v="1"/>
    <x v="2"/>
    <s v="EE_Kohtla_Jarve"/>
    <x v="5"/>
    <x v="4"/>
    <s v="GEXT_RETORTGAS"/>
    <x v="4"/>
    <x v="2"/>
    <n v="15"/>
    <n v="912.5"/>
    <n v="3285"/>
  </r>
  <r>
    <x v="0"/>
    <x v="0"/>
    <x v="0"/>
    <x v="1"/>
    <x v="2"/>
    <s v="EE_Kohtla_Jarve"/>
    <x v="5"/>
    <x v="4"/>
    <s v="GEXT_RETORTGAS"/>
    <x v="4"/>
    <x v="3"/>
    <n v="15"/>
    <n v="912.5"/>
    <n v="3285"/>
  </r>
  <r>
    <x v="0"/>
    <x v="0"/>
    <x v="0"/>
    <x v="1"/>
    <x v="2"/>
    <s v="EE_Kohtla_Jarve"/>
    <x v="5"/>
    <x v="4"/>
    <s v="GEXT_RETORTGAS"/>
    <x v="4"/>
    <x v="4"/>
    <n v="15"/>
    <n v="912.5"/>
    <n v="3285"/>
  </r>
  <r>
    <x v="0"/>
    <x v="0"/>
    <x v="0"/>
    <x v="1"/>
    <x v="2"/>
    <s v="EE_Kohtla_Jarve"/>
    <x v="5"/>
    <x v="4"/>
    <s v="GEXT_RETORTGAS"/>
    <x v="4"/>
    <x v="5"/>
    <n v="15"/>
    <n v="912.5"/>
    <n v="3285"/>
  </r>
  <r>
    <x v="0"/>
    <x v="0"/>
    <x v="0"/>
    <x v="1"/>
    <x v="2"/>
    <s v="EE_Kohtla_Jarve"/>
    <x v="5"/>
    <x v="4"/>
    <s v="GEXT_RETORTGAS"/>
    <x v="4"/>
    <x v="6"/>
    <n v="15"/>
    <n v="912.5"/>
    <n v="3285"/>
  </r>
  <r>
    <x v="0"/>
    <x v="0"/>
    <x v="0"/>
    <x v="1"/>
    <x v="2"/>
    <s v="EE_Kohtla_Jarve"/>
    <x v="5"/>
    <x v="4"/>
    <s v="GEXT_RETORTGAS"/>
    <x v="4"/>
    <x v="7"/>
    <n v="15"/>
    <n v="912.5"/>
    <n v="3285"/>
  </r>
  <r>
    <x v="0"/>
    <x v="0"/>
    <x v="0"/>
    <x v="1"/>
    <x v="2"/>
    <s v="EE_Kohtla_Jarve"/>
    <x v="5"/>
    <x v="4"/>
    <s v="GEXT_RETORTGAS"/>
    <x v="4"/>
    <x v="8"/>
    <n v="15"/>
    <n v="912.5"/>
    <n v="3285"/>
  </r>
  <r>
    <x v="0"/>
    <x v="0"/>
    <x v="0"/>
    <x v="1"/>
    <x v="2"/>
    <s v="EE_Kohtla_Jarve"/>
    <x v="5"/>
    <x v="4"/>
    <s v="GEXT_RETORTGAS"/>
    <x v="4"/>
    <x v="9"/>
    <n v="15"/>
    <n v="912.5"/>
    <n v="3285"/>
  </r>
  <r>
    <x v="0"/>
    <x v="0"/>
    <x v="0"/>
    <x v="1"/>
    <x v="2"/>
    <s v="EE_Kohtla_Jarve"/>
    <x v="5"/>
    <x v="4"/>
    <s v="GEXT_RETORTGAS"/>
    <x v="4"/>
    <x v="10"/>
    <n v="15"/>
    <n v="912.5"/>
    <n v="3285"/>
  </r>
  <r>
    <x v="0"/>
    <x v="0"/>
    <x v="0"/>
    <x v="1"/>
    <x v="2"/>
    <s v="EE_Kohtla_Jarve"/>
    <x v="5"/>
    <x v="4"/>
    <s v="GEXT_RETORTGAS"/>
    <x v="4"/>
    <x v="11"/>
    <n v="15"/>
    <n v="912.5"/>
    <n v="3285"/>
  </r>
  <r>
    <x v="0"/>
    <x v="0"/>
    <x v="0"/>
    <x v="1"/>
    <x v="2"/>
    <s v="EE_Kohtla_Jarve"/>
    <x v="5"/>
    <x v="4"/>
    <s v="GEXT_RETORTGAS"/>
    <x v="5"/>
    <x v="0"/>
    <n v="15"/>
    <n v="912.5"/>
    <n v="3285"/>
  </r>
  <r>
    <x v="0"/>
    <x v="0"/>
    <x v="0"/>
    <x v="1"/>
    <x v="2"/>
    <s v="EE_Kohtla_Jarve"/>
    <x v="5"/>
    <x v="4"/>
    <s v="GEXT_RETORTGAS"/>
    <x v="5"/>
    <x v="1"/>
    <n v="15"/>
    <n v="912.5"/>
    <n v="3285"/>
  </r>
  <r>
    <x v="0"/>
    <x v="0"/>
    <x v="0"/>
    <x v="1"/>
    <x v="2"/>
    <s v="EE_Kohtla_Jarve"/>
    <x v="5"/>
    <x v="4"/>
    <s v="GEXT_RETORTGAS"/>
    <x v="5"/>
    <x v="2"/>
    <n v="15"/>
    <n v="912.5"/>
    <n v="3285"/>
  </r>
  <r>
    <x v="0"/>
    <x v="0"/>
    <x v="0"/>
    <x v="1"/>
    <x v="2"/>
    <s v="EE_Kohtla_Jarve"/>
    <x v="5"/>
    <x v="4"/>
    <s v="GEXT_RETORTGAS"/>
    <x v="5"/>
    <x v="3"/>
    <n v="15"/>
    <n v="912.5"/>
    <n v="3285"/>
  </r>
  <r>
    <x v="0"/>
    <x v="0"/>
    <x v="0"/>
    <x v="1"/>
    <x v="2"/>
    <s v="EE_Kohtla_Jarve"/>
    <x v="5"/>
    <x v="4"/>
    <s v="GEXT_RETORTGAS"/>
    <x v="5"/>
    <x v="4"/>
    <n v="15"/>
    <n v="912.5"/>
    <n v="3285"/>
  </r>
  <r>
    <x v="0"/>
    <x v="0"/>
    <x v="0"/>
    <x v="1"/>
    <x v="2"/>
    <s v="EE_Kohtla_Jarve"/>
    <x v="5"/>
    <x v="4"/>
    <s v="GEXT_RETORTGAS"/>
    <x v="5"/>
    <x v="5"/>
    <n v="15"/>
    <n v="912.5"/>
    <n v="3285"/>
  </r>
  <r>
    <x v="0"/>
    <x v="0"/>
    <x v="0"/>
    <x v="1"/>
    <x v="2"/>
    <s v="EE_Kohtla_Jarve"/>
    <x v="5"/>
    <x v="4"/>
    <s v="GEXT_RETORTGAS"/>
    <x v="5"/>
    <x v="6"/>
    <n v="15"/>
    <n v="912.5"/>
    <n v="3285"/>
  </r>
  <r>
    <x v="0"/>
    <x v="0"/>
    <x v="0"/>
    <x v="1"/>
    <x v="2"/>
    <s v="EE_Kohtla_Jarve"/>
    <x v="5"/>
    <x v="4"/>
    <s v="GEXT_RETORTGAS"/>
    <x v="5"/>
    <x v="7"/>
    <n v="15"/>
    <n v="912.5"/>
    <n v="3285"/>
  </r>
  <r>
    <x v="0"/>
    <x v="0"/>
    <x v="0"/>
    <x v="1"/>
    <x v="2"/>
    <s v="EE_Kohtla_Jarve"/>
    <x v="5"/>
    <x v="4"/>
    <s v="GEXT_RETORTGAS"/>
    <x v="5"/>
    <x v="8"/>
    <n v="15"/>
    <n v="912.5"/>
    <n v="3285"/>
  </r>
  <r>
    <x v="0"/>
    <x v="0"/>
    <x v="0"/>
    <x v="1"/>
    <x v="2"/>
    <s v="EE_Kohtla_Jarve"/>
    <x v="5"/>
    <x v="4"/>
    <s v="GEXT_RETORTGAS"/>
    <x v="5"/>
    <x v="9"/>
    <n v="15"/>
    <n v="912.5"/>
    <n v="3285"/>
  </r>
  <r>
    <x v="0"/>
    <x v="0"/>
    <x v="0"/>
    <x v="1"/>
    <x v="2"/>
    <s v="EE_Kohtla_Jarve"/>
    <x v="5"/>
    <x v="4"/>
    <s v="GEXT_RETORTGAS"/>
    <x v="5"/>
    <x v="10"/>
    <n v="15"/>
    <n v="912.5"/>
    <n v="3285"/>
  </r>
  <r>
    <x v="0"/>
    <x v="0"/>
    <x v="0"/>
    <x v="1"/>
    <x v="2"/>
    <s v="EE_Kohtla_Jarve"/>
    <x v="5"/>
    <x v="4"/>
    <s v="GEXT_RETORTGAS"/>
    <x v="5"/>
    <x v="11"/>
    <n v="15"/>
    <n v="912.5"/>
    <n v="3285"/>
  </r>
  <r>
    <x v="0"/>
    <x v="0"/>
    <x v="0"/>
    <x v="1"/>
    <x v="2"/>
    <s v="EE_Kohtla_Jarve"/>
    <x v="5"/>
    <x v="4"/>
    <s v="GEXT_RETORTGAS"/>
    <x v="6"/>
    <x v="0"/>
    <n v="15"/>
    <n v="912.5"/>
    <n v="3285"/>
  </r>
  <r>
    <x v="0"/>
    <x v="0"/>
    <x v="0"/>
    <x v="1"/>
    <x v="2"/>
    <s v="EE_Kohtla_Jarve"/>
    <x v="5"/>
    <x v="4"/>
    <s v="GEXT_RETORTGAS"/>
    <x v="6"/>
    <x v="1"/>
    <n v="15"/>
    <n v="912.5"/>
    <n v="3285"/>
  </r>
  <r>
    <x v="0"/>
    <x v="0"/>
    <x v="0"/>
    <x v="1"/>
    <x v="2"/>
    <s v="EE_Kohtla_Jarve"/>
    <x v="5"/>
    <x v="4"/>
    <s v="GEXT_RETORTGAS"/>
    <x v="6"/>
    <x v="2"/>
    <n v="15"/>
    <n v="912.5"/>
    <n v="3285"/>
  </r>
  <r>
    <x v="0"/>
    <x v="0"/>
    <x v="0"/>
    <x v="1"/>
    <x v="2"/>
    <s v="EE_Kohtla_Jarve"/>
    <x v="5"/>
    <x v="4"/>
    <s v="GEXT_RETORTGAS"/>
    <x v="6"/>
    <x v="3"/>
    <n v="15"/>
    <n v="912.5"/>
    <n v="3285"/>
  </r>
  <r>
    <x v="0"/>
    <x v="0"/>
    <x v="0"/>
    <x v="1"/>
    <x v="2"/>
    <s v="EE_Kohtla_Jarve"/>
    <x v="5"/>
    <x v="4"/>
    <s v="GEXT_RETORTGAS"/>
    <x v="6"/>
    <x v="4"/>
    <n v="15"/>
    <n v="912.5"/>
    <n v="3285"/>
  </r>
  <r>
    <x v="0"/>
    <x v="0"/>
    <x v="0"/>
    <x v="1"/>
    <x v="2"/>
    <s v="EE_Kohtla_Jarve"/>
    <x v="5"/>
    <x v="4"/>
    <s v="GEXT_RETORTGAS"/>
    <x v="6"/>
    <x v="5"/>
    <n v="15"/>
    <n v="912.5"/>
    <n v="3285"/>
  </r>
  <r>
    <x v="0"/>
    <x v="0"/>
    <x v="0"/>
    <x v="1"/>
    <x v="2"/>
    <s v="EE_Kohtla_Jarve"/>
    <x v="5"/>
    <x v="4"/>
    <s v="GEXT_RETORTGAS"/>
    <x v="6"/>
    <x v="6"/>
    <n v="15"/>
    <n v="912.5"/>
    <n v="3285"/>
  </r>
  <r>
    <x v="0"/>
    <x v="0"/>
    <x v="0"/>
    <x v="1"/>
    <x v="2"/>
    <s v="EE_Kohtla_Jarve"/>
    <x v="5"/>
    <x v="4"/>
    <s v="GEXT_RETORTGAS"/>
    <x v="6"/>
    <x v="7"/>
    <n v="15"/>
    <n v="912.5"/>
    <n v="3285"/>
  </r>
  <r>
    <x v="0"/>
    <x v="0"/>
    <x v="0"/>
    <x v="1"/>
    <x v="2"/>
    <s v="EE_Kohtla_Jarve"/>
    <x v="5"/>
    <x v="4"/>
    <s v="GEXT_RETORTGAS"/>
    <x v="6"/>
    <x v="8"/>
    <n v="15"/>
    <n v="912.5"/>
    <n v="3285"/>
  </r>
  <r>
    <x v="0"/>
    <x v="0"/>
    <x v="0"/>
    <x v="1"/>
    <x v="2"/>
    <s v="EE_Kohtla_Jarve"/>
    <x v="5"/>
    <x v="4"/>
    <s v="GEXT_RETORTGAS"/>
    <x v="6"/>
    <x v="9"/>
    <n v="15"/>
    <n v="912.5"/>
    <n v="3285"/>
  </r>
  <r>
    <x v="0"/>
    <x v="0"/>
    <x v="0"/>
    <x v="1"/>
    <x v="2"/>
    <s v="EE_Kohtla_Jarve"/>
    <x v="5"/>
    <x v="4"/>
    <s v="GEXT_RETORTGAS"/>
    <x v="6"/>
    <x v="10"/>
    <n v="15"/>
    <n v="912.5"/>
    <n v="3285"/>
  </r>
  <r>
    <x v="0"/>
    <x v="0"/>
    <x v="0"/>
    <x v="1"/>
    <x v="2"/>
    <s v="EE_Kohtla_Jarve"/>
    <x v="5"/>
    <x v="4"/>
    <s v="GEXT_RETORTGAS"/>
    <x v="6"/>
    <x v="11"/>
    <n v="15"/>
    <n v="912.5"/>
    <n v="3285"/>
  </r>
  <r>
    <x v="0"/>
    <x v="0"/>
    <x v="0"/>
    <x v="1"/>
    <x v="2"/>
    <s v="EE_Kohtla_Jarve"/>
    <x v="5"/>
    <x v="4"/>
    <s v="GEXT_RETORTGAS"/>
    <x v="7"/>
    <x v="0"/>
    <n v="15"/>
    <n v="912.5"/>
    <n v="3285"/>
  </r>
  <r>
    <x v="0"/>
    <x v="0"/>
    <x v="0"/>
    <x v="1"/>
    <x v="2"/>
    <s v="EE_Kohtla_Jarve"/>
    <x v="5"/>
    <x v="4"/>
    <s v="GEXT_RETORTGAS"/>
    <x v="7"/>
    <x v="1"/>
    <n v="15"/>
    <n v="912.5"/>
    <n v="3285"/>
  </r>
  <r>
    <x v="0"/>
    <x v="0"/>
    <x v="0"/>
    <x v="1"/>
    <x v="2"/>
    <s v="EE_Kohtla_Jarve"/>
    <x v="5"/>
    <x v="4"/>
    <s v="GEXT_RETORTGAS"/>
    <x v="7"/>
    <x v="2"/>
    <n v="15"/>
    <n v="912.5"/>
    <n v="3285"/>
  </r>
  <r>
    <x v="0"/>
    <x v="0"/>
    <x v="0"/>
    <x v="1"/>
    <x v="2"/>
    <s v="EE_Kohtla_Jarve"/>
    <x v="5"/>
    <x v="4"/>
    <s v="GEXT_RETORTGAS"/>
    <x v="7"/>
    <x v="3"/>
    <n v="15"/>
    <n v="912.5"/>
    <n v="3285"/>
  </r>
  <r>
    <x v="0"/>
    <x v="0"/>
    <x v="0"/>
    <x v="1"/>
    <x v="2"/>
    <s v="EE_Kohtla_Jarve"/>
    <x v="5"/>
    <x v="4"/>
    <s v="GEXT_RETORTGAS"/>
    <x v="7"/>
    <x v="4"/>
    <n v="15"/>
    <n v="912.5"/>
    <n v="3285"/>
  </r>
  <r>
    <x v="0"/>
    <x v="0"/>
    <x v="0"/>
    <x v="1"/>
    <x v="2"/>
    <s v="EE_Kohtla_Jarve"/>
    <x v="5"/>
    <x v="4"/>
    <s v="GEXT_RETORTGAS"/>
    <x v="7"/>
    <x v="5"/>
    <n v="15"/>
    <n v="912.5"/>
    <n v="3285"/>
  </r>
  <r>
    <x v="0"/>
    <x v="0"/>
    <x v="0"/>
    <x v="1"/>
    <x v="2"/>
    <s v="EE_Kohtla_Jarve"/>
    <x v="5"/>
    <x v="4"/>
    <s v="GEXT_RETORTGAS"/>
    <x v="7"/>
    <x v="6"/>
    <n v="15"/>
    <n v="912.5"/>
    <n v="3285"/>
  </r>
  <r>
    <x v="0"/>
    <x v="0"/>
    <x v="0"/>
    <x v="1"/>
    <x v="2"/>
    <s v="EE_Kohtla_Jarve"/>
    <x v="5"/>
    <x v="4"/>
    <s v="GEXT_RETORTGAS"/>
    <x v="7"/>
    <x v="7"/>
    <n v="15"/>
    <n v="912.5"/>
    <n v="3285"/>
  </r>
  <r>
    <x v="0"/>
    <x v="0"/>
    <x v="0"/>
    <x v="1"/>
    <x v="2"/>
    <s v="EE_Kohtla_Jarve"/>
    <x v="5"/>
    <x v="4"/>
    <s v="GEXT_RETORTGAS"/>
    <x v="7"/>
    <x v="8"/>
    <n v="15"/>
    <n v="912.5"/>
    <n v="3285"/>
  </r>
  <r>
    <x v="0"/>
    <x v="0"/>
    <x v="0"/>
    <x v="1"/>
    <x v="2"/>
    <s v="EE_Kohtla_Jarve"/>
    <x v="5"/>
    <x v="4"/>
    <s v="GEXT_RETORTGAS"/>
    <x v="7"/>
    <x v="9"/>
    <n v="15"/>
    <n v="912.5"/>
    <n v="3285"/>
  </r>
  <r>
    <x v="0"/>
    <x v="0"/>
    <x v="0"/>
    <x v="1"/>
    <x v="2"/>
    <s v="EE_Kohtla_Jarve"/>
    <x v="5"/>
    <x v="4"/>
    <s v="GEXT_RETORTGAS"/>
    <x v="7"/>
    <x v="10"/>
    <n v="15"/>
    <n v="912.5"/>
    <n v="3285"/>
  </r>
  <r>
    <x v="0"/>
    <x v="0"/>
    <x v="0"/>
    <x v="1"/>
    <x v="2"/>
    <s v="EE_Kohtla_Jarve"/>
    <x v="5"/>
    <x v="4"/>
    <s v="GEXT_RETORTGAS"/>
    <x v="7"/>
    <x v="11"/>
    <n v="15"/>
    <n v="912.5"/>
    <n v="3285"/>
  </r>
  <r>
    <x v="0"/>
    <x v="0"/>
    <x v="0"/>
    <x v="1"/>
    <x v="2"/>
    <s v="EE_Kohtla_Jarve"/>
    <x v="5"/>
    <x v="4"/>
    <s v="GEXT_RETORTGAS"/>
    <x v="8"/>
    <x v="0"/>
    <n v="15"/>
    <n v="912.5"/>
    <n v="3285"/>
  </r>
  <r>
    <x v="0"/>
    <x v="0"/>
    <x v="0"/>
    <x v="1"/>
    <x v="2"/>
    <s v="EE_Kohtla_Jarve"/>
    <x v="5"/>
    <x v="4"/>
    <s v="GEXT_RETORTGAS"/>
    <x v="8"/>
    <x v="1"/>
    <n v="15"/>
    <n v="912.5"/>
    <n v="3285"/>
  </r>
  <r>
    <x v="0"/>
    <x v="0"/>
    <x v="0"/>
    <x v="1"/>
    <x v="2"/>
    <s v="EE_Kohtla_Jarve"/>
    <x v="5"/>
    <x v="4"/>
    <s v="GEXT_RETORTGAS"/>
    <x v="8"/>
    <x v="2"/>
    <n v="15"/>
    <n v="912.5"/>
    <n v="3285"/>
  </r>
  <r>
    <x v="0"/>
    <x v="0"/>
    <x v="0"/>
    <x v="1"/>
    <x v="2"/>
    <s v="EE_Kohtla_Jarve"/>
    <x v="5"/>
    <x v="4"/>
    <s v="GEXT_RETORTGAS"/>
    <x v="8"/>
    <x v="3"/>
    <n v="15"/>
    <n v="912.5"/>
    <n v="3285"/>
  </r>
  <r>
    <x v="0"/>
    <x v="0"/>
    <x v="0"/>
    <x v="1"/>
    <x v="2"/>
    <s v="EE_Kohtla_Jarve"/>
    <x v="5"/>
    <x v="4"/>
    <s v="GEXT_RETORTGAS"/>
    <x v="8"/>
    <x v="4"/>
    <n v="15"/>
    <n v="912.5"/>
    <n v="3285"/>
  </r>
  <r>
    <x v="0"/>
    <x v="0"/>
    <x v="0"/>
    <x v="1"/>
    <x v="2"/>
    <s v="EE_Kohtla_Jarve"/>
    <x v="5"/>
    <x v="4"/>
    <s v="GEXT_RETORTGAS"/>
    <x v="8"/>
    <x v="5"/>
    <n v="15"/>
    <n v="912.5"/>
    <n v="3285"/>
  </r>
  <r>
    <x v="0"/>
    <x v="0"/>
    <x v="0"/>
    <x v="1"/>
    <x v="2"/>
    <s v="EE_Kohtla_Jarve"/>
    <x v="5"/>
    <x v="4"/>
    <s v="GEXT_RETORTGAS"/>
    <x v="8"/>
    <x v="6"/>
    <n v="15"/>
    <n v="912.5"/>
    <n v="3285"/>
  </r>
  <r>
    <x v="0"/>
    <x v="0"/>
    <x v="0"/>
    <x v="1"/>
    <x v="2"/>
    <s v="EE_Kohtla_Jarve"/>
    <x v="5"/>
    <x v="4"/>
    <s v="GEXT_RETORTGAS"/>
    <x v="8"/>
    <x v="7"/>
    <n v="15"/>
    <n v="912.5"/>
    <n v="3285"/>
  </r>
  <r>
    <x v="0"/>
    <x v="0"/>
    <x v="0"/>
    <x v="1"/>
    <x v="2"/>
    <s v="EE_Kohtla_Jarve"/>
    <x v="5"/>
    <x v="4"/>
    <s v="GEXT_RETORTGAS"/>
    <x v="8"/>
    <x v="8"/>
    <n v="15"/>
    <n v="912.5"/>
    <n v="3285"/>
  </r>
  <r>
    <x v="0"/>
    <x v="0"/>
    <x v="0"/>
    <x v="1"/>
    <x v="2"/>
    <s v="EE_Kohtla_Jarve"/>
    <x v="5"/>
    <x v="4"/>
    <s v="GEXT_RETORTGAS"/>
    <x v="8"/>
    <x v="9"/>
    <n v="15"/>
    <n v="912.5"/>
    <n v="3285"/>
  </r>
  <r>
    <x v="0"/>
    <x v="0"/>
    <x v="0"/>
    <x v="1"/>
    <x v="2"/>
    <s v="EE_Kohtla_Jarve"/>
    <x v="5"/>
    <x v="4"/>
    <s v="GEXT_RETORTGAS"/>
    <x v="8"/>
    <x v="10"/>
    <n v="15"/>
    <n v="912.5"/>
    <n v="3285"/>
  </r>
  <r>
    <x v="0"/>
    <x v="0"/>
    <x v="0"/>
    <x v="1"/>
    <x v="2"/>
    <s v="EE_Kohtla_Jarve"/>
    <x v="5"/>
    <x v="4"/>
    <s v="GEXT_RETORTGAS"/>
    <x v="8"/>
    <x v="11"/>
    <n v="15"/>
    <n v="912.5"/>
    <n v="3285"/>
  </r>
  <r>
    <x v="0"/>
    <x v="0"/>
    <x v="0"/>
    <x v="1"/>
    <x v="2"/>
    <s v="EE_Kohtla_Jarve"/>
    <x v="5"/>
    <x v="4"/>
    <s v="GEXT_RETORTGAS"/>
    <x v="9"/>
    <x v="0"/>
    <n v="15"/>
    <n v="912.5"/>
    <n v="3285"/>
  </r>
  <r>
    <x v="0"/>
    <x v="0"/>
    <x v="0"/>
    <x v="1"/>
    <x v="2"/>
    <s v="EE_Kohtla_Jarve"/>
    <x v="5"/>
    <x v="4"/>
    <s v="GEXT_RETORTGAS"/>
    <x v="9"/>
    <x v="1"/>
    <n v="15"/>
    <n v="912.5"/>
    <n v="3285"/>
  </r>
  <r>
    <x v="0"/>
    <x v="0"/>
    <x v="0"/>
    <x v="1"/>
    <x v="2"/>
    <s v="EE_Kohtla_Jarve"/>
    <x v="5"/>
    <x v="4"/>
    <s v="GEXT_RETORTGAS"/>
    <x v="9"/>
    <x v="2"/>
    <n v="15"/>
    <n v="912.5"/>
    <n v="3285"/>
  </r>
  <r>
    <x v="0"/>
    <x v="0"/>
    <x v="0"/>
    <x v="1"/>
    <x v="2"/>
    <s v="EE_Kohtla_Jarve"/>
    <x v="5"/>
    <x v="4"/>
    <s v="GEXT_RETORTGAS"/>
    <x v="9"/>
    <x v="3"/>
    <n v="15"/>
    <n v="912.5"/>
    <n v="3285"/>
  </r>
  <r>
    <x v="0"/>
    <x v="0"/>
    <x v="0"/>
    <x v="1"/>
    <x v="2"/>
    <s v="EE_Kohtla_Jarve"/>
    <x v="5"/>
    <x v="4"/>
    <s v="GEXT_RETORTGAS"/>
    <x v="9"/>
    <x v="4"/>
    <n v="15"/>
    <n v="912.5"/>
    <n v="3285"/>
  </r>
  <r>
    <x v="0"/>
    <x v="0"/>
    <x v="0"/>
    <x v="1"/>
    <x v="2"/>
    <s v="EE_Kohtla_Jarve"/>
    <x v="5"/>
    <x v="4"/>
    <s v="GEXT_RETORTGAS"/>
    <x v="9"/>
    <x v="5"/>
    <n v="15"/>
    <n v="912.5"/>
    <n v="3285"/>
  </r>
  <r>
    <x v="0"/>
    <x v="0"/>
    <x v="0"/>
    <x v="1"/>
    <x v="2"/>
    <s v="EE_Kohtla_Jarve"/>
    <x v="5"/>
    <x v="4"/>
    <s v="GEXT_RETORTGAS"/>
    <x v="9"/>
    <x v="6"/>
    <n v="15"/>
    <n v="912.5"/>
    <n v="3285"/>
  </r>
  <r>
    <x v="0"/>
    <x v="0"/>
    <x v="0"/>
    <x v="1"/>
    <x v="2"/>
    <s v="EE_Kohtla_Jarve"/>
    <x v="5"/>
    <x v="4"/>
    <s v="GEXT_RETORTGAS"/>
    <x v="9"/>
    <x v="7"/>
    <n v="15"/>
    <n v="912.5"/>
    <n v="3285"/>
  </r>
  <r>
    <x v="0"/>
    <x v="0"/>
    <x v="0"/>
    <x v="1"/>
    <x v="2"/>
    <s v="EE_Kohtla_Jarve"/>
    <x v="5"/>
    <x v="4"/>
    <s v="GEXT_RETORTGAS"/>
    <x v="9"/>
    <x v="8"/>
    <n v="15"/>
    <n v="912.5"/>
    <n v="3285"/>
  </r>
  <r>
    <x v="0"/>
    <x v="0"/>
    <x v="0"/>
    <x v="1"/>
    <x v="2"/>
    <s v="EE_Kohtla_Jarve"/>
    <x v="5"/>
    <x v="4"/>
    <s v="GEXT_RETORTGAS"/>
    <x v="9"/>
    <x v="9"/>
    <n v="15"/>
    <n v="912.5"/>
    <n v="3285"/>
  </r>
  <r>
    <x v="0"/>
    <x v="0"/>
    <x v="0"/>
    <x v="1"/>
    <x v="2"/>
    <s v="EE_Kohtla_Jarve"/>
    <x v="5"/>
    <x v="4"/>
    <s v="GEXT_RETORTGAS"/>
    <x v="9"/>
    <x v="10"/>
    <n v="15"/>
    <n v="912.5"/>
    <n v="3285"/>
  </r>
  <r>
    <x v="0"/>
    <x v="0"/>
    <x v="0"/>
    <x v="1"/>
    <x v="2"/>
    <s v="EE_Kohtla_Jarve"/>
    <x v="5"/>
    <x v="4"/>
    <s v="GEXT_RETORTGAS"/>
    <x v="9"/>
    <x v="11"/>
    <n v="15"/>
    <n v="912.5"/>
    <n v="3285"/>
  </r>
  <r>
    <x v="0"/>
    <x v="0"/>
    <x v="0"/>
    <x v="1"/>
    <x v="2"/>
    <s v="EE_Kohtla_Jarve"/>
    <x v="5"/>
    <x v="4"/>
    <s v="GEXT_RETORTGAS"/>
    <x v="10"/>
    <x v="0"/>
    <n v="15"/>
    <n v="912.5"/>
    <n v="3285"/>
  </r>
  <r>
    <x v="0"/>
    <x v="0"/>
    <x v="0"/>
    <x v="1"/>
    <x v="2"/>
    <s v="EE_Kohtla_Jarve"/>
    <x v="5"/>
    <x v="4"/>
    <s v="GEXT_RETORTGAS"/>
    <x v="10"/>
    <x v="1"/>
    <n v="15"/>
    <n v="912.5"/>
    <n v="3285"/>
  </r>
  <r>
    <x v="0"/>
    <x v="0"/>
    <x v="0"/>
    <x v="1"/>
    <x v="2"/>
    <s v="EE_Kohtla_Jarve"/>
    <x v="5"/>
    <x v="4"/>
    <s v="GEXT_RETORTGAS"/>
    <x v="10"/>
    <x v="2"/>
    <n v="15"/>
    <n v="912.5"/>
    <n v="3285"/>
  </r>
  <r>
    <x v="0"/>
    <x v="0"/>
    <x v="0"/>
    <x v="1"/>
    <x v="2"/>
    <s v="EE_Kohtla_Jarve"/>
    <x v="5"/>
    <x v="4"/>
    <s v="GEXT_RETORTGAS"/>
    <x v="10"/>
    <x v="3"/>
    <n v="15"/>
    <n v="912.5"/>
    <n v="3285"/>
  </r>
  <r>
    <x v="0"/>
    <x v="0"/>
    <x v="0"/>
    <x v="1"/>
    <x v="2"/>
    <s v="EE_Kohtla_Jarve"/>
    <x v="5"/>
    <x v="4"/>
    <s v="GEXT_RETORTGAS"/>
    <x v="10"/>
    <x v="4"/>
    <n v="15"/>
    <n v="912.5"/>
    <n v="3285"/>
  </r>
  <r>
    <x v="0"/>
    <x v="0"/>
    <x v="0"/>
    <x v="1"/>
    <x v="2"/>
    <s v="EE_Kohtla_Jarve"/>
    <x v="5"/>
    <x v="4"/>
    <s v="GEXT_RETORTGAS"/>
    <x v="10"/>
    <x v="5"/>
    <n v="15"/>
    <n v="912.5"/>
    <n v="3285"/>
  </r>
  <r>
    <x v="0"/>
    <x v="0"/>
    <x v="0"/>
    <x v="1"/>
    <x v="2"/>
    <s v="EE_Kohtla_Jarve"/>
    <x v="5"/>
    <x v="4"/>
    <s v="GEXT_RETORTGAS"/>
    <x v="10"/>
    <x v="6"/>
    <n v="15"/>
    <n v="912.5"/>
    <n v="3285"/>
  </r>
  <r>
    <x v="0"/>
    <x v="0"/>
    <x v="0"/>
    <x v="1"/>
    <x v="2"/>
    <s v="EE_Kohtla_Jarve"/>
    <x v="5"/>
    <x v="4"/>
    <s v="GEXT_RETORTGAS"/>
    <x v="10"/>
    <x v="7"/>
    <n v="15"/>
    <n v="912.5"/>
    <n v="3285"/>
  </r>
  <r>
    <x v="0"/>
    <x v="0"/>
    <x v="0"/>
    <x v="1"/>
    <x v="2"/>
    <s v="EE_Kohtla_Jarve"/>
    <x v="5"/>
    <x v="4"/>
    <s v="GEXT_RETORTGAS"/>
    <x v="10"/>
    <x v="8"/>
    <n v="15"/>
    <n v="912.5"/>
    <n v="3285"/>
  </r>
  <r>
    <x v="0"/>
    <x v="0"/>
    <x v="0"/>
    <x v="1"/>
    <x v="2"/>
    <s v="EE_Kohtla_Jarve"/>
    <x v="5"/>
    <x v="4"/>
    <s v="GEXT_RETORTGAS"/>
    <x v="10"/>
    <x v="9"/>
    <n v="15"/>
    <n v="912.5"/>
    <n v="3285"/>
  </r>
  <r>
    <x v="0"/>
    <x v="0"/>
    <x v="0"/>
    <x v="1"/>
    <x v="2"/>
    <s v="EE_Kohtla_Jarve"/>
    <x v="5"/>
    <x v="4"/>
    <s v="GEXT_RETORTGAS"/>
    <x v="10"/>
    <x v="10"/>
    <n v="15"/>
    <n v="912.5"/>
    <n v="3285"/>
  </r>
  <r>
    <x v="0"/>
    <x v="0"/>
    <x v="0"/>
    <x v="1"/>
    <x v="2"/>
    <s v="EE_Kohtla_Jarve"/>
    <x v="5"/>
    <x v="4"/>
    <s v="GEXT_RETORTGAS"/>
    <x v="10"/>
    <x v="11"/>
    <n v="15"/>
    <n v="912.5"/>
    <n v="3285"/>
  </r>
  <r>
    <x v="0"/>
    <x v="0"/>
    <x v="0"/>
    <x v="1"/>
    <x v="2"/>
    <s v="EE_Kohtla_Jarve"/>
    <x v="5"/>
    <x v="4"/>
    <s v="GEXT_RETORTGAS"/>
    <x v="11"/>
    <x v="0"/>
    <n v="15"/>
    <n v="912.5"/>
    <n v="3285"/>
  </r>
  <r>
    <x v="0"/>
    <x v="0"/>
    <x v="0"/>
    <x v="1"/>
    <x v="2"/>
    <s v="EE_Kohtla_Jarve"/>
    <x v="5"/>
    <x v="4"/>
    <s v="GEXT_RETORTGAS"/>
    <x v="11"/>
    <x v="1"/>
    <n v="15"/>
    <n v="912.5"/>
    <n v="3285"/>
  </r>
  <r>
    <x v="0"/>
    <x v="0"/>
    <x v="0"/>
    <x v="1"/>
    <x v="2"/>
    <s v="EE_Kohtla_Jarve"/>
    <x v="5"/>
    <x v="4"/>
    <s v="GEXT_RETORTGAS"/>
    <x v="11"/>
    <x v="2"/>
    <n v="15"/>
    <n v="912.5"/>
    <n v="3285"/>
  </r>
  <r>
    <x v="0"/>
    <x v="0"/>
    <x v="0"/>
    <x v="1"/>
    <x v="2"/>
    <s v="EE_Kohtla_Jarve"/>
    <x v="5"/>
    <x v="4"/>
    <s v="GEXT_RETORTGAS"/>
    <x v="11"/>
    <x v="3"/>
    <n v="15"/>
    <n v="912.5"/>
    <n v="3285"/>
  </r>
  <r>
    <x v="0"/>
    <x v="0"/>
    <x v="0"/>
    <x v="1"/>
    <x v="2"/>
    <s v="EE_Kohtla_Jarve"/>
    <x v="5"/>
    <x v="4"/>
    <s v="GEXT_RETORTGAS"/>
    <x v="11"/>
    <x v="4"/>
    <n v="15"/>
    <n v="912.5"/>
    <n v="3285"/>
  </r>
  <r>
    <x v="0"/>
    <x v="0"/>
    <x v="0"/>
    <x v="1"/>
    <x v="2"/>
    <s v="EE_Kohtla_Jarve"/>
    <x v="5"/>
    <x v="4"/>
    <s v="GEXT_RETORTGAS"/>
    <x v="11"/>
    <x v="5"/>
    <n v="15"/>
    <n v="912.5"/>
    <n v="3285"/>
  </r>
  <r>
    <x v="0"/>
    <x v="0"/>
    <x v="0"/>
    <x v="1"/>
    <x v="2"/>
    <s v="EE_Kohtla_Jarve"/>
    <x v="5"/>
    <x v="4"/>
    <s v="GEXT_RETORTGAS"/>
    <x v="11"/>
    <x v="6"/>
    <n v="15"/>
    <n v="912.5"/>
    <n v="3285"/>
  </r>
  <r>
    <x v="0"/>
    <x v="0"/>
    <x v="0"/>
    <x v="1"/>
    <x v="2"/>
    <s v="EE_Kohtla_Jarve"/>
    <x v="5"/>
    <x v="4"/>
    <s v="GEXT_RETORTGAS"/>
    <x v="11"/>
    <x v="7"/>
    <n v="15"/>
    <n v="912.5"/>
    <n v="3285"/>
  </r>
  <r>
    <x v="0"/>
    <x v="0"/>
    <x v="0"/>
    <x v="1"/>
    <x v="2"/>
    <s v="EE_Kohtla_Jarve"/>
    <x v="5"/>
    <x v="4"/>
    <s v="GEXT_RETORTGAS"/>
    <x v="11"/>
    <x v="8"/>
    <n v="15"/>
    <n v="912.5"/>
    <n v="3285"/>
  </r>
  <r>
    <x v="0"/>
    <x v="0"/>
    <x v="0"/>
    <x v="1"/>
    <x v="2"/>
    <s v="EE_Kohtla_Jarve"/>
    <x v="5"/>
    <x v="4"/>
    <s v="GEXT_RETORTGAS"/>
    <x v="11"/>
    <x v="9"/>
    <n v="15"/>
    <n v="912.5"/>
    <n v="3285"/>
  </r>
  <r>
    <x v="0"/>
    <x v="0"/>
    <x v="0"/>
    <x v="1"/>
    <x v="2"/>
    <s v="EE_Kohtla_Jarve"/>
    <x v="5"/>
    <x v="4"/>
    <s v="GEXT_RETORTGAS"/>
    <x v="11"/>
    <x v="10"/>
    <n v="15"/>
    <n v="912.5"/>
    <n v="3285"/>
  </r>
  <r>
    <x v="0"/>
    <x v="0"/>
    <x v="0"/>
    <x v="1"/>
    <x v="2"/>
    <s v="EE_Kohtla_Jarve"/>
    <x v="5"/>
    <x v="4"/>
    <s v="GEXT_RETORTGAS"/>
    <x v="11"/>
    <x v="11"/>
    <n v="15"/>
    <n v="912.5"/>
    <n v="3285"/>
  </r>
  <r>
    <x v="0"/>
    <x v="0"/>
    <x v="0"/>
    <x v="1"/>
    <x v="2"/>
    <s v="EE_Narva"/>
    <x v="6"/>
    <x v="4"/>
    <s v="GEXT_SHALE_NARVA_TG11"/>
    <x v="0"/>
    <x v="0"/>
    <n v="185.59000210112299"/>
    <n v="11290.058461151601"/>
    <n v="40644.210460145798"/>
  </r>
  <r>
    <x v="0"/>
    <x v="0"/>
    <x v="0"/>
    <x v="1"/>
    <x v="2"/>
    <s v="EE_Narva"/>
    <x v="6"/>
    <x v="4"/>
    <s v="GEXT_SHALE_NARVA_TG11"/>
    <x v="0"/>
    <x v="1"/>
    <n v="185.59338111951899"/>
    <n v="11290.264018104101"/>
    <n v="40644.950465174799"/>
  </r>
  <r>
    <x v="0"/>
    <x v="0"/>
    <x v="0"/>
    <x v="1"/>
    <x v="2"/>
    <s v="EE_Narva"/>
    <x v="6"/>
    <x v="4"/>
    <s v="GEXT_SHALE_NARVA_TG11"/>
    <x v="0"/>
    <x v="2"/>
    <n v="185.59000210112299"/>
    <n v="11290.058461151601"/>
    <n v="40644.210460145798"/>
  </r>
  <r>
    <x v="0"/>
    <x v="0"/>
    <x v="0"/>
    <x v="1"/>
    <x v="2"/>
    <s v="EE_Narva"/>
    <x v="6"/>
    <x v="4"/>
    <s v="GEXT_SHALE_NARVA_TG11"/>
    <x v="0"/>
    <x v="3"/>
    <n v="185.58662308272599"/>
    <n v="11289.852904199101"/>
    <n v="40643.470455116898"/>
  </r>
  <r>
    <x v="0"/>
    <x v="0"/>
    <x v="0"/>
    <x v="1"/>
    <x v="2"/>
    <s v="EE_Narva"/>
    <x v="6"/>
    <x v="4"/>
    <s v="GEXT_SHALE_NARVA_TG11"/>
    <x v="0"/>
    <x v="4"/>
    <n v="185.58662308272599"/>
    <n v="11289.852904199101"/>
    <n v="40643.470455116898"/>
  </r>
  <r>
    <x v="0"/>
    <x v="0"/>
    <x v="0"/>
    <x v="1"/>
    <x v="2"/>
    <s v="EE_Narva"/>
    <x v="6"/>
    <x v="4"/>
    <s v="GEXT_SHALE_NARVA_TG11"/>
    <x v="0"/>
    <x v="5"/>
    <n v="185.59338111951899"/>
    <n v="11290.264018104101"/>
    <n v="40644.950465174799"/>
  </r>
  <r>
    <x v="0"/>
    <x v="0"/>
    <x v="0"/>
    <x v="1"/>
    <x v="2"/>
    <s v="EE_Narva"/>
    <x v="6"/>
    <x v="4"/>
    <s v="GEXT_SHALE_NARVA_TG11"/>
    <x v="0"/>
    <x v="6"/>
    <n v="185.60689719310699"/>
    <n v="11291.086245914001"/>
    <n v="40647.910485290398"/>
  </r>
  <r>
    <x v="0"/>
    <x v="0"/>
    <x v="0"/>
    <x v="1"/>
    <x v="2"/>
    <s v="EE_Narva"/>
    <x v="6"/>
    <x v="4"/>
    <s v="GEXT_SHALE_NARVA_TG11"/>
    <x v="0"/>
    <x v="7"/>
    <n v="185.61703424829801"/>
    <n v="11291.702916771401"/>
    <n v="40650.130500377199"/>
  </r>
  <r>
    <x v="0"/>
    <x v="0"/>
    <x v="0"/>
    <x v="1"/>
    <x v="2"/>
    <s v="EE_Narva"/>
    <x v="6"/>
    <x v="4"/>
    <s v="GEXT_SHALE_NARVA_TG11"/>
    <x v="0"/>
    <x v="8"/>
    <n v="185.58324406432899"/>
    <n v="11289.647347246701"/>
    <n v="40642.730450087998"/>
  </r>
  <r>
    <x v="0"/>
    <x v="0"/>
    <x v="0"/>
    <x v="1"/>
    <x v="2"/>
    <s v="EE_Narva"/>
    <x v="6"/>
    <x v="4"/>
    <s v="GEXT_SHALE_NARVA_TG11"/>
    <x v="0"/>
    <x v="9"/>
    <n v="185.53593780677201"/>
    <n v="11286.769549912"/>
    <n v="40632.370379683198"/>
  </r>
  <r>
    <x v="0"/>
    <x v="0"/>
    <x v="0"/>
    <x v="1"/>
    <x v="2"/>
    <s v="EE_Narva"/>
    <x v="6"/>
    <x v="4"/>
    <s v="GEXT_SHALE_NARVA_TG11"/>
    <x v="0"/>
    <x v="10"/>
    <n v="185.468357438835"/>
    <n v="11282.658410862499"/>
    <n v="40617.570279104897"/>
  </r>
  <r>
    <x v="0"/>
    <x v="0"/>
    <x v="0"/>
    <x v="1"/>
    <x v="2"/>
    <s v="EE_Narva"/>
    <x v="6"/>
    <x v="4"/>
    <s v="GEXT_SHALE_NARVA_TG11"/>
    <x v="0"/>
    <x v="11"/>
    <n v="185.38726099730999"/>
    <n v="11277.725044003"/>
    <n v="40599.810158410903"/>
  </r>
  <r>
    <x v="0"/>
    <x v="0"/>
    <x v="0"/>
    <x v="1"/>
    <x v="2"/>
    <s v="EE_Narva"/>
    <x v="6"/>
    <x v="4"/>
    <s v="GEXT_SHALE_NARVA_TG11"/>
    <x v="1"/>
    <x v="0"/>
    <n v="183.484873639868"/>
    <n v="11161.9964797586"/>
    <n v="40183.187327131003"/>
  </r>
  <r>
    <x v="0"/>
    <x v="0"/>
    <x v="0"/>
    <x v="1"/>
    <x v="2"/>
    <s v="EE_Narva"/>
    <x v="6"/>
    <x v="4"/>
    <s v="GEXT_SHALE_NARVA_TG11"/>
    <x v="1"/>
    <x v="1"/>
    <n v="183.43080934551801"/>
    <n v="11158.707568518999"/>
    <n v="40171.347246668302"/>
  </r>
  <r>
    <x v="0"/>
    <x v="0"/>
    <x v="0"/>
    <x v="1"/>
    <x v="2"/>
    <s v="EE_Narva"/>
    <x v="6"/>
    <x v="4"/>
    <s v="GEXT_SHALE_NARVA_TG11"/>
    <x v="1"/>
    <x v="2"/>
    <n v="183.41391425353299"/>
    <n v="11157.679783756599"/>
    <n v="40167.647221523803"/>
  </r>
  <r>
    <x v="0"/>
    <x v="0"/>
    <x v="0"/>
    <x v="1"/>
    <x v="2"/>
    <s v="EE_Narva"/>
    <x v="6"/>
    <x v="4"/>
    <s v="GEXT_SHALE_NARVA_TG11"/>
    <x v="1"/>
    <x v="3"/>
    <n v="183.46459952948601"/>
    <n v="11160.7631380438"/>
    <n v="40178.747296957503"/>
  </r>
  <r>
    <x v="0"/>
    <x v="0"/>
    <x v="0"/>
    <x v="1"/>
    <x v="2"/>
    <s v="EE_Narva"/>
    <x v="6"/>
    <x v="4"/>
    <s v="GEXT_SHALE_NARVA_TG11"/>
    <x v="1"/>
    <x v="4"/>
    <n v="183.576107136583"/>
    <n v="11167.546517475501"/>
    <n v="40203.167462911799"/>
  </r>
  <r>
    <x v="0"/>
    <x v="0"/>
    <x v="0"/>
    <x v="1"/>
    <x v="2"/>
    <s v="EE_Narva"/>
    <x v="6"/>
    <x v="4"/>
    <s v="GEXT_SHALE_NARVA_TG11"/>
    <x v="1"/>
    <x v="5"/>
    <n v="183.73830001963299"/>
    <n v="11177.413251194401"/>
    <n v="40238.6877042997"/>
  </r>
  <r>
    <x v="0"/>
    <x v="0"/>
    <x v="0"/>
    <x v="1"/>
    <x v="2"/>
    <s v="EE_Narva"/>
    <x v="6"/>
    <x v="4"/>
    <s v="GEXT_SHALE_NARVA_TG11"/>
    <x v="1"/>
    <x v="6"/>
    <n v="183.94442014184301"/>
    <n v="11189.952225295399"/>
    <n v="40283.828011063597"/>
  </r>
  <r>
    <x v="0"/>
    <x v="0"/>
    <x v="0"/>
    <x v="1"/>
    <x v="2"/>
    <s v="EE_Narva"/>
    <x v="6"/>
    <x v="4"/>
    <s v="GEXT_SHALE_NARVA_TG11"/>
    <x v="1"/>
    <x v="7"/>
    <n v="184.19784652160899"/>
    <n v="11205.3689967312"/>
    <n v="40339.328388232301"/>
  </r>
  <r>
    <x v="0"/>
    <x v="0"/>
    <x v="0"/>
    <x v="1"/>
    <x v="2"/>
    <s v="EE_Narva"/>
    <x v="6"/>
    <x v="4"/>
    <s v="GEXT_SHALE_NARVA_TG11"/>
    <x v="1"/>
    <x v="8"/>
    <n v="184.41748271740599"/>
    <n v="11218.730198642201"/>
    <n v="40387.428715111899"/>
  </r>
  <r>
    <x v="0"/>
    <x v="0"/>
    <x v="0"/>
    <x v="1"/>
    <x v="2"/>
    <s v="EE_Narva"/>
    <x v="6"/>
    <x v="4"/>
    <s v="GEXT_SHALE_NARVA_TG11"/>
    <x v="1"/>
    <x v="9"/>
    <n v="184.61684480282199"/>
    <n v="11230.858058838299"/>
    <n v="40431.089011818003"/>
  </r>
  <r>
    <x v="0"/>
    <x v="0"/>
    <x v="0"/>
    <x v="1"/>
    <x v="2"/>
    <s v="EE_Narva"/>
    <x v="6"/>
    <x v="4"/>
    <s v="GEXT_SHALE_NARVA_TG11"/>
    <x v="1"/>
    <x v="10"/>
    <n v="184.795932777856"/>
    <n v="11241.752577319599"/>
    <n v="40470.309278350498"/>
  </r>
  <r>
    <x v="0"/>
    <x v="0"/>
    <x v="0"/>
    <x v="1"/>
    <x v="2"/>
    <s v="EE_Narva"/>
    <x v="6"/>
    <x v="4"/>
    <s v="GEXT_SHALE_NARVA_TG11"/>
    <x v="1"/>
    <x v="11"/>
    <n v="184.94460958731901"/>
    <n v="11250.797083228599"/>
    <n v="40502.869499622801"/>
  </r>
  <r>
    <x v="0"/>
    <x v="0"/>
    <x v="0"/>
    <x v="1"/>
    <x v="2"/>
    <s v="EE_Narva"/>
    <x v="6"/>
    <x v="4"/>
    <s v="GEXT_SHALE_NARVA_TG11"/>
    <x v="2"/>
    <x v="0"/>
    <n v="185.21155204067199"/>
    <n v="11267.0360824742"/>
    <n v="40561.329896907198"/>
  </r>
  <r>
    <x v="0"/>
    <x v="0"/>
    <x v="0"/>
    <x v="1"/>
    <x v="2"/>
    <s v="EE_Narva"/>
    <x v="6"/>
    <x v="4"/>
    <s v="GEXT_SHALE_NARVA_TG11"/>
    <x v="2"/>
    <x v="1"/>
    <n v="185.20479400387799"/>
    <n v="11266.6249685693"/>
    <n v="40559.849886849399"/>
  </r>
  <r>
    <x v="0"/>
    <x v="0"/>
    <x v="0"/>
    <x v="1"/>
    <x v="2"/>
    <s v="EE_Narva"/>
    <x v="6"/>
    <x v="4"/>
    <s v="GEXT_SHALE_NARVA_TG11"/>
    <x v="2"/>
    <x v="2"/>
    <n v="185.19803596708499"/>
    <n v="11266.2138546643"/>
    <n v="40558.369876791599"/>
  </r>
  <r>
    <x v="0"/>
    <x v="0"/>
    <x v="0"/>
    <x v="1"/>
    <x v="2"/>
    <s v="EE_Narva"/>
    <x v="6"/>
    <x v="4"/>
    <s v="GEXT_SHALE_NARVA_TG11"/>
    <x v="2"/>
    <x v="3"/>
    <n v="185.1811408751"/>
    <n v="11265.1860699019"/>
    <n v="40554.669851646999"/>
  </r>
  <r>
    <x v="0"/>
    <x v="0"/>
    <x v="0"/>
    <x v="1"/>
    <x v="2"/>
    <s v="EE_Narva"/>
    <x v="6"/>
    <x v="4"/>
    <s v="GEXT_SHALE_NARVA_TG11"/>
    <x v="2"/>
    <x v="4"/>
    <n v="185.160866764719"/>
    <n v="11263.9527281871"/>
    <n v="40550.229821473498"/>
  </r>
  <r>
    <x v="0"/>
    <x v="0"/>
    <x v="0"/>
    <x v="1"/>
    <x v="2"/>
    <s v="EE_Narva"/>
    <x v="6"/>
    <x v="4"/>
    <s v="GEXT_SHALE_NARVA_TG11"/>
    <x v="2"/>
    <x v="5"/>
    <n v="185.13721363594101"/>
    <n v="11262.513829519699"/>
    <n v="40545.049786271098"/>
  </r>
  <r>
    <x v="0"/>
    <x v="0"/>
    <x v="0"/>
    <x v="1"/>
    <x v="2"/>
    <s v="EE_Narva"/>
    <x v="6"/>
    <x v="4"/>
    <s v="GEXT_SHALE_NARVA_TG11"/>
    <x v="2"/>
    <x v="6"/>
    <n v="185.10342345197199"/>
    <n v="11260.458259995001"/>
    <n v="40537.649735981897"/>
  </r>
  <r>
    <x v="0"/>
    <x v="0"/>
    <x v="0"/>
    <x v="1"/>
    <x v="2"/>
    <s v="EE_Narva"/>
    <x v="6"/>
    <x v="4"/>
    <s v="GEXT_SHALE_NARVA_TG11"/>
    <x v="2"/>
    <x v="7"/>
    <n v="185.076391304797"/>
    <n v="11258.813804375201"/>
    <n v="40531.729695750597"/>
  </r>
  <r>
    <x v="0"/>
    <x v="0"/>
    <x v="0"/>
    <x v="1"/>
    <x v="2"/>
    <s v="EE_Narva"/>
    <x v="6"/>
    <x v="4"/>
    <s v="GEXT_SHALE_NARVA_TG11"/>
    <x v="2"/>
    <x v="8"/>
    <n v="185.05273817601901"/>
    <n v="11257.3749057078"/>
    <n v="40526.549660548197"/>
  </r>
  <r>
    <x v="0"/>
    <x v="0"/>
    <x v="0"/>
    <x v="1"/>
    <x v="2"/>
    <s v="EE_Narva"/>
    <x v="6"/>
    <x v="4"/>
    <s v="GEXT_SHALE_NARVA_TG11"/>
    <x v="2"/>
    <x v="9"/>
    <n v="185.02232701044699"/>
    <n v="11255.5248931355"/>
    <n v="40519.889615287902"/>
  </r>
  <r>
    <x v="0"/>
    <x v="0"/>
    <x v="0"/>
    <x v="1"/>
    <x v="2"/>
    <s v="EE_Narva"/>
    <x v="6"/>
    <x v="4"/>
    <s v="GEXT_SHALE_NARVA_TG11"/>
    <x v="2"/>
    <x v="10"/>
    <n v="185.00881093685999"/>
    <n v="11254.7026653256"/>
    <n v="40516.929595172202"/>
  </r>
  <r>
    <x v="0"/>
    <x v="0"/>
    <x v="0"/>
    <x v="1"/>
    <x v="2"/>
    <s v="EE_Narva"/>
    <x v="6"/>
    <x v="4"/>
    <s v="GEXT_SHALE_NARVA_TG11"/>
    <x v="2"/>
    <x v="11"/>
    <n v="185.02908504724101"/>
    <n v="11255.9360070405"/>
    <n v="40521.369625345797"/>
  </r>
  <r>
    <x v="0"/>
    <x v="0"/>
    <x v="0"/>
    <x v="1"/>
    <x v="2"/>
    <s v="EE_Narva"/>
    <x v="6"/>
    <x v="4"/>
    <s v="GEXT_SHALE_NARVA_TG11"/>
    <x v="3"/>
    <x v="0"/>
    <n v="185.00205290006599"/>
    <n v="11254.2915514207"/>
    <n v="40515.449585114402"/>
  </r>
  <r>
    <x v="0"/>
    <x v="0"/>
    <x v="0"/>
    <x v="1"/>
    <x v="2"/>
    <s v="EE_Narva"/>
    <x v="6"/>
    <x v="4"/>
    <s v="GEXT_SHALE_NARVA_TG11"/>
    <x v="3"/>
    <x v="1"/>
    <n v="184.89392431136599"/>
    <n v="11247.7137289414"/>
    <n v="40491.7694241891"/>
  </r>
  <r>
    <x v="0"/>
    <x v="0"/>
    <x v="0"/>
    <x v="1"/>
    <x v="2"/>
    <s v="EE_Narva"/>
    <x v="6"/>
    <x v="4"/>
    <s v="GEXT_SHALE_NARVA_TG11"/>
    <x v="3"/>
    <x v="2"/>
    <n v="184.80606983304699"/>
    <n v="11242.369248176999"/>
    <n v="40472.529293437299"/>
  </r>
  <r>
    <x v="0"/>
    <x v="0"/>
    <x v="0"/>
    <x v="1"/>
    <x v="2"/>
    <s v="EE_Narva"/>
    <x v="6"/>
    <x v="4"/>
    <s v="GEXT_SHALE_NARVA_TG11"/>
    <x v="3"/>
    <x v="3"/>
    <n v="184.73173142831601"/>
    <n v="11237.8469952225"/>
    <n v="40456.249182801097"/>
  </r>
  <r>
    <x v="0"/>
    <x v="0"/>
    <x v="0"/>
    <x v="1"/>
    <x v="2"/>
    <s v="EE_Narva"/>
    <x v="6"/>
    <x v="4"/>
    <s v="GEXT_SHALE_NARVA_TG11"/>
    <x v="3"/>
    <x v="4"/>
    <n v="184.674288115569"/>
    <n v="11234.3525270304"/>
    <n v="40443.669097309503"/>
  </r>
  <r>
    <x v="0"/>
    <x v="0"/>
    <x v="0"/>
    <x v="1"/>
    <x v="2"/>
    <s v="EE_Narva"/>
    <x v="6"/>
    <x v="4"/>
    <s v="GEXT_SHALE_NARVA_TG11"/>
    <x v="3"/>
    <x v="5"/>
    <n v="184.65401400518701"/>
    <n v="11233.1191853156"/>
    <n v="40439.229067136002"/>
  </r>
  <r>
    <x v="0"/>
    <x v="0"/>
    <x v="0"/>
    <x v="1"/>
    <x v="2"/>
    <s v="EE_Narva"/>
    <x v="6"/>
    <x v="4"/>
    <s v="GEXT_SHALE_NARVA_TG11"/>
    <x v="3"/>
    <x v="6"/>
    <n v="184.65739302358401"/>
    <n v="11233.324742268"/>
    <n v="40439.969072164997"/>
  </r>
  <r>
    <x v="0"/>
    <x v="0"/>
    <x v="0"/>
    <x v="1"/>
    <x v="2"/>
    <s v="EE_Narva"/>
    <x v="6"/>
    <x v="4"/>
    <s v="GEXT_SHALE_NARVA_TG11"/>
    <x v="3"/>
    <x v="7"/>
    <n v="184.681046152362"/>
    <n v="11234.7636409354"/>
    <n v="40445.149107367397"/>
  </r>
  <r>
    <x v="0"/>
    <x v="0"/>
    <x v="0"/>
    <x v="1"/>
    <x v="2"/>
    <s v="EE_Narva"/>
    <x v="6"/>
    <x v="4"/>
    <s v="GEXT_SHALE_NARVA_TG11"/>
    <x v="3"/>
    <x v="8"/>
    <n v="184.71145731793399"/>
    <n v="11236.6136535077"/>
    <n v="40451.809152627597"/>
  </r>
  <r>
    <x v="0"/>
    <x v="0"/>
    <x v="0"/>
    <x v="1"/>
    <x v="2"/>
    <s v="EE_Narva"/>
    <x v="6"/>
    <x v="4"/>
    <s v="GEXT_SHALE_NARVA_TG11"/>
    <x v="3"/>
    <x v="9"/>
    <n v="184.75200553869701"/>
    <n v="11239.080336937401"/>
    <n v="40460.689212974597"/>
  </r>
  <r>
    <x v="0"/>
    <x v="0"/>
    <x v="0"/>
    <x v="1"/>
    <x v="2"/>
    <s v="EE_Narva"/>
    <x v="6"/>
    <x v="4"/>
    <s v="GEXT_SHALE_NARVA_TG11"/>
    <x v="3"/>
    <x v="10"/>
    <n v="184.79931179625299"/>
    <n v="11241.958134272099"/>
    <n v="40471.049283379398"/>
  </r>
  <r>
    <x v="0"/>
    <x v="0"/>
    <x v="0"/>
    <x v="1"/>
    <x v="2"/>
    <s v="EE_Narva"/>
    <x v="6"/>
    <x v="4"/>
    <s v="GEXT_SHALE_NARVA_TG11"/>
    <x v="3"/>
    <x v="11"/>
    <n v="184.84661805380901"/>
    <n v="11244.8359316067"/>
    <n v="40481.4093537843"/>
  </r>
  <r>
    <x v="0"/>
    <x v="0"/>
    <x v="0"/>
    <x v="1"/>
    <x v="2"/>
    <s v="EE_Narva"/>
    <x v="6"/>
    <x v="4"/>
    <s v="GEXT_SHALE_NARVA_TG11"/>
    <x v="4"/>
    <x v="0"/>
    <n v="182.46103106561401"/>
    <n v="11099.7127231582"/>
    <n v="39958.9658033694"/>
  </r>
  <r>
    <x v="0"/>
    <x v="0"/>
    <x v="0"/>
    <x v="1"/>
    <x v="2"/>
    <s v="EE_Narva"/>
    <x v="6"/>
    <x v="4"/>
    <s v="GEXT_SHALE_NARVA_TG11"/>
    <x v="4"/>
    <x v="1"/>
    <n v="182.45765204721701"/>
    <n v="11099.5071662057"/>
    <n v="39958.2257983405"/>
  </r>
  <r>
    <x v="0"/>
    <x v="0"/>
    <x v="0"/>
    <x v="1"/>
    <x v="2"/>
    <s v="EE_Narva"/>
    <x v="6"/>
    <x v="4"/>
    <s v="GEXT_SHALE_NARVA_TG11"/>
    <x v="4"/>
    <x v="2"/>
    <n v="182.521853396757"/>
    <n v="11103.4127483027"/>
    <n v="39972.285893889901"/>
  </r>
  <r>
    <x v="0"/>
    <x v="0"/>
    <x v="0"/>
    <x v="1"/>
    <x v="2"/>
    <s v="EE_Narva"/>
    <x v="6"/>
    <x v="4"/>
    <s v="GEXT_SHALE_NARVA_TG11"/>
    <x v="4"/>
    <x v="3"/>
    <n v="182.63336100385399"/>
    <n v="11110.1961277345"/>
    <n v="39996.706059844102"/>
  </r>
  <r>
    <x v="0"/>
    <x v="0"/>
    <x v="0"/>
    <x v="1"/>
    <x v="2"/>
    <s v="EE_Narva"/>
    <x v="6"/>
    <x v="4"/>
    <s v="GEXT_SHALE_NARVA_TG11"/>
    <x v="4"/>
    <x v="4"/>
    <n v="182.74824762934799"/>
    <n v="11117.185064118699"/>
    <n v="40021.866230827298"/>
  </r>
  <r>
    <x v="0"/>
    <x v="0"/>
    <x v="0"/>
    <x v="1"/>
    <x v="2"/>
    <s v="EE_Narva"/>
    <x v="6"/>
    <x v="4"/>
    <s v="GEXT_SHALE_NARVA_TG11"/>
    <x v="4"/>
    <x v="5"/>
    <n v="182.903682475605"/>
    <n v="11126.640683932599"/>
    <n v="40055.9064621574"/>
  </r>
  <r>
    <x v="0"/>
    <x v="0"/>
    <x v="0"/>
    <x v="1"/>
    <x v="2"/>
    <s v="EE_Narva"/>
    <x v="6"/>
    <x v="4"/>
    <s v="GEXT_SHALE_NARVA_TG11"/>
    <x v="4"/>
    <x v="6"/>
    <n v="183.099665542624"/>
    <n v="11138.562987176299"/>
    <n v="40098.826753834597"/>
  </r>
  <r>
    <x v="0"/>
    <x v="0"/>
    <x v="0"/>
    <x v="1"/>
    <x v="2"/>
    <s v="EE_Narva"/>
    <x v="6"/>
    <x v="4"/>
    <s v="GEXT_SHALE_NARVA_TG11"/>
    <x v="4"/>
    <x v="7"/>
    <n v="183.305785664833"/>
    <n v="11151.1019612773"/>
    <n v="40143.967060598399"/>
  </r>
  <r>
    <x v="0"/>
    <x v="0"/>
    <x v="0"/>
    <x v="1"/>
    <x v="2"/>
    <s v="EE_Narva"/>
    <x v="6"/>
    <x v="4"/>
    <s v="GEXT_SHALE_NARVA_TG11"/>
    <x v="4"/>
    <x v="8"/>
    <n v="183.47135756628001"/>
    <n v="11161.1742519487"/>
    <n v="40180.227307015302"/>
  </r>
  <r>
    <x v="0"/>
    <x v="0"/>
    <x v="0"/>
    <x v="1"/>
    <x v="2"/>
    <s v="EE_Narva"/>
    <x v="6"/>
    <x v="4"/>
    <s v="GEXT_SHALE_NARVA_TG11"/>
    <x v="4"/>
    <x v="9"/>
    <n v="183.55921204459901"/>
    <n v="11166.518732713101"/>
    <n v="40199.467437767198"/>
  </r>
  <r>
    <x v="0"/>
    <x v="0"/>
    <x v="0"/>
    <x v="1"/>
    <x v="2"/>
    <s v="EE_Narva"/>
    <x v="6"/>
    <x v="4"/>
    <s v="GEXT_SHALE_NARVA_TG11"/>
    <x v="4"/>
    <x v="10"/>
    <n v="183.589623210171"/>
    <n v="11168.368745285399"/>
    <n v="40206.127483027398"/>
  </r>
  <r>
    <x v="0"/>
    <x v="0"/>
    <x v="0"/>
    <x v="1"/>
    <x v="2"/>
    <s v="EE_Narva"/>
    <x v="6"/>
    <x v="4"/>
    <s v="GEXT_SHALE_NARVA_TG11"/>
    <x v="4"/>
    <x v="11"/>
    <n v="183.596381246965"/>
    <n v="11168.779859190299"/>
    <n v="40207.607493085197"/>
  </r>
  <r>
    <x v="0"/>
    <x v="0"/>
    <x v="0"/>
    <x v="1"/>
    <x v="2"/>
    <s v="EE_Narva"/>
    <x v="6"/>
    <x v="4"/>
    <s v="GEXT_SHALE_NARVA_TG11"/>
    <x v="5"/>
    <x v="0"/>
    <n v="179.63955070422"/>
    <n v="10928.072667840101"/>
    <n v="39341.061604224298"/>
  </r>
  <r>
    <x v="0"/>
    <x v="0"/>
    <x v="0"/>
    <x v="1"/>
    <x v="2"/>
    <s v="EE_Narva"/>
    <x v="6"/>
    <x v="4"/>
    <s v="GEXT_SHALE_NARVA_TG11"/>
    <x v="5"/>
    <x v="1"/>
    <n v="179.63955070422"/>
    <n v="10928.072667840101"/>
    <n v="39341.061604224298"/>
  </r>
  <r>
    <x v="0"/>
    <x v="0"/>
    <x v="0"/>
    <x v="1"/>
    <x v="2"/>
    <s v="EE_Narva"/>
    <x v="6"/>
    <x v="4"/>
    <s v="GEXT_SHALE_NARVA_TG11"/>
    <x v="5"/>
    <x v="2"/>
    <n v="179.65306677780799"/>
    <n v="10928.894895650001"/>
    <n v="39344.021624339897"/>
  </r>
  <r>
    <x v="0"/>
    <x v="0"/>
    <x v="0"/>
    <x v="1"/>
    <x v="2"/>
    <s v="EE_Narva"/>
    <x v="6"/>
    <x v="4"/>
    <s v="GEXT_SHALE_NARVA_TG11"/>
    <x v="5"/>
    <x v="3"/>
    <n v="179.77133242169899"/>
    <n v="10936.0893889867"/>
    <n v="39369.921800352"/>
  </r>
  <r>
    <x v="0"/>
    <x v="0"/>
    <x v="0"/>
    <x v="1"/>
    <x v="2"/>
    <s v="EE_Narva"/>
    <x v="6"/>
    <x v="4"/>
    <s v="GEXT_SHALE_NARVA_TG11"/>
    <x v="5"/>
    <x v="4"/>
    <n v="179.936904323146"/>
    <n v="10946.161679658"/>
    <n v="39406.182046768903"/>
  </r>
  <r>
    <x v="0"/>
    <x v="0"/>
    <x v="0"/>
    <x v="1"/>
    <x v="2"/>
    <s v="EE_Narva"/>
    <x v="6"/>
    <x v="4"/>
    <s v="GEXT_SHALE_NARVA_TG11"/>
    <x v="5"/>
    <x v="5"/>
    <n v="180.210604813293"/>
    <n v="10962.811792808699"/>
    <n v="39466.122454111101"/>
  </r>
  <r>
    <x v="0"/>
    <x v="0"/>
    <x v="0"/>
    <x v="1"/>
    <x v="2"/>
    <s v="EE_Narva"/>
    <x v="6"/>
    <x v="4"/>
    <s v="GEXT_SHALE_NARVA_TG11"/>
    <x v="5"/>
    <x v="6"/>
    <n v="180.497821377028"/>
    <n v="10980.284133769201"/>
    <n v="39529.022881568999"/>
  </r>
  <r>
    <x v="0"/>
    <x v="0"/>
    <x v="0"/>
    <x v="1"/>
    <x v="2"/>
    <s v="EE_Narva"/>
    <x v="6"/>
    <x v="4"/>
    <s v="GEXT_SHALE_NARVA_TG11"/>
    <x v="5"/>
    <x v="7"/>
    <n v="180.825586161525"/>
    <n v="11000.223158159401"/>
    <n v="39600.803369373898"/>
  </r>
  <r>
    <x v="0"/>
    <x v="0"/>
    <x v="0"/>
    <x v="1"/>
    <x v="2"/>
    <s v="EE_Narva"/>
    <x v="6"/>
    <x v="4"/>
    <s v="GEXT_SHALE_NARVA_TG11"/>
    <x v="5"/>
    <x v="8"/>
    <n v="181.136455854037"/>
    <n v="11019.1343977873"/>
    <n v="39668.883832034197"/>
  </r>
  <r>
    <x v="0"/>
    <x v="0"/>
    <x v="0"/>
    <x v="1"/>
    <x v="2"/>
    <s v="EE_Narva"/>
    <x v="6"/>
    <x v="4"/>
    <s v="GEXT_SHALE_NARVA_TG11"/>
    <x v="5"/>
    <x v="9"/>
    <n v="181.400019288994"/>
    <n v="11035.167840080499"/>
    <n v="39726.604224289702"/>
  </r>
  <r>
    <x v="0"/>
    <x v="0"/>
    <x v="0"/>
    <x v="1"/>
    <x v="2"/>
    <s v="EE_Narva"/>
    <x v="6"/>
    <x v="4"/>
    <s v="GEXT_SHALE_NARVA_TG11"/>
    <x v="5"/>
    <x v="10"/>
    <n v="181.56897020883801"/>
    <n v="11045.445687704299"/>
    <n v="39763.604475735498"/>
  </r>
  <r>
    <x v="0"/>
    <x v="0"/>
    <x v="0"/>
    <x v="1"/>
    <x v="2"/>
    <s v="EE_Narva"/>
    <x v="6"/>
    <x v="4"/>
    <s v="GEXT_SHALE_NARVA_TG11"/>
    <x v="5"/>
    <x v="11"/>
    <n v="181.683856834332"/>
    <n v="11052.434624088501"/>
    <n v="39788.764646718599"/>
  </r>
  <r>
    <x v="0"/>
    <x v="0"/>
    <x v="0"/>
    <x v="1"/>
    <x v="2"/>
    <s v="EE_Narva"/>
    <x v="6"/>
    <x v="4"/>
    <s v="GEXT_SHALE_NARVA_TG11"/>
    <x v="6"/>
    <x v="0"/>
    <n v="183.61665535734599"/>
    <n v="11170.013200905199"/>
    <n v="40212.047523258698"/>
  </r>
  <r>
    <x v="0"/>
    <x v="0"/>
    <x v="0"/>
    <x v="1"/>
    <x v="2"/>
    <s v="EE_Narva"/>
    <x v="6"/>
    <x v="4"/>
    <s v="GEXT_SHALE_NARVA_TG11"/>
    <x v="6"/>
    <x v="1"/>
    <n v="183.62679241253599"/>
    <n v="11170.6298717626"/>
    <n v="40214.267538345499"/>
  </r>
  <r>
    <x v="0"/>
    <x v="0"/>
    <x v="0"/>
    <x v="1"/>
    <x v="2"/>
    <s v="EE_Narva"/>
    <x v="6"/>
    <x v="4"/>
    <s v="GEXT_SHALE_NARVA_TG11"/>
    <x v="6"/>
    <x v="2"/>
    <n v="183.65044554131501"/>
    <n v="11172.06877043"/>
    <n v="40219.447573547899"/>
  </r>
  <r>
    <x v="0"/>
    <x v="0"/>
    <x v="0"/>
    <x v="1"/>
    <x v="2"/>
    <s v="EE_Narva"/>
    <x v="6"/>
    <x v="4"/>
    <s v="GEXT_SHALE_NARVA_TG11"/>
    <x v="6"/>
    <x v="3"/>
    <n v="183.684235725283"/>
    <n v="11174.1243399547"/>
    <n v="40226.8476238371"/>
  </r>
  <r>
    <x v="0"/>
    <x v="0"/>
    <x v="0"/>
    <x v="1"/>
    <x v="2"/>
    <s v="EE_Narva"/>
    <x v="6"/>
    <x v="4"/>
    <s v="GEXT_SHALE_NARVA_TG11"/>
    <x v="6"/>
    <x v="4"/>
    <n v="183.72478394604599"/>
    <n v="11176.591023384501"/>
    <n v="40235.727684184101"/>
  </r>
  <r>
    <x v="0"/>
    <x v="0"/>
    <x v="0"/>
    <x v="1"/>
    <x v="2"/>
    <s v="EE_Narva"/>
    <x v="6"/>
    <x v="4"/>
    <s v="GEXT_SHALE_NARVA_TG11"/>
    <x v="6"/>
    <x v="5"/>
    <n v="183.761953148412"/>
    <n v="11178.852149861699"/>
    <n v="40243.8677395021"/>
  </r>
  <r>
    <x v="0"/>
    <x v="0"/>
    <x v="0"/>
    <x v="1"/>
    <x v="2"/>
    <s v="EE_Narva"/>
    <x v="6"/>
    <x v="4"/>
    <s v="GEXT_SHALE_NARVA_TG11"/>
    <x v="6"/>
    <x v="6"/>
    <n v="183.81601744276199"/>
    <n v="11182.1410611013"/>
    <n v="40255.707819964802"/>
  </r>
  <r>
    <x v="0"/>
    <x v="0"/>
    <x v="0"/>
    <x v="1"/>
    <x v="2"/>
    <s v="EE_Narva"/>
    <x v="6"/>
    <x v="4"/>
    <s v="GEXT_SHALE_NARVA_TG11"/>
    <x v="6"/>
    <x v="7"/>
    <n v="183.866702718715"/>
    <n v="11185.2244153885"/>
    <n v="40266.807895398502"/>
  </r>
  <r>
    <x v="0"/>
    <x v="0"/>
    <x v="0"/>
    <x v="1"/>
    <x v="2"/>
    <s v="EE_Narva"/>
    <x v="6"/>
    <x v="4"/>
    <s v="GEXT_SHALE_NARVA_TG11"/>
    <x v="6"/>
    <x v="8"/>
    <n v="183.92076701306499"/>
    <n v="11188.513326628099"/>
    <n v="40278.647975861197"/>
  </r>
  <r>
    <x v="0"/>
    <x v="0"/>
    <x v="0"/>
    <x v="1"/>
    <x v="2"/>
    <s v="EE_Narva"/>
    <x v="6"/>
    <x v="4"/>
    <s v="GEXT_SHALE_NARVA_TG11"/>
    <x v="6"/>
    <x v="9"/>
    <n v="183.971452289018"/>
    <n v="11191.5966809153"/>
    <n v="40289.748051294897"/>
  </r>
  <r>
    <x v="0"/>
    <x v="0"/>
    <x v="0"/>
    <x v="1"/>
    <x v="2"/>
    <s v="EE_Narva"/>
    <x v="6"/>
    <x v="4"/>
    <s v="GEXT_SHALE_NARVA_TG11"/>
    <x v="6"/>
    <x v="10"/>
    <n v="184.01875854657399"/>
    <n v="11194.4744782499"/>
    <n v="40300.108121699799"/>
  </r>
  <r>
    <x v="0"/>
    <x v="0"/>
    <x v="0"/>
    <x v="1"/>
    <x v="2"/>
    <s v="EE_Narva"/>
    <x v="6"/>
    <x v="4"/>
    <s v="GEXT_SHALE_NARVA_TG11"/>
    <x v="6"/>
    <x v="11"/>
    <n v="184.05254873054301"/>
    <n v="11196.530047774701"/>
    <n v="40307.508171988899"/>
  </r>
  <r>
    <x v="0"/>
    <x v="0"/>
    <x v="0"/>
    <x v="1"/>
    <x v="2"/>
    <s v="EE_Narva"/>
    <x v="6"/>
    <x v="4"/>
    <s v="GEXT_SHALE_NARVA_TG11"/>
    <x v="7"/>
    <x v="0"/>
    <n v="184.11675008008399"/>
    <n v="11200.435629871799"/>
    <n v="40321.568267538401"/>
  </r>
  <r>
    <x v="0"/>
    <x v="0"/>
    <x v="0"/>
    <x v="1"/>
    <x v="2"/>
    <s v="EE_Narva"/>
    <x v="6"/>
    <x v="4"/>
    <s v="GEXT_SHALE_NARVA_TG11"/>
    <x v="7"/>
    <x v="1"/>
    <n v="184.184330448021"/>
    <n v="11204.5467689213"/>
    <n v="40336.368368116702"/>
  </r>
  <r>
    <x v="0"/>
    <x v="0"/>
    <x v="0"/>
    <x v="1"/>
    <x v="2"/>
    <s v="EE_Narva"/>
    <x v="6"/>
    <x v="4"/>
    <s v="GEXT_SHALE_NARVA_TG11"/>
    <x v="7"/>
    <x v="2"/>
    <n v="184.26204787115"/>
    <n v="11209.274578828299"/>
    <n v="40353.388483781702"/>
  </r>
  <r>
    <x v="0"/>
    <x v="0"/>
    <x v="0"/>
    <x v="1"/>
    <x v="2"/>
    <s v="EE_Narva"/>
    <x v="6"/>
    <x v="4"/>
    <s v="GEXT_SHALE_NARVA_TG11"/>
    <x v="7"/>
    <x v="3"/>
    <n v="184.35328136786501"/>
    <n v="11214.8246165451"/>
    <n v="40373.368619562498"/>
  </r>
  <r>
    <x v="0"/>
    <x v="0"/>
    <x v="0"/>
    <x v="1"/>
    <x v="2"/>
    <s v="EE_Narva"/>
    <x v="6"/>
    <x v="4"/>
    <s v="GEXT_SHALE_NARVA_TG11"/>
    <x v="7"/>
    <x v="4"/>
    <n v="184.464788974962"/>
    <n v="11221.607995976899"/>
    <n v="40397.788785516699"/>
  </r>
  <r>
    <x v="0"/>
    <x v="0"/>
    <x v="0"/>
    <x v="1"/>
    <x v="2"/>
    <s v="EE_Narva"/>
    <x v="6"/>
    <x v="4"/>
    <s v="GEXT_SHALE_NARVA_TG11"/>
    <x v="7"/>
    <x v="5"/>
    <n v="184.583054618853"/>
    <n v="11228.802489313601"/>
    <n v="40423.688961528802"/>
  </r>
  <r>
    <x v="0"/>
    <x v="0"/>
    <x v="0"/>
    <x v="1"/>
    <x v="2"/>
    <s v="EE_Narva"/>
    <x v="6"/>
    <x v="4"/>
    <s v="GEXT_SHALE_NARVA_TG11"/>
    <x v="7"/>
    <x v="6"/>
    <n v="184.71145731793399"/>
    <n v="11236.6136535077"/>
    <n v="40451.809152627597"/>
  </r>
  <r>
    <x v="0"/>
    <x v="0"/>
    <x v="0"/>
    <x v="1"/>
    <x v="2"/>
    <s v="EE_Narva"/>
    <x v="6"/>
    <x v="4"/>
    <s v="GEXT_SHALE_NARVA_TG11"/>
    <x v="7"/>
    <x v="7"/>
    <n v="184.84999707220601"/>
    <n v="11245.0414885592"/>
    <n v="40482.1493588132"/>
  </r>
  <r>
    <x v="0"/>
    <x v="0"/>
    <x v="0"/>
    <x v="1"/>
    <x v="2"/>
    <s v="EE_Narva"/>
    <x v="6"/>
    <x v="4"/>
    <s v="GEXT_SHALE_NARVA_TG11"/>
    <x v="7"/>
    <x v="8"/>
    <n v="184.971641734494"/>
    <n v="11252.441538848399"/>
    <n v="40508.789539854202"/>
  </r>
  <r>
    <x v="0"/>
    <x v="0"/>
    <x v="0"/>
    <x v="1"/>
    <x v="2"/>
    <s v="EE_Narva"/>
    <x v="6"/>
    <x v="4"/>
    <s v="GEXT_SHALE_NARVA_TG11"/>
    <x v="7"/>
    <x v="9"/>
    <n v="185.069633268003"/>
    <n v="11258.4026904702"/>
    <n v="40530.249685692703"/>
  </r>
  <r>
    <x v="0"/>
    <x v="0"/>
    <x v="0"/>
    <x v="1"/>
    <x v="2"/>
    <s v="EE_Narva"/>
    <x v="6"/>
    <x v="4"/>
    <s v="GEXT_SHALE_NARVA_TG11"/>
    <x v="7"/>
    <x v="10"/>
    <n v="185.147350691132"/>
    <n v="11263.130500377199"/>
    <n v="40547.269801357797"/>
  </r>
  <r>
    <x v="0"/>
    <x v="0"/>
    <x v="0"/>
    <x v="1"/>
    <x v="2"/>
    <s v="EE_Narva"/>
    <x v="6"/>
    <x v="4"/>
    <s v="GEXT_SHALE_NARVA_TG11"/>
    <x v="7"/>
    <x v="11"/>
    <n v="185.20479400387799"/>
    <n v="11266.6249685693"/>
    <n v="40559.849886849399"/>
  </r>
  <r>
    <x v="0"/>
    <x v="0"/>
    <x v="0"/>
    <x v="1"/>
    <x v="2"/>
    <s v="EE_Narva"/>
    <x v="6"/>
    <x v="4"/>
    <s v="GEXT_SHALE_NARVA_TG11"/>
    <x v="8"/>
    <x v="0"/>
    <n v="184.978399771288"/>
    <n v="11252.852652753299"/>
    <n v="40510.269549912002"/>
  </r>
  <r>
    <x v="0"/>
    <x v="0"/>
    <x v="0"/>
    <x v="1"/>
    <x v="2"/>
    <s v="EE_Narva"/>
    <x v="6"/>
    <x v="4"/>
    <s v="GEXT_SHALE_NARVA_TG11"/>
    <x v="8"/>
    <x v="1"/>
    <n v="184.91757744014399"/>
    <n v="11249.152627608801"/>
    <n v="40496.949459391501"/>
  </r>
  <r>
    <x v="0"/>
    <x v="0"/>
    <x v="0"/>
    <x v="1"/>
    <x v="2"/>
    <s v="EE_Narva"/>
    <x v="6"/>
    <x v="4"/>
    <s v="GEXT_SHALE_NARVA_TG11"/>
    <x v="8"/>
    <x v="2"/>
    <n v="184.866892164191"/>
    <n v="11246.0692733216"/>
    <n v="40485.8493839578"/>
  </r>
  <r>
    <x v="0"/>
    <x v="0"/>
    <x v="0"/>
    <x v="1"/>
    <x v="2"/>
    <s v="EE_Narva"/>
    <x v="6"/>
    <x v="4"/>
    <s v="GEXT_SHALE_NARVA_TG11"/>
    <x v="8"/>
    <x v="3"/>
    <n v="184.80944885144399"/>
    <n v="11242.5748051295"/>
    <n v="40473.269298466199"/>
  </r>
  <r>
    <x v="0"/>
    <x v="0"/>
    <x v="0"/>
    <x v="1"/>
    <x v="2"/>
    <s v="EE_Narva"/>
    <x v="6"/>
    <x v="4"/>
    <s v="GEXT_SHALE_NARVA_TG11"/>
    <x v="8"/>
    <x v="4"/>
    <n v="184.765521612284"/>
    <n v="11239.902564747301"/>
    <n v="40463.649233090298"/>
  </r>
  <r>
    <x v="0"/>
    <x v="0"/>
    <x v="0"/>
    <x v="1"/>
    <x v="2"/>
    <s v="EE_Narva"/>
    <x v="6"/>
    <x v="4"/>
    <s v="GEXT_SHALE_NARVA_TG11"/>
    <x v="8"/>
    <x v="5"/>
    <n v="184.74186848350601"/>
    <n v="11238.463666080001"/>
    <n v="40458.469197887898"/>
  </r>
  <r>
    <x v="0"/>
    <x v="0"/>
    <x v="0"/>
    <x v="1"/>
    <x v="2"/>
    <s v="EE_Narva"/>
    <x v="6"/>
    <x v="4"/>
    <s v="GEXT_SHALE_NARVA_TG11"/>
    <x v="8"/>
    <x v="6"/>
    <n v="184.74862652030001"/>
    <n v="11238.874779984901"/>
    <n v="40459.949207945698"/>
  </r>
  <r>
    <x v="0"/>
    <x v="0"/>
    <x v="0"/>
    <x v="1"/>
    <x v="2"/>
    <s v="EE_Narva"/>
    <x v="6"/>
    <x v="4"/>
    <s v="GEXT_SHALE_NARVA_TG11"/>
    <x v="8"/>
    <x v="7"/>
    <n v="184.78579572266599"/>
    <n v="11241.135906462199"/>
    <n v="40468.089263263799"/>
  </r>
  <r>
    <x v="0"/>
    <x v="0"/>
    <x v="0"/>
    <x v="1"/>
    <x v="2"/>
    <s v="EE_Narva"/>
    <x v="6"/>
    <x v="4"/>
    <s v="GEXT_SHALE_NARVA_TG11"/>
    <x v="8"/>
    <x v="8"/>
    <n v="184.84661805380901"/>
    <n v="11244.8359316067"/>
    <n v="40481.4093537843"/>
  </r>
  <r>
    <x v="0"/>
    <x v="0"/>
    <x v="0"/>
    <x v="1"/>
    <x v="2"/>
    <s v="EE_Narva"/>
    <x v="6"/>
    <x v="4"/>
    <s v="GEXT_SHALE_NARVA_TG11"/>
    <x v="8"/>
    <x v="9"/>
    <n v="184.89054529296899"/>
    <n v="11247.5081719889"/>
    <n v="40491.029419160201"/>
  </r>
  <r>
    <x v="0"/>
    <x v="0"/>
    <x v="0"/>
    <x v="1"/>
    <x v="2"/>
    <s v="EE_Narva"/>
    <x v="6"/>
    <x v="4"/>
    <s v="GEXT_SHALE_NARVA_TG11"/>
    <x v="8"/>
    <x v="10"/>
    <n v="184.94798860571601"/>
    <n v="11251.002640180999"/>
    <n v="40503.609504651802"/>
  </r>
  <r>
    <x v="0"/>
    <x v="0"/>
    <x v="0"/>
    <x v="1"/>
    <x v="2"/>
    <s v="EE_Narva"/>
    <x v="6"/>
    <x v="4"/>
    <s v="GEXT_SHALE_NARVA_TG11"/>
    <x v="8"/>
    <x v="11"/>
    <n v="185.00205290006599"/>
    <n v="11254.2915514207"/>
    <n v="40515.449585114402"/>
  </r>
  <r>
    <x v="0"/>
    <x v="0"/>
    <x v="0"/>
    <x v="1"/>
    <x v="2"/>
    <s v="EE_Narva"/>
    <x v="6"/>
    <x v="4"/>
    <s v="GEXT_SHALE_NARVA_TG11"/>
    <x v="9"/>
    <x v="0"/>
    <n v="185.366986886929"/>
    <n v="11276.4917022882"/>
    <n v="40595.370128237402"/>
  </r>
  <r>
    <x v="0"/>
    <x v="0"/>
    <x v="0"/>
    <x v="1"/>
    <x v="2"/>
    <s v="EE_Narva"/>
    <x v="6"/>
    <x v="4"/>
    <s v="GEXT_SHALE_NARVA_TG11"/>
    <x v="9"/>
    <x v="1"/>
    <n v="185.31968062937199"/>
    <n v="11273.6139049535"/>
    <n v="40585.0100578325"/>
  </r>
  <r>
    <x v="0"/>
    <x v="0"/>
    <x v="0"/>
    <x v="1"/>
    <x v="2"/>
    <s v="EE_Narva"/>
    <x v="6"/>
    <x v="4"/>
    <s v="GEXT_SHALE_NARVA_TG11"/>
    <x v="9"/>
    <x v="2"/>
    <n v="185.29602750059399"/>
    <n v="11272.175006286099"/>
    <n v="40579.8300226301"/>
  </r>
  <r>
    <x v="0"/>
    <x v="0"/>
    <x v="0"/>
    <x v="1"/>
    <x v="2"/>
    <s v="EE_Narva"/>
    <x v="6"/>
    <x v="4"/>
    <s v="GEXT_SHALE_NARVA_TG11"/>
    <x v="9"/>
    <x v="3"/>
    <n v="185.30616455578499"/>
    <n v="11272.791677143599"/>
    <n v="40582.050037716901"/>
  </r>
  <r>
    <x v="0"/>
    <x v="0"/>
    <x v="0"/>
    <x v="1"/>
    <x v="2"/>
    <s v="EE_Narva"/>
    <x v="6"/>
    <x v="4"/>
    <s v="GEXT_SHALE_NARVA_TG11"/>
    <x v="9"/>
    <x v="4"/>
    <n v="185.33657572135701"/>
    <n v="11274.6416897159"/>
    <n v="40588.710082977101"/>
  </r>
  <r>
    <x v="0"/>
    <x v="0"/>
    <x v="0"/>
    <x v="1"/>
    <x v="2"/>
    <s v="EE_Narva"/>
    <x v="6"/>
    <x v="4"/>
    <s v="GEXT_SHALE_NARVA_TG11"/>
    <x v="9"/>
    <x v="5"/>
    <n v="185.380502960516"/>
    <n v="11277.3139300981"/>
    <n v="40598.330148353001"/>
  </r>
  <r>
    <x v="0"/>
    <x v="0"/>
    <x v="0"/>
    <x v="1"/>
    <x v="2"/>
    <s v="EE_Narva"/>
    <x v="6"/>
    <x v="4"/>
    <s v="GEXT_SHALE_NARVA_TG11"/>
    <x v="9"/>
    <x v="6"/>
    <n v="185.448083328454"/>
    <n v="11281.425069147601"/>
    <n v="40613.130248931397"/>
  </r>
  <r>
    <x v="0"/>
    <x v="0"/>
    <x v="0"/>
    <x v="1"/>
    <x v="2"/>
    <s v="EE_Narva"/>
    <x v="6"/>
    <x v="4"/>
    <s v="GEXT_SHALE_NARVA_TG11"/>
    <x v="9"/>
    <x v="7"/>
    <n v="185.52917976997901"/>
    <n v="11286.358436007"/>
    <n v="40630.890369625398"/>
  </r>
  <r>
    <x v="0"/>
    <x v="0"/>
    <x v="0"/>
    <x v="1"/>
    <x v="2"/>
    <s v="EE_Narva"/>
    <x v="6"/>
    <x v="4"/>
    <s v="GEXT_SHALE_NARVA_TG11"/>
    <x v="9"/>
    <x v="8"/>
    <n v="185.59000210112299"/>
    <n v="11290.058461151601"/>
    <n v="40644.210460145798"/>
  </r>
  <r>
    <x v="0"/>
    <x v="0"/>
    <x v="0"/>
    <x v="1"/>
    <x v="2"/>
    <s v="EE_Narva"/>
    <x v="6"/>
    <x v="4"/>
    <s v="GEXT_SHALE_NARVA_TG11"/>
    <x v="9"/>
    <x v="9"/>
    <n v="185.63392934028201"/>
    <n v="11292.730701533799"/>
    <n v="40653.8305255218"/>
  </r>
  <r>
    <x v="0"/>
    <x v="0"/>
    <x v="0"/>
    <x v="1"/>
    <x v="2"/>
    <s v="EE_Narva"/>
    <x v="6"/>
    <x v="4"/>
    <s v="GEXT_SHALE_NARVA_TG11"/>
    <x v="9"/>
    <x v="10"/>
    <n v="185.64744541387"/>
    <n v="11293.552929343699"/>
    <n v="40656.790545637399"/>
  </r>
  <r>
    <x v="0"/>
    <x v="0"/>
    <x v="0"/>
    <x v="1"/>
    <x v="2"/>
    <s v="EE_Narva"/>
    <x v="6"/>
    <x v="4"/>
    <s v="GEXT_SHALE_NARVA_TG11"/>
    <x v="9"/>
    <x v="11"/>
    <n v="185.60689719310699"/>
    <n v="11291.086245914001"/>
    <n v="40647.910485290398"/>
  </r>
  <r>
    <x v="0"/>
    <x v="0"/>
    <x v="0"/>
    <x v="1"/>
    <x v="2"/>
    <s v="EE_Narva"/>
    <x v="6"/>
    <x v="4"/>
    <s v="GEXT_SHALE_NARVA_TG11"/>
    <x v="10"/>
    <x v="0"/>
    <n v="186.10699191584499"/>
    <n v="11321.508674880601"/>
    <n v="40757.43122957"/>
  </r>
  <r>
    <x v="0"/>
    <x v="0"/>
    <x v="0"/>
    <x v="1"/>
    <x v="2"/>
    <s v="EE_Narva"/>
    <x v="6"/>
    <x v="4"/>
    <s v="GEXT_SHALE_NARVA_TG11"/>
    <x v="10"/>
    <x v="1"/>
    <n v="186.11037093424201"/>
    <n v="11321.714231833001"/>
    <n v="40758.171234599002"/>
  </r>
  <r>
    <x v="0"/>
    <x v="0"/>
    <x v="0"/>
    <x v="1"/>
    <x v="2"/>
    <s v="EE_Narva"/>
    <x v="6"/>
    <x v="4"/>
    <s v="GEXT_SHALE_NARVA_TG11"/>
    <x v="10"/>
    <x v="2"/>
    <n v="186.13402406302001"/>
    <n v="11323.153130500399"/>
    <n v="40763.351269801402"/>
  </r>
  <r>
    <x v="0"/>
    <x v="0"/>
    <x v="0"/>
    <x v="1"/>
    <x v="2"/>
    <s v="EE_Narva"/>
    <x v="6"/>
    <x v="4"/>
    <s v="GEXT_SHALE_NARVA_TG11"/>
    <x v="10"/>
    <x v="3"/>
    <n v="186.157677191798"/>
    <n v="11324.592029167699"/>
    <n v="40768.531305003802"/>
  </r>
  <r>
    <x v="0"/>
    <x v="0"/>
    <x v="0"/>
    <x v="1"/>
    <x v="2"/>
    <s v="EE_Narva"/>
    <x v="6"/>
    <x v="4"/>
    <s v="GEXT_SHALE_NARVA_TG11"/>
    <x v="10"/>
    <x v="4"/>
    <n v="186.19822541256099"/>
    <n v="11327.0587125974"/>
    <n v="40777.411365350803"/>
  </r>
  <r>
    <x v="0"/>
    <x v="0"/>
    <x v="0"/>
    <x v="1"/>
    <x v="2"/>
    <s v="EE_Narva"/>
    <x v="6"/>
    <x v="4"/>
    <s v="GEXT_SHALE_NARVA_TG11"/>
    <x v="10"/>
    <x v="5"/>
    <n v="186.259047743704"/>
    <n v="11330.758737742"/>
    <n v="40790.731455871297"/>
  </r>
  <r>
    <x v="0"/>
    <x v="0"/>
    <x v="0"/>
    <x v="1"/>
    <x v="2"/>
    <s v="EE_Narva"/>
    <x v="6"/>
    <x v="4"/>
    <s v="GEXT_SHALE_NARVA_TG11"/>
    <x v="10"/>
    <x v="6"/>
    <n v="186.33000713003901"/>
    <n v="11335.075433743999"/>
    <n v="40806.271561478497"/>
  </r>
  <r>
    <x v="0"/>
    <x v="0"/>
    <x v="0"/>
    <x v="1"/>
    <x v="2"/>
    <s v="EE_Narva"/>
    <x v="6"/>
    <x v="4"/>
    <s v="GEXT_SHALE_NARVA_TG11"/>
    <x v="10"/>
    <x v="7"/>
    <n v="186.39758749797599"/>
    <n v="11339.1865727936"/>
    <n v="40821.071662056798"/>
  </r>
  <r>
    <x v="0"/>
    <x v="0"/>
    <x v="0"/>
    <x v="1"/>
    <x v="2"/>
    <s v="EE_Narva"/>
    <x v="6"/>
    <x v="4"/>
    <s v="GEXT_SHALE_NARVA_TG11"/>
    <x v="10"/>
    <x v="8"/>
    <n v="186.468546884311"/>
    <n v="11343.503268795601"/>
    <n v="40836.611767664101"/>
  </r>
  <r>
    <x v="0"/>
    <x v="0"/>
    <x v="0"/>
    <x v="1"/>
    <x v="2"/>
    <s v="EE_Narva"/>
    <x v="6"/>
    <x v="4"/>
    <s v="GEXT_SHALE_NARVA_TG11"/>
    <x v="10"/>
    <x v="9"/>
    <n v="186.53612725224801"/>
    <n v="11347.6144078451"/>
    <n v="40851.411868242401"/>
  </r>
  <r>
    <x v="0"/>
    <x v="0"/>
    <x v="0"/>
    <x v="1"/>
    <x v="2"/>
    <s v="EE_Narva"/>
    <x v="6"/>
    <x v="4"/>
    <s v="GEXT_SHALE_NARVA_TG11"/>
    <x v="10"/>
    <x v="10"/>
    <n v="186.569917436217"/>
    <n v="11349.6699773699"/>
    <n v="40858.811918531603"/>
  </r>
  <r>
    <x v="0"/>
    <x v="0"/>
    <x v="0"/>
    <x v="1"/>
    <x v="2"/>
    <s v="EE_Narva"/>
    <x v="6"/>
    <x v="4"/>
    <s v="GEXT_SHALE_NARVA_TG11"/>
    <x v="10"/>
    <x v="11"/>
    <n v="186.546264307439"/>
    <n v="11348.2310787025"/>
    <n v="40853.631883329203"/>
  </r>
  <r>
    <x v="0"/>
    <x v="0"/>
    <x v="0"/>
    <x v="1"/>
    <x v="2"/>
    <s v="EE_Narva"/>
    <x v="6"/>
    <x v="4"/>
    <s v="GEXT_SHALE_NARVA_TG11"/>
    <x v="11"/>
    <x v="0"/>
    <n v="186.18470933897299"/>
    <n v="11326.2364847875"/>
    <n v="40774.451345235102"/>
  </r>
  <r>
    <x v="0"/>
    <x v="0"/>
    <x v="0"/>
    <x v="1"/>
    <x v="2"/>
    <s v="EE_Narva"/>
    <x v="6"/>
    <x v="4"/>
    <s v="GEXT_SHALE_NARVA_TG11"/>
    <x v="11"/>
    <x v="1"/>
    <n v="186.12050798943201"/>
    <n v="11322.330902690501"/>
    <n v="40760.391249685701"/>
  </r>
  <r>
    <x v="0"/>
    <x v="0"/>
    <x v="0"/>
    <x v="1"/>
    <x v="2"/>
    <s v="EE_Narva"/>
    <x v="6"/>
    <x v="4"/>
    <s v="GEXT_SHALE_NARVA_TG11"/>
    <x v="11"/>
    <x v="2"/>
    <n v="186.076580750273"/>
    <n v="11319.6586623083"/>
    <n v="40750.7711843098"/>
  </r>
  <r>
    <x v="0"/>
    <x v="0"/>
    <x v="0"/>
    <x v="1"/>
    <x v="2"/>
    <s v="EE_Narva"/>
    <x v="6"/>
    <x v="4"/>
    <s v="GEXT_SHALE_NARVA_TG11"/>
    <x v="11"/>
    <x v="3"/>
    <n v="186.063064676685"/>
    <n v="11318.8364344984"/>
    <n v="40747.8111641941"/>
  </r>
  <r>
    <x v="0"/>
    <x v="0"/>
    <x v="0"/>
    <x v="1"/>
    <x v="2"/>
    <s v="EE_Narva"/>
    <x v="6"/>
    <x v="4"/>
    <s v="GEXT_SHALE_NARVA_TG11"/>
    <x v="11"/>
    <x v="4"/>
    <n v="186.08333878706699"/>
    <n v="11320.0697762132"/>
    <n v="40752.2511943676"/>
  </r>
  <r>
    <x v="0"/>
    <x v="0"/>
    <x v="0"/>
    <x v="1"/>
    <x v="2"/>
    <s v="EE_Narva"/>
    <x v="6"/>
    <x v="4"/>
    <s v="GEXT_SHALE_NARVA_TG11"/>
    <x v="11"/>
    <x v="5"/>
    <n v="186.140782099814"/>
    <n v="11323.564244405299"/>
    <n v="40764.831279859201"/>
  </r>
  <r>
    <x v="0"/>
    <x v="0"/>
    <x v="0"/>
    <x v="1"/>
    <x v="2"/>
    <s v="EE_Narva"/>
    <x v="6"/>
    <x v="4"/>
    <s v="GEXT_SHALE_NARVA_TG11"/>
    <x v="11"/>
    <x v="6"/>
    <n v="186.248910688514"/>
    <n v="11330.1420668846"/>
    <n v="40788.511440784503"/>
  </r>
  <r>
    <x v="0"/>
    <x v="0"/>
    <x v="0"/>
    <x v="1"/>
    <x v="2"/>
    <s v="EE_Narva"/>
    <x v="6"/>
    <x v="4"/>
    <s v="GEXT_SHALE_NARVA_TG11"/>
    <x v="11"/>
    <x v="7"/>
    <n v="186.38745044278599"/>
    <n v="11338.5699019361"/>
    <n v="40818.851646970099"/>
  </r>
  <r>
    <x v="0"/>
    <x v="0"/>
    <x v="0"/>
    <x v="1"/>
    <x v="2"/>
    <s v="EE_Narva"/>
    <x v="6"/>
    <x v="4"/>
    <s v="GEXT_SHALE_NARVA_TG11"/>
    <x v="11"/>
    <x v="8"/>
    <n v="186.51585314186701"/>
    <n v="11346.3810661302"/>
    <n v="40846.971838068901"/>
  </r>
  <r>
    <x v="0"/>
    <x v="0"/>
    <x v="0"/>
    <x v="1"/>
    <x v="2"/>
    <s v="EE_Narva"/>
    <x v="6"/>
    <x v="4"/>
    <s v="GEXT_SHALE_NARVA_TG11"/>
    <x v="11"/>
    <x v="9"/>
    <n v="186.640876822552"/>
    <n v="11353.986673371901"/>
    <n v="40874.352024138803"/>
  </r>
  <r>
    <x v="0"/>
    <x v="0"/>
    <x v="0"/>
    <x v="1"/>
    <x v="2"/>
    <s v="EE_Narva"/>
    <x v="6"/>
    <x v="4"/>
    <s v="GEXT_SHALE_NARVA_TG11"/>
    <x v="11"/>
    <x v="10"/>
    <n v="186.752384429649"/>
    <n v="11360.7700528036"/>
    <n v="40898.772190092997"/>
  </r>
  <r>
    <x v="0"/>
    <x v="0"/>
    <x v="0"/>
    <x v="1"/>
    <x v="2"/>
    <s v="EE_Narva"/>
    <x v="6"/>
    <x v="4"/>
    <s v="GEXT_SHALE_NARVA_TG11"/>
    <x v="11"/>
    <x v="11"/>
    <n v="186.836859889571"/>
    <n v="11365.908976615499"/>
    <n v="40917.272315816001"/>
  </r>
  <r>
    <x v="0"/>
    <x v="0"/>
    <x v="0"/>
    <x v="1"/>
    <x v="2"/>
    <s v="EE_Narva"/>
    <x v="6"/>
    <x v="5"/>
    <s v="Narva-EJ-TG1"/>
    <x v="0"/>
    <x v="0"/>
    <n v="167"/>
    <n v="10159.166666666701"/>
    <n v="36573"/>
  </r>
  <r>
    <x v="0"/>
    <x v="0"/>
    <x v="0"/>
    <x v="1"/>
    <x v="2"/>
    <s v="EE_Narva"/>
    <x v="6"/>
    <x v="5"/>
    <s v="Narva-EJ-TG1"/>
    <x v="0"/>
    <x v="2"/>
    <n v="167"/>
    <n v="10159.166666666701"/>
    <n v="36573"/>
  </r>
  <r>
    <x v="0"/>
    <x v="0"/>
    <x v="0"/>
    <x v="1"/>
    <x v="2"/>
    <s v="EE_Narva"/>
    <x v="6"/>
    <x v="5"/>
    <s v="Narva-EJ-TG1"/>
    <x v="0"/>
    <x v="3"/>
    <n v="167"/>
    <n v="10159.166666666701"/>
    <n v="36573"/>
  </r>
  <r>
    <x v="0"/>
    <x v="0"/>
    <x v="0"/>
    <x v="1"/>
    <x v="2"/>
    <s v="EE_Narva"/>
    <x v="6"/>
    <x v="5"/>
    <s v="Narva-EJ-TG1"/>
    <x v="0"/>
    <x v="4"/>
    <n v="167"/>
    <n v="10159.166666666701"/>
    <n v="36573"/>
  </r>
  <r>
    <x v="0"/>
    <x v="0"/>
    <x v="0"/>
    <x v="1"/>
    <x v="2"/>
    <s v="EE_Narva"/>
    <x v="6"/>
    <x v="5"/>
    <s v="Narva-EJ-TG1"/>
    <x v="0"/>
    <x v="6"/>
    <n v="167"/>
    <n v="10159.166666666701"/>
    <n v="36573"/>
  </r>
  <r>
    <x v="0"/>
    <x v="0"/>
    <x v="0"/>
    <x v="1"/>
    <x v="2"/>
    <s v="EE_Narva"/>
    <x v="6"/>
    <x v="5"/>
    <s v="Narva-EJ-TG1"/>
    <x v="0"/>
    <x v="7"/>
    <n v="167"/>
    <n v="10159.166666666701"/>
    <n v="36573"/>
  </r>
  <r>
    <x v="0"/>
    <x v="0"/>
    <x v="0"/>
    <x v="1"/>
    <x v="2"/>
    <s v="EE_Narva"/>
    <x v="6"/>
    <x v="5"/>
    <s v="Narva-EJ-TG1"/>
    <x v="0"/>
    <x v="8"/>
    <n v="167"/>
    <n v="10159.166666666701"/>
    <n v="36573"/>
  </r>
  <r>
    <x v="0"/>
    <x v="0"/>
    <x v="0"/>
    <x v="1"/>
    <x v="2"/>
    <s v="EE_Narva"/>
    <x v="6"/>
    <x v="5"/>
    <s v="Narva-EJ-TG1"/>
    <x v="0"/>
    <x v="9"/>
    <n v="167"/>
    <n v="10159.166666666701"/>
    <n v="36573"/>
  </r>
  <r>
    <x v="0"/>
    <x v="0"/>
    <x v="0"/>
    <x v="1"/>
    <x v="2"/>
    <s v="EE_Narva"/>
    <x v="6"/>
    <x v="5"/>
    <s v="Narva-EJ-TG1"/>
    <x v="0"/>
    <x v="10"/>
    <n v="167"/>
    <n v="10159.166666666701"/>
    <n v="36573"/>
  </r>
  <r>
    <x v="0"/>
    <x v="0"/>
    <x v="0"/>
    <x v="1"/>
    <x v="2"/>
    <s v="EE_Narva"/>
    <x v="6"/>
    <x v="5"/>
    <s v="Narva-EJ-TG1"/>
    <x v="0"/>
    <x v="11"/>
    <n v="167"/>
    <n v="10159.166666666701"/>
    <n v="36573"/>
  </r>
  <r>
    <x v="0"/>
    <x v="0"/>
    <x v="0"/>
    <x v="1"/>
    <x v="2"/>
    <s v="EE_Narva"/>
    <x v="6"/>
    <x v="5"/>
    <s v="Narva-EJ-TG1"/>
    <x v="1"/>
    <x v="1"/>
    <n v="167"/>
    <n v="10159.166666666701"/>
    <n v="36573"/>
  </r>
  <r>
    <x v="0"/>
    <x v="0"/>
    <x v="0"/>
    <x v="1"/>
    <x v="2"/>
    <s v="EE_Narva"/>
    <x v="6"/>
    <x v="5"/>
    <s v="Narva-EJ-TG1"/>
    <x v="1"/>
    <x v="2"/>
    <n v="167"/>
    <n v="10159.166666666701"/>
    <n v="36573"/>
  </r>
  <r>
    <x v="0"/>
    <x v="0"/>
    <x v="0"/>
    <x v="1"/>
    <x v="2"/>
    <s v="EE_Narva"/>
    <x v="6"/>
    <x v="5"/>
    <s v="Narva-EJ-TG1"/>
    <x v="1"/>
    <x v="3"/>
    <n v="167"/>
    <n v="10159.166666666701"/>
    <n v="36573"/>
  </r>
  <r>
    <x v="0"/>
    <x v="0"/>
    <x v="0"/>
    <x v="1"/>
    <x v="2"/>
    <s v="EE_Narva"/>
    <x v="6"/>
    <x v="5"/>
    <s v="Narva-EJ-TG1"/>
    <x v="1"/>
    <x v="4"/>
    <n v="167"/>
    <n v="10159.166666666701"/>
    <n v="36573"/>
  </r>
  <r>
    <x v="0"/>
    <x v="0"/>
    <x v="0"/>
    <x v="1"/>
    <x v="2"/>
    <s v="EE_Narva"/>
    <x v="6"/>
    <x v="5"/>
    <s v="Narva-EJ-TG1"/>
    <x v="1"/>
    <x v="5"/>
    <n v="167"/>
    <n v="10159.166666666701"/>
    <n v="36573"/>
  </r>
  <r>
    <x v="0"/>
    <x v="0"/>
    <x v="0"/>
    <x v="1"/>
    <x v="2"/>
    <s v="EE_Narva"/>
    <x v="6"/>
    <x v="5"/>
    <s v="Narva-EJ-TG1"/>
    <x v="1"/>
    <x v="6"/>
    <n v="167"/>
    <n v="10159.166666666701"/>
    <n v="36573"/>
  </r>
  <r>
    <x v="0"/>
    <x v="0"/>
    <x v="0"/>
    <x v="1"/>
    <x v="2"/>
    <s v="EE_Narva"/>
    <x v="6"/>
    <x v="5"/>
    <s v="Narva-EJ-TG1"/>
    <x v="1"/>
    <x v="7"/>
    <n v="167"/>
    <n v="10159.166666666701"/>
    <n v="36573"/>
  </r>
  <r>
    <x v="0"/>
    <x v="0"/>
    <x v="0"/>
    <x v="1"/>
    <x v="2"/>
    <s v="EE_Narva"/>
    <x v="6"/>
    <x v="5"/>
    <s v="Narva-EJ-TG1"/>
    <x v="1"/>
    <x v="9"/>
    <n v="167"/>
    <n v="10159.166666666701"/>
    <n v="36573"/>
  </r>
  <r>
    <x v="0"/>
    <x v="0"/>
    <x v="0"/>
    <x v="1"/>
    <x v="2"/>
    <s v="EE_Narva"/>
    <x v="6"/>
    <x v="5"/>
    <s v="Narva-EJ-TG1"/>
    <x v="1"/>
    <x v="10"/>
    <n v="167"/>
    <n v="10159.166666666701"/>
    <n v="36573"/>
  </r>
  <r>
    <x v="0"/>
    <x v="0"/>
    <x v="0"/>
    <x v="1"/>
    <x v="2"/>
    <s v="EE_Narva"/>
    <x v="6"/>
    <x v="5"/>
    <s v="Narva-EJ-TG1"/>
    <x v="1"/>
    <x v="11"/>
    <n v="167"/>
    <n v="10159.166666666701"/>
    <n v="36573"/>
  </r>
  <r>
    <x v="0"/>
    <x v="0"/>
    <x v="0"/>
    <x v="1"/>
    <x v="2"/>
    <s v="EE_Narva"/>
    <x v="6"/>
    <x v="5"/>
    <s v="Narva-EJ-TG1"/>
    <x v="2"/>
    <x v="0"/>
    <n v="167"/>
    <n v="10159.166666666701"/>
    <n v="36573"/>
  </r>
  <r>
    <x v="0"/>
    <x v="0"/>
    <x v="0"/>
    <x v="1"/>
    <x v="2"/>
    <s v="EE_Narva"/>
    <x v="6"/>
    <x v="5"/>
    <s v="Narva-EJ-TG1"/>
    <x v="2"/>
    <x v="1"/>
    <n v="88.986355764053101"/>
    <n v="5413.3366423132302"/>
    <n v="19488.011912327602"/>
  </r>
  <r>
    <x v="0"/>
    <x v="0"/>
    <x v="0"/>
    <x v="1"/>
    <x v="2"/>
    <s v="EE_Narva"/>
    <x v="6"/>
    <x v="5"/>
    <s v="Narva-EJ-TG1"/>
    <x v="2"/>
    <x v="2"/>
    <n v="48.202990256798202"/>
    <n v="2932.3485739552202"/>
    <n v="10556.454866238801"/>
  </r>
  <r>
    <x v="0"/>
    <x v="0"/>
    <x v="0"/>
    <x v="1"/>
    <x v="2"/>
    <s v="EE_Narva"/>
    <x v="6"/>
    <x v="5"/>
    <s v="Narva-EJ-TG1"/>
    <x v="2"/>
    <x v="3"/>
    <n v="167"/>
    <n v="10159.166666666701"/>
    <n v="36573"/>
  </r>
  <r>
    <x v="0"/>
    <x v="0"/>
    <x v="0"/>
    <x v="1"/>
    <x v="2"/>
    <s v="EE_Narva"/>
    <x v="6"/>
    <x v="5"/>
    <s v="Narva-EJ-TG1"/>
    <x v="2"/>
    <x v="4"/>
    <n v="167"/>
    <n v="10159.166666666701"/>
    <n v="36573"/>
  </r>
  <r>
    <x v="0"/>
    <x v="0"/>
    <x v="0"/>
    <x v="1"/>
    <x v="2"/>
    <s v="EE_Narva"/>
    <x v="6"/>
    <x v="5"/>
    <s v="Narva-EJ-TG1"/>
    <x v="2"/>
    <x v="5"/>
    <n v="167"/>
    <n v="10159.166666666701"/>
    <n v="36573"/>
  </r>
  <r>
    <x v="0"/>
    <x v="0"/>
    <x v="0"/>
    <x v="1"/>
    <x v="2"/>
    <s v="EE_Narva"/>
    <x v="6"/>
    <x v="5"/>
    <s v="Narva-EJ-TG1"/>
    <x v="2"/>
    <x v="6"/>
    <n v="167"/>
    <n v="10159.166666666701"/>
    <n v="36573"/>
  </r>
  <r>
    <x v="0"/>
    <x v="0"/>
    <x v="0"/>
    <x v="1"/>
    <x v="2"/>
    <s v="EE_Narva"/>
    <x v="6"/>
    <x v="5"/>
    <s v="Narva-EJ-TG1"/>
    <x v="2"/>
    <x v="7"/>
    <n v="167"/>
    <n v="10159.166666666701"/>
    <n v="36573"/>
  </r>
  <r>
    <x v="0"/>
    <x v="0"/>
    <x v="0"/>
    <x v="1"/>
    <x v="2"/>
    <s v="EE_Narva"/>
    <x v="6"/>
    <x v="5"/>
    <s v="Narva-EJ-TG1"/>
    <x v="2"/>
    <x v="8"/>
    <n v="167"/>
    <n v="10159.166666666701"/>
    <n v="36573"/>
  </r>
  <r>
    <x v="0"/>
    <x v="0"/>
    <x v="0"/>
    <x v="1"/>
    <x v="2"/>
    <s v="EE_Narva"/>
    <x v="6"/>
    <x v="5"/>
    <s v="Narva-EJ-TG1"/>
    <x v="2"/>
    <x v="9"/>
    <n v="167"/>
    <n v="10159.166666666701"/>
    <n v="36573"/>
  </r>
  <r>
    <x v="0"/>
    <x v="0"/>
    <x v="0"/>
    <x v="1"/>
    <x v="2"/>
    <s v="EE_Narva"/>
    <x v="6"/>
    <x v="5"/>
    <s v="Narva-EJ-TG1"/>
    <x v="2"/>
    <x v="10"/>
    <n v="167"/>
    <n v="10159.166666666701"/>
    <n v="36573"/>
  </r>
  <r>
    <x v="0"/>
    <x v="0"/>
    <x v="0"/>
    <x v="1"/>
    <x v="2"/>
    <s v="EE_Narva"/>
    <x v="6"/>
    <x v="5"/>
    <s v="Narva-EJ-TG1"/>
    <x v="2"/>
    <x v="11"/>
    <n v="167"/>
    <n v="10159.166666666701"/>
    <n v="36573"/>
  </r>
  <r>
    <x v="0"/>
    <x v="0"/>
    <x v="0"/>
    <x v="1"/>
    <x v="2"/>
    <s v="EE_Narva"/>
    <x v="6"/>
    <x v="5"/>
    <s v="Narva-EJ-TG1"/>
    <x v="3"/>
    <x v="1"/>
    <n v="167"/>
    <n v="10159.166666666701"/>
    <n v="36573"/>
  </r>
  <r>
    <x v="0"/>
    <x v="0"/>
    <x v="0"/>
    <x v="1"/>
    <x v="2"/>
    <s v="EE_Narva"/>
    <x v="6"/>
    <x v="5"/>
    <s v="Narva-EJ-TG1"/>
    <x v="3"/>
    <x v="2"/>
    <n v="167"/>
    <n v="10159.166666666701"/>
    <n v="36573"/>
  </r>
  <r>
    <x v="0"/>
    <x v="0"/>
    <x v="0"/>
    <x v="1"/>
    <x v="2"/>
    <s v="EE_Narva"/>
    <x v="6"/>
    <x v="5"/>
    <s v="Narva-EJ-TG1"/>
    <x v="3"/>
    <x v="3"/>
    <n v="167"/>
    <n v="10159.166666666701"/>
    <n v="36573"/>
  </r>
  <r>
    <x v="0"/>
    <x v="0"/>
    <x v="0"/>
    <x v="1"/>
    <x v="2"/>
    <s v="EE_Narva"/>
    <x v="6"/>
    <x v="5"/>
    <s v="Narva-EJ-TG1"/>
    <x v="3"/>
    <x v="4"/>
    <n v="167"/>
    <n v="10159.166666666701"/>
    <n v="36573"/>
  </r>
  <r>
    <x v="0"/>
    <x v="0"/>
    <x v="0"/>
    <x v="1"/>
    <x v="2"/>
    <s v="EE_Narva"/>
    <x v="6"/>
    <x v="5"/>
    <s v="Narva-EJ-TG1"/>
    <x v="3"/>
    <x v="5"/>
    <n v="167"/>
    <n v="10159.166666666701"/>
    <n v="36573"/>
  </r>
  <r>
    <x v="0"/>
    <x v="0"/>
    <x v="0"/>
    <x v="1"/>
    <x v="2"/>
    <s v="EE_Narva"/>
    <x v="6"/>
    <x v="5"/>
    <s v="Narva-EJ-TG1"/>
    <x v="3"/>
    <x v="6"/>
    <n v="167"/>
    <n v="10159.166666666701"/>
    <n v="36573"/>
  </r>
  <r>
    <x v="0"/>
    <x v="0"/>
    <x v="0"/>
    <x v="1"/>
    <x v="2"/>
    <s v="EE_Narva"/>
    <x v="6"/>
    <x v="5"/>
    <s v="Narva-EJ-TG1"/>
    <x v="3"/>
    <x v="7"/>
    <n v="167"/>
    <n v="10159.166666666701"/>
    <n v="36573"/>
  </r>
  <r>
    <x v="0"/>
    <x v="0"/>
    <x v="0"/>
    <x v="1"/>
    <x v="2"/>
    <s v="EE_Narva"/>
    <x v="6"/>
    <x v="5"/>
    <s v="Narva-EJ-TG1"/>
    <x v="3"/>
    <x v="9"/>
    <n v="167"/>
    <n v="10159.166666666701"/>
    <n v="36573"/>
  </r>
  <r>
    <x v="0"/>
    <x v="0"/>
    <x v="0"/>
    <x v="1"/>
    <x v="2"/>
    <s v="EE_Narva"/>
    <x v="6"/>
    <x v="5"/>
    <s v="Narva-EJ-TG1"/>
    <x v="3"/>
    <x v="10"/>
    <n v="167"/>
    <n v="10159.166666666701"/>
    <n v="36573"/>
  </r>
  <r>
    <x v="0"/>
    <x v="0"/>
    <x v="0"/>
    <x v="1"/>
    <x v="2"/>
    <s v="EE_Narva"/>
    <x v="6"/>
    <x v="5"/>
    <s v="Narva-EJ-TG1"/>
    <x v="3"/>
    <x v="11"/>
    <n v="167"/>
    <n v="10159.166666666701"/>
    <n v="36573"/>
  </r>
  <r>
    <x v="0"/>
    <x v="0"/>
    <x v="0"/>
    <x v="1"/>
    <x v="2"/>
    <s v="EE_Narva"/>
    <x v="6"/>
    <x v="5"/>
    <s v="Narva-EJ-TG1"/>
    <x v="4"/>
    <x v="0"/>
    <n v="167"/>
    <n v="10159.166666666701"/>
    <n v="36573"/>
  </r>
  <r>
    <x v="0"/>
    <x v="0"/>
    <x v="0"/>
    <x v="1"/>
    <x v="2"/>
    <s v="EE_Narva"/>
    <x v="6"/>
    <x v="5"/>
    <s v="Narva-EJ-TG1"/>
    <x v="4"/>
    <x v="1"/>
    <n v="167"/>
    <n v="10159.166666666701"/>
    <n v="36573"/>
  </r>
  <r>
    <x v="0"/>
    <x v="0"/>
    <x v="0"/>
    <x v="1"/>
    <x v="2"/>
    <s v="EE_Narva"/>
    <x v="6"/>
    <x v="5"/>
    <s v="Narva-EJ-TG1"/>
    <x v="4"/>
    <x v="2"/>
    <n v="167"/>
    <n v="10159.166666666701"/>
    <n v="36573"/>
  </r>
  <r>
    <x v="0"/>
    <x v="0"/>
    <x v="0"/>
    <x v="1"/>
    <x v="2"/>
    <s v="EE_Narva"/>
    <x v="6"/>
    <x v="5"/>
    <s v="Narva-EJ-TG1"/>
    <x v="4"/>
    <x v="3"/>
    <n v="167"/>
    <n v="10159.166666666701"/>
    <n v="36573"/>
  </r>
  <r>
    <x v="0"/>
    <x v="0"/>
    <x v="0"/>
    <x v="1"/>
    <x v="2"/>
    <s v="EE_Narva"/>
    <x v="6"/>
    <x v="5"/>
    <s v="Narva-EJ-TG1"/>
    <x v="4"/>
    <x v="4"/>
    <n v="167"/>
    <n v="10159.166666666701"/>
    <n v="36573"/>
  </r>
  <r>
    <x v="0"/>
    <x v="0"/>
    <x v="0"/>
    <x v="1"/>
    <x v="2"/>
    <s v="EE_Narva"/>
    <x v="6"/>
    <x v="5"/>
    <s v="Narva-EJ-TG1"/>
    <x v="4"/>
    <x v="5"/>
    <n v="167"/>
    <n v="10159.166666666701"/>
    <n v="36573"/>
  </r>
  <r>
    <x v="0"/>
    <x v="0"/>
    <x v="0"/>
    <x v="1"/>
    <x v="2"/>
    <s v="EE_Narva"/>
    <x v="6"/>
    <x v="5"/>
    <s v="Narva-EJ-TG1"/>
    <x v="4"/>
    <x v="6"/>
    <n v="167"/>
    <n v="10159.166666666701"/>
    <n v="36573"/>
  </r>
  <r>
    <x v="0"/>
    <x v="0"/>
    <x v="0"/>
    <x v="1"/>
    <x v="2"/>
    <s v="EE_Narva"/>
    <x v="6"/>
    <x v="5"/>
    <s v="Narva-EJ-TG1"/>
    <x v="4"/>
    <x v="7"/>
    <n v="167"/>
    <n v="10159.166666666701"/>
    <n v="36573"/>
  </r>
  <r>
    <x v="0"/>
    <x v="0"/>
    <x v="0"/>
    <x v="1"/>
    <x v="2"/>
    <s v="EE_Narva"/>
    <x v="6"/>
    <x v="5"/>
    <s v="Narva-EJ-TG1"/>
    <x v="4"/>
    <x v="8"/>
    <n v="167"/>
    <n v="10159.166666666701"/>
    <n v="36573"/>
  </r>
  <r>
    <x v="0"/>
    <x v="0"/>
    <x v="0"/>
    <x v="1"/>
    <x v="2"/>
    <s v="EE_Narva"/>
    <x v="6"/>
    <x v="5"/>
    <s v="Narva-EJ-TG1"/>
    <x v="4"/>
    <x v="9"/>
    <n v="167"/>
    <n v="10159.166666666701"/>
    <n v="36573"/>
  </r>
  <r>
    <x v="0"/>
    <x v="0"/>
    <x v="0"/>
    <x v="1"/>
    <x v="2"/>
    <s v="EE_Narva"/>
    <x v="6"/>
    <x v="5"/>
    <s v="Narva-EJ-TG1"/>
    <x v="4"/>
    <x v="10"/>
    <n v="167"/>
    <n v="10159.166666666701"/>
    <n v="36573"/>
  </r>
  <r>
    <x v="0"/>
    <x v="0"/>
    <x v="0"/>
    <x v="1"/>
    <x v="2"/>
    <s v="EE_Narva"/>
    <x v="6"/>
    <x v="5"/>
    <s v="Narva-EJ-TG1"/>
    <x v="4"/>
    <x v="11"/>
    <n v="167"/>
    <n v="10159.166666666701"/>
    <n v="36573"/>
  </r>
  <r>
    <x v="0"/>
    <x v="0"/>
    <x v="0"/>
    <x v="1"/>
    <x v="2"/>
    <s v="EE_Narva"/>
    <x v="6"/>
    <x v="5"/>
    <s v="Narva-EJ-TG1"/>
    <x v="5"/>
    <x v="0"/>
    <n v="167"/>
    <n v="10159.166666666701"/>
    <n v="36573"/>
  </r>
  <r>
    <x v="0"/>
    <x v="0"/>
    <x v="0"/>
    <x v="1"/>
    <x v="2"/>
    <s v="EE_Narva"/>
    <x v="6"/>
    <x v="5"/>
    <s v="Narva-EJ-TG1"/>
    <x v="5"/>
    <x v="1"/>
    <n v="167"/>
    <n v="10159.166666666701"/>
    <n v="36573"/>
  </r>
  <r>
    <x v="0"/>
    <x v="0"/>
    <x v="0"/>
    <x v="1"/>
    <x v="2"/>
    <s v="EE_Narva"/>
    <x v="6"/>
    <x v="5"/>
    <s v="Narva-EJ-TG1"/>
    <x v="5"/>
    <x v="2"/>
    <n v="167"/>
    <n v="10159.166666666701"/>
    <n v="36573"/>
  </r>
  <r>
    <x v="0"/>
    <x v="0"/>
    <x v="0"/>
    <x v="1"/>
    <x v="2"/>
    <s v="EE_Narva"/>
    <x v="6"/>
    <x v="5"/>
    <s v="Narva-EJ-TG1"/>
    <x v="5"/>
    <x v="3"/>
    <n v="167"/>
    <n v="10159.166666666701"/>
    <n v="36573"/>
  </r>
  <r>
    <x v="0"/>
    <x v="0"/>
    <x v="0"/>
    <x v="1"/>
    <x v="2"/>
    <s v="EE_Narva"/>
    <x v="6"/>
    <x v="5"/>
    <s v="Narva-EJ-TG1"/>
    <x v="5"/>
    <x v="4"/>
    <n v="167"/>
    <n v="10159.166666666701"/>
    <n v="36573"/>
  </r>
  <r>
    <x v="0"/>
    <x v="0"/>
    <x v="0"/>
    <x v="1"/>
    <x v="2"/>
    <s v="EE_Narva"/>
    <x v="6"/>
    <x v="5"/>
    <s v="Narva-EJ-TG1"/>
    <x v="5"/>
    <x v="5"/>
    <n v="167"/>
    <n v="10159.166666666701"/>
    <n v="36573"/>
  </r>
  <r>
    <x v="0"/>
    <x v="0"/>
    <x v="0"/>
    <x v="1"/>
    <x v="2"/>
    <s v="EE_Narva"/>
    <x v="6"/>
    <x v="5"/>
    <s v="Narva-EJ-TG1"/>
    <x v="5"/>
    <x v="6"/>
    <n v="167"/>
    <n v="10159.166666666701"/>
    <n v="36573"/>
  </r>
  <r>
    <x v="0"/>
    <x v="0"/>
    <x v="0"/>
    <x v="1"/>
    <x v="2"/>
    <s v="EE_Narva"/>
    <x v="6"/>
    <x v="5"/>
    <s v="Narva-EJ-TG1"/>
    <x v="5"/>
    <x v="7"/>
    <n v="167"/>
    <n v="10159.166666666701"/>
    <n v="36573"/>
  </r>
  <r>
    <x v="0"/>
    <x v="0"/>
    <x v="0"/>
    <x v="1"/>
    <x v="2"/>
    <s v="EE_Narva"/>
    <x v="6"/>
    <x v="5"/>
    <s v="Narva-EJ-TG1"/>
    <x v="5"/>
    <x v="8"/>
    <n v="167"/>
    <n v="10159.166666666701"/>
    <n v="36573"/>
  </r>
  <r>
    <x v="0"/>
    <x v="0"/>
    <x v="0"/>
    <x v="1"/>
    <x v="2"/>
    <s v="EE_Narva"/>
    <x v="6"/>
    <x v="5"/>
    <s v="Narva-EJ-TG1"/>
    <x v="5"/>
    <x v="9"/>
    <n v="167"/>
    <n v="10159.166666666701"/>
    <n v="36573"/>
  </r>
  <r>
    <x v="0"/>
    <x v="0"/>
    <x v="0"/>
    <x v="1"/>
    <x v="2"/>
    <s v="EE_Narva"/>
    <x v="6"/>
    <x v="5"/>
    <s v="Narva-EJ-TG1"/>
    <x v="5"/>
    <x v="10"/>
    <n v="167"/>
    <n v="10159.166666666701"/>
    <n v="36573"/>
  </r>
  <r>
    <x v="0"/>
    <x v="0"/>
    <x v="0"/>
    <x v="1"/>
    <x v="2"/>
    <s v="EE_Narva"/>
    <x v="6"/>
    <x v="5"/>
    <s v="Narva-EJ-TG1"/>
    <x v="5"/>
    <x v="11"/>
    <n v="167"/>
    <n v="10159.166666666701"/>
    <n v="36573"/>
  </r>
  <r>
    <x v="0"/>
    <x v="0"/>
    <x v="0"/>
    <x v="1"/>
    <x v="2"/>
    <s v="EE_Narva"/>
    <x v="6"/>
    <x v="5"/>
    <s v="Narva-EJ-TG1"/>
    <x v="6"/>
    <x v="0"/>
    <n v="167"/>
    <n v="10159.166666666701"/>
    <n v="36573"/>
  </r>
  <r>
    <x v="0"/>
    <x v="0"/>
    <x v="0"/>
    <x v="1"/>
    <x v="2"/>
    <s v="EE_Narva"/>
    <x v="6"/>
    <x v="5"/>
    <s v="Narva-EJ-TG1"/>
    <x v="6"/>
    <x v="1"/>
    <n v="29.214954084870001"/>
    <n v="1777.2430401629199"/>
    <n v="6398.0749445865304"/>
  </r>
  <r>
    <x v="0"/>
    <x v="0"/>
    <x v="0"/>
    <x v="1"/>
    <x v="2"/>
    <s v="EE_Narva"/>
    <x v="6"/>
    <x v="5"/>
    <s v="Narva-EJ-TG1"/>
    <x v="6"/>
    <x v="2"/>
    <n v="167"/>
    <n v="10159.166666666701"/>
    <n v="36573"/>
  </r>
  <r>
    <x v="0"/>
    <x v="0"/>
    <x v="0"/>
    <x v="1"/>
    <x v="2"/>
    <s v="EE_Narva"/>
    <x v="6"/>
    <x v="5"/>
    <s v="Narva-EJ-TG1"/>
    <x v="6"/>
    <x v="4"/>
    <n v="167"/>
    <n v="10159.166666666701"/>
    <n v="36573"/>
  </r>
  <r>
    <x v="0"/>
    <x v="0"/>
    <x v="0"/>
    <x v="1"/>
    <x v="2"/>
    <s v="EE_Narva"/>
    <x v="6"/>
    <x v="5"/>
    <s v="Narva-EJ-TG1"/>
    <x v="6"/>
    <x v="5"/>
    <n v="15.3673201038428"/>
    <n v="934.84530631710595"/>
    <n v="3365.4431027415799"/>
  </r>
  <r>
    <x v="0"/>
    <x v="0"/>
    <x v="0"/>
    <x v="1"/>
    <x v="2"/>
    <s v="EE_Narva"/>
    <x v="6"/>
    <x v="5"/>
    <s v="Narva-EJ-TG1"/>
    <x v="6"/>
    <x v="6"/>
    <n v="167"/>
    <n v="10159.166666666701"/>
    <n v="36573"/>
  </r>
  <r>
    <x v="0"/>
    <x v="0"/>
    <x v="0"/>
    <x v="1"/>
    <x v="2"/>
    <s v="EE_Narva"/>
    <x v="6"/>
    <x v="5"/>
    <s v="Narva-EJ-TG1"/>
    <x v="6"/>
    <x v="7"/>
    <n v="167"/>
    <n v="10159.166666666701"/>
    <n v="36573"/>
  </r>
  <r>
    <x v="0"/>
    <x v="0"/>
    <x v="0"/>
    <x v="1"/>
    <x v="2"/>
    <s v="EE_Narva"/>
    <x v="6"/>
    <x v="5"/>
    <s v="Narva-EJ-TG1"/>
    <x v="6"/>
    <x v="8"/>
    <n v="167"/>
    <n v="10159.166666666701"/>
    <n v="36573"/>
  </r>
  <r>
    <x v="0"/>
    <x v="0"/>
    <x v="0"/>
    <x v="1"/>
    <x v="2"/>
    <s v="EE_Narva"/>
    <x v="6"/>
    <x v="5"/>
    <s v="Narva-EJ-TG1"/>
    <x v="6"/>
    <x v="9"/>
    <n v="167"/>
    <n v="10159.166666666701"/>
    <n v="36573"/>
  </r>
  <r>
    <x v="0"/>
    <x v="0"/>
    <x v="0"/>
    <x v="1"/>
    <x v="2"/>
    <s v="EE_Narva"/>
    <x v="6"/>
    <x v="5"/>
    <s v="Narva-EJ-TG1"/>
    <x v="6"/>
    <x v="10"/>
    <n v="167"/>
    <n v="10159.166666666701"/>
    <n v="36573"/>
  </r>
  <r>
    <x v="0"/>
    <x v="0"/>
    <x v="0"/>
    <x v="1"/>
    <x v="2"/>
    <s v="EE_Narva"/>
    <x v="6"/>
    <x v="5"/>
    <s v="Narva-EJ-TG1"/>
    <x v="6"/>
    <x v="11"/>
    <n v="167"/>
    <n v="10159.166666666701"/>
    <n v="36573"/>
  </r>
  <r>
    <x v="0"/>
    <x v="0"/>
    <x v="0"/>
    <x v="1"/>
    <x v="2"/>
    <s v="EE_Narva"/>
    <x v="6"/>
    <x v="5"/>
    <s v="Narva-EJ-TG1"/>
    <x v="7"/>
    <x v="0"/>
    <n v="167"/>
    <n v="10159.166666666701"/>
    <n v="36573"/>
  </r>
  <r>
    <x v="0"/>
    <x v="0"/>
    <x v="0"/>
    <x v="1"/>
    <x v="2"/>
    <s v="EE_Narva"/>
    <x v="6"/>
    <x v="5"/>
    <s v="Narva-EJ-TG1"/>
    <x v="7"/>
    <x v="1"/>
    <n v="167"/>
    <n v="10159.166666666701"/>
    <n v="36573"/>
  </r>
  <r>
    <x v="0"/>
    <x v="0"/>
    <x v="0"/>
    <x v="1"/>
    <x v="2"/>
    <s v="EE_Narva"/>
    <x v="6"/>
    <x v="5"/>
    <s v="Narva-EJ-TG1"/>
    <x v="7"/>
    <x v="2"/>
    <n v="167"/>
    <n v="10159.166666666701"/>
    <n v="36573"/>
  </r>
  <r>
    <x v="0"/>
    <x v="0"/>
    <x v="0"/>
    <x v="1"/>
    <x v="2"/>
    <s v="EE_Narva"/>
    <x v="6"/>
    <x v="5"/>
    <s v="Narva-EJ-TG1"/>
    <x v="7"/>
    <x v="3"/>
    <n v="167"/>
    <n v="10159.166666666701"/>
    <n v="36573"/>
  </r>
  <r>
    <x v="0"/>
    <x v="0"/>
    <x v="0"/>
    <x v="1"/>
    <x v="2"/>
    <s v="EE_Narva"/>
    <x v="6"/>
    <x v="5"/>
    <s v="Narva-EJ-TG1"/>
    <x v="7"/>
    <x v="4"/>
    <n v="167"/>
    <n v="10159.166666666701"/>
    <n v="36573"/>
  </r>
  <r>
    <x v="0"/>
    <x v="0"/>
    <x v="0"/>
    <x v="1"/>
    <x v="2"/>
    <s v="EE_Narva"/>
    <x v="6"/>
    <x v="5"/>
    <s v="Narva-EJ-TG1"/>
    <x v="7"/>
    <x v="5"/>
    <n v="167"/>
    <n v="10159.166666666701"/>
    <n v="36573"/>
  </r>
  <r>
    <x v="0"/>
    <x v="0"/>
    <x v="0"/>
    <x v="1"/>
    <x v="2"/>
    <s v="EE_Narva"/>
    <x v="6"/>
    <x v="5"/>
    <s v="Narva-EJ-TG1"/>
    <x v="7"/>
    <x v="6"/>
    <n v="167"/>
    <n v="10159.166666666701"/>
    <n v="36573"/>
  </r>
  <r>
    <x v="0"/>
    <x v="0"/>
    <x v="0"/>
    <x v="1"/>
    <x v="2"/>
    <s v="EE_Narva"/>
    <x v="6"/>
    <x v="5"/>
    <s v="Narva-EJ-TG1"/>
    <x v="7"/>
    <x v="7"/>
    <n v="167"/>
    <n v="10159.166666666701"/>
    <n v="36573"/>
  </r>
  <r>
    <x v="0"/>
    <x v="0"/>
    <x v="0"/>
    <x v="1"/>
    <x v="2"/>
    <s v="EE_Narva"/>
    <x v="6"/>
    <x v="5"/>
    <s v="Narva-EJ-TG1"/>
    <x v="7"/>
    <x v="8"/>
    <n v="167"/>
    <n v="10159.166666666701"/>
    <n v="36573"/>
  </r>
  <r>
    <x v="0"/>
    <x v="0"/>
    <x v="0"/>
    <x v="1"/>
    <x v="2"/>
    <s v="EE_Narva"/>
    <x v="6"/>
    <x v="5"/>
    <s v="Narva-EJ-TG1"/>
    <x v="7"/>
    <x v="9"/>
    <n v="167"/>
    <n v="10159.166666666701"/>
    <n v="36573"/>
  </r>
  <r>
    <x v="0"/>
    <x v="0"/>
    <x v="0"/>
    <x v="1"/>
    <x v="2"/>
    <s v="EE_Narva"/>
    <x v="6"/>
    <x v="5"/>
    <s v="Narva-EJ-TG1"/>
    <x v="7"/>
    <x v="10"/>
    <n v="167"/>
    <n v="10159.166666666701"/>
    <n v="36573"/>
  </r>
  <r>
    <x v="0"/>
    <x v="0"/>
    <x v="0"/>
    <x v="1"/>
    <x v="2"/>
    <s v="EE_Narva"/>
    <x v="6"/>
    <x v="5"/>
    <s v="Narva-EJ-TG1"/>
    <x v="7"/>
    <x v="11"/>
    <n v="167"/>
    <n v="10159.166666666701"/>
    <n v="36573"/>
  </r>
  <r>
    <x v="0"/>
    <x v="0"/>
    <x v="0"/>
    <x v="1"/>
    <x v="2"/>
    <s v="EE_Narva"/>
    <x v="6"/>
    <x v="5"/>
    <s v="Narva-EJ-TG1"/>
    <x v="8"/>
    <x v="1"/>
    <n v="167"/>
    <n v="10159.166666666701"/>
    <n v="36573"/>
  </r>
  <r>
    <x v="0"/>
    <x v="0"/>
    <x v="0"/>
    <x v="1"/>
    <x v="2"/>
    <s v="EE_Narva"/>
    <x v="6"/>
    <x v="5"/>
    <s v="Narva-EJ-TG1"/>
    <x v="8"/>
    <x v="3"/>
    <n v="167"/>
    <n v="10159.166666666701"/>
    <n v="36573"/>
  </r>
  <r>
    <x v="0"/>
    <x v="0"/>
    <x v="0"/>
    <x v="1"/>
    <x v="2"/>
    <s v="EE_Narva"/>
    <x v="6"/>
    <x v="5"/>
    <s v="Narva-EJ-TG1"/>
    <x v="8"/>
    <x v="4"/>
    <n v="167"/>
    <n v="10159.166666666701"/>
    <n v="36573"/>
  </r>
  <r>
    <x v="0"/>
    <x v="0"/>
    <x v="0"/>
    <x v="1"/>
    <x v="2"/>
    <s v="EE_Narva"/>
    <x v="6"/>
    <x v="5"/>
    <s v="Narva-EJ-TG1"/>
    <x v="8"/>
    <x v="5"/>
    <n v="167"/>
    <n v="10159.166666666701"/>
    <n v="36573"/>
  </r>
  <r>
    <x v="0"/>
    <x v="0"/>
    <x v="0"/>
    <x v="1"/>
    <x v="2"/>
    <s v="EE_Narva"/>
    <x v="6"/>
    <x v="5"/>
    <s v="Narva-EJ-TG1"/>
    <x v="8"/>
    <x v="7"/>
    <n v="167"/>
    <n v="10159.166666666701"/>
    <n v="36573"/>
  </r>
  <r>
    <x v="0"/>
    <x v="0"/>
    <x v="0"/>
    <x v="1"/>
    <x v="2"/>
    <s v="EE_Narva"/>
    <x v="6"/>
    <x v="5"/>
    <s v="Narva-EJ-TG1"/>
    <x v="8"/>
    <x v="8"/>
    <n v="167"/>
    <n v="10159.166666666701"/>
    <n v="36573"/>
  </r>
  <r>
    <x v="0"/>
    <x v="0"/>
    <x v="0"/>
    <x v="1"/>
    <x v="2"/>
    <s v="EE_Narva"/>
    <x v="6"/>
    <x v="5"/>
    <s v="Narva-EJ-TG1"/>
    <x v="8"/>
    <x v="9"/>
    <n v="167"/>
    <n v="10159.166666666701"/>
    <n v="36573"/>
  </r>
  <r>
    <x v="0"/>
    <x v="0"/>
    <x v="0"/>
    <x v="1"/>
    <x v="2"/>
    <s v="EE_Narva"/>
    <x v="6"/>
    <x v="5"/>
    <s v="Narva-EJ-TG1"/>
    <x v="8"/>
    <x v="10"/>
    <n v="87.430646266720998"/>
    <n v="5318.6976478921897"/>
    <n v="19147.311532411899"/>
  </r>
  <r>
    <x v="0"/>
    <x v="0"/>
    <x v="0"/>
    <x v="1"/>
    <x v="2"/>
    <s v="EE_Narva"/>
    <x v="6"/>
    <x v="5"/>
    <s v="Narva-EJ-TG1"/>
    <x v="8"/>
    <x v="11"/>
    <n v="167"/>
    <n v="10159.166666666701"/>
    <n v="36573"/>
  </r>
  <r>
    <x v="0"/>
    <x v="0"/>
    <x v="0"/>
    <x v="1"/>
    <x v="2"/>
    <s v="EE_Narva"/>
    <x v="6"/>
    <x v="5"/>
    <s v="Narva-EJ-TG1"/>
    <x v="9"/>
    <x v="0"/>
    <n v="167"/>
    <n v="10159.166666666701"/>
    <n v="36573"/>
  </r>
  <r>
    <x v="0"/>
    <x v="0"/>
    <x v="0"/>
    <x v="1"/>
    <x v="2"/>
    <s v="EE_Narva"/>
    <x v="6"/>
    <x v="5"/>
    <s v="Narva-EJ-TG1"/>
    <x v="9"/>
    <x v="1"/>
    <n v="167"/>
    <n v="10159.166666666701"/>
    <n v="36573"/>
  </r>
  <r>
    <x v="0"/>
    <x v="0"/>
    <x v="0"/>
    <x v="1"/>
    <x v="2"/>
    <s v="EE_Narva"/>
    <x v="6"/>
    <x v="5"/>
    <s v="Narva-EJ-TG1"/>
    <x v="9"/>
    <x v="2"/>
    <n v="167"/>
    <n v="10159.166666666701"/>
    <n v="36573"/>
  </r>
  <r>
    <x v="0"/>
    <x v="0"/>
    <x v="0"/>
    <x v="1"/>
    <x v="2"/>
    <s v="EE_Narva"/>
    <x v="6"/>
    <x v="5"/>
    <s v="Narva-EJ-TG1"/>
    <x v="9"/>
    <x v="3"/>
    <n v="167"/>
    <n v="10159.166666666701"/>
    <n v="36573"/>
  </r>
  <r>
    <x v="0"/>
    <x v="0"/>
    <x v="0"/>
    <x v="1"/>
    <x v="2"/>
    <s v="EE_Narva"/>
    <x v="6"/>
    <x v="5"/>
    <s v="Narva-EJ-TG1"/>
    <x v="9"/>
    <x v="4"/>
    <n v="167"/>
    <n v="10159.166666666701"/>
    <n v="36573"/>
  </r>
  <r>
    <x v="0"/>
    <x v="0"/>
    <x v="0"/>
    <x v="1"/>
    <x v="2"/>
    <s v="EE_Narva"/>
    <x v="6"/>
    <x v="5"/>
    <s v="Narva-EJ-TG1"/>
    <x v="9"/>
    <x v="5"/>
    <n v="167"/>
    <n v="10159.166666666701"/>
    <n v="36573"/>
  </r>
  <r>
    <x v="0"/>
    <x v="0"/>
    <x v="0"/>
    <x v="1"/>
    <x v="2"/>
    <s v="EE_Narva"/>
    <x v="6"/>
    <x v="5"/>
    <s v="Narva-EJ-TG1"/>
    <x v="9"/>
    <x v="6"/>
    <n v="167"/>
    <n v="10159.166666666701"/>
    <n v="36573"/>
  </r>
  <r>
    <x v="0"/>
    <x v="0"/>
    <x v="0"/>
    <x v="1"/>
    <x v="2"/>
    <s v="EE_Narva"/>
    <x v="6"/>
    <x v="5"/>
    <s v="Narva-EJ-TG1"/>
    <x v="9"/>
    <x v="7"/>
    <n v="167"/>
    <n v="10159.166666666701"/>
    <n v="36573"/>
  </r>
  <r>
    <x v="0"/>
    <x v="0"/>
    <x v="0"/>
    <x v="1"/>
    <x v="2"/>
    <s v="EE_Narva"/>
    <x v="6"/>
    <x v="5"/>
    <s v="Narva-EJ-TG1"/>
    <x v="9"/>
    <x v="8"/>
    <n v="167"/>
    <n v="10159.166666666701"/>
    <n v="36573"/>
  </r>
  <r>
    <x v="0"/>
    <x v="0"/>
    <x v="0"/>
    <x v="1"/>
    <x v="2"/>
    <s v="EE_Narva"/>
    <x v="6"/>
    <x v="5"/>
    <s v="Narva-EJ-TG1"/>
    <x v="9"/>
    <x v="9"/>
    <n v="167"/>
    <n v="10159.166666666701"/>
    <n v="36573"/>
  </r>
  <r>
    <x v="0"/>
    <x v="0"/>
    <x v="0"/>
    <x v="1"/>
    <x v="2"/>
    <s v="EE_Narva"/>
    <x v="6"/>
    <x v="5"/>
    <s v="Narva-EJ-TG1"/>
    <x v="9"/>
    <x v="10"/>
    <n v="167"/>
    <n v="10159.166666666701"/>
    <n v="36573"/>
  </r>
  <r>
    <x v="0"/>
    <x v="0"/>
    <x v="0"/>
    <x v="1"/>
    <x v="2"/>
    <s v="EE_Narva"/>
    <x v="6"/>
    <x v="5"/>
    <s v="Narva-EJ-TG1"/>
    <x v="9"/>
    <x v="11"/>
    <n v="167"/>
    <n v="10159.166666666701"/>
    <n v="36573"/>
  </r>
  <r>
    <x v="0"/>
    <x v="0"/>
    <x v="0"/>
    <x v="1"/>
    <x v="2"/>
    <s v="EE_Narva"/>
    <x v="6"/>
    <x v="5"/>
    <s v="Narva-EJ-TG1"/>
    <x v="10"/>
    <x v="0"/>
    <n v="167"/>
    <n v="10159.166666666701"/>
    <n v="36573"/>
  </r>
  <r>
    <x v="0"/>
    <x v="0"/>
    <x v="0"/>
    <x v="1"/>
    <x v="2"/>
    <s v="EE_Narva"/>
    <x v="6"/>
    <x v="5"/>
    <s v="Narva-EJ-TG1"/>
    <x v="10"/>
    <x v="1"/>
    <n v="167"/>
    <n v="10159.166666666701"/>
    <n v="36573"/>
  </r>
  <r>
    <x v="0"/>
    <x v="0"/>
    <x v="0"/>
    <x v="1"/>
    <x v="2"/>
    <s v="EE_Narva"/>
    <x v="6"/>
    <x v="5"/>
    <s v="Narva-EJ-TG1"/>
    <x v="10"/>
    <x v="2"/>
    <n v="167"/>
    <n v="10159.166666666701"/>
    <n v="36573"/>
  </r>
  <r>
    <x v="0"/>
    <x v="0"/>
    <x v="0"/>
    <x v="1"/>
    <x v="2"/>
    <s v="EE_Narva"/>
    <x v="6"/>
    <x v="5"/>
    <s v="Narva-EJ-TG1"/>
    <x v="10"/>
    <x v="3"/>
    <n v="167"/>
    <n v="10159.166666666701"/>
    <n v="36573"/>
  </r>
  <r>
    <x v="0"/>
    <x v="0"/>
    <x v="0"/>
    <x v="1"/>
    <x v="2"/>
    <s v="EE_Narva"/>
    <x v="6"/>
    <x v="5"/>
    <s v="Narva-EJ-TG1"/>
    <x v="10"/>
    <x v="4"/>
    <n v="167"/>
    <n v="10159.166666666701"/>
    <n v="36573"/>
  </r>
  <r>
    <x v="0"/>
    <x v="0"/>
    <x v="0"/>
    <x v="1"/>
    <x v="2"/>
    <s v="EE_Narva"/>
    <x v="6"/>
    <x v="5"/>
    <s v="Narva-EJ-TG1"/>
    <x v="10"/>
    <x v="5"/>
    <n v="167"/>
    <n v="10159.166666666701"/>
    <n v="36573"/>
  </r>
  <r>
    <x v="0"/>
    <x v="0"/>
    <x v="0"/>
    <x v="1"/>
    <x v="2"/>
    <s v="EE_Narva"/>
    <x v="6"/>
    <x v="5"/>
    <s v="Narva-EJ-TG1"/>
    <x v="10"/>
    <x v="6"/>
    <n v="167"/>
    <n v="10159.166666666701"/>
    <n v="36573"/>
  </r>
  <r>
    <x v="0"/>
    <x v="0"/>
    <x v="0"/>
    <x v="1"/>
    <x v="2"/>
    <s v="EE_Narva"/>
    <x v="6"/>
    <x v="5"/>
    <s v="Narva-EJ-TG1"/>
    <x v="10"/>
    <x v="7"/>
    <n v="167"/>
    <n v="10159.166666666701"/>
    <n v="36573"/>
  </r>
  <r>
    <x v="0"/>
    <x v="0"/>
    <x v="0"/>
    <x v="1"/>
    <x v="2"/>
    <s v="EE_Narva"/>
    <x v="6"/>
    <x v="5"/>
    <s v="Narva-EJ-TG1"/>
    <x v="10"/>
    <x v="8"/>
    <n v="167"/>
    <n v="10159.166666666701"/>
    <n v="36573"/>
  </r>
  <r>
    <x v="0"/>
    <x v="0"/>
    <x v="0"/>
    <x v="1"/>
    <x v="2"/>
    <s v="EE_Narva"/>
    <x v="6"/>
    <x v="5"/>
    <s v="Narva-EJ-TG1"/>
    <x v="10"/>
    <x v="9"/>
    <n v="167"/>
    <n v="10159.166666666701"/>
    <n v="36573"/>
  </r>
  <r>
    <x v="0"/>
    <x v="0"/>
    <x v="0"/>
    <x v="1"/>
    <x v="2"/>
    <s v="EE_Narva"/>
    <x v="6"/>
    <x v="5"/>
    <s v="Narva-EJ-TG1"/>
    <x v="10"/>
    <x v="10"/>
    <n v="167"/>
    <n v="10159.166666666701"/>
    <n v="36573"/>
  </r>
  <r>
    <x v="0"/>
    <x v="0"/>
    <x v="0"/>
    <x v="1"/>
    <x v="2"/>
    <s v="EE_Narva"/>
    <x v="6"/>
    <x v="5"/>
    <s v="Narva-EJ-TG1"/>
    <x v="10"/>
    <x v="11"/>
    <n v="167"/>
    <n v="10159.166666666701"/>
    <n v="36573"/>
  </r>
  <r>
    <x v="0"/>
    <x v="0"/>
    <x v="0"/>
    <x v="1"/>
    <x v="2"/>
    <s v="EE_Narva"/>
    <x v="6"/>
    <x v="5"/>
    <s v="Narva-EJ-TG1"/>
    <x v="11"/>
    <x v="0"/>
    <n v="46.969355946878601"/>
    <n v="2857.3024867684499"/>
    <n v="10286.2889523664"/>
  </r>
  <r>
    <x v="0"/>
    <x v="0"/>
    <x v="0"/>
    <x v="1"/>
    <x v="2"/>
    <s v="EE_Narva"/>
    <x v="6"/>
    <x v="5"/>
    <s v="Narva-EJ-TG1"/>
    <x v="11"/>
    <x v="1"/>
    <n v="167"/>
    <n v="10159.166666666701"/>
    <n v="36573"/>
  </r>
  <r>
    <x v="0"/>
    <x v="0"/>
    <x v="0"/>
    <x v="1"/>
    <x v="2"/>
    <s v="EE_Narva"/>
    <x v="6"/>
    <x v="5"/>
    <s v="Narva-EJ-TG1"/>
    <x v="11"/>
    <x v="3"/>
    <n v="167"/>
    <n v="10159.166666666701"/>
    <n v="36573"/>
  </r>
  <r>
    <x v="0"/>
    <x v="0"/>
    <x v="0"/>
    <x v="1"/>
    <x v="2"/>
    <s v="EE_Narva"/>
    <x v="6"/>
    <x v="5"/>
    <s v="Narva-EJ-TG1"/>
    <x v="11"/>
    <x v="4"/>
    <n v="167"/>
    <n v="10159.166666666701"/>
    <n v="36573"/>
  </r>
  <r>
    <x v="0"/>
    <x v="0"/>
    <x v="0"/>
    <x v="1"/>
    <x v="2"/>
    <s v="EE_Narva"/>
    <x v="6"/>
    <x v="5"/>
    <s v="Narva-EJ-TG1"/>
    <x v="11"/>
    <x v="6"/>
    <n v="159.467763003654"/>
    <n v="9700.9555827222794"/>
    <n v="34923.440097800201"/>
  </r>
  <r>
    <x v="0"/>
    <x v="0"/>
    <x v="0"/>
    <x v="1"/>
    <x v="2"/>
    <s v="EE_Narva"/>
    <x v="6"/>
    <x v="5"/>
    <s v="Narva-EJ-TG1"/>
    <x v="11"/>
    <x v="8"/>
    <n v="167"/>
    <n v="10159.166666666701"/>
    <n v="36573"/>
  </r>
  <r>
    <x v="0"/>
    <x v="0"/>
    <x v="0"/>
    <x v="1"/>
    <x v="2"/>
    <s v="EE_Narva"/>
    <x v="6"/>
    <x v="5"/>
    <s v="Narva-EJ-TG1"/>
    <x v="11"/>
    <x v="10"/>
    <n v="167"/>
    <n v="10159.166666666701"/>
    <n v="36573"/>
  </r>
  <r>
    <x v="0"/>
    <x v="0"/>
    <x v="0"/>
    <x v="1"/>
    <x v="2"/>
    <s v="EE_Narva"/>
    <x v="6"/>
    <x v="5"/>
    <s v="Narva-EJ-TG1"/>
    <x v="11"/>
    <x v="11"/>
    <n v="167"/>
    <n v="10159.166666666701"/>
    <n v="36573"/>
  </r>
  <r>
    <x v="0"/>
    <x v="0"/>
    <x v="0"/>
    <x v="1"/>
    <x v="2"/>
    <s v="EE_Narva"/>
    <x v="6"/>
    <x v="4"/>
    <s v="Narva-EJ-TG11"/>
    <x v="0"/>
    <x v="0"/>
    <n v="192"/>
    <n v="11680"/>
    <n v="42048"/>
  </r>
  <r>
    <x v="0"/>
    <x v="0"/>
    <x v="0"/>
    <x v="1"/>
    <x v="2"/>
    <s v="EE_Narva"/>
    <x v="6"/>
    <x v="4"/>
    <s v="Narva-EJ-TG11"/>
    <x v="0"/>
    <x v="1"/>
    <n v="192"/>
    <n v="11680"/>
    <n v="42048"/>
  </r>
  <r>
    <x v="0"/>
    <x v="0"/>
    <x v="0"/>
    <x v="1"/>
    <x v="2"/>
    <s v="EE_Narva"/>
    <x v="6"/>
    <x v="4"/>
    <s v="Narva-EJ-TG11"/>
    <x v="0"/>
    <x v="2"/>
    <n v="192"/>
    <n v="11680"/>
    <n v="42048"/>
  </r>
  <r>
    <x v="0"/>
    <x v="0"/>
    <x v="0"/>
    <x v="1"/>
    <x v="2"/>
    <s v="EE_Narva"/>
    <x v="6"/>
    <x v="4"/>
    <s v="Narva-EJ-TG11"/>
    <x v="0"/>
    <x v="3"/>
    <n v="192"/>
    <n v="11680"/>
    <n v="42048"/>
  </r>
  <r>
    <x v="0"/>
    <x v="0"/>
    <x v="0"/>
    <x v="1"/>
    <x v="2"/>
    <s v="EE_Narva"/>
    <x v="6"/>
    <x v="4"/>
    <s v="Narva-EJ-TG11"/>
    <x v="0"/>
    <x v="4"/>
    <n v="192"/>
    <n v="11680"/>
    <n v="42048"/>
  </r>
  <r>
    <x v="0"/>
    <x v="0"/>
    <x v="0"/>
    <x v="1"/>
    <x v="2"/>
    <s v="EE_Narva"/>
    <x v="6"/>
    <x v="4"/>
    <s v="Narva-EJ-TG11"/>
    <x v="0"/>
    <x v="5"/>
    <n v="192"/>
    <n v="11680"/>
    <n v="42048"/>
  </r>
  <r>
    <x v="0"/>
    <x v="0"/>
    <x v="0"/>
    <x v="1"/>
    <x v="2"/>
    <s v="EE_Narva"/>
    <x v="6"/>
    <x v="4"/>
    <s v="Narva-EJ-TG11"/>
    <x v="0"/>
    <x v="6"/>
    <n v="192"/>
    <n v="11680"/>
    <n v="42048"/>
  </r>
  <r>
    <x v="0"/>
    <x v="0"/>
    <x v="0"/>
    <x v="1"/>
    <x v="2"/>
    <s v="EE_Narva"/>
    <x v="6"/>
    <x v="4"/>
    <s v="Narva-EJ-TG11"/>
    <x v="0"/>
    <x v="7"/>
    <n v="192"/>
    <n v="11680"/>
    <n v="42048"/>
  </r>
  <r>
    <x v="0"/>
    <x v="0"/>
    <x v="0"/>
    <x v="1"/>
    <x v="2"/>
    <s v="EE_Narva"/>
    <x v="6"/>
    <x v="4"/>
    <s v="Narva-EJ-TG11"/>
    <x v="0"/>
    <x v="8"/>
    <n v="192"/>
    <n v="11680"/>
    <n v="42048"/>
  </r>
  <r>
    <x v="0"/>
    <x v="0"/>
    <x v="0"/>
    <x v="1"/>
    <x v="2"/>
    <s v="EE_Narva"/>
    <x v="6"/>
    <x v="4"/>
    <s v="Narva-EJ-TG11"/>
    <x v="0"/>
    <x v="9"/>
    <n v="192"/>
    <n v="11680"/>
    <n v="42048"/>
  </r>
  <r>
    <x v="0"/>
    <x v="0"/>
    <x v="0"/>
    <x v="1"/>
    <x v="2"/>
    <s v="EE_Narva"/>
    <x v="6"/>
    <x v="4"/>
    <s v="Narva-EJ-TG11"/>
    <x v="0"/>
    <x v="10"/>
    <n v="192"/>
    <n v="11680"/>
    <n v="42048"/>
  </r>
  <r>
    <x v="0"/>
    <x v="0"/>
    <x v="0"/>
    <x v="1"/>
    <x v="2"/>
    <s v="EE_Narva"/>
    <x v="6"/>
    <x v="4"/>
    <s v="Narva-EJ-TG11"/>
    <x v="0"/>
    <x v="11"/>
    <n v="192"/>
    <n v="11680"/>
    <n v="42048"/>
  </r>
  <r>
    <x v="0"/>
    <x v="0"/>
    <x v="0"/>
    <x v="1"/>
    <x v="2"/>
    <s v="EE_Narva"/>
    <x v="6"/>
    <x v="4"/>
    <s v="Narva-EJ-TG11"/>
    <x v="1"/>
    <x v="0"/>
    <n v="192"/>
    <n v="11680"/>
    <n v="42048"/>
  </r>
  <r>
    <x v="0"/>
    <x v="0"/>
    <x v="0"/>
    <x v="1"/>
    <x v="2"/>
    <s v="EE_Narva"/>
    <x v="6"/>
    <x v="4"/>
    <s v="Narva-EJ-TG11"/>
    <x v="1"/>
    <x v="1"/>
    <n v="192"/>
    <n v="11680"/>
    <n v="42048"/>
  </r>
  <r>
    <x v="0"/>
    <x v="0"/>
    <x v="0"/>
    <x v="1"/>
    <x v="2"/>
    <s v="EE_Narva"/>
    <x v="6"/>
    <x v="4"/>
    <s v="Narva-EJ-TG11"/>
    <x v="1"/>
    <x v="2"/>
    <n v="192"/>
    <n v="11680"/>
    <n v="42048"/>
  </r>
  <r>
    <x v="0"/>
    <x v="0"/>
    <x v="0"/>
    <x v="1"/>
    <x v="2"/>
    <s v="EE_Narva"/>
    <x v="6"/>
    <x v="4"/>
    <s v="Narva-EJ-TG11"/>
    <x v="1"/>
    <x v="3"/>
    <n v="192"/>
    <n v="11680"/>
    <n v="42048"/>
  </r>
  <r>
    <x v="0"/>
    <x v="0"/>
    <x v="0"/>
    <x v="1"/>
    <x v="2"/>
    <s v="EE_Narva"/>
    <x v="6"/>
    <x v="4"/>
    <s v="Narva-EJ-TG11"/>
    <x v="1"/>
    <x v="4"/>
    <n v="192"/>
    <n v="11680"/>
    <n v="42048"/>
  </r>
  <r>
    <x v="0"/>
    <x v="0"/>
    <x v="0"/>
    <x v="1"/>
    <x v="2"/>
    <s v="EE_Narva"/>
    <x v="6"/>
    <x v="4"/>
    <s v="Narva-EJ-TG11"/>
    <x v="1"/>
    <x v="5"/>
    <n v="192"/>
    <n v="11680"/>
    <n v="42048"/>
  </r>
  <r>
    <x v="0"/>
    <x v="0"/>
    <x v="0"/>
    <x v="1"/>
    <x v="2"/>
    <s v="EE_Narva"/>
    <x v="6"/>
    <x v="4"/>
    <s v="Narva-EJ-TG11"/>
    <x v="1"/>
    <x v="6"/>
    <n v="192"/>
    <n v="11680"/>
    <n v="42048"/>
  </r>
  <r>
    <x v="0"/>
    <x v="0"/>
    <x v="0"/>
    <x v="1"/>
    <x v="2"/>
    <s v="EE_Narva"/>
    <x v="6"/>
    <x v="4"/>
    <s v="Narva-EJ-TG11"/>
    <x v="1"/>
    <x v="7"/>
    <n v="192"/>
    <n v="11680"/>
    <n v="42048"/>
  </r>
  <r>
    <x v="0"/>
    <x v="0"/>
    <x v="0"/>
    <x v="1"/>
    <x v="2"/>
    <s v="EE_Narva"/>
    <x v="6"/>
    <x v="4"/>
    <s v="Narva-EJ-TG11"/>
    <x v="1"/>
    <x v="8"/>
    <n v="192"/>
    <n v="11680"/>
    <n v="42048"/>
  </r>
  <r>
    <x v="0"/>
    <x v="0"/>
    <x v="0"/>
    <x v="1"/>
    <x v="2"/>
    <s v="EE_Narva"/>
    <x v="6"/>
    <x v="4"/>
    <s v="Narva-EJ-TG11"/>
    <x v="1"/>
    <x v="9"/>
    <n v="192"/>
    <n v="11680"/>
    <n v="42048"/>
  </r>
  <r>
    <x v="0"/>
    <x v="0"/>
    <x v="0"/>
    <x v="1"/>
    <x v="2"/>
    <s v="EE_Narva"/>
    <x v="6"/>
    <x v="4"/>
    <s v="Narva-EJ-TG11"/>
    <x v="1"/>
    <x v="10"/>
    <n v="192"/>
    <n v="11680"/>
    <n v="42048"/>
  </r>
  <r>
    <x v="0"/>
    <x v="0"/>
    <x v="0"/>
    <x v="1"/>
    <x v="2"/>
    <s v="EE_Narva"/>
    <x v="6"/>
    <x v="4"/>
    <s v="Narva-EJ-TG11"/>
    <x v="1"/>
    <x v="11"/>
    <n v="192"/>
    <n v="11680"/>
    <n v="42048"/>
  </r>
  <r>
    <x v="0"/>
    <x v="0"/>
    <x v="0"/>
    <x v="1"/>
    <x v="2"/>
    <s v="EE_Narva"/>
    <x v="6"/>
    <x v="4"/>
    <s v="Narva-EJ-TG11"/>
    <x v="2"/>
    <x v="0"/>
    <n v="192"/>
    <n v="11680"/>
    <n v="42048"/>
  </r>
  <r>
    <x v="0"/>
    <x v="0"/>
    <x v="0"/>
    <x v="1"/>
    <x v="2"/>
    <s v="EE_Narva"/>
    <x v="6"/>
    <x v="4"/>
    <s v="Narva-EJ-TG11"/>
    <x v="2"/>
    <x v="1"/>
    <n v="192"/>
    <n v="11680"/>
    <n v="42048"/>
  </r>
  <r>
    <x v="0"/>
    <x v="0"/>
    <x v="0"/>
    <x v="1"/>
    <x v="2"/>
    <s v="EE_Narva"/>
    <x v="6"/>
    <x v="4"/>
    <s v="Narva-EJ-TG11"/>
    <x v="2"/>
    <x v="2"/>
    <n v="192"/>
    <n v="11680"/>
    <n v="42048"/>
  </r>
  <r>
    <x v="0"/>
    <x v="0"/>
    <x v="0"/>
    <x v="1"/>
    <x v="2"/>
    <s v="EE_Narva"/>
    <x v="6"/>
    <x v="4"/>
    <s v="Narva-EJ-TG11"/>
    <x v="2"/>
    <x v="3"/>
    <n v="192"/>
    <n v="11680"/>
    <n v="42048"/>
  </r>
  <r>
    <x v="0"/>
    <x v="0"/>
    <x v="0"/>
    <x v="1"/>
    <x v="2"/>
    <s v="EE_Narva"/>
    <x v="6"/>
    <x v="4"/>
    <s v="Narva-EJ-TG11"/>
    <x v="2"/>
    <x v="4"/>
    <n v="192"/>
    <n v="11680"/>
    <n v="42048"/>
  </r>
  <r>
    <x v="0"/>
    <x v="0"/>
    <x v="0"/>
    <x v="1"/>
    <x v="2"/>
    <s v="EE_Narva"/>
    <x v="6"/>
    <x v="4"/>
    <s v="Narva-EJ-TG11"/>
    <x v="2"/>
    <x v="5"/>
    <n v="192"/>
    <n v="11680"/>
    <n v="42048"/>
  </r>
  <r>
    <x v="0"/>
    <x v="0"/>
    <x v="0"/>
    <x v="1"/>
    <x v="2"/>
    <s v="EE_Narva"/>
    <x v="6"/>
    <x v="4"/>
    <s v="Narva-EJ-TG11"/>
    <x v="2"/>
    <x v="6"/>
    <n v="192"/>
    <n v="11680"/>
    <n v="42048"/>
  </r>
  <r>
    <x v="0"/>
    <x v="0"/>
    <x v="0"/>
    <x v="1"/>
    <x v="2"/>
    <s v="EE_Narva"/>
    <x v="6"/>
    <x v="4"/>
    <s v="Narva-EJ-TG11"/>
    <x v="2"/>
    <x v="7"/>
    <n v="192"/>
    <n v="11680"/>
    <n v="42048"/>
  </r>
  <r>
    <x v="0"/>
    <x v="0"/>
    <x v="0"/>
    <x v="1"/>
    <x v="2"/>
    <s v="EE_Narva"/>
    <x v="6"/>
    <x v="4"/>
    <s v="Narva-EJ-TG11"/>
    <x v="2"/>
    <x v="8"/>
    <n v="192"/>
    <n v="11680"/>
    <n v="42048"/>
  </r>
  <r>
    <x v="0"/>
    <x v="0"/>
    <x v="0"/>
    <x v="1"/>
    <x v="2"/>
    <s v="EE_Narva"/>
    <x v="6"/>
    <x v="4"/>
    <s v="Narva-EJ-TG11"/>
    <x v="2"/>
    <x v="9"/>
    <n v="192"/>
    <n v="11680"/>
    <n v="42048"/>
  </r>
  <r>
    <x v="0"/>
    <x v="0"/>
    <x v="0"/>
    <x v="1"/>
    <x v="2"/>
    <s v="EE_Narva"/>
    <x v="6"/>
    <x v="4"/>
    <s v="Narva-EJ-TG11"/>
    <x v="2"/>
    <x v="10"/>
    <n v="192"/>
    <n v="11680"/>
    <n v="42048"/>
  </r>
  <r>
    <x v="0"/>
    <x v="0"/>
    <x v="0"/>
    <x v="1"/>
    <x v="2"/>
    <s v="EE_Narva"/>
    <x v="6"/>
    <x v="4"/>
    <s v="Narva-EJ-TG11"/>
    <x v="2"/>
    <x v="11"/>
    <n v="192"/>
    <n v="11680"/>
    <n v="42048"/>
  </r>
  <r>
    <x v="0"/>
    <x v="0"/>
    <x v="0"/>
    <x v="1"/>
    <x v="2"/>
    <s v="EE_Narva"/>
    <x v="6"/>
    <x v="4"/>
    <s v="Narva-EJ-TG11"/>
    <x v="3"/>
    <x v="0"/>
    <n v="192"/>
    <n v="11680"/>
    <n v="42048"/>
  </r>
  <r>
    <x v="0"/>
    <x v="0"/>
    <x v="0"/>
    <x v="1"/>
    <x v="2"/>
    <s v="EE_Narva"/>
    <x v="6"/>
    <x v="4"/>
    <s v="Narva-EJ-TG11"/>
    <x v="3"/>
    <x v="1"/>
    <n v="192"/>
    <n v="11680"/>
    <n v="42048"/>
  </r>
  <r>
    <x v="0"/>
    <x v="0"/>
    <x v="0"/>
    <x v="1"/>
    <x v="2"/>
    <s v="EE_Narva"/>
    <x v="6"/>
    <x v="4"/>
    <s v="Narva-EJ-TG11"/>
    <x v="3"/>
    <x v="2"/>
    <n v="192"/>
    <n v="11680"/>
    <n v="42048"/>
  </r>
  <r>
    <x v="0"/>
    <x v="0"/>
    <x v="0"/>
    <x v="1"/>
    <x v="2"/>
    <s v="EE_Narva"/>
    <x v="6"/>
    <x v="4"/>
    <s v="Narva-EJ-TG11"/>
    <x v="3"/>
    <x v="3"/>
    <n v="192"/>
    <n v="11680"/>
    <n v="42048"/>
  </r>
  <r>
    <x v="0"/>
    <x v="0"/>
    <x v="0"/>
    <x v="1"/>
    <x v="2"/>
    <s v="EE_Narva"/>
    <x v="6"/>
    <x v="4"/>
    <s v="Narva-EJ-TG11"/>
    <x v="3"/>
    <x v="4"/>
    <n v="192"/>
    <n v="11680"/>
    <n v="42048"/>
  </r>
  <r>
    <x v="0"/>
    <x v="0"/>
    <x v="0"/>
    <x v="1"/>
    <x v="2"/>
    <s v="EE_Narva"/>
    <x v="6"/>
    <x v="4"/>
    <s v="Narva-EJ-TG11"/>
    <x v="3"/>
    <x v="5"/>
    <n v="192"/>
    <n v="11680"/>
    <n v="42048"/>
  </r>
  <r>
    <x v="0"/>
    <x v="0"/>
    <x v="0"/>
    <x v="1"/>
    <x v="2"/>
    <s v="EE_Narva"/>
    <x v="6"/>
    <x v="4"/>
    <s v="Narva-EJ-TG11"/>
    <x v="3"/>
    <x v="6"/>
    <n v="192"/>
    <n v="11680"/>
    <n v="42048"/>
  </r>
  <r>
    <x v="0"/>
    <x v="0"/>
    <x v="0"/>
    <x v="1"/>
    <x v="2"/>
    <s v="EE_Narva"/>
    <x v="6"/>
    <x v="4"/>
    <s v="Narva-EJ-TG11"/>
    <x v="3"/>
    <x v="7"/>
    <n v="192"/>
    <n v="11680"/>
    <n v="42048"/>
  </r>
  <r>
    <x v="0"/>
    <x v="0"/>
    <x v="0"/>
    <x v="1"/>
    <x v="2"/>
    <s v="EE_Narva"/>
    <x v="6"/>
    <x v="4"/>
    <s v="Narva-EJ-TG11"/>
    <x v="3"/>
    <x v="8"/>
    <n v="192"/>
    <n v="11680"/>
    <n v="42048"/>
  </r>
  <r>
    <x v="0"/>
    <x v="0"/>
    <x v="0"/>
    <x v="1"/>
    <x v="2"/>
    <s v="EE_Narva"/>
    <x v="6"/>
    <x v="4"/>
    <s v="Narva-EJ-TG11"/>
    <x v="3"/>
    <x v="9"/>
    <n v="192"/>
    <n v="11680"/>
    <n v="42048"/>
  </r>
  <r>
    <x v="0"/>
    <x v="0"/>
    <x v="0"/>
    <x v="1"/>
    <x v="2"/>
    <s v="EE_Narva"/>
    <x v="6"/>
    <x v="4"/>
    <s v="Narva-EJ-TG11"/>
    <x v="3"/>
    <x v="10"/>
    <n v="192"/>
    <n v="11680"/>
    <n v="42048"/>
  </r>
  <r>
    <x v="0"/>
    <x v="0"/>
    <x v="0"/>
    <x v="1"/>
    <x v="2"/>
    <s v="EE_Narva"/>
    <x v="6"/>
    <x v="4"/>
    <s v="Narva-EJ-TG11"/>
    <x v="3"/>
    <x v="11"/>
    <n v="192"/>
    <n v="11680"/>
    <n v="42048"/>
  </r>
  <r>
    <x v="0"/>
    <x v="0"/>
    <x v="0"/>
    <x v="1"/>
    <x v="2"/>
    <s v="EE_Narva"/>
    <x v="6"/>
    <x v="4"/>
    <s v="Narva-EJ-TG11"/>
    <x v="4"/>
    <x v="0"/>
    <n v="192"/>
    <n v="11680"/>
    <n v="42048"/>
  </r>
  <r>
    <x v="0"/>
    <x v="0"/>
    <x v="0"/>
    <x v="1"/>
    <x v="2"/>
    <s v="EE_Narva"/>
    <x v="6"/>
    <x v="4"/>
    <s v="Narva-EJ-TG11"/>
    <x v="4"/>
    <x v="1"/>
    <n v="192"/>
    <n v="11680"/>
    <n v="42048"/>
  </r>
  <r>
    <x v="0"/>
    <x v="0"/>
    <x v="0"/>
    <x v="1"/>
    <x v="2"/>
    <s v="EE_Narva"/>
    <x v="6"/>
    <x v="4"/>
    <s v="Narva-EJ-TG11"/>
    <x v="4"/>
    <x v="2"/>
    <n v="192"/>
    <n v="11680"/>
    <n v="42048"/>
  </r>
  <r>
    <x v="0"/>
    <x v="0"/>
    <x v="0"/>
    <x v="1"/>
    <x v="2"/>
    <s v="EE_Narva"/>
    <x v="6"/>
    <x v="4"/>
    <s v="Narva-EJ-TG11"/>
    <x v="4"/>
    <x v="3"/>
    <n v="192"/>
    <n v="11680"/>
    <n v="42048"/>
  </r>
  <r>
    <x v="0"/>
    <x v="0"/>
    <x v="0"/>
    <x v="1"/>
    <x v="2"/>
    <s v="EE_Narva"/>
    <x v="6"/>
    <x v="4"/>
    <s v="Narva-EJ-TG11"/>
    <x v="4"/>
    <x v="4"/>
    <n v="192"/>
    <n v="11680"/>
    <n v="42048"/>
  </r>
  <r>
    <x v="0"/>
    <x v="0"/>
    <x v="0"/>
    <x v="1"/>
    <x v="2"/>
    <s v="EE_Narva"/>
    <x v="6"/>
    <x v="4"/>
    <s v="Narva-EJ-TG11"/>
    <x v="4"/>
    <x v="5"/>
    <n v="192"/>
    <n v="11680"/>
    <n v="42048"/>
  </r>
  <r>
    <x v="0"/>
    <x v="0"/>
    <x v="0"/>
    <x v="1"/>
    <x v="2"/>
    <s v="EE_Narva"/>
    <x v="6"/>
    <x v="4"/>
    <s v="Narva-EJ-TG11"/>
    <x v="4"/>
    <x v="6"/>
    <n v="192"/>
    <n v="11680"/>
    <n v="42048"/>
  </r>
  <r>
    <x v="0"/>
    <x v="0"/>
    <x v="0"/>
    <x v="1"/>
    <x v="2"/>
    <s v="EE_Narva"/>
    <x v="6"/>
    <x v="4"/>
    <s v="Narva-EJ-TG11"/>
    <x v="4"/>
    <x v="7"/>
    <n v="192"/>
    <n v="11680"/>
    <n v="42048"/>
  </r>
  <r>
    <x v="0"/>
    <x v="0"/>
    <x v="0"/>
    <x v="1"/>
    <x v="2"/>
    <s v="EE_Narva"/>
    <x v="6"/>
    <x v="4"/>
    <s v="Narva-EJ-TG11"/>
    <x v="4"/>
    <x v="8"/>
    <n v="192"/>
    <n v="11680"/>
    <n v="42048"/>
  </r>
  <r>
    <x v="0"/>
    <x v="0"/>
    <x v="0"/>
    <x v="1"/>
    <x v="2"/>
    <s v="EE_Narva"/>
    <x v="6"/>
    <x v="4"/>
    <s v="Narva-EJ-TG11"/>
    <x v="4"/>
    <x v="9"/>
    <n v="192"/>
    <n v="11680"/>
    <n v="42048"/>
  </r>
  <r>
    <x v="0"/>
    <x v="0"/>
    <x v="0"/>
    <x v="1"/>
    <x v="2"/>
    <s v="EE_Narva"/>
    <x v="6"/>
    <x v="4"/>
    <s v="Narva-EJ-TG11"/>
    <x v="4"/>
    <x v="10"/>
    <n v="192"/>
    <n v="11680"/>
    <n v="42048"/>
  </r>
  <r>
    <x v="0"/>
    <x v="0"/>
    <x v="0"/>
    <x v="1"/>
    <x v="2"/>
    <s v="EE_Narva"/>
    <x v="6"/>
    <x v="4"/>
    <s v="Narva-EJ-TG11"/>
    <x v="4"/>
    <x v="11"/>
    <n v="192"/>
    <n v="11680"/>
    <n v="42048"/>
  </r>
  <r>
    <x v="0"/>
    <x v="0"/>
    <x v="0"/>
    <x v="1"/>
    <x v="2"/>
    <s v="EE_Narva"/>
    <x v="6"/>
    <x v="4"/>
    <s v="Narva-EJ-TG11"/>
    <x v="5"/>
    <x v="0"/>
    <n v="192"/>
    <n v="11680"/>
    <n v="42048"/>
  </r>
  <r>
    <x v="0"/>
    <x v="0"/>
    <x v="0"/>
    <x v="1"/>
    <x v="2"/>
    <s v="EE_Narva"/>
    <x v="6"/>
    <x v="4"/>
    <s v="Narva-EJ-TG11"/>
    <x v="5"/>
    <x v="1"/>
    <n v="192"/>
    <n v="11680"/>
    <n v="42048"/>
  </r>
  <r>
    <x v="0"/>
    <x v="0"/>
    <x v="0"/>
    <x v="1"/>
    <x v="2"/>
    <s v="EE_Narva"/>
    <x v="6"/>
    <x v="4"/>
    <s v="Narva-EJ-TG11"/>
    <x v="5"/>
    <x v="2"/>
    <n v="192"/>
    <n v="11680"/>
    <n v="42048"/>
  </r>
  <r>
    <x v="0"/>
    <x v="0"/>
    <x v="0"/>
    <x v="1"/>
    <x v="2"/>
    <s v="EE_Narva"/>
    <x v="6"/>
    <x v="4"/>
    <s v="Narva-EJ-TG11"/>
    <x v="5"/>
    <x v="3"/>
    <n v="192"/>
    <n v="11680"/>
    <n v="42048"/>
  </r>
  <r>
    <x v="0"/>
    <x v="0"/>
    <x v="0"/>
    <x v="1"/>
    <x v="2"/>
    <s v="EE_Narva"/>
    <x v="6"/>
    <x v="4"/>
    <s v="Narva-EJ-TG11"/>
    <x v="5"/>
    <x v="4"/>
    <n v="192"/>
    <n v="11680"/>
    <n v="42048"/>
  </r>
  <r>
    <x v="0"/>
    <x v="0"/>
    <x v="0"/>
    <x v="1"/>
    <x v="2"/>
    <s v="EE_Narva"/>
    <x v="6"/>
    <x v="4"/>
    <s v="Narva-EJ-TG11"/>
    <x v="5"/>
    <x v="5"/>
    <n v="192"/>
    <n v="11680"/>
    <n v="42048"/>
  </r>
  <r>
    <x v="0"/>
    <x v="0"/>
    <x v="0"/>
    <x v="1"/>
    <x v="2"/>
    <s v="EE_Narva"/>
    <x v="6"/>
    <x v="4"/>
    <s v="Narva-EJ-TG11"/>
    <x v="5"/>
    <x v="6"/>
    <n v="192"/>
    <n v="11680"/>
    <n v="42048"/>
  </r>
  <r>
    <x v="0"/>
    <x v="0"/>
    <x v="0"/>
    <x v="1"/>
    <x v="2"/>
    <s v="EE_Narva"/>
    <x v="6"/>
    <x v="4"/>
    <s v="Narva-EJ-TG11"/>
    <x v="5"/>
    <x v="7"/>
    <n v="192"/>
    <n v="11680"/>
    <n v="42048"/>
  </r>
  <r>
    <x v="0"/>
    <x v="0"/>
    <x v="0"/>
    <x v="1"/>
    <x v="2"/>
    <s v="EE_Narva"/>
    <x v="6"/>
    <x v="4"/>
    <s v="Narva-EJ-TG11"/>
    <x v="5"/>
    <x v="8"/>
    <n v="192"/>
    <n v="11680"/>
    <n v="42048"/>
  </r>
  <r>
    <x v="0"/>
    <x v="0"/>
    <x v="0"/>
    <x v="1"/>
    <x v="2"/>
    <s v="EE_Narva"/>
    <x v="6"/>
    <x v="4"/>
    <s v="Narva-EJ-TG11"/>
    <x v="5"/>
    <x v="9"/>
    <n v="192"/>
    <n v="11680"/>
    <n v="42048"/>
  </r>
  <r>
    <x v="0"/>
    <x v="0"/>
    <x v="0"/>
    <x v="1"/>
    <x v="2"/>
    <s v="EE_Narva"/>
    <x v="6"/>
    <x v="4"/>
    <s v="Narva-EJ-TG11"/>
    <x v="5"/>
    <x v="10"/>
    <n v="192"/>
    <n v="11680"/>
    <n v="42048"/>
  </r>
  <r>
    <x v="0"/>
    <x v="0"/>
    <x v="0"/>
    <x v="1"/>
    <x v="2"/>
    <s v="EE_Narva"/>
    <x v="6"/>
    <x v="4"/>
    <s v="Narva-EJ-TG11"/>
    <x v="5"/>
    <x v="11"/>
    <n v="192"/>
    <n v="11680"/>
    <n v="42048"/>
  </r>
  <r>
    <x v="0"/>
    <x v="0"/>
    <x v="0"/>
    <x v="1"/>
    <x v="2"/>
    <s v="EE_Narva"/>
    <x v="6"/>
    <x v="4"/>
    <s v="Narva-EJ-TG11"/>
    <x v="6"/>
    <x v="0"/>
    <n v="192"/>
    <n v="11680"/>
    <n v="42048"/>
  </r>
  <r>
    <x v="0"/>
    <x v="0"/>
    <x v="0"/>
    <x v="1"/>
    <x v="2"/>
    <s v="EE_Narva"/>
    <x v="6"/>
    <x v="4"/>
    <s v="Narva-EJ-TG11"/>
    <x v="6"/>
    <x v="1"/>
    <n v="192"/>
    <n v="11680"/>
    <n v="42048"/>
  </r>
  <r>
    <x v="0"/>
    <x v="0"/>
    <x v="0"/>
    <x v="1"/>
    <x v="2"/>
    <s v="EE_Narva"/>
    <x v="6"/>
    <x v="4"/>
    <s v="Narva-EJ-TG11"/>
    <x v="6"/>
    <x v="2"/>
    <n v="192"/>
    <n v="11680"/>
    <n v="42048"/>
  </r>
  <r>
    <x v="0"/>
    <x v="0"/>
    <x v="0"/>
    <x v="1"/>
    <x v="2"/>
    <s v="EE_Narva"/>
    <x v="6"/>
    <x v="4"/>
    <s v="Narva-EJ-TG11"/>
    <x v="6"/>
    <x v="3"/>
    <n v="192"/>
    <n v="11680"/>
    <n v="42048"/>
  </r>
  <r>
    <x v="0"/>
    <x v="0"/>
    <x v="0"/>
    <x v="1"/>
    <x v="2"/>
    <s v="EE_Narva"/>
    <x v="6"/>
    <x v="4"/>
    <s v="Narva-EJ-TG11"/>
    <x v="6"/>
    <x v="4"/>
    <n v="192"/>
    <n v="11680"/>
    <n v="42048"/>
  </r>
  <r>
    <x v="0"/>
    <x v="0"/>
    <x v="0"/>
    <x v="1"/>
    <x v="2"/>
    <s v="EE_Narva"/>
    <x v="6"/>
    <x v="4"/>
    <s v="Narva-EJ-TG11"/>
    <x v="6"/>
    <x v="5"/>
    <n v="192"/>
    <n v="11680"/>
    <n v="42048"/>
  </r>
  <r>
    <x v="0"/>
    <x v="0"/>
    <x v="0"/>
    <x v="1"/>
    <x v="2"/>
    <s v="EE_Narva"/>
    <x v="6"/>
    <x v="4"/>
    <s v="Narva-EJ-TG11"/>
    <x v="6"/>
    <x v="6"/>
    <n v="192"/>
    <n v="11680"/>
    <n v="42048"/>
  </r>
  <r>
    <x v="0"/>
    <x v="0"/>
    <x v="0"/>
    <x v="1"/>
    <x v="2"/>
    <s v="EE_Narva"/>
    <x v="6"/>
    <x v="4"/>
    <s v="Narva-EJ-TG11"/>
    <x v="6"/>
    <x v="7"/>
    <n v="192"/>
    <n v="11680"/>
    <n v="42048"/>
  </r>
  <r>
    <x v="0"/>
    <x v="0"/>
    <x v="0"/>
    <x v="1"/>
    <x v="2"/>
    <s v="EE_Narva"/>
    <x v="6"/>
    <x v="4"/>
    <s v="Narva-EJ-TG11"/>
    <x v="6"/>
    <x v="8"/>
    <n v="192"/>
    <n v="11680"/>
    <n v="42048"/>
  </r>
  <r>
    <x v="0"/>
    <x v="0"/>
    <x v="0"/>
    <x v="1"/>
    <x v="2"/>
    <s v="EE_Narva"/>
    <x v="6"/>
    <x v="4"/>
    <s v="Narva-EJ-TG11"/>
    <x v="6"/>
    <x v="9"/>
    <n v="192"/>
    <n v="11680"/>
    <n v="42048"/>
  </r>
  <r>
    <x v="0"/>
    <x v="0"/>
    <x v="0"/>
    <x v="1"/>
    <x v="2"/>
    <s v="EE_Narva"/>
    <x v="6"/>
    <x v="4"/>
    <s v="Narva-EJ-TG11"/>
    <x v="6"/>
    <x v="10"/>
    <n v="192"/>
    <n v="11680"/>
    <n v="42048"/>
  </r>
  <r>
    <x v="0"/>
    <x v="0"/>
    <x v="0"/>
    <x v="1"/>
    <x v="2"/>
    <s v="EE_Narva"/>
    <x v="6"/>
    <x v="4"/>
    <s v="Narva-EJ-TG11"/>
    <x v="6"/>
    <x v="11"/>
    <n v="192"/>
    <n v="11680"/>
    <n v="42048"/>
  </r>
  <r>
    <x v="0"/>
    <x v="0"/>
    <x v="0"/>
    <x v="1"/>
    <x v="2"/>
    <s v="EE_Narva"/>
    <x v="6"/>
    <x v="4"/>
    <s v="Narva-EJ-TG11"/>
    <x v="7"/>
    <x v="0"/>
    <n v="192"/>
    <n v="11680"/>
    <n v="42048"/>
  </r>
  <r>
    <x v="0"/>
    <x v="0"/>
    <x v="0"/>
    <x v="1"/>
    <x v="2"/>
    <s v="EE_Narva"/>
    <x v="6"/>
    <x v="4"/>
    <s v="Narva-EJ-TG11"/>
    <x v="7"/>
    <x v="1"/>
    <n v="192"/>
    <n v="11680"/>
    <n v="42048"/>
  </r>
  <r>
    <x v="0"/>
    <x v="0"/>
    <x v="0"/>
    <x v="1"/>
    <x v="2"/>
    <s v="EE_Narva"/>
    <x v="6"/>
    <x v="4"/>
    <s v="Narva-EJ-TG11"/>
    <x v="7"/>
    <x v="2"/>
    <n v="192"/>
    <n v="11680"/>
    <n v="42048"/>
  </r>
  <r>
    <x v="0"/>
    <x v="0"/>
    <x v="0"/>
    <x v="1"/>
    <x v="2"/>
    <s v="EE_Narva"/>
    <x v="6"/>
    <x v="4"/>
    <s v="Narva-EJ-TG11"/>
    <x v="7"/>
    <x v="3"/>
    <n v="192"/>
    <n v="11680"/>
    <n v="42048"/>
  </r>
  <r>
    <x v="0"/>
    <x v="0"/>
    <x v="0"/>
    <x v="1"/>
    <x v="2"/>
    <s v="EE_Narva"/>
    <x v="6"/>
    <x v="4"/>
    <s v="Narva-EJ-TG11"/>
    <x v="7"/>
    <x v="4"/>
    <n v="192"/>
    <n v="11680"/>
    <n v="42048"/>
  </r>
  <r>
    <x v="0"/>
    <x v="0"/>
    <x v="0"/>
    <x v="1"/>
    <x v="2"/>
    <s v="EE_Narva"/>
    <x v="6"/>
    <x v="4"/>
    <s v="Narva-EJ-TG11"/>
    <x v="7"/>
    <x v="5"/>
    <n v="192"/>
    <n v="11680"/>
    <n v="42048"/>
  </r>
  <r>
    <x v="0"/>
    <x v="0"/>
    <x v="0"/>
    <x v="1"/>
    <x v="2"/>
    <s v="EE_Narva"/>
    <x v="6"/>
    <x v="4"/>
    <s v="Narva-EJ-TG11"/>
    <x v="7"/>
    <x v="6"/>
    <n v="192"/>
    <n v="11680"/>
    <n v="42048"/>
  </r>
  <r>
    <x v="0"/>
    <x v="0"/>
    <x v="0"/>
    <x v="1"/>
    <x v="2"/>
    <s v="EE_Narva"/>
    <x v="6"/>
    <x v="4"/>
    <s v="Narva-EJ-TG11"/>
    <x v="7"/>
    <x v="7"/>
    <n v="192"/>
    <n v="11680"/>
    <n v="42048"/>
  </r>
  <r>
    <x v="0"/>
    <x v="0"/>
    <x v="0"/>
    <x v="1"/>
    <x v="2"/>
    <s v="EE_Narva"/>
    <x v="6"/>
    <x v="4"/>
    <s v="Narva-EJ-TG11"/>
    <x v="7"/>
    <x v="8"/>
    <n v="192"/>
    <n v="11680"/>
    <n v="42048"/>
  </r>
  <r>
    <x v="0"/>
    <x v="0"/>
    <x v="0"/>
    <x v="1"/>
    <x v="2"/>
    <s v="EE_Narva"/>
    <x v="6"/>
    <x v="4"/>
    <s v="Narva-EJ-TG11"/>
    <x v="7"/>
    <x v="9"/>
    <n v="192"/>
    <n v="11680"/>
    <n v="42048"/>
  </r>
  <r>
    <x v="0"/>
    <x v="0"/>
    <x v="0"/>
    <x v="1"/>
    <x v="2"/>
    <s v="EE_Narva"/>
    <x v="6"/>
    <x v="4"/>
    <s v="Narva-EJ-TG11"/>
    <x v="7"/>
    <x v="10"/>
    <n v="192"/>
    <n v="11680"/>
    <n v="42048"/>
  </r>
  <r>
    <x v="0"/>
    <x v="0"/>
    <x v="0"/>
    <x v="1"/>
    <x v="2"/>
    <s v="EE_Narva"/>
    <x v="6"/>
    <x v="4"/>
    <s v="Narva-EJ-TG11"/>
    <x v="7"/>
    <x v="11"/>
    <n v="192"/>
    <n v="11680"/>
    <n v="42048"/>
  </r>
  <r>
    <x v="0"/>
    <x v="0"/>
    <x v="0"/>
    <x v="1"/>
    <x v="2"/>
    <s v="EE_Narva"/>
    <x v="6"/>
    <x v="4"/>
    <s v="Narva-EJ-TG11"/>
    <x v="8"/>
    <x v="0"/>
    <n v="192"/>
    <n v="11680"/>
    <n v="42048"/>
  </r>
  <r>
    <x v="0"/>
    <x v="0"/>
    <x v="0"/>
    <x v="1"/>
    <x v="2"/>
    <s v="EE_Narva"/>
    <x v="6"/>
    <x v="4"/>
    <s v="Narva-EJ-TG11"/>
    <x v="8"/>
    <x v="1"/>
    <n v="192"/>
    <n v="11680"/>
    <n v="42048"/>
  </r>
  <r>
    <x v="0"/>
    <x v="0"/>
    <x v="0"/>
    <x v="1"/>
    <x v="2"/>
    <s v="EE_Narva"/>
    <x v="6"/>
    <x v="4"/>
    <s v="Narva-EJ-TG11"/>
    <x v="8"/>
    <x v="2"/>
    <n v="192"/>
    <n v="11680"/>
    <n v="42048"/>
  </r>
  <r>
    <x v="0"/>
    <x v="0"/>
    <x v="0"/>
    <x v="1"/>
    <x v="2"/>
    <s v="EE_Narva"/>
    <x v="6"/>
    <x v="4"/>
    <s v="Narva-EJ-TG11"/>
    <x v="8"/>
    <x v="3"/>
    <n v="192"/>
    <n v="11680"/>
    <n v="42048"/>
  </r>
  <r>
    <x v="0"/>
    <x v="0"/>
    <x v="0"/>
    <x v="1"/>
    <x v="2"/>
    <s v="EE_Narva"/>
    <x v="6"/>
    <x v="4"/>
    <s v="Narva-EJ-TG11"/>
    <x v="8"/>
    <x v="4"/>
    <n v="192"/>
    <n v="11680"/>
    <n v="42048"/>
  </r>
  <r>
    <x v="0"/>
    <x v="0"/>
    <x v="0"/>
    <x v="1"/>
    <x v="2"/>
    <s v="EE_Narva"/>
    <x v="6"/>
    <x v="4"/>
    <s v="Narva-EJ-TG11"/>
    <x v="8"/>
    <x v="5"/>
    <n v="192"/>
    <n v="11680"/>
    <n v="42048"/>
  </r>
  <r>
    <x v="0"/>
    <x v="0"/>
    <x v="0"/>
    <x v="1"/>
    <x v="2"/>
    <s v="EE_Narva"/>
    <x v="6"/>
    <x v="4"/>
    <s v="Narva-EJ-TG11"/>
    <x v="8"/>
    <x v="6"/>
    <n v="192"/>
    <n v="11680"/>
    <n v="42048"/>
  </r>
  <r>
    <x v="0"/>
    <x v="0"/>
    <x v="0"/>
    <x v="1"/>
    <x v="2"/>
    <s v="EE_Narva"/>
    <x v="6"/>
    <x v="4"/>
    <s v="Narva-EJ-TG11"/>
    <x v="8"/>
    <x v="7"/>
    <n v="192"/>
    <n v="11680"/>
    <n v="42048"/>
  </r>
  <r>
    <x v="0"/>
    <x v="0"/>
    <x v="0"/>
    <x v="1"/>
    <x v="2"/>
    <s v="EE_Narva"/>
    <x v="6"/>
    <x v="4"/>
    <s v="Narva-EJ-TG11"/>
    <x v="8"/>
    <x v="8"/>
    <n v="192"/>
    <n v="11680"/>
    <n v="42048"/>
  </r>
  <r>
    <x v="0"/>
    <x v="0"/>
    <x v="0"/>
    <x v="1"/>
    <x v="2"/>
    <s v="EE_Narva"/>
    <x v="6"/>
    <x v="4"/>
    <s v="Narva-EJ-TG11"/>
    <x v="8"/>
    <x v="9"/>
    <n v="192"/>
    <n v="11680"/>
    <n v="42048"/>
  </r>
  <r>
    <x v="0"/>
    <x v="0"/>
    <x v="0"/>
    <x v="1"/>
    <x v="2"/>
    <s v="EE_Narva"/>
    <x v="6"/>
    <x v="4"/>
    <s v="Narva-EJ-TG11"/>
    <x v="8"/>
    <x v="10"/>
    <n v="192"/>
    <n v="11680"/>
    <n v="42048"/>
  </r>
  <r>
    <x v="0"/>
    <x v="0"/>
    <x v="0"/>
    <x v="1"/>
    <x v="2"/>
    <s v="EE_Narva"/>
    <x v="6"/>
    <x v="4"/>
    <s v="Narva-EJ-TG11"/>
    <x v="8"/>
    <x v="11"/>
    <n v="192"/>
    <n v="11680"/>
    <n v="42048"/>
  </r>
  <r>
    <x v="0"/>
    <x v="0"/>
    <x v="0"/>
    <x v="1"/>
    <x v="2"/>
    <s v="EE_Narva"/>
    <x v="6"/>
    <x v="4"/>
    <s v="Narva-EJ-TG11"/>
    <x v="9"/>
    <x v="0"/>
    <n v="192"/>
    <n v="11680"/>
    <n v="42048"/>
  </r>
  <r>
    <x v="0"/>
    <x v="0"/>
    <x v="0"/>
    <x v="1"/>
    <x v="2"/>
    <s v="EE_Narva"/>
    <x v="6"/>
    <x v="4"/>
    <s v="Narva-EJ-TG11"/>
    <x v="9"/>
    <x v="1"/>
    <n v="192"/>
    <n v="11680"/>
    <n v="42048"/>
  </r>
  <r>
    <x v="0"/>
    <x v="0"/>
    <x v="0"/>
    <x v="1"/>
    <x v="2"/>
    <s v="EE_Narva"/>
    <x v="6"/>
    <x v="4"/>
    <s v="Narva-EJ-TG11"/>
    <x v="9"/>
    <x v="2"/>
    <n v="192"/>
    <n v="11680"/>
    <n v="42048"/>
  </r>
  <r>
    <x v="0"/>
    <x v="0"/>
    <x v="0"/>
    <x v="1"/>
    <x v="2"/>
    <s v="EE_Narva"/>
    <x v="6"/>
    <x v="4"/>
    <s v="Narva-EJ-TG11"/>
    <x v="9"/>
    <x v="3"/>
    <n v="192"/>
    <n v="11680"/>
    <n v="42048"/>
  </r>
  <r>
    <x v="0"/>
    <x v="0"/>
    <x v="0"/>
    <x v="1"/>
    <x v="2"/>
    <s v="EE_Narva"/>
    <x v="6"/>
    <x v="4"/>
    <s v="Narva-EJ-TG11"/>
    <x v="9"/>
    <x v="4"/>
    <n v="192"/>
    <n v="11680"/>
    <n v="42048"/>
  </r>
  <r>
    <x v="0"/>
    <x v="0"/>
    <x v="0"/>
    <x v="1"/>
    <x v="2"/>
    <s v="EE_Narva"/>
    <x v="6"/>
    <x v="4"/>
    <s v="Narva-EJ-TG11"/>
    <x v="9"/>
    <x v="5"/>
    <n v="192"/>
    <n v="11680"/>
    <n v="42048"/>
  </r>
  <r>
    <x v="0"/>
    <x v="0"/>
    <x v="0"/>
    <x v="1"/>
    <x v="2"/>
    <s v="EE_Narva"/>
    <x v="6"/>
    <x v="4"/>
    <s v="Narva-EJ-TG11"/>
    <x v="9"/>
    <x v="6"/>
    <n v="192"/>
    <n v="11680"/>
    <n v="42048"/>
  </r>
  <r>
    <x v="0"/>
    <x v="0"/>
    <x v="0"/>
    <x v="1"/>
    <x v="2"/>
    <s v="EE_Narva"/>
    <x v="6"/>
    <x v="4"/>
    <s v="Narva-EJ-TG11"/>
    <x v="9"/>
    <x v="7"/>
    <n v="192"/>
    <n v="11680"/>
    <n v="42048"/>
  </r>
  <r>
    <x v="0"/>
    <x v="0"/>
    <x v="0"/>
    <x v="1"/>
    <x v="2"/>
    <s v="EE_Narva"/>
    <x v="6"/>
    <x v="4"/>
    <s v="Narva-EJ-TG11"/>
    <x v="9"/>
    <x v="8"/>
    <n v="192"/>
    <n v="11680"/>
    <n v="42048"/>
  </r>
  <r>
    <x v="0"/>
    <x v="0"/>
    <x v="0"/>
    <x v="1"/>
    <x v="2"/>
    <s v="EE_Narva"/>
    <x v="6"/>
    <x v="4"/>
    <s v="Narva-EJ-TG11"/>
    <x v="9"/>
    <x v="9"/>
    <n v="192"/>
    <n v="11680"/>
    <n v="42048"/>
  </r>
  <r>
    <x v="0"/>
    <x v="0"/>
    <x v="0"/>
    <x v="1"/>
    <x v="2"/>
    <s v="EE_Narva"/>
    <x v="6"/>
    <x v="4"/>
    <s v="Narva-EJ-TG11"/>
    <x v="9"/>
    <x v="10"/>
    <n v="192"/>
    <n v="11680"/>
    <n v="42048"/>
  </r>
  <r>
    <x v="0"/>
    <x v="0"/>
    <x v="0"/>
    <x v="1"/>
    <x v="2"/>
    <s v="EE_Narva"/>
    <x v="6"/>
    <x v="4"/>
    <s v="Narva-EJ-TG11"/>
    <x v="9"/>
    <x v="11"/>
    <n v="192"/>
    <n v="11680"/>
    <n v="42048"/>
  </r>
  <r>
    <x v="0"/>
    <x v="0"/>
    <x v="0"/>
    <x v="1"/>
    <x v="2"/>
    <s v="EE_Narva"/>
    <x v="6"/>
    <x v="4"/>
    <s v="Narva-EJ-TG11"/>
    <x v="10"/>
    <x v="0"/>
    <n v="192"/>
    <n v="11680"/>
    <n v="42048"/>
  </r>
  <r>
    <x v="0"/>
    <x v="0"/>
    <x v="0"/>
    <x v="1"/>
    <x v="2"/>
    <s v="EE_Narva"/>
    <x v="6"/>
    <x v="4"/>
    <s v="Narva-EJ-TG11"/>
    <x v="10"/>
    <x v="1"/>
    <n v="192"/>
    <n v="11680"/>
    <n v="42048"/>
  </r>
  <r>
    <x v="0"/>
    <x v="0"/>
    <x v="0"/>
    <x v="1"/>
    <x v="2"/>
    <s v="EE_Narva"/>
    <x v="6"/>
    <x v="4"/>
    <s v="Narva-EJ-TG11"/>
    <x v="10"/>
    <x v="2"/>
    <n v="192"/>
    <n v="11680"/>
    <n v="42048"/>
  </r>
  <r>
    <x v="0"/>
    <x v="0"/>
    <x v="0"/>
    <x v="1"/>
    <x v="2"/>
    <s v="EE_Narva"/>
    <x v="6"/>
    <x v="4"/>
    <s v="Narva-EJ-TG11"/>
    <x v="10"/>
    <x v="3"/>
    <n v="192"/>
    <n v="11680"/>
    <n v="42048"/>
  </r>
  <r>
    <x v="0"/>
    <x v="0"/>
    <x v="0"/>
    <x v="1"/>
    <x v="2"/>
    <s v="EE_Narva"/>
    <x v="6"/>
    <x v="4"/>
    <s v="Narva-EJ-TG11"/>
    <x v="10"/>
    <x v="4"/>
    <n v="192"/>
    <n v="11680"/>
    <n v="42048"/>
  </r>
  <r>
    <x v="0"/>
    <x v="0"/>
    <x v="0"/>
    <x v="1"/>
    <x v="2"/>
    <s v="EE_Narva"/>
    <x v="6"/>
    <x v="4"/>
    <s v="Narva-EJ-TG11"/>
    <x v="10"/>
    <x v="5"/>
    <n v="192"/>
    <n v="11680"/>
    <n v="42048"/>
  </r>
  <r>
    <x v="0"/>
    <x v="0"/>
    <x v="0"/>
    <x v="1"/>
    <x v="2"/>
    <s v="EE_Narva"/>
    <x v="6"/>
    <x v="4"/>
    <s v="Narva-EJ-TG11"/>
    <x v="10"/>
    <x v="6"/>
    <n v="192"/>
    <n v="11680"/>
    <n v="42048"/>
  </r>
  <r>
    <x v="0"/>
    <x v="0"/>
    <x v="0"/>
    <x v="1"/>
    <x v="2"/>
    <s v="EE_Narva"/>
    <x v="6"/>
    <x v="4"/>
    <s v="Narva-EJ-TG11"/>
    <x v="10"/>
    <x v="7"/>
    <n v="192"/>
    <n v="11680"/>
    <n v="42048"/>
  </r>
  <r>
    <x v="0"/>
    <x v="0"/>
    <x v="0"/>
    <x v="1"/>
    <x v="2"/>
    <s v="EE_Narva"/>
    <x v="6"/>
    <x v="4"/>
    <s v="Narva-EJ-TG11"/>
    <x v="10"/>
    <x v="8"/>
    <n v="192"/>
    <n v="11680"/>
    <n v="42048"/>
  </r>
  <r>
    <x v="0"/>
    <x v="0"/>
    <x v="0"/>
    <x v="1"/>
    <x v="2"/>
    <s v="EE_Narva"/>
    <x v="6"/>
    <x v="4"/>
    <s v="Narva-EJ-TG11"/>
    <x v="10"/>
    <x v="9"/>
    <n v="192"/>
    <n v="11680"/>
    <n v="42048"/>
  </r>
  <r>
    <x v="0"/>
    <x v="0"/>
    <x v="0"/>
    <x v="1"/>
    <x v="2"/>
    <s v="EE_Narva"/>
    <x v="6"/>
    <x v="4"/>
    <s v="Narva-EJ-TG11"/>
    <x v="10"/>
    <x v="10"/>
    <n v="192"/>
    <n v="11680"/>
    <n v="42048"/>
  </r>
  <r>
    <x v="0"/>
    <x v="0"/>
    <x v="0"/>
    <x v="1"/>
    <x v="2"/>
    <s v="EE_Narva"/>
    <x v="6"/>
    <x v="4"/>
    <s v="Narva-EJ-TG11"/>
    <x v="10"/>
    <x v="11"/>
    <n v="192"/>
    <n v="11680"/>
    <n v="42048"/>
  </r>
  <r>
    <x v="0"/>
    <x v="0"/>
    <x v="0"/>
    <x v="1"/>
    <x v="2"/>
    <s v="EE_Narva"/>
    <x v="6"/>
    <x v="4"/>
    <s v="Narva-EJ-TG11"/>
    <x v="11"/>
    <x v="0"/>
    <n v="192"/>
    <n v="11680"/>
    <n v="42048"/>
  </r>
  <r>
    <x v="0"/>
    <x v="0"/>
    <x v="0"/>
    <x v="1"/>
    <x v="2"/>
    <s v="EE_Narva"/>
    <x v="6"/>
    <x v="4"/>
    <s v="Narva-EJ-TG11"/>
    <x v="11"/>
    <x v="1"/>
    <n v="192"/>
    <n v="11680"/>
    <n v="42048"/>
  </r>
  <r>
    <x v="0"/>
    <x v="0"/>
    <x v="0"/>
    <x v="1"/>
    <x v="2"/>
    <s v="EE_Narva"/>
    <x v="6"/>
    <x v="4"/>
    <s v="Narva-EJ-TG11"/>
    <x v="11"/>
    <x v="2"/>
    <n v="192"/>
    <n v="11680"/>
    <n v="42048"/>
  </r>
  <r>
    <x v="0"/>
    <x v="0"/>
    <x v="0"/>
    <x v="1"/>
    <x v="2"/>
    <s v="EE_Narva"/>
    <x v="6"/>
    <x v="4"/>
    <s v="Narva-EJ-TG11"/>
    <x v="11"/>
    <x v="3"/>
    <n v="192"/>
    <n v="11680"/>
    <n v="42048"/>
  </r>
  <r>
    <x v="0"/>
    <x v="0"/>
    <x v="0"/>
    <x v="1"/>
    <x v="2"/>
    <s v="EE_Narva"/>
    <x v="6"/>
    <x v="4"/>
    <s v="Narva-EJ-TG11"/>
    <x v="11"/>
    <x v="4"/>
    <n v="192"/>
    <n v="11680"/>
    <n v="42048"/>
  </r>
  <r>
    <x v="0"/>
    <x v="0"/>
    <x v="0"/>
    <x v="1"/>
    <x v="2"/>
    <s v="EE_Narva"/>
    <x v="6"/>
    <x v="4"/>
    <s v="Narva-EJ-TG11"/>
    <x v="11"/>
    <x v="5"/>
    <n v="192"/>
    <n v="11680"/>
    <n v="42048"/>
  </r>
  <r>
    <x v="0"/>
    <x v="0"/>
    <x v="0"/>
    <x v="1"/>
    <x v="2"/>
    <s v="EE_Narva"/>
    <x v="6"/>
    <x v="4"/>
    <s v="Narva-EJ-TG11"/>
    <x v="11"/>
    <x v="6"/>
    <n v="192"/>
    <n v="11680"/>
    <n v="42048"/>
  </r>
  <r>
    <x v="0"/>
    <x v="0"/>
    <x v="0"/>
    <x v="1"/>
    <x v="2"/>
    <s v="EE_Narva"/>
    <x v="6"/>
    <x v="4"/>
    <s v="Narva-EJ-TG11"/>
    <x v="11"/>
    <x v="7"/>
    <n v="192"/>
    <n v="11680"/>
    <n v="42048"/>
  </r>
  <r>
    <x v="0"/>
    <x v="0"/>
    <x v="0"/>
    <x v="1"/>
    <x v="2"/>
    <s v="EE_Narva"/>
    <x v="6"/>
    <x v="4"/>
    <s v="Narva-EJ-TG11"/>
    <x v="11"/>
    <x v="8"/>
    <n v="192"/>
    <n v="11680"/>
    <n v="42048"/>
  </r>
  <r>
    <x v="0"/>
    <x v="0"/>
    <x v="0"/>
    <x v="1"/>
    <x v="2"/>
    <s v="EE_Narva"/>
    <x v="6"/>
    <x v="4"/>
    <s v="Narva-EJ-TG11"/>
    <x v="11"/>
    <x v="9"/>
    <n v="192"/>
    <n v="11680"/>
    <n v="42048"/>
  </r>
  <r>
    <x v="0"/>
    <x v="0"/>
    <x v="0"/>
    <x v="1"/>
    <x v="2"/>
    <s v="EE_Narva"/>
    <x v="6"/>
    <x v="4"/>
    <s v="Narva-EJ-TG11"/>
    <x v="11"/>
    <x v="10"/>
    <n v="192"/>
    <n v="11680"/>
    <n v="42048"/>
  </r>
  <r>
    <x v="0"/>
    <x v="0"/>
    <x v="0"/>
    <x v="1"/>
    <x v="2"/>
    <s v="EE_Narva"/>
    <x v="6"/>
    <x v="4"/>
    <s v="Narva-EJ-TG11"/>
    <x v="11"/>
    <x v="11"/>
    <n v="192"/>
    <n v="11680"/>
    <n v="42048"/>
  </r>
  <r>
    <x v="0"/>
    <x v="0"/>
    <x v="0"/>
    <x v="1"/>
    <x v="2"/>
    <s v="EE_Narva"/>
    <x v="6"/>
    <x v="5"/>
    <s v="Narva-EJ-TG12"/>
    <x v="0"/>
    <x v="7"/>
    <n v="126.66961726360501"/>
    <n v="7705.7350502026402"/>
    <n v="27740.646180729502"/>
  </r>
  <r>
    <x v="0"/>
    <x v="0"/>
    <x v="0"/>
    <x v="1"/>
    <x v="2"/>
    <s v="EE_Narva"/>
    <x v="6"/>
    <x v="5"/>
    <s v="Narva-EJ-TG12"/>
    <x v="0"/>
    <x v="9"/>
    <n v="124.916367978862"/>
    <n v="7599.0790520474502"/>
    <n v="27356.684587370801"/>
  </r>
  <r>
    <x v="0"/>
    <x v="0"/>
    <x v="0"/>
    <x v="1"/>
    <x v="2"/>
    <s v="EE_Narva"/>
    <x v="6"/>
    <x v="5"/>
    <s v="Narva-EJ-TG12"/>
    <x v="1"/>
    <x v="1"/>
    <n v="160"/>
    <n v="9733.3333333333303"/>
    <n v="35040"/>
  </r>
  <r>
    <x v="0"/>
    <x v="0"/>
    <x v="0"/>
    <x v="1"/>
    <x v="2"/>
    <s v="EE_Narva"/>
    <x v="6"/>
    <x v="5"/>
    <s v="Narva-EJ-TG12"/>
    <x v="5"/>
    <x v="10"/>
    <n v="85.335884796766706"/>
    <n v="5191.2663251366403"/>
    <n v="18688.558770491902"/>
  </r>
  <r>
    <x v="0"/>
    <x v="0"/>
    <x v="0"/>
    <x v="1"/>
    <x v="2"/>
    <s v="EE_Narva"/>
    <x v="6"/>
    <x v="5"/>
    <s v="Narva-EJ-TG12"/>
    <x v="5"/>
    <x v="11"/>
    <n v="102.114281788857"/>
    <n v="6211.95214215546"/>
    <n v="22363.0277117597"/>
  </r>
  <r>
    <x v="0"/>
    <x v="0"/>
    <x v="0"/>
    <x v="1"/>
    <x v="2"/>
    <s v="EE_Narva"/>
    <x v="6"/>
    <x v="5"/>
    <s v="Narva-EJ-TG12"/>
    <x v="7"/>
    <x v="10"/>
    <n v="12.6818367044159"/>
    <n v="771.47839951863602"/>
    <n v="2777.3222382670901"/>
  </r>
  <r>
    <x v="0"/>
    <x v="0"/>
    <x v="0"/>
    <x v="1"/>
    <x v="2"/>
    <s v="EE_Narva"/>
    <x v="6"/>
    <x v="5"/>
    <s v="Narva-EJ-TG2"/>
    <x v="0"/>
    <x v="6"/>
    <n v="167"/>
    <n v="10159.166666666701"/>
    <n v="36573"/>
  </r>
  <r>
    <x v="0"/>
    <x v="0"/>
    <x v="0"/>
    <x v="1"/>
    <x v="2"/>
    <s v="EE_Narva"/>
    <x v="6"/>
    <x v="5"/>
    <s v="Narva-EJ-TG2"/>
    <x v="1"/>
    <x v="3"/>
    <n v="167"/>
    <n v="10159.166666666701"/>
    <n v="36573"/>
  </r>
  <r>
    <x v="0"/>
    <x v="0"/>
    <x v="0"/>
    <x v="1"/>
    <x v="2"/>
    <s v="EE_Narva"/>
    <x v="6"/>
    <x v="5"/>
    <s v="Narva-EJ-TG2"/>
    <x v="1"/>
    <x v="8"/>
    <n v="167"/>
    <n v="10159.166666666701"/>
    <n v="36573"/>
  </r>
  <r>
    <x v="0"/>
    <x v="0"/>
    <x v="0"/>
    <x v="1"/>
    <x v="2"/>
    <s v="EE_Narva"/>
    <x v="6"/>
    <x v="5"/>
    <s v="Narva-EJ-TG2"/>
    <x v="2"/>
    <x v="1"/>
    <n v="167"/>
    <n v="10159.166666666701"/>
    <n v="36573"/>
  </r>
  <r>
    <x v="0"/>
    <x v="0"/>
    <x v="0"/>
    <x v="1"/>
    <x v="2"/>
    <s v="EE_Narva"/>
    <x v="6"/>
    <x v="5"/>
    <s v="Narva-EJ-TG2"/>
    <x v="2"/>
    <x v="5"/>
    <n v="167"/>
    <n v="10159.166666666701"/>
    <n v="36573"/>
  </r>
  <r>
    <x v="0"/>
    <x v="0"/>
    <x v="0"/>
    <x v="1"/>
    <x v="2"/>
    <s v="EE_Narva"/>
    <x v="6"/>
    <x v="5"/>
    <s v="Narva-EJ-TG2"/>
    <x v="3"/>
    <x v="2"/>
    <n v="167"/>
    <n v="10159.166666666701"/>
    <n v="36573"/>
  </r>
  <r>
    <x v="0"/>
    <x v="0"/>
    <x v="0"/>
    <x v="1"/>
    <x v="2"/>
    <s v="EE_Narva"/>
    <x v="6"/>
    <x v="5"/>
    <s v="Narva-EJ-TG2"/>
    <x v="3"/>
    <x v="7"/>
    <n v="167"/>
    <n v="10159.166666666701"/>
    <n v="36573"/>
  </r>
  <r>
    <x v="0"/>
    <x v="0"/>
    <x v="0"/>
    <x v="1"/>
    <x v="2"/>
    <s v="EE_Narva"/>
    <x v="6"/>
    <x v="5"/>
    <s v="Narva-EJ-TG2"/>
    <x v="3"/>
    <x v="11"/>
    <n v="167"/>
    <n v="10159.166666666701"/>
    <n v="36573"/>
  </r>
  <r>
    <x v="0"/>
    <x v="0"/>
    <x v="0"/>
    <x v="1"/>
    <x v="2"/>
    <s v="EE_Narva"/>
    <x v="6"/>
    <x v="5"/>
    <s v="Narva-EJ-TG2"/>
    <x v="4"/>
    <x v="0"/>
    <n v="167"/>
    <n v="10159.166666666701"/>
    <n v="36573"/>
  </r>
  <r>
    <x v="0"/>
    <x v="0"/>
    <x v="0"/>
    <x v="1"/>
    <x v="2"/>
    <s v="EE_Narva"/>
    <x v="6"/>
    <x v="5"/>
    <s v="Narva-EJ-TG2"/>
    <x v="4"/>
    <x v="4"/>
    <n v="167"/>
    <n v="10159.166666666701"/>
    <n v="36573"/>
  </r>
  <r>
    <x v="0"/>
    <x v="0"/>
    <x v="0"/>
    <x v="1"/>
    <x v="2"/>
    <s v="EE_Narva"/>
    <x v="6"/>
    <x v="5"/>
    <s v="Narva-EJ-TG2"/>
    <x v="4"/>
    <x v="8"/>
    <n v="167"/>
    <n v="10159.166666666701"/>
    <n v="36573"/>
  </r>
  <r>
    <x v="0"/>
    <x v="0"/>
    <x v="0"/>
    <x v="1"/>
    <x v="2"/>
    <s v="EE_Narva"/>
    <x v="6"/>
    <x v="5"/>
    <s v="Narva-EJ-TG2"/>
    <x v="5"/>
    <x v="1"/>
    <n v="167"/>
    <n v="10159.166666666701"/>
    <n v="36573"/>
  </r>
  <r>
    <x v="0"/>
    <x v="0"/>
    <x v="0"/>
    <x v="1"/>
    <x v="2"/>
    <s v="EE_Narva"/>
    <x v="6"/>
    <x v="5"/>
    <s v="Narva-EJ-TG2"/>
    <x v="5"/>
    <x v="4"/>
    <n v="17.194976133160999"/>
    <n v="1046.02771476729"/>
    <n v="3765.69977316225"/>
  </r>
  <r>
    <x v="0"/>
    <x v="0"/>
    <x v="0"/>
    <x v="1"/>
    <x v="2"/>
    <s v="EE_Narva"/>
    <x v="6"/>
    <x v="5"/>
    <s v="Narva-EJ-TG2"/>
    <x v="5"/>
    <x v="5"/>
    <n v="167"/>
    <n v="10159.166666666701"/>
    <n v="36573"/>
  </r>
  <r>
    <x v="0"/>
    <x v="0"/>
    <x v="0"/>
    <x v="1"/>
    <x v="2"/>
    <s v="EE_Narva"/>
    <x v="6"/>
    <x v="5"/>
    <s v="Narva-EJ-TG2"/>
    <x v="5"/>
    <x v="9"/>
    <n v="46.467870919336598"/>
    <n v="2826.7954809263101"/>
    <n v="10176.463731334699"/>
  </r>
  <r>
    <x v="0"/>
    <x v="0"/>
    <x v="0"/>
    <x v="1"/>
    <x v="2"/>
    <s v="EE_Narva"/>
    <x v="6"/>
    <x v="5"/>
    <s v="Narva-EJ-TG2"/>
    <x v="7"/>
    <x v="0"/>
    <n v="167"/>
    <n v="10159.166666666701"/>
    <n v="36573"/>
  </r>
  <r>
    <x v="0"/>
    <x v="0"/>
    <x v="0"/>
    <x v="1"/>
    <x v="2"/>
    <s v="EE_Narva"/>
    <x v="6"/>
    <x v="5"/>
    <s v="Narva-EJ-TG2"/>
    <x v="7"/>
    <x v="1"/>
    <n v="167"/>
    <n v="10159.166666666701"/>
    <n v="36573"/>
  </r>
  <r>
    <x v="0"/>
    <x v="0"/>
    <x v="0"/>
    <x v="1"/>
    <x v="2"/>
    <s v="EE_Narva"/>
    <x v="6"/>
    <x v="5"/>
    <s v="Narva-EJ-TG2"/>
    <x v="7"/>
    <x v="4"/>
    <n v="167"/>
    <n v="10159.166666666701"/>
    <n v="36573"/>
  </r>
  <r>
    <x v="0"/>
    <x v="0"/>
    <x v="0"/>
    <x v="1"/>
    <x v="2"/>
    <s v="EE_Narva"/>
    <x v="6"/>
    <x v="5"/>
    <s v="Narva-EJ-TG2"/>
    <x v="7"/>
    <x v="5"/>
    <n v="167"/>
    <n v="10159.166666666701"/>
    <n v="36573"/>
  </r>
  <r>
    <x v="0"/>
    <x v="0"/>
    <x v="0"/>
    <x v="1"/>
    <x v="2"/>
    <s v="EE_Narva"/>
    <x v="6"/>
    <x v="5"/>
    <s v="Narva-EJ-TG2"/>
    <x v="7"/>
    <x v="7"/>
    <n v="167"/>
    <n v="10159.166666666701"/>
    <n v="36573"/>
  </r>
  <r>
    <x v="0"/>
    <x v="0"/>
    <x v="0"/>
    <x v="1"/>
    <x v="2"/>
    <s v="EE_Narva"/>
    <x v="6"/>
    <x v="5"/>
    <s v="Narva-EJ-TG2"/>
    <x v="7"/>
    <x v="8"/>
    <n v="167"/>
    <n v="10159.166666666701"/>
    <n v="36573"/>
  </r>
  <r>
    <x v="0"/>
    <x v="0"/>
    <x v="0"/>
    <x v="1"/>
    <x v="2"/>
    <s v="EE_Narva"/>
    <x v="6"/>
    <x v="5"/>
    <s v="Narva-EJ-TG2"/>
    <x v="7"/>
    <x v="9"/>
    <n v="167"/>
    <n v="10159.166666666701"/>
    <n v="36573"/>
  </r>
  <r>
    <x v="0"/>
    <x v="0"/>
    <x v="0"/>
    <x v="1"/>
    <x v="2"/>
    <s v="EE_Narva"/>
    <x v="6"/>
    <x v="5"/>
    <s v="Narva-EJ-TG2"/>
    <x v="7"/>
    <x v="11"/>
    <n v="167"/>
    <n v="10159.166666666701"/>
    <n v="36573"/>
  </r>
  <r>
    <x v="0"/>
    <x v="0"/>
    <x v="0"/>
    <x v="1"/>
    <x v="2"/>
    <s v="EE_Narva"/>
    <x v="6"/>
    <x v="5"/>
    <s v="Narva-EJ-TG2"/>
    <x v="8"/>
    <x v="3"/>
    <n v="167"/>
    <n v="10159.166666666701"/>
    <n v="36573"/>
  </r>
  <r>
    <x v="0"/>
    <x v="0"/>
    <x v="0"/>
    <x v="1"/>
    <x v="2"/>
    <s v="EE_Narva"/>
    <x v="6"/>
    <x v="5"/>
    <s v="Narva-EJ-TG2"/>
    <x v="8"/>
    <x v="4"/>
    <n v="167"/>
    <n v="10159.166666666701"/>
    <n v="36573"/>
  </r>
  <r>
    <x v="0"/>
    <x v="0"/>
    <x v="0"/>
    <x v="1"/>
    <x v="2"/>
    <s v="EE_Narva"/>
    <x v="6"/>
    <x v="5"/>
    <s v="Narva-EJ-TG2"/>
    <x v="8"/>
    <x v="5"/>
    <n v="167"/>
    <n v="10159.166666666701"/>
    <n v="36573"/>
  </r>
  <r>
    <x v="0"/>
    <x v="0"/>
    <x v="0"/>
    <x v="1"/>
    <x v="2"/>
    <s v="EE_Narva"/>
    <x v="6"/>
    <x v="5"/>
    <s v="Narva-EJ-TG2"/>
    <x v="8"/>
    <x v="7"/>
    <n v="167"/>
    <n v="10159.166666666701"/>
    <n v="36573"/>
  </r>
  <r>
    <x v="0"/>
    <x v="0"/>
    <x v="0"/>
    <x v="1"/>
    <x v="2"/>
    <s v="EE_Narva"/>
    <x v="6"/>
    <x v="5"/>
    <s v="Narva-EJ-TG2"/>
    <x v="8"/>
    <x v="8"/>
    <n v="124.333999836549"/>
    <n v="7563.6516567233703"/>
    <n v="27229.145964204101"/>
  </r>
  <r>
    <x v="0"/>
    <x v="0"/>
    <x v="0"/>
    <x v="1"/>
    <x v="2"/>
    <s v="EE_Narva"/>
    <x v="6"/>
    <x v="5"/>
    <s v="Narva-EJ-TG2"/>
    <x v="8"/>
    <x v="10"/>
    <n v="167"/>
    <n v="10159.166666666701"/>
    <n v="36573"/>
  </r>
  <r>
    <x v="0"/>
    <x v="0"/>
    <x v="0"/>
    <x v="1"/>
    <x v="2"/>
    <s v="EE_Narva"/>
    <x v="6"/>
    <x v="5"/>
    <s v="Narva-EJ-TG2"/>
    <x v="8"/>
    <x v="11"/>
    <n v="167"/>
    <n v="10159.166666666701"/>
    <n v="36573"/>
  </r>
  <r>
    <x v="0"/>
    <x v="0"/>
    <x v="0"/>
    <x v="1"/>
    <x v="2"/>
    <s v="EE_Narva"/>
    <x v="6"/>
    <x v="5"/>
    <s v="Narva-EJ-TG2"/>
    <x v="9"/>
    <x v="0"/>
    <n v="167"/>
    <n v="10159.166666666701"/>
    <n v="36573"/>
  </r>
  <r>
    <x v="0"/>
    <x v="0"/>
    <x v="0"/>
    <x v="1"/>
    <x v="2"/>
    <s v="EE_Narva"/>
    <x v="6"/>
    <x v="5"/>
    <s v="Narva-EJ-TG2"/>
    <x v="9"/>
    <x v="1"/>
    <n v="167"/>
    <n v="10159.166666666701"/>
    <n v="36573"/>
  </r>
  <r>
    <x v="0"/>
    <x v="0"/>
    <x v="0"/>
    <x v="1"/>
    <x v="2"/>
    <s v="EE_Narva"/>
    <x v="6"/>
    <x v="5"/>
    <s v="Narva-EJ-TG2"/>
    <x v="9"/>
    <x v="3"/>
    <n v="167"/>
    <n v="10159.166666666701"/>
    <n v="36573"/>
  </r>
  <r>
    <x v="0"/>
    <x v="0"/>
    <x v="0"/>
    <x v="1"/>
    <x v="2"/>
    <s v="EE_Narva"/>
    <x v="6"/>
    <x v="5"/>
    <s v="Narva-EJ-TG2"/>
    <x v="9"/>
    <x v="4"/>
    <n v="167"/>
    <n v="10159.166666666701"/>
    <n v="36573"/>
  </r>
  <r>
    <x v="0"/>
    <x v="0"/>
    <x v="0"/>
    <x v="1"/>
    <x v="2"/>
    <s v="EE_Narva"/>
    <x v="6"/>
    <x v="5"/>
    <s v="Narva-EJ-TG2"/>
    <x v="9"/>
    <x v="5"/>
    <n v="167"/>
    <n v="10159.166666666701"/>
    <n v="36573"/>
  </r>
  <r>
    <x v="0"/>
    <x v="0"/>
    <x v="0"/>
    <x v="1"/>
    <x v="2"/>
    <s v="EE_Narva"/>
    <x v="6"/>
    <x v="5"/>
    <s v="Narva-EJ-TG2"/>
    <x v="9"/>
    <x v="6"/>
    <n v="167"/>
    <n v="10159.166666666701"/>
    <n v="36573"/>
  </r>
  <r>
    <x v="0"/>
    <x v="0"/>
    <x v="0"/>
    <x v="1"/>
    <x v="2"/>
    <s v="EE_Narva"/>
    <x v="6"/>
    <x v="5"/>
    <s v="Narva-EJ-TG2"/>
    <x v="9"/>
    <x v="8"/>
    <n v="167"/>
    <n v="10159.166666666701"/>
    <n v="36573"/>
  </r>
  <r>
    <x v="0"/>
    <x v="0"/>
    <x v="0"/>
    <x v="1"/>
    <x v="2"/>
    <s v="EE_Narva"/>
    <x v="6"/>
    <x v="5"/>
    <s v="Narva-EJ-TG2"/>
    <x v="9"/>
    <x v="10"/>
    <n v="167"/>
    <n v="10159.166666666701"/>
    <n v="36573"/>
  </r>
  <r>
    <x v="0"/>
    <x v="0"/>
    <x v="0"/>
    <x v="1"/>
    <x v="2"/>
    <s v="EE_Narva"/>
    <x v="6"/>
    <x v="5"/>
    <s v="Narva-EJ-TG2"/>
    <x v="9"/>
    <x v="11"/>
    <n v="167"/>
    <n v="10159.166666666701"/>
    <n v="36573"/>
  </r>
  <r>
    <x v="0"/>
    <x v="0"/>
    <x v="0"/>
    <x v="1"/>
    <x v="2"/>
    <s v="EE_Narva"/>
    <x v="6"/>
    <x v="5"/>
    <s v="Narva-EJ-TG2"/>
    <x v="10"/>
    <x v="0"/>
    <n v="167"/>
    <n v="10159.166666666701"/>
    <n v="36573"/>
  </r>
  <r>
    <x v="0"/>
    <x v="0"/>
    <x v="0"/>
    <x v="1"/>
    <x v="2"/>
    <s v="EE_Narva"/>
    <x v="6"/>
    <x v="5"/>
    <s v="Narva-EJ-TG2"/>
    <x v="10"/>
    <x v="1"/>
    <n v="167"/>
    <n v="10159.166666666701"/>
    <n v="36573"/>
  </r>
  <r>
    <x v="0"/>
    <x v="0"/>
    <x v="0"/>
    <x v="1"/>
    <x v="2"/>
    <s v="EE_Narva"/>
    <x v="6"/>
    <x v="5"/>
    <s v="Narva-EJ-TG2"/>
    <x v="10"/>
    <x v="2"/>
    <n v="167"/>
    <n v="10159.166666666701"/>
    <n v="36573"/>
  </r>
  <r>
    <x v="0"/>
    <x v="0"/>
    <x v="0"/>
    <x v="1"/>
    <x v="2"/>
    <s v="EE_Narva"/>
    <x v="6"/>
    <x v="5"/>
    <s v="Narva-EJ-TG2"/>
    <x v="10"/>
    <x v="3"/>
    <n v="167"/>
    <n v="10159.166666666701"/>
    <n v="36573"/>
  </r>
  <r>
    <x v="0"/>
    <x v="0"/>
    <x v="0"/>
    <x v="1"/>
    <x v="2"/>
    <s v="EE_Narva"/>
    <x v="6"/>
    <x v="5"/>
    <s v="Narva-EJ-TG2"/>
    <x v="10"/>
    <x v="4"/>
    <n v="167"/>
    <n v="10159.166666666701"/>
    <n v="36573"/>
  </r>
  <r>
    <x v="0"/>
    <x v="0"/>
    <x v="0"/>
    <x v="1"/>
    <x v="2"/>
    <s v="EE_Narva"/>
    <x v="6"/>
    <x v="5"/>
    <s v="Narva-EJ-TG2"/>
    <x v="10"/>
    <x v="6"/>
    <n v="167"/>
    <n v="10159.166666666701"/>
    <n v="36573"/>
  </r>
  <r>
    <x v="0"/>
    <x v="0"/>
    <x v="0"/>
    <x v="1"/>
    <x v="2"/>
    <s v="EE_Narva"/>
    <x v="6"/>
    <x v="5"/>
    <s v="Narva-EJ-TG2"/>
    <x v="10"/>
    <x v="7"/>
    <n v="167"/>
    <n v="10159.166666666701"/>
    <n v="36573"/>
  </r>
  <r>
    <x v="0"/>
    <x v="0"/>
    <x v="0"/>
    <x v="1"/>
    <x v="2"/>
    <s v="EE_Narva"/>
    <x v="6"/>
    <x v="5"/>
    <s v="Narva-EJ-TG2"/>
    <x v="10"/>
    <x v="8"/>
    <n v="167"/>
    <n v="10159.166666666701"/>
    <n v="36573"/>
  </r>
  <r>
    <x v="0"/>
    <x v="0"/>
    <x v="0"/>
    <x v="1"/>
    <x v="2"/>
    <s v="EE_Narva"/>
    <x v="6"/>
    <x v="5"/>
    <s v="Narva-EJ-TG2"/>
    <x v="10"/>
    <x v="9"/>
    <n v="167"/>
    <n v="10159.166666666701"/>
    <n v="36573"/>
  </r>
  <r>
    <x v="0"/>
    <x v="0"/>
    <x v="0"/>
    <x v="1"/>
    <x v="2"/>
    <s v="EE_Narva"/>
    <x v="6"/>
    <x v="5"/>
    <s v="Narva-EJ-TG2"/>
    <x v="10"/>
    <x v="10"/>
    <n v="167"/>
    <n v="10159.166666666701"/>
    <n v="36573"/>
  </r>
  <r>
    <x v="0"/>
    <x v="0"/>
    <x v="0"/>
    <x v="1"/>
    <x v="2"/>
    <s v="EE_Narva"/>
    <x v="6"/>
    <x v="5"/>
    <s v="Narva-EJ-TG2"/>
    <x v="10"/>
    <x v="11"/>
    <n v="167"/>
    <n v="10159.166666666701"/>
    <n v="36573"/>
  </r>
  <r>
    <x v="0"/>
    <x v="0"/>
    <x v="0"/>
    <x v="1"/>
    <x v="2"/>
    <s v="EE_Narva"/>
    <x v="6"/>
    <x v="5"/>
    <s v="Narva-EJ-TG2"/>
    <x v="11"/>
    <x v="0"/>
    <n v="167"/>
    <n v="10159.166666666701"/>
    <n v="36573"/>
  </r>
  <r>
    <x v="0"/>
    <x v="0"/>
    <x v="0"/>
    <x v="1"/>
    <x v="2"/>
    <s v="EE_Narva"/>
    <x v="6"/>
    <x v="5"/>
    <s v="Narva-EJ-TG2"/>
    <x v="11"/>
    <x v="1"/>
    <n v="55.7086646670165"/>
    <n v="3388.9437672435001"/>
    <n v="12200.197562076601"/>
  </r>
  <r>
    <x v="0"/>
    <x v="0"/>
    <x v="0"/>
    <x v="1"/>
    <x v="2"/>
    <s v="EE_Narva"/>
    <x v="6"/>
    <x v="5"/>
    <s v="Narva-EJ-TG2"/>
    <x v="11"/>
    <x v="2"/>
    <n v="92.985540011453807"/>
    <n v="5656.6203506967704"/>
    <n v="20363.8332625084"/>
  </r>
  <r>
    <x v="0"/>
    <x v="0"/>
    <x v="0"/>
    <x v="1"/>
    <x v="2"/>
    <s v="EE_Narva"/>
    <x v="6"/>
    <x v="5"/>
    <s v="Narva-EJ-TG2"/>
    <x v="11"/>
    <x v="3"/>
    <n v="127.79583848829699"/>
    <n v="7774.2468413714196"/>
    <n v="27987.288628937102"/>
  </r>
  <r>
    <x v="0"/>
    <x v="0"/>
    <x v="0"/>
    <x v="1"/>
    <x v="2"/>
    <s v="EE_Narva"/>
    <x v="6"/>
    <x v="5"/>
    <s v="Narva-EJ-TG2"/>
    <x v="11"/>
    <x v="4"/>
    <n v="155.60159510034299"/>
    <n v="9465.7637019375397"/>
    <n v="34076.749326975099"/>
  </r>
  <r>
    <x v="0"/>
    <x v="0"/>
    <x v="0"/>
    <x v="1"/>
    <x v="2"/>
    <s v="EE_Narva"/>
    <x v="6"/>
    <x v="5"/>
    <s v="Narva-EJ-TG2"/>
    <x v="11"/>
    <x v="5"/>
    <n v="167"/>
    <n v="10159.166666666701"/>
    <n v="36573"/>
  </r>
  <r>
    <x v="0"/>
    <x v="0"/>
    <x v="0"/>
    <x v="1"/>
    <x v="2"/>
    <s v="EE_Narva"/>
    <x v="6"/>
    <x v="5"/>
    <s v="Narva-EJ-TG2"/>
    <x v="11"/>
    <x v="6"/>
    <n v="167"/>
    <n v="10159.166666666701"/>
    <n v="36573"/>
  </r>
  <r>
    <x v="0"/>
    <x v="0"/>
    <x v="0"/>
    <x v="1"/>
    <x v="2"/>
    <s v="EE_Narva"/>
    <x v="6"/>
    <x v="5"/>
    <s v="Narva-EJ-TG2"/>
    <x v="11"/>
    <x v="8"/>
    <n v="167"/>
    <n v="10159.166666666701"/>
    <n v="36573"/>
  </r>
  <r>
    <x v="0"/>
    <x v="0"/>
    <x v="0"/>
    <x v="1"/>
    <x v="2"/>
    <s v="EE_Narva"/>
    <x v="6"/>
    <x v="5"/>
    <s v="Narva-EJ-TG2"/>
    <x v="11"/>
    <x v="9"/>
    <n v="167"/>
    <n v="10159.166666666701"/>
    <n v="36573"/>
  </r>
  <r>
    <x v="0"/>
    <x v="0"/>
    <x v="0"/>
    <x v="1"/>
    <x v="2"/>
    <s v="EE_Narva"/>
    <x v="6"/>
    <x v="5"/>
    <s v="Narva-EJ-TG2"/>
    <x v="11"/>
    <x v="10"/>
    <n v="167"/>
    <n v="10159.166666666701"/>
    <n v="36573"/>
  </r>
  <r>
    <x v="0"/>
    <x v="0"/>
    <x v="0"/>
    <x v="1"/>
    <x v="2"/>
    <s v="EE_Narva"/>
    <x v="6"/>
    <x v="5"/>
    <s v="Narva-EJ-TG2"/>
    <x v="11"/>
    <x v="11"/>
    <n v="167"/>
    <n v="10159.166666666701"/>
    <n v="36573"/>
  </r>
  <r>
    <x v="0"/>
    <x v="0"/>
    <x v="0"/>
    <x v="1"/>
    <x v="2"/>
    <s v="EE_Narva"/>
    <x v="6"/>
    <x v="5"/>
    <s v="Narva-EJ-TG3"/>
    <x v="0"/>
    <x v="2"/>
    <n v="121.65856548119299"/>
    <n v="7400.8960667725496"/>
    <n v="26643.225840381201"/>
  </r>
  <r>
    <x v="0"/>
    <x v="0"/>
    <x v="0"/>
    <x v="1"/>
    <x v="2"/>
    <s v="EE_Narva"/>
    <x v="6"/>
    <x v="5"/>
    <s v="Narva-EJ-TG3"/>
    <x v="0"/>
    <x v="10"/>
    <n v="151.58714134849299"/>
    <n v="9221.5510986999798"/>
    <n v="33197.583955319897"/>
  </r>
  <r>
    <x v="0"/>
    <x v="0"/>
    <x v="0"/>
    <x v="1"/>
    <x v="2"/>
    <s v="EE_Narva"/>
    <x v="6"/>
    <x v="5"/>
    <s v="Narva-EJ-TG3"/>
    <x v="0"/>
    <x v="11"/>
    <n v="164"/>
    <n v="9976.6666666666697"/>
    <n v="35916"/>
  </r>
  <r>
    <x v="0"/>
    <x v="0"/>
    <x v="0"/>
    <x v="1"/>
    <x v="2"/>
    <s v="EE_Narva"/>
    <x v="6"/>
    <x v="5"/>
    <s v="Narva-EJ-TG3"/>
    <x v="1"/>
    <x v="2"/>
    <n v="164"/>
    <n v="9976.6666666666697"/>
    <n v="35916"/>
  </r>
  <r>
    <x v="0"/>
    <x v="0"/>
    <x v="0"/>
    <x v="1"/>
    <x v="2"/>
    <s v="EE_Narva"/>
    <x v="6"/>
    <x v="5"/>
    <s v="Narva-EJ-TG3"/>
    <x v="1"/>
    <x v="5"/>
    <n v="164"/>
    <n v="9976.6666666666697"/>
    <n v="35916"/>
  </r>
  <r>
    <x v="0"/>
    <x v="0"/>
    <x v="0"/>
    <x v="1"/>
    <x v="2"/>
    <s v="EE_Narva"/>
    <x v="6"/>
    <x v="5"/>
    <s v="Narva-EJ-TG3"/>
    <x v="1"/>
    <x v="6"/>
    <n v="118.579508113771"/>
    <n v="7213.5867435877399"/>
    <n v="25968.912276915798"/>
  </r>
  <r>
    <x v="0"/>
    <x v="0"/>
    <x v="0"/>
    <x v="1"/>
    <x v="2"/>
    <s v="EE_Narva"/>
    <x v="6"/>
    <x v="5"/>
    <s v="Narva-EJ-TG3"/>
    <x v="1"/>
    <x v="7"/>
    <n v="164"/>
    <n v="9976.6666666666697"/>
    <n v="35916"/>
  </r>
  <r>
    <x v="0"/>
    <x v="0"/>
    <x v="0"/>
    <x v="1"/>
    <x v="2"/>
    <s v="EE_Narva"/>
    <x v="6"/>
    <x v="5"/>
    <s v="Narva-EJ-TG3"/>
    <x v="1"/>
    <x v="9"/>
    <n v="164"/>
    <n v="9976.6666666666697"/>
    <n v="35916"/>
  </r>
  <r>
    <x v="0"/>
    <x v="0"/>
    <x v="0"/>
    <x v="1"/>
    <x v="2"/>
    <s v="EE_Narva"/>
    <x v="6"/>
    <x v="5"/>
    <s v="Narva-EJ-TG3"/>
    <x v="1"/>
    <x v="10"/>
    <n v="164"/>
    <n v="9976.6666666666697"/>
    <n v="35916"/>
  </r>
  <r>
    <x v="0"/>
    <x v="0"/>
    <x v="0"/>
    <x v="1"/>
    <x v="2"/>
    <s v="EE_Narva"/>
    <x v="6"/>
    <x v="5"/>
    <s v="Narva-EJ-TG3"/>
    <x v="1"/>
    <x v="11"/>
    <n v="164"/>
    <n v="9976.6666666666697"/>
    <n v="35916"/>
  </r>
  <r>
    <x v="0"/>
    <x v="0"/>
    <x v="0"/>
    <x v="1"/>
    <x v="2"/>
    <s v="EE_Narva"/>
    <x v="6"/>
    <x v="5"/>
    <s v="Narva-EJ-TG3"/>
    <x v="2"/>
    <x v="0"/>
    <n v="164"/>
    <n v="9976.6666666666697"/>
    <n v="35916"/>
  </r>
  <r>
    <x v="0"/>
    <x v="0"/>
    <x v="0"/>
    <x v="1"/>
    <x v="2"/>
    <s v="EE_Narva"/>
    <x v="6"/>
    <x v="5"/>
    <s v="Narva-EJ-TG3"/>
    <x v="2"/>
    <x v="3"/>
    <n v="164"/>
    <n v="9976.6666666666697"/>
    <n v="35916"/>
  </r>
  <r>
    <x v="0"/>
    <x v="0"/>
    <x v="0"/>
    <x v="1"/>
    <x v="2"/>
    <s v="EE_Narva"/>
    <x v="6"/>
    <x v="5"/>
    <s v="Narva-EJ-TG3"/>
    <x v="2"/>
    <x v="6"/>
    <n v="164"/>
    <n v="9976.6666666666697"/>
    <n v="35916"/>
  </r>
  <r>
    <x v="0"/>
    <x v="0"/>
    <x v="0"/>
    <x v="1"/>
    <x v="2"/>
    <s v="EE_Narva"/>
    <x v="6"/>
    <x v="5"/>
    <s v="Narva-EJ-TG3"/>
    <x v="2"/>
    <x v="7"/>
    <n v="164"/>
    <n v="9976.6666666666697"/>
    <n v="35916"/>
  </r>
  <r>
    <x v="0"/>
    <x v="0"/>
    <x v="0"/>
    <x v="1"/>
    <x v="2"/>
    <s v="EE_Narva"/>
    <x v="6"/>
    <x v="5"/>
    <s v="Narva-EJ-TG3"/>
    <x v="2"/>
    <x v="9"/>
    <n v="164"/>
    <n v="9976.6666666666697"/>
    <n v="35916"/>
  </r>
  <r>
    <x v="0"/>
    <x v="0"/>
    <x v="0"/>
    <x v="1"/>
    <x v="2"/>
    <s v="EE_Narva"/>
    <x v="6"/>
    <x v="5"/>
    <s v="Narva-EJ-TG3"/>
    <x v="2"/>
    <x v="10"/>
    <n v="164"/>
    <n v="9976.6666666666697"/>
    <n v="35916"/>
  </r>
  <r>
    <x v="0"/>
    <x v="0"/>
    <x v="0"/>
    <x v="1"/>
    <x v="2"/>
    <s v="EE_Narva"/>
    <x v="6"/>
    <x v="5"/>
    <s v="Narva-EJ-TG3"/>
    <x v="2"/>
    <x v="11"/>
    <n v="164"/>
    <n v="9976.6666666666697"/>
    <n v="35916"/>
  </r>
  <r>
    <x v="0"/>
    <x v="0"/>
    <x v="0"/>
    <x v="1"/>
    <x v="2"/>
    <s v="EE_Narva"/>
    <x v="6"/>
    <x v="5"/>
    <s v="Narva-EJ-TG3"/>
    <x v="3"/>
    <x v="0"/>
    <n v="164"/>
    <n v="9976.6666666666697"/>
    <n v="35916"/>
  </r>
  <r>
    <x v="0"/>
    <x v="0"/>
    <x v="0"/>
    <x v="1"/>
    <x v="2"/>
    <s v="EE_Narva"/>
    <x v="6"/>
    <x v="5"/>
    <s v="Narva-EJ-TG3"/>
    <x v="3"/>
    <x v="1"/>
    <n v="164"/>
    <n v="9976.6666666666697"/>
    <n v="35916"/>
  </r>
  <r>
    <x v="0"/>
    <x v="0"/>
    <x v="0"/>
    <x v="1"/>
    <x v="2"/>
    <s v="EE_Narva"/>
    <x v="6"/>
    <x v="5"/>
    <s v="Narva-EJ-TG3"/>
    <x v="3"/>
    <x v="3"/>
    <n v="164"/>
    <n v="9976.6666666666697"/>
    <n v="35916"/>
  </r>
  <r>
    <x v="0"/>
    <x v="0"/>
    <x v="0"/>
    <x v="1"/>
    <x v="2"/>
    <s v="EE_Narva"/>
    <x v="6"/>
    <x v="5"/>
    <s v="Narva-EJ-TG3"/>
    <x v="3"/>
    <x v="4"/>
    <n v="164"/>
    <n v="9976.6666666666697"/>
    <n v="35916"/>
  </r>
  <r>
    <x v="0"/>
    <x v="0"/>
    <x v="0"/>
    <x v="1"/>
    <x v="2"/>
    <s v="EE_Narva"/>
    <x v="6"/>
    <x v="5"/>
    <s v="Narva-EJ-TG3"/>
    <x v="3"/>
    <x v="5"/>
    <n v="164"/>
    <n v="9976.6666666666697"/>
    <n v="35916"/>
  </r>
  <r>
    <x v="0"/>
    <x v="0"/>
    <x v="0"/>
    <x v="1"/>
    <x v="2"/>
    <s v="EE_Narva"/>
    <x v="6"/>
    <x v="5"/>
    <s v="Narva-EJ-TG3"/>
    <x v="3"/>
    <x v="6"/>
    <n v="164"/>
    <n v="9976.6666666666697"/>
    <n v="35916"/>
  </r>
  <r>
    <x v="0"/>
    <x v="0"/>
    <x v="0"/>
    <x v="1"/>
    <x v="2"/>
    <s v="EE_Narva"/>
    <x v="6"/>
    <x v="5"/>
    <s v="Narva-EJ-TG3"/>
    <x v="3"/>
    <x v="8"/>
    <n v="164"/>
    <n v="9976.6666666666697"/>
    <n v="35916"/>
  </r>
  <r>
    <x v="0"/>
    <x v="0"/>
    <x v="0"/>
    <x v="1"/>
    <x v="2"/>
    <s v="EE_Narva"/>
    <x v="6"/>
    <x v="5"/>
    <s v="Narva-EJ-TG3"/>
    <x v="3"/>
    <x v="9"/>
    <n v="164"/>
    <n v="9976.6666666666697"/>
    <n v="35916"/>
  </r>
  <r>
    <x v="0"/>
    <x v="0"/>
    <x v="0"/>
    <x v="1"/>
    <x v="2"/>
    <s v="EE_Narva"/>
    <x v="6"/>
    <x v="5"/>
    <s v="Narva-EJ-TG3"/>
    <x v="3"/>
    <x v="10"/>
    <n v="164"/>
    <n v="9976.6666666666697"/>
    <n v="35916"/>
  </r>
  <r>
    <x v="0"/>
    <x v="0"/>
    <x v="0"/>
    <x v="1"/>
    <x v="2"/>
    <s v="EE_Narva"/>
    <x v="6"/>
    <x v="5"/>
    <s v="Narva-EJ-TG3"/>
    <x v="4"/>
    <x v="1"/>
    <n v="164"/>
    <n v="9976.6666666666697"/>
    <n v="35916"/>
  </r>
  <r>
    <x v="0"/>
    <x v="0"/>
    <x v="0"/>
    <x v="1"/>
    <x v="2"/>
    <s v="EE_Narva"/>
    <x v="6"/>
    <x v="5"/>
    <s v="Narva-EJ-TG3"/>
    <x v="4"/>
    <x v="2"/>
    <n v="164"/>
    <n v="9976.6666666666697"/>
    <n v="35916"/>
  </r>
  <r>
    <x v="0"/>
    <x v="0"/>
    <x v="0"/>
    <x v="1"/>
    <x v="2"/>
    <s v="EE_Narva"/>
    <x v="6"/>
    <x v="5"/>
    <s v="Narva-EJ-TG3"/>
    <x v="4"/>
    <x v="3"/>
    <n v="164"/>
    <n v="9976.6666666666697"/>
    <n v="35916"/>
  </r>
  <r>
    <x v="0"/>
    <x v="0"/>
    <x v="0"/>
    <x v="1"/>
    <x v="2"/>
    <s v="EE_Narva"/>
    <x v="6"/>
    <x v="5"/>
    <s v="Narva-EJ-TG3"/>
    <x v="4"/>
    <x v="4"/>
    <n v="164"/>
    <n v="9976.6666666666697"/>
    <n v="35916"/>
  </r>
  <r>
    <x v="0"/>
    <x v="0"/>
    <x v="0"/>
    <x v="1"/>
    <x v="2"/>
    <s v="EE_Narva"/>
    <x v="6"/>
    <x v="5"/>
    <s v="Narva-EJ-TG3"/>
    <x v="4"/>
    <x v="5"/>
    <n v="164"/>
    <n v="9976.6666666666697"/>
    <n v="35916"/>
  </r>
  <r>
    <x v="0"/>
    <x v="0"/>
    <x v="0"/>
    <x v="1"/>
    <x v="2"/>
    <s v="EE_Narva"/>
    <x v="6"/>
    <x v="5"/>
    <s v="Narva-EJ-TG3"/>
    <x v="4"/>
    <x v="6"/>
    <n v="164"/>
    <n v="9976.6666666666697"/>
    <n v="35916"/>
  </r>
  <r>
    <x v="0"/>
    <x v="0"/>
    <x v="0"/>
    <x v="1"/>
    <x v="2"/>
    <s v="EE_Narva"/>
    <x v="6"/>
    <x v="5"/>
    <s v="Narva-EJ-TG3"/>
    <x v="4"/>
    <x v="7"/>
    <n v="164"/>
    <n v="9976.6666666666697"/>
    <n v="35916"/>
  </r>
  <r>
    <x v="0"/>
    <x v="0"/>
    <x v="0"/>
    <x v="1"/>
    <x v="2"/>
    <s v="EE_Narva"/>
    <x v="6"/>
    <x v="5"/>
    <s v="Narva-EJ-TG3"/>
    <x v="4"/>
    <x v="9"/>
    <n v="164"/>
    <n v="9976.6666666666697"/>
    <n v="35916"/>
  </r>
  <r>
    <x v="0"/>
    <x v="0"/>
    <x v="0"/>
    <x v="1"/>
    <x v="2"/>
    <s v="EE_Narva"/>
    <x v="6"/>
    <x v="5"/>
    <s v="Narva-EJ-TG3"/>
    <x v="4"/>
    <x v="10"/>
    <n v="164"/>
    <n v="9976.6666666666697"/>
    <n v="35916"/>
  </r>
  <r>
    <x v="0"/>
    <x v="0"/>
    <x v="0"/>
    <x v="1"/>
    <x v="2"/>
    <s v="EE_Narva"/>
    <x v="6"/>
    <x v="5"/>
    <s v="Narva-EJ-TG3"/>
    <x v="4"/>
    <x v="11"/>
    <n v="164"/>
    <n v="9976.6666666666697"/>
    <n v="35916"/>
  </r>
  <r>
    <x v="0"/>
    <x v="0"/>
    <x v="0"/>
    <x v="1"/>
    <x v="2"/>
    <s v="EE_Narva"/>
    <x v="6"/>
    <x v="5"/>
    <s v="Narva-EJ-TG3"/>
    <x v="5"/>
    <x v="0"/>
    <n v="164"/>
    <n v="9976.6666666666697"/>
    <n v="35916"/>
  </r>
  <r>
    <x v="0"/>
    <x v="0"/>
    <x v="0"/>
    <x v="1"/>
    <x v="2"/>
    <s v="EE_Narva"/>
    <x v="6"/>
    <x v="5"/>
    <s v="Narva-EJ-TG3"/>
    <x v="5"/>
    <x v="2"/>
    <n v="164"/>
    <n v="9976.6666666666697"/>
    <n v="35916"/>
  </r>
  <r>
    <x v="0"/>
    <x v="0"/>
    <x v="0"/>
    <x v="1"/>
    <x v="2"/>
    <s v="EE_Narva"/>
    <x v="6"/>
    <x v="5"/>
    <s v="Narva-EJ-TG3"/>
    <x v="5"/>
    <x v="3"/>
    <n v="164"/>
    <n v="9976.6666666666697"/>
    <n v="35916"/>
  </r>
  <r>
    <x v="0"/>
    <x v="0"/>
    <x v="0"/>
    <x v="1"/>
    <x v="2"/>
    <s v="EE_Narva"/>
    <x v="6"/>
    <x v="5"/>
    <s v="Narva-EJ-TG3"/>
    <x v="5"/>
    <x v="4"/>
    <n v="164"/>
    <n v="9976.6666666666697"/>
    <n v="35916"/>
  </r>
  <r>
    <x v="0"/>
    <x v="0"/>
    <x v="0"/>
    <x v="1"/>
    <x v="2"/>
    <s v="EE_Narva"/>
    <x v="6"/>
    <x v="5"/>
    <s v="Narva-EJ-TG3"/>
    <x v="5"/>
    <x v="6"/>
    <n v="164"/>
    <n v="9976.6666666666697"/>
    <n v="35916"/>
  </r>
  <r>
    <x v="0"/>
    <x v="0"/>
    <x v="0"/>
    <x v="1"/>
    <x v="2"/>
    <s v="EE_Narva"/>
    <x v="6"/>
    <x v="5"/>
    <s v="Narva-EJ-TG3"/>
    <x v="5"/>
    <x v="9"/>
    <n v="164"/>
    <n v="9976.6666666666697"/>
    <n v="35916"/>
  </r>
  <r>
    <x v="0"/>
    <x v="0"/>
    <x v="0"/>
    <x v="1"/>
    <x v="2"/>
    <s v="EE_Narva"/>
    <x v="6"/>
    <x v="5"/>
    <s v="Narva-EJ-TG3"/>
    <x v="5"/>
    <x v="10"/>
    <n v="164"/>
    <n v="9976.6666666666697"/>
    <n v="35916"/>
  </r>
  <r>
    <x v="0"/>
    <x v="0"/>
    <x v="0"/>
    <x v="1"/>
    <x v="2"/>
    <s v="EE_Narva"/>
    <x v="6"/>
    <x v="5"/>
    <s v="Narva-EJ-TG3"/>
    <x v="6"/>
    <x v="2"/>
    <n v="164"/>
    <n v="9976.6666666666697"/>
    <n v="35916"/>
  </r>
  <r>
    <x v="0"/>
    <x v="0"/>
    <x v="0"/>
    <x v="1"/>
    <x v="2"/>
    <s v="EE_Narva"/>
    <x v="6"/>
    <x v="5"/>
    <s v="Narva-EJ-TG3"/>
    <x v="6"/>
    <x v="6"/>
    <n v="164"/>
    <n v="9976.6666666666697"/>
    <n v="35916"/>
  </r>
  <r>
    <x v="0"/>
    <x v="0"/>
    <x v="0"/>
    <x v="1"/>
    <x v="2"/>
    <s v="EE_Narva"/>
    <x v="6"/>
    <x v="5"/>
    <s v="Narva-EJ-TG3"/>
    <x v="6"/>
    <x v="8"/>
    <n v="164"/>
    <n v="9976.6666666666697"/>
    <n v="35916"/>
  </r>
  <r>
    <x v="0"/>
    <x v="0"/>
    <x v="0"/>
    <x v="1"/>
    <x v="2"/>
    <s v="EE_Narva"/>
    <x v="6"/>
    <x v="5"/>
    <s v="Narva-EJ-TG3"/>
    <x v="6"/>
    <x v="9"/>
    <n v="164"/>
    <n v="9976.6666666666697"/>
    <n v="35916"/>
  </r>
  <r>
    <x v="0"/>
    <x v="0"/>
    <x v="0"/>
    <x v="1"/>
    <x v="2"/>
    <s v="EE_Narva"/>
    <x v="6"/>
    <x v="5"/>
    <s v="Narva-EJ-TG3"/>
    <x v="6"/>
    <x v="10"/>
    <n v="164"/>
    <n v="9976.6666666666697"/>
    <n v="35916"/>
  </r>
  <r>
    <x v="0"/>
    <x v="0"/>
    <x v="0"/>
    <x v="1"/>
    <x v="2"/>
    <s v="EE_Narva"/>
    <x v="6"/>
    <x v="5"/>
    <s v="Narva-EJ-TG3"/>
    <x v="6"/>
    <x v="11"/>
    <n v="164"/>
    <n v="9976.6666666666697"/>
    <n v="35916"/>
  </r>
  <r>
    <x v="0"/>
    <x v="0"/>
    <x v="0"/>
    <x v="1"/>
    <x v="2"/>
    <s v="EE_Narva"/>
    <x v="6"/>
    <x v="5"/>
    <s v="Narva-EJ-TG3"/>
    <x v="7"/>
    <x v="2"/>
    <n v="164"/>
    <n v="9976.6666666666697"/>
    <n v="35916"/>
  </r>
  <r>
    <x v="0"/>
    <x v="0"/>
    <x v="0"/>
    <x v="1"/>
    <x v="2"/>
    <s v="EE_Narva"/>
    <x v="6"/>
    <x v="5"/>
    <s v="Narva-EJ-TG3"/>
    <x v="7"/>
    <x v="3"/>
    <n v="164"/>
    <n v="9976.6666666666697"/>
    <n v="35916"/>
  </r>
  <r>
    <x v="0"/>
    <x v="0"/>
    <x v="0"/>
    <x v="1"/>
    <x v="2"/>
    <s v="EE_Narva"/>
    <x v="6"/>
    <x v="5"/>
    <s v="Narva-EJ-TG3"/>
    <x v="7"/>
    <x v="6"/>
    <n v="164"/>
    <n v="9976.6666666666697"/>
    <n v="35916"/>
  </r>
  <r>
    <x v="0"/>
    <x v="0"/>
    <x v="0"/>
    <x v="1"/>
    <x v="2"/>
    <s v="EE_Narva"/>
    <x v="6"/>
    <x v="5"/>
    <s v="Narva-EJ-TG3"/>
    <x v="7"/>
    <x v="10"/>
    <n v="164"/>
    <n v="9976.6666666666697"/>
    <n v="35916"/>
  </r>
  <r>
    <x v="0"/>
    <x v="0"/>
    <x v="0"/>
    <x v="1"/>
    <x v="2"/>
    <s v="EE_Narva"/>
    <x v="6"/>
    <x v="5"/>
    <s v="Narva-EJ-TG3"/>
    <x v="8"/>
    <x v="0"/>
    <n v="164"/>
    <n v="9976.6666666666697"/>
    <n v="35916"/>
  </r>
  <r>
    <x v="0"/>
    <x v="0"/>
    <x v="0"/>
    <x v="1"/>
    <x v="2"/>
    <s v="EE_Narva"/>
    <x v="6"/>
    <x v="5"/>
    <s v="Narva-EJ-TG3"/>
    <x v="8"/>
    <x v="1"/>
    <n v="164"/>
    <n v="9976.6666666666697"/>
    <n v="35916"/>
  </r>
  <r>
    <x v="0"/>
    <x v="0"/>
    <x v="0"/>
    <x v="1"/>
    <x v="2"/>
    <s v="EE_Narva"/>
    <x v="6"/>
    <x v="5"/>
    <s v="Narva-EJ-TG3"/>
    <x v="8"/>
    <x v="2"/>
    <n v="164"/>
    <n v="9976.6666666666697"/>
    <n v="35916"/>
  </r>
  <r>
    <x v="0"/>
    <x v="0"/>
    <x v="0"/>
    <x v="1"/>
    <x v="2"/>
    <s v="EE_Narva"/>
    <x v="6"/>
    <x v="5"/>
    <s v="Narva-EJ-TG3"/>
    <x v="8"/>
    <x v="6"/>
    <n v="164"/>
    <n v="9976.6666666666697"/>
    <n v="35916"/>
  </r>
  <r>
    <x v="0"/>
    <x v="0"/>
    <x v="0"/>
    <x v="1"/>
    <x v="2"/>
    <s v="EE_Narva"/>
    <x v="6"/>
    <x v="5"/>
    <s v="Narva-EJ-TG3"/>
    <x v="8"/>
    <x v="9"/>
    <n v="164"/>
    <n v="9976.6666666666697"/>
    <n v="35916"/>
  </r>
  <r>
    <x v="0"/>
    <x v="0"/>
    <x v="0"/>
    <x v="1"/>
    <x v="2"/>
    <s v="EE_Narva"/>
    <x v="6"/>
    <x v="5"/>
    <s v="Narva-EJ-TG3"/>
    <x v="8"/>
    <x v="10"/>
    <n v="164"/>
    <n v="9976.6666666666697"/>
    <n v="35916"/>
  </r>
  <r>
    <x v="0"/>
    <x v="0"/>
    <x v="0"/>
    <x v="1"/>
    <x v="2"/>
    <s v="EE_Narva"/>
    <x v="6"/>
    <x v="5"/>
    <s v="Narva-EJ-TG3"/>
    <x v="9"/>
    <x v="2"/>
    <n v="164"/>
    <n v="9976.6666666666697"/>
    <n v="35916"/>
  </r>
  <r>
    <x v="0"/>
    <x v="0"/>
    <x v="0"/>
    <x v="1"/>
    <x v="2"/>
    <s v="EE_Narva"/>
    <x v="6"/>
    <x v="5"/>
    <s v="Narva-EJ-TG3"/>
    <x v="9"/>
    <x v="5"/>
    <n v="164"/>
    <n v="9976.6666666666697"/>
    <n v="35916"/>
  </r>
  <r>
    <x v="0"/>
    <x v="0"/>
    <x v="0"/>
    <x v="1"/>
    <x v="2"/>
    <s v="EE_Narva"/>
    <x v="6"/>
    <x v="5"/>
    <s v="Narva-EJ-TG3"/>
    <x v="9"/>
    <x v="6"/>
    <n v="164"/>
    <n v="9976.6666666666697"/>
    <n v="35916"/>
  </r>
  <r>
    <x v="0"/>
    <x v="0"/>
    <x v="0"/>
    <x v="1"/>
    <x v="2"/>
    <s v="EE_Narva"/>
    <x v="6"/>
    <x v="5"/>
    <s v="Narva-EJ-TG3"/>
    <x v="9"/>
    <x v="10"/>
    <n v="164"/>
    <n v="9976.6666666666697"/>
    <n v="35916"/>
  </r>
  <r>
    <x v="0"/>
    <x v="0"/>
    <x v="0"/>
    <x v="1"/>
    <x v="2"/>
    <s v="EE_Narva"/>
    <x v="6"/>
    <x v="5"/>
    <s v="Narva-EJ-TG3"/>
    <x v="9"/>
    <x v="11"/>
    <n v="164"/>
    <n v="9976.6666666666697"/>
    <n v="35916"/>
  </r>
  <r>
    <x v="0"/>
    <x v="0"/>
    <x v="0"/>
    <x v="1"/>
    <x v="2"/>
    <s v="EE_Narva"/>
    <x v="6"/>
    <x v="5"/>
    <s v="Narva-EJ-TG3"/>
    <x v="10"/>
    <x v="2"/>
    <n v="164"/>
    <n v="9976.6666666666697"/>
    <n v="35916"/>
  </r>
  <r>
    <x v="0"/>
    <x v="0"/>
    <x v="0"/>
    <x v="1"/>
    <x v="2"/>
    <s v="EE_Narva"/>
    <x v="6"/>
    <x v="5"/>
    <s v="Narva-EJ-TG3"/>
    <x v="10"/>
    <x v="3"/>
    <n v="164"/>
    <n v="9976.6666666666697"/>
    <n v="35916"/>
  </r>
  <r>
    <x v="0"/>
    <x v="0"/>
    <x v="0"/>
    <x v="1"/>
    <x v="2"/>
    <s v="EE_Narva"/>
    <x v="6"/>
    <x v="5"/>
    <s v="Narva-EJ-TG3"/>
    <x v="10"/>
    <x v="6"/>
    <n v="164"/>
    <n v="9976.6666666666697"/>
    <n v="35916"/>
  </r>
  <r>
    <x v="0"/>
    <x v="0"/>
    <x v="0"/>
    <x v="1"/>
    <x v="2"/>
    <s v="EE_Narva"/>
    <x v="6"/>
    <x v="5"/>
    <s v="Narva-EJ-TG3"/>
    <x v="10"/>
    <x v="8"/>
    <n v="164"/>
    <n v="9976.6666666666697"/>
    <n v="35916"/>
  </r>
  <r>
    <x v="0"/>
    <x v="0"/>
    <x v="0"/>
    <x v="1"/>
    <x v="2"/>
    <s v="EE_Narva"/>
    <x v="6"/>
    <x v="5"/>
    <s v="Narva-EJ-TG3"/>
    <x v="10"/>
    <x v="9"/>
    <n v="164"/>
    <n v="9976.6666666666697"/>
    <n v="35916"/>
  </r>
  <r>
    <x v="0"/>
    <x v="0"/>
    <x v="0"/>
    <x v="1"/>
    <x v="2"/>
    <s v="EE_Narva"/>
    <x v="6"/>
    <x v="5"/>
    <s v="Narva-EJ-TG3"/>
    <x v="10"/>
    <x v="10"/>
    <n v="164"/>
    <n v="9976.6666666666697"/>
    <n v="35916"/>
  </r>
  <r>
    <x v="0"/>
    <x v="0"/>
    <x v="0"/>
    <x v="1"/>
    <x v="2"/>
    <s v="EE_Narva"/>
    <x v="6"/>
    <x v="5"/>
    <s v="Narva-EJ-TG3"/>
    <x v="11"/>
    <x v="5"/>
    <n v="160.04452788594199"/>
    <n v="9736.0421130614905"/>
    <n v="35049.751607021397"/>
  </r>
  <r>
    <x v="0"/>
    <x v="0"/>
    <x v="0"/>
    <x v="1"/>
    <x v="2"/>
    <s v="EE_Narva"/>
    <x v="6"/>
    <x v="5"/>
    <s v="Narva-EJ-TG3"/>
    <x v="11"/>
    <x v="9"/>
    <n v="164"/>
    <n v="9976.6666666666697"/>
    <n v="35916"/>
  </r>
  <r>
    <x v="0"/>
    <x v="0"/>
    <x v="0"/>
    <x v="1"/>
    <x v="2"/>
    <s v="EE_Narva"/>
    <x v="6"/>
    <x v="5"/>
    <s v="Narva-EJ-TG3"/>
    <x v="11"/>
    <x v="10"/>
    <n v="164"/>
    <n v="9976.6666666666697"/>
    <n v="35916"/>
  </r>
  <r>
    <x v="0"/>
    <x v="0"/>
    <x v="0"/>
    <x v="1"/>
    <x v="2"/>
    <s v="EE_Narva"/>
    <x v="6"/>
    <x v="5"/>
    <s v="Narva-EJ-TG4"/>
    <x v="0"/>
    <x v="1"/>
    <n v="164"/>
    <n v="9976.6666666666697"/>
    <n v="35916"/>
  </r>
  <r>
    <x v="0"/>
    <x v="0"/>
    <x v="0"/>
    <x v="1"/>
    <x v="2"/>
    <s v="EE_Narva"/>
    <x v="6"/>
    <x v="5"/>
    <s v="Narva-EJ-TG4"/>
    <x v="0"/>
    <x v="3"/>
    <n v="138.25563475201801"/>
    <n v="8410.5511140810795"/>
    <n v="30277.9840106919"/>
  </r>
  <r>
    <x v="0"/>
    <x v="0"/>
    <x v="0"/>
    <x v="1"/>
    <x v="2"/>
    <s v="EE_Narva"/>
    <x v="6"/>
    <x v="5"/>
    <s v="Narva-EJ-TG4"/>
    <x v="0"/>
    <x v="4"/>
    <n v="164"/>
    <n v="9976.6666666666697"/>
    <n v="35916"/>
  </r>
  <r>
    <x v="0"/>
    <x v="0"/>
    <x v="0"/>
    <x v="1"/>
    <x v="2"/>
    <s v="EE_Narva"/>
    <x v="6"/>
    <x v="5"/>
    <s v="Narva-EJ-TG4"/>
    <x v="0"/>
    <x v="5"/>
    <n v="164"/>
    <n v="9976.6666666666697"/>
    <n v="35916"/>
  </r>
  <r>
    <x v="0"/>
    <x v="0"/>
    <x v="0"/>
    <x v="1"/>
    <x v="2"/>
    <s v="EE_Narva"/>
    <x v="6"/>
    <x v="5"/>
    <s v="Narva-EJ-TG4"/>
    <x v="0"/>
    <x v="6"/>
    <n v="126.06602257136799"/>
    <n v="7669.0163730915501"/>
    <n v="27608.458943129601"/>
  </r>
  <r>
    <x v="0"/>
    <x v="0"/>
    <x v="0"/>
    <x v="1"/>
    <x v="2"/>
    <s v="EE_Narva"/>
    <x v="6"/>
    <x v="5"/>
    <s v="Narva-EJ-TG4"/>
    <x v="0"/>
    <x v="7"/>
    <n v="164"/>
    <n v="9976.6666666666697"/>
    <n v="35916"/>
  </r>
  <r>
    <x v="0"/>
    <x v="0"/>
    <x v="0"/>
    <x v="1"/>
    <x v="2"/>
    <s v="EE_Narva"/>
    <x v="6"/>
    <x v="5"/>
    <s v="Narva-EJ-TG4"/>
    <x v="0"/>
    <x v="8"/>
    <n v="152.740506878612"/>
    <n v="9291.7141684489106"/>
    <n v="33450.171006416102"/>
  </r>
  <r>
    <x v="0"/>
    <x v="0"/>
    <x v="0"/>
    <x v="1"/>
    <x v="2"/>
    <s v="EE_Narva"/>
    <x v="6"/>
    <x v="5"/>
    <s v="Narva-EJ-TG4"/>
    <x v="0"/>
    <x v="9"/>
    <n v="164"/>
    <n v="9976.6666666666697"/>
    <n v="35916"/>
  </r>
  <r>
    <x v="0"/>
    <x v="0"/>
    <x v="0"/>
    <x v="1"/>
    <x v="2"/>
    <s v="EE_Narva"/>
    <x v="6"/>
    <x v="5"/>
    <s v="Narva-EJ-TG4"/>
    <x v="0"/>
    <x v="11"/>
    <n v="137.67204891613201"/>
    <n v="8375.0496423980003"/>
    <n v="30150.178712632802"/>
  </r>
  <r>
    <x v="0"/>
    <x v="0"/>
    <x v="0"/>
    <x v="1"/>
    <x v="2"/>
    <s v="EE_Narva"/>
    <x v="6"/>
    <x v="5"/>
    <s v="Narva-EJ-TG4"/>
    <x v="1"/>
    <x v="0"/>
    <n v="164"/>
    <n v="9976.6666666666697"/>
    <n v="35916"/>
  </r>
  <r>
    <x v="0"/>
    <x v="0"/>
    <x v="0"/>
    <x v="1"/>
    <x v="2"/>
    <s v="EE_Narva"/>
    <x v="6"/>
    <x v="5"/>
    <s v="Narva-EJ-TG4"/>
    <x v="1"/>
    <x v="1"/>
    <n v="164"/>
    <n v="9976.6666666666697"/>
    <n v="35916"/>
  </r>
  <r>
    <x v="0"/>
    <x v="0"/>
    <x v="0"/>
    <x v="1"/>
    <x v="2"/>
    <s v="EE_Narva"/>
    <x v="6"/>
    <x v="5"/>
    <s v="Narva-EJ-TG4"/>
    <x v="1"/>
    <x v="2"/>
    <n v="132.741108577391"/>
    <n v="8075.0841051246098"/>
    <n v="29070.3027784486"/>
  </r>
  <r>
    <x v="0"/>
    <x v="0"/>
    <x v="0"/>
    <x v="1"/>
    <x v="2"/>
    <s v="EE_Narva"/>
    <x v="6"/>
    <x v="5"/>
    <s v="Narva-EJ-TG4"/>
    <x v="1"/>
    <x v="3"/>
    <n v="113.317942327002"/>
    <n v="6893.50815822598"/>
    <n v="24816.6293696135"/>
  </r>
  <r>
    <x v="0"/>
    <x v="0"/>
    <x v="0"/>
    <x v="1"/>
    <x v="2"/>
    <s v="EE_Narva"/>
    <x v="6"/>
    <x v="5"/>
    <s v="Narva-EJ-TG4"/>
    <x v="1"/>
    <x v="4"/>
    <n v="113.351094498962"/>
    <n v="6895.5249153535497"/>
    <n v="24823.889695272799"/>
  </r>
  <r>
    <x v="0"/>
    <x v="0"/>
    <x v="0"/>
    <x v="1"/>
    <x v="2"/>
    <s v="EE_Narva"/>
    <x v="6"/>
    <x v="5"/>
    <s v="Narva-EJ-TG4"/>
    <x v="1"/>
    <x v="5"/>
    <n v="106.746564067725"/>
    <n v="6493.7493141199302"/>
    <n v="23377.497530831701"/>
  </r>
  <r>
    <x v="0"/>
    <x v="0"/>
    <x v="0"/>
    <x v="1"/>
    <x v="2"/>
    <s v="EE_Narva"/>
    <x v="6"/>
    <x v="5"/>
    <s v="Narva-EJ-TG4"/>
    <x v="1"/>
    <x v="7"/>
    <n v="164"/>
    <n v="9976.6666666666697"/>
    <n v="35916"/>
  </r>
  <r>
    <x v="0"/>
    <x v="0"/>
    <x v="0"/>
    <x v="1"/>
    <x v="2"/>
    <s v="EE_Narva"/>
    <x v="6"/>
    <x v="5"/>
    <s v="Narva-EJ-TG4"/>
    <x v="1"/>
    <x v="8"/>
    <n v="164"/>
    <n v="9976.6666666666697"/>
    <n v="35916"/>
  </r>
  <r>
    <x v="0"/>
    <x v="0"/>
    <x v="0"/>
    <x v="1"/>
    <x v="2"/>
    <s v="EE_Narva"/>
    <x v="6"/>
    <x v="5"/>
    <s v="Narva-EJ-TG4"/>
    <x v="1"/>
    <x v="9"/>
    <n v="164"/>
    <n v="9976.6666666666697"/>
    <n v="35916"/>
  </r>
  <r>
    <x v="0"/>
    <x v="0"/>
    <x v="0"/>
    <x v="1"/>
    <x v="2"/>
    <s v="EE_Narva"/>
    <x v="6"/>
    <x v="5"/>
    <s v="Narva-EJ-TG4"/>
    <x v="1"/>
    <x v="10"/>
    <n v="164"/>
    <n v="9976.6666666666697"/>
    <n v="35916"/>
  </r>
  <r>
    <x v="0"/>
    <x v="0"/>
    <x v="0"/>
    <x v="1"/>
    <x v="2"/>
    <s v="EE_Narva"/>
    <x v="6"/>
    <x v="5"/>
    <s v="Narva-EJ-TG4"/>
    <x v="1"/>
    <x v="11"/>
    <n v="164"/>
    <n v="9976.6666666666697"/>
    <n v="35916"/>
  </r>
  <r>
    <x v="0"/>
    <x v="0"/>
    <x v="0"/>
    <x v="1"/>
    <x v="2"/>
    <s v="EE_Narva"/>
    <x v="6"/>
    <x v="5"/>
    <s v="Narva-EJ-TG4"/>
    <x v="2"/>
    <x v="0"/>
    <n v="140.81922562727999"/>
    <n v="8566.5028923261998"/>
    <n v="30839.410412374302"/>
  </r>
  <r>
    <x v="0"/>
    <x v="0"/>
    <x v="0"/>
    <x v="1"/>
    <x v="2"/>
    <s v="EE_Narva"/>
    <x v="6"/>
    <x v="5"/>
    <s v="Narva-EJ-TG4"/>
    <x v="2"/>
    <x v="3"/>
    <n v="22.485413157567599"/>
    <n v="1367.86263375203"/>
    <n v="4924.3054815073001"/>
  </r>
  <r>
    <x v="0"/>
    <x v="0"/>
    <x v="0"/>
    <x v="1"/>
    <x v="2"/>
    <s v="EE_Narva"/>
    <x v="6"/>
    <x v="5"/>
    <s v="Narva-EJ-TG4"/>
    <x v="2"/>
    <x v="4"/>
    <n v="164"/>
    <n v="9976.6666666666697"/>
    <n v="35916"/>
  </r>
  <r>
    <x v="0"/>
    <x v="0"/>
    <x v="0"/>
    <x v="1"/>
    <x v="2"/>
    <s v="EE_Narva"/>
    <x v="6"/>
    <x v="5"/>
    <s v="Narva-EJ-TG4"/>
    <x v="2"/>
    <x v="6"/>
    <n v="65.157833496384399"/>
    <n v="3963.7682043633899"/>
    <n v="14269.5655357082"/>
  </r>
  <r>
    <x v="0"/>
    <x v="0"/>
    <x v="0"/>
    <x v="1"/>
    <x v="2"/>
    <s v="EE_Narva"/>
    <x v="6"/>
    <x v="5"/>
    <s v="Narva-EJ-TG4"/>
    <x v="2"/>
    <x v="7"/>
    <n v="97.040166344034006"/>
    <n v="5903.2767859287296"/>
    <n v="21251.796429343402"/>
  </r>
  <r>
    <x v="0"/>
    <x v="0"/>
    <x v="0"/>
    <x v="1"/>
    <x v="2"/>
    <s v="EE_Narva"/>
    <x v="6"/>
    <x v="5"/>
    <s v="Narva-EJ-TG4"/>
    <x v="2"/>
    <x v="8"/>
    <n v="164"/>
    <n v="9976.6666666666697"/>
    <n v="35916"/>
  </r>
  <r>
    <x v="0"/>
    <x v="0"/>
    <x v="0"/>
    <x v="1"/>
    <x v="2"/>
    <s v="EE_Narva"/>
    <x v="6"/>
    <x v="5"/>
    <s v="Narva-EJ-TG4"/>
    <x v="2"/>
    <x v="9"/>
    <n v="164"/>
    <n v="9976.6666666666697"/>
    <n v="35916"/>
  </r>
  <r>
    <x v="0"/>
    <x v="0"/>
    <x v="0"/>
    <x v="1"/>
    <x v="2"/>
    <s v="EE_Narva"/>
    <x v="6"/>
    <x v="5"/>
    <s v="Narva-EJ-TG4"/>
    <x v="2"/>
    <x v="10"/>
    <n v="117.365038794716"/>
    <n v="7139.7065266785303"/>
    <n v="25702.943496042699"/>
  </r>
  <r>
    <x v="0"/>
    <x v="0"/>
    <x v="0"/>
    <x v="1"/>
    <x v="2"/>
    <s v="EE_Narva"/>
    <x v="6"/>
    <x v="5"/>
    <s v="Narva-EJ-TG4"/>
    <x v="2"/>
    <x v="11"/>
    <n v="164"/>
    <n v="9976.6666666666697"/>
    <n v="35916"/>
  </r>
  <r>
    <x v="0"/>
    <x v="0"/>
    <x v="0"/>
    <x v="1"/>
    <x v="2"/>
    <s v="EE_Narva"/>
    <x v="6"/>
    <x v="5"/>
    <s v="Narva-EJ-TG4"/>
    <x v="3"/>
    <x v="0"/>
    <n v="164"/>
    <n v="9976.6666666666697"/>
    <n v="35916"/>
  </r>
  <r>
    <x v="0"/>
    <x v="0"/>
    <x v="0"/>
    <x v="1"/>
    <x v="2"/>
    <s v="EE_Narva"/>
    <x v="6"/>
    <x v="5"/>
    <s v="Narva-EJ-TG4"/>
    <x v="3"/>
    <x v="1"/>
    <n v="164"/>
    <n v="9976.6666666666697"/>
    <n v="35916"/>
  </r>
  <r>
    <x v="0"/>
    <x v="0"/>
    <x v="0"/>
    <x v="1"/>
    <x v="2"/>
    <s v="EE_Narva"/>
    <x v="6"/>
    <x v="5"/>
    <s v="Narva-EJ-TG4"/>
    <x v="3"/>
    <x v="2"/>
    <n v="43.770623791800098"/>
    <n v="2662.7129473344999"/>
    <n v="9585.7666104042091"/>
  </r>
  <r>
    <x v="0"/>
    <x v="0"/>
    <x v="0"/>
    <x v="1"/>
    <x v="2"/>
    <s v="EE_Narva"/>
    <x v="6"/>
    <x v="5"/>
    <s v="Narva-EJ-TG4"/>
    <x v="3"/>
    <x v="3"/>
    <n v="164"/>
    <n v="9976.6666666666697"/>
    <n v="35916"/>
  </r>
  <r>
    <x v="0"/>
    <x v="0"/>
    <x v="0"/>
    <x v="1"/>
    <x v="2"/>
    <s v="EE_Narva"/>
    <x v="6"/>
    <x v="5"/>
    <s v="Narva-EJ-TG4"/>
    <x v="3"/>
    <x v="4"/>
    <n v="19.1091937813991"/>
    <n v="1162.47595503511"/>
    <n v="4184.9134381264003"/>
  </r>
  <r>
    <x v="0"/>
    <x v="0"/>
    <x v="0"/>
    <x v="1"/>
    <x v="2"/>
    <s v="EE_Narva"/>
    <x v="6"/>
    <x v="5"/>
    <s v="Narva-EJ-TG4"/>
    <x v="3"/>
    <x v="5"/>
    <n v="164"/>
    <n v="9976.6666666666697"/>
    <n v="35916"/>
  </r>
  <r>
    <x v="0"/>
    <x v="0"/>
    <x v="0"/>
    <x v="1"/>
    <x v="2"/>
    <s v="EE_Narva"/>
    <x v="6"/>
    <x v="5"/>
    <s v="Narva-EJ-TG4"/>
    <x v="3"/>
    <x v="6"/>
    <n v="69.795724559011802"/>
    <n v="4245.9065773398897"/>
    <n v="15285.2636784236"/>
  </r>
  <r>
    <x v="0"/>
    <x v="0"/>
    <x v="0"/>
    <x v="1"/>
    <x v="2"/>
    <s v="EE_Narva"/>
    <x v="6"/>
    <x v="5"/>
    <s v="Narva-EJ-TG4"/>
    <x v="3"/>
    <x v="7"/>
    <n v="130.88226253193201"/>
    <n v="7962.0043040258897"/>
    <n v="28663.215494493201"/>
  </r>
  <r>
    <x v="0"/>
    <x v="0"/>
    <x v="0"/>
    <x v="1"/>
    <x v="2"/>
    <s v="EE_Narva"/>
    <x v="6"/>
    <x v="5"/>
    <s v="Narva-EJ-TG4"/>
    <x v="3"/>
    <x v="8"/>
    <n v="164"/>
    <n v="9976.6666666666697"/>
    <n v="35916"/>
  </r>
  <r>
    <x v="0"/>
    <x v="0"/>
    <x v="0"/>
    <x v="1"/>
    <x v="2"/>
    <s v="EE_Narva"/>
    <x v="6"/>
    <x v="5"/>
    <s v="Narva-EJ-TG4"/>
    <x v="3"/>
    <x v="9"/>
    <n v="164"/>
    <n v="9976.6666666666697"/>
    <n v="35916"/>
  </r>
  <r>
    <x v="0"/>
    <x v="0"/>
    <x v="0"/>
    <x v="1"/>
    <x v="2"/>
    <s v="EE_Narva"/>
    <x v="6"/>
    <x v="5"/>
    <s v="Narva-EJ-TG4"/>
    <x v="3"/>
    <x v="10"/>
    <n v="164"/>
    <n v="9976.6666666666697"/>
    <n v="35916"/>
  </r>
  <r>
    <x v="0"/>
    <x v="0"/>
    <x v="0"/>
    <x v="1"/>
    <x v="2"/>
    <s v="EE_Narva"/>
    <x v="6"/>
    <x v="5"/>
    <s v="Narva-EJ-TG4"/>
    <x v="3"/>
    <x v="11"/>
    <n v="164"/>
    <n v="9976.6666666666697"/>
    <n v="35916"/>
  </r>
  <r>
    <x v="0"/>
    <x v="0"/>
    <x v="0"/>
    <x v="1"/>
    <x v="2"/>
    <s v="EE_Narva"/>
    <x v="6"/>
    <x v="5"/>
    <s v="Narva-EJ-TG4"/>
    <x v="4"/>
    <x v="0"/>
    <n v="164"/>
    <n v="9976.6666666666697"/>
    <n v="35916"/>
  </r>
  <r>
    <x v="0"/>
    <x v="0"/>
    <x v="0"/>
    <x v="1"/>
    <x v="2"/>
    <s v="EE_Narva"/>
    <x v="6"/>
    <x v="5"/>
    <s v="Narva-EJ-TG4"/>
    <x v="4"/>
    <x v="1"/>
    <n v="164"/>
    <n v="9976.6666666666697"/>
    <n v="35916"/>
  </r>
  <r>
    <x v="0"/>
    <x v="0"/>
    <x v="0"/>
    <x v="1"/>
    <x v="2"/>
    <s v="EE_Narva"/>
    <x v="6"/>
    <x v="5"/>
    <s v="Narva-EJ-TG4"/>
    <x v="4"/>
    <x v="2"/>
    <n v="164"/>
    <n v="9976.6666666666697"/>
    <n v="35916"/>
  </r>
  <r>
    <x v="0"/>
    <x v="0"/>
    <x v="0"/>
    <x v="1"/>
    <x v="2"/>
    <s v="EE_Narva"/>
    <x v="6"/>
    <x v="5"/>
    <s v="Narva-EJ-TG4"/>
    <x v="4"/>
    <x v="3"/>
    <n v="164"/>
    <n v="9976.6666666666697"/>
    <n v="35916"/>
  </r>
  <r>
    <x v="0"/>
    <x v="0"/>
    <x v="0"/>
    <x v="1"/>
    <x v="2"/>
    <s v="EE_Narva"/>
    <x v="6"/>
    <x v="5"/>
    <s v="Narva-EJ-TG4"/>
    <x v="4"/>
    <x v="4"/>
    <n v="109.43286672275801"/>
    <n v="6657.1660589677704"/>
    <n v="23965.797812284"/>
  </r>
  <r>
    <x v="0"/>
    <x v="0"/>
    <x v="0"/>
    <x v="1"/>
    <x v="2"/>
    <s v="EE_Narva"/>
    <x v="6"/>
    <x v="5"/>
    <s v="Narva-EJ-TG4"/>
    <x v="4"/>
    <x v="5"/>
    <n v="164"/>
    <n v="9976.6666666666697"/>
    <n v="35916"/>
  </r>
  <r>
    <x v="0"/>
    <x v="0"/>
    <x v="0"/>
    <x v="1"/>
    <x v="2"/>
    <s v="EE_Narva"/>
    <x v="6"/>
    <x v="5"/>
    <s v="Narva-EJ-TG4"/>
    <x v="4"/>
    <x v="6"/>
    <n v="164"/>
    <n v="9976.6666666666697"/>
    <n v="35916"/>
  </r>
  <r>
    <x v="0"/>
    <x v="0"/>
    <x v="0"/>
    <x v="1"/>
    <x v="2"/>
    <s v="EE_Narva"/>
    <x v="6"/>
    <x v="5"/>
    <s v="Narva-EJ-TG4"/>
    <x v="4"/>
    <x v="7"/>
    <n v="164"/>
    <n v="9976.6666666666697"/>
    <n v="35916"/>
  </r>
  <r>
    <x v="0"/>
    <x v="0"/>
    <x v="0"/>
    <x v="1"/>
    <x v="2"/>
    <s v="EE_Narva"/>
    <x v="6"/>
    <x v="5"/>
    <s v="Narva-EJ-TG4"/>
    <x v="4"/>
    <x v="8"/>
    <n v="164"/>
    <n v="9976.6666666666697"/>
    <n v="35916"/>
  </r>
  <r>
    <x v="0"/>
    <x v="0"/>
    <x v="0"/>
    <x v="1"/>
    <x v="2"/>
    <s v="EE_Narva"/>
    <x v="6"/>
    <x v="5"/>
    <s v="Narva-EJ-TG4"/>
    <x v="4"/>
    <x v="9"/>
    <n v="164"/>
    <n v="9976.6666666666697"/>
    <n v="35916"/>
  </r>
  <r>
    <x v="0"/>
    <x v="0"/>
    <x v="0"/>
    <x v="1"/>
    <x v="2"/>
    <s v="EE_Narva"/>
    <x v="6"/>
    <x v="5"/>
    <s v="Narva-EJ-TG4"/>
    <x v="4"/>
    <x v="10"/>
    <n v="164"/>
    <n v="9976.6666666666697"/>
    <n v="35916"/>
  </r>
  <r>
    <x v="0"/>
    <x v="0"/>
    <x v="0"/>
    <x v="1"/>
    <x v="2"/>
    <s v="EE_Narva"/>
    <x v="6"/>
    <x v="5"/>
    <s v="Narva-EJ-TG4"/>
    <x v="4"/>
    <x v="11"/>
    <n v="164"/>
    <n v="9976.6666666666697"/>
    <n v="35916"/>
  </r>
  <r>
    <x v="0"/>
    <x v="0"/>
    <x v="0"/>
    <x v="1"/>
    <x v="2"/>
    <s v="EE_Narva"/>
    <x v="6"/>
    <x v="5"/>
    <s v="Narva-EJ-TG4"/>
    <x v="5"/>
    <x v="0"/>
    <n v="164"/>
    <n v="9976.6666666666697"/>
    <n v="35916"/>
  </r>
  <r>
    <x v="0"/>
    <x v="0"/>
    <x v="0"/>
    <x v="1"/>
    <x v="2"/>
    <s v="EE_Narva"/>
    <x v="6"/>
    <x v="5"/>
    <s v="Narva-EJ-TG4"/>
    <x v="5"/>
    <x v="1"/>
    <n v="164"/>
    <n v="9976.6666666666697"/>
    <n v="35916"/>
  </r>
  <r>
    <x v="0"/>
    <x v="0"/>
    <x v="0"/>
    <x v="1"/>
    <x v="2"/>
    <s v="EE_Narva"/>
    <x v="6"/>
    <x v="5"/>
    <s v="Narva-EJ-TG4"/>
    <x v="5"/>
    <x v="2"/>
    <n v="164"/>
    <n v="9976.6666666666697"/>
    <n v="35916"/>
  </r>
  <r>
    <x v="0"/>
    <x v="0"/>
    <x v="0"/>
    <x v="1"/>
    <x v="2"/>
    <s v="EE_Narva"/>
    <x v="6"/>
    <x v="5"/>
    <s v="Narva-EJ-TG4"/>
    <x v="5"/>
    <x v="3"/>
    <n v="164"/>
    <n v="9976.6666666666697"/>
    <n v="35916"/>
  </r>
  <r>
    <x v="0"/>
    <x v="0"/>
    <x v="0"/>
    <x v="1"/>
    <x v="2"/>
    <s v="EE_Narva"/>
    <x v="6"/>
    <x v="5"/>
    <s v="Narva-EJ-TG4"/>
    <x v="5"/>
    <x v="4"/>
    <n v="164"/>
    <n v="9976.6666666666697"/>
    <n v="35916"/>
  </r>
  <r>
    <x v="0"/>
    <x v="0"/>
    <x v="0"/>
    <x v="1"/>
    <x v="2"/>
    <s v="EE_Narva"/>
    <x v="6"/>
    <x v="5"/>
    <s v="Narva-EJ-TG4"/>
    <x v="5"/>
    <x v="5"/>
    <n v="164"/>
    <n v="9976.6666666666697"/>
    <n v="35916"/>
  </r>
  <r>
    <x v="0"/>
    <x v="0"/>
    <x v="0"/>
    <x v="1"/>
    <x v="2"/>
    <s v="EE_Narva"/>
    <x v="6"/>
    <x v="5"/>
    <s v="Narva-EJ-TG4"/>
    <x v="5"/>
    <x v="6"/>
    <n v="164"/>
    <n v="9976.6666666666697"/>
    <n v="35916"/>
  </r>
  <r>
    <x v="0"/>
    <x v="0"/>
    <x v="0"/>
    <x v="1"/>
    <x v="2"/>
    <s v="EE_Narva"/>
    <x v="6"/>
    <x v="5"/>
    <s v="Narva-EJ-TG4"/>
    <x v="5"/>
    <x v="7"/>
    <n v="164"/>
    <n v="9976.6666666666697"/>
    <n v="35916"/>
  </r>
  <r>
    <x v="0"/>
    <x v="0"/>
    <x v="0"/>
    <x v="1"/>
    <x v="2"/>
    <s v="EE_Narva"/>
    <x v="6"/>
    <x v="5"/>
    <s v="Narva-EJ-TG4"/>
    <x v="5"/>
    <x v="8"/>
    <n v="164"/>
    <n v="9976.6666666666697"/>
    <n v="35916"/>
  </r>
  <r>
    <x v="0"/>
    <x v="0"/>
    <x v="0"/>
    <x v="1"/>
    <x v="2"/>
    <s v="EE_Narva"/>
    <x v="6"/>
    <x v="5"/>
    <s v="Narva-EJ-TG4"/>
    <x v="5"/>
    <x v="9"/>
    <n v="164"/>
    <n v="9976.6666666666697"/>
    <n v="35916"/>
  </r>
  <r>
    <x v="0"/>
    <x v="0"/>
    <x v="0"/>
    <x v="1"/>
    <x v="2"/>
    <s v="EE_Narva"/>
    <x v="6"/>
    <x v="5"/>
    <s v="Narva-EJ-TG4"/>
    <x v="5"/>
    <x v="10"/>
    <n v="164"/>
    <n v="9976.6666666666697"/>
    <n v="35916"/>
  </r>
  <r>
    <x v="0"/>
    <x v="0"/>
    <x v="0"/>
    <x v="1"/>
    <x v="2"/>
    <s v="EE_Narva"/>
    <x v="6"/>
    <x v="5"/>
    <s v="Narva-EJ-TG4"/>
    <x v="5"/>
    <x v="11"/>
    <n v="164"/>
    <n v="9976.6666666666697"/>
    <n v="35916"/>
  </r>
  <r>
    <x v="0"/>
    <x v="0"/>
    <x v="0"/>
    <x v="1"/>
    <x v="2"/>
    <s v="EE_Narva"/>
    <x v="6"/>
    <x v="5"/>
    <s v="Narva-EJ-TG4"/>
    <x v="6"/>
    <x v="0"/>
    <n v="164"/>
    <n v="9976.6666666666697"/>
    <n v="35916"/>
  </r>
  <r>
    <x v="0"/>
    <x v="0"/>
    <x v="0"/>
    <x v="1"/>
    <x v="2"/>
    <s v="EE_Narva"/>
    <x v="6"/>
    <x v="5"/>
    <s v="Narva-EJ-TG4"/>
    <x v="6"/>
    <x v="1"/>
    <n v="164"/>
    <n v="9976.6666666666697"/>
    <n v="35916"/>
  </r>
  <r>
    <x v="0"/>
    <x v="0"/>
    <x v="0"/>
    <x v="1"/>
    <x v="2"/>
    <s v="EE_Narva"/>
    <x v="6"/>
    <x v="5"/>
    <s v="Narva-EJ-TG4"/>
    <x v="6"/>
    <x v="2"/>
    <n v="164"/>
    <n v="9976.6666666666697"/>
    <n v="35916"/>
  </r>
  <r>
    <x v="0"/>
    <x v="0"/>
    <x v="0"/>
    <x v="1"/>
    <x v="2"/>
    <s v="EE_Narva"/>
    <x v="6"/>
    <x v="5"/>
    <s v="Narva-EJ-TG4"/>
    <x v="6"/>
    <x v="3"/>
    <n v="164"/>
    <n v="9976.6666666666697"/>
    <n v="35916"/>
  </r>
  <r>
    <x v="0"/>
    <x v="0"/>
    <x v="0"/>
    <x v="1"/>
    <x v="2"/>
    <s v="EE_Narva"/>
    <x v="6"/>
    <x v="5"/>
    <s v="Narva-EJ-TG4"/>
    <x v="6"/>
    <x v="4"/>
    <n v="164"/>
    <n v="9976.6666666666697"/>
    <n v="35916"/>
  </r>
  <r>
    <x v="0"/>
    <x v="0"/>
    <x v="0"/>
    <x v="1"/>
    <x v="2"/>
    <s v="EE_Narva"/>
    <x v="6"/>
    <x v="5"/>
    <s v="Narva-EJ-TG4"/>
    <x v="6"/>
    <x v="5"/>
    <n v="164"/>
    <n v="9976.6666666666697"/>
    <n v="35916"/>
  </r>
  <r>
    <x v="0"/>
    <x v="0"/>
    <x v="0"/>
    <x v="1"/>
    <x v="2"/>
    <s v="EE_Narva"/>
    <x v="6"/>
    <x v="5"/>
    <s v="Narva-EJ-TG4"/>
    <x v="6"/>
    <x v="6"/>
    <n v="164"/>
    <n v="9976.6666666666697"/>
    <n v="35916"/>
  </r>
  <r>
    <x v="0"/>
    <x v="0"/>
    <x v="0"/>
    <x v="1"/>
    <x v="2"/>
    <s v="EE_Narva"/>
    <x v="6"/>
    <x v="5"/>
    <s v="Narva-EJ-TG4"/>
    <x v="6"/>
    <x v="7"/>
    <n v="164"/>
    <n v="9976.6666666666697"/>
    <n v="35916"/>
  </r>
  <r>
    <x v="0"/>
    <x v="0"/>
    <x v="0"/>
    <x v="1"/>
    <x v="2"/>
    <s v="EE_Narva"/>
    <x v="6"/>
    <x v="5"/>
    <s v="Narva-EJ-TG4"/>
    <x v="6"/>
    <x v="8"/>
    <n v="164"/>
    <n v="9976.6666666666697"/>
    <n v="35916"/>
  </r>
  <r>
    <x v="0"/>
    <x v="0"/>
    <x v="0"/>
    <x v="1"/>
    <x v="2"/>
    <s v="EE_Narva"/>
    <x v="6"/>
    <x v="5"/>
    <s v="Narva-EJ-TG4"/>
    <x v="6"/>
    <x v="9"/>
    <n v="164"/>
    <n v="9976.6666666666697"/>
    <n v="35916"/>
  </r>
  <r>
    <x v="0"/>
    <x v="0"/>
    <x v="0"/>
    <x v="1"/>
    <x v="2"/>
    <s v="EE_Narva"/>
    <x v="6"/>
    <x v="5"/>
    <s v="Narva-EJ-TG4"/>
    <x v="6"/>
    <x v="10"/>
    <n v="164"/>
    <n v="9976.6666666666697"/>
    <n v="35916"/>
  </r>
  <r>
    <x v="0"/>
    <x v="0"/>
    <x v="0"/>
    <x v="1"/>
    <x v="2"/>
    <s v="EE_Narva"/>
    <x v="6"/>
    <x v="5"/>
    <s v="Narva-EJ-TG4"/>
    <x v="6"/>
    <x v="11"/>
    <n v="164"/>
    <n v="9976.6666666666697"/>
    <n v="35916"/>
  </r>
  <r>
    <x v="0"/>
    <x v="0"/>
    <x v="0"/>
    <x v="1"/>
    <x v="2"/>
    <s v="EE_Narva"/>
    <x v="6"/>
    <x v="5"/>
    <s v="Narva-EJ-TG4"/>
    <x v="7"/>
    <x v="0"/>
    <n v="164"/>
    <n v="9976.6666666666697"/>
    <n v="35916"/>
  </r>
  <r>
    <x v="0"/>
    <x v="0"/>
    <x v="0"/>
    <x v="1"/>
    <x v="2"/>
    <s v="EE_Narva"/>
    <x v="6"/>
    <x v="5"/>
    <s v="Narva-EJ-TG4"/>
    <x v="7"/>
    <x v="1"/>
    <n v="164"/>
    <n v="9976.6666666666697"/>
    <n v="35916"/>
  </r>
  <r>
    <x v="0"/>
    <x v="0"/>
    <x v="0"/>
    <x v="1"/>
    <x v="2"/>
    <s v="EE_Narva"/>
    <x v="6"/>
    <x v="5"/>
    <s v="Narva-EJ-TG4"/>
    <x v="7"/>
    <x v="2"/>
    <n v="35.267651883604202"/>
    <n v="2145.4488229192598"/>
    <n v="7723.6157625093201"/>
  </r>
  <r>
    <x v="0"/>
    <x v="0"/>
    <x v="0"/>
    <x v="1"/>
    <x v="2"/>
    <s v="EE_Narva"/>
    <x v="6"/>
    <x v="5"/>
    <s v="Narva-EJ-TG4"/>
    <x v="7"/>
    <x v="3"/>
    <n v="164"/>
    <n v="9976.6666666666697"/>
    <n v="35916"/>
  </r>
  <r>
    <x v="0"/>
    <x v="0"/>
    <x v="0"/>
    <x v="1"/>
    <x v="2"/>
    <s v="EE_Narva"/>
    <x v="6"/>
    <x v="5"/>
    <s v="Narva-EJ-TG4"/>
    <x v="7"/>
    <x v="4"/>
    <n v="164"/>
    <n v="9976.6666666666697"/>
    <n v="35916"/>
  </r>
  <r>
    <x v="0"/>
    <x v="0"/>
    <x v="0"/>
    <x v="1"/>
    <x v="2"/>
    <s v="EE_Narva"/>
    <x v="6"/>
    <x v="5"/>
    <s v="Narva-EJ-TG4"/>
    <x v="7"/>
    <x v="5"/>
    <n v="164"/>
    <n v="9976.6666666666697"/>
    <n v="35916"/>
  </r>
  <r>
    <x v="0"/>
    <x v="0"/>
    <x v="0"/>
    <x v="1"/>
    <x v="2"/>
    <s v="EE_Narva"/>
    <x v="6"/>
    <x v="5"/>
    <s v="Narva-EJ-TG4"/>
    <x v="7"/>
    <x v="6"/>
    <n v="110.057459754379"/>
    <n v="6695.1621350580599"/>
    <n v="24102.583686209"/>
  </r>
  <r>
    <x v="0"/>
    <x v="0"/>
    <x v="0"/>
    <x v="1"/>
    <x v="2"/>
    <s v="EE_Narva"/>
    <x v="6"/>
    <x v="5"/>
    <s v="Narva-EJ-TG4"/>
    <x v="7"/>
    <x v="7"/>
    <n v="164"/>
    <n v="9976.6666666666697"/>
    <n v="35916"/>
  </r>
  <r>
    <x v="0"/>
    <x v="0"/>
    <x v="0"/>
    <x v="1"/>
    <x v="2"/>
    <s v="EE_Narva"/>
    <x v="6"/>
    <x v="5"/>
    <s v="Narva-EJ-TG4"/>
    <x v="7"/>
    <x v="8"/>
    <n v="164"/>
    <n v="9976.6666666666697"/>
    <n v="35916"/>
  </r>
  <r>
    <x v="0"/>
    <x v="0"/>
    <x v="0"/>
    <x v="1"/>
    <x v="2"/>
    <s v="EE_Narva"/>
    <x v="6"/>
    <x v="5"/>
    <s v="Narva-EJ-TG4"/>
    <x v="7"/>
    <x v="9"/>
    <n v="164"/>
    <n v="9976.6666666666697"/>
    <n v="35916"/>
  </r>
  <r>
    <x v="0"/>
    <x v="0"/>
    <x v="0"/>
    <x v="1"/>
    <x v="2"/>
    <s v="EE_Narva"/>
    <x v="6"/>
    <x v="5"/>
    <s v="Narva-EJ-TG4"/>
    <x v="7"/>
    <x v="10"/>
    <n v="164"/>
    <n v="9976.6666666666697"/>
    <n v="35916"/>
  </r>
  <r>
    <x v="0"/>
    <x v="0"/>
    <x v="0"/>
    <x v="1"/>
    <x v="2"/>
    <s v="EE_Narva"/>
    <x v="6"/>
    <x v="5"/>
    <s v="Narva-EJ-TG4"/>
    <x v="7"/>
    <x v="11"/>
    <n v="164"/>
    <n v="9976.6666666666697"/>
    <n v="35916"/>
  </r>
  <r>
    <x v="0"/>
    <x v="0"/>
    <x v="0"/>
    <x v="1"/>
    <x v="2"/>
    <s v="EE_Narva"/>
    <x v="6"/>
    <x v="5"/>
    <s v="Narva-EJ-TG4"/>
    <x v="8"/>
    <x v="0"/>
    <n v="164"/>
    <n v="9976.6666666666697"/>
    <n v="35916"/>
  </r>
  <r>
    <x v="0"/>
    <x v="0"/>
    <x v="0"/>
    <x v="1"/>
    <x v="2"/>
    <s v="EE_Narva"/>
    <x v="6"/>
    <x v="5"/>
    <s v="Narva-EJ-TG4"/>
    <x v="8"/>
    <x v="1"/>
    <n v="46.471908396441499"/>
    <n v="2827.0410941168602"/>
    <n v="10177.3479388207"/>
  </r>
  <r>
    <x v="0"/>
    <x v="0"/>
    <x v="0"/>
    <x v="1"/>
    <x v="2"/>
    <s v="EE_Narva"/>
    <x v="6"/>
    <x v="5"/>
    <s v="Narva-EJ-TG4"/>
    <x v="8"/>
    <x v="2"/>
    <n v="164"/>
    <n v="9976.6666666666697"/>
    <n v="35916"/>
  </r>
  <r>
    <x v="0"/>
    <x v="0"/>
    <x v="0"/>
    <x v="1"/>
    <x v="2"/>
    <s v="EE_Narva"/>
    <x v="6"/>
    <x v="5"/>
    <s v="Narva-EJ-TG4"/>
    <x v="8"/>
    <x v="3"/>
    <n v="164"/>
    <n v="9976.6666666666697"/>
    <n v="35916"/>
  </r>
  <r>
    <x v="0"/>
    <x v="0"/>
    <x v="0"/>
    <x v="1"/>
    <x v="2"/>
    <s v="EE_Narva"/>
    <x v="6"/>
    <x v="5"/>
    <s v="Narva-EJ-TG4"/>
    <x v="8"/>
    <x v="4"/>
    <n v="164"/>
    <n v="9976.6666666666697"/>
    <n v="35916"/>
  </r>
  <r>
    <x v="0"/>
    <x v="0"/>
    <x v="0"/>
    <x v="1"/>
    <x v="2"/>
    <s v="EE_Narva"/>
    <x v="6"/>
    <x v="5"/>
    <s v="Narva-EJ-TG4"/>
    <x v="8"/>
    <x v="5"/>
    <n v="164"/>
    <n v="9976.6666666666697"/>
    <n v="35916"/>
  </r>
  <r>
    <x v="0"/>
    <x v="0"/>
    <x v="0"/>
    <x v="1"/>
    <x v="2"/>
    <s v="EE_Narva"/>
    <x v="6"/>
    <x v="5"/>
    <s v="Narva-EJ-TG4"/>
    <x v="8"/>
    <x v="6"/>
    <n v="164"/>
    <n v="9976.6666666666697"/>
    <n v="35916"/>
  </r>
  <r>
    <x v="0"/>
    <x v="0"/>
    <x v="0"/>
    <x v="1"/>
    <x v="2"/>
    <s v="EE_Narva"/>
    <x v="6"/>
    <x v="5"/>
    <s v="Narva-EJ-TG4"/>
    <x v="8"/>
    <x v="7"/>
    <n v="164"/>
    <n v="9976.6666666666697"/>
    <n v="35916"/>
  </r>
  <r>
    <x v="0"/>
    <x v="0"/>
    <x v="0"/>
    <x v="1"/>
    <x v="2"/>
    <s v="EE_Narva"/>
    <x v="6"/>
    <x v="5"/>
    <s v="Narva-EJ-TG4"/>
    <x v="8"/>
    <x v="8"/>
    <n v="164"/>
    <n v="9976.6666666666697"/>
    <n v="35916"/>
  </r>
  <r>
    <x v="0"/>
    <x v="0"/>
    <x v="0"/>
    <x v="1"/>
    <x v="2"/>
    <s v="EE_Narva"/>
    <x v="6"/>
    <x v="5"/>
    <s v="Narva-EJ-TG4"/>
    <x v="8"/>
    <x v="9"/>
    <n v="164"/>
    <n v="9976.6666666666697"/>
    <n v="35916"/>
  </r>
  <r>
    <x v="0"/>
    <x v="0"/>
    <x v="0"/>
    <x v="1"/>
    <x v="2"/>
    <s v="EE_Narva"/>
    <x v="6"/>
    <x v="5"/>
    <s v="Narva-EJ-TG4"/>
    <x v="8"/>
    <x v="10"/>
    <n v="164"/>
    <n v="9976.6666666666697"/>
    <n v="35916"/>
  </r>
  <r>
    <x v="0"/>
    <x v="0"/>
    <x v="0"/>
    <x v="1"/>
    <x v="2"/>
    <s v="EE_Narva"/>
    <x v="6"/>
    <x v="5"/>
    <s v="Narva-EJ-TG4"/>
    <x v="8"/>
    <x v="11"/>
    <n v="164"/>
    <n v="9976.6666666666697"/>
    <n v="35916"/>
  </r>
  <r>
    <x v="0"/>
    <x v="0"/>
    <x v="0"/>
    <x v="1"/>
    <x v="2"/>
    <s v="EE_Narva"/>
    <x v="6"/>
    <x v="5"/>
    <s v="Narva-EJ-TG4"/>
    <x v="9"/>
    <x v="0"/>
    <n v="164"/>
    <n v="9976.6666666666697"/>
    <n v="35916"/>
  </r>
  <r>
    <x v="0"/>
    <x v="0"/>
    <x v="0"/>
    <x v="1"/>
    <x v="2"/>
    <s v="EE_Narva"/>
    <x v="6"/>
    <x v="5"/>
    <s v="Narva-EJ-TG4"/>
    <x v="9"/>
    <x v="1"/>
    <n v="164"/>
    <n v="9976.6666666666697"/>
    <n v="35916"/>
  </r>
  <r>
    <x v="0"/>
    <x v="0"/>
    <x v="0"/>
    <x v="1"/>
    <x v="2"/>
    <s v="EE_Narva"/>
    <x v="6"/>
    <x v="5"/>
    <s v="Narva-EJ-TG4"/>
    <x v="9"/>
    <x v="2"/>
    <n v="11.552067264025499"/>
    <n v="702.75075856155195"/>
    <n v="2529.90273082159"/>
  </r>
  <r>
    <x v="0"/>
    <x v="0"/>
    <x v="0"/>
    <x v="1"/>
    <x v="2"/>
    <s v="EE_Narva"/>
    <x v="6"/>
    <x v="5"/>
    <s v="Narva-EJ-TG4"/>
    <x v="9"/>
    <x v="3"/>
    <n v="164"/>
    <n v="9976.6666666666697"/>
    <n v="35916"/>
  </r>
  <r>
    <x v="0"/>
    <x v="0"/>
    <x v="0"/>
    <x v="1"/>
    <x v="2"/>
    <s v="EE_Narva"/>
    <x v="6"/>
    <x v="5"/>
    <s v="Narva-EJ-TG4"/>
    <x v="9"/>
    <x v="4"/>
    <n v="164"/>
    <n v="9976.6666666666697"/>
    <n v="35916"/>
  </r>
  <r>
    <x v="0"/>
    <x v="0"/>
    <x v="0"/>
    <x v="1"/>
    <x v="2"/>
    <s v="EE_Narva"/>
    <x v="6"/>
    <x v="5"/>
    <s v="Narva-EJ-TG4"/>
    <x v="9"/>
    <x v="5"/>
    <n v="20.6900424716221"/>
    <n v="1258.6442503570099"/>
    <n v="4531.11930128524"/>
  </r>
  <r>
    <x v="0"/>
    <x v="0"/>
    <x v="0"/>
    <x v="1"/>
    <x v="2"/>
    <s v="EE_Narva"/>
    <x v="6"/>
    <x v="5"/>
    <s v="Narva-EJ-TG4"/>
    <x v="9"/>
    <x v="6"/>
    <n v="37.291907869828499"/>
    <n v="2268.5910620812301"/>
    <n v="8166.9278234924304"/>
  </r>
  <r>
    <x v="0"/>
    <x v="0"/>
    <x v="0"/>
    <x v="1"/>
    <x v="2"/>
    <s v="EE_Narva"/>
    <x v="6"/>
    <x v="5"/>
    <s v="Narva-EJ-TG4"/>
    <x v="9"/>
    <x v="7"/>
    <n v="164"/>
    <n v="9976.6666666666697"/>
    <n v="35916"/>
  </r>
  <r>
    <x v="0"/>
    <x v="0"/>
    <x v="0"/>
    <x v="1"/>
    <x v="2"/>
    <s v="EE_Narva"/>
    <x v="6"/>
    <x v="5"/>
    <s v="Narva-EJ-TG4"/>
    <x v="9"/>
    <x v="8"/>
    <n v="132.65880294242999"/>
    <n v="8070.0771789978398"/>
    <n v="29052.2778443922"/>
  </r>
  <r>
    <x v="0"/>
    <x v="0"/>
    <x v="0"/>
    <x v="1"/>
    <x v="2"/>
    <s v="EE_Narva"/>
    <x v="6"/>
    <x v="5"/>
    <s v="Narva-EJ-TG4"/>
    <x v="9"/>
    <x v="9"/>
    <n v="164"/>
    <n v="9976.6666666666697"/>
    <n v="35916"/>
  </r>
  <r>
    <x v="0"/>
    <x v="0"/>
    <x v="0"/>
    <x v="1"/>
    <x v="2"/>
    <s v="EE_Narva"/>
    <x v="6"/>
    <x v="5"/>
    <s v="Narva-EJ-TG4"/>
    <x v="9"/>
    <x v="10"/>
    <n v="164"/>
    <n v="9976.6666666666697"/>
    <n v="35916"/>
  </r>
  <r>
    <x v="0"/>
    <x v="0"/>
    <x v="0"/>
    <x v="1"/>
    <x v="2"/>
    <s v="EE_Narva"/>
    <x v="6"/>
    <x v="5"/>
    <s v="Narva-EJ-TG4"/>
    <x v="9"/>
    <x v="11"/>
    <n v="164"/>
    <n v="9976.6666666666697"/>
    <n v="35916"/>
  </r>
  <r>
    <x v="0"/>
    <x v="0"/>
    <x v="0"/>
    <x v="1"/>
    <x v="2"/>
    <s v="EE_Narva"/>
    <x v="6"/>
    <x v="5"/>
    <s v="Narva-EJ-TG4"/>
    <x v="10"/>
    <x v="0"/>
    <n v="110.42805016665"/>
    <n v="6717.7063851378498"/>
    <n v="24183.742986496301"/>
  </r>
  <r>
    <x v="0"/>
    <x v="0"/>
    <x v="0"/>
    <x v="1"/>
    <x v="2"/>
    <s v="EE_Narva"/>
    <x v="6"/>
    <x v="5"/>
    <s v="Narva-EJ-TG4"/>
    <x v="10"/>
    <x v="1"/>
    <n v="73.294179771790894"/>
    <n v="4458.7292694506204"/>
    <n v="16051.4253700222"/>
  </r>
  <r>
    <x v="0"/>
    <x v="0"/>
    <x v="0"/>
    <x v="1"/>
    <x v="2"/>
    <s v="EE_Narva"/>
    <x v="6"/>
    <x v="5"/>
    <s v="Narva-EJ-TG4"/>
    <x v="10"/>
    <x v="2"/>
    <n v="35.9584984803206"/>
    <n v="2187.4753242195002"/>
    <n v="7874.9111671902101"/>
  </r>
  <r>
    <x v="0"/>
    <x v="0"/>
    <x v="0"/>
    <x v="1"/>
    <x v="2"/>
    <s v="EE_Narva"/>
    <x v="6"/>
    <x v="5"/>
    <s v="Narva-EJ-TG4"/>
    <x v="10"/>
    <x v="3"/>
    <n v="24.234881872021798"/>
    <n v="1474.2886472146599"/>
    <n v="5307.4391299727804"/>
  </r>
  <r>
    <x v="0"/>
    <x v="0"/>
    <x v="0"/>
    <x v="1"/>
    <x v="2"/>
    <s v="EE_Narva"/>
    <x v="6"/>
    <x v="5"/>
    <s v="Narva-EJ-TG4"/>
    <x v="10"/>
    <x v="4"/>
    <n v="35.861975050861801"/>
    <n v="2181.6034822607598"/>
    <n v="7853.7725361387402"/>
  </r>
  <r>
    <x v="0"/>
    <x v="0"/>
    <x v="0"/>
    <x v="1"/>
    <x v="2"/>
    <s v="EE_Narva"/>
    <x v="6"/>
    <x v="5"/>
    <s v="Narva-EJ-TG4"/>
    <x v="10"/>
    <x v="5"/>
    <n v="164"/>
    <n v="9976.6666666666697"/>
    <n v="35916"/>
  </r>
  <r>
    <x v="0"/>
    <x v="0"/>
    <x v="0"/>
    <x v="1"/>
    <x v="2"/>
    <s v="EE_Narva"/>
    <x v="6"/>
    <x v="5"/>
    <s v="Narva-EJ-TG4"/>
    <x v="10"/>
    <x v="6"/>
    <n v="20.844474425125"/>
    <n v="1268.03886086177"/>
    <n v="4564.93989910238"/>
  </r>
  <r>
    <x v="0"/>
    <x v="0"/>
    <x v="0"/>
    <x v="1"/>
    <x v="2"/>
    <s v="EE_Narva"/>
    <x v="6"/>
    <x v="5"/>
    <s v="Narva-EJ-TG4"/>
    <x v="10"/>
    <x v="7"/>
    <n v="52.155688231608401"/>
    <n v="3172.8043674228402"/>
    <n v="11422.095722722201"/>
  </r>
  <r>
    <x v="0"/>
    <x v="0"/>
    <x v="0"/>
    <x v="1"/>
    <x v="2"/>
    <s v="EE_Narva"/>
    <x v="6"/>
    <x v="5"/>
    <s v="Narva-EJ-TG4"/>
    <x v="10"/>
    <x v="8"/>
    <n v="114.158360696174"/>
    <n v="6944.6336090172399"/>
    <n v="25000.680992462101"/>
  </r>
  <r>
    <x v="0"/>
    <x v="0"/>
    <x v="0"/>
    <x v="1"/>
    <x v="2"/>
    <s v="EE_Narva"/>
    <x v="6"/>
    <x v="5"/>
    <s v="Narva-EJ-TG4"/>
    <x v="10"/>
    <x v="9"/>
    <n v="164"/>
    <n v="9976.6666666666697"/>
    <n v="35916"/>
  </r>
  <r>
    <x v="0"/>
    <x v="0"/>
    <x v="0"/>
    <x v="1"/>
    <x v="2"/>
    <s v="EE_Narva"/>
    <x v="6"/>
    <x v="5"/>
    <s v="Narva-EJ-TG4"/>
    <x v="10"/>
    <x v="10"/>
    <n v="164"/>
    <n v="9976.6666666666697"/>
    <n v="35916"/>
  </r>
  <r>
    <x v="0"/>
    <x v="0"/>
    <x v="0"/>
    <x v="1"/>
    <x v="2"/>
    <s v="EE_Narva"/>
    <x v="6"/>
    <x v="5"/>
    <s v="Narva-EJ-TG4"/>
    <x v="10"/>
    <x v="11"/>
    <n v="164"/>
    <n v="9976.6666666666697"/>
    <n v="35916"/>
  </r>
  <r>
    <x v="0"/>
    <x v="0"/>
    <x v="0"/>
    <x v="1"/>
    <x v="2"/>
    <s v="EE_Narva"/>
    <x v="6"/>
    <x v="5"/>
    <s v="Narva-EJ-TG4"/>
    <x v="11"/>
    <x v="7"/>
    <n v="164"/>
    <n v="9976.6666666666697"/>
    <n v="35916"/>
  </r>
  <r>
    <x v="0"/>
    <x v="0"/>
    <x v="0"/>
    <x v="1"/>
    <x v="2"/>
    <s v="EE_Narva"/>
    <x v="6"/>
    <x v="5"/>
    <s v="Narva-EJ-TG4"/>
    <x v="11"/>
    <x v="9"/>
    <n v="164"/>
    <n v="9976.6666666666697"/>
    <n v="35916"/>
  </r>
  <r>
    <x v="0"/>
    <x v="0"/>
    <x v="0"/>
    <x v="1"/>
    <x v="2"/>
    <s v="EE_Narva"/>
    <x v="6"/>
    <x v="5"/>
    <s v="Narva-EJ-TG4"/>
    <x v="11"/>
    <x v="10"/>
    <n v="30.178283486405299"/>
    <n v="1835.84557875632"/>
    <n v="6609.04408352276"/>
  </r>
  <r>
    <x v="0"/>
    <x v="0"/>
    <x v="0"/>
    <x v="1"/>
    <x v="2"/>
    <s v="EE_Narva"/>
    <x v="6"/>
    <x v="5"/>
    <s v="Narva-EJ-TG4"/>
    <x v="11"/>
    <x v="11"/>
    <n v="61.3427427944698"/>
    <n v="3731.68351999691"/>
    <n v="13434.0606719889"/>
  </r>
  <r>
    <x v="0"/>
    <x v="0"/>
    <x v="0"/>
    <x v="1"/>
    <x v="2"/>
    <s v="EE_Narva"/>
    <x v="6"/>
    <x v="5"/>
    <s v="Narva-EJ-TG5"/>
    <x v="0"/>
    <x v="0"/>
    <n v="157.240668141458"/>
    <n v="9565.4739786053506"/>
    <n v="34435.706322979298"/>
  </r>
  <r>
    <x v="0"/>
    <x v="0"/>
    <x v="0"/>
    <x v="1"/>
    <x v="2"/>
    <s v="EE_Narva"/>
    <x v="6"/>
    <x v="5"/>
    <s v="Narva-EJ-TG5"/>
    <x v="0"/>
    <x v="1"/>
    <n v="173"/>
    <n v="10524.166666666701"/>
    <n v="37887"/>
  </r>
  <r>
    <x v="0"/>
    <x v="0"/>
    <x v="0"/>
    <x v="1"/>
    <x v="2"/>
    <s v="EE_Narva"/>
    <x v="6"/>
    <x v="5"/>
    <s v="Narva-EJ-TG5"/>
    <x v="0"/>
    <x v="4"/>
    <n v="91.127211009509196"/>
    <n v="5543.5720030784696"/>
    <n v="19956.859211082501"/>
  </r>
  <r>
    <x v="0"/>
    <x v="0"/>
    <x v="0"/>
    <x v="1"/>
    <x v="2"/>
    <s v="EE_Narva"/>
    <x v="6"/>
    <x v="5"/>
    <s v="Narva-EJ-TG5"/>
    <x v="0"/>
    <x v="5"/>
    <n v="173"/>
    <n v="10524.166666666701"/>
    <n v="37887"/>
  </r>
  <r>
    <x v="0"/>
    <x v="0"/>
    <x v="0"/>
    <x v="1"/>
    <x v="2"/>
    <s v="EE_Narva"/>
    <x v="6"/>
    <x v="5"/>
    <s v="Narva-EJ-TG5"/>
    <x v="1"/>
    <x v="0"/>
    <n v="173"/>
    <n v="10524.166666666701"/>
    <n v="37887"/>
  </r>
  <r>
    <x v="0"/>
    <x v="0"/>
    <x v="0"/>
    <x v="1"/>
    <x v="2"/>
    <s v="EE_Narva"/>
    <x v="6"/>
    <x v="5"/>
    <s v="Narva-EJ-TG5"/>
    <x v="1"/>
    <x v="1"/>
    <n v="23.300462172804"/>
    <n v="1417.4447821789099"/>
    <n v="5102.8012158440697"/>
  </r>
  <r>
    <x v="0"/>
    <x v="0"/>
    <x v="0"/>
    <x v="1"/>
    <x v="2"/>
    <s v="EE_Narva"/>
    <x v="6"/>
    <x v="5"/>
    <s v="Narva-EJ-TG5"/>
    <x v="1"/>
    <x v="7"/>
    <n v="6.0310404848458701"/>
    <n v="366.88829616145699"/>
    <n v="1320.7978661812499"/>
  </r>
  <r>
    <x v="0"/>
    <x v="0"/>
    <x v="0"/>
    <x v="1"/>
    <x v="2"/>
    <s v="EE_Narva"/>
    <x v="6"/>
    <x v="5"/>
    <s v="Narva-EJ-TG5"/>
    <x v="1"/>
    <x v="8"/>
    <n v="80.739503176650203"/>
    <n v="4911.6531099128897"/>
    <n v="17681.951195686401"/>
  </r>
  <r>
    <x v="0"/>
    <x v="0"/>
    <x v="0"/>
    <x v="1"/>
    <x v="2"/>
    <s v="EE_Narva"/>
    <x v="6"/>
    <x v="5"/>
    <s v="Narva-EJ-TG5"/>
    <x v="1"/>
    <x v="9"/>
    <n v="141.09703525804801"/>
    <n v="8583.4029781979407"/>
    <n v="30900.250721512599"/>
  </r>
  <r>
    <x v="0"/>
    <x v="0"/>
    <x v="0"/>
    <x v="1"/>
    <x v="2"/>
    <s v="EE_Narva"/>
    <x v="6"/>
    <x v="5"/>
    <s v="Narva-EJ-TG5"/>
    <x v="1"/>
    <x v="10"/>
    <n v="173"/>
    <n v="10524.166666666701"/>
    <n v="37887"/>
  </r>
  <r>
    <x v="0"/>
    <x v="0"/>
    <x v="0"/>
    <x v="1"/>
    <x v="2"/>
    <s v="EE_Narva"/>
    <x v="6"/>
    <x v="5"/>
    <s v="Narva-EJ-TG5"/>
    <x v="1"/>
    <x v="11"/>
    <n v="173"/>
    <n v="10524.166666666701"/>
    <n v="37887"/>
  </r>
  <r>
    <x v="0"/>
    <x v="0"/>
    <x v="0"/>
    <x v="1"/>
    <x v="2"/>
    <s v="EE_Narva"/>
    <x v="6"/>
    <x v="5"/>
    <s v="Narva-EJ-TG5"/>
    <x v="2"/>
    <x v="4"/>
    <n v="20.798642573958901"/>
    <n v="1265.2507565824999"/>
    <n v="4554.9027236969996"/>
  </r>
  <r>
    <x v="0"/>
    <x v="0"/>
    <x v="0"/>
    <x v="1"/>
    <x v="2"/>
    <s v="EE_Narva"/>
    <x v="6"/>
    <x v="5"/>
    <s v="Narva-EJ-TG5"/>
    <x v="2"/>
    <x v="8"/>
    <n v="139.95343565195199"/>
    <n v="8513.8340021603908"/>
    <n v="30649.802407777399"/>
  </r>
  <r>
    <x v="0"/>
    <x v="0"/>
    <x v="0"/>
    <x v="1"/>
    <x v="2"/>
    <s v="EE_Narva"/>
    <x v="6"/>
    <x v="5"/>
    <s v="Narva-EJ-TG5"/>
    <x v="2"/>
    <x v="9"/>
    <n v="42.552774607047098"/>
    <n v="2588.6271219287"/>
    <n v="9319.0576389433209"/>
  </r>
  <r>
    <x v="0"/>
    <x v="0"/>
    <x v="0"/>
    <x v="1"/>
    <x v="2"/>
    <s v="EE_Narva"/>
    <x v="6"/>
    <x v="5"/>
    <s v="Narva-EJ-TG5"/>
    <x v="2"/>
    <x v="11"/>
    <n v="170.673449639952"/>
    <n v="10382.634853097101"/>
    <n v="37377.485471149499"/>
  </r>
  <r>
    <x v="0"/>
    <x v="0"/>
    <x v="0"/>
    <x v="1"/>
    <x v="2"/>
    <s v="EE_Narva"/>
    <x v="6"/>
    <x v="5"/>
    <s v="Narva-EJ-TG5"/>
    <x v="3"/>
    <x v="0"/>
    <n v="173"/>
    <n v="10524.166666666701"/>
    <n v="37887"/>
  </r>
  <r>
    <x v="0"/>
    <x v="0"/>
    <x v="0"/>
    <x v="1"/>
    <x v="2"/>
    <s v="EE_Narva"/>
    <x v="6"/>
    <x v="5"/>
    <s v="Narva-EJ-TG5"/>
    <x v="3"/>
    <x v="1"/>
    <n v="49.9559592002242"/>
    <n v="3038.9875180136401"/>
    <n v="10940.3550648491"/>
  </r>
  <r>
    <x v="0"/>
    <x v="0"/>
    <x v="0"/>
    <x v="1"/>
    <x v="2"/>
    <s v="EE_Narva"/>
    <x v="6"/>
    <x v="5"/>
    <s v="Narva-EJ-TG5"/>
    <x v="3"/>
    <x v="3"/>
    <n v="21.0279769946154"/>
    <n v="1279.2019338391001"/>
    <n v="4605.1269618207598"/>
  </r>
  <r>
    <x v="0"/>
    <x v="0"/>
    <x v="0"/>
    <x v="1"/>
    <x v="2"/>
    <s v="EE_Narva"/>
    <x v="6"/>
    <x v="5"/>
    <s v="Narva-EJ-TG5"/>
    <x v="3"/>
    <x v="5"/>
    <n v="37.339400359431203"/>
    <n v="2271.4801885320699"/>
    <n v="8177.3286787154402"/>
  </r>
  <r>
    <x v="0"/>
    <x v="0"/>
    <x v="0"/>
    <x v="1"/>
    <x v="2"/>
    <s v="EE_Narva"/>
    <x v="6"/>
    <x v="5"/>
    <s v="Narva-EJ-TG5"/>
    <x v="3"/>
    <x v="8"/>
    <n v="173"/>
    <n v="10524.166666666701"/>
    <n v="37887"/>
  </r>
  <r>
    <x v="0"/>
    <x v="0"/>
    <x v="0"/>
    <x v="1"/>
    <x v="2"/>
    <s v="EE_Narva"/>
    <x v="6"/>
    <x v="5"/>
    <s v="Narva-EJ-TG5"/>
    <x v="3"/>
    <x v="9"/>
    <n v="173"/>
    <n v="10524.166666666701"/>
    <n v="37887"/>
  </r>
  <r>
    <x v="0"/>
    <x v="0"/>
    <x v="0"/>
    <x v="1"/>
    <x v="2"/>
    <s v="EE_Narva"/>
    <x v="6"/>
    <x v="5"/>
    <s v="Narva-EJ-TG5"/>
    <x v="3"/>
    <x v="10"/>
    <n v="173"/>
    <n v="10524.166666666701"/>
    <n v="37887"/>
  </r>
  <r>
    <x v="0"/>
    <x v="0"/>
    <x v="0"/>
    <x v="1"/>
    <x v="2"/>
    <s v="EE_Narva"/>
    <x v="6"/>
    <x v="5"/>
    <s v="Narva-EJ-TG5"/>
    <x v="3"/>
    <x v="11"/>
    <n v="137.13025908659401"/>
    <n v="8342.0907611011498"/>
    <n v="30031.526739964102"/>
  </r>
  <r>
    <x v="0"/>
    <x v="0"/>
    <x v="0"/>
    <x v="1"/>
    <x v="2"/>
    <s v="EE_Narva"/>
    <x v="6"/>
    <x v="5"/>
    <s v="Narva-EJ-TG5"/>
    <x v="4"/>
    <x v="0"/>
    <n v="173"/>
    <n v="10524.166666666701"/>
    <n v="37887"/>
  </r>
  <r>
    <x v="0"/>
    <x v="0"/>
    <x v="0"/>
    <x v="1"/>
    <x v="2"/>
    <s v="EE_Narva"/>
    <x v="6"/>
    <x v="5"/>
    <s v="Narva-EJ-TG5"/>
    <x v="4"/>
    <x v="1"/>
    <n v="173"/>
    <n v="10524.166666666701"/>
    <n v="37887"/>
  </r>
  <r>
    <x v="0"/>
    <x v="0"/>
    <x v="0"/>
    <x v="1"/>
    <x v="2"/>
    <s v="EE_Narva"/>
    <x v="6"/>
    <x v="5"/>
    <s v="Narva-EJ-TG5"/>
    <x v="4"/>
    <x v="2"/>
    <n v="11.078678613635899"/>
    <n v="673.952948996185"/>
    <n v="2426.23061638626"/>
  </r>
  <r>
    <x v="0"/>
    <x v="0"/>
    <x v="0"/>
    <x v="1"/>
    <x v="2"/>
    <s v="EE_Narva"/>
    <x v="6"/>
    <x v="5"/>
    <s v="Narva-EJ-TG5"/>
    <x v="4"/>
    <x v="3"/>
    <n v="155.444095592461"/>
    <n v="9456.1824818747209"/>
    <n v="34042.256934748999"/>
  </r>
  <r>
    <x v="0"/>
    <x v="0"/>
    <x v="0"/>
    <x v="1"/>
    <x v="2"/>
    <s v="EE_Narva"/>
    <x v="6"/>
    <x v="5"/>
    <s v="Narva-EJ-TG5"/>
    <x v="4"/>
    <x v="5"/>
    <n v="140.68877705569801"/>
    <n v="8558.5672708882794"/>
    <n v="30810.842175197798"/>
  </r>
  <r>
    <x v="0"/>
    <x v="0"/>
    <x v="0"/>
    <x v="1"/>
    <x v="2"/>
    <s v="EE_Narva"/>
    <x v="6"/>
    <x v="5"/>
    <s v="Narva-EJ-TG5"/>
    <x v="4"/>
    <x v="6"/>
    <n v="173"/>
    <n v="10524.166666666701"/>
    <n v="37887"/>
  </r>
  <r>
    <x v="0"/>
    <x v="0"/>
    <x v="0"/>
    <x v="1"/>
    <x v="2"/>
    <s v="EE_Narva"/>
    <x v="6"/>
    <x v="5"/>
    <s v="Narva-EJ-TG5"/>
    <x v="4"/>
    <x v="7"/>
    <n v="173"/>
    <n v="10524.166666666701"/>
    <n v="37887"/>
  </r>
  <r>
    <x v="0"/>
    <x v="0"/>
    <x v="0"/>
    <x v="1"/>
    <x v="2"/>
    <s v="EE_Narva"/>
    <x v="6"/>
    <x v="5"/>
    <s v="Narva-EJ-TG5"/>
    <x v="4"/>
    <x v="8"/>
    <n v="143.35498767952799"/>
    <n v="8720.7617505046001"/>
    <n v="31394.742301816601"/>
  </r>
  <r>
    <x v="0"/>
    <x v="0"/>
    <x v="0"/>
    <x v="1"/>
    <x v="2"/>
    <s v="EE_Narva"/>
    <x v="6"/>
    <x v="5"/>
    <s v="Narva-EJ-TG5"/>
    <x v="4"/>
    <x v="9"/>
    <n v="173"/>
    <n v="10524.166666666701"/>
    <n v="37887"/>
  </r>
  <r>
    <x v="0"/>
    <x v="0"/>
    <x v="0"/>
    <x v="1"/>
    <x v="2"/>
    <s v="EE_Narva"/>
    <x v="6"/>
    <x v="5"/>
    <s v="Narva-EJ-TG5"/>
    <x v="4"/>
    <x v="10"/>
    <n v="173"/>
    <n v="10524.166666666701"/>
    <n v="37887"/>
  </r>
  <r>
    <x v="0"/>
    <x v="0"/>
    <x v="0"/>
    <x v="1"/>
    <x v="2"/>
    <s v="EE_Narva"/>
    <x v="6"/>
    <x v="5"/>
    <s v="Narva-EJ-TG5"/>
    <x v="4"/>
    <x v="11"/>
    <n v="173"/>
    <n v="10524.166666666701"/>
    <n v="37887"/>
  </r>
  <r>
    <x v="0"/>
    <x v="0"/>
    <x v="0"/>
    <x v="1"/>
    <x v="2"/>
    <s v="EE_Narva"/>
    <x v="6"/>
    <x v="5"/>
    <s v="Narva-EJ-TG5"/>
    <x v="5"/>
    <x v="0"/>
    <n v="173"/>
    <n v="10524.166666666701"/>
    <n v="37887"/>
  </r>
  <r>
    <x v="0"/>
    <x v="0"/>
    <x v="0"/>
    <x v="1"/>
    <x v="2"/>
    <s v="EE_Narva"/>
    <x v="6"/>
    <x v="5"/>
    <s v="Narva-EJ-TG5"/>
    <x v="5"/>
    <x v="1"/>
    <n v="56.4929274785652"/>
    <n v="3436.65308827938"/>
    <n v="12371.9511178058"/>
  </r>
  <r>
    <x v="0"/>
    <x v="0"/>
    <x v="0"/>
    <x v="1"/>
    <x v="2"/>
    <s v="EE_Narva"/>
    <x v="6"/>
    <x v="5"/>
    <s v="Narva-EJ-TG5"/>
    <x v="5"/>
    <x v="2"/>
    <n v="173"/>
    <n v="10524.166666666701"/>
    <n v="37887"/>
  </r>
  <r>
    <x v="0"/>
    <x v="0"/>
    <x v="0"/>
    <x v="1"/>
    <x v="2"/>
    <s v="EE_Narva"/>
    <x v="6"/>
    <x v="5"/>
    <s v="Narva-EJ-TG5"/>
    <x v="5"/>
    <x v="3"/>
    <n v="173"/>
    <n v="10524.166666666701"/>
    <n v="37887"/>
  </r>
  <r>
    <x v="0"/>
    <x v="0"/>
    <x v="0"/>
    <x v="1"/>
    <x v="2"/>
    <s v="EE_Narva"/>
    <x v="6"/>
    <x v="5"/>
    <s v="Narva-EJ-TG5"/>
    <x v="5"/>
    <x v="4"/>
    <n v="173"/>
    <n v="10524.166666666701"/>
    <n v="37887"/>
  </r>
  <r>
    <x v="0"/>
    <x v="0"/>
    <x v="0"/>
    <x v="1"/>
    <x v="2"/>
    <s v="EE_Narva"/>
    <x v="6"/>
    <x v="5"/>
    <s v="Narva-EJ-TG5"/>
    <x v="5"/>
    <x v="5"/>
    <n v="173"/>
    <n v="10524.166666666701"/>
    <n v="37887"/>
  </r>
  <r>
    <x v="0"/>
    <x v="0"/>
    <x v="0"/>
    <x v="1"/>
    <x v="2"/>
    <s v="EE_Narva"/>
    <x v="6"/>
    <x v="5"/>
    <s v="Narva-EJ-TG5"/>
    <x v="5"/>
    <x v="6"/>
    <n v="173"/>
    <n v="10524.166666666701"/>
    <n v="37887"/>
  </r>
  <r>
    <x v="0"/>
    <x v="0"/>
    <x v="0"/>
    <x v="1"/>
    <x v="2"/>
    <s v="EE_Narva"/>
    <x v="6"/>
    <x v="5"/>
    <s v="Narva-EJ-TG5"/>
    <x v="5"/>
    <x v="7"/>
    <n v="173"/>
    <n v="10524.166666666701"/>
    <n v="37887"/>
  </r>
  <r>
    <x v="0"/>
    <x v="0"/>
    <x v="0"/>
    <x v="1"/>
    <x v="2"/>
    <s v="EE_Narva"/>
    <x v="6"/>
    <x v="5"/>
    <s v="Narva-EJ-TG5"/>
    <x v="5"/>
    <x v="8"/>
    <n v="152.70426191431301"/>
    <n v="9289.5092664540607"/>
    <n v="33442.233359234597"/>
  </r>
  <r>
    <x v="0"/>
    <x v="0"/>
    <x v="0"/>
    <x v="1"/>
    <x v="2"/>
    <s v="EE_Narva"/>
    <x v="6"/>
    <x v="5"/>
    <s v="Narva-EJ-TG5"/>
    <x v="5"/>
    <x v="9"/>
    <n v="173"/>
    <n v="10524.166666666701"/>
    <n v="37887"/>
  </r>
  <r>
    <x v="0"/>
    <x v="0"/>
    <x v="0"/>
    <x v="1"/>
    <x v="2"/>
    <s v="EE_Narva"/>
    <x v="6"/>
    <x v="5"/>
    <s v="Narva-EJ-TG5"/>
    <x v="5"/>
    <x v="10"/>
    <n v="173"/>
    <n v="10524.166666666701"/>
    <n v="37887"/>
  </r>
  <r>
    <x v="0"/>
    <x v="0"/>
    <x v="0"/>
    <x v="1"/>
    <x v="2"/>
    <s v="EE_Narva"/>
    <x v="6"/>
    <x v="5"/>
    <s v="Narva-EJ-TG5"/>
    <x v="5"/>
    <x v="11"/>
    <n v="173"/>
    <n v="10524.166666666701"/>
    <n v="37887"/>
  </r>
  <r>
    <x v="0"/>
    <x v="0"/>
    <x v="0"/>
    <x v="1"/>
    <x v="2"/>
    <s v="EE_Narva"/>
    <x v="6"/>
    <x v="5"/>
    <s v="Narva-EJ-TG5"/>
    <x v="6"/>
    <x v="1"/>
    <n v="173"/>
    <n v="10524.166666666701"/>
    <n v="37887"/>
  </r>
  <r>
    <x v="0"/>
    <x v="0"/>
    <x v="0"/>
    <x v="1"/>
    <x v="2"/>
    <s v="EE_Narva"/>
    <x v="6"/>
    <x v="5"/>
    <s v="Narva-EJ-TG5"/>
    <x v="6"/>
    <x v="2"/>
    <n v="25.083097560518599"/>
    <n v="1525.8884349315499"/>
    <n v="5493.1983657535802"/>
  </r>
  <r>
    <x v="0"/>
    <x v="0"/>
    <x v="0"/>
    <x v="1"/>
    <x v="2"/>
    <s v="EE_Narva"/>
    <x v="6"/>
    <x v="5"/>
    <s v="Narva-EJ-TG5"/>
    <x v="6"/>
    <x v="3"/>
    <n v="173"/>
    <n v="10524.166666666701"/>
    <n v="37887"/>
  </r>
  <r>
    <x v="0"/>
    <x v="0"/>
    <x v="0"/>
    <x v="1"/>
    <x v="2"/>
    <s v="EE_Narva"/>
    <x v="6"/>
    <x v="5"/>
    <s v="Narva-EJ-TG5"/>
    <x v="6"/>
    <x v="5"/>
    <n v="173"/>
    <n v="10524.166666666701"/>
    <n v="37887"/>
  </r>
  <r>
    <x v="0"/>
    <x v="0"/>
    <x v="0"/>
    <x v="1"/>
    <x v="2"/>
    <s v="EE_Narva"/>
    <x v="6"/>
    <x v="5"/>
    <s v="Narva-EJ-TG5"/>
    <x v="6"/>
    <x v="6"/>
    <n v="49.878085943827898"/>
    <n v="3034.2502282495302"/>
    <n v="10923.3008216983"/>
  </r>
  <r>
    <x v="0"/>
    <x v="0"/>
    <x v="0"/>
    <x v="1"/>
    <x v="2"/>
    <s v="EE_Narva"/>
    <x v="6"/>
    <x v="5"/>
    <s v="Narva-EJ-TG5"/>
    <x v="6"/>
    <x v="8"/>
    <n v="173"/>
    <n v="10524.166666666701"/>
    <n v="37887"/>
  </r>
  <r>
    <x v="0"/>
    <x v="0"/>
    <x v="0"/>
    <x v="1"/>
    <x v="2"/>
    <s v="EE_Narva"/>
    <x v="6"/>
    <x v="5"/>
    <s v="Narva-EJ-TG5"/>
    <x v="6"/>
    <x v="9"/>
    <n v="173"/>
    <n v="10524.166666666701"/>
    <n v="37887"/>
  </r>
  <r>
    <x v="0"/>
    <x v="0"/>
    <x v="0"/>
    <x v="1"/>
    <x v="2"/>
    <s v="EE_Narva"/>
    <x v="6"/>
    <x v="5"/>
    <s v="Narva-EJ-TG5"/>
    <x v="6"/>
    <x v="10"/>
    <n v="173"/>
    <n v="10524.166666666701"/>
    <n v="37887"/>
  </r>
  <r>
    <x v="0"/>
    <x v="0"/>
    <x v="0"/>
    <x v="1"/>
    <x v="2"/>
    <s v="EE_Narva"/>
    <x v="6"/>
    <x v="5"/>
    <s v="Narva-EJ-TG5"/>
    <x v="6"/>
    <x v="11"/>
    <n v="173"/>
    <n v="10524.166666666701"/>
    <n v="37887"/>
  </r>
  <r>
    <x v="0"/>
    <x v="0"/>
    <x v="0"/>
    <x v="1"/>
    <x v="2"/>
    <s v="EE_Narva"/>
    <x v="6"/>
    <x v="5"/>
    <s v="Narva-EJ-TG5"/>
    <x v="7"/>
    <x v="0"/>
    <n v="84.565198131635"/>
    <n v="5144.38288634113"/>
    <n v="18519.778390828102"/>
  </r>
  <r>
    <x v="0"/>
    <x v="0"/>
    <x v="0"/>
    <x v="1"/>
    <x v="2"/>
    <s v="EE_Narva"/>
    <x v="6"/>
    <x v="5"/>
    <s v="Narva-EJ-TG5"/>
    <x v="7"/>
    <x v="3"/>
    <n v="38.155518558426202"/>
    <n v="2321.1273789709298"/>
    <n v="8356.0585642953392"/>
  </r>
  <r>
    <x v="0"/>
    <x v="0"/>
    <x v="0"/>
    <x v="1"/>
    <x v="2"/>
    <s v="EE_Narva"/>
    <x v="6"/>
    <x v="5"/>
    <s v="Narva-EJ-TG5"/>
    <x v="7"/>
    <x v="4"/>
    <n v="58.421323916572803"/>
    <n v="3553.9638715915098"/>
    <n v="12794.269937729399"/>
  </r>
  <r>
    <x v="0"/>
    <x v="0"/>
    <x v="0"/>
    <x v="1"/>
    <x v="2"/>
    <s v="EE_Narva"/>
    <x v="6"/>
    <x v="5"/>
    <s v="Narva-EJ-TG5"/>
    <x v="7"/>
    <x v="5"/>
    <n v="85.858474366204604"/>
    <n v="5223.0571906107798"/>
    <n v="18803.0058861988"/>
  </r>
  <r>
    <x v="0"/>
    <x v="0"/>
    <x v="0"/>
    <x v="1"/>
    <x v="2"/>
    <s v="EE_Narva"/>
    <x v="6"/>
    <x v="5"/>
    <s v="Narva-EJ-TG5"/>
    <x v="7"/>
    <x v="7"/>
    <n v="150.811830499763"/>
    <n v="9174.3863554022391"/>
    <n v="33027.790879448097"/>
  </r>
  <r>
    <x v="0"/>
    <x v="0"/>
    <x v="0"/>
    <x v="1"/>
    <x v="2"/>
    <s v="EE_Narva"/>
    <x v="6"/>
    <x v="5"/>
    <s v="Narva-EJ-TG5"/>
    <x v="7"/>
    <x v="8"/>
    <n v="173"/>
    <n v="10524.166666666701"/>
    <n v="37887"/>
  </r>
  <r>
    <x v="0"/>
    <x v="0"/>
    <x v="0"/>
    <x v="1"/>
    <x v="2"/>
    <s v="EE_Narva"/>
    <x v="6"/>
    <x v="5"/>
    <s v="Narva-EJ-TG5"/>
    <x v="7"/>
    <x v="9"/>
    <n v="173"/>
    <n v="10524.166666666701"/>
    <n v="37887"/>
  </r>
  <r>
    <x v="0"/>
    <x v="0"/>
    <x v="0"/>
    <x v="1"/>
    <x v="2"/>
    <s v="EE_Narva"/>
    <x v="6"/>
    <x v="5"/>
    <s v="Narva-EJ-TG5"/>
    <x v="7"/>
    <x v="10"/>
    <n v="173"/>
    <n v="10524.166666666701"/>
    <n v="37887"/>
  </r>
  <r>
    <x v="0"/>
    <x v="0"/>
    <x v="0"/>
    <x v="1"/>
    <x v="2"/>
    <s v="EE_Narva"/>
    <x v="6"/>
    <x v="5"/>
    <s v="Narva-EJ-TG5"/>
    <x v="7"/>
    <x v="11"/>
    <n v="173"/>
    <n v="10524.166666666701"/>
    <n v="37887"/>
  </r>
  <r>
    <x v="0"/>
    <x v="0"/>
    <x v="0"/>
    <x v="1"/>
    <x v="2"/>
    <s v="EE_Narva"/>
    <x v="6"/>
    <x v="5"/>
    <s v="Narva-EJ-TG5"/>
    <x v="8"/>
    <x v="0"/>
    <n v="67.932562857993105"/>
    <n v="4132.5642405279104"/>
    <n v="14877.2312659005"/>
  </r>
  <r>
    <x v="0"/>
    <x v="0"/>
    <x v="0"/>
    <x v="1"/>
    <x v="2"/>
    <s v="EE_Narva"/>
    <x v="6"/>
    <x v="5"/>
    <s v="Narva-EJ-TG5"/>
    <x v="8"/>
    <x v="2"/>
    <n v="37.781664212182598"/>
    <n v="2298.3845729077798"/>
    <n v="8274.1844624679998"/>
  </r>
  <r>
    <x v="0"/>
    <x v="0"/>
    <x v="0"/>
    <x v="1"/>
    <x v="2"/>
    <s v="EE_Narva"/>
    <x v="6"/>
    <x v="5"/>
    <s v="Narva-EJ-TG5"/>
    <x v="8"/>
    <x v="3"/>
    <n v="35.272711567224299"/>
    <n v="2145.7566203394799"/>
    <n v="7724.7238332221305"/>
  </r>
  <r>
    <x v="0"/>
    <x v="0"/>
    <x v="0"/>
    <x v="1"/>
    <x v="2"/>
    <s v="EE_Narva"/>
    <x v="6"/>
    <x v="5"/>
    <s v="Narva-EJ-TG5"/>
    <x v="8"/>
    <x v="4"/>
    <n v="39.446383587845503"/>
    <n v="2399.6550015939301"/>
    <n v="8638.7580057381601"/>
  </r>
  <r>
    <x v="0"/>
    <x v="0"/>
    <x v="0"/>
    <x v="1"/>
    <x v="2"/>
    <s v="EE_Narva"/>
    <x v="6"/>
    <x v="5"/>
    <s v="Narva-EJ-TG5"/>
    <x v="8"/>
    <x v="5"/>
    <n v="50.289243107780898"/>
    <n v="3059.2622890566699"/>
    <n v="11013.344240603999"/>
  </r>
  <r>
    <x v="0"/>
    <x v="0"/>
    <x v="0"/>
    <x v="1"/>
    <x v="2"/>
    <s v="EE_Narva"/>
    <x v="6"/>
    <x v="5"/>
    <s v="Narva-EJ-TG5"/>
    <x v="8"/>
    <x v="6"/>
    <n v="78.909906195831596"/>
    <n v="4800.3526269130898"/>
    <n v="17281.269456887101"/>
  </r>
  <r>
    <x v="0"/>
    <x v="0"/>
    <x v="0"/>
    <x v="1"/>
    <x v="2"/>
    <s v="EE_Narva"/>
    <x v="6"/>
    <x v="5"/>
    <s v="Narva-EJ-TG5"/>
    <x v="8"/>
    <x v="7"/>
    <n v="88.947166017519606"/>
    <n v="5410.9525993991101"/>
    <n v="19479.429357836802"/>
  </r>
  <r>
    <x v="0"/>
    <x v="0"/>
    <x v="0"/>
    <x v="1"/>
    <x v="2"/>
    <s v="EE_Narva"/>
    <x v="6"/>
    <x v="5"/>
    <s v="Narva-EJ-TG5"/>
    <x v="8"/>
    <x v="8"/>
    <n v="173"/>
    <n v="10524.166666666701"/>
    <n v="37887"/>
  </r>
  <r>
    <x v="0"/>
    <x v="0"/>
    <x v="0"/>
    <x v="1"/>
    <x v="2"/>
    <s v="EE_Narva"/>
    <x v="6"/>
    <x v="5"/>
    <s v="Narva-EJ-TG5"/>
    <x v="8"/>
    <x v="9"/>
    <n v="42.151564893074003"/>
    <n v="2564.2201976619999"/>
    <n v="9231.1927115832204"/>
  </r>
  <r>
    <x v="0"/>
    <x v="0"/>
    <x v="0"/>
    <x v="1"/>
    <x v="2"/>
    <s v="EE_Narva"/>
    <x v="6"/>
    <x v="5"/>
    <s v="Narva-EJ-TG5"/>
    <x v="8"/>
    <x v="11"/>
    <n v="173"/>
    <n v="10524.166666666701"/>
    <n v="37887"/>
  </r>
  <r>
    <x v="0"/>
    <x v="0"/>
    <x v="0"/>
    <x v="1"/>
    <x v="2"/>
    <s v="EE_Narva"/>
    <x v="6"/>
    <x v="5"/>
    <s v="Narva-EJ-TG5"/>
    <x v="9"/>
    <x v="0"/>
    <n v="47.584468688591599"/>
    <n v="2894.7218452226598"/>
    <n v="10420.9986428016"/>
  </r>
  <r>
    <x v="0"/>
    <x v="0"/>
    <x v="0"/>
    <x v="1"/>
    <x v="2"/>
    <s v="EE_Narva"/>
    <x v="6"/>
    <x v="5"/>
    <s v="Narva-EJ-TG5"/>
    <x v="9"/>
    <x v="1"/>
    <n v="38.897126617548601"/>
    <n v="2366.2418692341998"/>
    <n v="8518.4707292431394"/>
  </r>
  <r>
    <x v="0"/>
    <x v="0"/>
    <x v="0"/>
    <x v="1"/>
    <x v="2"/>
    <s v="EE_Narva"/>
    <x v="6"/>
    <x v="5"/>
    <s v="Narva-EJ-TG5"/>
    <x v="9"/>
    <x v="3"/>
    <n v="4.5030454458459097"/>
    <n v="273.935264622293"/>
    <n v="986.16695264025498"/>
  </r>
  <r>
    <x v="0"/>
    <x v="0"/>
    <x v="0"/>
    <x v="1"/>
    <x v="2"/>
    <s v="EE_Narva"/>
    <x v="6"/>
    <x v="5"/>
    <s v="Narva-EJ-TG5"/>
    <x v="9"/>
    <x v="4"/>
    <n v="9.2596668730883493"/>
    <n v="563.29640144620805"/>
    <n v="2027.86704520635"/>
  </r>
  <r>
    <x v="0"/>
    <x v="0"/>
    <x v="0"/>
    <x v="1"/>
    <x v="2"/>
    <s v="EE_Narva"/>
    <x v="6"/>
    <x v="5"/>
    <s v="Narva-EJ-TG5"/>
    <x v="9"/>
    <x v="7"/>
    <n v="173"/>
    <n v="10524.166666666701"/>
    <n v="37887"/>
  </r>
  <r>
    <x v="0"/>
    <x v="0"/>
    <x v="0"/>
    <x v="1"/>
    <x v="2"/>
    <s v="EE_Narva"/>
    <x v="6"/>
    <x v="5"/>
    <s v="Narva-EJ-TG5"/>
    <x v="9"/>
    <x v="9"/>
    <n v="173"/>
    <n v="10524.166666666701"/>
    <n v="37887"/>
  </r>
  <r>
    <x v="0"/>
    <x v="0"/>
    <x v="0"/>
    <x v="1"/>
    <x v="2"/>
    <s v="EE_Narva"/>
    <x v="6"/>
    <x v="5"/>
    <s v="Narva-EJ-TG5"/>
    <x v="9"/>
    <x v="10"/>
    <n v="66.965290692846906"/>
    <n v="4073.7218504815201"/>
    <n v="14665.398661733499"/>
  </r>
  <r>
    <x v="0"/>
    <x v="0"/>
    <x v="0"/>
    <x v="1"/>
    <x v="2"/>
    <s v="EE_Narva"/>
    <x v="6"/>
    <x v="5"/>
    <s v="Narva-EJ-TG5"/>
    <x v="10"/>
    <x v="5"/>
    <n v="173"/>
    <n v="10524.166666666701"/>
    <n v="37887"/>
  </r>
  <r>
    <x v="0"/>
    <x v="0"/>
    <x v="0"/>
    <x v="1"/>
    <x v="2"/>
    <s v="EE_Narva"/>
    <x v="6"/>
    <x v="5"/>
    <s v="Narva-EJ-TG5"/>
    <x v="10"/>
    <x v="9"/>
    <n v="12.014966370617801"/>
    <n v="730.91045421258298"/>
    <n v="2631.2776351653001"/>
  </r>
  <r>
    <x v="0"/>
    <x v="0"/>
    <x v="0"/>
    <x v="1"/>
    <x v="2"/>
    <s v="EE_Narva"/>
    <x v="6"/>
    <x v="5"/>
    <s v="Narva-EJ-TG5"/>
    <x v="10"/>
    <x v="10"/>
    <n v="38.252688771771901"/>
    <n v="2327.0385669494599"/>
    <n v="8377.3388410180505"/>
  </r>
  <r>
    <x v="0"/>
    <x v="0"/>
    <x v="0"/>
    <x v="1"/>
    <x v="2"/>
    <s v="EE_Narva"/>
    <x v="6"/>
    <x v="5"/>
    <s v="Narva-EJ-TG5"/>
    <x v="11"/>
    <x v="7"/>
    <n v="50.849090444246897"/>
    <n v="3093.3196686916899"/>
    <n v="11135.950807290101"/>
  </r>
  <r>
    <x v="0"/>
    <x v="0"/>
    <x v="0"/>
    <x v="1"/>
    <x v="2"/>
    <s v="EE_Narva"/>
    <x v="6"/>
    <x v="5"/>
    <s v="Narva-EJ-TG5"/>
    <x v="11"/>
    <x v="9"/>
    <n v="3.39944904651529"/>
    <n v="206.799816996347"/>
    <n v="744.47934118684805"/>
  </r>
  <r>
    <x v="0"/>
    <x v="0"/>
    <x v="0"/>
    <x v="1"/>
    <x v="2"/>
    <s v="EE_Narva"/>
    <x v="6"/>
    <x v="5"/>
    <s v="Narva-EJ-TG6"/>
    <x v="0"/>
    <x v="1"/>
    <n v="137.051861607738"/>
    <n v="8337.3215811374102"/>
    <n v="30014.357692094702"/>
  </r>
  <r>
    <x v="0"/>
    <x v="0"/>
    <x v="0"/>
    <x v="1"/>
    <x v="2"/>
    <s v="EE_Narva"/>
    <x v="6"/>
    <x v="5"/>
    <s v="Narva-EJ-TG6"/>
    <x v="0"/>
    <x v="5"/>
    <n v="96.877336852178502"/>
    <n v="5893.3713251741901"/>
    <n v="21216.136770627101"/>
  </r>
  <r>
    <x v="0"/>
    <x v="0"/>
    <x v="0"/>
    <x v="1"/>
    <x v="2"/>
    <s v="EE_Narva"/>
    <x v="6"/>
    <x v="5"/>
    <s v="Narva-EJ-TG6"/>
    <x v="1"/>
    <x v="0"/>
    <n v="173"/>
    <n v="10524.166666666701"/>
    <n v="37887"/>
  </r>
  <r>
    <x v="0"/>
    <x v="0"/>
    <x v="0"/>
    <x v="1"/>
    <x v="2"/>
    <s v="EE_Narva"/>
    <x v="6"/>
    <x v="5"/>
    <s v="Narva-EJ-TG6"/>
    <x v="1"/>
    <x v="10"/>
    <n v="20.982651723387999"/>
    <n v="1276.4446465061001"/>
    <n v="4595.2007274219704"/>
  </r>
  <r>
    <x v="0"/>
    <x v="0"/>
    <x v="0"/>
    <x v="1"/>
    <x v="2"/>
    <s v="EE_Narva"/>
    <x v="6"/>
    <x v="5"/>
    <s v="Narva-EJ-TG6"/>
    <x v="1"/>
    <x v="11"/>
    <n v="48.052098389022397"/>
    <n v="2923.1693186655302"/>
    <n v="10523.409547195901"/>
  </r>
  <r>
    <x v="0"/>
    <x v="0"/>
    <x v="0"/>
    <x v="1"/>
    <x v="2"/>
    <s v="EE_Narva"/>
    <x v="6"/>
    <x v="5"/>
    <s v="Narva-EJ-TG6"/>
    <x v="3"/>
    <x v="0"/>
    <n v="87.115268494360706"/>
    <n v="5299.51216674028"/>
    <n v="19078.243800265001"/>
  </r>
  <r>
    <x v="0"/>
    <x v="0"/>
    <x v="0"/>
    <x v="1"/>
    <x v="2"/>
    <s v="EE_Narva"/>
    <x v="6"/>
    <x v="5"/>
    <s v="Narva-EJ-TG6"/>
    <x v="3"/>
    <x v="8"/>
    <n v="159.92429038908301"/>
    <n v="9728.7276653358804"/>
    <n v="35023.419595209198"/>
  </r>
  <r>
    <x v="0"/>
    <x v="0"/>
    <x v="0"/>
    <x v="1"/>
    <x v="2"/>
    <s v="EE_Narva"/>
    <x v="6"/>
    <x v="5"/>
    <s v="Narva-EJ-TG6"/>
    <x v="3"/>
    <x v="9"/>
    <n v="43.791882320116201"/>
    <n v="2664.00617447373"/>
    <n v="9590.4222281054408"/>
  </r>
  <r>
    <x v="0"/>
    <x v="0"/>
    <x v="0"/>
    <x v="1"/>
    <x v="2"/>
    <s v="EE_Narva"/>
    <x v="6"/>
    <x v="5"/>
    <s v="Narva-EJ-TG6"/>
    <x v="3"/>
    <x v="10"/>
    <n v="104.08693546759"/>
    <n v="6331.9552409450598"/>
    <n v="22795.0388674022"/>
  </r>
  <r>
    <x v="0"/>
    <x v="0"/>
    <x v="0"/>
    <x v="1"/>
    <x v="2"/>
    <s v="EE_Narva"/>
    <x v="6"/>
    <x v="5"/>
    <s v="Narva-EJ-TG6"/>
    <x v="4"/>
    <x v="0"/>
    <n v="66.487093574997502"/>
    <n v="4044.63152581235"/>
    <n v="14560.673492924399"/>
  </r>
  <r>
    <x v="0"/>
    <x v="0"/>
    <x v="0"/>
    <x v="1"/>
    <x v="2"/>
    <s v="EE_Narva"/>
    <x v="6"/>
    <x v="5"/>
    <s v="Narva-EJ-TG6"/>
    <x v="4"/>
    <x v="1"/>
    <n v="26.988203400476099"/>
    <n v="1641.7823735289601"/>
    <n v="5910.4165447042596"/>
  </r>
  <r>
    <x v="0"/>
    <x v="0"/>
    <x v="0"/>
    <x v="1"/>
    <x v="2"/>
    <s v="EE_Narva"/>
    <x v="6"/>
    <x v="5"/>
    <s v="Narva-EJ-TG6"/>
    <x v="4"/>
    <x v="6"/>
    <n v="36.477062223892901"/>
    <n v="2219.0212852868199"/>
    <n v="7988.4766270325399"/>
  </r>
  <r>
    <x v="0"/>
    <x v="0"/>
    <x v="0"/>
    <x v="1"/>
    <x v="2"/>
    <s v="EE_Narva"/>
    <x v="6"/>
    <x v="5"/>
    <s v="Narva-EJ-TG6"/>
    <x v="4"/>
    <x v="7"/>
    <n v="82.368370390819706"/>
    <n v="5010.7425321082001"/>
    <n v="18038.6731155895"/>
  </r>
  <r>
    <x v="0"/>
    <x v="0"/>
    <x v="0"/>
    <x v="1"/>
    <x v="2"/>
    <s v="EE_Narva"/>
    <x v="6"/>
    <x v="5"/>
    <s v="Narva-EJ-TG6"/>
    <x v="4"/>
    <x v="9"/>
    <n v="173"/>
    <n v="10524.166666666701"/>
    <n v="37887"/>
  </r>
  <r>
    <x v="0"/>
    <x v="0"/>
    <x v="0"/>
    <x v="1"/>
    <x v="2"/>
    <s v="EE_Narva"/>
    <x v="6"/>
    <x v="5"/>
    <s v="Narva-EJ-TG6"/>
    <x v="4"/>
    <x v="10"/>
    <n v="20.9472879539038"/>
    <n v="1274.2933505291501"/>
    <n v="4587.4560619049398"/>
  </r>
  <r>
    <x v="0"/>
    <x v="0"/>
    <x v="0"/>
    <x v="1"/>
    <x v="2"/>
    <s v="EE_Narva"/>
    <x v="6"/>
    <x v="5"/>
    <s v="Narva-EJ-TG6"/>
    <x v="4"/>
    <x v="11"/>
    <n v="155.98725896837701"/>
    <n v="9489.2249205762491"/>
    <n v="34161.209714074503"/>
  </r>
  <r>
    <x v="0"/>
    <x v="0"/>
    <x v="0"/>
    <x v="1"/>
    <x v="2"/>
    <s v="EE_Narva"/>
    <x v="6"/>
    <x v="5"/>
    <s v="Narva-EJ-TG6"/>
    <x v="5"/>
    <x v="2"/>
    <n v="143.33499913580499"/>
    <n v="8719.5457807614803"/>
    <n v="31390.364810741299"/>
  </r>
  <r>
    <x v="0"/>
    <x v="0"/>
    <x v="0"/>
    <x v="1"/>
    <x v="2"/>
    <s v="EE_Narva"/>
    <x v="6"/>
    <x v="5"/>
    <s v="Narva-EJ-TG6"/>
    <x v="5"/>
    <x v="3"/>
    <n v="173"/>
    <n v="10524.166666666701"/>
    <n v="37887"/>
  </r>
  <r>
    <x v="0"/>
    <x v="0"/>
    <x v="0"/>
    <x v="1"/>
    <x v="2"/>
    <s v="EE_Narva"/>
    <x v="6"/>
    <x v="5"/>
    <s v="Narva-EJ-TG6"/>
    <x v="5"/>
    <x v="5"/>
    <n v="52.762486506193099"/>
    <n v="3209.7179291267398"/>
    <n v="11554.984544856299"/>
  </r>
  <r>
    <x v="0"/>
    <x v="0"/>
    <x v="0"/>
    <x v="1"/>
    <x v="2"/>
    <s v="EE_Narva"/>
    <x v="6"/>
    <x v="5"/>
    <s v="Narva-EJ-TG6"/>
    <x v="5"/>
    <x v="6"/>
    <n v="72.134072556614797"/>
    <n v="4388.1560805274003"/>
    <n v="15797.361889898601"/>
  </r>
  <r>
    <x v="0"/>
    <x v="0"/>
    <x v="0"/>
    <x v="1"/>
    <x v="2"/>
    <s v="EE_Narva"/>
    <x v="6"/>
    <x v="5"/>
    <s v="Narva-EJ-TG6"/>
    <x v="5"/>
    <x v="7"/>
    <n v="173"/>
    <n v="10524.166666666701"/>
    <n v="37887"/>
  </r>
  <r>
    <x v="0"/>
    <x v="0"/>
    <x v="0"/>
    <x v="1"/>
    <x v="2"/>
    <s v="EE_Narva"/>
    <x v="6"/>
    <x v="5"/>
    <s v="Narva-EJ-TG6"/>
    <x v="5"/>
    <x v="8"/>
    <n v="173"/>
    <n v="10524.166666666701"/>
    <n v="37887"/>
  </r>
  <r>
    <x v="0"/>
    <x v="0"/>
    <x v="0"/>
    <x v="1"/>
    <x v="2"/>
    <s v="EE_Narva"/>
    <x v="6"/>
    <x v="5"/>
    <s v="Narva-EJ-TG6"/>
    <x v="5"/>
    <x v="9"/>
    <n v="173"/>
    <n v="10524.166666666701"/>
    <n v="37887"/>
  </r>
  <r>
    <x v="0"/>
    <x v="0"/>
    <x v="0"/>
    <x v="1"/>
    <x v="2"/>
    <s v="EE_Narva"/>
    <x v="6"/>
    <x v="5"/>
    <s v="Narva-EJ-TG6"/>
    <x v="5"/>
    <x v="10"/>
    <n v="173"/>
    <n v="10524.166666666701"/>
    <n v="37887"/>
  </r>
  <r>
    <x v="0"/>
    <x v="0"/>
    <x v="0"/>
    <x v="1"/>
    <x v="2"/>
    <s v="EE_Narva"/>
    <x v="6"/>
    <x v="5"/>
    <s v="Narva-EJ-TG6"/>
    <x v="5"/>
    <x v="11"/>
    <n v="173"/>
    <n v="10524.166666666701"/>
    <n v="37887"/>
  </r>
  <r>
    <x v="0"/>
    <x v="0"/>
    <x v="0"/>
    <x v="1"/>
    <x v="2"/>
    <s v="EE_Narva"/>
    <x v="6"/>
    <x v="5"/>
    <s v="Narva-EJ-TG6"/>
    <x v="6"/>
    <x v="0"/>
    <n v="173"/>
    <n v="10524.166666666701"/>
    <n v="37887"/>
  </r>
  <r>
    <x v="0"/>
    <x v="0"/>
    <x v="0"/>
    <x v="1"/>
    <x v="2"/>
    <s v="EE_Narva"/>
    <x v="6"/>
    <x v="5"/>
    <s v="Narva-EJ-TG6"/>
    <x v="6"/>
    <x v="1"/>
    <n v="173"/>
    <n v="10524.166666666701"/>
    <n v="37887"/>
  </r>
  <r>
    <x v="0"/>
    <x v="0"/>
    <x v="0"/>
    <x v="1"/>
    <x v="2"/>
    <s v="EE_Narva"/>
    <x v="6"/>
    <x v="5"/>
    <s v="Narva-EJ-TG6"/>
    <x v="6"/>
    <x v="3"/>
    <n v="173"/>
    <n v="10524.166666666701"/>
    <n v="37887"/>
  </r>
  <r>
    <x v="0"/>
    <x v="0"/>
    <x v="0"/>
    <x v="1"/>
    <x v="2"/>
    <s v="EE_Narva"/>
    <x v="6"/>
    <x v="5"/>
    <s v="Narva-EJ-TG6"/>
    <x v="6"/>
    <x v="4"/>
    <n v="173"/>
    <n v="10524.166666666701"/>
    <n v="37887"/>
  </r>
  <r>
    <x v="0"/>
    <x v="0"/>
    <x v="0"/>
    <x v="1"/>
    <x v="2"/>
    <s v="EE_Narva"/>
    <x v="6"/>
    <x v="5"/>
    <s v="Narva-EJ-TG6"/>
    <x v="6"/>
    <x v="5"/>
    <n v="173"/>
    <n v="10524.166666666701"/>
    <n v="37887"/>
  </r>
  <r>
    <x v="0"/>
    <x v="0"/>
    <x v="0"/>
    <x v="1"/>
    <x v="2"/>
    <s v="EE_Narva"/>
    <x v="6"/>
    <x v="5"/>
    <s v="Narva-EJ-TG6"/>
    <x v="6"/>
    <x v="7"/>
    <n v="173"/>
    <n v="10524.166666666701"/>
    <n v="37887"/>
  </r>
  <r>
    <x v="0"/>
    <x v="0"/>
    <x v="0"/>
    <x v="1"/>
    <x v="2"/>
    <s v="EE_Narva"/>
    <x v="6"/>
    <x v="5"/>
    <s v="Narva-EJ-TG6"/>
    <x v="6"/>
    <x v="8"/>
    <n v="158.400562603156"/>
    <n v="9636.0342250253198"/>
    <n v="34689.723210091201"/>
  </r>
  <r>
    <x v="0"/>
    <x v="0"/>
    <x v="0"/>
    <x v="1"/>
    <x v="2"/>
    <s v="EE_Narva"/>
    <x v="6"/>
    <x v="5"/>
    <s v="Narva-EJ-TG6"/>
    <x v="6"/>
    <x v="9"/>
    <n v="54.132240564553001"/>
    <n v="3293.0446343436402"/>
    <n v="11854.9606836371"/>
  </r>
  <r>
    <x v="0"/>
    <x v="0"/>
    <x v="0"/>
    <x v="1"/>
    <x v="2"/>
    <s v="EE_Narva"/>
    <x v="6"/>
    <x v="5"/>
    <s v="Narva-EJ-TG6"/>
    <x v="6"/>
    <x v="10"/>
    <n v="84.173524042674899"/>
    <n v="5120.5560459293902"/>
    <n v="18434.001765345802"/>
  </r>
  <r>
    <x v="0"/>
    <x v="0"/>
    <x v="0"/>
    <x v="1"/>
    <x v="2"/>
    <s v="EE_Narva"/>
    <x v="6"/>
    <x v="5"/>
    <s v="Narva-EJ-TG6"/>
    <x v="6"/>
    <x v="11"/>
    <n v="86.819154271950197"/>
    <n v="5281.4985515436401"/>
    <n v="19013.394785557099"/>
  </r>
  <r>
    <x v="0"/>
    <x v="0"/>
    <x v="0"/>
    <x v="1"/>
    <x v="2"/>
    <s v="EE_Narva"/>
    <x v="6"/>
    <x v="5"/>
    <s v="Narva-EJ-TG6"/>
    <x v="7"/>
    <x v="1"/>
    <n v="45.163529499347803"/>
    <n v="2747.4480445436602"/>
    <n v="9890.8129603571797"/>
  </r>
  <r>
    <x v="0"/>
    <x v="0"/>
    <x v="0"/>
    <x v="1"/>
    <x v="2"/>
    <s v="EE_Narva"/>
    <x v="6"/>
    <x v="5"/>
    <s v="Narva-EJ-TG6"/>
    <x v="7"/>
    <x v="8"/>
    <n v="28.343631139827099"/>
    <n v="1724.2375610061499"/>
    <n v="6207.2552196221404"/>
  </r>
  <r>
    <x v="0"/>
    <x v="0"/>
    <x v="0"/>
    <x v="1"/>
    <x v="2"/>
    <s v="EE_Narva"/>
    <x v="6"/>
    <x v="5"/>
    <s v="Narva-EJ-TG6"/>
    <x v="7"/>
    <x v="9"/>
    <n v="125.904728996862"/>
    <n v="7659.2043473091098"/>
    <n v="27573.135650312801"/>
  </r>
  <r>
    <x v="0"/>
    <x v="0"/>
    <x v="0"/>
    <x v="1"/>
    <x v="2"/>
    <s v="EE_Narva"/>
    <x v="6"/>
    <x v="5"/>
    <s v="Narva-EJ-TG6"/>
    <x v="7"/>
    <x v="11"/>
    <n v="173"/>
    <n v="10524.166666666701"/>
    <n v="37887"/>
  </r>
  <r>
    <x v="0"/>
    <x v="0"/>
    <x v="0"/>
    <x v="1"/>
    <x v="2"/>
    <s v="EE_Narva"/>
    <x v="6"/>
    <x v="5"/>
    <s v="Narva-EJ-TG6"/>
    <x v="8"/>
    <x v="10"/>
    <n v="173"/>
    <n v="10524.166666666701"/>
    <n v="37887"/>
  </r>
  <r>
    <x v="0"/>
    <x v="0"/>
    <x v="0"/>
    <x v="1"/>
    <x v="2"/>
    <s v="EE_Narva"/>
    <x v="6"/>
    <x v="5"/>
    <s v="Narva-EJ-TG6"/>
    <x v="8"/>
    <x v="11"/>
    <n v="103.71378868647901"/>
    <n v="6309.2554784274898"/>
    <n v="22713.319722339002"/>
  </r>
  <r>
    <x v="0"/>
    <x v="0"/>
    <x v="0"/>
    <x v="1"/>
    <x v="2"/>
    <s v="EE_Narva"/>
    <x v="6"/>
    <x v="5"/>
    <s v="Narva-EJ-TG6"/>
    <x v="9"/>
    <x v="7"/>
    <n v="41.693179680890999"/>
    <n v="2536.3350972541998"/>
    <n v="9130.8063501151191"/>
  </r>
  <r>
    <x v="0"/>
    <x v="0"/>
    <x v="0"/>
    <x v="1"/>
    <x v="2"/>
    <s v="EE_Narva"/>
    <x v="6"/>
    <x v="5"/>
    <s v="Narva-EJ-TG6"/>
    <x v="9"/>
    <x v="9"/>
    <n v="173"/>
    <n v="10524.166666666701"/>
    <n v="37887"/>
  </r>
  <r>
    <x v="0"/>
    <x v="0"/>
    <x v="0"/>
    <x v="1"/>
    <x v="2"/>
    <s v="EE_Narva"/>
    <x v="6"/>
    <x v="5"/>
    <s v="Narva-EJ-TG6"/>
    <x v="9"/>
    <x v="11"/>
    <n v="59.094124380123198"/>
    <n v="3594.8925664574999"/>
    <n v="12941.613239247001"/>
  </r>
  <r>
    <x v="0"/>
    <x v="0"/>
    <x v="0"/>
    <x v="1"/>
    <x v="2"/>
    <s v="EE_Narva"/>
    <x v="6"/>
    <x v="5"/>
    <s v="Narva-EJ-TG6"/>
    <x v="10"/>
    <x v="5"/>
    <n v="22.0311463431938"/>
    <n v="1340.22806921096"/>
    <n v="4824.82104915944"/>
  </r>
  <r>
    <x v="0"/>
    <x v="0"/>
    <x v="0"/>
    <x v="1"/>
    <x v="2"/>
    <s v="EE_Narva"/>
    <x v="6"/>
    <x v="5"/>
    <s v="Narva-EJ-TG6"/>
    <x v="10"/>
    <x v="11"/>
    <n v="65.019421320648206"/>
    <n v="3955.3481303394301"/>
    <n v="14239.253269221999"/>
  </r>
  <r>
    <x v="0"/>
    <x v="0"/>
    <x v="0"/>
    <x v="1"/>
    <x v="2"/>
    <s v="EE_Narva"/>
    <x v="6"/>
    <x v="5"/>
    <s v="Narva-EJ-TG7"/>
    <x v="0"/>
    <x v="2"/>
    <n v="167"/>
    <n v="10159.166666666701"/>
    <n v="36573"/>
  </r>
  <r>
    <x v="0"/>
    <x v="0"/>
    <x v="0"/>
    <x v="1"/>
    <x v="2"/>
    <s v="EE_Narva"/>
    <x v="6"/>
    <x v="5"/>
    <s v="Narva-EJ-TG7"/>
    <x v="0"/>
    <x v="10"/>
    <n v="167"/>
    <n v="10159.166666666701"/>
    <n v="36573"/>
  </r>
  <r>
    <x v="0"/>
    <x v="0"/>
    <x v="0"/>
    <x v="1"/>
    <x v="2"/>
    <s v="EE_Narva"/>
    <x v="6"/>
    <x v="5"/>
    <s v="Narva-EJ-TG7"/>
    <x v="1"/>
    <x v="0"/>
    <n v="40.718226822000503"/>
    <n v="2477.0254650050301"/>
    <n v="8917.2916740181099"/>
  </r>
  <r>
    <x v="0"/>
    <x v="0"/>
    <x v="0"/>
    <x v="1"/>
    <x v="2"/>
    <s v="EE_Narva"/>
    <x v="6"/>
    <x v="5"/>
    <s v="Narva-EJ-TG7"/>
    <x v="1"/>
    <x v="6"/>
    <n v="167"/>
    <n v="10159.166666666701"/>
    <n v="36573"/>
  </r>
  <r>
    <x v="0"/>
    <x v="0"/>
    <x v="0"/>
    <x v="1"/>
    <x v="2"/>
    <s v="EE_Narva"/>
    <x v="6"/>
    <x v="5"/>
    <s v="Narva-EJ-TG7"/>
    <x v="2"/>
    <x v="2"/>
    <n v="167"/>
    <n v="10159.166666666701"/>
    <n v="36573"/>
  </r>
  <r>
    <x v="0"/>
    <x v="0"/>
    <x v="0"/>
    <x v="1"/>
    <x v="2"/>
    <s v="EE_Narva"/>
    <x v="6"/>
    <x v="5"/>
    <s v="Narva-EJ-TG7"/>
    <x v="2"/>
    <x v="10"/>
    <n v="167"/>
    <n v="10159.166666666701"/>
    <n v="36573"/>
  </r>
  <r>
    <x v="0"/>
    <x v="0"/>
    <x v="0"/>
    <x v="1"/>
    <x v="2"/>
    <s v="EE_Narva"/>
    <x v="6"/>
    <x v="5"/>
    <s v="Narva-EJ-TG7"/>
    <x v="3"/>
    <x v="4"/>
    <n v="167"/>
    <n v="10159.166666666701"/>
    <n v="36573"/>
  </r>
  <r>
    <x v="0"/>
    <x v="0"/>
    <x v="0"/>
    <x v="1"/>
    <x v="2"/>
    <s v="EE_Narva"/>
    <x v="6"/>
    <x v="5"/>
    <s v="Narva-EJ-TG7"/>
    <x v="3"/>
    <x v="6"/>
    <n v="167"/>
    <n v="10159.166666666701"/>
    <n v="36573"/>
  </r>
  <r>
    <x v="0"/>
    <x v="0"/>
    <x v="0"/>
    <x v="1"/>
    <x v="2"/>
    <s v="EE_Narva"/>
    <x v="6"/>
    <x v="5"/>
    <s v="Narva-EJ-TG7"/>
    <x v="4"/>
    <x v="2"/>
    <n v="167"/>
    <n v="10159.166666666701"/>
    <n v="36573"/>
  </r>
  <r>
    <x v="0"/>
    <x v="0"/>
    <x v="0"/>
    <x v="1"/>
    <x v="2"/>
    <s v="EE_Narva"/>
    <x v="6"/>
    <x v="5"/>
    <s v="Narva-EJ-TG7"/>
    <x v="4"/>
    <x v="9"/>
    <n v="17.601955848698299"/>
    <n v="1070.78564746248"/>
    <n v="3854.8283308649402"/>
  </r>
  <r>
    <x v="0"/>
    <x v="0"/>
    <x v="0"/>
    <x v="1"/>
    <x v="2"/>
    <s v="EE_Narva"/>
    <x v="6"/>
    <x v="5"/>
    <s v="Narva-EJ-TG7"/>
    <x v="4"/>
    <x v="10"/>
    <n v="167"/>
    <n v="10159.166666666701"/>
    <n v="36573"/>
  </r>
  <r>
    <x v="0"/>
    <x v="0"/>
    <x v="0"/>
    <x v="1"/>
    <x v="2"/>
    <s v="EE_Narva"/>
    <x v="6"/>
    <x v="5"/>
    <s v="Narva-EJ-TG7"/>
    <x v="5"/>
    <x v="0"/>
    <n v="150.43277017879299"/>
    <n v="9151.3268525432195"/>
    <n v="32944.776669155603"/>
  </r>
  <r>
    <x v="0"/>
    <x v="0"/>
    <x v="0"/>
    <x v="1"/>
    <x v="2"/>
    <s v="EE_Narva"/>
    <x v="6"/>
    <x v="5"/>
    <s v="Narva-EJ-TG7"/>
    <x v="5"/>
    <x v="3"/>
    <n v="7.0952581612336001"/>
    <n v="431.62820480837701"/>
    <n v="1553.86153731016"/>
  </r>
  <r>
    <x v="0"/>
    <x v="0"/>
    <x v="0"/>
    <x v="1"/>
    <x v="2"/>
    <s v="EE_Narva"/>
    <x v="6"/>
    <x v="5"/>
    <s v="Narva-EJ-TG7"/>
    <x v="5"/>
    <x v="4"/>
    <n v="167"/>
    <n v="10159.166666666701"/>
    <n v="36573"/>
  </r>
  <r>
    <x v="0"/>
    <x v="0"/>
    <x v="0"/>
    <x v="1"/>
    <x v="2"/>
    <s v="EE_Narva"/>
    <x v="6"/>
    <x v="5"/>
    <s v="Narva-EJ-TG7"/>
    <x v="5"/>
    <x v="6"/>
    <n v="167"/>
    <n v="10159.166666666701"/>
    <n v="36573"/>
  </r>
  <r>
    <x v="0"/>
    <x v="0"/>
    <x v="0"/>
    <x v="1"/>
    <x v="2"/>
    <s v="EE_Narva"/>
    <x v="6"/>
    <x v="5"/>
    <s v="Narva-EJ-TG7"/>
    <x v="5"/>
    <x v="7"/>
    <n v="167"/>
    <n v="10159.166666666701"/>
    <n v="36573"/>
  </r>
  <r>
    <x v="0"/>
    <x v="0"/>
    <x v="0"/>
    <x v="1"/>
    <x v="2"/>
    <s v="EE_Narva"/>
    <x v="6"/>
    <x v="5"/>
    <s v="Narva-EJ-TG7"/>
    <x v="5"/>
    <x v="8"/>
    <n v="167"/>
    <n v="10159.166666666701"/>
    <n v="36573"/>
  </r>
  <r>
    <x v="0"/>
    <x v="0"/>
    <x v="0"/>
    <x v="1"/>
    <x v="2"/>
    <s v="EE_Narva"/>
    <x v="6"/>
    <x v="5"/>
    <s v="Narva-EJ-TG7"/>
    <x v="5"/>
    <x v="9"/>
    <n v="167"/>
    <n v="10159.166666666701"/>
    <n v="36573"/>
  </r>
  <r>
    <x v="0"/>
    <x v="0"/>
    <x v="0"/>
    <x v="1"/>
    <x v="2"/>
    <s v="EE_Narva"/>
    <x v="6"/>
    <x v="5"/>
    <s v="Narva-EJ-TG7"/>
    <x v="5"/>
    <x v="10"/>
    <n v="167"/>
    <n v="10159.166666666701"/>
    <n v="36573"/>
  </r>
  <r>
    <x v="0"/>
    <x v="0"/>
    <x v="0"/>
    <x v="1"/>
    <x v="2"/>
    <s v="EE_Narva"/>
    <x v="6"/>
    <x v="5"/>
    <s v="Narva-EJ-TG7"/>
    <x v="5"/>
    <x v="11"/>
    <n v="167"/>
    <n v="10159.166666666701"/>
    <n v="36573"/>
  </r>
  <r>
    <x v="0"/>
    <x v="0"/>
    <x v="0"/>
    <x v="1"/>
    <x v="2"/>
    <s v="EE_Narva"/>
    <x v="6"/>
    <x v="5"/>
    <s v="Narva-EJ-TG7"/>
    <x v="6"/>
    <x v="0"/>
    <n v="96.666386912518206"/>
    <n v="5880.5385371781904"/>
    <n v="21169.9387338415"/>
  </r>
  <r>
    <x v="0"/>
    <x v="0"/>
    <x v="0"/>
    <x v="1"/>
    <x v="2"/>
    <s v="EE_Narva"/>
    <x v="6"/>
    <x v="5"/>
    <s v="Narva-EJ-TG7"/>
    <x v="6"/>
    <x v="1"/>
    <n v="167"/>
    <n v="10159.166666666701"/>
    <n v="36573"/>
  </r>
  <r>
    <x v="0"/>
    <x v="0"/>
    <x v="0"/>
    <x v="1"/>
    <x v="2"/>
    <s v="EE_Narva"/>
    <x v="6"/>
    <x v="5"/>
    <s v="Narva-EJ-TG7"/>
    <x v="6"/>
    <x v="2"/>
    <n v="167"/>
    <n v="10159.166666666701"/>
    <n v="36573"/>
  </r>
  <r>
    <x v="0"/>
    <x v="0"/>
    <x v="0"/>
    <x v="1"/>
    <x v="2"/>
    <s v="EE_Narva"/>
    <x v="6"/>
    <x v="5"/>
    <s v="Narva-EJ-TG7"/>
    <x v="6"/>
    <x v="3"/>
    <n v="145.65816316358101"/>
    <n v="8860.8715924511507"/>
    <n v="31899.137732824202"/>
  </r>
  <r>
    <x v="0"/>
    <x v="0"/>
    <x v="0"/>
    <x v="1"/>
    <x v="2"/>
    <s v="EE_Narva"/>
    <x v="6"/>
    <x v="5"/>
    <s v="Narva-EJ-TG7"/>
    <x v="6"/>
    <x v="4"/>
    <n v="9.7489234912741001"/>
    <n v="593.059512385841"/>
    <n v="2135.0142445890301"/>
  </r>
  <r>
    <x v="0"/>
    <x v="0"/>
    <x v="0"/>
    <x v="1"/>
    <x v="2"/>
    <s v="EE_Narva"/>
    <x v="6"/>
    <x v="5"/>
    <s v="Narva-EJ-TG7"/>
    <x v="6"/>
    <x v="5"/>
    <n v="167"/>
    <n v="10159.166666666701"/>
    <n v="36573"/>
  </r>
  <r>
    <x v="0"/>
    <x v="0"/>
    <x v="0"/>
    <x v="1"/>
    <x v="2"/>
    <s v="EE_Narva"/>
    <x v="6"/>
    <x v="5"/>
    <s v="Narva-EJ-TG7"/>
    <x v="6"/>
    <x v="6"/>
    <n v="167"/>
    <n v="10159.166666666701"/>
    <n v="36573"/>
  </r>
  <r>
    <x v="0"/>
    <x v="0"/>
    <x v="0"/>
    <x v="1"/>
    <x v="2"/>
    <s v="EE_Narva"/>
    <x v="6"/>
    <x v="5"/>
    <s v="Narva-EJ-TG7"/>
    <x v="6"/>
    <x v="7"/>
    <n v="118.71024238546499"/>
    <n v="7221.5397451157796"/>
    <n v="25997.5430824168"/>
  </r>
  <r>
    <x v="0"/>
    <x v="0"/>
    <x v="0"/>
    <x v="1"/>
    <x v="2"/>
    <s v="EE_Narva"/>
    <x v="6"/>
    <x v="5"/>
    <s v="Narva-EJ-TG7"/>
    <x v="6"/>
    <x v="9"/>
    <n v="167"/>
    <n v="10159.166666666701"/>
    <n v="36573"/>
  </r>
  <r>
    <x v="0"/>
    <x v="0"/>
    <x v="0"/>
    <x v="1"/>
    <x v="2"/>
    <s v="EE_Narva"/>
    <x v="6"/>
    <x v="5"/>
    <s v="Narva-EJ-TG7"/>
    <x v="6"/>
    <x v="10"/>
    <n v="167"/>
    <n v="10159.166666666701"/>
    <n v="36573"/>
  </r>
  <r>
    <x v="0"/>
    <x v="0"/>
    <x v="0"/>
    <x v="1"/>
    <x v="2"/>
    <s v="EE_Narva"/>
    <x v="6"/>
    <x v="5"/>
    <s v="Narva-EJ-TG7"/>
    <x v="6"/>
    <x v="11"/>
    <n v="167"/>
    <n v="10159.166666666701"/>
    <n v="36573"/>
  </r>
  <r>
    <x v="0"/>
    <x v="0"/>
    <x v="0"/>
    <x v="1"/>
    <x v="2"/>
    <s v="EE_Narva"/>
    <x v="6"/>
    <x v="5"/>
    <s v="Narva-EJ-TG7"/>
    <x v="7"/>
    <x v="2"/>
    <n v="167"/>
    <n v="10159.166666666701"/>
    <n v="36573"/>
  </r>
  <r>
    <x v="0"/>
    <x v="0"/>
    <x v="0"/>
    <x v="1"/>
    <x v="2"/>
    <s v="EE_Narva"/>
    <x v="6"/>
    <x v="5"/>
    <s v="Narva-EJ-TG7"/>
    <x v="7"/>
    <x v="6"/>
    <n v="167"/>
    <n v="10159.166666666701"/>
    <n v="36573"/>
  </r>
  <r>
    <x v="0"/>
    <x v="0"/>
    <x v="0"/>
    <x v="1"/>
    <x v="2"/>
    <s v="EE_Narva"/>
    <x v="6"/>
    <x v="5"/>
    <s v="Narva-EJ-TG7"/>
    <x v="7"/>
    <x v="10"/>
    <n v="167"/>
    <n v="10159.166666666701"/>
    <n v="36573"/>
  </r>
  <r>
    <x v="0"/>
    <x v="0"/>
    <x v="0"/>
    <x v="1"/>
    <x v="2"/>
    <s v="EE_Narva"/>
    <x v="6"/>
    <x v="5"/>
    <s v="Narva-EJ-TG7"/>
    <x v="7"/>
    <x v="11"/>
    <n v="22.235004237643899"/>
    <n v="1352.62942445667"/>
    <n v="4869.4659280440301"/>
  </r>
  <r>
    <x v="0"/>
    <x v="0"/>
    <x v="0"/>
    <x v="1"/>
    <x v="2"/>
    <s v="EE_Narva"/>
    <x v="6"/>
    <x v="5"/>
    <s v="Narva-EJ-TG7"/>
    <x v="8"/>
    <x v="0"/>
    <n v="167"/>
    <n v="10159.166666666701"/>
    <n v="36573"/>
  </r>
  <r>
    <x v="0"/>
    <x v="0"/>
    <x v="0"/>
    <x v="1"/>
    <x v="2"/>
    <s v="EE_Narva"/>
    <x v="6"/>
    <x v="5"/>
    <s v="Narva-EJ-TG7"/>
    <x v="8"/>
    <x v="1"/>
    <n v="167"/>
    <n v="10159.166666666701"/>
    <n v="36573"/>
  </r>
  <r>
    <x v="0"/>
    <x v="0"/>
    <x v="0"/>
    <x v="1"/>
    <x v="2"/>
    <s v="EE_Narva"/>
    <x v="6"/>
    <x v="5"/>
    <s v="Narva-EJ-TG7"/>
    <x v="8"/>
    <x v="2"/>
    <n v="167"/>
    <n v="10159.166666666701"/>
    <n v="36573"/>
  </r>
  <r>
    <x v="0"/>
    <x v="0"/>
    <x v="0"/>
    <x v="1"/>
    <x v="2"/>
    <s v="EE_Narva"/>
    <x v="6"/>
    <x v="5"/>
    <s v="Narva-EJ-TG7"/>
    <x v="8"/>
    <x v="6"/>
    <n v="167"/>
    <n v="10159.166666666701"/>
    <n v="36573"/>
  </r>
  <r>
    <x v="0"/>
    <x v="0"/>
    <x v="0"/>
    <x v="1"/>
    <x v="2"/>
    <s v="EE_Narva"/>
    <x v="6"/>
    <x v="5"/>
    <s v="Narva-EJ-TG7"/>
    <x v="8"/>
    <x v="9"/>
    <n v="167"/>
    <n v="10159.166666666701"/>
    <n v="36573"/>
  </r>
  <r>
    <x v="0"/>
    <x v="0"/>
    <x v="0"/>
    <x v="1"/>
    <x v="2"/>
    <s v="EE_Narva"/>
    <x v="6"/>
    <x v="5"/>
    <s v="Narva-EJ-TG7"/>
    <x v="9"/>
    <x v="2"/>
    <n v="167"/>
    <n v="10159.166666666701"/>
    <n v="36573"/>
  </r>
  <r>
    <x v="0"/>
    <x v="0"/>
    <x v="0"/>
    <x v="1"/>
    <x v="2"/>
    <s v="EE_Narva"/>
    <x v="6"/>
    <x v="5"/>
    <s v="Narva-EJ-TG7"/>
    <x v="9"/>
    <x v="9"/>
    <n v="20.344588244424799"/>
    <n v="1237.62911820251"/>
    <n v="4455.4648255290203"/>
  </r>
  <r>
    <x v="0"/>
    <x v="0"/>
    <x v="0"/>
    <x v="1"/>
    <x v="2"/>
    <s v="EE_Narva"/>
    <x v="6"/>
    <x v="5"/>
    <s v="Narva-EJ-TG8"/>
    <x v="0"/>
    <x v="0"/>
    <n v="194"/>
    <n v="11801.666666666701"/>
    <n v="42486"/>
  </r>
  <r>
    <x v="0"/>
    <x v="0"/>
    <x v="0"/>
    <x v="1"/>
    <x v="2"/>
    <s v="EE_Narva"/>
    <x v="6"/>
    <x v="5"/>
    <s v="Narva-EJ-TG8"/>
    <x v="0"/>
    <x v="1"/>
    <n v="194"/>
    <n v="11801.666666666701"/>
    <n v="42486"/>
  </r>
  <r>
    <x v="0"/>
    <x v="0"/>
    <x v="0"/>
    <x v="1"/>
    <x v="2"/>
    <s v="EE_Narva"/>
    <x v="6"/>
    <x v="5"/>
    <s v="Narva-EJ-TG8"/>
    <x v="0"/>
    <x v="2"/>
    <n v="194"/>
    <n v="11801.666666666701"/>
    <n v="42486"/>
  </r>
  <r>
    <x v="0"/>
    <x v="0"/>
    <x v="0"/>
    <x v="1"/>
    <x v="2"/>
    <s v="EE_Narva"/>
    <x v="6"/>
    <x v="5"/>
    <s v="Narva-EJ-TG8"/>
    <x v="0"/>
    <x v="3"/>
    <n v="194"/>
    <n v="11801.666666666701"/>
    <n v="42486"/>
  </r>
  <r>
    <x v="0"/>
    <x v="0"/>
    <x v="0"/>
    <x v="1"/>
    <x v="2"/>
    <s v="EE_Narva"/>
    <x v="6"/>
    <x v="5"/>
    <s v="Narva-EJ-TG8"/>
    <x v="0"/>
    <x v="4"/>
    <n v="194"/>
    <n v="11801.666666666701"/>
    <n v="42486"/>
  </r>
  <r>
    <x v="0"/>
    <x v="0"/>
    <x v="0"/>
    <x v="1"/>
    <x v="2"/>
    <s v="EE_Narva"/>
    <x v="6"/>
    <x v="5"/>
    <s v="Narva-EJ-TG8"/>
    <x v="0"/>
    <x v="5"/>
    <n v="194"/>
    <n v="11801.666666666701"/>
    <n v="42486"/>
  </r>
  <r>
    <x v="0"/>
    <x v="0"/>
    <x v="0"/>
    <x v="1"/>
    <x v="2"/>
    <s v="EE_Narva"/>
    <x v="6"/>
    <x v="5"/>
    <s v="Narva-EJ-TG8"/>
    <x v="0"/>
    <x v="6"/>
    <n v="194"/>
    <n v="11801.666666666701"/>
    <n v="42486"/>
  </r>
  <r>
    <x v="0"/>
    <x v="0"/>
    <x v="0"/>
    <x v="1"/>
    <x v="2"/>
    <s v="EE_Narva"/>
    <x v="6"/>
    <x v="5"/>
    <s v="Narva-EJ-TG8"/>
    <x v="0"/>
    <x v="7"/>
    <n v="194"/>
    <n v="11801.666666666701"/>
    <n v="42486"/>
  </r>
  <r>
    <x v="0"/>
    <x v="0"/>
    <x v="0"/>
    <x v="1"/>
    <x v="2"/>
    <s v="EE_Narva"/>
    <x v="6"/>
    <x v="5"/>
    <s v="Narva-EJ-TG8"/>
    <x v="0"/>
    <x v="8"/>
    <n v="194"/>
    <n v="11801.666666666701"/>
    <n v="42486"/>
  </r>
  <r>
    <x v="0"/>
    <x v="0"/>
    <x v="0"/>
    <x v="1"/>
    <x v="2"/>
    <s v="EE_Narva"/>
    <x v="6"/>
    <x v="5"/>
    <s v="Narva-EJ-TG8"/>
    <x v="0"/>
    <x v="9"/>
    <n v="194"/>
    <n v="11801.666666666701"/>
    <n v="42486"/>
  </r>
  <r>
    <x v="0"/>
    <x v="0"/>
    <x v="0"/>
    <x v="1"/>
    <x v="2"/>
    <s v="EE_Narva"/>
    <x v="6"/>
    <x v="5"/>
    <s v="Narva-EJ-TG8"/>
    <x v="0"/>
    <x v="10"/>
    <n v="194"/>
    <n v="11801.666666666701"/>
    <n v="42486"/>
  </r>
  <r>
    <x v="0"/>
    <x v="0"/>
    <x v="0"/>
    <x v="1"/>
    <x v="2"/>
    <s v="EE_Narva"/>
    <x v="6"/>
    <x v="5"/>
    <s v="Narva-EJ-TG8"/>
    <x v="0"/>
    <x v="11"/>
    <n v="194"/>
    <n v="11801.666666666701"/>
    <n v="42486"/>
  </r>
  <r>
    <x v="0"/>
    <x v="0"/>
    <x v="0"/>
    <x v="1"/>
    <x v="2"/>
    <s v="EE_Narva"/>
    <x v="6"/>
    <x v="5"/>
    <s v="Narva-EJ-TG8"/>
    <x v="1"/>
    <x v="0"/>
    <n v="194"/>
    <n v="11801.666666666701"/>
    <n v="42486"/>
  </r>
  <r>
    <x v="0"/>
    <x v="0"/>
    <x v="0"/>
    <x v="1"/>
    <x v="2"/>
    <s v="EE_Narva"/>
    <x v="6"/>
    <x v="5"/>
    <s v="Narva-EJ-TG8"/>
    <x v="1"/>
    <x v="1"/>
    <n v="194"/>
    <n v="11801.666666666701"/>
    <n v="42486"/>
  </r>
  <r>
    <x v="0"/>
    <x v="0"/>
    <x v="0"/>
    <x v="1"/>
    <x v="2"/>
    <s v="EE_Narva"/>
    <x v="6"/>
    <x v="5"/>
    <s v="Narva-EJ-TG8"/>
    <x v="1"/>
    <x v="2"/>
    <n v="194"/>
    <n v="11801.666666666701"/>
    <n v="42486"/>
  </r>
  <r>
    <x v="0"/>
    <x v="0"/>
    <x v="0"/>
    <x v="1"/>
    <x v="2"/>
    <s v="EE_Narva"/>
    <x v="6"/>
    <x v="5"/>
    <s v="Narva-EJ-TG8"/>
    <x v="1"/>
    <x v="3"/>
    <n v="194"/>
    <n v="11801.666666666701"/>
    <n v="42486"/>
  </r>
  <r>
    <x v="0"/>
    <x v="0"/>
    <x v="0"/>
    <x v="1"/>
    <x v="2"/>
    <s v="EE_Narva"/>
    <x v="6"/>
    <x v="5"/>
    <s v="Narva-EJ-TG8"/>
    <x v="1"/>
    <x v="4"/>
    <n v="194"/>
    <n v="11801.666666666701"/>
    <n v="42486"/>
  </r>
  <r>
    <x v="0"/>
    <x v="0"/>
    <x v="0"/>
    <x v="1"/>
    <x v="2"/>
    <s v="EE_Narva"/>
    <x v="6"/>
    <x v="5"/>
    <s v="Narva-EJ-TG8"/>
    <x v="1"/>
    <x v="5"/>
    <n v="194"/>
    <n v="11801.666666666701"/>
    <n v="42486"/>
  </r>
  <r>
    <x v="0"/>
    <x v="0"/>
    <x v="0"/>
    <x v="1"/>
    <x v="2"/>
    <s v="EE_Narva"/>
    <x v="6"/>
    <x v="5"/>
    <s v="Narva-EJ-TG8"/>
    <x v="1"/>
    <x v="6"/>
    <n v="194"/>
    <n v="11801.666666666701"/>
    <n v="42486"/>
  </r>
  <r>
    <x v="0"/>
    <x v="0"/>
    <x v="0"/>
    <x v="1"/>
    <x v="2"/>
    <s v="EE_Narva"/>
    <x v="6"/>
    <x v="5"/>
    <s v="Narva-EJ-TG8"/>
    <x v="1"/>
    <x v="7"/>
    <n v="194"/>
    <n v="11801.666666666701"/>
    <n v="42486"/>
  </r>
  <r>
    <x v="0"/>
    <x v="0"/>
    <x v="0"/>
    <x v="1"/>
    <x v="2"/>
    <s v="EE_Narva"/>
    <x v="6"/>
    <x v="5"/>
    <s v="Narva-EJ-TG8"/>
    <x v="1"/>
    <x v="8"/>
    <n v="194"/>
    <n v="11801.666666666701"/>
    <n v="42486"/>
  </r>
  <r>
    <x v="0"/>
    <x v="0"/>
    <x v="0"/>
    <x v="1"/>
    <x v="2"/>
    <s v="EE_Narva"/>
    <x v="6"/>
    <x v="5"/>
    <s v="Narva-EJ-TG8"/>
    <x v="1"/>
    <x v="9"/>
    <n v="194"/>
    <n v="11801.666666666701"/>
    <n v="42486"/>
  </r>
  <r>
    <x v="0"/>
    <x v="0"/>
    <x v="0"/>
    <x v="1"/>
    <x v="2"/>
    <s v="EE_Narva"/>
    <x v="6"/>
    <x v="5"/>
    <s v="Narva-EJ-TG8"/>
    <x v="1"/>
    <x v="10"/>
    <n v="194"/>
    <n v="11801.666666666701"/>
    <n v="42486"/>
  </r>
  <r>
    <x v="0"/>
    <x v="0"/>
    <x v="0"/>
    <x v="1"/>
    <x v="2"/>
    <s v="EE_Narva"/>
    <x v="6"/>
    <x v="5"/>
    <s v="Narva-EJ-TG8"/>
    <x v="1"/>
    <x v="11"/>
    <n v="194"/>
    <n v="11801.666666666701"/>
    <n v="42486"/>
  </r>
  <r>
    <x v="0"/>
    <x v="0"/>
    <x v="0"/>
    <x v="1"/>
    <x v="2"/>
    <s v="EE_Narva"/>
    <x v="6"/>
    <x v="5"/>
    <s v="Narva-EJ-TG8"/>
    <x v="2"/>
    <x v="0"/>
    <n v="194"/>
    <n v="11801.666666666701"/>
    <n v="42486"/>
  </r>
  <r>
    <x v="0"/>
    <x v="0"/>
    <x v="0"/>
    <x v="1"/>
    <x v="2"/>
    <s v="EE_Narva"/>
    <x v="6"/>
    <x v="5"/>
    <s v="Narva-EJ-TG8"/>
    <x v="2"/>
    <x v="1"/>
    <n v="194"/>
    <n v="11801.666666666701"/>
    <n v="42486"/>
  </r>
  <r>
    <x v="0"/>
    <x v="0"/>
    <x v="0"/>
    <x v="1"/>
    <x v="2"/>
    <s v="EE_Narva"/>
    <x v="6"/>
    <x v="5"/>
    <s v="Narva-EJ-TG8"/>
    <x v="2"/>
    <x v="2"/>
    <n v="194"/>
    <n v="11801.666666666701"/>
    <n v="42486"/>
  </r>
  <r>
    <x v="0"/>
    <x v="0"/>
    <x v="0"/>
    <x v="1"/>
    <x v="2"/>
    <s v="EE_Narva"/>
    <x v="6"/>
    <x v="5"/>
    <s v="Narva-EJ-TG8"/>
    <x v="2"/>
    <x v="3"/>
    <n v="194"/>
    <n v="11801.666666666701"/>
    <n v="42486"/>
  </r>
  <r>
    <x v="0"/>
    <x v="0"/>
    <x v="0"/>
    <x v="1"/>
    <x v="2"/>
    <s v="EE_Narva"/>
    <x v="6"/>
    <x v="5"/>
    <s v="Narva-EJ-TG8"/>
    <x v="2"/>
    <x v="4"/>
    <n v="194"/>
    <n v="11801.666666666701"/>
    <n v="42486"/>
  </r>
  <r>
    <x v="0"/>
    <x v="0"/>
    <x v="0"/>
    <x v="1"/>
    <x v="2"/>
    <s v="EE_Narva"/>
    <x v="6"/>
    <x v="5"/>
    <s v="Narva-EJ-TG8"/>
    <x v="2"/>
    <x v="5"/>
    <n v="194"/>
    <n v="11801.666666666701"/>
    <n v="42486"/>
  </r>
  <r>
    <x v="0"/>
    <x v="0"/>
    <x v="0"/>
    <x v="1"/>
    <x v="2"/>
    <s v="EE_Narva"/>
    <x v="6"/>
    <x v="5"/>
    <s v="Narva-EJ-TG8"/>
    <x v="2"/>
    <x v="6"/>
    <n v="194"/>
    <n v="11801.666666666701"/>
    <n v="42486"/>
  </r>
  <r>
    <x v="0"/>
    <x v="0"/>
    <x v="0"/>
    <x v="1"/>
    <x v="2"/>
    <s v="EE_Narva"/>
    <x v="6"/>
    <x v="5"/>
    <s v="Narva-EJ-TG8"/>
    <x v="2"/>
    <x v="7"/>
    <n v="194"/>
    <n v="11801.666666666701"/>
    <n v="42486"/>
  </r>
  <r>
    <x v="0"/>
    <x v="0"/>
    <x v="0"/>
    <x v="1"/>
    <x v="2"/>
    <s v="EE_Narva"/>
    <x v="6"/>
    <x v="5"/>
    <s v="Narva-EJ-TG8"/>
    <x v="2"/>
    <x v="8"/>
    <n v="194"/>
    <n v="11801.666666666701"/>
    <n v="42486"/>
  </r>
  <r>
    <x v="0"/>
    <x v="0"/>
    <x v="0"/>
    <x v="1"/>
    <x v="2"/>
    <s v="EE_Narva"/>
    <x v="6"/>
    <x v="5"/>
    <s v="Narva-EJ-TG8"/>
    <x v="2"/>
    <x v="9"/>
    <n v="194"/>
    <n v="11801.666666666701"/>
    <n v="42486"/>
  </r>
  <r>
    <x v="0"/>
    <x v="0"/>
    <x v="0"/>
    <x v="1"/>
    <x v="2"/>
    <s v="EE_Narva"/>
    <x v="6"/>
    <x v="5"/>
    <s v="Narva-EJ-TG8"/>
    <x v="2"/>
    <x v="10"/>
    <n v="194"/>
    <n v="11801.666666666701"/>
    <n v="42486"/>
  </r>
  <r>
    <x v="0"/>
    <x v="0"/>
    <x v="0"/>
    <x v="1"/>
    <x v="2"/>
    <s v="EE_Narva"/>
    <x v="6"/>
    <x v="5"/>
    <s v="Narva-EJ-TG8"/>
    <x v="2"/>
    <x v="11"/>
    <n v="194"/>
    <n v="11801.666666666701"/>
    <n v="42486"/>
  </r>
  <r>
    <x v="0"/>
    <x v="0"/>
    <x v="0"/>
    <x v="1"/>
    <x v="2"/>
    <s v="EE_Narva"/>
    <x v="6"/>
    <x v="5"/>
    <s v="Narva-EJ-TG8"/>
    <x v="3"/>
    <x v="0"/>
    <n v="194"/>
    <n v="11801.666666666701"/>
    <n v="42486"/>
  </r>
  <r>
    <x v="0"/>
    <x v="0"/>
    <x v="0"/>
    <x v="1"/>
    <x v="2"/>
    <s v="EE_Narva"/>
    <x v="6"/>
    <x v="5"/>
    <s v="Narva-EJ-TG8"/>
    <x v="3"/>
    <x v="1"/>
    <n v="194"/>
    <n v="11801.666666666701"/>
    <n v="42486"/>
  </r>
  <r>
    <x v="0"/>
    <x v="0"/>
    <x v="0"/>
    <x v="1"/>
    <x v="2"/>
    <s v="EE_Narva"/>
    <x v="6"/>
    <x v="5"/>
    <s v="Narva-EJ-TG8"/>
    <x v="3"/>
    <x v="2"/>
    <n v="194"/>
    <n v="11801.666666666701"/>
    <n v="42486"/>
  </r>
  <r>
    <x v="0"/>
    <x v="0"/>
    <x v="0"/>
    <x v="1"/>
    <x v="2"/>
    <s v="EE_Narva"/>
    <x v="6"/>
    <x v="5"/>
    <s v="Narva-EJ-TG8"/>
    <x v="3"/>
    <x v="3"/>
    <n v="194"/>
    <n v="11801.666666666701"/>
    <n v="42486"/>
  </r>
  <r>
    <x v="0"/>
    <x v="0"/>
    <x v="0"/>
    <x v="1"/>
    <x v="2"/>
    <s v="EE_Narva"/>
    <x v="6"/>
    <x v="5"/>
    <s v="Narva-EJ-TG8"/>
    <x v="3"/>
    <x v="4"/>
    <n v="194"/>
    <n v="11801.666666666701"/>
    <n v="42486"/>
  </r>
  <r>
    <x v="0"/>
    <x v="0"/>
    <x v="0"/>
    <x v="1"/>
    <x v="2"/>
    <s v="EE_Narva"/>
    <x v="6"/>
    <x v="5"/>
    <s v="Narva-EJ-TG8"/>
    <x v="3"/>
    <x v="5"/>
    <n v="194"/>
    <n v="11801.666666666701"/>
    <n v="42486"/>
  </r>
  <r>
    <x v="0"/>
    <x v="0"/>
    <x v="0"/>
    <x v="1"/>
    <x v="2"/>
    <s v="EE_Narva"/>
    <x v="6"/>
    <x v="5"/>
    <s v="Narva-EJ-TG8"/>
    <x v="3"/>
    <x v="6"/>
    <n v="194"/>
    <n v="11801.666666666701"/>
    <n v="42486"/>
  </r>
  <r>
    <x v="0"/>
    <x v="0"/>
    <x v="0"/>
    <x v="1"/>
    <x v="2"/>
    <s v="EE_Narva"/>
    <x v="6"/>
    <x v="5"/>
    <s v="Narva-EJ-TG8"/>
    <x v="3"/>
    <x v="7"/>
    <n v="194"/>
    <n v="11801.666666666701"/>
    <n v="42486"/>
  </r>
  <r>
    <x v="0"/>
    <x v="0"/>
    <x v="0"/>
    <x v="1"/>
    <x v="2"/>
    <s v="EE_Narva"/>
    <x v="6"/>
    <x v="5"/>
    <s v="Narva-EJ-TG8"/>
    <x v="3"/>
    <x v="8"/>
    <n v="194"/>
    <n v="11801.666666666701"/>
    <n v="42486"/>
  </r>
  <r>
    <x v="0"/>
    <x v="0"/>
    <x v="0"/>
    <x v="1"/>
    <x v="2"/>
    <s v="EE_Narva"/>
    <x v="6"/>
    <x v="5"/>
    <s v="Narva-EJ-TG8"/>
    <x v="3"/>
    <x v="9"/>
    <n v="194"/>
    <n v="11801.666666666701"/>
    <n v="42486"/>
  </r>
  <r>
    <x v="0"/>
    <x v="0"/>
    <x v="0"/>
    <x v="1"/>
    <x v="2"/>
    <s v="EE_Narva"/>
    <x v="6"/>
    <x v="5"/>
    <s v="Narva-EJ-TG8"/>
    <x v="3"/>
    <x v="10"/>
    <n v="194"/>
    <n v="11801.666666666701"/>
    <n v="42486"/>
  </r>
  <r>
    <x v="0"/>
    <x v="0"/>
    <x v="0"/>
    <x v="1"/>
    <x v="2"/>
    <s v="EE_Narva"/>
    <x v="6"/>
    <x v="5"/>
    <s v="Narva-EJ-TG8"/>
    <x v="3"/>
    <x v="11"/>
    <n v="194"/>
    <n v="11801.666666666701"/>
    <n v="42486"/>
  </r>
  <r>
    <x v="0"/>
    <x v="0"/>
    <x v="0"/>
    <x v="1"/>
    <x v="2"/>
    <s v="EE_Narva"/>
    <x v="6"/>
    <x v="5"/>
    <s v="Narva-EJ-TG8"/>
    <x v="4"/>
    <x v="0"/>
    <n v="194"/>
    <n v="11801.666666666701"/>
    <n v="42486"/>
  </r>
  <r>
    <x v="0"/>
    <x v="0"/>
    <x v="0"/>
    <x v="1"/>
    <x v="2"/>
    <s v="EE_Narva"/>
    <x v="6"/>
    <x v="5"/>
    <s v="Narva-EJ-TG8"/>
    <x v="4"/>
    <x v="1"/>
    <n v="194"/>
    <n v="11801.666666666701"/>
    <n v="42486"/>
  </r>
  <r>
    <x v="0"/>
    <x v="0"/>
    <x v="0"/>
    <x v="1"/>
    <x v="2"/>
    <s v="EE_Narva"/>
    <x v="6"/>
    <x v="5"/>
    <s v="Narva-EJ-TG8"/>
    <x v="4"/>
    <x v="2"/>
    <n v="194"/>
    <n v="11801.666666666701"/>
    <n v="42486"/>
  </r>
  <r>
    <x v="0"/>
    <x v="0"/>
    <x v="0"/>
    <x v="1"/>
    <x v="2"/>
    <s v="EE_Narva"/>
    <x v="6"/>
    <x v="5"/>
    <s v="Narva-EJ-TG8"/>
    <x v="4"/>
    <x v="3"/>
    <n v="194"/>
    <n v="11801.666666666701"/>
    <n v="42486"/>
  </r>
  <r>
    <x v="0"/>
    <x v="0"/>
    <x v="0"/>
    <x v="1"/>
    <x v="2"/>
    <s v="EE_Narva"/>
    <x v="6"/>
    <x v="5"/>
    <s v="Narva-EJ-TG8"/>
    <x v="4"/>
    <x v="4"/>
    <n v="194"/>
    <n v="11801.666666666701"/>
    <n v="42486"/>
  </r>
  <r>
    <x v="0"/>
    <x v="0"/>
    <x v="0"/>
    <x v="1"/>
    <x v="2"/>
    <s v="EE_Narva"/>
    <x v="6"/>
    <x v="5"/>
    <s v="Narva-EJ-TG8"/>
    <x v="4"/>
    <x v="5"/>
    <n v="194"/>
    <n v="11801.666666666701"/>
    <n v="42486"/>
  </r>
  <r>
    <x v="0"/>
    <x v="0"/>
    <x v="0"/>
    <x v="1"/>
    <x v="2"/>
    <s v="EE_Narva"/>
    <x v="6"/>
    <x v="5"/>
    <s v="Narva-EJ-TG8"/>
    <x v="4"/>
    <x v="6"/>
    <n v="194"/>
    <n v="11801.666666666701"/>
    <n v="42486"/>
  </r>
  <r>
    <x v="0"/>
    <x v="0"/>
    <x v="0"/>
    <x v="1"/>
    <x v="2"/>
    <s v="EE_Narva"/>
    <x v="6"/>
    <x v="5"/>
    <s v="Narva-EJ-TG8"/>
    <x v="4"/>
    <x v="7"/>
    <n v="194"/>
    <n v="11801.666666666701"/>
    <n v="42486"/>
  </r>
  <r>
    <x v="0"/>
    <x v="0"/>
    <x v="0"/>
    <x v="1"/>
    <x v="2"/>
    <s v="EE_Narva"/>
    <x v="6"/>
    <x v="5"/>
    <s v="Narva-EJ-TG8"/>
    <x v="4"/>
    <x v="8"/>
    <n v="194"/>
    <n v="11801.666666666701"/>
    <n v="42486"/>
  </r>
  <r>
    <x v="0"/>
    <x v="0"/>
    <x v="0"/>
    <x v="1"/>
    <x v="2"/>
    <s v="EE_Narva"/>
    <x v="6"/>
    <x v="5"/>
    <s v="Narva-EJ-TG8"/>
    <x v="4"/>
    <x v="9"/>
    <n v="194"/>
    <n v="11801.666666666701"/>
    <n v="42486"/>
  </r>
  <r>
    <x v="0"/>
    <x v="0"/>
    <x v="0"/>
    <x v="1"/>
    <x v="2"/>
    <s v="EE_Narva"/>
    <x v="6"/>
    <x v="5"/>
    <s v="Narva-EJ-TG8"/>
    <x v="4"/>
    <x v="10"/>
    <n v="194"/>
    <n v="11801.666666666701"/>
    <n v="42486"/>
  </r>
  <r>
    <x v="0"/>
    <x v="0"/>
    <x v="0"/>
    <x v="1"/>
    <x v="2"/>
    <s v="EE_Narva"/>
    <x v="6"/>
    <x v="5"/>
    <s v="Narva-EJ-TG8"/>
    <x v="4"/>
    <x v="11"/>
    <n v="194"/>
    <n v="11801.666666666701"/>
    <n v="42486"/>
  </r>
  <r>
    <x v="0"/>
    <x v="0"/>
    <x v="0"/>
    <x v="1"/>
    <x v="2"/>
    <s v="EE_Narva"/>
    <x v="6"/>
    <x v="5"/>
    <s v="Narva-EJ-TG8"/>
    <x v="5"/>
    <x v="0"/>
    <n v="194"/>
    <n v="11801.666666666701"/>
    <n v="42486"/>
  </r>
  <r>
    <x v="0"/>
    <x v="0"/>
    <x v="0"/>
    <x v="1"/>
    <x v="2"/>
    <s v="EE_Narva"/>
    <x v="6"/>
    <x v="5"/>
    <s v="Narva-EJ-TG8"/>
    <x v="5"/>
    <x v="1"/>
    <n v="194"/>
    <n v="11801.666666666701"/>
    <n v="42486"/>
  </r>
  <r>
    <x v="0"/>
    <x v="0"/>
    <x v="0"/>
    <x v="1"/>
    <x v="2"/>
    <s v="EE_Narva"/>
    <x v="6"/>
    <x v="5"/>
    <s v="Narva-EJ-TG8"/>
    <x v="5"/>
    <x v="2"/>
    <n v="194"/>
    <n v="11801.666666666701"/>
    <n v="42486"/>
  </r>
  <r>
    <x v="0"/>
    <x v="0"/>
    <x v="0"/>
    <x v="1"/>
    <x v="2"/>
    <s v="EE_Narva"/>
    <x v="6"/>
    <x v="5"/>
    <s v="Narva-EJ-TG8"/>
    <x v="5"/>
    <x v="3"/>
    <n v="194"/>
    <n v="11801.666666666701"/>
    <n v="42486"/>
  </r>
  <r>
    <x v="0"/>
    <x v="0"/>
    <x v="0"/>
    <x v="1"/>
    <x v="2"/>
    <s v="EE_Narva"/>
    <x v="6"/>
    <x v="5"/>
    <s v="Narva-EJ-TG8"/>
    <x v="5"/>
    <x v="4"/>
    <n v="194"/>
    <n v="11801.666666666701"/>
    <n v="42486"/>
  </r>
  <r>
    <x v="0"/>
    <x v="0"/>
    <x v="0"/>
    <x v="1"/>
    <x v="2"/>
    <s v="EE_Narva"/>
    <x v="6"/>
    <x v="5"/>
    <s v="Narva-EJ-TG8"/>
    <x v="5"/>
    <x v="5"/>
    <n v="194"/>
    <n v="11801.666666666701"/>
    <n v="42486"/>
  </r>
  <r>
    <x v="0"/>
    <x v="0"/>
    <x v="0"/>
    <x v="1"/>
    <x v="2"/>
    <s v="EE_Narva"/>
    <x v="6"/>
    <x v="5"/>
    <s v="Narva-EJ-TG8"/>
    <x v="5"/>
    <x v="6"/>
    <n v="194"/>
    <n v="11801.666666666701"/>
    <n v="42486"/>
  </r>
  <r>
    <x v="0"/>
    <x v="0"/>
    <x v="0"/>
    <x v="1"/>
    <x v="2"/>
    <s v="EE_Narva"/>
    <x v="6"/>
    <x v="5"/>
    <s v="Narva-EJ-TG8"/>
    <x v="5"/>
    <x v="7"/>
    <n v="194"/>
    <n v="11801.666666666701"/>
    <n v="42486"/>
  </r>
  <r>
    <x v="0"/>
    <x v="0"/>
    <x v="0"/>
    <x v="1"/>
    <x v="2"/>
    <s v="EE_Narva"/>
    <x v="6"/>
    <x v="5"/>
    <s v="Narva-EJ-TG8"/>
    <x v="5"/>
    <x v="8"/>
    <n v="194"/>
    <n v="11801.666666666701"/>
    <n v="42486"/>
  </r>
  <r>
    <x v="0"/>
    <x v="0"/>
    <x v="0"/>
    <x v="1"/>
    <x v="2"/>
    <s v="EE_Narva"/>
    <x v="6"/>
    <x v="5"/>
    <s v="Narva-EJ-TG8"/>
    <x v="5"/>
    <x v="9"/>
    <n v="194"/>
    <n v="11801.666666666701"/>
    <n v="42486"/>
  </r>
  <r>
    <x v="0"/>
    <x v="0"/>
    <x v="0"/>
    <x v="1"/>
    <x v="2"/>
    <s v="EE_Narva"/>
    <x v="6"/>
    <x v="5"/>
    <s v="Narva-EJ-TG8"/>
    <x v="5"/>
    <x v="10"/>
    <n v="194"/>
    <n v="11801.666666666701"/>
    <n v="42486"/>
  </r>
  <r>
    <x v="0"/>
    <x v="0"/>
    <x v="0"/>
    <x v="1"/>
    <x v="2"/>
    <s v="EE_Narva"/>
    <x v="6"/>
    <x v="5"/>
    <s v="Narva-EJ-TG8"/>
    <x v="5"/>
    <x v="11"/>
    <n v="194"/>
    <n v="11801.666666666701"/>
    <n v="42486"/>
  </r>
  <r>
    <x v="0"/>
    <x v="0"/>
    <x v="0"/>
    <x v="1"/>
    <x v="2"/>
    <s v="EE_Narva"/>
    <x v="6"/>
    <x v="5"/>
    <s v="Narva-EJ-TG8"/>
    <x v="6"/>
    <x v="0"/>
    <n v="194"/>
    <n v="11801.666666666701"/>
    <n v="42486"/>
  </r>
  <r>
    <x v="0"/>
    <x v="0"/>
    <x v="0"/>
    <x v="1"/>
    <x v="2"/>
    <s v="EE_Narva"/>
    <x v="6"/>
    <x v="5"/>
    <s v="Narva-EJ-TG8"/>
    <x v="6"/>
    <x v="1"/>
    <n v="194"/>
    <n v="11801.666666666701"/>
    <n v="42486"/>
  </r>
  <r>
    <x v="0"/>
    <x v="0"/>
    <x v="0"/>
    <x v="1"/>
    <x v="2"/>
    <s v="EE_Narva"/>
    <x v="6"/>
    <x v="5"/>
    <s v="Narva-EJ-TG8"/>
    <x v="6"/>
    <x v="2"/>
    <n v="194"/>
    <n v="11801.666666666701"/>
    <n v="42486"/>
  </r>
  <r>
    <x v="0"/>
    <x v="0"/>
    <x v="0"/>
    <x v="1"/>
    <x v="2"/>
    <s v="EE_Narva"/>
    <x v="6"/>
    <x v="5"/>
    <s v="Narva-EJ-TG8"/>
    <x v="6"/>
    <x v="3"/>
    <n v="194"/>
    <n v="11801.666666666701"/>
    <n v="42486"/>
  </r>
  <r>
    <x v="0"/>
    <x v="0"/>
    <x v="0"/>
    <x v="1"/>
    <x v="2"/>
    <s v="EE_Narva"/>
    <x v="6"/>
    <x v="5"/>
    <s v="Narva-EJ-TG8"/>
    <x v="6"/>
    <x v="4"/>
    <n v="194"/>
    <n v="11801.666666666701"/>
    <n v="42486"/>
  </r>
  <r>
    <x v="0"/>
    <x v="0"/>
    <x v="0"/>
    <x v="1"/>
    <x v="2"/>
    <s v="EE_Narva"/>
    <x v="6"/>
    <x v="5"/>
    <s v="Narva-EJ-TG8"/>
    <x v="6"/>
    <x v="5"/>
    <n v="194"/>
    <n v="11801.666666666701"/>
    <n v="42486"/>
  </r>
  <r>
    <x v="0"/>
    <x v="0"/>
    <x v="0"/>
    <x v="1"/>
    <x v="2"/>
    <s v="EE_Narva"/>
    <x v="6"/>
    <x v="5"/>
    <s v="Narva-EJ-TG8"/>
    <x v="6"/>
    <x v="6"/>
    <n v="194"/>
    <n v="11801.666666666701"/>
    <n v="42486"/>
  </r>
  <r>
    <x v="0"/>
    <x v="0"/>
    <x v="0"/>
    <x v="1"/>
    <x v="2"/>
    <s v="EE_Narva"/>
    <x v="6"/>
    <x v="5"/>
    <s v="Narva-EJ-TG8"/>
    <x v="6"/>
    <x v="7"/>
    <n v="194"/>
    <n v="11801.666666666701"/>
    <n v="42486"/>
  </r>
  <r>
    <x v="0"/>
    <x v="0"/>
    <x v="0"/>
    <x v="1"/>
    <x v="2"/>
    <s v="EE_Narva"/>
    <x v="6"/>
    <x v="5"/>
    <s v="Narva-EJ-TG8"/>
    <x v="6"/>
    <x v="8"/>
    <n v="194"/>
    <n v="11801.666666666701"/>
    <n v="42486"/>
  </r>
  <r>
    <x v="0"/>
    <x v="0"/>
    <x v="0"/>
    <x v="1"/>
    <x v="2"/>
    <s v="EE_Narva"/>
    <x v="6"/>
    <x v="5"/>
    <s v="Narva-EJ-TG8"/>
    <x v="6"/>
    <x v="9"/>
    <n v="194"/>
    <n v="11801.666666666701"/>
    <n v="42486"/>
  </r>
  <r>
    <x v="0"/>
    <x v="0"/>
    <x v="0"/>
    <x v="1"/>
    <x v="2"/>
    <s v="EE_Narva"/>
    <x v="6"/>
    <x v="5"/>
    <s v="Narva-EJ-TG8"/>
    <x v="6"/>
    <x v="10"/>
    <n v="194"/>
    <n v="11801.666666666701"/>
    <n v="42486"/>
  </r>
  <r>
    <x v="0"/>
    <x v="0"/>
    <x v="0"/>
    <x v="1"/>
    <x v="2"/>
    <s v="EE_Narva"/>
    <x v="6"/>
    <x v="5"/>
    <s v="Narva-EJ-TG8"/>
    <x v="6"/>
    <x v="11"/>
    <n v="194"/>
    <n v="11801.666666666701"/>
    <n v="42486"/>
  </r>
  <r>
    <x v="0"/>
    <x v="0"/>
    <x v="0"/>
    <x v="1"/>
    <x v="2"/>
    <s v="EE_Narva"/>
    <x v="6"/>
    <x v="5"/>
    <s v="Narva-EJ-TG8"/>
    <x v="7"/>
    <x v="0"/>
    <n v="194"/>
    <n v="11801.666666666701"/>
    <n v="42486"/>
  </r>
  <r>
    <x v="0"/>
    <x v="0"/>
    <x v="0"/>
    <x v="1"/>
    <x v="2"/>
    <s v="EE_Narva"/>
    <x v="6"/>
    <x v="5"/>
    <s v="Narva-EJ-TG8"/>
    <x v="7"/>
    <x v="1"/>
    <n v="194"/>
    <n v="11801.666666666701"/>
    <n v="42486"/>
  </r>
  <r>
    <x v="0"/>
    <x v="0"/>
    <x v="0"/>
    <x v="1"/>
    <x v="2"/>
    <s v="EE_Narva"/>
    <x v="6"/>
    <x v="5"/>
    <s v="Narva-EJ-TG8"/>
    <x v="7"/>
    <x v="2"/>
    <n v="194"/>
    <n v="11801.666666666701"/>
    <n v="42486"/>
  </r>
  <r>
    <x v="0"/>
    <x v="0"/>
    <x v="0"/>
    <x v="1"/>
    <x v="2"/>
    <s v="EE_Narva"/>
    <x v="6"/>
    <x v="5"/>
    <s v="Narva-EJ-TG8"/>
    <x v="7"/>
    <x v="3"/>
    <n v="194"/>
    <n v="11801.666666666701"/>
    <n v="42486"/>
  </r>
  <r>
    <x v="0"/>
    <x v="0"/>
    <x v="0"/>
    <x v="1"/>
    <x v="2"/>
    <s v="EE_Narva"/>
    <x v="6"/>
    <x v="5"/>
    <s v="Narva-EJ-TG8"/>
    <x v="7"/>
    <x v="4"/>
    <n v="194"/>
    <n v="11801.666666666701"/>
    <n v="42486"/>
  </r>
  <r>
    <x v="0"/>
    <x v="0"/>
    <x v="0"/>
    <x v="1"/>
    <x v="2"/>
    <s v="EE_Narva"/>
    <x v="6"/>
    <x v="5"/>
    <s v="Narva-EJ-TG8"/>
    <x v="7"/>
    <x v="5"/>
    <n v="194"/>
    <n v="11801.666666666701"/>
    <n v="42486"/>
  </r>
  <r>
    <x v="0"/>
    <x v="0"/>
    <x v="0"/>
    <x v="1"/>
    <x v="2"/>
    <s v="EE_Narva"/>
    <x v="6"/>
    <x v="5"/>
    <s v="Narva-EJ-TG8"/>
    <x v="7"/>
    <x v="6"/>
    <n v="194"/>
    <n v="11801.666666666701"/>
    <n v="42486"/>
  </r>
  <r>
    <x v="0"/>
    <x v="0"/>
    <x v="0"/>
    <x v="1"/>
    <x v="2"/>
    <s v="EE_Narva"/>
    <x v="6"/>
    <x v="5"/>
    <s v="Narva-EJ-TG8"/>
    <x v="7"/>
    <x v="7"/>
    <n v="194"/>
    <n v="11801.666666666701"/>
    <n v="42486"/>
  </r>
  <r>
    <x v="0"/>
    <x v="0"/>
    <x v="0"/>
    <x v="1"/>
    <x v="2"/>
    <s v="EE_Narva"/>
    <x v="6"/>
    <x v="5"/>
    <s v="Narva-EJ-TG8"/>
    <x v="7"/>
    <x v="8"/>
    <n v="194"/>
    <n v="11801.666666666701"/>
    <n v="42486"/>
  </r>
  <r>
    <x v="0"/>
    <x v="0"/>
    <x v="0"/>
    <x v="1"/>
    <x v="2"/>
    <s v="EE_Narva"/>
    <x v="6"/>
    <x v="5"/>
    <s v="Narva-EJ-TG8"/>
    <x v="7"/>
    <x v="9"/>
    <n v="194"/>
    <n v="11801.666666666701"/>
    <n v="42486"/>
  </r>
  <r>
    <x v="0"/>
    <x v="0"/>
    <x v="0"/>
    <x v="1"/>
    <x v="2"/>
    <s v="EE_Narva"/>
    <x v="6"/>
    <x v="5"/>
    <s v="Narva-EJ-TG8"/>
    <x v="7"/>
    <x v="10"/>
    <n v="194"/>
    <n v="11801.666666666701"/>
    <n v="42486"/>
  </r>
  <r>
    <x v="0"/>
    <x v="0"/>
    <x v="0"/>
    <x v="1"/>
    <x v="2"/>
    <s v="EE_Narva"/>
    <x v="6"/>
    <x v="5"/>
    <s v="Narva-EJ-TG8"/>
    <x v="7"/>
    <x v="11"/>
    <n v="194"/>
    <n v="11801.666666666701"/>
    <n v="42486"/>
  </r>
  <r>
    <x v="0"/>
    <x v="0"/>
    <x v="0"/>
    <x v="1"/>
    <x v="2"/>
    <s v="EE_Narva"/>
    <x v="6"/>
    <x v="5"/>
    <s v="Narva-EJ-TG8"/>
    <x v="8"/>
    <x v="0"/>
    <n v="194"/>
    <n v="11801.666666666701"/>
    <n v="42486"/>
  </r>
  <r>
    <x v="0"/>
    <x v="0"/>
    <x v="0"/>
    <x v="1"/>
    <x v="2"/>
    <s v="EE_Narva"/>
    <x v="6"/>
    <x v="5"/>
    <s v="Narva-EJ-TG8"/>
    <x v="8"/>
    <x v="1"/>
    <n v="194"/>
    <n v="11801.666666666701"/>
    <n v="42486"/>
  </r>
  <r>
    <x v="0"/>
    <x v="0"/>
    <x v="0"/>
    <x v="1"/>
    <x v="2"/>
    <s v="EE_Narva"/>
    <x v="6"/>
    <x v="5"/>
    <s v="Narva-EJ-TG8"/>
    <x v="8"/>
    <x v="2"/>
    <n v="194"/>
    <n v="11801.666666666701"/>
    <n v="42486"/>
  </r>
  <r>
    <x v="0"/>
    <x v="0"/>
    <x v="0"/>
    <x v="1"/>
    <x v="2"/>
    <s v="EE_Narva"/>
    <x v="6"/>
    <x v="5"/>
    <s v="Narva-EJ-TG8"/>
    <x v="8"/>
    <x v="3"/>
    <n v="194"/>
    <n v="11801.666666666701"/>
    <n v="42486"/>
  </r>
  <r>
    <x v="0"/>
    <x v="0"/>
    <x v="0"/>
    <x v="1"/>
    <x v="2"/>
    <s v="EE_Narva"/>
    <x v="6"/>
    <x v="5"/>
    <s v="Narva-EJ-TG8"/>
    <x v="8"/>
    <x v="4"/>
    <n v="194"/>
    <n v="11801.666666666701"/>
    <n v="42486"/>
  </r>
  <r>
    <x v="0"/>
    <x v="0"/>
    <x v="0"/>
    <x v="1"/>
    <x v="2"/>
    <s v="EE_Narva"/>
    <x v="6"/>
    <x v="5"/>
    <s v="Narva-EJ-TG8"/>
    <x v="8"/>
    <x v="5"/>
    <n v="194"/>
    <n v="11801.666666666701"/>
    <n v="42486"/>
  </r>
  <r>
    <x v="0"/>
    <x v="0"/>
    <x v="0"/>
    <x v="1"/>
    <x v="2"/>
    <s v="EE_Narva"/>
    <x v="6"/>
    <x v="5"/>
    <s v="Narva-EJ-TG8"/>
    <x v="8"/>
    <x v="6"/>
    <n v="194"/>
    <n v="11801.666666666701"/>
    <n v="42486"/>
  </r>
  <r>
    <x v="0"/>
    <x v="0"/>
    <x v="0"/>
    <x v="1"/>
    <x v="2"/>
    <s v="EE_Narva"/>
    <x v="6"/>
    <x v="5"/>
    <s v="Narva-EJ-TG8"/>
    <x v="8"/>
    <x v="7"/>
    <n v="194"/>
    <n v="11801.666666666701"/>
    <n v="42486"/>
  </r>
  <r>
    <x v="0"/>
    <x v="0"/>
    <x v="0"/>
    <x v="1"/>
    <x v="2"/>
    <s v="EE_Narva"/>
    <x v="6"/>
    <x v="5"/>
    <s v="Narva-EJ-TG8"/>
    <x v="8"/>
    <x v="8"/>
    <n v="194"/>
    <n v="11801.666666666701"/>
    <n v="42486"/>
  </r>
  <r>
    <x v="0"/>
    <x v="0"/>
    <x v="0"/>
    <x v="1"/>
    <x v="2"/>
    <s v="EE_Narva"/>
    <x v="6"/>
    <x v="5"/>
    <s v="Narva-EJ-TG8"/>
    <x v="8"/>
    <x v="9"/>
    <n v="194"/>
    <n v="11801.666666666701"/>
    <n v="42486"/>
  </r>
  <r>
    <x v="0"/>
    <x v="0"/>
    <x v="0"/>
    <x v="1"/>
    <x v="2"/>
    <s v="EE_Narva"/>
    <x v="6"/>
    <x v="5"/>
    <s v="Narva-EJ-TG8"/>
    <x v="8"/>
    <x v="10"/>
    <n v="194"/>
    <n v="11801.666666666701"/>
    <n v="42486"/>
  </r>
  <r>
    <x v="0"/>
    <x v="0"/>
    <x v="0"/>
    <x v="1"/>
    <x v="2"/>
    <s v="EE_Narva"/>
    <x v="6"/>
    <x v="5"/>
    <s v="Narva-EJ-TG8"/>
    <x v="8"/>
    <x v="11"/>
    <n v="194"/>
    <n v="11801.666666666701"/>
    <n v="42486"/>
  </r>
  <r>
    <x v="0"/>
    <x v="0"/>
    <x v="0"/>
    <x v="1"/>
    <x v="2"/>
    <s v="EE_Narva"/>
    <x v="6"/>
    <x v="5"/>
    <s v="Narva-EJ-TG8"/>
    <x v="9"/>
    <x v="0"/>
    <n v="194"/>
    <n v="11801.666666666701"/>
    <n v="42486"/>
  </r>
  <r>
    <x v="0"/>
    <x v="0"/>
    <x v="0"/>
    <x v="1"/>
    <x v="2"/>
    <s v="EE_Narva"/>
    <x v="6"/>
    <x v="5"/>
    <s v="Narva-EJ-TG8"/>
    <x v="9"/>
    <x v="1"/>
    <n v="194"/>
    <n v="11801.666666666701"/>
    <n v="42486"/>
  </r>
  <r>
    <x v="0"/>
    <x v="0"/>
    <x v="0"/>
    <x v="1"/>
    <x v="2"/>
    <s v="EE_Narva"/>
    <x v="6"/>
    <x v="5"/>
    <s v="Narva-EJ-TG8"/>
    <x v="9"/>
    <x v="2"/>
    <n v="194"/>
    <n v="11801.666666666701"/>
    <n v="42486"/>
  </r>
  <r>
    <x v="0"/>
    <x v="0"/>
    <x v="0"/>
    <x v="1"/>
    <x v="2"/>
    <s v="EE_Narva"/>
    <x v="6"/>
    <x v="5"/>
    <s v="Narva-EJ-TG8"/>
    <x v="9"/>
    <x v="3"/>
    <n v="194"/>
    <n v="11801.666666666701"/>
    <n v="42486"/>
  </r>
  <r>
    <x v="0"/>
    <x v="0"/>
    <x v="0"/>
    <x v="1"/>
    <x v="2"/>
    <s v="EE_Narva"/>
    <x v="6"/>
    <x v="5"/>
    <s v="Narva-EJ-TG8"/>
    <x v="9"/>
    <x v="4"/>
    <n v="194"/>
    <n v="11801.666666666701"/>
    <n v="42486"/>
  </r>
  <r>
    <x v="0"/>
    <x v="0"/>
    <x v="0"/>
    <x v="1"/>
    <x v="2"/>
    <s v="EE_Narva"/>
    <x v="6"/>
    <x v="5"/>
    <s v="Narva-EJ-TG8"/>
    <x v="9"/>
    <x v="5"/>
    <n v="194"/>
    <n v="11801.666666666701"/>
    <n v="42486"/>
  </r>
  <r>
    <x v="0"/>
    <x v="0"/>
    <x v="0"/>
    <x v="1"/>
    <x v="2"/>
    <s v="EE_Narva"/>
    <x v="6"/>
    <x v="5"/>
    <s v="Narva-EJ-TG8"/>
    <x v="9"/>
    <x v="6"/>
    <n v="194"/>
    <n v="11801.666666666701"/>
    <n v="42486"/>
  </r>
  <r>
    <x v="0"/>
    <x v="0"/>
    <x v="0"/>
    <x v="1"/>
    <x v="2"/>
    <s v="EE_Narva"/>
    <x v="6"/>
    <x v="5"/>
    <s v="Narva-EJ-TG8"/>
    <x v="9"/>
    <x v="7"/>
    <n v="194"/>
    <n v="11801.666666666701"/>
    <n v="42486"/>
  </r>
  <r>
    <x v="0"/>
    <x v="0"/>
    <x v="0"/>
    <x v="1"/>
    <x v="2"/>
    <s v="EE_Narva"/>
    <x v="6"/>
    <x v="5"/>
    <s v="Narva-EJ-TG8"/>
    <x v="9"/>
    <x v="8"/>
    <n v="194"/>
    <n v="11801.666666666701"/>
    <n v="42486"/>
  </r>
  <r>
    <x v="0"/>
    <x v="0"/>
    <x v="0"/>
    <x v="1"/>
    <x v="2"/>
    <s v="EE_Narva"/>
    <x v="6"/>
    <x v="5"/>
    <s v="Narva-EJ-TG8"/>
    <x v="9"/>
    <x v="9"/>
    <n v="194"/>
    <n v="11801.666666666701"/>
    <n v="42486"/>
  </r>
  <r>
    <x v="0"/>
    <x v="0"/>
    <x v="0"/>
    <x v="1"/>
    <x v="2"/>
    <s v="EE_Narva"/>
    <x v="6"/>
    <x v="5"/>
    <s v="Narva-EJ-TG8"/>
    <x v="9"/>
    <x v="10"/>
    <n v="194"/>
    <n v="11801.666666666701"/>
    <n v="42486"/>
  </r>
  <r>
    <x v="0"/>
    <x v="0"/>
    <x v="0"/>
    <x v="1"/>
    <x v="2"/>
    <s v="EE_Narva"/>
    <x v="6"/>
    <x v="5"/>
    <s v="Narva-EJ-TG8"/>
    <x v="9"/>
    <x v="11"/>
    <n v="194"/>
    <n v="11801.666666666701"/>
    <n v="42486"/>
  </r>
  <r>
    <x v="0"/>
    <x v="0"/>
    <x v="0"/>
    <x v="1"/>
    <x v="2"/>
    <s v="EE_Narva"/>
    <x v="6"/>
    <x v="5"/>
    <s v="Narva-EJ-TG8"/>
    <x v="10"/>
    <x v="0"/>
    <n v="194"/>
    <n v="11801.666666666701"/>
    <n v="42486"/>
  </r>
  <r>
    <x v="0"/>
    <x v="0"/>
    <x v="0"/>
    <x v="1"/>
    <x v="2"/>
    <s v="EE_Narva"/>
    <x v="6"/>
    <x v="5"/>
    <s v="Narva-EJ-TG8"/>
    <x v="10"/>
    <x v="1"/>
    <n v="194"/>
    <n v="11801.666666666701"/>
    <n v="42486"/>
  </r>
  <r>
    <x v="0"/>
    <x v="0"/>
    <x v="0"/>
    <x v="1"/>
    <x v="2"/>
    <s v="EE_Narva"/>
    <x v="6"/>
    <x v="5"/>
    <s v="Narva-EJ-TG8"/>
    <x v="10"/>
    <x v="2"/>
    <n v="194"/>
    <n v="11801.666666666701"/>
    <n v="42486"/>
  </r>
  <r>
    <x v="0"/>
    <x v="0"/>
    <x v="0"/>
    <x v="1"/>
    <x v="2"/>
    <s v="EE_Narva"/>
    <x v="6"/>
    <x v="5"/>
    <s v="Narva-EJ-TG8"/>
    <x v="10"/>
    <x v="3"/>
    <n v="194"/>
    <n v="11801.666666666701"/>
    <n v="42486"/>
  </r>
  <r>
    <x v="0"/>
    <x v="0"/>
    <x v="0"/>
    <x v="1"/>
    <x v="2"/>
    <s v="EE_Narva"/>
    <x v="6"/>
    <x v="5"/>
    <s v="Narva-EJ-TG8"/>
    <x v="10"/>
    <x v="4"/>
    <n v="194"/>
    <n v="11801.666666666701"/>
    <n v="42486"/>
  </r>
  <r>
    <x v="0"/>
    <x v="0"/>
    <x v="0"/>
    <x v="1"/>
    <x v="2"/>
    <s v="EE_Narva"/>
    <x v="6"/>
    <x v="5"/>
    <s v="Narva-EJ-TG8"/>
    <x v="10"/>
    <x v="5"/>
    <n v="194"/>
    <n v="11801.666666666701"/>
    <n v="42486"/>
  </r>
  <r>
    <x v="0"/>
    <x v="0"/>
    <x v="0"/>
    <x v="1"/>
    <x v="2"/>
    <s v="EE_Narva"/>
    <x v="6"/>
    <x v="5"/>
    <s v="Narva-EJ-TG8"/>
    <x v="10"/>
    <x v="6"/>
    <n v="194"/>
    <n v="11801.666666666701"/>
    <n v="42486"/>
  </r>
  <r>
    <x v="0"/>
    <x v="0"/>
    <x v="0"/>
    <x v="1"/>
    <x v="2"/>
    <s v="EE_Narva"/>
    <x v="6"/>
    <x v="5"/>
    <s v="Narva-EJ-TG8"/>
    <x v="10"/>
    <x v="7"/>
    <n v="194"/>
    <n v="11801.666666666701"/>
    <n v="42486"/>
  </r>
  <r>
    <x v="0"/>
    <x v="0"/>
    <x v="0"/>
    <x v="1"/>
    <x v="2"/>
    <s v="EE_Narva"/>
    <x v="6"/>
    <x v="5"/>
    <s v="Narva-EJ-TG8"/>
    <x v="10"/>
    <x v="8"/>
    <n v="194"/>
    <n v="11801.666666666701"/>
    <n v="42486"/>
  </r>
  <r>
    <x v="0"/>
    <x v="0"/>
    <x v="0"/>
    <x v="1"/>
    <x v="2"/>
    <s v="EE_Narva"/>
    <x v="6"/>
    <x v="5"/>
    <s v="Narva-EJ-TG8"/>
    <x v="10"/>
    <x v="9"/>
    <n v="194"/>
    <n v="11801.666666666701"/>
    <n v="42486"/>
  </r>
  <r>
    <x v="0"/>
    <x v="0"/>
    <x v="0"/>
    <x v="1"/>
    <x v="2"/>
    <s v="EE_Narva"/>
    <x v="6"/>
    <x v="5"/>
    <s v="Narva-EJ-TG8"/>
    <x v="10"/>
    <x v="10"/>
    <n v="194"/>
    <n v="11801.666666666701"/>
    <n v="42486"/>
  </r>
  <r>
    <x v="0"/>
    <x v="0"/>
    <x v="0"/>
    <x v="1"/>
    <x v="2"/>
    <s v="EE_Narva"/>
    <x v="6"/>
    <x v="5"/>
    <s v="Narva-EJ-TG8"/>
    <x v="10"/>
    <x v="11"/>
    <n v="194"/>
    <n v="11801.666666666701"/>
    <n v="42486"/>
  </r>
  <r>
    <x v="0"/>
    <x v="0"/>
    <x v="0"/>
    <x v="1"/>
    <x v="2"/>
    <s v="EE_Narva"/>
    <x v="6"/>
    <x v="5"/>
    <s v="Narva-EJ-TG8"/>
    <x v="11"/>
    <x v="0"/>
    <n v="194"/>
    <n v="11801.666666666701"/>
    <n v="42486"/>
  </r>
  <r>
    <x v="0"/>
    <x v="0"/>
    <x v="0"/>
    <x v="1"/>
    <x v="2"/>
    <s v="EE_Narva"/>
    <x v="6"/>
    <x v="5"/>
    <s v="Narva-EJ-TG8"/>
    <x v="11"/>
    <x v="1"/>
    <n v="194"/>
    <n v="11801.666666666701"/>
    <n v="42486"/>
  </r>
  <r>
    <x v="0"/>
    <x v="0"/>
    <x v="0"/>
    <x v="1"/>
    <x v="2"/>
    <s v="EE_Narva"/>
    <x v="6"/>
    <x v="5"/>
    <s v="Narva-EJ-TG8"/>
    <x v="11"/>
    <x v="2"/>
    <n v="194"/>
    <n v="11801.666666666701"/>
    <n v="42486"/>
  </r>
  <r>
    <x v="0"/>
    <x v="0"/>
    <x v="0"/>
    <x v="1"/>
    <x v="2"/>
    <s v="EE_Narva"/>
    <x v="6"/>
    <x v="5"/>
    <s v="Narva-EJ-TG8"/>
    <x v="11"/>
    <x v="3"/>
    <n v="194"/>
    <n v="11801.666666666701"/>
    <n v="42486"/>
  </r>
  <r>
    <x v="0"/>
    <x v="0"/>
    <x v="0"/>
    <x v="1"/>
    <x v="2"/>
    <s v="EE_Narva"/>
    <x v="6"/>
    <x v="5"/>
    <s v="Narva-EJ-TG8"/>
    <x v="11"/>
    <x v="4"/>
    <n v="194"/>
    <n v="11801.666666666701"/>
    <n v="42486"/>
  </r>
  <r>
    <x v="0"/>
    <x v="0"/>
    <x v="0"/>
    <x v="1"/>
    <x v="2"/>
    <s v="EE_Narva"/>
    <x v="6"/>
    <x v="5"/>
    <s v="Narva-EJ-TG8"/>
    <x v="11"/>
    <x v="5"/>
    <n v="194"/>
    <n v="11801.666666666701"/>
    <n v="42486"/>
  </r>
  <r>
    <x v="0"/>
    <x v="0"/>
    <x v="0"/>
    <x v="1"/>
    <x v="2"/>
    <s v="EE_Narva"/>
    <x v="6"/>
    <x v="5"/>
    <s v="Narva-EJ-TG8"/>
    <x v="11"/>
    <x v="6"/>
    <n v="194"/>
    <n v="11801.666666666701"/>
    <n v="42486"/>
  </r>
  <r>
    <x v="0"/>
    <x v="0"/>
    <x v="0"/>
    <x v="1"/>
    <x v="2"/>
    <s v="EE_Narva"/>
    <x v="6"/>
    <x v="5"/>
    <s v="Narva-EJ-TG8"/>
    <x v="11"/>
    <x v="7"/>
    <n v="194"/>
    <n v="11801.666666666701"/>
    <n v="42486"/>
  </r>
  <r>
    <x v="0"/>
    <x v="0"/>
    <x v="0"/>
    <x v="1"/>
    <x v="2"/>
    <s v="EE_Narva"/>
    <x v="6"/>
    <x v="5"/>
    <s v="Narva-EJ-TG8"/>
    <x v="11"/>
    <x v="8"/>
    <n v="194"/>
    <n v="11801.666666666701"/>
    <n v="42486"/>
  </r>
  <r>
    <x v="0"/>
    <x v="0"/>
    <x v="0"/>
    <x v="1"/>
    <x v="2"/>
    <s v="EE_Narva"/>
    <x v="6"/>
    <x v="5"/>
    <s v="Narva-EJ-TG8"/>
    <x v="11"/>
    <x v="9"/>
    <n v="194"/>
    <n v="11801.666666666701"/>
    <n v="42486"/>
  </r>
  <r>
    <x v="0"/>
    <x v="0"/>
    <x v="0"/>
    <x v="1"/>
    <x v="2"/>
    <s v="EE_Narva"/>
    <x v="6"/>
    <x v="5"/>
    <s v="Narva-EJ-TG8"/>
    <x v="11"/>
    <x v="10"/>
    <n v="194"/>
    <n v="11801.666666666701"/>
    <n v="42486"/>
  </r>
  <r>
    <x v="0"/>
    <x v="0"/>
    <x v="0"/>
    <x v="1"/>
    <x v="2"/>
    <s v="EE_Narva"/>
    <x v="6"/>
    <x v="5"/>
    <s v="Narva-EJ-TG8"/>
    <x v="11"/>
    <x v="11"/>
    <n v="194"/>
    <n v="11801.666666666701"/>
    <n v="42486"/>
  </r>
  <r>
    <x v="0"/>
    <x v="0"/>
    <x v="0"/>
    <x v="1"/>
    <x v="2"/>
    <s v="EE_Narva"/>
    <x v="6"/>
    <x v="5"/>
    <s v="Narva-EJ-TG9"/>
    <x v="0"/>
    <x v="0"/>
    <n v="151"/>
    <n v="9185.8333333333303"/>
    <n v="33069"/>
  </r>
  <r>
    <x v="0"/>
    <x v="0"/>
    <x v="0"/>
    <x v="1"/>
    <x v="2"/>
    <s v="EE_Narva"/>
    <x v="6"/>
    <x v="5"/>
    <s v="Narva-EJ-TG9"/>
    <x v="0"/>
    <x v="3"/>
    <n v="151"/>
    <n v="9185.8333333333303"/>
    <n v="33069"/>
  </r>
  <r>
    <x v="0"/>
    <x v="0"/>
    <x v="0"/>
    <x v="1"/>
    <x v="2"/>
    <s v="EE_Narva"/>
    <x v="6"/>
    <x v="5"/>
    <s v="Narva-EJ-TG9"/>
    <x v="0"/>
    <x v="8"/>
    <n v="151"/>
    <n v="9185.8333333333303"/>
    <n v="33069"/>
  </r>
  <r>
    <x v="0"/>
    <x v="0"/>
    <x v="0"/>
    <x v="1"/>
    <x v="2"/>
    <s v="EE_Narva"/>
    <x v="6"/>
    <x v="5"/>
    <s v="Narva-EJ-TG9"/>
    <x v="1"/>
    <x v="4"/>
    <n v="151"/>
    <n v="9185.8333333333303"/>
    <n v="33069"/>
  </r>
  <r>
    <x v="0"/>
    <x v="0"/>
    <x v="0"/>
    <x v="1"/>
    <x v="2"/>
    <s v="EE_Narva"/>
    <x v="6"/>
    <x v="5"/>
    <s v="Narva-EJ-TG9"/>
    <x v="1"/>
    <x v="8"/>
    <n v="151"/>
    <n v="9185.8333333333303"/>
    <n v="33069"/>
  </r>
  <r>
    <x v="0"/>
    <x v="0"/>
    <x v="0"/>
    <x v="1"/>
    <x v="2"/>
    <s v="EE_Narva"/>
    <x v="6"/>
    <x v="5"/>
    <s v="Narva-EJ-TG9"/>
    <x v="2"/>
    <x v="5"/>
    <n v="34.154766637057797"/>
    <n v="2077.7483037543502"/>
    <n v="7479.8938935156702"/>
  </r>
  <r>
    <x v="0"/>
    <x v="0"/>
    <x v="0"/>
    <x v="1"/>
    <x v="2"/>
    <s v="EE_Narva"/>
    <x v="6"/>
    <x v="5"/>
    <s v="Narva-EJ-TG9"/>
    <x v="3"/>
    <x v="2"/>
    <n v="151"/>
    <n v="9185.8333333333303"/>
    <n v="33069"/>
  </r>
  <r>
    <x v="0"/>
    <x v="0"/>
    <x v="0"/>
    <x v="1"/>
    <x v="2"/>
    <s v="EE_Narva"/>
    <x v="6"/>
    <x v="5"/>
    <s v="Narva-EJ-TG9"/>
    <x v="3"/>
    <x v="7"/>
    <n v="151"/>
    <n v="9185.8333333333303"/>
    <n v="33069"/>
  </r>
  <r>
    <x v="0"/>
    <x v="0"/>
    <x v="0"/>
    <x v="1"/>
    <x v="2"/>
    <s v="EE_Narva"/>
    <x v="6"/>
    <x v="5"/>
    <s v="Narva-EJ-TG9"/>
    <x v="3"/>
    <x v="11"/>
    <n v="151"/>
    <n v="9185.8333333333303"/>
    <n v="33069"/>
  </r>
  <r>
    <x v="0"/>
    <x v="0"/>
    <x v="0"/>
    <x v="1"/>
    <x v="2"/>
    <s v="EE_Narva"/>
    <x v="6"/>
    <x v="5"/>
    <s v="Narva-EJ-TG9"/>
    <x v="4"/>
    <x v="8"/>
    <n v="151"/>
    <n v="9185.8333333333303"/>
    <n v="33069"/>
  </r>
  <r>
    <x v="0"/>
    <x v="0"/>
    <x v="0"/>
    <x v="1"/>
    <x v="2"/>
    <s v="EE_Narva"/>
    <x v="6"/>
    <x v="5"/>
    <s v="Narva-EJ-TG9"/>
    <x v="5"/>
    <x v="1"/>
    <n v="151"/>
    <n v="9185.8333333333303"/>
    <n v="33069"/>
  </r>
  <r>
    <x v="0"/>
    <x v="0"/>
    <x v="0"/>
    <x v="1"/>
    <x v="2"/>
    <s v="EE_Narva"/>
    <x v="6"/>
    <x v="5"/>
    <s v="Narva-EJ-TG9"/>
    <x v="5"/>
    <x v="5"/>
    <n v="151"/>
    <n v="9185.8333333333303"/>
    <n v="33069"/>
  </r>
  <r>
    <x v="0"/>
    <x v="0"/>
    <x v="0"/>
    <x v="1"/>
    <x v="2"/>
    <s v="EE_Narva"/>
    <x v="6"/>
    <x v="5"/>
    <s v="Narva-EJ-TG9"/>
    <x v="5"/>
    <x v="7"/>
    <n v="98.064983030029595"/>
    <n v="5965.6198009934697"/>
    <n v="21476.231283576501"/>
  </r>
  <r>
    <x v="0"/>
    <x v="0"/>
    <x v="0"/>
    <x v="1"/>
    <x v="2"/>
    <s v="EE_Narva"/>
    <x v="6"/>
    <x v="5"/>
    <s v="Narva-EJ-TG9"/>
    <x v="5"/>
    <x v="8"/>
    <n v="151"/>
    <n v="9185.8333333333303"/>
    <n v="33069"/>
  </r>
  <r>
    <x v="0"/>
    <x v="0"/>
    <x v="0"/>
    <x v="1"/>
    <x v="2"/>
    <s v="EE_Narva"/>
    <x v="6"/>
    <x v="5"/>
    <s v="Narva-EJ-TG9"/>
    <x v="5"/>
    <x v="11"/>
    <n v="151"/>
    <n v="9185.8333333333303"/>
    <n v="33069"/>
  </r>
  <r>
    <x v="0"/>
    <x v="0"/>
    <x v="0"/>
    <x v="1"/>
    <x v="2"/>
    <s v="EE_Narva"/>
    <x v="6"/>
    <x v="5"/>
    <s v="Narva-EJ-TG9"/>
    <x v="6"/>
    <x v="0"/>
    <n v="151"/>
    <n v="9185.8333333333303"/>
    <n v="33069"/>
  </r>
  <r>
    <x v="0"/>
    <x v="0"/>
    <x v="0"/>
    <x v="1"/>
    <x v="2"/>
    <s v="EE_Narva"/>
    <x v="6"/>
    <x v="5"/>
    <s v="Narva-EJ-TG9"/>
    <x v="6"/>
    <x v="4"/>
    <n v="151"/>
    <n v="9185.8333333333303"/>
    <n v="33069"/>
  </r>
  <r>
    <x v="0"/>
    <x v="0"/>
    <x v="0"/>
    <x v="1"/>
    <x v="2"/>
    <s v="EE_Narva"/>
    <x v="6"/>
    <x v="5"/>
    <s v="Narva-EJ-TG9"/>
    <x v="6"/>
    <x v="7"/>
    <n v="151"/>
    <n v="9185.8333333333303"/>
    <n v="33069"/>
  </r>
  <r>
    <x v="0"/>
    <x v="0"/>
    <x v="0"/>
    <x v="1"/>
    <x v="2"/>
    <s v="EE_Narva"/>
    <x v="6"/>
    <x v="5"/>
    <s v="Narva-EJ-TG9"/>
    <x v="9"/>
    <x v="8"/>
    <n v="151"/>
    <n v="9185.8333333333303"/>
    <n v="33069"/>
  </r>
  <r>
    <x v="0"/>
    <x v="0"/>
    <x v="0"/>
    <x v="1"/>
    <x v="2"/>
    <s v="EE_Narva"/>
    <x v="6"/>
    <x v="5"/>
    <s v="Narva-EJ-TG9"/>
    <x v="10"/>
    <x v="0"/>
    <n v="151"/>
    <n v="9185.8333333333303"/>
    <n v="33069"/>
  </r>
  <r>
    <x v="0"/>
    <x v="0"/>
    <x v="0"/>
    <x v="1"/>
    <x v="2"/>
    <s v="EE_Narva"/>
    <x v="6"/>
    <x v="5"/>
    <s v="Narva-EJ-TG9"/>
    <x v="10"/>
    <x v="1"/>
    <n v="151"/>
    <n v="9185.8333333333303"/>
    <n v="33069"/>
  </r>
  <r>
    <x v="0"/>
    <x v="0"/>
    <x v="0"/>
    <x v="1"/>
    <x v="2"/>
    <s v="EE_Narva"/>
    <x v="6"/>
    <x v="5"/>
    <s v="Narva-EJ-TG9"/>
    <x v="10"/>
    <x v="4"/>
    <n v="151"/>
    <n v="9185.8333333333303"/>
    <n v="33069"/>
  </r>
  <r>
    <x v="0"/>
    <x v="0"/>
    <x v="0"/>
    <x v="1"/>
    <x v="2"/>
    <s v="EE_Narva"/>
    <x v="6"/>
    <x v="5"/>
    <s v="Narva-EJ-TG9"/>
    <x v="10"/>
    <x v="7"/>
    <n v="151"/>
    <n v="9185.8333333333303"/>
    <n v="33069"/>
  </r>
  <r>
    <x v="0"/>
    <x v="0"/>
    <x v="0"/>
    <x v="1"/>
    <x v="2"/>
    <s v="EE_Narva"/>
    <x v="6"/>
    <x v="5"/>
    <s v="Narva-EJ-TG9"/>
    <x v="10"/>
    <x v="11"/>
    <n v="151"/>
    <n v="9185.8333333333303"/>
    <n v="33069"/>
  </r>
  <r>
    <x v="0"/>
    <x v="0"/>
    <x v="0"/>
    <x v="1"/>
    <x v="2"/>
    <s v="EE_Narva"/>
    <x v="6"/>
    <x v="5"/>
    <s v="Narva-EJ-TG9"/>
    <x v="11"/>
    <x v="7"/>
    <n v="151"/>
    <n v="9185.8333333333303"/>
    <n v="33069"/>
  </r>
  <r>
    <x v="0"/>
    <x v="0"/>
    <x v="0"/>
    <x v="1"/>
    <x v="2"/>
    <s v="EE_Narva"/>
    <x v="6"/>
    <x v="5"/>
    <s v="Narva-EJ-TG9"/>
    <x v="11"/>
    <x v="8"/>
    <n v="89.468353905254304"/>
    <n v="5442.65819590297"/>
    <n v="19593.5695052507"/>
  </r>
  <r>
    <x v="0"/>
    <x v="0"/>
    <x v="0"/>
    <x v="1"/>
    <x v="2"/>
    <s v="EE_Narva"/>
    <x v="6"/>
    <x v="5"/>
    <s v="Narva-EJ-TG9"/>
    <x v="11"/>
    <x v="11"/>
    <n v="151"/>
    <n v="9185.8333333333303"/>
    <n v="33069"/>
  </r>
  <r>
    <x v="0"/>
    <x v="0"/>
    <x v="0"/>
    <x v="1"/>
    <x v="2"/>
    <s v="EE_Parnu"/>
    <x v="4"/>
    <x v="3"/>
    <s v="GBPR_WOODCHIPS_TARTU"/>
    <x v="0"/>
    <x v="0"/>
    <n v="7.8529139090868503"/>
    <n v="477.71892946945002"/>
    <n v="1719.7881460900201"/>
  </r>
  <r>
    <x v="0"/>
    <x v="0"/>
    <x v="0"/>
    <x v="1"/>
    <x v="2"/>
    <s v="EE_Parnu"/>
    <x v="4"/>
    <x v="3"/>
    <s v="GBPR_WOODCHIPS_TARTU"/>
    <x v="0"/>
    <x v="1"/>
    <n v="7.8487742602154098"/>
    <n v="477.46710082977103"/>
    <n v="1718.8815629871699"/>
  </r>
  <r>
    <x v="0"/>
    <x v="0"/>
    <x v="0"/>
    <x v="1"/>
    <x v="2"/>
    <s v="EE_Parnu"/>
    <x v="4"/>
    <x v="3"/>
    <s v="GBPR_WOODCHIPS_TARTU"/>
    <x v="0"/>
    <x v="2"/>
    <n v="7.8529139090868503"/>
    <n v="477.71892946945002"/>
    <n v="1719.7881460900201"/>
  </r>
  <r>
    <x v="0"/>
    <x v="0"/>
    <x v="0"/>
    <x v="1"/>
    <x v="2"/>
    <s v="EE_Parnu"/>
    <x v="4"/>
    <x v="3"/>
    <s v="GBPR_WOODCHIPS_TARTU"/>
    <x v="0"/>
    <x v="3"/>
    <n v="7.8570535579582597"/>
    <n v="477.97075810912798"/>
    <n v="1720.69472919286"/>
  </r>
  <r>
    <x v="0"/>
    <x v="0"/>
    <x v="0"/>
    <x v="1"/>
    <x v="2"/>
    <s v="EE_Parnu"/>
    <x v="4"/>
    <x v="3"/>
    <s v="GBPR_WOODCHIPS_TARTU"/>
    <x v="0"/>
    <x v="4"/>
    <n v="7.8570535579582597"/>
    <n v="477.97075810912798"/>
    <n v="1720.69472919286"/>
  </r>
  <r>
    <x v="0"/>
    <x v="0"/>
    <x v="0"/>
    <x v="1"/>
    <x v="2"/>
    <s v="EE_Parnu"/>
    <x v="4"/>
    <x v="3"/>
    <s v="GBPR_WOODCHIPS_TARTU"/>
    <x v="0"/>
    <x v="5"/>
    <n v="7.8487742602154098"/>
    <n v="477.46710082977103"/>
    <n v="1718.8815629871699"/>
  </r>
  <r>
    <x v="0"/>
    <x v="0"/>
    <x v="0"/>
    <x v="1"/>
    <x v="2"/>
    <s v="EE_Parnu"/>
    <x v="4"/>
    <x v="3"/>
    <s v="GBPR_WOODCHIPS_TARTU"/>
    <x v="0"/>
    <x v="6"/>
    <n v="7.8322156647297296"/>
    <n v="476.45978627105899"/>
    <n v="1715.2552305758099"/>
  </r>
  <r>
    <x v="0"/>
    <x v="0"/>
    <x v="0"/>
    <x v="1"/>
    <x v="2"/>
    <s v="EE_Parnu"/>
    <x v="4"/>
    <x v="3"/>
    <s v="GBPR_WOODCHIPS_TARTU"/>
    <x v="0"/>
    <x v="7"/>
    <n v="7.8197967181154597"/>
    <n v="475.70430035202401"/>
    <n v="1712.5354812672899"/>
  </r>
  <r>
    <x v="0"/>
    <x v="0"/>
    <x v="0"/>
    <x v="1"/>
    <x v="2"/>
    <s v="EE_Parnu"/>
    <x v="4"/>
    <x v="3"/>
    <s v="GBPR_WOODCHIPS_TARTU"/>
    <x v="0"/>
    <x v="8"/>
    <n v="7.8611932068296797"/>
    <n v="478.22258674880499"/>
    <n v="1721.6013122956999"/>
  </r>
  <r>
    <x v="0"/>
    <x v="0"/>
    <x v="0"/>
    <x v="1"/>
    <x v="2"/>
    <s v="EE_Parnu"/>
    <x v="4"/>
    <x v="3"/>
    <s v="GBPR_WOODCHIPS_TARTU"/>
    <x v="0"/>
    <x v="9"/>
    <n v="7.9191482910295701"/>
    <n v="481.74818770429903"/>
    <n v="1734.2934757354799"/>
  </r>
  <r>
    <x v="0"/>
    <x v="0"/>
    <x v="0"/>
    <x v="1"/>
    <x v="2"/>
    <s v="EE_Parnu"/>
    <x v="4"/>
    <x v="3"/>
    <s v="GBPR_WOODCHIPS_TARTU"/>
    <x v="0"/>
    <x v="10"/>
    <n v="8.00194126845801"/>
    <n v="486.78476049786201"/>
    <n v="1752.4251377922999"/>
  </r>
  <r>
    <x v="0"/>
    <x v="0"/>
    <x v="0"/>
    <x v="1"/>
    <x v="2"/>
    <s v="EE_Parnu"/>
    <x v="4"/>
    <x v="3"/>
    <s v="GBPR_WOODCHIPS_TARTU"/>
    <x v="0"/>
    <x v="11"/>
    <n v="8.1012928413721497"/>
    <n v="492.82864785013902"/>
    <n v="1774.1831322605001"/>
  </r>
  <r>
    <x v="0"/>
    <x v="0"/>
    <x v="0"/>
    <x v="1"/>
    <x v="2"/>
    <s v="EE_Parnu"/>
    <x v="4"/>
    <x v="3"/>
    <s v="GBPR_WOODCHIPS_TARTU"/>
    <x v="1"/>
    <x v="0"/>
    <n v="10.4319151559825"/>
    <n v="634.60817198893699"/>
    <n v="2284.5894191601701"/>
  </r>
  <r>
    <x v="0"/>
    <x v="0"/>
    <x v="0"/>
    <x v="1"/>
    <x v="2"/>
    <s v="EE_Parnu"/>
    <x v="4"/>
    <x v="3"/>
    <s v="GBPR_WOODCHIPS_TARTU"/>
    <x v="1"/>
    <x v="1"/>
    <n v="10.4981495379253"/>
    <n v="638.63743022378696"/>
    <n v="2299.0947488056299"/>
  </r>
  <r>
    <x v="0"/>
    <x v="0"/>
    <x v="0"/>
    <x v="1"/>
    <x v="2"/>
    <s v="EE_Parnu"/>
    <x v="4"/>
    <x v="3"/>
    <s v="GBPR_WOODCHIPS_TARTU"/>
    <x v="1"/>
    <x v="2"/>
    <n v="10.5188477822824"/>
    <n v="639.89657342217697"/>
    <n v="2303.6276643198398"/>
  </r>
  <r>
    <x v="0"/>
    <x v="0"/>
    <x v="0"/>
    <x v="1"/>
    <x v="2"/>
    <s v="EE_Parnu"/>
    <x v="4"/>
    <x v="3"/>
    <s v="GBPR_WOODCHIPS_TARTU"/>
    <x v="1"/>
    <x v="3"/>
    <n v="10.4567530492111"/>
    <n v="636.11914382700604"/>
    <n v="2290.0289177772202"/>
  </r>
  <r>
    <x v="0"/>
    <x v="0"/>
    <x v="0"/>
    <x v="1"/>
    <x v="2"/>
    <s v="EE_Parnu"/>
    <x v="4"/>
    <x v="3"/>
    <s v="GBPR_WOODCHIPS_TARTU"/>
    <x v="1"/>
    <x v="4"/>
    <n v="10.320144636454099"/>
    <n v="627.80879871762704"/>
    <n v="2260.1116753834599"/>
  </r>
  <r>
    <x v="0"/>
    <x v="0"/>
    <x v="0"/>
    <x v="1"/>
    <x v="2"/>
    <s v="EE_Parnu"/>
    <x v="4"/>
    <x v="3"/>
    <s v="GBPR_WOODCHIPS_TARTU"/>
    <x v="1"/>
    <x v="5"/>
    <n v="10.1214414906259"/>
    <n v="615.72102401307404"/>
    <n v="2216.59568644707"/>
  </r>
  <r>
    <x v="0"/>
    <x v="0"/>
    <x v="0"/>
    <x v="1"/>
    <x v="2"/>
    <s v="EE_Parnu"/>
    <x v="4"/>
    <x v="3"/>
    <s v="GBPR_WOODCHIPS_TARTU"/>
    <x v="1"/>
    <x v="6"/>
    <n v="9.8689229094691697"/>
    <n v="600.35947699270798"/>
    <n v="2161.2941171737498"/>
  </r>
  <r>
    <x v="0"/>
    <x v="0"/>
    <x v="0"/>
    <x v="1"/>
    <x v="2"/>
    <s v="EE_Parnu"/>
    <x v="4"/>
    <x v="3"/>
    <s v="GBPR_WOODCHIPS_TARTU"/>
    <x v="1"/>
    <x v="7"/>
    <n v="9.5584492441125608"/>
    <n v="581.47232901684697"/>
    <n v="2093.3003844606501"/>
  </r>
  <r>
    <x v="0"/>
    <x v="0"/>
    <x v="0"/>
    <x v="1"/>
    <x v="2"/>
    <s v="EE_Parnu"/>
    <x v="4"/>
    <x v="3"/>
    <s v="GBPR_WOODCHIPS_TARTU"/>
    <x v="1"/>
    <x v="8"/>
    <n v="9.2893720674701292"/>
    <n v="565.10346743776699"/>
    <n v="2034.37248277596"/>
  </r>
  <r>
    <x v="0"/>
    <x v="0"/>
    <x v="0"/>
    <x v="1"/>
    <x v="2"/>
    <s v="EE_Parnu"/>
    <x v="4"/>
    <x v="3"/>
    <s v="GBPR_WOODCHIPS_TARTU"/>
    <x v="1"/>
    <x v="9"/>
    <n v="9.0451327840562801"/>
    <n v="550.24557769675698"/>
    <n v="1980.8840797083201"/>
  </r>
  <r>
    <x v="0"/>
    <x v="0"/>
    <x v="0"/>
    <x v="1"/>
    <x v="2"/>
    <s v="EE_Parnu"/>
    <x v="4"/>
    <x v="3"/>
    <s v="GBPR_WOODCHIPS_TARTU"/>
    <x v="1"/>
    <x v="10"/>
    <n v="8.8257313938709192"/>
    <n v="536.898659793815"/>
    <n v="1932.83517525773"/>
  </r>
  <r>
    <x v="0"/>
    <x v="0"/>
    <x v="0"/>
    <x v="1"/>
    <x v="2"/>
    <s v="EE_Parnu"/>
    <x v="4"/>
    <x v="3"/>
    <s v="GBPR_WOODCHIPS_TARTU"/>
    <x v="1"/>
    <x v="11"/>
    <n v="8.6435868435283805"/>
    <n v="525.81819964797603"/>
    <n v="1892.9455187327201"/>
  </r>
  <r>
    <x v="0"/>
    <x v="0"/>
    <x v="0"/>
    <x v="1"/>
    <x v="2"/>
    <s v="EE_Parnu"/>
    <x v="4"/>
    <x v="3"/>
    <s v="GBPR_WOODCHIPS_TARTU"/>
    <x v="2"/>
    <x v="0"/>
    <n v="8.3165545826860594"/>
    <n v="505.92373711340201"/>
    <n v="1821.32545360825"/>
  </r>
  <r>
    <x v="0"/>
    <x v="0"/>
    <x v="0"/>
    <x v="1"/>
    <x v="2"/>
    <s v="EE_Parnu"/>
    <x v="4"/>
    <x v="3"/>
    <s v="GBPR_WOODCHIPS_TARTU"/>
    <x v="2"/>
    <x v="1"/>
    <n v="8.3248338804289101"/>
    <n v="506.42739439275903"/>
    <n v="1823.1386198139301"/>
  </r>
  <r>
    <x v="0"/>
    <x v="0"/>
    <x v="0"/>
    <x v="1"/>
    <x v="2"/>
    <s v="EE_Parnu"/>
    <x v="4"/>
    <x v="3"/>
    <s v="GBPR_WOODCHIPS_TARTU"/>
    <x v="2"/>
    <x v="2"/>
    <n v="8.3331131781717396"/>
    <n v="506.93105167211399"/>
    <n v="1824.9517860196099"/>
  </r>
  <r>
    <x v="0"/>
    <x v="0"/>
    <x v="0"/>
    <x v="1"/>
    <x v="2"/>
    <s v="EE_Parnu"/>
    <x v="4"/>
    <x v="3"/>
    <s v="GBPR_WOODCHIPS_TARTU"/>
    <x v="2"/>
    <x v="3"/>
    <n v="8.3538114225288602"/>
    <n v="508.19019487050599"/>
    <n v="1829.48470153382"/>
  </r>
  <r>
    <x v="0"/>
    <x v="0"/>
    <x v="0"/>
    <x v="1"/>
    <x v="2"/>
    <s v="EE_Parnu"/>
    <x v="4"/>
    <x v="3"/>
    <s v="GBPR_WOODCHIPS_TARTU"/>
    <x v="2"/>
    <x v="4"/>
    <n v="8.3786493157574"/>
    <n v="509.70116670857499"/>
    <n v="1834.9242001508701"/>
  </r>
  <r>
    <x v="0"/>
    <x v="0"/>
    <x v="0"/>
    <x v="1"/>
    <x v="2"/>
    <s v="EE_Parnu"/>
    <x v="4"/>
    <x v="3"/>
    <s v="GBPR_WOODCHIPS_TARTU"/>
    <x v="2"/>
    <x v="5"/>
    <n v="8.4076268578573501"/>
    <n v="511.46396718632201"/>
    <n v="1841.2702818707601"/>
  </r>
  <r>
    <x v="0"/>
    <x v="0"/>
    <x v="0"/>
    <x v="1"/>
    <x v="2"/>
    <s v="EE_Parnu"/>
    <x v="4"/>
    <x v="3"/>
    <s v="GBPR_WOODCHIPS_TARTU"/>
    <x v="2"/>
    <x v="6"/>
    <n v="8.4490233465715594"/>
    <n v="513.98225358310299"/>
    <n v="1850.3361128991701"/>
  </r>
  <r>
    <x v="0"/>
    <x v="0"/>
    <x v="0"/>
    <x v="1"/>
    <x v="2"/>
    <s v="EE_Parnu"/>
    <x v="4"/>
    <x v="3"/>
    <s v="GBPR_WOODCHIPS_TARTU"/>
    <x v="2"/>
    <x v="7"/>
    <n v="8.4821405375429304"/>
    <n v="515.99688270052798"/>
    <n v="1857.5887777219"/>
  </r>
  <r>
    <x v="0"/>
    <x v="0"/>
    <x v="0"/>
    <x v="1"/>
    <x v="2"/>
    <s v="EE_Parnu"/>
    <x v="4"/>
    <x v="3"/>
    <s v="GBPR_WOODCHIPS_TARTU"/>
    <x v="2"/>
    <x v="8"/>
    <n v="8.5111180796428698"/>
    <n v="517.75968317827505"/>
    <n v="1863.93485944179"/>
  </r>
  <r>
    <x v="0"/>
    <x v="0"/>
    <x v="0"/>
    <x v="1"/>
    <x v="2"/>
    <s v="EE_Parnu"/>
    <x v="4"/>
    <x v="3"/>
    <s v="GBPR_WOODCHIPS_TARTU"/>
    <x v="2"/>
    <x v="9"/>
    <n v="8.5483749194856795"/>
    <n v="520.02614093537898"/>
    <n v="1872.09410736736"/>
  </r>
  <r>
    <x v="0"/>
    <x v="0"/>
    <x v="0"/>
    <x v="1"/>
    <x v="2"/>
    <s v="EE_Parnu"/>
    <x v="4"/>
    <x v="3"/>
    <s v="GBPR_WOODCHIPS_TARTU"/>
    <x v="2"/>
    <x v="10"/>
    <n v="8.5649335149713597"/>
    <n v="521.03345549409096"/>
    <n v="1875.72043977873"/>
  </r>
  <r>
    <x v="0"/>
    <x v="0"/>
    <x v="0"/>
    <x v="1"/>
    <x v="2"/>
    <s v="EE_Parnu"/>
    <x v="4"/>
    <x v="3"/>
    <s v="GBPR_WOODCHIPS_TARTU"/>
    <x v="2"/>
    <x v="11"/>
    <n v="8.5400956217428305"/>
    <n v="519.52248365602202"/>
    <n v="1870.2809411616799"/>
  </r>
  <r>
    <x v="0"/>
    <x v="0"/>
    <x v="0"/>
    <x v="1"/>
    <x v="2"/>
    <s v="EE_Parnu"/>
    <x v="4"/>
    <x v="3"/>
    <s v="GBPR_WOODCHIPS_TARTU"/>
    <x v="3"/>
    <x v="0"/>
    <n v="8.5732128127142104"/>
    <n v="521.53711277344803"/>
    <n v="1877.5336059844101"/>
  </r>
  <r>
    <x v="0"/>
    <x v="0"/>
    <x v="0"/>
    <x v="1"/>
    <x v="2"/>
    <s v="EE_Parnu"/>
    <x v="4"/>
    <x v="3"/>
    <s v="GBPR_WOODCHIPS_TARTU"/>
    <x v="3"/>
    <x v="1"/>
    <n v="8.7056815765996909"/>
    <n v="529.59562924314798"/>
    <n v="1906.54426527533"/>
  </r>
  <r>
    <x v="0"/>
    <x v="0"/>
    <x v="0"/>
    <x v="1"/>
    <x v="2"/>
    <s v="EE_Parnu"/>
    <x v="4"/>
    <x v="3"/>
    <s v="GBPR_WOODCHIPS_TARTU"/>
    <x v="3"/>
    <x v="2"/>
    <n v="8.81331244725666"/>
    <n v="536.14317387478002"/>
    <n v="1930.11542594921"/>
  </r>
  <r>
    <x v="0"/>
    <x v="0"/>
    <x v="0"/>
    <x v="1"/>
    <x v="2"/>
    <s v="EE_Parnu"/>
    <x v="4"/>
    <x v="3"/>
    <s v="GBPR_WOODCHIPS_TARTU"/>
    <x v="3"/>
    <x v="3"/>
    <n v="8.90438472242794"/>
    <n v="541.68340394769996"/>
    <n v="1950.0602542117199"/>
  </r>
  <r>
    <x v="0"/>
    <x v="0"/>
    <x v="0"/>
    <x v="1"/>
    <x v="2"/>
    <s v="EE_Parnu"/>
    <x v="4"/>
    <x v="3"/>
    <s v="GBPR_WOODCHIPS_TARTU"/>
    <x v="3"/>
    <x v="4"/>
    <n v="8.97475875324211"/>
    <n v="545.96449082222796"/>
    <n v="1965.4721669600201"/>
  </r>
  <r>
    <x v="0"/>
    <x v="0"/>
    <x v="0"/>
    <x v="1"/>
    <x v="2"/>
    <s v="EE_Parnu"/>
    <x v="4"/>
    <x v="3"/>
    <s v="GBPR_WOODCHIPS_TARTU"/>
    <x v="3"/>
    <x v="5"/>
    <n v="8.9995966464706196"/>
    <n v="547.47546266029599"/>
    <n v="1970.9116655770699"/>
  </r>
  <r>
    <x v="0"/>
    <x v="0"/>
    <x v="0"/>
    <x v="1"/>
    <x v="2"/>
    <s v="EE_Parnu"/>
    <x v="4"/>
    <x v="3"/>
    <s v="GBPR_WOODCHIPS_TARTU"/>
    <x v="3"/>
    <x v="6"/>
    <n v="8.9954569975992094"/>
    <n v="547.22363402061796"/>
    <n v="1970.00508247423"/>
  </r>
  <r>
    <x v="0"/>
    <x v="0"/>
    <x v="0"/>
    <x v="1"/>
    <x v="2"/>
    <s v="EE_Parnu"/>
    <x v="4"/>
    <x v="3"/>
    <s v="GBPR_WOODCHIPS_TARTU"/>
    <x v="3"/>
    <x v="7"/>
    <n v="8.9664794554992593"/>
    <n v="545.460833542871"/>
    <n v="1963.65900075434"/>
  </r>
  <r>
    <x v="0"/>
    <x v="0"/>
    <x v="0"/>
    <x v="1"/>
    <x v="2"/>
    <s v="EE_Parnu"/>
    <x v="4"/>
    <x v="3"/>
    <s v="GBPR_WOODCHIPS_TARTU"/>
    <x v="3"/>
    <x v="8"/>
    <n v="8.9292226156564496"/>
    <n v="543.19437578576799"/>
    <n v="1955.4997528287599"/>
  </r>
  <r>
    <x v="0"/>
    <x v="0"/>
    <x v="0"/>
    <x v="1"/>
    <x v="2"/>
    <s v="EE_Parnu"/>
    <x v="4"/>
    <x v="3"/>
    <s v="GBPR_WOODCHIPS_TARTU"/>
    <x v="3"/>
    <x v="9"/>
    <n v="8.8795468291994109"/>
    <n v="540.17243210963102"/>
    <n v="1944.6207555946701"/>
  </r>
  <r>
    <x v="0"/>
    <x v="0"/>
    <x v="0"/>
    <x v="1"/>
    <x v="2"/>
    <s v="EE_Parnu"/>
    <x v="4"/>
    <x v="3"/>
    <s v="GBPR_WOODCHIPS_TARTU"/>
    <x v="3"/>
    <x v="10"/>
    <n v="8.8215917449995107"/>
    <n v="536.64683115413698"/>
    <n v="1931.9285921548901"/>
  </r>
  <r>
    <x v="0"/>
    <x v="0"/>
    <x v="0"/>
    <x v="1"/>
    <x v="2"/>
    <s v="EE_Parnu"/>
    <x v="4"/>
    <x v="3"/>
    <s v="GBPR_WOODCHIPS_TARTU"/>
    <x v="3"/>
    <x v="11"/>
    <n v="8.7636366607995893"/>
    <n v="533.121230198641"/>
    <n v="1919.2364287151099"/>
  </r>
  <r>
    <x v="0"/>
    <x v="0"/>
    <x v="0"/>
    <x v="1"/>
    <x v="2"/>
    <s v="EE_Parnu"/>
    <x v="4"/>
    <x v="3"/>
    <s v="GBPR_WOODCHIPS_TARTU"/>
    <x v="4"/>
    <x v="0"/>
    <n v="11.6862287640233"/>
    <n v="710.91224981141602"/>
    <n v="2559.2840993210998"/>
  </r>
  <r>
    <x v="0"/>
    <x v="0"/>
    <x v="0"/>
    <x v="1"/>
    <x v="2"/>
    <s v="EE_Parnu"/>
    <x v="4"/>
    <x v="3"/>
    <s v="GBPR_WOODCHIPS_TARTU"/>
    <x v="4"/>
    <x v="1"/>
    <n v="11.690368412894699"/>
    <n v="711.16407845109404"/>
    <n v="2560.19068242394"/>
  </r>
  <r>
    <x v="0"/>
    <x v="0"/>
    <x v="0"/>
    <x v="1"/>
    <x v="2"/>
    <s v="EE_Parnu"/>
    <x v="4"/>
    <x v="3"/>
    <s v="GBPR_WOODCHIPS_TARTU"/>
    <x v="4"/>
    <x v="2"/>
    <n v="11.6117150843377"/>
    <n v="706.37933429720897"/>
    <n v="2542.9656034699501"/>
  </r>
  <r>
    <x v="0"/>
    <x v="0"/>
    <x v="0"/>
    <x v="1"/>
    <x v="2"/>
    <s v="EE_Parnu"/>
    <x v="4"/>
    <x v="3"/>
    <s v="GBPR_WOODCHIPS_TARTU"/>
    <x v="4"/>
    <x v="3"/>
    <n v="11.4751066715808"/>
    <n v="698.06898918782895"/>
    <n v="2513.0483610761898"/>
  </r>
  <r>
    <x v="0"/>
    <x v="0"/>
    <x v="0"/>
    <x v="1"/>
    <x v="2"/>
    <s v="EE_Parnu"/>
    <x v="4"/>
    <x v="3"/>
    <s v="GBPR_WOODCHIPS_TARTU"/>
    <x v="4"/>
    <x v="4"/>
    <n v="11.3343586099524"/>
    <n v="689.50681543877295"/>
    <n v="2482.2245355795799"/>
  </r>
  <r>
    <x v="0"/>
    <x v="0"/>
    <x v="0"/>
    <x v="1"/>
    <x v="2"/>
    <s v="EE_Parnu"/>
    <x v="4"/>
    <x v="3"/>
    <s v="GBPR_WOODCHIPS_TARTU"/>
    <x v="4"/>
    <x v="5"/>
    <n v="11.143934761866999"/>
    <n v="677.92269801357804"/>
    <n v="2440.5217128488798"/>
  </r>
  <r>
    <x v="0"/>
    <x v="0"/>
    <x v="0"/>
    <x v="1"/>
    <x v="2"/>
    <s v="EE_Parnu"/>
    <x v="4"/>
    <x v="3"/>
    <s v="GBPR_WOODCHIPS_TARTU"/>
    <x v="4"/>
    <x v="6"/>
    <n v="10.9038351273246"/>
    <n v="663.31663691224503"/>
    <n v="2387.9398928840801"/>
  </r>
  <r>
    <x v="0"/>
    <x v="0"/>
    <x v="0"/>
    <x v="1"/>
    <x v="2"/>
    <s v="EE_Parnu"/>
    <x v="4"/>
    <x v="3"/>
    <s v="GBPR_WOODCHIPS_TARTU"/>
    <x v="4"/>
    <x v="7"/>
    <n v="10.6513165461679"/>
    <n v="647.95508989187897"/>
    <n v="2332.6383236107599"/>
  </r>
  <r>
    <x v="0"/>
    <x v="0"/>
    <x v="0"/>
    <x v="1"/>
    <x v="2"/>
    <s v="EE_Parnu"/>
    <x v="4"/>
    <x v="3"/>
    <s v="GBPR_WOODCHIPS_TARTU"/>
    <x v="4"/>
    <x v="8"/>
    <n v="10.4484737514682"/>
    <n v="635.61548654764897"/>
    <n v="2288.2157515715398"/>
  </r>
  <r>
    <x v="0"/>
    <x v="0"/>
    <x v="0"/>
    <x v="1"/>
    <x v="2"/>
    <s v="EE_Parnu"/>
    <x v="4"/>
    <x v="3"/>
    <s v="GBPR_WOODCHIPS_TARTU"/>
    <x v="4"/>
    <x v="9"/>
    <n v="10.3408428808112"/>
    <n v="629.06794191601705"/>
    <n v="2264.6445908976598"/>
  </r>
  <r>
    <x v="0"/>
    <x v="0"/>
    <x v="0"/>
    <x v="1"/>
    <x v="2"/>
    <s v="EE_Parnu"/>
    <x v="4"/>
    <x v="3"/>
    <s v="GBPR_WOODCHIPS_TARTU"/>
    <x v="4"/>
    <x v="10"/>
    <n v="10.303586040968501"/>
    <n v="626.80148415891404"/>
    <n v="2256.4853429720902"/>
  </r>
  <r>
    <x v="0"/>
    <x v="0"/>
    <x v="0"/>
    <x v="1"/>
    <x v="2"/>
    <s v="EE_Parnu"/>
    <x v="4"/>
    <x v="3"/>
    <s v="GBPR_WOODCHIPS_TARTU"/>
    <x v="4"/>
    <x v="11"/>
    <n v="10.2953067432256"/>
    <n v="626.29782687955696"/>
    <n v="2254.6721767664098"/>
  </r>
  <r>
    <x v="0"/>
    <x v="0"/>
    <x v="0"/>
    <x v="1"/>
    <x v="2"/>
    <s v="EE_Parnu"/>
    <x v="4"/>
    <x v="3"/>
    <s v="GBPR_WOODCHIPS_TARTU"/>
    <x v="5"/>
    <x v="0"/>
    <n v="15.142835571660299"/>
    <n v="921.18916394267001"/>
    <n v="3316.2809901936098"/>
  </r>
  <r>
    <x v="0"/>
    <x v="0"/>
    <x v="0"/>
    <x v="1"/>
    <x v="2"/>
    <s v="EE_Parnu"/>
    <x v="4"/>
    <x v="3"/>
    <s v="GBPR_WOODCHIPS_TARTU"/>
    <x v="5"/>
    <x v="1"/>
    <n v="15.142835571660299"/>
    <n v="921.18916394267001"/>
    <n v="3316.2809901936098"/>
  </r>
  <r>
    <x v="0"/>
    <x v="0"/>
    <x v="0"/>
    <x v="1"/>
    <x v="2"/>
    <s v="EE_Parnu"/>
    <x v="4"/>
    <x v="3"/>
    <s v="GBPR_WOODCHIPS_TARTU"/>
    <x v="5"/>
    <x v="2"/>
    <n v="15.1262769761746"/>
    <n v="920.181849383957"/>
    <n v="3312.6546577822501"/>
  </r>
  <r>
    <x v="0"/>
    <x v="0"/>
    <x v="0"/>
    <x v="1"/>
    <x v="2"/>
    <s v="EE_Parnu"/>
    <x v="4"/>
    <x v="3"/>
    <s v="GBPR_WOODCHIPS_TARTU"/>
    <x v="5"/>
    <x v="3"/>
    <n v="14.981389265674901"/>
    <n v="911.36784699522298"/>
    <n v="3280.9242491827999"/>
  </r>
  <r>
    <x v="0"/>
    <x v="0"/>
    <x v="0"/>
    <x v="1"/>
    <x v="2"/>
    <s v="EE_Parnu"/>
    <x v="4"/>
    <x v="3"/>
    <s v="GBPR_WOODCHIPS_TARTU"/>
    <x v="5"/>
    <x v="4"/>
    <n v="14.778546470975201"/>
    <n v="899.02824365099298"/>
    <n v="3236.5016771435799"/>
  </r>
  <r>
    <x v="0"/>
    <x v="0"/>
    <x v="0"/>
    <x v="1"/>
    <x v="2"/>
    <s v="EE_Parnu"/>
    <x v="4"/>
    <x v="3"/>
    <s v="GBPR_WOODCHIPS_TARTU"/>
    <x v="5"/>
    <x v="5"/>
    <n v="14.4432349123901"/>
    <n v="878.63012383706302"/>
    <n v="3163.0684458134301"/>
  </r>
  <r>
    <x v="0"/>
    <x v="0"/>
    <x v="0"/>
    <x v="1"/>
    <x v="2"/>
    <s v="EE_Parnu"/>
    <x v="4"/>
    <x v="3"/>
    <s v="GBPR_WOODCHIPS_TARTU"/>
    <x v="5"/>
    <x v="6"/>
    <n v="14.091364758319299"/>
    <n v="857.22468946442098"/>
    <n v="3086.0088820719202"/>
  </r>
  <r>
    <x v="0"/>
    <x v="0"/>
    <x v="0"/>
    <x v="1"/>
    <x v="2"/>
    <s v="EE_Parnu"/>
    <x v="4"/>
    <x v="3"/>
    <s v="GBPR_WOODCHIPS_TARTU"/>
    <x v="5"/>
    <x v="7"/>
    <n v="13.6898188177913"/>
    <n v="832.797311415639"/>
    <n v="2998.0703210963002"/>
  </r>
  <r>
    <x v="0"/>
    <x v="0"/>
    <x v="0"/>
    <x v="1"/>
    <x v="2"/>
    <s v="EE_Parnu"/>
    <x v="4"/>
    <x v="3"/>
    <s v="GBPR_WOODCHIPS_TARTU"/>
    <x v="5"/>
    <x v="8"/>
    <n v="13.308971121620599"/>
    <n v="809.62907656525101"/>
    <n v="2914.6646756349"/>
  </r>
  <r>
    <x v="0"/>
    <x v="0"/>
    <x v="0"/>
    <x v="1"/>
    <x v="2"/>
    <s v="EE_Parnu"/>
    <x v="4"/>
    <x v="3"/>
    <s v="GBPR_WOODCHIPS_TARTU"/>
    <x v="5"/>
    <x v="9"/>
    <n v="12.986078509649699"/>
    <n v="789.98644267035502"/>
    <n v="2843.9511936132799"/>
  </r>
  <r>
    <x v="0"/>
    <x v="0"/>
    <x v="0"/>
    <x v="1"/>
    <x v="2"/>
    <s v="EE_Parnu"/>
    <x v="4"/>
    <x v="3"/>
    <s v="GBPR_WOODCHIPS_TARTU"/>
    <x v="5"/>
    <x v="10"/>
    <n v="12.779096066078599"/>
    <n v="777.39501068644802"/>
    <n v="2798.6220384712101"/>
  </r>
  <r>
    <x v="0"/>
    <x v="0"/>
    <x v="0"/>
    <x v="1"/>
    <x v="2"/>
    <s v="EE_Parnu"/>
    <x v="4"/>
    <x v="3"/>
    <s v="GBPR_WOODCHIPS_TARTU"/>
    <x v="5"/>
    <x v="11"/>
    <n v="12.638348004450201"/>
    <n v="768.83283693738895"/>
    <n v="2767.7982129746001"/>
  </r>
  <r>
    <x v="0"/>
    <x v="0"/>
    <x v="0"/>
    <x v="1"/>
    <x v="2"/>
    <s v="EE_Parnu"/>
    <x v="4"/>
    <x v="3"/>
    <s v="GBPR_WOODCHIPS_TARTU"/>
    <x v="6"/>
    <x v="0"/>
    <n v="10.2704688499971"/>
    <n v="624.78685504148802"/>
    <n v="2249.2326781493598"/>
  </r>
  <r>
    <x v="0"/>
    <x v="0"/>
    <x v="0"/>
    <x v="1"/>
    <x v="2"/>
    <s v="EE_Parnu"/>
    <x v="4"/>
    <x v="3"/>
    <s v="GBPR_WOODCHIPS_TARTU"/>
    <x v="6"/>
    <x v="1"/>
    <n v="10.258049903382799"/>
    <n v="624.03136912245304"/>
    <n v="2246.5129288408302"/>
  </r>
  <r>
    <x v="0"/>
    <x v="0"/>
    <x v="0"/>
    <x v="1"/>
    <x v="2"/>
    <s v="EE_Parnu"/>
    <x v="4"/>
    <x v="3"/>
    <s v="GBPR_WOODCHIPS_TARTU"/>
    <x v="6"/>
    <x v="2"/>
    <n v="10.229072361282901"/>
    <n v="622.26856864470699"/>
    <n v="2240.16684712094"/>
  </r>
  <r>
    <x v="0"/>
    <x v="0"/>
    <x v="0"/>
    <x v="1"/>
    <x v="2"/>
    <s v="EE_Parnu"/>
    <x v="4"/>
    <x v="3"/>
    <s v="GBPR_WOODCHIPS_TARTU"/>
    <x v="6"/>
    <x v="3"/>
    <n v="10.187675872568599"/>
    <n v="619.75028224792504"/>
    <n v="2231.1010160925298"/>
  </r>
  <r>
    <x v="0"/>
    <x v="0"/>
    <x v="0"/>
    <x v="1"/>
    <x v="2"/>
    <s v="EE_Parnu"/>
    <x v="4"/>
    <x v="3"/>
    <s v="GBPR_WOODCHIPS_TARTU"/>
    <x v="6"/>
    <x v="4"/>
    <n v="10.1380000861116"/>
    <n v="616.72833857178796"/>
    <n v="2220.2220188584402"/>
  </r>
  <r>
    <x v="0"/>
    <x v="0"/>
    <x v="0"/>
    <x v="1"/>
    <x v="2"/>
    <s v="EE_Parnu"/>
    <x v="4"/>
    <x v="3"/>
    <s v="GBPR_WOODCHIPS_TARTU"/>
    <x v="6"/>
    <x v="5"/>
    <n v="10.0924639485259"/>
    <n v="613.95822353532799"/>
    <n v="2210.2496047271802"/>
  </r>
  <r>
    <x v="0"/>
    <x v="0"/>
    <x v="0"/>
    <x v="1"/>
    <x v="2"/>
    <s v="EE_Parnu"/>
    <x v="4"/>
    <x v="3"/>
    <s v="GBPR_WOODCHIPS_TARTU"/>
    <x v="6"/>
    <x v="6"/>
    <n v="10.026229566583201"/>
    <n v="609.92896530047801"/>
    <n v="2195.7442750817199"/>
  </r>
  <r>
    <x v="0"/>
    <x v="0"/>
    <x v="0"/>
    <x v="1"/>
    <x v="2"/>
    <s v="EE_Parnu"/>
    <x v="4"/>
    <x v="3"/>
    <s v="GBPR_WOODCHIPS_TARTU"/>
    <x v="6"/>
    <x v="7"/>
    <n v="9.9641348335118707"/>
    <n v="606.15153570530504"/>
    <n v="2182.1455285390998"/>
  </r>
  <r>
    <x v="0"/>
    <x v="0"/>
    <x v="0"/>
    <x v="1"/>
    <x v="2"/>
    <s v="EE_Parnu"/>
    <x v="4"/>
    <x v="3"/>
    <s v="GBPR_WOODCHIPS_TARTU"/>
    <x v="6"/>
    <x v="8"/>
    <n v="9.8979004515691091"/>
    <n v="602.12227747045495"/>
    <n v="2167.64019889364"/>
  </r>
  <r>
    <x v="0"/>
    <x v="0"/>
    <x v="0"/>
    <x v="1"/>
    <x v="2"/>
    <s v="EE_Parnu"/>
    <x v="4"/>
    <x v="3"/>
    <s v="GBPR_WOODCHIPS_TARTU"/>
    <x v="6"/>
    <x v="9"/>
    <n v="9.8358057184978005"/>
    <n v="598.34484787528299"/>
    <n v="2154.0414523510199"/>
  </r>
  <r>
    <x v="0"/>
    <x v="0"/>
    <x v="0"/>
    <x v="1"/>
    <x v="2"/>
    <s v="EE_Parnu"/>
    <x v="4"/>
    <x v="3"/>
    <s v="GBPR_WOODCHIPS_TARTU"/>
    <x v="6"/>
    <x v="10"/>
    <n v="9.7778506342979092"/>
    <n v="594.81924691978895"/>
    <n v="2141.3492889112399"/>
  </r>
  <r>
    <x v="0"/>
    <x v="0"/>
    <x v="0"/>
    <x v="1"/>
    <x v="2"/>
    <s v="EE_Parnu"/>
    <x v="4"/>
    <x v="3"/>
    <s v="GBPR_WOODCHIPS_TARTU"/>
    <x v="6"/>
    <x v="11"/>
    <n v="9.7364541455836893"/>
    <n v="592.30096052300803"/>
    <n v="2132.2834578828301"/>
  </r>
  <r>
    <x v="0"/>
    <x v="0"/>
    <x v="0"/>
    <x v="1"/>
    <x v="2"/>
    <s v="EE_Parnu"/>
    <x v="4"/>
    <x v="3"/>
    <s v="GBPR_WOODCHIPS_TARTU"/>
    <x v="7"/>
    <x v="0"/>
    <n v="9.6578008170266703"/>
    <n v="587.51621636912296"/>
    <n v="2115.0583789288398"/>
  </r>
  <r>
    <x v="0"/>
    <x v="0"/>
    <x v="0"/>
    <x v="1"/>
    <x v="2"/>
    <s v="EE_Parnu"/>
    <x v="4"/>
    <x v="3"/>
    <s v="GBPR_WOODCHIPS_TARTU"/>
    <x v="7"/>
    <x v="1"/>
    <n v="9.5750078395982392"/>
    <n v="582.47964357555895"/>
    <n v="2096.9267168720098"/>
  </r>
  <r>
    <x v="0"/>
    <x v="0"/>
    <x v="0"/>
    <x v="1"/>
    <x v="2"/>
    <s v="EE_Parnu"/>
    <x v="4"/>
    <x v="3"/>
    <s v="GBPR_WOODCHIPS_TARTU"/>
    <x v="7"/>
    <x v="2"/>
    <n v="9.47979591555554"/>
    <n v="576.68758486296201"/>
    <n v="2076.0753055066598"/>
  </r>
  <r>
    <x v="0"/>
    <x v="0"/>
    <x v="0"/>
    <x v="1"/>
    <x v="2"/>
    <s v="EE_Parnu"/>
    <x v="4"/>
    <x v="3"/>
    <s v="GBPR_WOODCHIPS_TARTU"/>
    <x v="7"/>
    <x v="3"/>
    <n v="9.36802539602715"/>
    <n v="569.88821159165195"/>
    <n v="2051.59756172995"/>
  </r>
  <r>
    <x v="0"/>
    <x v="0"/>
    <x v="0"/>
    <x v="1"/>
    <x v="2"/>
    <s v="EE_Parnu"/>
    <x v="4"/>
    <x v="3"/>
    <s v="GBPR_WOODCHIPS_TARTU"/>
    <x v="7"/>
    <x v="4"/>
    <n v="9.2314169832702309"/>
    <n v="561.57786648227295"/>
    <n v="2021.68031933618"/>
  </r>
  <r>
    <x v="0"/>
    <x v="0"/>
    <x v="0"/>
    <x v="1"/>
    <x v="2"/>
    <s v="EE_Parnu"/>
    <x v="4"/>
    <x v="3"/>
    <s v="GBPR_WOODCHIPS_TARTU"/>
    <x v="7"/>
    <x v="5"/>
    <n v="9.0865292727704894"/>
    <n v="552.76386409353802"/>
    <n v="1989.9499107367401"/>
  </r>
  <r>
    <x v="0"/>
    <x v="0"/>
    <x v="0"/>
    <x v="1"/>
    <x v="2"/>
    <s v="EE_Parnu"/>
    <x v="4"/>
    <x v="3"/>
    <s v="GBPR_WOODCHIPS_TARTU"/>
    <x v="7"/>
    <x v="6"/>
    <n v="8.9292226156564496"/>
    <n v="543.19437578576799"/>
    <n v="1955.4997528287599"/>
  </r>
  <r>
    <x v="0"/>
    <x v="0"/>
    <x v="0"/>
    <x v="1"/>
    <x v="2"/>
    <s v="EE_Parnu"/>
    <x v="4"/>
    <x v="3"/>
    <s v="GBPR_WOODCHIPS_TARTU"/>
    <x v="7"/>
    <x v="7"/>
    <n v="8.7594970119281701"/>
    <n v="532.869401558964"/>
    <n v="1918.32984561227"/>
  </r>
  <r>
    <x v="0"/>
    <x v="0"/>
    <x v="0"/>
    <x v="1"/>
    <x v="2"/>
    <s v="EE_Parnu"/>
    <x v="4"/>
    <x v="3"/>
    <s v="GBPR_WOODCHIPS_TARTU"/>
    <x v="7"/>
    <x v="8"/>
    <n v="8.6104696525569899"/>
    <n v="523.80357053055002"/>
    <n v="1885.6928539099799"/>
  </r>
  <r>
    <x v="0"/>
    <x v="0"/>
    <x v="0"/>
    <x v="1"/>
    <x v="2"/>
    <s v="EE_Parnu"/>
    <x v="4"/>
    <x v="3"/>
    <s v="GBPR_WOODCHIPS_TARTU"/>
    <x v="7"/>
    <x v="9"/>
    <n v="8.4904198352857794"/>
    <n v="516.50053997988505"/>
    <n v="1859.4019439275901"/>
  </r>
  <r>
    <x v="0"/>
    <x v="0"/>
    <x v="0"/>
    <x v="1"/>
    <x v="2"/>
    <s v="EE_Parnu"/>
    <x v="4"/>
    <x v="3"/>
    <s v="GBPR_WOODCHIPS_TARTU"/>
    <x v="7"/>
    <x v="10"/>
    <n v="8.3952079112430802"/>
    <n v="510.70848126728703"/>
    <n v="1838.55053256223"/>
  </r>
  <r>
    <x v="0"/>
    <x v="0"/>
    <x v="0"/>
    <x v="1"/>
    <x v="2"/>
    <s v="EE_Parnu"/>
    <x v="4"/>
    <x v="3"/>
    <s v="GBPR_WOODCHIPS_TARTU"/>
    <x v="7"/>
    <x v="11"/>
    <n v="8.3248338804289101"/>
    <n v="506.42739439275903"/>
    <n v="1823.1386198139301"/>
  </r>
  <r>
    <x v="0"/>
    <x v="0"/>
    <x v="0"/>
    <x v="1"/>
    <x v="2"/>
    <s v="EE_Parnu"/>
    <x v="4"/>
    <x v="3"/>
    <s v="GBPR_WOODCHIPS_TARTU"/>
    <x v="8"/>
    <x v="0"/>
    <n v="8.6021903548141605"/>
    <n v="523.29991325119499"/>
    <n v="1883.8796877043001"/>
  </r>
  <r>
    <x v="0"/>
    <x v="0"/>
    <x v="0"/>
    <x v="1"/>
    <x v="2"/>
    <s v="EE_Parnu"/>
    <x v="4"/>
    <x v="3"/>
    <s v="GBPR_WOODCHIPS_TARTU"/>
    <x v="8"/>
    <x v="1"/>
    <n v="8.6767040344997408"/>
    <n v="527.83282876540102"/>
    <n v="1900.19818355544"/>
  </r>
  <r>
    <x v="0"/>
    <x v="0"/>
    <x v="0"/>
    <x v="1"/>
    <x v="2"/>
    <s v="EE_Parnu"/>
    <x v="4"/>
    <x v="3"/>
    <s v="GBPR_WOODCHIPS_TARTU"/>
    <x v="8"/>
    <x v="2"/>
    <n v="8.7387987675710797"/>
    <n v="531.61025836057399"/>
    <n v="1913.7969300980701"/>
  </r>
  <r>
    <x v="0"/>
    <x v="0"/>
    <x v="0"/>
    <x v="1"/>
    <x v="2"/>
    <s v="EE_Parnu"/>
    <x v="4"/>
    <x v="3"/>
    <s v="GBPR_WOODCHIPS_TARTU"/>
    <x v="8"/>
    <x v="3"/>
    <n v="8.8091727983852408"/>
    <n v="535.89134523510199"/>
    <n v="1929.2088428463701"/>
  </r>
  <r>
    <x v="0"/>
    <x v="0"/>
    <x v="0"/>
    <x v="1"/>
    <x v="2"/>
    <s v="EE_Parnu"/>
    <x v="4"/>
    <x v="3"/>
    <s v="GBPR_WOODCHIPS_TARTU"/>
    <x v="8"/>
    <x v="4"/>
    <n v="8.8629882337137307"/>
    <n v="539.16511755091904"/>
    <n v="1940.9944231833099"/>
  </r>
  <r>
    <x v="0"/>
    <x v="0"/>
    <x v="0"/>
    <x v="1"/>
    <x v="2"/>
    <s v="EE_Parnu"/>
    <x v="4"/>
    <x v="3"/>
    <s v="GBPR_WOODCHIPS_TARTU"/>
    <x v="8"/>
    <x v="5"/>
    <n v="8.8919657758136808"/>
    <n v="540.92791802866498"/>
    <n v="1947.3405049032001"/>
  </r>
  <r>
    <x v="0"/>
    <x v="0"/>
    <x v="0"/>
    <x v="1"/>
    <x v="2"/>
    <s v="EE_Parnu"/>
    <x v="4"/>
    <x v="3"/>
    <s v="GBPR_WOODCHIPS_TARTU"/>
    <x v="8"/>
    <x v="6"/>
    <n v="8.8836864780708193"/>
    <n v="540.42426074930802"/>
    <n v="1945.52733869751"/>
  </r>
  <r>
    <x v="0"/>
    <x v="0"/>
    <x v="0"/>
    <x v="1"/>
    <x v="2"/>
    <s v="EE_Parnu"/>
    <x v="4"/>
    <x v="3"/>
    <s v="GBPR_WOODCHIPS_TARTU"/>
    <x v="8"/>
    <x v="7"/>
    <n v="8.8381503404851909"/>
    <n v="537.65414571284896"/>
    <n v="1935.5549245662601"/>
  </r>
  <r>
    <x v="0"/>
    <x v="0"/>
    <x v="0"/>
    <x v="1"/>
    <x v="2"/>
    <s v="EE_Parnu"/>
    <x v="4"/>
    <x v="3"/>
    <s v="GBPR_WOODCHIPS_TARTU"/>
    <x v="8"/>
    <x v="8"/>
    <n v="8.7636366607995893"/>
    <n v="533.121230198641"/>
    <n v="1919.2364287151099"/>
  </r>
  <r>
    <x v="0"/>
    <x v="0"/>
    <x v="0"/>
    <x v="1"/>
    <x v="2"/>
    <s v="EE_Parnu"/>
    <x v="4"/>
    <x v="3"/>
    <s v="GBPR_WOODCHIPS_TARTU"/>
    <x v="8"/>
    <x v="9"/>
    <n v="8.7098212254710994"/>
    <n v="529.84745788282498"/>
    <n v="1907.4508483781699"/>
  </r>
  <r>
    <x v="0"/>
    <x v="0"/>
    <x v="0"/>
    <x v="1"/>
    <x v="2"/>
    <s v="EE_Parnu"/>
    <x v="4"/>
    <x v="3"/>
    <s v="GBPR_WOODCHIPS_TARTU"/>
    <x v="8"/>
    <x v="10"/>
    <n v="8.63944719465694"/>
    <n v="525.56637100829698"/>
    <n v="1892.0389356298699"/>
  </r>
  <r>
    <x v="0"/>
    <x v="0"/>
    <x v="0"/>
    <x v="1"/>
    <x v="2"/>
    <s v="EE_Parnu"/>
    <x v="4"/>
    <x v="3"/>
    <s v="GBPR_WOODCHIPS_TARTU"/>
    <x v="8"/>
    <x v="11"/>
    <n v="8.5732128127142104"/>
    <n v="521.53711277344803"/>
    <n v="1877.5336059844101"/>
  </r>
  <r>
    <x v="0"/>
    <x v="0"/>
    <x v="0"/>
    <x v="1"/>
    <x v="2"/>
    <s v="EE_Parnu"/>
    <x v="4"/>
    <x v="3"/>
    <s v="GBPR_WOODCHIPS_TARTU"/>
    <x v="9"/>
    <x v="0"/>
    <n v="8.1261307346006593"/>
    <n v="494.33961968820699"/>
    <n v="1779.6226308775399"/>
  </r>
  <r>
    <x v="0"/>
    <x v="0"/>
    <x v="0"/>
    <x v="1"/>
    <x v="2"/>
    <s v="EE_Parnu"/>
    <x v="4"/>
    <x v="3"/>
    <s v="GBPR_WOODCHIPS_TARTU"/>
    <x v="9"/>
    <x v="1"/>
    <n v="8.1840858188005505"/>
    <n v="497.86522064370001"/>
    <n v="1792.3147943173201"/>
  </r>
  <r>
    <x v="0"/>
    <x v="0"/>
    <x v="0"/>
    <x v="1"/>
    <x v="2"/>
    <s v="EE_Parnu"/>
    <x v="4"/>
    <x v="3"/>
    <s v="GBPR_WOODCHIPS_TARTU"/>
    <x v="9"/>
    <x v="2"/>
    <n v="8.2130633609005308"/>
    <n v="499.62802112144902"/>
    <n v="1798.6608760372201"/>
  </r>
  <r>
    <x v="0"/>
    <x v="0"/>
    <x v="0"/>
    <x v="1"/>
    <x v="2"/>
    <s v="EE_Parnu"/>
    <x v="4"/>
    <x v="3"/>
    <s v="GBPR_WOODCHIPS_TARTU"/>
    <x v="9"/>
    <x v="3"/>
    <n v="8.2006444142862591"/>
    <n v="498.87253520241399"/>
    <n v="1795.9411267286901"/>
  </r>
  <r>
    <x v="0"/>
    <x v="0"/>
    <x v="0"/>
    <x v="1"/>
    <x v="2"/>
    <s v="EE_Parnu"/>
    <x v="4"/>
    <x v="3"/>
    <s v="GBPR_WOODCHIPS_TARTU"/>
    <x v="9"/>
    <x v="4"/>
    <n v="8.1633875744434601"/>
    <n v="496.60607744531097"/>
    <n v="1787.78187880312"/>
  </r>
  <r>
    <x v="0"/>
    <x v="0"/>
    <x v="0"/>
    <x v="1"/>
    <x v="2"/>
    <s v="EE_Parnu"/>
    <x v="4"/>
    <x v="3"/>
    <s v="GBPR_WOODCHIPS_TARTU"/>
    <x v="9"/>
    <x v="5"/>
    <n v="8.1095721391149809"/>
    <n v="493.33230512949399"/>
    <n v="1775.99629846618"/>
  </r>
  <r>
    <x v="0"/>
    <x v="0"/>
    <x v="0"/>
    <x v="1"/>
    <x v="2"/>
    <s v="EE_Parnu"/>
    <x v="4"/>
    <x v="3"/>
    <s v="GBPR_WOODCHIPS_TARTU"/>
    <x v="9"/>
    <x v="6"/>
    <n v="8.0267791616865392"/>
    <n v="488.29573233593101"/>
    <n v="1757.8646364093499"/>
  </r>
  <r>
    <x v="0"/>
    <x v="0"/>
    <x v="0"/>
    <x v="1"/>
    <x v="2"/>
    <s v="EE_Parnu"/>
    <x v="4"/>
    <x v="3"/>
    <s v="GBPR_WOODCHIPS_TARTU"/>
    <x v="9"/>
    <x v="7"/>
    <n v="7.9274275887724297"/>
    <n v="482.25184498365599"/>
    <n v="1736.10664194116"/>
  </r>
  <r>
    <x v="0"/>
    <x v="0"/>
    <x v="0"/>
    <x v="1"/>
    <x v="2"/>
    <s v="EE_Parnu"/>
    <x v="4"/>
    <x v="3"/>
    <s v="GBPR_WOODCHIPS_TARTU"/>
    <x v="9"/>
    <x v="8"/>
    <n v="7.8529139090868503"/>
    <n v="477.71892946945002"/>
    <n v="1719.7881460900201"/>
  </r>
  <r>
    <x v="0"/>
    <x v="0"/>
    <x v="0"/>
    <x v="1"/>
    <x v="2"/>
    <s v="EE_Parnu"/>
    <x v="4"/>
    <x v="3"/>
    <s v="GBPR_WOODCHIPS_TARTU"/>
    <x v="9"/>
    <x v="9"/>
    <n v="7.7990984737583702"/>
    <n v="474.445157153634"/>
    <n v="1708.00256575308"/>
  </r>
  <r>
    <x v="0"/>
    <x v="0"/>
    <x v="0"/>
    <x v="1"/>
    <x v="2"/>
    <s v="EE_Parnu"/>
    <x v="4"/>
    <x v="3"/>
    <s v="GBPR_WOODCHIPS_TARTU"/>
    <x v="9"/>
    <x v="10"/>
    <n v="7.7825398782726598"/>
    <n v="473.43784259492003"/>
    <n v="1704.3762333417101"/>
  </r>
  <r>
    <x v="0"/>
    <x v="0"/>
    <x v="0"/>
    <x v="1"/>
    <x v="2"/>
    <s v="EE_Parnu"/>
    <x v="4"/>
    <x v="3"/>
    <s v="GBPR_WOODCHIPS_TARTU"/>
    <x v="9"/>
    <x v="11"/>
    <n v="7.8322156647297296"/>
    <n v="476.45978627105899"/>
    <n v="1715.2552305758099"/>
  </r>
  <r>
    <x v="0"/>
    <x v="0"/>
    <x v="0"/>
    <x v="1"/>
    <x v="2"/>
    <s v="EE_Parnu"/>
    <x v="4"/>
    <x v="3"/>
    <s v="GBPR_WOODCHIPS_TARTU"/>
    <x v="10"/>
    <x v="0"/>
    <n v="7.2195476317593297"/>
    <n v="439.18914759869301"/>
    <n v="1581.08093135529"/>
  </r>
  <r>
    <x v="0"/>
    <x v="0"/>
    <x v="0"/>
    <x v="1"/>
    <x v="2"/>
    <s v="EE_Parnu"/>
    <x v="4"/>
    <x v="3"/>
    <s v="GBPR_WOODCHIPS_TARTU"/>
    <x v="10"/>
    <x v="1"/>
    <n v="7.2154079828878901"/>
    <n v="438.93731895901402"/>
    <n v="1580.17434825245"/>
  </r>
  <r>
    <x v="0"/>
    <x v="0"/>
    <x v="0"/>
    <x v="1"/>
    <x v="2"/>
    <s v="EE_Parnu"/>
    <x v="4"/>
    <x v="3"/>
    <s v="GBPR_WOODCHIPS_TARTU"/>
    <x v="10"/>
    <x v="2"/>
    <n v="7.1864304407879498"/>
    <n v="437.174518481267"/>
    <n v="1573.8282665325601"/>
  </r>
  <r>
    <x v="0"/>
    <x v="0"/>
    <x v="0"/>
    <x v="1"/>
    <x v="2"/>
    <s v="EE_Parnu"/>
    <x v="4"/>
    <x v="3"/>
    <s v="GBPR_WOODCHIPS_TARTU"/>
    <x v="10"/>
    <x v="3"/>
    <n v="7.1574528986879997"/>
    <n v="435.41171800351998"/>
    <n v="1567.4821848126701"/>
  </r>
  <r>
    <x v="0"/>
    <x v="0"/>
    <x v="0"/>
    <x v="1"/>
    <x v="2"/>
    <s v="EE_Parnu"/>
    <x v="4"/>
    <x v="3"/>
    <s v="GBPR_WOODCHIPS_TARTU"/>
    <x v="10"/>
    <x v="4"/>
    <n v="7.1077771122309503"/>
    <n v="432.38977432738301"/>
    <n v="1556.60318757858"/>
  </r>
  <r>
    <x v="0"/>
    <x v="0"/>
    <x v="0"/>
    <x v="1"/>
    <x v="2"/>
    <s v="EE_Parnu"/>
    <x v="4"/>
    <x v="3"/>
    <s v="GBPR_WOODCHIPS_TARTU"/>
    <x v="10"/>
    <x v="5"/>
    <n v="7.0332634325453496"/>
    <n v="427.85685881317499"/>
    <n v="1540.2846917274301"/>
  </r>
  <r>
    <x v="0"/>
    <x v="0"/>
    <x v="0"/>
    <x v="1"/>
    <x v="2"/>
    <s v="EE_Parnu"/>
    <x v="4"/>
    <x v="3"/>
    <s v="GBPR_WOODCHIPS_TARTU"/>
    <x v="10"/>
    <x v="6"/>
    <n v="6.9463308062455003"/>
    <n v="422.56845737993501"/>
    <n v="1521.2464465677599"/>
  </r>
  <r>
    <x v="0"/>
    <x v="0"/>
    <x v="0"/>
    <x v="1"/>
    <x v="2"/>
    <s v="EE_Parnu"/>
    <x v="4"/>
    <x v="3"/>
    <s v="GBPR_WOODCHIPS_TARTU"/>
    <x v="10"/>
    <x v="7"/>
    <n v="6.8635378288170701"/>
    <n v="417.53188458637197"/>
    <n v="1503.1147845109399"/>
  </r>
  <r>
    <x v="0"/>
    <x v="0"/>
    <x v="0"/>
    <x v="1"/>
    <x v="2"/>
    <s v="EE_Parnu"/>
    <x v="4"/>
    <x v="3"/>
    <s v="GBPR_WOODCHIPS_TARTU"/>
    <x v="10"/>
    <x v="8"/>
    <n v="6.7766052025172199"/>
    <n v="412.24348315313102"/>
    <n v="1484.07653935127"/>
  </r>
  <r>
    <x v="0"/>
    <x v="0"/>
    <x v="0"/>
    <x v="1"/>
    <x v="2"/>
    <s v="EE_Parnu"/>
    <x v="4"/>
    <x v="3"/>
    <s v="GBPR_WOODCHIPS_TARTU"/>
    <x v="10"/>
    <x v="9"/>
    <n v="6.6938122250887897"/>
    <n v="407.20691035956798"/>
    <n v="1465.9448772944399"/>
  </r>
  <r>
    <x v="0"/>
    <x v="0"/>
    <x v="0"/>
    <x v="1"/>
    <x v="2"/>
    <s v="EE_Parnu"/>
    <x v="4"/>
    <x v="3"/>
    <s v="GBPR_WOODCHIPS_TARTU"/>
    <x v="10"/>
    <x v="10"/>
    <n v="6.6524157363745697"/>
    <n v="404.68862396278598"/>
    <n v="1456.8790462660299"/>
  </r>
  <r>
    <x v="0"/>
    <x v="0"/>
    <x v="0"/>
    <x v="1"/>
    <x v="2"/>
    <s v="EE_Parnu"/>
    <x v="4"/>
    <x v="3"/>
    <s v="GBPR_WOODCHIPS_TARTU"/>
    <x v="10"/>
    <x v="11"/>
    <n v="6.6813932784745198"/>
    <n v="406.451424440533"/>
    <n v="1463.2251279859199"/>
  </r>
  <r>
    <x v="0"/>
    <x v="0"/>
    <x v="0"/>
    <x v="1"/>
    <x v="2"/>
    <s v="EE_Parnu"/>
    <x v="4"/>
    <x v="3"/>
    <s v="GBPR_WOODCHIPS_TARTU"/>
    <x v="11"/>
    <x v="0"/>
    <n v="7.1243357077166296"/>
    <n v="433.39708888609499"/>
    <n v="1560.2295199899399"/>
  </r>
  <r>
    <x v="0"/>
    <x v="0"/>
    <x v="0"/>
    <x v="1"/>
    <x v="2"/>
    <s v="EE_Parnu"/>
    <x v="4"/>
    <x v="3"/>
    <s v="GBPR_WOODCHIPS_TARTU"/>
    <x v="11"/>
    <x v="1"/>
    <n v="7.2029890362736504"/>
    <n v="438.18183303998097"/>
    <n v="1577.45459894393"/>
  </r>
  <r>
    <x v="0"/>
    <x v="0"/>
    <x v="0"/>
    <x v="1"/>
    <x v="2"/>
    <s v="EE_Parnu"/>
    <x v="4"/>
    <x v="3"/>
    <s v="GBPR_WOODCHIPS_TARTU"/>
    <x v="11"/>
    <x v="2"/>
    <n v="7.2568044716021101"/>
    <n v="441.455605355795"/>
    <n v="1589.24017928086"/>
  </r>
  <r>
    <x v="0"/>
    <x v="0"/>
    <x v="0"/>
    <x v="1"/>
    <x v="2"/>
    <s v="EE_Parnu"/>
    <x v="4"/>
    <x v="3"/>
    <s v="GBPR_WOODCHIPS_TARTU"/>
    <x v="11"/>
    <x v="3"/>
    <n v="7.2733630670878204"/>
    <n v="442.46291991450897"/>
    <n v="1592.86651169223"/>
  </r>
  <r>
    <x v="0"/>
    <x v="0"/>
    <x v="0"/>
    <x v="1"/>
    <x v="2"/>
    <s v="EE_Parnu"/>
    <x v="4"/>
    <x v="3"/>
    <s v="GBPR_WOODCHIPS_TARTU"/>
    <x v="11"/>
    <x v="4"/>
    <n v="7.2485251738592797"/>
    <n v="440.95194807643998"/>
    <n v="1587.42701307518"/>
  </r>
  <r>
    <x v="0"/>
    <x v="0"/>
    <x v="0"/>
    <x v="1"/>
    <x v="2"/>
    <s v="EE_Parnu"/>
    <x v="4"/>
    <x v="3"/>
    <s v="GBPR_WOODCHIPS_TARTU"/>
    <x v="11"/>
    <x v="5"/>
    <n v="7.1781511430451204"/>
    <n v="436.67086120191101"/>
    <n v="1572.01510032688"/>
  </r>
  <r>
    <x v="0"/>
    <x v="0"/>
    <x v="0"/>
    <x v="1"/>
    <x v="2"/>
    <s v="EE_Parnu"/>
    <x v="4"/>
    <x v="3"/>
    <s v="GBPR_WOODCHIPS_TARTU"/>
    <x v="11"/>
    <x v="6"/>
    <n v="7.0456823791596097"/>
    <n v="428.61234473220998"/>
    <n v="1543.0044410359601"/>
  </r>
  <r>
    <x v="0"/>
    <x v="0"/>
    <x v="0"/>
    <x v="1"/>
    <x v="2"/>
    <s v="EE_Parnu"/>
    <x v="4"/>
    <x v="3"/>
    <s v="GBPR_WOODCHIPS_TARTU"/>
    <x v="11"/>
    <x v="7"/>
    <n v="6.8759567754313302"/>
    <n v="418.28737050540599"/>
    <n v="1505.8345338194599"/>
  </r>
  <r>
    <x v="0"/>
    <x v="0"/>
    <x v="0"/>
    <x v="1"/>
    <x v="2"/>
    <s v="EE_Parnu"/>
    <x v="4"/>
    <x v="3"/>
    <s v="GBPR_WOODCHIPS_TARTU"/>
    <x v="11"/>
    <x v="8"/>
    <n v="6.7186501183173197"/>
    <n v="408.71788219763698"/>
    <n v="1471.38437591149"/>
  </r>
  <r>
    <x v="0"/>
    <x v="0"/>
    <x v="0"/>
    <x v="1"/>
    <x v="2"/>
    <s v="EE_Parnu"/>
    <x v="4"/>
    <x v="3"/>
    <s v="GBPR_WOODCHIPS_TARTU"/>
    <x v="11"/>
    <x v="9"/>
    <n v="6.5654831100747"/>
    <n v="399.40022252954401"/>
    <n v="1437.84080110636"/>
  </r>
  <r>
    <x v="0"/>
    <x v="0"/>
    <x v="0"/>
    <x v="1"/>
    <x v="2"/>
    <s v="EE_Parnu"/>
    <x v="4"/>
    <x v="3"/>
    <s v="GBPR_WOODCHIPS_TARTU"/>
    <x v="11"/>
    <x v="10"/>
    <n v="6.4288746973178101"/>
    <n v="391.089877420167"/>
    <n v="1407.9235587126"/>
  </r>
  <r>
    <x v="0"/>
    <x v="0"/>
    <x v="0"/>
    <x v="1"/>
    <x v="2"/>
    <s v="EE_Parnu"/>
    <x v="4"/>
    <x v="3"/>
    <s v="GBPR_WOODCHIPS_TARTU"/>
    <x v="11"/>
    <x v="11"/>
    <n v="6.3253834755322504"/>
    <n v="384.79416142821202"/>
    <n v="1385.2589811415601"/>
  </r>
  <r>
    <x v="0"/>
    <x v="0"/>
    <x v="0"/>
    <x v="1"/>
    <x v="2"/>
    <s v="EE_Small"/>
    <x v="6"/>
    <x v="4"/>
    <s v="GEXT_SHALE_SILLAMAE"/>
    <x v="4"/>
    <x v="0"/>
    <n v="0.82264747951408701"/>
    <n v="50.044388337107002"/>
    <n v="180.159798013585"/>
  </r>
  <r>
    <x v="0"/>
    <x v="0"/>
    <x v="0"/>
    <x v="1"/>
    <x v="2"/>
    <s v="EE_Small"/>
    <x v="6"/>
    <x v="4"/>
    <s v="GEXT_SHALE_SILLAMAE"/>
    <x v="4"/>
    <x v="1"/>
    <n v="0.82896085092015304"/>
    <n v="50.428451764309301"/>
    <n v="181.542426351513"/>
  </r>
  <r>
    <x v="0"/>
    <x v="0"/>
    <x v="0"/>
    <x v="1"/>
    <x v="2"/>
    <s v="EE_Small"/>
    <x v="6"/>
    <x v="4"/>
    <s v="GEXT_SHALE_SILLAMAE"/>
    <x v="4"/>
    <x v="2"/>
    <n v="0.70900679420369095"/>
    <n v="43.131246647391201"/>
    <n v="155.27248793060801"/>
  </r>
  <r>
    <x v="0"/>
    <x v="0"/>
    <x v="0"/>
    <x v="1"/>
    <x v="2"/>
    <s v="EE_Small"/>
    <x v="6"/>
    <x v="4"/>
    <s v="GEXT_SHALE_SILLAMAE"/>
    <x v="4"/>
    <x v="3"/>
    <n v="0.50066553780129797"/>
    <n v="30.457153549579001"/>
    <n v="109.645752778484"/>
  </r>
  <r>
    <x v="0"/>
    <x v="0"/>
    <x v="0"/>
    <x v="1"/>
    <x v="2"/>
    <s v="EE_Small"/>
    <x v="6"/>
    <x v="4"/>
    <s v="GEXT_SHALE_SILLAMAE"/>
    <x v="4"/>
    <x v="4"/>
    <n v="0.28601090999274298"/>
    <n v="17.3989970245586"/>
    <n v="62.636389288410797"/>
  </r>
  <r>
    <x v="0"/>
    <x v="0"/>
    <x v="0"/>
    <x v="1"/>
    <x v="2"/>
    <s v="EE_Small"/>
    <x v="6"/>
    <x v="4"/>
    <s v="GEXT_SHALE_SILLAMAE"/>
    <x v="5"/>
    <x v="0"/>
    <n v="4.5945945945946001"/>
    <n v="279.50450450450398"/>
    <n v="1006.21621621622"/>
  </r>
  <r>
    <x v="0"/>
    <x v="0"/>
    <x v="0"/>
    <x v="1"/>
    <x v="2"/>
    <s v="EE_Small"/>
    <x v="6"/>
    <x v="4"/>
    <s v="GEXT_SHALE_SILLAMAE"/>
    <x v="5"/>
    <x v="1"/>
    <n v="4.5945945945945903"/>
    <n v="279.50450450450398"/>
    <n v="1006.21621621622"/>
  </r>
  <r>
    <x v="0"/>
    <x v="0"/>
    <x v="0"/>
    <x v="1"/>
    <x v="2"/>
    <s v="EE_Small"/>
    <x v="6"/>
    <x v="4"/>
    <s v="GEXT_SHALE_SILLAMAE"/>
    <x v="5"/>
    <x v="2"/>
    <n v="4.5945945945945903"/>
    <n v="279.50450450450398"/>
    <n v="1006.21621621622"/>
  </r>
  <r>
    <x v="0"/>
    <x v="0"/>
    <x v="0"/>
    <x v="1"/>
    <x v="2"/>
    <s v="EE_Small"/>
    <x v="6"/>
    <x v="4"/>
    <s v="GEXT_SHALE_SILLAMAE"/>
    <x v="5"/>
    <x v="3"/>
    <n v="4.5945945945945903"/>
    <n v="279.50450450450398"/>
    <n v="1006.21621621622"/>
  </r>
  <r>
    <x v="0"/>
    <x v="0"/>
    <x v="0"/>
    <x v="1"/>
    <x v="2"/>
    <s v="EE_Small"/>
    <x v="6"/>
    <x v="4"/>
    <s v="GEXT_SHALE_SILLAMAE"/>
    <x v="5"/>
    <x v="4"/>
    <n v="4.5945945945945903"/>
    <n v="279.50450450450398"/>
    <n v="1006.21621621622"/>
  </r>
  <r>
    <x v="0"/>
    <x v="0"/>
    <x v="0"/>
    <x v="1"/>
    <x v="2"/>
    <s v="EE_Small"/>
    <x v="6"/>
    <x v="4"/>
    <s v="GEXT_SHALE_SILLAMAE"/>
    <x v="5"/>
    <x v="5"/>
    <n v="4.5945945945945903"/>
    <n v="279.50450450450398"/>
    <n v="1006.21621621622"/>
  </r>
  <r>
    <x v="0"/>
    <x v="0"/>
    <x v="0"/>
    <x v="1"/>
    <x v="2"/>
    <s v="EE_Small"/>
    <x v="6"/>
    <x v="4"/>
    <s v="GEXT_SHALE_SILLAMAE"/>
    <x v="5"/>
    <x v="6"/>
    <n v="4.4907162664774498"/>
    <n v="273.18523954404498"/>
    <n v="983.46686235856203"/>
  </r>
  <r>
    <x v="0"/>
    <x v="0"/>
    <x v="0"/>
    <x v="1"/>
    <x v="2"/>
    <s v="EE_Small"/>
    <x v="6"/>
    <x v="4"/>
    <s v="GEXT_SHALE_SILLAMAE"/>
    <x v="5"/>
    <x v="7"/>
    <n v="3.8783192400825199"/>
    <n v="235.93108710502"/>
    <n v="849.35191357807105"/>
  </r>
  <r>
    <x v="0"/>
    <x v="0"/>
    <x v="0"/>
    <x v="1"/>
    <x v="2"/>
    <s v="EE_Small"/>
    <x v="6"/>
    <x v="4"/>
    <s v="GEXT_SHALE_SILLAMAE"/>
    <x v="5"/>
    <x v="8"/>
    <n v="3.29748907071831"/>
    <n v="200.59725180203"/>
    <n v="722.15010648730902"/>
  </r>
  <r>
    <x v="0"/>
    <x v="0"/>
    <x v="0"/>
    <x v="1"/>
    <x v="2"/>
    <s v="EE_Small"/>
    <x v="6"/>
    <x v="4"/>
    <s v="GEXT_SHALE_SILLAMAE"/>
    <x v="5"/>
    <x v="9"/>
    <n v="2.8050461010398302"/>
    <n v="170.640304479923"/>
    <n v="614.305096127723"/>
  </r>
  <r>
    <x v="0"/>
    <x v="0"/>
    <x v="0"/>
    <x v="1"/>
    <x v="2"/>
    <s v="EE_Small"/>
    <x v="6"/>
    <x v="4"/>
    <s v="GEXT_SHALE_SILLAMAE"/>
    <x v="5"/>
    <x v="10"/>
    <n v="2.48937753073321"/>
    <n v="151.437133119604"/>
    <n v="545.17367923057304"/>
  </r>
  <r>
    <x v="0"/>
    <x v="0"/>
    <x v="0"/>
    <x v="1"/>
    <x v="2"/>
    <s v="EE_Small"/>
    <x v="6"/>
    <x v="4"/>
    <s v="GEXT_SHALE_SILLAMAE"/>
    <x v="5"/>
    <x v="11"/>
    <n v="2.2747229029246498"/>
    <n v="138.37897659458301"/>
    <n v="498.16431574049898"/>
  </r>
  <r>
    <x v="0"/>
    <x v="0"/>
    <x v="0"/>
    <x v="1"/>
    <x v="2"/>
    <s v="EE_Tallinn"/>
    <x v="4"/>
    <x v="3"/>
    <s v="GBPR_WOODCHIPS_TARTU"/>
    <x v="0"/>
    <x v="0"/>
    <n v="22"/>
    <n v="1338.3333333333301"/>
    <n v="4818"/>
  </r>
  <r>
    <x v="0"/>
    <x v="0"/>
    <x v="0"/>
    <x v="1"/>
    <x v="2"/>
    <s v="EE_Tallinn"/>
    <x v="4"/>
    <x v="3"/>
    <s v="GBPR_WOODCHIPS_TARTU"/>
    <x v="0"/>
    <x v="1"/>
    <n v="22"/>
    <n v="1338.3333333333301"/>
    <n v="4818"/>
  </r>
  <r>
    <x v="0"/>
    <x v="0"/>
    <x v="0"/>
    <x v="1"/>
    <x v="2"/>
    <s v="EE_Tallinn"/>
    <x v="4"/>
    <x v="3"/>
    <s v="GBPR_WOODCHIPS_TARTU"/>
    <x v="0"/>
    <x v="2"/>
    <n v="22"/>
    <n v="1338.3333333333301"/>
    <n v="4818"/>
  </r>
  <r>
    <x v="0"/>
    <x v="0"/>
    <x v="0"/>
    <x v="1"/>
    <x v="2"/>
    <s v="EE_Tallinn"/>
    <x v="4"/>
    <x v="3"/>
    <s v="GBPR_WOODCHIPS_TARTU"/>
    <x v="0"/>
    <x v="3"/>
    <n v="22"/>
    <n v="1338.3333333333301"/>
    <n v="4818"/>
  </r>
  <r>
    <x v="0"/>
    <x v="0"/>
    <x v="0"/>
    <x v="1"/>
    <x v="2"/>
    <s v="EE_Tallinn"/>
    <x v="4"/>
    <x v="3"/>
    <s v="GBPR_WOODCHIPS_TARTU"/>
    <x v="0"/>
    <x v="4"/>
    <n v="22"/>
    <n v="1338.3333333333301"/>
    <n v="4818"/>
  </r>
  <r>
    <x v="0"/>
    <x v="0"/>
    <x v="0"/>
    <x v="1"/>
    <x v="2"/>
    <s v="EE_Tallinn"/>
    <x v="4"/>
    <x v="3"/>
    <s v="GBPR_WOODCHIPS_TARTU"/>
    <x v="0"/>
    <x v="5"/>
    <n v="22"/>
    <n v="1338.3333333333301"/>
    <n v="4818"/>
  </r>
  <r>
    <x v="0"/>
    <x v="0"/>
    <x v="0"/>
    <x v="1"/>
    <x v="2"/>
    <s v="EE_Tallinn"/>
    <x v="4"/>
    <x v="3"/>
    <s v="GBPR_WOODCHIPS_TARTU"/>
    <x v="0"/>
    <x v="6"/>
    <n v="22"/>
    <n v="1338.3333333333301"/>
    <n v="4818"/>
  </r>
  <r>
    <x v="0"/>
    <x v="0"/>
    <x v="0"/>
    <x v="1"/>
    <x v="2"/>
    <s v="EE_Tallinn"/>
    <x v="4"/>
    <x v="3"/>
    <s v="GBPR_WOODCHIPS_TARTU"/>
    <x v="0"/>
    <x v="7"/>
    <n v="22"/>
    <n v="1338.3333333333301"/>
    <n v="4818"/>
  </r>
  <r>
    <x v="0"/>
    <x v="0"/>
    <x v="0"/>
    <x v="1"/>
    <x v="2"/>
    <s v="EE_Tallinn"/>
    <x v="4"/>
    <x v="3"/>
    <s v="GBPR_WOODCHIPS_TARTU"/>
    <x v="0"/>
    <x v="8"/>
    <n v="22"/>
    <n v="1338.3333333333301"/>
    <n v="4818"/>
  </r>
  <r>
    <x v="0"/>
    <x v="0"/>
    <x v="0"/>
    <x v="1"/>
    <x v="2"/>
    <s v="EE_Tallinn"/>
    <x v="4"/>
    <x v="3"/>
    <s v="GBPR_WOODCHIPS_TARTU"/>
    <x v="0"/>
    <x v="9"/>
    <n v="22"/>
    <n v="1338.3333333333301"/>
    <n v="4818"/>
  </r>
  <r>
    <x v="0"/>
    <x v="0"/>
    <x v="0"/>
    <x v="1"/>
    <x v="2"/>
    <s v="EE_Tallinn"/>
    <x v="4"/>
    <x v="3"/>
    <s v="GBPR_WOODCHIPS_TARTU"/>
    <x v="0"/>
    <x v="10"/>
    <n v="22"/>
    <n v="1338.3333333333301"/>
    <n v="4818"/>
  </r>
  <r>
    <x v="0"/>
    <x v="0"/>
    <x v="0"/>
    <x v="1"/>
    <x v="2"/>
    <s v="EE_Tallinn"/>
    <x v="4"/>
    <x v="3"/>
    <s v="GBPR_WOODCHIPS_TARTU"/>
    <x v="0"/>
    <x v="11"/>
    <n v="22"/>
    <n v="1338.3333333333301"/>
    <n v="4818"/>
  </r>
  <r>
    <x v="0"/>
    <x v="0"/>
    <x v="0"/>
    <x v="1"/>
    <x v="2"/>
    <s v="EE_Tallinn"/>
    <x v="4"/>
    <x v="3"/>
    <s v="GBPR_WOODCHIPS_TARTU"/>
    <x v="1"/>
    <x v="0"/>
    <n v="22"/>
    <n v="1338.3333333333301"/>
    <n v="4818"/>
  </r>
  <r>
    <x v="0"/>
    <x v="0"/>
    <x v="0"/>
    <x v="1"/>
    <x v="2"/>
    <s v="EE_Tallinn"/>
    <x v="4"/>
    <x v="3"/>
    <s v="GBPR_WOODCHIPS_TARTU"/>
    <x v="1"/>
    <x v="1"/>
    <n v="22"/>
    <n v="1338.3333333333301"/>
    <n v="4818"/>
  </r>
  <r>
    <x v="0"/>
    <x v="0"/>
    <x v="0"/>
    <x v="1"/>
    <x v="2"/>
    <s v="EE_Tallinn"/>
    <x v="4"/>
    <x v="3"/>
    <s v="GBPR_WOODCHIPS_TARTU"/>
    <x v="1"/>
    <x v="2"/>
    <n v="22"/>
    <n v="1338.3333333333301"/>
    <n v="4818"/>
  </r>
  <r>
    <x v="0"/>
    <x v="0"/>
    <x v="0"/>
    <x v="1"/>
    <x v="2"/>
    <s v="EE_Tallinn"/>
    <x v="4"/>
    <x v="3"/>
    <s v="GBPR_WOODCHIPS_TARTU"/>
    <x v="1"/>
    <x v="3"/>
    <n v="22"/>
    <n v="1338.3333333333301"/>
    <n v="4818"/>
  </r>
  <r>
    <x v="0"/>
    <x v="0"/>
    <x v="0"/>
    <x v="1"/>
    <x v="2"/>
    <s v="EE_Tallinn"/>
    <x v="4"/>
    <x v="3"/>
    <s v="GBPR_WOODCHIPS_TARTU"/>
    <x v="1"/>
    <x v="4"/>
    <n v="22"/>
    <n v="1338.3333333333301"/>
    <n v="4818"/>
  </r>
  <r>
    <x v="0"/>
    <x v="0"/>
    <x v="0"/>
    <x v="1"/>
    <x v="2"/>
    <s v="EE_Tallinn"/>
    <x v="4"/>
    <x v="3"/>
    <s v="GBPR_WOODCHIPS_TARTU"/>
    <x v="1"/>
    <x v="5"/>
    <n v="22"/>
    <n v="1338.3333333333301"/>
    <n v="4818"/>
  </r>
  <r>
    <x v="0"/>
    <x v="0"/>
    <x v="0"/>
    <x v="1"/>
    <x v="2"/>
    <s v="EE_Tallinn"/>
    <x v="4"/>
    <x v="3"/>
    <s v="GBPR_WOODCHIPS_TARTU"/>
    <x v="1"/>
    <x v="6"/>
    <n v="22"/>
    <n v="1338.3333333333301"/>
    <n v="4818"/>
  </r>
  <r>
    <x v="0"/>
    <x v="0"/>
    <x v="0"/>
    <x v="1"/>
    <x v="2"/>
    <s v="EE_Tallinn"/>
    <x v="4"/>
    <x v="3"/>
    <s v="GBPR_WOODCHIPS_TARTU"/>
    <x v="1"/>
    <x v="7"/>
    <n v="22"/>
    <n v="1338.3333333333301"/>
    <n v="4818"/>
  </r>
  <r>
    <x v="0"/>
    <x v="0"/>
    <x v="0"/>
    <x v="1"/>
    <x v="2"/>
    <s v="EE_Tallinn"/>
    <x v="4"/>
    <x v="3"/>
    <s v="GBPR_WOODCHIPS_TARTU"/>
    <x v="1"/>
    <x v="8"/>
    <n v="22"/>
    <n v="1338.3333333333301"/>
    <n v="4818"/>
  </r>
  <r>
    <x v="0"/>
    <x v="0"/>
    <x v="0"/>
    <x v="1"/>
    <x v="2"/>
    <s v="EE_Tallinn"/>
    <x v="4"/>
    <x v="3"/>
    <s v="GBPR_WOODCHIPS_TARTU"/>
    <x v="1"/>
    <x v="9"/>
    <n v="22"/>
    <n v="1338.3333333333301"/>
    <n v="4818"/>
  </r>
  <r>
    <x v="0"/>
    <x v="0"/>
    <x v="0"/>
    <x v="1"/>
    <x v="2"/>
    <s v="EE_Tallinn"/>
    <x v="4"/>
    <x v="3"/>
    <s v="GBPR_WOODCHIPS_TARTU"/>
    <x v="1"/>
    <x v="10"/>
    <n v="22"/>
    <n v="1338.3333333333301"/>
    <n v="4818"/>
  </r>
  <r>
    <x v="0"/>
    <x v="0"/>
    <x v="0"/>
    <x v="1"/>
    <x v="2"/>
    <s v="EE_Tallinn"/>
    <x v="4"/>
    <x v="3"/>
    <s v="GBPR_WOODCHIPS_TARTU"/>
    <x v="1"/>
    <x v="11"/>
    <n v="22"/>
    <n v="1338.3333333333301"/>
    <n v="4818"/>
  </r>
  <r>
    <x v="0"/>
    <x v="0"/>
    <x v="0"/>
    <x v="1"/>
    <x v="2"/>
    <s v="EE_Tallinn"/>
    <x v="4"/>
    <x v="3"/>
    <s v="GBPR_WOODCHIPS_TARTU"/>
    <x v="2"/>
    <x v="0"/>
    <n v="22"/>
    <n v="1338.3333333333301"/>
    <n v="4818"/>
  </r>
  <r>
    <x v="0"/>
    <x v="0"/>
    <x v="0"/>
    <x v="1"/>
    <x v="2"/>
    <s v="EE_Tallinn"/>
    <x v="4"/>
    <x v="3"/>
    <s v="GBPR_WOODCHIPS_TARTU"/>
    <x v="2"/>
    <x v="1"/>
    <n v="22"/>
    <n v="1338.3333333333301"/>
    <n v="4818"/>
  </r>
  <r>
    <x v="0"/>
    <x v="0"/>
    <x v="0"/>
    <x v="1"/>
    <x v="2"/>
    <s v="EE_Tallinn"/>
    <x v="4"/>
    <x v="3"/>
    <s v="GBPR_WOODCHIPS_TARTU"/>
    <x v="2"/>
    <x v="2"/>
    <n v="22"/>
    <n v="1338.3333333333301"/>
    <n v="4818"/>
  </r>
  <r>
    <x v="0"/>
    <x v="0"/>
    <x v="0"/>
    <x v="1"/>
    <x v="2"/>
    <s v="EE_Tallinn"/>
    <x v="4"/>
    <x v="3"/>
    <s v="GBPR_WOODCHIPS_TARTU"/>
    <x v="2"/>
    <x v="3"/>
    <n v="22"/>
    <n v="1338.3333333333301"/>
    <n v="4818"/>
  </r>
  <r>
    <x v="0"/>
    <x v="0"/>
    <x v="0"/>
    <x v="1"/>
    <x v="2"/>
    <s v="EE_Tallinn"/>
    <x v="4"/>
    <x v="3"/>
    <s v="GBPR_WOODCHIPS_TARTU"/>
    <x v="2"/>
    <x v="4"/>
    <n v="22"/>
    <n v="1338.3333333333301"/>
    <n v="4818"/>
  </r>
  <r>
    <x v="0"/>
    <x v="0"/>
    <x v="0"/>
    <x v="1"/>
    <x v="2"/>
    <s v="EE_Tallinn"/>
    <x v="4"/>
    <x v="3"/>
    <s v="GBPR_WOODCHIPS_TARTU"/>
    <x v="2"/>
    <x v="5"/>
    <n v="22"/>
    <n v="1338.3333333333301"/>
    <n v="4818"/>
  </r>
  <r>
    <x v="0"/>
    <x v="0"/>
    <x v="0"/>
    <x v="1"/>
    <x v="2"/>
    <s v="EE_Tallinn"/>
    <x v="4"/>
    <x v="3"/>
    <s v="GBPR_WOODCHIPS_TARTU"/>
    <x v="2"/>
    <x v="6"/>
    <n v="22"/>
    <n v="1338.3333333333301"/>
    <n v="4818"/>
  </r>
  <r>
    <x v="0"/>
    <x v="0"/>
    <x v="0"/>
    <x v="1"/>
    <x v="2"/>
    <s v="EE_Tallinn"/>
    <x v="4"/>
    <x v="3"/>
    <s v="GBPR_WOODCHIPS_TARTU"/>
    <x v="2"/>
    <x v="7"/>
    <n v="22"/>
    <n v="1338.3333333333301"/>
    <n v="4818"/>
  </r>
  <r>
    <x v="0"/>
    <x v="0"/>
    <x v="0"/>
    <x v="1"/>
    <x v="2"/>
    <s v="EE_Tallinn"/>
    <x v="4"/>
    <x v="3"/>
    <s v="GBPR_WOODCHIPS_TARTU"/>
    <x v="2"/>
    <x v="8"/>
    <n v="22"/>
    <n v="1338.3333333333301"/>
    <n v="4818"/>
  </r>
  <r>
    <x v="0"/>
    <x v="0"/>
    <x v="0"/>
    <x v="1"/>
    <x v="2"/>
    <s v="EE_Tallinn"/>
    <x v="4"/>
    <x v="3"/>
    <s v="GBPR_WOODCHIPS_TARTU"/>
    <x v="2"/>
    <x v="9"/>
    <n v="22"/>
    <n v="1338.3333333333301"/>
    <n v="4818"/>
  </r>
  <r>
    <x v="0"/>
    <x v="0"/>
    <x v="0"/>
    <x v="1"/>
    <x v="2"/>
    <s v="EE_Tallinn"/>
    <x v="4"/>
    <x v="3"/>
    <s v="GBPR_WOODCHIPS_TARTU"/>
    <x v="2"/>
    <x v="10"/>
    <n v="22"/>
    <n v="1338.3333333333301"/>
    <n v="4818"/>
  </r>
  <r>
    <x v="0"/>
    <x v="0"/>
    <x v="0"/>
    <x v="1"/>
    <x v="2"/>
    <s v="EE_Tallinn"/>
    <x v="4"/>
    <x v="3"/>
    <s v="GBPR_WOODCHIPS_TARTU"/>
    <x v="2"/>
    <x v="11"/>
    <n v="22"/>
    <n v="1338.3333333333301"/>
    <n v="4818"/>
  </r>
  <r>
    <x v="0"/>
    <x v="0"/>
    <x v="0"/>
    <x v="1"/>
    <x v="2"/>
    <s v="EE_Tallinn"/>
    <x v="4"/>
    <x v="3"/>
    <s v="GBPR_WOODCHIPS_TARTU"/>
    <x v="3"/>
    <x v="0"/>
    <n v="22"/>
    <n v="1338.3333333333301"/>
    <n v="4818"/>
  </r>
  <r>
    <x v="0"/>
    <x v="0"/>
    <x v="0"/>
    <x v="1"/>
    <x v="2"/>
    <s v="EE_Tallinn"/>
    <x v="4"/>
    <x v="3"/>
    <s v="GBPR_WOODCHIPS_TARTU"/>
    <x v="3"/>
    <x v="1"/>
    <n v="22"/>
    <n v="1338.3333333333301"/>
    <n v="4818"/>
  </r>
  <r>
    <x v="0"/>
    <x v="0"/>
    <x v="0"/>
    <x v="1"/>
    <x v="2"/>
    <s v="EE_Tallinn"/>
    <x v="4"/>
    <x v="3"/>
    <s v="GBPR_WOODCHIPS_TARTU"/>
    <x v="3"/>
    <x v="2"/>
    <n v="22"/>
    <n v="1338.3333333333301"/>
    <n v="4818"/>
  </r>
  <r>
    <x v="0"/>
    <x v="0"/>
    <x v="0"/>
    <x v="1"/>
    <x v="2"/>
    <s v="EE_Tallinn"/>
    <x v="4"/>
    <x v="3"/>
    <s v="GBPR_WOODCHIPS_TARTU"/>
    <x v="3"/>
    <x v="3"/>
    <n v="22"/>
    <n v="1338.3333333333301"/>
    <n v="4818"/>
  </r>
  <r>
    <x v="0"/>
    <x v="0"/>
    <x v="0"/>
    <x v="1"/>
    <x v="2"/>
    <s v="EE_Tallinn"/>
    <x v="4"/>
    <x v="3"/>
    <s v="GBPR_WOODCHIPS_TARTU"/>
    <x v="3"/>
    <x v="4"/>
    <n v="22"/>
    <n v="1338.3333333333301"/>
    <n v="4818"/>
  </r>
  <r>
    <x v="0"/>
    <x v="0"/>
    <x v="0"/>
    <x v="1"/>
    <x v="2"/>
    <s v="EE_Tallinn"/>
    <x v="4"/>
    <x v="3"/>
    <s v="GBPR_WOODCHIPS_TARTU"/>
    <x v="3"/>
    <x v="5"/>
    <n v="22"/>
    <n v="1338.3333333333301"/>
    <n v="4818"/>
  </r>
  <r>
    <x v="0"/>
    <x v="0"/>
    <x v="0"/>
    <x v="1"/>
    <x v="2"/>
    <s v="EE_Tallinn"/>
    <x v="4"/>
    <x v="3"/>
    <s v="GBPR_WOODCHIPS_TARTU"/>
    <x v="3"/>
    <x v="6"/>
    <n v="22"/>
    <n v="1338.3333333333301"/>
    <n v="4818"/>
  </r>
  <r>
    <x v="0"/>
    <x v="0"/>
    <x v="0"/>
    <x v="1"/>
    <x v="2"/>
    <s v="EE_Tallinn"/>
    <x v="4"/>
    <x v="3"/>
    <s v="GBPR_WOODCHIPS_TARTU"/>
    <x v="3"/>
    <x v="7"/>
    <n v="22"/>
    <n v="1338.3333333333301"/>
    <n v="4818"/>
  </r>
  <r>
    <x v="0"/>
    <x v="0"/>
    <x v="0"/>
    <x v="1"/>
    <x v="2"/>
    <s v="EE_Tallinn"/>
    <x v="4"/>
    <x v="3"/>
    <s v="GBPR_WOODCHIPS_TARTU"/>
    <x v="3"/>
    <x v="8"/>
    <n v="22"/>
    <n v="1338.3333333333301"/>
    <n v="4818"/>
  </r>
  <r>
    <x v="0"/>
    <x v="0"/>
    <x v="0"/>
    <x v="1"/>
    <x v="2"/>
    <s v="EE_Tallinn"/>
    <x v="4"/>
    <x v="3"/>
    <s v="GBPR_WOODCHIPS_TARTU"/>
    <x v="3"/>
    <x v="9"/>
    <n v="22"/>
    <n v="1338.3333333333301"/>
    <n v="4818"/>
  </r>
  <r>
    <x v="0"/>
    <x v="0"/>
    <x v="0"/>
    <x v="1"/>
    <x v="2"/>
    <s v="EE_Tallinn"/>
    <x v="4"/>
    <x v="3"/>
    <s v="GBPR_WOODCHIPS_TARTU"/>
    <x v="3"/>
    <x v="10"/>
    <n v="22"/>
    <n v="1338.3333333333301"/>
    <n v="4818"/>
  </r>
  <r>
    <x v="0"/>
    <x v="0"/>
    <x v="0"/>
    <x v="1"/>
    <x v="2"/>
    <s v="EE_Tallinn"/>
    <x v="4"/>
    <x v="3"/>
    <s v="GBPR_WOODCHIPS_TARTU"/>
    <x v="3"/>
    <x v="11"/>
    <n v="22"/>
    <n v="1338.3333333333301"/>
    <n v="4818"/>
  </r>
  <r>
    <x v="0"/>
    <x v="0"/>
    <x v="0"/>
    <x v="1"/>
    <x v="2"/>
    <s v="EE_Tallinn"/>
    <x v="4"/>
    <x v="3"/>
    <s v="GBPR_WOODCHIPS_TARTU"/>
    <x v="4"/>
    <x v="0"/>
    <n v="22"/>
    <n v="1338.3333333333301"/>
    <n v="4818"/>
  </r>
  <r>
    <x v="0"/>
    <x v="0"/>
    <x v="0"/>
    <x v="1"/>
    <x v="2"/>
    <s v="EE_Tallinn"/>
    <x v="4"/>
    <x v="3"/>
    <s v="GBPR_WOODCHIPS_TARTU"/>
    <x v="4"/>
    <x v="1"/>
    <n v="22"/>
    <n v="1338.3333333333301"/>
    <n v="4818"/>
  </r>
  <r>
    <x v="0"/>
    <x v="0"/>
    <x v="0"/>
    <x v="1"/>
    <x v="2"/>
    <s v="EE_Tallinn"/>
    <x v="4"/>
    <x v="3"/>
    <s v="GBPR_WOODCHIPS_TARTU"/>
    <x v="4"/>
    <x v="2"/>
    <n v="22"/>
    <n v="1338.3333333333301"/>
    <n v="4818"/>
  </r>
  <r>
    <x v="0"/>
    <x v="0"/>
    <x v="0"/>
    <x v="1"/>
    <x v="2"/>
    <s v="EE_Tallinn"/>
    <x v="4"/>
    <x v="3"/>
    <s v="GBPR_WOODCHIPS_TARTU"/>
    <x v="4"/>
    <x v="3"/>
    <n v="22"/>
    <n v="1338.3333333333301"/>
    <n v="4818"/>
  </r>
  <r>
    <x v="0"/>
    <x v="0"/>
    <x v="0"/>
    <x v="1"/>
    <x v="2"/>
    <s v="EE_Tallinn"/>
    <x v="4"/>
    <x v="3"/>
    <s v="GBPR_WOODCHIPS_TARTU"/>
    <x v="4"/>
    <x v="4"/>
    <n v="22"/>
    <n v="1338.3333333333301"/>
    <n v="4818"/>
  </r>
  <r>
    <x v="0"/>
    <x v="0"/>
    <x v="0"/>
    <x v="1"/>
    <x v="2"/>
    <s v="EE_Tallinn"/>
    <x v="4"/>
    <x v="3"/>
    <s v="GBPR_WOODCHIPS_TARTU"/>
    <x v="4"/>
    <x v="5"/>
    <n v="22"/>
    <n v="1338.3333333333301"/>
    <n v="4818"/>
  </r>
  <r>
    <x v="0"/>
    <x v="0"/>
    <x v="0"/>
    <x v="1"/>
    <x v="2"/>
    <s v="EE_Tallinn"/>
    <x v="4"/>
    <x v="3"/>
    <s v="GBPR_WOODCHIPS_TARTU"/>
    <x v="4"/>
    <x v="6"/>
    <n v="22"/>
    <n v="1338.3333333333301"/>
    <n v="4818"/>
  </r>
  <r>
    <x v="0"/>
    <x v="0"/>
    <x v="0"/>
    <x v="1"/>
    <x v="2"/>
    <s v="EE_Tallinn"/>
    <x v="4"/>
    <x v="3"/>
    <s v="GBPR_WOODCHIPS_TARTU"/>
    <x v="4"/>
    <x v="7"/>
    <n v="22"/>
    <n v="1338.3333333333301"/>
    <n v="4818"/>
  </r>
  <r>
    <x v="0"/>
    <x v="0"/>
    <x v="0"/>
    <x v="1"/>
    <x v="2"/>
    <s v="EE_Tallinn"/>
    <x v="4"/>
    <x v="3"/>
    <s v="GBPR_WOODCHIPS_TARTU"/>
    <x v="4"/>
    <x v="8"/>
    <n v="22"/>
    <n v="1338.3333333333301"/>
    <n v="4818"/>
  </r>
  <r>
    <x v="0"/>
    <x v="0"/>
    <x v="0"/>
    <x v="1"/>
    <x v="2"/>
    <s v="EE_Tallinn"/>
    <x v="4"/>
    <x v="3"/>
    <s v="GBPR_WOODCHIPS_TARTU"/>
    <x v="4"/>
    <x v="9"/>
    <n v="22"/>
    <n v="1338.3333333333301"/>
    <n v="4818"/>
  </r>
  <r>
    <x v="0"/>
    <x v="0"/>
    <x v="0"/>
    <x v="1"/>
    <x v="2"/>
    <s v="EE_Tallinn"/>
    <x v="4"/>
    <x v="3"/>
    <s v="GBPR_WOODCHIPS_TARTU"/>
    <x v="4"/>
    <x v="10"/>
    <n v="22"/>
    <n v="1338.3333333333301"/>
    <n v="4818"/>
  </r>
  <r>
    <x v="0"/>
    <x v="0"/>
    <x v="0"/>
    <x v="1"/>
    <x v="2"/>
    <s v="EE_Tallinn"/>
    <x v="4"/>
    <x v="3"/>
    <s v="GBPR_WOODCHIPS_TARTU"/>
    <x v="4"/>
    <x v="11"/>
    <n v="22"/>
    <n v="1338.3333333333301"/>
    <n v="4818"/>
  </r>
  <r>
    <x v="0"/>
    <x v="0"/>
    <x v="0"/>
    <x v="1"/>
    <x v="2"/>
    <s v="EE_Tallinn"/>
    <x v="4"/>
    <x v="3"/>
    <s v="GBPR_WOODCHIPS_TARTU"/>
    <x v="5"/>
    <x v="0"/>
    <n v="22"/>
    <n v="1338.3333333333301"/>
    <n v="4818"/>
  </r>
  <r>
    <x v="0"/>
    <x v="0"/>
    <x v="0"/>
    <x v="1"/>
    <x v="2"/>
    <s v="EE_Tallinn"/>
    <x v="4"/>
    <x v="3"/>
    <s v="GBPR_WOODCHIPS_TARTU"/>
    <x v="5"/>
    <x v="1"/>
    <n v="22"/>
    <n v="1338.3333333333301"/>
    <n v="4818"/>
  </r>
  <r>
    <x v="0"/>
    <x v="0"/>
    <x v="0"/>
    <x v="1"/>
    <x v="2"/>
    <s v="EE_Tallinn"/>
    <x v="4"/>
    <x v="3"/>
    <s v="GBPR_WOODCHIPS_TARTU"/>
    <x v="5"/>
    <x v="2"/>
    <n v="22"/>
    <n v="1338.3333333333301"/>
    <n v="4818"/>
  </r>
  <r>
    <x v="0"/>
    <x v="0"/>
    <x v="0"/>
    <x v="1"/>
    <x v="2"/>
    <s v="EE_Tallinn"/>
    <x v="4"/>
    <x v="3"/>
    <s v="GBPR_WOODCHIPS_TARTU"/>
    <x v="5"/>
    <x v="3"/>
    <n v="22"/>
    <n v="1338.3333333333301"/>
    <n v="4818"/>
  </r>
  <r>
    <x v="0"/>
    <x v="0"/>
    <x v="0"/>
    <x v="1"/>
    <x v="2"/>
    <s v="EE_Tallinn"/>
    <x v="4"/>
    <x v="3"/>
    <s v="GBPR_WOODCHIPS_TARTU"/>
    <x v="5"/>
    <x v="4"/>
    <n v="22"/>
    <n v="1338.3333333333301"/>
    <n v="4818"/>
  </r>
  <r>
    <x v="0"/>
    <x v="0"/>
    <x v="0"/>
    <x v="1"/>
    <x v="2"/>
    <s v="EE_Tallinn"/>
    <x v="4"/>
    <x v="3"/>
    <s v="GBPR_WOODCHIPS_TARTU"/>
    <x v="5"/>
    <x v="5"/>
    <n v="22"/>
    <n v="1338.3333333333301"/>
    <n v="4818"/>
  </r>
  <r>
    <x v="0"/>
    <x v="0"/>
    <x v="0"/>
    <x v="1"/>
    <x v="2"/>
    <s v="EE_Tallinn"/>
    <x v="4"/>
    <x v="3"/>
    <s v="GBPR_WOODCHIPS_TARTU"/>
    <x v="5"/>
    <x v="6"/>
    <n v="22"/>
    <n v="1338.3333333333301"/>
    <n v="4818"/>
  </r>
  <r>
    <x v="0"/>
    <x v="0"/>
    <x v="0"/>
    <x v="1"/>
    <x v="2"/>
    <s v="EE_Tallinn"/>
    <x v="4"/>
    <x v="3"/>
    <s v="GBPR_WOODCHIPS_TARTU"/>
    <x v="5"/>
    <x v="7"/>
    <n v="22"/>
    <n v="1338.3333333333301"/>
    <n v="4818"/>
  </r>
  <r>
    <x v="0"/>
    <x v="0"/>
    <x v="0"/>
    <x v="1"/>
    <x v="2"/>
    <s v="EE_Tallinn"/>
    <x v="4"/>
    <x v="3"/>
    <s v="GBPR_WOODCHIPS_TARTU"/>
    <x v="5"/>
    <x v="8"/>
    <n v="22"/>
    <n v="1338.3333333333301"/>
    <n v="4818"/>
  </r>
  <r>
    <x v="0"/>
    <x v="0"/>
    <x v="0"/>
    <x v="1"/>
    <x v="2"/>
    <s v="EE_Tallinn"/>
    <x v="4"/>
    <x v="3"/>
    <s v="GBPR_WOODCHIPS_TARTU"/>
    <x v="5"/>
    <x v="9"/>
    <n v="22"/>
    <n v="1338.3333333333301"/>
    <n v="4818"/>
  </r>
  <r>
    <x v="0"/>
    <x v="0"/>
    <x v="0"/>
    <x v="1"/>
    <x v="2"/>
    <s v="EE_Tallinn"/>
    <x v="4"/>
    <x v="3"/>
    <s v="GBPR_WOODCHIPS_TARTU"/>
    <x v="5"/>
    <x v="10"/>
    <n v="22"/>
    <n v="1338.3333333333301"/>
    <n v="4818"/>
  </r>
  <r>
    <x v="0"/>
    <x v="0"/>
    <x v="0"/>
    <x v="1"/>
    <x v="2"/>
    <s v="EE_Tallinn"/>
    <x v="4"/>
    <x v="3"/>
    <s v="GBPR_WOODCHIPS_TARTU"/>
    <x v="5"/>
    <x v="11"/>
    <n v="22"/>
    <n v="1338.3333333333301"/>
    <n v="4818"/>
  </r>
  <r>
    <x v="0"/>
    <x v="0"/>
    <x v="0"/>
    <x v="1"/>
    <x v="2"/>
    <s v="EE_Tallinn"/>
    <x v="4"/>
    <x v="3"/>
    <s v="GBPR_WOODCHIPS_TARTU"/>
    <x v="6"/>
    <x v="0"/>
    <n v="22"/>
    <n v="1338.3333333333301"/>
    <n v="4818"/>
  </r>
  <r>
    <x v="0"/>
    <x v="0"/>
    <x v="0"/>
    <x v="1"/>
    <x v="2"/>
    <s v="EE_Tallinn"/>
    <x v="4"/>
    <x v="3"/>
    <s v="GBPR_WOODCHIPS_TARTU"/>
    <x v="6"/>
    <x v="1"/>
    <n v="22"/>
    <n v="1338.3333333333301"/>
    <n v="4818"/>
  </r>
  <r>
    <x v="0"/>
    <x v="0"/>
    <x v="0"/>
    <x v="1"/>
    <x v="2"/>
    <s v="EE_Tallinn"/>
    <x v="4"/>
    <x v="3"/>
    <s v="GBPR_WOODCHIPS_TARTU"/>
    <x v="6"/>
    <x v="2"/>
    <n v="22"/>
    <n v="1338.3333333333301"/>
    <n v="4818"/>
  </r>
  <r>
    <x v="0"/>
    <x v="0"/>
    <x v="0"/>
    <x v="1"/>
    <x v="2"/>
    <s v="EE_Tallinn"/>
    <x v="4"/>
    <x v="3"/>
    <s v="GBPR_WOODCHIPS_TARTU"/>
    <x v="6"/>
    <x v="3"/>
    <n v="22"/>
    <n v="1338.3333333333301"/>
    <n v="4818"/>
  </r>
  <r>
    <x v="0"/>
    <x v="0"/>
    <x v="0"/>
    <x v="1"/>
    <x v="2"/>
    <s v="EE_Tallinn"/>
    <x v="4"/>
    <x v="3"/>
    <s v="GBPR_WOODCHIPS_TARTU"/>
    <x v="6"/>
    <x v="4"/>
    <n v="22"/>
    <n v="1338.3333333333301"/>
    <n v="4818"/>
  </r>
  <r>
    <x v="0"/>
    <x v="0"/>
    <x v="0"/>
    <x v="1"/>
    <x v="2"/>
    <s v="EE_Tallinn"/>
    <x v="4"/>
    <x v="3"/>
    <s v="GBPR_WOODCHIPS_TARTU"/>
    <x v="6"/>
    <x v="5"/>
    <n v="22"/>
    <n v="1338.3333333333301"/>
    <n v="4818"/>
  </r>
  <r>
    <x v="0"/>
    <x v="0"/>
    <x v="0"/>
    <x v="1"/>
    <x v="2"/>
    <s v="EE_Tallinn"/>
    <x v="4"/>
    <x v="3"/>
    <s v="GBPR_WOODCHIPS_TARTU"/>
    <x v="6"/>
    <x v="6"/>
    <n v="22"/>
    <n v="1338.3333333333301"/>
    <n v="4818"/>
  </r>
  <r>
    <x v="0"/>
    <x v="0"/>
    <x v="0"/>
    <x v="1"/>
    <x v="2"/>
    <s v="EE_Tallinn"/>
    <x v="4"/>
    <x v="3"/>
    <s v="GBPR_WOODCHIPS_TARTU"/>
    <x v="6"/>
    <x v="7"/>
    <n v="22"/>
    <n v="1338.3333333333301"/>
    <n v="4818"/>
  </r>
  <r>
    <x v="0"/>
    <x v="0"/>
    <x v="0"/>
    <x v="1"/>
    <x v="2"/>
    <s v="EE_Tallinn"/>
    <x v="4"/>
    <x v="3"/>
    <s v="GBPR_WOODCHIPS_TARTU"/>
    <x v="6"/>
    <x v="8"/>
    <n v="22"/>
    <n v="1338.3333333333301"/>
    <n v="4818"/>
  </r>
  <r>
    <x v="0"/>
    <x v="0"/>
    <x v="0"/>
    <x v="1"/>
    <x v="2"/>
    <s v="EE_Tallinn"/>
    <x v="4"/>
    <x v="3"/>
    <s v="GBPR_WOODCHIPS_TARTU"/>
    <x v="6"/>
    <x v="9"/>
    <n v="22"/>
    <n v="1338.3333333333301"/>
    <n v="4818"/>
  </r>
  <r>
    <x v="0"/>
    <x v="0"/>
    <x v="0"/>
    <x v="1"/>
    <x v="2"/>
    <s v="EE_Tallinn"/>
    <x v="4"/>
    <x v="3"/>
    <s v="GBPR_WOODCHIPS_TARTU"/>
    <x v="6"/>
    <x v="10"/>
    <n v="22"/>
    <n v="1338.3333333333301"/>
    <n v="4818"/>
  </r>
  <r>
    <x v="0"/>
    <x v="0"/>
    <x v="0"/>
    <x v="1"/>
    <x v="2"/>
    <s v="EE_Tallinn"/>
    <x v="4"/>
    <x v="3"/>
    <s v="GBPR_WOODCHIPS_TARTU"/>
    <x v="6"/>
    <x v="11"/>
    <n v="22"/>
    <n v="1338.3333333333301"/>
    <n v="4818"/>
  </r>
  <r>
    <x v="0"/>
    <x v="0"/>
    <x v="0"/>
    <x v="1"/>
    <x v="2"/>
    <s v="EE_Tallinn"/>
    <x v="4"/>
    <x v="3"/>
    <s v="GBPR_WOODCHIPS_TARTU"/>
    <x v="7"/>
    <x v="0"/>
    <n v="22"/>
    <n v="1338.3333333333301"/>
    <n v="4818"/>
  </r>
  <r>
    <x v="0"/>
    <x v="0"/>
    <x v="0"/>
    <x v="1"/>
    <x v="2"/>
    <s v="EE_Tallinn"/>
    <x v="4"/>
    <x v="3"/>
    <s v="GBPR_WOODCHIPS_TARTU"/>
    <x v="7"/>
    <x v="1"/>
    <n v="22"/>
    <n v="1338.3333333333301"/>
    <n v="4818"/>
  </r>
  <r>
    <x v="0"/>
    <x v="0"/>
    <x v="0"/>
    <x v="1"/>
    <x v="2"/>
    <s v="EE_Tallinn"/>
    <x v="4"/>
    <x v="3"/>
    <s v="GBPR_WOODCHIPS_TARTU"/>
    <x v="7"/>
    <x v="2"/>
    <n v="22"/>
    <n v="1338.3333333333301"/>
    <n v="4818"/>
  </r>
  <r>
    <x v="0"/>
    <x v="0"/>
    <x v="0"/>
    <x v="1"/>
    <x v="2"/>
    <s v="EE_Tallinn"/>
    <x v="4"/>
    <x v="3"/>
    <s v="GBPR_WOODCHIPS_TARTU"/>
    <x v="7"/>
    <x v="3"/>
    <n v="22"/>
    <n v="1338.3333333333301"/>
    <n v="4818"/>
  </r>
  <r>
    <x v="0"/>
    <x v="0"/>
    <x v="0"/>
    <x v="1"/>
    <x v="2"/>
    <s v="EE_Tallinn"/>
    <x v="4"/>
    <x v="3"/>
    <s v="GBPR_WOODCHIPS_TARTU"/>
    <x v="7"/>
    <x v="4"/>
    <n v="22"/>
    <n v="1338.3333333333301"/>
    <n v="4818"/>
  </r>
  <r>
    <x v="0"/>
    <x v="0"/>
    <x v="0"/>
    <x v="1"/>
    <x v="2"/>
    <s v="EE_Tallinn"/>
    <x v="4"/>
    <x v="3"/>
    <s v="GBPR_WOODCHIPS_TARTU"/>
    <x v="7"/>
    <x v="5"/>
    <n v="22"/>
    <n v="1338.3333333333301"/>
    <n v="4818"/>
  </r>
  <r>
    <x v="0"/>
    <x v="0"/>
    <x v="0"/>
    <x v="1"/>
    <x v="2"/>
    <s v="EE_Tallinn"/>
    <x v="4"/>
    <x v="3"/>
    <s v="GBPR_WOODCHIPS_TARTU"/>
    <x v="7"/>
    <x v="6"/>
    <n v="22"/>
    <n v="1338.3333333333301"/>
    <n v="4818"/>
  </r>
  <r>
    <x v="0"/>
    <x v="0"/>
    <x v="0"/>
    <x v="1"/>
    <x v="2"/>
    <s v="EE_Tallinn"/>
    <x v="4"/>
    <x v="3"/>
    <s v="GBPR_WOODCHIPS_TARTU"/>
    <x v="7"/>
    <x v="7"/>
    <n v="22"/>
    <n v="1338.3333333333301"/>
    <n v="4818"/>
  </r>
  <r>
    <x v="0"/>
    <x v="0"/>
    <x v="0"/>
    <x v="1"/>
    <x v="2"/>
    <s v="EE_Tallinn"/>
    <x v="4"/>
    <x v="3"/>
    <s v="GBPR_WOODCHIPS_TARTU"/>
    <x v="7"/>
    <x v="8"/>
    <n v="22"/>
    <n v="1338.3333333333301"/>
    <n v="4818"/>
  </r>
  <r>
    <x v="0"/>
    <x v="0"/>
    <x v="0"/>
    <x v="1"/>
    <x v="2"/>
    <s v="EE_Tallinn"/>
    <x v="4"/>
    <x v="3"/>
    <s v="GBPR_WOODCHIPS_TARTU"/>
    <x v="7"/>
    <x v="9"/>
    <n v="22"/>
    <n v="1338.3333333333301"/>
    <n v="4818"/>
  </r>
  <r>
    <x v="0"/>
    <x v="0"/>
    <x v="0"/>
    <x v="1"/>
    <x v="2"/>
    <s v="EE_Tallinn"/>
    <x v="4"/>
    <x v="3"/>
    <s v="GBPR_WOODCHIPS_TARTU"/>
    <x v="7"/>
    <x v="10"/>
    <n v="22"/>
    <n v="1338.3333333333301"/>
    <n v="4818"/>
  </r>
  <r>
    <x v="0"/>
    <x v="0"/>
    <x v="0"/>
    <x v="1"/>
    <x v="2"/>
    <s v="EE_Tallinn"/>
    <x v="4"/>
    <x v="3"/>
    <s v="GBPR_WOODCHIPS_TARTU"/>
    <x v="7"/>
    <x v="11"/>
    <n v="22"/>
    <n v="1338.3333333333301"/>
    <n v="4818"/>
  </r>
  <r>
    <x v="0"/>
    <x v="0"/>
    <x v="0"/>
    <x v="1"/>
    <x v="2"/>
    <s v="EE_Tallinn"/>
    <x v="4"/>
    <x v="3"/>
    <s v="GBPR_WOODCHIPS_TARTU"/>
    <x v="8"/>
    <x v="0"/>
    <n v="22"/>
    <n v="1338.3333333333301"/>
    <n v="4818"/>
  </r>
  <r>
    <x v="0"/>
    <x v="0"/>
    <x v="0"/>
    <x v="1"/>
    <x v="2"/>
    <s v="EE_Tallinn"/>
    <x v="4"/>
    <x v="3"/>
    <s v="GBPR_WOODCHIPS_TARTU"/>
    <x v="8"/>
    <x v="1"/>
    <n v="22"/>
    <n v="1338.3333333333301"/>
    <n v="4818"/>
  </r>
  <r>
    <x v="0"/>
    <x v="0"/>
    <x v="0"/>
    <x v="1"/>
    <x v="2"/>
    <s v="EE_Tallinn"/>
    <x v="4"/>
    <x v="3"/>
    <s v="GBPR_WOODCHIPS_TARTU"/>
    <x v="8"/>
    <x v="2"/>
    <n v="22"/>
    <n v="1338.3333333333301"/>
    <n v="4818"/>
  </r>
  <r>
    <x v="0"/>
    <x v="0"/>
    <x v="0"/>
    <x v="1"/>
    <x v="2"/>
    <s v="EE_Tallinn"/>
    <x v="4"/>
    <x v="3"/>
    <s v="GBPR_WOODCHIPS_TARTU"/>
    <x v="8"/>
    <x v="3"/>
    <n v="22"/>
    <n v="1338.3333333333301"/>
    <n v="4818"/>
  </r>
  <r>
    <x v="0"/>
    <x v="0"/>
    <x v="0"/>
    <x v="1"/>
    <x v="2"/>
    <s v="EE_Tallinn"/>
    <x v="4"/>
    <x v="3"/>
    <s v="GBPR_WOODCHIPS_TARTU"/>
    <x v="8"/>
    <x v="4"/>
    <n v="22"/>
    <n v="1338.3333333333301"/>
    <n v="4818"/>
  </r>
  <r>
    <x v="0"/>
    <x v="0"/>
    <x v="0"/>
    <x v="1"/>
    <x v="2"/>
    <s v="EE_Tallinn"/>
    <x v="4"/>
    <x v="3"/>
    <s v="GBPR_WOODCHIPS_TARTU"/>
    <x v="8"/>
    <x v="5"/>
    <n v="22"/>
    <n v="1338.3333333333301"/>
    <n v="4818"/>
  </r>
  <r>
    <x v="0"/>
    <x v="0"/>
    <x v="0"/>
    <x v="1"/>
    <x v="2"/>
    <s v="EE_Tallinn"/>
    <x v="4"/>
    <x v="3"/>
    <s v="GBPR_WOODCHIPS_TARTU"/>
    <x v="8"/>
    <x v="6"/>
    <n v="22"/>
    <n v="1338.3333333333301"/>
    <n v="4818"/>
  </r>
  <r>
    <x v="0"/>
    <x v="0"/>
    <x v="0"/>
    <x v="1"/>
    <x v="2"/>
    <s v="EE_Tallinn"/>
    <x v="4"/>
    <x v="3"/>
    <s v="GBPR_WOODCHIPS_TARTU"/>
    <x v="8"/>
    <x v="7"/>
    <n v="22"/>
    <n v="1338.3333333333301"/>
    <n v="4818"/>
  </r>
  <r>
    <x v="0"/>
    <x v="0"/>
    <x v="0"/>
    <x v="1"/>
    <x v="2"/>
    <s v="EE_Tallinn"/>
    <x v="4"/>
    <x v="3"/>
    <s v="GBPR_WOODCHIPS_TARTU"/>
    <x v="8"/>
    <x v="8"/>
    <n v="22"/>
    <n v="1338.3333333333301"/>
    <n v="4818"/>
  </r>
  <r>
    <x v="0"/>
    <x v="0"/>
    <x v="0"/>
    <x v="1"/>
    <x v="2"/>
    <s v="EE_Tallinn"/>
    <x v="4"/>
    <x v="3"/>
    <s v="GBPR_WOODCHIPS_TARTU"/>
    <x v="8"/>
    <x v="9"/>
    <n v="22"/>
    <n v="1338.3333333333301"/>
    <n v="4818"/>
  </r>
  <r>
    <x v="0"/>
    <x v="0"/>
    <x v="0"/>
    <x v="1"/>
    <x v="2"/>
    <s v="EE_Tallinn"/>
    <x v="4"/>
    <x v="3"/>
    <s v="GBPR_WOODCHIPS_TARTU"/>
    <x v="8"/>
    <x v="10"/>
    <n v="22"/>
    <n v="1338.3333333333301"/>
    <n v="4818"/>
  </r>
  <r>
    <x v="0"/>
    <x v="0"/>
    <x v="0"/>
    <x v="1"/>
    <x v="2"/>
    <s v="EE_Tallinn"/>
    <x v="4"/>
    <x v="3"/>
    <s v="GBPR_WOODCHIPS_TARTU"/>
    <x v="8"/>
    <x v="11"/>
    <n v="22"/>
    <n v="1338.3333333333301"/>
    <n v="4818"/>
  </r>
  <r>
    <x v="0"/>
    <x v="0"/>
    <x v="0"/>
    <x v="1"/>
    <x v="2"/>
    <s v="EE_Tallinn"/>
    <x v="4"/>
    <x v="3"/>
    <s v="GBPR_WOODCHIPS_TARTU"/>
    <x v="9"/>
    <x v="0"/>
    <n v="22"/>
    <n v="1338.3333333333301"/>
    <n v="4818"/>
  </r>
  <r>
    <x v="0"/>
    <x v="0"/>
    <x v="0"/>
    <x v="1"/>
    <x v="2"/>
    <s v="EE_Tallinn"/>
    <x v="4"/>
    <x v="3"/>
    <s v="GBPR_WOODCHIPS_TARTU"/>
    <x v="9"/>
    <x v="1"/>
    <n v="22"/>
    <n v="1338.3333333333301"/>
    <n v="4818"/>
  </r>
  <r>
    <x v="0"/>
    <x v="0"/>
    <x v="0"/>
    <x v="1"/>
    <x v="2"/>
    <s v="EE_Tallinn"/>
    <x v="4"/>
    <x v="3"/>
    <s v="GBPR_WOODCHIPS_TARTU"/>
    <x v="9"/>
    <x v="2"/>
    <n v="22"/>
    <n v="1338.3333333333301"/>
    <n v="4818"/>
  </r>
  <r>
    <x v="0"/>
    <x v="0"/>
    <x v="0"/>
    <x v="1"/>
    <x v="2"/>
    <s v="EE_Tallinn"/>
    <x v="4"/>
    <x v="3"/>
    <s v="GBPR_WOODCHIPS_TARTU"/>
    <x v="9"/>
    <x v="3"/>
    <n v="22"/>
    <n v="1338.3333333333301"/>
    <n v="4818"/>
  </r>
  <r>
    <x v="0"/>
    <x v="0"/>
    <x v="0"/>
    <x v="1"/>
    <x v="2"/>
    <s v="EE_Tallinn"/>
    <x v="4"/>
    <x v="3"/>
    <s v="GBPR_WOODCHIPS_TARTU"/>
    <x v="9"/>
    <x v="4"/>
    <n v="22"/>
    <n v="1338.3333333333301"/>
    <n v="4818"/>
  </r>
  <r>
    <x v="0"/>
    <x v="0"/>
    <x v="0"/>
    <x v="1"/>
    <x v="2"/>
    <s v="EE_Tallinn"/>
    <x v="4"/>
    <x v="3"/>
    <s v="GBPR_WOODCHIPS_TARTU"/>
    <x v="9"/>
    <x v="5"/>
    <n v="22"/>
    <n v="1338.3333333333301"/>
    <n v="4818"/>
  </r>
  <r>
    <x v="0"/>
    <x v="0"/>
    <x v="0"/>
    <x v="1"/>
    <x v="2"/>
    <s v="EE_Tallinn"/>
    <x v="4"/>
    <x v="3"/>
    <s v="GBPR_WOODCHIPS_TARTU"/>
    <x v="9"/>
    <x v="6"/>
    <n v="22"/>
    <n v="1338.3333333333301"/>
    <n v="4818"/>
  </r>
  <r>
    <x v="0"/>
    <x v="0"/>
    <x v="0"/>
    <x v="1"/>
    <x v="2"/>
    <s v="EE_Tallinn"/>
    <x v="4"/>
    <x v="3"/>
    <s v="GBPR_WOODCHIPS_TARTU"/>
    <x v="9"/>
    <x v="7"/>
    <n v="22"/>
    <n v="1338.3333333333301"/>
    <n v="4818"/>
  </r>
  <r>
    <x v="0"/>
    <x v="0"/>
    <x v="0"/>
    <x v="1"/>
    <x v="2"/>
    <s v="EE_Tallinn"/>
    <x v="4"/>
    <x v="3"/>
    <s v="GBPR_WOODCHIPS_TARTU"/>
    <x v="9"/>
    <x v="8"/>
    <n v="22"/>
    <n v="1338.3333333333301"/>
    <n v="4818"/>
  </r>
  <r>
    <x v="0"/>
    <x v="0"/>
    <x v="0"/>
    <x v="1"/>
    <x v="2"/>
    <s v="EE_Tallinn"/>
    <x v="4"/>
    <x v="3"/>
    <s v="GBPR_WOODCHIPS_TARTU"/>
    <x v="9"/>
    <x v="9"/>
    <n v="22"/>
    <n v="1338.3333333333301"/>
    <n v="4818"/>
  </r>
  <r>
    <x v="0"/>
    <x v="0"/>
    <x v="0"/>
    <x v="1"/>
    <x v="2"/>
    <s v="EE_Tallinn"/>
    <x v="4"/>
    <x v="3"/>
    <s v="GBPR_WOODCHIPS_TARTU"/>
    <x v="9"/>
    <x v="10"/>
    <n v="22"/>
    <n v="1338.3333333333301"/>
    <n v="4818"/>
  </r>
  <r>
    <x v="0"/>
    <x v="0"/>
    <x v="0"/>
    <x v="1"/>
    <x v="2"/>
    <s v="EE_Tallinn"/>
    <x v="4"/>
    <x v="3"/>
    <s v="GBPR_WOODCHIPS_TARTU"/>
    <x v="9"/>
    <x v="11"/>
    <n v="22"/>
    <n v="1338.3333333333301"/>
    <n v="4818"/>
  </r>
  <r>
    <x v="0"/>
    <x v="0"/>
    <x v="0"/>
    <x v="1"/>
    <x v="2"/>
    <s v="EE_Tallinn"/>
    <x v="4"/>
    <x v="3"/>
    <s v="GBPR_WOODCHIPS_TARTU"/>
    <x v="10"/>
    <x v="0"/>
    <n v="22"/>
    <n v="1338.3333333333301"/>
    <n v="4818"/>
  </r>
  <r>
    <x v="0"/>
    <x v="0"/>
    <x v="0"/>
    <x v="1"/>
    <x v="2"/>
    <s v="EE_Tallinn"/>
    <x v="4"/>
    <x v="3"/>
    <s v="GBPR_WOODCHIPS_TARTU"/>
    <x v="10"/>
    <x v="1"/>
    <n v="22"/>
    <n v="1338.3333333333301"/>
    <n v="4818"/>
  </r>
  <r>
    <x v="0"/>
    <x v="0"/>
    <x v="0"/>
    <x v="1"/>
    <x v="2"/>
    <s v="EE_Tallinn"/>
    <x v="4"/>
    <x v="3"/>
    <s v="GBPR_WOODCHIPS_TARTU"/>
    <x v="10"/>
    <x v="2"/>
    <n v="22"/>
    <n v="1338.3333333333301"/>
    <n v="4818"/>
  </r>
  <r>
    <x v="0"/>
    <x v="0"/>
    <x v="0"/>
    <x v="1"/>
    <x v="2"/>
    <s v="EE_Tallinn"/>
    <x v="4"/>
    <x v="3"/>
    <s v="GBPR_WOODCHIPS_TARTU"/>
    <x v="10"/>
    <x v="3"/>
    <n v="22"/>
    <n v="1338.3333333333301"/>
    <n v="4818"/>
  </r>
  <r>
    <x v="0"/>
    <x v="0"/>
    <x v="0"/>
    <x v="1"/>
    <x v="2"/>
    <s v="EE_Tallinn"/>
    <x v="4"/>
    <x v="3"/>
    <s v="GBPR_WOODCHIPS_TARTU"/>
    <x v="10"/>
    <x v="4"/>
    <n v="22"/>
    <n v="1338.3333333333301"/>
    <n v="4818"/>
  </r>
  <r>
    <x v="0"/>
    <x v="0"/>
    <x v="0"/>
    <x v="1"/>
    <x v="2"/>
    <s v="EE_Tallinn"/>
    <x v="4"/>
    <x v="3"/>
    <s v="GBPR_WOODCHIPS_TARTU"/>
    <x v="10"/>
    <x v="5"/>
    <n v="22"/>
    <n v="1338.3333333333301"/>
    <n v="4818"/>
  </r>
  <r>
    <x v="0"/>
    <x v="0"/>
    <x v="0"/>
    <x v="1"/>
    <x v="2"/>
    <s v="EE_Tallinn"/>
    <x v="4"/>
    <x v="3"/>
    <s v="GBPR_WOODCHIPS_TARTU"/>
    <x v="10"/>
    <x v="6"/>
    <n v="22"/>
    <n v="1338.3333333333301"/>
    <n v="4818"/>
  </r>
  <r>
    <x v="0"/>
    <x v="0"/>
    <x v="0"/>
    <x v="1"/>
    <x v="2"/>
    <s v="EE_Tallinn"/>
    <x v="4"/>
    <x v="3"/>
    <s v="GBPR_WOODCHIPS_TARTU"/>
    <x v="10"/>
    <x v="7"/>
    <n v="22"/>
    <n v="1338.3333333333301"/>
    <n v="4818"/>
  </r>
  <r>
    <x v="0"/>
    <x v="0"/>
    <x v="0"/>
    <x v="1"/>
    <x v="2"/>
    <s v="EE_Tallinn"/>
    <x v="4"/>
    <x v="3"/>
    <s v="GBPR_WOODCHIPS_TARTU"/>
    <x v="10"/>
    <x v="8"/>
    <n v="22"/>
    <n v="1338.3333333333301"/>
    <n v="4818"/>
  </r>
  <r>
    <x v="0"/>
    <x v="0"/>
    <x v="0"/>
    <x v="1"/>
    <x v="2"/>
    <s v="EE_Tallinn"/>
    <x v="4"/>
    <x v="3"/>
    <s v="GBPR_WOODCHIPS_TARTU"/>
    <x v="10"/>
    <x v="9"/>
    <n v="22"/>
    <n v="1338.3333333333301"/>
    <n v="4818"/>
  </r>
  <r>
    <x v="0"/>
    <x v="0"/>
    <x v="0"/>
    <x v="1"/>
    <x v="2"/>
    <s v="EE_Tallinn"/>
    <x v="4"/>
    <x v="3"/>
    <s v="GBPR_WOODCHIPS_TARTU"/>
    <x v="10"/>
    <x v="10"/>
    <n v="22"/>
    <n v="1338.3333333333301"/>
    <n v="4818"/>
  </r>
  <r>
    <x v="0"/>
    <x v="0"/>
    <x v="0"/>
    <x v="1"/>
    <x v="2"/>
    <s v="EE_Tallinn"/>
    <x v="4"/>
    <x v="3"/>
    <s v="GBPR_WOODCHIPS_TARTU"/>
    <x v="10"/>
    <x v="11"/>
    <n v="22"/>
    <n v="1338.3333333333301"/>
    <n v="4818"/>
  </r>
  <r>
    <x v="0"/>
    <x v="0"/>
    <x v="0"/>
    <x v="1"/>
    <x v="2"/>
    <s v="EE_Tallinn"/>
    <x v="4"/>
    <x v="3"/>
    <s v="GBPR_WOODCHIPS_TARTU"/>
    <x v="11"/>
    <x v="0"/>
    <n v="22"/>
    <n v="1338.3333333333301"/>
    <n v="4818"/>
  </r>
  <r>
    <x v="0"/>
    <x v="0"/>
    <x v="0"/>
    <x v="1"/>
    <x v="2"/>
    <s v="EE_Tallinn"/>
    <x v="4"/>
    <x v="3"/>
    <s v="GBPR_WOODCHIPS_TARTU"/>
    <x v="11"/>
    <x v="1"/>
    <n v="22"/>
    <n v="1338.3333333333301"/>
    <n v="4818"/>
  </r>
  <r>
    <x v="0"/>
    <x v="0"/>
    <x v="0"/>
    <x v="1"/>
    <x v="2"/>
    <s v="EE_Tallinn"/>
    <x v="4"/>
    <x v="3"/>
    <s v="GBPR_WOODCHIPS_TARTU"/>
    <x v="11"/>
    <x v="2"/>
    <n v="22"/>
    <n v="1338.3333333333301"/>
    <n v="4818"/>
  </r>
  <r>
    <x v="0"/>
    <x v="0"/>
    <x v="0"/>
    <x v="1"/>
    <x v="2"/>
    <s v="EE_Tallinn"/>
    <x v="4"/>
    <x v="3"/>
    <s v="GBPR_WOODCHIPS_TARTU"/>
    <x v="11"/>
    <x v="3"/>
    <n v="22"/>
    <n v="1338.3333333333301"/>
    <n v="4818"/>
  </r>
  <r>
    <x v="0"/>
    <x v="0"/>
    <x v="0"/>
    <x v="1"/>
    <x v="2"/>
    <s v="EE_Tallinn"/>
    <x v="4"/>
    <x v="3"/>
    <s v="GBPR_WOODCHIPS_TARTU"/>
    <x v="11"/>
    <x v="4"/>
    <n v="22"/>
    <n v="1338.3333333333301"/>
    <n v="4818"/>
  </r>
  <r>
    <x v="0"/>
    <x v="0"/>
    <x v="0"/>
    <x v="1"/>
    <x v="2"/>
    <s v="EE_Tallinn"/>
    <x v="4"/>
    <x v="3"/>
    <s v="GBPR_WOODCHIPS_TARTU"/>
    <x v="11"/>
    <x v="5"/>
    <n v="22"/>
    <n v="1338.3333333333301"/>
    <n v="4818"/>
  </r>
  <r>
    <x v="0"/>
    <x v="0"/>
    <x v="0"/>
    <x v="1"/>
    <x v="2"/>
    <s v="EE_Tallinn"/>
    <x v="4"/>
    <x v="3"/>
    <s v="GBPR_WOODCHIPS_TARTU"/>
    <x v="11"/>
    <x v="6"/>
    <n v="22"/>
    <n v="1338.3333333333301"/>
    <n v="4818"/>
  </r>
  <r>
    <x v="0"/>
    <x v="0"/>
    <x v="0"/>
    <x v="1"/>
    <x v="2"/>
    <s v="EE_Tallinn"/>
    <x v="4"/>
    <x v="3"/>
    <s v="GBPR_WOODCHIPS_TARTU"/>
    <x v="11"/>
    <x v="7"/>
    <n v="22"/>
    <n v="1338.3333333333301"/>
    <n v="4818"/>
  </r>
  <r>
    <x v="0"/>
    <x v="0"/>
    <x v="0"/>
    <x v="1"/>
    <x v="2"/>
    <s v="EE_Tallinn"/>
    <x v="4"/>
    <x v="3"/>
    <s v="GBPR_WOODCHIPS_TARTU"/>
    <x v="11"/>
    <x v="8"/>
    <n v="22"/>
    <n v="1338.3333333333301"/>
    <n v="4818"/>
  </r>
  <r>
    <x v="0"/>
    <x v="0"/>
    <x v="0"/>
    <x v="1"/>
    <x v="2"/>
    <s v="EE_Tallinn"/>
    <x v="4"/>
    <x v="3"/>
    <s v="GBPR_WOODCHIPS_TARTU"/>
    <x v="11"/>
    <x v="9"/>
    <n v="22"/>
    <n v="1338.3333333333301"/>
    <n v="4818"/>
  </r>
  <r>
    <x v="0"/>
    <x v="0"/>
    <x v="0"/>
    <x v="1"/>
    <x v="2"/>
    <s v="EE_Tallinn"/>
    <x v="4"/>
    <x v="3"/>
    <s v="GBPR_WOODCHIPS_TARTU"/>
    <x v="11"/>
    <x v="10"/>
    <n v="22"/>
    <n v="1338.3333333333301"/>
    <n v="4818"/>
  </r>
  <r>
    <x v="0"/>
    <x v="0"/>
    <x v="0"/>
    <x v="1"/>
    <x v="2"/>
    <s v="EE_Tallinn"/>
    <x v="4"/>
    <x v="3"/>
    <s v="GBPR_WOODCHIPS_TARTU"/>
    <x v="11"/>
    <x v="11"/>
    <n v="22"/>
    <n v="1338.3333333333301"/>
    <n v="4818"/>
  </r>
  <r>
    <x v="0"/>
    <x v="0"/>
    <x v="0"/>
    <x v="1"/>
    <x v="2"/>
    <s v="EE_Tartu"/>
    <x v="4"/>
    <x v="3"/>
    <s v="GBPR_WOODCHIPS_TARTU"/>
    <x v="0"/>
    <x v="0"/>
    <n v="20.5909909138161"/>
    <n v="1252.61861392381"/>
    <n v="4509.4270101257298"/>
  </r>
  <r>
    <x v="0"/>
    <x v="0"/>
    <x v="0"/>
    <x v="1"/>
    <x v="2"/>
    <s v="EE_Tartu"/>
    <x v="4"/>
    <x v="3"/>
    <s v="GBPR_WOODCHIPS_TARTU"/>
    <x v="0"/>
    <x v="1"/>
    <n v="20.580136411489399"/>
    <n v="1251.9582983656001"/>
    <n v="4507.04987411617"/>
  </r>
  <r>
    <x v="0"/>
    <x v="0"/>
    <x v="0"/>
    <x v="1"/>
    <x v="2"/>
    <s v="EE_Tartu"/>
    <x v="4"/>
    <x v="3"/>
    <s v="GBPR_WOODCHIPS_TARTU"/>
    <x v="0"/>
    <x v="2"/>
    <n v="20.5909909138161"/>
    <n v="1252.61861392381"/>
    <n v="4509.4270101257298"/>
  </r>
  <r>
    <x v="0"/>
    <x v="0"/>
    <x v="0"/>
    <x v="1"/>
    <x v="2"/>
    <s v="EE_Tartu"/>
    <x v="4"/>
    <x v="3"/>
    <s v="GBPR_WOODCHIPS_TARTU"/>
    <x v="0"/>
    <x v="3"/>
    <n v="20.601845416142801"/>
    <n v="1253.27892948202"/>
    <n v="4511.8041461352796"/>
  </r>
  <r>
    <x v="0"/>
    <x v="0"/>
    <x v="0"/>
    <x v="1"/>
    <x v="2"/>
    <s v="EE_Tartu"/>
    <x v="4"/>
    <x v="3"/>
    <s v="GBPR_WOODCHIPS_TARTU"/>
    <x v="0"/>
    <x v="4"/>
    <n v="20.601845416142801"/>
    <n v="1253.27892948202"/>
    <n v="4511.8041461352796"/>
  </r>
  <r>
    <x v="0"/>
    <x v="0"/>
    <x v="0"/>
    <x v="1"/>
    <x v="2"/>
    <s v="EE_Tartu"/>
    <x v="4"/>
    <x v="3"/>
    <s v="GBPR_WOODCHIPS_TARTU"/>
    <x v="0"/>
    <x v="5"/>
    <n v="20.580136411489399"/>
    <n v="1251.9582983656001"/>
    <n v="4507.04987411617"/>
  </r>
  <r>
    <x v="0"/>
    <x v="0"/>
    <x v="0"/>
    <x v="1"/>
    <x v="2"/>
    <s v="EE_Tartu"/>
    <x v="4"/>
    <x v="3"/>
    <s v="GBPR_WOODCHIPS_TARTU"/>
    <x v="0"/>
    <x v="6"/>
    <n v="20.536718402182402"/>
    <n v="1249.31703613276"/>
    <n v="4497.5413300779501"/>
  </r>
  <r>
    <x v="0"/>
    <x v="0"/>
    <x v="0"/>
    <x v="1"/>
    <x v="2"/>
    <s v="EE_Tartu"/>
    <x v="4"/>
    <x v="3"/>
    <s v="GBPR_WOODCHIPS_TARTU"/>
    <x v="0"/>
    <x v="7"/>
    <n v="20.504154895202198"/>
    <n v="1247.3360894581299"/>
    <n v="4490.4099220492799"/>
  </r>
  <r>
    <x v="0"/>
    <x v="0"/>
    <x v="0"/>
    <x v="1"/>
    <x v="2"/>
    <s v="EE_Tartu"/>
    <x v="4"/>
    <x v="3"/>
    <s v="GBPR_WOODCHIPS_TARTU"/>
    <x v="0"/>
    <x v="8"/>
    <n v="20.612699918469598"/>
    <n v="1253.9392450402299"/>
    <n v="4514.1812821448402"/>
  </r>
  <r>
    <x v="0"/>
    <x v="0"/>
    <x v="0"/>
    <x v="1"/>
    <x v="2"/>
    <s v="EE_Tartu"/>
    <x v="4"/>
    <x v="3"/>
    <s v="GBPR_WOODCHIPS_TARTU"/>
    <x v="0"/>
    <x v="9"/>
    <n v="20.764662951043899"/>
    <n v="1263.18366285517"/>
    <n v="4547.4611862786096"/>
  </r>
  <r>
    <x v="0"/>
    <x v="0"/>
    <x v="0"/>
    <x v="1"/>
    <x v="2"/>
    <s v="EE_Tartu"/>
    <x v="4"/>
    <x v="3"/>
    <s v="GBPR_WOODCHIPS_TARTU"/>
    <x v="0"/>
    <x v="10"/>
    <n v="20.9817529975785"/>
    <n v="1276.3899740193599"/>
    <n v="4595.0039064697003"/>
  </r>
  <r>
    <x v="0"/>
    <x v="0"/>
    <x v="0"/>
    <x v="1"/>
    <x v="2"/>
    <s v="EE_Tartu"/>
    <x v="4"/>
    <x v="3"/>
    <s v="GBPR_WOODCHIPS_TARTU"/>
    <x v="0"/>
    <x v="11"/>
    <n v="21.242261053420201"/>
    <n v="1292.2375474164"/>
    <n v="4652.05517069902"/>
  </r>
  <r>
    <x v="0"/>
    <x v="0"/>
    <x v="0"/>
    <x v="1"/>
    <x v="2"/>
    <s v="EE_Tartu"/>
    <x v="4"/>
    <x v="3"/>
    <s v="GBPR_WOODCHIPS_TARTU"/>
    <x v="1"/>
    <x v="0"/>
    <n v="22"/>
    <n v="1338.3333333333301"/>
    <n v="4818"/>
  </r>
  <r>
    <x v="0"/>
    <x v="0"/>
    <x v="0"/>
    <x v="1"/>
    <x v="2"/>
    <s v="EE_Tartu"/>
    <x v="4"/>
    <x v="3"/>
    <s v="GBPR_WOODCHIPS_TARTU"/>
    <x v="1"/>
    <x v="1"/>
    <n v="22"/>
    <n v="1338.3333333333301"/>
    <n v="4818"/>
  </r>
  <r>
    <x v="0"/>
    <x v="0"/>
    <x v="0"/>
    <x v="1"/>
    <x v="2"/>
    <s v="EE_Tartu"/>
    <x v="4"/>
    <x v="3"/>
    <s v="GBPR_WOODCHIPS_TARTU"/>
    <x v="1"/>
    <x v="2"/>
    <n v="22"/>
    <n v="1338.3333333333301"/>
    <n v="4818"/>
  </r>
  <r>
    <x v="0"/>
    <x v="0"/>
    <x v="0"/>
    <x v="1"/>
    <x v="2"/>
    <s v="EE_Tartu"/>
    <x v="4"/>
    <x v="3"/>
    <s v="GBPR_WOODCHIPS_TARTU"/>
    <x v="1"/>
    <x v="3"/>
    <n v="22"/>
    <n v="1338.3333333333301"/>
    <n v="4818"/>
  </r>
  <r>
    <x v="0"/>
    <x v="0"/>
    <x v="0"/>
    <x v="1"/>
    <x v="2"/>
    <s v="EE_Tartu"/>
    <x v="4"/>
    <x v="3"/>
    <s v="GBPR_WOODCHIPS_TARTU"/>
    <x v="1"/>
    <x v="4"/>
    <n v="22"/>
    <n v="1338.3333333333301"/>
    <n v="4818"/>
  </r>
  <r>
    <x v="0"/>
    <x v="0"/>
    <x v="0"/>
    <x v="1"/>
    <x v="2"/>
    <s v="EE_Tartu"/>
    <x v="4"/>
    <x v="3"/>
    <s v="GBPR_WOODCHIPS_TARTU"/>
    <x v="1"/>
    <x v="5"/>
    <n v="22"/>
    <n v="1338.3333333333301"/>
    <n v="4818"/>
  </r>
  <r>
    <x v="0"/>
    <x v="0"/>
    <x v="0"/>
    <x v="1"/>
    <x v="2"/>
    <s v="EE_Tartu"/>
    <x v="4"/>
    <x v="3"/>
    <s v="GBPR_WOODCHIPS_TARTU"/>
    <x v="1"/>
    <x v="6"/>
    <n v="22"/>
    <n v="1338.3333333333301"/>
    <n v="4818"/>
  </r>
  <r>
    <x v="0"/>
    <x v="0"/>
    <x v="0"/>
    <x v="1"/>
    <x v="2"/>
    <s v="EE_Tartu"/>
    <x v="4"/>
    <x v="3"/>
    <s v="GBPR_WOODCHIPS_TARTU"/>
    <x v="1"/>
    <x v="7"/>
    <n v="22"/>
    <n v="1338.3333333333301"/>
    <n v="4818"/>
  </r>
  <r>
    <x v="0"/>
    <x v="0"/>
    <x v="0"/>
    <x v="1"/>
    <x v="2"/>
    <s v="EE_Tartu"/>
    <x v="4"/>
    <x v="3"/>
    <s v="GBPR_WOODCHIPS_TARTU"/>
    <x v="1"/>
    <x v="8"/>
    <n v="22"/>
    <n v="1338.3333333333301"/>
    <n v="4818"/>
  </r>
  <r>
    <x v="0"/>
    <x v="0"/>
    <x v="0"/>
    <x v="1"/>
    <x v="2"/>
    <s v="EE_Tartu"/>
    <x v="4"/>
    <x v="3"/>
    <s v="GBPR_WOODCHIPS_TARTU"/>
    <x v="1"/>
    <x v="9"/>
    <n v="22"/>
    <n v="1338.3333333333301"/>
    <n v="4818"/>
  </r>
  <r>
    <x v="0"/>
    <x v="0"/>
    <x v="0"/>
    <x v="1"/>
    <x v="2"/>
    <s v="EE_Tartu"/>
    <x v="4"/>
    <x v="3"/>
    <s v="GBPR_WOODCHIPS_TARTU"/>
    <x v="1"/>
    <x v="10"/>
    <n v="22"/>
    <n v="1338.3333333333301"/>
    <n v="4818"/>
  </r>
  <r>
    <x v="0"/>
    <x v="0"/>
    <x v="0"/>
    <x v="1"/>
    <x v="2"/>
    <s v="EE_Tartu"/>
    <x v="4"/>
    <x v="3"/>
    <s v="GBPR_WOODCHIPS_TARTU"/>
    <x v="1"/>
    <x v="11"/>
    <n v="22"/>
    <n v="1338.3333333333301"/>
    <n v="4818"/>
  </r>
  <r>
    <x v="0"/>
    <x v="0"/>
    <x v="0"/>
    <x v="1"/>
    <x v="2"/>
    <s v="EE_Tartu"/>
    <x v="4"/>
    <x v="3"/>
    <s v="GBPR_WOODCHIPS_TARTU"/>
    <x v="2"/>
    <x v="0"/>
    <n v="21.8066951744104"/>
    <n v="1326.5739564432999"/>
    <n v="4775.6662431958803"/>
  </r>
  <r>
    <x v="0"/>
    <x v="0"/>
    <x v="0"/>
    <x v="1"/>
    <x v="2"/>
    <s v="EE_Tartu"/>
    <x v="4"/>
    <x v="3"/>
    <s v="GBPR_WOODCHIPS_TARTU"/>
    <x v="2"/>
    <x v="1"/>
    <n v="21.828404179063899"/>
    <n v="1327.8945875597201"/>
    <n v="4780.4205152149898"/>
  </r>
  <r>
    <x v="0"/>
    <x v="0"/>
    <x v="0"/>
    <x v="1"/>
    <x v="2"/>
    <s v="EE_Tartu"/>
    <x v="4"/>
    <x v="3"/>
    <s v="GBPR_WOODCHIPS_TARTU"/>
    <x v="2"/>
    <x v="2"/>
    <n v="21.850113183717401"/>
    <n v="1329.21521867614"/>
    <n v="4785.1747872341002"/>
  </r>
  <r>
    <x v="0"/>
    <x v="0"/>
    <x v="0"/>
    <x v="1"/>
    <x v="2"/>
    <s v="EE_Tartu"/>
    <x v="4"/>
    <x v="3"/>
    <s v="GBPR_WOODCHIPS_TARTU"/>
    <x v="2"/>
    <x v="3"/>
    <n v="21.904385695350999"/>
    <n v="1332.51679646719"/>
    <n v="4797.0604672818699"/>
  </r>
  <r>
    <x v="0"/>
    <x v="0"/>
    <x v="0"/>
    <x v="1"/>
    <x v="2"/>
    <s v="EE_Tartu"/>
    <x v="4"/>
    <x v="3"/>
    <s v="GBPR_WOODCHIPS_TARTU"/>
    <x v="2"/>
    <x v="4"/>
    <n v="21.969512709311399"/>
    <n v="1336.47868981645"/>
    <n v="4811.3232833392003"/>
  </r>
  <r>
    <x v="0"/>
    <x v="0"/>
    <x v="0"/>
    <x v="1"/>
    <x v="2"/>
    <s v="EE_Tartu"/>
    <x v="4"/>
    <x v="3"/>
    <s v="GBPR_WOODCHIPS_TARTU"/>
    <x v="2"/>
    <x v="5"/>
    <n v="22"/>
    <n v="1338.3333333333301"/>
    <n v="4818"/>
  </r>
  <r>
    <x v="0"/>
    <x v="0"/>
    <x v="0"/>
    <x v="1"/>
    <x v="2"/>
    <s v="EE_Tartu"/>
    <x v="4"/>
    <x v="3"/>
    <s v="GBPR_WOODCHIPS_TARTU"/>
    <x v="2"/>
    <x v="6"/>
    <n v="22"/>
    <n v="1338.3333333333301"/>
    <n v="4818"/>
  </r>
  <r>
    <x v="0"/>
    <x v="0"/>
    <x v="0"/>
    <x v="1"/>
    <x v="2"/>
    <s v="EE_Tartu"/>
    <x v="4"/>
    <x v="3"/>
    <s v="GBPR_WOODCHIPS_TARTU"/>
    <x v="2"/>
    <x v="7"/>
    <n v="22"/>
    <n v="1338.3333333333301"/>
    <n v="4818"/>
  </r>
  <r>
    <x v="0"/>
    <x v="0"/>
    <x v="0"/>
    <x v="1"/>
    <x v="2"/>
    <s v="EE_Tartu"/>
    <x v="4"/>
    <x v="3"/>
    <s v="GBPR_WOODCHIPS_TARTU"/>
    <x v="2"/>
    <x v="8"/>
    <n v="22"/>
    <n v="1338.3333333333301"/>
    <n v="4818"/>
  </r>
  <r>
    <x v="0"/>
    <x v="0"/>
    <x v="0"/>
    <x v="1"/>
    <x v="2"/>
    <s v="EE_Tartu"/>
    <x v="4"/>
    <x v="3"/>
    <s v="GBPR_WOODCHIPS_TARTU"/>
    <x v="2"/>
    <x v="9"/>
    <n v="22"/>
    <n v="1338.3333333333301"/>
    <n v="4818"/>
  </r>
  <r>
    <x v="0"/>
    <x v="0"/>
    <x v="0"/>
    <x v="1"/>
    <x v="2"/>
    <s v="EE_Tartu"/>
    <x v="4"/>
    <x v="3"/>
    <s v="GBPR_WOODCHIPS_TARTU"/>
    <x v="2"/>
    <x v="10"/>
    <n v="22"/>
    <n v="1338.3333333333301"/>
    <n v="4818"/>
  </r>
  <r>
    <x v="0"/>
    <x v="0"/>
    <x v="0"/>
    <x v="1"/>
    <x v="2"/>
    <s v="EE_Tartu"/>
    <x v="4"/>
    <x v="3"/>
    <s v="GBPR_WOODCHIPS_TARTU"/>
    <x v="2"/>
    <x v="11"/>
    <n v="22"/>
    <n v="1338.3333333333301"/>
    <n v="4818"/>
  </r>
  <r>
    <x v="0"/>
    <x v="0"/>
    <x v="0"/>
    <x v="1"/>
    <x v="2"/>
    <s v="EE_Tartu"/>
    <x v="4"/>
    <x v="3"/>
    <s v="GBPR_WOODCHIPS_TARTU"/>
    <x v="3"/>
    <x v="0"/>
    <n v="22"/>
    <n v="1338.3333333333301"/>
    <n v="4818"/>
  </r>
  <r>
    <x v="0"/>
    <x v="0"/>
    <x v="0"/>
    <x v="1"/>
    <x v="2"/>
    <s v="EE_Tartu"/>
    <x v="4"/>
    <x v="3"/>
    <s v="GBPR_WOODCHIPS_TARTU"/>
    <x v="3"/>
    <x v="1"/>
    <n v="22"/>
    <n v="1338.3333333333301"/>
    <n v="4818"/>
  </r>
  <r>
    <x v="0"/>
    <x v="0"/>
    <x v="0"/>
    <x v="1"/>
    <x v="2"/>
    <s v="EE_Tartu"/>
    <x v="4"/>
    <x v="3"/>
    <s v="GBPR_WOODCHIPS_TARTU"/>
    <x v="3"/>
    <x v="2"/>
    <n v="22"/>
    <n v="1338.3333333333301"/>
    <n v="4818"/>
  </r>
  <r>
    <x v="0"/>
    <x v="0"/>
    <x v="0"/>
    <x v="1"/>
    <x v="2"/>
    <s v="EE_Tartu"/>
    <x v="4"/>
    <x v="3"/>
    <s v="GBPR_WOODCHIPS_TARTU"/>
    <x v="3"/>
    <x v="3"/>
    <n v="22"/>
    <n v="1338.3333333333301"/>
    <n v="4818"/>
  </r>
  <r>
    <x v="0"/>
    <x v="0"/>
    <x v="0"/>
    <x v="1"/>
    <x v="2"/>
    <s v="EE_Tartu"/>
    <x v="4"/>
    <x v="3"/>
    <s v="GBPR_WOODCHIPS_TARTU"/>
    <x v="3"/>
    <x v="4"/>
    <n v="22"/>
    <n v="1338.3333333333301"/>
    <n v="4818"/>
  </r>
  <r>
    <x v="0"/>
    <x v="0"/>
    <x v="0"/>
    <x v="1"/>
    <x v="2"/>
    <s v="EE_Tartu"/>
    <x v="4"/>
    <x v="3"/>
    <s v="GBPR_WOODCHIPS_TARTU"/>
    <x v="3"/>
    <x v="5"/>
    <n v="22"/>
    <n v="1338.3333333333301"/>
    <n v="4818"/>
  </r>
  <r>
    <x v="0"/>
    <x v="0"/>
    <x v="0"/>
    <x v="1"/>
    <x v="2"/>
    <s v="EE_Tartu"/>
    <x v="4"/>
    <x v="3"/>
    <s v="GBPR_WOODCHIPS_TARTU"/>
    <x v="3"/>
    <x v="6"/>
    <n v="22"/>
    <n v="1338.3333333333301"/>
    <n v="4818"/>
  </r>
  <r>
    <x v="0"/>
    <x v="0"/>
    <x v="0"/>
    <x v="1"/>
    <x v="2"/>
    <s v="EE_Tartu"/>
    <x v="4"/>
    <x v="3"/>
    <s v="GBPR_WOODCHIPS_TARTU"/>
    <x v="3"/>
    <x v="7"/>
    <n v="22"/>
    <n v="1338.3333333333301"/>
    <n v="4818"/>
  </r>
  <r>
    <x v="0"/>
    <x v="0"/>
    <x v="0"/>
    <x v="1"/>
    <x v="2"/>
    <s v="EE_Tartu"/>
    <x v="4"/>
    <x v="3"/>
    <s v="GBPR_WOODCHIPS_TARTU"/>
    <x v="3"/>
    <x v="8"/>
    <n v="22"/>
    <n v="1338.3333333333301"/>
    <n v="4818"/>
  </r>
  <r>
    <x v="0"/>
    <x v="0"/>
    <x v="0"/>
    <x v="1"/>
    <x v="2"/>
    <s v="EE_Tartu"/>
    <x v="4"/>
    <x v="3"/>
    <s v="GBPR_WOODCHIPS_TARTU"/>
    <x v="3"/>
    <x v="9"/>
    <n v="22"/>
    <n v="1338.3333333333301"/>
    <n v="4818"/>
  </r>
  <r>
    <x v="0"/>
    <x v="0"/>
    <x v="0"/>
    <x v="1"/>
    <x v="2"/>
    <s v="EE_Tartu"/>
    <x v="4"/>
    <x v="3"/>
    <s v="GBPR_WOODCHIPS_TARTU"/>
    <x v="3"/>
    <x v="10"/>
    <n v="22"/>
    <n v="1338.3333333333301"/>
    <n v="4818"/>
  </r>
  <r>
    <x v="0"/>
    <x v="0"/>
    <x v="0"/>
    <x v="1"/>
    <x v="2"/>
    <s v="EE_Tartu"/>
    <x v="4"/>
    <x v="3"/>
    <s v="GBPR_WOODCHIPS_TARTU"/>
    <x v="3"/>
    <x v="11"/>
    <n v="22"/>
    <n v="1338.3333333333301"/>
    <n v="4818"/>
  </r>
  <r>
    <x v="0"/>
    <x v="0"/>
    <x v="0"/>
    <x v="1"/>
    <x v="2"/>
    <s v="EE_Tartu"/>
    <x v="4"/>
    <x v="3"/>
    <s v="GBPR_WOODCHIPS_TARTU"/>
    <x v="4"/>
    <x v="0"/>
    <n v="22"/>
    <n v="1338.3333333333301"/>
    <n v="4818"/>
  </r>
  <r>
    <x v="0"/>
    <x v="0"/>
    <x v="0"/>
    <x v="1"/>
    <x v="2"/>
    <s v="EE_Tartu"/>
    <x v="4"/>
    <x v="3"/>
    <s v="GBPR_WOODCHIPS_TARTU"/>
    <x v="4"/>
    <x v="1"/>
    <n v="22"/>
    <n v="1338.3333333333301"/>
    <n v="4818"/>
  </r>
  <r>
    <x v="0"/>
    <x v="0"/>
    <x v="0"/>
    <x v="1"/>
    <x v="2"/>
    <s v="EE_Tartu"/>
    <x v="4"/>
    <x v="3"/>
    <s v="GBPR_WOODCHIPS_TARTU"/>
    <x v="4"/>
    <x v="2"/>
    <n v="22"/>
    <n v="1338.3333333333301"/>
    <n v="4818"/>
  </r>
  <r>
    <x v="0"/>
    <x v="0"/>
    <x v="0"/>
    <x v="1"/>
    <x v="2"/>
    <s v="EE_Tartu"/>
    <x v="4"/>
    <x v="3"/>
    <s v="GBPR_WOODCHIPS_TARTU"/>
    <x v="4"/>
    <x v="3"/>
    <n v="22"/>
    <n v="1338.3333333333301"/>
    <n v="4818"/>
  </r>
  <r>
    <x v="0"/>
    <x v="0"/>
    <x v="0"/>
    <x v="1"/>
    <x v="2"/>
    <s v="EE_Tartu"/>
    <x v="4"/>
    <x v="3"/>
    <s v="GBPR_WOODCHIPS_TARTU"/>
    <x v="4"/>
    <x v="4"/>
    <n v="22"/>
    <n v="1338.3333333333301"/>
    <n v="4818"/>
  </r>
  <r>
    <x v="0"/>
    <x v="0"/>
    <x v="0"/>
    <x v="1"/>
    <x v="2"/>
    <s v="EE_Tartu"/>
    <x v="4"/>
    <x v="3"/>
    <s v="GBPR_WOODCHIPS_TARTU"/>
    <x v="4"/>
    <x v="5"/>
    <n v="22"/>
    <n v="1338.3333333333301"/>
    <n v="4818"/>
  </r>
  <r>
    <x v="0"/>
    <x v="0"/>
    <x v="0"/>
    <x v="1"/>
    <x v="2"/>
    <s v="EE_Tartu"/>
    <x v="4"/>
    <x v="3"/>
    <s v="GBPR_WOODCHIPS_TARTU"/>
    <x v="4"/>
    <x v="6"/>
    <n v="22"/>
    <n v="1338.3333333333301"/>
    <n v="4818"/>
  </r>
  <r>
    <x v="0"/>
    <x v="0"/>
    <x v="0"/>
    <x v="1"/>
    <x v="2"/>
    <s v="EE_Tartu"/>
    <x v="4"/>
    <x v="3"/>
    <s v="GBPR_WOODCHIPS_TARTU"/>
    <x v="4"/>
    <x v="7"/>
    <n v="22"/>
    <n v="1338.3333333333301"/>
    <n v="4818"/>
  </r>
  <r>
    <x v="0"/>
    <x v="0"/>
    <x v="0"/>
    <x v="1"/>
    <x v="2"/>
    <s v="EE_Tartu"/>
    <x v="4"/>
    <x v="3"/>
    <s v="GBPR_WOODCHIPS_TARTU"/>
    <x v="4"/>
    <x v="8"/>
    <n v="22"/>
    <n v="1338.3333333333301"/>
    <n v="4818"/>
  </r>
  <r>
    <x v="0"/>
    <x v="0"/>
    <x v="0"/>
    <x v="1"/>
    <x v="2"/>
    <s v="EE_Tartu"/>
    <x v="4"/>
    <x v="3"/>
    <s v="GBPR_WOODCHIPS_TARTU"/>
    <x v="4"/>
    <x v="9"/>
    <n v="22"/>
    <n v="1338.3333333333301"/>
    <n v="4818"/>
  </r>
  <r>
    <x v="0"/>
    <x v="0"/>
    <x v="0"/>
    <x v="1"/>
    <x v="2"/>
    <s v="EE_Tartu"/>
    <x v="4"/>
    <x v="3"/>
    <s v="GBPR_WOODCHIPS_TARTU"/>
    <x v="4"/>
    <x v="10"/>
    <n v="22"/>
    <n v="1338.3333333333301"/>
    <n v="4818"/>
  </r>
  <r>
    <x v="0"/>
    <x v="0"/>
    <x v="0"/>
    <x v="1"/>
    <x v="2"/>
    <s v="EE_Tartu"/>
    <x v="4"/>
    <x v="3"/>
    <s v="GBPR_WOODCHIPS_TARTU"/>
    <x v="4"/>
    <x v="11"/>
    <n v="22"/>
    <n v="1338.3333333333301"/>
    <n v="4818"/>
  </r>
  <r>
    <x v="0"/>
    <x v="0"/>
    <x v="0"/>
    <x v="1"/>
    <x v="2"/>
    <s v="EE_Tartu"/>
    <x v="4"/>
    <x v="3"/>
    <s v="GBPR_WOODCHIPS_TARTU"/>
    <x v="5"/>
    <x v="0"/>
    <n v="22"/>
    <n v="1338.3333333333301"/>
    <n v="4818"/>
  </r>
  <r>
    <x v="0"/>
    <x v="0"/>
    <x v="0"/>
    <x v="1"/>
    <x v="2"/>
    <s v="EE_Tartu"/>
    <x v="4"/>
    <x v="3"/>
    <s v="GBPR_WOODCHIPS_TARTU"/>
    <x v="5"/>
    <x v="1"/>
    <n v="22"/>
    <n v="1338.3333333333301"/>
    <n v="4818"/>
  </r>
  <r>
    <x v="0"/>
    <x v="0"/>
    <x v="0"/>
    <x v="1"/>
    <x v="2"/>
    <s v="EE_Tartu"/>
    <x v="4"/>
    <x v="3"/>
    <s v="GBPR_WOODCHIPS_TARTU"/>
    <x v="5"/>
    <x v="2"/>
    <n v="22"/>
    <n v="1338.3333333333301"/>
    <n v="4818"/>
  </r>
  <r>
    <x v="0"/>
    <x v="0"/>
    <x v="0"/>
    <x v="1"/>
    <x v="2"/>
    <s v="EE_Tartu"/>
    <x v="4"/>
    <x v="3"/>
    <s v="GBPR_WOODCHIPS_TARTU"/>
    <x v="5"/>
    <x v="3"/>
    <n v="22"/>
    <n v="1338.3333333333301"/>
    <n v="4818"/>
  </r>
  <r>
    <x v="0"/>
    <x v="0"/>
    <x v="0"/>
    <x v="1"/>
    <x v="2"/>
    <s v="EE_Tartu"/>
    <x v="4"/>
    <x v="3"/>
    <s v="GBPR_WOODCHIPS_TARTU"/>
    <x v="5"/>
    <x v="4"/>
    <n v="22"/>
    <n v="1338.3333333333301"/>
    <n v="4818"/>
  </r>
  <r>
    <x v="0"/>
    <x v="0"/>
    <x v="0"/>
    <x v="1"/>
    <x v="2"/>
    <s v="EE_Tartu"/>
    <x v="4"/>
    <x v="3"/>
    <s v="GBPR_WOODCHIPS_TARTU"/>
    <x v="5"/>
    <x v="5"/>
    <n v="22"/>
    <n v="1338.3333333333301"/>
    <n v="4818"/>
  </r>
  <r>
    <x v="0"/>
    <x v="0"/>
    <x v="0"/>
    <x v="1"/>
    <x v="2"/>
    <s v="EE_Tartu"/>
    <x v="4"/>
    <x v="3"/>
    <s v="GBPR_WOODCHIPS_TARTU"/>
    <x v="5"/>
    <x v="6"/>
    <n v="22"/>
    <n v="1338.3333333333301"/>
    <n v="4818"/>
  </r>
  <r>
    <x v="0"/>
    <x v="0"/>
    <x v="0"/>
    <x v="1"/>
    <x v="2"/>
    <s v="EE_Tartu"/>
    <x v="4"/>
    <x v="3"/>
    <s v="GBPR_WOODCHIPS_TARTU"/>
    <x v="5"/>
    <x v="7"/>
    <n v="22"/>
    <n v="1338.3333333333301"/>
    <n v="4818"/>
  </r>
  <r>
    <x v="0"/>
    <x v="0"/>
    <x v="0"/>
    <x v="1"/>
    <x v="2"/>
    <s v="EE_Tartu"/>
    <x v="4"/>
    <x v="3"/>
    <s v="GBPR_WOODCHIPS_TARTU"/>
    <x v="5"/>
    <x v="8"/>
    <n v="22"/>
    <n v="1338.3333333333301"/>
    <n v="4818"/>
  </r>
  <r>
    <x v="0"/>
    <x v="0"/>
    <x v="0"/>
    <x v="1"/>
    <x v="2"/>
    <s v="EE_Tartu"/>
    <x v="4"/>
    <x v="3"/>
    <s v="GBPR_WOODCHIPS_TARTU"/>
    <x v="5"/>
    <x v="9"/>
    <n v="22"/>
    <n v="1338.3333333333301"/>
    <n v="4818"/>
  </r>
  <r>
    <x v="0"/>
    <x v="0"/>
    <x v="0"/>
    <x v="1"/>
    <x v="2"/>
    <s v="EE_Tartu"/>
    <x v="4"/>
    <x v="3"/>
    <s v="GBPR_WOODCHIPS_TARTU"/>
    <x v="5"/>
    <x v="10"/>
    <n v="22"/>
    <n v="1338.3333333333301"/>
    <n v="4818"/>
  </r>
  <r>
    <x v="0"/>
    <x v="0"/>
    <x v="0"/>
    <x v="1"/>
    <x v="2"/>
    <s v="EE_Tartu"/>
    <x v="4"/>
    <x v="3"/>
    <s v="GBPR_WOODCHIPS_TARTU"/>
    <x v="5"/>
    <x v="11"/>
    <n v="22"/>
    <n v="1338.3333333333301"/>
    <n v="4818"/>
  </r>
  <r>
    <x v="0"/>
    <x v="0"/>
    <x v="0"/>
    <x v="1"/>
    <x v="2"/>
    <s v="EE_Tartu"/>
    <x v="4"/>
    <x v="3"/>
    <s v="GBPR_WOODCHIPS_TARTU"/>
    <x v="6"/>
    <x v="0"/>
    <n v="22"/>
    <n v="1338.3333333333301"/>
    <n v="4818"/>
  </r>
  <r>
    <x v="0"/>
    <x v="0"/>
    <x v="0"/>
    <x v="1"/>
    <x v="2"/>
    <s v="EE_Tartu"/>
    <x v="4"/>
    <x v="3"/>
    <s v="GBPR_WOODCHIPS_TARTU"/>
    <x v="6"/>
    <x v="1"/>
    <n v="22"/>
    <n v="1338.3333333333301"/>
    <n v="4818"/>
  </r>
  <r>
    <x v="0"/>
    <x v="0"/>
    <x v="0"/>
    <x v="1"/>
    <x v="2"/>
    <s v="EE_Tartu"/>
    <x v="4"/>
    <x v="3"/>
    <s v="GBPR_WOODCHIPS_TARTU"/>
    <x v="6"/>
    <x v="2"/>
    <n v="22"/>
    <n v="1338.3333333333301"/>
    <n v="4818"/>
  </r>
  <r>
    <x v="0"/>
    <x v="0"/>
    <x v="0"/>
    <x v="1"/>
    <x v="2"/>
    <s v="EE_Tartu"/>
    <x v="4"/>
    <x v="3"/>
    <s v="GBPR_WOODCHIPS_TARTU"/>
    <x v="6"/>
    <x v="3"/>
    <n v="22"/>
    <n v="1338.3333333333301"/>
    <n v="4818"/>
  </r>
  <r>
    <x v="0"/>
    <x v="0"/>
    <x v="0"/>
    <x v="1"/>
    <x v="2"/>
    <s v="EE_Tartu"/>
    <x v="4"/>
    <x v="3"/>
    <s v="GBPR_WOODCHIPS_TARTU"/>
    <x v="6"/>
    <x v="4"/>
    <n v="22"/>
    <n v="1338.3333333333301"/>
    <n v="4818"/>
  </r>
  <r>
    <x v="0"/>
    <x v="0"/>
    <x v="0"/>
    <x v="1"/>
    <x v="2"/>
    <s v="EE_Tartu"/>
    <x v="4"/>
    <x v="3"/>
    <s v="GBPR_WOODCHIPS_TARTU"/>
    <x v="6"/>
    <x v="5"/>
    <n v="22"/>
    <n v="1338.3333333333301"/>
    <n v="4818"/>
  </r>
  <r>
    <x v="0"/>
    <x v="0"/>
    <x v="0"/>
    <x v="1"/>
    <x v="2"/>
    <s v="EE_Tartu"/>
    <x v="4"/>
    <x v="3"/>
    <s v="GBPR_WOODCHIPS_TARTU"/>
    <x v="6"/>
    <x v="6"/>
    <n v="22"/>
    <n v="1338.3333333333301"/>
    <n v="4818"/>
  </r>
  <r>
    <x v="0"/>
    <x v="0"/>
    <x v="0"/>
    <x v="1"/>
    <x v="2"/>
    <s v="EE_Tartu"/>
    <x v="4"/>
    <x v="3"/>
    <s v="GBPR_WOODCHIPS_TARTU"/>
    <x v="6"/>
    <x v="7"/>
    <n v="22"/>
    <n v="1338.3333333333301"/>
    <n v="4818"/>
  </r>
  <r>
    <x v="0"/>
    <x v="0"/>
    <x v="0"/>
    <x v="1"/>
    <x v="2"/>
    <s v="EE_Tartu"/>
    <x v="4"/>
    <x v="3"/>
    <s v="GBPR_WOODCHIPS_TARTU"/>
    <x v="6"/>
    <x v="8"/>
    <n v="22"/>
    <n v="1338.3333333333301"/>
    <n v="4818"/>
  </r>
  <r>
    <x v="0"/>
    <x v="0"/>
    <x v="0"/>
    <x v="1"/>
    <x v="2"/>
    <s v="EE_Tartu"/>
    <x v="4"/>
    <x v="3"/>
    <s v="GBPR_WOODCHIPS_TARTU"/>
    <x v="6"/>
    <x v="9"/>
    <n v="22"/>
    <n v="1338.3333333333301"/>
    <n v="4818"/>
  </r>
  <r>
    <x v="0"/>
    <x v="0"/>
    <x v="0"/>
    <x v="1"/>
    <x v="2"/>
    <s v="EE_Tartu"/>
    <x v="4"/>
    <x v="3"/>
    <s v="GBPR_WOODCHIPS_TARTU"/>
    <x v="6"/>
    <x v="10"/>
    <n v="22"/>
    <n v="1338.3333333333301"/>
    <n v="4818"/>
  </r>
  <r>
    <x v="0"/>
    <x v="0"/>
    <x v="0"/>
    <x v="1"/>
    <x v="2"/>
    <s v="EE_Tartu"/>
    <x v="4"/>
    <x v="3"/>
    <s v="GBPR_WOODCHIPS_TARTU"/>
    <x v="6"/>
    <x v="11"/>
    <n v="22"/>
    <n v="1338.3333333333301"/>
    <n v="4818"/>
  </r>
  <r>
    <x v="0"/>
    <x v="0"/>
    <x v="0"/>
    <x v="1"/>
    <x v="2"/>
    <s v="EE_Tartu"/>
    <x v="4"/>
    <x v="3"/>
    <s v="GBPR_WOODCHIPS_TARTU"/>
    <x v="7"/>
    <x v="0"/>
    <n v="22"/>
    <n v="1338.3333333333301"/>
    <n v="4818"/>
  </r>
  <r>
    <x v="0"/>
    <x v="0"/>
    <x v="0"/>
    <x v="1"/>
    <x v="2"/>
    <s v="EE_Tartu"/>
    <x v="4"/>
    <x v="3"/>
    <s v="GBPR_WOODCHIPS_TARTU"/>
    <x v="7"/>
    <x v="1"/>
    <n v="22"/>
    <n v="1338.3333333333301"/>
    <n v="4818"/>
  </r>
  <r>
    <x v="0"/>
    <x v="0"/>
    <x v="0"/>
    <x v="1"/>
    <x v="2"/>
    <s v="EE_Tartu"/>
    <x v="4"/>
    <x v="3"/>
    <s v="GBPR_WOODCHIPS_TARTU"/>
    <x v="7"/>
    <x v="2"/>
    <n v="22"/>
    <n v="1338.3333333333301"/>
    <n v="4818"/>
  </r>
  <r>
    <x v="0"/>
    <x v="0"/>
    <x v="0"/>
    <x v="1"/>
    <x v="2"/>
    <s v="EE_Tartu"/>
    <x v="4"/>
    <x v="3"/>
    <s v="GBPR_WOODCHIPS_TARTU"/>
    <x v="7"/>
    <x v="3"/>
    <n v="22"/>
    <n v="1338.3333333333301"/>
    <n v="4818"/>
  </r>
  <r>
    <x v="0"/>
    <x v="0"/>
    <x v="0"/>
    <x v="1"/>
    <x v="2"/>
    <s v="EE_Tartu"/>
    <x v="4"/>
    <x v="3"/>
    <s v="GBPR_WOODCHIPS_TARTU"/>
    <x v="7"/>
    <x v="4"/>
    <n v="22"/>
    <n v="1338.3333333333301"/>
    <n v="4818"/>
  </r>
  <r>
    <x v="0"/>
    <x v="0"/>
    <x v="0"/>
    <x v="1"/>
    <x v="2"/>
    <s v="EE_Tartu"/>
    <x v="4"/>
    <x v="3"/>
    <s v="GBPR_WOODCHIPS_TARTU"/>
    <x v="7"/>
    <x v="5"/>
    <n v="22"/>
    <n v="1338.3333333333301"/>
    <n v="4818"/>
  </r>
  <r>
    <x v="0"/>
    <x v="0"/>
    <x v="0"/>
    <x v="1"/>
    <x v="2"/>
    <s v="EE_Tartu"/>
    <x v="4"/>
    <x v="3"/>
    <s v="GBPR_WOODCHIPS_TARTU"/>
    <x v="7"/>
    <x v="6"/>
    <n v="22"/>
    <n v="1338.3333333333301"/>
    <n v="4818"/>
  </r>
  <r>
    <x v="0"/>
    <x v="0"/>
    <x v="0"/>
    <x v="1"/>
    <x v="2"/>
    <s v="EE_Tartu"/>
    <x v="4"/>
    <x v="3"/>
    <s v="GBPR_WOODCHIPS_TARTU"/>
    <x v="7"/>
    <x v="7"/>
    <n v="22"/>
    <n v="1338.3333333333301"/>
    <n v="4818"/>
  </r>
  <r>
    <x v="0"/>
    <x v="0"/>
    <x v="0"/>
    <x v="1"/>
    <x v="2"/>
    <s v="EE_Tartu"/>
    <x v="4"/>
    <x v="3"/>
    <s v="GBPR_WOODCHIPS_TARTU"/>
    <x v="7"/>
    <x v="8"/>
    <n v="22"/>
    <n v="1338.3333333333301"/>
    <n v="4818"/>
  </r>
  <r>
    <x v="0"/>
    <x v="0"/>
    <x v="0"/>
    <x v="1"/>
    <x v="2"/>
    <s v="EE_Tartu"/>
    <x v="4"/>
    <x v="3"/>
    <s v="GBPR_WOODCHIPS_TARTU"/>
    <x v="7"/>
    <x v="9"/>
    <n v="22"/>
    <n v="1338.3333333333301"/>
    <n v="4818"/>
  </r>
  <r>
    <x v="0"/>
    <x v="0"/>
    <x v="0"/>
    <x v="1"/>
    <x v="2"/>
    <s v="EE_Tartu"/>
    <x v="4"/>
    <x v="3"/>
    <s v="GBPR_WOODCHIPS_TARTU"/>
    <x v="7"/>
    <x v="10"/>
    <n v="22"/>
    <n v="1338.3333333333301"/>
    <n v="4818"/>
  </r>
  <r>
    <x v="0"/>
    <x v="0"/>
    <x v="0"/>
    <x v="1"/>
    <x v="2"/>
    <s v="EE_Tartu"/>
    <x v="4"/>
    <x v="3"/>
    <s v="GBPR_WOODCHIPS_TARTU"/>
    <x v="7"/>
    <x v="11"/>
    <n v="21.828404179063899"/>
    <n v="1327.8945875597201"/>
    <n v="4780.4205152149898"/>
  </r>
  <r>
    <x v="0"/>
    <x v="0"/>
    <x v="0"/>
    <x v="1"/>
    <x v="2"/>
    <s v="EE_Tartu"/>
    <x v="4"/>
    <x v="3"/>
    <s v="GBPR_WOODCHIPS_TARTU"/>
    <x v="8"/>
    <x v="0"/>
    <n v="22"/>
    <n v="1338.3333333333301"/>
    <n v="4818"/>
  </r>
  <r>
    <x v="0"/>
    <x v="0"/>
    <x v="0"/>
    <x v="1"/>
    <x v="2"/>
    <s v="EE_Tartu"/>
    <x v="4"/>
    <x v="3"/>
    <s v="GBPR_WOODCHIPS_TARTU"/>
    <x v="8"/>
    <x v="1"/>
    <n v="22"/>
    <n v="1338.3333333333301"/>
    <n v="4818"/>
  </r>
  <r>
    <x v="0"/>
    <x v="0"/>
    <x v="0"/>
    <x v="1"/>
    <x v="2"/>
    <s v="EE_Tartu"/>
    <x v="4"/>
    <x v="3"/>
    <s v="GBPR_WOODCHIPS_TARTU"/>
    <x v="8"/>
    <x v="2"/>
    <n v="22"/>
    <n v="1338.3333333333301"/>
    <n v="4818"/>
  </r>
  <r>
    <x v="0"/>
    <x v="0"/>
    <x v="0"/>
    <x v="1"/>
    <x v="2"/>
    <s v="EE_Tartu"/>
    <x v="4"/>
    <x v="3"/>
    <s v="GBPR_WOODCHIPS_TARTU"/>
    <x v="8"/>
    <x v="3"/>
    <n v="22"/>
    <n v="1338.3333333333301"/>
    <n v="4818"/>
  </r>
  <r>
    <x v="0"/>
    <x v="0"/>
    <x v="0"/>
    <x v="1"/>
    <x v="2"/>
    <s v="EE_Tartu"/>
    <x v="4"/>
    <x v="3"/>
    <s v="GBPR_WOODCHIPS_TARTU"/>
    <x v="8"/>
    <x v="4"/>
    <n v="22"/>
    <n v="1338.3333333333301"/>
    <n v="4818"/>
  </r>
  <r>
    <x v="0"/>
    <x v="0"/>
    <x v="0"/>
    <x v="1"/>
    <x v="2"/>
    <s v="EE_Tartu"/>
    <x v="4"/>
    <x v="3"/>
    <s v="GBPR_WOODCHIPS_TARTU"/>
    <x v="8"/>
    <x v="5"/>
    <n v="22"/>
    <n v="1338.3333333333301"/>
    <n v="4818"/>
  </r>
  <r>
    <x v="0"/>
    <x v="0"/>
    <x v="0"/>
    <x v="1"/>
    <x v="2"/>
    <s v="EE_Tartu"/>
    <x v="4"/>
    <x v="3"/>
    <s v="GBPR_WOODCHIPS_TARTU"/>
    <x v="8"/>
    <x v="6"/>
    <n v="22"/>
    <n v="1338.3333333333301"/>
    <n v="4818"/>
  </r>
  <r>
    <x v="0"/>
    <x v="0"/>
    <x v="0"/>
    <x v="1"/>
    <x v="2"/>
    <s v="EE_Tartu"/>
    <x v="4"/>
    <x v="3"/>
    <s v="GBPR_WOODCHIPS_TARTU"/>
    <x v="8"/>
    <x v="7"/>
    <n v="22"/>
    <n v="1338.3333333333301"/>
    <n v="4818"/>
  </r>
  <r>
    <x v="0"/>
    <x v="0"/>
    <x v="0"/>
    <x v="1"/>
    <x v="2"/>
    <s v="EE_Tartu"/>
    <x v="4"/>
    <x v="3"/>
    <s v="GBPR_WOODCHIPS_TARTU"/>
    <x v="8"/>
    <x v="8"/>
    <n v="22"/>
    <n v="1338.3333333333301"/>
    <n v="4818"/>
  </r>
  <r>
    <x v="0"/>
    <x v="0"/>
    <x v="0"/>
    <x v="1"/>
    <x v="2"/>
    <s v="EE_Tartu"/>
    <x v="4"/>
    <x v="3"/>
    <s v="GBPR_WOODCHIPS_TARTU"/>
    <x v="8"/>
    <x v="9"/>
    <n v="22"/>
    <n v="1338.3333333333301"/>
    <n v="4818"/>
  </r>
  <r>
    <x v="0"/>
    <x v="0"/>
    <x v="0"/>
    <x v="1"/>
    <x v="2"/>
    <s v="EE_Tartu"/>
    <x v="4"/>
    <x v="3"/>
    <s v="GBPR_WOODCHIPS_TARTU"/>
    <x v="8"/>
    <x v="10"/>
    <n v="22"/>
    <n v="1338.3333333333301"/>
    <n v="4818"/>
  </r>
  <r>
    <x v="0"/>
    <x v="0"/>
    <x v="0"/>
    <x v="1"/>
    <x v="2"/>
    <s v="EE_Tartu"/>
    <x v="4"/>
    <x v="3"/>
    <s v="GBPR_WOODCHIPS_TARTU"/>
    <x v="8"/>
    <x v="11"/>
    <n v="22"/>
    <n v="1338.3333333333301"/>
    <n v="4818"/>
  </r>
  <r>
    <x v="0"/>
    <x v="0"/>
    <x v="0"/>
    <x v="1"/>
    <x v="2"/>
    <s v="EE_Tartu"/>
    <x v="4"/>
    <x v="3"/>
    <s v="GBPR_WOODCHIPS_TARTU"/>
    <x v="9"/>
    <x v="0"/>
    <n v="21.3073880673806"/>
    <n v="1296.19944076565"/>
    <n v="4666.3179867563504"/>
  </r>
  <r>
    <x v="0"/>
    <x v="0"/>
    <x v="0"/>
    <x v="1"/>
    <x v="2"/>
    <s v="EE_Tartu"/>
    <x v="4"/>
    <x v="3"/>
    <s v="GBPR_WOODCHIPS_TARTU"/>
    <x v="9"/>
    <x v="1"/>
    <n v="21.459351099954901"/>
    <n v="1305.4438585805899"/>
    <n v="4699.5978908901197"/>
  </r>
  <r>
    <x v="0"/>
    <x v="0"/>
    <x v="0"/>
    <x v="1"/>
    <x v="2"/>
    <s v="EE_Tartu"/>
    <x v="4"/>
    <x v="3"/>
    <s v="GBPR_WOODCHIPS_TARTU"/>
    <x v="9"/>
    <x v="2"/>
    <n v="21.535332616241998"/>
    <n v="1310.0660674880601"/>
    <n v="4716.2378429570099"/>
  </r>
  <r>
    <x v="0"/>
    <x v="0"/>
    <x v="0"/>
    <x v="1"/>
    <x v="2"/>
    <s v="EE_Tartu"/>
    <x v="4"/>
    <x v="3"/>
    <s v="GBPR_WOODCHIPS_TARTU"/>
    <x v="9"/>
    <x v="3"/>
    <n v="21.502769109261799"/>
    <n v="1308.08512081343"/>
    <n v="4709.1064349283397"/>
  </r>
  <r>
    <x v="0"/>
    <x v="0"/>
    <x v="0"/>
    <x v="1"/>
    <x v="2"/>
    <s v="EE_Tartu"/>
    <x v="4"/>
    <x v="3"/>
    <s v="GBPR_WOODCHIPS_TARTU"/>
    <x v="9"/>
    <x v="4"/>
    <n v="21.405078588321199"/>
    <n v="1302.1422807895401"/>
    <n v="4687.71221084235"/>
  </r>
  <r>
    <x v="0"/>
    <x v="0"/>
    <x v="0"/>
    <x v="1"/>
    <x v="2"/>
    <s v="EE_Tartu"/>
    <x v="4"/>
    <x v="3"/>
    <s v="GBPR_WOODCHIPS_TARTU"/>
    <x v="9"/>
    <x v="5"/>
    <n v="21.263970058073699"/>
    <n v="1293.55817853282"/>
    <n v="4656.8094427181304"/>
  </r>
  <r>
    <x v="0"/>
    <x v="0"/>
    <x v="0"/>
    <x v="1"/>
    <x v="2"/>
    <s v="EE_Tartu"/>
    <x v="4"/>
    <x v="3"/>
    <s v="GBPR_WOODCHIPS_TARTU"/>
    <x v="9"/>
    <x v="6"/>
    <n v="21.046880011538999"/>
    <n v="1280.3518673686201"/>
    <n v="4609.2667225270297"/>
  </r>
  <r>
    <x v="0"/>
    <x v="0"/>
    <x v="0"/>
    <x v="1"/>
    <x v="2"/>
    <s v="EE_Tartu"/>
    <x v="4"/>
    <x v="3"/>
    <s v="GBPR_WOODCHIPS_TARTU"/>
    <x v="9"/>
    <x v="7"/>
    <n v="20.786371955697302"/>
    <n v="1264.50429397159"/>
    <n v="4552.21545829772"/>
  </r>
  <r>
    <x v="0"/>
    <x v="0"/>
    <x v="0"/>
    <x v="1"/>
    <x v="2"/>
    <s v="EE_Tartu"/>
    <x v="4"/>
    <x v="3"/>
    <s v="GBPR_WOODCHIPS_TARTU"/>
    <x v="9"/>
    <x v="8"/>
    <n v="20.5909909138161"/>
    <n v="1252.61861392381"/>
    <n v="4509.4270101257298"/>
  </r>
  <r>
    <x v="0"/>
    <x v="0"/>
    <x v="0"/>
    <x v="1"/>
    <x v="2"/>
    <s v="EE_Tartu"/>
    <x v="4"/>
    <x v="3"/>
    <s v="GBPR_WOODCHIPS_TARTU"/>
    <x v="9"/>
    <x v="9"/>
    <n v="20.4498823835686"/>
    <n v="1244.0345116670901"/>
    <n v="4478.5242420015102"/>
  </r>
  <r>
    <x v="0"/>
    <x v="0"/>
    <x v="0"/>
    <x v="1"/>
    <x v="2"/>
    <s v="EE_Tartu"/>
    <x v="4"/>
    <x v="3"/>
    <s v="GBPR_WOODCHIPS_TARTU"/>
    <x v="9"/>
    <x v="10"/>
    <n v="20.406464374261599"/>
    <n v="1241.39324943425"/>
    <n v="4469.0156979633002"/>
  </r>
  <r>
    <x v="0"/>
    <x v="0"/>
    <x v="0"/>
    <x v="1"/>
    <x v="2"/>
    <s v="EE_Tartu"/>
    <x v="4"/>
    <x v="3"/>
    <s v="GBPR_WOODCHIPS_TARTU"/>
    <x v="9"/>
    <x v="11"/>
    <n v="20.536718402182402"/>
    <n v="1249.31703613276"/>
    <n v="4497.5413300779501"/>
  </r>
  <r>
    <x v="0"/>
    <x v="0"/>
    <x v="0"/>
    <x v="1"/>
    <x v="2"/>
    <s v="EE_Tartu"/>
    <x v="4"/>
    <x v="3"/>
    <s v="GBPR_WOODCHIPS_TARTU"/>
    <x v="10"/>
    <x v="0"/>
    <n v="18.930252057825601"/>
    <n v="1151.59033351773"/>
    <n v="4145.72520066382"/>
  </r>
  <r>
    <x v="0"/>
    <x v="0"/>
    <x v="0"/>
    <x v="1"/>
    <x v="2"/>
    <s v="EE_Tartu"/>
    <x v="4"/>
    <x v="3"/>
    <s v="GBPR_WOODCHIPS_TARTU"/>
    <x v="10"/>
    <x v="1"/>
    <n v="18.9193975554989"/>
    <n v="1150.93001795952"/>
    <n v="4143.3480646542603"/>
  </r>
  <r>
    <x v="0"/>
    <x v="0"/>
    <x v="0"/>
    <x v="1"/>
    <x v="2"/>
    <s v="EE_Tartu"/>
    <x v="4"/>
    <x v="3"/>
    <s v="GBPR_WOODCHIPS_TARTU"/>
    <x v="10"/>
    <x v="2"/>
    <n v="18.8434160392118"/>
    <n v="1146.3078090520501"/>
    <n v="4126.7081125873801"/>
  </r>
  <r>
    <x v="0"/>
    <x v="0"/>
    <x v="0"/>
    <x v="1"/>
    <x v="2"/>
    <s v="EE_Tartu"/>
    <x v="4"/>
    <x v="3"/>
    <s v="GBPR_WOODCHIPS_TARTU"/>
    <x v="10"/>
    <x v="3"/>
    <n v="18.767434522924599"/>
    <n v="1141.6856001445799"/>
    <n v="4110.0681605205"/>
  </r>
  <r>
    <x v="0"/>
    <x v="0"/>
    <x v="0"/>
    <x v="1"/>
    <x v="2"/>
    <s v="EE_Tartu"/>
    <x v="4"/>
    <x v="3"/>
    <s v="GBPR_WOODCHIPS_TARTU"/>
    <x v="10"/>
    <x v="4"/>
    <n v="18.6371804950038"/>
    <n v="1133.7618134460699"/>
    <n v="4081.5425284058401"/>
  </r>
  <r>
    <x v="0"/>
    <x v="0"/>
    <x v="0"/>
    <x v="1"/>
    <x v="2"/>
    <s v="EE_Tartu"/>
    <x v="4"/>
    <x v="3"/>
    <s v="GBPR_WOODCHIPS_TARTU"/>
    <x v="10"/>
    <x v="5"/>
    <n v="18.441799453122599"/>
    <n v="1121.87613339829"/>
    <n v="4038.7540802338499"/>
  </r>
  <r>
    <x v="0"/>
    <x v="0"/>
    <x v="0"/>
    <x v="1"/>
    <x v="2"/>
    <s v="EE_Tartu"/>
    <x v="4"/>
    <x v="3"/>
    <s v="GBPR_WOODCHIPS_TARTU"/>
    <x v="10"/>
    <x v="6"/>
    <n v="18.213854904261201"/>
    <n v="1108.00950667589"/>
    <n v="3988.8342240331899"/>
  </r>
  <r>
    <x v="0"/>
    <x v="0"/>
    <x v="0"/>
    <x v="1"/>
    <x v="2"/>
    <s v="EE_Tartu"/>
    <x v="4"/>
    <x v="3"/>
    <s v="GBPR_WOODCHIPS_TARTU"/>
    <x v="10"/>
    <x v="7"/>
    <n v="17.9967648577265"/>
    <n v="1094.8031955116901"/>
    <n v="3941.2915038420902"/>
  </r>
  <r>
    <x v="0"/>
    <x v="0"/>
    <x v="0"/>
    <x v="1"/>
    <x v="2"/>
    <s v="EE_Tartu"/>
    <x v="4"/>
    <x v="3"/>
    <s v="GBPR_WOODCHIPS_TARTU"/>
    <x v="10"/>
    <x v="8"/>
    <n v="17.768820308864999"/>
    <n v="1080.93656878929"/>
    <n v="3891.3716476414402"/>
  </r>
  <r>
    <x v="0"/>
    <x v="0"/>
    <x v="0"/>
    <x v="1"/>
    <x v="2"/>
    <s v="EE_Tartu"/>
    <x v="4"/>
    <x v="3"/>
    <s v="GBPR_WOODCHIPS_TARTU"/>
    <x v="10"/>
    <x v="9"/>
    <n v="17.551730262330299"/>
    <n v="1067.73025762509"/>
    <n v="3843.82892745034"/>
  </r>
  <r>
    <x v="0"/>
    <x v="0"/>
    <x v="0"/>
    <x v="1"/>
    <x v="2"/>
    <s v="EE_Tartu"/>
    <x v="4"/>
    <x v="3"/>
    <s v="GBPR_WOODCHIPS_TARTU"/>
    <x v="10"/>
    <x v="10"/>
    <n v="17.443185239062998"/>
    <n v="1061.1271020429999"/>
    <n v="3820.0575673547901"/>
  </r>
  <r>
    <x v="0"/>
    <x v="0"/>
    <x v="0"/>
    <x v="1"/>
    <x v="2"/>
    <s v="EE_Tartu"/>
    <x v="4"/>
    <x v="3"/>
    <s v="GBPR_WOODCHIPS_TARTU"/>
    <x v="10"/>
    <x v="11"/>
    <n v="17.519166755350099"/>
    <n v="1065.7493109504701"/>
    <n v="3836.6975194216802"/>
  </r>
  <r>
    <x v="0"/>
    <x v="0"/>
    <x v="0"/>
    <x v="1"/>
    <x v="2"/>
    <s v="EE_Tartu"/>
    <x v="4"/>
    <x v="3"/>
    <s v="GBPR_WOODCHIPS_TARTU"/>
    <x v="11"/>
    <x v="0"/>
    <n v="18.680598504310801"/>
    <n v="1136.4030756789"/>
    <n v="4091.0510724440601"/>
  </r>
  <r>
    <x v="0"/>
    <x v="0"/>
    <x v="0"/>
    <x v="1"/>
    <x v="2"/>
    <s v="EE_Tartu"/>
    <x v="4"/>
    <x v="3"/>
    <s v="GBPR_WOODCHIPS_TARTU"/>
    <x v="11"/>
    <x v="1"/>
    <n v="18.886834048518701"/>
    <n v="1148.9490712848899"/>
    <n v="4136.2166566256001"/>
  </r>
  <r>
    <x v="0"/>
    <x v="0"/>
    <x v="0"/>
    <x v="1"/>
    <x v="2"/>
    <s v="EE_Tartu"/>
    <x v="4"/>
    <x v="3"/>
    <s v="GBPR_WOODCHIPS_TARTU"/>
    <x v="11"/>
    <x v="2"/>
    <n v="19.0279425787663"/>
    <n v="1157.53317354161"/>
    <n v="4167.1194247498097"/>
  </r>
  <r>
    <x v="0"/>
    <x v="0"/>
    <x v="0"/>
    <x v="1"/>
    <x v="2"/>
    <s v="EE_Tartu"/>
    <x v="4"/>
    <x v="3"/>
    <s v="GBPR_WOODCHIPS_TARTU"/>
    <x v="11"/>
    <x v="3"/>
    <n v="19.071360588073201"/>
    <n v="1160.1744357744501"/>
    <n v="4176.6279687880296"/>
  </r>
  <r>
    <x v="0"/>
    <x v="0"/>
    <x v="0"/>
    <x v="1"/>
    <x v="2"/>
    <s v="EE_Tartu"/>
    <x v="4"/>
    <x v="3"/>
    <s v="GBPR_WOODCHIPS_TARTU"/>
    <x v="11"/>
    <x v="4"/>
    <n v="19.006233574112802"/>
    <n v="1156.2125424251999"/>
    <n v="4162.3651527307102"/>
  </r>
  <r>
    <x v="0"/>
    <x v="0"/>
    <x v="0"/>
    <x v="1"/>
    <x v="2"/>
    <s v="EE_Tartu"/>
    <x v="4"/>
    <x v="3"/>
    <s v="GBPR_WOODCHIPS_TARTU"/>
    <x v="11"/>
    <x v="5"/>
    <n v="18.821707034558301"/>
    <n v="1144.9871779356299"/>
    <n v="4121.9538405682697"/>
  </r>
  <r>
    <x v="0"/>
    <x v="0"/>
    <x v="0"/>
    <x v="1"/>
    <x v="2"/>
    <s v="EE_Tartu"/>
    <x v="4"/>
    <x v="3"/>
    <s v="GBPR_WOODCHIPS_TARTU"/>
    <x v="11"/>
    <x v="6"/>
    <n v="18.474362960102798"/>
    <n v="1123.8570800729201"/>
    <n v="4045.8854882625101"/>
  </r>
  <r>
    <x v="0"/>
    <x v="0"/>
    <x v="0"/>
    <x v="1"/>
    <x v="2"/>
    <s v="EE_Tartu"/>
    <x v="4"/>
    <x v="3"/>
    <s v="GBPR_WOODCHIPS_TARTU"/>
    <x v="11"/>
    <x v="7"/>
    <n v="18.0293283647067"/>
    <n v="1096.78414218632"/>
    <n v="3948.4229118707599"/>
  </r>
  <r>
    <x v="0"/>
    <x v="0"/>
    <x v="0"/>
    <x v="1"/>
    <x v="2"/>
    <s v="EE_Tartu"/>
    <x v="4"/>
    <x v="3"/>
    <s v="GBPR_WOODCHIPS_TARTU"/>
    <x v="11"/>
    <x v="8"/>
    <n v="17.616857276290698"/>
    <n v="1071.6921509743499"/>
    <n v="3858.0917435076699"/>
  </r>
  <r>
    <x v="0"/>
    <x v="0"/>
    <x v="0"/>
    <x v="1"/>
    <x v="2"/>
    <s v="EE_Tartu"/>
    <x v="4"/>
    <x v="3"/>
    <s v="GBPR_WOODCHIPS_TARTU"/>
    <x v="11"/>
    <x v="9"/>
    <n v="17.215240690201501"/>
    <n v="1047.2604753205901"/>
    <n v="3770.1377111541401"/>
  </r>
  <r>
    <x v="0"/>
    <x v="0"/>
    <x v="0"/>
    <x v="1"/>
    <x v="2"/>
    <s v="EE_Tartu"/>
    <x v="4"/>
    <x v="3"/>
    <s v="GBPR_WOODCHIPS_TARTU"/>
    <x v="11"/>
    <x v="10"/>
    <n v="16.8570421134193"/>
    <n v="1025.4700618996701"/>
    <n v="3691.6922228388298"/>
  </r>
  <r>
    <x v="0"/>
    <x v="0"/>
    <x v="0"/>
    <x v="1"/>
    <x v="2"/>
    <s v="EE_Tartu"/>
    <x v="4"/>
    <x v="3"/>
    <s v="GBPR_WOODCHIPS_TARTU"/>
    <x v="11"/>
    <x v="11"/>
    <n v="16.585679555250898"/>
    <n v="1008.96217294443"/>
    <n v="3632.2638225999499"/>
  </r>
  <r>
    <x v="0"/>
    <x v="0"/>
    <x v="0"/>
    <x v="2"/>
    <x v="3"/>
    <s v="FIN_EL"/>
    <x v="1"/>
    <x v="1"/>
    <s v="SolarPV-50"/>
    <x v="0"/>
    <x v="3"/>
    <n v="7077.6662172861797"/>
    <n v="430558.02821824298"/>
    <n v="1550008.90158567"/>
  </r>
  <r>
    <x v="0"/>
    <x v="0"/>
    <x v="0"/>
    <x v="2"/>
    <x v="3"/>
    <s v="FIN_EL"/>
    <x v="1"/>
    <x v="1"/>
    <s v="SolarPV-50"/>
    <x v="0"/>
    <x v="7"/>
    <n v="8878.3280053394301"/>
    <n v="540098.28699148202"/>
    <n v="1944353.8331693299"/>
  </r>
  <r>
    <x v="0"/>
    <x v="0"/>
    <x v="0"/>
    <x v="2"/>
    <x v="3"/>
    <s v="FIN_EL"/>
    <x v="1"/>
    <x v="1"/>
    <s v="SolarPV-50"/>
    <x v="1"/>
    <x v="6"/>
    <n v="9715.8798051314297"/>
    <n v="591049.354812162"/>
    <n v="2127777.67732378"/>
  </r>
  <r>
    <x v="0"/>
    <x v="0"/>
    <x v="0"/>
    <x v="2"/>
    <x v="3"/>
    <s v="FIN_EL"/>
    <x v="1"/>
    <x v="1"/>
    <s v="SolarPV-50"/>
    <x v="1"/>
    <x v="9"/>
    <n v="9686.8588404005295"/>
    <n v="589283.91279103199"/>
    <n v="2121422.0860477202"/>
  </r>
  <r>
    <x v="0"/>
    <x v="0"/>
    <x v="0"/>
    <x v="2"/>
    <x v="3"/>
    <s v="FIN_EL"/>
    <x v="1"/>
    <x v="1"/>
    <s v="SolarPV-50"/>
    <x v="2"/>
    <x v="0"/>
    <n v="8101.8499825772597"/>
    <n v="492862.54060678399"/>
    <n v="1774305.14618442"/>
  </r>
  <r>
    <x v="0"/>
    <x v="0"/>
    <x v="0"/>
    <x v="2"/>
    <x v="3"/>
    <s v="FIN_EL"/>
    <x v="1"/>
    <x v="1"/>
    <s v="SolarPV-50"/>
    <x v="2"/>
    <x v="4"/>
    <n v="8796.0653381365191"/>
    <n v="535093.97473663895"/>
    <n v="1926338.3090518999"/>
  </r>
  <r>
    <x v="0"/>
    <x v="0"/>
    <x v="0"/>
    <x v="2"/>
    <x v="3"/>
    <s v="FIN_EL"/>
    <x v="1"/>
    <x v="1"/>
    <s v="SolarPV-50"/>
    <x v="2"/>
    <x v="6"/>
    <n v="9962.0836037391891"/>
    <n v="606026.75256080099"/>
    <n v="2181696.3092188798"/>
  </r>
  <r>
    <x v="0"/>
    <x v="0"/>
    <x v="0"/>
    <x v="2"/>
    <x v="3"/>
    <s v="FIN_EL"/>
    <x v="1"/>
    <x v="1"/>
    <s v="SolarPV-50"/>
    <x v="3"/>
    <x v="9"/>
    <n v="9275.7081257484606"/>
    <n v="564272.24431636499"/>
    <n v="2031380.07953891"/>
  </r>
  <r>
    <x v="0"/>
    <x v="0"/>
    <x v="0"/>
    <x v="2"/>
    <x v="3"/>
    <s v="FIN_EL"/>
    <x v="1"/>
    <x v="1"/>
    <s v="SolarPV-50"/>
    <x v="5"/>
    <x v="1"/>
    <n v="5628.0775371035897"/>
    <n v="342374.716840468"/>
    <n v="1232548.98062569"/>
  </r>
  <r>
    <x v="0"/>
    <x v="0"/>
    <x v="0"/>
    <x v="2"/>
    <x v="3"/>
    <s v="FIN_EL"/>
    <x v="1"/>
    <x v="1"/>
    <s v="SolarPV-50"/>
    <x v="5"/>
    <x v="10"/>
    <n v="6923.6600651317303"/>
    <n v="421189.320628847"/>
    <n v="1516281.55426385"/>
  </r>
  <r>
    <x v="0"/>
    <x v="0"/>
    <x v="0"/>
    <x v="2"/>
    <x v="3"/>
    <s v="FIN_EL"/>
    <x v="1"/>
    <x v="1"/>
    <s v="SolarPV-50"/>
    <x v="8"/>
    <x v="3"/>
    <n v="3387.92145377211"/>
    <n v="206098.55510447"/>
    <n v="741954.79837609106"/>
  </r>
  <r>
    <x v="0"/>
    <x v="0"/>
    <x v="0"/>
    <x v="2"/>
    <x v="3"/>
    <s v="FIN_EL"/>
    <x v="1"/>
    <x v="1"/>
    <s v="SolarPV-50"/>
    <x v="8"/>
    <x v="9"/>
    <n v="5924.5775550367098"/>
    <n v="360411.80126473302"/>
    <n v="1297482.48455304"/>
  </r>
  <r>
    <x v="0"/>
    <x v="0"/>
    <x v="0"/>
    <x v="2"/>
    <x v="3"/>
    <s v="FIN_EL"/>
    <x v="1"/>
    <x v="1"/>
    <s v="SolarPV-50"/>
    <x v="9"/>
    <x v="0"/>
    <n v="3179.11837049416"/>
    <n v="193396.36753839499"/>
    <n v="696226.92313822103"/>
  </r>
  <r>
    <x v="0"/>
    <x v="0"/>
    <x v="0"/>
    <x v="2"/>
    <x v="3"/>
    <s v="FIN_EL"/>
    <x v="1"/>
    <x v="1"/>
    <s v="SolarPV-50"/>
    <x v="9"/>
    <x v="2"/>
    <n v="3022.1141784984602"/>
    <n v="183845.27919199"/>
    <n v="661843.00509116298"/>
  </r>
  <r>
    <x v="0"/>
    <x v="0"/>
    <x v="0"/>
    <x v="2"/>
    <x v="3"/>
    <s v="FIN_EL"/>
    <x v="1"/>
    <x v="1"/>
    <s v="SolarPV-50"/>
    <x v="9"/>
    <x v="4"/>
    <n v="4020.7567427321701"/>
    <n v="244596.03518287401"/>
    <n v="880545.72665834602"/>
  </r>
  <r>
    <x v="0"/>
    <x v="0"/>
    <x v="0"/>
    <x v="2"/>
    <x v="3"/>
    <s v="FIN_EL"/>
    <x v="1"/>
    <x v="1"/>
    <s v="SolarPV-50"/>
    <x v="10"/>
    <x v="3"/>
    <n v="2416.69492787115"/>
    <n v="147015.60811216201"/>
    <n v="529256.18920378201"/>
  </r>
  <r>
    <x v="0"/>
    <x v="0"/>
    <x v="0"/>
    <x v="2"/>
    <x v="3"/>
    <s v="FIN_EL"/>
    <x v="1"/>
    <x v="1"/>
    <s v="SolarPV-50"/>
    <x v="10"/>
    <x v="4"/>
    <n v="2929.10328689581"/>
    <n v="178187.11661949501"/>
    <n v="641473.61983018299"/>
  </r>
  <r>
    <x v="0"/>
    <x v="0"/>
    <x v="0"/>
    <x v="2"/>
    <x v="3"/>
    <s v="FIN_EL"/>
    <x v="1"/>
    <x v="1"/>
    <s v="SolarPV-50"/>
    <x v="10"/>
    <x v="5"/>
    <n v="3490.4441128530202"/>
    <n v="212335.350198559"/>
    <n v="764407.26071481104"/>
  </r>
  <r>
    <x v="0"/>
    <x v="0"/>
    <x v="0"/>
    <x v="2"/>
    <x v="3"/>
    <s v="FIN_EL"/>
    <x v="1"/>
    <x v="1"/>
    <s v="SolarPV-50"/>
    <x v="10"/>
    <x v="7"/>
    <n v="4013.4823748889899"/>
    <n v="244153.51113907999"/>
    <n v="878952.64010068995"/>
  </r>
  <r>
    <x v="0"/>
    <x v="0"/>
    <x v="0"/>
    <x v="2"/>
    <x v="3"/>
    <s v="FIN_EL"/>
    <x v="1"/>
    <x v="1"/>
    <s v="SolarPV-50"/>
    <x v="11"/>
    <x v="0"/>
    <n v="2576.52079386779"/>
    <n v="156738.348293624"/>
    <n v="564258.05385704502"/>
  </r>
  <r>
    <x v="0"/>
    <x v="0"/>
    <x v="0"/>
    <x v="2"/>
    <x v="3"/>
    <s v="FIN_EL"/>
    <x v="1"/>
    <x v="1"/>
    <s v="SolarPV-50"/>
    <x v="11"/>
    <x v="1"/>
    <n v="2442.6587210417001"/>
    <n v="148595.07219670399"/>
    <n v="534942.25990813295"/>
  </r>
  <r>
    <x v="0"/>
    <x v="0"/>
    <x v="0"/>
    <x v="2"/>
    <x v="3"/>
    <s v="FIN_EL"/>
    <x v="1"/>
    <x v="1"/>
    <s v="SolarPV-50"/>
    <x v="11"/>
    <x v="5"/>
    <n v="3718.2494585961699"/>
    <n v="226193.50873126701"/>
    <n v="814296.63143256097"/>
  </r>
  <r>
    <x v="0"/>
    <x v="0"/>
    <x v="0"/>
    <x v="2"/>
    <x v="3"/>
    <s v="FIN_ESPOO"/>
    <x v="1"/>
    <x v="1"/>
    <s v="SolarPV-50"/>
    <x v="3"/>
    <x v="3"/>
    <n v="7290.7049012839598"/>
    <n v="443517.88149477402"/>
    <n v="1596664.37338119"/>
  </r>
  <r>
    <x v="0"/>
    <x v="0"/>
    <x v="0"/>
    <x v="2"/>
    <x v="3"/>
    <s v="FIN_ESPOO"/>
    <x v="1"/>
    <x v="1"/>
    <s v="SolarPV-50"/>
    <x v="5"/>
    <x v="7"/>
    <n v="7254.6932187790198"/>
    <n v="441327.17080905702"/>
    <n v="1588777.81491261"/>
  </r>
  <r>
    <x v="0"/>
    <x v="0"/>
    <x v="0"/>
    <x v="2"/>
    <x v="3"/>
    <s v="FIN_ESPOO"/>
    <x v="1"/>
    <x v="1"/>
    <s v="SolarPV-50"/>
    <x v="5"/>
    <x v="8"/>
    <n v="7072.98725583953"/>
    <n v="430273.391396905"/>
    <n v="1548984.2090288601"/>
  </r>
  <r>
    <x v="0"/>
    <x v="0"/>
    <x v="0"/>
    <x v="2"/>
    <x v="3"/>
    <s v="FIN_ESPOO"/>
    <x v="1"/>
    <x v="1"/>
    <s v="SolarPV-50"/>
    <x v="6"/>
    <x v="3"/>
    <n v="4961.8207991057097"/>
    <n v="301844.09861226397"/>
    <n v="1086638.7550041501"/>
  </r>
  <r>
    <x v="0"/>
    <x v="0"/>
    <x v="0"/>
    <x v="2"/>
    <x v="3"/>
    <s v="FIN_ESPOO"/>
    <x v="1"/>
    <x v="1"/>
    <s v="SolarPV-50"/>
    <x v="6"/>
    <x v="4"/>
    <n v="5735.8883906827896"/>
    <n v="348933.21043320303"/>
    <n v="1256159.55755953"/>
  </r>
  <r>
    <x v="0"/>
    <x v="0"/>
    <x v="0"/>
    <x v="2"/>
    <x v="3"/>
    <s v="FIN_ESPOO"/>
    <x v="1"/>
    <x v="1"/>
    <s v="SolarPV-50"/>
    <x v="7"/>
    <x v="9"/>
    <n v="5953.4166095164701"/>
    <n v="362166.17707891797"/>
    <n v="1303798.2374841101"/>
  </r>
  <r>
    <x v="0"/>
    <x v="0"/>
    <x v="0"/>
    <x v="2"/>
    <x v="3"/>
    <s v="FIN_ESPOO"/>
    <x v="1"/>
    <x v="1"/>
    <s v="SolarPV-50"/>
    <x v="8"/>
    <x v="1"/>
    <n v="3103.2707511179001"/>
    <n v="188782.304026339"/>
    <n v="679616.29449481994"/>
  </r>
  <r>
    <x v="0"/>
    <x v="0"/>
    <x v="0"/>
    <x v="2"/>
    <x v="3"/>
    <s v="FIN_ESPOO"/>
    <x v="1"/>
    <x v="1"/>
    <s v="SolarPV-50"/>
    <x v="10"/>
    <x v="2"/>
    <n v="2125.4775066749398"/>
    <n v="129299.88165605901"/>
    <n v="465479.57396181201"/>
  </r>
  <r>
    <x v="0"/>
    <x v="0"/>
    <x v="0"/>
    <x v="2"/>
    <x v="3"/>
    <s v="FIN_GAS"/>
    <x v="1"/>
    <x v="1"/>
    <s v="SolarPV-50"/>
    <x v="0"/>
    <x v="1"/>
    <n v="7040.4540571021598"/>
    <n v="428294.28847371403"/>
    <n v="1541859.4385053699"/>
  </r>
  <r>
    <x v="0"/>
    <x v="0"/>
    <x v="0"/>
    <x v="2"/>
    <x v="3"/>
    <s v="FIN_GAS"/>
    <x v="1"/>
    <x v="1"/>
    <s v="SolarPV-50"/>
    <x v="0"/>
    <x v="6"/>
    <n v="8807.8980314690907"/>
    <n v="535813.79691437003"/>
    <n v="1928929.66889173"/>
  </r>
  <r>
    <x v="0"/>
    <x v="0"/>
    <x v="0"/>
    <x v="2"/>
    <x v="3"/>
    <s v="FIN_GAS"/>
    <x v="1"/>
    <x v="1"/>
    <s v="SolarPV-50"/>
    <x v="0"/>
    <x v="8"/>
    <n v="8904.9785439843909"/>
    <n v="541719.52809238399"/>
    <n v="1950190.30113258"/>
  </r>
  <r>
    <x v="0"/>
    <x v="0"/>
    <x v="0"/>
    <x v="2"/>
    <x v="3"/>
    <s v="FIN_GAS"/>
    <x v="1"/>
    <x v="1"/>
    <s v="SolarPV-50"/>
    <x v="1"/>
    <x v="2"/>
    <n v="7720.0406334283698"/>
    <n v="469635.80520022602"/>
    <n v="1690688.89872081"/>
  </r>
  <r>
    <x v="0"/>
    <x v="0"/>
    <x v="0"/>
    <x v="2"/>
    <x v="3"/>
    <s v="FIN_GAS"/>
    <x v="1"/>
    <x v="1"/>
    <s v="SolarPV-50"/>
    <x v="1"/>
    <x v="5"/>
    <n v="9126.9927183700202"/>
    <n v="555225.39036751003"/>
    <n v="1998811.40532304"/>
  </r>
  <r>
    <x v="0"/>
    <x v="0"/>
    <x v="0"/>
    <x v="2"/>
    <x v="3"/>
    <s v="FIN_GAS"/>
    <x v="1"/>
    <x v="1"/>
    <s v="SolarPV-50"/>
    <x v="1"/>
    <x v="8"/>
    <n v="9702.0571687323809"/>
    <n v="590208.47776455304"/>
    <n v="2124750.5199523899"/>
  </r>
  <r>
    <x v="0"/>
    <x v="0"/>
    <x v="0"/>
    <x v="2"/>
    <x v="3"/>
    <s v="FIN_GAS"/>
    <x v="1"/>
    <x v="1"/>
    <s v="SolarPV-50"/>
    <x v="2"/>
    <x v="5"/>
    <n v="9673.0574287362397"/>
    <n v="588444.32691478799"/>
    <n v="2118399.5768932402"/>
  </r>
  <r>
    <x v="0"/>
    <x v="0"/>
    <x v="0"/>
    <x v="2"/>
    <x v="3"/>
    <s v="FIN_GAS"/>
    <x v="1"/>
    <x v="1"/>
    <s v="SolarPV-50"/>
    <x v="3"/>
    <x v="1"/>
    <n v="7007.2829849568998"/>
    <n v="426276.38158487802"/>
    <n v="1534594.97370556"/>
  </r>
  <r>
    <x v="0"/>
    <x v="0"/>
    <x v="0"/>
    <x v="2"/>
    <x v="3"/>
    <s v="FIN_GAS"/>
    <x v="1"/>
    <x v="1"/>
    <s v="SolarPV-50"/>
    <x v="3"/>
    <x v="11"/>
    <n v="9195.7265532662295"/>
    <n v="559406.69865702896"/>
    <n v="2013864.1151653"/>
  </r>
  <r>
    <x v="0"/>
    <x v="0"/>
    <x v="0"/>
    <x v="2"/>
    <x v="3"/>
    <s v="FIN_GAS"/>
    <x v="1"/>
    <x v="1"/>
    <s v="SolarPV-50"/>
    <x v="4"/>
    <x v="1"/>
    <n v="5295.1314872763196"/>
    <n v="322120.49880930898"/>
    <n v="1159633.7957135099"/>
  </r>
  <r>
    <x v="0"/>
    <x v="0"/>
    <x v="0"/>
    <x v="2"/>
    <x v="3"/>
    <s v="FIN_GAS"/>
    <x v="1"/>
    <x v="1"/>
    <s v="SolarPV-50"/>
    <x v="4"/>
    <x v="3"/>
    <n v="5625.7343511500103"/>
    <n v="342232.17302829202"/>
    <n v="1232035.8229018501"/>
  </r>
  <r>
    <x v="0"/>
    <x v="0"/>
    <x v="0"/>
    <x v="2"/>
    <x v="3"/>
    <s v="FIN_GAS"/>
    <x v="1"/>
    <x v="1"/>
    <s v="SolarPV-50"/>
    <x v="4"/>
    <x v="4"/>
    <n v="6429.7796379353003"/>
    <n v="391144.92797439703"/>
    <n v="1408121.7407078301"/>
  </r>
  <r>
    <x v="0"/>
    <x v="0"/>
    <x v="0"/>
    <x v="2"/>
    <x v="3"/>
    <s v="FIN_GAS"/>
    <x v="1"/>
    <x v="1"/>
    <s v="SolarPV-50"/>
    <x v="4"/>
    <x v="5"/>
    <n v="7349.25430336111"/>
    <n v="447079.63678780099"/>
    <n v="1609486.69243608"/>
  </r>
  <r>
    <x v="0"/>
    <x v="0"/>
    <x v="0"/>
    <x v="2"/>
    <x v="3"/>
    <s v="FIN_GAS"/>
    <x v="1"/>
    <x v="1"/>
    <s v="SolarPV-50"/>
    <x v="4"/>
    <x v="9"/>
    <n v="7751.1007841947703"/>
    <n v="471525.29770518199"/>
    <n v="1697491.0717386501"/>
  </r>
  <r>
    <x v="0"/>
    <x v="0"/>
    <x v="0"/>
    <x v="2"/>
    <x v="3"/>
    <s v="FIN_GAS"/>
    <x v="1"/>
    <x v="1"/>
    <s v="SolarPV-50"/>
    <x v="4"/>
    <x v="10"/>
    <n v="7551.3406611442897"/>
    <n v="459373.22355294402"/>
    <n v="1653743.6047906"/>
  </r>
  <r>
    <x v="0"/>
    <x v="0"/>
    <x v="0"/>
    <x v="2"/>
    <x v="3"/>
    <s v="FIN_GAS"/>
    <x v="1"/>
    <x v="1"/>
    <s v="SolarPV-50"/>
    <x v="5"/>
    <x v="2"/>
    <n v="5519.7091836527898"/>
    <n v="335782.30867221102"/>
    <n v="1208816.31121996"/>
  </r>
  <r>
    <x v="0"/>
    <x v="0"/>
    <x v="0"/>
    <x v="2"/>
    <x v="3"/>
    <s v="FIN_GAS"/>
    <x v="1"/>
    <x v="1"/>
    <s v="SolarPV-50"/>
    <x v="6"/>
    <x v="11"/>
    <n v="7044.1877784586204"/>
    <n v="428521.42318956601"/>
    <n v="1542677.1234824399"/>
  </r>
  <r>
    <x v="0"/>
    <x v="0"/>
    <x v="0"/>
    <x v="2"/>
    <x v="3"/>
    <s v="FIN_GAS"/>
    <x v="1"/>
    <x v="1"/>
    <s v="SolarPV-50"/>
    <x v="7"/>
    <x v="4"/>
    <n v="6526.3417282656701"/>
    <n v="397019.12180282798"/>
    <n v="1429268.83849018"/>
  </r>
  <r>
    <x v="0"/>
    <x v="0"/>
    <x v="0"/>
    <x v="2"/>
    <x v="3"/>
    <s v="FIN_GAS"/>
    <x v="1"/>
    <x v="1"/>
    <s v="SolarPV-50"/>
    <x v="7"/>
    <x v="7"/>
    <n v="7482.0628069980903"/>
    <n v="455158.82075905002"/>
    <n v="1638571.7547325799"/>
  </r>
  <r>
    <x v="0"/>
    <x v="0"/>
    <x v="0"/>
    <x v="2"/>
    <x v="3"/>
    <s v="FIN_GAS"/>
    <x v="1"/>
    <x v="1"/>
    <s v="SolarPV-50"/>
    <x v="7"/>
    <x v="8"/>
    <n v="6204.19158856592"/>
    <n v="377421.654971093"/>
    <n v="1358717.9578959399"/>
  </r>
  <r>
    <x v="0"/>
    <x v="0"/>
    <x v="0"/>
    <x v="2"/>
    <x v="3"/>
    <s v="FIN_GAS"/>
    <x v="1"/>
    <x v="1"/>
    <s v="SolarPV-50"/>
    <x v="7"/>
    <x v="11"/>
    <n v="5724.0462353061303"/>
    <n v="348212.81264778902"/>
    <n v="1253566.1255320399"/>
  </r>
  <r>
    <x v="0"/>
    <x v="0"/>
    <x v="0"/>
    <x v="2"/>
    <x v="3"/>
    <s v="FIN_GAS"/>
    <x v="1"/>
    <x v="1"/>
    <s v="SolarPV-50"/>
    <x v="8"/>
    <x v="4"/>
    <n v="4194.9056353051901"/>
    <n v="255190.09281439899"/>
    <n v="918684.33413183701"/>
  </r>
  <r>
    <x v="0"/>
    <x v="0"/>
    <x v="0"/>
    <x v="2"/>
    <x v="3"/>
    <s v="FIN_GAS"/>
    <x v="1"/>
    <x v="1"/>
    <s v="SolarPV-50"/>
    <x v="8"/>
    <x v="5"/>
    <n v="4942.2904094846199"/>
    <n v="300655.99991031497"/>
    <n v="1082361.5996771301"/>
  </r>
  <r>
    <x v="0"/>
    <x v="0"/>
    <x v="0"/>
    <x v="2"/>
    <x v="3"/>
    <s v="FIN_GAS"/>
    <x v="1"/>
    <x v="1"/>
    <s v="SolarPV-50"/>
    <x v="8"/>
    <x v="7"/>
    <n v="6150.4545766708798"/>
    <n v="374152.653414145"/>
    <n v="1346949.5522909199"/>
  </r>
  <r>
    <x v="0"/>
    <x v="0"/>
    <x v="0"/>
    <x v="2"/>
    <x v="3"/>
    <s v="FIN_GAS"/>
    <x v="1"/>
    <x v="1"/>
    <s v="SolarPV-50"/>
    <x v="8"/>
    <x v="10"/>
    <n v="6099.4129095998096"/>
    <n v="371047.61866732198"/>
    <n v="1335771.42720236"/>
  </r>
  <r>
    <x v="0"/>
    <x v="0"/>
    <x v="0"/>
    <x v="2"/>
    <x v="3"/>
    <s v="FIN_GAS"/>
    <x v="1"/>
    <x v="1"/>
    <s v="SolarPV-50"/>
    <x v="9"/>
    <x v="1"/>
    <n v="3060.3574666003701"/>
    <n v="186171.74588485601"/>
    <n v="670218.28518548096"/>
  </r>
  <r>
    <x v="0"/>
    <x v="0"/>
    <x v="0"/>
    <x v="2"/>
    <x v="3"/>
    <s v="FIN_GAS"/>
    <x v="1"/>
    <x v="1"/>
    <s v="SolarPV-50"/>
    <x v="9"/>
    <x v="3"/>
    <n v="3422.8087195757498"/>
    <n v="208220.863774192"/>
    <n v="749595.10958708997"/>
  </r>
  <r>
    <x v="0"/>
    <x v="0"/>
    <x v="0"/>
    <x v="2"/>
    <x v="3"/>
    <s v="FIN_GAS"/>
    <x v="1"/>
    <x v="1"/>
    <s v="SolarPV-50"/>
    <x v="9"/>
    <x v="5"/>
    <n v="4826.6308905916403"/>
    <n v="293620.04584432498"/>
    <n v="1057032.1650395701"/>
  </r>
  <r>
    <x v="0"/>
    <x v="0"/>
    <x v="0"/>
    <x v="2"/>
    <x v="3"/>
    <s v="FIN_GAS"/>
    <x v="1"/>
    <x v="1"/>
    <s v="SolarPV-50"/>
    <x v="9"/>
    <x v="10"/>
    <n v="5974.38767452509"/>
    <n v="363441.91686694301"/>
    <n v="1308390.90072099"/>
  </r>
  <r>
    <x v="0"/>
    <x v="0"/>
    <x v="0"/>
    <x v="2"/>
    <x v="3"/>
    <s v="FIN_GAS"/>
    <x v="1"/>
    <x v="1"/>
    <s v="SolarPV-50"/>
    <x v="10"/>
    <x v="0"/>
    <n v="2382.6519801773202"/>
    <n v="144944.66212745401"/>
    <n v="521800.78365883301"/>
  </r>
  <r>
    <x v="0"/>
    <x v="0"/>
    <x v="0"/>
    <x v="2"/>
    <x v="3"/>
    <s v="FIN_GAS"/>
    <x v="1"/>
    <x v="1"/>
    <s v="SolarPV-50"/>
    <x v="10"/>
    <x v="1"/>
    <n v="2118.99384010524"/>
    <n v="128905.458606402"/>
    <n v="464059.65098304697"/>
  </r>
  <r>
    <x v="0"/>
    <x v="0"/>
    <x v="0"/>
    <x v="2"/>
    <x v="3"/>
    <s v="FIN_GAS"/>
    <x v="1"/>
    <x v="1"/>
    <s v="SolarPV-50"/>
    <x v="11"/>
    <x v="7"/>
    <n v="4451.5042041062097"/>
    <n v="270799.83908312803"/>
    <n v="974879.42069925996"/>
  </r>
  <r>
    <x v="0"/>
    <x v="0"/>
    <x v="0"/>
    <x v="2"/>
    <x v="3"/>
    <s v="FIN_GAS"/>
    <x v="1"/>
    <x v="1"/>
    <s v="SolarPV-50"/>
    <x v="11"/>
    <x v="8"/>
    <n v="4500.0382781791004"/>
    <n v="273752.32858922798"/>
    <n v="985508.38292122202"/>
  </r>
  <r>
    <x v="0"/>
    <x v="0"/>
    <x v="0"/>
    <x v="2"/>
    <x v="3"/>
    <s v="FIN_GAS"/>
    <x v="1"/>
    <x v="1"/>
    <s v="SolarPV-50"/>
    <x v="11"/>
    <x v="9"/>
    <n v="4539.8529172644003"/>
    <n v="276174.38580025098"/>
    <n v="994227.78888090397"/>
  </r>
  <r>
    <x v="0"/>
    <x v="0"/>
    <x v="0"/>
    <x v="2"/>
    <x v="3"/>
    <s v="FIN_GAS"/>
    <x v="1"/>
    <x v="1"/>
    <s v="SolarPV-50"/>
    <x v="11"/>
    <x v="10"/>
    <n v="4449.2895279411696"/>
    <n v="270665.112949754"/>
    <n v="974394.40661911597"/>
  </r>
  <r>
    <x v="0"/>
    <x v="0"/>
    <x v="0"/>
    <x v="2"/>
    <x v="3"/>
    <s v="FIN_HELS"/>
    <x v="1"/>
    <x v="1"/>
    <s v="SolarPV-50"/>
    <x v="0"/>
    <x v="0"/>
    <n v="7268.4261382919503"/>
    <n v="442162.590079427"/>
    <n v="1591785.32428594"/>
  </r>
  <r>
    <x v="0"/>
    <x v="0"/>
    <x v="0"/>
    <x v="2"/>
    <x v="3"/>
    <s v="FIN_HELS"/>
    <x v="1"/>
    <x v="1"/>
    <s v="SolarPV-50"/>
    <x v="0"/>
    <x v="5"/>
    <n v="8278.2894040078609"/>
    <n v="503595.93874381098"/>
    <n v="1812945.37947772"/>
  </r>
  <r>
    <x v="0"/>
    <x v="0"/>
    <x v="0"/>
    <x v="2"/>
    <x v="3"/>
    <s v="FIN_HELS"/>
    <x v="1"/>
    <x v="1"/>
    <s v="SolarPV-50"/>
    <x v="0"/>
    <x v="11"/>
    <n v="8889.2579526115096"/>
    <n v="540763.1921172"/>
    <n v="1946747.4916219199"/>
  </r>
  <r>
    <x v="0"/>
    <x v="0"/>
    <x v="0"/>
    <x v="2"/>
    <x v="3"/>
    <s v="FIN_HELS"/>
    <x v="1"/>
    <x v="1"/>
    <s v="SolarPV-50"/>
    <x v="1"/>
    <x v="3"/>
    <n v="7848.3173828838299"/>
    <n v="477439.30745876703"/>
    <n v="1718781.50685156"/>
  </r>
  <r>
    <x v="0"/>
    <x v="0"/>
    <x v="0"/>
    <x v="2"/>
    <x v="3"/>
    <s v="FIN_HELS"/>
    <x v="1"/>
    <x v="1"/>
    <s v="SolarPV-50"/>
    <x v="1"/>
    <x v="7"/>
    <n v="9891.5696594825804"/>
    <n v="601737.15428519098"/>
    <n v="2166253.75542669"/>
  </r>
  <r>
    <x v="0"/>
    <x v="0"/>
    <x v="0"/>
    <x v="2"/>
    <x v="3"/>
    <s v="FIN_HELS"/>
    <x v="1"/>
    <x v="1"/>
    <s v="SolarPV-50"/>
    <x v="1"/>
    <x v="10"/>
    <n v="9654.5449532822804"/>
    <n v="587318.15132467204"/>
    <n v="2114345.3447688199"/>
  </r>
  <r>
    <x v="0"/>
    <x v="0"/>
    <x v="0"/>
    <x v="2"/>
    <x v="3"/>
    <s v="FIN_HELS"/>
    <x v="1"/>
    <x v="1"/>
    <s v="SolarPV-50"/>
    <x v="2"/>
    <x v="9"/>
    <n v="9912.3667766017297"/>
    <n v="603002.31224327197"/>
    <n v="2170808.3240757799"/>
  </r>
  <r>
    <x v="0"/>
    <x v="0"/>
    <x v="0"/>
    <x v="2"/>
    <x v="3"/>
    <s v="FIN_HELS"/>
    <x v="1"/>
    <x v="1"/>
    <s v="SolarPV-50"/>
    <x v="2"/>
    <x v="11"/>
    <n v="9749.0760857503992"/>
    <n v="593068.79521648202"/>
    <n v="2135047.6627793401"/>
  </r>
  <r>
    <x v="0"/>
    <x v="0"/>
    <x v="0"/>
    <x v="2"/>
    <x v="3"/>
    <s v="FIN_HELS"/>
    <x v="1"/>
    <x v="1"/>
    <s v="SolarPV-50"/>
    <x v="3"/>
    <x v="6"/>
    <n v="9439.8455972956399"/>
    <n v="574257.27383548499"/>
    <n v="2067326.1858077501"/>
  </r>
  <r>
    <x v="0"/>
    <x v="0"/>
    <x v="0"/>
    <x v="2"/>
    <x v="3"/>
    <s v="FIN_HELS"/>
    <x v="1"/>
    <x v="1"/>
    <s v="SolarPV-50"/>
    <x v="4"/>
    <x v="11"/>
    <n v="7570.9122405793196"/>
    <n v="460563.827968575"/>
    <n v="1658029.78068687"/>
  </r>
  <r>
    <x v="0"/>
    <x v="0"/>
    <x v="0"/>
    <x v="2"/>
    <x v="3"/>
    <s v="FIN_HELS"/>
    <x v="1"/>
    <x v="1"/>
    <s v="SolarPV-50"/>
    <x v="5"/>
    <x v="5"/>
    <n v="7194.2512550516503"/>
    <n v="437650.28468230902"/>
    <n v="1575541.0248563101"/>
  </r>
  <r>
    <x v="0"/>
    <x v="0"/>
    <x v="0"/>
    <x v="2"/>
    <x v="3"/>
    <s v="FIN_HELS"/>
    <x v="1"/>
    <x v="1"/>
    <s v="SolarPV-50"/>
    <x v="5"/>
    <x v="6"/>
    <n v="7513.4283775760896"/>
    <n v="457066.89296921197"/>
    <n v="1645440.8146891601"/>
  </r>
  <r>
    <x v="0"/>
    <x v="0"/>
    <x v="0"/>
    <x v="2"/>
    <x v="3"/>
    <s v="FIN_HELS"/>
    <x v="1"/>
    <x v="1"/>
    <s v="SolarPV-50"/>
    <x v="5"/>
    <x v="11"/>
    <n v="6916.97308029948"/>
    <n v="420782.529051552"/>
    <n v="1514817.1045855901"/>
  </r>
  <r>
    <x v="0"/>
    <x v="0"/>
    <x v="0"/>
    <x v="2"/>
    <x v="3"/>
    <s v="FIN_HELS"/>
    <x v="1"/>
    <x v="1"/>
    <s v="SolarPV-50"/>
    <x v="6"/>
    <x v="0"/>
    <n v="5072.2712894208398"/>
    <n v="308563.17010643397"/>
    <n v="1110827.4123831601"/>
  </r>
  <r>
    <x v="0"/>
    <x v="0"/>
    <x v="0"/>
    <x v="2"/>
    <x v="3"/>
    <s v="FIN_HELS"/>
    <x v="1"/>
    <x v="1"/>
    <s v="SolarPV-50"/>
    <x v="6"/>
    <x v="5"/>
    <n v="6825.3266484877904"/>
    <n v="415207.37111633999"/>
    <n v="1494746.53601883"/>
  </r>
  <r>
    <x v="0"/>
    <x v="0"/>
    <x v="0"/>
    <x v="2"/>
    <x v="3"/>
    <s v="FIN_HELS"/>
    <x v="1"/>
    <x v="1"/>
    <s v="SolarPV-50"/>
    <x v="6"/>
    <x v="6"/>
    <n v="7130.75698965215"/>
    <n v="433787.716870506"/>
    <n v="1561635.7807338201"/>
  </r>
  <r>
    <x v="0"/>
    <x v="0"/>
    <x v="0"/>
    <x v="2"/>
    <x v="3"/>
    <s v="FIN_HELS"/>
    <x v="1"/>
    <x v="1"/>
    <s v="SolarPV-50"/>
    <x v="6"/>
    <x v="7"/>
    <n v="6954.4350936757"/>
    <n v="423061.468198605"/>
    <n v="1523021.2855149801"/>
  </r>
  <r>
    <x v="0"/>
    <x v="0"/>
    <x v="0"/>
    <x v="2"/>
    <x v="3"/>
    <s v="FIN_HELS"/>
    <x v="1"/>
    <x v="1"/>
    <s v="SolarPV-50"/>
    <x v="6"/>
    <x v="8"/>
    <n v="7001.4485698771896"/>
    <n v="425921.45466752897"/>
    <n v="1533317.2368031"/>
  </r>
  <r>
    <x v="0"/>
    <x v="0"/>
    <x v="0"/>
    <x v="2"/>
    <x v="3"/>
    <s v="FIN_HELS"/>
    <x v="1"/>
    <x v="1"/>
    <s v="SolarPV-50"/>
    <x v="7"/>
    <x v="0"/>
    <n v="5958.6650475042597"/>
    <n v="362485.45705650898"/>
    <n v="1304947.6454034301"/>
  </r>
  <r>
    <x v="0"/>
    <x v="0"/>
    <x v="0"/>
    <x v="2"/>
    <x v="3"/>
    <s v="FIN_HELS"/>
    <x v="1"/>
    <x v="1"/>
    <s v="SolarPV-50"/>
    <x v="7"/>
    <x v="2"/>
    <n v="5602.5577605302897"/>
    <n v="340822.26376559201"/>
    <n v="1226960.1495561299"/>
  </r>
  <r>
    <x v="0"/>
    <x v="0"/>
    <x v="0"/>
    <x v="2"/>
    <x v="3"/>
    <s v="FIN_HELS"/>
    <x v="1"/>
    <x v="1"/>
    <s v="SolarPV-50"/>
    <x v="7"/>
    <x v="3"/>
    <n v="5777.3865835159504"/>
    <n v="351457.68383055402"/>
    <n v="1265247.66178999"/>
  </r>
  <r>
    <x v="0"/>
    <x v="0"/>
    <x v="0"/>
    <x v="2"/>
    <x v="3"/>
    <s v="FIN_HELS"/>
    <x v="1"/>
    <x v="1"/>
    <s v="SolarPV-50"/>
    <x v="8"/>
    <x v="0"/>
    <n v="3291.9482339778001"/>
    <n v="200260.18423365001"/>
    <n v="720936.66324113903"/>
  </r>
  <r>
    <x v="0"/>
    <x v="0"/>
    <x v="0"/>
    <x v="2"/>
    <x v="3"/>
    <s v="FIN_HELS"/>
    <x v="1"/>
    <x v="1"/>
    <s v="SolarPV-50"/>
    <x v="8"/>
    <x v="6"/>
    <n v="6463.2306976760001"/>
    <n v="393179.867441957"/>
    <n v="1415447.5227910499"/>
  </r>
  <r>
    <x v="0"/>
    <x v="0"/>
    <x v="0"/>
    <x v="2"/>
    <x v="3"/>
    <s v="FIN_HELS"/>
    <x v="1"/>
    <x v="1"/>
    <s v="SolarPV-50"/>
    <x v="8"/>
    <x v="8"/>
    <n v="6253.9897257770499"/>
    <n v="380451.041651437"/>
    <n v="1369623.74994517"/>
  </r>
  <r>
    <x v="0"/>
    <x v="0"/>
    <x v="0"/>
    <x v="2"/>
    <x v="3"/>
    <s v="FIN_HELS"/>
    <x v="1"/>
    <x v="1"/>
    <s v="SolarPV-50"/>
    <x v="8"/>
    <x v="11"/>
    <n v="5953.8116267011601"/>
    <n v="362190.20729098702"/>
    <n v="1303884.74624755"/>
  </r>
  <r>
    <x v="0"/>
    <x v="0"/>
    <x v="0"/>
    <x v="2"/>
    <x v="3"/>
    <s v="FIN_HELS"/>
    <x v="1"/>
    <x v="1"/>
    <s v="SolarPV-50"/>
    <x v="9"/>
    <x v="6"/>
    <n v="5858.98441941072"/>
    <n v="356421.55218081898"/>
    <n v="1283117.58785095"/>
  </r>
  <r>
    <x v="0"/>
    <x v="0"/>
    <x v="0"/>
    <x v="2"/>
    <x v="3"/>
    <s v="FIN_HELS"/>
    <x v="1"/>
    <x v="1"/>
    <s v="SolarPV-50"/>
    <x v="9"/>
    <x v="7"/>
    <n v="6309.0141119489299"/>
    <n v="383798.35847689299"/>
    <n v="1381674.0905168201"/>
  </r>
  <r>
    <x v="0"/>
    <x v="0"/>
    <x v="0"/>
    <x v="2"/>
    <x v="3"/>
    <s v="FIN_HELS"/>
    <x v="1"/>
    <x v="1"/>
    <s v="SolarPV-50"/>
    <x v="9"/>
    <x v="8"/>
    <n v="6261.5066162610901"/>
    <n v="380908.31915588299"/>
    <n v="1371269.9489611799"/>
  </r>
  <r>
    <x v="0"/>
    <x v="0"/>
    <x v="0"/>
    <x v="2"/>
    <x v="3"/>
    <s v="FIN_HELS"/>
    <x v="1"/>
    <x v="1"/>
    <s v="SolarPV-50"/>
    <x v="9"/>
    <x v="9"/>
    <n v="5976.4804823014001"/>
    <n v="363569.229340002"/>
    <n v="1308849.22562401"/>
  </r>
  <r>
    <x v="0"/>
    <x v="0"/>
    <x v="0"/>
    <x v="2"/>
    <x v="3"/>
    <s v="FIN_HELS"/>
    <x v="1"/>
    <x v="1"/>
    <s v="SolarPV-50"/>
    <x v="9"/>
    <x v="11"/>
    <n v="5822.8147099809603"/>
    <n v="354221.22819050797"/>
    <n v="1275196.4214858301"/>
  </r>
  <r>
    <x v="0"/>
    <x v="0"/>
    <x v="0"/>
    <x v="2"/>
    <x v="3"/>
    <s v="FIN_HELS"/>
    <x v="1"/>
    <x v="1"/>
    <s v="SolarPV-50"/>
    <x v="10"/>
    <x v="6"/>
    <n v="5110.6974082806801"/>
    <n v="310900.75900374103"/>
    <n v="1119242.73241347"/>
  </r>
  <r>
    <x v="0"/>
    <x v="0"/>
    <x v="0"/>
    <x v="2"/>
    <x v="3"/>
    <s v="FIN_HELS"/>
    <x v="1"/>
    <x v="1"/>
    <s v="SolarPV-50"/>
    <x v="10"/>
    <x v="8"/>
    <n v="4018.3144297830199"/>
    <n v="244447.461145134"/>
    <n v="880010.86012248101"/>
  </r>
  <r>
    <x v="0"/>
    <x v="0"/>
    <x v="0"/>
    <x v="2"/>
    <x v="3"/>
    <s v="FIN_HELS"/>
    <x v="1"/>
    <x v="1"/>
    <s v="SolarPV-50"/>
    <x v="10"/>
    <x v="9"/>
    <n v="3920.1787691455502"/>
    <n v="238477.541789688"/>
    <n v="858519.15044287604"/>
  </r>
  <r>
    <x v="0"/>
    <x v="0"/>
    <x v="0"/>
    <x v="2"/>
    <x v="3"/>
    <s v="FIN_HELS"/>
    <x v="1"/>
    <x v="1"/>
    <s v="SolarPV-50"/>
    <x v="10"/>
    <x v="11"/>
    <n v="3868.6300533134199"/>
    <n v="235341.661576566"/>
    <n v="847229.98167563905"/>
  </r>
  <r>
    <x v="0"/>
    <x v="0"/>
    <x v="0"/>
    <x v="2"/>
    <x v="3"/>
    <s v="FIN_HELS"/>
    <x v="1"/>
    <x v="1"/>
    <s v="SolarPV-50"/>
    <x v="11"/>
    <x v="2"/>
    <n v="2420.2102283591398"/>
    <n v="147229.45555851399"/>
    <n v="530026.04001065099"/>
  </r>
  <r>
    <x v="0"/>
    <x v="0"/>
    <x v="0"/>
    <x v="2"/>
    <x v="3"/>
    <s v="FIN_HP"/>
    <x v="1"/>
    <x v="1"/>
    <s v="SolarPV-50"/>
    <x v="1"/>
    <x v="4"/>
    <n v="8269.5532628283709"/>
    <n v="503064.49015539198"/>
    <n v="1811032.16455941"/>
  </r>
  <r>
    <x v="0"/>
    <x v="0"/>
    <x v="0"/>
    <x v="2"/>
    <x v="3"/>
    <s v="FIN_HP"/>
    <x v="1"/>
    <x v="1"/>
    <s v="SolarPV-50"/>
    <x v="2"/>
    <x v="3"/>
    <n v="8109.1660586027201"/>
    <n v="493307.60189833201"/>
    <n v="1775907.36683399"/>
  </r>
  <r>
    <x v="0"/>
    <x v="0"/>
    <x v="0"/>
    <x v="2"/>
    <x v="3"/>
    <s v="FIN_HP"/>
    <x v="1"/>
    <x v="1"/>
    <s v="SolarPV-50"/>
    <x v="2"/>
    <x v="7"/>
    <n v="10275.128263676001"/>
    <n v="625070.30270695803"/>
    <n v="2250253.0897450498"/>
  </r>
  <r>
    <x v="0"/>
    <x v="0"/>
    <x v="0"/>
    <x v="2"/>
    <x v="3"/>
    <s v="FIN_HP"/>
    <x v="1"/>
    <x v="1"/>
    <s v="SolarPV-50"/>
    <x v="2"/>
    <x v="10"/>
    <n v="9667.3177577004499"/>
    <n v="588095.16359344404"/>
    <n v="2117142.5889364001"/>
  </r>
  <r>
    <x v="0"/>
    <x v="0"/>
    <x v="0"/>
    <x v="2"/>
    <x v="3"/>
    <s v="FIN_HP"/>
    <x v="1"/>
    <x v="1"/>
    <s v="SolarPV-50"/>
    <x v="4"/>
    <x v="0"/>
    <n v="5430.0181576649902"/>
    <n v="330326.10459128697"/>
    <n v="1189173.9765286299"/>
  </r>
  <r>
    <x v="0"/>
    <x v="0"/>
    <x v="0"/>
    <x v="2"/>
    <x v="3"/>
    <s v="FIN_HP"/>
    <x v="1"/>
    <x v="1"/>
    <s v="SolarPV-50"/>
    <x v="5"/>
    <x v="0"/>
    <n v="5856.8393460621901"/>
    <n v="356291.06021878298"/>
    <n v="1282647.8167876201"/>
  </r>
  <r>
    <x v="0"/>
    <x v="0"/>
    <x v="0"/>
    <x v="2"/>
    <x v="3"/>
    <s v="FIN_HP"/>
    <x v="1"/>
    <x v="1"/>
    <s v="SolarPV-50"/>
    <x v="5"/>
    <x v="3"/>
    <n v="5618.8681257580602"/>
    <n v="341814.47765028197"/>
    <n v="1230532.1195410199"/>
  </r>
  <r>
    <x v="0"/>
    <x v="0"/>
    <x v="0"/>
    <x v="2"/>
    <x v="3"/>
    <s v="FIN_OTHER"/>
    <x v="1"/>
    <x v="1"/>
    <s v="SolarPV-50"/>
    <x v="0"/>
    <x v="2"/>
    <n v="7032.36362287467"/>
    <n v="427802.12039154302"/>
    <n v="1540087.6334095499"/>
  </r>
  <r>
    <x v="0"/>
    <x v="0"/>
    <x v="0"/>
    <x v="2"/>
    <x v="3"/>
    <s v="FIN_OTHER"/>
    <x v="1"/>
    <x v="1"/>
    <s v="SolarPV-50"/>
    <x v="0"/>
    <x v="10"/>
    <n v="8932.1682083846099"/>
    <n v="543373.56601006398"/>
    <n v="1956144.83763623"/>
  </r>
  <r>
    <x v="0"/>
    <x v="0"/>
    <x v="0"/>
    <x v="2"/>
    <x v="3"/>
    <s v="FIN_OTHER"/>
    <x v="1"/>
    <x v="1"/>
    <s v="SolarPV-50"/>
    <x v="1"/>
    <x v="11"/>
    <n v="9530.2631997650806"/>
    <n v="579757.67798570904"/>
    <n v="2087127.64074855"/>
  </r>
  <r>
    <x v="0"/>
    <x v="0"/>
    <x v="0"/>
    <x v="2"/>
    <x v="3"/>
    <s v="FIN_OTHER"/>
    <x v="1"/>
    <x v="1"/>
    <s v="SolarPV-50"/>
    <x v="2"/>
    <x v="2"/>
    <n v="7868.8006460513097"/>
    <n v="478685.37263478799"/>
    <n v="1723267.34148524"/>
  </r>
  <r>
    <x v="0"/>
    <x v="0"/>
    <x v="0"/>
    <x v="2"/>
    <x v="3"/>
    <s v="FIN_OTHER"/>
    <x v="1"/>
    <x v="1"/>
    <s v="SolarPV-50"/>
    <x v="2"/>
    <x v="8"/>
    <n v="10180.714251663299"/>
    <n v="619326.78364285105"/>
    <n v="2229576.4211142599"/>
  </r>
  <r>
    <x v="0"/>
    <x v="0"/>
    <x v="0"/>
    <x v="2"/>
    <x v="3"/>
    <s v="FIN_OTHER"/>
    <x v="1"/>
    <x v="1"/>
    <s v="SolarPV-50"/>
    <x v="3"/>
    <x v="0"/>
    <n v="7229.2596605265398"/>
    <n v="439779.96268203203"/>
    <n v="1583207.86565531"/>
  </r>
  <r>
    <x v="0"/>
    <x v="0"/>
    <x v="0"/>
    <x v="2"/>
    <x v="3"/>
    <s v="FIN_OTHER"/>
    <x v="1"/>
    <x v="1"/>
    <s v="SolarPV-50"/>
    <x v="3"/>
    <x v="4"/>
    <n v="8109.5354870500896"/>
    <n v="493330.07546221401"/>
    <n v="1775988.2716639701"/>
  </r>
  <r>
    <x v="0"/>
    <x v="0"/>
    <x v="0"/>
    <x v="2"/>
    <x v="3"/>
    <s v="FIN_OTHER"/>
    <x v="1"/>
    <x v="1"/>
    <s v="SolarPV-50"/>
    <x v="3"/>
    <x v="7"/>
    <n v="9725.3882038484808"/>
    <n v="591627.78240078303"/>
    <n v="2129860.0166428201"/>
  </r>
  <r>
    <x v="0"/>
    <x v="0"/>
    <x v="0"/>
    <x v="2"/>
    <x v="3"/>
    <s v="FIN_OTHER"/>
    <x v="1"/>
    <x v="1"/>
    <s v="SolarPV-50"/>
    <x v="3"/>
    <x v="10"/>
    <n v="9193.0607569706208"/>
    <n v="559244.52938237996"/>
    <n v="2013280.30577657"/>
  </r>
  <r>
    <x v="0"/>
    <x v="0"/>
    <x v="0"/>
    <x v="2"/>
    <x v="3"/>
    <s v="FIN_OTHER"/>
    <x v="1"/>
    <x v="1"/>
    <s v="SolarPV-50"/>
    <x v="4"/>
    <x v="2"/>
    <n v="5336.9584697361197"/>
    <n v="324664.97357561399"/>
    <n v="1168793.90487221"/>
  </r>
  <r>
    <x v="0"/>
    <x v="0"/>
    <x v="0"/>
    <x v="2"/>
    <x v="3"/>
    <s v="FIN_OTHER"/>
    <x v="1"/>
    <x v="1"/>
    <s v="SolarPV-50"/>
    <x v="4"/>
    <x v="6"/>
    <n v="7698.1274897614003"/>
    <n v="468302.75562715199"/>
    <n v="1685889.92025775"/>
  </r>
  <r>
    <x v="0"/>
    <x v="0"/>
    <x v="0"/>
    <x v="2"/>
    <x v="3"/>
    <s v="FIN_OTHER"/>
    <x v="1"/>
    <x v="1"/>
    <s v="SolarPV-50"/>
    <x v="4"/>
    <x v="7"/>
    <n v="7941.3080630171298"/>
    <n v="483096.24050020898"/>
    <n v="1739146.4658007501"/>
  </r>
  <r>
    <x v="0"/>
    <x v="0"/>
    <x v="0"/>
    <x v="2"/>
    <x v="3"/>
    <s v="FIN_OTHER"/>
    <x v="1"/>
    <x v="1"/>
    <s v="SolarPV-50"/>
    <x v="5"/>
    <x v="4"/>
    <n v="6273.1991834421697"/>
    <n v="381619.61699273199"/>
    <n v="1373830.62117384"/>
  </r>
  <r>
    <x v="0"/>
    <x v="0"/>
    <x v="0"/>
    <x v="2"/>
    <x v="3"/>
    <s v="FIN_OTHER"/>
    <x v="1"/>
    <x v="1"/>
    <s v="SolarPV-50"/>
    <x v="5"/>
    <x v="9"/>
    <n v="7004.2392135994596"/>
    <n v="426091.21882730001"/>
    <n v="1533928.3877782801"/>
  </r>
  <r>
    <x v="0"/>
    <x v="0"/>
    <x v="0"/>
    <x v="2"/>
    <x v="3"/>
    <s v="FIN_OTHER"/>
    <x v="1"/>
    <x v="1"/>
    <s v="SolarPV-50"/>
    <x v="6"/>
    <x v="10"/>
    <n v="6937.3353403990104"/>
    <n v="422021.233207607"/>
    <n v="1519276.43954738"/>
  </r>
  <r>
    <x v="0"/>
    <x v="0"/>
    <x v="0"/>
    <x v="2"/>
    <x v="3"/>
    <s v="FIN_OTHER"/>
    <x v="1"/>
    <x v="1"/>
    <s v="SolarPV-50"/>
    <x v="7"/>
    <x v="6"/>
    <n v="7449.8575782933804"/>
    <n v="453199.66934617999"/>
    <n v="1631518.80964625"/>
  </r>
  <r>
    <x v="0"/>
    <x v="0"/>
    <x v="0"/>
    <x v="2"/>
    <x v="3"/>
    <s v="FIN_OTHER"/>
    <x v="1"/>
    <x v="1"/>
    <s v="SolarPV-50"/>
    <x v="8"/>
    <x v="2"/>
    <n v="3103.0643697893302"/>
    <n v="188769.74916218399"/>
    <n v="679571.09698386397"/>
  </r>
  <r>
    <x v="0"/>
    <x v="0"/>
    <x v="0"/>
    <x v="2"/>
    <x v="3"/>
    <s v="FIN_OTHER"/>
    <x v="1"/>
    <x v="1"/>
    <s v="SolarPV-50"/>
    <x v="10"/>
    <x v="10"/>
    <n v="3873.9530931942099"/>
    <n v="235665.47983598101"/>
    <n v="848395.72740953101"/>
  </r>
  <r>
    <x v="0"/>
    <x v="0"/>
    <x v="0"/>
    <x v="2"/>
    <x v="3"/>
    <s v="FIN_TAMP"/>
    <x v="1"/>
    <x v="1"/>
    <s v="SolarPV-50"/>
    <x v="0"/>
    <x v="4"/>
    <n v="7395.1187189659304"/>
    <n v="449869.72207042697"/>
    <n v="1619530.99945354"/>
  </r>
  <r>
    <x v="0"/>
    <x v="0"/>
    <x v="0"/>
    <x v="2"/>
    <x v="3"/>
    <s v="FIN_TAMP"/>
    <x v="1"/>
    <x v="1"/>
    <s v="SolarPV-50"/>
    <x v="0"/>
    <x v="9"/>
    <n v="8965.3462809983503"/>
    <n v="545391.89876073296"/>
    <n v="1963410.8355386399"/>
  </r>
  <r>
    <x v="0"/>
    <x v="0"/>
    <x v="0"/>
    <x v="2"/>
    <x v="3"/>
    <s v="FIN_TAMP"/>
    <x v="1"/>
    <x v="1"/>
    <s v="SolarPV-50"/>
    <x v="1"/>
    <x v="0"/>
    <n v="8005.5262996762904"/>
    <n v="487002.84989697399"/>
    <n v="1753210.2596291101"/>
  </r>
  <r>
    <x v="0"/>
    <x v="0"/>
    <x v="0"/>
    <x v="2"/>
    <x v="3"/>
    <s v="FIN_TAMP"/>
    <x v="1"/>
    <x v="1"/>
    <s v="SolarPV-50"/>
    <x v="1"/>
    <x v="1"/>
    <n v="7754.9759354397302"/>
    <n v="471761.03607258399"/>
    <n v="1698339.7298613"/>
  </r>
  <r>
    <x v="0"/>
    <x v="0"/>
    <x v="0"/>
    <x v="2"/>
    <x v="3"/>
    <s v="FIN_TAMP"/>
    <x v="1"/>
    <x v="1"/>
    <s v="SolarPV-50"/>
    <x v="2"/>
    <x v="1"/>
    <n v="7905.4432296340201"/>
    <n v="480914.46313607"/>
    <n v="1731292.06728985"/>
  </r>
  <r>
    <x v="0"/>
    <x v="0"/>
    <x v="0"/>
    <x v="2"/>
    <x v="3"/>
    <s v="FIN_TAMP"/>
    <x v="1"/>
    <x v="1"/>
    <s v="SolarPV-50"/>
    <x v="3"/>
    <x v="2"/>
    <n v="7072.5727100961603"/>
    <n v="430248.17319751601"/>
    <n v="1548893.42351106"/>
  </r>
  <r>
    <x v="0"/>
    <x v="0"/>
    <x v="0"/>
    <x v="2"/>
    <x v="3"/>
    <s v="FIN_TAMP"/>
    <x v="1"/>
    <x v="1"/>
    <s v="SolarPV-50"/>
    <x v="3"/>
    <x v="5"/>
    <n v="9007.2527552992196"/>
    <n v="547941.20928070298"/>
    <n v="1972588.3534105299"/>
  </r>
  <r>
    <x v="0"/>
    <x v="0"/>
    <x v="0"/>
    <x v="2"/>
    <x v="3"/>
    <s v="FIN_TAMP"/>
    <x v="1"/>
    <x v="1"/>
    <s v="SolarPV-50"/>
    <x v="3"/>
    <x v="8"/>
    <n v="9594.9893668381792"/>
    <n v="583695.18648265605"/>
    <n v="2101302.6713375598"/>
  </r>
  <r>
    <x v="0"/>
    <x v="0"/>
    <x v="0"/>
    <x v="2"/>
    <x v="3"/>
    <s v="FIN_TAMP"/>
    <x v="1"/>
    <x v="1"/>
    <s v="SolarPV-50"/>
    <x v="4"/>
    <x v="8"/>
    <n v="7919.8972866529803"/>
    <n v="481793.75160472299"/>
    <n v="1734457.505777"/>
  </r>
  <r>
    <x v="0"/>
    <x v="0"/>
    <x v="0"/>
    <x v="2"/>
    <x v="3"/>
    <s v="FIN_TAMP"/>
    <x v="1"/>
    <x v="1"/>
    <s v="SolarPV-50"/>
    <x v="6"/>
    <x v="1"/>
    <n v="4827.97322665109"/>
    <n v="293701.70462127501"/>
    <n v="1057326.1366365899"/>
  </r>
  <r>
    <x v="0"/>
    <x v="0"/>
    <x v="0"/>
    <x v="2"/>
    <x v="3"/>
    <s v="FIN_TAMP"/>
    <x v="1"/>
    <x v="1"/>
    <s v="SolarPV-50"/>
    <x v="6"/>
    <x v="2"/>
    <n v="4718.1742178004197"/>
    <n v="287022.26491619198"/>
    <n v="1033280.15369829"/>
  </r>
  <r>
    <x v="0"/>
    <x v="0"/>
    <x v="0"/>
    <x v="2"/>
    <x v="3"/>
    <s v="FIN_TAMP"/>
    <x v="1"/>
    <x v="1"/>
    <s v="SolarPV-50"/>
    <x v="6"/>
    <x v="9"/>
    <n v="6846.0261954196903"/>
    <n v="416466.59355469799"/>
    <n v="1499279.7367969099"/>
  </r>
  <r>
    <x v="0"/>
    <x v="0"/>
    <x v="0"/>
    <x v="2"/>
    <x v="3"/>
    <s v="FIN_TAMP"/>
    <x v="1"/>
    <x v="1"/>
    <s v="SolarPV-50"/>
    <x v="7"/>
    <x v="1"/>
    <n v="5696.9597893914397"/>
    <n v="346565.05385464599"/>
    <n v="1247634.19387673"/>
  </r>
  <r>
    <x v="0"/>
    <x v="0"/>
    <x v="0"/>
    <x v="2"/>
    <x v="3"/>
    <s v="FIN_TAMP"/>
    <x v="1"/>
    <x v="1"/>
    <s v="SolarPV-50"/>
    <x v="7"/>
    <x v="5"/>
    <n v="7251.1207398807001"/>
    <n v="441109.84500940901"/>
    <n v="1587995.4420338699"/>
  </r>
  <r>
    <x v="0"/>
    <x v="0"/>
    <x v="0"/>
    <x v="2"/>
    <x v="3"/>
    <s v="FIN_TAMP"/>
    <x v="1"/>
    <x v="1"/>
    <s v="SolarPV-50"/>
    <x v="7"/>
    <x v="10"/>
    <n v="5818.5058305994298"/>
    <n v="353959.104694799"/>
    <n v="1274252.77690128"/>
  </r>
  <r>
    <x v="0"/>
    <x v="0"/>
    <x v="0"/>
    <x v="2"/>
    <x v="3"/>
    <s v="FIN_TAMP"/>
    <x v="1"/>
    <x v="1"/>
    <s v="SolarPV-50"/>
    <x v="11"/>
    <x v="3"/>
    <n v="2624.0781565062398"/>
    <n v="159631.42118746301"/>
    <n v="574673.11627486604"/>
  </r>
  <r>
    <x v="0"/>
    <x v="0"/>
    <x v="0"/>
    <x v="2"/>
    <x v="3"/>
    <s v="FIN_TAMP"/>
    <x v="1"/>
    <x v="1"/>
    <s v="SolarPV-50"/>
    <x v="11"/>
    <x v="4"/>
    <n v="3117.29291078603"/>
    <n v="189635.31873948401"/>
    <n v="682687.147462141"/>
  </r>
  <r>
    <x v="0"/>
    <x v="0"/>
    <x v="0"/>
    <x v="2"/>
    <x v="3"/>
    <s v="FIN_TAMP"/>
    <x v="1"/>
    <x v="1"/>
    <s v="SolarPV-50"/>
    <x v="11"/>
    <x v="6"/>
    <n v="4248.36958727417"/>
    <n v="258442.483225845"/>
    <n v="930392.93961304205"/>
  </r>
  <r>
    <x v="0"/>
    <x v="0"/>
    <x v="0"/>
    <x v="2"/>
    <x v="3"/>
    <s v="FIN_TAMP"/>
    <x v="1"/>
    <x v="1"/>
    <s v="SolarPV-50"/>
    <x v="11"/>
    <x v="11"/>
    <n v="4419.6351599589598"/>
    <n v="268861.13889750303"/>
    <n v="967900.10003101197"/>
  </r>
  <r>
    <x v="0"/>
    <x v="0"/>
    <x v="0"/>
    <x v="2"/>
    <x v="3"/>
    <s v="FinA"/>
    <x v="7"/>
    <x v="6"/>
    <s v="GHYRR_WATER"/>
    <x v="0"/>
    <x v="0"/>
    <n v="860.98126957883801"/>
    <n v="52376.360566046002"/>
    <n v="188554.898037765"/>
  </r>
  <r>
    <x v="0"/>
    <x v="0"/>
    <x v="0"/>
    <x v="2"/>
    <x v="3"/>
    <s v="FinA"/>
    <x v="7"/>
    <x v="6"/>
    <s v="GHYRR_WATER"/>
    <x v="0"/>
    <x v="1"/>
    <n v="860.98126957883801"/>
    <n v="52376.360566046002"/>
    <n v="188554.898037765"/>
  </r>
  <r>
    <x v="0"/>
    <x v="0"/>
    <x v="0"/>
    <x v="2"/>
    <x v="3"/>
    <s v="FinA"/>
    <x v="7"/>
    <x v="6"/>
    <s v="GHYRR_WATER"/>
    <x v="0"/>
    <x v="2"/>
    <n v="860.98126957883801"/>
    <n v="52376.360566046002"/>
    <n v="188554.898037765"/>
  </r>
  <r>
    <x v="0"/>
    <x v="0"/>
    <x v="0"/>
    <x v="2"/>
    <x v="3"/>
    <s v="FinA"/>
    <x v="7"/>
    <x v="6"/>
    <s v="GHYRR_WATER"/>
    <x v="0"/>
    <x v="3"/>
    <n v="860.98126957883801"/>
    <n v="52376.360566046002"/>
    <n v="188554.898037765"/>
  </r>
  <r>
    <x v="0"/>
    <x v="0"/>
    <x v="0"/>
    <x v="2"/>
    <x v="3"/>
    <s v="FinA"/>
    <x v="7"/>
    <x v="6"/>
    <s v="GHYRR_WATER"/>
    <x v="0"/>
    <x v="4"/>
    <n v="860.98126957883801"/>
    <n v="52376.360566046002"/>
    <n v="188554.898037765"/>
  </r>
  <r>
    <x v="0"/>
    <x v="0"/>
    <x v="0"/>
    <x v="2"/>
    <x v="3"/>
    <s v="FinA"/>
    <x v="7"/>
    <x v="6"/>
    <s v="GHYRR_WATER"/>
    <x v="0"/>
    <x v="5"/>
    <n v="860.98126957883801"/>
    <n v="52376.360566046002"/>
    <n v="188554.898037765"/>
  </r>
  <r>
    <x v="0"/>
    <x v="0"/>
    <x v="0"/>
    <x v="2"/>
    <x v="3"/>
    <s v="FinA"/>
    <x v="7"/>
    <x v="6"/>
    <s v="GHYRR_WATER"/>
    <x v="0"/>
    <x v="6"/>
    <n v="860.98126957883801"/>
    <n v="52376.360566046002"/>
    <n v="188554.898037765"/>
  </r>
  <r>
    <x v="0"/>
    <x v="0"/>
    <x v="0"/>
    <x v="2"/>
    <x v="3"/>
    <s v="FinA"/>
    <x v="7"/>
    <x v="6"/>
    <s v="GHYRR_WATER"/>
    <x v="0"/>
    <x v="7"/>
    <n v="860.98126957883801"/>
    <n v="52376.360566046002"/>
    <n v="188554.898037765"/>
  </r>
  <r>
    <x v="0"/>
    <x v="0"/>
    <x v="0"/>
    <x v="2"/>
    <x v="3"/>
    <s v="FinA"/>
    <x v="7"/>
    <x v="6"/>
    <s v="GHYRR_WATER"/>
    <x v="0"/>
    <x v="8"/>
    <n v="860.98126957883801"/>
    <n v="52376.360566046002"/>
    <n v="188554.898037765"/>
  </r>
  <r>
    <x v="0"/>
    <x v="0"/>
    <x v="0"/>
    <x v="2"/>
    <x v="3"/>
    <s v="FinA"/>
    <x v="7"/>
    <x v="6"/>
    <s v="GHYRR_WATER"/>
    <x v="0"/>
    <x v="9"/>
    <n v="860.98126957883801"/>
    <n v="52376.360566046002"/>
    <n v="188554.898037765"/>
  </r>
  <r>
    <x v="0"/>
    <x v="0"/>
    <x v="0"/>
    <x v="2"/>
    <x v="3"/>
    <s v="FinA"/>
    <x v="7"/>
    <x v="6"/>
    <s v="GHYRR_WATER"/>
    <x v="0"/>
    <x v="10"/>
    <n v="860.98126957883801"/>
    <n v="52376.360566046002"/>
    <n v="188554.898037765"/>
  </r>
  <r>
    <x v="0"/>
    <x v="0"/>
    <x v="0"/>
    <x v="2"/>
    <x v="3"/>
    <s v="FinA"/>
    <x v="7"/>
    <x v="6"/>
    <s v="GHYRR_WATER"/>
    <x v="0"/>
    <x v="11"/>
    <n v="860.98126957883801"/>
    <n v="52376.360566046002"/>
    <n v="188554.898037765"/>
  </r>
  <r>
    <x v="0"/>
    <x v="0"/>
    <x v="0"/>
    <x v="2"/>
    <x v="3"/>
    <s v="FinA"/>
    <x v="7"/>
    <x v="6"/>
    <s v="GHYRR_WATER"/>
    <x v="1"/>
    <x v="0"/>
    <n v="955.64587684186097"/>
    <n v="58135.124174546603"/>
    <n v="209286.44702836801"/>
  </r>
  <r>
    <x v="0"/>
    <x v="0"/>
    <x v="0"/>
    <x v="2"/>
    <x v="3"/>
    <s v="FinA"/>
    <x v="7"/>
    <x v="6"/>
    <s v="GHYRR_WATER"/>
    <x v="1"/>
    <x v="1"/>
    <n v="955.64587684186097"/>
    <n v="58135.124174546603"/>
    <n v="209286.44702836801"/>
  </r>
  <r>
    <x v="0"/>
    <x v="0"/>
    <x v="0"/>
    <x v="2"/>
    <x v="3"/>
    <s v="FinA"/>
    <x v="7"/>
    <x v="6"/>
    <s v="GHYRR_WATER"/>
    <x v="1"/>
    <x v="2"/>
    <n v="955.64587684186097"/>
    <n v="58135.124174546603"/>
    <n v="209286.44702836801"/>
  </r>
  <r>
    <x v="0"/>
    <x v="0"/>
    <x v="0"/>
    <x v="2"/>
    <x v="3"/>
    <s v="FinA"/>
    <x v="7"/>
    <x v="6"/>
    <s v="GHYRR_WATER"/>
    <x v="1"/>
    <x v="3"/>
    <n v="955.64587684186097"/>
    <n v="58135.124174546603"/>
    <n v="209286.44702836801"/>
  </r>
  <r>
    <x v="0"/>
    <x v="0"/>
    <x v="0"/>
    <x v="2"/>
    <x v="3"/>
    <s v="FinA"/>
    <x v="7"/>
    <x v="6"/>
    <s v="GHYRR_WATER"/>
    <x v="1"/>
    <x v="4"/>
    <n v="955.64587684186097"/>
    <n v="58135.124174546603"/>
    <n v="209286.44702836801"/>
  </r>
  <r>
    <x v="0"/>
    <x v="0"/>
    <x v="0"/>
    <x v="2"/>
    <x v="3"/>
    <s v="FinA"/>
    <x v="7"/>
    <x v="6"/>
    <s v="GHYRR_WATER"/>
    <x v="1"/>
    <x v="5"/>
    <n v="955.64587684186097"/>
    <n v="58135.124174546603"/>
    <n v="209286.44702836801"/>
  </r>
  <r>
    <x v="0"/>
    <x v="0"/>
    <x v="0"/>
    <x v="2"/>
    <x v="3"/>
    <s v="FinA"/>
    <x v="7"/>
    <x v="6"/>
    <s v="GHYRR_WATER"/>
    <x v="1"/>
    <x v="6"/>
    <n v="955.64587684186097"/>
    <n v="58135.124174546603"/>
    <n v="209286.44702836801"/>
  </r>
  <r>
    <x v="0"/>
    <x v="0"/>
    <x v="0"/>
    <x v="2"/>
    <x v="3"/>
    <s v="FinA"/>
    <x v="7"/>
    <x v="6"/>
    <s v="GHYRR_WATER"/>
    <x v="1"/>
    <x v="7"/>
    <n v="955.64587684186097"/>
    <n v="58135.124174546603"/>
    <n v="209286.44702836801"/>
  </r>
  <r>
    <x v="0"/>
    <x v="0"/>
    <x v="0"/>
    <x v="2"/>
    <x v="3"/>
    <s v="FinA"/>
    <x v="7"/>
    <x v="6"/>
    <s v="GHYRR_WATER"/>
    <x v="1"/>
    <x v="8"/>
    <n v="955.64587684186097"/>
    <n v="58135.124174546603"/>
    <n v="209286.44702836801"/>
  </r>
  <r>
    <x v="0"/>
    <x v="0"/>
    <x v="0"/>
    <x v="2"/>
    <x v="3"/>
    <s v="FinA"/>
    <x v="7"/>
    <x v="6"/>
    <s v="GHYRR_WATER"/>
    <x v="1"/>
    <x v="9"/>
    <n v="955.64587684186097"/>
    <n v="58135.124174546603"/>
    <n v="209286.44702836801"/>
  </r>
  <r>
    <x v="0"/>
    <x v="0"/>
    <x v="0"/>
    <x v="2"/>
    <x v="3"/>
    <s v="FinA"/>
    <x v="7"/>
    <x v="6"/>
    <s v="GHYRR_WATER"/>
    <x v="1"/>
    <x v="10"/>
    <n v="955.64587684186097"/>
    <n v="58135.124174546603"/>
    <n v="209286.44702836801"/>
  </r>
  <r>
    <x v="0"/>
    <x v="0"/>
    <x v="0"/>
    <x v="2"/>
    <x v="3"/>
    <s v="FinA"/>
    <x v="7"/>
    <x v="6"/>
    <s v="GHYRR_WATER"/>
    <x v="1"/>
    <x v="11"/>
    <n v="955.64587684186097"/>
    <n v="58135.124174546603"/>
    <n v="209286.44702836801"/>
  </r>
  <r>
    <x v="0"/>
    <x v="0"/>
    <x v="0"/>
    <x v="2"/>
    <x v="3"/>
    <s v="FinA"/>
    <x v="7"/>
    <x v="6"/>
    <s v="GHYRR_WATER"/>
    <x v="2"/>
    <x v="0"/>
    <n v="966.64563754495896"/>
    <n v="58804.276283984997"/>
    <n v="211695.39462234601"/>
  </r>
  <r>
    <x v="0"/>
    <x v="0"/>
    <x v="0"/>
    <x v="2"/>
    <x v="3"/>
    <s v="FinA"/>
    <x v="7"/>
    <x v="6"/>
    <s v="GHYRR_WATER"/>
    <x v="2"/>
    <x v="1"/>
    <n v="966.64563754495896"/>
    <n v="58804.276283984997"/>
    <n v="211695.39462234601"/>
  </r>
  <r>
    <x v="0"/>
    <x v="0"/>
    <x v="0"/>
    <x v="2"/>
    <x v="3"/>
    <s v="FinA"/>
    <x v="7"/>
    <x v="6"/>
    <s v="GHYRR_WATER"/>
    <x v="2"/>
    <x v="2"/>
    <n v="966.64563754495896"/>
    <n v="58804.276283984997"/>
    <n v="211695.39462234601"/>
  </r>
  <r>
    <x v="0"/>
    <x v="0"/>
    <x v="0"/>
    <x v="2"/>
    <x v="3"/>
    <s v="FinA"/>
    <x v="7"/>
    <x v="6"/>
    <s v="GHYRR_WATER"/>
    <x v="2"/>
    <x v="3"/>
    <n v="966.64563754495896"/>
    <n v="58804.276283984997"/>
    <n v="211695.39462234601"/>
  </r>
  <r>
    <x v="0"/>
    <x v="0"/>
    <x v="0"/>
    <x v="2"/>
    <x v="3"/>
    <s v="FinA"/>
    <x v="7"/>
    <x v="6"/>
    <s v="GHYRR_WATER"/>
    <x v="2"/>
    <x v="4"/>
    <n v="966.64563754495896"/>
    <n v="58804.276283984997"/>
    <n v="211695.39462234601"/>
  </r>
  <r>
    <x v="0"/>
    <x v="0"/>
    <x v="0"/>
    <x v="2"/>
    <x v="3"/>
    <s v="FinA"/>
    <x v="7"/>
    <x v="6"/>
    <s v="GHYRR_WATER"/>
    <x v="2"/>
    <x v="5"/>
    <n v="966.64563754495896"/>
    <n v="58804.276283984997"/>
    <n v="211695.39462234601"/>
  </r>
  <r>
    <x v="0"/>
    <x v="0"/>
    <x v="0"/>
    <x v="2"/>
    <x v="3"/>
    <s v="FinA"/>
    <x v="7"/>
    <x v="6"/>
    <s v="GHYRR_WATER"/>
    <x v="2"/>
    <x v="6"/>
    <n v="966.64563754495896"/>
    <n v="58804.276283984997"/>
    <n v="211695.39462234601"/>
  </r>
  <r>
    <x v="0"/>
    <x v="0"/>
    <x v="0"/>
    <x v="2"/>
    <x v="3"/>
    <s v="FinA"/>
    <x v="7"/>
    <x v="6"/>
    <s v="GHYRR_WATER"/>
    <x v="2"/>
    <x v="7"/>
    <n v="966.64563754495896"/>
    <n v="58804.276283984997"/>
    <n v="211695.39462234601"/>
  </r>
  <r>
    <x v="0"/>
    <x v="0"/>
    <x v="0"/>
    <x v="2"/>
    <x v="3"/>
    <s v="FinA"/>
    <x v="7"/>
    <x v="6"/>
    <s v="GHYRR_WATER"/>
    <x v="2"/>
    <x v="8"/>
    <n v="966.64563754495896"/>
    <n v="58804.276283984997"/>
    <n v="211695.39462234601"/>
  </r>
  <r>
    <x v="0"/>
    <x v="0"/>
    <x v="0"/>
    <x v="2"/>
    <x v="3"/>
    <s v="FinA"/>
    <x v="7"/>
    <x v="6"/>
    <s v="GHYRR_WATER"/>
    <x v="2"/>
    <x v="9"/>
    <n v="966.64563754495896"/>
    <n v="58804.276283984997"/>
    <n v="211695.39462234601"/>
  </r>
  <r>
    <x v="0"/>
    <x v="0"/>
    <x v="0"/>
    <x v="2"/>
    <x v="3"/>
    <s v="FinA"/>
    <x v="7"/>
    <x v="6"/>
    <s v="GHYRR_WATER"/>
    <x v="2"/>
    <x v="10"/>
    <n v="966.64563754495896"/>
    <n v="58804.276283984997"/>
    <n v="211695.39462234601"/>
  </r>
  <r>
    <x v="0"/>
    <x v="0"/>
    <x v="0"/>
    <x v="2"/>
    <x v="3"/>
    <s v="FinA"/>
    <x v="7"/>
    <x v="6"/>
    <s v="GHYRR_WATER"/>
    <x v="2"/>
    <x v="11"/>
    <n v="966.64563754495896"/>
    <n v="58804.276283984997"/>
    <n v="211695.39462234601"/>
  </r>
  <r>
    <x v="0"/>
    <x v="0"/>
    <x v="0"/>
    <x v="2"/>
    <x v="3"/>
    <s v="FinA"/>
    <x v="7"/>
    <x v="6"/>
    <s v="GHYRR_WATER"/>
    <x v="3"/>
    <x v="0"/>
    <n v="1025.64435404339"/>
    <n v="62393.364870973099"/>
    <n v="224616.11353550301"/>
  </r>
  <r>
    <x v="0"/>
    <x v="0"/>
    <x v="0"/>
    <x v="2"/>
    <x v="3"/>
    <s v="FinA"/>
    <x v="7"/>
    <x v="6"/>
    <s v="GHYRR_WATER"/>
    <x v="3"/>
    <x v="1"/>
    <n v="1025.64435404339"/>
    <n v="62393.364870973099"/>
    <n v="224616.11353550301"/>
  </r>
  <r>
    <x v="0"/>
    <x v="0"/>
    <x v="0"/>
    <x v="2"/>
    <x v="3"/>
    <s v="FinA"/>
    <x v="7"/>
    <x v="6"/>
    <s v="GHYRR_WATER"/>
    <x v="3"/>
    <x v="2"/>
    <n v="1025.64435404339"/>
    <n v="62393.364870973099"/>
    <n v="224616.11353550301"/>
  </r>
  <r>
    <x v="0"/>
    <x v="0"/>
    <x v="0"/>
    <x v="2"/>
    <x v="3"/>
    <s v="FinA"/>
    <x v="7"/>
    <x v="6"/>
    <s v="GHYRR_WATER"/>
    <x v="3"/>
    <x v="3"/>
    <n v="1025.64435404339"/>
    <n v="62393.364870973099"/>
    <n v="224616.11353550301"/>
  </r>
  <r>
    <x v="0"/>
    <x v="0"/>
    <x v="0"/>
    <x v="2"/>
    <x v="3"/>
    <s v="FinA"/>
    <x v="7"/>
    <x v="6"/>
    <s v="GHYRR_WATER"/>
    <x v="3"/>
    <x v="4"/>
    <n v="1025.64435404339"/>
    <n v="62393.364870973099"/>
    <n v="224616.11353550301"/>
  </r>
  <r>
    <x v="0"/>
    <x v="0"/>
    <x v="0"/>
    <x v="2"/>
    <x v="3"/>
    <s v="FinA"/>
    <x v="7"/>
    <x v="6"/>
    <s v="GHYRR_WATER"/>
    <x v="3"/>
    <x v="5"/>
    <n v="1025.64435404339"/>
    <n v="62393.364870973099"/>
    <n v="224616.11353550301"/>
  </r>
  <r>
    <x v="0"/>
    <x v="0"/>
    <x v="0"/>
    <x v="2"/>
    <x v="3"/>
    <s v="FinA"/>
    <x v="7"/>
    <x v="6"/>
    <s v="GHYRR_WATER"/>
    <x v="3"/>
    <x v="6"/>
    <n v="1025.64435404339"/>
    <n v="62393.364870973099"/>
    <n v="224616.11353550301"/>
  </r>
  <r>
    <x v="0"/>
    <x v="0"/>
    <x v="0"/>
    <x v="2"/>
    <x v="3"/>
    <s v="FinA"/>
    <x v="7"/>
    <x v="6"/>
    <s v="GHYRR_WATER"/>
    <x v="3"/>
    <x v="7"/>
    <n v="1025.64435404339"/>
    <n v="62393.364870973099"/>
    <n v="224616.11353550301"/>
  </r>
  <r>
    <x v="0"/>
    <x v="0"/>
    <x v="0"/>
    <x v="2"/>
    <x v="3"/>
    <s v="FinA"/>
    <x v="7"/>
    <x v="6"/>
    <s v="GHYRR_WATER"/>
    <x v="3"/>
    <x v="8"/>
    <n v="1025.64435404339"/>
    <n v="62393.364870973099"/>
    <n v="224616.11353550301"/>
  </r>
  <r>
    <x v="0"/>
    <x v="0"/>
    <x v="0"/>
    <x v="2"/>
    <x v="3"/>
    <s v="FinA"/>
    <x v="7"/>
    <x v="6"/>
    <s v="GHYRR_WATER"/>
    <x v="3"/>
    <x v="9"/>
    <n v="1025.64435404339"/>
    <n v="62393.364870973099"/>
    <n v="224616.11353550301"/>
  </r>
  <r>
    <x v="0"/>
    <x v="0"/>
    <x v="0"/>
    <x v="2"/>
    <x v="3"/>
    <s v="FinA"/>
    <x v="7"/>
    <x v="6"/>
    <s v="GHYRR_WATER"/>
    <x v="3"/>
    <x v="10"/>
    <n v="1025.64435404339"/>
    <n v="62393.364870973099"/>
    <n v="224616.11353550301"/>
  </r>
  <r>
    <x v="0"/>
    <x v="0"/>
    <x v="0"/>
    <x v="2"/>
    <x v="3"/>
    <s v="FinA"/>
    <x v="7"/>
    <x v="6"/>
    <s v="GHYRR_WATER"/>
    <x v="3"/>
    <x v="11"/>
    <n v="1025.64435404339"/>
    <n v="62393.364870973099"/>
    <n v="224616.11353550301"/>
  </r>
  <r>
    <x v="0"/>
    <x v="0"/>
    <x v="0"/>
    <x v="2"/>
    <x v="3"/>
    <s v="FinA"/>
    <x v="7"/>
    <x v="6"/>
    <s v="GHYRR_WATER"/>
    <x v="4"/>
    <x v="0"/>
    <n v="1104.9759615384601"/>
    <n v="67219.370993589793"/>
    <n v="241989.73557692301"/>
  </r>
  <r>
    <x v="0"/>
    <x v="0"/>
    <x v="0"/>
    <x v="2"/>
    <x v="3"/>
    <s v="FinA"/>
    <x v="7"/>
    <x v="6"/>
    <s v="GHYRR_WATER"/>
    <x v="4"/>
    <x v="1"/>
    <n v="1104.9759615384601"/>
    <n v="67219.370993589793"/>
    <n v="241989.73557692301"/>
  </r>
  <r>
    <x v="0"/>
    <x v="0"/>
    <x v="0"/>
    <x v="2"/>
    <x v="3"/>
    <s v="FinA"/>
    <x v="7"/>
    <x v="6"/>
    <s v="GHYRR_WATER"/>
    <x v="4"/>
    <x v="2"/>
    <n v="1104.9759615384601"/>
    <n v="67219.370993589793"/>
    <n v="241989.73557692301"/>
  </r>
  <r>
    <x v="0"/>
    <x v="0"/>
    <x v="0"/>
    <x v="2"/>
    <x v="3"/>
    <s v="FinA"/>
    <x v="7"/>
    <x v="6"/>
    <s v="GHYRR_WATER"/>
    <x v="4"/>
    <x v="3"/>
    <n v="1104.9759615384601"/>
    <n v="67219.370993589793"/>
    <n v="241989.73557692301"/>
  </r>
  <r>
    <x v="0"/>
    <x v="0"/>
    <x v="0"/>
    <x v="2"/>
    <x v="3"/>
    <s v="FinA"/>
    <x v="7"/>
    <x v="6"/>
    <s v="GHYRR_WATER"/>
    <x v="4"/>
    <x v="4"/>
    <n v="1104.9759615384601"/>
    <n v="67219.370993589793"/>
    <n v="241989.73557692301"/>
  </r>
  <r>
    <x v="0"/>
    <x v="0"/>
    <x v="0"/>
    <x v="2"/>
    <x v="3"/>
    <s v="FinA"/>
    <x v="7"/>
    <x v="6"/>
    <s v="GHYRR_WATER"/>
    <x v="4"/>
    <x v="5"/>
    <n v="1104.9759615384601"/>
    <n v="67219.370993589793"/>
    <n v="241989.73557692301"/>
  </r>
  <r>
    <x v="0"/>
    <x v="0"/>
    <x v="0"/>
    <x v="2"/>
    <x v="3"/>
    <s v="FinA"/>
    <x v="7"/>
    <x v="6"/>
    <s v="GHYRR_WATER"/>
    <x v="4"/>
    <x v="6"/>
    <n v="1104.9759615384601"/>
    <n v="67219.370993589793"/>
    <n v="241989.73557692301"/>
  </r>
  <r>
    <x v="0"/>
    <x v="0"/>
    <x v="0"/>
    <x v="2"/>
    <x v="3"/>
    <s v="FinA"/>
    <x v="7"/>
    <x v="6"/>
    <s v="GHYRR_WATER"/>
    <x v="4"/>
    <x v="7"/>
    <n v="1104.9759615384601"/>
    <n v="67219.370993589793"/>
    <n v="241989.73557692301"/>
  </r>
  <r>
    <x v="0"/>
    <x v="0"/>
    <x v="0"/>
    <x v="2"/>
    <x v="3"/>
    <s v="FinA"/>
    <x v="7"/>
    <x v="6"/>
    <s v="GHYRR_WATER"/>
    <x v="4"/>
    <x v="8"/>
    <n v="1104.9759615384601"/>
    <n v="67219.370993589793"/>
    <n v="241989.73557692301"/>
  </r>
  <r>
    <x v="0"/>
    <x v="0"/>
    <x v="0"/>
    <x v="2"/>
    <x v="3"/>
    <s v="FinA"/>
    <x v="7"/>
    <x v="6"/>
    <s v="GHYRR_WATER"/>
    <x v="4"/>
    <x v="9"/>
    <n v="1104.9759615384601"/>
    <n v="67219.370993589793"/>
    <n v="241989.73557692301"/>
  </r>
  <r>
    <x v="0"/>
    <x v="0"/>
    <x v="0"/>
    <x v="2"/>
    <x v="3"/>
    <s v="FinA"/>
    <x v="7"/>
    <x v="6"/>
    <s v="GHYRR_WATER"/>
    <x v="4"/>
    <x v="10"/>
    <n v="1104.9759615384601"/>
    <n v="67219.370993589793"/>
    <n v="241989.73557692301"/>
  </r>
  <r>
    <x v="0"/>
    <x v="0"/>
    <x v="0"/>
    <x v="2"/>
    <x v="3"/>
    <s v="FinA"/>
    <x v="7"/>
    <x v="6"/>
    <s v="GHYRR_WATER"/>
    <x v="4"/>
    <x v="11"/>
    <n v="1104.9759615384601"/>
    <n v="67219.370993589793"/>
    <n v="241989.73557692301"/>
  </r>
  <r>
    <x v="0"/>
    <x v="0"/>
    <x v="0"/>
    <x v="2"/>
    <x v="3"/>
    <s v="FinA"/>
    <x v="7"/>
    <x v="6"/>
    <s v="GHYRR_WATER"/>
    <x v="5"/>
    <x v="0"/>
    <n v="1042.310658139"/>
    <n v="63407.231703455604"/>
    <n v="228266.03413243999"/>
  </r>
  <r>
    <x v="0"/>
    <x v="0"/>
    <x v="0"/>
    <x v="2"/>
    <x v="3"/>
    <s v="FinA"/>
    <x v="7"/>
    <x v="6"/>
    <s v="GHYRR_WATER"/>
    <x v="5"/>
    <x v="1"/>
    <n v="1042.310658139"/>
    <n v="63407.231703455604"/>
    <n v="228266.03413243999"/>
  </r>
  <r>
    <x v="0"/>
    <x v="0"/>
    <x v="0"/>
    <x v="2"/>
    <x v="3"/>
    <s v="FinA"/>
    <x v="7"/>
    <x v="6"/>
    <s v="GHYRR_WATER"/>
    <x v="5"/>
    <x v="2"/>
    <n v="1042.310658139"/>
    <n v="63407.231703455604"/>
    <n v="228266.03413243999"/>
  </r>
  <r>
    <x v="0"/>
    <x v="0"/>
    <x v="0"/>
    <x v="2"/>
    <x v="3"/>
    <s v="FinA"/>
    <x v="7"/>
    <x v="6"/>
    <s v="GHYRR_WATER"/>
    <x v="5"/>
    <x v="3"/>
    <n v="1042.310658139"/>
    <n v="63407.231703455604"/>
    <n v="228266.03413243999"/>
  </r>
  <r>
    <x v="0"/>
    <x v="0"/>
    <x v="0"/>
    <x v="2"/>
    <x v="3"/>
    <s v="FinA"/>
    <x v="7"/>
    <x v="6"/>
    <s v="GHYRR_WATER"/>
    <x v="5"/>
    <x v="4"/>
    <n v="1042.310658139"/>
    <n v="63407.231703455604"/>
    <n v="228266.03413243999"/>
  </r>
  <r>
    <x v="0"/>
    <x v="0"/>
    <x v="0"/>
    <x v="2"/>
    <x v="3"/>
    <s v="FinA"/>
    <x v="7"/>
    <x v="6"/>
    <s v="GHYRR_WATER"/>
    <x v="5"/>
    <x v="5"/>
    <n v="1042.310658139"/>
    <n v="63407.231703455604"/>
    <n v="228266.03413243999"/>
  </r>
  <r>
    <x v="0"/>
    <x v="0"/>
    <x v="0"/>
    <x v="2"/>
    <x v="3"/>
    <s v="FinA"/>
    <x v="7"/>
    <x v="6"/>
    <s v="GHYRR_WATER"/>
    <x v="5"/>
    <x v="6"/>
    <n v="1042.310658139"/>
    <n v="63407.231703455604"/>
    <n v="228266.03413243999"/>
  </r>
  <r>
    <x v="0"/>
    <x v="0"/>
    <x v="0"/>
    <x v="2"/>
    <x v="3"/>
    <s v="FinA"/>
    <x v="7"/>
    <x v="6"/>
    <s v="GHYRR_WATER"/>
    <x v="5"/>
    <x v="7"/>
    <n v="1042.310658139"/>
    <n v="63407.231703455604"/>
    <n v="228266.03413243999"/>
  </r>
  <r>
    <x v="0"/>
    <x v="0"/>
    <x v="0"/>
    <x v="2"/>
    <x v="3"/>
    <s v="FinA"/>
    <x v="7"/>
    <x v="6"/>
    <s v="GHYRR_WATER"/>
    <x v="5"/>
    <x v="8"/>
    <n v="1042.310658139"/>
    <n v="63407.231703455604"/>
    <n v="228266.03413243999"/>
  </r>
  <r>
    <x v="0"/>
    <x v="0"/>
    <x v="0"/>
    <x v="2"/>
    <x v="3"/>
    <s v="FinA"/>
    <x v="7"/>
    <x v="6"/>
    <s v="GHYRR_WATER"/>
    <x v="5"/>
    <x v="9"/>
    <n v="1042.310658139"/>
    <n v="63407.231703455604"/>
    <n v="228266.03413243999"/>
  </r>
  <r>
    <x v="0"/>
    <x v="0"/>
    <x v="0"/>
    <x v="2"/>
    <x v="3"/>
    <s v="FinA"/>
    <x v="7"/>
    <x v="6"/>
    <s v="GHYRR_WATER"/>
    <x v="5"/>
    <x v="10"/>
    <n v="1042.310658139"/>
    <n v="63407.231703455604"/>
    <n v="228266.03413243999"/>
  </r>
  <r>
    <x v="0"/>
    <x v="0"/>
    <x v="0"/>
    <x v="2"/>
    <x v="3"/>
    <s v="FinA"/>
    <x v="7"/>
    <x v="6"/>
    <s v="GHYRR_WATER"/>
    <x v="5"/>
    <x v="11"/>
    <n v="1042.310658139"/>
    <n v="63407.231703455604"/>
    <n v="228266.03413243999"/>
  </r>
  <r>
    <x v="0"/>
    <x v="0"/>
    <x v="0"/>
    <x v="2"/>
    <x v="3"/>
    <s v="FinA"/>
    <x v="7"/>
    <x v="6"/>
    <s v="GHYRR_WATER"/>
    <x v="6"/>
    <x v="0"/>
    <n v="958.31248549715804"/>
    <n v="58297.342867743799"/>
    <n v="209870.434323878"/>
  </r>
  <r>
    <x v="0"/>
    <x v="0"/>
    <x v="0"/>
    <x v="2"/>
    <x v="3"/>
    <s v="FinA"/>
    <x v="7"/>
    <x v="6"/>
    <s v="GHYRR_WATER"/>
    <x v="6"/>
    <x v="1"/>
    <n v="958.31248549715804"/>
    <n v="58297.342867743799"/>
    <n v="209870.434323878"/>
  </r>
  <r>
    <x v="0"/>
    <x v="0"/>
    <x v="0"/>
    <x v="2"/>
    <x v="3"/>
    <s v="FinA"/>
    <x v="7"/>
    <x v="6"/>
    <s v="GHYRR_WATER"/>
    <x v="6"/>
    <x v="2"/>
    <n v="958.31248549715804"/>
    <n v="58297.342867743799"/>
    <n v="209870.434323878"/>
  </r>
  <r>
    <x v="0"/>
    <x v="0"/>
    <x v="0"/>
    <x v="2"/>
    <x v="3"/>
    <s v="FinA"/>
    <x v="7"/>
    <x v="6"/>
    <s v="GHYRR_WATER"/>
    <x v="6"/>
    <x v="3"/>
    <n v="958.31248549715804"/>
    <n v="58297.342867743799"/>
    <n v="209870.434323878"/>
  </r>
  <r>
    <x v="0"/>
    <x v="0"/>
    <x v="0"/>
    <x v="2"/>
    <x v="3"/>
    <s v="FinA"/>
    <x v="7"/>
    <x v="6"/>
    <s v="GHYRR_WATER"/>
    <x v="6"/>
    <x v="4"/>
    <n v="958.31248549715804"/>
    <n v="58297.342867743799"/>
    <n v="209870.434323878"/>
  </r>
  <r>
    <x v="0"/>
    <x v="0"/>
    <x v="0"/>
    <x v="2"/>
    <x v="3"/>
    <s v="FinA"/>
    <x v="7"/>
    <x v="6"/>
    <s v="GHYRR_WATER"/>
    <x v="6"/>
    <x v="5"/>
    <n v="958.31248549715804"/>
    <n v="58297.342867743799"/>
    <n v="209870.434323878"/>
  </r>
  <r>
    <x v="0"/>
    <x v="0"/>
    <x v="0"/>
    <x v="2"/>
    <x v="3"/>
    <s v="FinA"/>
    <x v="7"/>
    <x v="6"/>
    <s v="GHYRR_WATER"/>
    <x v="6"/>
    <x v="6"/>
    <n v="958.31248549715804"/>
    <n v="58297.342867743799"/>
    <n v="209870.434323878"/>
  </r>
  <r>
    <x v="0"/>
    <x v="0"/>
    <x v="0"/>
    <x v="2"/>
    <x v="3"/>
    <s v="FinA"/>
    <x v="7"/>
    <x v="6"/>
    <s v="GHYRR_WATER"/>
    <x v="6"/>
    <x v="7"/>
    <n v="958.31248549715804"/>
    <n v="58297.342867743799"/>
    <n v="209870.434323878"/>
  </r>
  <r>
    <x v="0"/>
    <x v="0"/>
    <x v="0"/>
    <x v="2"/>
    <x v="3"/>
    <s v="FinA"/>
    <x v="7"/>
    <x v="6"/>
    <s v="GHYRR_WATER"/>
    <x v="6"/>
    <x v="8"/>
    <n v="958.31248549715804"/>
    <n v="58297.342867743799"/>
    <n v="209870.434323878"/>
  </r>
  <r>
    <x v="0"/>
    <x v="0"/>
    <x v="0"/>
    <x v="2"/>
    <x v="3"/>
    <s v="FinA"/>
    <x v="7"/>
    <x v="6"/>
    <s v="GHYRR_WATER"/>
    <x v="6"/>
    <x v="9"/>
    <n v="958.31248549715804"/>
    <n v="58297.342867743799"/>
    <n v="209870.434323878"/>
  </r>
  <r>
    <x v="0"/>
    <x v="0"/>
    <x v="0"/>
    <x v="2"/>
    <x v="3"/>
    <s v="FinA"/>
    <x v="7"/>
    <x v="6"/>
    <s v="GHYRR_WATER"/>
    <x v="6"/>
    <x v="10"/>
    <n v="958.31248549715804"/>
    <n v="58297.342867743799"/>
    <n v="209870.434323878"/>
  </r>
  <r>
    <x v="0"/>
    <x v="0"/>
    <x v="0"/>
    <x v="2"/>
    <x v="3"/>
    <s v="FinA"/>
    <x v="7"/>
    <x v="6"/>
    <s v="GHYRR_WATER"/>
    <x v="6"/>
    <x v="11"/>
    <n v="958.31248549715804"/>
    <n v="58297.342867743799"/>
    <n v="209870.434323878"/>
  </r>
  <r>
    <x v="0"/>
    <x v="0"/>
    <x v="0"/>
    <x v="2"/>
    <x v="3"/>
    <s v="FinA"/>
    <x v="7"/>
    <x v="6"/>
    <s v="GHYRR_WATER"/>
    <x v="7"/>
    <x v="0"/>
    <n v="896.64716034342803"/>
    <n v="54546.035587558501"/>
    <n v="196365.72811521101"/>
  </r>
  <r>
    <x v="0"/>
    <x v="0"/>
    <x v="0"/>
    <x v="2"/>
    <x v="3"/>
    <s v="FinA"/>
    <x v="7"/>
    <x v="6"/>
    <s v="GHYRR_WATER"/>
    <x v="7"/>
    <x v="1"/>
    <n v="896.64716034342803"/>
    <n v="54546.035587558501"/>
    <n v="196365.72811521101"/>
  </r>
  <r>
    <x v="0"/>
    <x v="0"/>
    <x v="0"/>
    <x v="2"/>
    <x v="3"/>
    <s v="FinA"/>
    <x v="7"/>
    <x v="6"/>
    <s v="GHYRR_WATER"/>
    <x v="7"/>
    <x v="2"/>
    <n v="896.64716034342803"/>
    <n v="54546.035587558501"/>
    <n v="196365.72811521101"/>
  </r>
  <r>
    <x v="0"/>
    <x v="0"/>
    <x v="0"/>
    <x v="2"/>
    <x v="3"/>
    <s v="FinA"/>
    <x v="7"/>
    <x v="6"/>
    <s v="GHYRR_WATER"/>
    <x v="7"/>
    <x v="3"/>
    <n v="896.64716034342803"/>
    <n v="54546.035587558501"/>
    <n v="196365.72811521101"/>
  </r>
  <r>
    <x v="0"/>
    <x v="0"/>
    <x v="0"/>
    <x v="2"/>
    <x v="3"/>
    <s v="FinA"/>
    <x v="7"/>
    <x v="6"/>
    <s v="GHYRR_WATER"/>
    <x v="7"/>
    <x v="4"/>
    <n v="896.64716034342803"/>
    <n v="54546.035587558501"/>
    <n v="196365.72811521101"/>
  </r>
  <r>
    <x v="0"/>
    <x v="0"/>
    <x v="0"/>
    <x v="2"/>
    <x v="3"/>
    <s v="FinA"/>
    <x v="7"/>
    <x v="6"/>
    <s v="GHYRR_WATER"/>
    <x v="7"/>
    <x v="5"/>
    <n v="896.64716034342803"/>
    <n v="54546.035587558501"/>
    <n v="196365.72811521101"/>
  </r>
  <r>
    <x v="0"/>
    <x v="0"/>
    <x v="0"/>
    <x v="2"/>
    <x v="3"/>
    <s v="FinA"/>
    <x v="7"/>
    <x v="6"/>
    <s v="GHYRR_WATER"/>
    <x v="7"/>
    <x v="6"/>
    <n v="896.64716034342803"/>
    <n v="54546.035587558501"/>
    <n v="196365.72811521101"/>
  </r>
  <r>
    <x v="0"/>
    <x v="0"/>
    <x v="0"/>
    <x v="2"/>
    <x v="3"/>
    <s v="FinA"/>
    <x v="7"/>
    <x v="6"/>
    <s v="GHYRR_WATER"/>
    <x v="7"/>
    <x v="7"/>
    <n v="896.64716034342803"/>
    <n v="54546.035587558501"/>
    <n v="196365.72811521101"/>
  </r>
  <r>
    <x v="0"/>
    <x v="0"/>
    <x v="0"/>
    <x v="2"/>
    <x v="3"/>
    <s v="FinA"/>
    <x v="7"/>
    <x v="6"/>
    <s v="GHYRR_WATER"/>
    <x v="7"/>
    <x v="8"/>
    <n v="896.64716034342803"/>
    <n v="54546.035587558501"/>
    <n v="196365.72811521101"/>
  </r>
  <r>
    <x v="0"/>
    <x v="0"/>
    <x v="0"/>
    <x v="2"/>
    <x v="3"/>
    <s v="FinA"/>
    <x v="7"/>
    <x v="6"/>
    <s v="GHYRR_WATER"/>
    <x v="7"/>
    <x v="9"/>
    <n v="896.64716034342803"/>
    <n v="54546.035587558501"/>
    <n v="196365.72811521101"/>
  </r>
  <r>
    <x v="0"/>
    <x v="0"/>
    <x v="0"/>
    <x v="2"/>
    <x v="3"/>
    <s v="FinA"/>
    <x v="7"/>
    <x v="6"/>
    <s v="GHYRR_WATER"/>
    <x v="7"/>
    <x v="10"/>
    <n v="896.64716034342803"/>
    <n v="54546.035587558501"/>
    <n v="196365.72811521101"/>
  </r>
  <r>
    <x v="0"/>
    <x v="0"/>
    <x v="0"/>
    <x v="2"/>
    <x v="3"/>
    <s v="FinA"/>
    <x v="7"/>
    <x v="6"/>
    <s v="GHYRR_WATER"/>
    <x v="7"/>
    <x v="11"/>
    <n v="896.64716034342803"/>
    <n v="54546.035587558501"/>
    <n v="196365.72811521101"/>
  </r>
  <r>
    <x v="0"/>
    <x v="0"/>
    <x v="0"/>
    <x v="2"/>
    <x v="3"/>
    <s v="FinA"/>
    <x v="7"/>
    <x v="6"/>
    <s v="GHYRR_WATER"/>
    <x v="8"/>
    <x v="0"/>
    <n v="910.31352970182195"/>
    <n v="55377.406390194199"/>
    <n v="199358.66300469899"/>
  </r>
  <r>
    <x v="0"/>
    <x v="0"/>
    <x v="0"/>
    <x v="2"/>
    <x v="3"/>
    <s v="FinA"/>
    <x v="7"/>
    <x v="6"/>
    <s v="GHYRR_WATER"/>
    <x v="8"/>
    <x v="1"/>
    <n v="910.31352970182195"/>
    <n v="55377.406390194199"/>
    <n v="199358.66300469899"/>
  </r>
  <r>
    <x v="0"/>
    <x v="0"/>
    <x v="0"/>
    <x v="2"/>
    <x v="3"/>
    <s v="FinA"/>
    <x v="7"/>
    <x v="6"/>
    <s v="GHYRR_WATER"/>
    <x v="8"/>
    <x v="2"/>
    <n v="910.31352970182195"/>
    <n v="55377.406390194199"/>
    <n v="199358.66300469899"/>
  </r>
  <r>
    <x v="0"/>
    <x v="0"/>
    <x v="0"/>
    <x v="2"/>
    <x v="3"/>
    <s v="FinA"/>
    <x v="7"/>
    <x v="6"/>
    <s v="GHYRR_WATER"/>
    <x v="8"/>
    <x v="3"/>
    <n v="910.31352970182195"/>
    <n v="55377.406390194199"/>
    <n v="199358.66300469899"/>
  </r>
  <r>
    <x v="0"/>
    <x v="0"/>
    <x v="0"/>
    <x v="2"/>
    <x v="3"/>
    <s v="FinA"/>
    <x v="7"/>
    <x v="6"/>
    <s v="GHYRR_WATER"/>
    <x v="8"/>
    <x v="4"/>
    <n v="910.31352970182195"/>
    <n v="55377.406390194199"/>
    <n v="199358.66300469899"/>
  </r>
  <r>
    <x v="0"/>
    <x v="0"/>
    <x v="0"/>
    <x v="2"/>
    <x v="3"/>
    <s v="FinA"/>
    <x v="7"/>
    <x v="6"/>
    <s v="GHYRR_WATER"/>
    <x v="8"/>
    <x v="5"/>
    <n v="910.31352970182195"/>
    <n v="55377.406390194199"/>
    <n v="199358.66300469899"/>
  </r>
  <r>
    <x v="0"/>
    <x v="0"/>
    <x v="0"/>
    <x v="2"/>
    <x v="3"/>
    <s v="FinA"/>
    <x v="7"/>
    <x v="6"/>
    <s v="GHYRR_WATER"/>
    <x v="8"/>
    <x v="6"/>
    <n v="910.31352970182195"/>
    <n v="55377.406390194199"/>
    <n v="199358.66300469899"/>
  </r>
  <r>
    <x v="0"/>
    <x v="0"/>
    <x v="0"/>
    <x v="2"/>
    <x v="3"/>
    <s v="FinA"/>
    <x v="7"/>
    <x v="6"/>
    <s v="GHYRR_WATER"/>
    <x v="8"/>
    <x v="7"/>
    <n v="910.31352970182195"/>
    <n v="55377.406390194199"/>
    <n v="199358.66300469899"/>
  </r>
  <r>
    <x v="0"/>
    <x v="0"/>
    <x v="0"/>
    <x v="2"/>
    <x v="3"/>
    <s v="FinA"/>
    <x v="7"/>
    <x v="6"/>
    <s v="GHYRR_WATER"/>
    <x v="8"/>
    <x v="8"/>
    <n v="910.31352970182195"/>
    <n v="55377.406390194199"/>
    <n v="199358.66300469899"/>
  </r>
  <r>
    <x v="0"/>
    <x v="0"/>
    <x v="0"/>
    <x v="2"/>
    <x v="3"/>
    <s v="FinA"/>
    <x v="7"/>
    <x v="6"/>
    <s v="GHYRR_WATER"/>
    <x v="8"/>
    <x v="9"/>
    <n v="910.31352970182195"/>
    <n v="55377.406390194199"/>
    <n v="199358.66300469899"/>
  </r>
  <r>
    <x v="0"/>
    <x v="0"/>
    <x v="0"/>
    <x v="2"/>
    <x v="3"/>
    <s v="FinA"/>
    <x v="7"/>
    <x v="6"/>
    <s v="GHYRR_WATER"/>
    <x v="8"/>
    <x v="10"/>
    <n v="910.31352970182195"/>
    <n v="55377.406390194199"/>
    <n v="199358.66300469899"/>
  </r>
  <r>
    <x v="0"/>
    <x v="0"/>
    <x v="0"/>
    <x v="2"/>
    <x v="3"/>
    <s v="FinA"/>
    <x v="7"/>
    <x v="6"/>
    <s v="GHYRR_WATER"/>
    <x v="8"/>
    <x v="11"/>
    <n v="910.31352970182195"/>
    <n v="55377.406390194199"/>
    <n v="199358.66300469899"/>
  </r>
  <r>
    <x v="0"/>
    <x v="0"/>
    <x v="0"/>
    <x v="2"/>
    <x v="3"/>
    <s v="FinA"/>
    <x v="7"/>
    <x v="6"/>
    <s v="GHYRR_WATER"/>
    <x v="9"/>
    <x v="0"/>
    <n v="985.97855029585799"/>
    <n v="59980.361809664697"/>
    <n v="215929.302514793"/>
  </r>
  <r>
    <x v="0"/>
    <x v="0"/>
    <x v="0"/>
    <x v="2"/>
    <x v="3"/>
    <s v="FinA"/>
    <x v="7"/>
    <x v="6"/>
    <s v="GHYRR_WATER"/>
    <x v="9"/>
    <x v="1"/>
    <n v="985.97855029585799"/>
    <n v="59980.361809664697"/>
    <n v="215929.302514793"/>
  </r>
  <r>
    <x v="0"/>
    <x v="0"/>
    <x v="0"/>
    <x v="2"/>
    <x v="3"/>
    <s v="FinA"/>
    <x v="7"/>
    <x v="6"/>
    <s v="GHYRR_WATER"/>
    <x v="9"/>
    <x v="2"/>
    <n v="985.97855029585799"/>
    <n v="59980.361809664697"/>
    <n v="215929.302514793"/>
  </r>
  <r>
    <x v="0"/>
    <x v="0"/>
    <x v="0"/>
    <x v="2"/>
    <x v="3"/>
    <s v="FinA"/>
    <x v="7"/>
    <x v="6"/>
    <s v="GHYRR_WATER"/>
    <x v="9"/>
    <x v="3"/>
    <n v="985.97855029585799"/>
    <n v="59980.361809664697"/>
    <n v="215929.302514793"/>
  </r>
  <r>
    <x v="0"/>
    <x v="0"/>
    <x v="0"/>
    <x v="2"/>
    <x v="3"/>
    <s v="FinA"/>
    <x v="7"/>
    <x v="6"/>
    <s v="GHYRR_WATER"/>
    <x v="9"/>
    <x v="4"/>
    <n v="985.97855029585799"/>
    <n v="59980.361809664697"/>
    <n v="215929.302514793"/>
  </r>
  <r>
    <x v="0"/>
    <x v="0"/>
    <x v="0"/>
    <x v="2"/>
    <x v="3"/>
    <s v="FinA"/>
    <x v="7"/>
    <x v="6"/>
    <s v="GHYRR_WATER"/>
    <x v="9"/>
    <x v="5"/>
    <n v="985.97855029585799"/>
    <n v="59980.361809664697"/>
    <n v="215929.302514793"/>
  </r>
  <r>
    <x v="0"/>
    <x v="0"/>
    <x v="0"/>
    <x v="2"/>
    <x v="3"/>
    <s v="FinA"/>
    <x v="7"/>
    <x v="6"/>
    <s v="GHYRR_WATER"/>
    <x v="9"/>
    <x v="6"/>
    <n v="985.97855029585799"/>
    <n v="59980.361809664697"/>
    <n v="215929.302514793"/>
  </r>
  <r>
    <x v="0"/>
    <x v="0"/>
    <x v="0"/>
    <x v="2"/>
    <x v="3"/>
    <s v="FinA"/>
    <x v="7"/>
    <x v="6"/>
    <s v="GHYRR_WATER"/>
    <x v="9"/>
    <x v="7"/>
    <n v="985.97855029585799"/>
    <n v="59980.361809664697"/>
    <n v="215929.302514793"/>
  </r>
  <r>
    <x v="0"/>
    <x v="0"/>
    <x v="0"/>
    <x v="2"/>
    <x v="3"/>
    <s v="FinA"/>
    <x v="7"/>
    <x v="6"/>
    <s v="GHYRR_WATER"/>
    <x v="9"/>
    <x v="8"/>
    <n v="985.97855029585799"/>
    <n v="59980.361809664697"/>
    <n v="215929.302514793"/>
  </r>
  <r>
    <x v="0"/>
    <x v="0"/>
    <x v="0"/>
    <x v="2"/>
    <x v="3"/>
    <s v="FinA"/>
    <x v="7"/>
    <x v="6"/>
    <s v="GHYRR_WATER"/>
    <x v="9"/>
    <x v="9"/>
    <n v="985.97855029585799"/>
    <n v="59980.361809664697"/>
    <n v="215929.302514793"/>
  </r>
  <r>
    <x v="0"/>
    <x v="0"/>
    <x v="0"/>
    <x v="2"/>
    <x v="3"/>
    <s v="FinA"/>
    <x v="7"/>
    <x v="6"/>
    <s v="GHYRR_WATER"/>
    <x v="9"/>
    <x v="10"/>
    <n v="985.97855029585799"/>
    <n v="59980.361809664697"/>
    <n v="215929.302514793"/>
  </r>
  <r>
    <x v="0"/>
    <x v="0"/>
    <x v="0"/>
    <x v="2"/>
    <x v="3"/>
    <s v="FinA"/>
    <x v="7"/>
    <x v="6"/>
    <s v="GHYRR_WATER"/>
    <x v="9"/>
    <x v="11"/>
    <n v="985.97855029585799"/>
    <n v="59980.361809664697"/>
    <n v="215929.302514793"/>
  </r>
  <r>
    <x v="0"/>
    <x v="0"/>
    <x v="0"/>
    <x v="2"/>
    <x v="3"/>
    <s v="FinA"/>
    <x v="7"/>
    <x v="6"/>
    <s v="GHYRR_WATER"/>
    <x v="10"/>
    <x v="0"/>
    <n v="897.31381250725201"/>
    <n v="54586.590260857804"/>
    <n v="196511.72493908799"/>
  </r>
  <r>
    <x v="0"/>
    <x v="0"/>
    <x v="0"/>
    <x v="2"/>
    <x v="3"/>
    <s v="FinA"/>
    <x v="7"/>
    <x v="6"/>
    <s v="GHYRR_WATER"/>
    <x v="10"/>
    <x v="1"/>
    <n v="897.31381250725201"/>
    <n v="54586.590260857804"/>
    <n v="196511.72493908799"/>
  </r>
  <r>
    <x v="0"/>
    <x v="0"/>
    <x v="0"/>
    <x v="2"/>
    <x v="3"/>
    <s v="FinA"/>
    <x v="7"/>
    <x v="6"/>
    <s v="GHYRR_WATER"/>
    <x v="10"/>
    <x v="2"/>
    <n v="897.31381250725201"/>
    <n v="54586.590260857804"/>
    <n v="196511.72493908799"/>
  </r>
  <r>
    <x v="0"/>
    <x v="0"/>
    <x v="0"/>
    <x v="2"/>
    <x v="3"/>
    <s v="FinA"/>
    <x v="7"/>
    <x v="6"/>
    <s v="GHYRR_WATER"/>
    <x v="10"/>
    <x v="3"/>
    <n v="897.31381250725201"/>
    <n v="54586.590260857804"/>
    <n v="196511.72493908799"/>
  </r>
  <r>
    <x v="0"/>
    <x v="0"/>
    <x v="0"/>
    <x v="2"/>
    <x v="3"/>
    <s v="FinA"/>
    <x v="7"/>
    <x v="6"/>
    <s v="GHYRR_WATER"/>
    <x v="10"/>
    <x v="4"/>
    <n v="897.31381250725201"/>
    <n v="54586.590260857804"/>
    <n v="196511.72493908799"/>
  </r>
  <r>
    <x v="0"/>
    <x v="0"/>
    <x v="0"/>
    <x v="2"/>
    <x v="3"/>
    <s v="FinA"/>
    <x v="7"/>
    <x v="6"/>
    <s v="GHYRR_WATER"/>
    <x v="10"/>
    <x v="5"/>
    <n v="897.31381250725201"/>
    <n v="54586.590260857804"/>
    <n v="196511.72493908799"/>
  </r>
  <r>
    <x v="0"/>
    <x v="0"/>
    <x v="0"/>
    <x v="2"/>
    <x v="3"/>
    <s v="FinA"/>
    <x v="7"/>
    <x v="6"/>
    <s v="GHYRR_WATER"/>
    <x v="10"/>
    <x v="6"/>
    <n v="897.31381250725201"/>
    <n v="54586.590260857804"/>
    <n v="196511.72493908799"/>
  </r>
  <r>
    <x v="0"/>
    <x v="0"/>
    <x v="0"/>
    <x v="2"/>
    <x v="3"/>
    <s v="FinA"/>
    <x v="7"/>
    <x v="6"/>
    <s v="GHYRR_WATER"/>
    <x v="10"/>
    <x v="7"/>
    <n v="897.31381250725201"/>
    <n v="54586.590260857804"/>
    <n v="196511.72493908799"/>
  </r>
  <r>
    <x v="0"/>
    <x v="0"/>
    <x v="0"/>
    <x v="2"/>
    <x v="3"/>
    <s v="FinA"/>
    <x v="7"/>
    <x v="6"/>
    <s v="GHYRR_WATER"/>
    <x v="10"/>
    <x v="8"/>
    <n v="897.31381250725201"/>
    <n v="54586.590260857804"/>
    <n v="196511.72493908799"/>
  </r>
  <r>
    <x v="0"/>
    <x v="0"/>
    <x v="0"/>
    <x v="2"/>
    <x v="3"/>
    <s v="FinA"/>
    <x v="7"/>
    <x v="6"/>
    <s v="GHYRR_WATER"/>
    <x v="10"/>
    <x v="9"/>
    <n v="897.31381250725201"/>
    <n v="54586.590260857804"/>
    <n v="196511.72493908799"/>
  </r>
  <r>
    <x v="0"/>
    <x v="0"/>
    <x v="0"/>
    <x v="2"/>
    <x v="3"/>
    <s v="FinA"/>
    <x v="7"/>
    <x v="6"/>
    <s v="GHYRR_WATER"/>
    <x v="10"/>
    <x v="10"/>
    <n v="897.31381250725201"/>
    <n v="54586.590260857804"/>
    <n v="196511.72493908799"/>
  </r>
  <r>
    <x v="0"/>
    <x v="0"/>
    <x v="0"/>
    <x v="2"/>
    <x v="3"/>
    <s v="FinA"/>
    <x v="7"/>
    <x v="6"/>
    <s v="GHYRR_WATER"/>
    <x v="10"/>
    <x v="11"/>
    <n v="897.31381250725201"/>
    <n v="54586.590260857804"/>
    <n v="196511.72493908799"/>
  </r>
  <r>
    <x v="0"/>
    <x v="0"/>
    <x v="0"/>
    <x v="2"/>
    <x v="3"/>
    <s v="FinA"/>
    <x v="7"/>
    <x v="6"/>
    <s v="GHYRR_WATER"/>
    <x v="11"/>
    <x v="0"/>
    <n v="886.980703967978"/>
    <n v="53957.992824718698"/>
    <n v="194248.774168987"/>
  </r>
  <r>
    <x v="0"/>
    <x v="0"/>
    <x v="0"/>
    <x v="2"/>
    <x v="3"/>
    <s v="FinA"/>
    <x v="7"/>
    <x v="6"/>
    <s v="GHYRR_WATER"/>
    <x v="11"/>
    <x v="1"/>
    <n v="886.980703967978"/>
    <n v="53957.992824718698"/>
    <n v="194248.774168987"/>
  </r>
  <r>
    <x v="0"/>
    <x v="0"/>
    <x v="0"/>
    <x v="2"/>
    <x v="3"/>
    <s v="FinA"/>
    <x v="7"/>
    <x v="6"/>
    <s v="GHYRR_WATER"/>
    <x v="11"/>
    <x v="2"/>
    <n v="886.980703967978"/>
    <n v="53957.992824718698"/>
    <n v="194248.774168987"/>
  </r>
  <r>
    <x v="0"/>
    <x v="0"/>
    <x v="0"/>
    <x v="2"/>
    <x v="3"/>
    <s v="FinA"/>
    <x v="7"/>
    <x v="6"/>
    <s v="GHYRR_WATER"/>
    <x v="11"/>
    <x v="3"/>
    <n v="886.980703967978"/>
    <n v="53957.992824718698"/>
    <n v="194248.774168987"/>
  </r>
  <r>
    <x v="0"/>
    <x v="0"/>
    <x v="0"/>
    <x v="2"/>
    <x v="3"/>
    <s v="FinA"/>
    <x v="7"/>
    <x v="6"/>
    <s v="GHYRR_WATER"/>
    <x v="11"/>
    <x v="4"/>
    <n v="886.980703967978"/>
    <n v="53957.992824718698"/>
    <n v="194248.774168987"/>
  </r>
  <r>
    <x v="0"/>
    <x v="0"/>
    <x v="0"/>
    <x v="2"/>
    <x v="3"/>
    <s v="FinA"/>
    <x v="7"/>
    <x v="6"/>
    <s v="GHYRR_WATER"/>
    <x v="11"/>
    <x v="5"/>
    <n v="886.980703967978"/>
    <n v="53957.992824718698"/>
    <n v="194248.774168987"/>
  </r>
  <r>
    <x v="0"/>
    <x v="0"/>
    <x v="0"/>
    <x v="2"/>
    <x v="3"/>
    <s v="FinA"/>
    <x v="7"/>
    <x v="6"/>
    <s v="GHYRR_WATER"/>
    <x v="11"/>
    <x v="6"/>
    <n v="886.980703967978"/>
    <n v="53957.992824718698"/>
    <n v="194248.774168987"/>
  </r>
  <r>
    <x v="0"/>
    <x v="0"/>
    <x v="0"/>
    <x v="2"/>
    <x v="3"/>
    <s v="FinA"/>
    <x v="7"/>
    <x v="6"/>
    <s v="GHYRR_WATER"/>
    <x v="11"/>
    <x v="7"/>
    <n v="886.980703967978"/>
    <n v="53957.992824718698"/>
    <n v="194248.774168987"/>
  </r>
  <r>
    <x v="0"/>
    <x v="0"/>
    <x v="0"/>
    <x v="2"/>
    <x v="3"/>
    <s v="FinA"/>
    <x v="7"/>
    <x v="6"/>
    <s v="GHYRR_WATER"/>
    <x v="11"/>
    <x v="8"/>
    <n v="886.980703967978"/>
    <n v="53957.992824718698"/>
    <n v="194248.774168987"/>
  </r>
  <r>
    <x v="0"/>
    <x v="0"/>
    <x v="0"/>
    <x v="2"/>
    <x v="3"/>
    <s v="FinA"/>
    <x v="7"/>
    <x v="6"/>
    <s v="GHYRR_WATER"/>
    <x v="11"/>
    <x v="9"/>
    <n v="886.980703967978"/>
    <n v="53957.992824718698"/>
    <n v="194248.774168987"/>
  </r>
  <r>
    <x v="0"/>
    <x v="0"/>
    <x v="0"/>
    <x v="2"/>
    <x v="3"/>
    <s v="FinA"/>
    <x v="7"/>
    <x v="6"/>
    <s v="GHYRR_WATER"/>
    <x v="11"/>
    <x v="10"/>
    <n v="886.980703967978"/>
    <n v="53957.992824718698"/>
    <n v="194248.774168987"/>
  </r>
  <r>
    <x v="0"/>
    <x v="0"/>
    <x v="0"/>
    <x v="2"/>
    <x v="3"/>
    <s v="FinA"/>
    <x v="7"/>
    <x v="6"/>
    <s v="GHYRR_WATER"/>
    <x v="11"/>
    <x v="11"/>
    <n v="886.980703967978"/>
    <n v="53957.992824718698"/>
    <n v="194248.774168987"/>
  </r>
  <r>
    <x v="0"/>
    <x v="0"/>
    <x v="0"/>
    <x v="2"/>
    <x v="3"/>
    <s v="FinA"/>
    <x v="7"/>
    <x v="7"/>
    <s v="GHYRS_WATER"/>
    <x v="4"/>
    <x v="0"/>
    <n v="1569.5"/>
    <n v="95477.916666666701"/>
    <n v="343720.5"/>
  </r>
  <r>
    <x v="0"/>
    <x v="0"/>
    <x v="0"/>
    <x v="2"/>
    <x v="3"/>
    <s v="FinA"/>
    <x v="7"/>
    <x v="7"/>
    <s v="GHYRS_WATER"/>
    <x v="4"/>
    <x v="1"/>
    <n v="1569.5"/>
    <n v="95477.916666666701"/>
    <n v="343720.5"/>
  </r>
  <r>
    <x v="0"/>
    <x v="0"/>
    <x v="0"/>
    <x v="2"/>
    <x v="3"/>
    <s v="FinA"/>
    <x v="7"/>
    <x v="7"/>
    <s v="GHYRS_WATER"/>
    <x v="4"/>
    <x v="2"/>
    <n v="1569.5"/>
    <n v="95477.916666666701"/>
    <n v="343720.5"/>
  </r>
  <r>
    <x v="0"/>
    <x v="0"/>
    <x v="0"/>
    <x v="2"/>
    <x v="3"/>
    <s v="FinA"/>
    <x v="7"/>
    <x v="7"/>
    <s v="GHYRS_WATER"/>
    <x v="4"/>
    <x v="3"/>
    <n v="1569.5"/>
    <n v="95477.916666666701"/>
    <n v="343720.5"/>
  </r>
  <r>
    <x v="0"/>
    <x v="0"/>
    <x v="0"/>
    <x v="2"/>
    <x v="3"/>
    <s v="FinA"/>
    <x v="7"/>
    <x v="7"/>
    <s v="GHYRS_WATER"/>
    <x v="4"/>
    <x v="4"/>
    <n v="1569.5"/>
    <n v="95477.916666666701"/>
    <n v="343720.5"/>
  </r>
  <r>
    <x v="0"/>
    <x v="0"/>
    <x v="0"/>
    <x v="2"/>
    <x v="3"/>
    <s v="FinA"/>
    <x v="7"/>
    <x v="7"/>
    <s v="GHYRS_WATER"/>
    <x v="4"/>
    <x v="5"/>
    <n v="1569.5"/>
    <n v="95477.916666666701"/>
    <n v="343720.5"/>
  </r>
  <r>
    <x v="0"/>
    <x v="0"/>
    <x v="0"/>
    <x v="2"/>
    <x v="3"/>
    <s v="FinA"/>
    <x v="7"/>
    <x v="7"/>
    <s v="GHYRS_WATER"/>
    <x v="4"/>
    <x v="6"/>
    <n v="1569.5"/>
    <n v="95477.916666666701"/>
    <n v="343720.5"/>
  </r>
  <r>
    <x v="0"/>
    <x v="0"/>
    <x v="0"/>
    <x v="2"/>
    <x v="3"/>
    <s v="FinA"/>
    <x v="7"/>
    <x v="7"/>
    <s v="GHYRS_WATER"/>
    <x v="4"/>
    <x v="7"/>
    <n v="1569.5"/>
    <n v="95477.916666666701"/>
    <n v="343720.5"/>
  </r>
  <r>
    <x v="0"/>
    <x v="0"/>
    <x v="0"/>
    <x v="2"/>
    <x v="3"/>
    <s v="FinA"/>
    <x v="7"/>
    <x v="7"/>
    <s v="GHYRS_WATER"/>
    <x v="4"/>
    <x v="8"/>
    <n v="1569.5"/>
    <n v="95477.916666666701"/>
    <n v="343720.5"/>
  </r>
  <r>
    <x v="0"/>
    <x v="0"/>
    <x v="0"/>
    <x v="2"/>
    <x v="3"/>
    <s v="FinA"/>
    <x v="7"/>
    <x v="7"/>
    <s v="GHYRS_WATER"/>
    <x v="4"/>
    <x v="9"/>
    <n v="1569.5"/>
    <n v="95477.916666666701"/>
    <n v="343720.5"/>
  </r>
  <r>
    <x v="0"/>
    <x v="0"/>
    <x v="0"/>
    <x v="2"/>
    <x v="3"/>
    <s v="FinA"/>
    <x v="7"/>
    <x v="7"/>
    <s v="GHYRS_WATER"/>
    <x v="4"/>
    <x v="10"/>
    <n v="1569.5"/>
    <n v="95477.916666666701"/>
    <n v="343720.5"/>
  </r>
  <r>
    <x v="0"/>
    <x v="0"/>
    <x v="0"/>
    <x v="2"/>
    <x v="3"/>
    <s v="FinA"/>
    <x v="7"/>
    <x v="7"/>
    <s v="GHYRS_WATER"/>
    <x v="4"/>
    <x v="11"/>
    <n v="1569.5"/>
    <n v="95477.916666666701"/>
    <n v="343720.5"/>
  </r>
  <r>
    <x v="0"/>
    <x v="0"/>
    <x v="0"/>
    <x v="2"/>
    <x v="3"/>
    <s v="FinA"/>
    <x v="7"/>
    <x v="7"/>
    <s v="GHYRS_WATER"/>
    <x v="5"/>
    <x v="0"/>
    <n v="1569.5"/>
    <n v="95477.916666666701"/>
    <n v="343720.5"/>
  </r>
  <r>
    <x v="0"/>
    <x v="0"/>
    <x v="0"/>
    <x v="2"/>
    <x v="3"/>
    <s v="FinA"/>
    <x v="7"/>
    <x v="7"/>
    <s v="GHYRS_WATER"/>
    <x v="5"/>
    <x v="1"/>
    <n v="1569.5"/>
    <n v="95477.916666666701"/>
    <n v="343720.5"/>
  </r>
  <r>
    <x v="0"/>
    <x v="0"/>
    <x v="0"/>
    <x v="2"/>
    <x v="3"/>
    <s v="FinA"/>
    <x v="7"/>
    <x v="7"/>
    <s v="GHYRS_WATER"/>
    <x v="5"/>
    <x v="2"/>
    <n v="1569.5"/>
    <n v="95477.916666666701"/>
    <n v="343720.5"/>
  </r>
  <r>
    <x v="0"/>
    <x v="0"/>
    <x v="0"/>
    <x v="2"/>
    <x v="3"/>
    <s v="FinA"/>
    <x v="7"/>
    <x v="7"/>
    <s v="GHYRS_WATER"/>
    <x v="5"/>
    <x v="3"/>
    <n v="1569.5"/>
    <n v="95477.916666666701"/>
    <n v="343720.5"/>
  </r>
  <r>
    <x v="0"/>
    <x v="0"/>
    <x v="0"/>
    <x v="2"/>
    <x v="3"/>
    <s v="FinA"/>
    <x v="7"/>
    <x v="7"/>
    <s v="GHYRS_WATER"/>
    <x v="5"/>
    <x v="4"/>
    <n v="1569.5"/>
    <n v="95477.916666666701"/>
    <n v="343720.5"/>
  </r>
  <r>
    <x v="0"/>
    <x v="0"/>
    <x v="0"/>
    <x v="2"/>
    <x v="3"/>
    <s v="FinA"/>
    <x v="7"/>
    <x v="7"/>
    <s v="GHYRS_WATER"/>
    <x v="5"/>
    <x v="5"/>
    <n v="1569.5"/>
    <n v="95477.916666666701"/>
    <n v="343720.5"/>
  </r>
  <r>
    <x v="0"/>
    <x v="0"/>
    <x v="0"/>
    <x v="2"/>
    <x v="3"/>
    <s v="FinA"/>
    <x v="7"/>
    <x v="7"/>
    <s v="GHYRS_WATER"/>
    <x v="5"/>
    <x v="6"/>
    <n v="1569.5"/>
    <n v="95477.916666666701"/>
    <n v="343720.5"/>
  </r>
  <r>
    <x v="0"/>
    <x v="0"/>
    <x v="0"/>
    <x v="2"/>
    <x v="3"/>
    <s v="FinA"/>
    <x v="7"/>
    <x v="7"/>
    <s v="GHYRS_WATER"/>
    <x v="5"/>
    <x v="7"/>
    <n v="1569.5"/>
    <n v="95477.916666666701"/>
    <n v="343720.5"/>
  </r>
  <r>
    <x v="0"/>
    <x v="0"/>
    <x v="0"/>
    <x v="2"/>
    <x v="3"/>
    <s v="FinA"/>
    <x v="7"/>
    <x v="7"/>
    <s v="GHYRS_WATER"/>
    <x v="5"/>
    <x v="8"/>
    <n v="1569.5"/>
    <n v="95477.916666666701"/>
    <n v="343720.5"/>
  </r>
  <r>
    <x v="0"/>
    <x v="0"/>
    <x v="0"/>
    <x v="2"/>
    <x v="3"/>
    <s v="FinA"/>
    <x v="7"/>
    <x v="7"/>
    <s v="GHYRS_WATER"/>
    <x v="5"/>
    <x v="9"/>
    <n v="1569.5"/>
    <n v="95477.916666666701"/>
    <n v="343720.5"/>
  </r>
  <r>
    <x v="0"/>
    <x v="0"/>
    <x v="0"/>
    <x v="2"/>
    <x v="3"/>
    <s v="FinA"/>
    <x v="7"/>
    <x v="7"/>
    <s v="GHYRS_WATER"/>
    <x v="5"/>
    <x v="10"/>
    <n v="1569.5"/>
    <n v="95477.916666666701"/>
    <n v="343720.5"/>
  </r>
  <r>
    <x v="0"/>
    <x v="0"/>
    <x v="0"/>
    <x v="2"/>
    <x v="3"/>
    <s v="FinA"/>
    <x v="7"/>
    <x v="7"/>
    <s v="GHYRS_WATER"/>
    <x v="5"/>
    <x v="11"/>
    <n v="1569.5"/>
    <n v="95477.916666666701"/>
    <n v="343720.5"/>
  </r>
  <r>
    <x v="0"/>
    <x v="0"/>
    <x v="0"/>
    <x v="2"/>
    <x v="3"/>
    <s v="FinA"/>
    <x v="7"/>
    <x v="7"/>
    <s v="GHYRS_WATER"/>
    <x v="6"/>
    <x v="0"/>
    <n v="1569.5"/>
    <n v="95477.916666666701"/>
    <n v="343720.5"/>
  </r>
  <r>
    <x v="0"/>
    <x v="0"/>
    <x v="0"/>
    <x v="2"/>
    <x v="3"/>
    <s v="FinA"/>
    <x v="7"/>
    <x v="7"/>
    <s v="GHYRS_WATER"/>
    <x v="6"/>
    <x v="1"/>
    <n v="1569.5"/>
    <n v="95477.916666666701"/>
    <n v="343720.5"/>
  </r>
  <r>
    <x v="0"/>
    <x v="0"/>
    <x v="0"/>
    <x v="2"/>
    <x v="3"/>
    <s v="FinA"/>
    <x v="7"/>
    <x v="7"/>
    <s v="GHYRS_WATER"/>
    <x v="6"/>
    <x v="2"/>
    <n v="1569.5"/>
    <n v="95477.916666666701"/>
    <n v="343720.5"/>
  </r>
  <r>
    <x v="0"/>
    <x v="0"/>
    <x v="0"/>
    <x v="2"/>
    <x v="3"/>
    <s v="FinA"/>
    <x v="7"/>
    <x v="7"/>
    <s v="GHYRS_WATER"/>
    <x v="6"/>
    <x v="3"/>
    <n v="1569.5"/>
    <n v="95477.916666666701"/>
    <n v="343720.5"/>
  </r>
  <r>
    <x v="0"/>
    <x v="0"/>
    <x v="0"/>
    <x v="2"/>
    <x v="3"/>
    <s v="FinA"/>
    <x v="7"/>
    <x v="7"/>
    <s v="GHYRS_WATER"/>
    <x v="6"/>
    <x v="4"/>
    <n v="1569.5"/>
    <n v="95477.916666666701"/>
    <n v="343720.5"/>
  </r>
  <r>
    <x v="0"/>
    <x v="0"/>
    <x v="0"/>
    <x v="2"/>
    <x v="3"/>
    <s v="FinA"/>
    <x v="7"/>
    <x v="7"/>
    <s v="GHYRS_WATER"/>
    <x v="6"/>
    <x v="5"/>
    <n v="1569.5"/>
    <n v="95477.916666666701"/>
    <n v="343720.5"/>
  </r>
  <r>
    <x v="0"/>
    <x v="0"/>
    <x v="0"/>
    <x v="2"/>
    <x v="3"/>
    <s v="FinA"/>
    <x v="7"/>
    <x v="7"/>
    <s v="GHYRS_WATER"/>
    <x v="6"/>
    <x v="6"/>
    <n v="1569.5"/>
    <n v="95477.916666666701"/>
    <n v="343720.5"/>
  </r>
  <r>
    <x v="0"/>
    <x v="0"/>
    <x v="0"/>
    <x v="2"/>
    <x v="3"/>
    <s v="FinA"/>
    <x v="7"/>
    <x v="7"/>
    <s v="GHYRS_WATER"/>
    <x v="6"/>
    <x v="7"/>
    <n v="1569.5"/>
    <n v="95477.916666666701"/>
    <n v="343720.5"/>
  </r>
  <r>
    <x v="0"/>
    <x v="0"/>
    <x v="0"/>
    <x v="2"/>
    <x v="3"/>
    <s v="FinA"/>
    <x v="7"/>
    <x v="7"/>
    <s v="GHYRS_WATER"/>
    <x v="6"/>
    <x v="8"/>
    <n v="1569.5"/>
    <n v="95477.916666666701"/>
    <n v="343720.5"/>
  </r>
  <r>
    <x v="0"/>
    <x v="0"/>
    <x v="0"/>
    <x v="2"/>
    <x v="3"/>
    <s v="FinA"/>
    <x v="7"/>
    <x v="7"/>
    <s v="GHYRS_WATER"/>
    <x v="6"/>
    <x v="9"/>
    <n v="1569.5"/>
    <n v="95477.916666666701"/>
    <n v="343720.5"/>
  </r>
  <r>
    <x v="0"/>
    <x v="0"/>
    <x v="0"/>
    <x v="2"/>
    <x v="3"/>
    <s v="FinA"/>
    <x v="7"/>
    <x v="7"/>
    <s v="GHYRS_WATER"/>
    <x v="6"/>
    <x v="10"/>
    <n v="1569.5"/>
    <n v="95477.916666666701"/>
    <n v="343720.5"/>
  </r>
  <r>
    <x v="0"/>
    <x v="0"/>
    <x v="0"/>
    <x v="2"/>
    <x v="3"/>
    <s v="FinA"/>
    <x v="7"/>
    <x v="7"/>
    <s v="GHYRS_WATER"/>
    <x v="6"/>
    <x v="11"/>
    <n v="1569.5"/>
    <n v="95477.916666666701"/>
    <n v="343720.5"/>
  </r>
  <r>
    <x v="0"/>
    <x v="0"/>
    <x v="0"/>
    <x v="2"/>
    <x v="3"/>
    <s v="FinA"/>
    <x v="7"/>
    <x v="7"/>
    <s v="GHYRS_WATER"/>
    <x v="7"/>
    <x v="8"/>
    <n v="1354.50000000001"/>
    <n v="82398.750000000495"/>
    <n v="296635.50000000198"/>
  </r>
  <r>
    <x v="0"/>
    <x v="0"/>
    <x v="0"/>
    <x v="2"/>
    <x v="3"/>
    <s v="FinA"/>
    <x v="7"/>
    <x v="7"/>
    <s v="GHYRS_WATER"/>
    <x v="7"/>
    <x v="9"/>
    <n v="1569.5"/>
    <n v="95477.916666666701"/>
    <n v="343720.5"/>
  </r>
  <r>
    <x v="0"/>
    <x v="0"/>
    <x v="0"/>
    <x v="2"/>
    <x v="3"/>
    <s v="FinA"/>
    <x v="7"/>
    <x v="7"/>
    <s v="GHYRS_WATER"/>
    <x v="7"/>
    <x v="10"/>
    <n v="1569.5"/>
    <n v="95477.916666666701"/>
    <n v="343720.5"/>
  </r>
  <r>
    <x v="0"/>
    <x v="0"/>
    <x v="0"/>
    <x v="2"/>
    <x v="3"/>
    <s v="FinA"/>
    <x v="7"/>
    <x v="7"/>
    <s v="GHYRS_WATER"/>
    <x v="7"/>
    <x v="11"/>
    <n v="1569.5"/>
    <n v="95477.916666666701"/>
    <n v="343720.5"/>
  </r>
  <r>
    <x v="0"/>
    <x v="0"/>
    <x v="0"/>
    <x v="2"/>
    <x v="3"/>
    <s v="FinA"/>
    <x v="7"/>
    <x v="7"/>
    <s v="GHYRS_WATER"/>
    <x v="8"/>
    <x v="0"/>
    <n v="1569.5"/>
    <n v="95477.916666666701"/>
    <n v="343720.5"/>
  </r>
  <r>
    <x v="0"/>
    <x v="0"/>
    <x v="0"/>
    <x v="2"/>
    <x v="3"/>
    <s v="FinA"/>
    <x v="7"/>
    <x v="7"/>
    <s v="GHYRS_WATER"/>
    <x v="8"/>
    <x v="1"/>
    <n v="1569.5"/>
    <n v="95477.916666666701"/>
    <n v="343720.5"/>
  </r>
  <r>
    <x v="0"/>
    <x v="0"/>
    <x v="0"/>
    <x v="2"/>
    <x v="3"/>
    <s v="FinA"/>
    <x v="7"/>
    <x v="7"/>
    <s v="GHYRS_WATER"/>
    <x v="8"/>
    <x v="2"/>
    <n v="1569.5"/>
    <n v="95477.916666666701"/>
    <n v="343720.5"/>
  </r>
  <r>
    <x v="0"/>
    <x v="0"/>
    <x v="0"/>
    <x v="2"/>
    <x v="3"/>
    <s v="FinA"/>
    <x v="7"/>
    <x v="7"/>
    <s v="GHYRS_WATER"/>
    <x v="8"/>
    <x v="3"/>
    <n v="1569.5"/>
    <n v="95477.916666666701"/>
    <n v="343720.5"/>
  </r>
  <r>
    <x v="0"/>
    <x v="0"/>
    <x v="0"/>
    <x v="2"/>
    <x v="3"/>
    <s v="FinA"/>
    <x v="7"/>
    <x v="7"/>
    <s v="GHYRS_WATER"/>
    <x v="8"/>
    <x v="4"/>
    <n v="1569.5"/>
    <n v="95477.916666666701"/>
    <n v="343720.5"/>
  </r>
  <r>
    <x v="0"/>
    <x v="0"/>
    <x v="0"/>
    <x v="2"/>
    <x v="3"/>
    <s v="FinA"/>
    <x v="7"/>
    <x v="7"/>
    <s v="GHYRS_WATER"/>
    <x v="8"/>
    <x v="5"/>
    <n v="1569.5"/>
    <n v="95477.916666666701"/>
    <n v="343720.5"/>
  </r>
  <r>
    <x v="0"/>
    <x v="0"/>
    <x v="0"/>
    <x v="2"/>
    <x v="3"/>
    <s v="FinA"/>
    <x v="7"/>
    <x v="7"/>
    <s v="GHYRS_WATER"/>
    <x v="8"/>
    <x v="6"/>
    <n v="1569.5"/>
    <n v="95477.916666666701"/>
    <n v="343720.5"/>
  </r>
  <r>
    <x v="0"/>
    <x v="0"/>
    <x v="0"/>
    <x v="2"/>
    <x v="3"/>
    <s v="FinA"/>
    <x v="7"/>
    <x v="7"/>
    <s v="GHYRS_WATER"/>
    <x v="8"/>
    <x v="7"/>
    <n v="1569.5"/>
    <n v="95477.916666666701"/>
    <n v="343720.5"/>
  </r>
  <r>
    <x v="0"/>
    <x v="0"/>
    <x v="0"/>
    <x v="2"/>
    <x v="3"/>
    <s v="FinA"/>
    <x v="7"/>
    <x v="7"/>
    <s v="GHYRS_WATER"/>
    <x v="8"/>
    <x v="8"/>
    <n v="1569.5"/>
    <n v="95477.916666666701"/>
    <n v="343720.5"/>
  </r>
  <r>
    <x v="0"/>
    <x v="0"/>
    <x v="0"/>
    <x v="2"/>
    <x v="3"/>
    <s v="FinA"/>
    <x v="7"/>
    <x v="7"/>
    <s v="GHYRS_WATER"/>
    <x v="8"/>
    <x v="9"/>
    <n v="1569.5"/>
    <n v="95477.916666666701"/>
    <n v="343720.5"/>
  </r>
  <r>
    <x v="0"/>
    <x v="0"/>
    <x v="0"/>
    <x v="2"/>
    <x v="3"/>
    <s v="FinA"/>
    <x v="7"/>
    <x v="7"/>
    <s v="GHYRS_WATER"/>
    <x v="8"/>
    <x v="10"/>
    <n v="1569.5"/>
    <n v="95477.916666666701"/>
    <n v="343720.5"/>
  </r>
  <r>
    <x v="0"/>
    <x v="0"/>
    <x v="0"/>
    <x v="2"/>
    <x v="3"/>
    <s v="FinA"/>
    <x v="7"/>
    <x v="7"/>
    <s v="GHYRS_WATER"/>
    <x v="8"/>
    <x v="11"/>
    <n v="1569.5"/>
    <n v="95477.916666666701"/>
    <n v="343720.5"/>
  </r>
  <r>
    <x v="0"/>
    <x v="0"/>
    <x v="0"/>
    <x v="2"/>
    <x v="3"/>
    <s v="FinA"/>
    <x v="7"/>
    <x v="7"/>
    <s v="GHYRS_WATER"/>
    <x v="9"/>
    <x v="0"/>
    <n v="1569.5"/>
    <n v="95477.916666666701"/>
    <n v="343720.5"/>
  </r>
  <r>
    <x v="0"/>
    <x v="0"/>
    <x v="0"/>
    <x v="2"/>
    <x v="3"/>
    <s v="FinA"/>
    <x v="7"/>
    <x v="7"/>
    <s v="GHYRS_WATER"/>
    <x v="9"/>
    <x v="1"/>
    <n v="1569.5"/>
    <n v="95477.916666666701"/>
    <n v="343720.5"/>
  </r>
  <r>
    <x v="0"/>
    <x v="0"/>
    <x v="0"/>
    <x v="2"/>
    <x v="3"/>
    <s v="FinA"/>
    <x v="7"/>
    <x v="7"/>
    <s v="GHYRS_WATER"/>
    <x v="9"/>
    <x v="2"/>
    <n v="1569.5"/>
    <n v="95477.916666666701"/>
    <n v="343720.5"/>
  </r>
  <r>
    <x v="0"/>
    <x v="0"/>
    <x v="0"/>
    <x v="2"/>
    <x v="3"/>
    <s v="FinA"/>
    <x v="7"/>
    <x v="7"/>
    <s v="GHYRS_WATER"/>
    <x v="9"/>
    <x v="3"/>
    <n v="1569.5"/>
    <n v="95477.916666666701"/>
    <n v="343720.5"/>
  </r>
  <r>
    <x v="0"/>
    <x v="0"/>
    <x v="0"/>
    <x v="2"/>
    <x v="3"/>
    <s v="FinA"/>
    <x v="7"/>
    <x v="7"/>
    <s v="GHYRS_WATER"/>
    <x v="9"/>
    <x v="4"/>
    <n v="1569.5"/>
    <n v="95477.916666666701"/>
    <n v="343720.5"/>
  </r>
  <r>
    <x v="0"/>
    <x v="0"/>
    <x v="0"/>
    <x v="2"/>
    <x v="3"/>
    <s v="FinA"/>
    <x v="7"/>
    <x v="7"/>
    <s v="GHYRS_WATER"/>
    <x v="9"/>
    <x v="5"/>
    <n v="1569.5"/>
    <n v="95477.916666666701"/>
    <n v="343720.5"/>
  </r>
  <r>
    <x v="0"/>
    <x v="0"/>
    <x v="0"/>
    <x v="2"/>
    <x v="3"/>
    <s v="FinA"/>
    <x v="7"/>
    <x v="7"/>
    <s v="GHYRS_WATER"/>
    <x v="9"/>
    <x v="6"/>
    <n v="1569.5"/>
    <n v="95477.916666666701"/>
    <n v="343720.5"/>
  </r>
  <r>
    <x v="0"/>
    <x v="0"/>
    <x v="0"/>
    <x v="2"/>
    <x v="3"/>
    <s v="FinA"/>
    <x v="7"/>
    <x v="7"/>
    <s v="GHYRS_WATER"/>
    <x v="9"/>
    <x v="7"/>
    <n v="1569.5"/>
    <n v="95477.916666666701"/>
    <n v="343720.5"/>
  </r>
  <r>
    <x v="0"/>
    <x v="0"/>
    <x v="0"/>
    <x v="2"/>
    <x v="3"/>
    <s v="FinA"/>
    <x v="7"/>
    <x v="7"/>
    <s v="GHYRS_WATER"/>
    <x v="9"/>
    <x v="8"/>
    <n v="1569.5"/>
    <n v="95477.916666666701"/>
    <n v="343720.5"/>
  </r>
  <r>
    <x v="0"/>
    <x v="0"/>
    <x v="0"/>
    <x v="2"/>
    <x v="3"/>
    <s v="FinA"/>
    <x v="7"/>
    <x v="7"/>
    <s v="GHYRS_WATER"/>
    <x v="9"/>
    <x v="9"/>
    <n v="1569.5"/>
    <n v="95477.916666666701"/>
    <n v="343720.5"/>
  </r>
  <r>
    <x v="0"/>
    <x v="0"/>
    <x v="0"/>
    <x v="2"/>
    <x v="3"/>
    <s v="FinA"/>
    <x v="7"/>
    <x v="7"/>
    <s v="GHYRS_WATER"/>
    <x v="9"/>
    <x v="10"/>
    <n v="1569.5"/>
    <n v="95477.916666666701"/>
    <n v="343720.5"/>
  </r>
  <r>
    <x v="0"/>
    <x v="0"/>
    <x v="0"/>
    <x v="2"/>
    <x v="3"/>
    <s v="FinA"/>
    <x v="7"/>
    <x v="7"/>
    <s v="GHYRS_WATER"/>
    <x v="9"/>
    <x v="11"/>
    <n v="1569.5"/>
    <n v="95477.916666666701"/>
    <n v="343720.5"/>
  </r>
  <r>
    <x v="0"/>
    <x v="0"/>
    <x v="0"/>
    <x v="2"/>
    <x v="3"/>
    <s v="FinA"/>
    <x v="7"/>
    <x v="7"/>
    <s v="GHYRS_WATER"/>
    <x v="10"/>
    <x v="0"/>
    <n v="1569.5"/>
    <n v="95477.916666666701"/>
    <n v="343720.5"/>
  </r>
  <r>
    <x v="0"/>
    <x v="0"/>
    <x v="0"/>
    <x v="2"/>
    <x v="3"/>
    <s v="FinA"/>
    <x v="7"/>
    <x v="7"/>
    <s v="GHYRS_WATER"/>
    <x v="10"/>
    <x v="1"/>
    <n v="1569.5"/>
    <n v="95477.916666666701"/>
    <n v="343720.5"/>
  </r>
  <r>
    <x v="0"/>
    <x v="0"/>
    <x v="0"/>
    <x v="2"/>
    <x v="3"/>
    <s v="FinA"/>
    <x v="7"/>
    <x v="7"/>
    <s v="GHYRS_WATER"/>
    <x v="10"/>
    <x v="2"/>
    <n v="1569.5"/>
    <n v="95477.916666666701"/>
    <n v="343720.5"/>
  </r>
  <r>
    <x v="0"/>
    <x v="0"/>
    <x v="0"/>
    <x v="2"/>
    <x v="3"/>
    <s v="FinA"/>
    <x v="7"/>
    <x v="7"/>
    <s v="GHYRS_WATER"/>
    <x v="10"/>
    <x v="3"/>
    <n v="1569.5"/>
    <n v="95477.916666666701"/>
    <n v="343720.5"/>
  </r>
  <r>
    <x v="0"/>
    <x v="0"/>
    <x v="0"/>
    <x v="2"/>
    <x v="3"/>
    <s v="FinA"/>
    <x v="7"/>
    <x v="7"/>
    <s v="GHYRS_WATER"/>
    <x v="10"/>
    <x v="4"/>
    <n v="1569.5"/>
    <n v="95477.916666666701"/>
    <n v="343720.5"/>
  </r>
  <r>
    <x v="0"/>
    <x v="0"/>
    <x v="0"/>
    <x v="2"/>
    <x v="3"/>
    <s v="FinA"/>
    <x v="7"/>
    <x v="7"/>
    <s v="GHYRS_WATER"/>
    <x v="10"/>
    <x v="5"/>
    <n v="1569.5"/>
    <n v="95477.916666666701"/>
    <n v="343720.5"/>
  </r>
  <r>
    <x v="0"/>
    <x v="0"/>
    <x v="0"/>
    <x v="2"/>
    <x v="3"/>
    <s v="FinA"/>
    <x v="7"/>
    <x v="7"/>
    <s v="GHYRS_WATER"/>
    <x v="10"/>
    <x v="6"/>
    <n v="1569.5"/>
    <n v="95477.916666666701"/>
    <n v="343720.5"/>
  </r>
  <r>
    <x v="0"/>
    <x v="0"/>
    <x v="0"/>
    <x v="2"/>
    <x v="3"/>
    <s v="FinA"/>
    <x v="7"/>
    <x v="7"/>
    <s v="GHYRS_WATER"/>
    <x v="10"/>
    <x v="7"/>
    <n v="1569.5"/>
    <n v="95477.916666666701"/>
    <n v="343720.5"/>
  </r>
  <r>
    <x v="0"/>
    <x v="0"/>
    <x v="0"/>
    <x v="2"/>
    <x v="3"/>
    <s v="FinA"/>
    <x v="7"/>
    <x v="7"/>
    <s v="GHYRS_WATER"/>
    <x v="10"/>
    <x v="8"/>
    <n v="1569.5"/>
    <n v="95477.916666666701"/>
    <n v="343720.5"/>
  </r>
  <r>
    <x v="0"/>
    <x v="0"/>
    <x v="0"/>
    <x v="2"/>
    <x v="3"/>
    <s v="FinA"/>
    <x v="7"/>
    <x v="7"/>
    <s v="GHYRS_WATER"/>
    <x v="10"/>
    <x v="9"/>
    <n v="1569.5"/>
    <n v="95477.916666666701"/>
    <n v="343720.5"/>
  </r>
  <r>
    <x v="0"/>
    <x v="0"/>
    <x v="0"/>
    <x v="2"/>
    <x v="3"/>
    <s v="FinA"/>
    <x v="7"/>
    <x v="7"/>
    <s v="GHYRS_WATER"/>
    <x v="10"/>
    <x v="10"/>
    <n v="1569.5"/>
    <n v="95477.916666666701"/>
    <n v="343720.5"/>
  </r>
  <r>
    <x v="0"/>
    <x v="0"/>
    <x v="0"/>
    <x v="2"/>
    <x v="3"/>
    <s v="FinA"/>
    <x v="7"/>
    <x v="7"/>
    <s v="GHYRS_WATER"/>
    <x v="10"/>
    <x v="11"/>
    <n v="1569.5"/>
    <n v="95477.916666666701"/>
    <n v="343720.5"/>
  </r>
  <r>
    <x v="0"/>
    <x v="0"/>
    <x v="0"/>
    <x v="2"/>
    <x v="3"/>
    <s v="FinA"/>
    <x v="7"/>
    <x v="7"/>
    <s v="GHYRS_WATER"/>
    <x v="11"/>
    <x v="0"/>
    <n v="1569.5"/>
    <n v="95477.916666666701"/>
    <n v="343720.5"/>
  </r>
  <r>
    <x v="0"/>
    <x v="0"/>
    <x v="0"/>
    <x v="2"/>
    <x v="3"/>
    <s v="FinA"/>
    <x v="7"/>
    <x v="7"/>
    <s v="GHYRS_WATER"/>
    <x v="11"/>
    <x v="1"/>
    <n v="1569.5"/>
    <n v="95477.916666666701"/>
    <n v="343720.5"/>
  </r>
  <r>
    <x v="0"/>
    <x v="0"/>
    <x v="0"/>
    <x v="2"/>
    <x v="3"/>
    <s v="FinA"/>
    <x v="7"/>
    <x v="7"/>
    <s v="GHYRS_WATER"/>
    <x v="11"/>
    <x v="2"/>
    <n v="1569.5"/>
    <n v="95477.916666666701"/>
    <n v="343720.5"/>
  </r>
  <r>
    <x v="0"/>
    <x v="0"/>
    <x v="0"/>
    <x v="2"/>
    <x v="3"/>
    <s v="FinA"/>
    <x v="7"/>
    <x v="7"/>
    <s v="GHYRS_WATER"/>
    <x v="11"/>
    <x v="3"/>
    <n v="1569.5"/>
    <n v="95477.916666666701"/>
    <n v="343720.5"/>
  </r>
  <r>
    <x v="0"/>
    <x v="0"/>
    <x v="0"/>
    <x v="2"/>
    <x v="3"/>
    <s v="FinA"/>
    <x v="7"/>
    <x v="7"/>
    <s v="GHYRS_WATER"/>
    <x v="11"/>
    <x v="4"/>
    <n v="1569.5"/>
    <n v="95477.916666666701"/>
    <n v="343720.5"/>
  </r>
  <r>
    <x v="0"/>
    <x v="0"/>
    <x v="0"/>
    <x v="2"/>
    <x v="3"/>
    <s v="FinA"/>
    <x v="7"/>
    <x v="7"/>
    <s v="GHYRS_WATER"/>
    <x v="11"/>
    <x v="5"/>
    <n v="1569.5"/>
    <n v="95477.916666666701"/>
    <n v="343720.5"/>
  </r>
  <r>
    <x v="0"/>
    <x v="0"/>
    <x v="0"/>
    <x v="2"/>
    <x v="3"/>
    <s v="FinA"/>
    <x v="7"/>
    <x v="7"/>
    <s v="GHYRS_WATER"/>
    <x v="11"/>
    <x v="6"/>
    <n v="1569.5"/>
    <n v="95477.916666666701"/>
    <n v="343720.5"/>
  </r>
  <r>
    <x v="0"/>
    <x v="0"/>
    <x v="0"/>
    <x v="2"/>
    <x v="3"/>
    <s v="FinA"/>
    <x v="7"/>
    <x v="7"/>
    <s v="GHYRS_WATER"/>
    <x v="11"/>
    <x v="7"/>
    <n v="1569.5"/>
    <n v="95477.916666666701"/>
    <n v="343720.5"/>
  </r>
  <r>
    <x v="0"/>
    <x v="0"/>
    <x v="0"/>
    <x v="2"/>
    <x v="3"/>
    <s v="FinA"/>
    <x v="7"/>
    <x v="7"/>
    <s v="GHYRS_WATER"/>
    <x v="11"/>
    <x v="8"/>
    <n v="1569.5"/>
    <n v="95477.916666666701"/>
    <n v="343720.5"/>
  </r>
  <r>
    <x v="0"/>
    <x v="0"/>
    <x v="0"/>
    <x v="2"/>
    <x v="3"/>
    <s v="FinA"/>
    <x v="7"/>
    <x v="7"/>
    <s v="GHYRS_WATER"/>
    <x v="11"/>
    <x v="9"/>
    <n v="1569.5"/>
    <n v="95477.916666666701"/>
    <n v="343720.5"/>
  </r>
  <r>
    <x v="0"/>
    <x v="0"/>
    <x v="0"/>
    <x v="2"/>
    <x v="3"/>
    <s v="FinA"/>
    <x v="7"/>
    <x v="7"/>
    <s v="GHYRS_WATER"/>
    <x v="11"/>
    <x v="10"/>
    <n v="1569.5"/>
    <n v="95477.916666666701"/>
    <n v="343720.5"/>
  </r>
  <r>
    <x v="0"/>
    <x v="0"/>
    <x v="0"/>
    <x v="2"/>
    <x v="3"/>
    <s v="FinA"/>
    <x v="7"/>
    <x v="7"/>
    <s v="GHYRS_WATER"/>
    <x v="11"/>
    <x v="11"/>
    <n v="1569.5"/>
    <n v="95477.916666666701"/>
    <n v="343720.5"/>
  </r>
  <r>
    <x v="0"/>
    <x v="0"/>
    <x v="0"/>
    <x v="2"/>
    <x v="3"/>
    <s v="FinA"/>
    <x v="0"/>
    <x v="0"/>
    <s v="GWND_WIND"/>
    <x v="0"/>
    <x v="0"/>
    <n v="99.899392893134305"/>
    <n v="6077.2130676656698"/>
    <n v="21877.9670435964"/>
  </r>
  <r>
    <x v="0"/>
    <x v="0"/>
    <x v="0"/>
    <x v="2"/>
    <x v="3"/>
    <s v="FinA"/>
    <x v="0"/>
    <x v="0"/>
    <s v="GWND_WIND"/>
    <x v="0"/>
    <x v="1"/>
    <n v="96.097702689523302"/>
    <n v="5845.9435802793296"/>
    <n v="21045.396889005598"/>
  </r>
  <r>
    <x v="0"/>
    <x v="0"/>
    <x v="0"/>
    <x v="2"/>
    <x v="3"/>
    <s v="FinA"/>
    <x v="0"/>
    <x v="0"/>
    <s v="GWND_WIND"/>
    <x v="0"/>
    <x v="2"/>
    <n v="95.272660557160705"/>
    <n v="5795.7535172272701"/>
    <n v="20864.712662018199"/>
  </r>
  <r>
    <x v="0"/>
    <x v="0"/>
    <x v="0"/>
    <x v="2"/>
    <x v="3"/>
    <s v="FinA"/>
    <x v="0"/>
    <x v="0"/>
    <s v="GWND_WIND"/>
    <x v="0"/>
    <x v="3"/>
    <n v="95.225886515010998"/>
    <n v="5792.9080963298302"/>
    <n v="20854.4691467874"/>
  </r>
  <r>
    <x v="0"/>
    <x v="0"/>
    <x v="0"/>
    <x v="2"/>
    <x v="3"/>
    <s v="FinA"/>
    <x v="0"/>
    <x v="0"/>
    <s v="GWND_WIND"/>
    <x v="0"/>
    <x v="4"/>
    <n v="97.811884715712907"/>
    <n v="5950.2229868725299"/>
    <n v="21420.8027527411"/>
  </r>
  <r>
    <x v="0"/>
    <x v="0"/>
    <x v="0"/>
    <x v="2"/>
    <x v="3"/>
    <s v="FinA"/>
    <x v="0"/>
    <x v="0"/>
    <s v="GWND_WIND"/>
    <x v="0"/>
    <x v="5"/>
    <n v="98.607909618223403"/>
    <n v="5998.6478351085898"/>
    <n v="21595.132206390899"/>
  </r>
  <r>
    <x v="0"/>
    <x v="0"/>
    <x v="0"/>
    <x v="2"/>
    <x v="3"/>
    <s v="FinA"/>
    <x v="0"/>
    <x v="0"/>
    <s v="GWND_WIND"/>
    <x v="0"/>
    <x v="6"/>
    <n v="99.380547499659002"/>
    <n v="6045.6499728959197"/>
    <n v="21764.339902425301"/>
  </r>
  <r>
    <x v="0"/>
    <x v="0"/>
    <x v="0"/>
    <x v="2"/>
    <x v="3"/>
    <s v="FinA"/>
    <x v="0"/>
    <x v="0"/>
    <s v="GWND_WIND"/>
    <x v="0"/>
    <x v="7"/>
    <n v="100.16834363549501"/>
    <n v="6093.5742378259501"/>
    <n v="21936.867256173398"/>
  </r>
  <r>
    <x v="0"/>
    <x v="0"/>
    <x v="0"/>
    <x v="2"/>
    <x v="3"/>
    <s v="FinA"/>
    <x v="0"/>
    <x v="0"/>
    <s v="GWND_WIND"/>
    <x v="0"/>
    <x v="8"/>
    <n v="99.476261048872701"/>
    <n v="6051.4725471397596"/>
    <n v="21785.3011697031"/>
  </r>
  <r>
    <x v="0"/>
    <x v="0"/>
    <x v="0"/>
    <x v="2"/>
    <x v="3"/>
    <s v="FinA"/>
    <x v="0"/>
    <x v="0"/>
    <s v="GWND_WIND"/>
    <x v="0"/>
    <x v="9"/>
    <n v="99.618748640236106"/>
    <n v="6060.1405422810303"/>
    <n v="21816.505952211701"/>
  </r>
  <r>
    <x v="0"/>
    <x v="0"/>
    <x v="0"/>
    <x v="2"/>
    <x v="3"/>
    <s v="FinA"/>
    <x v="0"/>
    <x v="0"/>
    <s v="GWND_WIND"/>
    <x v="0"/>
    <x v="10"/>
    <n v="105.20391574729599"/>
    <n v="6399.9048746271401"/>
    <n v="23039.657548657698"/>
  </r>
  <r>
    <x v="0"/>
    <x v="0"/>
    <x v="0"/>
    <x v="2"/>
    <x v="3"/>
    <s v="FinA"/>
    <x v="0"/>
    <x v="0"/>
    <s v="GWND_WIND"/>
    <x v="0"/>
    <x v="11"/>
    <n v="115.933794397838"/>
    <n v="7052.6391592018199"/>
    <n v="25389.500973126502"/>
  </r>
  <r>
    <x v="0"/>
    <x v="0"/>
    <x v="0"/>
    <x v="2"/>
    <x v="3"/>
    <s v="FinA"/>
    <x v="0"/>
    <x v="0"/>
    <s v="GWND_WIND"/>
    <x v="1"/>
    <x v="0"/>
    <n v="8.7554077416495897"/>
    <n v="532.620637617017"/>
    <n v="1917.43429542126"/>
  </r>
  <r>
    <x v="0"/>
    <x v="0"/>
    <x v="0"/>
    <x v="2"/>
    <x v="3"/>
    <s v="FinA"/>
    <x v="0"/>
    <x v="0"/>
    <s v="GWND_WIND"/>
    <x v="1"/>
    <x v="1"/>
    <n v="8.0914761989136892"/>
    <n v="492.23146876725002"/>
    <n v="1772.0332875621"/>
  </r>
  <r>
    <x v="0"/>
    <x v="0"/>
    <x v="0"/>
    <x v="2"/>
    <x v="3"/>
    <s v="FinA"/>
    <x v="0"/>
    <x v="0"/>
    <s v="GWND_WIND"/>
    <x v="1"/>
    <x v="2"/>
    <n v="8.2885335061184104"/>
    <n v="504.21912162220298"/>
    <n v="1815.1888378399301"/>
  </r>
  <r>
    <x v="0"/>
    <x v="0"/>
    <x v="0"/>
    <x v="2"/>
    <x v="3"/>
    <s v="FinA"/>
    <x v="0"/>
    <x v="0"/>
    <s v="GWND_WIND"/>
    <x v="1"/>
    <x v="3"/>
    <n v="6.1629131462046702"/>
    <n v="374.91054972745098"/>
    <n v="1349.67797901882"/>
  </r>
  <r>
    <x v="0"/>
    <x v="0"/>
    <x v="0"/>
    <x v="2"/>
    <x v="3"/>
    <s v="FinA"/>
    <x v="0"/>
    <x v="0"/>
    <s v="GWND_WIND"/>
    <x v="1"/>
    <x v="4"/>
    <n v="6.1005477566717499"/>
    <n v="371.11665519753097"/>
    <n v="1336.0199587111099"/>
  </r>
  <r>
    <x v="0"/>
    <x v="0"/>
    <x v="0"/>
    <x v="2"/>
    <x v="3"/>
    <s v="FinA"/>
    <x v="0"/>
    <x v="0"/>
    <s v="GWND_WIND"/>
    <x v="1"/>
    <x v="5"/>
    <n v="7.1122529646502501"/>
    <n v="432.66205534955702"/>
    <n v="1557.5833992584101"/>
  </r>
  <r>
    <x v="0"/>
    <x v="0"/>
    <x v="0"/>
    <x v="2"/>
    <x v="3"/>
    <s v="FinA"/>
    <x v="0"/>
    <x v="0"/>
    <s v="GWND_WIND"/>
    <x v="1"/>
    <x v="6"/>
    <n v="8.0984056866395804"/>
    <n v="492.653012603908"/>
    <n v="1773.5508453740699"/>
  </r>
  <r>
    <x v="0"/>
    <x v="0"/>
    <x v="0"/>
    <x v="2"/>
    <x v="3"/>
    <s v="FinA"/>
    <x v="0"/>
    <x v="0"/>
    <s v="GWND_WIND"/>
    <x v="1"/>
    <x v="7"/>
    <n v="7.9048131232978003"/>
    <n v="480.876131667283"/>
    <n v="1731.1540740022201"/>
  </r>
  <r>
    <x v="0"/>
    <x v="0"/>
    <x v="0"/>
    <x v="2"/>
    <x v="3"/>
    <s v="FinA"/>
    <x v="0"/>
    <x v="0"/>
    <s v="GWND_WIND"/>
    <x v="1"/>
    <x v="8"/>
    <n v="7.7835470880948998"/>
    <n v="473.499114525773"/>
    <n v="1704.59681229278"/>
  </r>
  <r>
    <x v="0"/>
    <x v="0"/>
    <x v="0"/>
    <x v="2"/>
    <x v="3"/>
    <s v="FinA"/>
    <x v="0"/>
    <x v="0"/>
    <s v="GWND_WIND"/>
    <x v="1"/>
    <x v="9"/>
    <n v="7.3417922455700397"/>
    <n v="446.62569493884399"/>
    <n v="1607.8525017798399"/>
  </r>
  <r>
    <x v="0"/>
    <x v="0"/>
    <x v="0"/>
    <x v="2"/>
    <x v="3"/>
    <s v="FinA"/>
    <x v="0"/>
    <x v="0"/>
    <s v="GWND_WIND"/>
    <x v="1"/>
    <x v="10"/>
    <n v="6.1971274918511998"/>
    <n v="376.99192242094801"/>
    <n v="1357.1709207154099"/>
  </r>
  <r>
    <x v="0"/>
    <x v="0"/>
    <x v="0"/>
    <x v="2"/>
    <x v="3"/>
    <s v="FinA"/>
    <x v="0"/>
    <x v="0"/>
    <s v="GWND_WIND"/>
    <x v="1"/>
    <x v="11"/>
    <n v="8.0373395760552597"/>
    <n v="488.93815754336202"/>
    <n v="1760.1773671561"/>
  </r>
  <r>
    <x v="0"/>
    <x v="0"/>
    <x v="0"/>
    <x v="2"/>
    <x v="3"/>
    <s v="FinA"/>
    <x v="0"/>
    <x v="0"/>
    <s v="GWND_WIND"/>
    <x v="2"/>
    <x v="0"/>
    <n v="51.6506691367793"/>
    <n v="3142.0823724874099"/>
    <n v="11311.4965409547"/>
  </r>
  <r>
    <x v="0"/>
    <x v="0"/>
    <x v="0"/>
    <x v="2"/>
    <x v="3"/>
    <s v="FinA"/>
    <x v="0"/>
    <x v="0"/>
    <s v="GWND_WIND"/>
    <x v="2"/>
    <x v="1"/>
    <n v="56.934836620745799"/>
    <n v="3463.5358944287"/>
    <n v="12468.7292199433"/>
  </r>
  <r>
    <x v="0"/>
    <x v="0"/>
    <x v="0"/>
    <x v="2"/>
    <x v="3"/>
    <s v="FinA"/>
    <x v="0"/>
    <x v="0"/>
    <s v="GWND_WIND"/>
    <x v="2"/>
    <x v="2"/>
    <n v="60.0379478429915"/>
    <n v="3652.3084937819799"/>
    <n v="13148.310577615101"/>
  </r>
  <r>
    <x v="0"/>
    <x v="0"/>
    <x v="0"/>
    <x v="2"/>
    <x v="3"/>
    <s v="FinA"/>
    <x v="0"/>
    <x v="0"/>
    <s v="GWND_WIND"/>
    <x v="2"/>
    <x v="3"/>
    <n v="59.576270723254702"/>
    <n v="3624.2231356646598"/>
    <n v="13047.2032883928"/>
  </r>
  <r>
    <x v="0"/>
    <x v="0"/>
    <x v="0"/>
    <x v="2"/>
    <x v="3"/>
    <s v="FinA"/>
    <x v="0"/>
    <x v="0"/>
    <s v="GWND_WIND"/>
    <x v="2"/>
    <x v="4"/>
    <n v="61.969542546580598"/>
    <n v="3769.8138382503198"/>
    <n v="13571.3298177011"/>
  </r>
  <r>
    <x v="0"/>
    <x v="0"/>
    <x v="0"/>
    <x v="2"/>
    <x v="3"/>
    <s v="FinA"/>
    <x v="0"/>
    <x v="0"/>
    <s v="GWND_WIND"/>
    <x v="2"/>
    <x v="5"/>
    <n v="66.976097428529002"/>
    <n v="4074.3792602355102"/>
    <n v="14667.7653368479"/>
  </r>
  <r>
    <x v="0"/>
    <x v="0"/>
    <x v="0"/>
    <x v="2"/>
    <x v="3"/>
    <s v="FinA"/>
    <x v="0"/>
    <x v="0"/>
    <s v="GWND_WIND"/>
    <x v="2"/>
    <x v="6"/>
    <n v="69.779075213647502"/>
    <n v="4244.8937421635601"/>
    <n v="15281.617471788801"/>
  </r>
  <r>
    <x v="0"/>
    <x v="0"/>
    <x v="0"/>
    <x v="2"/>
    <x v="3"/>
    <s v="FinA"/>
    <x v="0"/>
    <x v="0"/>
    <s v="GWND_WIND"/>
    <x v="2"/>
    <x v="7"/>
    <n v="71.333012836176195"/>
    <n v="4339.4249475340503"/>
    <n v="15621.9298111226"/>
  </r>
  <r>
    <x v="0"/>
    <x v="0"/>
    <x v="0"/>
    <x v="2"/>
    <x v="3"/>
    <s v="FinA"/>
    <x v="0"/>
    <x v="0"/>
    <s v="GWND_WIND"/>
    <x v="2"/>
    <x v="8"/>
    <n v="72.187072198390894"/>
    <n v="4391.3802254021102"/>
    <n v="15808.968811447599"/>
  </r>
  <r>
    <x v="0"/>
    <x v="0"/>
    <x v="0"/>
    <x v="2"/>
    <x v="3"/>
    <s v="FinA"/>
    <x v="0"/>
    <x v="0"/>
    <s v="GWND_WIND"/>
    <x v="2"/>
    <x v="9"/>
    <n v="73.648761015568695"/>
    <n v="4480.2996284471001"/>
    <n v="16129.0786624096"/>
  </r>
  <r>
    <x v="0"/>
    <x v="0"/>
    <x v="0"/>
    <x v="2"/>
    <x v="3"/>
    <s v="FinA"/>
    <x v="0"/>
    <x v="0"/>
    <s v="GWND_WIND"/>
    <x v="2"/>
    <x v="10"/>
    <n v="74.657434572667199"/>
    <n v="4541.6606031705896"/>
    <n v="16349.978171414101"/>
  </r>
  <r>
    <x v="0"/>
    <x v="0"/>
    <x v="0"/>
    <x v="2"/>
    <x v="3"/>
    <s v="FinA"/>
    <x v="0"/>
    <x v="0"/>
    <s v="GWND_WIND"/>
    <x v="2"/>
    <x v="11"/>
    <n v="72.6920586164144"/>
    <n v="4422.1002324985402"/>
    <n v="15919.5608369948"/>
  </r>
  <r>
    <x v="0"/>
    <x v="0"/>
    <x v="0"/>
    <x v="2"/>
    <x v="3"/>
    <s v="FinA"/>
    <x v="0"/>
    <x v="0"/>
    <s v="GWND_WIND"/>
    <x v="3"/>
    <x v="0"/>
    <n v="21.484876694091501"/>
    <n v="1306.99666555723"/>
    <n v="4705.1879960060296"/>
  </r>
  <r>
    <x v="0"/>
    <x v="0"/>
    <x v="0"/>
    <x v="2"/>
    <x v="3"/>
    <s v="FinA"/>
    <x v="0"/>
    <x v="0"/>
    <s v="GWND_WIND"/>
    <x v="3"/>
    <x v="1"/>
    <n v="20.804920710989499"/>
    <n v="1265.63267658519"/>
    <n v="4556.2776357066896"/>
  </r>
  <r>
    <x v="0"/>
    <x v="0"/>
    <x v="0"/>
    <x v="2"/>
    <x v="3"/>
    <s v="FinA"/>
    <x v="0"/>
    <x v="0"/>
    <s v="GWND_WIND"/>
    <x v="3"/>
    <x v="2"/>
    <n v="16.694868303576801"/>
    <n v="1015.60448846759"/>
    <n v="3656.1761584833198"/>
  </r>
  <r>
    <x v="0"/>
    <x v="0"/>
    <x v="0"/>
    <x v="2"/>
    <x v="3"/>
    <s v="FinA"/>
    <x v="0"/>
    <x v="0"/>
    <s v="GWND_WIND"/>
    <x v="3"/>
    <x v="3"/>
    <n v="14.315455455702701"/>
    <n v="870.85687355524703"/>
    <n v="3135.0847447988899"/>
  </r>
  <r>
    <x v="0"/>
    <x v="0"/>
    <x v="0"/>
    <x v="2"/>
    <x v="3"/>
    <s v="FinA"/>
    <x v="0"/>
    <x v="0"/>
    <s v="GWND_WIND"/>
    <x v="3"/>
    <x v="4"/>
    <n v="12.5592634101749"/>
    <n v="764.02185745230804"/>
    <n v="2750.4786868283099"/>
  </r>
  <r>
    <x v="0"/>
    <x v="0"/>
    <x v="0"/>
    <x v="2"/>
    <x v="3"/>
    <s v="FinA"/>
    <x v="0"/>
    <x v="0"/>
    <s v="GWND_WIND"/>
    <x v="3"/>
    <x v="5"/>
    <n v="10.000983160376499"/>
    <n v="608.39314225624003"/>
    <n v="2190.2153121224601"/>
  </r>
  <r>
    <x v="0"/>
    <x v="0"/>
    <x v="0"/>
    <x v="2"/>
    <x v="3"/>
    <s v="FinA"/>
    <x v="0"/>
    <x v="0"/>
    <s v="GWND_WIND"/>
    <x v="3"/>
    <x v="6"/>
    <n v="13.386471007451901"/>
    <n v="814.34365295332304"/>
    <n v="2931.6371506319601"/>
  </r>
  <r>
    <x v="0"/>
    <x v="0"/>
    <x v="0"/>
    <x v="2"/>
    <x v="3"/>
    <s v="FinA"/>
    <x v="0"/>
    <x v="0"/>
    <s v="GWND_WIND"/>
    <x v="3"/>
    <x v="7"/>
    <n v="14.2470267644096"/>
    <n v="866.69412816825195"/>
    <n v="3120.0988614057101"/>
  </r>
  <r>
    <x v="0"/>
    <x v="0"/>
    <x v="0"/>
    <x v="2"/>
    <x v="3"/>
    <s v="FinA"/>
    <x v="0"/>
    <x v="0"/>
    <s v="GWND_WIND"/>
    <x v="3"/>
    <x v="8"/>
    <n v="15.9975886011601"/>
    <n v="973.18663990390598"/>
    <n v="3503.47190365406"/>
  </r>
  <r>
    <x v="0"/>
    <x v="0"/>
    <x v="0"/>
    <x v="2"/>
    <x v="3"/>
    <s v="FinA"/>
    <x v="0"/>
    <x v="0"/>
    <s v="GWND_WIND"/>
    <x v="3"/>
    <x v="9"/>
    <n v="17.0690606407743"/>
    <n v="1038.3678556471"/>
    <n v="3738.12428032958"/>
  </r>
  <r>
    <x v="0"/>
    <x v="0"/>
    <x v="0"/>
    <x v="2"/>
    <x v="3"/>
    <s v="FinA"/>
    <x v="0"/>
    <x v="0"/>
    <s v="GWND_WIND"/>
    <x v="3"/>
    <x v="10"/>
    <n v="18.072970175061201"/>
    <n v="1099.43901898289"/>
    <n v="3957.9804683384"/>
  </r>
  <r>
    <x v="0"/>
    <x v="0"/>
    <x v="0"/>
    <x v="2"/>
    <x v="3"/>
    <s v="FinA"/>
    <x v="0"/>
    <x v="0"/>
    <s v="GWND_WIND"/>
    <x v="3"/>
    <x v="11"/>
    <n v="16.2760673891439"/>
    <n v="990.12743283958798"/>
    <n v="3564.4587582225199"/>
  </r>
  <r>
    <x v="0"/>
    <x v="0"/>
    <x v="0"/>
    <x v="2"/>
    <x v="3"/>
    <s v="FinA"/>
    <x v="0"/>
    <x v="0"/>
    <s v="GWND_WIND"/>
    <x v="4"/>
    <x v="0"/>
    <n v="14.694411815711801"/>
    <n v="893.910052122465"/>
    <n v="3218.0761876408701"/>
  </r>
  <r>
    <x v="0"/>
    <x v="0"/>
    <x v="0"/>
    <x v="2"/>
    <x v="3"/>
    <s v="FinA"/>
    <x v="0"/>
    <x v="0"/>
    <s v="GWND_WIND"/>
    <x v="4"/>
    <x v="1"/>
    <n v="12.3509456854157"/>
    <n v="751.34919586278602"/>
    <n v="2704.8571051060298"/>
  </r>
  <r>
    <x v="0"/>
    <x v="0"/>
    <x v="0"/>
    <x v="2"/>
    <x v="3"/>
    <s v="FinA"/>
    <x v="0"/>
    <x v="0"/>
    <s v="GWND_WIND"/>
    <x v="4"/>
    <x v="2"/>
    <n v="12.0863258728836"/>
    <n v="735.25149060041997"/>
    <n v="2646.9053661615098"/>
  </r>
  <r>
    <x v="0"/>
    <x v="0"/>
    <x v="0"/>
    <x v="2"/>
    <x v="3"/>
    <s v="FinA"/>
    <x v="0"/>
    <x v="0"/>
    <s v="GWND_WIND"/>
    <x v="4"/>
    <x v="3"/>
    <n v="9.3314214088633793"/>
    <n v="567.661469039189"/>
    <n v="2043.5812885410801"/>
  </r>
  <r>
    <x v="0"/>
    <x v="0"/>
    <x v="0"/>
    <x v="2"/>
    <x v="3"/>
    <s v="FinA"/>
    <x v="0"/>
    <x v="0"/>
    <s v="GWND_WIND"/>
    <x v="4"/>
    <x v="4"/>
    <n v="8.7346192784719499"/>
    <n v="531.35600610704296"/>
    <n v="1912.88162198536"/>
  </r>
  <r>
    <x v="0"/>
    <x v="0"/>
    <x v="0"/>
    <x v="2"/>
    <x v="3"/>
    <s v="FinA"/>
    <x v="0"/>
    <x v="0"/>
    <s v="GWND_WIND"/>
    <x v="4"/>
    <x v="5"/>
    <n v="7.0810702698837904"/>
    <n v="430.76510808459699"/>
    <n v="1550.75438910455"/>
  </r>
  <r>
    <x v="0"/>
    <x v="0"/>
    <x v="0"/>
    <x v="2"/>
    <x v="3"/>
    <s v="FinA"/>
    <x v="0"/>
    <x v="0"/>
    <s v="GWND_WIND"/>
    <x v="4"/>
    <x v="6"/>
    <n v="6.4717084429892102"/>
    <n v="393.69559694851"/>
    <n v="1417.30414901464"/>
  </r>
  <r>
    <x v="0"/>
    <x v="0"/>
    <x v="0"/>
    <x v="2"/>
    <x v="3"/>
    <s v="FinA"/>
    <x v="0"/>
    <x v="0"/>
    <s v="GWND_WIND"/>
    <x v="4"/>
    <x v="7"/>
    <n v="4.9363938187238796"/>
    <n v="300.29729063903602"/>
    <n v="1081.07024630053"/>
  </r>
  <r>
    <x v="0"/>
    <x v="0"/>
    <x v="0"/>
    <x v="2"/>
    <x v="3"/>
    <s v="FinA"/>
    <x v="0"/>
    <x v="0"/>
    <s v="GWND_WIND"/>
    <x v="4"/>
    <x v="8"/>
    <n v="4.9784038380620297"/>
    <n v="302.85290014877398"/>
    <n v="1090.2704405355801"/>
  </r>
  <r>
    <x v="0"/>
    <x v="0"/>
    <x v="0"/>
    <x v="2"/>
    <x v="3"/>
    <s v="FinA"/>
    <x v="0"/>
    <x v="0"/>
    <s v="GWND_WIND"/>
    <x v="4"/>
    <x v="9"/>
    <n v="6.8892100784734902"/>
    <n v="419.093613107137"/>
    <n v="1508.7370071856899"/>
  </r>
  <r>
    <x v="0"/>
    <x v="0"/>
    <x v="0"/>
    <x v="2"/>
    <x v="3"/>
    <s v="FinA"/>
    <x v="0"/>
    <x v="0"/>
    <s v="GWND_WIND"/>
    <x v="4"/>
    <x v="10"/>
    <n v="5.9017580775355603"/>
    <n v="359.02361638341301"/>
    <n v="1292.4850189802901"/>
  </r>
  <r>
    <x v="0"/>
    <x v="0"/>
    <x v="0"/>
    <x v="2"/>
    <x v="3"/>
    <s v="FinA"/>
    <x v="0"/>
    <x v="0"/>
    <s v="GWND_WIND"/>
    <x v="4"/>
    <x v="11"/>
    <n v="6.0806254794598402"/>
    <n v="369.90471666714097"/>
    <n v="1331.6569800017101"/>
  </r>
  <r>
    <x v="0"/>
    <x v="0"/>
    <x v="0"/>
    <x v="2"/>
    <x v="3"/>
    <s v="FinA"/>
    <x v="0"/>
    <x v="0"/>
    <s v="GWND_WIND"/>
    <x v="5"/>
    <x v="0"/>
    <n v="67.624004530898802"/>
    <n v="4113.7936089630102"/>
    <n v="14809.6569922668"/>
  </r>
  <r>
    <x v="0"/>
    <x v="0"/>
    <x v="0"/>
    <x v="2"/>
    <x v="3"/>
    <s v="FinA"/>
    <x v="0"/>
    <x v="0"/>
    <s v="GWND_WIND"/>
    <x v="5"/>
    <x v="1"/>
    <n v="70.785150212848706"/>
    <n v="4306.0966379482998"/>
    <n v="15501.9478966139"/>
  </r>
  <r>
    <x v="0"/>
    <x v="0"/>
    <x v="0"/>
    <x v="2"/>
    <x v="3"/>
    <s v="FinA"/>
    <x v="0"/>
    <x v="0"/>
    <s v="GWND_WIND"/>
    <x v="5"/>
    <x v="2"/>
    <n v="72.944551825426203"/>
    <n v="4437.4602360467597"/>
    <n v="15974.856849768301"/>
  </r>
  <r>
    <x v="0"/>
    <x v="0"/>
    <x v="0"/>
    <x v="2"/>
    <x v="3"/>
    <s v="FinA"/>
    <x v="0"/>
    <x v="0"/>
    <s v="GWND_WIND"/>
    <x v="5"/>
    <x v="3"/>
    <n v="82.670954034664703"/>
    <n v="5029.1497037754398"/>
    <n v="18104.938933591598"/>
  </r>
  <r>
    <x v="0"/>
    <x v="0"/>
    <x v="0"/>
    <x v="2"/>
    <x v="3"/>
    <s v="FinA"/>
    <x v="0"/>
    <x v="0"/>
    <s v="GWND_WIND"/>
    <x v="5"/>
    <x v="4"/>
    <n v="89.898842825740601"/>
    <n v="5468.8462718992196"/>
    <n v="19687.846578837201"/>
  </r>
  <r>
    <x v="0"/>
    <x v="0"/>
    <x v="0"/>
    <x v="2"/>
    <x v="3"/>
    <s v="FinA"/>
    <x v="0"/>
    <x v="0"/>
    <s v="GWND_WIND"/>
    <x v="5"/>
    <x v="5"/>
    <n v="89.101518644281498"/>
    <n v="5420.3423841937902"/>
    <n v="19513.232583097699"/>
  </r>
  <r>
    <x v="0"/>
    <x v="0"/>
    <x v="0"/>
    <x v="2"/>
    <x v="3"/>
    <s v="FinA"/>
    <x v="0"/>
    <x v="0"/>
    <s v="GWND_WIND"/>
    <x v="5"/>
    <x v="6"/>
    <n v="82.634574224103801"/>
    <n v="5026.9365986329803"/>
    <n v="18096.971755078699"/>
  </r>
  <r>
    <x v="0"/>
    <x v="0"/>
    <x v="0"/>
    <x v="2"/>
    <x v="3"/>
    <s v="FinA"/>
    <x v="0"/>
    <x v="0"/>
    <s v="GWND_WIND"/>
    <x v="5"/>
    <x v="7"/>
    <n v="79.299325163041104"/>
    <n v="4824.0422807516698"/>
    <n v="17366.552210705999"/>
  </r>
  <r>
    <x v="0"/>
    <x v="0"/>
    <x v="0"/>
    <x v="2"/>
    <x v="3"/>
    <s v="FinA"/>
    <x v="0"/>
    <x v="0"/>
    <s v="GWND_WIND"/>
    <x v="5"/>
    <x v="8"/>
    <n v="85.738118539332405"/>
    <n v="5215.7355444760597"/>
    <n v="18776.647960113802"/>
  </r>
  <r>
    <x v="0"/>
    <x v="0"/>
    <x v="0"/>
    <x v="2"/>
    <x v="3"/>
    <s v="FinA"/>
    <x v="0"/>
    <x v="0"/>
    <s v="GWND_WIND"/>
    <x v="5"/>
    <x v="9"/>
    <n v="84.217962169467498"/>
    <n v="5123.2593653092699"/>
    <n v="18443.733715113402"/>
  </r>
  <r>
    <x v="0"/>
    <x v="0"/>
    <x v="0"/>
    <x v="2"/>
    <x v="3"/>
    <s v="FinA"/>
    <x v="0"/>
    <x v="0"/>
    <s v="GWND_WIND"/>
    <x v="5"/>
    <x v="10"/>
    <n v="83.406345919573695"/>
    <n v="5073.8860434407397"/>
    <n v="18265.989756386702"/>
  </r>
  <r>
    <x v="0"/>
    <x v="0"/>
    <x v="0"/>
    <x v="2"/>
    <x v="3"/>
    <s v="FinA"/>
    <x v="0"/>
    <x v="0"/>
    <s v="GWND_WIND"/>
    <x v="5"/>
    <x v="11"/>
    <n v="78.311006976137506"/>
    <n v="4763.9195910483604"/>
    <n v="17150.110527774101"/>
  </r>
  <r>
    <x v="0"/>
    <x v="0"/>
    <x v="0"/>
    <x v="2"/>
    <x v="3"/>
    <s v="FinA"/>
    <x v="0"/>
    <x v="0"/>
    <s v="GWND_WIND"/>
    <x v="6"/>
    <x v="0"/>
    <n v="6.6627024484337802"/>
    <n v="405.314398946388"/>
    <n v="1459.1318362070001"/>
  </r>
  <r>
    <x v="0"/>
    <x v="0"/>
    <x v="0"/>
    <x v="2"/>
    <x v="3"/>
    <s v="FinA"/>
    <x v="0"/>
    <x v="0"/>
    <s v="GWND_WIND"/>
    <x v="6"/>
    <x v="1"/>
    <n v="6.8918086363706896"/>
    <n v="419.251692045884"/>
    <n v="1509.30609136518"/>
  </r>
  <r>
    <x v="0"/>
    <x v="0"/>
    <x v="0"/>
    <x v="2"/>
    <x v="3"/>
    <s v="FinA"/>
    <x v="0"/>
    <x v="0"/>
    <s v="GWND_WIND"/>
    <x v="6"/>
    <x v="2"/>
    <n v="5.7129295370053299"/>
    <n v="347.53654683449099"/>
    <n v="1251.1315686041701"/>
  </r>
  <r>
    <x v="0"/>
    <x v="0"/>
    <x v="0"/>
    <x v="2"/>
    <x v="3"/>
    <s v="FinA"/>
    <x v="0"/>
    <x v="0"/>
    <s v="GWND_WIND"/>
    <x v="6"/>
    <x v="3"/>
    <n v="3.71160686317456"/>
    <n v="225.78941750978601"/>
    <n v="812.84190303522905"/>
  </r>
  <r>
    <x v="0"/>
    <x v="0"/>
    <x v="0"/>
    <x v="2"/>
    <x v="3"/>
    <s v="FinA"/>
    <x v="0"/>
    <x v="0"/>
    <s v="GWND_WIND"/>
    <x v="6"/>
    <x v="4"/>
    <n v="3.32485482947388"/>
    <n v="202.26200212632699"/>
    <n v="728.14320765477896"/>
  </r>
  <r>
    <x v="0"/>
    <x v="0"/>
    <x v="0"/>
    <x v="2"/>
    <x v="3"/>
    <s v="FinA"/>
    <x v="0"/>
    <x v="0"/>
    <s v="GWND_WIND"/>
    <x v="6"/>
    <x v="5"/>
    <n v="2.9827113730085402"/>
    <n v="181.44827519135299"/>
    <n v="653.21379068887097"/>
  </r>
  <r>
    <x v="0"/>
    <x v="0"/>
    <x v="0"/>
    <x v="2"/>
    <x v="3"/>
    <s v="FinA"/>
    <x v="0"/>
    <x v="0"/>
    <s v="GWND_WIND"/>
    <x v="6"/>
    <x v="6"/>
    <n v="2.7674641605233901"/>
    <n v="168.35406976517299"/>
    <n v="606.07465115462298"/>
  </r>
  <r>
    <x v="0"/>
    <x v="0"/>
    <x v="0"/>
    <x v="2"/>
    <x v="3"/>
    <s v="FinA"/>
    <x v="0"/>
    <x v="0"/>
    <s v="GWND_WIND"/>
    <x v="6"/>
    <x v="7"/>
    <n v="3.2222117925342801"/>
    <n v="196.01788404583499"/>
    <n v="705.66438256500703"/>
  </r>
  <r>
    <x v="0"/>
    <x v="0"/>
    <x v="0"/>
    <x v="2"/>
    <x v="3"/>
    <s v="FinA"/>
    <x v="0"/>
    <x v="0"/>
    <s v="GWND_WIND"/>
    <x v="6"/>
    <x v="8"/>
    <n v="4.9363938187238796"/>
    <n v="300.29729063903602"/>
    <n v="1081.07024630053"/>
  </r>
  <r>
    <x v="0"/>
    <x v="0"/>
    <x v="0"/>
    <x v="2"/>
    <x v="3"/>
    <s v="FinA"/>
    <x v="0"/>
    <x v="0"/>
    <s v="GWND_WIND"/>
    <x v="6"/>
    <x v="9"/>
    <n v="7.4985719053680704"/>
    <n v="456.16312424322399"/>
    <n v="1642.1872472756099"/>
  </r>
  <r>
    <x v="0"/>
    <x v="0"/>
    <x v="0"/>
    <x v="2"/>
    <x v="3"/>
    <s v="FinA"/>
    <x v="0"/>
    <x v="0"/>
    <s v="GWND_WIND"/>
    <x v="6"/>
    <x v="10"/>
    <n v="8.2209710007910797"/>
    <n v="500.10906921479102"/>
    <n v="1800.39264917325"/>
  </r>
  <r>
    <x v="0"/>
    <x v="0"/>
    <x v="0"/>
    <x v="2"/>
    <x v="3"/>
    <s v="FinA"/>
    <x v="0"/>
    <x v="0"/>
    <s v="GWND_WIND"/>
    <x v="6"/>
    <x v="11"/>
    <n v="9.7870352268400005"/>
    <n v="595.37797629943304"/>
    <n v="2143.36071467796"/>
  </r>
  <r>
    <x v="0"/>
    <x v="0"/>
    <x v="0"/>
    <x v="2"/>
    <x v="3"/>
    <s v="FinA"/>
    <x v="0"/>
    <x v="0"/>
    <s v="GWND_WIND"/>
    <x v="7"/>
    <x v="0"/>
    <n v="114.49549260173499"/>
    <n v="6965.14246660555"/>
    <n v="25074.512879779999"/>
  </r>
  <r>
    <x v="0"/>
    <x v="0"/>
    <x v="0"/>
    <x v="2"/>
    <x v="3"/>
    <s v="FinA"/>
    <x v="0"/>
    <x v="0"/>
    <s v="GWND_WIND"/>
    <x v="7"/>
    <x v="1"/>
    <n v="108.95926500173999"/>
    <n v="6628.3552876058302"/>
    <n v="23862.079035381001"/>
  </r>
  <r>
    <x v="0"/>
    <x v="0"/>
    <x v="0"/>
    <x v="2"/>
    <x v="3"/>
    <s v="FinA"/>
    <x v="0"/>
    <x v="0"/>
    <s v="GWND_WIND"/>
    <x v="7"/>
    <x v="2"/>
    <n v="112.530982831448"/>
    <n v="6845.6347889130902"/>
    <n v="24644.285240087102"/>
  </r>
  <r>
    <x v="0"/>
    <x v="0"/>
    <x v="0"/>
    <x v="2"/>
    <x v="3"/>
    <s v="FinA"/>
    <x v="0"/>
    <x v="0"/>
    <s v="GWND_WIND"/>
    <x v="7"/>
    <x v="3"/>
    <n v="115.732839253788"/>
    <n v="7040.4143879387402"/>
    <n v="25345.491796579499"/>
  </r>
  <r>
    <x v="0"/>
    <x v="0"/>
    <x v="0"/>
    <x v="2"/>
    <x v="3"/>
    <s v="FinA"/>
    <x v="0"/>
    <x v="0"/>
    <s v="GWND_WIND"/>
    <x v="7"/>
    <x v="4"/>
    <n v="111.148983123118"/>
    <n v="6761.5631399896702"/>
    <n v="24341.627303962799"/>
  </r>
  <r>
    <x v="0"/>
    <x v="0"/>
    <x v="0"/>
    <x v="2"/>
    <x v="3"/>
    <s v="FinA"/>
    <x v="0"/>
    <x v="0"/>
    <s v="GWND_WIND"/>
    <x v="7"/>
    <x v="5"/>
    <n v="112.545707992866"/>
    <n v="6846.5305695659899"/>
    <n v="24647.510050437599"/>
  </r>
  <r>
    <x v="0"/>
    <x v="0"/>
    <x v="0"/>
    <x v="2"/>
    <x v="3"/>
    <s v="FinA"/>
    <x v="0"/>
    <x v="0"/>
    <s v="GWND_WIND"/>
    <x v="7"/>
    <x v="6"/>
    <n v="94.980322793725094"/>
    <n v="5777.9696366182798"/>
    <n v="20800.690691825799"/>
  </r>
  <r>
    <x v="0"/>
    <x v="0"/>
    <x v="0"/>
    <x v="2"/>
    <x v="3"/>
    <s v="FinA"/>
    <x v="0"/>
    <x v="0"/>
    <s v="GWND_WIND"/>
    <x v="7"/>
    <x v="7"/>
    <n v="83.043413999930806"/>
    <n v="5051.8076849957897"/>
    <n v="18186.507665984798"/>
  </r>
  <r>
    <x v="0"/>
    <x v="0"/>
    <x v="0"/>
    <x v="2"/>
    <x v="3"/>
    <s v="FinA"/>
    <x v="0"/>
    <x v="0"/>
    <s v="GWND_WIND"/>
    <x v="7"/>
    <x v="8"/>
    <n v="87.867636736091995"/>
    <n v="5345.2812347789304"/>
    <n v="19243.012445204098"/>
  </r>
  <r>
    <x v="0"/>
    <x v="0"/>
    <x v="0"/>
    <x v="2"/>
    <x v="3"/>
    <s v="FinA"/>
    <x v="0"/>
    <x v="0"/>
    <s v="GWND_WIND"/>
    <x v="7"/>
    <x v="9"/>
    <n v="99.348498618926797"/>
    <n v="6043.7003326513804"/>
    <n v="21757.321197544999"/>
  </r>
  <r>
    <x v="0"/>
    <x v="0"/>
    <x v="0"/>
    <x v="2"/>
    <x v="3"/>
    <s v="FinA"/>
    <x v="0"/>
    <x v="0"/>
    <s v="GWND_WIND"/>
    <x v="7"/>
    <x v="10"/>
    <n v="98.283956067038503"/>
    <n v="5978.94066074484"/>
    <n v="21524.186378681399"/>
  </r>
  <r>
    <x v="0"/>
    <x v="0"/>
    <x v="0"/>
    <x v="2"/>
    <x v="3"/>
    <s v="FinA"/>
    <x v="0"/>
    <x v="0"/>
    <s v="GWND_WIND"/>
    <x v="7"/>
    <x v="11"/>
    <n v="72.365939600315201"/>
    <n v="4402.2613256858403"/>
    <n v="15848.140772469"/>
  </r>
  <r>
    <x v="0"/>
    <x v="0"/>
    <x v="0"/>
    <x v="2"/>
    <x v="3"/>
    <s v="FinA"/>
    <x v="0"/>
    <x v="0"/>
    <s v="GWND_WIND"/>
    <x v="8"/>
    <x v="0"/>
    <n v="69.321295930756605"/>
    <n v="4217.0455024543598"/>
    <n v="15181.3638088357"/>
  </r>
  <r>
    <x v="0"/>
    <x v="0"/>
    <x v="0"/>
    <x v="2"/>
    <x v="3"/>
    <s v="FinA"/>
    <x v="0"/>
    <x v="0"/>
    <s v="GWND_WIND"/>
    <x v="8"/>
    <x v="1"/>
    <n v="52.304206447926397"/>
    <n v="3181.83922558219"/>
    <n v="11454.621212095901"/>
  </r>
  <r>
    <x v="0"/>
    <x v="0"/>
    <x v="0"/>
    <x v="2"/>
    <x v="3"/>
    <s v="FinA"/>
    <x v="0"/>
    <x v="0"/>
    <s v="GWND_WIND"/>
    <x v="8"/>
    <x v="2"/>
    <n v="43.257760221789802"/>
    <n v="2631.5137468255498"/>
    <n v="9473.4494885719705"/>
  </r>
  <r>
    <x v="0"/>
    <x v="0"/>
    <x v="0"/>
    <x v="2"/>
    <x v="3"/>
    <s v="FinA"/>
    <x v="0"/>
    <x v="0"/>
    <s v="GWND_WIND"/>
    <x v="8"/>
    <x v="3"/>
    <n v="40.553960729747899"/>
    <n v="2467.0326110596702"/>
    <n v="8881.3173998147995"/>
  </r>
  <r>
    <x v="0"/>
    <x v="0"/>
    <x v="0"/>
    <x v="2"/>
    <x v="3"/>
    <s v="FinA"/>
    <x v="0"/>
    <x v="0"/>
    <s v="GWND_WIND"/>
    <x v="8"/>
    <x v="4"/>
    <n v="28.593231821895898"/>
    <n v="1739.4216024986699"/>
    <n v="6261.9177689952003"/>
  </r>
  <r>
    <x v="0"/>
    <x v="0"/>
    <x v="0"/>
    <x v="2"/>
    <x v="3"/>
    <s v="FinA"/>
    <x v="0"/>
    <x v="0"/>
    <s v="GWND_WIND"/>
    <x v="8"/>
    <x v="5"/>
    <n v="21.315104244807401"/>
    <n v="1296.66884155912"/>
    <n v="4668.0078296128204"/>
  </r>
  <r>
    <x v="0"/>
    <x v="0"/>
    <x v="0"/>
    <x v="2"/>
    <x v="3"/>
    <s v="FinA"/>
    <x v="0"/>
    <x v="0"/>
    <s v="GWND_WIND"/>
    <x v="8"/>
    <x v="6"/>
    <n v="14.4293589101968"/>
    <n v="877.78600037030799"/>
    <n v="3160.0296013331099"/>
  </r>
  <r>
    <x v="0"/>
    <x v="0"/>
    <x v="0"/>
    <x v="2"/>
    <x v="3"/>
    <s v="FinA"/>
    <x v="0"/>
    <x v="0"/>
    <s v="GWND_WIND"/>
    <x v="8"/>
    <x v="7"/>
    <n v="8.4214930518587394"/>
    <n v="512.30749398807302"/>
    <n v="1844.30697835706"/>
  </r>
  <r>
    <x v="0"/>
    <x v="0"/>
    <x v="0"/>
    <x v="2"/>
    <x v="3"/>
    <s v="FinA"/>
    <x v="0"/>
    <x v="0"/>
    <s v="GWND_WIND"/>
    <x v="8"/>
    <x v="8"/>
    <n v="5.36732133667706"/>
    <n v="326.512047981188"/>
    <n v="1175.4433727322801"/>
  </r>
  <r>
    <x v="0"/>
    <x v="0"/>
    <x v="0"/>
    <x v="2"/>
    <x v="3"/>
    <s v="FinA"/>
    <x v="0"/>
    <x v="0"/>
    <s v="GWND_WIND"/>
    <x v="8"/>
    <x v="9"/>
    <n v="3.8155491790627698"/>
    <n v="232.11257505965199"/>
    <n v="835.60527021474604"/>
  </r>
  <r>
    <x v="0"/>
    <x v="0"/>
    <x v="0"/>
    <x v="2"/>
    <x v="3"/>
    <s v="FinA"/>
    <x v="0"/>
    <x v="0"/>
    <s v="GWND_WIND"/>
    <x v="8"/>
    <x v="10"/>
    <n v="2.0506952738776598"/>
    <n v="124.75062916089099"/>
    <n v="449.10226497920797"/>
  </r>
  <r>
    <x v="0"/>
    <x v="0"/>
    <x v="0"/>
    <x v="2"/>
    <x v="3"/>
    <s v="FinA"/>
    <x v="0"/>
    <x v="0"/>
    <s v="GWND_WIND"/>
    <x v="8"/>
    <x v="11"/>
    <n v="1.58728578220943"/>
    <n v="96.559885084406702"/>
    <n v="347.61558630386401"/>
  </r>
  <r>
    <x v="0"/>
    <x v="0"/>
    <x v="0"/>
    <x v="2"/>
    <x v="3"/>
    <s v="FinA"/>
    <x v="0"/>
    <x v="0"/>
    <s v="GWND_WIND"/>
    <x v="9"/>
    <x v="0"/>
    <n v="17.040043410922198"/>
    <n v="1036.6026408311"/>
    <n v="3731.76950699196"/>
  </r>
  <r>
    <x v="0"/>
    <x v="0"/>
    <x v="0"/>
    <x v="2"/>
    <x v="3"/>
    <s v="FinA"/>
    <x v="0"/>
    <x v="0"/>
    <s v="GWND_WIND"/>
    <x v="9"/>
    <x v="1"/>
    <n v="15.7606867395316"/>
    <n v="958.77510998817104"/>
    <n v="3451.5903959574098"/>
  </r>
  <r>
    <x v="0"/>
    <x v="0"/>
    <x v="0"/>
    <x v="2"/>
    <x v="3"/>
    <s v="FinA"/>
    <x v="0"/>
    <x v="0"/>
    <s v="GWND_WIND"/>
    <x v="9"/>
    <x v="2"/>
    <n v="14.800519596514301"/>
    <n v="900.36494212128605"/>
    <n v="3241.31379163663"/>
  </r>
  <r>
    <x v="0"/>
    <x v="0"/>
    <x v="0"/>
    <x v="2"/>
    <x v="3"/>
    <s v="FinA"/>
    <x v="0"/>
    <x v="0"/>
    <s v="GWND_WIND"/>
    <x v="9"/>
    <x v="3"/>
    <n v="15.3596426373963"/>
    <n v="934.37826044160499"/>
    <n v="3363.7617375897798"/>
  </r>
  <r>
    <x v="0"/>
    <x v="0"/>
    <x v="0"/>
    <x v="2"/>
    <x v="3"/>
    <s v="FinA"/>
    <x v="0"/>
    <x v="0"/>
    <s v="GWND_WIND"/>
    <x v="9"/>
    <x v="4"/>
    <n v="16.035700783652398"/>
    <n v="975.50513100552303"/>
    <n v="3511.8184716198798"/>
  </r>
  <r>
    <x v="0"/>
    <x v="0"/>
    <x v="0"/>
    <x v="2"/>
    <x v="3"/>
    <s v="FinA"/>
    <x v="0"/>
    <x v="0"/>
    <s v="GWND_WIND"/>
    <x v="9"/>
    <x v="5"/>
    <n v="15.0404531090229"/>
    <n v="914.96089746556004"/>
    <n v="3293.8592308760099"/>
  </r>
  <r>
    <x v="0"/>
    <x v="0"/>
    <x v="0"/>
    <x v="2"/>
    <x v="3"/>
    <s v="FinA"/>
    <x v="0"/>
    <x v="0"/>
    <s v="GWND_WIND"/>
    <x v="9"/>
    <x v="6"/>
    <n v="13.128780682645701"/>
    <n v="798.66749152761395"/>
    <n v="2875.2029694994098"/>
  </r>
  <r>
    <x v="0"/>
    <x v="0"/>
    <x v="0"/>
    <x v="2"/>
    <x v="3"/>
    <s v="FinA"/>
    <x v="0"/>
    <x v="0"/>
    <s v="GWND_WIND"/>
    <x v="9"/>
    <x v="7"/>
    <n v="14.208048395951501"/>
    <n v="864.32294408705195"/>
    <n v="3111.5625987133899"/>
  </r>
  <r>
    <x v="0"/>
    <x v="0"/>
    <x v="0"/>
    <x v="2"/>
    <x v="3"/>
    <s v="FinA"/>
    <x v="0"/>
    <x v="0"/>
    <s v="GWND_WIND"/>
    <x v="9"/>
    <x v="8"/>
    <n v="10.935164724421799"/>
    <n v="665.22252073565801"/>
    <n v="2394.8010746483701"/>
  </r>
  <r>
    <x v="0"/>
    <x v="0"/>
    <x v="0"/>
    <x v="2"/>
    <x v="3"/>
    <s v="FinA"/>
    <x v="0"/>
    <x v="0"/>
    <s v="GWND_WIND"/>
    <x v="9"/>
    <x v="9"/>
    <n v="7.2664340665510903"/>
    <n v="442.04140571519099"/>
    <n v="1591.3490605746899"/>
  </r>
  <r>
    <x v="0"/>
    <x v="0"/>
    <x v="0"/>
    <x v="2"/>
    <x v="3"/>
    <s v="FinA"/>
    <x v="0"/>
    <x v="0"/>
    <s v="GWND_WIND"/>
    <x v="9"/>
    <x v="10"/>
    <n v="5.3694868015913899"/>
    <n v="326.64378043014301"/>
    <n v="1175.91760954851"/>
  </r>
  <r>
    <x v="0"/>
    <x v="0"/>
    <x v="0"/>
    <x v="2"/>
    <x v="3"/>
    <s v="FinA"/>
    <x v="0"/>
    <x v="0"/>
    <s v="GWND_WIND"/>
    <x v="9"/>
    <x v="11"/>
    <n v="4.2676982531764498"/>
    <n v="259.61831040156699"/>
    <n v="934.62591744564202"/>
  </r>
  <r>
    <x v="0"/>
    <x v="0"/>
    <x v="0"/>
    <x v="2"/>
    <x v="3"/>
    <s v="FinA"/>
    <x v="0"/>
    <x v="0"/>
    <s v="GWND_WIND"/>
    <x v="10"/>
    <x v="0"/>
    <n v="93.3735478272866"/>
    <n v="5680.2241594932702"/>
    <n v="20448.806974175801"/>
  </r>
  <r>
    <x v="0"/>
    <x v="0"/>
    <x v="0"/>
    <x v="2"/>
    <x v="3"/>
    <s v="FinA"/>
    <x v="0"/>
    <x v="0"/>
    <s v="GWND_WIND"/>
    <x v="10"/>
    <x v="1"/>
    <n v="109.27802143712999"/>
    <n v="6647.7463040920902"/>
    <n v="23931.8866947315"/>
  </r>
  <r>
    <x v="0"/>
    <x v="0"/>
    <x v="0"/>
    <x v="2"/>
    <x v="3"/>
    <s v="FinA"/>
    <x v="0"/>
    <x v="0"/>
    <s v="GWND_WIND"/>
    <x v="10"/>
    <x v="2"/>
    <n v="101.54081529820201"/>
    <n v="6177.0662639739603"/>
    <n v="22237.438550306299"/>
  </r>
  <r>
    <x v="0"/>
    <x v="0"/>
    <x v="0"/>
    <x v="2"/>
    <x v="3"/>
    <s v="FinA"/>
    <x v="0"/>
    <x v="0"/>
    <s v="GWND_WIND"/>
    <x v="10"/>
    <x v="3"/>
    <n v="112.49850085773301"/>
    <n v="6843.6588021787602"/>
    <n v="24637.1716878435"/>
  </r>
  <r>
    <x v="0"/>
    <x v="0"/>
    <x v="0"/>
    <x v="2"/>
    <x v="3"/>
    <s v="FinA"/>
    <x v="0"/>
    <x v="0"/>
    <s v="GWND_WIND"/>
    <x v="10"/>
    <x v="4"/>
    <n v="111.231270789863"/>
    <n v="6766.5689730499798"/>
    <n v="24359.648302979898"/>
  </r>
  <r>
    <x v="0"/>
    <x v="0"/>
    <x v="0"/>
    <x v="2"/>
    <x v="3"/>
    <s v="FinA"/>
    <x v="0"/>
    <x v="0"/>
    <s v="GWND_WIND"/>
    <x v="10"/>
    <x v="5"/>
    <n v="119.29719450278699"/>
    <n v="7257.2459989195504"/>
    <n v="26126.085596110399"/>
  </r>
  <r>
    <x v="0"/>
    <x v="0"/>
    <x v="0"/>
    <x v="2"/>
    <x v="3"/>
    <s v="FinA"/>
    <x v="0"/>
    <x v="0"/>
    <s v="GWND_WIND"/>
    <x v="10"/>
    <x v="6"/>
    <n v="126.45145748677599"/>
    <n v="7692.4636637788499"/>
    <n v="27692.869189603902"/>
  </r>
  <r>
    <x v="0"/>
    <x v="0"/>
    <x v="0"/>
    <x v="2"/>
    <x v="3"/>
    <s v="FinA"/>
    <x v="0"/>
    <x v="0"/>
    <s v="GWND_WIND"/>
    <x v="10"/>
    <x v="7"/>
    <n v="115.26120099544499"/>
    <n v="7011.7230605562299"/>
    <n v="25242.203018002401"/>
  </r>
  <r>
    <x v="0"/>
    <x v="0"/>
    <x v="0"/>
    <x v="2"/>
    <x v="3"/>
    <s v="FinA"/>
    <x v="0"/>
    <x v="0"/>
    <s v="GWND_WIND"/>
    <x v="10"/>
    <x v="8"/>
    <n v="114.13126140314399"/>
    <n v="6942.9850686912296"/>
    <n v="24994.7462472884"/>
  </r>
  <r>
    <x v="0"/>
    <x v="0"/>
    <x v="0"/>
    <x v="2"/>
    <x v="3"/>
    <s v="FinA"/>
    <x v="0"/>
    <x v="0"/>
    <s v="GWND_WIND"/>
    <x v="10"/>
    <x v="9"/>
    <n v="115.959346883827"/>
    <n v="7054.1936020994899"/>
    <n v="25395.096967558198"/>
  </r>
  <r>
    <x v="0"/>
    <x v="0"/>
    <x v="0"/>
    <x v="2"/>
    <x v="3"/>
    <s v="FinA"/>
    <x v="0"/>
    <x v="0"/>
    <s v="GWND_WIND"/>
    <x v="10"/>
    <x v="10"/>
    <n v="122.13135498267199"/>
    <n v="7429.6574281125604"/>
    <n v="26746.7667412052"/>
  </r>
  <r>
    <x v="0"/>
    <x v="0"/>
    <x v="0"/>
    <x v="2"/>
    <x v="3"/>
    <s v="FinA"/>
    <x v="0"/>
    <x v="0"/>
    <s v="GWND_WIND"/>
    <x v="10"/>
    <x v="11"/>
    <n v="129.352747379005"/>
    <n v="7868.95879888947"/>
    <n v="28328.251676002099"/>
  </r>
  <r>
    <x v="0"/>
    <x v="0"/>
    <x v="0"/>
    <x v="2"/>
    <x v="3"/>
    <s v="FinA"/>
    <x v="0"/>
    <x v="0"/>
    <s v="GWND_WIND"/>
    <x v="11"/>
    <x v="0"/>
    <n v="58.500467753811797"/>
    <n v="3558.7784550235501"/>
    <n v="12811.602438084799"/>
  </r>
  <r>
    <x v="0"/>
    <x v="0"/>
    <x v="0"/>
    <x v="2"/>
    <x v="3"/>
    <s v="FinA"/>
    <x v="0"/>
    <x v="0"/>
    <s v="GWND_WIND"/>
    <x v="11"/>
    <x v="1"/>
    <n v="68.867847577694306"/>
    <n v="4189.4607276430697"/>
    <n v="15082.058619515001"/>
  </r>
  <r>
    <x v="0"/>
    <x v="0"/>
    <x v="0"/>
    <x v="2"/>
    <x v="3"/>
    <s v="FinA"/>
    <x v="0"/>
    <x v="0"/>
    <s v="GWND_WIND"/>
    <x v="11"/>
    <x v="2"/>
    <n v="60.779403029660699"/>
    <n v="3697.4136843043598"/>
    <n v="13310.6892634957"/>
  </r>
  <r>
    <x v="0"/>
    <x v="0"/>
    <x v="0"/>
    <x v="2"/>
    <x v="3"/>
    <s v="FinA"/>
    <x v="0"/>
    <x v="0"/>
    <s v="GWND_WIND"/>
    <x v="11"/>
    <x v="3"/>
    <n v="44.660548393297702"/>
    <n v="2716.8500272589399"/>
    <n v="9780.6600981321899"/>
  </r>
  <r>
    <x v="0"/>
    <x v="0"/>
    <x v="0"/>
    <x v="2"/>
    <x v="3"/>
    <s v="FinA"/>
    <x v="0"/>
    <x v="0"/>
    <s v="GWND_WIND"/>
    <x v="11"/>
    <x v="4"/>
    <n v="37.966663250097398"/>
    <n v="2309.6386810475901"/>
    <n v="8314.6992517713406"/>
  </r>
  <r>
    <x v="0"/>
    <x v="0"/>
    <x v="0"/>
    <x v="2"/>
    <x v="3"/>
    <s v="FinA"/>
    <x v="0"/>
    <x v="0"/>
    <s v="GWND_WIND"/>
    <x v="11"/>
    <x v="5"/>
    <n v="43.313629216579699"/>
    <n v="2634.9124440085998"/>
    <n v="9485.6847984309607"/>
  </r>
  <r>
    <x v="0"/>
    <x v="0"/>
    <x v="0"/>
    <x v="2"/>
    <x v="3"/>
    <s v="FinA"/>
    <x v="0"/>
    <x v="0"/>
    <s v="GWND_WIND"/>
    <x v="11"/>
    <x v="6"/>
    <n v="43.009597942606703"/>
    <n v="2616.4172081752399"/>
    <n v="9419.1019494308694"/>
  </r>
  <r>
    <x v="0"/>
    <x v="0"/>
    <x v="0"/>
    <x v="2"/>
    <x v="3"/>
    <s v="FinA"/>
    <x v="0"/>
    <x v="0"/>
    <s v="GWND_WIND"/>
    <x v="11"/>
    <x v="7"/>
    <n v="44.360848049153297"/>
    <n v="2698.6182563234902"/>
    <n v="9715.0257227645798"/>
  </r>
  <r>
    <x v="0"/>
    <x v="0"/>
    <x v="0"/>
    <x v="2"/>
    <x v="3"/>
    <s v="FinA"/>
    <x v="0"/>
    <x v="0"/>
    <s v="GWND_WIND"/>
    <x v="11"/>
    <x v="8"/>
    <n v="44.0888656559125"/>
    <n v="2682.0726607346801"/>
    <n v="9655.4615786448503"/>
  </r>
  <r>
    <x v="0"/>
    <x v="0"/>
    <x v="0"/>
    <x v="2"/>
    <x v="3"/>
    <s v="FinA"/>
    <x v="0"/>
    <x v="0"/>
    <s v="GWND_WIND"/>
    <x v="11"/>
    <x v="9"/>
    <n v="36.969683203536398"/>
    <n v="2248.9890615484601"/>
    <n v="8096.3606215744703"/>
  </r>
  <r>
    <x v="0"/>
    <x v="0"/>
    <x v="0"/>
    <x v="2"/>
    <x v="3"/>
    <s v="FinA"/>
    <x v="0"/>
    <x v="0"/>
    <s v="GWND_WIND"/>
    <x v="11"/>
    <x v="10"/>
    <n v="38.095724958991902"/>
    <n v="2317.4899350053402"/>
    <n v="8342.9637660192402"/>
  </r>
  <r>
    <x v="0"/>
    <x v="0"/>
    <x v="0"/>
    <x v="2"/>
    <x v="3"/>
    <s v="FinA"/>
    <x v="0"/>
    <x v="0"/>
    <s v="GWND_WIND"/>
    <x v="11"/>
    <x v="11"/>
    <n v="42.096637934721997"/>
    <n v="2560.8788076955898"/>
    <n v="9219.1637077041196"/>
  </r>
  <r>
    <x v="0"/>
    <x v="0"/>
    <x v="0"/>
    <x v="3"/>
    <x v="4"/>
    <s v="GER_OFFSHORE"/>
    <x v="0"/>
    <x v="0"/>
    <s v="GWND_WIND"/>
    <x v="0"/>
    <x v="0"/>
    <n v="324.178977812048"/>
    <n v="19720.887816899602"/>
    <n v="70995.196140838496"/>
  </r>
  <r>
    <x v="0"/>
    <x v="0"/>
    <x v="0"/>
    <x v="3"/>
    <x v="4"/>
    <s v="GER_OFFSHORE"/>
    <x v="0"/>
    <x v="0"/>
    <s v="GWND_WIND"/>
    <x v="0"/>
    <x v="1"/>
    <n v="323.90167352865802"/>
    <n v="19704.018472993299"/>
    <n v="70934.466502776006"/>
  </r>
  <r>
    <x v="0"/>
    <x v="0"/>
    <x v="0"/>
    <x v="3"/>
    <x v="4"/>
    <s v="GER_OFFSHORE"/>
    <x v="0"/>
    <x v="0"/>
    <s v="GWND_WIND"/>
    <x v="0"/>
    <x v="2"/>
    <n v="311.412710247088"/>
    <n v="18944.273206697901"/>
    <n v="68199.383544112396"/>
  </r>
  <r>
    <x v="0"/>
    <x v="0"/>
    <x v="0"/>
    <x v="3"/>
    <x v="4"/>
    <s v="GER_OFFSHORE"/>
    <x v="0"/>
    <x v="0"/>
    <s v="GWND_WIND"/>
    <x v="0"/>
    <x v="3"/>
    <n v="298.81590641086802"/>
    <n v="18177.9676399944"/>
    <n v="65440.683503979999"/>
  </r>
  <r>
    <x v="0"/>
    <x v="0"/>
    <x v="0"/>
    <x v="3"/>
    <x v="4"/>
    <s v="GER_OFFSHORE"/>
    <x v="0"/>
    <x v="0"/>
    <s v="GWND_WIND"/>
    <x v="0"/>
    <x v="4"/>
    <n v="270.23815942816498"/>
    <n v="16439.488031879999"/>
    <n v="59182.1569147681"/>
  </r>
  <r>
    <x v="0"/>
    <x v="0"/>
    <x v="0"/>
    <x v="3"/>
    <x v="4"/>
    <s v="GER_OFFSHORE"/>
    <x v="0"/>
    <x v="0"/>
    <s v="GWND_WIND"/>
    <x v="0"/>
    <x v="5"/>
    <n v="234.465906870841"/>
    <n v="14263.3426679762"/>
    <n v="51348.033604714299"/>
  </r>
  <r>
    <x v="0"/>
    <x v="0"/>
    <x v="0"/>
    <x v="3"/>
    <x v="4"/>
    <s v="GER_OFFSHORE"/>
    <x v="0"/>
    <x v="0"/>
    <s v="GWND_WIND"/>
    <x v="0"/>
    <x v="6"/>
    <n v="194.91923490070801"/>
    <n v="11857.5867897931"/>
    <n v="42687.312443255098"/>
  </r>
  <r>
    <x v="0"/>
    <x v="0"/>
    <x v="0"/>
    <x v="3"/>
    <x v="4"/>
    <s v="GER_OFFSHORE"/>
    <x v="0"/>
    <x v="0"/>
    <s v="GWND_WIND"/>
    <x v="0"/>
    <x v="7"/>
    <n v="155.85527779425399"/>
    <n v="9481.1960658170992"/>
    <n v="34132.305836941603"/>
  </r>
  <r>
    <x v="0"/>
    <x v="0"/>
    <x v="0"/>
    <x v="3"/>
    <x v="4"/>
    <s v="GER_OFFSHORE"/>
    <x v="0"/>
    <x v="0"/>
    <s v="GWND_WIND"/>
    <x v="0"/>
    <x v="8"/>
    <n v="116.45752849483"/>
    <n v="7084.4996501021496"/>
    <n v="25504.198740367701"/>
  </r>
  <r>
    <x v="0"/>
    <x v="0"/>
    <x v="0"/>
    <x v="3"/>
    <x v="4"/>
    <s v="GER_OFFSHORE"/>
    <x v="0"/>
    <x v="0"/>
    <s v="GWND_WIND"/>
    <x v="0"/>
    <x v="9"/>
    <n v="94.303997410664806"/>
    <n v="5736.8265091487701"/>
    <n v="20652.575432935599"/>
  </r>
  <r>
    <x v="0"/>
    <x v="0"/>
    <x v="0"/>
    <x v="3"/>
    <x v="4"/>
    <s v="GER_OFFSHORE"/>
    <x v="0"/>
    <x v="0"/>
    <s v="GWND_WIND"/>
    <x v="0"/>
    <x v="10"/>
    <n v="93.626142495711207"/>
    <n v="5695.5903351557599"/>
    <n v="20504.1252065607"/>
  </r>
  <r>
    <x v="0"/>
    <x v="0"/>
    <x v="0"/>
    <x v="3"/>
    <x v="4"/>
    <s v="GER_OFFSHORE"/>
    <x v="0"/>
    <x v="0"/>
    <s v="GWND_WIND"/>
    <x v="0"/>
    <x v="11"/>
    <n v="94.319403204186401"/>
    <n v="5737.7636949213402"/>
    <n v="20655.949301716799"/>
  </r>
  <r>
    <x v="0"/>
    <x v="0"/>
    <x v="0"/>
    <x v="3"/>
    <x v="4"/>
    <s v="GER_OFFSHORE"/>
    <x v="0"/>
    <x v="0"/>
    <s v="GWND_WIND"/>
    <x v="1"/>
    <x v="0"/>
    <n v="77.167619750057696"/>
    <n v="4694.3635347951804"/>
    <n v="16899.708725262601"/>
  </r>
  <r>
    <x v="0"/>
    <x v="0"/>
    <x v="0"/>
    <x v="3"/>
    <x v="4"/>
    <s v="GER_OFFSHORE"/>
    <x v="0"/>
    <x v="0"/>
    <s v="GWND_WIND"/>
    <x v="1"/>
    <x v="1"/>
    <n v="74.666745935039501"/>
    <n v="4542.2270443815696"/>
    <n v="16352.017359773699"/>
  </r>
  <r>
    <x v="0"/>
    <x v="0"/>
    <x v="0"/>
    <x v="3"/>
    <x v="4"/>
    <s v="GER_OFFSHORE"/>
    <x v="0"/>
    <x v="0"/>
    <s v="GWND_WIND"/>
    <x v="1"/>
    <x v="2"/>
    <n v="72.535611164541507"/>
    <n v="4412.5830125096099"/>
    <n v="15885.2988450346"/>
  </r>
  <r>
    <x v="0"/>
    <x v="0"/>
    <x v="0"/>
    <x v="3"/>
    <x v="4"/>
    <s v="GER_OFFSHORE"/>
    <x v="0"/>
    <x v="0"/>
    <s v="GWND_WIND"/>
    <x v="1"/>
    <x v="3"/>
    <n v="68.879302835397894"/>
    <n v="4190.1575891533703"/>
    <n v="15084.567320952099"/>
  </r>
  <r>
    <x v="0"/>
    <x v="0"/>
    <x v="0"/>
    <x v="3"/>
    <x v="4"/>
    <s v="GER_OFFSHORE"/>
    <x v="0"/>
    <x v="0"/>
    <s v="GWND_WIND"/>
    <x v="1"/>
    <x v="4"/>
    <n v="62.742661749264997"/>
    <n v="3816.8452564136201"/>
    <n v="13740.642923089001"/>
  </r>
  <r>
    <x v="0"/>
    <x v="0"/>
    <x v="0"/>
    <x v="3"/>
    <x v="4"/>
    <s v="GER_OFFSHORE"/>
    <x v="0"/>
    <x v="0"/>
    <s v="GWND_WIND"/>
    <x v="1"/>
    <x v="5"/>
    <n v="57.253063991042303"/>
    <n v="3482.89472612174"/>
    <n v="12538.4210140383"/>
  </r>
  <r>
    <x v="0"/>
    <x v="0"/>
    <x v="0"/>
    <x v="3"/>
    <x v="4"/>
    <s v="GER_OFFSHORE"/>
    <x v="0"/>
    <x v="0"/>
    <s v="GWND_WIND"/>
    <x v="1"/>
    <x v="6"/>
    <n v="47.193080821390197"/>
    <n v="2870.91241663457"/>
    <n v="10335.2846998844"/>
  </r>
  <r>
    <x v="0"/>
    <x v="0"/>
    <x v="0"/>
    <x v="3"/>
    <x v="4"/>
    <s v="GER_OFFSHORE"/>
    <x v="0"/>
    <x v="0"/>
    <s v="GWND_WIND"/>
    <x v="1"/>
    <x v="7"/>
    <n v="45.637095675701197"/>
    <n v="2776.25665360516"/>
    <n v="9994.5239529785704"/>
  </r>
  <r>
    <x v="0"/>
    <x v="0"/>
    <x v="0"/>
    <x v="3"/>
    <x v="4"/>
    <s v="GER_OFFSHORE"/>
    <x v="0"/>
    <x v="0"/>
    <s v="GWND_WIND"/>
    <x v="1"/>
    <x v="8"/>
    <n v="49.062317102019797"/>
    <n v="2984.6242903728698"/>
    <n v="10744.6474453423"/>
  </r>
  <r>
    <x v="0"/>
    <x v="0"/>
    <x v="0"/>
    <x v="3"/>
    <x v="4"/>
    <s v="GER_OFFSHORE"/>
    <x v="0"/>
    <x v="0"/>
    <s v="GWND_WIND"/>
    <x v="1"/>
    <x v="9"/>
    <n v="52.918900746945098"/>
    <n v="3219.2331287725001"/>
    <n v="11589.239263580999"/>
  </r>
  <r>
    <x v="0"/>
    <x v="0"/>
    <x v="0"/>
    <x v="3"/>
    <x v="4"/>
    <s v="GER_OFFSHORE"/>
    <x v="0"/>
    <x v="0"/>
    <s v="GWND_WIND"/>
    <x v="1"/>
    <x v="10"/>
    <n v="61.058294990895497"/>
    <n v="3714.3796119461399"/>
    <n v="13371.766603006099"/>
  </r>
  <r>
    <x v="0"/>
    <x v="0"/>
    <x v="0"/>
    <x v="3"/>
    <x v="4"/>
    <s v="GER_OFFSHORE"/>
    <x v="0"/>
    <x v="0"/>
    <s v="GWND_WIND"/>
    <x v="1"/>
    <x v="11"/>
    <n v="67.261694515622295"/>
    <n v="4091.75308303369"/>
    <n v="14730.3110989213"/>
  </r>
  <r>
    <x v="0"/>
    <x v="0"/>
    <x v="0"/>
    <x v="3"/>
    <x v="4"/>
    <s v="GER_OFFSHORE"/>
    <x v="0"/>
    <x v="0"/>
    <s v="GWND_WIND"/>
    <x v="2"/>
    <x v="0"/>
    <n v="24.346289028749801"/>
    <n v="1481.06591591561"/>
    <n v="5331.8372972962097"/>
  </r>
  <r>
    <x v="0"/>
    <x v="0"/>
    <x v="0"/>
    <x v="3"/>
    <x v="4"/>
    <s v="GER_OFFSHORE"/>
    <x v="0"/>
    <x v="0"/>
    <s v="GWND_WIND"/>
    <x v="2"/>
    <x v="1"/>
    <n v="27.833133629155"/>
    <n v="1693.1822957735999"/>
    <n v="6095.4562647849498"/>
  </r>
  <r>
    <x v="0"/>
    <x v="0"/>
    <x v="0"/>
    <x v="3"/>
    <x v="4"/>
    <s v="GER_OFFSHORE"/>
    <x v="0"/>
    <x v="0"/>
    <s v="GWND_WIND"/>
    <x v="2"/>
    <x v="2"/>
    <n v="28.346660079877399"/>
    <n v="1724.42182152588"/>
    <n v="6207.9185574931598"/>
  </r>
  <r>
    <x v="0"/>
    <x v="0"/>
    <x v="0"/>
    <x v="3"/>
    <x v="4"/>
    <s v="GER_OFFSHORE"/>
    <x v="0"/>
    <x v="0"/>
    <s v="GWND_WIND"/>
    <x v="2"/>
    <x v="3"/>
    <n v="30.436712734317702"/>
    <n v="1851.5666913376599"/>
    <n v="6665.6400888155704"/>
  </r>
  <r>
    <x v="0"/>
    <x v="0"/>
    <x v="0"/>
    <x v="3"/>
    <x v="4"/>
    <s v="GER_OFFSHORE"/>
    <x v="0"/>
    <x v="0"/>
    <s v="GWND_WIND"/>
    <x v="2"/>
    <x v="4"/>
    <n v="33.754093605984501"/>
    <n v="2053.3740276973899"/>
    <n v="7392.1464997106104"/>
  </r>
  <r>
    <x v="0"/>
    <x v="0"/>
    <x v="0"/>
    <x v="3"/>
    <x v="4"/>
    <s v="GER_OFFSHORE"/>
    <x v="0"/>
    <x v="0"/>
    <s v="GWND_WIND"/>
    <x v="2"/>
    <x v="5"/>
    <n v="37.348778761041402"/>
    <n v="2272.0507079633499"/>
    <n v="8179.3825486680798"/>
  </r>
  <r>
    <x v="0"/>
    <x v="0"/>
    <x v="0"/>
    <x v="3"/>
    <x v="4"/>
    <s v="GER_OFFSHORE"/>
    <x v="0"/>
    <x v="0"/>
    <s v="GWND_WIND"/>
    <x v="2"/>
    <x v="6"/>
    <n v="36.095774221278702"/>
    <n v="2195.8262651277901"/>
    <n v="7904.9745544600401"/>
  </r>
  <r>
    <x v="0"/>
    <x v="0"/>
    <x v="0"/>
    <x v="3"/>
    <x v="4"/>
    <s v="GER_OFFSHORE"/>
    <x v="0"/>
    <x v="0"/>
    <s v="GWND_WIND"/>
    <x v="2"/>
    <x v="7"/>
    <n v="37.980416295429997"/>
    <n v="2310.4753246386599"/>
    <n v="8317.7111686991702"/>
  </r>
  <r>
    <x v="0"/>
    <x v="0"/>
    <x v="0"/>
    <x v="3"/>
    <x v="4"/>
    <s v="GER_OFFSHORE"/>
    <x v="0"/>
    <x v="0"/>
    <s v="GWND_WIND"/>
    <x v="2"/>
    <x v="8"/>
    <n v="39.413155092945502"/>
    <n v="2397.6336014875201"/>
    <n v="8631.4809653550692"/>
  </r>
  <r>
    <x v="0"/>
    <x v="0"/>
    <x v="0"/>
    <x v="3"/>
    <x v="4"/>
    <s v="GER_OFFSHORE"/>
    <x v="0"/>
    <x v="0"/>
    <s v="GWND_WIND"/>
    <x v="2"/>
    <x v="9"/>
    <n v="37.328237703012498"/>
    <n v="2270.8011269332601"/>
    <n v="8174.8840569597496"/>
  </r>
  <r>
    <x v="0"/>
    <x v="0"/>
    <x v="0"/>
    <x v="3"/>
    <x v="4"/>
    <s v="GER_OFFSHORE"/>
    <x v="0"/>
    <x v="0"/>
    <s v="GWND_WIND"/>
    <x v="2"/>
    <x v="10"/>
    <n v="38.375831662486299"/>
    <n v="2334.52975946791"/>
    <n v="8404.3071340844908"/>
  </r>
  <r>
    <x v="0"/>
    <x v="0"/>
    <x v="0"/>
    <x v="3"/>
    <x v="4"/>
    <s v="GER_OFFSHORE"/>
    <x v="0"/>
    <x v="0"/>
    <s v="GWND_WIND"/>
    <x v="2"/>
    <x v="11"/>
    <n v="35.525759860976798"/>
    <n v="2161.1503915427602"/>
    <n v="7780.1414095539303"/>
  </r>
  <r>
    <x v="0"/>
    <x v="0"/>
    <x v="0"/>
    <x v="3"/>
    <x v="4"/>
    <s v="GER_OFFSHORE"/>
    <x v="0"/>
    <x v="0"/>
    <s v="GWND_WIND"/>
    <x v="3"/>
    <x v="0"/>
    <n v="199.710436685948"/>
    <n v="12149.0515650618"/>
    <n v="43736.585634222698"/>
  </r>
  <r>
    <x v="0"/>
    <x v="0"/>
    <x v="0"/>
    <x v="3"/>
    <x v="4"/>
    <s v="GER_OFFSHORE"/>
    <x v="0"/>
    <x v="0"/>
    <s v="GWND_WIND"/>
    <x v="3"/>
    <x v="1"/>
    <n v="180.119402590888"/>
    <n v="10957.2636576124"/>
    <n v="39446.149167404503"/>
  </r>
  <r>
    <x v="0"/>
    <x v="0"/>
    <x v="0"/>
    <x v="3"/>
    <x v="4"/>
    <s v="GER_OFFSHORE"/>
    <x v="0"/>
    <x v="0"/>
    <s v="GWND_WIND"/>
    <x v="3"/>
    <x v="2"/>
    <n v="152.18356367158799"/>
    <n v="9257.8334566883004"/>
    <n v="33328.200444077898"/>
  </r>
  <r>
    <x v="0"/>
    <x v="0"/>
    <x v="0"/>
    <x v="3"/>
    <x v="4"/>
    <s v="GER_OFFSHORE"/>
    <x v="0"/>
    <x v="0"/>
    <s v="GWND_WIND"/>
    <x v="3"/>
    <x v="3"/>
    <n v="132.751722776252"/>
    <n v="8075.7298022220102"/>
    <n v="29072.627287999199"/>
  </r>
  <r>
    <x v="0"/>
    <x v="0"/>
    <x v="0"/>
    <x v="3"/>
    <x v="4"/>
    <s v="GER_OFFSHORE"/>
    <x v="0"/>
    <x v="0"/>
    <s v="GWND_WIND"/>
    <x v="3"/>
    <x v="4"/>
    <n v="123.297700818452"/>
    <n v="7500.61013312252"/>
    <n v="27002.196479241102"/>
  </r>
  <r>
    <x v="0"/>
    <x v="0"/>
    <x v="0"/>
    <x v="3"/>
    <x v="4"/>
    <s v="GER_OFFSHORE"/>
    <x v="0"/>
    <x v="0"/>
    <s v="GWND_WIND"/>
    <x v="3"/>
    <x v="5"/>
    <n v="123.328512405496"/>
    <n v="7502.4845046676601"/>
    <n v="27008.9442168036"/>
  </r>
  <r>
    <x v="0"/>
    <x v="0"/>
    <x v="0"/>
    <x v="3"/>
    <x v="4"/>
    <s v="GER_OFFSHORE"/>
    <x v="0"/>
    <x v="0"/>
    <s v="GWND_WIND"/>
    <x v="3"/>
    <x v="6"/>
    <n v="113.27879976485799"/>
    <n v="6891.1269856955296"/>
    <n v="24808.0571485039"/>
  </r>
  <r>
    <x v="0"/>
    <x v="0"/>
    <x v="0"/>
    <x v="3"/>
    <x v="4"/>
    <s v="GER_OFFSHORE"/>
    <x v="0"/>
    <x v="0"/>
    <s v="GWND_WIND"/>
    <x v="3"/>
    <x v="7"/>
    <n v="104.36911584482399"/>
    <n v="6349.1212138934698"/>
    <n v="22856.836370016499"/>
  </r>
  <r>
    <x v="0"/>
    <x v="0"/>
    <x v="0"/>
    <x v="3"/>
    <x v="4"/>
    <s v="GER_OFFSHORE"/>
    <x v="0"/>
    <x v="0"/>
    <s v="GWND_WIND"/>
    <x v="3"/>
    <x v="8"/>
    <n v="99.3365566277445"/>
    <n v="6042.9738615211199"/>
    <n v="21754.705901476002"/>
  </r>
  <r>
    <x v="0"/>
    <x v="0"/>
    <x v="0"/>
    <x v="3"/>
    <x v="4"/>
    <s v="GER_OFFSHORE"/>
    <x v="0"/>
    <x v="0"/>
    <s v="GWND_WIND"/>
    <x v="3"/>
    <x v="9"/>
    <n v="102.053111552066"/>
    <n v="6208.2309527506804"/>
    <n v="22349.6314299025"/>
  </r>
  <r>
    <x v="0"/>
    <x v="0"/>
    <x v="0"/>
    <x v="3"/>
    <x v="4"/>
    <s v="GER_OFFSHORE"/>
    <x v="0"/>
    <x v="0"/>
    <s v="GWND_WIND"/>
    <x v="3"/>
    <x v="10"/>
    <n v="108.00488311593899"/>
    <n v="6570.2970562196197"/>
    <n v="23653.0694023906"/>
  </r>
  <r>
    <x v="0"/>
    <x v="0"/>
    <x v="0"/>
    <x v="3"/>
    <x v="4"/>
    <s v="GER_OFFSHORE"/>
    <x v="0"/>
    <x v="0"/>
    <s v="GWND_WIND"/>
    <x v="3"/>
    <x v="11"/>
    <n v="103.63477302029099"/>
    <n v="6304.44869206771"/>
    <n v="22696.015291443699"/>
  </r>
  <r>
    <x v="0"/>
    <x v="0"/>
    <x v="0"/>
    <x v="3"/>
    <x v="4"/>
    <s v="GER_OFFSHORE"/>
    <x v="0"/>
    <x v="0"/>
    <s v="GWND_WIND"/>
    <x v="4"/>
    <x v="0"/>
    <n v="115.276417658168"/>
    <n v="7012.6487408719104"/>
    <n v="25245.5354671389"/>
  </r>
  <r>
    <x v="0"/>
    <x v="0"/>
    <x v="0"/>
    <x v="3"/>
    <x v="4"/>
    <s v="GER_OFFSHORE"/>
    <x v="0"/>
    <x v="0"/>
    <s v="GWND_WIND"/>
    <x v="4"/>
    <x v="1"/>
    <n v="124.48908218412799"/>
    <n v="7573.0858328678196"/>
    <n v="27263.1089983241"/>
  </r>
  <r>
    <x v="0"/>
    <x v="0"/>
    <x v="0"/>
    <x v="3"/>
    <x v="4"/>
    <s v="GER_OFFSHORE"/>
    <x v="0"/>
    <x v="0"/>
    <s v="GWND_WIND"/>
    <x v="4"/>
    <x v="2"/>
    <n v="134.56447114730199"/>
    <n v="8186.0053281275596"/>
    <n v="29469.619181259201"/>
  </r>
  <r>
    <x v="0"/>
    <x v="0"/>
    <x v="0"/>
    <x v="3"/>
    <x v="4"/>
    <s v="GER_OFFSHORE"/>
    <x v="0"/>
    <x v="0"/>
    <s v="GWND_WIND"/>
    <x v="4"/>
    <x v="3"/>
    <n v="138.48781323082201"/>
    <n v="8424.6753048749797"/>
    <n v="30328.831097549901"/>
  </r>
  <r>
    <x v="0"/>
    <x v="0"/>
    <x v="0"/>
    <x v="3"/>
    <x v="4"/>
    <s v="GER_OFFSHORE"/>
    <x v="0"/>
    <x v="0"/>
    <s v="GWND_WIND"/>
    <x v="4"/>
    <x v="4"/>
    <n v="145.26636238035701"/>
    <n v="8837.0370448050799"/>
    <n v="31813.333361298301"/>
  </r>
  <r>
    <x v="0"/>
    <x v="0"/>
    <x v="0"/>
    <x v="3"/>
    <x v="4"/>
    <s v="GER_OFFSHORE"/>
    <x v="0"/>
    <x v="0"/>
    <s v="GWND_WIND"/>
    <x v="4"/>
    <x v="5"/>
    <n v="151.27462185381"/>
    <n v="9202.5394961067595"/>
    <n v="33129.142185984303"/>
  </r>
  <r>
    <x v="0"/>
    <x v="0"/>
    <x v="0"/>
    <x v="3"/>
    <x v="4"/>
    <s v="GER_OFFSHORE"/>
    <x v="0"/>
    <x v="0"/>
    <s v="GWND_WIND"/>
    <x v="4"/>
    <x v="6"/>
    <n v="148.78401856780599"/>
    <n v="9051.0277962082"/>
    <n v="32583.700066349498"/>
  </r>
  <r>
    <x v="0"/>
    <x v="0"/>
    <x v="0"/>
    <x v="3"/>
    <x v="4"/>
    <s v="GER_OFFSHORE"/>
    <x v="0"/>
    <x v="0"/>
    <s v="GWND_WIND"/>
    <x v="4"/>
    <x v="7"/>
    <n v="146.20611578518"/>
    <n v="8894.2053769317499"/>
    <n v="32019.1393569543"/>
  </r>
  <r>
    <x v="0"/>
    <x v="0"/>
    <x v="0"/>
    <x v="3"/>
    <x v="4"/>
    <s v="GER_OFFSHORE"/>
    <x v="0"/>
    <x v="0"/>
    <s v="GWND_WIND"/>
    <x v="4"/>
    <x v="8"/>
    <n v="144.35742056257899"/>
    <n v="8781.7430842235408"/>
    <n v="31614.2751032048"/>
  </r>
  <r>
    <x v="0"/>
    <x v="0"/>
    <x v="0"/>
    <x v="3"/>
    <x v="4"/>
    <s v="GER_OFFSHORE"/>
    <x v="0"/>
    <x v="0"/>
    <s v="GWND_WIND"/>
    <x v="4"/>
    <x v="9"/>
    <n v="143.62307773804599"/>
    <n v="8737.0705623977792"/>
    <n v="31453.454024631999"/>
  </r>
  <r>
    <x v="0"/>
    <x v="0"/>
    <x v="0"/>
    <x v="3"/>
    <x v="4"/>
    <s v="GER_OFFSHORE"/>
    <x v="0"/>
    <x v="0"/>
    <s v="GWND_WIND"/>
    <x v="4"/>
    <x v="10"/>
    <n v="138.97052809450099"/>
    <n v="8454.0404590821199"/>
    <n v="30434.5456526956"/>
  </r>
  <r>
    <x v="0"/>
    <x v="0"/>
    <x v="0"/>
    <x v="3"/>
    <x v="4"/>
    <s v="GER_OFFSHORE"/>
    <x v="0"/>
    <x v="0"/>
    <s v="GWND_WIND"/>
    <x v="4"/>
    <x v="11"/>
    <n v="135.283408178314"/>
    <n v="8229.7406641807502"/>
    <n v="29627.066391050699"/>
  </r>
  <r>
    <x v="0"/>
    <x v="0"/>
    <x v="0"/>
    <x v="3"/>
    <x v="4"/>
    <s v="GER_OFFSHORE"/>
    <x v="0"/>
    <x v="0"/>
    <s v="GWND_WIND"/>
    <x v="5"/>
    <x v="0"/>
    <n v="49.129075540613698"/>
    <n v="2988.6854287206702"/>
    <n v="10759.2675433944"/>
  </r>
  <r>
    <x v="0"/>
    <x v="0"/>
    <x v="0"/>
    <x v="3"/>
    <x v="4"/>
    <s v="GER_OFFSHORE"/>
    <x v="0"/>
    <x v="0"/>
    <s v="GWND_WIND"/>
    <x v="5"/>
    <x v="1"/>
    <n v="42.104033694731001"/>
    <n v="2561.3287164294702"/>
    <n v="9220.7833791460907"/>
  </r>
  <r>
    <x v="0"/>
    <x v="0"/>
    <x v="0"/>
    <x v="3"/>
    <x v="4"/>
    <s v="GER_OFFSHORE"/>
    <x v="0"/>
    <x v="0"/>
    <s v="GWND_WIND"/>
    <x v="5"/>
    <x v="2"/>
    <n v="38.591512771789702"/>
    <n v="2347.6503602838702"/>
    <n v="8451.5412970219404"/>
  </r>
  <r>
    <x v="0"/>
    <x v="0"/>
    <x v="0"/>
    <x v="3"/>
    <x v="4"/>
    <s v="GER_OFFSHORE"/>
    <x v="0"/>
    <x v="0"/>
    <s v="GWND_WIND"/>
    <x v="5"/>
    <x v="3"/>
    <n v="35.684953060700799"/>
    <n v="2170.8346445259699"/>
    <n v="7815.0047202934802"/>
  </r>
  <r>
    <x v="0"/>
    <x v="0"/>
    <x v="0"/>
    <x v="3"/>
    <x v="4"/>
    <s v="GER_OFFSHORE"/>
    <x v="0"/>
    <x v="0"/>
    <s v="GWND_WIND"/>
    <x v="5"/>
    <x v="4"/>
    <n v="36.270373214524398"/>
    <n v="2206.4477038835598"/>
    <n v="7943.2117339808301"/>
  </r>
  <r>
    <x v="0"/>
    <x v="0"/>
    <x v="0"/>
    <x v="3"/>
    <x v="4"/>
    <s v="GER_OFFSHORE"/>
    <x v="0"/>
    <x v="0"/>
    <s v="GWND_WIND"/>
    <x v="5"/>
    <x v="5"/>
    <n v="34.642494365734301"/>
    <n v="2107.4184072488401"/>
    <n v="7586.70626609581"/>
  </r>
  <r>
    <x v="0"/>
    <x v="0"/>
    <x v="0"/>
    <x v="3"/>
    <x v="4"/>
    <s v="GER_OFFSHORE"/>
    <x v="0"/>
    <x v="0"/>
    <s v="GWND_WIND"/>
    <x v="5"/>
    <x v="6"/>
    <n v="31.278896113502501"/>
    <n v="1902.7995135714"/>
    <n v="6850.0782488570403"/>
  </r>
  <r>
    <x v="0"/>
    <x v="0"/>
    <x v="0"/>
    <x v="3"/>
    <x v="4"/>
    <s v="GER_OFFSHORE"/>
    <x v="0"/>
    <x v="0"/>
    <s v="GWND_WIND"/>
    <x v="5"/>
    <x v="7"/>
    <n v="30.724287546722199"/>
    <n v="1869.0608257589399"/>
    <n v="6728.6189727321698"/>
  </r>
  <r>
    <x v="0"/>
    <x v="0"/>
    <x v="0"/>
    <x v="3"/>
    <x v="4"/>
    <s v="GER_OFFSHORE"/>
    <x v="0"/>
    <x v="0"/>
    <s v="GWND_WIND"/>
    <x v="5"/>
    <x v="8"/>
    <n v="27.098790804621999"/>
    <n v="1648.5097739478399"/>
    <n v="5934.6351862122101"/>
  </r>
  <r>
    <x v="0"/>
    <x v="0"/>
    <x v="0"/>
    <x v="3"/>
    <x v="4"/>
    <s v="GER_OFFSHORE"/>
    <x v="0"/>
    <x v="0"/>
    <s v="GWND_WIND"/>
    <x v="5"/>
    <x v="9"/>
    <n v="18.599928045165999"/>
    <n v="1131.4956227476"/>
    <n v="4073.38424189135"/>
  </r>
  <r>
    <x v="0"/>
    <x v="0"/>
    <x v="0"/>
    <x v="3"/>
    <x v="4"/>
    <s v="GER_OFFSHORE"/>
    <x v="0"/>
    <x v="0"/>
    <s v="GWND_WIND"/>
    <x v="5"/>
    <x v="10"/>
    <n v="12.001113153382899"/>
    <n v="730.06771683079296"/>
    <n v="2628.2437805908498"/>
  </r>
  <r>
    <x v="0"/>
    <x v="0"/>
    <x v="0"/>
    <x v="3"/>
    <x v="4"/>
    <s v="GER_OFFSHORE"/>
    <x v="0"/>
    <x v="0"/>
    <s v="GWND_WIND"/>
    <x v="5"/>
    <x v="11"/>
    <n v="11.390016677023199"/>
    <n v="692.89268118557902"/>
    <n v="2494.4136522680901"/>
  </r>
  <r>
    <x v="0"/>
    <x v="0"/>
    <x v="0"/>
    <x v="3"/>
    <x v="4"/>
    <s v="GER_OFFSHORE"/>
    <x v="0"/>
    <x v="0"/>
    <s v="GWND_WIND"/>
    <x v="6"/>
    <x v="0"/>
    <n v="51.6813020007041"/>
    <n v="3143.9458717094999"/>
    <n v="11318.205138154201"/>
  </r>
  <r>
    <x v="0"/>
    <x v="0"/>
    <x v="0"/>
    <x v="3"/>
    <x v="4"/>
    <s v="GER_OFFSHORE"/>
    <x v="0"/>
    <x v="0"/>
    <s v="GWND_WIND"/>
    <x v="6"/>
    <x v="1"/>
    <n v="44.887347057646501"/>
    <n v="2730.6469460068301"/>
    <n v="9830.3290056245896"/>
  </r>
  <r>
    <x v="0"/>
    <x v="0"/>
    <x v="0"/>
    <x v="3"/>
    <x v="4"/>
    <s v="GER_OFFSHORE"/>
    <x v="0"/>
    <x v="0"/>
    <s v="GWND_WIND"/>
    <x v="6"/>
    <x v="2"/>
    <n v="37.831493624720501"/>
    <n v="2301.4158621705001"/>
    <n v="8285.0971038137905"/>
  </r>
  <r>
    <x v="0"/>
    <x v="0"/>
    <x v="0"/>
    <x v="3"/>
    <x v="4"/>
    <s v="GER_OFFSHORE"/>
    <x v="0"/>
    <x v="0"/>
    <s v="GWND_WIND"/>
    <x v="6"/>
    <x v="3"/>
    <n v="34.606547514183703"/>
    <n v="2105.2316404461799"/>
    <n v="7578.8339056062396"/>
  </r>
  <r>
    <x v="0"/>
    <x v="0"/>
    <x v="0"/>
    <x v="3"/>
    <x v="4"/>
    <s v="GER_OFFSHORE"/>
    <x v="0"/>
    <x v="0"/>
    <s v="GWND_WIND"/>
    <x v="6"/>
    <x v="4"/>
    <n v="29.738316761335199"/>
    <n v="1809.0809363145599"/>
    <n v="6512.6913707324102"/>
  </r>
  <r>
    <x v="0"/>
    <x v="0"/>
    <x v="0"/>
    <x v="3"/>
    <x v="4"/>
    <s v="GER_OFFSHORE"/>
    <x v="0"/>
    <x v="0"/>
    <s v="GWND_WIND"/>
    <x v="6"/>
    <x v="5"/>
    <n v="25.311718756108"/>
    <n v="1539.7962243299"/>
    <n v="5543.2664075876401"/>
  </r>
  <r>
    <x v="0"/>
    <x v="0"/>
    <x v="0"/>
    <x v="3"/>
    <x v="4"/>
    <s v="GER_OFFSHORE"/>
    <x v="0"/>
    <x v="0"/>
    <s v="GWND_WIND"/>
    <x v="6"/>
    <x v="6"/>
    <n v="21.5218935497765"/>
    <n v="1309.2485242780699"/>
    <n v="4713.2946874010604"/>
  </r>
  <r>
    <x v="0"/>
    <x v="0"/>
    <x v="0"/>
    <x v="3"/>
    <x v="4"/>
    <s v="GER_OFFSHORE"/>
    <x v="0"/>
    <x v="0"/>
    <s v="GWND_WIND"/>
    <x v="6"/>
    <x v="7"/>
    <n v="19.195618728004"/>
    <n v="1167.73347262024"/>
    <n v="4203.84050143287"/>
  </r>
  <r>
    <x v="0"/>
    <x v="0"/>
    <x v="0"/>
    <x v="3"/>
    <x v="4"/>
    <s v="GER_OFFSHORE"/>
    <x v="0"/>
    <x v="0"/>
    <s v="GWND_WIND"/>
    <x v="6"/>
    <x v="8"/>
    <n v="16.022025262539401"/>
    <n v="974.67320347114901"/>
    <n v="3508.8235324961402"/>
  </r>
  <r>
    <x v="0"/>
    <x v="0"/>
    <x v="0"/>
    <x v="3"/>
    <x v="4"/>
    <s v="GER_OFFSHORE"/>
    <x v="0"/>
    <x v="0"/>
    <s v="GWND_WIND"/>
    <x v="6"/>
    <x v="9"/>
    <n v="12.961407616233799"/>
    <n v="788.48562998755699"/>
    <n v="2838.5482679552101"/>
  </r>
  <r>
    <x v="0"/>
    <x v="0"/>
    <x v="0"/>
    <x v="3"/>
    <x v="4"/>
    <s v="GER_OFFSHORE"/>
    <x v="0"/>
    <x v="0"/>
    <s v="GWND_WIND"/>
    <x v="6"/>
    <x v="10"/>
    <n v="11.0151423679959"/>
    <n v="670.08782738641503"/>
    <n v="2412.3161785910902"/>
  </r>
  <r>
    <x v="0"/>
    <x v="0"/>
    <x v="0"/>
    <x v="3"/>
    <x v="4"/>
    <s v="GER_OFFSHORE"/>
    <x v="0"/>
    <x v="0"/>
    <s v="GWND_WIND"/>
    <x v="6"/>
    <x v="11"/>
    <n v="10.5118864462879"/>
    <n v="639.47309214918005"/>
    <n v="2302.1031317370498"/>
  </r>
  <r>
    <x v="0"/>
    <x v="0"/>
    <x v="0"/>
    <x v="3"/>
    <x v="4"/>
    <s v="GER_OFFSHORE"/>
    <x v="0"/>
    <x v="0"/>
    <s v="GWND_WIND"/>
    <x v="7"/>
    <x v="0"/>
    <n v="160.37944582511801"/>
    <n v="9756.4162876946903"/>
    <n v="35123.098635700902"/>
  </r>
  <r>
    <x v="0"/>
    <x v="0"/>
    <x v="0"/>
    <x v="3"/>
    <x v="4"/>
    <s v="GER_OFFSHORE"/>
    <x v="0"/>
    <x v="0"/>
    <s v="GWND_WIND"/>
    <x v="7"/>
    <x v="1"/>
    <n v="153.07709969584499"/>
    <n v="9312.1902314972704"/>
    <n v="33523.884833390199"/>
  </r>
  <r>
    <x v="0"/>
    <x v="0"/>
    <x v="0"/>
    <x v="3"/>
    <x v="4"/>
    <s v="GER_OFFSHORE"/>
    <x v="0"/>
    <x v="0"/>
    <s v="GWND_WIND"/>
    <x v="7"/>
    <x v="2"/>
    <n v="151.70084880790901"/>
    <n v="9228.4683024811493"/>
    <n v="33222.485888932199"/>
  </r>
  <r>
    <x v="0"/>
    <x v="0"/>
    <x v="0"/>
    <x v="3"/>
    <x v="4"/>
    <s v="GER_OFFSHORE"/>
    <x v="0"/>
    <x v="0"/>
    <s v="GWND_WIND"/>
    <x v="7"/>
    <x v="3"/>
    <n v="145.107169180634"/>
    <n v="8827.3527918218697"/>
    <n v="31778.470050558699"/>
  </r>
  <r>
    <x v="0"/>
    <x v="0"/>
    <x v="0"/>
    <x v="3"/>
    <x v="4"/>
    <s v="GER_OFFSHORE"/>
    <x v="0"/>
    <x v="0"/>
    <s v="GWND_WIND"/>
    <x v="7"/>
    <x v="4"/>
    <n v="133.855804645305"/>
    <n v="8142.8947825894102"/>
    <n v="29314.421217321898"/>
  </r>
  <r>
    <x v="0"/>
    <x v="0"/>
    <x v="0"/>
    <x v="3"/>
    <x v="4"/>
    <s v="GER_OFFSHORE"/>
    <x v="0"/>
    <x v="0"/>
    <s v="GWND_WIND"/>
    <x v="7"/>
    <x v="5"/>
    <n v="126.21453105855601"/>
    <n v="7678.0506393954802"/>
    <n v="27640.9823018237"/>
  </r>
  <r>
    <x v="0"/>
    <x v="0"/>
    <x v="0"/>
    <x v="3"/>
    <x v="4"/>
    <s v="GER_OFFSHORE"/>
    <x v="0"/>
    <x v="0"/>
    <s v="GWND_WIND"/>
    <x v="7"/>
    <x v="6"/>
    <n v="109.83303728051099"/>
    <n v="6681.5097678977299"/>
    <n v="24053.435164431801"/>
  </r>
  <r>
    <x v="0"/>
    <x v="0"/>
    <x v="0"/>
    <x v="3"/>
    <x v="4"/>
    <s v="GER_OFFSHORE"/>
    <x v="0"/>
    <x v="0"/>
    <s v="GWND_WIND"/>
    <x v="7"/>
    <x v="7"/>
    <n v="100.569020109478"/>
    <n v="6117.94872332659"/>
    <n v="22024.615403975698"/>
  </r>
  <r>
    <x v="0"/>
    <x v="0"/>
    <x v="0"/>
    <x v="3"/>
    <x v="4"/>
    <s v="GER_OFFSHORE"/>
    <x v="0"/>
    <x v="0"/>
    <s v="GWND_WIND"/>
    <x v="7"/>
    <x v="8"/>
    <n v="93.092074986959901"/>
    <n v="5663.1012283733899"/>
    <n v="20387.1644221442"/>
  </r>
  <r>
    <x v="0"/>
    <x v="0"/>
    <x v="0"/>
    <x v="3"/>
    <x v="4"/>
    <s v="GER_OFFSHORE"/>
    <x v="0"/>
    <x v="0"/>
    <s v="GWND_WIND"/>
    <x v="7"/>
    <x v="9"/>
    <n v="77.475735620491093"/>
    <n v="4713.1072502465404"/>
    <n v="16967.1861008876"/>
  </r>
  <r>
    <x v="0"/>
    <x v="0"/>
    <x v="0"/>
    <x v="3"/>
    <x v="4"/>
    <s v="GER_OFFSHORE"/>
    <x v="0"/>
    <x v="0"/>
    <s v="GWND_WIND"/>
    <x v="7"/>
    <x v="10"/>
    <n v="68.499293261863301"/>
    <n v="4167.0403400966798"/>
    <n v="15001.345224348101"/>
  </r>
  <r>
    <x v="0"/>
    <x v="0"/>
    <x v="0"/>
    <x v="3"/>
    <x v="4"/>
    <s v="GER_OFFSHORE"/>
    <x v="0"/>
    <x v="0"/>
    <s v="GWND_WIND"/>
    <x v="7"/>
    <x v="11"/>
    <n v="69.254177144425199"/>
    <n v="4212.9624429525302"/>
    <n v="15166.6647946291"/>
  </r>
  <r>
    <x v="0"/>
    <x v="0"/>
    <x v="0"/>
    <x v="3"/>
    <x v="4"/>
    <s v="GER_OFFSHORE"/>
    <x v="0"/>
    <x v="0"/>
    <s v="GWND_WIND"/>
    <x v="8"/>
    <x v="0"/>
    <n v="20.957014453981898"/>
    <n v="1274.88504595056"/>
    <n v="4589.5861654220298"/>
  </r>
  <r>
    <x v="0"/>
    <x v="0"/>
    <x v="0"/>
    <x v="3"/>
    <x v="4"/>
    <s v="GER_OFFSHORE"/>
    <x v="0"/>
    <x v="0"/>
    <s v="GWND_WIND"/>
    <x v="8"/>
    <x v="1"/>
    <n v="19.2469713730762"/>
    <n v="1170.8574251954699"/>
    <n v="4215.0867307036897"/>
  </r>
  <r>
    <x v="0"/>
    <x v="0"/>
    <x v="0"/>
    <x v="3"/>
    <x v="4"/>
    <s v="GER_OFFSHORE"/>
    <x v="0"/>
    <x v="0"/>
    <s v="GWND_WIND"/>
    <x v="8"/>
    <x v="2"/>
    <n v="21.794062568659399"/>
    <n v="1325.8054729267801"/>
    <n v="4772.8997025364097"/>
  </r>
  <r>
    <x v="0"/>
    <x v="0"/>
    <x v="0"/>
    <x v="3"/>
    <x v="4"/>
    <s v="GER_OFFSHORE"/>
    <x v="0"/>
    <x v="0"/>
    <s v="GWND_WIND"/>
    <x v="8"/>
    <x v="3"/>
    <n v="23.185719250117199"/>
    <n v="1410.4645877154601"/>
    <n v="5077.67251577566"/>
  </r>
  <r>
    <x v="0"/>
    <x v="0"/>
    <x v="0"/>
    <x v="3"/>
    <x v="4"/>
    <s v="GER_OFFSHORE"/>
    <x v="0"/>
    <x v="0"/>
    <s v="GWND_WIND"/>
    <x v="8"/>
    <x v="4"/>
    <n v="24.315477441706498"/>
    <n v="1479.19154437048"/>
    <n v="5325.0895597337203"/>
  </r>
  <r>
    <x v="0"/>
    <x v="0"/>
    <x v="0"/>
    <x v="3"/>
    <x v="4"/>
    <s v="GER_OFFSHORE"/>
    <x v="0"/>
    <x v="0"/>
    <s v="GWND_WIND"/>
    <x v="8"/>
    <x v="5"/>
    <n v="28.798563356513199"/>
    <n v="1751.9126041878901"/>
    <n v="6306.8853750763901"/>
  </r>
  <r>
    <x v="0"/>
    <x v="0"/>
    <x v="0"/>
    <x v="3"/>
    <x v="4"/>
    <s v="GER_OFFSHORE"/>
    <x v="0"/>
    <x v="0"/>
    <s v="GWND_WIND"/>
    <x v="8"/>
    <x v="6"/>
    <n v="35.027639203776097"/>
    <n v="2130.8480515630499"/>
    <n v="7671.0529856269704"/>
  </r>
  <r>
    <x v="0"/>
    <x v="0"/>
    <x v="0"/>
    <x v="3"/>
    <x v="4"/>
    <s v="GER_OFFSHORE"/>
    <x v="0"/>
    <x v="0"/>
    <s v="GWND_WIND"/>
    <x v="8"/>
    <x v="7"/>
    <n v="43.259468208856497"/>
    <n v="2631.6176493721"/>
    <n v="9473.8235377395595"/>
  </r>
  <r>
    <x v="0"/>
    <x v="0"/>
    <x v="0"/>
    <x v="3"/>
    <x v="4"/>
    <s v="GER_OFFSHORE"/>
    <x v="0"/>
    <x v="0"/>
    <s v="GWND_WIND"/>
    <x v="8"/>
    <x v="8"/>
    <n v="47.100646060260097"/>
    <n v="2865.2893019991602"/>
    <n v="10315.041487197001"/>
  </r>
  <r>
    <x v="0"/>
    <x v="0"/>
    <x v="0"/>
    <x v="3"/>
    <x v="4"/>
    <s v="GER_OFFSHORE"/>
    <x v="0"/>
    <x v="0"/>
    <s v="GWND_WIND"/>
    <x v="8"/>
    <x v="9"/>
    <n v="49.226645566250902"/>
    <n v="2994.6209386136002"/>
    <n v="10780.635379009"/>
  </r>
  <r>
    <x v="0"/>
    <x v="0"/>
    <x v="0"/>
    <x v="3"/>
    <x v="4"/>
    <s v="GER_OFFSHORE"/>
    <x v="0"/>
    <x v="0"/>
    <s v="GWND_WIND"/>
    <x v="8"/>
    <x v="10"/>
    <n v="55.368421916891101"/>
    <n v="3368.2456666108701"/>
    <n v="12125.6843997991"/>
  </r>
  <r>
    <x v="0"/>
    <x v="0"/>
    <x v="0"/>
    <x v="3"/>
    <x v="4"/>
    <s v="GER_OFFSHORE"/>
    <x v="0"/>
    <x v="0"/>
    <s v="GWND_WIND"/>
    <x v="8"/>
    <x v="11"/>
    <n v="65.495163525137102"/>
    <n v="3984.2891144458399"/>
    <n v="14343.440812004999"/>
  </r>
  <r>
    <x v="0"/>
    <x v="0"/>
    <x v="0"/>
    <x v="3"/>
    <x v="4"/>
    <s v="GER_OFFSHORE"/>
    <x v="0"/>
    <x v="0"/>
    <s v="GWND_WIND"/>
    <x v="9"/>
    <x v="0"/>
    <n v="148.378332671735"/>
    <n v="9026.3485708639"/>
    <n v="32494.854855109999"/>
  </r>
  <r>
    <x v="0"/>
    <x v="0"/>
    <x v="0"/>
    <x v="3"/>
    <x v="4"/>
    <s v="GER_OFFSHORE"/>
    <x v="0"/>
    <x v="0"/>
    <s v="GWND_WIND"/>
    <x v="9"/>
    <x v="1"/>
    <n v="150.82785384168099"/>
    <n v="9175.36110870228"/>
    <n v="33031.299991328196"/>
  </r>
  <r>
    <x v="0"/>
    <x v="0"/>
    <x v="0"/>
    <x v="3"/>
    <x v="4"/>
    <s v="GER_OFFSHORE"/>
    <x v="0"/>
    <x v="0"/>
    <s v="GWND_WIND"/>
    <x v="9"/>
    <x v="2"/>
    <n v="151.92166518171999"/>
    <n v="9241.9012985546306"/>
    <n v="33270.844674796703"/>
  </r>
  <r>
    <x v="0"/>
    <x v="0"/>
    <x v="0"/>
    <x v="3"/>
    <x v="4"/>
    <s v="GER_OFFSHORE"/>
    <x v="0"/>
    <x v="0"/>
    <s v="GWND_WIND"/>
    <x v="9"/>
    <x v="3"/>
    <n v="156.66664958639501"/>
    <n v="9530.5545165056992"/>
    <n v="34309.996259420499"/>
  </r>
  <r>
    <x v="0"/>
    <x v="0"/>
    <x v="0"/>
    <x v="3"/>
    <x v="4"/>
    <s v="GER_OFFSHORE"/>
    <x v="0"/>
    <x v="0"/>
    <s v="GWND_WIND"/>
    <x v="9"/>
    <x v="4"/>
    <n v="161.78137303559001"/>
    <n v="9841.7001929984199"/>
    <n v="35430.120694794299"/>
  </r>
  <r>
    <x v="0"/>
    <x v="0"/>
    <x v="0"/>
    <x v="3"/>
    <x v="4"/>
    <s v="GER_OFFSHORE"/>
    <x v="0"/>
    <x v="0"/>
    <s v="GWND_WIND"/>
    <x v="9"/>
    <x v="5"/>
    <n v="168.45208163047499"/>
    <n v="10247.5016325205"/>
    <n v="36891.005877073898"/>
  </r>
  <r>
    <x v="0"/>
    <x v="0"/>
    <x v="0"/>
    <x v="3"/>
    <x v="4"/>
    <s v="GER_OFFSHORE"/>
    <x v="0"/>
    <x v="0"/>
    <s v="GWND_WIND"/>
    <x v="9"/>
    <x v="6"/>
    <n v="168.462352159489"/>
    <n v="10248.126423035599"/>
    <n v="36893.255122928102"/>
  </r>
  <r>
    <x v="0"/>
    <x v="0"/>
    <x v="0"/>
    <x v="3"/>
    <x v="4"/>
    <s v="GER_OFFSHORE"/>
    <x v="0"/>
    <x v="0"/>
    <s v="GWND_WIND"/>
    <x v="9"/>
    <x v="7"/>
    <n v="171.92865570186501"/>
    <n v="10458.9932218635"/>
    <n v="37652.375598708502"/>
  </r>
  <r>
    <x v="0"/>
    <x v="0"/>
    <x v="0"/>
    <x v="3"/>
    <x v="4"/>
    <s v="GER_OFFSHORE"/>
    <x v="0"/>
    <x v="0"/>
    <s v="GWND_WIND"/>
    <x v="9"/>
    <x v="8"/>
    <n v="171.178907083811"/>
    <n v="10413.383514265101"/>
    <n v="37488.180651354502"/>
  </r>
  <r>
    <x v="0"/>
    <x v="0"/>
    <x v="0"/>
    <x v="3"/>
    <x v="4"/>
    <s v="GER_OFFSHORE"/>
    <x v="0"/>
    <x v="0"/>
    <s v="GWND_WIND"/>
    <x v="9"/>
    <x v="9"/>
    <n v="159.203470252964"/>
    <n v="9684.8777737219698"/>
    <n v="34865.559985399101"/>
  </r>
  <r>
    <x v="0"/>
    <x v="0"/>
    <x v="0"/>
    <x v="3"/>
    <x v="4"/>
    <s v="GER_OFFSHORE"/>
    <x v="0"/>
    <x v="0"/>
    <s v="GWND_WIND"/>
    <x v="9"/>
    <x v="10"/>
    <n v="154.247940003493"/>
    <n v="9383.4163502124593"/>
    <n v="33780.298860764902"/>
  </r>
  <r>
    <x v="0"/>
    <x v="0"/>
    <x v="0"/>
    <x v="3"/>
    <x v="4"/>
    <s v="GER_OFFSHORE"/>
    <x v="0"/>
    <x v="0"/>
    <s v="GWND_WIND"/>
    <x v="9"/>
    <x v="11"/>
    <n v="153.10791128288901"/>
    <n v="9314.0646030423995"/>
    <n v="33530.632570952701"/>
  </r>
  <r>
    <x v="0"/>
    <x v="0"/>
    <x v="0"/>
    <x v="3"/>
    <x v="4"/>
    <s v="GER_OFFSHORE"/>
    <x v="0"/>
    <x v="0"/>
    <s v="GWND_WIND"/>
    <x v="10"/>
    <x v="0"/>
    <n v="150.20648683630699"/>
    <n v="9137.5612825420194"/>
    <n v="32895.220617151303"/>
  </r>
  <r>
    <x v="0"/>
    <x v="0"/>
    <x v="0"/>
    <x v="3"/>
    <x v="4"/>
    <s v="GER_OFFSHORE"/>
    <x v="0"/>
    <x v="0"/>
    <s v="GWND_WIND"/>
    <x v="10"/>
    <x v="1"/>
    <n v="147.37182082831899"/>
    <n v="8965.1191003894291"/>
    <n v="32274.428761401901"/>
  </r>
  <r>
    <x v="0"/>
    <x v="0"/>
    <x v="0"/>
    <x v="3"/>
    <x v="4"/>
    <s v="GER_OFFSHORE"/>
    <x v="0"/>
    <x v="0"/>
    <s v="GWND_WIND"/>
    <x v="10"/>
    <x v="2"/>
    <n v="154.21712841644899"/>
    <n v="9381.5419786673301"/>
    <n v="33773.5511232024"/>
  </r>
  <r>
    <x v="0"/>
    <x v="0"/>
    <x v="0"/>
    <x v="3"/>
    <x v="4"/>
    <s v="GER_OFFSHORE"/>
    <x v="0"/>
    <x v="0"/>
    <s v="GWND_WIND"/>
    <x v="10"/>
    <x v="3"/>
    <n v="169.340482390224"/>
    <n v="10301.546012072"/>
    <n v="37085.5656434591"/>
  </r>
  <r>
    <x v="0"/>
    <x v="0"/>
    <x v="0"/>
    <x v="3"/>
    <x v="4"/>
    <s v="GER_OFFSHORE"/>
    <x v="0"/>
    <x v="0"/>
    <s v="GWND_WIND"/>
    <x v="10"/>
    <x v="4"/>
    <n v="170.978631768029"/>
    <n v="10401.2000992218"/>
    <n v="37444.320357198303"/>
  </r>
  <r>
    <x v="0"/>
    <x v="0"/>
    <x v="0"/>
    <x v="3"/>
    <x v="4"/>
    <s v="GER_OFFSHORE"/>
    <x v="0"/>
    <x v="0"/>
    <s v="GWND_WIND"/>
    <x v="10"/>
    <x v="5"/>
    <n v="178.922885960705"/>
    <n v="10884.475562609499"/>
    <n v="39184.112025394301"/>
  </r>
  <r>
    <x v="0"/>
    <x v="0"/>
    <x v="0"/>
    <x v="3"/>
    <x v="4"/>
    <s v="GER_OFFSHORE"/>
    <x v="0"/>
    <x v="0"/>
    <s v="GWND_WIND"/>
    <x v="10"/>
    <x v="6"/>
    <n v="183.883551474683"/>
    <n v="11186.2493813766"/>
    <n v="40270.497772955598"/>
  </r>
  <r>
    <x v="0"/>
    <x v="0"/>
    <x v="0"/>
    <x v="3"/>
    <x v="4"/>
    <s v="GER_OFFSHORE"/>
    <x v="0"/>
    <x v="0"/>
    <s v="GWND_WIND"/>
    <x v="10"/>
    <x v="7"/>
    <n v="186.08657994828201"/>
    <n v="11320.266946853901"/>
    <n v="40752.961008673898"/>
  </r>
  <r>
    <x v="0"/>
    <x v="0"/>
    <x v="0"/>
    <x v="3"/>
    <x v="4"/>
    <s v="GER_OFFSHORE"/>
    <x v="0"/>
    <x v="0"/>
    <s v="GWND_WIND"/>
    <x v="10"/>
    <x v="8"/>
    <n v="185.63467667164699"/>
    <n v="11292.7761641918"/>
    <n v="40653.994191090598"/>
  </r>
  <r>
    <x v="0"/>
    <x v="0"/>
    <x v="0"/>
    <x v="3"/>
    <x v="4"/>
    <s v="GER_OFFSHORE"/>
    <x v="0"/>
    <x v="0"/>
    <s v="GWND_WIND"/>
    <x v="10"/>
    <x v="9"/>
    <n v="186.73362327619299"/>
    <n v="11359.628749301701"/>
    <n v="40894.663497486203"/>
  </r>
  <r>
    <x v="0"/>
    <x v="0"/>
    <x v="0"/>
    <x v="3"/>
    <x v="4"/>
    <s v="GER_OFFSHORE"/>
    <x v="0"/>
    <x v="0"/>
    <s v="GWND_WIND"/>
    <x v="10"/>
    <x v="10"/>
    <n v="190.24100893462699"/>
    <n v="11572.9947101898"/>
    <n v="41662.780956683302"/>
  </r>
  <r>
    <x v="0"/>
    <x v="0"/>
    <x v="0"/>
    <x v="3"/>
    <x v="4"/>
    <s v="GER_OFFSHORE"/>
    <x v="0"/>
    <x v="0"/>
    <s v="GWND_WIND"/>
    <x v="10"/>
    <x v="11"/>
    <n v="193.84082935419099"/>
    <n v="11791.983785713301"/>
    <n v="42451.141628567799"/>
  </r>
  <r>
    <x v="0"/>
    <x v="0"/>
    <x v="0"/>
    <x v="3"/>
    <x v="4"/>
    <s v="GER_OFFSHORE"/>
    <x v="0"/>
    <x v="0"/>
    <s v="GWND_WIND"/>
    <x v="11"/>
    <x v="0"/>
    <n v="194.06164572800199"/>
    <n v="11805.4167817868"/>
    <n v="42499.500414432398"/>
  </r>
  <r>
    <x v="0"/>
    <x v="0"/>
    <x v="0"/>
    <x v="3"/>
    <x v="4"/>
    <s v="GER_OFFSHORE"/>
    <x v="0"/>
    <x v="0"/>
    <s v="GWND_WIND"/>
    <x v="11"/>
    <x v="1"/>
    <n v="179.76506933989"/>
    <n v="10935.708384843299"/>
    <n v="39368.550185435801"/>
  </r>
  <r>
    <x v="0"/>
    <x v="0"/>
    <x v="0"/>
    <x v="3"/>
    <x v="4"/>
    <s v="GER_OFFSHORE"/>
    <x v="0"/>
    <x v="0"/>
    <s v="GWND_WIND"/>
    <x v="11"/>
    <x v="2"/>
    <n v="170.48051111082799"/>
    <n v="10370.897759242"/>
    <n v="37335.231933271403"/>
  </r>
  <r>
    <x v="0"/>
    <x v="0"/>
    <x v="0"/>
    <x v="3"/>
    <x v="4"/>
    <s v="GER_OFFSHORE"/>
    <x v="0"/>
    <x v="0"/>
    <s v="GWND_WIND"/>
    <x v="11"/>
    <x v="3"/>
    <n v="154.07334101024699"/>
    <n v="9372.7949114566909"/>
    <n v="33742.0616812441"/>
  </r>
  <r>
    <x v="0"/>
    <x v="0"/>
    <x v="0"/>
    <x v="3"/>
    <x v="4"/>
    <s v="GER_OFFSHORE"/>
    <x v="0"/>
    <x v="0"/>
    <s v="GWND_WIND"/>
    <x v="11"/>
    <x v="4"/>
    <n v="137.36319030374"/>
    <n v="8356.2607434774909"/>
    <n v="30082.5386765189"/>
  </r>
  <r>
    <x v="0"/>
    <x v="0"/>
    <x v="0"/>
    <x v="3"/>
    <x v="4"/>
    <s v="GER_OFFSHORE"/>
    <x v="0"/>
    <x v="0"/>
    <s v="GWND_WIND"/>
    <x v="11"/>
    <x v="5"/>
    <n v="130.55382956715999"/>
    <n v="7942.0246320022497"/>
    <n v="28591.288675208099"/>
  </r>
  <r>
    <x v="0"/>
    <x v="0"/>
    <x v="0"/>
    <x v="3"/>
    <x v="4"/>
    <s v="GER_OFFSHORE"/>
    <x v="0"/>
    <x v="0"/>
    <s v="GWND_WIND"/>
    <x v="11"/>
    <x v="6"/>
    <n v="128.40728900314099"/>
    <n v="7811.44341435772"/>
    <n v="28121.1962916878"/>
  </r>
  <r>
    <x v="0"/>
    <x v="0"/>
    <x v="0"/>
    <x v="3"/>
    <x v="4"/>
    <s v="GER_OFFSHORE"/>
    <x v="0"/>
    <x v="0"/>
    <s v="GWND_WIND"/>
    <x v="11"/>
    <x v="7"/>
    <n v="132.022515216226"/>
    <n v="8031.3696756537702"/>
    <n v="28912.930832353599"/>
  </r>
  <r>
    <x v="0"/>
    <x v="0"/>
    <x v="0"/>
    <x v="3"/>
    <x v="4"/>
    <s v="GER_OFFSHORE"/>
    <x v="0"/>
    <x v="0"/>
    <s v="GWND_WIND"/>
    <x v="11"/>
    <x v="8"/>
    <n v="158.006953622781"/>
    <n v="9612.0896787191596"/>
    <n v="34603.522843389001"/>
  </r>
  <r>
    <x v="0"/>
    <x v="0"/>
    <x v="0"/>
    <x v="3"/>
    <x v="4"/>
    <s v="GER_OFFSHORE"/>
    <x v="0"/>
    <x v="0"/>
    <s v="GWND_WIND"/>
    <x v="11"/>
    <x v="9"/>
    <n v="178.89207437366099"/>
    <n v="10882.601191064399"/>
    <n v="39177.364287831799"/>
  </r>
  <r>
    <x v="0"/>
    <x v="0"/>
    <x v="0"/>
    <x v="3"/>
    <x v="4"/>
    <s v="GER_OFFSHORE"/>
    <x v="0"/>
    <x v="0"/>
    <s v="GWND_WIND"/>
    <x v="11"/>
    <x v="10"/>
    <n v="172.88895016471599"/>
    <n v="10517.4111350202"/>
    <n v="37862.680086072898"/>
  </r>
  <r>
    <x v="0"/>
    <x v="0"/>
    <x v="0"/>
    <x v="3"/>
    <x v="4"/>
    <s v="GER_OFFSHORE"/>
    <x v="0"/>
    <x v="0"/>
    <s v="GWND_WIND"/>
    <x v="11"/>
    <x v="11"/>
    <n v="158.13019997095401"/>
    <n v="9619.5871648996999"/>
    <n v="34630.5137936389"/>
  </r>
  <r>
    <x v="0"/>
    <x v="0"/>
    <x v="0"/>
    <x v="3"/>
    <x v="4"/>
    <s v="GerA"/>
    <x v="8"/>
    <x v="5"/>
    <s v="GCND_NUCLEAR"/>
    <x v="0"/>
    <x v="0"/>
    <n v="11883.142699408399"/>
    <n v="722891.18088067905"/>
    <n v="2602408.2511704499"/>
  </r>
  <r>
    <x v="0"/>
    <x v="0"/>
    <x v="0"/>
    <x v="3"/>
    <x v="4"/>
    <s v="GerA"/>
    <x v="8"/>
    <x v="5"/>
    <s v="GCND_NUCLEAR"/>
    <x v="0"/>
    <x v="1"/>
    <n v="11883.142699408399"/>
    <n v="722891.18088067905"/>
    <n v="2602408.2511704499"/>
  </r>
  <r>
    <x v="0"/>
    <x v="0"/>
    <x v="0"/>
    <x v="3"/>
    <x v="4"/>
    <s v="GerA"/>
    <x v="8"/>
    <x v="5"/>
    <s v="GCND_NUCLEAR"/>
    <x v="0"/>
    <x v="2"/>
    <n v="11883.142699408399"/>
    <n v="722891.18088067905"/>
    <n v="2602408.2511704499"/>
  </r>
  <r>
    <x v="0"/>
    <x v="0"/>
    <x v="0"/>
    <x v="3"/>
    <x v="4"/>
    <s v="GerA"/>
    <x v="8"/>
    <x v="5"/>
    <s v="GCND_NUCLEAR"/>
    <x v="0"/>
    <x v="3"/>
    <n v="11883.142699408399"/>
    <n v="722891.18088067905"/>
    <n v="2602408.2511704499"/>
  </r>
  <r>
    <x v="0"/>
    <x v="0"/>
    <x v="0"/>
    <x v="3"/>
    <x v="4"/>
    <s v="GerA"/>
    <x v="8"/>
    <x v="5"/>
    <s v="GCND_NUCLEAR"/>
    <x v="0"/>
    <x v="4"/>
    <n v="11883.142699408399"/>
    <n v="722891.18088067905"/>
    <n v="2602408.2511704499"/>
  </r>
  <r>
    <x v="0"/>
    <x v="0"/>
    <x v="0"/>
    <x v="3"/>
    <x v="4"/>
    <s v="GerA"/>
    <x v="8"/>
    <x v="5"/>
    <s v="GCND_NUCLEAR"/>
    <x v="0"/>
    <x v="5"/>
    <n v="11883.142699408399"/>
    <n v="722891.18088067905"/>
    <n v="2602408.2511704499"/>
  </r>
  <r>
    <x v="0"/>
    <x v="0"/>
    <x v="0"/>
    <x v="3"/>
    <x v="4"/>
    <s v="GerA"/>
    <x v="8"/>
    <x v="5"/>
    <s v="GCND_NUCLEAR"/>
    <x v="0"/>
    <x v="6"/>
    <n v="11883.142699408399"/>
    <n v="722891.18088067905"/>
    <n v="2602408.2511704499"/>
  </r>
  <r>
    <x v="0"/>
    <x v="0"/>
    <x v="0"/>
    <x v="3"/>
    <x v="4"/>
    <s v="GerA"/>
    <x v="8"/>
    <x v="5"/>
    <s v="GCND_NUCLEAR"/>
    <x v="0"/>
    <x v="7"/>
    <n v="11883.142699408399"/>
    <n v="722891.18088067905"/>
    <n v="2602408.2511704499"/>
  </r>
  <r>
    <x v="0"/>
    <x v="0"/>
    <x v="0"/>
    <x v="3"/>
    <x v="4"/>
    <s v="GerA"/>
    <x v="8"/>
    <x v="5"/>
    <s v="GCND_NUCLEAR"/>
    <x v="0"/>
    <x v="8"/>
    <n v="11883.142699408399"/>
    <n v="722891.18088067905"/>
    <n v="2602408.2511704499"/>
  </r>
  <r>
    <x v="0"/>
    <x v="0"/>
    <x v="0"/>
    <x v="3"/>
    <x v="4"/>
    <s v="GerA"/>
    <x v="8"/>
    <x v="5"/>
    <s v="GCND_NUCLEAR"/>
    <x v="0"/>
    <x v="9"/>
    <n v="11883.142699408399"/>
    <n v="722891.18088067905"/>
    <n v="2602408.2511704499"/>
  </r>
  <r>
    <x v="0"/>
    <x v="0"/>
    <x v="0"/>
    <x v="3"/>
    <x v="4"/>
    <s v="GerA"/>
    <x v="8"/>
    <x v="5"/>
    <s v="GCND_NUCLEAR"/>
    <x v="0"/>
    <x v="10"/>
    <n v="11883.142699408399"/>
    <n v="722891.18088067905"/>
    <n v="2602408.2511704499"/>
  </r>
  <r>
    <x v="0"/>
    <x v="0"/>
    <x v="0"/>
    <x v="3"/>
    <x v="4"/>
    <s v="GerA"/>
    <x v="8"/>
    <x v="5"/>
    <s v="GCND_NUCLEAR"/>
    <x v="0"/>
    <x v="11"/>
    <n v="11883.142699408399"/>
    <n v="722891.18088067905"/>
    <n v="2602408.2511704499"/>
  </r>
  <r>
    <x v="0"/>
    <x v="0"/>
    <x v="0"/>
    <x v="3"/>
    <x v="4"/>
    <s v="GerA"/>
    <x v="8"/>
    <x v="5"/>
    <s v="GCND_NUCLEAR"/>
    <x v="1"/>
    <x v="0"/>
    <n v="11883.142699408399"/>
    <n v="722891.18088067905"/>
    <n v="2602408.2511704499"/>
  </r>
  <r>
    <x v="0"/>
    <x v="0"/>
    <x v="0"/>
    <x v="3"/>
    <x v="4"/>
    <s v="GerA"/>
    <x v="8"/>
    <x v="5"/>
    <s v="GCND_NUCLEAR"/>
    <x v="1"/>
    <x v="1"/>
    <n v="11883.142699408399"/>
    <n v="722891.18088067905"/>
    <n v="2602408.2511704499"/>
  </r>
  <r>
    <x v="0"/>
    <x v="0"/>
    <x v="0"/>
    <x v="3"/>
    <x v="4"/>
    <s v="GerA"/>
    <x v="8"/>
    <x v="5"/>
    <s v="GCND_NUCLEAR"/>
    <x v="1"/>
    <x v="2"/>
    <n v="11883.142699408399"/>
    <n v="722891.18088067905"/>
    <n v="2602408.2511704499"/>
  </r>
  <r>
    <x v="0"/>
    <x v="0"/>
    <x v="0"/>
    <x v="3"/>
    <x v="4"/>
    <s v="GerA"/>
    <x v="8"/>
    <x v="5"/>
    <s v="GCND_NUCLEAR"/>
    <x v="1"/>
    <x v="3"/>
    <n v="11883.142699408399"/>
    <n v="722891.18088067905"/>
    <n v="2602408.2511704499"/>
  </r>
  <r>
    <x v="0"/>
    <x v="0"/>
    <x v="0"/>
    <x v="3"/>
    <x v="4"/>
    <s v="GerA"/>
    <x v="8"/>
    <x v="5"/>
    <s v="GCND_NUCLEAR"/>
    <x v="1"/>
    <x v="4"/>
    <n v="11883.142699408399"/>
    <n v="722891.18088067905"/>
    <n v="2602408.2511704499"/>
  </r>
  <r>
    <x v="0"/>
    <x v="0"/>
    <x v="0"/>
    <x v="3"/>
    <x v="4"/>
    <s v="GerA"/>
    <x v="8"/>
    <x v="5"/>
    <s v="GCND_NUCLEAR"/>
    <x v="1"/>
    <x v="5"/>
    <n v="11883.142699408399"/>
    <n v="722891.18088067905"/>
    <n v="2602408.2511704499"/>
  </r>
  <r>
    <x v="0"/>
    <x v="0"/>
    <x v="0"/>
    <x v="3"/>
    <x v="4"/>
    <s v="GerA"/>
    <x v="8"/>
    <x v="5"/>
    <s v="GCND_NUCLEAR"/>
    <x v="1"/>
    <x v="6"/>
    <n v="11883.142699408399"/>
    <n v="722891.18088067905"/>
    <n v="2602408.2511704499"/>
  </r>
  <r>
    <x v="0"/>
    <x v="0"/>
    <x v="0"/>
    <x v="3"/>
    <x v="4"/>
    <s v="GerA"/>
    <x v="8"/>
    <x v="5"/>
    <s v="GCND_NUCLEAR"/>
    <x v="1"/>
    <x v="7"/>
    <n v="11883.142699408399"/>
    <n v="722891.18088067905"/>
    <n v="2602408.2511704499"/>
  </r>
  <r>
    <x v="0"/>
    <x v="0"/>
    <x v="0"/>
    <x v="3"/>
    <x v="4"/>
    <s v="GerA"/>
    <x v="8"/>
    <x v="5"/>
    <s v="GCND_NUCLEAR"/>
    <x v="1"/>
    <x v="8"/>
    <n v="11883.142699408399"/>
    <n v="722891.18088067905"/>
    <n v="2602408.2511704499"/>
  </r>
  <r>
    <x v="0"/>
    <x v="0"/>
    <x v="0"/>
    <x v="3"/>
    <x v="4"/>
    <s v="GerA"/>
    <x v="8"/>
    <x v="5"/>
    <s v="GCND_NUCLEAR"/>
    <x v="1"/>
    <x v="9"/>
    <n v="11883.142699408399"/>
    <n v="722891.18088067905"/>
    <n v="2602408.2511704499"/>
  </r>
  <r>
    <x v="0"/>
    <x v="0"/>
    <x v="0"/>
    <x v="3"/>
    <x v="4"/>
    <s v="GerA"/>
    <x v="8"/>
    <x v="5"/>
    <s v="GCND_NUCLEAR"/>
    <x v="1"/>
    <x v="10"/>
    <n v="11883.142699408399"/>
    <n v="722891.18088067905"/>
    <n v="2602408.2511704499"/>
  </r>
  <r>
    <x v="0"/>
    <x v="0"/>
    <x v="0"/>
    <x v="3"/>
    <x v="4"/>
    <s v="GerA"/>
    <x v="8"/>
    <x v="5"/>
    <s v="GCND_NUCLEAR"/>
    <x v="1"/>
    <x v="11"/>
    <n v="11883.142699408399"/>
    <n v="722891.18088067905"/>
    <n v="2602408.2511704499"/>
  </r>
  <r>
    <x v="0"/>
    <x v="0"/>
    <x v="0"/>
    <x v="3"/>
    <x v="4"/>
    <s v="GerA"/>
    <x v="8"/>
    <x v="5"/>
    <s v="GCND_NUCLEAR"/>
    <x v="2"/>
    <x v="0"/>
    <n v="11883.142699408399"/>
    <n v="722891.18088067905"/>
    <n v="2602408.2511704499"/>
  </r>
  <r>
    <x v="0"/>
    <x v="0"/>
    <x v="0"/>
    <x v="3"/>
    <x v="4"/>
    <s v="GerA"/>
    <x v="8"/>
    <x v="5"/>
    <s v="GCND_NUCLEAR"/>
    <x v="2"/>
    <x v="1"/>
    <n v="11883.142699408399"/>
    <n v="722891.18088067905"/>
    <n v="2602408.2511704499"/>
  </r>
  <r>
    <x v="0"/>
    <x v="0"/>
    <x v="0"/>
    <x v="3"/>
    <x v="4"/>
    <s v="GerA"/>
    <x v="8"/>
    <x v="5"/>
    <s v="GCND_NUCLEAR"/>
    <x v="2"/>
    <x v="2"/>
    <n v="11883.142699408399"/>
    <n v="722891.18088067905"/>
    <n v="2602408.2511704499"/>
  </r>
  <r>
    <x v="0"/>
    <x v="0"/>
    <x v="0"/>
    <x v="3"/>
    <x v="4"/>
    <s v="GerA"/>
    <x v="8"/>
    <x v="5"/>
    <s v="GCND_NUCLEAR"/>
    <x v="2"/>
    <x v="3"/>
    <n v="11883.142699408399"/>
    <n v="722891.18088067905"/>
    <n v="2602408.2511704499"/>
  </r>
  <r>
    <x v="0"/>
    <x v="0"/>
    <x v="0"/>
    <x v="3"/>
    <x v="4"/>
    <s v="GerA"/>
    <x v="8"/>
    <x v="5"/>
    <s v="GCND_NUCLEAR"/>
    <x v="2"/>
    <x v="4"/>
    <n v="11883.142699408399"/>
    <n v="722891.18088067905"/>
    <n v="2602408.2511704499"/>
  </r>
  <r>
    <x v="0"/>
    <x v="0"/>
    <x v="0"/>
    <x v="3"/>
    <x v="4"/>
    <s v="GerA"/>
    <x v="8"/>
    <x v="5"/>
    <s v="GCND_NUCLEAR"/>
    <x v="2"/>
    <x v="5"/>
    <n v="11883.142699408399"/>
    <n v="722891.18088067905"/>
    <n v="2602408.2511704499"/>
  </r>
  <r>
    <x v="0"/>
    <x v="0"/>
    <x v="0"/>
    <x v="3"/>
    <x v="4"/>
    <s v="GerA"/>
    <x v="8"/>
    <x v="5"/>
    <s v="GCND_NUCLEAR"/>
    <x v="2"/>
    <x v="6"/>
    <n v="11883.142699408399"/>
    <n v="722891.18088067905"/>
    <n v="2602408.2511704499"/>
  </r>
  <r>
    <x v="0"/>
    <x v="0"/>
    <x v="0"/>
    <x v="3"/>
    <x v="4"/>
    <s v="GerA"/>
    <x v="8"/>
    <x v="5"/>
    <s v="GCND_NUCLEAR"/>
    <x v="2"/>
    <x v="7"/>
    <n v="11883.142699408399"/>
    <n v="722891.18088067905"/>
    <n v="2602408.2511704499"/>
  </r>
  <r>
    <x v="0"/>
    <x v="0"/>
    <x v="0"/>
    <x v="3"/>
    <x v="4"/>
    <s v="GerA"/>
    <x v="8"/>
    <x v="5"/>
    <s v="GCND_NUCLEAR"/>
    <x v="2"/>
    <x v="8"/>
    <n v="11883.142699408399"/>
    <n v="722891.18088067905"/>
    <n v="2602408.2511704499"/>
  </r>
  <r>
    <x v="0"/>
    <x v="0"/>
    <x v="0"/>
    <x v="3"/>
    <x v="4"/>
    <s v="GerA"/>
    <x v="8"/>
    <x v="5"/>
    <s v="GCND_NUCLEAR"/>
    <x v="2"/>
    <x v="9"/>
    <n v="11883.142699408399"/>
    <n v="722891.18088067905"/>
    <n v="2602408.2511704499"/>
  </r>
  <r>
    <x v="0"/>
    <x v="0"/>
    <x v="0"/>
    <x v="3"/>
    <x v="4"/>
    <s v="GerA"/>
    <x v="8"/>
    <x v="5"/>
    <s v="GCND_NUCLEAR"/>
    <x v="2"/>
    <x v="10"/>
    <n v="11883.142699408399"/>
    <n v="722891.18088067905"/>
    <n v="2602408.2511704499"/>
  </r>
  <r>
    <x v="0"/>
    <x v="0"/>
    <x v="0"/>
    <x v="3"/>
    <x v="4"/>
    <s v="GerA"/>
    <x v="8"/>
    <x v="5"/>
    <s v="GCND_NUCLEAR"/>
    <x v="2"/>
    <x v="11"/>
    <n v="11883.142699408399"/>
    <n v="722891.18088067905"/>
    <n v="2602408.2511704499"/>
  </r>
  <r>
    <x v="0"/>
    <x v="0"/>
    <x v="0"/>
    <x v="3"/>
    <x v="4"/>
    <s v="GerA"/>
    <x v="8"/>
    <x v="5"/>
    <s v="GCND_NUCLEAR"/>
    <x v="3"/>
    <x v="0"/>
    <n v="11883.142699408399"/>
    <n v="722891.18088067905"/>
    <n v="2602408.2511704499"/>
  </r>
  <r>
    <x v="0"/>
    <x v="0"/>
    <x v="0"/>
    <x v="3"/>
    <x v="4"/>
    <s v="GerA"/>
    <x v="8"/>
    <x v="5"/>
    <s v="GCND_NUCLEAR"/>
    <x v="3"/>
    <x v="1"/>
    <n v="11883.142699408399"/>
    <n v="722891.18088067905"/>
    <n v="2602408.2511704499"/>
  </r>
  <r>
    <x v="0"/>
    <x v="0"/>
    <x v="0"/>
    <x v="3"/>
    <x v="4"/>
    <s v="GerA"/>
    <x v="8"/>
    <x v="5"/>
    <s v="GCND_NUCLEAR"/>
    <x v="3"/>
    <x v="2"/>
    <n v="11883.142699408399"/>
    <n v="722891.18088067905"/>
    <n v="2602408.2511704499"/>
  </r>
  <r>
    <x v="0"/>
    <x v="0"/>
    <x v="0"/>
    <x v="3"/>
    <x v="4"/>
    <s v="GerA"/>
    <x v="8"/>
    <x v="5"/>
    <s v="GCND_NUCLEAR"/>
    <x v="3"/>
    <x v="3"/>
    <n v="11883.142699408399"/>
    <n v="722891.18088067905"/>
    <n v="2602408.2511704499"/>
  </r>
  <r>
    <x v="0"/>
    <x v="0"/>
    <x v="0"/>
    <x v="3"/>
    <x v="4"/>
    <s v="GerA"/>
    <x v="8"/>
    <x v="5"/>
    <s v="GCND_NUCLEAR"/>
    <x v="3"/>
    <x v="4"/>
    <n v="11883.142699408399"/>
    <n v="722891.18088067905"/>
    <n v="2602408.2511704499"/>
  </r>
  <r>
    <x v="0"/>
    <x v="0"/>
    <x v="0"/>
    <x v="3"/>
    <x v="4"/>
    <s v="GerA"/>
    <x v="8"/>
    <x v="5"/>
    <s v="GCND_NUCLEAR"/>
    <x v="3"/>
    <x v="5"/>
    <n v="11883.142699408399"/>
    <n v="722891.18088067905"/>
    <n v="2602408.2511704499"/>
  </r>
  <r>
    <x v="0"/>
    <x v="0"/>
    <x v="0"/>
    <x v="3"/>
    <x v="4"/>
    <s v="GerA"/>
    <x v="8"/>
    <x v="5"/>
    <s v="GCND_NUCLEAR"/>
    <x v="3"/>
    <x v="6"/>
    <n v="11883.142699408399"/>
    <n v="722891.18088067905"/>
    <n v="2602408.2511704499"/>
  </r>
  <r>
    <x v="0"/>
    <x v="0"/>
    <x v="0"/>
    <x v="3"/>
    <x v="4"/>
    <s v="GerA"/>
    <x v="8"/>
    <x v="5"/>
    <s v="GCND_NUCLEAR"/>
    <x v="3"/>
    <x v="7"/>
    <n v="11883.142699408399"/>
    <n v="722891.18088067905"/>
    <n v="2602408.2511704499"/>
  </r>
  <r>
    <x v="0"/>
    <x v="0"/>
    <x v="0"/>
    <x v="3"/>
    <x v="4"/>
    <s v="GerA"/>
    <x v="8"/>
    <x v="5"/>
    <s v="GCND_NUCLEAR"/>
    <x v="3"/>
    <x v="8"/>
    <n v="11883.142699408399"/>
    <n v="722891.18088067905"/>
    <n v="2602408.2511704499"/>
  </r>
  <r>
    <x v="0"/>
    <x v="0"/>
    <x v="0"/>
    <x v="3"/>
    <x v="4"/>
    <s v="GerA"/>
    <x v="8"/>
    <x v="5"/>
    <s v="GCND_NUCLEAR"/>
    <x v="3"/>
    <x v="9"/>
    <n v="11883.142699408399"/>
    <n v="722891.18088067905"/>
    <n v="2602408.2511704499"/>
  </r>
  <r>
    <x v="0"/>
    <x v="0"/>
    <x v="0"/>
    <x v="3"/>
    <x v="4"/>
    <s v="GerA"/>
    <x v="8"/>
    <x v="5"/>
    <s v="GCND_NUCLEAR"/>
    <x v="3"/>
    <x v="10"/>
    <n v="11883.142699408399"/>
    <n v="722891.18088067905"/>
    <n v="2602408.2511704499"/>
  </r>
  <r>
    <x v="0"/>
    <x v="0"/>
    <x v="0"/>
    <x v="3"/>
    <x v="4"/>
    <s v="GerA"/>
    <x v="8"/>
    <x v="5"/>
    <s v="GCND_NUCLEAR"/>
    <x v="3"/>
    <x v="11"/>
    <n v="11883.142699408399"/>
    <n v="722891.18088067905"/>
    <n v="2602408.2511704499"/>
  </r>
  <r>
    <x v="0"/>
    <x v="0"/>
    <x v="0"/>
    <x v="3"/>
    <x v="4"/>
    <s v="GerA"/>
    <x v="8"/>
    <x v="5"/>
    <s v="GCND_NUCLEAR"/>
    <x v="4"/>
    <x v="0"/>
    <n v="12016.729893892099"/>
    <n v="731017.73521177098"/>
    <n v="2631663.8467623801"/>
  </r>
  <r>
    <x v="0"/>
    <x v="0"/>
    <x v="0"/>
    <x v="3"/>
    <x v="4"/>
    <s v="GerA"/>
    <x v="8"/>
    <x v="5"/>
    <s v="GCND_NUCLEAR"/>
    <x v="4"/>
    <x v="1"/>
    <n v="12016.729893892099"/>
    <n v="731017.73521177098"/>
    <n v="2631663.8467623801"/>
  </r>
  <r>
    <x v="0"/>
    <x v="0"/>
    <x v="0"/>
    <x v="3"/>
    <x v="4"/>
    <s v="GerA"/>
    <x v="8"/>
    <x v="5"/>
    <s v="GCND_NUCLEAR"/>
    <x v="4"/>
    <x v="2"/>
    <n v="12016.729893892099"/>
    <n v="731017.73521177098"/>
    <n v="2631663.8467623801"/>
  </r>
  <r>
    <x v="0"/>
    <x v="0"/>
    <x v="0"/>
    <x v="3"/>
    <x v="4"/>
    <s v="GerA"/>
    <x v="8"/>
    <x v="5"/>
    <s v="GCND_NUCLEAR"/>
    <x v="4"/>
    <x v="3"/>
    <n v="12016.729893892099"/>
    <n v="731017.73521177098"/>
    <n v="2631663.8467623801"/>
  </r>
  <r>
    <x v="0"/>
    <x v="0"/>
    <x v="0"/>
    <x v="3"/>
    <x v="4"/>
    <s v="GerA"/>
    <x v="8"/>
    <x v="5"/>
    <s v="GCND_NUCLEAR"/>
    <x v="4"/>
    <x v="4"/>
    <n v="12016.729893892099"/>
    <n v="731017.73521177098"/>
    <n v="2631663.8467623801"/>
  </r>
  <r>
    <x v="0"/>
    <x v="0"/>
    <x v="0"/>
    <x v="3"/>
    <x v="4"/>
    <s v="GerA"/>
    <x v="8"/>
    <x v="5"/>
    <s v="GCND_NUCLEAR"/>
    <x v="4"/>
    <x v="5"/>
    <n v="12016.729893892099"/>
    <n v="731017.73521177098"/>
    <n v="2631663.8467623801"/>
  </r>
  <r>
    <x v="0"/>
    <x v="0"/>
    <x v="0"/>
    <x v="3"/>
    <x v="4"/>
    <s v="GerA"/>
    <x v="8"/>
    <x v="5"/>
    <s v="GCND_NUCLEAR"/>
    <x v="4"/>
    <x v="6"/>
    <n v="12016.729893892099"/>
    <n v="731017.73521177098"/>
    <n v="2631663.8467623801"/>
  </r>
  <r>
    <x v="0"/>
    <x v="0"/>
    <x v="0"/>
    <x v="3"/>
    <x v="4"/>
    <s v="GerA"/>
    <x v="8"/>
    <x v="5"/>
    <s v="GCND_NUCLEAR"/>
    <x v="4"/>
    <x v="7"/>
    <n v="12016.729893892099"/>
    <n v="731017.73521177098"/>
    <n v="2631663.8467623801"/>
  </r>
  <r>
    <x v="0"/>
    <x v="0"/>
    <x v="0"/>
    <x v="3"/>
    <x v="4"/>
    <s v="GerA"/>
    <x v="8"/>
    <x v="5"/>
    <s v="GCND_NUCLEAR"/>
    <x v="4"/>
    <x v="8"/>
    <n v="12016.729893892099"/>
    <n v="731017.73521177098"/>
    <n v="2631663.8467623801"/>
  </r>
  <r>
    <x v="0"/>
    <x v="0"/>
    <x v="0"/>
    <x v="3"/>
    <x v="4"/>
    <s v="GerA"/>
    <x v="8"/>
    <x v="5"/>
    <s v="GCND_NUCLEAR"/>
    <x v="4"/>
    <x v="9"/>
    <n v="12016.729893892099"/>
    <n v="731017.73521177098"/>
    <n v="2631663.8467623801"/>
  </r>
  <r>
    <x v="0"/>
    <x v="0"/>
    <x v="0"/>
    <x v="3"/>
    <x v="4"/>
    <s v="GerA"/>
    <x v="8"/>
    <x v="5"/>
    <s v="GCND_NUCLEAR"/>
    <x v="4"/>
    <x v="10"/>
    <n v="12016.729893892099"/>
    <n v="731017.73521177098"/>
    <n v="2631663.8467623801"/>
  </r>
  <r>
    <x v="0"/>
    <x v="0"/>
    <x v="0"/>
    <x v="3"/>
    <x v="4"/>
    <s v="GerA"/>
    <x v="8"/>
    <x v="5"/>
    <s v="GCND_NUCLEAR"/>
    <x v="4"/>
    <x v="11"/>
    <n v="12016.729893892099"/>
    <n v="731017.73521177098"/>
    <n v="2631663.8467623801"/>
  </r>
  <r>
    <x v="0"/>
    <x v="0"/>
    <x v="0"/>
    <x v="3"/>
    <x v="4"/>
    <s v="GerA"/>
    <x v="8"/>
    <x v="5"/>
    <s v="GCND_NUCLEAR"/>
    <x v="5"/>
    <x v="0"/>
    <n v="12150.317088375799"/>
    <n v="739144.28954285895"/>
    <n v="2660919.4423542898"/>
  </r>
  <r>
    <x v="0"/>
    <x v="0"/>
    <x v="0"/>
    <x v="3"/>
    <x v="4"/>
    <s v="GerA"/>
    <x v="8"/>
    <x v="5"/>
    <s v="GCND_NUCLEAR"/>
    <x v="5"/>
    <x v="1"/>
    <n v="12150.317088375799"/>
    <n v="739144.28954285895"/>
    <n v="2660919.4423542898"/>
  </r>
  <r>
    <x v="0"/>
    <x v="0"/>
    <x v="0"/>
    <x v="3"/>
    <x v="4"/>
    <s v="GerA"/>
    <x v="8"/>
    <x v="5"/>
    <s v="GCND_NUCLEAR"/>
    <x v="5"/>
    <x v="2"/>
    <n v="12150.317088375799"/>
    <n v="739144.28954285895"/>
    <n v="2660919.4423542898"/>
  </r>
  <r>
    <x v="0"/>
    <x v="0"/>
    <x v="0"/>
    <x v="3"/>
    <x v="4"/>
    <s v="GerA"/>
    <x v="8"/>
    <x v="5"/>
    <s v="GCND_NUCLEAR"/>
    <x v="5"/>
    <x v="3"/>
    <n v="12150.317088375799"/>
    <n v="739144.28954285895"/>
    <n v="2660919.4423542898"/>
  </r>
  <r>
    <x v="0"/>
    <x v="0"/>
    <x v="0"/>
    <x v="3"/>
    <x v="4"/>
    <s v="GerA"/>
    <x v="8"/>
    <x v="5"/>
    <s v="GCND_NUCLEAR"/>
    <x v="5"/>
    <x v="4"/>
    <n v="12150.317088375799"/>
    <n v="739144.28954285895"/>
    <n v="2660919.4423542898"/>
  </r>
  <r>
    <x v="0"/>
    <x v="0"/>
    <x v="0"/>
    <x v="3"/>
    <x v="4"/>
    <s v="GerA"/>
    <x v="8"/>
    <x v="5"/>
    <s v="GCND_NUCLEAR"/>
    <x v="5"/>
    <x v="5"/>
    <n v="12150.317088375799"/>
    <n v="739144.28954285895"/>
    <n v="2660919.4423542898"/>
  </r>
  <r>
    <x v="0"/>
    <x v="0"/>
    <x v="0"/>
    <x v="3"/>
    <x v="4"/>
    <s v="GerA"/>
    <x v="8"/>
    <x v="5"/>
    <s v="GCND_NUCLEAR"/>
    <x v="5"/>
    <x v="6"/>
    <n v="12150.317088375799"/>
    <n v="739144.28954285895"/>
    <n v="2660919.4423542898"/>
  </r>
  <r>
    <x v="0"/>
    <x v="0"/>
    <x v="0"/>
    <x v="3"/>
    <x v="4"/>
    <s v="GerA"/>
    <x v="8"/>
    <x v="5"/>
    <s v="GCND_NUCLEAR"/>
    <x v="5"/>
    <x v="7"/>
    <n v="12150.317088375799"/>
    <n v="739144.28954285895"/>
    <n v="2660919.4423542898"/>
  </r>
  <r>
    <x v="0"/>
    <x v="0"/>
    <x v="0"/>
    <x v="3"/>
    <x v="4"/>
    <s v="GerA"/>
    <x v="8"/>
    <x v="5"/>
    <s v="GCND_NUCLEAR"/>
    <x v="5"/>
    <x v="8"/>
    <n v="12150.317088375799"/>
    <n v="739144.28954285895"/>
    <n v="2660919.4423542898"/>
  </r>
  <r>
    <x v="0"/>
    <x v="0"/>
    <x v="0"/>
    <x v="3"/>
    <x v="4"/>
    <s v="GerA"/>
    <x v="8"/>
    <x v="5"/>
    <s v="GCND_NUCLEAR"/>
    <x v="5"/>
    <x v="9"/>
    <n v="12150.317088375799"/>
    <n v="739144.28954285895"/>
    <n v="2660919.4423542898"/>
  </r>
  <r>
    <x v="0"/>
    <x v="0"/>
    <x v="0"/>
    <x v="3"/>
    <x v="4"/>
    <s v="GerA"/>
    <x v="8"/>
    <x v="5"/>
    <s v="GCND_NUCLEAR"/>
    <x v="5"/>
    <x v="10"/>
    <n v="12150.317088375799"/>
    <n v="739144.28954285895"/>
    <n v="2660919.4423542898"/>
  </r>
  <r>
    <x v="0"/>
    <x v="0"/>
    <x v="0"/>
    <x v="3"/>
    <x v="4"/>
    <s v="GerA"/>
    <x v="8"/>
    <x v="5"/>
    <s v="GCND_NUCLEAR"/>
    <x v="5"/>
    <x v="11"/>
    <n v="12150.317088375799"/>
    <n v="739144.28954285895"/>
    <n v="2660919.4423542898"/>
  </r>
  <r>
    <x v="0"/>
    <x v="0"/>
    <x v="0"/>
    <x v="3"/>
    <x v="4"/>
    <s v="GerA"/>
    <x v="8"/>
    <x v="5"/>
    <s v="GCND_NUCLEAR"/>
    <x v="6"/>
    <x v="0"/>
    <n v="12150.317088375799"/>
    <n v="739144.28954285895"/>
    <n v="2660919.4423542898"/>
  </r>
  <r>
    <x v="0"/>
    <x v="0"/>
    <x v="0"/>
    <x v="3"/>
    <x v="4"/>
    <s v="GerA"/>
    <x v="8"/>
    <x v="5"/>
    <s v="GCND_NUCLEAR"/>
    <x v="6"/>
    <x v="1"/>
    <n v="12150.317088375799"/>
    <n v="739144.28954285895"/>
    <n v="2660919.4423542898"/>
  </r>
  <r>
    <x v="0"/>
    <x v="0"/>
    <x v="0"/>
    <x v="3"/>
    <x v="4"/>
    <s v="GerA"/>
    <x v="8"/>
    <x v="5"/>
    <s v="GCND_NUCLEAR"/>
    <x v="6"/>
    <x v="2"/>
    <n v="12150.317088375799"/>
    <n v="739144.28954285895"/>
    <n v="2660919.4423542898"/>
  </r>
  <r>
    <x v="0"/>
    <x v="0"/>
    <x v="0"/>
    <x v="3"/>
    <x v="4"/>
    <s v="GerA"/>
    <x v="8"/>
    <x v="5"/>
    <s v="GCND_NUCLEAR"/>
    <x v="6"/>
    <x v="3"/>
    <n v="12150.317088375799"/>
    <n v="739144.28954285895"/>
    <n v="2660919.4423542898"/>
  </r>
  <r>
    <x v="0"/>
    <x v="0"/>
    <x v="0"/>
    <x v="3"/>
    <x v="4"/>
    <s v="GerA"/>
    <x v="8"/>
    <x v="5"/>
    <s v="GCND_NUCLEAR"/>
    <x v="6"/>
    <x v="4"/>
    <n v="12150.317088375799"/>
    <n v="739144.28954285895"/>
    <n v="2660919.4423542898"/>
  </r>
  <r>
    <x v="0"/>
    <x v="0"/>
    <x v="0"/>
    <x v="3"/>
    <x v="4"/>
    <s v="GerA"/>
    <x v="8"/>
    <x v="5"/>
    <s v="GCND_NUCLEAR"/>
    <x v="6"/>
    <x v="5"/>
    <n v="12150.317088375799"/>
    <n v="739144.28954285895"/>
    <n v="2660919.4423542898"/>
  </r>
  <r>
    <x v="0"/>
    <x v="0"/>
    <x v="0"/>
    <x v="3"/>
    <x v="4"/>
    <s v="GerA"/>
    <x v="8"/>
    <x v="5"/>
    <s v="GCND_NUCLEAR"/>
    <x v="6"/>
    <x v="6"/>
    <n v="12150.317088375799"/>
    <n v="739144.28954285895"/>
    <n v="2660919.4423542898"/>
  </r>
  <r>
    <x v="0"/>
    <x v="0"/>
    <x v="0"/>
    <x v="3"/>
    <x v="4"/>
    <s v="GerA"/>
    <x v="8"/>
    <x v="5"/>
    <s v="GCND_NUCLEAR"/>
    <x v="6"/>
    <x v="7"/>
    <n v="12150.317088375799"/>
    <n v="739144.28954285895"/>
    <n v="2660919.4423542898"/>
  </r>
  <r>
    <x v="0"/>
    <x v="0"/>
    <x v="0"/>
    <x v="3"/>
    <x v="4"/>
    <s v="GerA"/>
    <x v="8"/>
    <x v="5"/>
    <s v="GCND_NUCLEAR"/>
    <x v="6"/>
    <x v="8"/>
    <n v="12150.317088375799"/>
    <n v="739144.28954285895"/>
    <n v="2660919.4423542898"/>
  </r>
  <r>
    <x v="0"/>
    <x v="0"/>
    <x v="0"/>
    <x v="3"/>
    <x v="4"/>
    <s v="GerA"/>
    <x v="8"/>
    <x v="5"/>
    <s v="GCND_NUCLEAR"/>
    <x v="6"/>
    <x v="9"/>
    <n v="12150.317088375799"/>
    <n v="739144.28954285895"/>
    <n v="2660919.4423542898"/>
  </r>
  <r>
    <x v="0"/>
    <x v="0"/>
    <x v="0"/>
    <x v="3"/>
    <x v="4"/>
    <s v="GerA"/>
    <x v="8"/>
    <x v="5"/>
    <s v="GCND_NUCLEAR"/>
    <x v="6"/>
    <x v="10"/>
    <n v="12150.317088375799"/>
    <n v="739144.28954285895"/>
    <n v="2660919.4423542898"/>
  </r>
  <r>
    <x v="0"/>
    <x v="0"/>
    <x v="0"/>
    <x v="3"/>
    <x v="4"/>
    <s v="GerA"/>
    <x v="8"/>
    <x v="5"/>
    <s v="GCND_NUCLEAR"/>
    <x v="6"/>
    <x v="11"/>
    <n v="12150.317088375799"/>
    <n v="739144.28954285895"/>
    <n v="2660919.4423542898"/>
  </r>
  <r>
    <x v="0"/>
    <x v="0"/>
    <x v="0"/>
    <x v="3"/>
    <x v="4"/>
    <s v="GerA"/>
    <x v="8"/>
    <x v="5"/>
    <s v="GCND_NUCLEAR"/>
    <x v="7"/>
    <x v="0"/>
    <n v="12150.317088375799"/>
    <n v="739144.28954285895"/>
    <n v="2660919.4423542898"/>
  </r>
  <r>
    <x v="0"/>
    <x v="0"/>
    <x v="0"/>
    <x v="3"/>
    <x v="4"/>
    <s v="GerA"/>
    <x v="8"/>
    <x v="5"/>
    <s v="GCND_NUCLEAR"/>
    <x v="7"/>
    <x v="1"/>
    <n v="12150.317088375799"/>
    <n v="739144.28954285895"/>
    <n v="2660919.4423542898"/>
  </r>
  <r>
    <x v="0"/>
    <x v="0"/>
    <x v="0"/>
    <x v="3"/>
    <x v="4"/>
    <s v="GerA"/>
    <x v="8"/>
    <x v="5"/>
    <s v="GCND_NUCLEAR"/>
    <x v="7"/>
    <x v="2"/>
    <n v="12150.317088375799"/>
    <n v="739144.28954285895"/>
    <n v="2660919.4423542898"/>
  </r>
  <r>
    <x v="0"/>
    <x v="0"/>
    <x v="0"/>
    <x v="3"/>
    <x v="4"/>
    <s v="GerA"/>
    <x v="8"/>
    <x v="5"/>
    <s v="GCND_NUCLEAR"/>
    <x v="7"/>
    <x v="3"/>
    <n v="12150.317088375799"/>
    <n v="739144.28954285895"/>
    <n v="2660919.4423542898"/>
  </r>
  <r>
    <x v="0"/>
    <x v="0"/>
    <x v="0"/>
    <x v="3"/>
    <x v="4"/>
    <s v="GerA"/>
    <x v="8"/>
    <x v="5"/>
    <s v="GCND_NUCLEAR"/>
    <x v="7"/>
    <x v="4"/>
    <n v="12150.317088375799"/>
    <n v="739144.28954285895"/>
    <n v="2660919.4423542898"/>
  </r>
  <r>
    <x v="0"/>
    <x v="0"/>
    <x v="0"/>
    <x v="3"/>
    <x v="4"/>
    <s v="GerA"/>
    <x v="8"/>
    <x v="5"/>
    <s v="GCND_NUCLEAR"/>
    <x v="7"/>
    <x v="5"/>
    <n v="12150.317088375799"/>
    <n v="739144.28954285895"/>
    <n v="2660919.4423542898"/>
  </r>
  <r>
    <x v="0"/>
    <x v="0"/>
    <x v="0"/>
    <x v="3"/>
    <x v="4"/>
    <s v="GerA"/>
    <x v="8"/>
    <x v="5"/>
    <s v="GCND_NUCLEAR"/>
    <x v="7"/>
    <x v="6"/>
    <n v="12150.317088375799"/>
    <n v="739144.28954285895"/>
    <n v="2660919.4423542898"/>
  </r>
  <r>
    <x v="0"/>
    <x v="0"/>
    <x v="0"/>
    <x v="3"/>
    <x v="4"/>
    <s v="GerA"/>
    <x v="8"/>
    <x v="5"/>
    <s v="GCND_NUCLEAR"/>
    <x v="7"/>
    <x v="7"/>
    <n v="12150.317088375799"/>
    <n v="739144.28954285895"/>
    <n v="2660919.4423542898"/>
  </r>
  <r>
    <x v="0"/>
    <x v="0"/>
    <x v="0"/>
    <x v="3"/>
    <x v="4"/>
    <s v="GerA"/>
    <x v="8"/>
    <x v="5"/>
    <s v="GCND_NUCLEAR"/>
    <x v="7"/>
    <x v="8"/>
    <n v="12150.317088375799"/>
    <n v="739144.28954285895"/>
    <n v="2660919.4423542898"/>
  </r>
  <r>
    <x v="0"/>
    <x v="0"/>
    <x v="0"/>
    <x v="3"/>
    <x v="4"/>
    <s v="GerA"/>
    <x v="8"/>
    <x v="5"/>
    <s v="GCND_NUCLEAR"/>
    <x v="7"/>
    <x v="9"/>
    <n v="12150.317088375799"/>
    <n v="739144.28954285895"/>
    <n v="2660919.4423542898"/>
  </r>
  <r>
    <x v="0"/>
    <x v="0"/>
    <x v="0"/>
    <x v="3"/>
    <x v="4"/>
    <s v="GerA"/>
    <x v="8"/>
    <x v="5"/>
    <s v="GCND_NUCLEAR"/>
    <x v="7"/>
    <x v="10"/>
    <n v="12150.317088375799"/>
    <n v="739144.28954285895"/>
    <n v="2660919.4423542898"/>
  </r>
  <r>
    <x v="0"/>
    <x v="0"/>
    <x v="0"/>
    <x v="3"/>
    <x v="4"/>
    <s v="GerA"/>
    <x v="8"/>
    <x v="5"/>
    <s v="GCND_NUCLEAR"/>
    <x v="7"/>
    <x v="11"/>
    <n v="12150.317088375799"/>
    <n v="739144.28954285895"/>
    <n v="2660919.4423542898"/>
  </r>
  <r>
    <x v="0"/>
    <x v="0"/>
    <x v="0"/>
    <x v="3"/>
    <x v="4"/>
    <s v="GerA"/>
    <x v="8"/>
    <x v="5"/>
    <s v="GCND_NUCLEAR"/>
    <x v="8"/>
    <x v="0"/>
    <n v="11970.859452046099"/>
    <n v="728227.28333280201"/>
    <n v="2621618.2199980901"/>
  </r>
  <r>
    <x v="0"/>
    <x v="0"/>
    <x v="0"/>
    <x v="3"/>
    <x v="4"/>
    <s v="GerA"/>
    <x v="8"/>
    <x v="5"/>
    <s v="GCND_NUCLEAR"/>
    <x v="8"/>
    <x v="1"/>
    <n v="11970.859452046099"/>
    <n v="728227.28333280201"/>
    <n v="2621618.2199980901"/>
  </r>
  <r>
    <x v="0"/>
    <x v="0"/>
    <x v="0"/>
    <x v="3"/>
    <x v="4"/>
    <s v="GerA"/>
    <x v="8"/>
    <x v="5"/>
    <s v="GCND_NUCLEAR"/>
    <x v="8"/>
    <x v="2"/>
    <n v="11970.859452046099"/>
    <n v="728227.28333280201"/>
    <n v="2621618.2199980901"/>
  </r>
  <r>
    <x v="0"/>
    <x v="0"/>
    <x v="0"/>
    <x v="3"/>
    <x v="4"/>
    <s v="GerA"/>
    <x v="8"/>
    <x v="5"/>
    <s v="GCND_NUCLEAR"/>
    <x v="8"/>
    <x v="3"/>
    <n v="11970.859452046099"/>
    <n v="728227.28333280201"/>
    <n v="2621618.2199980901"/>
  </r>
  <r>
    <x v="0"/>
    <x v="0"/>
    <x v="0"/>
    <x v="3"/>
    <x v="4"/>
    <s v="GerA"/>
    <x v="8"/>
    <x v="5"/>
    <s v="GCND_NUCLEAR"/>
    <x v="8"/>
    <x v="4"/>
    <n v="11970.859452046099"/>
    <n v="728227.28333280201"/>
    <n v="2621618.2199980901"/>
  </r>
  <r>
    <x v="0"/>
    <x v="0"/>
    <x v="0"/>
    <x v="3"/>
    <x v="4"/>
    <s v="GerA"/>
    <x v="8"/>
    <x v="5"/>
    <s v="GCND_NUCLEAR"/>
    <x v="8"/>
    <x v="5"/>
    <n v="11970.859452046099"/>
    <n v="728227.28333280201"/>
    <n v="2621618.2199980901"/>
  </r>
  <r>
    <x v="0"/>
    <x v="0"/>
    <x v="0"/>
    <x v="3"/>
    <x v="4"/>
    <s v="GerA"/>
    <x v="8"/>
    <x v="5"/>
    <s v="GCND_NUCLEAR"/>
    <x v="8"/>
    <x v="6"/>
    <n v="11970.859452046099"/>
    <n v="728227.28333280201"/>
    <n v="2621618.2199980901"/>
  </r>
  <r>
    <x v="0"/>
    <x v="0"/>
    <x v="0"/>
    <x v="3"/>
    <x v="4"/>
    <s v="GerA"/>
    <x v="8"/>
    <x v="5"/>
    <s v="GCND_NUCLEAR"/>
    <x v="8"/>
    <x v="7"/>
    <n v="11970.859452046099"/>
    <n v="728227.28333280201"/>
    <n v="2621618.2199980901"/>
  </r>
  <r>
    <x v="0"/>
    <x v="0"/>
    <x v="0"/>
    <x v="3"/>
    <x v="4"/>
    <s v="GerA"/>
    <x v="8"/>
    <x v="5"/>
    <s v="GCND_NUCLEAR"/>
    <x v="8"/>
    <x v="8"/>
    <n v="11970.859452046099"/>
    <n v="728227.28333280201"/>
    <n v="2621618.2199980901"/>
  </r>
  <r>
    <x v="0"/>
    <x v="0"/>
    <x v="0"/>
    <x v="3"/>
    <x v="4"/>
    <s v="GerA"/>
    <x v="8"/>
    <x v="5"/>
    <s v="GCND_NUCLEAR"/>
    <x v="8"/>
    <x v="9"/>
    <n v="11970.859452046099"/>
    <n v="728227.28333280201"/>
    <n v="2621618.2199980901"/>
  </r>
  <r>
    <x v="0"/>
    <x v="0"/>
    <x v="0"/>
    <x v="3"/>
    <x v="4"/>
    <s v="GerA"/>
    <x v="8"/>
    <x v="5"/>
    <s v="GCND_NUCLEAR"/>
    <x v="8"/>
    <x v="10"/>
    <n v="11970.859452046099"/>
    <n v="728227.28333280201"/>
    <n v="2621618.2199980901"/>
  </r>
  <r>
    <x v="0"/>
    <x v="0"/>
    <x v="0"/>
    <x v="3"/>
    <x v="4"/>
    <s v="GerA"/>
    <x v="8"/>
    <x v="5"/>
    <s v="GCND_NUCLEAR"/>
    <x v="8"/>
    <x v="11"/>
    <n v="11970.859452046099"/>
    <n v="728227.28333280201"/>
    <n v="2621618.2199980901"/>
  </r>
  <r>
    <x v="0"/>
    <x v="0"/>
    <x v="0"/>
    <x v="3"/>
    <x v="4"/>
    <s v="GerA"/>
    <x v="8"/>
    <x v="5"/>
    <s v="GCND_NUCLEAR"/>
    <x v="9"/>
    <x v="0"/>
    <n v="11791.401815716399"/>
    <n v="717310.27712274506"/>
    <n v="2582316.9976418801"/>
  </r>
  <r>
    <x v="0"/>
    <x v="0"/>
    <x v="0"/>
    <x v="3"/>
    <x v="4"/>
    <s v="GerA"/>
    <x v="8"/>
    <x v="5"/>
    <s v="GCND_NUCLEAR"/>
    <x v="9"/>
    <x v="1"/>
    <n v="11791.401815716399"/>
    <n v="717310.27712274506"/>
    <n v="2582316.9976418801"/>
  </r>
  <r>
    <x v="0"/>
    <x v="0"/>
    <x v="0"/>
    <x v="3"/>
    <x v="4"/>
    <s v="GerA"/>
    <x v="8"/>
    <x v="5"/>
    <s v="GCND_NUCLEAR"/>
    <x v="9"/>
    <x v="2"/>
    <n v="11791.401815716399"/>
    <n v="717310.27712274506"/>
    <n v="2582316.9976418801"/>
  </r>
  <r>
    <x v="0"/>
    <x v="0"/>
    <x v="0"/>
    <x v="3"/>
    <x v="4"/>
    <s v="GerA"/>
    <x v="8"/>
    <x v="5"/>
    <s v="GCND_NUCLEAR"/>
    <x v="9"/>
    <x v="3"/>
    <n v="11791.401815716399"/>
    <n v="717310.27712274506"/>
    <n v="2582316.9976418801"/>
  </r>
  <r>
    <x v="0"/>
    <x v="0"/>
    <x v="0"/>
    <x v="3"/>
    <x v="4"/>
    <s v="GerA"/>
    <x v="8"/>
    <x v="5"/>
    <s v="GCND_NUCLEAR"/>
    <x v="9"/>
    <x v="4"/>
    <n v="11791.401815716399"/>
    <n v="717310.27712274506"/>
    <n v="2582316.9976418801"/>
  </r>
  <r>
    <x v="0"/>
    <x v="0"/>
    <x v="0"/>
    <x v="3"/>
    <x v="4"/>
    <s v="GerA"/>
    <x v="8"/>
    <x v="5"/>
    <s v="GCND_NUCLEAR"/>
    <x v="9"/>
    <x v="5"/>
    <n v="11791.401815716399"/>
    <n v="717310.27712274506"/>
    <n v="2582316.9976418801"/>
  </r>
  <r>
    <x v="0"/>
    <x v="0"/>
    <x v="0"/>
    <x v="3"/>
    <x v="4"/>
    <s v="GerA"/>
    <x v="8"/>
    <x v="5"/>
    <s v="GCND_NUCLEAR"/>
    <x v="9"/>
    <x v="6"/>
    <n v="11791.401815716399"/>
    <n v="717310.27712274506"/>
    <n v="2582316.9976418801"/>
  </r>
  <r>
    <x v="0"/>
    <x v="0"/>
    <x v="0"/>
    <x v="3"/>
    <x v="4"/>
    <s v="GerA"/>
    <x v="8"/>
    <x v="5"/>
    <s v="GCND_NUCLEAR"/>
    <x v="9"/>
    <x v="7"/>
    <n v="11791.401815716399"/>
    <n v="717310.27712274506"/>
    <n v="2582316.9976418801"/>
  </r>
  <r>
    <x v="0"/>
    <x v="0"/>
    <x v="0"/>
    <x v="3"/>
    <x v="4"/>
    <s v="GerA"/>
    <x v="8"/>
    <x v="5"/>
    <s v="GCND_NUCLEAR"/>
    <x v="9"/>
    <x v="8"/>
    <n v="11791.401815716399"/>
    <n v="717310.27712274506"/>
    <n v="2582316.9976418801"/>
  </r>
  <r>
    <x v="0"/>
    <x v="0"/>
    <x v="0"/>
    <x v="3"/>
    <x v="4"/>
    <s v="GerA"/>
    <x v="8"/>
    <x v="5"/>
    <s v="GCND_NUCLEAR"/>
    <x v="9"/>
    <x v="9"/>
    <n v="11791.401815716399"/>
    <n v="717310.27712274506"/>
    <n v="2582316.9976418801"/>
  </r>
  <r>
    <x v="0"/>
    <x v="0"/>
    <x v="0"/>
    <x v="3"/>
    <x v="4"/>
    <s v="GerA"/>
    <x v="8"/>
    <x v="5"/>
    <s v="GCND_NUCLEAR"/>
    <x v="9"/>
    <x v="10"/>
    <n v="11791.401815716399"/>
    <n v="717310.27712274506"/>
    <n v="2582316.9976418801"/>
  </r>
  <r>
    <x v="0"/>
    <x v="0"/>
    <x v="0"/>
    <x v="3"/>
    <x v="4"/>
    <s v="GerA"/>
    <x v="8"/>
    <x v="5"/>
    <s v="GCND_NUCLEAR"/>
    <x v="9"/>
    <x v="11"/>
    <n v="11791.401815716399"/>
    <n v="717310.27712274506"/>
    <n v="2582316.9976418801"/>
  </r>
  <r>
    <x v="0"/>
    <x v="0"/>
    <x v="0"/>
    <x v="3"/>
    <x v="4"/>
    <s v="GerA"/>
    <x v="8"/>
    <x v="5"/>
    <s v="GCND_NUCLEAR"/>
    <x v="10"/>
    <x v="0"/>
    <n v="11791.401815716399"/>
    <n v="717310.27712274506"/>
    <n v="2582316.9976418801"/>
  </r>
  <r>
    <x v="0"/>
    <x v="0"/>
    <x v="0"/>
    <x v="3"/>
    <x v="4"/>
    <s v="GerA"/>
    <x v="8"/>
    <x v="5"/>
    <s v="GCND_NUCLEAR"/>
    <x v="10"/>
    <x v="1"/>
    <n v="11791.401815716399"/>
    <n v="717310.27712274506"/>
    <n v="2582316.9976418801"/>
  </r>
  <r>
    <x v="0"/>
    <x v="0"/>
    <x v="0"/>
    <x v="3"/>
    <x v="4"/>
    <s v="GerA"/>
    <x v="8"/>
    <x v="5"/>
    <s v="GCND_NUCLEAR"/>
    <x v="10"/>
    <x v="2"/>
    <n v="11791.401815716399"/>
    <n v="717310.27712274506"/>
    <n v="2582316.9976418801"/>
  </r>
  <r>
    <x v="0"/>
    <x v="0"/>
    <x v="0"/>
    <x v="3"/>
    <x v="4"/>
    <s v="GerA"/>
    <x v="8"/>
    <x v="5"/>
    <s v="GCND_NUCLEAR"/>
    <x v="10"/>
    <x v="3"/>
    <n v="11791.401815716399"/>
    <n v="717310.27712274506"/>
    <n v="2582316.9976418801"/>
  </r>
  <r>
    <x v="0"/>
    <x v="0"/>
    <x v="0"/>
    <x v="3"/>
    <x v="4"/>
    <s v="GerA"/>
    <x v="8"/>
    <x v="5"/>
    <s v="GCND_NUCLEAR"/>
    <x v="10"/>
    <x v="4"/>
    <n v="11791.401815716399"/>
    <n v="717310.27712274506"/>
    <n v="2582316.9976418801"/>
  </r>
  <r>
    <x v="0"/>
    <x v="0"/>
    <x v="0"/>
    <x v="3"/>
    <x v="4"/>
    <s v="GerA"/>
    <x v="8"/>
    <x v="5"/>
    <s v="GCND_NUCLEAR"/>
    <x v="10"/>
    <x v="5"/>
    <n v="11791.401815716399"/>
    <n v="717310.27712274506"/>
    <n v="2582316.9976418801"/>
  </r>
  <r>
    <x v="0"/>
    <x v="0"/>
    <x v="0"/>
    <x v="3"/>
    <x v="4"/>
    <s v="GerA"/>
    <x v="8"/>
    <x v="5"/>
    <s v="GCND_NUCLEAR"/>
    <x v="10"/>
    <x v="6"/>
    <n v="11791.401815716399"/>
    <n v="717310.27712274506"/>
    <n v="2582316.9976418801"/>
  </r>
  <r>
    <x v="0"/>
    <x v="0"/>
    <x v="0"/>
    <x v="3"/>
    <x v="4"/>
    <s v="GerA"/>
    <x v="8"/>
    <x v="5"/>
    <s v="GCND_NUCLEAR"/>
    <x v="10"/>
    <x v="7"/>
    <n v="11791.401815716399"/>
    <n v="717310.27712274506"/>
    <n v="2582316.9976418801"/>
  </r>
  <r>
    <x v="0"/>
    <x v="0"/>
    <x v="0"/>
    <x v="3"/>
    <x v="4"/>
    <s v="GerA"/>
    <x v="8"/>
    <x v="5"/>
    <s v="GCND_NUCLEAR"/>
    <x v="10"/>
    <x v="8"/>
    <n v="11791.401815716399"/>
    <n v="717310.27712274506"/>
    <n v="2582316.9976418801"/>
  </r>
  <r>
    <x v="0"/>
    <x v="0"/>
    <x v="0"/>
    <x v="3"/>
    <x v="4"/>
    <s v="GerA"/>
    <x v="8"/>
    <x v="5"/>
    <s v="GCND_NUCLEAR"/>
    <x v="10"/>
    <x v="9"/>
    <n v="11791.401815716399"/>
    <n v="717310.27712274506"/>
    <n v="2582316.9976418801"/>
  </r>
  <r>
    <x v="0"/>
    <x v="0"/>
    <x v="0"/>
    <x v="3"/>
    <x v="4"/>
    <s v="GerA"/>
    <x v="8"/>
    <x v="5"/>
    <s v="GCND_NUCLEAR"/>
    <x v="10"/>
    <x v="10"/>
    <n v="11791.401815716399"/>
    <n v="717310.27712274506"/>
    <n v="2582316.9976418801"/>
  </r>
  <r>
    <x v="0"/>
    <x v="0"/>
    <x v="0"/>
    <x v="3"/>
    <x v="4"/>
    <s v="GerA"/>
    <x v="8"/>
    <x v="5"/>
    <s v="GCND_NUCLEAR"/>
    <x v="10"/>
    <x v="11"/>
    <n v="11791.401815716399"/>
    <n v="717310.27712274506"/>
    <n v="2582316.9976418801"/>
  </r>
  <r>
    <x v="0"/>
    <x v="0"/>
    <x v="0"/>
    <x v="3"/>
    <x v="4"/>
    <s v="GerA"/>
    <x v="8"/>
    <x v="5"/>
    <s v="GCND_NUCLEAR"/>
    <x v="11"/>
    <x v="0"/>
    <n v="11791.401815716399"/>
    <n v="717310.27712274506"/>
    <n v="2582316.9976418801"/>
  </r>
  <r>
    <x v="0"/>
    <x v="0"/>
    <x v="0"/>
    <x v="3"/>
    <x v="4"/>
    <s v="GerA"/>
    <x v="8"/>
    <x v="5"/>
    <s v="GCND_NUCLEAR"/>
    <x v="11"/>
    <x v="1"/>
    <n v="11791.401815716399"/>
    <n v="717310.27712274506"/>
    <n v="2582316.9976418801"/>
  </r>
  <r>
    <x v="0"/>
    <x v="0"/>
    <x v="0"/>
    <x v="3"/>
    <x v="4"/>
    <s v="GerA"/>
    <x v="8"/>
    <x v="5"/>
    <s v="GCND_NUCLEAR"/>
    <x v="11"/>
    <x v="2"/>
    <n v="11791.401815716399"/>
    <n v="717310.27712274506"/>
    <n v="2582316.9976418801"/>
  </r>
  <r>
    <x v="0"/>
    <x v="0"/>
    <x v="0"/>
    <x v="3"/>
    <x v="4"/>
    <s v="GerA"/>
    <x v="8"/>
    <x v="5"/>
    <s v="GCND_NUCLEAR"/>
    <x v="11"/>
    <x v="3"/>
    <n v="11791.401815716399"/>
    <n v="717310.27712274506"/>
    <n v="2582316.9976418801"/>
  </r>
  <r>
    <x v="0"/>
    <x v="0"/>
    <x v="0"/>
    <x v="3"/>
    <x v="4"/>
    <s v="GerA"/>
    <x v="8"/>
    <x v="5"/>
    <s v="GCND_NUCLEAR"/>
    <x v="11"/>
    <x v="4"/>
    <n v="11791.401815716399"/>
    <n v="717310.27712274506"/>
    <n v="2582316.9976418801"/>
  </r>
  <r>
    <x v="0"/>
    <x v="0"/>
    <x v="0"/>
    <x v="3"/>
    <x v="4"/>
    <s v="GerA"/>
    <x v="8"/>
    <x v="5"/>
    <s v="GCND_NUCLEAR"/>
    <x v="11"/>
    <x v="5"/>
    <n v="11791.401815716399"/>
    <n v="717310.27712274506"/>
    <n v="2582316.9976418801"/>
  </r>
  <r>
    <x v="0"/>
    <x v="0"/>
    <x v="0"/>
    <x v="3"/>
    <x v="4"/>
    <s v="GerA"/>
    <x v="8"/>
    <x v="5"/>
    <s v="GCND_NUCLEAR"/>
    <x v="11"/>
    <x v="6"/>
    <n v="11791.401815716399"/>
    <n v="717310.27712274506"/>
    <n v="2582316.9976418801"/>
  </r>
  <r>
    <x v="0"/>
    <x v="0"/>
    <x v="0"/>
    <x v="3"/>
    <x v="4"/>
    <s v="GerA"/>
    <x v="8"/>
    <x v="5"/>
    <s v="GCND_NUCLEAR"/>
    <x v="11"/>
    <x v="7"/>
    <n v="11791.401815716399"/>
    <n v="717310.27712274506"/>
    <n v="2582316.9976418801"/>
  </r>
  <r>
    <x v="0"/>
    <x v="0"/>
    <x v="0"/>
    <x v="3"/>
    <x v="4"/>
    <s v="GerA"/>
    <x v="8"/>
    <x v="5"/>
    <s v="GCND_NUCLEAR"/>
    <x v="11"/>
    <x v="8"/>
    <n v="11791.401815716399"/>
    <n v="717310.27712274506"/>
    <n v="2582316.9976418801"/>
  </r>
  <r>
    <x v="0"/>
    <x v="0"/>
    <x v="0"/>
    <x v="3"/>
    <x v="4"/>
    <s v="GerA"/>
    <x v="8"/>
    <x v="5"/>
    <s v="GCND_NUCLEAR"/>
    <x v="11"/>
    <x v="9"/>
    <n v="11791.401815716399"/>
    <n v="717310.27712274506"/>
    <n v="2582316.9976418801"/>
  </r>
  <r>
    <x v="0"/>
    <x v="0"/>
    <x v="0"/>
    <x v="3"/>
    <x v="4"/>
    <s v="GerA"/>
    <x v="8"/>
    <x v="5"/>
    <s v="GCND_NUCLEAR"/>
    <x v="11"/>
    <x v="10"/>
    <n v="11791.401815716399"/>
    <n v="717310.27712274506"/>
    <n v="2582316.9976418801"/>
  </r>
  <r>
    <x v="0"/>
    <x v="0"/>
    <x v="0"/>
    <x v="3"/>
    <x v="4"/>
    <s v="GerA"/>
    <x v="8"/>
    <x v="5"/>
    <s v="GCND_NUCLEAR"/>
    <x v="11"/>
    <x v="11"/>
    <n v="11791.401815716399"/>
    <n v="717310.27712274506"/>
    <n v="2582316.9976418801"/>
  </r>
  <r>
    <x v="0"/>
    <x v="0"/>
    <x v="0"/>
    <x v="3"/>
    <x v="4"/>
    <s v="GerA"/>
    <x v="1"/>
    <x v="1"/>
    <s v="GSOLE_SUN"/>
    <x v="0"/>
    <x v="8"/>
    <n v="302.96385270743298"/>
    <n v="18430.301039702201"/>
    <n v="66349.083742927804"/>
  </r>
  <r>
    <x v="0"/>
    <x v="0"/>
    <x v="0"/>
    <x v="3"/>
    <x v="4"/>
    <s v="GerA"/>
    <x v="1"/>
    <x v="1"/>
    <s v="GSOLE_SUN"/>
    <x v="0"/>
    <x v="9"/>
    <n v="1638.6392729045499"/>
    <n v="99683.889101693407"/>
    <n v="358862.000766096"/>
  </r>
  <r>
    <x v="0"/>
    <x v="0"/>
    <x v="0"/>
    <x v="3"/>
    <x v="4"/>
    <s v="GerA"/>
    <x v="1"/>
    <x v="1"/>
    <s v="GSOLE_SUN"/>
    <x v="0"/>
    <x v="10"/>
    <n v="3213.1731508884"/>
    <n v="195468.03334571101"/>
    <n v="703684.92004455905"/>
  </r>
  <r>
    <x v="0"/>
    <x v="0"/>
    <x v="0"/>
    <x v="3"/>
    <x v="4"/>
    <s v="GerA"/>
    <x v="1"/>
    <x v="1"/>
    <s v="GSOLE_SUN"/>
    <x v="0"/>
    <x v="11"/>
    <n v="4386.3896935467401"/>
    <n v="266838.706357427"/>
    <n v="960619.34288673697"/>
  </r>
  <r>
    <x v="0"/>
    <x v="0"/>
    <x v="0"/>
    <x v="3"/>
    <x v="4"/>
    <s v="GerA"/>
    <x v="1"/>
    <x v="1"/>
    <s v="GSOLE_SUN"/>
    <x v="1"/>
    <x v="8"/>
    <n v="171.24043848681001"/>
    <n v="10417.126674614299"/>
    <n v="37501.656028611404"/>
  </r>
  <r>
    <x v="0"/>
    <x v="0"/>
    <x v="0"/>
    <x v="3"/>
    <x v="4"/>
    <s v="GerA"/>
    <x v="1"/>
    <x v="1"/>
    <s v="GSOLE_SUN"/>
    <x v="1"/>
    <x v="9"/>
    <n v="1289.1331471725"/>
    <n v="78422.266452993499"/>
    <n v="282320.159230777"/>
  </r>
  <r>
    <x v="0"/>
    <x v="0"/>
    <x v="0"/>
    <x v="3"/>
    <x v="4"/>
    <s v="GerA"/>
    <x v="1"/>
    <x v="1"/>
    <s v="GSOLE_SUN"/>
    <x v="1"/>
    <x v="10"/>
    <n v="2977.8273174808801"/>
    <n v="181151.16181342001"/>
    <n v="652144.18252831302"/>
  </r>
  <r>
    <x v="0"/>
    <x v="0"/>
    <x v="0"/>
    <x v="3"/>
    <x v="4"/>
    <s v="GerA"/>
    <x v="1"/>
    <x v="1"/>
    <s v="GSOLE_SUN"/>
    <x v="1"/>
    <x v="11"/>
    <n v="4534.7980735686497"/>
    <n v="275866.88280875899"/>
    <n v="993120.77811153396"/>
  </r>
  <r>
    <x v="0"/>
    <x v="0"/>
    <x v="0"/>
    <x v="3"/>
    <x v="4"/>
    <s v="GerA"/>
    <x v="1"/>
    <x v="1"/>
    <s v="GSOLE_SUN"/>
    <x v="2"/>
    <x v="8"/>
    <n v="1297.9147081205399"/>
    <n v="78956.478077332693"/>
    <n v="284243.32107839797"/>
  </r>
  <r>
    <x v="0"/>
    <x v="0"/>
    <x v="0"/>
    <x v="3"/>
    <x v="4"/>
    <s v="GerA"/>
    <x v="1"/>
    <x v="1"/>
    <s v="GSOLE_SUN"/>
    <x v="2"/>
    <x v="9"/>
    <n v="8332.8231835966108"/>
    <n v="506913.41033545998"/>
    <n v="1824888.27720766"/>
  </r>
  <r>
    <x v="0"/>
    <x v="0"/>
    <x v="0"/>
    <x v="3"/>
    <x v="4"/>
    <s v="GerA"/>
    <x v="1"/>
    <x v="1"/>
    <s v="GSOLE_SUN"/>
    <x v="2"/>
    <x v="10"/>
    <n v="17822.177944050301"/>
    <n v="1084182.49159639"/>
    <n v="3903056.9697470102"/>
  </r>
  <r>
    <x v="0"/>
    <x v="0"/>
    <x v="0"/>
    <x v="3"/>
    <x v="4"/>
    <s v="GerA"/>
    <x v="1"/>
    <x v="1"/>
    <s v="GSOLE_SUN"/>
    <x v="2"/>
    <x v="11"/>
    <n v="24291.553894472501"/>
    <n v="1477736.1952470799"/>
    <n v="5319850.30288947"/>
  </r>
  <r>
    <x v="0"/>
    <x v="0"/>
    <x v="0"/>
    <x v="3"/>
    <x v="4"/>
    <s v="GerA"/>
    <x v="1"/>
    <x v="1"/>
    <s v="GSOLE_SUN"/>
    <x v="3"/>
    <x v="7"/>
    <n v="0.87815609480415302"/>
    <n v="53.421162433919299"/>
    <n v="192.31618476211"/>
  </r>
  <r>
    <x v="0"/>
    <x v="0"/>
    <x v="0"/>
    <x v="3"/>
    <x v="4"/>
    <s v="GerA"/>
    <x v="1"/>
    <x v="1"/>
    <s v="GSOLE_SUN"/>
    <x v="3"/>
    <x v="8"/>
    <n v="475.96060338385098"/>
    <n v="28954.270039184299"/>
    <n v="104235.372141063"/>
  </r>
  <r>
    <x v="0"/>
    <x v="0"/>
    <x v="0"/>
    <x v="3"/>
    <x v="4"/>
    <s v="GerA"/>
    <x v="1"/>
    <x v="1"/>
    <s v="GSOLE_SUN"/>
    <x v="3"/>
    <x v="9"/>
    <n v="2530.8458652255699"/>
    <n v="153959.79013455499"/>
    <n v="554255.24448440003"/>
  </r>
  <r>
    <x v="0"/>
    <x v="0"/>
    <x v="0"/>
    <x v="3"/>
    <x v="4"/>
    <s v="GerA"/>
    <x v="1"/>
    <x v="1"/>
    <s v="GSOLE_SUN"/>
    <x v="3"/>
    <x v="10"/>
    <n v="5571.9004215323503"/>
    <n v="338957.27564321802"/>
    <n v="1220246.1923155801"/>
  </r>
  <r>
    <x v="0"/>
    <x v="0"/>
    <x v="0"/>
    <x v="3"/>
    <x v="4"/>
    <s v="GerA"/>
    <x v="1"/>
    <x v="1"/>
    <s v="GSOLE_SUN"/>
    <x v="3"/>
    <x v="11"/>
    <n v="7364.2170110276302"/>
    <n v="447989.86817084701"/>
    <n v="1612763.5254150501"/>
  </r>
  <r>
    <x v="0"/>
    <x v="0"/>
    <x v="0"/>
    <x v="3"/>
    <x v="4"/>
    <s v="GerA"/>
    <x v="1"/>
    <x v="1"/>
    <s v="GSOLE_SUN"/>
    <x v="4"/>
    <x v="7"/>
    <n v="7.9034048532373804"/>
    <n v="480.79046190527401"/>
    <n v="1730.84566285899"/>
  </r>
  <r>
    <x v="0"/>
    <x v="0"/>
    <x v="0"/>
    <x v="3"/>
    <x v="4"/>
    <s v="GerA"/>
    <x v="1"/>
    <x v="1"/>
    <s v="GSOLE_SUN"/>
    <x v="4"/>
    <x v="8"/>
    <n v="1064.3251869026301"/>
    <n v="64746.4488699102"/>
    <n v="233087.215931677"/>
  </r>
  <r>
    <x v="0"/>
    <x v="0"/>
    <x v="0"/>
    <x v="3"/>
    <x v="4"/>
    <s v="GerA"/>
    <x v="1"/>
    <x v="1"/>
    <s v="GSOLE_SUN"/>
    <x v="4"/>
    <x v="9"/>
    <n v="4650.7146780827898"/>
    <n v="282918.47625003703"/>
    <n v="1018506.51450013"/>
  </r>
  <r>
    <x v="0"/>
    <x v="0"/>
    <x v="0"/>
    <x v="3"/>
    <x v="4"/>
    <s v="GerA"/>
    <x v="1"/>
    <x v="1"/>
    <s v="GSOLE_SUN"/>
    <x v="4"/>
    <x v="10"/>
    <n v="9294.4041074071592"/>
    <n v="565409.58320060198"/>
    <n v="2035474.4995221701"/>
  </r>
  <r>
    <x v="0"/>
    <x v="0"/>
    <x v="0"/>
    <x v="3"/>
    <x v="4"/>
    <s v="GerA"/>
    <x v="1"/>
    <x v="1"/>
    <s v="GSOLE_SUN"/>
    <x v="4"/>
    <x v="11"/>
    <n v="12520.749599717599"/>
    <n v="761678.933982822"/>
    <n v="2742044.16233816"/>
  </r>
  <r>
    <x v="0"/>
    <x v="0"/>
    <x v="0"/>
    <x v="3"/>
    <x v="4"/>
    <s v="GerA"/>
    <x v="1"/>
    <x v="1"/>
    <s v="GSOLE_SUN"/>
    <x v="5"/>
    <x v="7"/>
    <n v="46.542273024620101"/>
    <n v="2831.32160899772"/>
    <n v="10192.7577923918"/>
  </r>
  <r>
    <x v="0"/>
    <x v="0"/>
    <x v="0"/>
    <x v="3"/>
    <x v="4"/>
    <s v="GerA"/>
    <x v="1"/>
    <x v="1"/>
    <s v="GSOLE_SUN"/>
    <x v="5"/>
    <x v="8"/>
    <n v="3396.70777470246"/>
    <n v="206633.05629440001"/>
    <n v="743879.00265984004"/>
  </r>
  <r>
    <x v="0"/>
    <x v="0"/>
    <x v="0"/>
    <x v="3"/>
    <x v="4"/>
    <s v="GerA"/>
    <x v="1"/>
    <x v="1"/>
    <s v="GSOLE_SUN"/>
    <x v="5"/>
    <x v="9"/>
    <n v="13903.845449034199"/>
    <n v="845817.26481624402"/>
    <n v="3044942.1533384798"/>
  </r>
  <r>
    <x v="0"/>
    <x v="0"/>
    <x v="0"/>
    <x v="3"/>
    <x v="4"/>
    <s v="GerA"/>
    <x v="1"/>
    <x v="1"/>
    <s v="GSOLE_SUN"/>
    <x v="5"/>
    <x v="10"/>
    <n v="25668.5026511254"/>
    <n v="1561500.5779434601"/>
    <n v="5621402.08059646"/>
  </r>
  <r>
    <x v="0"/>
    <x v="0"/>
    <x v="0"/>
    <x v="3"/>
    <x v="4"/>
    <s v="GerA"/>
    <x v="1"/>
    <x v="1"/>
    <s v="GSOLE_SUN"/>
    <x v="5"/>
    <x v="11"/>
    <n v="32860.601067571399"/>
    <n v="1999019.8982772599"/>
    <n v="7196471.6337981401"/>
  </r>
  <r>
    <x v="0"/>
    <x v="0"/>
    <x v="0"/>
    <x v="3"/>
    <x v="4"/>
    <s v="GerA"/>
    <x v="1"/>
    <x v="1"/>
    <s v="GSOLE_SUN"/>
    <x v="6"/>
    <x v="7"/>
    <n v="45.664116929815997"/>
    <n v="2777.9004465638"/>
    <n v="10000.4416076297"/>
  </r>
  <r>
    <x v="0"/>
    <x v="0"/>
    <x v="0"/>
    <x v="3"/>
    <x v="4"/>
    <s v="GerA"/>
    <x v="1"/>
    <x v="1"/>
    <s v="GSOLE_SUN"/>
    <x v="6"/>
    <x v="8"/>
    <n v="1602.63487301758"/>
    <n v="97493.621441902695"/>
    <n v="350977.03719085001"/>
  </r>
  <r>
    <x v="0"/>
    <x v="0"/>
    <x v="0"/>
    <x v="3"/>
    <x v="4"/>
    <s v="GerA"/>
    <x v="1"/>
    <x v="1"/>
    <s v="GSOLE_SUN"/>
    <x v="6"/>
    <x v="9"/>
    <n v="5612.2956018933401"/>
    <n v="341414.64911517798"/>
    <n v="1229092.73681464"/>
  </r>
  <r>
    <x v="0"/>
    <x v="0"/>
    <x v="0"/>
    <x v="3"/>
    <x v="4"/>
    <s v="GerA"/>
    <x v="1"/>
    <x v="1"/>
    <s v="GSOLE_SUN"/>
    <x v="6"/>
    <x v="10"/>
    <n v="9670.2549159833306"/>
    <n v="588273.84072231897"/>
    <n v="2117785.82660035"/>
  </r>
  <r>
    <x v="0"/>
    <x v="0"/>
    <x v="0"/>
    <x v="3"/>
    <x v="4"/>
    <s v="GerA"/>
    <x v="1"/>
    <x v="1"/>
    <s v="GSOLE_SUN"/>
    <x v="6"/>
    <x v="11"/>
    <n v="12187.9284397868"/>
    <n v="741432.31342036603"/>
    <n v="2669156.3283133199"/>
  </r>
  <r>
    <x v="0"/>
    <x v="0"/>
    <x v="0"/>
    <x v="3"/>
    <x v="4"/>
    <s v="GerA"/>
    <x v="1"/>
    <x v="1"/>
    <s v="GSOLE_SUN"/>
    <x v="7"/>
    <x v="7"/>
    <n v="418.00230112677701"/>
    <n v="25428.473318545599"/>
    <n v="91542.503946764104"/>
  </r>
  <r>
    <x v="0"/>
    <x v="0"/>
    <x v="0"/>
    <x v="3"/>
    <x v="4"/>
    <s v="GerA"/>
    <x v="1"/>
    <x v="1"/>
    <s v="GSOLE_SUN"/>
    <x v="7"/>
    <x v="8"/>
    <n v="4391.6586301155703"/>
    <n v="267159.23333203001"/>
    <n v="961773.23999530997"/>
  </r>
  <r>
    <x v="0"/>
    <x v="0"/>
    <x v="0"/>
    <x v="3"/>
    <x v="4"/>
    <s v="GerA"/>
    <x v="1"/>
    <x v="1"/>
    <s v="GSOLE_SUN"/>
    <x v="7"/>
    <x v="9"/>
    <n v="13389.2459774789"/>
    <n v="814512.463629968"/>
    <n v="2932244.8690678799"/>
  </r>
  <r>
    <x v="0"/>
    <x v="0"/>
    <x v="0"/>
    <x v="3"/>
    <x v="4"/>
    <s v="GerA"/>
    <x v="1"/>
    <x v="1"/>
    <s v="GSOLE_SUN"/>
    <x v="7"/>
    <x v="10"/>
    <n v="23151.707283416701"/>
    <n v="1408395.52640785"/>
    <n v="5070223.8950682599"/>
  </r>
  <r>
    <x v="0"/>
    <x v="0"/>
    <x v="0"/>
    <x v="3"/>
    <x v="4"/>
    <s v="GerA"/>
    <x v="1"/>
    <x v="1"/>
    <s v="GSOLE_SUN"/>
    <x v="7"/>
    <x v="11"/>
    <n v="27618.009181590602"/>
    <n v="1680095.5585467599"/>
    <n v="6048344.01076834"/>
  </r>
  <r>
    <x v="0"/>
    <x v="0"/>
    <x v="0"/>
    <x v="3"/>
    <x v="4"/>
    <s v="GerA"/>
    <x v="1"/>
    <x v="1"/>
    <s v="GSOLE_SUN"/>
    <x v="8"/>
    <x v="6"/>
    <n v="1.75631218960831"/>
    <n v="106.842324867839"/>
    <n v="384.63236952421897"/>
  </r>
  <r>
    <x v="0"/>
    <x v="0"/>
    <x v="0"/>
    <x v="3"/>
    <x v="4"/>
    <s v="GerA"/>
    <x v="1"/>
    <x v="1"/>
    <s v="GSOLE_SUN"/>
    <x v="8"/>
    <x v="7"/>
    <n v="931.72361658720604"/>
    <n v="56679.8533423884"/>
    <n v="204047.47203259799"/>
  </r>
  <r>
    <x v="0"/>
    <x v="0"/>
    <x v="0"/>
    <x v="3"/>
    <x v="4"/>
    <s v="GerA"/>
    <x v="1"/>
    <x v="1"/>
    <s v="GSOLE_SUN"/>
    <x v="8"/>
    <x v="8"/>
    <n v="5050.2757012186803"/>
    <n v="307225.10515746998"/>
    <n v="1106010.37856689"/>
  </r>
  <r>
    <x v="0"/>
    <x v="0"/>
    <x v="0"/>
    <x v="3"/>
    <x v="4"/>
    <s v="GerA"/>
    <x v="1"/>
    <x v="1"/>
    <s v="GSOLE_SUN"/>
    <x v="8"/>
    <x v="9"/>
    <n v="11310.6505010775"/>
    <n v="688064.57214888104"/>
    <n v="2477032.45973597"/>
  </r>
  <r>
    <x v="0"/>
    <x v="0"/>
    <x v="0"/>
    <x v="3"/>
    <x v="4"/>
    <s v="GerA"/>
    <x v="1"/>
    <x v="1"/>
    <s v="GSOLE_SUN"/>
    <x v="8"/>
    <x v="10"/>
    <n v="17598.248139875199"/>
    <n v="1070560.0951757401"/>
    <n v="3854016.34263267"/>
  </r>
  <r>
    <x v="0"/>
    <x v="0"/>
    <x v="0"/>
    <x v="3"/>
    <x v="4"/>
    <s v="GerA"/>
    <x v="1"/>
    <x v="1"/>
    <s v="GSOLE_SUN"/>
    <x v="8"/>
    <x v="11"/>
    <n v="22101.432594030899"/>
    <n v="1344503.8161368801"/>
    <n v="4840213.7380927699"/>
  </r>
  <r>
    <x v="0"/>
    <x v="0"/>
    <x v="0"/>
    <x v="3"/>
    <x v="4"/>
    <s v="GerA"/>
    <x v="1"/>
    <x v="1"/>
    <s v="GSOLE_SUN"/>
    <x v="9"/>
    <x v="6"/>
    <n v="34.248087697362003"/>
    <n v="2083.4253349228502"/>
    <n v="7500.3312057222702"/>
  </r>
  <r>
    <x v="0"/>
    <x v="0"/>
    <x v="0"/>
    <x v="3"/>
    <x v="4"/>
    <s v="GerA"/>
    <x v="1"/>
    <x v="1"/>
    <s v="GSOLE_SUN"/>
    <x v="9"/>
    <x v="7"/>
    <n v="1456.8609612800899"/>
    <n v="88625.708477872104"/>
    <n v="319052.55052033998"/>
  </r>
  <r>
    <x v="0"/>
    <x v="0"/>
    <x v="0"/>
    <x v="3"/>
    <x v="4"/>
    <s v="GerA"/>
    <x v="1"/>
    <x v="1"/>
    <s v="GSOLE_SUN"/>
    <x v="9"/>
    <x v="8"/>
    <n v="5508.6731827064496"/>
    <n v="335110.95194797602"/>
    <n v="1206399.4270127099"/>
  </r>
  <r>
    <x v="0"/>
    <x v="0"/>
    <x v="0"/>
    <x v="3"/>
    <x v="4"/>
    <s v="GerA"/>
    <x v="1"/>
    <x v="1"/>
    <s v="GSOLE_SUN"/>
    <x v="9"/>
    <x v="9"/>
    <n v="10795.1728734275"/>
    <n v="656706.34980017005"/>
    <n v="2364142.85928061"/>
  </r>
  <r>
    <x v="0"/>
    <x v="0"/>
    <x v="0"/>
    <x v="3"/>
    <x v="4"/>
    <s v="GerA"/>
    <x v="1"/>
    <x v="1"/>
    <s v="GSOLE_SUN"/>
    <x v="9"/>
    <x v="10"/>
    <n v="15073.549367313301"/>
    <n v="916974.25317822502"/>
    <n v="3301107.3114416101"/>
  </r>
  <r>
    <x v="0"/>
    <x v="0"/>
    <x v="0"/>
    <x v="3"/>
    <x v="4"/>
    <s v="GerA"/>
    <x v="1"/>
    <x v="1"/>
    <s v="GSOLE_SUN"/>
    <x v="9"/>
    <x v="11"/>
    <n v="18054.889309173399"/>
    <n v="1098339.0996413799"/>
    <n v="3954020.7587089702"/>
  </r>
  <r>
    <x v="0"/>
    <x v="0"/>
    <x v="0"/>
    <x v="3"/>
    <x v="4"/>
    <s v="GerA"/>
    <x v="1"/>
    <x v="1"/>
    <s v="GSOLE_SUN"/>
    <x v="10"/>
    <x v="6"/>
    <n v="32.491775507753701"/>
    <n v="1976.5830100550099"/>
    <n v="7115.6988361980502"/>
  </r>
  <r>
    <x v="0"/>
    <x v="0"/>
    <x v="0"/>
    <x v="3"/>
    <x v="4"/>
    <s v="GerA"/>
    <x v="1"/>
    <x v="1"/>
    <s v="GSOLE_SUN"/>
    <x v="10"/>
    <x v="7"/>
    <n v="1067.83781128185"/>
    <n v="64960.133519645897"/>
    <n v="233856.480670725"/>
  </r>
  <r>
    <x v="0"/>
    <x v="0"/>
    <x v="0"/>
    <x v="3"/>
    <x v="4"/>
    <s v="GerA"/>
    <x v="1"/>
    <x v="1"/>
    <s v="GSOLE_SUN"/>
    <x v="10"/>
    <x v="8"/>
    <n v="4473.3271469323599"/>
    <n v="272127.40143838502"/>
    <n v="979658.64517818601"/>
  </r>
  <r>
    <x v="0"/>
    <x v="0"/>
    <x v="0"/>
    <x v="3"/>
    <x v="4"/>
    <s v="GerA"/>
    <x v="1"/>
    <x v="1"/>
    <s v="GSOLE_SUN"/>
    <x v="10"/>
    <x v="9"/>
    <n v="8920.3096110205897"/>
    <n v="542652.16800375201"/>
    <n v="1953547.80481351"/>
  </r>
  <r>
    <x v="0"/>
    <x v="0"/>
    <x v="0"/>
    <x v="3"/>
    <x v="4"/>
    <s v="GerA"/>
    <x v="1"/>
    <x v="1"/>
    <s v="GSOLE_SUN"/>
    <x v="10"/>
    <x v="10"/>
    <n v="13386.611509194499"/>
    <n v="814352.200142666"/>
    <n v="2931667.9205136001"/>
  </r>
  <r>
    <x v="0"/>
    <x v="0"/>
    <x v="0"/>
    <x v="3"/>
    <x v="4"/>
    <s v="GerA"/>
    <x v="1"/>
    <x v="1"/>
    <s v="GSOLE_SUN"/>
    <x v="10"/>
    <x v="11"/>
    <n v="16698.138142700998"/>
    <n v="1015803.40368098"/>
    <n v="3656892.2532515102"/>
  </r>
  <r>
    <x v="0"/>
    <x v="0"/>
    <x v="0"/>
    <x v="3"/>
    <x v="4"/>
    <s v="GerA"/>
    <x v="1"/>
    <x v="1"/>
    <s v="GSOLE_SUN"/>
    <x v="11"/>
    <x v="6"/>
    <n v="412.73336455795197"/>
    <n v="25107.946343942102"/>
    <n v="90388.606838191496"/>
  </r>
  <r>
    <x v="0"/>
    <x v="0"/>
    <x v="0"/>
    <x v="3"/>
    <x v="4"/>
    <s v="GerA"/>
    <x v="1"/>
    <x v="1"/>
    <s v="GSOLE_SUN"/>
    <x v="11"/>
    <x v="7"/>
    <n v="4402.1965032532198"/>
    <n v="267800.28728123702"/>
    <n v="964081.03421245504"/>
  </r>
  <r>
    <x v="0"/>
    <x v="0"/>
    <x v="0"/>
    <x v="3"/>
    <x v="4"/>
    <s v="GerA"/>
    <x v="1"/>
    <x v="1"/>
    <s v="GSOLE_SUN"/>
    <x v="11"/>
    <x v="8"/>
    <n v="12846.545510890001"/>
    <n v="781498.185245806"/>
    <n v="2813393.4668848999"/>
  </r>
  <r>
    <x v="0"/>
    <x v="0"/>
    <x v="0"/>
    <x v="3"/>
    <x v="4"/>
    <s v="GerA"/>
    <x v="1"/>
    <x v="1"/>
    <s v="GSOLE_SUN"/>
    <x v="11"/>
    <x v="9"/>
    <n v="20973.002012207598"/>
    <n v="1275857.6224092899"/>
    <n v="4593087.4406734603"/>
  </r>
  <r>
    <x v="0"/>
    <x v="0"/>
    <x v="0"/>
    <x v="3"/>
    <x v="4"/>
    <s v="GerA"/>
    <x v="1"/>
    <x v="1"/>
    <s v="GSOLE_SUN"/>
    <x v="11"/>
    <x v="10"/>
    <n v="27951.7084976162"/>
    <n v="1700395.6002716499"/>
    <n v="6121424.1609779503"/>
  </r>
  <r>
    <x v="0"/>
    <x v="0"/>
    <x v="0"/>
    <x v="3"/>
    <x v="4"/>
    <s v="GerA"/>
    <x v="1"/>
    <x v="1"/>
    <s v="GSOLE_SUN"/>
    <x v="11"/>
    <x v="11"/>
    <n v="32420.6448640745"/>
    <n v="1972255.89589787"/>
    <n v="7100121.2252323199"/>
  </r>
  <r>
    <x v="0"/>
    <x v="0"/>
    <x v="0"/>
    <x v="3"/>
    <x v="4"/>
    <s v="GerA"/>
    <x v="7"/>
    <x v="6"/>
    <s v="GHYRR_WATER"/>
    <x v="0"/>
    <x v="0"/>
    <n v="1949.45789162405"/>
    <n v="118592.02174046299"/>
    <n v="426931.27826566598"/>
  </r>
  <r>
    <x v="0"/>
    <x v="0"/>
    <x v="0"/>
    <x v="3"/>
    <x v="4"/>
    <s v="GerA"/>
    <x v="7"/>
    <x v="6"/>
    <s v="GHYRR_WATER"/>
    <x v="0"/>
    <x v="1"/>
    <n v="1949.45789162405"/>
    <n v="118592.02174046299"/>
    <n v="426931.27826566598"/>
  </r>
  <r>
    <x v="0"/>
    <x v="0"/>
    <x v="0"/>
    <x v="3"/>
    <x v="4"/>
    <s v="GerA"/>
    <x v="7"/>
    <x v="6"/>
    <s v="GHYRR_WATER"/>
    <x v="0"/>
    <x v="2"/>
    <n v="1949.45789162405"/>
    <n v="118592.02174046299"/>
    <n v="426931.27826566598"/>
  </r>
  <r>
    <x v="0"/>
    <x v="0"/>
    <x v="0"/>
    <x v="3"/>
    <x v="4"/>
    <s v="GerA"/>
    <x v="7"/>
    <x v="6"/>
    <s v="GHYRR_WATER"/>
    <x v="0"/>
    <x v="3"/>
    <n v="1949.45789162405"/>
    <n v="118592.02174046299"/>
    <n v="426931.27826566598"/>
  </r>
  <r>
    <x v="0"/>
    <x v="0"/>
    <x v="0"/>
    <x v="3"/>
    <x v="4"/>
    <s v="GerA"/>
    <x v="7"/>
    <x v="6"/>
    <s v="GHYRR_WATER"/>
    <x v="0"/>
    <x v="4"/>
    <n v="1949.45789162405"/>
    <n v="118592.02174046299"/>
    <n v="426931.27826566598"/>
  </r>
  <r>
    <x v="0"/>
    <x v="0"/>
    <x v="0"/>
    <x v="3"/>
    <x v="4"/>
    <s v="GerA"/>
    <x v="7"/>
    <x v="6"/>
    <s v="GHYRR_WATER"/>
    <x v="0"/>
    <x v="5"/>
    <n v="1949.45789162405"/>
    <n v="118592.02174046299"/>
    <n v="426931.27826566598"/>
  </r>
  <r>
    <x v="0"/>
    <x v="0"/>
    <x v="0"/>
    <x v="3"/>
    <x v="4"/>
    <s v="GerA"/>
    <x v="7"/>
    <x v="6"/>
    <s v="GHYRR_WATER"/>
    <x v="0"/>
    <x v="6"/>
    <n v="1949.45789162405"/>
    <n v="118592.02174046299"/>
    <n v="426931.27826566598"/>
  </r>
  <r>
    <x v="0"/>
    <x v="0"/>
    <x v="0"/>
    <x v="3"/>
    <x v="4"/>
    <s v="GerA"/>
    <x v="7"/>
    <x v="6"/>
    <s v="GHYRR_WATER"/>
    <x v="0"/>
    <x v="7"/>
    <n v="1949.45789162405"/>
    <n v="118592.02174046299"/>
    <n v="426931.27826566598"/>
  </r>
  <r>
    <x v="0"/>
    <x v="0"/>
    <x v="0"/>
    <x v="3"/>
    <x v="4"/>
    <s v="GerA"/>
    <x v="7"/>
    <x v="6"/>
    <s v="GHYRR_WATER"/>
    <x v="0"/>
    <x v="8"/>
    <n v="1949.45789162405"/>
    <n v="118592.02174046299"/>
    <n v="426931.27826566598"/>
  </r>
  <r>
    <x v="0"/>
    <x v="0"/>
    <x v="0"/>
    <x v="3"/>
    <x v="4"/>
    <s v="GerA"/>
    <x v="7"/>
    <x v="6"/>
    <s v="GHYRR_WATER"/>
    <x v="0"/>
    <x v="9"/>
    <n v="1949.45789162405"/>
    <n v="118592.02174046299"/>
    <n v="426931.27826566598"/>
  </r>
  <r>
    <x v="0"/>
    <x v="0"/>
    <x v="0"/>
    <x v="3"/>
    <x v="4"/>
    <s v="GerA"/>
    <x v="7"/>
    <x v="6"/>
    <s v="GHYRR_WATER"/>
    <x v="0"/>
    <x v="10"/>
    <n v="1949.45789162405"/>
    <n v="118592.02174046299"/>
    <n v="426931.27826566598"/>
  </r>
  <r>
    <x v="0"/>
    <x v="0"/>
    <x v="0"/>
    <x v="3"/>
    <x v="4"/>
    <s v="GerA"/>
    <x v="7"/>
    <x v="6"/>
    <s v="GHYRR_WATER"/>
    <x v="0"/>
    <x v="11"/>
    <n v="1949.45789162405"/>
    <n v="118592.02174046299"/>
    <n v="426931.27826566598"/>
  </r>
  <r>
    <x v="0"/>
    <x v="0"/>
    <x v="0"/>
    <x v="3"/>
    <x v="4"/>
    <s v="GerA"/>
    <x v="7"/>
    <x v="6"/>
    <s v="GHYRR_WATER"/>
    <x v="1"/>
    <x v="0"/>
    <n v="1970.04832498105"/>
    <n v="119844.60643634701"/>
    <n v="431440.58317084902"/>
  </r>
  <r>
    <x v="0"/>
    <x v="0"/>
    <x v="0"/>
    <x v="3"/>
    <x v="4"/>
    <s v="GerA"/>
    <x v="7"/>
    <x v="6"/>
    <s v="GHYRR_WATER"/>
    <x v="1"/>
    <x v="1"/>
    <n v="1970.04832498105"/>
    <n v="119844.60643634701"/>
    <n v="431440.58317084902"/>
  </r>
  <r>
    <x v="0"/>
    <x v="0"/>
    <x v="0"/>
    <x v="3"/>
    <x v="4"/>
    <s v="GerA"/>
    <x v="7"/>
    <x v="6"/>
    <s v="GHYRR_WATER"/>
    <x v="1"/>
    <x v="2"/>
    <n v="1970.04832498105"/>
    <n v="119844.60643634701"/>
    <n v="431440.58317084902"/>
  </r>
  <r>
    <x v="0"/>
    <x v="0"/>
    <x v="0"/>
    <x v="3"/>
    <x v="4"/>
    <s v="GerA"/>
    <x v="7"/>
    <x v="6"/>
    <s v="GHYRR_WATER"/>
    <x v="1"/>
    <x v="3"/>
    <n v="1970.04832498105"/>
    <n v="119844.60643634701"/>
    <n v="431440.58317084902"/>
  </r>
  <r>
    <x v="0"/>
    <x v="0"/>
    <x v="0"/>
    <x v="3"/>
    <x v="4"/>
    <s v="GerA"/>
    <x v="7"/>
    <x v="6"/>
    <s v="GHYRR_WATER"/>
    <x v="1"/>
    <x v="4"/>
    <n v="1970.04832498105"/>
    <n v="119844.60643634701"/>
    <n v="431440.58317084902"/>
  </r>
  <r>
    <x v="0"/>
    <x v="0"/>
    <x v="0"/>
    <x v="3"/>
    <x v="4"/>
    <s v="GerA"/>
    <x v="7"/>
    <x v="6"/>
    <s v="GHYRR_WATER"/>
    <x v="1"/>
    <x v="5"/>
    <n v="1970.04832498105"/>
    <n v="119844.60643634701"/>
    <n v="431440.58317084902"/>
  </r>
  <r>
    <x v="0"/>
    <x v="0"/>
    <x v="0"/>
    <x v="3"/>
    <x v="4"/>
    <s v="GerA"/>
    <x v="7"/>
    <x v="6"/>
    <s v="GHYRR_WATER"/>
    <x v="1"/>
    <x v="6"/>
    <n v="1970.04832498105"/>
    <n v="119844.60643634701"/>
    <n v="431440.58317084902"/>
  </r>
  <r>
    <x v="0"/>
    <x v="0"/>
    <x v="0"/>
    <x v="3"/>
    <x v="4"/>
    <s v="GerA"/>
    <x v="7"/>
    <x v="6"/>
    <s v="GHYRR_WATER"/>
    <x v="1"/>
    <x v="7"/>
    <n v="1970.04832498105"/>
    <n v="119844.60643634701"/>
    <n v="431440.58317084902"/>
  </r>
  <r>
    <x v="0"/>
    <x v="0"/>
    <x v="0"/>
    <x v="3"/>
    <x v="4"/>
    <s v="GerA"/>
    <x v="7"/>
    <x v="6"/>
    <s v="GHYRR_WATER"/>
    <x v="1"/>
    <x v="8"/>
    <n v="1970.04832498105"/>
    <n v="119844.60643634701"/>
    <n v="431440.58317084902"/>
  </r>
  <r>
    <x v="0"/>
    <x v="0"/>
    <x v="0"/>
    <x v="3"/>
    <x v="4"/>
    <s v="GerA"/>
    <x v="7"/>
    <x v="6"/>
    <s v="GHYRR_WATER"/>
    <x v="1"/>
    <x v="9"/>
    <n v="1970.04832498105"/>
    <n v="119844.60643634701"/>
    <n v="431440.58317084902"/>
  </r>
  <r>
    <x v="0"/>
    <x v="0"/>
    <x v="0"/>
    <x v="3"/>
    <x v="4"/>
    <s v="GerA"/>
    <x v="7"/>
    <x v="6"/>
    <s v="GHYRR_WATER"/>
    <x v="1"/>
    <x v="10"/>
    <n v="1970.04832498105"/>
    <n v="119844.60643634701"/>
    <n v="431440.58317084902"/>
  </r>
  <r>
    <x v="0"/>
    <x v="0"/>
    <x v="0"/>
    <x v="3"/>
    <x v="4"/>
    <s v="GerA"/>
    <x v="7"/>
    <x v="6"/>
    <s v="GHYRR_WATER"/>
    <x v="1"/>
    <x v="11"/>
    <n v="1970.04832498105"/>
    <n v="119844.60643634701"/>
    <n v="431440.58317084902"/>
  </r>
  <r>
    <x v="0"/>
    <x v="0"/>
    <x v="0"/>
    <x v="3"/>
    <x v="4"/>
    <s v="GerA"/>
    <x v="7"/>
    <x v="6"/>
    <s v="GHYRR_WATER"/>
    <x v="2"/>
    <x v="0"/>
    <n v="2067.1078595439499"/>
    <n v="125749.06145559"/>
    <n v="452696.62124012603"/>
  </r>
  <r>
    <x v="0"/>
    <x v="0"/>
    <x v="0"/>
    <x v="3"/>
    <x v="4"/>
    <s v="GerA"/>
    <x v="7"/>
    <x v="6"/>
    <s v="GHYRR_WATER"/>
    <x v="2"/>
    <x v="1"/>
    <n v="2067.1078595439499"/>
    <n v="125749.06145559"/>
    <n v="452696.62124012603"/>
  </r>
  <r>
    <x v="0"/>
    <x v="0"/>
    <x v="0"/>
    <x v="3"/>
    <x v="4"/>
    <s v="GerA"/>
    <x v="7"/>
    <x v="6"/>
    <s v="GHYRR_WATER"/>
    <x v="2"/>
    <x v="2"/>
    <n v="2067.1078595439499"/>
    <n v="125749.06145559"/>
    <n v="452696.62124012603"/>
  </r>
  <r>
    <x v="0"/>
    <x v="0"/>
    <x v="0"/>
    <x v="3"/>
    <x v="4"/>
    <s v="GerA"/>
    <x v="7"/>
    <x v="6"/>
    <s v="GHYRR_WATER"/>
    <x v="2"/>
    <x v="3"/>
    <n v="2067.1078595439499"/>
    <n v="125749.06145559"/>
    <n v="452696.62124012603"/>
  </r>
  <r>
    <x v="0"/>
    <x v="0"/>
    <x v="0"/>
    <x v="3"/>
    <x v="4"/>
    <s v="GerA"/>
    <x v="7"/>
    <x v="6"/>
    <s v="GHYRR_WATER"/>
    <x v="2"/>
    <x v="4"/>
    <n v="2067.1078595439499"/>
    <n v="125749.06145559"/>
    <n v="452696.62124012603"/>
  </r>
  <r>
    <x v="0"/>
    <x v="0"/>
    <x v="0"/>
    <x v="3"/>
    <x v="4"/>
    <s v="GerA"/>
    <x v="7"/>
    <x v="6"/>
    <s v="GHYRR_WATER"/>
    <x v="2"/>
    <x v="5"/>
    <n v="2067.1078595439499"/>
    <n v="125749.06145559"/>
    <n v="452696.62124012603"/>
  </r>
  <r>
    <x v="0"/>
    <x v="0"/>
    <x v="0"/>
    <x v="3"/>
    <x v="4"/>
    <s v="GerA"/>
    <x v="7"/>
    <x v="6"/>
    <s v="GHYRR_WATER"/>
    <x v="2"/>
    <x v="6"/>
    <n v="2067.1078595439499"/>
    <n v="125749.06145559"/>
    <n v="452696.62124012603"/>
  </r>
  <r>
    <x v="0"/>
    <x v="0"/>
    <x v="0"/>
    <x v="3"/>
    <x v="4"/>
    <s v="GerA"/>
    <x v="7"/>
    <x v="6"/>
    <s v="GHYRR_WATER"/>
    <x v="2"/>
    <x v="7"/>
    <n v="2067.1078595439499"/>
    <n v="125749.06145559"/>
    <n v="452696.62124012603"/>
  </r>
  <r>
    <x v="0"/>
    <x v="0"/>
    <x v="0"/>
    <x v="3"/>
    <x v="4"/>
    <s v="GerA"/>
    <x v="7"/>
    <x v="6"/>
    <s v="GHYRR_WATER"/>
    <x v="2"/>
    <x v="8"/>
    <n v="2067.1078595439499"/>
    <n v="125749.06145559"/>
    <n v="452696.62124012603"/>
  </r>
  <r>
    <x v="0"/>
    <x v="0"/>
    <x v="0"/>
    <x v="3"/>
    <x v="4"/>
    <s v="GerA"/>
    <x v="7"/>
    <x v="6"/>
    <s v="GHYRR_WATER"/>
    <x v="2"/>
    <x v="9"/>
    <n v="2067.1078595439499"/>
    <n v="125749.06145559"/>
    <n v="452696.62124012603"/>
  </r>
  <r>
    <x v="0"/>
    <x v="0"/>
    <x v="0"/>
    <x v="3"/>
    <x v="4"/>
    <s v="GerA"/>
    <x v="7"/>
    <x v="6"/>
    <s v="GHYRR_WATER"/>
    <x v="2"/>
    <x v="10"/>
    <n v="2067.1078595439499"/>
    <n v="125749.06145559"/>
    <n v="452696.62124012603"/>
  </r>
  <r>
    <x v="0"/>
    <x v="0"/>
    <x v="0"/>
    <x v="3"/>
    <x v="4"/>
    <s v="GerA"/>
    <x v="7"/>
    <x v="6"/>
    <s v="GHYRR_WATER"/>
    <x v="2"/>
    <x v="11"/>
    <n v="2067.1078595439499"/>
    <n v="125749.06145559"/>
    <n v="452696.62124012603"/>
  </r>
  <r>
    <x v="0"/>
    <x v="0"/>
    <x v="0"/>
    <x v="3"/>
    <x v="4"/>
    <s v="GerA"/>
    <x v="7"/>
    <x v="6"/>
    <s v="GHYRR_WATER"/>
    <x v="3"/>
    <x v="0"/>
    <n v="2211.2283821465298"/>
    <n v="134516.39324724799"/>
    <n v="484259.01569009101"/>
  </r>
  <r>
    <x v="0"/>
    <x v="0"/>
    <x v="0"/>
    <x v="3"/>
    <x v="4"/>
    <s v="GerA"/>
    <x v="7"/>
    <x v="6"/>
    <s v="GHYRR_WATER"/>
    <x v="3"/>
    <x v="1"/>
    <n v="2211.2283821465298"/>
    <n v="134516.39324724799"/>
    <n v="484259.01569009101"/>
  </r>
  <r>
    <x v="0"/>
    <x v="0"/>
    <x v="0"/>
    <x v="3"/>
    <x v="4"/>
    <s v="GerA"/>
    <x v="7"/>
    <x v="6"/>
    <s v="GHYRR_WATER"/>
    <x v="3"/>
    <x v="2"/>
    <n v="2211.2283821465298"/>
    <n v="134516.39324724799"/>
    <n v="484259.01569009101"/>
  </r>
  <r>
    <x v="0"/>
    <x v="0"/>
    <x v="0"/>
    <x v="3"/>
    <x v="4"/>
    <s v="GerA"/>
    <x v="7"/>
    <x v="6"/>
    <s v="GHYRR_WATER"/>
    <x v="3"/>
    <x v="3"/>
    <n v="2211.2283821465298"/>
    <n v="134516.39324724799"/>
    <n v="484259.01569009101"/>
  </r>
  <r>
    <x v="0"/>
    <x v="0"/>
    <x v="0"/>
    <x v="3"/>
    <x v="4"/>
    <s v="GerA"/>
    <x v="7"/>
    <x v="6"/>
    <s v="GHYRR_WATER"/>
    <x v="3"/>
    <x v="4"/>
    <n v="2211.2283821465298"/>
    <n v="134516.39324724799"/>
    <n v="484259.01569009101"/>
  </r>
  <r>
    <x v="0"/>
    <x v="0"/>
    <x v="0"/>
    <x v="3"/>
    <x v="4"/>
    <s v="GerA"/>
    <x v="7"/>
    <x v="6"/>
    <s v="GHYRR_WATER"/>
    <x v="3"/>
    <x v="5"/>
    <n v="2211.2283821465298"/>
    <n v="134516.39324724799"/>
    <n v="484259.01569009101"/>
  </r>
  <r>
    <x v="0"/>
    <x v="0"/>
    <x v="0"/>
    <x v="3"/>
    <x v="4"/>
    <s v="GerA"/>
    <x v="7"/>
    <x v="6"/>
    <s v="GHYRR_WATER"/>
    <x v="3"/>
    <x v="6"/>
    <n v="2211.2283821465298"/>
    <n v="134516.39324724799"/>
    <n v="484259.01569009101"/>
  </r>
  <r>
    <x v="0"/>
    <x v="0"/>
    <x v="0"/>
    <x v="3"/>
    <x v="4"/>
    <s v="GerA"/>
    <x v="7"/>
    <x v="6"/>
    <s v="GHYRR_WATER"/>
    <x v="3"/>
    <x v="7"/>
    <n v="2211.2283821465298"/>
    <n v="134516.39324724799"/>
    <n v="484259.01569009101"/>
  </r>
  <r>
    <x v="0"/>
    <x v="0"/>
    <x v="0"/>
    <x v="3"/>
    <x v="4"/>
    <s v="GerA"/>
    <x v="7"/>
    <x v="6"/>
    <s v="GHYRR_WATER"/>
    <x v="3"/>
    <x v="8"/>
    <n v="2211.2283821465298"/>
    <n v="134516.39324724799"/>
    <n v="484259.01569009101"/>
  </r>
  <r>
    <x v="0"/>
    <x v="0"/>
    <x v="0"/>
    <x v="3"/>
    <x v="4"/>
    <s v="GerA"/>
    <x v="7"/>
    <x v="6"/>
    <s v="GHYRR_WATER"/>
    <x v="3"/>
    <x v="9"/>
    <n v="2211.2283821465298"/>
    <n v="134516.39324724799"/>
    <n v="484259.01569009101"/>
  </r>
  <r>
    <x v="0"/>
    <x v="0"/>
    <x v="0"/>
    <x v="3"/>
    <x v="4"/>
    <s v="GerA"/>
    <x v="7"/>
    <x v="6"/>
    <s v="GHYRR_WATER"/>
    <x v="3"/>
    <x v="10"/>
    <n v="2211.2283821465298"/>
    <n v="134516.39324724799"/>
    <n v="484259.01569009101"/>
  </r>
  <r>
    <x v="0"/>
    <x v="0"/>
    <x v="0"/>
    <x v="3"/>
    <x v="4"/>
    <s v="GerA"/>
    <x v="7"/>
    <x v="6"/>
    <s v="GHYRR_WATER"/>
    <x v="3"/>
    <x v="11"/>
    <n v="2211.2283821465298"/>
    <n v="134516.39324724799"/>
    <n v="484259.01569009101"/>
  </r>
  <r>
    <x v="0"/>
    <x v="0"/>
    <x v="0"/>
    <x v="3"/>
    <x v="4"/>
    <s v="GerA"/>
    <x v="7"/>
    <x v="6"/>
    <s v="GHYRR_WATER"/>
    <x v="4"/>
    <x v="0"/>
    <n v="1889.80343523028"/>
    <n v="114963.042309842"/>
    <n v="413866.95231543097"/>
  </r>
  <r>
    <x v="0"/>
    <x v="0"/>
    <x v="0"/>
    <x v="3"/>
    <x v="4"/>
    <s v="GerA"/>
    <x v="7"/>
    <x v="6"/>
    <s v="GHYRR_WATER"/>
    <x v="4"/>
    <x v="1"/>
    <n v="1889.80343523028"/>
    <n v="114963.042309842"/>
    <n v="413866.95231543097"/>
  </r>
  <r>
    <x v="0"/>
    <x v="0"/>
    <x v="0"/>
    <x v="3"/>
    <x v="4"/>
    <s v="GerA"/>
    <x v="7"/>
    <x v="6"/>
    <s v="GHYRR_WATER"/>
    <x v="4"/>
    <x v="2"/>
    <n v="1889.80343523028"/>
    <n v="114963.042309842"/>
    <n v="413866.95231543097"/>
  </r>
  <r>
    <x v="0"/>
    <x v="0"/>
    <x v="0"/>
    <x v="3"/>
    <x v="4"/>
    <s v="GerA"/>
    <x v="7"/>
    <x v="6"/>
    <s v="GHYRR_WATER"/>
    <x v="4"/>
    <x v="3"/>
    <n v="1889.80343523028"/>
    <n v="114963.042309842"/>
    <n v="413866.95231543097"/>
  </r>
  <r>
    <x v="0"/>
    <x v="0"/>
    <x v="0"/>
    <x v="3"/>
    <x v="4"/>
    <s v="GerA"/>
    <x v="7"/>
    <x v="6"/>
    <s v="GHYRR_WATER"/>
    <x v="4"/>
    <x v="4"/>
    <n v="1889.80343523028"/>
    <n v="114963.042309842"/>
    <n v="413866.95231543097"/>
  </r>
  <r>
    <x v="0"/>
    <x v="0"/>
    <x v="0"/>
    <x v="3"/>
    <x v="4"/>
    <s v="GerA"/>
    <x v="7"/>
    <x v="6"/>
    <s v="GHYRR_WATER"/>
    <x v="4"/>
    <x v="5"/>
    <n v="1889.80343523028"/>
    <n v="114963.042309842"/>
    <n v="413866.95231543097"/>
  </r>
  <r>
    <x v="0"/>
    <x v="0"/>
    <x v="0"/>
    <x v="3"/>
    <x v="4"/>
    <s v="GerA"/>
    <x v="7"/>
    <x v="6"/>
    <s v="GHYRR_WATER"/>
    <x v="4"/>
    <x v="6"/>
    <n v="1889.80343523028"/>
    <n v="114963.042309842"/>
    <n v="413866.95231543097"/>
  </r>
  <r>
    <x v="0"/>
    <x v="0"/>
    <x v="0"/>
    <x v="3"/>
    <x v="4"/>
    <s v="GerA"/>
    <x v="7"/>
    <x v="6"/>
    <s v="GHYRR_WATER"/>
    <x v="4"/>
    <x v="7"/>
    <n v="1889.80343523028"/>
    <n v="114963.042309842"/>
    <n v="413866.95231543097"/>
  </r>
  <r>
    <x v="0"/>
    <x v="0"/>
    <x v="0"/>
    <x v="3"/>
    <x v="4"/>
    <s v="GerA"/>
    <x v="7"/>
    <x v="6"/>
    <s v="GHYRR_WATER"/>
    <x v="4"/>
    <x v="8"/>
    <n v="1889.80343523028"/>
    <n v="114963.042309842"/>
    <n v="413866.95231543097"/>
  </r>
  <r>
    <x v="0"/>
    <x v="0"/>
    <x v="0"/>
    <x v="3"/>
    <x v="4"/>
    <s v="GerA"/>
    <x v="7"/>
    <x v="6"/>
    <s v="GHYRR_WATER"/>
    <x v="4"/>
    <x v="9"/>
    <n v="1889.80343523028"/>
    <n v="114963.042309842"/>
    <n v="413866.95231543097"/>
  </r>
  <r>
    <x v="0"/>
    <x v="0"/>
    <x v="0"/>
    <x v="3"/>
    <x v="4"/>
    <s v="GerA"/>
    <x v="7"/>
    <x v="6"/>
    <s v="GHYRR_WATER"/>
    <x v="4"/>
    <x v="10"/>
    <n v="1889.80343523028"/>
    <n v="114963.042309842"/>
    <n v="413866.95231543097"/>
  </r>
  <r>
    <x v="0"/>
    <x v="0"/>
    <x v="0"/>
    <x v="3"/>
    <x v="4"/>
    <s v="GerA"/>
    <x v="7"/>
    <x v="6"/>
    <s v="GHYRR_WATER"/>
    <x v="4"/>
    <x v="11"/>
    <n v="1889.80343523028"/>
    <n v="114963.042309842"/>
    <n v="413866.95231543097"/>
  </r>
  <r>
    <x v="0"/>
    <x v="0"/>
    <x v="0"/>
    <x v="3"/>
    <x v="4"/>
    <s v="GerA"/>
    <x v="7"/>
    <x v="6"/>
    <s v="GHYRR_WATER"/>
    <x v="5"/>
    <x v="0"/>
    <n v="1733.5123125732"/>
    <n v="105455.332348203"/>
    <n v="379639.19645353098"/>
  </r>
  <r>
    <x v="0"/>
    <x v="0"/>
    <x v="0"/>
    <x v="3"/>
    <x v="4"/>
    <s v="GerA"/>
    <x v="7"/>
    <x v="6"/>
    <s v="GHYRR_WATER"/>
    <x v="5"/>
    <x v="1"/>
    <n v="1733.5123125732"/>
    <n v="105455.332348203"/>
    <n v="379639.19645353098"/>
  </r>
  <r>
    <x v="0"/>
    <x v="0"/>
    <x v="0"/>
    <x v="3"/>
    <x v="4"/>
    <s v="GerA"/>
    <x v="7"/>
    <x v="6"/>
    <s v="GHYRR_WATER"/>
    <x v="5"/>
    <x v="2"/>
    <n v="1733.5123125732"/>
    <n v="105455.332348203"/>
    <n v="379639.19645353098"/>
  </r>
  <r>
    <x v="0"/>
    <x v="0"/>
    <x v="0"/>
    <x v="3"/>
    <x v="4"/>
    <s v="GerA"/>
    <x v="7"/>
    <x v="6"/>
    <s v="GHYRR_WATER"/>
    <x v="5"/>
    <x v="3"/>
    <n v="1733.5123125732"/>
    <n v="105455.332348203"/>
    <n v="379639.19645353098"/>
  </r>
  <r>
    <x v="0"/>
    <x v="0"/>
    <x v="0"/>
    <x v="3"/>
    <x v="4"/>
    <s v="GerA"/>
    <x v="7"/>
    <x v="6"/>
    <s v="GHYRR_WATER"/>
    <x v="5"/>
    <x v="4"/>
    <n v="1733.5123125732"/>
    <n v="105455.332348203"/>
    <n v="379639.19645353098"/>
  </r>
  <r>
    <x v="0"/>
    <x v="0"/>
    <x v="0"/>
    <x v="3"/>
    <x v="4"/>
    <s v="GerA"/>
    <x v="7"/>
    <x v="6"/>
    <s v="GHYRR_WATER"/>
    <x v="5"/>
    <x v="5"/>
    <n v="1733.5123125732"/>
    <n v="105455.332348203"/>
    <n v="379639.19645353098"/>
  </r>
  <r>
    <x v="0"/>
    <x v="0"/>
    <x v="0"/>
    <x v="3"/>
    <x v="4"/>
    <s v="GerA"/>
    <x v="7"/>
    <x v="6"/>
    <s v="GHYRR_WATER"/>
    <x v="5"/>
    <x v="6"/>
    <n v="1733.5123125732"/>
    <n v="105455.332348203"/>
    <n v="379639.19645353098"/>
  </r>
  <r>
    <x v="0"/>
    <x v="0"/>
    <x v="0"/>
    <x v="3"/>
    <x v="4"/>
    <s v="GerA"/>
    <x v="7"/>
    <x v="6"/>
    <s v="GHYRR_WATER"/>
    <x v="5"/>
    <x v="7"/>
    <n v="1733.5123125732"/>
    <n v="105455.332348203"/>
    <n v="379639.19645353098"/>
  </r>
  <r>
    <x v="0"/>
    <x v="0"/>
    <x v="0"/>
    <x v="3"/>
    <x v="4"/>
    <s v="GerA"/>
    <x v="7"/>
    <x v="6"/>
    <s v="GHYRR_WATER"/>
    <x v="5"/>
    <x v="8"/>
    <n v="1733.5123125732"/>
    <n v="105455.332348203"/>
    <n v="379639.19645353098"/>
  </r>
  <r>
    <x v="0"/>
    <x v="0"/>
    <x v="0"/>
    <x v="3"/>
    <x v="4"/>
    <s v="GerA"/>
    <x v="7"/>
    <x v="6"/>
    <s v="GHYRR_WATER"/>
    <x v="5"/>
    <x v="9"/>
    <n v="1733.5123125732"/>
    <n v="105455.332348203"/>
    <n v="379639.19645353098"/>
  </r>
  <r>
    <x v="0"/>
    <x v="0"/>
    <x v="0"/>
    <x v="3"/>
    <x v="4"/>
    <s v="GerA"/>
    <x v="7"/>
    <x v="6"/>
    <s v="GHYRR_WATER"/>
    <x v="5"/>
    <x v="10"/>
    <n v="1733.5123125732"/>
    <n v="105455.332348203"/>
    <n v="379639.19645353098"/>
  </r>
  <r>
    <x v="0"/>
    <x v="0"/>
    <x v="0"/>
    <x v="3"/>
    <x v="4"/>
    <s v="GerA"/>
    <x v="7"/>
    <x v="6"/>
    <s v="GHYRR_WATER"/>
    <x v="5"/>
    <x v="11"/>
    <n v="1733.5123125732"/>
    <n v="105455.332348203"/>
    <n v="379639.19645353098"/>
  </r>
  <r>
    <x v="0"/>
    <x v="0"/>
    <x v="0"/>
    <x v="3"/>
    <x v="4"/>
    <s v="GerA"/>
    <x v="7"/>
    <x v="6"/>
    <s v="GHYRR_WATER"/>
    <x v="6"/>
    <x v="0"/>
    <n v="1521.0522692698701"/>
    <n v="92530.679713917096"/>
    <n v="333110.44697010203"/>
  </r>
  <r>
    <x v="0"/>
    <x v="0"/>
    <x v="0"/>
    <x v="3"/>
    <x v="4"/>
    <s v="GerA"/>
    <x v="7"/>
    <x v="6"/>
    <s v="GHYRR_WATER"/>
    <x v="6"/>
    <x v="1"/>
    <n v="1521.0522692698701"/>
    <n v="92530.679713917096"/>
    <n v="333110.44697010203"/>
  </r>
  <r>
    <x v="0"/>
    <x v="0"/>
    <x v="0"/>
    <x v="3"/>
    <x v="4"/>
    <s v="GerA"/>
    <x v="7"/>
    <x v="6"/>
    <s v="GHYRR_WATER"/>
    <x v="6"/>
    <x v="2"/>
    <n v="1521.0522692698701"/>
    <n v="92530.679713917096"/>
    <n v="333110.44697010203"/>
  </r>
  <r>
    <x v="0"/>
    <x v="0"/>
    <x v="0"/>
    <x v="3"/>
    <x v="4"/>
    <s v="GerA"/>
    <x v="7"/>
    <x v="6"/>
    <s v="GHYRR_WATER"/>
    <x v="6"/>
    <x v="3"/>
    <n v="1521.0522692698701"/>
    <n v="92530.679713917096"/>
    <n v="333110.44697010203"/>
  </r>
  <r>
    <x v="0"/>
    <x v="0"/>
    <x v="0"/>
    <x v="3"/>
    <x v="4"/>
    <s v="GerA"/>
    <x v="7"/>
    <x v="6"/>
    <s v="GHYRR_WATER"/>
    <x v="6"/>
    <x v="4"/>
    <n v="1521.0522692698701"/>
    <n v="92530.679713917096"/>
    <n v="333110.44697010203"/>
  </r>
  <r>
    <x v="0"/>
    <x v="0"/>
    <x v="0"/>
    <x v="3"/>
    <x v="4"/>
    <s v="GerA"/>
    <x v="7"/>
    <x v="6"/>
    <s v="GHYRR_WATER"/>
    <x v="6"/>
    <x v="5"/>
    <n v="1521.0522692698701"/>
    <n v="92530.679713917096"/>
    <n v="333110.44697010203"/>
  </r>
  <r>
    <x v="0"/>
    <x v="0"/>
    <x v="0"/>
    <x v="3"/>
    <x v="4"/>
    <s v="GerA"/>
    <x v="7"/>
    <x v="6"/>
    <s v="GHYRR_WATER"/>
    <x v="6"/>
    <x v="6"/>
    <n v="1521.0522692698701"/>
    <n v="92530.679713917096"/>
    <n v="333110.44697010203"/>
  </r>
  <r>
    <x v="0"/>
    <x v="0"/>
    <x v="0"/>
    <x v="3"/>
    <x v="4"/>
    <s v="GerA"/>
    <x v="7"/>
    <x v="6"/>
    <s v="GHYRR_WATER"/>
    <x v="6"/>
    <x v="7"/>
    <n v="1521.0522692698701"/>
    <n v="92530.679713917096"/>
    <n v="333110.44697010203"/>
  </r>
  <r>
    <x v="0"/>
    <x v="0"/>
    <x v="0"/>
    <x v="3"/>
    <x v="4"/>
    <s v="GerA"/>
    <x v="7"/>
    <x v="6"/>
    <s v="GHYRR_WATER"/>
    <x v="6"/>
    <x v="8"/>
    <n v="1521.0522692698701"/>
    <n v="92530.679713917096"/>
    <n v="333110.44697010203"/>
  </r>
  <r>
    <x v="0"/>
    <x v="0"/>
    <x v="0"/>
    <x v="3"/>
    <x v="4"/>
    <s v="GerA"/>
    <x v="7"/>
    <x v="6"/>
    <s v="GHYRR_WATER"/>
    <x v="6"/>
    <x v="9"/>
    <n v="1521.0522692698701"/>
    <n v="92530.679713917096"/>
    <n v="333110.44697010203"/>
  </r>
  <r>
    <x v="0"/>
    <x v="0"/>
    <x v="0"/>
    <x v="3"/>
    <x v="4"/>
    <s v="GerA"/>
    <x v="7"/>
    <x v="6"/>
    <s v="GHYRR_WATER"/>
    <x v="6"/>
    <x v="10"/>
    <n v="1521.0522692698701"/>
    <n v="92530.679713917096"/>
    <n v="333110.44697010203"/>
  </r>
  <r>
    <x v="0"/>
    <x v="0"/>
    <x v="0"/>
    <x v="3"/>
    <x v="4"/>
    <s v="GerA"/>
    <x v="7"/>
    <x v="6"/>
    <s v="GHYRR_WATER"/>
    <x v="6"/>
    <x v="11"/>
    <n v="1521.0522692698701"/>
    <n v="92530.679713917096"/>
    <n v="333110.44697010203"/>
  </r>
  <r>
    <x v="0"/>
    <x v="0"/>
    <x v="0"/>
    <x v="3"/>
    <x v="4"/>
    <s v="GerA"/>
    <x v="7"/>
    <x v="6"/>
    <s v="GHYRR_WATER"/>
    <x v="7"/>
    <x v="0"/>
    <n v="1521.6653031953099"/>
    <n v="92567.972611048099"/>
    <n v="333244.70139977301"/>
  </r>
  <r>
    <x v="0"/>
    <x v="0"/>
    <x v="0"/>
    <x v="3"/>
    <x v="4"/>
    <s v="GerA"/>
    <x v="7"/>
    <x v="6"/>
    <s v="GHYRR_WATER"/>
    <x v="7"/>
    <x v="1"/>
    <n v="1521.6653031953099"/>
    <n v="92567.972611048099"/>
    <n v="333244.70139977301"/>
  </r>
  <r>
    <x v="0"/>
    <x v="0"/>
    <x v="0"/>
    <x v="3"/>
    <x v="4"/>
    <s v="GerA"/>
    <x v="7"/>
    <x v="6"/>
    <s v="GHYRR_WATER"/>
    <x v="7"/>
    <x v="2"/>
    <n v="1521.6653031953099"/>
    <n v="92567.972611048099"/>
    <n v="333244.70139977301"/>
  </r>
  <r>
    <x v="0"/>
    <x v="0"/>
    <x v="0"/>
    <x v="3"/>
    <x v="4"/>
    <s v="GerA"/>
    <x v="7"/>
    <x v="6"/>
    <s v="GHYRR_WATER"/>
    <x v="7"/>
    <x v="3"/>
    <n v="1521.6653031953099"/>
    <n v="92567.972611048099"/>
    <n v="333244.70139977301"/>
  </r>
  <r>
    <x v="0"/>
    <x v="0"/>
    <x v="0"/>
    <x v="3"/>
    <x v="4"/>
    <s v="GerA"/>
    <x v="7"/>
    <x v="6"/>
    <s v="GHYRR_WATER"/>
    <x v="7"/>
    <x v="4"/>
    <n v="1521.6653031953099"/>
    <n v="92567.972611048099"/>
    <n v="333244.70139977301"/>
  </r>
  <r>
    <x v="0"/>
    <x v="0"/>
    <x v="0"/>
    <x v="3"/>
    <x v="4"/>
    <s v="GerA"/>
    <x v="7"/>
    <x v="6"/>
    <s v="GHYRR_WATER"/>
    <x v="7"/>
    <x v="5"/>
    <n v="1521.6653031953099"/>
    <n v="92567.972611048099"/>
    <n v="333244.70139977301"/>
  </r>
  <r>
    <x v="0"/>
    <x v="0"/>
    <x v="0"/>
    <x v="3"/>
    <x v="4"/>
    <s v="GerA"/>
    <x v="7"/>
    <x v="6"/>
    <s v="GHYRR_WATER"/>
    <x v="7"/>
    <x v="6"/>
    <n v="1521.6653031953099"/>
    <n v="92567.972611048099"/>
    <n v="333244.70139977301"/>
  </r>
  <r>
    <x v="0"/>
    <x v="0"/>
    <x v="0"/>
    <x v="3"/>
    <x v="4"/>
    <s v="GerA"/>
    <x v="7"/>
    <x v="6"/>
    <s v="GHYRR_WATER"/>
    <x v="7"/>
    <x v="7"/>
    <n v="1521.6653031953099"/>
    <n v="92567.972611048099"/>
    <n v="333244.70139977301"/>
  </r>
  <r>
    <x v="0"/>
    <x v="0"/>
    <x v="0"/>
    <x v="3"/>
    <x v="4"/>
    <s v="GerA"/>
    <x v="7"/>
    <x v="6"/>
    <s v="GHYRR_WATER"/>
    <x v="7"/>
    <x v="8"/>
    <n v="1521.6653031953099"/>
    <n v="92567.972611048099"/>
    <n v="333244.70139977301"/>
  </r>
  <r>
    <x v="0"/>
    <x v="0"/>
    <x v="0"/>
    <x v="3"/>
    <x v="4"/>
    <s v="GerA"/>
    <x v="7"/>
    <x v="6"/>
    <s v="GHYRR_WATER"/>
    <x v="7"/>
    <x v="9"/>
    <n v="1521.6653031953099"/>
    <n v="92567.972611048099"/>
    <n v="333244.70139977301"/>
  </r>
  <r>
    <x v="0"/>
    <x v="0"/>
    <x v="0"/>
    <x v="3"/>
    <x v="4"/>
    <s v="GerA"/>
    <x v="7"/>
    <x v="6"/>
    <s v="GHYRR_WATER"/>
    <x v="7"/>
    <x v="10"/>
    <n v="1521.6653031953099"/>
    <n v="92567.972611048099"/>
    <n v="333244.70139977301"/>
  </r>
  <r>
    <x v="0"/>
    <x v="0"/>
    <x v="0"/>
    <x v="3"/>
    <x v="4"/>
    <s v="GerA"/>
    <x v="7"/>
    <x v="6"/>
    <s v="GHYRR_WATER"/>
    <x v="7"/>
    <x v="11"/>
    <n v="1521.6653031953099"/>
    <n v="92567.972611048099"/>
    <n v="333244.70139977301"/>
  </r>
  <r>
    <x v="0"/>
    <x v="0"/>
    <x v="0"/>
    <x v="3"/>
    <x v="4"/>
    <s v="GerA"/>
    <x v="7"/>
    <x v="6"/>
    <s v="GHYRR_WATER"/>
    <x v="8"/>
    <x v="0"/>
    <n v="1954.0744124095199"/>
    <n v="118872.860088246"/>
    <n v="427942.29631768499"/>
  </r>
  <r>
    <x v="0"/>
    <x v="0"/>
    <x v="0"/>
    <x v="3"/>
    <x v="4"/>
    <s v="GerA"/>
    <x v="7"/>
    <x v="6"/>
    <s v="GHYRR_WATER"/>
    <x v="8"/>
    <x v="1"/>
    <n v="1954.0744124095199"/>
    <n v="118872.860088246"/>
    <n v="427942.29631768499"/>
  </r>
  <r>
    <x v="0"/>
    <x v="0"/>
    <x v="0"/>
    <x v="3"/>
    <x v="4"/>
    <s v="GerA"/>
    <x v="7"/>
    <x v="6"/>
    <s v="GHYRR_WATER"/>
    <x v="8"/>
    <x v="2"/>
    <n v="1954.0744124095199"/>
    <n v="118872.860088246"/>
    <n v="427942.29631768499"/>
  </r>
  <r>
    <x v="0"/>
    <x v="0"/>
    <x v="0"/>
    <x v="3"/>
    <x v="4"/>
    <s v="GerA"/>
    <x v="7"/>
    <x v="6"/>
    <s v="GHYRR_WATER"/>
    <x v="8"/>
    <x v="3"/>
    <n v="1954.0744124095199"/>
    <n v="118872.860088246"/>
    <n v="427942.29631768499"/>
  </r>
  <r>
    <x v="0"/>
    <x v="0"/>
    <x v="0"/>
    <x v="3"/>
    <x v="4"/>
    <s v="GerA"/>
    <x v="7"/>
    <x v="6"/>
    <s v="GHYRR_WATER"/>
    <x v="8"/>
    <x v="4"/>
    <n v="1954.0744124095199"/>
    <n v="118872.860088246"/>
    <n v="427942.29631768499"/>
  </r>
  <r>
    <x v="0"/>
    <x v="0"/>
    <x v="0"/>
    <x v="3"/>
    <x v="4"/>
    <s v="GerA"/>
    <x v="7"/>
    <x v="6"/>
    <s v="GHYRR_WATER"/>
    <x v="8"/>
    <x v="5"/>
    <n v="1954.0744124095199"/>
    <n v="118872.860088246"/>
    <n v="427942.29631768499"/>
  </r>
  <r>
    <x v="0"/>
    <x v="0"/>
    <x v="0"/>
    <x v="3"/>
    <x v="4"/>
    <s v="GerA"/>
    <x v="7"/>
    <x v="6"/>
    <s v="GHYRR_WATER"/>
    <x v="8"/>
    <x v="6"/>
    <n v="1954.0744124095199"/>
    <n v="118872.860088246"/>
    <n v="427942.29631768499"/>
  </r>
  <r>
    <x v="0"/>
    <x v="0"/>
    <x v="0"/>
    <x v="3"/>
    <x v="4"/>
    <s v="GerA"/>
    <x v="7"/>
    <x v="6"/>
    <s v="GHYRR_WATER"/>
    <x v="8"/>
    <x v="7"/>
    <n v="1954.0744124095199"/>
    <n v="118872.860088246"/>
    <n v="427942.29631768499"/>
  </r>
  <r>
    <x v="0"/>
    <x v="0"/>
    <x v="0"/>
    <x v="3"/>
    <x v="4"/>
    <s v="GerA"/>
    <x v="7"/>
    <x v="6"/>
    <s v="GHYRR_WATER"/>
    <x v="8"/>
    <x v="8"/>
    <n v="1954.0744124095199"/>
    <n v="118872.860088246"/>
    <n v="427942.29631768499"/>
  </r>
  <r>
    <x v="0"/>
    <x v="0"/>
    <x v="0"/>
    <x v="3"/>
    <x v="4"/>
    <s v="GerA"/>
    <x v="7"/>
    <x v="6"/>
    <s v="GHYRR_WATER"/>
    <x v="8"/>
    <x v="9"/>
    <n v="1954.0744124095199"/>
    <n v="118872.860088246"/>
    <n v="427942.29631768499"/>
  </r>
  <r>
    <x v="0"/>
    <x v="0"/>
    <x v="0"/>
    <x v="3"/>
    <x v="4"/>
    <s v="GerA"/>
    <x v="7"/>
    <x v="6"/>
    <s v="GHYRR_WATER"/>
    <x v="8"/>
    <x v="10"/>
    <n v="1954.0744124095199"/>
    <n v="118872.860088246"/>
    <n v="427942.29631768499"/>
  </r>
  <r>
    <x v="0"/>
    <x v="0"/>
    <x v="0"/>
    <x v="3"/>
    <x v="4"/>
    <s v="GerA"/>
    <x v="7"/>
    <x v="6"/>
    <s v="GHYRR_WATER"/>
    <x v="8"/>
    <x v="11"/>
    <n v="1954.0744124095199"/>
    <n v="118872.860088246"/>
    <n v="427942.29631768499"/>
  </r>
  <r>
    <x v="0"/>
    <x v="0"/>
    <x v="0"/>
    <x v="3"/>
    <x v="4"/>
    <s v="GerA"/>
    <x v="7"/>
    <x v="6"/>
    <s v="GHYRR_WATER"/>
    <x v="9"/>
    <x v="0"/>
    <n v="1999.65911466956"/>
    <n v="121645.929475732"/>
    <n v="437925.346112634"/>
  </r>
  <r>
    <x v="0"/>
    <x v="0"/>
    <x v="0"/>
    <x v="3"/>
    <x v="4"/>
    <s v="GerA"/>
    <x v="7"/>
    <x v="6"/>
    <s v="GHYRR_WATER"/>
    <x v="9"/>
    <x v="1"/>
    <n v="1999.65911466956"/>
    <n v="121645.929475732"/>
    <n v="437925.346112634"/>
  </r>
  <r>
    <x v="0"/>
    <x v="0"/>
    <x v="0"/>
    <x v="3"/>
    <x v="4"/>
    <s v="GerA"/>
    <x v="7"/>
    <x v="6"/>
    <s v="GHYRR_WATER"/>
    <x v="9"/>
    <x v="2"/>
    <n v="1999.65911466956"/>
    <n v="121645.929475732"/>
    <n v="437925.346112634"/>
  </r>
  <r>
    <x v="0"/>
    <x v="0"/>
    <x v="0"/>
    <x v="3"/>
    <x v="4"/>
    <s v="GerA"/>
    <x v="7"/>
    <x v="6"/>
    <s v="GHYRR_WATER"/>
    <x v="9"/>
    <x v="3"/>
    <n v="1999.65911466956"/>
    <n v="121645.929475732"/>
    <n v="437925.346112634"/>
  </r>
  <r>
    <x v="0"/>
    <x v="0"/>
    <x v="0"/>
    <x v="3"/>
    <x v="4"/>
    <s v="GerA"/>
    <x v="7"/>
    <x v="6"/>
    <s v="GHYRR_WATER"/>
    <x v="9"/>
    <x v="4"/>
    <n v="1999.65911466956"/>
    <n v="121645.929475732"/>
    <n v="437925.346112634"/>
  </r>
  <r>
    <x v="0"/>
    <x v="0"/>
    <x v="0"/>
    <x v="3"/>
    <x v="4"/>
    <s v="GerA"/>
    <x v="7"/>
    <x v="6"/>
    <s v="GHYRR_WATER"/>
    <x v="9"/>
    <x v="5"/>
    <n v="1999.65911466956"/>
    <n v="121645.929475732"/>
    <n v="437925.346112634"/>
  </r>
  <r>
    <x v="0"/>
    <x v="0"/>
    <x v="0"/>
    <x v="3"/>
    <x v="4"/>
    <s v="GerA"/>
    <x v="7"/>
    <x v="6"/>
    <s v="GHYRR_WATER"/>
    <x v="9"/>
    <x v="6"/>
    <n v="1999.65911466956"/>
    <n v="121645.929475732"/>
    <n v="437925.346112634"/>
  </r>
  <r>
    <x v="0"/>
    <x v="0"/>
    <x v="0"/>
    <x v="3"/>
    <x v="4"/>
    <s v="GerA"/>
    <x v="7"/>
    <x v="6"/>
    <s v="GHYRR_WATER"/>
    <x v="9"/>
    <x v="7"/>
    <n v="1999.65911466956"/>
    <n v="121645.929475732"/>
    <n v="437925.346112634"/>
  </r>
  <r>
    <x v="0"/>
    <x v="0"/>
    <x v="0"/>
    <x v="3"/>
    <x v="4"/>
    <s v="GerA"/>
    <x v="7"/>
    <x v="6"/>
    <s v="GHYRR_WATER"/>
    <x v="9"/>
    <x v="8"/>
    <n v="1999.65911466956"/>
    <n v="121645.929475732"/>
    <n v="437925.346112634"/>
  </r>
  <r>
    <x v="0"/>
    <x v="0"/>
    <x v="0"/>
    <x v="3"/>
    <x v="4"/>
    <s v="GerA"/>
    <x v="7"/>
    <x v="6"/>
    <s v="GHYRR_WATER"/>
    <x v="9"/>
    <x v="9"/>
    <n v="1999.65911466956"/>
    <n v="121645.929475732"/>
    <n v="437925.346112634"/>
  </r>
  <r>
    <x v="0"/>
    <x v="0"/>
    <x v="0"/>
    <x v="3"/>
    <x v="4"/>
    <s v="GerA"/>
    <x v="7"/>
    <x v="6"/>
    <s v="GHYRR_WATER"/>
    <x v="9"/>
    <x v="10"/>
    <n v="1999.65911466956"/>
    <n v="121645.929475732"/>
    <n v="437925.346112634"/>
  </r>
  <r>
    <x v="0"/>
    <x v="0"/>
    <x v="0"/>
    <x v="3"/>
    <x v="4"/>
    <s v="GerA"/>
    <x v="7"/>
    <x v="6"/>
    <s v="GHYRR_WATER"/>
    <x v="9"/>
    <x v="11"/>
    <n v="1999.65911466956"/>
    <n v="121645.929475732"/>
    <n v="437925.346112634"/>
  </r>
  <r>
    <x v="0"/>
    <x v="0"/>
    <x v="0"/>
    <x v="3"/>
    <x v="4"/>
    <s v="GerA"/>
    <x v="7"/>
    <x v="6"/>
    <s v="GHYRR_WATER"/>
    <x v="10"/>
    <x v="0"/>
    <n v="2081.2226529048498"/>
    <n v="126607.711385045"/>
    <n v="455787.76098616299"/>
  </r>
  <r>
    <x v="0"/>
    <x v="0"/>
    <x v="0"/>
    <x v="3"/>
    <x v="4"/>
    <s v="GerA"/>
    <x v="7"/>
    <x v="6"/>
    <s v="GHYRR_WATER"/>
    <x v="10"/>
    <x v="1"/>
    <n v="2081.2226529048498"/>
    <n v="126607.711385045"/>
    <n v="455787.76098616299"/>
  </r>
  <r>
    <x v="0"/>
    <x v="0"/>
    <x v="0"/>
    <x v="3"/>
    <x v="4"/>
    <s v="GerA"/>
    <x v="7"/>
    <x v="6"/>
    <s v="GHYRR_WATER"/>
    <x v="10"/>
    <x v="2"/>
    <n v="2081.2226529048498"/>
    <n v="126607.711385045"/>
    <n v="455787.76098616299"/>
  </r>
  <r>
    <x v="0"/>
    <x v="0"/>
    <x v="0"/>
    <x v="3"/>
    <x v="4"/>
    <s v="GerA"/>
    <x v="7"/>
    <x v="6"/>
    <s v="GHYRR_WATER"/>
    <x v="10"/>
    <x v="3"/>
    <n v="2081.2226529048498"/>
    <n v="126607.711385045"/>
    <n v="455787.76098616299"/>
  </r>
  <r>
    <x v="0"/>
    <x v="0"/>
    <x v="0"/>
    <x v="3"/>
    <x v="4"/>
    <s v="GerA"/>
    <x v="7"/>
    <x v="6"/>
    <s v="GHYRR_WATER"/>
    <x v="10"/>
    <x v="4"/>
    <n v="2081.2226529048498"/>
    <n v="126607.711385045"/>
    <n v="455787.76098616299"/>
  </r>
  <r>
    <x v="0"/>
    <x v="0"/>
    <x v="0"/>
    <x v="3"/>
    <x v="4"/>
    <s v="GerA"/>
    <x v="7"/>
    <x v="6"/>
    <s v="GHYRR_WATER"/>
    <x v="10"/>
    <x v="5"/>
    <n v="2081.2226529048498"/>
    <n v="126607.711385045"/>
    <n v="455787.76098616299"/>
  </r>
  <r>
    <x v="0"/>
    <x v="0"/>
    <x v="0"/>
    <x v="3"/>
    <x v="4"/>
    <s v="GerA"/>
    <x v="7"/>
    <x v="6"/>
    <s v="GHYRR_WATER"/>
    <x v="10"/>
    <x v="6"/>
    <n v="2081.2226529048498"/>
    <n v="126607.711385045"/>
    <n v="455787.76098616299"/>
  </r>
  <r>
    <x v="0"/>
    <x v="0"/>
    <x v="0"/>
    <x v="3"/>
    <x v="4"/>
    <s v="GerA"/>
    <x v="7"/>
    <x v="6"/>
    <s v="GHYRR_WATER"/>
    <x v="10"/>
    <x v="7"/>
    <n v="2081.2226529048498"/>
    <n v="126607.711385045"/>
    <n v="455787.76098616299"/>
  </r>
  <r>
    <x v="0"/>
    <x v="0"/>
    <x v="0"/>
    <x v="3"/>
    <x v="4"/>
    <s v="GerA"/>
    <x v="7"/>
    <x v="6"/>
    <s v="GHYRR_WATER"/>
    <x v="10"/>
    <x v="8"/>
    <n v="2081.2226529048498"/>
    <n v="126607.711385045"/>
    <n v="455787.76098616299"/>
  </r>
  <r>
    <x v="0"/>
    <x v="0"/>
    <x v="0"/>
    <x v="3"/>
    <x v="4"/>
    <s v="GerA"/>
    <x v="7"/>
    <x v="6"/>
    <s v="GHYRR_WATER"/>
    <x v="10"/>
    <x v="9"/>
    <n v="2081.2226529048498"/>
    <n v="126607.711385045"/>
    <n v="455787.76098616299"/>
  </r>
  <r>
    <x v="0"/>
    <x v="0"/>
    <x v="0"/>
    <x v="3"/>
    <x v="4"/>
    <s v="GerA"/>
    <x v="7"/>
    <x v="6"/>
    <s v="GHYRR_WATER"/>
    <x v="10"/>
    <x v="10"/>
    <n v="2081.2226529048498"/>
    <n v="126607.711385045"/>
    <n v="455787.76098616299"/>
  </r>
  <r>
    <x v="0"/>
    <x v="0"/>
    <x v="0"/>
    <x v="3"/>
    <x v="4"/>
    <s v="GerA"/>
    <x v="7"/>
    <x v="6"/>
    <s v="GHYRR_WATER"/>
    <x v="10"/>
    <x v="11"/>
    <n v="2081.2226529048498"/>
    <n v="126607.711385045"/>
    <n v="455787.76098616299"/>
  </r>
  <r>
    <x v="0"/>
    <x v="0"/>
    <x v="0"/>
    <x v="3"/>
    <x v="4"/>
    <s v="GerA"/>
    <x v="7"/>
    <x v="6"/>
    <s v="GHYRR_WATER"/>
    <x v="11"/>
    <x v="0"/>
    <n v="2362.6540171790298"/>
    <n v="143728.11937839101"/>
    <n v="517421.22976220702"/>
  </r>
  <r>
    <x v="0"/>
    <x v="0"/>
    <x v="0"/>
    <x v="3"/>
    <x v="4"/>
    <s v="GerA"/>
    <x v="7"/>
    <x v="6"/>
    <s v="GHYRR_WATER"/>
    <x v="11"/>
    <x v="1"/>
    <n v="2362.6540171790298"/>
    <n v="143728.11937839101"/>
    <n v="517421.22976220702"/>
  </r>
  <r>
    <x v="0"/>
    <x v="0"/>
    <x v="0"/>
    <x v="3"/>
    <x v="4"/>
    <s v="GerA"/>
    <x v="7"/>
    <x v="6"/>
    <s v="GHYRR_WATER"/>
    <x v="11"/>
    <x v="2"/>
    <n v="2362.6540171790298"/>
    <n v="143728.11937839101"/>
    <n v="517421.22976220702"/>
  </r>
  <r>
    <x v="0"/>
    <x v="0"/>
    <x v="0"/>
    <x v="3"/>
    <x v="4"/>
    <s v="GerA"/>
    <x v="7"/>
    <x v="6"/>
    <s v="GHYRR_WATER"/>
    <x v="11"/>
    <x v="3"/>
    <n v="2362.6540171790298"/>
    <n v="143728.11937839101"/>
    <n v="517421.22976220702"/>
  </r>
  <r>
    <x v="0"/>
    <x v="0"/>
    <x v="0"/>
    <x v="3"/>
    <x v="4"/>
    <s v="GerA"/>
    <x v="7"/>
    <x v="6"/>
    <s v="GHYRR_WATER"/>
    <x v="11"/>
    <x v="4"/>
    <n v="2362.6540171790298"/>
    <n v="143728.11937839101"/>
    <n v="517421.22976220702"/>
  </r>
  <r>
    <x v="0"/>
    <x v="0"/>
    <x v="0"/>
    <x v="3"/>
    <x v="4"/>
    <s v="GerA"/>
    <x v="7"/>
    <x v="6"/>
    <s v="GHYRR_WATER"/>
    <x v="11"/>
    <x v="5"/>
    <n v="2362.6540171790298"/>
    <n v="143728.11937839101"/>
    <n v="517421.22976220702"/>
  </r>
  <r>
    <x v="0"/>
    <x v="0"/>
    <x v="0"/>
    <x v="3"/>
    <x v="4"/>
    <s v="GerA"/>
    <x v="7"/>
    <x v="6"/>
    <s v="GHYRR_WATER"/>
    <x v="11"/>
    <x v="6"/>
    <n v="2362.6540171790298"/>
    <n v="143728.11937839101"/>
    <n v="517421.22976220702"/>
  </r>
  <r>
    <x v="0"/>
    <x v="0"/>
    <x v="0"/>
    <x v="3"/>
    <x v="4"/>
    <s v="GerA"/>
    <x v="7"/>
    <x v="6"/>
    <s v="GHYRR_WATER"/>
    <x v="11"/>
    <x v="7"/>
    <n v="2362.6540171790298"/>
    <n v="143728.11937839101"/>
    <n v="517421.22976220702"/>
  </r>
  <r>
    <x v="0"/>
    <x v="0"/>
    <x v="0"/>
    <x v="3"/>
    <x v="4"/>
    <s v="GerA"/>
    <x v="7"/>
    <x v="6"/>
    <s v="GHYRR_WATER"/>
    <x v="11"/>
    <x v="8"/>
    <n v="2362.6540171790298"/>
    <n v="143728.11937839101"/>
    <n v="517421.22976220702"/>
  </r>
  <r>
    <x v="0"/>
    <x v="0"/>
    <x v="0"/>
    <x v="3"/>
    <x v="4"/>
    <s v="GerA"/>
    <x v="7"/>
    <x v="6"/>
    <s v="GHYRR_WATER"/>
    <x v="11"/>
    <x v="9"/>
    <n v="2362.6540171790298"/>
    <n v="143728.11937839101"/>
    <n v="517421.22976220702"/>
  </r>
  <r>
    <x v="0"/>
    <x v="0"/>
    <x v="0"/>
    <x v="3"/>
    <x v="4"/>
    <s v="GerA"/>
    <x v="7"/>
    <x v="6"/>
    <s v="GHYRR_WATER"/>
    <x v="11"/>
    <x v="10"/>
    <n v="2362.6540171790298"/>
    <n v="143728.11937839101"/>
    <n v="517421.22976220702"/>
  </r>
  <r>
    <x v="0"/>
    <x v="0"/>
    <x v="0"/>
    <x v="3"/>
    <x v="4"/>
    <s v="GerA"/>
    <x v="7"/>
    <x v="6"/>
    <s v="GHYRR_WATER"/>
    <x v="11"/>
    <x v="11"/>
    <n v="2362.6540171790298"/>
    <n v="143728.11937839101"/>
    <n v="517421.22976220702"/>
  </r>
  <r>
    <x v="0"/>
    <x v="0"/>
    <x v="0"/>
    <x v="3"/>
    <x v="4"/>
    <s v="GerA"/>
    <x v="7"/>
    <x v="7"/>
    <s v="GHYRS_WATER"/>
    <x v="4"/>
    <x v="0"/>
    <n v="6426.6940000000004"/>
    <n v="390957.21833333297"/>
    <n v="1407445.986"/>
  </r>
  <r>
    <x v="0"/>
    <x v="0"/>
    <x v="0"/>
    <x v="3"/>
    <x v="4"/>
    <s v="GerA"/>
    <x v="7"/>
    <x v="7"/>
    <s v="GHYRS_WATER"/>
    <x v="4"/>
    <x v="1"/>
    <n v="6426.6940000000004"/>
    <n v="390957.21833333297"/>
    <n v="1407445.986"/>
  </r>
  <r>
    <x v="0"/>
    <x v="0"/>
    <x v="0"/>
    <x v="3"/>
    <x v="4"/>
    <s v="GerA"/>
    <x v="7"/>
    <x v="7"/>
    <s v="GHYRS_WATER"/>
    <x v="4"/>
    <x v="2"/>
    <n v="6426.6940000000004"/>
    <n v="390957.21833333297"/>
    <n v="1407445.986"/>
  </r>
  <r>
    <x v="0"/>
    <x v="0"/>
    <x v="0"/>
    <x v="3"/>
    <x v="4"/>
    <s v="GerA"/>
    <x v="7"/>
    <x v="7"/>
    <s v="GHYRS_WATER"/>
    <x v="4"/>
    <x v="3"/>
    <n v="6426.6940000000004"/>
    <n v="390957.21833333297"/>
    <n v="1407445.986"/>
  </r>
  <r>
    <x v="0"/>
    <x v="0"/>
    <x v="0"/>
    <x v="3"/>
    <x v="4"/>
    <s v="GerA"/>
    <x v="7"/>
    <x v="7"/>
    <s v="GHYRS_WATER"/>
    <x v="4"/>
    <x v="4"/>
    <n v="6426.6940000000004"/>
    <n v="390957.21833333297"/>
    <n v="1407445.986"/>
  </r>
  <r>
    <x v="0"/>
    <x v="0"/>
    <x v="0"/>
    <x v="3"/>
    <x v="4"/>
    <s v="GerA"/>
    <x v="7"/>
    <x v="7"/>
    <s v="GHYRS_WATER"/>
    <x v="4"/>
    <x v="5"/>
    <n v="6426.6940000000004"/>
    <n v="390957.21833333297"/>
    <n v="1407445.986"/>
  </r>
  <r>
    <x v="0"/>
    <x v="0"/>
    <x v="0"/>
    <x v="3"/>
    <x v="4"/>
    <s v="GerA"/>
    <x v="7"/>
    <x v="7"/>
    <s v="GHYRS_WATER"/>
    <x v="4"/>
    <x v="6"/>
    <n v="6426.6940000000004"/>
    <n v="390957.21833333297"/>
    <n v="1407445.986"/>
  </r>
  <r>
    <x v="0"/>
    <x v="0"/>
    <x v="0"/>
    <x v="3"/>
    <x v="4"/>
    <s v="GerA"/>
    <x v="7"/>
    <x v="7"/>
    <s v="GHYRS_WATER"/>
    <x v="4"/>
    <x v="7"/>
    <n v="6426.6940000000004"/>
    <n v="390957.21833333297"/>
    <n v="1407445.986"/>
  </r>
  <r>
    <x v="0"/>
    <x v="0"/>
    <x v="0"/>
    <x v="3"/>
    <x v="4"/>
    <s v="GerA"/>
    <x v="7"/>
    <x v="7"/>
    <s v="GHYRS_WATER"/>
    <x v="4"/>
    <x v="8"/>
    <n v="6426.6940000000004"/>
    <n v="390957.21833333297"/>
    <n v="1407445.986"/>
  </r>
  <r>
    <x v="0"/>
    <x v="0"/>
    <x v="0"/>
    <x v="3"/>
    <x v="4"/>
    <s v="GerA"/>
    <x v="7"/>
    <x v="7"/>
    <s v="GHYRS_WATER"/>
    <x v="4"/>
    <x v="9"/>
    <n v="6426.6940000000004"/>
    <n v="390957.21833333297"/>
    <n v="1407445.986"/>
  </r>
  <r>
    <x v="0"/>
    <x v="0"/>
    <x v="0"/>
    <x v="3"/>
    <x v="4"/>
    <s v="GerA"/>
    <x v="7"/>
    <x v="7"/>
    <s v="GHYRS_WATER"/>
    <x v="4"/>
    <x v="10"/>
    <n v="6426.6940000000004"/>
    <n v="390957.21833333297"/>
    <n v="1407445.986"/>
  </r>
  <r>
    <x v="0"/>
    <x v="0"/>
    <x v="0"/>
    <x v="3"/>
    <x v="4"/>
    <s v="GerA"/>
    <x v="7"/>
    <x v="7"/>
    <s v="GHYRS_WATER"/>
    <x v="4"/>
    <x v="11"/>
    <n v="6426.6940000000004"/>
    <n v="390957.21833333297"/>
    <n v="1407445.986"/>
  </r>
  <r>
    <x v="0"/>
    <x v="0"/>
    <x v="0"/>
    <x v="3"/>
    <x v="4"/>
    <s v="GerA"/>
    <x v="7"/>
    <x v="7"/>
    <s v="GHYRS_WATER"/>
    <x v="5"/>
    <x v="0"/>
    <n v="6426.6940000000004"/>
    <n v="390957.21833333297"/>
    <n v="1407445.986"/>
  </r>
  <r>
    <x v="0"/>
    <x v="0"/>
    <x v="0"/>
    <x v="3"/>
    <x v="4"/>
    <s v="GerA"/>
    <x v="7"/>
    <x v="7"/>
    <s v="GHYRS_WATER"/>
    <x v="5"/>
    <x v="1"/>
    <n v="6426.6940000000004"/>
    <n v="390957.21833333297"/>
    <n v="1407445.986"/>
  </r>
  <r>
    <x v="0"/>
    <x v="0"/>
    <x v="0"/>
    <x v="3"/>
    <x v="4"/>
    <s v="GerA"/>
    <x v="7"/>
    <x v="7"/>
    <s v="GHYRS_WATER"/>
    <x v="5"/>
    <x v="2"/>
    <n v="6426.6940000000004"/>
    <n v="390957.21833333297"/>
    <n v="1407445.986"/>
  </r>
  <r>
    <x v="0"/>
    <x v="0"/>
    <x v="0"/>
    <x v="3"/>
    <x v="4"/>
    <s v="GerA"/>
    <x v="7"/>
    <x v="7"/>
    <s v="GHYRS_WATER"/>
    <x v="5"/>
    <x v="3"/>
    <n v="6426.6940000000004"/>
    <n v="390957.21833333297"/>
    <n v="1407445.986"/>
  </r>
  <r>
    <x v="0"/>
    <x v="0"/>
    <x v="0"/>
    <x v="3"/>
    <x v="4"/>
    <s v="GerA"/>
    <x v="7"/>
    <x v="7"/>
    <s v="GHYRS_WATER"/>
    <x v="5"/>
    <x v="4"/>
    <n v="6426.6940000000004"/>
    <n v="390957.21833333297"/>
    <n v="1407445.986"/>
  </r>
  <r>
    <x v="0"/>
    <x v="0"/>
    <x v="0"/>
    <x v="3"/>
    <x v="4"/>
    <s v="GerA"/>
    <x v="7"/>
    <x v="7"/>
    <s v="GHYRS_WATER"/>
    <x v="5"/>
    <x v="5"/>
    <n v="6426.6940000000004"/>
    <n v="390957.21833333297"/>
    <n v="1407445.986"/>
  </r>
  <r>
    <x v="0"/>
    <x v="0"/>
    <x v="0"/>
    <x v="3"/>
    <x v="4"/>
    <s v="GerA"/>
    <x v="7"/>
    <x v="7"/>
    <s v="GHYRS_WATER"/>
    <x v="5"/>
    <x v="6"/>
    <n v="6426.6940000000004"/>
    <n v="390957.21833333297"/>
    <n v="1407445.986"/>
  </r>
  <r>
    <x v="0"/>
    <x v="0"/>
    <x v="0"/>
    <x v="3"/>
    <x v="4"/>
    <s v="GerA"/>
    <x v="7"/>
    <x v="7"/>
    <s v="GHYRS_WATER"/>
    <x v="5"/>
    <x v="7"/>
    <n v="6426.6940000000004"/>
    <n v="390957.21833333297"/>
    <n v="1407445.986"/>
  </r>
  <r>
    <x v="0"/>
    <x v="0"/>
    <x v="0"/>
    <x v="3"/>
    <x v="4"/>
    <s v="GerA"/>
    <x v="7"/>
    <x v="7"/>
    <s v="GHYRS_WATER"/>
    <x v="5"/>
    <x v="8"/>
    <n v="6426.6940000000004"/>
    <n v="390957.21833333297"/>
    <n v="1407445.986"/>
  </r>
  <r>
    <x v="0"/>
    <x v="0"/>
    <x v="0"/>
    <x v="3"/>
    <x v="4"/>
    <s v="GerA"/>
    <x v="7"/>
    <x v="7"/>
    <s v="GHYRS_WATER"/>
    <x v="5"/>
    <x v="9"/>
    <n v="6426.6940000000004"/>
    <n v="390957.21833333297"/>
    <n v="1407445.986"/>
  </r>
  <r>
    <x v="0"/>
    <x v="0"/>
    <x v="0"/>
    <x v="3"/>
    <x v="4"/>
    <s v="GerA"/>
    <x v="7"/>
    <x v="7"/>
    <s v="GHYRS_WATER"/>
    <x v="5"/>
    <x v="10"/>
    <n v="6426.6940000000004"/>
    <n v="390957.21833333297"/>
    <n v="1407445.986"/>
  </r>
  <r>
    <x v="0"/>
    <x v="0"/>
    <x v="0"/>
    <x v="3"/>
    <x v="4"/>
    <s v="GerA"/>
    <x v="7"/>
    <x v="7"/>
    <s v="GHYRS_WATER"/>
    <x v="5"/>
    <x v="11"/>
    <n v="6426.6940000000004"/>
    <n v="390957.21833333297"/>
    <n v="1407445.986"/>
  </r>
  <r>
    <x v="0"/>
    <x v="0"/>
    <x v="0"/>
    <x v="3"/>
    <x v="4"/>
    <s v="GerA"/>
    <x v="7"/>
    <x v="7"/>
    <s v="GHYRS_WATER"/>
    <x v="6"/>
    <x v="4"/>
    <n v="1481.90485645187"/>
    <n v="90149.212100822406"/>
    <n v="324537.16356295999"/>
  </r>
  <r>
    <x v="0"/>
    <x v="0"/>
    <x v="0"/>
    <x v="3"/>
    <x v="4"/>
    <s v="GerA"/>
    <x v="7"/>
    <x v="7"/>
    <s v="GHYRS_WATER"/>
    <x v="6"/>
    <x v="5"/>
    <n v="6426.6940000000004"/>
    <n v="390957.21833333297"/>
    <n v="1407445.986"/>
  </r>
  <r>
    <x v="0"/>
    <x v="0"/>
    <x v="0"/>
    <x v="3"/>
    <x v="4"/>
    <s v="GerA"/>
    <x v="7"/>
    <x v="7"/>
    <s v="GHYRS_WATER"/>
    <x v="6"/>
    <x v="6"/>
    <n v="6426.6940000000004"/>
    <n v="390957.21833333297"/>
    <n v="1407445.986"/>
  </r>
  <r>
    <x v="0"/>
    <x v="0"/>
    <x v="0"/>
    <x v="3"/>
    <x v="4"/>
    <s v="GerA"/>
    <x v="7"/>
    <x v="7"/>
    <s v="GHYRS_WATER"/>
    <x v="6"/>
    <x v="7"/>
    <n v="6426.6940000000004"/>
    <n v="390957.21833333297"/>
    <n v="1407445.986"/>
  </r>
  <r>
    <x v="0"/>
    <x v="0"/>
    <x v="0"/>
    <x v="3"/>
    <x v="4"/>
    <s v="GerA"/>
    <x v="7"/>
    <x v="7"/>
    <s v="GHYRS_WATER"/>
    <x v="6"/>
    <x v="8"/>
    <n v="6426.6940000000004"/>
    <n v="390957.21833333297"/>
    <n v="1407445.986"/>
  </r>
  <r>
    <x v="0"/>
    <x v="0"/>
    <x v="0"/>
    <x v="3"/>
    <x v="4"/>
    <s v="GerA"/>
    <x v="7"/>
    <x v="7"/>
    <s v="GHYRS_WATER"/>
    <x v="6"/>
    <x v="9"/>
    <n v="6426.6940000000004"/>
    <n v="390957.21833333297"/>
    <n v="1407445.986"/>
  </r>
  <r>
    <x v="0"/>
    <x v="0"/>
    <x v="0"/>
    <x v="3"/>
    <x v="4"/>
    <s v="GerA"/>
    <x v="7"/>
    <x v="7"/>
    <s v="GHYRS_WATER"/>
    <x v="6"/>
    <x v="10"/>
    <n v="6426.6940000000004"/>
    <n v="390957.21833333297"/>
    <n v="1407445.986"/>
  </r>
  <r>
    <x v="0"/>
    <x v="0"/>
    <x v="0"/>
    <x v="3"/>
    <x v="4"/>
    <s v="GerA"/>
    <x v="7"/>
    <x v="7"/>
    <s v="GHYRS_WATER"/>
    <x v="6"/>
    <x v="11"/>
    <n v="6426.6940000000004"/>
    <n v="390957.21833333297"/>
    <n v="1407445.986"/>
  </r>
  <r>
    <x v="0"/>
    <x v="0"/>
    <x v="0"/>
    <x v="3"/>
    <x v="4"/>
    <s v="GerA"/>
    <x v="7"/>
    <x v="7"/>
    <s v="GHYRS_WATER"/>
    <x v="8"/>
    <x v="0"/>
    <n v="6426.6940000000004"/>
    <n v="390957.21833333297"/>
    <n v="1407445.986"/>
  </r>
  <r>
    <x v="0"/>
    <x v="0"/>
    <x v="0"/>
    <x v="3"/>
    <x v="4"/>
    <s v="GerA"/>
    <x v="7"/>
    <x v="7"/>
    <s v="GHYRS_WATER"/>
    <x v="8"/>
    <x v="1"/>
    <n v="6426.6940000000004"/>
    <n v="390957.21833333297"/>
    <n v="1407445.986"/>
  </r>
  <r>
    <x v="0"/>
    <x v="0"/>
    <x v="0"/>
    <x v="3"/>
    <x v="4"/>
    <s v="GerA"/>
    <x v="7"/>
    <x v="7"/>
    <s v="GHYRS_WATER"/>
    <x v="8"/>
    <x v="2"/>
    <n v="6426.6940000000004"/>
    <n v="390957.21833333297"/>
    <n v="1407445.986"/>
  </r>
  <r>
    <x v="0"/>
    <x v="0"/>
    <x v="0"/>
    <x v="3"/>
    <x v="4"/>
    <s v="GerA"/>
    <x v="7"/>
    <x v="7"/>
    <s v="GHYRS_WATER"/>
    <x v="8"/>
    <x v="3"/>
    <n v="6426.6940000000004"/>
    <n v="390957.21833333297"/>
    <n v="1407445.986"/>
  </r>
  <r>
    <x v="0"/>
    <x v="0"/>
    <x v="0"/>
    <x v="3"/>
    <x v="4"/>
    <s v="GerA"/>
    <x v="7"/>
    <x v="7"/>
    <s v="GHYRS_WATER"/>
    <x v="8"/>
    <x v="4"/>
    <n v="6426.6940000000004"/>
    <n v="390957.21833333297"/>
    <n v="1407445.986"/>
  </r>
  <r>
    <x v="0"/>
    <x v="0"/>
    <x v="0"/>
    <x v="3"/>
    <x v="4"/>
    <s v="GerA"/>
    <x v="7"/>
    <x v="7"/>
    <s v="GHYRS_WATER"/>
    <x v="8"/>
    <x v="5"/>
    <n v="6426.6940000000004"/>
    <n v="390957.21833333297"/>
    <n v="1407445.986"/>
  </r>
  <r>
    <x v="0"/>
    <x v="0"/>
    <x v="0"/>
    <x v="3"/>
    <x v="4"/>
    <s v="GerA"/>
    <x v="7"/>
    <x v="7"/>
    <s v="GHYRS_WATER"/>
    <x v="8"/>
    <x v="6"/>
    <n v="6426.6940000000004"/>
    <n v="390957.21833333297"/>
    <n v="1407445.986"/>
  </r>
  <r>
    <x v="0"/>
    <x v="0"/>
    <x v="0"/>
    <x v="3"/>
    <x v="4"/>
    <s v="GerA"/>
    <x v="7"/>
    <x v="7"/>
    <s v="GHYRS_WATER"/>
    <x v="8"/>
    <x v="7"/>
    <n v="6426.6940000000004"/>
    <n v="390957.21833333297"/>
    <n v="1407445.986"/>
  </r>
  <r>
    <x v="0"/>
    <x v="0"/>
    <x v="0"/>
    <x v="3"/>
    <x v="4"/>
    <s v="GerA"/>
    <x v="7"/>
    <x v="7"/>
    <s v="GHYRS_WATER"/>
    <x v="8"/>
    <x v="8"/>
    <n v="6426.6940000000004"/>
    <n v="390957.21833333297"/>
    <n v="1407445.986"/>
  </r>
  <r>
    <x v="0"/>
    <x v="0"/>
    <x v="0"/>
    <x v="3"/>
    <x v="4"/>
    <s v="GerA"/>
    <x v="7"/>
    <x v="7"/>
    <s v="GHYRS_WATER"/>
    <x v="8"/>
    <x v="9"/>
    <n v="6426.6940000000004"/>
    <n v="390957.21833333297"/>
    <n v="1407445.986"/>
  </r>
  <r>
    <x v="0"/>
    <x v="0"/>
    <x v="0"/>
    <x v="3"/>
    <x v="4"/>
    <s v="GerA"/>
    <x v="7"/>
    <x v="7"/>
    <s v="GHYRS_WATER"/>
    <x v="8"/>
    <x v="10"/>
    <n v="6426.6940000000004"/>
    <n v="390957.21833333297"/>
    <n v="1407445.986"/>
  </r>
  <r>
    <x v="0"/>
    <x v="0"/>
    <x v="0"/>
    <x v="3"/>
    <x v="4"/>
    <s v="GerA"/>
    <x v="7"/>
    <x v="7"/>
    <s v="GHYRS_WATER"/>
    <x v="8"/>
    <x v="11"/>
    <n v="6426.6940000000004"/>
    <n v="390957.21833333297"/>
    <n v="1407445.986"/>
  </r>
  <r>
    <x v="0"/>
    <x v="0"/>
    <x v="0"/>
    <x v="3"/>
    <x v="4"/>
    <s v="GerA"/>
    <x v="7"/>
    <x v="7"/>
    <s v="GHYRS_WATER"/>
    <x v="9"/>
    <x v="0"/>
    <n v="6426.6940000000004"/>
    <n v="390957.21833333297"/>
    <n v="1407445.986"/>
  </r>
  <r>
    <x v="0"/>
    <x v="0"/>
    <x v="0"/>
    <x v="3"/>
    <x v="4"/>
    <s v="GerA"/>
    <x v="7"/>
    <x v="7"/>
    <s v="GHYRS_WATER"/>
    <x v="9"/>
    <x v="1"/>
    <n v="6426.6940000000004"/>
    <n v="390957.21833333297"/>
    <n v="1407445.986"/>
  </r>
  <r>
    <x v="0"/>
    <x v="0"/>
    <x v="0"/>
    <x v="3"/>
    <x v="4"/>
    <s v="GerA"/>
    <x v="7"/>
    <x v="7"/>
    <s v="GHYRS_WATER"/>
    <x v="9"/>
    <x v="2"/>
    <n v="6426.6940000000004"/>
    <n v="390957.21833333297"/>
    <n v="1407445.986"/>
  </r>
  <r>
    <x v="0"/>
    <x v="0"/>
    <x v="0"/>
    <x v="3"/>
    <x v="4"/>
    <s v="GerA"/>
    <x v="7"/>
    <x v="7"/>
    <s v="GHYRS_WATER"/>
    <x v="9"/>
    <x v="3"/>
    <n v="6426.6940000000004"/>
    <n v="390957.21833333297"/>
    <n v="1407445.986"/>
  </r>
  <r>
    <x v="0"/>
    <x v="0"/>
    <x v="0"/>
    <x v="3"/>
    <x v="4"/>
    <s v="GerA"/>
    <x v="7"/>
    <x v="7"/>
    <s v="GHYRS_WATER"/>
    <x v="9"/>
    <x v="4"/>
    <n v="6426.6940000000004"/>
    <n v="390957.21833333297"/>
    <n v="1407445.986"/>
  </r>
  <r>
    <x v="0"/>
    <x v="0"/>
    <x v="0"/>
    <x v="3"/>
    <x v="4"/>
    <s v="GerA"/>
    <x v="7"/>
    <x v="7"/>
    <s v="GHYRS_WATER"/>
    <x v="9"/>
    <x v="5"/>
    <n v="6426.6940000000004"/>
    <n v="390957.21833333297"/>
    <n v="1407445.986"/>
  </r>
  <r>
    <x v="0"/>
    <x v="0"/>
    <x v="0"/>
    <x v="3"/>
    <x v="4"/>
    <s v="GerA"/>
    <x v="7"/>
    <x v="7"/>
    <s v="GHYRS_WATER"/>
    <x v="9"/>
    <x v="6"/>
    <n v="6426.6940000000004"/>
    <n v="390957.21833333297"/>
    <n v="1407445.986"/>
  </r>
  <r>
    <x v="0"/>
    <x v="0"/>
    <x v="0"/>
    <x v="3"/>
    <x v="4"/>
    <s v="GerA"/>
    <x v="7"/>
    <x v="7"/>
    <s v="GHYRS_WATER"/>
    <x v="9"/>
    <x v="7"/>
    <n v="6426.6940000000004"/>
    <n v="390957.21833333297"/>
    <n v="1407445.986"/>
  </r>
  <r>
    <x v="0"/>
    <x v="0"/>
    <x v="0"/>
    <x v="3"/>
    <x v="4"/>
    <s v="GerA"/>
    <x v="7"/>
    <x v="7"/>
    <s v="GHYRS_WATER"/>
    <x v="9"/>
    <x v="8"/>
    <n v="6426.6940000000004"/>
    <n v="390957.21833333297"/>
    <n v="1407445.986"/>
  </r>
  <r>
    <x v="0"/>
    <x v="0"/>
    <x v="0"/>
    <x v="3"/>
    <x v="4"/>
    <s v="GerA"/>
    <x v="7"/>
    <x v="7"/>
    <s v="GHYRS_WATER"/>
    <x v="9"/>
    <x v="9"/>
    <n v="6426.6940000000004"/>
    <n v="390957.21833333297"/>
    <n v="1407445.986"/>
  </r>
  <r>
    <x v="0"/>
    <x v="0"/>
    <x v="0"/>
    <x v="3"/>
    <x v="4"/>
    <s v="GerA"/>
    <x v="7"/>
    <x v="7"/>
    <s v="GHYRS_WATER"/>
    <x v="9"/>
    <x v="10"/>
    <n v="6426.6940000000004"/>
    <n v="390957.21833333297"/>
    <n v="1407445.986"/>
  </r>
  <r>
    <x v="0"/>
    <x v="0"/>
    <x v="0"/>
    <x v="3"/>
    <x v="4"/>
    <s v="GerA"/>
    <x v="7"/>
    <x v="7"/>
    <s v="GHYRS_WATER"/>
    <x v="9"/>
    <x v="11"/>
    <n v="6426.6940000000004"/>
    <n v="390957.21833333297"/>
    <n v="1407445.986"/>
  </r>
  <r>
    <x v="0"/>
    <x v="0"/>
    <x v="0"/>
    <x v="3"/>
    <x v="4"/>
    <s v="GerA"/>
    <x v="7"/>
    <x v="7"/>
    <s v="GHYRS_WATER"/>
    <x v="10"/>
    <x v="0"/>
    <n v="6426.6940000000004"/>
    <n v="390957.21833333297"/>
    <n v="1407445.986"/>
  </r>
  <r>
    <x v="0"/>
    <x v="0"/>
    <x v="0"/>
    <x v="3"/>
    <x v="4"/>
    <s v="GerA"/>
    <x v="7"/>
    <x v="7"/>
    <s v="GHYRS_WATER"/>
    <x v="10"/>
    <x v="1"/>
    <n v="6426.6940000000004"/>
    <n v="390957.21833333297"/>
    <n v="1407445.986"/>
  </r>
  <r>
    <x v="0"/>
    <x v="0"/>
    <x v="0"/>
    <x v="3"/>
    <x v="4"/>
    <s v="GerA"/>
    <x v="7"/>
    <x v="7"/>
    <s v="GHYRS_WATER"/>
    <x v="10"/>
    <x v="2"/>
    <n v="6426.6940000000004"/>
    <n v="390957.21833333297"/>
    <n v="1407445.986"/>
  </r>
  <r>
    <x v="0"/>
    <x v="0"/>
    <x v="0"/>
    <x v="3"/>
    <x v="4"/>
    <s v="GerA"/>
    <x v="7"/>
    <x v="7"/>
    <s v="GHYRS_WATER"/>
    <x v="10"/>
    <x v="3"/>
    <n v="6426.6940000000004"/>
    <n v="390957.21833333297"/>
    <n v="1407445.986"/>
  </r>
  <r>
    <x v="0"/>
    <x v="0"/>
    <x v="0"/>
    <x v="3"/>
    <x v="4"/>
    <s v="GerA"/>
    <x v="7"/>
    <x v="7"/>
    <s v="GHYRS_WATER"/>
    <x v="10"/>
    <x v="4"/>
    <n v="6426.6940000000004"/>
    <n v="390957.21833333297"/>
    <n v="1407445.986"/>
  </r>
  <r>
    <x v="0"/>
    <x v="0"/>
    <x v="0"/>
    <x v="3"/>
    <x v="4"/>
    <s v="GerA"/>
    <x v="7"/>
    <x v="7"/>
    <s v="GHYRS_WATER"/>
    <x v="10"/>
    <x v="5"/>
    <n v="6426.6940000000004"/>
    <n v="390957.21833333297"/>
    <n v="1407445.986"/>
  </r>
  <r>
    <x v="0"/>
    <x v="0"/>
    <x v="0"/>
    <x v="3"/>
    <x v="4"/>
    <s v="GerA"/>
    <x v="7"/>
    <x v="7"/>
    <s v="GHYRS_WATER"/>
    <x v="10"/>
    <x v="6"/>
    <n v="6426.6940000000004"/>
    <n v="390957.21833333297"/>
    <n v="1407445.986"/>
  </r>
  <r>
    <x v="0"/>
    <x v="0"/>
    <x v="0"/>
    <x v="3"/>
    <x v="4"/>
    <s v="GerA"/>
    <x v="7"/>
    <x v="7"/>
    <s v="GHYRS_WATER"/>
    <x v="10"/>
    <x v="7"/>
    <n v="6426.6940000000004"/>
    <n v="390957.21833333297"/>
    <n v="1407445.986"/>
  </r>
  <r>
    <x v="0"/>
    <x v="0"/>
    <x v="0"/>
    <x v="3"/>
    <x v="4"/>
    <s v="GerA"/>
    <x v="7"/>
    <x v="7"/>
    <s v="GHYRS_WATER"/>
    <x v="10"/>
    <x v="8"/>
    <n v="6426.6940000000004"/>
    <n v="390957.21833333297"/>
    <n v="1407445.986"/>
  </r>
  <r>
    <x v="0"/>
    <x v="0"/>
    <x v="0"/>
    <x v="3"/>
    <x v="4"/>
    <s v="GerA"/>
    <x v="7"/>
    <x v="7"/>
    <s v="GHYRS_WATER"/>
    <x v="10"/>
    <x v="9"/>
    <n v="6426.6940000000004"/>
    <n v="390957.21833333297"/>
    <n v="1407445.986"/>
  </r>
  <r>
    <x v="0"/>
    <x v="0"/>
    <x v="0"/>
    <x v="3"/>
    <x v="4"/>
    <s v="GerA"/>
    <x v="7"/>
    <x v="7"/>
    <s v="GHYRS_WATER"/>
    <x v="10"/>
    <x v="10"/>
    <n v="6426.6940000000004"/>
    <n v="390957.21833333297"/>
    <n v="1407445.986"/>
  </r>
  <r>
    <x v="0"/>
    <x v="0"/>
    <x v="0"/>
    <x v="3"/>
    <x v="4"/>
    <s v="GerA"/>
    <x v="7"/>
    <x v="7"/>
    <s v="GHYRS_WATER"/>
    <x v="10"/>
    <x v="11"/>
    <n v="6426.6940000000004"/>
    <n v="390957.21833333297"/>
    <n v="1407445.986"/>
  </r>
  <r>
    <x v="0"/>
    <x v="0"/>
    <x v="0"/>
    <x v="3"/>
    <x v="4"/>
    <s v="GerA"/>
    <x v="7"/>
    <x v="7"/>
    <s v="GHYRS_WATER"/>
    <x v="11"/>
    <x v="0"/>
    <n v="6426.6940000000004"/>
    <n v="390957.21833333297"/>
    <n v="1407445.986"/>
  </r>
  <r>
    <x v="0"/>
    <x v="0"/>
    <x v="0"/>
    <x v="3"/>
    <x v="4"/>
    <s v="GerA"/>
    <x v="7"/>
    <x v="7"/>
    <s v="GHYRS_WATER"/>
    <x v="11"/>
    <x v="1"/>
    <n v="6426.6940000000004"/>
    <n v="390957.21833333297"/>
    <n v="1407445.986"/>
  </r>
  <r>
    <x v="0"/>
    <x v="0"/>
    <x v="0"/>
    <x v="3"/>
    <x v="4"/>
    <s v="GerA"/>
    <x v="7"/>
    <x v="7"/>
    <s v="GHYRS_WATER"/>
    <x v="11"/>
    <x v="2"/>
    <n v="6426.6940000000004"/>
    <n v="390957.21833333297"/>
    <n v="1407445.986"/>
  </r>
  <r>
    <x v="0"/>
    <x v="0"/>
    <x v="0"/>
    <x v="3"/>
    <x v="4"/>
    <s v="GerA"/>
    <x v="7"/>
    <x v="7"/>
    <s v="GHYRS_WATER"/>
    <x v="11"/>
    <x v="3"/>
    <n v="6426.6940000000004"/>
    <n v="390957.21833333297"/>
    <n v="1407445.986"/>
  </r>
  <r>
    <x v="0"/>
    <x v="0"/>
    <x v="0"/>
    <x v="3"/>
    <x v="4"/>
    <s v="GerA"/>
    <x v="7"/>
    <x v="7"/>
    <s v="GHYRS_WATER"/>
    <x v="11"/>
    <x v="4"/>
    <n v="6426.6940000000004"/>
    <n v="390957.21833333297"/>
    <n v="1407445.986"/>
  </r>
  <r>
    <x v="0"/>
    <x v="0"/>
    <x v="0"/>
    <x v="3"/>
    <x v="4"/>
    <s v="GerA"/>
    <x v="7"/>
    <x v="7"/>
    <s v="GHYRS_WATER"/>
    <x v="11"/>
    <x v="5"/>
    <n v="6426.6940000000004"/>
    <n v="390957.21833333297"/>
    <n v="1407445.986"/>
  </r>
  <r>
    <x v="0"/>
    <x v="0"/>
    <x v="0"/>
    <x v="3"/>
    <x v="4"/>
    <s v="GerA"/>
    <x v="7"/>
    <x v="7"/>
    <s v="GHYRS_WATER"/>
    <x v="11"/>
    <x v="6"/>
    <n v="6426.6940000000004"/>
    <n v="390957.21833333297"/>
    <n v="1407445.986"/>
  </r>
  <r>
    <x v="0"/>
    <x v="0"/>
    <x v="0"/>
    <x v="3"/>
    <x v="4"/>
    <s v="GerA"/>
    <x v="7"/>
    <x v="7"/>
    <s v="GHYRS_WATER"/>
    <x v="11"/>
    <x v="7"/>
    <n v="6426.6940000000004"/>
    <n v="390957.21833333297"/>
    <n v="1407445.986"/>
  </r>
  <r>
    <x v="0"/>
    <x v="0"/>
    <x v="0"/>
    <x v="3"/>
    <x v="4"/>
    <s v="GerA"/>
    <x v="7"/>
    <x v="7"/>
    <s v="GHYRS_WATER"/>
    <x v="11"/>
    <x v="8"/>
    <n v="6426.6940000000004"/>
    <n v="390957.21833333297"/>
    <n v="1407445.986"/>
  </r>
  <r>
    <x v="0"/>
    <x v="0"/>
    <x v="0"/>
    <x v="3"/>
    <x v="4"/>
    <s v="GerA"/>
    <x v="7"/>
    <x v="7"/>
    <s v="GHYRS_WATER"/>
    <x v="11"/>
    <x v="9"/>
    <n v="6426.6940000000004"/>
    <n v="390957.21833333297"/>
    <n v="1407445.986"/>
  </r>
  <r>
    <x v="0"/>
    <x v="0"/>
    <x v="0"/>
    <x v="3"/>
    <x v="4"/>
    <s v="GerA"/>
    <x v="7"/>
    <x v="7"/>
    <s v="GHYRS_WATER"/>
    <x v="11"/>
    <x v="10"/>
    <n v="6426.6940000000004"/>
    <n v="390957.21833333297"/>
    <n v="1407445.986"/>
  </r>
  <r>
    <x v="0"/>
    <x v="0"/>
    <x v="0"/>
    <x v="3"/>
    <x v="4"/>
    <s v="GerA"/>
    <x v="7"/>
    <x v="7"/>
    <s v="GHYRS_WATER"/>
    <x v="11"/>
    <x v="11"/>
    <n v="6426.6940000000004"/>
    <n v="390957.21833333297"/>
    <n v="1407445.986"/>
  </r>
  <r>
    <x v="0"/>
    <x v="0"/>
    <x v="0"/>
    <x v="3"/>
    <x v="4"/>
    <s v="GerA"/>
    <x v="0"/>
    <x v="0"/>
    <s v="GWND_WIND"/>
    <x v="0"/>
    <x v="0"/>
    <n v="23543.074825772801"/>
    <n v="1432203.7185678501"/>
    <n v="5155933.3868442504"/>
  </r>
  <r>
    <x v="0"/>
    <x v="0"/>
    <x v="0"/>
    <x v="3"/>
    <x v="4"/>
    <s v="GerA"/>
    <x v="0"/>
    <x v="0"/>
    <s v="GWND_WIND"/>
    <x v="0"/>
    <x v="1"/>
    <n v="23522.935964402401"/>
    <n v="1430978.6045011501"/>
    <n v="5151522.9762041299"/>
  </r>
  <r>
    <x v="0"/>
    <x v="0"/>
    <x v="0"/>
    <x v="3"/>
    <x v="4"/>
    <s v="GerA"/>
    <x v="0"/>
    <x v="0"/>
    <s v="GWND_WIND"/>
    <x v="0"/>
    <x v="2"/>
    <n v="22615.941318979101"/>
    <n v="1375803.09690456"/>
    <n v="4952891.1488564303"/>
  </r>
  <r>
    <x v="0"/>
    <x v="0"/>
    <x v="0"/>
    <x v="3"/>
    <x v="4"/>
    <s v="GerA"/>
    <x v="0"/>
    <x v="0"/>
    <s v="GWND_WIND"/>
    <x v="0"/>
    <x v="3"/>
    <n v="21701.114894134102"/>
    <n v="1320151.15605982"/>
    <n v="4752544.1618153602"/>
  </r>
  <r>
    <x v="0"/>
    <x v="0"/>
    <x v="0"/>
    <x v="3"/>
    <x v="4"/>
    <s v="GerA"/>
    <x v="0"/>
    <x v="0"/>
    <s v="GWND_WIND"/>
    <x v="0"/>
    <x v="4"/>
    <n v="19625.693347349301"/>
    <n v="1193896.34529708"/>
    <n v="4298026.8430695003"/>
  </r>
  <r>
    <x v="0"/>
    <x v="0"/>
    <x v="0"/>
    <x v="3"/>
    <x v="4"/>
    <s v="GerA"/>
    <x v="0"/>
    <x v="0"/>
    <s v="GWND_WIND"/>
    <x v="0"/>
    <x v="5"/>
    <n v="17027.7802305654"/>
    <n v="1035856.63069273"/>
    <n v="3729083.8704938302"/>
  </r>
  <r>
    <x v="0"/>
    <x v="0"/>
    <x v="0"/>
    <x v="3"/>
    <x v="4"/>
    <s v="GerA"/>
    <x v="0"/>
    <x v="0"/>
    <s v="GWND_WIND"/>
    <x v="0"/>
    <x v="6"/>
    <n v="14155.7548340175"/>
    <n v="861141.75240273296"/>
    <n v="3100110.3086498398"/>
  </r>
  <r>
    <x v="0"/>
    <x v="0"/>
    <x v="0"/>
    <x v="3"/>
    <x v="4"/>
    <s v="GerA"/>
    <x v="0"/>
    <x v="0"/>
    <s v="GWND_WIND"/>
    <x v="0"/>
    <x v="7"/>
    <n v="11318.7859739292"/>
    <n v="688559.48008069501"/>
    <n v="2478814.1282905"/>
  </r>
  <r>
    <x v="0"/>
    <x v="0"/>
    <x v="0"/>
    <x v="3"/>
    <x v="4"/>
    <s v="GerA"/>
    <x v="0"/>
    <x v="0"/>
    <s v="GWND_WIND"/>
    <x v="0"/>
    <x v="8"/>
    <n v="8457.5758918209995"/>
    <n v="514502.53341911099"/>
    <n v="1852209.1203087999"/>
  </r>
  <r>
    <x v="0"/>
    <x v="0"/>
    <x v="0"/>
    <x v="3"/>
    <x v="4"/>
    <s v="GerA"/>
    <x v="0"/>
    <x v="0"/>
    <s v="GWND_WIND"/>
    <x v="0"/>
    <x v="9"/>
    <n v="6848.7046334509596"/>
    <n v="416629.53186826699"/>
    <n v="1499866.3147257599"/>
  </r>
  <r>
    <x v="0"/>
    <x v="0"/>
    <x v="0"/>
    <x v="3"/>
    <x v="4"/>
    <s v="GerA"/>
    <x v="0"/>
    <x v="0"/>
    <s v="GWND_WIND"/>
    <x v="0"/>
    <x v="10"/>
    <n v="6799.4763056565998"/>
    <n v="413634.80859411001"/>
    <n v="1489085.3109388"/>
  </r>
  <r>
    <x v="0"/>
    <x v="0"/>
    <x v="0"/>
    <x v="3"/>
    <x v="4"/>
    <s v="GerA"/>
    <x v="0"/>
    <x v="0"/>
    <s v="GWND_WIND"/>
    <x v="0"/>
    <x v="11"/>
    <n v="6849.8234590826496"/>
    <n v="416697.59376086103"/>
    <n v="1500111.3375391001"/>
  </r>
  <r>
    <x v="0"/>
    <x v="0"/>
    <x v="0"/>
    <x v="3"/>
    <x v="4"/>
    <s v="GerA"/>
    <x v="0"/>
    <x v="0"/>
    <s v="GWND_WIND"/>
    <x v="1"/>
    <x v="0"/>
    <n v="5604.1975891345901"/>
    <n v="340922.02000568702"/>
    <n v="1227319.2720204699"/>
  </r>
  <r>
    <x v="0"/>
    <x v="0"/>
    <x v="0"/>
    <x v="3"/>
    <x v="4"/>
    <s v="GerA"/>
    <x v="0"/>
    <x v="0"/>
    <s v="GWND_WIND"/>
    <x v="1"/>
    <x v="1"/>
    <n v="5422.5748949236004"/>
    <n v="329873.30610785203"/>
    <n v="1187543.90198827"/>
  </r>
  <r>
    <x v="0"/>
    <x v="0"/>
    <x v="0"/>
    <x v="3"/>
    <x v="4"/>
    <s v="GerA"/>
    <x v="0"/>
    <x v="0"/>
    <s v="GWND_WIND"/>
    <x v="1"/>
    <x v="2"/>
    <n v="5267.8040158731601"/>
    <n v="320458.07763228402"/>
    <n v="1153649.0794762201"/>
  </r>
  <r>
    <x v="0"/>
    <x v="0"/>
    <x v="0"/>
    <x v="3"/>
    <x v="4"/>
    <s v="GerA"/>
    <x v="0"/>
    <x v="0"/>
    <s v="GWND_WIND"/>
    <x v="1"/>
    <x v="3"/>
    <n v="5002.2693992854302"/>
    <n v="304304.72178986401"/>
    <n v="1095496.9984435099"/>
  </r>
  <r>
    <x v="0"/>
    <x v="0"/>
    <x v="0"/>
    <x v="3"/>
    <x v="4"/>
    <s v="GerA"/>
    <x v="0"/>
    <x v="0"/>
    <s v="GWND_WIND"/>
    <x v="1"/>
    <x v="4"/>
    <n v="4556.6038559956296"/>
    <n v="277193.40123973403"/>
    <n v="997896.24446304399"/>
  </r>
  <r>
    <x v="0"/>
    <x v="0"/>
    <x v="0"/>
    <x v="3"/>
    <x v="4"/>
    <s v="GerA"/>
    <x v="0"/>
    <x v="0"/>
    <s v="GWND_WIND"/>
    <x v="1"/>
    <x v="5"/>
    <n v="4157.9289892368097"/>
    <n v="252940.68017857199"/>
    <n v="910586.44864286005"/>
  </r>
  <r>
    <x v="0"/>
    <x v="0"/>
    <x v="0"/>
    <x v="3"/>
    <x v="4"/>
    <s v="GerA"/>
    <x v="0"/>
    <x v="0"/>
    <s v="GWND_WIND"/>
    <x v="1"/>
    <x v="6"/>
    <n v="3427.3358517433198"/>
    <n v="208496.26431438499"/>
    <n v="750586.55153178703"/>
  </r>
  <r>
    <x v="0"/>
    <x v="0"/>
    <x v="0"/>
    <x v="3"/>
    <x v="4"/>
    <s v="GerA"/>
    <x v="0"/>
    <x v="0"/>
    <s v="GWND_WIND"/>
    <x v="1"/>
    <x v="7"/>
    <n v="3314.3344629426401"/>
    <n v="201622.013162344"/>
    <n v="725839.24738443794"/>
  </r>
  <r>
    <x v="0"/>
    <x v="0"/>
    <x v="0"/>
    <x v="3"/>
    <x v="4"/>
    <s v="GerA"/>
    <x v="0"/>
    <x v="0"/>
    <s v="GWND_WIND"/>
    <x v="1"/>
    <x v="8"/>
    <n v="3563.0866950550198"/>
    <n v="216754.44061584701"/>
    <n v="780315.98621705"/>
  </r>
  <r>
    <x v="0"/>
    <x v="0"/>
    <x v="0"/>
    <x v="3"/>
    <x v="4"/>
    <s v="GerA"/>
    <x v="0"/>
    <x v="0"/>
    <s v="GWND_WIND"/>
    <x v="1"/>
    <x v="9"/>
    <n v="3843.16604485472"/>
    <n v="233792.60106199601"/>
    <n v="841653.36382318405"/>
  </r>
  <r>
    <x v="0"/>
    <x v="0"/>
    <x v="0"/>
    <x v="3"/>
    <x v="4"/>
    <s v="GerA"/>
    <x v="0"/>
    <x v="0"/>
    <s v="GWND_WIND"/>
    <x v="1"/>
    <x v="10"/>
    <n v="4434.2789202642098"/>
    <n v="269751.967649406"/>
    <n v="971107.08353786101"/>
  </r>
  <r>
    <x v="0"/>
    <x v="0"/>
    <x v="0"/>
    <x v="3"/>
    <x v="4"/>
    <s v="GerA"/>
    <x v="0"/>
    <x v="0"/>
    <s v="GWND_WIND"/>
    <x v="1"/>
    <x v="11"/>
    <n v="4884.7927079580004"/>
    <n v="297158.22306744498"/>
    <n v="1069769.6030428"/>
  </r>
  <r>
    <x v="0"/>
    <x v="0"/>
    <x v="0"/>
    <x v="3"/>
    <x v="4"/>
    <s v="GerA"/>
    <x v="0"/>
    <x v="0"/>
    <s v="GWND_WIND"/>
    <x v="2"/>
    <x v="0"/>
    <n v="1768.11743994723"/>
    <n v="107560.47759679001"/>
    <n v="387217.71934844402"/>
  </r>
  <r>
    <x v="0"/>
    <x v="0"/>
    <x v="0"/>
    <x v="3"/>
    <x v="4"/>
    <s v="GerA"/>
    <x v="0"/>
    <x v="0"/>
    <s v="GWND_WIND"/>
    <x v="2"/>
    <x v="1"/>
    <n v="2021.34497458637"/>
    <n v="122965.152620671"/>
    <n v="442674.549434416"/>
  </r>
  <r>
    <x v="0"/>
    <x v="0"/>
    <x v="0"/>
    <x v="3"/>
    <x v="4"/>
    <s v="GerA"/>
    <x v="0"/>
    <x v="0"/>
    <s v="GWND_WIND"/>
    <x v="2"/>
    <x v="2"/>
    <n v="2058.63916230937"/>
    <n v="125233.88237382"/>
    <n v="450841.97654575203"/>
  </r>
  <r>
    <x v="0"/>
    <x v="0"/>
    <x v="0"/>
    <x v="3"/>
    <x v="4"/>
    <s v="GerA"/>
    <x v="0"/>
    <x v="0"/>
    <s v="GWND_WIND"/>
    <x v="2"/>
    <x v="3"/>
    <n v="2210.4265063419598"/>
    <n v="134467.61246913599"/>
    <n v="484083.40488888999"/>
  </r>
  <r>
    <x v="0"/>
    <x v="0"/>
    <x v="0"/>
    <x v="3"/>
    <x v="4"/>
    <s v="GerA"/>
    <x v="0"/>
    <x v="0"/>
    <s v="GWND_WIND"/>
    <x v="2"/>
    <x v="4"/>
    <n v="2451.3469590325199"/>
    <n v="149123.60667447801"/>
    <n v="536844.98402812099"/>
  </r>
  <r>
    <x v="0"/>
    <x v="0"/>
    <x v="0"/>
    <x v="3"/>
    <x v="4"/>
    <s v="GerA"/>
    <x v="0"/>
    <x v="0"/>
    <s v="GWND_WIND"/>
    <x v="2"/>
    <x v="5"/>
    <n v="2712.4062730934902"/>
    <n v="165004.71494651999"/>
    <n v="594016.97380747402"/>
  </r>
  <r>
    <x v="0"/>
    <x v="0"/>
    <x v="0"/>
    <x v="3"/>
    <x v="4"/>
    <s v="GerA"/>
    <x v="0"/>
    <x v="0"/>
    <s v="GWND_WIND"/>
    <x v="2"/>
    <x v="6"/>
    <n v="2621.4084550493799"/>
    <n v="159469.01434883699"/>
    <n v="574088.45165581396"/>
  </r>
  <r>
    <x v="0"/>
    <x v="0"/>
    <x v="0"/>
    <x v="3"/>
    <x v="4"/>
    <s v="GerA"/>
    <x v="0"/>
    <x v="0"/>
    <s v="GWND_WIND"/>
    <x v="2"/>
    <x v="7"/>
    <n v="2758.2781239927699"/>
    <n v="167795.25254289401"/>
    <n v="604062.90915441699"/>
  </r>
  <r>
    <x v="0"/>
    <x v="0"/>
    <x v="0"/>
    <x v="3"/>
    <x v="4"/>
    <s v="GerA"/>
    <x v="0"/>
    <x v="0"/>
    <s v="GWND_WIND"/>
    <x v="2"/>
    <x v="8"/>
    <n v="2862.3289077399299"/>
    <n v="174125.00855417899"/>
    <n v="626850.03079504496"/>
  </r>
  <r>
    <x v="0"/>
    <x v="0"/>
    <x v="0"/>
    <x v="3"/>
    <x v="4"/>
    <s v="GerA"/>
    <x v="0"/>
    <x v="0"/>
    <s v="GWND_WIND"/>
    <x v="2"/>
    <x v="9"/>
    <n v="2710.9145055845702"/>
    <n v="164913.96575639499"/>
    <n v="593690.27672302001"/>
  </r>
  <r>
    <x v="0"/>
    <x v="0"/>
    <x v="0"/>
    <x v="3"/>
    <x v="4"/>
    <s v="GerA"/>
    <x v="0"/>
    <x v="0"/>
    <s v="GWND_WIND"/>
    <x v="2"/>
    <x v="10"/>
    <n v="2786.9946485394798"/>
    <n v="169542.174452818"/>
    <n v="610351.82803014596"/>
  </r>
  <r>
    <x v="0"/>
    <x v="0"/>
    <x v="0"/>
    <x v="3"/>
    <x v="4"/>
    <s v="GerA"/>
    <x v="0"/>
    <x v="0"/>
    <s v="GWND_WIND"/>
    <x v="2"/>
    <x v="11"/>
    <n v="2580.0119066768498"/>
    <n v="156950.724322842"/>
    <n v="565022.60756223102"/>
  </r>
  <r>
    <x v="0"/>
    <x v="0"/>
    <x v="0"/>
    <x v="3"/>
    <x v="4"/>
    <s v="GerA"/>
    <x v="0"/>
    <x v="0"/>
    <s v="GWND_WIND"/>
    <x v="3"/>
    <x v="0"/>
    <n v="14503.709605473099"/>
    <n v="882309.00099961297"/>
    <n v="3176312.4035986098"/>
  </r>
  <r>
    <x v="0"/>
    <x v="0"/>
    <x v="0"/>
    <x v="3"/>
    <x v="4"/>
    <s v="GerA"/>
    <x v="0"/>
    <x v="0"/>
    <s v="GWND_WIND"/>
    <x v="3"/>
    <x v="1"/>
    <n v="13080.9363438408"/>
    <n v="795756.96091698098"/>
    <n v="2864725.05930113"/>
  </r>
  <r>
    <x v="0"/>
    <x v="0"/>
    <x v="0"/>
    <x v="3"/>
    <x v="4"/>
    <s v="GerA"/>
    <x v="0"/>
    <x v="0"/>
    <s v="GWND_WIND"/>
    <x v="3"/>
    <x v="2"/>
    <n v="11052.1325317098"/>
    <n v="672338.06234568101"/>
    <n v="2420417.0244444502"/>
  </r>
  <r>
    <x v="0"/>
    <x v="0"/>
    <x v="0"/>
    <x v="3"/>
    <x v="4"/>
    <s v="GerA"/>
    <x v="0"/>
    <x v="0"/>
    <s v="GWND_WIND"/>
    <x v="3"/>
    <x v="3"/>
    <n v="9640.9204682716609"/>
    <n v="586489.32848652604"/>
    <n v="2111361.58255149"/>
  </r>
  <r>
    <x v="0"/>
    <x v="0"/>
    <x v="0"/>
    <x v="3"/>
    <x v="4"/>
    <s v="GerA"/>
    <x v="0"/>
    <x v="0"/>
    <s v="GWND_WIND"/>
    <x v="3"/>
    <x v="4"/>
    <n v="8954.3344722913007"/>
    <n v="544722.01373105403"/>
    <n v="1960999.2494318001"/>
  </r>
  <r>
    <x v="0"/>
    <x v="0"/>
    <x v="0"/>
    <x v="3"/>
    <x v="4"/>
    <s v="GerA"/>
    <x v="0"/>
    <x v="0"/>
    <s v="GWND_WIND"/>
    <x v="3"/>
    <x v="5"/>
    <n v="8956.5721235546807"/>
    <n v="544858.13751624303"/>
    <n v="1961489.29505848"/>
  </r>
  <r>
    <x v="0"/>
    <x v="0"/>
    <x v="0"/>
    <x v="3"/>
    <x v="4"/>
    <s v="GerA"/>
    <x v="0"/>
    <x v="0"/>
    <s v="GWND_WIND"/>
    <x v="3"/>
    <x v="6"/>
    <n v="8226.7248698156509"/>
    <n v="500459.09624711901"/>
    <n v="1801652.7464896301"/>
  </r>
  <r>
    <x v="0"/>
    <x v="0"/>
    <x v="0"/>
    <x v="3"/>
    <x v="4"/>
    <s v="GerA"/>
    <x v="0"/>
    <x v="0"/>
    <s v="GWND_WIND"/>
    <x v="3"/>
    <x v="7"/>
    <n v="7579.6707128216804"/>
    <n v="461096.63502998499"/>
    <n v="1659947.88610795"/>
  </r>
  <r>
    <x v="0"/>
    <x v="0"/>
    <x v="0"/>
    <x v="3"/>
    <x v="4"/>
    <s v="GerA"/>
    <x v="0"/>
    <x v="0"/>
    <s v="GWND_WIND"/>
    <x v="3"/>
    <x v="8"/>
    <n v="7214.18767313632"/>
    <n v="438863.08344912599"/>
    <n v="1579907.1004168501"/>
  </r>
  <r>
    <x v="0"/>
    <x v="0"/>
    <x v="0"/>
    <x v="3"/>
    <x v="4"/>
    <s v="GerA"/>
    <x v="0"/>
    <x v="0"/>
    <s v="GWND_WIND"/>
    <x v="3"/>
    <x v="9"/>
    <n v="7411.4739261909599"/>
    <n v="450864.66384328401"/>
    <n v="1623112.78983582"/>
  </r>
  <r>
    <x v="0"/>
    <x v="0"/>
    <x v="0"/>
    <x v="3"/>
    <x v="4"/>
    <s v="GerA"/>
    <x v="0"/>
    <x v="0"/>
    <s v="GWND_WIND"/>
    <x v="3"/>
    <x v="10"/>
    <n v="7843.7135619004903"/>
    <n v="477159.24168227997"/>
    <n v="1717773.27005621"/>
  </r>
  <r>
    <x v="0"/>
    <x v="0"/>
    <x v="0"/>
    <x v="3"/>
    <x v="4"/>
    <s v="GerA"/>
    <x v="0"/>
    <x v="0"/>
    <s v="GWND_WIND"/>
    <x v="3"/>
    <x v="11"/>
    <n v="7526.3400243777896"/>
    <n v="457852.35148298199"/>
    <n v="1648268.46533874"/>
  </r>
  <r>
    <x v="0"/>
    <x v="0"/>
    <x v="0"/>
    <x v="3"/>
    <x v="4"/>
    <s v="GerA"/>
    <x v="0"/>
    <x v="0"/>
    <s v="GWND_WIND"/>
    <x v="4"/>
    <x v="0"/>
    <n v="8371.7992600581092"/>
    <n v="509284.45498686802"/>
    <n v="1833424.03795273"/>
  </r>
  <r>
    <x v="0"/>
    <x v="0"/>
    <x v="0"/>
    <x v="3"/>
    <x v="4"/>
    <s v="GerA"/>
    <x v="0"/>
    <x v="0"/>
    <s v="GWND_WIND"/>
    <x v="4"/>
    <x v="1"/>
    <n v="9040.8569878086491"/>
    <n v="549985.46675836004"/>
    <n v="1979947.68033009"/>
  </r>
  <r>
    <x v="0"/>
    <x v="0"/>
    <x v="0"/>
    <x v="3"/>
    <x v="4"/>
    <s v="GerA"/>
    <x v="0"/>
    <x v="0"/>
    <s v="GWND_WIND"/>
    <x v="4"/>
    <x v="2"/>
    <n v="9772.5689509338299"/>
    <n v="594497.94451514096"/>
    <n v="2140192.6002545101"/>
  </r>
  <r>
    <x v="0"/>
    <x v="0"/>
    <x v="0"/>
    <x v="3"/>
    <x v="4"/>
    <s v="GerA"/>
    <x v="0"/>
    <x v="0"/>
    <s v="GWND_WIND"/>
    <x v="4"/>
    <x v="3"/>
    <n v="10057.496545137499"/>
    <n v="611831.03982919897"/>
    <n v="2202591.7433851198"/>
  </r>
  <r>
    <x v="0"/>
    <x v="0"/>
    <x v="0"/>
    <x v="3"/>
    <x v="4"/>
    <s v="GerA"/>
    <x v="0"/>
    <x v="0"/>
    <s v="GWND_WIND"/>
    <x v="4"/>
    <x v="4"/>
    <n v="10549.7798230811"/>
    <n v="641778.272570765"/>
    <n v="2310401.7812547502"/>
  </r>
  <r>
    <x v="0"/>
    <x v="0"/>
    <x v="0"/>
    <x v="3"/>
    <x v="4"/>
    <s v="GerA"/>
    <x v="0"/>
    <x v="0"/>
    <s v="GWND_WIND"/>
    <x v="4"/>
    <x v="5"/>
    <n v="10986.121819440101"/>
    <n v="668322.41068260698"/>
    <n v="2405960.6784573901"/>
  </r>
  <r>
    <x v="0"/>
    <x v="0"/>
    <x v="0"/>
    <x v="3"/>
    <x v="4"/>
    <s v="GerA"/>
    <x v="0"/>
    <x v="0"/>
    <s v="GWND_WIND"/>
    <x v="4"/>
    <x v="6"/>
    <n v="10805.2450089836"/>
    <n v="657319.07137983502"/>
    <n v="2366348.6569674099"/>
  </r>
  <r>
    <x v="0"/>
    <x v="0"/>
    <x v="0"/>
    <x v="3"/>
    <x v="4"/>
    <s v="GerA"/>
    <x v="0"/>
    <x v="0"/>
    <s v="GWND_WIND"/>
    <x v="4"/>
    <x v="7"/>
    <n v="10618.028186614099"/>
    <n v="645930.04801902699"/>
    <n v="2325348.1728685"/>
  </r>
  <r>
    <x v="0"/>
    <x v="0"/>
    <x v="0"/>
    <x v="3"/>
    <x v="4"/>
    <s v="GerA"/>
    <x v="0"/>
    <x v="0"/>
    <s v="GWND_WIND"/>
    <x v="4"/>
    <x v="8"/>
    <n v="10483.7691108114"/>
    <n v="637762.62090769096"/>
    <n v="2295945.4352676901"/>
  </r>
  <r>
    <x v="0"/>
    <x v="0"/>
    <x v="0"/>
    <x v="3"/>
    <x v="4"/>
    <s v="GerA"/>
    <x v="0"/>
    <x v="0"/>
    <s v="GWND_WIND"/>
    <x v="4"/>
    <x v="9"/>
    <n v="10430.438422367501"/>
    <n v="634518.33736068802"/>
    <n v="2284266.0144984801"/>
  </r>
  <r>
    <x v="0"/>
    <x v="0"/>
    <x v="0"/>
    <x v="3"/>
    <x v="4"/>
    <s v="GerA"/>
    <x v="0"/>
    <x v="0"/>
    <s v="GWND_WIND"/>
    <x v="4"/>
    <x v="10"/>
    <n v="10092.5530815971"/>
    <n v="613963.64579715906"/>
    <n v="2210269.1248697699"/>
  </r>
  <r>
    <x v="0"/>
    <x v="0"/>
    <x v="0"/>
    <x v="3"/>
    <x v="4"/>
    <s v="GerA"/>
    <x v="0"/>
    <x v="0"/>
    <s v="GWND_WIND"/>
    <x v="4"/>
    <x v="11"/>
    <n v="9824.7808137460306"/>
    <n v="597674.16616955004"/>
    <n v="2151626.9982103799"/>
  </r>
  <r>
    <x v="0"/>
    <x v="0"/>
    <x v="0"/>
    <x v="3"/>
    <x v="4"/>
    <s v="GerA"/>
    <x v="0"/>
    <x v="0"/>
    <s v="GWND_WIND"/>
    <x v="5"/>
    <x v="0"/>
    <n v="3567.9349394590099"/>
    <n v="217049.375483757"/>
    <n v="781377.75174152397"/>
  </r>
  <r>
    <x v="0"/>
    <x v="0"/>
    <x v="0"/>
    <x v="3"/>
    <x v="4"/>
    <s v="GerA"/>
    <x v="0"/>
    <x v="0"/>
    <s v="GWND_WIND"/>
    <x v="5"/>
    <x v="1"/>
    <n v="3057.7504514084299"/>
    <n v="186013.152460679"/>
    <n v="669647.348858446"/>
  </r>
  <r>
    <x v="0"/>
    <x v="0"/>
    <x v="0"/>
    <x v="3"/>
    <x v="4"/>
    <s v="GerA"/>
    <x v="0"/>
    <x v="0"/>
    <s v="GWND_WIND"/>
    <x v="5"/>
    <x v="2"/>
    <n v="2802.6582073831401"/>
    <n v="170495.040949141"/>
    <n v="613782.14741690701"/>
  </r>
  <r>
    <x v="0"/>
    <x v="0"/>
    <x v="0"/>
    <x v="3"/>
    <x v="4"/>
    <s v="GerA"/>
    <x v="0"/>
    <x v="0"/>
    <s v="GWND_WIND"/>
    <x v="5"/>
    <x v="3"/>
    <n v="2591.5731048709799"/>
    <n v="157654.03054631801"/>
    <n v="567554.50996674504"/>
  </r>
  <r>
    <x v="0"/>
    <x v="0"/>
    <x v="0"/>
    <x v="3"/>
    <x v="4"/>
    <s v="GerA"/>
    <x v="0"/>
    <x v="0"/>
    <s v="GWND_WIND"/>
    <x v="5"/>
    <x v="4"/>
    <n v="2634.0884788752001"/>
    <n v="160240.38246490801"/>
    <n v="576865.37687366805"/>
  </r>
  <r>
    <x v="0"/>
    <x v="0"/>
    <x v="0"/>
    <x v="3"/>
    <x v="4"/>
    <s v="GerA"/>
    <x v="0"/>
    <x v="0"/>
    <s v="GWND_WIND"/>
    <x v="5"/>
    <x v="5"/>
    <n v="2515.8659037932998"/>
    <n v="153048.509147426"/>
    <n v="550974.63293073303"/>
  </r>
  <r>
    <x v="0"/>
    <x v="0"/>
    <x v="0"/>
    <x v="3"/>
    <x v="4"/>
    <s v="GerA"/>
    <x v="0"/>
    <x v="0"/>
    <s v="GWND_WIND"/>
    <x v="5"/>
    <x v="6"/>
    <n v="2271.5889742076802"/>
    <n v="138188.3292643"/>
    <n v="497477.98535148101"/>
  </r>
  <r>
    <x v="0"/>
    <x v="0"/>
    <x v="0"/>
    <x v="3"/>
    <x v="4"/>
    <s v="GerA"/>
    <x v="0"/>
    <x v="0"/>
    <s v="GWND_WIND"/>
    <x v="5"/>
    <x v="7"/>
    <n v="2231.3112514668401"/>
    <n v="135738.1011309"/>
    <n v="488657.16407123802"/>
  </r>
  <r>
    <x v="0"/>
    <x v="0"/>
    <x v="0"/>
    <x v="3"/>
    <x v="4"/>
    <s v="GerA"/>
    <x v="0"/>
    <x v="0"/>
    <s v="GWND_WIND"/>
    <x v="5"/>
    <x v="8"/>
    <n v="1968.0142861424899"/>
    <n v="119720.869073668"/>
    <n v="430995.12866520602"/>
  </r>
  <r>
    <x v="0"/>
    <x v="0"/>
    <x v="0"/>
    <x v="3"/>
    <x v="4"/>
    <s v="GerA"/>
    <x v="0"/>
    <x v="0"/>
    <s v="GWND_WIND"/>
    <x v="5"/>
    <x v="9"/>
    <n v="1350.79547932691"/>
    <n v="82173.391659053697"/>
    <n v="295824.209972593"/>
  </r>
  <r>
    <x v="0"/>
    <x v="0"/>
    <x v="0"/>
    <x v="3"/>
    <x v="4"/>
    <s v="GerA"/>
    <x v="0"/>
    <x v="0"/>
    <s v="GWND_WIND"/>
    <x v="5"/>
    <x v="10"/>
    <n v="871.565167086413"/>
    <n v="53020.214331090101"/>
    <n v="190872.77159192401"/>
  </r>
  <r>
    <x v="0"/>
    <x v="0"/>
    <x v="0"/>
    <x v="3"/>
    <x v="4"/>
    <s v="GerA"/>
    <x v="0"/>
    <x v="0"/>
    <s v="GWND_WIND"/>
    <x v="5"/>
    <x v="11"/>
    <n v="827.18508369604797"/>
    <n v="50320.425924842901"/>
    <n v="181153.53332943399"/>
  </r>
  <r>
    <x v="0"/>
    <x v="0"/>
    <x v="0"/>
    <x v="3"/>
    <x v="4"/>
    <s v="GerA"/>
    <x v="0"/>
    <x v="0"/>
    <s v="GWND_WIND"/>
    <x v="6"/>
    <x v="0"/>
    <n v="3753.2870524423001"/>
    <n v="228324.962356907"/>
    <n v="821969.86448486405"/>
  </r>
  <r>
    <x v="0"/>
    <x v="0"/>
    <x v="0"/>
    <x v="3"/>
    <x v="4"/>
    <s v="GerA"/>
    <x v="0"/>
    <x v="0"/>
    <s v="GWND_WIND"/>
    <x v="6"/>
    <x v="1"/>
    <n v="3259.8849488670699"/>
    <n v="198309.66772274699"/>
    <n v="713914.80380188802"/>
  </r>
  <r>
    <x v="0"/>
    <x v="0"/>
    <x v="0"/>
    <x v="3"/>
    <x v="4"/>
    <s v="GerA"/>
    <x v="0"/>
    <x v="0"/>
    <s v="GWND_WIND"/>
    <x v="6"/>
    <x v="2"/>
    <n v="2747.4628095531002"/>
    <n v="167137.32091447999"/>
    <n v="601694.35529213003"/>
  </r>
  <r>
    <x v="0"/>
    <x v="0"/>
    <x v="0"/>
    <x v="3"/>
    <x v="4"/>
    <s v="GerA"/>
    <x v="0"/>
    <x v="0"/>
    <s v="GWND_WIND"/>
    <x v="6"/>
    <x v="3"/>
    <n v="2513.2553106526898"/>
    <n v="152889.69806470501"/>
    <n v="550402.91303293896"/>
  </r>
  <r>
    <x v="0"/>
    <x v="0"/>
    <x v="0"/>
    <x v="3"/>
    <x v="4"/>
    <s v="GerA"/>
    <x v="0"/>
    <x v="0"/>
    <s v="GWND_WIND"/>
    <x v="6"/>
    <x v="4"/>
    <n v="2159.70641103869"/>
    <n v="131382.14000485401"/>
    <n v="472975.70401747298"/>
  </r>
  <r>
    <x v="0"/>
    <x v="0"/>
    <x v="0"/>
    <x v="3"/>
    <x v="4"/>
    <s v="GerA"/>
    <x v="0"/>
    <x v="0"/>
    <s v="GWND_WIND"/>
    <x v="6"/>
    <x v="5"/>
    <n v="1838.23051286647"/>
    <n v="111825.68953271001"/>
    <n v="402572.48231775599"/>
  </r>
  <r>
    <x v="0"/>
    <x v="0"/>
    <x v="0"/>
    <x v="3"/>
    <x v="4"/>
    <s v="GerA"/>
    <x v="0"/>
    <x v="0"/>
    <s v="GWND_WIND"/>
    <x v="6"/>
    <x v="6"/>
    <n v="1562.9994074707599"/>
    <n v="95082.463954470993"/>
    <n v="342296.87023609597"/>
  </r>
  <r>
    <x v="0"/>
    <x v="0"/>
    <x v="0"/>
    <x v="3"/>
    <x v="4"/>
    <s v="GerA"/>
    <x v="0"/>
    <x v="0"/>
    <s v="GWND_WIND"/>
    <x v="6"/>
    <x v="7"/>
    <n v="1394.0567370855799"/>
    <n v="84805.118172706396"/>
    <n v="305298.42542174301"/>
  </r>
  <r>
    <x v="0"/>
    <x v="0"/>
    <x v="0"/>
    <x v="3"/>
    <x v="4"/>
    <s v="GerA"/>
    <x v="0"/>
    <x v="0"/>
    <s v="GWND_WIND"/>
    <x v="6"/>
    <x v="8"/>
    <n v="1163.57865695747"/>
    <n v="70784.368298246103"/>
    <n v="254823.72587368599"/>
  </r>
  <r>
    <x v="0"/>
    <x v="0"/>
    <x v="0"/>
    <x v="3"/>
    <x v="4"/>
    <s v="GerA"/>
    <x v="0"/>
    <x v="0"/>
    <s v="GWND_WIND"/>
    <x v="6"/>
    <x v="9"/>
    <n v="941.30529812841496"/>
    <n v="57262.738969478603"/>
    <n v="206145.860290123"/>
  </r>
  <r>
    <x v="0"/>
    <x v="0"/>
    <x v="0"/>
    <x v="3"/>
    <x v="4"/>
    <s v="GerA"/>
    <x v="0"/>
    <x v="0"/>
    <s v="GWND_WIND"/>
    <x v="6"/>
    <x v="10"/>
    <n v="799.96032665826101"/>
    <n v="48664.253205044202"/>
    <n v="175191.311538159"/>
  </r>
  <r>
    <x v="0"/>
    <x v="0"/>
    <x v="0"/>
    <x v="3"/>
    <x v="4"/>
    <s v="GerA"/>
    <x v="0"/>
    <x v="0"/>
    <s v="GWND_WIND"/>
    <x v="6"/>
    <x v="11"/>
    <n v="763.41202268972495"/>
    <n v="46440.898046958297"/>
    <n v="167187.23296905"/>
  </r>
  <r>
    <x v="0"/>
    <x v="0"/>
    <x v="0"/>
    <x v="3"/>
    <x v="4"/>
    <s v="GerA"/>
    <x v="0"/>
    <x v="0"/>
    <s v="GWND_WIND"/>
    <x v="7"/>
    <x v="0"/>
    <n v="11647.347767768801"/>
    <n v="708546.98920593702"/>
    <n v="2550769.16114137"/>
  </r>
  <r>
    <x v="0"/>
    <x v="0"/>
    <x v="0"/>
    <x v="3"/>
    <x v="4"/>
    <s v="GerA"/>
    <x v="0"/>
    <x v="0"/>
    <s v="GWND_WIND"/>
    <x v="7"/>
    <x v="1"/>
    <n v="11117.024418347801"/>
    <n v="676285.65211616002"/>
    <n v="2434628.3476181701"/>
  </r>
  <r>
    <x v="0"/>
    <x v="0"/>
    <x v="0"/>
    <x v="3"/>
    <x v="4"/>
    <s v="GerA"/>
    <x v="0"/>
    <x v="0"/>
    <s v="GWND_WIND"/>
    <x v="7"/>
    <x v="2"/>
    <n v="11017.075995250199"/>
    <n v="670205.45637772104"/>
    <n v="2412739.6429597898"/>
  </r>
  <r>
    <x v="0"/>
    <x v="0"/>
    <x v="0"/>
    <x v="3"/>
    <x v="4"/>
    <s v="GerA"/>
    <x v="0"/>
    <x v="0"/>
    <s v="GWND_WIND"/>
    <x v="7"/>
    <x v="3"/>
    <n v="10538.2186248869"/>
    <n v="641074.96634728904"/>
    <n v="2307869.8788502398"/>
  </r>
  <r>
    <x v="0"/>
    <x v="0"/>
    <x v="0"/>
    <x v="3"/>
    <x v="4"/>
    <s v="GerA"/>
    <x v="0"/>
    <x v="0"/>
    <s v="GWND_WIND"/>
    <x v="7"/>
    <x v="4"/>
    <n v="9721.1029718761001"/>
    <n v="591367.09745579597"/>
    <n v="2128921.55084087"/>
  </r>
  <r>
    <x v="0"/>
    <x v="0"/>
    <x v="0"/>
    <x v="3"/>
    <x v="4"/>
    <s v="GerA"/>
    <x v="0"/>
    <x v="0"/>
    <s v="GWND_WIND"/>
    <x v="7"/>
    <x v="5"/>
    <n v="9166.1654585579199"/>
    <n v="557608.39872894005"/>
    <n v="2007390.23542418"/>
  </r>
  <r>
    <x v="0"/>
    <x v="0"/>
    <x v="0"/>
    <x v="3"/>
    <x v="4"/>
    <s v="GerA"/>
    <x v="0"/>
    <x v="0"/>
    <s v="GWND_WIND"/>
    <x v="7"/>
    <x v="6"/>
    <n v="7976.4808701943502"/>
    <n v="485235.91960348998"/>
    <n v="1746849.3105725599"/>
  </r>
  <r>
    <x v="0"/>
    <x v="0"/>
    <x v="0"/>
    <x v="3"/>
    <x v="4"/>
    <s v="GerA"/>
    <x v="0"/>
    <x v="0"/>
    <s v="GWND_WIND"/>
    <x v="7"/>
    <x v="7"/>
    <n v="7303.6937236715103"/>
    <n v="444308.03485668299"/>
    <n v="1599508.9254840601"/>
  </r>
  <r>
    <x v="0"/>
    <x v="0"/>
    <x v="0"/>
    <x v="3"/>
    <x v="4"/>
    <s v="GerA"/>
    <x v="0"/>
    <x v="0"/>
    <s v="GWND_WIND"/>
    <x v="7"/>
    <x v="8"/>
    <n v="6760.6903504246902"/>
    <n v="411275.32965083502"/>
    <n v="1480591.1867430101"/>
  </r>
  <r>
    <x v="0"/>
    <x v="0"/>
    <x v="0"/>
    <x v="3"/>
    <x v="4"/>
    <s v="GerA"/>
    <x v="0"/>
    <x v="0"/>
    <s v="GWND_WIND"/>
    <x v="7"/>
    <x v="9"/>
    <n v="5626.5741017683804"/>
    <n v="342283.257857577"/>
    <n v="1232219.7282872801"/>
  </r>
  <r>
    <x v="0"/>
    <x v="0"/>
    <x v="0"/>
    <x v="3"/>
    <x v="4"/>
    <s v="GerA"/>
    <x v="0"/>
    <x v="0"/>
    <s v="GWND_WIND"/>
    <x v="7"/>
    <x v="10"/>
    <n v="4974.6717003704198"/>
    <n v="302625.86177253397"/>
    <n v="1089453.10238112"/>
  </r>
  <r>
    <x v="0"/>
    <x v="0"/>
    <x v="0"/>
    <x v="3"/>
    <x v="4"/>
    <s v="GerA"/>
    <x v="0"/>
    <x v="0"/>
    <s v="GWND_WIND"/>
    <x v="7"/>
    <x v="11"/>
    <n v="5029.4941563232196"/>
    <n v="305960.89450966299"/>
    <n v="1101459.2202347899"/>
  </r>
  <r>
    <x v="0"/>
    <x v="0"/>
    <x v="0"/>
    <x v="3"/>
    <x v="4"/>
    <s v="GerA"/>
    <x v="0"/>
    <x v="0"/>
    <s v="GWND_WIND"/>
    <x v="8"/>
    <x v="0"/>
    <n v="1521.9758009754601"/>
    <n v="92586.861226007197"/>
    <n v="333312.70041362598"/>
  </r>
  <r>
    <x v="0"/>
    <x v="0"/>
    <x v="0"/>
    <x v="3"/>
    <x v="4"/>
    <s v="GerA"/>
    <x v="0"/>
    <x v="0"/>
    <s v="GWND_WIND"/>
    <x v="8"/>
    <x v="1"/>
    <n v="1397.78615585788"/>
    <n v="85031.991148021305"/>
    <n v="306115.16813287698"/>
  </r>
  <r>
    <x v="0"/>
    <x v="0"/>
    <x v="0"/>
    <x v="3"/>
    <x v="4"/>
    <s v="GerA"/>
    <x v="0"/>
    <x v="0"/>
    <s v="GWND_WIND"/>
    <x v="8"/>
    <x v="2"/>
    <n v="1582.76532696394"/>
    <n v="96284.890723639895"/>
    <n v="346625.606605104"/>
  </r>
  <r>
    <x v="0"/>
    <x v="0"/>
    <x v="0"/>
    <x v="3"/>
    <x v="4"/>
    <s v="GerA"/>
    <x v="0"/>
    <x v="0"/>
    <s v="GWND_WIND"/>
    <x v="8"/>
    <x v="3"/>
    <n v="1683.83257569326"/>
    <n v="102433.148354673"/>
    <n v="368759.33407682402"/>
  </r>
  <r>
    <x v="0"/>
    <x v="0"/>
    <x v="0"/>
    <x v="3"/>
    <x v="4"/>
    <s v="GerA"/>
    <x v="0"/>
    <x v="0"/>
    <s v="GWND_WIND"/>
    <x v="8"/>
    <x v="4"/>
    <n v="1765.8797886838499"/>
    <n v="107424.353811601"/>
    <n v="386727.673721764"/>
  </r>
  <r>
    <x v="0"/>
    <x v="0"/>
    <x v="0"/>
    <x v="3"/>
    <x v="4"/>
    <s v="GerA"/>
    <x v="0"/>
    <x v="0"/>
    <s v="GWND_WIND"/>
    <x v="8"/>
    <x v="5"/>
    <n v="2091.45804750561"/>
    <n v="127230.364556591"/>
    <n v="458029.31240372802"/>
  </r>
  <r>
    <x v="0"/>
    <x v="0"/>
    <x v="0"/>
    <x v="3"/>
    <x v="4"/>
    <s v="GerA"/>
    <x v="0"/>
    <x v="0"/>
    <s v="GWND_WIND"/>
    <x v="8"/>
    <x v="6"/>
    <n v="2543.8365445855502"/>
    <n v="154750.056462287"/>
    <n v="557100.20326423505"/>
  </r>
  <r>
    <x v="0"/>
    <x v="0"/>
    <x v="0"/>
    <x v="3"/>
    <x v="4"/>
    <s v="GerA"/>
    <x v="0"/>
    <x v="0"/>
    <s v="GWND_WIND"/>
    <x v="8"/>
    <x v="7"/>
    <n v="3141.6623737851701"/>
    <n v="191117.79440526399"/>
    <n v="688024.05985895195"/>
  </r>
  <r>
    <x v="0"/>
    <x v="0"/>
    <x v="0"/>
    <x v="3"/>
    <x v="4"/>
    <s v="GerA"/>
    <x v="0"/>
    <x v="0"/>
    <s v="GWND_WIND"/>
    <x v="8"/>
    <x v="8"/>
    <n v="3420.6228979531802"/>
    <n v="208087.892958818"/>
    <n v="749116.41465174605"/>
  </r>
  <r>
    <x v="0"/>
    <x v="0"/>
    <x v="0"/>
    <x v="3"/>
    <x v="4"/>
    <s v="GerA"/>
    <x v="0"/>
    <x v="0"/>
    <s v="GWND_WIND"/>
    <x v="8"/>
    <x v="9"/>
    <n v="3575.02083512638"/>
    <n v="217480.43413685501"/>
    <n v="782929.56289267796"/>
  </r>
  <r>
    <x v="0"/>
    <x v="0"/>
    <x v="0"/>
    <x v="3"/>
    <x v="4"/>
    <s v="GerA"/>
    <x v="0"/>
    <x v="0"/>
    <s v="GWND_WIND"/>
    <x v="8"/>
    <x v="10"/>
    <n v="4021.0593202934101"/>
    <n v="244614.44198451599"/>
    <n v="880611.99114425702"/>
  </r>
  <r>
    <x v="0"/>
    <x v="0"/>
    <x v="0"/>
    <x v="3"/>
    <x v="4"/>
    <s v="GerA"/>
    <x v="0"/>
    <x v="0"/>
    <s v="GWND_WIND"/>
    <x v="8"/>
    <x v="11"/>
    <n v="4756.5007021908896"/>
    <n v="289353.79271661199"/>
    <n v="1041673.6537798"/>
  </r>
  <r>
    <x v="0"/>
    <x v="0"/>
    <x v="0"/>
    <x v="3"/>
    <x v="4"/>
    <s v="GerA"/>
    <x v="0"/>
    <x v="0"/>
    <s v="GWND_WIND"/>
    <x v="9"/>
    <x v="0"/>
    <n v="10775.7826006824"/>
    <n v="655526.77487484703"/>
    <n v="2359896.38954945"/>
  </r>
  <r>
    <x v="0"/>
    <x v="0"/>
    <x v="0"/>
    <x v="3"/>
    <x v="4"/>
    <s v="GerA"/>
    <x v="0"/>
    <x v="0"/>
    <s v="GWND_WIND"/>
    <x v="9"/>
    <x v="1"/>
    <n v="10953.6758761211"/>
    <n v="666348.61579736799"/>
    <n v="2398855.0168705201"/>
  </r>
  <r>
    <x v="0"/>
    <x v="0"/>
    <x v="0"/>
    <x v="3"/>
    <x v="4"/>
    <s v="GerA"/>
    <x v="0"/>
    <x v="0"/>
    <s v="GWND_WIND"/>
    <x v="9"/>
    <x v="2"/>
    <n v="11033.1124959711"/>
    <n v="671181.01017157501"/>
    <n v="2416251.6366176698"/>
  </r>
  <r>
    <x v="0"/>
    <x v="0"/>
    <x v="0"/>
    <x v="3"/>
    <x v="4"/>
    <s v="GerA"/>
    <x v="0"/>
    <x v="0"/>
    <s v="GWND_WIND"/>
    <x v="9"/>
    <x v="3"/>
    <n v="11377.710790531601"/>
    <n v="692144.07309067098"/>
    <n v="2491718.66312641"/>
  </r>
  <r>
    <x v="0"/>
    <x v="0"/>
    <x v="0"/>
    <x v="3"/>
    <x v="4"/>
    <s v="GerA"/>
    <x v="0"/>
    <x v="0"/>
    <s v="GWND_WIND"/>
    <x v="9"/>
    <x v="4"/>
    <n v="11749.1609002526"/>
    <n v="714740.62143203395"/>
    <n v="2573066.2371553201"/>
  </r>
  <r>
    <x v="0"/>
    <x v="0"/>
    <x v="0"/>
    <x v="3"/>
    <x v="4"/>
    <s v="GerA"/>
    <x v="0"/>
    <x v="0"/>
    <s v="GWND_WIND"/>
    <x v="9"/>
    <x v="5"/>
    <n v="12233.612398774299"/>
    <n v="744211.42092543805"/>
    <n v="2679161.1153315799"/>
  </r>
  <r>
    <x v="0"/>
    <x v="0"/>
    <x v="0"/>
    <x v="3"/>
    <x v="4"/>
    <s v="GerA"/>
    <x v="0"/>
    <x v="0"/>
    <s v="GWND_WIND"/>
    <x v="9"/>
    <x v="6"/>
    <n v="12234.358282528799"/>
    <n v="744256.79552050098"/>
    <n v="2679324.4638737999"/>
  </r>
  <r>
    <x v="0"/>
    <x v="0"/>
    <x v="0"/>
    <x v="3"/>
    <x v="4"/>
    <s v="GerA"/>
    <x v="0"/>
    <x v="0"/>
    <s v="GWND_WIND"/>
    <x v="9"/>
    <x v="7"/>
    <n v="12486.094049658999"/>
    <n v="759570.72135425603"/>
    <n v="2734454.5968753202"/>
  </r>
  <r>
    <x v="0"/>
    <x v="0"/>
    <x v="0"/>
    <x v="3"/>
    <x v="4"/>
    <s v="GerA"/>
    <x v="0"/>
    <x v="0"/>
    <s v="GWND_WIND"/>
    <x v="9"/>
    <x v="8"/>
    <n v="12431.6445355834"/>
    <n v="756258.375914659"/>
    <n v="2722530.15329277"/>
  </r>
  <r>
    <x v="0"/>
    <x v="0"/>
    <x v="0"/>
    <x v="3"/>
    <x v="4"/>
    <s v="GerA"/>
    <x v="0"/>
    <x v="0"/>
    <s v="GWND_WIND"/>
    <x v="9"/>
    <x v="9"/>
    <n v="11561.944077883199"/>
    <n v="703351.59807122604"/>
    <n v="2532065.7530564098"/>
  </r>
  <r>
    <x v="0"/>
    <x v="0"/>
    <x v="0"/>
    <x v="3"/>
    <x v="4"/>
    <s v="GerA"/>
    <x v="0"/>
    <x v="0"/>
    <s v="GWND_WIND"/>
    <x v="9"/>
    <x v="10"/>
    <n v="11202.0551663563"/>
    <n v="681458.35595333902"/>
    <n v="2453250.0814320198"/>
  </r>
  <r>
    <x v="0"/>
    <x v="0"/>
    <x v="0"/>
    <x v="3"/>
    <x v="4"/>
    <s v="GerA"/>
    <x v="0"/>
    <x v="0"/>
    <s v="GWND_WIND"/>
    <x v="9"/>
    <x v="11"/>
    <n v="11119.262069611201"/>
    <n v="676421.77590134903"/>
    <n v="2435118.39324485"/>
  </r>
  <r>
    <x v="0"/>
    <x v="0"/>
    <x v="0"/>
    <x v="3"/>
    <x v="4"/>
    <s v="GerA"/>
    <x v="0"/>
    <x v="0"/>
    <s v="GWND_WIND"/>
    <x v="10"/>
    <x v="0"/>
    <n v="10908.5499089763"/>
    <n v="663603.45279605698"/>
    <n v="2388972.4300658102"/>
  </r>
  <r>
    <x v="0"/>
    <x v="0"/>
    <x v="0"/>
    <x v="3"/>
    <x v="4"/>
    <s v="GerA"/>
    <x v="0"/>
    <x v="0"/>
    <s v="GWND_WIND"/>
    <x v="10"/>
    <x v="1"/>
    <n v="10702.685992745301"/>
    <n v="651080.06455867505"/>
    <n v="2343888.23241123"/>
  </r>
  <r>
    <x v="0"/>
    <x v="0"/>
    <x v="0"/>
    <x v="3"/>
    <x v="4"/>
    <s v="GerA"/>
    <x v="0"/>
    <x v="0"/>
    <s v="GWND_WIND"/>
    <x v="10"/>
    <x v="2"/>
    <n v="11199.8175150929"/>
    <n v="681322.23216815002"/>
    <n v="2452760.0358053399"/>
  </r>
  <r>
    <x v="0"/>
    <x v="0"/>
    <x v="0"/>
    <x v="3"/>
    <x v="4"/>
    <s v="GerA"/>
    <x v="0"/>
    <x v="0"/>
    <s v="GWND_WIND"/>
    <x v="10"/>
    <x v="3"/>
    <n v="12298.1313435351"/>
    <n v="748136.32339838601"/>
    <n v="2693290.7642341899"/>
  </r>
  <r>
    <x v="0"/>
    <x v="0"/>
    <x v="0"/>
    <x v="3"/>
    <x v="4"/>
    <s v="GerA"/>
    <x v="0"/>
    <x v="0"/>
    <s v="GWND_WIND"/>
    <x v="10"/>
    <x v="4"/>
    <n v="12417.0998023715"/>
    <n v="755373.571310931"/>
    <n v="2719344.85671935"/>
  </r>
  <r>
    <x v="0"/>
    <x v="0"/>
    <x v="0"/>
    <x v="3"/>
    <x v="4"/>
    <s v="GerA"/>
    <x v="0"/>
    <x v="0"/>
    <s v="GWND_WIND"/>
    <x v="10"/>
    <x v="5"/>
    <n v="12994.040886446201"/>
    <n v="790470.82059214497"/>
    <n v="2845694.9541317201"/>
  </r>
  <r>
    <x v="0"/>
    <x v="0"/>
    <x v="0"/>
    <x v="3"/>
    <x v="4"/>
    <s v="GerA"/>
    <x v="0"/>
    <x v="0"/>
    <s v="GWND_WIND"/>
    <x v="10"/>
    <x v="6"/>
    <n v="13354.3027398504"/>
    <n v="812386.75000756304"/>
    <n v="2924592.3000272298"/>
  </r>
  <r>
    <x v="0"/>
    <x v="0"/>
    <x v="0"/>
    <x v="3"/>
    <x v="4"/>
    <s v="GerA"/>
    <x v="0"/>
    <x v="0"/>
    <s v="GWND_WIND"/>
    <x v="10"/>
    <x v="7"/>
    <n v="13514.294805182"/>
    <n v="822119.60064857197"/>
    <n v="2959630.5623348602"/>
  </r>
  <r>
    <x v="0"/>
    <x v="0"/>
    <x v="0"/>
    <x v="3"/>
    <x v="4"/>
    <s v="GerA"/>
    <x v="0"/>
    <x v="0"/>
    <s v="GWND_WIND"/>
    <x v="10"/>
    <x v="8"/>
    <n v="13481.4759199858"/>
    <n v="820123.118465801"/>
    <n v="2952443.2264768798"/>
  </r>
  <r>
    <x v="0"/>
    <x v="0"/>
    <x v="0"/>
    <x v="3"/>
    <x v="4"/>
    <s v="GerA"/>
    <x v="0"/>
    <x v="0"/>
    <s v="GWND_WIND"/>
    <x v="10"/>
    <x v="9"/>
    <n v="13561.285481712999"/>
    <n v="824978.20013754"/>
    <n v="2969921.52049514"/>
  </r>
  <r>
    <x v="0"/>
    <x v="0"/>
    <x v="0"/>
    <x v="3"/>
    <x v="4"/>
    <s v="GerA"/>
    <x v="0"/>
    <x v="0"/>
    <s v="GWND_WIND"/>
    <x v="10"/>
    <x v="10"/>
    <n v="13816.004783861001"/>
    <n v="840473.62435154698"/>
    <n v="3025705.0476655699"/>
  </r>
  <r>
    <x v="0"/>
    <x v="0"/>
    <x v="0"/>
    <x v="3"/>
    <x v="4"/>
    <s v="GerA"/>
    <x v="0"/>
    <x v="0"/>
    <s v="GWND_WIND"/>
    <x v="10"/>
    <x v="11"/>
    <n v="14077.437039799201"/>
    <n v="856377.41992112005"/>
    <n v="3082958.7117160298"/>
  </r>
  <r>
    <x v="0"/>
    <x v="0"/>
    <x v="0"/>
    <x v="3"/>
    <x v="4"/>
    <s v="GerA"/>
    <x v="0"/>
    <x v="0"/>
    <s v="GWND_WIND"/>
    <x v="11"/>
    <x v="0"/>
    <n v="14093.473540520101"/>
    <n v="857352.97371497401"/>
    <n v="3086470.7053739098"/>
  </r>
  <r>
    <x v="0"/>
    <x v="0"/>
    <x v="0"/>
    <x v="3"/>
    <x v="4"/>
    <s v="GerA"/>
    <x v="0"/>
    <x v="0"/>
    <s v="GWND_WIND"/>
    <x v="11"/>
    <x v="1"/>
    <n v="13055.2033543119"/>
    <n v="794191.53738730901"/>
    <n v="2859089.53459431"/>
  </r>
  <r>
    <x v="0"/>
    <x v="0"/>
    <x v="0"/>
    <x v="3"/>
    <x v="4"/>
    <s v="GerA"/>
    <x v="0"/>
    <x v="0"/>
    <s v="GWND_WIND"/>
    <x v="11"/>
    <x v="2"/>
    <n v="12380.9244402802"/>
    <n v="753172.903450376"/>
    <n v="2711422.4524213602"/>
  </r>
  <r>
    <x v="0"/>
    <x v="0"/>
    <x v="0"/>
    <x v="3"/>
    <x v="4"/>
    <s v="GerA"/>
    <x v="0"/>
    <x v="0"/>
    <s v="GWND_WIND"/>
    <x v="11"/>
    <x v="3"/>
    <n v="11189.3751425304"/>
    <n v="680686.98783726897"/>
    <n v="2450473.1562141702"/>
  </r>
  <r>
    <x v="0"/>
    <x v="0"/>
    <x v="0"/>
    <x v="3"/>
    <x v="4"/>
    <s v="GerA"/>
    <x v="0"/>
    <x v="0"/>
    <s v="GWND_WIND"/>
    <x v="11"/>
    <x v="4"/>
    <n v="9975.8222740241599"/>
    <n v="606862.52166980295"/>
    <n v="2184705.0780112902"/>
  </r>
  <r>
    <x v="0"/>
    <x v="0"/>
    <x v="0"/>
    <x v="3"/>
    <x v="4"/>
    <s v="GerA"/>
    <x v="0"/>
    <x v="0"/>
    <s v="GWND_WIND"/>
    <x v="11"/>
    <x v="5"/>
    <n v="9481.3013448172296"/>
    <n v="576779.16514304804"/>
    <n v="2076404.9945149701"/>
  </r>
  <r>
    <x v="0"/>
    <x v="0"/>
    <x v="0"/>
    <x v="3"/>
    <x v="4"/>
    <s v="GerA"/>
    <x v="0"/>
    <x v="0"/>
    <s v="GWND_WIND"/>
    <x v="11"/>
    <x v="6"/>
    <n v="9325.4116401351093"/>
    <n v="567295.87477488595"/>
    <n v="2042265.14918959"/>
  </r>
  <r>
    <x v="0"/>
    <x v="0"/>
    <x v="0"/>
    <x v="3"/>
    <x v="4"/>
    <s v="GerA"/>
    <x v="0"/>
    <x v="0"/>
    <s v="GWND_WIND"/>
    <x v="11"/>
    <x v="7"/>
    <n v="9587.9627217050001"/>
    <n v="583267.73223705404"/>
    <n v="2099763.8360533998"/>
  </r>
  <r>
    <x v="0"/>
    <x v="0"/>
    <x v="0"/>
    <x v="3"/>
    <x v="4"/>
    <s v="GerA"/>
    <x v="0"/>
    <x v="0"/>
    <s v="GWND_WIND"/>
    <x v="11"/>
    <x v="8"/>
    <n v="11475.0486204886"/>
    <n v="698065.45774638897"/>
    <n v="2513035.6478869999"/>
  </r>
  <r>
    <x v="0"/>
    <x v="0"/>
    <x v="0"/>
    <x v="3"/>
    <x v="4"/>
    <s v="GerA"/>
    <x v="0"/>
    <x v="0"/>
    <s v="GWND_WIND"/>
    <x v="11"/>
    <x v="9"/>
    <n v="12991.803235182801"/>
    <n v="790334.69680695597"/>
    <n v="2845204.9085050402"/>
  </r>
  <r>
    <x v="0"/>
    <x v="0"/>
    <x v="0"/>
    <x v="3"/>
    <x v="4"/>
    <s v="GerA"/>
    <x v="0"/>
    <x v="0"/>
    <s v="GWND_WIND"/>
    <x v="11"/>
    <x v="10"/>
    <n v="12555.834180701"/>
    <n v="763813.24599264504"/>
    <n v="2749727.6855735201"/>
  </r>
  <r>
    <x v="0"/>
    <x v="0"/>
    <x v="0"/>
    <x v="3"/>
    <x v="4"/>
    <s v="GerA"/>
    <x v="0"/>
    <x v="0"/>
    <s v="GWND_WIND"/>
    <x v="11"/>
    <x v="11"/>
    <n v="11483.9992255421"/>
    <n v="698609.95288714499"/>
    <n v="2514995.83039372"/>
  </r>
  <r>
    <x v="0"/>
    <x v="0"/>
    <x v="0"/>
    <x v="4"/>
    <x v="5"/>
    <s v="LV_A"/>
    <x v="9"/>
    <x v="3"/>
    <s v="ST-B1-waste-LV"/>
    <x v="0"/>
    <x v="0"/>
    <n v="15"/>
    <n v="912.5"/>
    <n v="3285"/>
  </r>
  <r>
    <x v="0"/>
    <x v="0"/>
    <x v="0"/>
    <x v="4"/>
    <x v="5"/>
    <s v="LV_A"/>
    <x v="9"/>
    <x v="3"/>
    <s v="ST-B1-waste-LV"/>
    <x v="0"/>
    <x v="1"/>
    <n v="15"/>
    <n v="912.5"/>
    <n v="3285"/>
  </r>
  <r>
    <x v="0"/>
    <x v="0"/>
    <x v="0"/>
    <x v="4"/>
    <x v="5"/>
    <s v="LV_A"/>
    <x v="9"/>
    <x v="3"/>
    <s v="ST-B1-waste-LV"/>
    <x v="0"/>
    <x v="2"/>
    <n v="15"/>
    <n v="912.5"/>
    <n v="3285"/>
  </r>
  <r>
    <x v="0"/>
    <x v="0"/>
    <x v="0"/>
    <x v="4"/>
    <x v="5"/>
    <s v="LV_A"/>
    <x v="9"/>
    <x v="3"/>
    <s v="ST-B1-waste-LV"/>
    <x v="0"/>
    <x v="3"/>
    <n v="15"/>
    <n v="912.5"/>
    <n v="3285"/>
  </r>
  <r>
    <x v="0"/>
    <x v="0"/>
    <x v="0"/>
    <x v="4"/>
    <x v="5"/>
    <s v="LV_A"/>
    <x v="9"/>
    <x v="3"/>
    <s v="ST-B1-waste-LV"/>
    <x v="0"/>
    <x v="4"/>
    <n v="15"/>
    <n v="912.5"/>
    <n v="3285"/>
  </r>
  <r>
    <x v="0"/>
    <x v="0"/>
    <x v="0"/>
    <x v="4"/>
    <x v="5"/>
    <s v="LV_A"/>
    <x v="9"/>
    <x v="3"/>
    <s v="ST-B1-waste-LV"/>
    <x v="0"/>
    <x v="5"/>
    <n v="15"/>
    <n v="912.5"/>
    <n v="3285"/>
  </r>
  <r>
    <x v="0"/>
    <x v="0"/>
    <x v="0"/>
    <x v="4"/>
    <x v="5"/>
    <s v="LV_A"/>
    <x v="9"/>
    <x v="3"/>
    <s v="ST-B1-waste-LV"/>
    <x v="0"/>
    <x v="6"/>
    <n v="15"/>
    <n v="912.5"/>
    <n v="3285"/>
  </r>
  <r>
    <x v="0"/>
    <x v="0"/>
    <x v="0"/>
    <x v="4"/>
    <x v="5"/>
    <s v="LV_A"/>
    <x v="9"/>
    <x v="3"/>
    <s v="ST-B1-waste-LV"/>
    <x v="0"/>
    <x v="7"/>
    <n v="15"/>
    <n v="912.5"/>
    <n v="3285"/>
  </r>
  <r>
    <x v="0"/>
    <x v="0"/>
    <x v="0"/>
    <x v="4"/>
    <x v="5"/>
    <s v="LV_A"/>
    <x v="9"/>
    <x v="3"/>
    <s v="ST-B1-waste-LV"/>
    <x v="0"/>
    <x v="8"/>
    <n v="15"/>
    <n v="912.5"/>
    <n v="3285"/>
  </r>
  <r>
    <x v="0"/>
    <x v="0"/>
    <x v="0"/>
    <x v="4"/>
    <x v="5"/>
    <s v="LV_A"/>
    <x v="9"/>
    <x v="3"/>
    <s v="ST-B1-waste-LV"/>
    <x v="0"/>
    <x v="9"/>
    <n v="15"/>
    <n v="912.5"/>
    <n v="3285"/>
  </r>
  <r>
    <x v="0"/>
    <x v="0"/>
    <x v="0"/>
    <x v="4"/>
    <x v="5"/>
    <s v="LV_A"/>
    <x v="9"/>
    <x v="3"/>
    <s v="ST-B1-waste-LV"/>
    <x v="0"/>
    <x v="10"/>
    <n v="15"/>
    <n v="912.5"/>
    <n v="3285"/>
  </r>
  <r>
    <x v="0"/>
    <x v="0"/>
    <x v="0"/>
    <x v="4"/>
    <x v="5"/>
    <s v="LV_A"/>
    <x v="9"/>
    <x v="3"/>
    <s v="ST-B1-waste-LV"/>
    <x v="0"/>
    <x v="11"/>
    <n v="15"/>
    <n v="912.5"/>
    <n v="3285"/>
  </r>
  <r>
    <x v="0"/>
    <x v="0"/>
    <x v="0"/>
    <x v="4"/>
    <x v="5"/>
    <s v="LV_A"/>
    <x v="9"/>
    <x v="3"/>
    <s v="ST-B1-waste-LV"/>
    <x v="1"/>
    <x v="0"/>
    <n v="15"/>
    <n v="912.5"/>
    <n v="3285"/>
  </r>
  <r>
    <x v="0"/>
    <x v="0"/>
    <x v="0"/>
    <x v="4"/>
    <x v="5"/>
    <s v="LV_A"/>
    <x v="9"/>
    <x v="3"/>
    <s v="ST-B1-waste-LV"/>
    <x v="1"/>
    <x v="1"/>
    <n v="15"/>
    <n v="912.5"/>
    <n v="3285"/>
  </r>
  <r>
    <x v="0"/>
    <x v="0"/>
    <x v="0"/>
    <x v="4"/>
    <x v="5"/>
    <s v="LV_A"/>
    <x v="9"/>
    <x v="3"/>
    <s v="ST-B1-waste-LV"/>
    <x v="1"/>
    <x v="2"/>
    <n v="15"/>
    <n v="912.5"/>
    <n v="3285"/>
  </r>
  <r>
    <x v="0"/>
    <x v="0"/>
    <x v="0"/>
    <x v="4"/>
    <x v="5"/>
    <s v="LV_A"/>
    <x v="9"/>
    <x v="3"/>
    <s v="ST-B1-waste-LV"/>
    <x v="1"/>
    <x v="3"/>
    <n v="15"/>
    <n v="912.5"/>
    <n v="3285"/>
  </r>
  <r>
    <x v="0"/>
    <x v="0"/>
    <x v="0"/>
    <x v="4"/>
    <x v="5"/>
    <s v="LV_A"/>
    <x v="9"/>
    <x v="3"/>
    <s v="ST-B1-waste-LV"/>
    <x v="1"/>
    <x v="4"/>
    <n v="15"/>
    <n v="912.5"/>
    <n v="3285"/>
  </r>
  <r>
    <x v="0"/>
    <x v="0"/>
    <x v="0"/>
    <x v="4"/>
    <x v="5"/>
    <s v="LV_A"/>
    <x v="9"/>
    <x v="3"/>
    <s v="ST-B1-waste-LV"/>
    <x v="1"/>
    <x v="5"/>
    <n v="15"/>
    <n v="912.5"/>
    <n v="3285"/>
  </r>
  <r>
    <x v="0"/>
    <x v="0"/>
    <x v="0"/>
    <x v="4"/>
    <x v="5"/>
    <s v="LV_A"/>
    <x v="9"/>
    <x v="3"/>
    <s v="ST-B1-waste-LV"/>
    <x v="1"/>
    <x v="6"/>
    <n v="15"/>
    <n v="912.5"/>
    <n v="3285"/>
  </r>
  <r>
    <x v="0"/>
    <x v="0"/>
    <x v="0"/>
    <x v="4"/>
    <x v="5"/>
    <s v="LV_A"/>
    <x v="9"/>
    <x v="3"/>
    <s v="ST-B1-waste-LV"/>
    <x v="1"/>
    <x v="7"/>
    <n v="15"/>
    <n v="912.5"/>
    <n v="3285"/>
  </r>
  <r>
    <x v="0"/>
    <x v="0"/>
    <x v="0"/>
    <x v="4"/>
    <x v="5"/>
    <s v="LV_A"/>
    <x v="9"/>
    <x v="3"/>
    <s v="ST-B1-waste-LV"/>
    <x v="1"/>
    <x v="8"/>
    <n v="15"/>
    <n v="912.5"/>
    <n v="3285"/>
  </r>
  <r>
    <x v="0"/>
    <x v="0"/>
    <x v="0"/>
    <x v="4"/>
    <x v="5"/>
    <s v="LV_A"/>
    <x v="9"/>
    <x v="3"/>
    <s v="ST-B1-waste-LV"/>
    <x v="1"/>
    <x v="9"/>
    <n v="15"/>
    <n v="912.5"/>
    <n v="3285"/>
  </r>
  <r>
    <x v="0"/>
    <x v="0"/>
    <x v="0"/>
    <x v="4"/>
    <x v="5"/>
    <s v="LV_A"/>
    <x v="9"/>
    <x v="3"/>
    <s v="ST-B1-waste-LV"/>
    <x v="1"/>
    <x v="10"/>
    <n v="15"/>
    <n v="912.5"/>
    <n v="3285"/>
  </r>
  <r>
    <x v="0"/>
    <x v="0"/>
    <x v="0"/>
    <x v="4"/>
    <x v="5"/>
    <s v="LV_A"/>
    <x v="9"/>
    <x v="3"/>
    <s v="ST-B1-waste-LV"/>
    <x v="1"/>
    <x v="11"/>
    <n v="15"/>
    <n v="912.5"/>
    <n v="3285"/>
  </r>
  <r>
    <x v="0"/>
    <x v="0"/>
    <x v="0"/>
    <x v="4"/>
    <x v="5"/>
    <s v="LV_A"/>
    <x v="9"/>
    <x v="3"/>
    <s v="ST-B1-waste-LV"/>
    <x v="2"/>
    <x v="0"/>
    <n v="15"/>
    <n v="912.5"/>
    <n v="3285"/>
  </r>
  <r>
    <x v="0"/>
    <x v="0"/>
    <x v="0"/>
    <x v="4"/>
    <x v="5"/>
    <s v="LV_A"/>
    <x v="9"/>
    <x v="3"/>
    <s v="ST-B1-waste-LV"/>
    <x v="2"/>
    <x v="1"/>
    <n v="15"/>
    <n v="912.5"/>
    <n v="3285"/>
  </r>
  <r>
    <x v="0"/>
    <x v="0"/>
    <x v="0"/>
    <x v="4"/>
    <x v="5"/>
    <s v="LV_A"/>
    <x v="9"/>
    <x v="3"/>
    <s v="ST-B1-waste-LV"/>
    <x v="2"/>
    <x v="2"/>
    <n v="15"/>
    <n v="912.5"/>
    <n v="3285"/>
  </r>
  <r>
    <x v="0"/>
    <x v="0"/>
    <x v="0"/>
    <x v="4"/>
    <x v="5"/>
    <s v="LV_A"/>
    <x v="9"/>
    <x v="3"/>
    <s v="ST-B1-waste-LV"/>
    <x v="2"/>
    <x v="3"/>
    <n v="15"/>
    <n v="912.5"/>
    <n v="3285"/>
  </r>
  <r>
    <x v="0"/>
    <x v="0"/>
    <x v="0"/>
    <x v="4"/>
    <x v="5"/>
    <s v="LV_A"/>
    <x v="9"/>
    <x v="3"/>
    <s v="ST-B1-waste-LV"/>
    <x v="2"/>
    <x v="4"/>
    <n v="15"/>
    <n v="912.5"/>
    <n v="3285"/>
  </r>
  <r>
    <x v="0"/>
    <x v="0"/>
    <x v="0"/>
    <x v="4"/>
    <x v="5"/>
    <s v="LV_A"/>
    <x v="9"/>
    <x v="3"/>
    <s v="ST-B1-waste-LV"/>
    <x v="2"/>
    <x v="5"/>
    <n v="15"/>
    <n v="912.5"/>
    <n v="3285"/>
  </r>
  <r>
    <x v="0"/>
    <x v="0"/>
    <x v="0"/>
    <x v="4"/>
    <x v="5"/>
    <s v="LV_A"/>
    <x v="9"/>
    <x v="3"/>
    <s v="ST-B1-waste-LV"/>
    <x v="2"/>
    <x v="6"/>
    <n v="15"/>
    <n v="912.5"/>
    <n v="3285"/>
  </r>
  <r>
    <x v="0"/>
    <x v="0"/>
    <x v="0"/>
    <x v="4"/>
    <x v="5"/>
    <s v="LV_A"/>
    <x v="9"/>
    <x v="3"/>
    <s v="ST-B1-waste-LV"/>
    <x v="2"/>
    <x v="7"/>
    <n v="15"/>
    <n v="912.5"/>
    <n v="3285"/>
  </r>
  <r>
    <x v="0"/>
    <x v="0"/>
    <x v="0"/>
    <x v="4"/>
    <x v="5"/>
    <s v="LV_A"/>
    <x v="9"/>
    <x v="3"/>
    <s v="ST-B1-waste-LV"/>
    <x v="2"/>
    <x v="8"/>
    <n v="15"/>
    <n v="912.5"/>
    <n v="3285"/>
  </r>
  <r>
    <x v="0"/>
    <x v="0"/>
    <x v="0"/>
    <x v="4"/>
    <x v="5"/>
    <s v="LV_A"/>
    <x v="9"/>
    <x v="3"/>
    <s v="ST-B1-waste-LV"/>
    <x v="2"/>
    <x v="9"/>
    <n v="15"/>
    <n v="912.5"/>
    <n v="3285"/>
  </r>
  <r>
    <x v="0"/>
    <x v="0"/>
    <x v="0"/>
    <x v="4"/>
    <x v="5"/>
    <s v="LV_A"/>
    <x v="9"/>
    <x v="3"/>
    <s v="ST-B1-waste-LV"/>
    <x v="2"/>
    <x v="10"/>
    <n v="15"/>
    <n v="912.5"/>
    <n v="3285"/>
  </r>
  <r>
    <x v="0"/>
    <x v="0"/>
    <x v="0"/>
    <x v="4"/>
    <x v="5"/>
    <s v="LV_A"/>
    <x v="9"/>
    <x v="3"/>
    <s v="ST-B1-waste-LV"/>
    <x v="2"/>
    <x v="11"/>
    <n v="15"/>
    <n v="912.5"/>
    <n v="3285"/>
  </r>
  <r>
    <x v="0"/>
    <x v="0"/>
    <x v="0"/>
    <x v="4"/>
    <x v="5"/>
    <s v="LV_A"/>
    <x v="9"/>
    <x v="3"/>
    <s v="ST-B1-waste-LV"/>
    <x v="3"/>
    <x v="0"/>
    <n v="15"/>
    <n v="912.5"/>
    <n v="3285"/>
  </r>
  <r>
    <x v="0"/>
    <x v="0"/>
    <x v="0"/>
    <x v="4"/>
    <x v="5"/>
    <s v="LV_A"/>
    <x v="9"/>
    <x v="3"/>
    <s v="ST-B1-waste-LV"/>
    <x v="3"/>
    <x v="1"/>
    <n v="15"/>
    <n v="912.5"/>
    <n v="3285"/>
  </r>
  <r>
    <x v="0"/>
    <x v="0"/>
    <x v="0"/>
    <x v="4"/>
    <x v="5"/>
    <s v="LV_A"/>
    <x v="9"/>
    <x v="3"/>
    <s v="ST-B1-waste-LV"/>
    <x v="3"/>
    <x v="2"/>
    <n v="15"/>
    <n v="912.5"/>
    <n v="3285"/>
  </r>
  <r>
    <x v="0"/>
    <x v="0"/>
    <x v="0"/>
    <x v="4"/>
    <x v="5"/>
    <s v="LV_A"/>
    <x v="9"/>
    <x v="3"/>
    <s v="ST-B1-waste-LV"/>
    <x v="3"/>
    <x v="3"/>
    <n v="15"/>
    <n v="912.5"/>
    <n v="3285"/>
  </r>
  <r>
    <x v="0"/>
    <x v="0"/>
    <x v="0"/>
    <x v="4"/>
    <x v="5"/>
    <s v="LV_A"/>
    <x v="9"/>
    <x v="3"/>
    <s v="ST-B1-waste-LV"/>
    <x v="3"/>
    <x v="4"/>
    <n v="15"/>
    <n v="912.5"/>
    <n v="3285"/>
  </r>
  <r>
    <x v="0"/>
    <x v="0"/>
    <x v="0"/>
    <x v="4"/>
    <x v="5"/>
    <s v="LV_A"/>
    <x v="9"/>
    <x v="3"/>
    <s v="ST-B1-waste-LV"/>
    <x v="3"/>
    <x v="5"/>
    <n v="15"/>
    <n v="912.5"/>
    <n v="3285"/>
  </r>
  <r>
    <x v="0"/>
    <x v="0"/>
    <x v="0"/>
    <x v="4"/>
    <x v="5"/>
    <s v="LV_A"/>
    <x v="9"/>
    <x v="3"/>
    <s v="ST-B1-waste-LV"/>
    <x v="3"/>
    <x v="6"/>
    <n v="15"/>
    <n v="912.5"/>
    <n v="3285"/>
  </r>
  <r>
    <x v="0"/>
    <x v="0"/>
    <x v="0"/>
    <x v="4"/>
    <x v="5"/>
    <s v="LV_A"/>
    <x v="9"/>
    <x v="3"/>
    <s v="ST-B1-waste-LV"/>
    <x v="3"/>
    <x v="7"/>
    <n v="15"/>
    <n v="912.5"/>
    <n v="3285"/>
  </r>
  <r>
    <x v="0"/>
    <x v="0"/>
    <x v="0"/>
    <x v="4"/>
    <x v="5"/>
    <s v="LV_A"/>
    <x v="9"/>
    <x v="3"/>
    <s v="ST-B1-waste-LV"/>
    <x v="3"/>
    <x v="8"/>
    <n v="15"/>
    <n v="912.5"/>
    <n v="3285"/>
  </r>
  <r>
    <x v="0"/>
    <x v="0"/>
    <x v="0"/>
    <x v="4"/>
    <x v="5"/>
    <s v="LV_A"/>
    <x v="9"/>
    <x v="3"/>
    <s v="ST-B1-waste-LV"/>
    <x v="3"/>
    <x v="9"/>
    <n v="15"/>
    <n v="912.5"/>
    <n v="3285"/>
  </r>
  <r>
    <x v="0"/>
    <x v="0"/>
    <x v="0"/>
    <x v="4"/>
    <x v="5"/>
    <s v="LV_A"/>
    <x v="9"/>
    <x v="3"/>
    <s v="ST-B1-waste-LV"/>
    <x v="3"/>
    <x v="10"/>
    <n v="15"/>
    <n v="912.5"/>
    <n v="3285"/>
  </r>
  <r>
    <x v="0"/>
    <x v="0"/>
    <x v="0"/>
    <x v="4"/>
    <x v="5"/>
    <s v="LV_A"/>
    <x v="9"/>
    <x v="3"/>
    <s v="ST-B1-waste-LV"/>
    <x v="3"/>
    <x v="11"/>
    <n v="15"/>
    <n v="912.5"/>
    <n v="3285"/>
  </r>
  <r>
    <x v="0"/>
    <x v="0"/>
    <x v="0"/>
    <x v="4"/>
    <x v="5"/>
    <s v="LV_A"/>
    <x v="9"/>
    <x v="3"/>
    <s v="ST-B1-waste-LV"/>
    <x v="4"/>
    <x v="0"/>
    <n v="15"/>
    <n v="912.5"/>
    <n v="3285"/>
  </r>
  <r>
    <x v="0"/>
    <x v="0"/>
    <x v="0"/>
    <x v="4"/>
    <x v="5"/>
    <s v="LV_A"/>
    <x v="9"/>
    <x v="3"/>
    <s v="ST-B1-waste-LV"/>
    <x v="4"/>
    <x v="1"/>
    <n v="15"/>
    <n v="912.5"/>
    <n v="3285"/>
  </r>
  <r>
    <x v="0"/>
    <x v="0"/>
    <x v="0"/>
    <x v="4"/>
    <x v="5"/>
    <s v="LV_A"/>
    <x v="9"/>
    <x v="3"/>
    <s v="ST-B1-waste-LV"/>
    <x v="4"/>
    <x v="2"/>
    <n v="15"/>
    <n v="912.5"/>
    <n v="3285"/>
  </r>
  <r>
    <x v="0"/>
    <x v="0"/>
    <x v="0"/>
    <x v="4"/>
    <x v="5"/>
    <s v="LV_A"/>
    <x v="9"/>
    <x v="3"/>
    <s v="ST-B1-waste-LV"/>
    <x v="4"/>
    <x v="3"/>
    <n v="15"/>
    <n v="912.5"/>
    <n v="3285"/>
  </r>
  <r>
    <x v="0"/>
    <x v="0"/>
    <x v="0"/>
    <x v="4"/>
    <x v="5"/>
    <s v="LV_A"/>
    <x v="9"/>
    <x v="3"/>
    <s v="ST-B1-waste-LV"/>
    <x v="4"/>
    <x v="4"/>
    <n v="15"/>
    <n v="912.5"/>
    <n v="3285"/>
  </r>
  <r>
    <x v="0"/>
    <x v="0"/>
    <x v="0"/>
    <x v="4"/>
    <x v="5"/>
    <s v="LV_A"/>
    <x v="9"/>
    <x v="3"/>
    <s v="ST-B1-waste-LV"/>
    <x v="4"/>
    <x v="5"/>
    <n v="15"/>
    <n v="912.5"/>
    <n v="3285"/>
  </r>
  <r>
    <x v="0"/>
    <x v="0"/>
    <x v="0"/>
    <x v="4"/>
    <x v="5"/>
    <s v="LV_A"/>
    <x v="9"/>
    <x v="3"/>
    <s v="ST-B1-waste-LV"/>
    <x v="4"/>
    <x v="6"/>
    <n v="15"/>
    <n v="912.5"/>
    <n v="3285"/>
  </r>
  <r>
    <x v="0"/>
    <x v="0"/>
    <x v="0"/>
    <x v="4"/>
    <x v="5"/>
    <s v="LV_A"/>
    <x v="9"/>
    <x v="3"/>
    <s v="ST-B1-waste-LV"/>
    <x v="4"/>
    <x v="7"/>
    <n v="15"/>
    <n v="912.5"/>
    <n v="3285"/>
  </r>
  <r>
    <x v="0"/>
    <x v="0"/>
    <x v="0"/>
    <x v="4"/>
    <x v="5"/>
    <s v="LV_A"/>
    <x v="9"/>
    <x v="3"/>
    <s v="ST-B1-waste-LV"/>
    <x v="4"/>
    <x v="8"/>
    <n v="15"/>
    <n v="912.5"/>
    <n v="3285"/>
  </r>
  <r>
    <x v="0"/>
    <x v="0"/>
    <x v="0"/>
    <x v="4"/>
    <x v="5"/>
    <s v="LV_A"/>
    <x v="9"/>
    <x v="3"/>
    <s v="ST-B1-waste-LV"/>
    <x v="4"/>
    <x v="9"/>
    <n v="15"/>
    <n v="912.5"/>
    <n v="3285"/>
  </r>
  <r>
    <x v="0"/>
    <x v="0"/>
    <x v="0"/>
    <x v="4"/>
    <x v="5"/>
    <s v="LV_A"/>
    <x v="9"/>
    <x v="3"/>
    <s v="ST-B1-waste-LV"/>
    <x v="4"/>
    <x v="10"/>
    <n v="15"/>
    <n v="912.5"/>
    <n v="3285"/>
  </r>
  <r>
    <x v="0"/>
    <x v="0"/>
    <x v="0"/>
    <x v="4"/>
    <x v="5"/>
    <s v="LV_A"/>
    <x v="9"/>
    <x v="3"/>
    <s v="ST-B1-waste-LV"/>
    <x v="4"/>
    <x v="11"/>
    <n v="15"/>
    <n v="912.5"/>
    <n v="3285"/>
  </r>
  <r>
    <x v="0"/>
    <x v="0"/>
    <x v="0"/>
    <x v="4"/>
    <x v="5"/>
    <s v="LV_A"/>
    <x v="9"/>
    <x v="3"/>
    <s v="ST-B1-waste-LV"/>
    <x v="5"/>
    <x v="0"/>
    <n v="15"/>
    <n v="912.5"/>
    <n v="3285"/>
  </r>
  <r>
    <x v="0"/>
    <x v="0"/>
    <x v="0"/>
    <x v="4"/>
    <x v="5"/>
    <s v="LV_A"/>
    <x v="9"/>
    <x v="3"/>
    <s v="ST-B1-waste-LV"/>
    <x v="5"/>
    <x v="1"/>
    <n v="15"/>
    <n v="912.5"/>
    <n v="3285"/>
  </r>
  <r>
    <x v="0"/>
    <x v="0"/>
    <x v="0"/>
    <x v="4"/>
    <x v="5"/>
    <s v="LV_A"/>
    <x v="9"/>
    <x v="3"/>
    <s v="ST-B1-waste-LV"/>
    <x v="5"/>
    <x v="2"/>
    <n v="15"/>
    <n v="912.5"/>
    <n v="3285"/>
  </r>
  <r>
    <x v="0"/>
    <x v="0"/>
    <x v="0"/>
    <x v="4"/>
    <x v="5"/>
    <s v="LV_A"/>
    <x v="9"/>
    <x v="3"/>
    <s v="ST-B1-waste-LV"/>
    <x v="5"/>
    <x v="3"/>
    <n v="15"/>
    <n v="912.5"/>
    <n v="3285"/>
  </r>
  <r>
    <x v="0"/>
    <x v="0"/>
    <x v="0"/>
    <x v="4"/>
    <x v="5"/>
    <s v="LV_A"/>
    <x v="9"/>
    <x v="3"/>
    <s v="ST-B1-waste-LV"/>
    <x v="5"/>
    <x v="4"/>
    <n v="15"/>
    <n v="912.5"/>
    <n v="3285"/>
  </r>
  <r>
    <x v="0"/>
    <x v="0"/>
    <x v="0"/>
    <x v="4"/>
    <x v="5"/>
    <s v="LV_A"/>
    <x v="9"/>
    <x v="3"/>
    <s v="ST-B1-waste-LV"/>
    <x v="5"/>
    <x v="5"/>
    <n v="15"/>
    <n v="912.5"/>
    <n v="3285"/>
  </r>
  <r>
    <x v="0"/>
    <x v="0"/>
    <x v="0"/>
    <x v="4"/>
    <x v="5"/>
    <s v="LV_A"/>
    <x v="9"/>
    <x v="3"/>
    <s v="ST-B1-waste-LV"/>
    <x v="5"/>
    <x v="6"/>
    <n v="15"/>
    <n v="912.5"/>
    <n v="3285"/>
  </r>
  <r>
    <x v="0"/>
    <x v="0"/>
    <x v="0"/>
    <x v="4"/>
    <x v="5"/>
    <s v="LV_A"/>
    <x v="9"/>
    <x v="3"/>
    <s v="ST-B1-waste-LV"/>
    <x v="5"/>
    <x v="7"/>
    <n v="15"/>
    <n v="912.5"/>
    <n v="3285"/>
  </r>
  <r>
    <x v="0"/>
    <x v="0"/>
    <x v="0"/>
    <x v="4"/>
    <x v="5"/>
    <s v="LV_A"/>
    <x v="9"/>
    <x v="3"/>
    <s v="ST-B1-waste-LV"/>
    <x v="5"/>
    <x v="8"/>
    <n v="15"/>
    <n v="912.5"/>
    <n v="3285"/>
  </r>
  <r>
    <x v="0"/>
    <x v="0"/>
    <x v="0"/>
    <x v="4"/>
    <x v="5"/>
    <s v="LV_A"/>
    <x v="9"/>
    <x v="3"/>
    <s v="ST-B1-waste-LV"/>
    <x v="5"/>
    <x v="9"/>
    <n v="15"/>
    <n v="912.5"/>
    <n v="3285"/>
  </r>
  <r>
    <x v="0"/>
    <x v="0"/>
    <x v="0"/>
    <x v="4"/>
    <x v="5"/>
    <s v="LV_A"/>
    <x v="9"/>
    <x v="3"/>
    <s v="ST-B1-waste-LV"/>
    <x v="5"/>
    <x v="10"/>
    <n v="15"/>
    <n v="912.5"/>
    <n v="3285"/>
  </r>
  <r>
    <x v="0"/>
    <x v="0"/>
    <x v="0"/>
    <x v="4"/>
    <x v="5"/>
    <s v="LV_A"/>
    <x v="9"/>
    <x v="3"/>
    <s v="ST-B1-waste-LV"/>
    <x v="5"/>
    <x v="11"/>
    <n v="15"/>
    <n v="912.5"/>
    <n v="3285"/>
  </r>
  <r>
    <x v="0"/>
    <x v="0"/>
    <x v="0"/>
    <x v="4"/>
    <x v="5"/>
    <s v="LV_A"/>
    <x v="9"/>
    <x v="3"/>
    <s v="ST-B1-waste-LV"/>
    <x v="6"/>
    <x v="0"/>
    <n v="15"/>
    <n v="912.5"/>
    <n v="3285"/>
  </r>
  <r>
    <x v="0"/>
    <x v="0"/>
    <x v="0"/>
    <x v="4"/>
    <x v="5"/>
    <s v="LV_A"/>
    <x v="9"/>
    <x v="3"/>
    <s v="ST-B1-waste-LV"/>
    <x v="6"/>
    <x v="1"/>
    <n v="15"/>
    <n v="912.5"/>
    <n v="3285"/>
  </r>
  <r>
    <x v="0"/>
    <x v="0"/>
    <x v="0"/>
    <x v="4"/>
    <x v="5"/>
    <s v="LV_A"/>
    <x v="9"/>
    <x v="3"/>
    <s v="ST-B1-waste-LV"/>
    <x v="6"/>
    <x v="2"/>
    <n v="15"/>
    <n v="912.5"/>
    <n v="3285"/>
  </r>
  <r>
    <x v="0"/>
    <x v="0"/>
    <x v="0"/>
    <x v="4"/>
    <x v="5"/>
    <s v="LV_A"/>
    <x v="9"/>
    <x v="3"/>
    <s v="ST-B1-waste-LV"/>
    <x v="6"/>
    <x v="3"/>
    <n v="15"/>
    <n v="912.5"/>
    <n v="3285"/>
  </r>
  <r>
    <x v="0"/>
    <x v="0"/>
    <x v="0"/>
    <x v="4"/>
    <x v="5"/>
    <s v="LV_A"/>
    <x v="9"/>
    <x v="3"/>
    <s v="ST-B1-waste-LV"/>
    <x v="6"/>
    <x v="4"/>
    <n v="15"/>
    <n v="912.5"/>
    <n v="3285"/>
  </r>
  <r>
    <x v="0"/>
    <x v="0"/>
    <x v="0"/>
    <x v="4"/>
    <x v="5"/>
    <s v="LV_A"/>
    <x v="9"/>
    <x v="3"/>
    <s v="ST-B1-waste-LV"/>
    <x v="6"/>
    <x v="5"/>
    <n v="15"/>
    <n v="912.5"/>
    <n v="3285"/>
  </r>
  <r>
    <x v="0"/>
    <x v="0"/>
    <x v="0"/>
    <x v="4"/>
    <x v="5"/>
    <s v="LV_A"/>
    <x v="9"/>
    <x v="3"/>
    <s v="ST-B1-waste-LV"/>
    <x v="6"/>
    <x v="6"/>
    <n v="15"/>
    <n v="912.5"/>
    <n v="3285"/>
  </r>
  <r>
    <x v="0"/>
    <x v="0"/>
    <x v="0"/>
    <x v="4"/>
    <x v="5"/>
    <s v="LV_A"/>
    <x v="9"/>
    <x v="3"/>
    <s v="ST-B1-waste-LV"/>
    <x v="6"/>
    <x v="7"/>
    <n v="15"/>
    <n v="912.5"/>
    <n v="3285"/>
  </r>
  <r>
    <x v="0"/>
    <x v="0"/>
    <x v="0"/>
    <x v="4"/>
    <x v="5"/>
    <s v="LV_A"/>
    <x v="9"/>
    <x v="3"/>
    <s v="ST-B1-waste-LV"/>
    <x v="6"/>
    <x v="8"/>
    <n v="15"/>
    <n v="912.5"/>
    <n v="3285"/>
  </r>
  <r>
    <x v="0"/>
    <x v="0"/>
    <x v="0"/>
    <x v="4"/>
    <x v="5"/>
    <s v="LV_A"/>
    <x v="9"/>
    <x v="3"/>
    <s v="ST-B1-waste-LV"/>
    <x v="6"/>
    <x v="9"/>
    <n v="15"/>
    <n v="912.5"/>
    <n v="3285"/>
  </r>
  <r>
    <x v="0"/>
    <x v="0"/>
    <x v="0"/>
    <x v="4"/>
    <x v="5"/>
    <s v="LV_A"/>
    <x v="9"/>
    <x v="3"/>
    <s v="ST-B1-waste-LV"/>
    <x v="6"/>
    <x v="10"/>
    <n v="15"/>
    <n v="912.5"/>
    <n v="3285"/>
  </r>
  <r>
    <x v="0"/>
    <x v="0"/>
    <x v="0"/>
    <x v="4"/>
    <x v="5"/>
    <s v="LV_A"/>
    <x v="9"/>
    <x v="3"/>
    <s v="ST-B1-waste-LV"/>
    <x v="6"/>
    <x v="11"/>
    <n v="15"/>
    <n v="912.5"/>
    <n v="3285"/>
  </r>
  <r>
    <x v="0"/>
    <x v="0"/>
    <x v="0"/>
    <x v="4"/>
    <x v="5"/>
    <s v="LV_A"/>
    <x v="9"/>
    <x v="3"/>
    <s v="ST-B1-waste-LV"/>
    <x v="7"/>
    <x v="0"/>
    <n v="15"/>
    <n v="912.5"/>
    <n v="3285"/>
  </r>
  <r>
    <x v="0"/>
    <x v="0"/>
    <x v="0"/>
    <x v="4"/>
    <x v="5"/>
    <s v="LV_A"/>
    <x v="9"/>
    <x v="3"/>
    <s v="ST-B1-waste-LV"/>
    <x v="7"/>
    <x v="1"/>
    <n v="15"/>
    <n v="912.5"/>
    <n v="3285"/>
  </r>
  <r>
    <x v="0"/>
    <x v="0"/>
    <x v="0"/>
    <x v="4"/>
    <x v="5"/>
    <s v="LV_A"/>
    <x v="9"/>
    <x v="3"/>
    <s v="ST-B1-waste-LV"/>
    <x v="7"/>
    <x v="2"/>
    <n v="15"/>
    <n v="912.5"/>
    <n v="3285"/>
  </r>
  <r>
    <x v="0"/>
    <x v="0"/>
    <x v="0"/>
    <x v="4"/>
    <x v="5"/>
    <s v="LV_A"/>
    <x v="9"/>
    <x v="3"/>
    <s v="ST-B1-waste-LV"/>
    <x v="7"/>
    <x v="3"/>
    <n v="15"/>
    <n v="912.5"/>
    <n v="3285"/>
  </r>
  <r>
    <x v="0"/>
    <x v="0"/>
    <x v="0"/>
    <x v="4"/>
    <x v="5"/>
    <s v="LV_A"/>
    <x v="9"/>
    <x v="3"/>
    <s v="ST-B1-waste-LV"/>
    <x v="7"/>
    <x v="4"/>
    <n v="15"/>
    <n v="912.5"/>
    <n v="3285"/>
  </r>
  <r>
    <x v="0"/>
    <x v="0"/>
    <x v="0"/>
    <x v="4"/>
    <x v="5"/>
    <s v="LV_A"/>
    <x v="9"/>
    <x v="3"/>
    <s v="ST-B1-waste-LV"/>
    <x v="7"/>
    <x v="5"/>
    <n v="15"/>
    <n v="912.5"/>
    <n v="3285"/>
  </r>
  <r>
    <x v="0"/>
    <x v="0"/>
    <x v="0"/>
    <x v="4"/>
    <x v="5"/>
    <s v="LV_A"/>
    <x v="9"/>
    <x v="3"/>
    <s v="ST-B1-waste-LV"/>
    <x v="7"/>
    <x v="6"/>
    <n v="15"/>
    <n v="912.5"/>
    <n v="3285"/>
  </r>
  <r>
    <x v="0"/>
    <x v="0"/>
    <x v="0"/>
    <x v="4"/>
    <x v="5"/>
    <s v="LV_A"/>
    <x v="9"/>
    <x v="3"/>
    <s v="ST-B1-waste-LV"/>
    <x v="7"/>
    <x v="7"/>
    <n v="15"/>
    <n v="912.5"/>
    <n v="3285"/>
  </r>
  <r>
    <x v="0"/>
    <x v="0"/>
    <x v="0"/>
    <x v="4"/>
    <x v="5"/>
    <s v="LV_A"/>
    <x v="9"/>
    <x v="3"/>
    <s v="ST-B1-waste-LV"/>
    <x v="7"/>
    <x v="8"/>
    <n v="15"/>
    <n v="912.5"/>
    <n v="3285"/>
  </r>
  <r>
    <x v="0"/>
    <x v="0"/>
    <x v="0"/>
    <x v="4"/>
    <x v="5"/>
    <s v="LV_A"/>
    <x v="9"/>
    <x v="3"/>
    <s v="ST-B1-waste-LV"/>
    <x v="7"/>
    <x v="9"/>
    <n v="15"/>
    <n v="912.5"/>
    <n v="3285"/>
  </r>
  <r>
    <x v="0"/>
    <x v="0"/>
    <x v="0"/>
    <x v="4"/>
    <x v="5"/>
    <s v="LV_A"/>
    <x v="9"/>
    <x v="3"/>
    <s v="ST-B1-waste-LV"/>
    <x v="7"/>
    <x v="10"/>
    <n v="15"/>
    <n v="912.5"/>
    <n v="3285"/>
  </r>
  <r>
    <x v="0"/>
    <x v="0"/>
    <x v="0"/>
    <x v="4"/>
    <x v="5"/>
    <s v="LV_A"/>
    <x v="9"/>
    <x v="3"/>
    <s v="ST-B1-waste-LV"/>
    <x v="7"/>
    <x v="11"/>
    <n v="15"/>
    <n v="912.5"/>
    <n v="3285"/>
  </r>
  <r>
    <x v="0"/>
    <x v="0"/>
    <x v="0"/>
    <x v="4"/>
    <x v="5"/>
    <s v="LV_A"/>
    <x v="9"/>
    <x v="3"/>
    <s v="ST-B1-waste-LV"/>
    <x v="8"/>
    <x v="0"/>
    <n v="15"/>
    <n v="912.5"/>
    <n v="3285"/>
  </r>
  <r>
    <x v="0"/>
    <x v="0"/>
    <x v="0"/>
    <x v="4"/>
    <x v="5"/>
    <s v="LV_A"/>
    <x v="9"/>
    <x v="3"/>
    <s v="ST-B1-waste-LV"/>
    <x v="8"/>
    <x v="1"/>
    <n v="15"/>
    <n v="912.5"/>
    <n v="3285"/>
  </r>
  <r>
    <x v="0"/>
    <x v="0"/>
    <x v="0"/>
    <x v="4"/>
    <x v="5"/>
    <s v="LV_A"/>
    <x v="9"/>
    <x v="3"/>
    <s v="ST-B1-waste-LV"/>
    <x v="8"/>
    <x v="2"/>
    <n v="15"/>
    <n v="912.5"/>
    <n v="3285"/>
  </r>
  <r>
    <x v="0"/>
    <x v="0"/>
    <x v="0"/>
    <x v="4"/>
    <x v="5"/>
    <s v="LV_A"/>
    <x v="9"/>
    <x v="3"/>
    <s v="ST-B1-waste-LV"/>
    <x v="8"/>
    <x v="3"/>
    <n v="15"/>
    <n v="912.5"/>
    <n v="3285"/>
  </r>
  <r>
    <x v="0"/>
    <x v="0"/>
    <x v="0"/>
    <x v="4"/>
    <x v="5"/>
    <s v="LV_A"/>
    <x v="9"/>
    <x v="3"/>
    <s v="ST-B1-waste-LV"/>
    <x v="8"/>
    <x v="4"/>
    <n v="15"/>
    <n v="912.5"/>
    <n v="3285"/>
  </r>
  <r>
    <x v="0"/>
    <x v="0"/>
    <x v="0"/>
    <x v="4"/>
    <x v="5"/>
    <s v="LV_A"/>
    <x v="9"/>
    <x v="3"/>
    <s v="ST-B1-waste-LV"/>
    <x v="8"/>
    <x v="5"/>
    <n v="15"/>
    <n v="912.5"/>
    <n v="3285"/>
  </r>
  <r>
    <x v="0"/>
    <x v="0"/>
    <x v="0"/>
    <x v="4"/>
    <x v="5"/>
    <s v="LV_A"/>
    <x v="9"/>
    <x v="3"/>
    <s v="ST-B1-waste-LV"/>
    <x v="8"/>
    <x v="6"/>
    <n v="15"/>
    <n v="912.5"/>
    <n v="3285"/>
  </r>
  <r>
    <x v="0"/>
    <x v="0"/>
    <x v="0"/>
    <x v="4"/>
    <x v="5"/>
    <s v="LV_A"/>
    <x v="9"/>
    <x v="3"/>
    <s v="ST-B1-waste-LV"/>
    <x v="8"/>
    <x v="7"/>
    <n v="15"/>
    <n v="912.5"/>
    <n v="3285"/>
  </r>
  <r>
    <x v="0"/>
    <x v="0"/>
    <x v="0"/>
    <x v="4"/>
    <x v="5"/>
    <s v="LV_A"/>
    <x v="9"/>
    <x v="3"/>
    <s v="ST-B1-waste-LV"/>
    <x v="8"/>
    <x v="8"/>
    <n v="15"/>
    <n v="912.5"/>
    <n v="3285"/>
  </r>
  <r>
    <x v="0"/>
    <x v="0"/>
    <x v="0"/>
    <x v="4"/>
    <x v="5"/>
    <s v="LV_A"/>
    <x v="9"/>
    <x v="3"/>
    <s v="ST-B1-waste-LV"/>
    <x v="8"/>
    <x v="9"/>
    <n v="15"/>
    <n v="912.5"/>
    <n v="3285"/>
  </r>
  <r>
    <x v="0"/>
    <x v="0"/>
    <x v="0"/>
    <x v="4"/>
    <x v="5"/>
    <s v="LV_A"/>
    <x v="9"/>
    <x v="3"/>
    <s v="ST-B1-waste-LV"/>
    <x v="8"/>
    <x v="10"/>
    <n v="15"/>
    <n v="912.5"/>
    <n v="3285"/>
  </r>
  <r>
    <x v="0"/>
    <x v="0"/>
    <x v="0"/>
    <x v="4"/>
    <x v="5"/>
    <s v="LV_A"/>
    <x v="9"/>
    <x v="3"/>
    <s v="ST-B1-waste-LV"/>
    <x v="8"/>
    <x v="11"/>
    <n v="15"/>
    <n v="912.5"/>
    <n v="3285"/>
  </r>
  <r>
    <x v="0"/>
    <x v="0"/>
    <x v="0"/>
    <x v="4"/>
    <x v="5"/>
    <s v="LV_A"/>
    <x v="9"/>
    <x v="3"/>
    <s v="ST-B1-waste-LV"/>
    <x v="9"/>
    <x v="0"/>
    <n v="15"/>
    <n v="912.5"/>
    <n v="3285"/>
  </r>
  <r>
    <x v="0"/>
    <x v="0"/>
    <x v="0"/>
    <x v="4"/>
    <x v="5"/>
    <s v="LV_A"/>
    <x v="9"/>
    <x v="3"/>
    <s v="ST-B1-waste-LV"/>
    <x v="9"/>
    <x v="1"/>
    <n v="15"/>
    <n v="912.5"/>
    <n v="3285"/>
  </r>
  <r>
    <x v="0"/>
    <x v="0"/>
    <x v="0"/>
    <x v="4"/>
    <x v="5"/>
    <s v="LV_A"/>
    <x v="9"/>
    <x v="3"/>
    <s v="ST-B1-waste-LV"/>
    <x v="9"/>
    <x v="2"/>
    <n v="15"/>
    <n v="912.5"/>
    <n v="3285"/>
  </r>
  <r>
    <x v="0"/>
    <x v="0"/>
    <x v="0"/>
    <x v="4"/>
    <x v="5"/>
    <s v="LV_A"/>
    <x v="9"/>
    <x v="3"/>
    <s v="ST-B1-waste-LV"/>
    <x v="9"/>
    <x v="3"/>
    <n v="15"/>
    <n v="912.5"/>
    <n v="3285"/>
  </r>
  <r>
    <x v="0"/>
    <x v="0"/>
    <x v="0"/>
    <x v="4"/>
    <x v="5"/>
    <s v="LV_A"/>
    <x v="9"/>
    <x v="3"/>
    <s v="ST-B1-waste-LV"/>
    <x v="9"/>
    <x v="4"/>
    <n v="15"/>
    <n v="912.5"/>
    <n v="3285"/>
  </r>
  <r>
    <x v="0"/>
    <x v="0"/>
    <x v="0"/>
    <x v="4"/>
    <x v="5"/>
    <s v="LV_A"/>
    <x v="9"/>
    <x v="3"/>
    <s v="ST-B1-waste-LV"/>
    <x v="9"/>
    <x v="5"/>
    <n v="15"/>
    <n v="912.5"/>
    <n v="3285"/>
  </r>
  <r>
    <x v="0"/>
    <x v="0"/>
    <x v="0"/>
    <x v="4"/>
    <x v="5"/>
    <s v="LV_A"/>
    <x v="9"/>
    <x v="3"/>
    <s v="ST-B1-waste-LV"/>
    <x v="9"/>
    <x v="6"/>
    <n v="15"/>
    <n v="912.5"/>
    <n v="3285"/>
  </r>
  <r>
    <x v="0"/>
    <x v="0"/>
    <x v="0"/>
    <x v="4"/>
    <x v="5"/>
    <s v="LV_A"/>
    <x v="9"/>
    <x v="3"/>
    <s v="ST-B1-waste-LV"/>
    <x v="9"/>
    <x v="7"/>
    <n v="15"/>
    <n v="912.5"/>
    <n v="3285"/>
  </r>
  <r>
    <x v="0"/>
    <x v="0"/>
    <x v="0"/>
    <x v="4"/>
    <x v="5"/>
    <s v="LV_A"/>
    <x v="9"/>
    <x v="3"/>
    <s v="ST-B1-waste-LV"/>
    <x v="9"/>
    <x v="8"/>
    <n v="15"/>
    <n v="912.5"/>
    <n v="3285"/>
  </r>
  <r>
    <x v="0"/>
    <x v="0"/>
    <x v="0"/>
    <x v="4"/>
    <x v="5"/>
    <s v="LV_A"/>
    <x v="9"/>
    <x v="3"/>
    <s v="ST-B1-waste-LV"/>
    <x v="9"/>
    <x v="9"/>
    <n v="15"/>
    <n v="912.5"/>
    <n v="3285"/>
  </r>
  <r>
    <x v="0"/>
    <x v="0"/>
    <x v="0"/>
    <x v="4"/>
    <x v="5"/>
    <s v="LV_A"/>
    <x v="9"/>
    <x v="3"/>
    <s v="ST-B1-waste-LV"/>
    <x v="9"/>
    <x v="10"/>
    <n v="15"/>
    <n v="912.5"/>
    <n v="3285"/>
  </r>
  <r>
    <x v="0"/>
    <x v="0"/>
    <x v="0"/>
    <x v="4"/>
    <x v="5"/>
    <s v="LV_A"/>
    <x v="9"/>
    <x v="3"/>
    <s v="ST-B1-waste-LV"/>
    <x v="9"/>
    <x v="11"/>
    <n v="15"/>
    <n v="912.5"/>
    <n v="3285"/>
  </r>
  <r>
    <x v="0"/>
    <x v="0"/>
    <x v="0"/>
    <x v="4"/>
    <x v="5"/>
    <s v="LV_A"/>
    <x v="9"/>
    <x v="3"/>
    <s v="ST-B1-waste-LV"/>
    <x v="10"/>
    <x v="0"/>
    <n v="15"/>
    <n v="912.5"/>
    <n v="3285"/>
  </r>
  <r>
    <x v="0"/>
    <x v="0"/>
    <x v="0"/>
    <x v="4"/>
    <x v="5"/>
    <s v="LV_A"/>
    <x v="9"/>
    <x v="3"/>
    <s v="ST-B1-waste-LV"/>
    <x v="10"/>
    <x v="1"/>
    <n v="15"/>
    <n v="912.5"/>
    <n v="3285"/>
  </r>
  <r>
    <x v="0"/>
    <x v="0"/>
    <x v="0"/>
    <x v="4"/>
    <x v="5"/>
    <s v="LV_A"/>
    <x v="9"/>
    <x v="3"/>
    <s v="ST-B1-waste-LV"/>
    <x v="10"/>
    <x v="2"/>
    <n v="15"/>
    <n v="912.5"/>
    <n v="3285"/>
  </r>
  <r>
    <x v="0"/>
    <x v="0"/>
    <x v="0"/>
    <x v="4"/>
    <x v="5"/>
    <s v="LV_A"/>
    <x v="9"/>
    <x v="3"/>
    <s v="ST-B1-waste-LV"/>
    <x v="10"/>
    <x v="3"/>
    <n v="15"/>
    <n v="912.5"/>
    <n v="3285"/>
  </r>
  <r>
    <x v="0"/>
    <x v="0"/>
    <x v="0"/>
    <x v="4"/>
    <x v="5"/>
    <s v="LV_A"/>
    <x v="9"/>
    <x v="3"/>
    <s v="ST-B1-waste-LV"/>
    <x v="10"/>
    <x v="4"/>
    <n v="15"/>
    <n v="912.5"/>
    <n v="3285"/>
  </r>
  <r>
    <x v="0"/>
    <x v="0"/>
    <x v="0"/>
    <x v="4"/>
    <x v="5"/>
    <s v="LV_A"/>
    <x v="9"/>
    <x v="3"/>
    <s v="ST-B1-waste-LV"/>
    <x v="10"/>
    <x v="5"/>
    <n v="15"/>
    <n v="912.5"/>
    <n v="3285"/>
  </r>
  <r>
    <x v="0"/>
    <x v="0"/>
    <x v="0"/>
    <x v="4"/>
    <x v="5"/>
    <s v="LV_A"/>
    <x v="9"/>
    <x v="3"/>
    <s v="ST-B1-waste-LV"/>
    <x v="10"/>
    <x v="6"/>
    <n v="15"/>
    <n v="912.5"/>
    <n v="3285"/>
  </r>
  <r>
    <x v="0"/>
    <x v="0"/>
    <x v="0"/>
    <x v="4"/>
    <x v="5"/>
    <s v="LV_A"/>
    <x v="9"/>
    <x v="3"/>
    <s v="ST-B1-waste-LV"/>
    <x v="10"/>
    <x v="7"/>
    <n v="15"/>
    <n v="912.5"/>
    <n v="3285"/>
  </r>
  <r>
    <x v="0"/>
    <x v="0"/>
    <x v="0"/>
    <x v="4"/>
    <x v="5"/>
    <s v="LV_A"/>
    <x v="9"/>
    <x v="3"/>
    <s v="ST-B1-waste-LV"/>
    <x v="10"/>
    <x v="8"/>
    <n v="15"/>
    <n v="912.5"/>
    <n v="3285"/>
  </r>
  <r>
    <x v="0"/>
    <x v="0"/>
    <x v="0"/>
    <x v="4"/>
    <x v="5"/>
    <s v="LV_A"/>
    <x v="9"/>
    <x v="3"/>
    <s v="ST-B1-waste-LV"/>
    <x v="10"/>
    <x v="9"/>
    <n v="15"/>
    <n v="912.5"/>
    <n v="3285"/>
  </r>
  <r>
    <x v="0"/>
    <x v="0"/>
    <x v="0"/>
    <x v="4"/>
    <x v="5"/>
    <s v="LV_A"/>
    <x v="9"/>
    <x v="3"/>
    <s v="ST-B1-waste-LV"/>
    <x v="10"/>
    <x v="10"/>
    <n v="15"/>
    <n v="912.5"/>
    <n v="3285"/>
  </r>
  <r>
    <x v="0"/>
    <x v="0"/>
    <x v="0"/>
    <x v="4"/>
    <x v="5"/>
    <s v="LV_A"/>
    <x v="9"/>
    <x v="3"/>
    <s v="ST-B1-waste-LV"/>
    <x v="10"/>
    <x v="11"/>
    <n v="15"/>
    <n v="912.5"/>
    <n v="3285"/>
  </r>
  <r>
    <x v="0"/>
    <x v="0"/>
    <x v="0"/>
    <x v="4"/>
    <x v="5"/>
    <s v="LV_A"/>
    <x v="9"/>
    <x v="3"/>
    <s v="ST-B1-waste-LV"/>
    <x v="11"/>
    <x v="0"/>
    <n v="15"/>
    <n v="912.5"/>
    <n v="3285"/>
  </r>
  <r>
    <x v="0"/>
    <x v="0"/>
    <x v="0"/>
    <x v="4"/>
    <x v="5"/>
    <s v="LV_A"/>
    <x v="9"/>
    <x v="3"/>
    <s v="ST-B1-waste-LV"/>
    <x v="11"/>
    <x v="1"/>
    <n v="15"/>
    <n v="912.5"/>
    <n v="3285"/>
  </r>
  <r>
    <x v="0"/>
    <x v="0"/>
    <x v="0"/>
    <x v="4"/>
    <x v="5"/>
    <s v="LV_A"/>
    <x v="9"/>
    <x v="3"/>
    <s v="ST-B1-waste-LV"/>
    <x v="11"/>
    <x v="2"/>
    <n v="15"/>
    <n v="912.5"/>
    <n v="3285"/>
  </r>
  <r>
    <x v="0"/>
    <x v="0"/>
    <x v="0"/>
    <x v="4"/>
    <x v="5"/>
    <s v="LV_A"/>
    <x v="9"/>
    <x v="3"/>
    <s v="ST-B1-waste-LV"/>
    <x v="11"/>
    <x v="3"/>
    <n v="15"/>
    <n v="912.5"/>
    <n v="3285"/>
  </r>
  <r>
    <x v="0"/>
    <x v="0"/>
    <x v="0"/>
    <x v="4"/>
    <x v="5"/>
    <s v="LV_A"/>
    <x v="9"/>
    <x v="3"/>
    <s v="ST-B1-waste-LV"/>
    <x v="11"/>
    <x v="4"/>
    <n v="15"/>
    <n v="912.5"/>
    <n v="3285"/>
  </r>
  <r>
    <x v="0"/>
    <x v="0"/>
    <x v="0"/>
    <x v="4"/>
    <x v="5"/>
    <s v="LV_A"/>
    <x v="9"/>
    <x v="3"/>
    <s v="ST-B1-waste-LV"/>
    <x v="11"/>
    <x v="5"/>
    <n v="15"/>
    <n v="912.5"/>
    <n v="3285"/>
  </r>
  <r>
    <x v="0"/>
    <x v="0"/>
    <x v="0"/>
    <x v="4"/>
    <x v="5"/>
    <s v="LV_A"/>
    <x v="9"/>
    <x v="3"/>
    <s v="ST-B1-waste-LV"/>
    <x v="11"/>
    <x v="6"/>
    <n v="15"/>
    <n v="912.5"/>
    <n v="3285"/>
  </r>
  <r>
    <x v="0"/>
    <x v="0"/>
    <x v="0"/>
    <x v="4"/>
    <x v="5"/>
    <s v="LV_A"/>
    <x v="9"/>
    <x v="3"/>
    <s v="ST-B1-waste-LV"/>
    <x v="11"/>
    <x v="7"/>
    <n v="15"/>
    <n v="912.5"/>
    <n v="3285"/>
  </r>
  <r>
    <x v="0"/>
    <x v="0"/>
    <x v="0"/>
    <x v="4"/>
    <x v="5"/>
    <s v="LV_A"/>
    <x v="9"/>
    <x v="3"/>
    <s v="ST-B1-waste-LV"/>
    <x v="11"/>
    <x v="8"/>
    <n v="15"/>
    <n v="912.5"/>
    <n v="3285"/>
  </r>
  <r>
    <x v="0"/>
    <x v="0"/>
    <x v="0"/>
    <x v="4"/>
    <x v="5"/>
    <s v="LV_A"/>
    <x v="9"/>
    <x v="3"/>
    <s v="ST-B1-waste-LV"/>
    <x v="11"/>
    <x v="9"/>
    <n v="15"/>
    <n v="912.5"/>
    <n v="3285"/>
  </r>
  <r>
    <x v="0"/>
    <x v="0"/>
    <x v="0"/>
    <x v="4"/>
    <x v="5"/>
    <s v="LV_A"/>
    <x v="9"/>
    <x v="3"/>
    <s v="ST-B1-waste-LV"/>
    <x v="11"/>
    <x v="10"/>
    <n v="15"/>
    <n v="912.5"/>
    <n v="3285"/>
  </r>
  <r>
    <x v="0"/>
    <x v="0"/>
    <x v="0"/>
    <x v="4"/>
    <x v="5"/>
    <s v="LV_A"/>
    <x v="9"/>
    <x v="3"/>
    <s v="ST-B1-waste-LV"/>
    <x v="11"/>
    <x v="11"/>
    <n v="15"/>
    <n v="912.5"/>
    <n v="3285"/>
  </r>
  <r>
    <x v="0"/>
    <x v="0"/>
    <x v="0"/>
    <x v="4"/>
    <x v="5"/>
    <s v="LV_A"/>
    <x v="3"/>
    <x v="4"/>
    <s v="GE-BP-LV-G"/>
    <x v="0"/>
    <x v="0"/>
    <n v="24"/>
    <n v="1460"/>
    <n v="5256"/>
  </r>
  <r>
    <x v="0"/>
    <x v="0"/>
    <x v="0"/>
    <x v="4"/>
    <x v="5"/>
    <s v="LV_A"/>
    <x v="3"/>
    <x v="4"/>
    <s v="GE-BP-LV-G"/>
    <x v="1"/>
    <x v="6"/>
    <n v="24"/>
    <n v="1460"/>
    <n v="5256"/>
  </r>
  <r>
    <x v="0"/>
    <x v="0"/>
    <x v="0"/>
    <x v="4"/>
    <x v="5"/>
    <s v="LV_A"/>
    <x v="3"/>
    <x v="4"/>
    <s v="GE-BP-LV-G"/>
    <x v="1"/>
    <x v="7"/>
    <n v="24"/>
    <n v="1460"/>
    <n v="5256"/>
  </r>
  <r>
    <x v="0"/>
    <x v="0"/>
    <x v="0"/>
    <x v="4"/>
    <x v="5"/>
    <s v="LV_A"/>
    <x v="3"/>
    <x v="4"/>
    <s v="GE-BP-LV-G"/>
    <x v="1"/>
    <x v="8"/>
    <n v="24"/>
    <n v="1460"/>
    <n v="5256"/>
  </r>
  <r>
    <x v="0"/>
    <x v="0"/>
    <x v="0"/>
    <x v="4"/>
    <x v="5"/>
    <s v="LV_A"/>
    <x v="3"/>
    <x v="4"/>
    <s v="GE-BP-LV-G"/>
    <x v="1"/>
    <x v="9"/>
    <n v="24"/>
    <n v="1460"/>
    <n v="5256"/>
  </r>
  <r>
    <x v="0"/>
    <x v="0"/>
    <x v="0"/>
    <x v="4"/>
    <x v="5"/>
    <s v="LV_A"/>
    <x v="3"/>
    <x v="4"/>
    <s v="GE-BP-LV-G"/>
    <x v="1"/>
    <x v="10"/>
    <n v="24"/>
    <n v="1460"/>
    <n v="5256"/>
  </r>
  <r>
    <x v="0"/>
    <x v="0"/>
    <x v="0"/>
    <x v="4"/>
    <x v="5"/>
    <s v="LV_A"/>
    <x v="3"/>
    <x v="4"/>
    <s v="GE-BP-LV-G"/>
    <x v="1"/>
    <x v="11"/>
    <n v="24"/>
    <n v="1460"/>
    <n v="5256"/>
  </r>
  <r>
    <x v="0"/>
    <x v="0"/>
    <x v="0"/>
    <x v="4"/>
    <x v="5"/>
    <s v="LV_A"/>
    <x v="3"/>
    <x v="4"/>
    <s v="GE-BP-LV-G"/>
    <x v="2"/>
    <x v="6"/>
    <n v="24"/>
    <n v="1460"/>
    <n v="5256"/>
  </r>
  <r>
    <x v="0"/>
    <x v="0"/>
    <x v="0"/>
    <x v="4"/>
    <x v="5"/>
    <s v="LV_A"/>
    <x v="3"/>
    <x v="4"/>
    <s v="GE-BP-LV-G"/>
    <x v="2"/>
    <x v="7"/>
    <n v="24"/>
    <n v="1460"/>
    <n v="5256"/>
  </r>
  <r>
    <x v="0"/>
    <x v="0"/>
    <x v="0"/>
    <x v="4"/>
    <x v="5"/>
    <s v="LV_A"/>
    <x v="3"/>
    <x v="4"/>
    <s v="GE-BP-LV-G"/>
    <x v="2"/>
    <x v="8"/>
    <n v="24"/>
    <n v="1460"/>
    <n v="5256"/>
  </r>
  <r>
    <x v="0"/>
    <x v="0"/>
    <x v="0"/>
    <x v="4"/>
    <x v="5"/>
    <s v="LV_A"/>
    <x v="3"/>
    <x v="4"/>
    <s v="GE-BP-LV-G"/>
    <x v="2"/>
    <x v="9"/>
    <n v="24"/>
    <n v="1460"/>
    <n v="5256"/>
  </r>
  <r>
    <x v="0"/>
    <x v="0"/>
    <x v="0"/>
    <x v="4"/>
    <x v="5"/>
    <s v="LV_A"/>
    <x v="3"/>
    <x v="4"/>
    <s v="GE-BP-LV-G"/>
    <x v="2"/>
    <x v="10"/>
    <n v="24"/>
    <n v="1460"/>
    <n v="5256"/>
  </r>
  <r>
    <x v="0"/>
    <x v="0"/>
    <x v="0"/>
    <x v="4"/>
    <x v="5"/>
    <s v="LV_A"/>
    <x v="3"/>
    <x v="4"/>
    <s v="GE-BP-LV-G"/>
    <x v="2"/>
    <x v="11"/>
    <n v="24"/>
    <n v="1460"/>
    <n v="5256"/>
  </r>
  <r>
    <x v="0"/>
    <x v="0"/>
    <x v="0"/>
    <x v="4"/>
    <x v="5"/>
    <s v="LV_A"/>
    <x v="3"/>
    <x v="4"/>
    <s v="GE-BP-LV-G"/>
    <x v="3"/>
    <x v="5"/>
    <n v="24"/>
    <n v="1460"/>
    <n v="5256"/>
  </r>
  <r>
    <x v="0"/>
    <x v="0"/>
    <x v="0"/>
    <x v="4"/>
    <x v="5"/>
    <s v="LV_A"/>
    <x v="3"/>
    <x v="4"/>
    <s v="GE-BP-LV-G"/>
    <x v="3"/>
    <x v="6"/>
    <n v="24"/>
    <n v="1460"/>
    <n v="5256"/>
  </r>
  <r>
    <x v="0"/>
    <x v="0"/>
    <x v="0"/>
    <x v="4"/>
    <x v="5"/>
    <s v="LV_A"/>
    <x v="3"/>
    <x v="4"/>
    <s v="GE-BP-LV-G"/>
    <x v="3"/>
    <x v="7"/>
    <n v="24"/>
    <n v="1460"/>
    <n v="5256"/>
  </r>
  <r>
    <x v="0"/>
    <x v="0"/>
    <x v="0"/>
    <x v="4"/>
    <x v="5"/>
    <s v="LV_A"/>
    <x v="3"/>
    <x v="4"/>
    <s v="GE-BP-LV-G"/>
    <x v="3"/>
    <x v="8"/>
    <n v="24"/>
    <n v="1460"/>
    <n v="5256"/>
  </r>
  <r>
    <x v="0"/>
    <x v="0"/>
    <x v="0"/>
    <x v="4"/>
    <x v="5"/>
    <s v="LV_A"/>
    <x v="3"/>
    <x v="4"/>
    <s v="GE-BP-LV-G"/>
    <x v="3"/>
    <x v="9"/>
    <n v="24"/>
    <n v="1460"/>
    <n v="5256"/>
  </r>
  <r>
    <x v="0"/>
    <x v="0"/>
    <x v="0"/>
    <x v="4"/>
    <x v="5"/>
    <s v="LV_A"/>
    <x v="3"/>
    <x v="4"/>
    <s v="GE-BP-LV-G"/>
    <x v="3"/>
    <x v="10"/>
    <n v="24"/>
    <n v="1460"/>
    <n v="5256"/>
  </r>
  <r>
    <x v="0"/>
    <x v="0"/>
    <x v="0"/>
    <x v="4"/>
    <x v="5"/>
    <s v="LV_A"/>
    <x v="3"/>
    <x v="4"/>
    <s v="GE-BP-LV-G"/>
    <x v="3"/>
    <x v="11"/>
    <n v="24"/>
    <n v="1460"/>
    <n v="5256"/>
  </r>
  <r>
    <x v="0"/>
    <x v="0"/>
    <x v="0"/>
    <x v="4"/>
    <x v="5"/>
    <s v="LV_A"/>
    <x v="7"/>
    <x v="7"/>
    <s v="Keguma-HPP-1"/>
    <x v="1"/>
    <x v="7"/>
    <n v="71"/>
    <n v="4319.1666666666697"/>
    <n v="15549"/>
  </r>
  <r>
    <x v="0"/>
    <x v="0"/>
    <x v="0"/>
    <x v="4"/>
    <x v="5"/>
    <s v="LV_A"/>
    <x v="7"/>
    <x v="7"/>
    <s v="Keguma-HPP-1"/>
    <x v="1"/>
    <x v="8"/>
    <n v="71"/>
    <n v="4319.1666666666697"/>
    <n v="15549"/>
  </r>
  <r>
    <x v="0"/>
    <x v="0"/>
    <x v="0"/>
    <x v="4"/>
    <x v="5"/>
    <s v="LV_A"/>
    <x v="7"/>
    <x v="7"/>
    <s v="Keguma-HPP-1"/>
    <x v="1"/>
    <x v="9"/>
    <n v="71"/>
    <n v="4319.1666666666697"/>
    <n v="15549"/>
  </r>
  <r>
    <x v="0"/>
    <x v="0"/>
    <x v="0"/>
    <x v="4"/>
    <x v="5"/>
    <s v="LV_A"/>
    <x v="7"/>
    <x v="7"/>
    <s v="Keguma-HPP-1"/>
    <x v="1"/>
    <x v="10"/>
    <n v="71"/>
    <n v="4319.1666666666697"/>
    <n v="15549"/>
  </r>
  <r>
    <x v="0"/>
    <x v="0"/>
    <x v="0"/>
    <x v="4"/>
    <x v="5"/>
    <s v="LV_A"/>
    <x v="7"/>
    <x v="7"/>
    <s v="Keguma-HPP-1"/>
    <x v="1"/>
    <x v="11"/>
    <n v="71"/>
    <n v="4319.1666666666697"/>
    <n v="15549"/>
  </r>
  <r>
    <x v="0"/>
    <x v="0"/>
    <x v="0"/>
    <x v="4"/>
    <x v="5"/>
    <s v="LV_A"/>
    <x v="7"/>
    <x v="7"/>
    <s v="Keguma-HPP-1"/>
    <x v="2"/>
    <x v="6"/>
    <n v="45.073554198366701"/>
    <n v="2741.9745470673101"/>
    <n v="9871.1083694423105"/>
  </r>
  <r>
    <x v="0"/>
    <x v="0"/>
    <x v="0"/>
    <x v="4"/>
    <x v="5"/>
    <s v="LV_A"/>
    <x v="7"/>
    <x v="7"/>
    <s v="Keguma-HPP-1"/>
    <x v="2"/>
    <x v="7"/>
    <n v="71"/>
    <n v="4319.1666666666697"/>
    <n v="15549"/>
  </r>
  <r>
    <x v="0"/>
    <x v="0"/>
    <x v="0"/>
    <x v="4"/>
    <x v="5"/>
    <s v="LV_A"/>
    <x v="7"/>
    <x v="7"/>
    <s v="Keguma-HPP-1"/>
    <x v="2"/>
    <x v="8"/>
    <n v="71"/>
    <n v="4319.1666666666697"/>
    <n v="15549"/>
  </r>
  <r>
    <x v="0"/>
    <x v="0"/>
    <x v="0"/>
    <x v="4"/>
    <x v="5"/>
    <s v="LV_A"/>
    <x v="7"/>
    <x v="7"/>
    <s v="Keguma-HPP-1"/>
    <x v="2"/>
    <x v="10"/>
    <n v="71"/>
    <n v="4319.1666666666697"/>
    <n v="15549"/>
  </r>
  <r>
    <x v="0"/>
    <x v="0"/>
    <x v="0"/>
    <x v="4"/>
    <x v="5"/>
    <s v="LV_A"/>
    <x v="7"/>
    <x v="7"/>
    <s v="Keguma-HPP-1"/>
    <x v="2"/>
    <x v="11"/>
    <n v="71"/>
    <n v="4319.1666666666697"/>
    <n v="15549"/>
  </r>
  <r>
    <x v="0"/>
    <x v="0"/>
    <x v="0"/>
    <x v="4"/>
    <x v="5"/>
    <s v="LV_A"/>
    <x v="7"/>
    <x v="7"/>
    <s v="Keguma-HPP-1"/>
    <x v="3"/>
    <x v="7"/>
    <n v="71"/>
    <n v="4319.1666666666697"/>
    <n v="15549"/>
  </r>
  <r>
    <x v="0"/>
    <x v="0"/>
    <x v="0"/>
    <x v="4"/>
    <x v="5"/>
    <s v="LV_A"/>
    <x v="7"/>
    <x v="7"/>
    <s v="Keguma-HPP-1"/>
    <x v="3"/>
    <x v="8"/>
    <n v="71"/>
    <n v="4319.1666666666697"/>
    <n v="15549"/>
  </r>
  <r>
    <x v="0"/>
    <x v="0"/>
    <x v="0"/>
    <x v="4"/>
    <x v="5"/>
    <s v="LV_A"/>
    <x v="7"/>
    <x v="7"/>
    <s v="Keguma-HPP-1"/>
    <x v="3"/>
    <x v="9"/>
    <n v="71"/>
    <n v="4319.1666666666697"/>
    <n v="15549"/>
  </r>
  <r>
    <x v="0"/>
    <x v="0"/>
    <x v="0"/>
    <x v="4"/>
    <x v="5"/>
    <s v="LV_A"/>
    <x v="7"/>
    <x v="7"/>
    <s v="Keguma-HPP-1"/>
    <x v="3"/>
    <x v="11"/>
    <n v="71"/>
    <n v="4319.1666666666697"/>
    <n v="15549"/>
  </r>
  <r>
    <x v="0"/>
    <x v="0"/>
    <x v="0"/>
    <x v="4"/>
    <x v="5"/>
    <s v="LV_A"/>
    <x v="7"/>
    <x v="7"/>
    <s v="Keguma-HPP-1"/>
    <x v="4"/>
    <x v="6"/>
    <n v="71"/>
    <n v="4319.1666666666697"/>
    <n v="15549"/>
  </r>
  <r>
    <x v="0"/>
    <x v="0"/>
    <x v="0"/>
    <x v="4"/>
    <x v="5"/>
    <s v="LV_A"/>
    <x v="7"/>
    <x v="7"/>
    <s v="Keguma-HPP-1"/>
    <x v="4"/>
    <x v="7"/>
    <n v="71"/>
    <n v="4319.1666666666697"/>
    <n v="15549"/>
  </r>
  <r>
    <x v="0"/>
    <x v="0"/>
    <x v="0"/>
    <x v="4"/>
    <x v="5"/>
    <s v="LV_A"/>
    <x v="7"/>
    <x v="7"/>
    <s v="Keguma-HPP-1"/>
    <x v="4"/>
    <x v="8"/>
    <n v="71"/>
    <n v="4319.1666666666697"/>
    <n v="15549"/>
  </r>
  <r>
    <x v="0"/>
    <x v="0"/>
    <x v="0"/>
    <x v="4"/>
    <x v="5"/>
    <s v="LV_A"/>
    <x v="7"/>
    <x v="7"/>
    <s v="Keguma-HPP-1"/>
    <x v="5"/>
    <x v="7"/>
    <n v="71"/>
    <n v="4319.1666666666697"/>
    <n v="15549"/>
  </r>
  <r>
    <x v="0"/>
    <x v="0"/>
    <x v="0"/>
    <x v="4"/>
    <x v="5"/>
    <s v="LV_A"/>
    <x v="7"/>
    <x v="7"/>
    <s v="Keguma-HPP-1"/>
    <x v="5"/>
    <x v="8"/>
    <n v="71"/>
    <n v="4319.1666666666697"/>
    <n v="15549"/>
  </r>
  <r>
    <x v="0"/>
    <x v="0"/>
    <x v="0"/>
    <x v="4"/>
    <x v="5"/>
    <s v="LV_A"/>
    <x v="7"/>
    <x v="7"/>
    <s v="Keguma-HPP-1"/>
    <x v="5"/>
    <x v="9"/>
    <n v="71"/>
    <n v="4319.1666666666697"/>
    <n v="15549"/>
  </r>
  <r>
    <x v="0"/>
    <x v="0"/>
    <x v="0"/>
    <x v="4"/>
    <x v="5"/>
    <s v="LV_A"/>
    <x v="7"/>
    <x v="7"/>
    <s v="Keguma-HPP-2"/>
    <x v="1"/>
    <x v="7"/>
    <n v="190"/>
    <n v="11558.333333333299"/>
    <n v="41610"/>
  </r>
  <r>
    <x v="0"/>
    <x v="0"/>
    <x v="0"/>
    <x v="4"/>
    <x v="5"/>
    <s v="LV_A"/>
    <x v="7"/>
    <x v="7"/>
    <s v="Keguma-HPP-2"/>
    <x v="1"/>
    <x v="8"/>
    <n v="190"/>
    <n v="11558.333333333299"/>
    <n v="41610"/>
  </r>
  <r>
    <x v="0"/>
    <x v="0"/>
    <x v="0"/>
    <x v="4"/>
    <x v="5"/>
    <s v="LV_A"/>
    <x v="7"/>
    <x v="7"/>
    <s v="Keguma-HPP-2"/>
    <x v="1"/>
    <x v="9"/>
    <n v="190"/>
    <n v="11558.333333333299"/>
    <n v="41610"/>
  </r>
  <r>
    <x v="0"/>
    <x v="0"/>
    <x v="0"/>
    <x v="4"/>
    <x v="5"/>
    <s v="LV_A"/>
    <x v="7"/>
    <x v="7"/>
    <s v="Keguma-HPP-2"/>
    <x v="1"/>
    <x v="10"/>
    <n v="190"/>
    <n v="11558.333333333299"/>
    <n v="41610"/>
  </r>
  <r>
    <x v="0"/>
    <x v="0"/>
    <x v="0"/>
    <x v="4"/>
    <x v="5"/>
    <s v="LV_A"/>
    <x v="7"/>
    <x v="7"/>
    <s v="Keguma-HPP-2"/>
    <x v="1"/>
    <x v="11"/>
    <n v="190"/>
    <n v="11558.333333333299"/>
    <n v="41610"/>
  </r>
  <r>
    <x v="0"/>
    <x v="0"/>
    <x v="0"/>
    <x v="4"/>
    <x v="5"/>
    <s v="LV_A"/>
    <x v="7"/>
    <x v="7"/>
    <s v="Keguma-HPP-2"/>
    <x v="2"/>
    <x v="7"/>
    <n v="190"/>
    <n v="11558.333333333299"/>
    <n v="41610"/>
  </r>
  <r>
    <x v="0"/>
    <x v="0"/>
    <x v="0"/>
    <x v="4"/>
    <x v="5"/>
    <s v="LV_A"/>
    <x v="7"/>
    <x v="7"/>
    <s v="Keguma-HPP-2"/>
    <x v="2"/>
    <x v="8"/>
    <n v="190"/>
    <n v="11558.333333333299"/>
    <n v="41610"/>
  </r>
  <r>
    <x v="0"/>
    <x v="0"/>
    <x v="0"/>
    <x v="4"/>
    <x v="5"/>
    <s v="LV_A"/>
    <x v="7"/>
    <x v="7"/>
    <s v="Keguma-HPP-2"/>
    <x v="2"/>
    <x v="9"/>
    <n v="190"/>
    <n v="11558.333333333299"/>
    <n v="41610"/>
  </r>
  <r>
    <x v="0"/>
    <x v="0"/>
    <x v="0"/>
    <x v="4"/>
    <x v="5"/>
    <s v="LV_A"/>
    <x v="7"/>
    <x v="7"/>
    <s v="Keguma-HPP-2"/>
    <x v="2"/>
    <x v="10"/>
    <n v="190"/>
    <n v="11558.333333333299"/>
    <n v="41610"/>
  </r>
  <r>
    <x v="0"/>
    <x v="0"/>
    <x v="0"/>
    <x v="4"/>
    <x v="5"/>
    <s v="LV_A"/>
    <x v="7"/>
    <x v="7"/>
    <s v="Keguma-HPP-2"/>
    <x v="2"/>
    <x v="11"/>
    <n v="190"/>
    <n v="11558.333333333299"/>
    <n v="41610"/>
  </r>
  <r>
    <x v="0"/>
    <x v="0"/>
    <x v="0"/>
    <x v="4"/>
    <x v="5"/>
    <s v="LV_A"/>
    <x v="7"/>
    <x v="7"/>
    <s v="Keguma-HPP-2"/>
    <x v="3"/>
    <x v="6"/>
    <n v="190"/>
    <n v="11558.333333333299"/>
    <n v="41610"/>
  </r>
  <r>
    <x v="0"/>
    <x v="0"/>
    <x v="0"/>
    <x v="4"/>
    <x v="5"/>
    <s v="LV_A"/>
    <x v="7"/>
    <x v="7"/>
    <s v="Keguma-HPP-2"/>
    <x v="3"/>
    <x v="7"/>
    <n v="190"/>
    <n v="11558.333333333299"/>
    <n v="41610"/>
  </r>
  <r>
    <x v="0"/>
    <x v="0"/>
    <x v="0"/>
    <x v="4"/>
    <x v="5"/>
    <s v="LV_A"/>
    <x v="7"/>
    <x v="7"/>
    <s v="Keguma-HPP-2"/>
    <x v="3"/>
    <x v="8"/>
    <n v="190"/>
    <n v="11558.333333333299"/>
    <n v="41610"/>
  </r>
  <r>
    <x v="0"/>
    <x v="0"/>
    <x v="0"/>
    <x v="4"/>
    <x v="5"/>
    <s v="LV_A"/>
    <x v="7"/>
    <x v="7"/>
    <s v="Keguma-HPP-2"/>
    <x v="3"/>
    <x v="9"/>
    <n v="190"/>
    <n v="11558.333333333299"/>
    <n v="41610"/>
  </r>
  <r>
    <x v="0"/>
    <x v="0"/>
    <x v="0"/>
    <x v="4"/>
    <x v="5"/>
    <s v="LV_A"/>
    <x v="7"/>
    <x v="7"/>
    <s v="Keguma-HPP-2"/>
    <x v="3"/>
    <x v="10"/>
    <n v="190"/>
    <n v="11558.333333333299"/>
    <n v="41610"/>
  </r>
  <r>
    <x v="0"/>
    <x v="0"/>
    <x v="0"/>
    <x v="4"/>
    <x v="5"/>
    <s v="LV_A"/>
    <x v="7"/>
    <x v="7"/>
    <s v="Keguma-HPP-2"/>
    <x v="3"/>
    <x v="11"/>
    <n v="190"/>
    <n v="11558.333333333299"/>
    <n v="41610"/>
  </r>
  <r>
    <x v="0"/>
    <x v="0"/>
    <x v="0"/>
    <x v="4"/>
    <x v="5"/>
    <s v="LV_A"/>
    <x v="7"/>
    <x v="7"/>
    <s v="Keguma-HPP-2"/>
    <x v="4"/>
    <x v="6"/>
    <n v="122.81727027913"/>
    <n v="7471.3839419804299"/>
    <n v="26896.982191129599"/>
  </r>
  <r>
    <x v="0"/>
    <x v="0"/>
    <x v="0"/>
    <x v="4"/>
    <x v="5"/>
    <s v="LV_A"/>
    <x v="7"/>
    <x v="7"/>
    <s v="Keguma-HPP-2"/>
    <x v="4"/>
    <x v="7"/>
    <n v="190"/>
    <n v="11558.333333333299"/>
    <n v="41610"/>
  </r>
  <r>
    <x v="0"/>
    <x v="0"/>
    <x v="0"/>
    <x v="4"/>
    <x v="5"/>
    <s v="LV_A"/>
    <x v="7"/>
    <x v="7"/>
    <s v="Keguma-HPP-2"/>
    <x v="4"/>
    <x v="8"/>
    <n v="190"/>
    <n v="11558.333333333299"/>
    <n v="41610"/>
  </r>
  <r>
    <x v="0"/>
    <x v="0"/>
    <x v="0"/>
    <x v="4"/>
    <x v="5"/>
    <s v="LV_A"/>
    <x v="7"/>
    <x v="7"/>
    <s v="Keguma-HPP-2"/>
    <x v="4"/>
    <x v="9"/>
    <n v="190"/>
    <n v="11558.333333333299"/>
    <n v="41610"/>
  </r>
  <r>
    <x v="0"/>
    <x v="0"/>
    <x v="0"/>
    <x v="4"/>
    <x v="5"/>
    <s v="LV_A"/>
    <x v="7"/>
    <x v="7"/>
    <s v="Keguma-HPP-2"/>
    <x v="4"/>
    <x v="10"/>
    <n v="190"/>
    <n v="11558.333333333299"/>
    <n v="41610"/>
  </r>
  <r>
    <x v="0"/>
    <x v="0"/>
    <x v="0"/>
    <x v="4"/>
    <x v="5"/>
    <s v="LV_A"/>
    <x v="7"/>
    <x v="7"/>
    <s v="Keguma-HPP-2"/>
    <x v="4"/>
    <x v="11"/>
    <n v="190"/>
    <n v="11558.333333333299"/>
    <n v="41610"/>
  </r>
  <r>
    <x v="0"/>
    <x v="0"/>
    <x v="0"/>
    <x v="4"/>
    <x v="5"/>
    <s v="LV_A"/>
    <x v="7"/>
    <x v="7"/>
    <s v="Keguma-HPP-2"/>
    <x v="5"/>
    <x v="6"/>
    <n v="141.74916005704401"/>
    <n v="8623.0739034701601"/>
    <n v="31043.066052492599"/>
  </r>
  <r>
    <x v="0"/>
    <x v="0"/>
    <x v="0"/>
    <x v="4"/>
    <x v="5"/>
    <s v="LV_A"/>
    <x v="7"/>
    <x v="7"/>
    <s v="Keguma-HPP-2"/>
    <x v="5"/>
    <x v="7"/>
    <n v="190"/>
    <n v="11558.333333333299"/>
    <n v="41610"/>
  </r>
  <r>
    <x v="0"/>
    <x v="0"/>
    <x v="0"/>
    <x v="4"/>
    <x v="5"/>
    <s v="LV_A"/>
    <x v="7"/>
    <x v="7"/>
    <s v="Keguma-HPP-2"/>
    <x v="5"/>
    <x v="8"/>
    <n v="190"/>
    <n v="11558.333333333299"/>
    <n v="41610"/>
  </r>
  <r>
    <x v="0"/>
    <x v="0"/>
    <x v="0"/>
    <x v="4"/>
    <x v="5"/>
    <s v="LV_A"/>
    <x v="7"/>
    <x v="7"/>
    <s v="Keguma-HPP-2"/>
    <x v="5"/>
    <x v="9"/>
    <n v="190"/>
    <n v="11558.333333333299"/>
    <n v="41610"/>
  </r>
  <r>
    <x v="0"/>
    <x v="0"/>
    <x v="0"/>
    <x v="4"/>
    <x v="5"/>
    <s v="LV_A"/>
    <x v="7"/>
    <x v="7"/>
    <s v="Keguma-HPP-2"/>
    <x v="5"/>
    <x v="10"/>
    <n v="190"/>
    <n v="11558.333333333299"/>
    <n v="41610"/>
  </r>
  <r>
    <x v="0"/>
    <x v="0"/>
    <x v="0"/>
    <x v="4"/>
    <x v="5"/>
    <s v="LV_A"/>
    <x v="7"/>
    <x v="7"/>
    <s v="Keguma-HPP-2"/>
    <x v="5"/>
    <x v="11"/>
    <n v="190"/>
    <n v="11558.333333333299"/>
    <n v="41610"/>
  </r>
  <r>
    <x v="0"/>
    <x v="0"/>
    <x v="0"/>
    <x v="4"/>
    <x v="5"/>
    <s v="LV_A"/>
    <x v="7"/>
    <x v="7"/>
    <s v="Keguma-HPP-2"/>
    <x v="6"/>
    <x v="6"/>
    <n v="190"/>
    <n v="11558.333333333299"/>
    <n v="41610"/>
  </r>
  <r>
    <x v="0"/>
    <x v="0"/>
    <x v="0"/>
    <x v="4"/>
    <x v="5"/>
    <s v="LV_A"/>
    <x v="7"/>
    <x v="7"/>
    <s v="Keguma-HPP-2"/>
    <x v="6"/>
    <x v="7"/>
    <n v="190"/>
    <n v="11558.333333333299"/>
    <n v="41610"/>
  </r>
  <r>
    <x v="0"/>
    <x v="0"/>
    <x v="0"/>
    <x v="4"/>
    <x v="5"/>
    <s v="LV_A"/>
    <x v="7"/>
    <x v="7"/>
    <s v="Keguma-HPP-2"/>
    <x v="6"/>
    <x v="8"/>
    <n v="190"/>
    <n v="11558.333333333299"/>
    <n v="41610"/>
  </r>
  <r>
    <x v="0"/>
    <x v="0"/>
    <x v="0"/>
    <x v="4"/>
    <x v="5"/>
    <s v="LV_A"/>
    <x v="7"/>
    <x v="7"/>
    <s v="Keguma-HPP-2"/>
    <x v="6"/>
    <x v="9"/>
    <n v="190"/>
    <n v="11558.333333333299"/>
    <n v="41610"/>
  </r>
  <r>
    <x v="0"/>
    <x v="0"/>
    <x v="0"/>
    <x v="4"/>
    <x v="5"/>
    <s v="LV_A"/>
    <x v="7"/>
    <x v="7"/>
    <s v="Keguma-HPP-2"/>
    <x v="6"/>
    <x v="10"/>
    <n v="190"/>
    <n v="11558.333333333299"/>
    <n v="41610"/>
  </r>
  <r>
    <x v="0"/>
    <x v="0"/>
    <x v="0"/>
    <x v="4"/>
    <x v="5"/>
    <s v="LV_A"/>
    <x v="7"/>
    <x v="7"/>
    <s v="Keguma-HPP-2"/>
    <x v="6"/>
    <x v="11"/>
    <n v="190"/>
    <n v="11558.333333333299"/>
    <n v="41610"/>
  </r>
  <r>
    <x v="0"/>
    <x v="0"/>
    <x v="0"/>
    <x v="4"/>
    <x v="5"/>
    <s v="LV_A"/>
    <x v="7"/>
    <x v="7"/>
    <s v="Keguma-HPP-2"/>
    <x v="7"/>
    <x v="6"/>
    <n v="142.05408752271899"/>
    <n v="8641.6236576320607"/>
    <n v="31109.8451674754"/>
  </r>
  <r>
    <x v="0"/>
    <x v="0"/>
    <x v="0"/>
    <x v="4"/>
    <x v="5"/>
    <s v="LV_A"/>
    <x v="7"/>
    <x v="7"/>
    <s v="Keguma-HPP-2"/>
    <x v="7"/>
    <x v="7"/>
    <n v="190"/>
    <n v="11558.333333333299"/>
    <n v="41610"/>
  </r>
  <r>
    <x v="0"/>
    <x v="0"/>
    <x v="0"/>
    <x v="4"/>
    <x v="5"/>
    <s v="LV_A"/>
    <x v="7"/>
    <x v="7"/>
    <s v="Keguma-HPP-2"/>
    <x v="7"/>
    <x v="8"/>
    <n v="190"/>
    <n v="11558.333333333299"/>
    <n v="41610"/>
  </r>
  <r>
    <x v="0"/>
    <x v="0"/>
    <x v="0"/>
    <x v="4"/>
    <x v="5"/>
    <s v="LV_A"/>
    <x v="7"/>
    <x v="7"/>
    <s v="Keguma-HPP-2"/>
    <x v="7"/>
    <x v="9"/>
    <n v="190"/>
    <n v="11558.333333333299"/>
    <n v="41610"/>
  </r>
  <r>
    <x v="0"/>
    <x v="0"/>
    <x v="0"/>
    <x v="4"/>
    <x v="5"/>
    <s v="LV_A"/>
    <x v="7"/>
    <x v="7"/>
    <s v="Keguma-HPP-2"/>
    <x v="7"/>
    <x v="10"/>
    <n v="190"/>
    <n v="11558.333333333299"/>
    <n v="41610"/>
  </r>
  <r>
    <x v="0"/>
    <x v="0"/>
    <x v="0"/>
    <x v="4"/>
    <x v="5"/>
    <s v="LV_A"/>
    <x v="7"/>
    <x v="7"/>
    <s v="Keguma-HPP-2"/>
    <x v="7"/>
    <x v="11"/>
    <n v="190"/>
    <n v="11558.333333333299"/>
    <n v="41610"/>
  </r>
  <r>
    <x v="0"/>
    <x v="0"/>
    <x v="0"/>
    <x v="4"/>
    <x v="5"/>
    <s v="LV_A"/>
    <x v="7"/>
    <x v="7"/>
    <s v="Keguma-HPP-2"/>
    <x v="8"/>
    <x v="2"/>
    <n v="103.0519327465"/>
    <n v="6268.9925754120704"/>
    <n v="22568.373271483499"/>
  </r>
  <r>
    <x v="0"/>
    <x v="0"/>
    <x v="0"/>
    <x v="4"/>
    <x v="5"/>
    <s v="LV_A"/>
    <x v="7"/>
    <x v="7"/>
    <s v="Keguma-HPP-2"/>
    <x v="8"/>
    <x v="3"/>
    <n v="78.599738564374505"/>
    <n v="4781.4840959994499"/>
    <n v="17213.342745598002"/>
  </r>
  <r>
    <x v="0"/>
    <x v="0"/>
    <x v="0"/>
    <x v="4"/>
    <x v="5"/>
    <s v="LV_A"/>
    <x v="7"/>
    <x v="7"/>
    <s v="Keguma-HPP-2"/>
    <x v="8"/>
    <x v="4"/>
    <n v="167.61061912295401"/>
    <n v="10196.312663313"/>
    <n v="36706.7255879269"/>
  </r>
  <r>
    <x v="0"/>
    <x v="0"/>
    <x v="0"/>
    <x v="4"/>
    <x v="5"/>
    <s v="LV_A"/>
    <x v="7"/>
    <x v="7"/>
    <s v="Keguma-HPP-2"/>
    <x v="8"/>
    <x v="5"/>
    <n v="190"/>
    <n v="11558.333333333299"/>
    <n v="41610"/>
  </r>
  <r>
    <x v="0"/>
    <x v="0"/>
    <x v="0"/>
    <x v="4"/>
    <x v="5"/>
    <s v="LV_A"/>
    <x v="7"/>
    <x v="7"/>
    <s v="Keguma-HPP-2"/>
    <x v="8"/>
    <x v="6"/>
    <n v="190"/>
    <n v="11558.333333333299"/>
    <n v="41610"/>
  </r>
  <r>
    <x v="0"/>
    <x v="0"/>
    <x v="0"/>
    <x v="4"/>
    <x v="5"/>
    <s v="LV_A"/>
    <x v="7"/>
    <x v="7"/>
    <s v="Keguma-HPP-2"/>
    <x v="8"/>
    <x v="7"/>
    <n v="190"/>
    <n v="11558.333333333299"/>
    <n v="41610"/>
  </r>
  <r>
    <x v="0"/>
    <x v="0"/>
    <x v="0"/>
    <x v="4"/>
    <x v="5"/>
    <s v="LV_A"/>
    <x v="7"/>
    <x v="7"/>
    <s v="Keguma-HPP-2"/>
    <x v="8"/>
    <x v="8"/>
    <n v="190"/>
    <n v="11558.333333333299"/>
    <n v="41610"/>
  </r>
  <r>
    <x v="0"/>
    <x v="0"/>
    <x v="0"/>
    <x v="4"/>
    <x v="5"/>
    <s v="LV_A"/>
    <x v="7"/>
    <x v="7"/>
    <s v="Keguma-HPP-2"/>
    <x v="8"/>
    <x v="9"/>
    <n v="190"/>
    <n v="11558.333333333299"/>
    <n v="41610"/>
  </r>
  <r>
    <x v="0"/>
    <x v="0"/>
    <x v="0"/>
    <x v="4"/>
    <x v="5"/>
    <s v="LV_A"/>
    <x v="7"/>
    <x v="7"/>
    <s v="Keguma-HPP-2"/>
    <x v="8"/>
    <x v="10"/>
    <n v="190"/>
    <n v="11558.333333333299"/>
    <n v="41610"/>
  </r>
  <r>
    <x v="0"/>
    <x v="0"/>
    <x v="0"/>
    <x v="4"/>
    <x v="5"/>
    <s v="LV_A"/>
    <x v="7"/>
    <x v="7"/>
    <s v="Keguma-HPP-2"/>
    <x v="8"/>
    <x v="11"/>
    <n v="190"/>
    <n v="11558.333333333299"/>
    <n v="41610"/>
  </r>
  <r>
    <x v="0"/>
    <x v="0"/>
    <x v="0"/>
    <x v="4"/>
    <x v="5"/>
    <s v="LV_A"/>
    <x v="7"/>
    <x v="7"/>
    <s v="Keguma-HPP-2"/>
    <x v="9"/>
    <x v="2"/>
    <n v="20.656050036277499"/>
    <n v="1256.5763772068799"/>
    <n v="4523.6749579447796"/>
  </r>
  <r>
    <x v="0"/>
    <x v="0"/>
    <x v="0"/>
    <x v="4"/>
    <x v="5"/>
    <s v="LV_A"/>
    <x v="7"/>
    <x v="7"/>
    <s v="Keguma-HPP-2"/>
    <x v="9"/>
    <x v="5"/>
    <n v="76.607818056727496"/>
    <n v="4660.3089317842596"/>
    <n v="16777.112154423299"/>
  </r>
  <r>
    <x v="0"/>
    <x v="0"/>
    <x v="0"/>
    <x v="4"/>
    <x v="5"/>
    <s v="LV_A"/>
    <x v="7"/>
    <x v="7"/>
    <s v="Keguma-HPP-2"/>
    <x v="9"/>
    <x v="6"/>
    <n v="190"/>
    <n v="11558.333333333299"/>
    <n v="41610"/>
  </r>
  <r>
    <x v="0"/>
    <x v="0"/>
    <x v="0"/>
    <x v="4"/>
    <x v="5"/>
    <s v="LV_A"/>
    <x v="7"/>
    <x v="7"/>
    <s v="Keguma-HPP-2"/>
    <x v="9"/>
    <x v="7"/>
    <n v="190"/>
    <n v="11558.333333333299"/>
    <n v="41610"/>
  </r>
  <r>
    <x v="0"/>
    <x v="0"/>
    <x v="0"/>
    <x v="4"/>
    <x v="5"/>
    <s v="LV_A"/>
    <x v="7"/>
    <x v="7"/>
    <s v="Keguma-HPP-2"/>
    <x v="9"/>
    <x v="8"/>
    <n v="190"/>
    <n v="11558.333333333299"/>
    <n v="41610"/>
  </r>
  <r>
    <x v="0"/>
    <x v="0"/>
    <x v="0"/>
    <x v="4"/>
    <x v="5"/>
    <s v="LV_A"/>
    <x v="7"/>
    <x v="7"/>
    <s v="Keguma-HPP-2"/>
    <x v="9"/>
    <x v="9"/>
    <n v="190"/>
    <n v="11558.333333333299"/>
    <n v="41610"/>
  </r>
  <r>
    <x v="0"/>
    <x v="0"/>
    <x v="0"/>
    <x v="4"/>
    <x v="5"/>
    <s v="LV_A"/>
    <x v="7"/>
    <x v="7"/>
    <s v="Keguma-HPP-2"/>
    <x v="9"/>
    <x v="10"/>
    <n v="190"/>
    <n v="11558.333333333299"/>
    <n v="41610"/>
  </r>
  <r>
    <x v="0"/>
    <x v="0"/>
    <x v="0"/>
    <x v="4"/>
    <x v="5"/>
    <s v="LV_A"/>
    <x v="7"/>
    <x v="7"/>
    <s v="Keguma-HPP-2"/>
    <x v="9"/>
    <x v="11"/>
    <n v="190"/>
    <n v="11558.333333333299"/>
    <n v="41610"/>
  </r>
  <r>
    <x v="0"/>
    <x v="0"/>
    <x v="0"/>
    <x v="4"/>
    <x v="5"/>
    <s v="LV_A"/>
    <x v="7"/>
    <x v="7"/>
    <s v="Keguma-HPP-2"/>
    <x v="10"/>
    <x v="5"/>
    <n v="111.004190092239"/>
    <n v="6752.7548972778904"/>
    <n v="24309.917630200402"/>
  </r>
  <r>
    <x v="0"/>
    <x v="0"/>
    <x v="0"/>
    <x v="4"/>
    <x v="5"/>
    <s v="LV_A"/>
    <x v="7"/>
    <x v="7"/>
    <s v="Keguma-HPP-2"/>
    <x v="10"/>
    <x v="6"/>
    <n v="170.79078309764"/>
    <n v="10389.772638439799"/>
    <n v="37403.181498383201"/>
  </r>
  <r>
    <x v="0"/>
    <x v="0"/>
    <x v="0"/>
    <x v="4"/>
    <x v="5"/>
    <s v="LV_A"/>
    <x v="7"/>
    <x v="7"/>
    <s v="Keguma-HPP-2"/>
    <x v="10"/>
    <x v="7"/>
    <n v="190"/>
    <n v="11558.333333333299"/>
    <n v="41610"/>
  </r>
  <r>
    <x v="0"/>
    <x v="0"/>
    <x v="0"/>
    <x v="4"/>
    <x v="5"/>
    <s v="LV_A"/>
    <x v="7"/>
    <x v="7"/>
    <s v="Keguma-HPP-2"/>
    <x v="10"/>
    <x v="8"/>
    <n v="190"/>
    <n v="11558.333333333299"/>
    <n v="41610"/>
  </r>
  <r>
    <x v="0"/>
    <x v="0"/>
    <x v="0"/>
    <x v="4"/>
    <x v="5"/>
    <s v="LV_A"/>
    <x v="7"/>
    <x v="7"/>
    <s v="Keguma-HPP-2"/>
    <x v="10"/>
    <x v="9"/>
    <n v="190"/>
    <n v="11558.333333333299"/>
    <n v="41610"/>
  </r>
  <r>
    <x v="0"/>
    <x v="0"/>
    <x v="0"/>
    <x v="4"/>
    <x v="5"/>
    <s v="LV_A"/>
    <x v="7"/>
    <x v="7"/>
    <s v="Keguma-HPP-2"/>
    <x v="10"/>
    <x v="10"/>
    <n v="190"/>
    <n v="11558.333333333299"/>
    <n v="41610"/>
  </r>
  <r>
    <x v="0"/>
    <x v="0"/>
    <x v="0"/>
    <x v="4"/>
    <x v="5"/>
    <s v="LV_A"/>
    <x v="7"/>
    <x v="7"/>
    <s v="Keguma-HPP-2"/>
    <x v="10"/>
    <x v="11"/>
    <n v="190"/>
    <n v="11558.333333333299"/>
    <n v="41610"/>
  </r>
  <r>
    <x v="0"/>
    <x v="0"/>
    <x v="0"/>
    <x v="4"/>
    <x v="5"/>
    <s v="LV_A"/>
    <x v="7"/>
    <x v="7"/>
    <s v="Keguma-HPP-2"/>
    <x v="11"/>
    <x v="7"/>
    <n v="156.80147539177901"/>
    <n v="9538.7564196665699"/>
    <n v="34339.523110799702"/>
  </r>
  <r>
    <x v="0"/>
    <x v="0"/>
    <x v="0"/>
    <x v="4"/>
    <x v="5"/>
    <s v="LV_A"/>
    <x v="7"/>
    <x v="7"/>
    <s v="Keguma-HPP-2"/>
    <x v="11"/>
    <x v="8"/>
    <n v="190"/>
    <n v="11558.333333333299"/>
    <n v="41610"/>
  </r>
  <r>
    <x v="0"/>
    <x v="0"/>
    <x v="0"/>
    <x v="4"/>
    <x v="5"/>
    <s v="LV_A"/>
    <x v="7"/>
    <x v="7"/>
    <s v="Keguma-HPP-2"/>
    <x v="11"/>
    <x v="9"/>
    <n v="190"/>
    <n v="11558.333333333299"/>
    <n v="41610"/>
  </r>
  <r>
    <x v="0"/>
    <x v="0"/>
    <x v="0"/>
    <x v="4"/>
    <x v="5"/>
    <s v="LV_A"/>
    <x v="7"/>
    <x v="7"/>
    <s v="Keguma-HPP-2"/>
    <x v="11"/>
    <x v="10"/>
    <n v="190"/>
    <n v="11558.333333333299"/>
    <n v="41610"/>
  </r>
  <r>
    <x v="0"/>
    <x v="0"/>
    <x v="0"/>
    <x v="4"/>
    <x v="5"/>
    <s v="LV_A"/>
    <x v="7"/>
    <x v="7"/>
    <s v="Keguma-HPP-2"/>
    <x v="11"/>
    <x v="11"/>
    <n v="190"/>
    <n v="11558.333333333299"/>
    <n v="41610"/>
  </r>
  <r>
    <x v="0"/>
    <x v="0"/>
    <x v="0"/>
    <x v="4"/>
    <x v="5"/>
    <s v="LV_A"/>
    <x v="7"/>
    <x v="6"/>
    <s v="NEW-HYDRO-LV"/>
    <x v="0"/>
    <x v="0"/>
    <n v="1.4144557212155"/>
    <n v="86.046056373943202"/>
    <n v="309.765802946196"/>
  </r>
  <r>
    <x v="0"/>
    <x v="0"/>
    <x v="0"/>
    <x v="4"/>
    <x v="5"/>
    <s v="LV_A"/>
    <x v="7"/>
    <x v="6"/>
    <s v="NEW-HYDRO-LV"/>
    <x v="0"/>
    <x v="1"/>
    <n v="1.4144557212155"/>
    <n v="86.046056373943202"/>
    <n v="309.765802946196"/>
  </r>
  <r>
    <x v="0"/>
    <x v="0"/>
    <x v="0"/>
    <x v="4"/>
    <x v="5"/>
    <s v="LV_A"/>
    <x v="7"/>
    <x v="6"/>
    <s v="NEW-HYDRO-LV"/>
    <x v="0"/>
    <x v="2"/>
    <n v="1.4144557212155"/>
    <n v="86.046056373943202"/>
    <n v="309.765802946196"/>
  </r>
  <r>
    <x v="0"/>
    <x v="0"/>
    <x v="0"/>
    <x v="4"/>
    <x v="5"/>
    <s v="LV_A"/>
    <x v="7"/>
    <x v="6"/>
    <s v="NEW-HYDRO-LV"/>
    <x v="0"/>
    <x v="3"/>
    <n v="1.4144557212155"/>
    <n v="86.046056373943202"/>
    <n v="309.765802946196"/>
  </r>
  <r>
    <x v="0"/>
    <x v="0"/>
    <x v="0"/>
    <x v="4"/>
    <x v="5"/>
    <s v="LV_A"/>
    <x v="7"/>
    <x v="6"/>
    <s v="NEW-HYDRO-LV"/>
    <x v="0"/>
    <x v="4"/>
    <n v="1.4144557212155"/>
    <n v="86.046056373943202"/>
    <n v="309.765802946196"/>
  </r>
  <r>
    <x v="0"/>
    <x v="0"/>
    <x v="0"/>
    <x v="4"/>
    <x v="5"/>
    <s v="LV_A"/>
    <x v="7"/>
    <x v="6"/>
    <s v="NEW-HYDRO-LV"/>
    <x v="0"/>
    <x v="5"/>
    <n v="1.4144557212155"/>
    <n v="86.046056373943202"/>
    <n v="309.765802946196"/>
  </r>
  <r>
    <x v="0"/>
    <x v="0"/>
    <x v="0"/>
    <x v="4"/>
    <x v="5"/>
    <s v="LV_A"/>
    <x v="7"/>
    <x v="6"/>
    <s v="NEW-HYDRO-LV"/>
    <x v="0"/>
    <x v="6"/>
    <n v="1.4144557212155"/>
    <n v="86.046056373943202"/>
    <n v="309.765802946196"/>
  </r>
  <r>
    <x v="0"/>
    <x v="0"/>
    <x v="0"/>
    <x v="4"/>
    <x v="5"/>
    <s v="LV_A"/>
    <x v="7"/>
    <x v="6"/>
    <s v="NEW-HYDRO-LV"/>
    <x v="0"/>
    <x v="7"/>
    <n v="1.4144557212155"/>
    <n v="86.046056373943202"/>
    <n v="309.765802946196"/>
  </r>
  <r>
    <x v="0"/>
    <x v="0"/>
    <x v="0"/>
    <x v="4"/>
    <x v="5"/>
    <s v="LV_A"/>
    <x v="7"/>
    <x v="6"/>
    <s v="NEW-HYDRO-LV"/>
    <x v="0"/>
    <x v="8"/>
    <n v="1.4144557212155"/>
    <n v="86.046056373943202"/>
    <n v="309.765802946196"/>
  </r>
  <r>
    <x v="0"/>
    <x v="0"/>
    <x v="0"/>
    <x v="4"/>
    <x v="5"/>
    <s v="LV_A"/>
    <x v="7"/>
    <x v="6"/>
    <s v="NEW-HYDRO-LV"/>
    <x v="0"/>
    <x v="9"/>
    <n v="1.4144557212155"/>
    <n v="86.046056373943202"/>
    <n v="309.765802946196"/>
  </r>
  <r>
    <x v="0"/>
    <x v="0"/>
    <x v="0"/>
    <x v="4"/>
    <x v="5"/>
    <s v="LV_A"/>
    <x v="7"/>
    <x v="6"/>
    <s v="NEW-HYDRO-LV"/>
    <x v="0"/>
    <x v="10"/>
    <n v="1.4144557212155"/>
    <n v="86.046056373943202"/>
    <n v="309.765802946196"/>
  </r>
  <r>
    <x v="0"/>
    <x v="0"/>
    <x v="0"/>
    <x v="4"/>
    <x v="5"/>
    <s v="LV_A"/>
    <x v="7"/>
    <x v="6"/>
    <s v="NEW-HYDRO-LV"/>
    <x v="0"/>
    <x v="11"/>
    <n v="1.4144557212155"/>
    <n v="86.046056373943202"/>
    <n v="309.765802946196"/>
  </r>
  <r>
    <x v="0"/>
    <x v="0"/>
    <x v="0"/>
    <x v="4"/>
    <x v="5"/>
    <s v="LV_A"/>
    <x v="7"/>
    <x v="6"/>
    <s v="NEW-HYDRO-LV"/>
    <x v="1"/>
    <x v="0"/>
    <n v="1.4144557212155"/>
    <n v="86.046056373943202"/>
    <n v="309.765802946196"/>
  </r>
  <r>
    <x v="0"/>
    <x v="0"/>
    <x v="0"/>
    <x v="4"/>
    <x v="5"/>
    <s v="LV_A"/>
    <x v="7"/>
    <x v="6"/>
    <s v="NEW-HYDRO-LV"/>
    <x v="1"/>
    <x v="1"/>
    <n v="1.4144557212155"/>
    <n v="86.046056373943202"/>
    <n v="309.765802946196"/>
  </r>
  <r>
    <x v="0"/>
    <x v="0"/>
    <x v="0"/>
    <x v="4"/>
    <x v="5"/>
    <s v="LV_A"/>
    <x v="7"/>
    <x v="6"/>
    <s v="NEW-HYDRO-LV"/>
    <x v="1"/>
    <x v="2"/>
    <n v="1.4144557212155"/>
    <n v="86.046056373943202"/>
    <n v="309.765802946196"/>
  </r>
  <r>
    <x v="0"/>
    <x v="0"/>
    <x v="0"/>
    <x v="4"/>
    <x v="5"/>
    <s v="LV_A"/>
    <x v="7"/>
    <x v="6"/>
    <s v="NEW-HYDRO-LV"/>
    <x v="1"/>
    <x v="3"/>
    <n v="1.4144557212155"/>
    <n v="86.046056373943202"/>
    <n v="309.765802946196"/>
  </r>
  <r>
    <x v="0"/>
    <x v="0"/>
    <x v="0"/>
    <x v="4"/>
    <x v="5"/>
    <s v="LV_A"/>
    <x v="7"/>
    <x v="6"/>
    <s v="NEW-HYDRO-LV"/>
    <x v="1"/>
    <x v="4"/>
    <n v="1.4144557212155"/>
    <n v="86.046056373943202"/>
    <n v="309.765802946196"/>
  </r>
  <r>
    <x v="0"/>
    <x v="0"/>
    <x v="0"/>
    <x v="4"/>
    <x v="5"/>
    <s v="LV_A"/>
    <x v="7"/>
    <x v="6"/>
    <s v="NEW-HYDRO-LV"/>
    <x v="1"/>
    <x v="5"/>
    <n v="1.4144557212155"/>
    <n v="86.046056373943202"/>
    <n v="309.765802946196"/>
  </r>
  <r>
    <x v="0"/>
    <x v="0"/>
    <x v="0"/>
    <x v="4"/>
    <x v="5"/>
    <s v="LV_A"/>
    <x v="7"/>
    <x v="6"/>
    <s v="NEW-HYDRO-LV"/>
    <x v="1"/>
    <x v="6"/>
    <n v="1.4144557212155"/>
    <n v="86.046056373943202"/>
    <n v="309.765802946196"/>
  </r>
  <r>
    <x v="0"/>
    <x v="0"/>
    <x v="0"/>
    <x v="4"/>
    <x v="5"/>
    <s v="LV_A"/>
    <x v="7"/>
    <x v="6"/>
    <s v="NEW-HYDRO-LV"/>
    <x v="1"/>
    <x v="7"/>
    <n v="1.4144557212155"/>
    <n v="86.046056373943202"/>
    <n v="309.765802946196"/>
  </r>
  <r>
    <x v="0"/>
    <x v="0"/>
    <x v="0"/>
    <x v="4"/>
    <x v="5"/>
    <s v="LV_A"/>
    <x v="7"/>
    <x v="6"/>
    <s v="NEW-HYDRO-LV"/>
    <x v="1"/>
    <x v="8"/>
    <n v="1.4144557212155"/>
    <n v="86.046056373943202"/>
    <n v="309.765802946196"/>
  </r>
  <r>
    <x v="0"/>
    <x v="0"/>
    <x v="0"/>
    <x v="4"/>
    <x v="5"/>
    <s v="LV_A"/>
    <x v="7"/>
    <x v="6"/>
    <s v="NEW-HYDRO-LV"/>
    <x v="1"/>
    <x v="9"/>
    <n v="1.4144557212155"/>
    <n v="86.046056373943202"/>
    <n v="309.765802946196"/>
  </r>
  <r>
    <x v="0"/>
    <x v="0"/>
    <x v="0"/>
    <x v="4"/>
    <x v="5"/>
    <s v="LV_A"/>
    <x v="7"/>
    <x v="6"/>
    <s v="NEW-HYDRO-LV"/>
    <x v="1"/>
    <x v="10"/>
    <n v="1.4144557212155"/>
    <n v="86.046056373943202"/>
    <n v="309.765802946196"/>
  </r>
  <r>
    <x v="0"/>
    <x v="0"/>
    <x v="0"/>
    <x v="4"/>
    <x v="5"/>
    <s v="LV_A"/>
    <x v="7"/>
    <x v="6"/>
    <s v="NEW-HYDRO-LV"/>
    <x v="1"/>
    <x v="11"/>
    <n v="1.4144557212155"/>
    <n v="86.046056373943202"/>
    <n v="309.765802946196"/>
  </r>
  <r>
    <x v="0"/>
    <x v="0"/>
    <x v="0"/>
    <x v="4"/>
    <x v="5"/>
    <s v="LV_A"/>
    <x v="7"/>
    <x v="6"/>
    <s v="NEW-HYDRO-LV"/>
    <x v="2"/>
    <x v="0"/>
    <n v="1.4144557212155"/>
    <n v="86.046056373943202"/>
    <n v="309.765802946196"/>
  </r>
  <r>
    <x v="0"/>
    <x v="0"/>
    <x v="0"/>
    <x v="4"/>
    <x v="5"/>
    <s v="LV_A"/>
    <x v="7"/>
    <x v="6"/>
    <s v="NEW-HYDRO-LV"/>
    <x v="2"/>
    <x v="1"/>
    <n v="1.4144557212155"/>
    <n v="86.046056373943202"/>
    <n v="309.765802946196"/>
  </r>
  <r>
    <x v="0"/>
    <x v="0"/>
    <x v="0"/>
    <x v="4"/>
    <x v="5"/>
    <s v="LV_A"/>
    <x v="7"/>
    <x v="6"/>
    <s v="NEW-HYDRO-LV"/>
    <x v="2"/>
    <x v="2"/>
    <n v="1.4144557212155"/>
    <n v="86.046056373943202"/>
    <n v="309.765802946196"/>
  </r>
  <r>
    <x v="0"/>
    <x v="0"/>
    <x v="0"/>
    <x v="4"/>
    <x v="5"/>
    <s v="LV_A"/>
    <x v="7"/>
    <x v="6"/>
    <s v="NEW-HYDRO-LV"/>
    <x v="2"/>
    <x v="3"/>
    <n v="1.4144557212155"/>
    <n v="86.046056373943202"/>
    <n v="309.765802946196"/>
  </r>
  <r>
    <x v="0"/>
    <x v="0"/>
    <x v="0"/>
    <x v="4"/>
    <x v="5"/>
    <s v="LV_A"/>
    <x v="7"/>
    <x v="6"/>
    <s v="NEW-HYDRO-LV"/>
    <x v="2"/>
    <x v="4"/>
    <n v="1.4144557212155"/>
    <n v="86.046056373943202"/>
    <n v="309.765802946196"/>
  </r>
  <r>
    <x v="0"/>
    <x v="0"/>
    <x v="0"/>
    <x v="4"/>
    <x v="5"/>
    <s v="LV_A"/>
    <x v="7"/>
    <x v="6"/>
    <s v="NEW-HYDRO-LV"/>
    <x v="2"/>
    <x v="5"/>
    <n v="1.4144557212155"/>
    <n v="86.046056373943202"/>
    <n v="309.765802946196"/>
  </r>
  <r>
    <x v="0"/>
    <x v="0"/>
    <x v="0"/>
    <x v="4"/>
    <x v="5"/>
    <s v="LV_A"/>
    <x v="7"/>
    <x v="6"/>
    <s v="NEW-HYDRO-LV"/>
    <x v="2"/>
    <x v="6"/>
    <n v="1.4144557212155"/>
    <n v="86.046056373943202"/>
    <n v="309.765802946196"/>
  </r>
  <r>
    <x v="0"/>
    <x v="0"/>
    <x v="0"/>
    <x v="4"/>
    <x v="5"/>
    <s v="LV_A"/>
    <x v="7"/>
    <x v="6"/>
    <s v="NEW-HYDRO-LV"/>
    <x v="2"/>
    <x v="7"/>
    <n v="1.4144557212155"/>
    <n v="86.046056373943202"/>
    <n v="309.765802946196"/>
  </r>
  <r>
    <x v="0"/>
    <x v="0"/>
    <x v="0"/>
    <x v="4"/>
    <x v="5"/>
    <s v="LV_A"/>
    <x v="7"/>
    <x v="6"/>
    <s v="NEW-HYDRO-LV"/>
    <x v="2"/>
    <x v="8"/>
    <n v="1.4144557212155"/>
    <n v="86.046056373943202"/>
    <n v="309.765802946196"/>
  </r>
  <r>
    <x v="0"/>
    <x v="0"/>
    <x v="0"/>
    <x v="4"/>
    <x v="5"/>
    <s v="LV_A"/>
    <x v="7"/>
    <x v="6"/>
    <s v="NEW-HYDRO-LV"/>
    <x v="2"/>
    <x v="9"/>
    <n v="1.4144557212155"/>
    <n v="86.046056373943202"/>
    <n v="309.765802946196"/>
  </r>
  <r>
    <x v="0"/>
    <x v="0"/>
    <x v="0"/>
    <x v="4"/>
    <x v="5"/>
    <s v="LV_A"/>
    <x v="7"/>
    <x v="6"/>
    <s v="NEW-HYDRO-LV"/>
    <x v="2"/>
    <x v="10"/>
    <n v="1.4144557212155"/>
    <n v="86.046056373943202"/>
    <n v="309.765802946196"/>
  </r>
  <r>
    <x v="0"/>
    <x v="0"/>
    <x v="0"/>
    <x v="4"/>
    <x v="5"/>
    <s v="LV_A"/>
    <x v="7"/>
    <x v="6"/>
    <s v="NEW-HYDRO-LV"/>
    <x v="2"/>
    <x v="11"/>
    <n v="1.4144557212155"/>
    <n v="86.046056373943202"/>
    <n v="309.765802946196"/>
  </r>
  <r>
    <x v="0"/>
    <x v="0"/>
    <x v="0"/>
    <x v="4"/>
    <x v="5"/>
    <s v="LV_A"/>
    <x v="7"/>
    <x v="6"/>
    <s v="NEW-HYDRO-LV"/>
    <x v="3"/>
    <x v="0"/>
    <n v="1.4144557212155"/>
    <n v="86.046056373943202"/>
    <n v="309.765802946196"/>
  </r>
  <r>
    <x v="0"/>
    <x v="0"/>
    <x v="0"/>
    <x v="4"/>
    <x v="5"/>
    <s v="LV_A"/>
    <x v="7"/>
    <x v="6"/>
    <s v="NEW-HYDRO-LV"/>
    <x v="3"/>
    <x v="1"/>
    <n v="1.4144557212155"/>
    <n v="86.046056373943202"/>
    <n v="309.765802946196"/>
  </r>
  <r>
    <x v="0"/>
    <x v="0"/>
    <x v="0"/>
    <x v="4"/>
    <x v="5"/>
    <s v="LV_A"/>
    <x v="7"/>
    <x v="6"/>
    <s v="NEW-HYDRO-LV"/>
    <x v="3"/>
    <x v="2"/>
    <n v="1.4144557212155"/>
    <n v="86.046056373943202"/>
    <n v="309.765802946196"/>
  </r>
  <r>
    <x v="0"/>
    <x v="0"/>
    <x v="0"/>
    <x v="4"/>
    <x v="5"/>
    <s v="LV_A"/>
    <x v="7"/>
    <x v="6"/>
    <s v="NEW-HYDRO-LV"/>
    <x v="3"/>
    <x v="3"/>
    <n v="1.4144557212155"/>
    <n v="86.046056373943202"/>
    <n v="309.765802946196"/>
  </r>
  <r>
    <x v="0"/>
    <x v="0"/>
    <x v="0"/>
    <x v="4"/>
    <x v="5"/>
    <s v="LV_A"/>
    <x v="7"/>
    <x v="6"/>
    <s v="NEW-HYDRO-LV"/>
    <x v="3"/>
    <x v="4"/>
    <n v="1.4144557212155"/>
    <n v="86.046056373943202"/>
    <n v="309.765802946196"/>
  </r>
  <r>
    <x v="0"/>
    <x v="0"/>
    <x v="0"/>
    <x v="4"/>
    <x v="5"/>
    <s v="LV_A"/>
    <x v="7"/>
    <x v="6"/>
    <s v="NEW-HYDRO-LV"/>
    <x v="3"/>
    <x v="5"/>
    <n v="1.4144557212155"/>
    <n v="86.046056373943202"/>
    <n v="309.765802946196"/>
  </r>
  <r>
    <x v="0"/>
    <x v="0"/>
    <x v="0"/>
    <x v="4"/>
    <x v="5"/>
    <s v="LV_A"/>
    <x v="7"/>
    <x v="6"/>
    <s v="NEW-HYDRO-LV"/>
    <x v="3"/>
    <x v="6"/>
    <n v="1.4144557212155"/>
    <n v="86.046056373943202"/>
    <n v="309.765802946196"/>
  </r>
  <r>
    <x v="0"/>
    <x v="0"/>
    <x v="0"/>
    <x v="4"/>
    <x v="5"/>
    <s v="LV_A"/>
    <x v="7"/>
    <x v="6"/>
    <s v="NEW-HYDRO-LV"/>
    <x v="3"/>
    <x v="7"/>
    <n v="1.4144557212155"/>
    <n v="86.046056373943202"/>
    <n v="309.765802946196"/>
  </r>
  <r>
    <x v="0"/>
    <x v="0"/>
    <x v="0"/>
    <x v="4"/>
    <x v="5"/>
    <s v="LV_A"/>
    <x v="7"/>
    <x v="6"/>
    <s v="NEW-HYDRO-LV"/>
    <x v="3"/>
    <x v="8"/>
    <n v="1.4144557212155"/>
    <n v="86.046056373943202"/>
    <n v="309.765802946196"/>
  </r>
  <r>
    <x v="0"/>
    <x v="0"/>
    <x v="0"/>
    <x v="4"/>
    <x v="5"/>
    <s v="LV_A"/>
    <x v="7"/>
    <x v="6"/>
    <s v="NEW-HYDRO-LV"/>
    <x v="3"/>
    <x v="9"/>
    <n v="1.4144557212155"/>
    <n v="86.046056373943202"/>
    <n v="309.765802946196"/>
  </r>
  <r>
    <x v="0"/>
    <x v="0"/>
    <x v="0"/>
    <x v="4"/>
    <x v="5"/>
    <s v="LV_A"/>
    <x v="7"/>
    <x v="6"/>
    <s v="NEW-HYDRO-LV"/>
    <x v="3"/>
    <x v="10"/>
    <n v="1.4144557212155"/>
    <n v="86.046056373943202"/>
    <n v="309.765802946196"/>
  </r>
  <r>
    <x v="0"/>
    <x v="0"/>
    <x v="0"/>
    <x v="4"/>
    <x v="5"/>
    <s v="LV_A"/>
    <x v="7"/>
    <x v="6"/>
    <s v="NEW-HYDRO-LV"/>
    <x v="3"/>
    <x v="11"/>
    <n v="1.4144557212155"/>
    <n v="86.046056373943202"/>
    <n v="309.765802946196"/>
  </r>
  <r>
    <x v="0"/>
    <x v="0"/>
    <x v="0"/>
    <x v="4"/>
    <x v="5"/>
    <s v="LV_A"/>
    <x v="7"/>
    <x v="6"/>
    <s v="NEW-HYDRO-LV"/>
    <x v="4"/>
    <x v="0"/>
    <n v="1.2978958585967999"/>
    <n v="78.955331397971804"/>
    <n v="284.23919303269798"/>
  </r>
  <r>
    <x v="0"/>
    <x v="0"/>
    <x v="0"/>
    <x v="4"/>
    <x v="5"/>
    <s v="LV_A"/>
    <x v="7"/>
    <x v="6"/>
    <s v="NEW-HYDRO-LV"/>
    <x v="4"/>
    <x v="1"/>
    <n v="1.2978958585967999"/>
    <n v="78.955331397971804"/>
    <n v="284.23919303269798"/>
  </r>
  <r>
    <x v="0"/>
    <x v="0"/>
    <x v="0"/>
    <x v="4"/>
    <x v="5"/>
    <s v="LV_A"/>
    <x v="7"/>
    <x v="6"/>
    <s v="NEW-HYDRO-LV"/>
    <x v="4"/>
    <x v="2"/>
    <n v="1.2978958585967999"/>
    <n v="78.955331397971804"/>
    <n v="284.23919303269798"/>
  </r>
  <r>
    <x v="0"/>
    <x v="0"/>
    <x v="0"/>
    <x v="4"/>
    <x v="5"/>
    <s v="LV_A"/>
    <x v="7"/>
    <x v="6"/>
    <s v="NEW-HYDRO-LV"/>
    <x v="4"/>
    <x v="3"/>
    <n v="1.2978958585967999"/>
    <n v="78.955331397971804"/>
    <n v="284.23919303269798"/>
  </r>
  <r>
    <x v="0"/>
    <x v="0"/>
    <x v="0"/>
    <x v="4"/>
    <x v="5"/>
    <s v="LV_A"/>
    <x v="7"/>
    <x v="6"/>
    <s v="NEW-HYDRO-LV"/>
    <x v="4"/>
    <x v="4"/>
    <n v="1.2978958585967999"/>
    <n v="78.955331397971804"/>
    <n v="284.23919303269798"/>
  </r>
  <r>
    <x v="0"/>
    <x v="0"/>
    <x v="0"/>
    <x v="4"/>
    <x v="5"/>
    <s v="LV_A"/>
    <x v="7"/>
    <x v="6"/>
    <s v="NEW-HYDRO-LV"/>
    <x v="4"/>
    <x v="5"/>
    <n v="1.2978958585967999"/>
    <n v="78.955331397971804"/>
    <n v="284.23919303269798"/>
  </r>
  <r>
    <x v="0"/>
    <x v="0"/>
    <x v="0"/>
    <x v="4"/>
    <x v="5"/>
    <s v="LV_A"/>
    <x v="7"/>
    <x v="6"/>
    <s v="NEW-HYDRO-LV"/>
    <x v="4"/>
    <x v="6"/>
    <n v="1.2978958585967999"/>
    <n v="78.955331397971804"/>
    <n v="284.23919303269798"/>
  </r>
  <r>
    <x v="0"/>
    <x v="0"/>
    <x v="0"/>
    <x v="4"/>
    <x v="5"/>
    <s v="LV_A"/>
    <x v="7"/>
    <x v="6"/>
    <s v="NEW-HYDRO-LV"/>
    <x v="4"/>
    <x v="7"/>
    <n v="1.2978958585967999"/>
    <n v="78.955331397971804"/>
    <n v="284.23919303269798"/>
  </r>
  <r>
    <x v="0"/>
    <x v="0"/>
    <x v="0"/>
    <x v="4"/>
    <x v="5"/>
    <s v="LV_A"/>
    <x v="7"/>
    <x v="6"/>
    <s v="NEW-HYDRO-LV"/>
    <x v="4"/>
    <x v="8"/>
    <n v="1.2978958585967999"/>
    <n v="78.955331397971804"/>
    <n v="284.23919303269798"/>
  </r>
  <r>
    <x v="0"/>
    <x v="0"/>
    <x v="0"/>
    <x v="4"/>
    <x v="5"/>
    <s v="LV_A"/>
    <x v="7"/>
    <x v="6"/>
    <s v="NEW-HYDRO-LV"/>
    <x v="4"/>
    <x v="9"/>
    <n v="1.2978958585967999"/>
    <n v="78.955331397971804"/>
    <n v="284.23919303269798"/>
  </r>
  <r>
    <x v="0"/>
    <x v="0"/>
    <x v="0"/>
    <x v="4"/>
    <x v="5"/>
    <s v="LV_A"/>
    <x v="7"/>
    <x v="6"/>
    <s v="NEW-HYDRO-LV"/>
    <x v="4"/>
    <x v="10"/>
    <n v="1.2978958585967999"/>
    <n v="78.955331397971804"/>
    <n v="284.23919303269798"/>
  </r>
  <r>
    <x v="0"/>
    <x v="0"/>
    <x v="0"/>
    <x v="4"/>
    <x v="5"/>
    <s v="LV_A"/>
    <x v="7"/>
    <x v="6"/>
    <s v="NEW-HYDRO-LV"/>
    <x v="4"/>
    <x v="11"/>
    <n v="1.2978958585967999"/>
    <n v="78.955331397971804"/>
    <n v="284.23919303269798"/>
  </r>
  <r>
    <x v="0"/>
    <x v="0"/>
    <x v="0"/>
    <x v="4"/>
    <x v="5"/>
    <s v="LV_A"/>
    <x v="7"/>
    <x v="6"/>
    <s v="NEW-HYDRO-LV"/>
    <x v="5"/>
    <x v="0"/>
    <n v="1.20603492356674"/>
    <n v="73.367124516976901"/>
    <n v="264.121648261117"/>
  </r>
  <r>
    <x v="0"/>
    <x v="0"/>
    <x v="0"/>
    <x v="4"/>
    <x v="5"/>
    <s v="LV_A"/>
    <x v="7"/>
    <x v="6"/>
    <s v="NEW-HYDRO-LV"/>
    <x v="5"/>
    <x v="1"/>
    <n v="1.20603492356674"/>
    <n v="73.367124516976901"/>
    <n v="264.121648261117"/>
  </r>
  <r>
    <x v="0"/>
    <x v="0"/>
    <x v="0"/>
    <x v="4"/>
    <x v="5"/>
    <s v="LV_A"/>
    <x v="7"/>
    <x v="6"/>
    <s v="NEW-HYDRO-LV"/>
    <x v="5"/>
    <x v="2"/>
    <n v="1.20603492356674"/>
    <n v="73.367124516976901"/>
    <n v="264.121648261117"/>
  </r>
  <r>
    <x v="0"/>
    <x v="0"/>
    <x v="0"/>
    <x v="4"/>
    <x v="5"/>
    <s v="LV_A"/>
    <x v="7"/>
    <x v="6"/>
    <s v="NEW-HYDRO-LV"/>
    <x v="5"/>
    <x v="3"/>
    <n v="1.20603492356674"/>
    <n v="73.367124516976901"/>
    <n v="264.121648261117"/>
  </r>
  <r>
    <x v="0"/>
    <x v="0"/>
    <x v="0"/>
    <x v="4"/>
    <x v="5"/>
    <s v="LV_A"/>
    <x v="7"/>
    <x v="6"/>
    <s v="NEW-HYDRO-LV"/>
    <x v="5"/>
    <x v="4"/>
    <n v="1.20603492356674"/>
    <n v="73.367124516976901"/>
    <n v="264.121648261117"/>
  </r>
  <r>
    <x v="0"/>
    <x v="0"/>
    <x v="0"/>
    <x v="4"/>
    <x v="5"/>
    <s v="LV_A"/>
    <x v="7"/>
    <x v="6"/>
    <s v="NEW-HYDRO-LV"/>
    <x v="5"/>
    <x v="5"/>
    <n v="1.20603492356674"/>
    <n v="73.367124516976901"/>
    <n v="264.121648261117"/>
  </r>
  <r>
    <x v="0"/>
    <x v="0"/>
    <x v="0"/>
    <x v="4"/>
    <x v="5"/>
    <s v="LV_A"/>
    <x v="7"/>
    <x v="6"/>
    <s v="NEW-HYDRO-LV"/>
    <x v="5"/>
    <x v="6"/>
    <n v="1.20603492356674"/>
    <n v="73.367124516976901"/>
    <n v="264.121648261117"/>
  </r>
  <r>
    <x v="0"/>
    <x v="0"/>
    <x v="0"/>
    <x v="4"/>
    <x v="5"/>
    <s v="LV_A"/>
    <x v="7"/>
    <x v="6"/>
    <s v="NEW-HYDRO-LV"/>
    <x v="5"/>
    <x v="7"/>
    <n v="1.20603492356674"/>
    <n v="73.367124516976901"/>
    <n v="264.121648261117"/>
  </r>
  <r>
    <x v="0"/>
    <x v="0"/>
    <x v="0"/>
    <x v="4"/>
    <x v="5"/>
    <s v="LV_A"/>
    <x v="7"/>
    <x v="6"/>
    <s v="NEW-HYDRO-LV"/>
    <x v="5"/>
    <x v="8"/>
    <n v="1.20603492356674"/>
    <n v="73.367124516976901"/>
    <n v="264.121648261117"/>
  </r>
  <r>
    <x v="0"/>
    <x v="0"/>
    <x v="0"/>
    <x v="4"/>
    <x v="5"/>
    <s v="LV_A"/>
    <x v="7"/>
    <x v="6"/>
    <s v="NEW-HYDRO-LV"/>
    <x v="5"/>
    <x v="9"/>
    <n v="1.20603492356674"/>
    <n v="73.367124516976901"/>
    <n v="264.121648261117"/>
  </r>
  <r>
    <x v="0"/>
    <x v="0"/>
    <x v="0"/>
    <x v="4"/>
    <x v="5"/>
    <s v="LV_A"/>
    <x v="7"/>
    <x v="6"/>
    <s v="NEW-HYDRO-LV"/>
    <x v="5"/>
    <x v="10"/>
    <n v="1.20603492356674"/>
    <n v="73.367124516976901"/>
    <n v="264.121648261117"/>
  </r>
  <r>
    <x v="0"/>
    <x v="0"/>
    <x v="0"/>
    <x v="4"/>
    <x v="5"/>
    <s v="LV_A"/>
    <x v="7"/>
    <x v="6"/>
    <s v="NEW-HYDRO-LV"/>
    <x v="5"/>
    <x v="11"/>
    <n v="1.20603492356674"/>
    <n v="73.367124516976901"/>
    <n v="264.121648261117"/>
  </r>
  <r>
    <x v="0"/>
    <x v="0"/>
    <x v="0"/>
    <x v="4"/>
    <x v="5"/>
    <s v="LV_A"/>
    <x v="7"/>
    <x v="6"/>
    <s v="NEW-HYDRO-LV"/>
    <x v="6"/>
    <x v="0"/>
    <n v="1.20603492356674"/>
    <n v="73.367124516976901"/>
    <n v="264.121648261117"/>
  </r>
  <r>
    <x v="0"/>
    <x v="0"/>
    <x v="0"/>
    <x v="4"/>
    <x v="5"/>
    <s v="LV_A"/>
    <x v="7"/>
    <x v="6"/>
    <s v="NEW-HYDRO-LV"/>
    <x v="6"/>
    <x v="1"/>
    <n v="1.20603492356674"/>
    <n v="73.367124516976901"/>
    <n v="264.121648261117"/>
  </r>
  <r>
    <x v="0"/>
    <x v="0"/>
    <x v="0"/>
    <x v="4"/>
    <x v="5"/>
    <s v="LV_A"/>
    <x v="7"/>
    <x v="6"/>
    <s v="NEW-HYDRO-LV"/>
    <x v="6"/>
    <x v="2"/>
    <n v="1.20603492356674"/>
    <n v="73.367124516976901"/>
    <n v="264.121648261117"/>
  </r>
  <r>
    <x v="0"/>
    <x v="0"/>
    <x v="0"/>
    <x v="4"/>
    <x v="5"/>
    <s v="LV_A"/>
    <x v="7"/>
    <x v="6"/>
    <s v="NEW-HYDRO-LV"/>
    <x v="6"/>
    <x v="3"/>
    <n v="1.20603492356674"/>
    <n v="73.367124516976901"/>
    <n v="264.121648261117"/>
  </r>
  <r>
    <x v="0"/>
    <x v="0"/>
    <x v="0"/>
    <x v="4"/>
    <x v="5"/>
    <s v="LV_A"/>
    <x v="7"/>
    <x v="6"/>
    <s v="NEW-HYDRO-LV"/>
    <x v="6"/>
    <x v="4"/>
    <n v="1.20603492356674"/>
    <n v="73.367124516976901"/>
    <n v="264.121648261117"/>
  </r>
  <r>
    <x v="0"/>
    <x v="0"/>
    <x v="0"/>
    <x v="4"/>
    <x v="5"/>
    <s v="LV_A"/>
    <x v="7"/>
    <x v="6"/>
    <s v="NEW-HYDRO-LV"/>
    <x v="6"/>
    <x v="5"/>
    <n v="1.20603492356674"/>
    <n v="73.367124516976901"/>
    <n v="264.121648261117"/>
  </r>
  <r>
    <x v="0"/>
    <x v="0"/>
    <x v="0"/>
    <x v="4"/>
    <x v="5"/>
    <s v="LV_A"/>
    <x v="7"/>
    <x v="6"/>
    <s v="NEW-HYDRO-LV"/>
    <x v="6"/>
    <x v="6"/>
    <n v="1.20603492356674"/>
    <n v="73.367124516976901"/>
    <n v="264.121648261117"/>
  </r>
  <r>
    <x v="0"/>
    <x v="0"/>
    <x v="0"/>
    <x v="4"/>
    <x v="5"/>
    <s v="LV_A"/>
    <x v="7"/>
    <x v="6"/>
    <s v="NEW-HYDRO-LV"/>
    <x v="6"/>
    <x v="7"/>
    <n v="1.20603492356674"/>
    <n v="73.367124516976901"/>
    <n v="264.121648261117"/>
  </r>
  <r>
    <x v="0"/>
    <x v="0"/>
    <x v="0"/>
    <x v="4"/>
    <x v="5"/>
    <s v="LV_A"/>
    <x v="7"/>
    <x v="6"/>
    <s v="NEW-HYDRO-LV"/>
    <x v="6"/>
    <x v="8"/>
    <n v="1.20603492356674"/>
    <n v="73.367124516976901"/>
    <n v="264.121648261117"/>
  </r>
  <r>
    <x v="0"/>
    <x v="0"/>
    <x v="0"/>
    <x v="4"/>
    <x v="5"/>
    <s v="LV_A"/>
    <x v="7"/>
    <x v="6"/>
    <s v="NEW-HYDRO-LV"/>
    <x v="6"/>
    <x v="9"/>
    <n v="1.20603492356674"/>
    <n v="73.367124516976901"/>
    <n v="264.121648261117"/>
  </r>
  <r>
    <x v="0"/>
    <x v="0"/>
    <x v="0"/>
    <x v="4"/>
    <x v="5"/>
    <s v="LV_A"/>
    <x v="7"/>
    <x v="6"/>
    <s v="NEW-HYDRO-LV"/>
    <x v="6"/>
    <x v="10"/>
    <n v="1.20603492356674"/>
    <n v="73.367124516976901"/>
    <n v="264.121648261117"/>
  </r>
  <r>
    <x v="0"/>
    <x v="0"/>
    <x v="0"/>
    <x v="4"/>
    <x v="5"/>
    <s v="LV_A"/>
    <x v="7"/>
    <x v="6"/>
    <s v="NEW-HYDRO-LV"/>
    <x v="6"/>
    <x v="11"/>
    <n v="1.20603492356674"/>
    <n v="73.367124516976901"/>
    <n v="264.121648261117"/>
  </r>
  <r>
    <x v="0"/>
    <x v="0"/>
    <x v="0"/>
    <x v="4"/>
    <x v="5"/>
    <s v="LV_A"/>
    <x v="7"/>
    <x v="6"/>
    <s v="NEW-HYDRO-LV"/>
    <x v="7"/>
    <x v="0"/>
    <n v="1.20603492356674"/>
    <n v="73.367124516976901"/>
    <n v="264.121648261117"/>
  </r>
  <r>
    <x v="0"/>
    <x v="0"/>
    <x v="0"/>
    <x v="4"/>
    <x v="5"/>
    <s v="LV_A"/>
    <x v="7"/>
    <x v="6"/>
    <s v="NEW-HYDRO-LV"/>
    <x v="7"/>
    <x v="1"/>
    <n v="1.20603492356674"/>
    <n v="73.367124516976901"/>
    <n v="264.121648261117"/>
  </r>
  <r>
    <x v="0"/>
    <x v="0"/>
    <x v="0"/>
    <x v="4"/>
    <x v="5"/>
    <s v="LV_A"/>
    <x v="7"/>
    <x v="6"/>
    <s v="NEW-HYDRO-LV"/>
    <x v="7"/>
    <x v="2"/>
    <n v="1.20603492356674"/>
    <n v="73.367124516976901"/>
    <n v="264.121648261117"/>
  </r>
  <r>
    <x v="0"/>
    <x v="0"/>
    <x v="0"/>
    <x v="4"/>
    <x v="5"/>
    <s v="LV_A"/>
    <x v="7"/>
    <x v="6"/>
    <s v="NEW-HYDRO-LV"/>
    <x v="7"/>
    <x v="3"/>
    <n v="1.20603492356674"/>
    <n v="73.367124516976901"/>
    <n v="264.121648261117"/>
  </r>
  <r>
    <x v="0"/>
    <x v="0"/>
    <x v="0"/>
    <x v="4"/>
    <x v="5"/>
    <s v="LV_A"/>
    <x v="7"/>
    <x v="6"/>
    <s v="NEW-HYDRO-LV"/>
    <x v="7"/>
    <x v="4"/>
    <n v="1.20603492356674"/>
    <n v="73.367124516976901"/>
    <n v="264.121648261117"/>
  </r>
  <r>
    <x v="0"/>
    <x v="0"/>
    <x v="0"/>
    <x v="4"/>
    <x v="5"/>
    <s v="LV_A"/>
    <x v="7"/>
    <x v="6"/>
    <s v="NEW-HYDRO-LV"/>
    <x v="7"/>
    <x v="5"/>
    <n v="1.20603492356674"/>
    <n v="73.367124516976901"/>
    <n v="264.121648261117"/>
  </r>
  <r>
    <x v="0"/>
    <x v="0"/>
    <x v="0"/>
    <x v="4"/>
    <x v="5"/>
    <s v="LV_A"/>
    <x v="7"/>
    <x v="6"/>
    <s v="NEW-HYDRO-LV"/>
    <x v="7"/>
    <x v="6"/>
    <n v="1.20603492356674"/>
    <n v="73.367124516976901"/>
    <n v="264.121648261117"/>
  </r>
  <r>
    <x v="0"/>
    <x v="0"/>
    <x v="0"/>
    <x v="4"/>
    <x v="5"/>
    <s v="LV_A"/>
    <x v="7"/>
    <x v="6"/>
    <s v="NEW-HYDRO-LV"/>
    <x v="7"/>
    <x v="7"/>
    <n v="1.20603492356674"/>
    <n v="73.367124516976901"/>
    <n v="264.121648261117"/>
  </r>
  <r>
    <x v="0"/>
    <x v="0"/>
    <x v="0"/>
    <x v="4"/>
    <x v="5"/>
    <s v="LV_A"/>
    <x v="7"/>
    <x v="6"/>
    <s v="NEW-HYDRO-LV"/>
    <x v="7"/>
    <x v="8"/>
    <n v="1.20603492356674"/>
    <n v="73.367124516976901"/>
    <n v="264.121648261117"/>
  </r>
  <r>
    <x v="0"/>
    <x v="0"/>
    <x v="0"/>
    <x v="4"/>
    <x v="5"/>
    <s v="LV_A"/>
    <x v="7"/>
    <x v="6"/>
    <s v="NEW-HYDRO-LV"/>
    <x v="7"/>
    <x v="9"/>
    <n v="1.20603492356674"/>
    <n v="73.367124516976901"/>
    <n v="264.121648261117"/>
  </r>
  <r>
    <x v="0"/>
    <x v="0"/>
    <x v="0"/>
    <x v="4"/>
    <x v="5"/>
    <s v="LV_A"/>
    <x v="7"/>
    <x v="6"/>
    <s v="NEW-HYDRO-LV"/>
    <x v="7"/>
    <x v="10"/>
    <n v="1.20603492356674"/>
    <n v="73.367124516976901"/>
    <n v="264.121648261117"/>
  </r>
  <r>
    <x v="0"/>
    <x v="0"/>
    <x v="0"/>
    <x v="4"/>
    <x v="5"/>
    <s v="LV_A"/>
    <x v="7"/>
    <x v="6"/>
    <s v="NEW-HYDRO-LV"/>
    <x v="7"/>
    <x v="11"/>
    <n v="1.20603492356674"/>
    <n v="73.367124516976901"/>
    <n v="264.121648261117"/>
  </r>
  <r>
    <x v="0"/>
    <x v="0"/>
    <x v="0"/>
    <x v="4"/>
    <x v="5"/>
    <s v="LV_A"/>
    <x v="7"/>
    <x v="6"/>
    <s v="NEW-HYDRO-LV"/>
    <x v="8"/>
    <x v="0"/>
    <n v="1.9678666884493401"/>
    <n v="119.711890214001"/>
    <n v="430.962804770405"/>
  </r>
  <r>
    <x v="0"/>
    <x v="0"/>
    <x v="0"/>
    <x v="4"/>
    <x v="5"/>
    <s v="LV_A"/>
    <x v="7"/>
    <x v="6"/>
    <s v="NEW-HYDRO-LV"/>
    <x v="8"/>
    <x v="1"/>
    <n v="1.9678666884493401"/>
    <n v="119.711890214001"/>
    <n v="430.962804770405"/>
  </r>
  <r>
    <x v="0"/>
    <x v="0"/>
    <x v="0"/>
    <x v="4"/>
    <x v="5"/>
    <s v="LV_A"/>
    <x v="7"/>
    <x v="6"/>
    <s v="NEW-HYDRO-LV"/>
    <x v="8"/>
    <x v="2"/>
    <n v="1.9678666884493401"/>
    <n v="119.711890214001"/>
    <n v="430.962804770405"/>
  </r>
  <r>
    <x v="0"/>
    <x v="0"/>
    <x v="0"/>
    <x v="4"/>
    <x v="5"/>
    <s v="LV_A"/>
    <x v="7"/>
    <x v="6"/>
    <s v="NEW-HYDRO-LV"/>
    <x v="8"/>
    <x v="3"/>
    <n v="1.9678666884493401"/>
    <n v="119.711890214001"/>
    <n v="430.962804770405"/>
  </r>
  <r>
    <x v="0"/>
    <x v="0"/>
    <x v="0"/>
    <x v="4"/>
    <x v="5"/>
    <s v="LV_A"/>
    <x v="7"/>
    <x v="6"/>
    <s v="NEW-HYDRO-LV"/>
    <x v="8"/>
    <x v="4"/>
    <n v="1.9678666884493401"/>
    <n v="119.711890214001"/>
    <n v="430.962804770405"/>
  </r>
  <r>
    <x v="0"/>
    <x v="0"/>
    <x v="0"/>
    <x v="4"/>
    <x v="5"/>
    <s v="LV_A"/>
    <x v="7"/>
    <x v="6"/>
    <s v="NEW-HYDRO-LV"/>
    <x v="8"/>
    <x v="5"/>
    <n v="1.9678666884493401"/>
    <n v="119.711890214001"/>
    <n v="430.962804770405"/>
  </r>
  <r>
    <x v="0"/>
    <x v="0"/>
    <x v="0"/>
    <x v="4"/>
    <x v="5"/>
    <s v="LV_A"/>
    <x v="7"/>
    <x v="6"/>
    <s v="NEW-HYDRO-LV"/>
    <x v="8"/>
    <x v="6"/>
    <n v="1.9678666884493401"/>
    <n v="119.711890214001"/>
    <n v="430.962804770405"/>
  </r>
  <r>
    <x v="0"/>
    <x v="0"/>
    <x v="0"/>
    <x v="4"/>
    <x v="5"/>
    <s v="LV_A"/>
    <x v="7"/>
    <x v="6"/>
    <s v="NEW-HYDRO-LV"/>
    <x v="8"/>
    <x v="7"/>
    <n v="1.9678666884493401"/>
    <n v="119.711890214001"/>
    <n v="430.962804770405"/>
  </r>
  <r>
    <x v="0"/>
    <x v="0"/>
    <x v="0"/>
    <x v="4"/>
    <x v="5"/>
    <s v="LV_A"/>
    <x v="7"/>
    <x v="6"/>
    <s v="NEW-HYDRO-LV"/>
    <x v="8"/>
    <x v="8"/>
    <n v="1.9678666884493401"/>
    <n v="119.711890214001"/>
    <n v="430.962804770405"/>
  </r>
  <r>
    <x v="0"/>
    <x v="0"/>
    <x v="0"/>
    <x v="4"/>
    <x v="5"/>
    <s v="LV_A"/>
    <x v="7"/>
    <x v="6"/>
    <s v="NEW-HYDRO-LV"/>
    <x v="8"/>
    <x v="9"/>
    <n v="1.9678666884493401"/>
    <n v="119.711890214001"/>
    <n v="430.962804770405"/>
  </r>
  <r>
    <x v="0"/>
    <x v="0"/>
    <x v="0"/>
    <x v="4"/>
    <x v="5"/>
    <s v="LV_A"/>
    <x v="7"/>
    <x v="6"/>
    <s v="NEW-HYDRO-LV"/>
    <x v="8"/>
    <x v="10"/>
    <n v="1.9678666884493401"/>
    <n v="119.711890214001"/>
    <n v="430.962804770405"/>
  </r>
  <r>
    <x v="0"/>
    <x v="0"/>
    <x v="0"/>
    <x v="4"/>
    <x v="5"/>
    <s v="LV_A"/>
    <x v="7"/>
    <x v="6"/>
    <s v="NEW-HYDRO-LV"/>
    <x v="8"/>
    <x v="11"/>
    <n v="1.9678666884493401"/>
    <n v="119.711890214001"/>
    <n v="430.962804770405"/>
  </r>
  <r>
    <x v="0"/>
    <x v="0"/>
    <x v="0"/>
    <x v="4"/>
    <x v="5"/>
    <s v="LV_A"/>
    <x v="7"/>
    <x v="6"/>
    <s v="NEW-HYDRO-LV"/>
    <x v="9"/>
    <x v="0"/>
    <n v="2.5728612566647802"/>
    <n v="156.51572644710799"/>
    <n v="563.45661520958799"/>
  </r>
  <r>
    <x v="0"/>
    <x v="0"/>
    <x v="0"/>
    <x v="4"/>
    <x v="5"/>
    <s v="LV_A"/>
    <x v="7"/>
    <x v="6"/>
    <s v="NEW-HYDRO-LV"/>
    <x v="9"/>
    <x v="1"/>
    <n v="2.5728612566647802"/>
    <n v="156.51572644710799"/>
    <n v="563.45661520958799"/>
  </r>
  <r>
    <x v="0"/>
    <x v="0"/>
    <x v="0"/>
    <x v="4"/>
    <x v="5"/>
    <s v="LV_A"/>
    <x v="7"/>
    <x v="6"/>
    <s v="NEW-HYDRO-LV"/>
    <x v="9"/>
    <x v="2"/>
    <n v="2.5728612566647802"/>
    <n v="156.51572644710799"/>
    <n v="563.45661520958799"/>
  </r>
  <r>
    <x v="0"/>
    <x v="0"/>
    <x v="0"/>
    <x v="4"/>
    <x v="5"/>
    <s v="LV_A"/>
    <x v="7"/>
    <x v="6"/>
    <s v="NEW-HYDRO-LV"/>
    <x v="9"/>
    <x v="3"/>
    <n v="2.5728612566647802"/>
    <n v="156.51572644710799"/>
    <n v="563.45661520958799"/>
  </r>
  <r>
    <x v="0"/>
    <x v="0"/>
    <x v="0"/>
    <x v="4"/>
    <x v="5"/>
    <s v="LV_A"/>
    <x v="7"/>
    <x v="6"/>
    <s v="NEW-HYDRO-LV"/>
    <x v="9"/>
    <x v="4"/>
    <n v="2.5728612566647802"/>
    <n v="156.51572644710799"/>
    <n v="563.45661520958799"/>
  </r>
  <r>
    <x v="0"/>
    <x v="0"/>
    <x v="0"/>
    <x v="4"/>
    <x v="5"/>
    <s v="LV_A"/>
    <x v="7"/>
    <x v="6"/>
    <s v="NEW-HYDRO-LV"/>
    <x v="9"/>
    <x v="5"/>
    <n v="2.5728612566647802"/>
    <n v="156.51572644710799"/>
    <n v="563.45661520958799"/>
  </r>
  <r>
    <x v="0"/>
    <x v="0"/>
    <x v="0"/>
    <x v="4"/>
    <x v="5"/>
    <s v="LV_A"/>
    <x v="7"/>
    <x v="6"/>
    <s v="NEW-HYDRO-LV"/>
    <x v="9"/>
    <x v="6"/>
    <n v="2.5728612566647802"/>
    <n v="156.51572644710799"/>
    <n v="563.45661520958799"/>
  </r>
  <r>
    <x v="0"/>
    <x v="0"/>
    <x v="0"/>
    <x v="4"/>
    <x v="5"/>
    <s v="LV_A"/>
    <x v="7"/>
    <x v="6"/>
    <s v="NEW-HYDRO-LV"/>
    <x v="9"/>
    <x v="7"/>
    <n v="2.5728612566647802"/>
    <n v="156.51572644710799"/>
    <n v="563.45661520958799"/>
  </r>
  <r>
    <x v="0"/>
    <x v="0"/>
    <x v="0"/>
    <x v="4"/>
    <x v="5"/>
    <s v="LV_A"/>
    <x v="7"/>
    <x v="6"/>
    <s v="NEW-HYDRO-LV"/>
    <x v="9"/>
    <x v="8"/>
    <n v="2.5728612566647802"/>
    <n v="156.51572644710799"/>
    <n v="563.45661520958799"/>
  </r>
  <r>
    <x v="0"/>
    <x v="0"/>
    <x v="0"/>
    <x v="4"/>
    <x v="5"/>
    <s v="LV_A"/>
    <x v="7"/>
    <x v="6"/>
    <s v="NEW-HYDRO-LV"/>
    <x v="9"/>
    <x v="9"/>
    <n v="2.5728612566647802"/>
    <n v="156.51572644710799"/>
    <n v="563.45661520958799"/>
  </r>
  <r>
    <x v="0"/>
    <x v="0"/>
    <x v="0"/>
    <x v="4"/>
    <x v="5"/>
    <s v="LV_A"/>
    <x v="7"/>
    <x v="6"/>
    <s v="NEW-HYDRO-LV"/>
    <x v="9"/>
    <x v="10"/>
    <n v="2.5728612566647802"/>
    <n v="156.51572644710799"/>
    <n v="563.45661520958799"/>
  </r>
  <r>
    <x v="0"/>
    <x v="0"/>
    <x v="0"/>
    <x v="4"/>
    <x v="5"/>
    <s v="LV_A"/>
    <x v="7"/>
    <x v="6"/>
    <s v="NEW-HYDRO-LV"/>
    <x v="9"/>
    <x v="11"/>
    <n v="2.5728612566647802"/>
    <n v="156.51572644710799"/>
    <n v="563.45661520958799"/>
  </r>
  <r>
    <x v="0"/>
    <x v="0"/>
    <x v="0"/>
    <x v="4"/>
    <x v="5"/>
    <s v="LV_A"/>
    <x v="7"/>
    <x v="6"/>
    <s v="NEW-HYDRO-LV"/>
    <x v="10"/>
    <x v="0"/>
    <n v="2.5728612566647802"/>
    <n v="156.51572644710799"/>
    <n v="563.45661520958799"/>
  </r>
  <r>
    <x v="0"/>
    <x v="0"/>
    <x v="0"/>
    <x v="4"/>
    <x v="5"/>
    <s v="LV_A"/>
    <x v="7"/>
    <x v="6"/>
    <s v="NEW-HYDRO-LV"/>
    <x v="10"/>
    <x v="1"/>
    <n v="2.5728612566647802"/>
    <n v="156.51572644710799"/>
    <n v="563.45661520958799"/>
  </r>
  <r>
    <x v="0"/>
    <x v="0"/>
    <x v="0"/>
    <x v="4"/>
    <x v="5"/>
    <s v="LV_A"/>
    <x v="7"/>
    <x v="6"/>
    <s v="NEW-HYDRO-LV"/>
    <x v="10"/>
    <x v="2"/>
    <n v="2.5728612566647802"/>
    <n v="156.51572644710799"/>
    <n v="563.45661520958799"/>
  </r>
  <r>
    <x v="0"/>
    <x v="0"/>
    <x v="0"/>
    <x v="4"/>
    <x v="5"/>
    <s v="LV_A"/>
    <x v="7"/>
    <x v="6"/>
    <s v="NEW-HYDRO-LV"/>
    <x v="10"/>
    <x v="3"/>
    <n v="2.5728612566647802"/>
    <n v="156.51572644710799"/>
    <n v="563.45661520958799"/>
  </r>
  <r>
    <x v="0"/>
    <x v="0"/>
    <x v="0"/>
    <x v="4"/>
    <x v="5"/>
    <s v="LV_A"/>
    <x v="7"/>
    <x v="6"/>
    <s v="NEW-HYDRO-LV"/>
    <x v="10"/>
    <x v="4"/>
    <n v="2.5728612566647802"/>
    <n v="156.51572644710799"/>
    <n v="563.45661520958799"/>
  </r>
  <r>
    <x v="0"/>
    <x v="0"/>
    <x v="0"/>
    <x v="4"/>
    <x v="5"/>
    <s v="LV_A"/>
    <x v="7"/>
    <x v="6"/>
    <s v="NEW-HYDRO-LV"/>
    <x v="10"/>
    <x v="5"/>
    <n v="2.5728612566647802"/>
    <n v="156.51572644710799"/>
    <n v="563.45661520958799"/>
  </r>
  <r>
    <x v="0"/>
    <x v="0"/>
    <x v="0"/>
    <x v="4"/>
    <x v="5"/>
    <s v="LV_A"/>
    <x v="7"/>
    <x v="6"/>
    <s v="NEW-HYDRO-LV"/>
    <x v="10"/>
    <x v="6"/>
    <n v="2.5728612566647802"/>
    <n v="156.51572644710799"/>
    <n v="563.45661520958799"/>
  </r>
  <r>
    <x v="0"/>
    <x v="0"/>
    <x v="0"/>
    <x v="4"/>
    <x v="5"/>
    <s v="LV_A"/>
    <x v="7"/>
    <x v="6"/>
    <s v="NEW-HYDRO-LV"/>
    <x v="10"/>
    <x v="7"/>
    <n v="2.5728612566647802"/>
    <n v="156.51572644710799"/>
    <n v="563.45661520958799"/>
  </r>
  <r>
    <x v="0"/>
    <x v="0"/>
    <x v="0"/>
    <x v="4"/>
    <x v="5"/>
    <s v="LV_A"/>
    <x v="7"/>
    <x v="6"/>
    <s v="NEW-HYDRO-LV"/>
    <x v="10"/>
    <x v="8"/>
    <n v="2.5728612566647802"/>
    <n v="156.51572644710799"/>
    <n v="563.45661520958799"/>
  </r>
  <r>
    <x v="0"/>
    <x v="0"/>
    <x v="0"/>
    <x v="4"/>
    <x v="5"/>
    <s v="LV_A"/>
    <x v="7"/>
    <x v="6"/>
    <s v="NEW-HYDRO-LV"/>
    <x v="10"/>
    <x v="9"/>
    <n v="2.5728612566647802"/>
    <n v="156.51572644710799"/>
    <n v="563.45661520958799"/>
  </r>
  <r>
    <x v="0"/>
    <x v="0"/>
    <x v="0"/>
    <x v="4"/>
    <x v="5"/>
    <s v="LV_A"/>
    <x v="7"/>
    <x v="6"/>
    <s v="NEW-HYDRO-LV"/>
    <x v="10"/>
    <x v="10"/>
    <n v="2.5728612566647802"/>
    <n v="156.51572644710799"/>
    <n v="563.45661520958799"/>
  </r>
  <r>
    <x v="0"/>
    <x v="0"/>
    <x v="0"/>
    <x v="4"/>
    <x v="5"/>
    <s v="LV_A"/>
    <x v="7"/>
    <x v="6"/>
    <s v="NEW-HYDRO-LV"/>
    <x v="10"/>
    <x v="11"/>
    <n v="2.5728612566647802"/>
    <n v="156.51572644710799"/>
    <n v="563.45661520958799"/>
  </r>
  <r>
    <x v="0"/>
    <x v="0"/>
    <x v="0"/>
    <x v="4"/>
    <x v="5"/>
    <s v="LV_A"/>
    <x v="7"/>
    <x v="6"/>
    <s v="NEW-HYDRO-LV"/>
    <x v="11"/>
    <x v="0"/>
    <n v="2.5728612566647802"/>
    <n v="156.51572644710799"/>
    <n v="563.45661520958799"/>
  </r>
  <r>
    <x v="0"/>
    <x v="0"/>
    <x v="0"/>
    <x v="4"/>
    <x v="5"/>
    <s v="LV_A"/>
    <x v="7"/>
    <x v="6"/>
    <s v="NEW-HYDRO-LV"/>
    <x v="11"/>
    <x v="1"/>
    <n v="2.5728612566647802"/>
    <n v="156.51572644710799"/>
    <n v="563.45661520958799"/>
  </r>
  <r>
    <x v="0"/>
    <x v="0"/>
    <x v="0"/>
    <x v="4"/>
    <x v="5"/>
    <s v="LV_A"/>
    <x v="7"/>
    <x v="6"/>
    <s v="NEW-HYDRO-LV"/>
    <x v="11"/>
    <x v="2"/>
    <n v="2.5728612566647802"/>
    <n v="156.51572644710799"/>
    <n v="563.45661520958799"/>
  </r>
  <r>
    <x v="0"/>
    <x v="0"/>
    <x v="0"/>
    <x v="4"/>
    <x v="5"/>
    <s v="LV_A"/>
    <x v="7"/>
    <x v="6"/>
    <s v="NEW-HYDRO-LV"/>
    <x v="11"/>
    <x v="3"/>
    <n v="2.5728612566647802"/>
    <n v="156.51572644710799"/>
    <n v="563.45661520958799"/>
  </r>
  <r>
    <x v="0"/>
    <x v="0"/>
    <x v="0"/>
    <x v="4"/>
    <x v="5"/>
    <s v="LV_A"/>
    <x v="7"/>
    <x v="6"/>
    <s v="NEW-HYDRO-LV"/>
    <x v="11"/>
    <x v="4"/>
    <n v="2.5728612566647802"/>
    <n v="156.51572644710799"/>
    <n v="563.45661520958799"/>
  </r>
  <r>
    <x v="0"/>
    <x v="0"/>
    <x v="0"/>
    <x v="4"/>
    <x v="5"/>
    <s v="LV_A"/>
    <x v="7"/>
    <x v="6"/>
    <s v="NEW-HYDRO-LV"/>
    <x v="11"/>
    <x v="5"/>
    <n v="2.5728612566647802"/>
    <n v="156.51572644710799"/>
    <n v="563.45661520958799"/>
  </r>
  <r>
    <x v="0"/>
    <x v="0"/>
    <x v="0"/>
    <x v="4"/>
    <x v="5"/>
    <s v="LV_A"/>
    <x v="7"/>
    <x v="6"/>
    <s v="NEW-HYDRO-LV"/>
    <x v="11"/>
    <x v="6"/>
    <n v="2.5728612566647802"/>
    <n v="156.51572644710799"/>
    <n v="563.45661520958799"/>
  </r>
  <r>
    <x v="0"/>
    <x v="0"/>
    <x v="0"/>
    <x v="4"/>
    <x v="5"/>
    <s v="LV_A"/>
    <x v="7"/>
    <x v="6"/>
    <s v="NEW-HYDRO-LV"/>
    <x v="11"/>
    <x v="7"/>
    <n v="2.5728612566647802"/>
    <n v="156.51572644710799"/>
    <n v="563.45661520958799"/>
  </r>
  <r>
    <x v="0"/>
    <x v="0"/>
    <x v="0"/>
    <x v="4"/>
    <x v="5"/>
    <s v="LV_A"/>
    <x v="7"/>
    <x v="6"/>
    <s v="NEW-HYDRO-LV"/>
    <x v="11"/>
    <x v="8"/>
    <n v="2.5728612566647802"/>
    <n v="156.51572644710799"/>
    <n v="563.45661520958799"/>
  </r>
  <r>
    <x v="0"/>
    <x v="0"/>
    <x v="0"/>
    <x v="4"/>
    <x v="5"/>
    <s v="LV_A"/>
    <x v="7"/>
    <x v="6"/>
    <s v="NEW-HYDRO-LV"/>
    <x v="11"/>
    <x v="9"/>
    <n v="2.5728612566647802"/>
    <n v="156.51572644710799"/>
    <n v="563.45661520958799"/>
  </r>
  <r>
    <x v="0"/>
    <x v="0"/>
    <x v="0"/>
    <x v="4"/>
    <x v="5"/>
    <s v="LV_A"/>
    <x v="7"/>
    <x v="6"/>
    <s v="NEW-HYDRO-LV"/>
    <x v="11"/>
    <x v="10"/>
    <n v="2.5728612566647802"/>
    <n v="156.51572644710799"/>
    <n v="563.45661520958799"/>
  </r>
  <r>
    <x v="0"/>
    <x v="0"/>
    <x v="0"/>
    <x v="4"/>
    <x v="5"/>
    <s v="LV_A"/>
    <x v="7"/>
    <x v="6"/>
    <s v="NEW-HYDRO-LV"/>
    <x v="11"/>
    <x v="11"/>
    <n v="2.5728612566647802"/>
    <n v="156.51572644710799"/>
    <n v="563.45661520958799"/>
  </r>
  <r>
    <x v="0"/>
    <x v="0"/>
    <x v="0"/>
    <x v="4"/>
    <x v="5"/>
    <s v="LV_A"/>
    <x v="7"/>
    <x v="7"/>
    <s v="Planivas-HPP"/>
    <x v="1"/>
    <x v="7"/>
    <n v="49.279416278828798"/>
    <n v="2997.8311569620801"/>
    <n v="10792.192165063499"/>
  </r>
  <r>
    <x v="0"/>
    <x v="0"/>
    <x v="0"/>
    <x v="4"/>
    <x v="5"/>
    <s v="LV_A"/>
    <x v="7"/>
    <x v="7"/>
    <s v="Planivas-HPP"/>
    <x v="1"/>
    <x v="8"/>
    <n v="314.05306390898102"/>
    <n v="19104.894721129702"/>
    <n v="68777.620996066806"/>
  </r>
  <r>
    <x v="0"/>
    <x v="0"/>
    <x v="0"/>
    <x v="4"/>
    <x v="5"/>
    <s v="LV_A"/>
    <x v="7"/>
    <x v="7"/>
    <s v="Planivas-HPP"/>
    <x v="1"/>
    <x v="9"/>
    <n v="531.55710610427695"/>
    <n v="32336.3906213435"/>
    <n v="116411.006236837"/>
  </r>
  <r>
    <x v="0"/>
    <x v="0"/>
    <x v="0"/>
    <x v="4"/>
    <x v="5"/>
    <s v="LV_A"/>
    <x v="7"/>
    <x v="7"/>
    <s v="Planivas-HPP"/>
    <x v="1"/>
    <x v="10"/>
    <n v="554.05508212667803"/>
    <n v="33705.017496039603"/>
    <n v="121338.062985742"/>
  </r>
  <r>
    <x v="0"/>
    <x v="0"/>
    <x v="0"/>
    <x v="4"/>
    <x v="5"/>
    <s v="LV_A"/>
    <x v="7"/>
    <x v="7"/>
    <s v="Planivas-HPP"/>
    <x v="1"/>
    <x v="11"/>
    <n v="520.04929207497003"/>
    <n v="31636.331934560701"/>
    <n v="113890.794964418"/>
  </r>
  <r>
    <x v="0"/>
    <x v="0"/>
    <x v="0"/>
    <x v="4"/>
    <x v="5"/>
    <s v="LV_A"/>
    <x v="7"/>
    <x v="7"/>
    <s v="Planivas-HPP"/>
    <x v="2"/>
    <x v="7"/>
    <n v="51.435417666976697"/>
    <n v="3128.9879080744199"/>
    <n v="11264.3564690679"/>
  </r>
  <r>
    <x v="0"/>
    <x v="0"/>
    <x v="0"/>
    <x v="4"/>
    <x v="5"/>
    <s v="LV_A"/>
    <x v="7"/>
    <x v="7"/>
    <s v="Planivas-HPP"/>
    <x v="2"/>
    <x v="8"/>
    <n v="279.51029409699299"/>
    <n v="17003.5428909004"/>
    <n v="61212.754407241497"/>
  </r>
  <r>
    <x v="0"/>
    <x v="0"/>
    <x v="0"/>
    <x v="4"/>
    <x v="5"/>
    <s v="LV_A"/>
    <x v="7"/>
    <x v="7"/>
    <s v="Planivas-HPP"/>
    <x v="2"/>
    <x v="9"/>
    <n v="20.914938185982201"/>
    <n v="1272.32540631392"/>
    <n v="4580.3714627300997"/>
  </r>
  <r>
    <x v="0"/>
    <x v="0"/>
    <x v="0"/>
    <x v="4"/>
    <x v="5"/>
    <s v="LV_A"/>
    <x v="7"/>
    <x v="7"/>
    <s v="Planivas-HPP"/>
    <x v="2"/>
    <x v="10"/>
    <n v="70.651422209935305"/>
    <n v="4297.9615177710702"/>
    <n v="15472.661463975801"/>
  </r>
  <r>
    <x v="0"/>
    <x v="0"/>
    <x v="0"/>
    <x v="4"/>
    <x v="5"/>
    <s v="LV_A"/>
    <x v="7"/>
    <x v="7"/>
    <s v="Planivas-HPP"/>
    <x v="2"/>
    <x v="11"/>
    <n v="63.126023989766097"/>
    <n v="3840.1664593774299"/>
    <n v="13824.599253758801"/>
  </r>
  <r>
    <x v="0"/>
    <x v="0"/>
    <x v="0"/>
    <x v="4"/>
    <x v="5"/>
    <s v="LV_A"/>
    <x v="7"/>
    <x v="7"/>
    <s v="Planivas-HPP"/>
    <x v="3"/>
    <x v="6"/>
    <n v="53.769070437649503"/>
    <n v="3270.9517849570102"/>
    <n v="11775.4264258452"/>
  </r>
  <r>
    <x v="0"/>
    <x v="0"/>
    <x v="0"/>
    <x v="4"/>
    <x v="5"/>
    <s v="LV_A"/>
    <x v="7"/>
    <x v="7"/>
    <s v="Planivas-HPP"/>
    <x v="3"/>
    <x v="7"/>
    <n v="148.33665754682599"/>
    <n v="9023.8133340985896"/>
    <n v="32485.728002754899"/>
  </r>
  <r>
    <x v="0"/>
    <x v="0"/>
    <x v="0"/>
    <x v="4"/>
    <x v="5"/>
    <s v="LV_A"/>
    <x v="7"/>
    <x v="7"/>
    <s v="Planivas-HPP"/>
    <x v="3"/>
    <x v="8"/>
    <n v="471.26630281709203"/>
    <n v="28668.700088039699"/>
    <n v="103207.32031694301"/>
  </r>
  <r>
    <x v="0"/>
    <x v="0"/>
    <x v="0"/>
    <x v="4"/>
    <x v="5"/>
    <s v="LV_A"/>
    <x v="7"/>
    <x v="7"/>
    <s v="Planivas-HPP"/>
    <x v="3"/>
    <x v="9"/>
    <n v="279.23273634005301"/>
    <n v="16986.658127353199"/>
    <n v="61151.969258471501"/>
  </r>
  <r>
    <x v="0"/>
    <x v="0"/>
    <x v="0"/>
    <x v="4"/>
    <x v="5"/>
    <s v="LV_A"/>
    <x v="7"/>
    <x v="7"/>
    <s v="Planivas-HPP"/>
    <x v="3"/>
    <x v="10"/>
    <n v="357.96293629772498"/>
    <n v="21776.0786247783"/>
    <n v="78393.8830492017"/>
  </r>
  <r>
    <x v="0"/>
    <x v="0"/>
    <x v="0"/>
    <x v="4"/>
    <x v="5"/>
    <s v="LV_A"/>
    <x v="7"/>
    <x v="7"/>
    <s v="Planivas-HPP"/>
    <x v="3"/>
    <x v="11"/>
    <n v="253.20267784904999"/>
    <n v="15403.1629024839"/>
    <n v="55451.386448942001"/>
  </r>
  <r>
    <x v="0"/>
    <x v="0"/>
    <x v="0"/>
    <x v="4"/>
    <x v="5"/>
    <s v="LV_A"/>
    <x v="7"/>
    <x v="7"/>
    <s v="Planivas-HPP"/>
    <x v="4"/>
    <x v="7"/>
    <n v="204.447371329399"/>
    <n v="12437.2150892051"/>
    <n v="44773.974321138397"/>
  </r>
  <r>
    <x v="0"/>
    <x v="0"/>
    <x v="0"/>
    <x v="4"/>
    <x v="5"/>
    <s v="LV_A"/>
    <x v="7"/>
    <x v="7"/>
    <s v="Planivas-HPP"/>
    <x v="4"/>
    <x v="8"/>
    <n v="461.76084507710402"/>
    <n v="28090.4514088572"/>
    <n v="101125.625071886"/>
  </r>
  <r>
    <x v="0"/>
    <x v="0"/>
    <x v="0"/>
    <x v="4"/>
    <x v="5"/>
    <s v="LV_A"/>
    <x v="7"/>
    <x v="7"/>
    <s v="Planivas-HPP"/>
    <x v="4"/>
    <x v="9"/>
    <n v="644.29721904412099"/>
    <n v="39194.7474918507"/>
    <n v="141101.09097066199"/>
  </r>
  <r>
    <x v="0"/>
    <x v="0"/>
    <x v="0"/>
    <x v="4"/>
    <x v="5"/>
    <s v="LV_A"/>
    <x v="7"/>
    <x v="7"/>
    <s v="Planivas-HPP"/>
    <x v="4"/>
    <x v="10"/>
    <n v="642.80114106904102"/>
    <n v="39103.736081700001"/>
    <n v="140773.44989412001"/>
  </r>
  <r>
    <x v="0"/>
    <x v="0"/>
    <x v="0"/>
    <x v="4"/>
    <x v="5"/>
    <s v="LV_A"/>
    <x v="7"/>
    <x v="7"/>
    <s v="Planivas-HPP"/>
    <x v="4"/>
    <x v="11"/>
    <n v="591.22050392341498"/>
    <n v="35965.913988674401"/>
    <n v="129477.29035922801"/>
  </r>
  <r>
    <x v="0"/>
    <x v="0"/>
    <x v="0"/>
    <x v="4"/>
    <x v="5"/>
    <s v="LV_A"/>
    <x v="7"/>
    <x v="7"/>
    <s v="Planivas-HPP"/>
    <x v="5"/>
    <x v="7"/>
    <n v="94.718710368503693"/>
    <n v="5762.0548807506402"/>
    <n v="20743.397570702298"/>
  </r>
  <r>
    <x v="0"/>
    <x v="0"/>
    <x v="0"/>
    <x v="4"/>
    <x v="5"/>
    <s v="LV_A"/>
    <x v="7"/>
    <x v="7"/>
    <s v="Planivas-HPP"/>
    <x v="5"/>
    <x v="8"/>
    <n v="329.00883518327998"/>
    <n v="20014.7041403162"/>
    <n v="72052.934905138303"/>
  </r>
  <r>
    <x v="0"/>
    <x v="0"/>
    <x v="0"/>
    <x v="4"/>
    <x v="5"/>
    <s v="LV_A"/>
    <x v="7"/>
    <x v="7"/>
    <s v="Planivas-HPP"/>
    <x v="5"/>
    <x v="9"/>
    <n v="406.175706475889"/>
    <n v="24709.0221439499"/>
    <n v="88952.479718219605"/>
  </r>
  <r>
    <x v="0"/>
    <x v="0"/>
    <x v="0"/>
    <x v="4"/>
    <x v="5"/>
    <s v="LV_A"/>
    <x v="7"/>
    <x v="7"/>
    <s v="Planivas-HPP"/>
    <x v="5"/>
    <x v="10"/>
    <n v="390.87564112109499"/>
    <n v="23778.2681682"/>
    <n v="85601.765405519807"/>
  </r>
  <r>
    <x v="0"/>
    <x v="0"/>
    <x v="0"/>
    <x v="4"/>
    <x v="5"/>
    <s v="LV_A"/>
    <x v="7"/>
    <x v="7"/>
    <s v="Planivas-HPP"/>
    <x v="5"/>
    <x v="11"/>
    <n v="495.96462548722701"/>
    <n v="30171.181383806299"/>
    <n v="108616.252981703"/>
  </r>
  <r>
    <x v="0"/>
    <x v="0"/>
    <x v="0"/>
    <x v="4"/>
    <x v="5"/>
    <s v="LV_A"/>
    <x v="7"/>
    <x v="7"/>
    <s v="Planivas-HPP"/>
    <x v="6"/>
    <x v="6"/>
    <n v="16.790296810812499"/>
    <n v="1021.40972265776"/>
    <n v="3677.07500156795"/>
  </r>
  <r>
    <x v="0"/>
    <x v="0"/>
    <x v="0"/>
    <x v="4"/>
    <x v="5"/>
    <s v="LV_A"/>
    <x v="7"/>
    <x v="7"/>
    <s v="Planivas-HPP"/>
    <x v="6"/>
    <x v="7"/>
    <n v="198.69956872983099"/>
    <n v="12087.5570977314"/>
    <n v="43515.205551833002"/>
  </r>
  <r>
    <x v="0"/>
    <x v="0"/>
    <x v="0"/>
    <x v="4"/>
    <x v="5"/>
    <s v="LV_A"/>
    <x v="7"/>
    <x v="7"/>
    <s v="Planivas-HPP"/>
    <x v="6"/>
    <x v="8"/>
    <n v="350.25207875947802"/>
    <n v="21307.001457868198"/>
    <n v="76705.205248325597"/>
  </r>
  <r>
    <x v="0"/>
    <x v="0"/>
    <x v="0"/>
    <x v="4"/>
    <x v="5"/>
    <s v="LV_A"/>
    <x v="7"/>
    <x v="7"/>
    <s v="Planivas-HPP"/>
    <x v="6"/>
    <x v="9"/>
    <n v="500.83326111173898"/>
    <n v="30467.356717630799"/>
    <n v="109682.484183471"/>
  </r>
  <r>
    <x v="0"/>
    <x v="0"/>
    <x v="0"/>
    <x v="4"/>
    <x v="5"/>
    <s v="LV_A"/>
    <x v="7"/>
    <x v="7"/>
    <s v="Planivas-HPP"/>
    <x v="6"/>
    <x v="10"/>
    <n v="488.70301983298799"/>
    <n v="29729.433706506701"/>
    <n v="107025.961343424"/>
  </r>
  <r>
    <x v="0"/>
    <x v="0"/>
    <x v="0"/>
    <x v="4"/>
    <x v="5"/>
    <s v="LV_A"/>
    <x v="7"/>
    <x v="7"/>
    <s v="Planivas-HPP"/>
    <x v="6"/>
    <x v="11"/>
    <n v="464.51690614909199"/>
    <n v="28258.111790736399"/>
    <n v="101729.202446651"/>
  </r>
  <r>
    <x v="0"/>
    <x v="0"/>
    <x v="0"/>
    <x v="4"/>
    <x v="5"/>
    <s v="LV_A"/>
    <x v="7"/>
    <x v="7"/>
    <s v="Planivas-HPP"/>
    <x v="7"/>
    <x v="7"/>
    <n v="203.833649197558"/>
    <n v="12399.880326184801"/>
    <n v="44639.5691742653"/>
  </r>
  <r>
    <x v="0"/>
    <x v="0"/>
    <x v="0"/>
    <x v="4"/>
    <x v="5"/>
    <s v="LV_A"/>
    <x v="7"/>
    <x v="7"/>
    <s v="Planivas-HPP"/>
    <x v="7"/>
    <x v="8"/>
    <n v="441.89148647029799"/>
    <n v="26881.7320936098"/>
    <n v="96774.235536995198"/>
  </r>
  <r>
    <x v="0"/>
    <x v="0"/>
    <x v="0"/>
    <x v="4"/>
    <x v="5"/>
    <s v="LV_A"/>
    <x v="7"/>
    <x v="7"/>
    <s v="Planivas-HPP"/>
    <x v="7"/>
    <x v="9"/>
    <n v="589.47335989684495"/>
    <n v="35859.629393724797"/>
    <n v="129094.665817409"/>
  </r>
  <r>
    <x v="0"/>
    <x v="0"/>
    <x v="0"/>
    <x v="4"/>
    <x v="5"/>
    <s v="LV_A"/>
    <x v="7"/>
    <x v="7"/>
    <s v="Planivas-HPP"/>
    <x v="7"/>
    <x v="10"/>
    <n v="675.00269408955899"/>
    <n v="41062.663890448202"/>
    <n v="147825.59000561401"/>
  </r>
  <r>
    <x v="0"/>
    <x v="0"/>
    <x v="0"/>
    <x v="4"/>
    <x v="5"/>
    <s v="LV_A"/>
    <x v="7"/>
    <x v="7"/>
    <s v="Planivas-HPP"/>
    <x v="7"/>
    <x v="11"/>
    <n v="630.80553554508901"/>
    <n v="38374.003412326201"/>
    <n v="138146.412284374"/>
  </r>
  <r>
    <x v="0"/>
    <x v="0"/>
    <x v="0"/>
    <x v="4"/>
    <x v="5"/>
    <s v="LV_A"/>
    <x v="7"/>
    <x v="7"/>
    <s v="Planivas-HPP"/>
    <x v="8"/>
    <x v="5"/>
    <n v="44.566995763303098"/>
    <n v="2711.1589089342701"/>
    <n v="9760.1720721633792"/>
  </r>
  <r>
    <x v="0"/>
    <x v="0"/>
    <x v="0"/>
    <x v="4"/>
    <x v="5"/>
    <s v="LV_A"/>
    <x v="7"/>
    <x v="7"/>
    <s v="Planivas-HPP"/>
    <x v="8"/>
    <x v="6"/>
    <n v="143.08655358484199"/>
    <n v="8704.4320097445598"/>
    <n v="31335.955235080401"/>
  </r>
  <r>
    <x v="0"/>
    <x v="0"/>
    <x v="0"/>
    <x v="4"/>
    <x v="5"/>
    <s v="LV_A"/>
    <x v="7"/>
    <x v="7"/>
    <s v="Planivas-HPP"/>
    <x v="8"/>
    <x v="7"/>
    <n v="359.74659761578198"/>
    <n v="21884.584688293398"/>
    <n v="78784.504877856205"/>
  </r>
  <r>
    <x v="0"/>
    <x v="0"/>
    <x v="0"/>
    <x v="4"/>
    <x v="5"/>
    <s v="LV_A"/>
    <x v="7"/>
    <x v="7"/>
    <s v="Planivas-HPP"/>
    <x v="8"/>
    <x v="8"/>
    <n v="530.30602260586102"/>
    <n v="32260.283041856499"/>
    <n v="116137.018950684"/>
  </r>
  <r>
    <x v="0"/>
    <x v="0"/>
    <x v="0"/>
    <x v="4"/>
    <x v="5"/>
    <s v="LV_A"/>
    <x v="7"/>
    <x v="7"/>
    <s v="Planivas-HPP"/>
    <x v="8"/>
    <x v="9"/>
    <n v="639.23219240385401"/>
    <n v="38886.625037901103"/>
    <n v="139991.850136444"/>
  </r>
  <r>
    <x v="0"/>
    <x v="0"/>
    <x v="0"/>
    <x v="4"/>
    <x v="5"/>
    <s v="LV_A"/>
    <x v="7"/>
    <x v="7"/>
    <s v="Planivas-HPP"/>
    <x v="8"/>
    <x v="10"/>
    <n v="673.26802058328701"/>
    <n v="40957.137918816603"/>
    <n v="147445.69650774001"/>
  </r>
  <r>
    <x v="0"/>
    <x v="0"/>
    <x v="0"/>
    <x v="4"/>
    <x v="5"/>
    <s v="LV_A"/>
    <x v="7"/>
    <x v="7"/>
    <s v="Planivas-HPP"/>
    <x v="8"/>
    <x v="11"/>
    <n v="607.20430953565506"/>
    <n v="36938.262163419"/>
    <n v="132977.74378830899"/>
  </r>
  <r>
    <x v="0"/>
    <x v="0"/>
    <x v="0"/>
    <x v="4"/>
    <x v="5"/>
    <s v="LV_A"/>
    <x v="7"/>
    <x v="7"/>
    <s v="Planivas-HPP"/>
    <x v="9"/>
    <x v="6"/>
    <n v="11.3999469263987"/>
    <n v="693.49677135592003"/>
    <n v="2496.5883768813101"/>
  </r>
  <r>
    <x v="0"/>
    <x v="0"/>
    <x v="0"/>
    <x v="4"/>
    <x v="5"/>
    <s v="LV_A"/>
    <x v="7"/>
    <x v="7"/>
    <s v="Planivas-HPP"/>
    <x v="9"/>
    <x v="7"/>
    <n v="249.52727552600601"/>
    <n v="15179.575927832"/>
    <n v="54646.473340195298"/>
  </r>
  <r>
    <x v="0"/>
    <x v="0"/>
    <x v="0"/>
    <x v="4"/>
    <x v="5"/>
    <s v="LV_A"/>
    <x v="7"/>
    <x v="7"/>
    <s v="Planivas-HPP"/>
    <x v="9"/>
    <x v="8"/>
    <n v="427.40247506483098"/>
    <n v="26000.3172331106"/>
    <n v="93601.142039198006"/>
  </r>
  <r>
    <x v="0"/>
    <x v="0"/>
    <x v="0"/>
    <x v="4"/>
    <x v="5"/>
    <s v="LV_A"/>
    <x v="7"/>
    <x v="7"/>
    <s v="Planivas-HPP"/>
    <x v="9"/>
    <x v="9"/>
    <n v="574.42526286688303"/>
    <n v="34944.2034910687"/>
    <n v="125799.132567847"/>
  </r>
  <r>
    <x v="0"/>
    <x v="0"/>
    <x v="0"/>
    <x v="4"/>
    <x v="5"/>
    <s v="LV_A"/>
    <x v="7"/>
    <x v="7"/>
    <s v="Planivas-HPP"/>
    <x v="9"/>
    <x v="10"/>
    <n v="608.92327100048499"/>
    <n v="37042.832319196197"/>
    <n v="133354.196349106"/>
  </r>
  <r>
    <x v="0"/>
    <x v="0"/>
    <x v="0"/>
    <x v="4"/>
    <x v="5"/>
    <s v="LV_A"/>
    <x v="7"/>
    <x v="7"/>
    <s v="Planivas-HPP"/>
    <x v="9"/>
    <x v="11"/>
    <n v="368.56143652000799"/>
    <n v="22420.820721633801"/>
    <n v="80714.954597881806"/>
  </r>
  <r>
    <x v="0"/>
    <x v="0"/>
    <x v="0"/>
    <x v="4"/>
    <x v="5"/>
    <s v="LV_A"/>
    <x v="7"/>
    <x v="7"/>
    <s v="Planivas-HPP"/>
    <x v="10"/>
    <x v="7"/>
    <n v="28.102042168816698"/>
    <n v="1709.54089860302"/>
    <n v="6154.34723497087"/>
  </r>
  <r>
    <x v="0"/>
    <x v="0"/>
    <x v="0"/>
    <x v="4"/>
    <x v="5"/>
    <s v="LV_A"/>
    <x v="7"/>
    <x v="7"/>
    <s v="Planivas-HPP"/>
    <x v="10"/>
    <x v="8"/>
    <n v="97.038774814236007"/>
    <n v="5903.19213453269"/>
    <n v="21251.491684317702"/>
  </r>
  <r>
    <x v="0"/>
    <x v="0"/>
    <x v="0"/>
    <x v="4"/>
    <x v="5"/>
    <s v="LV_A"/>
    <x v="7"/>
    <x v="7"/>
    <s v="Planivas-HPP"/>
    <x v="10"/>
    <x v="9"/>
    <n v="268.28632812299998"/>
    <n v="16320.751627482499"/>
    <n v="58754.705858936999"/>
  </r>
  <r>
    <x v="0"/>
    <x v="0"/>
    <x v="0"/>
    <x v="4"/>
    <x v="5"/>
    <s v="LV_A"/>
    <x v="7"/>
    <x v="7"/>
    <s v="Planivas-HPP"/>
    <x v="10"/>
    <x v="10"/>
    <n v="314.879784082105"/>
    <n v="19155.186864994699"/>
    <n v="68958.672713980894"/>
  </r>
  <r>
    <x v="0"/>
    <x v="0"/>
    <x v="0"/>
    <x v="4"/>
    <x v="5"/>
    <s v="LV_A"/>
    <x v="7"/>
    <x v="7"/>
    <s v="Planivas-HPP"/>
    <x v="10"/>
    <x v="11"/>
    <n v="249.30797396252299"/>
    <n v="15166.235082720201"/>
    <n v="54598.446297792601"/>
  </r>
  <r>
    <x v="0"/>
    <x v="0"/>
    <x v="0"/>
    <x v="4"/>
    <x v="5"/>
    <s v="LV_A"/>
    <x v="7"/>
    <x v="7"/>
    <s v="Planivas-HPP"/>
    <x v="11"/>
    <x v="8"/>
    <n v="218.812702371927"/>
    <n v="13311.1060609589"/>
    <n v="47919.981819452099"/>
  </r>
  <r>
    <x v="0"/>
    <x v="0"/>
    <x v="0"/>
    <x v="4"/>
    <x v="5"/>
    <s v="LV_A"/>
    <x v="7"/>
    <x v="7"/>
    <s v="Planivas-HPP"/>
    <x v="11"/>
    <x v="9"/>
    <n v="376.73263041807598"/>
    <n v="22917.9016837663"/>
    <n v="82504.446061558599"/>
  </r>
  <r>
    <x v="0"/>
    <x v="0"/>
    <x v="0"/>
    <x v="4"/>
    <x v="5"/>
    <s v="LV_A"/>
    <x v="7"/>
    <x v="7"/>
    <s v="Planivas-HPP"/>
    <x v="11"/>
    <x v="10"/>
    <n v="429.07193796358399"/>
    <n v="26101.876226118002"/>
    <n v="93966.754414024894"/>
  </r>
  <r>
    <x v="0"/>
    <x v="0"/>
    <x v="0"/>
    <x v="4"/>
    <x v="5"/>
    <s v="LV_A"/>
    <x v="7"/>
    <x v="7"/>
    <s v="Planivas-HPP"/>
    <x v="11"/>
    <x v="11"/>
    <n v="318.78479743822402"/>
    <n v="19392.741844158601"/>
    <n v="69813.870638971101"/>
  </r>
  <r>
    <x v="0"/>
    <x v="0"/>
    <x v="0"/>
    <x v="4"/>
    <x v="5"/>
    <s v="LV_A"/>
    <x v="7"/>
    <x v="6"/>
    <s v="Riga-HPP"/>
    <x v="0"/>
    <x v="0"/>
    <n v="93.589820220425906"/>
    <n v="5693.3807300759099"/>
    <n v="20496.170628273299"/>
  </r>
  <r>
    <x v="0"/>
    <x v="0"/>
    <x v="0"/>
    <x v="4"/>
    <x v="5"/>
    <s v="LV_A"/>
    <x v="7"/>
    <x v="6"/>
    <s v="Riga-HPP"/>
    <x v="0"/>
    <x v="1"/>
    <n v="93.589820220425906"/>
    <n v="5693.3807300759099"/>
    <n v="20496.170628273299"/>
  </r>
  <r>
    <x v="0"/>
    <x v="0"/>
    <x v="0"/>
    <x v="4"/>
    <x v="5"/>
    <s v="LV_A"/>
    <x v="7"/>
    <x v="6"/>
    <s v="Riga-HPP"/>
    <x v="0"/>
    <x v="2"/>
    <n v="93.589820220425906"/>
    <n v="5693.3807300759099"/>
    <n v="20496.170628273299"/>
  </r>
  <r>
    <x v="0"/>
    <x v="0"/>
    <x v="0"/>
    <x v="4"/>
    <x v="5"/>
    <s v="LV_A"/>
    <x v="7"/>
    <x v="6"/>
    <s v="Riga-HPP"/>
    <x v="0"/>
    <x v="3"/>
    <n v="93.589820220425906"/>
    <n v="5693.3807300759099"/>
    <n v="20496.170628273299"/>
  </r>
  <r>
    <x v="0"/>
    <x v="0"/>
    <x v="0"/>
    <x v="4"/>
    <x v="5"/>
    <s v="LV_A"/>
    <x v="7"/>
    <x v="6"/>
    <s v="Riga-HPP"/>
    <x v="0"/>
    <x v="4"/>
    <n v="93.589820220425906"/>
    <n v="5693.3807300759099"/>
    <n v="20496.170628273299"/>
  </r>
  <r>
    <x v="0"/>
    <x v="0"/>
    <x v="0"/>
    <x v="4"/>
    <x v="5"/>
    <s v="LV_A"/>
    <x v="7"/>
    <x v="6"/>
    <s v="Riga-HPP"/>
    <x v="0"/>
    <x v="5"/>
    <n v="93.589820220425906"/>
    <n v="5693.3807300759099"/>
    <n v="20496.170628273299"/>
  </r>
  <r>
    <x v="0"/>
    <x v="0"/>
    <x v="0"/>
    <x v="4"/>
    <x v="5"/>
    <s v="LV_A"/>
    <x v="7"/>
    <x v="6"/>
    <s v="Riga-HPP"/>
    <x v="0"/>
    <x v="6"/>
    <n v="93.589820220425906"/>
    <n v="5693.3807300759099"/>
    <n v="20496.170628273299"/>
  </r>
  <r>
    <x v="0"/>
    <x v="0"/>
    <x v="0"/>
    <x v="4"/>
    <x v="5"/>
    <s v="LV_A"/>
    <x v="7"/>
    <x v="6"/>
    <s v="Riga-HPP"/>
    <x v="0"/>
    <x v="7"/>
    <n v="93.589820220425906"/>
    <n v="5693.3807300759099"/>
    <n v="20496.170628273299"/>
  </r>
  <r>
    <x v="0"/>
    <x v="0"/>
    <x v="0"/>
    <x v="4"/>
    <x v="5"/>
    <s v="LV_A"/>
    <x v="7"/>
    <x v="6"/>
    <s v="Riga-HPP"/>
    <x v="0"/>
    <x v="8"/>
    <n v="93.589820220425906"/>
    <n v="5693.3807300759099"/>
    <n v="20496.170628273299"/>
  </r>
  <r>
    <x v="0"/>
    <x v="0"/>
    <x v="0"/>
    <x v="4"/>
    <x v="5"/>
    <s v="LV_A"/>
    <x v="7"/>
    <x v="6"/>
    <s v="Riga-HPP"/>
    <x v="0"/>
    <x v="9"/>
    <n v="93.589820220425906"/>
    <n v="5693.3807300759099"/>
    <n v="20496.170628273299"/>
  </r>
  <r>
    <x v="0"/>
    <x v="0"/>
    <x v="0"/>
    <x v="4"/>
    <x v="5"/>
    <s v="LV_A"/>
    <x v="7"/>
    <x v="6"/>
    <s v="Riga-HPP"/>
    <x v="0"/>
    <x v="10"/>
    <n v="93.589820220425906"/>
    <n v="5693.3807300759099"/>
    <n v="20496.170628273299"/>
  </r>
  <r>
    <x v="0"/>
    <x v="0"/>
    <x v="0"/>
    <x v="4"/>
    <x v="5"/>
    <s v="LV_A"/>
    <x v="7"/>
    <x v="6"/>
    <s v="Riga-HPP"/>
    <x v="0"/>
    <x v="11"/>
    <n v="93.589820220425906"/>
    <n v="5693.3807300759099"/>
    <n v="20496.170628273299"/>
  </r>
  <r>
    <x v="0"/>
    <x v="0"/>
    <x v="0"/>
    <x v="4"/>
    <x v="5"/>
    <s v="LV_A"/>
    <x v="7"/>
    <x v="6"/>
    <s v="Riga-HPP"/>
    <x v="1"/>
    <x v="0"/>
    <n v="93.589820220425906"/>
    <n v="5693.3807300759099"/>
    <n v="20496.170628273299"/>
  </r>
  <r>
    <x v="0"/>
    <x v="0"/>
    <x v="0"/>
    <x v="4"/>
    <x v="5"/>
    <s v="LV_A"/>
    <x v="7"/>
    <x v="6"/>
    <s v="Riga-HPP"/>
    <x v="1"/>
    <x v="1"/>
    <n v="93.589820220425906"/>
    <n v="5693.3807300759099"/>
    <n v="20496.170628273299"/>
  </r>
  <r>
    <x v="0"/>
    <x v="0"/>
    <x v="0"/>
    <x v="4"/>
    <x v="5"/>
    <s v="LV_A"/>
    <x v="7"/>
    <x v="6"/>
    <s v="Riga-HPP"/>
    <x v="1"/>
    <x v="2"/>
    <n v="93.589820220425906"/>
    <n v="5693.3807300759099"/>
    <n v="20496.170628273299"/>
  </r>
  <r>
    <x v="0"/>
    <x v="0"/>
    <x v="0"/>
    <x v="4"/>
    <x v="5"/>
    <s v="LV_A"/>
    <x v="7"/>
    <x v="6"/>
    <s v="Riga-HPP"/>
    <x v="1"/>
    <x v="3"/>
    <n v="93.589820220425906"/>
    <n v="5693.3807300759099"/>
    <n v="20496.170628273299"/>
  </r>
  <r>
    <x v="0"/>
    <x v="0"/>
    <x v="0"/>
    <x v="4"/>
    <x v="5"/>
    <s v="LV_A"/>
    <x v="7"/>
    <x v="6"/>
    <s v="Riga-HPP"/>
    <x v="1"/>
    <x v="4"/>
    <n v="93.589820220425906"/>
    <n v="5693.3807300759099"/>
    <n v="20496.170628273299"/>
  </r>
  <r>
    <x v="0"/>
    <x v="0"/>
    <x v="0"/>
    <x v="4"/>
    <x v="5"/>
    <s v="LV_A"/>
    <x v="7"/>
    <x v="6"/>
    <s v="Riga-HPP"/>
    <x v="1"/>
    <x v="5"/>
    <n v="93.589820220425906"/>
    <n v="5693.3807300759099"/>
    <n v="20496.170628273299"/>
  </r>
  <r>
    <x v="0"/>
    <x v="0"/>
    <x v="0"/>
    <x v="4"/>
    <x v="5"/>
    <s v="LV_A"/>
    <x v="7"/>
    <x v="6"/>
    <s v="Riga-HPP"/>
    <x v="1"/>
    <x v="6"/>
    <n v="93.589820220425906"/>
    <n v="5693.3807300759099"/>
    <n v="20496.170628273299"/>
  </r>
  <r>
    <x v="0"/>
    <x v="0"/>
    <x v="0"/>
    <x v="4"/>
    <x v="5"/>
    <s v="LV_A"/>
    <x v="7"/>
    <x v="6"/>
    <s v="Riga-HPP"/>
    <x v="1"/>
    <x v="7"/>
    <n v="93.589820220425906"/>
    <n v="5693.3807300759099"/>
    <n v="20496.170628273299"/>
  </r>
  <r>
    <x v="0"/>
    <x v="0"/>
    <x v="0"/>
    <x v="4"/>
    <x v="5"/>
    <s v="LV_A"/>
    <x v="7"/>
    <x v="6"/>
    <s v="Riga-HPP"/>
    <x v="1"/>
    <x v="8"/>
    <n v="93.589820220425906"/>
    <n v="5693.3807300759099"/>
    <n v="20496.170628273299"/>
  </r>
  <r>
    <x v="0"/>
    <x v="0"/>
    <x v="0"/>
    <x v="4"/>
    <x v="5"/>
    <s v="LV_A"/>
    <x v="7"/>
    <x v="6"/>
    <s v="Riga-HPP"/>
    <x v="1"/>
    <x v="9"/>
    <n v="93.589820220425906"/>
    <n v="5693.3807300759099"/>
    <n v="20496.170628273299"/>
  </r>
  <r>
    <x v="0"/>
    <x v="0"/>
    <x v="0"/>
    <x v="4"/>
    <x v="5"/>
    <s v="LV_A"/>
    <x v="7"/>
    <x v="6"/>
    <s v="Riga-HPP"/>
    <x v="1"/>
    <x v="10"/>
    <n v="93.589820220425906"/>
    <n v="5693.3807300759099"/>
    <n v="20496.170628273299"/>
  </r>
  <r>
    <x v="0"/>
    <x v="0"/>
    <x v="0"/>
    <x v="4"/>
    <x v="5"/>
    <s v="LV_A"/>
    <x v="7"/>
    <x v="6"/>
    <s v="Riga-HPP"/>
    <x v="1"/>
    <x v="11"/>
    <n v="93.589820220425906"/>
    <n v="5693.3807300759099"/>
    <n v="20496.170628273299"/>
  </r>
  <r>
    <x v="0"/>
    <x v="0"/>
    <x v="0"/>
    <x v="4"/>
    <x v="5"/>
    <s v="LV_A"/>
    <x v="7"/>
    <x v="6"/>
    <s v="Riga-HPP"/>
    <x v="2"/>
    <x v="0"/>
    <n v="93.589820220425906"/>
    <n v="5693.3807300759099"/>
    <n v="20496.170628273299"/>
  </r>
  <r>
    <x v="0"/>
    <x v="0"/>
    <x v="0"/>
    <x v="4"/>
    <x v="5"/>
    <s v="LV_A"/>
    <x v="7"/>
    <x v="6"/>
    <s v="Riga-HPP"/>
    <x v="2"/>
    <x v="1"/>
    <n v="93.589820220425906"/>
    <n v="5693.3807300759099"/>
    <n v="20496.170628273299"/>
  </r>
  <r>
    <x v="0"/>
    <x v="0"/>
    <x v="0"/>
    <x v="4"/>
    <x v="5"/>
    <s v="LV_A"/>
    <x v="7"/>
    <x v="6"/>
    <s v="Riga-HPP"/>
    <x v="2"/>
    <x v="2"/>
    <n v="93.589820220425906"/>
    <n v="5693.3807300759099"/>
    <n v="20496.170628273299"/>
  </r>
  <r>
    <x v="0"/>
    <x v="0"/>
    <x v="0"/>
    <x v="4"/>
    <x v="5"/>
    <s v="LV_A"/>
    <x v="7"/>
    <x v="6"/>
    <s v="Riga-HPP"/>
    <x v="2"/>
    <x v="3"/>
    <n v="93.589820220425906"/>
    <n v="5693.3807300759099"/>
    <n v="20496.170628273299"/>
  </r>
  <r>
    <x v="0"/>
    <x v="0"/>
    <x v="0"/>
    <x v="4"/>
    <x v="5"/>
    <s v="LV_A"/>
    <x v="7"/>
    <x v="6"/>
    <s v="Riga-HPP"/>
    <x v="2"/>
    <x v="4"/>
    <n v="93.589820220425906"/>
    <n v="5693.3807300759099"/>
    <n v="20496.170628273299"/>
  </r>
  <r>
    <x v="0"/>
    <x v="0"/>
    <x v="0"/>
    <x v="4"/>
    <x v="5"/>
    <s v="LV_A"/>
    <x v="7"/>
    <x v="6"/>
    <s v="Riga-HPP"/>
    <x v="2"/>
    <x v="5"/>
    <n v="93.589820220425906"/>
    <n v="5693.3807300759099"/>
    <n v="20496.170628273299"/>
  </r>
  <r>
    <x v="0"/>
    <x v="0"/>
    <x v="0"/>
    <x v="4"/>
    <x v="5"/>
    <s v="LV_A"/>
    <x v="7"/>
    <x v="6"/>
    <s v="Riga-HPP"/>
    <x v="2"/>
    <x v="6"/>
    <n v="93.589820220425906"/>
    <n v="5693.3807300759099"/>
    <n v="20496.170628273299"/>
  </r>
  <r>
    <x v="0"/>
    <x v="0"/>
    <x v="0"/>
    <x v="4"/>
    <x v="5"/>
    <s v="LV_A"/>
    <x v="7"/>
    <x v="6"/>
    <s v="Riga-HPP"/>
    <x v="2"/>
    <x v="7"/>
    <n v="93.589820220425906"/>
    <n v="5693.3807300759099"/>
    <n v="20496.170628273299"/>
  </r>
  <r>
    <x v="0"/>
    <x v="0"/>
    <x v="0"/>
    <x v="4"/>
    <x v="5"/>
    <s v="LV_A"/>
    <x v="7"/>
    <x v="6"/>
    <s v="Riga-HPP"/>
    <x v="2"/>
    <x v="8"/>
    <n v="93.589820220425906"/>
    <n v="5693.3807300759099"/>
    <n v="20496.170628273299"/>
  </r>
  <r>
    <x v="0"/>
    <x v="0"/>
    <x v="0"/>
    <x v="4"/>
    <x v="5"/>
    <s v="LV_A"/>
    <x v="7"/>
    <x v="6"/>
    <s v="Riga-HPP"/>
    <x v="2"/>
    <x v="9"/>
    <n v="93.589820220425906"/>
    <n v="5693.3807300759099"/>
    <n v="20496.170628273299"/>
  </r>
  <r>
    <x v="0"/>
    <x v="0"/>
    <x v="0"/>
    <x v="4"/>
    <x v="5"/>
    <s v="LV_A"/>
    <x v="7"/>
    <x v="6"/>
    <s v="Riga-HPP"/>
    <x v="2"/>
    <x v="10"/>
    <n v="93.589820220425906"/>
    <n v="5693.3807300759099"/>
    <n v="20496.170628273299"/>
  </r>
  <r>
    <x v="0"/>
    <x v="0"/>
    <x v="0"/>
    <x v="4"/>
    <x v="5"/>
    <s v="LV_A"/>
    <x v="7"/>
    <x v="6"/>
    <s v="Riga-HPP"/>
    <x v="2"/>
    <x v="11"/>
    <n v="93.589820220425906"/>
    <n v="5693.3807300759099"/>
    <n v="20496.170628273299"/>
  </r>
  <r>
    <x v="0"/>
    <x v="0"/>
    <x v="0"/>
    <x v="4"/>
    <x v="5"/>
    <s v="LV_A"/>
    <x v="7"/>
    <x v="6"/>
    <s v="Riga-HPP"/>
    <x v="3"/>
    <x v="0"/>
    <n v="93.589820220425906"/>
    <n v="5693.3807300759099"/>
    <n v="20496.170628273299"/>
  </r>
  <r>
    <x v="0"/>
    <x v="0"/>
    <x v="0"/>
    <x v="4"/>
    <x v="5"/>
    <s v="LV_A"/>
    <x v="7"/>
    <x v="6"/>
    <s v="Riga-HPP"/>
    <x v="3"/>
    <x v="1"/>
    <n v="93.589820220425906"/>
    <n v="5693.3807300759099"/>
    <n v="20496.170628273299"/>
  </r>
  <r>
    <x v="0"/>
    <x v="0"/>
    <x v="0"/>
    <x v="4"/>
    <x v="5"/>
    <s v="LV_A"/>
    <x v="7"/>
    <x v="6"/>
    <s v="Riga-HPP"/>
    <x v="3"/>
    <x v="2"/>
    <n v="93.589820220425906"/>
    <n v="5693.3807300759099"/>
    <n v="20496.170628273299"/>
  </r>
  <r>
    <x v="0"/>
    <x v="0"/>
    <x v="0"/>
    <x v="4"/>
    <x v="5"/>
    <s v="LV_A"/>
    <x v="7"/>
    <x v="6"/>
    <s v="Riga-HPP"/>
    <x v="3"/>
    <x v="3"/>
    <n v="93.589820220425906"/>
    <n v="5693.3807300759099"/>
    <n v="20496.170628273299"/>
  </r>
  <r>
    <x v="0"/>
    <x v="0"/>
    <x v="0"/>
    <x v="4"/>
    <x v="5"/>
    <s v="LV_A"/>
    <x v="7"/>
    <x v="6"/>
    <s v="Riga-HPP"/>
    <x v="3"/>
    <x v="4"/>
    <n v="93.589820220425906"/>
    <n v="5693.3807300759099"/>
    <n v="20496.170628273299"/>
  </r>
  <r>
    <x v="0"/>
    <x v="0"/>
    <x v="0"/>
    <x v="4"/>
    <x v="5"/>
    <s v="LV_A"/>
    <x v="7"/>
    <x v="6"/>
    <s v="Riga-HPP"/>
    <x v="3"/>
    <x v="5"/>
    <n v="93.589820220425906"/>
    <n v="5693.3807300759099"/>
    <n v="20496.170628273299"/>
  </r>
  <r>
    <x v="0"/>
    <x v="0"/>
    <x v="0"/>
    <x v="4"/>
    <x v="5"/>
    <s v="LV_A"/>
    <x v="7"/>
    <x v="6"/>
    <s v="Riga-HPP"/>
    <x v="3"/>
    <x v="6"/>
    <n v="93.589820220425906"/>
    <n v="5693.3807300759099"/>
    <n v="20496.170628273299"/>
  </r>
  <r>
    <x v="0"/>
    <x v="0"/>
    <x v="0"/>
    <x v="4"/>
    <x v="5"/>
    <s v="LV_A"/>
    <x v="7"/>
    <x v="6"/>
    <s v="Riga-HPP"/>
    <x v="3"/>
    <x v="7"/>
    <n v="93.589820220425906"/>
    <n v="5693.3807300759099"/>
    <n v="20496.170628273299"/>
  </r>
  <r>
    <x v="0"/>
    <x v="0"/>
    <x v="0"/>
    <x v="4"/>
    <x v="5"/>
    <s v="LV_A"/>
    <x v="7"/>
    <x v="6"/>
    <s v="Riga-HPP"/>
    <x v="3"/>
    <x v="8"/>
    <n v="93.589820220425906"/>
    <n v="5693.3807300759099"/>
    <n v="20496.170628273299"/>
  </r>
  <r>
    <x v="0"/>
    <x v="0"/>
    <x v="0"/>
    <x v="4"/>
    <x v="5"/>
    <s v="LV_A"/>
    <x v="7"/>
    <x v="6"/>
    <s v="Riga-HPP"/>
    <x v="3"/>
    <x v="9"/>
    <n v="93.589820220425906"/>
    <n v="5693.3807300759099"/>
    <n v="20496.170628273299"/>
  </r>
  <r>
    <x v="0"/>
    <x v="0"/>
    <x v="0"/>
    <x v="4"/>
    <x v="5"/>
    <s v="LV_A"/>
    <x v="7"/>
    <x v="6"/>
    <s v="Riga-HPP"/>
    <x v="3"/>
    <x v="10"/>
    <n v="93.589820220425906"/>
    <n v="5693.3807300759099"/>
    <n v="20496.170628273299"/>
  </r>
  <r>
    <x v="0"/>
    <x v="0"/>
    <x v="0"/>
    <x v="4"/>
    <x v="5"/>
    <s v="LV_A"/>
    <x v="7"/>
    <x v="6"/>
    <s v="Riga-HPP"/>
    <x v="3"/>
    <x v="11"/>
    <n v="93.589820220425906"/>
    <n v="5693.3807300759099"/>
    <n v="20496.170628273299"/>
  </r>
  <r>
    <x v="0"/>
    <x v="0"/>
    <x v="0"/>
    <x v="4"/>
    <x v="5"/>
    <s v="LV_A"/>
    <x v="7"/>
    <x v="6"/>
    <s v="Riga-HPP"/>
    <x v="4"/>
    <x v="0"/>
    <n v="85.877442643821396"/>
    <n v="5224.2110941658002"/>
    <n v="18807.159938996901"/>
  </r>
  <r>
    <x v="0"/>
    <x v="0"/>
    <x v="0"/>
    <x v="4"/>
    <x v="5"/>
    <s v="LV_A"/>
    <x v="7"/>
    <x v="6"/>
    <s v="Riga-HPP"/>
    <x v="4"/>
    <x v="1"/>
    <n v="85.877442643821396"/>
    <n v="5224.2110941658002"/>
    <n v="18807.159938996901"/>
  </r>
  <r>
    <x v="0"/>
    <x v="0"/>
    <x v="0"/>
    <x v="4"/>
    <x v="5"/>
    <s v="LV_A"/>
    <x v="7"/>
    <x v="6"/>
    <s v="Riga-HPP"/>
    <x v="4"/>
    <x v="2"/>
    <n v="85.877442643821396"/>
    <n v="5224.2110941658002"/>
    <n v="18807.159938996901"/>
  </r>
  <r>
    <x v="0"/>
    <x v="0"/>
    <x v="0"/>
    <x v="4"/>
    <x v="5"/>
    <s v="LV_A"/>
    <x v="7"/>
    <x v="6"/>
    <s v="Riga-HPP"/>
    <x v="4"/>
    <x v="3"/>
    <n v="85.877442643821396"/>
    <n v="5224.2110941658002"/>
    <n v="18807.159938996901"/>
  </r>
  <r>
    <x v="0"/>
    <x v="0"/>
    <x v="0"/>
    <x v="4"/>
    <x v="5"/>
    <s v="LV_A"/>
    <x v="7"/>
    <x v="6"/>
    <s v="Riga-HPP"/>
    <x v="4"/>
    <x v="4"/>
    <n v="85.877442643821396"/>
    <n v="5224.2110941658002"/>
    <n v="18807.159938996901"/>
  </r>
  <r>
    <x v="0"/>
    <x v="0"/>
    <x v="0"/>
    <x v="4"/>
    <x v="5"/>
    <s v="LV_A"/>
    <x v="7"/>
    <x v="6"/>
    <s v="Riga-HPP"/>
    <x v="4"/>
    <x v="5"/>
    <n v="85.877442643821396"/>
    <n v="5224.2110941658002"/>
    <n v="18807.159938996901"/>
  </r>
  <r>
    <x v="0"/>
    <x v="0"/>
    <x v="0"/>
    <x v="4"/>
    <x v="5"/>
    <s v="LV_A"/>
    <x v="7"/>
    <x v="6"/>
    <s v="Riga-HPP"/>
    <x v="4"/>
    <x v="6"/>
    <n v="85.877442643821396"/>
    <n v="5224.2110941658002"/>
    <n v="18807.159938996901"/>
  </r>
  <r>
    <x v="0"/>
    <x v="0"/>
    <x v="0"/>
    <x v="4"/>
    <x v="5"/>
    <s v="LV_A"/>
    <x v="7"/>
    <x v="6"/>
    <s v="Riga-HPP"/>
    <x v="4"/>
    <x v="7"/>
    <n v="85.877442643821396"/>
    <n v="5224.2110941658002"/>
    <n v="18807.159938996901"/>
  </r>
  <r>
    <x v="0"/>
    <x v="0"/>
    <x v="0"/>
    <x v="4"/>
    <x v="5"/>
    <s v="LV_A"/>
    <x v="7"/>
    <x v="6"/>
    <s v="Riga-HPP"/>
    <x v="4"/>
    <x v="8"/>
    <n v="85.877442643821396"/>
    <n v="5224.2110941658002"/>
    <n v="18807.159938996901"/>
  </r>
  <r>
    <x v="0"/>
    <x v="0"/>
    <x v="0"/>
    <x v="4"/>
    <x v="5"/>
    <s v="LV_A"/>
    <x v="7"/>
    <x v="6"/>
    <s v="Riga-HPP"/>
    <x v="4"/>
    <x v="9"/>
    <n v="85.877442643821396"/>
    <n v="5224.2110941658002"/>
    <n v="18807.159938996901"/>
  </r>
  <r>
    <x v="0"/>
    <x v="0"/>
    <x v="0"/>
    <x v="4"/>
    <x v="5"/>
    <s v="LV_A"/>
    <x v="7"/>
    <x v="6"/>
    <s v="Riga-HPP"/>
    <x v="4"/>
    <x v="10"/>
    <n v="85.877442643821396"/>
    <n v="5224.2110941658002"/>
    <n v="18807.159938996901"/>
  </r>
  <r>
    <x v="0"/>
    <x v="0"/>
    <x v="0"/>
    <x v="4"/>
    <x v="5"/>
    <s v="LV_A"/>
    <x v="7"/>
    <x v="6"/>
    <s v="Riga-HPP"/>
    <x v="4"/>
    <x v="11"/>
    <n v="85.877442643821396"/>
    <n v="5224.2110941658002"/>
    <n v="18807.159938996901"/>
  </r>
  <r>
    <x v="0"/>
    <x v="0"/>
    <x v="0"/>
    <x v="4"/>
    <x v="5"/>
    <s v="LV_A"/>
    <x v="7"/>
    <x v="6"/>
    <s v="Riga-HPP"/>
    <x v="5"/>
    <x v="0"/>
    <n v="79.799310775999501"/>
    <n v="4854.4580722066403"/>
    <n v="17476.0490599439"/>
  </r>
  <r>
    <x v="0"/>
    <x v="0"/>
    <x v="0"/>
    <x v="4"/>
    <x v="5"/>
    <s v="LV_A"/>
    <x v="7"/>
    <x v="6"/>
    <s v="Riga-HPP"/>
    <x v="5"/>
    <x v="1"/>
    <n v="79.799310775999501"/>
    <n v="4854.4580722066403"/>
    <n v="17476.0490599439"/>
  </r>
  <r>
    <x v="0"/>
    <x v="0"/>
    <x v="0"/>
    <x v="4"/>
    <x v="5"/>
    <s v="LV_A"/>
    <x v="7"/>
    <x v="6"/>
    <s v="Riga-HPP"/>
    <x v="5"/>
    <x v="2"/>
    <n v="79.799310775999501"/>
    <n v="4854.4580722066403"/>
    <n v="17476.0490599439"/>
  </r>
  <r>
    <x v="0"/>
    <x v="0"/>
    <x v="0"/>
    <x v="4"/>
    <x v="5"/>
    <s v="LV_A"/>
    <x v="7"/>
    <x v="6"/>
    <s v="Riga-HPP"/>
    <x v="5"/>
    <x v="3"/>
    <n v="79.799310775999501"/>
    <n v="4854.4580722066403"/>
    <n v="17476.0490599439"/>
  </r>
  <r>
    <x v="0"/>
    <x v="0"/>
    <x v="0"/>
    <x v="4"/>
    <x v="5"/>
    <s v="LV_A"/>
    <x v="7"/>
    <x v="6"/>
    <s v="Riga-HPP"/>
    <x v="5"/>
    <x v="4"/>
    <n v="79.799310775999501"/>
    <n v="4854.4580722066403"/>
    <n v="17476.0490599439"/>
  </r>
  <r>
    <x v="0"/>
    <x v="0"/>
    <x v="0"/>
    <x v="4"/>
    <x v="5"/>
    <s v="LV_A"/>
    <x v="7"/>
    <x v="6"/>
    <s v="Riga-HPP"/>
    <x v="5"/>
    <x v="5"/>
    <n v="79.799310775999501"/>
    <n v="4854.4580722066403"/>
    <n v="17476.0490599439"/>
  </r>
  <r>
    <x v="0"/>
    <x v="0"/>
    <x v="0"/>
    <x v="4"/>
    <x v="5"/>
    <s v="LV_A"/>
    <x v="7"/>
    <x v="6"/>
    <s v="Riga-HPP"/>
    <x v="5"/>
    <x v="6"/>
    <n v="79.799310775999501"/>
    <n v="4854.4580722066403"/>
    <n v="17476.0490599439"/>
  </r>
  <r>
    <x v="0"/>
    <x v="0"/>
    <x v="0"/>
    <x v="4"/>
    <x v="5"/>
    <s v="LV_A"/>
    <x v="7"/>
    <x v="6"/>
    <s v="Riga-HPP"/>
    <x v="5"/>
    <x v="7"/>
    <n v="79.799310775999501"/>
    <n v="4854.4580722066403"/>
    <n v="17476.0490599439"/>
  </r>
  <r>
    <x v="0"/>
    <x v="0"/>
    <x v="0"/>
    <x v="4"/>
    <x v="5"/>
    <s v="LV_A"/>
    <x v="7"/>
    <x v="6"/>
    <s v="Riga-HPP"/>
    <x v="5"/>
    <x v="8"/>
    <n v="79.799310775999501"/>
    <n v="4854.4580722066403"/>
    <n v="17476.0490599439"/>
  </r>
  <r>
    <x v="0"/>
    <x v="0"/>
    <x v="0"/>
    <x v="4"/>
    <x v="5"/>
    <s v="LV_A"/>
    <x v="7"/>
    <x v="6"/>
    <s v="Riga-HPP"/>
    <x v="5"/>
    <x v="9"/>
    <n v="79.799310775999501"/>
    <n v="4854.4580722066403"/>
    <n v="17476.0490599439"/>
  </r>
  <r>
    <x v="0"/>
    <x v="0"/>
    <x v="0"/>
    <x v="4"/>
    <x v="5"/>
    <s v="LV_A"/>
    <x v="7"/>
    <x v="6"/>
    <s v="Riga-HPP"/>
    <x v="5"/>
    <x v="10"/>
    <n v="79.799310775999501"/>
    <n v="4854.4580722066403"/>
    <n v="17476.0490599439"/>
  </r>
  <r>
    <x v="0"/>
    <x v="0"/>
    <x v="0"/>
    <x v="4"/>
    <x v="5"/>
    <s v="LV_A"/>
    <x v="7"/>
    <x v="6"/>
    <s v="Riga-HPP"/>
    <x v="5"/>
    <x v="11"/>
    <n v="79.799310775999501"/>
    <n v="4854.4580722066403"/>
    <n v="17476.0490599439"/>
  </r>
  <r>
    <x v="0"/>
    <x v="0"/>
    <x v="0"/>
    <x v="4"/>
    <x v="5"/>
    <s v="LV_A"/>
    <x v="7"/>
    <x v="6"/>
    <s v="Riga-HPP"/>
    <x v="6"/>
    <x v="0"/>
    <n v="79.799310775999501"/>
    <n v="4854.4580722066403"/>
    <n v="17476.0490599439"/>
  </r>
  <r>
    <x v="0"/>
    <x v="0"/>
    <x v="0"/>
    <x v="4"/>
    <x v="5"/>
    <s v="LV_A"/>
    <x v="7"/>
    <x v="6"/>
    <s v="Riga-HPP"/>
    <x v="6"/>
    <x v="1"/>
    <n v="79.799310775999501"/>
    <n v="4854.4580722066403"/>
    <n v="17476.0490599439"/>
  </r>
  <r>
    <x v="0"/>
    <x v="0"/>
    <x v="0"/>
    <x v="4"/>
    <x v="5"/>
    <s v="LV_A"/>
    <x v="7"/>
    <x v="6"/>
    <s v="Riga-HPP"/>
    <x v="6"/>
    <x v="2"/>
    <n v="79.799310775999501"/>
    <n v="4854.4580722066403"/>
    <n v="17476.0490599439"/>
  </r>
  <r>
    <x v="0"/>
    <x v="0"/>
    <x v="0"/>
    <x v="4"/>
    <x v="5"/>
    <s v="LV_A"/>
    <x v="7"/>
    <x v="6"/>
    <s v="Riga-HPP"/>
    <x v="6"/>
    <x v="3"/>
    <n v="79.799310775999501"/>
    <n v="4854.4580722066403"/>
    <n v="17476.0490599439"/>
  </r>
  <r>
    <x v="0"/>
    <x v="0"/>
    <x v="0"/>
    <x v="4"/>
    <x v="5"/>
    <s v="LV_A"/>
    <x v="7"/>
    <x v="6"/>
    <s v="Riga-HPP"/>
    <x v="6"/>
    <x v="4"/>
    <n v="79.799310775999501"/>
    <n v="4854.4580722066403"/>
    <n v="17476.0490599439"/>
  </r>
  <r>
    <x v="0"/>
    <x v="0"/>
    <x v="0"/>
    <x v="4"/>
    <x v="5"/>
    <s v="LV_A"/>
    <x v="7"/>
    <x v="6"/>
    <s v="Riga-HPP"/>
    <x v="6"/>
    <x v="5"/>
    <n v="79.799310775999501"/>
    <n v="4854.4580722066403"/>
    <n v="17476.0490599439"/>
  </r>
  <r>
    <x v="0"/>
    <x v="0"/>
    <x v="0"/>
    <x v="4"/>
    <x v="5"/>
    <s v="LV_A"/>
    <x v="7"/>
    <x v="6"/>
    <s v="Riga-HPP"/>
    <x v="6"/>
    <x v="6"/>
    <n v="79.799310775999501"/>
    <n v="4854.4580722066403"/>
    <n v="17476.0490599439"/>
  </r>
  <r>
    <x v="0"/>
    <x v="0"/>
    <x v="0"/>
    <x v="4"/>
    <x v="5"/>
    <s v="LV_A"/>
    <x v="7"/>
    <x v="6"/>
    <s v="Riga-HPP"/>
    <x v="6"/>
    <x v="7"/>
    <n v="79.799310775999501"/>
    <n v="4854.4580722066403"/>
    <n v="17476.0490599439"/>
  </r>
  <r>
    <x v="0"/>
    <x v="0"/>
    <x v="0"/>
    <x v="4"/>
    <x v="5"/>
    <s v="LV_A"/>
    <x v="7"/>
    <x v="6"/>
    <s v="Riga-HPP"/>
    <x v="6"/>
    <x v="8"/>
    <n v="79.799310775999501"/>
    <n v="4854.4580722066403"/>
    <n v="17476.0490599439"/>
  </r>
  <r>
    <x v="0"/>
    <x v="0"/>
    <x v="0"/>
    <x v="4"/>
    <x v="5"/>
    <s v="LV_A"/>
    <x v="7"/>
    <x v="6"/>
    <s v="Riga-HPP"/>
    <x v="6"/>
    <x v="9"/>
    <n v="79.799310775999501"/>
    <n v="4854.4580722066403"/>
    <n v="17476.0490599439"/>
  </r>
  <r>
    <x v="0"/>
    <x v="0"/>
    <x v="0"/>
    <x v="4"/>
    <x v="5"/>
    <s v="LV_A"/>
    <x v="7"/>
    <x v="6"/>
    <s v="Riga-HPP"/>
    <x v="6"/>
    <x v="10"/>
    <n v="79.799310775999501"/>
    <n v="4854.4580722066403"/>
    <n v="17476.0490599439"/>
  </r>
  <r>
    <x v="0"/>
    <x v="0"/>
    <x v="0"/>
    <x v="4"/>
    <x v="5"/>
    <s v="LV_A"/>
    <x v="7"/>
    <x v="6"/>
    <s v="Riga-HPP"/>
    <x v="6"/>
    <x v="11"/>
    <n v="79.799310775999501"/>
    <n v="4854.4580722066403"/>
    <n v="17476.0490599439"/>
  </r>
  <r>
    <x v="0"/>
    <x v="0"/>
    <x v="0"/>
    <x v="4"/>
    <x v="5"/>
    <s v="LV_A"/>
    <x v="7"/>
    <x v="6"/>
    <s v="Riga-HPP"/>
    <x v="7"/>
    <x v="0"/>
    <n v="79.799310775999501"/>
    <n v="4854.4580722066403"/>
    <n v="17476.0490599439"/>
  </r>
  <r>
    <x v="0"/>
    <x v="0"/>
    <x v="0"/>
    <x v="4"/>
    <x v="5"/>
    <s v="LV_A"/>
    <x v="7"/>
    <x v="6"/>
    <s v="Riga-HPP"/>
    <x v="7"/>
    <x v="1"/>
    <n v="79.799310775999501"/>
    <n v="4854.4580722066403"/>
    <n v="17476.0490599439"/>
  </r>
  <r>
    <x v="0"/>
    <x v="0"/>
    <x v="0"/>
    <x v="4"/>
    <x v="5"/>
    <s v="LV_A"/>
    <x v="7"/>
    <x v="6"/>
    <s v="Riga-HPP"/>
    <x v="7"/>
    <x v="2"/>
    <n v="79.799310775999501"/>
    <n v="4854.4580722066403"/>
    <n v="17476.0490599439"/>
  </r>
  <r>
    <x v="0"/>
    <x v="0"/>
    <x v="0"/>
    <x v="4"/>
    <x v="5"/>
    <s v="LV_A"/>
    <x v="7"/>
    <x v="6"/>
    <s v="Riga-HPP"/>
    <x v="7"/>
    <x v="3"/>
    <n v="79.799310775999501"/>
    <n v="4854.4580722066403"/>
    <n v="17476.0490599439"/>
  </r>
  <r>
    <x v="0"/>
    <x v="0"/>
    <x v="0"/>
    <x v="4"/>
    <x v="5"/>
    <s v="LV_A"/>
    <x v="7"/>
    <x v="6"/>
    <s v="Riga-HPP"/>
    <x v="7"/>
    <x v="4"/>
    <n v="79.799310775999501"/>
    <n v="4854.4580722066403"/>
    <n v="17476.0490599439"/>
  </r>
  <r>
    <x v="0"/>
    <x v="0"/>
    <x v="0"/>
    <x v="4"/>
    <x v="5"/>
    <s v="LV_A"/>
    <x v="7"/>
    <x v="6"/>
    <s v="Riga-HPP"/>
    <x v="7"/>
    <x v="5"/>
    <n v="79.799310775999501"/>
    <n v="4854.4580722066403"/>
    <n v="17476.0490599439"/>
  </r>
  <r>
    <x v="0"/>
    <x v="0"/>
    <x v="0"/>
    <x v="4"/>
    <x v="5"/>
    <s v="LV_A"/>
    <x v="7"/>
    <x v="6"/>
    <s v="Riga-HPP"/>
    <x v="7"/>
    <x v="6"/>
    <n v="79.799310775999501"/>
    <n v="4854.4580722066403"/>
    <n v="17476.0490599439"/>
  </r>
  <r>
    <x v="0"/>
    <x v="0"/>
    <x v="0"/>
    <x v="4"/>
    <x v="5"/>
    <s v="LV_A"/>
    <x v="7"/>
    <x v="6"/>
    <s v="Riga-HPP"/>
    <x v="7"/>
    <x v="7"/>
    <n v="79.799310775999501"/>
    <n v="4854.4580722066403"/>
    <n v="17476.0490599439"/>
  </r>
  <r>
    <x v="0"/>
    <x v="0"/>
    <x v="0"/>
    <x v="4"/>
    <x v="5"/>
    <s v="LV_A"/>
    <x v="7"/>
    <x v="6"/>
    <s v="Riga-HPP"/>
    <x v="7"/>
    <x v="8"/>
    <n v="79.799310775999501"/>
    <n v="4854.4580722066403"/>
    <n v="17476.0490599439"/>
  </r>
  <r>
    <x v="0"/>
    <x v="0"/>
    <x v="0"/>
    <x v="4"/>
    <x v="5"/>
    <s v="LV_A"/>
    <x v="7"/>
    <x v="6"/>
    <s v="Riga-HPP"/>
    <x v="7"/>
    <x v="9"/>
    <n v="79.799310775999501"/>
    <n v="4854.4580722066403"/>
    <n v="17476.0490599439"/>
  </r>
  <r>
    <x v="0"/>
    <x v="0"/>
    <x v="0"/>
    <x v="4"/>
    <x v="5"/>
    <s v="LV_A"/>
    <x v="7"/>
    <x v="6"/>
    <s v="Riga-HPP"/>
    <x v="7"/>
    <x v="10"/>
    <n v="79.799310775999501"/>
    <n v="4854.4580722066403"/>
    <n v="17476.0490599439"/>
  </r>
  <r>
    <x v="0"/>
    <x v="0"/>
    <x v="0"/>
    <x v="4"/>
    <x v="5"/>
    <s v="LV_A"/>
    <x v="7"/>
    <x v="6"/>
    <s v="Riga-HPP"/>
    <x v="7"/>
    <x v="11"/>
    <n v="79.799310775999501"/>
    <n v="4854.4580722066403"/>
    <n v="17476.0490599439"/>
  </r>
  <r>
    <x v="0"/>
    <x v="0"/>
    <x v="0"/>
    <x v="4"/>
    <x v="5"/>
    <s v="LV_A"/>
    <x v="7"/>
    <x v="6"/>
    <s v="Riga-HPP"/>
    <x v="8"/>
    <x v="0"/>
    <n v="130.20717921906399"/>
    <n v="7920.9367358264199"/>
    <n v="28515.372248975102"/>
  </r>
  <r>
    <x v="0"/>
    <x v="0"/>
    <x v="0"/>
    <x v="4"/>
    <x v="5"/>
    <s v="LV_A"/>
    <x v="7"/>
    <x v="6"/>
    <s v="Riga-HPP"/>
    <x v="8"/>
    <x v="1"/>
    <n v="130.20717921906399"/>
    <n v="7920.9367358264199"/>
    <n v="28515.372248975102"/>
  </r>
  <r>
    <x v="0"/>
    <x v="0"/>
    <x v="0"/>
    <x v="4"/>
    <x v="5"/>
    <s v="LV_A"/>
    <x v="7"/>
    <x v="6"/>
    <s v="Riga-HPP"/>
    <x v="8"/>
    <x v="2"/>
    <n v="130.20717921906399"/>
    <n v="7920.9367358264199"/>
    <n v="28515.372248975102"/>
  </r>
  <r>
    <x v="0"/>
    <x v="0"/>
    <x v="0"/>
    <x v="4"/>
    <x v="5"/>
    <s v="LV_A"/>
    <x v="7"/>
    <x v="6"/>
    <s v="Riga-HPP"/>
    <x v="8"/>
    <x v="3"/>
    <n v="130.20717921906399"/>
    <n v="7920.9367358264199"/>
    <n v="28515.372248975102"/>
  </r>
  <r>
    <x v="0"/>
    <x v="0"/>
    <x v="0"/>
    <x v="4"/>
    <x v="5"/>
    <s v="LV_A"/>
    <x v="7"/>
    <x v="6"/>
    <s v="Riga-HPP"/>
    <x v="8"/>
    <x v="4"/>
    <n v="130.20717921906399"/>
    <n v="7920.9367358264199"/>
    <n v="28515.372248975102"/>
  </r>
  <r>
    <x v="0"/>
    <x v="0"/>
    <x v="0"/>
    <x v="4"/>
    <x v="5"/>
    <s v="LV_A"/>
    <x v="7"/>
    <x v="6"/>
    <s v="Riga-HPP"/>
    <x v="8"/>
    <x v="5"/>
    <n v="130.20717921906399"/>
    <n v="7920.9367358264199"/>
    <n v="28515.372248975102"/>
  </r>
  <r>
    <x v="0"/>
    <x v="0"/>
    <x v="0"/>
    <x v="4"/>
    <x v="5"/>
    <s v="LV_A"/>
    <x v="7"/>
    <x v="6"/>
    <s v="Riga-HPP"/>
    <x v="8"/>
    <x v="6"/>
    <n v="130.20717921906399"/>
    <n v="7920.9367358264199"/>
    <n v="28515.372248975102"/>
  </r>
  <r>
    <x v="0"/>
    <x v="0"/>
    <x v="0"/>
    <x v="4"/>
    <x v="5"/>
    <s v="LV_A"/>
    <x v="7"/>
    <x v="6"/>
    <s v="Riga-HPP"/>
    <x v="8"/>
    <x v="7"/>
    <n v="130.20717921906399"/>
    <n v="7920.9367358264199"/>
    <n v="28515.372248975102"/>
  </r>
  <r>
    <x v="0"/>
    <x v="0"/>
    <x v="0"/>
    <x v="4"/>
    <x v="5"/>
    <s v="LV_A"/>
    <x v="7"/>
    <x v="6"/>
    <s v="Riga-HPP"/>
    <x v="8"/>
    <x v="8"/>
    <n v="130.20717921906399"/>
    <n v="7920.9367358264199"/>
    <n v="28515.372248975102"/>
  </r>
  <r>
    <x v="0"/>
    <x v="0"/>
    <x v="0"/>
    <x v="4"/>
    <x v="5"/>
    <s v="LV_A"/>
    <x v="7"/>
    <x v="6"/>
    <s v="Riga-HPP"/>
    <x v="8"/>
    <x v="9"/>
    <n v="130.20717921906399"/>
    <n v="7920.9367358264199"/>
    <n v="28515.372248975102"/>
  </r>
  <r>
    <x v="0"/>
    <x v="0"/>
    <x v="0"/>
    <x v="4"/>
    <x v="5"/>
    <s v="LV_A"/>
    <x v="7"/>
    <x v="6"/>
    <s v="Riga-HPP"/>
    <x v="8"/>
    <x v="10"/>
    <n v="130.20717921906399"/>
    <n v="7920.9367358264199"/>
    <n v="28515.372248975102"/>
  </r>
  <r>
    <x v="0"/>
    <x v="0"/>
    <x v="0"/>
    <x v="4"/>
    <x v="5"/>
    <s v="LV_A"/>
    <x v="7"/>
    <x v="6"/>
    <s v="Riga-HPP"/>
    <x v="8"/>
    <x v="11"/>
    <n v="130.20717921906399"/>
    <n v="7920.9367358264199"/>
    <n v="28515.372248975102"/>
  </r>
  <r>
    <x v="0"/>
    <x v="0"/>
    <x v="0"/>
    <x v="4"/>
    <x v="5"/>
    <s v="LV_A"/>
    <x v="7"/>
    <x v="6"/>
    <s v="Riga-HPP"/>
    <x v="9"/>
    <x v="0"/>
    <n v="170.23765314932001"/>
    <n v="10356.123899917"/>
    <n v="37282.046039701097"/>
  </r>
  <r>
    <x v="0"/>
    <x v="0"/>
    <x v="0"/>
    <x v="4"/>
    <x v="5"/>
    <s v="LV_A"/>
    <x v="7"/>
    <x v="6"/>
    <s v="Riga-HPP"/>
    <x v="9"/>
    <x v="1"/>
    <n v="170.23765314932001"/>
    <n v="10356.123899917"/>
    <n v="37282.046039701097"/>
  </r>
  <r>
    <x v="0"/>
    <x v="0"/>
    <x v="0"/>
    <x v="4"/>
    <x v="5"/>
    <s v="LV_A"/>
    <x v="7"/>
    <x v="6"/>
    <s v="Riga-HPP"/>
    <x v="9"/>
    <x v="2"/>
    <n v="170.23765314932001"/>
    <n v="10356.123899917"/>
    <n v="37282.046039701097"/>
  </r>
  <r>
    <x v="0"/>
    <x v="0"/>
    <x v="0"/>
    <x v="4"/>
    <x v="5"/>
    <s v="LV_A"/>
    <x v="7"/>
    <x v="6"/>
    <s v="Riga-HPP"/>
    <x v="9"/>
    <x v="3"/>
    <n v="170.23765314932001"/>
    <n v="10356.123899917"/>
    <n v="37282.046039701097"/>
  </r>
  <r>
    <x v="0"/>
    <x v="0"/>
    <x v="0"/>
    <x v="4"/>
    <x v="5"/>
    <s v="LV_A"/>
    <x v="7"/>
    <x v="6"/>
    <s v="Riga-HPP"/>
    <x v="9"/>
    <x v="4"/>
    <n v="170.23765314932001"/>
    <n v="10356.123899917"/>
    <n v="37282.046039701097"/>
  </r>
  <r>
    <x v="0"/>
    <x v="0"/>
    <x v="0"/>
    <x v="4"/>
    <x v="5"/>
    <s v="LV_A"/>
    <x v="7"/>
    <x v="6"/>
    <s v="Riga-HPP"/>
    <x v="9"/>
    <x v="5"/>
    <n v="170.23765314932001"/>
    <n v="10356.123899917"/>
    <n v="37282.046039701097"/>
  </r>
  <r>
    <x v="0"/>
    <x v="0"/>
    <x v="0"/>
    <x v="4"/>
    <x v="5"/>
    <s v="LV_A"/>
    <x v="7"/>
    <x v="6"/>
    <s v="Riga-HPP"/>
    <x v="9"/>
    <x v="6"/>
    <n v="170.23765314932001"/>
    <n v="10356.123899917"/>
    <n v="37282.046039701097"/>
  </r>
  <r>
    <x v="0"/>
    <x v="0"/>
    <x v="0"/>
    <x v="4"/>
    <x v="5"/>
    <s v="LV_A"/>
    <x v="7"/>
    <x v="6"/>
    <s v="Riga-HPP"/>
    <x v="9"/>
    <x v="7"/>
    <n v="170.23765314932001"/>
    <n v="10356.123899917"/>
    <n v="37282.046039701097"/>
  </r>
  <r>
    <x v="0"/>
    <x v="0"/>
    <x v="0"/>
    <x v="4"/>
    <x v="5"/>
    <s v="LV_A"/>
    <x v="7"/>
    <x v="6"/>
    <s v="Riga-HPP"/>
    <x v="9"/>
    <x v="8"/>
    <n v="170.23765314932001"/>
    <n v="10356.123899917"/>
    <n v="37282.046039701097"/>
  </r>
  <r>
    <x v="0"/>
    <x v="0"/>
    <x v="0"/>
    <x v="4"/>
    <x v="5"/>
    <s v="LV_A"/>
    <x v="7"/>
    <x v="6"/>
    <s v="Riga-HPP"/>
    <x v="9"/>
    <x v="9"/>
    <n v="170.23765314932001"/>
    <n v="10356.123899917"/>
    <n v="37282.046039701097"/>
  </r>
  <r>
    <x v="0"/>
    <x v="0"/>
    <x v="0"/>
    <x v="4"/>
    <x v="5"/>
    <s v="LV_A"/>
    <x v="7"/>
    <x v="6"/>
    <s v="Riga-HPP"/>
    <x v="9"/>
    <x v="10"/>
    <n v="170.23765314932001"/>
    <n v="10356.123899917"/>
    <n v="37282.046039701097"/>
  </r>
  <r>
    <x v="0"/>
    <x v="0"/>
    <x v="0"/>
    <x v="4"/>
    <x v="5"/>
    <s v="LV_A"/>
    <x v="7"/>
    <x v="6"/>
    <s v="Riga-HPP"/>
    <x v="9"/>
    <x v="11"/>
    <n v="170.23765314932001"/>
    <n v="10356.123899917"/>
    <n v="37282.046039701097"/>
  </r>
  <r>
    <x v="0"/>
    <x v="0"/>
    <x v="0"/>
    <x v="4"/>
    <x v="5"/>
    <s v="LV_A"/>
    <x v="7"/>
    <x v="6"/>
    <s v="Riga-HPP"/>
    <x v="10"/>
    <x v="0"/>
    <n v="170.23765314932001"/>
    <n v="10356.123899917"/>
    <n v="37282.046039701097"/>
  </r>
  <r>
    <x v="0"/>
    <x v="0"/>
    <x v="0"/>
    <x v="4"/>
    <x v="5"/>
    <s v="LV_A"/>
    <x v="7"/>
    <x v="6"/>
    <s v="Riga-HPP"/>
    <x v="10"/>
    <x v="1"/>
    <n v="170.23765314932001"/>
    <n v="10356.123899917"/>
    <n v="37282.046039701097"/>
  </r>
  <r>
    <x v="0"/>
    <x v="0"/>
    <x v="0"/>
    <x v="4"/>
    <x v="5"/>
    <s v="LV_A"/>
    <x v="7"/>
    <x v="6"/>
    <s v="Riga-HPP"/>
    <x v="10"/>
    <x v="2"/>
    <n v="170.23765314932001"/>
    <n v="10356.123899917"/>
    <n v="37282.046039701097"/>
  </r>
  <r>
    <x v="0"/>
    <x v="0"/>
    <x v="0"/>
    <x v="4"/>
    <x v="5"/>
    <s v="LV_A"/>
    <x v="7"/>
    <x v="6"/>
    <s v="Riga-HPP"/>
    <x v="10"/>
    <x v="3"/>
    <n v="170.23765314932001"/>
    <n v="10356.123899917"/>
    <n v="37282.046039701097"/>
  </r>
  <r>
    <x v="0"/>
    <x v="0"/>
    <x v="0"/>
    <x v="4"/>
    <x v="5"/>
    <s v="LV_A"/>
    <x v="7"/>
    <x v="6"/>
    <s v="Riga-HPP"/>
    <x v="10"/>
    <x v="4"/>
    <n v="170.23765314932001"/>
    <n v="10356.123899917"/>
    <n v="37282.046039701097"/>
  </r>
  <r>
    <x v="0"/>
    <x v="0"/>
    <x v="0"/>
    <x v="4"/>
    <x v="5"/>
    <s v="LV_A"/>
    <x v="7"/>
    <x v="6"/>
    <s v="Riga-HPP"/>
    <x v="10"/>
    <x v="5"/>
    <n v="170.23765314932001"/>
    <n v="10356.123899917"/>
    <n v="37282.046039701097"/>
  </r>
  <r>
    <x v="0"/>
    <x v="0"/>
    <x v="0"/>
    <x v="4"/>
    <x v="5"/>
    <s v="LV_A"/>
    <x v="7"/>
    <x v="6"/>
    <s v="Riga-HPP"/>
    <x v="10"/>
    <x v="6"/>
    <n v="170.23765314932001"/>
    <n v="10356.123899917"/>
    <n v="37282.046039701097"/>
  </r>
  <r>
    <x v="0"/>
    <x v="0"/>
    <x v="0"/>
    <x v="4"/>
    <x v="5"/>
    <s v="LV_A"/>
    <x v="7"/>
    <x v="6"/>
    <s v="Riga-HPP"/>
    <x v="10"/>
    <x v="7"/>
    <n v="170.23765314932001"/>
    <n v="10356.123899917"/>
    <n v="37282.046039701097"/>
  </r>
  <r>
    <x v="0"/>
    <x v="0"/>
    <x v="0"/>
    <x v="4"/>
    <x v="5"/>
    <s v="LV_A"/>
    <x v="7"/>
    <x v="6"/>
    <s v="Riga-HPP"/>
    <x v="10"/>
    <x v="8"/>
    <n v="170.23765314932001"/>
    <n v="10356.123899917"/>
    <n v="37282.046039701097"/>
  </r>
  <r>
    <x v="0"/>
    <x v="0"/>
    <x v="0"/>
    <x v="4"/>
    <x v="5"/>
    <s v="LV_A"/>
    <x v="7"/>
    <x v="6"/>
    <s v="Riga-HPP"/>
    <x v="10"/>
    <x v="9"/>
    <n v="170.23765314932001"/>
    <n v="10356.123899917"/>
    <n v="37282.046039701097"/>
  </r>
  <r>
    <x v="0"/>
    <x v="0"/>
    <x v="0"/>
    <x v="4"/>
    <x v="5"/>
    <s v="LV_A"/>
    <x v="7"/>
    <x v="6"/>
    <s v="Riga-HPP"/>
    <x v="10"/>
    <x v="10"/>
    <n v="170.23765314932001"/>
    <n v="10356.123899917"/>
    <n v="37282.046039701097"/>
  </r>
  <r>
    <x v="0"/>
    <x v="0"/>
    <x v="0"/>
    <x v="4"/>
    <x v="5"/>
    <s v="LV_A"/>
    <x v="7"/>
    <x v="6"/>
    <s v="Riga-HPP"/>
    <x v="10"/>
    <x v="11"/>
    <n v="170.23765314932001"/>
    <n v="10356.123899917"/>
    <n v="37282.046039701097"/>
  </r>
  <r>
    <x v="0"/>
    <x v="0"/>
    <x v="0"/>
    <x v="4"/>
    <x v="5"/>
    <s v="LV_A"/>
    <x v="7"/>
    <x v="6"/>
    <s v="Riga-HPP"/>
    <x v="11"/>
    <x v="0"/>
    <n v="170.23765314932001"/>
    <n v="10356.123899917"/>
    <n v="37282.046039701097"/>
  </r>
  <r>
    <x v="0"/>
    <x v="0"/>
    <x v="0"/>
    <x v="4"/>
    <x v="5"/>
    <s v="LV_A"/>
    <x v="7"/>
    <x v="6"/>
    <s v="Riga-HPP"/>
    <x v="11"/>
    <x v="1"/>
    <n v="170.23765314932001"/>
    <n v="10356.123899917"/>
    <n v="37282.046039701097"/>
  </r>
  <r>
    <x v="0"/>
    <x v="0"/>
    <x v="0"/>
    <x v="4"/>
    <x v="5"/>
    <s v="LV_A"/>
    <x v="7"/>
    <x v="6"/>
    <s v="Riga-HPP"/>
    <x v="11"/>
    <x v="2"/>
    <n v="170.23765314932001"/>
    <n v="10356.123899917"/>
    <n v="37282.046039701097"/>
  </r>
  <r>
    <x v="0"/>
    <x v="0"/>
    <x v="0"/>
    <x v="4"/>
    <x v="5"/>
    <s v="LV_A"/>
    <x v="7"/>
    <x v="6"/>
    <s v="Riga-HPP"/>
    <x v="11"/>
    <x v="3"/>
    <n v="170.23765314932001"/>
    <n v="10356.123899917"/>
    <n v="37282.046039701097"/>
  </r>
  <r>
    <x v="0"/>
    <x v="0"/>
    <x v="0"/>
    <x v="4"/>
    <x v="5"/>
    <s v="LV_A"/>
    <x v="7"/>
    <x v="6"/>
    <s v="Riga-HPP"/>
    <x v="11"/>
    <x v="4"/>
    <n v="170.23765314932001"/>
    <n v="10356.123899917"/>
    <n v="37282.046039701097"/>
  </r>
  <r>
    <x v="0"/>
    <x v="0"/>
    <x v="0"/>
    <x v="4"/>
    <x v="5"/>
    <s v="LV_A"/>
    <x v="7"/>
    <x v="6"/>
    <s v="Riga-HPP"/>
    <x v="11"/>
    <x v="5"/>
    <n v="170.23765314932001"/>
    <n v="10356.123899917"/>
    <n v="37282.046039701097"/>
  </r>
  <r>
    <x v="0"/>
    <x v="0"/>
    <x v="0"/>
    <x v="4"/>
    <x v="5"/>
    <s v="LV_A"/>
    <x v="7"/>
    <x v="6"/>
    <s v="Riga-HPP"/>
    <x v="11"/>
    <x v="6"/>
    <n v="170.23765314932001"/>
    <n v="10356.123899917"/>
    <n v="37282.046039701097"/>
  </r>
  <r>
    <x v="0"/>
    <x v="0"/>
    <x v="0"/>
    <x v="4"/>
    <x v="5"/>
    <s v="LV_A"/>
    <x v="7"/>
    <x v="6"/>
    <s v="Riga-HPP"/>
    <x v="11"/>
    <x v="7"/>
    <n v="170.23765314932001"/>
    <n v="10356.123899917"/>
    <n v="37282.046039701097"/>
  </r>
  <r>
    <x v="0"/>
    <x v="0"/>
    <x v="0"/>
    <x v="4"/>
    <x v="5"/>
    <s v="LV_A"/>
    <x v="7"/>
    <x v="6"/>
    <s v="Riga-HPP"/>
    <x v="11"/>
    <x v="8"/>
    <n v="170.23765314932001"/>
    <n v="10356.123899917"/>
    <n v="37282.046039701097"/>
  </r>
  <r>
    <x v="0"/>
    <x v="0"/>
    <x v="0"/>
    <x v="4"/>
    <x v="5"/>
    <s v="LV_A"/>
    <x v="7"/>
    <x v="6"/>
    <s v="Riga-HPP"/>
    <x v="11"/>
    <x v="9"/>
    <n v="170.23765314932001"/>
    <n v="10356.123899917"/>
    <n v="37282.046039701097"/>
  </r>
  <r>
    <x v="0"/>
    <x v="0"/>
    <x v="0"/>
    <x v="4"/>
    <x v="5"/>
    <s v="LV_A"/>
    <x v="7"/>
    <x v="6"/>
    <s v="Riga-HPP"/>
    <x v="11"/>
    <x v="10"/>
    <n v="170.23765314932001"/>
    <n v="10356.123899917"/>
    <n v="37282.046039701097"/>
  </r>
  <r>
    <x v="0"/>
    <x v="0"/>
    <x v="0"/>
    <x v="4"/>
    <x v="5"/>
    <s v="LV_A"/>
    <x v="7"/>
    <x v="6"/>
    <s v="Riga-HPP"/>
    <x v="11"/>
    <x v="11"/>
    <n v="170.23765314932001"/>
    <n v="10356.123899917"/>
    <n v="37282.046039701097"/>
  </r>
  <r>
    <x v="0"/>
    <x v="0"/>
    <x v="0"/>
    <x v="4"/>
    <x v="5"/>
    <s v="LV_A"/>
    <x v="7"/>
    <x v="6"/>
    <s v="SM-HPP-LV"/>
    <x v="0"/>
    <x v="0"/>
    <n v="8.4867343272930302"/>
    <n v="516.27633824365898"/>
    <n v="1858.5948176771701"/>
  </r>
  <r>
    <x v="0"/>
    <x v="0"/>
    <x v="0"/>
    <x v="4"/>
    <x v="5"/>
    <s v="LV_A"/>
    <x v="7"/>
    <x v="6"/>
    <s v="SM-HPP-LV"/>
    <x v="0"/>
    <x v="1"/>
    <n v="8.4867343272930302"/>
    <n v="516.27633824365898"/>
    <n v="1858.5948176771701"/>
  </r>
  <r>
    <x v="0"/>
    <x v="0"/>
    <x v="0"/>
    <x v="4"/>
    <x v="5"/>
    <s v="LV_A"/>
    <x v="7"/>
    <x v="6"/>
    <s v="SM-HPP-LV"/>
    <x v="0"/>
    <x v="2"/>
    <n v="8.4867343272930302"/>
    <n v="516.27633824365898"/>
    <n v="1858.5948176771701"/>
  </r>
  <r>
    <x v="0"/>
    <x v="0"/>
    <x v="0"/>
    <x v="4"/>
    <x v="5"/>
    <s v="LV_A"/>
    <x v="7"/>
    <x v="6"/>
    <s v="SM-HPP-LV"/>
    <x v="0"/>
    <x v="3"/>
    <n v="8.4867343272930302"/>
    <n v="516.27633824365898"/>
    <n v="1858.5948176771701"/>
  </r>
  <r>
    <x v="0"/>
    <x v="0"/>
    <x v="0"/>
    <x v="4"/>
    <x v="5"/>
    <s v="LV_A"/>
    <x v="7"/>
    <x v="6"/>
    <s v="SM-HPP-LV"/>
    <x v="0"/>
    <x v="4"/>
    <n v="8.4867343272930302"/>
    <n v="516.27633824365898"/>
    <n v="1858.5948176771701"/>
  </r>
  <r>
    <x v="0"/>
    <x v="0"/>
    <x v="0"/>
    <x v="4"/>
    <x v="5"/>
    <s v="LV_A"/>
    <x v="7"/>
    <x v="6"/>
    <s v="SM-HPP-LV"/>
    <x v="0"/>
    <x v="5"/>
    <n v="8.4867343272930302"/>
    <n v="516.27633824365898"/>
    <n v="1858.5948176771701"/>
  </r>
  <r>
    <x v="0"/>
    <x v="0"/>
    <x v="0"/>
    <x v="4"/>
    <x v="5"/>
    <s v="LV_A"/>
    <x v="7"/>
    <x v="6"/>
    <s v="SM-HPP-LV"/>
    <x v="0"/>
    <x v="6"/>
    <n v="8.4867343272930302"/>
    <n v="516.27633824365898"/>
    <n v="1858.5948176771701"/>
  </r>
  <r>
    <x v="0"/>
    <x v="0"/>
    <x v="0"/>
    <x v="4"/>
    <x v="5"/>
    <s v="LV_A"/>
    <x v="7"/>
    <x v="6"/>
    <s v="SM-HPP-LV"/>
    <x v="0"/>
    <x v="7"/>
    <n v="8.4867343272930302"/>
    <n v="516.27633824365898"/>
    <n v="1858.5948176771701"/>
  </r>
  <r>
    <x v="0"/>
    <x v="0"/>
    <x v="0"/>
    <x v="4"/>
    <x v="5"/>
    <s v="LV_A"/>
    <x v="7"/>
    <x v="6"/>
    <s v="SM-HPP-LV"/>
    <x v="0"/>
    <x v="8"/>
    <n v="8.4867343272930302"/>
    <n v="516.27633824365898"/>
    <n v="1858.5948176771701"/>
  </r>
  <r>
    <x v="0"/>
    <x v="0"/>
    <x v="0"/>
    <x v="4"/>
    <x v="5"/>
    <s v="LV_A"/>
    <x v="7"/>
    <x v="6"/>
    <s v="SM-HPP-LV"/>
    <x v="0"/>
    <x v="9"/>
    <n v="8.4867343272930302"/>
    <n v="516.27633824365898"/>
    <n v="1858.5948176771701"/>
  </r>
  <r>
    <x v="0"/>
    <x v="0"/>
    <x v="0"/>
    <x v="4"/>
    <x v="5"/>
    <s v="LV_A"/>
    <x v="7"/>
    <x v="6"/>
    <s v="SM-HPP-LV"/>
    <x v="0"/>
    <x v="10"/>
    <n v="8.4867343272930302"/>
    <n v="516.27633824365898"/>
    <n v="1858.5948176771701"/>
  </r>
  <r>
    <x v="0"/>
    <x v="0"/>
    <x v="0"/>
    <x v="4"/>
    <x v="5"/>
    <s v="LV_A"/>
    <x v="7"/>
    <x v="6"/>
    <s v="SM-HPP-LV"/>
    <x v="0"/>
    <x v="11"/>
    <n v="8.4867343272930302"/>
    <n v="516.27633824365898"/>
    <n v="1858.5948176771701"/>
  </r>
  <r>
    <x v="0"/>
    <x v="0"/>
    <x v="0"/>
    <x v="4"/>
    <x v="5"/>
    <s v="LV_A"/>
    <x v="7"/>
    <x v="6"/>
    <s v="SM-HPP-LV"/>
    <x v="1"/>
    <x v="0"/>
    <n v="8.4867343272930302"/>
    <n v="516.27633824365898"/>
    <n v="1858.5948176771701"/>
  </r>
  <r>
    <x v="0"/>
    <x v="0"/>
    <x v="0"/>
    <x v="4"/>
    <x v="5"/>
    <s v="LV_A"/>
    <x v="7"/>
    <x v="6"/>
    <s v="SM-HPP-LV"/>
    <x v="1"/>
    <x v="1"/>
    <n v="8.4867343272930302"/>
    <n v="516.27633824365898"/>
    <n v="1858.5948176771701"/>
  </r>
  <r>
    <x v="0"/>
    <x v="0"/>
    <x v="0"/>
    <x v="4"/>
    <x v="5"/>
    <s v="LV_A"/>
    <x v="7"/>
    <x v="6"/>
    <s v="SM-HPP-LV"/>
    <x v="1"/>
    <x v="2"/>
    <n v="8.4867343272930302"/>
    <n v="516.27633824365898"/>
    <n v="1858.5948176771701"/>
  </r>
  <r>
    <x v="0"/>
    <x v="0"/>
    <x v="0"/>
    <x v="4"/>
    <x v="5"/>
    <s v="LV_A"/>
    <x v="7"/>
    <x v="6"/>
    <s v="SM-HPP-LV"/>
    <x v="1"/>
    <x v="3"/>
    <n v="8.4867343272930302"/>
    <n v="516.27633824365898"/>
    <n v="1858.5948176771701"/>
  </r>
  <r>
    <x v="0"/>
    <x v="0"/>
    <x v="0"/>
    <x v="4"/>
    <x v="5"/>
    <s v="LV_A"/>
    <x v="7"/>
    <x v="6"/>
    <s v="SM-HPP-LV"/>
    <x v="1"/>
    <x v="4"/>
    <n v="8.4867343272930302"/>
    <n v="516.27633824365898"/>
    <n v="1858.5948176771701"/>
  </r>
  <r>
    <x v="0"/>
    <x v="0"/>
    <x v="0"/>
    <x v="4"/>
    <x v="5"/>
    <s v="LV_A"/>
    <x v="7"/>
    <x v="6"/>
    <s v="SM-HPP-LV"/>
    <x v="1"/>
    <x v="5"/>
    <n v="8.4867343272930302"/>
    <n v="516.27633824365898"/>
    <n v="1858.5948176771701"/>
  </r>
  <r>
    <x v="0"/>
    <x v="0"/>
    <x v="0"/>
    <x v="4"/>
    <x v="5"/>
    <s v="LV_A"/>
    <x v="7"/>
    <x v="6"/>
    <s v="SM-HPP-LV"/>
    <x v="1"/>
    <x v="6"/>
    <n v="8.4867343272930302"/>
    <n v="516.27633824365898"/>
    <n v="1858.5948176771701"/>
  </r>
  <r>
    <x v="0"/>
    <x v="0"/>
    <x v="0"/>
    <x v="4"/>
    <x v="5"/>
    <s v="LV_A"/>
    <x v="7"/>
    <x v="6"/>
    <s v="SM-HPP-LV"/>
    <x v="1"/>
    <x v="7"/>
    <n v="8.4867343272930302"/>
    <n v="516.27633824365898"/>
    <n v="1858.5948176771701"/>
  </r>
  <r>
    <x v="0"/>
    <x v="0"/>
    <x v="0"/>
    <x v="4"/>
    <x v="5"/>
    <s v="LV_A"/>
    <x v="7"/>
    <x v="6"/>
    <s v="SM-HPP-LV"/>
    <x v="1"/>
    <x v="8"/>
    <n v="8.4867343272930302"/>
    <n v="516.27633824365898"/>
    <n v="1858.5948176771701"/>
  </r>
  <r>
    <x v="0"/>
    <x v="0"/>
    <x v="0"/>
    <x v="4"/>
    <x v="5"/>
    <s v="LV_A"/>
    <x v="7"/>
    <x v="6"/>
    <s v="SM-HPP-LV"/>
    <x v="1"/>
    <x v="9"/>
    <n v="8.4867343272930302"/>
    <n v="516.27633824365898"/>
    <n v="1858.5948176771701"/>
  </r>
  <r>
    <x v="0"/>
    <x v="0"/>
    <x v="0"/>
    <x v="4"/>
    <x v="5"/>
    <s v="LV_A"/>
    <x v="7"/>
    <x v="6"/>
    <s v="SM-HPP-LV"/>
    <x v="1"/>
    <x v="10"/>
    <n v="8.4867343272930302"/>
    <n v="516.27633824365898"/>
    <n v="1858.5948176771701"/>
  </r>
  <r>
    <x v="0"/>
    <x v="0"/>
    <x v="0"/>
    <x v="4"/>
    <x v="5"/>
    <s v="LV_A"/>
    <x v="7"/>
    <x v="6"/>
    <s v="SM-HPP-LV"/>
    <x v="1"/>
    <x v="11"/>
    <n v="8.4867343272930302"/>
    <n v="516.27633824365898"/>
    <n v="1858.5948176771701"/>
  </r>
  <r>
    <x v="0"/>
    <x v="0"/>
    <x v="0"/>
    <x v="4"/>
    <x v="5"/>
    <s v="LV_A"/>
    <x v="7"/>
    <x v="6"/>
    <s v="SM-HPP-LV"/>
    <x v="2"/>
    <x v="0"/>
    <n v="8.4867343272930302"/>
    <n v="516.27633824365898"/>
    <n v="1858.5948176771701"/>
  </r>
  <r>
    <x v="0"/>
    <x v="0"/>
    <x v="0"/>
    <x v="4"/>
    <x v="5"/>
    <s v="LV_A"/>
    <x v="7"/>
    <x v="6"/>
    <s v="SM-HPP-LV"/>
    <x v="2"/>
    <x v="1"/>
    <n v="8.4867343272930302"/>
    <n v="516.27633824365898"/>
    <n v="1858.5948176771701"/>
  </r>
  <r>
    <x v="0"/>
    <x v="0"/>
    <x v="0"/>
    <x v="4"/>
    <x v="5"/>
    <s v="LV_A"/>
    <x v="7"/>
    <x v="6"/>
    <s v="SM-HPP-LV"/>
    <x v="2"/>
    <x v="2"/>
    <n v="8.4867343272930302"/>
    <n v="516.27633824365898"/>
    <n v="1858.5948176771701"/>
  </r>
  <r>
    <x v="0"/>
    <x v="0"/>
    <x v="0"/>
    <x v="4"/>
    <x v="5"/>
    <s v="LV_A"/>
    <x v="7"/>
    <x v="6"/>
    <s v="SM-HPP-LV"/>
    <x v="2"/>
    <x v="3"/>
    <n v="8.4867343272930302"/>
    <n v="516.27633824365898"/>
    <n v="1858.5948176771701"/>
  </r>
  <r>
    <x v="0"/>
    <x v="0"/>
    <x v="0"/>
    <x v="4"/>
    <x v="5"/>
    <s v="LV_A"/>
    <x v="7"/>
    <x v="6"/>
    <s v="SM-HPP-LV"/>
    <x v="2"/>
    <x v="4"/>
    <n v="8.4867343272930302"/>
    <n v="516.27633824365898"/>
    <n v="1858.5948176771701"/>
  </r>
  <r>
    <x v="0"/>
    <x v="0"/>
    <x v="0"/>
    <x v="4"/>
    <x v="5"/>
    <s v="LV_A"/>
    <x v="7"/>
    <x v="6"/>
    <s v="SM-HPP-LV"/>
    <x v="2"/>
    <x v="5"/>
    <n v="8.4867343272930302"/>
    <n v="516.27633824365898"/>
    <n v="1858.5948176771701"/>
  </r>
  <r>
    <x v="0"/>
    <x v="0"/>
    <x v="0"/>
    <x v="4"/>
    <x v="5"/>
    <s v="LV_A"/>
    <x v="7"/>
    <x v="6"/>
    <s v="SM-HPP-LV"/>
    <x v="2"/>
    <x v="6"/>
    <n v="8.4867343272930302"/>
    <n v="516.27633824365898"/>
    <n v="1858.5948176771701"/>
  </r>
  <r>
    <x v="0"/>
    <x v="0"/>
    <x v="0"/>
    <x v="4"/>
    <x v="5"/>
    <s v="LV_A"/>
    <x v="7"/>
    <x v="6"/>
    <s v="SM-HPP-LV"/>
    <x v="2"/>
    <x v="7"/>
    <n v="8.4867343272930302"/>
    <n v="516.27633824365898"/>
    <n v="1858.5948176771701"/>
  </r>
  <r>
    <x v="0"/>
    <x v="0"/>
    <x v="0"/>
    <x v="4"/>
    <x v="5"/>
    <s v="LV_A"/>
    <x v="7"/>
    <x v="6"/>
    <s v="SM-HPP-LV"/>
    <x v="2"/>
    <x v="8"/>
    <n v="8.4867343272930302"/>
    <n v="516.27633824365898"/>
    <n v="1858.5948176771701"/>
  </r>
  <r>
    <x v="0"/>
    <x v="0"/>
    <x v="0"/>
    <x v="4"/>
    <x v="5"/>
    <s v="LV_A"/>
    <x v="7"/>
    <x v="6"/>
    <s v="SM-HPP-LV"/>
    <x v="2"/>
    <x v="9"/>
    <n v="8.4867343272930302"/>
    <n v="516.27633824365898"/>
    <n v="1858.5948176771701"/>
  </r>
  <r>
    <x v="0"/>
    <x v="0"/>
    <x v="0"/>
    <x v="4"/>
    <x v="5"/>
    <s v="LV_A"/>
    <x v="7"/>
    <x v="6"/>
    <s v="SM-HPP-LV"/>
    <x v="2"/>
    <x v="10"/>
    <n v="8.4867343272930302"/>
    <n v="516.27633824365898"/>
    <n v="1858.5948176771701"/>
  </r>
  <r>
    <x v="0"/>
    <x v="0"/>
    <x v="0"/>
    <x v="4"/>
    <x v="5"/>
    <s v="LV_A"/>
    <x v="7"/>
    <x v="6"/>
    <s v="SM-HPP-LV"/>
    <x v="2"/>
    <x v="11"/>
    <n v="8.4867343272930302"/>
    <n v="516.27633824365898"/>
    <n v="1858.5948176771701"/>
  </r>
  <r>
    <x v="0"/>
    <x v="0"/>
    <x v="0"/>
    <x v="4"/>
    <x v="5"/>
    <s v="LV_A"/>
    <x v="7"/>
    <x v="6"/>
    <s v="SM-HPP-LV"/>
    <x v="3"/>
    <x v="0"/>
    <n v="8.4867343272930302"/>
    <n v="516.27633824365898"/>
    <n v="1858.5948176771701"/>
  </r>
  <r>
    <x v="0"/>
    <x v="0"/>
    <x v="0"/>
    <x v="4"/>
    <x v="5"/>
    <s v="LV_A"/>
    <x v="7"/>
    <x v="6"/>
    <s v="SM-HPP-LV"/>
    <x v="3"/>
    <x v="1"/>
    <n v="8.4867343272930302"/>
    <n v="516.27633824365898"/>
    <n v="1858.5948176771701"/>
  </r>
  <r>
    <x v="0"/>
    <x v="0"/>
    <x v="0"/>
    <x v="4"/>
    <x v="5"/>
    <s v="LV_A"/>
    <x v="7"/>
    <x v="6"/>
    <s v="SM-HPP-LV"/>
    <x v="3"/>
    <x v="2"/>
    <n v="8.4867343272930302"/>
    <n v="516.27633824365898"/>
    <n v="1858.5948176771701"/>
  </r>
  <r>
    <x v="0"/>
    <x v="0"/>
    <x v="0"/>
    <x v="4"/>
    <x v="5"/>
    <s v="LV_A"/>
    <x v="7"/>
    <x v="6"/>
    <s v="SM-HPP-LV"/>
    <x v="3"/>
    <x v="3"/>
    <n v="8.4867343272930302"/>
    <n v="516.27633824365898"/>
    <n v="1858.5948176771701"/>
  </r>
  <r>
    <x v="0"/>
    <x v="0"/>
    <x v="0"/>
    <x v="4"/>
    <x v="5"/>
    <s v="LV_A"/>
    <x v="7"/>
    <x v="6"/>
    <s v="SM-HPP-LV"/>
    <x v="3"/>
    <x v="4"/>
    <n v="8.4867343272930302"/>
    <n v="516.27633824365898"/>
    <n v="1858.5948176771701"/>
  </r>
  <r>
    <x v="0"/>
    <x v="0"/>
    <x v="0"/>
    <x v="4"/>
    <x v="5"/>
    <s v="LV_A"/>
    <x v="7"/>
    <x v="6"/>
    <s v="SM-HPP-LV"/>
    <x v="3"/>
    <x v="5"/>
    <n v="8.4867343272930302"/>
    <n v="516.27633824365898"/>
    <n v="1858.5948176771701"/>
  </r>
  <r>
    <x v="0"/>
    <x v="0"/>
    <x v="0"/>
    <x v="4"/>
    <x v="5"/>
    <s v="LV_A"/>
    <x v="7"/>
    <x v="6"/>
    <s v="SM-HPP-LV"/>
    <x v="3"/>
    <x v="6"/>
    <n v="8.4867343272930302"/>
    <n v="516.27633824365898"/>
    <n v="1858.5948176771701"/>
  </r>
  <r>
    <x v="0"/>
    <x v="0"/>
    <x v="0"/>
    <x v="4"/>
    <x v="5"/>
    <s v="LV_A"/>
    <x v="7"/>
    <x v="6"/>
    <s v="SM-HPP-LV"/>
    <x v="3"/>
    <x v="7"/>
    <n v="8.4867343272930302"/>
    <n v="516.27633824365898"/>
    <n v="1858.5948176771701"/>
  </r>
  <r>
    <x v="0"/>
    <x v="0"/>
    <x v="0"/>
    <x v="4"/>
    <x v="5"/>
    <s v="LV_A"/>
    <x v="7"/>
    <x v="6"/>
    <s v="SM-HPP-LV"/>
    <x v="3"/>
    <x v="8"/>
    <n v="8.4867343272930302"/>
    <n v="516.27633824365898"/>
    <n v="1858.5948176771701"/>
  </r>
  <r>
    <x v="0"/>
    <x v="0"/>
    <x v="0"/>
    <x v="4"/>
    <x v="5"/>
    <s v="LV_A"/>
    <x v="7"/>
    <x v="6"/>
    <s v="SM-HPP-LV"/>
    <x v="3"/>
    <x v="9"/>
    <n v="8.4867343272930302"/>
    <n v="516.27633824365898"/>
    <n v="1858.5948176771701"/>
  </r>
  <r>
    <x v="0"/>
    <x v="0"/>
    <x v="0"/>
    <x v="4"/>
    <x v="5"/>
    <s v="LV_A"/>
    <x v="7"/>
    <x v="6"/>
    <s v="SM-HPP-LV"/>
    <x v="3"/>
    <x v="10"/>
    <n v="8.4867343272930302"/>
    <n v="516.27633824365898"/>
    <n v="1858.5948176771701"/>
  </r>
  <r>
    <x v="0"/>
    <x v="0"/>
    <x v="0"/>
    <x v="4"/>
    <x v="5"/>
    <s v="LV_A"/>
    <x v="7"/>
    <x v="6"/>
    <s v="SM-HPP-LV"/>
    <x v="3"/>
    <x v="11"/>
    <n v="8.4867343272930302"/>
    <n v="516.27633824365898"/>
    <n v="1858.5948176771701"/>
  </r>
  <r>
    <x v="0"/>
    <x v="0"/>
    <x v="0"/>
    <x v="4"/>
    <x v="5"/>
    <s v="LV_A"/>
    <x v="7"/>
    <x v="6"/>
    <s v="SM-HPP-LV"/>
    <x v="4"/>
    <x v="0"/>
    <n v="7.7873751515807799"/>
    <n v="473.731988387831"/>
    <n v="1705.4351581961901"/>
  </r>
  <r>
    <x v="0"/>
    <x v="0"/>
    <x v="0"/>
    <x v="4"/>
    <x v="5"/>
    <s v="LV_A"/>
    <x v="7"/>
    <x v="6"/>
    <s v="SM-HPP-LV"/>
    <x v="4"/>
    <x v="1"/>
    <n v="7.7873751515807799"/>
    <n v="473.731988387831"/>
    <n v="1705.4351581961901"/>
  </r>
  <r>
    <x v="0"/>
    <x v="0"/>
    <x v="0"/>
    <x v="4"/>
    <x v="5"/>
    <s v="LV_A"/>
    <x v="7"/>
    <x v="6"/>
    <s v="SM-HPP-LV"/>
    <x v="4"/>
    <x v="2"/>
    <n v="7.7873751515807799"/>
    <n v="473.731988387831"/>
    <n v="1705.4351581961901"/>
  </r>
  <r>
    <x v="0"/>
    <x v="0"/>
    <x v="0"/>
    <x v="4"/>
    <x v="5"/>
    <s v="LV_A"/>
    <x v="7"/>
    <x v="6"/>
    <s v="SM-HPP-LV"/>
    <x v="4"/>
    <x v="3"/>
    <n v="7.7873751515807799"/>
    <n v="473.731988387831"/>
    <n v="1705.4351581961901"/>
  </r>
  <r>
    <x v="0"/>
    <x v="0"/>
    <x v="0"/>
    <x v="4"/>
    <x v="5"/>
    <s v="LV_A"/>
    <x v="7"/>
    <x v="6"/>
    <s v="SM-HPP-LV"/>
    <x v="4"/>
    <x v="4"/>
    <n v="7.7873751515807799"/>
    <n v="473.731988387831"/>
    <n v="1705.4351581961901"/>
  </r>
  <r>
    <x v="0"/>
    <x v="0"/>
    <x v="0"/>
    <x v="4"/>
    <x v="5"/>
    <s v="LV_A"/>
    <x v="7"/>
    <x v="6"/>
    <s v="SM-HPP-LV"/>
    <x v="4"/>
    <x v="5"/>
    <n v="7.7873751515807799"/>
    <n v="473.731988387831"/>
    <n v="1705.4351581961901"/>
  </r>
  <r>
    <x v="0"/>
    <x v="0"/>
    <x v="0"/>
    <x v="4"/>
    <x v="5"/>
    <s v="LV_A"/>
    <x v="7"/>
    <x v="6"/>
    <s v="SM-HPP-LV"/>
    <x v="4"/>
    <x v="6"/>
    <n v="7.7873751515807799"/>
    <n v="473.731988387831"/>
    <n v="1705.4351581961901"/>
  </r>
  <r>
    <x v="0"/>
    <x v="0"/>
    <x v="0"/>
    <x v="4"/>
    <x v="5"/>
    <s v="LV_A"/>
    <x v="7"/>
    <x v="6"/>
    <s v="SM-HPP-LV"/>
    <x v="4"/>
    <x v="7"/>
    <n v="7.7873751515807799"/>
    <n v="473.731988387831"/>
    <n v="1705.4351581961901"/>
  </r>
  <r>
    <x v="0"/>
    <x v="0"/>
    <x v="0"/>
    <x v="4"/>
    <x v="5"/>
    <s v="LV_A"/>
    <x v="7"/>
    <x v="6"/>
    <s v="SM-HPP-LV"/>
    <x v="4"/>
    <x v="8"/>
    <n v="7.7873751515807799"/>
    <n v="473.731988387831"/>
    <n v="1705.4351581961901"/>
  </r>
  <r>
    <x v="0"/>
    <x v="0"/>
    <x v="0"/>
    <x v="4"/>
    <x v="5"/>
    <s v="LV_A"/>
    <x v="7"/>
    <x v="6"/>
    <s v="SM-HPP-LV"/>
    <x v="4"/>
    <x v="9"/>
    <n v="7.7873751515807799"/>
    <n v="473.731988387831"/>
    <n v="1705.4351581961901"/>
  </r>
  <r>
    <x v="0"/>
    <x v="0"/>
    <x v="0"/>
    <x v="4"/>
    <x v="5"/>
    <s v="LV_A"/>
    <x v="7"/>
    <x v="6"/>
    <s v="SM-HPP-LV"/>
    <x v="4"/>
    <x v="10"/>
    <n v="7.7873751515807799"/>
    <n v="473.731988387831"/>
    <n v="1705.4351581961901"/>
  </r>
  <r>
    <x v="0"/>
    <x v="0"/>
    <x v="0"/>
    <x v="4"/>
    <x v="5"/>
    <s v="LV_A"/>
    <x v="7"/>
    <x v="6"/>
    <s v="SM-HPP-LV"/>
    <x v="4"/>
    <x v="11"/>
    <n v="7.7873751515807799"/>
    <n v="473.731988387831"/>
    <n v="1705.4351581961901"/>
  </r>
  <r>
    <x v="0"/>
    <x v="0"/>
    <x v="0"/>
    <x v="4"/>
    <x v="5"/>
    <s v="LV_A"/>
    <x v="7"/>
    <x v="6"/>
    <s v="SM-HPP-LV"/>
    <x v="5"/>
    <x v="0"/>
    <n v="7.2362095414004601"/>
    <n v="440.20274710186197"/>
    <n v="1584.7298895667"/>
  </r>
  <r>
    <x v="0"/>
    <x v="0"/>
    <x v="0"/>
    <x v="4"/>
    <x v="5"/>
    <s v="LV_A"/>
    <x v="7"/>
    <x v="6"/>
    <s v="SM-HPP-LV"/>
    <x v="5"/>
    <x v="1"/>
    <n v="7.2362095414004601"/>
    <n v="440.20274710186197"/>
    <n v="1584.7298895667"/>
  </r>
  <r>
    <x v="0"/>
    <x v="0"/>
    <x v="0"/>
    <x v="4"/>
    <x v="5"/>
    <s v="LV_A"/>
    <x v="7"/>
    <x v="6"/>
    <s v="SM-HPP-LV"/>
    <x v="5"/>
    <x v="2"/>
    <n v="7.2362095414004601"/>
    <n v="440.20274710186197"/>
    <n v="1584.7298895667"/>
  </r>
  <r>
    <x v="0"/>
    <x v="0"/>
    <x v="0"/>
    <x v="4"/>
    <x v="5"/>
    <s v="LV_A"/>
    <x v="7"/>
    <x v="6"/>
    <s v="SM-HPP-LV"/>
    <x v="5"/>
    <x v="3"/>
    <n v="7.2362095414004601"/>
    <n v="440.20274710186197"/>
    <n v="1584.7298895667"/>
  </r>
  <r>
    <x v="0"/>
    <x v="0"/>
    <x v="0"/>
    <x v="4"/>
    <x v="5"/>
    <s v="LV_A"/>
    <x v="7"/>
    <x v="6"/>
    <s v="SM-HPP-LV"/>
    <x v="5"/>
    <x v="4"/>
    <n v="7.2362095414004601"/>
    <n v="440.20274710186197"/>
    <n v="1584.7298895667"/>
  </r>
  <r>
    <x v="0"/>
    <x v="0"/>
    <x v="0"/>
    <x v="4"/>
    <x v="5"/>
    <s v="LV_A"/>
    <x v="7"/>
    <x v="6"/>
    <s v="SM-HPP-LV"/>
    <x v="5"/>
    <x v="5"/>
    <n v="7.2362095414004601"/>
    <n v="440.20274710186197"/>
    <n v="1584.7298895667"/>
  </r>
  <r>
    <x v="0"/>
    <x v="0"/>
    <x v="0"/>
    <x v="4"/>
    <x v="5"/>
    <s v="LV_A"/>
    <x v="7"/>
    <x v="6"/>
    <s v="SM-HPP-LV"/>
    <x v="5"/>
    <x v="6"/>
    <n v="7.2362095414004601"/>
    <n v="440.20274710186197"/>
    <n v="1584.7298895667"/>
  </r>
  <r>
    <x v="0"/>
    <x v="0"/>
    <x v="0"/>
    <x v="4"/>
    <x v="5"/>
    <s v="LV_A"/>
    <x v="7"/>
    <x v="6"/>
    <s v="SM-HPP-LV"/>
    <x v="5"/>
    <x v="7"/>
    <n v="7.2362095414004601"/>
    <n v="440.20274710186197"/>
    <n v="1584.7298895667"/>
  </r>
  <r>
    <x v="0"/>
    <x v="0"/>
    <x v="0"/>
    <x v="4"/>
    <x v="5"/>
    <s v="LV_A"/>
    <x v="7"/>
    <x v="6"/>
    <s v="SM-HPP-LV"/>
    <x v="5"/>
    <x v="8"/>
    <n v="7.2362095414004601"/>
    <n v="440.20274710186197"/>
    <n v="1584.7298895667"/>
  </r>
  <r>
    <x v="0"/>
    <x v="0"/>
    <x v="0"/>
    <x v="4"/>
    <x v="5"/>
    <s v="LV_A"/>
    <x v="7"/>
    <x v="6"/>
    <s v="SM-HPP-LV"/>
    <x v="5"/>
    <x v="9"/>
    <n v="7.2362095414004601"/>
    <n v="440.20274710186197"/>
    <n v="1584.7298895667"/>
  </r>
  <r>
    <x v="0"/>
    <x v="0"/>
    <x v="0"/>
    <x v="4"/>
    <x v="5"/>
    <s v="LV_A"/>
    <x v="7"/>
    <x v="6"/>
    <s v="SM-HPP-LV"/>
    <x v="5"/>
    <x v="10"/>
    <n v="7.2362095414004601"/>
    <n v="440.20274710186197"/>
    <n v="1584.7298895667"/>
  </r>
  <r>
    <x v="0"/>
    <x v="0"/>
    <x v="0"/>
    <x v="4"/>
    <x v="5"/>
    <s v="LV_A"/>
    <x v="7"/>
    <x v="6"/>
    <s v="SM-HPP-LV"/>
    <x v="5"/>
    <x v="11"/>
    <n v="7.2362095414004601"/>
    <n v="440.20274710186197"/>
    <n v="1584.7298895667"/>
  </r>
  <r>
    <x v="0"/>
    <x v="0"/>
    <x v="0"/>
    <x v="4"/>
    <x v="5"/>
    <s v="LV_A"/>
    <x v="7"/>
    <x v="6"/>
    <s v="SM-HPP-LV"/>
    <x v="6"/>
    <x v="0"/>
    <n v="7.2362095414004601"/>
    <n v="440.20274710186197"/>
    <n v="1584.7298895667"/>
  </r>
  <r>
    <x v="0"/>
    <x v="0"/>
    <x v="0"/>
    <x v="4"/>
    <x v="5"/>
    <s v="LV_A"/>
    <x v="7"/>
    <x v="6"/>
    <s v="SM-HPP-LV"/>
    <x v="6"/>
    <x v="1"/>
    <n v="7.2362095414004601"/>
    <n v="440.20274710186197"/>
    <n v="1584.7298895667"/>
  </r>
  <r>
    <x v="0"/>
    <x v="0"/>
    <x v="0"/>
    <x v="4"/>
    <x v="5"/>
    <s v="LV_A"/>
    <x v="7"/>
    <x v="6"/>
    <s v="SM-HPP-LV"/>
    <x v="6"/>
    <x v="2"/>
    <n v="7.2362095414004601"/>
    <n v="440.20274710186197"/>
    <n v="1584.7298895667"/>
  </r>
  <r>
    <x v="0"/>
    <x v="0"/>
    <x v="0"/>
    <x v="4"/>
    <x v="5"/>
    <s v="LV_A"/>
    <x v="7"/>
    <x v="6"/>
    <s v="SM-HPP-LV"/>
    <x v="6"/>
    <x v="3"/>
    <n v="7.2362095414004601"/>
    <n v="440.20274710186197"/>
    <n v="1584.7298895667"/>
  </r>
  <r>
    <x v="0"/>
    <x v="0"/>
    <x v="0"/>
    <x v="4"/>
    <x v="5"/>
    <s v="LV_A"/>
    <x v="7"/>
    <x v="6"/>
    <s v="SM-HPP-LV"/>
    <x v="6"/>
    <x v="4"/>
    <n v="7.2362095414004601"/>
    <n v="440.20274710186197"/>
    <n v="1584.7298895667"/>
  </r>
  <r>
    <x v="0"/>
    <x v="0"/>
    <x v="0"/>
    <x v="4"/>
    <x v="5"/>
    <s v="LV_A"/>
    <x v="7"/>
    <x v="6"/>
    <s v="SM-HPP-LV"/>
    <x v="6"/>
    <x v="5"/>
    <n v="7.2362095414004601"/>
    <n v="440.20274710186197"/>
    <n v="1584.7298895667"/>
  </r>
  <r>
    <x v="0"/>
    <x v="0"/>
    <x v="0"/>
    <x v="4"/>
    <x v="5"/>
    <s v="LV_A"/>
    <x v="7"/>
    <x v="6"/>
    <s v="SM-HPP-LV"/>
    <x v="6"/>
    <x v="6"/>
    <n v="7.2362095414004601"/>
    <n v="440.20274710186197"/>
    <n v="1584.7298895667"/>
  </r>
  <r>
    <x v="0"/>
    <x v="0"/>
    <x v="0"/>
    <x v="4"/>
    <x v="5"/>
    <s v="LV_A"/>
    <x v="7"/>
    <x v="6"/>
    <s v="SM-HPP-LV"/>
    <x v="6"/>
    <x v="7"/>
    <n v="7.2362095414004601"/>
    <n v="440.20274710186197"/>
    <n v="1584.7298895667"/>
  </r>
  <r>
    <x v="0"/>
    <x v="0"/>
    <x v="0"/>
    <x v="4"/>
    <x v="5"/>
    <s v="LV_A"/>
    <x v="7"/>
    <x v="6"/>
    <s v="SM-HPP-LV"/>
    <x v="6"/>
    <x v="8"/>
    <n v="7.2362095414004601"/>
    <n v="440.20274710186197"/>
    <n v="1584.7298895667"/>
  </r>
  <r>
    <x v="0"/>
    <x v="0"/>
    <x v="0"/>
    <x v="4"/>
    <x v="5"/>
    <s v="LV_A"/>
    <x v="7"/>
    <x v="6"/>
    <s v="SM-HPP-LV"/>
    <x v="6"/>
    <x v="9"/>
    <n v="7.2362095414004601"/>
    <n v="440.20274710186197"/>
    <n v="1584.7298895667"/>
  </r>
  <r>
    <x v="0"/>
    <x v="0"/>
    <x v="0"/>
    <x v="4"/>
    <x v="5"/>
    <s v="LV_A"/>
    <x v="7"/>
    <x v="6"/>
    <s v="SM-HPP-LV"/>
    <x v="6"/>
    <x v="10"/>
    <n v="7.2362095414004601"/>
    <n v="440.20274710186197"/>
    <n v="1584.7298895667"/>
  </r>
  <r>
    <x v="0"/>
    <x v="0"/>
    <x v="0"/>
    <x v="4"/>
    <x v="5"/>
    <s v="LV_A"/>
    <x v="7"/>
    <x v="6"/>
    <s v="SM-HPP-LV"/>
    <x v="6"/>
    <x v="11"/>
    <n v="7.2362095414004601"/>
    <n v="440.20274710186197"/>
    <n v="1584.7298895667"/>
  </r>
  <r>
    <x v="0"/>
    <x v="0"/>
    <x v="0"/>
    <x v="4"/>
    <x v="5"/>
    <s v="LV_A"/>
    <x v="7"/>
    <x v="6"/>
    <s v="SM-HPP-LV"/>
    <x v="7"/>
    <x v="0"/>
    <n v="7.2362095414004601"/>
    <n v="440.20274710186197"/>
    <n v="1584.7298895667"/>
  </r>
  <r>
    <x v="0"/>
    <x v="0"/>
    <x v="0"/>
    <x v="4"/>
    <x v="5"/>
    <s v="LV_A"/>
    <x v="7"/>
    <x v="6"/>
    <s v="SM-HPP-LV"/>
    <x v="7"/>
    <x v="1"/>
    <n v="7.2362095414004601"/>
    <n v="440.20274710186197"/>
    <n v="1584.7298895667"/>
  </r>
  <r>
    <x v="0"/>
    <x v="0"/>
    <x v="0"/>
    <x v="4"/>
    <x v="5"/>
    <s v="LV_A"/>
    <x v="7"/>
    <x v="6"/>
    <s v="SM-HPP-LV"/>
    <x v="7"/>
    <x v="2"/>
    <n v="7.2362095414004601"/>
    <n v="440.20274710186197"/>
    <n v="1584.7298895667"/>
  </r>
  <r>
    <x v="0"/>
    <x v="0"/>
    <x v="0"/>
    <x v="4"/>
    <x v="5"/>
    <s v="LV_A"/>
    <x v="7"/>
    <x v="6"/>
    <s v="SM-HPP-LV"/>
    <x v="7"/>
    <x v="3"/>
    <n v="7.2362095414004601"/>
    <n v="440.20274710186197"/>
    <n v="1584.7298895667"/>
  </r>
  <r>
    <x v="0"/>
    <x v="0"/>
    <x v="0"/>
    <x v="4"/>
    <x v="5"/>
    <s v="LV_A"/>
    <x v="7"/>
    <x v="6"/>
    <s v="SM-HPP-LV"/>
    <x v="7"/>
    <x v="4"/>
    <n v="7.2362095414004601"/>
    <n v="440.20274710186197"/>
    <n v="1584.7298895667"/>
  </r>
  <r>
    <x v="0"/>
    <x v="0"/>
    <x v="0"/>
    <x v="4"/>
    <x v="5"/>
    <s v="LV_A"/>
    <x v="7"/>
    <x v="6"/>
    <s v="SM-HPP-LV"/>
    <x v="7"/>
    <x v="5"/>
    <n v="7.2362095414004601"/>
    <n v="440.20274710186197"/>
    <n v="1584.7298895667"/>
  </r>
  <r>
    <x v="0"/>
    <x v="0"/>
    <x v="0"/>
    <x v="4"/>
    <x v="5"/>
    <s v="LV_A"/>
    <x v="7"/>
    <x v="6"/>
    <s v="SM-HPP-LV"/>
    <x v="7"/>
    <x v="6"/>
    <n v="7.2362095414004601"/>
    <n v="440.20274710186197"/>
    <n v="1584.7298895667"/>
  </r>
  <r>
    <x v="0"/>
    <x v="0"/>
    <x v="0"/>
    <x v="4"/>
    <x v="5"/>
    <s v="LV_A"/>
    <x v="7"/>
    <x v="6"/>
    <s v="SM-HPP-LV"/>
    <x v="7"/>
    <x v="7"/>
    <n v="7.2362095414004601"/>
    <n v="440.20274710186197"/>
    <n v="1584.7298895667"/>
  </r>
  <r>
    <x v="0"/>
    <x v="0"/>
    <x v="0"/>
    <x v="4"/>
    <x v="5"/>
    <s v="LV_A"/>
    <x v="7"/>
    <x v="6"/>
    <s v="SM-HPP-LV"/>
    <x v="7"/>
    <x v="8"/>
    <n v="7.2362095414004601"/>
    <n v="440.20274710186197"/>
    <n v="1584.7298895667"/>
  </r>
  <r>
    <x v="0"/>
    <x v="0"/>
    <x v="0"/>
    <x v="4"/>
    <x v="5"/>
    <s v="LV_A"/>
    <x v="7"/>
    <x v="6"/>
    <s v="SM-HPP-LV"/>
    <x v="7"/>
    <x v="9"/>
    <n v="7.2362095414004601"/>
    <n v="440.20274710186197"/>
    <n v="1584.7298895667"/>
  </r>
  <r>
    <x v="0"/>
    <x v="0"/>
    <x v="0"/>
    <x v="4"/>
    <x v="5"/>
    <s v="LV_A"/>
    <x v="7"/>
    <x v="6"/>
    <s v="SM-HPP-LV"/>
    <x v="7"/>
    <x v="10"/>
    <n v="7.2362095414004601"/>
    <n v="440.20274710186197"/>
    <n v="1584.7298895667"/>
  </r>
  <r>
    <x v="0"/>
    <x v="0"/>
    <x v="0"/>
    <x v="4"/>
    <x v="5"/>
    <s v="LV_A"/>
    <x v="7"/>
    <x v="6"/>
    <s v="SM-HPP-LV"/>
    <x v="7"/>
    <x v="11"/>
    <n v="7.2362095414004601"/>
    <n v="440.20274710186197"/>
    <n v="1584.7298895667"/>
  </r>
  <r>
    <x v="0"/>
    <x v="0"/>
    <x v="0"/>
    <x v="4"/>
    <x v="5"/>
    <s v="LV_A"/>
    <x v="7"/>
    <x v="6"/>
    <s v="SM-HPP-LV"/>
    <x v="8"/>
    <x v="0"/>
    <n v="11.807200130696"/>
    <n v="718.27134128400803"/>
    <n v="2585.77682862243"/>
  </r>
  <r>
    <x v="0"/>
    <x v="0"/>
    <x v="0"/>
    <x v="4"/>
    <x v="5"/>
    <s v="LV_A"/>
    <x v="7"/>
    <x v="6"/>
    <s v="SM-HPP-LV"/>
    <x v="8"/>
    <x v="1"/>
    <n v="11.807200130696"/>
    <n v="718.27134128400803"/>
    <n v="2585.77682862243"/>
  </r>
  <r>
    <x v="0"/>
    <x v="0"/>
    <x v="0"/>
    <x v="4"/>
    <x v="5"/>
    <s v="LV_A"/>
    <x v="7"/>
    <x v="6"/>
    <s v="SM-HPP-LV"/>
    <x v="8"/>
    <x v="2"/>
    <n v="11.807200130696"/>
    <n v="718.27134128400803"/>
    <n v="2585.77682862243"/>
  </r>
  <r>
    <x v="0"/>
    <x v="0"/>
    <x v="0"/>
    <x v="4"/>
    <x v="5"/>
    <s v="LV_A"/>
    <x v="7"/>
    <x v="6"/>
    <s v="SM-HPP-LV"/>
    <x v="8"/>
    <x v="3"/>
    <n v="11.807200130696"/>
    <n v="718.27134128400803"/>
    <n v="2585.77682862243"/>
  </r>
  <r>
    <x v="0"/>
    <x v="0"/>
    <x v="0"/>
    <x v="4"/>
    <x v="5"/>
    <s v="LV_A"/>
    <x v="7"/>
    <x v="6"/>
    <s v="SM-HPP-LV"/>
    <x v="8"/>
    <x v="4"/>
    <n v="11.807200130696"/>
    <n v="718.27134128400803"/>
    <n v="2585.77682862243"/>
  </r>
  <r>
    <x v="0"/>
    <x v="0"/>
    <x v="0"/>
    <x v="4"/>
    <x v="5"/>
    <s v="LV_A"/>
    <x v="7"/>
    <x v="6"/>
    <s v="SM-HPP-LV"/>
    <x v="8"/>
    <x v="5"/>
    <n v="11.807200130696"/>
    <n v="718.27134128400803"/>
    <n v="2585.77682862243"/>
  </r>
  <r>
    <x v="0"/>
    <x v="0"/>
    <x v="0"/>
    <x v="4"/>
    <x v="5"/>
    <s v="LV_A"/>
    <x v="7"/>
    <x v="6"/>
    <s v="SM-HPP-LV"/>
    <x v="8"/>
    <x v="6"/>
    <n v="11.807200130696"/>
    <n v="718.27134128400803"/>
    <n v="2585.77682862243"/>
  </r>
  <r>
    <x v="0"/>
    <x v="0"/>
    <x v="0"/>
    <x v="4"/>
    <x v="5"/>
    <s v="LV_A"/>
    <x v="7"/>
    <x v="6"/>
    <s v="SM-HPP-LV"/>
    <x v="8"/>
    <x v="7"/>
    <n v="11.807200130696"/>
    <n v="718.27134128400803"/>
    <n v="2585.77682862243"/>
  </r>
  <r>
    <x v="0"/>
    <x v="0"/>
    <x v="0"/>
    <x v="4"/>
    <x v="5"/>
    <s v="LV_A"/>
    <x v="7"/>
    <x v="6"/>
    <s v="SM-HPP-LV"/>
    <x v="8"/>
    <x v="8"/>
    <n v="11.807200130696"/>
    <n v="718.27134128400803"/>
    <n v="2585.77682862243"/>
  </r>
  <r>
    <x v="0"/>
    <x v="0"/>
    <x v="0"/>
    <x v="4"/>
    <x v="5"/>
    <s v="LV_A"/>
    <x v="7"/>
    <x v="6"/>
    <s v="SM-HPP-LV"/>
    <x v="8"/>
    <x v="9"/>
    <n v="11.807200130696"/>
    <n v="718.27134128400803"/>
    <n v="2585.77682862243"/>
  </r>
  <r>
    <x v="0"/>
    <x v="0"/>
    <x v="0"/>
    <x v="4"/>
    <x v="5"/>
    <s v="LV_A"/>
    <x v="7"/>
    <x v="6"/>
    <s v="SM-HPP-LV"/>
    <x v="8"/>
    <x v="10"/>
    <n v="11.807200130696"/>
    <n v="718.27134128400803"/>
    <n v="2585.77682862243"/>
  </r>
  <r>
    <x v="0"/>
    <x v="0"/>
    <x v="0"/>
    <x v="4"/>
    <x v="5"/>
    <s v="LV_A"/>
    <x v="7"/>
    <x v="6"/>
    <s v="SM-HPP-LV"/>
    <x v="8"/>
    <x v="11"/>
    <n v="11.807200130696"/>
    <n v="718.27134128400803"/>
    <n v="2585.77682862243"/>
  </r>
  <r>
    <x v="0"/>
    <x v="0"/>
    <x v="0"/>
    <x v="4"/>
    <x v="5"/>
    <s v="LV_A"/>
    <x v="7"/>
    <x v="6"/>
    <s v="SM-HPP-LV"/>
    <x v="9"/>
    <x v="0"/>
    <n v="15.4371675399887"/>
    <n v="939.09435868264598"/>
    <n v="3380.73969125753"/>
  </r>
  <r>
    <x v="0"/>
    <x v="0"/>
    <x v="0"/>
    <x v="4"/>
    <x v="5"/>
    <s v="LV_A"/>
    <x v="7"/>
    <x v="6"/>
    <s v="SM-HPP-LV"/>
    <x v="9"/>
    <x v="1"/>
    <n v="15.4371675399887"/>
    <n v="939.09435868264598"/>
    <n v="3380.73969125753"/>
  </r>
  <r>
    <x v="0"/>
    <x v="0"/>
    <x v="0"/>
    <x v="4"/>
    <x v="5"/>
    <s v="LV_A"/>
    <x v="7"/>
    <x v="6"/>
    <s v="SM-HPP-LV"/>
    <x v="9"/>
    <x v="2"/>
    <n v="15.4371675399887"/>
    <n v="939.09435868264598"/>
    <n v="3380.73969125753"/>
  </r>
  <r>
    <x v="0"/>
    <x v="0"/>
    <x v="0"/>
    <x v="4"/>
    <x v="5"/>
    <s v="LV_A"/>
    <x v="7"/>
    <x v="6"/>
    <s v="SM-HPP-LV"/>
    <x v="9"/>
    <x v="3"/>
    <n v="15.4371675399887"/>
    <n v="939.09435868264598"/>
    <n v="3380.73969125753"/>
  </r>
  <r>
    <x v="0"/>
    <x v="0"/>
    <x v="0"/>
    <x v="4"/>
    <x v="5"/>
    <s v="LV_A"/>
    <x v="7"/>
    <x v="6"/>
    <s v="SM-HPP-LV"/>
    <x v="9"/>
    <x v="4"/>
    <n v="15.4371675399887"/>
    <n v="939.09435868264598"/>
    <n v="3380.73969125753"/>
  </r>
  <r>
    <x v="0"/>
    <x v="0"/>
    <x v="0"/>
    <x v="4"/>
    <x v="5"/>
    <s v="LV_A"/>
    <x v="7"/>
    <x v="6"/>
    <s v="SM-HPP-LV"/>
    <x v="9"/>
    <x v="5"/>
    <n v="15.4371675399887"/>
    <n v="939.09435868264598"/>
    <n v="3380.73969125753"/>
  </r>
  <r>
    <x v="0"/>
    <x v="0"/>
    <x v="0"/>
    <x v="4"/>
    <x v="5"/>
    <s v="LV_A"/>
    <x v="7"/>
    <x v="6"/>
    <s v="SM-HPP-LV"/>
    <x v="9"/>
    <x v="6"/>
    <n v="15.4371675399887"/>
    <n v="939.09435868264598"/>
    <n v="3380.73969125753"/>
  </r>
  <r>
    <x v="0"/>
    <x v="0"/>
    <x v="0"/>
    <x v="4"/>
    <x v="5"/>
    <s v="LV_A"/>
    <x v="7"/>
    <x v="6"/>
    <s v="SM-HPP-LV"/>
    <x v="9"/>
    <x v="7"/>
    <n v="15.4371675399887"/>
    <n v="939.09435868264598"/>
    <n v="3380.73969125753"/>
  </r>
  <r>
    <x v="0"/>
    <x v="0"/>
    <x v="0"/>
    <x v="4"/>
    <x v="5"/>
    <s v="LV_A"/>
    <x v="7"/>
    <x v="6"/>
    <s v="SM-HPP-LV"/>
    <x v="9"/>
    <x v="8"/>
    <n v="15.4371675399887"/>
    <n v="939.09435868264598"/>
    <n v="3380.73969125753"/>
  </r>
  <r>
    <x v="0"/>
    <x v="0"/>
    <x v="0"/>
    <x v="4"/>
    <x v="5"/>
    <s v="LV_A"/>
    <x v="7"/>
    <x v="6"/>
    <s v="SM-HPP-LV"/>
    <x v="9"/>
    <x v="9"/>
    <n v="15.4371675399887"/>
    <n v="939.09435868264598"/>
    <n v="3380.73969125753"/>
  </r>
  <r>
    <x v="0"/>
    <x v="0"/>
    <x v="0"/>
    <x v="4"/>
    <x v="5"/>
    <s v="LV_A"/>
    <x v="7"/>
    <x v="6"/>
    <s v="SM-HPP-LV"/>
    <x v="9"/>
    <x v="10"/>
    <n v="15.4371675399887"/>
    <n v="939.09435868264598"/>
    <n v="3380.73969125753"/>
  </r>
  <r>
    <x v="0"/>
    <x v="0"/>
    <x v="0"/>
    <x v="4"/>
    <x v="5"/>
    <s v="LV_A"/>
    <x v="7"/>
    <x v="6"/>
    <s v="SM-HPP-LV"/>
    <x v="9"/>
    <x v="11"/>
    <n v="15.4371675399887"/>
    <n v="939.09435868264598"/>
    <n v="3380.73969125753"/>
  </r>
  <r>
    <x v="0"/>
    <x v="0"/>
    <x v="0"/>
    <x v="4"/>
    <x v="5"/>
    <s v="LV_A"/>
    <x v="7"/>
    <x v="6"/>
    <s v="SM-HPP-LV"/>
    <x v="10"/>
    <x v="0"/>
    <n v="15.4371675399887"/>
    <n v="939.09435868264598"/>
    <n v="3380.73969125753"/>
  </r>
  <r>
    <x v="0"/>
    <x v="0"/>
    <x v="0"/>
    <x v="4"/>
    <x v="5"/>
    <s v="LV_A"/>
    <x v="7"/>
    <x v="6"/>
    <s v="SM-HPP-LV"/>
    <x v="10"/>
    <x v="1"/>
    <n v="15.4371675399887"/>
    <n v="939.09435868264598"/>
    <n v="3380.73969125753"/>
  </r>
  <r>
    <x v="0"/>
    <x v="0"/>
    <x v="0"/>
    <x v="4"/>
    <x v="5"/>
    <s v="LV_A"/>
    <x v="7"/>
    <x v="6"/>
    <s v="SM-HPP-LV"/>
    <x v="10"/>
    <x v="2"/>
    <n v="15.4371675399887"/>
    <n v="939.09435868264598"/>
    <n v="3380.73969125753"/>
  </r>
  <r>
    <x v="0"/>
    <x v="0"/>
    <x v="0"/>
    <x v="4"/>
    <x v="5"/>
    <s v="LV_A"/>
    <x v="7"/>
    <x v="6"/>
    <s v="SM-HPP-LV"/>
    <x v="10"/>
    <x v="3"/>
    <n v="15.4371675399887"/>
    <n v="939.09435868264598"/>
    <n v="3380.73969125753"/>
  </r>
  <r>
    <x v="0"/>
    <x v="0"/>
    <x v="0"/>
    <x v="4"/>
    <x v="5"/>
    <s v="LV_A"/>
    <x v="7"/>
    <x v="6"/>
    <s v="SM-HPP-LV"/>
    <x v="10"/>
    <x v="4"/>
    <n v="15.4371675399887"/>
    <n v="939.09435868264598"/>
    <n v="3380.73969125753"/>
  </r>
  <r>
    <x v="0"/>
    <x v="0"/>
    <x v="0"/>
    <x v="4"/>
    <x v="5"/>
    <s v="LV_A"/>
    <x v="7"/>
    <x v="6"/>
    <s v="SM-HPP-LV"/>
    <x v="10"/>
    <x v="5"/>
    <n v="15.4371675399887"/>
    <n v="939.09435868264598"/>
    <n v="3380.73969125753"/>
  </r>
  <r>
    <x v="0"/>
    <x v="0"/>
    <x v="0"/>
    <x v="4"/>
    <x v="5"/>
    <s v="LV_A"/>
    <x v="7"/>
    <x v="6"/>
    <s v="SM-HPP-LV"/>
    <x v="10"/>
    <x v="6"/>
    <n v="15.4371675399887"/>
    <n v="939.09435868264598"/>
    <n v="3380.73969125753"/>
  </r>
  <r>
    <x v="0"/>
    <x v="0"/>
    <x v="0"/>
    <x v="4"/>
    <x v="5"/>
    <s v="LV_A"/>
    <x v="7"/>
    <x v="6"/>
    <s v="SM-HPP-LV"/>
    <x v="10"/>
    <x v="7"/>
    <n v="15.4371675399887"/>
    <n v="939.09435868264598"/>
    <n v="3380.73969125753"/>
  </r>
  <r>
    <x v="0"/>
    <x v="0"/>
    <x v="0"/>
    <x v="4"/>
    <x v="5"/>
    <s v="LV_A"/>
    <x v="7"/>
    <x v="6"/>
    <s v="SM-HPP-LV"/>
    <x v="10"/>
    <x v="8"/>
    <n v="15.4371675399887"/>
    <n v="939.09435868264598"/>
    <n v="3380.73969125753"/>
  </r>
  <r>
    <x v="0"/>
    <x v="0"/>
    <x v="0"/>
    <x v="4"/>
    <x v="5"/>
    <s v="LV_A"/>
    <x v="7"/>
    <x v="6"/>
    <s v="SM-HPP-LV"/>
    <x v="10"/>
    <x v="9"/>
    <n v="15.4371675399887"/>
    <n v="939.09435868264598"/>
    <n v="3380.73969125753"/>
  </r>
  <r>
    <x v="0"/>
    <x v="0"/>
    <x v="0"/>
    <x v="4"/>
    <x v="5"/>
    <s v="LV_A"/>
    <x v="7"/>
    <x v="6"/>
    <s v="SM-HPP-LV"/>
    <x v="10"/>
    <x v="10"/>
    <n v="15.4371675399887"/>
    <n v="939.09435868264598"/>
    <n v="3380.73969125753"/>
  </r>
  <r>
    <x v="0"/>
    <x v="0"/>
    <x v="0"/>
    <x v="4"/>
    <x v="5"/>
    <s v="LV_A"/>
    <x v="7"/>
    <x v="6"/>
    <s v="SM-HPP-LV"/>
    <x v="10"/>
    <x v="11"/>
    <n v="15.4371675399887"/>
    <n v="939.09435868264598"/>
    <n v="3380.73969125753"/>
  </r>
  <r>
    <x v="0"/>
    <x v="0"/>
    <x v="0"/>
    <x v="4"/>
    <x v="5"/>
    <s v="LV_A"/>
    <x v="7"/>
    <x v="6"/>
    <s v="SM-HPP-LV"/>
    <x v="11"/>
    <x v="0"/>
    <n v="15.4371675399887"/>
    <n v="939.09435868264598"/>
    <n v="3380.73969125753"/>
  </r>
  <r>
    <x v="0"/>
    <x v="0"/>
    <x v="0"/>
    <x v="4"/>
    <x v="5"/>
    <s v="LV_A"/>
    <x v="7"/>
    <x v="6"/>
    <s v="SM-HPP-LV"/>
    <x v="11"/>
    <x v="1"/>
    <n v="15.4371675399887"/>
    <n v="939.09435868264598"/>
    <n v="3380.73969125753"/>
  </r>
  <r>
    <x v="0"/>
    <x v="0"/>
    <x v="0"/>
    <x v="4"/>
    <x v="5"/>
    <s v="LV_A"/>
    <x v="7"/>
    <x v="6"/>
    <s v="SM-HPP-LV"/>
    <x v="11"/>
    <x v="2"/>
    <n v="15.4371675399887"/>
    <n v="939.09435868264598"/>
    <n v="3380.73969125753"/>
  </r>
  <r>
    <x v="0"/>
    <x v="0"/>
    <x v="0"/>
    <x v="4"/>
    <x v="5"/>
    <s v="LV_A"/>
    <x v="7"/>
    <x v="6"/>
    <s v="SM-HPP-LV"/>
    <x v="11"/>
    <x v="3"/>
    <n v="15.4371675399887"/>
    <n v="939.09435868264598"/>
    <n v="3380.73969125753"/>
  </r>
  <r>
    <x v="0"/>
    <x v="0"/>
    <x v="0"/>
    <x v="4"/>
    <x v="5"/>
    <s v="LV_A"/>
    <x v="7"/>
    <x v="6"/>
    <s v="SM-HPP-LV"/>
    <x v="11"/>
    <x v="4"/>
    <n v="15.4371675399887"/>
    <n v="939.09435868264598"/>
    <n v="3380.73969125753"/>
  </r>
  <r>
    <x v="0"/>
    <x v="0"/>
    <x v="0"/>
    <x v="4"/>
    <x v="5"/>
    <s v="LV_A"/>
    <x v="7"/>
    <x v="6"/>
    <s v="SM-HPP-LV"/>
    <x v="11"/>
    <x v="5"/>
    <n v="15.4371675399887"/>
    <n v="939.09435868264598"/>
    <n v="3380.73969125753"/>
  </r>
  <r>
    <x v="0"/>
    <x v="0"/>
    <x v="0"/>
    <x v="4"/>
    <x v="5"/>
    <s v="LV_A"/>
    <x v="7"/>
    <x v="6"/>
    <s v="SM-HPP-LV"/>
    <x v="11"/>
    <x v="6"/>
    <n v="15.4371675399887"/>
    <n v="939.09435868264598"/>
    <n v="3380.73969125753"/>
  </r>
  <r>
    <x v="0"/>
    <x v="0"/>
    <x v="0"/>
    <x v="4"/>
    <x v="5"/>
    <s v="LV_A"/>
    <x v="7"/>
    <x v="6"/>
    <s v="SM-HPP-LV"/>
    <x v="11"/>
    <x v="7"/>
    <n v="15.4371675399887"/>
    <n v="939.09435868264598"/>
    <n v="3380.73969125753"/>
  </r>
  <r>
    <x v="0"/>
    <x v="0"/>
    <x v="0"/>
    <x v="4"/>
    <x v="5"/>
    <s v="LV_A"/>
    <x v="7"/>
    <x v="6"/>
    <s v="SM-HPP-LV"/>
    <x v="11"/>
    <x v="8"/>
    <n v="15.4371675399887"/>
    <n v="939.09435868264598"/>
    <n v="3380.73969125753"/>
  </r>
  <r>
    <x v="0"/>
    <x v="0"/>
    <x v="0"/>
    <x v="4"/>
    <x v="5"/>
    <s v="LV_A"/>
    <x v="7"/>
    <x v="6"/>
    <s v="SM-HPP-LV"/>
    <x v="11"/>
    <x v="9"/>
    <n v="15.4371675399887"/>
    <n v="939.09435868264598"/>
    <n v="3380.73969125753"/>
  </r>
  <r>
    <x v="0"/>
    <x v="0"/>
    <x v="0"/>
    <x v="4"/>
    <x v="5"/>
    <s v="LV_A"/>
    <x v="7"/>
    <x v="6"/>
    <s v="SM-HPP-LV"/>
    <x v="11"/>
    <x v="10"/>
    <n v="15.4371675399887"/>
    <n v="939.09435868264598"/>
    <n v="3380.73969125753"/>
  </r>
  <r>
    <x v="0"/>
    <x v="0"/>
    <x v="0"/>
    <x v="4"/>
    <x v="5"/>
    <s v="LV_A"/>
    <x v="7"/>
    <x v="6"/>
    <s v="SM-HPP-LV"/>
    <x v="11"/>
    <x v="11"/>
    <n v="15.4371675399887"/>
    <n v="939.09435868264598"/>
    <n v="3380.73969125753"/>
  </r>
  <r>
    <x v="0"/>
    <x v="0"/>
    <x v="0"/>
    <x v="4"/>
    <x v="5"/>
    <s v="LV_A"/>
    <x v="0"/>
    <x v="0"/>
    <s v="WI-L10"/>
    <x v="0"/>
    <x v="0"/>
    <n v="37.544181510658703"/>
    <n v="2283.9377085650699"/>
    <n v="8222.1757508342598"/>
  </r>
  <r>
    <x v="0"/>
    <x v="0"/>
    <x v="0"/>
    <x v="4"/>
    <x v="5"/>
    <s v="LV_A"/>
    <x v="0"/>
    <x v="0"/>
    <s v="WI-L10"/>
    <x v="0"/>
    <x v="1"/>
    <n v="35.041236076614801"/>
    <n v="2131.6751946607301"/>
    <n v="7674.0307007786496"/>
  </r>
  <r>
    <x v="0"/>
    <x v="0"/>
    <x v="0"/>
    <x v="4"/>
    <x v="5"/>
    <s v="LV_A"/>
    <x v="0"/>
    <x v="0"/>
    <s v="WI-L10"/>
    <x v="0"/>
    <x v="2"/>
    <n v="40.047126944702697"/>
    <n v="2436.2002224694102"/>
    <n v="8770.32080088988"/>
  </r>
  <r>
    <x v="0"/>
    <x v="0"/>
    <x v="0"/>
    <x v="4"/>
    <x v="5"/>
    <s v="LV_A"/>
    <x v="0"/>
    <x v="0"/>
    <s v="WI-L10"/>
    <x v="0"/>
    <x v="3"/>
    <n v="22.5265089063952"/>
    <n v="1370.3626251390399"/>
    <n v="4933.3054505005603"/>
  </r>
  <r>
    <x v="0"/>
    <x v="0"/>
    <x v="0"/>
    <x v="4"/>
    <x v="5"/>
    <s v="LV_A"/>
    <x v="0"/>
    <x v="0"/>
    <s v="WI-L10"/>
    <x v="0"/>
    <x v="4"/>
    <n v="20.023563472351299"/>
    <n v="1218.1001112347101"/>
    <n v="4385.16040044494"/>
  </r>
  <r>
    <x v="0"/>
    <x v="0"/>
    <x v="0"/>
    <x v="4"/>
    <x v="5"/>
    <s v="LV_A"/>
    <x v="0"/>
    <x v="0"/>
    <s v="WI-L10"/>
    <x v="0"/>
    <x v="5"/>
    <n v="27.5323997744831"/>
    <n v="1674.88765294772"/>
    <n v="6029.5955506117898"/>
  </r>
  <r>
    <x v="0"/>
    <x v="0"/>
    <x v="0"/>
    <x v="4"/>
    <x v="5"/>
    <s v="LV_A"/>
    <x v="0"/>
    <x v="0"/>
    <s v="WI-L10"/>
    <x v="0"/>
    <x v="6"/>
    <n v="15.017672604263501"/>
    <n v="913.57508342602898"/>
    <n v="3288.87030033371"/>
  </r>
  <r>
    <x v="0"/>
    <x v="0"/>
    <x v="0"/>
    <x v="4"/>
    <x v="5"/>
    <s v="LV_A"/>
    <x v="0"/>
    <x v="0"/>
    <s v="WI-L10"/>
    <x v="0"/>
    <x v="7"/>
    <n v="25.029454340439099"/>
    <n v="1522.6251390433799"/>
    <n v="5481.4505005561696"/>
  </r>
  <r>
    <x v="0"/>
    <x v="0"/>
    <x v="0"/>
    <x v="4"/>
    <x v="5"/>
    <s v="LV_A"/>
    <x v="0"/>
    <x v="0"/>
    <s v="WI-L10"/>
    <x v="0"/>
    <x v="8"/>
    <n v="30.035345208527001"/>
    <n v="1827.15016685206"/>
    <n v="6577.74060066741"/>
  </r>
  <r>
    <x v="0"/>
    <x v="0"/>
    <x v="0"/>
    <x v="4"/>
    <x v="5"/>
    <s v="LV_A"/>
    <x v="0"/>
    <x v="0"/>
    <s v="WI-L10"/>
    <x v="0"/>
    <x v="9"/>
    <n v="35.041236076614801"/>
    <n v="2131.6751946607301"/>
    <n v="7674.0307007786496"/>
  </r>
  <r>
    <x v="0"/>
    <x v="0"/>
    <x v="0"/>
    <x v="4"/>
    <x v="5"/>
    <s v="LV_A"/>
    <x v="0"/>
    <x v="0"/>
    <s v="WI-L10"/>
    <x v="0"/>
    <x v="10"/>
    <n v="47.555963246834402"/>
    <n v="2892.9877641824301"/>
    <n v="10414.755951056701"/>
  </r>
  <r>
    <x v="0"/>
    <x v="0"/>
    <x v="0"/>
    <x v="4"/>
    <x v="5"/>
    <s v="LV_A"/>
    <x v="0"/>
    <x v="0"/>
    <s v="WI-L10"/>
    <x v="0"/>
    <x v="11"/>
    <n v="47.555963246834402"/>
    <n v="2892.9877641824301"/>
    <n v="10414.755951056701"/>
  </r>
  <r>
    <x v="0"/>
    <x v="0"/>
    <x v="0"/>
    <x v="4"/>
    <x v="5"/>
    <s v="LV_A"/>
    <x v="0"/>
    <x v="0"/>
    <s v="WI-L10"/>
    <x v="1"/>
    <x v="0"/>
    <n v="15.017672604263501"/>
    <n v="913.57508342602898"/>
    <n v="3288.87030033371"/>
  </r>
  <r>
    <x v="0"/>
    <x v="0"/>
    <x v="0"/>
    <x v="4"/>
    <x v="5"/>
    <s v="LV_A"/>
    <x v="0"/>
    <x v="0"/>
    <s v="WI-L10"/>
    <x v="1"/>
    <x v="1"/>
    <n v="20.023563472351299"/>
    <n v="1218.1001112347101"/>
    <n v="4385.16040044494"/>
  </r>
  <r>
    <x v="0"/>
    <x v="0"/>
    <x v="0"/>
    <x v="4"/>
    <x v="5"/>
    <s v="LV_A"/>
    <x v="0"/>
    <x v="0"/>
    <s v="WI-L10"/>
    <x v="1"/>
    <x v="2"/>
    <n v="22.5265089063952"/>
    <n v="1370.3626251390399"/>
    <n v="4933.3054505005603"/>
  </r>
  <r>
    <x v="0"/>
    <x v="0"/>
    <x v="0"/>
    <x v="4"/>
    <x v="5"/>
    <s v="LV_A"/>
    <x v="0"/>
    <x v="0"/>
    <s v="WI-L10"/>
    <x v="1"/>
    <x v="3"/>
    <n v="27.5323997744831"/>
    <n v="1674.88765294772"/>
    <n v="6029.5955506117898"/>
  </r>
  <r>
    <x v="0"/>
    <x v="0"/>
    <x v="0"/>
    <x v="4"/>
    <x v="5"/>
    <s v="LV_A"/>
    <x v="0"/>
    <x v="0"/>
    <s v="WI-L10"/>
    <x v="1"/>
    <x v="4"/>
    <n v="30.035345208527001"/>
    <n v="1827.15016685206"/>
    <n v="6577.74060066741"/>
  </r>
  <r>
    <x v="0"/>
    <x v="0"/>
    <x v="0"/>
    <x v="4"/>
    <x v="5"/>
    <s v="LV_A"/>
    <x v="0"/>
    <x v="0"/>
    <s v="WI-L10"/>
    <x v="1"/>
    <x v="5"/>
    <n v="32.5382906425709"/>
    <n v="1979.4126807564001"/>
    <n v="7125.8856507230303"/>
  </r>
  <r>
    <x v="0"/>
    <x v="0"/>
    <x v="0"/>
    <x v="4"/>
    <x v="5"/>
    <s v="LV_A"/>
    <x v="0"/>
    <x v="0"/>
    <s v="WI-L10"/>
    <x v="1"/>
    <x v="6"/>
    <n v="32.5382906425709"/>
    <n v="1979.4126807564001"/>
    <n v="7125.8856507230303"/>
  </r>
  <r>
    <x v="0"/>
    <x v="0"/>
    <x v="0"/>
    <x v="4"/>
    <x v="5"/>
    <s v="LV_A"/>
    <x v="0"/>
    <x v="0"/>
    <s v="WI-L10"/>
    <x v="1"/>
    <x v="7"/>
    <n v="35.041236076614801"/>
    <n v="2131.6751946607301"/>
    <n v="7674.0307007786496"/>
  </r>
  <r>
    <x v="0"/>
    <x v="0"/>
    <x v="0"/>
    <x v="4"/>
    <x v="5"/>
    <s v="LV_A"/>
    <x v="0"/>
    <x v="0"/>
    <s v="WI-L10"/>
    <x v="1"/>
    <x v="8"/>
    <n v="35.041236076614801"/>
    <n v="2131.6751946607301"/>
    <n v="7674.0307007786496"/>
  </r>
  <r>
    <x v="0"/>
    <x v="0"/>
    <x v="0"/>
    <x v="4"/>
    <x v="5"/>
    <s v="LV_A"/>
    <x v="0"/>
    <x v="0"/>
    <s v="WI-L10"/>
    <x v="1"/>
    <x v="9"/>
    <n v="22.5265089063952"/>
    <n v="1370.3626251390399"/>
    <n v="4933.3054505005603"/>
  </r>
  <r>
    <x v="0"/>
    <x v="0"/>
    <x v="0"/>
    <x v="4"/>
    <x v="5"/>
    <s v="LV_A"/>
    <x v="0"/>
    <x v="0"/>
    <s v="WI-L10"/>
    <x v="1"/>
    <x v="10"/>
    <n v="20.023563472351299"/>
    <n v="1218.1001112347101"/>
    <n v="4385.16040044494"/>
  </r>
  <r>
    <x v="0"/>
    <x v="0"/>
    <x v="0"/>
    <x v="4"/>
    <x v="5"/>
    <s v="LV_A"/>
    <x v="0"/>
    <x v="0"/>
    <s v="WI-L10"/>
    <x v="1"/>
    <x v="11"/>
    <n v="30.035345208527001"/>
    <n v="1827.15016685206"/>
    <n v="6577.74060066741"/>
  </r>
  <r>
    <x v="0"/>
    <x v="0"/>
    <x v="0"/>
    <x v="4"/>
    <x v="5"/>
    <s v="LV_A"/>
    <x v="0"/>
    <x v="0"/>
    <s v="WI-L10"/>
    <x v="2"/>
    <x v="0"/>
    <n v="42.550072378746599"/>
    <n v="2588.46273637375"/>
    <n v="9318.4658509455003"/>
  </r>
  <r>
    <x v="0"/>
    <x v="0"/>
    <x v="0"/>
    <x v="4"/>
    <x v="5"/>
    <s v="LV_A"/>
    <x v="0"/>
    <x v="0"/>
    <s v="WI-L10"/>
    <x v="2"/>
    <x v="1"/>
    <n v="5.00589086808783"/>
    <n v="304.52502780867599"/>
    <n v="1096.29010011124"/>
  </r>
  <r>
    <x v="0"/>
    <x v="0"/>
    <x v="0"/>
    <x v="4"/>
    <x v="5"/>
    <s v="LV_A"/>
    <x v="0"/>
    <x v="0"/>
    <s v="WI-L10"/>
    <x v="2"/>
    <x v="2"/>
    <n v="2.5029454340439199"/>
    <n v="152.26251390433799"/>
    <n v="548.14505005561796"/>
  </r>
  <r>
    <x v="0"/>
    <x v="0"/>
    <x v="0"/>
    <x v="4"/>
    <x v="5"/>
    <s v="LV_A"/>
    <x v="0"/>
    <x v="0"/>
    <s v="WI-L10"/>
    <x v="2"/>
    <x v="3"/>
    <n v="12.514727170219601"/>
    <n v="761.31256952169099"/>
    <n v="2740.7252502780898"/>
  </r>
  <r>
    <x v="0"/>
    <x v="0"/>
    <x v="0"/>
    <x v="4"/>
    <x v="5"/>
    <s v="LV_A"/>
    <x v="0"/>
    <x v="0"/>
    <s v="WI-L10"/>
    <x v="2"/>
    <x v="4"/>
    <n v="35.041236076614801"/>
    <n v="2131.6751946607301"/>
    <n v="7674.0307007786496"/>
  </r>
  <r>
    <x v="0"/>
    <x v="0"/>
    <x v="0"/>
    <x v="4"/>
    <x v="5"/>
    <s v="LV_A"/>
    <x v="0"/>
    <x v="0"/>
    <s v="WI-L10"/>
    <x v="2"/>
    <x v="5"/>
    <n v="45.0530178127905"/>
    <n v="2740.7252502780898"/>
    <n v="9866.6109010011096"/>
  </r>
  <r>
    <x v="0"/>
    <x v="0"/>
    <x v="0"/>
    <x v="4"/>
    <x v="5"/>
    <s v="LV_A"/>
    <x v="0"/>
    <x v="0"/>
    <s v="WI-L10"/>
    <x v="2"/>
    <x v="6"/>
    <n v="45.0530178127905"/>
    <n v="2740.7252502780898"/>
    <n v="9866.6109010011096"/>
  </r>
  <r>
    <x v="0"/>
    <x v="0"/>
    <x v="0"/>
    <x v="4"/>
    <x v="5"/>
    <s v="LV_A"/>
    <x v="0"/>
    <x v="0"/>
    <s v="WI-L10"/>
    <x v="2"/>
    <x v="7"/>
    <n v="45.0530178127905"/>
    <n v="2740.7252502780898"/>
    <n v="9866.6109010011096"/>
  </r>
  <r>
    <x v="0"/>
    <x v="0"/>
    <x v="0"/>
    <x v="4"/>
    <x v="5"/>
    <s v="LV_A"/>
    <x v="0"/>
    <x v="0"/>
    <s v="WI-L10"/>
    <x v="2"/>
    <x v="8"/>
    <n v="40.047126944702697"/>
    <n v="2436.2002224694102"/>
    <n v="8770.32080088988"/>
  </r>
  <r>
    <x v="0"/>
    <x v="0"/>
    <x v="0"/>
    <x v="4"/>
    <x v="5"/>
    <s v="LV_A"/>
    <x v="0"/>
    <x v="0"/>
    <s v="WI-L10"/>
    <x v="2"/>
    <x v="9"/>
    <n v="25.029454340439099"/>
    <n v="1522.6251390433799"/>
    <n v="5481.4505005561696"/>
  </r>
  <r>
    <x v="0"/>
    <x v="0"/>
    <x v="0"/>
    <x v="4"/>
    <x v="5"/>
    <s v="LV_A"/>
    <x v="0"/>
    <x v="0"/>
    <s v="WI-L10"/>
    <x v="2"/>
    <x v="10"/>
    <n v="20.023563472351299"/>
    <n v="1218.1001112347101"/>
    <n v="4385.16040044494"/>
  </r>
  <r>
    <x v="0"/>
    <x v="0"/>
    <x v="0"/>
    <x v="4"/>
    <x v="5"/>
    <s v="LV_A"/>
    <x v="0"/>
    <x v="0"/>
    <s v="WI-L10"/>
    <x v="2"/>
    <x v="11"/>
    <n v="15.017672604263501"/>
    <n v="913.57508342602898"/>
    <n v="3288.87030033371"/>
  </r>
  <r>
    <x v="0"/>
    <x v="0"/>
    <x v="0"/>
    <x v="4"/>
    <x v="5"/>
    <s v="LV_A"/>
    <x v="0"/>
    <x v="0"/>
    <s v="WI-L10"/>
    <x v="3"/>
    <x v="5"/>
    <n v="2.5029454340439199"/>
    <n v="152.26251390433799"/>
    <n v="548.14505005561796"/>
  </r>
  <r>
    <x v="0"/>
    <x v="0"/>
    <x v="0"/>
    <x v="4"/>
    <x v="5"/>
    <s v="LV_A"/>
    <x v="0"/>
    <x v="0"/>
    <s v="WI-L10"/>
    <x v="3"/>
    <x v="6"/>
    <n v="2.5029454340439199"/>
    <n v="152.26251390433799"/>
    <n v="548.14505005561796"/>
  </r>
  <r>
    <x v="0"/>
    <x v="0"/>
    <x v="0"/>
    <x v="4"/>
    <x v="5"/>
    <s v="LV_A"/>
    <x v="0"/>
    <x v="0"/>
    <s v="WI-L10"/>
    <x v="4"/>
    <x v="0"/>
    <n v="7.5088363021317504"/>
    <n v="456.787541713015"/>
    <n v="1644.43515016685"/>
  </r>
  <r>
    <x v="0"/>
    <x v="0"/>
    <x v="0"/>
    <x v="4"/>
    <x v="5"/>
    <s v="LV_A"/>
    <x v="0"/>
    <x v="0"/>
    <s v="WI-L10"/>
    <x v="4"/>
    <x v="1"/>
    <n v="10.011781736175701"/>
    <n v="609.050055617353"/>
    <n v="2192.58020022247"/>
  </r>
  <r>
    <x v="0"/>
    <x v="0"/>
    <x v="0"/>
    <x v="4"/>
    <x v="5"/>
    <s v="LV_A"/>
    <x v="0"/>
    <x v="0"/>
    <s v="WI-L10"/>
    <x v="4"/>
    <x v="2"/>
    <n v="10.011781736175701"/>
    <n v="609.050055617353"/>
    <n v="2192.58020022247"/>
  </r>
  <r>
    <x v="0"/>
    <x v="0"/>
    <x v="0"/>
    <x v="4"/>
    <x v="5"/>
    <s v="LV_A"/>
    <x v="0"/>
    <x v="0"/>
    <s v="WI-L10"/>
    <x v="4"/>
    <x v="3"/>
    <n v="12.514727170219601"/>
    <n v="761.31256952169099"/>
    <n v="2740.7252502780898"/>
  </r>
  <r>
    <x v="0"/>
    <x v="0"/>
    <x v="0"/>
    <x v="4"/>
    <x v="5"/>
    <s v="LV_A"/>
    <x v="0"/>
    <x v="0"/>
    <s v="WI-L10"/>
    <x v="4"/>
    <x v="4"/>
    <n v="20.023563472351299"/>
    <n v="1218.1001112347101"/>
    <n v="4385.16040044494"/>
  </r>
  <r>
    <x v="0"/>
    <x v="0"/>
    <x v="0"/>
    <x v="4"/>
    <x v="5"/>
    <s v="LV_A"/>
    <x v="0"/>
    <x v="0"/>
    <s v="WI-L10"/>
    <x v="4"/>
    <x v="5"/>
    <n v="12.514727170219601"/>
    <n v="761.31256952169099"/>
    <n v="2740.7252502780898"/>
  </r>
  <r>
    <x v="0"/>
    <x v="0"/>
    <x v="0"/>
    <x v="4"/>
    <x v="5"/>
    <s v="LV_A"/>
    <x v="0"/>
    <x v="0"/>
    <s v="WI-L10"/>
    <x v="4"/>
    <x v="6"/>
    <n v="7.5088363021317504"/>
    <n v="456.787541713015"/>
    <n v="1644.43515016685"/>
  </r>
  <r>
    <x v="0"/>
    <x v="0"/>
    <x v="0"/>
    <x v="4"/>
    <x v="5"/>
    <s v="LV_A"/>
    <x v="0"/>
    <x v="0"/>
    <s v="WI-L10"/>
    <x v="4"/>
    <x v="7"/>
    <n v="5.00589086808783"/>
    <n v="304.52502780867599"/>
    <n v="1096.29010011124"/>
  </r>
  <r>
    <x v="0"/>
    <x v="0"/>
    <x v="0"/>
    <x v="4"/>
    <x v="5"/>
    <s v="LV_A"/>
    <x v="0"/>
    <x v="0"/>
    <s v="WI-L10"/>
    <x v="4"/>
    <x v="8"/>
    <n v="2.5029454340439199"/>
    <n v="152.26251390433799"/>
    <n v="548.14505005561796"/>
  </r>
  <r>
    <x v="0"/>
    <x v="0"/>
    <x v="0"/>
    <x v="4"/>
    <x v="5"/>
    <s v="LV_A"/>
    <x v="0"/>
    <x v="0"/>
    <s v="WI-L10"/>
    <x v="5"/>
    <x v="0"/>
    <n v="2.5029454340439199"/>
    <n v="152.26251390433799"/>
    <n v="548.14505005561796"/>
  </r>
  <r>
    <x v="0"/>
    <x v="0"/>
    <x v="0"/>
    <x v="4"/>
    <x v="5"/>
    <s v="LV_A"/>
    <x v="0"/>
    <x v="0"/>
    <s v="WI-L10"/>
    <x v="5"/>
    <x v="1"/>
    <n v="2.5029454340439199"/>
    <n v="152.26251390433799"/>
    <n v="548.14505005561796"/>
  </r>
  <r>
    <x v="0"/>
    <x v="0"/>
    <x v="0"/>
    <x v="4"/>
    <x v="5"/>
    <s v="LV_A"/>
    <x v="0"/>
    <x v="0"/>
    <s v="WI-L10"/>
    <x v="5"/>
    <x v="2"/>
    <n v="2.5029454340439199"/>
    <n v="152.26251390433799"/>
    <n v="548.14505005561796"/>
  </r>
  <r>
    <x v="0"/>
    <x v="0"/>
    <x v="0"/>
    <x v="4"/>
    <x v="5"/>
    <s v="LV_A"/>
    <x v="0"/>
    <x v="0"/>
    <s v="WI-L10"/>
    <x v="5"/>
    <x v="6"/>
    <n v="5.00589086808783"/>
    <n v="304.52502780867599"/>
    <n v="1096.29010011124"/>
  </r>
  <r>
    <x v="0"/>
    <x v="0"/>
    <x v="0"/>
    <x v="4"/>
    <x v="5"/>
    <s v="LV_A"/>
    <x v="0"/>
    <x v="0"/>
    <s v="WI-L10"/>
    <x v="5"/>
    <x v="7"/>
    <n v="2.5029454340439199"/>
    <n v="152.26251390433799"/>
    <n v="548.14505005561796"/>
  </r>
  <r>
    <x v="0"/>
    <x v="0"/>
    <x v="0"/>
    <x v="4"/>
    <x v="5"/>
    <s v="LV_A"/>
    <x v="0"/>
    <x v="0"/>
    <s v="WI-L10"/>
    <x v="5"/>
    <x v="9"/>
    <n v="2.5029454340439199"/>
    <n v="152.26251390433799"/>
    <n v="548.14505005561796"/>
  </r>
  <r>
    <x v="0"/>
    <x v="0"/>
    <x v="0"/>
    <x v="4"/>
    <x v="5"/>
    <s v="LV_A"/>
    <x v="0"/>
    <x v="0"/>
    <s v="WI-L10"/>
    <x v="5"/>
    <x v="10"/>
    <n v="5.00589086808783"/>
    <n v="304.52502780867599"/>
    <n v="1096.29010011124"/>
  </r>
  <r>
    <x v="0"/>
    <x v="0"/>
    <x v="0"/>
    <x v="4"/>
    <x v="5"/>
    <s v="LV_A"/>
    <x v="0"/>
    <x v="0"/>
    <s v="WI-L10"/>
    <x v="5"/>
    <x v="11"/>
    <n v="2.5029454340439199"/>
    <n v="152.26251390433799"/>
    <n v="548.14505005561796"/>
  </r>
  <r>
    <x v="0"/>
    <x v="0"/>
    <x v="0"/>
    <x v="4"/>
    <x v="5"/>
    <s v="LV_A"/>
    <x v="0"/>
    <x v="0"/>
    <s v="WI-L10"/>
    <x v="6"/>
    <x v="0"/>
    <n v="15.017672604263501"/>
    <n v="913.57508342602898"/>
    <n v="3288.87030033371"/>
  </r>
  <r>
    <x v="0"/>
    <x v="0"/>
    <x v="0"/>
    <x v="4"/>
    <x v="5"/>
    <s v="LV_A"/>
    <x v="0"/>
    <x v="0"/>
    <s v="WI-L10"/>
    <x v="6"/>
    <x v="1"/>
    <n v="15.017672604263501"/>
    <n v="913.57508342602898"/>
    <n v="3288.87030033371"/>
  </r>
  <r>
    <x v="0"/>
    <x v="0"/>
    <x v="0"/>
    <x v="4"/>
    <x v="5"/>
    <s v="LV_A"/>
    <x v="0"/>
    <x v="0"/>
    <s v="WI-L10"/>
    <x v="6"/>
    <x v="2"/>
    <n v="15.017672604263501"/>
    <n v="913.57508342602898"/>
    <n v="3288.87030033371"/>
  </r>
  <r>
    <x v="0"/>
    <x v="0"/>
    <x v="0"/>
    <x v="4"/>
    <x v="5"/>
    <s v="LV_A"/>
    <x v="0"/>
    <x v="0"/>
    <s v="WI-L10"/>
    <x v="6"/>
    <x v="3"/>
    <n v="12.514727170219601"/>
    <n v="761.31256952169099"/>
    <n v="2740.7252502780898"/>
  </r>
  <r>
    <x v="0"/>
    <x v="0"/>
    <x v="0"/>
    <x v="4"/>
    <x v="5"/>
    <s v="LV_A"/>
    <x v="0"/>
    <x v="0"/>
    <s v="WI-L10"/>
    <x v="6"/>
    <x v="4"/>
    <n v="12.514727170219601"/>
    <n v="761.31256952169099"/>
    <n v="2740.7252502780898"/>
  </r>
  <r>
    <x v="0"/>
    <x v="0"/>
    <x v="0"/>
    <x v="4"/>
    <x v="5"/>
    <s v="LV_A"/>
    <x v="0"/>
    <x v="0"/>
    <s v="WI-L10"/>
    <x v="6"/>
    <x v="5"/>
    <n v="7.5088363021317504"/>
    <n v="456.787541713015"/>
    <n v="1644.43515016685"/>
  </r>
  <r>
    <x v="0"/>
    <x v="0"/>
    <x v="0"/>
    <x v="4"/>
    <x v="5"/>
    <s v="LV_A"/>
    <x v="0"/>
    <x v="0"/>
    <s v="WI-L10"/>
    <x v="6"/>
    <x v="6"/>
    <n v="12.514727170219601"/>
    <n v="761.31256952169099"/>
    <n v="2740.7252502780898"/>
  </r>
  <r>
    <x v="0"/>
    <x v="0"/>
    <x v="0"/>
    <x v="4"/>
    <x v="5"/>
    <s v="LV_A"/>
    <x v="0"/>
    <x v="0"/>
    <s v="WI-L10"/>
    <x v="6"/>
    <x v="7"/>
    <n v="17.520618038307401"/>
    <n v="1065.83759733037"/>
    <n v="3837.0153503893198"/>
  </r>
  <r>
    <x v="0"/>
    <x v="0"/>
    <x v="0"/>
    <x v="4"/>
    <x v="5"/>
    <s v="LV_A"/>
    <x v="0"/>
    <x v="0"/>
    <s v="WI-L10"/>
    <x v="6"/>
    <x v="8"/>
    <n v="17.520618038307401"/>
    <n v="1065.83759733037"/>
    <n v="3837.0153503893198"/>
  </r>
  <r>
    <x v="0"/>
    <x v="0"/>
    <x v="0"/>
    <x v="4"/>
    <x v="5"/>
    <s v="LV_A"/>
    <x v="0"/>
    <x v="0"/>
    <s v="WI-L10"/>
    <x v="6"/>
    <x v="9"/>
    <n v="15.017672604263501"/>
    <n v="913.57508342602898"/>
    <n v="3288.87030033371"/>
  </r>
  <r>
    <x v="0"/>
    <x v="0"/>
    <x v="0"/>
    <x v="4"/>
    <x v="5"/>
    <s v="LV_A"/>
    <x v="0"/>
    <x v="0"/>
    <s v="WI-L10"/>
    <x v="6"/>
    <x v="10"/>
    <n v="17.520618038307401"/>
    <n v="1065.83759733037"/>
    <n v="3837.0153503893198"/>
  </r>
  <r>
    <x v="0"/>
    <x v="0"/>
    <x v="0"/>
    <x v="4"/>
    <x v="5"/>
    <s v="LV_A"/>
    <x v="0"/>
    <x v="0"/>
    <s v="WI-L10"/>
    <x v="6"/>
    <x v="11"/>
    <n v="17.520618038307401"/>
    <n v="1065.83759733037"/>
    <n v="3837.0153503893198"/>
  </r>
  <r>
    <x v="0"/>
    <x v="0"/>
    <x v="0"/>
    <x v="4"/>
    <x v="5"/>
    <s v="LV_A"/>
    <x v="0"/>
    <x v="0"/>
    <s v="WI-L10"/>
    <x v="7"/>
    <x v="0"/>
    <n v="5.00589086808783"/>
    <n v="304.52502780867599"/>
    <n v="1096.29010011124"/>
  </r>
  <r>
    <x v="0"/>
    <x v="0"/>
    <x v="0"/>
    <x v="4"/>
    <x v="5"/>
    <s v="LV_A"/>
    <x v="0"/>
    <x v="0"/>
    <s v="WI-L10"/>
    <x v="7"/>
    <x v="1"/>
    <n v="7.5088363021317504"/>
    <n v="456.787541713015"/>
    <n v="1644.43515016685"/>
  </r>
  <r>
    <x v="0"/>
    <x v="0"/>
    <x v="0"/>
    <x v="4"/>
    <x v="5"/>
    <s v="LV_A"/>
    <x v="0"/>
    <x v="0"/>
    <s v="WI-L10"/>
    <x v="7"/>
    <x v="2"/>
    <n v="2.5029454340439199"/>
    <n v="152.26251390433799"/>
    <n v="548.14505005561796"/>
  </r>
  <r>
    <x v="0"/>
    <x v="0"/>
    <x v="0"/>
    <x v="4"/>
    <x v="5"/>
    <s v="LV_A"/>
    <x v="0"/>
    <x v="0"/>
    <s v="WI-L10"/>
    <x v="7"/>
    <x v="3"/>
    <n v="7.5088363021317504"/>
    <n v="456.787541713015"/>
    <n v="1644.43515016685"/>
  </r>
  <r>
    <x v="0"/>
    <x v="0"/>
    <x v="0"/>
    <x v="4"/>
    <x v="5"/>
    <s v="LV_A"/>
    <x v="0"/>
    <x v="0"/>
    <s v="WI-L10"/>
    <x v="7"/>
    <x v="4"/>
    <n v="10.011781736175701"/>
    <n v="609.050055617353"/>
    <n v="2192.58020022247"/>
  </r>
  <r>
    <x v="0"/>
    <x v="0"/>
    <x v="0"/>
    <x v="4"/>
    <x v="5"/>
    <s v="LV_A"/>
    <x v="0"/>
    <x v="0"/>
    <s v="WI-L10"/>
    <x v="7"/>
    <x v="5"/>
    <n v="12.514727170219601"/>
    <n v="761.31256952169099"/>
    <n v="2740.7252502780898"/>
  </r>
  <r>
    <x v="0"/>
    <x v="0"/>
    <x v="0"/>
    <x v="4"/>
    <x v="5"/>
    <s v="LV_A"/>
    <x v="0"/>
    <x v="0"/>
    <s v="WI-L10"/>
    <x v="7"/>
    <x v="6"/>
    <n v="5.00589086808783"/>
    <n v="304.52502780867599"/>
    <n v="1096.29010011124"/>
  </r>
  <r>
    <x v="0"/>
    <x v="0"/>
    <x v="0"/>
    <x v="4"/>
    <x v="5"/>
    <s v="LV_A"/>
    <x v="0"/>
    <x v="0"/>
    <s v="WI-L10"/>
    <x v="7"/>
    <x v="7"/>
    <n v="5.00589086808783"/>
    <n v="304.52502780867599"/>
    <n v="1096.29010011124"/>
  </r>
  <r>
    <x v="0"/>
    <x v="0"/>
    <x v="0"/>
    <x v="4"/>
    <x v="5"/>
    <s v="LV_A"/>
    <x v="0"/>
    <x v="0"/>
    <s v="WI-L10"/>
    <x v="7"/>
    <x v="8"/>
    <n v="10.011781736175701"/>
    <n v="609.050055617353"/>
    <n v="2192.58020022247"/>
  </r>
  <r>
    <x v="0"/>
    <x v="0"/>
    <x v="0"/>
    <x v="4"/>
    <x v="5"/>
    <s v="LV_A"/>
    <x v="0"/>
    <x v="0"/>
    <s v="WI-L10"/>
    <x v="7"/>
    <x v="9"/>
    <n v="5.00589086808783"/>
    <n v="304.52502780867599"/>
    <n v="1096.29010011124"/>
  </r>
  <r>
    <x v="0"/>
    <x v="0"/>
    <x v="0"/>
    <x v="4"/>
    <x v="5"/>
    <s v="LV_A"/>
    <x v="0"/>
    <x v="0"/>
    <s v="WI-L10"/>
    <x v="7"/>
    <x v="10"/>
    <n v="5.00589086808783"/>
    <n v="304.52502780867599"/>
    <n v="1096.29010011124"/>
  </r>
  <r>
    <x v="0"/>
    <x v="0"/>
    <x v="0"/>
    <x v="4"/>
    <x v="5"/>
    <s v="LV_A"/>
    <x v="0"/>
    <x v="0"/>
    <s v="WI-L10"/>
    <x v="7"/>
    <x v="11"/>
    <n v="5.00589086808783"/>
    <n v="304.52502780867599"/>
    <n v="1096.29010011124"/>
  </r>
  <r>
    <x v="0"/>
    <x v="0"/>
    <x v="0"/>
    <x v="4"/>
    <x v="5"/>
    <s v="LV_A"/>
    <x v="0"/>
    <x v="0"/>
    <s v="WI-L10"/>
    <x v="8"/>
    <x v="0"/>
    <n v="22.5265089063952"/>
    <n v="1370.3626251390399"/>
    <n v="4933.3054505005603"/>
  </r>
  <r>
    <x v="0"/>
    <x v="0"/>
    <x v="0"/>
    <x v="4"/>
    <x v="5"/>
    <s v="LV_A"/>
    <x v="0"/>
    <x v="0"/>
    <s v="WI-L10"/>
    <x v="8"/>
    <x v="1"/>
    <n v="20.023563472351299"/>
    <n v="1218.1001112347101"/>
    <n v="4385.16040044494"/>
  </r>
  <r>
    <x v="0"/>
    <x v="0"/>
    <x v="0"/>
    <x v="4"/>
    <x v="5"/>
    <s v="LV_A"/>
    <x v="0"/>
    <x v="0"/>
    <s v="WI-L10"/>
    <x v="8"/>
    <x v="2"/>
    <n v="17.520618038307401"/>
    <n v="1065.83759733037"/>
    <n v="3837.0153503893198"/>
  </r>
  <r>
    <x v="0"/>
    <x v="0"/>
    <x v="0"/>
    <x v="4"/>
    <x v="5"/>
    <s v="LV_A"/>
    <x v="0"/>
    <x v="0"/>
    <s v="WI-L10"/>
    <x v="8"/>
    <x v="3"/>
    <n v="12.514727170219601"/>
    <n v="761.31256952169099"/>
    <n v="2740.7252502780898"/>
  </r>
  <r>
    <x v="0"/>
    <x v="0"/>
    <x v="0"/>
    <x v="4"/>
    <x v="5"/>
    <s v="LV_A"/>
    <x v="0"/>
    <x v="0"/>
    <s v="WI-L10"/>
    <x v="8"/>
    <x v="4"/>
    <n v="15.017672604263501"/>
    <n v="913.57508342602898"/>
    <n v="3288.87030033371"/>
  </r>
  <r>
    <x v="0"/>
    <x v="0"/>
    <x v="0"/>
    <x v="4"/>
    <x v="5"/>
    <s v="LV_A"/>
    <x v="0"/>
    <x v="0"/>
    <s v="WI-L10"/>
    <x v="8"/>
    <x v="5"/>
    <n v="17.520618038307401"/>
    <n v="1065.83759733037"/>
    <n v="3837.0153503893198"/>
  </r>
  <r>
    <x v="0"/>
    <x v="0"/>
    <x v="0"/>
    <x v="4"/>
    <x v="5"/>
    <s v="LV_A"/>
    <x v="0"/>
    <x v="0"/>
    <s v="WI-L10"/>
    <x v="8"/>
    <x v="6"/>
    <n v="15.017672604263501"/>
    <n v="913.57508342602898"/>
    <n v="3288.87030033371"/>
  </r>
  <r>
    <x v="0"/>
    <x v="0"/>
    <x v="0"/>
    <x v="4"/>
    <x v="5"/>
    <s v="LV_A"/>
    <x v="0"/>
    <x v="0"/>
    <s v="WI-L10"/>
    <x v="8"/>
    <x v="7"/>
    <n v="12.514727170219601"/>
    <n v="761.31256952169099"/>
    <n v="2740.7252502780898"/>
  </r>
  <r>
    <x v="0"/>
    <x v="0"/>
    <x v="0"/>
    <x v="4"/>
    <x v="5"/>
    <s v="LV_A"/>
    <x v="0"/>
    <x v="0"/>
    <s v="WI-L10"/>
    <x v="8"/>
    <x v="8"/>
    <n v="15.017672604263501"/>
    <n v="913.57508342602898"/>
    <n v="3288.87030033371"/>
  </r>
  <r>
    <x v="0"/>
    <x v="0"/>
    <x v="0"/>
    <x v="4"/>
    <x v="5"/>
    <s v="LV_A"/>
    <x v="0"/>
    <x v="0"/>
    <s v="WI-L10"/>
    <x v="8"/>
    <x v="9"/>
    <n v="12.514727170219601"/>
    <n v="761.31256952169099"/>
    <n v="2740.7252502780898"/>
  </r>
  <r>
    <x v="0"/>
    <x v="0"/>
    <x v="0"/>
    <x v="4"/>
    <x v="5"/>
    <s v="LV_A"/>
    <x v="0"/>
    <x v="0"/>
    <s v="WI-L10"/>
    <x v="8"/>
    <x v="10"/>
    <n v="12.514727170219601"/>
    <n v="761.31256952169099"/>
    <n v="2740.7252502780898"/>
  </r>
  <r>
    <x v="0"/>
    <x v="0"/>
    <x v="0"/>
    <x v="4"/>
    <x v="5"/>
    <s v="LV_A"/>
    <x v="0"/>
    <x v="0"/>
    <s v="WI-L10"/>
    <x v="8"/>
    <x v="11"/>
    <n v="10.011781736175701"/>
    <n v="609.050055617353"/>
    <n v="2192.58020022247"/>
  </r>
  <r>
    <x v="0"/>
    <x v="0"/>
    <x v="0"/>
    <x v="4"/>
    <x v="5"/>
    <s v="LV_A"/>
    <x v="0"/>
    <x v="0"/>
    <s v="WI-L10"/>
    <x v="9"/>
    <x v="0"/>
    <n v="5.00589086808783"/>
    <n v="304.52502780867599"/>
    <n v="1096.29010011124"/>
  </r>
  <r>
    <x v="0"/>
    <x v="0"/>
    <x v="0"/>
    <x v="4"/>
    <x v="5"/>
    <s v="LV_A"/>
    <x v="0"/>
    <x v="0"/>
    <s v="WI-L10"/>
    <x v="9"/>
    <x v="1"/>
    <n v="2.5029454340439199"/>
    <n v="152.26251390433799"/>
    <n v="548.14505005561796"/>
  </r>
  <r>
    <x v="0"/>
    <x v="0"/>
    <x v="0"/>
    <x v="4"/>
    <x v="5"/>
    <s v="LV_A"/>
    <x v="0"/>
    <x v="0"/>
    <s v="WI-L10"/>
    <x v="9"/>
    <x v="2"/>
    <n v="2.5029454340439199"/>
    <n v="152.26251390433799"/>
    <n v="548.14505005561796"/>
  </r>
  <r>
    <x v="0"/>
    <x v="0"/>
    <x v="0"/>
    <x v="4"/>
    <x v="5"/>
    <s v="LV_A"/>
    <x v="0"/>
    <x v="0"/>
    <s v="WI-L10"/>
    <x v="9"/>
    <x v="3"/>
    <n v="2.5029454340439199"/>
    <n v="152.26251390433799"/>
    <n v="548.14505005561796"/>
  </r>
  <r>
    <x v="0"/>
    <x v="0"/>
    <x v="0"/>
    <x v="4"/>
    <x v="5"/>
    <s v="LV_A"/>
    <x v="0"/>
    <x v="0"/>
    <s v="WI-L10"/>
    <x v="9"/>
    <x v="4"/>
    <n v="5.00589086808783"/>
    <n v="304.52502780867599"/>
    <n v="1096.29010011124"/>
  </r>
  <r>
    <x v="0"/>
    <x v="0"/>
    <x v="0"/>
    <x v="4"/>
    <x v="5"/>
    <s v="LV_A"/>
    <x v="0"/>
    <x v="0"/>
    <s v="WI-L10"/>
    <x v="9"/>
    <x v="5"/>
    <n v="5.00589086808783"/>
    <n v="304.52502780867599"/>
    <n v="1096.29010011124"/>
  </r>
  <r>
    <x v="0"/>
    <x v="0"/>
    <x v="0"/>
    <x v="4"/>
    <x v="5"/>
    <s v="LV_A"/>
    <x v="0"/>
    <x v="0"/>
    <s v="WI-L10"/>
    <x v="10"/>
    <x v="0"/>
    <n v="7.5088363021317504"/>
    <n v="456.787541713015"/>
    <n v="1644.43515016685"/>
  </r>
  <r>
    <x v="0"/>
    <x v="0"/>
    <x v="0"/>
    <x v="4"/>
    <x v="5"/>
    <s v="LV_A"/>
    <x v="0"/>
    <x v="0"/>
    <s v="WI-L10"/>
    <x v="10"/>
    <x v="1"/>
    <n v="10.011781736175701"/>
    <n v="609.050055617353"/>
    <n v="2192.58020022247"/>
  </r>
  <r>
    <x v="0"/>
    <x v="0"/>
    <x v="0"/>
    <x v="4"/>
    <x v="5"/>
    <s v="LV_A"/>
    <x v="0"/>
    <x v="0"/>
    <s v="WI-L10"/>
    <x v="10"/>
    <x v="2"/>
    <n v="15.017672604263501"/>
    <n v="913.57508342602898"/>
    <n v="3288.87030033371"/>
  </r>
  <r>
    <x v="0"/>
    <x v="0"/>
    <x v="0"/>
    <x v="4"/>
    <x v="5"/>
    <s v="LV_A"/>
    <x v="0"/>
    <x v="0"/>
    <s v="WI-L10"/>
    <x v="10"/>
    <x v="3"/>
    <n v="10.011781736175701"/>
    <n v="609.050055617353"/>
    <n v="2192.58020022247"/>
  </r>
  <r>
    <x v="0"/>
    <x v="0"/>
    <x v="0"/>
    <x v="4"/>
    <x v="5"/>
    <s v="LV_A"/>
    <x v="0"/>
    <x v="0"/>
    <s v="WI-L10"/>
    <x v="10"/>
    <x v="4"/>
    <n v="5.00589086808783"/>
    <n v="304.52502780867599"/>
    <n v="1096.29010011124"/>
  </r>
  <r>
    <x v="0"/>
    <x v="0"/>
    <x v="0"/>
    <x v="4"/>
    <x v="5"/>
    <s v="LV_A"/>
    <x v="0"/>
    <x v="0"/>
    <s v="WI-L10"/>
    <x v="10"/>
    <x v="6"/>
    <n v="2.5029454340439199"/>
    <n v="152.26251390433799"/>
    <n v="548.14505005561796"/>
  </r>
  <r>
    <x v="0"/>
    <x v="0"/>
    <x v="0"/>
    <x v="4"/>
    <x v="5"/>
    <s v="LV_A"/>
    <x v="0"/>
    <x v="0"/>
    <s v="WI-L10"/>
    <x v="10"/>
    <x v="7"/>
    <n v="2.5029454340439199"/>
    <n v="152.26251390433799"/>
    <n v="548.14505005561796"/>
  </r>
  <r>
    <x v="0"/>
    <x v="0"/>
    <x v="0"/>
    <x v="4"/>
    <x v="5"/>
    <s v="LV_A"/>
    <x v="0"/>
    <x v="0"/>
    <s v="WI-L10"/>
    <x v="10"/>
    <x v="8"/>
    <n v="2.5029454340439199"/>
    <n v="152.26251390433799"/>
    <n v="548.14505005561796"/>
  </r>
  <r>
    <x v="0"/>
    <x v="0"/>
    <x v="0"/>
    <x v="4"/>
    <x v="5"/>
    <s v="LV_A"/>
    <x v="0"/>
    <x v="0"/>
    <s v="WI-L10"/>
    <x v="10"/>
    <x v="11"/>
    <n v="2.5029454340439199"/>
    <n v="152.26251390433799"/>
    <n v="548.14505005561796"/>
  </r>
  <r>
    <x v="0"/>
    <x v="0"/>
    <x v="0"/>
    <x v="4"/>
    <x v="5"/>
    <s v="LV_A"/>
    <x v="0"/>
    <x v="0"/>
    <s v="WI-L10"/>
    <x v="11"/>
    <x v="0"/>
    <n v="40.047126944702697"/>
    <n v="2436.2002224694102"/>
    <n v="8770.32080088988"/>
  </r>
  <r>
    <x v="0"/>
    <x v="0"/>
    <x v="0"/>
    <x v="4"/>
    <x v="5"/>
    <s v="LV_A"/>
    <x v="0"/>
    <x v="0"/>
    <s v="WI-L10"/>
    <x v="11"/>
    <x v="1"/>
    <n v="47.555963246834402"/>
    <n v="2892.9877641824301"/>
    <n v="10414.755951056701"/>
  </r>
  <r>
    <x v="0"/>
    <x v="0"/>
    <x v="0"/>
    <x v="4"/>
    <x v="5"/>
    <s v="LV_A"/>
    <x v="0"/>
    <x v="0"/>
    <s v="WI-L10"/>
    <x v="11"/>
    <x v="2"/>
    <n v="47.555963246834402"/>
    <n v="2892.9877641824301"/>
    <n v="10414.755951056701"/>
  </r>
  <r>
    <x v="0"/>
    <x v="0"/>
    <x v="0"/>
    <x v="4"/>
    <x v="5"/>
    <s v="LV_A"/>
    <x v="0"/>
    <x v="0"/>
    <s v="WI-L10"/>
    <x v="11"/>
    <x v="3"/>
    <n v="47.555963246834402"/>
    <n v="2892.9877641824301"/>
    <n v="10414.755951056701"/>
  </r>
  <r>
    <x v="0"/>
    <x v="0"/>
    <x v="0"/>
    <x v="4"/>
    <x v="5"/>
    <s v="LV_A"/>
    <x v="0"/>
    <x v="0"/>
    <s v="WI-L10"/>
    <x v="11"/>
    <x v="4"/>
    <n v="47.555963246834402"/>
    <n v="2892.9877641824301"/>
    <n v="10414.755951056701"/>
  </r>
  <r>
    <x v="0"/>
    <x v="0"/>
    <x v="0"/>
    <x v="4"/>
    <x v="5"/>
    <s v="LV_A"/>
    <x v="0"/>
    <x v="0"/>
    <s v="WI-L10"/>
    <x v="11"/>
    <x v="5"/>
    <n v="50.058908680878297"/>
    <n v="3045.2502780867599"/>
    <n v="10962.901001112299"/>
  </r>
  <r>
    <x v="0"/>
    <x v="0"/>
    <x v="0"/>
    <x v="4"/>
    <x v="5"/>
    <s v="LV_A"/>
    <x v="0"/>
    <x v="0"/>
    <s v="WI-L10"/>
    <x v="11"/>
    <x v="6"/>
    <n v="50.058908680878297"/>
    <n v="3045.2502780867599"/>
    <n v="10962.901001112299"/>
  </r>
  <r>
    <x v="0"/>
    <x v="0"/>
    <x v="0"/>
    <x v="4"/>
    <x v="5"/>
    <s v="LV_A"/>
    <x v="0"/>
    <x v="0"/>
    <s v="WI-L10"/>
    <x v="11"/>
    <x v="7"/>
    <n v="50.058908680878297"/>
    <n v="3045.2502780867599"/>
    <n v="10962.901001112299"/>
  </r>
  <r>
    <x v="0"/>
    <x v="0"/>
    <x v="0"/>
    <x v="4"/>
    <x v="5"/>
    <s v="LV_A"/>
    <x v="0"/>
    <x v="0"/>
    <s v="WI-L10"/>
    <x v="11"/>
    <x v="8"/>
    <n v="50.058908680878297"/>
    <n v="3045.2502780867599"/>
    <n v="10962.901001112299"/>
  </r>
  <r>
    <x v="0"/>
    <x v="0"/>
    <x v="0"/>
    <x v="4"/>
    <x v="5"/>
    <s v="LV_A"/>
    <x v="0"/>
    <x v="0"/>
    <s v="WI-L10"/>
    <x v="11"/>
    <x v="9"/>
    <n v="50.058908680878297"/>
    <n v="3045.2502780867599"/>
    <n v="10962.901001112299"/>
  </r>
  <r>
    <x v="0"/>
    <x v="0"/>
    <x v="0"/>
    <x v="4"/>
    <x v="5"/>
    <s v="LV_A"/>
    <x v="0"/>
    <x v="0"/>
    <s v="WI-L10"/>
    <x v="11"/>
    <x v="10"/>
    <n v="50.058908680878297"/>
    <n v="3045.2502780867599"/>
    <n v="10962.901001112299"/>
  </r>
  <r>
    <x v="0"/>
    <x v="0"/>
    <x v="0"/>
    <x v="4"/>
    <x v="5"/>
    <s v="LV_A"/>
    <x v="0"/>
    <x v="0"/>
    <s v="WI-L10"/>
    <x v="11"/>
    <x v="11"/>
    <n v="45.0530178127905"/>
    <n v="2740.7252502780898"/>
    <n v="9866.6109010011096"/>
  </r>
  <r>
    <x v="0"/>
    <x v="0"/>
    <x v="0"/>
    <x v="4"/>
    <x v="5"/>
    <s v="LV_A"/>
    <x v="0"/>
    <x v="0"/>
    <s v="WI-L9"/>
    <x v="0"/>
    <x v="0"/>
    <n v="27.606015816660801"/>
    <n v="1679.3659621802001"/>
    <n v="6045.7174638487204"/>
  </r>
  <r>
    <x v="0"/>
    <x v="0"/>
    <x v="0"/>
    <x v="4"/>
    <x v="5"/>
    <s v="LV_A"/>
    <x v="0"/>
    <x v="0"/>
    <s v="WI-L9"/>
    <x v="0"/>
    <x v="1"/>
    <n v="25.765614762216799"/>
    <n v="1567.4082313681899"/>
    <n v="5642.6696329254701"/>
  </r>
  <r>
    <x v="0"/>
    <x v="0"/>
    <x v="0"/>
    <x v="4"/>
    <x v="5"/>
    <s v="LV_A"/>
    <x v="0"/>
    <x v="0"/>
    <s v="WI-L9"/>
    <x v="0"/>
    <x v="2"/>
    <n v="29.446416871104901"/>
    <n v="1791.32369299221"/>
    <n v="6448.7652947719698"/>
  </r>
  <r>
    <x v="0"/>
    <x v="0"/>
    <x v="0"/>
    <x v="4"/>
    <x v="5"/>
    <s v="LV_A"/>
    <x v="0"/>
    <x v="0"/>
    <s v="WI-L9"/>
    <x v="0"/>
    <x v="3"/>
    <n v="16.563609489996502"/>
    <n v="1007.61957730812"/>
    <n v="3627.4304783092298"/>
  </r>
  <r>
    <x v="0"/>
    <x v="0"/>
    <x v="0"/>
    <x v="4"/>
    <x v="5"/>
    <s v="LV_A"/>
    <x v="0"/>
    <x v="0"/>
    <s v="WI-L9"/>
    <x v="0"/>
    <x v="4"/>
    <n v="14.723208435552401"/>
    <n v="895.66184649610705"/>
    <n v="3224.3826473859899"/>
  </r>
  <r>
    <x v="0"/>
    <x v="0"/>
    <x v="0"/>
    <x v="4"/>
    <x v="5"/>
    <s v="LV_A"/>
    <x v="0"/>
    <x v="0"/>
    <s v="WI-L9"/>
    <x v="0"/>
    <x v="5"/>
    <n v="20.2444115988846"/>
    <n v="1231.53503893215"/>
    <n v="4433.52614015573"/>
  </r>
  <r>
    <x v="0"/>
    <x v="0"/>
    <x v="0"/>
    <x v="4"/>
    <x v="5"/>
    <s v="LV_A"/>
    <x v="0"/>
    <x v="0"/>
    <s v="WI-L9"/>
    <x v="0"/>
    <x v="6"/>
    <n v="11.042406326664301"/>
    <n v="671.74638487207994"/>
    <n v="2418.2869855394902"/>
  </r>
  <r>
    <x v="0"/>
    <x v="0"/>
    <x v="0"/>
    <x v="4"/>
    <x v="5"/>
    <s v="LV_A"/>
    <x v="0"/>
    <x v="0"/>
    <s v="WI-L9"/>
    <x v="0"/>
    <x v="7"/>
    <n v="18.404010544440599"/>
    <n v="1119.5773081201301"/>
    <n v="4030.4783092324801"/>
  </r>
  <r>
    <x v="0"/>
    <x v="0"/>
    <x v="0"/>
    <x v="4"/>
    <x v="5"/>
    <s v="LV_A"/>
    <x v="0"/>
    <x v="0"/>
    <s v="WI-L9"/>
    <x v="0"/>
    <x v="8"/>
    <n v="22.084812653328701"/>
    <n v="1343.4927697441599"/>
    <n v="4836.5739710789803"/>
  </r>
  <r>
    <x v="0"/>
    <x v="0"/>
    <x v="0"/>
    <x v="4"/>
    <x v="5"/>
    <s v="LV_A"/>
    <x v="0"/>
    <x v="0"/>
    <s v="WI-L9"/>
    <x v="0"/>
    <x v="9"/>
    <n v="25.765614762216799"/>
    <n v="1567.4082313681899"/>
    <n v="5642.6696329254701"/>
  </r>
  <r>
    <x v="0"/>
    <x v="0"/>
    <x v="0"/>
    <x v="4"/>
    <x v="5"/>
    <s v="LV_A"/>
    <x v="0"/>
    <x v="0"/>
    <s v="WI-L9"/>
    <x v="0"/>
    <x v="10"/>
    <n v="34.967620034437097"/>
    <n v="2127.19688542825"/>
    <n v="7657.9087875417099"/>
  </r>
  <r>
    <x v="0"/>
    <x v="0"/>
    <x v="0"/>
    <x v="4"/>
    <x v="5"/>
    <s v="LV_A"/>
    <x v="0"/>
    <x v="0"/>
    <s v="WI-L9"/>
    <x v="0"/>
    <x v="11"/>
    <n v="34.967620034437097"/>
    <n v="2127.19688542825"/>
    <n v="7657.9087875417099"/>
  </r>
  <r>
    <x v="0"/>
    <x v="0"/>
    <x v="0"/>
    <x v="4"/>
    <x v="5"/>
    <s v="LV_A"/>
    <x v="0"/>
    <x v="0"/>
    <s v="WI-L9"/>
    <x v="1"/>
    <x v="0"/>
    <n v="11.042406326664301"/>
    <n v="671.74638487207994"/>
    <n v="2418.2869855394902"/>
  </r>
  <r>
    <x v="0"/>
    <x v="0"/>
    <x v="0"/>
    <x v="4"/>
    <x v="5"/>
    <s v="LV_A"/>
    <x v="0"/>
    <x v="0"/>
    <s v="WI-L9"/>
    <x v="1"/>
    <x v="1"/>
    <n v="14.723208435552401"/>
    <n v="895.66184649610705"/>
    <n v="3224.3826473859899"/>
  </r>
  <r>
    <x v="0"/>
    <x v="0"/>
    <x v="0"/>
    <x v="4"/>
    <x v="5"/>
    <s v="LV_A"/>
    <x v="0"/>
    <x v="0"/>
    <s v="WI-L9"/>
    <x v="1"/>
    <x v="2"/>
    <n v="16.563609489996502"/>
    <n v="1007.61957730812"/>
    <n v="3627.4304783092298"/>
  </r>
  <r>
    <x v="0"/>
    <x v="0"/>
    <x v="0"/>
    <x v="4"/>
    <x v="5"/>
    <s v="LV_A"/>
    <x v="0"/>
    <x v="0"/>
    <s v="WI-L9"/>
    <x v="1"/>
    <x v="3"/>
    <n v="20.2444115988846"/>
    <n v="1231.53503893215"/>
    <n v="4433.52614015573"/>
  </r>
  <r>
    <x v="0"/>
    <x v="0"/>
    <x v="0"/>
    <x v="4"/>
    <x v="5"/>
    <s v="LV_A"/>
    <x v="0"/>
    <x v="0"/>
    <s v="WI-L9"/>
    <x v="1"/>
    <x v="4"/>
    <n v="22.084812653328701"/>
    <n v="1343.4927697441599"/>
    <n v="4836.5739710789803"/>
  </r>
  <r>
    <x v="0"/>
    <x v="0"/>
    <x v="0"/>
    <x v="4"/>
    <x v="5"/>
    <s v="LV_A"/>
    <x v="0"/>
    <x v="0"/>
    <s v="WI-L9"/>
    <x v="1"/>
    <x v="5"/>
    <n v="23.925213707772699"/>
    <n v="1455.45050055617"/>
    <n v="5239.6218020022297"/>
  </r>
  <r>
    <x v="0"/>
    <x v="0"/>
    <x v="0"/>
    <x v="4"/>
    <x v="5"/>
    <s v="LV_A"/>
    <x v="0"/>
    <x v="0"/>
    <s v="WI-L9"/>
    <x v="1"/>
    <x v="6"/>
    <n v="23.925213707772699"/>
    <n v="1455.45050055617"/>
    <n v="5239.6218020022297"/>
  </r>
  <r>
    <x v="0"/>
    <x v="0"/>
    <x v="0"/>
    <x v="4"/>
    <x v="5"/>
    <s v="LV_A"/>
    <x v="0"/>
    <x v="0"/>
    <s v="WI-L9"/>
    <x v="1"/>
    <x v="7"/>
    <n v="25.765614762216799"/>
    <n v="1567.4082313681899"/>
    <n v="5642.6696329254701"/>
  </r>
  <r>
    <x v="0"/>
    <x v="0"/>
    <x v="0"/>
    <x v="4"/>
    <x v="5"/>
    <s v="LV_A"/>
    <x v="0"/>
    <x v="0"/>
    <s v="WI-L9"/>
    <x v="1"/>
    <x v="8"/>
    <n v="25.765614762216799"/>
    <n v="1567.4082313681899"/>
    <n v="5642.6696329254701"/>
  </r>
  <r>
    <x v="0"/>
    <x v="0"/>
    <x v="0"/>
    <x v="4"/>
    <x v="5"/>
    <s v="LV_A"/>
    <x v="0"/>
    <x v="0"/>
    <s v="WI-L9"/>
    <x v="1"/>
    <x v="9"/>
    <n v="16.563609489996502"/>
    <n v="1007.61957730812"/>
    <n v="3627.4304783092298"/>
  </r>
  <r>
    <x v="0"/>
    <x v="0"/>
    <x v="0"/>
    <x v="4"/>
    <x v="5"/>
    <s v="LV_A"/>
    <x v="0"/>
    <x v="0"/>
    <s v="WI-L9"/>
    <x v="1"/>
    <x v="10"/>
    <n v="14.723208435552401"/>
    <n v="895.66184649610705"/>
    <n v="3224.3826473859899"/>
  </r>
  <r>
    <x v="0"/>
    <x v="0"/>
    <x v="0"/>
    <x v="4"/>
    <x v="5"/>
    <s v="LV_A"/>
    <x v="0"/>
    <x v="0"/>
    <s v="WI-L9"/>
    <x v="1"/>
    <x v="11"/>
    <n v="22.084812653328701"/>
    <n v="1343.4927697441599"/>
    <n v="4836.5739710789803"/>
  </r>
  <r>
    <x v="0"/>
    <x v="0"/>
    <x v="0"/>
    <x v="4"/>
    <x v="5"/>
    <s v="LV_A"/>
    <x v="0"/>
    <x v="0"/>
    <s v="WI-L9"/>
    <x v="2"/>
    <x v="0"/>
    <n v="31.286817925548899"/>
    <n v="1903.2814238042299"/>
    <n v="6851.8131256952202"/>
  </r>
  <r>
    <x v="0"/>
    <x v="0"/>
    <x v="0"/>
    <x v="4"/>
    <x v="5"/>
    <s v="LV_A"/>
    <x v="0"/>
    <x v="0"/>
    <s v="WI-L9"/>
    <x v="2"/>
    <x v="1"/>
    <n v="3.68080210888811"/>
    <n v="223.91546162402699"/>
    <n v="806.095661846496"/>
  </r>
  <r>
    <x v="0"/>
    <x v="0"/>
    <x v="0"/>
    <x v="4"/>
    <x v="5"/>
    <s v="LV_A"/>
    <x v="0"/>
    <x v="0"/>
    <s v="WI-L9"/>
    <x v="2"/>
    <x v="2"/>
    <n v="1.8404010544440601"/>
    <n v="111.957730812013"/>
    <n v="403.047830923248"/>
  </r>
  <r>
    <x v="0"/>
    <x v="0"/>
    <x v="0"/>
    <x v="4"/>
    <x v="5"/>
    <s v="LV_A"/>
    <x v="0"/>
    <x v="0"/>
    <s v="WI-L9"/>
    <x v="2"/>
    <x v="3"/>
    <n v="9.2020052722202799"/>
    <n v="559.78865406006696"/>
    <n v="2015.2391546162401"/>
  </r>
  <r>
    <x v="0"/>
    <x v="0"/>
    <x v="0"/>
    <x v="4"/>
    <x v="5"/>
    <s v="LV_A"/>
    <x v="0"/>
    <x v="0"/>
    <s v="WI-L9"/>
    <x v="2"/>
    <x v="4"/>
    <n v="25.765614762216799"/>
    <n v="1567.4082313681899"/>
    <n v="5642.6696329254701"/>
  </r>
  <r>
    <x v="0"/>
    <x v="0"/>
    <x v="0"/>
    <x v="4"/>
    <x v="5"/>
    <s v="LV_A"/>
    <x v="0"/>
    <x v="0"/>
    <s v="WI-L9"/>
    <x v="2"/>
    <x v="5"/>
    <n v="33.127218979993003"/>
    <n v="2015.2391546162401"/>
    <n v="7254.8609566184696"/>
  </r>
  <r>
    <x v="0"/>
    <x v="0"/>
    <x v="0"/>
    <x v="4"/>
    <x v="5"/>
    <s v="LV_A"/>
    <x v="0"/>
    <x v="0"/>
    <s v="WI-L9"/>
    <x v="2"/>
    <x v="6"/>
    <n v="33.127218979993003"/>
    <n v="2015.2391546162401"/>
    <n v="7254.8609566184696"/>
  </r>
  <r>
    <x v="0"/>
    <x v="0"/>
    <x v="0"/>
    <x v="4"/>
    <x v="5"/>
    <s v="LV_A"/>
    <x v="0"/>
    <x v="0"/>
    <s v="WI-L9"/>
    <x v="2"/>
    <x v="7"/>
    <n v="33.127218979993003"/>
    <n v="2015.2391546162401"/>
    <n v="7254.8609566184696"/>
  </r>
  <r>
    <x v="0"/>
    <x v="0"/>
    <x v="0"/>
    <x v="4"/>
    <x v="5"/>
    <s v="LV_A"/>
    <x v="0"/>
    <x v="0"/>
    <s v="WI-L9"/>
    <x v="2"/>
    <x v="8"/>
    <n v="29.446416871104901"/>
    <n v="1791.32369299221"/>
    <n v="6448.7652947719698"/>
  </r>
  <r>
    <x v="0"/>
    <x v="0"/>
    <x v="0"/>
    <x v="4"/>
    <x v="5"/>
    <s v="LV_A"/>
    <x v="0"/>
    <x v="0"/>
    <s v="WI-L9"/>
    <x v="2"/>
    <x v="9"/>
    <n v="18.404010544440599"/>
    <n v="1119.5773081201301"/>
    <n v="4030.4783092324801"/>
  </r>
  <r>
    <x v="0"/>
    <x v="0"/>
    <x v="0"/>
    <x v="4"/>
    <x v="5"/>
    <s v="LV_A"/>
    <x v="0"/>
    <x v="0"/>
    <s v="WI-L9"/>
    <x v="2"/>
    <x v="10"/>
    <n v="14.723208435552401"/>
    <n v="895.66184649610705"/>
    <n v="3224.3826473859899"/>
  </r>
  <r>
    <x v="0"/>
    <x v="0"/>
    <x v="0"/>
    <x v="4"/>
    <x v="5"/>
    <s v="LV_A"/>
    <x v="0"/>
    <x v="0"/>
    <s v="WI-L9"/>
    <x v="2"/>
    <x v="11"/>
    <n v="11.042406326664301"/>
    <n v="671.74638487207994"/>
    <n v="2418.2869855394902"/>
  </r>
  <r>
    <x v="0"/>
    <x v="0"/>
    <x v="0"/>
    <x v="4"/>
    <x v="5"/>
    <s v="LV_A"/>
    <x v="0"/>
    <x v="0"/>
    <s v="WI-L9"/>
    <x v="3"/>
    <x v="5"/>
    <n v="1.8404010544440601"/>
    <n v="111.957730812013"/>
    <n v="403.047830923248"/>
  </r>
  <r>
    <x v="0"/>
    <x v="0"/>
    <x v="0"/>
    <x v="4"/>
    <x v="5"/>
    <s v="LV_A"/>
    <x v="0"/>
    <x v="0"/>
    <s v="WI-L9"/>
    <x v="3"/>
    <x v="6"/>
    <n v="1.8404010544440601"/>
    <n v="111.957730812013"/>
    <n v="403.047830923248"/>
  </r>
  <r>
    <x v="0"/>
    <x v="0"/>
    <x v="0"/>
    <x v="4"/>
    <x v="5"/>
    <s v="LV_A"/>
    <x v="0"/>
    <x v="0"/>
    <s v="WI-L9"/>
    <x v="4"/>
    <x v="0"/>
    <n v="5.5212031633321699"/>
    <n v="335.87319243603997"/>
    <n v="1209.1434927697401"/>
  </r>
  <r>
    <x v="0"/>
    <x v="0"/>
    <x v="0"/>
    <x v="4"/>
    <x v="5"/>
    <s v="LV_A"/>
    <x v="0"/>
    <x v="0"/>
    <s v="WI-L9"/>
    <x v="4"/>
    <x v="1"/>
    <n v="7.36160421777622"/>
    <n v="447.83092324805398"/>
    <n v="1612.19132369299"/>
  </r>
  <r>
    <x v="0"/>
    <x v="0"/>
    <x v="0"/>
    <x v="4"/>
    <x v="5"/>
    <s v="LV_A"/>
    <x v="0"/>
    <x v="0"/>
    <s v="WI-L9"/>
    <x v="4"/>
    <x v="2"/>
    <n v="7.36160421777622"/>
    <n v="447.83092324805398"/>
    <n v="1612.19132369299"/>
  </r>
  <r>
    <x v="0"/>
    <x v="0"/>
    <x v="0"/>
    <x v="4"/>
    <x v="5"/>
    <s v="LV_A"/>
    <x v="0"/>
    <x v="0"/>
    <s v="WI-L9"/>
    <x v="4"/>
    <x v="3"/>
    <n v="9.2020052722202799"/>
    <n v="559.78865406006696"/>
    <n v="2015.2391546162401"/>
  </r>
  <r>
    <x v="0"/>
    <x v="0"/>
    <x v="0"/>
    <x v="4"/>
    <x v="5"/>
    <s v="LV_A"/>
    <x v="0"/>
    <x v="0"/>
    <s v="WI-L9"/>
    <x v="4"/>
    <x v="4"/>
    <n v="14.723208435552401"/>
    <n v="895.66184649610705"/>
    <n v="3224.3826473859899"/>
  </r>
  <r>
    <x v="0"/>
    <x v="0"/>
    <x v="0"/>
    <x v="4"/>
    <x v="5"/>
    <s v="LV_A"/>
    <x v="0"/>
    <x v="0"/>
    <s v="WI-L9"/>
    <x v="4"/>
    <x v="5"/>
    <n v="9.2020052722202799"/>
    <n v="559.78865406006696"/>
    <n v="2015.2391546162401"/>
  </r>
  <r>
    <x v="0"/>
    <x v="0"/>
    <x v="0"/>
    <x v="4"/>
    <x v="5"/>
    <s v="LV_A"/>
    <x v="0"/>
    <x v="0"/>
    <s v="WI-L9"/>
    <x v="4"/>
    <x v="6"/>
    <n v="5.5212031633321699"/>
    <n v="335.87319243603997"/>
    <n v="1209.1434927697401"/>
  </r>
  <r>
    <x v="0"/>
    <x v="0"/>
    <x v="0"/>
    <x v="4"/>
    <x v="5"/>
    <s v="LV_A"/>
    <x v="0"/>
    <x v="0"/>
    <s v="WI-L9"/>
    <x v="4"/>
    <x v="7"/>
    <n v="3.68080210888811"/>
    <n v="223.91546162402699"/>
    <n v="806.095661846496"/>
  </r>
  <r>
    <x v="0"/>
    <x v="0"/>
    <x v="0"/>
    <x v="4"/>
    <x v="5"/>
    <s v="LV_A"/>
    <x v="0"/>
    <x v="0"/>
    <s v="WI-L9"/>
    <x v="4"/>
    <x v="8"/>
    <n v="1.8404010544440601"/>
    <n v="111.957730812013"/>
    <n v="403.047830923248"/>
  </r>
  <r>
    <x v="0"/>
    <x v="0"/>
    <x v="0"/>
    <x v="4"/>
    <x v="5"/>
    <s v="LV_A"/>
    <x v="0"/>
    <x v="0"/>
    <s v="WI-L9"/>
    <x v="5"/>
    <x v="0"/>
    <n v="1.8404010544440601"/>
    <n v="111.957730812013"/>
    <n v="403.047830923248"/>
  </r>
  <r>
    <x v="0"/>
    <x v="0"/>
    <x v="0"/>
    <x v="4"/>
    <x v="5"/>
    <s v="LV_A"/>
    <x v="0"/>
    <x v="0"/>
    <s v="WI-L9"/>
    <x v="5"/>
    <x v="1"/>
    <n v="1.8404010544440601"/>
    <n v="111.957730812013"/>
    <n v="403.047830923248"/>
  </r>
  <r>
    <x v="0"/>
    <x v="0"/>
    <x v="0"/>
    <x v="4"/>
    <x v="5"/>
    <s v="LV_A"/>
    <x v="0"/>
    <x v="0"/>
    <s v="WI-L9"/>
    <x v="5"/>
    <x v="2"/>
    <n v="1.8404010544440601"/>
    <n v="111.957730812013"/>
    <n v="403.047830923248"/>
  </r>
  <r>
    <x v="0"/>
    <x v="0"/>
    <x v="0"/>
    <x v="4"/>
    <x v="5"/>
    <s v="LV_A"/>
    <x v="0"/>
    <x v="0"/>
    <s v="WI-L9"/>
    <x v="5"/>
    <x v="6"/>
    <n v="3.68080210888811"/>
    <n v="223.91546162402699"/>
    <n v="806.095661846496"/>
  </r>
  <r>
    <x v="0"/>
    <x v="0"/>
    <x v="0"/>
    <x v="4"/>
    <x v="5"/>
    <s v="LV_A"/>
    <x v="0"/>
    <x v="0"/>
    <s v="WI-L9"/>
    <x v="5"/>
    <x v="7"/>
    <n v="1.8404010544440601"/>
    <n v="111.957730812013"/>
    <n v="403.047830923248"/>
  </r>
  <r>
    <x v="0"/>
    <x v="0"/>
    <x v="0"/>
    <x v="4"/>
    <x v="5"/>
    <s v="LV_A"/>
    <x v="0"/>
    <x v="0"/>
    <s v="WI-L9"/>
    <x v="5"/>
    <x v="9"/>
    <n v="1.8404010544440601"/>
    <n v="111.957730812013"/>
    <n v="403.047830923248"/>
  </r>
  <r>
    <x v="0"/>
    <x v="0"/>
    <x v="0"/>
    <x v="4"/>
    <x v="5"/>
    <s v="LV_A"/>
    <x v="0"/>
    <x v="0"/>
    <s v="WI-L9"/>
    <x v="5"/>
    <x v="10"/>
    <n v="3.68080210888811"/>
    <n v="223.91546162402699"/>
    <n v="806.095661846496"/>
  </r>
  <r>
    <x v="0"/>
    <x v="0"/>
    <x v="0"/>
    <x v="4"/>
    <x v="5"/>
    <s v="LV_A"/>
    <x v="0"/>
    <x v="0"/>
    <s v="WI-L9"/>
    <x v="5"/>
    <x v="11"/>
    <n v="1.8404010544440601"/>
    <n v="111.957730812013"/>
    <n v="403.047830923248"/>
  </r>
  <r>
    <x v="0"/>
    <x v="0"/>
    <x v="0"/>
    <x v="4"/>
    <x v="5"/>
    <s v="LV_A"/>
    <x v="0"/>
    <x v="0"/>
    <s v="WI-L9"/>
    <x v="6"/>
    <x v="0"/>
    <n v="11.042406326664301"/>
    <n v="671.74638487207994"/>
    <n v="2418.2869855394902"/>
  </r>
  <r>
    <x v="0"/>
    <x v="0"/>
    <x v="0"/>
    <x v="4"/>
    <x v="5"/>
    <s v="LV_A"/>
    <x v="0"/>
    <x v="0"/>
    <s v="WI-L9"/>
    <x v="6"/>
    <x v="1"/>
    <n v="11.042406326664301"/>
    <n v="671.74638487207994"/>
    <n v="2418.2869855394902"/>
  </r>
  <r>
    <x v="0"/>
    <x v="0"/>
    <x v="0"/>
    <x v="4"/>
    <x v="5"/>
    <s v="LV_A"/>
    <x v="0"/>
    <x v="0"/>
    <s v="WI-L9"/>
    <x v="6"/>
    <x v="2"/>
    <n v="11.042406326664301"/>
    <n v="671.74638487207994"/>
    <n v="2418.2869855394902"/>
  </r>
  <r>
    <x v="0"/>
    <x v="0"/>
    <x v="0"/>
    <x v="4"/>
    <x v="5"/>
    <s v="LV_A"/>
    <x v="0"/>
    <x v="0"/>
    <s v="WI-L9"/>
    <x v="6"/>
    <x v="3"/>
    <n v="9.2020052722202799"/>
    <n v="559.78865406006696"/>
    <n v="2015.2391546162401"/>
  </r>
  <r>
    <x v="0"/>
    <x v="0"/>
    <x v="0"/>
    <x v="4"/>
    <x v="5"/>
    <s v="LV_A"/>
    <x v="0"/>
    <x v="0"/>
    <s v="WI-L9"/>
    <x v="6"/>
    <x v="4"/>
    <n v="9.2020052722202799"/>
    <n v="559.78865406006696"/>
    <n v="2015.2391546162401"/>
  </r>
  <r>
    <x v="0"/>
    <x v="0"/>
    <x v="0"/>
    <x v="4"/>
    <x v="5"/>
    <s v="LV_A"/>
    <x v="0"/>
    <x v="0"/>
    <s v="WI-L9"/>
    <x v="6"/>
    <x v="5"/>
    <n v="5.5212031633321699"/>
    <n v="335.87319243603997"/>
    <n v="1209.1434927697401"/>
  </r>
  <r>
    <x v="0"/>
    <x v="0"/>
    <x v="0"/>
    <x v="4"/>
    <x v="5"/>
    <s v="LV_A"/>
    <x v="0"/>
    <x v="0"/>
    <s v="WI-L9"/>
    <x v="6"/>
    <x v="6"/>
    <n v="9.2020052722202799"/>
    <n v="559.78865406006696"/>
    <n v="2015.2391546162401"/>
  </r>
  <r>
    <x v="0"/>
    <x v="0"/>
    <x v="0"/>
    <x v="4"/>
    <x v="5"/>
    <s v="LV_A"/>
    <x v="0"/>
    <x v="0"/>
    <s v="WI-L9"/>
    <x v="6"/>
    <x v="7"/>
    <n v="12.8828073811084"/>
    <n v="783.70411568409395"/>
    <n v="2821.33481646274"/>
  </r>
  <r>
    <x v="0"/>
    <x v="0"/>
    <x v="0"/>
    <x v="4"/>
    <x v="5"/>
    <s v="LV_A"/>
    <x v="0"/>
    <x v="0"/>
    <s v="WI-L9"/>
    <x v="6"/>
    <x v="8"/>
    <n v="12.8828073811084"/>
    <n v="783.70411568409395"/>
    <n v="2821.33481646274"/>
  </r>
  <r>
    <x v="0"/>
    <x v="0"/>
    <x v="0"/>
    <x v="4"/>
    <x v="5"/>
    <s v="LV_A"/>
    <x v="0"/>
    <x v="0"/>
    <s v="WI-L9"/>
    <x v="6"/>
    <x v="9"/>
    <n v="11.042406326664301"/>
    <n v="671.74638487207994"/>
    <n v="2418.2869855394902"/>
  </r>
  <r>
    <x v="0"/>
    <x v="0"/>
    <x v="0"/>
    <x v="4"/>
    <x v="5"/>
    <s v="LV_A"/>
    <x v="0"/>
    <x v="0"/>
    <s v="WI-L9"/>
    <x v="6"/>
    <x v="10"/>
    <n v="12.8828073811084"/>
    <n v="783.70411568409395"/>
    <n v="2821.33481646274"/>
  </r>
  <r>
    <x v="0"/>
    <x v="0"/>
    <x v="0"/>
    <x v="4"/>
    <x v="5"/>
    <s v="LV_A"/>
    <x v="0"/>
    <x v="0"/>
    <s v="WI-L9"/>
    <x v="6"/>
    <x v="11"/>
    <n v="12.8828073811084"/>
    <n v="783.70411568409395"/>
    <n v="2821.33481646274"/>
  </r>
  <r>
    <x v="0"/>
    <x v="0"/>
    <x v="0"/>
    <x v="4"/>
    <x v="5"/>
    <s v="LV_A"/>
    <x v="0"/>
    <x v="0"/>
    <s v="WI-L9"/>
    <x v="7"/>
    <x v="0"/>
    <n v="3.68080210888811"/>
    <n v="223.91546162402699"/>
    <n v="806.095661846496"/>
  </r>
  <r>
    <x v="0"/>
    <x v="0"/>
    <x v="0"/>
    <x v="4"/>
    <x v="5"/>
    <s v="LV_A"/>
    <x v="0"/>
    <x v="0"/>
    <s v="WI-L9"/>
    <x v="7"/>
    <x v="1"/>
    <n v="5.5212031633321699"/>
    <n v="335.87319243603997"/>
    <n v="1209.1434927697401"/>
  </r>
  <r>
    <x v="0"/>
    <x v="0"/>
    <x v="0"/>
    <x v="4"/>
    <x v="5"/>
    <s v="LV_A"/>
    <x v="0"/>
    <x v="0"/>
    <s v="WI-L9"/>
    <x v="7"/>
    <x v="2"/>
    <n v="1.8404010544440601"/>
    <n v="111.957730812013"/>
    <n v="403.047830923248"/>
  </r>
  <r>
    <x v="0"/>
    <x v="0"/>
    <x v="0"/>
    <x v="4"/>
    <x v="5"/>
    <s v="LV_A"/>
    <x v="0"/>
    <x v="0"/>
    <s v="WI-L9"/>
    <x v="7"/>
    <x v="3"/>
    <n v="5.5212031633321699"/>
    <n v="335.87319243603997"/>
    <n v="1209.1434927697401"/>
  </r>
  <r>
    <x v="0"/>
    <x v="0"/>
    <x v="0"/>
    <x v="4"/>
    <x v="5"/>
    <s v="LV_A"/>
    <x v="0"/>
    <x v="0"/>
    <s v="WI-L9"/>
    <x v="7"/>
    <x v="4"/>
    <n v="7.36160421777622"/>
    <n v="447.83092324805398"/>
    <n v="1612.19132369299"/>
  </r>
  <r>
    <x v="0"/>
    <x v="0"/>
    <x v="0"/>
    <x v="4"/>
    <x v="5"/>
    <s v="LV_A"/>
    <x v="0"/>
    <x v="0"/>
    <s v="WI-L9"/>
    <x v="7"/>
    <x v="5"/>
    <n v="9.2020052722202799"/>
    <n v="559.78865406006696"/>
    <n v="2015.2391546162401"/>
  </r>
  <r>
    <x v="0"/>
    <x v="0"/>
    <x v="0"/>
    <x v="4"/>
    <x v="5"/>
    <s v="LV_A"/>
    <x v="0"/>
    <x v="0"/>
    <s v="WI-L9"/>
    <x v="7"/>
    <x v="6"/>
    <n v="3.68080210888811"/>
    <n v="223.91546162402699"/>
    <n v="806.095661846496"/>
  </r>
  <r>
    <x v="0"/>
    <x v="0"/>
    <x v="0"/>
    <x v="4"/>
    <x v="5"/>
    <s v="LV_A"/>
    <x v="0"/>
    <x v="0"/>
    <s v="WI-L9"/>
    <x v="7"/>
    <x v="7"/>
    <n v="3.68080210888811"/>
    <n v="223.91546162402699"/>
    <n v="806.095661846496"/>
  </r>
  <r>
    <x v="0"/>
    <x v="0"/>
    <x v="0"/>
    <x v="4"/>
    <x v="5"/>
    <s v="LV_A"/>
    <x v="0"/>
    <x v="0"/>
    <s v="WI-L9"/>
    <x v="7"/>
    <x v="8"/>
    <n v="7.36160421777622"/>
    <n v="447.83092324805398"/>
    <n v="1612.19132369299"/>
  </r>
  <r>
    <x v="0"/>
    <x v="0"/>
    <x v="0"/>
    <x v="4"/>
    <x v="5"/>
    <s v="LV_A"/>
    <x v="0"/>
    <x v="0"/>
    <s v="WI-L9"/>
    <x v="7"/>
    <x v="9"/>
    <n v="3.68080210888811"/>
    <n v="223.91546162402699"/>
    <n v="806.095661846496"/>
  </r>
  <r>
    <x v="0"/>
    <x v="0"/>
    <x v="0"/>
    <x v="4"/>
    <x v="5"/>
    <s v="LV_A"/>
    <x v="0"/>
    <x v="0"/>
    <s v="WI-L9"/>
    <x v="7"/>
    <x v="10"/>
    <n v="3.68080210888811"/>
    <n v="223.91546162402699"/>
    <n v="806.095661846496"/>
  </r>
  <r>
    <x v="0"/>
    <x v="0"/>
    <x v="0"/>
    <x v="4"/>
    <x v="5"/>
    <s v="LV_A"/>
    <x v="0"/>
    <x v="0"/>
    <s v="WI-L9"/>
    <x v="7"/>
    <x v="11"/>
    <n v="3.68080210888811"/>
    <n v="223.91546162402699"/>
    <n v="806.095661846496"/>
  </r>
  <r>
    <x v="0"/>
    <x v="0"/>
    <x v="0"/>
    <x v="4"/>
    <x v="5"/>
    <s v="LV_A"/>
    <x v="0"/>
    <x v="0"/>
    <s v="WI-L9"/>
    <x v="8"/>
    <x v="0"/>
    <n v="16.563609489996502"/>
    <n v="1007.61957730812"/>
    <n v="3627.4304783092298"/>
  </r>
  <r>
    <x v="0"/>
    <x v="0"/>
    <x v="0"/>
    <x v="4"/>
    <x v="5"/>
    <s v="LV_A"/>
    <x v="0"/>
    <x v="0"/>
    <s v="WI-L9"/>
    <x v="8"/>
    <x v="1"/>
    <n v="14.723208435552401"/>
    <n v="895.66184649610705"/>
    <n v="3224.3826473859899"/>
  </r>
  <r>
    <x v="0"/>
    <x v="0"/>
    <x v="0"/>
    <x v="4"/>
    <x v="5"/>
    <s v="LV_A"/>
    <x v="0"/>
    <x v="0"/>
    <s v="WI-L9"/>
    <x v="8"/>
    <x v="2"/>
    <n v="12.8828073811084"/>
    <n v="783.70411568409395"/>
    <n v="2821.33481646274"/>
  </r>
  <r>
    <x v="0"/>
    <x v="0"/>
    <x v="0"/>
    <x v="4"/>
    <x v="5"/>
    <s v="LV_A"/>
    <x v="0"/>
    <x v="0"/>
    <s v="WI-L9"/>
    <x v="8"/>
    <x v="3"/>
    <n v="9.2020052722202799"/>
    <n v="559.78865406006696"/>
    <n v="2015.2391546162401"/>
  </r>
  <r>
    <x v="0"/>
    <x v="0"/>
    <x v="0"/>
    <x v="4"/>
    <x v="5"/>
    <s v="LV_A"/>
    <x v="0"/>
    <x v="0"/>
    <s v="WI-L9"/>
    <x v="8"/>
    <x v="4"/>
    <n v="11.042406326664301"/>
    <n v="671.74638487207994"/>
    <n v="2418.2869855394902"/>
  </r>
  <r>
    <x v="0"/>
    <x v="0"/>
    <x v="0"/>
    <x v="4"/>
    <x v="5"/>
    <s v="LV_A"/>
    <x v="0"/>
    <x v="0"/>
    <s v="WI-L9"/>
    <x v="8"/>
    <x v="5"/>
    <n v="12.8828073811084"/>
    <n v="783.70411568409395"/>
    <n v="2821.33481646274"/>
  </r>
  <r>
    <x v="0"/>
    <x v="0"/>
    <x v="0"/>
    <x v="4"/>
    <x v="5"/>
    <s v="LV_A"/>
    <x v="0"/>
    <x v="0"/>
    <s v="WI-L9"/>
    <x v="8"/>
    <x v="6"/>
    <n v="11.042406326664301"/>
    <n v="671.74638487207994"/>
    <n v="2418.2869855394902"/>
  </r>
  <r>
    <x v="0"/>
    <x v="0"/>
    <x v="0"/>
    <x v="4"/>
    <x v="5"/>
    <s v="LV_A"/>
    <x v="0"/>
    <x v="0"/>
    <s v="WI-L9"/>
    <x v="8"/>
    <x v="7"/>
    <n v="9.2020052722202799"/>
    <n v="559.78865406006696"/>
    <n v="2015.2391546162401"/>
  </r>
  <r>
    <x v="0"/>
    <x v="0"/>
    <x v="0"/>
    <x v="4"/>
    <x v="5"/>
    <s v="LV_A"/>
    <x v="0"/>
    <x v="0"/>
    <s v="WI-L9"/>
    <x v="8"/>
    <x v="8"/>
    <n v="11.042406326664301"/>
    <n v="671.74638487207994"/>
    <n v="2418.2869855394902"/>
  </r>
  <r>
    <x v="0"/>
    <x v="0"/>
    <x v="0"/>
    <x v="4"/>
    <x v="5"/>
    <s v="LV_A"/>
    <x v="0"/>
    <x v="0"/>
    <s v="WI-L9"/>
    <x v="8"/>
    <x v="9"/>
    <n v="9.2020052722202799"/>
    <n v="559.78865406006696"/>
    <n v="2015.2391546162401"/>
  </r>
  <r>
    <x v="0"/>
    <x v="0"/>
    <x v="0"/>
    <x v="4"/>
    <x v="5"/>
    <s v="LV_A"/>
    <x v="0"/>
    <x v="0"/>
    <s v="WI-L9"/>
    <x v="8"/>
    <x v="10"/>
    <n v="9.2020052722202799"/>
    <n v="559.78865406006696"/>
    <n v="2015.2391546162401"/>
  </r>
  <r>
    <x v="0"/>
    <x v="0"/>
    <x v="0"/>
    <x v="4"/>
    <x v="5"/>
    <s v="LV_A"/>
    <x v="0"/>
    <x v="0"/>
    <s v="WI-L9"/>
    <x v="8"/>
    <x v="11"/>
    <n v="7.36160421777622"/>
    <n v="447.83092324805398"/>
    <n v="1612.19132369299"/>
  </r>
  <r>
    <x v="0"/>
    <x v="0"/>
    <x v="0"/>
    <x v="4"/>
    <x v="5"/>
    <s v="LV_A"/>
    <x v="0"/>
    <x v="0"/>
    <s v="WI-L9"/>
    <x v="9"/>
    <x v="0"/>
    <n v="3.68080210888811"/>
    <n v="223.91546162402699"/>
    <n v="806.095661846496"/>
  </r>
  <r>
    <x v="0"/>
    <x v="0"/>
    <x v="0"/>
    <x v="4"/>
    <x v="5"/>
    <s v="LV_A"/>
    <x v="0"/>
    <x v="0"/>
    <s v="WI-L9"/>
    <x v="9"/>
    <x v="1"/>
    <n v="1.8404010544440601"/>
    <n v="111.957730812013"/>
    <n v="403.047830923248"/>
  </r>
  <r>
    <x v="0"/>
    <x v="0"/>
    <x v="0"/>
    <x v="4"/>
    <x v="5"/>
    <s v="LV_A"/>
    <x v="0"/>
    <x v="0"/>
    <s v="WI-L9"/>
    <x v="9"/>
    <x v="2"/>
    <n v="1.8404010544440601"/>
    <n v="111.957730812013"/>
    <n v="403.047830923248"/>
  </r>
  <r>
    <x v="0"/>
    <x v="0"/>
    <x v="0"/>
    <x v="4"/>
    <x v="5"/>
    <s v="LV_A"/>
    <x v="0"/>
    <x v="0"/>
    <s v="WI-L9"/>
    <x v="9"/>
    <x v="3"/>
    <n v="1.8404010544440601"/>
    <n v="111.957730812013"/>
    <n v="403.047830923248"/>
  </r>
  <r>
    <x v="0"/>
    <x v="0"/>
    <x v="0"/>
    <x v="4"/>
    <x v="5"/>
    <s v="LV_A"/>
    <x v="0"/>
    <x v="0"/>
    <s v="WI-L9"/>
    <x v="9"/>
    <x v="4"/>
    <n v="3.68080210888811"/>
    <n v="223.91546162402699"/>
    <n v="806.095661846496"/>
  </r>
  <r>
    <x v="0"/>
    <x v="0"/>
    <x v="0"/>
    <x v="4"/>
    <x v="5"/>
    <s v="LV_A"/>
    <x v="0"/>
    <x v="0"/>
    <s v="WI-L9"/>
    <x v="9"/>
    <x v="5"/>
    <n v="3.68080210888811"/>
    <n v="223.91546162402699"/>
    <n v="806.095661846496"/>
  </r>
  <r>
    <x v="0"/>
    <x v="0"/>
    <x v="0"/>
    <x v="4"/>
    <x v="5"/>
    <s v="LV_A"/>
    <x v="0"/>
    <x v="0"/>
    <s v="WI-L9"/>
    <x v="10"/>
    <x v="0"/>
    <n v="5.5212031633321699"/>
    <n v="335.87319243603997"/>
    <n v="1209.1434927697401"/>
  </r>
  <r>
    <x v="0"/>
    <x v="0"/>
    <x v="0"/>
    <x v="4"/>
    <x v="5"/>
    <s v="LV_A"/>
    <x v="0"/>
    <x v="0"/>
    <s v="WI-L9"/>
    <x v="10"/>
    <x v="1"/>
    <n v="7.36160421777622"/>
    <n v="447.83092324805398"/>
    <n v="1612.19132369299"/>
  </r>
  <r>
    <x v="0"/>
    <x v="0"/>
    <x v="0"/>
    <x v="4"/>
    <x v="5"/>
    <s v="LV_A"/>
    <x v="0"/>
    <x v="0"/>
    <s v="WI-L9"/>
    <x v="10"/>
    <x v="2"/>
    <n v="11.042406326664301"/>
    <n v="671.74638487207994"/>
    <n v="2418.2869855394902"/>
  </r>
  <r>
    <x v="0"/>
    <x v="0"/>
    <x v="0"/>
    <x v="4"/>
    <x v="5"/>
    <s v="LV_A"/>
    <x v="0"/>
    <x v="0"/>
    <s v="WI-L9"/>
    <x v="10"/>
    <x v="3"/>
    <n v="7.36160421777622"/>
    <n v="447.83092324805398"/>
    <n v="1612.19132369299"/>
  </r>
  <r>
    <x v="0"/>
    <x v="0"/>
    <x v="0"/>
    <x v="4"/>
    <x v="5"/>
    <s v="LV_A"/>
    <x v="0"/>
    <x v="0"/>
    <s v="WI-L9"/>
    <x v="10"/>
    <x v="4"/>
    <n v="3.68080210888811"/>
    <n v="223.91546162402699"/>
    <n v="806.095661846496"/>
  </r>
  <r>
    <x v="0"/>
    <x v="0"/>
    <x v="0"/>
    <x v="4"/>
    <x v="5"/>
    <s v="LV_A"/>
    <x v="0"/>
    <x v="0"/>
    <s v="WI-L9"/>
    <x v="10"/>
    <x v="6"/>
    <n v="1.8404010544440601"/>
    <n v="111.957730812013"/>
    <n v="403.047830923248"/>
  </r>
  <r>
    <x v="0"/>
    <x v="0"/>
    <x v="0"/>
    <x v="4"/>
    <x v="5"/>
    <s v="LV_A"/>
    <x v="0"/>
    <x v="0"/>
    <s v="WI-L9"/>
    <x v="10"/>
    <x v="7"/>
    <n v="1.8404010544440601"/>
    <n v="111.957730812013"/>
    <n v="403.047830923248"/>
  </r>
  <r>
    <x v="0"/>
    <x v="0"/>
    <x v="0"/>
    <x v="4"/>
    <x v="5"/>
    <s v="LV_A"/>
    <x v="0"/>
    <x v="0"/>
    <s v="WI-L9"/>
    <x v="10"/>
    <x v="8"/>
    <n v="1.8404010544440601"/>
    <n v="111.957730812013"/>
    <n v="403.047830923248"/>
  </r>
  <r>
    <x v="0"/>
    <x v="0"/>
    <x v="0"/>
    <x v="4"/>
    <x v="5"/>
    <s v="LV_A"/>
    <x v="0"/>
    <x v="0"/>
    <s v="WI-L9"/>
    <x v="10"/>
    <x v="11"/>
    <n v="1.8404010544440601"/>
    <n v="111.957730812013"/>
    <n v="403.047830923248"/>
  </r>
  <r>
    <x v="0"/>
    <x v="0"/>
    <x v="0"/>
    <x v="4"/>
    <x v="5"/>
    <s v="LV_A"/>
    <x v="0"/>
    <x v="0"/>
    <s v="WI-L9"/>
    <x v="11"/>
    <x v="0"/>
    <n v="29.446416871104901"/>
    <n v="1791.32369299221"/>
    <n v="6448.7652947719698"/>
  </r>
  <r>
    <x v="0"/>
    <x v="0"/>
    <x v="0"/>
    <x v="4"/>
    <x v="5"/>
    <s v="LV_A"/>
    <x v="0"/>
    <x v="0"/>
    <s v="WI-L9"/>
    <x v="11"/>
    <x v="1"/>
    <n v="34.967620034437097"/>
    <n v="2127.19688542825"/>
    <n v="7657.9087875417099"/>
  </r>
  <r>
    <x v="0"/>
    <x v="0"/>
    <x v="0"/>
    <x v="4"/>
    <x v="5"/>
    <s v="LV_A"/>
    <x v="0"/>
    <x v="0"/>
    <s v="WI-L9"/>
    <x v="11"/>
    <x v="2"/>
    <n v="34.967620034437097"/>
    <n v="2127.19688542825"/>
    <n v="7657.9087875417099"/>
  </r>
  <r>
    <x v="0"/>
    <x v="0"/>
    <x v="0"/>
    <x v="4"/>
    <x v="5"/>
    <s v="LV_A"/>
    <x v="0"/>
    <x v="0"/>
    <s v="WI-L9"/>
    <x v="11"/>
    <x v="3"/>
    <n v="34.967620034437097"/>
    <n v="2127.19688542825"/>
    <n v="7657.9087875417099"/>
  </r>
  <r>
    <x v="0"/>
    <x v="0"/>
    <x v="0"/>
    <x v="4"/>
    <x v="5"/>
    <s v="LV_A"/>
    <x v="0"/>
    <x v="0"/>
    <s v="WI-L9"/>
    <x v="11"/>
    <x v="4"/>
    <n v="34.967620034437097"/>
    <n v="2127.19688542825"/>
    <n v="7657.9087875417099"/>
  </r>
  <r>
    <x v="0"/>
    <x v="0"/>
    <x v="0"/>
    <x v="4"/>
    <x v="5"/>
    <s v="LV_A"/>
    <x v="0"/>
    <x v="0"/>
    <s v="WI-L9"/>
    <x v="11"/>
    <x v="5"/>
    <n v="36.808021088881098"/>
    <n v="2239.1546162402701"/>
    <n v="8060.9566184649602"/>
  </r>
  <r>
    <x v="0"/>
    <x v="0"/>
    <x v="0"/>
    <x v="4"/>
    <x v="5"/>
    <s v="LV_A"/>
    <x v="0"/>
    <x v="0"/>
    <s v="WI-L9"/>
    <x v="11"/>
    <x v="6"/>
    <n v="36.808021088881098"/>
    <n v="2239.1546162402701"/>
    <n v="8060.9566184649602"/>
  </r>
  <r>
    <x v="0"/>
    <x v="0"/>
    <x v="0"/>
    <x v="4"/>
    <x v="5"/>
    <s v="LV_A"/>
    <x v="0"/>
    <x v="0"/>
    <s v="WI-L9"/>
    <x v="11"/>
    <x v="7"/>
    <n v="36.808021088881098"/>
    <n v="2239.1546162402701"/>
    <n v="8060.9566184649602"/>
  </r>
  <r>
    <x v="0"/>
    <x v="0"/>
    <x v="0"/>
    <x v="4"/>
    <x v="5"/>
    <s v="LV_A"/>
    <x v="0"/>
    <x v="0"/>
    <s v="WI-L9"/>
    <x v="11"/>
    <x v="8"/>
    <n v="36.808021088881098"/>
    <n v="2239.1546162402701"/>
    <n v="8060.9566184649602"/>
  </r>
  <r>
    <x v="0"/>
    <x v="0"/>
    <x v="0"/>
    <x v="4"/>
    <x v="5"/>
    <s v="LV_A"/>
    <x v="0"/>
    <x v="0"/>
    <s v="WI-L9"/>
    <x v="11"/>
    <x v="9"/>
    <n v="36.808021088881098"/>
    <n v="2239.1546162402701"/>
    <n v="8060.9566184649602"/>
  </r>
  <r>
    <x v="0"/>
    <x v="0"/>
    <x v="0"/>
    <x v="4"/>
    <x v="5"/>
    <s v="LV_A"/>
    <x v="0"/>
    <x v="0"/>
    <s v="WI-L9"/>
    <x v="11"/>
    <x v="10"/>
    <n v="36.808021088881098"/>
    <n v="2239.1546162402701"/>
    <n v="8060.9566184649602"/>
  </r>
  <r>
    <x v="0"/>
    <x v="0"/>
    <x v="0"/>
    <x v="4"/>
    <x v="5"/>
    <s v="LV_A"/>
    <x v="0"/>
    <x v="0"/>
    <s v="WI-L9"/>
    <x v="11"/>
    <x v="11"/>
    <n v="33.127218979993003"/>
    <n v="2015.2391546162401"/>
    <n v="7254.8609566184696"/>
  </r>
  <r>
    <x v="0"/>
    <x v="0"/>
    <x v="0"/>
    <x v="4"/>
    <x v="5"/>
    <s v="LV_A1"/>
    <x v="3"/>
    <x v="3"/>
    <s v="GBPR_NATGAS"/>
    <x v="0"/>
    <x v="0"/>
    <n v="94.654194442028697"/>
    <n v="5758.1301618900798"/>
    <n v="20729.2685828043"/>
  </r>
  <r>
    <x v="0"/>
    <x v="0"/>
    <x v="0"/>
    <x v="4"/>
    <x v="5"/>
    <s v="LV_A1"/>
    <x v="3"/>
    <x v="3"/>
    <s v="GBPR_NATGAS"/>
    <x v="0"/>
    <x v="1"/>
    <n v="81.248691708366906"/>
    <n v="4942.6287455923202"/>
    <n v="17793.4634841324"/>
  </r>
  <r>
    <x v="0"/>
    <x v="0"/>
    <x v="0"/>
    <x v="4"/>
    <x v="5"/>
    <s v="LV_A1"/>
    <x v="3"/>
    <x v="3"/>
    <s v="GBPR_NATGAS"/>
    <x v="0"/>
    <x v="2"/>
    <n v="41.476683450873601"/>
    <n v="2523.1649099281399"/>
    <n v="9083.3936757413194"/>
  </r>
  <r>
    <x v="0"/>
    <x v="0"/>
    <x v="0"/>
    <x v="4"/>
    <x v="5"/>
    <s v="LV_A1"/>
    <x v="3"/>
    <x v="3"/>
    <s v="GBPR_NATGAS"/>
    <x v="0"/>
    <x v="3"/>
    <n v="43.444260935431998"/>
    <n v="2642.8592069054498"/>
    <n v="9514.29314485961"/>
  </r>
  <r>
    <x v="0"/>
    <x v="0"/>
    <x v="0"/>
    <x v="4"/>
    <x v="5"/>
    <s v="LV_A1"/>
    <x v="3"/>
    <x v="3"/>
    <s v="GBPR_NATGAS"/>
    <x v="0"/>
    <x v="4"/>
    <n v="44.428049677711201"/>
    <n v="2702.7063553940998"/>
    <n v="9729.7428794187508"/>
  </r>
  <r>
    <x v="0"/>
    <x v="0"/>
    <x v="0"/>
    <x v="4"/>
    <x v="5"/>
    <s v="LV_A1"/>
    <x v="3"/>
    <x v="3"/>
    <s v="GBPR_NATGAS"/>
    <x v="0"/>
    <x v="5"/>
    <n v="41.476683450873601"/>
    <n v="2523.1649099281399"/>
    <n v="9083.3936757413194"/>
  </r>
  <r>
    <x v="0"/>
    <x v="0"/>
    <x v="0"/>
    <x v="4"/>
    <x v="5"/>
    <s v="LV_A1"/>
    <x v="3"/>
    <x v="3"/>
    <s v="GBPR_NATGAS"/>
    <x v="0"/>
    <x v="6"/>
    <n v="48.781592855975902"/>
    <n v="2967.5468987385302"/>
    <n v="10683.1688354587"/>
  </r>
  <r>
    <x v="0"/>
    <x v="0"/>
    <x v="0"/>
    <x v="4"/>
    <x v="5"/>
    <s v="LV_A1"/>
    <x v="3"/>
    <x v="3"/>
    <s v="GBPR_NATGAS"/>
    <x v="0"/>
    <x v="7"/>
    <n v="61.989234714753302"/>
    <n v="3771.0117784808199"/>
    <n v="13575.642402531001"/>
  </r>
  <r>
    <x v="0"/>
    <x v="0"/>
    <x v="0"/>
    <x v="4"/>
    <x v="5"/>
    <s v="LV_A1"/>
    <x v="3"/>
    <x v="3"/>
    <s v="GBPR_NATGAS"/>
    <x v="0"/>
    <x v="8"/>
    <n v="56.3692025276438"/>
    <n v="3429.12648709833"/>
    <n v="12344.855353554"/>
  </r>
  <r>
    <x v="0"/>
    <x v="0"/>
    <x v="0"/>
    <x v="4"/>
    <x v="5"/>
    <s v="LV_A1"/>
    <x v="3"/>
    <x v="3"/>
    <s v="GBPR_NATGAS"/>
    <x v="0"/>
    <x v="9"/>
    <n v="49.765381598255097"/>
    <n v="3027.3940472271802"/>
    <n v="10898.618570017899"/>
  </r>
  <r>
    <x v="0"/>
    <x v="0"/>
    <x v="0"/>
    <x v="4"/>
    <x v="5"/>
    <s v="LV_A1"/>
    <x v="3"/>
    <x v="3"/>
    <s v="GBPR_NATGAS"/>
    <x v="0"/>
    <x v="10"/>
    <n v="39.927494175463004"/>
    <n v="2428.9225623406701"/>
    <n v="8744.1212244264007"/>
  </r>
  <r>
    <x v="0"/>
    <x v="0"/>
    <x v="0"/>
    <x v="4"/>
    <x v="5"/>
    <s v="LV_A1"/>
    <x v="3"/>
    <x v="3"/>
    <s v="GBPR_NATGAS"/>
    <x v="0"/>
    <x v="11"/>
    <n v="24.186874298995701"/>
    <n v="1471.36818652224"/>
    <n v="5296.92547148006"/>
  </r>
  <r>
    <x v="0"/>
    <x v="0"/>
    <x v="0"/>
    <x v="4"/>
    <x v="5"/>
    <s v="LV_A1"/>
    <x v="3"/>
    <x v="3"/>
    <s v="GBPR_NATGAS"/>
    <x v="1"/>
    <x v="0"/>
    <n v="71.043264627327702"/>
    <n v="4321.7985981624397"/>
    <n v="15558.474953384801"/>
  </r>
  <r>
    <x v="0"/>
    <x v="0"/>
    <x v="0"/>
    <x v="4"/>
    <x v="5"/>
    <s v="LV_A1"/>
    <x v="3"/>
    <x v="3"/>
    <s v="GBPR_NATGAS"/>
    <x v="1"/>
    <x v="1"/>
    <n v="17.865753636172599"/>
    <n v="1086.8333462005"/>
    <n v="3912.6000463218002"/>
  </r>
  <r>
    <x v="0"/>
    <x v="0"/>
    <x v="0"/>
    <x v="4"/>
    <x v="5"/>
    <s v="LV_A1"/>
    <x v="3"/>
    <x v="3"/>
    <s v="GBPR_NATGAS"/>
    <x v="1"/>
    <x v="2"/>
    <n v="21.800908605289401"/>
    <n v="1326.2219401551099"/>
    <n v="4774.3989845583901"/>
  </r>
  <r>
    <x v="0"/>
    <x v="0"/>
    <x v="0"/>
    <x v="4"/>
    <x v="5"/>
    <s v="LV_A1"/>
    <x v="3"/>
    <x v="3"/>
    <s v="GBPR_NATGAS"/>
    <x v="1"/>
    <x v="3"/>
    <n v="20.817119863010198"/>
    <n v="1266.3747916664599"/>
    <n v="4558.9492499992402"/>
  </r>
  <r>
    <x v="0"/>
    <x v="0"/>
    <x v="0"/>
    <x v="4"/>
    <x v="5"/>
    <s v="LV_A1"/>
    <x v="3"/>
    <x v="3"/>
    <s v="GBPR_NATGAS"/>
    <x v="1"/>
    <x v="4"/>
    <n v="23.768486089847801"/>
    <n v="1445.9162371324101"/>
    <n v="5205.2984536766799"/>
  </r>
  <r>
    <x v="0"/>
    <x v="0"/>
    <x v="0"/>
    <x v="4"/>
    <x v="5"/>
    <s v="LV_A1"/>
    <x v="3"/>
    <x v="3"/>
    <s v="GBPR_NATGAS"/>
    <x v="1"/>
    <x v="5"/>
    <n v="89.034162254919096"/>
    <n v="5416.2448705075803"/>
    <n v="19498.4815338273"/>
  </r>
  <r>
    <x v="0"/>
    <x v="0"/>
    <x v="0"/>
    <x v="4"/>
    <x v="5"/>
    <s v="LV_A1"/>
    <x v="3"/>
    <x v="3"/>
    <s v="GBPR_NATGAS"/>
    <x v="1"/>
    <x v="6"/>
    <n v="89.452550464067002"/>
    <n v="5441.69681989741"/>
    <n v="19590.108551630699"/>
  </r>
  <r>
    <x v="0"/>
    <x v="0"/>
    <x v="0"/>
    <x v="4"/>
    <x v="5"/>
    <s v="LV_A1"/>
    <x v="3"/>
    <x v="3"/>
    <s v="GBPR_NATGAS"/>
    <x v="1"/>
    <x v="7"/>
    <n v="94.789882384610706"/>
    <n v="5766.38451173048"/>
    <n v="20758.984242229701"/>
  </r>
  <r>
    <x v="0"/>
    <x v="0"/>
    <x v="0"/>
    <x v="4"/>
    <x v="5"/>
    <s v="LV_A1"/>
    <x v="3"/>
    <x v="3"/>
    <s v="GBPR_NATGAS"/>
    <x v="1"/>
    <x v="8"/>
    <n v="91.137427682059695"/>
    <n v="5544.1935173252996"/>
    <n v="19959.096662371099"/>
  </r>
  <r>
    <x v="0"/>
    <x v="0"/>
    <x v="0"/>
    <x v="4"/>
    <x v="5"/>
    <s v="LV_A1"/>
    <x v="3"/>
    <x v="3"/>
    <s v="GBPR_NATGAS"/>
    <x v="1"/>
    <x v="9"/>
    <n v="84.533606752670906"/>
    <n v="5142.4610774541497"/>
    <n v="18512.859878834901"/>
  </r>
  <r>
    <x v="0"/>
    <x v="0"/>
    <x v="0"/>
    <x v="4"/>
    <x v="5"/>
    <s v="LV_A1"/>
    <x v="3"/>
    <x v="3"/>
    <s v="GBPR_NATGAS"/>
    <x v="1"/>
    <x v="10"/>
    <n v="82.566029268112501"/>
    <n v="5022.7667804768398"/>
    <n v="18081.960409716601"/>
  </r>
  <r>
    <x v="0"/>
    <x v="0"/>
    <x v="0"/>
    <x v="4"/>
    <x v="5"/>
    <s v="LV_A1"/>
    <x v="3"/>
    <x v="3"/>
    <s v="GBPR_NATGAS"/>
    <x v="1"/>
    <x v="11"/>
    <n v="79.614663041274895"/>
    <n v="4843.2253350108904"/>
    <n v="17435.611206039201"/>
  </r>
  <r>
    <x v="0"/>
    <x v="0"/>
    <x v="0"/>
    <x v="4"/>
    <x v="5"/>
    <s v="LV_A1"/>
    <x v="3"/>
    <x v="3"/>
    <s v="GBPR_NATGAS"/>
    <x v="2"/>
    <x v="0"/>
    <n v="40.210194442028701"/>
    <n v="2446.12016189008"/>
    <n v="8806.0325828042896"/>
  </r>
  <r>
    <x v="0"/>
    <x v="0"/>
    <x v="0"/>
    <x v="4"/>
    <x v="5"/>
    <s v="LV_A1"/>
    <x v="3"/>
    <x v="3"/>
    <s v="GBPR_NATGAS"/>
    <x v="2"/>
    <x v="1"/>
    <n v="38.525317224035902"/>
    <n v="2343.62346446219"/>
    <n v="8437.0444720638698"/>
  </r>
  <r>
    <x v="0"/>
    <x v="0"/>
    <x v="0"/>
    <x v="4"/>
    <x v="5"/>
    <s v="LV_A1"/>
    <x v="3"/>
    <x v="3"/>
    <s v="GBPR_NATGAS"/>
    <x v="2"/>
    <x v="2"/>
    <n v="37.5415284817567"/>
    <n v="2283.77631597353"/>
    <n v="8221.5947375047308"/>
  </r>
  <r>
    <x v="0"/>
    <x v="0"/>
    <x v="0"/>
    <x v="4"/>
    <x v="5"/>
    <s v="LV_A1"/>
    <x v="3"/>
    <x v="3"/>
    <s v="GBPR_NATGAS"/>
    <x v="2"/>
    <x v="3"/>
    <n v="35.573950997198303"/>
    <n v="2164.0820189962301"/>
    <n v="7790.6952683864401"/>
  </r>
  <r>
    <x v="0"/>
    <x v="0"/>
    <x v="0"/>
    <x v="4"/>
    <x v="5"/>
    <s v="LV_A1"/>
    <x v="3"/>
    <x v="3"/>
    <s v="GBPR_NATGAS"/>
    <x v="2"/>
    <x v="4"/>
    <n v="36.557739739477498"/>
    <n v="2223.9291674848801"/>
    <n v="8006.14500294558"/>
  </r>
  <r>
    <x v="0"/>
    <x v="0"/>
    <x v="0"/>
    <x v="4"/>
    <x v="5"/>
    <s v="LV_A1"/>
    <x v="3"/>
    <x v="3"/>
    <s v="GBPR_NATGAS"/>
    <x v="2"/>
    <x v="5"/>
    <n v="36.557739739477498"/>
    <n v="2223.9291674848801"/>
    <n v="8006.14500294558"/>
  </r>
  <r>
    <x v="0"/>
    <x v="0"/>
    <x v="0"/>
    <x v="4"/>
    <x v="5"/>
    <s v="LV_A1"/>
    <x v="3"/>
    <x v="3"/>
    <s v="GBPR_NATGAS"/>
    <x v="2"/>
    <x v="6"/>
    <n v="98.306649144579794"/>
    <n v="5980.3211562952702"/>
    <n v="21529.156162662999"/>
  </r>
  <r>
    <x v="0"/>
    <x v="0"/>
    <x v="0"/>
    <x v="4"/>
    <x v="5"/>
    <s v="LV_A1"/>
    <x v="3"/>
    <x v="3"/>
    <s v="GBPR_NATGAS"/>
    <x v="2"/>
    <x v="7"/>
    <n v="108.56292477652001"/>
    <n v="6604.2445905716104"/>
    <n v="23775.280526057799"/>
  </r>
  <r>
    <x v="0"/>
    <x v="0"/>
    <x v="0"/>
    <x v="4"/>
    <x v="5"/>
    <s v="LV_A1"/>
    <x v="3"/>
    <x v="3"/>
    <s v="GBPR_NATGAS"/>
    <x v="2"/>
    <x v="8"/>
    <n v="105.894258816248"/>
    <n v="6441.9007446550704"/>
    <n v="23190.8426807582"/>
  </r>
  <r>
    <x v="0"/>
    <x v="0"/>
    <x v="0"/>
    <x v="4"/>
    <x v="5"/>
    <s v="LV_A1"/>
    <x v="3"/>
    <x v="3"/>
    <s v="GBPR_NATGAS"/>
    <x v="2"/>
    <x v="9"/>
    <n v="105.193170340534"/>
    <n v="6399.2511957158404"/>
    <n v="23037.304304576999"/>
  </r>
  <r>
    <x v="0"/>
    <x v="0"/>
    <x v="0"/>
    <x v="4"/>
    <x v="5"/>
    <s v="LV_A1"/>
    <x v="3"/>
    <x v="3"/>
    <s v="GBPR_NATGAS"/>
    <x v="2"/>
    <x v="10"/>
    <n v="107.160747825093"/>
    <n v="6518.9454926931403"/>
    <n v="23468.203773695299"/>
  </r>
  <r>
    <x v="0"/>
    <x v="0"/>
    <x v="0"/>
    <x v="4"/>
    <x v="5"/>
    <s v="LV_A1"/>
    <x v="3"/>
    <x v="3"/>
    <s v="GBPR_NATGAS"/>
    <x v="2"/>
    <x v="11"/>
    <n v="103.225592855976"/>
    <n v="6279.5568987385304"/>
    <n v="22606.404835458699"/>
  </r>
  <r>
    <x v="0"/>
    <x v="0"/>
    <x v="0"/>
    <x v="4"/>
    <x v="5"/>
    <s v="LV_A1"/>
    <x v="3"/>
    <x v="3"/>
    <s v="GBPR_NATGAS"/>
    <x v="3"/>
    <x v="0"/>
    <n v="51.031870607099997"/>
    <n v="3104.4387952652501"/>
    <n v="11175.9796629549"/>
  </r>
  <r>
    <x v="0"/>
    <x v="0"/>
    <x v="0"/>
    <x v="4"/>
    <x v="5"/>
    <s v="LV_A1"/>
    <x v="3"/>
    <x v="3"/>
    <s v="GBPR_NATGAS"/>
    <x v="3"/>
    <x v="1"/>
    <n v="47.3794159045488"/>
    <n v="2882.2478008600501"/>
    <n v="10376.0920830962"/>
  </r>
  <r>
    <x v="0"/>
    <x v="0"/>
    <x v="0"/>
    <x v="4"/>
    <x v="5"/>
    <s v="LV_A1"/>
    <x v="3"/>
    <x v="3"/>
    <s v="GBPR_NATGAS"/>
    <x v="3"/>
    <x v="2"/>
    <n v="47.3794159045488"/>
    <n v="2882.2478008600501"/>
    <n v="10376.0920830962"/>
  </r>
  <r>
    <x v="0"/>
    <x v="0"/>
    <x v="0"/>
    <x v="4"/>
    <x v="5"/>
    <s v="LV_A1"/>
    <x v="3"/>
    <x v="3"/>
    <s v="GBPR_NATGAS"/>
    <x v="3"/>
    <x v="3"/>
    <n v="51.314570873665701"/>
    <n v="3121.63639481466"/>
    <n v="11237.8910213328"/>
  </r>
  <r>
    <x v="0"/>
    <x v="0"/>
    <x v="0"/>
    <x v="4"/>
    <x v="5"/>
    <s v="LV_A1"/>
    <x v="3"/>
    <x v="3"/>
    <s v="GBPR_NATGAS"/>
    <x v="3"/>
    <x v="4"/>
    <n v="97.988043037276"/>
    <n v="5960.9392847676299"/>
    <n v="21459.381425163501"/>
  </r>
  <r>
    <x v="0"/>
    <x v="0"/>
    <x v="0"/>
    <x v="4"/>
    <x v="5"/>
    <s v="LV_A1"/>
    <x v="3"/>
    <x v="3"/>
    <s v="GBPR_NATGAS"/>
    <x v="3"/>
    <x v="5"/>
    <n v="107.72614835822399"/>
    <n v="6553.3406917919601"/>
    <n v="23592.026490451099"/>
  </r>
  <r>
    <x v="0"/>
    <x v="0"/>
    <x v="0"/>
    <x v="4"/>
    <x v="5"/>
    <s v="LV_A1"/>
    <x v="3"/>
    <x v="3"/>
    <s v="GBPR_NATGAS"/>
    <x v="3"/>
    <x v="6"/>
    <n v="115.031057763326"/>
    <n v="6997.72268060235"/>
    <n v="25191.801650168502"/>
  </r>
  <r>
    <x v="0"/>
    <x v="0"/>
    <x v="0"/>
    <x v="4"/>
    <x v="5"/>
    <s v="LV_A1"/>
    <x v="3"/>
    <x v="3"/>
    <s v="GBPR_NATGAS"/>
    <x v="3"/>
    <x v="7"/>
    <n v="120.36838968387001"/>
    <n v="7322.41037243543"/>
    <n v="26360.677340767499"/>
  </r>
  <r>
    <x v="0"/>
    <x v="0"/>
    <x v="0"/>
    <x v="4"/>
    <x v="5"/>
    <s v="LV_A1"/>
    <x v="3"/>
    <x v="3"/>
    <s v="GBPR_NATGAS"/>
    <x v="3"/>
    <x v="8"/>
    <n v="115.73214623904001"/>
    <n v="7040.3722295415801"/>
    <n v="25345.340026349699"/>
  </r>
  <r>
    <x v="0"/>
    <x v="0"/>
    <x v="0"/>
    <x v="4"/>
    <x v="5"/>
    <s v="LV_A1"/>
    <x v="3"/>
    <x v="3"/>
    <s v="GBPR_NATGAS"/>
    <x v="3"/>
    <x v="9"/>
    <n v="113.063480278768"/>
    <n v="6878.0283836250501"/>
    <n v="24760.902181050202"/>
  </r>
  <r>
    <x v="0"/>
    <x v="0"/>
    <x v="0"/>
    <x v="4"/>
    <x v="5"/>
    <s v="LV_A1"/>
    <x v="3"/>
    <x v="3"/>
    <s v="GBPR_NATGAS"/>
    <x v="3"/>
    <x v="10"/>
    <n v="112.07969153648899"/>
    <n v="6818.1812351363997"/>
    <n v="24545.452446490999"/>
  </r>
  <r>
    <x v="0"/>
    <x v="0"/>
    <x v="0"/>
    <x v="4"/>
    <x v="5"/>
    <s v="LV_A1"/>
    <x v="3"/>
    <x v="3"/>
    <s v="GBPR_NATGAS"/>
    <x v="3"/>
    <x v="11"/>
    <n v="110.11211405193001"/>
    <n v="6698.4869381590897"/>
    <n v="24114.552977372699"/>
  </r>
  <r>
    <x v="0"/>
    <x v="0"/>
    <x v="0"/>
    <x v="4"/>
    <x v="5"/>
    <s v="LV_A1"/>
    <x v="3"/>
    <x v="3"/>
    <s v="GBPR_NATGAS"/>
    <x v="4"/>
    <x v="0"/>
    <n v="42.177771926587099"/>
    <n v="2565.8144588673799"/>
    <n v="9236.9320519225694"/>
  </r>
  <r>
    <x v="0"/>
    <x v="0"/>
    <x v="0"/>
    <x v="4"/>
    <x v="5"/>
    <s v="LV_A1"/>
    <x v="3"/>
    <x v="3"/>
    <s v="GBPR_NATGAS"/>
    <x v="4"/>
    <x v="1"/>
    <n v="36.557739739477498"/>
    <n v="2223.9291674848801"/>
    <n v="8006.14500294558"/>
  </r>
  <r>
    <x v="0"/>
    <x v="0"/>
    <x v="0"/>
    <x v="4"/>
    <x v="5"/>
    <s v="LV_A1"/>
    <x v="3"/>
    <x v="3"/>
    <s v="GBPR_NATGAS"/>
    <x v="4"/>
    <x v="2"/>
    <n v="32.622584770360703"/>
    <n v="1984.54057353028"/>
    <n v="7144.3460647089896"/>
  </r>
  <r>
    <x v="0"/>
    <x v="0"/>
    <x v="0"/>
    <x v="4"/>
    <x v="5"/>
    <s v="LV_A1"/>
    <x v="3"/>
    <x v="3"/>
    <s v="GBPR_NATGAS"/>
    <x v="4"/>
    <x v="3"/>
    <n v="30.655007285802299"/>
    <n v="1864.84627655297"/>
    <n v="6713.4465955906999"/>
  </r>
  <r>
    <x v="0"/>
    <x v="0"/>
    <x v="0"/>
    <x v="4"/>
    <x v="5"/>
    <s v="LV_A1"/>
    <x v="3"/>
    <x v="3"/>
    <s v="GBPR_NATGAS"/>
    <x v="4"/>
    <x v="4"/>
    <n v="28.687429801243901"/>
    <n v="1745.1519795756701"/>
    <n v="6282.5471264724101"/>
  </r>
  <r>
    <x v="0"/>
    <x v="0"/>
    <x v="0"/>
    <x v="4"/>
    <x v="5"/>
    <s v="LV_A1"/>
    <x v="3"/>
    <x v="3"/>
    <s v="GBPR_NATGAS"/>
    <x v="4"/>
    <x v="5"/>
    <n v="33.806144295051602"/>
    <n v="2056.5404446156399"/>
    <n v="7403.5456006163004"/>
  </r>
  <r>
    <x v="0"/>
    <x v="0"/>
    <x v="0"/>
    <x v="4"/>
    <x v="5"/>
    <s v="LV_A1"/>
    <x v="3"/>
    <x v="3"/>
    <s v="GBPR_NATGAS"/>
    <x v="4"/>
    <x v="6"/>
    <n v="90.436339206346204"/>
    <n v="5501.5439683860604"/>
    <n v="19805.5582861898"/>
  </r>
  <r>
    <x v="0"/>
    <x v="0"/>
    <x v="0"/>
    <x v="4"/>
    <x v="5"/>
    <s v="LV_A1"/>
    <x v="3"/>
    <x v="3"/>
    <s v="GBPR_NATGAS"/>
    <x v="4"/>
    <x v="7"/>
    <n v="96.757459869169097"/>
    <n v="5886.0788087077899"/>
    <n v="21189.883711348"/>
  </r>
  <r>
    <x v="0"/>
    <x v="0"/>
    <x v="0"/>
    <x v="4"/>
    <x v="5"/>
    <s v="LV_A1"/>
    <x v="3"/>
    <x v="3"/>
    <s v="GBPR_NATGAS"/>
    <x v="4"/>
    <x v="8"/>
    <n v="93.105005166618099"/>
    <n v="5663.8878143026004"/>
    <n v="20389.996131489399"/>
  </r>
  <r>
    <x v="0"/>
    <x v="0"/>
    <x v="0"/>
    <x v="4"/>
    <x v="5"/>
    <s v="LV_A1"/>
    <x v="3"/>
    <x v="3"/>
    <s v="GBPR_NATGAS"/>
    <x v="4"/>
    <x v="9"/>
    <n v="89.452550464067002"/>
    <n v="5441.69681989741"/>
    <n v="19590.108551630699"/>
  </r>
  <r>
    <x v="0"/>
    <x v="0"/>
    <x v="0"/>
    <x v="4"/>
    <x v="5"/>
    <s v="LV_A1"/>
    <x v="3"/>
    <x v="3"/>
    <s v="GBPR_NATGAS"/>
    <x v="4"/>
    <x v="10"/>
    <n v="86.501184237229296"/>
    <n v="5262.1553744314497"/>
    <n v="18943.759347953201"/>
  </r>
  <r>
    <x v="0"/>
    <x v="0"/>
    <x v="0"/>
    <x v="4"/>
    <x v="5"/>
    <s v="LV_A1"/>
    <x v="3"/>
    <x v="3"/>
    <s v="GBPR_NATGAS"/>
    <x v="4"/>
    <x v="11"/>
    <n v="79.614663041274895"/>
    <n v="4843.2253350108904"/>
    <n v="17435.611206039201"/>
  </r>
  <r>
    <x v="0"/>
    <x v="0"/>
    <x v="0"/>
    <x v="4"/>
    <x v="5"/>
    <s v="LV_A1"/>
    <x v="3"/>
    <x v="3"/>
    <s v="GBPR_NATGAS"/>
    <x v="5"/>
    <x v="6"/>
    <n v="61.906465680249099"/>
    <n v="3765.9766622151601"/>
    <n v="13557.515983974599"/>
  </r>
  <r>
    <x v="0"/>
    <x v="0"/>
    <x v="0"/>
    <x v="4"/>
    <x v="5"/>
    <s v="LV_A1"/>
    <x v="3"/>
    <x v="3"/>
    <s v="GBPR_NATGAS"/>
    <x v="5"/>
    <x v="7"/>
    <n v="67.243797600793002"/>
    <n v="4090.6643540482401"/>
    <n v="14726.391674573701"/>
  </r>
  <r>
    <x v="0"/>
    <x v="0"/>
    <x v="0"/>
    <x v="4"/>
    <x v="5"/>
    <s v="LV_A1"/>
    <x v="3"/>
    <x v="3"/>
    <s v="GBPR_NATGAS"/>
    <x v="5"/>
    <x v="8"/>
    <n v="64.575131640521107"/>
    <n v="3928.3205081317001"/>
    <n v="14141.9538292741"/>
  </r>
  <r>
    <x v="0"/>
    <x v="0"/>
    <x v="0"/>
    <x v="4"/>
    <x v="5"/>
    <s v="LV_A1"/>
    <x v="3"/>
    <x v="3"/>
    <s v="GBPR_NATGAS"/>
    <x v="5"/>
    <x v="9"/>
    <n v="61.906465680249099"/>
    <n v="3765.9766622151601"/>
    <n v="13557.515983974599"/>
  </r>
  <r>
    <x v="0"/>
    <x v="0"/>
    <x v="0"/>
    <x v="4"/>
    <x v="5"/>
    <s v="LV_A1"/>
    <x v="3"/>
    <x v="3"/>
    <s v="GBPR_NATGAS"/>
    <x v="5"/>
    <x v="10"/>
    <n v="60.922676937969896"/>
    <n v="3706.1295137265001"/>
    <n v="13342.0662494154"/>
  </r>
  <r>
    <x v="0"/>
    <x v="0"/>
    <x v="0"/>
    <x v="4"/>
    <x v="5"/>
    <s v="LV_A1"/>
    <x v="3"/>
    <x v="3"/>
    <s v="GBPR_NATGAS"/>
    <x v="5"/>
    <x v="11"/>
    <n v="59.938888195690701"/>
    <n v="3646.2823652378502"/>
    <n v="13126.6165148563"/>
  </r>
  <r>
    <x v="0"/>
    <x v="0"/>
    <x v="0"/>
    <x v="4"/>
    <x v="5"/>
    <s v="LV_A1"/>
    <x v="3"/>
    <x v="3"/>
    <s v="GBPR_NATGAS"/>
    <x v="6"/>
    <x v="0"/>
    <n v="94.318575267385398"/>
    <n v="5737.7133287659399"/>
    <n v="20655.767983557402"/>
  </r>
  <r>
    <x v="0"/>
    <x v="0"/>
    <x v="0"/>
    <x v="4"/>
    <x v="5"/>
    <s v="LV_A1"/>
    <x v="3"/>
    <x v="3"/>
    <s v="GBPR_NATGAS"/>
    <x v="6"/>
    <x v="1"/>
    <n v="98.536430503068104"/>
    <n v="5994.2995222699701"/>
    <n v="21579.478280171901"/>
  </r>
  <r>
    <x v="0"/>
    <x v="0"/>
    <x v="0"/>
    <x v="4"/>
    <x v="5"/>
    <s v="LV_A1"/>
    <x v="3"/>
    <x v="3"/>
    <s v="GBPR_NATGAS"/>
    <x v="6"/>
    <x v="2"/>
    <n v="109.35810666814"/>
    <n v="6652.6181556451502"/>
    <n v="23949.425360322599"/>
  </r>
  <r>
    <x v="0"/>
    <x v="0"/>
    <x v="0"/>
    <x v="4"/>
    <x v="5"/>
    <s v="LV_A1"/>
    <x v="3"/>
    <x v="3"/>
    <s v="GBPR_NATGAS"/>
    <x v="6"/>
    <x v="3"/>
    <n v="111.32568415269699"/>
    <n v="6772.3124526223901"/>
    <n v="24380.3248294406"/>
  </r>
  <r>
    <x v="0"/>
    <x v="0"/>
    <x v="0"/>
    <x v="4"/>
    <x v="5"/>
    <s v="LV_A1"/>
    <x v="3"/>
    <x v="3"/>
    <s v="GBPR_NATGAS"/>
    <x v="6"/>
    <x v="4"/>
    <n v="116.244627864094"/>
    <n v="7071.5481950656904"/>
    <n v="25457.573502236501"/>
  </r>
  <r>
    <x v="0"/>
    <x v="0"/>
    <x v="0"/>
    <x v="4"/>
    <x v="5"/>
    <s v="LV_A1"/>
    <x v="3"/>
    <x v="3"/>
    <s v="GBPR_NATGAS"/>
    <x v="6"/>
    <x v="5"/>
    <n v="170.688627864094"/>
    <n v="10383.5581950657"/>
    <n v="37380.809502236501"/>
  </r>
  <r>
    <x v="0"/>
    <x v="0"/>
    <x v="0"/>
    <x v="4"/>
    <x v="5"/>
    <s v="LV_A1"/>
    <x v="3"/>
    <x v="3"/>
    <s v="GBPR_NATGAS"/>
    <x v="6"/>
    <x v="6"/>
    <n v="166.188072361846"/>
    <n v="10109.774402012299"/>
    <n v="36395.187847244197"/>
  </r>
  <r>
    <x v="0"/>
    <x v="0"/>
    <x v="0"/>
    <x v="4"/>
    <x v="5"/>
    <s v="LV_A1"/>
    <x v="3"/>
    <x v="3"/>
    <s v="GBPR_NATGAS"/>
    <x v="6"/>
    <x v="7"/>
    <n v="171.525404282388"/>
    <n v="10434.462093845301"/>
    <n v="37564.063537843002"/>
  </r>
  <r>
    <x v="0"/>
    <x v="0"/>
    <x v="0"/>
    <x v="4"/>
    <x v="5"/>
    <s v="LV_A1"/>
    <x v="3"/>
    <x v="3"/>
    <s v="GBPR_NATGAS"/>
    <x v="6"/>
    <x v="8"/>
    <n v="165.90537209527901"/>
    <n v="10092.5768024628"/>
    <n v="36333.276488866097"/>
  </r>
  <r>
    <x v="0"/>
    <x v="0"/>
    <x v="0"/>
    <x v="4"/>
    <x v="5"/>
    <s v="LV_A1"/>
    <x v="3"/>
    <x v="3"/>
    <s v="GBPR_NATGAS"/>
    <x v="6"/>
    <x v="9"/>
    <n v="152.415029969936"/>
    <n v="9271.9143231711205"/>
    <n v="33378.891563416"/>
  </r>
  <r>
    <x v="0"/>
    <x v="0"/>
    <x v="0"/>
    <x v="4"/>
    <x v="5"/>
    <s v="LV_A1"/>
    <x v="3"/>
    <x v="3"/>
    <s v="GBPR_NATGAS"/>
    <x v="6"/>
    <x v="10"/>
    <n v="162.25291739272799"/>
    <n v="9870.3858080576301"/>
    <n v="35533.388909007503"/>
  </r>
  <r>
    <x v="0"/>
    <x v="0"/>
    <x v="0"/>
    <x v="4"/>
    <x v="5"/>
    <s v="LV_A1"/>
    <x v="3"/>
    <x v="3"/>
    <s v="GBPR_NATGAS"/>
    <x v="6"/>
    <x v="11"/>
    <n v="164.220494877287"/>
    <n v="9990.0801050349492"/>
    <n v="35964.288378125799"/>
  </r>
  <r>
    <x v="0"/>
    <x v="0"/>
    <x v="0"/>
    <x v="4"/>
    <x v="5"/>
    <s v="LV_A1"/>
    <x v="3"/>
    <x v="3"/>
    <s v="GBPR_NATGAS"/>
    <x v="7"/>
    <x v="0"/>
    <n v="174.00546339200099"/>
    <n v="10585.3323563468"/>
    <n v="38107.196482848303"/>
  </r>
  <r>
    <x v="0"/>
    <x v="0"/>
    <x v="0"/>
    <x v="4"/>
    <x v="5"/>
    <s v="LV_A1"/>
    <x v="3"/>
    <x v="3"/>
    <s v="GBPR_NATGAS"/>
    <x v="7"/>
    <x v="1"/>
    <n v="174.28816365856699"/>
    <n v="10602.5299558961"/>
    <n v="38169.107841226098"/>
  </r>
  <r>
    <x v="0"/>
    <x v="0"/>
    <x v="0"/>
    <x v="4"/>
    <x v="5"/>
    <s v="LV_A1"/>
    <x v="3"/>
    <x v="3"/>
    <s v="GBPR_NATGAS"/>
    <x v="7"/>
    <x v="2"/>
    <n v="175.271952400846"/>
    <n v="10662.377104384799"/>
    <n v="38384.5575757853"/>
  </r>
  <r>
    <x v="0"/>
    <x v="0"/>
    <x v="0"/>
    <x v="4"/>
    <x v="5"/>
    <s v="LV_A1"/>
    <x v="3"/>
    <x v="3"/>
    <s v="GBPR_NATGAS"/>
    <x v="7"/>
    <x v="3"/>
    <n v="175.271952400846"/>
    <n v="10662.377104384799"/>
    <n v="38384.5575757853"/>
  </r>
  <r>
    <x v="0"/>
    <x v="0"/>
    <x v="0"/>
    <x v="4"/>
    <x v="5"/>
    <s v="LV_A1"/>
    <x v="3"/>
    <x v="3"/>
    <s v="GBPR_NATGAS"/>
    <x v="7"/>
    <x v="4"/>
    <n v="175.271952400846"/>
    <n v="10662.377104384799"/>
    <n v="38384.5575757853"/>
  </r>
  <r>
    <x v="0"/>
    <x v="0"/>
    <x v="0"/>
    <x v="4"/>
    <x v="5"/>
    <s v="LV_A1"/>
    <x v="3"/>
    <x v="3"/>
    <s v="GBPR_NATGAS"/>
    <x v="7"/>
    <x v="5"/>
    <n v="195"/>
    <n v="11862.5"/>
    <n v="42705"/>
  </r>
  <r>
    <x v="0"/>
    <x v="0"/>
    <x v="0"/>
    <x v="4"/>
    <x v="5"/>
    <s v="LV_A1"/>
    <x v="3"/>
    <x v="3"/>
    <s v="GBPR_NATGAS"/>
    <x v="7"/>
    <x v="6"/>
    <n v="195"/>
    <n v="11862.5"/>
    <n v="42705"/>
  </r>
  <r>
    <x v="0"/>
    <x v="0"/>
    <x v="0"/>
    <x v="4"/>
    <x v="5"/>
    <s v="LV_A1"/>
    <x v="3"/>
    <x v="3"/>
    <s v="GBPR_NATGAS"/>
    <x v="7"/>
    <x v="7"/>
    <n v="195"/>
    <n v="11862.5"/>
    <n v="42705"/>
  </r>
  <r>
    <x v="0"/>
    <x v="0"/>
    <x v="0"/>
    <x v="4"/>
    <x v="5"/>
    <s v="LV_A1"/>
    <x v="3"/>
    <x v="3"/>
    <s v="GBPR_NATGAS"/>
    <x v="7"/>
    <x v="8"/>
    <n v="195"/>
    <n v="11862.5"/>
    <n v="42705"/>
  </r>
  <r>
    <x v="0"/>
    <x v="0"/>
    <x v="0"/>
    <x v="4"/>
    <x v="5"/>
    <s v="LV_A1"/>
    <x v="3"/>
    <x v="3"/>
    <s v="GBPR_NATGAS"/>
    <x v="7"/>
    <x v="9"/>
    <n v="195"/>
    <n v="11862.5"/>
    <n v="42705"/>
  </r>
  <r>
    <x v="0"/>
    <x v="0"/>
    <x v="0"/>
    <x v="4"/>
    <x v="5"/>
    <s v="LV_A1"/>
    <x v="3"/>
    <x v="3"/>
    <s v="GBPR_NATGAS"/>
    <x v="7"/>
    <x v="10"/>
    <n v="195"/>
    <n v="11862.5"/>
    <n v="42705"/>
  </r>
  <r>
    <x v="0"/>
    <x v="0"/>
    <x v="0"/>
    <x v="4"/>
    <x v="5"/>
    <s v="LV_A1"/>
    <x v="3"/>
    <x v="3"/>
    <s v="GBPR_NATGAS"/>
    <x v="7"/>
    <x v="11"/>
    <n v="195"/>
    <n v="11862.5"/>
    <n v="42705"/>
  </r>
  <r>
    <x v="0"/>
    <x v="0"/>
    <x v="0"/>
    <x v="4"/>
    <x v="5"/>
    <s v="LV_A1"/>
    <x v="3"/>
    <x v="3"/>
    <s v="GBPR_NATGAS"/>
    <x v="8"/>
    <x v="0"/>
    <n v="116.945716339806"/>
    <n v="7114.1977440048704"/>
    <n v="25611.111878417501"/>
  </r>
  <r>
    <x v="0"/>
    <x v="0"/>
    <x v="0"/>
    <x v="4"/>
    <x v="5"/>
    <s v="LV_A1"/>
    <x v="3"/>
    <x v="3"/>
    <s v="GBPR_NATGAS"/>
    <x v="8"/>
    <x v="1"/>
    <n v="113.293261637255"/>
    <n v="6892.00674959971"/>
    <n v="24811.2242985589"/>
  </r>
  <r>
    <x v="0"/>
    <x v="0"/>
    <x v="0"/>
    <x v="4"/>
    <x v="5"/>
    <s v="LV_A1"/>
    <x v="3"/>
    <x v="3"/>
    <s v="GBPR_NATGAS"/>
    <x v="8"/>
    <x v="2"/>
    <n v="173.63999409093199"/>
    <n v="10563.0996405317"/>
    <n v="38027.158705914"/>
  </r>
  <r>
    <x v="0"/>
    <x v="0"/>
    <x v="0"/>
    <x v="4"/>
    <x v="5"/>
    <s v="LV_A1"/>
    <x v="3"/>
    <x v="3"/>
    <s v="GBPR_NATGAS"/>
    <x v="8"/>
    <x v="3"/>
    <n v="179.54272654460601"/>
    <n v="10922.182531463501"/>
    <n v="39319.857113268801"/>
  </r>
  <r>
    <x v="0"/>
    <x v="0"/>
    <x v="0"/>
    <x v="4"/>
    <x v="5"/>
    <s v="LV_A1"/>
    <x v="3"/>
    <x v="3"/>
    <s v="GBPR_NATGAS"/>
    <x v="8"/>
    <x v="4"/>
    <n v="180.526515286886"/>
    <n v="10982.0296799522"/>
    <n v="39535.306847827902"/>
  </r>
  <r>
    <x v="0"/>
    <x v="0"/>
    <x v="0"/>
    <x v="4"/>
    <x v="5"/>
    <s v="LV_A1"/>
    <x v="3"/>
    <x v="3"/>
    <s v="GBPR_NATGAS"/>
    <x v="8"/>
    <x v="5"/>
    <n v="183.477881513722"/>
    <n v="11161.571125418101"/>
    <n v="40181.656051505197"/>
  </r>
  <r>
    <x v="0"/>
    <x v="0"/>
    <x v="0"/>
    <x v="4"/>
    <x v="5"/>
    <s v="LV_A1"/>
    <x v="3"/>
    <x v="3"/>
    <s v="GBPR_NATGAS"/>
    <x v="8"/>
    <x v="6"/>
    <n v="195"/>
    <n v="11862.5"/>
    <n v="42705"/>
  </r>
  <r>
    <x v="0"/>
    <x v="0"/>
    <x v="0"/>
    <x v="4"/>
    <x v="5"/>
    <s v="LV_A1"/>
    <x v="3"/>
    <x v="3"/>
    <s v="GBPR_NATGAS"/>
    <x v="8"/>
    <x v="7"/>
    <n v="195"/>
    <n v="11862.5"/>
    <n v="42705"/>
  </r>
  <r>
    <x v="0"/>
    <x v="0"/>
    <x v="0"/>
    <x v="4"/>
    <x v="5"/>
    <s v="LV_A1"/>
    <x v="3"/>
    <x v="3"/>
    <s v="GBPR_NATGAS"/>
    <x v="8"/>
    <x v="8"/>
    <n v="195"/>
    <n v="11862.5"/>
    <n v="42705"/>
  </r>
  <r>
    <x v="0"/>
    <x v="0"/>
    <x v="0"/>
    <x v="4"/>
    <x v="5"/>
    <s v="LV_A1"/>
    <x v="3"/>
    <x v="3"/>
    <s v="GBPR_NATGAS"/>
    <x v="8"/>
    <x v="9"/>
    <n v="191.766579661104"/>
    <n v="11665.800262717201"/>
    <n v="41996.880945781901"/>
  </r>
  <r>
    <x v="0"/>
    <x v="0"/>
    <x v="0"/>
    <x v="4"/>
    <x v="5"/>
    <s v="LV_A1"/>
    <x v="3"/>
    <x v="3"/>
    <s v="GBPR_NATGAS"/>
    <x v="8"/>
    <x v="10"/>
    <n v="180.94490349603299"/>
    <n v="11007.481629342001"/>
    <n v="39626.933865631203"/>
  </r>
  <r>
    <x v="0"/>
    <x v="0"/>
    <x v="0"/>
    <x v="4"/>
    <x v="5"/>
    <s v="LV_A1"/>
    <x v="3"/>
    <x v="3"/>
    <s v="GBPR_NATGAS"/>
    <x v="8"/>
    <x v="11"/>
    <n v="170.12322733096201"/>
    <n v="10349.162995966801"/>
    <n v="37256.9867854806"/>
  </r>
  <r>
    <x v="0"/>
    <x v="0"/>
    <x v="0"/>
    <x v="4"/>
    <x v="5"/>
    <s v="LV_A1"/>
    <x v="3"/>
    <x v="3"/>
    <s v="GBPR_NATGAS"/>
    <x v="9"/>
    <x v="0"/>
    <n v="73.533396870509094"/>
    <n v="4473.2816429559698"/>
    <n v="16103.8139146415"/>
  </r>
  <r>
    <x v="0"/>
    <x v="0"/>
    <x v="0"/>
    <x v="4"/>
    <x v="5"/>
    <s v="LV_A1"/>
    <x v="3"/>
    <x v="3"/>
    <s v="GBPR_NATGAS"/>
    <x v="9"/>
    <x v="1"/>
    <n v="19.9014689591842"/>
    <n v="1210.67269501704"/>
    <n v="4358.4217020613496"/>
  </r>
  <r>
    <x v="0"/>
    <x v="0"/>
    <x v="0"/>
    <x v="4"/>
    <x v="5"/>
    <s v="LV_A1"/>
    <x v="3"/>
    <x v="3"/>
    <s v="GBPR_NATGAS"/>
    <x v="9"/>
    <x v="2"/>
    <n v="68.374598667055807"/>
    <n v="4159.4547522458897"/>
    <n v="14974.0371080852"/>
  </r>
  <r>
    <x v="0"/>
    <x v="0"/>
    <x v="0"/>
    <x v="4"/>
    <x v="5"/>
    <s v="LV_A1"/>
    <x v="3"/>
    <x v="3"/>
    <s v="GBPR_NATGAS"/>
    <x v="9"/>
    <x v="3"/>
    <n v="39.751113994552497"/>
    <n v="2418.1927680019398"/>
    <n v="8705.4939648069994"/>
  </r>
  <r>
    <x v="0"/>
    <x v="0"/>
    <x v="0"/>
    <x v="4"/>
    <x v="5"/>
    <s v="LV_A1"/>
    <x v="3"/>
    <x v="3"/>
    <s v="GBPR_NATGAS"/>
    <x v="9"/>
    <x v="4"/>
    <n v="25.633692758055599"/>
    <n v="1559.38297611505"/>
    <n v="5613.77871401419"/>
  </r>
  <r>
    <x v="0"/>
    <x v="0"/>
    <x v="0"/>
    <x v="4"/>
    <x v="5"/>
    <s v="LV_A1"/>
    <x v="3"/>
    <x v="3"/>
    <s v="GBPR_NATGAS"/>
    <x v="9"/>
    <x v="5"/>
    <n v="63.455654955659703"/>
    <n v="3860.2190098026299"/>
    <n v="13896.7884352895"/>
  </r>
  <r>
    <x v="0"/>
    <x v="0"/>
    <x v="0"/>
    <x v="4"/>
    <x v="5"/>
    <s v="LV_A1"/>
    <x v="3"/>
    <x v="3"/>
    <s v="GBPR_NATGAS"/>
    <x v="9"/>
    <x v="6"/>
    <n v="78.630874298995707"/>
    <n v="4783.37818652224"/>
    <n v="17220.1614714801"/>
  </r>
  <r>
    <x v="0"/>
    <x v="0"/>
    <x v="0"/>
    <x v="4"/>
    <x v="5"/>
    <s v="LV_A1"/>
    <x v="3"/>
    <x v="3"/>
    <s v="GBPR_NATGAS"/>
    <x v="9"/>
    <x v="7"/>
    <n v="83.968206219539596"/>
    <n v="5108.0658783553199"/>
    <n v="18389.037162079199"/>
  </r>
  <r>
    <x v="0"/>
    <x v="0"/>
    <x v="0"/>
    <x v="4"/>
    <x v="5"/>
    <s v="LV_A1"/>
    <x v="3"/>
    <x v="3"/>
    <s v="GBPR_NATGAS"/>
    <x v="9"/>
    <x v="8"/>
    <n v="77.364385290150807"/>
    <n v="4706.3334384841701"/>
    <n v="16942.800378543001"/>
  </r>
  <r>
    <x v="0"/>
    <x v="0"/>
    <x v="0"/>
    <x v="4"/>
    <x v="5"/>
    <s v="LV_A1"/>
    <x v="3"/>
    <x v="3"/>
    <s v="GBPR_NATGAS"/>
    <x v="9"/>
    <x v="9"/>
    <n v="71.744353103041206"/>
    <n v="4364.4481471016798"/>
    <n v="15712.013329566"/>
  </r>
  <r>
    <x v="0"/>
    <x v="0"/>
    <x v="0"/>
    <x v="4"/>
    <x v="5"/>
    <s v="LV_A1"/>
    <x v="3"/>
    <x v="3"/>
    <s v="GBPR_NATGAS"/>
    <x v="9"/>
    <x v="10"/>
    <n v="66.825409391645195"/>
    <n v="4065.2124046584199"/>
    <n v="14634.7646567703"/>
  </r>
  <r>
    <x v="0"/>
    <x v="0"/>
    <x v="0"/>
    <x v="4"/>
    <x v="5"/>
    <s v="LV_A1"/>
    <x v="3"/>
    <x v="3"/>
    <s v="GBPR_NATGAS"/>
    <x v="9"/>
    <x v="11"/>
    <n v="62.890254422528301"/>
    <n v="3825.8238107038101"/>
    <n v="13772.9657185337"/>
  </r>
  <r>
    <x v="0"/>
    <x v="0"/>
    <x v="0"/>
    <x v="4"/>
    <x v="5"/>
    <s v="LV_A1"/>
    <x v="3"/>
    <x v="3"/>
    <s v="GBPR_NATGAS"/>
    <x v="10"/>
    <x v="0"/>
    <n v="34.307461988353403"/>
    <n v="2087.0372709581702"/>
    <n v="7513.3341754494004"/>
  </r>
  <r>
    <x v="0"/>
    <x v="0"/>
    <x v="0"/>
    <x v="4"/>
    <x v="5"/>
    <s v="LV_A1"/>
    <x v="3"/>
    <x v="3"/>
    <s v="GBPR_NATGAS"/>
    <x v="10"/>
    <x v="1"/>
    <n v="27.703641058964699"/>
    <n v="1685.3048310870199"/>
    <n v="6067.0973919132603"/>
  </r>
  <r>
    <x v="0"/>
    <x v="0"/>
    <x v="0"/>
    <x v="4"/>
    <x v="5"/>
    <s v="LV_A1"/>
    <x v="3"/>
    <x v="3"/>
    <s v="GBPR_NATGAS"/>
    <x v="10"/>
    <x v="2"/>
    <n v="26.434260902150498"/>
    <n v="1608.0842048808199"/>
    <n v="5789.1031375709699"/>
  </r>
  <r>
    <x v="0"/>
    <x v="0"/>
    <x v="0"/>
    <x v="4"/>
    <x v="5"/>
    <s v="LV_A1"/>
    <x v="3"/>
    <x v="3"/>
    <s v="GBPR_NATGAS"/>
    <x v="10"/>
    <x v="3"/>
    <n v="20.323412331945502"/>
    <n v="1236.3409168600199"/>
    <n v="4450.8273006960599"/>
  </r>
  <r>
    <x v="0"/>
    <x v="0"/>
    <x v="0"/>
    <x v="4"/>
    <x v="5"/>
    <s v="LV_A1"/>
    <x v="3"/>
    <x v="3"/>
    <s v="GBPR_NATGAS"/>
    <x v="10"/>
    <x v="4"/>
    <n v="51.917943583707"/>
    <n v="3158.3415680088401"/>
    <n v="11370.0296448318"/>
  </r>
  <r>
    <x v="0"/>
    <x v="0"/>
    <x v="0"/>
    <x v="4"/>
    <x v="5"/>
    <s v="LV_A1"/>
    <x v="3"/>
    <x v="3"/>
    <s v="GBPR_NATGAS"/>
    <x v="10"/>
    <x v="5"/>
    <n v="68.374598667055807"/>
    <n v="4159.4547522458897"/>
    <n v="14974.0371080852"/>
  </r>
  <r>
    <x v="0"/>
    <x v="0"/>
    <x v="0"/>
    <x v="4"/>
    <x v="5"/>
    <s v="LV_A1"/>
    <x v="3"/>
    <x v="3"/>
    <s v="GBPR_NATGAS"/>
    <x v="10"/>
    <x v="6"/>
    <n v="74.695719329878798"/>
    <n v="4543.9895925676301"/>
    <n v="16358.3625332435"/>
  </r>
  <r>
    <x v="0"/>
    <x v="0"/>
    <x v="0"/>
    <x v="4"/>
    <x v="5"/>
    <s v="LV_A1"/>
    <x v="3"/>
    <x v="3"/>
    <s v="GBPR_NATGAS"/>
    <x v="10"/>
    <x v="7"/>
    <n v="80.033051250422702"/>
    <n v="4868.6772844007201"/>
    <n v="17527.2382238426"/>
  </r>
  <r>
    <x v="0"/>
    <x v="0"/>
    <x v="0"/>
    <x v="4"/>
    <x v="5"/>
    <s v="LV_A1"/>
    <x v="3"/>
    <x v="3"/>
    <s v="GBPR_NATGAS"/>
    <x v="10"/>
    <x v="8"/>
    <n v="72.445441578754796"/>
    <n v="4407.0976960409098"/>
    <n v="15865.551705747301"/>
  </r>
  <r>
    <x v="0"/>
    <x v="0"/>
    <x v="0"/>
    <x v="4"/>
    <x v="5"/>
    <s v="LV_A1"/>
    <x v="3"/>
    <x v="3"/>
    <s v="GBPR_NATGAS"/>
    <x v="10"/>
    <x v="9"/>
    <n v="63.874043164807603"/>
    <n v="3885.67095919246"/>
    <n v="13988.415453092901"/>
  </r>
  <r>
    <x v="0"/>
    <x v="0"/>
    <x v="0"/>
    <x v="4"/>
    <x v="5"/>
    <s v="LV_A1"/>
    <x v="3"/>
    <x v="3"/>
    <s v="GBPR_NATGAS"/>
    <x v="10"/>
    <x v="10"/>
    <n v="56.0037332265739"/>
    <n v="3406.8937712832499"/>
    <n v="12264.8175766197"/>
  </r>
  <r>
    <x v="0"/>
    <x v="0"/>
    <x v="0"/>
    <x v="4"/>
    <x v="5"/>
    <s v="LV_A1"/>
    <x v="3"/>
    <x v="3"/>
    <s v="GBPR_NATGAS"/>
    <x v="10"/>
    <x v="11"/>
    <n v="52.068578257457098"/>
    <n v="3167.50517732864"/>
    <n v="11403.018638383101"/>
  </r>
  <r>
    <x v="0"/>
    <x v="0"/>
    <x v="0"/>
    <x v="4"/>
    <x v="5"/>
    <s v="LV_A1"/>
    <x v="3"/>
    <x v="3"/>
    <s v="GBPR_NATGAS"/>
    <x v="11"/>
    <x v="0"/>
    <n v="1.84243349313958"/>
    <n v="112.081370832658"/>
    <n v="403.492934997568"/>
  </r>
  <r>
    <x v="0"/>
    <x v="0"/>
    <x v="0"/>
    <x v="4"/>
    <x v="5"/>
    <s v="LV_A1"/>
    <x v="3"/>
    <x v="3"/>
    <s v="GBPR_NATGAS"/>
    <x v="11"/>
    <x v="1"/>
    <n v="6.0602887288220897"/>
    <n v="368.667564336677"/>
    <n v="1327.2032316120401"/>
  </r>
  <r>
    <x v="0"/>
    <x v="0"/>
    <x v="0"/>
    <x v="4"/>
    <x v="5"/>
    <s v="LV_A1"/>
    <x v="3"/>
    <x v="3"/>
    <s v="GBPR_NATGAS"/>
    <x v="11"/>
    <x v="2"/>
    <n v="9.9954436979389296"/>
    <n v="608.05615829128499"/>
    <n v="2189.0021698486298"/>
  </r>
  <r>
    <x v="0"/>
    <x v="0"/>
    <x v="0"/>
    <x v="4"/>
    <x v="5"/>
    <s v="LV_A1"/>
    <x v="3"/>
    <x v="3"/>
    <s v="GBPR_NATGAS"/>
    <x v="11"/>
    <x v="3"/>
    <n v="14.914387409334999"/>
    <n v="907.29190073454401"/>
    <n v="3266.2508426443601"/>
  </r>
  <r>
    <x v="0"/>
    <x v="0"/>
    <x v="0"/>
    <x v="4"/>
    <x v="5"/>
    <s v="LV_A1"/>
    <x v="3"/>
    <x v="3"/>
    <s v="GBPR_NATGAS"/>
    <x v="11"/>
    <x v="4"/>
    <n v="18.849542378451801"/>
    <n v="1146.68049468915"/>
    <n v="4128.0497808809396"/>
  </r>
  <r>
    <x v="0"/>
    <x v="0"/>
    <x v="0"/>
    <x v="4"/>
    <x v="5"/>
    <s v="LV_A1"/>
    <x v="3"/>
    <x v="3"/>
    <s v="GBPR_NATGAS"/>
    <x v="11"/>
    <x v="5"/>
    <n v="20.817119863010198"/>
    <n v="1266.3747916664599"/>
    <n v="4558.9492499992402"/>
  </r>
  <r>
    <x v="0"/>
    <x v="0"/>
    <x v="0"/>
    <x v="4"/>
    <x v="5"/>
    <s v="LV_A1"/>
    <x v="3"/>
    <x v="3"/>
    <s v="GBPR_NATGAS"/>
    <x v="11"/>
    <x v="6"/>
    <n v="83.549818010391704"/>
    <n v="5082.6139289655002"/>
    <n v="18297.4101442758"/>
  </r>
  <r>
    <x v="0"/>
    <x v="0"/>
    <x v="0"/>
    <x v="4"/>
    <x v="5"/>
    <s v="LV_A1"/>
    <x v="3"/>
    <x v="3"/>
    <s v="GBPR_NATGAS"/>
    <x v="11"/>
    <x v="7"/>
    <n v="89.870938673214795"/>
    <n v="5467.1487692872297"/>
    <n v="19681.735569434"/>
  </r>
  <r>
    <x v="0"/>
    <x v="0"/>
    <x v="0"/>
    <x v="4"/>
    <x v="5"/>
    <s v="LV_A1"/>
    <x v="3"/>
    <x v="3"/>
    <s v="GBPR_NATGAS"/>
    <x v="11"/>
    <x v="8"/>
    <n v="86.218483970663698"/>
    <n v="5244.9577748820402"/>
    <n v="18881.847989575301"/>
  </r>
  <r>
    <x v="0"/>
    <x v="0"/>
    <x v="0"/>
    <x v="4"/>
    <x v="5"/>
    <s v="LV_A1"/>
    <x v="3"/>
    <x v="3"/>
    <s v="GBPR_NATGAS"/>
    <x v="11"/>
    <x v="9"/>
    <n v="80.598451783554097"/>
    <n v="4903.0724834995399"/>
    <n v="17651.060940598301"/>
  </r>
  <r>
    <x v="0"/>
    <x v="0"/>
    <x v="0"/>
    <x v="4"/>
    <x v="5"/>
    <s v="LV_A1"/>
    <x v="3"/>
    <x v="3"/>
    <s v="GBPR_NATGAS"/>
    <x v="11"/>
    <x v="10"/>
    <n v="75.679508072158001"/>
    <n v="4603.8367410562796"/>
    <n v="16573.812267802601"/>
  </r>
  <r>
    <x v="0"/>
    <x v="0"/>
    <x v="0"/>
    <x v="4"/>
    <x v="5"/>
    <s v="LV_A1"/>
    <x v="3"/>
    <x v="3"/>
    <s v="GBPR_NATGAS"/>
    <x v="11"/>
    <x v="11"/>
    <n v="74.695719329878798"/>
    <n v="4543.9895925676301"/>
    <n v="16358.3625332435"/>
  </r>
  <r>
    <x v="0"/>
    <x v="0"/>
    <x v="0"/>
    <x v="4"/>
    <x v="5"/>
    <s v="LV_A1"/>
    <x v="3"/>
    <x v="4"/>
    <s v="GEXT_NATGAS"/>
    <x v="7"/>
    <x v="7"/>
    <n v="32.466967664378799"/>
    <n v="1975.0738662497099"/>
    <n v="7110.2659184989598"/>
  </r>
  <r>
    <x v="0"/>
    <x v="0"/>
    <x v="0"/>
    <x v="4"/>
    <x v="5"/>
    <s v="LV_A1"/>
    <x v="3"/>
    <x v="4"/>
    <s v="GEXT_NATGAS"/>
    <x v="7"/>
    <x v="8"/>
    <n v="28.122012087895001"/>
    <n v="1710.7557353469499"/>
    <n v="6158.7206472489997"/>
  </r>
  <r>
    <x v="0"/>
    <x v="0"/>
    <x v="0"/>
    <x v="4"/>
    <x v="5"/>
    <s v="LV_A1"/>
    <x v="3"/>
    <x v="4"/>
    <s v="GEXT_NATGAS"/>
    <x v="7"/>
    <x v="9"/>
    <n v="8.5551103557995791"/>
    <n v="520.43587997780799"/>
    <n v="1873.56916792011"/>
  </r>
  <r>
    <x v="0"/>
    <x v="0"/>
    <x v="0"/>
    <x v="4"/>
    <x v="5"/>
    <s v="LV_A1"/>
    <x v="10"/>
    <x v="3"/>
    <s v="GBPR_WOODWASTE"/>
    <x v="0"/>
    <x v="0"/>
    <n v="4"/>
    <n v="243.333333333333"/>
    <n v="876"/>
  </r>
  <r>
    <x v="0"/>
    <x v="0"/>
    <x v="0"/>
    <x v="4"/>
    <x v="5"/>
    <s v="LV_A1"/>
    <x v="10"/>
    <x v="3"/>
    <s v="GBPR_WOODWASTE"/>
    <x v="0"/>
    <x v="1"/>
    <n v="4"/>
    <n v="243.333333333333"/>
    <n v="876"/>
  </r>
  <r>
    <x v="0"/>
    <x v="0"/>
    <x v="0"/>
    <x v="4"/>
    <x v="5"/>
    <s v="LV_A1"/>
    <x v="10"/>
    <x v="3"/>
    <s v="GBPR_WOODWASTE"/>
    <x v="0"/>
    <x v="2"/>
    <n v="4"/>
    <n v="243.333333333333"/>
    <n v="876"/>
  </r>
  <r>
    <x v="0"/>
    <x v="0"/>
    <x v="0"/>
    <x v="4"/>
    <x v="5"/>
    <s v="LV_A1"/>
    <x v="10"/>
    <x v="3"/>
    <s v="GBPR_WOODWASTE"/>
    <x v="0"/>
    <x v="3"/>
    <n v="4"/>
    <n v="243.333333333333"/>
    <n v="876"/>
  </r>
  <r>
    <x v="0"/>
    <x v="0"/>
    <x v="0"/>
    <x v="4"/>
    <x v="5"/>
    <s v="LV_A1"/>
    <x v="10"/>
    <x v="3"/>
    <s v="GBPR_WOODWASTE"/>
    <x v="0"/>
    <x v="4"/>
    <n v="4"/>
    <n v="243.333333333333"/>
    <n v="876"/>
  </r>
  <r>
    <x v="0"/>
    <x v="0"/>
    <x v="0"/>
    <x v="4"/>
    <x v="5"/>
    <s v="LV_A1"/>
    <x v="10"/>
    <x v="3"/>
    <s v="GBPR_WOODWASTE"/>
    <x v="0"/>
    <x v="5"/>
    <n v="4"/>
    <n v="243.333333333333"/>
    <n v="876"/>
  </r>
  <r>
    <x v="0"/>
    <x v="0"/>
    <x v="0"/>
    <x v="4"/>
    <x v="5"/>
    <s v="LV_A1"/>
    <x v="10"/>
    <x v="3"/>
    <s v="GBPR_WOODWASTE"/>
    <x v="0"/>
    <x v="6"/>
    <n v="4"/>
    <n v="243.333333333333"/>
    <n v="876"/>
  </r>
  <r>
    <x v="0"/>
    <x v="0"/>
    <x v="0"/>
    <x v="4"/>
    <x v="5"/>
    <s v="LV_A1"/>
    <x v="10"/>
    <x v="3"/>
    <s v="GBPR_WOODWASTE"/>
    <x v="0"/>
    <x v="7"/>
    <n v="4"/>
    <n v="243.333333333333"/>
    <n v="876"/>
  </r>
  <r>
    <x v="0"/>
    <x v="0"/>
    <x v="0"/>
    <x v="4"/>
    <x v="5"/>
    <s v="LV_A1"/>
    <x v="10"/>
    <x v="3"/>
    <s v="GBPR_WOODWASTE"/>
    <x v="0"/>
    <x v="8"/>
    <n v="4"/>
    <n v="243.333333333333"/>
    <n v="876"/>
  </r>
  <r>
    <x v="0"/>
    <x v="0"/>
    <x v="0"/>
    <x v="4"/>
    <x v="5"/>
    <s v="LV_A1"/>
    <x v="10"/>
    <x v="3"/>
    <s v="GBPR_WOODWASTE"/>
    <x v="0"/>
    <x v="9"/>
    <n v="4"/>
    <n v="243.333333333333"/>
    <n v="876"/>
  </r>
  <r>
    <x v="0"/>
    <x v="0"/>
    <x v="0"/>
    <x v="4"/>
    <x v="5"/>
    <s v="LV_A1"/>
    <x v="10"/>
    <x v="3"/>
    <s v="GBPR_WOODWASTE"/>
    <x v="0"/>
    <x v="10"/>
    <n v="4"/>
    <n v="243.333333333333"/>
    <n v="876"/>
  </r>
  <r>
    <x v="0"/>
    <x v="0"/>
    <x v="0"/>
    <x v="4"/>
    <x v="5"/>
    <s v="LV_A1"/>
    <x v="10"/>
    <x v="3"/>
    <s v="GBPR_WOODWASTE"/>
    <x v="0"/>
    <x v="11"/>
    <n v="4"/>
    <n v="243.333333333333"/>
    <n v="876"/>
  </r>
  <r>
    <x v="0"/>
    <x v="0"/>
    <x v="0"/>
    <x v="4"/>
    <x v="5"/>
    <s v="LV_A1"/>
    <x v="10"/>
    <x v="3"/>
    <s v="GBPR_WOODWASTE"/>
    <x v="1"/>
    <x v="0"/>
    <n v="4"/>
    <n v="243.333333333333"/>
    <n v="876"/>
  </r>
  <r>
    <x v="0"/>
    <x v="0"/>
    <x v="0"/>
    <x v="4"/>
    <x v="5"/>
    <s v="LV_A1"/>
    <x v="10"/>
    <x v="3"/>
    <s v="GBPR_WOODWASTE"/>
    <x v="1"/>
    <x v="1"/>
    <n v="4"/>
    <n v="243.333333333333"/>
    <n v="876"/>
  </r>
  <r>
    <x v="0"/>
    <x v="0"/>
    <x v="0"/>
    <x v="4"/>
    <x v="5"/>
    <s v="LV_A1"/>
    <x v="10"/>
    <x v="3"/>
    <s v="GBPR_WOODWASTE"/>
    <x v="1"/>
    <x v="2"/>
    <n v="4"/>
    <n v="243.333333333333"/>
    <n v="876"/>
  </r>
  <r>
    <x v="0"/>
    <x v="0"/>
    <x v="0"/>
    <x v="4"/>
    <x v="5"/>
    <s v="LV_A1"/>
    <x v="10"/>
    <x v="3"/>
    <s v="GBPR_WOODWASTE"/>
    <x v="1"/>
    <x v="3"/>
    <n v="4"/>
    <n v="243.333333333333"/>
    <n v="876"/>
  </r>
  <r>
    <x v="0"/>
    <x v="0"/>
    <x v="0"/>
    <x v="4"/>
    <x v="5"/>
    <s v="LV_A1"/>
    <x v="10"/>
    <x v="3"/>
    <s v="GBPR_WOODWASTE"/>
    <x v="1"/>
    <x v="4"/>
    <n v="4"/>
    <n v="243.333333333333"/>
    <n v="876"/>
  </r>
  <r>
    <x v="0"/>
    <x v="0"/>
    <x v="0"/>
    <x v="4"/>
    <x v="5"/>
    <s v="LV_A1"/>
    <x v="10"/>
    <x v="3"/>
    <s v="GBPR_WOODWASTE"/>
    <x v="1"/>
    <x v="5"/>
    <n v="4"/>
    <n v="243.333333333333"/>
    <n v="876"/>
  </r>
  <r>
    <x v="0"/>
    <x v="0"/>
    <x v="0"/>
    <x v="4"/>
    <x v="5"/>
    <s v="LV_A1"/>
    <x v="10"/>
    <x v="3"/>
    <s v="GBPR_WOODWASTE"/>
    <x v="1"/>
    <x v="6"/>
    <n v="4"/>
    <n v="243.333333333333"/>
    <n v="876"/>
  </r>
  <r>
    <x v="0"/>
    <x v="0"/>
    <x v="0"/>
    <x v="4"/>
    <x v="5"/>
    <s v="LV_A1"/>
    <x v="10"/>
    <x v="3"/>
    <s v="GBPR_WOODWASTE"/>
    <x v="1"/>
    <x v="7"/>
    <n v="4"/>
    <n v="243.333333333333"/>
    <n v="876"/>
  </r>
  <r>
    <x v="0"/>
    <x v="0"/>
    <x v="0"/>
    <x v="4"/>
    <x v="5"/>
    <s v="LV_A1"/>
    <x v="10"/>
    <x v="3"/>
    <s v="GBPR_WOODWASTE"/>
    <x v="1"/>
    <x v="8"/>
    <n v="4"/>
    <n v="243.333333333333"/>
    <n v="876"/>
  </r>
  <r>
    <x v="0"/>
    <x v="0"/>
    <x v="0"/>
    <x v="4"/>
    <x v="5"/>
    <s v="LV_A1"/>
    <x v="10"/>
    <x v="3"/>
    <s v="GBPR_WOODWASTE"/>
    <x v="1"/>
    <x v="9"/>
    <n v="4"/>
    <n v="243.333333333333"/>
    <n v="876"/>
  </r>
  <r>
    <x v="0"/>
    <x v="0"/>
    <x v="0"/>
    <x v="4"/>
    <x v="5"/>
    <s v="LV_A1"/>
    <x v="10"/>
    <x v="3"/>
    <s v="GBPR_WOODWASTE"/>
    <x v="1"/>
    <x v="10"/>
    <n v="4"/>
    <n v="243.333333333333"/>
    <n v="876"/>
  </r>
  <r>
    <x v="0"/>
    <x v="0"/>
    <x v="0"/>
    <x v="4"/>
    <x v="5"/>
    <s v="LV_A1"/>
    <x v="10"/>
    <x v="3"/>
    <s v="GBPR_WOODWASTE"/>
    <x v="1"/>
    <x v="11"/>
    <n v="4"/>
    <n v="243.333333333333"/>
    <n v="876"/>
  </r>
  <r>
    <x v="0"/>
    <x v="0"/>
    <x v="0"/>
    <x v="4"/>
    <x v="5"/>
    <s v="LV_A1"/>
    <x v="10"/>
    <x v="3"/>
    <s v="GBPR_WOODWASTE"/>
    <x v="2"/>
    <x v="0"/>
    <n v="4"/>
    <n v="243.333333333333"/>
    <n v="876"/>
  </r>
  <r>
    <x v="0"/>
    <x v="0"/>
    <x v="0"/>
    <x v="4"/>
    <x v="5"/>
    <s v="LV_A1"/>
    <x v="10"/>
    <x v="3"/>
    <s v="GBPR_WOODWASTE"/>
    <x v="2"/>
    <x v="1"/>
    <n v="4"/>
    <n v="243.333333333333"/>
    <n v="876"/>
  </r>
  <r>
    <x v="0"/>
    <x v="0"/>
    <x v="0"/>
    <x v="4"/>
    <x v="5"/>
    <s v="LV_A1"/>
    <x v="10"/>
    <x v="3"/>
    <s v="GBPR_WOODWASTE"/>
    <x v="2"/>
    <x v="2"/>
    <n v="4"/>
    <n v="243.333333333333"/>
    <n v="876"/>
  </r>
  <r>
    <x v="0"/>
    <x v="0"/>
    <x v="0"/>
    <x v="4"/>
    <x v="5"/>
    <s v="LV_A1"/>
    <x v="10"/>
    <x v="3"/>
    <s v="GBPR_WOODWASTE"/>
    <x v="2"/>
    <x v="3"/>
    <n v="4"/>
    <n v="243.333333333333"/>
    <n v="876"/>
  </r>
  <r>
    <x v="0"/>
    <x v="0"/>
    <x v="0"/>
    <x v="4"/>
    <x v="5"/>
    <s v="LV_A1"/>
    <x v="10"/>
    <x v="3"/>
    <s v="GBPR_WOODWASTE"/>
    <x v="2"/>
    <x v="4"/>
    <n v="4"/>
    <n v="243.333333333333"/>
    <n v="876"/>
  </r>
  <r>
    <x v="0"/>
    <x v="0"/>
    <x v="0"/>
    <x v="4"/>
    <x v="5"/>
    <s v="LV_A1"/>
    <x v="10"/>
    <x v="3"/>
    <s v="GBPR_WOODWASTE"/>
    <x v="2"/>
    <x v="5"/>
    <n v="4"/>
    <n v="243.333333333333"/>
    <n v="876"/>
  </r>
  <r>
    <x v="0"/>
    <x v="0"/>
    <x v="0"/>
    <x v="4"/>
    <x v="5"/>
    <s v="LV_A1"/>
    <x v="10"/>
    <x v="3"/>
    <s v="GBPR_WOODWASTE"/>
    <x v="2"/>
    <x v="6"/>
    <n v="4"/>
    <n v="243.333333333333"/>
    <n v="876"/>
  </r>
  <r>
    <x v="0"/>
    <x v="0"/>
    <x v="0"/>
    <x v="4"/>
    <x v="5"/>
    <s v="LV_A1"/>
    <x v="10"/>
    <x v="3"/>
    <s v="GBPR_WOODWASTE"/>
    <x v="2"/>
    <x v="7"/>
    <n v="4"/>
    <n v="243.333333333333"/>
    <n v="876"/>
  </r>
  <r>
    <x v="0"/>
    <x v="0"/>
    <x v="0"/>
    <x v="4"/>
    <x v="5"/>
    <s v="LV_A1"/>
    <x v="10"/>
    <x v="3"/>
    <s v="GBPR_WOODWASTE"/>
    <x v="2"/>
    <x v="8"/>
    <n v="4"/>
    <n v="243.333333333333"/>
    <n v="876"/>
  </r>
  <r>
    <x v="0"/>
    <x v="0"/>
    <x v="0"/>
    <x v="4"/>
    <x v="5"/>
    <s v="LV_A1"/>
    <x v="10"/>
    <x v="3"/>
    <s v="GBPR_WOODWASTE"/>
    <x v="2"/>
    <x v="9"/>
    <n v="4"/>
    <n v="243.333333333333"/>
    <n v="876"/>
  </r>
  <r>
    <x v="0"/>
    <x v="0"/>
    <x v="0"/>
    <x v="4"/>
    <x v="5"/>
    <s v="LV_A1"/>
    <x v="10"/>
    <x v="3"/>
    <s v="GBPR_WOODWASTE"/>
    <x v="2"/>
    <x v="10"/>
    <n v="4"/>
    <n v="243.333333333333"/>
    <n v="876"/>
  </r>
  <r>
    <x v="0"/>
    <x v="0"/>
    <x v="0"/>
    <x v="4"/>
    <x v="5"/>
    <s v="LV_A1"/>
    <x v="10"/>
    <x v="3"/>
    <s v="GBPR_WOODWASTE"/>
    <x v="2"/>
    <x v="11"/>
    <n v="4"/>
    <n v="243.333333333333"/>
    <n v="876"/>
  </r>
  <r>
    <x v="0"/>
    <x v="0"/>
    <x v="0"/>
    <x v="4"/>
    <x v="5"/>
    <s v="LV_A1"/>
    <x v="10"/>
    <x v="3"/>
    <s v="GBPR_WOODWASTE"/>
    <x v="3"/>
    <x v="0"/>
    <n v="4"/>
    <n v="243.333333333333"/>
    <n v="876"/>
  </r>
  <r>
    <x v="0"/>
    <x v="0"/>
    <x v="0"/>
    <x v="4"/>
    <x v="5"/>
    <s v="LV_A1"/>
    <x v="10"/>
    <x v="3"/>
    <s v="GBPR_WOODWASTE"/>
    <x v="3"/>
    <x v="1"/>
    <n v="4"/>
    <n v="243.333333333333"/>
    <n v="876"/>
  </r>
  <r>
    <x v="0"/>
    <x v="0"/>
    <x v="0"/>
    <x v="4"/>
    <x v="5"/>
    <s v="LV_A1"/>
    <x v="10"/>
    <x v="3"/>
    <s v="GBPR_WOODWASTE"/>
    <x v="3"/>
    <x v="2"/>
    <n v="4"/>
    <n v="243.333333333333"/>
    <n v="876"/>
  </r>
  <r>
    <x v="0"/>
    <x v="0"/>
    <x v="0"/>
    <x v="4"/>
    <x v="5"/>
    <s v="LV_A1"/>
    <x v="10"/>
    <x v="3"/>
    <s v="GBPR_WOODWASTE"/>
    <x v="3"/>
    <x v="3"/>
    <n v="4"/>
    <n v="243.333333333333"/>
    <n v="876"/>
  </r>
  <r>
    <x v="0"/>
    <x v="0"/>
    <x v="0"/>
    <x v="4"/>
    <x v="5"/>
    <s v="LV_A1"/>
    <x v="10"/>
    <x v="3"/>
    <s v="GBPR_WOODWASTE"/>
    <x v="3"/>
    <x v="4"/>
    <n v="4"/>
    <n v="243.333333333333"/>
    <n v="876"/>
  </r>
  <r>
    <x v="0"/>
    <x v="0"/>
    <x v="0"/>
    <x v="4"/>
    <x v="5"/>
    <s v="LV_A1"/>
    <x v="10"/>
    <x v="3"/>
    <s v="GBPR_WOODWASTE"/>
    <x v="3"/>
    <x v="5"/>
    <n v="4"/>
    <n v="243.333333333333"/>
    <n v="876"/>
  </r>
  <r>
    <x v="0"/>
    <x v="0"/>
    <x v="0"/>
    <x v="4"/>
    <x v="5"/>
    <s v="LV_A1"/>
    <x v="10"/>
    <x v="3"/>
    <s v="GBPR_WOODWASTE"/>
    <x v="3"/>
    <x v="6"/>
    <n v="4"/>
    <n v="243.333333333333"/>
    <n v="876"/>
  </r>
  <r>
    <x v="0"/>
    <x v="0"/>
    <x v="0"/>
    <x v="4"/>
    <x v="5"/>
    <s v="LV_A1"/>
    <x v="10"/>
    <x v="3"/>
    <s v="GBPR_WOODWASTE"/>
    <x v="3"/>
    <x v="7"/>
    <n v="4"/>
    <n v="243.333333333333"/>
    <n v="876"/>
  </r>
  <r>
    <x v="0"/>
    <x v="0"/>
    <x v="0"/>
    <x v="4"/>
    <x v="5"/>
    <s v="LV_A1"/>
    <x v="10"/>
    <x v="3"/>
    <s v="GBPR_WOODWASTE"/>
    <x v="3"/>
    <x v="8"/>
    <n v="4"/>
    <n v="243.333333333333"/>
    <n v="876"/>
  </r>
  <r>
    <x v="0"/>
    <x v="0"/>
    <x v="0"/>
    <x v="4"/>
    <x v="5"/>
    <s v="LV_A1"/>
    <x v="10"/>
    <x v="3"/>
    <s v="GBPR_WOODWASTE"/>
    <x v="3"/>
    <x v="9"/>
    <n v="4"/>
    <n v="243.333333333333"/>
    <n v="876"/>
  </r>
  <r>
    <x v="0"/>
    <x v="0"/>
    <x v="0"/>
    <x v="4"/>
    <x v="5"/>
    <s v="LV_A1"/>
    <x v="10"/>
    <x v="3"/>
    <s v="GBPR_WOODWASTE"/>
    <x v="3"/>
    <x v="10"/>
    <n v="4"/>
    <n v="243.333333333333"/>
    <n v="876"/>
  </r>
  <r>
    <x v="0"/>
    <x v="0"/>
    <x v="0"/>
    <x v="4"/>
    <x v="5"/>
    <s v="LV_A1"/>
    <x v="10"/>
    <x v="3"/>
    <s v="GBPR_WOODWASTE"/>
    <x v="3"/>
    <x v="11"/>
    <n v="4"/>
    <n v="243.333333333333"/>
    <n v="876"/>
  </r>
  <r>
    <x v="0"/>
    <x v="0"/>
    <x v="0"/>
    <x v="4"/>
    <x v="5"/>
    <s v="LV_A1"/>
    <x v="10"/>
    <x v="3"/>
    <s v="GBPR_WOODWASTE"/>
    <x v="4"/>
    <x v="0"/>
    <n v="4"/>
    <n v="243.333333333333"/>
    <n v="876"/>
  </r>
  <r>
    <x v="0"/>
    <x v="0"/>
    <x v="0"/>
    <x v="4"/>
    <x v="5"/>
    <s v="LV_A1"/>
    <x v="10"/>
    <x v="3"/>
    <s v="GBPR_WOODWASTE"/>
    <x v="4"/>
    <x v="1"/>
    <n v="4"/>
    <n v="243.333333333333"/>
    <n v="876"/>
  </r>
  <r>
    <x v="0"/>
    <x v="0"/>
    <x v="0"/>
    <x v="4"/>
    <x v="5"/>
    <s v="LV_A1"/>
    <x v="10"/>
    <x v="3"/>
    <s v="GBPR_WOODWASTE"/>
    <x v="4"/>
    <x v="2"/>
    <n v="4"/>
    <n v="243.333333333333"/>
    <n v="876"/>
  </r>
  <r>
    <x v="0"/>
    <x v="0"/>
    <x v="0"/>
    <x v="4"/>
    <x v="5"/>
    <s v="LV_A1"/>
    <x v="10"/>
    <x v="3"/>
    <s v="GBPR_WOODWASTE"/>
    <x v="4"/>
    <x v="3"/>
    <n v="4"/>
    <n v="243.333333333333"/>
    <n v="876"/>
  </r>
  <r>
    <x v="0"/>
    <x v="0"/>
    <x v="0"/>
    <x v="4"/>
    <x v="5"/>
    <s v="LV_A1"/>
    <x v="10"/>
    <x v="3"/>
    <s v="GBPR_WOODWASTE"/>
    <x v="4"/>
    <x v="4"/>
    <n v="4"/>
    <n v="243.333333333333"/>
    <n v="876"/>
  </r>
  <r>
    <x v="0"/>
    <x v="0"/>
    <x v="0"/>
    <x v="4"/>
    <x v="5"/>
    <s v="LV_A1"/>
    <x v="10"/>
    <x v="3"/>
    <s v="GBPR_WOODWASTE"/>
    <x v="4"/>
    <x v="5"/>
    <n v="4"/>
    <n v="243.333333333333"/>
    <n v="876"/>
  </r>
  <r>
    <x v="0"/>
    <x v="0"/>
    <x v="0"/>
    <x v="4"/>
    <x v="5"/>
    <s v="LV_A1"/>
    <x v="10"/>
    <x v="3"/>
    <s v="GBPR_WOODWASTE"/>
    <x v="4"/>
    <x v="6"/>
    <n v="4"/>
    <n v="243.333333333333"/>
    <n v="876"/>
  </r>
  <r>
    <x v="0"/>
    <x v="0"/>
    <x v="0"/>
    <x v="4"/>
    <x v="5"/>
    <s v="LV_A1"/>
    <x v="10"/>
    <x v="3"/>
    <s v="GBPR_WOODWASTE"/>
    <x v="4"/>
    <x v="7"/>
    <n v="4"/>
    <n v="243.333333333333"/>
    <n v="876"/>
  </r>
  <r>
    <x v="0"/>
    <x v="0"/>
    <x v="0"/>
    <x v="4"/>
    <x v="5"/>
    <s v="LV_A1"/>
    <x v="10"/>
    <x v="3"/>
    <s v="GBPR_WOODWASTE"/>
    <x v="4"/>
    <x v="8"/>
    <n v="4"/>
    <n v="243.333333333333"/>
    <n v="876"/>
  </r>
  <r>
    <x v="0"/>
    <x v="0"/>
    <x v="0"/>
    <x v="4"/>
    <x v="5"/>
    <s v="LV_A1"/>
    <x v="10"/>
    <x v="3"/>
    <s v="GBPR_WOODWASTE"/>
    <x v="4"/>
    <x v="9"/>
    <n v="4"/>
    <n v="243.333333333333"/>
    <n v="876"/>
  </r>
  <r>
    <x v="0"/>
    <x v="0"/>
    <x v="0"/>
    <x v="4"/>
    <x v="5"/>
    <s v="LV_A1"/>
    <x v="10"/>
    <x v="3"/>
    <s v="GBPR_WOODWASTE"/>
    <x v="4"/>
    <x v="10"/>
    <n v="4"/>
    <n v="243.333333333333"/>
    <n v="876"/>
  </r>
  <r>
    <x v="0"/>
    <x v="0"/>
    <x v="0"/>
    <x v="4"/>
    <x v="5"/>
    <s v="LV_A1"/>
    <x v="10"/>
    <x v="3"/>
    <s v="GBPR_WOODWASTE"/>
    <x v="4"/>
    <x v="11"/>
    <n v="4"/>
    <n v="243.333333333333"/>
    <n v="876"/>
  </r>
  <r>
    <x v="0"/>
    <x v="0"/>
    <x v="0"/>
    <x v="4"/>
    <x v="5"/>
    <s v="LV_A1"/>
    <x v="10"/>
    <x v="3"/>
    <s v="GBPR_WOODWASTE"/>
    <x v="5"/>
    <x v="0"/>
    <n v="4"/>
    <n v="243.333333333333"/>
    <n v="876"/>
  </r>
  <r>
    <x v="0"/>
    <x v="0"/>
    <x v="0"/>
    <x v="4"/>
    <x v="5"/>
    <s v="LV_A1"/>
    <x v="10"/>
    <x v="3"/>
    <s v="GBPR_WOODWASTE"/>
    <x v="5"/>
    <x v="1"/>
    <n v="4"/>
    <n v="243.333333333333"/>
    <n v="876"/>
  </r>
  <r>
    <x v="0"/>
    <x v="0"/>
    <x v="0"/>
    <x v="4"/>
    <x v="5"/>
    <s v="LV_A1"/>
    <x v="10"/>
    <x v="3"/>
    <s v="GBPR_WOODWASTE"/>
    <x v="5"/>
    <x v="2"/>
    <n v="4"/>
    <n v="243.333333333333"/>
    <n v="876"/>
  </r>
  <r>
    <x v="0"/>
    <x v="0"/>
    <x v="0"/>
    <x v="4"/>
    <x v="5"/>
    <s v="LV_A1"/>
    <x v="10"/>
    <x v="3"/>
    <s v="GBPR_WOODWASTE"/>
    <x v="5"/>
    <x v="3"/>
    <n v="4"/>
    <n v="243.333333333333"/>
    <n v="876"/>
  </r>
  <r>
    <x v="0"/>
    <x v="0"/>
    <x v="0"/>
    <x v="4"/>
    <x v="5"/>
    <s v="LV_A1"/>
    <x v="10"/>
    <x v="3"/>
    <s v="GBPR_WOODWASTE"/>
    <x v="5"/>
    <x v="4"/>
    <n v="4"/>
    <n v="243.333333333333"/>
    <n v="876"/>
  </r>
  <r>
    <x v="0"/>
    <x v="0"/>
    <x v="0"/>
    <x v="4"/>
    <x v="5"/>
    <s v="LV_A1"/>
    <x v="10"/>
    <x v="3"/>
    <s v="GBPR_WOODWASTE"/>
    <x v="5"/>
    <x v="5"/>
    <n v="4"/>
    <n v="243.333333333333"/>
    <n v="876"/>
  </r>
  <r>
    <x v="0"/>
    <x v="0"/>
    <x v="0"/>
    <x v="4"/>
    <x v="5"/>
    <s v="LV_A1"/>
    <x v="10"/>
    <x v="3"/>
    <s v="GBPR_WOODWASTE"/>
    <x v="5"/>
    <x v="6"/>
    <n v="4"/>
    <n v="243.333333333333"/>
    <n v="876"/>
  </r>
  <r>
    <x v="0"/>
    <x v="0"/>
    <x v="0"/>
    <x v="4"/>
    <x v="5"/>
    <s v="LV_A1"/>
    <x v="10"/>
    <x v="3"/>
    <s v="GBPR_WOODWASTE"/>
    <x v="5"/>
    <x v="7"/>
    <n v="4"/>
    <n v="243.333333333333"/>
    <n v="876"/>
  </r>
  <r>
    <x v="0"/>
    <x v="0"/>
    <x v="0"/>
    <x v="4"/>
    <x v="5"/>
    <s v="LV_A1"/>
    <x v="10"/>
    <x v="3"/>
    <s v="GBPR_WOODWASTE"/>
    <x v="5"/>
    <x v="8"/>
    <n v="4"/>
    <n v="243.333333333333"/>
    <n v="876"/>
  </r>
  <r>
    <x v="0"/>
    <x v="0"/>
    <x v="0"/>
    <x v="4"/>
    <x v="5"/>
    <s v="LV_A1"/>
    <x v="10"/>
    <x v="3"/>
    <s v="GBPR_WOODWASTE"/>
    <x v="5"/>
    <x v="9"/>
    <n v="4"/>
    <n v="243.333333333333"/>
    <n v="876"/>
  </r>
  <r>
    <x v="0"/>
    <x v="0"/>
    <x v="0"/>
    <x v="4"/>
    <x v="5"/>
    <s v="LV_A1"/>
    <x v="10"/>
    <x v="3"/>
    <s v="GBPR_WOODWASTE"/>
    <x v="5"/>
    <x v="10"/>
    <n v="4"/>
    <n v="243.333333333333"/>
    <n v="876"/>
  </r>
  <r>
    <x v="0"/>
    <x v="0"/>
    <x v="0"/>
    <x v="4"/>
    <x v="5"/>
    <s v="LV_A1"/>
    <x v="10"/>
    <x v="3"/>
    <s v="GBPR_WOODWASTE"/>
    <x v="5"/>
    <x v="11"/>
    <n v="4"/>
    <n v="243.333333333333"/>
    <n v="876"/>
  </r>
  <r>
    <x v="0"/>
    <x v="0"/>
    <x v="0"/>
    <x v="4"/>
    <x v="5"/>
    <s v="LV_A1"/>
    <x v="10"/>
    <x v="3"/>
    <s v="GBPR_WOODWASTE"/>
    <x v="6"/>
    <x v="0"/>
    <n v="4"/>
    <n v="243.333333333333"/>
    <n v="876"/>
  </r>
  <r>
    <x v="0"/>
    <x v="0"/>
    <x v="0"/>
    <x v="4"/>
    <x v="5"/>
    <s v="LV_A1"/>
    <x v="10"/>
    <x v="3"/>
    <s v="GBPR_WOODWASTE"/>
    <x v="6"/>
    <x v="1"/>
    <n v="4"/>
    <n v="243.333333333333"/>
    <n v="876"/>
  </r>
  <r>
    <x v="0"/>
    <x v="0"/>
    <x v="0"/>
    <x v="4"/>
    <x v="5"/>
    <s v="LV_A1"/>
    <x v="10"/>
    <x v="3"/>
    <s v="GBPR_WOODWASTE"/>
    <x v="6"/>
    <x v="2"/>
    <n v="4"/>
    <n v="243.333333333333"/>
    <n v="876"/>
  </r>
  <r>
    <x v="0"/>
    <x v="0"/>
    <x v="0"/>
    <x v="4"/>
    <x v="5"/>
    <s v="LV_A1"/>
    <x v="10"/>
    <x v="3"/>
    <s v="GBPR_WOODWASTE"/>
    <x v="6"/>
    <x v="3"/>
    <n v="4"/>
    <n v="243.333333333333"/>
    <n v="876"/>
  </r>
  <r>
    <x v="0"/>
    <x v="0"/>
    <x v="0"/>
    <x v="4"/>
    <x v="5"/>
    <s v="LV_A1"/>
    <x v="10"/>
    <x v="3"/>
    <s v="GBPR_WOODWASTE"/>
    <x v="6"/>
    <x v="4"/>
    <n v="4"/>
    <n v="243.333333333333"/>
    <n v="876"/>
  </r>
  <r>
    <x v="0"/>
    <x v="0"/>
    <x v="0"/>
    <x v="4"/>
    <x v="5"/>
    <s v="LV_A1"/>
    <x v="10"/>
    <x v="3"/>
    <s v="GBPR_WOODWASTE"/>
    <x v="6"/>
    <x v="5"/>
    <n v="4"/>
    <n v="243.333333333333"/>
    <n v="876"/>
  </r>
  <r>
    <x v="0"/>
    <x v="0"/>
    <x v="0"/>
    <x v="4"/>
    <x v="5"/>
    <s v="LV_A1"/>
    <x v="10"/>
    <x v="3"/>
    <s v="GBPR_WOODWASTE"/>
    <x v="6"/>
    <x v="6"/>
    <n v="4"/>
    <n v="243.333333333333"/>
    <n v="876"/>
  </r>
  <r>
    <x v="0"/>
    <x v="0"/>
    <x v="0"/>
    <x v="4"/>
    <x v="5"/>
    <s v="LV_A1"/>
    <x v="10"/>
    <x v="3"/>
    <s v="GBPR_WOODWASTE"/>
    <x v="6"/>
    <x v="7"/>
    <n v="4"/>
    <n v="243.333333333333"/>
    <n v="876"/>
  </r>
  <r>
    <x v="0"/>
    <x v="0"/>
    <x v="0"/>
    <x v="4"/>
    <x v="5"/>
    <s v="LV_A1"/>
    <x v="10"/>
    <x v="3"/>
    <s v="GBPR_WOODWASTE"/>
    <x v="6"/>
    <x v="8"/>
    <n v="4"/>
    <n v="243.333333333333"/>
    <n v="876"/>
  </r>
  <r>
    <x v="0"/>
    <x v="0"/>
    <x v="0"/>
    <x v="4"/>
    <x v="5"/>
    <s v="LV_A1"/>
    <x v="10"/>
    <x v="3"/>
    <s v="GBPR_WOODWASTE"/>
    <x v="6"/>
    <x v="9"/>
    <n v="4"/>
    <n v="243.333333333333"/>
    <n v="876"/>
  </r>
  <r>
    <x v="0"/>
    <x v="0"/>
    <x v="0"/>
    <x v="4"/>
    <x v="5"/>
    <s v="LV_A1"/>
    <x v="10"/>
    <x v="3"/>
    <s v="GBPR_WOODWASTE"/>
    <x v="6"/>
    <x v="10"/>
    <n v="4"/>
    <n v="243.333333333333"/>
    <n v="876"/>
  </r>
  <r>
    <x v="0"/>
    <x v="0"/>
    <x v="0"/>
    <x v="4"/>
    <x v="5"/>
    <s v="LV_A1"/>
    <x v="10"/>
    <x v="3"/>
    <s v="GBPR_WOODWASTE"/>
    <x v="6"/>
    <x v="11"/>
    <n v="4"/>
    <n v="243.333333333333"/>
    <n v="876"/>
  </r>
  <r>
    <x v="0"/>
    <x v="0"/>
    <x v="0"/>
    <x v="4"/>
    <x v="5"/>
    <s v="LV_A1"/>
    <x v="10"/>
    <x v="3"/>
    <s v="GBPR_WOODWASTE"/>
    <x v="7"/>
    <x v="0"/>
    <n v="4"/>
    <n v="243.333333333333"/>
    <n v="876"/>
  </r>
  <r>
    <x v="0"/>
    <x v="0"/>
    <x v="0"/>
    <x v="4"/>
    <x v="5"/>
    <s v="LV_A1"/>
    <x v="10"/>
    <x v="3"/>
    <s v="GBPR_WOODWASTE"/>
    <x v="7"/>
    <x v="1"/>
    <n v="4"/>
    <n v="243.333333333333"/>
    <n v="876"/>
  </r>
  <r>
    <x v="0"/>
    <x v="0"/>
    <x v="0"/>
    <x v="4"/>
    <x v="5"/>
    <s v="LV_A1"/>
    <x v="10"/>
    <x v="3"/>
    <s v="GBPR_WOODWASTE"/>
    <x v="7"/>
    <x v="2"/>
    <n v="4"/>
    <n v="243.333333333333"/>
    <n v="876"/>
  </r>
  <r>
    <x v="0"/>
    <x v="0"/>
    <x v="0"/>
    <x v="4"/>
    <x v="5"/>
    <s v="LV_A1"/>
    <x v="10"/>
    <x v="3"/>
    <s v="GBPR_WOODWASTE"/>
    <x v="7"/>
    <x v="3"/>
    <n v="4"/>
    <n v="243.333333333333"/>
    <n v="876"/>
  </r>
  <r>
    <x v="0"/>
    <x v="0"/>
    <x v="0"/>
    <x v="4"/>
    <x v="5"/>
    <s v="LV_A1"/>
    <x v="10"/>
    <x v="3"/>
    <s v="GBPR_WOODWASTE"/>
    <x v="7"/>
    <x v="4"/>
    <n v="4"/>
    <n v="243.333333333333"/>
    <n v="876"/>
  </r>
  <r>
    <x v="0"/>
    <x v="0"/>
    <x v="0"/>
    <x v="4"/>
    <x v="5"/>
    <s v="LV_A1"/>
    <x v="10"/>
    <x v="3"/>
    <s v="GBPR_WOODWASTE"/>
    <x v="7"/>
    <x v="5"/>
    <n v="4"/>
    <n v="243.333333333333"/>
    <n v="876"/>
  </r>
  <r>
    <x v="0"/>
    <x v="0"/>
    <x v="0"/>
    <x v="4"/>
    <x v="5"/>
    <s v="LV_A1"/>
    <x v="10"/>
    <x v="3"/>
    <s v="GBPR_WOODWASTE"/>
    <x v="7"/>
    <x v="6"/>
    <n v="4"/>
    <n v="243.333333333333"/>
    <n v="876"/>
  </r>
  <r>
    <x v="0"/>
    <x v="0"/>
    <x v="0"/>
    <x v="4"/>
    <x v="5"/>
    <s v="LV_A1"/>
    <x v="10"/>
    <x v="3"/>
    <s v="GBPR_WOODWASTE"/>
    <x v="7"/>
    <x v="7"/>
    <n v="4"/>
    <n v="243.333333333333"/>
    <n v="876"/>
  </r>
  <r>
    <x v="0"/>
    <x v="0"/>
    <x v="0"/>
    <x v="4"/>
    <x v="5"/>
    <s v="LV_A1"/>
    <x v="10"/>
    <x v="3"/>
    <s v="GBPR_WOODWASTE"/>
    <x v="7"/>
    <x v="8"/>
    <n v="4"/>
    <n v="243.333333333333"/>
    <n v="876"/>
  </r>
  <r>
    <x v="0"/>
    <x v="0"/>
    <x v="0"/>
    <x v="4"/>
    <x v="5"/>
    <s v="LV_A1"/>
    <x v="10"/>
    <x v="3"/>
    <s v="GBPR_WOODWASTE"/>
    <x v="7"/>
    <x v="9"/>
    <n v="4"/>
    <n v="243.333333333333"/>
    <n v="876"/>
  </r>
  <r>
    <x v="0"/>
    <x v="0"/>
    <x v="0"/>
    <x v="4"/>
    <x v="5"/>
    <s v="LV_A1"/>
    <x v="10"/>
    <x v="3"/>
    <s v="GBPR_WOODWASTE"/>
    <x v="7"/>
    <x v="10"/>
    <n v="4"/>
    <n v="243.333333333333"/>
    <n v="876"/>
  </r>
  <r>
    <x v="0"/>
    <x v="0"/>
    <x v="0"/>
    <x v="4"/>
    <x v="5"/>
    <s v="LV_A1"/>
    <x v="10"/>
    <x v="3"/>
    <s v="GBPR_WOODWASTE"/>
    <x v="7"/>
    <x v="11"/>
    <n v="4"/>
    <n v="243.333333333333"/>
    <n v="876"/>
  </r>
  <r>
    <x v="0"/>
    <x v="0"/>
    <x v="0"/>
    <x v="4"/>
    <x v="5"/>
    <s v="LV_A1"/>
    <x v="10"/>
    <x v="3"/>
    <s v="GBPR_WOODWASTE"/>
    <x v="8"/>
    <x v="0"/>
    <n v="4"/>
    <n v="243.333333333333"/>
    <n v="876"/>
  </r>
  <r>
    <x v="0"/>
    <x v="0"/>
    <x v="0"/>
    <x v="4"/>
    <x v="5"/>
    <s v="LV_A1"/>
    <x v="10"/>
    <x v="3"/>
    <s v="GBPR_WOODWASTE"/>
    <x v="8"/>
    <x v="1"/>
    <n v="4"/>
    <n v="243.333333333333"/>
    <n v="876"/>
  </r>
  <r>
    <x v="0"/>
    <x v="0"/>
    <x v="0"/>
    <x v="4"/>
    <x v="5"/>
    <s v="LV_A1"/>
    <x v="10"/>
    <x v="3"/>
    <s v="GBPR_WOODWASTE"/>
    <x v="8"/>
    <x v="2"/>
    <n v="4"/>
    <n v="243.333333333333"/>
    <n v="876"/>
  </r>
  <r>
    <x v="0"/>
    <x v="0"/>
    <x v="0"/>
    <x v="4"/>
    <x v="5"/>
    <s v="LV_A1"/>
    <x v="10"/>
    <x v="3"/>
    <s v="GBPR_WOODWASTE"/>
    <x v="8"/>
    <x v="3"/>
    <n v="4"/>
    <n v="243.333333333333"/>
    <n v="876"/>
  </r>
  <r>
    <x v="0"/>
    <x v="0"/>
    <x v="0"/>
    <x v="4"/>
    <x v="5"/>
    <s v="LV_A1"/>
    <x v="10"/>
    <x v="3"/>
    <s v="GBPR_WOODWASTE"/>
    <x v="8"/>
    <x v="4"/>
    <n v="4"/>
    <n v="243.333333333333"/>
    <n v="876"/>
  </r>
  <r>
    <x v="0"/>
    <x v="0"/>
    <x v="0"/>
    <x v="4"/>
    <x v="5"/>
    <s v="LV_A1"/>
    <x v="10"/>
    <x v="3"/>
    <s v="GBPR_WOODWASTE"/>
    <x v="8"/>
    <x v="5"/>
    <n v="4"/>
    <n v="243.333333333333"/>
    <n v="876"/>
  </r>
  <r>
    <x v="0"/>
    <x v="0"/>
    <x v="0"/>
    <x v="4"/>
    <x v="5"/>
    <s v="LV_A1"/>
    <x v="10"/>
    <x v="3"/>
    <s v="GBPR_WOODWASTE"/>
    <x v="8"/>
    <x v="6"/>
    <n v="4"/>
    <n v="243.333333333333"/>
    <n v="876"/>
  </r>
  <r>
    <x v="0"/>
    <x v="0"/>
    <x v="0"/>
    <x v="4"/>
    <x v="5"/>
    <s v="LV_A1"/>
    <x v="10"/>
    <x v="3"/>
    <s v="GBPR_WOODWASTE"/>
    <x v="8"/>
    <x v="7"/>
    <n v="4"/>
    <n v="243.333333333333"/>
    <n v="876"/>
  </r>
  <r>
    <x v="0"/>
    <x v="0"/>
    <x v="0"/>
    <x v="4"/>
    <x v="5"/>
    <s v="LV_A1"/>
    <x v="10"/>
    <x v="3"/>
    <s v="GBPR_WOODWASTE"/>
    <x v="8"/>
    <x v="8"/>
    <n v="4"/>
    <n v="243.333333333333"/>
    <n v="876"/>
  </r>
  <r>
    <x v="0"/>
    <x v="0"/>
    <x v="0"/>
    <x v="4"/>
    <x v="5"/>
    <s v="LV_A1"/>
    <x v="10"/>
    <x v="3"/>
    <s v="GBPR_WOODWASTE"/>
    <x v="8"/>
    <x v="9"/>
    <n v="4"/>
    <n v="243.333333333333"/>
    <n v="876"/>
  </r>
  <r>
    <x v="0"/>
    <x v="0"/>
    <x v="0"/>
    <x v="4"/>
    <x v="5"/>
    <s v="LV_A1"/>
    <x v="10"/>
    <x v="3"/>
    <s v="GBPR_WOODWASTE"/>
    <x v="8"/>
    <x v="10"/>
    <n v="4"/>
    <n v="243.333333333333"/>
    <n v="876"/>
  </r>
  <r>
    <x v="0"/>
    <x v="0"/>
    <x v="0"/>
    <x v="4"/>
    <x v="5"/>
    <s v="LV_A1"/>
    <x v="10"/>
    <x v="3"/>
    <s v="GBPR_WOODWASTE"/>
    <x v="8"/>
    <x v="11"/>
    <n v="4"/>
    <n v="243.333333333333"/>
    <n v="876"/>
  </r>
  <r>
    <x v="0"/>
    <x v="0"/>
    <x v="0"/>
    <x v="4"/>
    <x v="5"/>
    <s v="LV_A1"/>
    <x v="10"/>
    <x v="3"/>
    <s v="GBPR_WOODWASTE"/>
    <x v="9"/>
    <x v="0"/>
    <n v="4"/>
    <n v="243.333333333333"/>
    <n v="876"/>
  </r>
  <r>
    <x v="0"/>
    <x v="0"/>
    <x v="0"/>
    <x v="4"/>
    <x v="5"/>
    <s v="LV_A1"/>
    <x v="10"/>
    <x v="3"/>
    <s v="GBPR_WOODWASTE"/>
    <x v="9"/>
    <x v="1"/>
    <n v="4"/>
    <n v="243.333333333333"/>
    <n v="876"/>
  </r>
  <r>
    <x v="0"/>
    <x v="0"/>
    <x v="0"/>
    <x v="4"/>
    <x v="5"/>
    <s v="LV_A1"/>
    <x v="10"/>
    <x v="3"/>
    <s v="GBPR_WOODWASTE"/>
    <x v="9"/>
    <x v="2"/>
    <n v="4"/>
    <n v="243.333333333333"/>
    <n v="876"/>
  </r>
  <r>
    <x v="0"/>
    <x v="0"/>
    <x v="0"/>
    <x v="4"/>
    <x v="5"/>
    <s v="LV_A1"/>
    <x v="10"/>
    <x v="3"/>
    <s v="GBPR_WOODWASTE"/>
    <x v="9"/>
    <x v="3"/>
    <n v="4"/>
    <n v="243.333333333333"/>
    <n v="876"/>
  </r>
  <r>
    <x v="0"/>
    <x v="0"/>
    <x v="0"/>
    <x v="4"/>
    <x v="5"/>
    <s v="LV_A1"/>
    <x v="10"/>
    <x v="3"/>
    <s v="GBPR_WOODWASTE"/>
    <x v="9"/>
    <x v="4"/>
    <n v="4"/>
    <n v="243.333333333333"/>
    <n v="876"/>
  </r>
  <r>
    <x v="0"/>
    <x v="0"/>
    <x v="0"/>
    <x v="4"/>
    <x v="5"/>
    <s v="LV_A1"/>
    <x v="10"/>
    <x v="3"/>
    <s v="GBPR_WOODWASTE"/>
    <x v="9"/>
    <x v="5"/>
    <n v="4"/>
    <n v="243.333333333333"/>
    <n v="876"/>
  </r>
  <r>
    <x v="0"/>
    <x v="0"/>
    <x v="0"/>
    <x v="4"/>
    <x v="5"/>
    <s v="LV_A1"/>
    <x v="10"/>
    <x v="3"/>
    <s v="GBPR_WOODWASTE"/>
    <x v="9"/>
    <x v="6"/>
    <n v="4"/>
    <n v="243.333333333333"/>
    <n v="876"/>
  </r>
  <r>
    <x v="0"/>
    <x v="0"/>
    <x v="0"/>
    <x v="4"/>
    <x v="5"/>
    <s v="LV_A1"/>
    <x v="10"/>
    <x v="3"/>
    <s v="GBPR_WOODWASTE"/>
    <x v="9"/>
    <x v="7"/>
    <n v="4"/>
    <n v="243.333333333333"/>
    <n v="876"/>
  </r>
  <r>
    <x v="0"/>
    <x v="0"/>
    <x v="0"/>
    <x v="4"/>
    <x v="5"/>
    <s v="LV_A1"/>
    <x v="10"/>
    <x v="3"/>
    <s v="GBPR_WOODWASTE"/>
    <x v="9"/>
    <x v="8"/>
    <n v="4"/>
    <n v="243.333333333333"/>
    <n v="876"/>
  </r>
  <r>
    <x v="0"/>
    <x v="0"/>
    <x v="0"/>
    <x v="4"/>
    <x v="5"/>
    <s v="LV_A1"/>
    <x v="10"/>
    <x v="3"/>
    <s v="GBPR_WOODWASTE"/>
    <x v="9"/>
    <x v="9"/>
    <n v="4"/>
    <n v="243.333333333333"/>
    <n v="876"/>
  </r>
  <r>
    <x v="0"/>
    <x v="0"/>
    <x v="0"/>
    <x v="4"/>
    <x v="5"/>
    <s v="LV_A1"/>
    <x v="10"/>
    <x v="3"/>
    <s v="GBPR_WOODWASTE"/>
    <x v="9"/>
    <x v="10"/>
    <n v="4"/>
    <n v="243.333333333333"/>
    <n v="876"/>
  </r>
  <r>
    <x v="0"/>
    <x v="0"/>
    <x v="0"/>
    <x v="4"/>
    <x v="5"/>
    <s v="LV_A1"/>
    <x v="10"/>
    <x v="3"/>
    <s v="GBPR_WOODWASTE"/>
    <x v="9"/>
    <x v="11"/>
    <n v="4"/>
    <n v="243.333333333333"/>
    <n v="876"/>
  </r>
  <r>
    <x v="0"/>
    <x v="0"/>
    <x v="0"/>
    <x v="4"/>
    <x v="5"/>
    <s v="LV_A1"/>
    <x v="10"/>
    <x v="3"/>
    <s v="GBPR_WOODWASTE"/>
    <x v="10"/>
    <x v="0"/>
    <n v="4"/>
    <n v="243.333333333333"/>
    <n v="876"/>
  </r>
  <r>
    <x v="0"/>
    <x v="0"/>
    <x v="0"/>
    <x v="4"/>
    <x v="5"/>
    <s v="LV_A1"/>
    <x v="10"/>
    <x v="3"/>
    <s v="GBPR_WOODWASTE"/>
    <x v="10"/>
    <x v="1"/>
    <n v="4"/>
    <n v="243.333333333333"/>
    <n v="876"/>
  </r>
  <r>
    <x v="0"/>
    <x v="0"/>
    <x v="0"/>
    <x v="4"/>
    <x v="5"/>
    <s v="LV_A1"/>
    <x v="10"/>
    <x v="3"/>
    <s v="GBPR_WOODWASTE"/>
    <x v="10"/>
    <x v="2"/>
    <n v="4"/>
    <n v="243.333333333333"/>
    <n v="876"/>
  </r>
  <r>
    <x v="0"/>
    <x v="0"/>
    <x v="0"/>
    <x v="4"/>
    <x v="5"/>
    <s v="LV_A1"/>
    <x v="10"/>
    <x v="3"/>
    <s v="GBPR_WOODWASTE"/>
    <x v="10"/>
    <x v="3"/>
    <n v="4"/>
    <n v="243.333333333333"/>
    <n v="876"/>
  </r>
  <r>
    <x v="0"/>
    <x v="0"/>
    <x v="0"/>
    <x v="4"/>
    <x v="5"/>
    <s v="LV_A1"/>
    <x v="10"/>
    <x v="3"/>
    <s v="GBPR_WOODWASTE"/>
    <x v="10"/>
    <x v="4"/>
    <n v="4"/>
    <n v="243.333333333333"/>
    <n v="876"/>
  </r>
  <r>
    <x v="0"/>
    <x v="0"/>
    <x v="0"/>
    <x v="4"/>
    <x v="5"/>
    <s v="LV_A1"/>
    <x v="10"/>
    <x v="3"/>
    <s v="GBPR_WOODWASTE"/>
    <x v="10"/>
    <x v="5"/>
    <n v="4"/>
    <n v="243.333333333333"/>
    <n v="876"/>
  </r>
  <r>
    <x v="0"/>
    <x v="0"/>
    <x v="0"/>
    <x v="4"/>
    <x v="5"/>
    <s v="LV_A1"/>
    <x v="10"/>
    <x v="3"/>
    <s v="GBPR_WOODWASTE"/>
    <x v="10"/>
    <x v="6"/>
    <n v="4"/>
    <n v="243.333333333333"/>
    <n v="876"/>
  </r>
  <r>
    <x v="0"/>
    <x v="0"/>
    <x v="0"/>
    <x v="4"/>
    <x v="5"/>
    <s v="LV_A1"/>
    <x v="10"/>
    <x v="3"/>
    <s v="GBPR_WOODWASTE"/>
    <x v="10"/>
    <x v="7"/>
    <n v="4"/>
    <n v="243.333333333333"/>
    <n v="876"/>
  </r>
  <r>
    <x v="0"/>
    <x v="0"/>
    <x v="0"/>
    <x v="4"/>
    <x v="5"/>
    <s v="LV_A1"/>
    <x v="10"/>
    <x v="3"/>
    <s v="GBPR_WOODWASTE"/>
    <x v="10"/>
    <x v="8"/>
    <n v="4"/>
    <n v="243.333333333333"/>
    <n v="876"/>
  </r>
  <r>
    <x v="0"/>
    <x v="0"/>
    <x v="0"/>
    <x v="4"/>
    <x v="5"/>
    <s v="LV_A1"/>
    <x v="10"/>
    <x v="3"/>
    <s v="GBPR_WOODWASTE"/>
    <x v="10"/>
    <x v="9"/>
    <n v="4"/>
    <n v="243.333333333333"/>
    <n v="876"/>
  </r>
  <r>
    <x v="0"/>
    <x v="0"/>
    <x v="0"/>
    <x v="4"/>
    <x v="5"/>
    <s v="LV_A1"/>
    <x v="10"/>
    <x v="3"/>
    <s v="GBPR_WOODWASTE"/>
    <x v="10"/>
    <x v="10"/>
    <n v="4"/>
    <n v="243.333333333333"/>
    <n v="876"/>
  </r>
  <r>
    <x v="0"/>
    <x v="0"/>
    <x v="0"/>
    <x v="4"/>
    <x v="5"/>
    <s v="LV_A1"/>
    <x v="10"/>
    <x v="3"/>
    <s v="GBPR_WOODWASTE"/>
    <x v="10"/>
    <x v="11"/>
    <n v="4"/>
    <n v="243.333333333333"/>
    <n v="876"/>
  </r>
  <r>
    <x v="0"/>
    <x v="0"/>
    <x v="0"/>
    <x v="4"/>
    <x v="5"/>
    <s v="LV_A1"/>
    <x v="10"/>
    <x v="3"/>
    <s v="GBPR_WOODWASTE"/>
    <x v="11"/>
    <x v="0"/>
    <n v="4"/>
    <n v="243.333333333333"/>
    <n v="876"/>
  </r>
  <r>
    <x v="0"/>
    <x v="0"/>
    <x v="0"/>
    <x v="4"/>
    <x v="5"/>
    <s v="LV_A1"/>
    <x v="10"/>
    <x v="3"/>
    <s v="GBPR_WOODWASTE"/>
    <x v="11"/>
    <x v="1"/>
    <n v="4"/>
    <n v="243.333333333333"/>
    <n v="876"/>
  </r>
  <r>
    <x v="0"/>
    <x v="0"/>
    <x v="0"/>
    <x v="4"/>
    <x v="5"/>
    <s v="LV_A1"/>
    <x v="10"/>
    <x v="3"/>
    <s v="GBPR_WOODWASTE"/>
    <x v="11"/>
    <x v="2"/>
    <n v="4"/>
    <n v="243.333333333333"/>
    <n v="876"/>
  </r>
  <r>
    <x v="0"/>
    <x v="0"/>
    <x v="0"/>
    <x v="4"/>
    <x v="5"/>
    <s v="LV_A1"/>
    <x v="10"/>
    <x v="3"/>
    <s v="GBPR_WOODWASTE"/>
    <x v="11"/>
    <x v="3"/>
    <n v="4"/>
    <n v="243.333333333333"/>
    <n v="876"/>
  </r>
  <r>
    <x v="0"/>
    <x v="0"/>
    <x v="0"/>
    <x v="4"/>
    <x v="5"/>
    <s v="LV_A1"/>
    <x v="10"/>
    <x v="3"/>
    <s v="GBPR_WOODWASTE"/>
    <x v="11"/>
    <x v="4"/>
    <n v="4"/>
    <n v="243.333333333333"/>
    <n v="876"/>
  </r>
  <r>
    <x v="0"/>
    <x v="0"/>
    <x v="0"/>
    <x v="4"/>
    <x v="5"/>
    <s v="LV_A1"/>
    <x v="10"/>
    <x v="3"/>
    <s v="GBPR_WOODWASTE"/>
    <x v="11"/>
    <x v="5"/>
    <n v="4"/>
    <n v="243.333333333333"/>
    <n v="876"/>
  </r>
  <r>
    <x v="0"/>
    <x v="0"/>
    <x v="0"/>
    <x v="4"/>
    <x v="5"/>
    <s v="LV_A1"/>
    <x v="10"/>
    <x v="3"/>
    <s v="GBPR_WOODWASTE"/>
    <x v="11"/>
    <x v="6"/>
    <n v="4"/>
    <n v="243.333333333333"/>
    <n v="876"/>
  </r>
  <r>
    <x v="0"/>
    <x v="0"/>
    <x v="0"/>
    <x v="4"/>
    <x v="5"/>
    <s v="LV_A1"/>
    <x v="10"/>
    <x v="3"/>
    <s v="GBPR_WOODWASTE"/>
    <x v="11"/>
    <x v="7"/>
    <n v="4"/>
    <n v="243.333333333333"/>
    <n v="876"/>
  </r>
  <r>
    <x v="0"/>
    <x v="0"/>
    <x v="0"/>
    <x v="4"/>
    <x v="5"/>
    <s v="LV_A1"/>
    <x v="10"/>
    <x v="3"/>
    <s v="GBPR_WOODWASTE"/>
    <x v="11"/>
    <x v="8"/>
    <n v="4"/>
    <n v="243.333333333333"/>
    <n v="876"/>
  </r>
  <r>
    <x v="0"/>
    <x v="0"/>
    <x v="0"/>
    <x v="4"/>
    <x v="5"/>
    <s v="LV_A1"/>
    <x v="10"/>
    <x v="3"/>
    <s v="GBPR_WOODWASTE"/>
    <x v="11"/>
    <x v="9"/>
    <n v="4"/>
    <n v="243.333333333333"/>
    <n v="876"/>
  </r>
  <r>
    <x v="0"/>
    <x v="0"/>
    <x v="0"/>
    <x v="4"/>
    <x v="5"/>
    <s v="LV_A1"/>
    <x v="10"/>
    <x v="3"/>
    <s v="GBPR_WOODWASTE"/>
    <x v="11"/>
    <x v="10"/>
    <n v="4"/>
    <n v="243.333333333333"/>
    <n v="876"/>
  </r>
  <r>
    <x v="0"/>
    <x v="0"/>
    <x v="0"/>
    <x v="4"/>
    <x v="5"/>
    <s v="LV_A1"/>
    <x v="10"/>
    <x v="3"/>
    <s v="GBPR_WOODWASTE"/>
    <x v="11"/>
    <x v="11"/>
    <n v="4"/>
    <n v="243.333333333333"/>
    <n v="876"/>
  </r>
  <r>
    <x v="0"/>
    <x v="0"/>
    <x v="0"/>
    <x v="4"/>
    <x v="5"/>
    <s v="LV_A1"/>
    <x v="10"/>
    <x v="3"/>
    <s v="GBPR_WOODWASTE_IND"/>
    <x v="0"/>
    <x v="0"/>
    <n v="1"/>
    <n v="60.8333333333333"/>
    <n v="219"/>
  </r>
  <r>
    <x v="0"/>
    <x v="0"/>
    <x v="0"/>
    <x v="4"/>
    <x v="5"/>
    <s v="LV_A1"/>
    <x v="10"/>
    <x v="3"/>
    <s v="GBPR_WOODWASTE_IND"/>
    <x v="0"/>
    <x v="1"/>
    <n v="1"/>
    <n v="60.8333333333333"/>
    <n v="219"/>
  </r>
  <r>
    <x v="0"/>
    <x v="0"/>
    <x v="0"/>
    <x v="4"/>
    <x v="5"/>
    <s v="LV_A1"/>
    <x v="10"/>
    <x v="3"/>
    <s v="GBPR_WOODWASTE_IND"/>
    <x v="0"/>
    <x v="2"/>
    <n v="1"/>
    <n v="60.8333333333333"/>
    <n v="219"/>
  </r>
  <r>
    <x v="0"/>
    <x v="0"/>
    <x v="0"/>
    <x v="4"/>
    <x v="5"/>
    <s v="LV_A1"/>
    <x v="10"/>
    <x v="3"/>
    <s v="GBPR_WOODWASTE_IND"/>
    <x v="0"/>
    <x v="3"/>
    <n v="1"/>
    <n v="60.8333333333333"/>
    <n v="219"/>
  </r>
  <r>
    <x v="0"/>
    <x v="0"/>
    <x v="0"/>
    <x v="4"/>
    <x v="5"/>
    <s v="LV_A1"/>
    <x v="10"/>
    <x v="3"/>
    <s v="GBPR_WOODWASTE_IND"/>
    <x v="0"/>
    <x v="4"/>
    <n v="1"/>
    <n v="60.8333333333333"/>
    <n v="219"/>
  </r>
  <r>
    <x v="0"/>
    <x v="0"/>
    <x v="0"/>
    <x v="4"/>
    <x v="5"/>
    <s v="LV_A1"/>
    <x v="10"/>
    <x v="3"/>
    <s v="GBPR_WOODWASTE_IND"/>
    <x v="0"/>
    <x v="5"/>
    <n v="1"/>
    <n v="60.8333333333333"/>
    <n v="219"/>
  </r>
  <r>
    <x v="0"/>
    <x v="0"/>
    <x v="0"/>
    <x v="4"/>
    <x v="5"/>
    <s v="LV_A1"/>
    <x v="10"/>
    <x v="3"/>
    <s v="GBPR_WOODWASTE_IND"/>
    <x v="0"/>
    <x v="6"/>
    <n v="1"/>
    <n v="60.8333333333333"/>
    <n v="219"/>
  </r>
  <r>
    <x v="0"/>
    <x v="0"/>
    <x v="0"/>
    <x v="4"/>
    <x v="5"/>
    <s v="LV_A1"/>
    <x v="10"/>
    <x v="3"/>
    <s v="GBPR_WOODWASTE_IND"/>
    <x v="0"/>
    <x v="7"/>
    <n v="1"/>
    <n v="60.8333333333333"/>
    <n v="219"/>
  </r>
  <r>
    <x v="0"/>
    <x v="0"/>
    <x v="0"/>
    <x v="4"/>
    <x v="5"/>
    <s v="LV_A1"/>
    <x v="10"/>
    <x v="3"/>
    <s v="GBPR_WOODWASTE_IND"/>
    <x v="0"/>
    <x v="8"/>
    <n v="1"/>
    <n v="60.8333333333333"/>
    <n v="219"/>
  </r>
  <r>
    <x v="0"/>
    <x v="0"/>
    <x v="0"/>
    <x v="4"/>
    <x v="5"/>
    <s v="LV_A1"/>
    <x v="10"/>
    <x v="3"/>
    <s v="GBPR_WOODWASTE_IND"/>
    <x v="0"/>
    <x v="9"/>
    <n v="1"/>
    <n v="60.8333333333333"/>
    <n v="219"/>
  </r>
  <r>
    <x v="0"/>
    <x v="0"/>
    <x v="0"/>
    <x v="4"/>
    <x v="5"/>
    <s v="LV_A1"/>
    <x v="10"/>
    <x v="3"/>
    <s v="GBPR_WOODWASTE_IND"/>
    <x v="0"/>
    <x v="10"/>
    <n v="1"/>
    <n v="60.8333333333333"/>
    <n v="219"/>
  </r>
  <r>
    <x v="0"/>
    <x v="0"/>
    <x v="0"/>
    <x v="4"/>
    <x v="5"/>
    <s v="LV_A1"/>
    <x v="10"/>
    <x v="3"/>
    <s v="GBPR_WOODWASTE_IND"/>
    <x v="0"/>
    <x v="11"/>
    <n v="1"/>
    <n v="60.8333333333333"/>
    <n v="219"/>
  </r>
  <r>
    <x v="0"/>
    <x v="0"/>
    <x v="0"/>
    <x v="4"/>
    <x v="5"/>
    <s v="LV_A1"/>
    <x v="10"/>
    <x v="3"/>
    <s v="GBPR_WOODWASTE_IND"/>
    <x v="1"/>
    <x v="0"/>
    <n v="1"/>
    <n v="60.8333333333333"/>
    <n v="219"/>
  </r>
  <r>
    <x v="0"/>
    <x v="0"/>
    <x v="0"/>
    <x v="4"/>
    <x v="5"/>
    <s v="LV_A1"/>
    <x v="10"/>
    <x v="3"/>
    <s v="GBPR_WOODWASTE_IND"/>
    <x v="1"/>
    <x v="1"/>
    <n v="1"/>
    <n v="60.8333333333333"/>
    <n v="219"/>
  </r>
  <r>
    <x v="0"/>
    <x v="0"/>
    <x v="0"/>
    <x v="4"/>
    <x v="5"/>
    <s v="LV_A1"/>
    <x v="10"/>
    <x v="3"/>
    <s v="GBPR_WOODWASTE_IND"/>
    <x v="1"/>
    <x v="2"/>
    <n v="1"/>
    <n v="60.8333333333333"/>
    <n v="219"/>
  </r>
  <r>
    <x v="0"/>
    <x v="0"/>
    <x v="0"/>
    <x v="4"/>
    <x v="5"/>
    <s v="LV_A1"/>
    <x v="10"/>
    <x v="3"/>
    <s v="GBPR_WOODWASTE_IND"/>
    <x v="1"/>
    <x v="3"/>
    <n v="1"/>
    <n v="60.8333333333333"/>
    <n v="219"/>
  </r>
  <r>
    <x v="0"/>
    <x v="0"/>
    <x v="0"/>
    <x v="4"/>
    <x v="5"/>
    <s v="LV_A1"/>
    <x v="10"/>
    <x v="3"/>
    <s v="GBPR_WOODWASTE_IND"/>
    <x v="1"/>
    <x v="4"/>
    <n v="1"/>
    <n v="60.8333333333333"/>
    <n v="219"/>
  </r>
  <r>
    <x v="0"/>
    <x v="0"/>
    <x v="0"/>
    <x v="4"/>
    <x v="5"/>
    <s v="LV_A1"/>
    <x v="10"/>
    <x v="3"/>
    <s v="GBPR_WOODWASTE_IND"/>
    <x v="1"/>
    <x v="5"/>
    <n v="1"/>
    <n v="60.8333333333333"/>
    <n v="219"/>
  </r>
  <r>
    <x v="0"/>
    <x v="0"/>
    <x v="0"/>
    <x v="4"/>
    <x v="5"/>
    <s v="LV_A1"/>
    <x v="10"/>
    <x v="3"/>
    <s v="GBPR_WOODWASTE_IND"/>
    <x v="1"/>
    <x v="6"/>
    <n v="1"/>
    <n v="60.8333333333333"/>
    <n v="219"/>
  </r>
  <r>
    <x v="0"/>
    <x v="0"/>
    <x v="0"/>
    <x v="4"/>
    <x v="5"/>
    <s v="LV_A1"/>
    <x v="10"/>
    <x v="3"/>
    <s v="GBPR_WOODWASTE_IND"/>
    <x v="1"/>
    <x v="7"/>
    <n v="1"/>
    <n v="60.8333333333333"/>
    <n v="219"/>
  </r>
  <r>
    <x v="0"/>
    <x v="0"/>
    <x v="0"/>
    <x v="4"/>
    <x v="5"/>
    <s v="LV_A1"/>
    <x v="10"/>
    <x v="3"/>
    <s v="GBPR_WOODWASTE_IND"/>
    <x v="1"/>
    <x v="8"/>
    <n v="1"/>
    <n v="60.8333333333333"/>
    <n v="219"/>
  </r>
  <r>
    <x v="0"/>
    <x v="0"/>
    <x v="0"/>
    <x v="4"/>
    <x v="5"/>
    <s v="LV_A1"/>
    <x v="10"/>
    <x v="3"/>
    <s v="GBPR_WOODWASTE_IND"/>
    <x v="1"/>
    <x v="9"/>
    <n v="1"/>
    <n v="60.8333333333333"/>
    <n v="219"/>
  </r>
  <r>
    <x v="0"/>
    <x v="0"/>
    <x v="0"/>
    <x v="4"/>
    <x v="5"/>
    <s v="LV_A1"/>
    <x v="10"/>
    <x v="3"/>
    <s v="GBPR_WOODWASTE_IND"/>
    <x v="1"/>
    <x v="10"/>
    <n v="1"/>
    <n v="60.8333333333333"/>
    <n v="219"/>
  </r>
  <r>
    <x v="0"/>
    <x v="0"/>
    <x v="0"/>
    <x v="4"/>
    <x v="5"/>
    <s v="LV_A1"/>
    <x v="10"/>
    <x v="3"/>
    <s v="GBPR_WOODWASTE_IND"/>
    <x v="1"/>
    <x v="11"/>
    <n v="1"/>
    <n v="60.8333333333333"/>
    <n v="219"/>
  </r>
  <r>
    <x v="0"/>
    <x v="0"/>
    <x v="0"/>
    <x v="4"/>
    <x v="5"/>
    <s v="LV_A1"/>
    <x v="10"/>
    <x v="3"/>
    <s v="GBPR_WOODWASTE_IND"/>
    <x v="2"/>
    <x v="0"/>
    <n v="1"/>
    <n v="60.8333333333333"/>
    <n v="219"/>
  </r>
  <r>
    <x v="0"/>
    <x v="0"/>
    <x v="0"/>
    <x v="4"/>
    <x v="5"/>
    <s v="LV_A1"/>
    <x v="10"/>
    <x v="3"/>
    <s v="GBPR_WOODWASTE_IND"/>
    <x v="2"/>
    <x v="1"/>
    <n v="1"/>
    <n v="60.8333333333333"/>
    <n v="219"/>
  </r>
  <r>
    <x v="0"/>
    <x v="0"/>
    <x v="0"/>
    <x v="4"/>
    <x v="5"/>
    <s v="LV_A1"/>
    <x v="10"/>
    <x v="3"/>
    <s v="GBPR_WOODWASTE_IND"/>
    <x v="2"/>
    <x v="2"/>
    <n v="1"/>
    <n v="60.8333333333333"/>
    <n v="219"/>
  </r>
  <r>
    <x v="0"/>
    <x v="0"/>
    <x v="0"/>
    <x v="4"/>
    <x v="5"/>
    <s v="LV_A1"/>
    <x v="10"/>
    <x v="3"/>
    <s v="GBPR_WOODWASTE_IND"/>
    <x v="2"/>
    <x v="3"/>
    <n v="1"/>
    <n v="60.8333333333333"/>
    <n v="219"/>
  </r>
  <r>
    <x v="0"/>
    <x v="0"/>
    <x v="0"/>
    <x v="4"/>
    <x v="5"/>
    <s v="LV_A1"/>
    <x v="10"/>
    <x v="3"/>
    <s v="GBPR_WOODWASTE_IND"/>
    <x v="2"/>
    <x v="4"/>
    <n v="1"/>
    <n v="60.8333333333333"/>
    <n v="219"/>
  </r>
  <r>
    <x v="0"/>
    <x v="0"/>
    <x v="0"/>
    <x v="4"/>
    <x v="5"/>
    <s v="LV_A1"/>
    <x v="10"/>
    <x v="3"/>
    <s v="GBPR_WOODWASTE_IND"/>
    <x v="2"/>
    <x v="5"/>
    <n v="1"/>
    <n v="60.8333333333333"/>
    <n v="219"/>
  </r>
  <r>
    <x v="0"/>
    <x v="0"/>
    <x v="0"/>
    <x v="4"/>
    <x v="5"/>
    <s v="LV_A1"/>
    <x v="10"/>
    <x v="3"/>
    <s v="GBPR_WOODWASTE_IND"/>
    <x v="2"/>
    <x v="6"/>
    <n v="1"/>
    <n v="60.8333333333333"/>
    <n v="219"/>
  </r>
  <r>
    <x v="0"/>
    <x v="0"/>
    <x v="0"/>
    <x v="4"/>
    <x v="5"/>
    <s v="LV_A1"/>
    <x v="10"/>
    <x v="3"/>
    <s v="GBPR_WOODWASTE_IND"/>
    <x v="2"/>
    <x v="7"/>
    <n v="1"/>
    <n v="60.8333333333333"/>
    <n v="219"/>
  </r>
  <r>
    <x v="0"/>
    <x v="0"/>
    <x v="0"/>
    <x v="4"/>
    <x v="5"/>
    <s v="LV_A1"/>
    <x v="10"/>
    <x v="3"/>
    <s v="GBPR_WOODWASTE_IND"/>
    <x v="2"/>
    <x v="8"/>
    <n v="1"/>
    <n v="60.8333333333333"/>
    <n v="219"/>
  </r>
  <r>
    <x v="0"/>
    <x v="0"/>
    <x v="0"/>
    <x v="4"/>
    <x v="5"/>
    <s v="LV_A1"/>
    <x v="10"/>
    <x v="3"/>
    <s v="GBPR_WOODWASTE_IND"/>
    <x v="2"/>
    <x v="9"/>
    <n v="1"/>
    <n v="60.8333333333333"/>
    <n v="219"/>
  </r>
  <r>
    <x v="0"/>
    <x v="0"/>
    <x v="0"/>
    <x v="4"/>
    <x v="5"/>
    <s v="LV_A1"/>
    <x v="10"/>
    <x v="3"/>
    <s v="GBPR_WOODWASTE_IND"/>
    <x v="2"/>
    <x v="10"/>
    <n v="1"/>
    <n v="60.8333333333333"/>
    <n v="219"/>
  </r>
  <r>
    <x v="0"/>
    <x v="0"/>
    <x v="0"/>
    <x v="4"/>
    <x v="5"/>
    <s v="LV_A1"/>
    <x v="10"/>
    <x v="3"/>
    <s v="GBPR_WOODWASTE_IND"/>
    <x v="2"/>
    <x v="11"/>
    <n v="1"/>
    <n v="60.8333333333333"/>
    <n v="219"/>
  </r>
  <r>
    <x v="0"/>
    <x v="0"/>
    <x v="0"/>
    <x v="4"/>
    <x v="5"/>
    <s v="LV_A1"/>
    <x v="10"/>
    <x v="3"/>
    <s v="GBPR_WOODWASTE_IND"/>
    <x v="3"/>
    <x v="0"/>
    <n v="1"/>
    <n v="60.8333333333333"/>
    <n v="219"/>
  </r>
  <r>
    <x v="0"/>
    <x v="0"/>
    <x v="0"/>
    <x v="4"/>
    <x v="5"/>
    <s v="LV_A1"/>
    <x v="10"/>
    <x v="3"/>
    <s v="GBPR_WOODWASTE_IND"/>
    <x v="3"/>
    <x v="1"/>
    <n v="1"/>
    <n v="60.8333333333333"/>
    <n v="219"/>
  </r>
  <r>
    <x v="0"/>
    <x v="0"/>
    <x v="0"/>
    <x v="4"/>
    <x v="5"/>
    <s v="LV_A1"/>
    <x v="10"/>
    <x v="3"/>
    <s v="GBPR_WOODWASTE_IND"/>
    <x v="3"/>
    <x v="2"/>
    <n v="1"/>
    <n v="60.8333333333333"/>
    <n v="219"/>
  </r>
  <r>
    <x v="0"/>
    <x v="0"/>
    <x v="0"/>
    <x v="4"/>
    <x v="5"/>
    <s v="LV_A1"/>
    <x v="10"/>
    <x v="3"/>
    <s v="GBPR_WOODWASTE_IND"/>
    <x v="3"/>
    <x v="3"/>
    <n v="1"/>
    <n v="60.8333333333333"/>
    <n v="219"/>
  </r>
  <r>
    <x v="0"/>
    <x v="0"/>
    <x v="0"/>
    <x v="4"/>
    <x v="5"/>
    <s v="LV_A1"/>
    <x v="10"/>
    <x v="3"/>
    <s v="GBPR_WOODWASTE_IND"/>
    <x v="3"/>
    <x v="4"/>
    <n v="1"/>
    <n v="60.8333333333333"/>
    <n v="219"/>
  </r>
  <r>
    <x v="0"/>
    <x v="0"/>
    <x v="0"/>
    <x v="4"/>
    <x v="5"/>
    <s v="LV_A1"/>
    <x v="10"/>
    <x v="3"/>
    <s v="GBPR_WOODWASTE_IND"/>
    <x v="3"/>
    <x v="5"/>
    <n v="1"/>
    <n v="60.8333333333333"/>
    <n v="219"/>
  </r>
  <r>
    <x v="0"/>
    <x v="0"/>
    <x v="0"/>
    <x v="4"/>
    <x v="5"/>
    <s v="LV_A1"/>
    <x v="10"/>
    <x v="3"/>
    <s v="GBPR_WOODWASTE_IND"/>
    <x v="3"/>
    <x v="6"/>
    <n v="1"/>
    <n v="60.8333333333333"/>
    <n v="219"/>
  </r>
  <r>
    <x v="0"/>
    <x v="0"/>
    <x v="0"/>
    <x v="4"/>
    <x v="5"/>
    <s v="LV_A1"/>
    <x v="10"/>
    <x v="3"/>
    <s v="GBPR_WOODWASTE_IND"/>
    <x v="3"/>
    <x v="7"/>
    <n v="1"/>
    <n v="60.8333333333333"/>
    <n v="219"/>
  </r>
  <r>
    <x v="0"/>
    <x v="0"/>
    <x v="0"/>
    <x v="4"/>
    <x v="5"/>
    <s v="LV_A1"/>
    <x v="10"/>
    <x v="3"/>
    <s v="GBPR_WOODWASTE_IND"/>
    <x v="3"/>
    <x v="8"/>
    <n v="1"/>
    <n v="60.8333333333333"/>
    <n v="219"/>
  </r>
  <r>
    <x v="0"/>
    <x v="0"/>
    <x v="0"/>
    <x v="4"/>
    <x v="5"/>
    <s v="LV_A1"/>
    <x v="10"/>
    <x v="3"/>
    <s v="GBPR_WOODWASTE_IND"/>
    <x v="3"/>
    <x v="9"/>
    <n v="1"/>
    <n v="60.8333333333333"/>
    <n v="219"/>
  </r>
  <r>
    <x v="0"/>
    <x v="0"/>
    <x v="0"/>
    <x v="4"/>
    <x v="5"/>
    <s v="LV_A1"/>
    <x v="10"/>
    <x v="3"/>
    <s v="GBPR_WOODWASTE_IND"/>
    <x v="3"/>
    <x v="10"/>
    <n v="1"/>
    <n v="60.8333333333333"/>
    <n v="219"/>
  </r>
  <r>
    <x v="0"/>
    <x v="0"/>
    <x v="0"/>
    <x v="4"/>
    <x v="5"/>
    <s v="LV_A1"/>
    <x v="10"/>
    <x v="3"/>
    <s v="GBPR_WOODWASTE_IND"/>
    <x v="3"/>
    <x v="11"/>
    <n v="1"/>
    <n v="60.8333333333333"/>
    <n v="219"/>
  </r>
  <r>
    <x v="0"/>
    <x v="0"/>
    <x v="0"/>
    <x v="4"/>
    <x v="5"/>
    <s v="LV_A1"/>
    <x v="10"/>
    <x v="3"/>
    <s v="GBPR_WOODWASTE_IND"/>
    <x v="4"/>
    <x v="0"/>
    <n v="1"/>
    <n v="60.8333333333333"/>
    <n v="219"/>
  </r>
  <r>
    <x v="0"/>
    <x v="0"/>
    <x v="0"/>
    <x v="4"/>
    <x v="5"/>
    <s v="LV_A1"/>
    <x v="10"/>
    <x v="3"/>
    <s v="GBPR_WOODWASTE_IND"/>
    <x v="4"/>
    <x v="1"/>
    <n v="1"/>
    <n v="60.8333333333333"/>
    <n v="219"/>
  </r>
  <r>
    <x v="0"/>
    <x v="0"/>
    <x v="0"/>
    <x v="4"/>
    <x v="5"/>
    <s v="LV_A1"/>
    <x v="10"/>
    <x v="3"/>
    <s v="GBPR_WOODWASTE_IND"/>
    <x v="4"/>
    <x v="2"/>
    <n v="1"/>
    <n v="60.8333333333333"/>
    <n v="219"/>
  </r>
  <r>
    <x v="0"/>
    <x v="0"/>
    <x v="0"/>
    <x v="4"/>
    <x v="5"/>
    <s v="LV_A1"/>
    <x v="10"/>
    <x v="3"/>
    <s v="GBPR_WOODWASTE_IND"/>
    <x v="4"/>
    <x v="3"/>
    <n v="1"/>
    <n v="60.8333333333333"/>
    <n v="219"/>
  </r>
  <r>
    <x v="0"/>
    <x v="0"/>
    <x v="0"/>
    <x v="4"/>
    <x v="5"/>
    <s v="LV_A1"/>
    <x v="10"/>
    <x v="3"/>
    <s v="GBPR_WOODWASTE_IND"/>
    <x v="4"/>
    <x v="4"/>
    <n v="1"/>
    <n v="60.8333333333333"/>
    <n v="219"/>
  </r>
  <r>
    <x v="0"/>
    <x v="0"/>
    <x v="0"/>
    <x v="4"/>
    <x v="5"/>
    <s v="LV_A1"/>
    <x v="10"/>
    <x v="3"/>
    <s v="GBPR_WOODWASTE_IND"/>
    <x v="4"/>
    <x v="5"/>
    <n v="1"/>
    <n v="60.8333333333333"/>
    <n v="219"/>
  </r>
  <r>
    <x v="0"/>
    <x v="0"/>
    <x v="0"/>
    <x v="4"/>
    <x v="5"/>
    <s v="LV_A1"/>
    <x v="10"/>
    <x v="3"/>
    <s v="GBPR_WOODWASTE_IND"/>
    <x v="4"/>
    <x v="6"/>
    <n v="1"/>
    <n v="60.8333333333333"/>
    <n v="219"/>
  </r>
  <r>
    <x v="0"/>
    <x v="0"/>
    <x v="0"/>
    <x v="4"/>
    <x v="5"/>
    <s v="LV_A1"/>
    <x v="10"/>
    <x v="3"/>
    <s v="GBPR_WOODWASTE_IND"/>
    <x v="4"/>
    <x v="7"/>
    <n v="1"/>
    <n v="60.8333333333333"/>
    <n v="219"/>
  </r>
  <r>
    <x v="0"/>
    <x v="0"/>
    <x v="0"/>
    <x v="4"/>
    <x v="5"/>
    <s v="LV_A1"/>
    <x v="10"/>
    <x v="3"/>
    <s v="GBPR_WOODWASTE_IND"/>
    <x v="4"/>
    <x v="8"/>
    <n v="1"/>
    <n v="60.8333333333333"/>
    <n v="219"/>
  </r>
  <r>
    <x v="0"/>
    <x v="0"/>
    <x v="0"/>
    <x v="4"/>
    <x v="5"/>
    <s v="LV_A1"/>
    <x v="10"/>
    <x v="3"/>
    <s v="GBPR_WOODWASTE_IND"/>
    <x v="4"/>
    <x v="9"/>
    <n v="1"/>
    <n v="60.8333333333333"/>
    <n v="219"/>
  </r>
  <r>
    <x v="0"/>
    <x v="0"/>
    <x v="0"/>
    <x v="4"/>
    <x v="5"/>
    <s v="LV_A1"/>
    <x v="10"/>
    <x v="3"/>
    <s v="GBPR_WOODWASTE_IND"/>
    <x v="4"/>
    <x v="10"/>
    <n v="1"/>
    <n v="60.8333333333333"/>
    <n v="219"/>
  </r>
  <r>
    <x v="0"/>
    <x v="0"/>
    <x v="0"/>
    <x v="4"/>
    <x v="5"/>
    <s v="LV_A1"/>
    <x v="10"/>
    <x v="3"/>
    <s v="GBPR_WOODWASTE_IND"/>
    <x v="4"/>
    <x v="11"/>
    <n v="1"/>
    <n v="60.8333333333333"/>
    <n v="219"/>
  </r>
  <r>
    <x v="0"/>
    <x v="0"/>
    <x v="0"/>
    <x v="4"/>
    <x v="5"/>
    <s v="LV_A1"/>
    <x v="10"/>
    <x v="3"/>
    <s v="GBPR_WOODWASTE_IND"/>
    <x v="5"/>
    <x v="0"/>
    <n v="1"/>
    <n v="60.8333333333333"/>
    <n v="219"/>
  </r>
  <r>
    <x v="0"/>
    <x v="0"/>
    <x v="0"/>
    <x v="4"/>
    <x v="5"/>
    <s v="LV_A1"/>
    <x v="10"/>
    <x v="3"/>
    <s v="GBPR_WOODWASTE_IND"/>
    <x v="5"/>
    <x v="1"/>
    <n v="1"/>
    <n v="60.8333333333333"/>
    <n v="219"/>
  </r>
  <r>
    <x v="0"/>
    <x v="0"/>
    <x v="0"/>
    <x v="4"/>
    <x v="5"/>
    <s v="LV_A1"/>
    <x v="10"/>
    <x v="3"/>
    <s v="GBPR_WOODWASTE_IND"/>
    <x v="5"/>
    <x v="2"/>
    <n v="1"/>
    <n v="60.8333333333333"/>
    <n v="219"/>
  </r>
  <r>
    <x v="0"/>
    <x v="0"/>
    <x v="0"/>
    <x v="4"/>
    <x v="5"/>
    <s v="LV_A1"/>
    <x v="10"/>
    <x v="3"/>
    <s v="GBPR_WOODWASTE_IND"/>
    <x v="5"/>
    <x v="3"/>
    <n v="1"/>
    <n v="60.8333333333333"/>
    <n v="219"/>
  </r>
  <r>
    <x v="0"/>
    <x v="0"/>
    <x v="0"/>
    <x v="4"/>
    <x v="5"/>
    <s v="LV_A1"/>
    <x v="10"/>
    <x v="3"/>
    <s v="GBPR_WOODWASTE_IND"/>
    <x v="5"/>
    <x v="4"/>
    <n v="1"/>
    <n v="60.8333333333333"/>
    <n v="219"/>
  </r>
  <r>
    <x v="0"/>
    <x v="0"/>
    <x v="0"/>
    <x v="4"/>
    <x v="5"/>
    <s v="LV_A1"/>
    <x v="10"/>
    <x v="3"/>
    <s v="GBPR_WOODWASTE_IND"/>
    <x v="5"/>
    <x v="5"/>
    <n v="1"/>
    <n v="60.8333333333333"/>
    <n v="219"/>
  </r>
  <r>
    <x v="0"/>
    <x v="0"/>
    <x v="0"/>
    <x v="4"/>
    <x v="5"/>
    <s v="LV_A1"/>
    <x v="10"/>
    <x v="3"/>
    <s v="GBPR_WOODWASTE_IND"/>
    <x v="5"/>
    <x v="6"/>
    <n v="1"/>
    <n v="60.8333333333333"/>
    <n v="219"/>
  </r>
  <r>
    <x v="0"/>
    <x v="0"/>
    <x v="0"/>
    <x v="4"/>
    <x v="5"/>
    <s v="LV_A1"/>
    <x v="10"/>
    <x v="3"/>
    <s v="GBPR_WOODWASTE_IND"/>
    <x v="5"/>
    <x v="7"/>
    <n v="1"/>
    <n v="60.8333333333333"/>
    <n v="219"/>
  </r>
  <r>
    <x v="0"/>
    <x v="0"/>
    <x v="0"/>
    <x v="4"/>
    <x v="5"/>
    <s v="LV_A1"/>
    <x v="10"/>
    <x v="3"/>
    <s v="GBPR_WOODWASTE_IND"/>
    <x v="5"/>
    <x v="8"/>
    <n v="1"/>
    <n v="60.8333333333333"/>
    <n v="219"/>
  </r>
  <r>
    <x v="0"/>
    <x v="0"/>
    <x v="0"/>
    <x v="4"/>
    <x v="5"/>
    <s v="LV_A1"/>
    <x v="10"/>
    <x v="3"/>
    <s v="GBPR_WOODWASTE_IND"/>
    <x v="5"/>
    <x v="9"/>
    <n v="1"/>
    <n v="60.8333333333333"/>
    <n v="219"/>
  </r>
  <r>
    <x v="0"/>
    <x v="0"/>
    <x v="0"/>
    <x v="4"/>
    <x v="5"/>
    <s v="LV_A1"/>
    <x v="10"/>
    <x v="3"/>
    <s v="GBPR_WOODWASTE_IND"/>
    <x v="5"/>
    <x v="10"/>
    <n v="1"/>
    <n v="60.8333333333333"/>
    <n v="219"/>
  </r>
  <r>
    <x v="0"/>
    <x v="0"/>
    <x v="0"/>
    <x v="4"/>
    <x v="5"/>
    <s v="LV_A1"/>
    <x v="10"/>
    <x v="3"/>
    <s v="GBPR_WOODWASTE_IND"/>
    <x v="5"/>
    <x v="11"/>
    <n v="1"/>
    <n v="60.8333333333333"/>
    <n v="219"/>
  </r>
  <r>
    <x v="0"/>
    <x v="0"/>
    <x v="0"/>
    <x v="4"/>
    <x v="5"/>
    <s v="LV_A1"/>
    <x v="10"/>
    <x v="3"/>
    <s v="GBPR_WOODWASTE_IND"/>
    <x v="6"/>
    <x v="0"/>
    <n v="1"/>
    <n v="60.8333333333333"/>
    <n v="219"/>
  </r>
  <r>
    <x v="0"/>
    <x v="0"/>
    <x v="0"/>
    <x v="4"/>
    <x v="5"/>
    <s v="LV_A1"/>
    <x v="10"/>
    <x v="3"/>
    <s v="GBPR_WOODWASTE_IND"/>
    <x v="6"/>
    <x v="1"/>
    <n v="1"/>
    <n v="60.8333333333333"/>
    <n v="219"/>
  </r>
  <r>
    <x v="0"/>
    <x v="0"/>
    <x v="0"/>
    <x v="4"/>
    <x v="5"/>
    <s v="LV_A1"/>
    <x v="10"/>
    <x v="3"/>
    <s v="GBPR_WOODWASTE_IND"/>
    <x v="6"/>
    <x v="2"/>
    <n v="1"/>
    <n v="60.8333333333333"/>
    <n v="219"/>
  </r>
  <r>
    <x v="0"/>
    <x v="0"/>
    <x v="0"/>
    <x v="4"/>
    <x v="5"/>
    <s v="LV_A1"/>
    <x v="10"/>
    <x v="3"/>
    <s v="GBPR_WOODWASTE_IND"/>
    <x v="6"/>
    <x v="3"/>
    <n v="1"/>
    <n v="60.8333333333333"/>
    <n v="219"/>
  </r>
  <r>
    <x v="0"/>
    <x v="0"/>
    <x v="0"/>
    <x v="4"/>
    <x v="5"/>
    <s v="LV_A1"/>
    <x v="10"/>
    <x v="3"/>
    <s v="GBPR_WOODWASTE_IND"/>
    <x v="6"/>
    <x v="4"/>
    <n v="1"/>
    <n v="60.8333333333333"/>
    <n v="219"/>
  </r>
  <r>
    <x v="0"/>
    <x v="0"/>
    <x v="0"/>
    <x v="4"/>
    <x v="5"/>
    <s v="LV_A1"/>
    <x v="10"/>
    <x v="3"/>
    <s v="GBPR_WOODWASTE_IND"/>
    <x v="6"/>
    <x v="5"/>
    <n v="1"/>
    <n v="60.8333333333333"/>
    <n v="219"/>
  </r>
  <r>
    <x v="0"/>
    <x v="0"/>
    <x v="0"/>
    <x v="4"/>
    <x v="5"/>
    <s v="LV_A1"/>
    <x v="10"/>
    <x v="3"/>
    <s v="GBPR_WOODWASTE_IND"/>
    <x v="6"/>
    <x v="6"/>
    <n v="1"/>
    <n v="60.8333333333333"/>
    <n v="219"/>
  </r>
  <r>
    <x v="0"/>
    <x v="0"/>
    <x v="0"/>
    <x v="4"/>
    <x v="5"/>
    <s v="LV_A1"/>
    <x v="10"/>
    <x v="3"/>
    <s v="GBPR_WOODWASTE_IND"/>
    <x v="6"/>
    <x v="7"/>
    <n v="1"/>
    <n v="60.8333333333333"/>
    <n v="219"/>
  </r>
  <r>
    <x v="0"/>
    <x v="0"/>
    <x v="0"/>
    <x v="4"/>
    <x v="5"/>
    <s v="LV_A1"/>
    <x v="10"/>
    <x v="3"/>
    <s v="GBPR_WOODWASTE_IND"/>
    <x v="6"/>
    <x v="8"/>
    <n v="1"/>
    <n v="60.8333333333333"/>
    <n v="219"/>
  </r>
  <r>
    <x v="0"/>
    <x v="0"/>
    <x v="0"/>
    <x v="4"/>
    <x v="5"/>
    <s v="LV_A1"/>
    <x v="10"/>
    <x v="3"/>
    <s v="GBPR_WOODWASTE_IND"/>
    <x v="6"/>
    <x v="9"/>
    <n v="1"/>
    <n v="60.8333333333333"/>
    <n v="219"/>
  </r>
  <r>
    <x v="0"/>
    <x v="0"/>
    <x v="0"/>
    <x v="4"/>
    <x v="5"/>
    <s v="LV_A1"/>
    <x v="10"/>
    <x v="3"/>
    <s v="GBPR_WOODWASTE_IND"/>
    <x v="6"/>
    <x v="10"/>
    <n v="1"/>
    <n v="60.8333333333333"/>
    <n v="219"/>
  </r>
  <r>
    <x v="0"/>
    <x v="0"/>
    <x v="0"/>
    <x v="4"/>
    <x v="5"/>
    <s v="LV_A1"/>
    <x v="10"/>
    <x v="3"/>
    <s v="GBPR_WOODWASTE_IND"/>
    <x v="6"/>
    <x v="11"/>
    <n v="1"/>
    <n v="60.8333333333333"/>
    <n v="219"/>
  </r>
  <r>
    <x v="0"/>
    <x v="0"/>
    <x v="0"/>
    <x v="4"/>
    <x v="5"/>
    <s v="LV_A1"/>
    <x v="10"/>
    <x v="3"/>
    <s v="GBPR_WOODWASTE_IND"/>
    <x v="7"/>
    <x v="0"/>
    <n v="1"/>
    <n v="60.8333333333333"/>
    <n v="219"/>
  </r>
  <r>
    <x v="0"/>
    <x v="0"/>
    <x v="0"/>
    <x v="4"/>
    <x v="5"/>
    <s v="LV_A1"/>
    <x v="10"/>
    <x v="3"/>
    <s v="GBPR_WOODWASTE_IND"/>
    <x v="7"/>
    <x v="1"/>
    <n v="1"/>
    <n v="60.8333333333333"/>
    <n v="219"/>
  </r>
  <r>
    <x v="0"/>
    <x v="0"/>
    <x v="0"/>
    <x v="4"/>
    <x v="5"/>
    <s v="LV_A1"/>
    <x v="10"/>
    <x v="3"/>
    <s v="GBPR_WOODWASTE_IND"/>
    <x v="7"/>
    <x v="2"/>
    <n v="1"/>
    <n v="60.8333333333333"/>
    <n v="219"/>
  </r>
  <r>
    <x v="0"/>
    <x v="0"/>
    <x v="0"/>
    <x v="4"/>
    <x v="5"/>
    <s v="LV_A1"/>
    <x v="10"/>
    <x v="3"/>
    <s v="GBPR_WOODWASTE_IND"/>
    <x v="7"/>
    <x v="3"/>
    <n v="1"/>
    <n v="60.8333333333333"/>
    <n v="219"/>
  </r>
  <r>
    <x v="0"/>
    <x v="0"/>
    <x v="0"/>
    <x v="4"/>
    <x v="5"/>
    <s v="LV_A1"/>
    <x v="10"/>
    <x v="3"/>
    <s v="GBPR_WOODWASTE_IND"/>
    <x v="7"/>
    <x v="4"/>
    <n v="1"/>
    <n v="60.8333333333333"/>
    <n v="219"/>
  </r>
  <r>
    <x v="0"/>
    <x v="0"/>
    <x v="0"/>
    <x v="4"/>
    <x v="5"/>
    <s v="LV_A1"/>
    <x v="10"/>
    <x v="3"/>
    <s v="GBPR_WOODWASTE_IND"/>
    <x v="7"/>
    <x v="5"/>
    <n v="1"/>
    <n v="60.8333333333333"/>
    <n v="219"/>
  </r>
  <r>
    <x v="0"/>
    <x v="0"/>
    <x v="0"/>
    <x v="4"/>
    <x v="5"/>
    <s v="LV_A1"/>
    <x v="10"/>
    <x v="3"/>
    <s v="GBPR_WOODWASTE_IND"/>
    <x v="7"/>
    <x v="6"/>
    <n v="1"/>
    <n v="60.8333333333333"/>
    <n v="219"/>
  </r>
  <r>
    <x v="0"/>
    <x v="0"/>
    <x v="0"/>
    <x v="4"/>
    <x v="5"/>
    <s v="LV_A1"/>
    <x v="10"/>
    <x v="3"/>
    <s v="GBPR_WOODWASTE_IND"/>
    <x v="7"/>
    <x v="7"/>
    <n v="1"/>
    <n v="60.8333333333333"/>
    <n v="219"/>
  </r>
  <r>
    <x v="0"/>
    <x v="0"/>
    <x v="0"/>
    <x v="4"/>
    <x v="5"/>
    <s v="LV_A1"/>
    <x v="10"/>
    <x v="3"/>
    <s v="GBPR_WOODWASTE_IND"/>
    <x v="7"/>
    <x v="8"/>
    <n v="1"/>
    <n v="60.8333333333333"/>
    <n v="219"/>
  </r>
  <r>
    <x v="0"/>
    <x v="0"/>
    <x v="0"/>
    <x v="4"/>
    <x v="5"/>
    <s v="LV_A1"/>
    <x v="10"/>
    <x v="3"/>
    <s v="GBPR_WOODWASTE_IND"/>
    <x v="7"/>
    <x v="9"/>
    <n v="1"/>
    <n v="60.8333333333333"/>
    <n v="219"/>
  </r>
  <r>
    <x v="0"/>
    <x v="0"/>
    <x v="0"/>
    <x v="4"/>
    <x v="5"/>
    <s v="LV_A1"/>
    <x v="10"/>
    <x v="3"/>
    <s v="GBPR_WOODWASTE_IND"/>
    <x v="7"/>
    <x v="10"/>
    <n v="1"/>
    <n v="60.8333333333333"/>
    <n v="219"/>
  </r>
  <r>
    <x v="0"/>
    <x v="0"/>
    <x v="0"/>
    <x v="4"/>
    <x v="5"/>
    <s v="LV_A1"/>
    <x v="10"/>
    <x v="3"/>
    <s v="GBPR_WOODWASTE_IND"/>
    <x v="7"/>
    <x v="11"/>
    <n v="1"/>
    <n v="60.8333333333333"/>
    <n v="219"/>
  </r>
  <r>
    <x v="0"/>
    <x v="0"/>
    <x v="0"/>
    <x v="4"/>
    <x v="5"/>
    <s v="LV_A1"/>
    <x v="10"/>
    <x v="3"/>
    <s v="GBPR_WOODWASTE_IND"/>
    <x v="8"/>
    <x v="0"/>
    <n v="1"/>
    <n v="60.8333333333333"/>
    <n v="219"/>
  </r>
  <r>
    <x v="0"/>
    <x v="0"/>
    <x v="0"/>
    <x v="4"/>
    <x v="5"/>
    <s v="LV_A1"/>
    <x v="10"/>
    <x v="3"/>
    <s v="GBPR_WOODWASTE_IND"/>
    <x v="8"/>
    <x v="1"/>
    <n v="1"/>
    <n v="60.8333333333333"/>
    <n v="219"/>
  </r>
  <r>
    <x v="0"/>
    <x v="0"/>
    <x v="0"/>
    <x v="4"/>
    <x v="5"/>
    <s v="LV_A1"/>
    <x v="10"/>
    <x v="3"/>
    <s v="GBPR_WOODWASTE_IND"/>
    <x v="8"/>
    <x v="2"/>
    <n v="1"/>
    <n v="60.8333333333333"/>
    <n v="219"/>
  </r>
  <r>
    <x v="0"/>
    <x v="0"/>
    <x v="0"/>
    <x v="4"/>
    <x v="5"/>
    <s v="LV_A1"/>
    <x v="10"/>
    <x v="3"/>
    <s v="GBPR_WOODWASTE_IND"/>
    <x v="8"/>
    <x v="3"/>
    <n v="1"/>
    <n v="60.8333333333333"/>
    <n v="219"/>
  </r>
  <r>
    <x v="0"/>
    <x v="0"/>
    <x v="0"/>
    <x v="4"/>
    <x v="5"/>
    <s v="LV_A1"/>
    <x v="10"/>
    <x v="3"/>
    <s v="GBPR_WOODWASTE_IND"/>
    <x v="8"/>
    <x v="4"/>
    <n v="1"/>
    <n v="60.8333333333333"/>
    <n v="219"/>
  </r>
  <r>
    <x v="0"/>
    <x v="0"/>
    <x v="0"/>
    <x v="4"/>
    <x v="5"/>
    <s v="LV_A1"/>
    <x v="10"/>
    <x v="3"/>
    <s v="GBPR_WOODWASTE_IND"/>
    <x v="8"/>
    <x v="5"/>
    <n v="1"/>
    <n v="60.8333333333333"/>
    <n v="219"/>
  </r>
  <r>
    <x v="0"/>
    <x v="0"/>
    <x v="0"/>
    <x v="4"/>
    <x v="5"/>
    <s v="LV_A1"/>
    <x v="10"/>
    <x v="3"/>
    <s v="GBPR_WOODWASTE_IND"/>
    <x v="8"/>
    <x v="6"/>
    <n v="1"/>
    <n v="60.8333333333333"/>
    <n v="219"/>
  </r>
  <r>
    <x v="0"/>
    <x v="0"/>
    <x v="0"/>
    <x v="4"/>
    <x v="5"/>
    <s v="LV_A1"/>
    <x v="10"/>
    <x v="3"/>
    <s v="GBPR_WOODWASTE_IND"/>
    <x v="8"/>
    <x v="7"/>
    <n v="1"/>
    <n v="60.8333333333333"/>
    <n v="219"/>
  </r>
  <r>
    <x v="0"/>
    <x v="0"/>
    <x v="0"/>
    <x v="4"/>
    <x v="5"/>
    <s v="LV_A1"/>
    <x v="10"/>
    <x v="3"/>
    <s v="GBPR_WOODWASTE_IND"/>
    <x v="8"/>
    <x v="8"/>
    <n v="1"/>
    <n v="60.8333333333333"/>
    <n v="219"/>
  </r>
  <r>
    <x v="0"/>
    <x v="0"/>
    <x v="0"/>
    <x v="4"/>
    <x v="5"/>
    <s v="LV_A1"/>
    <x v="10"/>
    <x v="3"/>
    <s v="GBPR_WOODWASTE_IND"/>
    <x v="8"/>
    <x v="9"/>
    <n v="1"/>
    <n v="60.8333333333333"/>
    <n v="219"/>
  </r>
  <r>
    <x v="0"/>
    <x v="0"/>
    <x v="0"/>
    <x v="4"/>
    <x v="5"/>
    <s v="LV_A1"/>
    <x v="10"/>
    <x v="3"/>
    <s v="GBPR_WOODWASTE_IND"/>
    <x v="8"/>
    <x v="10"/>
    <n v="1"/>
    <n v="60.8333333333333"/>
    <n v="219"/>
  </r>
  <r>
    <x v="0"/>
    <x v="0"/>
    <x v="0"/>
    <x v="4"/>
    <x v="5"/>
    <s v="LV_A1"/>
    <x v="10"/>
    <x v="3"/>
    <s v="GBPR_WOODWASTE_IND"/>
    <x v="8"/>
    <x v="11"/>
    <n v="1"/>
    <n v="60.8333333333333"/>
    <n v="219"/>
  </r>
  <r>
    <x v="0"/>
    <x v="0"/>
    <x v="0"/>
    <x v="4"/>
    <x v="5"/>
    <s v="LV_A1"/>
    <x v="10"/>
    <x v="3"/>
    <s v="GBPR_WOODWASTE_IND"/>
    <x v="9"/>
    <x v="0"/>
    <n v="1"/>
    <n v="60.8333333333333"/>
    <n v="219"/>
  </r>
  <r>
    <x v="0"/>
    <x v="0"/>
    <x v="0"/>
    <x v="4"/>
    <x v="5"/>
    <s v="LV_A1"/>
    <x v="10"/>
    <x v="3"/>
    <s v="GBPR_WOODWASTE_IND"/>
    <x v="9"/>
    <x v="1"/>
    <n v="1"/>
    <n v="60.8333333333333"/>
    <n v="219"/>
  </r>
  <r>
    <x v="0"/>
    <x v="0"/>
    <x v="0"/>
    <x v="4"/>
    <x v="5"/>
    <s v="LV_A1"/>
    <x v="10"/>
    <x v="3"/>
    <s v="GBPR_WOODWASTE_IND"/>
    <x v="9"/>
    <x v="2"/>
    <n v="1"/>
    <n v="60.8333333333333"/>
    <n v="219"/>
  </r>
  <r>
    <x v="0"/>
    <x v="0"/>
    <x v="0"/>
    <x v="4"/>
    <x v="5"/>
    <s v="LV_A1"/>
    <x v="10"/>
    <x v="3"/>
    <s v="GBPR_WOODWASTE_IND"/>
    <x v="9"/>
    <x v="3"/>
    <n v="1"/>
    <n v="60.8333333333333"/>
    <n v="219"/>
  </r>
  <r>
    <x v="0"/>
    <x v="0"/>
    <x v="0"/>
    <x v="4"/>
    <x v="5"/>
    <s v="LV_A1"/>
    <x v="10"/>
    <x v="3"/>
    <s v="GBPR_WOODWASTE_IND"/>
    <x v="9"/>
    <x v="4"/>
    <n v="1"/>
    <n v="60.8333333333333"/>
    <n v="219"/>
  </r>
  <r>
    <x v="0"/>
    <x v="0"/>
    <x v="0"/>
    <x v="4"/>
    <x v="5"/>
    <s v="LV_A1"/>
    <x v="10"/>
    <x v="3"/>
    <s v="GBPR_WOODWASTE_IND"/>
    <x v="9"/>
    <x v="5"/>
    <n v="1"/>
    <n v="60.8333333333333"/>
    <n v="219"/>
  </r>
  <r>
    <x v="0"/>
    <x v="0"/>
    <x v="0"/>
    <x v="4"/>
    <x v="5"/>
    <s v="LV_A1"/>
    <x v="10"/>
    <x v="3"/>
    <s v="GBPR_WOODWASTE_IND"/>
    <x v="9"/>
    <x v="6"/>
    <n v="1"/>
    <n v="60.8333333333333"/>
    <n v="219"/>
  </r>
  <r>
    <x v="0"/>
    <x v="0"/>
    <x v="0"/>
    <x v="4"/>
    <x v="5"/>
    <s v="LV_A1"/>
    <x v="10"/>
    <x v="3"/>
    <s v="GBPR_WOODWASTE_IND"/>
    <x v="9"/>
    <x v="7"/>
    <n v="1"/>
    <n v="60.8333333333333"/>
    <n v="219"/>
  </r>
  <r>
    <x v="0"/>
    <x v="0"/>
    <x v="0"/>
    <x v="4"/>
    <x v="5"/>
    <s v="LV_A1"/>
    <x v="10"/>
    <x v="3"/>
    <s v="GBPR_WOODWASTE_IND"/>
    <x v="9"/>
    <x v="8"/>
    <n v="1"/>
    <n v="60.8333333333333"/>
    <n v="219"/>
  </r>
  <r>
    <x v="0"/>
    <x v="0"/>
    <x v="0"/>
    <x v="4"/>
    <x v="5"/>
    <s v="LV_A1"/>
    <x v="10"/>
    <x v="3"/>
    <s v="GBPR_WOODWASTE_IND"/>
    <x v="9"/>
    <x v="9"/>
    <n v="1"/>
    <n v="60.8333333333333"/>
    <n v="219"/>
  </r>
  <r>
    <x v="0"/>
    <x v="0"/>
    <x v="0"/>
    <x v="4"/>
    <x v="5"/>
    <s v="LV_A1"/>
    <x v="10"/>
    <x v="3"/>
    <s v="GBPR_WOODWASTE_IND"/>
    <x v="9"/>
    <x v="10"/>
    <n v="1"/>
    <n v="60.8333333333333"/>
    <n v="219"/>
  </r>
  <r>
    <x v="0"/>
    <x v="0"/>
    <x v="0"/>
    <x v="4"/>
    <x v="5"/>
    <s v="LV_A1"/>
    <x v="10"/>
    <x v="3"/>
    <s v="GBPR_WOODWASTE_IND"/>
    <x v="9"/>
    <x v="11"/>
    <n v="1"/>
    <n v="60.8333333333333"/>
    <n v="219"/>
  </r>
  <r>
    <x v="0"/>
    <x v="0"/>
    <x v="0"/>
    <x v="4"/>
    <x v="5"/>
    <s v="LV_A1"/>
    <x v="10"/>
    <x v="3"/>
    <s v="GBPR_WOODWASTE_IND"/>
    <x v="10"/>
    <x v="0"/>
    <n v="1"/>
    <n v="60.8333333333333"/>
    <n v="219"/>
  </r>
  <r>
    <x v="0"/>
    <x v="0"/>
    <x v="0"/>
    <x v="4"/>
    <x v="5"/>
    <s v="LV_A1"/>
    <x v="10"/>
    <x v="3"/>
    <s v="GBPR_WOODWASTE_IND"/>
    <x v="10"/>
    <x v="1"/>
    <n v="1"/>
    <n v="60.8333333333333"/>
    <n v="219"/>
  </r>
  <r>
    <x v="0"/>
    <x v="0"/>
    <x v="0"/>
    <x v="4"/>
    <x v="5"/>
    <s v="LV_A1"/>
    <x v="10"/>
    <x v="3"/>
    <s v="GBPR_WOODWASTE_IND"/>
    <x v="10"/>
    <x v="2"/>
    <n v="1"/>
    <n v="60.8333333333333"/>
    <n v="219"/>
  </r>
  <r>
    <x v="0"/>
    <x v="0"/>
    <x v="0"/>
    <x v="4"/>
    <x v="5"/>
    <s v="LV_A1"/>
    <x v="10"/>
    <x v="3"/>
    <s v="GBPR_WOODWASTE_IND"/>
    <x v="10"/>
    <x v="3"/>
    <n v="1"/>
    <n v="60.8333333333333"/>
    <n v="219"/>
  </r>
  <r>
    <x v="0"/>
    <x v="0"/>
    <x v="0"/>
    <x v="4"/>
    <x v="5"/>
    <s v="LV_A1"/>
    <x v="10"/>
    <x v="3"/>
    <s v="GBPR_WOODWASTE_IND"/>
    <x v="10"/>
    <x v="4"/>
    <n v="1"/>
    <n v="60.8333333333333"/>
    <n v="219"/>
  </r>
  <r>
    <x v="0"/>
    <x v="0"/>
    <x v="0"/>
    <x v="4"/>
    <x v="5"/>
    <s v="LV_A1"/>
    <x v="10"/>
    <x v="3"/>
    <s v="GBPR_WOODWASTE_IND"/>
    <x v="10"/>
    <x v="5"/>
    <n v="1"/>
    <n v="60.8333333333333"/>
    <n v="219"/>
  </r>
  <r>
    <x v="0"/>
    <x v="0"/>
    <x v="0"/>
    <x v="4"/>
    <x v="5"/>
    <s v="LV_A1"/>
    <x v="10"/>
    <x v="3"/>
    <s v="GBPR_WOODWASTE_IND"/>
    <x v="10"/>
    <x v="6"/>
    <n v="1"/>
    <n v="60.8333333333333"/>
    <n v="219"/>
  </r>
  <r>
    <x v="0"/>
    <x v="0"/>
    <x v="0"/>
    <x v="4"/>
    <x v="5"/>
    <s v="LV_A1"/>
    <x v="10"/>
    <x v="3"/>
    <s v="GBPR_WOODWASTE_IND"/>
    <x v="10"/>
    <x v="7"/>
    <n v="1"/>
    <n v="60.8333333333333"/>
    <n v="219"/>
  </r>
  <r>
    <x v="0"/>
    <x v="0"/>
    <x v="0"/>
    <x v="4"/>
    <x v="5"/>
    <s v="LV_A1"/>
    <x v="10"/>
    <x v="3"/>
    <s v="GBPR_WOODWASTE_IND"/>
    <x v="10"/>
    <x v="8"/>
    <n v="1"/>
    <n v="60.8333333333333"/>
    <n v="219"/>
  </r>
  <r>
    <x v="0"/>
    <x v="0"/>
    <x v="0"/>
    <x v="4"/>
    <x v="5"/>
    <s v="LV_A1"/>
    <x v="10"/>
    <x v="3"/>
    <s v="GBPR_WOODWASTE_IND"/>
    <x v="10"/>
    <x v="9"/>
    <n v="1"/>
    <n v="60.8333333333333"/>
    <n v="219"/>
  </r>
  <r>
    <x v="0"/>
    <x v="0"/>
    <x v="0"/>
    <x v="4"/>
    <x v="5"/>
    <s v="LV_A1"/>
    <x v="10"/>
    <x v="3"/>
    <s v="GBPR_WOODWASTE_IND"/>
    <x v="10"/>
    <x v="10"/>
    <n v="1"/>
    <n v="60.8333333333333"/>
    <n v="219"/>
  </r>
  <r>
    <x v="0"/>
    <x v="0"/>
    <x v="0"/>
    <x v="4"/>
    <x v="5"/>
    <s v="LV_A1"/>
    <x v="10"/>
    <x v="3"/>
    <s v="GBPR_WOODWASTE_IND"/>
    <x v="10"/>
    <x v="11"/>
    <n v="1"/>
    <n v="60.8333333333333"/>
    <n v="219"/>
  </r>
  <r>
    <x v="0"/>
    <x v="0"/>
    <x v="0"/>
    <x v="4"/>
    <x v="5"/>
    <s v="LV_A1"/>
    <x v="10"/>
    <x v="3"/>
    <s v="GBPR_WOODWASTE_IND"/>
    <x v="11"/>
    <x v="0"/>
    <n v="1"/>
    <n v="60.8333333333333"/>
    <n v="219"/>
  </r>
  <r>
    <x v="0"/>
    <x v="0"/>
    <x v="0"/>
    <x v="4"/>
    <x v="5"/>
    <s v="LV_A1"/>
    <x v="10"/>
    <x v="3"/>
    <s v="GBPR_WOODWASTE_IND"/>
    <x v="11"/>
    <x v="1"/>
    <n v="1"/>
    <n v="60.8333333333333"/>
    <n v="219"/>
  </r>
  <r>
    <x v="0"/>
    <x v="0"/>
    <x v="0"/>
    <x v="4"/>
    <x v="5"/>
    <s v="LV_A1"/>
    <x v="10"/>
    <x v="3"/>
    <s v="GBPR_WOODWASTE_IND"/>
    <x v="11"/>
    <x v="2"/>
    <n v="1"/>
    <n v="60.8333333333333"/>
    <n v="219"/>
  </r>
  <r>
    <x v="0"/>
    <x v="0"/>
    <x v="0"/>
    <x v="4"/>
    <x v="5"/>
    <s v="LV_A1"/>
    <x v="10"/>
    <x v="3"/>
    <s v="GBPR_WOODWASTE_IND"/>
    <x v="11"/>
    <x v="3"/>
    <n v="1"/>
    <n v="60.8333333333333"/>
    <n v="219"/>
  </r>
  <r>
    <x v="0"/>
    <x v="0"/>
    <x v="0"/>
    <x v="4"/>
    <x v="5"/>
    <s v="LV_A1"/>
    <x v="10"/>
    <x v="3"/>
    <s v="GBPR_WOODWASTE_IND"/>
    <x v="11"/>
    <x v="4"/>
    <n v="1"/>
    <n v="60.8333333333333"/>
    <n v="219"/>
  </r>
  <r>
    <x v="0"/>
    <x v="0"/>
    <x v="0"/>
    <x v="4"/>
    <x v="5"/>
    <s v="LV_A1"/>
    <x v="10"/>
    <x v="3"/>
    <s v="GBPR_WOODWASTE_IND"/>
    <x v="11"/>
    <x v="5"/>
    <n v="1"/>
    <n v="60.8333333333333"/>
    <n v="219"/>
  </r>
  <r>
    <x v="0"/>
    <x v="0"/>
    <x v="0"/>
    <x v="4"/>
    <x v="5"/>
    <s v="LV_A1"/>
    <x v="10"/>
    <x v="3"/>
    <s v="GBPR_WOODWASTE_IND"/>
    <x v="11"/>
    <x v="6"/>
    <n v="1"/>
    <n v="60.8333333333333"/>
    <n v="219"/>
  </r>
  <r>
    <x v="0"/>
    <x v="0"/>
    <x v="0"/>
    <x v="4"/>
    <x v="5"/>
    <s v="LV_A1"/>
    <x v="10"/>
    <x v="3"/>
    <s v="GBPR_WOODWASTE_IND"/>
    <x v="11"/>
    <x v="7"/>
    <n v="1"/>
    <n v="60.8333333333333"/>
    <n v="219"/>
  </r>
  <r>
    <x v="0"/>
    <x v="0"/>
    <x v="0"/>
    <x v="4"/>
    <x v="5"/>
    <s v="LV_A1"/>
    <x v="10"/>
    <x v="3"/>
    <s v="GBPR_WOODWASTE_IND"/>
    <x v="11"/>
    <x v="8"/>
    <n v="1"/>
    <n v="60.8333333333333"/>
    <n v="219"/>
  </r>
  <r>
    <x v="0"/>
    <x v="0"/>
    <x v="0"/>
    <x v="4"/>
    <x v="5"/>
    <s v="LV_A1"/>
    <x v="10"/>
    <x v="3"/>
    <s v="GBPR_WOODWASTE_IND"/>
    <x v="11"/>
    <x v="9"/>
    <n v="1"/>
    <n v="60.8333333333333"/>
    <n v="219"/>
  </r>
  <r>
    <x v="0"/>
    <x v="0"/>
    <x v="0"/>
    <x v="4"/>
    <x v="5"/>
    <s v="LV_A1"/>
    <x v="10"/>
    <x v="3"/>
    <s v="GBPR_WOODWASTE_IND"/>
    <x v="11"/>
    <x v="10"/>
    <n v="1"/>
    <n v="60.8333333333333"/>
    <n v="219"/>
  </r>
  <r>
    <x v="0"/>
    <x v="0"/>
    <x v="0"/>
    <x v="4"/>
    <x v="5"/>
    <s v="LV_A1"/>
    <x v="10"/>
    <x v="3"/>
    <s v="GBPR_WOODWASTE_IND"/>
    <x v="11"/>
    <x v="11"/>
    <n v="1"/>
    <n v="60.8333333333333"/>
    <n v="219"/>
  </r>
  <r>
    <x v="0"/>
    <x v="0"/>
    <x v="0"/>
    <x v="4"/>
    <x v="5"/>
    <s v="LV_A2"/>
    <x v="4"/>
    <x v="3"/>
    <s v="GBPR_WOODCHIPS"/>
    <x v="0"/>
    <x v="0"/>
    <n v="20.796598190353301"/>
    <n v="1265.12638991316"/>
    <n v="4554.4550036873698"/>
  </r>
  <r>
    <x v="0"/>
    <x v="0"/>
    <x v="0"/>
    <x v="4"/>
    <x v="5"/>
    <s v="LV_A2"/>
    <x v="4"/>
    <x v="3"/>
    <s v="GBPR_WOODCHIPS"/>
    <x v="0"/>
    <x v="1"/>
    <n v="17.518127012895199"/>
    <n v="1065.6860599511299"/>
    <n v="3836.4698158240499"/>
  </r>
  <r>
    <x v="0"/>
    <x v="0"/>
    <x v="0"/>
    <x v="4"/>
    <x v="5"/>
    <s v="LV_A2"/>
    <x v="4"/>
    <x v="3"/>
    <s v="GBPR_WOODCHIPS"/>
    <x v="1"/>
    <x v="0"/>
    <n v="14.0362287468628"/>
    <n v="853.87058210082"/>
    <n v="3073.93409556295"/>
  </r>
  <r>
    <x v="0"/>
    <x v="0"/>
    <x v="0"/>
    <x v="4"/>
    <x v="5"/>
    <s v="LV_A2"/>
    <x v="4"/>
    <x v="3"/>
    <s v="GBPR_WOODCHIPS"/>
    <x v="1"/>
    <x v="1"/>
    <n v="3.86047469487466"/>
    <n v="234.84554393820801"/>
    <n v="845.44395817755003"/>
  </r>
  <r>
    <x v="0"/>
    <x v="0"/>
    <x v="0"/>
    <x v="4"/>
    <x v="5"/>
    <s v="LV_A2"/>
    <x v="4"/>
    <x v="3"/>
    <s v="GBPR_WOODCHIPS"/>
    <x v="1"/>
    <x v="4"/>
    <n v="2.5097496318574599"/>
    <n v="152.676435937995"/>
    <n v="549.63516937678401"/>
  </r>
  <r>
    <x v="0"/>
    <x v="0"/>
    <x v="0"/>
    <x v="4"/>
    <x v="5"/>
    <s v="LV_A2"/>
    <x v="4"/>
    <x v="3"/>
    <s v="GBPR_WOODCHIPS"/>
    <x v="1"/>
    <x v="5"/>
    <n v="23"/>
    <n v="1399.1666666666699"/>
    <n v="5037"/>
  </r>
  <r>
    <x v="0"/>
    <x v="0"/>
    <x v="0"/>
    <x v="4"/>
    <x v="5"/>
    <s v="LV_A2"/>
    <x v="4"/>
    <x v="3"/>
    <s v="GBPR_WOODCHIPS"/>
    <x v="1"/>
    <x v="6"/>
    <n v="23"/>
    <n v="1399.1666666666699"/>
    <n v="5037"/>
  </r>
  <r>
    <x v="0"/>
    <x v="0"/>
    <x v="0"/>
    <x v="4"/>
    <x v="5"/>
    <s v="LV_A2"/>
    <x v="4"/>
    <x v="3"/>
    <s v="GBPR_WOODCHIPS"/>
    <x v="1"/>
    <x v="7"/>
    <n v="23"/>
    <n v="1399.1666666666699"/>
    <n v="5037"/>
  </r>
  <r>
    <x v="0"/>
    <x v="0"/>
    <x v="0"/>
    <x v="4"/>
    <x v="5"/>
    <s v="LV_A2"/>
    <x v="4"/>
    <x v="3"/>
    <s v="GBPR_WOODCHIPS"/>
    <x v="1"/>
    <x v="8"/>
    <n v="23"/>
    <n v="1399.1666666666699"/>
    <n v="5037"/>
  </r>
  <r>
    <x v="0"/>
    <x v="0"/>
    <x v="0"/>
    <x v="4"/>
    <x v="5"/>
    <s v="LV_A2"/>
    <x v="4"/>
    <x v="3"/>
    <s v="GBPR_WOODCHIPS"/>
    <x v="1"/>
    <x v="9"/>
    <n v="21.1357783054241"/>
    <n v="1285.7598469133"/>
    <n v="4628.73544888788"/>
  </r>
  <r>
    <x v="0"/>
    <x v="0"/>
    <x v="0"/>
    <x v="4"/>
    <x v="5"/>
    <s v="LV_A2"/>
    <x v="4"/>
    <x v="3"/>
    <s v="GBPR_WOODCHIPS"/>
    <x v="1"/>
    <x v="10"/>
    <n v="16.432912605604599"/>
    <n v="999.66885017428103"/>
    <n v="3598.8078606274098"/>
  </r>
  <r>
    <x v="0"/>
    <x v="0"/>
    <x v="0"/>
    <x v="4"/>
    <x v="5"/>
    <s v="LV_A2"/>
    <x v="4"/>
    <x v="3"/>
    <s v="GBPR_WOODCHIPS"/>
    <x v="1"/>
    <x v="11"/>
    <n v="14.3754088619336"/>
    <n v="874.50403910096202"/>
    <n v="3148.2145407634598"/>
  </r>
  <r>
    <x v="0"/>
    <x v="0"/>
    <x v="0"/>
    <x v="4"/>
    <x v="5"/>
    <s v="LV_A2"/>
    <x v="4"/>
    <x v="3"/>
    <s v="GBPR_WOODCHIPS"/>
    <x v="2"/>
    <x v="5"/>
    <n v="1.83643450020526"/>
    <n v="111.71643209582"/>
    <n v="402.17915554495102"/>
  </r>
  <r>
    <x v="0"/>
    <x v="0"/>
    <x v="0"/>
    <x v="4"/>
    <x v="5"/>
    <s v="LV_A2"/>
    <x v="4"/>
    <x v="3"/>
    <s v="GBPR_WOODCHIPS"/>
    <x v="2"/>
    <x v="6"/>
    <n v="20.2539909867081"/>
    <n v="1232.11778502474"/>
    <n v="4435.62402608907"/>
  </r>
  <r>
    <x v="0"/>
    <x v="0"/>
    <x v="0"/>
    <x v="4"/>
    <x v="5"/>
    <s v="LV_A2"/>
    <x v="4"/>
    <x v="3"/>
    <s v="GBPR_WOODCHIPS"/>
    <x v="2"/>
    <x v="7"/>
    <n v="22.695925854281999"/>
    <n v="1380.6688228021501"/>
    <n v="4970.4077620877597"/>
  </r>
  <r>
    <x v="0"/>
    <x v="0"/>
    <x v="0"/>
    <x v="4"/>
    <x v="5"/>
    <s v="LV_A2"/>
    <x v="4"/>
    <x v="3"/>
    <s v="GBPR_WOODCHIPS"/>
    <x v="2"/>
    <x v="8"/>
    <n v="20.5931711017789"/>
    <n v="1252.75124202488"/>
    <n v="4509.9044712895802"/>
  </r>
  <r>
    <x v="0"/>
    <x v="0"/>
    <x v="0"/>
    <x v="4"/>
    <x v="5"/>
    <s v="LV_A2"/>
    <x v="4"/>
    <x v="3"/>
    <s v="GBPR_WOODCHIPS"/>
    <x v="2"/>
    <x v="9"/>
    <n v="19.372203667991801"/>
    <n v="1178.47572313617"/>
    <n v="4242.5126032902099"/>
  </r>
  <r>
    <x v="0"/>
    <x v="0"/>
    <x v="0"/>
    <x v="4"/>
    <x v="5"/>
    <s v="LV_A2"/>
    <x v="4"/>
    <x v="3"/>
    <s v="GBPR_WOODCHIPS"/>
    <x v="2"/>
    <x v="10"/>
    <n v="19.960061880469301"/>
    <n v="1214.23709772855"/>
    <n v="4371.2535518227796"/>
  </r>
  <r>
    <x v="0"/>
    <x v="0"/>
    <x v="0"/>
    <x v="4"/>
    <x v="5"/>
    <s v="LV_A2"/>
    <x v="4"/>
    <x v="3"/>
    <s v="GBPR_WOODCHIPS"/>
    <x v="2"/>
    <x v="11"/>
    <n v="19.666132774230601"/>
    <n v="1196.35641043236"/>
    <n v="4306.8830775565002"/>
  </r>
  <r>
    <x v="0"/>
    <x v="0"/>
    <x v="0"/>
    <x v="4"/>
    <x v="5"/>
    <s v="LV_A2"/>
    <x v="4"/>
    <x v="3"/>
    <s v="GBPR_WOODCHIPS"/>
    <x v="3"/>
    <x v="4"/>
    <n v="18.399914331611399"/>
    <n v="1119.3281218397001"/>
    <n v="4029.58123862291"/>
  </r>
  <r>
    <x v="0"/>
    <x v="0"/>
    <x v="0"/>
    <x v="4"/>
    <x v="5"/>
    <s v="LV_A2"/>
    <x v="4"/>
    <x v="3"/>
    <s v="GBPR_WOODCHIPS"/>
    <x v="3"/>
    <x v="5"/>
    <n v="18.693843437850202"/>
    <n v="1137.2088091358901"/>
    <n v="4093.9517128891898"/>
  </r>
  <r>
    <x v="0"/>
    <x v="0"/>
    <x v="0"/>
    <x v="4"/>
    <x v="5"/>
    <s v="LV_A2"/>
    <x v="4"/>
    <x v="3"/>
    <s v="GBPR_WOODCHIPS"/>
    <x v="3"/>
    <x v="6"/>
    <n v="21.1357783054241"/>
    <n v="1285.7598469133"/>
    <n v="4628.73544888788"/>
  </r>
  <r>
    <x v="0"/>
    <x v="0"/>
    <x v="0"/>
    <x v="4"/>
    <x v="5"/>
    <s v="LV_A2"/>
    <x v="4"/>
    <x v="3"/>
    <s v="GBPR_WOODCHIPS"/>
    <x v="3"/>
    <x v="7"/>
    <n v="23"/>
    <n v="1399.1666666666699"/>
    <n v="5037"/>
  </r>
  <r>
    <x v="0"/>
    <x v="0"/>
    <x v="0"/>
    <x v="4"/>
    <x v="5"/>
    <s v="LV_A2"/>
    <x v="4"/>
    <x v="3"/>
    <s v="GBPR_WOODCHIPS"/>
    <x v="3"/>
    <x v="8"/>
    <n v="22.356745739211199"/>
    <n v="1360.0353658020099"/>
    <n v="4896.1273168872503"/>
  </r>
  <r>
    <x v="0"/>
    <x v="0"/>
    <x v="0"/>
    <x v="4"/>
    <x v="5"/>
    <s v="LV_A2"/>
    <x v="4"/>
    <x v="3"/>
    <s v="GBPR_WOODCHIPS"/>
    <x v="3"/>
    <x v="9"/>
    <n v="20.841849199185599"/>
    <n v="1267.87915961712"/>
    <n v="4564.3649746216397"/>
  </r>
  <r>
    <x v="0"/>
    <x v="0"/>
    <x v="0"/>
    <x v="4"/>
    <x v="5"/>
    <s v="LV_A2"/>
    <x v="4"/>
    <x v="3"/>
    <s v="GBPR_WOODCHIPS"/>
    <x v="3"/>
    <x v="10"/>
    <n v="20.5479200929468"/>
    <n v="1249.99847232093"/>
    <n v="4499.9945003553503"/>
  </r>
  <r>
    <x v="0"/>
    <x v="0"/>
    <x v="0"/>
    <x v="4"/>
    <x v="5"/>
    <s v="LV_A2"/>
    <x v="4"/>
    <x v="3"/>
    <s v="GBPR_WOODCHIPS"/>
    <x v="3"/>
    <x v="11"/>
    <n v="19.960061880469301"/>
    <n v="1214.23709772855"/>
    <n v="4371.2535518227796"/>
  </r>
  <r>
    <x v="0"/>
    <x v="0"/>
    <x v="0"/>
    <x v="4"/>
    <x v="5"/>
    <s v="LV_A2"/>
    <x v="4"/>
    <x v="3"/>
    <s v="GBPR_WOODCHIPS"/>
    <x v="4"/>
    <x v="5"/>
    <n v="13.109190419314499"/>
    <n v="797.47575050829698"/>
    <n v="2870.91270182987"/>
  </r>
  <r>
    <x v="0"/>
    <x v="0"/>
    <x v="0"/>
    <x v="4"/>
    <x v="5"/>
    <s v="LV_A2"/>
    <x v="4"/>
    <x v="3"/>
    <s v="GBPR_WOODCHIPS"/>
    <x v="4"/>
    <x v="6"/>
    <n v="14.963267074410901"/>
    <n v="910.26541369332904"/>
    <n v="3276.95548929599"/>
  </r>
  <r>
    <x v="0"/>
    <x v="0"/>
    <x v="0"/>
    <x v="4"/>
    <x v="5"/>
    <s v="LV_A2"/>
    <x v="4"/>
    <x v="3"/>
    <s v="GBPR_WOODCHIPS"/>
    <x v="4"/>
    <x v="7"/>
    <n v="16.523414623268799"/>
    <n v="1005.17438958218"/>
    <n v="3618.6278024958601"/>
  </r>
  <r>
    <x v="0"/>
    <x v="0"/>
    <x v="0"/>
    <x v="4"/>
    <x v="5"/>
    <s v="LV_A2"/>
    <x v="4"/>
    <x v="3"/>
    <s v="GBPR_WOODCHIPS"/>
    <x v="4"/>
    <x v="8"/>
    <n v="14.7145889770044"/>
    <n v="895.13749610110301"/>
    <n v="3222.4949859639701"/>
  </r>
  <r>
    <x v="0"/>
    <x v="0"/>
    <x v="0"/>
    <x v="4"/>
    <x v="5"/>
    <s v="LV_A2"/>
    <x v="4"/>
    <x v="3"/>
    <s v="GBPR_WOODCHIPS"/>
    <x v="4"/>
    <x v="9"/>
    <n v="13.1996924369786"/>
    <n v="802.98128991620104"/>
    <n v="2890.7326436983199"/>
  </r>
  <r>
    <x v="0"/>
    <x v="0"/>
    <x v="0"/>
    <x v="4"/>
    <x v="5"/>
    <s v="LV_A2"/>
    <x v="4"/>
    <x v="3"/>
    <s v="GBPR_WOODCHIPS"/>
    <x v="4"/>
    <x v="10"/>
    <n v="12.6118342245011"/>
    <n v="767.21991532382003"/>
    <n v="2761.9916951657501"/>
  </r>
  <r>
    <x v="0"/>
    <x v="0"/>
    <x v="0"/>
    <x v="4"/>
    <x v="5"/>
    <s v="LV_A2"/>
    <x v="4"/>
    <x v="3"/>
    <s v="GBPR_WOODCHIPS"/>
    <x v="4"/>
    <x v="11"/>
    <n v="12.3179051182624"/>
    <n v="749.33922802763004"/>
    <n v="2697.6212208994698"/>
  </r>
  <r>
    <x v="0"/>
    <x v="0"/>
    <x v="0"/>
    <x v="4"/>
    <x v="5"/>
    <s v="LV_A2"/>
    <x v="4"/>
    <x v="3"/>
    <s v="GBPR_WOODCHIPS"/>
    <x v="5"/>
    <x v="6"/>
    <n v="7.9089685246816597"/>
    <n v="481.128918584801"/>
    <n v="1732.0641069052799"/>
  </r>
  <r>
    <x v="0"/>
    <x v="0"/>
    <x v="0"/>
    <x v="4"/>
    <x v="5"/>
    <s v="LV_A2"/>
    <x v="4"/>
    <x v="3"/>
    <s v="GBPR_WOODCHIPS"/>
    <x v="5"/>
    <x v="7"/>
    <n v="11.8205489234493"/>
    <n v="719.08339284316503"/>
    <n v="2588.7002142353999"/>
  </r>
  <r>
    <x v="0"/>
    <x v="0"/>
    <x v="0"/>
    <x v="4"/>
    <x v="5"/>
    <s v="LV_A2"/>
    <x v="4"/>
    <x v="3"/>
    <s v="GBPR_WOODCHIPS"/>
    <x v="5"/>
    <x v="8"/>
    <n v="10.305652383423499"/>
    <n v="626.92718665826203"/>
    <n v="2256.9378719697402"/>
  </r>
  <r>
    <x v="0"/>
    <x v="0"/>
    <x v="0"/>
    <x v="4"/>
    <x v="5"/>
    <s v="LV_A2"/>
    <x v="4"/>
    <x v="3"/>
    <s v="GBPR_WOODCHIPS"/>
    <x v="5"/>
    <x v="9"/>
    <n v="9.6725431621139109"/>
    <n v="588.41304236193002"/>
    <n v="2118.28695250295"/>
  </r>
  <r>
    <x v="0"/>
    <x v="0"/>
    <x v="0"/>
    <x v="4"/>
    <x v="5"/>
    <s v="LV_A2"/>
    <x v="4"/>
    <x v="3"/>
    <s v="GBPR_WOODCHIPS"/>
    <x v="5"/>
    <x v="10"/>
    <n v="9.3786140558751701"/>
    <n v="570.53235506574003"/>
    <n v="2053.9164782366602"/>
  </r>
  <r>
    <x v="0"/>
    <x v="0"/>
    <x v="0"/>
    <x v="4"/>
    <x v="5"/>
    <s v="LV_A2"/>
    <x v="4"/>
    <x v="3"/>
    <s v="GBPR_WOODCHIPS"/>
    <x v="5"/>
    <x v="11"/>
    <n v="9.0846849496364293"/>
    <n v="552.65166776954902"/>
    <n v="1989.5460039703801"/>
  </r>
  <r>
    <x v="0"/>
    <x v="0"/>
    <x v="0"/>
    <x v="4"/>
    <x v="5"/>
    <s v="LV_A2"/>
    <x v="4"/>
    <x v="3"/>
    <s v="GBPR_WOODCHIPS"/>
    <x v="6"/>
    <x v="5"/>
    <n v="23"/>
    <n v="1399.1666666666699"/>
    <n v="5037"/>
  </r>
  <r>
    <x v="0"/>
    <x v="0"/>
    <x v="0"/>
    <x v="4"/>
    <x v="5"/>
    <s v="LV_A2"/>
    <x v="4"/>
    <x v="3"/>
    <s v="GBPR_WOODCHIPS"/>
    <x v="6"/>
    <x v="6"/>
    <n v="23"/>
    <n v="1399.1666666666699"/>
    <n v="5037"/>
  </r>
  <r>
    <x v="0"/>
    <x v="0"/>
    <x v="0"/>
    <x v="4"/>
    <x v="5"/>
    <s v="LV_A2"/>
    <x v="4"/>
    <x v="3"/>
    <s v="GBPR_WOODCHIPS"/>
    <x v="6"/>
    <x v="7"/>
    <n v="23"/>
    <n v="1399.1666666666699"/>
    <n v="5037"/>
  </r>
  <r>
    <x v="0"/>
    <x v="0"/>
    <x v="0"/>
    <x v="4"/>
    <x v="5"/>
    <s v="LV_A2"/>
    <x v="4"/>
    <x v="3"/>
    <s v="GBPR_WOODCHIPS"/>
    <x v="6"/>
    <x v="8"/>
    <n v="23"/>
    <n v="1399.1666666666699"/>
    <n v="5037"/>
  </r>
  <r>
    <x v="0"/>
    <x v="0"/>
    <x v="0"/>
    <x v="4"/>
    <x v="5"/>
    <s v="LV_A2"/>
    <x v="4"/>
    <x v="3"/>
    <s v="GBPR_WOODCHIPS"/>
    <x v="6"/>
    <x v="9"/>
    <n v="23"/>
    <n v="1399.1666666666699"/>
    <n v="5037"/>
  </r>
  <r>
    <x v="0"/>
    <x v="0"/>
    <x v="0"/>
    <x v="4"/>
    <x v="5"/>
    <s v="LV_A2"/>
    <x v="4"/>
    <x v="3"/>
    <s v="GBPR_WOODCHIPS"/>
    <x v="6"/>
    <x v="10"/>
    <n v="23"/>
    <n v="1399.1666666666699"/>
    <n v="5037"/>
  </r>
  <r>
    <x v="0"/>
    <x v="0"/>
    <x v="0"/>
    <x v="4"/>
    <x v="5"/>
    <s v="LV_A2"/>
    <x v="4"/>
    <x v="3"/>
    <s v="GBPR_WOODCHIPS"/>
    <x v="6"/>
    <x v="11"/>
    <n v="23"/>
    <n v="1399.1666666666699"/>
    <n v="5037"/>
  </r>
  <r>
    <x v="0"/>
    <x v="0"/>
    <x v="0"/>
    <x v="4"/>
    <x v="5"/>
    <s v="LV_A2"/>
    <x v="4"/>
    <x v="3"/>
    <s v="GBPR_WOODCHIPS"/>
    <x v="7"/>
    <x v="5"/>
    <n v="23"/>
    <n v="1399.1666666666699"/>
    <n v="5037"/>
  </r>
  <r>
    <x v="0"/>
    <x v="0"/>
    <x v="0"/>
    <x v="4"/>
    <x v="5"/>
    <s v="LV_A2"/>
    <x v="4"/>
    <x v="3"/>
    <s v="GBPR_WOODCHIPS"/>
    <x v="7"/>
    <x v="6"/>
    <n v="23"/>
    <n v="1399.1666666666699"/>
    <n v="5037"/>
  </r>
  <r>
    <x v="0"/>
    <x v="0"/>
    <x v="0"/>
    <x v="4"/>
    <x v="5"/>
    <s v="LV_A2"/>
    <x v="4"/>
    <x v="3"/>
    <s v="GBPR_WOODCHIPS"/>
    <x v="7"/>
    <x v="7"/>
    <n v="23"/>
    <n v="1399.1666666666699"/>
    <n v="5037"/>
  </r>
  <r>
    <x v="0"/>
    <x v="0"/>
    <x v="0"/>
    <x v="4"/>
    <x v="5"/>
    <s v="LV_A2"/>
    <x v="4"/>
    <x v="3"/>
    <s v="GBPR_WOODCHIPS"/>
    <x v="7"/>
    <x v="8"/>
    <n v="23"/>
    <n v="1399.1666666666699"/>
    <n v="5037"/>
  </r>
  <r>
    <x v="0"/>
    <x v="0"/>
    <x v="0"/>
    <x v="4"/>
    <x v="5"/>
    <s v="LV_A2"/>
    <x v="4"/>
    <x v="3"/>
    <s v="GBPR_WOODCHIPS"/>
    <x v="7"/>
    <x v="9"/>
    <n v="23"/>
    <n v="1399.1666666666699"/>
    <n v="5037"/>
  </r>
  <r>
    <x v="0"/>
    <x v="0"/>
    <x v="0"/>
    <x v="4"/>
    <x v="5"/>
    <s v="LV_A2"/>
    <x v="4"/>
    <x v="3"/>
    <s v="GBPR_WOODCHIPS"/>
    <x v="7"/>
    <x v="10"/>
    <n v="23"/>
    <n v="1399.1666666666699"/>
    <n v="5037"/>
  </r>
  <r>
    <x v="0"/>
    <x v="0"/>
    <x v="0"/>
    <x v="4"/>
    <x v="5"/>
    <s v="LV_A2"/>
    <x v="4"/>
    <x v="3"/>
    <s v="GBPR_WOODCHIPS"/>
    <x v="7"/>
    <x v="11"/>
    <n v="23"/>
    <n v="1399.1666666666699"/>
    <n v="5037"/>
  </r>
  <r>
    <x v="0"/>
    <x v="0"/>
    <x v="0"/>
    <x v="4"/>
    <x v="5"/>
    <s v="LV_A2"/>
    <x v="4"/>
    <x v="3"/>
    <s v="GBPR_WOODCHIPS"/>
    <x v="8"/>
    <x v="0"/>
    <n v="23"/>
    <n v="1399.1666666666699"/>
    <n v="5037"/>
  </r>
  <r>
    <x v="0"/>
    <x v="0"/>
    <x v="0"/>
    <x v="4"/>
    <x v="5"/>
    <s v="LV_A2"/>
    <x v="4"/>
    <x v="3"/>
    <s v="GBPR_WOODCHIPS"/>
    <x v="8"/>
    <x v="2"/>
    <n v="23"/>
    <n v="1399.1666666666699"/>
    <n v="5037"/>
  </r>
  <r>
    <x v="0"/>
    <x v="0"/>
    <x v="0"/>
    <x v="4"/>
    <x v="5"/>
    <s v="LV_A2"/>
    <x v="4"/>
    <x v="3"/>
    <s v="GBPR_WOODCHIPS"/>
    <x v="8"/>
    <x v="3"/>
    <n v="23"/>
    <n v="1399.1666666666699"/>
    <n v="5037"/>
  </r>
  <r>
    <x v="0"/>
    <x v="0"/>
    <x v="0"/>
    <x v="4"/>
    <x v="5"/>
    <s v="LV_A2"/>
    <x v="4"/>
    <x v="3"/>
    <s v="GBPR_WOODCHIPS"/>
    <x v="8"/>
    <x v="4"/>
    <n v="23"/>
    <n v="1399.1666666666699"/>
    <n v="5037"/>
  </r>
  <r>
    <x v="0"/>
    <x v="0"/>
    <x v="0"/>
    <x v="4"/>
    <x v="5"/>
    <s v="LV_A2"/>
    <x v="4"/>
    <x v="3"/>
    <s v="GBPR_WOODCHIPS"/>
    <x v="8"/>
    <x v="5"/>
    <n v="23"/>
    <n v="1399.1666666666699"/>
    <n v="5037"/>
  </r>
  <r>
    <x v="0"/>
    <x v="0"/>
    <x v="0"/>
    <x v="4"/>
    <x v="5"/>
    <s v="LV_A2"/>
    <x v="4"/>
    <x v="3"/>
    <s v="GBPR_WOODCHIPS"/>
    <x v="8"/>
    <x v="6"/>
    <n v="23"/>
    <n v="1399.1666666666699"/>
    <n v="5037"/>
  </r>
  <r>
    <x v="0"/>
    <x v="0"/>
    <x v="0"/>
    <x v="4"/>
    <x v="5"/>
    <s v="LV_A2"/>
    <x v="4"/>
    <x v="3"/>
    <s v="GBPR_WOODCHIPS"/>
    <x v="8"/>
    <x v="7"/>
    <n v="23"/>
    <n v="1399.1666666666699"/>
    <n v="5037"/>
  </r>
  <r>
    <x v="0"/>
    <x v="0"/>
    <x v="0"/>
    <x v="4"/>
    <x v="5"/>
    <s v="LV_A2"/>
    <x v="4"/>
    <x v="3"/>
    <s v="GBPR_WOODCHIPS"/>
    <x v="8"/>
    <x v="8"/>
    <n v="23"/>
    <n v="1399.1666666666699"/>
    <n v="5037"/>
  </r>
  <r>
    <x v="0"/>
    <x v="0"/>
    <x v="0"/>
    <x v="4"/>
    <x v="5"/>
    <s v="LV_A2"/>
    <x v="4"/>
    <x v="3"/>
    <s v="GBPR_WOODCHIPS"/>
    <x v="8"/>
    <x v="9"/>
    <n v="23"/>
    <n v="1399.1666666666699"/>
    <n v="5037"/>
  </r>
  <r>
    <x v="0"/>
    <x v="0"/>
    <x v="0"/>
    <x v="4"/>
    <x v="5"/>
    <s v="LV_A2"/>
    <x v="4"/>
    <x v="3"/>
    <s v="GBPR_WOODCHIPS"/>
    <x v="8"/>
    <x v="10"/>
    <n v="23"/>
    <n v="1399.1666666666699"/>
    <n v="5037"/>
  </r>
  <r>
    <x v="0"/>
    <x v="0"/>
    <x v="0"/>
    <x v="4"/>
    <x v="5"/>
    <s v="LV_A2"/>
    <x v="4"/>
    <x v="3"/>
    <s v="GBPR_WOODCHIPS"/>
    <x v="8"/>
    <x v="11"/>
    <n v="23"/>
    <n v="1399.1666666666699"/>
    <n v="5037"/>
  </r>
  <r>
    <x v="0"/>
    <x v="0"/>
    <x v="0"/>
    <x v="4"/>
    <x v="5"/>
    <s v="LV_A2"/>
    <x v="4"/>
    <x v="3"/>
    <s v="GBPR_WOODCHIPS"/>
    <x v="9"/>
    <x v="0"/>
    <n v="11.978725003191601"/>
    <n v="728.70577102748803"/>
    <n v="2623.34077569896"/>
  </r>
  <r>
    <x v="0"/>
    <x v="0"/>
    <x v="0"/>
    <x v="4"/>
    <x v="5"/>
    <s v="LV_A2"/>
    <x v="4"/>
    <x v="3"/>
    <s v="GBPR_WOODCHIPS"/>
    <x v="9"/>
    <x v="1"/>
    <n v="9.5820411444497608"/>
    <n v="582.907502954027"/>
    <n v="2098.4670106345002"/>
  </r>
  <r>
    <x v="0"/>
    <x v="0"/>
    <x v="0"/>
    <x v="4"/>
    <x v="5"/>
    <s v="LV_A2"/>
    <x v="4"/>
    <x v="3"/>
    <s v="GBPR_WOODCHIPS"/>
    <x v="9"/>
    <x v="2"/>
    <n v="8.7002538257335207"/>
    <n v="529.265441065456"/>
    <n v="1905.3555878356401"/>
  </r>
  <r>
    <x v="0"/>
    <x v="0"/>
    <x v="0"/>
    <x v="4"/>
    <x v="5"/>
    <s v="LV_A2"/>
    <x v="4"/>
    <x v="3"/>
    <s v="GBPR_WOODCHIPS"/>
    <x v="9"/>
    <x v="3"/>
    <n v="7.5245374007787502"/>
    <n v="457.74269188070701"/>
    <n v="1647.87369077055"/>
  </r>
  <r>
    <x v="0"/>
    <x v="0"/>
    <x v="0"/>
    <x v="4"/>
    <x v="5"/>
    <s v="LV_A2"/>
    <x v="4"/>
    <x v="3"/>
    <s v="GBPR_WOODCHIPS"/>
    <x v="9"/>
    <x v="4"/>
    <n v="6.6427500820625198"/>
    <n v="404.10062999213699"/>
    <n v="1454.7622679716901"/>
  </r>
  <r>
    <x v="0"/>
    <x v="0"/>
    <x v="0"/>
    <x v="4"/>
    <x v="5"/>
    <s v="LV_A2"/>
    <x v="4"/>
    <x v="3"/>
    <s v="GBPR_WOODCHIPS"/>
    <x v="9"/>
    <x v="5"/>
    <n v="6.6427500820625198"/>
    <n v="404.10062999213699"/>
    <n v="1454.7622679716901"/>
  </r>
  <r>
    <x v="0"/>
    <x v="0"/>
    <x v="0"/>
    <x v="4"/>
    <x v="5"/>
    <s v="LV_A2"/>
    <x v="4"/>
    <x v="3"/>
    <s v="GBPR_WOODCHIPS"/>
    <x v="9"/>
    <x v="6"/>
    <n v="11.142188693307601"/>
    <n v="677.816478842881"/>
    <n v="2440.1393238343699"/>
  </r>
  <r>
    <x v="0"/>
    <x v="0"/>
    <x v="0"/>
    <x v="4"/>
    <x v="5"/>
    <s v="LV_A2"/>
    <x v="4"/>
    <x v="3"/>
    <s v="GBPR_WOODCHIPS"/>
    <x v="9"/>
    <x v="7"/>
    <n v="14.4659108795978"/>
    <n v="880.00957850886505"/>
    <n v="3168.0344826319101"/>
  </r>
  <r>
    <x v="0"/>
    <x v="0"/>
    <x v="0"/>
    <x v="4"/>
    <x v="5"/>
    <s v="LV_A2"/>
    <x v="4"/>
    <x v="3"/>
    <s v="GBPR_WOODCHIPS"/>
    <x v="9"/>
    <x v="8"/>
    <n v="12.6570852333332"/>
    <n v="769.97268502777194"/>
    <n v="2771.90166609998"/>
  </r>
  <r>
    <x v="0"/>
    <x v="0"/>
    <x v="0"/>
    <x v="4"/>
    <x v="5"/>
    <s v="LV_A2"/>
    <x v="4"/>
    <x v="3"/>
    <s v="GBPR_WOODCHIPS"/>
    <x v="9"/>
    <x v="9"/>
    <n v="9.3786140558751701"/>
    <n v="570.53235506574003"/>
    <n v="2053.9164782366602"/>
  </r>
  <r>
    <x v="0"/>
    <x v="0"/>
    <x v="0"/>
    <x v="4"/>
    <x v="5"/>
    <s v="LV_A2"/>
    <x v="4"/>
    <x v="3"/>
    <s v="GBPR_WOODCHIPS"/>
    <x v="9"/>
    <x v="10"/>
    <n v="7.3211103122041701"/>
    <n v="445.36754399242"/>
    <n v="1603.3231583727099"/>
  </r>
  <r>
    <x v="0"/>
    <x v="0"/>
    <x v="0"/>
    <x v="4"/>
    <x v="5"/>
    <s v="LV_A2"/>
    <x v="4"/>
    <x v="3"/>
    <s v="GBPR_WOODCHIPS"/>
    <x v="9"/>
    <x v="11"/>
    <n v="6.14539388724919"/>
    <n v="373.84479480765901"/>
    <n v="1345.84126130757"/>
  </r>
  <r>
    <x v="0"/>
    <x v="0"/>
    <x v="0"/>
    <x v="4"/>
    <x v="5"/>
    <s v="LV_A2"/>
    <x v="4"/>
    <x v="3"/>
    <s v="GBPR_WOODCHIPS"/>
    <x v="10"/>
    <x v="2"/>
    <n v="6.9366791883012597"/>
    <n v="421.98131728832698"/>
    <n v="1519.13274223798"/>
  </r>
  <r>
    <x v="0"/>
    <x v="0"/>
    <x v="0"/>
    <x v="4"/>
    <x v="5"/>
    <s v="LV_A2"/>
    <x v="4"/>
    <x v="3"/>
    <s v="GBPR_WOODCHIPS"/>
    <x v="10"/>
    <x v="3"/>
    <n v="5.7609627633462903"/>
    <n v="350.45856810356599"/>
    <n v="1261.65084517284"/>
  </r>
  <r>
    <x v="0"/>
    <x v="0"/>
    <x v="0"/>
    <x v="4"/>
    <x v="5"/>
    <s v="LV_A2"/>
    <x v="4"/>
    <x v="3"/>
    <s v="GBPR_WOODCHIPS"/>
    <x v="10"/>
    <x v="4"/>
    <n v="9.2881120382110094"/>
    <n v="565.02681565783701"/>
    <n v="2034.0965363682101"/>
  </r>
  <r>
    <x v="0"/>
    <x v="0"/>
    <x v="0"/>
    <x v="4"/>
    <x v="5"/>
    <s v="LV_A2"/>
    <x v="4"/>
    <x v="3"/>
    <s v="GBPR_WOODCHIPS"/>
    <x v="10"/>
    <x v="5"/>
    <n v="7.8184665070172903"/>
    <n v="475.62337917688501"/>
    <n v="1712.24416503679"/>
  </r>
  <r>
    <x v="0"/>
    <x v="0"/>
    <x v="0"/>
    <x v="4"/>
    <x v="5"/>
    <s v="LV_A2"/>
    <x v="4"/>
    <x v="3"/>
    <s v="GBPR_WOODCHIPS"/>
    <x v="10"/>
    <x v="6"/>
    <n v="9.3786140558751701"/>
    <n v="570.53235506574003"/>
    <n v="2053.9164782366602"/>
  </r>
  <r>
    <x v="0"/>
    <x v="0"/>
    <x v="0"/>
    <x v="4"/>
    <x v="5"/>
    <s v="LV_A2"/>
    <x v="4"/>
    <x v="3"/>
    <s v="GBPR_WOODCHIPS"/>
    <x v="10"/>
    <x v="7"/>
    <n v="11.8205489234493"/>
    <n v="719.08339284316503"/>
    <n v="2588.7002142353999"/>
  </r>
  <r>
    <x v="0"/>
    <x v="0"/>
    <x v="0"/>
    <x v="4"/>
    <x v="5"/>
    <s v="LV_A2"/>
    <x v="4"/>
    <x v="3"/>
    <s v="GBPR_WOODCHIPS"/>
    <x v="10"/>
    <x v="8"/>
    <n v="9.1299359584687192"/>
    <n v="555.40443747351401"/>
    <n v="1999.45597490465"/>
  </r>
  <r>
    <x v="0"/>
    <x v="0"/>
    <x v="0"/>
    <x v="4"/>
    <x v="5"/>
    <s v="LV_A2"/>
    <x v="4"/>
    <x v="3"/>
    <s v="GBPR_WOODCHIPS"/>
    <x v="10"/>
    <x v="9"/>
    <n v="7.0271812059654302"/>
    <n v="427.48685669623001"/>
    <n v="1538.9526841064301"/>
  </r>
  <r>
    <x v="0"/>
    <x v="0"/>
    <x v="0"/>
    <x v="4"/>
    <x v="5"/>
    <s v="LV_A2"/>
    <x v="4"/>
    <x v="3"/>
    <s v="GBPR_WOODCHIPS"/>
    <x v="10"/>
    <x v="10"/>
    <n v="5.2636065685331701"/>
    <n v="320.20273291910098"/>
    <n v="1152.7298385087599"/>
  </r>
  <r>
    <x v="0"/>
    <x v="0"/>
    <x v="0"/>
    <x v="4"/>
    <x v="5"/>
    <s v="LV_A2"/>
    <x v="4"/>
    <x v="3"/>
    <s v="GBPR_WOODCHIPS"/>
    <x v="10"/>
    <x v="11"/>
    <n v="4.9696774622944302"/>
    <n v="302.32204562291099"/>
    <n v="1088.3593642424801"/>
  </r>
  <r>
    <x v="0"/>
    <x v="0"/>
    <x v="0"/>
    <x v="4"/>
    <x v="5"/>
    <s v="LV_A2"/>
    <x v="4"/>
    <x v="3"/>
    <s v="GBPR_WOODCHIPS"/>
    <x v="11"/>
    <x v="6"/>
    <n v="12.6118342245011"/>
    <n v="767.21991532382003"/>
    <n v="2761.9916951657501"/>
  </r>
  <r>
    <x v="0"/>
    <x v="0"/>
    <x v="0"/>
    <x v="4"/>
    <x v="5"/>
    <s v="LV_A2"/>
    <x v="4"/>
    <x v="3"/>
    <s v="GBPR_WOODCHIPS"/>
    <x v="11"/>
    <x v="7"/>
    <n v="15.053769092075299"/>
    <n v="915.77095310124503"/>
    <n v="3296.7754311644799"/>
  </r>
  <r>
    <x v="0"/>
    <x v="0"/>
    <x v="0"/>
    <x v="4"/>
    <x v="5"/>
    <s v="LV_A2"/>
    <x v="4"/>
    <x v="3"/>
    <s v="GBPR_WOODCHIPS"/>
    <x v="11"/>
    <x v="8"/>
    <n v="13.2449434458107"/>
    <n v="805.73405962015204"/>
    <n v="2900.6426146325498"/>
  </r>
  <r>
    <x v="0"/>
    <x v="0"/>
    <x v="0"/>
    <x v="4"/>
    <x v="5"/>
    <s v="LV_A2"/>
    <x v="4"/>
    <x v="3"/>
    <s v="GBPR_WOODCHIPS"/>
    <x v="11"/>
    <x v="9"/>
    <n v="11.142188693307601"/>
    <n v="677.816478842881"/>
    <n v="2440.1393238343699"/>
  </r>
  <r>
    <x v="0"/>
    <x v="0"/>
    <x v="0"/>
    <x v="4"/>
    <x v="5"/>
    <s v="LV_A2"/>
    <x v="4"/>
    <x v="3"/>
    <s v="GBPR_WOODCHIPS"/>
    <x v="11"/>
    <x v="10"/>
    <n v="10.848259587068901"/>
    <n v="659.93579154669101"/>
    <n v="2375.76884956809"/>
  </r>
  <r>
    <x v="0"/>
    <x v="0"/>
    <x v="0"/>
    <x v="4"/>
    <x v="5"/>
    <s v="LV_A2"/>
    <x v="4"/>
    <x v="3"/>
    <s v="GBPR_WOODCHIPS"/>
    <x v="11"/>
    <x v="11"/>
    <n v="9.9664722683526605"/>
    <n v="606.29372965812001"/>
    <n v="2182.6574267692299"/>
  </r>
  <r>
    <x v="0"/>
    <x v="0"/>
    <x v="0"/>
    <x v="4"/>
    <x v="5"/>
    <s v="LV_A2"/>
    <x v="10"/>
    <x v="3"/>
    <s v="GBPR_WOODWASTE"/>
    <x v="0"/>
    <x v="0"/>
    <n v="9"/>
    <n v="547.5"/>
    <n v="1971"/>
  </r>
  <r>
    <x v="0"/>
    <x v="0"/>
    <x v="0"/>
    <x v="4"/>
    <x v="5"/>
    <s v="LV_A2"/>
    <x v="10"/>
    <x v="3"/>
    <s v="GBPR_WOODWASTE"/>
    <x v="0"/>
    <x v="1"/>
    <n v="9"/>
    <n v="547.5"/>
    <n v="1971"/>
  </r>
  <r>
    <x v="0"/>
    <x v="0"/>
    <x v="0"/>
    <x v="4"/>
    <x v="5"/>
    <s v="LV_A2"/>
    <x v="10"/>
    <x v="3"/>
    <s v="GBPR_WOODWASTE"/>
    <x v="0"/>
    <x v="2"/>
    <n v="9"/>
    <n v="547.5"/>
    <n v="1971"/>
  </r>
  <r>
    <x v="0"/>
    <x v="0"/>
    <x v="0"/>
    <x v="4"/>
    <x v="5"/>
    <s v="LV_A2"/>
    <x v="10"/>
    <x v="3"/>
    <s v="GBPR_WOODWASTE"/>
    <x v="1"/>
    <x v="0"/>
    <n v="9"/>
    <n v="547.5"/>
    <n v="1971"/>
  </r>
  <r>
    <x v="0"/>
    <x v="0"/>
    <x v="0"/>
    <x v="4"/>
    <x v="5"/>
    <s v="LV_A2"/>
    <x v="10"/>
    <x v="3"/>
    <s v="GBPR_WOODWASTE"/>
    <x v="1"/>
    <x v="1"/>
    <n v="9"/>
    <n v="547.5"/>
    <n v="1971"/>
  </r>
  <r>
    <x v="0"/>
    <x v="0"/>
    <x v="0"/>
    <x v="4"/>
    <x v="5"/>
    <s v="LV_A2"/>
    <x v="10"/>
    <x v="3"/>
    <s v="GBPR_WOODWASTE"/>
    <x v="1"/>
    <x v="2"/>
    <n v="9"/>
    <n v="547.5"/>
    <n v="1971"/>
  </r>
  <r>
    <x v="0"/>
    <x v="0"/>
    <x v="0"/>
    <x v="4"/>
    <x v="5"/>
    <s v="LV_A2"/>
    <x v="10"/>
    <x v="3"/>
    <s v="GBPR_WOODWASTE"/>
    <x v="1"/>
    <x v="3"/>
    <n v="9"/>
    <n v="547.5"/>
    <n v="1971"/>
  </r>
  <r>
    <x v="0"/>
    <x v="0"/>
    <x v="0"/>
    <x v="4"/>
    <x v="5"/>
    <s v="LV_A2"/>
    <x v="10"/>
    <x v="3"/>
    <s v="GBPR_WOODWASTE"/>
    <x v="1"/>
    <x v="4"/>
    <n v="9"/>
    <n v="547.5"/>
    <n v="1971"/>
  </r>
  <r>
    <x v="0"/>
    <x v="0"/>
    <x v="0"/>
    <x v="4"/>
    <x v="5"/>
    <s v="LV_A2"/>
    <x v="10"/>
    <x v="3"/>
    <s v="GBPR_WOODWASTE"/>
    <x v="1"/>
    <x v="5"/>
    <n v="9"/>
    <n v="547.5"/>
    <n v="1971"/>
  </r>
  <r>
    <x v="0"/>
    <x v="0"/>
    <x v="0"/>
    <x v="4"/>
    <x v="5"/>
    <s v="LV_A2"/>
    <x v="10"/>
    <x v="3"/>
    <s v="GBPR_WOODWASTE"/>
    <x v="1"/>
    <x v="6"/>
    <n v="9"/>
    <n v="547.5"/>
    <n v="1971"/>
  </r>
  <r>
    <x v="0"/>
    <x v="0"/>
    <x v="0"/>
    <x v="4"/>
    <x v="5"/>
    <s v="LV_A2"/>
    <x v="10"/>
    <x v="3"/>
    <s v="GBPR_WOODWASTE"/>
    <x v="1"/>
    <x v="7"/>
    <n v="9"/>
    <n v="547.5"/>
    <n v="1971"/>
  </r>
  <r>
    <x v="0"/>
    <x v="0"/>
    <x v="0"/>
    <x v="4"/>
    <x v="5"/>
    <s v="LV_A2"/>
    <x v="10"/>
    <x v="3"/>
    <s v="GBPR_WOODWASTE"/>
    <x v="1"/>
    <x v="8"/>
    <n v="9"/>
    <n v="547.5"/>
    <n v="1971"/>
  </r>
  <r>
    <x v="0"/>
    <x v="0"/>
    <x v="0"/>
    <x v="4"/>
    <x v="5"/>
    <s v="LV_A2"/>
    <x v="10"/>
    <x v="3"/>
    <s v="GBPR_WOODWASTE"/>
    <x v="1"/>
    <x v="9"/>
    <n v="9"/>
    <n v="547.5"/>
    <n v="1971"/>
  </r>
  <r>
    <x v="0"/>
    <x v="0"/>
    <x v="0"/>
    <x v="4"/>
    <x v="5"/>
    <s v="LV_A2"/>
    <x v="10"/>
    <x v="3"/>
    <s v="GBPR_WOODWASTE"/>
    <x v="1"/>
    <x v="10"/>
    <n v="9"/>
    <n v="547.5"/>
    <n v="1971"/>
  </r>
  <r>
    <x v="0"/>
    <x v="0"/>
    <x v="0"/>
    <x v="4"/>
    <x v="5"/>
    <s v="LV_A2"/>
    <x v="10"/>
    <x v="3"/>
    <s v="GBPR_WOODWASTE"/>
    <x v="1"/>
    <x v="11"/>
    <n v="9"/>
    <n v="547.5"/>
    <n v="1971"/>
  </r>
  <r>
    <x v="0"/>
    <x v="0"/>
    <x v="0"/>
    <x v="4"/>
    <x v="5"/>
    <s v="LV_A2"/>
    <x v="10"/>
    <x v="3"/>
    <s v="GBPR_WOODWASTE"/>
    <x v="2"/>
    <x v="5"/>
    <n v="9"/>
    <n v="547.5"/>
    <n v="1971"/>
  </r>
  <r>
    <x v="0"/>
    <x v="0"/>
    <x v="0"/>
    <x v="4"/>
    <x v="5"/>
    <s v="LV_A2"/>
    <x v="10"/>
    <x v="3"/>
    <s v="GBPR_WOODWASTE"/>
    <x v="2"/>
    <x v="6"/>
    <n v="9"/>
    <n v="547.5"/>
    <n v="1971"/>
  </r>
  <r>
    <x v="0"/>
    <x v="0"/>
    <x v="0"/>
    <x v="4"/>
    <x v="5"/>
    <s v="LV_A2"/>
    <x v="10"/>
    <x v="3"/>
    <s v="GBPR_WOODWASTE"/>
    <x v="2"/>
    <x v="7"/>
    <n v="9"/>
    <n v="547.5"/>
    <n v="1971"/>
  </r>
  <r>
    <x v="0"/>
    <x v="0"/>
    <x v="0"/>
    <x v="4"/>
    <x v="5"/>
    <s v="LV_A2"/>
    <x v="10"/>
    <x v="3"/>
    <s v="GBPR_WOODWASTE"/>
    <x v="2"/>
    <x v="8"/>
    <n v="9"/>
    <n v="547.5"/>
    <n v="1971"/>
  </r>
  <r>
    <x v="0"/>
    <x v="0"/>
    <x v="0"/>
    <x v="4"/>
    <x v="5"/>
    <s v="LV_A2"/>
    <x v="10"/>
    <x v="3"/>
    <s v="GBPR_WOODWASTE"/>
    <x v="2"/>
    <x v="9"/>
    <n v="9"/>
    <n v="547.5"/>
    <n v="1971"/>
  </r>
  <r>
    <x v="0"/>
    <x v="0"/>
    <x v="0"/>
    <x v="4"/>
    <x v="5"/>
    <s v="LV_A2"/>
    <x v="10"/>
    <x v="3"/>
    <s v="GBPR_WOODWASTE"/>
    <x v="2"/>
    <x v="10"/>
    <n v="9"/>
    <n v="547.5"/>
    <n v="1971"/>
  </r>
  <r>
    <x v="0"/>
    <x v="0"/>
    <x v="0"/>
    <x v="4"/>
    <x v="5"/>
    <s v="LV_A2"/>
    <x v="10"/>
    <x v="3"/>
    <s v="GBPR_WOODWASTE"/>
    <x v="2"/>
    <x v="11"/>
    <n v="9"/>
    <n v="547.5"/>
    <n v="1971"/>
  </r>
  <r>
    <x v="0"/>
    <x v="0"/>
    <x v="0"/>
    <x v="4"/>
    <x v="5"/>
    <s v="LV_A2"/>
    <x v="10"/>
    <x v="3"/>
    <s v="GBPR_WOODWASTE"/>
    <x v="3"/>
    <x v="4"/>
    <n v="9"/>
    <n v="547.5"/>
    <n v="1971"/>
  </r>
  <r>
    <x v="0"/>
    <x v="0"/>
    <x v="0"/>
    <x v="4"/>
    <x v="5"/>
    <s v="LV_A2"/>
    <x v="10"/>
    <x v="3"/>
    <s v="GBPR_WOODWASTE"/>
    <x v="3"/>
    <x v="5"/>
    <n v="9"/>
    <n v="547.5"/>
    <n v="1971"/>
  </r>
  <r>
    <x v="0"/>
    <x v="0"/>
    <x v="0"/>
    <x v="4"/>
    <x v="5"/>
    <s v="LV_A2"/>
    <x v="10"/>
    <x v="3"/>
    <s v="GBPR_WOODWASTE"/>
    <x v="3"/>
    <x v="6"/>
    <n v="9"/>
    <n v="547.5"/>
    <n v="1971"/>
  </r>
  <r>
    <x v="0"/>
    <x v="0"/>
    <x v="0"/>
    <x v="4"/>
    <x v="5"/>
    <s v="LV_A2"/>
    <x v="10"/>
    <x v="3"/>
    <s v="GBPR_WOODWASTE"/>
    <x v="3"/>
    <x v="7"/>
    <n v="9"/>
    <n v="547.5"/>
    <n v="1971"/>
  </r>
  <r>
    <x v="0"/>
    <x v="0"/>
    <x v="0"/>
    <x v="4"/>
    <x v="5"/>
    <s v="LV_A2"/>
    <x v="10"/>
    <x v="3"/>
    <s v="GBPR_WOODWASTE"/>
    <x v="3"/>
    <x v="8"/>
    <n v="9"/>
    <n v="547.5"/>
    <n v="1971"/>
  </r>
  <r>
    <x v="0"/>
    <x v="0"/>
    <x v="0"/>
    <x v="4"/>
    <x v="5"/>
    <s v="LV_A2"/>
    <x v="10"/>
    <x v="3"/>
    <s v="GBPR_WOODWASTE"/>
    <x v="3"/>
    <x v="9"/>
    <n v="9"/>
    <n v="547.5"/>
    <n v="1971"/>
  </r>
  <r>
    <x v="0"/>
    <x v="0"/>
    <x v="0"/>
    <x v="4"/>
    <x v="5"/>
    <s v="LV_A2"/>
    <x v="10"/>
    <x v="3"/>
    <s v="GBPR_WOODWASTE"/>
    <x v="3"/>
    <x v="10"/>
    <n v="9"/>
    <n v="547.5"/>
    <n v="1971"/>
  </r>
  <r>
    <x v="0"/>
    <x v="0"/>
    <x v="0"/>
    <x v="4"/>
    <x v="5"/>
    <s v="LV_A2"/>
    <x v="10"/>
    <x v="3"/>
    <s v="GBPR_WOODWASTE"/>
    <x v="3"/>
    <x v="11"/>
    <n v="9"/>
    <n v="547.5"/>
    <n v="1971"/>
  </r>
  <r>
    <x v="0"/>
    <x v="0"/>
    <x v="0"/>
    <x v="4"/>
    <x v="5"/>
    <s v="LV_A2"/>
    <x v="10"/>
    <x v="3"/>
    <s v="GBPR_WOODWASTE"/>
    <x v="4"/>
    <x v="5"/>
    <n v="9"/>
    <n v="547.5"/>
    <n v="1971"/>
  </r>
  <r>
    <x v="0"/>
    <x v="0"/>
    <x v="0"/>
    <x v="4"/>
    <x v="5"/>
    <s v="LV_A2"/>
    <x v="10"/>
    <x v="3"/>
    <s v="GBPR_WOODWASTE"/>
    <x v="4"/>
    <x v="6"/>
    <n v="9"/>
    <n v="547.5"/>
    <n v="1971"/>
  </r>
  <r>
    <x v="0"/>
    <x v="0"/>
    <x v="0"/>
    <x v="4"/>
    <x v="5"/>
    <s v="LV_A2"/>
    <x v="10"/>
    <x v="3"/>
    <s v="GBPR_WOODWASTE"/>
    <x v="4"/>
    <x v="7"/>
    <n v="9"/>
    <n v="547.5"/>
    <n v="1971"/>
  </r>
  <r>
    <x v="0"/>
    <x v="0"/>
    <x v="0"/>
    <x v="4"/>
    <x v="5"/>
    <s v="LV_A2"/>
    <x v="10"/>
    <x v="3"/>
    <s v="GBPR_WOODWASTE"/>
    <x v="4"/>
    <x v="8"/>
    <n v="9"/>
    <n v="547.5"/>
    <n v="1971"/>
  </r>
  <r>
    <x v="0"/>
    <x v="0"/>
    <x v="0"/>
    <x v="4"/>
    <x v="5"/>
    <s v="LV_A2"/>
    <x v="10"/>
    <x v="3"/>
    <s v="GBPR_WOODWASTE"/>
    <x v="4"/>
    <x v="9"/>
    <n v="9"/>
    <n v="547.5"/>
    <n v="1971"/>
  </r>
  <r>
    <x v="0"/>
    <x v="0"/>
    <x v="0"/>
    <x v="4"/>
    <x v="5"/>
    <s v="LV_A2"/>
    <x v="10"/>
    <x v="3"/>
    <s v="GBPR_WOODWASTE"/>
    <x v="4"/>
    <x v="10"/>
    <n v="9"/>
    <n v="547.5"/>
    <n v="1971"/>
  </r>
  <r>
    <x v="0"/>
    <x v="0"/>
    <x v="0"/>
    <x v="4"/>
    <x v="5"/>
    <s v="LV_A2"/>
    <x v="10"/>
    <x v="3"/>
    <s v="GBPR_WOODWASTE"/>
    <x v="4"/>
    <x v="11"/>
    <n v="9"/>
    <n v="547.5"/>
    <n v="1971"/>
  </r>
  <r>
    <x v="0"/>
    <x v="0"/>
    <x v="0"/>
    <x v="4"/>
    <x v="5"/>
    <s v="LV_A2"/>
    <x v="10"/>
    <x v="3"/>
    <s v="GBPR_WOODWASTE"/>
    <x v="5"/>
    <x v="5"/>
    <n v="9"/>
    <n v="547.5"/>
    <n v="1971"/>
  </r>
  <r>
    <x v="0"/>
    <x v="0"/>
    <x v="0"/>
    <x v="4"/>
    <x v="5"/>
    <s v="LV_A2"/>
    <x v="10"/>
    <x v="3"/>
    <s v="GBPR_WOODWASTE"/>
    <x v="5"/>
    <x v="6"/>
    <n v="9"/>
    <n v="547.5"/>
    <n v="1971"/>
  </r>
  <r>
    <x v="0"/>
    <x v="0"/>
    <x v="0"/>
    <x v="4"/>
    <x v="5"/>
    <s v="LV_A2"/>
    <x v="10"/>
    <x v="3"/>
    <s v="GBPR_WOODWASTE"/>
    <x v="5"/>
    <x v="7"/>
    <n v="9"/>
    <n v="547.5"/>
    <n v="1971"/>
  </r>
  <r>
    <x v="0"/>
    <x v="0"/>
    <x v="0"/>
    <x v="4"/>
    <x v="5"/>
    <s v="LV_A2"/>
    <x v="10"/>
    <x v="3"/>
    <s v="GBPR_WOODWASTE"/>
    <x v="5"/>
    <x v="8"/>
    <n v="9"/>
    <n v="547.5"/>
    <n v="1971"/>
  </r>
  <r>
    <x v="0"/>
    <x v="0"/>
    <x v="0"/>
    <x v="4"/>
    <x v="5"/>
    <s v="LV_A2"/>
    <x v="10"/>
    <x v="3"/>
    <s v="GBPR_WOODWASTE"/>
    <x v="5"/>
    <x v="9"/>
    <n v="9"/>
    <n v="547.5"/>
    <n v="1971"/>
  </r>
  <r>
    <x v="0"/>
    <x v="0"/>
    <x v="0"/>
    <x v="4"/>
    <x v="5"/>
    <s v="LV_A2"/>
    <x v="10"/>
    <x v="3"/>
    <s v="GBPR_WOODWASTE"/>
    <x v="5"/>
    <x v="10"/>
    <n v="9"/>
    <n v="547.5"/>
    <n v="1971"/>
  </r>
  <r>
    <x v="0"/>
    <x v="0"/>
    <x v="0"/>
    <x v="4"/>
    <x v="5"/>
    <s v="LV_A2"/>
    <x v="10"/>
    <x v="3"/>
    <s v="GBPR_WOODWASTE"/>
    <x v="5"/>
    <x v="11"/>
    <n v="9"/>
    <n v="547.5"/>
    <n v="1971"/>
  </r>
  <r>
    <x v="0"/>
    <x v="0"/>
    <x v="0"/>
    <x v="4"/>
    <x v="5"/>
    <s v="LV_A2"/>
    <x v="10"/>
    <x v="3"/>
    <s v="GBPR_WOODWASTE"/>
    <x v="6"/>
    <x v="5"/>
    <n v="9"/>
    <n v="547.5"/>
    <n v="1971"/>
  </r>
  <r>
    <x v="0"/>
    <x v="0"/>
    <x v="0"/>
    <x v="4"/>
    <x v="5"/>
    <s v="LV_A2"/>
    <x v="10"/>
    <x v="3"/>
    <s v="GBPR_WOODWASTE"/>
    <x v="6"/>
    <x v="6"/>
    <n v="9"/>
    <n v="547.5"/>
    <n v="1971"/>
  </r>
  <r>
    <x v="0"/>
    <x v="0"/>
    <x v="0"/>
    <x v="4"/>
    <x v="5"/>
    <s v="LV_A2"/>
    <x v="10"/>
    <x v="3"/>
    <s v="GBPR_WOODWASTE"/>
    <x v="6"/>
    <x v="7"/>
    <n v="9"/>
    <n v="547.5"/>
    <n v="1971"/>
  </r>
  <r>
    <x v="0"/>
    <x v="0"/>
    <x v="0"/>
    <x v="4"/>
    <x v="5"/>
    <s v="LV_A2"/>
    <x v="10"/>
    <x v="3"/>
    <s v="GBPR_WOODWASTE"/>
    <x v="6"/>
    <x v="8"/>
    <n v="9"/>
    <n v="547.5"/>
    <n v="1971"/>
  </r>
  <r>
    <x v="0"/>
    <x v="0"/>
    <x v="0"/>
    <x v="4"/>
    <x v="5"/>
    <s v="LV_A2"/>
    <x v="10"/>
    <x v="3"/>
    <s v="GBPR_WOODWASTE"/>
    <x v="6"/>
    <x v="9"/>
    <n v="9"/>
    <n v="547.5"/>
    <n v="1971"/>
  </r>
  <r>
    <x v="0"/>
    <x v="0"/>
    <x v="0"/>
    <x v="4"/>
    <x v="5"/>
    <s v="LV_A2"/>
    <x v="10"/>
    <x v="3"/>
    <s v="GBPR_WOODWASTE"/>
    <x v="6"/>
    <x v="10"/>
    <n v="9"/>
    <n v="547.5"/>
    <n v="1971"/>
  </r>
  <r>
    <x v="0"/>
    <x v="0"/>
    <x v="0"/>
    <x v="4"/>
    <x v="5"/>
    <s v="LV_A2"/>
    <x v="10"/>
    <x v="3"/>
    <s v="GBPR_WOODWASTE"/>
    <x v="6"/>
    <x v="11"/>
    <n v="9"/>
    <n v="547.5"/>
    <n v="1971"/>
  </r>
  <r>
    <x v="0"/>
    <x v="0"/>
    <x v="0"/>
    <x v="4"/>
    <x v="5"/>
    <s v="LV_A2"/>
    <x v="10"/>
    <x v="3"/>
    <s v="GBPR_WOODWASTE"/>
    <x v="7"/>
    <x v="4"/>
    <n v="9"/>
    <n v="547.5"/>
    <n v="1971"/>
  </r>
  <r>
    <x v="0"/>
    <x v="0"/>
    <x v="0"/>
    <x v="4"/>
    <x v="5"/>
    <s v="LV_A2"/>
    <x v="10"/>
    <x v="3"/>
    <s v="GBPR_WOODWASTE"/>
    <x v="7"/>
    <x v="5"/>
    <n v="9"/>
    <n v="547.5"/>
    <n v="1971"/>
  </r>
  <r>
    <x v="0"/>
    <x v="0"/>
    <x v="0"/>
    <x v="4"/>
    <x v="5"/>
    <s v="LV_A2"/>
    <x v="10"/>
    <x v="3"/>
    <s v="GBPR_WOODWASTE"/>
    <x v="7"/>
    <x v="6"/>
    <n v="9"/>
    <n v="547.5"/>
    <n v="1971"/>
  </r>
  <r>
    <x v="0"/>
    <x v="0"/>
    <x v="0"/>
    <x v="4"/>
    <x v="5"/>
    <s v="LV_A2"/>
    <x v="10"/>
    <x v="3"/>
    <s v="GBPR_WOODWASTE"/>
    <x v="7"/>
    <x v="7"/>
    <n v="9"/>
    <n v="547.5"/>
    <n v="1971"/>
  </r>
  <r>
    <x v="0"/>
    <x v="0"/>
    <x v="0"/>
    <x v="4"/>
    <x v="5"/>
    <s v="LV_A2"/>
    <x v="10"/>
    <x v="3"/>
    <s v="GBPR_WOODWASTE"/>
    <x v="7"/>
    <x v="8"/>
    <n v="9"/>
    <n v="547.5"/>
    <n v="1971"/>
  </r>
  <r>
    <x v="0"/>
    <x v="0"/>
    <x v="0"/>
    <x v="4"/>
    <x v="5"/>
    <s v="LV_A2"/>
    <x v="10"/>
    <x v="3"/>
    <s v="GBPR_WOODWASTE"/>
    <x v="7"/>
    <x v="9"/>
    <n v="9"/>
    <n v="547.5"/>
    <n v="1971"/>
  </r>
  <r>
    <x v="0"/>
    <x v="0"/>
    <x v="0"/>
    <x v="4"/>
    <x v="5"/>
    <s v="LV_A2"/>
    <x v="10"/>
    <x v="3"/>
    <s v="GBPR_WOODWASTE"/>
    <x v="7"/>
    <x v="10"/>
    <n v="9"/>
    <n v="547.5"/>
    <n v="1971"/>
  </r>
  <r>
    <x v="0"/>
    <x v="0"/>
    <x v="0"/>
    <x v="4"/>
    <x v="5"/>
    <s v="LV_A2"/>
    <x v="10"/>
    <x v="3"/>
    <s v="GBPR_WOODWASTE"/>
    <x v="7"/>
    <x v="11"/>
    <n v="9"/>
    <n v="547.5"/>
    <n v="1971"/>
  </r>
  <r>
    <x v="0"/>
    <x v="0"/>
    <x v="0"/>
    <x v="4"/>
    <x v="5"/>
    <s v="LV_A2"/>
    <x v="10"/>
    <x v="3"/>
    <s v="GBPR_WOODWASTE"/>
    <x v="8"/>
    <x v="0"/>
    <n v="9"/>
    <n v="547.5"/>
    <n v="1971"/>
  </r>
  <r>
    <x v="0"/>
    <x v="0"/>
    <x v="0"/>
    <x v="4"/>
    <x v="5"/>
    <s v="LV_A2"/>
    <x v="10"/>
    <x v="3"/>
    <s v="GBPR_WOODWASTE"/>
    <x v="8"/>
    <x v="1"/>
    <n v="9"/>
    <n v="547.5"/>
    <n v="1971"/>
  </r>
  <r>
    <x v="0"/>
    <x v="0"/>
    <x v="0"/>
    <x v="4"/>
    <x v="5"/>
    <s v="LV_A2"/>
    <x v="10"/>
    <x v="3"/>
    <s v="GBPR_WOODWASTE"/>
    <x v="8"/>
    <x v="2"/>
    <n v="9"/>
    <n v="547.5"/>
    <n v="1971"/>
  </r>
  <r>
    <x v="0"/>
    <x v="0"/>
    <x v="0"/>
    <x v="4"/>
    <x v="5"/>
    <s v="LV_A2"/>
    <x v="10"/>
    <x v="3"/>
    <s v="GBPR_WOODWASTE"/>
    <x v="8"/>
    <x v="3"/>
    <n v="9"/>
    <n v="547.5"/>
    <n v="1971"/>
  </r>
  <r>
    <x v="0"/>
    <x v="0"/>
    <x v="0"/>
    <x v="4"/>
    <x v="5"/>
    <s v="LV_A2"/>
    <x v="10"/>
    <x v="3"/>
    <s v="GBPR_WOODWASTE"/>
    <x v="8"/>
    <x v="4"/>
    <n v="9"/>
    <n v="547.5"/>
    <n v="1971"/>
  </r>
  <r>
    <x v="0"/>
    <x v="0"/>
    <x v="0"/>
    <x v="4"/>
    <x v="5"/>
    <s v="LV_A2"/>
    <x v="10"/>
    <x v="3"/>
    <s v="GBPR_WOODWASTE"/>
    <x v="8"/>
    <x v="5"/>
    <n v="9"/>
    <n v="547.5"/>
    <n v="1971"/>
  </r>
  <r>
    <x v="0"/>
    <x v="0"/>
    <x v="0"/>
    <x v="4"/>
    <x v="5"/>
    <s v="LV_A2"/>
    <x v="10"/>
    <x v="3"/>
    <s v="GBPR_WOODWASTE"/>
    <x v="8"/>
    <x v="6"/>
    <n v="9"/>
    <n v="547.5"/>
    <n v="1971"/>
  </r>
  <r>
    <x v="0"/>
    <x v="0"/>
    <x v="0"/>
    <x v="4"/>
    <x v="5"/>
    <s v="LV_A2"/>
    <x v="10"/>
    <x v="3"/>
    <s v="GBPR_WOODWASTE"/>
    <x v="8"/>
    <x v="7"/>
    <n v="9"/>
    <n v="547.5"/>
    <n v="1971"/>
  </r>
  <r>
    <x v="0"/>
    <x v="0"/>
    <x v="0"/>
    <x v="4"/>
    <x v="5"/>
    <s v="LV_A2"/>
    <x v="10"/>
    <x v="3"/>
    <s v="GBPR_WOODWASTE"/>
    <x v="8"/>
    <x v="8"/>
    <n v="9"/>
    <n v="547.5"/>
    <n v="1971"/>
  </r>
  <r>
    <x v="0"/>
    <x v="0"/>
    <x v="0"/>
    <x v="4"/>
    <x v="5"/>
    <s v="LV_A2"/>
    <x v="10"/>
    <x v="3"/>
    <s v="GBPR_WOODWASTE"/>
    <x v="8"/>
    <x v="9"/>
    <n v="9"/>
    <n v="547.5"/>
    <n v="1971"/>
  </r>
  <r>
    <x v="0"/>
    <x v="0"/>
    <x v="0"/>
    <x v="4"/>
    <x v="5"/>
    <s v="LV_A2"/>
    <x v="10"/>
    <x v="3"/>
    <s v="GBPR_WOODWASTE"/>
    <x v="8"/>
    <x v="10"/>
    <n v="9"/>
    <n v="547.5"/>
    <n v="1971"/>
  </r>
  <r>
    <x v="0"/>
    <x v="0"/>
    <x v="0"/>
    <x v="4"/>
    <x v="5"/>
    <s v="LV_A2"/>
    <x v="10"/>
    <x v="3"/>
    <s v="GBPR_WOODWASTE"/>
    <x v="8"/>
    <x v="11"/>
    <n v="9"/>
    <n v="547.5"/>
    <n v="1971"/>
  </r>
  <r>
    <x v="0"/>
    <x v="0"/>
    <x v="0"/>
    <x v="4"/>
    <x v="5"/>
    <s v="LV_A2"/>
    <x v="10"/>
    <x v="3"/>
    <s v="GBPR_WOODWASTE"/>
    <x v="9"/>
    <x v="0"/>
    <n v="9"/>
    <n v="547.5"/>
    <n v="1971"/>
  </r>
  <r>
    <x v="0"/>
    <x v="0"/>
    <x v="0"/>
    <x v="4"/>
    <x v="5"/>
    <s v="LV_A2"/>
    <x v="10"/>
    <x v="3"/>
    <s v="GBPR_WOODWASTE"/>
    <x v="9"/>
    <x v="1"/>
    <n v="9"/>
    <n v="547.5"/>
    <n v="1971"/>
  </r>
  <r>
    <x v="0"/>
    <x v="0"/>
    <x v="0"/>
    <x v="4"/>
    <x v="5"/>
    <s v="LV_A2"/>
    <x v="10"/>
    <x v="3"/>
    <s v="GBPR_WOODWASTE"/>
    <x v="9"/>
    <x v="2"/>
    <n v="9"/>
    <n v="547.5"/>
    <n v="1971"/>
  </r>
  <r>
    <x v="0"/>
    <x v="0"/>
    <x v="0"/>
    <x v="4"/>
    <x v="5"/>
    <s v="LV_A2"/>
    <x v="10"/>
    <x v="3"/>
    <s v="GBPR_WOODWASTE"/>
    <x v="9"/>
    <x v="3"/>
    <n v="9"/>
    <n v="547.5"/>
    <n v="1971"/>
  </r>
  <r>
    <x v="0"/>
    <x v="0"/>
    <x v="0"/>
    <x v="4"/>
    <x v="5"/>
    <s v="LV_A2"/>
    <x v="10"/>
    <x v="3"/>
    <s v="GBPR_WOODWASTE"/>
    <x v="9"/>
    <x v="4"/>
    <n v="9"/>
    <n v="547.5"/>
    <n v="1971"/>
  </r>
  <r>
    <x v="0"/>
    <x v="0"/>
    <x v="0"/>
    <x v="4"/>
    <x v="5"/>
    <s v="LV_A2"/>
    <x v="10"/>
    <x v="3"/>
    <s v="GBPR_WOODWASTE"/>
    <x v="9"/>
    <x v="5"/>
    <n v="9"/>
    <n v="547.5"/>
    <n v="1971"/>
  </r>
  <r>
    <x v="0"/>
    <x v="0"/>
    <x v="0"/>
    <x v="4"/>
    <x v="5"/>
    <s v="LV_A2"/>
    <x v="10"/>
    <x v="3"/>
    <s v="GBPR_WOODWASTE"/>
    <x v="9"/>
    <x v="6"/>
    <n v="9"/>
    <n v="547.5"/>
    <n v="1971"/>
  </r>
  <r>
    <x v="0"/>
    <x v="0"/>
    <x v="0"/>
    <x v="4"/>
    <x v="5"/>
    <s v="LV_A2"/>
    <x v="10"/>
    <x v="3"/>
    <s v="GBPR_WOODWASTE"/>
    <x v="9"/>
    <x v="7"/>
    <n v="9"/>
    <n v="547.5"/>
    <n v="1971"/>
  </r>
  <r>
    <x v="0"/>
    <x v="0"/>
    <x v="0"/>
    <x v="4"/>
    <x v="5"/>
    <s v="LV_A2"/>
    <x v="10"/>
    <x v="3"/>
    <s v="GBPR_WOODWASTE"/>
    <x v="9"/>
    <x v="8"/>
    <n v="9"/>
    <n v="547.5"/>
    <n v="1971"/>
  </r>
  <r>
    <x v="0"/>
    <x v="0"/>
    <x v="0"/>
    <x v="4"/>
    <x v="5"/>
    <s v="LV_A2"/>
    <x v="10"/>
    <x v="3"/>
    <s v="GBPR_WOODWASTE"/>
    <x v="9"/>
    <x v="9"/>
    <n v="9"/>
    <n v="547.5"/>
    <n v="1971"/>
  </r>
  <r>
    <x v="0"/>
    <x v="0"/>
    <x v="0"/>
    <x v="4"/>
    <x v="5"/>
    <s v="LV_A2"/>
    <x v="10"/>
    <x v="3"/>
    <s v="GBPR_WOODWASTE"/>
    <x v="9"/>
    <x v="10"/>
    <n v="9"/>
    <n v="547.5"/>
    <n v="1971"/>
  </r>
  <r>
    <x v="0"/>
    <x v="0"/>
    <x v="0"/>
    <x v="4"/>
    <x v="5"/>
    <s v="LV_A2"/>
    <x v="10"/>
    <x v="3"/>
    <s v="GBPR_WOODWASTE"/>
    <x v="9"/>
    <x v="11"/>
    <n v="9"/>
    <n v="547.5"/>
    <n v="1971"/>
  </r>
  <r>
    <x v="0"/>
    <x v="0"/>
    <x v="0"/>
    <x v="4"/>
    <x v="5"/>
    <s v="LV_A2"/>
    <x v="10"/>
    <x v="3"/>
    <s v="GBPR_WOODWASTE"/>
    <x v="10"/>
    <x v="2"/>
    <n v="9"/>
    <n v="547.5"/>
    <n v="1971"/>
  </r>
  <r>
    <x v="0"/>
    <x v="0"/>
    <x v="0"/>
    <x v="4"/>
    <x v="5"/>
    <s v="LV_A2"/>
    <x v="10"/>
    <x v="3"/>
    <s v="GBPR_WOODWASTE"/>
    <x v="10"/>
    <x v="3"/>
    <n v="9"/>
    <n v="547.5"/>
    <n v="1971"/>
  </r>
  <r>
    <x v="0"/>
    <x v="0"/>
    <x v="0"/>
    <x v="4"/>
    <x v="5"/>
    <s v="LV_A2"/>
    <x v="10"/>
    <x v="3"/>
    <s v="GBPR_WOODWASTE"/>
    <x v="10"/>
    <x v="4"/>
    <n v="9"/>
    <n v="547.5"/>
    <n v="1971"/>
  </r>
  <r>
    <x v="0"/>
    <x v="0"/>
    <x v="0"/>
    <x v="4"/>
    <x v="5"/>
    <s v="LV_A2"/>
    <x v="10"/>
    <x v="3"/>
    <s v="GBPR_WOODWASTE"/>
    <x v="10"/>
    <x v="5"/>
    <n v="9"/>
    <n v="547.5"/>
    <n v="1971"/>
  </r>
  <r>
    <x v="0"/>
    <x v="0"/>
    <x v="0"/>
    <x v="4"/>
    <x v="5"/>
    <s v="LV_A2"/>
    <x v="10"/>
    <x v="3"/>
    <s v="GBPR_WOODWASTE"/>
    <x v="10"/>
    <x v="6"/>
    <n v="9"/>
    <n v="547.5"/>
    <n v="1971"/>
  </r>
  <r>
    <x v="0"/>
    <x v="0"/>
    <x v="0"/>
    <x v="4"/>
    <x v="5"/>
    <s v="LV_A2"/>
    <x v="10"/>
    <x v="3"/>
    <s v="GBPR_WOODWASTE"/>
    <x v="10"/>
    <x v="7"/>
    <n v="9"/>
    <n v="547.5"/>
    <n v="1971"/>
  </r>
  <r>
    <x v="0"/>
    <x v="0"/>
    <x v="0"/>
    <x v="4"/>
    <x v="5"/>
    <s v="LV_A2"/>
    <x v="10"/>
    <x v="3"/>
    <s v="GBPR_WOODWASTE"/>
    <x v="10"/>
    <x v="8"/>
    <n v="9"/>
    <n v="547.5"/>
    <n v="1971"/>
  </r>
  <r>
    <x v="0"/>
    <x v="0"/>
    <x v="0"/>
    <x v="4"/>
    <x v="5"/>
    <s v="LV_A2"/>
    <x v="10"/>
    <x v="3"/>
    <s v="GBPR_WOODWASTE"/>
    <x v="10"/>
    <x v="9"/>
    <n v="9"/>
    <n v="547.5"/>
    <n v="1971"/>
  </r>
  <r>
    <x v="0"/>
    <x v="0"/>
    <x v="0"/>
    <x v="4"/>
    <x v="5"/>
    <s v="LV_A2"/>
    <x v="10"/>
    <x v="3"/>
    <s v="GBPR_WOODWASTE"/>
    <x v="10"/>
    <x v="10"/>
    <n v="9"/>
    <n v="547.5"/>
    <n v="1971"/>
  </r>
  <r>
    <x v="0"/>
    <x v="0"/>
    <x v="0"/>
    <x v="4"/>
    <x v="5"/>
    <s v="LV_A2"/>
    <x v="10"/>
    <x v="3"/>
    <s v="GBPR_WOODWASTE"/>
    <x v="10"/>
    <x v="11"/>
    <n v="9"/>
    <n v="547.5"/>
    <n v="1971"/>
  </r>
  <r>
    <x v="0"/>
    <x v="0"/>
    <x v="0"/>
    <x v="4"/>
    <x v="5"/>
    <s v="LV_A2"/>
    <x v="10"/>
    <x v="3"/>
    <s v="GBPR_WOODWASTE"/>
    <x v="11"/>
    <x v="6"/>
    <n v="9"/>
    <n v="547.5"/>
    <n v="1971"/>
  </r>
  <r>
    <x v="0"/>
    <x v="0"/>
    <x v="0"/>
    <x v="4"/>
    <x v="5"/>
    <s v="LV_A2"/>
    <x v="10"/>
    <x v="3"/>
    <s v="GBPR_WOODWASTE"/>
    <x v="11"/>
    <x v="7"/>
    <n v="9"/>
    <n v="547.5"/>
    <n v="1971"/>
  </r>
  <r>
    <x v="0"/>
    <x v="0"/>
    <x v="0"/>
    <x v="4"/>
    <x v="5"/>
    <s v="LV_A2"/>
    <x v="10"/>
    <x v="3"/>
    <s v="GBPR_WOODWASTE"/>
    <x v="11"/>
    <x v="8"/>
    <n v="9"/>
    <n v="547.5"/>
    <n v="1971"/>
  </r>
  <r>
    <x v="0"/>
    <x v="0"/>
    <x v="0"/>
    <x v="4"/>
    <x v="5"/>
    <s v="LV_A2"/>
    <x v="10"/>
    <x v="3"/>
    <s v="GBPR_WOODWASTE"/>
    <x v="11"/>
    <x v="9"/>
    <n v="9"/>
    <n v="547.5"/>
    <n v="1971"/>
  </r>
  <r>
    <x v="0"/>
    <x v="0"/>
    <x v="0"/>
    <x v="4"/>
    <x v="5"/>
    <s v="LV_A2"/>
    <x v="10"/>
    <x v="3"/>
    <s v="GBPR_WOODWASTE"/>
    <x v="11"/>
    <x v="10"/>
    <n v="9"/>
    <n v="547.5"/>
    <n v="1971"/>
  </r>
  <r>
    <x v="0"/>
    <x v="0"/>
    <x v="0"/>
    <x v="4"/>
    <x v="5"/>
    <s v="LV_A2"/>
    <x v="10"/>
    <x v="3"/>
    <s v="GBPR_WOODWASTE"/>
    <x v="11"/>
    <x v="11"/>
    <n v="9"/>
    <n v="547.5"/>
    <n v="1971"/>
  </r>
  <r>
    <x v="0"/>
    <x v="0"/>
    <x v="0"/>
    <x v="4"/>
    <x v="5"/>
    <s v="LV_A2"/>
    <x v="10"/>
    <x v="3"/>
    <s v="GBPR_WOODWASTE_IND"/>
    <x v="0"/>
    <x v="0"/>
    <n v="4"/>
    <n v="243.333333333333"/>
    <n v="876"/>
  </r>
  <r>
    <x v="0"/>
    <x v="0"/>
    <x v="0"/>
    <x v="4"/>
    <x v="5"/>
    <s v="LV_A2"/>
    <x v="10"/>
    <x v="3"/>
    <s v="GBPR_WOODWASTE_IND"/>
    <x v="0"/>
    <x v="1"/>
    <n v="4"/>
    <n v="243.333333333333"/>
    <n v="876"/>
  </r>
  <r>
    <x v="0"/>
    <x v="0"/>
    <x v="0"/>
    <x v="4"/>
    <x v="5"/>
    <s v="LV_A2"/>
    <x v="10"/>
    <x v="3"/>
    <s v="GBPR_WOODWASTE_IND"/>
    <x v="0"/>
    <x v="2"/>
    <n v="4"/>
    <n v="243.333333333333"/>
    <n v="876"/>
  </r>
  <r>
    <x v="0"/>
    <x v="0"/>
    <x v="0"/>
    <x v="4"/>
    <x v="5"/>
    <s v="LV_A2"/>
    <x v="10"/>
    <x v="3"/>
    <s v="GBPR_WOODWASTE_IND"/>
    <x v="0"/>
    <x v="3"/>
    <n v="4"/>
    <n v="243.333333333333"/>
    <n v="876"/>
  </r>
  <r>
    <x v="0"/>
    <x v="0"/>
    <x v="0"/>
    <x v="4"/>
    <x v="5"/>
    <s v="LV_A2"/>
    <x v="10"/>
    <x v="3"/>
    <s v="GBPR_WOODWASTE_IND"/>
    <x v="0"/>
    <x v="4"/>
    <n v="4"/>
    <n v="243.333333333333"/>
    <n v="876"/>
  </r>
  <r>
    <x v="0"/>
    <x v="0"/>
    <x v="0"/>
    <x v="4"/>
    <x v="5"/>
    <s v="LV_A2"/>
    <x v="10"/>
    <x v="3"/>
    <s v="GBPR_WOODWASTE_IND"/>
    <x v="0"/>
    <x v="5"/>
    <n v="4"/>
    <n v="243.333333333333"/>
    <n v="876"/>
  </r>
  <r>
    <x v="0"/>
    <x v="0"/>
    <x v="0"/>
    <x v="4"/>
    <x v="5"/>
    <s v="LV_A2"/>
    <x v="10"/>
    <x v="3"/>
    <s v="GBPR_WOODWASTE_IND"/>
    <x v="0"/>
    <x v="6"/>
    <n v="4"/>
    <n v="243.333333333333"/>
    <n v="876"/>
  </r>
  <r>
    <x v="0"/>
    <x v="0"/>
    <x v="0"/>
    <x v="4"/>
    <x v="5"/>
    <s v="LV_A2"/>
    <x v="10"/>
    <x v="3"/>
    <s v="GBPR_WOODWASTE_IND"/>
    <x v="0"/>
    <x v="7"/>
    <n v="4"/>
    <n v="243.333333333333"/>
    <n v="876"/>
  </r>
  <r>
    <x v="0"/>
    <x v="0"/>
    <x v="0"/>
    <x v="4"/>
    <x v="5"/>
    <s v="LV_A2"/>
    <x v="10"/>
    <x v="3"/>
    <s v="GBPR_WOODWASTE_IND"/>
    <x v="0"/>
    <x v="8"/>
    <n v="4"/>
    <n v="243.333333333333"/>
    <n v="876"/>
  </r>
  <r>
    <x v="0"/>
    <x v="0"/>
    <x v="0"/>
    <x v="4"/>
    <x v="5"/>
    <s v="LV_A2"/>
    <x v="10"/>
    <x v="3"/>
    <s v="GBPR_WOODWASTE_IND"/>
    <x v="0"/>
    <x v="9"/>
    <n v="4"/>
    <n v="243.333333333333"/>
    <n v="876"/>
  </r>
  <r>
    <x v="0"/>
    <x v="0"/>
    <x v="0"/>
    <x v="4"/>
    <x v="5"/>
    <s v="LV_A2"/>
    <x v="10"/>
    <x v="3"/>
    <s v="GBPR_WOODWASTE_IND"/>
    <x v="0"/>
    <x v="10"/>
    <n v="4"/>
    <n v="243.333333333333"/>
    <n v="876"/>
  </r>
  <r>
    <x v="0"/>
    <x v="0"/>
    <x v="0"/>
    <x v="4"/>
    <x v="5"/>
    <s v="LV_A2"/>
    <x v="10"/>
    <x v="3"/>
    <s v="GBPR_WOODWASTE_IND"/>
    <x v="0"/>
    <x v="11"/>
    <n v="4"/>
    <n v="243.333333333333"/>
    <n v="876"/>
  </r>
  <r>
    <x v="0"/>
    <x v="0"/>
    <x v="0"/>
    <x v="4"/>
    <x v="5"/>
    <s v="LV_A2"/>
    <x v="10"/>
    <x v="3"/>
    <s v="GBPR_WOODWASTE_IND"/>
    <x v="1"/>
    <x v="0"/>
    <n v="4"/>
    <n v="243.333333333333"/>
    <n v="876"/>
  </r>
  <r>
    <x v="0"/>
    <x v="0"/>
    <x v="0"/>
    <x v="4"/>
    <x v="5"/>
    <s v="LV_A2"/>
    <x v="10"/>
    <x v="3"/>
    <s v="GBPR_WOODWASTE_IND"/>
    <x v="1"/>
    <x v="1"/>
    <n v="4"/>
    <n v="243.333333333333"/>
    <n v="876"/>
  </r>
  <r>
    <x v="0"/>
    <x v="0"/>
    <x v="0"/>
    <x v="4"/>
    <x v="5"/>
    <s v="LV_A2"/>
    <x v="10"/>
    <x v="3"/>
    <s v="GBPR_WOODWASTE_IND"/>
    <x v="1"/>
    <x v="2"/>
    <n v="4"/>
    <n v="243.333333333333"/>
    <n v="876"/>
  </r>
  <r>
    <x v="0"/>
    <x v="0"/>
    <x v="0"/>
    <x v="4"/>
    <x v="5"/>
    <s v="LV_A2"/>
    <x v="10"/>
    <x v="3"/>
    <s v="GBPR_WOODWASTE_IND"/>
    <x v="1"/>
    <x v="3"/>
    <n v="4"/>
    <n v="243.333333333333"/>
    <n v="876"/>
  </r>
  <r>
    <x v="0"/>
    <x v="0"/>
    <x v="0"/>
    <x v="4"/>
    <x v="5"/>
    <s v="LV_A2"/>
    <x v="10"/>
    <x v="3"/>
    <s v="GBPR_WOODWASTE_IND"/>
    <x v="1"/>
    <x v="4"/>
    <n v="4"/>
    <n v="243.333333333333"/>
    <n v="876"/>
  </r>
  <r>
    <x v="0"/>
    <x v="0"/>
    <x v="0"/>
    <x v="4"/>
    <x v="5"/>
    <s v="LV_A2"/>
    <x v="10"/>
    <x v="3"/>
    <s v="GBPR_WOODWASTE_IND"/>
    <x v="1"/>
    <x v="5"/>
    <n v="4"/>
    <n v="243.333333333333"/>
    <n v="876"/>
  </r>
  <r>
    <x v="0"/>
    <x v="0"/>
    <x v="0"/>
    <x v="4"/>
    <x v="5"/>
    <s v="LV_A2"/>
    <x v="10"/>
    <x v="3"/>
    <s v="GBPR_WOODWASTE_IND"/>
    <x v="1"/>
    <x v="6"/>
    <n v="4"/>
    <n v="243.333333333333"/>
    <n v="876"/>
  </r>
  <r>
    <x v="0"/>
    <x v="0"/>
    <x v="0"/>
    <x v="4"/>
    <x v="5"/>
    <s v="LV_A2"/>
    <x v="10"/>
    <x v="3"/>
    <s v="GBPR_WOODWASTE_IND"/>
    <x v="1"/>
    <x v="7"/>
    <n v="4"/>
    <n v="243.333333333333"/>
    <n v="876"/>
  </r>
  <r>
    <x v="0"/>
    <x v="0"/>
    <x v="0"/>
    <x v="4"/>
    <x v="5"/>
    <s v="LV_A2"/>
    <x v="10"/>
    <x v="3"/>
    <s v="GBPR_WOODWASTE_IND"/>
    <x v="1"/>
    <x v="8"/>
    <n v="4"/>
    <n v="243.333333333333"/>
    <n v="876"/>
  </r>
  <r>
    <x v="0"/>
    <x v="0"/>
    <x v="0"/>
    <x v="4"/>
    <x v="5"/>
    <s v="LV_A2"/>
    <x v="10"/>
    <x v="3"/>
    <s v="GBPR_WOODWASTE_IND"/>
    <x v="1"/>
    <x v="9"/>
    <n v="4"/>
    <n v="243.333333333333"/>
    <n v="876"/>
  </r>
  <r>
    <x v="0"/>
    <x v="0"/>
    <x v="0"/>
    <x v="4"/>
    <x v="5"/>
    <s v="LV_A2"/>
    <x v="10"/>
    <x v="3"/>
    <s v="GBPR_WOODWASTE_IND"/>
    <x v="1"/>
    <x v="10"/>
    <n v="4"/>
    <n v="243.333333333333"/>
    <n v="876"/>
  </r>
  <r>
    <x v="0"/>
    <x v="0"/>
    <x v="0"/>
    <x v="4"/>
    <x v="5"/>
    <s v="LV_A2"/>
    <x v="10"/>
    <x v="3"/>
    <s v="GBPR_WOODWASTE_IND"/>
    <x v="1"/>
    <x v="11"/>
    <n v="4"/>
    <n v="243.333333333333"/>
    <n v="876"/>
  </r>
  <r>
    <x v="0"/>
    <x v="0"/>
    <x v="0"/>
    <x v="4"/>
    <x v="5"/>
    <s v="LV_A2"/>
    <x v="10"/>
    <x v="3"/>
    <s v="GBPR_WOODWASTE_IND"/>
    <x v="2"/>
    <x v="0"/>
    <n v="4"/>
    <n v="243.333333333333"/>
    <n v="876"/>
  </r>
  <r>
    <x v="0"/>
    <x v="0"/>
    <x v="0"/>
    <x v="4"/>
    <x v="5"/>
    <s v="LV_A2"/>
    <x v="10"/>
    <x v="3"/>
    <s v="GBPR_WOODWASTE_IND"/>
    <x v="2"/>
    <x v="1"/>
    <n v="4"/>
    <n v="243.333333333333"/>
    <n v="876"/>
  </r>
  <r>
    <x v="0"/>
    <x v="0"/>
    <x v="0"/>
    <x v="4"/>
    <x v="5"/>
    <s v="LV_A2"/>
    <x v="10"/>
    <x v="3"/>
    <s v="GBPR_WOODWASTE_IND"/>
    <x v="2"/>
    <x v="2"/>
    <n v="4"/>
    <n v="243.333333333333"/>
    <n v="876"/>
  </r>
  <r>
    <x v="0"/>
    <x v="0"/>
    <x v="0"/>
    <x v="4"/>
    <x v="5"/>
    <s v="LV_A2"/>
    <x v="10"/>
    <x v="3"/>
    <s v="GBPR_WOODWASTE_IND"/>
    <x v="2"/>
    <x v="3"/>
    <n v="4"/>
    <n v="243.333333333333"/>
    <n v="876"/>
  </r>
  <r>
    <x v="0"/>
    <x v="0"/>
    <x v="0"/>
    <x v="4"/>
    <x v="5"/>
    <s v="LV_A2"/>
    <x v="10"/>
    <x v="3"/>
    <s v="GBPR_WOODWASTE_IND"/>
    <x v="2"/>
    <x v="4"/>
    <n v="4"/>
    <n v="243.333333333333"/>
    <n v="876"/>
  </r>
  <r>
    <x v="0"/>
    <x v="0"/>
    <x v="0"/>
    <x v="4"/>
    <x v="5"/>
    <s v="LV_A2"/>
    <x v="10"/>
    <x v="3"/>
    <s v="GBPR_WOODWASTE_IND"/>
    <x v="2"/>
    <x v="5"/>
    <n v="4"/>
    <n v="243.333333333333"/>
    <n v="876"/>
  </r>
  <r>
    <x v="0"/>
    <x v="0"/>
    <x v="0"/>
    <x v="4"/>
    <x v="5"/>
    <s v="LV_A2"/>
    <x v="10"/>
    <x v="3"/>
    <s v="GBPR_WOODWASTE_IND"/>
    <x v="2"/>
    <x v="6"/>
    <n v="4"/>
    <n v="243.333333333333"/>
    <n v="876"/>
  </r>
  <r>
    <x v="0"/>
    <x v="0"/>
    <x v="0"/>
    <x v="4"/>
    <x v="5"/>
    <s v="LV_A2"/>
    <x v="10"/>
    <x v="3"/>
    <s v="GBPR_WOODWASTE_IND"/>
    <x v="2"/>
    <x v="7"/>
    <n v="4"/>
    <n v="243.333333333333"/>
    <n v="876"/>
  </r>
  <r>
    <x v="0"/>
    <x v="0"/>
    <x v="0"/>
    <x v="4"/>
    <x v="5"/>
    <s v="LV_A2"/>
    <x v="10"/>
    <x v="3"/>
    <s v="GBPR_WOODWASTE_IND"/>
    <x v="2"/>
    <x v="8"/>
    <n v="4"/>
    <n v="243.333333333333"/>
    <n v="876"/>
  </r>
  <r>
    <x v="0"/>
    <x v="0"/>
    <x v="0"/>
    <x v="4"/>
    <x v="5"/>
    <s v="LV_A2"/>
    <x v="10"/>
    <x v="3"/>
    <s v="GBPR_WOODWASTE_IND"/>
    <x v="2"/>
    <x v="9"/>
    <n v="4"/>
    <n v="243.333333333333"/>
    <n v="876"/>
  </r>
  <r>
    <x v="0"/>
    <x v="0"/>
    <x v="0"/>
    <x v="4"/>
    <x v="5"/>
    <s v="LV_A2"/>
    <x v="10"/>
    <x v="3"/>
    <s v="GBPR_WOODWASTE_IND"/>
    <x v="2"/>
    <x v="10"/>
    <n v="4"/>
    <n v="243.333333333333"/>
    <n v="876"/>
  </r>
  <r>
    <x v="0"/>
    <x v="0"/>
    <x v="0"/>
    <x v="4"/>
    <x v="5"/>
    <s v="LV_A2"/>
    <x v="10"/>
    <x v="3"/>
    <s v="GBPR_WOODWASTE_IND"/>
    <x v="2"/>
    <x v="11"/>
    <n v="4"/>
    <n v="243.333333333333"/>
    <n v="876"/>
  </r>
  <r>
    <x v="0"/>
    <x v="0"/>
    <x v="0"/>
    <x v="4"/>
    <x v="5"/>
    <s v="LV_A2"/>
    <x v="10"/>
    <x v="3"/>
    <s v="GBPR_WOODWASTE_IND"/>
    <x v="3"/>
    <x v="0"/>
    <n v="4"/>
    <n v="243.333333333333"/>
    <n v="876"/>
  </r>
  <r>
    <x v="0"/>
    <x v="0"/>
    <x v="0"/>
    <x v="4"/>
    <x v="5"/>
    <s v="LV_A2"/>
    <x v="10"/>
    <x v="3"/>
    <s v="GBPR_WOODWASTE_IND"/>
    <x v="3"/>
    <x v="1"/>
    <n v="4"/>
    <n v="243.333333333333"/>
    <n v="876"/>
  </r>
  <r>
    <x v="0"/>
    <x v="0"/>
    <x v="0"/>
    <x v="4"/>
    <x v="5"/>
    <s v="LV_A2"/>
    <x v="10"/>
    <x v="3"/>
    <s v="GBPR_WOODWASTE_IND"/>
    <x v="3"/>
    <x v="2"/>
    <n v="4"/>
    <n v="243.333333333333"/>
    <n v="876"/>
  </r>
  <r>
    <x v="0"/>
    <x v="0"/>
    <x v="0"/>
    <x v="4"/>
    <x v="5"/>
    <s v="LV_A2"/>
    <x v="10"/>
    <x v="3"/>
    <s v="GBPR_WOODWASTE_IND"/>
    <x v="3"/>
    <x v="3"/>
    <n v="4"/>
    <n v="243.333333333333"/>
    <n v="876"/>
  </r>
  <r>
    <x v="0"/>
    <x v="0"/>
    <x v="0"/>
    <x v="4"/>
    <x v="5"/>
    <s v="LV_A2"/>
    <x v="10"/>
    <x v="3"/>
    <s v="GBPR_WOODWASTE_IND"/>
    <x v="3"/>
    <x v="4"/>
    <n v="4"/>
    <n v="243.333333333333"/>
    <n v="876"/>
  </r>
  <r>
    <x v="0"/>
    <x v="0"/>
    <x v="0"/>
    <x v="4"/>
    <x v="5"/>
    <s v="LV_A2"/>
    <x v="10"/>
    <x v="3"/>
    <s v="GBPR_WOODWASTE_IND"/>
    <x v="3"/>
    <x v="5"/>
    <n v="4"/>
    <n v="243.333333333333"/>
    <n v="876"/>
  </r>
  <r>
    <x v="0"/>
    <x v="0"/>
    <x v="0"/>
    <x v="4"/>
    <x v="5"/>
    <s v="LV_A2"/>
    <x v="10"/>
    <x v="3"/>
    <s v="GBPR_WOODWASTE_IND"/>
    <x v="3"/>
    <x v="6"/>
    <n v="4"/>
    <n v="243.333333333333"/>
    <n v="876"/>
  </r>
  <r>
    <x v="0"/>
    <x v="0"/>
    <x v="0"/>
    <x v="4"/>
    <x v="5"/>
    <s v="LV_A2"/>
    <x v="10"/>
    <x v="3"/>
    <s v="GBPR_WOODWASTE_IND"/>
    <x v="3"/>
    <x v="7"/>
    <n v="4"/>
    <n v="243.333333333333"/>
    <n v="876"/>
  </r>
  <r>
    <x v="0"/>
    <x v="0"/>
    <x v="0"/>
    <x v="4"/>
    <x v="5"/>
    <s v="LV_A2"/>
    <x v="10"/>
    <x v="3"/>
    <s v="GBPR_WOODWASTE_IND"/>
    <x v="3"/>
    <x v="8"/>
    <n v="4"/>
    <n v="243.333333333333"/>
    <n v="876"/>
  </r>
  <r>
    <x v="0"/>
    <x v="0"/>
    <x v="0"/>
    <x v="4"/>
    <x v="5"/>
    <s v="LV_A2"/>
    <x v="10"/>
    <x v="3"/>
    <s v="GBPR_WOODWASTE_IND"/>
    <x v="3"/>
    <x v="9"/>
    <n v="4"/>
    <n v="243.333333333333"/>
    <n v="876"/>
  </r>
  <r>
    <x v="0"/>
    <x v="0"/>
    <x v="0"/>
    <x v="4"/>
    <x v="5"/>
    <s v="LV_A2"/>
    <x v="10"/>
    <x v="3"/>
    <s v="GBPR_WOODWASTE_IND"/>
    <x v="3"/>
    <x v="10"/>
    <n v="4"/>
    <n v="243.333333333333"/>
    <n v="876"/>
  </r>
  <r>
    <x v="0"/>
    <x v="0"/>
    <x v="0"/>
    <x v="4"/>
    <x v="5"/>
    <s v="LV_A2"/>
    <x v="10"/>
    <x v="3"/>
    <s v="GBPR_WOODWASTE_IND"/>
    <x v="3"/>
    <x v="11"/>
    <n v="4"/>
    <n v="243.333333333333"/>
    <n v="876"/>
  </r>
  <r>
    <x v="0"/>
    <x v="0"/>
    <x v="0"/>
    <x v="4"/>
    <x v="5"/>
    <s v="LV_A2"/>
    <x v="10"/>
    <x v="3"/>
    <s v="GBPR_WOODWASTE_IND"/>
    <x v="4"/>
    <x v="0"/>
    <n v="4"/>
    <n v="243.333333333333"/>
    <n v="876"/>
  </r>
  <r>
    <x v="0"/>
    <x v="0"/>
    <x v="0"/>
    <x v="4"/>
    <x v="5"/>
    <s v="LV_A2"/>
    <x v="10"/>
    <x v="3"/>
    <s v="GBPR_WOODWASTE_IND"/>
    <x v="4"/>
    <x v="1"/>
    <n v="4"/>
    <n v="243.333333333333"/>
    <n v="876"/>
  </r>
  <r>
    <x v="0"/>
    <x v="0"/>
    <x v="0"/>
    <x v="4"/>
    <x v="5"/>
    <s v="LV_A2"/>
    <x v="10"/>
    <x v="3"/>
    <s v="GBPR_WOODWASTE_IND"/>
    <x v="4"/>
    <x v="2"/>
    <n v="4"/>
    <n v="243.333333333333"/>
    <n v="876"/>
  </r>
  <r>
    <x v="0"/>
    <x v="0"/>
    <x v="0"/>
    <x v="4"/>
    <x v="5"/>
    <s v="LV_A2"/>
    <x v="10"/>
    <x v="3"/>
    <s v="GBPR_WOODWASTE_IND"/>
    <x v="4"/>
    <x v="3"/>
    <n v="4"/>
    <n v="243.333333333333"/>
    <n v="876"/>
  </r>
  <r>
    <x v="0"/>
    <x v="0"/>
    <x v="0"/>
    <x v="4"/>
    <x v="5"/>
    <s v="LV_A2"/>
    <x v="10"/>
    <x v="3"/>
    <s v="GBPR_WOODWASTE_IND"/>
    <x v="4"/>
    <x v="4"/>
    <n v="4"/>
    <n v="243.333333333333"/>
    <n v="876"/>
  </r>
  <r>
    <x v="0"/>
    <x v="0"/>
    <x v="0"/>
    <x v="4"/>
    <x v="5"/>
    <s v="LV_A2"/>
    <x v="10"/>
    <x v="3"/>
    <s v="GBPR_WOODWASTE_IND"/>
    <x v="4"/>
    <x v="5"/>
    <n v="4"/>
    <n v="243.333333333333"/>
    <n v="876"/>
  </r>
  <r>
    <x v="0"/>
    <x v="0"/>
    <x v="0"/>
    <x v="4"/>
    <x v="5"/>
    <s v="LV_A2"/>
    <x v="10"/>
    <x v="3"/>
    <s v="GBPR_WOODWASTE_IND"/>
    <x v="4"/>
    <x v="6"/>
    <n v="4"/>
    <n v="243.333333333333"/>
    <n v="876"/>
  </r>
  <r>
    <x v="0"/>
    <x v="0"/>
    <x v="0"/>
    <x v="4"/>
    <x v="5"/>
    <s v="LV_A2"/>
    <x v="10"/>
    <x v="3"/>
    <s v="GBPR_WOODWASTE_IND"/>
    <x v="4"/>
    <x v="7"/>
    <n v="4"/>
    <n v="243.333333333333"/>
    <n v="876"/>
  </r>
  <r>
    <x v="0"/>
    <x v="0"/>
    <x v="0"/>
    <x v="4"/>
    <x v="5"/>
    <s v="LV_A2"/>
    <x v="10"/>
    <x v="3"/>
    <s v="GBPR_WOODWASTE_IND"/>
    <x v="4"/>
    <x v="8"/>
    <n v="4"/>
    <n v="243.333333333333"/>
    <n v="876"/>
  </r>
  <r>
    <x v="0"/>
    <x v="0"/>
    <x v="0"/>
    <x v="4"/>
    <x v="5"/>
    <s v="LV_A2"/>
    <x v="10"/>
    <x v="3"/>
    <s v="GBPR_WOODWASTE_IND"/>
    <x v="4"/>
    <x v="9"/>
    <n v="4"/>
    <n v="243.333333333333"/>
    <n v="876"/>
  </r>
  <r>
    <x v="0"/>
    <x v="0"/>
    <x v="0"/>
    <x v="4"/>
    <x v="5"/>
    <s v="LV_A2"/>
    <x v="10"/>
    <x v="3"/>
    <s v="GBPR_WOODWASTE_IND"/>
    <x v="4"/>
    <x v="10"/>
    <n v="4"/>
    <n v="243.333333333333"/>
    <n v="876"/>
  </r>
  <r>
    <x v="0"/>
    <x v="0"/>
    <x v="0"/>
    <x v="4"/>
    <x v="5"/>
    <s v="LV_A2"/>
    <x v="10"/>
    <x v="3"/>
    <s v="GBPR_WOODWASTE_IND"/>
    <x v="4"/>
    <x v="11"/>
    <n v="4"/>
    <n v="243.333333333333"/>
    <n v="876"/>
  </r>
  <r>
    <x v="0"/>
    <x v="0"/>
    <x v="0"/>
    <x v="4"/>
    <x v="5"/>
    <s v="LV_A2"/>
    <x v="10"/>
    <x v="3"/>
    <s v="GBPR_WOODWASTE_IND"/>
    <x v="5"/>
    <x v="0"/>
    <n v="4"/>
    <n v="243.333333333333"/>
    <n v="876"/>
  </r>
  <r>
    <x v="0"/>
    <x v="0"/>
    <x v="0"/>
    <x v="4"/>
    <x v="5"/>
    <s v="LV_A2"/>
    <x v="10"/>
    <x v="3"/>
    <s v="GBPR_WOODWASTE_IND"/>
    <x v="5"/>
    <x v="1"/>
    <n v="4"/>
    <n v="243.333333333333"/>
    <n v="876"/>
  </r>
  <r>
    <x v="0"/>
    <x v="0"/>
    <x v="0"/>
    <x v="4"/>
    <x v="5"/>
    <s v="LV_A2"/>
    <x v="10"/>
    <x v="3"/>
    <s v="GBPR_WOODWASTE_IND"/>
    <x v="5"/>
    <x v="2"/>
    <n v="4"/>
    <n v="243.333333333333"/>
    <n v="876"/>
  </r>
  <r>
    <x v="0"/>
    <x v="0"/>
    <x v="0"/>
    <x v="4"/>
    <x v="5"/>
    <s v="LV_A2"/>
    <x v="10"/>
    <x v="3"/>
    <s v="GBPR_WOODWASTE_IND"/>
    <x v="5"/>
    <x v="3"/>
    <n v="4"/>
    <n v="243.333333333333"/>
    <n v="876"/>
  </r>
  <r>
    <x v="0"/>
    <x v="0"/>
    <x v="0"/>
    <x v="4"/>
    <x v="5"/>
    <s v="LV_A2"/>
    <x v="10"/>
    <x v="3"/>
    <s v="GBPR_WOODWASTE_IND"/>
    <x v="5"/>
    <x v="4"/>
    <n v="4"/>
    <n v="243.333333333333"/>
    <n v="876"/>
  </r>
  <r>
    <x v="0"/>
    <x v="0"/>
    <x v="0"/>
    <x v="4"/>
    <x v="5"/>
    <s v="LV_A2"/>
    <x v="10"/>
    <x v="3"/>
    <s v="GBPR_WOODWASTE_IND"/>
    <x v="5"/>
    <x v="5"/>
    <n v="4"/>
    <n v="243.333333333333"/>
    <n v="876"/>
  </r>
  <r>
    <x v="0"/>
    <x v="0"/>
    <x v="0"/>
    <x v="4"/>
    <x v="5"/>
    <s v="LV_A2"/>
    <x v="10"/>
    <x v="3"/>
    <s v="GBPR_WOODWASTE_IND"/>
    <x v="5"/>
    <x v="6"/>
    <n v="4"/>
    <n v="243.333333333333"/>
    <n v="876"/>
  </r>
  <r>
    <x v="0"/>
    <x v="0"/>
    <x v="0"/>
    <x v="4"/>
    <x v="5"/>
    <s v="LV_A2"/>
    <x v="10"/>
    <x v="3"/>
    <s v="GBPR_WOODWASTE_IND"/>
    <x v="5"/>
    <x v="7"/>
    <n v="4"/>
    <n v="243.333333333333"/>
    <n v="876"/>
  </r>
  <r>
    <x v="0"/>
    <x v="0"/>
    <x v="0"/>
    <x v="4"/>
    <x v="5"/>
    <s v="LV_A2"/>
    <x v="10"/>
    <x v="3"/>
    <s v="GBPR_WOODWASTE_IND"/>
    <x v="5"/>
    <x v="8"/>
    <n v="4"/>
    <n v="243.333333333333"/>
    <n v="876"/>
  </r>
  <r>
    <x v="0"/>
    <x v="0"/>
    <x v="0"/>
    <x v="4"/>
    <x v="5"/>
    <s v="LV_A2"/>
    <x v="10"/>
    <x v="3"/>
    <s v="GBPR_WOODWASTE_IND"/>
    <x v="5"/>
    <x v="9"/>
    <n v="4"/>
    <n v="243.333333333333"/>
    <n v="876"/>
  </r>
  <r>
    <x v="0"/>
    <x v="0"/>
    <x v="0"/>
    <x v="4"/>
    <x v="5"/>
    <s v="LV_A2"/>
    <x v="10"/>
    <x v="3"/>
    <s v="GBPR_WOODWASTE_IND"/>
    <x v="5"/>
    <x v="10"/>
    <n v="4"/>
    <n v="243.333333333333"/>
    <n v="876"/>
  </r>
  <r>
    <x v="0"/>
    <x v="0"/>
    <x v="0"/>
    <x v="4"/>
    <x v="5"/>
    <s v="LV_A2"/>
    <x v="10"/>
    <x v="3"/>
    <s v="GBPR_WOODWASTE_IND"/>
    <x v="5"/>
    <x v="11"/>
    <n v="4"/>
    <n v="243.333333333333"/>
    <n v="876"/>
  </r>
  <r>
    <x v="0"/>
    <x v="0"/>
    <x v="0"/>
    <x v="4"/>
    <x v="5"/>
    <s v="LV_A2"/>
    <x v="10"/>
    <x v="3"/>
    <s v="GBPR_WOODWASTE_IND"/>
    <x v="6"/>
    <x v="0"/>
    <n v="4"/>
    <n v="243.333333333333"/>
    <n v="876"/>
  </r>
  <r>
    <x v="0"/>
    <x v="0"/>
    <x v="0"/>
    <x v="4"/>
    <x v="5"/>
    <s v="LV_A2"/>
    <x v="10"/>
    <x v="3"/>
    <s v="GBPR_WOODWASTE_IND"/>
    <x v="6"/>
    <x v="1"/>
    <n v="4"/>
    <n v="243.333333333333"/>
    <n v="876"/>
  </r>
  <r>
    <x v="0"/>
    <x v="0"/>
    <x v="0"/>
    <x v="4"/>
    <x v="5"/>
    <s v="LV_A2"/>
    <x v="10"/>
    <x v="3"/>
    <s v="GBPR_WOODWASTE_IND"/>
    <x v="6"/>
    <x v="2"/>
    <n v="4"/>
    <n v="243.333333333333"/>
    <n v="876"/>
  </r>
  <r>
    <x v="0"/>
    <x v="0"/>
    <x v="0"/>
    <x v="4"/>
    <x v="5"/>
    <s v="LV_A2"/>
    <x v="10"/>
    <x v="3"/>
    <s v="GBPR_WOODWASTE_IND"/>
    <x v="6"/>
    <x v="3"/>
    <n v="4"/>
    <n v="243.333333333333"/>
    <n v="876"/>
  </r>
  <r>
    <x v="0"/>
    <x v="0"/>
    <x v="0"/>
    <x v="4"/>
    <x v="5"/>
    <s v="LV_A2"/>
    <x v="10"/>
    <x v="3"/>
    <s v="GBPR_WOODWASTE_IND"/>
    <x v="6"/>
    <x v="4"/>
    <n v="4"/>
    <n v="243.333333333333"/>
    <n v="876"/>
  </r>
  <r>
    <x v="0"/>
    <x v="0"/>
    <x v="0"/>
    <x v="4"/>
    <x v="5"/>
    <s v="LV_A2"/>
    <x v="10"/>
    <x v="3"/>
    <s v="GBPR_WOODWASTE_IND"/>
    <x v="6"/>
    <x v="5"/>
    <n v="4"/>
    <n v="243.333333333333"/>
    <n v="876"/>
  </r>
  <r>
    <x v="0"/>
    <x v="0"/>
    <x v="0"/>
    <x v="4"/>
    <x v="5"/>
    <s v="LV_A2"/>
    <x v="10"/>
    <x v="3"/>
    <s v="GBPR_WOODWASTE_IND"/>
    <x v="6"/>
    <x v="6"/>
    <n v="4"/>
    <n v="243.333333333333"/>
    <n v="876"/>
  </r>
  <r>
    <x v="0"/>
    <x v="0"/>
    <x v="0"/>
    <x v="4"/>
    <x v="5"/>
    <s v="LV_A2"/>
    <x v="10"/>
    <x v="3"/>
    <s v="GBPR_WOODWASTE_IND"/>
    <x v="6"/>
    <x v="7"/>
    <n v="4"/>
    <n v="243.333333333333"/>
    <n v="876"/>
  </r>
  <r>
    <x v="0"/>
    <x v="0"/>
    <x v="0"/>
    <x v="4"/>
    <x v="5"/>
    <s v="LV_A2"/>
    <x v="10"/>
    <x v="3"/>
    <s v="GBPR_WOODWASTE_IND"/>
    <x v="6"/>
    <x v="8"/>
    <n v="4"/>
    <n v="243.333333333333"/>
    <n v="876"/>
  </r>
  <r>
    <x v="0"/>
    <x v="0"/>
    <x v="0"/>
    <x v="4"/>
    <x v="5"/>
    <s v="LV_A2"/>
    <x v="10"/>
    <x v="3"/>
    <s v="GBPR_WOODWASTE_IND"/>
    <x v="6"/>
    <x v="9"/>
    <n v="4"/>
    <n v="243.333333333333"/>
    <n v="876"/>
  </r>
  <r>
    <x v="0"/>
    <x v="0"/>
    <x v="0"/>
    <x v="4"/>
    <x v="5"/>
    <s v="LV_A2"/>
    <x v="10"/>
    <x v="3"/>
    <s v="GBPR_WOODWASTE_IND"/>
    <x v="6"/>
    <x v="10"/>
    <n v="4"/>
    <n v="243.333333333333"/>
    <n v="876"/>
  </r>
  <r>
    <x v="0"/>
    <x v="0"/>
    <x v="0"/>
    <x v="4"/>
    <x v="5"/>
    <s v="LV_A2"/>
    <x v="10"/>
    <x v="3"/>
    <s v="GBPR_WOODWASTE_IND"/>
    <x v="6"/>
    <x v="11"/>
    <n v="4"/>
    <n v="243.333333333333"/>
    <n v="876"/>
  </r>
  <r>
    <x v="0"/>
    <x v="0"/>
    <x v="0"/>
    <x v="4"/>
    <x v="5"/>
    <s v="LV_A2"/>
    <x v="10"/>
    <x v="3"/>
    <s v="GBPR_WOODWASTE_IND"/>
    <x v="7"/>
    <x v="0"/>
    <n v="4"/>
    <n v="243.333333333333"/>
    <n v="876"/>
  </r>
  <r>
    <x v="0"/>
    <x v="0"/>
    <x v="0"/>
    <x v="4"/>
    <x v="5"/>
    <s v="LV_A2"/>
    <x v="10"/>
    <x v="3"/>
    <s v="GBPR_WOODWASTE_IND"/>
    <x v="7"/>
    <x v="1"/>
    <n v="4"/>
    <n v="243.333333333333"/>
    <n v="876"/>
  </r>
  <r>
    <x v="0"/>
    <x v="0"/>
    <x v="0"/>
    <x v="4"/>
    <x v="5"/>
    <s v="LV_A2"/>
    <x v="10"/>
    <x v="3"/>
    <s v="GBPR_WOODWASTE_IND"/>
    <x v="7"/>
    <x v="2"/>
    <n v="4"/>
    <n v="243.333333333333"/>
    <n v="876"/>
  </r>
  <r>
    <x v="0"/>
    <x v="0"/>
    <x v="0"/>
    <x v="4"/>
    <x v="5"/>
    <s v="LV_A2"/>
    <x v="10"/>
    <x v="3"/>
    <s v="GBPR_WOODWASTE_IND"/>
    <x v="7"/>
    <x v="3"/>
    <n v="4"/>
    <n v="243.333333333333"/>
    <n v="876"/>
  </r>
  <r>
    <x v="0"/>
    <x v="0"/>
    <x v="0"/>
    <x v="4"/>
    <x v="5"/>
    <s v="LV_A2"/>
    <x v="10"/>
    <x v="3"/>
    <s v="GBPR_WOODWASTE_IND"/>
    <x v="7"/>
    <x v="4"/>
    <n v="4"/>
    <n v="243.333333333333"/>
    <n v="876"/>
  </r>
  <r>
    <x v="0"/>
    <x v="0"/>
    <x v="0"/>
    <x v="4"/>
    <x v="5"/>
    <s v="LV_A2"/>
    <x v="10"/>
    <x v="3"/>
    <s v="GBPR_WOODWASTE_IND"/>
    <x v="7"/>
    <x v="5"/>
    <n v="4"/>
    <n v="243.333333333333"/>
    <n v="876"/>
  </r>
  <r>
    <x v="0"/>
    <x v="0"/>
    <x v="0"/>
    <x v="4"/>
    <x v="5"/>
    <s v="LV_A2"/>
    <x v="10"/>
    <x v="3"/>
    <s v="GBPR_WOODWASTE_IND"/>
    <x v="7"/>
    <x v="6"/>
    <n v="4"/>
    <n v="243.333333333333"/>
    <n v="876"/>
  </r>
  <r>
    <x v="0"/>
    <x v="0"/>
    <x v="0"/>
    <x v="4"/>
    <x v="5"/>
    <s v="LV_A2"/>
    <x v="10"/>
    <x v="3"/>
    <s v="GBPR_WOODWASTE_IND"/>
    <x v="7"/>
    <x v="7"/>
    <n v="4"/>
    <n v="243.333333333333"/>
    <n v="876"/>
  </r>
  <r>
    <x v="0"/>
    <x v="0"/>
    <x v="0"/>
    <x v="4"/>
    <x v="5"/>
    <s v="LV_A2"/>
    <x v="10"/>
    <x v="3"/>
    <s v="GBPR_WOODWASTE_IND"/>
    <x v="7"/>
    <x v="8"/>
    <n v="4"/>
    <n v="243.333333333333"/>
    <n v="876"/>
  </r>
  <r>
    <x v="0"/>
    <x v="0"/>
    <x v="0"/>
    <x v="4"/>
    <x v="5"/>
    <s v="LV_A2"/>
    <x v="10"/>
    <x v="3"/>
    <s v="GBPR_WOODWASTE_IND"/>
    <x v="7"/>
    <x v="9"/>
    <n v="4"/>
    <n v="243.333333333333"/>
    <n v="876"/>
  </r>
  <r>
    <x v="0"/>
    <x v="0"/>
    <x v="0"/>
    <x v="4"/>
    <x v="5"/>
    <s v="LV_A2"/>
    <x v="10"/>
    <x v="3"/>
    <s v="GBPR_WOODWASTE_IND"/>
    <x v="7"/>
    <x v="10"/>
    <n v="4"/>
    <n v="243.333333333333"/>
    <n v="876"/>
  </r>
  <r>
    <x v="0"/>
    <x v="0"/>
    <x v="0"/>
    <x v="4"/>
    <x v="5"/>
    <s v="LV_A2"/>
    <x v="10"/>
    <x v="3"/>
    <s v="GBPR_WOODWASTE_IND"/>
    <x v="7"/>
    <x v="11"/>
    <n v="4"/>
    <n v="243.333333333333"/>
    <n v="876"/>
  </r>
  <r>
    <x v="0"/>
    <x v="0"/>
    <x v="0"/>
    <x v="4"/>
    <x v="5"/>
    <s v="LV_A2"/>
    <x v="10"/>
    <x v="3"/>
    <s v="GBPR_WOODWASTE_IND"/>
    <x v="8"/>
    <x v="0"/>
    <n v="4"/>
    <n v="243.333333333333"/>
    <n v="876"/>
  </r>
  <r>
    <x v="0"/>
    <x v="0"/>
    <x v="0"/>
    <x v="4"/>
    <x v="5"/>
    <s v="LV_A2"/>
    <x v="10"/>
    <x v="3"/>
    <s v="GBPR_WOODWASTE_IND"/>
    <x v="8"/>
    <x v="1"/>
    <n v="4"/>
    <n v="243.333333333333"/>
    <n v="876"/>
  </r>
  <r>
    <x v="0"/>
    <x v="0"/>
    <x v="0"/>
    <x v="4"/>
    <x v="5"/>
    <s v="LV_A2"/>
    <x v="10"/>
    <x v="3"/>
    <s v="GBPR_WOODWASTE_IND"/>
    <x v="8"/>
    <x v="2"/>
    <n v="4"/>
    <n v="243.333333333333"/>
    <n v="876"/>
  </r>
  <r>
    <x v="0"/>
    <x v="0"/>
    <x v="0"/>
    <x v="4"/>
    <x v="5"/>
    <s v="LV_A2"/>
    <x v="10"/>
    <x v="3"/>
    <s v="GBPR_WOODWASTE_IND"/>
    <x v="8"/>
    <x v="3"/>
    <n v="4"/>
    <n v="243.333333333333"/>
    <n v="876"/>
  </r>
  <r>
    <x v="0"/>
    <x v="0"/>
    <x v="0"/>
    <x v="4"/>
    <x v="5"/>
    <s v="LV_A2"/>
    <x v="10"/>
    <x v="3"/>
    <s v="GBPR_WOODWASTE_IND"/>
    <x v="8"/>
    <x v="4"/>
    <n v="4"/>
    <n v="243.333333333333"/>
    <n v="876"/>
  </r>
  <r>
    <x v="0"/>
    <x v="0"/>
    <x v="0"/>
    <x v="4"/>
    <x v="5"/>
    <s v="LV_A2"/>
    <x v="10"/>
    <x v="3"/>
    <s v="GBPR_WOODWASTE_IND"/>
    <x v="8"/>
    <x v="5"/>
    <n v="4"/>
    <n v="243.333333333333"/>
    <n v="876"/>
  </r>
  <r>
    <x v="0"/>
    <x v="0"/>
    <x v="0"/>
    <x v="4"/>
    <x v="5"/>
    <s v="LV_A2"/>
    <x v="10"/>
    <x v="3"/>
    <s v="GBPR_WOODWASTE_IND"/>
    <x v="8"/>
    <x v="6"/>
    <n v="4"/>
    <n v="243.333333333333"/>
    <n v="876"/>
  </r>
  <r>
    <x v="0"/>
    <x v="0"/>
    <x v="0"/>
    <x v="4"/>
    <x v="5"/>
    <s v="LV_A2"/>
    <x v="10"/>
    <x v="3"/>
    <s v="GBPR_WOODWASTE_IND"/>
    <x v="8"/>
    <x v="7"/>
    <n v="4"/>
    <n v="243.333333333333"/>
    <n v="876"/>
  </r>
  <r>
    <x v="0"/>
    <x v="0"/>
    <x v="0"/>
    <x v="4"/>
    <x v="5"/>
    <s v="LV_A2"/>
    <x v="10"/>
    <x v="3"/>
    <s v="GBPR_WOODWASTE_IND"/>
    <x v="8"/>
    <x v="8"/>
    <n v="4"/>
    <n v="243.333333333333"/>
    <n v="876"/>
  </r>
  <r>
    <x v="0"/>
    <x v="0"/>
    <x v="0"/>
    <x v="4"/>
    <x v="5"/>
    <s v="LV_A2"/>
    <x v="10"/>
    <x v="3"/>
    <s v="GBPR_WOODWASTE_IND"/>
    <x v="8"/>
    <x v="9"/>
    <n v="4"/>
    <n v="243.333333333333"/>
    <n v="876"/>
  </r>
  <r>
    <x v="0"/>
    <x v="0"/>
    <x v="0"/>
    <x v="4"/>
    <x v="5"/>
    <s v="LV_A2"/>
    <x v="10"/>
    <x v="3"/>
    <s v="GBPR_WOODWASTE_IND"/>
    <x v="8"/>
    <x v="10"/>
    <n v="4"/>
    <n v="243.333333333333"/>
    <n v="876"/>
  </r>
  <r>
    <x v="0"/>
    <x v="0"/>
    <x v="0"/>
    <x v="4"/>
    <x v="5"/>
    <s v="LV_A2"/>
    <x v="10"/>
    <x v="3"/>
    <s v="GBPR_WOODWASTE_IND"/>
    <x v="8"/>
    <x v="11"/>
    <n v="4"/>
    <n v="243.333333333333"/>
    <n v="876"/>
  </r>
  <r>
    <x v="0"/>
    <x v="0"/>
    <x v="0"/>
    <x v="4"/>
    <x v="5"/>
    <s v="LV_A2"/>
    <x v="10"/>
    <x v="3"/>
    <s v="GBPR_WOODWASTE_IND"/>
    <x v="9"/>
    <x v="0"/>
    <n v="4"/>
    <n v="243.333333333333"/>
    <n v="876"/>
  </r>
  <r>
    <x v="0"/>
    <x v="0"/>
    <x v="0"/>
    <x v="4"/>
    <x v="5"/>
    <s v="LV_A2"/>
    <x v="10"/>
    <x v="3"/>
    <s v="GBPR_WOODWASTE_IND"/>
    <x v="9"/>
    <x v="1"/>
    <n v="4"/>
    <n v="243.333333333333"/>
    <n v="876"/>
  </r>
  <r>
    <x v="0"/>
    <x v="0"/>
    <x v="0"/>
    <x v="4"/>
    <x v="5"/>
    <s v="LV_A2"/>
    <x v="10"/>
    <x v="3"/>
    <s v="GBPR_WOODWASTE_IND"/>
    <x v="9"/>
    <x v="2"/>
    <n v="4"/>
    <n v="243.333333333333"/>
    <n v="876"/>
  </r>
  <r>
    <x v="0"/>
    <x v="0"/>
    <x v="0"/>
    <x v="4"/>
    <x v="5"/>
    <s v="LV_A2"/>
    <x v="10"/>
    <x v="3"/>
    <s v="GBPR_WOODWASTE_IND"/>
    <x v="9"/>
    <x v="3"/>
    <n v="4"/>
    <n v="243.333333333333"/>
    <n v="876"/>
  </r>
  <r>
    <x v="0"/>
    <x v="0"/>
    <x v="0"/>
    <x v="4"/>
    <x v="5"/>
    <s v="LV_A2"/>
    <x v="10"/>
    <x v="3"/>
    <s v="GBPR_WOODWASTE_IND"/>
    <x v="9"/>
    <x v="4"/>
    <n v="4"/>
    <n v="243.333333333333"/>
    <n v="876"/>
  </r>
  <r>
    <x v="0"/>
    <x v="0"/>
    <x v="0"/>
    <x v="4"/>
    <x v="5"/>
    <s v="LV_A2"/>
    <x v="10"/>
    <x v="3"/>
    <s v="GBPR_WOODWASTE_IND"/>
    <x v="9"/>
    <x v="5"/>
    <n v="4"/>
    <n v="243.333333333333"/>
    <n v="876"/>
  </r>
  <r>
    <x v="0"/>
    <x v="0"/>
    <x v="0"/>
    <x v="4"/>
    <x v="5"/>
    <s v="LV_A2"/>
    <x v="10"/>
    <x v="3"/>
    <s v="GBPR_WOODWASTE_IND"/>
    <x v="9"/>
    <x v="6"/>
    <n v="4"/>
    <n v="243.333333333333"/>
    <n v="876"/>
  </r>
  <r>
    <x v="0"/>
    <x v="0"/>
    <x v="0"/>
    <x v="4"/>
    <x v="5"/>
    <s v="LV_A2"/>
    <x v="10"/>
    <x v="3"/>
    <s v="GBPR_WOODWASTE_IND"/>
    <x v="9"/>
    <x v="7"/>
    <n v="4"/>
    <n v="243.333333333333"/>
    <n v="876"/>
  </r>
  <r>
    <x v="0"/>
    <x v="0"/>
    <x v="0"/>
    <x v="4"/>
    <x v="5"/>
    <s v="LV_A2"/>
    <x v="10"/>
    <x v="3"/>
    <s v="GBPR_WOODWASTE_IND"/>
    <x v="9"/>
    <x v="8"/>
    <n v="4"/>
    <n v="243.333333333333"/>
    <n v="876"/>
  </r>
  <r>
    <x v="0"/>
    <x v="0"/>
    <x v="0"/>
    <x v="4"/>
    <x v="5"/>
    <s v="LV_A2"/>
    <x v="10"/>
    <x v="3"/>
    <s v="GBPR_WOODWASTE_IND"/>
    <x v="9"/>
    <x v="9"/>
    <n v="4"/>
    <n v="243.333333333333"/>
    <n v="876"/>
  </r>
  <r>
    <x v="0"/>
    <x v="0"/>
    <x v="0"/>
    <x v="4"/>
    <x v="5"/>
    <s v="LV_A2"/>
    <x v="10"/>
    <x v="3"/>
    <s v="GBPR_WOODWASTE_IND"/>
    <x v="9"/>
    <x v="10"/>
    <n v="4"/>
    <n v="243.333333333333"/>
    <n v="876"/>
  </r>
  <r>
    <x v="0"/>
    <x v="0"/>
    <x v="0"/>
    <x v="4"/>
    <x v="5"/>
    <s v="LV_A2"/>
    <x v="10"/>
    <x v="3"/>
    <s v="GBPR_WOODWASTE_IND"/>
    <x v="9"/>
    <x v="11"/>
    <n v="4"/>
    <n v="243.333333333333"/>
    <n v="876"/>
  </r>
  <r>
    <x v="0"/>
    <x v="0"/>
    <x v="0"/>
    <x v="4"/>
    <x v="5"/>
    <s v="LV_A2"/>
    <x v="10"/>
    <x v="3"/>
    <s v="GBPR_WOODWASTE_IND"/>
    <x v="10"/>
    <x v="0"/>
    <n v="4"/>
    <n v="243.333333333333"/>
    <n v="876"/>
  </r>
  <r>
    <x v="0"/>
    <x v="0"/>
    <x v="0"/>
    <x v="4"/>
    <x v="5"/>
    <s v="LV_A2"/>
    <x v="10"/>
    <x v="3"/>
    <s v="GBPR_WOODWASTE_IND"/>
    <x v="10"/>
    <x v="1"/>
    <n v="4"/>
    <n v="243.333333333333"/>
    <n v="876"/>
  </r>
  <r>
    <x v="0"/>
    <x v="0"/>
    <x v="0"/>
    <x v="4"/>
    <x v="5"/>
    <s v="LV_A2"/>
    <x v="10"/>
    <x v="3"/>
    <s v="GBPR_WOODWASTE_IND"/>
    <x v="10"/>
    <x v="2"/>
    <n v="4"/>
    <n v="243.333333333333"/>
    <n v="876"/>
  </r>
  <r>
    <x v="0"/>
    <x v="0"/>
    <x v="0"/>
    <x v="4"/>
    <x v="5"/>
    <s v="LV_A2"/>
    <x v="10"/>
    <x v="3"/>
    <s v="GBPR_WOODWASTE_IND"/>
    <x v="10"/>
    <x v="3"/>
    <n v="4"/>
    <n v="243.333333333333"/>
    <n v="876"/>
  </r>
  <r>
    <x v="0"/>
    <x v="0"/>
    <x v="0"/>
    <x v="4"/>
    <x v="5"/>
    <s v="LV_A2"/>
    <x v="10"/>
    <x v="3"/>
    <s v="GBPR_WOODWASTE_IND"/>
    <x v="10"/>
    <x v="4"/>
    <n v="4"/>
    <n v="243.333333333333"/>
    <n v="876"/>
  </r>
  <r>
    <x v="0"/>
    <x v="0"/>
    <x v="0"/>
    <x v="4"/>
    <x v="5"/>
    <s v="LV_A2"/>
    <x v="10"/>
    <x v="3"/>
    <s v="GBPR_WOODWASTE_IND"/>
    <x v="10"/>
    <x v="5"/>
    <n v="4"/>
    <n v="243.333333333333"/>
    <n v="876"/>
  </r>
  <r>
    <x v="0"/>
    <x v="0"/>
    <x v="0"/>
    <x v="4"/>
    <x v="5"/>
    <s v="LV_A2"/>
    <x v="10"/>
    <x v="3"/>
    <s v="GBPR_WOODWASTE_IND"/>
    <x v="10"/>
    <x v="6"/>
    <n v="4"/>
    <n v="243.333333333333"/>
    <n v="876"/>
  </r>
  <r>
    <x v="0"/>
    <x v="0"/>
    <x v="0"/>
    <x v="4"/>
    <x v="5"/>
    <s v="LV_A2"/>
    <x v="10"/>
    <x v="3"/>
    <s v="GBPR_WOODWASTE_IND"/>
    <x v="10"/>
    <x v="7"/>
    <n v="4"/>
    <n v="243.333333333333"/>
    <n v="876"/>
  </r>
  <r>
    <x v="0"/>
    <x v="0"/>
    <x v="0"/>
    <x v="4"/>
    <x v="5"/>
    <s v="LV_A2"/>
    <x v="10"/>
    <x v="3"/>
    <s v="GBPR_WOODWASTE_IND"/>
    <x v="10"/>
    <x v="8"/>
    <n v="4"/>
    <n v="243.333333333333"/>
    <n v="876"/>
  </r>
  <r>
    <x v="0"/>
    <x v="0"/>
    <x v="0"/>
    <x v="4"/>
    <x v="5"/>
    <s v="LV_A2"/>
    <x v="10"/>
    <x v="3"/>
    <s v="GBPR_WOODWASTE_IND"/>
    <x v="10"/>
    <x v="9"/>
    <n v="4"/>
    <n v="243.333333333333"/>
    <n v="876"/>
  </r>
  <r>
    <x v="0"/>
    <x v="0"/>
    <x v="0"/>
    <x v="4"/>
    <x v="5"/>
    <s v="LV_A2"/>
    <x v="10"/>
    <x v="3"/>
    <s v="GBPR_WOODWASTE_IND"/>
    <x v="10"/>
    <x v="10"/>
    <n v="4"/>
    <n v="243.333333333333"/>
    <n v="876"/>
  </r>
  <r>
    <x v="0"/>
    <x v="0"/>
    <x v="0"/>
    <x v="4"/>
    <x v="5"/>
    <s v="LV_A2"/>
    <x v="10"/>
    <x v="3"/>
    <s v="GBPR_WOODWASTE_IND"/>
    <x v="10"/>
    <x v="11"/>
    <n v="4"/>
    <n v="243.333333333333"/>
    <n v="876"/>
  </r>
  <r>
    <x v="0"/>
    <x v="0"/>
    <x v="0"/>
    <x v="4"/>
    <x v="5"/>
    <s v="LV_A2"/>
    <x v="10"/>
    <x v="3"/>
    <s v="GBPR_WOODWASTE_IND"/>
    <x v="11"/>
    <x v="0"/>
    <n v="4"/>
    <n v="243.333333333333"/>
    <n v="876"/>
  </r>
  <r>
    <x v="0"/>
    <x v="0"/>
    <x v="0"/>
    <x v="4"/>
    <x v="5"/>
    <s v="LV_A2"/>
    <x v="10"/>
    <x v="3"/>
    <s v="GBPR_WOODWASTE_IND"/>
    <x v="11"/>
    <x v="1"/>
    <n v="4"/>
    <n v="243.333333333333"/>
    <n v="876"/>
  </r>
  <r>
    <x v="0"/>
    <x v="0"/>
    <x v="0"/>
    <x v="4"/>
    <x v="5"/>
    <s v="LV_A2"/>
    <x v="10"/>
    <x v="3"/>
    <s v="GBPR_WOODWASTE_IND"/>
    <x v="11"/>
    <x v="2"/>
    <n v="4"/>
    <n v="243.333333333333"/>
    <n v="876"/>
  </r>
  <r>
    <x v="0"/>
    <x v="0"/>
    <x v="0"/>
    <x v="4"/>
    <x v="5"/>
    <s v="LV_A2"/>
    <x v="10"/>
    <x v="3"/>
    <s v="GBPR_WOODWASTE_IND"/>
    <x v="11"/>
    <x v="3"/>
    <n v="4"/>
    <n v="243.333333333333"/>
    <n v="876"/>
  </r>
  <r>
    <x v="0"/>
    <x v="0"/>
    <x v="0"/>
    <x v="4"/>
    <x v="5"/>
    <s v="LV_A2"/>
    <x v="10"/>
    <x v="3"/>
    <s v="GBPR_WOODWASTE_IND"/>
    <x v="11"/>
    <x v="4"/>
    <n v="4"/>
    <n v="243.333333333333"/>
    <n v="876"/>
  </r>
  <r>
    <x v="0"/>
    <x v="0"/>
    <x v="0"/>
    <x v="4"/>
    <x v="5"/>
    <s v="LV_A2"/>
    <x v="10"/>
    <x v="3"/>
    <s v="GBPR_WOODWASTE_IND"/>
    <x v="11"/>
    <x v="5"/>
    <n v="4"/>
    <n v="243.333333333333"/>
    <n v="876"/>
  </r>
  <r>
    <x v="0"/>
    <x v="0"/>
    <x v="0"/>
    <x v="4"/>
    <x v="5"/>
    <s v="LV_A2"/>
    <x v="10"/>
    <x v="3"/>
    <s v="GBPR_WOODWASTE_IND"/>
    <x v="11"/>
    <x v="6"/>
    <n v="4"/>
    <n v="243.333333333333"/>
    <n v="876"/>
  </r>
  <r>
    <x v="0"/>
    <x v="0"/>
    <x v="0"/>
    <x v="4"/>
    <x v="5"/>
    <s v="LV_A2"/>
    <x v="10"/>
    <x v="3"/>
    <s v="GBPR_WOODWASTE_IND"/>
    <x v="11"/>
    <x v="7"/>
    <n v="4"/>
    <n v="243.333333333333"/>
    <n v="876"/>
  </r>
  <r>
    <x v="0"/>
    <x v="0"/>
    <x v="0"/>
    <x v="4"/>
    <x v="5"/>
    <s v="LV_A2"/>
    <x v="10"/>
    <x v="3"/>
    <s v="GBPR_WOODWASTE_IND"/>
    <x v="11"/>
    <x v="8"/>
    <n v="4"/>
    <n v="243.333333333333"/>
    <n v="876"/>
  </r>
  <r>
    <x v="0"/>
    <x v="0"/>
    <x v="0"/>
    <x v="4"/>
    <x v="5"/>
    <s v="LV_A2"/>
    <x v="10"/>
    <x v="3"/>
    <s v="GBPR_WOODWASTE_IND"/>
    <x v="11"/>
    <x v="9"/>
    <n v="4"/>
    <n v="243.333333333333"/>
    <n v="876"/>
  </r>
  <r>
    <x v="0"/>
    <x v="0"/>
    <x v="0"/>
    <x v="4"/>
    <x v="5"/>
    <s v="LV_A2"/>
    <x v="10"/>
    <x v="3"/>
    <s v="GBPR_WOODWASTE_IND"/>
    <x v="11"/>
    <x v="10"/>
    <n v="4"/>
    <n v="243.333333333333"/>
    <n v="876"/>
  </r>
  <r>
    <x v="0"/>
    <x v="0"/>
    <x v="0"/>
    <x v="4"/>
    <x v="5"/>
    <s v="LV_A2"/>
    <x v="10"/>
    <x v="3"/>
    <s v="GBPR_WOODWASTE_IND"/>
    <x v="11"/>
    <x v="11"/>
    <n v="4"/>
    <n v="243.333333333333"/>
    <n v="876"/>
  </r>
  <r>
    <x v="0"/>
    <x v="0"/>
    <x v="0"/>
    <x v="4"/>
    <x v="5"/>
    <s v="LV_A3"/>
    <x v="11"/>
    <x v="3"/>
    <s v="GBPR_COAL"/>
    <x v="0"/>
    <x v="0"/>
    <n v="3"/>
    <n v="182.5"/>
    <n v="657"/>
  </r>
  <r>
    <x v="0"/>
    <x v="0"/>
    <x v="0"/>
    <x v="4"/>
    <x v="5"/>
    <s v="LV_A3"/>
    <x v="11"/>
    <x v="3"/>
    <s v="GBPR_COAL"/>
    <x v="0"/>
    <x v="1"/>
    <n v="3"/>
    <n v="182.5"/>
    <n v="657"/>
  </r>
  <r>
    <x v="0"/>
    <x v="0"/>
    <x v="0"/>
    <x v="4"/>
    <x v="5"/>
    <s v="LV_A3"/>
    <x v="11"/>
    <x v="3"/>
    <s v="GBPR_COAL"/>
    <x v="0"/>
    <x v="2"/>
    <n v="3"/>
    <n v="182.5"/>
    <n v="657"/>
  </r>
  <r>
    <x v="0"/>
    <x v="0"/>
    <x v="0"/>
    <x v="4"/>
    <x v="5"/>
    <s v="LV_A3"/>
    <x v="11"/>
    <x v="3"/>
    <s v="GBPR_COAL"/>
    <x v="0"/>
    <x v="3"/>
    <n v="3"/>
    <n v="182.5"/>
    <n v="657"/>
  </r>
  <r>
    <x v="0"/>
    <x v="0"/>
    <x v="0"/>
    <x v="4"/>
    <x v="5"/>
    <s v="LV_A3"/>
    <x v="11"/>
    <x v="3"/>
    <s v="GBPR_COAL"/>
    <x v="0"/>
    <x v="4"/>
    <n v="3"/>
    <n v="182.5"/>
    <n v="657"/>
  </r>
  <r>
    <x v="0"/>
    <x v="0"/>
    <x v="0"/>
    <x v="4"/>
    <x v="5"/>
    <s v="LV_A3"/>
    <x v="11"/>
    <x v="3"/>
    <s v="GBPR_COAL"/>
    <x v="0"/>
    <x v="5"/>
    <n v="3"/>
    <n v="182.5"/>
    <n v="657"/>
  </r>
  <r>
    <x v="0"/>
    <x v="0"/>
    <x v="0"/>
    <x v="4"/>
    <x v="5"/>
    <s v="LV_A3"/>
    <x v="11"/>
    <x v="3"/>
    <s v="GBPR_COAL"/>
    <x v="0"/>
    <x v="6"/>
    <n v="3"/>
    <n v="182.5"/>
    <n v="657"/>
  </r>
  <r>
    <x v="0"/>
    <x v="0"/>
    <x v="0"/>
    <x v="4"/>
    <x v="5"/>
    <s v="LV_A3"/>
    <x v="11"/>
    <x v="3"/>
    <s v="GBPR_COAL"/>
    <x v="0"/>
    <x v="7"/>
    <n v="3"/>
    <n v="182.5"/>
    <n v="657"/>
  </r>
  <r>
    <x v="0"/>
    <x v="0"/>
    <x v="0"/>
    <x v="4"/>
    <x v="5"/>
    <s v="LV_A3"/>
    <x v="11"/>
    <x v="3"/>
    <s v="GBPR_COAL"/>
    <x v="0"/>
    <x v="8"/>
    <n v="3"/>
    <n v="182.5"/>
    <n v="657"/>
  </r>
  <r>
    <x v="0"/>
    <x v="0"/>
    <x v="0"/>
    <x v="4"/>
    <x v="5"/>
    <s v="LV_A3"/>
    <x v="11"/>
    <x v="3"/>
    <s v="GBPR_COAL"/>
    <x v="0"/>
    <x v="9"/>
    <n v="3"/>
    <n v="182.5"/>
    <n v="657"/>
  </r>
  <r>
    <x v="0"/>
    <x v="0"/>
    <x v="0"/>
    <x v="4"/>
    <x v="5"/>
    <s v="LV_A3"/>
    <x v="11"/>
    <x v="3"/>
    <s v="GBPR_COAL"/>
    <x v="0"/>
    <x v="10"/>
    <n v="3"/>
    <n v="182.5"/>
    <n v="657"/>
  </r>
  <r>
    <x v="0"/>
    <x v="0"/>
    <x v="0"/>
    <x v="4"/>
    <x v="5"/>
    <s v="LV_A3"/>
    <x v="11"/>
    <x v="3"/>
    <s v="GBPR_COAL"/>
    <x v="0"/>
    <x v="11"/>
    <n v="3"/>
    <n v="182.5"/>
    <n v="657"/>
  </r>
  <r>
    <x v="0"/>
    <x v="0"/>
    <x v="0"/>
    <x v="4"/>
    <x v="5"/>
    <s v="LV_A3"/>
    <x v="11"/>
    <x v="3"/>
    <s v="GBPR_COAL"/>
    <x v="1"/>
    <x v="0"/>
    <n v="3"/>
    <n v="182.5"/>
    <n v="657"/>
  </r>
  <r>
    <x v="0"/>
    <x v="0"/>
    <x v="0"/>
    <x v="4"/>
    <x v="5"/>
    <s v="LV_A3"/>
    <x v="11"/>
    <x v="3"/>
    <s v="GBPR_COAL"/>
    <x v="1"/>
    <x v="1"/>
    <n v="3"/>
    <n v="182.5"/>
    <n v="657"/>
  </r>
  <r>
    <x v="0"/>
    <x v="0"/>
    <x v="0"/>
    <x v="4"/>
    <x v="5"/>
    <s v="LV_A3"/>
    <x v="11"/>
    <x v="3"/>
    <s v="GBPR_COAL"/>
    <x v="1"/>
    <x v="2"/>
    <n v="3"/>
    <n v="182.5"/>
    <n v="657"/>
  </r>
  <r>
    <x v="0"/>
    <x v="0"/>
    <x v="0"/>
    <x v="4"/>
    <x v="5"/>
    <s v="LV_A3"/>
    <x v="11"/>
    <x v="3"/>
    <s v="GBPR_COAL"/>
    <x v="1"/>
    <x v="3"/>
    <n v="3"/>
    <n v="182.5"/>
    <n v="657"/>
  </r>
  <r>
    <x v="0"/>
    <x v="0"/>
    <x v="0"/>
    <x v="4"/>
    <x v="5"/>
    <s v="LV_A3"/>
    <x v="11"/>
    <x v="3"/>
    <s v="GBPR_COAL"/>
    <x v="1"/>
    <x v="4"/>
    <n v="3"/>
    <n v="182.5"/>
    <n v="657"/>
  </r>
  <r>
    <x v="0"/>
    <x v="0"/>
    <x v="0"/>
    <x v="4"/>
    <x v="5"/>
    <s v="LV_A3"/>
    <x v="11"/>
    <x v="3"/>
    <s v="GBPR_COAL"/>
    <x v="1"/>
    <x v="5"/>
    <n v="3"/>
    <n v="182.5"/>
    <n v="657"/>
  </r>
  <r>
    <x v="0"/>
    <x v="0"/>
    <x v="0"/>
    <x v="4"/>
    <x v="5"/>
    <s v="LV_A3"/>
    <x v="11"/>
    <x v="3"/>
    <s v="GBPR_COAL"/>
    <x v="1"/>
    <x v="6"/>
    <n v="3"/>
    <n v="182.5"/>
    <n v="657"/>
  </r>
  <r>
    <x v="0"/>
    <x v="0"/>
    <x v="0"/>
    <x v="4"/>
    <x v="5"/>
    <s v="LV_A3"/>
    <x v="11"/>
    <x v="3"/>
    <s v="GBPR_COAL"/>
    <x v="1"/>
    <x v="7"/>
    <n v="3"/>
    <n v="182.5"/>
    <n v="657"/>
  </r>
  <r>
    <x v="0"/>
    <x v="0"/>
    <x v="0"/>
    <x v="4"/>
    <x v="5"/>
    <s v="LV_A3"/>
    <x v="11"/>
    <x v="3"/>
    <s v="GBPR_COAL"/>
    <x v="1"/>
    <x v="8"/>
    <n v="3"/>
    <n v="182.5"/>
    <n v="657"/>
  </r>
  <r>
    <x v="0"/>
    <x v="0"/>
    <x v="0"/>
    <x v="4"/>
    <x v="5"/>
    <s v="LV_A3"/>
    <x v="11"/>
    <x v="3"/>
    <s v="GBPR_COAL"/>
    <x v="1"/>
    <x v="9"/>
    <n v="3"/>
    <n v="182.5"/>
    <n v="657"/>
  </r>
  <r>
    <x v="0"/>
    <x v="0"/>
    <x v="0"/>
    <x v="4"/>
    <x v="5"/>
    <s v="LV_A3"/>
    <x v="11"/>
    <x v="3"/>
    <s v="GBPR_COAL"/>
    <x v="1"/>
    <x v="10"/>
    <n v="3"/>
    <n v="182.5"/>
    <n v="657"/>
  </r>
  <r>
    <x v="0"/>
    <x v="0"/>
    <x v="0"/>
    <x v="4"/>
    <x v="5"/>
    <s v="LV_A3"/>
    <x v="11"/>
    <x v="3"/>
    <s v="GBPR_COAL"/>
    <x v="1"/>
    <x v="11"/>
    <n v="3"/>
    <n v="182.5"/>
    <n v="657"/>
  </r>
  <r>
    <x v="0"/>
    <x v="0"/>
    <x v="0"/>
    <x v="4"/>
    <x v="5"/>
    <s v="LV_A3"/>
    <x v="11"/>
    <x v="3"/>
    <s v="GBPR_COAL"/>
    <x v="2"/>
    <x v="0"/>
    <n v="3"/>
    <n v="182.5"/>
    <n v="657"/>
  </r>
  <r>
    <x v="0"/>
    <x v="0"/>
    <x v="0"/>
    <x v="4"/>
    <x v="5"/>
    <s v="LV_A3"/>
    <x v="11"/>
    <x v="3"/>
    <s v="GBPR_COAL"/>
    <x v="2"/>
    <x v="1"/>
    <n v="3"/>
    <n v="182.5"/>
    <n v="657"/>
  </r>
  <r>
    <x v="0"/>
    <x v="0"/>
    <x v="0"/>
    <x v="4"/>
    <x v="5"/>
    <s v="LV_A3"/>
    <x v="11"/>
    <x v="3"/>
    <s v="GBPR_COAL"/>
    <x v="2"/>
    <x v="2"/>
    <n v="3"/>
    <n v="182.5"/>
    <n v="657"/>
  </r>
  <r>
    <x v="0"/>
    <x v="0"/>
    <x v="0"/>
    <x v="4"/>
    <x v="5"/>
    <s v="LV_A3"/>
    <x v="11"/>
    <x v="3"/>
    <s v="GBPR_COAL"/>
    <x v="2"/>
    <x v="3"/>
    <n v="3"/>
    <n v="182.5"/>
    <n v="657"/>
  </r>
  <r>
    <x v="0"/>
    <x v="0"/>
    <x v="0"/>
    <x v="4"/>
    <x v="5"/>
    <s v="LV_A3"/>
    <x v="11"/>
    <x v="3"/>
    <s v="GBPR_COAL"/>
    <x v="2"/>
    <x v="4"/>
    <n v="3"/>
    <n v="182.5"/>
    <n v="657"/>
  </r>
  <r>
    <x v="0"/>
    <x v="0"/>
    <x v="0"/>
    <x v="4"/>
    <x v="5"/>
    <s v="LV_A3"/>
    <x v="11"/>
    <x v="3"/>
    <s v="GBPR_COAL"/>
    <x v="2"/>
    <x v="5"/>
    <n v="3"/>
    <n v="182.5"/>
    <n v="657"/>
  </r>
  <r>
    <x v="0"/>
    <x v="0"/>
    <x v="0"/>
    <x v="4"/>
    <x v="5"/>
    <s v="LV_A3"/>
    <x v="11"/>
    <x v="3"/>
    <s v="GBPR_COAL"/>
    <x v="2"/>
    <x v="6"/>
    <n v="3"/>
    <n v="182.5"/>
    <n v="657"/>
  </r>
  <r>
    <x v="0"/>
    <x v="0"/>
    <x v="0"/>
    <x v="4"/>
    <x v="5"/>
    <s v="LV_A3"/>
    <x v="11"/>
    <x v="3"/>
    <s v="GBPR_COAL"/>
    <x v="2"/>
    <x v="7"/>
    <n v="3"/>
    <n v="182.5"/>
    <n v="657"/>
  </r>
  <r>
    <x v="0"/>
    <x v="0"/>
    <x v="0"/>
    <x v="4"/>
    <x v="5"/>
    <s v="LV_A3"/>
    <x v="11"/>
    <x v="3"/>
    <s v="GBPR_COAL"/>
    <x v="2"/>
    <x v="8"/>
    <n v="3"/>
    <n v="182.5"/>
    <n v="657"/>
  </r>
  <r>
    <x v="0"/>
    <x v="0"/>
    <x v="0"/>
    <x v="4"/>
    <x v="5"/>
    <s v="LV_A3"/>
    <x v="11"/>
    <x v="3"/>
    <s v="GBPR_COAL"/>
    <x v="2"/>
    <x v="9"/>
    <n v="3"/>
    <n v="182.5"/>
    <n v="657"/>
  </r>
  <r>
    <x v="0"/>
    <x v="0"/>
    <x v="0"/>
    <x v="4"/>
    <x v="5"/>
    <s v="LV_A3"/>
    <x v="11"/>
    <x v="3"/>
    <s v="GBPR_COAL"/>
    <x v="2"/>
    <x v="10"/>
    <n v="3"/>
    <n v="182.5"/>
    <n v="657"/>
  </r>
  <r>
    <x v="0"/>
    <x v="0"/>
    <x v="0"/>
    <x v="4"/>
    <x v="5"/>
    <s v="LV_A3"/>
    <x v="11"/>
    <x v="3"/>
    <s v="GBPR_COAL"/>
    <x v="2"/>
    <x v="11"/>
    <n v="3"/>
    <n v="182.5"/>
    <n v="657"/>
  </r>
  <r>
    <x v="0"/>
    <x v="0"/>
    <x v="0"/>
    <x v="4"/>
    <x v="5"/>
    <s v="LV_A3"/>
    <x v="11"/>
    <x v="3"/>
    <s v="GBPR_COAL"/>
    <x v="3"/>
    <x v="0"/>
    <n v="3"/>
    <n v="182.5"/>
    <n v="657"/>
  </r>
  <r>
    <x v="0"/>
    <x v="0"/>
    <x v="0"/>
    <x v="4"/>
    <x v="5"/>
    <s v="LV_A3"/>
    <x v="11"/>
    <x v="3"/>
    <s v="GBPR_COAL"/>
    <x v="3"/>
    <x v="1"/>
    <n v="3"/>
    <n v="182.5"/>
    <n v="657"/>
  </r>
  <r>
    <x v="0"/>
    <x v="0"/>
    <x v="0"/>
    <x v="4"/>
    <x v="5"/>
    <s v="LV_A3"/>
    <x v="11"/>
    <x v="3"/>
    <s v="GBPR_COAL"/>
    <x v="3"/>
    <x v="2"/>
    <n v="3"/>
    <n v="182.5"/>
    <n v="657"/>
  </r>
  <r>
    <x v="0"/>
    <x v="0"/>
    <x v="0"/>
    <x v="4"/>
    <x v="5"/>
    <s v="LV_A3"/>
    <x v="11"/>
    <x v="3"/>
    <s v="GBPR_COAL"/>
    <x v="3"/>
    <x v="3"/>
    <n v="3"/>
    <n v="182.5"/>
    <n v="657"/>
  </r>
  <r>
    <x v="0"/>
    <x v="0"/>
    <x v="0"/>
    <x v="4"/>
    <x v="5"/>
    <s v="LV_A3"/>
    <x v="11"/>
    <x v="3"/>
    <s v="GBPR_COAL"/>
    <x v="3"/>
    <x v="4"/>
    <n v="3"/>
    <n v="182.5"/>
    <n v="657"/>
  </r>
  <r>
    <x v="0"/>
    <x v="0"/>
    <x v="0"/>
    <x v="4"/>
    <x v="5"/>
    <s v="LV_A3"/>
    <x v="11"/>
    <x v="3"/>
    <s v="GBPR_COAL"/>
    <x v="3"/>
    <x v="5"/>
    <n v="3"/>
    <n v="182.5"/>
    <n v="657"/>
  </r>
  <r>
    <x v="0"/>
    <x v="0"/>
    <x v="0"/>
    <x v="4"/>
    <x v="5"/>
    <s v="LV_A3"/>
    <x v="11"/>
    <x v="3"/>
    <s v="GBPR_COAL"/>
    <x v="3"/>
    <x v="6"/>
    <n v="3"/>
    <n v="182.5"/>
    <n v="657"/>
  </r>
  <r>
    <x v="0"/>
    <x v="0"/>
    <x v="0"/>
    <x v="4"/>
    <x v="5"/>
    <s v="LV_A3"/>
    <x v="11"/>
    <x v="3"/>
    <s v="GBPR_COAL"/>
    <x v="3"/>
    <x v="7"/>
    <n v="3"/>
    <n v="182.5"/>
    <n v="657"/>
  </r>
  <r>
    <x v="0"/>
    <x v="0"/>
    <x v="0"/>
    <x v="4"/>
    <x v="5"/>
    <s v="LV_A3"/>
    <x v="11"/>
    <x v="3"/>
    <s v="GBPR_COAL"/>
    <x v="3"/>
    <x v="8"/>
    <n v="3"/>
    <n v="182.5"/>
    <n v="657"/>
  </r>
  <r>
    <x v="0"/>
    <x v="0"/>
    <x v="0"/>
    <x v="4"/>
    <x v="5"/>
    <s v="LV_A3"/>
    <x v="11"/>
    <x v="3"/>
    <s v="GBPR_COAL"/>
    <x v="3"/>
    <x v="9"/>
    <n v="3"/>
    <n v="182.5"/>
    <n v="657"/>
  </r>
  <r>
    <x v="0"/>
    <x v="0"/>
    <x v="0"/>
    <x v="4"/>
    <x v="5"/>
    <s v="LV_A3"/>
    <x v="11"/>
    <x v="3"/>
    <s v="GBPR_COAL"/>
    <x v="3"/>
    <x v="10"/>
    <n v="3"/>
    <n v="182.5"/>
    <n v="657"/>
  </r>
  <r>
    <x v="0"/>
    <x v="0"/>
    <x v="0"/>
    <x v="4"/>
    <x v="5"/>
    <s v="LV_A3"/>
    <x v="11"/>
    <x v="3"/>
    <s v="GBPR_COAL"/>
    <x v="3"/>
    <x v="11"/>
    <n v="3"/>
    <n v="182.5"/>
    <n v="657"/>
  </r>
  <r>
    <x v="0"/>
    <x v="0"/>
    <x v="0"/>
    <x v="4"/>
    <x v="5"/>
    <s v="LV_A3"/>
    <x v="11"/>
    <x v="3"/>
    <s v="GBPR_COAL"/>
    <x v="4"/>
    <x v="0"/>
    <n v="3"/>
    <n v="182.5"/>
    <n v="657"/>
  </r>
  <r>
    <x v="0"/>
    <x v="0"/>
    <x v="0"/>
    <x v="4"/>
    <x v="5"/>
    <s v="LV_A3"/>
    <x v="11"/>
    <x v="3"/>
    <s v="GBPR_COAL"/>
    <x v="4"/>
    <x v="1"/>
    <n v="3"/>
    <n v="182.5"/>
    <n v="657"/>
  </r>
  <r>
    <x v="0"/>
    <x v="0"/>
    <x v="0"/>
    <x v="4"/>
    <x v="5"/>
    <s v="LV_A3"/>
    <x v="11"/>
    <x v="3"/>
    <s v="GBPR_COAL"/>
    <x v="4"/>
    <x v="2"/>
    <n v="3"/>
    <n v="182.5"/>
    <n v="657"/>
  </r>
  <r>
    <x v="0"/>
    <x v="0"/>
    <x v="0"/>
    <x v="4"/>
    <x v="5"/>
    <s v="LV_A3"/>
    <x v="11"/>
    <x v="3"/>
    <s v="GBPR_COAL"/>
    <x v="4"/>
    <x v="3"/>
    <n v="3"/>
    <n v="182.5"/>
    <n v="657"/>
  </r>
  <r>
    <x v="0"/>
    <x v="0"/>
    <x v="0"/>
    <x v="4"/>
    <x v="5"/>
    <s v="LV_A3"/>
    <x v="11"/>
    <x v="3"/>
    <s v="GBPR_COAL"/>
    <x v="4"/>
    <x v="4"/>
    <n v="3"/>
    <n v="182.5"/>
    <n v="657"/>
  </r>
  <r>
    <x v="0"/>
    <x v="0"/>
    <x v="0"/>
    <x v="4"/>
    <x v="5"/>
    <s v="LV_A3"/>
    <x v="11"/>
    <x v="3"/>
    <s v="GBPR_COAL"/>
    <x v="4"/>
    <x v="5"/>
    <n v="3"/>
    <n v="182.5"/>
    <n v="657"/>
  </r>
  <r>
    <x v="0"/>
    <x v="0"/>
    <x v="0"/>
    <x v="4"/>
    <x v="5"/>
    <s v="LV_A3"/>
    <x v="11"/>
    <x v="3"/>
    <s v="GBPR_COAL"/>
    <x v="4"/>
    <x v="6"/>
    <n v="3"/>
    <n v="182.5"/>
    <n v="657"/>
  </r>
  <r>
    <x v="0"/>
    <x v="0"/>
    <x v="0"/>
    <x v="4"/>
    <x v="5"/>
    <s v="LV_A3"/>
    <x v="11"/>
    <x v="3"/>
    <s v="GBPR_COAL"/>
    <x v="4"/>
    <x v="7"/>
    <n v="3"/>
    <n v="182.5"/>
    <n v="657"/>
  </r>
  <r>
    <x v="0"/>
    <x v="0"/>
    <x v="0"/>
    <x v="4"/>
    <x v="5"/>
    <s v="LV_A3"/>
    <x v="11"/>
    <x v="3"/>
    <s v="GBPR_COAL"/>
    <x v="4"/>
    <x v="8"/>
    <n v="3"/>
    <n v="182.5"/>
    <n v="657"/>
  </r>
  <r>
    <x v="0"/>
    <x v="0"/>
    <x v="0"/>
    <x v="4"/>
    <x v="5"/>
    <s v="LV_A3"/>
    <x v="11"/>
    <x v="3"/>
    <s v="GBPR_COAL"/>
    <x v="4"/>
    <x v="9"/>
    <n v="3"/>
    <n v="182.5"/>
    <n v="657"/>
  </r>
  <r>
    <x v="0"/>
    <x v="0"/>
    <x v="0"/>
    <x v="4"/>
    <x v="5"/>
    <s v="LV_A3"/>
    <x v="11"/>
    <x v="3"/>
    <s v="GBPR_COAL"/>
    <x v="4"/>
    <x v="10"/>
    <n v="3"/>
    <n v="182.5"/>
    <n v="657"/>
  </r>
  <r>
    <x v="0"/>
    <x v="0"/>
    <x v="0"/>
    <x v="4"/>
    <x v="5"/>
    <s v="LV_A3"/>
    <x v="11"/>
    <x v="3"/>
    <s v="GBPR_COAL"/>
    <x v="4"/>
    <x v="11"/>
    <n v="3"/>
    <n v="182.5"/>
    <n v="657"/>
  </r>
  <r>
    <x v="0"/>
    <x v="0"/>
    <x v="0"/>
    <x v="4"/>
    <x v="5"/>
    <s v="LV_A3"/>
    <x v="11"/>
    <x v="3"/>
    <s v="GBPR_COAL"/>
    <x v="5"/>
    <x v="0"/>
    <n v="3"/>
    <n v="182.5"/>
    <n v="657"/>
  </r>
  <r>
    <x v="0"/>
    <x v="0"/>
    <x v="0"/>
    <x v="4"/>
    <x v="5"/>
    <s v="LV_A3"/>
    <x v="11"/>
    <x v="3"/>
    <s v="GBPR_COAL"/>
    <x v="5"/>
    <x v="1"/>
    <n v="3"/>
    <n v="182.5"/>
    <n v="657"/>
  </r>
  <r>
    <x v="0"/>
    <x v="0"/>
    <x v="0"/>
    <x v="4"/>
    <x v="5"/>
    <s v="LV_A3"/>
    <x v="11"/>
    <x v="3"/>
    <s v="GBPR_COAL"/>
    <x v="5"/>
    <x v="2"/>
    <n v="3"/>
    <n v="182.5"/>
    <n v="657"/>
  </r>
  <r>
    <x v="0"/>
    <x v="0"/>
    <x v="0"/>
    <x v="4"/>
    <x v="5"/>
    <s v="LV_A3"/>
    <x v="11"/>
    <x v="3"/>
    <s v="GBPR_COAL"/>
    <x v="5"/>
    <x v="3"/>
    <n v="3"/>
    <n v="182.5"/>
    <n v="657"/>
  </r>
  <r>
    <x v="0"/>
    <x v="0"/>
    <x v="0"/>
    <x v="4"/>
    <x v="5"/>
    <s v="LV_A3"/>
    <x v="11"/>
    <x v="3"/>
    <s v="GBPR_COAL"/>
    <x v="5"/>
    <x v="4"/>
    <n v="3"/>
    <n v="182.5"/>
    <n v="657"/>
  </r>
  <r>
    <x v="0"/>
    <x v="0"/>
    <x v="0"/>
    <x v="4"/>
    <x v="5"/>
    <s v="LV_A3"/>
    <x v="11"/>
    <x v="3"/>
    <s v="GBPR_COAL"/>
    <x v="5"/>
    <x v="5"/>
    <n v="3"/>
    <n v="182.5"/>
    <n v="657"/>
  </r>
  <r>
    <x v="0"/>
    <x v="0"/>
    <x v="0"/>
    <x v="4"/>
    <x v="5"/>
    <s v="LV_A3"/>
    <x v="11"/>
    <x v="3"/>
    <s v="GBPR_COAL"/>
    <x v="5"/>
    <x v="6"/>
    <n v="3"/>
    <n v="182.5"/>
    <n v="657"/>
  </r>
  <r>
    <x v="0"/>
    <x v="0"/>
    <x v="0"/>
    <x v="4"/>
    <x v="5"/>
    <s v="LV_A3"/>
    <x v="11"/>
    <x v="3"/>
    <s v="GBPR_COAL"/>
    <x v="5"/>
    <x v="7"/>
    <n v="3"/>
    <n v="182.5"/>
    <n v="657"/>
  </r>
  <r>
    <x v="0"/>
    <x v="0"/>
    <x v="0"/>
    <x v="4"/>
    <x v="5"/>
    <s v="LV_A3"/>
    <x v="11"/>
    <x v="3"/>
    <s v="GBPR_COAL"/>
    <x v="5"/>
    <x v="8"/>
    <n v="3"/>
    <n v="182.5"/>
    <n v="657"/>
  </r>
  <r>
    <x v="0"/>
    <x v="0"/>
    <x v="0"/>
    <x v="4"/>
    <x v="5"/>
    <s v="LV_A3"/>
    <x v="11"/>
    <x v="3"/>
    <s v="GBPR_COAL"/>
    <x v="5"/>
    <x v="9"/>
    <n v="3"/>
    <n v="182.5"/>
    <n v="657"/>
  </r>
  <r>
    <x v="0"/>
    <x v="0"/>
    <x v="0"/>
    <x v="4"/>
    <x v="5"/>
    <s v="LV_A3"/>
    <x v="11"/>
    <x v="3"/>
    <s v="GBPR_COAL"/>
    <x v="5"/>
    <x v="10"/>
    <n v="3"/>
    <n v="182.5"/>
    <n v="657"/>
  </r>
  <r>
    <x v="0"/>
    <x v="0"/>
    <x v="0"/>
    <x v="4"/>
    <x v="5"/>
    <s v="LV_A3"/>
    <x v="11"/>
    <x v="3"/>
    <s v="GBPR_COAL"/>
    <x v="5"/>
    <x v="11"/>
    <n v="3"/>
    <n v="182.5"/>
    <n v="657"/>
  </r>
  <r>
    <x v="0"/>
    <x v="0"/>
    <x v="0"/>
    <x v="4"/>
    <x v="5"/>
    <s v="LV_A3"/>
    <x v="11"/>
    <x v="3"/>
    <s v="GBPR_COAL"/>
    <x v="6"/>
    <x v="0"/>
    <n v="3"/>
    <n v="182.5"/>
    <n v="657"/>
  </r>
  <r>
    <x v="0"/>
    <x v="0"/>
    <x v="0"/>
    <x v="4"/>
    <x v="5"/>
    <s v="LV_A3"/>
    <x v="11"/>
    <x v="3"/>
    <s v="GBPR_COAL"/>
    <x v="6"/>
    <x v="1"/>
    <n v="3"/>
    <n v="182.5"/>
    <n v="657"/>
  </r>
  <r>
    <x v="0"/>
    <x v="0"/>
    <x v="0"/>
    <x v="4"/>
    <x v="5"/>
    <s v="LV_A3"/>
    <x v="11"/>
    <x v="3"/>
    <s v="GBPR_COAL"/>
    <x v="6"/>
    <x v="2"/>
    <n v="3"/>
    <n v="182.5"/>
    <n v="657"/>
  </r>
  <r>
    <x v="0"/>
    <x v="0"/>
    <x v="0"/>
    <x v="4"/>
    <x v="5"/>
    <s v="LV_A3"/>
    <x v="11"/>
    <x v="3"/>
    <s v="GBPR_COAL"/>
    <x v="6"/>
    <x v="3"/>
    <n v="3"/>
    <n v="182.5"/>
    <n v="657"/>
  </r>
  <r>
    <x v="0"/>
    <x v="0"/>
    <x v="0"/>
    <x v="4"/>
    <x v="5"/>
    <s v="LV_A3"/>
    <x v="11"/>
    <x v="3"/>
    <s v="GBPR_COAL"/>
    <x v="6"/>
    <x v="4"/>
    <n v="3"/>
    <n v="182.5"/>
    <n v="657"/>
  </r>
  <r>
    <x v="0"/>
    <x v="0"/>
    <x v="0"/>
    <x v="4"/>
    <x v="5"/>
    <s v="LV_A3"/>
    <x v="11"/>
    <x v="3"/>
    <s v="GBPR_COAL"/>
    <x v="6"/>
    <x v="5"/>
    <n v="3"/>
    <n v="182.5"/>
    <n v="657"/>
  </r>
  <r>
    <x v="0"/>
    <x v="0"/>
    <x v="0"/>
    <x v="4"/>
    <x v="5"/>
    <s v="LV_A3"/>
    <x v="11"/>
    <x v="3"/>
    <s v="GBPR_COAL"/>
    <x v="6"/>
    <x v="6"/>
    <n v="3"/>
    <n v="182.5"/>
    <n v="657"/>
  </r>
  <r>
    <x v="0"/>
    <x v="0"/>
    <x v="0"/>
    <x v="4"/>
    <x v="5"/>
    <s v="LV_A3"/>
    <x v="11"/>
    <x v="3"/>
    <s v="GBPR_COAL"/>
    <x v="6"/>
    <x v="7"/>
    <n v="3"/>
    <n v="182.5"/>
    <n v="657"/>
  </r>
  <r>
    <x v="0"/>
    <x v="0"/>
    <x v="0"/>
    <x v="4"/>
    <x v="5"/>
    <s v="LV_A3"/>
    <x v="11"/>
    <x v="3"/>
    <s v="GBPR_COAL"/>
    <x v="6"/>
    <x v="8"/>
    <n v="3"/>
    <n v="182.5"/>
    <n v="657"/>
  </r>
  <r>
    <x v="0"/>
    <x v="0"/>
    <x v="0"/>
    <x v="4"/>
    <x v="5"/>
    <s v="LV_A3"/>
    <x v="11"/>
    <x v="3"/>
    <s v="GBPR_COAL"/>
    <x v="6"/>
    <x v="9"/>
    <n v="3"/>
    <n v="182.5"/>
    <n v="657"/>
  </r>
  <r>
    <x v="0"/>
    <x v="0"/>
    <x v="0"/>
    <x v="4"/>
    <x v="5"/>
    <s v="LV_A3"/>
    <x v="11"/>
    <x v="3"/>
    <s v="GBPR_COAL"/>
    <x v="6"/>
    <x v="10"/>
    <n v="3"/>
    <n v="182.5"/>
    <n v="657"/>
  </r>
  <r>
    <x v="0"/>
    <x v="0"/>
    <x v="0"/>
    <x v="4"/>
    <x v="5"/>
    <s v="LV_A3"/>
    <x v="11"/>
    <x v="3"/>
    <s v="GBPR_COAL"/>
    <x v="6"/>
    <x v="11"/>
    <n v="3"/>
    <n v="182.5"/>
    <n v="657"/>
  </r>
  <r>
    <x v="0"/>
    <x v="0"/>
    <x v="0"/>
    <x v="4"/>
    <x v="5"/>
    <s v="LV_A3"/>
    <x v="11"/>
    <x v="3"/>
    <s v="GBPR_COAL"/>
    <x v="7"/>
    <x v="0"/>
    <n v="3"/>
    <n v="182.5"/>
    <n v="657"/>
  </r>
  <r>
    <x v="0"/>
    <x v="0"/>
    <x v="0"/>
    <x v="4"/>
    <x v="5"/>
    <s v="LV_A3"/>
    <x v="11"/>
    <x v="3"/>
    <s v="GBPR_COAL"/>
    <x v="7"/>
    <x v="1"/>
    <n v="3"/>
    <n v="182.5"/>
    <n v="657"/>
  </r>
  <r>
    <x v="0"/>
    <x v="0"/>
    <x v="0"/>
    <x v="4"/>
    <x v="5"/>
    <s v="LV_A3"/>
    <x v="11"/>
    <x v="3"/>
    <s v="GBPR_COAL"/>
    <x v="7"/>
    <x v="2"/>
    <n v="3"/>
    <n v="182.5"/>
    <n v="657"/>
  </r>
  <r>
    <x v="0"/>
    <x v="0"/>
    <x v="0"/>
    <x v="4"/>
    <x v="5"/>
    <s v="LV_A3"/>
    <x v="11"/>
    <x v="3"/>
    <s v="GBPR_COAL"/>
    <x v="7"/>
    <x v="3"/>
    <n v="3"/>
    <n v="182.5"/>
    <n v="657"/>
  </r>
  <r>
    <x v="0"/>
    <x v="0"/>
    <x v="0"/>
    <x v="4"/>
    <x v="5"/>
    <s v="LV_A3"/>
    <x v="11"/>
    <x v="3"/>
    <s v="GBPR_COAL"/>
    <x v="7"/>
    <x v="4"/>
    <n v="3"/>
    <n v="182.5"/>
    <n v="657"/>
  </r>
  <r>
    <x v="0"/>
    <x v="0"/>
    <x v="0"/>
    <x v="4"/>
    <x v="5"/>
    <s v="LV_A3"/>
    <x v="11"/>
    <x v="3"/>
    <s v="GBPR_COAL"/>
    <x v="7"/>
    <x v="5"/>
    <n v="3"/>
    <n v="182.5"/>
    <n v="657"/>
  </r>
  <r>
    <x v="0"/>
    <x v="0"/>
    <x v="0"/>
    <x v="4"/>
    <x v="5"/>
    <s v="LV_A3"/>
    <x v="11"/>
    <x v="3"/>
    <s v="GBPR_COAL"/>
    <x v="7"/>
    <x v="6"/>
    <n v="3"/>
    <n v="182.5"/>
    <n v="657"/>
  </r>
  <r>
    <x v="0"/>
    <x v="0"/>
    <x v="0"/>
    <x v="4"/>
    <x v="5"/>
    <s v="LV_A3"/>
    <x v="11"/>
    <x v="3"/>
    <s v="GBPR_COAL"/>
    <x v="7"/>
    <x v="7"/>
    <n v="3"/>
    <n v="182.5"/>
    <n v="657"/>
  </r>
  <r>
    <x v="0"/>
    <x v="0"/>
    <x v="0"/>
    <x v="4"/>
    <x v="5"/>
    <s v="LV_A3"/>
    <x v="11"/>
    <x v="3"/>
    <s v="GBPR_COAL"/>
    <x v="7"/>
    <x v="8"/>
    <n v="3"/>
    <n v="182.5"/>
    <n v="657"/>
  </r>
  <r>
    <x v="0"/>
    <x v="0"/>
    <x v="0"/>
    <x v="4"/>
    <x v="5"/>
    <s v="LV_A3"/>
    <x v="11"/>
    <x v="3"/>
    <s v="GBPR_COAL"/>
    <x v="7"/>
    <x v="9"/>
    <n v="3"/>
    <n v="182.5"/>
    <n v="657"/>
  </r>
  <r>
    <x v="0"/>
    <x v="0"/>
    <x v="0"/>
    <x v="4"/>
    <x v="5"/>
    <s v="LV_A3"/>
    <x v="11"/>
    <x v="3"/>
    <s v="GBPR_COAL"/>
    <x v="7"/>
    <x v="10"/>
    <n v="3"/>
    <n v="182.5"/>
    <n v="657"/>
  </r>
  <r>
    <x v="0"/>
    <x v="0"/>
    <x v="0"/>
    <x v="4"/>
    <x v="5"/>
    <s v="LV_A3"/>
    <x v="11"/>
    <x v="3"/>
    <s v="GBPR_COAL"/>
    <x v="7"/>
    <x v="11"/>
    <n v="3"/>
    <n v="182.5"/>
    <n v="657"/>
  </r>
  <r>
    <x v="0"/>
    <x v="0"/>
    <x v="0"/>
    <x v="4"/>
    <x v="5"/>
    <s v="LV_A3"/>
    <x v="11"/>
    <x v="3"/>
    <s v="GBPR_COAL"/>
    <x v="8"/>
    <x v="0"/>
    <n v="3"/>
    <n v="182.5"/>
    <n v="657"/>
  </r>
  <r>
    <x v="0"/>
    <x v="0"/>
    <x v="0"/>
    <x v="4"/>
    <x v="5"/>
    <s v="LV_A3"/>
    <x v="11"/>
    <x v="3"/>
    <s v="GBPR_COAL"/>
    <x v="8"/>
    <x v="1"/>
    <n v="3"/>
    <n v="182.5"/>
    <n v="657"/>
  </r>
  <r>
    <x v="0"/>
    <x v="0"/>
    <x v="0"/>
    <x v="4"/>
    <x v="5"/>
    <s v="LV_A3"/>
    <x v="11"/>
    <x v="3"/>
    <s v="GBPR_COAL"/>
    <x v="8"/>
    <x v="2"/>
    <n v="3"/>
    <n v="182.5"/>
    <n v="657"/>
  </r>
  <r>
    <x v="0"/>
    <x v="0"/>
    <x v="0"/>
    <x v="4"/>
    <x v="5"/>
    <s v="LV_A3"/>
    <x v="11"/>
    <x v="3"/>
    <s v="GBPR_COAL"/>
    <x v="8"/>
    <x v="3"/>
    <n v="3"/>
    <n v="182.5"/>
    <n v="657"/>
  </r>
  <r>
    <x v="0"/>
    <x v="0"/>
    <x v="0"/>
    <x v="4"/>
    <x v="5"/>
    <s v="LV_A3"/>
    <x v="11"/>
    <x v="3"/>
    <s v="GBPR_COAL"/>
    <x v="8"/>
    <x v="4"/>
    <n v="3"/>
    <n v="182.5"/>
    <n v="657"/>
  </r>
  <r>
    <x v="0"/>
    <x v="0"/>
    <x v="0"/>
    <x v="4"/>
    <x v="5"/>
    <s v="LV_A3"/>
    <x v="11"/>
    <x v="3"/>
    <s v="GBPR_COAL"/>
    <x v="8"/>
    <x v="5"/>
    <n v="3"/>
    <n v="182.5"/>
    <n v="657"/>
  </r>
  <r>
    <x v="0"/>
    <x v="0"/>
    <x v="0"/>
    <x v="4"/>
    <x v="5"/>
    <s v="LV_A3"/>
    <x v="11"/>
    <x v="3"/>
    <s v="GBPR_COAL"/>
    <x v="8"/>
    <x v="6"/>
    <n v="3"/>
    <n v="182.5"/>
    <n v="657"/>
  </r>
  <r>
    <x v="0"/>
    <x v="0"/>
    <x v="0"/>
    <x v="4"/>
    <x v="5"/>
    <s v="LV_A3"/>
    <x v="11"/>
    <x v="3"/>
    <s v="GBPR_COAL"/>
    <x v="8"/>
    <x v="7"/>
    <n v="3"/>
    <n v="182.5"/>
    <n v="657"/>
  </r>
  <r>
    <x v="0"/>
    <x v="0"/>
    <x v="0"/>
    <x v="4"/>
    <x v="5"/>
    <s v="LV_A3"/>
    <x v="11"/>
    <x v="3"/>
    <s v="GBPR_COAL"/>
    <x v="8"/>
    <x v="8"/>
    <n v="3"/>
    <n v="182.5"/>
    <n v="657"/>
  </r>
  <r>
    <x v="0"/>
    <x v="0"/>
    <x v="0"/>
    <x v="4"/>
    <x v="5"/>
    <s v="LV_A3"/>
    <x v="11"/>
    <x v="3"/>
    <s v="GBPR_COAL"/>
    <x v="8"/>
    <x v="9"/>
    <n v="3"/>
    <n v="182.5"/>
    <n v="657"/>
  </r>
  <r>
    <x v="0"/>
    <x v="0"/>
    <x v="0"/>
    <x v="4"/>
    <x v="5"/>
    <s v="LV_A3"/>
    <x v="11"/>
    <x v="3"/>
    <s v="GBPR_COAL"/>
    <x v="8"/>
    <x v="10"/>
    <n v="3"/>
    <n v="182.5"/>
    <n v="657"/>
  </r>
  <r>
    <x v="0"/>
    <x v="0"/>
    <x v="0"/>
    <x v="4"/>
    <x v="5"/>
    <s v="LV_A3"/>
    <x v="11"/>
    <x v="3"/>
    <s v="GBPR_COAL"/>
    <x v="8"/>
    <x v="11"/>
    <n v="3"/>
    <n v="182.5"/>
    <n v="657"/>
  </r>
  <r>
    <x v="0"/>
    <x v="0"/>
    <x v="0"/>
    <x v="4"/>
    <x v="5"/>
    <s v="LV_A3"/>
    <x v="11"/>
    <x v="3"/>
    <s v="GBPR_COAL"/>
    <x v="9"/>
    <x v="0"/>
    <n v="3"/>
    <n v="182.5"/>
    <n v="657"/>
  </r>
  <r>
    <x v="0"/>
    <x v="0"/>
    <x v="0"/>
    <x v="4"/>
    <x v="5"/>
    <s v="LV_A3"/>
    <x v="11"/>
    <x v="3"/>
    <s v="GBPR_COAL"/>
    <x v="9"/>
    <x v="1"/>
    <n v="3"/>
    <n v="182.5"/>
    <n v="657"/>
  </r>
  <r>
    <x v="0"/>
    <x v="0"/>
    <x v="0"/>
    <x v="4"/>
    <x v="5"/>
    <s v="LV_A3"/>
    <x v="11"/>
    <x v="3"/>
    <s v="GBPR_COAL"/>
    <x v="9"/>
    <x v="2"/>
    <n v="3"/>
    <n v="182.5"/>
    <n v="657"/>
  </r>
  <r>
    <x v="0"/>
    <x v="0"/>
    <x v="0"/>
    <x v="4"/>
    <x v="5"/>
    <s v="LV_A3"/>
    <x v="11"/>
    <x v="3"/>
    <s v="GBPR_COAL"/>
    <x v="9"/>
    <x v="3"/>
    <n v="3"/>
    <n v="182.5"/>
    <n v="657"/>
  </r>
  <r>
    <x v="0"/>
    <x v="0"/>
    <x v="0"/>
    <x v="4"/>
    <x v="5"/>
    <s v="LV_A3"/>
    <x v="11"/>
    <x v="3"/>
    <s v="GBPR_COAL"/>
    <x v="9"/>
    <x v="4"/>
    <n v="3"/>
    <n v="182.5"/>
    <n v="657"/>
  </r>
  <r>
    <x v="0"/>
    <x v="0"/>
    <x v="0"/>
    <x v="4"/>
    <x v="5"/>
    <s v="LV_A3"/>
    <x v="11"/>
    <x v="3"/>
    <s v="GBPR_COAL"/>
    <x v="9"/>
    <x v="5"/>
    <n v="3"/>
    <n v="182.5"/>
    <n v="657"/>
  </r>
  <r>
    <x v="0"/>
    <x v="0"/>
    <x v="0"/>
    <x v="4"/>
    <x v="5"/>
    <s v="LV_A3"/>
    <x v="11"/>
    <x v="3"/>
    <s v="GBPR_COAL"/>
    <x v="9"/>
    <x v="6"/>
    <n v="3"/>
    <n v="182.5"/>
    <n v="657"/>
  </r>
  <r>
    <x v="0"/>
    <x v="0"/>
    <x v="0"/>
    <x v="4"/>
    <x v="5"/>
    <s v="LV_A3"/>
    <x v="11"/>
    <x v="3"/>
    <s v="GBPR_COAL"/>
    <x v="9"/>
    <x v="7"/>
    <n v="3"/>
    <n v="182.5"/>
    <n v="657"/>
  </r>
  <r>
    <x v="0"/>
    <x v="0"/>
    <x v="0"/>
    <x v="4"/>
    <x v="5"/>
    <s v="LV_A3"/>
    <x v="11"/>
    <x v="3"/>
    <s v="GBPR_COAL"/>
    <x v="9"/>
    <x v="8"/>
    <n v="3"/>
    <n v="182.5"/>
    <n v="657"/>
  </r>
  <r>
    <x v="0"/>
    <x v="0"/>
    <x v="0"/>
    <x v="4"/>
    <x v="5"/>
    <s v="LV_A3"/>
    <x v="11"/>
    <x v="3"/>
    <s v="GBPR_COAL"/>
    <x v="9"/>
    <x v="9"/>
    <n v="3"/>
    <n v="182.5"/>
    <n v="657"/>
  </r>
  <r>
    <x v="0"/>
    <x v="0"/>
    <x v="0"/>
    <x v="4"/>
    <x v="5"/>
    <s v="LV_A3"/>
    <x v="11"/>
    <x v="3"/>
    <s v="GBPR_COAL"/>
    <x v="9"/>
    <x v="10"/>
    <n v="3"/>
    <n v="182.5"/>
    <n v="657"/>
  </r>
  <r>
    <x v="0"/>
    <x v="0"/>
    <x v="0"/>
    <x v="4"/>
    <x v="5"/>
    <s v="LV_A3"/>
    <x v="11"/>
    <x v="3"/>
    <s v="GBPR_COAL"/>
    <x v="9"/>
    <x v="11"/>
    <n v="3"/>
    <n v="182.5"/>
    <n v="657"/>
  </r>
  <r>
    <x v="0"/>
    <x v="0"/>
    <x v="0"/>
    <x v="4"/>
    <x v="5"/>
    <s v="LV_A3"/>
    <x v="11"/>
    <x v="3"/>
    <s v="GBPR_COAL"/>
    <x v="10"/>
    <x v="0"/>
    <n v="3"/>
    <n v="182.5"/>
    <n v="657"/>
  </r>
  <r>
    <x v="0"/>
    <x v="0"/>
    <x v="0"/>
    <x v="4"/>
    <x v="5"/>
    <s v="LV_A3"/>
    <x v="11"/>
    <x v="3"/>
    <s v="GBPR_COAL"/>
    <x v="10"/>
    <x v="1"/>
    <n v="3"/>
    <n v="182.5"/>
    <n v="657"/>
  </r>
  <r>
    <x v="0"/>
    <x v="0"/>
    <x v="0"/>
    <x v="4"/>
    <x v="5"/>
    <s v="LV_A3"/>
    <x v="11"/>
    <x v="3"/>
    <s v="GBPR_COAL"/>
    <x v="10"/>
    <x v="2"/>
    <n v="3"/>
    <n v="182.5"/>
    <n v="657"/>
  </r>
  <r>
    <x v="0"/>
    <x v="0"/>
    <x v="0"/>
    <x v="4"/>
    <x v="5"/>
    <s v="LV_A3"/>
    <x v="11"/>
    <x v="3"/>
    <s v="GBPR_COAL"/>
    <x v="10"/>
    <x v="3"/>
    <n v="3"/>
    <n v="182.5"/>
    <n v="657"/>
  </r>
  <r>
    <x v="0"/>
    <x v="0"/>
    <x v="0"/>
    <x v="4"/>
    <x v="5"/>
    <s v="LV_A3"/>
    <x v="11"/>
    <x v="3"/>
    <s v="GBPR_COAL"/>
    <x v="10"/>
    <x v="4"/>
    <n v="3"/>
    <n v="182.5"/>
    <n v="657"/>
  </r>
  <r>
    <x v="0"/>
    <x v="0"/>
    <x v="0"/>
    <x v="4"/>
    <x v="5"/>
    <s v="LV_A3"/>
    <x v="11"/>
    <x v="3"/>
    <s v="GBPR_COAL"/>
    <x v="10"/>
    <x v="5"/>
    <n v="3"/>
    <n v="182.5"/>
    <n v="657"/>
  </r>
  <r>
    <x v="0"/>
    <x v="0"/>
    <x v="0"/>
    <x v="4"/>
    <x v="5"/>
    <s v="LV_A3"/>
    <x v="11"/>
    <x v="3"/>
    <s v="GBPR_COAL"/>
    <x v="10"/>
    <x v="6"/>
    <n v="3"/>
    <n v="182.5"/>
    <n v="657"/>
  </r>
  <r>
    <x v="0"/>
    <x v="0"/>
    <x v="0"/>
    <x v="4"/>
    <x v="5"/>
    <s v="LV_A3"/>
    <x v="11"/>
    <x v="3"/>
    <s v="GBPR_COAL"/>
    <x v="10"/>
    <x v="7"/>
    <n v="3"/>
    <n v="182.5"/>
    <n v="657"/>
  </r>
  <r>
    <x v="0"/>
    <x v="0"/>
    <x v="0"/>
    <x v="4"/>
    <x v="5"/>
    <s v="LV_A3"/>
    <x v="11"/>
    <x v="3"/>
    <s v="GBPR_COAL"/>
    <x v="10"/>
    <x v="8"/>
    <n v="3"/>
    <n v="182.5"/>
    <n v="657"/>
  </r>
  <r>
    <x v="0"/>
    <x v="0"/>
    <x v="0"/>
    <x v="4"/>
    <x v="5"/>
    <s v="LV_A3"/>
    <x v="11"/>
    <x v="3"/>
    <s v="GBPR_COAL"/>
    <x v="10"/>
    <x v="9"/>
    <n v="3"/>
    <n v="182.5"/>
    <n v="657"/>
  </r>
  <r>
    <x v="0"/>
    <x v="0"/>
    <x v="0"/>
    <x v="4"/>
    <x v="5"/>
    <s v="LV_A3"/>
    <x v="11"/>
    <x v="3"/>
    <s v="GBPR_COAL"/>
    <x v="10"/>
    <x v="10"/>
    <n v="3"/>
    <n v="182.5"/>
    <n v="657"/>
  </r>
  <r>
    <x v="0"/>
    <x v="0"/>
    <x v="0"/>
    <x v="4"/>
    <x v="5"/>
    <s v="LV_A3"/>
    <x v="11"/>
    <x v="3"/>
    <s v="GBPR_COAL"/>
    <x v="10"/>
    <x v="11"/>
    <n v="3"/>
    <n v="182.5"/>
    <n v="657"/>
  </r>
  <r>
    <x v="0"/>
    <x v="0"/>
    <x v="0"/>
    <x v="4"/>
    <x v="5"/>
    <s v="LV_A3"/>
    <x v="11"/>
    <x v="3"/>
    <s v="GBPR_COAL"/>
    <x v="11"/>
    <x v="0"/>
    <n v="3"/>
    <n v="182.5"/>
    <n v="657"/>
  </r>
  <r>
    <x v="0"/>
    <x v="0"/>
    <x v="0"/>
    <x v="4"/>
    <x v="5"/>
    <s v="LV_A3"/>
    <x v="11"/>
    <x v="3"/>
    <s v="GBPR_COAL"/>
    <x v="11"/>
    <x v="1"/>
    <n v="3"/>
    <n v="182.5"/>
    <n v="657"/>
  </r>
  <r>
    <x v="0"/>
    <x v="0"/>
    <x v="0"/>
    <x v="4"/>
    <x v="5"/>
    <s v="LV_A3"/>
    <x v="11"/>
    <x v="3"/>
    <s v="GBPR_COAL"/>
    <x v="11"/>
    <x v="2"/>
    <n v="3"/>
    <n v="182.5"/>
    <n v="657"/>
  </r>
  <r>
    <x v="0"/>
    <x v="0"/>
    <x v="0"/>
    <x v="4"/>
    <x v="5"/>
    <s v="LV_A3"/>
    <x v="11"/>
    <x v="3"/>
    <s v="GBPR_COAL"/>
    <x v="11"/>
    <x v="3"/>
    <n v="3"/>
    <n v="182.5"/>
    <n v="657"/>
  </r>
  <r>
    <x v="0"/>
    <x v="0"/>
    <x v="0"/>
    <x v="4"/>
    <x v="5"/>
    <s v="LV_A3"/>
    <x v="11"/>
    <x v="3"/>
    <s v="GBPR_COAL"/>
    <x v="11"/>
    <x v="4"/>
    <n v="3"/>
    <n v="182.5"/>
    <n v="657"/>
  </r>
  <r>
    <x v="0"/>
    <x v="0"/>
    <x v="0"/>
    <x v="4"/>
    <x v="5"/>
    <s v="LV_A3"/>
    <x v="11"/>
    <x v="3"/>
    <s v="GBPR_COAL"/>
    <x v="11"/>
    <x v="5"/>
    <n v="3"/>
    <n v="182.5"/>
    <n v="657"/>
  </r>
  <r>
    <x v="0"/>
    <x v="0"/>
    <x v="0"/>
    <x v="4"/>
    <x v="5"/>
    <s v="LV_A3"/>
    <x v="11"/>
    <x v="3"/>
    <s v="GBPR_COAL"/>
    <x v="11"/>
    <x v="6"/>
    <n v="3"/>
    <n v="182.5"/>
    <n v="657"/>
  </r>
  <r>
    <x v="0"/>
    <x v="0"/>
    <x v="0"/>
    <x v="4"/>
    <x v="5"/>
    <s v="LV_A3"/>
    <x v="11"/>
    <x v="3"/>
    <s v="GBPR_COAL"/>
    <x v="11"/>
    <x v="7"/>
    <n v="3"/>
    <n v="182.5"/>
    <n v="657"/>
  </r>
  <r>
    <x v="0"/>
    <x v="0"/>
    <x v="0"/>
    <x v="4"/>
    <x v="5"/>
    <s v="LV_A3"/>
    <x v="11"/>
    <x v="3"/>
    <s v="GBPR_COAL"/>
    <x v="11"/>
    <x v="8"/>
    <n v="3"/>
    <n v="182.5"/>
    <n v="657"/>
  </r>
  <r>
    <x v="0"/>
    <x v="0"/>
    <x v="0"/>
    <x v="4"/>
    <x v="5"/>
    <s v="LV_A3"/>
    <x v="11"/>
    <x v="3"/>
    <s v="GBPR_COAL"/>
    <x v="11"/>
    <x v="9"/>
    <n v="3"/>
    <n v="182.5"/>
    <n v="657"/>
  </r>
  <r>
    <x v="0"/>
    <x v="0"/>
    <x v="0"/>
    <x v="4"/>
    <x v="5"/>
    <s v="LV_A3"/>
    <x v="11"/>
    <x v="3"/>
    <s v="GBPR_COAL"/>
    <x v="11"/>
    <x v="10"/>
    <n v="3"/>
    <n v="182.5"/>
    <n v="657"/>
  </r>
  <r>
    <x v="0"/>
    <x v="0"/>
    <x v="0"/>
    <x v="4"/>
    <x v="5"/>
    <s v="LV_A3"/>
    <x v="11"/>
    <x v="3"/>
    <s v="GBPR_COAL"/>
    <x v="11"/>
    <x v="11"/>
    <n v="3"/>
    <n v="182.5"/>
    <n v="657"/>
  </r>
  <r>
    <x v="0"/>
    <x v="0"/>
    <x v="0"/>
    <x v="4"/>
    <x v="5"/>
    <s v="LV_A3"/>
    <x v="4"/>
    <x v="3"/>
    <s v="GBPR_WOODCHIPS"/>
    <x v="0"/>
    <x v="0"/>
    <n v="4"/>
    <n v="243.333333333333"/>
    <n v="876"/>
  </r>
  <r>
    <x v="0"/>
    <x v="0"/>
    <x v="0"/>
    <x v="4"/>
    <x v="5"/>
    <s v="LV_A3"/>
    <x v="4"/>
    <x v="3"/>
    <s v="GBPR_WOODCHIPS"/>
    <x v="0"/>
    <x v="1"/>
    <n v="4"/>
    <n v="243.333333333333"/>
    <n v="876"/>
  </r>
  <r>
    <x v="0"/>
    <x v="0"/>
    <x v="0"/>
    <x v="4"/>
    <x v="5"/>
    <s v="LV_A3"/>
    <x v="4"/>
    <x v="3"/>
    <s v="GBPR_WOODCHIPS"/>
    <x v="1"/>
    <x v="0"/>
    <n v="4"/>
    <n v="243.333333333333"/>
    <n v="876"/>
  </r>
  <r>
    <x v="0"/>
    <x v="0"/>
    <x v="0"/>
    <x v="4"/>
    <x v="5"/>
    <s v="LV_A3"/>
    <x v="4"/>
    <x v="3"/>
    <s v="GBPR_WOODCHIPS"/>
    <x v="1"/>
    <x v="5"/>
    <n v="4"/>
    <n v="243.333333333333"/>
    <n v="876"/>
  </r>
  <r>
    <x v="0"/>
    <x v="0"/>
    <x v="0"/>
    <x v="4"/>
    <x v="5"/>
    <s v="LV_A3"/>
    <x v="4"/>
    <x v="3"/>
    <s v="GBPR_WOODCHIPS"/>
    <x v="1"/>
    <x v="6"/>
    <n v="4"/>
    <n v="243.333333333333"/>
    <n v="876"/>
  </r>
  <r>
    <x v="0"/>
    <x v="0"/>
    <x v="0"/>
    <x v="4"/>
    <x v="5"/>
    <s v="LV_A3"/>
    <x v="4"/>
    <x v="3"/>
    <s v="GBPR_WOODCHIPS"/>
    <x v="1"/>
    <x v="7"/>
    <n v="4"/>
    <n v="243.333333333333"/>
    <n v="876"/>
  </r>
  <r>
    <x v="0"/>
    <x v="0"/>
    <x v="0"/>
    <x v="4"/>
    <x v="5"/>
    <s v="LV_A3"/>
    <x v="4"/>
    <x v="3"/>
    <s v="GBPR_WOODCHIPS"/>
    <x v="1"/>
    <x v="8"/>
    <n v="4"/>
    <n v="243.333333333333"/>
    <n v="876"/>
  </r>
  <r>
    <x v="0"/>
    <x v="0"/>
    <x v="0"/>
    <x v="4"/>
    <x v="5"/>
    <s v="LV_A3"/>
    <x v="4"/>
    <x v="3"/>
    <s v="GBPR_WOODCHIPS"/>
    <x v="1"/>
    <x v="9"/>
    <n v="4"/>
    <n v="243.333333333333"/>
    <n v="876"/>
  </r>
  <r>
    <x v="0"/>
    <x v="0"/>
    <x v="0"/>
    <x v="4"/>
    <x v="5"/>
    <s v="LV_A3"/>
    <x v="4"/>
    <x v="3"/>
    <s v="GBPR_WOODCHIPS"/>
    <x v="1"/>
    <x v="10"/>
    <n v="4"/>
    <n v="243.333333333333"/>
    <n v="876"/>
  </r>
  <r>
    <x v="0"/>
    <x v="0"/>
    <x v="0"/>
    <x v="4"/>
    <x v="5"/>
    <s v="LV_A3"/>
    <x v="4"/>
    <x v="3"/>
    <s v="GBPR_WOODCHIPS"/>
    <x v="1"/>
    <x v="11"/>
    <n v="4"/>
    <n v="243.333333333333"/>
    <n v="876"/>
  </r>
  <r>
    <x v="0"/>
    <x v="0"/>
    <x v="0"/>
    <x v="4"/>
    <x v="5"/>
    <s v="LV_A3"/>
    <x v="4"/>
    <x v="3"/>
    <s v="GBPR_WOODCHIPS"/>
    <x v="2"/>
    <x v="6"/>
    <n v="4"/>
    <n v="243.333333333333"/>
    <n v="876"/>
  </r>
  <r>
    <x v="0"/>
    <x v="0"/>
    <x v="0"/>
    <x v="4"/>
    <x v="5"/>
    <s v="LV_A3"/>
    <x v="4"/>
    <x v="3"/>
    <s v="GBPR_WOODCHIPS"/>
    <x v="2"/>
    <x v="7"/>
    <n v="4"/>
    <n v="243.333333333333"/>
    <n v="876"/>
  </r>
  <r>
    <x v="0"/>
    <x v="0"/>
    <x v="0"/>
    <x v="4"/>
    <x v="5"/>
    <s v="LV_A3"/>
    <x v="4"/>
    <x v="3"/>
    <s v="GBPR_WOODCHIPS"/>
    <x v="2"/>
    <x v="8"/>
    <n v="4"/>
    <n v="243.333333333333"/>
    <n v="876"/>
  </r>
  <r>
    <x v="0"/>
    <x v="0"/>
    <x v="0"/>
    <x v="4"/>
    <x v="5"/>
    <s v="LV_A3"/>
    <x v="4"/>
    <x v="3"/>
    <s v="GBPR_WOODCHIPS"/>
    <x v="2"/>
    <x v="9"/>
    <n v="4"/>
    <n v="243.333333333333"/>
    <n v="876"/>
  </r>
  <r>
    <x v="0"/>
    <x v="0"/>
    <x v="0"/>
    <x v="4"/>
    <x v="5"/>
    <s v="LV_A3"/>
    <x v="4"/>
    <x v="3"/>
    <s v="GBPR_WOODCHIPS"/>
    <x v="2"/>
    <x v="10"/>
    <n v="4"/>
    <n v="243.333333333333"/>
    <n v="876"/>
  </r>
  <r>
    <x v="0"/>
    <x v="0"/>
    <x v="0"/>
    <x v="4"/>
    <x v="5"/>
    <s v="LV_A3"/>
    <x v="4"/>
    <x v="3"/>
    <s v="GBPR_WOODCHIPS"/>
    <x v="2"/>
    <x v="11"/>
    <n v="4"/>
    <n v="243.333333333333"/>
    <n v="876"/>
  </r>
  <r>
    <x v="0"/>
    <x v="0"/>
    <x v="0"/>
    <x v="4"/>
    <x v="5"/>
    <s v="LV_A3"/>
    <x v="4"/>
    <x v="3"/>
    <s v="GBPR_WOODCHIPS"/>
    <x v="3"/>
    <x v="4"/>
    <n v="4"/>
    <n v="243.333333333333"/>
    <n v="876"/>
  </r>
  <r>
    <x v="0"/>
    <x v="0"/>
    <x v="0"/>
    <x v="4"/>
    <x v="5"/>
    <s v="LV_A3"/>
    <x v="4"/>
    <x v="3"/>
    <s v="GBPR_WOODCHIPS"/>
    <x v="3"/>
    <x v="5"/>
    <n v="4"/>
    <n v="243.333333333333"/>
    <n v="876"/>
  </r>
  <r>
    <x v="0"/>
    <x v="0"/>
    <x v="0"/>
    <x v="4"/>
    <x v="5"/>
    <s v="LV_A3"/>
    <x v="4"/>
    <x v="3"/>
    <s v="GBPR_WOODCHIPS"/>
    <x v="3"/>
    <x v="6"/>
    <n v="4"/>
    <n v="243.333333333333"/>
    <n v="876"/>
  </r>
  <r>
    <x v="0"/>
    <x v="0"/>
    <x v="0"/>
    <x v="4"/>
    <x v="5"/>
    <s v="LV_A3"/>
    <x v="4"/>
    <x v="3"/>
    <s v="GBPR_WOODCHIPS"/>
    <x v="3"/>
    <x v="7"/>
    <n v="4"/>
    <n v="243.333333333333"/>
    <n v="876"/>
  </r>
  <r>
    <x v="0"/>
    <x v="0"/>
    <x v="0"/>
    <x v="4"/>
    <x v="5"/>
    <s v="LV_A3"/>
    <x v="4"/>
    <x v="3"/>
    <s v="GBPR_WOODCHIPS"/>
    <x v="3"/>
    <x v="8"/>
    <n v="4"/>
    <n v="243.333333333333"/>
    <n v="876"/>
  </r>
  <r>
    <x v="0"/>
    <x v="0"/>
    <x v="0"/>
    <x v="4"/>
    <x v="5"/>
    <s v="LV_A3"/>
    <x v="4"/>
    <x v="3"/>
    <s v="GBPR_WOODCHIPS"/>
    <x v="3"/>
    <x v="9"/>
    <n v="4"/>
    <n v="243.333333333333"/>
    <n v="876"/>
  </r>
  <r>
    <x v="0"/>
    <x v="0"/>
    <x v="0"/>
    <x v="4"/>
    <x v="5"/>
    <s v="LV_A3"/>
    <x v="4"/>
    <x v="3"/>
    <s v="GBPR_WOODCHIPS"/>
    <x v="3"/>
    <x v="10"/>
    <n v="4"/>
    <n v="243.333333333333"/>
    <n v="876"/>
  </r>
  <r>
    <x v="0"/>
    <x v="0"/>
    <x v="0"/>
    <x v="4"/>
    <x v="5"/>
    <s v="LV_A3"/>
    <x v="4"/>
    <x v="3"/>
    <s v="GBPR_WOODCHIPS"/>
    <x v="3"/>
    <x v="11"/>
    <n v="4"/>
    <n v="243.333333333333"/>
    <n v="876"/>
  </r>
  <r>
    <x v="0"/>
    <x v="0"/>
    <x v="0"/>
    <x v="4"/>
    <x v="5"/>
    <s v="LV_A3"/>
    <x v="4"/>
    <x v="3"/>
    <s v="GBPR_WOODCHIPS"/>
    <x v="4"/>
    <x v="5"/>
    <n v="4"/>
    <n v="243.333333333333"/>
    <n v="876"/>
  </r>
  <r>
    <x v="0"/>
    <x v="0"/>
    <x v="0"/>
    <x v="4"/>
    <x v="5"/>
    <s v="LV_A3"/>
    <x v="4"/>
    <x v="3"/>
    <s v="GBPR_WOODCHIPS"/>
    <x v="4"/>
    <x v="6"/>
    <n v="4"/>
    <n v="243.333333333333"/>
    <n v="876"/>
  </r>
  <r>
    <x v="0"/>
    <x v="0"/>
    <x v="0"/>
    <x v="4"/>
    <x v="5"/>
    <s v="LV_A3"/>
    <x v="4"/>
    <x v="3"/>
    <s v="GBPR_WOODCHIPS"/>
    <x v="4"/>
    <x v="7"/>
    <n v="4"/>
    <n v="243.333333333333"/>
    <n v="876"/>
  </r>
  <r>
    <x v="0"/>
    <x v="0"/>
    <x v="0"/>
    <x v="4"/>
    <x v="5"/>
    <s v="LV_A3"/>
    <x v="4"/>
    <x v="3"/>
    <s v="GBPR_WOODCHIPS"/>
    <x v="4"/>
    <x v="8"/>
    <n v="4"/>
    <n v="243.333333333333"/>
    <n v="876"/>
  </r>
  <r>
    <x v="0"/>
    <x v="0"/>
    <x v="0"/>
    <x v="4"/>
    <x v="5"/>
    <s v="LV_A3"/>
    <x v="4"/>
    <x v="3"/>
    <s v="GBPR_WOODCHIPS"/>
    <x v="4"/>
    <x v="9"/>
    <n v="4"/>
    <n v="243.333333333333"/>
    <n v="876"/>
  </r>
  <r>
    <x v="0"/>
    <x v="0"/>
    <x v="0"/>
    <x v="4"/>
    <x v="5"/>
    <s v="LV_A3"/>
    <x v="4"/>
    <x v="3"/>
    <s v="GBPR_WOODCHIPS"/>
    <x v="4"/>
    <x v="10"/>
    <n v="4"/>
    <n v="243.333333333333"/>
    <n v="876"/>
  </r>
  <r>
    <x v="0"/>
    <x v="0"/>
    <x v="0"/>
    <x v="4"/>
    <x v="5"/>
    <s v="LV_A3"/>
    <x v="4"/>
    <x v="3"/>
    <s v="GBPR_WOODCHIPS"/>
    <x v="4"/>
    <x v="11"/>
    <n v="4"/>
    <n v="243.333333333333"/>
    <n v="876"/>
  </r>
  <r>
    <x v="0"/>
    <x v="0"/>
    <x v="0"/>
    <x v="4"/>
    <x v="5"/>
    <s v="LV_A3"/>
    <x v="4"/>
    <x v="3"/>
    <s v="GBPR_WOODCHIPS"/>
    <x v="5"/>
    <x v="5"/>
    <n v="0.78848875379261996"/>
    <n v="47.966399189051103"/>
    <n v="172.67903708058401"/>
  </r>
  <r>
    <x v="0"/>
    <x v="0"/>
    <x v="0"/>
    <x v="4"/>
    <x v="5"/>
    <s v="LV_A3"/>
    <x v="4"/>
    <x v="3"/>
    <s v="GBPR_WOODCHIPS"/>
    <x v="5"/>
    <x v="6"/>
    <n v="4"/>
    <n v="243.333333333333"/>
    <n v="876"/>
  </r>
  <r>
    <x v="0"/>
    <x v="0"/>
    <x v="0"/>
    <x v="4"/>
    <x v="5"/>
    <s v="LV_A3"/>
    <x v="4"/>
    <x v="3"/>
    <s v="GBPR_WOODCHIPS"/>
    <x v="5"/>
    <x v="7"/>
    <n v="4"/>
    <n v="243.333333333333"/>
    <n v="876"/>
  </r>
  <r>
    <x v="0"/>
    <x v="0"/>
    <x v="0"/>
    <x v="4"/>
    <x v="5"/>
    <s v="LV_A3"/>
    <x v="4"/>
    <x v="3"/>
    <s v="GBPR_WOODCHIPS"/>
    <x v="5"/>
    <x v="8"/>
    <n v="4"/>
    <n v="243.333333333333"/>
    <n v="876"/>
  </r>
  <r>
    <x v="0"/>
    <x v="0"/>
    <x v="0"/>
    <x v="4"/>
    <x v="5"/>
    <s v="LV_A3"/>
    <x v="4"/>
    <x v="3"/>
    <s v="GBPR_WOODCHIPS"/>
    <x v="5"/>
    <x v="9"/>
    <n v="4"/>
    <n v="243.333333333333"/>
    <n v="876"/>
  </r>
  <r>
    <x v="0"/>
    <x v="0"/>
    <x v="0"/>
    <x v="4"/>
    <x v="5"/>
    <s v="LV_A3"/>
    <x v="4"/>
    <x v="3"/>
    <s v="GBPR_WOODCHIPS"/>
    <x v="5"/>
    <x v="10"/>
    <n v="4"/>
    <n v="243.333333333333"/>
    <n v="876"/>
  </r>
  <r>
    <x v="0"/>
    <x v="0"/>
    <x v="0"/>
    <x v="4"/>
    <x v="5"/>
    <s v="LV_A3"/>
    <x v="4"/>
    <x v="3"/>
    <s v="GBPR_WOODCHIPS"/>
    <x v="5"/>
    <x v="11"/>
    <n v="4"/>
    <n v="243.333333333333"/>
    <n v="876"/>
  </r>
  <r>
    <x v="0"/>
    <x v="0"/>
    <x v="0"/>
    <x v="4"/>
    <x v="5"/>
    <s v="LV_A3"/>
    <x v="4"/>
    <x v="3"/>
    <s v="GBPR_WOODCHIPS"/>
    <x v="6"/>
    <x v="5"/>
    <n v="4"/>
    <n v="243.333333333333"/>
    <n v="876"/>
  </r>
  <r>
    <x v="0"/>
    <x v="0"/>
    <x v="0"/>
    <x v="4"/>
    <x v="5"/>
    <s v="LV_A3"/>
    <x v="4"/>
    <x v="3"/>
    <s v="GBPR_WOODCHIPS"/>
    <x v="6"/>
    <x v="6"/>
    <n v="4"/>
    <n v="243.333333333333"/>
    <n v="876"/>
  </r>
  <r>
    <x v="0"/>
    <x v="0"/>
    <x v="0"/>
    <x v="4"/>
    <x v="5"/>
    <s v="LV_A3"/>
    <x v="4"/>
    <x v="3"/>
    <s v="GBPR_WOODCHIPS"/>
    <x v="6"/>
    <x v="7"/>
    <n v="4"/>
    <n v="243.333333333333"/>
    <n v="876"/>
  </r>
  <r>
    <x v="0"/>
    <x v="0"/>
    <x v="0"/>
    <x v="4"/>
    <x v="5"/>
    <s v="LV_A3"/>
    <x v="4"/>
    <x v="3"/>
    <s v="GBPR_WOODCHIPS"/>
    <x v="6"/>
    <x v="8"/>
    <n v="4"/>
    <n v="243.333333333333"/>
    <n v="876"/>
  </r>
  <r>
    <x v="0"/>
    <x v="0"/>
    <x v="0"/>
    <x v="4"/>
    <x v="5"/>
    <s v="LV_A3"/>
    <x v="4"/>
    <x v="3"/>
    <s v="GBPR_WOODCHIPS"/>
    <x v="6"/>
    <x v="9"/>
    <n v="4"/>
    <n v="243.333333333333"/>
    <n v="876"/>
  </r>
  <r>
    <x v="0"/>
    <x v="0"/>
    <x v="0"/>
    <x v="4"/>
    <x v="5"/>
    <s v="LV_A3"/>
    <x v="4"/>
    <x v="3"/>
    <s v="GBPR_WOODCHIPS"/>
    <x v="6"/>
    <x v="10"/>
    <n v="4"/>
    <n v="243.333333333333"/>
    <n v="876"/>
  </r>
  <r>
    <x v="0"/>
    <x v="0"/>
    <x v="0"/>
    <x v="4"/>
    <x v="5"/>
    <s v="LV_A3"/>
    <x v="4"/>
    <x v="3"/>
    <s v="GBPR_WOODCHIPS"/>
    <x v="6"/>
    <x v="11"/>
    <n v="4"/>
    <n v="243.333333333333"/>
    <n v="876"/>
  </r>
  <r>
    <x v="0"/>
    <x v="0"/>
    <x v="0"/>
    <x v="4"/>
    <x v="5"/>
    <s v="LV_A3"/>
    <x v="4"/>
    <x v="3"/>
    <s v="GBPR_WOODCHIPS"/>
    <x v="7"/>
    <x v="5"/>
    <n v="4"/>
    <n v="243.333333333333"/>
    <n v="876"/>
  </r>
  <r>
    <x v="0"/>
    <x v="0"/>
    <x v="0"/>
    <x v="4"/>
    <x v="5"/>
    <s v="LV_A3"/>
    <x v="4"/>
    <x v="3"/>
    <s v="GBPR_WOODCHIPS"/>
    <x v="7"/>
    <x v="6"/>
    <n v="4"/>
    <n v="243.333333333333"/>
    <n v="876"/>
  </r>
  <r>
    <x v="0"/>
    <x v="0"/>
    <x v="0"/>
    <x v="4"/>
    <x v="5"/>
    <s v="LV_A3"/>
    <x v="4"/>
    <x v="3"/>
    <s v="GBPR_WOODCHIPS"/>
    <x v="7"/>
    <x v="7"/>
    <n v="4"/>
    <n v="243.333333333333"/>
    <n v="876"/>
  </r>
  <r>
    <x v="0"/>
    <x v="0"/>
    <x v="0"/>
    <x v="4"/>
    <x v="5"/>
    <s v="LV_A3"/>
    <x v="4"/>
    <x v="3"/>
    <s v="GBPR_WOODCHIPS"/>
    <x v="7"/>
    <x v="8"/>
    <n v="4"/>
    <n v="243.333333333333"/>
    <n v="876"/>
  </r>
  <r>
    <x v="0"/>
    <x v="0"/>
    <x v="0"/>
    <x v="4"/>
    <x v="5"/>
    <s v="LV_A3"/>
    <x v="4"/>
    <x v="3"/>
    <s v="GBPR_WOODCHIPS"/>
    <x v="7"/>
    <x v="9"/>
    <n v="4"/>
    <n v="243.333333333333"/>
    <n v="876"/>
  </r>
  <r>
    <x v="0"/>
    <x v="0"/>
    <x v="0"/>
    <x v="4"/>
    <x v="5"/>
    <s v="LV_A3"/>
    <x v="4"/>
    <x v="3"/>
    <s v="GBPR_WOODCHIPS"/>
    <x v="7"/>
    <x v="10"/>
    <n v="4"/>
    <n v="243.333333333333"/>
    <n v="876"/>
  </r>
  <r>
    <x v="0"/>
    <x v="0"/>
    <x v="0"/>
    <x v="4"/>
    <x v="5"/>
    <s v="LV_A3"/>
    <x v="4"/>
    <x v="3"/>
    <s v="GBPR_WOODCHIPS"/>
    <x v="7"/>
    <x v="11"/>
    <n v="4"/>
    <n v="243.333333333333"/>
    <n v="876"/>
  </r>
  <r>
    <x v="0"/>
    <x v="0"/>
    <x v="0"/>
    <x v="4"/>
    <x v="5"/>
    <s v="LV_A3"/>
    <x v="4"/>
    <x v="3"/>
    <s v="GBPR_WOODCHIPS"/>
    <x v="8"/>
    <x v="0"/>
    <n v="0.73327743998960704"/>
    <n v="44.607710932701103"/>
    <n v="160.587759357724"/>
  </r>
  <r>
    <x v="0"/>
    <x v="0"/>
    <x v="0"/>
    <x v="4"/>
    <x v="5"/>
    <s v="LV_A3"/>
    <x v="4"/>
    <x v="3"/>
    <s v="GBPR_WOODCHIPS"/>
    <x v="8"/>
    <x v="2"/>
    <n v="4"/>
    <n v="243.333333333333"/>
    <n v="876"/>
  </r>
  <r>
    <x v="0"/>
    <x v="0"/>
    <x v="0"/>
    <x v="4"/>
    <x v="5"/>
    <s v="LV_A3"/>
    <x v="4"/>
    <x v="3"/>
    <s v="GBPR_WOODCHIPS"/>
    <x v="8"/>
    <x v="3"/>
    <n v="4"/>
    <n v="243.333333333333"/>
    <n v="876"/>
  </r>
  <r>
    <x v="0"/>
    <x v="0"/>
    <x v="0"/>
    <x v="4"/>
    <x v="5"/>
    <s v="LV_A3"/>
    <x v="4"/>
    <x v="3"/>
    <s v="GBPR_WOODCHIPS"/>
    <x v="8"/>
    <x v="4"/>
    <n v="4"/>
    <n v="243.333333333333"/>
    <n v="876"/>
  </r>
  <r>
    <x v="0"/>
    <x v="0"/>
    <x v="0"/>
    <x v="4"/>
    <x v="5"/>
    <s v="LV_A3"/>
    <x v="4"/>
    <x v="3"/>
    <s v="GBPR_WOODCHIPS"/>
    <x v="8"/>
    <x v="5"/>
    <n v="4"/>
    <n v="243.333333333333"/>
    <n v="876"/>
  </r>
  <r>
    <x v="0"/>
    <x v="0"/>
    <x v="0"/>
    <x v="4"/>
    <x v="5"/>
    <s v="LV_A3"/>
    <x v="4"/>
    <x v="3"/>
    <s v="GBPR_WOODCHIPS"/>
    <x v="8"/>
    <x v="6"/>
    <n v="4"/>
    <n v="243.333333333333"/>
    <n v="876"/>
  </r>
  <r>
    <x v="0"/>
    <x v="0"/>
    <x v="0"/>
    <x v="4"/>
    <x v="5"/>
    <s v="LV_A3"/>
    <x v="4"/>
    <x v="3"/>
    <s v="GBPR_WOODCHIPS"/>
    <x v="8"/>
    <x v="7"/>
    <n v="4"/>
    <n v="243.333333333333"/>
    <n v="876"/>
  </r>
  <r>
    <x v="0"/>
    <x v="0"/>
    <x v="0"/>
    <x v="4"/>
    <x v="5"/>
    <s v="LV_A3"/>
    <x v="4"/>
    <x v="3"/>
    <s v="GBPR_WOODCHIPS"/>
    <x v="8"/>
    <x v="8"/>
    <n v="4"/>
    <n v="243.333333333333"/>
    <n v="876"/>
  </r>
  <r>
    <x v="0"/>
    <x v="0"/>
    <x v="0"/>
    <x v="4"/>
    <x v="5"/>
    <s v="LV_A3"/>
    <x v="4"/>
    <x v="3"/>
    <s v="GBPR_WOODCHIPS"/>
    <x v="8"/>
    <x v="9"/>
    <n v="4"/>
    <n v="243.333333333333"/>
    <n v="876"/>
  </r>
  <r>
    <x v="0"/>
    <x v="0"/>
    <x v="0"/>
    <x v="4"/>
    <x v="5"/>
    <s v="LV_A3"/>
    <x v="4"/>
    <x v="3"/>
    <s v="GBPR_WOODCHIPS"/>
    <x v="8"/>
    <x v="10"/>
    <n v="4"/>
    <n v="243.333333333333"/>
    <n v="876"/>
  </r>
  <r>
    <x v="0"/>
    <x v="0"/>
    <x v="0"/>
    <x v="4"/>
    <x v="5"/>
    <s v="LV_A3"/>
    <x v="4"/>
    <x v="3"/>
    <s v="GBPR_WOODCHIPS"/>
    <x v="8"/>
    <x v="11"/>
    <n v="4"/>
    <n v="243.333333333333"/>
    <n v="876"/>
  </r>
  <r>
    <x v="0"/>
    <x v="0"/>
    <x v="0"/>
    <x v="4"/>
    <x v="5"/>
    <s v="LV_A3"/>
    <x v="4"/>
    <x v="3"/>
    <s v="GBPR_WOODCHIPS"/>
    <x v="9"/>
    <x v="0"/>
    <n v="4"/>
    <n v="243.333333333333"/>
    <n v="876"/>
  </r>
  <r>
    <x v="0"/>
    <x v="0"/>
    <x v="0"/>
    <x v="4"/>
    <x v="5"/>
    <s v="LV_A3"/>
    <x v="4"/>
    <x v="3"/>
    <s v="GBPR_WOODCHIPS"/>
    <x v="9"/>
    <x v="1"/>
    <n v="4"/>
    <n v="243.333333333333"/>
    <n v="876"/>
  </r>
  <r>
    <x v="0"/>
    <x v="0"/>
    <x v="0"/>
    <x v="4"/>
    <x v="5"/>
    <s v="LV_A3"/>
    <x v="4"/>
    <x v="3"/>
    <s v="GBPR_WOODCHIPS"/>
    <x v="9"/>
    <x v="2"/>
    <n v="4"/>
    <n v="243.333333333333"/>
    <n v="876"/>
  </r>
  <r>
    <x v="0"/>
    <x v="0"/>
    <x v="0"/>
    <x v="4"/>
    <x v="5"/>
    <s v="LV_A3"/>
    <x v="4"/>
    <x v="3"/>
    <s v="GBPR_WOODCHIPS"/>
    <x v="9"/>
    <x v="3"/>
    <n v="4"/>
    <n v="243.333333333333"/>
    <n v="876"/>
  </r>
  <r>
    <x v="0"/>
    <x v="0"/>
    <x v="0"/>
    <x v="4"/>
    <x v="5"/>
    <s v="LV_A3"/>
    <x v="4"/>
    <x v="3"/>
    <s v="GBPR_WOODCHIPS"/>
    <x v="9"/>
    <x v="4"/>
    <n v="4"/>
    <n v="243.333333333333"/>
    <n v="876"/>
  </r>
  <r>
    <x v="0"/>
    <x v="0"/>
    <x v="0"/>
    <x v="4"/>
    <x v="5"/>
    <s v="LV_A3"/>
    <x v="4"/>
    <x v="3"/>
    <s v="GBPR_WOODCHIPS"/>
    <x v="9"/>
    <x v="5"/>
    <n v="4"/>
    <n v="243.333333333333"/>
    <n v="876"/>
  </r>
  <r>
    <x v="0"/>
    <x v="0"/>
    <x v="0"/>
    <x v="4"/>
    <x v="5"/>
    <s v="LV_A3"/>
    <x v="4"/>
    <x v="3"/>
    <s v="GBPR_WOODCHIPS"/>
    <x v="9"/>
    <x v="6"/>
    <n v="4"/>
    <n v="243.333333333333"/>
    <n v="876"/>
  </r>
  <r>
    <x v="0"/>
    <x v="0"/>
    <x v="0"/>
    <x v="4"/>
    <x v="5"/>
    <s v="LV_A3"/>
    <x v="4"/>
    <x v="3"/>
    <s v="GBPR_WOODCHIPS"/>
    <x v="9"/>
    <x v="7"/>
    <n v="4"/>
    <n v="243.333333333333"/>
    <n v="876"/>
  </r>
  <r>
    <x v="0"/>
    <x v="0"/>
    <x v="0"/>
    <x v="4"/>
    <x v="5"/>
    <s v="LV_A3"/>
    <x v="4"/>
    <x v="3"/>
    <s v="GBPR_WOODCHIPS"/>
    <x v="9"/>
    <x v="8"/>
    <n v="4"/>
    <n v="243.333333333333"/>
    <n v="876"/>
  </r>
  <r>
    <x v="0"/>
    <x v="0"/>
    <x v="0"/>
    <x v="4"/>
    <x v="5"/>
    <s v="LV_A3"/>
    <x v="4"/>
    <x v="3"/>
    <s v="GBPR_WOODCHIPS"/>
    <x v="9"/>
    <x v="9"/>
    <n v="4"/>
    <n v="243.333333333333"/>
    <n v="876"/>
  </r>
  <r>
    <x v="0"/>
    <x v="0"/>
    <x v="0"/>
    <x v="4"/>
    <x v="5"/>
    <s v="LV_A3"/>
    <x v="4"/>
    <x v="3"/>
    <s v="GBPR_WOODCHIPS"/>
    <x v="9"/>
    <x v="10"/>
    <n v="4"/>
    <n v="243.333333333333"/>
    <n v="876"/>
  </r>
  <r>
    <x v="0"/>
    <x v="0"/>
    <x v="0"/>
    <x v="4"/>
    <x v="5"/>
    <s v="LV_A3"/>
    <x v="4"/>
    <x v="3"/>
    <s v="GBPR_WOODCHIPS"/>
    <x v="9"/>
    <x v="11"/>
    <n v="4"/>
    <n v="243.333333333333"/>
    <n v="876"/>
  </r>
  <r>
    <x v="0"/>
    <x v="0"/>
    <x v="0"/>
    <x v="4"/>
    <x v="5"/>
    <s v="LV_A3"/>
    <x v="4"/>
    <x v="3"/>
    <s v="GBPR_WOODCHIPS"/>
    <x v="10"/>
    <x v="2"/>
    <n v="4"/>
    <n v="243.333333333333"/>
    <n v="876"/>
  </r>
  <r>
    <x v="0"/>
    <x v="0"/>
    <x v="0"/>
    <x v="4"/>
    <x v="5"/>
    <s v="LV_A3"/>
    <x v="4"/>
    <x v="3"/>
    <s v="GBPR_WOODCHIPS"/>
    <x v="10"/>
    <x v="3"/>
    <n v="4"/>
    <n v="243.333333333333"/>
    <n v="876"/>
  </r>
  <r>
    <x v="0"/>
    <x v="0"/>
    <x v="0"/>
    <x v="4"/>
    <x v="5"/>
    <s v="LV_A3"/>
    <x v="4"/>
    <x v="3"/>
    <s v="GBPR_WOODCHIPS"/>
    <x v="10"/>
    <x v="4"/>
    <n v="4"/>
    <n v="243.333333333333"/>
    <n v="876"/>
  </r>
  <r>
    <x v="0"/>
    <x v="0"/>
    <x v="0"/>
    <x v="4"/>
    <x v="5"/>
    <s v="LV_A3"/>
    <x v="4"/>
    <x v="3"/>
    <s v="GBPR_WOODCHIPS"/>
    <x v="10"/>
    <x v="5"/>
    <n v="4"/>
    <n v="243.333333333333"/>
    <n v="876"/>
  </r>
  <r>
    <x v="0"/>
    <x v="0"/>
    <x v="0"/>
    <x v="4"/>
    <x v="5"/>
    <s v="LV_A3"/>
    <x v="4"/>
    <x v="3"/>
    <s v="GBPR_WOODCHIPS"/>
    <x v="10"/>
    <x v="6"/>
    <n v="4"/>
    <n v="243.333333333333"/>
    <n v="876"/>
  </r>
  <r>
    <x v="0"/>
    <x v="0"/>
    <x v="0"/>
    <x v="4"/>
    <x v="5"/>
    <s v="LV_A3"/>
    <x v="4"/>
    <x v="3"/>
    <s v="GBPR_WOODCHIPS"/>
    <x v="10"/>
    <x v="7"/>
    <n v="4"/>
    <n v="243.333333333333"/>
    <n v="876"/>
  </r>
  <r>
    <x v="0"/>
    <x v="0"/>
    <x v="0"/>
    <x v="4"/>
    <x v="5"/>
    <s v="LV_A3"/>
    <x v="4"/>
    <x v="3"/>
    <s v="GBPR_WOODCHIPS"/>
    <x v="10"/>
    <x v="8"/>
    <n v="4"/>
    <n v="243.333333333333"/>
    <n v="876"/>
  </r>
  <r>
    <x v="0"/>
    <x v="0"/>
    <x v="0"/>
    <x v="4"/>
    <x v="5"/>
    <s v="LV_A3"/>
    <x v="4"/>
    <x v="3"/>
    <s v="GBPR_WOODCHIPS"/>
    <x v="10"/>
    <x v="9"/>
    <n v="4"/>
    <n v="243.333333333333"/>
    <n v="876"/>
  </r>
  <r>
    <x v="0"/>
    <x v="0"/>
    <x v="0"/>
    <x v="4"/>
    <x v="5"/>
    <s v="LV_A3"/>
    <x v="4"/>
    <x v="3"/>
    <s v="GBPR_WOODCHIPS"/>
    <x v="10"/>
    <x v="10"/>
    <n v="4"/>
    <n v="243.333333333333"/>
    <n v="876"/>
  </r>
  <r>
    <x v="0"/>
    <x v="0"/>
    <x v="0"/>
    <x v="4"/>
    <x v="5"/>
    <s v="LV_A3"/>
    <x v="4"/>
    <x v="3"/>
    <s v="GBPR_WOODCHIPS"/>
    <x v="11"/>
    <x v="6"/>
    <n v="4"/>
    <n v="243.333333333333"/>
    <n v="876"/>
  </r>
  <r>
    <x v="0"/>
    <x v="0"/>
    <x v="0"/>
    <x v="4"/>
    <x v="5"/>
    <s v="LV_A3"/>
    <x v="4"/>
    <x v="3"/>
    <s v="GBPR_WOODCHIPS"/>
    <x v="11"/>
    <x v="7"/>
    <n v="4"/>
    <n v="243.333333333333"/>
    <n v="876"/>
  </r>
  <r>
    <x v="0"/>
    <x v="0"/>
    <x v="0"/>
    <x v="4"/>
    <x v="5"/>
    <s v="LV_A3"/>
    <x v="4"/>
    <x v="3"/>
    <s v="GBPR_WOODCHIPS"/>
    <x v="11"/>
    <x v="8"/>
    <n v="4"/>
    <n v="243.333333333333"/>
    <n v="876"/>
  </r>
  <r>
    <x v="0"/>
    <x v="0"/>
    <x v="0"/>
    <x v="4"/>
    <x v="5"/>
    <s v="LV_A3"/>
    <x v="4"/>
    <x v="3"/>
    <s v="GBPR_WOODCHIPS"/>
    <x v="11"/>
    <x v="9"/>
    <n v="4"/>
    <n v="243.333333333333"/>
    <n v="876"/>
  </r>
  <r>
    <x v="0"/>
    <x v="0"/>
    <x v="0"/>
    <x v="4"/>
    <x v="5"/>
    <s v="LV_A3"/>
    <x v="4"/>
    <x v="3"/>
    <s v="GBPR_WOODCHIPS"/>
    <x v="11"/>
    <x v="10"/>
    <n v="4"/>
    <n v="243.333333333333"/>
    <n v="876"/>
  </r>
  <r>
    <x v="0"/>
    <x v="0"/>
    <x v="0"/>
    <x v="4"/>
    <x v="5"/>
    <s v="LV_A3"/>
    <x v="4"/>
    <x v="3"/>
    <s v="GBPR_WOODCHIPS"/>
    <x v="11"/>
    <x v="11"/>
    <n v="4"/>
    <n v="243.333333333333"/>
    <n v="876"/>
  </r>
  <r>
    <x v="0"/>
    <x v="0"/>
    <x v="0"/>
    <x v="4"/>
    <x v="5"/>
    <s v="LV_A3"/>
    <x v="10"/>
    <x v="3"/>
    <s v="GBPR_WOODWASTE"/>
    <x v="0"/>
    <x v="0"/>
    <n v="22"/>
    <n v="1338.3333333333301"/>
    <n v="4818"/>
  </r>
  <r>
    <x v="0"/>
    <x v="0"/>
    <x v="0"/>
    <x v="4"/>
    <x v="5"/>
    <s v="LV_A3"/>
    <x v="10"/>
    <x v="3"/>
    <s v="GBPR_WOODWASTE"/>
    <x v="0"/>
    <x v="1"/>
    <n v="22"/>
    <n v="1338.3333333333301"/>
    <n v="4818"/>
  </r>
  <r>
    <x v="0"/>
    <x v="0"/>
    <x v="0"/>
    <x v="4"/>
    <x v="5"/>
    <s v="LV_A3"/>
    <x v="10"/>
    <x v="3"/>
    <s v="GBPR_WOODWASTE"/>
    <x v="0"/>
    <x v="2"/>
    <n v="3.3818497142012101"/>
    <n v="205.72919094724"/>
    <n v="740.62508741006502"/>
  </r>
  <r>
    <x v="0"/>
    <x v="0"/>
    <x v="0"/>
    <x v="4"/>
    <x v="5"/>
    <s v="LV_A3"/>
    <x v="10"/>
    <x v="3"/>
    <s v="GBPR_WOODWASTE"/>
    <x v="1"/>
    <x v="0"/>
    <n v="22"/>
    <n v="1338.3333333333301"/>
    <n v="4818"/>
  </r>
  <r>
    <x v="0"/>
    <x v="0"/>
    <x v="0"/>
    <x v="4"/>
    <x v="5"/>
    <s v="LV_A3"/>
    <x v="10"/>
    <x v="3"/>
    <s v="GBPR_WOODWASTE"/>
    <x v="1"/>
    <x v="1"/>
    <n v="22"/>
    <n v="1338.3333333333301"/>
    <n v="4818"/>
  </r>
  <r>
    <x v="0"/>
    <x v="0"/>
    <x v="0"/>
    <x v="4"/>
    <x v="5"/>
    <s v="LV_A3"/>
    <x v="10"/>
    <x v="3"/>
    <s v="GBPR_WOODWASTE"/>
    <x v="1"/>
    <x v="4"/>
    <n v="22"/>
    <n v="1338.3333333333301"/>
    <n v="4818"/>
  </r>
  <r>
    <x v="0"/>
    <x v="0"/>
    <x v="0"/>
    <x v="4"/>
    <x v="5"/>
    <s v="LV_A3"/>
    <x v="10"/>
    <x v="3"/>
    <s v="GBPR_WOODWASTE"/>
    <x v="1"/>
    <x v="5"/>
    <n v="22"/>
    <n v="1338.3333333333301"/>
    <n v="4818"/>
  </r>
  <r>
    <x v="0"/>
    <x v="0"/>
    <x v="0"/>
    <x v="4"/>
    <x v="5"/>
    <s v="LV_A3"/>
    <x v="10"/>
    <x v="3"/>
    <s v="GBPR_WOODWASTE"/>
    <x v="1"/>
    <x v="6"/>
    <n v="22"/>
    <n v="1338.3333333333301"/>
    <n v="4818"/>
  </r>
  <r>
    <x v="0"/>
    <x v="0"/>
    <x v="0"/>
    <x v="4"/>
    <x v="5"/>
    <s v="LV_A3"/>
    <x v="10"/>
    <x v="3"/>
    <s v="GBPR_WOODWASTE"/>
    <x v="1"/>
    <x v="7"/>
    <n v="22"/>
    <n v="1338.3333333333301"/>
    <n v="4818"/>
  </r>
  <r>
    <x v="0"/>
    <x v="0"/>
    <x v="0"/>
    <x v="4"/>
    <x v="5"/>
    <s v="LV_A3"/>
    <x v="10"/>
    <x v="3"/>
    <s v="GBPR_WOODWASTE"/>
    <x v="1"/>
    <x v="8"/>
    <n v="22"/>
    <n v="1338.3333333333301"/>
    <n v="4818"/>
  </r>
  <r>
    <x v="0"/>
    <x v="0"/>
    <x v="0"/>
    <x v="4"/>
    <x v="5"/>
    <s v="LV_A3"/>
    <x v="10"/>
    <x v="3"/>
    <s v="GBPR_WOODWASTE"/>
    <x v="1"/>
    <x v="9"/>
    <n v="22"/>
    <n v="1338.3333333333301"/>
    <n v="4818"/>
  </r>
  <r>
    <x v="0"/>
    <x v="0"/>
    <x v="0"/>
    <x v="4"/>
    <x v="5"/>
    <s v="LV_A3"/>
    <x v="10"/>
    <x v="3"/>
    <s v="GBPR_WOODWASTE"/>
    <x v="1"/>
    <x v="10"/>
    <n v="22"/>
    <n v="1338.3333333333301"/>
    <n v="4818"/>
  </r>
  <r>
    <x v="0"/>
    <x v="0"/>
    <x v="0"/>
    <x v="4"/>
    <x v="5"/>
    <s v="LV_A3"/>
    <x v="10"/>
    <x v="3"/>
    <s v="GBPR_WOODWASTE"/>
    <x v="1"/>
    <x v="11"/>
    <n v="22"/>
    <n v="1338.3333333333301"/>
    <n v="4818"/>
  </r>
  <r>
    <x v="0"/>
    <x v="0"/>
    <x v="0"/>
    <x v="4"/>
    <x v="5"/>
    <s v="LV_A3"/>
    <x v="10"/>
    <x v="3"/>
    <s v="GBPR_WOODWASTE"/>
    <x v="2"/>
    <x v="5"/>
    <n v="22"/>
    <n v="1338.3333333333301"/>
    <n v="4818"/>
  </r>
  <r>
    <x v="0"/>
    <x v="0"/>
    <x v="0"/>
    <x v="4"/>
    <x v="5"/>
    <s v="LV_A3"/>
    <x v="10"/>
    <x v="3"/>
    <s v="GBPR_WOODWASTE"/>
    <x v="2"/>
    <x v="6"/>
    <n v="22"/>
    <n v="1338.3333333333301"/>
    <n v="4818"/>
  </r>
  <r>
    <x v="0"/>
    <x v="0"/>
    <x v="0"/>
    <x v="4"/>
    <x v="5"/>
    <s v="LV_A3"/>
    <x v="10"/>
    <x v="3"/>
    <s v="GBPR_WOODWASTE"/>
    <x v="2"/>
    <x v="7"/>
    <n v="22"/>
    <n v="1338.3333333333301"/>
    <n v="4818"/>
  </r>
  <r>
    <x v="0"/>
    <x v="0"/>
    <x v="0"/>
    <x v="4"/>
    <x v="5"/>
    <s v="LV_A3"/>
    <x v="10"/>
    <x v="3"/>
    <s v="GBPR_WOODWASTE"/>
    <x v="2"/>
    <x v="8"/>
    <n v="22"/>
    <n v="1338.3333333333301"/>
    <n v="4818"/>
  </r>
  <r>
    <x v="0"/>
    <x v="0"/>
    <x v="0"/>
    <x v="4"/>
    <x v="5"/>
    <s v="LV_A3"/>
    <x v="10"/>
    <x v="3"/>
    <s v="GBPR_WOODWASTE"/>
    <x v="2"/>
    <x v="9"/>
    <n v="22"/>
    <n v="1338.3333333333301"/>
    <n v="4818"/>
  </r>
  <r>
    <x v="0"/>
    <x v="0"/>
    <x v="0"/>
    <x v="4"/>
    <x v="5"/>
    <s v="LV_A3"/>
    <x v="10"/>
    <x v="3"/>
    <s v="GBPR_WOODWASTE"/>
    <x v="2"/>
    <x v="10"/>
    <n v="22"/>
    <n v="1338.3333333333301"/>
    <n v="4818"/>
  </r>
  <r>
    <x v="0"/>
    <x v="0"/>
    <x v="0"/>
    <x v="4"/>
    <x v="5"/>
    <s v="LV_A3"/>
    <x v="10"/>
    <x v="3"/>
    <s v="GBPR_WOODWASTE"/>
    <x v="2"/>
    <x v="11"/>
    <n v="22"/>
    <n v="1338.3333333333301"/>
    <n v="4818"/>
  </r>
  <r>
    <x v="0"/>
    <x v="0"/>
    <x v="0"/>
    <x v="4"/>
    <x v="5"/>
    <s v="LV_A3"/>
    <x v="10"/>
    <x v="3"/>
    <s v="GBPR_WOODWASTE"/>
    <x v="3"/>
    <x v="4"/>
    <n v="22"/>
    <n v="1338.3333333333301"/>
    <n v="4818"/>
  </r>
  <r>
    <x v="0"/>
    <x v="0"/>
    <x v="0"/>
    <x v="4"/>
    <x v="5"/>
    <s v="LV_A3"/>
    <x v="10"/>
    <x v="3"/>
    <s v="GBPR_WOODWASTE"/>
    <x v="3"/>
    <x v="5"/>
    <n v="22"/>
    <n v="1338.3333333333301"/>
    <n v="4818"/>
  </r>
  <r>
    <x v="0"/>
    <x v="0"/>
    <x v="0"/>
    <x v="4"/>
    <x v="5"/>
    <s v="LV_A3"/>
    <x v="10"/>
    <x v="3"/>
    <s v="GBPR_WOODWASTE"/>
    <x v="3"/>
    <x v="6"/>
    <n v="22"/>
    <n v="1338.3333333333301"/>
    <n v="4818"/>
  </r>
  <r>
    <x v="0"/>
    <x v="0"/>
    <x v="0"/>
    <x v="4"/>
    <x v="5"/>
    <s v="LV_A3"/>
    <x v="10"/>
    <x v="3"/>
    <s v="GBPR_WOODWASTE"/>
    <x v="3"/>
    <x v="7"/>
    <n v="22"/>
    <n v="1338.3333333333301"/>
    <n v="4818"/>
  </r>
  <r>
    <x v="0"/>
    <x v="0"/>
    <x v="0"/>
    <x v="4"/>
    <x v="5"/>
    <s v="LV_A3"/>
    <x v="10"/>
    <x v="3"/>
    <s v="GBPR_WOODWASTE"/>
    <x v="3"/>
    <x v="8"/>
    <n v="22"/>
    <n v="1338.3333333333301"/>
    <n v="4818"/>
  </r>
  <r>
    <x v="0"/>
    <x v="0"/>
    <x v="0"/>
    <x v="4"/>
    <x v="5"/>
    <s v="LV_A3"/>
    <x v="10"/>
    <x v="3"/>
    <s v="GBPR_WOODWASTE"/>
    <x v="3"/>
    <x v="9"/>
    <n v="22"/>
    <n v="1338.3333333333301"/>
    <n v="4818"/>
  </r>
  <r>
    <x v="0"/>
    <x v="0"/>
    <x v="0"/>
    <x v="4"/>
    <x v="5"/>
    <s v="LV_A3"/>
    <x v="10"/>
    <x v="3"/>
    <s v="GBPR_WOODWASTE"/>
    <x v="3"/>
    <x v="10"/>
    <n v="22"/>
    <n v="1338.3333333333301"/>
    <n v="4818"/>
  </r>
  <r>
    <x v="0"/>
    <x v="0"/>
    <x v="0"/>
    <x v="4"/>
    <x v="5"/>
    <s v="LV_A3"/>
    <x v="10"/>
    <x v="3"/>
    <s v="GBPR_WOODWASTE"/>
    <x v="3"/>
    <x v="11"/>
    <n v="22"/>
    <n v="1338.3333333333301"/>
    <n v="4818"/>
  </r>
  <r>
    <x v="0"/>
    <x v="0"/>
    <x v="0"/>
    <x v="4"/>
    <x v="5"/>
    <s v="LV_A3"/>
    <x v="10"/>
    <x v="3"/>
    <s v="GBPR_WOODWASTE"/>
    <x v="4"/>
    <x v="5"/>
    <n v="22"/>
    <n v="1338.3333333333301"/>
    <n v="4818"/>
  </r>
  <r>
    <x v="0"/>
    <x v="0"/>
    <x v="0"/>
    <x v="4"/>
    <x v="5"/>
    <s v="LV_A3"/>
    <x v="10"/>
    <x v="3"/>
    <s v="GBPR_WOODWASTE"/>
    <x v="4"/>
    <x v="6"/>
    <n v="22"/>
    <n v="1338.3333333333301"/>
    <n v="4818"/>
  </r>
  <r>
    <x v="0"/>
    <x v="0"/>
    <x v="0"/>
    <x v="4"/>
    <x v="5"/>
    <s v="LV_A3"/>
    <x v="10"/>
    <x v="3"/>
    <s v="GBPR_WOODWASTE"/>
    <x v="4"/>
    <x v="7"/>
    <n v="22"/>
    <n v="1338.3333333333301"/>
    <n v="4818"/>
  </r>
  <r>
    <x v="0"/>
    <x v="0"/>
    <x v="0"/>
    <x v="4"/>
    <x v="5"/>
    <s v="LV_A3"/>
    <x v="10"/>
    <x v="3"/>
    <s v="GBPR_WOODWASTE"/>
    <x v="4"/>
    <x v="8"/>
    <n v="22"/>
    <n v="1338.3333333333301"/>
    <n v="4818"/>
  </r>
  <r>
    <x v="0"/>
    <x v="0"/>
    <x v="0"/>
    <x v="4"/>
    <x v="5"/>
    <s v="LV_A3"/>
    <x v="10"/>
    <x v="3"/>
    <s v="GBPR_WOODWASTE"/>
    <x v="4"/>
    <x v="9"/>
    <n v="22"/>
    <n v="1338.3333333333301"/>
    <n v="4818"/>
  </r>
  <r>
    <x v="0"/>
    <x v="0"/>
    <x v="0"/>
    <x v="4"/>
    <x v="5"/>
    <s v="LV_A3"/>
    <x v="10"/>
    <x v="3"/>
    <s v="GBPR_WOODWASTE"/>
    <x v="4"/>
    <x v="10"/>
    <n v="22"/>
    <n v="1338.3333333333301"/>
    <n v="4818"/>
  </r>
  <r>
    <x v="0"/>
    <x v="0"/>
    <x v="0"/>
    <x v="4"/>
    <x v="5"/>
    <s v="LV_A3"/>
    <x v="10"/>
    <x v="3"/>
    <s v="GBPR_WOODWASTE"/>
    <x v="4"/>
    <x v="11"/>
    <n v="22"/>
    <n v="1338.3333333333301"/>
    <n v="4818"/>
  </r>
  <r>
    <x v="0"/>
    <x v="0"/>
    <x v="0"/>
    <x v="4"/>
    <x v="5"/>
    <s v="LV_A3"/>
    <x v="10"/>
    <x v="3"/>
    <s v="GBPR_WOODWASTE"/>
    <x v="5"/>
    <x v="5"/>
    <n v="22"/>
    <n v="1338.3333333333301"/>
    <n v="4818"/>
  </r>
  <r>
    <x v="0"/>
    <x v="0"/>
    <x v="0"/>
    <x v="4"/>
    <x v="5"/>
    <s v="LV_A3"/>
    <x v="10"/>
    <x v="3"/>
    <s v="GBPR_WOODWASTE"/>
    <x v="5"/>
    <x v="6"/>
    <n v="22"/>
    <n v="1338.3333333333301"/>
    <n v="4818"/>
  </r>
  <r>
    <x v="0"/>
    <x v="0"/>
    <x v="0"/>
    <x v="4"/>
    <x v="5"/>
    <s v="LV_A3"/>
    <x v="10"/>
    <x v="3"/>
    <s v="GBPR_WOODWASTE"/>
    <x v="5"/>
    <x v="7"/>
    <n v="22"/>
    <n v="1338.3333333333301"/>
    <n v="4818"/>
  </r>
  <r>
    <x v="0"/>
    <x v="0"/>
    <x v="0"/>
    <x v="4"/>
    <x v="5"/>
    <s v="LV_A3"/>
    <x v="10"/>
    <x v="3"/>
    <s v="GBPR_WOODWASTE"/>
    <x v="5"/>
    <x v="8"/>
    <n v="22"/>
    <n v="1338.3333333333301"/>
    <n v="4818"/>
  </r>
  <r>
    <x v="0"/>
    <x v="0"/>
    <x v="0"/>
    <x v="4"/>
    <x v="5"/>
    <s v="LV_A3"/>
    <x v="10"/>
    <x v="3"/>
    <s v="GBPR_WOODWASTE"/>
    <x v="5"/>
    <x v="9"/>
    <n v="22"/>
    <n v="1338.3333333333301"/>
    <n v="4818"/>
  </r>
  <r>
    <x v="0"/>
    <x v="0"/>
    <x v="0"/>
    <x v="4"/>
    <x v="5"/>
    <s v="LV_A3"/>
    <x v="10"/>
    <x v="3"/>
    <s v="GBPR_WOODWASTE"/>
    <x v="5"/>
    <x v="10"/>
    <n v="22"/>
    <n v="1338.3333333333301"/>
    <n v="4818"/>
  </r>
  <r>
    <x v="0"/>
    <x v="0"/>
    <x v="0"/>
    <x v="4"/>
    <x v="5"/>
    <s v="LV_A3"/>
    <x v="10"/>
    <x v="3"/>
    <s v="GBPR_WOODWASTE"/>
    <x v="5"/>
    <x v="11"/>
    <n v="22"/>
    <n v="1338.3333333333301"/>
    <n v="4818"/>
  </r>
  <r>
    <x v="0"/>
    <x v="0"/>
    <x v="0"/>
    <x v="4"/>
    <x v="5"/>
    <s v="LV_A3"/>
    <x v="10"/>
    <x v="3"/>
    <s v="GBPR_WOODWASTE"/>
    <x v="6"/>
    <x v="4"/>
    <n v="18.259214492610401"/>
    <n v="1110.7688816338"/>
    <n v="3998.7679738816701"/>
  </r>
  <r>
    <x v="0"/>
    <x v="0"/>
    <x v="0"/>
    <x v="4"/>
    <x v="5"/>
    <s v="LV_A3"/>
    <x v="10"/>
    <x v="3"/>
    <s v="GBPR_WOODWASTE"/>
    <x v="6"/>
    <x v="5"/>
    <n v="22"/>
    <n v="1338.3333333333301"/>
    <n v="4818"/>
  </r>
  <r>
    <x v="0"/>
    <x v="0"/>
    <x v="0"/>
    <x v="4"/>
    <x v="5"/>
    <s v="LV_A3"/>
    <x v="10"/>
    <x v="3"/>
    <s v="GBPR_WOODWASTE"/>
    <x v="6"/>
    <x v="6"/>
    <n v="22"/>
    <n v="1338.3333333333301"/>
    <n v="4818"/>
  </r>
  <r>
    <x v="0"/>
    <x v="0"/>
    <x v="0"/>
    <x v="4"/>
    <x v="5"/>
    <s v="LV_A3"/>
    <x v="10"/>
    <x v="3"/>
    <s v="GBPR_WOODWASTE"/>
    <x v="6"/>
    <x v="7"/>
    <n v="22"/>
    <n v="1338.3333333333301"/>
    <n v="4818"/>
  </r>
  <r>
    <x v="0"/>
    <x v="0"/>
    <x v="0"/>
    <x v="4"/>
    <x v="5"/>
    <s v="LV_A3"/>
    <x v="10"/>
    <x v="3"/>
    <s v="GBPR_WOODWASTE"/>
    <x v="6"/>
    <x v="8"/>
    <n v="22"/>
    <n v="1338.3333333333301"/>
    <n v="4818"/>
  </r>
  <r>
    <x v="0"/>
    <x v="0"/>
    <x v="0"/>
    <x v="4"/>
    <x v="5"/>
    <s v="LV_A3"/>
    <x v="10"/>
    <x v="3"/>
    <s v="GBPR_WOODWASTE"/>
    <x v="6"/>
    <x v="9"/>
    <n v="22"/>
    <n v="1338.3333333333301"/>
    <n v="4818"/>
  </r>
  <r>
    <x v="0"/>
    <x v="0"/>
    <x v="0"/>
    <x v="4"/>
    <x v="5"/>
    <s v="LV_A3"/>
    <x v="10"/>
    <x v="3"/>
    <s v="GBPR_WOODWASTE"/>
    <x v="6"/>
    <x v="10"/>
    <n v="22"/>
    <n v="1338.3333333333301"/>
    <n v="4818"/>
  </r>
  <r>
    <x v="0"/>
    <x v="0"/>
    <x v="0"/>
    <x v="4"/>
    <x v="5"/>
    <s v="LV_A3"/>
    <x v="10"/>
    <x v="3"/>
    <s v="GBPR_WOODWASTE"/>
    <x v="6"/>
    <x v="11"/>
    <n v="22"/>
    <n v="1338.3333333333301"/>
    <n v="4818"/>
  </r>
  <r>
    <x v="0"/>
    <x v="0"/>
    <x v="0"/>
    <x v="4"/>
    <x v="5"/>
    <s v="LV_A3"/>
    <x v="10"/>
    <x v="3"/>
    <s v="GBPR_WOODWASTE"/>
    <x v="7"/>
    <x v="4"/>
    <n v="13.1934895132877"/>
    <n v="802.603945391671"/>
    <n v="2889.3742034100201"/>
  </r>
  <r>
    <x v="0"/>
    <x v="0"/>
    <x v="0"/>
    <x v="4"/>
    <x v="5"/>
    <s v="LV_A3"/>
    <x v="10"/>
    <x v="3"/>
    <s v="GBPR_WOODWASTE"/>
    <x v="7"/>
    <x v="5"/>
    <n v="22"/>
    <n v="1338.3333333333301"/>
    <n v="4818"/>
  </r>
  <r>
    <x v="0"/>
    <x v="0"/>
    <x v="0"/>
    <x v="4"/>
    <x v="5"/>
    <s v="LV_A3"/>
    <x v="10"/>
    <x v="3"/>
    <s v="GBPR_WOODWASTE"/>
    <x v="7"/>
    <x v="6"/>
    <n v="22"/>
    <n v="1338.3333333333301"/>
    <n v="4818"/>
  </r>
  <r>
    <x v="0"/>
    <x v="0"/>
    <x v="0"/>
    <x v="4"/>
    <x v="5"/>
    <s v="LV_A3"/>
    <x v="10"/>
    <x v="3"/>
    <s v="GBPR_WOODWASTE"/>
    <x v="7"/>
    <x v="7"/>
    <n v="22"/>
    <n v="1338.3333333333301"/>
    <n v="4818"/>
  </r>
  <r>
    <x v="0"/>
    <x v="0"/>
    <x v="0"/>
    <x v="4"/>
    <x v="5"/>
    <s v="LV_A3"/>
    <x v="10"/>
    <x v="3"/>
    <s v="GBPR_WOODWASTE"/>
    <x v="7"/>
    <x v="8"/>
    <n v="22"/>
    <n v="1338.3333333333301"/>
    <n v="4818"/>
  </r>
  <r>
    <x v="0"/>
    <x v="0"/>
    <x v="0"/>
    <x v="4"/>
    <x v="5"/>
    <s v="LV_A3"/>
    <x v="10"/>
    <x v="3"/>
    <s v="GBPR_WOODWASTE"/>
    <x v="7"/>
    <x v="9"/>
    <n v="22"/>
    <n v="1338.3333333333301"/>
    <n v="4818"/>
  </r>
  <r>
    <x v="0"/>
    <x v="0"/>
    <x v="0"/>
    <x v="4"/>
    <x v="5"/>
    <s v="LV_A3"/>
    <x v="10"/>
    <x v="3"/>
    <s v="GBPR_WOODWASTE"/>
    <x v="7"/>
    <x v="10"/>
    <n v="22"/>
    <n v="1338.3333333333301"/>
    <n v="4818"/>
  </r>
  <r>
    <x v="0"/>
    <x v="0"/>
    <x v="0"/>
    <x v="4"/>
    <x v="5"/>
    <s v="LV_A3"/>
    <x v="10"/>
    <x v="3"/>
    <s v="GBPR_WOODWASTE"/>
    <x v="7"/>
    <x v="11"/>
    <n v="22"/>
    <n v="1338.3333333333301"/>
    <n v="4818"/>
  </r>
  <r>
    <x v="0"/>
    <x v="0"/>
    <x v="0"/>
    <x v="4"/>
    <x v="5"/>
    <s v="LV_A3"/>
    <x v="10"/>
    <x v="3"/>
    <s v="GBPR_WOODWASTE"/>
    <x v="8"/>
    <x v="0"/>
    <n v="22"/>
    <n v="1338.3333333333301"/>
    <n v="4818"/>
  </r>
  <r>
    <x v="0"/>
    <x v="0"/>
    <x v="0"/>
    <x v="4"/>
    <x v="5"/>
    <s v="LV_A3"/>
    <x v="10"/>
    <x v="3"/>
    <s v="GBPR_WOODWASTE"/>
    <x v="8"/>
    <x v="1"/>
    <n v="9.94307228893949"/>
    <n v="604.87023091048604"/>
    <n v="2177.5328312777501"/>
  </r>
  <r>
    <x v="0"/>
    <x v="0"/>
    <x v="0"/>
    <x v="4"/>
    <x v="5"/>
    <s v="LV_A3"/>
    <x v="10"/>
    <x v="3"/>
    <s v="GBPR_WOODWASTE"/>
    <x v="8"/>
    <x v="2"/>
    <n v="22"/>
    <n v="1338.3333333333301"/>
    <n v="4818"/>
  </r>
  <r>
    <x v="0"/>
    <x v="0"/>
    <x v="0"/>
    <x v="4"/>
    <x v="5"/>
    <s v="LV_A3"/>
    <x v="10"/>
    <x v="3"/>
    <s v="GBPR_WOODWASTE"/>
    <x v="8"/>
    <x v="3"/>
    <n v="22"/>
    <n v="1338.3333333333301"/>
    <n v="4818"/>
  </r>
  <r>
    <x v="0"/>
    <x v="0"/>
    <x v="0"/>
    <x v="4"/>
    <x v="5"/>
    <s v="LV_A3"/>
    <x v="10"/>
    <x v="3"/>
    <s v="GBPR_WOODWASTE"/>
    <x v="8"/>
    <x v="4"/>
    <n v="22"/>
    <n v="1338.3333333333301"/>
    <n v="4818"/>
  </r>
  <r>
    <x v="0"/>
    <x v="0"/>
    <x v="0"/>
    <x v="4"/>
    <x v="5"/>
    <s v="LV_A3"/>
    <x v="10"/>
    <x v="3"/>
    <s v="GBPR_WOODWASTE"/>
    <x v="8"/>
    <x v="5"/>
    <n v="22"/>
    <n v="1338.3333333333301"/>
    <n v="4818"/>
  </r>
  <r>
    <x v="0"/>
    <x v="0"/>
    <x v="0"/>
    <x v="4"/>
    <x v="5"/>
    <s v="LV_A3"/>
    <x v="10"/>
    <x v="3"/>
    <s v="GBPR_WOODWASTE"/>
    <x v="8"/>
    <x v="6"/>
    <n v="22"/>
    <n v="1338.3333333333301"/>
    <n v="4818"/>
  </r>
  <r>
    <x v="0"/>
    <x v="0"/>
    <x v="0"/>
    <x v="4"/>
    <x v="5"/>
    <s v="LV_A3"/>
    <x v="10"/>
    <x v="3"/>
    <s v="GBPR_WOODWASTE"/>
    <x v="8"/>
    <x v="7"/>
    <n v="22"/>
    <n v="1338.3333333333301"/>
    <n v="4818"/>
  </r>
  <r>
    <x v="0"/>
    <x v="0"/>
    <x v="0"/>
    <x v="4"/>
    <x v="5"/>
    <s v="LV_A3"/>
    <x v="10"/>
    <x v="3"/>
    <s v="GBPR_WOODWASTE"/>
    <x v="8"/>
    <x v="8"/>
    <n v="22"/>
    <n v="1338.3333333333301"/>
    <n v="4818"/>
  </r>
  <r>
    <x v="0"/>
    <x v="0"/>
    <x v="0"/>
    <x v="4"/>
    <x v="5"/>
    <s v="LV_A3"/>
    <x v="10"/>
    <x v="3"/>
    <s v="GBPR_WOODWASTE"/>
    <x v="8"/>
    <x v="9"/>
    <n v="22"/>
    <n v="1338.3333333333301"/>
    <n v="4818"/>
  </r>
  <r>
    <x v="0"/>
    <x v="0"/>
    <x v="0"/>
    <x v="4"/>
    <x v="5"/>
    <s v="LV_A3"/>
    <x v="10"/>
    <x v="3"/>
    <s v="GBPR_WOODWASTE"/>
    <x v="8"/>
    <x v="10"/>
    <n v="22"/>
    <n v="1338.3333333333301"/>
    <n v="4818"/>
  </r>
  <r>
    <x v="0"/>
    <x v="0"/>
    <x v="0"/>
    <x v="4"/>
    <x v="5"/>
    <s v="LV_A3"/>
    <x v="10"/>
    <x v="3"/>
    <s v="GBPR_WOODWASTE"/>
    <x v="8"/>
    <x v="11"/>
    <n v="22"/>
    <n v="1338.3333333333301"/>
    <n v="4818"/>
  </r>
  <r>
    <x v="0"/>
    <x v="0"/>
    <x v="0"/>
    <x v="4"/>
    <x v="5"/>
    <s v="LV_A3"/>
    <x v="10"/>
    <x v="3"/>
    <s v="GBPR_WOODWASTE"/>
    <x v="9"/>
    <x v="0"/>
    <n v="22"/>
    <n v="1338.3333333333301"/>
    <n v="4818"/>
  </r>
  <r>
    <x v="0"/>
    <x v="0"/>
    <x v="0"/>
    <x v="4"/>
    <x v="5"/>
    <s v="LV_A3"/>
    <x v="10"/>
    <x v="3"/>
    <s v="GBPR_WOODWASTE"/>
    <x v="9"/>
    <x v="1"/>
    <n v="22"/>
    <n v="1338.3333333333301"/>
    <n v="4818"/>
  </r>
  <r>
    <x v="0"/>
    <x v="0"/>
    <x v="0"/>
    <x v="4"/>
    <x v="5"/>
    <s v="LV_A3"/>
    <x v="10"/>
    <x v="3"/>
    <s v="GBPR_WOODWASTE"/>
    <x v="9"/>
    <x v="2"/>
    <n v="22"/>
    <n v="1338.3333333333301"/>
    <n v="4818"/>
  </r>
  <r>
    <x v="0"/>
    <x v="0"/>
    <x v="0"/>
    <x v="4"/>
    <x v="5"/>
    <s v="LV_A3"/>
    <x v="10"/>
    <x v="3"/>
    <s v="GBPR_WOODWASTE"/>
    <x v="9"/>
    <x v="3"/>
    <n v="22"/>
    <n v="1338.3333333333301"/>
    <n v="4818"/>
  </r>
  <r>
    <x v="0"/>
    <x v="0"/>
    <x v="0"/>
    <x v="4"/>
    <x v="5"/>
    <s v="LV_A3"/>
    <x v="10"/>
    <x v="3"/>
    <s v="GBPR_WOODWASTE"/>
    <x v="9"/>
    <x v="4"/>
    <n v="22"/>
    <n v="1338.3333333333301"/>
    <n v="4818"/>
  </r>
  <r>
    <x v="0"/>
    <x v="0"/>
    <x v="0"/>
    <x v="4"/>
    <x v="5"/>
    <s v="LV_A3"/>
    <x v="10"/>
    <x v="3"/>
    <s v="GBPR_WOODWASTE"/>
    <x v="9"/>
    <x v="5"/>
    <n v="22"/>
    <n v="1338.3333333333301"/>
    <n v="4818"/>
  </r>
  <r>
    <x v="0"/>
    <x v="0"/>
    <x v="0"/>
    <x v="4"/>
    <x v="5"/>
    <s v="LV_A3"/>
    <x v="10"/>
    <x v="3"/>
    <s v="GBPR_WOODWASTE"/>
    <x v="9"/>
    <x v="6"/>
    <n v="22"/>
    <n v="1338.3333333333301"/>
    <n v="4818"/>
  </r>
  <r>
    <x v="0"/>
    <x v="0"/>
    <x v="0"/>
    <x v="4"/>
    <x v="5"/>
    <s v="LV_A3"/>
    <x v="10"/>
    <x v="3"/>
    <s v="GBPR_WOODWASTE"/>
    <x v="9"/>
    <x v="7"/>
    <n v="22"/>
    <n v="1338.3333333333301"/>
    <n v="4818"/>
  </r>
  <r>
    <x v="0"/>
    <x v="0"/>
    <x v="0"/>
    <x v="4"/>
    <x v="5"/>
    <s v="LV_A3"/>
    <x v="10"/>
    <x v="3"/>
    <s v="GBPR_WOODWASTE"/>
    <x v="9"/>
    <x v="8"/>
    <n v="22"/>
    <n v="1338.3333333333301"/>
    <n v="4818"/>
  </r>
  <r>
    <x v="0"/>
    <x v="0"/>
    <x v="0"/>
    <x v="4"/>
    <x v="5"/>
    <s v="LV_A3"/>
    <x v="10"/>
    <x v="3"/>
    <s v="GBPR_WOODWASTE"/>
    <x v="9"/>
    <x v="9"/>
    <n v="22"/>
    <n v="1338.3333333333301"/>
    <n v="4818"/>
  </r>
  <r>
    <x v="0"/>
    <x v="0"/>
    <x v="0"/>
    <x v="4"/>
    <x v="5"/>
    <s v="LV_A3"/>
    <x v="10"/>
    <x v="3"/>
    <s v="GBPR_WOODWASTE"/>
    <x v="9"/>
    <x v="10"/>
    <n v="22"/>
    <n v="1338.3333333333301"/>
    <n v="4818"/>
  </r>
  <r>
    <x v="0"/>
    <x v="0"/>
    <x v="0"/>
    <x v="4"/>
    <x v="5"/>
    <s v="LV_A3"/>
    <x v="10"/>
    <x v="3"/>
    <s v="GBPR_WOODWASTE"/>
    <x v="9"/>
    <x v="11"/>
    <n v="22"/>
    <n v="1338.3333333333301"/>
    <n v="4818"/>
  </r>
  <r>
    <x v="0"/>
    <x v="0"/>
    <x v="0"/>
    <x v="4"/>
    <x v="5"/>
    <s v="LV_A3"/>
    <x v="10"/>
    <x v="3"/>
    <s v="GBPR_WOODWASTE"/>
    <x v="10"/>
    <x v="2"/>
    <n v="22"/>
    <n v="1338.3333333333301"/>
    <n v="4818"/>
  </r>
  <r>
    <x v="0"/>
    <x v="0"/>
    <x v="0"/>
    <x v="4"/>
    <x v="5"/>
    <s v="LV_A3"/>
    <x v="10"/>
    <x v="3"/>
    <s v="GBPR_WOODWASTE"/>
    <x v="10"/>
    <x v="3"/>
    <n v="22"/>
    <n v="1338.3333333333301"/>
    <n v="4818"/>
  </r>
  <r>
    <x v="0"/>
    <x v="0"/>
    <x v="0"/>
    <x v="4"/>
    <x v="5"/>
    <s v="LV_A3"/>
    <x v="10"/>
    <x v="3"/>
    <s v="GBPR_WOODWASTE"/>
    <x v="10"/>
    <x v="4"/>
    <n v="22"/>
    <n v="1338.3333333333301"/>
    <n v="4818"/>
  </r>
  <r>
    <x v="0"/>
    <x v="0"/>
    <x v="0"/>
    <x v="4"/>
    <x v="5"/>
    <s v="LV_A3"/>
    <x v="10"/>
    <x v="3"/>
    <s v="GBPR_WOODWASTE"/>
    <x v="10"/>
    <x v="5"/>
    <n v="22"/>
    <n v="1338.3333333333301"/>
    <n v="4818"/>
  </r>
  <r>
    <x v="0"/>
    <x v="0"/>
    <x v="0"/>
    <x v="4"/>
    <x v="5"/>
    <s v="LV_A3"/>
    <x v="10"/>
    <x v="3"/>
    <s v="GBPR_WOODWASTE"/>
    <x v="10"/>
    <x v="6"/>
    <n v="22"/>
    <n v="1338.3333333333301"/>
    <n v="4818"/>
  </r>
  <r>
    <x v="0"/>
    <x v="0"/>
    <x v="0"/>
    <x v="4"/>
    <x v="5"/>
    <s v="LV_A3"/>
    <x v="10"/>
    <x v="3"/>
    <s v="GBPR_WOODWASTE"/>
    <x v="10"/>
    <x v="7"/>
    <n v="22"/>
    <n v="1338.3333333333301"/>
    <n v="4818"/>
  </r>
  <r>
    <x v="0"/>
    <x v="0"/>
    <x v="0"/>
    <x v="4"/>
    <x v="5"/>
    <s v="LV_A3"/>
    <x v="10"/>
    <x v="3"/>
    <s v="GBPR_WOODWASTE"/>
    <x v="10"/>
    <x v="8"/>
    <n v="22"/>
    <n v="1338.3333333333301"/>
    <n v="4818"/>
  </r>
  <r>
    <x v="0"/>
    <x v="0"/>
    <x v="0"/>
    <x v="4"/>
    <x v="5"/>
    <s v="LV_A3"/>
    <x v="10"/>
    <x v="3"/>
    <s v="GBPR_WOODWASTE"/>
    <x v="10"/>
    <x v="9"/>
    <n v="22"/>
    <n v="1338.3333333333301"/>
    <n v="4818"/>
  </r>
  <r>
    <x v="0"/>
    <x v="0"/>
    <x v="0"/>
    <x v="4"/>
    <x v="5"/>
    <s v="LV_A3"/>
    <x v="10"/>
    <x v="3"/>
    <s v="GBPR_WOODWASTE"/>
    <x v="10"/>
    <x v="10"/>
    <n v="22"/>
    <n v="1338.3333333333301"/>
    <n v="4818"/>
  </r>
  <r>
    <x v="0"/>
    <x v="0"/>
    <x v="0"/>
    <x v="4"/>
    <x v="5"/>
    <s v="LV_A3"/>
    <x v="10"/>
    <x v="3"/>
    <s v="GBPR_WOODWASTE"/>
    <x v="10"/>
    <x v="11"/>
    <n v="13.5985575626267"/>
    <n v="827.24558505978996"/>
    <n v="2978.0841062152499"/>
  </r>
  <r>
    <x v="0"/>
    <x v="0"/>
    <x v="0"/>
    <x v="4"/>
    <x v="5"/>
    <s v="LV_A3"/>
    <x v="10"/>
    <x v="3"/>
    <s v="GBPR_WOODWASTE"/>
    <x v="11"/>
    <x v="6"/>
    <n v="22"/>
    <n v="1338.3333333333301"/>
    <n v="4818"/>
  </r>
  <r>
    <x v="0"/>
    <x v="0"/>
    <x v="0"/>
    <x v="4"/>
    <x v="5"/>
    <s v="LV_A3"/>
    <x v="10"/>
    <x v="3"/>
    <s v="GBPR_WOODWASTE"/>
    <x v="11"/>
    <x v="7"/>
    <n v="22"/>
    <n v="1338.3333333333301"/>
    <n v="4818"/>
  </r>
  <r>
    <x v="0"/>
    <x v="0"/>
    <x v="0"/>
    <x v="4"/>
    <x v="5"/>
    <s v="LV_A3"/>
    <x v="10"/>
    <x v="3"/>
    <s v="GBPR_WOODWASTE"/>
    <x v="11"/>
    <x v="8"/>
    <n v="22"/>
    <n v="1338.3333333333301"/>
    <n v="4818"/>
  </r>
  <r>
    <x v="0"/>
    <x v="0"/>
    <x v="0"/>
    <x v="4"/>
    <x v="5"/>
    <s v="LV_A3"/>
    <x v="10"/>
    <x v="3"/>
    <s v="GBPR_WOODWASTE"/>
    <x v="11"/>
    <x v="9"/>
    <n v="22"/>
    <n v="1338.3333333333301"/>
    <n v="4818"/>
  </r>
  <r>
    <x v="0"/>
    <x v="0"/>
    <x v="0"/>
    <x v="4"/>
    <x v="5"/>
    <s v="LV_A3"/>
    <x v="10"/>
    <x v="3"/>
    <s v="GBPR_WOODWASTE"/>
    <x v="11"/>
    <x v="10"/>
    <n v="22"/>
    <n v="1338.3333333333301"/>
    <n v="4818"/>
  </r>
  <r>
    <x v="0"/>
    <x v="0"/>
    <x v="0"/>
    <x v="4"/>
    <x v="5"/>
    <s v="LV_A3"/>
    <x v="10"/>
    <x v="3"/>
    <s v="GBPR_WOODWASTE"/>
    <x v="11"/>
    <x v="11"/>
    <n v="22"/>
    <n v="1338.3333333333301"/>
    <n v="4818"/>
  </r>
  <r>
    <x v="0"/>
    <x v="0"/>
    <x v="0"/>
    <x v="5"/>
    <x v="6"/>
    <s v="LT_A"/>
    <x v="7"/>
    <x v="6"/>
    <s v="KaunasHPP"/>
    <x v="0"/>
    <x v="0"/>
    <n v="55.2738870630916"/>
    <n v="3362.49479633807"/>
    <n v="12104.9812668171"/>
  </r>
  <r>
    <x v="0"/>
    <x v="0"/>
    <x v="0"/>
    <x v="5"/>
    <x v="6"/>
    <s v="LT_A"/>
    <x v="7"/>
    <x v="6"/>
    <s v="KaunasHPP"/>
    <x v="0"/>
    <x v="1"/>
    <n v="55.2738870630916"/>
    <n v="3362.49479633807"/>
    <n v="12104.9812668171"/>
  </r>
  <r>
    <x v="0"/>
    <x v="0"/>
    <x v="0"/>
    <x v="5"/>
    <x v="6"/>
    <s v="LT_A"/>
    <x v="7"/>
    <x v="6"/>
    <s v="KaunasHPP"/>
    <x v="0"/>
    <x v="2"/>
    <n v="55.2738870630916"/>
    <n v="3362.49479633807"/>
    <n v="12104.9812668171"/>
  </r>
  <r>
    <x v="0"/>
    <x v="0"/>
    <x v="0"/>
    <x v="5"/>
    <x v="6"/>
    <s v="LT_A"/>
    <x v="7"/>
    <x v="6"/>
    <s v="KaunasHPP"/>
    <x v="0"/>
    <x v="3"/>
    <n v="55.2738870630916"/>
    <n v="3362.49479633807"/>
    <n v="12104.9812668171"/>
  </r>
  <r>
    <x v="0"/>
    <x v="0"/>
    <x v="0"/>
    <x v="5"/>
    <x v="6"/>
    <s v="LT_A"/>
    <x v="7"/>
    <x v="6"/>
    <s v="KaunasHPP"/>
    <x v="0"/>
    <x v="4"/>
    <n v="55.2738870630916"/>
    <n v="3362.49479633807"/>
    <n v="12104.9812668171"/>
  </r>
  <r>
    <x v="0"/>
    <x v="0"/>
    <x v="0"/>
    <x v="5"/>
    <x v="6"/>
    <s v="LT_A"/>
    <x v="7"/>
    <x v="6"/>
    <s v="KaunasHPP"/>
    <x v="0"/>
    <x v="5"/>
    <n v="55.2738870630916"/>
    <n v="3362.49479633807"/>
    <n v="12104.9812668171"/>
  </r>
  <r>
    <x v="0"/>
    <x v="0"/>
    <x v="0"/>
    <x v="5"/>
    <x v="6"/>
    <s v="LT_A"/>
    <x v="7"/>
    <x v="6"/>
    <s v="KaunasHPP"/>
    <x v="0"/>
    <x v="6"/>
    <n v="55.2738870630916"/>
    <n v="3362.49479633807"/>
    <n v="12104.9812668171"/>
  </r>
  <r>
    <x v="0"/>
    <x v="0"/>
    <x v="0"/>
    <x v="5"/>
    <x v="6"/>
    <s v="LT_A"/>
    <x v="7"/>
    <x v="6"/>
    <s v="KaunasHPP"/>
    <x v="0"/>
    <x v="7"/>
    <n v="55.2738870630916"/>
    <n v="3362.49479633807"/>
    <n v="12104.9812668171"/>
  </r>
  <r>
    <x v="0"/>
    <x v="0"/>
    <x v="0"/>
    <x v="5"/>
    <x v="6"/>
    <s v="LT_A"/>
    <x v="7"/>
    <x v="6"/>
    <s v="KaunasHPP"/>
    <x v="0"/>
    <x v="8"/>
    <n v="55.2738870630916"/>
    <n v="3362.49479633807"/>
    <n v="12104.9812668171"/>
  </r>
  <r>
    <x v="0"/>
    <x v="0"/>
    <x v="0"/>
    <x v="5"/>
    <x v="6"/>
    <s v="LT_A"/>
    <x v="7"/>
    <x v="6"/>
    <s v="KaunasHPP"/>
    <x v="0"/>
    <x v="9"/>
    <n v="55.2738870630916"/>
    <n v="3362.49479633807"/>
    <n v="12104.9812668171"/>
  </r>
  <r>
    <x v="0"/>
    <x v="0"/>
    <x v="0"/>
    <x v="5"/>
    <x v="6"/>
    <s v="LT_A"/>
    <x v="7"/>
    <x v="6"/>
    <s v="KaunasHPP"/>
    <x v="0"/>
    <x v="10"/>
    <n v="55.2738870630916"/>
    <n v="3362.49479633807"/>
    <n v="12104.9812668171"/>
  </r>
  <r>
    <x v="0"/>
    <x v="0"/>
    <x v="0"/>
    <x v="5"/>
    <x v="6"/>
    <s v="LT_A"/>
    <x v="7"/>
    <x v="6"/>
    <s v="KaunasHPP"/>
    <x v="0"/>
    <x v="11"/>
    <n v="55.2738870630916"/>
    <n v="3362.49479633807"/>
    <n v="12104.9812668171"/>
  </r>
  <r>
    <x v="0"/>
    <x v="0"/>
    <x v="0"/>
    <x v="5"/>
    <x v="6"/>
    <s v="LT_A"/>
    <x v="7"/>
    <x v="6"/>
    <s v="KaunasHPP"/>
    <x v="1"/>
    <x v="0"/>
    <n v="55.2738870630916"/>
    <n v="3362.49479633807"/>
    <n v="12104.9812668171"/>
  </r>
  <r>
    <x v="0"/>
    <x v="0"/>
    <x v="0"/>
    <x v="5"/>
    <x v="6"/>
    <s v="LT_A"/>
    <x v="7"/>
    <x v="6"/>
    <s v="KaunasHPP"/>
    <x v="1"/>
    <x v="1"/>
    <n v="55.2738870630916"/>
    <n v="3362.49479633807"/>
    <n v="12104.9812668171"/>
  </r>
  <r>
    <x v="0"/>
    <x v="0"/>
    <x v="0"/>
    <x v="5"/>
    <x v="6"/>
    <s v="LT_A"/>
    <x v="7"/>
    <x v="6"/>
    <s v="KaunasHPP"/>
    <x v="1"/>
    <x v="2"/>
    <n v="55.2738870630916"/>
    <n v="3362.49479633807"/>
    <n v="12104.9812668171"/>
  </r>
  <r>
    <x v="0"/>
    <x v="0"/>
    <x v="0"/>
    <x v="5"/>
    <x v="6"/>
    <s v="LT_A"/>
    <x v="7"/>
    <x v="6"/>
    <s v="KaunasHPP"/>
    <x v="1"/>
    <x v="3"/>
    <n v="55.2738870630916"/>
    <n v="3362.49479633807"/>
    <n v="12104.9812668171"/>
  </r>
  <r>
    <x v="0"/>
    <x v="0"/>
    <x v="0"/>
    <x v="5"/>
    <x v="6"/>
    <s v="LT_A"/>
    <x v="7"/>
    <x v="6"/>
    <s v="KaunasHPP"/>
    <x v="1"/>
    <x v="4"/>
    <n v="55.2738870630916"/>
    <n v="3362.49479633807"/>
    <n v="12104.9812668171"/>
  </r>
  <r>
    <x v="0"/>
    <x v="0"/>
    <x v="0"/>
    <x v="5"/>
    <x v="6"/>
    <s v="LT_A"/>
    <x v="7"/>
    <x v="6"/>
    <s v="KaunasHPP"/>
    <x v="1"/>
    <x v="5"/>
    <n v="55.2738870630916"/>
    <n v="3362.49479633807"/>
    <n v="12104.9812668171"/>
  </r>
  <r>
    <x v="0"/>
    <x v="0"/>
    <x v="0"/>
    <x v="5"/>
    <x v="6"/>
    <s v="LT_A"/>
    <x v="7"/>
    <x v="6"/>
    <s v="KaunasHPP"/>
    <x v="1"/>
    <x v="6"/>
    <n v="55.2738870630916"/>
    <n v="3362.49479633807"/>
    <n v="12104.9812668171"/>
  </r>
  <r>
    <x v="0"/>
    <x v="0"/>
    <x v="0"/>
    <x v="5"/>
    <x v="6"/>
    <s v="LT_A"/>
    <x v="7"/>
    <x v="6"/>
    <s v="KaunasHPP"/>
    <x v="1"/>
    <x v="7"/>
    <n v="55.2738870630916"/>
    <n v="3362.49479633807"/>
    <n v="12104.9812668171"/>
  </r>
  <r>
    <x v="0"/>
    <x v="0"/>
    <x v="0"/>
    <x v="5"/>
    <x v="6"/>
    <s v="LT_A"/>
    <x v="7"/>
    <x v="6"/>
    <s v="KaunasHPP"/>
    <x v="1"/>
    <x v="8"/>
    <n v="55.2738870630916"/>
    <n v="3362.49479633807"/>
    <n v="12104.9812668171"/>
  </r>
  <r>
    <x v="0"/>
    <x v="0"/>
    <x v="0"/>
    <x v="5"/>
    <x v="6"/>
    <s v="LT_A"/>
    <x v="7"/>
    <x v="6"/>
    <s v="KaunasHPP"/>
    <x v="1"/>
    <x v="9"/>
    <n v="55.2738870630916"/>
    <n v="3362.49479633807"/>
    <n v="12104.9812668171"/>
  </r>
  <r>
    <x v="0"/>
    <x v="0"/>
    <x v="0"/>
    <x v="5"/>
    <x v="6"/>
    <s v="LT_A"/>
    <x v="7"/>
    <x v="6"/>
    <s v="KaunasHPP"/>
    <x v="1"/>
    <x v="10"/>
    <n v="55.2738870630916"/>
    <n v="3362.49479633807"/>
    <n v="12104.9812668171"/>
  </r>
  <r>
    <x v="0"/>
    <x v="0"/>
    <x v="0"/>
    <x v="5"/>
    <x v="6"/>
    <s v="LT_A"/>
    <x v="7"/>
    <x v="6"/>
    <s v="KaunasHPP"/>
    <x v="1"/>
    <x v="11"/>
    <n v="55.2738870630916"/>
    <n v="3362.49479633807"/>
    <n v="12104.9812668171"/>
  </r>
  <r>
    <x v="0"/>
    <x v="0"/>
    <x v="0"/>
    <x v="5"/>
    <x v="6"/>
    <s v="LT_A"/>
    <x v="7"/>
    <x v="6"/>
    <s v="KaunasHPP"/>
    <x v="2"/>
    <x v="0"/>
    <n v="55.2738870630916"/>
    <n v="3362.49479633807"/>
    <n v="12104.9812668171"/>
  </r>
  <r>
    <x v="0"/>
    <x v="0"/>
    <x v="0"/>
    <x v="5"/>
    <x v="6"/>
    <s v="LT_A"/>
    <x v="7"/>
    <x v="6"/>
    <s v="KaunasHPP"/>
    <x v="2"/>
    <x v="1"/>
    <n v="55.2738870630916"/>
    <n v="3362.49479633807"/>
    <n v="12104.9812668171"/>
  </r>
  <r>
    <x v="0"/>
    <x v="0"/>
    <x v="0"/>
    <x v="5"/>
    <x v="6"/>
    <s v="LT_A"/>
    <x v="7"/>
    <x v="6"/>
    <s v="KaunasHPP"/>
    <x v="2"/>
    <x v="2"/>
    <n v="55.2738870630916"/>
    <n v="3362.49479633807"/>
    <n v="12104.9812668171"/>
  </r>
  <r>
    <x v="0"/>
    <x v="0"/>
    <x v="0"/>
    <x v="5"/>
    <x v="6"/>
    <s v="LT_A"/>
    <x v="7"/>
    <x v="6"/>
    <s v="KaunasHPP"/>
    <x v="2"/>
    <x v="3"/>
    <n v="55.2738870630916"/>
    <n v="3362.49479633807"/>
    <n v="12104.9812668171"/>
  </r>
  <r>
    <x v="0"/>
    <x v="0"/>
    <x v="0"/>
    <x v="5"/>
    <x v="6"/>
    <s v="LT_A"/>
    <x v="7"/>
    <x v="6"/>
    <s v="KaunasHPP"/>
    <x v="2"/>
    <x v="4"/>
    <n v="55.2738870630916"/>
    <n v="3362.49479633807"/>
    <n v="12104.9812668171"/>
  </r>
  <r>
    <x v="0"/>
    <x v="0"/>
    <x v="0"/>
    <x v="5"/>
    <x v="6"/>
    <s v="LT_A"/>
    <x v="7"/>
    <x v="6"/>
    <s v="KaunasHPP"/>
    <x v="2"/>
    <x v="5"/>
    <n v="55.2738870630916"/>
    <n v="3362.49479633807"/>
    <n v="12104.9812668171"/>
  </r>
  <r>
    <x v="0"/>
    <x v="0"/>
    <x v="0"/>
    <x v="5"/>
    <x v="6"/>
    <s v="LT_A"/>
    <x v="7"/>
    <x v="6"/>
    <s v="KaunasHPP"/>
    <x v="2"/>
    <x v="6"/>
    <n v="55.2738870630916"/>
    <n v="3362.49479633807"/>
    <n v="12104.9812668171"/>
  </r>
  <r>
    <x v="0"/>
    <x v="0"/>
    <x v="0"/>
    <x v="5"/>
    <x v="6"/>
    <s v="LT_A"/>
    <x v="7"/>
    <x v="6"/>
    <s v="KaunasHPP"/>
    <x v="2"/>
    <x v="7"/>
    <n v="55.2738870630916"/>
    <n v="3362.49479633807"/>
    <n v="12104.9812668171"/>
  </r>
  <r>
    <x v="0"/>
    <x v="0"/>
    <x v="0"/>
    <x v="5"/>
    <x v="6"/>
    <s v="LT_A"/>
    <x v="7"/>
    <x v="6"/>
    <s v="KaunasHPP"/>
    <x v="2"/>
    <x v="8"/>
    <n v="55.2738870630916"/>
    <n v="3362.49479633807"/>
    <n v="12104.9812668171"/>
  </r>
  <r>
    <x v="0"/>
    <x v="0"/>
    <x v="0"/>
    <x v="5"/>
    <x v="6"/>
    <s v="LT_A"/>
    <x v="7"/>
    <x v="6"/>
    <s v="KaunasHPP"/>
    <x v="2"/>
    <x v="9"/>
    <n v="55.2738870630916"/>
    <n v="3362.49479633807"/>
    <n v="12104.9812668171"/>
  </r>
  <r>
    <x v="0"/>
    <x v="0"/>
    <x v="0"/>
    <x v="5"/>
    <x v="6"/>
    <s v="LT_A"/>
    <x v="7"/>
    <x v="6"/>
    <s v="KaunasHPP"/>
    <x v="2"/>
    <x v="10"/>
    <n v="55.2738870630916"/>
    <n v="3362.49479633807"/>
    <n v="12104.9812668171"/>
  </r>
  <r>
    <x v="0"/>
    <x v="0"/>
    <x v="0"/>
    <x v="5"/>
    <x v="6"/>
    <s v="LT_A"/>
    <x v="7"/>
    <x v="6"/>
    <s v="KaunasHPP"/>
    <x v="2"/>
    <x v="11"/>
    <n v="55.2738870630916"/>
    <n v="3362.49479633807"/>
    <n v="12104.9812668171"/>
  </r>
  <r>
    <x v="0"/>
    <x v="0"/>
    <x v="0"/>
    <x v="5"/>
    <x v="6"/>
    <s v="LT_A"/>
    <x v="7"/>
    <x v="6"/>
    <s v="KaunasHPP"/>
    <x v="3"/>
    <x v="0"/>
    <n v="55.2738870630916"/>
    <n v="3362.49479633807"/>
    <n v="12104.9812668171"/>
  </r>
  <r>
    <x v="0"/>
    <x v="0"/>
    <x v="0"/>
    <x v="5"/>
    <x v="6"/>
    <s v="LT_A"/>
    <x v="7"/>
    <x v="6"/>
    <s v="KaunasHPP"/>
    <x v="3"/>
    <x v="1"/>
    <n v="55.2738870630916"/>
    <n v="3362.49479633807"/>
    <n v="12104.9812668171"/>
  </r>
  <r>
    <x v="0"/>
    <x v="0"/>
    <x v="0"/>
    <x v="5"/>
    <x v="6"/>
    <s v="LT_A"/>
    <x v="7"/>
    <x v="6"/>
    <s v="KaunasHPP"/>
    <x v="3"/>
    <x v="2"/>
    <n v="55.2738870630916"/>
    <n v="3362.49479633807"/>
    <n v="12104.9812668171"/>
  </r>
  <r>
    <x v="0"/>
    <x v="0"/>
    <x v="0"/>
    <x v="5"/>
    <x v="6"/>
    <s v="LT_A"/>
    <x v="7"/>
    <x v="6"/>
    <s v="KaunasHPP"/>
    <x v="3"/>
    <x v="3"/>
    <n v="55.2738870630916"/>
    <n v="3362.49479633807"/>
    <n v="12104.9812668171"/>
  </r>
  <r>
    <x v="0"/>
    <x v="0"/>
    <x v="0"/>
    <x v="5"/>
    <x v="6"/>
    <s v="LT_A"/>
    <x v="7"/>
    <x v="6"/>
    <s v="KaunasHPP"/>
    <x v="3"/>
    <x v="4"/>
    <n v="55.2738870630916"/>
    <n v="3362.49479633807"/>
    <n v="12104.9812668171"/>
  </r>
  <r>
    <x v="0"/>
    <x v="0"/>
    <x v="0"/>
    <x v="5"/>
    <x v="6"/>
    <s v="LT_A"/>
    <x v="7"/>
    <x v="6"/>
    <s v="KaunasHPP"/>
    <x v="3"/>
    <x v="5"/>
    <n v="55.2738870630916"/>
    <n v="3362.49479633807"/>
    <n v="12104.9812668171"/>
  </r>
  <r>
    <x v="0"/>
    <x v="0"/>
    <x v="0"/>
    <x v="5"/>
    <x v="6"/>
    <s v="LT_A"/>
    <x v="7"/>
    <x v="6"/>
    <s v="KaunasHPP"/>
    <x v="3"/>
    <x v="6"/>
    <n v="55.2738870630916"/>
    <n v="3362.49479633807"/>
    <n v="12104.9812668171"/>
  </r>
  <r>
    <x v="0"/>
    <x v="0"/>
    <x v="0"/>
    <x v="5"/>
    <x v="6"/>
    <s v="LT_A"/>
    <x v="7"/>
    <x v="6"/>
    <s v="KaunasHPP"/>
    <x v="3"/>
    <x v="7"/>
    <n v="55.2738870630916"/>
    <n v="3362.49479633807"/>
    <n v="12104.9812668171"/>
  </r>
  <r>
    <x v="0"/>
    <x v="0"/>
    <x v="0"/>
    <x v="5"/>
    <x v="6"/>
    <s v="LT_A"/>
    <x v="7"/>
    <x v="6"/>
    <s v="KaunasHPP"/>
    <x v="3"/>
    <x v="8"/>
    <n v="55.2738870630916"/>
    <n v="3362.49479633807"/>
    <n v="12104.9812668171"/>
  </r>
  <r>
    <x v="0"/>
    <x v="0"/>
    <x v="0"/>
    <x v="5"/>
    <x v="6"/>
    <s v="LT_A"/>
    <x v="7"/>
    <x v="6"/>
    <s v="KaunasHPP"/>
    <x v="3"/>
    <x v="9"/>
    <n v="55.2738870630916"/>
    <n v="3362.49479633807"/>
    <n v="12104.9812668171"/>
  </r>
  <r>
    <x v="0"/>
    <x v="0"/>
    <x v="0"/>
    <x v="5"/>
    <x v="6"/>
    <s v="LT_A"/>
    <x v="7"/>
    <x v="6"/>
    <s v="KaunasHPP"/>
    <x v="3"/>
    <x v="10"/>
    <n v="55.2738870630916"/>
    <n v="3362.49479633807"/>
    <n v="12104.9812668171"/>
  </r>
  <r>
    <x v="0"/>
    <x v="0"/>
    <x v="0"/>
    <x v="5"/>
    <x v="6"/>
    <s v="LT_A"/>
    <x v="7"/>
    <x v="6"/>
    <s v="KaunasHPP"/>
    <x v="3"/>
    <x v="11"/>
    <n v="55.2738870630916"/>
    <n v="3362.49479633807"/>
    <n v="12104.9812668171"/>
  </r>
  <r>
    <x v="0"/>
    <x v="0"/>
    <x v="0"/>
    <x v="5"/>
    <x v="6"/>
    <s v="LT_A"/>
    <x v="7"/>
    <x v="6"/>
    <s v="KaunasHPP"/>
    <x v="4"/>
    <x v="0"/>
    <n v="49.679316764156503"/>
    <n v="3022.1584364861901"/>
    <n v="10879.7703713503"/>
  </r>
  <r>
    <x v="0"/>
    <x v="0"/>
    <x v="0"/>
    <x v="5"/>
    <x v="6"/>
    <s v="LT_A"/>
    <x v="7"/>
    <x v="6"/>
    <s v="KaunasHPP"/>
    <x v="4"/>
    <x v="1"/>
    <n v="49.679316764156503"/>
    <n v="3022.1584364861901"/>
    <n v="10879.7703713503"/>
  </r>
  <r>
    <x v="0"/>
    <x v="0"/>
    <x v="0"/>
    <x v="5"/>
    <x v="6"/>
    <s v="LT_A"/>
    <x v="7"/>
    <x v="6"/>
    <s v="KaunasHPP"/>
    <x v="4"/>
    <x v="2"/>
    <n v="49.679316764156503"/>
    <n v="3022.1584364861901"/>
    <n v="10879.7703713503"/>
  </r>
  <r>
    <x v="0"/>
    <x v="0"/>
    <x v="0"/>
    <x v="5"/>
    <x v="6"/>
    <s v="LT_A"/>
    <x v="7"/>
    <x v="6"/>
    <s v="KaunasHPP"/>
    <x v="4"/>
    <x v="3"/>
    <n v="49.679316764156503"/>
    <n v="3022.1584364861901"/>
    <n v="10879.7703713503"/>
  </r>
  <r>
    <x v="0"/>
    <x v="0"/>
    <x v="0"/>
    <x v="5"/>
    <x v="6"/>
    <s v="LT_A"/>
    <x v="7"/>
    <x v="6"/>
    <s v="KaunasHPP"/>
    <x v="4"/>
    <x v="4"/>
    <n v="49.679316764156503"/>
    <n v="3022.1584364861901"/>
    <n v="10879.7703713503"/>
  </r>
  <r>
    <x v="0"/>
    <x v="0"/>
    <x v="0"/>
    <x v="5"/>
    <x v="6"/>
    <s v="LT_A"/>
    <x v="7"/>
    <x v="6"/>
    <s v="KaunasHPP"/>
    <x v="4"/>
    <x v="5"/>
    <n v="49.679316764156503"/>
    <n v="3022.1584364861901"/>
    <n v="10879.7703713503"/>
  </r>
  <r>
    <x v="0"/>
    <x v="0"/>
    <x v="0"/>
    <x v="5"/>
    <x v="6"/>
    <s v="LT_A"/>
    <x v="7"/>
    <x v="6"/>
    <s v="KaunasHPP"/>
    <x v="4"/>
    <x v="6"/>
    <n v="49.679316764156503"/>
    <n v="3022.1584364861901"/>
    <n v="10879.7703713503"/>
  </r>
  <r>
    <x v="0"/>
    <x v="0"/>
    <x v="0"/>
    <x v="5"/>
    <x v="6"/>
    <s v="LT_A"/>
    <x v="7"/>
    <x v="6"/>
    <s v="KaunasHPP"/>
    <x v="4"/>
    <x v="7"/>
    <n v="49.679316764156503"/>
    <n v="3022.1584364861901"/>
    <n v="10879.7703713503"/>
  </r>
  <r>
    <x v="0"/>
    <x v="0"/>
    <x v="0"/>
    <x v="5"/>
    <x v="6"/>
    <s v="LT_A"/>
    <x v="7"/>
    <x v="6"/>
    <s v="KaunasHPP"/>
    <x v="4"/>
    <x v="8"/>
    <n v="49.679316764156503"/>
    <n v="3022.1584364861901"/>
    <n v="10879.7703713503"/>
  </r>
  <r>
    <x v="0"/>
    <x v="0"/>
    <x v="0"/>
    <x v="5"/>
    <x v="6"/>
    <s v="LT_A"/>
    <x v="7"/>
    <x v="6"/>
    <s v="KaunasHPP"/>
    <x v="4"/>
    <x v="9"/>
    <n v="49.679316764156503"/>
    <n v="3022.1584364861901"/>
    <n v="10879.7703713503"/>
  </r>
  <r>
    <x v="0"/>
    <x v="0"/>
    <x v="0"/>
    <x v="5"/>
    <x v="6"/>
    <s v="LT_A"/>
    <x v="7"/>
    <x v="6"/>
    <s v="KaunasHPP"/>
    <x v="4"/>
    <x v="10"/>
    <n v="49.679316764156503"/>
    <n v="3022.1584364861901"/>
    <n v="10879.7703713503"/>
  </r>
  <r>
    <x v="0"/>
    <x v="0"/>
    <x v="0"/>
    <x v="5"/>
    <x v="6"/>
    <s v="LT_A"/>
    <x v="7"/>
    <x v="6"/>
    <s v="KaunasHPP"/>
    <x v="4"/>
    <x v="11"/>
    <n v="49.679316764156503"/>
    <n v="3022.1584364861901"/>
    <n v="10879.7703713503"/>
  </r>
  <r>
    <x v="0"/>
    <x v="0"/>
    <x v="0"/>
    <x v="5"/>
    <x v="6"/>
    <s v="LT_A"/>
    <x v="7"/>
    <x v="6"/>
    <s v="KaunasHPP"/>
    <x v="5"/>
    <x v="0"/>
    <n v="45.271204825692998"/>
    <n v="2753.9982935629901"/>
    <n v="9914.3938568267604"/>
  </r>
  <r>
    <x v="0"/>
    <x v="0"/>
    <x v="0"/>
    <x v="5"/>
    <x v="6"/>
    <s v="LT_A"/>
    <x v="7"/>
    <x v="6"/>
    <s v="KaunasHPP"/>
    <x v="5"/>
    <x v="1"/>
    <n v="45.271204825692998"/>
    <n v="2753.9982935629901"/>
    <n v="9914.3938568267604"/>
  </r>
  <r>
    <x v="0"/>
    <x v="0"/>
    <x v="0"/>
    <x v="5"/>
    <x v="6"/>
    <s v="LT_A"/>
    <x v="7"/>
    <x v="6"/>
    <s v="KaunasHPP"/>
    <x v="5"/>
    <x v="2"/>
    <n v="45.271204825692998"/>
    <n v="2753.9982935629901"/>
    <n v="9914.3938568267604"/>
  </r>
  <r>
    <x v="0"/>
    <x v="0"/>
    <x v="0"/>
    <x v="5"/>
    <x v="6"/>
    <s v="LT_A"/>
    <x v="7"/>
    <x v="6"/>
    <s v="KaunasHPP"/>
    <x v="5"/>
    <x v="3"/>
    <n v="45.271204825692998"/>
    <n v="2753.9982935629901"/>
    <n v="9914.3938568267604"/>
  </r>
  <r>
    <x v="0"/>
    <x v="0"/>
    <x v="0"/>
    <x v="5"/>
    <x v="6"/>
    <s v="LT_A"/>
    <x v="7"/>
    <x v="6"/>
    <s v="KaunasHPP"/>
    <x v="5"/>
    <x v="4"/>
    <n v="45.271204825692998"/>
    <n v="2753.9982935629901"/>
    <n v="9914.3938568267604"/>
  </r>
  <r>
    <x v="0"/>
    <x v="0"/>
    <x v="0"/>
    <x v="5"/>
    <x v="6"/>
    <s v="LT_A"/>
    <x v="7"/>
    <x v="6"/>
    <s v="KaunasHPP"/>
    <x v="5"/>
    <x v="5"/>
    <n v="45.271204825692998"/>
    <n v="2753.9982935629901"/>
    <n v="9914.3938568267604"/>
  </r>
  <r>
    <x v="0"/>
    <x v="0"/>
    <x v="0"/>
    <x v="5"/>
    <x v="6"/>
    <s v="LT_A"/>
    <x v="7"/>
    <x v="6"/>
    <s v="KaunasHPP"/>
    <x v="5"/>
    <x v="6"/>
    <n v="45.271204825692998"/>
    <n v="2753.9982935629901"/>
    <n v="9914.3938568267604"/>
  </r>
  <r>
    <x v="0"/>
    <x v="0"/>
    <x v="0"/>
    <x v="5"/>
    <x v="6"/>
    <s v="LT_A"/>
    <x v="7"/>
    <x v="6"/>
    <s v="KaunasHPP"/>
    <x v="5"/>
    <x v="7"/>
    <n v="45.271204825692998"/>
    <n v="2753.9982935629901"/>
    <n v="9914.3938568267604"/>
  </r>
  <r>
    <x v="0"/>
    <x v="0"/>
    <x v="0"/>
    <x v="5"/>
    <x v="6"/>
    <s v="LT_A"/>
    <x v="7"/>
    <x v="6"/>
    <s v="KaunasHPP"/>
    <x v="5"/>
    <x v="8"/>
    <n v="45.271204825692998"/>
    <n v="2753.9982935629901"/>
    <n v="9914.3938568267604"/>
  </r>
  <r>
    <x v="0"/>
    <x v="0"/>
    <x v="0"/>
    <x v="5"/>
    <x v="6"/>
    <s v="LT_A"/>
    <x v="7"/>
    <x v="6"/>
    <s v="KaunasHPP"/>
    <x v="5"/>
    <x v="9"/>
    <n v="45.271204825692998"/>
    <n v="2753.9982935629901"/>
    <n v="9914.3938568267604"/>
  </r>
  <r>
    <x v="0"/>
    <x v="0"/>
    <x v="0"/>
    <x v="5"/>
    <x v="6"/>
    <s v="LT_A"/>
    <x v="7"/>
    <x v="6"/>
    <s v="KaunasHPP"/>
    <x v="5"/>
    <x v="10"/>
    <n v="45.271204825692998"/>
    <n v="2753.9982935629901"/>
    <n v="9914.3938568267604"/>
  </r>
  <r>
    <x v="0"/>
    <x v="0"/>
    <x v="0"/>
    <x v="5"/>
    <x v="6"/>
    <s v="LT_A"/>
    <x v="7"/>
    <x v="6"/>
    <s v="KaunasHPP"/>
    <x v="5"/>
    <x v="11"/>
    <n v="45.271204825692998"/>
    <n v="2753.9982935629901"/>
    <n v="9914.3938568267604"/>
  </r>
  <r>
    <x v="0"/>
    <x v="0"/>
    <x v="0"/>
    <x v="5"/>
    <x v="6"/>
    <s v="LT_A"/>
    <x v="7"/>
    <x v="6"/>
    <s v="KaunasHPP"/>
    <x v="6"/>
    <x v="0"/>
    <n v="45.271204825692998"/>
    <n v="2753.9982935629901"/>
    <n v="9914.3938568267604"/>
  </r>
  <r>
    <x v="0"/>
    <x v="0"/>
    <x v="0"/>
    <x v="5"/>
    <x v="6"/>
    <s v="LT_A"/>
    <x v="7"/>
    <x v="6"/>
    <s v="KaunasHPP"/>
    <x v="6"/>
    <x v="1"/>
    <n v="45.271204825692998"/>
    <n v="2753.9982935629901"/>
    <n v="9914.3938568267604"/>
  </r>
  <r>
    <x v="0"/>
    <x v="0"/>
    <x v="0"/>
    <x v="5"/>
    <x v="6"/>
    <s v="LT_A"/>
    <x v="7"/>
    <x v="6"/>
    <s v="KaunasHPP"/>
    <x v="6"/>
    <x v="2"/>
    <n v="45.271204825692998"/>
    <n v="2753.9982935629901"/>
    <n v="9914.3938568267604"/>
  </r>
  <r>
    <x v="0"/>
    <x v="0"/>
    <x v="0"/>
    <x v="5"/>
    <x v="6"/>
    <s v="LT_A"/>
    <x v="7"/>
    <x v="6"/>
    <s v="KaunasHPP"/>
    <x v="6"/>
    <x v="3"/>
    <n v="45.271204825692998"/>
    <n v="2753.9982935629901"/>
    <n v="9914.3938568267604"/>
  </r>
  <r>
    <x v="0"/>
    <x v="0"/>
    <x v="0"/>
    <x v="5"/>
    <x v="6"/>
    <s v="LT_A"/>
    <x v="7"/>
    <x v="6"/>
    <s v="KaunasHPP"/>
    <x v="6"/>
    <x v="4"/>
    <n v="45.271204825692998"/>
    <n v="2753.9982935629901"/>
    <n v="9914.3938568267604"/>
  </r>
  <r>
    <x v="0"/>
    <x v="0"/>
    <x v="0"/>
    <x v="5"/>
    <x v="6"/>
    <s v="LT_A"/>
    <x v="7"/>
    <x v="6"/>
    <s v="KaunasHPP"/>
    <x v="6"/>
    <x v="5"/>
    <n v="45.271204825692998"/>
    <n v="2753.9982935629901"/>
    <n v="9914.3938568267604"/>
  </r>
  <r>
    <x v="0"/>
    <x v="0"/>
    <x v="0"/>
    <x v="5"/>
    <x v="6"/>
    <s v="LT_A"/>
    <x v="7"/>
    <x v="6"/>
    <s v="KaunasHPP"/>
    <x v="6"/>
    <x v="6"/>
    <n v="45.271204825692998"/>
    <n v="2753.9982935629901"/>
    <n v="9914.3938568267604"/>
  </r>
  <r>
    <x v="0"/>
    <x v="0"/>
    <x v="0"/>
    <x v="5"/>
    <x v="6"/>
    <s v="LT_A"/>
    <x v="7"/>
    <x v="6"/>
    <s v="KaunasHPP"/>
    <x v="6"/>
    <x v="7"/>
    <n v="45.271204825692998"/>
    <n v="2753.9982935629901"/>
    <n v="9914.3938568267604"/>
  </r>
  <r>
    <x v="0"/>
    <x v="0"/>
    <x v="0"/>
    <x v="5"/>
    <x v="6"/>
    <s v="LT_A"/>
    <x v="7"/>
    <x v="6"/>
    <s v="KaunasHPP"/>
    <x v="6"/>
    <x v="8"/>
    <n v="45.271204825692998"/>
    <n v="2753.9982935629901"/>
    <n v="9914.3938568267604"/>
  </r>
  <r>
    <x v="0"/>
    <x v="0"/>
    <x v="0"/>
    <x v="5"/>
    <x v="6"/>
    <s v="LT_A"/>
    <x v="7"/>
    <x v="6"/>
    <s v="KaunasHPP"/>
    <x v="6"/>
    <x v="9"/>
    <n v="45.271204825692998"/>
    <n v="2753.9982935629901"/>
    <n v="9914.3938568267604"/>
  </r>
  <r>
    <x v="0"/>
    <x v="0"/>
    <x v="0"/>
    <x v="5"/>
    <x v="6"/>
    <s v="LT_A"/>
    <x v="7"/>
    <x v="6"/>
    <s v="KaunasHPP"/>
    <x v="6"/>
    <x v="10"/>
    <n v="45.271204825692998"/>
    <n v="2753.9982935629901"/>
    <n v="9914.3938568267604"/>
  </r>
  <r>
    <x v="0"/>
    <x v="0"/>
    <x v="0"/>
    <x v="5"/>
    <x v="6"/>
    <s v="LT_A"/>
    <x v="7"/>
    <x v="6"/>
    <s v="KaunasHPP"/>
    <x v="6"/>
    <x v="11"/>
    <n v="45.271204825692998"/>
    <n v="2753.9982935629901"/>
    <n v="9914.3938568267604"/>
  </r>
  <r>
    <x v="0"/>
    <x v="0"/>
    <x v="0"/>
    <x v="5"/>
    <x v="6"/>
    <s v="LT_A"/>
    <x v="7"/>
    <x v="6"/>
    <s v="KaunasHPP"/>
    <x v="7"/>
    <x v="0"/>
    <n v="45.271204825692998"/>
    <n v="2753.9982935629901"/>
    <n v="9914.3938568267604"/>
  </r>
  <r>
    <x v="0"/>
    <x v="0"/>
    <x v="0"/>
    <x v="5"/>
    <x v="6"/>
    <s v="LT_A"/>
    <x v="7"/>
    <x v="6"/>
    <s v="KaunasHPP"/>
    <x v="7"/>
    <x v="1"/>
    <n v="45.271204825692998"/>
    <n v="2753.9982935629901"/>
    <n v="9914.3938568267604"/>
  </r>
  <r>
    <x v="0"/>
    <x v="0"/>
    <x v="0"/>
    <x v="5"/>
    <x v="6"/>
    <s v="LT_A"/>
    <x v="7"/>
    <x v="6"/>
    <s v="KaunasHPP"/>
    <x v="7"/>
    <x v="2"/>
    <n v="45.271204825692998"/>
    <n v="2753.9982935629901"/>
    <n v="9914.3938568267604"/>
  </r>
  <r>
    <x v="0"/>
    <x v="0"/>
    <x v="0"/>
    <x v="5"/>
    <x v="6"/>
    <s v="LT_A"/>
    <x v="7"/>
    <x v="6"/>
    <s v="KaunasHPP"/>
    <x v="7"/>
    <x v="3"/>
    <n v="45.271204825692998"/>
    <n v="2753.9982935629901"/>
    <n v="9914.3938568267604"/>
  </r>
  <r>
    <x v="0"/>
    <x v="0"/>
    <x v="0"/>
    <x v="5"/>
    <x v="6"/>
    <s v="LT_A"/>
    <x v="7"/>
    <x v="6"/>
    <s v="KaunasHPP"/>
    <x v="7"/>
    <x v="4"/>
    <n v="45.271204825692998"/>
    <n v="2753.9982935629901"/>
    <n v="9914.3938568267604"/>
  </r>
  <r>
    <x v="0"/>
    <x v="0"/>
    <x v="0"/>
    <x v="5"/>
    <x v="6"/>
    <s v="LT_A"/>
    <x v="7"/>
    <x v="6"/>
    <s v="KaunasHPP"/>
    <x v="7"/>
    <x v="5"/>
    <n v="45.271204825692998"/>
    <n v="2753.9982935629901"/>
    <n v="9914.3938568267604"/>
  </r>
  <r>
    <x v="0"/>
    <x v="0"/>
    <x v="0"/>
    <x v="5"/>
    <x v="6"/>
    <s v="LT_A"/>
    <x v="7"/>
    <x v="6"/>
    <s v="KaunasHPP"/>
    <x v="7"/>
    <x v="6"/>
    <n v="45.271204825692998"/>
    <n v="2753.9982935629901"/>
    <n v="9914.3938568267604"/>
  </r>
  <r>
    <x v="0"/>
    <x v="0"/>
    <x v="0"/>
    <x v="5"/>
    <x v="6"/>
    <s v="LT_A"/>
    <x v="7"/>
    <x v="6"/>
    <s v="KaunasHPP"/>
    <x v="7"/>
    <x v="7"/>
    <n v="45.271204825692998"/>
    <n v="2753.9982935629901"/>
    <n v="9914.3938568267604"/>
  </r>
  <r>
    <x v="0"/>
    <x v="0"/>
    <x v="0"/>
    <x v="5"/>
    <x v="6"/>
    <s v="LT_A"/>
    <x v="7"/>
    <x v="6"/>
    <s v="KaunasHPP"/>
    <x v="7"/>
    <x v="8"/>
    <n v="45.271204825692998"/>
    <n v="2753.9982935629901"/>
    <n v="9914.3938568267604"/>
  </r>
  <r>
    <x v="0"/>
    <x v="0"/>
    <x v="0"/>
    <x v="5"/>
    <x v="6"/>
    <s v="LT_A"/>
    <x v="7"/>
    <x v="6"/>
    <s v="KaunasHPP"/>
    <x v="7"/>
    <x v="9"/>
    <n v="45.271204825692998"/>
    <n v="2753.9982935629901"/>
    <n v="9914.3938568267604"/>
  </r>
  <r>
    <x v="0"/>
    <x v="0"/>
    <x v="0"/>
    <x v="5"/>
    <x v="6"/>
    <s v="LT_A"/>
    <x v="7"/>
    <x v="6"/>
    <s v="KaunasHPP"/>
    <x v="7"/>
    <x v="10"/>
    <n v="45.271204825692998"/>
    <n v="2753.9982935629901"/>
    <n v="9914.3938568267604"/>
  </r>
  <r>
    <x v="0"/>
    <x v="0"/>
    <x v="0"/>
    <x v="5"/>
    <x v="6"/>
    <s v="LT_A"/>
    <x v="7"/>
    <x v="6"/>
    <s v="KaunasHPP"/>
    <x v="7"/>
    <x v="11"/>
    <n v="45.271204825692998"/>
    <n v="2753.9982935629901"/>
    <n v="9914.3938568267604"/>
  </r>
  <r>
    <x v="0"/>
    <x v="0"/>
    <x v="0"/>
    <x v="5"/>
    <x v="6"/>
    <s v="LT_A"/>
    <x v="7"/>
    <x v="6"/>
    <s v="KaunasHPP"/>
    <x v="8"/>
    <x v="0"/>
    <n v="57.271199438939597"/>
    <n v="3483.9979658688198"/>
    <n v="12542.3926771278"/>
  </r>
  <r>
    <x v="0"/>
    <x v="0"/>
    <x v="0"/>
    <x v="5"/>
    <x v="6"/>
    <s v="LT_A"/>
    <x v="7"/>
    <x v="6"/>
    <s v="KaunasHPP"/>
    <x v="8"/>
    <x v="1"/>
    <n v="57.271199438939597"/>
    <n v="3483.9979658688198"/>
    <n v="12542.3926771278"/>
  </r>
  <r>
    <x v="0"/>
    <x v="0"/>
    <x v="0"/>
    <x v="5"/>
    <x v="6"/>
    <s v="LT_A"/>
    <x v="7"/>
    <x v="6"/>
    <s v="KaunasHPP"/>
    <x v="8"/>
    <x v="2"/>
    <n v="57.271199438939597"/>
    <n v="3483.9979658688198"/>
    <n v="12542.3926771278"/>
  </r>
  <r>
    <x v="0"/>
    <x v="0"/>
    <x v="0"/>
    <x v="5"/>
    <x v="6"/>
    <s v="LT_A"/>
    <x v="7"/>
    <x v="6"/>
    <s v="KaunasHPP"/>
    <x v="8"/>
    <x v="3"/>
    <n v="57.271199438939597"/>
    <n v="3483.9979658688198"/>
    <n v="12542.3926771278"/>
  </r>
  <r>
    <x v="0"/>
    <x v="0"/>
    <x v="0"/>
    <x v="5"/>
    <x v="6"/>
    <s v="LT_A"/>
    <x v="7"/>
    <x v="6"/>
    <s v="KaunasHPP"/>
    <x v="8"/>
    <x v="4"/>
    <n v="57.271199438939597"/>
    <n v="3483.9979658688198"/>
    <n v="12542.3926771278"/>
  </r>
  <r>
    <x v="0"/>
    <x v="0"/>
    <x v="0"/>
    <x v="5"/>
    <x v="6"/>
    <s v="LT_A"/>
    <x v="7"/>
    <x v="6"/>
    <s v="KaunasHPP"/>
    <x v="8"/>
    <x v="5"/>
    <n v="57.271199438939597"/>
    <n v="3483.9979658688198"/>
    <n v="12542.3926771278"/>
  </r>
  <r>
    <x v="0"/>
    <x v="0"/>
    <x v="0"/>
    <x v="5"/>
    <x v="6"/>
    <s v="LT_A"/>
    <x v="7"/>
    <x v="6"/>
    <s v="KaunasHPP"/>
    <x v="8"/>
    <x v="6"/>
    <n v="57.271199438939597"/>
    <n v="3483.9979658688198"/>
    <n v="12542.3926771278"/>
  </r>
  <r>
    <x v="0"/>
    <x v="0"/>
    <x v="0"/>
    <x v="5"/>
    <x v="6"/>
    <s v="LT_A"/>
    <x v="7"/>
    <x v="6"/>
    <s v="KaunasHPP"/>
    <x v="8"/>
    <x v="7"/>
    <n v="57.271199438939597"/>
    <n v="3483.9979658688198"/>
    <n v="12542.3926771278"/>
  </r>
  <r>
    <x v="0"/>
    <x v="0"/>
    <x v="0"/>
    <x v="5"/>
    <x v="6"/>
    <s v="LT_A"/>
    <x v="7"/>
    <x v="6"/>
    <s v="KaunasHPP"/>
    <x v="8"/>
    <x v="8"/>
    <n v="57.271199438939597"/>
    <n v="3483.9979658688198"/>
    <n v="12542.3926771278"/>
  </r>
  <r>
    <x v="0"/>
    <x v="0"/>
    <x v="0"/>
    <x v="5"/>
    <x v="6"/>
    <s v="LT_A"/>
    <x v="7"/>
    <x v="6"/>
    <s v="KaunasHPP"/>
    <x v="8"/>
    <x v="9"/>
    <n v="57.271199438939597"/>
    <n v="3483.9979658688198"/>
    <n v="12542.3926771278"/>
  </r>
  <r>
    <x v="0"/>
    <x v="0"/>
    <x v="0"/>
    <x v="5"/>
    <x v="6"/>
    <s v="LT_A"/>
    <x v="7"/>
    <x v="6"/>
    <s v="KaunasHPP"/>
    <x v="8"/>
    <x v="10"/>
    <n v="57.271199438939597"/>
    <n v="3483.9979658688198"/>
    <n v="12542.3926771278"/>
  </r>
  <r>
    <x v="0"/>
    <x v="0"/>
    <x v="0"/>
    <x v="5"/>
    <x v="6"/>
    <s v="LT_A"/>
    <x v="7"/>
    <x v="6"/>
    <s v="KaunasHPP"/>
    <x v="8"/>
    <x v="11"/>
    <n v="57.271199438939597"/>
    <n v="3483.9979658688198"/>
    <n v="12542.3926771278"/>
  </r>
  <r>
    <x v="0"/>
    <x v="0"/>
    <x v="0"/>
    <x v="5"/>
    <x v="6"/>
    <s v="LT_A"/>
    <x v="7"/>
    <x v="6"/>
    <s v="KaunasHPP"/>
    <x v="9"/>
    <x v="0"/>
    <n v="66.749970036184394"/>
    <n v="4060.6231772012202"/>
    <n v="14618.2434379244"/>
  </r>
  <r>
    <x v="0"/>
    <x v="0"/>
    <x v="0"/>
    <x v="5"/>
    <x v="6"/>
    <s v="LT_A"/>
    <x v="7"/>
    <x v="6"/>
    <s v="KaunasHPP"/>
    <x v="9"/>
    <x v="1"/>
    <n v="66.749970036184394"/>
    <n v="4060.6231772012202"/>
    <n v="14618.2434379244"/>
  </r>
  <r>
    <x v="0"/>
    <x v="0"/>
    <x v="0"/>
    <x v="5"/>
    <x v="6"/>
    <s v="LT_A"/>
    <x v="7"/>
    <x v="6"/>
    <s v="KaunasHPP"/>
    <x v="9"/>
    <x v="2"/>
    <n v="66.749970036184394"/>
    <n v="4060.6231772012202"/>
    <n v="14618.2434379244"/>
  </r>
  <r>
    <x v="0"/>
    <x v="0"/>
    <x v="0"/>
    <x v="5"/>
    <x v="6"/>
    <s v="LT_A"/>
    <x v="7"/>
    <x v="6"/>
    <s v="KaunasHPP"/>
    <x v="9"/>
    <x v="3"/>
    <n v="66.749970036184394"/>
    <n v="4060.6231772012202"/>
    <n v="14618.2434379244"/>
  </r>
  <r>
    <x v="0"/>
    <x v="0"/>
    <x v="0"/>
    <x v="5"/>
    <x v="6"/>
    <s v="LT_A"/>
    <x v="7"/>
    <x v="6"/>
    <s v="KaunasHPP"/>
    <x v="9"/>
    <x v="4"/>
    <n v="66.749970036184394"/>
    <n v="4060.6231772012202"/>
    <n v="14618.2434379244"/>
  </r>
  <r>
    <x v="0"/>
    <x v="0"/>
    <x v="0"/>
    <x v="5"/>
    <x v="6"/>
    <s v="LT_A"/>
    <x v="7"/>
    <x v="6"/>
    <s v="KaunasHPP"/>
    <x v="9"/>
    <x v="5"/>
    <n v="66.749970036184394"/>
    <n v="4060.6231772012202"/>
    <n v="14618.2434379244"/>
  </r>
  <r>
    <x v="0"/>
    <x v="0"/>
    <x v="0"/>
    <x v="5"/>
    <x v="6"/>
    <s v="LT_A"/>
    <x v="7"/>
    <x v="6"/>
    <s v="KaunasHPP"/>
    <x v="9"/>
    <x v="6"/>
    <n v="66.749970036184394"/>
    <n v="4060.6231772012202"/>
    <n v="14618.2434379244"/>
  </r>
  <r>
    <x v="0"/>
    <x v="0"/>
    <x v="0"/>
    <x v="5"/>
    <x v="6"/>
    <s v="LT_A"/>
    <x v="7"/>
    <x v="6"/>
    <s v="KaunasHPP"/>
    <x v="9"/>
    <x v="7"/>
    <n v="66.749970036184394"/>
    <n v="4060.6231772012202"/>
    <n v="14618.2434379244"/>
  </r>
  <r>
    <x v="0"/>
    <x v="0"/>
    <x v="0"/>
    <x v="5"/>
    <x v="6"/>
    <s v="LT_A"/>
    <x v="7"/>
    <x v="6"/>
    <s v="KaunasHPP"/>
    <x v="9"/>
    <x v="8"/>
    <n v="66.749970036184394"/>
    <n v="4060.6231772012202"/>
    <n v="14618.2434379244"/>
  </r>
  <r>
    <x v="0"/>
    <x v="0"/>
    <x v="0"/>
    <x v="5"/>
    <x v="6"/>
    <s v="LT_A"/>
    <x v="7"/>
    <x v="6"/>
    <s v="KaunasHPP"/>
    <x v="9"/>
    <x v="9"/>
    <n v="66.749970036184394"/>
    <n v="4060.6231772012202"/>
    <n v="14618.2434379244"/>
  </r>
  <r>
    <x v="0"/>
    <x v="0"/>
    <x v="0"/>
    <x v="5"/>
    <x v="6"/>
    <s v="LT_A"/>
    <x v="7"/>
    <x v="6"/>
    <s v="KaunasHPP"/>
    <x v="9"/>
    <x v="10"/>
    <n v="66.749970036184394"/>
    <n v="4060.6231772012202"/>
    <n v="14618.2434379244"/>
  </r>
  <r>
    <x v="0"/>
    <x v="0"/>
    <x v="0"/>
    <x v="5"/>
    <x v="6"/>
    <s v="LT_A"/>
    <x v="7"/>
    <x v="6"/>
    <s v="KaunasHPP"/>
    <x v="9"/>
    <x v="11"/>
    <n v="66.749970036184394"/>
    <n v="4060.6231772012202"/>
    <n v="14618.2434379244"/>
  </r>
  <r>
    <x v="0"/>
    <x v="0"/>
    <x v="0"/>
    <x v="5"/>
    <x v="6"/>
    <s v="LT_A"/>
    <x v="7"/>
    <x v="6"/>
    <s v="KaunasHPP"/>
    <x v="10"/>
    <x v="0"/>
    <n v="66.749970036184394"/>
    <n v="4060.6231772012202"/>
    <n v="14618.2434379244"/>
  </r>
  <r>
    <x v="0"/>
    <x v="0"/>
    <x v="0"/>
    <x v="5"/>
    <x v="6"/>
    <s v="LT_A"/>
    <x v="7"/>
    <x v="6"/>
    <s v="KaunasHPP"/>
    <x v="10"/>
    <x v="1"/>
    <n v="66.749970036184394"/>
    <n v="4060.6231772012202"/>
    <n v="14618.2434379244"/>
  </r>
  <r>
    <x v="0"/>
    <x v="0"/>
    <x v="0"/>
    <x v="5"/>
    <x v="6"/>
    <s v="LT_A"/>
    <x v="7"/>
    <x v="6"/>
    <s v="KaunasHPP"/>
    <x v="10"/>
    <x v="2"/>
    <n v="66.749970036184394"/>
    <n v="4060.6231772012202"/>
    <n v="14618.2434379244"/>
  </r>
  <r>
    <x v="0"/>
    <x v="0"/>
    <x v="0"/>
    <x v="5"/>
    <x v="6"/>
    <s v="LT_A"/>
    <x v="7"/>
    <x v="6"/>
    <s v="KaunasHPP"/>
    <x v="10"/>
    <x v="3"/>
    <n v="66.749970036184394"/>
    <n v="4060.6231772012202"/>
    <n v="14618.2434379244"/>
  </r>
  <r>
    <x v="0"/>
    <x v="0"/>
    <x v="0"/>
    <x v="5"/>
    <x v="6"/>
    <s v="LT_A"/>
    <x v="7"/>
    <x v="6"/>
    <s v="KaunasHPP"/>
    <x v="10"/>
    <x v="4"/>
    <n v="66.749970036184394"/>
    <n v="4060.6231772012202"/>
    <n v="14618.2434379244"/>
  </r>
  <r>
    <x v="0"/>
    <x v="0"/>
    <x v="0"/>
    <x v="5"/>
    <x v="6"/>
    <s v="LT_A"/>
    <x v="7"/>
    <x v="6"/>
    <s v="KaunasHPP"/>
    <x v="10"/>
    <x v="5"/>
    <n v="66.749970036184394"/>
    <n v="4060.6231772012202"/>
    <n v="14618.2434379244"/>
  </r>
  <r>
    <x v="0"/>
    <x v="0"/>
    <x v="0"/>
    <x v="5"/>
    <x v="6"/>
    <s v="LT_A"/>
    <x v="7"/>
    <x v="6"/>
    <s v="KaunasHPP"/>
    <x v="10"/>
    <x v="6"/>
    <n v="66.749970036184394"/>
    <n v="4060.6231772012202"/>
    <n v="14618.2434379244"/>
  </r>
  <r>
    <x v="0"/>
    <x v="0"/>
    <x v="0"/>
    <x v="5"/>
    <x v="6"/>
    <s v="LT_A"/>
    <x v="7"/>
    <x v="6"/>
    <s v="KaunasHPP"/>
    <x v="10"/>
    <x v="7"/>
    <n v="66.749970036184394"/>
    <n v="4060.6231772012202"/>
    <n v="14618.2434379244"/>
  </r>
  <r>
    <x v="0"/>
    <x v="0"/>
    <x v="0"/>
    <x v="5"/>
    <x v="6"/>
    <s v="LT_A"/>
    <x v="7"/>
    <x v="6"/>
    <s v="KaunasHPP"/>
    <x v="10"/>
    <x v="8"/>
    <n v="66.749970036184394"/>
    <n v="4060.6231772012202"/>
    <n v="14618.2434379244"/>
  </r>
  <r>
    <x v="0"/>
    <x v="0"/>
    <x v="0"/>
    <x v="5"/>
    <x v="6"/>
    <s v="LT_A"/>
    <x v="7"/>
    <x v="6"/>
    <s v="KaunasHPP"/>
    <x v="10"/>
    <x v="9"/>
    <n v="66.749970036184394"/>
    <n v="4060.6231772012202"/>
    <n v="14618.2434379244"/>
  </r>
  <r>
    <x v="0"/>
    <x v="0"/>
    <x v="0"/>
    <x v="5"/>
    <x v="6"/>
    <s v="LT_A"/>
    <x v="7"/>
    <x v="6"/>
    <s v="KaunasHPP"/>
    <x v="10"/>
    <x v="10"/>
    <n v="66.749970036184394"/>
    <n v="4060.6231772012202"/>
    <n v="14618.2434379244"/>
  </r>
  <r>
    <x v="0"/>
    <x v="0"/>
    <x v="0"/>
    <x v="5"/>
    <x v="6"/>
    <s v="LT_A"/>
    <x v="7"/>
    <x v="6"/>
    <s v="KaunasHPP"/>
    <x v="10"/>
    <x v="11"/>
    <n v="66.749970036184394"/>
    <n v="4060.6231772012202"/>
    <n v="14618.2434379244"/>
  </r>
  <r>
    <x v="0"/>
    <x v="0"/>
    <x v="0"/>
    <x v="5"/>
    <x v="6"/>
    <s v="LT_A"/>
    <x v="7"/>
    <x v="6"/>
    <s v="KaunasHPP"/>
    <x v="11"/>
    <x v="0"/>
    <n v="66.749970036184394"/>
    <n v="4060.6231772012202"/>
    <n v="14618.2434379244"/>
  </r>
  <r>
    <x v="0"/>
    <x v="0"/>
    <x v="0"/>
    <x v="5"/>
    <x v="6"/>
    <s v="LT_A"/>
    <x v="7"/>
    <x v="6"/>
    <s v="KaunasHPP"/>
    <x v="11"/>
    <x v="1"/>
    <n v="66.749970036184394"/>
    <n v="4060.6231772012202"/>
    <n v="14618.2434379244"/>
  </r>
  <r>
    <x v="0"/>
    <x v="0"/>
    <x v="0"/>
    <x v="5"/>
    <x v="6"/>
    <s v="LT_A"/>
    <x v="7"/>
    <x v="6"/>
    <s v="KaunasHPP"/>
    <x v="11"/>
    <x v="2"/>
    <n v="66.749970036184394"/>
    <n v="4060.6231772012202"/>
    <n v="14618.2434379244"/>
  </r>
  <r>
    <x v="0"/>
    <x v="0"/>
    <x v="0"/>
    <x v="5"/>
    <x v="6"/>
    <s v="LT_A"/>
    <x v="7"/>
    <x v="6"/>
    <s v="KaunasHPP"/>
    <x v="11"/>
    <x v="3"/>
    <n v="66.749970036184394"/>
    <n v="4060.6231772012202"/>
    <n v="14618.2434379244"/>
  </r>
  <r>
    <x v="0"/>
    <x v="0"/>
    <x v="0"/>
    <x v="5"/>
    <x v="6"/>
    <s v="LT_A"/>
    <x v="7"/>
    <x v="6"/>
    <s v="KaunasHPP"/>
    <x v="11"/>
    <x v="4"/>
    <n v="66.749970036184394"/>
    <n v="4060.6231772012202"/>
    <n v="14618.2434379244"/>
  </r>
  <r>
    <x v="0"/>
    <x v="0"/>
    <x v="0"/>
    <x v="5"/>
    <x v="6"/>
    <s v="LT_A"/>
    <x v="7"/>
    <x v="6"/>
    <s v="KaunasHPP"/>
    <x v="11"/>
    <x v="5"/>
    <n v="66.749970036184394"/>
    <n v="4060.6231772012202"/>
    <n v="14618.2434379244"/>
  </r>
  <r>
    <x v="0"/>
    <x v="0"/>
    <x v="0"/>
    <x v="5"/>
    <x v="6"/>
    <s v="LT_A"/>
    <x v="7"/>
    <x v="6"/>
    <s v="KaunasHPP"/>
    <x v="11"/>
    <x v="6"/>
    <n v="66.749970036184394"/>
    <n v="4060.6231772012202"/>
    <n v="14618.2434379244"/>
  </r>
  <r>
    <x v="0"/>
    <x v="0"/>
    <x v="0"/>
    <x v="5"/>
    <x v="6"/>
    <s v="LT_A"/>
    <x v="7"/>
    <x v="6"/>
    <s v="KaunasHPP"/>
    <x v="11"/>
    <x v="7"/>
    <n v="66.749970036184394"/>
    <n v="4060.6231772012202"/>
    <n v="14618.2434379244"/>
  </r>
  <r>
    <x v="0"/>
    <x v="0"/>
    <x v="0"/>
    <x v="5"/>
    <x v="6"/>
    <s v="LT_A"/>
    <x v="7"/>
    <x v="6"/>
    <s v="KaunasHPP"/>
    <x v="11"/>
    <x v="8"/>
    <n v="66.749970036184394"/>
    <n v="4060.6231772012202"/>
    <n v="14618.2434379244"/>
  </r>
  <r>
    <x v="0"/>
    <x v="0"/>
    <x v="0"/>
    <x v="5"/>
    <x v="6"/>
    <s v="LT_A"/>
    <x v="7"/>
    <x v="6"/>
    <s v="KaunasHPP"/>
    <x v="11"/>
    <x v="9"/>
    <n v="66.749970036184394"/>
    <n v="4060.6231772012202"/>
    <n v="14618.2434379244"/>
  </r>
  <r>
    <x v="0"/>
    <x v="0"/>
    <x v="0"/>
    <x v="5"/>
    <x v="6"/>
    <s v="LT_A"/>
    <x v="7"/>
    <x v="6"/>
    <s v="KaunasHPP"/>
    <x v="11"/>
    <x v="10"/>
    <n v="66.749970036184394"/>
    <n v="4060.6231772012202"/>
    <n v="14618.2434379244"/>
  </r>
  <r>
    <x v="0"/>
    <x v="0"/>
    <x v="0"/>
    <x v="5"/>
    <x v="6"/>
    <s v="LT_A"/>
    <x v="7"/>
    <x v="6"/>
    <s v="KaunasHPP"/>
    <x v="11"/>
    <x v="11"/>
    <n v="66.749970036184394"/>
    <n v="4060.6231772012202"/>
    <n v="14618.2434379244"/>
  </r>
  <r>
    <x v="0"/>
    <x v="0"/>
    <x v="0"/>
    <x v="5"/>
    <x v="6"/>
    <s v="LT_A"/>
    <x v="7"/>
    <x v="8"/>
    <s v="Kruonis"/>
    <x v="0"/>
    <x v="0"/>
    <n v="51.217187990887197"/>
    <n v="3115.7122694456398"/>
    <n v="11216.5641700043"/>
  </r>
  <r>
    <x v="0"/>
    <x v="0"/>
    <x v="0"/>
    <x v="5"/>
    <x v="6"/>
    <s v="LT_A"/>
    <x v="7"/>
    <x v="8"/>
    <s v="Kruonis"/>
    <x v="1"/>
    <x v="6"/>
    <n v="31.213422843339501"/>
    <n v="1898.81655630315"/>
    <n v="6835.7396026913502"/>
  </r>
  <r>
    <x v="0"/>
    <x v="0"/>
    <x v="0"/>
    <x v="5"/>
    <x v="6"/>
    <s v="LT_A"/>
    <x v="7"/>
    <x v="8"/>
    <s v="Kruonis"/>
    <x v="1"/>
    <x v="8"/>
    <n v="44.050599384916801"/>
    <n v="2679.7447959157698"/>
    <n v="9647.0812652967797"/>
  </r>
  <r>
    <x v="0"/>
    <x v="0"/>
    <x v="0"/>
    <x v="5"/>
    <x v="6"/>
    <s v="LT_A"/>
    <x v="7"/>
    <x v="8"/>
    <s v="Kruonis"/>
    <x v="2"/>
    <x v="9"/>
    <n v="91.585127201565598"/>
    <n v="5571.4285714285697"/>
    <n v="20057.142857142899"/>
  </r>
  <r>
    <x v="0"/>
    <x v="0"/>
    <x v="0"/>
    <x v="5"/>
    <x v="6"/>
    <s v="LT_A"/>
    <x v="7"/>
    <x v="8"/>
    <s v="Kruonis"/>
    <x v="3"/>
    <x v="5"/>
    <n v="16.475432580074902"/>
    <n v="1002.25548195456"/>
    <n v="3608.11973503641"/>
  </r>
  <r>
    <x v="0"/>
    <x v="0"/>
    <x v="0"/>
    <x v="5"/>
    <x v="6"/>
    <s v="LT_A"/>
    <x v="7"/>
    <x v="8"/>
    <s v="Kruonis"/>
    <x v="3"/>
    <x v="7"/>
    <n v="75.109694621490604"/>
    <n v="4569.1730894740103"/>
    <n v="16449.023122106399"/>
  </r>
  <r>
    <x v="0"/>
    <x v="0"/>
    <x v="0"/>
    <x v="5"/>
    <x v="6"/>
    <s v="LT_A"/>
    <x v="7"/>
    <x v="8"/>
    <s v="Kruonis"/>
    <x v="5"/>
    <x v="10"/>
    <n v="91.585127201565598"/>
    <n v="5571.4285714285697"/>
    <n v="20057.142857142899"/>
  </r>
  <r>
    <x v="0"/>
    <x v="0"/>
    <x v="0"/>
    <x v="5"/>
    <x v="6"/>
    <s v="LT_A"/>
    <x v="7"/>
    <x v="8"/>
    <s v="Kruonis"/>
    <x v="6"/>
    <x v="5"/>
    <n v="25.994868847224801"/>
    <n v="1581.35452153951"/>
    <n v="5692.8762775422301"/>
  </r>
  <r>
    <x v="0"/>
    <x v="0"/>
    <x v="0"/>
    <x v="5"/>
    <x v="6"/>
    <s v="LT_A"/>
    <x v="7"/>
    <x v="8"/>
    <s v="Kruonis"/>
    <x v="6"/>
    <x v="8"/>
    <n v="65.590258354340804"/>
    <n v="3990.07404988906"/>
    <n v="14364.2665796006"/>
  </r>
  <r>
    <x v="0"/>
    <x v="0"/>
    <x v="0"/>
    <x v="5"/>
    <x v="6"/>
    <s v="LT_A"/>
    <x v="7"/>
    <x v="8"/>
    <s v="Kruonis"/>
    <x v="10"/>
    <x v="8"/>
    <n v="39.227302271152702"/>
    <n v="2386.3275548284601"/>
    <n v="8590.7791973824496"/>
  </r>
  <r>
    <x v="0"/>
    <x v="0"/>
    <x v="0"/>
    <x v="5"/>
    <x v="6"/>
    <s v="LT_A"/>
    <x v="7"/>
    <x v="8"/>
    <s v="Kruonis"/>
    <x v="11"/>
    <x v="6"/>
    <n v="45.275117941781502"/>
    <n v="2754.2363414583701"/>
    <n v="9915.2508292501498"/>
  </r>
  <r>
    <x v="0"/>
    <x v="0"/>
    <x v="0"/>
    <x v="5"/>
    <x v="6"/>
    <s v="LT_A"/>
    <x v="7"/>
    <x v="8"/>
    <s v="Kruonis"/>
    <x v="11"/>
    <x v="7"/>
    <n v="46.310009259784103"/>
    <n v="2817.1922299702001"/>
    <n v="10141.8920278927"/>
  </r>
  <r>
    <x v="0"/>
    <x v="0"/>
    <x v="0"/>
    <x v="5"/>
    <x v="6"/>
    <s v="LT_A"/>
    <x v="0"/>
    <x v="0"/>
    <s v="WI-L10"/>
    <x v="0"/>
    <x v="0"/>
    <n v="35.124073627819897"/>
    <n v="2136.7144790257098"/>
    <n v="7692.1721244925602"/>
  </r>
  <r>
    <x v="0"/>
    <x v="0"/>
    <x v="0"/>
    <x v="5"/>
    <x v="6"/>
    <s v="LT_A"/>
    <x v="0"/>
    <x v="0"/>
    <s v="WI-L10"/>
    <x v="0"/>
    <x v="1"/>
    <n v="33.660570559994099"/>
    <n v="2047.68470906631"/>
    <n v="7371.6649526387"/>
  </r>
  <r>
    <x v="0"/>
    <x v="0"/>
    <x v="0"/>
    <x v="5"/>
    <x v="6"/>
    <s v="LT_A"/>
    <x v="0"/>
    <x v="0"/>
    <s v="WI-L10"/>
    <x v="0"/>
    <x v="2"/>
    <n v="32.562943259124701"/>
    <n v="1980.91238159675"/>
    <n v="7131.2845737483103"/>
  </r>
  <r>
    <x v="0"/>
    <x v="0"/>
    <x v="0"/>
    <x v="5"/>
    <x v="6"/>
    <s v="LT_A"/>
    <x v="0"/>
    <x v="0"/>
    <s v="WI-L10"/>
    <x v="0"/>
    <x v="3"/>
    <n v="25.611303686951999"/>
    <n v="1558.02097428958"/>
    <n v="5608.8755074424898"/>
  </r>
  <r>
    <x v="0"/>
    <x v="0"/>
    <x v="0"/>
    <x v="5"/>
    <x v="6"/>
    <s v="LT_A"/>
    <x v="0"/>
    <x v="0"/>
    <s v="WI-L10"/>
    <x v="0"/>
    <x v="4"/>
    <n v="20.306105066083401"/>
    <n v="1235.28805818674"/>
    <n v="4447.0370094722603"/>
  </r>
  <r>
    <x v="0"/>
    <x v="0"/>
    <x v="0"/>
    <x v="5"/>
    <x v="6"/>
    <s v="LT_A"/>
    <x v="0"/>
    <x v="0"/>
    <s v="WI-L10"/>
    <x v="0"/>
    <x v="5"/>
    <n v="18.110850464344601"/>
    <n v="1101.7434032476301"/>
    <n v="3966.27625169148"/>
  </r>
  <r>
    <x v="0"/>
    <x v="0"/>
    <x v="0"/>
    <x v="5"/>
    <x v="6"/>
    <s v="LT_A"/>
    <x v="0"/>
    <x v="0"/>
    <s v="WI-L10"/>
    <x v="0"/>
    <x v="6"/>
    <n v="27.989496172169002"/>
    <n v="1702.69435047361"/>
    <n v="6129.6996617050099"/>
  </r>
  <r>
    <x v="0"/>
    <x v="0"/>
    <x v="0"/>
    <x v="5"/>
    <x v="6"/>
    <s v="LT_A"/>
    <x v="0"/>
    <x v="0"/>
    <s v="WI-L10"/>
    <x v="0"/>
    <x v="7"/>
    <n v="32.197067492168202"/>
    <n v="1958.6549391069"/>
    <n v="7051.1577807848498"/>
  </r>
  <r>
    <x v="0"/>
    <x v="0"/>
    <x v="0"/>
    <x v="5"/>
    <x v="6"/>
    <s v="LT_A"/>
    <x v="0"/>
    <x v="0"/>
    <s v="WI-L10"/>
    <x v="0"/>
    <x v="8"/>
    <n v="36.221700928689302"/>
    <n v="2203.4868064952602"/>
    <n v="7932.5525033829499"/>
  </r>
  <r>
    <x v="0"/>
    <x v="0"/>
    <x v="0"/>
    <x v="5"/>
    <x v="6"/>
    <s v="LT_A"/>
    <x v="0"/>
    <x v="0"/>
    <s v="WI-L10"/>
    <x v="0"/>
    <x v="9"/>
    <n v="40.429272248688498"/>
    <n v="2459.4473951285499"/>
    <n v="8854.0106224627907"/>
  </r>
  <r>
    <x v="0"/>
    <x v="0"/>
    <x v="0"/>
    <x v="5"/>
    <x v="6"/>
    <s v="LT_A"/>
    <x v="0"/>
    <x v="0"/>
    <s v="WI-L10"/>
    <x v="0"/>
    <x v="10"/>
    <n v="40.612210132166801"/>
    <n v="2470.5761163734801"/>
    <n v="8894.0740189445205"/>
  </r>
  <r>
    <x v="0"/>
    <x v="0"/>
    <x v="0"/>
    <x v="5"/>
    <x v="6"/>
    <s v="LT_A"/>
    <x v="0"/>
    <x v="0"/>
    <s v="WI-L10"/>
    <x v="0"/>
    <x v="11"/>
    <n v="42.075713199992599"/>
    <n v="2559.6058863328799"/>
    <n v="9214.5811907983807"/>
  </r>
  <r>
    <x v="0"/>
    <x v="0"/>
    <x v="0"/>
    <x v="5"/>
    <x v="6"/>
    <s v="LT_A"/>
    <x v="0"/>
    <x v="0"/>
    <s v="WI-L10"/>
    <x v="1"/>
    <x v="0"/>
    <n v="16.098533746084101"/>
    <n v="979.32746955345101"/>
    <n v="3525.5788903924199"/>
  </r>
  <r>
    <x v="0"/>
    <x v="0"/>
    <x v="0"/>
    <x v="5"/>
    <x v="6"/>
    <s v="LT_A"/>
    <x v="0"/>
    <x v="0"/>
    <s v="WI-L10"/>
    <x v="1"/>
    <x v="1"/>
    <n v="14.6350306782583"/>
    <n v="890.29769959404598"/>
    <n v="3205.0717185385702"/>
  </r>
  <r>
    <x v="0"/>
    <x v="0"/>
    <x v="0"/>
    <x v="5"/>
    <x v="6"/>
    <s v="LT_A"/>
    <x v="0"/>
    <x v="0"/>
    <s v="WI-L10"/>
    <x v="1"/>
    <x v="2"/>
    <n v="13.1715276104325"/>
    <n v="801.26792963464095"/>
    <n v="2884.56454668471"/>
  </r>
  <r>
    <x v="0"/>
    <x v="0"/>
    <x v="0"/>
    <x v="5"/>
    <x v="6"/>
    <s v="LT_A"/>
    <x v="0"/>
    <x v="0"/>
    <s v="WI-L10"/>
    <x v="1"/>
    <x v="3"/>
    <n v="21.220794483474499"/>
    <n v="1290.9316644113701"/>
    <n v="4647.3539918809201"/>
  </r>
  <r>
    <x v="0"/>
    <x v="0"/>
    <x v="0"/>
    <x v="5"/>
    <x v="6"/>
    <s v="LT_A"/>
    <x v="0"/>
    <x v="0"/>
    <s v="WI-L10"/>
    <x v="1"/>
    <x v="4"/>
    <n v="23.0501733182568"/>
    <n v="1402.21887686062"/>
    <n v="5047.9879566982399"/>
  </r>
  <r>
    <x v="0"/>
    <x v="0"/>
    <x v="0"/>
    <x v="5"/>
    <x v="6"/>
    <s v="LT_A"/>
    <x v="0"/>
    <x v="0"/>
    <s v="WI-L10"/>
    <x v="1"/>
    <x v="5"/>
    <n v="22.6842975513004"/>
    <n v="1379.9614343707699"/>
    <n v="4967.8611637347803"/>
  </r>
  <r>
    <x v="0"/>
    <x v="0"/>
    <x v="0"/>
    <x v="5"/>
    <x v="6"/>
    <s v="LT_A"/>
    <x v="0"/>
    <x v="0"/>
    <s v="WI-L10"/>
    <x v="1"/>
    <x v="6"/>
    <n v="24.330738502604401"/>
    <n v="1480.1199255751001"/>
    <n v="5328.4317320703703"/>
  </r>
  <r>
    <x v="0"/>
    <x v="0"/>
    <x v="0"/>
    <x v="5"/>
    <x v="6"/>
    <s v="LT_A"/>
    <x v="0"/>
    <x v="0"/>
    <s v="WI-L10"/>
    <x v="1"/>
    <x v="7"/>
    <n v="18.4767262313011"/>
    <n v="1124.0008457374799"/>
    <n v="4046.40304465494"/>
  </r>
  <r>
    <x v="0"/>
    <x v="0"/>
    <x v="0"/>
    <x v="5"/>
    <x v="6"/>
    <s v="LT_A"/>
    <x v="0"/>
    <x v="0"/>
    <s v="WI-L10"/>
    <x v="1"/>
    <x v="8"/>
    <n v="16.098533746084101"/>
    <n v="979.32746955345101"/>
    <n v="3525.5788903924199"/>
  </r>
  <r>
    <x v="0"/>
    <x v="0"/>
    <x v="0"/>
    <x v="5"/>
    <x v="6"/>
    <s v="LT_A"/>
    <x v="0"/>
    <x v="0"/>
    <s v="WI-L10"/>
    <x v="1"/>
    <x v="9"/>
    <n v="13.903279144345399"/>
    <n v="845.78281461434403"/>
    <n v="3044.8181326116401"/>
  </r>
  <r>
    <x v="0"/>
    <x v="0"/>
    <x v="0"/>
    <x v="5"/>
    <x v="6"/>
    <s v="LT_A"/>
    <x v="0"/>
    <x v="0"/>
    <s v="WI-L10"/>
    <x v="1"/>
    <x v="10"/>
    <n v="15.000906445214699"/>
    <n v="912.55514208389695"/>
    <n v="3285.1985115020302"/>
  </r>
  <r>
    <x v="0"/>
    <x v="0"/>
    <x v="0"/>
    <x v="5"/>
    <x v="6"/>
    <s v="LT_A"/>
    <x v="0"/>
    <x v="0"/>
    <s v="WI-L10"/>
    <x v="1"/>
    <x v="11"/>
    <n v="14.8179685617365"/>
    <n v="901.42642083897204"/>
    <n v="3245.1351150203"/>
  </r>
  <r>
    <x v="0"/>
    <x v="0"/>
    <x v="0"/>
    <x v="5"/>
    <x v="6"/>
    <s v="LT_A"/>
    <x v="0"/>
    <x v="0"/>
    <s v="WI-L10"/>
    <x v="2"/>
    <x v="0"/>
    <n v="11.159210892171901"/>
    <n v="678.85199594046003"/>
    <n v="2443.8671853856599"/>
  </r>
  <r>
    <x v="0"/>
    <x v="0"/>
    <x v="0"/>
    <x v="5"/>
    <x v="6"/>
    <s v="LT_A"/>
    <x v="0"/>
    <x v="0"/>
    <s v="WI-L10"/>
    <x v="2"/>
    <x v="1"/>
    <n v="15.5497200956494"/>
    <n v="945.94130581867398"/>
    <n v="3405.3887009472301"/>
  </r>
  <r>
    <x v="0"/>
    <x v="0"/>
    <x v="0"/>
    <x v="5"/>
    <x v="6"/>
    <s v="LT_A"/>
    <x v="0"/>
    <x v="0"/>
    <s v="WI-L10"/>
    <x v="2"/>
    <x v="2"/>
    <n v="10.0615835913026"/>
    <n v="612.079668470907"/>
    <n v="2203.4868064952602"/>
  </r>
  <r>
    <x v="0"/>
    <x v="0"/>
    <x v="0"/>
    <x v="5"/>
    <x v="6"/>
    <s v="LT_A"/>
    <x v="0"/>
    <x v="0"/>
    <s v="WI-L10"/>
    <x v="2"/>
    <x v="3"/>
    <n v="11.890962426084901"/>
    <n v="723.366880920163"/>
    <n v="2604.12077131258"/>
  </r>
  <r>
    <x v="0"/>
    <x v="0"/>
    <x v="0"/>
    <x v="5"/>
    <x v="6"/>
    <s v="LT_A"/>
    <x v="0"/>
    <x v="0"/>
    <s v="WI-L10"/>
    <x v="2"/>
    <x v="4"/>
    <n v="12.805651843475999"/>
    <n v="779.01048714478998"/>
    <n v="2804.4377537212499"/>
  </r>
  <r>
    <x v="0"/>
    <x v="0"/>
    <x v="0"/>
    <x v="5"/>
    <x v="6"/>
    <s v="LT_A"/>
    <x v="0"/>
    <x v="0"/>
    <s v="WI-L10"/>
    <x v="2"/>
    <x v="5"/>
    <n v="12.805651843475999"/>
    <n v="779.01048714478998"/>
    <n v="2804.4377537212499"/>
  </r>
  <r>
    <x v="0"/>
    <x v="0"/>
    <x v="0"/>
    <x v="5"/>
    <x v="6"/>
    <s v="LT_A"/>
    <x v="0"/>
    <x v="0"/>
    <s v="WI-L10"/>
    <x v="2"/>
    <x v="6"/>
    <n v="12.805651843475999"/>
    <n v="779.01048714478998"/>
    <n v="2804.4377537212499"/>
  </r>
  <r>
    <x v="0"/>
    <x v="0"/>
    <x v="0"/>
    <x v="5"/>
    <x v="6"/>
    <s v="LT_A"/>
    <x v="0"/>
    <x v="0"/>
    <s v="WI-L10"/>
    <x v="2"/>
    <x v="7"/>
    <n v="12.805651843475999"/>
    <n v="779.01048714478998"/>
    <n v="2804.4377537212499"/>
  </r>
  <r>
    <x v="0"/>
    <x v="0"/>
    <x v="0"/>
    <x v="5"/>
    <x v="6"/>
    <s v="LT_A"/>
    <x v="0"/>
    <x v="0"/>
    <s v="WI-L10"/>
    <x v="2"/>
    <x v="8"/>
    <n v="14.8179685617365"/>
    <n v="901.42642083897204"/>
    <n v="3245.1351150203"/>
  </r>
  <r>
    <x v="0"/>
    <x v="0"/>
    <x v="0"/>
    <x v="5"/>
    <x v="6"/>
    <s v="LT_A"/>
    <x v="0"/>
    <x v="0"/>
    <s v="WI-L10"/>
    <x v="2"/>
    <x v="9"/>
    <n v="25.977179453908501"/>
    <n v="1580.27841677943"/>
    <n v="5689.0023004059503"/>
  </r>
  <r>
    <x v="0"/>
    <x v="0"/>
    <x v="0"/>
    <x v="5"/>
    <x v="6"/>
    <s v="LT_A"/>
    <x v="0"/>
    <x v="0"/>
    <s v="WI-L10"/>
    <x v="2"/>
    <x v="10"/>
    <n v="27.440682521734299"/>
    <n v="1669.30818673884"/>
    <n v="6009.5094722598096"/>
  </r>
  <r>
    <x v="0"/>
    <x v="0"/>
    <x v="0"/>
    <x v="5"/>
    <x v="6"/>
    <s v="LT_A"/>
    <x v="0"/>
    <x v="0"/>
    <s v="WI-L10"/>
    <x v="2"/>
    <x v="11"/>
    <n v="23.964862735648001"/>
    <n v="1457.86248308525"/>
    <n v="5248.3049391068998"/>
  </r>
  <r>
    <x v="0"/>
    <x v="0"/>
    <x v="0"/>
    <x v="5"/>
    <x v="6"/>
    <s v="LT_A"/>
    <x v="0"/>
    <x v="0"/>
    <s v="WI-L10"/>
    <x v="3"/>
    <x v="1"/>
    <n v="0.548813650434686"/>
    <n v="33.386163734776702"/>
    <n v="120.190189445196"/>
  </r>
  <r>
    <x v="0"/>
    <x v="0"/>
    <x v="0"/>
    <x v="5"/>
    <x v="6"/>
    <s v="LT_A"/>
    <x v="0"/>
    <x v="0"/>
    <s v="WI-L10"/>
    <x v="3"/>
    <x v="2"/>
    <n v="3.2928819026081202"/>
    <n v="200.31698240866001"/>
    <n v="721.14113667117704"/>
  </r>
  <r>
    <x v="0"/>
    <x v="0"/>
    <x v="0"/>
    <x v="5"/>
    <x v="6"/>
    <s v="LT_A"/>
    <x v="0"/>
    <x v="0"/>
    <s v="WI-L10"/>
    <x v="3"/>
    <x v="3"/>
    <n v="7.8663289895638302"/>
    <n v="478.53501353180002"/>
    <n v="1722.7260487144799"/>
  </r>
  <r>
    <x v="0"/>
    <x v="0"/>
    <x v="0"/>
    <x v="5"/>
    <x v="6"/>
    <s v="LT_A"/>
    <x v="0"/>
    <x v="0"/>
    <s v="WI-L10"/>
    <x v="3"/>
    <x v="4"/>
    <n v="13.3544654939107"/>
    <n v="812.39665087956701"/>
    <n v="2924.6279431664402"/>
  </r>
  <r>
    <x v="0"/>
    <x v="0"/>
    <x v="0"/>
    <x v="5"/>
    <x v="6"/>
    <s v="LT_A"/>
    <x v="0"/>
    <x v="0"/>
    <s v="WI-L10"/>
    <x v="3"/>
    <x v="5"/>
    <n v="10.610397241737299"/>
    <n v="645.46583220568402"/>
    <n v="2323.6769959404601"/>
  </r>
  <r>
    <x v="0"/>
    <x v="0"/>
    <x v="0"/>
    <x v="5"/>
    <x v="6"/>
    <s v="LT_A"/>
    <x v="0"/>
    <x v="0"/>
    <s v="WI-L10"/>
    <x v="3"/>
    <x v="6"/>
    <n v="3.2928819026081202"/>
    <n v="200.31698240866001"/>
    <n v="721.14113667117704"/>
  </r>
  <r>
    <x v="0"/>
    <x v="0"/>
    <x v="0"/>
    <x v="5"/>
    <x v="6"/>
    <s v="LT_A"/>
    <x v="0"/>
    <x v="0"/>
    <s v="WI-L10"/>
    <x v="3"/>
    <x v="7"/>
    <n v="1.8293788347822899"/>
    <n v="111.287212449256"/>
    <n v="400.63396481732099"/>
  </r>
  <r>
    <x v="0"/>
    <x v="0"/>
    <x v="0"/>
    <x v="5"/>
    <x v="6"/>
    <s v="LT_A"/>
    <x v="0"/>
    <x v="0"/>
    <s v="WI-L10"/>
    <x v="3"/>
    <x v="8"/>
    <n v="0.36587576695645702"/>
    <n v="22.257442489851201"/>
    <n v="80.126792963464197"/>
  </r>
  <r>
    <x v="0"/>
    <x v="0"/>
    <x v="0"/>
    <x v="5"/>
    <x v="6"/>
    <s v="LT_A"/>
    <x v="0"/>
    <x v="0"/>
    <s v="WI-L10"/>
    <x v="3"/>
    <x v="9"/>
    <n v="0.18293788347822901"/>
    <n v="11.1287212449256"/>
    <n v="40.063396481732099"/>
  </r>
  <r>
    <x v="0"/>
    <x v="0"/>
    <x v="0"/>
    <x v="5"/>
    <x v="6"/>
    <s v="LT_A"/>
    <x v="0"/>
    <x v="0"/>
    <s v="WI-L10"/>
    <x v="3"/>
    <x v="10"/>
    <n v="0.18293788347822901"/>
    <n v="11.1287212449256"/>
    <n v="40.063396481732099"/>
  </r>
  <r>
    <x v="0"/>
    <x v="0"/>
    <x v="0"/>
    <x v="5"/>
    <x v="6"/>
    <s v="LT_A"/>
    <x v="0"/>
    <x v="0"/>
    <s v="WI-L10"/>
    <x v="3"/>
    <x v="11"/>
    <n v="0.18293788347822901"/>
    <n v="11.1287212449256"/>
    <n v="40.063396481732099"/>
  </r>
  <r>
    <x v="0"/>
    <x v="0"/>
    <x v="0"/>
    <x v="5"/>
    <x v="6"/>
    <s v="LT_A"/>
    <x v="0"/>
    <x v="0"/>
    <s v="WI-L10"/>
    <x v="4"/>
    <x v="0"/>
    <n v="19.574353532170498"/>
    <n v="1190.7731732070399"/>
    <n v="4286.7834235453302"/>
  </r>
  <r>
    <x v="0"/>
    <x v="0"/>
    <x v="0"/>
    <x v="5"/>
    <x v="6"/>
    <s v="LT_A"/>
    <x v="0"/>
    <x v="0"/>
    <s v="WI-L10"/>
    <x v="4"/>
    <x v="1"/>
    <n v="22.8672354347786"/>
    <n v="1391.0901556157"/>
    <n v="5007.9245602165101"/>
  </r>
  <r>
    <x v="0"/>
    <x v="0"/>
    <x v="0"/>
    <x v="5"/>
    <x v="6"/>
    <s v="LT_A"/>
    <x v="0"/>
    <x v="0"/>
    <s v="WI-L10"/>
    <x v="4"/>
    <x v="2"/>
    <n v="21.952546017387402"/>
    <n v="1335.44654939107"/>
    <n v="4807.6075778078502"/>
  </r>
  <r>
    <x v="0"/>
    <x v="0"/>
    <x v="0"/>
    <x v="5"/>
    <x v="6"/>
    <s v="LT_A"/>
    <x v="0"/>
    <x v="0"/>
    <s v="WI-L10"/>
    <x v="4"/>
    <x v="3"/>
    <n v="20.4890429495616"/>
    <n v="1246.41677943166"/>
    <n v="4487.10040595399"/>
  </r>
  <r>
    <x v="0"/>
    <x v="0"/>
    <x v="0"/>
    <x v="5"/>
    <x v="6"/>
    <s v="LT_A"/>
    <x v="0"/>
    <x v="0"/>
    <s v="WI-L10"/>
    <x v="4"/>
    <x v="4"/>
    <n v="19.391415648692199"/>
    <n v="1179.64445196211"/>
    <n v="4246.7200270636004"/>
  </r>
  <r>
    <x v="0"/>
    <x v="0"/>
    <x v="0"/>
    <x v="5"/>
    <x v="6"/>
    <s v="LT_A"/>
    <x v="0"/>
    <x v="0"/>
    <s v="WI-L10"/>
    <x v="4"/>
    <x v="5"/>
    <n v="19.391415648692199"/>
    <n v="1179.64445196211"/>
    <n v="4246.7200270636004"/>
  </r>
  <r>
    <x v="0"/>
    <x v="0"/>
    <x v="0"/>
    <x v="5"/>
    <x v="6"/>
    <s v="LT_A"/>
    <x v="0"/>
    <x v="0"/>
    <s v="WI-L10"/>
    <x v="4"/>
    <x v="6"/>
    <n v="12.6227139599978"/>
    <n v="767.88176589986494"/>
    <n v="2764.3743572395101"/>
  </r>
  <r>
    <x v="0"/>
    <x v="0"/>
    <x v="0"/>
    <x v="5"/>
    <x v="6"/>
    <s v="LT_A"/>
    <x v="0"/>
    <x v="0"/>
    <s v="WI-L10"/>
    <x v="4"/>
    <x v="7"/>
    <n v="6.5857638052162297"/>
    <n v="400.63396481732099"/>
    <n v="1442.28227334235"/>
  </r>
  <r>
    <x v="0"/>
    <x v="0"/>
    <x v="0"/>
    <x v="5"/>
    <x v="6"/>
    <s v="LT_A"/>
    <x v="0"/>
    <x v="0"/>
    <s v="WI-L10"/>
    <x v="4"/>
    <x v="8"/>
    <n v="2.19525460173874"/>
    <n v="133.54465493910701"/>
    <n v="480.76075778078501"/>
  </r>
  <r>
    <x v="0"/>
    <x v="0"/>
    <x v="0"/>
    <x v="5"/>
    <x v="6"/>
    <s v="LT_A"/>
    <x v="0"/>
    <x v="0"/>
    <s v="WI-L10"/>
    <x v="4"/>
    <x v="9"/>
    <n v="0.36587576695645702"/>
    <n v="22.257442489851201"/>
    <n v="80.126792963464197"/>
  </r>
  <r>
    <x v="0"/>
    <x v="0"/>
    <x v="0"/>
    <x v="5"/>
    <x v="6"/>
    <s v="LT_A"/>
    <x v="0"/>
    <x v="0"/>
    <s v="WI-L10"/>
    <x v="4"/>
    <x v="10"/>
    <n v="0.36587576695645702"/>
    <n v="22.257442489851201"/>
    <n v="80.126792963464197"/>
  </r>
  <r>
    <x v="0"/>
    <x v="0"/>
    <x v="0"/>
    <x v="5"/>
    <x v="6"/>
    <s v="LT_A"/>
    <x v="0"/>
    <x v="0"/>
    <s v="WI-L10"/>
    <x v="4"/>
    <x v="11"/>
    <n v="0.18293788347822901"/>
    <n v="11.1287212449256"/>
    <n v="40.063396481732099"/>
  </r>
  <r>
    <x v="0"/>
    <x v="0"/>
    <x v="0"/>
    <x v="5"/>
    <x v="6"/>
    <s v="LT_A"/>
    <x v="0"/>
    <x v="0"/>
    <s v="WI-L10"/>
    <x v="5"/>
    <x v="0"/>
    <n v="4.2075713199992597"/>
    <n v="255.96058863328801"/>
    <n v="921.45811907983796"/>
  </r>
  <r>
    <x v="0"/>
    <x v="0"/>
    <x v="0"/>
    <x v="5"/>
    <x v="6"/>
    <s v="LT_A"/>
    <x v="0"/>
    <x v="0"/>
    <s v="WI-L10"/>
    <x v="5"/>
    <x v="1"/>
    <n v="1.6464409513040601"/>
    <n v="100.15849120433001"/>
    <n v="360.57056833558897"/>
  </r>
  <r>
    <x v="0"/>
    <x v="0"/>
    <x v="0"/>
    <x v="5"/>
    <x v="6"/>
    <s v="LT_A"/>
    <x v="0"/>
    <x v="0"/>
    <s v="WI-L10"/>
    <x v="5"/>
    <x v="2"/>
    <n v="1.4635030678258301"/>
    <n v="89.029769959404604"/>
    <n v="320.50717185385702"/>
  </r>
  <r>
    <x v="0"/>
    <x v="0"/>
    <x v="0"/>
    <x v="5"/>
    <x v="6"/>
    <s v="LT_A"/>
    <x v="0"/>
    <x v="0"/>
    <s v="WI-L10"/>
    <x v="5"/>
    <x v="3"/>
    <n v="0.18293788347822901"/>
    <n v="11.1287212449256"/>
    <n v="40.063396481732099"/>
  </r>
  <r>
    <x v="0"/>
    <x v="0"/>
    <x v="0"/>
    <x v="5"/>
    <x v="6"/>
    <s v="LT_A"/>
    <x v="0"/>
    <x v="0"/>
    <s v="WI-L10"/>
    <x v="5"/>
    <x v="4"/>
    <n v="0.36587576695645702"/>
    <n v="22.257442489851201"/>
    <n v="80.126792963464197"/>
  </r>
  <r>
    <x v="0"/>
    <x v="0"/>
    <x v="0"/>
    <x v="5"/>
    <x v="6"/>
    <s v="LT_A"/>
    <x v="0"/>
    <x v="0"/>
    <s v="WI-L10"/>
    <x v="5"/>
    <x v="5"/>
    <n v="0.18293788347822901"/>
    <n v="11.1287212449256"/>
    <n v="40.063396481732099"/>
  </r>
  <r>
    <x v="0"/>
    <x v="0"/>
    <x v="0"/>
    <x v="5"/>
    <x v="6"/>
    <s v="LT_A"/>
    <x v="0"/>
    <x v="0"/>
    <s v="WI-L10"/>
    <x v="5"/>
    <x v="6"/>
    <n v="0.18293788347822901"/>
    <n v="11.1287212449256"/>
    <n v="40.063396481732099"/>
  </r>
  <r>
    <x v="0"/>
    <x v="0"/>
    <x v="0"/>
    <x v="5"/>
    <x v="6"/>
    <s v="LT_A"/>
    <x v="0"/>
    <x v="0"/>
    <s v="WI-L10"/>
    <x v="5"/>
    <x v="7"/>
    <n v="6.9516395721726898"/>
    <n v="422.89140730717202"/>
    <n v="1522.40906630582"/>
  </r>
  <r>
    <x v="0"/>
    <x v="0"/>
    <x v="0"/>
    <x v="5"/>
    <x v="6"/>
    <s v="LT_A"/>
    <x v="0"/>
    <x v="0"/>
    <s v="WI-L10"/>
    <x v="5"/>
    <x v="8"/>
    <n v="14.8179685617365"/>
    <n v="901.42642083897204"/>
    <n v="3245.1351150203"/>
  </r>
  <r>
    <x v="0"/>
    <x v="0"/>
    <x v="0"/>
    <x v="5"/>
    <x v="6"/>
    <s v="LT_A"/>
    <x v="0"/>
    <x v="0"/>
    <s v="WI-L10"/>
    <x v="5"/>
    <x v="9"/>
    <n v="30.9165023078206"/>
    <n v="1880.7538903924201"/>
    <n v="6770.7140054127203"/>
  </r>
  <r>
    <x v="0"/>
    <x v="0"/>
    <x v="0"/>
    <x v="5"/>
    <x v="6"/>
    <s v="LT_A"/>
    <x v="0"/>
    <x v="0"/>
    <s v="WI-L10"/>
    <x v="5"/>
    <x v="10"/>
    <n v="28.538309822603701"/>
    <n v="1736.08051420839"/>
    <n v="6249.8898511502002"/>
  </r>
  <r>
    <x v="0"/>
    <x v="0"/>
    <x v="0"/>
    <x v="5"/>
    <x v="6"/>
    <s v="LT_A"/>
    <x v="0"/>
    <x v="0"/>
    <s v="WI-L10"/>
    <x v="5"/>
    <x v="11"/>
    <n v="0.36587576695645702"/>
    <n v="22.257442489851201"/>
    <n v="80.126792963464197"/>
  </r>
  <r>
    <x v="0"/>
    <x v="0"/>
    <x v="0"/>
    <x v="5"/>
    <x v="6"/>
    <s v="LT_A"/>
    <x v="0"/>
    <x v="0"/>
    <s v="WI-L10"/>
    <x v="6"/>
    <x v="0"/>
    <n v="31.2823780747771"/>
    <n v="1903.0113328822699"/>
    <n v="6850.8407983761899"/>
  </r>
  <r>
    <x v="0"/>
    <x v="0"/>
    <x v="0"/>
    <x v="5"/>
    <x v="6"/>
    <s v="LT_A"/>
    <x v="0"/>
    <x v="0"/>
    <s v="WI-L10"/>
    <x v="6"/>
    <x v="1"/>
    <n v="28.7212477060819"/>
    <n v="1747.2092354533199"/>
    <n v="6289.95324763194"/>
  </r>
  <r>
    <x v="0"/>
    <x v="0"/>
    <x v="0"/>
    <x v="5"/>
    <x v="6"/>
    <s v="LT_A"/>
    <x v="0"/>
    <x v="0"/>
    <s v="WI-L10"/>
    <x v="6"/>
    <x v="2"/>
    <n v="30.367688657386001"/>
    <n v="1847.3677266576501"/>
    <n v="6650.52381596753"/>
  </r>
  <r>
    <x v="0"/>
    <x v="0"/>
    <x v="0"/>
    <x v="5"/>
    <x v="6"/>
    <s v="LT_A"/>
    <x v="0"/>
    <x v="0"/>
    <s v="WI-L10"/>
    <x v="6"/>
    <x v="3"/>
    <n v="34.758197860863397"/>
    <n v="2114.45703653586"/>
    <n v="7612.0453315290997"/>
  </r>
  <r>
    <x v="0"/>
    <x v="0"/>
    <x v="0"/>
    <x v="5"/>
    <x v="6"/>
    <s v="LT_A"/>
    <x v="0"/>
    <x v="0"/>
    <s v="WI-L10"/>
    <x v="6"/>
    <x v="4"/>
    <n v="26.343055220864901"/>
    <n v="1602.5358592692801"/>
    <n v="5769.1290933694199"/>
  </r>
  <r>
    <x v="0"/>
    <x v="0"/>
    <x v="0"/>
    <x v="5"/>
    <x v="6"/>
    <s v="LT_A"/>
    <x v="0"/>
    <x v="0"/>
    <s v="WI-L10"/>
    <x v="6"/>
    <x v="5"/>
    <n v="27.623620405212499"/>
    <n v="1680.43690798376"/>
    <n v="6049.5728687415403"/>
  </r>
  <r>
    <x v="0"/>
    <x v="0"/>
    <x v="0"/>
    <x v="5"/>
    <x v="6"/>
    <s v="LT_A"/>
    <x v="0"/>
    <x v="0"/>
    <s v="WI-L10"/>
    <x v="6"/>
    <x v="6"/>
    <n v="30.367688657386001"/>
    <n v="1847.3677266576501"/>
    <n v="6650.52381596753"/>
  </r>
  <r>
    <x v="0"/>
    <x v="0"/>
    <x v="0"/>
    <x v="5"/>
    <x v="6"/>
    <s v="LT_A"/>
    <x v="0"/>
    <x v="0"/>
    <s v="WI-L10"/>
    <x v="6"/>
    <x v="7"/>
    <n v="35.489949394776403"/>
    <n v="2158.9719215155601"/>
    <n v="7772.2989174560198"/>
  </r>
  <r>
    <x v="0"/>
    <x v="0"/>
    <x v="0"/>
    <x v="5"/>
    <x v="6"/>
    <s v="LT_A"/>
    <x v="0"/>
    <x v="0"/>
    <s v="WI-L10"/>
    <x v="6"/>
    <x v="8"/>
    <n v="36.770514579123997"/>
    <n v="2236.8729702300402"/>
    <n v="8052.7426928281502"/>
  </r>
  <r>
    <x v="0"/>
    <x v="0"/>
    <x v="0"/>
    <x v="5"/>
    <x v="6"/>
    <s v="LT_A"/>
    <x v="0"/>
    <x v="0"/>
    <s v="WI-L10"/>
    <x v="6"/>
    <x v="9"/>
    <n v="35.3070115112981"/>
    <n v="2147.84320027064"/>
    <n v="7732.23552097429"/>
  </r>
  <r>
    <x v="0"/>
    <x v="0"/>
    <x v="0"/>
    <x v="5"/>
    <x v="6"/>
    <s v="LT_A"/>
    <x v="0"/>
    <x v="0"/>
    <s v="WI-L10"/>
    <x v="6"/>
    <x v="10"/>
    <n v="31.465315958255299"/>
    <n v="1914.1400541272001"/>
    <n v="6890.9041948579197"/>
  </r>
  <r>
    <x v="0"/>
    <x v="0"/>
    <x v="0"/>
    <x v="5"/>
    <x v="6"/>
    <s v="LT_A"/>
    <x v="0"/>
    <x v="0"/>
    <s v="WI-L10"/>
    <x v="6"/>
    <x v="11"/>
    <n v="25.611303686951999"/>
    <n v="1558.02097428958"/>
    <n v="5608.8755074424898"/>
  </r>
  <r>
    <x v="0"/>
    <x v="0"/>
    <x v="0"/>
    <x v="5"/>
    <x v="6"/>
    <s v="LT_A"/>
    <x v="0"/>
    <x v="0"/>
    <s v="WI-L10"/>
    <x v="7"/>
    <x v="0"/>
    <n v="10.610397241737299"/>
    <n v="645.46583220568402"/>
    <n v="2323.6769959404601"/>
  </r>
  <r>
    <x v="0"/>
    <x v="0"/>
    <x v="0"/>
    <x v="5"/>
    <x v="6"/>
    <s v="LT_A"/>
    <x v="0"/>
    <x v="0"/>
    <s v="WI-L10"/>
    <x v="7"/>
    <x v="1"/>
    <n v="10.2445214747808"/>
    <n v="623.20838971583203"/>
    <n v="2243.550202977"/>
  </r>
  <r>
    <x v="0"/>
    <x v="0"/>
    <x v="0"/>
    <x v="5"/>
    <x v="6"/>
    <s v="LT_A"/>
    <x v="0"/>
    <x v="0"/>
    <s v="WI-L10"/>
    <x v="7"/>
    <x v="2"/>
    <n v="9.1468941739114307"/>
    <n v="556.43606224627899"/>
    <n v="2003.1698240866001"/>
  </r>
  <r>
    <x v="0"/>
    <x v="0"/>
    <x v="0"/>
    <x v="5"/>
    <x v="6"/>
    <s v="LT_A"/>
    <x v="0"/>
    <x v="0"/>
    <s v="WI-L10"/>
    <x v="7"/>
    <x v="3"/>
    <n v="8.5980805234767494"/>
    <n v="523.04989851150197"/>
    <n v="1882.97963464141"/>
  </r>
  <r>
    <x v="0"/>
    <x v="0"/>
    <x v="0"/>
    <x v="5"/>
    <x v="6"/>
    <s v="LT_A"/>
    <x v="0"/>
    <x v="0"/>
    <s v="WI-L10"/>
    <x v="7"/>
    <x v="4"/>
    <n v="18.4767262313011"/>
    <n v="1124.0008457374799"/>
    <n v="4046.40304465494"/>
  </r>
  <r>
    <x v="0"/>
    <x v="0"/>
    <x v="0"/>
    <x v="5"/>
    <x v="6"/>
    <s v="LT_A"/>
    <x v="0"/>
    <x v="0"/>
    <s v="WI-L10"/>
    <x v="7"/>
    <x v="5"/>
    <n v="31.648253841733599"/>
    <n v="1925.26877537213"/>
    <n v="6930.9675913396504"/>
  </r>
  <r>
    <x v="0"/>
    <x v="0"/>
    <x v="0"/>
    <x v="5"/>
    <x v="6"/>
    <s v="LT_A"/>
    <x v="0"/>
    <x v="0"/>
    <s v="WI-L10"/>
    <x v="7"/>
    <x v="6"/>
    <n v="23.598986968691499"/>
    <n v="1435.6050405953999"/>
    <n v="5168.1781461434402"/>
  </r>
  <r>
    <x v="0"/>
    <x v="0"/>
    <x v="0"/>
    <x v="5"/>
    <x v="6"/>
    <s v="LT_A"/>
    <x v="0"/>
    <x v="0"/>
    <s v="WI-L10"/>
    <x v="7"/>
    <x v="7"/>
    <n v="18.6596641147793"/>
    <n v="1135.1295669824101"/>
    <n v="4086.4664411366698"/>
  </r>
  <r>
    <x v="0"/>
    <x v="0"/>
    <x v="0"/>
    <x v="5"/>
    <x v="6"/>
    <s v="LT_A"/>
    <x v="0"/>
    <x v="0"/>
    <s v="WI-L10"/>
    <x v="7"/>
    <x v="8"/>
    <n v="15.183844328693"/>
    <n v="923.68386332882301"/>
    <n v="3325.26190798376"/>
  </r>
  <r>
    <x v="0"/>
    <x v="0"/>
    <x v="0"/>
    <x v="5"/>
    <x v="6"/>
    <s v="LT_A"/>
    <x v="0"/>
    <x v="0"/>
    <s v="WI-L10"/>
    <x v="7"/>
    <x v="9"/>
    <n v="12.4397760765195"/>
    <n v="756.753044654939"/>
    <n v="2724.3109607577799"/>
  </r>
  <r>
    <x v="0"/>
    <x v="0"/>
    <x v="0"/>
    <x v="5"/>
    <x v="6"/>
    <s v="LT_A"/>
    <x v="0"/>
    <x v="0"/>
    <s v="WI-L10"/>
    <x v="7"/>
    <x v="10"/>
    <n v="13.3544654939107"/>
    <n v="812.39665087956701"/>
    <n v="2924.6279431664402"/>
  </r>
  <r>
    <x v="0"/>
    <x v="0"/>
    <x v="0"/>
    <x v="5"/>
    <x v="6"/>
    <s v="LT_A"/>
    <x v="0"/>
    <x v="0"/>
    <s v="WI-L10"/>
    <x v="7"/>
    <x v="11"/>
    <n v="11.3421487756502"/>
    <n v="689.98071718538597"/>
    <n v="2483.9305818673902"/>
  </r>
  <r>
    <x v="0"/>
    <x v="0"/>
    <x v="0"/>
    <x v="5"/>
    <x v="6"/>
    <s v="LT_A"/>
    <x v="0"/>
    <x v="0"/>
    <s v="WI-L10"/>
    <x v="8"/>
    <x v="0"/>
    <n v="51.4055452573823"/>
    <n v="3127.1706698240901"/>
    <n v="11257.8144113667"/>
  </r>
  <r>
    <x v="0"/>
    <x v="0"/>
    <x v="0"/>
    <x v="5"/>
    <x v="6"/>
    <s v="LT_A"/>
    <x v="0"/>
    <x v="0"/>
    <s v="WI-L10"/>
    <x v="8"/>
    <x v="1"/>
    <n v="50.124980073034699"/>
    <n v="3049.2696211096099"/>
    <n v="10977.370635994601"/>
  </r>
  <r>
    <x v="0"/>
    <x v="0"/>
    <x v="0"/>
    <x v="5"/>
    <x v="6"/>
    <s v="LT_A"/>
    <x v="0"/>
    <x v="0"/>
    <s v="WI-L10"/>
    <x v="8"/>
    <x v="2"/>
    <n v="39.514582831297403"/>
    <n v="2403.8037889039301"/>
    <n v="8653.6936400541308"/>
  </r>
  <r>
    <x v="0"/>
    <x v="0"/>
    <x v="0"/>
    <x v="5"/>
    <x v="6"/>
    <s v="LT_A"/>
    <x v="0"/>
    <x v="0"/>
    <s v="WI-L10"/>
    <x v="8"/>
    <x v="3"/>
    <n v="36.770514579123997"/>
    <n v="2236.8729702300402"/>
    <n v="8052.7426928281502"/>
  </r>
  <r>
    <x v="0"/>
    <x v="0"/>
    <x v="0"/>
    <x v="5"/>
    <x v="6"/>
    <s v="LT_A"/>
    <x v="0"/>
    <x v="0"/>
    <s v="WI-L10"/>
    <x v="8"/>
    <x v="4"/>
    <n v="38.234017646949802"/>
    <n v="2325.90274018945"/>
    <n v="8373.2498646820004"/>
  </r>
  <r>
    <x v="0"/>
    <x v="0"/>
    <x v="0"/>
    <x v="5"/>
    <x v="6"/>
    <s v="LT_A"/>
    <x v="0"/>
    <x v="0"/>
    <s v="WI-L10"/>
    <x v="8"/>
    <x v="5"/>
    <n v="43.173340500861997"/>
    <n v="2626.3782138024399"/>
    <n v="9454.9615696887704"/>
  </r>
  <r>
    <x v="0"/>
    <x v="0"/>
    <x v="0"/>
    <x v="5"/>
    <x v="6"/>
    <s v="LT_A"/>
    <x v="0"/>
    <x v="0"/>
    <s v="WI-L10"/>
    <x v="8"/>
    <x v="6"/>
    <n v="43.173340500861997"/>
    <n v="2626.3782138024399"/>
    <n v="9454.9615696887704"/>
  </r>
  <r>
    <x v="0"/>
    <x v="0"/>
    <x v="0"/>
    <x v="5"/>
    <x v="6"/>
    <s v="LT_A"/>
    <x v="0"/>
    <x v="0"/>
    <s v="WI-L10"/>
    <x v="8"/>
    <x v="7"/>
    <n v="36.770514579123997"/>
    <n v="2236.8729702300402"/>
    <n v="8052.7426928281502"/>
  </r>
  <r>
    <x v="0"/>
    <x v="0"/>
    <x v="0"/>
    <x v="5"/>
    <x v="6"/>
    <s v="LT_A"/>
    <x v="0"/>
    <x v="0"/>
    <s v="WI-L10"/>
    <x v="8"/>
    <x v="8"/>
    <n v="38.782831297384497"/>
    <n v="2359.28890392422"/>
    <n v="8493.4400541272007"/>
  </r>
  <r>
    <x v="0"/>
    <x v="0"/>
    <x v="0"/>
    <x v="5"/>
    <x v="6"/>
    <s v="LT_A"/>
    <x v="0"/>
    <x v="0"/>
    <s v="WI-L10"/>
    <x v="8"/>
    <x v="9"/>
    <n v="37.868141879993303"/>
    <n v="2303.6452976995902"/>
    <n v="8293.1230717185408"/>
  </r>
  <r>
    <x v="0"/>
    <x v="0"/>
    <x v="0"/>
    <x v="5"/>
    <x v="6"/>
    <s v="LT_A"/>
    <x v="0"/>
    <x v="0"/>
    <s v="WI-L10"/>
    <x v="8"/>
    <x v="10"/>
    <n v="34.392322093906998"/>
    <n v="2092.1995940460101"/>
    <n v="7531.9185385656301"/>
  </r>
  <r>
    <x v="0"/>
    <x v="0"/>
    <x v="0"/>
    <x v="5"/>
    <x v="6"/>
    <s v="LT_A"/>
    <x v="0"/>
    <x v="0"/>
    <s v="WI-L10"/>
    <x v="8"/>
    <x v="11"/>
    <n v="33.477632676515803"/>
    <n v="2036.5559878213801"/>
    <n v="7331.6015561569702"/>
  </r>
  <r>
    <x v="0"/>
    <x v="0"/>
    <x v="0"/>
    <x v="5"/>
    <x v="6"/>
    <s v="LT_A"/>
    <x v="0"/>
    <x v="0"/>
    <s v="WI-L10"/>
    <x v="9"/>
    <x v="0"/>
    <n v="5.4881365043468602"/>
    <n v="333.86163734776699"/>
    <n v="1201.9018944519601"/>
  </r>
  <r>
    <x v="0"/>
    <x v="0"/>
    <x v="0"/>
    <x v="5"/>
    <x v="6"/>
    <s v="LT_A"/>
    <x v="0"/>
    <x v="0"/>
    <s v="WI-L10"/>
    <x v="9"/>
    <x v="1"/>
    <n v="4.0246334365210297"/>
    <n v="244.83186738836301"/>
    <n v="881.394722598106"/>
  </r>
  <r>
    <x v="0"/>
    <x v="0"/>
    <x v="0"/>
    <x v="5"/>
    <x v="6"/>
    <s v="LT_A"/>
    <x v="0"/>
    <x v="0"/>
    <s v="WI-L10"/>
    <x v="9"/>
    <x v="2"/>
    <n v="2.5611303686952001"/>
    <n v="155.80209742895801"/>
    <n v="560.88755074424898"/>
  </r>
  <r>
    <x v="0"/>
    <x v="0"/>
    <x v="0"/>
    <x v="5"/>
    <x v="6"/>
    <s v="LT_A"/>
    <x v="0"/>
    <x v="0"/>
    <s v="WI-L10"/>
    <x v="9"/>
    <x v="3"/>
    <n v="2.0123167182605202"/>
    <n v="122.41593369418101"/>
    <n v="440.697361299053"/>
  </r>
  <r>
    <x v="0"/>
    <x v="0"/>
    <x v="0"/>
    <x v="5"/>
    <x v="6"/>
    <s v="LT_A"/>
    <x v="0"/>
    <x v="0"/>
    <s v="WI-L10"/>
    <x v="9"/>
    <x v="4"/>
    <n v="4.7563849704339498"/>
    <n v="289.34675236806498"/>
    <n v="1041.64830852503"/>
  </r>
  <r>
    <x v="0"/>
    <x v="0"/>
    <x v="0"/>
    <x v="5"/>
    <x v="6"/>
    <s v="LT_A"/>
    <x v="0"/>
    <x v="0"/>
    <s v="WI-L10"/>
    <x v="9"/>
    <x v="5"/>
    <n v="1.2805651843476"/>
    <n v="77.901048714479003"/>
    <n v="280.443775372125"/>
  </r>
  <r>
    <x v="0"/>
    <x v="0"/>
    <x v="0"/>
    <x v="5"/>
    <x v="6"/>
    <s v="LT_A"/>
    <x v="0"/>
    <x v="0"/>
    <s v="WI-L10"/>
    <x v="9"/>
    <x v="6"/>
    <n v="0.36587576695645702"/>
    <n v="22.257442489851201"/>
    <n v="80.126792963464197"/>
  </r>
  <r>
    <x v="0"/>
    <x v="0"/>
    <x v="0"/>
    <x v="5"/>
    <x v="6"/>
    <s v="LT_A"/>
    <x v="0"/>
    <x v="0"/>
    <s v="WI-L10"/>
    <x v="9"/>
    <x v="7"/>
    <n v="0.36587576695645702"/>
    <n v="22.257442489851201"/>
    <n v="80.126792963464197"/>
  </r>
  <r>
    <x v="0"/>
    <x v="0"/>
    <x v="0"/>
    <x v="5"/>
    <x v="6"/>
    <s v="LT_A"/>
    <x v="0"/>
    <x v="0"/>
    <s v="WI-L10"/>
    <x v="9"/>
    <x v="8"/>
    <n v="0.36587576695645702"/>
    <n v="22.257442489851201"/>
    <n v="80.126792963464197"/>
  </r>
  <r>
    <x v="0"/>
    <x v="0"/>
    <x v="0"/>
    <x v="5"/>
    <x v="6"/>
    <s v="LT_A"/>
    <x v="0"/>
    <x v="0"/>
    <s v="WI-L10"/>
    <x v="9"/>
    <x v="9"/>
    <n v="0.36587576695645702"/>
    <n v="22.257442489851201"/>
    <n v="80.126792963464197"/>
  </r>
  <r>
    <x v="0"/>
    <x v="0"/>
    <x v="0"/>
    <x v="5"/>
    <x v="6"/>
    <s v="LT_A"/>
    <x v="0"/>
    <x v="0"/>
    <s v="WI-L10"/>
    <x v="9"/>
    <x v="10"/>
    <n v="0.18293788347822901"/>
    <n v="11.1287212449256"/>
    <n v="40.063396481732099"/>
  </r>
  <r>
    <x v="0"/>
    <x v="0"/>
    <x v="0"/>
    <x v="5"/>
    <x v="6"/>
    <s v="LT_A"/>
    <x v="0"/>
    <x v="0"/>
    <s v="WI-L10"/>
    <x v="9"/>
    <x v="11"/>
    <n v="0.548813650434686"/>
    <n v="33.386163734776702"/>
    <n v="120.190189445196"/>
  </r>
  <r>
    <x v="0"/>
    <x v="0"/>
    <x v="0"/>
    <x v="5"/>
    <x v="6"/>
    <s v="LT_A"/>
    <x v="0"/>
    <x v="0"/>
    <s v="WI-L10"/>
    <x v="10"/>
    <x v="0"/>
    <n v="19.025539881735799"/>
    <n v="1157.3870094722599"/>
    <n v="4166.5932341001399"/>
  </r>
  <r>
    <x v="0"/>
    <x v="0"/>
    <x v="0"/>
    <x v="5"/>
    <x v="6"/>
    <s v="LT_A"/>
    <x v="0"/>
    <x v="0"/>
    <s v="WI-L10"/>
    <x v="10"/>
    <x v="1"/>
    <n v="24.330738502604401"/>
    <n v="1480.1199255751001"/>
    <n v="5328.4317320703703"/>
  </r>
  <r>
    <x v="0"/>
    <x v="0"/>
    <x v="0"/>
    <x v="5"/>
    <x v="6"/>
    <s v="LT_A"/>
    <x v="0"/>
    <x v="0"/>
    <s v="WI-L10"/>
    <x v="10"/>
    <x v="2"/>
    <n v="21.403732366952799"/>
    <n v="1302.06038565629"/>
    <n v="4687.4173883626499"/>
  </r>
  <r>
    <x v="0"/>
    <x v="0"/>
    <x v="0"/>
    <x v="5"/>
    <x v="6"/>
    <s v="LT_A"/>
    <x v="0"/>
    <x v="0"/>
    <s v="WI-L10"/>
    <x v="10"/>
    <x v="3"/>
    <n v="12.988589726954199"/>
    <n v="790.13920838971603"/>
    <n v="2844.5011502029802"/>
  </r>
  <r>
    <x v="0"/>
    <x v="0"/>
    <x v="0"/>
    <x v="5"/>
    <x v="6"/>
    <s v="LT_A"/>
    <x v="0"/>
    <x v="0"/>
    <s v="WI-L10"/>
    <x v="10"/>
    <x v="4"/>
    <n v="12.073900309563101"/>
    <n v="734.49560216508803"/>
    <n v="2644.1841677943198"/>
  </r>
  <r>
    <x v="0"/>
    <x v="0"/>
    <x v="0"/>
    <x v="5"/>
    <x v="6"/>
    <s v="LT_A"/>
    <x v="0"/>
    <x v="0"/>
    <s v="WI-L10"/>
    <x v="10"/>
    <x v="5"/>
    <n v="8.4151426399985194"/>
    <n v="511.92117726657699"/>
    <n v="1842.91623815968"/>
  </r>
  <r>
    <x v="0"/>
    <x v="0"/>
    <x v="0"/>
    <x v="5"/>
    <x v="6"/>
    <s v="LT_A"/>
    <x v="0"/>
    <x v="0"/>
    <s v="WI-L10"/>
    <x v="10"/>
    <x v="6"/>
    <n v="14.269154911301801"/>
    <n v="868.04025710419501"/>
    <n v="3124.9449255751001"/>
  </r>
  <r>
    <x v="0"/>
    <x v="0"/>
    <x v="0"/>
    <x v="5"/>
    <x v="6"/>
    <s v="LT_A"/>
    <x v="0"/>
    <x v="0"/>
    <s v="WI-L10"/>
    <x v="10"/>
    <x v="7"/>
    <n v="13.720341260867199"/>
    <n v="834.65409336941798"/>
    <n v="3004.7547361299098"/>
  </r>
  <r>
    <x v="0"/>
    <x v="0"/>
    <x v="0"/>
    <x v="5"/>
    <x v="6"/>
    <s v="LT_A"/>
    <x v="0"/>
    <x v="0"/>
    <s v="WI-L10"/>
    <x v="10"/>
    <x v="8"/>
    <n v="10.2445214747808"/>
    <n v="623.20838971583203"/>
    <n v="2243.550202977"/>
  </r>
  <r>
    <x v="0"/>
    <x v="0"/>
    <x v="0"/>
    <x v="5"/>
    <x v="6"/>
    <s v="LT_A"/>
    <x v="0"/>
    <x v="0"/>
    <s v="WI-L10"/>
    <x v="10"/>
    <x v="9"/>
    <n v="7.8663289895638302"/>
    <n v="478.53501353180002"/>
    <n v="1722.7260487144799"/>
  </r>
  <r>
    <x v="0"/>
    <x v="0"/>
    <x v="0"/>
    <x v="5"/>
    <x v="6"/>
    <s v="LT_A"/>
    <x v="0"/>
    <x v="0"/>
    <s v="WI-L10"/>
    <x v="10"/>
    <x v="10"/>
    <n v="13.720341260867199"/>
    <n v="834.65409336941798"/>
    <n v="3004.7547361299098"/>
  </r>
  <r>
    <x v="0"/>
    <x v="0"/>
    <x v="0"/>
    <x v="5"/>
    <x v="6"/>
    <s v="LT_A"/>
    <x v="0"/>
    <x v="0"/>
    <s v="WI-L10"/>
    <x v="10"/>
    <x v="11"/>
    <n v="11.7080245426066"/>
    <n v="712.23815967523694"/>
    <n v="2564.0573748308502"/>
  </r>
  <r>
    <x v="0"/>
    <x v="0"/>
    <x v="0"/>
    <x v="5"/>
    <x v="6"/>
    <s v="LT_A"/>
    <x v="0"/>
    <x v="0"/>
    <s v="WI-L10"/>
    <x v="11"/>
    <x v="0"/>
    <n v="78.480352012160097"/>
    <n v="4774.2214140730703"/>
    <n v="17187.1970906631"/>
  </r>
  <r>
    <x v="0"/>
    <x v="0"/>
    <x v="0"/>
    <x v="5"/>
    <x v="6"/>
    <s v="LT_A"/>
    <x v="0"/>
    <x v="0"/>
    <s v="WI-L10"/>
    <x v="11"/>
    <x v="1"/>
    <n v="79.029165662594806"/>
    <n v="4807.6075778078502"/>
    <n v="17307.387280108302"/>
  </r>
  <r>
    <x v="0"/>
    <x v="0"/>
    <x v="0"/>
    <x v="5"/>
    <x v="6"/>
    <s v="LT_A"/>
    <x v="0"/>
    <x v="0"/>
    <s v="WI-L10"/>
    <x v="11"/>
    <x v="2"/>
    <n v="78.6632898956383"/>
    <n v="4785.350135318"/>
    <n v="17227.260487144798"/>
  </r>
  <r>
    <x v="0"/>
    <x v="0"/>
    <x v="0"/>
    <x v="5"/>
    <x v="6"/>
    <s v="LT_A"/>
    <x v="0"/>
    <x v="0"/>
    <s v="WI-L10"/>
    <x v="11"/>
    <x v="3"/>
    <n v="79.577979313029502"/>
    <n v="4840.9937415426302"/>
    <n v="17427.5774695535"/>
  </r>
  <r>
    <x v="0"/>
    <x v="0"/>
    <x v="0"/>
    <x v="5"/>
    <x v="6"/>
    <s v="LT_A"/>
    <x v="0"/>
    <x v="0"/>
    <s v="WI-L10"/>
    <x v="11"/>
    <x v="4"/>
    <n v="79.760917196507705"/>
    <n v="4852.1224627875499"/>
    <n v="17467.640866035199"/>
  </r>
  <r>
    <x v="0"/>
    <x v="0"/>
    <x v="0"/>
    <x v="5"/>
    <x v="6"/>
    <s v="LT_A"/>
    <x v="0"/>
    <x v="0"/>
    <s v="WI-L10"/>
    <x v="11"/>
    <x v="5"/>
    <n v="79.760917196507705"/>
    <n v="4852.1224627875499"/>
    <n v="17467.640866035199"/>
  </r>
  <r>
    <x v="0"/>
    <x v="0"/>
    <x v="0"/>
    <x v="5"/>
    <x v="6"/>
    <s v="LT_A"/>
    <x v="0"/>
    <x v="0"/>
    <s v="WI-L10"/>
    <x v="11"/>
    <x v="6"/>
    <n v="79.943855079985894"/>
    <n v="4863.2511840324796"/>
    <n v="17507.704262516902"/>
  </r>
  <r>
    <x v="0"/>
    <x v="0"/>
    <x v="0"/>
    <x v="5"/>
    <x v="6"/>
    <s v="LT_A"/>
    <x v="0"/>
    <x v="0"/>
    <s v="WI-L10"/>
    <x v="11"/>
    <x v="7"/>
    <n v="80.126792963464098"/>
    <n v="4874.3799052774002"/>
    <n v="17547.7676589986"/>
  </r>
  <r>
    <x v="0"/>
    <x v="0"/>
    <x v="0"/>
    <x v="5"/>
    <x v="6"/>
    <s v="LT_A"/>
    <x v="0"/>
    <x v="0"/>
    <s v="WI-L10"/>
    <x v="11"/>
    <x v="8"/>
    <n v="80.492668730420604"/>
    <n v="4896.6373477672496"/>
    <n v="17627.8944519621"/>
  </r>
  <r>
    <x v="0"/>
    <x v="0"/>
    <x v="0"/>
    <x v="5"/>
    <x v="6"/>
    <s v="LT_A"/>
    <x v="0"/>
    <x v="0"/>
    <s v="WI-L10"/>
    <x v="11"/>
    <x v="9"/>
    <n v="80.675606613898793"/>
    <n v="4907.7660690121802"/>
    <n v="17667.957848443799"/>
  </r>
  <r>
    <x v="0"/>
    <x v="0"/>
    <x v="0"/>
    <x v="5"/>
    <x v="6"/>
    <s v="LT_A"/>
    <x v="0"/>
    <x v="0"/>
    <s v="WI-L10"/>
    <x v="11"/>
    <x v="10"/>
    <n v="78.6632898956383"/>
    <n v="4785.350135318"/>
    <n v="17227.260487144798"/>
  </r>
  <r>
    <x v="0"/>
    <x v="0"/>
    <x v="0"/>
    <x v="5"/>
    <x v="6"/>
    <s v="LT_A"/>
    <x v="0"/>
    <x v="0"/>
    <s v="WI-L10"/>
    <x v="11"/>
    <x v="11"/>
    <n v="68.2358305373793"/>
    <n v="4151.0130243572403"/>
    <n v="14943.6468876861"/>
  </r>
  <r>
    <x v="0"/>
    <x v="0"/>
    <x v="0"/>
    <x v="5"/>
    <x v="6"/>
    <s v="LT_A1"/>
    <x v="2"/>
    <x v="2"/>
    <s v="GETOH_HEATPUMP"/>
    <x v="0"/>
    <x v="1"/>
    <n v="12.962962962962999"/>
    <n v="788.58024691358003"/>
    <n v="2838.8888888888901"/>
  </r>
  <r>
    <x v="0"/>
    <x v="0"/>
    <x v="0"/>
    <x v="5"/>
    <x v="6"/>
    <s v="LT_A1"/>
    <x v="2"/>
    <x v="2"/>
    <s v="GETOH_HEATPUMP"/>
    <x v="0"/>
    <x v="2"/>
    <n v="12.962962962962999"/>
    <n v="788.58024691358003"/>
    <n v="2838.8888888888901"/>
  </r>
  <r>
    <x v="0"/>
    <x v="0"/>
    <x v="0"/>
    <x v="5"/>
    <x v="6"/>
    <s v="LT_A1"/>
    <x v="2"/>
    <x v="2"/>
    <s v="GETOH_HEATPUMP"/>
    <x v="0"/>
    <x v="3"/>
    <n v="12.962962962962999"/>
    <n v="788.58024691358003"/>
    <n v="2838.8888888888901"/>
  </r>
  <r>
    <x v="0"/>
    <x v="0"/>
    <x v="0"/>
    <x v="5"/>
    <x v="6"/>
    <s v="LT_A1"/>
    <x v="2"/>
    <x v="2"/>
    <s v="GETOH_HEATPUMP"/>
    <x v="0"/>
    <x v="4"/>
    <n v="12.962962962962999"/>
    <n v="788.58024691358003"/>
    <n v="2838.8888888888901"/>
  </r>
  <r>
    <x v="0"/>
    <x v="0"/>
    <x v="0"/>
    <x v="5"/>
    <x v="6"/>
    <s v="LT_A1"/>
    <x v="2"/>
    <x v="2"/>
    <s v="GETOH_HEATPUMP"/>
    <x v="0"/>
    <x v="5"/>
    <n v="12.962962962962999"/>
    <n v="788.58024691358003"/>
    <n v="2838.8888888888901"/>
  </r>
  <r>
    <x v="0"/>
    <x v="0"/>
    <x v="0"/>
    <x v="5"/>
    <x v="6"/>
    <s v="LT_A1"/>
    <x v="2"/>
    <x v="2"/>
    <s v="GETOH_HEATPUMP"/>
    <x v="0"/>
    <x v="6"/>
    <n v="12.962962962962999"/>
    <n v="788.58024691358003"/>
    <n v="2838.8888888888901"/>
  </r>
  <r>
    <x v="0"/>
    <x v="0"/>
    <x v="0"/>
    <x v="5"/>
    <x v="6"/>
    <s v="LT_A1"/>
    <x v="2"/>
    <x v="2"/>
    <s v="GETOH_HEATPUMP"/>
    <x v="0"/>
    <x v="7"/>
    <n v="12.962962962962999"/>
    <n v="788.58024691358003"/>
    <n v="2838.8888888888901"/>
  </r>
  <r>
    <x v="0"/>
    <x v="0"/>
    <x v="0"/>
    <x v="5"/>
    <x v="6"/>
    <s v="LT_A1"/>
    <x v="2"/>
    <x v="2"/>
    <s v="GETOH_HEATPUMP"/>
    <x v="0"/>
    <x v="8"/>
    <n v="12.962962962962999"/>
    <n v="788.58024691358003"/>
    <n v="2838.8888888888901"/>
  </r>
  <r>
    <x v="0"/>
    <x v="0"/>
    <x v="0"/>
    <x v="5"/>
    <x v="6"/>
    <s v="LT_A1"/>
    <x v="2"/>
    <x v="2"/>
    <s v="GETOH_HEATPUMP"/>
    <x v="0"/>
    <x v="9"/>
    <n v="12.962962962962999"/>
    <n v="788.58024691358003"/>
    <n v="2838.8888888888901"/>
  </r>
  <r>
    <x v="0"/>
    <x v="0"/>
    <x v="0"/>
    <x v="5"/>
    <x v="6"/>
    <s v="LT_A1"/>
    <x v="2"/>
    <x v="2"/>
    <s v="GETOH_HEATPUMP"/>
    <x v="0"/>
    <x v="10"/>
    <n v="12.962962962962999"/>
    <n v="788.58024691358003"/>
    <n v="2838.8888888888901"/>
  </r>
  <r>
    <x v="0"/>
    <x v="0"/>
    <x v="0"/>
    <x v="5"/>
    <x v="6"/>
    <s v="LT_A1"/>
    <x v="2"/>
    <x v="2"/>
    <s v="GETOH_HEATPUMP"/>
    <x v="0"/>
    <x v="11"/>
    <n v="12.962962962962999"/>
    <n v="788.58024691358003"/>
    <n v="2838.8888888888901"/>
  </r>
  <r>
    <x v="0"/>
    <x v="0"/>
    <x v="0"/>
    <x v="5"/>
    <x v="6"/>
    <s v="LT_A1"/>
    <x v="2"/>
    <x v="2"/>
    <s v="GETOH_HEATPUMP"/>
    <x v="1"/>
    <x v="0"/>
    <n v="0.10105985357187899"/>
    <n v="6.1478077589559801"/>
    <n v="22.1321079322415"/>
  </r>
  <r>
    <x v="0"/>
    <x v="0"/>
    <x v="0"/>
    <x v="5"/>
    <x v="6"/>
    <s v="LT_A1"/>
    <x v="2"/>
    <x v="2"/>
    <s v="GETOH_HEATPUMP"/>
    <x v="1"/>
    <x v="1"/>
    <n v="12.962962962962999"/>
    <n v="788.58024691358003"/>
    <n v="2838.8888888888901"/>
  </r>
  <r>
    <x v="0"/>
    <x v="0"/>
    <x v="0"/>
    <x v="5"/>
    <x v="6"/>
    <s v="LT_A1"/>
    <x v="2"/>
    <x v="2"/>
    <s v="GETOH_HEATPUMP"/>
    <x v="1"/>
    <x v="2"/>
    <n v="12.962962962962999"/>
    <n v="788.58024691358003"/>
    <n v="2838.8888888888901"/>
  </r>
  <r>
    <x v="0"/>
    <x v="0"/>
    <x v="0"/>
    <x v="5"/>
    <x v="6"/>
    <s v="LT_A1"/>
    <x v="2"/>
    <x v="2"/>
    <s v="GETOH_HEATPUMP"/>
    <x v="1"/>
    <x v="3"/>
    <n v="12.962962962962999"/>
    <n v="788.58024691358003"/>
    <n v="2838.8888888888901"/>
  </r>
  <r>
    <x v="0"/>
    <x v="0"/>
    <x v="0"/>
    <x v="5"/>
    <x v="6"/>
    <s v="LT_A1"/>
    <x v="2"/>
    <x v="2"/>
    <s v="GETOH_HEATPUMP"/>
    <x v="1"/>
    <x v="4"/>
    <n v="12.962962962962999"/>
    <n v="788.58024691358003"/>
    <n v="2838.8888888888901"/>
  </r>
  <r>
    <x v="0"/>
    <x v="0"/>
    <x v="0"/>
    <x v="5"/>
    <x v="6"/>
    <s v="LT_A1"/>
    <x v="2"/>
    <x v="2"/>
    <s v="GETOH_HEATPUMP"/>
    <x v="1"/>
    <x v="5"/>
    <n v="12.2596712085242"/>
    <n v="745.79666518522095"/>
    <n v="2684.8679946667899"/>
  </r>
  <r>
    <x v="0"/>
    <x v="0"/>
    <x v="0"/>
    <x v="5"/>
    <x v="6"/>
    <s v="LT_A1"/>
    <x v="2"/>
    <x v="2"/>
    <s v="GETOH_HEATPUMP"/>
    <x v="2"/>
    <x v="0"/>
    <n v="12.962962962962999"/>
    <n v="788.58024691358003"/>
    <n v="2838.8888888888901"/>
  </r>
  <r>
    <x v="0"/>
    <x v="0"/>
    <x v="0"/>
    <x v="5"/>
    <x v="6"/>
    <s v="LT_A1"/>
    <x v="2"/>
    <x v="2"/>
    <s v="GETOH_HEATPUMP"/>
    <x v="2"/>
    <x v="1"/>
    <n v="12.962962962962999"/>
    <n v="788.58024691358003"/>
    <n v="2838.8888888888901"/>
  </r>
  <r>
    <x v="0"/>
    <x v="0"/>
    <x v="0"/>
    <x v="5"/>
    <x v="6"/>
    <s v="LT_A1"/>
    <x v="2"/>
    <x v="2"/>
    <s v="GETOH_HEATPUMP"/>
    <x v="2"/>
    <x v="2"/>
    <n v="12.962962962962999"/>
    <n v="788.58024691358003"/>
    <n v="2838.8888888888901"/>
  </r>
  <r>
    <x v="0"/>
    <x v="0"/>
    <x v="0"/>
    <x v="5"/>
    <x v="6"/>
    <s v="LT_A1"/>
    <x v="2"/>
    <x v="2"/>
    <s v="GETOH_HEATPUMP"/>
    <x v="2"/>
    <x v="3"/>
    <n v="12.962962962962999"/>
    <n v="788.58024691358003"/>
    <n v="2838.8888888888901"/>
  </r>
  <r>
    <x v="0"/>
    <x v="0"/>
    <x v="0"/>
    <x v="5"/>
    <x v="6"/>
    <s v="LT_A1"/>
    <x v="2"/>
    <x v="2"/>
    <s v="GETOH_HEATPUMP"/>
    <x v="2"/>
    <x v="4"/>
    <n v="12.962962962962999"/>
    <n v="788.58024691358003"/>
    <n v="2838.8888888888901"/>
  </r>
  <r>
    <x v="0"/>
    <x v="0"/>
    <x v="0"/>
    <x v="5"/>
    <x v="6"/>
    <s v="LT_A1"/>
    <x v="2"/>
    <x v="2"/>
    <s v="GETOH_HEATPUMP"/>
    <x v="2"/>
    <x v="5"/>
    <n v="12.962962962962999"/>
    <n v="788.58024691358003"/>
    <n v="2838.8888888888901"/>
  </r>
  <r>
    <x v="0"/>
    <x v="0"/>
    <x v="0"/>
    <x v="5"/>
    <x v="6"/>
    <s v="LT_A1"/>
    <x v="2"/>
    <x v="2"/>
    <s v="GETOH_HEATPUMP"/>
    <x v="3"/>
    <x v="0"/>
    <n v="12.962962962962999"/>
    <n v="788.58024691358003"/>
    <n v="2838.8888888888901"/>
  </r>
  <r>
    <x v="0"/>
    <x v="0"/>
    <x v="0"/>
    <x v="5"/>
    <x v="6"/>
    <s v="LT_A1"/>
    <x v="2"/>
    <x v="2"/>
    <s v="GETOH_HEATPUMP"/>
    <x v="3"/>
    <x v="1"/>
    <n v="12.962962962962999"/>
    <n v="788.58024691358003"/>
    <n v="2838.8888888888901"/>
  </r>
  <r>
    <x v="0"/>
    <x v="0"/>
    <x v="0"/>
    <x v="5"/>
    <x v="6"/>
    <s v="LT_A1"/>
    <x v="2"/>
    <x v="2"/>
    <s v="GETOH_HEATPUMP"/>
    <x v="3"/>
    <x v="2"/>
    <n v="12.962962962962999"/>
    <n v="788.58024691358003"/>
    <n v="2838.8888888888901"/>
  </r>
  <r>
    <x v="0"/>
    <x v="0"/>
    <x v="0"/>
    <x v="5"/>
    <x v="6"/>
    <s v="LT_A1"/>
    <x v="2"/>
    <x v="2"/>
    <s v="GETOH_HEATPUMP"/>
    <x v="3"/>
    <x v="3"/>
    <n v="12.962962962962999"/>
    <n v="788.58024691358003"/>
    <n v="2838.8888888888901"/>
  </r>
  <r>
    <x v="0"/>
    <x v="0"/>
    <x v="0"/>
    <x v="5"/>
    <x v="6"/>
    <s v="LT_A1"/>
    <x v="2"/>
    <x v="2"/>
    <s v="GETOH_HEATPUMP"/>
    <x v="3"/>
    <x v="4"/>
    <n v="12.962962962962999"/>
    <n v="788.58024691358003"/>
    <n v="2838.8888888888901"/>
  </r>
  <r>
    <x v="0"/>
    <x v="0"/>
    <x v="0"/>
    <x v="5"/>
    <x v="6"/>
    <s v="LT_A1"/>
    <x v="2"/>
    <x v="2"/>
    <s v="GETOH_HEATPUMP"/>
    <x v="4"/>
    <x v="0"/>
    <n v="12.962962962962999"/>
    <n v="788.58024691358003"/>
    <n v="2838.8888888888901"/>
  </r>
  <r>
    <x v="0"/>
    <x v="0"/>
    <x v="0"/>
    <x v="5"/>
    <x v="6"/>
    <s v="LT_A1"/>
    <x v="2"/>
    <x v="2"/>
    <s v="GETOH_HEATPUMP"/>
    <x v="4"/>
    <x v="1"/>
    <n v="12.962962962962999"/>
    <n v="788.58024691358003"/>
    <n v="2838.8888888888901"/>
  </r>
  <r>
    <x v="0"/>
    <x v="0"/>
    <x v="0"/>
    <x v="5"/>
    <x v="6"/>
    <s v="LT_A1"/>
    <x v="2"/>
    <x v="2"/>
    <s v="GETOH_HEATPUMP"/>
    <x v="4"/>
    <x v="2"/>
    <n v="12.962962962962999"/>
    <n v="788.58024691358003"/>
    <n v="2838.8888888888901"/>
  </r>
  <r>
    <x v="0"/>
    <x v="0"/>
    <x v="0"/>
    <x v="5"/>
    <x v="6"/>
    <s v="LT_A1"/>
    <x v="2"/>
    <x v="2"/>
    <s v="GETOH_HEATPUMP"/>
    <x v="4"/>
    <x v="3"/>
    <n v="12.962962962962999"/>
    <n v="788.58024691358003"/>
    <n v="2838.8888888888901"/>
  </r>
  <r>
    <x v="0"/>
    <x v="0"/>
    <x v="0"/>
    <x v="5"/>
    <x v="6"/>
    <s v="LT_A1"/>
    <x v="2"/>
    <x v="2"/>
    <s v="GETOH_HEATPUMP"/>
    <x v="4"/>
    <x v="4"/>
    <n v="12.962962962962999"/>
    <n v="788.58024691358003"/>
    <n v="2838.8888888888901"/>
  </r>
  <r>
    <x v="0"/>
    <x v="0"/>
    <x v="0"/>
    <x v="5"/>
    <x v="6"/>
    <s v="LT_A1"/>
    <x v="2"/>
    <x v="2"/>
    <s v="GETOH_HEATPUMP"/>
    <x v="4"/>
    <x v="5"/>
    <n v="12.962962962962999"/>
    <n v="788.58024691358003"/>
    <n v="2838.8888888888901"/>
  </r>
  <r>
    <x v="0"/>
    <x v="0"/>
    <x v="0"/>
    <x v="5"/>
    <x v="6"/>
    <s v="LT_A1"/>
    <x v="2"/>
    <x v="2"/>
    <s v="GETOH_HEATPUMP"/>
    <x v="4"/>
    <x v="6"/>
    <n v="12.962962962962999"/>
    <n v="788.58024691358003"/>
    <n v="2838.8888888888901"/>
  </r>
  <r>
    <x v="0"/>
    <x v="0"/>
    <x v="0"/>
    <x v="5"/>
    <x v="6"/>
    <s v="LT_A1"/>
    <x v="2"/>
    <x v="2"/>
    <s v="GETOH_HEATPUMP"/>
    <x v="4"/>
    <x v="7"/>
    <n v="12.962962962962999"/>
    <n v="788.58024691358003"/>
    <n v="2838.8888888888901"/>
  </r>
  <r>
    <x v="0"/>
    <x v="0"/>
    <x v="0"/>
    <x v="5"/>
    <x v="6"/>
    <s v="LT_A1"/>
    <x v="2"/>
    <x v="2"/>
    <s v="GETOH_HEATPUMP"/>
    <x v="4"/>
    <x v="8"/>
    <n v="12.962962962962999"/>
    <n v="788.58024691358003"/>
    <n v="2838.8888888888901"/>
  </r>
  <r>
    <x v="0"/>
    <x v="0"/>
    <x v="0"/>
    <x v="5"/>
    <x v="6"/>
    <s v="LT_A1"/>
    <x v="2"/>
    <x v="2"/>
    <s v="GETOH_HEATPUMP"/>
    <x v="4"/>
    <x v="9"/>
    <n v="12.962962962962999"/>
    <n v="788.58024691358003"/>
    <n v="2838.8888888888901"/>
  </r>
  <r>
    <x v="0"/>
    <x v="0"/>
    <x v="0"/>
    <x v="5"/>
    <x v="6"/>
    <s v="LT_A1"/>
    <x v="2"/>
    <x v="2"/>
    <s v="GETOH_HEATPUMP"/>
    <x v="4"/>
    <x v="10"/>
    <n v="12.962962962962999"/>
    <n v="788.58024691358003"/>
    <n v="2838.8888888888901"/>
  </r>
  <r>
    <x v="0"/>
    <x v="0"/>
    <x v="0"/>
    <x v="5"/>
    <x v="6"/>
    <s v="LT_A1"/>
    <x v="2"/>
    <x v="2"/>
    <s v="GETOH_HEATPUMP"/>
    <x v="4"/>
    <x v="11"/>
    <n v="12.962962962962999"/>
    <n v="788.58024691358003"/>
    <n v="2838.8888888888901"/>
  </r>
  <r>
    <x v="0"/>
    <x v="0"/>
    <x v="0"/>
    <x v="5"/>
    <x v="6"/>
    <s v="LT_A1"/>
    <x v="2"/>
    <x v="2"/>
    <s v="GETOH_HEATPUMP"/>
    <x v="5"/>
    <x v="0"/>
    <n v="12.962962962962999"/>
    <n v="788.58024691358003"/>
    <n v="2838.8888888888901"/>
  </r>
  <r>
    <x v="0"/>
    <x v="0"/>
    <x v="0"/>
    <x v="5"/>
    <x v="6"/>
    <s v="LT_A1"/>
    <x v="2"/>
    <x v="2"/>
    <s v="GETOH_HEATPUMP"/>
    <x v="5"/>
    <x v="1"/>
    <n v="12.962962962962999"/>
    <n v="788.58024691358003"/>
    <n v="2838.8888888888901"/>
  </r>
  <r>
    <x v="0"/>
    <x v="0"/>
    <x v="0"/>
    <x v="5"/>
    <x v="6"/>
    <s v="LT_A1"/>
    <x v="2"/>
    <x v="2"/>
    <s v="GETOH_HEATPUMP"/>
    <x v="5"/>
    <x v="2"/>
    <n v="12.962962962962999"/>
    <n v="788.58024691358003"/>
    <n v="2838.8888888888901"/>
  </r>
  <r>
    <x v="0"/>
    <x v="0"/>
    <x v="0"/>
    <x v="5"/>
    <x v="6"/>
    <s v="LT_A1"/>
    <x v="2"/>
    <x v="2"/>
    <s v="GETOH_HEATPUMP"/>
    <x v="5"/>
    <x v="3"/>
    <n v="12.962962962962999"/>
    <n v="788.58024691358003"/>
    <n v="2838.8888888888901"/>
  </r>
  <r>
    <x v="0"/>
    <x v="0"/>
    <x v="0"/>
    <x v="5"/>
    <x v="6"/>
    <s v="LT_A1"/>
    <x v="2"/>
    <x v="2"/>
    <s v="GETOH_HEATPUMP"/>
    <x v="5"/>
    <x v="4"/>
    <n v="12.962962962962999"/>
    <n v="788.58024691358003"/>
    <n v="2838.8888888888901"/>
  </r>
  <r>
    <x v="0"/>
    <x v="0"/>
    <x v="0"/>
    <x v="5"/>
    <x v="6"/>
    <s v="LT_A1"/>
    <x v="2"/>
    <x v="2"/>
    <s v="GETOH_HEATPUMP"/>
    <x v="5"/>
    <x v="5"/>
    <n v="12.962962962962999"/>
    <n v="788.58024691358003"/>
    <n v="2838.8888888888901"/>
  </r>
  <r>
    <x v="0"/>
    <x v="0"/>
    <x v="0"/>
    <x v="5"/>
    <x v="6"/>
    <s v="LT_A1"/>
    <x v="2"/>
    <x v="2"/>
    <s v="GETOH_HEATPUMP"/>
    <x v="5"/>
    <x v="6"/>
    <n v="12.962962962962999"/>
    <n v="788.58024691358003"/>
    <n v="2838.8888888888901"/>
  </r>
  <r>
    <x v="0"/>
    <x v="0"/>
    <x v="0"/>
    <x v="5"/>
    <x v="6"/>
    <s v="LT_A1"/>
    <x v="2"/>
    <x v="2"/>
    <s v="GETOH_HEATPUMP"/>
    <x v="5"/>
    <x v="7"/>
    <n v="12.962962962962999"/>
    <n v="788.58024691358003"/>
    <n v="2838.8888888888901"/>
  </r>
  <r>
    <x v="0"/>
    <x v="0"/>
    <x v="0"/>
    <x v="5"/>
    <x v="6"/>
    <s v="LT_A1"/>
    <x v="2"/>
    <x v="2"/>
    <s v="GETOH_HEATPUMP"/>
    <x v="5"/>
    <x v="8"/>
    <n v="12.962962962962999"/>
    <n v="788.58024691358003"/>
    <n v="2838.8888888888901"/>
  </r>
  <r>
    <x v="0"/>
    <x v="0"/>
    <x v="0"/>
    <x v="5"/>
    <x v="6"/>
    <s v="LT_A1"/>
    <x v="2"/>
    <x v="2"/>
    <s v="GETOH_HEATPUMP"/>
    <x v="5"/>
    <x v="9"/>
    <n v="12.962962962962999"/>
    <n v="788.58024691358003"/>
    <n v="2838.8888888888901"/>
  </r>
  <r>
    <x v="0"/>
    <x v="0"/>
    <x v="0"/>
    <x v="5"/>
    <x v="6"/>
    <s v="LT_A1"/>
    <x v="2"/>
    <x v="2"/>
    <s v="GETOH_HEATPUMP"/>
    <x v="5"/>
    <x v="10"/>
    <n v="12.962962962962999"/>
    <n v="788.58024691358003"/>
    <n v="2838.8888888888901"/>
  </r>
  <r>
    <x v="0"/>
    <x v="0"/>
    <x v="0"/>
    <x v="5"/>
    <x v="6"/>
    <s v="LT_A1"/>
    <x v="2"/>
    <x v="2"/>
    <s v="GETOH_HEATPUMP"/>
    <x v="5"/>
    <x v="11"/>
    <n v="12.962962962962999"/>
    <n v="788.58024691358003"/>
    <n v="2838.8888888888901"/>
  </r>
  <r>
    <x v="0"/>
    <x v="0"/>
    <x v="0"/>
    <x v="5"/>
    <x v="6"/>
    <s v="LT_A1"/>
    <x v="2"/>
    <x v="2"/>
    <s v="GETOH_HEATPUMP"/>
    <x v="6"/>
    <x v="0"/>
    <n v="12.962962962962999"/>
    <n v="788.58024691358003"/>
    <n v="2838.8888888888901"/>
  </r>
  <r>
    <x v="0"/>
    <x v="0"/>
    <x v="0"/>
    <x v="5"/>
    <x v="6"/>
    <s v="LT_A1"/>
    <x v="2"/>
    <x v="2"/>
    <s v="GETOH_HEATPUMP"/>
    <x v="6"/>
    <x v="1"/>
    <n v="12.962962962962999"/>
    <n v="788.58024691358003"/>
    <n v="2838.8888888888901"/>
  </r>
  <r>
    <x v="0"/>
    <x v="0"/>
    <x v="0"/>
    <x v="5"/>
    <x v="6"/>
    <s v="LT_A1"/>
    <x v="2"/>
    <x v="2"/>
    <s v="GETOH_HEATPUMP"/>
    <x v="6"/>
    <x v="2"/>
    <n v="12.962962962962999"/>
    <n v="788.58024691358003"/>
    <n v="2838.8888888888901"/>
  </r>
  <r>
    <x v="0"/>
    <x v="0"/>
    <x v="0"/>
    <x v="5"/>
    <x v="6"/>
    <s v="LT_A1"/>
    <x v="2"/>
    <x v="2"/>
    <s v="GETOH_HEATPUMP"/>
    <x v="6"/>
    <x v="3"/>
    <n v="12.962962962962999"/>
    <n v="788.58024691358003"/>
    <n v="2838.8888888888901"/>
  </r>
  <r>
    <x v="0"/>
    <x v="0"/>
    <x v="0"/>
    <x v="5"/>
    <x v="6"/>
    <s v="LT_A1"/>
    <x v="2"/>
    <x v="2"/>
    <s v="GETOH_HEATPUMP"/>
    <x v="6"/>
    <x v="4"/>
    <n v="12.962962962962999"/>
    <n v="788.58024691358003"/>
    <n v="2838.8888888888901"/>
  </r>
  <r>
    <x v="0"/>
    <x v="0"/>
    <x v="0"/>
    <x v="5"/>
    <x v="6"/>
    <s v="LT_A1"/>
    <x v="2"/>
    <x v="2"/>
    <s v="GETOH_HEATPUMP"/>
    <x v="6"/>
    <x v="5"/>
    <n v="12.962962962962999"/>
    <n v="788.58024691358003"/>
    <n v="2838.8888888888901"/>
  </r>
  <r>
    <x v="0"/>
    <x v="0"/>
    <x v="0"/>
    <x v="5"/>
    <x v="6"/>
    <s v="LT_A1"/>
    <x v="2"/>
    <x v="2"/>
    <s v="GETOH_HEATPUMP"/>
    <x v="6"/>
    <x v="6"/>
    <n v="12.962962962962999"/>
    <n v="788.58024691358003"/>
    <n v="2838.8888888888901"/>
  </r>
  <r>
    <x v="0"/>
    <x v="0"/>
    <x v="0"/>
    <x v="5"/>
    <x v="6"/>
    <s v="LT_A1"/>
    <x v="2"/>
    <x v="2"/>
    <s v="GETOH_HEATPUMP"/>
    <x v="6"/>
    <x v="7"/>
    <n v="12.962962962962999"/>
    <n v="788.58024691358003"/>
    <n v="2838.8888888888901"/>
  </r>
  <r>
    <x v="0"/>
    <x v="0"/>
    <x v="0"/>
    <x v="5"/>
    <x v="6"/>
    <s v="LT_A1"/>
    <x v="2"/>
    <x v="2"/>
    <s v="GETOH_HEATPUMP"/>
    <x v="6"/>
    <x v="8"/>
    <n v="12.962962962962999"/>
    <n v="788.58024691358003"/>
    <n v="2838.8888888888901"/>
  </r>
  <r>
    <x v="0"/>
    <x v="0"/>
    <x v="0"/>
    <x v="5"/>
    <x v="6"/>
    <s v="LT_A1"/>
    <x v="2"/>
    <x v="2"/>
    <s v="GETOH_HEATPUMP"/>
    <x v="6"/>
    <x v="9"/>
    <n v="12.962962962962999"/>
    <n v="788.58024691358003"/>
    <n v="2838.8888888888901"/>
  </r>
  <r>
    <x v="0"/>
    <x v="0"/>
    <x v="0"/>
    <x v="5"/>
    <x v="6"/>
    <s v="LT_A1"/>
    <x v="2"/>
    <x v="2"/>
    <s v="GETOH_HEATPUMP"/>
    <x v="6"/>
    <x v="10"/>
    <n v="12.962962962962999"/>
    <n v="788.58024691358003"/>
    <n v="2838.8888888888901"/>
  </r>
  <r>
    <x v="0"/>
    <x v="0"/>
    <x v="0"/>
    <x v="5"/>
    <x v="6"/>
    <s v="LT_A1"/>
    <x v="2"/>
    <x v="2"/>
    <s v="GETOH_HEATPUMP"/>
    <x v="6"/>
    <x v="11"/>
    <n v="12.962962962962999"/>
    <n v="788.58024691358003"/>
    <n v="2838.8888888888901"/>
  </r>
  <r>
    <x v="0"/>
    <x v="0"/>
    <x v="0"/>
    <x v="5"/>
    <x v="6"/>
    <s v="LT_A1"/>
    <x v="2"/>
    <x v="2"/>
    <s v="GETOH_HEATPUMP"/>
    <x v="7"/>
    <x v="0"/>
    <n v="12.962962962962999"/>
    <n v="788.58024691358003"/>
    <n v="2838.8888888888901"/>
  </r>
  <r>
    <x v="0"/>
    <x v="0"/>
    <x v="0"/>
    <x v="5"/>
    <x v="6"/>
    <s v="LT_A1"/>
    <x v="2"/>
    <x v="2"/>
    <s v="GETOH_HEATPUMP"/>
    <x v="7"/>
    <x v="1"/>
    <n v="12.962962962962999"/>
    <n v="788.58024691358003"/>
    <n v="2838.8888888888901"/>
  </r>
  <r>
    <x v="0"/>
    <x v="0"/>
    <x v="0"/>
    <x v="5"/>
    <x v="6"/>
    <s v="LT_A1"/>
    <x v="2"/>
    <x v="2"/>
    <s v="GETOH_HEATPUMP"/>
    <x v="7"/>
    <x v="2"/>
    <n v="12.962962962962999"/>
    <n v="788.58024691358003"/>
    <n v="2838.8888888888901"/>
  </r>
  <r>
    <x v="0"/>
    <x v="0"/>
    <x v="0"/>
    <x v="5"/>
    <x v="6"/>
    <s v="LT_A1"/>
    <x v="2"/>
    <x v="2"/>
    <s v="GETOH_HEATPUMP"/>
    <x v="7"/>
    <x v="3"/>
    <n v="12.962962962962999"/>
    <n v="788.58024691358003"/>
    <n v="2838.8888888888901"/>
  </r>
  <r>
    <x v="0"/>
    <x v="0"/>
    <x v="0"/>
    <x v="5"/>
    <x v="6"/>
    <s v="LT_A1"/>
    <x v="2"/>
    <x v="2"/>
    <s v="GETOH_HEATPUMP"/>
    <x v="7"/>
    <x v="4"/>
    <n v="12.962962962962999"/>
    <n v="788.58024691358003"/>
    <n v="2838.8888888888901"/>
  </r>
  <r>
    <x v="0"/>
    <x v="0"/>
    <x v="0"/>
    <x v="5"/>
    <x v="6"/>
    <s v="LT_A1"/>
    <x v="2"/>
    <x v="2"/>
    <s v="GETOH_HEATPUMP"/>
    <x v="7"/>
    <x v="5"/>
    <n v="9.8309028844687898"/>
    <n v="598.04659213851801"/>
    <n v="2152.9677316986599"/>
  </r>
  <r>
    <x v="0"/>
    <x v="0"/>
    <x v="0"/>
    <x v="5"/>
    <x v="6"/>
    <s v="LT_A1"/>
    <x v="2"/>
    <x v="2"/>
    <s v="GETOH_HEATPUMP"/>
    <x v="7"/>
    <x v="8"/>
    <n v="2.40985727158131"/>
    <n v="146.599650687863"/>
    <n v="527.75874247630702"/>
  </r>
  <r>
    <x v="0"/>
    <x v="0"/>
    <x v="0"/>
    <x v="5"/>
    <x v="6"/>
    <s v="LT_A1"/>
    <x v="2"/>
    <x v="2"/>
    <s v="GETOH_HEATPUMP"/>
    <x v="7"/>
    <x v="10"/>
    <n v="12.962962962962999"/>
    <n v="788.58024691358003"/>
    <n v="2838.8888888888901"/>
  </r>
  <r>
    <x v="0"/>
    <x v="0"/>
    <x v="0"/>
    <x v="5"/>
    <x v="6"/>
    <s v="LT_A1"/>
    <x v="2"/>
    <x v="2"/>
    <s v="GETOH_HEATPUMP"/>
    <x v="8"/>
    <x v="0"/>
    <n v="12.962962962962999"/>
    <n v="788.58024691358003"/>
    <n v="2838.8888888888901"/>
  </r>
  <r>
    <x v="0"/>
    <x v="0"/>
    <x v="0"/>
    <x v="5"/>
    <x v="6"/>
    <s v="LT_A1"/>
    <x v="2"/>
    <x v="2"/>
    <s v="GETOH_HEATPUMP"/>
    <x v="8"/>
    <x v="1"/>
    <n v="12.962962962962999"/>
    <n v="788.58024691358003"/>
    <n v="2838.8888888888901"/>
  </r>
  <r>
    <x v="0"/>
    <x v="0"/>
    <x v="0"/>
    <x v="5"/>
    <x v="6"/>
    <s v="LT_A1"/>
    <x v="2"/>
    <x v="2"/>
    <s v="GETOH_HEATPUMP"/>
    <x v="8"/>
    <x v="2"/>
    <n v="12.962962962962999"/>
    <n v="788.58024691358003"/>
    <n v="2838.8888888888901"/>
  </r>
  <r>
    <x v="0"/>
    <x v="0"/>
    <x v="0"/>
    <x v="5"/>
    <x v="6"/>
    <s v="LT_A1"/>
    <x v="2"/>
    <x v="2"/>
    <s v="GETOH_HEATPUMP"/>
    <x v="8"/>
    <x v="3"/>
    <n v="12.962962962962999"/>
    <n v="788.58024691358003"/>
    <n v="2838.8888888888901"/>
  </r>
  <r>
    <x v="0"/>
    <x v="0"/>
    <x v="0"/>
    <x v="5"/>
    <x v="6"/>
    <s v="LT_A1"/>
    <x v="2"/>
    <x v="2"/>
    <s v="GETOH_HEATPUMP"/>
    <x v="8"/>
    <x v="4"/>
    <n v="12.962962962962999"/>
    <n v="788.58024691358003"/>
    <n v="2838.8888888888901"/>
  </r>
  <r>
    <x v="0"/>
    <x v="0"/>
    <x v="0"/>
    <x v="5"/>
    <x v="6"/>
    <s v="LT_A1"/>
    <x v="2"/>
    <x v="2"/>
    <s v="GETOH_HEATPUMP"/>
    <x v="8"/>
    <x v="5"/>
    <n v="12.962962962962999"/>
    <n v="788.58024691358003"/>
    <n v="2838.8888888888901"/>
  </r>
  <r>
    <x v="0"/>
    <x v="0"/>
    <x v="0"/>
    <x v="5"/>
    <x v="6"/>
    <s v="LT_A1"/>
    <x v="2"/>
    <x v="2"/>
    <s v="GETOH_HEATPUMP"/>
    <x v="8"/>
    <x v="6"/>
    <n v="12.962962962962999"/>
    <n v="788.58024691358003"/>
    <n v="2838.8888888888901"/>
  </r>
  <r>
    <x v="0"/>
    <x v="0"/>
    <x v="0"/>
    <x v="5"/>
    <x v="6"/>
    <s v="LT_A1"/>
    <x v="2"/>
    <x v="2"/>
    <s v="GETOH_HEATPUMP"/>
    <x v="8"/>
    <x v="7"/>
    <n v="12.962962962962999"/>
    <n v="788.58024691358003"/>
    <n v="2838.8888888888901"/>
  </r>
  <r>
    <x v="0"/>
    <x v="0"/>
    <x v="0"/>
    <x v="5"/>
    <x v="6"/>
    <s v="LT_A1"/>
    <x v="2"/>
    <x v="2"/>
    <s v="GETOH_HEATPUMP"/>
    <x v="8"/>
    <x v="8"/>
    <n v="12.962962962962999"/>
    <n v="788.58024691358003"/>
    <n v="2838.8888888888901"/>
  </r>
  <r>
    <x v="0"/>
    <x v="0"/>
    <x v="0"/>
    <x v="5"/>
    <x v="6"/>
    <s v="LT_A1"/>
    <x v="2"/>
    <x v="2"/>
    <s v="GETOH_HEATPUMP"/>
    <x v="8"/>
    <x v="9"/>
    <n v="12.962962962962999"/>
    <n v="788.58024691358003"/>
    <n v="2838.8888888888901"/>
  </r>
  <r>
    <x v="0"/>
    <x v="0"/>
    <x v="0"/>
    <x v="5"/>
    <x v="6"/>
    <s v="LT_A1"/>
    <x v="2"/>
    <x v="2"/>
    <s v="GETOH_HEATPUMP"/>
    <x v="8"/>
    <x v="10"/>
    <n v="12.962962962962999"/>
    <n v="788.58024691358003"/>
    <n v="2838.8888888888901"/>
  </r>
  <r>
    <x v="0"/>
    <x v="0"/>
    <x v="0"/>
    <x v="5"/>
    <x v="6"/>
    <s v="LT_A1"/>
    <x v="2"/>
    <x v="2"/>
    <s v="GETOH_HEATPUMP"/>
    <x v="8"/>
    <x v="11"/>
    <n v="12.962962962962999"/>
    <n v="788.58024691358003"/>
    <n v="2838.8888888888901"/>
  </r>
  <r>
    <x v="0"/>
    <x v="0"/>
    <x v="0"/>
    <x v="5"/>
    <x v="6"/>
    <s v="LT_A1"/>
    <x v="2"/>
    <x v="2"/>
    <s v="GETOH_HEATPUMP"/>
    <x v="9"/>
    <x v="0"/>
    <n v="12.962962962962999"/>
    <n v="788.58024691358003"/>
    <n v="2838.8888888888901"/>
  </r>
  <r>
    <x v="0"/>
    <x v="0"/>
    <x v="0"/>
    <x v="5"/>
    <x v="6"/>
    <s v="LT_A1"/>
    <x v="2"/>
    <x v="2"/>
    <s v="GETOH_HEATPUMP"/>
    <x v="9"/>
    <x v="1"/>
    <n v="12.962962962962999"/>
    <n v="788.58024691358003"/>
    <n v="2838.8888888888901"/>
  </r>
  <r>
    <x v="0"/>
    <x v="0"/>
    <x v="0"/>
    <x v="5"/>
    <x v="6"/>
    <s v="LT_A1"/>
    <x v="2"/>
    <x v="2"/>
    <s v="GETOH_HEATPUMP"/>
    <x v="9"/>
    <x v="2"/>
    <n v="12.962962962962999"/>
    <n v="788.58024691358003"/>
    <n v="2838.8888888888901"/>
  </r>
  <r>
    <x v="0"/>
    <x v="0"/>
    <x v="0"/>
    <x v="5"/>
    <x v="6"/>
    <s v="LT_A1"/>
    <x v="2"/>
    <x v="2"/>
    <s v="GETOH_HEATPUMP"/>
    <x v="9"/>
    <x v="3"/>
    <n v="12.962962962962999"/>
    <n v="788.58024691358003"/>
    <n v="2838.8888888888901"/>
  </r>
  <r>
    <x v="0"/>
    <x v="0"/>
    <x v="0"/>
    <x v="5"/>
    <x v="6"/>
    <s v="LT_A1"/>
    <x v="2"/>
    <x v="2"/>
    <s v="GETOH_HEATPUMP"/>
    <x v="9"/>
    <x v="4"/>
    <n v="12.962962962962999"/>
    <n v="788.58024691358003"/>
    <n v="2838.8888888888901"/>
  </r>
  <r>
    <x v="0"/>
    <x v="0"/>
    <x v="0"/>
    <x v="5"/>
    <x v="6"/>
    <s v="LT_A1"/>
    <x v="2"/>
    <x v="2"/>
    <s v="GETOH_HEATPUMP"/>
    <x v="9"/>
    <x v="5"/>
    <n v="12.962962962962999"/>
    <n v="788.58024691358003"/>
    <n v="2838.8888888888901"/>
  </r>
  <r>
    <x v="0"/>
    <x v="0"/>
    <x v="0"/>
    <x v="5"/>
    <x v="6"/>
    <s v="LT_A1"/>
    <x v="2"/>
    <x v="2"/>
    <s v="GETOH_HEATPUMP"/>
    <x v="9"/>
    <x v="6"/>
    <n v="12.962962962962999"/>
    <n v="788.58024691358003"/>
    <n v="2838.8888888888901"/>
  </r>
  <r>
    <x v="0"/>
    <x v="0"/>
    <x v="0"/>
    <x v="5"/>
    <x v="6"/>
    <s v="LT_A1"/>
    <x v="2"/>
    <x v="2"/>
    <s v="GETOH_HEATPUMP"/>
    <x v="9"/>
    <x v="7"/>
    <n v="12.962962962962999"/>
    <n v="788.58024691358003"/>
    <n v="2838.8888888888901"/>
  </r>
  <r>
    <x v="0"/>
    <x v="0"/>
    <x v="0"/>
    <x v="5"/>
    <x v="6"/>
    <s v="LT_A1"/>
    <x v="2"/>
    <x v="2"/>
    <s v="GETOH_HEATPUMP"/>
    <x v="9"/>
    <x v="8"/>
    <n v="12.962962962962999"/>
    <n v="788.58024691358003"/>
    <n v="2838.8888888888901"/>
  </r>
  <r>
    <x v="0"/>
    <x v="0"/>
    <x v="0"/>
    <x v="5"/>
    <x v="6"/>
    <s v="LT_A1"/>
    <x v="2"/>
    <x v="2"/>
    <s v="GETOH_HEATPUMP"/>
    <x v="9"/>
    <x v="9"/>
    <n v="12.962962962962999"/>
    <n v="788.58024691358003"/>
    <n v="2838.8888888888901"/>
  </r>
  <r>
    <x v="0"/>
    <x v="0"/>
    <x v="0"/>
    <x v="5"/>
    <x v="6"/>
    <s v="LT_A1"/>
    <x v="2"/>
    <x v="2"/>
    <s v="GETOH_HEATPUMP"/>
    <x v="9"/>
    <x v="10"/>
    <n v="12.962962962962999"/>
    <n v="788.58024691358003"/>
    <n v="2838.8888888888901"/>
  </r>
  <r>
    <x v="0"/>
    <x v="0"/>
    <x v="0"/>
    <x v="5"/>
    <x v="6"/>
    <s v="LT_A1"/>
    <x v="2"/>
    <x v="2"/>
    <s v="GETOH_HEATPUMP"/>
    <x v="9"/>
    <x v="11"/>
    <n v="12.962962962962999"/>
    <n v="788.58024691358003"/>
    <n v="2838.8888888888901"/>
  </r>
  <r>
    <x v="0"/>
    <x v="0"/>
    <x v="0"/>
    <x v="5"/>
    <x v="6"/>
    <s v="LT_A1"/>
    <x v="2"/>
    <x v="2"/>
    <s v="GETOH_HEATPUMP"/>
    <x v="10"/>
    <x v="0"/>
    <n v="12.962962962962999"/>
    <n v="788.58024691358003"/>
    <n v="2838.8888888888901"/>
  </r>
  <r>
    <x v="0"/>
    <x v="0"/>
    <x v="0"/>
    <x v="5"/>
    <x v="6"/>
    <s v="LT_A1"/>
    <x v="2"/>
    <x v="2"/>
    <s v="GETOH_HEATPUMP"/>
    <x v="10"/>
    <x v="1"/>
    <n v="12.962962962962999"/>
    <n v="788.58024691358003"/>
    <n v="2838.8888888888901"/>
  </r>
  <r>
    <x v="0"/>
    <x v="0"/>
    <x v="0"/>
    <x v="5"/>
    <x v="6"/>
    <s v="LT_A1"/>
    <x v="2"/>
    <x v="2"/>
    <s v="GETOH_HEATPUMP"/>
    <x v="10"/>
    <x v="2"/>
    <n v="12.962962962962999"/>
    <n v="788.58024691358003"/>
    <n v="2838.8888888888901"/>
  </r>
  <r>
    <x v="0"/>
    <x v="0"/>
    <x v="0"/>
    <x v="5"/>
    <x v="6"/>
    <s v="LT_A1"/>
    <x v="2"/>
    <x v="2"/>
    <s v="GETOH_HEATPUMP"/>
    <x v="10"/>
    <x v="3"/>
    <n v="12.962962962962999"/>
    <n v="788.58024691358003"/>
    <n v="2838.8888888888901"/>
  </r>
  <r>
    <x v="0"/>
    <x v="0"/>
    <x v="0"/>
    <x v="5"/>
    <x v="6"/>
    <s v="LT_A1"/>
    <x v="2"/>
    <x v="2"/>
    <s v="GETOH_HEATPUMP"/>
    <x v="10"/>
    <x v="4"/>
    <n v="12.962962962962999"/>
    <n v="788.58024691358003"/>
    <n v="2838.8888888888901"/>
  </r>
  <r>
    <x v="0"/>
    <x v="0"/>
    <x v="0"/>
    <x v="5"/>
    <x v="6"/>
    <s v="LT_A1"/>
    <x v="2"/>
    <x v="2"/>
    <s v="GETOH_HEATPUMP"/>
    <x v="10"/>
    <x v="5"/>
    <n v="12.962962962962999"/>
    <n v="788.58024691358003"/>
    <n v="2838.8888888888901"/>
  </r>
  <r>
    <x v="0"/>
    <x v="0"/>
    <x v="0"/>
    <x v="5"/>
    <x v="6"/>
    <s v="LT_A1"/>
    <x v="2"/>
    <x v="2"/>
    <s v="GETOH_HEATPUMP"/>
    <x v="10"/>
    <x v="6"/>
    <n v="12.962962962962999"/>
    <n v="788.58024691358003"/>
    <n v="2838.8888888888901"/>
  </r>
  <r>
    <x v="0"/>
    <x v="0"/>
    <x v="0"/>
    <x v="5"/>
    <x v="6"/>
    <s v="LT_A1"/>
    <x v="2"/>
    <x v="2"/>
    <s v="GETOH_HEATPUMP"/>
    <x v="10"/>
    <x v="7"/>
    <n v="12.962962962962999"/>
    <n v="788.58024691358003"/>
    <n v="2838.8888888888901"/>
  </r>
  <r>
    <x v="0"/>
    <x v="0"/>
    <x v="0"/>
    <x v="5"/>
    <x v="6"/>
    <s v="LT_A1"/>
    <x v="2"/>
    <x v="2"/>
    <s v="GETOH_HEATPUMP"/>
    <x v="10"/>
    <x v="8"/>
    <n v="12.962962962962999"/>
    <n v="788.58024691358003"/>
    <n v="2838.8888888888901"/>
  </r>
  <r>
    <x v="0"/>
    <x v="0"/>
    <x v="0"/>
    <x v="5"/>
    <x v="6"/>
    <s v="LT_A1"/>
    <x v="2"/>
    <x v="2"/>
    <s v="GETOH_HEATPUMP"/>
    <x v="10"/>
    <x v="9"/>
    <n v="12.962962962962999"/>
    <n v="788.58024691358003"/>
    <n v="2838.8888888888901"/>
  </r>
  <r>
    <x v="0"/>
    <x v="0"/>
    <x v="0"/>
    <x v="5"/>
    <x v="6"/>
    <s v="LT_A1"/>
    <x v="2"/>
    <x v="2"/>
    <s v="GETOH_HEATPUMP"/>
    <x v="10"/>
    <x v="10"/>
    <n v="12.962962962962999"/>
    <n v="788.58024691358003"/>
    <n v="2838.8888888888901"/>
  </r>
  <r>
    <x v="0"/>
    <x v="0"/>
    <x v="0"/>
    <x v="5"/>
    <x v="6"/>
    <s v="LT_A1"/>
    <x v="2"/>
    <x v="2"/>
    <s v="GETOH_HEATPUMP"/>
    <x v="10"/>
    <x v="11"/>
    <n v="12.962962962962999"/>
    <n v="788.58024691358003"/>
    <n v="2838.8888888888901"/>
  </r>
  <r>
    <x v="0"/>
    <x v="0"/>
    <x v="0"/>
    <x v="5"/>
    <x v="6"/>
    <s v="LT_A1"/>
    <x v="2"/>
    <x v="2"/>
    <s v="GETOH_HEATPUMP"/>
    <x v="11"/>
    <x v="0"/>
    <n v="12.962962962962999"/>
    <n v="788.58024691358003"/>
    <n v="2838.8888888888901"/>
  </r>
  <r>
    <x v="0"/>
    <x v="0"/>
    <x v="0"/>
    <x v="5"/>
    <x v="6"/>
    <s v="LT_A1"/>
    <x v="2"/>
    <x v="2"/>
    <s v="GETOH_HEATPUMP"/>
    <x v="11"/>
    <x v="1"/>
    <n v="12.962962962962999"/>
    <n v="788.58024691358003"/>
    <n v="2838.8888888888901"/>
  </r>
  <r>
    <x v="0"/>
    <x v="0"/>
    <x v="0"/>
    <x v="5"/>
    <x v="6"/>
    <s v="LT_A1"/>
    <x v="2"/>
    <x v="2"/>
    <s v="GETOH_HEATPUMP"/>
    <x v="11"/>
    <x v="2"/>
    <n v="12.962962962962999"/>
    <n v="788.58024691358003"/>
    <n v="2838.8888888888901"/>
  </r>
  <r>
    <x v="0"/>
    <x v="0"/>
    <x v="0"/>
    <x v="5"/>
    <x v="6"/>
    <s v="LT_A1"/>
    <x v="2"/>
    <x v="2"/>
    <s v="GETOH_HEATPUMP"/>
    <x v="11"/>
    <x v="3"/>
    <n v="12.962962962962999"/>
    <n v="788.58024691358003"/>
    <n v="2838.8888888888901"/>
  </r>
  <r>
    <x v="0"/>
    <x v="0"/>
    <x v="0"/>
    <x v="5"/>
    <x v="6"/>
    <s v="LT_A1"/>
    <x v="2"/>
    <x v="2"/>
    <s v="GETOH_HEATPUMP"/>
    <x v="11"/>
    <x v="4"/>
    <n v="12.962962962962999"/>
    <n v="788.58024691358003"/>
    <n v="2838.8888888888901"/>
  </r>
  <r>
    <x v="0"/>
    <x v="0"/>
    <x v="0"/>
    <x v="5"/>
    <x v="6"/>
    <s v="LT_A1"/>
    <x v="2"/>
    <x v="2"/>
    <s v="GETOH_HEATPUMP"/>
    <x v="11"/>
    <x v="5"/>
    <n v="12.962962962962999"/>
    <n v="788.58024691358003"/>
    <n v="2838.8888888888901"/>
  </r>
  <r>
    <x v="0"/>
    <x v="0"/>
    <x v="0"/>
    <x v="5"/>
    <x v="6"/>
    <s v="LT_A1"/>
    <x v="2"/>
    <x v="2"/>
    <s v="GETOH_HEATPUMP"/>
    <x v="11"/>
    <x v="6"/>
    <n v="12.962962962962999"/>
    <n v="788.58024691358003"/>
    <n v="2838.8888888888901"/>
  </r>
  <r>
    <x v="0"/>
    <x v="0"/>
    <x v="0"/>
    <x v="5"/>
    <x v="6"/>
    <s v="LT_A1"/>
    <x v="2"/>
    <x v="2"/>
    <s v="GETOH_HEATPUMP"/>
    <x v="11"/>
    <x v="7"/>
    <n v="12.962962962962999"/>
    <n v="788.58024691358003"/>
    <n v="2838.8888888888901"/>
  </r>
  <r>
    <x v="0"/>
    <x v="0"/>
    <x v="0"/>
    <x v="5"/>
    <x v="6"/>
    <s v="LT_A1"/>
    <x v="2"/>
    <x v="2"/>
    <s v="GETOH_HEATPUMP"/>
    <x v="11"/>
    <x v="8"/>
    <n v="12.962962962962999"/>
    <n v="788.58024691358003"/>
    <n v="2838.8888888888901"/>
  </r>
  <r>
    <x v="0"/>
    <x v="0"/>
    <x v="0"/>
    <x v="5"/>
    <x v="6"/>
    <s v="LT_A1"/>
    <x v="2"/>
    <x v="2"/>
    <s v="GETOH_HEATPUMP"/>
    <x v="11"/>
    <x v="9"/>
    <n v="12.962962962962999"/>
    <n v="788.58024691358003"/>
    <n v="2838.8888888888901"/>
  </r>
  <r>
    <x v="0"/>
    <x v="0"/>
    <x v="0"/>
    <x v="5"/>
    <x v="6"/>
    <s v="LT_A1"/>
    <x v="2"/>
    <x v="2"/>
    <s v="GETOH_HEATPUMP"/>
    <x v="11"/>
    <x v="10"/>
    <n v="12.962962962962999"/>
    <n v="788.58024691358003"/>
    <n v="2838.8888888888901"/>
  </r>
  <r>
    <x v="0"/>
    <x v="0"/>
    <x v="0"/>
    <x v="5"/>
    <x v="6"/>
    <s v="LT_A1"/>
    <x v="2"/>
    <x v="2"/>
    <s v="GETOH_HEATPUMP"/>
    <x v="11"/>
    <x v="11"/>
    <n v="12.962962962962999"/>
    <n v="788.58024691358003"/>
    <n v="2838.8888888888901"/>
  </r>
  <r>
    <x v="0"/>
    <x v="0"/>
    <x v="0"/>
    <x v="5"/>
    <x v="6"/>
    <s v="LT_A1"/>
    <x v="10"/>
    <x v="3"/>
    <s v="GBPR_WOODWASTE"/>
    <x v="0"/>
    <x v="0"/>
    <n v="246.42488960414499"/>
    <n v="14990.8474509188"/>
    <n v="53967.0508233078"/>
  </r>
  <r>
    <x v="0"/>
    <x v="0"/>
    <x v="0"/>
    <x v="5"/>
    <x v="6"/>
    <s v="LT_A1"/>
    <x v="10"/>
    <x v="3"/>
    <s v="GBPR_WOODWASTE"/>
    <x v="0"/>
    <x v="1"/>
    <n v="223.308250344344"/>
    <n v="13584.5852292809"/>
    <n v="48904.506825411299"/>
  </r>
  <r>
    <x v="0"/>
    <x v="0"/>
    <x v="0"/>
    <x v="5"/>
    <x v="6"/>
    <s v="LT_A1"/>
    <x v="10"/>
    <x v="3"/>
    <s v="GBPR_WOODWASTE"/>
    <x v="0"/>
    <x v="2"/>
    <n v="244.960747858291"/>
    <n v="14901.778828046101"/>
    <n v="53646.403780965797"/>
  </r>
  <r>
    <x v="0"/>
    <x v="0"/>
    <x v="0"/>
    <x v="5"/>
    <x v="6"/>
    <s v="LT_A1"/>
    <x v="10"/>
    <x v="3"/>
    <s v="GBPR_WOODWASTE"/>
    <x v="0"/>
    <x v="3"/>
    <n v="220.649355218191"/>
    <n v="13422.835775773299"/>
    <n v="48322.2087927838"/>
  </r>
  <r>
    <x v="0"/>
    <x v="0"/>
    <x v="0"/>
    <x v="5"/>
    <x v="6"/>
    <s v="LT_A1"/>
    <x v="10"/>
    <x v="3"/>
    <s v="GBPR_WOODWASTE"/>
    <x v="0"/>
    <x v="4"/>
    <n v="175.10750723234199"/>
    <n v="10652.3733566341"/>
    <n v="38348.544083882902"/>
  </r>
  <r>
    <x v="0"/>
    <x v="0"/>
    <x v="0"/>
    <x v="5"/>
    <x v="6"/>
    <s v="LT_A1"/>
    <x v="10"/>
    <x v="3"/>
    <s v="GBPR_WOODWASTE"/>
    <x v="0"/>
    <x v="5"/>
    <n v="198.691736965903"/>
    <n v="12087.080665425799"/>
    <n v="43513.490395532797"/>
  </r>
  <r>
    <x v="0"/>
    <x v="0"/>
    <x v="0"/>
    <x v="5"/>
    <x v="6"/>
    <s v="LT_A1"/>
    <x v="10"/>
    <x v="3"/>
    <s v="GBPR_WOODWASTE"/>
    <x v="0"/>
    <x v="6"/>
    <n v="203.746806994971"/>
    <n v="12394.5974255274"/>
    <n v="44620.550731898598"/>
  </r>
  <r>
    <x v="0"/>
    <x v="0"/>
    <x v="0"/>
    <x v="5"/>
    <x v="6"/>
    <s v="LT_A1"/>
    <x v="10"/>
    <x v="3"/>
    <s v="GBPR_WOODWASTE"/>
    <x v="0"/>
    <x v="7"/>
    <n v="171.997219335316"/>
    <n v="10463.164176231699"/>
    <n v="37667.391034434302"/>
  </r>
  <r>
    <x v="0"/>
    <x v="0"/>
    <x v="0"/>
    <x v="5"/>
    <x v="6"/>
    <s v="LT_A1"/>
    <x v="10"/>
    <x v="3"/>
    <s v="GBPR_WOODWASTE"/>
    <x v="0"/>
    <x v="8"/>
    <n v="169.673836990289"/>
    <n v="10321.825083575901"/>
    <n v="37158.570300873398"/>
  </r>
  <r>
    <x v="0"/>
    <x v="0"/>
    <x v="0"/>
    <x v="5"/>
    <x v="6"/>
    <s v="LT_A1"/>
    <x v="10"/>
    <x v="3"/>
    <s v="GBPR_WOODWASTE"/>
    <x v="0"/>
    <x v="9"/>
    <n v="148.42634859702"/>
    <n v="9029.2695396520303"/>
    <n v="32505.370342747301"/>
  </r>
  <r>
    <x v="0"/>
    <x v="0"/>
    <x v="0"/>
    <x v="5"/>
    <x v="6"/>
    <s v="LT_A1"/>
    <x v="10"/>
    <x v="3"/>
    <s v="GBPR_WOODWASTE"/>
    <x v="0"/>
    <x v="10"/>
    <n v="191.231390773811"/>
    <n v="11633.242938740201"/>
    <n v="41879.674579464598"/>
  </r>
  <r>
    <x v="0"/>
    <x v="0"/>
    <x v="0"/>
    <x v="5"/>
    <x v="6"/>
    <s v="LT_A1"/>
    <x v="10"/>
    <x v="3"/>
    <s v="GBPR_WOODWASTE"/>
    <x v="0"/>
    <x v="11"/>
    <n v="276.28069083473599"/>
    <n v="16807.0753591131"/>
    <n v="60505.471292807299"/>
  </r>
  <r>
    <x v="0"/>
    <x v="0"/>
    <x v="0"/>
    <x v="5"/>
    <x v="6"/>
    <s v="LT_A1"/>
    <x v="10"/>
    <x v="3"/>
    <s v="GBPR_WOODWASTE"/>
    <x v="1"/>
    <x v="0"/>
    <n v="222.23340257002599"/>
    <n v="13519.1986563432"/>
    <n v="48669.115162835697"/>
  </r>
  <r>
    <x v="0"/>
    <x v="0"/>
    <x v="0"/>
    <x v="5"/>
    <x v="6"/>
    <s v="LT_A1"/>
    <x v="10"/>
    <x v="3"/>
    <s v="GBPR_WOODWASTE"/>
    <x v="1"/>
    <x v="1"/>
    <n v="189.62658754487001"/>
    <n v="11535.6174089796"/>
    <n v="41528.222672326498"/>
  </r>
  <r>
    <x v="0"/>
    <x v="0"/>
    <x v="0"/>
    <x v="5"/>
    <x v="6"/>
    <s v="LT_A1"/>
    <x v="10"/>
    <x v="3"/>
    <s v="GBPR_WOODWASTE"/>
    <x v="1"/>
    <x v="2"/>
    <n v="187.22075448776499"/>
    <n v="11389.262564672301"/>
    <n v="41001.3452328204"/>
  </r>
  <r>
    <x v="0"/>
    <x v="0"/>
    <x v="0"/>
    <x v="5"/>
    <x v="6"/>
    <s v="LT_A1"/>
    <x v="10"/>
    <x v="3"/>
    <s v="GBPR_WOODWASTE"/>
    <x v="1"/>
    <x v="3"/>
    <n v="184.81492143065901"/>
    <n v="11242.9077203651"/>
    <n v="40474.467793314398"/>
  </r>
  <r>
    <x v="0"/>
    <x v="0"/>
    <x v="0"/>
    <x v="5"/>
    <x v="6"/>
    <s v="LT_A1"/>
    <x v="10"/>
    <x v="3"/>
    <s v="GBPR_WOODWASTE"/>
    <x v="1"/>
    <x v="4"/>
    <n v="184.81492143065901"/>
    <n v="11242.9077203651"/>
    <n v="40474.467793314398"/>
  </r>
  <r>
    <x v="0"/>
    <x v="0"/>
    <x v="0"/>
    <x v="5"/>
    <x v="6"/>
    <s v="LT_A1"/>
    <x v="10"/>
    <x v="3"/>
    <s v="GBPR_WOODWASTE"/>
    <x v="1"/>
    <x v="5"/>
    <n v="188.14741170341301"/>
    <n v="11445.6342119576"/>
    <n v="41204.283163047498"/>
  </r>
  <r>
    <x v="0"/>
    <x v="0"/>
    <x v="0"/>
    <x v="5"/>
    <x v="6"/>
    <s v="LT_A1"/>
    <x v="10"/>
    <x v="3"/>
    <s v="GBPR_WOODWASTE"/>
    <x v="1"/>
    <x v="6"/>
    <n v="228.40319829289399"/>
    <n v="13894.527896150999"/>
    <n v="50020.300426143702"/>
  </r>
  <r>
    <x v="0"/>
    <x v="0"/>
    <x v="0"/>
    <x v="5"/>
    <x v="6"/>
    <s v="LT_A1"/>
    <x v="10"/>
    <x v="3"/>
    <s v="GBPR_WOODWASTE"/>
    <x v="1"/>
    <x v="7"/>
    <n v="254.91147515513001"/>
    <n v="15507.114738603699"/>
    <n v="55825.613058973497"/>
  </r>
  <r>
    <x v="0"/>
    <x v="0"/>
    <x v="0"/>
    <x v="5"/>
    <x v="6"/>
    <s v="LT_A1"/>
    <x v="10"/>
    <x v="3"/>
    <s v="GBPR_WOODWASTE"/>
    <x v="1"/>
    <x v="8"/>
    <n v="246.469002838221"/>
    <n v="14993.531005991799"/>
    <n v="53976.711621570503"/>
  </r>
  <r>
    <x v="0"/>
    <x v="0"/>
    <x v="0"/>
    <x v="5"/>
    <x v="6"/>
    <s v="LT_A1"/>
    <x v="10"/>
    <x v="3"/>
    <s v="GBPR_WOODWASTE"/>
    <x v="1"/>
    <x v="9"/>
    <n v="230.809031349999"/>
    <n v="14040.882740458301"/>
    <n v="50547.177865649799"/>
  </r>
  <r>
    <x v="0"/>
    <x v="0"/>
    <x v="0"/>
    <x v="5"/>
    <x v="6"/>
    <s v="LT_A1"/>
    <x v="10"/>
    <x v="3"/>
    <s v="GBPR_WOODWASTE"/>
    <x v="1"/>
    <x v="10"/>
    <n v="225.99736523578801"/>
    <n v="13748.1730518438"/>
    <n v="49493.422986637597"/>
  </r>
  <r>
    <x v="0"/>
    <x v="0"/>
    <x v="0"/>
    <x v="5"/>
    <x v="6"/>
    <s v="LT_A1"/>
    <x v="10"/>
    <x v="3"/>
    <s v="GBPR_WOODWASTE"/>
    <x v="1"/>
    <x v="11"/>
    <n v="225.99736523578801"/>
    <n v="13748.1730518438"/>
    <n v="49493.422986637597"/>
  </r>
  <r>
    <x v="0"/>
    <x v="0"/>
    <x v="0"/>
    <x v="5"/>
    <x v="6"/>
    <s v="LT_A1"/>
    <x v="10"/>
    <x v="3"/>
    <s v="GBPR_WOODWASTE"/>
    <x v="2"/>
    <x v="3"/>
    <n v="118.667947831083"/>
    <n v="7218.9668263908598"/>
    <n v="25988.280575007098"/>
  </r>
  <r>
    <x v="0"/>
    <x v="0"/>
    <x v="0"/>
    <x v="5"/>
    <x v="6"/>
    <s v="LT_A1"/>
    <x v="10"/>
    <x v="3"/>
    <s v="GBPR_WOODWASTE"/>
    <x v="2"/>
    <x v="4"/>
    <n v="204.198390762667"/>
    <n v="12422.068771395599"/>
    <n v="44719.447577024097"/>
  </r>
  <r>
    <x v="0"/>
    <x v="0"/>
    <x v="0"/>
    <x v="5"/>
    <x v="6"/>
    <s v="LT_A1"/>
    <x v="10"/>
    <x v="3"/>
    <s v="GBPR_WOODWASTE"/>
    <x v="2"/>
    <x v="5"/>
    <n v="264.20741231513398"/>
    <n v="16072.617582504001"/>
    <n v="57861.423297014298"/>
  </r>
  <r>
    <x v="0"/>
    <x v="0"/>
    <x v="0"/>
    <x v="5"/>
    <x v="6"/>
    <s v="LT_A1"/>
    <x v="10"/>
    <x v="3"/>
    <s v="GBPR_WOODWASTE"/>
    <x v="2"/>
    <x v="6"/>
    <n v="302.984023063157"/>
    <n v="18431.528069675402"/>
    <n v="66353.501050831503"/>
  </r>
  <r>
    <x v="0"/>
    <x v="0"/>
    <x v="0"/>
    <x v="5"/>
    <x v="6"/>
    <s v="LT_A1"/>
    <x v="10"/>
    <x v="3"/>
    <s v="GBPR_WOODWASTE"/>
    <x v="2"/>
    <x v="7"/>
    <n v="327.08646686828899"/>
    <n v="19897.760067820898"/>
    <n v="71631.936244155193"/>
  </r>
  <r>
    <x v="0"/>
    <x v="0"/>
    <x v="0"/>
    <x v="5"/>
    <x v="6"/>
    <s v="LT_A1"/>
    <x v="10"/>
    <x v="3"/>
    <s v="GBPR_WOODWASTE"/>
    <x v="2"/>
    <x v="8"/>
    <n v="325.86149372269801"/>
    <n v="19823.240868130801"/>
    <n v="71363.667125270906"/>
  </r>
  <r>
    <x v="0"/>
    <x v="0"/>
    <x v="0"/>
    <x v="5"/>
    <x v="6"/>
    <s v="LT_A1"/>
    <x v="10"/>
    <x v="3"/>
    <s v="GBPR_WOODWASTE"/>
    <x v="2"/>
    <x v="9"/>
    <n v="310.20152223447298"/>
    <n v="18870.592602597098"/>
    <n v="67934.1333693497"/>
  </r>
  <r>
    <x v="0"/>
    <x v="0"/>
    <x v="0"/>
    <x v="5"/>
    <x v="6"/>
    <s v="LT_A1"/>
    <x v="10"/>
    <x v="3"/>
    <s v="GBPR_WOODWASTE"/>
    <x v="2"/>
    <x v="10"/>
    <n v="300.57819000605201"/>
    <n v="18285.173225368198"/>
    <n v="65826.623611325398"/>
  </r>
  <r>
    <x v="0"/>
    <x v="0"/>
    <x v="0"/>
    <x v="5"/>
    <x v="6"/>
    <s v="LT_A1"/>
    <x v="10"/>
    <x v="3"/>
    <s v="GBPR_WOODWASTE"/>
    <x v="2"/>
    <x v="11"/>
    <n v="290.95485777763099"/>
    <n v="17699.7538481392"/>
    <n v="63719.113853301198"/>
  </r>
  <r>
    <x v="0"/>
    <x v="0"/>
    <x v="0"/>
    <x v="5"/>
    <x v="6"/>
    <s v="LT_A1"/>
    <x v="10"/>
    <x v="3"/>
    <s v="GBPR_WOODWASTE"/>
    <x v="3"/>
    <x v="0"/>
    <n v="78.959133833068805"/>
    <n v="4803.3473081783504"/>
    <n v="17292.0503094421"/>
  </r>
  <r>
    <x v="0"/>
    <x v="0"/>
    <x v="0"/>
    <x v="5"/>
    <x v="6"/>
    <s v="LT_A1"/>
    <x v="10"/>
    <x v="3"/>
    <s v="GBPR_WOODWASTE"/>
    <x v="3"/>
    <x v="4"/>
    <n v="307.512407343029"/>
    <n v="18707.004780034302"/>
    <n v="67345.2172081233"/>
  </r>
  <r>
    <x v="0"/>
    <x v="0"/>
    <x v="0"/>
    <x v="5"/>
    <x v="6"/>
    <s v="LT_A1"/>
    <x v="10"/>
    <x v="3"/>
    <s v="GBPR_WOODWASTE"/>
    <x v="3"/>
    <x v="5"/>
    <n v="326.99824040013402"/>
    <n v="19892.392957674801"/>
    <n v="71612.614647629394"/>
  </r>
  <r>
    <x v="0"/>
    <x v="0"/>
    <x v="0"/>
    <x v="5"/>
    <x v="6"/>
    <s v="LT_A1"/>
    <x v="10"/>
    <x v="3"/>
    <s v="GBPR_WOODWASTE"/>
    <x v="3"/>
    <x v="6"/>
    <n v="343.88318503394697"/>
    <n v="20919.560422898499"/>
    <n v="75310.417522434494"/>
  </r>
  <r>
    <x v="0"/>
    <x v="0"/>
    <x v="0"/>
    <x v="5"/>
    <x v="6"/>
    <s v="LT_A1"/>
    <x v="10"/>
    <x v="3"/>
    <s v="GBPR_WOODWASTE"/>
    <x v="3"/>
    <x v="7"/>
    <n v="370.39146189618401"/>
    <n v="22532.147265351199"/>
    <n v="81115.730155264304"/>
  </r>
  <r>
    <x v="0"/>
    <x v="0"/>
    <x v="0"/>
    <x v="5"/>
    <x v="6"/>
    <s v="LT_A1"/>
    <x v="10"/>
    <x v="3"/>
    <s v="GBPR_WOODWASTE"/>
    <x v="3"/>
    <x v="8"/>
    <n v="347.51399123664498"/>
    <n v="21140.434466895898"/>
    <n v="76105.564080825396"/>
  </r>
  <r>
    <x v="0"/>
    <x v="0"/>
    <x v="0"/>
    <x v="5"/>
    <x v="6"/>
    <s v="LT_A1"/>
    <x v="10"/>
    <x v="3"/>
    <s v="GBPR_WOODWASTE"/>
    <x v="3"/>
    <x v="9"/>
    <n v="310.20152223447298"/>
    <n v="18870.592602597098"/>
    <n v="67934.1333693497"/>
  </r>
  <r>
    <x v="0"/>
    <x v="0"/>
    <x v="0"/>
    <x v="5"/>
    <x v="6"/>
    <s v="LT_A1"/>
    <x v="10"/>
    <x v="3"/>
    <s v="GBPR_WOODWASTE"/>
    <x v="3"/>
    <x v="10"/>
    <n v="300.57819000605201"/>
    <n v="18285.173225368198"/>
    <n v="65826.623611325398"/>
  </r>
  <r>
    <x v="0"/>
    <x v="0"/>
    <x v="0"/>
    <x v="5"/>
    <x v="6"/>
    <s v="LT_A1"/>
    <x v="10"/>
    <x v="3"/>
    <s v="GBPR_WOODWASTE"/>
    <x v="3"/>
    <x v="11"/>
    <n v="288.54902472052601"/>
    <n v="17553.399003832001"/>
    <n v="63192.236413795101"/>
  </r>
  <r>
    <x v="0"/>
    <x v="0"/>
    <x v="0"/>
    <x v="5"/>
    <x v="6"/>
    <s v="LT_A1"/>
    <x v="10"/>
    <x v="3"/>
    <s v="GBPR_WOODWASTE"/>
    <x v="4"/>
    <x v="0"/>
    <n v="270.11373255365203"/>
    <n v="16431.918730347101"/>
    <n v="59154.907429249703"/>
  </r>
  <r>
    <x v="0"/>
    <x v="0"/>
    <x v="0"/>
    <x v="5"/>
    <x v="6"/>
    <s v="LT_A1"/>
    <x v="10"/>
    <x v="3"/>
    <s v="GBPR_WOODWASTE"/>
    <x v="4"/>
    <x v="1"/>
    <n v="221.747777074971"/>
    <n v="13489.656438727399"/>
    <n v="48562.763179418696"/>
  </r>
  <r>
    <x v="0"/>
    <x v="0"/>
    <x v="0"/>
    <x v="5"/>
    <x v="6"/>
    <s v="LT_A1"/>
    <x v="10"/>
    <x v="3"/>
    <s v="GBPR_WOODWASTE"/>
    <x v="4"/>
    <x v="2"/>
    <n v="363.65053702672998"/>
    <n v="22122.074335792699"/>
    <n v="79639.467608853898"/>
  </r>
  <r>
    <x v="0"/>
    <x v="0"/>
    <x v="0"/>
    <x v="5"/>
    <x v="6"/>
    <s v="LT_A1"/>
    <x v="10"/>
    <x v="3"/>
    <s v="GBPR_WOODWASTE"/>
    <x v="4"/>
    <x v="3"/>
    <n v="446.64142449707401"/>
    <n v="27170.686656905302"/>
    <n v="97814.471964859302"/>
  </r>
  <r>
    <x v="0"/>
    <x v="0"/>
    <x v="0"/>
    <x v="5"/>
    <x v="6"/>
    <s v="LT_A1"/>
    <x v="10"/>
    <x v="3"/>
    <s v="GBPR_WOODWASTE"/>
    <x v="4"/>
    <x v="4"/>
    <n v="465.76324214450301"/>
    <n v="28333.9305637906"/>
    <n v="102002.150029646"/>
  </r>
  <r>
    <x v="0"/>
    <x v="0"/>
    <x v="0"/>
    <x v="5"/>
    <x v="6"/>
    <s v="LT_A1"/>
    <x v="10"/>
    <x v="3"/>
    <s v="GBPR_WOODWASTE"/>
    <x v="4"/>
    <x v="5"/>
    <n v="530"/>
    <n v="32241.666666666701"/>
    <n v="116070"/>
  </r>
  <r>
    <x v="0"/>
    <x v="0"/>
    <x v="0"/>
    <x v="5"/>
    <x v="6"/>
    <s v="LT_A1"/>
    <x v="10"/>
    <x v="3"/>
    <s v="GBPR_WOODWASTE"/>
    <x v="4"/>
    <x v="6"/>
    <n v="530"/>
    <n v="32241.666666666701"/>
    <n v="116070"/>
  </r>
  <r>
    <x v="0"/>
    <x v="0"/>
    <x v="0"/>
    <x v="5"/>
    <x v="6"/>
    <s v="LT_A1"/>
    <x v="10"/>
    <x v="3"/>
    <s v="GBPR_WOODWASTE"/>
    <x v="4"/>
    <x v="7"/>
    <n v="530"/>
    <n v="32241.666666666701"/>
    <n v="116070"/>
  </r>
  <r>
    <x v="0"/>
    <x v="0"/>
    <x v="0"/>
    <x v="5"/>
    <x v="6"/>
    <s v="LT_A1"/>
    <x v="10"/>
    <x v="3"/>
    <s v="GBPR_WOODWASTE"/>
    <x v="4"/>
    <x v="8"/>
    <n v="530"/>
    <n v="32241.666666666701"/>
    <n v="116070"/>
  </r>
  <r>
    <x v="0"/>
    <x v="0"/>
    <x v="0"/>
    <x v="5"/>
    <x v="6"/>
    <s v="LT_A1"/>
    <x v="10"/>
    <x v="3"/>
    <s v="GBPR_WOODWASTE"/>
    <x v="4"/>
    <x v="9"/>
    <n v="530"/>
    <n v="32241.666666666701"/>
    <n v="116070"/>
  </r>
  <r>
    <x v="0"/>
    <x v="0"/>
    <x v="0"/>
    <x v="5"/>
    <x v="6"/>
    <s v="LT_A1"/>
    <x v="10"/>
    <x v="3"/>
    <s v="GBPR_WOODWASTE"/>
    <x v="4"/>
    <x v="10"/>
    <n v="530"/>
    <n v="32241.666666666701"/>
    <n v="116070"/>
  </r>
  <r>
    <x v="0"/>
    <x v="0"/>
    <x v="0"/>
    <x v="5"/>
    <x v="6"/>
    <s v="LT_A1"/>
    <x v="10"/>
    <x v="3"/>
    <s v="GBPR_WOODWASTE"/>
    <x v="4"/>
    <x v="11"/>
    <n v="530"/>
    <n v="32241.666666666701"/>
    <n v="116070"/>
  </r>
  <r>
    <x v="0"/>
    <x v="0"/>
    <x v="0"/>
    <x v="5"/>
    <x v="6"/>
    <s v="LT_A1"/>
    <x v="10"/>
    <x v="3"/>
    <s v="GBPR_WOODWASTE"/>
    <x v="5"/>
    <x v="0"/>
    <n v="264.58648610889003"/>
    <n v="16095.6779049575"/>
    <n v="57944.440457846897"/>
  </r>
  <r>
    <x v="0"/>
    <x v="0"/>
    <x v="0"/>
    <x v="5"/>
    <x v="6"/>
    <s v="LT_A1"/>
    <x v="10"/>
    <x v="3"/>
    <s v="GBPR_WOODWASTE"/>
    <x v="5"/>
    <x v="1"/>
    <n v="277.79651130593101"/>
    <n v="16899.287771110801"/>
    <n v="60837.4359759988"/>
  </r>
  <r>
    <x v="0"/>
    <x v="0"/>
    <x v="0"/>
    <x v="5"/>
    <x v="6"/>
    <s v="LT_A1"/>
    <x v="10"/>
    <x v="3"/>
    <s v="GBPR_WOODWASTE"/>
    <x v="5"/>
    <x v="2"/>
    <n v="275.390678248825"/>
    <n v="16752.9329268035"/>
    <n v="60310.558536492797"/>
  </r>
  <r>
    <x v="0"/>
    <x v="0"/>
    <x v="0"/>
    <x v="5"/>
    <x v="6"/>
    <s v="LT_A1"/>
    <x v="10"/>
    <x v="3"/>
    <s v="GBPR_WOODWASTE"/>
    <x v="5"/>
    <x v="3"/>
    <n v="309.39896523189901"/>
    <n v="18821.770384940599"/>
    <n v="67758.373385786006"/>
  </r>
  <r>
    <x v="0"/>
    <x v="0"/>
    <x v="0"/>
    <x v="5"/>
    <x v="6"/>
    <s v="LT_A1"/>
    <x v="10"/>
    <x v="3"/>
    <s v="GBPR_WOODWASTE"/>
    <x v="5"/>
    <x v="4"/>
    <n v="426.35953656441097"/>
    <n v="25936.8718076683"/>
    <n v="93372.738507606104"/>
  </r>
  <r>
    <x v="0"/>
    <x v="0"/>
    <x v="0"/>
    <x v="5"/>
    <x v="6"/>
    <s v="LT_A1"/>
    <x v="10"/>
    <x v="3"/>
    <s v="GBPR_WOODWASTE"/>
    <x v="5"/>
    <x v="5"/>
    <n v="530"/>
    <n v="32241.666666666701"/>
    <n v="116070"/>
  </r>
  <r>
    <x v="0"/>
    <x v="0"/>
    <x v="0"/>
    <x v="5"/>
    <x v="6"/>
    <s v="LT_A1"/>
    <x v="10"/>
    <x v="3"/>
    <s v="GBPR_WOODWASTE"/>
    <x v="5"/>
    <x v="6"/>
    <n v="530"/>
    <n v="32241.666666666701"/>
    <n v="116070"/>
  </r>
  <r>
    <x v="0"/>
    <x v="0"/>
    <x v="0"/>
    <x v="5"/>
    <x v="6"/>
    <s v="LT_A1"/>
    <x v="10"/>
    <x v="3"/>
    <s v="GBPR_WOODWASTE"/>
    <x v="5"/>
    <x v="7"/>
    <n v="530"/>
    <n v="32241.666666666701"/>
    <n v="116070"/>
  </r>
  <r>
    <x v="0"/>
    <x v="0"/>
    <x v="0"/>
    <x v="5"/>
    <x v="6"/>
    <s v="LT_A1"/>
    <x v="10"/>
    <x v="3"/>
    <s v="GBPR_WOODWASTE"/>
    <x v="5"/>
    <x v="8"/>
    <n v="530"/>
    <n v="32241.666666666701"/>
    <n v="116070"/>
  </r>
  <r>
    <x v="0"/>
    <x v="0"/>
    <x v="0"/>
    <x v="5"/>
    <x v="6"/>
    <s v="LT_A1"/>
    <x v="10"/>
    <x v="3"/>
    <s v="GBPR_WOODWASTE"/>
    <x v="5"/>
    <x v="9"/>
    <n v="530"/>
    <n v="32241.666666666701"/>
    <n v="116070"/>
  </r>
  <r>
    <x v="0"/>
    <x v="0"/>
    <x v="0"/>
    <x v="5"/>
    <x v="6"/>
    <s v="LT_A1"/>
    <x v="10"/>
    <x v="3"/>
    <s v="GBPR_WOODWASTE"/>
    <x v="5"/>
    <x v="10"/>
    <n v="530"/>
    <n v="32241.666666666701"/>
    <n v="116070"/>
  </r>
  <r>
    <x v="0"/>
    <x v="0"/>
    <x v="0"/>
    <x v="5"/>
    <x v="6"/>
    <s v="LT_A1"/>
    <x v="10"/>
    <x v="3"/>
    <s v="GBPR_WOODWASTE"/>
    <x v="5"/>
    <x v="11"/>
    <n v="530"/>
    <n v="32241.666666666701"/>
    <n v="116070"/>
  </r>
  <r>
    <x v="0"/>
    <x v="0"/>
    <x v="0"/>
    <x v="5"/>
    <x v="6"/>
    <s v="LT_A1"/>
    <x v="10"/>
    <x v="3"/>
    <s v="GBPR_WOODWASTE"/>
    <x v="6"/>
    <x v="0"/>
    <n v="252.338865903189"/>
    <n v="15350.614342444"/>
    <n v="55262.211632798397"/>
  </r>
  <r>
    <x v="0"/>
    <x v="0"/>
    <x v="0"/>
    <x v="5"/>
    <x v="6"/>
    <s v="LT_A1"/>
    <x v="10"/>
    <x v="3"/>
    <s v="GBPR_WOODWASTE"/>
    <x v="6"/>
    <x v="1"/>
    <n v="198.40402042145601"/>
    <n v="12069.5779089719"/>
    <n v="43450.480472298899"/>
  </r>
  <r>
    <x v="0"/>
    <x v="0"/>
    <x v="0"/>
    <x v="5"/>
    <x v="6"/>
    <s v="LT_A1"/>
    <x v="10"/>
    <x v="3"/>
    <s v="GBPR_WOODWASTE"/>
    <x v="6"/>
    <x v="2"/>
    <n v="224.868184049614"/>
    <n v="13679.4811963515"/>
    <n v="49246.132306865598"/>
  </r>
  <r>
    <x v="0"/>
    <x v="0"/>
    <x v="0"/>
    <x v="5"/>
    <x v="6"/>
    <s v="LT_A1"/>
    <x v="10"/>
    <x v="3"/>
    <s v="GBPR_WOODWASTE"/>
    <x v="6"/>
    <x v="3"/>
    <n v="453.94775661075897"/>
    <n v="27615.155193821101"/>
    <n v="99414.558697756103"/>
  </r>
  <r>
    <x v="0"/>
    <x v="0"/>
    <x v="0"/>
    <x v="5"/>
    <x v="6"/>
    <s v="LT_A1"/>
    <x v="10"/>
    <x v="3"/>
    <s v="GBPR_WOODWASTE"/>
    <x v="6"/>
    <x v="4"/>
    <n v="530"/>
    <n v="32241.666666666701"/>
    <n v="116070"/>
  </r>
  <r>
    <x v="0"/>
    <x v="0"/>
    <x v="0"/>
    <x v="5"/>
    <x v="6"/>
    <s v="LT_A1"/>
    <x v="10"/>
    <x v="3"/>
    <s v="GBPR_WOODWASTE"/>
    <x v="6"/>
    <x v="5"/>
    <n v="530"/>
    <n v="32241.666666666701"/>
    <n v="116070"/>
  </r>
  <r>
    <x v="0"/>
    <x v="0"/>
    <x v="0"/>
    <x v="5"/>
    <x v="6"/>
    <s v="LT_A1"/>
    <x v="10"/>
    <x v="3"/>
    <s v="GBPR_WOODWASTE"/>
    <x v="6"/>
    <x v="6"/>
    <n v="530"/>
    <n v="32241.666666666701"/>
    <n v="116070"/>
  </r>
  <r>
    <x v="0"/>
    <x v="0"/>
    <x v="0"/>
    <x v="5"/>
    <x v="6"/>
    <s v="LT_A1"/>
    <x v="10"/>
    <x v="3"/>
    <s v="GBPR_WOODWASTE"/>
    <x v="6"/>
    <x v="7"/>
    <n v="530"/>
    <n v="32241.666666666701"/>
    <n v="116070"/>
  </r>
  <r>
    <x v="0"/>
    <x v="0"/>
    <x v="0"/>
    <x v="5"/>
    <x v="6"/>
    <s v="LT_A1"/>
    <x v="10"/>
    <x v="3"/>
    <s v="GBPR_WOODWASTE"/>
    <x v="6"/>
    <x v="8"/>
    <n v="530"/>
    <n v="32241.666666666701"/>
    <n v="116070"/>
  </r>
  <r>
    <x v="0"/>
    <x v="0"/>
    <x v="0"/>
    <x v="5"/>
    <x v="6"/>
    <s v="LT_A1"/>
    <x v="10"/>
    <x v="3"/>
    <s v="GBPR_WOODWASTE"/>
    <x v="6"/>
    <x v="9"/>
    <n v="530"/>
    <n v="32241.666666666701"/>
    <n v="116070"/>
  </r>
  <r>
    <x v="0"/>
    <x v="0"/>
    <x v="0"/>
    <x v="5"/>
    <x v="6"/>
    <s v="LT_A1"/>
    <x v="10"/>
    <x v="3"/>
    <s v="GBPR_WOODWASTE"/>
    <x v="6"/>
    <x v="10"/>
    <n v="530"/>
    <n v="32241.666666666701"/>
    <n v="116070"/>
  </r>
  <r>
    <x v="0"/>
    <x v="0"/>
    <x v="0"/>
    <x v="5"/>
    <x v="6"/>
    <s v="LT_A1"/>
    <x v="10"/>
    <x v="3"/>
    <s v="GBPR_WOODWASTE"/>
    <x v="6"/>
    <x v="11"/>
    <n v="530"/>
    <n v="32241.666666666701"/>
    <n v="116070"/>
  </r>
  <r>
    <x v="0"/>
    <x v="0"/>
    <x v="0"/>
    <x v="5"/>
    <x v="6"/>
    <s v="LT_A1"/>
    <x v="10"/>
    <x v="3"/>
    <s v="GBPR_WOODWASTE"/>
    <x v="7"/>
    <x v="0"/>
    <n v="233.35865949937499"/>
    <n v="14195.985119545299"/>
    <n v="51105.546430363102"/>
  </r>
  <r>
    <x v="0"/>
    <x v="0"/>
    <x v="0"/>
    <x v="5"/>
    <x v="6"/>
    <s v="LT_A1"/>
    <x v="10"/>
    <x v="3"/>
    <s v="GBPR_WOODWASTE"/>
    <x v="7"/>
    <x v="1"/>
    <n v="165.39121902442201"/>
    <n v="10061.299157318999"/>
    <n v="36220.676966348299"/>
  </r>
  <r>
    <x v="0"/>
    <x v="0"/>
    <x v="0"/>
    <x v="5"/>
    <x v="6"/>
    <s v="LT_A1"/>
    <x v="10"/>
    <x v="3"/>
    <s v="GBPR_WOODWASTE"/>
    <x v="7"/>
    <x v="2"/>
    <n v="200.836295229347"/>
    <n v="12217.5412931186"/>
    <n v="43983.148655227"/>
  </r>
  <r>
    <x v="0"/>
    <x v="0"/>
    <x v="0"/>
    <x v="5"/>
    <x v="6"/>
    <s v="LT_A1"/>
    <x v="10"/>
    <x v="3"/>
    <s v="GBPR_WOODWASTE"/>
    <x v="7"/>
    <x v="3"/>
    <n v="352.091079568559"/>
    <n v="21418.874007087299"/>
    <n v="77107.946425514398"/>
  </r>
  <r>
    <x v="0"/>
    <x v="0"/>
    <x v="0"/>
    <x v="5"/>
    <x v="6"/>
    <s v="LT_A1"/>
    <x v="10"/>
    <x v="3"/>
    <s v="GBPR_WOODWASTE"/>
    <x v="7"/>
    <x v="4"/>
    <n v="391.71656434171399"/>
    <n v="23829.424330787599"/>
    <n v="85785.927590835301"/>
  </r>
  <r>
    <x v="0"/>
    <x v="0"/>
    <x v="0"/>
    <x v="5"/>
    <x v="6"/>
    <s v="LT_A1"/>
    <x v="10"/>
    <x v="3"/>
    <s v="GBPR_WOODWASTE"/>
    <x v="7"/>
    <x v="5"/>
    <n v="398.24919975824298"/>
    <n v="24226.826318626499"/>
    <n v="87216.574747055201"/>
  </r>
  <r>
    <x v="0"/>
    <x v="0"/>
    <x v="0"/>
    <x v="5"/>
    <x v="6"/>
    <s v="LT_A1"/>
    <x v="10"/>
    <x v="3"/>
    <s v="GBPR_WOODWASTE"/>
    <x v="7"/>
    <x v="6"/>
    <n v="430.49317508974002"/>
    <n v="26188.334817959199"/>
    <n v="94278.005344652993"/>
  </r>
  <r>
    <x v="0"/>
    <x v="0"/>
    <x v="0"/>
    <x v="5"/>
    <x v="6"/>
    <s v="LT_A1"/>
    <x v="10"/>
    <x v="3"/>
    <s v="GBPR_WOODWASTE"/>
    <x v="7"/>
    <x v="7"/>
    <n v="440.16062055223699"/>
    <n v="26776.437750261099"/>
    <n v="96395.175900939896"/>
  </r>
  <r>
    <x v="0"/>
    <x v="0"/>
    <x v="0"/>
    <x v="5"/>
    <x v="6"/>
    <s v="LT_A1"/>
    <x v="10"/>
    <x v="3"/>
    <s v="GBPR_WOODWASTE"/>
    <x v="7"/>
    <x v="8"/>
    <n v="414.107921951663"/>
    <n v="25191.565252059499"/>
    <n v="90689.634907414307"/>
  </r>
  <r>
    <x v="0"/>
    <x v="0"/>
    <x v="0"/>
    <x v="5"/>
    <x v="6"/>
    <s v="LT_A1"/>
    <x v="10"/>
    <x v="3"/>
    <s v="GBPR_WOODWASTE"/>
    <x v="7"/>
    <x v="9"/>
    <n v="404.02901146158001"/>
    <n v="24578.431530579401"/>
    <n v="88482.353510085901"/>
  </r>
  <r>
    <x v="0"/>
    <x v="0"/>
    <x v="0"/>
    <x v="5"/>
    <x v="6"/>
    <s v="LT_A1"/>
    <x v="10"/>
    <x v="3"/>
    <s v="GBPR_WOODWASTE"/>
    <x v="7"/>
    <x v="10"/>
    <n v="370.10818006184201"/>
    <n v="22514.914287095398"/>
    <n v="81053.691433543499"/>
  </r>
  <r>
    <x v="0"/>
    <x v="0"/>
    <x v="0"/>
    <x v="5"/>
    <x v="6"/>
    <s v="LT_A1"/>
    <x v="10"/>
    <x v="3"/>
    <s v="GBPR_WOODWASTE"/>
    <x v="7"/>
    <x v="11"/>
    <n v="370.34734866210499"/>
    <n v="22529.463710278102"/>
    <n v="81106.069357001106"/>
  </r>
  <r>
    <x v="0"/>
    <x v="0"/>
    <x v="0"/>
    <x v="5"/>
    <x v="6"/>
    <s v="LT_A1"/>
    <x v="10"/>
    <x v="3"/>
    <s v="GBPR_WOODWASTE"/>
    <x v="8"/>
    <x v="0"/>
    <n v="193.257393747566"/>
    <n v="11756.491452976899"/>
    <n v="42323.369230716897"/>
  </r>
  <r>
    <x v="0"/>
    <x v="0"/>
    <x v="0"/>
    <x v="5"/>
    <x v="6"/>
    <s v="LT_A1"/>
    <x v="10"/>
    <x v="3"/>
    <s v="GBPR_WOODWASTE"/>
    <x v="8"/>
    <x v="1"/>
    <n v="180.00325531644901"/>
    <n v="10950.1980317506"/>
    <n v="39420.712914302298"/>
  </r>
  <r>
    <x v="0"/>
    <x v="0"/>
    <x v="0"/>
    <x v="5"/>
    <x v="6"/>
    <s v="LT_A1"/>
    <x v="10"/>
    <x v="3"/>
    <s v="GBPR_WOODWASTE"/>
    <x v="8"/>
    <x v="2"/>
    <n v="180.00325531644901"/>
    <n v="10950.1980317506"/>
    <n v="39420.712914302298"/>
  </r>
  <r>
    <x v="0"/>
    <x v="0"/>
    <x v="0"/>
    <x v="5"/>
    <x v="6"/>
    <s v="LT_A1"/>
    <x v="10"/>
    <x v="3"/>
    <s v="GBPR_WOODWASTE"/>
    <x v="8"/>
    <x v="3"/>
    <n v="182.409088373554"/>
    <n v="11096.5528760579"/>
    <n v="39947.5903538083"/>
  </r>
  <r>
    <x v="0"/>
    <x v="0"/>
    <x v="0"/>
    <x v="5"/>
    <x v="6"/>
    <s v="LT_A1"/>
    <x v="10"/>
    <x v="3"/>
    <s v="GBPR_WOODWASTE"/>
    <x v="8"/>
    <x v="4"/>
    <n v="184.81492143065901"/>
    <n v="11242.9077203651"/>
    <n v="40474.467793314398"/>
  </r>
  <r>
    <x v="0"/>
    <x v="0"/>
    <x v="0"/>
    <x v="5"/>
    <x v="6"/>
    <s v="LT_A1"/>
    <x v="10"/>
    <x v="3"/>
    <s v="GBPR_WOODWASTE"/>
    <x v="8"/>
    <x v="5"/>
    <n v="187.22075448776499"/>
    <n v="11389.262564672301"/>
    <n v="41001.3452328204"/>
  </r>
  <r>
    <x v="0"/>
    <x v="0"/>
    <x v="0"/>
    <x v="5"/>
    <x v="6"/>
    <s v="LT_A1"/>
    <x v="10"/>
    <x v="3"/>
    <s v="GBPR_WOODWASTE"/>
    <x v="8"/>
    <x v="6"/>
    <n v="225.758196635525"/>
    <n v="13733.6236286611"/>
    <n v="49441.045063179998"/>
  </r>
  <r>
    <x v="0"/>
    <x v="0"/>
    <x v="0"/>
    <x v="5"/>
    <x v="6"/>
    <s v="LT_A1"/>
    <x v="10"/>
    <x v="3"/>
    <s v="GBPR_WOODWASTE"/>
    <x v="8"/>
    <x v="7"/>
    <n v="257.07813961197201"/>
    <n v="15638.920159728301"/>
    <n v="56300.112575022002"/>
  </r>
  <r>
    <x v="0"/>
    <x v="0"/>
    <x v="0"/>
    <x v="5"/>
    <x v="6"/>
    <s v="LT_A1"/>
    <x v="10"/>
    <x v="3"/>
    <s v="GBPR_WOODWASTE"/>
    <x v="8"/>
    <x v="8"/>
    <n v="246.22983423795799"/>
    <n v="14978.9815828091"/>
    <n v="53924.333698112903"/>
  </r>
  <r>
    <x v="0"/>
    <x v="0"/>
    <x v="0"/>
    <x v="5"/>
    <x v="6"/>
    <s v="LT_A1"/>
    <x v="10"/>
    <x v="3"/>
    <s v="GBPR_WOODWASTE"/>
    <x v="8"/>
    <x v="9"/>
    <n v="245.004861092368"/>
    <n v="14904.462383119"/>
    <n v="53656.064579228499"/>
  </r>
  <r>
    <x v="0"/>
    <x v="0"/>
    <x v="0"/>
    <x v="5"/>
    <x v="6"/>
    <s v="LT_A1"/>
    <x v="10"/>
    <x v="3"/>
    <s v="GBPR_WOODWASTE"/>
    <x v="8"/>
    <x v="10"/>
    <n v="252.22236026368299"/>
    <n v="15343.526916040701"/>
    <n v="55236.696897746697"/>
  </r>
  <r>
    <x v="0"/>
    <x v="0"/>
    <x v="0"/>
    <x v="5"/>
    <x v="6"/>
    <s v="LT_A1"/>
    <x v="10"/>
    <x v="3"/>
    <s v="GBPR_WOODWASTE"/>
    <x v="8"/>
    <x v="11"/>
    <n v="259.43985943499899"/>
    <n v="15782.591448962499"/>
    <n v="56817.329216264901"/>
  </r>
  <r>
    <x v="0"/>
    <x v="0"/>
    <x v="0"/>
    <x v="5"/>
    <x v="6"/>
    <s v="LT_A1"/>
    <x v="10"/>
    <x v="3"/>
    <s v="GBPR_WOODWASTE"/>
    <x v="9"/>
    <x v="0"/>
    <n v="217.315724318619"/>
    <n v="13220.0398960493"/>
    <n v="47592.143625777499"/>
  </r>
  <r>
    <x v="0"/>
    <x v="0"/>
    <x v="0"/>
    <x v="5"/>
    <x v="6"/>
    <s v="LT_A1"/>
    <x v="10"/>
    <x v="3"/>
    <s v="GBPR_WOODWASTE"/>
    <x v="9"/>
    <x v="1"/>
    <n v="211.279085058817"/>
    <n v="12852.8110077447"/>
    <n v="46270.119627881002"/>
  </r>
  <r>
    <x v="0"/>
    <x v="0"/>
    <x v="0"/>
    <x v="5"/>
    <x v="6"/>
    <s v="LT_A1"/>
    <x v="10"/>
    <x v="3"/>
    <s v="GBPR_WOODWASTE"/>
    <x v="9"/>
    <x v="2"/>
    <n v="223.308250344344"/>
    <n v="13584.5852292809"/>
    <n v="48904.506825411299"/>
  </r>
  <r>
    <x v="0"/>
    <x v="0"/>
    <x v="0"/>
    <x v="5"/>
    <x v="6"/>
    <s v="LT_A1"/>
    <x v="10"/>
    <x v="3"/>
    <s v="GBPR_WOODWASTE"/>
    <x v="9"/>
    <x v="3"/>
    <n v="244.960747858291"/>
    <n v="14901.778828046101"/>
    <n v="53646.403780965797"/>
  </r>
  <r>
    <x v="0"/>
    <x v="0"/>
    <x v="0"/>
    <x v="5"/>
    <x v="6"/>
    <s v="LT_A1"/>
    <x v="10"/>
    <x v="3"/>
    <s v="GBPR_WOODWASTE"/>
    <x v="9"/>
    <x v="4"/>
    <n v="264.20741231513398"/>
    <n v="16072.617582504001"/>
    <n v="57861.423297014298"/>
  </r>
  <r>
    <x v="0"/>
    <x v="0"/>
    <x v="0"/>
    <x v="5"/>
    <x v="6"/>
    <s v="LT_A1"/>
    <x v="10"/>
    <x v="3"/>
    <s v="GBPR_WOODWASTE"/>
    <x v="9"/>
    <x v="5"/>
    <n v="276.23657760065998"/>
    <n v="16804.391804040199"/>
    <n v="60495.810494544603"/>
  </r>
  <r>
    <x v="0"/>
    <x v="0"/>
    <x v="0"/>
    <x v="5"/>
    <x v="6"/>
    <s v="LT_A1"/>
    <x v="10"/>
    <x v="3"/>
    <s v="GBPR_WOODWASTE"/>
    <x v="9"/>
    <x v="6"/>
    <n v="312.368186691316"/>
    <n v="19002.3980237217"/>
    <n v="68408.632885398096"/>
  </r>
  <r>
    <x v="0"/>
    <x v="0"/>
    <x v="0"/>
    <x v="5"/>
    <x v="6"/>
    <s v="LT_A1"/>
    <x v="10"/>
    <x v="3"/>
    <s v="GBPR_WOODWASTE"/>
    <x v="9"/>
    <x v="7"/>
    <n v="338.87646355355201"/>
    <n v="20614.9848661744"/>
    <n v="74213.945518227905"/>
  </r>
  <r>
    <x v="0"/>
    <x v="0"/>
    <x v="0"/>
    <x v="5"/>
    <x v="6"/>
    <s v="LT_A1"/>
    <x v="10"/>
    <x v="3"/>
    <s v="GBPR_WOODWASTE"/>
    <x v="9"/>
    <x v="8"/>
    <n v="328.02815817954001"/>
    <n v="19955.046289255399"/>
    <n v="71838.166641319302"/>
  </r>
  <r>
    <x v="0"/>
    <x v="0"/>
    <x v="0"/>
    <x v="5"/>
    <x v="6"/>
    <s v="LT_A1"/>
    <x v="10"/>
    <x v="3"/>
    <s v="GBPR_WOODWASTE"/>
    <x v="9"/>
    <x v="9"/>
    <n v="307.556520577105"/>
    <n v="18709.688335107199"/>
    <n v="67354.878006386003"/>
  </r>
  <r>
    <x v="0"/>
    <x v="0"/>
    <x v="0"/>
    <x v="5"/>
    <x v="6"/>
    <s v="LT_A1"/>
    <x v="10"/>
    <x v="3"/>
    <s v="GBPR_WOODWASTE"/>
    <x v="9"/>
    <x v="10"/>
    <n v="300.33902140578903"/>
    <n v="18270.623802185499"/>
    <n v="65774.245687867806"/>
  </r>
  <r>
    <x v="0"/>
    <x v="0"/>
    <x v="0"/>
    <x v="5"/>
    <x v="6"/>
    <s v="LT_A1"/>
    <x v="10"/>
    <x v="3"/>
    <s v="GBPR_WOODWASTE"/>
    <x v="9"/>
    <x v="11"/>
    <n v="273.87485777763101"/>
    <n v="16660.7205148059"/>
    <n v="59978.593853301201"/>
  </r>
  <r>
    <x v="0"/>
    <x v="0"/>
    <x v="0"/>
    <x v="5"/>
    <x v="6"/>
    <s v="LT_A1"/>
    <x v="10"/>
    <x v="3"/>
    <s v="GBPR_WOODWASTE"/>
    <x v="10"/>
    <x v="2"/>
    <n v="134.29242723144799"/>
    <n v="8169.45598991306"/>
    <n v="29410.041563686998"/>
  </r>
  <r>
    <x v="0"/>
    <x v="0"/>
    <x v="0"/>
    <x v="5"/>
    <x v="6"/>
    <s v="LT_A1"/>
    <x v="10"/>
    <x v="3"/>
    <s v="GBPR_WOODWASTE"/>
    <x v="10"/>
    <x v="3"/>
    <n v="139.10409334565799"/>
    <n v="8462.1656785275409"/>
    <n v="30463.796442699098"/>
  </r>
  <r>
    <x v="0"/>
    <x v="0"/>
    <x v="0"/>
    <x v="5"/>
    <x v="6"/>
    <s v="LT_A1"/>
    <x v="10"/>
    <x v="3"/>
    <s v="GBPR_WOODWASTE"/>
    <x v="10"/>
    <x v="4"/>
    <n v="146.32159251697399"/>
    <n v="8901.2302114492595"/>
    <n v="32044.428761217299"/>
  </r>
  <r>
    <x v="0"/>
    <x v="0"/>
    <x v="0"/>
    <x v="5"/>
    <x v="6"/>
    <s v="LT_A1"/>
    <x v="10"/>
    <x v="3"/>
    <s v="GBPR_WOODWASTE"/>
    <x v="10"/>
    <x v="5"/>
    <n v="151.13325863118499"/>
    <n v="9193.9399000637295"/>
    <n v="33098.183640229399"/>
  </r>
  <r>
    <x v="0"/>
    <x v="0"/>
    <x v="0"/>
    <x v="5"/>
    <x v="6"/>
    <s v="LT_A1"/>
    <x v="10"/>
    <x v="3"/>
    <s v="GBPR_WOODWASTE"/>
    <x v="10"/>
    <x v="6"/>
    <n v="184.85903466473499"/>
    <n v="11245.591275438101"/>
    <n v="40484.1285915771"/>
  </r>
  <r>
    <x v="0"/>
    <x v="0"/>
    <x v="0"/>
    <x v="5"/>
    <x v="6"/>
    <s v="LT_A1"/>
    <x v="10"/>
    <x v="3"/>
    <s v="GBPR_WOODWASTE"/>
    <x v="10"/>
    <x v="7"/>
    <n v="230.61397598381399"/>
    <n v="14029.0168723487"/>
    <n v="50504.460740455303"/>
  </r>
  <r>
    <x v="0"/>
    <x v="0"/>
    <x v="0"/>
    <x v="5"/>
    <x v="6"/>
    <s v="LT_A1"/>
    <x v="10"/>
    <x v="3"/>
    <s v="GBPR_WOODWASTE"/>
    <x v="10"/>
    <x v="8"/>
    <n v="212.54817143848399"/>
    <n v="12930.0137625078"/>
    <n v="46548.049545028101"/>
  </r>
  <r>
    <x v="0"/>
    <x v="0"/>
    <x v="0"/>
    <x v="5"/>
    <x v="6"/>
    <s v="LT_A1"/>
    <x v="10"/>
    <x v="3"/>
    <s v="GBPR_WOODWASTE"/>
    <x v="10"/>
    <x v="9"/>
    <n v="187.264867721841"/>
    <n v="11391.9461197453"/>
    <n v="41011.006031083103"/>
  </r>
  <r>
    <x v="0"/>
    <x v="0"/>
    <x v="0"/>
    <x v="5"/>
    <x v="6"/>
    <s v="LT_A1"/>
    <x v="10"/>
    <x v="3"/>
    <s v="GBPR_WOODWASTE"/>
    <x v="10"/>
    <x v="10"/>
    <n v="192.076533836051"/>
    <n v="11684.655808359799"/>
    <n v="42064.760910095203"/>
  </r>
  <r>
    <x v="0"/>
    <x v="0"/>
    <x v="0"/>
    <x v="5"/>
    <x v="6"/>
    <s v="LT_A1"/>
    <x v="10"/>
    <x v="3"/>
    <s v="GBPR_WOODWASTE"/>
    <x v="10"/>
    <x v="11"/>
    <n v="184.85903466473499"/>
    <n v="11245.591275438101"/>
    <n v="40484.1285915771"/>
  </r>
  <r>
    <x v="0"/>
    <x v="0"/>
    <x v="0"/>
    <x v="5"/>
    <x v="6"/>
    <s v="LT_A1"/>
    <x v="10"/>
    <x v="3"/>
    <s v="GBPR_WOODWASTE"/>
    <x v="11"/>
    <x v="4"/>
    <n v="13.7649475250668"/>
    <n v="837.36764110822799"/>
    <n v="3014.5235079896202"/>
  </r>
  <r>
    <x v="0"/>
    <x v="0"/>
    <x v="0"/>
    <x v="5"/>
    <x v="6"/>
    <s v="LT_A1"/>
    <x v="10"/>
    <x v="3"/>
    <s v="GBPR_WOODWASTE"/>
    <x v="11"/>
    <x v="5"/>
    <n v="101.11250645332299"/>
    <n v="6151.0108092438404"/>
    <n v="22143.638913277799"/>
  </r>
  <r>
    <x v="0"/>
    <x v="0"/>
    <x v="0"/>
    <x v="5"/>
    <x v="6"/>
    <s v="LT_A1"/>
    <x v="10"/>
    <x v="3"/>
    <s v="GBPR_WOODWASTE"/>
    <x v="11"/>
    <x v="6"/>
    <n v="134.336540465524"/>
    <n v="8172.1395449860702"/>
    <n v="29419.702361949901"/>
  </r>
  <r>
    <x v="0"/>
    <x v="0"/>
    <x v="0"/>
    <x v="5"/>
    <x v="6"/>
    <s v="LT_A1"/>
    <x v="10"/>
    <x v="3"/>
    <s v="GBPR_WOODWASTE"/>
    <x v="11"/>
    <x v="7"/>
    <n v="160.84481732776001"/>
    <n v="9784.7263874387099"/>
    <n v="35225.014994779398"/>
  </r>
  <r>
    <x v="0"/>
    <x v="0"/>
    <x v="0"/>
    <x v="5"/>
    <x v="6"/>
    <s v="LT_A1"/>
    <x v="10"/>
    <x v="3"/>
    <s v="GBPR_WOODWASTE"/>
    <x v="11"/>
    <x v="8"/>
    <n v="145.18484583953699"/>
    <n v="8832.0781219051496"/>
    <n v="31795.4812388586"/>
  </r>
  <r>
    <x v="0"/>
    <x v="0"/>
    <x v="0"/>
    <x v="5"/>
    <x v="6"/>
    <s v="LT_A1"/>
    <x v="10"/>
    <x v="3"/>
    <s v="GBPR_WOODWASTE"/>
    <x v="11"/>
    <x v="9"/>
    <n v="124.713208237103"/>
    <n v="7586.7201677571202"/>
    <n v="27312.1926039256"/>
  </r>
  <r>
    <x v="0"/>
    <x v="0"/>
    <x v="0"/>
    <x v="5"/>
    <x v="6"/>
    <s v="LT_A1"/>
    <x v="10"/>
    <x v="3"/>
    <s v="GBPR_WOODWASTE"/>
    <x v="11"/>
    <x v="10"/>
    <n v="122.307375179998"/>
    <n v="7440.3653234498797"/>
    <n v="26785.3151644196"/>
  </r>
  <r>
    <x v="0"/>
    <x v="0"/>
    <x v="0"/>
    <x v="5"/>
    <x v="6"/>
    <s v="LT_A1"/>
    <x v="10"/>
    <x v="3"/>
    <s v="GBPR_WOODWASTE"/>
    <x v="11"/>
    <x v="11"/>
    <n v="119.90154212289301"/>
    <n v="7294.0104791426402"/>
    <n v="26258.4377249135"/>
  </r>
  <r>
    <x v="0"/>
    <x v="0"/>
    <x v="0"/>
    <x v="6"/>
    <x v="7"/>
    <s v="NE_OFFSHORE"/>
    <x v="0"/>
    <x v="0"/>
    <s v="GWND_WIND"/>
    <x v="0"/>
    <x v="0"/>
    <n v="258.93309582619298"/>
    <n v="15751.7633294267"/>
    <n v="56706.3479859363"/>
  </r>
  <r>
    <x v="0"/>
    <x v="0"/>
    <x v="0"/>
    <x v="6"/>
    <x v="7"/>
    <s v="NE_OFFSHORE"/>
    <x v="0"/>
    <x v="0"/>
    <s v="GWND_WIND"/>
    <x v="0"/>
    <x v="1"/>
    <n v="260.016555151582"/>
    <n v="15817.6737717212"/>
    <n v="56943.625578196399"/>
  </r>
  <r>
    <x v="0"/>
    <x v="0"/>
    <x v="0"/>
    <x v="6"/>
    <x v="7"/>
    <s v="NE_OFFSHORE"/>
    <x v="0"/>
    <x v="0"/>
    <s v="GWND_WIND"/>
    <x v="0"/>
    <x v="2"/>
    <n v="238.83408704389601"/>
    <n v="14529.0736285037"/>
    <n v="52304.665062613101"/>
  </r>
  <r>
    <x v="0"/>
    <x v="0"/>
    <x v="0"/>
    <x v="6"/>
    <x v="7"/>
    <s v="NE_OFFSHORE"/>
    <x v="0"/>
    <x v="0"/>
    <s v="GWND_WIND"/>
    <x v="0"/>
    <x v="3"/>
    <n v="220.54667439983501"/>
    <n v="13416.5893593233"/>
    <n v="48299.721693563901"/>
  </r>
  <r>
    <x v="0"/>
    <x v="0"/>
    <x v="0"/>
    <x v="6"/>
    <x v="7"/>
    <s v="NE_OFFSHORE"/>
    <x v="0"/>
    <x v="0"/>
    <s v="GWND_WIND"/>
    <x v="0"/>
    <x v="4"/>
    <n v="180.127942192028"/>
    <n v="10957.783150015001"/>
    <n v="39448.019340054103"/>
  </r>
  <r>
    <x v="0"/>
    <x v="0"/>
    <x v="0"/>
    <x v="6"/>
    <x v="7"/>
    <s v="NE_OFFSHORE"/>
    <x v="0"/>
    <x v="0"/>
    <s v="GWND_WIND"/>
    <x v="0"/>
    <x v="5"/>
    <n v="168.99539628939101"/>
    <n v="10280.5532742713"/>
    <n v="37009.991787376603"/>
  </r>
  <r>
    <x v="0"/>
    <x v="0"/>
    <x v="0"/>
    <x v="6"/>
    <x v="7"/>
    <s v="NE_OFFSHORE"/>
    <x v="0"/>
    <x v="0"/>
    <s v="GWND_WIND"/>
    <x v="0"/>
    <x v="6"/>
    <n v="148.718193263133"/>
    <n v="9047.0234235072803"/>
    <n v="32569.284324626198"/>
  </r>
  <r>
    <x v="0"/>
    <x v="0"/>
    <x v="0"/>
    <x v="6"/>
    <x v="7"/>
    <s v="NE_OFFSHORE"/>
    <x v="0"/>
    <x v="0"/>
    <s v="GWND_WIND"/>
    <x v="0"/>
    <x v="7"/>
    <n v="142.059173827531"/>
    <n v="8641.9330745081497"/>
    <n v="31110.959068229298"/>
  </r>
  <r>
    <x v="0"/>
    <x v="0"/>
    <x v="0"/>
    <x v="6"/>
    <x v="7"/>
    <s v="NE_OFFSHORE"/>
    <x v="0"/>
    <x v="0"/>
    <s v="GWND_WIND"/>
    <x v="0"/>
    <x v="8"/>
    <n v="140.258241585853"/>
    <n v="8532.3763631393704"/>
    <n v="30716.554907301699"/>
  </r>
  <r>
    <x v="0"/>
    <x v="0"/>
    <x v="0"/>
    <x v="6"/>
    <x v="7"/>
    <s v="NE_OFFSHORE"/>
    <x v="0"/>
    <x v="0"/>
    <s v="GWND_WIND"/>
    <x v="0"/>
    <x v="9"/>
    <n v="159.824293102116"/>
    <n v="9722.6444970454104"/>
    <n v="35001.520189363502"/>
  </r>
  <r>
    <x v="0"/>
    <x v="0"/>
    <x v="0"/>
    <x v="6"/>
    <x v="7"/>
    <s v="NE_OFFSHORE"/>
    <x v="0"/>
    <x v="0"/>
    <s v="GWND_WIND"/>
    <x v="0"/>
    <x v="10"/>
    <n v="193.759099275148"/>
    <n v="11787.0118725715"/>
    <n v="42433.242741257498"/>
  </r>
  <r>
    <x v="0"/>
    <x v="0"/>
    <x v="0"/>
    <x v="6"/>
    <x v="7"/>
    <s v="NE_OFFSHORE"/>
    <x v="0"/>
    <x v="0"/>
    <s v="GWND_WIND"/>
    <x v="0"/>
    <x v="11"/>
    <n v="224.698697751043"/>
    <n v="13669.1707798551"/>
    <n v="49209.014807478503"/>
  </r>
  <r>
    <x v="0"/>
    <x v="0"/>
    <x v="0"/>
    <x v="6"/>
    <x v="7"/>
    <s v="NE_OFFSHORE"/>
    <x v="0"/>
    <x v="0"/>
    <s v="GWND_WIND"/>
    <x v="1"/>
    <x v="0"/>
    <n v="100.665952857481"/>
    <n v="6123.84546549674"/>
    <n v="22045.843675788299"/>
  </r>
  <r>
    <x v="0"/>
    <x v="0"/>
    <x v="0"/>
    <x v="6"/>
    <x v="7"/>
    <s v="NE_OFFSHORE"/>
    <x v="0"/>
    <x v="0"/>
    <s v="GWND_WIND"/>
    <x v="1"/>
    <x v="1"/>
    <n v="120.058898764787"/>
    <n v="7303.5830081912"/>
    <n v="26292.898829488298"/>
  </r>
  <r>
    <x v="0"/>
    <x v="0"/>
    <x v="0"/>
    <x v="6"/>
    <x v="7"/>
    <s v="NE_OFFSHORE"/>
    <x v="0"/>
    <x v="0"/>
    <s v="GWND_WIND"/>
    <x v="1"/>
    <x v="2"/>
    <n v="113.925123026378"/>
    <n v="6930.4449841046398"/>
    <n v="24949.601942776699"/>
  </r>
  <r>
    <x v="0"/>
    <x v="0"/>
    <x v="0"/>
    <x v="6"/>
    <x v="7"/>
    <s v="NE_OFFSHORE"/>
    <x v="0"/>
    <x v="0"/>
    <s v="GWND_WIND"/>
    <x v="1"/>
    <x v="3"/>
    <n v="119.03253875117601"/>
    <n v="7241.1461073631999"/>
    <n v="26068.125986507501"/>
  </r>
  <r>
    <x v="0"/>
    <x v="0"/>
    <x v="0"/>
    <x v="6"/>
    <x v="7"/>
    <s v="NE_OFFSHORE"/>
    <x v="0"/>
    <x v="0"/>
    <s v="GWND_WIND"/>
    <x v="1"/>
    <x v="4"/>
    <n v="120.383804776316"/>
    <n v="7323.3481238925397"/>
    <n v="26364.0532460131"/>
  </r>
  <r>
    <x v="0"/>
    <x v="0"/>
    <x v="0"/>
    <x v="6"/>
    <x v="7"/>
    <s v="NE_OFFSHORE"/>
    <x v="0"/>
    <x v="0"/>
    <s v="GWND_WIND"/>
    <x v="1"/>
    <x v="5"/>
    <n v="132.425655642583"/>
    <n v="8055.8940515904596"/>
    <n v="29001.218585725699"/>
  </r>
  <r>
    <x v="0"/>
    <x v="0"/>
    <x v="0"/>
    <x v="6"/>
    <x v="7"/>
    <s v="NE_OFFSHORE"/>
    <x v="0"/>
    <x v="0"/>
    <s v="GWND_WIND"/>
    <x v="1"/>
    <x v="6"/>
    <n v="133.18621422695"/>
    <n v="8102.1613654728199"/>
    <n v="29167.7809157021"/>
  </r>
  <r>
    <x v="0"/>
    <x v="0"/>
    <x v="0"/>
    <x v="6"/>
    <x v="7"/>
    <s v="NE_OFFSHORE"/>
    <x v="0"/>
    <x v="0"/>
    <s v="GWND_WIND"/>
    <x v="1"/>
    <x v="7"/>
    <n v="127.41534964191"/>
    <n v="7751.1004365495301"/>
    <n v="27903.9615715783"/>
  </r>
  <r>
    <x v="0"/>
    <x v="0"/>
    <x v="0"/>
    <x v="6"/>
    <x v="7"/>
    <s v="NE_OFFSHORE"/>
    <x v="0"/>
    <x v="0"/>
    <s v="GWND_WIND"/>
    <x v="1"/>
    <x v="8"/>
    <n v="122.566350672734"/>
    <n v="7456.1196659246798"/>
    <n v="26842.0307973288"/>
  </r>
  <r>
    <x v="0"/>
    <x v="0"/>
    <x v="0"/>
    <x v="6"/>
    <x v="7"/>
    <s v="NE_OFFSHORE"/>
    <x v="0"/>
    <x v="0"/>
    <s v="GWND_WIND"/>
    <x v="1"/>
    <x v="9"/>
    <n v="127.227293484859"/>
    <n v="7739.6603536622297"/>
    <n v="27862.777273184001"/>
  </r>
  <r>
    <x v="0"/>
    <x v="0"/>
    <x v="0"/>
    <x v="6"/>
    <x v="7"/>
    <s v="NE_OFFSHORE"/>
    <x v="0"/>
    <x v="0"/>
    <s v="GWND_WIND"/>
    <x v="1"/>
    <x v="10"/>
    <n v="140.90948705097099"/>
    <n v="8571.9937956007307"/>
    <n v="30859.177664162598"/>
  </r>
  <r>
    <x v="0"/>
    <x v="0"/>
    <x v="0"/>
    <x v="6"/>
    <x v="7"/>
    <s v="NE_OFFSHORE"/>
    <x v="0"/>
    <x v="0"/>
    <s v="GWND_WIND"/>
    <x v="1"/>
    <x v="11"/>
    <n v="151.63386667421699"/>
    <n v="9224.3935560148402"/>
    <n v="33207.816801653396"/>
  </r>
  <r>
    <x v="0"/>
    <x v="0"/>
    <x v="0"/>
    <x v="6"/>
    <x v="7"/>
    <s v="NE_OFFSHORE"/>
    <x v="0"/>
    <x v="0"/>
    <s v="GWND_WIND"/>
    <x v="2"/>
    <x v="0"/>
    <n v="150.94520670933699"/>
    <n v="9182.5000748179791"/>
    <n v="33057.000269344702"/>
  </r>
  <r>
    <x v="0"/>
    <x v="0"/>
    <x v="0"/>
    <x v="6"/>
    <x v="7"/>
    <s v="NE_OFFSHORE"/>
    <x v="0"/>
    <x v="0"/>
    <s v="GWND_WIND"/>
    <x v="2"/>
    <x v="1"/>
    <n v="110.528717256598"/>
    <n v="6723.8302997763703"/>
    <n v="24205.789079194899"/>
  </r>
  <r>
    <x v="0"/>
    <x v="0"/>
    <x v="0"/>
    <x v="6"/>
    <x v="7"/>
    <s v="NE_OFFSHORE"/>
    <x v="0"/>
    <x v="0"/>
    <s v="GWND_WIND"/>
    <x v="2"/>
    <x v="2"/>
    <n v="95.690328312813804"/>
    <n v="5821.1616390295103"/>
    <n v="20956.181900506199"/>
  </r>
  <r>
    <x v="0"/>
    <x v="0"/>
    <x v="0"/>
    <x v="6"/>
    <x v="7"/>
    <s v="NE_OFFSHORE"/>
    <x v="0"/>
    <x v="0"/>
    <s v="GWND_WIND"/>
    <x v="2"/>
    <x v="3"/>
    <n v="86.627317393124798"/>
    <n v="5269.8284747484204"/>
    <n v="18971.382509094299"/>
  </r>
  <r>
    <x v="0"/>
    <x v="0"/>
    <x v="0"/>
    <x v="6"/>
    <x v="7"/>
    <s v="NE_OFFSHORE"/>
    <x v="0"/>
    <x v="0"/>
    <s v="GWND_WIND"/>
    <x v="2"/>
    <x v="4"/>
    <n v="91.4234650681923"/>
    <n v="5561.5941249816997"/>
    <n v="20021.7388499341"/>
  </r>
  <r>
    <x v="0"/>
    <x v="0"/>
    <x v="0"/>
    <x v="6"/>
    <x v="7"/>
    <s v="NE_OFFSHORE"/>
    <x v="0"/>
    <x v="0"/>
    <s v="GWND_WIND"/>
    <x v="2"/>
    <x v="5"/>
    <n v="94.731061178309204"/>
    <n v="5762.8062216804701"/>
    <n v="20746.102398049701"/>
  </r>
  <r>
    <x v="0"/>
    <x v="0"/>
    <x v="0"/>
    <x v="6"/>
    <x v="7"/>
    <s v="NE_OFFSHORE"/>
    <x v="0"/>
    <x v="0"/>
    <s v="GWND_WIND"/>
    <x v="2"/>
    <x v="6"/>
    <n v="92.655925153900895"/>
    <n v="5636.5687801956401"/>
    <n v="20291.647608704301"/>
  </r>
  <r>
    <x v="0"/>
    <x v="0"/>
    <x v="0"/>
    <x v="6"/>
    <x v="7"/>
    <s v="NE_OFFSHORE"/>
    <x v="0"/>
    <x v="0"/>
    <s v="GWND_WIND"/>
    <x v="2"/>
    <x v="7"/>
    <n v="86.604015321557597"/>
    <n v="5268.4109320614198"/>
    <n v="18966.279355421098"/>
  </r>
  <r>
    <x v="0"/>
    <x v="0"/>
    <x v="0"/>
    <x v="6"/>
    <x v="7"/>
    <s v="NE_OFFSHORE"/>
    <x v="0"/>
    <x v="0"/>
    <s v="GWND_WIND"/>
    <x v="2"/>
    <x v="8"/>
    <n v="77.1937427630413"/>
    <n v="4695.95268475168"/>
    <n v="16905.429665105999"/>
  </r>
  <r>
    <x v="0"/>
    <x v="0"/>
    <x v="0"/>
    <x v="6"/>
    <x v="7"/>
    <s v="NE_OFFSHORE"/>
    <x v="0"/>
    <x v="0"/>
    <s v="GWND_WIND"/>
    <x v="2"/>
    <x v="9"/>
    <n v="81.920289055240701"/>
    <n v="4983.4842508604697"/>
    <n v="17940.5433030977"/>
  </r>
  <r>
    <x v="0"/>
    <x v="0"/>
    <x v="0"/>
    <x v="6"/>
    <x v="7"/>
    <s v="NE_OFFSHORE"/>
    <x v="0"/>
    <x v="0"/>
    <s v="GWND_WIND"/>
    <x v="2"/>
    <x v="10"/>
    <n v="75.517068457355293"/>
    <n v="4593.9549978224504"/>
    <n v="16538.237992160801"/>
  </r>
  <r>
    <x v="0"/>
    <x v="0"/>
    <x v="0"/>
    <x v="6"/>
    <x v="7"/>
    <s v="NE_OFFSHORE"/>
    <x v="0"/>
    <x v="0"/>
    <s v="GWND_WIND"/>
    <x v="2"/>
    <x v="11"/>
    <n v="74.822919005231498"/>
    <n v="4551.7275728182503"/>
    <n v="16386.2192621457"/>
  </r>
  <r>
    <x v="0"/>
    <x v="0"/>
    <x v="0"/>
    <x v="6"/>
    <x v="7"/>
    <s v="NE_OFFSHORE"/>
    <x v="0"/>
    <x v="0"/>
    <s v="GWND_WIND"/>
    <x v="3"/>
    <x v="0"/>
    <n v="168.963720474105"/>
    <n v="10278.626328841399"/>
    <n v="37003.054783829"/>
  </r>
  <r>
    <x v="0"/>
    <x v="0"/>
    <x v="0"/>
    <x v="6"/>
    <x v="7"/>
    <s v="NE_OFFSHORE"/>
    <x v="0"/>
    <x v="0"/>
    <s v="GWND_WIND"/>
    <x v="3"/>
    <x v="1"/>
    <n v="171.87230848445199"/>
    <n v="10455.5654328042"/>
    <n v="37640.035558094998"/>
  </r>
  <r>
    <x v="0"/>
    <x v="0"/>
    <x v="0"/>
    <x v="6"/>
    <x v="7"/>
    <s v="NE_OFFSHORE"/>
    <x v="0"/>
    <x v="0"/>
    <s v="GWND_WIND"/>
    <x v="3"/>
    <x v="2"/>
    <n v="176.90959108786299"/>
    <n v="10762.0001245117"/>
    <n v="38743.200448242002"/>
  </r>
  <r>
    <x v="0"/>
    <x v="0"/>
    <x v="0"/>
    <x v="6"/>
    <x v="7"/>
    <s v="NE_OFFSHORE"/>
    <x v="0"/>
    <x v="0"/>
    <s v="GWND_WIND"/>
    <x v="3"/>
    <x v="3"/>
    <n v="162.34969683140599"/>
    <n v="9876.2732239105608"/>
    <n v="35554.583606077998"/>
  </r>
  <r>
    <x v="0"/>
    <x v="0"/>
    <x v="0"/>
    <x v="6"/>
    <x v="7"/>
    <s v="NE_OFFSHORE"/>
    <x v="0"/>
    <x v="0"/>
    <s v="GWND_WIND"/>
    <x v="3"/>
    <x v="4"/>
    <n v="147.644749934538"/>
    <n v="8981.7222876843698"/>
    <n v="32334.200235663699"/>
  </r>
  <r>
    <x v="0"/>
    <x v="0"/>
    <x v="0"/>
    <x v="6"/>
    <x v="7"/>
    <s v="NE_OFFSHORE"/>
    <x v="0"/>
    <x v="0"/>
    <s v="GWND_WIND"/>
    <x v="3"/>
    <x v="5"/>
    <n v="157.74945594975699"/>
    <n v="9596.4252369435708"/>
    <n v="34547.130852996801"/>
  </r>
  <r>
    <x v="0"/>
    <x v="0"/>
    <x v="0"/>
    <x v="6"/>
    <x v="7"/>
    <s v="NE_OFFSHORE"/>
    <x v="0"/>
    <x v="0"/>
    <s v="GWND_WIND"/>
    <x v="3"/>
    <x v="6"/>
    <n v="164.46143721974701"/>
    <n v="10004.737430867999"/>
    <n v="36017.054751124699"/>
  </r>
  <r>
    <x v="0"/>
    <x v="0"/>
    <x v="0"/>
    <x v="6"/>
    <x v="7"/>
    <s v="NE_OFFSHORE"/>
    <x v="0"/>
    <x v="0"/>
    <s v="GWND_WIND"/>
    <x v="3"/>
    <x v="7"/>
    <n v="164.369130994031"/>
    <n v="9999.1221354701902"/>
    <n v="35996.8396876927"/>
  </r>
  <r>
    <x v="0"/>
    <x v="0"/>
    <x v="0"/>
    <x v="6"/>
    <x v="7"/>
    <s v="NE_OFFSHORE"/>
    <x v="0"/>
    <x v="0"/>
    <s v="GWND_WIND"/>
    <x v="3"/>
    <x v="8"/>
    <n v="174.39471738720701"/>
    <n v="10609.011974388401"/>
    <n v="38192.443107798397"/>
  </r>
  <r>
    <x v="0"/>
    <x v="0"/>
    <x v="0"/>
    <x v="6"/>
    <x v="7"/>
    <s v="NE_OFFSHORE"/>
    <x v="0"/>
    <x v="0"/>
    <s v="GWND_WIND"/>
    <x v="3"/>
    <x v="9"/>
    <n v="180.27405882522001"/>
    <n v="10966.671911867599"/>
    <n v="39480.018882723198"/>
  </r>
  <r>
    <x v="0"/>
    <x v="0"/>
    <x v="0"/>
    <x v="6"/>
    <x v="7"/>
    <s v="NE_OFFSHORE"/>
    <x v="0"/>
    <x v="0"/>
    <s v="GWND_WIND"/>
    <x v="3"/>
    <x v="10"/>
    <n v="158.88162006518399"/>
    <n v="9665.29855396534"/>
    <n v="34795.074794275199"/>
  </r>
  <r>
    <x v="0"/>
    <x v="0"/>
    <x v="0"/>
    <x v="6"/>
    <x v="7"/>
    <s v="NE_OFFSHORE"/>
    <x v="0"/>
    <x v="0"/>
    <s v="GWND_WIND"/>
    <x v="3"/>
    <x v="11"/>
    <n v="164.09221231687999"/>
    <n v="9982.2762492768506"/>
    <n v="35936.194497396697"/>
  </r>
  <r>
    <x v="0"/>
    <x v="0"/>
    <x v="0"/>
    <x v="6"/>
    <x v="7"/>
    <s v="NE_OFFSHORE"/>
    <x v="0"/>
    <x v="0"/>
    <s v="GWND_WIND"/>
    <x v="4"/>
    <x v="0"/>
    <n v="38.567048144965099"/>
    <n v="2346.1620954853802"/>
    <n v="8446.1835437473601"/>
  </r>
  <r>
    <x v="0"/>
    <x v="0"/>
    <x v="0"/>
    <x v="6"/>
    <x v="7"/>
    <s v="NE_OFFSHORE"/>
    <x v="0"/>
    <x v="0"/>
    <s v="GWND_WIND"/>
    <x v="4"/>
    <x v="1"/>
    <n v="34.835239305265198"/>
    <n v="2119.1437244036301"/>
    <n v="7628.9174078530896"/>
  </r>
  <r>
    <x v="0"/>
    <x v="0"/>
    <x v="0"/>
    <x v="6"/>
    <x v="7"/>
    <s v="NE_OFFSHORE"/>
    <x v="0"/>
    <x v="0"/>
    <s v="GWND_WIND"/>
    <x v="4"/>
    <x v="2"/>
    <n v="34.940732134656002"/>
    <n v="2125.5612048582402"/>
    <n v="7652.0203374896801"/>
  </r>
  <r>
    <x v="0"/>
    <x v="0"/>
    <x v="0"/>
    <x v="6"/>
    <x v="7"/>
    <s v="NE_OFFSHORE"/>
    <x v="0"/>
    <x v="0"/>
    <s v="GWND_WIND"/>
    <x v="4"/>
    <x v="3"/>
    <n v="30.845349793662798"/>
    <n v="1876.4254457811601"/>
    <n v="6755.1316048121598"/>
  </r>
  <r>
    <x v="0"/>
    <x v="0"/>
    <x v="0"/>
    <x v="6"/>
    <x v="7"/>
    <s v="NE_OFFSHORE"/>
    <x v="0"/>
    <x v="0"/>
    <s v="GWND_WIND"/>
    <x v="4"/>
    <x v="4"/>
    <n v="26.329879935631201"/>
    <n v="1601.7343627508999"/>
    <n v="5766.24370590323"/>
  </r>
  <r>
    <x v="0"/>
    <x v="0"/>
    <x v="0"/>
    <x v="6"/>
    <x v="7"/>
    <s v="NE_OFFSHORE"/>
    <x v="0"/>
    <x v="0"/>
    <s v="GWND_WIND"/>
    <x v="4"/>
    <x v="5"/>
    <n v="25.0036843661467"/>
    <n v="1521.0574656072599"/>
    <n v="5475.8068761861396"/>
  </r>
  <r>
    <x v="0"/>
    <x v="0"/>
    <x v="0"/>
    <x v="6"/>
    <x v="7"/>
    <s v="NE_OFFSHORE"/>
    <x v="0"/>
    <x v="0"/>
    <s v="GWND_WIND"/>
    <x v="4"/>
    <x v="6"/>
    <n v="27.780406339754801"/>
    <n v="1689.9747190017499"/>
    <n v="6083.9089884063096"/>
  </r>
  <r>
    <x v="0"/>
    <x v="0"/>
    <x v="0"/>
    <x v="6"/>
    <x v="7"/>
    <s v="NE_OFFSHORE"/>
    <x v="0"/>
    <x v="0"/>
    <s v="GWND_WIND"/>
    <x v="4"/>
    <x v="7"/>
    <n v="39.42982878534"/>
    <n v="2398.6479177748502"/>
    <n v="8635.1325039894491"/>
  </r>
  <r>
    <x v="0"/>
    <x v="0"/>
    <x v="0"/>
    <x v="6"/>
    <x v="7"/>
    <s v="NE_OFFSHORE"/>
    <x v="0"/>
    <x v="0"/>
    <s v="GWND_WIND"/>
    <x v="4"/>
    <x v="8"/>
    <n v="45.171652785039797"/>
    <n v="2747.94221108992"/>
    <n v="9892.5919599237095"/>
  </r>
  <r>
    <x v="0"/>
    <x v="0"/>
    <x v="0"/>
    <x v="6"/>
    <x v="7"/>
    <s v="NE_OFFSHORE"/>
    <x v="0"/>
    <x v="0"/>
    <s v="GWND_WIND"/>
    <x v="4"/>
    <x v="9"/>
    <n v="44.318291147289102"/>
    <n v="2696.0293781267501"/>
    <n v="9705.7057612563094"/>
  </r>
  <r>
    <x v="0"/>
    <x v="0"/>
    <x v="0"/>
    <x v="6"/>
    <x v="7"/>
    <s v="NE_OFFSHORE"/>
    <x v="0"/>
    <x v="0"/>
    <s v="GWND_WIND"/>
    <x v="4"/>
    <x v="10"/>
    <n v="42.867764743165502"/>
    <n v="2607.7890218758998"/>
    <n v="9388.0404787532407"/>
  </r>
  <r>
    <x v="0"/>
    <x v="0"/>
    <x v="0"/>
    <x v="6"/>
    <x v="7"/>
    <s v="NE_OFFSHORE"/>
    <x v="0"/>
    <x v="0"/>
    <s v="GWND_WIND"/>
    <x v="4"/>
    <x v="11"/>
    <n v="42.402466013530997"/>
    <n v="2579.48334915647"/>
    <n v="9286.1400569632897"/>
  </r>
  <r>
    <x v="0"/>
    <x v="0"/>
    <x v="0"/>
    <x v="6"/>
    <x v="7"/>
    <s v="NE_OFFSHORE"/>
    <x v="0"/>
    <x v="0"/>
    <s v="GWND_WIND"/>
    <x v="5"/>
    <x v="0"/>
    <n v="16.242128125135"/>
    <n v="988.06279427904701"/>
    <n v="3557.0260594045699"/>
  </r>
  <r>
    <x v="0"/>
    <x v="0"/>
    <x v="0"/>
    <x v="6"/>
    <x v="7"/>
    <s v="NE_OFFSHORE"/>
    <x v="0"/>
    <x v="0"/>
    <s v="GWND_WIND"/>
    <x v="5"/>
    <x v="1"/>
    <n v="15.226759642248499"/>
    <n v="926.29454490344904"/>
    <n v="3334.6603616524199"/>
  </r>
  <r>
    <x v="0"/>
    <x v="0"/>
    <x v="0"/>
    <x v="6"/>
    <x v="7"/>
    <s v="NE_OFFSHORE"/>
    <x v="0"/>
    <x v="0"/>
    <s v="GWND_WIND"/>
    <x v="5"/>
    <x v="2"/>
    <n v="11.3046869495402"/>
    <n v="687.70178943036001"/>
    <n v="2475.7264419492999"/>
  </r>
  <r>
    <x v="0"/>
    <x v="0"/>
    <x v="0"/>
    <x v="6"/>
    <x v="7"/>
    <s v="NE_OFFSHORE"/>
    <x v="0"/>
    <x v="0"/>
    <s v="GWND_WIND"/>
    <x v="5"/>
    <x v="3"/>
    <n v="10.965602855069699"/>
    <n v="667.07417368340703"/>
    <n v="2401.46702526026"/>
  </r>
  <r>
    <x v="0"/>
    <x v="0"/>
    <x v="0"/>
    <x v="6"/>
    <x v="7"/>
    <s v="NE_OFFSHORE"/>
    <x v="0"/>
    <x v="0"/>
    <s v="GWND_WIND"/>
    <x v="5"/>
    <x v="4"/>
    <n v="10.019934991602099"/>
    <n v="609.54604532246003"/>
    <n v="2194.3657631608598"/>
  </r>
  <r>
    <x v="0"/>
    <x v="0"/>
    <x v="0"/>
    <x v="6"/>
    <x v="7"/>
    <s v="NE_OFFSHORE"/>
    <x v="0"/>
    <x v="0"/>
    <s v="GWND_WIND"/>
    <x v="5"/>
    <x v="5"/>
    <n v="6.4840414064851304"/>
    <n v="394.44585222784502"/>
    <n v="1420.0050680202401"/>
  </r>
  <r>
    <x v="0"/>
    <x v="0"/>
    <x v="0"/>
    <x v="6"/>
    <x v="7"/>
    <s v="NE_OFFSHORE"/>
    <x v="0"/>
    <x v="0"/>
    <s v="GWND_WIND"/>
    <x v="5"/>
    <x v="6"/>
    <n v="8.0626662462975993"/>
    <n v="490.47886331643701"/>
    <n v="1765.72390793917"/>
  </r>
  <r>
    <x v="0"/>
    <x v="0"/>
    <x v="0"/>
    <x v="6"/>
    <x v="7"/>
    <s v="NE_OFFSHORE"/>
    <x v="0"/>
    <x v="0"/>
    <s v="GWND_WIND"/>
    <x v="5"/>
    <x v="7"/>
    <n v="8.3471201255478196"/>
    <n v="507.78314097082603"/>
    <n v="1828.01930749497"/>
  </r>
  <r>
    <x v="0"/>
    <x v="0"/>
    <x v="0"/>
    <x v="6"/>
    <x v="7"/>
    <s v="NE_OFFSHORE"/>
    <x v="0"/>
    <x v="0"/>
    <s v="GWND_WIND"/>
    <x v="5"/>
    <x v="8"/>
    <n v="6.6121398421739697"/>
    <n v="402.23850706558301"/>
    <n v="1448.0586254361001"/>
  </r>
  <r>
    <x v="0"/>
    <x v="0"/>
    <x v="0"/>
    <x v="6"/>
    <x v="7"/>
    <s v="NE_OFFSHORE"/>
    <x v="0"/>
    <x v="0"/>
    <s v="GWND_WIND"/>
    <x v="5"/>
    <x v="9"/>
    <n v="7.0020865508150001"/>
    <n v="425.96026517457898"/>
    <n v="1533.4569546284799"/>
  </r>
  <r>
    <x v="0"/>
    <x v="0"/>
    <x v="0"/>
    <x v="6"/>
    <x v="7"/>
    <s v="NE_OFFSHORE"/>
    <x v="0"/>
    <x v="0"/>
    <s v="GWND_WIND"/>
    <x v="5"/>
    <x v="10"/>
    <n v="6.40303798391718"/>
    <n v="389.51814402162898"/>
    <n v="1402.2653184778601"/>
  </r>
  <r>
    <x v="0"/>
    <x v="0"/>
    <x v="0"/>
    <x v="6"/>
    <x v="7"/>
    <s v="NE_OFFSHORE"/>
    <x v="0"/>
    <x v="0"/>
    <s v="GWND_WIND"/>
    <x v="5"/>
    <x v="11"/>
    <n v="5.5760495535142303"/>
    <n v="339.20968117211601"/>
    <n v="1221.1548522196199"/>
  </r>
  <r>
    <x v="0"/>
    <x v="0"/>
    <x v="0"/>
    <x v="6"/>
    <x v="7"/>
    <s v="NE_OFFSHORE"/>
    <x v="0"/>
    <x v="0"/>
    <s v="GWND_WIND"/>
    <x v="6"/>
    <x v="0"/>
    <n v="35.358935851169598"/>
    <n v="2151.00193094615"/>
    <n v="7743.6069514061501"/>
  </r>
  <r>
    <x v="0"/>
    <x v="0"/>
    <x v="0"/>
    <x v="6"/>
    <x v="7"/>
    <s v="NE_OFFSHORE"/>
    <x v="0"/>
    <x v="0"/>
    <s v="GWND_WIND"/>
    <x v="6"/>
    <x v="1"/>
    <n v="33.963039662266198"/>
    <n v="2066.08491278786"/>
    <n v="7437.9056860362998"/>
  </r>
  <r>
    <x v="0"/>
    <x v="0"/>
    <x v="0"/>
    <x v="6"/>
    <x v="7"/>
    <s v="NE_OFFSHORE"/>
    <x v="0"/>
    <x v="0"/>
    <s v="GWND_WIND"/>
    <x v="6"/>
    <x v="2"/>
    <n v="34.842774507364602"/>
    <n v="2119.6021158646799"/>
    <n v="7630.5676171128398"/>
  </r>
  <r>
    <x v="0"/>
    <x v="0"/>
    <x v="0"/>
    <x v="6"/>
    <x v="7"/>
    <s v="NE_OFFSHORE"/>
    <x v="0"/>
    <x v="0"/>
    <s v="GWND_WIND"/>
    <x v="6"/>
    <x v="3"/>
    <n v="37.971767179117002"/>
    <n v="2309.9491700629501"/>
    <n v="8315.8170122266201"/>
  </r>
  <r>
    <x v="0"/>
    <x v="0"/>
    <x v="0"/>
    <x v="6"/>
    <x v="7"/>
    <s v="NE_OFFSHORE"/>
    <x v="0"/>
    <x v="0"/>
    <s v="GWND_WIND"/>
    <x v="6"/>
    <x v="4"/>
    <n v="32.874202958911098"/>
    <n v="1999.8473466670901"/>
    <n v="7199.4504480015203"/>
  </r>
  <r>
    <x v="0"/>
    <x v="0"/>
    <x v="0"/>
    <x v="6"/>
    <x v="7"/>
    <s v="NE_OFFSHORE"/>
    <x v="0"/>
    <x v="0"/>
    <s v="GWND_WIND"/>
    <x v="6"/>
    <x v="5"/>
    <n v="45.580437498929101"/>
    <n v="2772.8099478515201"/>
    <n v="9982.1158122654797"/>
  </r>
  <r>
    <x v="0"/>
    <x v="0"/>
    <x v="0"/>
    <x v="6"/>
    <x v="7"/>
    <s v="NE_OFFSHORE"/>
    <x v="0"/>
    <x v="0"/>
    <s v="GWND_WIND"/>
    <x v="6"/>
    <x v="6"/>
    <n v="48.907229225789301"/>
    <n v="2975.1897779021801"/>
    <n v="10710.6832004479"/>
  </r>
  <r>
    <x v="0"/>
    <x v="0"/>
    <x v="0"/>
    <x v="6"/>
    <x v="7"/>
    <s v="NE_OFFSHORE"/>
    <x v="0"/>
    <x v="0"/>
    <s v="GWND_WIND"/>
    <x v="6"/>
    <x v="7"/>
    <n v="55.884826369781401"/>
    <n v="3399.6602708283699"/>
    <n v="12238.7769749821"/>
  </r>
  <r>
    <x v="0"/>
    <x v="0"/>
    <x v="0"/>
    <x v="6"/>
    <x v="7"/>
    <s v="NE_OFFSHORE"/>
    <x v="0"/>
    <x v="0"/>
    <s v="GWND_WIND"/>
    <x v="6"/>
    <x v="8"/>
    <n v="76.033956783426106"/>
    <n v="4625.3990376584197"/>
    <n v="16651.436535570301"/>
  </r>
  <r>
    <x v="0"/>
    <x v="0"/>
    <x v="0"/>
    <x v="6"/>
    <x v="7"/>
    <s v="NE_OFFSHORE"/>
    <x v="0"/>
    <x v="0"/>
    <s v="GWND_WIND"/>
    <x v="6"/>
    <x v="9"/>
    <n v="61.389291503351899"/>
    <n v="3734.51523312057"/>
    <n v="13444.2548392341"/>
  </r>
  <r>
    <x v="0"/>
    <x v="0"/>
    <x v="0"/>
    <x v="6"/>
    <x v="7"/>
    <s v="NE_OFFSHORE"/>
    <x v="0"/>
    <x v="0"/>
    <s v="GWND_WIND"/>
    <x v="6"/>
    <x v="10"/>
    <n v="44.3484319556865"/>
    <n v="2697.8629439709298"/>
    <n v="9712.3065982953394"/>
  </r>
  <r>
    <x v="0"/>
    <x v="0"/>
    <x v="0"/>
    <x v="6"/>
    <x v="7"/>
    <s v="NE_OFFSHORE"/>
    <x v="0"/>
    <x v="0"/>
    <s v="GWND_WIND"/>
    <x v="6"/>
    <x v="11"/>
    <n v="47.339907189125903"/>
    <n v="2879.8443540051599"/>
    <n v="10367.4396744186"/>
  </r>
  <r>
    <x v="0"/>
    <x v="0"/>
    <x v="0"/>
    <x v="6"/>
    <x v="7"/>
    <s v="NE_OFFSHORE"/>
    <x v="0"/>
    <x v="0"/>
    <s v="GWND_WIND"/>
    <x v="7"/>
    <x v="0"/>
    <n v="33.401667105865101"/>
    <n v="2031.93474894013"/>
    <n v="7314.96509618447"/>
  </r>
  <r>
    <x v="0"/>
    <x v="0"/>
    <x v="0"/>
    <x v="6"/>
    <x v="7"/>
    <s v="NE_OFFSHORE"/>
    <x v="0"/>
    <x v="0"/>
    <s v="GWND_WIND"/>
    <x v="7"/>
    <x v="1"/>
    <n v="26.902555295181301"/>
    <n v="1636.5721137902001"/>
    <n v="5891.6596096447101"/>
  </r>
  <r>
    <x v="0"/>
    <x v="0"/>
    <x v="0"/>
    <x v="6"/>
    <x v="7"/>
    <s v="NE_OFFSHORE"/>
    <x v="0"/>
    <x v="0"/>
    <s v="GWND_WIND"/>
    <x v="7"/>
    <x v="2"/>
    <n v="18.892635463579101"/>
    <n v="1149.30199070106"/>
    <n v="4137.4871665238297"/>
  </r>
  <r>
    <x v="0"/>
    <x v="0"/>
    <x v="0"/>
    <x v="6"/>
    <x v="7"/>
    <s v="NE_OFFSHORE"/>
    <x v="0"/>
    <x v="0"/>
    <s v="GWND_WIND"/>
    <x v="7"/>
    <x v="3"/>
    <n v="18.762653227365401"/>
    <n v="1141.39473799806"/>
    <n v="4109.0210567930299"/>
  </r>
  <r>
    <x v="0"/>
    <x v="0"/>
    <x v="0"/>
    <x v="6"/>
    <x v="7"/>
    <s v="NE_OFFSHORE"/>
    <x v="0"/>
    <x v="0"/>
    <s v="GWND_WIND"/>
    <x v="7"/>
    <x v="4"/>
    <n v="16.577444618555798"/>
    <n v="1008.46121429548"/>
    <n v="3630.4603714637201"/>
  </r>
  <r>
    <x v="0"/>
    <x v="0"/>
    <x v="0"/>
    <x v="6"/>
    <x v="7"/>
    <s v="NE_OFFSHORE"/>
    <x v="0"/>
    <x v="0"/>
    <s v="GWND_WIND"/>
    <x v="7"/>
    <x v="5"/>
    <n v="20.535309521236002"/>
    <n v="1249.23132920852"/>
    <n v="4497.2327851506898"/>
  </r>
  <r>
    <x v="0"/>
    <x v="0"/>
    <x v="0"/>
    <x v="6"/>
    <x v="7"/>
    <s v="NE_OFFSHORE"/>
    <x v="0"/>
    <x v="0"/>
    <s v="GWND_WIND"/>
    <x v="7"/>
    <x v="6"/>
    <n v="23.121767641835699"/>
    <n v="1406.5741982116699"/>
    <n v="5063.6671135620199"/>
  </r>
  <r>
    <x v="0"/>
    <x v="0"/>
    <x v="0"/>
    <x v="6"/>
    <x v="7"/>
    <s v="NE_OFFSHORE"/>
    <x v="0"/>
    <x v="0"/>
    <s v="GWND_WIND"/>
    <x v="7"/>
    <x v="7"/>
    <n v="26.970372114075399"/>
    <n v="1640.69763693959"/>
    <n v="5906.5114929825104"/>
  </r>
  <r>
    <x v="0"/>
    <x v="0"/>
    <x v="0"/>
    <x v="6"/>
    <x v="7"/>
    <s v="NE_OFFSHORE"/>
    <x v="0"/>
    <x v="0"/>
    <s v="GWND_WIND"/>
    <x v="7"/>
    <x v="8"/>
    <n v="29.259189751750998"/>
    <n v="1779.93404323152"/>
    <n v="6407.7625556334697"/>
  </r>
  <r>
    <x v="0"/>
    <x v="0"/>
    <x v="0"/>
    <x v="6"/>
    <x v="7"/>
    <s v="NE_OFFSHORE"/>
    <x v="0"/>
    <x v="0"/>
    <s v="GWND_WIND"/>
    <x v="7"/>
    <x v="9"/>
    <n v="47.322952984402299"/>
    <n v="2878.8129732178099"/>
    <n v="10363.7267035841"/>
  </r>
  <r>
    <x v="0"/>
    <x v="0"/>
    <x v="0"/>
    <x v="6"/>
    <x v="7"/>
    <s v="NE_OFFSHORE"/>
    <x v="0"/>
    <x v="0"/>
    <s v="GWND_WIND"/>
    <x v="7"/>
    <x v="10"/>
    <n v="45.2846808165299"/>
    <n v="2754.8180830055699"/>
    <n v="9917.3450988200493"/>
  </r>
  <r>
    <x v="0"/>
    <x v="0"/>
    <x v="0"/>
    <x v="6"/>
    <x v="7"/>
    <s v="NE_OFFSHORE"/>
    <x v="0"/>
    <x v="0"/>
    <s v="GWND_WIND"/>
    <x v="7"/>
    <x v="11"/>
    <n v="40.865284785264897"/>
    <n v="2485.9714911036199"/>
    <n v="8949.4973679730192"/>
  </r>
  <r>
    <x v="0"/>
    <x v="0"/>
    <x v="0"/>
    <x v="6"/>
    <x v="7"/>
    <s v="NE_OFFSHORE"/>
    <x v="0"/>
    <x v="0"/>
    <s v="GWND_WIND"/>
    <x v="8"/>
    <x v="0"/>
    <n v="44.730843462228201"/>
    <n v="2721.1263106188799"/>
    <n v="9796.0547182279697"/>
  </r>
  <r>
    <x v="0"/>
    <x v="0"/>
    <x v="0"/>
    <x v="6"/>
    <x v="7"/>
    <s v="NE_OFFSHORE"/>
    <x v="0"/>
    <x v="0"/>
    <s v="GWND_WIND"/>
    <x v="8"/>
    <x v="1"/>
    <n v="48.374113677260802"/>
    <n v="2942.7585820333602"/>
    <n v="10593.9308953201"/>
  </r>
  <r>
    <x v="0"/>
    <x v="0"/>
    <x v="0"/>
    <x v="6"/>
    <x v="7"/>
    <s v="NE_OFFSHORE"/>
    <x v="0"/>
    <x v="0"/>
    <s v="GWND_WIND"/>
    <x v="8"/>
    <x v="2"/>
    <n v="50.866381771618599"/>
    <n v="3094.3715577734702"/>
    <n v="11139.7376079845"/>
  </r>
  <r>
    <x v="0"/>
    <x v="0"/>
    <x v="0"/>
    <x v="6"/>
    <x v="7"/>
    <s v="NE_OFFSHORE"/>
    <x v="0"/>
    <x v="0"/>
    <s v="GWND_WIND"/>
    <x v="8"/>
    <x v="3"/>
    <n v="60.957901183164502"/>
    <n v="3708.27232197584"/>
    <n v="13349.780359113"/>
  </r>
  <r>
    <x v="0"/>
    <x v="0"/>
    <x v="0"/>
    <x v="6"/>
    <x v="7"/>
    <s v="NE_OFFSHORE"/>
    <x v="0"/>
    <x v="0"/>
    <s v="GWND_WIND"/>
    <x v="8"/>
    <x v="4"/>
    <n v="78.919939187474696"/>
    <n v="4800.9629672380397"/>
    <n v="17283.466682056998"/>
  </r>
  <r>
    <x v="0"/>
    <x v="0"/>
    <x v="0"/>
    <x v="6"/>
    <x v="7"/>
    <s v="NE_OFFSHORE"/>
    <x v="0"/>
    <x v="0"/>
    <s v="GWND_WIND"/>
    <x v="8"/>
    <x v="5"/>
    <n v="99.892290430472599"/>
    <n v="6076.7810011870797"/>
    <n v="21876.4116042735"/>
  </r>
  <r>
    <x v="0"/>
    <x v="0"/>
    <x v="0"/>
    <x v="6"/>
    <x v="7"/>
    <s v="NE_OFFSHORE"/>
    <x v="0"/>
    <x v="0"/>
    <s v="GWND_WIND"/>
    <x v="8"/>
    <x v="6"/>
    <n v="120.95318029813799"/>
    <n v="7357.9851348033899"/>
    <n v="26488.746485292198"/>
  </r>
  <r>
    <x v="0"/>
    <x v="0"/>
    <x v="0"/>
    <x v="6"/>
    <x v="7"/>
    <s v="NE_OFFSHORE"/>
    <x v="0"/>
    <x v="0"/>
    <s v="GWND_WIND"/>
    <x v="8"/>
    <x v="7"/>
    <n v="137.146329609627"/>
    <n v="8343.0683845856493"/>
    <n v="30035.046184508301"/>
  </r>
  <r>
    <x v="0"/>
    <x v="0"/>
    <x v="0"/>
    <x v="6"/>
    <x v="7"/>
    <s v="NE_OFFSHORE"/>
    <x v="0"/>
    <x v="0"/>
    <s v="GWND_WIND"/>
    <x v="8"/>
    <x v="8"/>
    <n v="126.256078775551"/>
    <n v="7680.5781255126803"/>
    <n v="27650.0812518456"/>
  </r>
  <r>
    <x v="0"/>
    <x v="0"/>
    <x v="0"/>
    <x v="6"/>
    <x v="7"/>
    <s v="NE_OFFSHORE"/>
    <x v="0"/>
    <x v="0"/>
    <s v="GWND_WIND"/>
    <x v="8"/>
    <x v="9"/>
    <n v="92.536049380988501"/>
    <n v="5629.27633734347"/>
    <n v="20265.394814436499"/>
  </r>
  <r>
    <x v="0"/>
    <x v="0"/>
    <x v="0"/>
    <x v="6"/>
    <x v="7"/>
    <s v="NE_OFFSHORE"/>
    <x v="0"/>
    <x v="0"/>
    <s v="GWND_WIND"/>
    <x v="8"/>
    <x v="10"/>
    <n v="74.042779628674595"/>
    <n v="4504.2690940777002"/>
    <n v="16215.368738679699"/>
  </r>
  <r>
    <x v="0"/>
    <x v="0"/>
    <x v="0"/>
    <x v="6"/>
    <x v="7"/>
    <s v="NE_OFFSHORE"/>
    <x v="0"/>
    <x v="0"/>
    <s v="GWND_WIND"/>
    <x v="8"/>
    <x v="11"/>
    <n v="77.318708741364205"/>
    <n v="4703.55478176632"/>
    <n v="16932.797214358801"/>
  </r>
  <r>
    <x v="0"/>
    <x v="0"/>
    <x v="0"/>
    <x v="6"/>
    <x v="7"/>
    <s v="NE_OFFSHORE"/>
    <x v="0"/>
    <x v="0"/>
    <s v="GWND_WIND"/>
    <x v="9"/>
    <x v="0"/>
    <n v="242.326582334101"/>
    <n v="14741.533758657801"/>
    <n v="53069.521531168197"/>
  </r>
  <r>
    <x v="0"/>
    <x v="0"/>
    <x v="0"/>
    <x v="6"/>
    <x v="7"/>
    <s v="NE_OFFSHORE"/>
    <x v="0"/>
    <x v="0"/>
    <s v="GWND_WIND"/>
    <x v="9"/>
    <x v="1"/>
    <n v="229.076862865566"/>
    <n v="13935.5091576553"/>
    <n v="50167.832967558898"/>
  </r>
  <r>
    <x v="0"/>
    <x v="0"/>
    <x v="0"/>
    <x v="6"/>
    <x v="7"/>
    <s v="NE_OFFSHORE"/>
    <x v="0"/>
    <x v="0"/>
    <s v="GWND_WIND"/>
    <x v="9"/>
    <x v="2"/>
    <n v="232.45916171679099"/>
    <n v="14141.2656711048"/>
    <n v="50908.556415977197"/>
  </r>
  <r>
    <x v="0"/>
    <x v="0"/>
    <x v="0"/>
    <x v="6"/>
    <x v="7"/>
    <s v="NE_OFFSHORE"/>
    <x v="0"/>
    <x v="0"/>
    <s v="GWND_WIND"/>
    <x v="9"/>
    <x v="3"/>
    <n v="244.47172015099699"/>
    <n v="14872.029642519001"/>
    <n v="53539.306713068399"/>
  </r>
  <r>
    <x v="0"/>
    <x v="0"/>
    <x v="0"/>
    <x v="6"/>
    <x v="7"/>
    <s v="NE_OFFSHORE"/>
    <x v="0"/>
    <x v="0"/>
    <s v="GWND_WIND"/>
    <x v="9"/>
    <x v="4"/>
    <n v="258.851717108733"/>
    <n v="15746.8127907813"/>
    <n v="56688.5260468126"/>
  </r>
  <r>
    <x v="0"/>
    <x v="0"/>
    <x v="0"/>
    <x v="6"/>
    <x v="7"/>
    <s v="NE_OFFSHORE"/>
    <x v="0"/>
    <x v="0"/>
    <s v="GWND_WIND"/>
    <x v="9"/>
    <x v="5"/>
    <n v="259.306772202064"/>
    <n v="15774.4953089589"/>
    <n v="56788.183112252002"/>
  </r>
  <r>
    <x v="0"/>
    <x v="0"/>
    <x v="0"/>
    <x v="6"/>
    <x v="7"/>
    <s v="NE_OFFSHORE"/>
    <x v="0"/>
    <x v="0"/>
    <s v="GWND_WIND"/>
    <x v="9"/>
    <x v="6"/>
    <n v="255.58462207860501"/>
    <n v="15548.0645097818"/>
    <n v="55973.032235214501"/>
  </r>
  <r>
    <x v="0"/>
    <x v="0"/>
    <x v="0"/>
    <x v="6"/>
    <x v="7"/>
    <s v="NE_OFFSHORE"/>
    <x v="0"/>
    <x v="0"/>
    <s v="GWND_WIND"/>
    <x v="9"/>
    <x v="7"/>
    <n v="262.91051839828498"/>
    <n v="15993.7232025623"/>
    <n v="57577.403529224401"/>
  </r>
  <r>
    <x v="0"/>
    <x v="0"/>
    <x v="0"/>
    <x v="6"/>
    <x v="7"/>
    <s v="NE_OFFSHORE"/>
    <x v="0"/>
    <x v="0"/>
    <s v="GWND_WIND"/>
    <x v="9"/>
    <x v="8"/>
    <n v="249.93750144078999"/>
    <n v="15204.531337648101"/>
    <n v="54736.3128155331"/>
  </r>
  <r>
    <x v="0"/>
    <x v="0"/>
    <x v="0"/>
    <x v="6"/>
    <x v="7"/>
    <s v="NE_OFFSHORE"/>
    <x v="0"/>
    <x v="0"/>
    <s v="GWND_WIND"/>
    <x v="9"/>
    <x v="9"/>
    <n v="242.40039811576699"/>
    <n v="14746.024218709201"/>
    <n v="53085.687187352902"/>
  </r>
  <r>
    <x v="0"/>
    <x v="0"/>
    <x v="0"/>
    <x v="6"/>
    <x v="7"/>
    <s v="NE_OFFSHORE"/>
    <x v="0"/>
    <x v="0"/>
    <s v="GWND_WIND"/>
    <x v="9"/>
    <x v="10"/>
    <n v="257.30563916153898"/>
    <n v="15652.759715660301"/>
    <n v="56349.934976377001"/>
  </r>
  <r>
    <x v="0"/>
    <x v="0"/>
    <x v="0"/>
    <x v="6"/>
    <x v="7"/>
    <s v="NE_OFFSHORE"/>
    <x v="0"/>
    <x v="0"/>
    <s v="GWND_WIND"/>
    <x v="9"/>
    <x v="11"/>
    <n v="253.279692295041"/>
    <n v="15407.847947948299"/>
    <n v="55468.252612613898"/>
  </r>
  <r>
    <x v="0"/>
    <x v="0"/>
    <x v="0"/>
    <x v="6"/>
    <x v="7"/>
    <s v="NE_OFFSHORE"/>
    <x v="0"/>
    <x v="0"/>
    <s v="GWND_WIND"/>
    <x v="10"/>
    <x v="0"/>
    <n v="13.305866143178299"/>
    <n v="809.44019037668102"/>
    <n v="2913.9846853560498"/>
  </r>
  <r>
    <x v="0"/>
    <x v="0"/>
    <x v="0"/>
    <x v="6"/>
    <x v="7"/>
    <s v="NE_OFFSHORE"/>
    <x v="0"/>
    <x v="0"/>
    <s v="GWND_WIND"/>
    <x v="10"/>
    <x v="1"/>
    <n v="11.7559480686137"/>
    <n v="715.15350750733205"/>
    <n v="2574.5526270263999"/>
  </r>
  <r>
    <x v="0"/>
    <x v="0"/>
    <x v="0"/>
    <x v="6"/>
    <x v="7"/>
    <s v="NE_OFFSHORE"/>
    <x v="0"/>
    <x v="0"/>
    <s v="GWND_WIND"/>
    <x v="10"/>
    <x v="2"/>
    <n v="12.504986246149301"/>
    <n v="760.71999664074997"/>
    <n v="2738.5919879067001"/>
  </r>
  <r>
    <x v="0"/>
    <x v="0"/>
    <x v="0"/>
    <x v="6"/>
    <x v="7"/>
    <s v="NE_OFFSHORE"/>
    <x v="0"/>
    <x v="0"/>
    <s v="GWND_WIND"/>
    <x v="10"/>
    <x v="3"/>
    <n v="12.806009563865899"/>
    <n v="779.03224846850696"/>
    <n v="2804.5160944866202"/>
  </r>
  <r>
    <x v="0"/>
    <x v="0"/>
    <x v="0"/>
    <x v="6"/>
    <x v="7"/>
    <s v="NE_OFFSHORE"/>
    <x v="0"/>
    <x v="0"/>
    <s v="GWND_WIND"/>
    <x v="10"/>
    <x v="4"/>
    <n v="12.328340387134901"/>
    <n v="749.97404021737498"/>
    <n v="2699.9065447825501"/>
  </r>
  <r>
    <x v="0"/>
    <x v="0"/>
    <x v="0"/>
    <x v="6"/>
    <x v="7"/>
    <s v="NE_OFFSHORE"/>
    <x v="0"/>
    <x v="0"/>
    <s v="GWND_WIND"/>
    <x v="10"/>
    <x v="5"/>
    <n v="11.874138655442099"/>
    <n v="722.343434872731"/>
    <n v="2600.4363655418301"/>
  </r>
  <r>
    <x v="0"/>
    <x v="0"/>
    <x v="0"/>
    <x v="6"/>
    <x v="7"/>
    <s v="NE_OFFSHORE"/>
    <x v="0"/>
    <x v="0"/>
    <s v="GWND_WIND"/>
    <x v="10"/>
    <x v="6"/>
    <n v="11.3087865704323"/>
    <n v="687.95118303463403"/>
    <n v="2476.6242589246799"/>
  </r>
  <r>
    <x v="0"/>
    <x v="0"/>
    <x v="0"/>
    <x v="6"/>
    <x v="7"/>
    <s v="NE_OFFSHORE"/>
    <x v="0"/>
    <x v="0"/>
    <s v="GWND_WIND"/>
    <x v="10"/>
    <x v="7"/>
    <n v="11.4615383035897"/>
    <n v="697.24358013504002"/>
    <n v="2510.07688848615"/>
  </r>
  <r>
    <x v="0"/>
    <x v="0"/>
    <x v="0"/>
    <x v="6"/>
    <x v="7"/>
    <s v="NE_OFFSHORE"/>
    <x v="0"/>
    <x v="0"/>
    <s v="GWND_WIND"/>
    <x v="10"/>
    <x v="8"/>
    <n v="12.1442276137902"/>
    <n v="738.77384650557201"/>
    <n v="2659.58584742006"/>
  </r>
  <r>
    <x v="0"/>
    <x v="0"/>
    <x v="0"/>
    <x v="6"/>
    <x v="7"/>
    <s v="NE_OFFSHORE"/>
    <x v="0"/>
    <x v="0"/>
    <s v="GWND_WIND"/>
    <x v="10"/>
    <x v="9"/>
    <n v="10.9444011511128"/>
    <n v="665.78440335936205"/>
    <n v="2396.8238520937002"/>
  </r>
  <r>
    <x v="0"/>
    <x v="0"/>
    <x v="0"/>
    <x v="6"/>
    <x v="7"/>
    <s v="NE_OFFSHORE"/>
    <x v="0"/>
    <x v="0"/>
    <s v="GWND_WIND"/>
    <x v="10"/>
    <x v="10"/>
    <n v="11.1477145613069"/>
    <n v="678.15263581283602"/>
    <n v="2441.3494889262101"/>
  </r>
  <r>
    <x v="0"/>
    <x v="0"/>
    <x v="0"/>
    <x v="6"/>
    <x v="7"/>
    <s v="NE_OFFSHORE"/>
    <x v="0"/>
    <x v="0"/>
    <s v="GWND_WIND"/>
    <x v="10"/>
    <x v="11"/>
    <n v="15.5869018008858"/>
    <n v="948.20319288722101"/>
    <n v="3413.5314943939902"/>
  </r>
  <r>
    <x v="0"/>
    <x v="0"/>
    <x v="0"/>
    <x v="6"/>
    <x v="7"/>
    <s v="NE_OFFSHORE"/>
    <x v="0"/>
    <x v="0"/>
    <s v="GWND_WIND"/>
    <x v="11"/>
    <x v="0"/>
    <n v="31.478415559487999"/>
    <n v="1914.9369465355201"/>
    <n v="6893.7730075278696"/>
  </r>
  <r>
    <x v="0"/>
    <x v="0"/>
    <x v="0"/>
    <x v="6"/>
    <x v="7"/>
    <s v="NE_OFFSHORE"/>
    <x v="0"/>
    <x v="0"/>
    <s v="GWND_WIND"/>
    <x v="11"/>
    <x v="1"/>
    <n v="18.107732078801298"/>
    <n v="1101.5537014604099"/>
    <n v="3965.59332525748"/>
  </r>
  <r>
    <x v="0"/>
    <x v="0"/>
    <x v="0"/>
    <x v="6"/>
    <x v="7"/>
    <s v="NE_OFFSHORE"/>
    <x v="0"/>
    <x v="0"/>
    <s v="GWND_WIND"/>
    <x v="11"/>
    <x v="2"/>
    <n v="15.1725947257579"/>
    <n v="922.99951248360401"/>
    <n v="3322.7982449409701"/>
  </r>
  <r>
    <x v="0"/>
    <x v="0"/>
    <x v="0"/>
    <x v="6"/>
    <x v="7"/>
    <s v="NE_OFFSHORE"/>
    <x v="0"/>
    <x v="0"/>
    <s v="GWND_WIND"/>
    <x v="11"/>
    <x v="3"/>
    <n v="12.2639115834848"/>
    <n v="746.05462132865603"/>
    <n v="2685.79663678316"/>
  </r>
  <r>
    <x v="0"/>
    <x v="0"/>
    <x v="0"/>
    <x v="6"/>
    <x v="7"/>
    <s v="NE_OFFSHORE"/>
    <x v="0"/>
    <x v="0"/>
    <s v="GWND_WIND"/>
    <x v="11"/>
    <x v="4"/>
    <n v="17.7860147413693"/>
    <n v="1081.9825634332999"/>
    <n v="3895.1372283598698"/>
  </r>
  <r>
    <x v="0"/>
    <x v="0"/>
    <x v="0"/>
    <x v="6"/>
    <x v="7"/>
    <s v="NE_OFFSHORE"/>
    <x v="0"/>
    <x v="0"/>
    <s v="GWND_WIND"/>
    <x v="11"/>
    <x v="5"/>
    <n v="18.2069353691898"/>
    <n v="1107.5885682923799"/>
    <n v="3987.3188458525601"/>
  </r>
  <r>
    <x v="0"/>
    <x v="0"/>
    <x v="0"/>
    <x v="6"/>
    <x v="7"/>
    <s v="NE_OFFSHORE"/>
    <x v="0"/>
    <x v="0"/>
    <s v="GWND_WIND"/>
    <x v="11"/>
    <x v="6"/>
    <n v="15.7449870442791"/>
    <n v="957.82004519364705"/>
    <n v="3448.1521626971298"/>
  </r>
  <r>
    <x v="0"/>
    <x v="0"/>
    <x v="0"/>
    <x v="6"/>
    <x v="7"/>
    <s v="NE_OFFSHORE"/>
    <x v="0"/>
    <x v="0"/>
    <s v="GWND_WIND"/>
    <x v="11"/>
    <x v="7"/>
    <n v="15.8879251186024"/>
    <n v="966.51544471497698"/>
    <n v="3479.4556009739199"/>
  </r>
  <r>
    <x v="0"/>
    <x v="0"/>
    <x v="0"/>
    <x v="6"/>
    <x v="7"/>
    <s v="NE_OFFSHORE"/>
    <x v="0"/>
    <x v="0"/>
    <s v="GWND_WIND"/>
    <x v="11"/>
    <x v="8"/>
    <n v="19.776694101832099"/>
    <n v="1203.0822245281199"/>
    <n v="4331.0960083012296"/>
  </r>
  <r>
    <x v="0"/>
    <x v="0"/>
    <x v="0"/>
    <x v="6"/>
    <x v="7"/>
    <s v="NE_OFFSHORE"/>
    <x v="0"/>
    <x v="0"/>
    <s v="GWND_WIND"/>
    <x v="11"/>
    <x v="9"/>
    <n v="23.449349250301498"/>
    <n v="1426.50207939334"/>
    <n v="5135.4074858160302"/>
  </r>
  <r>
    <x v="0"/>
    <x v="0"/>
    <x v="0"/>
    <x v="6"/>
    <x v="7"/>
    <s v="NE_OFFSHORE"/>
    <x v="0"/>
    <x v="0"/>
    <s v="GWND_WIND"/>
    <x v="11"/>
    <x v="10"/>
    <n v="22.111064861898999"/>
    <n v="1345.0897790988599"/>
    <n v="4842.3232047558904"/>
  </r>
  <r>
    <x v="0"/>
    <x v="0"/>
    <x v="0"/>
    <x v="6"/>
    <x v="7"/>
    <s v="NE_OFFSHORE"/>
    <x v="0"/>
    <x v="0"/>
    <s v="GWND_WIND"/>
    <x v="11"/>
    <x v="11"/>
    <n v="19.478230869028799"/>
    <n v="1184.9257111992499"/>
    <n v="4265.7325603173103"/>
  </r>
  <r>
    <x v="0"/>
    <x v="0"/>
    <x v="0"/>
    <x v="6"/>
    <x v="7"/>
    <s v="NeA"/>
    <x v="8"/>
    <x v="5"/>
    <s v="GCND_NUCLEAR"/>
    <x v="0"/>
    <x v="0"/>
    <n v="501.66626880336503"/>
    <n v="30518.0313522047"/>
    <n v="109864.912867937"/>
  </r>
  <r>
    <x v="0"/>
    <x v="0"/>
    <x v="0"/>
    <x v="6"/>
    <x v="7"/>
    <s v="NeA"/>
    <x v="8"/>
    <x v="5"/>
    <s v="GCND_NUCLEAR"/>
    <x v="0"/>
    <x v="1"/>
    <n v="501.66626880336503"/>
    <n v="30518.0313522047"/>
    <n v="109864.912867937"/>
  </r>
  <r>
    <x v="0"/>
    <x v="0"/>
    <x v="0"/>
    <x v="6"/>
    <x v="7"/>
    <s v="NeA"/>
    <x v="8"/>
    <x v="5"/>
    <s v="GCND_NUCLEAR"/>
    <x v="0"/>
    <x v="2"/>
    <n v="501.66626880336503"/>
    <n v="30518.0313522047"/>
    <n v="109864.912867937"/>
  </r>
  <r>
    <x v="0"/>
    <x v="0"/>
    <x v="0"/>
    <x v="6"/>
    <x v="7"/>
    <s v="NeA"/>
    <x v="8"/>
    <x v="5"/>
    <s v="GCND_NUCLEAR"/>
    <x v="0"/>
    <x v="3"/>
    <n v="501.66626880336503"/>
    <n v="30518.0313522047"/>
    <n v="109864.912867937"/>
  </r>
  <r>
    <x v="0"/>
    <x v="0"/>
    <x v="0"/>
    <x v="6"/>
    <x v="7"/>
    <s v="NeA"/>
    <x v="8"/>
    <x v="5"/>
    <s v="GCND_NUCLEAR"/>
    <x v="0"/>
    <x v="4"/>
    <n v="501.66626880336503"/>
    <n v="30518.0313522047"/>
    <n v="109864.912867937"/>
  </r>
  <r>
    <x v="0"/>
    <x v="0"/>
    <x v="0"/>
    <x v="6"/>
    <x v="7"/>
    <s v="NeA"/>
    <x v="8"/>
    <x v="5"/>
    <s v="GCND_NUCLEAR"/>
    <x v="0"/>
    <x v="5"/>
    <n v="501.66626880336503"/>
    <n v="30518.0313522047"/>
    <n v="109864.912867937"/>
  </r>
  <r>
    <x v="0"/>
    <x v="0"/>
    <x v="0"/>
    <x v="6"/>
    <x v="7"/>
    <s v="NeA"/>
    <x v="8"/>
    <x v="5"/>
    <s v="GCND_NUCLEAR"/>
    <x v="0"/>
    <x v="6"/>
    <n v="501.66626880336503"/>
    <n v="30518.0313522047"/>
    <n v="109864.912867937"/>
  </r>
  <r>
    <x v="0"/>
    <x v="0"/>
    <x v="0"/>
    <x v="6"/>
    <x v="7"/>
    <s v="NeA"/>
    <x v="8"/>
    <x v="5"/>
    <s v="GCND_NUCLEAR"/>
    <x v="0"/>
    <x v="7"/>
    <n v="501.66626880336503"/>
    <n v="30518.0313522047"/>
    <n v="109864.912867937"/>
  </r>
  <r>
    <x v="0"/>
    <x v="0"/>
    <x v="0"/>
    <x v="6"/>
    <x v="7"/>
    <s v="NeA"/>
    <x v="8"/>
    <x v="5"/>
    <s v="GCND_NUCLEAR"/>
    <x v="0"/>
    <x v="8"/>
    <n v="501.66626880336503"/>
    <n v="30518.0313522047"/>
    <n v="109864.912867937"/>
  </r>
  <r>
    <x v="0"/>
    <x v="0"/>
    <x v="0"/>
    <x v="6"/>
    <x v="7"/>
    <s v="NeA"/>
    <x v="8"/>
    <x v="5"/>
    <s v="GCND_NUCLEAR"/>
    <x v="0"/>
    <x v="9"/>
    <n v="501.66626880336503"/>
    <n v="30518.0313522047"/>
    <n v="109864.912867937"/>
  </r>
  <r>
    <x v="0"/>
    <x v="0"/>
    <x v="0"/>
    <x v="6"/>
    <x v="7"/>
    <s v="NeA"/>
    <x v="8"/>
    <x v="5"/>
    <s v="GCND_NUCLEAR"/>
    <x v="0"/>
    <x v="10"/>
    <n v="501.66626880336503"/>
    <n v="30518.0313522047"/>
    <n v="109864.912867937"/>
  </r>
  <r>
    <x v="0"/>
    <x v="0"/>
    <x v="0"/>
    <x v="6"/>
    <x v="7"/>
    <s v="NeA"/>
    <x v="8"/>
    <x v="5"/>
    <s v="GCND_NUCLEAR"/>
    <x v="0"/>
    <x v="11"/>
    <n v="501.66626880336503"/>
    <n v="30518.0313522047"/>
    <n v="109864.912867937"/>
  </r>
  <r>
    <x v="0"/>
    <x v="0"/>
    <x v="0"/>
    <x v="6"/>
    <x v="7"/>
    <s v="NeA"/>
    <x v="8"/>
    <x v="5"/>
    <s v="GCND_NUCLEAR"/>
    <x v="1"/>
    <x v="0"/>
    <n v="501.66626880336503"/>
    <n v="30518.0313522047"/>
    <n v="109864.912867937"/>
  </r>
  <r>
    <x v="0"/>
    <x v="0"/>
    <x v="0"/>
    <x v="6"/>
    <x v="7"/>
    <s v="NeA"/>
    <x v="8"/>
    <x v="5"/>
    <s v="GCND_NUCLEAR"/>
    <x v="1"/>
    <x v="1"/>
    <n v="501.66626880336503"/>
    <n v="30518.0313522047"/>
    <n v="109864.912867937"/>
  </r>
  <r>
    <x v="0"/>
    <x v="0"/>
    <x v="0"/>
    <x v="6"/>
    <x v="7"/>
    <s v="NeA"/>
    <x v="8"/>
    <x v="5"/>
    <s v="GCND_NUCLEAR"/>
    <x v="1"/>
    <x v="2"/>
    <n v="501.66626880336503"/>
    <n v="30518.0313522047"/>
    <n v="109864.912867937"/>
  </r>
  <r>
    <x v="0"/>
    <x v="0"/>
    <x v="0"/>
    <x v="6"/>
    <x v="7"/>
    <s v="NeA"/>
    <x v="8"/>
    <x v="5"/>
    <s v="GCND_NUCLEAR"/>
    <x v="1"/>
    <x v="3"/>
    <n v="501.66626880336503"/>
    <n v="30518.0313522047"/>
    <n v="109864.912867937"/>
  </r>
  <r>
    <x v="0"/>
    <x v="0"/>
    <x v="0"/>
    <x v="6"/>
    <x v="7"/>
    <s v="NeA"/>
    <x v="8"/>
    <x v="5"/>
    <s v="GCND_NUCLEAR"/>
    <x v="1"/>
    <x v="4"/>
    <n v="501.66626880336503"/>
    <n v="30518.0313522047"/>
    <n v="109864.912867937"/>
  </r>
  <r>
    <x v="0"/>
    <x v="0"/>
    <x v="0"/>
    <x v="6"/>
    <x v="7"/>
    <s v="NeA"/>
    <x v="8"/>
    <x v="5"/>
    <s v="GCND_NUCLEAR"/>
    <x v="1"/>
    <x v="5"/>
    <n v="501.66626880336503"/>
    <n v="30518.0313522047"/>
    <n v="109864.912867937"/>
  </r>
  <r>
    <x v="0"/>
    <x v="0"/>
    <x v="0"/>
    <x v="6"/>
    <x v="7"/>
    <s v="NeA"/>
    <x v="8"/>
    <x v="5"/>
    <s v="GCND_NUCLEAR"/>
    <x v="1"/>
    <x v="6"/>
    <n v="501.66626880336503"/>
    <n v="30518.0313522047"/>
    <n v="109864.912867937"/>
  </r>
  <r>
    <x v="0"/>
    <x v="0"/>
    <x v="0"/>
    <x v="6"/>
    <x v="7"/>
    <s v="NeA"/>
    <x v="8"/>
    <x v="5"/>
    <s v="GCND_NUCLEAR"/>
    <x v="1"/>
    <x v="7"/>
    <n v="501.66626880336503"/>
    <n v="30518.0313522047"/>
    <n v="109864.912867937"/>
  </r>
  <r>
    <x v="0"/>
    <x v="0"/>
    <x v="0"/>
    <x v="6"/>
    <x v="7"/>
    <s v="NeA"/>
    <x v="8"/>
    <x v="5"/>
    <s v="GCND_NUCLEAR"/>
    <x v="1"/>
    <x v="8"/>
    <n v="501.66626880336503"/>
    <n v="30518.0313522047"/>
    <n v="109864.912867937"/>
  </r>
  <r>
    <x v="0"/>
    <x v="0"/>
    <x v="0"/>
    <x v="6"/>
    <x v="7"/>
    <s v="NeA"/>
    <x v="8"/>
    <x v="5"/>
    <s v="GCND_NUCLEAR"/>
    <x v="1"/>
    <x v="9"/>
    <n v="501.66626880336503"/>
    <n v="30518.0313522047"/>
    <n v="109864.912867937"/>
  </r>
  <r>
    <x v="0"/>
    <x v="0"/>
    <x v="0"/>
    <x v="6"/>
    <x v="7"/>
    <s v="NeA"/>
    <x v="8"/>
    <x v="5"/>
    <s v="GCND_NUCLEAR"/>
    <x v="1"/>
    <x v="10"/>
    <n v="501.66626880336503"/>
    <n v="30518.0313522047"/>
    <n v="109864.912867937"/>
  </r>
  <r>
    <x v="0"/>
    <x v="0"/>
    <x v="0"/>
    <x v="6"/>
    <x v="7"/>
    <s v="NeA"/>
    <x v="8"/>
    <x v="5"/>
    <s v="GCND_NUCLEAR"/>
    <x v="1"/>
    <x v="11"/>
    <n v="501.66626880336503"/>
    <n v="30518.0313522047"/>
    <n v="109864.912867937"/>
  </r>
  <r>
    <x v="0"/>
    <x v="0"/>
    <x v="0"/>
    <x v="6"/>
    <x v="7"/>
    <s v="NeA"/>
    <x v="8"/>
    <x v="5"/>
    <s v="GCND_NUCLEAR"/>
    <x v="2"/>
    <x v="0"/>
    <n v="501.66626880336503"/>
    <n v="30518.0313522047"/>
    <n v="109864.912867937"/>
  </r>
  <r>
    <x v="0"/>
    <x v="0"/>
    <x v="0"/>
    <x v="6"/>
    <x v="7"/>
    <s v="NeA"/>
    <x v="8"/>
    <x v="5"/>
    <s v="GCND_NUCLEAR"/>
    <x v="2"/>
    <x v="1"/>
    <n v="501.66626880336503"/>
    <n v="30518.0313522047"/>
    <n v="109864.912867937"/>
  </r>
  <r>
    <x v="0"/>
    <x v="0"/>
    <x v="0"/>
    <x v="6"/>
    <x v="7"/>
    <s v="NeA"/>
    <x v="8"/>
    <x v="5"/>
    <s v="GCND_NUCLEAR"/>
    <x v="2"/>
    <x v="2"/>
    <n v="501.66626880336503"/>
    <n v="30518.0313522047"/>
    <n v="109864.912867937"/>
  </r>
  <r>
    <x v="0"/>
    <x v="0"/>
    <x v="0"/>
    <x v="6"/>
    <x v="7"/>
    <s v="NeA"/>
    <x v="8"/>
    <x v="5"/>
    <s v="GCND_NUCLEAR"/>
    <x v="2"/>
    <x v="3"/>
    <n v="501.66626880336503"/>
    <n v="30518.0313522047"/>
    <n v="109864.912867937"/>
  </r>
  <r>
    <x v="0"/>
    <x v="0"/>
    <x v="0"/>
    <x v="6"/>
    <x v="7"/>
    <s v="NeA"/>
    <x v="8"/>
    <x v="5"/>
    <s v="GCND_NUCLEAR"/>
    <x v="2"/>
    <x v="4"/>
    <n v="501.66626880336503"/>
    <n v="30518.0313522047"/>
    <n v="109864.912867937"/>
  </r>
  <r>
    <x v="0"/>
    <x v="0"/>
    <x v="0"/>
    <x v="6"/>
    <x v="7"/>
    <s v="NeA"/>
    <x v="8"/>
    <x v="5"/>
    <s v="GCND_NUCLEAR"/>
    <x v="2"/>
    <x v="5"/>
    <n v="501.66626880336503"/>
    <n v="30518.0313522047"/>
    <n v="109864.912867937"/>
  </r>
  <r>
    <x v="0"/>
    <x v="0"/>
    <x v="0"/>
    <x v="6"/>
    <x v="7"/>
    <s v="NeA"/>
    <x v="8"/>
    <x v="5"/>
    <s v="GCND_NUCLEAR"/>
    <x v="2"/>
    <x v="6"/>
    <n v="501.66626880336503"/>
    <n v="30518.0313522047"/>
    <n v="109864.912867937"/>
  </r>
  <r>
    <x v="0"/>
    <x v="0"/>
    <x v="0"/>
    <x v="6"/>
    <x v="7"/>
    <s v="NeA"/>
    <x v="8"/>
    <x v="5"/>
    <s v="GCND_NUCLEAR"/>
    <x v="2"/>
    <x v="7"/>
    <n v="501.66626880336503"/>
    <n v="30518.0313522047"/>
    <n v="109864.912867937"/>
  </r>
  <r>
    <x v="0"/>
    <x v="0"/>
    <x v="0"/>
    <x v="6"/>
    <x v="7"/>
    <s v="NeA"/>
    <x v="8"/>
    <x v="5"/>
    <s v="GCND_NUCLEAR"/>
    <x v="2"/>
    <x v="8"/>
    <n v="501.66626880336503"/>
    <n v="30518.0313522047"/>
    <n v="109864.912867937"/>
  </r>
  <r>
    <x v="0"/>
    <x v="0"/>
    <x v="0"/>
    <x v="6"/>
    <x v="7"/>
    <s v="NeA"/>
    <x v="8"/>
    <x v="5"/>
    <s v="GCND_NUCLEAR"/>
    <x v="2"/>
    <x v="9"/>
    <n v="501.66626880336503"/>
    <n v="30518.0313522047"/>
    <n v="109864.912867937"/>
  </r>
  <r>
    <x v="0"/>
    <x v="0"/>
    <x v="0"/>
    <x v="6"/>
    <x v="7"/>
    <s v="NeA"/>
    <x v="8"/>
    <x v="5"/>
    <s v="GCND_NUCLEAR"/>
    <x v="2"/>
    <x v="10"/>
    <n v="501.66626880336503"/>
    <n v="30518.0313522047"/>
    <n v="109864.912867937"/>
  </r>
  <r>
    <x v="0"/>
    <x v="0"/>
    <x v="0"/>
    <x v="6"/>
    <x v="7"/>
    <s v="NeA"/>
    <x v="8"/>
    <x v="5"/>
    <s v="GCND_NUCLEAR"/>
    <x v="2"/>
    <x v="11"/>
    <n v="501.66626880336503"/>
    <n v="30518.0313522047"/>
    <n v="109864.912867937"/>
  </r>
  <r>
    <x v="0"/>
    <x v="0"/>
    <x v="0"/>
    <x v="6"/>
    <x v="7"/>
    <s v="NeA"/>
    <x v="8"/>
    <x v="5"/>
    <s v="GCND_NUCLEAR"/>
    <x v="3"/>
    <x v="0"/>
    <n v="501.66626880336503"/>
    <n v="30518.0313522047"/>
    <n v="109864.912867937"/>
  </r>
  <r>
    <x v="0"/>
    <x v="0"/>
    <x v="0"/>
    <x v="6"/>
    <x v="7"/>
    <s v="NeA"/>
    <x v="8"/>
    <x v="5"/>
    <s v="GCND_NUCLEAR"/>
    <x v="3"/>
    <x v="1"/>
    <n v="501.66626880336503"/>
    <n v="30518.0313522047"/>
    <n v="109864.912867937"/>
  </r>
  <r>
    <x v="0"/>
    <x v="0"/>
    <x v="0"/>
    <x v="6"/>
    <x v="7"/>
    <s v="NeA"/>
    <x v="8"/>
    <x v="5"/>
    <s v="GCND_NUCLEAR"/>
    <x v="3"/>
    <x v="2"/>
    <n v="501.66626880336503"/>
    <n v="30518.0313522047"/>
    <n v="109864.912867937"/>
  </r>
  <r>
    <x v="0"/>
    <x v="0"/>
    <x v="0"/>
    <x v="6"/>
    <x v="7"/>
    <s v="NeA"/>
    <x v="8"/>
    <x v="5"/>
    <s v="GCND_NUCLEAR"/>
    <x v="3"/>
    <x v="3"/>
    <n v="501.66626880336503"/>
    <n v="30518.0313522047"/>
    <n v="109864.912867937"/>
  </r>
  <r>
    <x v="0"/>
    <x v="0"/>
    <x v="0"/>
    <x v="6"/>
    <x v="7"/>
    <s v="NeA"/>
    <x v="8"/>
    <x v="5"/>
    <s v="GCND_NUCLEAR"/>
    <x v="3"/>
    <x v="4"/>
    <n v="501.66626880336503"/>
    <n v="30518.0313522047"/>
    <n v="109864.912867937"/>
  </r>
  <r>
    <x v="0"/>
    <x v="0"/>
    <x v="0"/>
    <x v="6"/>
    <x v="7"/>
    <s v="NeA"/>
    <x v="8"/>
    <x v="5"/>
    <s v="GCND_NUCLEAR"/>
    <x v="3"/>
    <x v="5"/>
    <n v="501.66626880336503"/>
    <n v="30518.0313522047"/>
    <n v="109864.912867937"/>
  </r>
  <r>
    <x v="0"/>
    <x v="0"/>
    <x v="0"/>
    <x v="6"/>
    <x v="7"/>
    <s v="NeA"/>
    <x v="8"/>
    <x v="5"/>
    <s v="GCND_NUCLEAR"/>
    <x v="3"/>
    <x v="6"/>
    <n v="501.66626880336503"/>
    <n v="30518.0313522047"/>
    <n v="109864.912867937"/>
  </r>
  <r>
    <x v="0"/>
    <x v="0"/>
    <x v="0"/>
    <x v="6"/>
    <x v="7"/>
    <s v="NeA"/>
    <x v="8"/>
    <x v="5"/>
    <s v="GCND_NUCLEAR"/>
    <x v="3"/>
    <x v="7"/>
    <n v="501.66626880336503"/>
    <n v="30518.0313522047"/>
    <n v="109864.912867937"/>
  </r>
  <r>
    <x v="0"/>
    <x v="0"/>
    <x v="0"/>
    <x v="6"/>
    <x v="7"/>
    <s v="NeA"/>
    <x v="8"/>
    <x v="5"/>
    <s v="GCND_NUCLEAR"/>
    <x v="3"/>
    <x v="8"/>
    <n v="501.66626880336503"/>
    <n v="30518.0313522047"/>
    <n v="109864.912867937"/>
  </r>
  <r>
    <x v="0"/>
    <x v="0"/>
    <x v="0"/>
    <x v="6"/>
    <x v="7"/>
    <s v="NeA"/>
    <x v="8"/>
    <x v="5"/>
    <s v="GCND_NUCLEAR"/>
    <x v="3"/>
    <x v="9"/>
    <n v="501.66626880336503"/>
    <n v="30518.0313522047"/>
    <n v="109864.912867937"/>
  </r>
  <r>
    <x v="0"/>
    <x v="0"/>
    <x v="0"/>
    <x v="6"/>
    <x v="7"/>
    <s v="NeA"/>
    <x v="8"/>
    <x v="5"/>
    <s v="GCND_NUCLEAR"/>
    <x v="3"/>
    <x v="10"/>
    <n v="501.66626880336503"/>
    <n v="30518.0313522047"/>
    <n v="109864.912867937"/>
  </r>
  <r>
    <x v="0"/>
    <x v="0"/>
    <x v="0"/>
    <x v="6"/>
    <x v="7"/>
    <s v="NeA"/>
    <x v="8"/>
    <x v="5"/>
    <s v="GCND_NUCLEAR"/>
    <x v="3"/>
    <x v="11"/>
    <n v="501.66626880336503"/>
    <n v="30518.0313522047"/>
    <n v="109864.912867937"/>
  </r>
  <r>
    <x v="0"/>
    <x v="0"/>
    <x v="0"/>
    <x v="6"/>
    <x v="7"/>
    <s v="NeA"/>
    <x v="8"/>
    <x v="5"/>
    <s v="GCND_NUCLEAR"/>
    <x v="4"/>
    <x v="0"/>
    <n v="492.300047743596"/>
    <n v="29948.252904402099"/>
    <n v="107813.71045584801"/>
  </r>
  <r>
    <x v="0"/>
    <x v="0"/>
    <x v="0"/>
    <x v="6"/>
    <x v="7"/>
    <s v="NeA"/>
    <x v="8"/>
    <x v="5"/>
    <s v="GCND_NUCLEAR"/>
    <x v="4"/>
    <x v="1"/>
    <n v="492.300047743596"/>
    <n v="29948.252904402099"/>
    <n v="107813.71045584801"/>
  </r>
  <r>
    <x v="0"/>
    <x v="0"/>
    <x v="0"/>
    <x v="6"/>
    <x v="7"/>
    <s v="NeA"/>
    <x v="8"/>
    <x v="5"/>
    <s v="GCND_NUCLEAR"/>
    <x v="4"/>
    <x v="2"/>
    <n v="492.300047743596"/>
    <n v="29948.252904402099"/>
    <n v="107813.71045584801"/>
  </r>
  <r>
    <x v="0"/>
    <x v="0"/>
    <x v="0"/>
    <x v="6"/>
    <x v="7"/>
    <s v="NeA"/>
    <x v="8"/>
    <x v="5"/>
    <s v="GCND_NUCLEAR"/>
    <x v="4"/>
    <x v="3"/>
    <n v="492.300047743596"/>
    <n v="29948.252904402099"/>
    <n v="107813.71045584801"/>
  </r>
  <r>
    <x v="0"/>
    <x v="0"/>
    <x v="0"/>
    <x v="6"/>
    <x v="7"/>
    <s v="NeA"/>
    <x v="8"/>
    <x v="5"/>
    <s v="GCND_NUCLEAR"/>
    <x v="4"/>
    <x v="4"/>
    <n v="492.300047743596"/>
    <n v="29948.252904402099"/>
    <n v="107813.71045584801"/>
  </r>
  <r>
    <x v="0"/>
    <x v="0"/>
    <x v="0"/>
    <x v="6"/>
    <x v="7"/>
    <s v="NeA"/>
    <x v="8"/>
    <x v="5"/>
    <s v="GCND_NUCLEAR"/>
    <x v="4"/>
    <x v="5"/>
    <n v="492.300047743596"/>
    <n v="29948.252904402099"/>
    <n v="107813.71045584801"/>
  </r>
  <r>
    <x v="0"/>
    <x v="0"/>
    <x v="0"/>
    <x v="6"/>
    <x v="7"/>
    <s v="NeA"/>
    <x v="8"/>
    <x v="5"/>
    <s v="GCND_NUCLEAR"/>
    <x v="4"/>
    <x v="6"/>
    <n v="492.300047743596"/>
    <n v="29948.252904402099"/>
    <n v="107813.71045584801"/>
  </r>
  <r>
    <x v="0"/>
    <x v="0"/>
    <x v="0"/>
    <x v="6"/>
    <x v="7"/>
    <s v="NeA"/>
    <x v="8"/>
    <x v="5"/>
    <s v="GCND_NUCLEAR"/>
    <x v="4"/>
    <x v="7"/>
    <n v="492.300047743596"/>
    <n v="29948.252904402099"/>
    <n v="107813.71045584801"/>
  </r>
  <r>
    <x v="0"/>
    <x v="0"/>
    <x v="0"/>
    <x v="6"/>
    <x v="7"/>
    <s v="NeA"/>
    <x v="8"/>
    <x v="5"/>
    <s v="GCND_NUCLEAR"/>
    <x v="4"/>
    <x v="8"/>
    <n v="492.300047743596"/>
    <n v="29948.252904402099"/>
    <n v="107813.71045584801"/>
  </r>
  <r>
    <x v="0"/>
    <x v="0"/>
    <x v="0"/>
    <x v="6"/>
    <x v="7"/>
    <s v="NeA"/>
    <x v="8"/>
    <x v="5"/>
    <s v="GCND_NUCLEAR"/>
    <x v="4"/>
    <x v="9"/>
    <n v="492.300047743596"/>
    <n v="29948.252904402099"/>
    <n v="107813.71045584801"/>
  </r>
  <r>
    <x v="0"/>
    <x v="0"/>
    <x v="0"/>
    <x v="6"/>
    <x v="7"/>
    <s v="NeA"/>
    <x v="8"/>
    <x v="5"/>
    <s v="GCND_NUCLEAR"/>
    <x v="4"/>
    <x v="10"/>
    <n v="492.300047743596"/>
    <n v="29948.252904402099"/>
    <n v="107813.71045584801"/>
  </r>
  <r>
    <x v="0"/>
    <x v="0"/>
    <x v="0"/>
    <x v="6"/>
    <x v="7"/>
    <s v="NeA"/>
    <x v="8"/>
    <x v="5"/>
    <s v="GCND_NUCLEAR"/>
    <x v="4"/>
    <x v="11"/>
    <n v="492.300047743596"/>
    <n v="29948.252904402099"/>
    <n v="107813.71045584801"/>
  </r>
  <r>
    <x v="0"/>
    <x v="0"/>
    <x v="0"/>
    <x v="6"/>
    <x v="7"/>
    <s v="NeA"/>
    <x v="8"/>
    <x v="5"/>
    <s v="GCND_NUCLEAR"/>
    <x v="5"/>
    <x v="0"/>
    <n v="482.93382668382702"/>
    <n v="29378.474456599499"/>
    <n v="105762.508043758"/>
  </r>
  <r>
    <x v="0"/>
    <x v="0"/>
    <x v="0"/>
    <x v="6"/>
    <x v="7"/>
    <s v="NeA"/>
    <x v="8"/>
    <x v="5"/>
    <s v="GCND_NUCLEAR"/>
    <x v="5"/>
    <x v="1"/>
    <n v="482.93382668382702"/>
    <n v="29378.474456599499"/>
    <n v="105762.508043758"/>
  </r>
  <r>
    <x v="0"/>
    <x v="0"/>
    <x v="0"/>
    <x v="6"/>
    <x v="7"/>
    <s v="NeA"/>
    <x v="8"/>
    <x v="5"/>
    <s v="GCND_NUCLEAR"/>
    <x v="5"/>
    <x v="2"/>
    <n v="482.93382668382702"/>
    <n v="29378.474456599499"/>
    <n v="105762.508043758"/>
  </r>
  <r>
    <x v="0"/>
    <x v="0"/>
    <x v="0"/>
    <x v="6"/>
    <x v="7"/>
    <s v="NeA"/>
    <x v="8"/>
    <x v="5"/>
    <s v="GCND_NUCLEAR"/>
    <x v="5"/>
    <x v="3"/>
    <n v="482.93382668382702"/>
    <n v="29378.474456599499"/>
    <n v="105762.508043758"/>
  </r>
  <r>
    <x v="0"/>
    <x v="0"/>
    <x v="0"/>
    <x v="6"/>
    <x v="7"/>
    <s v="NeA"/>
    <x v="8"/>
    <x v="5"/>
    <s v="GCND_NUCLEAR"/>
    <x v="5"/>
    <x v="4"/>
    <n v="482.93382668382702"/>
    <n v="29378.474456599499"/>
    <n v="105762.508043758"/>
  </r>
  <r>
    <x v="0"/>
    <x v="0"/>
    <x v="0"/>
    <x v="6"/>
    <x v="7"/>
    <s v="NeA"/>
    <x v="8"/>
    <x v="5"/>
    <s v="GCND_NUCLEAR"/>
    <x v="5"/>
    <x v="5"/>
    <n v="482.93382668382702"/>
    <n v="29378.474456599499"/>
    <n v="105762.508043758"/>
  </r>
  <r>
    <x v="0"/>
    <x v="0"/>
    <x v="0"/>
    <x v="6"/>
    <x v="7"/>
    <s v="NeA"/>
    <x v="8"/>
    <x v="5"/>
    <s v="GCND_NUCLEAR"/>
    <x v="5"/>
    <x v="6"/>
    <n v="482.93382668382702"/>
    <n v="29378.474456599499"/>
    <n v="105762.508043758"/>
  </r>
  <r>
    <x v="0"/>
    <x v="0"/>
    <x v="0"/>
    <x v="6"/>
    <x v="7"/>
    <s v="NeA"/>
    <x v="8"/>
    <x v="5"/>
    <s v="GCND_NUCLEAR"/>
    <x v="5"/>
    <x v="7"/>
    <n v="482.93382668382702"/>
    <n v="29378.474456599499"/>
    <n v="105762.508043758"/>
  </r>
  <r>
    <x v="0"/>
    <x v="0"/>
    <x v="0"/>
    <x v="6"/>
    <x v="7"/>
    <s v="NeA"/>
    <x v="8"/>
    <x v="5"/>
    <s v="GCND_NUCLEAR"/>
    <x v="5"/>
    <x v="8"/>
    <n v="482.93382668382702"/>
    <n v="29378.474456599499"/>
    <n v="105762.508043758"/>
  </r>
  <r>
    <x v="0"/>
    <x v="0"/>
    <x v="0"/>
    <x v="6"/>
    <x v="7"/>
    <s v="NeA"/>
    <x v="8"/>
    <x v="5"/>
    <s v="GCND_NUCLEAR"/>
    <x v="5"/>
    <x v="9"/>
    <n v="482.93382668382702"/>
    <n v="29378.474456599499"/>
    <n v="105762.508043758"/>
  </r>
  <r>
    <x v="0"/>
    <x v="0"/>
    <x v="0"/>
    <x v="6"/>
    <x v="7"/>
    <s v="NeA"/>
    <x v="8"/>
    <x v="5"/>
    <s v="GCND_NUCLEAR"/>
    <x v="5"/>
    <x v="10"/>
    <n v="482.93382668382702"/>
    <n v="29378.474456599499"/>
    <n v="105762.508043758"/>
  </r>
  <r>
    <x v="0"/>
    <x v="0"/>
    <x v="0"/>
    <x v="6"/>
    <x v="7"/>
    <s v="NeA"/>
    <x v="8"/>
    <x v="5"/>
    <s v="GCND_NUCLEAR"/>
    <x v="5"/>
    <x v="11"/>
    <n v="482.93382668382702"/>
    <n v="29378.474456599499"/>
    <n v="105762.508043758"/>
  </r>
  <r>
    <x v="0"/>
    <x v="0"/>
    <x v="0"/>
    <x v="6"/>
    <x v="7"/>
    <s v="NeA"/>
    <x v="8"/>
    <x v="5"/>
    <s v="GCND_NUCLEAR"/>
    <x v="6"/>
    <x v="0"/>
    <n v="482.93382668382702"/>
    <n v="29378.474456599499"/>
    <n v="105762.508043758"/>
  </r>
  <r>
    <x v="0"/>
    <x v="0"/>
    <x v="0"/>
    <x v="6"/>
    <x v="7"/>
    <s v="NeA"/>
    <x v="8"/>
    <x v="5"/>
    <s v="GCND_NUCLEAR"/>
    <x v="6"/>
    <x v="1"/>
    <n v="482.93382668382702"/>
    <n v="29378.474456599499"/>
    <n v="105762.508043758"/>
  </r>
  <r>
    <x v="0"/>
    <x v="0"/>
    <x v="0"/>
    <x v="6"/>
    <x v="7"/>
    <s v="NeA"/>
    <x v="8"/>
    <x v="5"/>
    <s v="GCND_NUCLEAR"/>
    <x v="6"/>
    <x v="2"/>
    <n v="482.93382668382702"/>
    <n v="29378.474456599499"/>
    <n v="105762.508043758"/>
  </r>
  <r>
    <x v="0"/>
    <x v="0"/>
    <x v="0"/>
    <x v="6"/>
    <x v="7"/>
    <s v="NeA"/>
    <x v="8"/>
    <x v="5"/>
    <s v="GCND_NUCLEAR"/>
    <x v="6"/>
    <x v="3"/>
    <n v="482.93382668382702"/>
    <n v="29378.474456599499"/>
    <n v="105762.508043758"/>
  </r>
  <r>
    <x v="0"/>
    <x v="0"/>
    <x v="0"/>
    <x v="6"/>
    <x v="7"/>
    <s v="NeA"/>
    <x v="8"/>
    <x v="5"/>
    <s v="GCND_NUCLEAR"/>
    <x v="6"/>
    <x v="4"/>
    <n v="482.93382668382702"/>
    <n v="29378.474456599499"/>
    <n v="105762.508043758"/>
  </r>
  <r>
    <x v="0"/>
    <x v="0"/>
    <x v="0"/>
    <x v="6"/>
    <x v="7"/>
    <s v="NeA"/>
    <x v="8"/>
    <x v="5"/>
    <s v="GCND_NUCLEAR"/>
    <x v="6"/>
    <x v="5"/>
    <n v="482.93382668382702"/>
    <n v="29378.474456599499"/>
    <n v="105762.508043758"/>
  </r>
  <r>
    <x v="0"/>
    <x v="0"/>
    <x v="0"/>
    <x v="6"/>
    <x v="7"/>
    <s v="NeA"/>
    <x v="8"/>
    <x v="5"/>
    <s v="GCND_NUCLEAR"/>
    <x v="6"/>
    <x v="6"/>
    <n v="482.93382668382702"/>
    <n v="29378.474456599499"/>
    <n v="105762.508043758"/>
  </r>
  <r>
    <x v="0"/>
    <x v="0"/>
    <x v="0"/>
    <x v="6"/>
    <x v="7"/>
    <s v="NeA"/>
    <x v="8"/>
    <x v="5"/>
    <s v="GCND_NUCLEAR"/>
    <x v="6"/>
    <x v="7"/>
    <n v="482.93382668382702"/>
    <n v="29378.474456599499"/>
    <n v="105762.508043758"/>
  </r>
  <r>
    <x v="0"/>
    <x v="0"/>
    <x v="0"/>
    <x v="6"/>
    <x v="7"/>
    <s v="NeA"/>
    <x v="8"/>
    <x v="5"/>
    <s v="GCND_NUCLEAR"/>
    <x v="6"/>
    <x v="8"/>
    <n v="482.93382668382702"/>
    <n v="29378.474456599499"/>
    <n v="105762.508043758"/>
  </r>
  <r>
    <x v="0"/>
    <x v="0"/>
    <x v="0"/>
    <x v="6"/>
    <x v="7"/>
    <s v="NeA"/>
    <x v="8"/>
    <x v="5"/>
    <s v="GCND_NUCLEAR"/>
    <x v="6"/>
    <x v="9"/>
    <n v="482.93382668382702"/>
    <n v="29378.474456599499"/>
    <n v="105762.508043758"/>
  </r>
  <r>
    <x v="0"/>
    <x v="0"/>
    <x v="0"/>
    <x v="6"/>
    <x v="7"/>
    <s v="NeA"/>
    <x v="8"/>
    <x v="5"/>
    <s v="GCND_NUCLEAR"/>
    <x v="6"/>
    <x v="10"/>
    <n v="482.93382668382702"/>
    <n v="29378.474456599499"/>
    <n v="105762.508043758"/>
  </r>
  <r>
    <x v="0"/>
    <x v="0"/>
    <x v="0"/>
    <x v="6"/>
    <x v="7"/>
    <s v="NeA"/>
    <x v="8"/>
    <x v="5"/>
    <s v="GCND_NUCLEAR"/>
    <x v="6"/>
    <x v="11"/>
    <n v="482.93382668382702"/>
    <n v="29378.474456599499"/>
    <n v="105762.508043758"/>
  </r>
  <r>
    <x v="0"/>
    <x v="0"/>
    <x v="0"/>
    <x v="6"/>
    <x v="7"/>
    <s v="NeA"/>
    <x v="8"/>
    <x v="5"/>
    <s v="GCND_NUCLEAR"/>
    <x v="7"/>
    <x v="0"/>
    <n v="482.93382668382702"/>
    <n v="29378.474456599499"/>
    <n v="105762.508043758"/>
  </r>
  <r>
    <x v="0"/>
    <x v="0"/>
    <x v="0"/>
    <x v="6"/>
    <x v="7"/>
    <s v="NeA"/>
    <x v="8"/>
    <x v="5"/>
    <s v="GCND_NUCLEAR"/>
    <x v="7"/>
    <x v="1"/>
    <n v="482.93382668382702"/>
    <n v="29378.474456599499"/>
    <n v="105762.508043758"/>
  </r>
  <r>
    <x v="0"/>
    <x v="0"/>
    <x v="0"/>
    <x v="6"/>
    <x v="7"/>
    <s v="NeA"/>
    <x v="8"/>
    <x v="5"/>
    <s v="GCND_NUCLEAR"/>
    <x v="7"/>
    <x v="2"/>
    <n v="482.93382668382702"/>
    <n v="29378.474456599499"/>
    <n v="105762.508043758"/>
  </r>
  <r>
    <x v="0"/>
    <x v="0"/>
    <x v="0"/>
    <x v="6"/>
    <x v="7"/>
    <s v="NeA"/>
    <x v="8"/>
    <x v="5"/>
    <s v="GCND_NUCLEAR"/>
    <x v="7"/>
    <x v="3"/>
    <n v="482.93382668382702"/>
    <n v="29378.474456599499"/>
    <n v="105762.508043758"/>
  </r>
  <r>
    <x v="0"/>
    <x v="0"/>
    <x v="0"/>
    <x v="6"/>
    <x v="7"/>
    <s v="NeA"/>
    <x v="8"/>
    <x v="5"/>
    <s v="GCND_NUCLEAR"/>
    <x v="7"/>
    <x v="4"/>
    <n v="482.93382668382702"/>
    <n v="29378.474456599499"/>
    <n v="105762.508043758"/>
  </r>
  <r>
    <x v="0"/>
    <x v="0"/>
    <x v="0"/>
    <x v="6"/>
    <x v="7"/>
    <s v="NeA"/>
    <x v="8"/>
    <x v="5"/>
    <s v="GCND_NUCLEAR"/>
    <x v="7"/>
    <x v="5"/>
    <n v="482.93382668382702"/>
    <n v="29378.474456599499"/>
    <n v="105762.508043758"/>
  </r>
  <r>
    <x v="0"/>
    <x v="0"/>
    <x v="0"/>
    <x v="6"/>
    <x v="7"/>
    <s v="NeA"/>
    <x v="8"/>
    <x v="5"/>
    <s v="GCND_NUCLEAR"/>
    <x v="7"/>
    <x v="6"/>
    <n v="482.93382668382702"/>
    <n v="29378.474456599499"/>
    <n v="105762.508043758"/>
  </r>
  <r>
    <x v="0"/>
    <x v="0"/>
    <x v="0"/>
    <x v="6"/>
    <x v="7"/>
    <s v="NeA"/>
    <x v="8"/>
    <x v="5"/>
    <s v="GCND_NUCLEAR"/>
    <x v="7"/>
    <x v="7"/>
    <n v="482.93382668382702"/>
    <n v="29378.474456599499"/>
    <n v="105762.508043758"/>
  </r>
  <r>
    <x v="0"/>
    <x v="0"/>
    <x v="0"/>
    <x v="6"/>
    <x v="7"/>
    <s v="NeA"/>
    <x v="8"/>
    <x v="5"/>
    <s v="GCND_NUCLEAR"/>
    <x v="7"/>
    <x v="8"/>
    <n v="482.93382668382702"/>
    <n v="29378.474456599499"/>
    <n v="105762.508043758"/>
  </r>
  <r>
    <x v="0"/>
    <x v="0"/>
    <x v="0"/>
    <x v="6"/>
    <x v="7"/>
    <s v="NeA"/>
    <x v="8"/>
    <x v="5"/>
    <s v="GCND_NUCLEAR"/>
    <x v="7"/>
    <x v="9"/>
    <n v="482.93382668382702"/>
    <n v="29378.474456599499"/>
    <n v="105762.508043758"/>
  </r>
  <r>
    <x v="0"/>
    <x v="0"/>
    <x v="0"/>
    <x v="6"/>
    <x v="7"/>
    <s v="NeA"/>
    <x v="8"/>
    <x v="5"/>
    <s v="GCND_NUCLEAR"/>
    <x v="7"/>
    <x v="10"/>
    <n v="482.93382668382702"/>
    <n v="29378.474456599499"/>
    <n v="105762.508043758"/>
  </r>
  <r>
    <x v="0"/>
    <x v="0"/>
    <x v="0"/>
    <x v="6"/>
    <x v="7"/>
    <s v="NeA"/>
    <x v="8"/>
    <x v="5"/>
    <s v="GCND_NUCLEAR"/>
    <x v="7"/>
    <x v="11"/>
    <n v="482.93382668382702"/>
    <n v="29378.474456599499"/>
    <n v="105762.508043758"/>
  </r>
  <r>
    <x v="0"/>
    <x v="0"/>
    <x v="0"/>
    <x v="6"/>
    <x v="7"/>
    <s v="NeA"/>
    <x v="8"/>
    <x v="5"/>
    <s v="GCND_NUCLEAR"/>
    <x v="8"/>
    <x v="0"/>
    <n v="491.60713853254202"/>
    <n v="29906.100927396299"/>
    <n v="107661.963338627"/>
  </r>
  <r>
    <x v="0"/>
    <x v="0"/>
    <x v="0"/>
    <x v="6"/>
    <x v="7"/>
    <s v="NeA"/>
    <x v="8"/>
    <x v="5"/>
    <s v="GCND_NUCLEAR"/>
    <x v="8"/>
    <x v="1"/>
    <n v="491.60713853254202"/>
    <n v="29906.100927396299"/>
    <n v="107661.963338627"/>
  </r>
  <r>
    <x v="0"/>
    <x v="0"/>
    <x v="0"/>
    <x v="6"/>
    <x v="7"/>
    <s v="NeA"/>
    <x v="8"/>
    <x v="5"/>
    <s v="GCND_NUCLEAR"/>
    <x v="8"/>
    <x v="2"/>
    <n v="491.60713853254202"/>
    <n v="29906.100927396299"/>
    <n v="107661.963338627"/>
  </r>
  <r>
    <x v="0"/>
    <x v="0"/>
    <x v="0"/>
    <x v="6"/>
    <x v="7"/>
    <s v="NeA"/>
    <x v="8"/>
    <x v="5"/>
    <s v="GCND_NUCLEAR"/>
    <x v="8"/>
    <x v="3"/>
    <n v="491.60713853254202"/>
    <n v="29906.100927396299"/>
    <n v="107661.963338627"/>
  </r>
  <r>
    <x v="0"/>
    <x v="0"/>
    <x v="0"/>
    <x v="6"/>
    <x v="7"/>
    <s v="NeA"/>
    <x v="8"/>
    <x v="5"/>
    <s v="GCND_NUCLEAR"/>
    <x v="8"/>
    <x v="4"/>
    <n v="491.60713853254202"/>
    <n v="29906.100927396299"/>
    <n v="107661.963338627"/>
  </r>
  <r>
    <x v="0"/>
    <x v="0"/>
    <x v="0"/>
    <x v="6"/>
    <x v="7"/>
    <s v="NeA"/>
    <x v="8"/>
    <x v="5"/>
    <s v="GCND_NUCLEAR"/>
    <x v="8"/>
    <x v="5"/>
    <n v="491.60713853254202"/>
    <n v="29906.100927396299"/>
    <n v="107661.963338627"/>
  </r>
  <r>
    <x v="0"/>
    <x v="0"/>
    <x v="0"/>
    <x v="6"/>
    <x v="7"/>
    <s v="NeA"/>
    <x v="8"/>
    <x v="5"/>
    <s v="GCND_NUCLEAR"/>
    <x v="8"/>
    <x v="6"/>
    <n v="491.60713853254202"/>
    <n v="29906.100927396299"/>
    <n v="107661.963338627"/>
  </r>
  <r>
    <x v="0"/>
    <x v="0"/>
    <x v="0"/>
    <x v="6"/>
    <x v="7"/>
    <s v="NeA"/>
    <x v="8"/>
    <x v="5"/>
    <s v="GCND_NUCLEAR"/>
    <x v="8"/>
    <x v="7"/>
    <n v="491.60713853254202"/>
    <n v="29906.100927396299"/>
    <n v="107661.963338627"/>
  </r>
  <r>
    <x v="0"/>
    <x v="0"/>
    <x v="0"/>
    <x v="6"/>
    <x v="7"/>
    <s v="NeA"/>
    <x v="8"/>
    <x v="5"/>
    <s v="GCND_NUCLEAR"/>
    <x v="8"/>
    <x v="8"/>
    <n v="491.60713853254202"/>
    <n v="29906.100927396299"/>
    <n v="107661.963338627"/>
  </r>
  <r>
    <x v="0"/>
    <x v="0"/>
    <x v="0"/>
    <x v="6"/>
    <x v="7"/>
    <s v="NeA"/>
    <x v="8"/>
    <x v="5"/>
    <s v="GCND_NUCLEAR"/>
    <x v="8"/>
    <x v="9"/>
    <n v="491.60713853254202"/>
    <n v="29906.100927396299"/>
    <n v="107661.963338627"/>
  </r>
  <r>
    <x v="0"/>
    <x v="0"/>
    <x v="0"/>
    <x v="6"/>
    <x v="7"/>
    <s v="NeA"/>
    <x v="8"/>
    <x v="5"/>
    <s v="GCND_NUCLEAR"/>
    <x v="8"/>
    <x v="10"/>
    <n v="491.60713853254202"/>
    <n v="29906.100927396299"/>
    <n v="107661.963338627"/>
  </r>
  <r>
    <x v="0"/>
    <x v="0"/>
    <x v="0"/>
    <x v="6"/>
    <x v="7"/>
    <s v="NeA"/>
    <x v="8"/>
    <x v="5"/>
    <s v="GCND_NUCLEAR"/>
    <x v="8"/>
    <x v="11"/>
    <n v="491.60713853254202"/>
    <n v="29906.100927396299"/>
    <n v="107661.963338627"/>
  </r>
  <r>
    <x v="0"/>
    <x v="0"/>
    <x v="0"/>
    <x v="6"/>
    <x v="7"/>
    <s v="NeA"/>
    <x v="8"/>
    <x v="5"/>
    <s v="GCND_NUCLEAR"/>
    <x v="9"/>
    <x v="0"/>
    <n v="500.28045038125703"/>
    <n v="30433.727398193099"/>
    <n v="109561.41863349501"/>
  </r>
  <r>
    <x v="0"/>
    <x v="0"/>
    <x v="0"/>
    <x v="6"/>
    <x v="7"/>
    <s v="NeA"/>
    <x v="8"/>
    <x v="5"/>
    <s v="GCND_NUCLEAR"/>
    <x v="9"/>
    <x v="1"/>
    <n v="500.28045038125703"/>
    <n v="30433.727398193099"/>
    <n v="109561.41863349501"/>
  </r>
  <r>
    <x v="0"/>
    <x v="0"/>
    <x v="0"/>
    <x v="6"/>
    <x v="7"/>
    <s v="NeA"/>
    <x v="8"/>
    <x v="5"/>
    <s v="GCND_NUCLEAR"/>
    <x v="9"/>
    <x v="2"/>
    <n v="500.28045038125703"/>
    <n v="30433.727398193099"/>
    <n v="109561.41863349501"/>
  </r>
  <r>
    <x v="0"/>
    <x v="0"/>
    <x v="0"/>
    <x v="6"/>
    <x v="7"/>
    <s v="NeA"/>
    <x v="8"/>
    <x v="5"/>
    <s v="GCND_NUCLEAR"/>
    <x v="9"/>
    <x v="3"/>
    <n v="500.28045038125703"/>
    <n v="30433.727398193099"/>
    <n v="109561.41863349501"/>
  </r>
  <r>
    <x v="0"/>
    <x v="0"/>
    <x v="0"/>
    <x v="6"/>
    <x v="7"/>
    <s v="NeA"/>
    <x v="8"/>
    <x v="5"/>
    <s v="GCND_NUCLEAR"/>
    <x v="9"/>
    <x v="4"/>
    <n v="500.28045038125703"/>
    <n v="30433.727398193099"/>
    <n v="109561.41863349501"/>
  </r>
  <r>
    <x v="0"/>
    <x v="0"/>
    <x v="0"/>
    <x v="6"/>
    <x v="7"/>
    <s v="NeA"/>
    <x v="8"/>
    <x v="5"/>
    <s v="GCND_NUCLEAR"/>
    <x v="9"/>
    <x v="5"/>
    <n v="500.28045038125703"/>
    <n v="30433.727398193099"/>
    <n v="109561.41863349501"/>
  </r>
  <r>
    <x v="0"/>
    <x v="0"/>
    <x v="0"/>
    <x v="6"/>
    <x v="7"/>
    <s v="NeA"/>
    <x v="8"/>
    <x v="5"/>
    <s v="GCND_NUCLEAR"/>
    <x v="9"/>
    <x v="6"/>
    <n v="500.28045038125703"/>
    <n v="30433.727398193099"/>
    <n v="109561.41863349501"/>
  </r>
  <r>
    <x v="0"/>
    <x v="0"/>
    <x v="0"/>
    <x v="6"/>
    <x v="7"/>
    <s v="NeA"/>
    <x v="8"/>
    <x v="5"/>
    <s v="GCND_NUCLEAR"/>
    <x v="9"/>
    <x v="7"/>
    <n v="500.28045038125703"/>
    <n v="30433.727398193099"/>
    <n v="109561.41863349501"/>
  </r>
  <r>
    <x v="0"/>
    <x v="0"/>
    <x v="0"/>
    <x v="6"/>
    <x v="7"/>
    <s v="NeA"/>
    <x v="8"/>
    <x v="5"/>
    <s v="GCND_NUCLEAR"/>
    <x v="9"/>
    <x v="8"/>
    <n v="500.28045038125703"/>
    <n v="30433.727398193099"/>
    <n v="109561.41863349501"/>
  </r>
  <r>
    <x v="0"/>
    <x v="0"/>
    <x v="0"/>
    <x v="6"/>
    <x v="7"/>
    <s v="NeA"/>
    <x v="8"/>
    <x v="5"/>
    <s v="GCND_NUCLEAR"/>
    <x v="9"/>
    <x v="9"/>
    <n v="500.28045038125703"/>
    <n v="30433.727398193099"/>
    <n v="109561.41863349501"/>
  </r>
  <r>
    <x v="0"/>
    <x v="0"/>
    <x v="0"/>
    <x v="6"/>
    <x v="7"/>
    <s v="NeA"/>
    <x v="8"/>
    <x v="5"/>
    <s v="GCND_NUCLEAR"/>
    <x v="9"/>
    <x v="10"/>
    <n v="500.28045038125703"/>
    <n v="30433.727398193099"/>
    <n v="109561.41863349501"/>
  </r>
  <r>
    <x v="0"/>
    <x v="0"/>
    <x v="0"/>
    <x v="6"/>
    <x v="7"/>
    <s v="NeA"/>
    <x v="8"/>
    <x v="5"/>
    <s v="GCND_NUCLEAR"/>
    <x v="9"/>
    <x v="11"/>
    <n v="500.28045038125703"/>
    <n v="30433.727398193099"/>
    <n v="109561.41863349501"/>
  </r>
  <r>
    <x v="0"/>
    <x v="0"/>
    <x v="0"/>
    <x v="6"/>
    <x v="7"/>
    <s v="NeA"/>
    <x v="8"/>
    <x v="5"/>
    <s v="GCND_NUCLEAR"/>
    <x v="10"/>
    <x v="0"/>
    <n v="500.28045038125703"/>
    <n v="30433.727398193099"/>
    <n v="109561.41863349501"/>
  </r>
  <r>
    <x v="0"/>
    <x v="0"/>
    <x v="0"/>
    <x v="6"/>
    <x v="7"/>
    <s v="NeA"/>
    <x v="8"/>
    <x v="5"/>
    <s v="GCND_NUCLEAR"/>
    <x v="10"/>
    <x v="1"/>
    <n v="500.28045038125703"/>
    <n v="30433.727398193099"/>
    <n v="109561.41863349501"/>
  </r>
  <r>
    <x v="0"/>
    <x v="0"/>
    <x v="0"/>
    <x v="6"/>
    <x v="7"/>
    <s v="NeA"/>
    <x v="8"/>
    <x v="5"/>
    <s v="GCND_NUCLEAR"/>
    <x v="10"/>
    <x v="2"/>
    <n v="500.28045038125703"/>
    <n v="30433.727398193099"/>
    <n v="109561.41863349501"/>
  </r>
  <r>
    <x v="0"/>
    <x v="0"/>
    <x v="0"/>
    <x v="6"/>
    <x v="7"/>
    <s v="NeA"/>
    <x v="8"/>
    <x v="5"/>
    <s v="GCND_NUCLEAR"/>
    <x v="10"/>
    <x v="3"/>
    <n v="500.28045038125703"/>
    <n v="30433.727398193099"/>
    <n v="109561.41863349501"/>
  </r>
  <r>
    <x v="0"/>
    <x v="0"/>
    <x v="0"/>
    <x v="6"/>
    <x v="7"/>
    <s v="NeA"/>
    <x v="8"/>
    <x v="5"/>
    <s v="GCND_NUCLEAR"/>
    <x v="10"/>
    <x v="4"/>
    <n v="500.28045038125703"/>
    <n v="30433.727398193099"/>
    <n v="109561.41863349501"/>
  </r>
  <r>
    <x v="0"/>
    <x v="0"/>
    <x v="0"/>
    <x v="6"/>
    <x v="7"/>
    <s v="NeA"/>
    <x v="8"/>
    <x v="5"/>
    <s v="GCND_NUCLEAR"/>
    <x v="10"/>
    <x v="5"/>
    <n v="500.28045038125703"/>
    <n v="30433.727398193099"/>
    <n v="109561.41863349501"/>
  </r>
  <r>
    <x v="0"/>
    <x v="0"/>
    <x v="0"/>
    <x v="6"/>
    <x v="7"/>
    <s v="NeA"/>
    <x v="8"/>
    <x v="5"/>
    <s v="GCND_NUCLEAR"/>
    <x v="10"/>
    <x v="6"/>
    <n v="500.28045038125703"/>
    <n v="30433.727398193099"/>
    <n v="109561.41863349501"/>
  </r>
  <r>
    <x v="0"/>
    <x v="0"/>
    <x v="0"/>
    <x v="6"/>
    <x v="7"/>
    <s v="NeA"/>
    <x v="8"/>
    <x v="5"/>
    <s v="GCND_NUCLEAR"/>
    <x v="10"/>
    <x v="7"/>
    <n v="500.28045038125703"/>
    <n v="30433.727398193099"/>
    <n v="109561.41863349501"/>
  </r>
  <r>
    <x v="0"/>
    <x v="0"/>
    <x v="0"/>
    <x v="6"/>
    <x v="7"/>
    <s v="NeA"/>
    <x v="8"/>
    <x v="5"/>
    <s v="GCND_NUCLEAR"/>
    <x v="10"/>
    <x v="8"/>
    <n v="500.28045038125703"/>
    <n v="30433.727398193099"/>
    <n v="109561.41863349501"/>
  </r>
  <r>
    <x v="0"/>
    <x v="0"/>
    <x v="0"/>
    <x v="6"/>
    <x v="7"/>
    <s v="NeA"/>
    <x v="8"/>
    <x v="5"/>
    <s v="GCND_NUCLEAR"/>
    <x v="10"/>
    <x v="9"/>
    <n v="500.28045038125703"/>
    <n v="30433.727398193099"/>
    <n v="109561.41863349501"/>
  </r>
  <r>
    <x v="0"/>
    <x v="0"/>
    <x v="0"/>
    <x v="6"/>
    <x v="7"/>
    <s v="NeA"/>
    <x v="8"/>
    <x v="5"/>
    <s v="GCND_NUCLEAR"/>
    <x v="10"/>
    <x v="10"/>
    <n v="500.28045038125703"/>
    <n v="30433.727398193099"/>
    <n v="109561.41863349501"/>
  </r>
  <r>
    <x v="0"/>
    <x v="0"/>
    <x v="0"/>
    <x v="6"/>
    <x v="7"/>
    <s v="NeA"/>
    <x v="8"/>
    <x v="5"/>
    <s v="GCND_NUCLEAR"/>
    <x v="10"/>
    <x v="11"/>
    <n v="500.28045038125703"/>
    <n v="30433.727398193099"/>
    <n v="109561.41863349501"/>
  </r>
  <r>
    <x v="0"/>
    <x v="0"/>
    <x v="0"/>
    <x v="6"/>
    <x v="7"/>
    <s v="NeA"/>
    <x v="8"/>
    <x v="5"/>
    <s v="GCND_NUCLEAR"/>
    <x v="11"/>
    <x v="0"/>
    <n v="500.28045038125703"/>
    <n v="30433.727398193099"/>
    <n v="109561.41863349501"/>
  </r>
  <r>
    <x v="0"/>
    <x v="0"/>
    <x v="0"/>
    <x v="6"/>
    <x v="7"/>
    <s v="NeA"/>
    <x v="8"/>
    <x v="5"/>
    <s v="GCND_NUCLEAR"/>
    <x v="11"/>
    <x v="1"/>
    <n v="500.28045038125703"/>
    <n v="30433.727398193099"/>
    <n v="109561.41863349501"/>
  </r>
  <r>
    <x v="0"/>
    <x v="0"/>
    <x v="0"/>
    <x v="6"/>
    <x v="7"/>
    <s v="NeA"/>
    <x v="8"/>
    <x v="5"/>
    <s v="GCND_NUCLEAR"/>
    <x v="11"/>
    <x v="2"/>
    <n v="500.28045038125703"/>
    <n v="30433.727398193099"/>
    <n v="109561.41863349501"/>
  </r>
  <r>
    <x v="0"/>
    <x v="0"/>
    <x v="0"/>
    <x v="6"/>
    <x v="7"/>
    <s v="NeA"/>
    <x v="8"/>
    <x v="5"/>
    <s v="GCND_NUCLEAR"/>
    <x v="11"/>
    <x v="3"/>
    <n v="500.28045038125703"/>
    <n v="30433.727398193099"/>
    <n v="109561.41863349501"/>
  </r>
  <r>
    <x v="0"/>
    <x v="0"/>
    <x v="0"/>
    <x v="6"/>
    <x v="7"/>
    <s v="NeA"/>
    <x v="8"/>
    <x v="5"/>
    <s v="GCND_NUCLEAR"/>
    <x v="11"/>
    <x v="4"/>
    <n v="500.28045038125703"/>
    <n v="30433.727398193099"/>
    <n v="109561.41863349501"/>
  </r>
  <r>
    <x v="0"/>
    <x v="0"/>
    <x v="0"/>
    <x v="6"/>
    <x v="7"/>
    <s v="NeA"/>
    <x v="8"/>
    <x v="5"/>
    <s v="GCND_NUCLEAR"/>
    <x v="11"/>
    <x v="5"/>
    <n v="500.28045038125703"/>
    <n v="30433.727398193099"/>
    <n v="109561.41863349501"/>
  </r>
  <r>
    <x v="0"/>
    <x v="0"/>
    <x v="0"/>
    <x v="6"/>
    <x v="7"/>
    <s v="NeA"/>
    <x v="8"/>
    <x v="5"/>
    <s v="GCND_NUCLEAR"/>
    <x v="11"/>
    <x v="6"/>
    <n v="500.28045038125703"/>
    <n v="30433.727398193099"/>
    <n v="109561.41863349501"/>
  </r>
  <r>
    <x v="0"/>
    <x v="0"/>
    <x v="0"/>
    <x v="6"/>
    <x v="7"/>
    <s v="NeA"/>
    <x v="8"/>
    <x v="5"/>
    <s v="GCND_NUCLEAR"/>
    <x v="11"/>
    <x v="7"/>
    <n v="500.28045038125703"/>
    <n v="30433.727398193099"/>
    <n v="109561.41863349501"/>
  </r>
  <r>
    <x v="0"/>
    <x v="0"/>
    <x v="0"/>
    <x v="6"/>
    <x v="7"/>
    <s v="NeA"/>
    <x v="8"/>
    <x v="5"/>
    <s v="GCND_NUCLEAR"/>
    <x v="11"/>
    <x v="8"/>
    <n v="500.28045038125703"/>
    <n v="30433.727398193099"/>
    <n v="109561.41863349501"/>
  </r>
  <r>
    <x v="0"/>
    <x v="0"/>
    <x v="0"/>
    <x v="6"/>
    <x v="7"/>
    <s v="NeA"/>
    <x v="8"/>
    <x v="5"/>
    <s v="GCND_NUCLEAR"/>
    <x v="11"/>
    <x v="9"/>
    <n v="500.28045038125703"/>
    <n v="30433.727398193099"/>
    <n v="109561.41863349501"/>
  </r>
  <r>
    <x v="0"/>
    <x v="0"/>
    <x v="0"/>
    <x v="6"/>
    <x v="7"/>
    <s v="NeA"/>
    <x v="8"/>
    <x v="5"/>
    <s v="GCND_NUCLEAR"/>
    <x v="11"/>
    <x v="10"/>
    <n v="500.28045038125703"/>
    <n v="30433.727398193099"/>
    <n v="109561.41863349501"/>
  </r>
  <r>
    <x v="0"/>
    <x v="0"/>
    <x v="0"/>
    <x v="6"/>
    <x v="7"/>
    <s v="NeA"/>
    <x v="8"/>
    <x v="5"/>
    <s v="GCND_NUCLEAR"/>
    <x v="11"/>
    <x v="11"/>
    <n v="500.28045038125703"/>
    <n v="30433.727398193099"/>
    <n v="109561.41863349501"/>
  </r>
  <r>
    <x v="0"/>
    <x v="0"/>
    <x v="0"/>
    <x v="6"/>
    <x v="7"/>
    <s v="NeA"/>
    <x v="1"/>
    <x v="1"/>
    <s v="GSOLE_SUN"/>
    <x v="0"/>
    <x v="8"/>
    <n v="3.3476162091911998"/>
    <n v="203.64665272579799"/>
    <n v="733.127949812873"/>
  </r>
  <r>
    <x v="0"/>
    <x v="0"/>
    <x v="0"/>
    <x v="6"/>
    <x v="7"/>
    <s v="NeA"/>
    <x v="1"/>
    <x v="1"/>
    <s v="GSOLE_SUN"/>
    <x v="0"/>
    <x v="9"/>
    <n v="18.106237235799401"/>
    <n v="1101.4627651778001"/>
    <n v="3965.26595464006"/>
  </r>
  <r>
    <x v="0"/>
    <x v="0"/>
    <x v="0"/>
    <x v="6"/>
    <x v="7"/>
    <s v="NeA"/>
    <x v="1"/>
    <x v="1"/>
    <s v="GSOLE_SUN"/>
    <x v="0"/>
    <x v="10"/>
    <n v="35.5041382882047"/>
    <n v="2159.8350791991202"/>
    <n v="7775.4062851168201"/>
  </r>
  <r>
    <x v="0"/>
    <x v="0"/>
    <x v="0"/>
    <x v="6"/>
    <x v="7"/>
    <s v="NeA"/>
    <x v="1"/>
    <x v="1"/>
    <s v="GSOLE_SUN"/>
    <x v="0"/>
    <x v="11"/>
    <n v="48.4676607678552"/>
    <n v="2948.4493633778602"/>
    <n v="10614.417708160299"/>
  </r>
  <r>
    <x v="0"/>
    <x v="0"/>
    <x v="0"/>
    <x v="6"/>
    <x v="7"/>
    <s v="NeA"/>
    <x v="1"/>
    <x v="1"/>
    <s v="GSOLE_SUN"/>
    <x v="1"/>
    <x v="8"/>
    <n v="1.8921309008472"/>
    <n v="115.104629801538"/>
    <n v="414.376667285537"/>
  </r>
  <r>
    <x v="0"/>
    <x v="0"/>
    <x v="0"/>
    <x v="6"/>
    <x v="7"/>
    <s v="NeA"/>
    <x v="1"/>
    <x v="1"/>
    <s v="GSOLE_SUN"/>
    <x v="1"/>
    <x v="9"/>
    <n v="14.2443495509933"/>
    <n v="866.53126435209197"/>
    <n v="3119.5125516675298"/>
  </r>
  <r>
    <x v="0"/>
    <x v="0"/>
    <x v="0"/>
    <x v="6"/>
    <x v="7"/>
    <s v="NeA"/>
    <x v="1"/>
    <x v="1"/>
    <s v="GSOLE_SUN"/>
    <x v="1"/>
    <x v="10"/>
    <n v="32.903671203963398"/>
    <n v="2001.6399982411101"/>
    <n v="7205.9039936679801"/>
  </r>
  <r>
    <x v="0"/>
    <x v="0"/>
    <x v="0"/>
    <x v="6"/>
    <x v="7"/>
    <s v="NeA"/>
    <x v="1"/>
    <x v="1"/>
    <s v="GSOLE_SUN"/>
    <x v="1"/>
    <x v="11"/>
    <n v="50.107507548589503"/>
    <n v="3048.2067092058601"/>
    <n v="10973.5441531411"/>
  </r>
  <r>
    <x v="0"/>
    <x v="0"/>
    <x v="0"/>
    <x v="6"/>
    <x v="7"/>
    <s v="NeA"/>
    <x v="1"/>
    <x v="1"/>
    <s v="GSOLE_SUN"/>
    <x v="2"/>
    <x v="8"/>
    <n v="14.341381904882899"/>
    <n v="872.43406588037601"/>
    <n v="3140.76263716935"/>
  </r>
  <r>
    <x v="0"/>
    <x v="0"/>
    <x v="0"/>
    <x v="6"/>
    <x v="7"/>
    <s v="NeA"/>
    <x v="1"/>
    <x v="1"/>
    <s v="GSOLE_SUN"/>
    <x v="2"/>
    <x v="9"/>
    <n v="92.074000605841505"/>
    <n v="5601.1683701886896"/>
    <n v="20164.206132679301"/>
  </r>
  <r>
    <x v="0"/>
    <x v="0"/>
    <x v="0"/>
    <x v="6"/>
    <x v="7"/>
    <s v="NeA"/>
    <x v="1"/>
    <x v="1"/>
    <s v="GSOLE_SUN"/>
    <x v="2"/>
    <x v="10"/>
    <n v="196.92716221894301"/>
    <n v="11979.7357016524"/>
    <n v="43127.048525948601"/>
  </r>
  <r>
    <x v="0"/>
    <x v="0"/>
    <x v="0"/>
    <x v="6"/>
    <x v="7"/>
    <s v="NeA"/>
    <x v="1"/>
    <x v="1"/>
    <s v="GSOLE_SUN"/>
    <x v="2"/>
    <x v="11"/>
    <n v="268.41089732941202"/>
    <n v="16328.3295875392"/>
    <n v="58781.986515141201"/>
  </r>
  <r>
    <x v="0"/>
    <x v="0"/>
    <x v="0"/>
    <x v="6"/>
    <x v="7"/>
    <s v="NeA"/>
    <x v="1"/>
    <x v="1"/>
    <s v="GSOLE_SUN"/>
    <x v="3"/>
    <x v="7"/>
    <n v="9.7032353889600093E-3"/>
    <n v="0.59028015282839996"/>
    <n v="2.12500855018224"/>
  </r>
  <r>
    <x v="0"/>
    <x v="0"/>
    <x v="0"/>
    <x v="6"/>
    <x v="7"/>
    <s v="NeA"/>
    <x v="1"/>
    <x v="1"/>
    <s v="GSOLE_SUN"/>
    <x v="3"/>
    <x v="8"/>
    <n v="5.2591535808163199"/>
    <n v="319.93184283299303"/>
    <n v="1151.75463419877"/>
  </r>
  <r>
    <x v="0"/>
    <x v="0"/>
    <x v="0"/>
    <x v="6"/>
    <x v="7"/>
    <s v="NeA"/>
    <x v="1"/>
    <x v="1"/>
    <s v="GSOLE_SUN"/>
    <x v="3"/>
    <x v="9"/>
    <n v="27.964724390982699"/>
    <n v="1701.18740045145"/>
    <n v="6124.2746416252203"/>
  </r>
  <r>
    <x v="0"/>
    <x v="0"/>
    <x v="0"/>
    <x v="6"/>
    <x v="7"/>
    <s v="NeA"/>
    <x v="1"/>
    <x v="1"/>
    <s v="GSOLE_SUN"/>
    <x v="3"/>
    <x v="10"/>
    <n v="61.567028542951199"/>
    <n v="3745.3275696962"/>
    <n v="13483.1792509063"/>
  </r>
  <r>
    <x v="0"/>
    <x v="0"/>
    <x v="0"/>
    <x v="6"/>
    <x v="7"/>
    <s v="NeA"/>
    <x v="1"/>
    <x v="1"/>
    <s v="GSOLE_SUN"/>
    <x v="3"/>
    <x v="11"/>
    <n v="81.371331971818606"/>
    <n v="4950.0893616189696"/>
    <n v="17820.321701828299"/>
  </r>
  <r>
    <x v="0"/>
    <x v="0"/>
    <x v="0"/>
    <x v="6"/>
    <x v="7"/>
    <s v="NeA"/>
    <x v="1"/>
    <x v="1"/>
    <s v="GSOLE_SUN"/>
    <x v="4"/>
    <x v="7"/>
    <n v="8.7329118500639999E-2"/>
    <n v="5.3125213754556002"/>
    <n v="19.125076951640199"/>
  </r>
  <r>
    <x v="0"/>
    <x v="0"/>
    <x v="0"/>
    <x v="6"/>
    <x v="7"/>
    <s v="NeA"/>
    <x v="1"/>
    <x v="1"/>
    <s v="GSOLE_SUN"/>
    <x v="4"/>
    <x v="8"/>
    <n v="11.760321291419499"/>
    <n v="715.41954522802098"/>
    <n v="2575.5103628208799"/>
  </r>
  <r>
    <x v="0"/>
    <x v="0"/>
    <x v="0"/>
    <x v="6"/>
    <x v="7"/>
    <s v="NeA"/>
    <x v="1"/>
    <x v="1"/>
    <s v="GSOLE_SUN"/>
    <x v="4"/>
    <x v="9"/>
    <n v="51.388334619932202"/>
    <n v="3126.1236893792102"/>
    <n v="11254.0452817652"/>
  </r>
  <r>
    <x v="0"/>
    <x v="0"/>
    <x v="0"/>
    <x v="6"/>
    <x v="7"/>
    <s v="NeA"/>
    <x v="1"/>
    <x v="1"/>
    <s v="GSOLE_SUN"/>
    <x v="4"/>
    <x v="10"/>
    <n v="102.69904335675299"/>
    <n v="6247.5251375357902"/>
    <n v="22491.090495128799"/>
  </r>
  <r>
    <x v="0"/>
    <x v="0"/>
    <x v="0"/>
    <x v="6"/>
    <x v="7"/>
    <s v="NeA"/>
    <x v="1"/>
    <x v="1"/>
    <s v="GSOLE_SUN"/>
    <x v="4"/>
    <x v="11"/>
    <n v="138.34873017579201"/>
    <n v="8416.2144190273302"/>
    <n v="30298.3719084984"/>
  </r>
  <r>
    <x v="0"/>
    <x v="0"/>
    <x v="0"/>
    <x v="6"/>
    <x v="7"/>
    <s v="NeA"/>
    <x v="1"/>
    <x v="1"/>
    <s v="GSOLE_SUN"/>
    <x v="5"/>
    <x v="7"/>
    <n v="0.51427147561487996"/>
    <n v="31.284848099905201"/>
    <n v="112.625453159659"/>
  </r>
  <r>
    <x v="0"/>
    <x v="0"/>
    <x v="0"/>
    <x v="6"/>
    <x v="7"/>
    <s v="NeA"/>
    <x v="1"/>
    <x v="1"/>
    <s v="GSOLE_SUN"/>
    <x v="5"/>
    <x v="8"/>
    <n v="37.532114484497299"/>
    <n v="2283.2036311402499"/>
    <n v="8219.5330721049104"/>
  </r>
  <r>
    <x v="0"/>
    <x v="0"/>
    <x v="0"/>
    <x v="6"/>
    <x v="7"/>
    <s v="NeA"/>
    <x v="1"/>
    <x v="1"/>
    <s v="GSOLE_SUN"/>
    <x v="5"/>
    <x v="9"/>
    <n v="153.631325913404"/>
    <n v="9345.9056597320596"/>
    <n v="33645.260375035403"/>
  </r>
  <r>
    <x v="0"/>
    <x v="0"/>
    <x v="0"/>
    <x v="6"/>
    <x v="7"/>
    <s v="NeA"/>
    <x v="1"/>
    <x v="1"/>
    <s v="GSOLE_SUN"/>
    <x v="5"/>
    <x v="10"/>
    <n v="283.62557041930103"/>
    <n v="17253.888867174101"/>
    <n v="62113.9999218269"/>
  </r>
  <r>
    <x v="0"/>
    <x v="0"/>
    <x v="0"/>
    <x v="6"/>
    <x v="7"/>
    <s v="NeA"/>
    <x v="1"/>
    <x v="1"/>
    <s v="GSOLE_SUN"/>
    <x v="5"/>
    <x v="11"/>
    <n v="363.09506825488302"/>
    <n v="22088.283318838701"/>
    <n v="79517.819947819502"/>
  </r>
  <r>
    <x v="0"/>
    <x v="0"/>
    <x v="0"/>
    <x v="6"/>
    <x v="7"/>
    <s v="NeA"/>
    <x v="1"/>
    <x v="1"/>
    <s v="GSOLE_SUN"/>
    <x v="6"/>
    <x v="7"/>
    <n v="0.50456824022591995"/>
    <n v="30.694567947076798"/>
    <n v="110.500444609477"/>
  </r>
  <r>
    <x v="0"/>
    <x v="0"/>
    <x v="0"/>
    <x v="6"/>
    <x v="7"/>
    <s v="NeA"/>
    <x v="1"/>
    <x v="1"/>
    <s v="GSOLE_SUN"/>
    <x v="6"/>
    <x v="8"/>
    <n v="17.708404584852001"/>
    <n v="1077.26127891183"/>
    <n v="3878.14060408259"/>
  </r>
  <r>
    <x v="0"/>
    <x v="0"/>
    <x v="0"/>
    <x v="6"/>
    <x v="7"/>
    <s v="NeA"/>
    <x v="1"/>
    <x v="1"/>
    <s v="GSOLE_SUN"/>
    <x v="6"/>
    <x v="9"/>
    <n v="62.013377370843401"/>
    <n v="3772.48045672631"/>
    <n v="13580.929644214701"/>
  </r>
  <r>
    <x v="0"/>
    <x v="0"/>
    <x v="0"/>
    <x v="6"/>
    <x v="7"/>
    <s v="NeA"/>
    <x v="1"/>
    <x v="1"/>
    <s v="GSOLE_SUN"/>
    <x v="6"/>
    <x v="10"/>
    <n v="106.85202810322799"/>
    <n v="6500.1650429463398"/>
    <n v="23400.594154606799"/>
  </r>
  <r>
    <x v="0"/>
    <x v="0"/>
    <x v="0"/>
    <x v="6"/>
    <x v="7"/>
    <s v="NeA"/>
    <x v="1"/>
    <x v="1"/>
    <s v="GSOLE_SUN"/>
    <x v="6"/>
    <x v="11"/>
    <n v="134.671203963376"/>
    <n v="8192.4982411053697"/>
    <n v="29492.993667979299"/>
  </r>
  <r>
    <x v="0"/>
    <x v="0"/>
    <x v="0"/>
    <x v="6"/>
    <x v="7"/>
    <s v="NeA"/>
    <x v="1"/>
    <x v="1"/>
    <s v="GSOLE_SUN"/>
    <x v="7"/>
    <x v="7"/>
    <n v="4.6187400451449596"/>
    <n v="280.97335274631899"/>
    <n v="1011.50406988675"/>
  </r>
  <r>
    <x v="0"/>
    <x v="0"/>
    <x v="0"/>
    <x v="6"/>
    <x v="7"/>
    <s v="NeA"/>
    <x v="1"/>
    <x v="1"/>
    <s v="GSOLE_SUN"/>
    <x v="7"/>
    <x v="8"/>
    <n v="48.525880180188999"/>
    <n v="2951.9910442948299"/>
    <n v="10627.167759461399"/>
  </r>
  <r>
    <x v="0"/>
    <x v="0"/>
    <x v="0"/>
    <x v="6"/>
    <x v="7"/>
    <s v="NeA"/>
    <x v="1"/>
    <x v="1"/>
    <s v="GSOLE_SUN"/>
    <x v="7"/>
    <x v="9"/>
    <n v="147.94522997547301"/>
    <n v="9000.0014901746199"/>
    <n v="32400.0053646286"/>
  </r>
  <r>
    <x v="0"/>
    <x v="0"/>
    <x v="0"/>
    <x v="6"/>
    <x v="7"/>
    <s v="NeA"/>
    <x v="1"/>
    <x v="1"/>
    <s v="GSOLE_SUN"/>
    <x v="7"/>
    <x v="10"/>
    <n v="255.816097794542"/>
    <n v="15562.1459491679"/>
    <n v="56023.7254170046"/>
  </r>
  <r>
    <x v="0"/>
    <x v="0"/>
    <x v="0"/>
    <x v="6"/>
    <x v="7"/>
    <s v="NeA"/>
    <x v="1"/>
    <x v="1"/>
    <s v="GSOLE_SUN"/>
    <x v="7"/>
    <x v="11"/>
    <n v="305.16675298279199"/>
    <n v="18564.310806453199"/>
    <n v="66831.518903231496"/>
  </r>
  <r>
    <x v="0"/>
    <x v="0"/>
    <x v="0"/>
    <x v="6"/>
    <x v="7"/>
    <s v="NeA"/>
    <x v="1"/>
    <x v="1"/>
    <s v="GSOLE_SUN"/>
    <x v="8"/>
    <x v="6"/>
    <n v="1.9406470777920001E-2"/>
    <n v="1.1805603056567999"/>
    <n v="4.25001710036448"/>
  </r>
  <r>
    <x v="0"/>
    <x v="0"/>
    <x v="0"/>
    <x v="6"/>
    <x v="7"/>
    <s v="NeA"/>
    <x v="1"/>
    <x v="1"/>
    <s v="GSOLE_SUN"/>
    <x v="8"/>
    <x v="7"/>
    <n v="10.295132747686599"/>
    <n v="626.28724215093303"/>
    <n v="2254.63407174336"/>
  </r>
  <r>
    <x v="0"/>
    <x v="0"/>
    <x v="0"/>
    <x v="6"/>
    <x v="7"/>
    <s v="NeA"/>
    <x v="1"/>
    <x v="1"/>
    <s v="GSOLE_SUN"/>
    <x v="8"/>
    <x v="8"/>
    <n v="55.803306721909003"/>
    <n v="3394.7011589161302"/>
    <n v="12220.924172098101"/>
  </r>
  <r>
    <x v="0"/>
    <x v="0"/>
    <x v="0"/>
    <x v="6"/>
    <x v="7"/>
    <s v="NeA"/>
    <x v="1"/>
    <x v="1"/>
    <s v="GSOLE_SUN"/>
    <x v="8"/>
    <x v="9"/>
    <n v="124.977671809805"/>
    <n v="7602.8083684297999"/>
    <n v="27370.110126347299"/>
  </r>
  <r>
    <x v="0"/>
    <x v="0"/>
    <x v="0"/>
    <x v="6"/>
    <x v="7"/>
    <s v="NeA"/>
    <x v="1"/>
    <x v="1"/>
    <s v="GSOLE_SUN"/>
    <x v="8"/>
    <x v="10"/>
    <n v="194.45283719475901"/>
    <n v="11829.2142626811"/>
    <n v="42585.171345652103"/>
  </r>
  <r>
    <x v="0"/>
    <x v="0"/>
    <x v="0"/>
    <x v="6"/>
    <x v="7"/>
    <s v="NeA"/>
    <x v="1"/>
    <x v="1"/>
    <s v="GSOLE_SUN"/>
    <x v="8"/>
    <x v="11"/>
    <n v="244.21102826934501"/>
    <n v="14856.1708863852"/>
    <n v="53482.215190986703"/>
  </r>
  <r>
    <x v="0"/>
    <x v="0"/>
    <x v="0"/>
    <x v="6"/>
    <x v="7"/>
    <s v="NeA"/>
    <x v="1"/>
    <x v="1"/>
    <s v="GSOLE_SUN"/>
    <x v="9"/>
    <x v="6"/>
    <n v="0.37842618016944002"/>
    <n v="23.020925960307601"/>
    <n v="82.875333457107402"/>
  </r>
  <r>
    <x v="0"/>
    <x v="0"/>
    <x v="0"/>
    <x v="6"/>
    <x v="7"/>
    <s v="NeA"/>
    <x v="1"/>
    <x v="1"/>
    <s v="GSOLE_SUN"/>
    <x v="9"/>
    <x v="7"/>
    <n v="16.097667510284602"/>
    <n v="979.27477354231598"/>
    <n v="3525.38918475234"/>
  </r>
  <r>
    <x v="0"/>
    <x v="0"/>
    <x v="0"/>
    <x v="6"/>
    <x v="7"/>
    <s v="NeA"/>
    <x v="1"/>
    <x v="1"/>
    <s v="GSOLE_SUN"/>
    <x v="9"/>
    <x v="8"/>
    <n v="60.868395594946101"/>
    <n v="3702.8273986925501"/>
    <n v="13330.178635293199"/>
  </r>
  <r>
    <x v="0"/>
    <x v="0"/>
    <x v="0"/>
    <x v="6"/>
    <x v="7"/>
    <s v="NeA"/>
    <x v="1"/>
    <x v="1"/>
    <s v="GSOLE_SUN"/>
    <x v="9"/>
    <x v="9"/>
    <n v="119.28187263648501"/>
    <n v="7256.3139187195302"/>
    <n v="26122.7301073903"/>
  </r>
  <r>
    <x v="0"/>
    <x v="0"/>
    <x v="0"/>
    <x v="6"/>
    <x v="7"/>
    <s v="NeA"/>
    <x v="1"/>
    <x v="1"/>
    <s v="GSOLE_SUN"/>
    <x v="9"/>
    <x v="10"/>
    <n v="166.55603545149799"/>
    <n v="10132.1588232995"/>
    <n v="36475.771763878198"/>
  </r>
  <r>
    <x v="0"/>
    <x v="0"/>
    <x v="0"/>
    <x v="6"/>
    <x v="7"/>
    <s v="NeA"/>
    <x v="1"/>
    <x v="1"/>
    <s v="GSOLE_SUN"/>
    <x v="9"/>
    <x v="11"/>
    <n v="199.498519597018"/>
    <n v="12136.1599421519"/>
    <n v="43690.1757917469"/>
  </r>
  <r>
    <x v="0"/>
    <x v="0"/>
    <x v="0"/>
    <x v="6"/>
    <x v="7"/>
    <s v="NeA"/>
    <x v="1"/>
    <x v="1"/>
    <s v="GSOLE_SUN"/>
    <x v="10"/>
    <x v="6"/>
    <n v="0.35901970939152"/>
    <n v="21.8403656546508"/>
    <n v="78.6253163567429"/>
  </r>
  <r>
    <x v="0"/>
    <x v="0"/>
    <x v="0"/>
    <x v="6"/>
    <x v="7"/>
    <s v="NeA"/>
    <x v="1"/>
    <x v="1"/>
    <s v="GSOLE_SUN"/>
    <x v="10"/>
    <x v="7"/>
    <n v="11.799134232975399"/>
    <n v="717.78066583933503"/>
    <n v="2584.0103970216101"/>
  </r>
  <r>
    <x v="0"/>
    <x v="0"/>
    <x v="0"/>
    <x v="6"/>
    <x v="7"/>
    <s v="NeA"/>
    <x v="1"/>
    <x v="1"/>
    <s v="GSOLE_SUN"/>
    <x v="10"/>
    <x v="8"/>
    <n v="49.428281071362299"/>
    <n v="3006.8870985078702"/>
    <n v="10824.793554628301"/>
  </r>
  <r>
    <x v="0"/>
    <x v="0"/>
    <x v="0"/>
    <x v="6"/>
    <x v="7"/>
    <s v="NeA"/>
    <x v="1"/>
    <x v="1"/>
    <s v="GSOLE_SUN"/>
    <x v="10"/>
    <x v="9"/>
    <n v="98.565465081055706"/>
    <n v="5996.0657924308898"/>
    <n v="21585.836852751199"/>
  </r>
  <r>
    <x v="0"/>
    <x v="0"/>
    <x v="0"/>
    <x v="6"/>
    <x v="7"/>
    <s v="NeA"/>
    <x v="1"/>
    <x v="1"/>
    <s v="GSOLE_SUN"/>
    <x v="10"/>
    <x v="10"/>
    <n v="147.91612026930599"/>
    <n v="8998.2306497161298"/>
    <n v="32393.630338978099"/>
  </r>
  <r>
    <x v="0"/>
    <x v="0"/>
    <x v="0"/>
    <x v="6"/>
    <x v="7"/>
    <s v="NeA"/>
    <x v="1"/>
    <x v="1"/>
    <s v="GSOLE_SUN"/>
    <x v="10"/>
    <x v="11"/>
    <n v="184.507020921075"/>
    <n v="11224.177106032001"/>
    <n v="40407.037581715304"/>
  </r>
  <r>
    <x v="0"/>
    <x v="0"/>
    <x v="0"/>
    <x v="6"/>
    <x v="7"/>
    <s v="NeA"/>
    <x v="1"/>
    <x v="1"/>
    <s v="GSOLE_SUN"/>
    <x v="11"/>
    <x v="6"/>
    <n v="4.5605206328112002"/>
    <n v="277.43167182934798"/>
    <n v="998.75401858565397"/>
  </r>
  <r>
    <x v="0"/>
    <x v="0"/>
    <x v="0"/>
    <x v="6"/>
    <x v="7"/>
    <s v="NeA"/>
    <x v="1"/>
    <x v="1"/>
    <s v="GSOLE_SUN"/>
    <x v="11"/>
    <x v="7"/>
    <n v="48.642319004856503"/>
    <n v="2959.0744061287701"/>
    <n v="10652.667862063599"/>
  </r>
  <r>
    <x v="0"/>
    <x v="0"/>
    <x v="0"/>
    <x v="6"/>
    <x v="7"/>
    <s v="NeA"/>
    <x v="1"/>
    <x v="1"/>
    <s v="GSOLE_SUN"/>
    <x v="11"/>
    <x v="8"/>
    <n v="141.94863050509599"/>
    <n v="8635.2083557266706"/>
    <n v="31086.750080615999"/>
  </r>
  <r>
    <x v="0"/>
    <x v="0"/>
    <x v="0"/>
    <x v="6"/>
    <x v="7"/>
    <s v="NeA"/>
    <x v="1"/>
    <x v="1"/>
    <s v="GSOLE_SUN"/>
    <x v="11"/>
    <x v="9"/>
    <n v="231.74237079453201"/>
    <n v="14097.6608900007"/>
    <n v="50751.579204002497"/>
  </r>
  <r>
    <x v="0"/>
    <x v="0"/>
    <x v="0"/>
    <x v="6"/>
    <x v="7"/>
    <s v="NeA"/>
    <x v="1"/>
    <x v="1"/>
    <s v="GSOLE_SUN"/>
    <x v="11"/>
    <x v="10"/>
    <n v="308.853982430597"/>
    <n v="18788.617264527998"/>
    <n v="67639.022152300706"/>
  </r>
  <r>
    <x v="0"/>
    <x v="0"/>
    <x v="0"/>
    <x v="6"/>
    <x v="7"/>
    <s v="NeA"/>
    <x v="1"/>
    <x v="1"/>
    <s v="GSOLE_SUN"/>
    <x v="11"/>
    <x v="11"/>
    <n v="358.23374732501401"/>
    <n v="21792.5529622717"/>
    <n v="78453.190664178197"/>
  </r>
  <r>
    <x v="0"/>
    <x v="0"/>
    <x v="0"/>
    <x v="6"/>
    <x v="7"/>
    <s v="NeA"/>
    <x v="7"/>
    <x v="6"/>
    <s v="GHYRR_WATER"/>
    <x v="0"/>
    <x v="0"/>
    <n v="17.840398813099601"/>
    <n v="1085.2909277968899"/>
    <n v="3907.0473400688202"/>
  </r>
  <r>
    <x v="0"/>
    <x v="0"/>
    <x v="0"/>
    <x v="6"/>
    <x v="7"/>
    <s v="NeA"/>
    <x v="7"/>
    <x v="6"/>
    <s v="GHYRR_WATER"/>
    <x v="0"/>
    <x v="1"/>
    <n v="17.840398813099601"/>
    <n v="1085.2909277968899"/>
    <n v="3907.0473400688202"/>
  </r>
  <r>
    <x v="0"/>
    <x v="0"/>
    <x v="0"/>
    <x v="6"/>
    <x v="7"/>
    <s v="NeA"/>
    <x v="7"/>
    <x v="6"/>
    <s v="GHYRR_WATER"/>
    <x v="0"/>
    <x v="2"/>
    <n v="17.840398813099601"/>
    <n v="1085.2909277968899"/>
    <n v="3907.0473400688202"/>
  </r>
  <r>
    <x v="0"/>
    <x v="0"/>
    <x v="0"/>
    <x v="6"/>
    <x v="7"/>
    <s v="NeA"/>
    <x v="7"/>
    <x v="6"/>
    <s v="GHYRR_WATER"/>
    <x v="0"/>
    <x v="3"/>
    <n v="17.840398813099601"/>
    <n v="1085.2909277968899"/>
    <n v="3907.0473400688202"/>
  </r>
  <r>
    <x v="0"/>
    <x v="0"/>
    <x v="0"/>
    <x v="6"/>
    <x v="7"/>
    <s v="NeA"/>
    <x v="7"/>
    <x v="6"/>
    <s v="GHYRR_WATER"/>
    <x v="0"/>
    <x v="4"/>
    <n v="17.840398813099601"/>
    <n v="1085.2909277968899"/>
    <n v="3907.0473400688202"/>
  </r>
  <r>
    <x v="0"/>
    <x v="0"/>
    <x v="0"/>
    <x v="6"/>
    <x v="7"/>
    <s v="NeA"/>
    <x v="7"/>
    <x v="6"/>
    <s v="GHYRR_WATER"/>
    <x v="0"/>
    <x v="5"/>
    <n v="17.840398813099601"/>
    <n v="1085.2909277968899"/>
    <n v="3907.0473400688202"/>
  </r>
  <r>
    <x v="0"/>
    <x v="0"/>
    <x v="0"/>
    <x v="6"/>
    <x v="7"/>
    <s v="NeA"/>
    <x v="7"/>
    <x v="6"/>
    <s v="GHYRR_WATER"/>
    <x v="0"/>
    <x v="6"/>
    <n v="17.840398813099601"/>
    <n v="1085.2909277968899"/>
    <n v="3907.0473400688202"/>
  </r>
  <r>
    <x v="0"/>
    <x v="0"/>
    <x v="0"/>
    <x v="6"/>
    <x v="7"/>
    <s v="NeA"/>
    <x v="7"/>
    <x v="6"/>
    <s v="GHYRR_WATER"/>
    <x v="0"/>
    <x v="7"/>
    <n v="17.840398813099601"/>
    <n v="1085.2909277968899"/>
    <n v="3907.0473400688202"/>
  </r>
  <r>
    <x v="0"/>
    <x v="0"/>
    <x v="0"/>
    <x v="6"/>
    <x v="7"/>
    <s v="NeA"/>
    <x v="7"/>
    <x v="6"/>
    <s v="GHYRR_WATER"/>
    <x v="0"/>
    <x v="8"/>
    <n v="17.840398813099601"/>
    <n v="1085.2909277968899"/>
    <n v="3907.0473400688202"/>
  </r>
  <r>
    <x v="0"/>
    <x v="0"/>
    <x v="0"/>
    <x v="6"/>
    <x v="7"/>
    <s v="NeA"/>
    <x v="7"/>
    <x v="6"/>
    <s v="GHYRR_WATER"/>
    <x v="0"/>
    <x v="9"/>
    <n v="17.840398813099601"/>
    <n v="1085.2909277968899"/>
    <n v="3907.0473400688202"/>
  </r>
  <r>
    <x v="0"/>
    <x v="0"/>
    <x v="0"/>
    <x v="6"/>
    <x v="7"/>
    <s v="NeA"/>
    <x v="7"/>
    <x v="6"/>
    <s v="GHYRR_WATER"/>
    <x v="0"/>
    <x v="10"/>
    <n v="17.840398813099601"/>
    <n v="1085.2909277968899"/>
    <n v="3907.0473400688202"/>
  </r>
  <r>
    <x v="0"/>
    <x v="0"/>
    <x v="0"/>
    <x v="6"/>
    <x v="7"/>
    <s v="NeA"/>
    <x v="7"/>
    <x v="6"/>
    <s v="GHYRR_WATER"/>
    <x v="0"/>
    <x v="11"/>
    <n v="17.840398813099601"/>
    <n v="1085.2909277968899"/>
    <n v="3907.0473400688202"/>
  </r>
  <r>
    <x v="0"/>
    <x v="0"/>
    <x v="0"/>
    <x v="6"/>
    <x v="7"/>
    <s v="NeA"/>
    <x v="7"/>
    <x v="6"/>
    <s v="GHYRR_WATER"/>
    <x v="1"/>
    <x v="0"/>
    <n v="18.028831476560399"/>
    <n v="1096.7539148240901"/>
    <n v="3948.3140933667401"/>
  </r>
  <r>
    <x v="0"/>
    <x v="0"/>
    <x v="0"/>
    <x v="6"/>
    <x v="7"/>
    <s v="NeA"/>
    <x v="7"/>
    <x v="6"/>
    <s v="GHYRR_WATER"/>
    <x v="1"/>
    <x v="1"/>
    <n v="18.028831476560399"/>
    <n v="1096.7539148240901"/>
    <n v="3948.3140933667401"/>
  </r>
  <r>
    <x v="0"/>
    <x v="0"/>
    <x v="0"/>
    <x v="6"/>
    <x v="7"/>
    <s v="NeA"/>
    <x v="7"/>
    <x v="6"/>
    <s v="GHYRR_WATER"/>
    <x v="1"/>
    <x v="2"/>
    <n v="18.028831476560399"/>
    <n v="1096.7539148240901"/>
    <n v="3948.3140933667401"/>
  </r>
  <r>
    <x v="0"/>
    <x v="0"/>
    <x v="0"/>
    <x v="6"/>
    <x v="7"/>
    <s v="NeA"/>
    <x v="7"/>
    <x v="6"/>
    <s v="GHYRR_WATER"/>
    <x v="1"/>
    <x v="3"/>
    <n v="18.028831476560399"/>
    <n v="1096.7539148240901"/>
    <n v="3948.3140933667401"/>
  </r>
  <r>
    <x v="0"/>
    <x v="0"/>
    <x v="0"/>
    <x v="6"/>
    <x v="7"/>
    <s v="NeA"/>
    <x v="7"/>
    <x v="6"/>
    <s v="GHYRR_WATER"/>
    <x v="1"/>
    <x v="4"/>
    <n v="18.028831476560399"/>
    <n v="1096.7539148240901"/>
    <n v="3948.3140933667401"/>
  </r>
  <r>
    <x v="0"/>
    <x v="0"/>
    <x v="0"/>
    <x v="6"/>
    <x v="7"/>
    <s v="NeA"/>
    <x v="7"/>
    <x v="6"/>
    <s v="GHYRR_WATER"/>
    <x v="1"/>
    <x v="5"/>
    <n v="18.028831476560399"/>
    <n v="1096.7539148240901"/>
    <n v="3948.3140933667401"/>
  </r>
  <r>
    <x v="0"/>
    <x v="0"/>
    <x v="0"/>
    <x v="6"/>
    <x v="7"/>
    <s v="NeA"/>
    <x v="7"/>
    <x v="6"/>
    <s v="GHYRR_WATER"/>
    <x v="1"/>
    <x v="6"/>
    <n v="18.028831476560399"/>
    <n v="1096.7539148240901"/>
    <n v="3948.3140933667401"/>
  </r>
  <r>
    <x v="0"/>
    <x v="0"/>
    <x v="0"/>
    <x v="6"/>
    <x v="7"/>
    <s v="NeA"/>
    <x v="7"/>
    <x v="6"/>
    <s v="GHYRR_WATER"/>
    <x v="1"/>
    <x v="7"/>
    <n v="18.028831476560399"/>
    <n v="1096.7539148240901"/>
    <n v="3948.3140933667401"/>
  </r>
  <r>
    <x v="0"/>
    <x v="0"/>
    <x v="0"/>
    <x v="6"/>
    <x v="7"/>
    <s v="NeA"/>
    <x v="7"/>
    <x v="6"/>
    <s v="GHYRR_WATER"/>
    <x v="1"/>
    <x v="8"/>
    <n v="18.028831476560399"/>
    <n v="1096.7539148240901"/>
    <n v="3948.3140933667401"/>
  </r>
  <r>
    <x v="0"/>
    <x v="0"/>
    <x v="0"/>
    <x v="6"/>
    <x v="7"/>
    <s v="NeA"/>
    <x v="7"/>
    <x v="6"/>
    <s v="GHYRR_WATER"/>
    <x v="1"/>
    <x v="9"/>
    <n v="18.028831476560399"/>
    <n v="1096.7539148240901"/>
    <n v="3948.3140933667401"/>
  </r>
  <r>
    <x v="0"/>
    <x v="0"/>
    <x v="0"/>
    <x v="6"/>
    <x v="7"/>
    <s v="NeA"/>
    <x v="7"/>
    <x v="6"/>
    <s v="GHYRR_WATER"/>
    <x v="1"/>
    <x v="10"/>
    <n v="18.028831476560399"/>
    <n v="1096.7539148240901"/>
    <n v="3948.3140933667401"/>
  </r>
  <r>
    <x v="0"/>
    <x v="0"/>
    <x v="0"/>
    <x v="6"/>
    <x v="7"/>
    <s v="NeA"/>
    <x v="7"/>
    <x v="6"/>
    <s v="GHYRR_WATER"/>
    <x v="1"/>
    <x v="11"/>
    <n v="18.028831476560399"/>
    <n v="1096.7539148240901"/>
    <n v="3948.3140933667401"/>
  </r>
  <r>
    <x v="0"/>
    <x v="0"/>
    <x v="0"/>
    <x v="6"/>
    <x v="7"/>
    <s v="NeA"/>
    <x v="7"/>
    <x v="6"/>
    <s v="GHYRR_WATER"/>
    <x v="2"/>
    <x v="0"/>
    <n v="18.917068566807899"/>
    <n v="1150.7883378141501"/>
    <n v="4142.8380161309296"/>
  </r>
  <r>
    <x v="0"/>
    <x v="0"/>
    <x v="0"/>
    <x v="6"/>
    <x v="7"/>
    <s v="NeA"/>
    <x v="7"/>
    <x v="6"/>
    <s v="GHYRR_WATER"/>
    <x v="2"/>
    <x v="1"/>
    <n v="18.917068566807899"/>
    <n v="1150.7883378141501"/>
    <n v="4142.8380161309296"/>
  </r>
  <r>
    <x v="0"/>
    <x v="0"/>
    <x v="0"/>
    <x v="6"/>
    <x v="7"/>
    <s v="NeA"/>
    <x v="7"/>
    <x v="6"/>
    <s v="GHYRR_WATER"/>
    <x v="2"/>
    <x v="2"/>
    <n v="18.917068566807899"/>
    <n v="1150.7883378141501"/>
    <n v="4142.8380161309296"/>
  </r>
  <r>
    <x v="0"/>
    <x v="0"/>
    <x v="0"/>
    <x v="6"/>
    <x v="7"/>
    <s v="NeA"/>
    <x v="7"/>
    <x v="6"/>
    <s v="GHYRR_WATER"/>
    <x v="2"/>
    <x v="3"/>
    <n v="18.917068566807899"/>
    <n v="1150.7883378141501"/>
    <n v="4142.8380161309296"/>
  </r>
  <r>
    <x v="0"/>
    <x v="0"/>
    <x v="0"/>
    <x v="6"/>
    <x v="7"/>
    <s v="NeA"/>
    <x v="7"/>
    <x v="6"/>
    <s v="GHYRR_WATER"/>
    <x v="2"/>
    <x v="4"/>
    <n v="18.917068566807899"/>
    <n v="1150.7883378141501"/>
    <n v="4142.8380161309296"/>
  </r>
  <r>
    <x v="0"/>
    <x v="0"/>
    <x v="0"/>
    <x v="6"/>
    <x v="7"/>
    <s v="NeA"/>
    <x v="7"/>
    <x v="6"/>
    <s v="GHYRR_WATER"/>
    <x v="2"/>
    <x v="5"/>
    <n v="18.917068566807899"/>
    <n v="1150.7883378141501"/>
    <n v="4142.8380161309296"/>
  </r>
  <r>
    <x v="0"/>
    <x v="0"/>
    <x v="0"/>
    <x v="6"/>
    <x v="7"/>
    <s v="NeA"/>
    <x v="7"/>
    <x v="6"/>
    <s v="GHYRR_WATER"/>
    <x v="2"/>
    <x v="6"/>
    <n v="18.917068566807899"/>
    <n v="1150.7883378141501"/>
    <n v="4142.8380161309296"/>
  </r>
  <r>
    <x v="0"/>
    <x v="0"/>
    <x v="0"/>
    <x v="6"/>
    <x v="7"/>
    <s v="NeA"/>
    <x v="7"/>
    <x v="6"/>
    <s v="GHYRR_WATER"/>
    <x v="2"/>
    <x v="7"/>
    <n v="18.917068566807899"/>
    <n v="1150.7883378141501"/>
    <n v="4142.8380161309296"/>
  </r>
  <r>
    <x v="0"/>
    <x v="0"/>
    <x v="0"/>
    <x v="6"/>
    <x v="7"/>
    <s v="NeA"/>
    <x v="7"/>
    <x v="6"/>
    <s v="GHYRR_WATER"/>
    <x v="2"/>
    <x v="8"/>
    <n v="18.917068566807899"/>
    <n v="1150.7883378141501"/>
    <n v="4142.8380161309296"/>
  </r>
  <r>
    <x v="0"/>
    <x v="0"/>
    <x v="0"/>
    <x v="6"/>
    <x v="7"/>
    <s v="NeA"/>
    <x v="7"/>
    <x v="6"/>
    <s v="GHYRR_WATER"/>
    <x v="2"/>
    <x v="9"/>
    <n v="18.917068566807899"/>
    <n v="1150.7883378141501"/>
    <n v="4142.8380161309296"/>
  </r>
  <r>
    <x v="0"/>
    <x v="0"/>
    <x v="0"/>
    <x v="6"/>
    <x v="7"/>
    <s v="NeA"/>
    <x v="7"/>
    <x v="6"/>
    <s v="GHYRR_WATER"/>
    <x v="2"/>
    <x v="10"/>
    <n v="18.917068566807899"/>
    <n v="1150.7883378141501"/>
    <n v="4142.8380161309296"/>
  </r>
  <r>
    <x v="0"/>
    <x v="0"/>
    <x v="0"/>
    <x v="6"/>
    <x v="7"/>
    <s v="NeA"/>
    <x v="7"/>
    <x v="6"/>
    <s v="GHYRR_WATER"/>
    <x v="2"/>
    <x v="11"/>
    <n v="18.917068566807899"/>
    <n v="1150.7883378141501"/>
    <n v="4142.8380161309296"/>
  </r>
  <r>
    <x v="0"/>
    <x v="0"/>
    <x v="0"/>
    <x v="6"/>
    <x v="7"/>
    <s v="NeA"/>
    <x v="7"/>
    <x v="6"/>
    <s v="GHYRR_WATER"/>
    <x v="3"/>
    <x v="0"/>
    <n v="20.235982717982701"/>
    <n v="1231.0222820106201"/>
    <n v="4431.6802152382197"/>
  </r>
  <r>
    <x v="0"/>
    <x v="0"/>
    <x v="0"/>
    <x v="6"/>
    <x v="7"/>
    <s v="NeA"/>
    <x v="7"/>
    <x v="6"/>
    <s v="GHYRR_WATER"/>
    <x v="3"/>
    <x v="1"/>
    <n v="20.235982717982701"/>
    <n v="1231.0222820106201"/>
    <n v="4431.6802152382197"/>
  </r>
  <r>
    <x v="0"/>
    <x v="0"/>
    <x v="0"/>
    <x v="6"/>
    <x v="7"/>
    <s v="NeA"/>
    <x v="7"/>
    <x v="6"/>
    <s v="GHYRR_WATER"/>
    <x v="3"/>
    <x v="2"/>
    <n v="20.235982717982701"/>
    <n v="1231.0222820106201"/>
    <n v="4431.6802152382197"/>
  </r>
  <r>
    <x v="0"/>
    <x v="0"/>
    <x v="0"/>
    <x v="6"/>
    <x v="7"/>
    <s v="NeA"/>
    <x v="7"/>
    <x v="6"/>
    <s v="GHYRR_WATER"/>
    <x v="3"/>
    <x v="3"/>
    <n v="20.235982717982701"/>
    <n v="1231.0222820106201"/>
    <n v="4431.6802152382197"/>
  </r>
  <r>
    <x v="0"/>
    <x v="0"/>
    <x v="0"/>
    <x v="6"/>
    <x v="7"/>
    <s v="NeA"/>
    <x v="7"/>
    <x v="6"/>
    <s v="GHYRR_WATER"/>
    <x v="3"/>
    <x v="4"/>
    <n v="20.235982717982701"/>
    <n v="1231.0222820106201"/>
    <n v="4431.6802152382197"/>
  </r>
  <r>
    <x v="0"/>
    <x v="0"/>
    <x v="0"/>
    <x v="6"/>
    <x v="7"/>
    <s v="NeA"/>
    <x v="7"/>
    <x v="6"/>
    <s v="GHYRR_WATER"/>
    <x v="3"/>
    <x v="5"/>
    <n v="20.235982717982701"/>
    <n v="1231.0222820106201"/>
    <n v="4431.6802152382197"/>
  </r>
  <r>
    <x v="0"/>
    <x v="0"/>
    <x v="0"/>
    <x v="6"/>
    <x v="7"/>
    <s v="NeA"/>
    <x v="7"/>
    <x v="6"/>
    <s v="GHYRR_WATER"/>
    <x v="3"/>
    <x v="6"/>
    <n v="20.235982717982701"/>
    <n v="1231.0222820106201"/>
    <n v="4431.6802152382197"/>
  </r>
  <r>
    <x v="0"/>
    <x v="0"/>
    <x v="0"/>
    <x v="6"/>
    <x v="7"/>
    <s v="NeA"/>
    <x v="7"/>
    <x v="6"/>
    <s v="GHYRR_WATER"/>
    <x v="3"/>
    <x v="7"/>
    <n v="20.235982717982701"/>
    <n v="1231.0222820106201"/>
    <n v="4431.6802152382197"/>
  </r>
  <r>
    <x v="0"/>
    <x v="0"/>
    <x v="0"/>
    <x v="6"/>
    <x v="7"/>
    <s v="NeA"/>
    <x v="7"/>
    <x v="6"/>
    <s v="GHYRR_WATER"/>
    <x v="3"/>
    <x v="8"/>
    <n v="20.235982717982701"/>
    <n v="1231.0222820106201"/>
    <n v="4431.6802152382197"/>
  </r>
  <r>
    <x v="0"/>
    <x v="0"/>
    <x v="0"/>
    <x v="6"/>
    <x v="7"/>
    <s v="NeA"/>
    <x v="7"/>
    <x v="6"/>
    <s v="GHYRR_WATER"/>
    <x v="3"/>
    <x v="9"/>
    <n v="20.235982717982701"/>
    <n v="1231.0222820106201"/>
    <n v="4431.6802152382197"/>
  </r>
  <r>
    <x v="0"/>
    <x v="0"/>
    <x v="0"/>
    <x v="6"/>
    <x v="7"/>
    <s v="NeA"/>
    <x v="7"/>
    <x v="6"/>
    <s v="GHYRR_WATER"/>
    <x v="3"/>
    <x v="10"/>
    <n v="20.235982717982701"/>
    <n v="1231.0222820106201"/>
    <n v="4431.6802152382197"/>
  </r>
  <r>
    <x v="0"/>
    <x v="0"/>
    <x v="0"/>
    <x v="6"/>
    <x v="7"/>
    <s v="NeA"/>
    <x v="7"/>
    <x v="6"/>
    <s v="GHYRR_WATER"/>
    <x v="3"/>
    <x v="11"/>
    <n v="20.235982717982701"/>
    <n v="1231.0222820106201"/>
    <n v="4431.6802152382197"/>
  </r>
  <r>
    <x v="0"/>
    <x v="0"/>
    <x v="0"/>
    <x v="6"/>
    <x v="7"/>
    <s v="NeA"/>
    <x v="7"/>
    <x v="6"/>
    <s v="GHYRR_WATER"/>
    <x v="4"/>
    <x v="0"/>
    <n v="17.294473046959101"/>
    <n v="1052.08044369001"/>
    <n v="3787.48959728405"/>
  </r>
  <r>
    <x v="0"/>
    <x v="0"/>
    <x v="0"/>
    <x v="6"/>
    <x v="7"/>
    <s v="NeA"/>
    <x v="7"/>
    <x v="6"/>
    <s v="GHYRR_WATER"/>
    <x v="4"/>
    <x v="1"/>
    <n v="17.294473046959101"/>
    <n v="1052.08044369001"/>
    <n v="3787.48959728405"/>
  </r>
  <r>
    <x v="0"/>
    <x v="0"/>
    <x v="0"/>
    <x v="6"/>
    <x v="7"/>
    <s v="NeA"/>
    <x v="7"/>
    <x v="6"/>
    <s v="GHYRR_WATER"/>
    <x v="4"/>
    <x v="2"/>
    <n v="17.294473046959101"/>
    <n v="1052.08044369001"/>
    <n v="3787.48959728405"/>
  </r>
  <r>
    <x v="0"/>
    <x v="0"/>
    <x v="0"/>
    <x v="6"/>
    <x v="7"/>
    <s v="NeA"/>
    <x v="7"/>
    <x v="6"/>
    <s v="GHYRR_WATER"/>
    <x v="4"/>
    <x v="3"/>
    <n v="17.294473046959101"/>
    <n v="1052.08044369001"/>
    <n v="3787.48959728405"/>
  </r>
  <r>
    <x v="0"/>
    <x v="0"/>
    <x v="0"/>
    <x v="6"/>
    <x v="7"/>
    <s v="NeA"/>
    <x v="7"/>
    <x v="6"/>
    <s v="GHYRR_WATER"/>
    <x v="4"/>
    <x v="4"/>
    <n v="17.294473046959101"/>
    <n v="1052.08044369001"/>
    <n v="3787.48959728405"/>
  </r>
  <r>
    <x v="0"/>
    <x v="0"/>
    <x v="0"/>
    <x v="6"/>
    <x v="7"/>
    <s v="NeA"/>
    <x v="7"/>
    <x v="6"/>
    <s v="GHYRR_WATER"/>
    <x v="4"/>
    <x v="5"/>
    <n v="17.294473046959101"/>
    <n v="1052.08044369001"/>
    <n v="3787.48959728405"/>
  </r>
  <r>
    <x v="0"/>
    <x v="0"/>
    <x v="0"/>
    <x v="6"/>
    <x v="7"/>
    <s v="NeA"/>
    <x v="7"/>
    <x v="6"/>
    <s v="GHYRR_WATER"/>
    <x v="4"/>
    <x v="6"/>
    <n v="17.294473046959101"/>
    <n v="1052.08044369001"/>
    <n v="3787.48959728405"/>
  </r>
  <r>
    <x v="0"/>
    <x v="0"/>
    <x v="0"/>
    <x v="6"/>
    <x v="7"/>
    <s v="NeA"/>
    <x v="7"/>
    <x v="6"/>
    <s v="GHYRR_WATER"/>
    <x v="4"/>
    <x v="7"/>
    <n v="17.294473046959101"/>
    <n v="1052.08044369001"/>
    <n v="3787.48959728405"/>
  </r>
  <r>
    <x v="0"/>
    <x v="0"/>
    <x v="0"/>
    <x v="6"/>
    <x v="7"/>
    <s v="NeA"/>
    <x v="7"/>
    <x v="6"/>
    <s v="GHYRR_WATER"/>
    <x v="4"/>
    <x v="8"/>
    <n v="17.294473046959101"/>
    <n v="1052.08044369001"/>
    <n v="3787.48959728405"/>
  </r>
  <r>
    <x v="0"/>
    <x v="0"/>
    <x v="0"/>
    <x v="6"/>
    <x v="7"/>
    <s v="NeA"/>
    <x v="7"/>
    <x v="6"/>
    <s v="GHYRR_WATER"/>
    <x v="4"/>
    <x v="9"/>
    <n v="17.294473046959101"/>
    <n v="1052.08044369001"/>
    <n v="3787.48959728405"/>
  </r>
  <r>
    <x v="0"/>
    <x v="0"/>
    <x v="0"/>
    <x v="6"/>
    <x v="7"/>
    <s v="NeA"/>
    <x v="7"/>
    <x v="6"/>
    <s v="GHYRR_WATER"/>
    <x v="4"/>
    <x v="10"/>
    <n v="17.294473046959101"/>
    <n v="1052.08044369001"/>
    <n v="3787.48959728405"/>
  </r>
  <r>
    <x v="0"/>
    <x v="0"/>
    <x v="0"/>
    <x v="6"/>
    <x v="7"/>
    <s v="NeA"/>
    <x v="7"/>
    <x v="6"/>
    <s v="GHYRR_WATER"/>
    <x v="4"/>
    <x v="11"/>
    <n v="17.294473046959101"/>
    <n v="1052.08044369001"/>
    <n v="3787.48959728405"/>
  </r>
  <r>
    <x v="0"/>
    <x v="0"/>
    <x v="0"/>
    <x v="6"/>
    <x v="7"/>
    <s v="NeA"/>
    <x v="7"/>
    <x v="6"/>
    <s v="GHYRR_WATER"/>
    <x v="5"/>
    <x v="0"/>
    <n v="15.8641800556976"/>
    <n v="965.07095338827196"/>
    <n v="3474.25543219778"/>
  </r>
  <r>
    <x v="0"/>
    <x v="0"/>
    <x v="0"/>
    <x v="6"/>
    <x v="7"/>
    <s v="NeA"/>
    <x v="7"/>
    <x v="6"/>
    <s v="GHYRR_WATER"/>
    <x v="5"/>
    <x v="1"/>
    <n v="15.8641800556976"/>
    <n v="965.07095338827196"/>
    <n v="3474.25543219778"/>
  </r>
  <r>
    <x v="0"/>
    <x v="0"/>
    <x v="0"/>
    <x v="6"/>
    <x v="7"/>
    <s v="NeA"/>
    <x v="7"/>
    <x v="6"/>
    <s v="GHYRR_WATER"/>
    <x v="5"/>
    <x v="2"/>
    <n v="15.8641800556976"/>
    <n v="965.07095338827196"/>
    <n v="3474.25543219778"/>
  </r>
  <r>
    <x v="0"/>
    <x v="0"/>
    <x v="0"/>
    <x v="6"/>
    <x v="7"/>
    <s v="NeA"/>
    <x v="7"/>
    <x v="6"/>
    <s v="GHYRR_WATER"/>
    <x v="5"/>
    <x v="3"/>
    <n v="15.8641800556976"/>
    <n v="965.07095338827196"/>
    <n v="3474.25543219778"/>
  </r>
  <r>
    <x v="0"/>
    <x v="0"/>
    <x v="0"/>
    <x v="6"/>
    <x v="7"/>
    <s v="NeA"/>
    <x v="7"/>
    <x v="6"/>
    <s v="GHYRR_WATER"/>
    <x v="5"/>
    <x v="4"/>
    <n v="15.8641800556976"/>
    <n v="965.07095338827196"/>
    <n v="3474.25543219778"/>
  </r>
  <r>
    <x v="0"/>
    <x v="0"/>
    <x v="0"/>
    <x v="6"/>
    <x v="7"/>
    <s v="NeA"/>
    <x v="7"/>
    <x v="6"/>
    <s v="GHYRR_WATER"/>
    <x v="5"/>
    <x v="5"/>
    <n v="15.8641800556976"/>
    <n v="965.07095338827196"/>
    <n v="3474.25543219778"/>
  </r>
  <r>
    <x v="0"/>
    <x v="0"/>
    <x v="0"/>
    <x v="6"/>
    <x v="7"/>
    <s v="NeA"/>
    <x v="7"/>
    <x v="6"/>
    <s v="GHYRR_WATER"/>
    <x v="5"/>
    <x v="6"/>
    <n v="15.8641800556976"/>
    <n v="965.07095338827196"/>
    <n v="3474.25543219778"/>
  </r>
  <r>
    <x v="0"/>
    <x v="0"/>
    <x v="0"/>
    <x v="6"/>
    <x v="7"/>
    <s v="NeA"/>
    <x v="7"/>
    <x v="6"/>
    <s v="GHYRR_WATER"/>
    <x v="5"/>
    <x v="7"/>
    <n v="15.8641800556976"/>
    <n v="965.07095338827196"/>
    <n v="3474.25543219778"/>
  </r>
  <r>
    <x v="0"/>
    <x v="0"/>
    <x v="0"/>
    <x v="6"/>
    <x v="7"/>
    <s v="NeA"/>
    <x v="7"/>
    <x v="6"/>
    <s v="GHYRR_WATER"/>
    <x v="5"/>
    <x v="8"/>
    <n v="15.8641800556976"/>
    <n v="965.07095338827196"/>
    <n v="3474.25543219778"/>
  </r>
  <r>
    <x v="0"/>
    <x v="0"/>
    <x v="0"/>
    <x v="6"/>
    <x v="7"/>
    <s v="NeA"/>
    <x v="7"/>
    <x v="6"/>
    <s v="GHYRR_WATER"/>
    <x v="5"/>
    <x v="9"/>
    <n v="15.8641800556976"/>
    <n v="965.07095338827196"/>
    <n v="3474.25543219778"/>
  </r>
  <r>
    <x v="0"/>
    <x v="0"/>
    <x v="0"/>
    <x v="6"/>
    <x v="7"/>
    <s v="NeA"/>
    <x v="7"/>
    <x v="6"/>
    <s v="GHYRR_WATER"/>
    <x v="5"/>
    <x v="10"/>
    <n v="15.8641800556976"/>
    <n v="965.07095338827196"/>
    <n v="3474.25543219778"/>
  </r>
  <r>
    <x v="0"/>
    <x v="0"/>
    <x v="0"/>
    <x v="6"/>
    <x v="7"/>
    <s v="NeA"/>
    <x v="7"/>
    <x v="6"/>
    <s v="GHYRR_WATER"/>
    <x v="5"/>
    <x v="11"/>
    <n v="15.8641800556976"/>
    <n v="965.07095338827196"/>
    <n v="3474.25543219778"/>
  </r>
  <r>
    <x v="0"/>
    <x v="0"/>
    <x v="0"/>
    <x v="6"/>
    <x v="7"/>
    <s v="NeA"/>
    <x v="7"/>
    <x v="6"/>
    <s v="GHYRR_WATER"/>
    <x v="6"/>
    <x v="0"/>
    <n v="13.919859062325401"/>
    <n v="846.79142629145895"/>
    <n v="3048.44913464925"/>
  </r>
  <r>
    <x v="0"/>
    <x v="0"/>
    <x v="0"/>
    <x v="6"/>
    <x v="7"/>
    <s v="NeA"/>
    <x v="7"/>
    <x v="6"/>
    <s v="GHYRR_WATER"/>
    <x v="6"/>
    <x v="1"/>
    <n v="13.919859062325401"/>
    <n v="846.79142629145895"/>
    <n v="3048.44913464925"/>
  </r>
  <r>
    <x v="0"/>
    <x v="0"/>
    <x v="0"/>
    <x v="6"/>
    <x v="7"/>
    <s v="NeA"/>
    <x v="7"/>
    <x v="6"/>
    <s v="GHYRR_WATER"/>
    <x v="6"/>
    <x v="2"/>
    <n v="13.919859062325401"/>
    <n v="846.79142629145895"/>
    <n v="3048.44913464925"/>
  </r>
  <r>
    <x v="0"/>
    <x v="0"/>
    <x v="0"/>
    <x v="6"/>
    <x v="7"/>
    <s v="NeA"/>
    <x v="7"/>
    <x v="6"/>
    <s v="GHYRR_WATER"/>
    <x v="6"/>
    <x v="3"/>
    <n v="13.919859062325401"/>
    <n v="846.79142629145895"/>
    <n v="3048.44913464925"/>
  </r>
  <r>
    <x v="0"/>
    <x v="0"/>
    <x v="0"/>
    <x v="6"/>
    <x v="7"/>
    <s v="NeA"/>
    <x v="7"/>
    <x v="6"/>
    <s v="GHYRR_WATER"/>
    <x v="6"/>
    <x v="4"/>
    <n v="13.919859062325401"/>
    <n v="846.79142629145895"/>
    <n v="3048.44913464925"/>
  </r>
  <r>
    <x v="0"/>
    <x v="0"/>
    <x v="0"/>
    <x v="6"/>
    <x v="7"/>
    <s v="NeA"/>
    <x v="7"/>
    <x v="6"/>
    <s v="GHYRR_WATER"/>
    <x v="6"/>
    <x v="5"/>
    <n v="13.919859062325401"/>
    <n v="846.79142629145895"/>
    <n v="3048.44913464925"/>
  </r>
  <r>
    <x v="0"/>
    <x v="0"/>
    <x v="0"/>
    <x v="6"/>
    <x v="7"/>
    <s v="NeA"/>
    <x v="7"/>
    <x v="6"/>
    <s v="GHYRR_WATER"/>
    <x v="6"/>
    <x v="6"/>
    <n v="13.919859062325401"/>
    <n v="846.79142629145895"/>
    <n v="3048.44913464925"/>
  </r>
  <r>
    <x v="0"/>
    <x v="0"/>
    <x v="0"/>
    <x v="6"/>
    <x v="7"/>
    <s v="NeA"/>
    <x v="7"/>
    <x v="6"/>
    <s v="GHYRR_WATER"/>
    <x v="6"/>
    <x v="7"/>
    <n v="13.919859062325401"/>
    <n v="846.79142629145895"/>
    <n v="3048.44913464925"/>
  </r>
  <r>
    <x v="0"/>
    <x v="0"/>
    <x v="0"/>
    <x v="6"/>
    <x v="7"/>
    <s v="NeA"/>
    <x v="7"/>
    <x v="6"/>
    <s v="GHYRR_WATER"/>
    <x v="6"/>
    <x v="8"/>
    <n v="13.919859062325401"/>
    <n v="846.79142629145895"/>
    <n v="3048.44913464925"/>
  </r>
  <r>
    <x v="0"/>
    <x v="0"/>
    <x v="0"/>
    <x v="6"/>
    <x v="7"/>
    <s v="NeA"/>
    <x v="7"/>
    <x v="6"/>
    <s v="GHYRR_WATER"/>
    <x v="6"/>
    <x v="9"/>
    <n v="13.919859062325401"/>
    <n v="846.79142629145895"/>
    <n v="3048.44913464925"/>
  </r>
  <r>
    <x v="0"/>
    <x v="0"/>
    <x v="0"/>
    <x v="6"/>
    <x v="7"/>
    <s v="NeA"/>
    <x v="7"/>
    <x v="6"/>
    <s v="GHYRR_WATER"/>
    <x v="6"/>
    <x v="10"/>
    <n v="13.919859062325401"/>
    <n v="846.79142629145895"/>
    <n v="3048.44913464925"/>
  </r>
  <r>
    <x v="0"/>
    <x v="0"/>
    <x v="0"/>
    <x v="6"/>
    <x v="7"/>
    <s v="NeA"/>
    <x v="7"/>
    <x v="6"/>
    <s v="GHYRR_WATER"/>
    <x v="6"/>
    <x v="11"/>
    <n v="13.919859062325401"/>
    <n v="846.79142629145895"/>
    <n v="3048.44913464925"/>
  </r>
  <r>
    <x v="0"/>
    <x v="0"/>
    <x v="0"/>
    <x v="6"/>
    <x v="7"/>
    <s v="NeA"/>
    <x v="7"/>
    <x v="6"/>
    <s v="GHYRR_WATER"/>
    <x v="7"/>
    <x v="0"/>
    <n v="13.9254692218281"/>
    <n v="847.13271099454096"/>
    <n v="3049.6777595803501"/>
  </r>
  <r>
    <x v="0"/>
    <x v="0"/>
    <x v="0"/>
    <x v="6"/>
    <x v="7"/>
    <s v="NeA"/>
    <x v="7"/>
    <x v="6"/>
    <s v="GHYRR_WATER"/>
    <x v="7"/>
    <x v="1"/>
    <n v="13.9254692218281"/>
    <n v="847.13271099454096"/>
    <n v="3049.6777595803501"/>
  </r>
  <r>
    <x v="0"/>
    <x v="0"/>
    <x v="0"/>
    <x v="6"/>
    <x v="7"/>
    <s v="NeA"/>
    <x v="7"/>
    <x v="6"/>
    <s v="GHYRR_WATER"/>
    <x v="7"/>
    <x v="2"/>
    <n v="13.9254692218281"/>
    <n v="847.13271099454096"/>
    <n v="3049.6777595803501"/>
  </r>
  <r>
    <x v="0"/>
    <x v="0"/>
    <x v="0"/>
    <x v="6"/>
    <x v="7"/>
    <s v="NeA"/>
    <x v="7"/>
    <x v="6"/>
    <s v="GHYRR_WATER"/>
    <x v="7"/>
    <x v="3"/>
    <n v="13.9254692218281"/>
    <n v="847.13271099454096"/>
    <n v="3049.6777595803501"/>
  </r>
  <r>
    <x v="0"/>
    <x v="0"/>
    <x v="0"/>
    <x v="6"/>
    <x v="7"/>
    <s v="NeA"/>
    <x v="7"/>
    <x v="6"/>
    <s v="GHYRR_WATER"/>
    <x v="7"/>
    <x v="4"/>
    <n v="13.9254692218281"/>
    <n v="847.13271099454096"/>
    <n v="3049.6777595803501"/>
  </r>
  <r>
    <x v="0"/>
    <x v="0"/>
    <x v="0"/>
    <x v="6"/>
    <x v="7"/>
    <s v="NeA"/>
    <x v="7"/>
    <x v="6"/>
    <s v="GHYRR_WATER"/>
    <x v="7"/>
    <x v="5"/>
    <n v="13.9254692218281"/>
    <n v="847.13271099454096"/>
    <n v="3049.6777595803501"/>
  </r>
  <r>
    <x v="0"/>
    <x v="0"/>
    <x v="0"/>
    <x v="6"/>
    <x v="7"/>
    <s v="NeA"/>
    <x v="7"/>
    <x v="6"/>
    <s v="GHYRR_WATER"/>
    <x v="7"/>
    <x v="6"/>
    <n v="13.9254692218281"/>
    <n v="847.13271099454096"/>
    <n v="3049.6777595803501"/>
  </r>
  <r>
    <x v="0"/>
    <x v="0"/>
    <x v="0"/>
    <x v="6"/>
    <x v="7"/>
    <s v="NeA"/>
    <x v="7"/>
    <x v="6"/>
    <s v="GHYRR_WATER"/>
    <x v="7"/>
    <x v="7"/>
    <n v="13.9254692218281"/>
    <n v="847.13271099454096"/>
    <n v="3049.6777595803501"/>
  </r>
  <r>
    <x v="0"/>
    <x v="0"/>
    <x v="0"/>
    <x v="6"/>
    <x v="7"/>
    <s v="NeA"/>
    <x v="7"/>
    <x v="6"/>
    <s v="GHYRR_WATER"/>
    <x v="7"/>
    <x v="8"/>
    <n v="13.9254692218281"/>
    <n v="847.13271099454096"/>
    <n v="3049.6777595803501"/>
  </r>
  <r>
    <x v="0"/>
    <x v="0"/>
    <x v="0"/>
    <x v="6"/>
    <x v="7"/>
    <s v="NeA"/>
    <x v="7"/>
    <x v="6"/>
    <s v="GHYRR_WATER"/>
    <x v="7"/>
    <x v="9"/>
    <n v="13.9254692218281"/>
    <n v="847.13271099454096"/>
    <n v="3049.6777595803501"/>
  </r>
  <r>
    <x v="0"/>
    <x v="0"/>
    <x v="0"/>
    <x v="6"/>
    <x v="7"/>
    <s v="NeA"/>
    <x v="7"/>
    <x v="6"/>
    <s v="GHYRR_WATER"/>
    <x v="7"/>
    <x v="10"/>
    <n v="13.9254692218281"/>
    <n v="847.13271099454096"/>
    <n v="3049.6777595803501"/>
  </r>
  <r>
    <x v="0"/>
    <x v="0"/>
    <x v="0"/>
    <x v="6"/>
    <x v="7"/>
    <s v="NeA"/>
    <x v="7"/>
    <x v="6"/>
    <s v="GHYRR_WATER"/>
    <x v="7"/>
    <x v="11"/>
    <n v="13.9254692218281"/>
    <n v="847.13271099454096"/>
    <n v="3049.6777595803501"/>
  </r>
  <r>
    <x v="0"/>
    <x v="0"/>
    <x v="0"/>
    <x v="6"/>
    <x v="7"/>
    <s v="NeA"/>
    <x v="7"/>
    <x v="6"/>
    <s v="GHYRR_WATER"/>
    <x v="8"/>
    <x v="0"/>
    <n v="17.882646748946598"/>
    <n v="1087.86101056092"/>
    <n v="3916.2996380193099"/>
  </r>
  <r>
    <x v="0"/>
    <x v="0"/>
    <x v="0"/>
    <x v="6"/>
    <x v="7"/>
    <s v="NeA"/>
    <x v="7"/>
    <x v="6"/>
    <s v="GHYRR_WATER"/>
    <x v="8"/>
    <x v="1"/>
    <n v="17.882646748946598"/>
    <n v="1087.86101056092"/>
    <n v="3916.2996380193099"/>
  </r>
  <r>
    <x v="0"/>
    <x v="0"/>
    <x v="0"/>
    <x v="6"/>
    <x v="7"/>
    <s v="NeA"/>
    <x v="7"/>
    <x v="6"/>
    <s v="GHYRR_WATER"/>
    <x v="8"/>
    <x v="2"/>
    <n v="17.882646748946598"/>
    <n v="1087.86101056092"/>
    <n v="3916.2996380193099"/>
  </r>
  <r>
    <x v="0"/>
    <x v="0"/>
    <x v="0"/>
    <x v="6"/>
    <x v="7"/>
    <s v="NeA"/>
    <x v="7"/>
    <x v="6"/>
    <s v="GHYRR_WATER"/>
    <x v="8"/>
    <x v="3"/>
    <n v="17.882646748946598"/>
    <n v="1087.86101056092"/>
    <n v="3916.2996380193099"/>
  </r>
  <r>
    <x v="0"/>
    <x v="0"/>
    <x v="0"/>
    <x v="6"/>
    <x v="7"/>
    <s v="NeA"/>
    <x v="7"/>
    <x v="6"/>
    <s v="GHYRR_WATER"/>
    <x v="8"/>
    <x v="4"/>
    <n v="17.882646748946598"/>
    <n v="1087.86101056092"/>
    <n v="3916.2996380193099"/>
  </r>
  <r>
    <x v="0"/>
    <x v="0"/>
    <x v="0"/>
    <x v="6"/>
    <x v="7"/>
    <s v="NeA"/>
    <x v="7"/>
    <x v="6"/>
    <s v="GHYRR_WATER"/>
    <x v="8"/>
    <x v="5"/>
    <n v="17.882646748946598"/>
    <n v="1087.86101056092"/>
    <n v="3916.2996380193099"/>
  </r>
  <r>
    <x v="0"/>
    <x v="0"/>
    <x v="0"/>
    <x v="6"/>
    <x v="7"/>
    <s v="NeA"/>
    <x v="7"/>
    <x v="6"/>
    <s v="GHYRR_WATER"/>
    <x v="8"/>
    <x v="6"/>
    <n v="17.882646748946598"/>
    <n v="1087.86101056092"/>
    <n v="3916.2996380193099"/>
  </r>
  <r>
    <x v="0"/>
    <x v="0"/>
    <x v="0"/>
    <x v="6"/>
    <x v="7"/>
    <s v="NeA"/>
    <x v="7"/>
    <x v="6"/>
    <s v="GHYRR_WATER"/>
    <x v="8"/>
    <x v="7"/>
    <n v="17.882646748946598"/>
    <n v="1087.86101056092"/>
    <n v="3916.2996380193099"/>
  </r>
  <r>
    <x v="0"/>
    <x v="0"/>
    <x v="0"/>
    <x v="6"/>
    <x v="7"/>
    <s v="NeA"/>
    <x v="7"/>
    <x v="6"/>
    <s v="GHYRR_WATER"/>
    <x v="8"/>
    <x v="8"/>
    <n v="17.882646748946598"/>
    <n v="1087.86101056092"/>
    <n v="3916.2996380193099"/>
  </r>
  <r>
    <x v="0"/>
    <x v="0"/>
    <x v="0"/>
    <x v="6"/>
    <x v="7"/>
    <s v="NeA"/>
    <x v="7"/>
    <x v="6"/>
    <s v="GHYRR_WATER"/>
    <x v="8"/>
    <x v="9"/>
    <n v="17.882646748946598"/>
    <n v="1087.86101056092"/>
    <n v="3916.2996380193099"/>
  </r>
  <r>
    <x v="0"/>
    <x v="0"/>
    <x v="0"/>
    <x v="6"/>
    <x v="7"/>
    <s v="NeA"/>
    <x v="7"/>
    <x v="6"/>
    <s v="GHYRR_WATER"/>
    <x v="8"/>
    <x v="10"/>
    <n v="17.882646748946598"/>
    <n v="1087.86101056092"/>
    <n v="3916.2996380193099"/>
  </r>
  <r>
    <x v="0"/>
    <x v="0"/>
    <x v="0"/>
    <x v="6"/>
    <x v="7"/>
    <s v="NeA"/>
    <x v="7"/>
    <x v="6"/>
    <s v="GHYRR_WATER"/>
    <x v="8"/>
    <x v="11"/>
    <n v="17.882646748946598"/>
    <n v="1087.86101056092"/>
    <n v="3916.2996380193099"/>
  </r>
  <r>
    <x v="0"/>
    <x v="0"/>
    <x v="0"/>
    <x v="6"/>
    <x v="7"/>
    <s v="NeA"/>
    <x v="7"/>
    <x v="6"/>
    <s v="GHYRR_WATER"/>
    <x v="9"/>
    <x v="0"/>
    <n v="18.299813629847101"/>
    <n v="1113.23866248236"/>
    <n v="4007.65918493651"/>
  </r>
  <r>
    <x v="0"/>
    <x v="0"/>
    <x v="0"/>
    <x v="6"/>
    <x v="7"/>
    <s v="NeA"/>
    <x v="7"/>
    <x v="6"/>
    <s v="GHYRR_WATER"/>
    <x v="9"/>
    <x v="1"/>
    <n v="18.299813629847101"/>
    <n v="1113.23866248236"/>
    <n v="4007.65918493651"/>
  </r>
  <r>
    <x v="0"/>
    <x v="0"/>
    <x v="0"/>
    <x v="6"/>
    <x v="7"/>
    <s v="NeA"/>
    <x v="7"/>
    <x v="6"/>
    <s v="GHYRR_WATER"/>
    <x v="9"/>
    <x v="2"/>
    <n v="18.299813629847101"/>
    <n v="1113.23866248236"/>
    <n v="4007.65918493651"/>
  </r>
  <r>
    <x v="0"/>
    <x v="0"/>
    <x v="0"/>
    <x v="6"/>
    <x v="7"/>
    <s v="NeA"/>
    <x v="7"/>
    <x v="6"/>
    <s v="GHYRR_WATER"/>
    <x v="9"/>
    <x v="3"/>
    <n v="18.299813629847101"/>
    <n v="1113.23866248236"/>
    <n v="4007.65918493651"/>
  </r>
  <r>
    <x v="0"/>
    <x v="0"/>
    <x v="0"/>
    <x v="6"/>
    <x v="7"/>
    <s v="NeA"/>
    <x v="7"/>
    <x v="6"/>
    <s v="GHYRR_WATER"/>
    <x v="9"/>
    <x v="4"/>
    <n v="18.299813629847101"/>
    <n v="1113.23866248236"/>
    <n v="4007.65918493651"/>
  </r>
  <r>
    <x v="0"/>
    <x v="0"/>
    <x v="0"/>
    <x v="6"/>
    <x v="7"/>
    <s v="NeA"/>
    <x v="7"/>
    <x v="6"/>
    <s v="GHYRR_WATER"/>
    <x v="9"/>
    <x v="5"/>
    <n v="18.299813629847101"/>
    <n v="1113.23866248236"/>
    <n v="4007.65918493651"/>
  </r>
  <r>
    <x v="0"/>
    <x v="0"/>
    <x v="0"/>
    <x v="6"/>
    <x v="7"/>
    <s v="NeA"/>
    <x v="7"/>
    <x v="6"/>
    <s v="GHYRR_WATER"/>
    <x v="9"/>
    <x v="6"/>
    <n v="18.299813629847101"/>
    <n v="1113.23866248236"/>
    <n v="4007.65918493651"/>
  </r>
  <r>
    <x v="0"/>
    <x v="0"/>
    <x v="0"/>
    <x v="6"/>
    <x v="7"/>
    <s v="NeA"/>
    <x v="7"/>
    <x v="6"/>
    <s v="GHYRR_WATER"/>
    <x v="9"/>
    <x v="7"/>
    <n v="18.299813629847101"/>
    <n v="1113.23866248236"/>
    <n v="4007.65918493651"/>
  </r>
  <r>
    <x v="0"/>
    <x v="0"/>
    <x v="0"/>
    <x v="6"/>
    <x v="7"/>
    <s v="NeA"/>
    <x v="7"/>
    <x v="6"/>
    <s v="GHYRR_WATER"/>
    <x v="9"/>
    <x v="8"/>
    <n v="18.299813629847101"/>
    <n v="1113.23866248236"/>
    <n v="4007.65918493651"/>
  </r>
  <r>
    <x v="0"/>
    <x v="0"/>
    <x v="0"/>
    <x v="6"/>
    <x v="7"/>
    <s v="NeA"/>
    <x v="7"/>
    <x v="6"/>
    <s v="GHYRR_WATER"/>
    <x v="9"/>
    <x v="9"/>
    <n v="18.299813629847101"/>
    <n v="1113.23866248236"/>
    <n v="4007.65918493651"/>
  </r>
  <r>
    <x v="0"/>
    <x v="0"/>
    <x v="0"/>
    <x v="6"/>
    <x v="7"/>
    <s v="NeA"/>
    <x v="7"/>
    <x v="6"/>
    <s v="GHYRR_WATER"/>
    <x v="9"/>
    <x v="10"/>
    <n v="18.299813629847101"/>
    <n v="1113.23866248236"/>
    <n v="4007.65918493651"/>
  </r>
  <r>
    <x v="0"/>
    <x v="0"/>
    <x v="0"/>
    <x v="6"/>
    <x v="7"/>
    <s v="NeA"/>
    <x v="7"/>
    <x v="6"/>
    <s v="GHYRR_WATER"/>
    <x v="9"/>
    <x v="11"/>
    <n v="18.299813629847101"/>
    <n v="1113.23866248236"/>
    <n v="4007.65918493651"/>
  </r>
  <r>
    <x v="0"/>
    <x v="0"/>
    <x v="0"/>
    <x v="6"/>
    <x v="7"/>
    <s v="NeA"/>
    <x v="7"/>
    <x v="6"/>
    <s v="GHYRR_WATER"/>
    <x v="10"/>
    <x v="0"/>
    <n v="19.046239627031799"/>
    <n v="1158.6462439777699"/>
    <n v="4171.1264783199604"/>
  </r>
  <r>
    <x v="0"/>
    <x v="0"/>
    <x v="0"/>
    <x v="6"/>
    <x v="7"/>
    <s v="NeA"/>
    <x v="7"/>
    <x v="6"/>
    <s v="GHYRR_WATER"/>
    <x v="10"/>
    <x v="1"/>
    <n v="19.046239627031799"/>
    <n v="1158.6462439777699"/>
    <n v="4171.1264783199604"/>
  </r>
  <r>
    <x v="0"/>
    <x v="0"/>
    <x v="0"/>
    <x v="6"/>
    <x v="7"/>
    <s v="NeA"/>
    <x v="7"/>
    <x v="6"/>
    <s v="GHYRR_WATER"/>
    <x v="10"/>
    <x v="2"/>
    <n v="19.046239627031799"/>
    <n v="1158.6462439777699"/>
    <n v="4171.1264783199604"/>
  </r>
  <r>
    <x v="0"/>
    <x v="0"/>
    <x v="0"/>
    <x v="6"/>
    <x v="7"/>
    <s v="NeA"/>
    <x v="7"/>
    <x v="6"/>
    <s v="GHYRR_WATER"/>
    <x v="10"/>
    <x v="3"/>
    <n v="19.046239627031799"/>
    <n v="1158.6462439777699"/>
    <n v="4171.1264783199604"/>
  </r>
  <r>
    <x v="0"/>
    <x v="0"/>
    <x v="0"/>
    <x v="6"/>
    <x v="7"/>
    <s v="NeA"/>
    <x v="7"/>
    <x v="6"/>
    <s v="GHYRR_WATER"/>
    <x v="10"/>
    <x v="4"/>
    <n v="19.046239627031799"/>
    <n v="1158.6462439777699"/>
    <n v="4171.1264783199604"/>
  </r>
  <r>
    <x v="0"/>
    <x v="0"/>
    <x v="0"/>
    <x v="6"/>
    <x v="7"/>
    <s v="NeA"/>
    <x v="7"/>
    <x v="6"/>
    <s v="GHYRR_WATER"/>
    <x v="10"/>
    <x v="5"/>
    <n v="19.046239627031799"/>
    <n v="1158.6462439777699"/>
    <n v="4171.1264783199604"/>
  </r>
  <r>
    <x v="0"/>
    <x v="0"/>
    <x v="0"/>
    <x v="6"/>
    <x v="7"/>
    <s v="NeA"/>
    <x v="7"/>
    <x v="6"/>
    <s v="GHYRR_WATER"/>
    <x v="10"/>
    <x v="6"/>
    <n v="19.046239627031799"/>
    <n v="1158.6462439777699"/>
    <n v="4171.1264783199604"/>
  </r>
  <r>
    <x v="0"/>
    <x v="0"/>
    <x v="0"/>
    <x v="6"/>
    <x v="7"/>
    <s v="NeA"/>
    <x v="7"/>
    <x v="6"/>
    <s v="GHYRR_WATER"/>
    <x v="10"/>
    <x v="7"/>
    <n v="19.046239627031799"/>
    <n v="1158.6462439777699"/>
    <n v="4171.1264783199604"/>
  </r>
  <r>
    <x v="0"/>
    <x v="0"/>
    <x v="0"/>
    <x v="6"/>
    <x v="7"/>
    <s v="NeA"/>
    <x v="7"/>
    <x v="6"/>
    <s v="GHYRR_WATER"/>
    <x v="10"/>
    <x v="8"/>
    <n v="19.046239627031799"/>
    <n v="1158.6462439777699"/>
    <n v="4171.1264783199604"/>
  </r>
  <r>
    <x v="0"/>
    <x v="0"/>
    <x v="0"/>
    <x v="6"/>
    <x v="7"/>
    <s v="NeA"/>
    <x v="7"/>
    <x v="6"/>
    <s v="GHYRR_WATER"/>
    <x v="10"/>
    <x v="9"/>
    <n v="19.046239627031799"/>
    <n v="1158.6462439777699"/>
    <n v="4171.1264783199604"/>
  </r>
  <r>
    <x v="0"/>
    <x v="0"/>
    <x v="0"/>
    <x v="6"/>
    <x v="7"/>
    <s v="NeA"/>
    <x v="7"/>
    <x v="6"/>
    <s v="GHYRR_WATER"/>
    <x v="10"/>
    <x v="10"/>
    <n v="19.046239627031799"/>
    <n v="1158.6462439777699"/>
    <n v="4171.1264783199604"/>
  </r>
  <r>
    <x v="0"/>
    <x v="0"/>
    <x v="0"/>
    <x v="6"/>
    <x v="7"/>
    <s v="NeA"/>
    <x v="7"/>
    <x v="6"/>
    <s v="GHYRR_WATER"/>
    <x v="10"/>
    <x v="11"/>
    <n v="19.046239627031799"/>
    <n v="1158.6462439777699"/>
    <n v="4171.1264783199604"/>
  </r>
  <r>
    <x v="0"/>
    <x v="0"/>
    <x v="0"/>
    <x v="6"/>
    <x v="7"/>
    <s v="NeA"/>
    <x v="7"/>
    <x v="6"/>
    <s v="GHYRR_WATER"/>
    <x v="11"/>
    <x v="0"/>
    <n v="21.621749361680799"/>
    <n v="1315.3230861689201"/>
    <n v="4735.1631102080901"/>
  </r>
  <r>
    <x v="0"/>
    <x v="0"/>
    <x v="0"/>
    <x v="6"/>
    <x v="7"/>
    <s v="NeA"/>
    <x v="7"/>
    <x v="6"/>
    <s v="GHYRR_WATER"/>
    <x v="11"/>
    <x v="1"/>
    <n v="21.621749361680799"/>
    <n v="1315.3230861689201"/>
    <n v="4735.1631102080901"/>
  </r>
  <r>
    <x v="0"/>
    <x v="0"/>
    <x v="0"/>
    <x v="6"/>
    <x v="7"/>
    <s v="NeA"/>
    <x v="7"/>
    <x v="6"/>
    <s v="GHYRR_WATER"/>
    <x v="11"/>
    <x v="2"/>
    <n v="21.621749361680799"/>
    <n v="1315.3230861689201"/>
    <n v="4735.1631102080901"/>
  </r>
  <r>
    <x v="0"/>
    <x v="0"/>
    <x v="0"/>
    <x v="6"/>
    <x v="7"/>
    <s v="NeA"/>
    <x v="7"/>
    <x v="6"/>
    <s v="GHYRR_WATER"/>
    <x v="11"/>
    <x v="3"/>
    <n v="21.621749361680799"/>
    <n v="1315.3230861689201"/>
    <n v="4735.1631102080901"/>
  </r>
  <r>
    <x v="0"/>
    <x v="0"/>
    <x v="0"/>
    <x v="6"/>
    <x v="7"/>
    <s v="NeA"/>
    <x v="7"/>
    <x v="6"/>
    <s v="GHYRR_WATER"/>
    <x v="11"/>
    <x v="4"/>
    <n v="21.621749361680799"/>
    <n v="1315.3230861689201"/>
    <n v="4735.1631102080901"/>
  </r>
  <r>
    <x v="0"/>
    <x v="0"/>
    <x v="0"/>
    <x v="6"/>
    <x v="7"/>
    <s v="NeA"/>
    <x v="7"/>
    <x v="6"/>
    <s v="GHYRR_WATER"/>
    <x v="11"/>
    <x v="5"/>
    <n v="21.621749361680799"/>
    <n v="1315.3230861689201"/>
    <n v="4735.1631102080901"/>
  </r>
  <r>
    <x v="0"/>
    <x v="0"/>
    <x v="0"/>
    <x v="6"/>
    <x v="7"/>
    <s v="NeA"/>
    <x v="7"/>
    <x v="6"/>
    <s v="GHYRR_WATER"/>
    <x v="11"/>
    <x v="6"/>
    <n v="21.621749361680799"/>
    <n v="1315.3230861689201"/>
    <n v="4735.1631102080901"/>
  </r>
  <r>
    <x v="0"/>
    <x v="0"/>
    <x v="0"/>
    <x v="6"/>
    <x v="7"/>
    <s v="NeA"/>
    <x v="7"/>
    <x v="6"/>
    <s v="GHYRR_WATER"/>
    <x v="11"/>
    <x v="7"/>
    <n v="21.621749361680799"/>
    <n v="1315.3230861689201"/>
    <n v="4735.1631102080901"/>
  </r>
  <r>
    <x v="0"/>
    <x v="0"/>
    <x v="0"/>
    <x v="6"/>
    <x v="7"/>
    <s v="NeA"/>
    <x v="7"/>
    <x v="6"/>
    <s v="GHYRR_WATER"/>
    <x v="11"/>
    <x v="8"/>
    <n v="21.621749361680799"/>
    <n v="1315.3230861689201"/>
    <n v="4735.1631102080901"/>
  </r>
  <r>
    <x v="0"/>
    <x v="0"/>
    <x v="0"/>
    <x v="6"/>
    <x v="7"/>
    <s v="NeA"/>
    <x v="7"/>
    <x v="6"/>
    <s v="GHYRR_WATER"/>
    <x v="11"/>
    <x v="9"/>
    <n v="21.621749361680799"/>
    <n v="1315.3230861689201"/>
    <n v="4735.1631102080901"/>
  </r>
  <r>
    <x v="0"/>
    <x v="0"/>
    <x v="0"/>
    <x v="6"/>
    <x v="7"/>
    <s v="NeA"/>
    <x v="7"/>
    <x v="6"/>
    <s v="GHYRR_WATER"/>
    <x v="11"/>
    <x v="10"/>
    <n v="21.621749361680799"/>
    <n v="1315.3230861689201"/>
    <n v="4735.1631102080901"/>
  </r>
  <r>
    <x v="0"/>
    <x v="0"/>
    <x v="0"/>
    <x v="6"/>
    <x v="7"/>
    <s v="NeA"/>
    <x v="7"/>
    <x v="6"/>
    <s v="GHYRR_WATER"/>
    <x v="11"/>
    <x v="11"/>
    <n v="21.621749361680799"/>
    <n v="1315.3230861689201"/>
    <n v="4735.1631102080901"/>
  </r>
  <r>
    <x v="0"/>
    <x v="0"/>
    <x v="0"/>
    <x v="6"/>
    <x v="7"/>
    <s v="NeA"/>
    <x v="0"/>
    <x v="0"/>
    <s v="GWND_WIND"/>
    <x v="0"/>
    <x v="0"/>
    <n v="1468.7129605822799"/>
    <n v="89346.705102088803"/>
    <n v="321648.13836752"/>
  </r>
  <r>
    <x v="0"/>
    <x v="0"/>
    <x v="0"/>
    <x v="6"/>
    <x v="7"/>
    <s v="NeA"/>
    <x v="0"/>
    <x v="0"/>
    <s v="GWND_WIND"/>
    <x v="0"/>
    <x v="1"/>
    <n v="1474.85852783155"/>
    <n v="89720.560443086099"/>
    <n v="322994.01759511"/>
  </r>
  <r>
    <x v="0"/>
    <x v="0"/>
    <x v="0"/>
    <x v="6"/>
    <x v="7"/>
    <s v="NeA"/>
    <x v="0"/>
    <x v="0"/>
    <s v="GWND_WIND"/>
    <x v="0"/>
    <x v="2"/>
    <n v="1354.70793314758"/>
    <n v="82411.399266477703"/>
    <n v="296681.03735931998"/>
  </r>
  <r>
    <x v="0"/>
    <x v="0"/>
    <x v="0"/>
    <x v="6"/>
    <x v="7"/>
    <s v="NeA"/>
    <x v="0"/>
    <x v="0"/>
    <s v="GWND_WIND"/>
    <x v="0"/>
    <x v="3"/>
    <n v="1250.9785899357801"/>
    <n v="76101.197554426893"/>
    <n v="273964.31119593699"/>
  </r>
  <r>
    <x v="0"/>
    <x v="0"/>
    <x v="0"/>
    <x v="6"/>
    <x v="7"/>
    <s v="NeA"/>
    <x v="0"/>
    <x v="0"/>
    <s v="GWND_WIND"/>
    <x v="0"/>
    <x v="4"/>
    <n v="1021.71660372851"/>
    <n v="62154.426726817801"/>
    <n v="223755.93621654401"/>
  </r>
  <r>
    <x v="0"/>
    <x v="0"/>
    <x v="0"/>
    <x v="6"/>
    <x v="7"/>
    <s v="NeA"/>
    <x v="0"/>
    <x v="0"/>
    <s v="GWND_WIND"/>
    <x v="0"/>
    <x v="5"/>
    <n v="958.57089267404297"/>
    <n v="58313.062637670897"/>
    <n v="209927.025495615"/>
  </r>
  <r>
    <x v="0"/>
    <x v="0"/>
    <x v="0"/>
    <x v="6"/>
    <x v="7"/>
    <s v="NeA"/>
    <x v="0"/>
    <x v="0"/>
    <s v="GWND_WIND"/>
    <x v="0"/>
    <x v="6"/>
    <n v="843.55511690386697"/>
    <n v="51316.2696116519"/>
    <n v="184738.57060194699"/>
  </r>
  <r>
    <x v="0"/>
    <x v="0"/>
    <x v="0"/>
    <x v="6"/>
    <x v="7"/>
    <s v="NeA"/>
    <x v="0"/>
    <x v="0"/>
    <s v="GWND_WIND"/>
    <x v="0"/>
    <x v="7"/>
    <n v="805.78401576813906"/>
    <n v="49018.527625895098"/>
    <n v="176466.69945322201"/>
  </r>
  <r>
    <x v="0"/>
    <x v="0"/>
    <x v="0"/>
    <x v="6"/>
    <x v="7"/>
    <s v="NeA"/>
    <x v="0"/>
    <x v="0"/>
    <s v="GWND_WIND"/>
    <x v="0"/>
    <x v="8"/>
    <n v="795.56881899677205"/>
    <n v="48397.103155637"/>
    <n v="174229.57136029299"/>
  </r>
  <r>
    <x v="0"/>
    <x v="0"/>
    <x v="0"/>
    <x v="6"/>
    <x v="7"/>
    <s v="NeA"/>
    <x v="0"/>
    <x v="0"/>
    <s v="GWND_WIND"/>
    <x v="0"/>
    <x v="9"/>
    <n v="906.55082134631505"/>
    <n v="55148.508298567504"/>
    <n v="198534.629874843"/>
  </r>
  <r>
    <x v="0"/>
    <x v="0"/>
    <x v="0"/>
    <x v="6"/>
    <x v="7"/>
    <s v="NeA"/>
    <x v="0"/>
    <x v="0"/>
    <s v="GWND_WIND"/>
    <x v="0"/>
    <x v="10"/>
    <n v="1099.0348662388801"/>
    <n v="66857.954362865203"/>
    <n v="240688.63570631499"/>
  </r>
  <r>
    <x v="0"/>
    <x v="0"/>
    <x v="0"/>
    <x v="6"/>
    <x v="7"/>
    <s v="NeA"/>
    <x v="0"/>
    <x v="0"/>
    <s v="GWND_WIND"/>
    <x v="0"/>
    <x v="11"/>
    <n v="1274.52957900152"/>
    <n v="77533.882722592403"/>
    <n v="279121.97780133301"/>
  </r>
  <r>
    <x v="0"/>
    <x v="0"/>
    <x v="0"/>
    <x v="6"/>
    <x v="7"/>
    <s v="NeA"/>
    <x v="0"/>
    <x v="0"/>
    <s v="GWND_WIND"/>
    <x v="1"/>
    <x v="0"/>
    <n v="570.994562048528"/>
    <n v="34735.502524618802"/>
    <n v="125047.809088628"/>
  </r>
  <r>
    <x v="0"/>
    <x v="0"/>
    <x v="0"/>
    <x v="6"/>
    <x v="7"/>
    <s v="NeA"/>
    <x v="0"/>
    <x v="0"/>
    <s v="GWND_WIND"/>
    <x v="1"/>
    <x v="1"/>
    <n v="680.99467967370197"/>
    <n v="41427.176346816901"/>
    <n v="149137.83484854101"/>
  </r>
  <r>
    <x v="0"/>
    <x v="0"/>
    <x v="0"/>
    <x v="6"/>
    <x v="7"/>
    <s v="NeA"/>
    <x v="0"/>
    <x v="0"/>
    <s v="GWND_WIND"/>
    <x v="1"/>
    <x v="2"/>
    <n v="646.20285093677705"/>
    <n v="39310.673431987198"/>
    <n v="141518.42435515401"/>
  </r>
  <r>
    <x v="0"/>
    <x v="0"/>
    <x v="0"/>
    <x v="6"/>
    <x v="7"/>
    <s v="NeA"/>
    <x v="0"/>
    <x v="0"/>
    <s v="GWND_WIND"/>
    <x v="1"/>
    <x v="3"/>
    <n v="675.17298952086901"/>
    <n v="41073.023529186197"/>
    <n v="147862.88470507"/>
  </r>
  <r>
    <x v="0"/>
    <x v="0"/>
    <x v="0"/>
    <x v="6"/>
    <x v="7"/>
    <s v="NeA"/>
    <x v="0"/>
    <x v="0"/>
    <s v="GWND_WIND"/>
    <x v="1"/>
    <x v="4"/>
    <n v="682.83760233517603"/>
    <n v="41539.287475389901"/>
    <n v="149541.43491140299"/>
  </r>
  <r>
    <x v="0"/>
    <x v="0"/>
    <x v="0"/>
    <x v="6"/>
    <x v="7"/>
    <s v="NeA"/>
    <x v="0"/>
    <x v="0"/>
    <s v="GWND_WIND"/>
    <x v="1"/>
    <x v="5"/>
    <n v="751.14104720866203"/>
    <n v="45694.413705193598"/>
    <n v="164499.88933869699"/>
  </r>
  <r>
    <x v="0"/>
    <x v="0"/>
    <x v="0"/>
    <x v="6"/>
    <x v="7"/>
    <s v="NeA"/>
    <x v="0"/>
    <x v="0"/>
    <s v="GWND_WIND"/>
    <x v="1"/>
    <x v="6"/>
    <n v="755.455066034948"/>
    <n v="45956.849850459301"/>
    <n v="165444.659461654"/>
  </r>
  <r>
    <x v="0"/>
    <x v="0"/>
    <x v="0"/>
    <x v="6"/>
    <x v="7"/>
    <s v="NeA"/>
    <x v="0"/>
    <x v="0"/>
    <s v="GWND_WIND"/>
    <x v="1"/>
    <x v="7"/>
    <n v="722.721731646889"/>
    <n v="43965.572008519099"/>
    <n v="158276.05923066899"/>
  </r>
  <r>
    <x v="0"/>
    <x v="0"/>
    <x v="0"/>
    <x v="6"/>
    <x v="7"/>
    <s v="NeA"/>
    <x v="0"/>
    <x v="0"/>
    <s v="GWND_WIND"/>
    <x v="1"/>
    <x v="8"/>
    <n v="695.21737725312403"/>
    <n v="42292.3904495651"/>
    <n v="152252.605618434"/>
  </r>
  <r>
    <x v="0"/>
    <x v="0"/>
    <x v="0"/>
    <x v="6"/>
    <x v="7"/>
    <s v="NeA"/>
    <x v="0"/>
    <x v="0"/>
    <s v="GWND_WIND"/>
    <x v="1"/>
    <x v="9"/>
    <n v="721.65504484774704"/>
    <n v="43900.681894904599"/>
    <n v="158042.45482165701"/>
  </r>
  <r>
    <x v="0"/>
    <x v="0"/>
    <x v="0"/>
    <x v="6"/>
    <x v="7"/>
    <s v="NeA"/>
    <x v="0"/>
    <x v="0"/>
    <s v="GWND_WIND"/>
    <x v="1"/>
    <x v="10"/>
    <n v="799.26279504910895"/>
    <n v="48621.820032154203"/>
    <n v="175038.55211575501"/>
  </r>
  <r>
    <x v="0"/>
    <x v="0"/>
    <x v="0"/>
    <x v="6"/>
    <x v="7"/>
    <s v="NeA"/>
    <x v="0"/>
    <x v="0"/>
    <s v="GWND_WIND"/>
    <x v="1"/>
    <x v="11"/>
    <n v="860.09331691271097"/>
    <n v="52322.3434455233"/>
    <n v="188360.436403884"/>
  </r>
  <r>
    <x v="0"/>
    <x v="0"/>
    <x v="0"/>
    <x v="6"/>
    <x v="7"/>
    <s v="NeA"/>
    <x v="0"/>
    <x v="0"/>
    <s v="GWND_WIND"/>
    <x v="2"/>
    <x v="0"/>
    <n v="856.18711939622199"/>
    <n v="52084.716429936903"/>
    <n v="187504.979147773"/>
  </r>
  <r>
    <x v="0"/>
    <x v="0"/>
    <x v="0"/>
    <x v="6"/>
    <x v="7"/>
    <s v="NeA"/>
    <x v="0"/>
    <x v="0"/>
    <s v="GWND_WIND"/>
    <x v="2"/>
    <x v="1"/>
    <n v="626.93785448062602"/>
    <n v="38138.7194809047"/>
    <n v="137299.39013125701"/>
  </r>
  <r>
    <x v="0"/>
    <x v="0"/>
    <x v="0"/>
    <x v="6"/>
    <x v="7"/>
    <s v="NeA"/>
    <x v="0"/>
    <x v="0"/>
    <s v="GWND_WIND"/>
    <x v="2"/>
    <x v="2"/>
    <n v="542.77196565764905"/>
    <n v="33018.627910840303"/>
    <n v="118867.06047902501"/>
  </r>
  <r>
    <x v="0"/>
    <x v="0"/>
    <x v="0"/>
    <x v="6"/>
    <x v="7"/>
    <s v="NeA"/>
    <x v="0"/>
    <x v="0"/>
    <s v="GWND_WIND"/>
    <x v="2"/>
    <x v="3"/>
    <n v="491.36501222369702"/>
    <n v="29891.371576941601"/>
    <n v="107608.93767699"/>
  </r>
  <r>
    <x v="0"/>
    <x v="0"/>
    <x v="0"/>
    <x v="6"/>
    <x v="7"/>
    <s v="NeA"/>
    <x v="0"/>
    <x v="0"/>
    <s v="GWND_WIND"/>
    <x v="2"/>
    <x v="4"/>
    <n v="518.569585006338"/>
    <n v="31546.3164212189"/>
    <n v="113566.73911638799"/>
  </r>
  <r>
    <x v="0"/>
    <x v="0"/>
    <x v="0"/>
    <x v="6"/>
    <x v="7"/>
    <s v="NeA"/>
    <x v="0"/>
    <x v="0"/>
    <s v="GWND_WIND"/>
    <x v="2"/>
    <x v="5"/>
    <n v="537.33083783035397"/>
    <n v="32687.625968013199"/>
    <n v="117675.45348484701"/>
  </r>
  <r>
    <x v="0"/>
    <x v="0"/>
    <x v="0"/>
    <x v="6"/>
    <x v="7"/>
    <s v="NeA"/>
    <x v="0"/>
    <x v="0"/>
    <s v="GWND_WIND"/>
    <x v="2"/>
    <x v="6"/>
    <n v="525.56031014135795"/>
    <n v="31971.5855335993"/>
    <n v="115097.70792095699"/>
  </r>
  <r>
    <x v="0"/>
    <x v="0"/>
    <x v="0"/>
    <x v="6"/>
    <x v="7"/>
    <s v="NeA"/>
    <x v="0"/>
    <x v="0"/>
    <s v="GWND_WIND"/>
    <x v="2"/>
    <x v="7"/>
    <n v="491.23283887439999"/>
    <n v="29883.331031525999"/>
    <n v="107579.991713494"/>
  </r>
  <r>
    <x v="0"/>
    <x v="0"/>
    <x v="0"/>
    <x v="6"/>
    <x v="7"/>
    <s v="NeA"/>
    <x v="0"/>
    <x v="0"/>
    <s v="GWND_WIND"/>
    <x v="2"/>
    <x v="8"/>
    <n v="437.85615782401101"/>
    <n v="26636.249600960698"/>
    <n v="95890.498563458401"/>
  </r>
  <r>
    <x v="0"/>
    <x v="0"/>
    <x v="0"/>
    <x v="6"/>
    <x v="7"/>
    <s v="NeA"/>
    <x v="0"/>
    <x v="0"/>
    <s v="GWND_WIND"/>
    <x v="2"/>
    <x v="9"/>
    <n v="464.66593961723902"/>
    <n v="28267.177993382102"/>
    <n v="101761.840776175"/>
  </r>
  <r>
    <x v="0"/>
    <x v="0"/>
    <x v="0"/>
    <x v="6"/>
    <x v="7"/>
    <s v="NeA"/>
    <x v="0"/>
    <x v="0"/>
    <s v="GWND_WIND"/>
    <x v="2"/>
    <x v="10"/>
    <n v="428.34577339216099"/>
    <n v="26057.701214689801"/>
    <n v="93807.724372883196"/>
  </r>
  <r>
    <x v="0"/>
    <x v="0"/>
    <x v="0"/>
    <x v="6"/>
    <x v="7"/>
    <s v="NeA"/>
    <x v="0"/>
    <x v="0"/>
    <s v="GWND_WIND"/>
    <x v="2"/>
    <x v="11"/>
    <n v="424.40843856185501"/>
    <n v="25818.180012512799"/>
    <n v="92945.448045046302"/>
  </r>
  <r>
    <x v="0"/>
    <x v="0"/>
    <x v="0"/>
    <x v="6"/>
    <x v="7"/>
    <s v="NeA"/>
    <x v="0"/>
    <x v="0"/>
    <s v="GWND_WIND"/>
    <x v="3"/>
    <x v="0"/>
    <n v="958.39122201317605"/>
    <n v="58302.1326724682"/>
    <n v="209887.67762088601"/>
  </r>
  <r>
    <x v="0"/>
    <x v="0"/>
    <x v="0"/>
    <x v="6"/>
    <x v="7"/>
    <s v="NeA"/>
    <x v="0"/>
    <x v="0"/>
    <s v="GWND_WIND"/>
    <x v="3"/>
    <x v="1"/>
    <n v="974.88923241296595"/>
    <n v="59305.761638455398"/>
    <n v="213500.74189844"/>
  </r>
  <r>
    <x v="0"/>
    <x v="0"/>
    <x v="0"/>
    <x v="6"/>
    <x v="7"/>
    <s v="NeA"/>
    <x v="0"/>
    <x v="0"/>
    <s v="GWND_WIND"/>
    <x v="3"/>
    <x v="2"/>
    <n v="1003.4615638955"/>
    <n v="61043.911803643103"/>
    <n v="219758.08249311501"/>
  </r>
  <r>
    <x v="0"/>
    <x v="0"/>
    <x v="0"/>
    <x v="6"/>
    <x v="7"/>
    <s v="NeA"/>
    <x v="0"/>
    <x v="0"/>
    <s v="GWND_WIND"/>
    <x v="3"/>
    <x v="3"/>
    <n v="920.87534473748894"/>
    <n v="56019.916804863897"/>
    <n v="201671.70049751"/>
  </r>
  <r>
    <x v="0"/>
    <x v="0"/>
    <x v="0"/>
    <x v="6"/>
    <x v="7"/>
    <s v="NeA"/>
    <x v="0"/>
    <x v="0"/>
    <s v="GWND_WIND"/>
    <x v="3"/>
    <x v="4"/>
    <n v="837.46636210746306"/>
    <n v="50945.870361537403"/>
    <n v="183405.13330153399"/>
  </r>
  <r>
    <x v="0"/>
    <x v="0"/>
    <x v="0"/>
    <x v="6"/>
    <x v="7"/>
    <s v="NeA"/>
    <x v="0"/>
    <x v="0"/>
    <s v="GWND_WIND"/>
    <x v="3"/>
    <x v="5"/>
    <n v="894.781988910878"/>
    <n v="54432.570992078399"/>
    <n v="195957.255571482"/>
  </r>
  <r>
    <x v="0"/>
    <x v="0"/>
    <x v="0"/>
    <x v="6"/>
    <x v="7"/>
    <s v="NeA"/>
    <x v="0"/>
    <x v="0"/>
    <s v="GWND_WIND"/>
    <x v="3"/>
    <x v="6"/>
    <n v="932.85349866116997"/>
    <n v="56748.587835221202"/>
    <n v="204294.91620679601"/>
  </r>
  <r>
    <x v="0"/>
    <x v="0"/>
    <x v="0"/>
    <x v="6"/>
    <x v="7"/>
    <s v="NeA"/>
    <x v="0"/>
    <x v="0"/>
    <s v="GWND_WIND"/>
    <x v="3"/>
    <x v="7"/>
    <n v="932.32992190625396"/>
    <n v="56716.736915963796"/>
    <n v="204180.25289747"/>
  </r>
  <r>
    <x v="0"/>
    <x v="0"/>
    <x v="0"/>
    <x v="6"/>
    <x v="7"/>
    <s v="NeA"/>
    <x v="0"/>
    <x v="0"/>
    <s v="GWND_WIND"/>
    <x v="3"/>
    <x v="8"/>
    <n v="989.19676863402697"/>
    <n v="60176.136758569999"/>
    <n v="216634.092330852"/>
  </r>
  <r>
    <x v="0"/>
    <x v="0"/>
    <x v="0"/>
    <x v="6"/>
    <x v="7"/>
    <s v="NeA"/>
    <x v="0"/>
    <x v="0"/>
    <s v="GWND_WIND"/>
    <x v="3"/>
    <x v="9"/>
    <n v="1022.54540235018"/>
    <n v="62204.845309636097"/>
    <n v="223937.44311468999"/>
  </r>
  <r>
    <x v="0"/>
    <x v="0"/>
    <x v="0"/>
    <x v="6"/>
    <x v="7"/>
    <s v="NeA"/>
    <x v="0"/>
    <x v="0"/>
    <s v="GWND_WIND"/>
    <x v="3"/>
    <x v="10"/>
    <n v="901.20381808851596"/>
    <n v="54823.232267051397"/>
    <n v="197363.63616138499"/>
  </r>
  <r>
    <x v="0"/>
    <x v="0"/>
    <x v="0"/>
    <x v="6"/>
    <x v="7"/>
    <s v="NeA"/>
    <x v="0"/>
    <x v="0"/>
    <s v="GWND_WIND"/>
    <x v="3"/>
    <x v="11"/>
    <n v="930.75919164150798"/>
    <n v="56621.184158191703"/>
    <n v="203836.26296949"/>
  </r>
  <r>
    <x v="0"/>
    <x v="0"/>
    <x v="0"/>
    <x v="6"/>
    <x v="7"/>
    <s v="NeA"/>
    <x v="0"/>
    <x v="0"/>
    <s v="GWND_WIND"/>
    <x v="4"/>
    <x v="0"/>
    <n v="218.75891639565799"/>
    <n v="13307.8340807359"/>
    <n v="47908.202690649101"/>
  </r>
  <r>
    <x v="0"/>
    <x v="0"/>
    <x v="0"/>
    <x v="6"/>
    <x v="7"/>
    <s v="NeA"/>
    <x v="0"/>
    <x v="0"/>
    <s v="GWND_WIND"/>
    <x v="4"/>
    <x v="1"/>
    <n v="197.59145616121299"/>
    <n v="12020.146916473799"/>
    <n v="43272.528899305602"/>
  </r>
  <r>
    <x v="0"/>
    <x v="0"/>
    <x v="0"/>
    <x v="6"/>
    <x v="7"/>
    <s v="NeA"/>
    <x v="0"/>
    <x v="0"/>
    <s v="GWND_WIND"/>
    <x v="4"/>
    <x v="2"/>
    <n v="198.18982959540199"/>
    <n v="12056.547967053601"/>
    <n v="43403.572681393001"/>
  </r>
  <r>
    <x v="0"/>
    <x v="0"/>
    <x v="0"/>
    <x v="6"/>
    <x v="7"/>
    <s v="NeA"/>
    <x v="0"/>
    <x v="0"/>
    <s v="GWND_WIND"/>
    <x v="4"/>
    <x v="3"/>
    <n v="174.96011806098301"/>
    <n v="10643.4071820431"/>
    <n v="38316.265855355297"/>
  </r>
  <r>
    <x v="0"/>
    <x v="0"/>
    <x v="0"/>
    <x v="6"/>
    <x v="7"/>
    <s v="NeA"/>
    <x v="0"/>
    <x v="0"/>
    <s v="GWND_WIND"/>
    <x v="4"/>
    <x v="4"/>
    <n v="149.34759802970299"/>
    <n v="9085.3122134736095"/>
    <n v="32707.123968504999"/>
  </r>
  <r>
    <x v="0"/>
    <x v="0"/>
    <x v="0"/>
    <x v="6"/>
    <x v="7"/>
    <s v="NeA"/>
    <x v="0"/>
    <x v="0"/>
    <s v="GWND_WIND"/>
    <x v="4"/>
    <x v="5"/>
    <n v="141.82518914275201"/>
    <n v="8627.6990061841007"/>
    <n v="31059.716422262802"/>
  </r>
  <r>
    <x v="0"/>
    <x v="0"/>
    <x v="0"/>
    <x v="6"/>
    <x v="7"/>
    <s v="NeA"/>
    <x v="0"/>
    <x v="0"/>
    <s v="GWND_WIND"/>
    <x v="4"/>
    <x v="6"/>
    <n v="157.57523274980599"/>
    <n v="9585.8266589465093"/>
    <n v="34508.975972207401"/>
  </r>
  <r>
    <x v="0"/>
    <x v="0"/>
    <x v="0"/>
    <x v="6"/>
    <x v="7"/>
    <s v="NeA"/>
    <x v="0"/>
    <x v="0"/>
    <s v="GWND_WIND"/>
    <x v="4"/>
    <x v="7"/>
    <n v="223.65275626813499"/>
    <n v="13605.542672978199"/>
    <n v="48979.953622721499"/>
  </r>
  <r>
    <x v="0"/>
    <x v="0"/>
    <x v="0"/>
    <x v="6"/>
    <x v="7"/>
    <s v="NeA"/>
    <x v="0"/>
    <x v="0"/>
    <s v="GWND_WIND"/>
    <x v="4"/>
    <x v="8"/>
    <n v="256.22136747186499"/>
    <n v="15586.7998545384"/>
    <n v="56112.479476338398"/>
  </r>
  <r>
    <x v="0"/>
    <x v="0"/>
    <x v="0"/>
    <x v="6"/>
    <x v="7"/>
    <s v="NeA"/>
    <x v="0"/>
    <x v="0"/>
    <s v="GWND_WIND"/>
    <x v="4"/>
    <x v="9"/>
    <n v="251.380953798869"/>
    <n v="15292.341356097901"/>
    <n v="55052.428881952401"/>
  </r>
  <r>
    <x v="0"/>
    <x v="0"/>
    <x v="0"/>
    <x v="6"/>
    <x v="7"/>
    <s v="NeA"/>
    <x v="0"/>
    <x v="0"/>
    <s v="GWND_WIND"/>
    <x v="4"/>
    <x v="10"/>
    <n v="243.153319078767"/>
    <n v="14791.826910625001"/>
    <n v="53250.576878250002"/>
  </r>
  <r>
    <x v="0"/>
    <x v="0"/>
    <x v="0"/>
    <x v="6"/>
    <x v="7"/>
    <s v="NeA"/>
    <x v="0"/>
    <x v="0"/>
    <s v="GWND_WIND"/>
    <x v="4"/>
    <x v="11"/>
    <n v="240.514064824396"/>
    <n v="14631.272276817401"/>
    <n v="52672.580196542804"/>
  </r>
  <r>
    <x v="0"/>
    <x v="0"/>
    <x v="0"/>
    <x v="6"/>
    <x v="7"/>
    <s v="NeA"/>
    <x v="0"/>
    <x v="0"/>
    <s v="GWND_WIND"/>
    <x v="5"/>
    <x v="0"/>
    <n v="92.128138385354603"/>
    <n v="5604.4617517757397"/>
    <n v="20176.0623063926"/>
  </r>
  <r>
    <x v="0"/>
    <x v="0"/>
    <x v="0"/>
    <x v="6"/>
    <x v="7"/>
    <s v="NeA"/>
    <x v="0"/>
    <x v="0"/>
    <s v="GWND_WIND"/>
    <x v="5"/>
    <x v="1"/>
    <n v="86.3687940812829"/>
    <n v="5254.1016399447099"/>
    <n v="18914.765903800901"/>
  </r>
  <r>
    <x v="0"/>
    <x v="0"/>
    <x v="0"/>
    <x v="6"/>
    <x v="7"/>
    <s v="NeA"/>
    <x v="0"/>
    <x v="0"/>
    <s v="GWND_WIND"/>
    <x v="5"/>
    <x v="2"/>
    <n v="64.122124617317596"/>
    <n v="3900.7625808868202"/>
    <n v="14042.745291192599"/>
  </r>
  <r>
    <x v="0"/>
    <x v="0"/>
    <x v="0"/>
    <x v="6"/>
    <x v="7"/>
    <s v="NeA"/>
    <x v="0"/>
    <x v="0"/>
    <s v="GWND_WIND"/>
    <x v="5"/>
    <x v="3"/>
    <n v="62.198781435995002"/>
    <n v="3783.7592040230302"/>
    <n v="13621.533134482899"/>
  </r>
  <r>
    <x v="0"/>
    <x v="0"/>
    <x v="0"/>
    <x v="6"/>
    <x v="7"/>
    <s v="NeA"/>
    <x v="0"/>
    <x v="0"/>
    <s v="GWND_WIND"/>
    <x v="5"/>
    <x v="4"/>
    <n v="56.834791008084103"/>
    <n v="3457.4497863251099"/>
    <n v="12446.819230770399"/>
  </r>
  <r>
    <x v="0"/>
    <x v="0"/>
    <x v="0"/>
    <x v="6"/>
    <x v="7"/>
    <s v="NeA"/>
    <x v="0"/>
    <x v="0"/>
    <s v="GWND_WIND"/>
    <x v="5"/>
    <x v="5"/>
    <n v="36.778595722847399"/>
    <n v="2237.3645731398801"/>
    <n v="8054.5124633035803"/>
  </r>
  <r>
    <x v="0"/>
    <x v="0"/>
    <x v="0"/>
    <x v="6"/>
    <x v="7"/>
    <s v="NeA"/>
    <x v="0"/>
    <x v="0"/>
    <s v="GWND_WIND"/>
    <x v="5"/>
    <x v="6"/>
    <n v="45.732826755893903"/>
    <n v="2782.0802943168801"/>
    <n v="10015.4890595408"/>
  </r>
  <r>
    <x v="0"/>
    <x v="0"/>
    <x v="0"/>
    <x v="6"/>
    <x v="7"/>
    <s v="NeA"/>
    <x v="0"/>
    <x v="0"/>
    <s v="GWND_WIND"/>
    <x v="5"/>
    <x v="7"/>
    <n v="47.3462979802257"/>
    <n v="2880.2331271304001"/>
    <n v="10368.8392576694"/>
  </r>
  <r>
    <x v="0"/>
    <x v="0"/>
    <x v="0"/>
    <x v="6"/>
    <x v="7"/>
    <s v="NeA"/>
    <x v="0"/>
    <x v="0"/>
    <s v="GWND_WIND"/>
    <x v="5"/>
    <x v="8"/>
    <n v="37.505192035791502"/>
    <n v="2281.5658488439799"/>
    <n v="8213.6370558383405"/>
  </r>
  <r>
    <x v="0"/>
    <x v="0"/>
    <x v="0"/>
    <x v="6"/>
    <x v="7"/>
    <s v="NeA"/>
    <x v="0"/>
    <x v="0"/>
    <s v="GWND_WIND"/>
    <x v="5"/>
    <x v="9"/>
    <n v="39.717036694312597"/>
    <n v="2416.11973223735"/>
    <n v="8698.0310360544499"/>
  </r>
  <r>
    <x v="0"/>
    <x v="0"/>
    <x v="0"/>
    <x v="6"/>
    <x v="7"/>
    <s v="NeA"/>
    <x v="0"/>
    <x v="0"/>
    <s v="GWND_WIND"/>
    <x v="5"/>
    <x v="10"/>
    <n v="36.319130407309203"/>
    <n v="2209.4137664446398"/>
    <n v="7953.8895592007202"/>
  </r>
  <r>
    <x v="0"/>
    <x v="0"/>
    <x v="0"/>
    <x v="6"/>
    <x v="7"/>
    <s v="NeA"/>
    <x v="0"/>
    <x v="0"/>
    <s v="GWND_WIND"/>
    <x v="5"/>
    <x v="11"/>
    <n v="31.628310092861199"/>
    <n v="1924.0555306490601"/>
    <n v="6926.5999103366103"/>
  </r>
  <r>
    <x v="0"/>
    <x v="0"/>
    <x v="0"/>
    <x v="6"/>
    <x v="7"/>
    <s v="NeA"/>
    <x v="0"/>
    <x v="0"/>
    <s v="GWND_WIND"/>
    <x v="6"/>
    <x v="0"/>
    <n v="200.561952852367"/>
    <n v="12200.8521318523"/>
    <n v="43923.067674668302"/>
  </r>
  <r>
    <x v="0"/>
    <x v="0"/>
    <x v="0"/>
    <x v="6"/>
    <x v="7"/>
    <s v="NeA"/>
    <x v="0"/>
    <x v="0"/>
    <s v="GWND_WIND"/>
    <x v="6"/>
    <x v="1"/>
    <n v="192.64419008925501"/>
    <n v="11719.1882304297"/>
    <n v="42189.077629546897"/>
  </r>
  <r>
    <x v="0"/>
    <x v="0"/>
    <x v="0"/>
    <x v="6"/>
    <x v="7"/>
    <s v="NeA"/>
    <x v="0"/>
    <x v="0"/>
    <s v="GWND_WIND"/>
    <x v="6"/>
    <x v="2"/>
    <n v="197.63419712079801"/>
    <n v="12022.7469915152"/>
    <n v="43281.889169454698"/>
  </r>
  <r>
    <x v="0"/>
    <x v="0"/>
    <x v="0"/>
    <x v="6"/>
    <x v="7"/>
    <s v="NeA"/>
    <x v="0"/>
    <x v="0"/>
    <s v="GWND_WIND"/>
    <x v="6"/>
    <x v="3"/>
    <n v="215.38238058844701"/>
    <n v="13102.428152463899"/>
    <n v="47168.741348869902"/>
  </r>
  <r>
    <x v="0"/>
    <x v="0"/>
    <x v="0"/>
    <x v="6"/>
    <x v="7"/>
    <s v="NeA"/>
    <x v="0"/>
    <x v="0"/>
    <s v="GWND_WIND"/>
    <x v="6"/>
    <x v="4"/>
    <n v="186.46812142923"/>
    <n v="11343.4773869448"/>
    <n v="40836.518593001398"/>
  </r>
  <r>
    <x v="0"/>
    <x v="0"/>
    <x v="0"/>
    <x v="6"/>
    <x v="7"/>
    <s v="NeA"/>
    <x v="0"/>
    <x v="0"/>
    <s v="GWND_WIND"/>
    <x v="6"/>
    <x v="5"/>
    <n v="258.540064529348"/>
    <n v="15727.853925535301"/>
    <n v="56620.274131927203"/>
  </r>
  <r>
    <x v="0"/>
    <x v="0"/>
    <x v="0"/>
    <x v="6"/>
    <x v="7"/>
    <s v="NeA"/>
    <x v="0"/>
    <x v="0"/>
    <s v="GWND_WIND"/>
    <x v="6"/>
    <x v="6"/>
    <n v="277.41019818610198"/>
    <n v="16875.787056321202"/>
    <n v="60752.833402756398"/>
  </r>
  <r>
    <x v="0"/>
    <x v="0"/>
    <x v="0"/>
    <x v="6"/>
    <x v="7"/>
    <s v="NeA"/>
    <x v="0"/>
    <x v="0"/>
    <s v="GWND_WIND"/>
    <x v="6"/>
    <x v="7"/>
    <n v="316.98832676176397"/>
    <n v="19283.456544674002"/>
    <n v="69420.443560826301"/>
  </r>
  <r>
    <x v="0"/>
    <x v="0"/>
    <x v="0"/>
    <x v="6"/>
    <x v="7"/>
    <s v="NeA"/>
    <x v="0"/>
    <x v="0"/>
    <s v="GWND_WIND"/>
    <x v="6"/>
    <x v="8"/>
    <n v="431.277652691914"/>
    <n v="26236.0572054248"/>
    <n v="94449.805939529106"/>
  </r>
  <r>
    <x v="0"/>
    <x v="0"/>
    <x v="0"/>
    <x v="6"/>
    <x v="7"/>
    <s v="NeA"/>
    <x v="0"/>
    <x v="0"/>
    <s v="GWND_WIND"/>
    <x v="6"/>
    <x v="9"/>
    <n v="348.21059773856803"/>
    <n v="21182.811362429598"/>
    <n v="76258.120904746407"/>
  </r>
  <r>
    <x v="0"/>
    <x v="0"/>
    <x v="0"/>
    <x v="6"/>
    <x v="7"/>
    <s v="NeA"/>
    <x v="0"/>
    <x v="0"/>
    <s v="GWND_WIND"/>
    <x v="6"/>
    <x v="10"/>
    <n v="251.55191763720899"/>
    <n v="15302.741656263601"/>
    <n v="55089.869962548801"/>
  </r>
  <r>
    <x v="0"/>
    <x v="0"/>
    <x v="0"/>
    <x v="6"/>
    <x v="7"/>
    <s v="NeA"/>
    <x v="0"/>
    <x v="0"/>
    <s v="GWND_WIND"/>
    <x v="6"/>
    <x v="11"/>
    <n v="268.52007859243298"/>
    <n v="16334.971447706401"/>
    <n v="58805.8972117429"/>
  </r>
  <r>
    <x v="0"/>
    <x v="0"/>
    <x v="0"/>
    <x v="6"/>
    <x v="7"/>
    <s v="NeA"/>
    <x v="0"/>
    <x v="0"/>
    <s v="GWND_WIND"/>
    <x v="7"/>
    <x v="0"/>
    <n v="189.45998860017599"/>
    <n v="11525.4826398441"/>
    <n v="41491.737503438599"/>
  </r>
  <r>
    <x v="0"/>
    <x v="0"/>
    <x v="0"/>
    <x v="6"/>
    <x v="7"/>
    <s v="NeA"/>
    <x v="0"/>
    <x v="0"/>
    <s v="GWND_WIND"/>
    <x v="7"/>
    <x v="1"/>
    <n v="152.59591095815901"/>
    <n v="9282.9179166213507"/>
    <n v="33418.504499836898"/>
  </r>
  <r>
    <x v="0"/>
    <x v="0"/>
    <x v="0"/>
    <x v="6"/>
    <x v="7"/>
    <s v="NeA"/>
    <x v="0"/>
    <x v="0"/>
    <s v="GWND_WIND"/>
    <x v="7"/>
    <x v="2"/>
    <n v="107.16227091936"/>
    <n v="6519.0381475943896"/>
    <n v="23468.537331339801"/>
  </r>
  <r>
    <x v="0"/>
    <x v="0"/>
    <x v="0"/>
    <x v="6"/>
    <x v="7"/>
    <s v="NeA"/>
    <x v="0"/>
    <x v="0"/>
    <s v="GWND_WIND"/>
    <x v="7"/>
    <x v="3"/>
    <n v="106.42498936651999"/>
    <n v="6474.1868531299397"/>
    <n v="23307.072671267801"/>
  </r>
  <r>
    <x v="0"/>
    <x v="0"/>
    <x v="0"/>
    <x v="6"/>
    <x v="7"/>
    <s v="NeA"/>
    <x v="0"/>
    <x v="0"/>
    <s v="GWND_WIND"/>
    <x v="7"/>
    <x v="4"/>
    <n v="94.030111086884702"/>
    <n v="5720.1650911188199"/>
    <n v="20592.594328027801"/>
  </r>
  <r>
    <x v="0"/>
    <x v="0"/>
    <x v="0"/>
    <x v="6"/>
    <x v="7"/>
    <s v="NeA"/>
    <x v="0"/>
    <x v="0"/>
    <s v="GWND_WIND"/>
    <x v="7"/>
    <x v="5"/>
    <n v="116.479800108878"/>
    <n v="7085.8545066234401"/>
    <n v="25509.0762238444"/>
  </r>
  <r>
    <x v="0"/>
    <x v="0"/>
    <x v="0"/>
    <x v="6"/>
    <x v="7"/>
    <s v="NeA"/>
    <x v="0"/>
    <x v="0"/>
    <s v="GWND_WIND"/>
    <x v="7"/>
    <x v="6"/>
    <n v="131.150634486412"/>
    <n v="7978.3302645900503"/>
    <n v="28721.9889525242"/>
  </r>
  <r>
    <x v="0"/>
    <x v="0"/>
    <x v="0"/>
    <x v="6"/>
    <x v="7"/>
    <s v="NeA"/>
    <x v="0"/>
    <x v="0"/>
    <s v="GWND_WIND"/>
    <x v="7"/>
    <x v="7"/>
    <n v="152.980579594424"/>
    <n v="9306.3185919941097"/>
    <n v="33502.746931178801"/>
  </r>
  <r>
    <x v="0"/>
    <x v="0"/>
    <x v="0"/>
    <x v="6"/>
    <x v="7"/>
    <s v="NeA"/>
    <x v="0"/>
    <x v="0"/>
    <s v="GWND_WIND"/>
    <x v="7"/>
    <x v="8"/>
    <n v="165.96314606835199"/>
    <n v="10096.0913858247"/>
    <n v="36345.928988968997"/>
  </r>
  <r>
    <x v="0"/>
    <x v="0"/>
    <x v="0"/>
    <x v="6"/>
    <x v="7"/>
    <s v="NeA"/>
    <x v="0"/>
    <x v="0"/>
    <s v="GWND_WIND"/>
    <x v="7"/>
    <x v="9"/>
    <n v="268.42391143336698"/>
    <n v="16329.1212788632"/>
    <n v="58784.836603907403"/>
  </r>
  <r>
    <x v="0"/>
    <x v="0"/>
    <x v="0"/>
    <x v="6"/>
    <x v="7"/>
    <s v="NeA"/>
    <x v="0"/>
    <x v="0"/>
    <s v="GWND_WIND"/>
    <x v="7"/>
    <x v="10"/>
    <n v="256.86248186563898"/>
    <n v="15625.8009801597"/>
    <n v="56252.883528574901"/>
  </r>
  <r>
    <x v="0"/>
    <x v="0"/>
    <x v="0"/>
    <x v="6"/>
    <x v="7"/>
    <s v="NeA"/>
    <x v="0"/>
    <x v="0"/>
    <s v="GWND_WIND"/>
    <x v="7"/>
    <x v="11"/>
    <n v="231.79490906906699"/>
    <n v="14100.8569683682"/>
    <n v="50763.085086125699"/>
  </r>
  <r>
    <x v="0"/>
    <x v="0"/>
    <x v="0"/>
    <x v="6"/>
    <x v="7"/>
    <s v="NeA"/>
    <x v="0"/>
    <x v="0"/>
    <s v="GWND_WIND"/>
    <x v="8"/>
    <x v="0"/>
    <n v="253.72102133614499"/>
    <n v="15434.695464615501"/>
    <n v="55564.903672615801"/>
  </r>
  <r>
    <x v="0"/>
    <x v="0"/>
    <x v="0"/>
    <x v="6"/>
    <x v="7"/>
    <s v="NeA"/>
    <x v="0"/>
    <x v="0"/>
    <s v="GWND_WIND"/>
    <x v="8"/>
    <x v="1"/>
    <n v="274.38627529546699"/>
    <n v="16691.831747140899"/>
    <n v="60090.594289707296"/>
  </r>
  <r>
    <x v="0"/>
    <x v="0"/>
    <x v="0"/>
    <x v="6"/>
    <x v="7"/>
    <s v="NeA"/>
    <x v="0"/>
    <x v="0"/>
    <s v="GWND_WIND"/>
    <x v="8"/>
    <x v="2"/>
    <n v="288.52284767818901"/>
    <n v="17551.8065670898"/>
    <n v="63186.503641523399"/>
  </r>
  <r>
    <x v="0"/>
    <x v="0"/>
    <x v="0"/>
    <x v="6"/>
    <x v="7"/>
    <s v="NeA"/>
    <x v="0"/>
    <x v="0"/>
    <s v="GWND_WIND"/>
    <x v="8"/>
    <x v="3"/>
    <n v="345.76367780232999"/>
    <n v="21033.957066308401"/>
    <n v="75722.245438710204"/>
  </r>
  <r>
    <x v="0"/>
    <x v="0"/>
    <x v="0"/>
    <x v="6"/>
    <x v="7"/>
    <s v="NeA"/>
    <x v="0"/>
    <x v="0"/>
    <s v="GWND_WIND"/>
    <x v="8"/>
    <x v="4"/>
    <n v="447.64744021294899"/>
    <n v="27231.885946287701"/>
    <n v="98034.789406635799"/>
  </r>
  <r>
    <x v="0"/>
    <x v="0"/>
    <x v="0"/>
    <x v="6"/>
    <x v="7"/>
    <s v="NeA"/>
    <x v="0"/>
    <x v="0"/>
    <s v="GWND_WIND"/>
    <x v="8"/>
    <x v="5"/>
    <n v="566.606215977754"/>
    <n v="34468.544805313402"/>
    <n v="124086.761299128"/>
  </r>
  <r>
    <x v="0"/>
    <x v="0"/>
    <x v="0"/>
    <x v="6"/>
    <x v="7"/>
    <s v="NeA"/>
    <x v="0"/>
    <x v="0"/>
    <s v="GWND_WIND"/>
    <x v="8"/>
    <x v="6"/>
    <n v="686.06719801768304"/>
    <n v="41735.754546075703"/>
    <n v="150248.716365873"/>
  </r>
  <r>
    <x v="0"/>
    <x v="0"/>
    <x v="0"/>
    <x v="6"/>
    <x v="7"/>
    <s v="NeA"/>
    <x v="0"/>
    <x v="0"/>
    <s v="GWND_WIND"/>
    <x v="8"/>
    <x v="7"/>
    <n v="777.91752016573503"/>
    <n v="47323.315810082197"/>
    <n v="170363.93691629599"/>
  </r>
  <r>
    <x v="0"/>
    <x v="0"/>
    <x v="0"/>
    <x v="6"/>
    <x v="7"/>
    <s v="NeA"/>
    <x v="0"/>
    <x v="0"/>
    <s v="GWND_WIND"/>
    <x v="8"/>
    <x v="8"/>
    <n v="716.14614832559005"/>
    <n v="43565.5573564734"/>
    <n v="156836.00648330399"/>
  </r>
  <r>
    <x v="0"/>
    <x v="0"/>
    <x v="0"/>
    <x v="6"/>
    <x v="7"/>
    <s v="NeA"/>
    <x v="0"/>
    <x v="0"/>
    <s v="GWND_WIND"/>
    <x v="8"/>
    <x v="9"/>
    <n v="524.88035418294896"/>
    <n v="31930.2215461294"/>
    <n v="114948.797566066"/>
  </r>
  <r>
    <x v="0"/>
    <x v="0"/>
    <x v="0"/>
    <x v="6"/>
    <x v="7"/>
    <s v="NeA"/>
    <x v="0"/>
    <x v="0"/>
    <s v="GWND_WIND"/>
    <x v="8"/>
    <x v="10"/>
    <n v="419.98335412159099"/>
    <n v="25548.987375730099"/>
    <n v="91976.354552628502"/>
  </r>
  <r>
    <x v="0"/>
    <x v="0"/>
    <x v="0"/>
    <x v="6"/>
    <x v="7"/>
    <s v="NeA"/>
    <x v="0"/>
    <x v="0"/>
    <s v="GWND_WIND"/>
    <x v="8"/>
    <x v="11"/>
    <n v="438.56498630114697"/>
    <n v="26679.369999986498"/>
    <n v="96045.731999951298"/>
  </r>
  <r>
    <x v="0"/>
    <x v="0"/>
    <x v="0"/>
    <x v="6"/>
    <x v="7"/>
    <s v="NeA"/>
    <x v="0"/>
    <x v="0"/>
    <s v="GWND_WIND"/>
    <x v="9"/>
    <x v="0"/>
    <n v="1374.5179658555701"/>
    <n v="83616.509589547102"/>
    <n v="301019.43452236999"/>
  </r>
  <r>
    <x v="0"/>
    <x v="0"/>
    <x v="0"/>
    <x v="6"/>
    <x v="7"/>
    <s v="NeA"/>
    <x v="0"/>
    <x v="0"/>
    <s v="GWND_WIND"/>
    <x v="9"/>
    <x v="1"/>
    <n v="1299.36328296181"/>
    <n v="79044.599713509902"/>
    <n v="284560.55896863597"/>
  </r>
  <r>
    <x v="0"/>
    <x v="0"/>
    <x v="0"/>
    <x v="6"/>
    <x v="7"/>
    <s v="NeA"/>
    <x v="0"/>
    <x v="0"/>
    <s v="GWND_WIND"/>
    <x v="9"/>
    <x v="2"/>
    <n v="1318.5482625547199"/>
    <n v="80211.685972078994"/>
    <n v="288762.06949948502"/>
  </r>
  <r>
    <x v="0"/>
    <x v="0"/>
    <x v="0"/>
    <x v="6"/>
    <x v="7"/>
    <s v="NeA"/>
    <x v="0"/>
    <x v="0"/>
    <s v="GWND_WIND"/>
    <x v="9"/>
    <x v="3"/>
    <n v="1386.6855557260601"/>
    <n v="84356.704640002004"/>
    <n v="303684.13670400699"/>
  </r>
  <r>
    <x v="0"/>
    <x v="0"/>
    <x v="0"/>
    <x v="6"/>
    <x v="7"/>
    <s v="NeA"/>
    <x v="0"/>
    <x v="0"/>
    <s v="GWND_WIND"/>
    <x v="9"/>
    <x v="4"/>
    <n v="1468.2513665296999"/>
    <n v="89318.624797223703"/>
    <n v="321547.04927000502"/>
  </r>
  <r>
    <x v="0"/>
    <x v="0"/>
    <x v="0"/>
    <x v="6"/>
    <x v="7"/>
    <s v="NeA"/>
    <x v="0"/>
    <x v="0"/>
    <s v="GWND_WIND"/>
    <x v="9"/>
    <x v="5"/>
    <n v="1470.8325171208301"/>
    <n v="89475.644791517101"/>
    <n v="322112.32124946202"/>
  </r>
  <r>
    <x v="0"/>
    <x v="0"/>
    <x v="0"/>
    <x v="6"/>
    <x v="7"/>
    <s v="NeA"/>
    <x v="0"/>
    <x v="0"/>
    <s v="GWND_WIND"/>
    <x v="9"/>
    <x v="6"/>
    <n v="1449.7198427826399"/>
    <n v="88191.290435944102"/>
    <n v="317488.645569399"/>
  </r>
  <r>
    <x v="0"/>
    <x v="0"/>
    <x v="0"/>
    <x v="6"/>
    <x v="7"/>
    <s v="NeA"/>
    <x v="0"/>
    <x v="0"/>
    <s v="GWND_WIND"/>
    <x v="9"/>
    <x v="7"/>
    <n v="1491.27358406189"/>
    <n v="90719.143030431602"/>
    <n v="326588.91490955401"/>
  </r>
  <r>
    <x v="0"/>
    <x v="0"/>
    <x v="0"/>
    <x v="6"/>
    <x v="7"/>
    <s v="NeA"/>
    <x v="0"/>
    <x v="0"/>
    <s v="GWND_WIND"/>
    <x v="9"/>
    <x v="8"/>
    <n v="1417.6884053015999"/>
    <n v="86242.7113225137"/>
    <n v="310473.76076104899"/>
  </r>
  <r>
    <x v="0"/>
    <x v="0"/>
    <x v="0"/>
    <x v="6"/>
    <x v="7"/>
    <s v="NeA"/>
    <x v="0"/>
    <x v="0"/>
    <s v="GWND_WIND"/>
    <x v="9"/>
    <x v="9"/>
    <n v="1374.9366616382799"/>
    <n v="83641.9802496622"/>
    <n v="301111.12889878399"/>
  </r>
  <r>
    <x v="0"/>
    <x v="0"/>
    <x v="0"/>
    <x v="6"/>
    <x v="7"/>
    <s v="NeA"/>
    <x v="0"/>
    <x v="0"/>
    <s v="GWND_WIND"/>
    <x v="9"/>
    <x v="10"/>
    <n v="1459.48174705766"/>
    <n v="88785.139612674102"/>
    <n v="319626.502605627"/>
  </r>
  <r>
    <x v="0"/>
    <x v="0"/>
    <x v="0"/>
    <x v="6"/>
    <x v="7"/>
    <s v="NeA"/>
    <x v="0"/>
    <x v="0"/>
    <s v="GWND_WIND"/>
    <x v="9"/>
    <x v="11"/>
    <n v="1436.6458854518801"/>
    <n v="87395.958031656104"/>
    <n v="314625.448913962"/>
  </r>
  <r>
    <x v="0"/>
    <x v="0"/>
    <x v="0"/>
    <x v="6"/>
    <x v="7"/>
    <s v="NeA"/>
    <x v="0"/>
    <x v="0"/>
    <s v="GWND_WIND"/>
    <x v="10"/>
    <x v="0"/>
    <n v="75.473156468869107"/>
    <n v="4591.2836851895399"/>
    <n v="16528.621266682301"/>
  </r>
  <r>
    <x v="0"/>
    <x v="0"/>
    <x v="0"/>
    <x v="6"/>
    <x v="7"/>
    <s v="NeA"/>
    <x v="0"/>
    <x v="0"/>
    <s v="GWND_WIND"/>
    <x v="10"/>
    <x v="1"/>
    <n v="66.681755135291397"/>
    <n v="4056.4734373968899"/>
    <n v="14603.3043746288"/>
  </r>
  <r>
    <x v="0"/>
    <x v="0"/>
    <x v="0"/>
    <x v="6"/>
    <x v="7"/>
    <s v="NeA"/>
    <x v="0"/>
    <x v="0"/>
    <s v="GWND_WIND"/>
    <x v="10"/>
    <x v="2"/>
    <n v="70.930428236763007"/>
    <n v="4314.93438440308"/>
    <n v="15533.7637838511"/>
  </r>
  <r>
    <x v="0"/>
    <x v="0"/>
    <x v="0"/>
    <x v="6"/>
    <x v="7"/>
    <s v="NeA"/>
    <x v="0"/>
    <x v="0"/>
    <s v="GWND_WIND"/>
    <x v="10"/>
    <x v="3"/>
    <n v="72.637884159912105"/>
    <n v="4418.80461972799"/>
    <n v="15907.696631020801"/>
  </r>
  <r>
    <x v="0"/>
    <x v="0"/>
    <x v="0"/>
    <x v="6"/>
    <x v="7"/>
    <s v="NeA"/>
    <x v="0"/>
    <x v="0"/>
    <s v="GWND_WIND"/>
    <x v="10"/>
    <x v="4"/>
    <n v="69.928462606452996"/>
    <n v="4253.9814752258899"/>
    <n v="15314.333310813199"/>
  </r>
  <r>
    <x v="0"/>
    <x v="0"/>
    <x v="0"/>
    <x v="6"/>
    <x v="7"/>
    <s v="NeA"/>
    <x v="0"/>
    <x v="0"/>
    <s v="GWND_WIND"/>
    <x v="10"/>
    <x v="5"/>
    <n v="67.352152429001194"/>
    <n v="4097.2559394309101"/>
    <n v="14750.1213819513"/>
  </r>
  <r>
    <x v="0"/>
    <x v="0"/>
    <x v="0"/>
    <x v="6"/>
    <x v="7"/>
    <s v="NeA"/>
    <x v="0"/>
    <x v="0"/>
    <s v="GWND_WIND"/>
    <x v="10"/>
    <x v="6"/>
    <n v="64.145378370641794"/>
    <n v="3902.1771842140402"/>
    <n v="14047.8378631706"/>
  </r>
  <r>
    <x v="0"/>
    <x v="0"/>
    <x v="0"/>
    <x v="6"/>
    <x v="7"/>
    <s v="NeA"/>
    <x v="0"/>
    <x v="0"/>
    <s v="GWND_WIND"/>
    <x v="10"/>
    <x v="7"/>
    <n v="65.011812418107993"/>
    <n v="3954.8852554349"/>
    <n v="14237.5869195656"/>
  </r>
  <r>
    <x v="0"/>
    <x v="0"/>
    <x v="0"/>
    <x v="6"/>
    <x v="7"/>
    <s v="NeA"/>
    <x v="0"/>
    <x v="0"/>
    <s v="GWND_WIND"/>
    <x v="10"/>
    <x v="8"/>
    <n v="68.884143356504197"/>
    <n v="4190.4520541873399"/>
    <n v="15085.6273950744"/>
  </r>
  <r>
    <x v="0"/>
    <x v="0"/>
    <x v="0"/>
    <x v="6"/>
    <x v="7"/>
    <s v="NeA"/>
    <x v="0"/>
    <x v="0"/>
    <s v="GWND_WIND"/>
    <x v="10"/>
    <x v="9"/>
    <n v="62.078521732272797"/>
    <n v="3776.44340537993"/>
    <n v="13595.1962593678"/>
  </r>
  <r>
    <x v="0"/>
    <x v="0"/>
    <x v="0"/>
    <x v="6"/>
    <x v="7"/>
    <s v="NeA"/>
    <x v="0"/>
    <x v="0"/>
    <s v="GWND_WIND"/>
    <x v="10"/>
    <x v="10"/>
    <n v="63.231750289864003"/>
    <n v="3846.5981426333901"/>
    <n v="13847.7533134802"/>
  </r>
  <r>
    <x v="0"/>
    <x v="0"/>
    <x v="0"/>
    <x v="6"/>
    <x v="7"/>
    <s v="NeA"/>
    <x v="0"/>
    <x v="0"/>
    <s v="GWND_WIND"/>
    <x v="10"/>
    <x v="11"/>
    <n v="88.411582216785604"/>
    <n v="5378.37125152112"/>
    <n v="19362.136505475999"/>
  </r>
  <r>
    <x v="0"/>
    <x v="0"/>
    <x v="0"/>
    <x v="6"/>
    <x v="7"/>
    <s v="NeA"/>
    <x v="0"/>
    <x v="0"/>
    <s v="GWND_WIND"/>
    <x v="11"/>
    <x v="0"/>
    <n v="178.550975738723"/>
    <n v="10861.851024105599"/>
    <n v="39102.663686780303"/>
  </r>
  <r>
    <x v="0"/>
    <x v="0"/>
    <x v="0"/>
    <x v="6"/>
    <x v="7"/>
    <s v="NeA"/>
    <x v="0"/>
    <x v="0"/>
    <s v="GWND_WIND"/>
    <x v="11"/>
    <x v="1"/>
    <n v="102.710164206814"/>
    <n v="6248.2016559145004"/>
    <n v="22493.525961292198"/>
  </r>
  <r>
    <x v="0"/>
    <x v="0"/>
    <x v="0"/>
    <x v="6"/>
    <x v="7"/>
    <s v="NeA"/>
    <x v="0"/>
    <x v="0"/>
    <s v="GWND_WIND"/>
    <x v="11"/>
    <x v="2"/>
    <n v="86.061561378546401"/>
    <n v="5235.41165052824"/>
    <n v="18847.4819419017"/>
  </r>
  <r>
    <x v="0"/>
    <x v="0"/>
    <x v="0"/>
    <x v="6"/>
    <x v="7"/>
    <s v="NeA"/>
    <x v="0"/>
    <x v="0"/>
    <s v="GWND_WIND"/>
    <x v="11"/>
    <x v="3"/>
    <n v="69.563011374141794"/>
    <n v="4231.7498585936301"/>
    <n v="15234.299490937099"/>
  </r>
  <r>
    <x v="0"/>
    <x v="0"/>
    <x v="0"/>
    <x v="6"/>
    <x v="7"/>
    <s v="NeA"/>
    <x v="0"/>
    <x v="0"/>
    <s v="GWND_WIND"/>
    <x v="11"/>
    <x v="4"/>
    <n v="100.88532825209499"/>
    <n v="6137.1908020024202"/>
    <n v="22093.886887208701"/>
  </r>
  <r>
    <x v="0"/>
    <x v="0"/>
    <x v="0"/>
    <x v="6"/>
    <x v="7"/>
    <s v="NeA"/>
    <x v="0"/>
    <x v="0"/>
    <s v="GWND_WIND"/>
    <x v="11"/>
    <x v="5"/>
    <n v="103.272862296299"/>
    <n v="6282.4324563582204"/>
    <n v="22616.756842889601"/>
  </r>
  <r>
    <x v="0"/>
    <x v="0"/>
    <x v="0"/>
    <x v="6"/>
    <x v="7"/>
    <s v="NeA"/>
    <x v="0"/>
    <x v="0"/>
    <s v="GWND_WIND"/>
    <x v="11"/>
    <x v="6"/>
    <n v="89.308268849708"/>
    <n v="5432.9196883572404"/>
    <n v="19558.510878085999"/>
  </r>
  <r>
    <x v="0"/>
    <x v="0"/>
    <x v="0"/>
    <x v="6"/>
    <x v="7"/>
    <s v="NeA"/>
    <x v="0"/>
    <x v="0"/>
    <s v="GWND_WIND"/>
    <x v="11"/>
    <x v="7"/>
    <n v="90.119038139934702"/>
    <n v="5482.2414868460301"/>
    <n v="19736.0693526457"/>
  </r>
  <r>
    <x v="0"/>
    <x v="0"/>
    <x v="0"/>
    <x v="6"/>
    <x v="7"/>
    <s v="NeA"/>
    <x v="0"/>
    <x v="0"/>
    <s v="GWND_WIND"/>
    <x v="11"/>
    <x v="8"/>
    <n v="112.176803247774"/>
    <n v="6824.0888642396103"/>
    <n v="24566.7199112626"/>
  </r>
  <r>
    <x v="0"/>
    <x v="0"/>
    <x v="0"/>
    <x v="6"/>
    <x v="7"/>
    <s v="NeA"/>
    <x v="0"/>
    <x v="0"/>
    <s v="GWND_WIND"/>
    <x v="11"/>
    <x v="9"/>
    <n v="133.008733592928"/>
    <n v="8091.3646269031196"/>
    <n v="29128.9126568512"/>
  </r>
  <r>
    <x v="0"/>
    <x v="0"/>
    <x v="0"/>
    <x v="6"/>
    <x v="7"/>
    <s v="NeA"/>
    <x v="0"/>
    <x v="0"/>
    <s v="GWND_WIND"/>
    <x v="11"/>
    <x v="10"/>
    <n v="125.417754850253"/>
    <n v="7629.5800867237303"/>
    <n v="27466.488312205402"/>
  </r>
  <r>
    <x v="0"/>
    <x v="0"/>
    <x v="0"/>
    <x v="6"/>
    <x v="7"/>
    <s v="NeA"/>
    <x v="0"/>
    <x v="0"/>
    <s v="GWND_WIND"/>
    <x v="11"/>
    <x v="11"/>
    <n v="110.483868565644"/>
    <n v="6721.1020044100196"/>
    <n v="24195.967215876099"/>
  </r>
  <r>
    <x v="0"/>
    <x v="0"/>
    <x v="0"/>
    <x v="7"/>
    <x v="8"/>
    <s v="NO1_A1"/>
    <x v="7"/>
    <x v="6"/>
    <s v="GHYRR_WATER"/>
    <x v="0"/>
    <x v="0"/>
    <n v="1696.2861561570601"/>
    <n v="103190.74116622101"/>
    <n v="371486.66819839599"/>
  </r>
  <r>
    <x v="0"/>
    <x v="0"/>
    <x v="0"/>
    <x v="7"/>
    <x v="8"/>
    <s v="NO1_A1"/>
    <x v="7"/>
    <x v="6"/>
    <s v="GHYRR_WATER"/>
    <x v="0"/>
    <x v="1"/>
    <n v="1696.2861561570601"/>
    <n v="103190.74116622101"/>
    <n v="371486.66819839599"/>
  </r>
  <r>
    <x v="0"/>
    <x v="0"/>
    <x v="0"/>
    <x v="7"/>
    <x v="8"/>
    <s v="NO1_A1"/>
    <x v="7"/>
    <x v="6"/>
    <s v="GHYRR_WATER"/>
    <x v="0"/>
    <x v="2"/>
    <n v="1696.2861561570601"/>
    <n v="103190.74116622101"/>
    <n v="371486.66819839599"/>
  </r>
  <r>
    <x v="0"/>
    <x v="0"/>
    <x v="0"/>
    <x v="7"/>
    <x v="8"/>
    <s v="NO1_A1"/>
    <x v="7"/>
    <x v="6"/>
    <s v="GHYRR_WATER"/>
    <x v="0"/>
    <x v="3"/>
    <n v="1696.2861561570601"/>
    <n v="103190.74116622101"/>
    <n v="371486.66819839599"/>
  </r>
  <r>
    <x v="0"/>
    <x v="0"/>
    <x v="0"/>
    <x v="7"/>
    <x v="8"/>
    <s v="NO1_A1"/>
    <x v="7"/>
    <x v="6"/>
    <s v="GHYRR_WATER"/>
    <x v="0"/>
    <x v="4"/>
    <n v="1696.2861561570601"/>
    <n v="103190.74116622101"/>
    <n v="371486.66819839599"/>
  </r>
  <r>
    <x v="0"/>
    <x v="0"/>
    <x v="0"/>
    <x v="7"/>
    <x v="8"/>
    <s v="NO1_A1"/>
    <x v="7"/>
    <x v="6"/>
    <s v="GHYRR_WATER"/>
    <x v="0"/>
    <x v="5"/>
    <n v="1696.2861561570601"/>
    <n v="103190.74116622101"/>
    <n v="371486.66819839599"/>
  </r>
  <r>
    <x v="0"/>
    <x v="0"/>
    <x v="0"/>
    <x v="7"/>
    <x v="8"/>
    <s v="NO1_A1"/>
    <x v="7"/>
    <x v="6"/>
    <s v="GHYRR_WATER"/>
    <x v="0"/>
    <x v="6"/>
    <n v="1696.2861561570601"/>
    <n v="103190.74116622101"/>
    <n v="371486.66819839599"/>
  </r>
  <r>
    <x v="0"/>
    <x v="0"/>
    <x v="0"/>
    <x v="7"/>
    <x v="8"/>
    <s v="NO1_A1"/>
    <x v="7"/>
    <x v="6"/>
    <s v="GHYRR_WATER"/>
    <x v="0"/>
    <x v="7"/>
    <n v="1696.2861561570601"/>
    <n v="103190.74116622101"/>
    <n v="371486.66819839599"/>
  </r>
  <r>
    <x v="0"/>
    <x v="0"/>
    <x v="0"/>
    <x v="7"/>
    <x v="8"/>
    <s v="NO1_A1"/>
    <x v="7"/>
    <x v="6"/>
    <s v="GHYRR_WATER"/>
    <x v="0"/>
    <x v="8"/>
    <n v="1696.2861561570601"/>
    <n v="103190.74116622101"/>
    <n v="371486.66819839599"/>
  </r>
  <r>
    <x v="0"/>
    <x v="0"/>
    <x v="0"/>
    <x v="7"/>
    <x v="8"/>
    <s v="NO1_A1"/>
    <x v="7"/>
    <x v="6"/>
    <s v="GHYRR_WATER"/>
    <x v="0"/>
    <x v="9"/>
    <n v="1696.2861561570601"/>
    <n v="103190.74116622101"/>
    <n v="371486.66819839599"/>
  </r>
  <r>
    <x v="0"/>
    <x v="0"/>
    <x v="0"/>
    <x v="7"/>
    <x v="8"/>
    <s v="NO1_A1"/>
    <x v="7"/>
    <x v="6"/>
    <s v="GHYRR_WATER"/>
    <x v="0"/>
    <x v="10"/>
    <n v="1696.2861561570601"/>
    <n v="103190.74116622101"/>
    <n v="371486.66819839599"/>
  </r>
  <r>
    <x v="0"/>
    <x v="0"/>
    <x v="0"/>
    <x v="7"/>
    <x v="8"/>
    <s v="NO1_A1"/>
    <x v="7"/>
    <x v="6"/>
    <s v="GHYRR_WATER"/>
    <x v="0"/>
    <x v="11"/>
    <n v="1696.2861561570601"/>
    <n v="103190.74116622101"/>
    <n v="371486.66819839599"/>
  </r>
  <r>
    <x v="0"/>
    <x v="0"/>
    <x v="0"/>
    <x v="7"/>
    <x v="8"/>
    <s v="NO1_A1"/>
    <x v="7"/>
    <x v="6"/>
    <s v="GHYRR_WATER"/>
    <x v="1"/>
    <x v="0"/>
    <n v="1437.6082403058499"/>
    <n v="87454.501285272505"/>
    <n v="314836.20462698099"/>
  </r>
  <r>
    <x v="0"/>
    <x v="0"/>
    <x v="0"/>
    <x v="7"/>
    <x v="8"/>
    <s v="NO1_A1"/>
    <x v="7"/>
    <x v="6"/>
    <s v="GHYRR_WATER"/>
    <x v="1"/>
    <x v="1"/>
    <n v="1437.6082403058499"/>
    <n v="87454.501285272505"/>
    <n v="314836.20462698099"/>
  </r>
  <r>
    <x v="0"/>
    <x v="0"/>
    <x v="0"/>
    <x v="7"/>
    <x v="8"/>
    <s v="NO1_A1"/>
    <x v="7"/>
    <x v="6"/>
    <s v="GHYRR_WATER"/>
    <x v="1"/>
    <x v="2"/>
    <n v="1437.6082403058499"/>
    <n v="87454.501285272505"/>
    <n v="314836.20462698099"/>
  </r>
  <r>
    <x v="0"/>
    <x v="0"/>
    <x v="0"/>
    <x v="7"/>
    <x v="8"/>
    <s v="NO1_A1"/>
    <x v="7"/>
    <x v="6"/>
    <s v="GHYRR_WATER"/>
    <x v="1"/>
    <x v="3"/>
    <n v="1437.6082403058499"/>
    <n v="87454.501285272505"/>
    <n v="314836.20462698099"/>
  </r>
  <r>
    <x v="0"/>
    <x v="0"/>
    <x v="0"/>
    <x v="7"/>
    <x v="8"/>
    <s v="NO1_A1"/>
    <x v="7"/>
    <x v="6"/>
    <s v="GHYRR_WATER"/>
    <x v="1"/>
    <x v="4"/>
    <n v="1437.6082403058499"/>
    <n v="87454.501285272505"/>
    <n v="314836.20462698099"/>
  </r>
  <r>
    <x v="0"/>
    <x v="0"/>
    <x v="0"/>
    <x v="7"/>
    <x v="8"/>
    <s v="NO1_A1"/>
    <x v="7"/>
    <x v="6"/>
    <s v="GHYRR_WATER"/>
    <x v="1"/>
    <x v="5"/>
    <n v="1437.6082403058499"/>
    <n v="87454.501285272505"/>
    <n v="314836.20462698099"/>
  </r>
  <r>
    <x v="0"/>
    <x v="0"/>
    <x v="0"/>
    <x v="7"/>
    <x v="8"/>
    <s v="NO1_A1"/>
    <x v="7"/>
    <x v="6"/>
    <s v="GHYRR_WATER"/>
    <x v="1"/>
    <x v="6"/>
    <n v="1437.6082403058499"/>
    <n v="87454.501285272505"/>
    <n v="314836.20462698099"/>
  </r>
  <r>
    <x v="0"/>
    <x v="0"/>
    <x v="0"/>
    <x v="7"/>
    <x v="8"/>
    <s v="NO1_A1"/>
    <x v="7"/>
    <x v="6"/>
    <s v="GHYRR_WATER"/>
    <x v="1"/>
    <x v="7"/>
    <n v="1437.6082403058499"/>
    <n v="87454.501285272505"/>
    <n v="314836.20462698099"/>
  </r>
  <r>
    <x v="0"/>
    <x v="0"/>
    <x v="0"/>
    <x v="7"/>
    <x v="8"/>
    <s v="NO1_A1"/>
    <x v="7"/>
    <x v="6"/>
    <s v="GHYRR_WATER"/>
    <x v="1"/>
    <x v="8"/>
    <n v="1437.6082403058499"/>
    <n v="87454.501285272505"/>
    <n v="314836.20462698099"/>
  </r>
  <r>
    <x v="0"/>
    <x v="0"/>
    <x v="0"/>
    <x v="7"/>
    <x v="8"/>
    <s v="NO1_A1"/>
    <x v="7"/>
    <x v="6"/>
    <s v="GHYRR_WATER"/>
    <x v="1"/>
    <x v="9"/>
    <n v="1437.6082403058499"/>
    <n v="87454.501285272505"/>
    <n v="314836.20462698099"/>
  </r>
  <r>
    <x v="0"/>
    <x v="0"/>
    <x v="0"/>
    <x v="7"/>
    <x v="8"/>
    <s v="NO1_A1"/>
    <x v="7"/>
    <x v="6"/>
    <s v="GHYRR_WATER"/>
    <x v="1"/>
    <x v="10"/>
    <n v="1437.6082403058499"/>
    <n v="87454.501285272505"/>
    <n v="314836.20462698099"/>
  </r>
  <r>
    <x v="0"/>
    <x v="0"/>
    <x v="0"/>
    <x v="7"/>
    <x v="8"/>
    <s v="NO1_A1"/>
    <x v="7"/>
    <x v="6"/>
    <s v="GHYRR_WATER"/>
    <x v="1"/>
    <x v="11"/>
    <n v="1437.6082403058499"/>
    <n v="87454.501285272505"/>
    <n v="314836.20462698099"/>
  </r>
  <r>
    <x v="0"/>
    <x v="0"/>
    <x v="0"/>
    <x v="7"/>
    <x v="8"/>
    <s v="NO1_A1"/>
    <x v="7"/>
    <x v="6"/>
    <s v="GHYRR_WATER"/>
    <x v="2"/>
    <x v="0"/>
    <n v="1403.27046386542"/>
    <n v="85365.619885146501"/>
    <n v="307316.23158652801"/>
  </r>
  <r>
    <x v="0"/>
    <x v="0"/>
    <x v="0"/>
    <x v="7"/>
    <x v="8"/>
    <s v="NO1_A1"/>
    <x v="7"/>
    <x v="6"/>
    <s v="GHYRR_WATER"/>
    <x v="2"/>
    <x v="1"/>
    <n v="1403.27046386542"/>
    <n v="85365.619885146501"/>
    <n v="307316.23158652801"/>
  </r>
  <r>
    <x v="0"/>
    <x v="0"/>
    <x v="0"/>
    <x v="7"/>
    <x v="8"/>
    <s v="NO1_A1"/>
    <x v="7"/>
    <x v="6"/>
    <s v="GHYRR_WATER"/>
    <x v="2"/>
    <x v="2"/>
    <n v="1403.27046386542"/>
    <n v="85365.619885146501"/>
    <n v="307316.23158652801"/>
  </r>
  <r>
    <x v="0"/>
    <x v="0"/>
    <x v="0"/>
    <x v="7"/>
    <x v="8"/>
    <s v="NO1_A1"/>
    <x v="7"/>
    <x v="6"/>
    <s v="GHYRR_WATER"/>
    <x v="2"/>
    <x v="3"/>
    <n v="1403.27046386542"/>
    <n v="85365.619885146501"/>
    <n v="307316.23158652801"/>
  </r>
  <r>
    <x v="0"/>
    <x v="0"/>
    <x v="0"/>
    <x v="7"/>
    <x v="8"/>
    <s v="NO1_A1"/>
    <x v="7"/>
    <x v="6"/>
    <s v="GHYRR_WATER"/>
    <x v="2"/>
    <x v="4"/>
    <n v="1403.27046386542"/>
    <n v="85365.619885146501"/>
    <n v="307316.23158652801"/>
  </r>
  <r>
    <x v="0"/>
    <x v="0"/>
    <x v="0"/>
    <x v="7"/>
    <x v="8"/>
    <s v="NO1_A1"/>
    <x v="7"/>
    <x v="6"/>
    <s v="GHYRR_WATER"/>
    <x v="2"/>
    <x v="5"/>
    <n v="1403.27046386542"/>
    <n v="85365.619885146501"/>
    <n v="307316.23158652801"/>
  </r>
  <r>
    <x v="0"/>
    <x v="0"/>
    <x v="0"/>
    <x v="7"/>
    <x v="8"/>
    <s v="NO1_A1"/>
    <x v="7"/>
    <x v="6"/>
    <s v="GHYRR_WATER"/>
    <x v="2"/>
    <x v="6"/>
    <n v="1403.27046386542"/>
    <n v="85365.619885146501"/>
    <n v="307316.23158652801"/>
  </r>
  <r>
    <x v="0"/>
    <x v="0"/>
    <x v="0"/>
    <x v="7"/>
    <x v="8"/>
    <s v="NO1_A1"/>
    <x v="7"/>
    <x v="6"/>
    <s v="GHYRR_WATER"/>
    <x v="2"/>
    <x v="7"/>
    <n v="1403.27046386542"/>
    <n v="85365.619885146501"/>
    <n v="307316.23158652801"/>
  </r>
  <r>
    <x v="0"/>
    <x v="0"/>
    <x v="0"/>
    <x v="7"/>
    <x v="8"/>
    <s v="NO1_A1"/>
    <x v="7"/>
    <x v="6"/>
    <s v="GHYRR_WATER"/>
    <x v="2"/>
    <x v="8"/>
    <n v="1403.27046386542"/>
    <n v="85365.619885146501"/>
    <n v="307316.23158652801"/>
  </r>
  <r>
    <x v="0"/>
    <x v="0"/>
    <x v="0"/>
    <x v="7"/>
    <x v="8"/>
    <s v="NO1_A1"/>
    <x v="7"/>
    <x v="6"/>
    <s v="GHYRR_WATER"/>
    <x v="2"/>
    <x v="9"/>
    <n v="1403.27046386542"/>
    <n v="85365.619885146501"/>
    <n v="307316.23158652801"/>
  </r>
  <r>
    <x v="0"/>
    <x v="0"/>
    <x v="0"/>
    <x v="7"/>
    <x v="8"/>
    <s v="NO1_A1"/>
    <x v="7"/>
    <x v="6"/>
    <s v="GHYRR_WATER"/>
    <x v="2"/>
    <x v="10"/>
    <n v="1403.27046386542"/>
    <n v="85365.619885146501"/>
    <n v="307316.23158652801"/>
  </r>
  <r>
    <x v="0"/>
    <x v="0"/>
    <x v="0"/>
    <x v="7"/>
    <x v="8"/>
    <s v="NO1_A1"/>
    <x v="7"/>
    <x v="6"/>
    <s v="GHYRR_WATER"/>
    <x v="2"/>
    <x v="11"/>
    <n v="1403.27046386542"/>
    <n v="85365.619885146501"/>
    <n v="307316.23158652801"/>
  </r>
  <r>
    <x v="0"/>
    <x v="0"/>
    <x v="0"/>
    <x v="7"/>
    <x v="8"/>
    <s v="NO1_A1"/>
    <x v="7"/>
    <x v="6"/>
    <s v="GHYRR_WATER"/>
    <x v="3"/>
    <x v="0"/>
    <n v="1039.2900335969"/>
    <n v="63223.477043811603"/>
    <n v="227604.51735772201"/>
  </r>
  <r>
    <x v="0"/>
    <x v="0"/>
    <x v="0"/>
    <x v="7"/>
    <x v="8"/>
    <s v="NO1_A1"/>
    <x v="7"/>
    <x v="6"/>
    <s v="GHYRR_WATER"/>
    <x v="3"/>
    <x v="1"/>
    <n v="1039.2900335969"/>
    <n v="63223.477043811603"/>
    <n v="227604.51735772201"/>
  </r>
  <r>
    <x v="0"/>
    <x v="0"/>
    <x v="0"/>
    <x v="7"/>
    <x v="8"/>
    <s v="NO1_A1"/>
    <x v="7"/>
    <x v="6"/>
    <s v="GHYRR_WATER"/>
    <x v="3"/>
    <x v="2"/>
    <n v="1039.2900335969"/>
    <n v="63223.477043811603"/>
    <n v="227604.51735772201"/>
  </r>
  <r>
    <x v="0"/>
    <x v="0"/>
    <x v="0"/>
    <x v="7"/>
    <x v="8"/>
    <s v="NO1_A1"/>
    <x v="7"/>
    <x v="6"/>
    <s v="GHYRR_WATER"/>
    <x v="3"/>
    <x v="3"/>
    <n v="1039.2900335969"/>
    <n v="63223.477043811603"/>
    <n v="227604.51735772201"/>
  </r>
  <r>
    <x v="0"/>
    <x v="0"/>
    <x v="0"/>
    <x v="7"/>
    <x v="8"/>
    <s v="NO1_A1"/>
    <x v="7"/>
    <x v="6"/>
    <s v="GHYRR_WATER"/>
    <x v="3"/>
    <x v="4"/>
    <n v="1039.2900335969"/>
    <n v="63223.477043811603"/>
    <n v="227604.51735772201"/>
  </r>
  <r>
    <x v="0"/>
    <x v="0"/>
    <x v="0"/>
    <x v="7"/>
    <x v="8"/>
    <s v="NO1_A1"/>
    <x v="7"/>
    <x v="6"/>
    <s v="GHYRR_WATER"/>
    <x v="3"/>
    <x v="5"/>
    <n v="1039.2900335969"/>
    <n v="63223.477043811603"/>
    <n v="227604.51735772201"/>
  </r>
  <r>
    <x v="0"/>
    <x v="0"/>
    <x v="0"/>
    <x v="7"/>
    <x v="8"/>
    <s v="NO1_A1"/>
    <x v="7"/>
    <x v="6"/>
    <s v="GHYRR_WATER"/>
    <x v="3"/>
    <x v="6"/>
    <n v="1039.2900335969"/>
    <n v="63223.477043811603"/>
    <n v="227604.51735772201"/>
  </r>
  <r>
    <x v="0"/>
    <x v="0"/>
    <x v="0"/>
    <x v="7"/>
    <x v="8"/>
    <s v="NO1_A1"/>
    <x v="7"/>
    <x v="6"/>
    <s v="GHYRR_WATER"/>
    <x v="3"/>
    <x v="7"/>
    <n v="1039.2900335969"/>
    <n v="63223.477043811603"/>
    <n v="227604.51735772201"/>
  </r>
  <r>
    <x v="0"/>
    <x v="0"/>
    <x v="0"/>
    <x v="7"/>
    <x v="8"/>
    <s v="NO1_A1"/>
    <x v="7"/>
    <x v="6"/>
    <s v="GHYRR_WATER"/>
    <x v="3"/>
    <x v="8"/>
    <n v="1039.2900335969"/>
    <n v="63223.477043811603"/>
    <n v="227604.51735772201"/>
  </r>
  <r>
    <x v="0"/>
    <x v="0"/>
    <x v="0"/>
    <x v="7"/>
    <x v="8"/>
    <s v="NO1_A1"/>
    <x v="7"/>
    <x v="6"/>
    <s v="GHYRR_WATER"/>
    <x v="3"/>
    <x v="9"/>
    <n v="1039.2900335969"/>
    <n v="63223.477043811603"/>
    <n v="227604.51735772201"/>
  </r>
  <r>
    <x v="0"/>
    <x v="0"/>
    <x v="0"/>
    <x v="7"/>
    <x v="8"/>
    <s v="NO1_A1"/>
    <x v="7"/>
    <x v="6"/>
    <s v="GHYRR_WATER"/>
    <x v="3"/>
    <x v="10"/>
    <n v="1039.2900335969"/>
    <n v="63223.477043811603"/>
    <n v="227604.51735772201"/>
  </r>
  <r>
    <x v="0"/>
    <x v="0"/>
    <x v="0"/>
    <x v="7"/>
    <x v="8"/>
    <s v="NO1_A1"/>
    <x v="7"/>
    <x v="6"/>
    <s v="GHYRR_WATER"/>
    <x v="3"/>
    <x v="11"/>
    <n v="1039.2900335969"/>
    <n v="63223.477043811603"/>
    <n v="227604.51735772201"/>
  </r>
  <r>
    <x v="0"/>
    <x v="0"/>
    <x v="0"/>
    <x v="7"/>
    <x v="8"/>
    <s v="NO1_A1"/>
    <x v="7"/>
    <x v="6"/>
    <s v="GHYRR_WATER"/>
    <x v="4"/>
    <x v="0"/>
    <n v="789.76885812980504"/>
    <n v="48044.2722028965"/>
    <n v="172959.37993042701"/>
  </r>
  <r>
    <x v="0"/>
    <x v="0"/>
    <x v="0"/>
    <x v="7"/>
    <x v="8"/>
    <s v="NO1_A1"/>
    <x v="7"/>
    <x v="6"/>
    <s v="GHYRR_WATER"/>
    <x v="4"/>
    <x v="1"/>
    <n v="789.76885812980504"/>
    <n v="48044.2722028965"/>
    <n v="172959.37993042701"/>
  </r>
  <r>
    <x v="0"/>
    <x v="0"/>
    <x v="0"/>
    <x v="7"/>
    <x v="8"/>
    <s v="NO1_A1"/>
    <x v="7"/>
    <x v="6"/>
    <s v="GHYRR_WATER"/>
    <x v="4"/>
    <x v="2"/>
    <n v="789.76885812980504"/>
    <n v="48044.2722028965"/>
    <n v="172959.37993042701"/>
  </r>
  <r>
    <x v="0"/>
    <x v="0"/>
    <x v="0"/>
    <x v="7"/>
    <x v="8"/>
    <s v="NO1_A1"/>
    <x v="7"/>
    <x v="6"/>
    <s v="GHYRR_WATER"/>
    <x v="4"/>
    <x v="3"/>
    <n v="789.76885812980504"/>
    <n v="48044.2722028965"/>
    <n v="172959.37993042701"/>
  </r>
  <r>
    <x v="0"/>
    <x v="0"/>
    <x v="0"/>
    <x v="7"/>
    <x v="8"/>
    <s v="NO1_A1"/>
    <x v="7"/>
    <x v="6"/>
    <s v="GHYRR_WATER"/>
    <x v="4"/>
    <x v="4"/>
    <n v="789.76885812980504"/>
    <n v="48044.2722028965"/>
    <n v="172959.37993042701"/>
  </r>
  <r>
    <x v="0"/>
    <x v="0"/>
    <x v="0"/>
    <x v="7"/>
    <x v="8"/>
    <s v="NO1_A1"/>
    <x v="7"/>
    <x v="6"/>
    <s v="GHYRR_WATER"/>
    <x v="4"/>
    <x v="5"/>
    <n v="789.76885812980504"/>
    <n v="48044.2722028965"/>
    <n v="172959.37993042701"/>
  </r>
  <r>
    <x v="0"/>
    <x v="0"/>
    <x v="0"/>
    <x v="7"/>
    <x v="8"/>
    <s v="NO1_A1"/>
    <x v="7"/>
    <x v="6"/>
    <s v="GHYRR_WATER"/>
    <x v="4"/>
    <x v="6"/>
    <n v="789.76885812980504"/>
    <n v="48044.2722028965"/>
    <n v="172959.37993042701"/>
  </r>
  <r>
    <x v="0"/>
    <x v="0"/>
    <x v="0"/>
    <x v="7"/>
    <x v="8"/>
    <s v="NO1_A1"/>
    <x v="7"/>
    <x v="6"/>
    <s v="GHYRR_WATER"/>
    <x v="4"/>
    <x v="7"/>
    <n v="789.76885812980504"/>
    <n v="48044.2722028965"/>
    <n v="172959.37993042701"/>
  </r>
  <r>
    <x v="0"/>
    <x v="0"/>
    <x v="0"/>
    <x v="7"/>
    <x v="8"/>
    <s v="NO1_A1"/>
    <x v="7"/>
    <x v="6"/>
    <s v="GHYRR_WATER"/>
    <x v="4"/>
    <x v="8"/>
    <n v="789.76885812980504"/>
    <n v="48044.2722028965"/>
    <n v="172959.37993042701"/>
  </r>
  <r>
    <x v="0"/>
    <x v="0"/>
    <x v="0"/>
    <x v="7"/>
    <x v="8"/>
    <s v="NO1_A1"/>
    <x v="7"/>
    <x v="6"/>
    <s v="GHYRR_WATER"/>
    <x v="4"/>
    <x v="9"/>
    <n v="789.76885812980504"/>
    <n v="48044.2722028965"/>
    <n v="172959.37993042701"/>
  </r>
  <r>
    <x v="0"/>
    <x v="0"/>
    <x v="0"/>
    <x v="7"/>
    <x v="8"/>
    <s v="NO1_A1"/>
    <x v="7"/>
    <x v="6"/>
    <s v="GHYRR_WATER"/>
    <x v="4"/>
    <x v="10"/>
    <n v="789.76885812980504"/>
    <n v="48044.2722028965"/>
    <n v="172959.37993042701"/>
  </r>
  <r>
    <x v="0"/>
    <x v="0"/>
    <x v="0"/>
    <x v="7"/>
    <x v="8"/>
    <s v="NO1_A1"/>
    <x v="7"/>
    <x v="6"/>
    <s v="GHYRR_WATER"/>
    <x v="4"/>
    <x v="11"/>
    <n v="789.76885812980504"/>
    <n v="48044.2722028965"/>
    <n v="172959.37993042701"/>
  </r>
  <r>
    <x v="0"/>
    <x v="0"/>
    <x v="0"/>
    <x v="7"/>
    <x v="8"/>
    <s v="NO1_A1"/>
    <x v="7"/>
    <x v="6"/>
    <s v="GHYRR_WATER"/>
    <x v="5"/>
    <x v="0"/>
    <n v="794.34722832186196"/>
    <n v="48322.789722913301"/>
    <n v="173962.043002488"/>
  </r>
  <r>
    <x v="0"/>
    <x v="0"/>
    <x v="0"/>
    <x v="7"/>
    <x v="8"/>
    <s v="NO1_A1"/>
    <x v="7"/>
    <x v="6"/>
    <s v="GHYRR_WATER"/>
    <x v="5"/>
    <x v="1"/>
    <n v="794.34722832186196"/>
    <n v="48322.789722913301"/>
    <n v="173962.043002488"/>
  </r>
  <r>
    <x v="0"/>
    <x v="0"/>
    <x v="0"/>
    <x v="7"/>
    <x v="8"/>
    <s v="NO1_A1"/>
    <x v="7"/>
    <x v="6"/>
    <s v="GHYRR_WATER"/>
    <x v="5"/>
    <x v="2"/>
    <n v="794.34722832186196"/>
    <n v="48322.789722913301"/>
    <n v="173962.043002488"/>
  </r>
  <r>
    <x v="0"/>
    <x v="0"/>
    <x v="0"/>
    <x v="7"/>
    <x v="8"/>
    <s v="NO1_A1"/>
    <x v="7"/>
    <x v="6"/>
    <s v="GHYRR_WATER"/>
    <x v="5"/>
    <x v="3"/>
    <n v="794.34722832186196"/>
    <n v="48322.789722913301"/>
    <n v="173962.043002488"/>
  </r>
  <r>
    <x v="0"/>
    <x v="0"/>
    <x v="0"/>
    <x v="7"/>
    <x v="8"/>
    <s v="NO1_A1"/>
    <x v="7"/>
    <x v="6"/>
    <s v="GHYRR_WATER"/>
    <x v="5"/>
    <x v="4"/>
    <n v="794.34722832186196"/>
    <n v="48322.789722913301"/>
    <n v="173962.043002488"/>
  </r>
  <r>
    <x v="0"/>
    <x v="0"/>
    <x v="0"/>
    <x v="7"/>
    <x v="8"/>
    <s v="NO1_A1"/>
    <x v="7"/>
    <x v="6"/>
    <s v="GHYRR_WATER"/>
    <x v="5"/>
    <x v="5"/>
    <n v="794.34722832186196"/>
    <n v="48322.789722913301"/>
    <n v="173962.043002488"/>
  </r>
  <r>
    <x v="0"/>
    <x v="0"/>
    <x v="0"/>
    <x v="7"/>
    <x v="8"/>
    <s v="NO1_A1"/>
    <x v="7"/>
    <x v="6"/>
    <s v="GHYRR_WATER"/>
    <x v="5"/>
    <x v="6"/>
    <n v="794.34722832186196"/>
    <n v="48322.789722913301"/>
    <n v="173962.043002488"/>
  </r>
  <r>
    <x v="0"/>
    <x v="0"/>
    <x v="0"/>
    <x v="7"/>
    <x v="8"/>
    <s v="NO1_A1"/>
    <x v="7"/>
    <x v="6"/>
    <s v="GHYRR_WATER"/>
    <x v="5"/>
    <x v="7"/>
    <n v="794.34722832186196"/>
    <n v="48322.789722913301"/>
    <n v="173962.043002488"/>
  </r>
  <r>
    <x v="0"/>
    <x v="0"/>
    <x v="0"/>
    <x v="7"/>
    <x v="8"/>
    <s v="NO1_A1"/>
    <x v="7"/>
    <x v="6"/>
    <s v="GHYRR_WATER"/>
    <x v="5"/>
    <x v="8"/>
    <n v="794.34722832186196"/>
    <n v="48322.789722913301"/>
    <n v="173962.043002488"/>
  </r>
  <r>
    <x v="0"/>
    <x v="0"/>
    <x v="0"/>
    <x v="7"/>
    <x v="8"/>
    <s v="NO1_A1"/>
    <x v="7"/>
    <x v="6"/>
    <s v="GHYRR_WATER"/>
    <x v="5"/>
    <x v="9"/>
    <n v="794.34722832186196"/>
    <n v="48322.789722913301"/>
    <n v="173962.043002488"/>
  </r>
  <r>
    <x v="0"/>
    <x v="0"/>
    <x v="0"/>
    <x v="7"/>
    <x v="8"/>
    <s v="NO1_A1"/>
    <x v="7"/>
    <x v="6"/>
    <s v="GHYRR_WATER"/>
    <x v="5"/>
    <x v="10"/>
    <n v="794.34722832186196"/>
    <n v="48322.789722913301"/>
    <n v="173962.043002488"/>
  </r>
  <r>
    <x v="0"/>
    <x v="0"/>
    <x v="0"/>
    <x v="7"/>
    <x v="8"/>
    <s v="NO1_A1"/>
    <x v="7"/>
    <x v="6"/>
    <s v="GHYRR_WATER"/>
    <x v="5"/>
    <x v="11"/>
    <n v="794.34722832186196"/>
    <n v="48322.789722913301"/>
    <n v="173962.043002488"/>
  </r>
  <r>
    <x v="0"/>
    <x v="0"/>
    <x v="0"/>
    <x v="7"/>
    <x v="8"/>
    <s v="NO1_A1"/>
    <x v="7"/>
    <x v="6"/>
    <s v="GHYRR_WATER"/>
    <x v="6"/>
    <x v="0"/>
    <n v="879.04707687491396"/>
    <n v="53475.363843223902"/>
    <n v="192511.30983560599"/>
  </r>
  <r>
    <x v="0"/>
    <x v="0"/>
    <x v="0"/>
    <x v="7"/>
    <x v="8"/>
    <s v="NO1_A1"/>
    <x v="7"/>
    <x v="6"/>
    <s v="GHYRR_WATER"/>
    <x v="6"/>
    <x v="1"/>
    <n v="879.04707687491396"/>
    <n v="53475.363843223902"/>
    <n v="192511.30983560599"/>
  </r>
  <r>
    <x v="0"/>
    <x v="0"/>
    <x v="0"/>
    <x v="7"/>
    <x v="8"/>
    <s v="NO1_A1"/>
    <x v="7"/>
    <x v="6"/>
    <s v="GHYRR_WATER"/>
    <x v="6"/>
    <x v="2"/>
    <n v="879.04707687491396"/>
    <n v="53475.363843223902"/>
    <n v="192511.30983560599"/>
  </r>
  <r>
    <x v="0"/>
    <x v="0"/>
    <x v="0"/>
    <x v="7"/>
    <x v="8"/>
    <s v="NO1_A1"/>
    <x v="7"/>
    <x v="6"/>
    <s v="GHYRR_WATER"/>
    <x v="6"/>
    <x v="3"/>
    <n v="879.04707687491396"/>
    <n v="53475.363843223902"/>
    <n v="192511.30983560599"/>
  </r>
  <r>
    <x v="0"/>
    <x v="0"/>
    <x v="0"/>
    <x v="7"/>
    <x v="8"/>
    <s v="NO1_A1"/>
    <x v="7"/>
    <x v="6"/>
    <s v="GHYRR_WATER"/>
    <x v="6"/>
    <x v="4"/>
    <n v="879.04707687491396"/>
    <n v="53475.363843223902"/>
    <n v="192511.30983560599"/>
  </r>
  <r>
    <x v="0"/>
    <x v="0"/>
    <x v="0"/>
    <x v="7"/>
    <x v="8"/>
    <s v="NO1_A1"/>
    <x v="7"/>
    <x v="6"/>
    <s v="GHYRR_WATER"/>
    <x v="6"/>
    <x v="5"/>
    <n v="879.04707687491396"/>
    <n v="53475.363843223902"/>
    <n v="192511.30983560599"/>
  </r>
  <r>
    <x v="0"/>
    <x v="0"/>
    <x v="0"/>
    <x v="7"/>
    <x v="8"/>
    <s v="NO1_A1"/>
    <x v="7"/>
    <x v="6"/>
    <s v="GHYRR_WATER"/>
    <x v="6"/>
    <x v="6"/>
    <n v="879.04707687491396"/>
    <n v="53475.363843223902"/>
    <n v="192511.30983560599"/>
  </r>
  <r>
    <x v="0"/>
    <x v="0"/>
    <x v="0"/>
    <x v="7"/>
    <x v="8"/>
    <s v="NO1_A1"/>
    <x v="7"/>
    <x v="6"/>
    <s v="GHYRR_WATER"/>
    <x v="6"/>
    <x v="7"/>
    <n v="879.04707687491396"/>
    <n v="53475.363843223902"/>
    <n v="192511.30983560599"/>
  </r>
  <r>
    <x v="0"/>
    <x v="0"/>
    <x v="0"/>
    <x v="7"/>
    <x v="8"/>
    <s v="NO1_A1"/>
    <x v="7"/>
    <x v="6"/>
    <s v="GHYRR_WATER"/>
    <x v="6"/>
    <x v="8"/>
    <n v="879.04707687491396"/>
    <n v="53475.363843223902"/>
    <n v="192511.30983560599"/>
  </r>
  <r>
    <x v="0"/>
    <x v="0"/>
    <x v="0"/>
    <x v="7"/>
    <x v="8"/>
    <s v="NO1_A1"/>
    <x v="7"/>
    <x v="6"/>
    <s v="GHYRR_WATER"/>
    <x v="6"/>
    <x v="9"/>
    <n v="879.04707687491396"/>
    <n v="53475.363843223902"/>
    <n v="192511.30983560599"/>
  </r>
  <r>
    <x v="0"/>
    <x v="0"/>
    <x v="0"/>
    <x v="7"/>
    <x v="8"/>
    <s v="NO1_A1"/>
    <x v="7"/>
    <x v="6"/>
    <s v="GHYRR_WATER"/>
    <x v="6"/>
    <x v="10"/>
    <n v="879.04707687491396"/>
    <n v="53475.363843223902"/>
    <n v="192511.30983560599"/>
  </r>
  <r>
    <x v="0"/>
    <x v="0"/>
    <x v="0"/>
    <x v="7"/>
    <x v="8"/>
    <s v="NO1_A1"/>
    <x v="7"/>
    <x v="6"/>
    <s v="GHYRR_WATER"/>
    <x v="6"/>
    <x v="11"/>
    <n v="879.04707687491396"/>
    <n v="53475.363843223902"/>
    <n v="192511.30983560599"/>
  </r>
  <r>
    <x v="0"/>
    <x v="0"/>
    <x v="0"/>
    <x v="7"/>
    <x v="8"/>
    <s v="NO1_A1"/>
    <x v="7"/>
    <x v="6"/>
    <s v="GHYRR_WATER"/>
    <x v="7"/>
    <x v="0"/>
    <n v="904.22811293122697"/>
    <n v="55007.210203316303"/>
    <n v="198025.95673193899"/>
  </r>
  <r>
    <x v="0"/>
    <x v="0"/>
    <x v="0"/>
    <x v="7"/>
    <x v="8"/>
    <s v="NO1_A1"/>
    <x v="7"/>
    <x v="6"/>
    <s v="GHYRR_WATER"/>
    <x v="7"/>
    <x v="1"/>
    <n v="904.22811293122697"/>
    <n v="55007.210203316303"/>
    <n v="198025.95673193899"/>
  </r>
  <r>
    <x v="0"/>
    <x v="0"/>
    <x v="0"/>
    <x v="7"/>
    <x v="8"/>
    <s v="NO1_A1"/>
    <x v="7"/>
    <x v="6"/>
    <s v="GHYRR_WATER"/>
    <x v="7"/>
    <x v="2"/>
    <n v="904.22811293122697"/>
    <n v="55007.210203316303"/>
    <n v="198025.95673193899"/>
  </r>
  <r>
    <x v="0"/>
    <x v="0"/>
    <x v="0"/>
    <x v="7"/>
    <x v="8"/>
    <s v="NO1_A1"/>
    <x v="7"/>
    <x v="6"/>
    <s v="GHYRR_WATER"/>
    <x v="7"/>
    <x v="3"/>
    <n v="904.22811293122697"/>
    <n v="55007.210203316303"/>
    <n v="198025.95673193899"/>
  </r>
  <r>
    <x v="0"/>
    <x v="0"/>
    <x v="0"/>
    <x v="7"/>
    <x v="8"/>
    <s v="NO1_A1"/>
    <x v="7"/>
    <x v="6"/>
    <s v="GHYRR_WATER"/>
    <x v="7"/>
    <x v="4"/>
    <n v="904.22811293122697"/>
    <n v="55007.210203316303"/>
    <n v="198025.95673193899"/>
  </r>
  <r>
    <x v="0"/>
    <x v="0"/>
    <x v="0"/>
    <x v="7"/>
    <x v="8"/>
    <s v="NO1_A1"/>
    <x v="7"/>
    <x v="6"/>
    <s v="GHYRR_WATER"/>
    <x v="7"/>
    <x v="5"/>
    <n v="904.22811293122697"/>
    <n v="55007.210203316303"/>
    <n v="198025.95673193899"/>
  </r>
  <r>
    <x v="0"/>
    <x v="0"/>
    <x v="0"/>
    <x v="7"/>
    <x v="8"/>
    <s v="NO1_A1"/>
    <x v="7"/>
    <x v="6"/>
    <s v="GHYRR_WATER"/>
    <x v="7"/>
    <x v="6"/>
    <n v="904.22811293122697"/>
    <n v="55007.210203316303"/>
    <n v="198025.95673193899"/>
  </r>
  <r>
    <x v="0"/>
    <x v="0"/>
    <x v="0"/>
    <x v="7"/>
    <x v="8"/>
    <s v="NO1_A1"/>
    <x v="7"/>
    <x v="6"/>
    <s v="GHYRR_WATER"/>
    <x v="7"/>
    <x v="7"/>
    <n v="904.22811293122697"/>
    <n v="55007.210203316303"/>
    <n v="198025.95673193899"/>
  </r>
  <r>
    <x v="0"/>
    <x v="0"/>
    <x v="0"/>
    <x v="7"/>
    <x v="8"/>
    <s v="NO1_A1"/>
    <x v="7"/>
    <x v="6"/>
    <s v="GHYRR_WATER"/>
    <x v="7"/>
    <x v="8"/>
    <n v="904.22811293122697"/>
    <n v="55007.210203316303"/>
    <n v="198025.95673193899"/>
  </r>
  <r>
    <x v="0"/>
    <x v="0"/>
    <x v="0"/>
    <x v="7"/>
    <x v="8"/>
    <s v="NO1_A1"/>
    <x v="7"/>
    <x v="6"/>
    <s v="GHYRR_WATER"/>
    <x v="7"/>
    <x v="9"/>
    <n v="904.22811293122697"/>
    <n v="55007.210203316303"/>
    <n v="198025.95673193899"/>
  </r>
  <r>
    <x v="0"/>
    <x v="0"/>
    <x v="0"/>
    <x v="7"/>
    <x v="8"/>
    <s v="NO1_A1"/>
    <x v="7"/>
    <x v="6"/>
    <s v="GHYRR_WATER"/>
    <x v="7"/>
    <x v="10"/>
    <n v="904.22811293122697"/>
    <n v="55007.210203316303"/>
    <n v="198025.95673193899"/>
  </r>
  <r>
    <x v="0"/>
    <x v="0"/>
    <x v="0"/>
    <x v="7"/>
    <x v="8"/>
    <s v="NO1_A1"/>
    <x v="7"/>
    <x v="6"/>
    <s v="GHYRR_WATER"/>
    <x v="7"/>
    <x v="11"/>
    <n v="904.22811293122697"/>
    <n v="55007.210203316303"/>
    <n v="198025.95673193899"/>
  </r>
  <r>
    <x v="0"/>
    <x v="0"/>
    <x v="0"/>
    <x v="7"/>
    <x v="8"/>
    <s v="NO1_A1"/>
    <x v="7"/>
    <x v="6"/>
    <s v="GHYRR_WATER"/>
    <x v="8"/>
    <x v="0"/>
    <n v="1020.97655282868"/>
    <n v="62109.406963744499"/>
    <n v="223593.86506948"/>
  </r>
  <r>
    <x v="0"/>
    <x v="0"/>
    <x v="0"/>
    <x v="7"/>
    <x v="8"/>
    <s v="NO1_A1"/>
    <x v="7"/>
    <x v="6"/>
    <s v="GHYRR_WATER"/>
    <x v="8"/>
    <x v="1"/>
    <n v="1020.97655282868"/>
    <n v="62109.406963744499"/>
    <n v="223593.86506948"/>
  </r>
  <r>
    <x v="0"/>
    <x v="0"/>
    <x v="0"/>
    <x v="7"/>
    <x v="8"/>
    <s v="NO1_A1"/>
    <x v="7"/>
    <x v="6"/>
    <s v="GHYRR_WATER"/>
    <x v="8"/>
    <x v="2"/>
    <n v="1020.97655282868"/>
    <n v="62109.406963744499"/>
    <n v="223593.86506948"/>
  </r>
  <r>
    <x v="0"/>
    <x v="0"/>
    <x v="0"/>
    <x v="7"/>
    <x v="8"/>
    <s v="NO1_A1"/>
    <x v="7"/>
    <x v="6"/>
    <s v="GHYRR_WATER"/>
    <x v="8"/>
    <x v="3"/>
    <n v="1020.97655282868"/>
    <n v="62109.406963744499"/>
    <n v="223593.86506948"/>
  </r>
  <r>
    <x v="0"/>
    <x v="0"/>
    <x v="0"/>
    <x v="7"/>
    <x v="8"/>
    <s v="NO1_A1"/>
    <x v="7"/>
    <x v="6"/>
    <s v="GHYRR_WATER"/>
    <x v="8"/>
    <x v="4"/>
    <n v="1020.97655282868"/>
    <n v="62109.406963744499"/>
    <n v="223593.86506948"/>
  </r>
  <r>
    <x v="0"/>
    <x v="0"/>
    <x v="0"/>
    <x v="7"/>
    <x v="8"/>
    <s v="NO1_A1"/>
    <x v="7"/>
    <x v="6"/>
    <s v="GHYRR_WATER"/>
    <x v="8"/>
    <x v="5"/>
    <n v="1020.97655282868"/>
    <n v="62109.406963744499"/>
    <n v="223593.86506948"/>
  </r>
  <r>
    <x v="0"/>
    <x v="0"/>
    <x v="0"/>
    <x v="7"/>
    <x v="8"/>
    <s v="NO1_A1"/>
    <x v="7"/>
    <x v="6"/>
    <s v="GHYRR_WATER"/>
    <x v="8"/>
    <x v="6"/>
    <n v="1020.97655282868"/>
    <n v="62109.406963744499"/>
    <n v="223593.86506948"/>
  </r>
  <r>
    <x v="0"/>
    <x v="0"/>
    <x v="0"/>
    <x v="7"/>
    <x v="8"/>
    <s v="NO1_A1"/>
    <x v="7"/>
    <x v="6"/>
    <s v="GHYRR_WATER"/>
    <x v="8"/>
    <x v="7"/>
    <n v="1020.97655282868"/>
    <n v="62109.406963744499"/>
    <n v="223593.86506948"/>
  </r>
  <r>
    <x v="0"/>
    <x v="0"/>
    <x v="0"/>
    <x v="7"/>
    <x v="8"/>
    <s v="NO1_A1"/>
    <x v="7"/>
    <x v="6"/>
    <s v="GHYRR_WATER"/>
    <x v="8"/>
    <x v="8"/>
    <n v="1020.97655282868"/>
    <n v="62109.406963744499"/>
    <n v="223593.86506948"/>
  </r>
  <r>
    <x v="0"/>
    <x v="0"/>
    <x v="0"/>
    <x v="7"/>
    <x v="8"/>
    <s v="NO1_A1"/>
    <x v="7"/>
    <x v="6"/>
    <s v="GHYRR_WATER"/>
    <x v="8"/>
    <x v="9"/>
    <n v="1020.97655282868"/>
    <n v="62109.406963744499"/>
    <n v="223593.86506948"/>
  </r>
  <r>
    <x v="0"/>
    <x v="0"/>
    <x v="0"/>
    <x v="7"/>
    <x v="8"/>
    <s v="NO1_A1"/>
    <x v="7"/>
    <x v="6"/>
    <s v="GHYRR_WATER"/>
    <x v="8"/>
    <x v="10"/>
    <n v="1020.97655282868"/>
    <n v="62109.406963744499"/>
    <n v="223593.86506948"/>
  </r>
  <r>
    <x v="0"/>
    <x v="0"/>
    <x v="0"/>
    <x v="7"/>
    <x v="8"/>
    <s v="NO1_A1"/>
    <x v="7"/>
    <x v="6"/>
    <s v="GHYRR_WATER"/>
    <x v="8"/>
    <x v="11"/>
    <n v="1020.97655282868"/>
    <n v="62109.406963744499"/>
    <n v="223593.86506948"/>
  </r>
  <r>
    <x v="0"/>
    <x v="0"/>
    <x v="0"/>
    <x v="7"/>
    <x v="8"/>
    <s v="NO1_A1"/>
    <x v="7"/>
    <x v="6"/>
    <s v="GHYRR_WATER"/>
    <x v="9"/>
    <x v="0"/>
    <n v="950.01181485179495"/>
    <n v="57792.385403484201"/>
    <n v="208052.587452543"/>
  </r>
  <r>
    <x v="0"/>
    <x v="0"/>
    <x v="0"/>
    <x v="7"/>
    <x v="8"/>
    <s v="NO1_A1"/>
    <x v="7"/>
    <x v="6"/>
    <s v="GHYRR_WATER"/>
    <x v="9"/>
    <x v="1"/>
    <n v="950.01181485179495"/>
    <n v="57792.385403484201"/>
    <n v="208052.587452543"/>
  </r>
  <r>
    <x v="0"/>
    <x v="0"/>
    <x v="0"/>
    <x v="7"/>
    <x v="8"/>
    <s v="NO1_A1"/>
    <x v="7"/>
    <x v="6"/>
    <s v="GHYRR_WATER"/>
    <x v="9"/>
    <x v="2"/>
    <n v="950.01181485179495"/>
    <n v="57792.385403484201"/>
    <n v="208052.587452543"/>
  </r>
  <r>
    <x v="0"/>
    <x v="0"/>
    <x v="0"/>
    <x v="7"/>
    <x v="8"/>
    <s v="NO1_A1"/>
    <x v="7"/>
    <x v="6"/>
    <s v="GHYRR_WATER"/>
    <x v="9"/>
    <x v="3"/>
    <n v="950.01181485179495"/>
    <n v="57792.385403484201"/>
    <n v="208052.587452543"/>
  </r>
  <r>
    <x v="0"/>
    <x v="0"/>
    <x v="0"/>
    <x v="7"/>
    <x v="8"/>
    <s v="NO1_A1"/>
    <x v="7"/>
    <x v="6"/>
    <s v="GHYRR_WATER"/>
    <x v="9"/>
    <x v="4"/>
    <n v="950.01181485179495"/>
    <n v="57792.385403484201"/>
    <n v="208052.587452543"/>
  </r>
  <r>
    <x v="0"/>
    <x v="0"/>
    <x v="0"/>
    <x v="7"/>
    <x v="8"/>
    <s v="NO1_A1"/>
    <x v="7"/>
    <x v="6"/>
    <s v="GHYRR_WATER"/>
    <x v="9"/>
    <x v="5"/>
    <n v="950.01181485179495"/>
    <n v="57792.385403484201"/>
    <n v="208052.587452543"/>
  </r>
  <r>
    <x v="0"/>
    <x v="0"/>
    <x v="0"/>
    <x v="7"/>
    <x v="8"/>
    <s v="NO1_A1"/>
    <x v="7"/>
    <x v="6"/>
    <s v="GHYRR_WATER"/>
    <x v="9"/>
    <x v="6"/>
    <n v="950.01181485179495"/>
    <n v="57792.385403484201"/>
    <n v="208052.587452543"/>
  </r>
  <r>
    <x v="0"/>
    <x v="0"/>
    <x v="0"/>
    <x v="7"/>
    <x v="8"/>
    <s v="NO1_A1"/>
    <x v="7"/>
    <x v="6"/>
    <s v="GHYRR_WATER"/>
    <x v="9"/>
    <x v="7"/>
    <n v="950.01181485179495"/>
    <n v="57792.385403484201"/>
    <n v="208052.587452543"/>
  </r>
  <r>
    <x v="0"/>
    <x v="0"/>
    <x v="0"/>
    <x v="7"/>
    <x v="8"/>
    <s v="NO1_A1"/>
    <x v="7"/>
    <x v="6"/>
    <s v="GHYRR_WATER"/>
    <x v="9"/>
    <x v="8"/>
    <n v="950.01181485179495"/>
    <n v="57792.385403484201"/>
    <n v="208052.587452543"/>
  </r>
  <r>
    <x v="0"/>
    <x v="0"/>
    <x v="0"/>
    <x v="7"/>
    <x v="8"/>
    <s v="NO1_A1"/>
    <x v="7"/>
    <x v="6"/>
    <s v="GHYRR_WATER"/>
    <x v="9"/>
    <x v="9"/>
    <n v="950.01181485179495"/>
    <n v="57792.385403484201"/>
    <n v="208052.587452543"/>
  </r>
  <r>
    <x v="0"/>
    <x v="0"/>
    <x v="0"/>
    <x v="7"/>
    <x v="8"/>
    <s v="NO1_A1"/>
    <x v="7"/>
    <x v="6"/>
    <s v="GHYRR_WATER"/>
    <x v="9"/>
    <x v="10"/>
    <n v="950.01181485179495"/>
    <n v="57792.385403484201"/>
    <n v="208052.587452543"/>
  </r>
  <r>
    <x v="0"/>
    <x v="0"/>
    <x v="0"/>
    <x v="7"/>
    <x v="8"/>
    <s v="NO1_A1"/>
    <x v="7"/>
    <x v="6"/>
    <s v="GHYRR_WATER"/>
    <x v="9"/>
    <x v="11"/>
    <n v="950.01181485179495"/>
    <n v="57792.385403484201"/>
    <n v="208052.587452543"/>
  </r>
  <r>
    <x v="0"/>
    <x v="0"/>
    <x v="0"/>
    <x v="7"/>
    <x v="8"/>
    <s v="NO1_A1"/>
    <x v="7"/>
    <x v="6"/>
    <s v="GHYRR_WATER"/>
    <x v="10"/>
    <x v="0"/>
    <n v="1144.59254801421"/>
    <n v="69629.380004197796"/>
    <n v="250665.768015112"/>
  </r>
  <r>
    <x v="0"/>
    <x v="0"/>
    <x v="0"/>
    <x v="7"/>
    <x v="8"/>
    <s v="NO1_A1"/>
    <x v="7"/>
    <x v="6"/>
    <s v="GHYRR_WATER"/>
    <x v="10"/>
    <x v="1"/>
    <n v="1144.59254801421"/>
    <n v="69629.380004197796"/>
    <n v="250665.768015112"/>
  </r>
  <r>
    <x v="0"/>
    <x v="0"/>
    <x v="0"/>
    <x v="7"/>
    <x v="8"/>
    <s v="NO1_A1"/>
    <x v="7"/>
    <x v="6"/>
    <s v="GHYRR_WATER"/>
    <x v="10"/>
    <x v="2"/>
    <n v="1144.59254801421"/>
    <n v="69629.380004197796"/>
    <n v="250665.768015112"/>
  </r>
  <r>
    <x v="0"/>
    <x v="0"/>
    <x v="0"/>
    <x v="7"/>
    <x v="8"/>
    <s v="NO1_A1"/>
    <x v="7"/>
    <x v="6"/>
    <s v="GHYRR_WATER"/>
    <x v="10"/>
    <x v="3"/>
    <n v="1144.59254801421"/>
    <n v="69629.380004197796"/>
    <n v="250665.768015112"/>
  </r>
  <r>
    <x v="0"/>
    <x v="0"/>
    <x v="0"/>
    <x v="7"/>
    <x v="8"/>
    <s v="NO1_A1"/>
    <x v="7"/>
    <x v="6"/>
    <s v="GHYRR_WATER"/>
    <x v="10"/>
    <x v="4"/>
    <n v="1144.59254801421"/>
    <n v="69629.380004197796"/>
    <n v="250665.768015112"/>
  </r>
  <r>
    <x v="0"/>
    <x v="0"/>
    <x v="0"/>
    <x v="7"/>
    <x v="8"/>
    <s v="NO1_A1"/>
    <x v="7"/>
    <x v="6"/>
    <s v="GHYRR_WATER"/>
    <x v="10"/>
    <x v="5"/>
    <n v="1144.59254801421"/>
    <n v="69629.380004197796"/>
    <n v="250665.768015112"/>
  </r>
  <r>
    <x v="0"/>
    <x v="0"/>
    <x v="0"/>
    <x v="7"/>
    <x v="8"/>
    <s v="NO1_A1"/>
    <x v="7"/>
    <x v="6"/>
    <s v="GHYRR_WATER"/>
    <x v="10"/>
    <x v="6"/>
    <n v="1144.59254801421"/>
    <n v="69629.380004197796"/>
    <n v="250665.768015112"/>
  </r>
  <r>
    <x v="0"/>
    <x v="0"/>
    <x v="0"/>
    <x v="7"/>
    <x v="8"/>
    <s v="NO1_A1"/>
    <x v="7"/>
    <x v="6"/>
    <s v="GHYRR_WATER"/>
    <x v="10"/>
    <x v="7"/>
    <n v="1144.59254801421"/>
    <n v="69629.380004197796"/>
    <n v="250665.768015112"/>
  </r>
  <r>
    <x v="0"/>
    <x v="0"/>
    <x v="0"/>
    <x v="7"/>
    <x v="8"/>
    <s v="NO1_A1"/>
    <x v="7"/>
    <x v="6"/>
    <s v="GHYRR_WATER"/>
    <x v="10"/>
    <x v="8"/>
    <n v="1144.59254801421"/>
    <n v="69629.380004197796"/>
    <n v="250665.768015112"/>
  </r>
  <r>
    <x v="0"/>
    <x v="0"/>
    <x v="0"/>
    <x v="7"/>
    <x v="8"/>
    <s v="NO1_A1"/>
    <x v="7"/>
    <x v="6"/>
    <s v="GHYRR_WATER"/>
    <x v="10"/>
    <x v="9"/>
    <n v="1144.59254801421"/>
    <n v="69629.380004197796"/>
    <n v="250665.768015112"/>
  </r>
  <r>
    <x v="0"/>
    <x v="0"/>
    <x v="0"/>
    <x v="7"/>
    <x v="8"/>
    <s v="NO1_A1"/>
    <x v="7"/>
    <x v="6"/>
    <s v="GHYRR_WATER"/>
    <x v="10"/>
    <x v="10"/>
    <n v="1144.59254801421"/>
    <n v="69629.380004197796"/>
    <n v="250665.768015112"/>
  </r>
  <r>
    <x v="0"/>
    <x v="0"/>
    <x v="0"/>
    <x v="7"/>
    <x v="8"/>
    <s v="NO1_A1"/>
    <x v="7"/>
    <x v="6"/>
    <s v="GHYRR_WATER"/>
    <x v="10"/>
    <x v="11"/>
    <n v="1144.59254801421"/>
    <n v="69629.380004197796"/>
    <n v="250665.768015112"/>
  </r>
  <r>
    <x v="0"/>
    <x v="0"/>
    <x v="0"/>
    <x v="7"/>
    <x v="8"/>
    <s v="NO1_A1"/>
    <x v="7"/>
    <x v="6"/>
    <s v="GHYRR_WATER"/>
    <x v="11"/>
    <x v="0"/>
    <n v="1950.38570181622"/>
    <n v="118648.463527153"/>
    <n v="427134.468697751"/>
  </r>
  <r>
    <x v="0"/>
    <x v="0"/>
    <x v="0"/>
    <x v="7"/>
    <x v="8"/>
    <s v="NO1_A1"/>
    <x v="7"/>
    <x v="6"/>
    <s v="GHYRR_WATER"/>
    <x v="11"/>
    <x v="1"/>
    <n v="1950.38570181622"/>
    <n v="118648.463527153"/>
    <n v="427134.468697751"/>
  </r>
  <r>
    <x v="0"/>
    <x v="0"/>
    <x v="0"/>
    <x v="7"/>
    <x v="8"/>
    <s v="NO1_A1"/>
    <x v="7"/>
    <x v="6"/>
    <s v="GHYRR_WATER"/>
    <x v="11"/>
    <x v="2"/>
    <n v="1950.38570181622"/>
    <n v="118648.463527153"/>
    <n v="427134.468697751"/>
  </r>
  <r>
    <x v="0"/>
    <x v="0"/>
    <x v="0"/>
    <x v="7"/>
    <x v="8"/>
    <s v="NO1_A1"/>
    <x v="7"/>
    <x v="6"/>
    <s v="GHYRR_WATER"/>
    <x v="11"/>
    <x v="3"/>
    <n v="1950.38570181622"/>
    <n v="118648.463527153"/>
    <n v="427134.468697751"/>
  </r>
  <r>
    <x v="0"/>
    <x v="0"/>
    <x v="0"/>
    <x v="7"/>
    <x v="8"/>
    <s v="NO1_A1"/>
    <x v="7"/>
    <x v="6"/>
    <s v="GHYRR_WATER"/>
    <x v="11"/>
    <x v="4"/>
    <n v="1950.38570181622"/>
    <n v="118648.463527153"/>
    <n v="427134.468697751"/>
  </r>
  <r>
    <x v="0"/>
    <x v="0"/>
    <x v="0"/>
    <x v="7"/>
    <x v="8"/>
    <s v="NO1_A1"/>
    <x v="7"/>
    <x v="6"/>
    <s v="GHYRR_WATER"/>
    <x v="11"/>
    <x v="5"/>
    <n v="1950.38570181622"/>
    <n v="118648.463527153"/>
    <n v="427134.468697751"/>
  </r>
  <r>
    <x v="0"/>
    <x v="0"/>
    <x v="0"/>
    <x v="7"/>
    <x v="8"/>
    <s v="NO1_A1"/>
    <x v="7"/>
    <x v="6"/>
    <s v="GHYRR_WATER"/>
    <x v="11"/>
    <x v="6"/>
    <n v="1950.38570181622"/>
    <n v="118648.463527153"/>
    <n v="427134.468697751"/>
  </r>
  <r>
    <x v="0"/>
    <x v="0"/>
    <x v="0"/>
    <x v="7"/>
    <x v="8"/>
    <s v="NO1_A1"/>
    <x v="7"/>
    <x v="6"/>
    <s v="GHYRR_WATER"/>
    <x v="11"/>
    <x v="7"/>
    <n v="1950.38570181622"/>
    <n v="118648.463527153"/>
    <n v="427134.468697751"/>
  </r>
  <r>
    <x v="0"/>
    <x v="0"/>
    <x v="0"/>
    <x v="7"/>
    <x v="8"/>
    <s v="NO1_A1"/>
    <x v="7"/>
    <x v="6"/>
    <s v="GHYRR_WATER"/>
    <x v="11"/>
    <x v="8"/>
    <n v="1950.38570181622"/>
    <n v="118648.463527153"/>
    <n v="427134.468697751"/>
  </r>
  <r>
    <x v="0"/>
    <x v="0"/>
    <x v="0"/>
    <x v="7"/>
    <x v="8"/>
    <s v="NO1_A1"/>
    <x v="7"/>
    <x v="6"/>
    <s v="GHYRR_WATER"/>
    <x v="11"/>
    <x v="9"/>
    <n v="1950.38570181622"/>
    <n v="118648.463527153"/>
    <n v="427134.468697751"/>
  </r>
  <r>
    <x v="0"/>
    <x v="0"/>
    <x v="0"/>
    <x v="7"/>
    <x v="8"/>
    <s v="NO1_A1"/>
    <x v="7"/>
    <x v="6"/>
    <s v="GHYRR_WATER"/>
    <x v="11"/>
    <x v="10"/>
    <n v="1950.38570181622"/>
    <n v="118648.463527153"/>
    <n v="427134.468697751"/>
  </r>
  <r>
    <x v="0"/>
    <x v="0"/>
    <x v="0"/>
    <x v="7"/>
    <x v="8"/>
    <s v="NO1_A1"/>
    <x v="7"/>
    <x v="6"/>
    <s v="GHYRR_WATER"/>
    <x v="11"/>
    <x v="11"/>
    <n v="1950.38570181622"/>
    <n v="118648.463527153"/>
    <n v="427134.468697751"/>
  </r>
  <r>
    <x v="0"/>
    <x v="0"/>
    <x v="0"/>
    <x v="7"/>
    <x v="8"/>
    <s v="NO1_A1"/>
    <x v="7"/>
    <x v="7"/>
    <s v="GHYRS_WATER"/>
    <x v="4"/>
    <x v="0"/>
    <n v="5343.8669778537296"/>
    <n v="325085.24115276901"/>
    <n v="1170306.86814997"/>
  </r>
  <r>
    <x v="0"/>
    <x v="0"/>
    <x v="0"/>
    <x v="7"/>
    <x v="8"/>
    <s v="NO1_A1"/>
    <x v="7"/>
    <x v="7"/>
    <s v="GHYRS_WATER"/>
    <x v="4"/>
    <x v="1"/>
    <n v="5216.4490618154696"/>
    <n v="317333.98459377402"/>
    <n v="1142402.3445375899"/>
  </r>
  <r>
    <x v="0"/>
    <x v="0"/>
    <x v="0"/>
    <x v="7"/>
    <x v="8"/>
    <s v="NO1_A1"/>
    <x v="7"/>
    <x v="7"/>
    <s v="GHYRS_WATER"/>
    <x v="4"/>
    <x v="2"/>
    <n v="5139.8466241972301"/>
    <n v="312674.00297199801"/>
    <n v="1125626.4106991901"/>
  </r>
  <r>
    <x v="0"/>
    <x v="0"/>
    <x v="0"/>
    <x v="7"/>
    <x v="8"/>
    <s v="NO1_A1"/>
    <x v="7"/>
    <x v="7"/>
    <s v="GHYRS_WATER"/>
    <x v="4"/>
    <x v="3"/>
    <n v="5173.2179831596304"/>
    <n v="314704.09397554398"/>
    <n v="1132934.7383119599"/>
  </r>
  <r>
    <x v="0"/>
    <x v="0"/>
    <x v="0"/>
    <x v="7"/>
    <x v="8"/>
    <s v="NO1_A1"/>
    <x v="7"/>
    <x v="7"/>
    <s v="GHYRS_WATER"/>
    <x v="4"/>
    <x v="4"/>
    <n v="5247.5451008486198"/>
    <n v="319225.66030162398"/>
    <n v="1149212.3770858501"/>
  </r>
  <r>
    <x v="0"/>
    <x v="0"/>
    <x v="0"/>
    <x v="7"/>
    <x v="8"/>
    <s v="NO1_A1"/>
    <x v="7"/>
    <x v="7"/>
    <s v="GHYRS_WATER"/>
    <x v="4"/>
    <x v="5"/>
    <n v="5465.2173740806502"/>
    <n v="332467.39025657298"/>
    <n v="1196882.6049236599"/>
  </r>
  <r>
    <x v="0"/>
    <x v="0"/>
    <x v="0"/>
    <x v="7"/>
    <x v="8"/>
    <s v="NO1_A1"/>
    <x v="7"/>
    <x v="7"/>
    <s v="GHYRS_WATER"/>
    <x v="4"/>
    <x v="6"/>
    <n v="6024.1876367008999"/>
    <n v="366471.414565971"/>
    <n v="1319297.0924374999"/>
  </r>
  <r>
    <x v="0"/>
    <x v="0"/>
    <x v="0"/>
    <x v="7"/>
    <x v="8"/>
    <s v="NO1_A1"/>
    <x v="7"/>
    <x v="7"/>
    <s v="GHYRS_WATER"/>
    <x v="4"/>
    <x v="7"/>
    <n v="6117.5387270765896"/>
    <n v="372150.272563826"/>
    <n v="1339740.98122977"/>
  </r>
  <r>
    <x v="0"/>
    <x v="0"/>
    <x v="0"/>
    <x v="7"/>
    <x v="8"/>
    <s v="NO1_A1"/>
    <x v="7"/>
    <x v="7"/>
    <s v="GHYRS_WATER"/>
    <x v="4"/>
    <x v="8"/>
    <n v="6117.5387270765896"/>
    <n v="372150.272563826"/>
    <n v="1339740.98122977"/>
  </r>
  <r>
    <x v="0"/>
    <x v="0"/>
    <x v="0"/>
    <x v="7"/>
    <x v="8"/>
    <s v="NO1_A1"/>
    <x v="7"/>
    <x v="7"/>
    <s v="GHYRS_WATER"/>
    <x v="4"/>
    <x v="9"/>
    <n v="6117.5387270765896"/>
    <n v="372150.272563826"/>
    <n v="1339740.98122977"/>
  </r>
  <r>
    <x v="0"/>
    <x v="0"/>
    <x v="0"/>
    <x v="7"/>
    <x v="8"/>
    <s v="NO1_A1"/>
    <x v="7"/>
    <x v="7"/>
    <s v="GHYRS_WATER"/>
    <x v="4"/>
    <x v="10"/>
    <n v="6117.5387270765896"/>
    <n v="372150.272563826"/>
    <n v="1339740.98122977"/>
  </r>
  <r>
    <x v="0"/>
    <x v="0"/>
    <x v="0"/>
    <x v="7"/>
    <x v="8"/>
    <s v="NO1_A1"/>
    <x v="7"/>
    <x v="7"/>
    <s v="GHYRS_WATER"/>
    <x v="4"/>
    <x v="11"/>
    <n v="6117.5387270765896"/>
    <n v="372150.272563826"/>
    <n v="1339740.98122977"/>
  </r>
  <r>
    <x v="0"/>
    <x v="0"/>
    <x v="0"/>
    <x v="7"/>
    <x v="8"/>
    <s v="NO1_A1"/>
    <x v="7"/>
    <x v="7"/>
    <s v="GHYRS_WATER"/>
    <x v="5"/>
    <x v="0"/>
    <n v="5795.11103348904"/>
    <n v="352535.92120391701"/>
    <n v="1269129.3163341"/>
  </r>
  <r>
    <x v="0"/>
    <x v="0"/>
    <x v="0"/>
    <x v="7"/>
    <x v="8"/>
    <s v="NO1_A1"/>
    <x v="7"/>
    <x v="7"/>
    <s v="GHYRS_WATER"/>
    <x v="5"/>
    <x v="1"/>
    <n v="5727.6098755878202"/>
    <n v="348429.60076492501"/>
    <n v="1254346.56275373"/>
  </r>
  <r>
    <x v="0"/>
    <x v="0"/>
    <x v="0"/>
    <x v="7"/>
    <x v="8"/>
    <s v="NO1_A1"/>
    <x v="7"/>
    <x v="7"/>
    <s v="GHYRS_WATER"/>
    <x v="5"/>
    <x v="2"/>
    <n v="5656.3165178045001"/>
    <n v="344092.58816644101"/>
    <n v="1238733.31739919"/>
  </r>
  <r>
    <x v="0"/>
    <x v="0"/>
    <x v="0"/>
    <x v="7"/>
    <x v="8"/>
    <s v="NO1_A1"/>
    <x v="7"/>
    <x v="7"/>
    <s v="GHYRS_WATER"/>
    <x v="5"/>
    <x v="3"/>
    <n v="5654.79963785166"/>
    <n v="344000.31130264298"/>
    <n v="1238401.1206895099"/>
  </r>
  <r>
    <x v="0"/>
    <x v="0"/>
    <x v="0"/>
    <x v="7"/>
    <x v="8"/>
    <s v="NO1_A1"/>
    <x v="7"/>
    <x v="7"/>
    <s v="GHYRS_WATER"/>
    <x v="5"/>
    <x v="4"/>
    <n v="5682.86191697914"/>
    <n v="345707.43328289798"/>
    <n v="1244546.7598184301"/>
  </r>
  <r>
    <x v="0"/>
    <x v="0"/>
    <x v="0"/>
    <x v="7"/>
    <x v="8"/>
    <s v="NO1_A1"/>
    <x v="7"/>
    <x v="7"/>
    <s v="GHYRS_WATER"/>
    <x v="5"/>
    <x v="5"/>
    <n v="5878.5394308950499"/>
    <n v="357611.14871278201"/>
    <n v="1287400.13536602"/>
  </r>
  <r>
    <x v="0"/>
    <x v="0"/>
    <x v="0"/>
    <x v="7"/>
    <x v="8"/>
    <s v="NO1_A1"/>
    <x v="7"/>
    <x v="7"/>
    <s v="GHYRS_WATER"/>
    <x v="5"/>
    <x v="6"/>
    <n v="6117.5387270765896"/>
    <n v="372150.272563826"/>
    <n v="1339740.98122977"/>
  </r>
  <r>
    <x v="0"/>
    <x v="0"/>
    <x v="0"/>
    <x v="7"/>
    <x v="8"/>
    <s v="NO1_A1"/>
    <x v="7"/>
    <x v="7"/>
    <s v="GHYRS_WATER"/>
    <x v="5"/>
    <x v="7"/>
    <n v="6117.5387270765896"/>
    <n v="372150.272563826"/>
    <n v="1339740.98122977"/>
  </r>
  <r>
    <x v="0"/>
    <x v="0"/>
    <x v="0"/>
    <x v="7"/>
    <x v="8"/>
    <s v="NO1_A1"/>
    <x v="7"/>
    <x v="7"/>
    <s v="GHYRS_WATER"/>
    <x v="5"/>
    <x v="8"/>
    <n v="6117.5387270765896"/>
    <n v="372150.272563826"/>
    <n v="1339740.98122977"/>
  </r>
  <r>
    <x v="0"/>
    <x v="0"/>
    <x v="0"/>
    <x v="7"/>
    <x v="8"/>
    <s v="NO1_A1"/>
    <x v="7"/>
    <x v="7"/>
    <s v="GHYRS_WATER"/>
    <x v="5"/>
    <x v="9"/>
    <n v="6117.5387270765896"/>
    <n v="372150.272563826"/>
    <n v="1339740.98122977"/>
  </r>
  <r>
    <x v="0"/>
    <x v="0"/>
    <x v="0"/>
    <x v="7"/>
    <x v="8"/>
    <s v="NO1_A1"/>
    <x v="7"/>
    <x v="7"/>
    <s v="GHYRS_WATER"/>
    <x v="5"/>
    <x v="10"/>
    <n v="6117.5387270765896"/>
    <n v="372150.272563826"/>
    <n v="1339740.98122977"/>
  </r>
  <r>
    <x v="0"/>
    <x v="0"/>
    <x v="0"/>
    <x v="7"/>
    <x v="8"/>
    <s v="NO1_A1"/>
    <x v="7"/>
    <x v="7"/>
    <s v="GHYRS_WATER"/>
    <x v="5"/>
    <x v="11"/>
    <n v="6117.5387270765896"/>
    <n v="372150.272563826"/>
    <n v="1339740.98122977"/>
  </r>
  <r>
    <x v="0"/>
    <x v="0"/>
    <x v="0"/>
    <x v="7"/>
    <x v="8"/>
    <s v="NO1_A1"/>
    <x v="7"/>
    <x v="7"/>
    <s v="GHYRS_WATER"/>
    <x v="6"/>
    <x v="0"/>
    <n v="5504.8739513266501"/>
    <n v="334879.83203903801"/>
    <n v="1205567.39534054"/>
  </r>
  <r>
    <x v="0"/>
    <x v="0"/>
    <x v="0"/>
    <x v="7"/>
    <x v="8"/>
    <s v="NO1_A1"/>
    <x v="7"/>
    <x v="7"/>
    <s v="GHYRS_WATER"/>
    <x v="6"/>
    <x v="1"/>
    <n v="5419.9286739678"/>
    <n v="329712.32766637497"/>
    <n v="1186964.37959895"/>
  </r>
  <r>
    <x v="0"/>
    <x v="0"/>
    <x v="0"/>
    <x v="7"/>
    <x v="8"/>
    <s v="NO1_A1"/>
    <x v="7"/>
    <x v="7"/>
    <s v="GHYRS_WATER"/>
    <x v="6"/>
    <x v="2"/>
    <n v="5419.9286739678"/>
    <n v="329712.32766637497"/>
    <n v="1186964.37959895"/>
  </r>
  <r>
    <x v="0"/>
    <x v="0"/>
    <x v="0"/>
    <x v="7"/>
    <x v="8"/>
    <s v="NO1_A1"/>
    <x v="7"/>
    <x v="7"/>
    <s v="GHYRS_WATER"/>
    <x v="6"/>
    <x v="3"/>
    <n v="5461.6428726708"/>
    <n v="332249.94142080698"/>
    <n v="1196099.7891149099"/>
  </r>
  <r>
    <x v="0"/>
    <x v="0"/>
    <x v="0"/>
    <x v="7"/>
    <x v="8"/>
    <s v="NO1_A1"/>
    <x v="7"/>
    <x v="7"/>
    <s v="GHYRS_WATER"/>
    <x v="6"/>
    <x v="4"/>
    <n v="5550.3803499117403"/>
    <n v="337648.137952964"/>
    <n v="1215533.2966306701"/>
  </r>
  <r>
    <x v="0"/>
    <x v="0"/>
    <x v="0"/>
    <x v="7"/>
    <x v="8"/>
    <s v="NO1_A1"/>
    <x v="7"/>
    <x v="7"/>
    <s v="GHYRS_WATER"/>
    <x v="6"/>
    <x v="5"/>
    <n v="5762.7435433088503"/>
    <n v="350566.89888462197"/>
    <n v="1262040.8359846401"/>
  </r>
  <r>
    <x v="0"/>
    <x v="0"/>
    <x v="0"/>
    <x v="7"/>
    <x v="8"/>
    <s v="NO1_A1"/>
    <x v="7"/>
    <x v="7"/>
    <s v="GHYRS_WATER"/>
    <x v="6"/>
    <x v="6"/>
    <n v="6117.5387270765896"/>
    <n v="372150.272563826"/>
    <n v="1339740.98122977"/>
  </r>
  <r>
    <x v="0"/>
    <x v="0"/>
    <x v="0"/>
    <x v="7"/>
    <x v="8"/>
    <s v="NO1_A1"/>
    <x v="7"/>
    <x v="7"/>
    <s v="GHYRS_WATER"/>
    <x v="6"/>
    <x v="7"/>
    <n v="6117.5387270765896"/>
    <n v="372150.272563826"/>
    <n v="1339740.98122977"/>
  </r>
  <r>
    <x v="0"/>
    <x v="0"/>
    <x v="0"/>
    <x v="7"/>
    <x v="8"/>
    <s v="NO1_A1"/>
    <x v="7"/>
    <x v="7"/>
    <s v="GHYRS_WATER"/>
    <x v="6"/>
    <x v="8"/>
    <n v="6117.5387270765896"/>
    <n v="372150.272563826"/>
    <n v="1339740.98122977"/>
  </r>
  <r>
    <x v="0"/>
    <x v="0"/>
    <x v="0"/>
    <x v="7"/>
    <x v="8"/>
    <s v="NO1_A1"/>
    <x v="7"/>
    <x v="7"/>
    <s v="GHYRS_WATER"/>
    <x v="6"/>
    <x v="9"/>
    <n v="6117.5387270765896"/>
    <n v="372150.272563826"/>
    <n v="1339740.98122977"/>
  </r>
  <r>
    <x v="0"/>
    <x v="0"/>
    <x v="0"/>
    <x v="7"/>
    <x v="8"/>
    <s v="NO1_A1"/>
    <x v="7"/>
    <x v="7"/>
    <s v="GHYRS_WATER"/>
    <x v="6"/>
    <x v="10"/>
    <n v="6117.5387270765896"/>
    <n v="372150.272563826"/>
    <n v="1339740.98122977"/>
  </r>
  <r>
    <x v="0"/>
    <x v="0"/>
    <x v="0"/>
    <x v="7"/>
    <x v="8"/>
    <s v="NO1_A1"/>
    <x v="7"/>
    <x v="7"/>
    <s v="GHYRS_WATER"/>
    <x v="6"/>
    <x v="11"/>
    <n v="6117.5387270765896"/>
    <n v="372150.272563826"/>
    <n v="1339740.98122977"/>
  </r>
  <r>
    <x v="0"/>
    <x v="0"/>
    <x v="0"/>
    <x v="7"/>
    <x v="8"/>
    <s v="NO1_A1"/>
    <x v="7"/>
    <x v="7"/>
    <s v="GHYRS_WATER"/>
    <x v="7"/>
    <x v="0"/>
    <n v="5073.9275278865698"/>
    <n v="308663.92461310001"/>
    <n v="1111190.1286071599"/>
  </r>
  <r>
    <x v="0"/>
    <x v="0"/>
    <x v="0"/>
    <x v="7"/>
    <x v="8"/>
    <s v="NO1_A1"/>
    <x v="7"/>
    <x v="7"/>
    <s v="GHYRS_WATER"/>
    <x v="7"/>
    <x v="1"/>
    <n v="5028.4211293014796"/>
    <n v="305895.61869917298"/>
    <n v="1101224.2273170201"/>
  </r>
  <r>
    <x v="0"/>
    <x v="0"/>
    <x v="0"/>
    <x v="7"/>
    <x v="8"/>
    <s v="NO1_A1"/>
    <x v="7"/>
    <x v="7"/>
    <s v="GHYRS_WATER"/>
    <x v="7"/>
    <x v="2"/>
    <n v="5039.0392889713303"/>
    <n v="306541.55674575601"/>
    <n v="1103549.60428472"/>
  </r>
  <r>
    <x v="0"/>
    <x v="0"/>
    <x v="0"/>
    <x v="7"/>
    <x v="8"/>
    <s v="NO1_A1"/>
    <x v="7"/>
    <x v="7"/>
    <s v="GHYRS_WATER"/>
    <x v="7"/>
    <x v="3"/>
    <n v="5082.2703676271703"/>
    <n v="309171.44736398599"/>
    <n v="1113017.2105103501"/>
  </r>
  <r>
    <x v="0"/>
    <x v="0"/>
    <x v="0"/>
    <x v="7"/>
    <x v="8"/>
    <s v="NO1_A1"/>
    <x v="7"/>
    <x v="7"/>
    <s v="GHYRS_WATER"/>
    <x v="7"/>
    <x v="4"/>
    <n v="5133.08584604719"/>
    <n v="312262.72230120399"/>
    <n v="1124145.80028434"/>
  </r>
  <r>
    <x v="0"/>
    <x v="0"/>
    <x v="0"/>
    <x v="7"/>
    <x v="8"/>
    <s v="NO1_A1"/>
    <x v="7"/>
    <x v="7"/>
    <s v="GHYRS_WATER"/>
    <x v="7"/>
    <x v="5"/>
    <n v="5278.7063215195003"/>
    <n v="321121.30122576898"/>
    <n v="1156036.68441277"/>
  </r>
  <r>
    <x v="0"/>
    <x v="0"/>
    <x v="0"/>
    <x v="7"/>
    <x v="8"/>
    <s v="NO1_A1"/>
    <x v="7"/>
    <x v="7"/>
    <s v="GHYRS_WATER"/>
    <x v="7"/>
    <x v="6"/>
    <n v="5773.2091861441904"/>
    <n v="351203.55882377201"/>
    <n v="1264332.81176558"/>
  </r>
  <r>
    <x v="0"/>
    <x v="0"/>
    <x v="0"/>
    <x v="7"/>
    <x v="8"/>
    <s v="NO1_A1"/>
    <x v="7"/>
    <x v="7"/>
    <s v="GHYRS_WATER"/>
    <x v="7"/>
    <x v="7"/>
    <n v="6117.5387270765896"/>
    <n v="372150.272563826"/>
    <n v="1339740.98122977"/>
  </r>
  <r>
    <x v="0"/>
    <x v="0"/>
    <x v="0"/>
    <x v="7"/>
    <x v="8"/>
    <s v="NO1_A1"/>
    <x v="7"/>
    <x v="7"/>
    <s v="GHYRS_WATER"/>
    <x v="7"/>
    <x v="8"/>
    <n v="6117.5387270765896"/>
    <n v="372150.272563826"/>
    <n v="1339740.98122977"/>
  </r>
  <r>
    <x v="0"/>
    <x v="0"/>
    <x v="0"/>
    <x v="7"/>
    <x v="8"/>
    <s v="NO1_A1"/>
    <x v="7"/>
    <x v="7"/>
    <s v="GHYRS_WATER"/>
    <x v="7"/>
    <x v="9"/>
    <n v="6117.5387270765896"/>
    <n v="372150.272563826"/>
    <n v="1339740.98122977"/>
  </r>
  <r>
    <x v="0"/>
    <x v="0"/>
    <x v="0"/>
    <x v="7"/>
    <x v="8"/>
    <s v="NO1_A1"/>
    <x v="7"/>
    <x v="7"/>
    <s v="GHYRS_WATER"/>
    <x v="7"/>
    <x v="10"/>
    <n v="6117.5387270765896"/>
    <n v="372150.272563826"/>
    <n v="1339740.98122977"/>
  </r>
  <r>
    <x v="0"/>
    <x v="0"/>
    <x v="0"/>
    <x v="7"/>
    <x v="8"/>
    <s v="NO1_A1"/>
    <x v="7"/>
    <x v="7"/>
    <s v="GHYRS_WATER"/>
    <x v="7"/>
    <x v="11"/>
    <n v="6117.5387270765896"/>
    <n v="372150.272563826"/>
    <n v="1339740.98122977"/>
  </r>
  <r>
    <x v="0"/>
    <x v="0"/>
    <x v="0"/>
    <x v="7"/>
    <x v="8"/>
    <s v="NO1_A1"/>
    <x v="7"/>
    <x v="7"/>
    <s v="GHYRS_WATER"/>
    <x v="8"/>
    <x v="0"/>
    <n v="4752.4002943562"/>
    <n v="289104.35124000203"/>
    <n v="1040775.66446401"/>
  </r>
  <r>
    <x v="0"/>
    <x v="0"/>
    <x v="0"/>
    <x v="7"/>
    <x v="8"/>
    <s v="NO1_A1"/>
    <x v="7"/>
    <x v="7"/>
    <s v="GHYRS_WATER"/>
    <x v="8"/>
    <x v="1"/>
    <n v="4684.1406964785601"/>
    <n v="284951.892369112"/>
    <n v="1025826.8125288"/>
  </r>
  <r>
    <x v="0"/>
    <x v="0"/>
    <x v="0"/>
    <x v="7"/>
    <x v="8"/>
    <s v="NO1_A1"/>
    <x v="7"/>
    <x v="7"/>
    <s v="GHYRS_WATER"/>
    <x v="8"/>
    <x v="2"/>
    <n v="4658.3537372803303"/>
    <n v="283383.18568455399"/>
    <n v="1020179.46846439"/>
  </r>
  <r>
    <x v="0"/>
    <x v="0"/>
    <x v="0"/>
    <x v="7"/>
    <x v="8"/>
    <s v="NO1_A1"/>
    <x v="7"/>
    <x v="7"/>
    <s v="GHYRS_WATER"/>
    <x v="8"/>
    <x v="3"/>
    <n v="4656.0784173510801"/>
    <n v="283244.770388857"/>
    <n v="1019681.17339989"/>
  </r>
  <r>
    <x v="0"/>
    <x v="0"/>
    <x v="0"/>
    <x v="7"/>
    <x v="8"/>
    <s v="NO1_A1"/>
    <x v="7"/>
    <x v="7"/>
    <s v="GHYRS_WATER"/>
    <x v="8"/>
    <x v="4"/>
    <n v="4690.2082162898996"/>
    <n v="285320.99982430198"/>
    <n v="1027155.59936749"/>
  </r>
  <r>
    <x v="0"/>
    <x v="0"/>
    <x v="0"/>
    <x v="7"/>
    <x v="8"/>
    <s v="NO1_A1"/>
    <x v="7"/>
    <x v="7"/>
    <s v="GHYRS_WATER"/>
    <x v="8"/>
    <x v="5"/>
    <n v="4903.3298496634297"/>
    <n v="298285.89918785897"/>
    <n v="1073829.23707629"/>
  </r>
  <r>
    <x v="0"/>
    <x v="0"/>
    <x v="0"/>
    <x v="7"/>
    <x v="8"/>
    <s v="NO1_A1"/>
    <x v="7"/>
    <x v="7"/>
    <s v="GHYRS_WATER"/>
    <x v="8"/>
    <x v="6"/>
    <n v="5375.8379549719903"/>
    <n v="327030.14226079598"/>
    <n v="1177308.5121388701"/>
  </r>
  <r>
    <x v="0"/>
    <x v="0"/>
    <x v="0"/>
    <x v="7"/>
    <x v="8"/>
    <s v="NO1_A1"/>
    <x v="7"/>
    <x v="7"/>
    <s v="GHYRS_WATER"/>
    <x v="8"/>
    <x v="7"/>
    <n v="5865.03173976176"/>
    <n v="356789.430835507"/>
    <n v="1284441.95100783"/>
  </r>
  <r>
    <x v="0"/>
    <x v="0"/>
    <x v="0"/>
    <x v="7"/>
    <x v="8"/>
    <s v="NO1_A1"/>
    <x v="7"/>
    <x v="7"/>
    <s v="GHYRS_WATER"/>
    <x v="8"/>
    <x v="8"/>
    <n v="5981.8314961301703"/>
    <n v="363894.74934791902"/>
    <n v="1310021.09765251"/>
  </r>
  <r>
    <x v="0"/>
    <x v="0"/>
    <x v="0"/>
    <x v="7"/>
    <x v="8"/>
    <s v="NO1_A1"/>
    <x v="7"/>
    <x v="7"/>
    <s v="GHYRS_WATER"/>
    <x v="8"/>
    <x v="9"/>
    <n v="5952.2523370498602"/>
    <n v="362095.35050386598"/>
    <n v="1303543.26181392"/>
  </r>
  <r>
    <x v="0"/>
    <x v="0"/>
    <x v="0"/>
    <x v="7"/>
    <x v="8"/>
    <s v="NO1_A1"/>
    <x v="7"/>
    <x v="7"/>
    <s v="GHYRS_WATER"/>
    <x v="8"/>
    <x v="10"/>
    <n v="3214.2968612613599"/>
    <n v="195536.39239339999"/>
    <n v="703931.01261623797"/>
  </r>
  <r>
    <x v="0"/>
    <x v="0"/>
    <x v="0"/>
    <x v="7"/>
    <x v="8"/>
    <s v="NO1_A1"/>
    <x v="7"/>
    <x v="7"/>
    <s v="GHYRS_WATER"/>
    <x v="8"/>
    <x v="11"/>
    <n v="5889.3018190071398"/>
    <n v="358265.86065626802"/>
    <n v="1289757.0983625599"/>
  </r>
  <r>
    <x v="0"/>
    <x v="0"/>
    <x v="0"/>
    <x v="7"/>
    <x v="8"/>
    <s v="NO1_A1"/>
    <x v="7"/>
    <x v="7"/>
    <s v="GHYRS_WATER"/>
    <x v="9"/>
    <x v="0"/>
    <n v="5876.2847153515404"/>
    <n v="357473.98685055203"/>
    <n v="1286906.3526619901"/>
  </r>
  <r>
    <x v="0"/>
    <x v="0"/>
    <x v="0"/>
    <x v="7"/>
    <x v="8"/>
    <s v="NO1_A1"/>
    <x v="7"/>
    <x v="7"/>
    <s v="GHYRS_WATER"/>
    <x v="9"/>
    <x v="1"/>
    <n v="5786.03035815777"/>
    <n v="351983.51345459803"/>
    <n v="1267140.6484365501"/>
  </r>
  <r>
    <x v="0"/>
    <x v="0"/>
    <x v="0"/>
    <x v="7"/>
    <x v="8"/>
    <s v="NO1_A1"/>
    <x v="7"/>
    <x v="7"/>
    <s v="GHYRS_WATER"/>
    <x v="9"/>
    <x v="2"/>
    <n v="5760.2433989595502"/>
    <n v="350414.80677003902"/>
    <n v="1261493.30437214"/>
  </r>
  <r>
    <x v="0"/>
    <x v="0"/>
    <x v="0"/>
    <x v="7"/>
    <x v="8"/>
    <s v="NO1_A1"/>
    <x v="7"/>
    <x v="7"/>
    <s v="GHYRS_WATER"/>
    <x v="9"/>
    <x v="3"/>
    <n v="5787.5472381106101"/>
    <n v="352075.79031839501"/>
    <n v="1267472.8451462199"/>
  </r>
  <r>
    <x v="0"/>
    <x v="0"/>
    <x v="0"/>
    <x v="7"/>
    <x v="8"/>
    <s v="NO1_A1"/>
    <x v="7"/>
    <x v="7"/>
    <s v="GHYRS_WATER"/>
    <x v="9"/>
    <x v="4"/>
    <n v="5880.8353552100498"/>
    <n v="357750.81744194502"/>
    <n v="1287902.942791"/>
  </r>
  <r>
    <x v="0"/>
    <x v="0"/>
    <x v="0"/>
    <x v="7"/>
    <x v="8"/>
    <s v="NO1_A1"/>
    <x v="7"/>
    <x v="7"/>
    <s v="GHYRS_WATER"/>
    <x v="9"/>
    <x v="5"/>
    <n v="6074.2375491966995"/>
    <n v="369516.11757613299"/>
    <n v="1330258.0232740799"/>
  </r>
  <r>
    <x v="0"/>
    <x v="0"/>
    <x v="0"/>
    <x v="7"/>
    <x v="8"/>
    <s v="NO1_A1"/>
    <x v="7"/>
    <x v="7"/>
    <s v="GHYRS_WATER"/>
    <x v="9"/>
    <x v="6"/>
    <n v="4455.0747289093597"/>
    <n v="271017.04600865301"/>
    <n v="975661.36563115101"/>
  </r>
  <r>
    <x v="0"/>
    <x v="0"/>
    <x v="0"/>
    <x v="7"/>
    <x v="8"/>
    <s v="NO1_A1"/>
    <x v="7"/>
    <x v="7"/>
    <s v="GHYRS_WATER"/>
    <x v="9"/>
    <x v="7"/>
    <n v="6117.5387270765896"/>
    <n v="372150.272563826"/>
    <n v="1339740.98122977"/>
  </r>
  <r>
    <x v="0"/>
    <x v="0"/>
    <x v="0"/>
    <x v="7"/>
    <x v="8"/>
    <s v="NO1_A1"/>
    <x v="7"/>
    <x v="7"/>
    <s v="GHYRS_WATER"/>
    <x v="9"/>
    <x v="8"/>
    <n v="6080.8585132345197"/>
    <n v="369918.892888434"/>
    <n v="1331708.0143983599"/>
  </r>
  <r>
    <x v="0"/>
    <x v="0"/>
    <x v="0"/>
    <x v="7"/>
    <x v="8"/>
    <s v="NO1_A1"/>
    <x v="7"/>
    <x v="7"/>
    <s v="GHYRS_WATER"/>
    <x v="9"/>
    <x v="9"/>
    <n v="5645.6700420127299"/>
    <n v="343444.92755577399"/>
    <n v="1236401.7392007899"/>
  </r>
  <r>
    <x v="0"/>
    <x v="0"/>
    <x v="0"/>
    <x v="7"/>
    <x v="8"/>
    <s v="NO1_A1"/>
    <x v="7"/>
    <x v="7"/>
    <s v="GHYRS_WATER"/>
    <x v="9"/>
    <x v="10"/>
    <n v="6117.5387270765896"/>
    <n v="372150.272563826"/>
    <n v="1339740.98122977"/>
  </r>
  <r>
    <x v="0"/>
    <x v="0"/>
    <x v="0"/>
    <x v="7"/>
    <x v="8"/>
    <s v="NO1_A1"/>
    <x v="7"/>
    <x v="7"/>
    <s v="GHYRS_WATER"/>
    <x v="9"/>
    <x v="11"/>
    <n v="5727.4254842236196"/>
    <n v="348418.38362360402"/>
    <n v="1254306.1810449699"/>
  </r>
  <r>
    <x v="0"/>
    <x v="0"/>
    <x v="0"/>
    <x v="7"/>
    <x v="8"/>
    <s v="NO1_A1"/>
    <x v="7"/>
    <x v="7"/>
    <s v="GHYRS_WATER"/>
    <x v="10"/>
    <x v="0"/>
    <n v="4005.34663855487"/>
    <n v="243658.58717875401"/>
    <n v="877170.91384351603"/>
  </r>
  <r>
    <x v="0"/>
    <x v="0"/>
    <x v="0"/>
    <x v="7"/>
    <x v="8"/>
    <s v="NO1_A1"/>
    <x v="7"/>
    <x v="7"/>
    <s v="GHYRS_WATER"/>
    <x v="10"/>
    <x v="1"/>
    <n v="3897.6481619034798"/>
    <n v="237106.92984912801"/>
    <n v="853584.94745686103"/>
  </r>
  <r>
    <x v="0"/>
    <x v="0"/>
    <x v="0"/>
    <x v="7"/>
    <x v="8"/>
    <s v="NO1_A1"/>
    <x v="7"/>
    <x v="7"/>
    <s v="GHYRS_WATER"/>
    <x v="10"/>
    <x v="2"/>
    <n v="3890.0637621392898"/>
    <n v="236645.54553013999"/>
    <n v="851923.96390850504"/>
  </r>
  <r>
    <x v="0"/>
    <x v="0"/>
    <x v="0"/>
    <x v="7"/>
    <x v="8"/>
    <s v="NO1_A1"/>
    <x v="7"/>
    <x v="7"/>
    <s v="GHYRS_WATER"/>
    <x v="10"/>
    <x v="3"/>
    <n v="3890.0637621392898"/>
    <n v="236645.54553013999"/>
    <n v="851923.96390850504"/>
  </r>
  <r>
    <x v="0"/>
    <x v="0"/>
    <x v="0"/>
    <x v="7"/>
    <x v="8"/>
    <s v="NO1_A1"/>
    <x v="7"/>
    <x v="7"/>
    <s v="GHYRS_WATER"/>
    <x v="10"/>
    <x v="4"/>
    <n v="3935.57016072439"/>
    <n v="239413.851444067"/>
    <n v="861889.86519864097"/>
  </r>
  <r>
    <x v="0"/>
    <x v="0"/>
    <x v="0"/>
    <x v="7"/>
    <x v="8"/>
    <s v="NO1_A1"/>
    <x v="7"/>
    <x v="7"/>
    <s v="GHYRS_WATER"/>
    <x v="10"/>
    <x v="5"/>
    <n v="5263.0451152062597"/>
    <n v="320168.57784171402"/>
    <n v="1152606.88023017"/>
  </r>
  <r>
    <x v="0"/>
    <x v="0"/>
    <x v="0"/>
    <x v="7"/>
    <x v="8"/>
    <s v="NO1_A1"/>
    <x v="7"/>
    <x v="7"/>
    <s v="GHYRS_WATER"/>
    <x v="10"/>
    <x v="6"/>
    <n v="4549.9065416231597"/>
    <n v="276785.98128207598"/>
    <n v="996429.53261547303"/>
  </r>
  <r>
    <x v="0"/>
    <x v="0"/>
    <x v="0"/>
    <x v="7"/>
    <x v="8"/>
    <s v="NO1_A1"/>
    <x v="7"/>
    <x v="7"/>
    <s v="GHYRS_WATER"/>
    <x v="10"/>
    <x v="7"/>
    <n v="2000.0457255875699"/>
    <n v="121669.448306577"/>
    <n v="438010.01390367799"/>
  </r>
  <r>
    <x v="0"/>
    <x v="0"/>
    <x v="0"/>
    <x v="7"/>
    <x v="8"/>
    <s v="NO1_A1"/>
    <x v="7"/>
    <x v="7"/>
    <s v="GHYRS_WATER"/>
    <x v="10"/>
    <x v="8"/>
    <n v="1994.6356074411999"/>
    <n v="121340.33278600599"/>
    <n v="436825.19802962203"/>
  </r>
  <r>
    <x v="0"/>
    <x v="0"/>
    <x v="0"/>
    <x v="7"/>
    <x v="8"/>
    <s v="NO1_A1"/>
    <x v="7"/>
    <x v="7"/>
    <s v="GHYRS_WATER"/>
    <x v="10"/>
    <x v="9"/>
    <n v="4838.1137326621001"/>
    <n v="294318.58540361101"/>
    <n v="1059546.9074530001"/>
  </r>
  <r>
    <x v="0"/>
    <x v="0"/>
    <x v="0"/>
    <x v="7"/>
    <x v="8"/>
    <s v="NO1_A1"/>
    <x v="7"/>
    <x v="7"/>
    <s v="GHYRS_WATER"/>
    <x v="10"/>
    <x v="10"/>
    <n v="4686.4257373784503"/>
    <n v="285090.89902385598"/>
    <n v="1026327.23648588"/>
  </r>
  <r>
    <x v="0"/>
    <x v="0"/>
    <x v="0"/>
    <x v="7"/>
    <x v="8"/>
    <s v="NO1_A1"/>
    <x v="7"/>
    <x v="7"/>
    <s v="GHYRS_WATER"/>
    <x v="10"/>
    <x v="11"/>
    <n v="4921.7107339919703"/>
    <n v="299404.06965117803"/>
    <n v="1077854.65074424"/>
  </r>
  <r>
    <x v="0"/>
    <x v="0"/>
    <x v="0"/>
    <x v="7"/>
    <x v="8"/>
    <s v="NO1_A1"/>
    <x v="7"/>
    <x v="7"/>
    <s v="GHYRS_WATER"/>
    <x v="11"/>
    <x v="0"/>
    <n v="3190.4522050358401"/>
    <n v="194085.842473014"/>
    <n v="698709.03290284995"/>
  </r>
  <r>
    <x v="0"/>
    <x v="0"/>
    <x v="0"/>
    <x v="7"/>
    <x v="8"/>
    <s v="NO1_A1"/>
    <x v="7"/>
    <x v="7"/>
    <s v="GHYRS_WATER"/>
    <x v="11"/>
    <x v="1"/>
    <n v="3095.6472079835598"/>
    <n v="188318.538485667"/>
    <n v="677946.7385484"/>
  </r>
  <r>
    <x v="0"/>
    <x v="0"/>
    <x v="0"/>
    <x v="7"/>
    <x v="8"/>
    <s v="NO1_A1"/>
    <x v="7"/>
    <x v="7"/>
    <s v="GHYRS_WATER"/>
    <x v="11"/>
    <x v="2"/>
    <n v="3110.8160075119299"/>
    <n v="189241.30712364201"/>
    <n v="681268.70564511197"/>
  </r>
  <r>
    <x v="0"/>
    <x v="0"/>
    <x v="0"/>
    <x v="7"/>
    <x v="8"/>
    <s v="NO1_A1"/>
    <x v="7"/>
    <x v="7"/>
    <s v="GHYRS_WATER"/>
    <x v="11"/>
    <x v="3"/>
    <n v="3204.10412461137"/>
    <n v="194916.33424719199"/>
    <n v="701698.80328989006"/>
  </r>
  <r>
    <x v="0"/>
    <x v="0"/>
    <x v="0"/>
    <x v="7"/>
    <x v="8"/>
    <s v="NO1_A1"/>
    <x v="7"/>
    <x v="7"/>
    <s v="GHYRS_WATER"/>
    <x v="11"/>
    <x v="4"/>
    <n v="3269.3299625833401"/>
    <n v="198884.239390487"/>
    <n v="715983.26180575194"/>
  </r>
  <r>
    <x v="0"/>
    <x v="0"/>
    <x v="0"/>
    <x v="7"/>
    <x v="8"/>
    <s v="NO1_A1"/>
    <x v="7"/>
    <x v="7"/>
    <s v="GHYRS_WATER"/>
    <x v="11"/>
    <x v="5"/>
    <n v="3471.83343628701"/>
    <n v="211203.20070746"/>
    <n v="760331.52254685597"/>
  </r>
  <r>
    <x v="0"/>
    <x v="0"/>
    <x v="0"/>
    <x v="7"/>
    <x v="8"/>
    <s v="NO1_A1"/>
    <x v="7"/>
    <x v="7"/>
    <s v="GHYRS_WATER"/>
    <x v="11"/>
    <x v="6"/>
    <n v="3936.7571418313901"/>
    <n v="239486.05946141001"/>
    <n v="862149.81406107498"/>
  </r>
  <r>
    <x v="0"/>
    <x v="0"/>
    <x v="0"/>
    <x v="7"/>
    <x v="8"/>
    <s v="NO1_A1"/>
    <x v="7"/>
    <x v="7"/>
    <s v="GHYRS_WATER"/>
    <x v="11"/>
    <x v="7"/>
    <n v="4411.5405670692098"/>
    <n v="268368.71783004398"/>
    <n v="966127.38418815797"/>
  </r>
  <r>
    <x v="0"/>
    <x v="0"/>
    <x v="0"/>
    <x v="7"/>
    <x v="8"/>
    <s v="NO1_A1"/>
    <x v="7"/>
    <x v="7"/>
    <s v="GHYRS_WATER"/>
    <x v="11"/>
    <x v="8"/>
    <n v="4469.94044525342"/>
    <n v="271921.37708625"/>
    <n v="978916.95751049905"/>
  </r>
  <r>
    <x v="0"/>
    <x v="0"/>
    <x v="0"/>
    <x v="7"/>
    <x v="8"/>
    <s v="NO1_A1"/>
    <x v="7"/>
    <x v="7"/>
    <s v="GHYRS_WATER"/>
    <x v="11"/>
    <x v="9"/>
    <n v="4362.2419686020303"/>
    <n v="265369.71975662297"/>
    <n v="955330.99112384405"/>
  </r>
  <r>
    <x v="0"/>
    <x v="0"/>
    <x v="0"/>
    <x v="7"/>
    <x v="8"/>
    <s v="NO1_A1"/>
    <x v="7"/>
    <x v="7"/>
    <s v="GHYRS_WATER"/>
    <x v="11"/>
    <x v="10"/>
    <n v="4209.7955333419604"/>
    <n v="256095.89494496901"/>
    <n v="921945.22180188994"/>
  </r>
  <r>
    <x v="0"/>
    <x v="0"/>
    <x v="0"/>
    <x v="7"/>
    <x v="8"/>
    <s v="NO1_A1"/>
    <x v="7"/>
    <x v="7"/>
    <s v="GHYRS_WATER"/>
    <x v="11"/>
    <x v="11"/>
    <n v="4096.0295368792304"/>
    <n v="249175.130160153"/>
    <n v="897030.46857655002"/>
  </r>
  <r>
    <x v="0"/>
    <x v="0"/>
    <x v="0"/>
    <x v="7"/>
    <x v="8"/>
    <s v="NO1_A2"/>
    <x v="1"/>
    <x v="1"/>
    <s v="SolarPV-50"/>
    <x v="0"/>
    <x v="0"/>
    <n v="1657.5354195644099"/>
    <n v="100833.404690168"/>
    <n v="363000.25688460498"/>
  </r>
  <r>
    <x v="0"/>
    <x v="0"/>
    <x v="0"/>
    <x v="7"/>
    <x v="8"/>
    <s v="NO1_A2"/>
    <x v="1"/>
    <x v="1"/>
    <s v="SolarPV-50"/>
    <x v="0"/>
    <x v="1"/>
    <n v="1575.6239021112401"/>
    <n v="95850.4540451004"/>
    <n v="345061.634562361"/>
  </r>
  <r>
    <x v="0"/>
    <x v="0"/>
    <x v="0"/>
    <x v="7"/>
    <x v="8"/>
    <s v="NO1_A2"/>
    <x v="1"/>
    <x v="1"/>
    <s v="SolarPV-50"/>
    <x v="0"/>
    <x v="2"/>
    <n v="1493.7123846580701"/>
    <n v="90867.503400032496"/>
    <n v="327123.01224011701"/>
  </r>
  <r>
    <x v="0"/>
    <x v="0"/>
    <x v="0"/>
    <x v="7"/>
    <x v="8"/>
    <s v="NO1_A2"/>
    <x v="1"/>
    <x v="1"/>
    <s v="SolarPV-50"/>
    <x v="0"/>
    <x v="3"/>
    <n v="1510.39806413927"/>
    <n v="91882.548901805494"/>
    <n v="330777.17604649998"/>
  </r>
  <r>
    <x v="0"/>
    <x v="0"/>
    <x v="0"/>
    <x v="7"/>
    <x v="8"/>
    <s v="NO1_A2"/>
    <x v="1"/>
    <x v="1"/>
    <s v="SolarPV-50"/>
    <x v="0"/>
    <x v="4"/>
    <n v="1579.4161019933299"/>
    <n v="96081.146204594304"/>
    <n v="345892.12633653899"/>
  </r>
  <r>
    <x v="0"/>
    <x v="0"/>
    <x v="0"/>
    <x v="7"/>
    <x v="8"/>
    <s v="NO1_A2"/>
    <x v="1"/>
    <x v="1"/>
    <s v="SolarPV-50"/>
    <x v="0"/>
    <x v="5"/>
    <n v="1765.9923361922199"/>
    <n v="107431.200451693"/>
    <n v="386752.32162609597"/>
  </r>
  <r>
    <x v="0"/>
    <x v="0"/>
    <x v="0"/>
    <x v="7"/>
    <x v="8"/>
    <s v="NO1_A2"/>
    <x v="1"/>
    <x v="1"/>
    <s v="SolarPV-50"/>
    <x v="0"/>
    <x v="6"/>
    <n v="2174.7914834816502"/>
    <n v="132299.815245134"/>
    <n v="476279.33488248102"/>
  </r>
  <r>
    <x v="0"/>
    <x v="0"/>
    <x v="0"/>
    <x v="7"/>
    <x v="8"/>
    <s v="NO1_A2"/>
    <x v="1"/>
    <x v="1"/>
    <s v="SolarPV-50"/>
    <x v="0"/>
    <x v="7"/>
    <n v="2601.0347502287"/>
    <n v="158229.61397224601"/>
    <n v="569626.61030008597"/>
  </r>
  <r>
    <x v="0"/>
    <x v="0"/>
    <x v="0"/>
    <x v="7"/>
    <x v="8"/>
    <s v="NO1_A2"/>
    <x v="1"/>
    <x v="1"/>
    <s v="SolarPV-50"/>
    <x v="0"/>
    <x v="8"/>
    <n v="2830.8420630834298"/>
    <n v="172209.55883757499"/>
    <n v="619954.41181527101"/>
  </r>
  <r>
    <x v="0"/>
    <x v="0"/>
    <x v="0"/>
    <x v="7"/>
    <x v="8"/>
    <s v="NO1_A2"/>
    <x v="1"/>
    <x v="1"/>
    <s v="SolarPV-50"/>
    <x v="0"/>
    <x v="9"/>
    <n v="2802.0213439795398"/>
    <n v="170456.29842542199"/>
    <n v="613642.67433151905"/>
  </r>
  <r>
    <x v="0"/>
    <x v="0"/>
    <x v="0"/>
    <x v="7"/>
    <x v="8"/>
    <s v="NO1_A2"/>
    <x v="1"/>
    <x v="1"/>
    <s v="SolarPV-50"/>
    <x v="0"/>
    <x v="10"/>
    <n v="2839.1849028240299"/>
    <n v="172717.081588462"/>
    <n v="621781.493718463"/>
  </r>
  <r>
    <x v="0"/>
    <x v="0"/>
    <x v="0"/>
    <x v="7"/>
    <x v="8"/>
    <s v="NO1_A2"/>
    <x v="1"/>
    <x v="1"/>
    <s v="SolarPV-50"/>
    <x v="0"/>
    <x v="11"/>
    <n v="2922.6133002300398"/>
    <n v="177792.309097327"/>
    <n v="640052.31275037804"/>
  </r>
  <r>
    <x v="0"/>
    <x v="0"/>
    <x v="0"/>
    <x v="7"/>
    <x v="8"/>
    <s v="NO1_A2"/>
    <x v="1"/>
    <x v="1"/>
    <s v="SolarPV-50"/>
    <x v="1"/>
    <x v="0"/>
    <n v="2764.1492290512101"/>
    <n v="168152.41143394899"/>
    <n v="605348.681162216"/>
  </r>
  <r>
    <x v="0"/>
    <x v="0"/>
    <x v="0"/>
    <x v="7"/>
    <x v="8"/>
    <s v="NO1_A2"/>
    <x v="1"/>
    <x v="1"/>
    <s v="SolarPV-50"/>
    <x v="1"/>
    <x v="1"/>
    <n v="2695.1311911971602"/>
    <n v="163953.81413116"/>
    <n v="590233.73087217705"/>
  </r>
  <r>
    <x v="0"/>
    <x v="0"/>
    <x v="0"/>
    <x v="7"/>
    <x v="8"/>
    <s v="NO1_A2"/>
    <x v="1"/>
    <x v="1"/>
    <s v="SolarPV-50"/>
    <x v="1"/>
    <x v="2"/>
    <n v="2679.9623916687901"/>
    <n v="163031.045493185"/>
    <n v="586911.76377546496"/>
  </r>
  <r>
    <x v="0"/>
    <x v="0"/>
    <x v="0"/>
    <x v="7"/>
    <x v="8"/>
    <s v="NO1_A2"/>
    <x v="1"/>
    <x v="1"/>
    <s v="SolarPV-50"/>
    <x v="1"/>
    <x v="3"/>
    <n v="2694.3727512207402"/>
    <n v="163907.67569926201"/>
    <n v="590067.63251734094"/>
  </r>
  <r>
    <x v="0"/>
    <x v="0"/>
    <x v="0"/>
    <x v="7"/>
    <x v="8"/>
    <s v="NO1_A2"/>
    <x v="1"/>
    <x v="1"/>
    <s v="SolarPV-50"/>
    <x v="1"/>
    <x v="4"/>
    <n v="2755.0479493342"/>
    <n v="167598.75025116399"/>
    <n v="603355.50090418896"/>
  </r>
  <r>
    <x v="0"/>
    <x v="0"/>
    <x v="0"/>
    <x v="7"/>
    <x v="8"/>
    <s v="NO1_A2"/>
    <x v="1"/>
    <x v="1"/>
    <s v="SolarPV-50"/>
    <x v="1"/>
    <x v="5"/>
    <n v="2953.00078317936"/>
    <n v="179640.880976744"/>
    <n v="646707.17151627899"/>
  </r>
  <r>
    <x v="0"/>
    <x v="0"/>
    <x v="0"/>
    <x v="7"/>
    <x v="8"/>
    <s v="NO1_A2"/>
    <x v="1"/>
    <x v="1"/>
    <s v="SolarPV-50"/>
    <x v="1"/>
    <x v="6"/>
    <n v="3476.3243669079402"/>
    <n v="211476.39898689999"/>
    <n v="761315.03635284002"/>
  </r>
  <r>
    <x v="0"/>
    <x v="0"/>
    <x v="0"/>
    <x v="7"/>
    <x v="8"/>
    <s v="NO1_A2"/>
    <x v="1"/>
    <x v="1"/>
    <s v="SolarPV-50"/>
    <x v="1"/>
    <x v="7"/>
    <n v="4044.3959092452101"/>
    <n v="246034.08447908401"/>
    <n v="885722.70412470098"/>
  </r>
  <r>
    <x v="0"/>
    <x v="0"/>
    <x v="0"/>
    <x v="7"/>
    <x v="8"/>
    <s v="NO1_A2"/>
    <x v="1"/>
    <x v="1"/>
    <s v="SolarPV-50"/>
    <x v="1"/>
    <x v="8"/>
    <n v="4182.4319849533304"/>
    <n v="254431.27908466099"/>
    <n v="915952.60470477899"/>
  </r>
  <r>
    <x v="0"/>
    <x v="0"/>
    <x v="0"/>
    <x v="7"/>
    <x v="8"/>
    <s v="NO1_A2"/>
    <x v="1"/>
    <x v="1"/>
    <s v="SolarPV-50"/>
    <x v="1"/>
    <x v="9"/>
    <n v="4094.4529476888101"/>
    <n v="249079.22098440299"/>
    <n v="896685.19554384996"/>
  </r>
  <r>
    <x v="0"/>
    <x v="0"/>
    <x v="0"/>
    <x v="7"/>
    <x v="8"/>
    <s v="NO1_A2"/>
    <x v="1"/>
    <x v="1"/>
    <s v="SolarPV-50"/>
    <x v="1"/>
    <x v="10"/>
    <n v="4130.0996265804697"/>
    <n v="251247.72728364501"/>
    <n v="904491.81822112296"/>
  </r>
  <r>
    <x v="0"/>
    <x v="0"/>
    <x v="0"/>
    <x v="7"/>
    <x v="8"/>
    <s v="NO1_A2"/>
    <x v="1"/>
    <x v="1"/>
    <s v="SolarPV-50"/>
    <x v="1"/>
    <x v="11"/>
    <n v="4072.4581883726801"/>
    <n v="247741.20645933799"/>
    <n v="891868.34325361799"/>
  </r>
  <r>
    <x v="0"/>
    <x v="0"/>
    <x v="0"/>
    <x v="7"/>
    <x v="8"/>
    <s v="NO1_A2"/>
    <x v="1"/>
    <x v="1"/>
    <s v="SolarPV-50"/>
    <x v="2"/>
    <x v="0"/>
    <n v="2340.38925973502"/>
    <n v="142373.679967214"/>
    <n v="512545.24788197002"/>
  </r>
  <r>
    <x v="0"/>
    <x v="0"/>
    <x v="0"/>
    <x v="7"/>
    <x v="8"/>
    <s v="NO1_A2"/>
    <x v="1"/>
    <x v="1"/>
    <s v="SolarPV-50"/>
    <x v="2"/>
    <x v="1"/>
    <n v="2241.79206280065"/>
    <n v="136375.683820373"/>
    <n v="490952.461753343"/>
  </r>
  <r>
    <x v="0"/>
    <x v="0"/>
    <x v="0"/>
    <x v="7"/>
    <x v="8"/>
    <s v="NO1_A2"/>
    <x v="1"/>
    <x v="1"/>
    <s v="SolarPV-50"/>
    <x v="2"/>
    <x v="2"/>
    <n v="2209.1791438146702"/>
    <n v="134391.73124872599"/>
    <n v="483810.232495412"/>
  </r>
  <r>
    <x v="0"/>
    <x v="0"/>
    <x v="0"/>
    <x v="7"/>
    <x v="8"/>
    <s v="NO1_A2"/>
    <x v="1"/>
    <x v="1"/>
    <s v="SolarPV-50"/>
    <x v="2"/>
    <x v="3"/>
    <n v="2246.3427026591598"/>
    <n v="136652.51441176599"/>
    <n v="491949.051882356"/>
  </r>
  <r>
    <x v="0"/>
    <x v="0"/>
    <x v="0"/>
    <x v="7"/>
    <x v="8"/>
    <s v="NO1_A2"/>
    <x v="1"/>
    <x v="1"/>
    <s v="SolarPV-50"/>
    <x v="2"/>
    <x v="4"/>
    <n v="2325.2204602066599"/>
    <n v="141450.91132923801"/>
    <n v="509223.28078525799"/>
  </r>
  <r>
    <x v="0"/>
    <x v="0"/>
    <x v="0"/>
    <x v="7"/>
    <x v="8"/>
    <s v="NO1_A2"/>
    <x v="1"/>
    <x v="1"/>
    <s v="SolarPV-50"/>
    <x v="2"/>
    <x v="5"/>
    <n v="2538.3420935801801"/>
    <n v="154415.810692795"/>
    <n v="555896.91849406005"/>
  </r>
  <r>
    <x v="0"/>
    <x v="0"/>
    <x v="0"/>
    <x v="7"/>
    <x v="8"/>
    <s v="NO1_A2"/>
    <x v="1"/>
    <x v="1"/>
    <s v="SolarPV-50"/>
    <x v="2"/>
    <x v="6"/>
    <n v="3085.1773165777399"/>
    <n v="187681.62009181199"/>
    <n v="675653.83233052504"/>
  </r>
  <r>
    <x v="0"/>
    <x v="0"/>
    <x v="0"/>
    <x v="7"/>
    <x v="8"/>
    <s v="NO1_A2"/>
    <x v="1"/>
    <x v="1"/>
    <s v="SolarPV-50"/>
    <x v="2"/>
    <x v="7"/>
    <n v="3661.5916986555999"/>
    <n v="222746.82833488201"/>
    <n v="801888.58200557705"/>
  </r>
  <r>
    <x v="0"/>
    <x v="0"/>
    <x v="0"/>
    <x v="7"/>
    <x v="8"/>
    <s v="NO1_A2"/>
    <x v="1"/>
    <x v="1"/>
    <s v="SolarPV-50"/>
    <x v="2"/>
    <x v="8"/>
    <n v="3865.6120523121099"/>
    <n v="235158.06651565299"/>
    <n v="846569.03945635201"/>
  </r>
  <r>
    <x v="0"/>
    <x v="0"/>
    <x v="0"/>
    <x v="7"/>
    <x v="8"/>
    <s v="NO1_A2"/>
    <x v="1"/>
    <x v="1"/>
    <s v="SolarPV-50"/>
    <x v="2"/>
    <x v="9"/>
    <n v="3775.35769511834"/>
    <n v="229667.59311969901"/>
    <n v="826803.33523091604"/>
  </r>
  <r>
    <x v="0"/>
    <x v="0"/>
    <x v="0"/>
    <x v="7"/>
    <x v="8"/>
    <s v="NO1_A2"/>
    <x v="1"/>
    <x v="1"/>
    <s v="SolarPV-50"/>
    <x v="2"/>
    <x v="10"/>
    <n v="3729.8512965332402"/>
    <n v="226899.28720577201"/>
    <n v="816837.43394078"/>
  </r>
  <r>
    <x v="0"/>
    <x v="0"/>
    <x v="0"/>
    <x v="7"/>
    <x v="8"/>
    <s v="NO1_A2"/>
    <x v="1"/>
    <x v="1"/>
    <s v="SolarPV-50"/>
    <x v="2"/>
    <x v="11"/>
    <n v="3663.86701858486"/>
    <n v="222885.243630579"/>
    <n v="802386.87707008398"/>
  </r>
  <r>
    <x v="0"/>
    <x v="0"/>
    <x v="0"/>
    <x v="7"/>
    <x v="8"/>
    <s v="NO1_A2"/>
    <x v="1"/>
    <x v="1"/>
    <s v="SolarPV-50"/>
    <x v="3"/>
    <x v="0"/>
    <n v="4825.9301201120898"/>
    <n v="293577.415640152"/>
    <n v="1056878.6963045499"/>
  </r>
  <r>
    <x v="0"/>
    <x v="0"/>
    <x v="0"/>
    <x v="7"/>
    <x v="8"/>
    <s v="NO1_A2"/>
    <x v="1"/>
    <x v="1"/>
    <s v="SolarPV-50"/>
    <x v="3"/>
    <x v="1"/>
    <n v="4672.6512720810897"/>
    <n v="284252.95238493301"/>
    <n v="1023310.62858576"/>
  </r>
  <r>
    <x v="0"/>
    <x v="0"/>
    <x v="0"/>
    <x v="7"/>
    <x v="8"/>
    <s v="NO1_A2"/>
    <x v="1"/>
    <x v="1"/>
    <s v="SolarPV-50"/>
    <x v="3"/>
    <x v="2"/>
    <n v="4651.2505205222096"/>
    <n v="282951.07333176699"/>
    <n v="1018623.86399436"/>
  </r>
  <r>
    <x v="0"/>
    <x v="0"/>
    <x v="0"/>
    <x v="7"/>
    <x v="8"/>
    <s v="NO1_A2"/>
    <x v="1"/>
    <x v="1"/>
    <s v="SolarPV-50"/>
    <x v="3"/>
    <x v="3"/>
    <n v="2829.5122861125501"/>
    <n v="172128.66407184699"/>
    <n v="619663.19065864896"/>
  </r>
  <r>
    <x v="0"/>
    <x v="0"/>
    <x v="0"/>
    <x v="7"/>
    <x v="8"/>
    <s v="NO1_A2"/>
    <x v="1"/>
    <x v="1"/>
    <s v="SolarPV-50"/>
    <x v="3"/>
    <x v="4"/>
    <n v="2883.3615244382499"/>
    <n v="175404.49273666"/>
    <n v="631456.17385197605"/>
  </r>
  <r>
    <x v="0"/>
    <x v="0"/>
    <x v="0"/>
    <x v="7"/>
    <x v="8"/>
    <s v="NO1_A2"/>
    <x v="1"/>
    <x v="1"/>
    <s v="SolarPV-50"/>
    <x v="3"/>
    <x v="5"/>
    <n v="3108.6181974344699"/>
    <n v="189107.60701059701"/>
    <n v="680787.38523814804"/>
  </r>
  <r>
    <x v="0"/>
    <x v="0"/>
    <x v="0"/>
    <x v="7"/>
    <x v="8"/>
    <s v="NO1_A2"/>
    <x v="1"/>
    <x v="1"/>
    <s v="SolarPV-50"/>
    <x v="3"/>
    <x v="6"/>
    <n v="3658.48718033769"/>
    <n v="222557.97013721001"/>
    <n v="801208.69249395397"/>
  </r>
  <r>
    <x v="0"/>
    <x v="0"/>
    <x v="0"/>
    <x v="7"/>
    <x v="8"/>
    <s v="NO1_A2"/>
    <x v="1"/>
    <x v="1"/>
    <s v="SolarPV-50"/>
    <x v="3"/>
    <x v="7"/>
    <n v="4215.1821230286796"/>
    <n v="256423.57915091101"/>
    <n v="923124.88494328095"/>
  </r>
  <r>
    <x v="0"/>
    <x v="0"/>
    <x v="0"/>
    <x v="7"/>
    <x v="8"/>
    <s v="NO1_A2"/>
    <x v="1"/>
    <x v="1"/>
    <s v="SolarPV-50"/>
    <x v="3"/>
    <x v="8"/>
    <n v="4343.3584790433597"/>
    <n v="264220.97414180503"/>
    <n v="951195.50691049697"/>
  </r>
  <r>
    <x v="0"/>
    <x v="0"/>
    <x v="0"/>
    <x v="7"/>
    <x v="8"/>
    <s v="NO1_A2"/>
    <x v="1"/>
    <x v="1"/>
    <s v="SolarPV-50"/>
    <x v="3"/>
    <x v="9"/>
    <n v="5443.0356105174596"/>
    <n v="331117.99963981198"/>
    <n v="1192024.7987033201"/>
  </r>
  <r>
    <x v="0"/>
    <x v="0"/>
    <x v="0"/>
    <x v="7"/>
    <x v="8"/>
    <s v="NO1_A2"/>
    <x v="1"/>
    <x v="1"/>
    <s v="SolarPV-50"/>
    <x v="3"/>
    <x v="10"/>
    <n v="5726.9318719593102"/>
    <n v="348388.35554419103"/>
    <n v="1254198.0799590901"/>
  </r>
  <r>
    <x v="0"/>
    <x v="0"/>
    <x v="0"/>
    <x v="7"/>
    <x v="8"/>
    <s v="NO1_A2"/>
    <x v="1"/>
    <x v="1"/>
    <s v="SolarPV-50"/>
    <x v="3"/>
    <x v="11"/>
    <n v="5665.1201188917903"/>
    <n v="344628.14056591701"/>
    <n v="1240661.3060373"/>
  </r>
  <r>
    <x v="0"/>
    <x v="0"/>
    <x v="0"/>
    <x v="7"/>
    <x v="9"/>
    <s v="NO2_A1"/>
    <x v="7"/>
    <x v="6"/>
    <s v="GHYRR_WATER"/>
    <x v="0"/>
    <x v="0"/>
    <n v="1846.85625423637"/>
    <n v="112350.42213271301"/>
    <n v="404461.51967776503"/>
  </r>
  <r>
    <x v="0"/>
    <x v="0"/>
    <x v="0"/>
    <x v="7"/>
    <x v="9"/>
    <s v="NO2_A1"/>
    <x v="7"/>
    <x v="6"/>
    <s v="GHYRR_WATER"/>
    <x v="0"/>
    <x v="1"/>
    <n v="1846.85625423637"/>
    <n v="112350.42213271301"/>
    <n v="404461.51967776503"/>
  </r>
  <r>
    <x v="0"/>
    <x v="0"/>
    <x v="0"/>
    <x v="7"/>
    <x v="9"/>
    <s v="NO2_A1"/>
    <x v="7"/>
    <x v="6"/>
    <s v="GHYRR_WATER"/>
    <x v="0"/>
    <x v="2"/>
    <n v="1846.85625423637"/>
    <n v="112350.42213271301"/>
    <n v="404461.51967776503"/>
  </r>
  <r>
    <x v="0"/>
    <x v="0"/>
    <x v="0"/>
    <x v="7"/>
    <x v="9"/>
    <s v="NO2_A1"/>
    <x v="7"/>
    <x v="6"/>
    <s v="GHYRR_WATER"/>
    <x v="0"/>
    <x v="3"/>
    <n v="1846.85625423637"/>
    <n v="112350.42213271301"/>
    <n v="404461.51967776503"/>
  </r>
  <r>
    <x v="0"/>
    <x v="0"/>
    <x v="0"/>
    <x v="7"/>
    <x v="9"/>
    <s v="NO2_A1"/>
    <x v="7"/>
    <x v="6"/>
    <s v="GHYRR_WATER"/>
    <x v="0"/>
    <x v="4"/>
    <n v="1846.85625423637"/>
    <n v="112350.42213271301"/>
    <n v="404461.51967776503"/>
  </r>
  <r>
    <x v="0"/>
    <x v="0"/>
    <x v="0"/>
    <x v="7"/>
    <x v="9"/>
    <s v="NO2_A1"/>
    <x v="7"/>
    <x v="6"/>
    <s v="GHYRR_WATER"/>
    <x v="0"/>
    <x v="5"/>
    <n v="1846.85625423637"/>
    <n v="112350.42213271301"/>
    <n v="404461.51967776503"/>
  </r>
  <r>
    <x v="0"/>
    <x v="0"/>
    <x v="0"/>
    <x v="7"/>
    <x v="9"/>
    <s v="NO2_A1"/>
    <x v="7"/>
    <x v="6"/>
    <s v="GHYRR_WATER"/>
    <x v="0"/>
    <x v="6"/>
    <n v="1846.85625423637"/>
    <n v="112350.42213271301"/>
    <n v="404461.51967776503"/>
  </r>
  <r>
    <x v="0"/>
    <x v="0"/>
    <x v="0"/>
    <x v="7"/>
    <x v="9"/>
    <s v="NO2_A1"/>
    <x v="7"/>
    <x v="6"/>
    <s v="GHYRR_WATER"/>
    <x v="0"/>
    <x v="7"/>
    <n v="1846.85625423637"/>
    <n v="112350.42213271301"/>
    <n v="404461.51967776503"/>
  </r>
  <r>
    <x v="0"/>
    <x v="0"/>
    <x v="0"/>
    <x v="7"/>
    <x v="9"/>
    <s v="NO2_A1"/>
    <x v="7"/>
    <x v="6"/>
    <s v="GHYRR_WATER"/>
    <x v="0"/>
    <x v="8"/>
    <n v="1846.85625423637"/>
    <n v="112350.42213271301"/>
    <n v="404461.51967776503"/>
  </r>
  <r>
    <x v="0"/>
    <x v="0"/>
    <x v="0"/>
    <x v="7"/>
    <x v="9"/>
    <s v="NO2_A1"/>
    <x v="7"/>
    <x v="6"/>
    <s v="GHYRR_WATER"/>
    <x v="0"/>
    <x v="9"/>
    <n v="1846.85625423637"/>
    <n v="112350.42213271301"/>
    <n v="404461.51967776503"/>
  </r>
  <r>
    <x v="0"/>
    <x v="0"/>
    <x v="0"/>
    <x v="7"/>
    <x v="9"/>
    <s v="NO2_A1"/>
    <x v="7"/>
    <x v="6"/>
    <s v="GHYRR_WATER"/>
    <x v="0"/>
    <x v="10"/>
    <n v="1846.85625423637"/>
    <n v="112350.42213271301"/>
    <n v="404461.51967776503"/>
  </r>
  <r>
    <x v="0"/>
    <x v="0"/>
    <x v="0"/>
    <x v="7"/>
    <x v="9"/>
    <s v="NO2_A1"/>
    <x v="7"/>
    <x v="6"/>
    <s v="GHYRR_WATER"/>
    <x v="0"/>
    <x v="11"/>
    <n v="1846.85625423637"/>
    <n v="112350.42213271301"/>
    <n v="404461.51967776503"/>
  </r>
  <r>
    <x v="0"/>
    <x v="0"/>
    <x v="0"/>
    <x v="7"/>
    <x v="9"/>
    <s v="NO2_A1"/>
    <x v="7"/>
    <x v="6"/>
    <s v="GHYRR_WATER"/>
    <x v="1"/>
    <x v="0"/>
    <n v="1565.2169064243501"/>
    <n v="95217.361807481095"/>
    <n v="342782.50250693201"/>
  </r>
  <r>
    <x v="0"/>
    <x v="0"/>
    <x v="0"/>
    <x v="7"/>
    <x v="9"/>
    <s v="NO2_A1"/>
    <x v="7"/>
    <x v="6"/>
    <s v="GHYRR_WATER"/>
    <x v="1"/>
    <x v="1"/>
    <n v="1565.2169064243501"/>
    <n v="95217.361807481095"/>
    <n v="342782.50250693201"/>
  </r>
  <r>
    <x v="0"/>
    <x v="0"/>
    <x v="0"/>
    <x v="7"/>
    <x v="9"/>
    <s v="NO2_A1"/>
    <x v="7"/>
    <x v="6"/>
    <s v="GHYRR_WATER"/>
    <x v="1"/>
    <x v="2"/>
    <n v="1565.2169064243501"/>
    <n v="95217.361807481095"/>
    <n v="342782.50250693201"/>
  </r>
  <r>
    <x v="0"/>
    <x v="0"/>
    <x v="0"/>
    <x v="7"/>
    <x v="9"/>
    <s v="NO2_A1"/>
    <x v="7"/>
    <x v="6"/>
    <s v="GHYRR_WATER"/>
    <x v="1"/>
    <x v="3"/>
    <n v="1565.2169064243501"/>
    <n v="95217.361807481095"/>
    <n v="342782.50250693201"/>
  </r>
  <r>
    <x v="0"/>
    <x v="0"/>
    <x v="0"/>
    <x v="7"/>
    <x v="9"/>
    <s v="NO2_A1"/>
    <x v="7"/>
    <x v="6"/>
    <s v="GHYRR_WATER"/>
    <x v="1"/>
    <x v="4"/>
    <n v="1565.2169064243501"/>
    <n v="95217.361807481095"/>
    <n v="342782.50250693201"/>
  </r>
  <r>
    <x v="0"/>
    <x v="0"/>
    <x v="0"/>
    <x v="7"/>
    <x v="9"/>
    <s v="NO2_A1"/>
    <x v="7"/>
    <x v="6"/>
    <s v="GHYRR_WATER"/>
    <x v="1"/>
    <x v="5"/>
    <n v="1565.2169064243501"/>
    <n v="95217.361807481095"/>
    <n v="342782.50250693201"/>
  </r>
  <r>
    <x v="0"/>
    <x v="0"/>
    <x v="0"/>
    <x v="7"/>
    <x v="9"/>
    <s v="NO2_A1"/>
    <x v="7"/>
    <x v="6"/>
    <s v="GHYRR_WATER"/>
    <x v="1"/>
    <x v="6"/>
    <n v="1565.2169064243501"/>
    <n v="95217.361807481095"/>
    <n v="342782.50250693201"/>
  </r>
  <r>
    <x v="0"/>
    <x v="0"/>
    <x v="0"/>
    <x v="7"/>
    <x v="9"/>
    <s v="NO2_A1"/>
    <x v="7"/>
    <x v="6"/>
    <s v="GHYRR_WATER"/>
    <x v="1"/>
    <x v="7"/>
    <n v="1565.2169064243501"/>
    <n v="95217.361807481095"/>
    <n v="342782.50250693201"/>
  </r>
  <r>
    <x v="0"/>
    <x v="0"/>
    <x v="0"/>
    <x v="7"/>
    <x v="9"/>
    <s v="NO2_A1"/>
    <x v="7"/>
    <x v="6"/>
    <s v="GHYRR_WATER"/>
    <x v="1"/>
    <x v="8"/>
    <n v="1565.2169064243501"/>
    <n v="95217.361807481095"/>
    <n v="342782.50250693201"/>
  </r>
  <r>
    <x v="0"/>
    <x v="0"/>
    <x v="0"/>
    <x v="7"/>
    <x v="9"/>
    <s v="NO2_A1"/>
    <x v="7"/>
    <x v="6"/>
    <s v="GHYRR_WATER"/>
    <x v="1"/>
    <x v="9"/>
    <n v="1565.2169064243501"/>
    <n v="95217.361807481095"/>
    <n v="342782.50250693201"/>
  </r>
  <r>
    <x v="0"/>
    <x v="0"/>
    <x v="0"/>
    <x v="7"/>
    <x v="9"/>
    <s v="NO2_A1"/>
    <x v="7"/>
    <x v="6"/>
    <s v="GHYRR_WATER"/>
    <x v="1"/>
    <x v="10"/>
    <n v="1565.2169064243501"/>
    <n v="95217.361807481095"/>
    <n v="342782.50250693201"/>
  </r>
  <r>
    <x v="0"/>
    <x v="0"/>
    <x v="0"/>
    <x v="7"/>
    <x v="9"/>
    <s v="NO2_A1"/>
    <x v="7"/>
    <x v="6"/>
    <s v="GHYRR_WATER"/>
    <x v="1"/>
    <x v="11"/>
    <n v="1565.2169064243501"/>
    <n v="95217.361807481095"/>
    <n v="342782.50250693201"/>
  </r>
  <r>
    <x v="0"/>
    <x v="0"/>
    <x v="0"/>
    <x v="7"/>
    <x v="9"/>
    <s v="NO2_A1"/>
    <x v="7"/>
    <x v="6"/>
    <s v="GHYRR_WATER"/>
    <x v="2"/>
    <x v="0"/>
    <n v="1527.8311522900101"/>
    <n v="92943.061764308804"/>
    <n v="334595.02235151199"/>
  </r>
  <r>
    <x v="0"/>
    <x v="0"/>
    <x v="0"/>
    <x v="7"/>
    <x v="9"/>
    <s v="NO2_A1"/>
    <x v="7"/>
    <x v="6"/>
    <s v="GHYRR_WATER"/>
    <x v="2"/>
    <x v="1"/>
    <n v="1527.8311522900101"/>
    <n v="92943.061764308804"/>
    <n v="334595.02235151199"/>
  </r>
  <r>
    <x v="0"/>
    <x v="0"/>
    <x v="0"/>
    <x v="7"/>
    <x v="9"/>
    <s v="NO2_A1"/>
    <x v="7"/>
    <x v="6"/>
    <s v="GHYRR_WATER"/>
    <x v="2"/>
    <x v="2"/>
    <n v="1527.8311522900101"/>
    <n v="92943.061764308804"/>
    <n v="334595.02235151199"/>
  </r>
  <r>
    <x v="0"/>
    <x v="0"/>
    <x v="0"/>
    <x v="7"/>
    <x v="9"/>
    <s v="NO2_A1"/>
    <x v="7"/>
    <x v="6"/>
    <s v="GHYRR_WATER"/>
    <x v="2"/>
    <x v="3"/>
    <n v="1527.8311522900101"/>
    <n v="92943.061764308804"/>
    <n v="334595.02235151199"/>
  </r>
  <r>
    <x v="0"/>
    <x v="0"/>
    <x v="0"/>
    <x v="7"/>
    <x v="9"/>
    <s v="NO2_A1"/>
    <x v="7"/>
    <x v="6"/>
    <s v="GHYRR_WATER"/>
    <x v="2"/>
    <x v="4"/>
    <n v="1527.8311522900101"/>
    <n v="92943.061764308804"/>
    <n v="334595.02235151199"/>
  </r>
  <r>
    <x v="0"/>
    <x v="0"/>
    <x v="0"/>
    <x v="7"/>
    <x v="9"/>
    <s v="NO2_A1"/>
    <x v="7"/>
    <x v="6"/>
    <s v="GHYRR_WATER"/>
    <x v="2"/>
    <x v="5"/>
    <n v="1527.8311522900101"/>
    <n v="92943.061764308804"/>
    <n v="334595.02235151199"/>
  </r>
  <r>
    <x v="0"/>
    <x v="0"/>
    <x v="0"/>
    <x v="7"/>
    <x v="9"/>
    <s v="NO2_A1"/>
    <x v="7"/>
    <x v="6"/>
    <s v="GHYRR_WATER"/>
    <x v="2"/>
    <x v="6"/>
    <n v="1527.8311522900101"/>
    <n v="92943.061764308804"/>
    <n v="334595.02235151199"/>
  </r>
  <r>
    <x v="0"/>
    <x v="0"/>
    <x v="0"/>
    <x v="7"/>
    <x v="9"/>
    <s v="NO2_A1"/>
    <x v="7"/>
    <x v="6"/>
    <s v="GHYRR_WATER"/>
    <x v="2"/>
    <x v="7"/>
    <n v="1527.8311522900101"/>
    <n v="92943.061764308804"/>
    <n v="334595.02235151199"/>
  </r>
  <r>
    <x v="0"/>
    <x v="0"/>
    <x v="0"/>
    <x v="7"/>
    <x v="9"/>
    <s v="NO2_A1"/>
    <x v="7"/>
    <x v="6"/>
    <s v="GHYRR_WATER"/>
    <x v="2"/>
    <x v="8"/>
    <n v="1527.8311522900101"/>
    <n v="92943.061764308804"/>
    <n v="334595.02235151199"/>
  </r>
  <r>
    <x v="0"/>
    <x v="0"/>
    <x v="0"/>
    <x v="7"/>
    <x v="9"/>
    <s v="NO2_A1"/>
    <x v="7"/>
    <x v="6"/>
    <s v="GHYRR_WATER"/>
    <x v="2"/>
    <x v="9"/>
    <n v="1527.8311522900101"/>
    <n v="92943.061764308804"/>
    <n v="334595.02235151199"/>
  </r>
  <r>
    <x v="0"/>
    <x v="0"/>
    <x v="0"/>
    <x v="7"/>
    <x v="9"/>
    <s v="NO2_A1"/>
    <x v="7"/>
    <x v="6"/>
    <s v="GHYRR_WATER"/>
    <x v="2"/>
    <x v="10"/>
    <n v="1527.8311522900101"/>
    <n v="92943.061764308804"/>
    <n v="334595.02235151199"/>
  </r>
  <r>
    <x v="0"/>
    <x v="0"/>
    <x v="0"/>
    <x v="7"/>
    <x v="9"/>
    <s v="NO2_A1"/>
    <x v="7"/>
    <x v="6"/>
    <s v="GHYRR_WATER"/>
    <x v="2"/>
    <x v="11"/>
    <n v="1527.8311522900101"/>
    <n v="92943.061764308804"/>
    <n v="334595.02235151199"/>
  </r>
  <r>
    <x v="0"/>
    <x v="0"/>
    <x v="0"/>
    <x v="7"/>
    <x v="9"/>
    <s v="NO2_A1"/>
    <x v="7"/>
    <x v="6"/>
    <s v="GHYRR_WATER"/>
    <x v="3"/>
    <x v="0"/>
    <n v="1131.5421584660101"/>
    <n v="68835.481306682195"/>
    <n v="247807.73270405599"/>
  </r>
  <r>
    <x v="0"/>
    <x v="0"/>
    <x v="0"/>
    <x v="7"/>
    <x v="9"/>
    <s v="NO2_A1"/>
    <x v="7"/>
    <x v="6"/>
    <s v="GHYRR_WATER"/>
    <x v="3"/>
    <x v="1"/>
    <n v="1131.5421584660101"/>
    <n v="68835.481306682195"/>
    <n v="247807.73270405599"/>
  </r>
  <r>
    <x v="0"/>
    <x v="0"/>
    <x v="0"/>
    <x v="7"/>
    <x v="9"/>
    <s v="NO2_A1"/>
    <x v="7"/>
    <x v="6"/>
    <s v="GHYRR_WATER"/>
    <x v="3"/>
    <x v="2"/>
    <n v="1131.5421584660101"/>
    <n v="68835.481306682195"/>
    <n v="247807.73270405599"/>
  </r>
  <r>
    <x v="0"/>
    <x v="0"/>
    <x v="0"/>
    <x v="7"/>
    <x v="9"/>
    <s v="NO2_A1"/>
    <x v="7"/>
    <x v="6"/>
    <s v="GHYRR_WATER"/>
    <x v="3"/>
    <x v="3"/>
    <n v="1131.5421584660101"/>
    <n v="68835.481306682195"/>
    <n v="247807.73270405599"/>
  </r>
  <r>
    <x v="0"/>
    <x v="0"/>
    <x v="0"/>
    <x v="7"/>
    <x v="9"/>
    <s v="NO2_A1"/>
    <x v="7"/>
    <x v="6"/>
    <s v="GHYRR_WATER"/>
    <x v="3"/>
    <x v="4"/>
    <n v="1131.5421584660101"/>
    <n v="68835.481306682195"/>
    <n v="247807.73270405599"/>
  </r>
  <r>
    <x v="0"/>
    <x v="0"/>
    <x v="0"/>
    <x v="7"/>
    <x v="9"/>
    <s v="NO2_A1"/>
    <x v="7"/>
    <x v="6"/>
    <s v="GHYRR_WATER"/>
    <x v="3"/>
    <x v="5"/>
    <n v="1131.5421584660101"/>
    <n v="68835.481306682195"/>
    <n v="247807.73270405599"/>
  </r>
  <r>
    <x v="0"/>
    <x v="0"/>
    <x v="0"/>
    <x v="7"/>
    <x v="9"/>
    <s v="NO2_A1"/>
    <x v="7"/>
    <x v="6"/>
    <s v="GHYRR_WATER"/>
    <x v="3"/>
    <x v="6"/>
    <n v="1131.5421584660101"/>
    <n v="68835.481306682195"/>
    <n v="247807.73270405599"/>
  </r>
  <r>
    <x v="0"/>
    <x v="0"/>
    <x v="0"/>
    <x v="7"/>
    <x v="9"/>
    <s v="NO2_A1"/>
    <x v="7"/>
    <x v="6"/>
    <s v="GHYRR_WATER"/>
    <x v="3"/>
    <x v="7"/>
    <n v="1131.5421584660101"/>
    <n v="68835.481306682195"/>
    <n v="247807.73270405599"/>
  </r>
  <r>
    <x v="0"/>
    <x v="0"/>
    <x v="0"/>
    <x v="7"/>
    <x v="9"/>
    <s v="NO2_A1"/>
    <x v="7"/>
    <x v="6"/>
    <s v="GHYRR_WATER"/>
    <x v="3"/>
    <x v="8"/>
    <n v="1131.5421584660101"/>
    <n v="68835.481306682195"/>
    <n v="247807.73270405599"/>
  </r>
  <r>
    <x v="0"/>
    <x v="0"/>
    <x v="0"/>
    <x v="7"/>
    <x v="9"/>
    <s v="NO2_A1"/>
    <x v="7"/>
    <x v="6"/>
    <s v="GHYRR_WATER"/>
    <x v="3"/>
    <x v="9"/>
    <n v="1131.5421584660101"/>
    <n v="68835.481306682195"/>
    <n v="247807.73270405599"/>
  </r>
  <r>
    <x v="0"/>
    <x v="0"/>
    <x v="0"/>
    <x v="7"/>
    <x v="9"/>
    <s v="NO2_A1"/>
    <x v="7"/>
    <x v="6"/>
    <s v="GHYRR_WATER"/>
    <x v="3"/>
    <x v="10"/>
    <n v="1131.5421584660101"/>
    <n v="68835.481306682195"/>
    <n v="247807.73270405599"/>
  </r>
  <r>
    <x v="0"/>
    <x v="0"/>
    <x v="0"/>
    <x v="7"/>
    <x v="9"/>
    <s v="NO2_A1"/>
    <x v="7"/>
    <x v="6"/>
    <s v="GHYRR_WATER"/>
    <x v="3"/>
    <x v="11"/>
    <n v="1131.5421584660101"/>
    <n v="68835.481306682195"/>
    <n v="247807.73270405599"/>
  </r>
  <r>
    <x v="0"/>
    <x v="0"/>
    <x v="0"/>
    <x v="7"/>
    <x v="9"/>
    <s v="NO2_A1"/>
    <x v="7"/>
    <x v="6"/>
    <s v="GHYRR_WATER"/>
    <x v="4"/>
    <x v="0"/>
    <n v="859.87234508980896"/>
    <n v="52308.900992963303"/>
    <n v="188312.043574668"/>
  </r>
  <r>
    <x v="0"/>
    <x v="0"/>
    <x v="0"/>
    <x v="7"/>
    <x v="9"/>
    <s v="NO2_A1"/>
    <x v="7"/>
    <x v="6"/>
    <s v="GHYRR_WATER"/>
    <x v="4"/>
    <x v="1"/>
    <n v="859.87234508980896"/>
    <n v="52308.900992963303"/>
    <n v="188312.043574668"/>
  </r>
  <r>
    <x v="0"/>
    <x v="0"/>
    <x v="0"/>
    <x v="7"/>
    <x v="9"/>
    <s v="NO2_A1"/>
    <x v="7"/>
    <x v="6"/>
    <s v="GHYRR_WATER"/>
    <x v="4"/>
    <x v="2"/>
    <n v="859.87234508980896"/>
    <n v="52308.900992963303"/>
    <n v="188312.043574668"/>
  </r>
  <r>
    <x v="0"/>
    <x v="0"/>
    <x v="0"/>
    <x v="7"/>
    <x v="9"/>
    <s v="NO2_A1"/>
    <x v="7"/>
    <x v="6"/>
    <s v="GHYRR_WATER"/>
    <x v="4"/>
    <x v="3"/>
    <n v="859.87234508980896"/>
    <n v="52308.900992963303"/>
    <n v="188312.043574668"/>
  </r>
  <r>
    <x v="0"/>
    <x v="0"/>
    <x v="0"/>
    <x v="7"/>
    <x v="9"/>
    <s v="NO2_A1"/>
    <x v="7"/>
    <x v="6"/>
    <s v="GHYRR_WATER"/>
    <x v="4"/>
    <x v="4"/>
    <n v="859.87234508980896"/>
    <n v="52308.900992963303"/>
    <n v="188312.043574668"/>
  </r>
  <r>
    <x v="0"/>
    <x v="0"/>
    <x v="0"/>
    <x v="7"/>
    <x v="9"/>
    <s v="NO2_A1"/>
    <x v="7"/>
    <x v="6"/>
    <s v="GHYRR_WATER"/>
    <x v="4"/>
    <x v="5"/>
    <n v="859.87234508980896"/>
    <n v="52308.900992963303"/>
    <n v="188312.043574668"/>
  </r>
  <r>
    <x v="0"/>
    <x v="0"/>
    <x v="0"/>
    <x v="7"/>
    <x v="9"/>
    <s v="NO2_A1"/>
    <x v="7"/>
    <x v="6"/>
    <s v="GHYRR_WATER"/>
    <x v="4"/>
    <x v="6"/>
    <n v="859.87234508980896"/>
    <n v="52308.900992963303"/>
    <n v="188312.043574668"/>
  </r>
  <r>
    <x v="0"/>
    <x v="0"/>
    <x v="0"/>
    <x v="7"/>
    <x v="9"/>
    <s v="NO2_A1"/>
    <x v="7"/>
    <x v="6"/>
    <s v="GHYRR_WATER"/>
    <x v="4"/>
    <x v="7"/>
    <n v="859.87234508980896"/>
    <n v="52308.900992963303"/>
    <n v="188312.043574668"/>
  </r>
  <r>
    <x v="0"/>
    <x v="0"/>
    <x v="0"/>
    <x v="7"/>
    <x v="9"/>
    <s v="NO2_A1"/>
    <x v="7"/>
    <x v="6"/>
    <s v="GHYRR_WATER"/>
    <x v="4"/>
    <x v="8"/>
    <n v="859.87234508980896"/>
    <n v="52308.900992963303"/>
    <n v="188312.043574668"/>
  </r>
  <r>
    <x v="0"/>
    <x v="0"/>
    <x v="0"/>
    <x v="7"/>
    <x v="9"/>
    <s v="NO2_A1"/>
    <x v="7"/>
    <x v="6"/>
    <s v="GHYRR_WATER"/>
    <x v="4"/>
    <x v="9"/>
    <n v="859.87234508980896"/>
    <n v="52308.900992963303"/>
    <n v="188312.043574668"/>
  </r>
  <r>
    <x v="0"/>
    <x v="0"/>
    <x v="0"/>
    <x v="7"/>
    <x v="9"/>
    <s v="NO2_A1"/>
    <x v="7"/>
    <x v="6"/>
    <s v="GHYRR_WATER"/>
    <x v="4"/>
    <x v="10"/>
    <n v="859.87234508980896"/>
    <n v="52308.900992963303"/>
    <n v="188312.043574668"/>
  </r>
  <r>
    <x v="0"/>
    <x v="0"/>
    <x v="0"/>
    <x v="7"/>
    <x v="9"/>
    <s v="NO2_A1"/>
    <x v="7"/>
    <x v="6"/>
    <s v="GHYRR_WATER"/>
    <x v="4"/>
    <x v="11"/>
    <n v="859.87234508980896"/>
    <n v="52308.900992963303"/>
    <n v="188312.043574668"/>
  </r>
  <r>
    <x v="0"/>
    <x v="0"/>
    <x v="0"/>
    <x v="7"/>
    <x v="9"/>
    <s v="NO2_A1"/>
    <x v="7"/>
    <x v="6"/>
    <s v="GHYRR_WATER"/>
    <x v="5"/>
    <x v="0"/>
    <n v="864.85711230771994"/>
    <n v="52612.140998719697"/>
    <n v="189403.707595391"/>
  </r>
  <r>
    <x v="0"/>
    <x v="0"/>
    <x v="0"/>
    <x v="7"/>
    <x v="9"/>
    <s v="NO2_A1"/>
    <x v="7"/>
    <x v="6"/>
    <s v="GHYRR_WATER"/>
    <x v="5"/>
    <x v="1"/>
    <n v="864.85711230771994"/>
    <n v="52612.140998719697"/>
    <n v="189403.707595391"/>
  </r>
  <r>
    <x v="0"/>
    <x v="0"/>
    <x v="0"/>
    <x v="7"/>
    <x v="9"/>
    <s v="NO2_A1"/>
    <x v="7"/>
    <x v="6"/>
    <s v="GHYRR_WATER"/>
    <x v="5"/>
    <x v="2"/>
    <n v="864.85711230771994"/>
    <n v="52612.140998719697"/>
    <n v="189403.707595391"/>
  </r>
  <r>
    <x v="0"/>
    <x v="0"/>
    <x v="0"/>
    <x v="7"/>
    <x v="9"/>
    <s v="NO2_A1"/>
    <x v="7"/>
    <x v="6"/>
    <s v="GHYRR_WATER"/>
    <x v="5"/>
    <x v="3"/>
    <n v="864.85711230771994"/>
    <n v="52612.140998719697"/>
    <n v="189403.707595391"/>
  </r>
  <r>
    <x v="0"/>
    <x v="0"/>
    <x v="0"/>
    <x v="7"/>
    <x v="9"/>
    <s v="NO2_A1"/>
    <x v="7"/>
    <x v="6"/>
    <s v="GHYRR_WATER"/>
    <x v="5"/>
    <x v="4"/>
    <n v="864.85711230771994"/>
    <n v="52612.140998719697"/>
    <n v="189403.707595391"/>
  </r>
  <r>
    <x v="0"/>
    <x v="0"/>
    <x v="0"/>
    <x v="7"/>
    <x v="9"/>
    <s v="NO2_A1"/>
    <x v="7"/>
    <x v="6"/>
    <s v="GHYRR_WATER"/>
    <x v="5"/>
    <x v="5"/>
    <n v="864.85711230771994"/>
    <n v="52612.140998719697"/>
    <n v="189403.707595391"/>
  </r>
  <r>
    <x v="0"/>
    <x v="0"/>
    <x v="0"/>
    <x v="7"/>
    <x v="9"/>
    <s v="NO2_A1"/>
    <x v="7"/>
    <x v="6"/>
    <s v="GHYRR_WATER"/>
    <x v="5"/>
    <x v="6"/>
    <n v="864.85711230771994"/>
    <n v="52612.140998719697"/>
    <n v="189403.707595391"/>
  </r>
  <r>
    <x v="0"/>
    <x v="0"/>
    <x v="0"/>
    <x v="7"/>
    <x v="9"/>
    <s v="NO2_A1"/>
    <x v="7"/>
    <x v="6"/>
    <s v="GHYRR_WATER"/>
    <x v="5"/>
    <x v="7"/>
    <n v="864.85711230771994"/>
    <n v="52612.140998719697"/>
    <n v="189403.707595391"/>
  </r>
  <r>
    <x v="0"/>
    <x v="0"/>
    <x v="0"/>
    <x v="7"/>
    <x v="9"/>
    <s v="NO2_A1"/>
    <x v="7"/>
    <x v="6"/>
    <s v="GHYRR_WATER"/>
    <x v="5"/>
    <x v="8"/>
    <n v="864.85711230771994"/>
    <n v="52612.140998719697"/>
    <n v="189403.707595391"/>
  </r>
  <r>
    <x v="0"/>
    <x v="0"/>
    <x v="0"/>
    <x v="7"/>
    <x v="9"/>
    <s v="NO2_A1"/>
    <x v="7"/>
    <x v="6"/>
    <s v="GHYRR_WATER"/>
    <x v="5"/>
    <x v="9"/>
    <n v="864.85711230771994"/>
    <n v="52612.140998719697"/>
    <n v="189403.707595391"/>
  </r>
  <r>
    <x v="0"/>
    <x v="0"/>
    <x v="0"/>
    <x v="7"/>
    <x v="9"/>
    <s v="NO2_A1"/>
    <x v="7"/>
    <x v="6"/>
    <s v="GHYRR_WATER"/>
    <x v="5"/>
    <x v="10"/>
    <n v="864.85711230771994"/>
    <n v="52612.140998719697"/>
    <n v="189403.707595391"/>
  </r>
  <r>
    <x v="0"/>
    <x v="0"/>
    <x v="0"/>
    <x v="7"/>
    <x v="9"/>
    <s v="NO2_A1"/>
    <x v="7"/>
    <x v="6"/>
    <s v="GHYRR_WATER"/>
    <x v="5"/>
    <x v="11"/>
    <n v="864.85711230771994"/>
    <n v="52612.140998719697"/>
    <n v="189403.707595391"/>
  </r>
  <r>
    <x v="0"/>
    <x v="0"/>
    <x v="0"/>
    <x v="7"/>
    <x v="9"/>
    <s v="NO2_A1"/>
    <x v="7"/>
    <x v="6"/>
    <s v="GHYRR_WATER"/>
    <x v="6"/>
    <x v="0"/>
    <n v="957.07530583909102"/>
    <n v="58222.0811052114"/>
    <n v="209599.49197876101"/>
  </r>
  <r>
    <x v="0"/>
    <x v="0"/>
    <x v="0"/>
    <x v="7"/>
    <x v="9"/>
    <s v="NO2_A1"/>
    <x v="7"/>
    <x v="6"/>
    <s v="GHYRR_WATER"/>
    <x v="6"/>
    <x v="1"/>
    <n v="957.07530583909102"/>
    <n v="58222.0811052114"/>
    <n v="209599.49197876101"/>
  </r>
  <r>
    <x v="0"/>
    <x v="0"/>
    <x v="0"/>
    <x v="7"/>
    <x v="9"/>
    <s v="NO2_A1"/>
    <x v="7"/>
    <x v="6"/>
    <s v="GHYRR_WATER"/>
    <x v="6"/>
    <x v="2"/>
    <n v="957.07530583909102"/>
    <n v="58222.0811052114"/>
    <n v="209599.49197876101"/>
  </r>
  <r>
    <x v="0"/>
    <x v="0"/>
    <x v="0"/>
    <x v="7"/>
    <x v="9"/>
    <s v="NO2_A1"/>
    <x v="7"/>
    <x v="6"/>
    <s v="GHYRR_WATER"/>
    <x v="6"/>
    <x v="3"/>
    <n v="957.07530583909102"/>
    <n v="58222.0811052114"/>
    <n v="209599.49197876101"/>
  </r>
  <r>
    <x v="0"/>
    <x v="0"/>
    <x v="0"/>
    <x v="7"/>
    <x v="9"/>
    <s v="NO2_A1"/>
    <x v="7"/>
    <x v="6"/>
    <s v="GHYRR_WATER"/>
    <x v="6"/>
    <x v="4"/>
    <n v="957.07530583909102"/>
    <n v="58222.0811052114"/>
    <n v="209599.49197876101"/>
  </r>
  <r>
    <x v="0"/>
    <x v="0"/>
    <x v="0"/>
    <x v="7"/>
    <x v="9"/>
    <s v="NO2_A1"/>
    <x v="7"/>
    <x v="6"/>
    <s v="GHYRR_WATER"/>
    <x v="6"/>
    <x v="5"/>
    <n v="957.07530583909102"/>
    <n v="58222.0811052114"/>
    <n v="209599.49197876101"/>
  </r>
  <r>
    <x v="0"/>
    <x v="0"/>
    <x v="0"/>
    <x v="7"/>
    <x v="9"/>
    <s v="NO2_A1"/>
    <x v="7"/>
    <x v="6"/>
    <s v="GHYRR_WATER"/>
    <x v="6"/>
    <x v="6"/>
    <n v="957.07530583909102"/>
    <n v="58222.0811052114"/>
    <n v="209599.49197876101"/>
  </r>
  <r>
    <x v="0"/>
    <x v="0"/>
    <x v="0"/>
    <x v="7"/>
    <x v="9"/>
    <s v="NO2_A1"/>
    <x v="7"/>
    <x v="6"/>
    <s v="GHYRR_WATER"/>
    <x v="6"/>
    <x v="7"/>
    <n v="957.07530583909102"/>
    <n v="58222.0811052114"/>
    <n v="209599.49197876101"/>
  </r>
  <r>
    <x v="0"/>
    <x v="0"/>
    <x v="0"/>
    <x v="7"/>
    <x v="9"/>
    <s v="NO2_A1"/>
    <x v="7"/>
    <x v="6"/>
    <s v="GHYRR_WATER"/>
    <x v="6"/>
    <x v="8"/>
    <n v="957.07530583909102"/>
    <n v="58222.0811052114"/>
    <n v="209599.49197876101"/>
  </r>
  <r>
    <x v="0"/>
    <x v="0"/>
    <x v="0"/>
    <x v="7"/>
    <x v="9"/>
    <s v="NO2_A1"/>
    <x v="7"/>
    <x v="6"/>
    <s v="GHYRR_WATER"/>
    <x v="6"/>
    <x v="9"/>
    <n v="957.07530583909102"/>
    <n v="58222.0811052114"/>
    <n v="209599.49197876101"/>
  </r>
  <r>
    <x v="0"/>
    <x v="0"/>
    <x v="0"/>
    <x v="7"/>
    <x v="9"/>
    <s v="NO2_A1"/>
    <x v="7"/>
    <x v="6"/>
    <s v="GHYRR_WATER"/>
    <x v="6"/>
    <x v="10"/>
    <n v="957.07530583909102"/>
    <n v="58222.0811052114"/>
    <n v="209599.49197876101"/>
  </r>
  <r>
    <x v="0"/>
    <x v="0"/>
    <x v="0"/>
    <x v="7"/>
    <x v="9"/>
    <s v="NO2_A1"/>
    <x v="7"/>
    <x v="6"/>
    <s v="GHYRR_WATER"/>
    <x v="6"/>
    <x v="11"/>
    <n v="957.07530583909102"/>
    <n v="58222.0811052114"/>
    <n v="209599.49197876101"/>
  </r>
  <r>
    <x v="0"/>
    <x v="0"/>
    <x v="0"/>
    <x v="7"/>
    <x v="9"/>
    <s v="NO2_A1"/>
    <x v="7"/>
    <x v="6"/>
    <s v="GHYRR_WATER"/>
    <x v="7"/>
    <x v="0"/>
    <n v="984.491525537607"/>
    <n v="59889.9011368711"/>
    <n v="215603.64409273601"/>
  </r>
  <r>
    <x v="0"/>
    <x v="0"/>
    <x v="0"/>
    <x v="7"/>
    <x v="9"/>
    <s v="NO2_A1"/>
    <x v="7"/>
    <x v="6"/>
    <s v="GHYRR_WATER"/>
    <x v="7"/>
    <x v="1"/>
    <n v="984.491525537607"/>
    <n v="59889.9011368711"/>
    <n v="215603.64409273601"/>
  </r>
  <r>
    <x v="0"/>
    <x v="0"/>
    <x v="0"/>
    <x v="7"/>
    <x v="9"/>
    <s v="NO2_A1"/>
    <x v="7"/>
    <x v="6"/>
    <s v="GHYRR_WATER"/>
    <x v="7"/>
    <x v="2"/>
    <n v="984.491525537607"/>
    <n v="59889.9011368711"/>
    <n v="215603.64409273601"/>
  </r>
  <r>
    <x v="0"/>
    <x v="0"/>
    <x v="0"/>
    <x v="7"/>
    <x v="9"/>
    <s v="NO2_A1"/>
    <x v="7"/>
    <x v="6"/>
    <s v="GHYRR_WATER"/>
    <x v="7"/>
    <x v="3"/>
    <n v="984.491525537607"/>
    <n v="59889.9011368711"/>
    <n v="215603.64409273601"/>
  </r>
  <r>
    <x v="0"/>
    <x v="0"/>
    <x v="0"/>
    <x v="7"/>
    <x v="9"/>
    <s v="NO2_A1"/>
    <x v="7"/>
    <x v="6"/>
    <s v="GHYRR_WATER"/>
    <x v="7"/>
    <x v="4"/>
    <n v="984.491525537607"/>
    <n v="59889.9011368711"/>
    <n v="215603.64409273601"/>
  </r>
  <r>
    <x v="0"/>
    <x v="0"/>
    <x v="0"/>
    <x v="7"/>
    <x v="9"/>
    <s v="NO2_A1"/>
    <x v="7"/>
    <x v="6"/>
    <s v="GHYRR_WATER"/>
    <x v="7"/>
    <x v="5"/>
    <n v="984.491525537607"/>
    <n v="59889.9011368711"/>
    <n v="215603.64409273601"/>
  </r>
  <r>
    <x v="0"/>
    <x v="0"/>
    <x v="0"/>
    <x v="7"/>
    <x v="9"/>
    <s v="NO2_A1"/>
    <x v="7"/>
    <x v="6"/>
    <s v="GHYRR_WATER"/>
    <x v="7"/>
    <x v="6"/>
    <n v="984.491525537607"/>
    <n v="59889.9011368711"/>
    <n v="215603.64409273601"/>
  </r>
  <r>
    <x v="0"/>
    <x v="0"/>
    <x v="0"/>
    <x v="7"/>
    <x v="9"/>
    <s v="NO2_A1"/>
    <x v="7"/>
    <x v="6"/>
    <s v="GHYRR_WATER"/>
    <x v="7"/>
    <x v="7"/>
    <n v="984.491525537607"/>
    <n v="59889.9011368711"/>
    <n v="215603.64409273601"/>
  </r>
  <r>
    <x v="0"/>
    <x v="0"/>
    <x v="0"/>
    <x v="7"/>
    <x v="9"/>
    <s v="NO2_A1"/>
    <x v="7"/>
    <x v="6"/>
    <s v="GHYRR_WATER"/>
    <x v="7"/>
    <x v="8"/>
    <n v="984.491525537607"/>
    <n v="59889.9011368711"/>
    <n v="215603.64409273601"/>
  </r>
  <r>
    <x v="0"/>
    <x v="0"/>
    <x v="0"/>
    <x v="7"/>
    <x v="9"/>
    <s v="NO2_A1"/>
    <x v="7"/>
    <x v="6"/>
    <s v="GHYRR_WATER"/>
    <x v="7"/>
    <x v="9"/>
    <n v="984.491525537607"/>
    <n v="59889.9011368711"/>
    <n v="215603.64409273601"/>
  </r>
  <r>
    <x v="0"/>
    <x v="0"/>
    <x v="0"/>
    <x v="7"/>
    <x v="9"/>
    <s v="NO2_A1"/>
    <x v="7"/>
    <x v="6"/>
    <s v="GHYRR_WATER"/>
    <x v="7"/>
    <x v="10"/>
    <n v="984.491525537607"/>
    <n v="59889.9011368711"/>
    <n v="215603.64409273601"/>
  </r>
  <r>
    <x v="0"/>
    <x v="0"/>
    <x v="0"/>
    <x v="7"/>
    <x v="9"/>
    <s v="NO2_A1"/>
    <x v="7"/>
    <x v="6"/>
    <s v="GHYRR_WATER"/>
    <x v="7"/>
    <x v="11"/>
    <n v="984.491525537607"/>
    <n v="59889.9011368711"/>
    <n v="215603.64409273601"/>
  </r>
  <r>
    <x v="0"/>
    <x v="0"/>
    <x v="0"/>
    <x v="7"/>
    <x v="9"/>
    <s v="NO2_A1"/>
    <x v="7"/>
    <x v="6"/>
    <s v="GHYRR_WATER"/>
    <x v="8"/>
    <x v="0"/>
    <n v="1111.60308959436"/>
    <n v="67622.521283656999"/>
    <n v="243441.076621165"/>
  </r>
  <r>
    <x v="0"/>
    <x v="0"/>
    <x v="0"/>
    <x v="7"/>
    <x v="9"/>
    <s v="NO2_A1"/>
    <x v="7"/>
    <x v="6"/>
    <s v="GHYRR_WATER"/>
    <x v="8"/>
    <x v="1"/>
    <n v="1111.60308959436"/>
    <n v="67622.521283656999"/>
    <n v="243441.076621165"/>
  </r>
  <r>
    <x v="0"/>
    <x v="0"/>
    <x v="0"/>
    <x v="7"/>
    <x v="9"/>
    <s v="NO2_A1"/>
    <x v="7"/>
    <x v="6"/>
    <s v="GHYRR_WATER"/>
    <x v="8"/>
    <x v="2"/>
    <n v="1111.60308959436"/>
    <n v="67622.521283656999"/>
    <n v="243441.076621165"/>
  </r>
  <r>
    <x v="0"/>
    <x v="0"/>
    <x v="0"/>
    <x v="7"/>
    <x v="9"/>
    <s v="NO2_A1"/>
    <x v="7"/>
    <x v="6"/>
    <s v="GHYRR_WATER"/>
    <x v="8"/>
    <x v="3"/>
    <n v="1111.60308959436"/>
    <n v="67622.521283656999"/>
    <n v="243441.076621165"/>
  </r>
  <r>
    <x v="0"/>
    <x v="0"/>
    <x v="0"/>
    <x v="7"/>
    <x v="9"/>
    <s v="NO2_A1"/>
    <x v="7"/>
    <x v="6"/>
    <s v="GHYRR_WATER"/>
    <x v="8"/>
    <x v="4"/>
    <n v="1111.60308959436"/>
    <n v="67622.521283656999"/>
    <n v="243441.076621165"/>
  </r>
  <r>
    <x v="0"/>
    <x v="0"/>
    <x v="0"/>
    <x v="7"/>
    <x v="9"/>
    <s v="NO2_A1"/>
    <x v="7"/>
    <x v="6"/>
    <s v="GHYRR_WATER"/>
    <x v="8"/>
    <x v="5"/>
    <n v="1111.60308959436"/>
    <n v="67622.521283656999"/>
    <n v="243441.076621165"/>
  </r>
  <r>
    <x v="0"/>
    <x v="0"/>
    <x v="0"/>
    <x v="7"/>
    <x v="9"/>
    <s v="NO2_A1"/>
    <x v="7"/>
    <x v="6"/>
    <s v="GHYRR_WATER"/>
    <x v="8"/>
    <x v="6"/>
    <n v="1111.60308959436"/>
    <n v="67622.521283656999"/>
    <n v="243441.076621165"/>
  </r>
  <r>
    <x v="0"/>
    <x v="0"/>
    <x v="0"/>
    <x v="7"/>
    <x v="9"/>
    <s v="NO2_A1"/>
    <x v="7"/>
    <x v="6"/>
    <s v="GHYRR_WATER"/>
    <x v="8"/>
    <x v="7"/>
    <n v="1111.60308959436"/>
    <n v="67622.521283656999"/>
    <n v="243441.076621165"/>
  </r>
  <r>
    <x v="0"/>
    <x v="0"/>
    <x v="0"/>
    <x v="7"/>
    <x v="9"/>
    <s v="NO2_A1"/>
    <x v="7"/>
    <x v="6"/>
    <s v="GHYRR_WATER"/>
    <x v="8"/>
    <x v="8"/>
    <n v="1111.60308959436"/>
    <n v="67622.521283656999"/>
    <n v="243441.076621165"/>
  </r>
  <r>
    <x v="0"/>
    <x v="0"/>
    <x v="0"/>
    <x v="7"/>
    <x v="9"/>
    <s v="NO2_A1"/>
    <x v="7"/>
    <x v="6"/>
    <s v="GHYRR_WATER"/>
    <x v="8"/>
    <x v="9"/>
    <n v="1111.60308959436"/>
    <n v="67622.521283656999"/>
    <n v="243441.076621165"/>
  </r>
  <r>
    <x v="0"/>
    <x v="0"/>
    <x v="0"/>
    <x v="7"/>
    <x v="9"/>
    <s v="NO2_A1"/>
    <x v="7"/>
    <x v="6"/>
    <s v="GHYRR_WATER"/>
    <x v="8"/>
    <x v="10"/>
    <n v="1111.60308959436"/>
    <n v="67622.521283656999"/>
    <n v="243441.076621165"/>
  </r>
  <r>
    <x v="0"/>
    <x v="0"/>
    <x v="0"/>
    <x v="7"/>
    <x v="9"/>
    <s v="NO2_A1"/>
    <x v="7"/>
    <x v="6"/>
    <s v="GHYRR_WATER"/>
    <x v="8"/>
    <x v="11"/>
    <n v="1111.60308959436"/>
    <n v="67622.521283656999"/>
    <n v="243441.076621165"/>
  </r>
  <r>
    <x v="0"/>
    <x v="0"/>
    <x v="0"/>
    <x v="7"/>
    <x v="9"/>
    <s v="NO2_A1"/>
    <x v="7"/>
    <x v="6"/>
    <s v="GHYRR_WATER"/>
    <x v="9"/>
    <x v="0"/>
    <n v="1034.33919771673"/>
    <n v="62922.3011944342"/>
    <n v="226520.28429996301"/>
  </r>
  <r>
    <x v="0"/>
    <x v="0"/>
    <x v="0"/>
    <x v="7"/>
    <x v="9"/>
    <s v="NO2_A1"/>
    <x v="7"/>
    <x v="6"/>
    <s v="GHYRR_WATER"/>
    <x v="9"/>
    <x v="1"/>
    <n v="1034.33919771673"/>
    <n v="62922.3011944342"/>
    <n v="226520.28429996301"/>
  </r>
  <r>
    <x v="0"/>
    <x v="0"/>
    <x v="0"/>
    <x v="7"/>
    <x v="9"/>
    <s v="NO2_A1"/>
    <x v="7"/>
    <x v="6"/>
    <s v="GHYRR_WATER"/>
    <x v="9"/>
    <x v="2"/>
    <n v="1034.33919771673"/>
    <n v="62922.3011944342"/>
    <n v="226520.28429996301"/>
  </r>
  <r>
    <x v="0"/>
    <x v="0"/>
    <x v="0"/>
    <x v="7"/>
    <x v="9"/>
    <s v="NO2_A1"/>
    <x v="7"/>
    <x v="6"/>
    <s v="GHYRR_WATER"/>
    <x v="9"/>
    <x v="3"/>
    <n v="1034.33919771673"/>
    <n v="62922.3011944342"/>
    <n v="226520.28429996301"/>
  </r>
  <r>
    <x v="0"/>
    <x v="0"/>
    <x v="0"/>
    <x v="7"/>
    <x v="9"/>
    <s v="NO2_A1"/>
    <x v="7"/>
    <x v="6"/>
    <s v="GHYRR_WATER"/>
    <x v="9"/>
    <x v="4"/>
    <n v="1034.33919771673"/>
    <n v="62922.3011944342"/>
    <n v="226520.28429996301"/>
  </r>
  <r>
    <x v="0"/>
    <x v="0"/>
    <x v="0"/>
    <x v="7"/>
    <x v="9"/>
    <s v="NO2_A1"/>
    <x v="7"/>
    <x v="6"/>
    <s v="GHYRR_WATER"/>
    <x v="9"/>
    <x v="5"/>
    <n v="1034.33919771673"/>
    <n v="62922.3011944342"/>
    <n v="226520.28429996301"/>
  </r>
  <r>
    <x v="0"/>
    <x v="0"/>
    <x v="0"/>
    <x v="7"/>
    <x v="9"/>
    <s v="NO2_A1"/>
    <x v="7"/>
    <x v="6"/>
    <s v="GHYRR_WATER"/>
    <x v="9"/>
    <x v="6"/>
    <n v="1034.33919771673"/>
    <n v="62922.3011944342"/>
    <n v="226520.28429996301"/>
  </r>
  <r>
    <x v="0"/>
    <x v="0"/>
    <x v="0"/>
    <x v="7"/>
    <x v="9"/>
    <s v="NO2_A1"/>
    <x v="7"/>
    <x v="6"/>
    <s v="GHYRR_WATER"/>
    <x v="9"/>
    <x v="7"/>
    <n v="1034.33919771673"/>
    <n v="62922.3011944342"/>
    <n v="226520.28429996301"/>
  </r>
  <r>
    <x v="0"/>
    <x v="0"/>
    <x v="0"/>
    <x v="7"/>
    <x v="9"/>
    <s v="NO2_A1"/>
    <x v="7"/>
    <x v="6"/>
    <s v="GHYRR_WATER"/>
    <x v="9"/>
    <x v="8"/>
    <n v="1034.33919771673"/>
    <n v="62922.3011944342"/>
    <n v="226520.28429996301"/>
  </r>
  <r>
    <x v="0"/>
    <x v="0"/>
    <x v="0"/>
    <x v="7"/>
    <x v="9"/>
    <s v="NO2_A1"/>
    <x v="7"/>
    <x v="6"/>
    <s v="GHYRR_WATER"/>
    <x v="9"/>
    <x v="9"/>
    <n v="1034.33919771673"/>
    <n v="62922.3011944342"/>
    <n v="226520.28429996301"/>
  </r>
  <r>
    <x v="0"/>
    <x v="0"/>
    <x v="0"/>
    <x v="7"/>
    <x v="9"/>
    <s v="NO2_A1"/>
    <x v="7"/>
    <x v="6"/>
    <s v="GHYRR_WATER"/>
    <x v="9"/>
    <x v="10"/>
    <n v="1034.33919771673"/>
    <n v="62922.3011944342"/>
    <n v="226520.28429996301"/>
  </r>
  <r>
    <x v="0"/>
    <x v="0"/>
    <x v="0"/>
    <x v="7"/>
    <x v="9"/>
    <s v="NO2_A1"/>
    <x v="7"/>
    <x v="6"/>
    <s v="GHYRR_WATER"/>
    <x v="9"/>
    <x v="11"/>
    <n v="1034.33919771673"/>
    <n v="62922.3011944342"/>
    <n v="226520.28429996301"/>
  </r>
  <r>
    <x v="0"/>
    <x v="0"/>
    <x v="0"/>
    <x v="7"/>
    <x v="9"/>
    <s v="NO2_A1"/>
    <x v="7"/>
    <x v="6"/>
    <s v="GHYRR_WATER"/>
    <x v="10"/>
    <x v="0"/>
    <n v="1246.19180447798"/>
    <n v="75810.001439077299"/>
    <n v="272916.00518067798"/>
  </r>
  <r>
    <x v="0"/>
    <x v="0"/>
    <x v="0"/>
    <x v="7"/>
    <x v="9"/>
    <s v="NO2_A1"/>
    <x v="7"/>
    <x v="6"/>
    <s v="GHYRR_WATER"/>
    <x v="10"/>
    <x v="1"/>
    <n v="1246.19180447798"/>
    <n v="75810.001439077299"/>
    <n v="272916.00518067798"/>
  </r>
  <r>
    <x v="0"/>
    <x v="0"/>
    <x v="0"/>
    <x v="7"/>
    <x v="9"/>
    <s v="NO2_A1"/>
    <x v="7"/>
    <x v="6"/>
    <s v="GHYRR_WATER"/>
    <x v="10"/>
    <x v="2"/>
    <n v="1246.19180447798"/>
    <n v="75810.001439077299"/>
    <n v="272916.00518067798"/>
  </r>
  <r>
    <x v="0"/>
    <x v="0"/>
    <x v="0"/>
    <x v="7"/>
    <x v="9"/>
    <s v="NO2_A1"/>
    <x v="7"/>
    <x v="6"/>
    <s v="GHYRR_WATER"/>
    <x v="10"/>
    <x v="3"/>
    <n v="1246.19180447798"/>
    <n v="75810.001439077299"/>
    <n v="272916.00518067798"/>
  </r>
  <r>
    <x v="0"/>
    <x v="0"/>
    <x v="0"/>
    <x v="7"/>
    <x v="9"/>
    <s v="NO2_A1"/>
    <x v="7"/>
    <x v="6"/>
    <s v="GHYRR_WATER"/>
    <x v="10"/>
    <x v="4"/>
    <n v="1246.19180447798"/>
    <n v="75810.001439077299"/>
    <n v="272916.00518067798"/>
  </r>
  <r>
    <x v="0"/>
    <x v="0"/>
    <x v="0"/>
    <x v="7"/>
    <x v="9"/>
    <s v="NO2_A1"/>
    <x v="7"/>
    <x v="6"/>
    <s v="GHYRR_WATER"/>
    <x v="10"/>
    <x v="5"/>
    <n v="1246.19180447798"/>
    <n v="75810.001439077299"/>
    <n v="272916.00518067798"/>
  </r>
  <r>
    <x v="0"/>
    <x v="0"/>
    <x v="0"/>
    <x v="7"/>
    <x v="9"/>
    <s v="NO2_A1"/>
    <x v="7"/>
    <x v="6"/>
    <s v="GHYRR_WATER"/>
    <x v="10"/>
    <x v="6"/>
    <n v="1246.19180447798"/>
    <n v="75810.001439077299"/>
    <n v="272916.00518067798"/>
  </r>
  <r>
    <x v="0"/>
    <x v="0"/>
    <x v="0"/>
    <x v="7"/>
    <x v="9"/>
    <s v="NO2_A1"/>
    <x v="7"/>
    <x v="6"/>
    <s v="GHYRR_WATER"/>
    <x v="10"/>
    <x v="7"/>
    <n v="1246.19180447798"/>
    <n v="75810.001439077299"/>
    <n v="272916.00518067798"/>
  </r>
  <r>
    <x v="0"/>
    <x v="0"/>
    <x v="0"/>
    <x v="7"/>
    <x v="9"/>
    <s v="NO2_A1"/>
    <x v="7"/>
    <x v="6"/>
    <s v="GHYRR_WATER"/>
    <x v="10"/>
    <x v="8"/>
    <n v="1246.19180447798"/>
    <n v="75810.001439077299"/>
    <n v="272916.00518067798"/>
  </r>
  <r>
    <x v="0"/>
    <x v="0"/>
    <x v="0"/>
    <x v="7"/>
    <x v="9"/>
    <s v="NO2_A1"/>
    <x v="7"/>
    <x v="6"/>
    <s v="GHYRR_WATER"/>
    <x v="10"/>
    <x v="9"/>
    <n v="1246.19180447798"/>
    <n v="75810.001439077299"/>
    <n v="272916.00518067798"/>
  </r>
  <r>
    <x v="0"/>
    <x v="0"/>
    <x v="0"/>
    <x v="7"/>
    <x v="9"/>
    <s v="NO2_A1"/>
    <x v="7"/>
    <x v="6"/>
    <s v="GHYRR_WATER"/>
    <x v="10"/>
    <x v="10"/>
    <n v="1246.19180447798"/>
    <n v="75810.001439077299"/>
    <n v="272916.00518067798"/>
  </r>
  <r>
    <x v="0"/>
    <x v="0"/>
    <x v="0"/>
    <x v="7"/>
    <x v="9"/>
    <s v="NO2_A1"/>
    <x v="7"/>
    <x v="6"/>
    <s v="GHYRR_WATER"/>
    <x v="10"/>
    <x v="11"/>
    <n v="1246.19180447798"/>
    <n v="75810.001439077299"/>
    <n v="272916.00518067798"/>
  </r>
  <r>
    <x v="0"/>
    <x v="0"/>
    <x v="0"/>
    <x v="7"/>
    <x v="9"/>
    <s v="NO2_A1"/>
    <x v="7"/>
    <x v="6"/>
    <s v="GHYRR_WATER"/>
    <x v="11"/>
    <x v="0"/>
    <n v="2123.5108348304798"/>
    <n v="129180.242452188"/>
    <n v="465048.87282787601"/>
  </r>
  <r>
    <x v="0"/>
    <x v="0"/>
    <x v="0"/>
    <x v="7"/>
    <x v="9"/>
    <s v="NO2_A1"/>
    <x v="7"/>
    <x v="6"/>
    <s v="GHYRR_WATER"/>
    <x v="11"/>
    <x v="1"/>
    <n v="2123.5108348304798"/>
    <n v="129180.242452188"/>
    <n v="465048.87282787601"/>
  </r>
  <r>
    <x v="0"/>
    <x v="0"/>
    <x v="0"/>
    <x v="7"/>
    <x v="9"/>
    <s v="NO2_A1"/>
    <x v="7"/>
    <x v="6"/>
    <s v="GHYRR_WATER"/>
    <x v="11"/>
    <x v="2"/>
    <n v="2123.5108348304798"/>
    <n v="129180.242452188"/>
    <n v="465048.87282787601"/>
  </r>
  <r>
    <x v="0"/>
    <x v="0"/>
    <x v="0"/>
    <x v="7"/>
    <x v="9"/>
    <s v="NO2_A1"/>
    <x v="7"/>
    <x v="6"/>
    <s v="GHYRR_WATER"/>
    <x v="11"/>
    <x v="3"/>
    <n v="2123.5108348304798"/>
    <n v="129180.242452188"/>
    <n v="465048.87282787601"/>
  </r>
  <r>
    <x v="0"/>
    <x v="0"/>
    <x v="0"/>
    <x v="7"/>
    <x v="9"/>
    <s v="NO2_A1"/>
    <x v="7"/>
    <x v="6"/>
    <s v="GHYRR_WATER"/>
    <x v="11"/>
    <x v="4"/>
    <n v="2123.5108348304798"/>
    <n v="129180.242452188"/>
    <n v="465048.87282787601"/>
  </r>
  <r>
    <x v="0"/>
    <x v="0"/>
    <x v="0"/>
    <x v="7"/>
    <x v="9"/>
    <s v="NO2_A1"/>
    <x v="7"/>
    <x v="6"/>
    <s v="GHYRR_WATER"/>
    <x v="11"/>
    <x v="5"/>
    <n v="2123.5108348304798"/>
    <n v="129180.242452188"/>
    <n v="465048.87282787601"/>
  </r>
  <r>
    <x v="0"/>
    <x v="0"/>
    <x v="0"/>
    <x v="7"/>
    <x v="9"/>
    <s v="NO2_A1"/>
    <x v="7"/>
    <x v="6"/>
    <s v="GHYRR_WATER"/>
    <x v="11"/>
    <x v="6"/>
    <n v="2123.5108348304798"/>
    <n v="129180.242452188"/>
    <n v="465048.87282787601"/>
  </r>
  <r>
    <x v="0"/>
    <x v="0"/>
    <x v="0"/>
    <x v="7"/>
    <x v="9"/>
    <s v="NO2_A1"/>
    <x v="7"/>
    <x v="6"/>
    <s v="GHYRR_WATER"/>
    <x v="11"/>
    <x v="7"/>
    <n v="2123.5108348304798"/>
    <n v="129180.242452188"/>
    <n v="465048.87282787601"/>
  </r>
  <r>
    <x v="0"/>
    <x v="0"/>
    <x v="0"/>
    <x v="7"/>
    <x v="9"/>
    <s v="NO2_A1"/>
    <x v="7"/>
    <x v="6"/>
    <s v="GHYRR_WATER"/>
    <x v="11"/>
    <x v="8"/>
    <n v="2123.5108348304798"/>
    <n v="129180.242452188"/>
    <n v="465048.87282787601"/>
  </r>
  <r>
    <x v="0"/>
    <x v="0"/>
    <x v="0"/>
    <x v="7"/>
    <x v="9"/>
    <s v="NO2_A1"/>
    <x v="7"/>
    <x v="6"/>
    <s v="GHYRR_WATER"/>
    <x v="11"/>
    <x v="9"/>
    <n v="2123.5108348304798"/>
    <n v="129180.242452188"/>
    <n v="465048.87282787601"/>
  </r>
  <r>
    <x v="0"/>
    <x v="0"/>
    <x v="0"/>
    <x v="7"/>
    <x v="9"/>
    <s v="NO2_A1"/>
    <x v="7"/>
    <x v="6"/>
    <s v="GHYRR_WATER"/>
    <x v="11"/>
    <x v="10"/>
    <n v="2123.5108348304798"/>
    <n v="129180.242452188"/>
    <n v="465048.87282787601"/>
  </r>
  <r>
    <x v="0"/>
    <x v="0"/>
    <x v="0"/>
    <x v="7"/>
    <x v="9"/>
    <s v="NO2_A1"/>
    <x v="7"/>
    <x v="6"/>
    <s v="GHYRR_WATER"/>
    <x v="11"/>
    <x v="11"/>
    <n v="2123.5108348304798"/>
    <n v="129180.242452188"/>
    <n v="465048.87282787601"/>
  </r>
  <r>
    <x v="0"/>
    <x v="0"/>
    <x v="0"/>
    <x v="7"/>
    <x v="9"/>
    <s v="NO2_A1"/>
    <x v="7"/>
    <x v="7"/>
    <s v="GHYRS_WATER"/>
    <x v="0"/>
    <x v="0"/>
    <n v="872.20868992221097"/>
    <n v="53059.361970267797"/>
    <n v="191013.70309296399"/>
  </r>
  <r>
    <x v="0"/>
    <x v="0"/>
    <x v="0"/>
    <x v="7"/>
    <x v="9"/>
    <s v="NO2_A1"/>
    <x v="7"/>
    <x v="7"/>
    <s v="GHYRS_WATER"/>
    <x v="0"/>
    <x v="1"/>
    <n v="811.40244451645697"/>
    <n v="49360.315374751102"/>
    <n v="177697.13534910401"/>
  </r>
  <r>
    <x v="0"/>
    <x v="0"/>
    <x v="0"/>
    <x v="7"/>
    <x v="9"/>
    <s v="NO2_A1"/>
    <x v="7"/>
    <x v="7"/>
    <s v="GHYRS_WATER"/>
    <x v="0"/>
    <x v="2"/>
    <n v="800.98452861507997"/>
    <n v="48726.558824084103"/>
    <n v="175415.61176670299"/>
  </r>
  <r>
    <x v="0"/>
    <x v="0"/>
    <x v="0"/>
    <x v="7"/>
    <x v="9"/>
    <s v="NO2_A1"/>
    <x v="7"/>
    <x v="7"/>
    <s v="GHYRS_WATER"/>
    <x v="0"/>
    <x v="3"/>
    <n v="811.24278400667299"/>
    <n v="49350.602693739304"/>
    <n v="177662.16969746101"/>
  </r>
  <r>
    <x v="0"/>
    <x v="0"/>
    <x v="0"/>
    <x v="7"/>
    <x v="9"/>
    <s v="NO2_A1"/>
    <x v="7"/>
    <x v="7"/>
    <s v="GHYRS_WATER"/>
    <x v="0"/>
    <x v="4"/>
    <n v="826.54377951087395"/>
    <n v="50281.413253578103"/>
    <n v="181013.08771288101"/>
  </r>
  <r>
    <x v="0"/>
    <x v="0"/>
    <x v="0"/>
    <x v="7"/>
    <x v="9"/>
    <s v="NO2_A1"/>
    <x v="7"/>
    <x v="7"/>
    <s v="GHYRS_WATER"/>
    <x v="0"/>
    <x v="5"/>
    <n v="900.14095610463903"/>
    <n v="54758.574829698897"/>
    <n v="197130.86938691599"/>
  </r>
  <r>
    <x v="0"/>
    <x v="0"/>
    <x v="0"/>
    <x v="7"/>
    <x v="9"/>
    <s v="NO2_A1"/>
    <x v="7"/>
    <x v="7"/>
    <s v="GHYRS_WATER"/>
    <x v="0"/>
    <x v="6"/>
    <n v="1072.7693255613401"/>
    <n v="65260.133971648102"/>
    <n v="234936.48229793299"/>
  </r>
  <r>
    <x v="0"/>
    <x v="0"/>
    <x v="0"/>
    <x v="7"/>
    <x v="9"/>
    <s v="NO2_A1"/>
    <x v="7"/>
    <x v="7"/>
    <s v="GHYRS_WATER"/>
    <x v="0"/>
    <x v="7"/>
    <n v="1297.8341613478401"/>
    <n v="78951.578148660206"/>
    <n v="284225.68133517698"/>
  </r>
  <r>
    <x v="0"/>
    <x v="0"/>
    <x v="0"/>
    <x v="7"/>
    <x v="9"/>
    <s v="NO2_A1"/>
    <x v="7"/>
    <x v="7"/>
    <s v="GHYRS_WATER"/>
    <x v="0"/>
    <x v="8"/>
    <n v="1359.7742465675699"/>
    <n v="82719.599999527403"/>
    <n v="297790.559998299"/>
  </r>
  <r>
    <x v="0"/>
    <x v="0"/>
    <x v="0"/>
    <x v="7"/>
    <x v="9"/>
    <s v="NO2_A1"/>
    <x v="7"/>
    <x v="7"/>
    <s v="GHYRS_WATER"/>
    <x v="0"/>
    <x v="9"/>
    <n v="1390.9790928838199"/>
    <n v="84617.894817099295"/>
    <n v="304624.421341557"/>
  </r>
  <r>
    <x v="0"/>
    <x v="0"/>
    <x v="0"/>
    <x v="7"/>
    <x v="9"/>
    <s v="NO2_A1"/>
    <x v="7"/>
    <x v="7"/>
    <s v="GHYRS_WATER"/>
    <x v="0"/>
    <x v="10"/>
    <n v="1377.81545015355"/>
    <n v="83817.106551007804"/>
    <n v="301741.583583628"/>
  </r>
  <r>
    <x v="0"/>
    <x v="0"/>
    <x v="0"/>
    <x v="7"/>
    <x v="9"/>
    <s v="NO2_A1"/>
    <x v="7"/>
    <x v="7"/>
    <s v="GHYRS_WATER"/>
    <x v="0"/>
    <x v="11"/>
    <n v="1430.65891306343"/>
    <n v="87031.750544691997"/>
    <n v="313314.301960891"/>
  </r>
  <r>
    <x v="0"/>
    <x v="0"/>
    <x v="0"/>
    <x v="7"/>
    <x v="9"/>
    <s v="NO2_A1"/>
    <x v="7"/>
    <x v="7"/>
    <s v="GHYRS_WATER"/>
    <x v="1"/>
    <x v="0"/>
    <n v="1373.5516593150701"/>
    <n v="83557.725941666693"/>
    <n v="300807.81339000002"/>
  </r>
  <r>
    <x v="0"/>
    <x v="0"/>
    <x v="0"/>
    <x v="7"/>
    <x v="9"/>
    <s v="NO2_A1"/>
    <x v="7"/>
    <x v="7"/>
    <s v="GHYRS_WATER"/>
    <x v="1"/>
    <x v="1"/>
    <n v="1315.02502975623"/>
    <n v="79997.355976837396"/>
    <n v="287990.48151661502"/>
  </r>
  <r>
    <x v="0"/>
    <x v="0"/>
    <x v="0"/>
    <x v="7"/>
    <x v="9"/>
    <s v="NO2_A1"/>
    <x v="7"/>
    <x v="7"/>
    <s v="GHYRS_WATER"/>
    <x v="1"/>
    <x v="2"/>
    <n v="1295.33135817323"/>
    <n v="78799.324288871503"/>
    <n v="283677.56743993697"/>
  </r>
  <r>
    <x v="0"/>
    <x v="0"/>
    <x v="0"/>
    <x v="7"/>
    <x v="9"/>
    <s v="NO2_A1"/>
    <x v="7"/>
    <x v="7"/>
    <s v="GHYRS_WATER"/>
    <x v="1"/>
    <x v="3"/>
    <n v="1344.1685425820301"/>
    <n v="81770.253007073799"/>
    <n v="294372.91082546598"/>
  </r>
  <r>
    <x v="0"/>
    <x v="0"/>
    <x v="0"/>
    <x v="7"/>
    <x v="9"/>
    <s v="NO2_A1"/>
    <x v="7"/>
    <x v="7"/>
    <s v="GHYRS_WATER"/>
    <x v="1"/>
    <x v="4"/>
    <n v="1388.42839442474"/>
    <n v="84462.727327504705"/>
    <n v="304065.818379017"/>
  </r>
  <r>
    <x v="0"/>
    <x v="0"/>
    <x v="0"/>
    <x v="7"/>
    <x v="9"/>
    <s v="NO2_A1"/>
    <x v="7"/>
    <x v="7"/>
    <s v="GHYRS_WATER"/>
    <x v="1"/>
    <x v="5"/>
    <n v="1487.6068164425501"/>
    <n v="90496.081333588401"/>
    <n v="325785.89280091802"/>
  </r>
  <r>
    <x v="0"/>
    <x v="0"/>
    <x v="0"/>
    <x v="7"/>
    <x v="9"/>
    <s v="NO2_A1"/>
    <x v="7"/>
    <x v="7"/>
    <s v="GHYRS_WATER"/>
    <x v="1"/>
    <x v="6"/>
    <n v="1689.56945000368"/>
    <n v="102782.14154189"/>
    <n v="370015.70955080498"/>
  </r>
  <r>
    <x v="0"/>
    <x v="0"/>
    <x v="0"/>
    <x v="7"/>
    <x v="9"/>
    <s v="NO2_A1"/>
    <x v="7"/>
    <x v="7"/>
    <s v="GHYRS_WATER"/>
    <x v="1"/>
    <x v="7"/>
    <n v="1926.08175938308"/>
    <n v="117169.973695804"/>
    <n v="421811.90530489502"/>
  </r>
  <r>
    <x v="0"/>
    <x v="0"/>
    <x v="0"/>
    <x v="7"/>
    <x v="9"/>
    <s v="NO2_A1"/>
    <x v="7"/>
    <x v="7"/>
    <s v="GHYRS_WATER"/>
    <x v="1"/>
    <x v="8"/>
    <n v="1994.22405674331"/>
    <n v="121315.296785218"/>
    <n v="436735.068426785"/>
  </r>
  <r>
    <x v="0"/>
    <x v="0"/>
    <x v="0"/>
    <x v="7"/>
    <x v="9"/>
    <s v="NO2_A1"/>
    <x v="7"/>
    <x v="7"/>
    <s v="GHYRS_WATER"/>
    <x v="1"/>
    <x v="9"/>
    <n v="1989.18253589954"/>
    <n v="121008.60426722201"/>
    <n v="435630.97536199901"/>
  </r>
  <r>
    <x v="0"/>
    <x v="0"/>
    <x v="0"/>
    <x v="7"/>
    <x v="9"/>
    <s v="NO2_A1"/>
    <x v="7"/>
    <x v="7"/>
    <s v="GHYRS_WATER"/>
    <x v="1"/>
    <x v="10"/>
    <n v="1921.12545550338"/>
    <n v="116868.46520978901"/>
    <n v="420726.47475524002"/>
  </r>
  <r>
    <x v="0"/>
    <x v="0"/>
    <x v="0"/>
    <x v="7"/>
    <x v="9"/>
    <s v="NO2_A1"/>
    <x v="7"/>
    <x v="7"/>
    <s v="GHYRS_WATER"/>
    <x v="1"/>
    <x v="11"/>
    <n v="1931.0024708072799"/>
    <n v="117469.31697411"/>
    <n v="422889.54110679502"/>
  </r>
  <r>
    <x v="0"/>
    <x v="0"/>
    <x v="0"/>
    <x v="7"/>
    <x v="9"/>
    <s v="NO2_A1"/>
    <x v="7"/>
    <x v="7"/>
    <s v="GHYRS_WATER"/>
    <x v="2"/>
    <x v="0"/>
    <n v="1401.6366409439099"/>
    <n v="85266.228990754797"/>
    <n v="306958.42436671699"/>
  </r>
  <r>
    <x v="0"/>
    <x v="0"/>
    <x v="0"/>
    <x v="7"/>
    <x v="9"/>
    <s v="NO2_A1"/>
    <x v="7"/>
    <x v="7"/>
    <s v="GHYRS_WATER"/>
    <x v="2"/>
    <x v="1"/>
    <n v="1367.10679173055"/>
    <n v="83165.663163608406"/>
    <n v="299396.38738899003"/>
  </r>
  <r>
    <x v="0"/>
    <x v="0"/>
    <x v="0"/>
    <x v="7"/>
    <x v="9"/>
    <s v="NO2_A1"/>
    <x v="7"/>
    <x v="7"/>
    <s v="GHYRS_WATER"/>
    <x v="2"/>
    <x v="2"/>
    <n v="1351.4742056427201"/>
    <n v="82214.680843265305"/>
    <n v="295972.85103575501"/>
  </r>
  <r>
    <x v="0"/>
    <x v="0"/>
    <x v="0"/>
    <x v="7"/>
    <x v="9"/>
    <s v="NO2_A1"/>
    <x v="7"/>
    <x v="7"/>
    <s v="GHYRS_WATER"/>
    <x v="2"/>
    <x v="3"/>
    <n v="1363.3306643061101"/>
    <n v="82935.948745288202"/>
    <n v="298569.41548303701"/>
  </r>
  <r>
    <x v="0"/>
    <x v="0"/>
    <x v="0"/>
    <x v="7"/>
    <x v="9"/>
    <s v="NO2_A1"/>
    <x v="7"/>
    <x v="7"/>
    <s v="GHYRS_WATER"/>
    <x v="2"/>
    <x v="4"/>
    <n v="1385.59788641556"/>
    <n v="84290.538090279806"/>
    <n v="303445.93712500698"/>
  </r>
  <r>
    <x v="0"/>
    <x v="0"/>
    <x v="0"/>
    <x v="7"/>
    <x v="9"/>
    <s v="NO2_A1"/>
    <x v="7"/>
    <x v="7"/>
    <s v="GHYRS_WATER"/>
    <x v="2"/>
    <x v="5"/>
    <n v="1488.7236066277701"/>
    <n v="90564.019403189202"/>
    <n v="326030.46985148097"/>
  </r>
  <r>
    <x v="0"/>
    <x v="0"/>
    <x v="0"/>
    <x v="7"/>
    <x v="9"/>
    <s v="NO2_A1"/>
    <x v="7"/>
    <x v="7"/>
    <s v="GHYRS_WATER"/>
    <x v="2"/>
    <x v="6"/>
    <n v="1648.6240594349599"/>
    <n v="100291.29694895999"/>
    <n v="361048.669016256"/>
  </r>
  <r>
    <x v="0"/>
    <x v="0"/>
    <x v="0"/>
    <x v="7"/>
    <x v="9"/>
    <s v="NO2_A1"/>
    <x v="7"/>
    <x v="7"/>
    <s v="GHYRS_WATER"/>
    <x v="2"/>
    <x v="7"/>
    <n v="1964.3346534888401"/>
    <n v="119497.024753905"/>
    <n v="430189.28911405703"/>
  </r>
  <r>
    <x v="0"/>
    <x v="0"/>
    <x v="0"/>
    <x v="7"/>
    <x v="9"/>
    <s v="NO2_A1"/>
    <x v="7"/>
    <x v="7"/>
    <s v="GHYRS_WATER"/>
    <x v="2"/>
    <x v="8"/>
    <n v="2013.61722565935"/>
    <n v="122495.047894277"/>
    <n v="440982.17241939902"/>
  </r>
  <r>
    <x v="0"/>
    <x v="0"/>
    <x v="0"/>
    <x v="7"/>
    <x v="9"/>
    <s v="NO2_A1"/>
    <x v="7"/>
    <x v="7"/>
    <s v="GHYRS_WATER"/>
    <x v="2"/>
    <x v="9"/>
    <n v="1974.13329798883"/>
    <n v="120093.108960987"/>
    <n v="432335.19225955399"/>
  </r>
  <r>
    <x v="0"/>
    <x v="0"/>
    <x v="0"/>
    <x v="7"/>
    <x v="9"/>
    <s v="NO2_A1"/>
    <x v="7"/>
    <x v="7"/>
    <s v="GHYRS_WATER"/>
    <x v="2"/>
    <x v="10"/>
    <n v="1947.4537082627701"/>
    <n v="118470.100585985"/>
    <n v="426492.36210954702"/>
  </r>
  <r>
    <x v="0"/>
    <x v="0"/>
    <x v="0"/>
    <x v="7"/>
    <x v="9"/>
    <s v="NO2_A1"/>
    <x v="7"/>
    <x v="7"/>
    <s v="GHYRS_WATER"/>
    <x v="2"/>
    <x v="11"/>
    <n v="1935.9075022873601"/>
    <n v="117767.70638914801"/>
    <n v="423963.74300093198"/>
  </r>
  <r>
    <x v="0"/>
    <x v="0"/>
    <x v="0"/>
    <x v="7"/>
    <x v="9"/>
    <s v="NO2_A1"/>
    <x v="7"/>
    <x v="7"/>
    <s v="GHYRS_WATER"/>
    <x v="3"/>
    <x v="3"/>
    <n v="1778.42808349036"/>
    <n v="108187.70841233"/>
    <n v="389475.75028438802"/>
  </r>
  <r>
    <x v="0"/>
    <x v="0"/>
    <x v="0"/>
    <x v="7"/>
    <x v="9"/>
    <s v="NO2_A1"/>
    <x v="7"/>
    <x v="7"/>
    <s v="GHYRS_WATER"/>
    <x v="3"/>
    <x v="4"/>
    <n v="1817.71821025343"/>
    <n v="110577.85779041699"/>
    <n v="398080.28804550198"/>
  </r>
  <r>
    <x v="0"/>
    <x v="0"/>
    <x v="0"/>
    <x v="7"/>
    <x v="9"/>
    <s v="NO2_A1"/>
    <x v="7"/>
    <x v="7"/>
    <s v="GHYRS_WATER"/>
    <x v="3"/>
    <x v="5"/>
    <n v="1951.1392867330101"/>
    <n v="118694.30660959199"/>
    <n v="427299.50379453"/>
  </r>
  <r>
    <x v="0"/>
    <x v="0"/>
    <x v="0"/>
    <x v="7"/>
    <x v="9"/>
    <s v="NO2_A1"/>
    <x v="7"/>
    <x v="7"/>
    <s v="GHYRS_WATER"/>
    <x v="3"/>
    <x v="6"/>
    <n v="2137.9697476680999"/>
    <n v="130059.826316476"/>
    <n v="468215.37473931501"/>
  </r>
  <r>
    <x v="0"/>
    <x v="0"/>
    <x v="0"/>
    <x v="7"/>
    <x v="9"/>
    <s v="NO2_A1"/>
    <x v="7"/>
    <x v="7"/>
    <s v="GHYRS_WATER"/>
    <x v="3"/>
    <x v="7"/>
    <n v="2355.4667593173999"/>
    <n v="143290.89452514201"/>
    <n v="515847.22029050998"/>
  </r>
  <r>
    <x v="0"/>
    <x v="0"/>
    <x v="0"/>
    <x v="7"/>
    <x v="9"/>
    <s v="NO2_A1"/>
    <x v="7"/>
    <x v="7"/>
    <s v="GHYRS_WATER"/>
    <x v="3"/>
    <x v="8"/>
    <n v="2417.63574753483"/>
    <n v="147072.84130836901"/>
    <n v="529462.22871012799"/>
  </r>
  <r>
    <x v="0"/>
    <x v="0"/>
    <x v="0"/>
    <x v="7"/>
    <x v="9"/>
    <s v="NO2_A1"/>
    <x v="7"/>
    <x v="7"/>
    <s v="GHYRS_WATER"/>
    <x v="3"/>
    <x v="9"/>
    <n v="341.35351993792398"/>
    <n v="20765.672462890401"/>
    <n v="74756.4208664053"/>
  </r>
  <r>
    <x v="0"/>
    <x v="0"/>
    <x v="0"/>
    <x v="7"/>
    <x v="9"/>
    <s v="NO2_A1"/>
    <x v="7"/>
    <x v="7"/>
    <s v="GHYRS_WATER"/>
    <x v="4"/>
    <x v="0"/>
    <n v="3154.5926124531102"/>
    <n v="191904.38392423099"/>
    <n v="690855.78212722996"/>
  </r>
  <r>
    <x v="0"/>
    <x v="0"/>
    <x v="0"/>
    <x v="7"/>
    <x v="9"/>
    <s v="NO2_A1"/>
    <x v="7"/>
    <x v="7"/>
    <s v="GHYRS_WATER"/>
    <x v="4"/>
    <x v="1"/>
    <n v="3124.3513325591398"/>
    <n v="190064.706064014"/>
    <n v="684232.94183045195"/>
  </r>
  <r>
    <x v="0"/>
    <x v="0"/>
    <x v="0"/>
    <x v="7"/>
    <x v="9"/>
    <s v="NO2_A1"/>
    <x v="7"/>
    <x v="7"/>
    <s v="GHYRS_WATER"/>
    <x v="4"/>
    <x v="2"/>
    <n v="3106.52719591597"/>
    <n v="188980.404418222"/>
    <n v="680329.45590559696"/>
  </r>
  <r>
    <x v="0"/>
    <x v="0"/>
    <x v="0"/>
    <x v="7"/>
    <x v="9"/>
    <s v="NO2_A1"/>
    <x v="7"/>
    <x v="7"/>
    <s v="GHYRS_WATER"/>
    <x v="4"/>
    <x v="3"/>
    <n v="3121.11767752386"/>
    <n v="189867.99204936801"/>
    <n v="683524.77137772494"/>
  </r>
  <r>
    <x v="0"/>
    <x v="0"/>
    <x v="0"/>
    <x v="7"/>
    <x v="9"/>
    <s v="NO2_A1"/>
    <x v="7"/>
    <x v="7"/>
    <s v="GHYRS_WATER"/>
    <x v="4"/>
    <x v="4"/>
    <n v="3154.2676975089398"/>
    <n v="191884.61826512701"/>
    <n v="690784.62575445801"/>
  </r>
  <r>
    <x v="0"/>
    <x v="0"/>
    <x v="0"/>
    <x v="7"/>
    <x v="9"/>
    <s v="NO2_A1"/>
    <x v="7"/>
    <x v="7"/>
    <s v="GHYRS_WATER"/>
    <x v="4"/>
    <x v="5"/>
    <n v="3248.1052288348801"/>
    <n v="197593.068087455"/>
    <n v="711335.04511483805"/>
  </r>
  <r>
    <x v="0"/>
    <x v="0"/>
    <x v="0"/>
    <x v="7"/>
    <x v="9"/>
    <s v="NO2_A1"/>
    <x v="7"/>
    <x v="7"/>
    <s v="GHYRS_WATER"/>
    <x v="4"/>
    <x v="6"/>
    <n v="3464.1805042821402"/>
    <n v="210737.64734383"/>
    <n v="758655.53043778904"/>
  </r>
  <r>
    <x v="0"/>
    <x v="0"/>
    <x v="0"/>
    <x v="7"/>
    <x v="9"/>
    <s v="NO2_A1"/>
    <x v="7"/>
    <x v="7"/>
    <s v="GHYRS_WATER"/>
    <x v="4"/>
    <x v="7"/>
    <n v="4220.60349618494"/>
    <n v="256753.37935125001"/>
    <n v="924312.16566450195"/>
  </r>
  <r>
    <x v="0"/>
    <x v="0"/>
    <x v="0"/>
    <x v="7"/>
    <x v="9"/>
    <s v="NO2_A1"/>
    <x v="7"/>
    <x v="7"/>
    <s v="GHYRS_WATER"/>
    <x v="4"/>
    <x v="8"/>
    <n v="4506.60298015236"/>
    <n v="274151.68129260198"/>
    <n v="986946.052653366"/>
  </r>
  <r>
    <x v="0"/>
    <x v="0"/>
    <x v="0"/>
    <x v="7"/>
    <x v="9"/>
    <s v="NO2_A1"/>
    <x v="7"/>
    <x v="7"/>
    <s v="GHYRS_WATER"/>
    <x v="4"/>
    <x v="9"/>
    <n v="4396.6828281869102"/>
    <n v="267464.87204803701"/>
    <n v="962873.53937293298"/>
  </r>
  <r>
    <x v="0"/>
    <x v="0"/>
    <x v="0"/>
    <x v="7"/>
    <x v="9"/>
    <s v="NO2_A1"/>
    <x v="7"/>
    <x v="7"/>
    <s v="GHYRS_WATER"/>
    <x v="4"/>
    <x v="10"/>
    <n v="4345.3407553809602"/>
    <n v="264341.56261900801"/>
    <n v="951629.62542842899"/>
  </r>
  <r>
    <x v="0"/>
    <x v="0"/>
    <x v="0"/>
    <x v="7"/>
    <x v="9"/>
    <s v="NO2_A1"/>
    <x v="7"/>
    <x v="7"/>
    <s v="GHYRS_WATER"/>
    <x v="4"/>
    <x v="11"/>
    <n v="4326.21702878418"/>
    <n v="263178.20258437103"/>
    <n v="947441.52930373605"/>
  </r>
  <r>
    <x v="0"/>
    <x v="0"/>
    <x v="0"/>
    <x v="7"/>
    <x v="9"/>
    <s v="NO2_A1"/>
    <x v="7"/>
    <x v="7"/>
    <s v="GHYRS_WATER"/>
    <x v="5"/>
    <x v="0"/>
    <n v="3409.0632411696502"/>
    <n v="207384.68050448701"/>
    <n v="746584.84981615399"/>
  </r>
  <r>
    <x v="0"/>
    <x v="0"/>
    <x v="0"/>
    <x v="7"/>
    <x v="9"/>
    <s v="NO2_A1"/>
    <x v="7"/>
    <x v="7"/>
    <s v="GHYRS_WATER"/>
    <x v="5"/>
    <x v="1"/>
    <n v="3374.2590737534201"/>
    <n v="205267.42698666599"/>
    <n v="738962.73715199903"/>
  </r>
  <r>
    <x v="0"/>
    <x v="0"/>
    <x v="0"/>
    <x v="7"/>
    <x v="9"/>
    <s v="NO2_A1"/>
    <x v="7"/>
    <x v="7"/>
    <s v="GHYRS_WATER"/>
    <x v="5"/>
    <x v="2"/>
    <n v="3359.8263126546099"/>
    <n v="204389.43401982199"/>
    <n v="735801.96247135999"/>
  </r>
  <r>
    <x v="0"/>
    <x v="0"/>
    <x v="0"/>
    <x v="7"/>
    <x v="9"/>
    <s v="NO2_A1"/>
    <x v="7"/>
    <x v="7"/>
    <s v="GHYRS_WATER"/>
    <x v="5"/>
    <x v="3"/>
    <n v="3357.66902247197"/>
    <n v="204258.19886704499"/>
    <n v="735329.51592136105"/>
  </r>
  <r>
    <x v="0"/>
    <x v="0"/>
    <x v="0"/>
    <x v="7"/>
    <x v="9"/>
    <s v="NO2_A1"/>
    <x v="7"/>
    <x v="7"/>
    <s v="GHYRS_WATER"/>
    <x v="5"/>
    <x v="4"/>
    <n v="3379.8741188126801"/>
    <n v="205609.00889443801"/>
    <n v="740192.43201997702"/>
  </r>
  <r>
    <x v="0"/>
    <x v="0"/>
    <x v="0"/>
    <x v="7"/>
    <x v="9"/>
    <s v="NO2_A1"/>
    <x v="7"/>
    <x v="7"/>
    <s v="GHYRS_WATER"/>
    <x v="5"/>
    <x v="5"/>
    <n v="3452.0962461397098"/>
    <n v="210002.521640166"/>
    <n v="756009.07790459599"/>
  </r>
  <r>
    <x v="0"/>
    <x v="0"/>
    <x v="0"/>
    <x v="7"/>
    <x v="9"/>
    <s v="NO2_A1"/>
    <x v="7"/>
    <x v="7"/>
    <s v="GHYRS_WATER"/>
    <x v="5"/>
    <x v="6"/>
    <n v="3875.7118559496698"/>
    <n v="235772.471236938"/>
    <n v="848780.89645297697"/>
  </r>
  <r>
    <x v="0"/>
    <x v="0"/>
    <x v="0"/>
    <x v="7"/>
    <x v="9"/>
    <s v="NO2_A1"/>
    <x v="7"/>
    <x v="7"/>
    <s v="GHYRS_WATER"/>
    <x v="5"/>
    <x v="7"/>
    <n v="4670.5648316604302"/>
    <n v="284126.02725934202"/>
    <n v="1022853.69813363"/>
  </r>
  <r>
    <x v="0"/>
    <x v="0"/>
    <x v="0"/>
    <x v="7"/>
    <x v="9"/>
    <s v="NO2_A1"/>
    <x v="7"/>
    <x v="7"/>
    <s v="GHYRS_WATER"/>
    <x v="5"/>
    <x v="8"/>
    <n v="4847.9815932121801"/>
    <n v="294918.88025374099"/>
    <n v="1061707.9689134699"/>
  </r>
  <r>
    <x v="0"/>
    <x v="0"/>
    <x v="0"/>
    <x v="7"/>
    <x v="9"/>
    <s v="NO2_A1"/>
    <x v="7"/>
    <x v="7"/>
    <s v="GHYRS_WATER"/>
    <x v="5"/>
    <x v="9"/>
    <n v="4672.4889862603304"/>
    <n v="284243.07999750302"/>
    <n v="1023275.08799101"/>
  </r>
  <r>
    <x v="0"/>
    <x v="0"/>
    <x v="0"/>
    <x v="7"/>
    <x v="9"/>
    <s v="NO2_A1"/>
    <x v="7"/>
    <x v="7"/>
    <s v="GHYRS_WATER"/>
    <x v="5"/>
    <x v="10"/>
    <n v="4651.4015520061002"/>
    <n v="282960.26108037098"/>
    <n v="1018656.93988934"/>
  </r>
  <r>
    <x v="0"/>
    <x v="0"/>
    <x v="0"/>
    <x v="7"/>
    <x v="9"/>
    <s v="NO2_A1"/>
    <x v="7"/>
    <x v="7"/>
    <s v="GHYRS_WATER"/>
    <x v="5"/>
    <x v="11"/>
    <n v="4589.3157557710201"/>
    <n v="279183.375142737"/>
    <n v="1005060.15051385"/>
  </r>
  <r>
    <x v="0"/>
    <x v="0"/>
    <x v="0"/>
    <x v="7"/>
    <x v="9"/>
    <s v="NO2_A1"/>
    <x v="7"/>
    <x v="7"/>
    <s v="GHYRS_WATER"/>
    <x v="6"/>
    <x v="0"/>
    <n v="3140.4256702216198"/>
    <n v="191042.56160514901"/>
    <n v="687753.22177853598"/>
  </r>
  <r>
    <x v="0"/>
    <x v="0"/>
    <x v="0"/>
    <x v="7"/>
    <x v="9"/>
    <s v="NO2_A1"/>
    <x v="7"/>
    <x v="7"/>
    <s v="GHYRS_WATER"/>
    <x v="6"/>
    <x v="1"/>
    <n v="3126.3485808405499"/>
    <n v="190186.205334467"/>
    <n v="684670.33920408098"/>
  </r>
  <r>
    <x v="0"/>
    <x v="0"/>
    <x v="0"/>
    <x v="7"/>
    <x v="9"/>
    <s v="NO2_A1"/>
    <x v="7"/>
    <x v="7"/>
    <s v="GHYRS_WATER"/>
    <x v="6"/>
    <x v="2"/>
    <n v="3122.1121844183399"/>
    <n v="189928.491218782"/>
    <n v="683742.56838761596"/>
  </r>
  <r>
    <x v="0"/>
    <x v="0"/>
    <x v="0"/>
    <x v="7"/>
    <x v="9"/>
    <s v="NO2_A1"/>
    <x v="7"/>
    <x v="7"/>
    <s v="GHYRS_WATER"/>
    <x v="6"/>
    <x v="3"/>
    <n v="3130.97598590385"/>
    <n v="190467.705809151"/>
    <n v="685683.74091294396"/>
  </r>
  <r>
    <x v="0"/>
    <x v="0"/>
    <x v="0"/>
    <x v="7"/>
    <x v="9"/>
    <s v="NO2_A1"/>
    <x v="7"/>
    <x v="7"/>
    <s v="GHYRS_WATER"/>
    <x v="6"/>
    <x v="4"/>
    <n v="3210.1920000107202"/>
    <n v="195286.68000065201"/>
    <n v="703032.04800234898"/>
  </r>
  <r>
    <x v="0"/>
    <x v="0"/>
    <x v="0"/>
    <x v="7"/>
    <x v="9"/>
    <s v="NO2_A1"/>
    <x v="7"/>
    <x v="7"/>
    <s v="GHYRS_WATER"/>
    <x v="6"/>
    <x v="5"/>
    <n v="3310.4789951630801"/>
    <n v="201387.47220575399"/>
    <n v="724994.89994071505"/>
  </r>
  <r>
    <x v="0"/>
    <x v="0"/>
    <x v="0"/>
    <x v="7"/>
    <x v="9"/>
    <s v="NO2_A1"/>
    <x v="7"/>
    <x v="7"/>
    <s v="GHYRS_WATER"/>
    <x v="6"/>
    <x v="6"/>
    <n v="3622.8242393630499"/>
    <n v="220388.47456125199"/>
    <n v="793398.50842050696"/>
  </r>
  <r>
    <x v="0"/>
    <x v="0"/>
    <x v="0"/>
    <x v="7"/>
    <x v="9"/>
    <s v="NO2_A1"/>
    <x v="7"/>
    <x v="7"/>
    <s v="GHYRS_WATER"/>
    <x v="6"/>
    <x v="7"/>
    <n v="4437.8300855924299"/>
    <n v="269967.996873539"/>
    <n v="971884.78874474205"/>
  </r>
  <r>
    <x v="0"/>
    <x v="0"/>
    <x v="0"/>
    <x v="7"/>
    <x v="9"/>
    <s v="NO2_A1"/>
    <x v="7"/>
    <x v="7"/>
    <s v="GHYRS_WATER"/>
    <x v="6"/>
    <x v="8"/>
    <n v="4535.0379160942903"/>
    <n v="275881.47322906897"/>
    <n v="993173.30362464895"/>
  </r>
  <r>
    <x v="0"/>
    <x v="0"/>
    <x v="0"/>
    <x v="7"/>
    <x v="9"/>
    <s v="NO2_A1"/>
    <x v="7"/>
    <x v="7"/>
    <s v="GHYRS_WATER"/>
    <x v="6"/>
    <x v="9"/>
    <n v="4509.1884764939896"/>
    <n v="274308.96565338399"/>
    <n v="987512.27635218401"/>
  </r>
  <r>
    <x v="0"/>
    <x v="0"/>
    <x v="0"/>
    <x v="7"/>
    <x v="9"/>
    <s v="NO2_A1"/>
    <x v="7"/>
    <x v="7"/>
    <s v="GHYRS_WATER"/>
    <x v="6"/>
    <x v="10"/>
    <n v="4391.0672065285498"/>
    <n v="267123.25506381999"/>
    <n v="961643.71822975203"/>
  </r>
  <r>
    <x v="0"/>
    <x v="0"/>
    <x v="0"/>
    <x v="7"/>
    <x v="9"/>
    <s v="NO2_A1"/>
    <x v="7"/>
    <x v="7"/>
    <s v="GHYRS_WATER"/>
    <x v="6"/>
    <x v="11"/>
    <n v="4282.5973494557402"/>
    <n v="260524.672091891"/>
    <n v="937888.81953080697"/>
  </r>
  <r>
    <x v="0"/>
    <x v="0"/>
    <x v="0"/>
    <x v="7"/>
    <x v="9"/>
    <s v="NO2_A1"/>
    <x v="7"/>
    <x v="7"/>
    <s v="GHYRS_WATER"/>
    <x v="7"/>
    <x v="0"/>
    <n v="3032.9950966779602"/>
    <n v="184507.20171457599"/>
    <n v="664225.92617247405"/>
  </r>
  <r>
    <x v="0"/>
    <x v="0"/>
    <x v="0"/>
    <x v="7"/>
    <x v="9"/>
    <s v="NO2_A1"/>
    <x v="7"/>
    <x v="7"/>
    <s v="GHYRS_WATER"/>
    <x v="7"/>
    <x v="1"/>
    <n v="2971.5504560614099"/>
    <n v="180769.319410403"/>
    <n v="650769.54987744999"/>
  </r>
  <r>
    <x v="0"/>
    <x v="0"/>
    <x v="0"/>
    <x v="7"/>
    <x v="9"/>
    <s v="NO2_A1"/>
    <x v="7"/>
    <x v="7"/>
    <s v="GHYRS_WATER"/>
    <x v="7"/>
    <x v="2"/>
    <n v="2985.9674364985999"/>
    <n v="181646.35238699801"/>
    <n v="653926.86859319301"/>
  </r>
  <r>
    <x v="0"/>
    <x v="0"/>
    <x v="0"/>
    <x v="7"/>
    <x v="9"/>
    <s v="NO2_A1"/>
    <x v="7"/>
    <x v="7"/>
    <s v="GHYRS_WATER"/>
    <x v="7"/>
    <x v="3"/>
    <n v="3021.3772182437101"/>
    <n v="183800.44744315901"/>
    <n v="661681.61079537298"/>
  </r>
  <r>
    <x v="0"/>
    <x v="0"/>
    <x v="0"/>
    <x v="7"/>
    <x v="9"/>
    <s v="NO2_A1"/>
    <x v="7"/>
    <x v="7"/>
    <s v="GHYRS_WATER"/>
    <x v="7"/>
    <x v="4"/>
    <n v="3056.44967182961"/>
    <n v="185934.02170296799"/>
    <n v="669362.47813068598"/>
  </r>
  <r>
    <x v="0"/>
    <x v="0"/>
    <x v="0"/>
    <x v="7"/>
    <x v="9"/>
    <s v="NO2_A1"/>
    <x v="7"/>
    <x v="7"/>
    <s v="GHYRS_WATER"/>
    <x v="7"/>
    <x v="5"/>
    <n v="3135.10893636831"/>
    <n v="190719.12696240601"/>
    <n v="686588.85706466006"/>
  </r>
  <r>
    <x v="0"/>
    <x v="0"/>
    <x v="0"/>
    <x v="7"/>
    <x v="9"/>
    <s v="NO2_A1"/>
    <x v="7"/>
    <x v="7"/>
    <s v="GHYRS_WATER"/>
    <x v="7"/>
    <x v="6"/>
    <n v="3271.5132771682402"/>
    <n v="199017.05769440101"/>
    <n v="716461.40769984399"/>
  </r>
  <r>
    <x v="0"/>
    <x v="0"/>
    <x v="0"/>
    <x v="7"/>
    <x v="9"/>
    <s v="NO2_A1"/>
    <x v="7"/>
    <x v="7"/>
    <s v="GHYRS_WATER"/>
    <x v="7"/>
    <x v="7"/>
    <n v="3600.17288055783"/>
    <n v="219010.51690060101"/>
    <n v="788437.86084216496"/>
  </r>
  <r>
    <x v="0"/>
    <x v="0"/>
    <x v="0"/>
    <x v="7"/>
    <x v="9"/>
    <s v="NO2_A1"/>
    <x v="7"/>
    <x v="7"/>
    <s v="GHYRS_WATER"/>
    <x v="7"/>
    <x v="8"/>
    <n v="3823.1967099261901"/>
    <n v="232577.799853843"/>
    <n v="837280.079473836"/>
  </r>
  <r>
    <x v="0"/>
    <x v="0"/>
    <x v="0"/>
    <x v="7"/>
    <x v="9"/>
    <s v="NO2_A1"/>
    <x v="7"/>
    <x v="7"/>
    <s v="GHYRS_WATER"/>
    <x v="7"/>
    <x v="9"/>
    <n v="3830.3917403150799"/>
    <n v="233015.497535834"/>
    <n v="838855.791129002"/>
  </r>
  <r>
    <x v="0"/>
    <x v="0"/>
    <x v="0"/>
    <x v="7"/>
    <x v="9"/>
    <s v="NO2_A1"/>
    <x v="7"/>
    <x v="7"/>
    <s v="GHYRS_WATER"/>
    <x v="7"/>
    <x v="10"/>
    <n v="3757.7284868189499"/>
    <n v="228595.14961481999"/>
    <n v="822942.53861335095"/>
  </r>
  <r>
    <x v="0"/>
    <x v="0"/>
    <x v="0"/>
    <x v="7"/>
    <x v="9"/>
    <s v="NO2_A1"/>
    <x v="7"/>
    <x v="7"/>
    <s v="GHYRS_WATER"/>
    <x v="7"/>
    <x v="11"/>
    <n v="3593.0111308400201"/>
    <n v="218574.84379276799"/>
    <n v="786869.43765396497"/>
  </r>
  <r>
    <x v="0"/>
    <x v="0"/>
    <x v="0"/>
    <x v="7"/>
    <x v="9"/>
    <s v="NO2_A1"/>
    <x v="7"/>
    <x v="7"/>
    <s v="GHYRS_WATER"/>
    <x v="8"/>
    <x v="0"/>
    <n v="3938.0027152017001"/>
    <n v="239561.831841437"/>
    <n v="862422.594629172"/>
  </r>
  <r>
    <x v="0"/>
    <x v="0"/>
    <x v="0"/>
    <x v="7"/>
    <x v="9"/>
    <s v="NO2_A1"/>
    <x v="7"/>
    <x v="7"/>
    <s v="GHYRS_WATER"/>
    <x v="8"/>
    <x v="1"/>
    <n v="3913.4647166721402"/>
    <n v="238069.10359755499"/>
    <n v="857048.77295120002"/>
  </r>
  <r>
    <x v="0"/>
    <x v="0"/>
    <x v="0"/>
    <x v="7"/>
    <x v="9"/>
    <s v="NO2_A1"/>
    <x v="7"/>
    <x v="7"/>
    <s v="GHYRS_WATER"/>
    <x v="8"/>
    <x v="2"/>
    <n v="3910.3963784000698"/>
    <n v="237882.44635267099"/>
    <n v="856376.80686961603"/>
  </r>
  <r>
    <x v="0"/>
    <x v="0"/>
    <x v="0"/>
    <x v="7"/>
    <x v="9"/>
    <s v="NO2_A1"/>
    <x v="7"/>
    <x v="7"/>
    <s v="GHYRS_WATER"/>
    <x v="8"/>
    <x v="3"/>
    <n v="3921.7231254584899"/>
    <n v="238571.49013205801"/>
    <n v="858857.36447540997"/>
  </r>
  <r>
    <x v="0"/>
    <x v="0"/>
    <x v="0"/>
    <x v="7"/>
    <x v="9"/>
    <s v="NO2_A1"/>
    <x v="7"/>
    <x v="7"/>
    <s v="GHYRS_WATER"/>
    <x v="8"/>
    <x v="4"/>
    <n v="3933.8107304284299"/>
    <n v="239306.81943439599"/>
    <n v="861504.54996382596"/>
  </r>
  <r>
    <x v="0"/>
    <x v="0"/>
    <x v="0"/>
    <x v="7"/>
    <x v="9"/>
    <s v="NO2_A1"/>
    <x v="7"/>
    <x v="7"/>
    <s v="GHYRS_WATER"/>
    <x v="8"/>
    <x v="5"/>
    <n v="4018.19186781691"/>
    <n v="244440.005292196"/>
    <n v="879984.01905190398"/>
  </r>
  <r>
    <x v="0"/>
    <x v="0"/>
    <x v="0"/>
    <x v="7"/>
    <x v="9"/>
    <s v="NO2_A1"/>
    <x v="7"/>
    <x v="7"/>
    <s v="GHYRS_WATER"/>
    <x v="8"/>
    <x v="6"/>
    <n v="2996.5543374347599"/>
    <n v="182290.388860615"/>
    <n v="656245.39989821299"/>
  </r>
  <r>
    <x v="0"/>
    <x v="0"/>
    <x v="0"/>
    <x v="7"/>
    <x v="9"/>
    <s v="NO2_A1"/>
    <x v="7"/>
    <x v="7"/>
    <s v="GHYRS_WATER"/>
    <x v="8"/>
    <x v="7"/>
    <n v="3225.2786900054498"/>
    <n v="196204.453641998"/>
    <n v="706336.03311119298"/>
  </r>
  <r>
    <x v="0"/>
    <x v="0"/>
    <x v="0"/>
    <x v="7"/>
    <x v="9"/>
    <s v="NO2_A1"/>
    <x v="7"/>
    <x v="7"/>
    <s v="GHYRS_WATER"/>
    <x v="8"/>
    <x v="8"/>
    <n v="3238.59883963333"/>
    <n v="197014.76274436101"/>
    <n v="709253.14587969997"/>
  </r>
  <r>
    <x v="0"/>
    <x v="0"/>
    <x v="0"/>
    <x v="7"/>
    <x v="9"/>
    <s v="NO2_A1"/>
    <x v="7"/>
    <x v="7"/>
    <s v="GHYRS_WATER"/>
    <x v="8"/>
    <x v="9"/>
    <n v="3206.9287489007702"/>
    <n v="195088.16555812999"/>
    <n v="702317.39600926905"/>
  </r>
  <r>
    <x v="0"/>
    <x v="0"/>
    <x v="0"/>
    <x v="7"/>
    <x v="9"/>
    <s v="NO2_A1"/>
    <x v="7"/>
    <x v="7"/>
    <s v="GHYRS_WATER"/>
    <x v="8"/>
    <x v="10"/>
    <n v="6082.6679611650497"/>
    <n v="370028.96763754101"/>
    <n v="1332104.28349515"/>
  </r>
  <r>
    <x v="0"/>
    <x v="0"/>
    <x v="0"/>
    <x v="7"/>
    <x v="9"/>
    <s v="NO2_A1"/>
    <x v="7"/>
    <x v="7"/>
    <s v="GHYRS_WATER"/>
    <x v="8"/>
    <x v="11"/>
    <n v="3568.4048294577001"/>
    <n v="217077.960458677"/>
    <n v="781480.65765123698"/>
  </r>
  <r>
    <x v="0"/>
    <x v="0"/>
    <x v="0"/>
    <x v="7"/>
    <x v="9"/>
    <s v="NO2_A1"/>
    <x v="7"/>
    <x v="7"/>
    <s v="GHYRS_WATER"/>
    <x v="9"/>
    <x v="0"/>
    <n v="2766.6696053599098"/>
    <n v="168305.73432606101"/>
    <n v="605900.64357382106"/>
  </r>
  <r>
    <x v="0"/>
    <x v="0"/>
    <x v="0"/>
    <x v="7"/>
    <x v="9"/>
    <s v="NO2_A1"/>
    <x v="7"/>
    <x v="7"/>
    <s v="GHYRS_WATER"/>
    <x v="9"/>
    <x v="1"/>
    <n v="2729.30130097663"/>
    <n v="166032.49580941201"/>
    <n v="597716.98491388198"/>
  </r>
  <r>
    <x v="0"/>
    <x v="0"/>
    <x v="0"/>
    <x v="7"/>
    <x v="9"/>
    <s v="NO2_A1"/>
    <x v="7"/>
    <x v="7"/>
    <s v="GHYRS_WATER"/>
    <x v="9"/>
    <x v="2"/>
    <n v="3931.5082004793599"/>
    <n v="239166.74886249501"/>
    <n v="861000.29590498004"/>
  </r>
  <r>
    <x v="0"/>
    <x v="0"/>
    <x v="0"/>
    <x v="7"/>
    <x v="9"/>
    <s v="NO2_A1"/>
    <x v="7"/>
    <x v="7"/>
    <s v="GHYRS_WATER"/>
    <x v="9"/>
    <x v="3"/>
    <n v="2730.4905797421102"/>
    <n v="166104.843600978"/>
    <n v="597977.43696352199"/>
  </r>
  <r>
    <x v="0"/>
    <x v="0"/>
    <x v="0"/>
    <x v="7"/>
    <x v="9"/>
    <s v="NO2_A1"/>
    <x v="7"/>
    <x v="7"/>
    <s v="GHYRS_WATER"/>
    <x v="9"/>
    <x v="4"/>
    <n v="2755.5579350093999"/>
    <n v="167629.77437973901"/>
    <n v="603467.18776705896"/>
  </r>
  <r>
    <x v="0"/>
    <x v="0"/>
    <x v="0"/>
    <x v="7"/>
    <x v="9"/>
    <s v="NO2_A1"/>
    <x v="7"/>
    <x v="7"/>
    <s v="GHYRS_WATER"/>
    <x v="9"/>
    <x v="5"/>
    <n v="4050.5981035855598"/>
    <n v="246411.384634788"/>
    <n v="887080.98468523705"/>
  </r>
  <r>
    <x v="0"/>
    <x v="0"/>
    <x v="0"/>
    <x v="7"/>
    <x v="9"/>
    <s v="NO2_A1"/>
    <x v="7"/>
    <x v="7"/>
    <s v="GHYRS_WATER"/>
    <x v="9"/>
    <x v="6"/>
    <n v="6082.6679611650497"/>
    <n v="370028.96763754101"/>
    <n v="1332104.28349515"/>
  </r>
  <r>
    <x v="0"/>
    <x v="0"/>
    <x v="0"/>
    <x v="7"/>
    <x v="9"/>
    <s v="NO2_A1"/>
    <x v="7"/>
    <x v="7"/>
    <s v="GHYRS_WATER"/>
    <x v="9"/>
    <x v="7"/>
    <n v="4547.4448020896598"/>
    <n v="276636.22546045401"/>
    <n v="995890.41165763501"/>
  </r>
  <r>
    <x v="0"/>
    <x v="0"/>
    <x v="0"/>
    <x v="7"/>
    <x v="9"/>
    <s v="NO2_A1"/>
    <x v="7"/>
    <x v="7"/>
    <s v="GHYRS_WATER"/>
    <x v="9"/>
    <x v="8"/>
    <n v="4575.6015264551297"/>
    <n v="278349.09285935399"/>
    <n v="1002056.73429367"/>
  </r>
  <r>
    <x v="0"/>
    <x v="0"/>
    <x v="0"/>
    <x v="7"/>
    <x v="9"/>
    <s v="NO2_A1"/>
    <x v="7"/>
    <x v="7"/>
    <s v="GHYRS_WATER"/>
    <x v="9"/>
    <x v="9"/>
    <n v="6082.6679611650497"/>
    <n v="370028.96763754101"/>
    <n v="1332104.28349515"/>
  </r>
  <r>
    <x v="0"/>
    <x v="0"/>
    <x v="0"/>
    <x v="7"/>
    <x v="9"/>
    <s v="NO2_A1"/>
    <x v="7"/>
    <x v="7"/>
    <s v="GHYRS_WATER"/>
    <x v="9"/>
    <x v="10"/>
    <n v="4536.8562602073598"/>
    <n v="275992.08916261402"/>
    <n v="993571.52098541195"/>
  </r>
  <r>
    <x v="0"/>
    <x v="0"/>
    <x v="0"/>
    <x v="7"/>
    <x v="9"/>
    <s v="NO2_A1"/>
    <x v="7"/>
    <x v="7"/>
    <s v="GHYRS_WATER"/>
    <x v="9"/>
    <x v="11"/>
    <n v="4453.1783206869704"/>
    <n v="270901.68117512402"/>
    <n v="975246.05223044695"/>
  </r>
  <r>
    <x v="0"/>
    <x v="0"/>
    <x v="0"/>
    <x v="7"/>
    <x v="9"/>
    <s v="NO2_A1"/>
    <x v="7"/>
    <x v="7"/>
    <s v="GHYRS_WATER"/>
    <x v="10"/>
    <x v="0"/>
    <n v="2341.1910130632"/>
    <n v="142422.45329467801"/>
    <n v="512720.83186084102"/>
  </r>
  <r>
    <x v="0"/>
    <x v="0"/>
    <x v="0"/>
    <x v="7"/>
    <x v="9"/>
    <s v="NO2_A1"/>
    <x v="7"/>
    <x v="7"/>
    <s v="GHYRS_WATER"/>
    <x v="10"/>
    <x v="1"/>
    <n v="3531.0846545439499"/>
    <n v="214807.64981809101"/>
    <n v="773307.53934512602"/>
  </r>
  <r>
    <x v="0"/>
    <x v="0"/>
    <x v="0"/>
    <x v="7"/>
    <x v="9"/>
    <s v="NO2_A1"/>
    <x v="7"/>
    <x v="7"/>
    <s v="GHYRS_WATER"/>
    <x v="10"/>
    <x v="2"/>
    <n v="2279.0099835607298"/>
    <n v="138639.773999945"/>
    <n v="499103.1863998"/>
  </r>
  <r>
    <x v="0"/>
    <x v="0"/>
    <x v="0"/>
    <x v="7"/>
    <x v="9"/>
    <s v="NO2_A1"/>
    <x v="7"/>
    <x v="7"/>
    <s v="GHYRS_WATER"/>
    <x v="10"/>
    <x v="3"/>
    <n v="3537.7968579373101"/>
    <n v="215215.97552452001"/>
    <n v="774777.51188827096"/>
  </r>
  <r>
    <x v="0"/>
    <x v="0"/>
    <x v="0"/>
    <x v="7"/>
    <x v="9"/>
    <s v="NO2_A1"/>
    <x v="7"/>
    <x v="7"/>
    <s v="GHYRS_WATER"/>
    <x v="10"/>
    <x v="4"/>
    <n v="3609.16109307632"/>
    <n v="219557.29982880899"/>
    <n v="790406.27938371303"/>
  </r>
  <r>
    <x v="0"/>
    <x v="0"/>
    <x v="0"/>
    <x v="7"/>
    <x v="9"/>
    <s v="NO2_A1"/>
    <x v="7"/>
    <x v="7"/>
    <s v="GHYRS_WATER"/>
    <x v="10"/>
    <x v="5"/>
    <n v="3672.2696296994"/>
    <n v="223396.40247338"/>
    <n v="804227.048904169"/>
  </r>
  <r>
    <x v="0"/>
    <x v="0"/>
    <x v="0"/>
    <x v="7"/>
    <x v="9"/>
    <s v="NO2_A1"/>
    <x v="7"/>
    <x v="7"/>
    <s v="GHYRS_WATER"/>
    <x v="10"/>
    <x v="6"/>
    <n v="2661.75828063473"/>
    <n v="161923.62873861301"/>
    <n v="582925.06345900602"/>
  </r>
  <r>
    <x v="0"/>
    <x v="0"/>
    <x v="0"/>
    <x v="7"/>
    <x v="9"/>
    <s v="NO2_A1"/>
    <x v="7"/>
    <x v="7"/>
    <s v="GHYRS_WATER"/>
    <x v="10"/>
    <x v="7"/>
    <n v="6074.0307433239504"/>
    <n v="369503.53688554"/>
    <n v="1330212.73278795"/>
  </r>
  <r>
    <x v="0"/>
    <x v="0"/>
    <x v="0"/>
    <x v="7"/>
    <x v="9"/>
    <s v="NO2_A1"/>
    <x v="7"/>
    <x v="7"/>
    <s v="GHYRS_WATER"/>
    <x v="10"/>
    <x v="8"/>
    <n v="6082.6679611650497"/>
    <n v="370028.96763754101"/>
    <n v="1332104.28349515"/>
  </r>
  <r>
    <x v="0"/>
    <x v="0"/>
    <x v="0"/>
    <x v="7"/>
    <x v="9"/>
    <s v="NO2_A1"/>
    <x v="7"/>
    <x v="7"/>
    <s v="GHYRS_WATER"/>
    <x v="10"/>
    <x v="9"/>
    <n v="4079.2685403683299"/>
    <n v="248155.502872407"/>
    <n v="893359.81034066505"/>
  </r>
  <r>
    <x v="0"/>
    <x v="0"/>
    <x v="0"/>
    <x v="7"/>
    <x v="9"/>
    <s v="NO2_A1"/>
    <x v="7"/>
    <x v="7"/>
    <s v="GHYRS_WATER"/>
    <x v="10"/>
    <x v="10"/>
    <n v="2823.75568319789"/>
    <n v="171778.47072787199"/>
    <n v="618402.49462033797"/>
  </r>
  <r>
    <x v="0"/>
    <x v="0"/>
    <x v="0"/>
    <x v="7"/>
    <x v="9"/>
    <s v="NO2_A1"/>
    <x v="7"/>
    <x v="7"/>
    <s v="GHYRS_WATER"/>
    <x v="10"/>
    <x v="11"/>
    <n v="3169.1423469738902"/>
    <n v="192789.49277424501"/>
    <n v="694042.17398728197"/>
  </r>
  <r>
    <x v="0"/>
    <x v="0"/>
    <x v="0"/>
    <x v="7"/>
    <x v="9"/>
    <s v="NO2_A1"/>
    <x v="7"/>
    <x v="7"/>
    <s v="GHYRS_WATER"/>
    <x v="11"/>
    <x v="0"/>
    <n v="1565.6049276695001"/>
    <n v="95240.966433227804"/>
    <n v="342867.47915962001"/>
  </r>
  <r>
    <x v="0"/>
    <x v="0"/>
    <x v="0"/>
    <x v="7"/>
    <x v="9"/>
    <s v="NO2_A1"/>
    <x v="7"/>
    <x v="7"/>
    <s v="GHYRS_WATER"/>
    <x v="11"/>
    <x v="1"/>
    <n v="1490.6646360355301"/>
    <n v="90682.098692161206"/>
    <n v="326455.55529177998"/>
  </r>
  <r>
    <x v="0"/>
    <x v="0"/>
    <x v="0"/>
    <x v="7"/>
    <x v="9"/>
    <s v="NO2_A1"/>
    <x v="7"/>
    <x v="7"/>
    <s v="GHYRS_WATER"/>
    <x v="11"/>
    <x v="2"/>
    <n v="1502.6504711175701"/>
    <n v="91411.236992985199"/>
    <n v="329080.453174747"/>
  </r>
  <r>
    <x v="0"/>
    <x v="0"/>
    <x v="0"/>
    <x v="7"/>
    <x v="9"/>
    <s v="NO2_A1"/>
    <x v="7"/>
    <x v="7"/>
    <s v="GHYRS_WATER"/>
    <x v="11"/>
    <x v="3"/>
    <n v="1542.10468993104"/>
    <n v="93811.368637471707"/>
    <n v="337720.92709489801"/>
  </r>
  <r>
    <x v="0"/>
    <x v="0"/>
    <x v="0"/>
    <x v="7"/>
    <x v="9"/>
    <s v="NO2_A1"/>
    <x v="7"/>
    <x v="7"/>
    <s v="GHYRS_WATER"/>
    <x v="11"/>
    <x v="4"/>
    <n v="1571.61611554002"/>
    <n v="95606.647028684602"/>
    <n v="344183.929303265"/>
  </r>
  <r>
    <x v="0"/>
    <x v="0"/>
    <x v="0"/>
    <x v="7"/>
    <x v="9"/>
    <s v="NO2_A1"/>
    <x v="7"/>
    <x v="7"/>
    <s v="GHYRS_WATER"/>
    <x v="11"/>
    <x v="5"/>
    <n v="1628.37109779496"/>
    <n v="99059.241782526806"/>
    <n v="356613.27041709702"/>
  </r>
  <r>
    <x v="0"/>
    <x v="0"/>
    <x v="0"/>
    <x v="7"/>
    <x v="9"/>
    <s v="NO2_A1"/>
    <x v="7"/>
    <x v="7"/>
    <s v="GHYRS_WATER"/>
    <x v="11"/>
    <x v="6"/>
    <n v="1850.10901864423"/>
    <n v="112548.29863419"/>
    <n v="405173.87508308497"/>
  </r>
  <r>
    <x v="0"/>
    <x v="0"/>
    <x v="0"/>
    <x v="7"/>
    <x v="9"/>
    <s v="NO2_A1"/>
    <x v="7"/>
    <x v="7"/>
    <s v="GHYRS_WATER"/>
    <x v="11"/>
    <x v="7"/>
    <n v="2072.5583393222"/>
    <n v="126080.632308767"/>
    <n v="453890.276311561"/>
  </r>
  <r>
    <x v="0"/>
    <x v="0"/>
    <x v="0"/>
    <x v="7"/>
    <x v="9"/>
    <s v="NO2_A1"/>
    <x v="7"/>
    <x v="7"/>
    <s v="GHYRS_WATER"/>
    <x v="11"/>
    <x v="8"/>
    <n v="2079.7457828556298"/>
    <n v="126517.86845705099"/>
    <n v="455464.32644538401"/>
  </r>
  <r>
    <x v="0"/>
    <x v="0"/>
    <x v="0"/>
    <x v="7"/>
    <x v="9"/>
    <s v="NO2_A1"/>
    <x v="7"/>
    <x v="7"/>
    <s v="GHYRS_WATER"/>
    <x v="11"/>
    <x v="9"/>
    <n v="2086.13476126349"/>
    <n v="126906.531310195"/>
    <n v="456863.512716703"/>
  </r>
  <r>
    <x v="0"/>
    <x v="0"/>
    <x v="0"/>
    <x v="7"/>
    <x v="9"/>
    <s v="NO2_A1"/>
    <x v="7"/>
    <x v="7"/>
    <s v="GHYRS_WATER"/>
    <x v="11"/>
    <x v="10"/>
    <n v="2049.4467984409498"/>
    <n v="124674.680238491"/>
    <n v="448828.848858568"/>
  </r>
  <r>
    <x v="0"/>
    <x v="0"/>
    <x v="0"/>
    <x v="7"/>
    <x v="9"/>
    <s v="NO2_A1"/>
    <x v="7"/>
    <x v="7"/>
    <s v="GHYRS_WATER"/>
    <x v="11"/>
    <x v="11"/>
    <n v="1998.63451882666"/>
    <n v="121583.59989528899"/>
    <n v="437700.959623039"/>
  </r>
  <r>
    <x v="0"/>
    <x v="0"/>
    <x v="0"/>
    <x v="7"/>
    <x v="9"/>
    <s v="NO2_A1"/>
    <x v="0"/>
    <x v="0"/>
    <s v="GWND_WIND"/>
    <x v="0"/>
    <x v="0"/>
    <n v="9.7156506300364693"/>
    <n v="591.03541332721898"/>
    <n v="2127.7274879779902"/>
  </r>
  <r>
    <x v="0"/>
    <x v="0"/>
    <x v="0"/>
    <x v="7"/>
    <x v="9"/>
    <s v="NO2_A1"/>
    <x v="0"/>
    <x v="0"/>
    <s v="GWND_WIND"/>
    <x v="0"/>
    <x v="1"/>
    <n v="12.201878937793399"/>
    <n v="742.28096871576395"/>
    <n v="2672.21148737675"/>
  </r>
  <r>
    <x v="0"/>
    <x v="0"/>
    <x v="0"/>
    <x v="7"/>
    <x v="9"/>
    <s v="NO2_A1"/>
    <x v="0"/>
    <x v="0"/>
    <s v="GWND_WIND"/>
    <x v="0"/>
    <x v="2"/>
    <n v="11.8197916728802"/>
    <n v="719.03732676687696"/>
    <n v="2588.5343763607598"/>
  </r>
  <r>
    <x v="0"/>
    <x v="0"/>
    <x v="0"/>
    <x v="7"/>
    <x v="9"/>
    <s v="NO2_A1"/>
    <x v="0"/>
    <x v="0"/>
    <s v="GWND_WIND"/>
    <x v="0"/>
    <x v="3"/>
    <n v="11.2815391309516"/>
    <n v="686.29363046622302"/>
    <n v="2470.6570696784001"/>
  </r>
  <r>
    <x v="0"/>
    <x v="0"/>
    <x v="0"/>
    <x v="7"/>
    <x v="9"/>
    <s v="NO2_A1"/>
    <x v="0"/>
    <x v="0"/>
    <s v="GWND_WIND"/>
    <x v="0"/>
    <x v="4"/>
    <n v="13.8005488511411"/>
    <n v="839.53338844441396"/>
    <n v="3022.3201983998902"/>
  </r>
  <r>
    <x v="0"/>
    <x v="0"/>
    <x v="0"/>
    <x v="7"/>
    <x v="9"/>
    <s v="NO2_A1"/>
    <x v="0"/>
    <x v="0"/>
    <s v="GWND_WIND"/>
    <x v="0"/>
    <x v="5"/>
    <n v="18.503395213013601"/>
    <n v="1125.6232087916601"/>
    <n v="4052.24355164998"/>
  </r>
  <r>
    <x v="0"/>
    <x v="0"/>
    <x v="0"/>
    <x v="7"/>
    <x v="9"/>
    <s v="NO2_A1"/>
    <x v="0"/>
    <x v="0"/>
    <s v="GWND_WIND"/>
    <x v="0"/>
    <x v="6"/>
    <n v="20.2950768919859"/>
    <n v="1234.6171775958101"/>
    <n v="4444.6218393449099"/>
  </r>
  <r>
    <x v="0"/>
    <x v="0"/>
    <x v="0"/>
    <x v="7"/>
    <x v="9"/>
    <s v="NO2_A1"/>
    <x v="0"/>
    <x v="0"/>
    <s v="GWND_WIND"/>
    <x v="0"/>
    <x v="7"/>
    <n v="25.270308547585302"/>
    <n v="1537.27710331144"/>
    <n v="5534.1975719211896"/>
  </r>
  <r>
    <x v="0"/>
    <x v="0"/>
    <x v="0"/>
    <x v="7"/>
    <x v="9"/>
    <s v="NO2_A1"/>
    <x v="0"/>
    <x v="0"/>
    <s v="GWND_WIND"/>
    <x v="0"/>
    <x v="8"/>
    <n v="29.210242642253998"/>
    <n v="1776.95642740379"/>
    <n v="6397.0431386536302"/>
  </r>
  <r>
    <x v="0"/>
    <x v="0"/>
    <x v="0"/>
    <x v="7"/>
    <x v="9"/>
    <s v="NO2_A1"/>
    <x v="0"/>
    <x v="0"/>
    <s v="GWND_WIND"/>
    <x v="0"/>
    <x v="9"/>
    <n v="27.165404875002899"/>
    <n v="1652.56212989601"/>
    <n v="5949.2236676256298"/>
  </r>
  <r>
    <x v="0"/>
    <x v="0"/>
    <x v="0"/>
    <x v="7"/>
    <x v="9"/>
    <s v="NO2_A1"/>
    <x v="0"/>
    <x v="0"/>
    <s v="GWND_WIND"/>
    <x v="0"/>
    <x v="10"/>
    <n v="25.749043330773201"/>
    <n v="1566.4001359553699"/>
    <n v="5639.0404894393296"/>
  </r>
  <r>
    <x v="0"/>
    <x v="0"/>
    <x v="0"/>
    <x v="7"/>
    <x v="9"/>
    <s v="NO2_A1"/>
    <x v="0"/>
    <x v="0"/>
    <s v="GWND_WIND"/>
    <x v="0"/>
    <x v="11"/>
    <n v="29.6055970439491"/>
    <n v="1801.0071535069001"/>
    <n v="6483.6257526248501"/>
  </r>
  <r>
    <x v="0"/>
    <x v="0"/>
    <x v="0"/>
    <x v="7"/>
    <x v="9"/>
    <s v="NO2_A1"/>
    <x v="0"/>
    <x v="0"/>
    <s v="GWND_WIND"/>
    <x v="1"/>
    <x v="0"/>
    <n v="28.152098866021301"/>
    <n v="1712.58601434963"/>
    <n v="6165.3096516586602"/>
  </r>
  <r>
    <x v="0"/>
    <x v="0"/>
    <x v="0"/>
    <x v="7"/>
    <x v="9"/>
    <s v="NO2_A1"/>
    <x v="0"/>
    <x v="0"/>
    <s v="GWND_WIND"/>
    <x v="1"/>
    <x v="1"/>
    <n v="28.358711326862"/>
    <n v="1725.1549390507701"/>
    <n v="6210.5577805827697"/>
  </r>
  <r>
    <x v="0"/>
    <x v="0"/>
    <x v="0"/>
    <x v="7"/>
    <x v="9"/>
    <s v="NO2_A1"/>
    <x v="0"/>
    <x v="0"/>
    <s v="GWND_WIND"/>
    <x v="1"/>
    <x v="2"/>
    <n v="28.612377210534799"/>
    <n v="1740.5862803075299"/>
    <n v="6266.1106091071197"/>
  </r>
  <r>
    <x v="0"/>
    <x v="0"/>
    <x v="0"/>
    <x v="7"/>
    <x v="9"/>
    <s v="NO2_A1"/>
    <x v="0"/>
    <x v="0"/>
    <s v="GWND_WIND"/>
    <x v="1"/>
    <x v="3"/>
    <n v="28.9152072083767"/>
    <n v="1759.0084385095799"/>
    <n v="6332.4303786344899"/>
  </r>
  <r>
    <x v="0"/>
    <x v="0"/>
    <x v="0"/>
    <x v="7"/>
    <x v="9"/>
    <s v="NO2_A1"/>
    <x v="0"/>
    <x v="0"/>
    <s v="GWND_WIND"/>
    <x v="1"/>
    <x v="4"/>
    <n v="28.935368347486001"/>
    <n v="1760.2349078054001"/>
    <n v="6336.8456680994404"/>
  </r>
  <r>
    <x v="0"/>
    <x v="0"/>
    <x v="0"/>
    <x v="7"/>
    <x v="9"/>
    <s v="NO2_A1"/>
    <x v="0"/>
    <x v="0"/>
    <s v="GWND_WIND"/>
    <x v="1"/>
    <x v="5"/>
    <n v="29.116975459591501"/>
    <n v="1771.2826737918199"/>
    <n v="6376.6176256505496"/>
  </r>
  <r>
    <x v="0"/>
    <x v="0"/>
    <x v="0"/>
    <x v="7"/>
    <x v="9"/>
    <s v="NO2_A1"/>
    <x v="0"/>
    <x v="0"/>
    <s v="GWND_WIND"/>
    <x v="1"/>
    <x v="6"/>
    <n v="29.1144011081904"/>
    <n v="1771.12606741492"/>
    <n v="6376.0538426937001"/>
  </r>
  <r>
    <x v="0"/>
    <x v="0"/>
    <x v="0"/>
    <x v="7"/>
    <x v="9"/>
    <s v="NO2_A1"/>
    <x v="0"/>
    <x v="0"/>
    <s v="GWND_WIND"/>
    <x v="1"/>
    <x v="7"/>
    <n v="29.1221610706577"/>
    <n v="1771.5981317983401"/>
    <n v="6377.7532744740301"/>
  </r>
  <r>
    <x v="0"/>
    <x v="0"/>
    <x v="0"/>
    <x v="7"/>
    <x v="9"/>
    <s v="NO2_A1"/>
    <x v="0"/>
    <x v="0"/>
    <s v="GWND_WIND"/>
    <x v="1"/>
    <x v="8"/>
    <n v="29.019883658091199"/>
    <n v="1765.3762558672099"/>
    <n v="6355.3545211219698"/>
  </r>
  <r>
    <x v="0"/>
    <x v="0"/>
    <x v="0"/>
    <x v="7"/>
    <x v="9"/>
    <s v="NO2_A1"/>
    <x v="0"/>
    <x v="0"/>
    <s v="GWND_WIND"/>
    <x v="1"/>
    <x v="9"/>
    <n v="28.6614029187146"/>
    <n v="1743.5686775551401"/>
    <n v="6276.8472391984897"/>
  </r>
  <r>
    <x v="0"/>
    <x v="0"/>
    <x v="0"/>
    <x v="7"/>
    <x v="9"/>
    <s v="NO2_A1"/>
    <x v="0"/>
    <x v="0"/>
    <s v="GWND_WIND"/>
    <x v="1"/>
    <x v="10"/>
    <n v="22.738461625752102"/>
    <n v="1383.25641556659"/>
    <n v="4979.7230960397201"/>
  </r>
  <r>
    <x v="0"/>
    <x v="0"/>
    <x v="0"/>
    <x v="7"/>
    <x v="9"/>
    <s v="NO2_A1"/>
    <x v="0"/>
    <x v="0"/>
    <s v="GWND_WIND"/>
    <x v="1"/>
    <x v="11"/>
    <n v="7.4614447386975202"/>
    <n v="453.90455493743298"/>
    <n v="1634.0563977747599"/>
  </r>
  <r>
    <x v="0"/>
    <x v="0"/>
    <x v="0"/>
    <x v="7"/>
    <x v="9"/>
    <s v="NO2_A1"/>
    <x v="0"/>
    <x v="0"/>
    <s v="GWND_WIND"/>
    <x v="2"/>
    <x v="0"/>
    <n v="0.73286060611053505"/>
    <n v="44.582353538390898"/>
    <n v="160.49647273820699"/>
  </r>
  <r>
    <x v="0"/>
    <x v="0"/>
    <x v="0"/>
    <x v="7"/>
    <x v="9"/>
    <s v="NO2_A1"/>
    <x v="0"/>
    <x v="0"/>
    <s v="GWND_WIND"/>
    <x v="2"/>
    <x v="1"/>
    <n v="0.70269968732921395"/>
    <n v="42.747564312527203"/>
    <n v="153.89123152509799"/>
  </r>
  <r>
    <x v="0"/>
    <x v="0"/>
    <x v="0"/>
    <x v="7"/>
    <x v="9"/>
    <s v="NO2_A1"/>
    <x v="0"/>
    <x v="0"/>
    <s v="GWND_WIND"/>
    <x v="2"/>
    <x v="2"/>
    <n v="0.67528118403509396"/>
    <n v="41.079605362134899"/>
    <n v="147.88657930368601"/>
  </r>
  <r>
    <x v="0"/>
    <x v="0"/>
    <x v="0"/>
    <x v="7"/>
    <x v="9"/>
    <s v="NO2_A1"/>
    <x v="0"/>
    <x v="0"/>
    <s v="GWND_WIND"/>
    <x v="2"/>
    <x v="3"/>
    <n v="0.69882600356809499"/>
    <n v="42.511915217059098"/>
    <n v="153.042894781413"/>
  </r>
  <r>
    <x v="0"/>
    <x v="0"/>
    <x v="0"/>
    <x v="7"/>
    <x v="9"/>
    <s v="NO2_A1"/>
    <x v="0"/>
    <x v="0"/>
    <s v="GWND_WIND"/>
    <x v="2"/>
    <x v="4"/>
    <n v="2.1916108599672901"/>
    <n v="133.32299398134401"/>
    <n v="479.96277833283801"/>
  </r>
  <r>
    <x v="0"/>
    <x v="0"/>
    <x v="0"/>
    <x v="7"/>
    <x v="9"/>
    <s v="NO2_A1"/>
    <x v="0"/>
    <x v="0"/>
    <s v="GWND_WIND"/>
    <x v="2"/>
    <x v="5"/>
    <n v="2.2059208858786201"/>
    <n v="134.19352055761601"/>
    <n v="483.09667400741699"/>
  </r>
  <r>
    <x v="0"/>
    <x v="0"/>
    <x v="0"/>
    <x v="7"/>
    <x v="9"/>
    <s v="NO2_A1"/>
    <x v="0"/>
    <x v="0"/>
    <s v="GWND_WIND"/>
    <x v="2"/>
    <x v="6"/>
    <n v="1.6055147815489601"/>
    <n v="97.668815877561997"/>
    <n v="351.60773715922301"/>
  </r>
  <r>
    <x v="0"/>
    <x v="0"/>
    <x v="0"/>
    <x v="7"/>
    <x v="9"/>
    <s v="NO2_A1"/>
    <x v="0"/>
    <x v="0"/>
    <s v="GWND_WIND"/>
    <x v="2"/>
    <x v="7"/>
    <n v="1.7950133418115799"/>
    <n v="109.196644960204"/>
    <n v="393.107921856735"/>
  </r>
  <r>
    <x v="0"/>
    <x v="0"/>
    <x v="0"/>
    <x v="7"/>
    <x v="9"/>
    <s v="NO2_A1"/>
    <x v="0"/>
    <x v="0"/>
    <s v="GWND_WIND"/>
    <x v="2"/>
    <x v="8"/>
    <n v="2.1924557362613699"/>
    <n v="133.37439062256601"/>
    <n v="480.14780624123898"/>
  </r>
  <r>
    <x v="0"/>
    <x v="0"/>
    <x v="0"/>
    <x v="7"/>
    <x v="9"/>
    <s v="NO2_A1"/>
    <x v="0"/>
    <x v="0"/>
    <s v="GWND_WIND"/>
    <x v="2"/>
    <x v="9"/>
    <n v="2.2563718498021799"/>
    <n v="137.262620862966"/>
    <n v="494.14543510667801"/>
  </r>
  <r>
    <x v="0"/>
    <x v="0"/>
    <x v="0"/>
    <x v="7"/>
    <x v="9"/>
    <s v="NO2_A1"/>
    <x v="0"/>
    <x v="0"/>
    <s v="GWND_WIND"/>
    <x v="2"/>
    <x v="10"/>
    <n v="1.9359536601232901"/>
    <n v="117.770514324167"/>
    <n v="423.97385156700102"/>
  </r>
  <r>
    <x v="0"/>
    <x v="0"/>
    <x v="0"/>
    <x v="7"/>
    <x v="9"/>
    <s v="NO2_A1"/>
    <x v="0"/>
    <x v="0"/>
    <s v="GWND_WIND"/>
    <x v="2"/>
    <x v="11"/>
    <n v="1.6021561526093899"/>
    <n v="97.464499283738107"/>
    <n v="350.87219742145697"/>
  </r>
  <r>
    <x v="0"/>
    <x v="0"/>
    <x v="0"/>
    <x v="7"/>
    <x v="9"/>
    <s v="NO2_A1"/>
    <x v="0"/>
    <x v="0"/>
    <s v="GWND_WIND"/>
    <x v="3"/>
    <x v="0"/>
    <n v="28.705118450437801"/>
    <n v="1746.2280390682999"/>
    <n v="6286.4209406458904"/>
  </r>
  <r>
    <x v="0"/>
    <x v="0"/>
    <x v="0"/>
    <x v="7"/>
    <x v="9"/>
    <s v="NO2_A1"/>
    <x v="0"/>
    <x v="0"/>
    <s v="GWND_WIND"/>
    <x v="3"/>
    <x v="1"/>
    <n v="28.690368985510499"/>
    <n v="1745.33077995189"/>
    <n v="6283.1908078267898"/>
  </r>
  <r>
    <x v="0"/>
    <x v="0"/>
    <x v="0"/>
    <x v="7"/>
    <x v="9"/>
    <s v="NO2_A1"/>
    <x v="0"/>
    <x v="0"/>
    <s v="GWND_WIND"/>
    <x v="3"/>
    <x v="2"/>
    <n v="28.867650910450099"/>
    <n v="1756.1154303857099"/>
    <n v="6322.0155493885604"/>
  </r>
  <r>
    <x v="0"/>
    <x v="0"/>
    <x v="0"/>
    <x v="7"/>
    <x v="9"/>
    <s v="NO2_A1"/>
    <x v="0"/>
    <x v="0"/>
    <s v="GWND_WIND"/>
    <x v="3"/>
    <x v="3"/>
    <n v="28.870414416703301"/>
    <n v="1756.28354368278"/>
    <n v="6322.6207572580197"/>
  </r>
  <r>
    <x v="0"/>
    <x v="0"/>
    <x v="0"/>
    <x v="7"/>
    <x v="9"/>
    <s v="NO2_A1"/>
    <x v="0"/>
    <x v="0"/>
    <s v="GWND_WIND"/>
    <x v="3"/>
    <x v="4"/>
    <n v="29.000299210603899"/>
    <n v="1764.1848686450701"/>
    <n v="6351.0655271222704"/>
  </r>
  <r>
    <x v="0"/>
    <x v="0"/>
    <x v="0"/>
    <x v="7"/>
    <x v="9"/>
    <s v="NO2_A1"/>
    <x v="0"/>
    <x v="0"/>
    <s v="GWND_WIND"/>
    <x v="3"/>
    <x v="5"/>
    <n v="28.959261834773798"/>
    <n v="1761.6884282820699"/>
    <n v="6342.0783418154597"/>
  </r>
  <r>
    <x v="0"/>
    <x v="0"/>
    <x v="0"/>
    <x v="7"/>
    <x v="9"/>
    <s v="NO2_A1"/>
    <x v="0"/>
    <x v="0"/>
    <s v="GWND_WIND"/>
    <x v="3"/>
    <x v="6"/>
    <n v="28.9688556765994"/>
    <n v="1762.2720536597999"/>
    <n v="6344.17939317527"/>
  </r>
  <r>
    <x v="0"/>
    <x v="0"/>
    <x v="0"/>
    <x v="7"/>
    <x v="9"/>
    <s v="NO2_A1"/>
    <x v="0"/>
    <x v="0"/>
    <s v="GWND_WIND"/>
    <x v="3"/>
    <x v="7"/>
    <n v="29.091907828161201"/>
    <n v="1769.7577262131399"/>
    <n v="6371.1278143672998"/>
  </r>
  <r>
    <x v="0"/>
    <x v="0"/>
    <x v="0"/>
    <x v="7"/>
    <x v="9"/>
    <s v="NO2_A1"/>
    <x v="0"/>
    <x v="0"/>
    <s v="GWND_WIND"/>
    <x v="3"/>
    <x v="8"/>
    <n v="29.0229378169219"/>
    <n v="1765.56205052942"/>
    <n v="6356.0233819059004"/>
  </r>
  <r>
    <x v="0"/>
    <x v="0"/>
    <x v="0"/>
    <x v="7"/>
    <x v="9"/>
    <s v="NO2_A1"/>
    <x v="0"/>
    <x v="0"/>
    <s v="GWND_WIND"/>
    <x v="3"/>
    <x v="9"/>
    <n v="29.3371401735521"/>
    <n v="1784.6760272244201"/>
    <n v="6424.8336980079102"/>
  </r>
  <r>
    <x v="0"/>
    <x v="0"/>
    <x v="0"/>
    <x v="7"/>
    <x v="9"/>
    <s v="NO2_A1"/>
    <x v="0"/>
    <x v="0"/>
    <s v="GWND_WIND"/>
    <x v="3"/>
    <x v="10"/>
    <n v="29.259981141278701"/>
    <n v="1779.9821860944601"/>
    <n v="6407.93586994004"/>
  </r>
  <r>
    <x v="0"/>
    <x v="0"/>
    <x v="0"/>
    <x v="7"/>
    <x v="9"/>
    <s v="NO2_A1"/>
    <x v="0"/>
    <x v="0"/>
    <s v="GWND_WIND"/>
    <x v="3"/>
    <x v="11"/>
    <n v="29.457576451915902"/>
    <n v="1792.0025674915501"/>
    <n v="6451.2092429695904"/>
  </r>
  <r>
    <x v="0"/>
    <x v="0"/>
    <x v="0"/>
    <x v="7"/>
    <x v="9"/>
    <s v="NO2_A1"/>
    <x v="0"/>
    <x v="0"/>
    <s v="GWND_WIND"/>
    <x v="4"/>
    <x v="0"/>
    <n v="30.2157298598541"/>
    <n v="1838.1235664744599"/>
    <n v="6617.2448393080404"/>
  </r>
  <r>
    <x v="0"/>
    <x v="0"/>
    <x v="0"/>
    <x v="7"/>
    <x v="9"/>
    <s v="NO2_A1"/>
    <x v="0"/>
    <x v="0"/>
    <s v="GWND_WIND"/>
    <x v="4"/>
    <x v="1"/>
    <n v="30.217000888189201"/>
    <n v="1838.2008873648499"/>
    <n v="6617.5231945134401"/>
  </r>
  <r>
    <x v="0"/>
    <x v="0"/>
    <x v="0"/>
    <x v="7"/>
    <x v="9"/>
    <s v="NO2_A1"/>
    <x v="0"/>
    <x v="0"/>
    <s v="GWND_WIND"/>
    <x v="4"/>
    <x v="2"/>
    <n v="30.221132306970102"/>
    <n v="1838.4522153406799"/>
    <n v="6618.4279752264501"/>
  </r>
  <r>
    <x v="0"/>
    <x v="0"/>
    <x v="0"/>
    <x v="7"/>
    <x v="9"/>
    <s v="NO2_A1"/>
    <x v="0"/>
    <x v="0"/>
    <s v="GWND_WIND"/>
    <x v="4"/>
    <x v="3"/>
    <n v="30.210654973579398"/>
    <n v="1837.8148442260799"/>
    <n v="6616.1334392138897"/>
  </r>
  <r>
    <x v="0"/>
    <x v="0"/>
    <x v="0"/>
    <x v="7"/>
    <x v="9"/>
    <s v="NO2_A1"/>
    <x v="0"/>
    <x v="0"/>
    <s v="GWND_WIND"/>
    <x v="4"/>
    <x v="4"/>
    <n v="30.0006446457012"/>
    <n v="1825.0392159468199"/>
    <n v="6570.14117740856"/>
  </r>
  <r>
    <x v="0"/>
    <x v="0"/>
    <x v="0"/>
    <x v="7"/>
    <x v="9"/>
    <s v="NO2_A1"/>
    <x v="0"/>
    <x v="0"/>
    <s v="GWND_WIND"/>
    <x v="4"/>
    <x v="5"/>
    <n v="30.123140866539199"/>
    <n v="1832.4910693811401"/>
    <n v="6596.9678497720897"/>
  </r>
  <r>
    <x v="0"/>
    <x v="0"/>
    <x v="0"/>
    <x v="7"/>
    <x v="9"/>
    <s v="NO2_A1"/>
    <x v="0"/>
    <x v="0"/>
    <s v="GWND_WIND"/>
    <x v="4"/>
    <x v="6"/>
    <n v="30.047928745182201"/>
    <n v="1827.9156653319101"/>
    <n v="6580.4963951948903"/>
  </r>
  <r>
    <x v="0"/>
    <x v="0"/>
    <x v="0"/>
    <x v="7"/>
    <x v="9"/>
    <s v="NO2_A1"/>
    <x v="0"/>
    <x v="0"/>
    <s v="GWND_WIND"/>
    <x v="4"/>
    <x v="7"/>
    <n v="29.973205658320602"/>
    <n v="1823.3700108811699"/>
    <n v="6564.1320391722202"/>
  </r>
  <r>
    <x v="0"/>
    <x v="0"/>
    <x v="0"/>
    <x v="7"/>
    <x v="9"/>
    <s v="NO2_A1"/>
    <x v="0"/>
    <x v="0"/>
    <s v="GWND_WIND"/>
    <x v="4"/>
    <x v="8"/>
    <n v="29.994372547619001"/>
    <n v="1824.65766331349"/>
    <n v="6568.7675879285598"/>
  </r>
  <r>
    <x v="0"/>
    <x v="0"/>
    <x v="0"/>
    <x v="7"/>
    <x v="9"/>
    <s v="NO2_A1"/>
    <x v="0"/>
    <x v="0"/>
    <s v="GWND_WIND"/>
    <x v="4"/>
    <x v="9"/>
    <n v="30.0979740441499"/>
    <n v="1830.9600876857801"/>
    <n v="6591.45631566882"/>
  </r>
  <r>
    <x v="0"/>
    <x v="0"/>
    <x v="0"/>
    <x v="7"/>
    <x v="9"/>
    <s v="NO2_A1"/>
    <x v="0"/>
    <x v="0"/>
    <s v="GWND_WIND"/>
    <x v="4"/>
    <x v="10"/>
    <n v="30.149308825584601"/>
    <n v="1834.0829535564001"/>
    <n v="6602.6986328030298"/>
  </r>
  <r>
    <x v="0"/>
    <x v="0"/>
    <x v="0"/>
    <x v="7"/>
    <x v="9"/>
    <s v="NO2_A1"/>
    <x v="0"/>
    <x v="0"/>
    <s v="GWND_WIND"/>
    <x v="4"/>
    <x v="11"/>
    <n v="30.0986360861321"/>
    <n v="1831.00036190637"/>
    <n v="6591.6013028629204"/>
  </r>
  <r>
    <x v="0"/>
    <x v="0"/>
    <x v="0"/>
    <x v="7"/>
    <x v="9"/>
    <s v="NO2_A1"/>
    <x v="0"/>
    <x v="0"/>
    <s v="GWND_WIND"/>
    <x v="5"/>
    <x v="0"/>
    <n v="28.340409441542299"/>
    <n v="1724.0415743604899"/>
    <n v="6206.54966769777"/>
  </r>
  <r>
    <x v="0"/>
    <x v="0"/>
    <x v="0"/>
    <x v="7"/>
    <x v="9"/>
    <s v="NO2_A1"/>
    <x v="0"/>
    <x v="0"/>
    <s v="GWND_WIND"/>
    <x v="5"/>
    <x v="1"/>
    <n v="26.9645662506829"/>
    <n v="1640.3444469165399"/>
    <n v="5905.24000889955"/>
  </r>
  <r>
    <x v="0"/>
    <x v="0"/>
    <x v="0"/>
    <x v="7"/>
    <x v="9"/>
    <s v="NO2_A1"/>
    <x v="0"/>
    <x v="0"/>
    <s v="GWND_WIND"/>
    <x v="5"/>
    <x v="2"/>
    <n v="27.357323233311899"/>
    <n v="1664.23716335981"/>
    <n v="5991.2537880953096"/>
  </r>
  <r>
    <x v="0"/>
    <x v="0"/>
    <x v="0"/>
    <x v="7"/>
    <x v="9"/>
    <s v="NO2_A1"/>
    <x v="0"/>
    <x v="0"/>
    <s v="GWND_WIND"/>
    <x v="5"/>
    <x v="3"/>
    <n v="27.354612782687902"/>
    <n v="1664.0722776135201"/>
    <n v="5990.6601994086604"/>
  </r>
  <r>
    <x v="0"/>
    <x v="0"/>
    <x v="0"/>
    <x v="7"/>
    <x v="9"/>
    <s v="NO2_A1"/>
    <x v="0"/>
    <x v="0"/>
    <s v="GWND_WIND"/>
    <x v="5"/>
    <x v="4"/>
    <n v="29.989523724460199"/>
    <n v="1824.362693238"/>
    <n v="6567.7056956567803"/>
  </r>
  <r>
    <x v="0"/>
    <x v="0"/>
    <x v="0"/>
    <x v="7"/>
    <x v="9"/>
    <s v="NO2_A1"/>
    <x v="0"/>
    <x v="0"/>
    <s v="GWND_WIND"/>
    <x v="5"/>
    <x v="5"/>
    <n v="30.127417611608902"/>
    <n v="1832.7512380395401"/>
    <n v="6597.9044569423504"/>
  </r>
  <r>
    <x v="0"/>
    <x v="0"/>
    <x v="0"/>
    <x v="7"/>
    <x v="9"/>
    <s v="NO2_A1"/>
    <x v="0"/>
    <x v="0"/>
    <s v="GWND_WIND"/>
    <x v="5"/>
    <x v="6"/>
    <n v="29.931533921706102"/>
    <n v="1820.8349802371199"/>
    <n v="6555.0059288536504"/>
  </r>
  <r>
    <x v="0"/>
    <x v="0"/>
    <x v="0"/>
    <x v="7"/>
    <x v="9"/>
    <s v="NO2_A1"/>
    <x v="0"/>
    <x v="0"/>
    <s v="GWND_WIND"/>
    <x v="5"/>
    <x v="7"/>
    <n v="29.8672782491394"/>
    <n v="1816.92609348932"/>
    <n v="6540.9339365615397"/>
  </r>
  <r>
    <x v="0"/>
    <x v="0"/>
    <x v="0"/>
    <x v="7"/>
    <x v="9"/>
    <s v="NO2_A1"/>
    <x v="0"/>
    <x v="0"/>
    <s v="GWND_WIND"/>
    <x v="5"/>
    <x v="8"/>
    <n v="29.854630940513001"/>
    <n v="1816.1567155478699"/>
    <n v="6538.1641759723498"/>
  </r>
  <r>
    <x v="0"/>
    <x v="0"/>
    <x v="0"/>
    <x v="7"/>
    <x v="9"/>
    <s v="NO2_A1"/>
    <x v="0"/>
    <x v="0"/>
    <s v="GWND_WIND"/>
    <x v="5"/>
    <x v="9"/>
    <n v="29.779619507840401"/>
    <n v="1811.5935200602901"/>
    <n v="6521.73667221706"/>
  </r>
  <r>
    <x v="0"/>
    <x v="0"/>
    <x v="0"/>
    <x v="7"/>
    <x v="9"/>
    <s v="NO2_A1"/>
    <x v="0"/>
    <x v="0"/>
    <s v="GWND_WIND"/>
    <x v="5"/>
    <x v="10"/>
    <n v="29.7477261543706"/>
    <n v="1809.6533410575501"/>
    <n v="6514.7520278071697"/>
  </r>
  <r>
    <x v="0"/>
    <x v="0"/>
    <x v="0"/>
    <x v="7"/>
    <x v="9"/>
    <s v="NO2_A1"/>
    <x v="0"/>
    <x v="0"/>
    <s v="GWND_WIND"/>
    <x v="5"/>
    <x v="11"/>
    <n v="29.568965822788599"/>
    <n v="1798.7787542196399"/>
    <n v="6475.6035151906999"/>
  </r>
  <r>
    <x v="0"/>
    <x v="0"/>
    <x v="0"/>
    <x v="7"/>
    <x v="9"/>
    <s v="NO2_A1"/>
    <x v="0"/>
    <x v="0"/>
    <s v="GWND_WIND"/>
    <x v="6"/>
    <x v="0"/>
    <n v="0.63972701521572894"/>
    <n v="38.916726758956898"/>
    <n v="140.100216332245"/>
  </r>
  <r>
    <x v="0"/>
    <x v="0"/>
    <x v="0"/>
    <x v="7"/>
    <x v="9"/>
    <s v="NO2_A1"/>
    <x v="0"/>
    <x v="0"/>
    <s v="GWND_WIND"/>
    <x v="6"/>
    <x v="1"/>
    <n v="1.7568125967323101"/>
    <n v="106.87276630121499"/>
    <n v="384.74195868437499"/>
  </r>
  <r>
    <x v="0"/>
    <x v="0"/>
    <x v="0"/>
    <x v="7"/>
    <x v="9"/>
    <s v="NO2_A1"/>
    <x v="0"/>
    <x v="0"/>
    <s v="GWND_WIND"/>
    <x v="6"/>
    <x v="2"/>
    <n v="4.9132087023169397"/>
    <n v="298.88686272427998"/>
    <n v="1075.9927058074099"/>
  </r>
  <r>
    <x v="0"/>
    <x v="0"/>
    <x v="0"/>
    <x v="7"/>
    <x v="9"/>
    <s v="NO2_A1"/>
    <x v="0"/>
    <x v="0"/>
    <s v="GWND_WIND"/>
    <x v="6"/>
    <x v="3"/>
    <n v="5.7694100664649302"/>
    <n v="350.97244570995002"/>
    <n v="1263.50080455582"/>
  </r>
  <r>
    <x v="0"/>
    <x v="0"/>
    <x v="0"/>
    <x v="7"/>
    <x v="9"/>
    <s v="NO2_A1"/>
    <x v="0"/>
    <x v="0"/>
    <s v="GWND_WIND"/>
    <x v="6"/>
    <x v="4"/>
    <n v="8.0934198651287002"/>
    <n v="492.34970846199599"/>
    <n v="1772.4589504631899"/>
  </r>
  <r>
    <x v="0"/>
    <x v="0"/>
    <x v="0"/>
    <x v="7"/>
    <x v="9"/>
    <s v="NO2_A1"/>
    <x v="0"/>
    <x v="0"/>
    <s v="GWND_WIND"/>
    <x v="6"/>
    <x v="5"/>
    <n v="13.646455742462299"/>
    <n v="830.15939099979005"/>
    <n v="2988.5738075992399"/>
  </r>
  <r>
    <x v="0"/>
    <x v="0"/>
    <x v="0"/>
    <x v="7"/>
    <x v="9"/>
    <s v="NO2_A1"/>
    <x v="0"/>
    <x v="0"/>
    <s v="GWND_WIND"/>
    <x v="6"/>
    <x v="6"/>
    <n v="10.602799342717301"/>
    <n v="645.00362668197101"/>
    <n v="2322.0130560551002"/>
  </r>
  <r>
    <x v="0"/>
    <x v="0"/>
    <x v="0"/>
    <x v="7"/>
    <x v="9"/>
    <s v="NO2_A1"/>
    <x v="0"/>
    <x v="0"/>
    <s v="GWND_WIND"/>
    <x v="6"/>
    <x v="7"/>
    <n v="11.5157007964757"/>
    <n v="700.53846511893596"/>
    <n v="2521.9384744281701"/>
  </r>
  <r>
    <x v="0"/>
    <x v="0"/>
    <x v="0"/>
    <x v="7"/>
    <x v="9"/>
    <s v="NO2_A1"/>
    <x v="0"/>
    <x v="0"/>
    <s v="GWND_WIND"/>
    <x v="6"/>
    <x v="8"/>
    <n v="16.0703138824448"/>
    <n v="977.61076118206097"/>
    <n v="3519.3987402554199"/>
  </r>
  <r>
    <x v="0"/>
    <x v="0"/>
    <x v="0"/>
    <x v="7"/>
    <x v="9"/>
    <s v="NO2_A1"/>
    <x v="0"/>
    <x v="0"/>
    <s v="GWND_WIND"/>
    <x v="6"/>
    <x v="9"/>
    <n v="5.2043812250326402"/>
    <n v="316.59985785615203"/>
    <n v="1139.75948828215"/>
  </r>
  <r>
    <x v="0"/>
    <x v="0"/>
    <x v="0"/>
    <x v="7"/>
    <x v="9"/>
    <s v="NO2_A1"/>
    <x v="0"/>
    <x v="0"/>
    <s v="GWND_WIND"/>
    <x v="6"/>
    <x v="10"/>
    <n v="22.258958689323599"/>
    <n v="1354.0866536005201"/>
    <n v="4874.7119529618703"/>
  </r>
  <r>
    <x v="0"/>
    <x v="0"/>
    <x v="0"/>
    <x v="7"/>
    <x v="9"/>
    <s v="NO2_A1"/>
    <x v="0"/>
    <x v="0"/>
    <s v="GWND_WIND"/>
    <x v="6"/>
    <x v="11"/>
    <n v="16.4277256662307"/>
    <n v="999.353311362368"/>
    <n v="3597.67192090453"/>
  </r>
  <r>
    <x v="0"/>
    <x v="0"/>
    <x v="0"/>
    <x v="7"/>
    <x v="9"/>
    <s v="NO2_A1"/>
    <x v="0"/>
    <x v="0"/>
    <s v="GWND_WIND"/>
    <x v="7"/>
    <x v="0"/>
    <n v="8.2940596461774003"/>
    <n v="504.55529514245802"/>
    <n v="1816.3990625128499"/>
  </r>
  <r>
    <x v="0"/>
    <x v="0"/>
    <x v="0"/>
    <x v="7"/>
    <x v="9"/>
    <s v="NO2_A1"/>
    <x v="0"/>
    <x v="0"/>
    <s v="GWND_WIND"/>
    <x v="7"/>
    <x v="1"/>
    <n v="9.7986826897895192"/>
    <n v="596.08653029552897"/>
    <n v="2145.9115090639002"/>
  </r>
  <r>
    <x v="0"/>
    <x v="0"/>
    <x v="0"/>
    <x v="7"/>
    <x v="9"/>
    <s v="NO2_A1"/>
    <x v="0"/>
    <x v="0"/>
    <s v="GWND_WIND"/>
    <x v="7"/>
    <x v="2"/>
    <n v="10.5017066854193"/>
    <n v="638.85382336300995"/>
    <n v="2299.8737641068401"/>
  </r>
  <r>
    <x v="0"/>
    <x v="0"/>
    <x v="0"/>
    <x v="7"/>
    <x v="9"/>
    <s v="NO2_A1"/>
    <x v="0"/>
    <x v="0"/>
    <s v="GWND_WIND"/>
    <x v="7"/>
    <x v="3"/>
    <n v="4.2519334893023197"/>
    <n v="258.65928726589101"/>
    <n v="931.17343415720802"/>
  </r>
  <r>
    <x v="0"/>
    <x v="0"/>
    <x v="0"/>
    <x v="7"/>
    <x v="9"/>
    <s v="NO2_A1"/>
    <x v="0"/>
    <x v="0"/>
    <s v="GWND_WIND"/>
    <x v="7"/>
    <x v="4"/>
    <n v="5.3594905104849104"/>
    <n v="326.03567272116499"/>
    <n v="1173.7284217961901"/>
  </r>
  <r>
    <x v="0"/>
    <x v="0"/>
    <x v="0"/>
    <x v="7"/>
    <x v="9"/>
    <s v="NO2_A1"/>
    <x v="0"/>
    <x v="0"/>
    <s v="GWND_WIND"/>
    <x v="7"/>
    <x v="5"/>
    <n v="3.9202486108092298"/>
    <n v="238.48179049089501"/>
    <n v="858.534445767222"/>
  </r>
  <r>
    <x v="0"/>
    <x v="0"/>
    <x v="0"/>
    <x v="7"/>
    <x v="9"/>
    <s v="NO2_A1"/>
    <x v="0"/>
    <x v="0"/>
    <s v="GWND_WIND"/>
    <x v="7"/>
    <x v="6"/>
    <n v="17.635951822384001"/>
    <n v="1072.85373586169"/>
    <n v="3862.2734491021001"/>
  </r>
  <r>
    <x v="0"/>
    <x v="0"/>
    <x v="0"/>
    <x v="7"/>
    <x v="9"/>
    <s v="NO2_A1"/>
    <x v="0"/>
    <x v="0"/>
    <s v="GWND_WIND"/>
    <x v="7"/>
    <x v="7"/>
    <n v="23.553912806497799"/>
    <n v="1432.8630290619501"/>
    <n v="5158.3069046230103"/>
  </r>
  <r>
    <x v="0"/>
    <x v="0"/>
    <x v="0"/>
    <x v="7"/>
    <x v="9"/>
    <s v="NO2_A1"/>
    <x v="0"/>
    <x v="0"/>
    <s v="GWND_WIND"/>
    <x v="7"/>
    <x v="8"/>
    <n v="28.939894223336498"/>
    <n v="1760.5102319196301"/>
    <n v="6337.8368349106804"/>
  </r>
  <r>
    <x v="0"/>
    <x v="0"/>
    <x v="0"/>
    <x v="7"/>
    <x v="9"/>
    <s v="NO2_A1"/>
    <x v="0"/>
    <x v="0"/>
    <s v="GWND_WIND"/>
    <x v="7"/>
    <x v="9"/>
    <n v="30.069215586337901"/>
    <n v="1829.2106148355599"/>
    <n v="6585.1582134079999"/>
  </r>
  <r>
    <x v="0"/>
    <x v="0"/>
    <x v="0"/>
    <x v="7"/>
    <x v="9"/>
    <s v="NO2_A1"/>
    <x v="0"/>
    <x v="0"/>
    <s v="GWND_WIND"/>
    <x v="7"/>
    <x v="10"/>
    <n v="30.116608103843799"/>
    <n v="1832.0936596505001"/>
    <n v="6595.5371747418003"/>
  </r>
  <r>
    <x v="0"/>
    <x v="0"/>
    <x v="0"/>
    <x v="7"/>
    <x v="9"/>
    <s v="NO2_A1"/>
    <x v="0"/>
    <x v="0"/>
    <s v="GWND_WIND"/>
    <x v="7"/>
    <x v="11"/>
    <n v="30.207642336545401"/>
    <n v="1837.63157547318"/>
    <n v="6615.4736717034502"/>
  </r>
  <r>
    <x v="0"/>
    <x v="0"/>
    <x v="0"/>
    <x v="7"/>
    <x v="9"/>
    <s v="NO2_A1"/>
    <x v="0"/>
    <x v="0"/>
    <s v="GWND_WIND"/>
    <x v="8"/>
    <x v="0"/>
    <n v="28.214833687442098"/>
    <n v="1716.40238265273"/>
    <n v="6179.04857754983"/>
  </r>
  <r>
    <x v="0"/>
    <x v="0"/>
    <x v="0"/>
    <x v="7"/>
    <x v="9"/>
    <s v="NO2_A1"/>
    <x v="0"/>
    <x v="0"/>
    <s v="GWND_WIND"/>
    <x v="8"/>
    <x v="1"/>
    <n v="28.452825092825702"/>
    <n v="1730.8801931469"/>
    <n v="6231.1686953288199"/>
  </r>
  <r>
    <x v="0"/>
    <x v="0"/>
    <x v="0"/>
    <x v="7"/>
    <x v="9"/>
    <s v="NO2_A1"/>
    <x v="0"/>
    <x v="0"/>
    <s v="GWND_WIND"/>
    <x v="8"/>
    <x v="2"/>
    <n v="27.741162256696501"/>
    <n v="1687.5873706156999"/>
    <n v="6075.3145342165299"/>
  </r>
  <r>
    <x v="0"/>
    <x v="0"/>
    <x v="0"/>
    <x v="7"/>
    <x v="9"/>
    <s v="NO2_A1"/>
    <x v="0"/>
    <x v="0"/>
    <s v="GWND_WIND"/>
    <x v="8"/>
    <x v="3"/>
    <n v="16.954415356594399"/>
    <n v="1031.3936008594901"/>
    <n v="3713.01696309418"/>
  </r>
  <r>
    <x v="0"/>
    <x v="0"/>
    <x v="0"/>
    <x v="7"/>
    <x v="9"/>
    <s v="NO2_A1"/>
    <x v="0"/>
    <x v="0"/>
    <s v="GWND_WIND"/>
    <x v="8"/>
    <x v="4"/>
    <n v="25.386816402619299"/>
    <n v="1544.36466449267"/>
    <n v="5559.7127921736201"/>
  </r>
  <r>
    <x v="0"/>
    <x v="0"/>
    <x v="0"/>
    <x v="7"/>
    <x v="9"/>
    <s v="NO2_A1"/>
    <x v="0"/>
    <x v="0"/>
    <s v="GWND_WIND"/>
    <x v="8"/>
    <x v="5"/>
    <n v="12.2856999116855"/>
    <n v="747.38007796086697"/>
    <n v="2690.5682806591199"/>
  </r>
  <r>
    <x v="0"/>
    <x v="0"/>
    <x v="0"/>
    <x v="7"/>
    <x v="9"/>
    <s v="NO2_A1"/>
    <x v="0"/>
    <x v="0"/>
    <s v="GWND_WIND"/>
    <x v="8"/>
    <x v="6"/>
    <n v="8.3432814295086999"/>
    <n v="507.54962029511302"/>
    <n v="1827.17863306241"/>
  </r>
  <r>
    <x v="0"/>
    <x v="0"/>
    <x v="0"/>
    <x v="7"/>
    <x v="9"/>
    <s v="NO2_A1"/>
    <x v="0"/>
    <x v="0"/>
    <s v="GWND_WIND"/>
    <x v="8"/>
    <x v="7"/>
    <n v="7.49899566765699"/>
    <n v="456.18890311579997"/>
    <n v="1642.2800512168801"/>
  </r>
  <r>
    <x v="0"/>
    <x v="0"/>
    <x v="0"/>
    <x v="7"/>
    <x v="9"/>
    <s v="NO2_A1"/>
    <x v="0"/>
    <x v="0"/>
    <s v="GWND_WIND"/>
    <x v="8"/>
    <x v="8"/>
    <n v="13.0788515807869"/>
    <n v="795.63013783120505"/>
    <n v="2864.2684961923401"/>
  </r>
  <r>
    <x v="0"/>
    <x v="0"/>
    <x v="0"/>
    <x v="7"/>
    <x v="9"/>
    <s v="NO2_A1"/>
    <x v="0"/>
    <x v="0"/>
    <s v="GWND_WIND"/>
    <x v="8"/>
    <x v="9"/>
    <n v="9.6489320228899995"/>
    <n v="586.976698059142"/>
    <n v="2113.1161130129099"/>
  </r>
  <r>
    <x v="0"/>
    <x v="0"/>
    <x v="0"/>
    <x v="7"/>
    <x v="9"/>
    <s v="NO2_A1"/>
    <x v="0"/>
    <x v="0"/>
    <s v="GWND_WIND"/>
    <x v="8"/>
    <x v="10"/>
    <n v="7.3364770482437098"/>
    <n v="446.30235376815898"/>
    <n v="1606.68847356537"/>
  </r>
  <r>
    <x v="0"/>
    <x v="0"/>
    <x v="0"/>
    <x v="7"/>
    <x v="9"/>
    <s v="NO2_A1"/>
    <x v="0"/>
    <x v="0"/>
    <s v="GWND_WIND"/>
    <x v="8"/>
    <x v="11"/>
    <n v="8.4497986788810202"/>
    <n v="514.02941963192904"/>
    <n v="1850.50591067494"/>
  </r>
  <r>
    <x v="0"/>
    <x v="0"/>
    <x v="0"/>
    <x v="7"/>
    <x v="9"/>
    <s v="NO2_A1"/>
    <x v="0"/>
    <x v="0"/>
    <s v="GWND_WIND"/>
    <x v="9"/>
    <x v="0"/>
    <n v="29.831821633474899"/>
    <n v="1814.76914936972"/>
    <n v="6533.1689377310004"/>
  </r>
  <r>
    <x v="0"/>
    <x v="0"/>
    <x v="0"/>
    <x v="7"/>
    <x v="9"/>
    <s v="NO2_A1"/>
    <x v="0"/>
    <x v="0"/>
    <s v="GWND_WIND"/>
    <x v="9"/>
    <x v="1"/>
    <n v="29.9401150930433"/>
    <n v="1821.3570014934701"/>
    <n v="6556.8852053764904"/>
  </r>
  <r>
    <x v="0"/>
    <x v="0"/>
    <x v="0"/>
    <x v="7"/>
    <x v="9"/>
    <s v="NO2_A1"/>
    <x v="0"/>
    <x v="0"/>
    <s v="GWND_WIND"/>
    <x v="9"/>
    <x v="2"/>
    <n v="29.893216223565901"/>
    <n v="1818.5039869335901"/>
    <n v="6546.6143529609399"/>
  </r>
  <r>
    <x v="0"/>
    <x v="0"/>
    <x v="0"/>
    <x v="7"/>
    <x v="9"/>
    <s v="NO2_A1"/>
    <x v="0"/>
    <x v="0"/>
    <s v="GWND_WIND"/>
    <x v="9"/>
    <x v="3"/>
    <n v="29.830836644184298"/>
    <n v="1814.7092291878801"/>
    <n v="6532.9532250763596"/>
  </r>
  <r>
    <x v="0"/>
    <x v="0"/>
    <x v="0"/>
    <x v="7"/>
    <x v="9"/>
    <s v="NO2_A1"/>
    <x v="0"/>
    <x v="0"/>
    <s v="GWND_WIND"/>
    <x v="9"/>
    <x v="4"/>
    <n v="29.603488659378598"/>
    <n v="1800.8788934455299"/>
    <n v="6483.16401640391"/>
  </r>
  <r>
    <x v="0"/>
    <x v="0"/>
    <x v="0"/>
    <x v="7"/>
    <x v="9"/>
    <s v="NO2_A1"/>
    <x v="0"/>
    <x v="0"/>
    <s v="GWND_WIND"/>
    <x v="9"/>
    <x v="5"/>
    <n v="29.603347946622801"/>
    <n v="1800.87033341955"/>
    <n v="6483.1332003103898"/>
  </r>
  <r>
    <x v="0"/>
    <x v="0"/>
    <x v="0"/>
    <x v="7"/>
    <x v="9"/>
    <s v="NO2_A1"/>
    <x v="0"/>
    <x v="0"/>
    <s v="GWND_WIND"/>
    <x v="9"/>
    <x v="6"/>
    <n v="29.578990799270901"/>
    <n v="1799.3886069556499"/>
    <n v="6477.7989850403201"/>
  </r>
  <r>
    <x v="0"/>
    <x v="0"/>
    <x v="0"/>
    <x v="7"/>
    <x v="9"/>
    <s v="NO2_A1"/>
    <x v="0"/>
    <x v="0"/>
    <s v="GWND_WIND"/>
    <x v="9"/>
    <x v="7"/>
    <n v="29.556795092118701"/>
    <n v="1798.03836810389"/>
    <n v="6472.9381251739896"/>
  </r>
  <r>
    <x v="0"/>
    <x v="0"/>
    <x v="0"/>
    <x v="7"/>
    <x v="9"/>
    <s v="NO2_A1"/>
    <x v="0"/>
    <x v="0"/>
    <s v="GWND_WIND"/>
    <x v="9"/>
    <x v="8"/>
    <n v="29.480078959011099"/>
    <n v="1793.37147000651"/>
    <n v="6456.1372920234298"/>
  </r>
  <r>
    <x v="0"/>
    <x v="0"/>
    <x v="0"/>
    <x v="7"/>
    <x v="9"/>
    <s v="NO2_A1"/>
    <x v="0"/>
    <x v="0"/>
    <s v="GWND_WIND"/>
    <x v="9"/>
    <x v="9"/>
    <n v="29.436928585077499"/>
    <n v="1790.74648892555"/>
    <n v="6446.6873601319703"/>
  </r>
  <r>
    <x v="0"/>
    <x v="0"/>
    <x v="0"/>
    <x v="7"/>
    <x v="9"/>
    <s v="NO2_A1"/>
    <x v="0"/>
    <x v="0"/>
    <s v="GWND_WIND"/>
    <x v="9"/>
    <x v="10"/>
    <n v="29.3453338081192"/>
    <n v="1785.1744733272501"/>
    <n v="6426.6281039780997"/>
  </r>
  <r>
    <x v="0"/>
    <x v="0"/>
    <x v="0"/>
    <x v="7"/>
    <x v="9"/>
    <s v="NO2_A1"/>
    <x v="0"/>
    <x v="0"/>
    <s v="GWND_WIND"/>
    <x v="9"/>
    <x v="11"/>
    <n v="28.783248631402898"/>
    <n v="1750.98095841034"/>
    <n v="6303.5314502772299"/>
  </r>
  <r>
    <x v="0"/>
    <x v="0"/>
    <x v="0"/>
    <x v="7"/>
    <x v="9"/>
    <s v="NO2_A1"/>
    <x v="0"/>
    <x v="0"/>
    <s v="GWND_WIND"/>
    <x v="10"/>
    <x v="0"/>
    <n v="29.617744476277402"/>
    <n v="1801.7461223068799"/>
    <n v="6486.2860403047598"/>
  </r>
  <r>
    <x v="0"/>
    <x v="0"/>
    <x v="0"/>
    <x v="7"/>
    <x v="9"/>
    <s v="NO2_A1"/>
    <x v="0"/>
    <x v="0"/>
    <s v="GWND_WIND"/>
    <x v="10"/>
    <x v="1"/>
    <n v="29.464099987545399"/>
    <n v="1792.39941590901"/>
    <n v="6452.6378972724397"/>
  </r>
  <r>
    <x v="0"/>
    <x v="0"/>
    <x v="0"/>
    <x v="7"/>
    <x v="9"/>
    <s v="NO2_A1"/>
    <x v="0"/>
    <x v="0"/>
    <s v="GWND_WIND"/>
    <x v="10"/>
    <x v="2"/>
    <n v="29.158755614231001"/>
    <n v="1773.8242998657199"/>
    <n v="6385.7674795165904"/>
  </r>
  <r>
    <x v="0"/>
    <x v="0"/>
    <x v="0"/>
    <x v="7"/>
    <x v="9"/>
    <s v="NO2_A1"/>
    <x v="0"/>
    <x v="0"/>
    <s v="GWND_WIND"/>
    <x v="10"/>
    <x v="3"/>
    <n v="28.1518981773368"/>
    <n v="1712.5738057879901"/>
    <n v="6165.2657008367496"/>
  </r>
  <r>
    <x v="0"/>
    <x v="0"/>
    <x v="0"/>
    <x v="7"/>
    <x v="9"/>
    <s v="NO2_A1"/>
    <x v="0"/>
    <x v="0"/>
    <s v="GWND_WIND"/>
    <x v="10"/>
    <x v="4"/>
    <n v="11.327679028119"/>
    <n v="689.10047421057095"/>
    <n v="2480.7617071580598"/>
  </r>
  <r>
    <x v="0"/>
    <x v="0"/>
    <x v="0"/>
    <x v="7"/>
    <x v="9"/>
    <s v="NO2_A1"/>
    <x v="0"/>
    <x v="0"/>
    <s v="GWND_WIND"/>
    <x v="10"/>
    <x v="5"/>
    <n v="8.69916013628632"/>
    <n v="529.19890829075098"/>
    <n v="1905.1160698466999"/>
  </r>
  <r>
    <x v="0"/>
    <x v="0"/>
    <x v="0"/>
    <x v="7"/>
    <x v="9"/>
    <s v="NO2_A1"/>
    <x v="0"/>
    <x v="0"/>
    <s v="GWND_WIND"/>
    <x v="10"/>
    <x v="6"/>
    <n v="18.470567619116"/>
    <n v="1123.6261968295601"/>
    <n v="4045.0543085864001"/>
  </r>
  <r>
    <x v="0"/>
    <x v="0"/>
    <x v="0"/>
    <x v="7"/>
    <x v="9"/>
    <s v="NO2_A1"/>
    <x v="0"/>
    <x v="0"/>
    <s v="GWND_WIND"/>
    <x v="10"/>
    <x v="7"/>
    <n v="18.958167305919101"/>
    <n v="1153.28851111008"/>
    <n v="4151.8386399962901"/>
  </r>
  <r>
    <x v="0"/>
    <x v="0"/>
    <x v="0"/>
    <x v="7"/>
    <x v="9"/>
    <s v="NO2_A1"/>
    <x v="0"/>
    <x v="0"/>
    <s v="GWND_WIND"/>
    <x v="10"/>
    <x v="8"/>
    <n v="15.3642943198531"/>
    <n v="934.66123779106101"/>
    <n v="3364.7804560478198"/>
  </r>
  <r>
    <x v="0"/>
    <x v="0"/>
    <x v="0"/>
    <x v="7"/>
    <x v="9"/>
    <s v="NO2_A1"/>
    <x v="0"/>
    <x v="0"/>
    <s v="GWND_WIND"/>
    <x v="10"/>
    <x v="9"/>
    <n v="13.720370261534301"/>
    <n v="834.65585757666804"/>
    <n v="3004.7610872760101"/>
  </r>
  <r>
    <x v="0"/>
    <x v="0"/>
    <x v="0"/>
    <x v="7"/>
    <x v="9"/>
    <s v="NO2_A1"/>
    <x v="0"/>
    <x v="0"/>
    <s v="GWND_WIND"/>
    <x v="10"/>
    <x v="10"/>
    <n v="11.453210492302601"/>
    <n v="696.73697161507403"/>
    <n v="2508.2530978142599"/>
  </r>
  <r>
    <x v="0"/>
    <x v="0"/>
    <x v="0"/>
    <x v="7"/>
    <x v="9"/>
    <s v="NO2_A1"/>
    <x v="0"/>
    <x v="0"/>
    <s v="GWND_WIND"/>
    <x v="10"/>
    <x v="11"/>
    <n v="11.0874408321756"/>
    <n v="674.48598395735098"/>
    <n v="2428.14954224646"/>
  </r>
  <r>
    <x v="0"/>
    <x v="0"/>
    <x v="0"/>
    <x v="7"/>
    <x v="9"/>
    <s v="NO2_A1"/>
    <x v="0"/>
    <x v="0"/>
    <s v="GWND_WIND"/>
    <x v="11"/>
    <x v="0"/>
    <n v="19.68482643099"/>
    <n v="1197.4936078852199"/>
    <n v="4310.9769883868003"/>
  </r>
  <r>
    <x v="0"/>
    <x v="0"/>
    <x v="0"/>
    <x v="7"/>
    <x v="9"/>
    <s v="NO2_A1"/>
    <x v="0"/>
    <x v="0"/>
    <s v="GWND_WIND"/>
    <x v="11"/>
    <x v="1"/>
    <n v="20.105096217527201"/>
    <n v="1223.0600198995701"/>
    <n v="4403.0160716384498"/>
  </r>
  <r>
    <x v="0"/>
    <x v="0"/>
    <x v="0"/>
    <x v="7"/>
    <x v="9"/>
    <s v="NO2_A1"/>
    <x v="0"/>
    <x v="0"/>
    <s v="GWND_WIND"/>
    <x v="11"/>
    <x v="2"/>
    <n v="28.099266993135501"/>
    <n v="1709.37207541574"/>
    <n v="6153.7394714966704"/>
  </r>
  <r>
    <x v="0"/>
    <x v="0"/>
    <x v="0"/>
    <x v="7"/>
    <x v="9"/>
    <s v="NO2_A1"/>
    <x v="0"/>
    <x v="0"/>
    <s v="GWND_WIND"/>
    <x v="11"/>
    <x v="3"/>
    <n v="24.8250587867443"/>
    <n v="1510.1910761936099"/>
    <n v="5436.6878742970002"/>
  </r>
  <r>
    <x v="0"/>
    <x v="0"/>
    <x v="0"/>
    <x v="7"/>
    <x v="9"/>
    <s v="NO2_A1"/>
    <x v="0"/>
    <x v="0"/>
    <s v="GWND_WIND"/>
    <x v="11"/>
    <x v="4"/>
    <n v="29.873643309911099"/>
    <n v="1817.31330135293"/>
    <n v="6542.3278848705304"/>
  </r>
  <r>
    <x v="0"/>
    <x v="0"/>
    <x v="0"/>
    <x v="7"/>
    <x v="9"/>
    <s v="NO2_A1"/>
    <x v="0"/>
    <x v="0"/>
    <s v="GWND_WIND"/>
    <x v="11"/>
    <x v="5"/>
    <n v="29.818677678023501"/>
    <n v="1813.96955874643"/>
    <n v="6530.2904114871399"/>
  </r>
  <r>
    <x v="0"/>
    <x v="0"/>
    <x v="0"/>
    <x v="7"/>
    <x v="9"/>
    <s v="NO2_A1"/>
    <x v="0"/>
    <x v="0"/>
    <s v="GWND_WIND"/>
    <x v="11"/>
    <x v="6"/>
    <n v="29.480821737820399"/>
    <n v="1793.4166557174101"/>
    <n v="6456.2999605826699"/>
  </r>
  <r>
    <x v="0"/>
    <x v="0"/>
    <x v="0"/>
    <x v="7"/>
    <x v="9"/>
    <s v="NO2_A1"/>
    <x v="0"/>
    <x v="0"/>
    <s v="GWND_WIND"/>
    <x v="11"/>
    <x v="7"/>
    <n v="28.971566127223401"/>
    <n v="1762.43693940609"/>
    <n v="6344.77298186192"/>
  </r>
  <r>
    <x v="0"/>
    <x v="0"/>
    <x v="0"/>
    <x v="7"/>
    <x v="9"/>
    <s v="NO2_A1"/>
    <x v="0"/>
    <x v="0"/>
    <s v="GWND_WIND"/>
    <x v="11"/>
    <x v="8"/>
    <n v="25.564123701990201"/>
    <n v="1555.1508585377401"/>
    <n v="5598.5430907358596"/>
  </r>
  <r>
    <x v="0"/>
    <x v="0"/>
    <x v="0"/>
    <x v="7"/>
    <x v="9"/>
    <s v="NO2_A1"/>
    <x v="0"/>
    <x v="0"/>
    <s v="GWND_WIND"/>
    <x v="11"/>
    <x v="9"/>
    <n v="2.9751405446919801"/>
    <n v="180.98771646876199"/>
    <n v="651.55577928754303"/>
  </r>
  <r>
    <x v="0"/>
    <x v="0"/>
    <x v="0"/>
    <x v="7"/>
    <x v="9"/>
    <s v="NO2_A1"/>
    <x v="0"/>
    <x v="0"/>
    <s v="GWND_WIND"/>
    <x v="11"/>
    <x v="10"/>
    <n v="2.4030924435118801"/>
    <n v="146.188123646972"/>
    <n v="526.27724512910095"/>
  </r>
  <r>
    <x v="0"/>
    <x v="0"/>
    <x v="0"/>
    <x v="7"/>
    <x v="9"/>
    <s v="NO2_A1"/>
    <x v="0"/>
    <x v="0"/>
    <s v="GWND_WIND"/>
    <x v="11"/>
    <x v="11"/>
    <n v="7.3153586010416198"/>
    <n v="445.01764823003202"/>
    <n v="1602.06353362812"/>
  </r>
  <r>
    <x v="0"/>
    <x v="0"/>
    <x v="0"/>
    <x v="7"/>
    <x v="10"/>
    <s v="NO3_A1"/>
    <x v="7"/>
    <x v="6"/>
    <s v="GHYRR_WATER"/>
    <x v="0"/>
    <x v="0"/>
    <n v="1101.11689131706"/>
    <n v="66984.610888454597"/>
    <n v="241144.59919843599"/>
  </r>
  <r>
    <x v="0"/>
    <x v="0"/>
    <x v="0"/>
    <x v="7"/>
    <x v="10"/>
    <s v="NO3_A1"/>
    <x v="7"/>
    <x v="6"/>
    <s v="GHYRR_WATER"/>
    <x v="0"/>
    <x v="1"/>
    <n v="1101.11689131706"/>
    <n v="66984.610888454597"/>
    <n v="241144.59919843599"/>
  </r>
  <r>
    <x v="0"/>
    <x v="0"/>
    <x v="0"/>
    <x v="7"/>
    <x v="10"/>
    <s v="NO3_A1"/>
    <x v="7"/>
    <x v="6"/>
    <s v="GHYRR_WATER"/>
    <x v="0"/>
    <x v="2"/>
    <n v="1101.11689131706"/>
    <n v="66984.610888454597"/>
    <n v="241144.59919843599"/>
  </r>
  <r>
    <x v="0"/>
    <x v="0"/>
    <x v="0"/>
    <x v="7"/>
    <x v="10"/>
    <s v="NO3_A1"/>
    <x v="7"/>
    <x v="6"/>
    <s v="GHYRR_WATER"/>
    <x v="0"/>
    <x v="3"/>
    <n v="1101.11689131706"/>
    <n v="66984.610888454597"/>
    <n v="241144.59919843599"/>
  </r>
  <r>
    <x v="0"/>
    <x v="0"/>
    <x v="0"/>
    <x v="7"/>
    <x v="10"/>
    <s v="NO3_A1"/>
    <x v="7"/>
    <x v="6"/>
    <s v="GHYRR_WATER"/>
    <x v="0"/>
    <x v="4"/>
    <n v="1101.11689131706"/>
    <n v="66984.610888454597"/>
    <n v="241144.59919843599"/>
  </r>
  <r>
    <x v="0"/>
    <x v="0"/>
    <x v="0"/>
    <x v="7"/>
    <x v="10"/>
    <s v="NO3_A1"/>
    <x v="7"/>
    <x v="6"/>
    <s v="GHYRR_WATER"/>
    <x v="0"/>
    <x v="5"/>
    <n v="1101.11689131706"/>
    <n v="66984.610888454597"/>
    <n v="241144.59919843599"/>
  </r>
  <r>
    <x v="0"/>
    <x v="0"/>
    <x v="0"/>
    <x v="7"/>
    <x v="10"/>
    <s v="NO3_A1"/>
    <x v="7"/>
    <x v="6"/>
    <s v="GHYRR_WATER"/>
    <x v="0"/>
    <x v="6"/>
    <n v="1101.11689131706"/>
    <n v="66984.610888454597"/>
    <n v="241144.59919843599"/>
  </r>
  <r>
    <x v="0"/>
    <x v="0"/>
    <x v="0"/>
    <x v="7"/>
    <x v="10"/>
    <s v="NO3_A1"/>
    <x v="7"/>
    <x v="6"/>
    <s v="GHYRR_WATER"/>
    <x v="0"/>
    <x v="7"/>
    <n v="1101.11689131706"/>
    <n v="66984.610888454597"/>
    <n v="241144.59919843599"/>
  </r>
  <r>
    <x v="0"/>
    <x v="0"/>
    <x v="0"/>
    <x v="7"/>
    <x v="10"/>
    <s v="NO3_A1"/>
    <x v="7"/>
    <x v="6"/>
    <s v="GHYRR_WATER"/>
    <x v="0"/>
    <x v="8"/>
    <n v="1101.11689131706"/>
    <n v="66984.610888454597"/>
    <n v="241144.59919843599"/>
  </r>
  <r>
    <x v="0"/>
    <x v="0"/>
    <x v="0"/>
    <x v="7"/>
    <x v="10"/>
    <s v="NO3_A1"/>
    <x v="7"/>
    <x v="6"/>
    <s v="GHYRR_WATER"/>
    <x v="0"/>
    <x v="9"/>
    <n v="1101.11689131706"/>
    <n v="66984.610888454597"/>
    <n v="241144.59919843599"/>
  </r>
  <r>
    <x v="0"/>
    <x v="0"/>
    <x v="0"/>
    <x v="7"/>
    <x v="10"/>
    <s v="NO3_A1"/>
    <x v="7"/>
    <x v="6"/>
    <s v="GHYRR_WATER"/>
    <x v="0"/>
    <x v="10"/>
    <n v="1101.11689131706"/>
    <n v="66984.610888454597"/>
    <n v="241144.59919843599"/>
  </r>
  <r>
    <x v="0"/>
    <x v="0"/>
    <x v="0"/>
    <x v="7"/>
    <x v="10"/>
    <s v="NO3_A1"/>
    <x v="7"/>
    <x v="6"/>
    <s v="GHYRR_WATER"/>
    <x v="0"/>
    <x v="11"/>
    <n v="1101.11689131706"/>
    <n v="66984.610888454597"/>
    <n v="241144.59919843599"/>
  </r>
  <r>
    <x v="0"/>
    <x v="0"/>
    <x v="0"/>
    <x v="7"/>
    <x v="10"/>
    <s v="NO3_A1"/>
    <x v="7"/>
    <x v="6"/>
    <s v="GHYRR_WATER"/>
    <x v="1"/>
    <x v="0"/>
    <n v="933.20028036047802"/>
    <n v="56769.683721929097"/>
    <n v="204370.86139894501"/>
  </r>
  <r>
    <x v="0"/>
    <x v="0"/>
    <x v="0"/>
    <x v="7"/>
    <x v="10"/>
    <s v="NO3_A1"/>
    <x v="7"/>
    <x v="6"/>
    <s v="GHYRR_WATER"/>
    <x v="1"/>
    <x v="1"/>
    <n v="933.20028036047802"/>
    <n v="56769.683721929097"/>
    <n v="204370.86139894501"/>
  </r>
  <r>
    <x v="0"/>
    <x v="0"/>
    <x v="0"/>
    <x v="7"/>
    <x v="10"/>
    <s v="NO3_A1"/>
    <x v="7"/>
    <x v="6"/>
    <s v="GHYRR_WATER"/>
    <x v="1"/>
    <x v="2"/>
    <n v="933.20028036047802"/>
    <n v="56769.683721929097"/>
    <n v="204370.86139894501"/>
  </r>
  <r>
    <x v="0"/>
    <x v="0"/>
    <x v="0"/>
    <x v="7"/>
    <x v="10"/>
    <s v="NO3_A1"/>
    <x v="7"/>
    <x v="6"/>
    <s v="GHYRR_WATER"/>
    <x v="1"/>
    <x v="3"/>
    <n v="933.20028036047802"/>
    <n v="56769.683721929097"/>
    <n v="204370.86139894501"/>
  </r>
  <r>
    <x v="0"/>
    <x v="0"/>
    <x v="0"/>
    <x v="7"/>
    <x v="10"/>
    <s v="NO3_A1"/>
    <x v="7"/>
    <x v="6"/>
    <s v="GHYRR_WATER"/>
    <x v="1"/>
    <x v="4"/>
    <n v="933.20028036047802"/>
    <n v="56769.683721929097"/>
    <n v="204370.86139894501"/>
  </r>
  <r>
    <x v="0"/>
    <x v="0"/>
    <x v="0"/>
    <x v="7"/>
    <x v="10"/>
    <s v="NO3_A1"/>
    <x v="7"/>
    <x v="6"/>
    <s v="GHYRR_WATER"/>
    <x v="1"/>
    <x v="5"/>
    <n v="933.20028036047802"/>
    <n v="56769.683721929097"/>
    <n v="204370.86139894501"/>
  </r>
  <r>
    <x v="0"/>
    <x v="0"/>
    <x v="0"/>
    <x v="7"/>
    <x v="10"/>
    <s v="NO3_A1"/>
    <x v="7"/>
    <x v="6"/>
    <s v="GHYRR_WATER"/>
    <x v="1"/>
    <x v="6"/>
    <n v="933.20028036047802"/>
    <n v="56769.683721929097"/>
    <n v="204370.86139894501"/>
  </r>
  <r>
    <x v="0"/>
    <x v="0"/>
    <x v="0"/>
    <x v="7"/>
    <x v="10"/>
    <s v="NO3_A1"/>
    <x v="7"/>
    <x v="6"/>
    <s v="GHYRR_WATER"/>
    <x v="1"/>
    <x v="7"/>
    <n v="933.20028036047802"/>
    <n v="56769.683721929097"/>
    <n v="204370.86139894501"/>
  </r>
  <r>
    <x v="0"/>
    <x v="0"/>
    <x v="0"/>
    <x v="7"/>
    <x v="10"/>
    <s v="NO3_A1"/>
    <x v="7"/>
    <x v="6"/>
    <s v="GHYRR_WATER"/>
    <x v="1"/>
    <x v="8"/>
    <n v="933.20028036047802"/>
    <n v="56769.683721929097"/>
    <n v="204370.86139894501"/>
  </r>
  <r>
    <x v="0"/>
    <x v="0"/>
    <x v="0"/>
    <x v="7"/>
    <x v="10"/>
    <s v="NO3_A1"/>
    <x v="7"/>
    <x v="6"/>
    <s v="GHYRR_WATER"/>
    <x v="1"/>
    <x v="9"/>
    <n v="933.20028036047802"/>
    <n v="56769.683721929097"/>
    <n v="204370.86139894501"/>
  </r>
  <r>
    <x v="0"/>
    <x v="0"/>
    <x v="0"/>
    <x v="7"/>
    <x v="10"/>
    <s v="NO3_A1"/>
    <x v="7"/>
    <x v="6"/>
    <s v="GHYRR_WATER"/>
    <x v="1"/>
    <x v="10"/>
    <n v="933.20028036047802"/>
    <n v="56769.683721929097"/>
    <n v="204370.86139894501"/>
  </r>
  <r>
    <x v="0"/>
    <x v="0"/>
    <x v="0"/>
    <x v="7"/>
    <x v="10"/>
    <s v="NO3_A1"/>
    <x v="7"/>
    <x v="6"/>
    <s v="GHYRR_WATER"/>
    <x v="1"/>
    <x v="11"/>
    <n v="933.20028036047802"/>
    <n v="56769.683721929097"/>
    <n v="204370.86139894501"/>
  </r>
  <r>
    <x v="0"/>
    <x v="0"/>
    <x v="0"/>
    <x v="7"/>
    <x v="10"/>
    <s v="NO3_A1"/>
    <x v="7"/>
    <x v="6"/>
    <s v="GHYRR_WATER"/>
    <x v="2"/>
    <x v="0"/>
    <n v="910.91046474677296"/>
    <n v="55413.719938761998"/>
    <n v="199489.39177954299"/>
  </r>
  <r>
    <x v="0"/>
    <x v="0"/>
    <x v="0"/>
    <x v="7"/>
    <x v="10"/>
    <s v="NO3_A1"/>
    <x v="7"/>
    <x v="6"/>
    <s v="GHYRR_WATER"/>
    <x v="2"/>
    <x v="1"/>
    <n v="910.91046474677296"/>
    <n v="55413.719938761998"/>
    <n v="199489.39177954299"/>
  </r>
  <r>
    <x v="0"/>
    <x v="0"/>
    <x v="0"/>
    <x v="7"/>
    <x v="10"/>
    <s v="NO3_A1"/>
    <x v="7"/>
    <x v="6"/>
    <s v="GHYRR_WATER"/>
    <x v="2"/>
    <x v="2"/>
    <n v="910.91046474677296"/>
    <n v="55413.719938761998"/>
    <n v="199489.39177954299"/>
  </r>
  <r>
    <x v="0"/>
    <x v="0"/>
    <x v="0"/>
    <x v="7"/>
    <x v="10"/>
    <s v="NO3_A1"/>
    <x v="7"/>
    <x v="6"/>
    <s v="GHYRR_WATER"/>
    <x v="2"/>
    <x v="3"/>
    <n v="910.91046474677296"/>
    <n v="55413.719938761998"/>
    <n v="199489.39177954299"/>
  </r>
  <r>
    <x v="0"/>
    <x v="0"/>
    <x v="0"/>
    <x v="7"/>
    <x v="10"/>
    <s v="NO3_A1"/>
    <x v="7"/>
    <x v="6"/>
    <s v="GHYRR_WATER"/>
    <x v="2"/>
    <x v="4"/>
    <n v="910.91046474677296"/>
    <n v="55413.719938761998"/>
    <n v="199489.39177954299"/>
  </r>
  <r>
    <x v="0"/>
    <x v="0"/>
    <x v="0"/>
    <x v="7"/>
    <x v="10"/>
    <s v="NO3_A1"/>
    <x v="7"/>
    <x v="6"/>
    <s v="GHYRR_WATER"/>
    <x v="2"/>
    <x v="5"/>
    <n v="910.91046474677296"/>
    <n v="55413.719938761998"/>
    <n v="199489.39177954299"/>
  </r>
  <r>
    <x v="0"/>
    <x v="0"/>
    <x v="0"/>
    <x v="7"/>
    <x v="10"/>
    <s v="NO3_A1"/>
    <x v="7"/>
    <x v="6"/>
    <s v="GHYRR_WATER"/>
    <x v="2"/>
    <x v="6"/>
    <n v="910.91046474677296"/>
    <n v="55413.719938761998"/>
    <n v="199489.39177954299"/>
  </r>
  <r>
    <x v="0"/>
    <x v="0"/>
    <x v="0"/>
    <x v="7"/>
    <x v="10"/>
    <s v="NO3_A1"/>
    <x v="7"/>
    <x v="6"/>
    <s v="GHYRR_WATER"/>
    <x v="2"/>
    <x v="7"/>
    <n v="910.91046474677296"/>
    <n v="55413.719938761998"/>
    <n v="199489.39177954299"/>
  </r>
  <r>
    <x v="0"/>
    <x v="0"/>
    <x v="0"/>
    <x v="7"/>
    <x v="10"/>
    <s v="NO3_A1"/>
    <x v="7"/>
    <x v="6"/>
    <s v="GHYRR_WATER"/>
    <x v="2"/>
    <x v="8"/>
    <n v="910.91046474677296"/>
    <n v="55413.719938761998"/>
    <n v="199489.39177954299"/>
  </r>
  <r>
    <x v="0"/>
    <x v="0"/>
    <x v="0"/>
    <x v="7"/>
    <x v="10"/>
    <s v="NO3_A1"/>
    <x v="7"/>
    <x v="6"/>
    <s v="GHYRR_WATER"/>
    <x v="2"/>
    <x v="9"/>
    <n v="910.91046474677296"/>
    <n v="55413.719938761998"/>
    <n v="199489.39177954299"/>
  </r>
  <r>
    <x v="0"/>
    <x v="0"/>
    <x v="0"/>
    <x v="7"/>
    <x v="10"/>
    <s v="NO3_A1"/>
    <x v="7"/>
    <x v="6"/>
    <s v="GHYRR_WATER"/>
    <x v="2"/>
    <x v="10"/>
    <n v="910.91046474677296"/>
    <n v="55413.719938761998"/>
    <n v="199489.39177954299"/>
  </r>
  <r>
    <x v="0"/>
    <x v="0"/>
    <x v="0"/>
    <x v="7"/>
    <x v="10"/>
    <s v="NO3_A1"/>
    <x v="7"/>
    <x v="6"/>
    <s v="GHYRR_WATER"/>
    <x v="2"/>
    <x v="11"/>
    <n v="910.91046474677296"/>
    <n v="55413.719938761998"/>
    <n v="199489.39177954299"/>
  </r>
  <r>
    <x v="0"/>
    <x v="0"/>
    <x v="0"/>
    <x v="7"/>
    <x v="10"/>
    <s v="NO3_A1"/>
    <x v="7"/>
    <x v="6"/>
    <s v="GHYRR_WATER"/>
    <x v="3"/>
    <x v="0"/>
    <n v="674.63841924149199"/>
    <n v="41040.503837190801"/>
    <n v="147745.81381388701"/>
  </r>
  <r>
    <x v="0"/>
    <x v="0"/>
    <x v="0"/>
    <x v="7"/>
    <x v="10"/>
    <s v="NO3_A1"/>
    <x v="7"/>
    <x v="6"/>
    <s v="GHYRR_WATER"/>
    <x v="3"/>
    <x v="1"/>
    <n v="674.63841924149199"/>
    <n v="41040.503837190801"/>
    <n v="147745.81381388701"/>
  </r>
  <r>
    <x v="0"/>
    <x v="0"/>
    <x v="0"/>
    <x v="7"/>
    <x v="10"/>
    <s v="NO3_A1"/>
    <x v="7"/>
    <x v="6"/>
    <s v="GHYRR_WATER"/>
    <x v="3"/>
    <x v="2"/>
    <n v="674.63841924149199"/>
    <n v="41040.503837190801"/>
    <n v="147745.81381388701"/>
  </r>
  <r>
    <x v="0"/>
    <x v="0"/>
    <x v="0"/>
    <x v="7"/>
    <x v="10"/>
    <s v="NO3_A1"/>
    <x v="7"/>
    <x v="6"/>
    <s v="GHYRR_WATER"/>
    <x v="3"/>
    <x v="3"/>
    <n v="674.63841924149199"/>
    <n v="41040.503837190801"/>
    <n v="147745.81381388701"/>
  </r>
  <r>
    <x v="0"/>
    <x v="0"/>
    <x v="0"/>
    <x v="7"/>
    <x v="10"/>
    <s v="NO3_A1"/>
    <x v="7"/>
    <x v="6"/>
    <s v="GHYRR_WATER"/>
    <x v="3"/>
    <x v="4"/>
    <n v="674.63841924149199"/>
    <n v="41040.503837190801"/>
    <n v="147745.81381388701"/>
  </r>
  <r>
    <x v="0"/>
    <x v="0"/>
    <x v="0"/>
    <x v="7"/>
    <x v="10"/>
    <s v="NO3_A1"/>
    <x v="7"/>
    <x v="6"/>
    <s v="GHYRR_WATER"/>
    <x v="3"/>
    <x v="5"/>
    <n v="674.63841924149199"/>
    <n v="41040.503837190801"/>
    <n v="147745.81381388701"/>
  </r>
  <r>
    <x v="0"/>
    <x v="0"/>
    <x v="0"/>
    <x v="7"/>
    <x v="10"/>
    <s v="NO3_A1"/>
    <x v="7"/>
    <x v="6"/>
    <s v="GHYRR_WATER"/>
    <x v="3"/>
    <x v="6"/>
    <n v="674.63841924149199"/>
    <n v="41040.503837190801"/>
    <n v="147745.81381388701"/>
  </r>
  <r>
    <x v="0"/>
    <x v="0"/>
    <x v="0"/>
    <x v="7"/>
    <x v="10"/>
    <s v="NO3_A1"/>
    <x v="7"/>
    <x v="6"/>
    <s v="GHYRR_WATER"/>
    <x v="3"/>
    <x v="7"/>
    <n v="674.63841924149199"/>
    <n v="41040.503837190801"/>
    <n v="147745.81381388701"/>
  </r>
  <r>
    <x v="0"/>
    <x v="0"/>
    <x v="0"/>
    <x v="7"/>
    <x v="10"/>
    <s v="NO3_A1"/>
    <x v="7"/>
    <x v="6"/>
    <s v="GHYRR_WATER"/>
    <x v="3"/>
    <x v="8"/>
    <n v="674.63841924149199"/>
    <n v="41040.503837190801"/>
    <n v="147745.81381388701"/>
  </r>
  <r>
    <x v="0"/>
    <x v="0"/>
    <x v="0"/>
    <x v="7"/>
    <x v="10"/>
    <s v="NO3_A1"/>
    <x v="7"/>
    <x v="6"/>
    <s v="GHYRR_WATER"/>
    <x v="3"/>
    <x v="9"/>
    <n v="674.63841924149199"/>
    <n v="41040.503837190801"/>
    <n v="147745.81381388701"/>
  </r>
  <r>
    <x v="0"/>
    <x v="0"/>
    <x v="0"/>
    <x v="7"/>
    <x v="10"/>
    <s v="NO3_A1"/>
    <x v="7"/>
    <x v="6"/>
    <s v="GHYRR_WATER"/>
    <x v="3"/>
    <x v="10"/>
    <n v="674.63841924149199"/>
    <n v="41040.503837190801"/>
    <n v="147745.81381388701"/>
  </r>
  <r>
    <x v="0"/>
    <x v="0"/>
    <x v="0"/>
    <x v="7"/>
    <x v="10"/>
    <s v="NO3_A1"/>
    <x v="7"/>
    <x v="6"/>
    <s v="GHYRR_WATER"/>
    <x v="3"/>
    <x v="11"/>
    <n v="674.63841924149199"/>
    <n v="41040.503837190801"/>
    <n v="147745.81381388701"/>
  </r>
  <r>
    <x v="0"/>
    <x v="0"/>
    <x v="0"/>
    <x v="7"/>
    <x v="10"/>
    <s v="NO3_A1"/>
    <x v="7"/>
    <x v="6"/>
    <s v="GHYRR_WATER"/>
    <x v="4"/>
    <x v="0"/>
    <n v="512.66575911523103"/>
    <n v="31187.167012843202"/>
    <n v="112273.80124623601"/>
  </r>
  <r>
    <x v="0"/>
    <x v="0"/>
    <x v="0"/>
    <x v="7"/>
    <x v="10"/>
    <s v="NO3_A1"/>
    <x v="7"/>
    <x v="6"/>
    <s v="GHYRR_WATER"/>
    <x v="4"/>
    <x v="1"/>
    <n v="512.66575911523103"/>
    <n v="31187.167012843202"/>
    <n v="112273.80124623601"/>
  </r>
  <r>
    <x v="0"/>
    <x v="0"/>
    <x v="0"/>
    <x v="7"/>
    <x v="10"/>
    <s v="NO3_A1"/>
    <x v="7"/>
    <x v="6"/>
    <s v="GHYRR_WATER"/>
    <x v="4"/>
    <x v="2"/>
    <n v="512.66575911523103"/>
    <n v="31187.167012843202"/>
    <n v="112273.80124623601"/>
  </r>
  <r>
    <x v="0"/>
    <x v="0"/>
    <x v="0"/>
    <x v="7"/>
    <x v="10"/>
    <s v="NO3_A1"/>
    <x v="7"/>
    <x v="6"/>
    <s v="GHYRR_WATER"/>
    <x v="4"/>
    <x v="3"/>
    <n v="512.66575911523103"/>
    <n v="31187.167012843202"/>
    <n v="112273.80124623601"/>
  </r>
  <r>
    <x v="0"/>
    <x v="0"/>
    <x v="0"/>
    <x v="7"/>
    <x v="10"/>
    <s v="NO3_A1"/>
    <x v="7"/>
    <x v="6"/>
    <s v="GHYRR_WATER"/>
    <x v="4"/>
    <x v="4"/>
    <n v="512.66575911523103"/>
    <n v="31187.167012843202"/>
    <n v="112273.80124623601"/>
  </r>
  <r>
    <x v="0"/>
    <x v="0"/>
    <x v="0"/>
    <x v="7"/>
    <x v="10"/>
    <s v="NO3_A1"/>
    <x v="7"/>
    <x v="6"/>
    <s v="GHYRR_WATER"/>
    <x v="4"/>
    <x v="5"/>
    <n v="512.66575911523103"/>
    <n v="31187.167012843202"/>
    <n v="112273.80124623601"/>
  </r>
  <r>
    <x v="0"/>
    <x v="0"/>
    <x v="0"/>
    <x v="7"/>
    <x v="10"/>
    <s v="NO3_A1"/>
    <x v="7"/>
    <x v="6"/>
    <s v="GHYRR_WATER"/>
    <x v="4"/>
    <x v="6"/>
    <n v="512.66575911523103"/>
    <n v="31187.167012843202"/>
    <n v="112273.80124623601"/>
  </r>
  <r>
    <x v="0"/>
    <x v="0"/>
    <x v="0"/>
    <x v="7"/>
    <x v="10"/>
    <s v="NO3_A1"/>
    <x v="7"/>
    <x v="6"/>
    <s v="GHYRR_WATER"/>
    <x v="4"/>
    <x v="7"/>
    <n v="512.66575911523103"/>
    <n v="31187.167012843202"/>
    <n v="112273.80124623601"/>
  </r>
  <r>
    <x v="0"/>
    <x v="0"/>
    <x v="0"/>
    <x v="7"/>
    <x v="10"/>
    <s v="NO3_A1"/>
    <x v="7"/>
    <x v="6"/>
    <s v="GHYRR_WATER"/>
    <x v="4"/>
    <x v="8"/>
    <n v="512.66575911523103"/>
    <n v="31187.167012843202"/>
    <n v="112273.80124623601"/>
  </r>
  <r>
    <x v="0"/>
    <x v="0"/>
    <x v="0"/>
    <x v="7"/>
    <x v="10"/>
    <s v="NO3_A1"/>
    <x v="7"/>
    <x v="6"/>
    <s v="GHYRR_WATER"/>
    <x v="4"/>
    <x v="9"/>
    <n v="512.66575911523103"/>
    <n v="31187.167012843202"/>
    <n v="112273.80124623601"/>
  </r>
  <r>
    <x v="0"/>
    <x v="0"/>
    <x v="0"/>
    <x v="7"/>
    <x v="10"/>
    <s v="NO3_A1"/>
    <x v="7"/>
    <x v="6"/>
    <s v="GHYRR_WATER"/>
    <x v="4"/>
    <x v="10"/>
    <n v="512.66575911523103"/>
    <n v="31187.167012843202"/>
    <n v="112273.80124623601"/>
  </r>
  <r>
    <x v="0"/>
    <x v="0"/>
    <x v="0"/>
    <x v="7"/>
    <x v="10"/>
    <s v="NO3_A1"/>
    <x v="7"/>
    <x v="6"/>
    <s v="GHYRR_WATER"/>
    <x v="4"/>
    <x v="11"/>
    <n v="512.66575911523103"/>
    <n v="31187.167012843202"/>
    <n v="112273.80124623601"/>
  </r>
  <r>
    <x v="0"/>
    <x v="0"/>
    <x v="0"/>
    <x v="7"/>
    <x v="10"/>
    <s v="NO3_A1"/>
    <x v="7"/>
    <x v="6"/>
    <s v="GHYRR_WATER"/>
    <x v="5"/>
    <x v="0"/>
    <n v="515.63773453039198"/>
    <n v="31367.962183932199"/>
    <n v="112924.663862156"/>
  </r>
  <r>
    <x v="0"/>
    <x v="0"/>
    <x v="0"/>
    <x v="7"/>
    <x v="10"/>
    <s v="NO3_A1"/>
    <x v="7"/>
    <x v="6"/>
    <s v="GHYRR_WATER"/>
    <x v="5"/>
    <x v="1"/>
    <n v="515.63773453039198"/>
    <n v="31367.962183932199"/>
    <n v="112924.663862156"/>
  </r>
  <r>
    <x v="0"/>
    <x v="0"/>
    <x v="0"/>
    <x v="7"/>
    <x v="10"/>
    <s v="NO3_A1"/>
    <x v="7"/>
    <x v="6"/>
    <s v="GHYRR_WATER"/>
    <x v="5"/>
    <x v="2"/>
    <n v="515.63773453039198"/>
    <n v="31367.962183932199"/>
    <n v="112924.663862156"/>
  </r>
  <r>
    <x v="0"/>
    <x v="0"/>
    <x v="0"/>
    <x v="7"/>
    <x v="10"/>
    <s v="NO3_A1"/>
    <x v="7"/>
    <x v="6"/>
    <s v="GHYRR_WATER"/>
    <x v="5"/>
    <x v="3"/>
    <n v="515.63773453039198"/>
    <n v="31367.962183932199"/>
    <n v="112924.663862156"/>
  </r>
  <r>
    <x v="0"/>
    <x v="0"/>
    <x v="0"/>
    <x v="7"/>
    <x v="10"/>
    <s v="NO3_A1"/>
    <x v="7"/>
    <x v="6"/>
    <s v="GHYRR_WATER"/>
    <x v="5"/>
    <x v="4"/>
    <n v="515.63773453039198"/>
    <n v="31367.962183932199"/>
    <n v="112924.663862156"/>
  </r>
  <r>
    <x v="0"/>
    <x v="0"/>
    <x v="0"/>
    <x v="7"/>
    <x v="10"/>
    <s v="NO3_A1"/>
    <x v="7"/>
    <x v="6"/>
    <s v="GHYRR_WATER"/>
    <x v="5"/>
    <x v="5"/>
    <n v="515.63773453039198"/>
    <n v="31367.962183932199"/>
    <n v="112924.663862156"/>
  </r>
  <r>
    <x v="0"/>
    <x v="0"/>
    <x v="0"/>
    <x v="7"/>
    <x v="10"/>
    <s v="NO3_A1"/>
    <x v="7"/>
    <x v="6"/>
    <s v="GHYRR_WATER"/>
    <x v="5"/>
    <x v="6"/>
    <n v="515.63773453039198"/>
    <n v="31367.962183932199"/>
    <n v="112924.663862156"/>
  </r>
  <r>
    <x v="0"/>
    <x v="0"/>
    <x v="0"/>
    <x v="7"/>
    <x v="10"/>
    <s v="NO3_A1"/>
    <x v="7"/>
    <x v="6"/>
    <s v="GHYRR_WATER"/>
    <x v="5"/>
    <x v="7"/>
    <n v="515.63773453039198"/>
    <n v="31367.962183932199"/>
    <n v="112924.663862156"/>
  </r>
  <r>
    <x v="0"/>
    <x v="0"/>
    <x v="0"/>
    <x v="7"/>
    <x v="10"/>
    <s v="NO3_A1"/>
    <x v="7"/>
    <x v="6"/>
    <s v="GHYRR_WATER"/>
    <x v="5"/>
    <x v="8"/>
    <n v="515.63773453039198"/>
    <n v="31367.962183932199"/>
    <n v="112924.663862156"/>
  </r>
  <r>
    <x v="0"/>
    <x v="0"/>
    <x v="0"/>
    <x v="7"/>
    <x v="10"/>
    <s v="NO3_A1"/>
    <x v="7"/>
    <x v="6"/>
    <s v="GHYRR_WATER"/>
    <x v="5"/>
    <x v="9"/>
    <n v="515.63773453039198"/>
    <n v="31367.962183932199"/>
    <n v="112924.663862156"/>
  </r>
  <r>
    <x v="0"/>
    <x v="0"/>
    <x v="0"/>
    <x v="7"/>
    <x v="10"/>
    <s v="NO3_A1"/>
    <x v="7"/>
    <x v="6"/>
    <s v="GHYRR_WATER"/>
    <x v="5"/>
    <x v="10"/>
    <n v="515.63773453039198"/>
    <n v="31367.962183932199"/>
    <n v="112924.663862156"/>
  </r>
  <r>
    <x v="0"/>
    <x v="0"/>
    <x v="0"/>
    <x v="7"/>
    <x v="10"/>
    <s v="NO3_A1"/>
    <x v="7"/>
    <x v="6"/>
    <s v="GHYRR_WATER"/>
    <x v="5"/>
    <x v="11"/>
    <n v="515.63773453039198"/>
    <n v="31367.962183932199"/>
    <n v="112924.663862156"/>
  </r>
  <r>
    <x v="0"/>
    <x v="0"/>
    <x v="0"/>
    <x v="7"/>
    <x v="10"/>
    <s v="NO3_A1"/>
    <x v="7"/>
    <x v="6"/>
    <s v="GHYRR_WATER"/>
    <x v="6"/>
    <x v="0"/>
    <n v="570.61927971086595"/>
    <n v="34712.672849077702"/>
    <n v="124965.62225668"/>
  </r>
  <r>
    <x v="0"/>
    <x v="0"/>
    <x v="0"/>
    <x v="7"/>
    <x v="10"/>
    <s v="NO3_A1"/>
    <x v="7"/>
    <x v="6"/>
    <s v="GHYRR_WATER"/>
    <x v="6"/>
    <x v="1"/>
    <n v="570.61927971086595"/>
    <n v="34712.672849077702"/>
    <n v="124965.62225668"/>
  </r>
  <r>
    <x v="0"/>
    <x v="0"/>
    <x v="0"/>
    <x v="7"/>
    <x v="10"/>
    <s v="NO3_A1"/>
    <x v="7"/>
    <x v="6"/>
    <s v="GHYRR_WATER"/>
    <x v="6"/>
    <x v="2"/>
    <n v="570.61927971086595"/>
    <n v="34712.672849077702"/>
    <n v="124965.62225668"/>
  </r>
  <r>
    <x v="0"/>
    <x v="0"/>
    <x v="0"/>
    <x v="7"/>
    <x v="10"/>
    <s v="NO3_A1"/>
    <x v="7"/>
    <x v="6"/>
    <s v="GHYRR_WATER"/>
    <x v="6"/>
    <x v="3"/>
    <n v="570.61927971086595"/>
    <n v="34712.672849077702"/>
    <n v="124965.62225668"/>
  </r>
  <r>
    <x v="0"/>
    <x v="0"/>
    <x v="0"/>
    <x v="7"/>
    <x v="10"/>
    <s v="NO3_A1"/>
    <x v="7"/>
    <x v="6"/>
    <s v="GHYRR_WATER"/>
    <x v="6"/>
    <x v="4"/>
    <n v="570.61927971086595"/>
    <n v="34712.672849077702"/>
    <n v="124965.62225668"/>
  </r>
  <r>
    <x v="0"/>
    <x v="0"/>
    <x v="0"/>
    <x v="7"/>
    <x v="10"/>
    <s v="NO3_A1"/>
    <x v="7"/>
    <x v="6"/>
    <s v="GHYRR_WATER"/>
    <x v="6"/>
    <x v="5"/>
    <n v="570.61927971086595"/>
    <n v="34712.672849077702"/>
    <n v="124965.62225668"/>
  </r>
  <r>
    <x v="0"/>
    <x v="0"/>
    <x v="0"/>
    <x v="7"/>
    <x v="10"/>
    <s v="NO3_A1"/>
    <x v="7"/>
    <x v="6"/>
    <s v="GHYRR_WATER"/>
    <x v="6"/>
    <x v="6"/>
    <n v="570.61927971086595"/>
    <n v="34712.672849077702"/>
    <n v="124965.62225668"/>
  </r>
  <r>
    <x v="0"/>
    <x v="0"/>
    <x v="0"/>
    <x v="7"/>
    <x v="10"/>
    <s v="NO3_A1"/>
    <x v="7"/>
    <x v="6"/>
    <s v="GHYRR_WATER"/>
    <x v="6"/>
    <x v="7"/>
    <n v="570.61927971086595"/>
    <n v="34712.672849077702"/>
    <n v="124965.62225668"/>
  </r>
  <r>
    <x v="0"/>
    <x v="0"/>
    <x v="0"/>
    <x v="7"/>
    <x v="10"/>
    <s v="NO3_A1"/>
    <x v="7"/>
    <x v="6"/>
    <s v="GHYRR_WATER"/>
    <x v="6"/>
    <x v="8"/>
    <n v="570.61927971086595"/>
    <n v="34712.672849077702"/>
    <n v="124965.62225668"/>
  </r>
  <r>
    <x v="0"/>
    <x v="0"/>
    <x v="0"/>
    <x v="7"/>
    <x v="10"/>
    <s v="NO3_A1"/>
    <x v="7"/>
    <x v="6"/>
    <s v="GHYRR_WATER"/>
    <x v="6"/>
    <x v="9"/>
    <n v="570.61927971086595"/>
    <n v="34712.672849077702"/>
    <n v="124965.62225668"/>
  </r>
  <r>
    <x v="0"/>
    <x v="0"/>
    <x v="0"/>
    <x v="7"/>
    <x v="10"/>
    <s v="NO3_A1"/>
    <x v="7"/>
    <x v="6"/>
    <s v="GHYRR_WATER"/>
    <x v="6"/>
    <x v="10"/>
    <n v="570.61927971086595"/>
    <n v="34712.672849077702"/>
    <n v="124965.62225668"/>
  </r>
  <r>
    <x v="0"/>
    <x v="0"/>
    <x v="0"/>
    <x v="7"/>
    <x v="10"/>
    <s v="NO3_A1"/>
    <x v="7"/>
    <x v="6"/>
    <s v="GHYRR_WATER"/>
    <x v="6"/>
    <x v="11"/>
    <n v="570.61927971086595"/>
    <n v="34712.672849077702"/>
    <n v="124965.62225668"/>
  </r>
  <r>
    <x v="0"/>
    <x v="0"/>
    <x v="0"/>
    <x v="7"/>
    <x v="10"/>
    <s v="NO3_A1"/>
    <x v="7"/>
    <x v="6"/>
    <s v="GHYRR_WATER"/>
    <x v="7"/>
    <x v="0"/>
    <n v="586.96514449425001"/>
    <n v="35707.046290066901"/>
    <n v="128545.366644241"/>
  </r>
  <r>
    <x v="0"/>
    <x v="0"/>
    <x v="0"/>
    <x v="7"/>
    <x v="10"/>
    <s v="NO3_A1"/>
    <x v="7"/>
    <x v="6"/>
    <s v="GHYRR_WATER"/>
    <x v="7"/>
    <x v="1"/>
    <n v="586.96514449425001"/>
    <n v="35707.046290066901"/>
    <n v="128545.366644241"/>
  </r>
  <r>
    <x v="0"/>
    <x v="0"/>
    <x v="0"/>
    <x v="7"/>
    <x v="10"/>
    <s v="NO3_A1"/>
    <x v="7"/>
    <x v="6"/>
    <s v="GHYRR_WATER"/>
    <x v="7"/>
    <x v="2"/>
    <n v="586.96514449425001"/>
    <n v="35707.046290066901"/>
    <n v="128545.366644241"/>
  </r>
  <r>
    <x v="0"/>
    <x v="0"/>
    <x v="0"/>
    <x v="7"/>
    <x v="10"/>
    <s v="NO3_A1"/>
    <x v="7"/>
    <x v="6"/>
    <s v="GHYRR_WATER"/>
    <x v="7"/>
    <x v="3"/>
    <n v="586.96514449425001"/>
    <n v="35707.046290066901"/>
    <n v="128545.366644241"/>
  </r>
  <r>
    <x v="0"/>
    <x v="0"/>
    <x v="0"/>
    <x v="7"/>
    <x v="10"/>
    <s v="NO3_A1"/>
    <x v="7"/>
    <x v="6"/>
    <s v="GHYRR_WATER"/>
    <x v="7"/>
    <x v="4"/>
    <n v="586.96514449425001"/>
    <n v="35707.046290066901"/>
    <n v="128545.366644241"/>
  </r>
  <r>
    <x v="0"/>
    <x v="0"/>
    <x v="0"/>
    <x v="7"/>
    <x v="10"/>
    <s v="NO3_A1"/>
    <x v="7"/>
    <x v="6"/>
    <s v="GHYRR_WATER"/>
    <x v="7"/>
    <x v="5"/>
    <n v="586.96514449425001"/>
    <n v="35707.046290066901"/>
    <n v="128545.366644241"/>
  </r>
  <r>
    <x v="0"/>
    <x v="0"/>
    <x v="0"/>
    <x v="7"/>
    <x v="10"/>
    <s v="NO3_A1"/>
    <x v="7"/>
    <x v="6"/>
    <s v="GHYRR_WATER"/>
    <x v="7"/>
    <x v="6"/>
    <n v="586.96514449425001"/>
    <n v="35707.046290066901"/>
    <n v="128545.366644241"/>
  </r>
  <r>
    <x v="0"/>
    <x v="0"/>
    <x v="0"/>
    <x v="7"/>
    <x v="10"/>
    <s v="NO3_A1"/>
    <x v="7"/>
    <x v="6"/>
    <s v="GHYRR_WATER"/>
    <x v="7"/>
    <x v="7"/>
    <n v="586.96514449425001"/>
    <n v="35707.046290066901"/>
    <n v="128545.366644241"/>
  </r>
  <r>
    <x v="0"/>
    <x v="0"/>
    <x v="0"/>
    <x v="7"/>
    <x v="10"/>
    <s v="NO3_A1"/>
    <x v="7"/>
    <x v="6"/>
    <s v="GHYRR_WATER"/>
    <x v="7"/>
    <x v="8"/>
    <n v="586.96514449425001"/>
    <n v="35707.046290066901"/>
    <n v="128545.366644241"/>
  </r>
  <r>
    <x v="0"/>
    <x v="0"/>
    <x v="0"/>
    <x v="7"/>
    <x v="10"/>
    <s v="NO3_A1"/>
    <x v="7"/>
    <x v="6"/>
    <s v="GHYRR_WATER"/>
    <x v="7"/>
    <x v="9"/>
    <n v="586.96514449425001"/>
    <n v="35707.046290066901"/>
    <n v="128545.366644241"/>
  </r>
  <r>
    <x v="0"/>
    <x v="0"/>
    <x v="0"/>
    <x v="7"/>
    <x v="10"/>
    <s v="NO3_A1"/>
    <x v="7"/>
    <x v="6"/>
    <s v="GHYRR_WATER"/>
    <x v="7"/>
    <x v="10"/>
    <n v="586.96514449425001"/>
    <n v="35707.046290066901"/>
    <n v="128545.366644241"/>
  </r>
  <r>
    <x v="0"/>
    <x v="0"/>
    <x v="0"/>
    <x v="7"/>
    <x v="10"/>
    <s v="NO3_A1"/>
    <x v="7"/>
    <x v="6"/>
    <s v="GHYRR_WATER"/>
    <x v="7"/>
    <x v="11"/>
    <n v="586.96514449425001"/>
    <n v="35707.046290066901"/>
    <n v="128545.366644241"/>
  </r>
  <r>
    <x v="0"/>
    <x v="0"/>
    <x v="0"/>
    <x v="7"/>
    <x v="10"/>
    <s v="NO3_A1"/>
    <x v="7"/>
    <x v="6"/>
    <s v="GHYRR_WATER"/>
    <x v="8"/>
    <x v="0"/>
    <n v="662.75051758084896"/>
    <n v="40317.323152835001"/>
    <n v="145142.363350206"/>
  </r>
  <r>
    <x v="0"/>
    <x v="0"/>
    <x v="0"/>
    <x v="7"/>
    <x v="10"/>
    <s v="NO3_A1"/>
    <x v="7"/>
    <x v="6"/>
    <s v="GHYRR_WATER"/>
    <x v="8"/>
    <x v="1"/>
    <n v="662.75051758084896"/>
    <n v="40317.323152835001"/>
    <n v="145142.363350206"/>
  </r>
  <r>
    <x v="0"/>
    <x v="0"/>
    <x v="0"/>
    <x v="7"/>
    <x v="10"/>
    <s v="NO3_A1"/>
    <x v="7"/>
    <x v="6"/>
    <s v="GHYRR_WATER"/>
    <x v="8"/>
    <x v="2"/>
    <n v="662.75051758084896"/>
    <n v="40317.323152835001"/>
    <n v="145142.363350206"/>
  </r>
  <r>
    <x v="0"/>
    <x v="0"/>
    <x v="0"/>
    <x v="7"/>
    <x v="10"/>
    <s v="NO3_A1"/>
    <x v="7"/>
    <x v="6"/>
    <s v="GHYRR_WATER"/>
    <x v="8"/>
    <x v="3"/>
    <n v="662.75051758084896"/>
    <n v="40317.323152835001"/>
    <n v="145142.363350206"/>
  </r>
  <r>
    <x v="0"/>
    <x v="0"/>
    <x v="0"/>
    <x v="7"/>
    <x v="10"/>
    <s v="NO3_A1"/>
    <x v="7"/>
    <x v="6"/>
    <s v="GHYRR_WATER"/>
    <x v="8"/>
    <x v="4"/>
    <n v="662.75051758084896"/>
    <n v="40317.323152835001"/>
    <n v="145142.363350206"/>
  </r>
  <r>
    <x v="0"/>
    <x v="0"/>
    <x v="0"/>
    <x v="7"/>
    <x v="10"/>
    <s v="NO3_A1"/>
    <x v="7"/>
    <x v="6"/>
    <s v="GHYRR_WATER"/>
    <x v="8"/>
    <x v="5"/>
    <n v="662.75051758084896"/>
    <n v="40317.323152835001"/>
    <n v="145142.363350206"/>
  </r>
  <r>
    <x v="0"/>
    <x v="0"/>
    <x v="0"/>
    <x v="7"/>
    <x v="10"/>
    <s v="NO3_A1"/>
    <x v="7"/>
    <x v="6"/>
    <s v="GHYRR_WATER"/>
    <x v="8"/>
    <x v="6"/>
    <n v="662.75051758084896"/>
    <n v="40317.323152835001"/>
    <n v="145142.363350206"/>
  </r>
  <r>
    <x v="0"/>
    <x v="0"/>
    <x v="0"/>
    <x v="7"/>
    <x v="10"/>
    <s v="NO3_A1"/>
    <x v="7"/>
    <x v="6"/>
    <s v="GHYRR_WATER"/>
    <x v="8"/>
    <x v="7"/>
    <n v="662.75051758084896"/>
    <n v="40317.323152835001"/>
    <n v="145142.363350206"/>
  </r>
  <r>
    <x v="0"/>
    <x v="0"/>
    <x v="0"/>
    <x v="7"/>
    <x v="10"/>
    <s v="NO3_A1"/>
    <x v="7"/>
    <x v="6"/>
    <s v="GHYRR_WATER"/>
    <x v="8"/>
    <x v="8"/>
    <n v="662.75051758084896"/>
    <n v="40317.323152835001"/>
    <n v="145142.363350206"/>
  </r>
  <r>
    <x v="0"/>
    <x v="0"/>
    <x v="0"/>
    <x v="7"/>
    <x v="10"/>
    <s v="NO3_A1"/>
    <x v="7"/>
    <x v="6"/>
    <s v="GHYRR_WATER"/>
    <x v="8"/>
    <x v="9"/>
    <n v="662.75051758084896"/>
    <n v="40317.323152835001"/>
    <n v="145142.363350206"/>
  </r>
  <r>
    <x v="0"/>
    <x v="0"/>
    <x v="0"/>
    <x v="7"/>
    <x v="10"/>
    <s v="NO3_A1"/>
    <x v="7"/>
    <x v="6"/>
    <s v="GHYRR_WATER"/>
    <x v="8"/>
    <x v="10"/>
    <n v="662.75051758084896"/>
    <n v="40317.323152835001"/>
    <n v="145142.363350206"/>
  </r>
  <r>
    <x v="0"/>
    <x v="0"/>
    <x v="0"/>
    <x v="7"/>
    <x v="10"/>
    <s v="NO3_A1"/>
    <x v="7"/>
    <x v="6"/>
    <s v="GHYRR_WATER"/>
    <x v="8"/>
    <x v="11"/>
    <n v="662.75051758084896"/>
    <n v="40317.323152835001"/>
    <n v="145142.363350206"/>
  </r>
  <r>
    <x v="0"/>
    <x v="0"/>
    <x v="0"/>
    <x v="7"/>
    <x v="10"/>
    <s v="NO3_A1"/>
    <x v="7"/>
    <x v="6"/>
    <s v="GHYRR_WATER"/>
    <x v="9"/>
    <x v="0"/>
    <n v="616.68489864585695"/>
    <n v="37514.998000956301"/>
    <n v="135053.99280344299"/>
  </r>
  <r>
    <x v="0"/>
    <x v="0"/>
    <x v="0"/>
    <x v="7"/>
    <x v="10"/>
    <s v="NO3_A1"/>
    <x v="7"/>
    <x v="6"/>
    <s v="GHYRR_WATER"/>
    <x v="9"/>
    <x v="1"/>
    <n v="616.68489864585695"/>
    <n v="37514.998000956301"/>
    <n v="135053.99280344299"/>
  </r>
  <r>
    <x v="0"/>
    <x v="0"/>
    <x v="0"/>
    <x v="7"/>
    <x v="10"/>
    <s v="NO3_A1"/>
    <x v="7"/>
    <x v="6"/>
    <s v="GHYRR_WATER"/>
    <x v="9"/>
    <x v="2"/>
    <n v="616.68489864585695"/>
    <n v="37514.998000956301"/>
    <n v="135053.99280344299"/>
  </r>
  <r>
    <x v="0"/>
    <x v="0"/>
    <x v="0"/>
    <x v="7"/>
    <x v="10"/>
    <s v="NO3_A1"/>
    <x v="7"/>
    <x v="6"/>
    <s v="GHYRR_WATER"/>
    <x v="9"/>
    <x v="3"/>
    <n v="616.68489864585695"/>
    <n v="37514.998000956301"/>
    <n v="135053.99280344299"/>
  </r>
  <r>
    <x v="0"/>
    <x v="0"/>
    <x v="0"/>
    <x v="7"/>
    <x v="10"/>
    <s v="NO3_A1"/>
    <x v="7"/>
    <x v="6"/>
    <s v="GHYRR_WATER"/>
    <x v="9"/>
    <x v="4"/>
    <n v="616.68489864585695"/>
    <n v="37514.998000956301"/>
    <n v="135053.99280344299"/>
  </r>
  <r>
    <x v="0"/>
    <x v="0"/>
    <x v="0"/>
    <x v="7"/>
    <x v="10"/>
    <s v="NO3_A1"/>
    <x v="7"/>
    <x v="6"/>
    <s v="GHYRR_WATER"/>
    <x v="9"/>
    <x v="5"/>
    <n v="616.68489864585695"/>
    <n v="37514.998000956301"/>
    <n v="135053.99280344299"/>
  </r>
  <r>
    <x v="0"/>
    <x v="0"/>
    <x v="0"/>
    <x v="7"/>
    <x v="10"/>
    <s v="NO3_A1"/>
    <x v="7"/>
    <x v="6"/>
    <s v="GHYRR_WATER"/>
    <x v="9"/>
    <x v="6"/>
    <n v="616.68489864585695"/>
    <n v="37514.998000956301"/>
    <n v="135053.99280344299"/>
  </r>
  <r>
    <x v="0"/>
    <x v="0"/>
    <x v="0"/>
    <x v="7"/>
    <x v="10"/>
    <s v="NO3_A1"/>
    <x v="7"/>
    <x v="6"/>
    <s v="GHYRR_WATER"/>
    <x v="9"/>
    <x v="7"/>
    <n v="616.68489864585695"/>
    <n v="37514.998000956301"/>
    <n v="135053.99280344299"/>
  </r>
  <r>
    <x v="0"/>
    <x v="0"/>
    <x v="0"/>
    <x v="7"/>
    <x v="10"/>
    <s v="NO3_A1"/>
    <x v="7"/>
    <x v="6"/>
    <s v="GHYRR_WATER"/>
    <x v="9"/>
    <x v="8"/>
    <n v="616.68489864585695"/>
    <n v="37514.998000956301"/>
    <n v="135053.99280344299"/>
  </r>
  <r>
    <x v="0"/>
    <x v="0"/>
    <x v="0"/>
    <x v="7"/>
    <x v="10"/>
    <s v="NO3_A1"/>
    <x v="7"/>
    <x v="6"/>
    <s v="GHYRR_WATER"/>
    <x v="9"/>
    <x v="9"/>
    <n v="616.68489864585695"/>
    <n v="37514.998000956301"/>
    <n v="135053.99280344299"/>
  </r>
  <r>
    <x v="0"/>
    <x v="0"/>
    <x v="0"/>
    <x v="7"/>
    <x v="10"/>
    <s v="NO3_A1"/>
    <x v="7"/>
    <x v="6"/>
    <s v="GHYRR_WATER"/>
    <x v="9"/>
    <x v="10"/>
    <n v="616.68489864585695"/>
    <n v="37514.998000956301"/>
    <n v="135053.99280344299"/>
  </r>
  <r>
    <x v="0"/>
    <x v="0"/>
    <x v="0"/>
    <x v="7"/>
    <x v="10"/>
    <s v="NO3_A1"/>
    <x v="7"/>
    <x v="6"/>
    <s v="GHYRR_WATER"/>
    <x v="9"/>
    <x v="11"/>
    <n v="616.68489864585695"/>
    <n v="37514.998000956301"/>
    <n v="135053.99280344299"/>
  </r>
  <r>
    <x v="0"/>
    <x v="0"/>
    <x v="0"/>
    <x v="7"/>
    <x v="10"/>
    <s v="NO3_A1"/>
    <x v="7"/>
    <x v="6"/>
    <s v="GHYRR_WATER"/>
    <x v="10"/>
    <x v="0"/>
    <n v="742.99385379018997"/>
    <n v="45198.792772236498"/>
    <n v="162715.65398005201"/>
  </r>
  <r>
    <x v="0"/>
    <x v="0"/>
    <x v="0"/>
    <x v="7"/>
    <x v="10"/>
    <s v="NO3_A1"/>
    <x v="7"/>
    <x v="6"/>
    <s v="GHYRR_WATER"/>
    <x v="10"/>
    <x v="1"/>
    <n v="742.99385379018997"/>
    <n v="45198.792772236498"/>
    <n v="162715.65398005201"/>
  </r>
  <r>
    <x v="0"/>
    <x v="0"/>
    <x v="0"/>
    <x v="7"/>
    <x v="10"/>
    <s v="NO3_A1"/>
    <x v="7"/>
    <x v="6"/>
    <s v="GHYRR_WATER"/>
    <x v="10"/>
    <x v="2"/>
    <n v="742.99385379018997"/>
    <n v="45198.792772236498"/>
    <n v="162715.65398005201"/>
  </r>
  <r>
    <x v="0"/>
    <x v="0"/>
    <x v="0"/>
    <x v="7"/>
    <x v="10"/>
    <s v="NO3_A1"/>
    <x v="7"/>
    <x v="6"/>
    <s v="GHYRR_WATER"/>
    <x v="10"/>
    <x v="3"/>
    <n v="742.99385379018997"/>
    <n v="45198.792772236498"/>
    <n v="162715.65398005201"/>
  </r>
  <r>
    <x v="0"/>
    <x v="0"/>
    <x v="0"/>
    <x v="7"/>
    <x v="10"/>
    <s v="NO3_A1"/>
    <x v="7"/>
    <x v="6"/>
    <s v="GHYRR_WATER"/>
    <x v="10"/>
    <x v="4"/>
    <n v="742.99385379018997"/>
    <n v="45198.792772236498"/>
    <n v="162715.65398005201"/>
  </r>
  <r>
    <x v="0"/>
    <x v="0"/>
    <x v="0"/>
    <x v="7"/>
    <x v="10"/>
    <s v="NO3_A1"/>
    <x v="7"/>
    <x v="6"/>
    <s v="GHYRR_WATER"/>
    <x v="10"/>
    <x v="5"/>
    <n v="742.99385379018997"/>
    <n v="45198.792772236498"/>
    <n v="162715.65398005201"/>
  </r>
  <r>
    <x v="0"/>
    <x v="0"/>
    <x v="0"/>
    <x v="7"/>
    <x v="10"/>
    <s v="NO3_A1"/>
    <x v="7"/>
    <x v="6"/>
    <s v="GHYRR_WATER"/>
    <x v="10"/>
    <x v="6"/>
    <n v="742.99385379018997"/>
    <n v="45198.792772236498"/>
    <n v="162715.65398005201"/>
  </r>
  <r>
    <x v="0"/>
    <x v="0"/>
    <x v="0"/>
    <x v="7"/>
    <x v="10"/>
    <s v="NO3_A1"/>
    <x v="7"/>
    <x v="6"/>
    <s v="GHYRR_WATER"/>
    <x v="10"/>
    <x v="7"/>
    <n v="742.99385379018997"/>
    <n v="45198.792772236498"/>
    <n v="162715.65398005201"/>
  </r>
  <r>
    <x v="0"/>
    <x v="0"/>
    <x v="0"/>
    <x v="7"/>
    <x v="10"/>
    <s v="NO3_A1"/>
    <x v="7"/>
    <x v="6"/>
    <s v="GHYRR_WATER"/>
    <x v="10"/>
    <x v="8"/>
    <n v="742.99385379018997"/>
    <n v="45198.792772236498"/>
    <n v="162715.65398005201"/>
  </r>
  <r>
    <x v="0"/>
    <x v="0"/>
    <x v="0"/>
    <x v="7"/>
    <x v="10"/>
    <s v="NO3_A1"/>
    <x v="7"/>
    <x v="6"/>
    <s v="GHYRR_WATER"/>
    <x v="10"/>
    <x v="9"/>
    <n v="742.99385379018997"/>
    <n v="45198.792772236498"/>
    <n v="162715.65398005201"/>
  </r>
  <r>
    <x v="0"/>
    <x v="0"/>
    <x v="0"/>
    <x v="7"/>
    <x v="10"/>
    <s v="NO3_A1"/>
    <x v="7"/>
    <x v="6"/>
    <s v="GHYRR_WATER"/>
    <x v="10"/>
    <x v="10"/>
    <n v="742.99385379018997"/>
    <n v="45198.792772236498"/>
    <n v="162715.65398005201"/>
  </r>
  <r>
    <x v="0"/>
    <x v="0"/>
    <x v="0"/>
    <x v="7"/>
    <x v="10"/>
    <s v="NO3_A1"/>
    <x v="7"/>
    <x v="6"/>
    <s v="GHYRR_WATER"/>
    <x v="10"/>
    <x v="11"/>
    <n v="742.99385379018997"/>
    <n v="45198.792772236498"/>
    <n v="162715.65398005201"/>
  </r>
  <r>
    <x v="0"/>
    <x v="0"/>
    <x v="0"/>
    <x v="7"/>
    <x v="10"/>
    <s v="NO3_A1"/>
    <x v="7"/>
    <x v="6"/>
    <s v="GHYRR_WATER"/>
    <x v="11"/>
    <x v="0"/>
    <n v="1266.06152685848"/>
    <n v="77018.7428838911"/>
    <n v="277267.47438200802"/>
  </r>
  <r>
    <x v="0"/>
    <x v="0"/>
    <x v="0"/>
    <x v="7"/>
    <x v="10"/>
    <s v="NO3_A1"/>
    <x v="7"/>
    <x v="6"/>
    <s v="GHYRR_WATER"/>
    <x v="11"/>
    <x v="1"/>
    <n v="1266.06152685848"/>
    <n v="77018.7428838911"/>
    <n v="277267.47438200802"/>
  </r>
  <r>
    <x v="0"/>
    <x v="0"/>
    <x v="0"/>
    <x v="7"/>
    <x v="10"/>
    <s v="NO3_A1"/>
    <x v="7"/>
    <x v="6"/>
    <s v="GHYRR_WATER"/>
    <x v="11"/>
    <x v="2"/>
    <n v="1266.06152685848"/>
    <n v="77018.7428838911"/>
    <n v="277267.47438200802"/>
  </r>
  <r>
    <x v="0"/>
    <x v="0"/>
    <x v="0"/>
    <x v="7"/>
    <x v="10"/>
    <s v="NO3_A1"/>
    <x v="7"/>
    <x v="6"/>
    <s v="GHYRR_WATER"/>
    <x v="11"/>
    <x v="3"/>
    <n v="1266.06152685848"/>
    <n v="77018.7428838911"/>
    <n v="277267.47438200802"/>
  </r>
  <r>
    <x v="0"/>
    <x v="0"/>
    <x v="0"/>
    <x v="7"/>
    <x v="10"/>
    <s v="NO3_A1"/>
    <x v="7"/>
    <x v="6"/>
    <s v="GHYRR_WATER"/>
    <x v="11"/>
    <x v="4"/>
    <n v="1266.06152685848"/>
    <n v="77018.7428838911"/>
    <n v="277267.47438200802"/>
  </r>
  <r>
    <x v="0"/>
    <x v="0"/>
    <x v="0"/>
    <x v="7"/>
    <x v="10"/>
    <s v="NO3_A1"/>
    <x v="7"/>
    <x v="6"/>
    <s v="GHYRR_WATER"/>
    <x v="11"/>
    <x v="5"/>
    <n v="1266.06152685848"/>
    <n v="77018.7428838911"/>
    <n v="277267.47438200802"/>
  </r>
  <r>
    <x v="0"/>
    <x v="0"/>
    <x v="0"/>
    <x v="7"/>
    <x v="10"/>
    <s v="NO3_A1"/>
    <x v="7"/>
    <x v="6"/>
    <s v="GHYRR_WATER"/>
    <x v="11"/>
    <x v="6"/>
    <n v="1266.06152685848"/>
    <n v="77018.7428838911"/>
    <n v="277267.47438200802"/>
  </r>
  <r>
    <x v="0"/>
    <x v="0"/>
    <x v="0"/>
    <x v="7"/>
    <x v="10"/>
    <s v="NO3_A1"/>
    <x v="7"/>
    <x v="6"/>
    <s v="GHYRR_WATER"/>
    <x v="11"/>
    <x v="7"/>
    <n v="1266.06152685848"/>
    <n v="77018.7428838911"/>
    <n v="277267.47438200802"/>
  </r>
  <r>
    <x v="0"/>
    <x v="0"/>
    <x v="0"/>
    <x v="7"/>
    <x v="10"/>
    <s v="NO3_A1"/>
    <x v="7"/>
    <x v="6"/>
    <s v="GHYRR_WATER"/>
    <x v="11"/>
    <x v="8"/>
    <n v="1266.06152685848"/>
    <n v="77018.7428838911"/>
    <n v="277267.47438200802"/>
  </r>
  <r>
    <x v="0"/>
    <x v="0"/>
    <x v="0"/>
    <x v="7"/>
    <x v="10"/>
    <s v="NO3_A1"/>
    <x v="7"/>
    <x v="6"/>
    <s v="GHYRR_WATER"/>
    <x v="11"/>
    <x v="9"/>
    <n v="1266.06152685848"/>
    <n v="77018.7428838911"/>
    <n v="277267.47438200802"/>
  </r>
  <r>
    <x v="0"/>
    <x v="0"/>
    <x v="0"/>
    <x v="7"/>
    <x v="10"/>
    <s v="NO3_A1"/>
    <x v="7"/>
    <x v="6"/>
    <s v="GHYRR_WATER"/>
    <x v="11"/>
    <x v="10"/>
    <n v="1266.06152685848"/>
    <n v="77018.7428838911"/>
    <n v="277267.47438200802"/>
  </r>
  <r>
    <x v="0"/>
    <x v="0"/>
    <x v="0"/>
    <x v="7"/>
    <x v="10"/>
    <s v="NO3_A1"/>
    <x v="7"/>
    <x v="6"/>
    <s v="GHYRR_WATER"/>
    <x v="11"/>
    <x v="11"/>
    <n v="1266.06152685848"/>
    <n v="77018.7428838911"/>
    <n v="277267.47438200802"/>
  </r>
  <r>
    <x v="0"/>
    <x v="0"/>
    <x v="0"/>
    <x v="7"/>
    <x v="10"/>
    <s v="NO3_A1"/>
    <x v="7"/>
    <x v="7"/>
    <s v="GHYRS_WATER"/>
    <x v="4"/>
    <x v="0"/>
    <n v="3296.4289287081501"/>
    <n v="200532.75982974601"/>
    <n v="721917.93538708496"/>
  </r>
  <r>
    <x v="0"/>
    <x v="0"/>
    <x v="0"/>
    <x v="7"/>
    <x v="10"/>
    <s v="NO3_A1"/>
    <x v="7"/>
    <x v="7"/>
    <s v="GHYRS_WATER"/>
    <x v="4"/>
    <x v="1"/>
    <n v="3222.3691255731501"/>
    <n v="196027.455139033"/>
    <n v="705698.83850051998"/>
  </r>
  <r>
    <x v="0"/>
    <x v="0"/>
    <x v="0"/>
    <x v="7"/>
    <x v="10"/>
    <s v="NO3_A1"/>
    <x v="7"/>
    <x v="7"/>
    <s v="GHYRS_WATER"/>
    <x v="4"/>
    <x v="2"/>
    <n v="3168.8484200470202"/>
    <n v="192771.61221952701"/>
    <n v="693977.80399029795"/>
  </r>
  <r>
    <x v="0"/>
    <x v="0"/>
    <x v="0"/>
    <x v="7"/>
    <x v="10"/>
    <s v="NO3_A1"/>
    <x v="7"/>
    <x v="7"/>
    <s v="GHYRS_WATER"/>
    <x v="4"/>
    <x v="3"/>
    <n v="3128.66341339562"/>
    <n v="190327.02431489999"/>
    <n v="685177.28753364098"/>
  </r>
  <r>
    <x v="0"/>
    <x v="0"/>
    <x v="0"/>
    <x v="7"/>
    <x v="10"/>
    <s v="NO3_A1"/>
    <x v="7"/>
    <x v="7"/>
    <s v="GHYRS_WATER"/>
    <x v="4"/>
    <x v="4"/>
    <n v="3260.8281296197401"/>
    <n v="198367.04455186799"/>
    <n v="714121.360386724"/>
  </r>
  <r>
    <x v="0"/>
    <x v="0"/>
    <x v="0"/>
    <x v="7"/>
    <x v="10"/>
    <s v="NO3_A1"/>
    <x v="7"/>
    <x v="7"/>
    <s v="GHYRS_WATER"/>
    <x v="4"/>
    <x v="5"/>
    <n v="3355.9745354616398"/>
    <n v="204155.117573917"/>
    <n v="734958.4232661"/>
  </r>
  <r>
    <x v="0"/>
    <x v="0"/>
    <x v="0"/>
    <x v="7"/>
    <x v="10"/>
    <s v="NO3_A1"/>
    <x v="7"/>
    <x v="7"/>
    <s v="GHYRS_WATER"/>
    <x v="4"/>
    <x v="6"/>
    <n v="3576.5755305748698"/>
    <n v="217575.011443305"/>
    <n v="783270.04119589797"/>
  </r>
  <r>
    <x v="0"/>
    <x v="0"/>
    <x v="0"/>
    <x v="7"/>
    <x v="10"/>
    <s v="NO3_A1"/>
    <x v="7"/>
    <x v="7"/>
    <s v="GHYRS_WATER"/>
    <x v="4"/>
    <x v="7"/>
    <n v="3798.84703344121"/>
    <n v="231096.52786767401"/>
    <n v="831947.50032362505"/>
  </r>
  <r>
    <x v="0"/>
    <x v="0"/>
    <x v="0"/>
    <x v="7"/>
    <x v="10"/>
    <s v="NO3_A1"/>
    <x v="7"/>
    <x v="7"/>
    <s v="GHYRS_WATER"/>
    <x v="4"/>
    <x v="8"/>
    <n v="3798.84703344121"/>
    <n v="231096.52786767401"/>
    <n v="831947.50032362505"/>
  </r>
  <r>
    <x v="0"/>
    <x v="0"/>
    <x v="0"/>
    <x v="7"/>
    <x v="10"/>
    <s v="NO3_A1"/>
    <x v="7"/>
    <x v="7"/>
    <s v="GHYRS_WATER"/>
    <x v="4"/>
    <x v="9"/>
    <n v="3798.84703344121"/>
    <n v="231096.52786767401"/>
    <n v="831947.50032362505"/>
  </r>
  <r>
    <x v="0"/>
    <x v="0"/>
    <x v="0"/>
    <x v="7"/>
    <x v="10"/>
    <s v="NO3_A1"/>
    <x v="7"/>
    <x v="7"/>
    <s v="GHYRS_WATER"/>
    <x v="4"/>
    <x v="10"/>
    <n v="3798.84703344121"/>
    <n v="231096.52786767401"/>
    <n v="831947.50032362505"/>
  </r>
  <r>
    <x v="0"/>
    <x v="0"/>
    <x v="0"/>
    <x v="7"/>
    <x v="10"/>
    <s v="NO3_A1"/>
    <x v="7"/>
    <x v="7"/>
    <s v="GHYRS_WATER"/>
    <x v="4"/>
    <x v="11"/>
    <n v="3798.84703344121"/>
    <n v="231096.52786767401"/>
    <n v="831947.50032362505"/>
  </r>
  <r>
    <x v="0"/>
    <x v="0"/>
    <x v="0"/>
    <x v="7"/>
    <x v="10"/>
    <s v="NO3_A1"/>
    <x v="7"/>
    <x v="7"/>
    <s v="GHYRS_WATER"/>
    <x v="5"/>
    <x v="0"/>
    <n v="3237.4426694999502"/>
    <n v="196944.42906124701"/>
    <n v="708999.94462048798"/>
  </r>
  <r>
    <x v="0"/>
    <x v="0"/>
    <x v="0"/>
    <x v="7"/>
    <x v="10"/>
    <s v="NO3_A1"/>
    <x v="7"/>
    <x v="7"/>
    <s v="GHYRS_WATER"/>
    <x v="5"/>
    <x v="1"/>
    <n v="3134.57127294562"/>
    <n v="190686.419104192"/>
    <n v="686471.10877509101"/>
  </r>
  <r>
    <x v="0"/>
    <x v="0"/>
    <x v="0"/>
    <x v="7"/>
    <x v="10"/>
    <s v="NO3_A1"/>
    <x v="7"/>
    <x v="7"/>
    <s v="GHYRS_WATER"/>
    <x v="5"/>
    <x v="2"/>
    <n v="3078.93540208183"/>
    <n v="187301.90362664501"/>
    <n v="674286.85305591999"/>
  </r>
  <r>
    <x v="0"/>
    <x v="0"/>
    <x v="0"/>
    <x v="7"/>
    <x v="10"/>
    <s v="NO3_A1"/>
    <x v="7"/>
    <x v="7"/>
    <s v="GHYRS_WATER"/>
    <x v="5"/>
    <x v="3"/>
    <n v="3098.1226173493901"/>
    <n v="188469.12588875499"/>
    <n v="678488.85319951596"/>
  </r>
  <r>
    <x v="0"/>
    <x v="0"/>
    <x v="0"/>
    <x v="7"/>
    <x v="10"/>
    <s v="NO3_A1"/>
    <x v="7"/>
    <x v="7"/>
    <s v="GHYRS_WATER"/>
    <x v="5"/>
    <x v="4"/>
    <n v="3129.91180298667"/>
    <n v="190402.96801502301"/>
    <n v="685450.68485408102"/>
  </r>
  <r>
    <x v="0"/>
    <x v="0"/>
    <x v="0"/>
    <x v="7"/>
    <x v="10"/>
    <s v="NO3_A1"/>
    <x v="7"/>
    <x v="7"/>
    <s v="GHYRS_WATER"/>
    <x v="5"/>
    <x v="5"/>
    <n v="3221.6044165860199"/>
    <n v="195980.93534231599"/>
    <n v="705531.36723233794"/>
  </r>
  <r>
    <x v="0"/>
    <x v="0"/>
    <x v="0"/>
    <x v="7"/>
    <x v="10"/>
    <s v="NO3_A1"/>
    <x v="7"/>
    <x v="7"/>
    <s v="GHYRS_WATER"/>
    <x v="5"/>
    <x v="6"/>
    <n v="3379.6581956984101"/>
    <n v="205595.87357165301"/>
    <n v="740145.14485795202"/>
  </r>
  <r>
    <x v="0"/>
    <x v="0"/>
    <x v="0"/>
    <x v="7"/>
    <x v="10"/>
    <s v="NO3_A1"/>
    <x v="7"/>
    <x v="7"/>
    <s v="GHYRS_WATER"/>
    <x v="5"/>
    <x v="7"/>
    <n v="3681.0872376223801"/>
    <n v="223932.806955362"/>
    <n v="806158.10503930203"/>
  </r>
  <r>
    <x v="0"/>
    <x v="0"/>
    <x v="0"/>
    <x v="7"/>
    <x v="10"/>
    <s v="NO3_A1"/>
    <x v="7"/>
    <x v="7"/>
    <s v="GHYRS_WATER"/>
    <x v="5"/>
    <x v="8"/>
    <n v="3788.4764087820199"/>
    <n v="230465.648200906"/>
    <n v="829676.33352326194"/>
  </r>
  <r>
    <x v="0"/>
    <x v="0"/>
    <x v="0"/>
    <x v="7"/>
    <x v="10"/>
    <s v="NO3_A1"/>
    <x v="7"/>
    <x v="7"/>
    <s v="GHYRS_WATER"/>
    <x v="5"/>
    <x v="9"/>
    <n v="3733.6231209695802"/>
    <n v="227128.739858983"/>
    <n v="817663.46349233796"/>
  </r>
  <r>
    <x v="0"/>
    <x v="0"/>
    <x v="0"/>
    <x v="7"/>
    <x v="10"/>
    <s v="NO3_A1"/>
    <x v="7"/>
    <x v="7"/>
    <s v="GHYRS_WATER"/>
    <x v="5"/>
    <x v="10"/>
    <n v="3798.84703344121"/>
    <n v="231096.52786767401"/>
    <n v="831947.50032362505"/>
  </r>
  <r>
    <x v="0"/>
    <x v="0"/>
    <x v="0"/>
    <x v="7"/>
    <x v="10"/>
    <s v="NO3_A1"/>
    <x v="7"/>
    <x v="7"/>
    <s v="GHYRS_WATER"/>
    <x v="5"/>
    <x v="11"/>
    <n v="3759.8370239320102"/>
    <n v="228723.41895586401"/>
    <n v="823404.30824110901"/>
  </r>
  <r>
    <x v="0"/>
    <x v="0"/>
    <x v="0"/>
    <x v="7"/>
    <x v="10"/>
    <s v="NO3_A1"/>
    <x v="7"/>
    <x v="7"/>
    <s v="GHYRS_WATER"/>
    <x v="6"/>
    <x v="0"/>
    <n v="2858.9522485392599"/>
    <n v="173919.59511947201"/>
    <n v="626110.54243009805"/>
  </r>
  <r>
    <x v="0"/>
    <x v="0"/>
    <x v="0"/>
    <x v="7"/>
    <x v="10"/>
    <s v="NO3_A1"/>
    <x v="7"/>
    <x v="7"/>
    <s v="GHYRS_WATER"/>
    <x v="6"/>
    <x v="1"/>
    <n v="2855.1173751319602"/>
    <n v="173686.306987194"/>
    <n v="625270.70515389997"/>
  </r>
  <r>
    <x v="0"/>
    <x v="0"/>
    <x v="0"/>
    <x v="7"/>
    <x v="10"/>
    <s v="NO3_A1"/>
    <x v="7"/>
    <x v="7"/>
    <s v="GHYRS_WATER"/>
    <x v="6"/>
    <x v="2"/>
    <n v="2870.0872518209999"/>
    <n v="174596.974485777"/>
    <n v="628549.10814879905"/>
  </r>
  <r>
    <x v="0"/>
    <x v="0"/>
    <x v="0"/>
    <x v="7"/>
    <x v="10"/>
    <s v="NO3_A1"/>
    <x v="7"/>
    <x v="7"/>
    <s v="GHYRS_WATER"/>
    <x v="6"/>
    <x v="3"/>
    <n v="2854.6903002914901"/>
    <n v="173660.32660106599"/>
    <n v="625177.17576383601"/>
  </r>
  <r>
    <x v="0"/>
    <x v="0"/>
    <x v="0"/>
    <x v="7"/>
    <x v="10"/>
    <s v="NO3_A1"/>
    <x v="7"/>
    <x v="7"/>
    <s v="GHYRS_WATER"/>
    <x v="6"/>
    <x v="4"/>
    <n v="2869.3337017594899"/>
    <n v="174551.133523703"/>
    <n v="628384.08068532904"/>
  </r>
  <r>
    <x v="0"/>
    <x v="0"/>
    <x v="0"/>
    <x v="7"/>
    <x v="10"/>
    <s v="NO3_A1"/>
    <x v="7"/>
    <x v="7"/>
    <s v="GHYRS_WATER"/>
    <x v="6"/>
    <x v="5"/>
    <n v="2900.9968971087701"/>
    <n v="176477.31124078401"/>
    <n v="635318.32046682097"/>
  </r>
  <r>
    <x v="0"/>
    <x v="0"/>
    <x v="0"/>
    <x v="7"/>
    <x v="10"/>
    <s v="NO3_A1"/>
    <x v="7"/>
    <x v="7"/>
    <s v="GHYRS_WATER"/>
    <x v="6"/>
    <x v="6"/>
    <n v="3100.3275454296199"/>
    <n v="188603.25901363499"/>
    <n v="678971.73244908697"/>
  </r>
  <r>
    <x v="0"/>
    <x v="0"/>
    <x v="0"/>
    <x v="7"/>
    <x v="10"/>
    <s v="NO3_A1"/>
    <x v="7"/>
    <x v="7"/>
    <s v="GHYRS_WATER"/>
    <x v="6"/>
    <x v="7"/>
    <n v="3470.04331166049"/>
    <n v="211094.30145934701"/>
    <n v="759939.48525364802"/>
  </r>
  <r>
    <x v="0"/>
    <x v="0"/>
    <x v="0"/>
    <x v="7"/>
    <x v="10"/>
    <s v="NO3_A1"/>
    <x v="7"/>
    <x v="7"/>
    <s v="GHYRS_WATER"/>
    <x v="6"/>
    <x v="8"/>
    <n v="3542.3960495865699"/>
    <n v="215495.75968318299"/>
    <n v="775784.73485945805"/>
  </r>
  <r>
    <x v="0"/>
    <x v="0"/>
    <x v="0"/>
    <x v="7"/>
    <x v="10"/>
    <s v="NO3_A1"/>
    <x v="7"/>
    <x v="7"/>
    <s v="GHYRS_WATER"/>
    <x v="6"/>
    <x v="9"/>
    <n v="3490.3534427044601"/>
    <n v="212329.83443118801"/>
    <n v="764387.40395227598"/>
  </r>
  <r>
    <x v="0"/>
    <x v="0"/>
    <x v="0"/>
    <x v="7"/>
    <x v="10"/>
    <s v="NO3_A1"/>
    <x v="7"/>
    <x v="7"/>
    <s v="GHYRS_WATER"/>
    <x v="6"/>
    <x v="10"/>
    <n v="3449.1906951177298"/>
    <n v="209825.76728632799"/>
    <n v="755372.76223078195"/>
  </r>
  <r>
    <x v="0"/>
    <x v="0"/>
    <x v="0"/>
    <x v="7"/>
    <x v="10"/>
    <s v="NO3_A1"/>
    <x v="7"/>
    <x v="7"/>
    <s v="GHYRS_WATER"/>
    <x v="6"/>
    <x v="11"/>
    <n v="3551.0320896858402"/>
    <n v="216021.118789222"/>
    <n v="777676.02764119895"/>
  </r>
  <r>
    <x v="0"/>
    <x v="0"/>
    <x v="0"/>
    <x v="7"/>
    <x v="10"/>
    <s v="NO3_A1"/>
    <x v="7"/>
    <x v="7"/>
    <s v="GHYRS_WATER"/>
    <x v="7"/>
    <x v="0"/>
    <n v="2959.1133738216499"/>
    <n v="180012.73024081701"/>
    <n v="648045.82886693999"/>
  </r>
  <r>
    <x v="0"/>
    <x v="0"/>
    <x v="0"/>
    <x v="7"/>
    <x v="10"/>
    <s v="NO3_A1"/>
    <x v="7"/>
    <x v="7"/>
    <s v="GHYRS_WATER"/>
    <x v="7"/>
    <x v="1"/>
    <n v="2938.87009767583"/>
    <n v="178781.26427528"/>
    <n v="643612.55139100703"/>
  </r>
  <r>
    <x v="0"/>
    <x v="0"/>
    <x v="0"/>
    <x v="7"/>
    <x v="10"/>
    <s v="NO3_A1"/>
    <x v="7"/>
    <x v="7"/>
    <s v="GHYRS_WATER"/>
    <x v="7"/>
    <x v="2"/>
    <n v="2972.8859176862102"/>
    <n v="180850.559992578"/>
    <n v="651062.01597327995"/>
  </r>
  <r>
    <x v="0"/>
    <x v="0"/>
    <x v="0"/>
    <x v="7"/>
    <x v="10"/>
    <s v="NO3_A1"/>
    <x v="7"/>
    <x v="7"/>
    <s v="GHYRS_WATER"/>
    <x v="7"/>
    <x v="3"/>
    <n v="3025.9526729631898"/>
    <n v="184078.78760526099"/>
    <n v="662683.63537893898"/>
  </r>
  <r>
    <x v="0"/>
    <x v="0"/>
    <x v="0"/>
    <x v="7"/>
    <x v="10"/>
    <s v="NO3_A1"/>
    <x v="7"/>
    <x v="7"/>
    <s v="GHYRS_WATER"/>
    <x v="7"/>
    <x v="4"/>
    <n v="3019.62817523898"/>
    <n v="183694.04732703799"/>
    <n v="661298.570377336"/>
  </r>
  <r>
    <x v="0"/>
    <x v="0"/>
    <x v="0"/>
    <x v="7"/>
    <x v="10"/>
    <s v="NO3_A1"/>
    <x v="7"/>
    <x v="7"/>
    <s v="GHYRS_WATER"/>
    <x v="7"/>
    <x v="5"/>
    <n v="3049.4124982845801"/>
    <n v="185505.92697897801"/>
    <n v="667821.33712432196"/>
  </r>
  <r>
    <x v="0"/>
    <x v="0"/>
    <x v="0"/>
    <x v="7"/>
    <x v="10"/>
    <s v="NO3_A1"/>
    <x v="7"/>
    <x v="7"/>
    <s v="GHYRS_WATER"/>
    <x v="7"/>
    <x v="6"/>
    <n v="3176.3734958872801"/>
    <n v="193229.38766647599"/>
    <n v="695625.79559931497"/>
  </r>
  <r>
    <x v="0"/>
    <x v="0"/>
    <x v="0"/>
    <x v="7"/>
    <x v="10"/>
    <s v="NO3_A1"/>
    <x v="7"/>
    <x v="7"/>
    <s v="GHYRS_WATER"/>
    <x v="7"/>
    <x v="7"/>
    <n v="3443.8189643258402"/>
    <n v="209498.98699648899"/>
    <n v="754196.35318735905"/>
  </r>
  <r>
    <x v="0"/>
    <x v="0"/>
    <x v="0"/>
    <x v="7"/>
    <x v="10"/>
    <s v="NO3_A1"/>
    <x v="7"/>
    <x v="7"/>
    <s v="GHYRS_WATER"/>
    <x v="7"/>
    <x v="8"/>
    <n v="3462.8584461190399"/>
    <n v="210657.22213890799"/>
    <n v="758365.99970006896"/>
  </r>
  <r>
    <x v="0"/>
    <x v="0"/>
    <x v="0"/>
    <x v="7"/>
    <x v="10"/>
    <s v="NO3_A1"/>
    <x v="7"/>
    <x v="7"/>
    <s v="GHYRS_WATER"/>
    <x v="7"/>
    <x v="9"/>
    <n v="3557.7984886658201"/>
    <n v="216432.741393837"/>
    <n v="779157.86901781405"/>
  </r>
  <r>
    <x v="0"/>
    <x v="0"/>
    <x v="0"/>
    <x v="7"/>
    <x v="10"/>
    <s v="NO3_A1"/>
    <x v="7"/>
    <x v="7"/>
    <s v="GHYRS_WATER"/>
    <x v="7"/>
    <x v="10"/>
    <n v="3544.1495012479099"/>
    <n v="215602.42799258101"/>
    <n v="776168.74077329203"/>
  </r>
  <r>
    <x v="0"/>
    <x v="0"/>
    <x v="0"/>
    <x v="7"/>
    <x v="10"/>
    <s v="NO3_A1"/>
    <x v="7"/>
    <x v="7"/>
    <s v="GHYRS_WATER"/>
    <x v="7"/>
    <x v="11"/>
    <n v="3472.1978622045799"/>
    <n v="211225.36995077899"/>
    <n v="760411.33182280394"/>
  </r>
  <r>
    <x v="0"/>
    <x v="0"/>
    <x v="0"/>
    <x v="7"/>
    <x v="10"/>
    <s v="NO3_A1"/>
    <x v="7"/>
    <x v="7"/>
    <s v="GHYRS_WATER"/>
    <x v="8"/>
    <x v="0"/>
    <n v="1920.0294546359301"/>
    <n v="116801.791823686"/>
    <n v="420486.45056526799"/>
  </r>
  <r>
    <x v="0"/>
    <x v="0"/>
    <x v="0"/>
    <x v="7"/>
    <x v="10"/>
    <s v="NO3_A1"/>
    <x v="7"/>
    <x v="7"/>
    <s v="GHYRS_WATER"/>
    <x v="8"/>
    <x v="1"/>
    <n v="1861.6122698617901"/>
    <n v="113248.07974992599"/>
    <n v="407693.08709973202"/>
  </r>
  <r>
    <x v="0"/>
    <x v="0"/>
    <x v="0"/>
    <x v="7"/>
    <x v="10"/>
    <s v="NO3_A1"/>
    <x v="7"/>
    <x v="7"/>
    <s v="GHYRS_WATER"/>
    <x v="8"/>
    <x v="2"/>
    <n v="1811.45145020975"/>
    <n v="110196.62988776001"/>
    <n v="396707.867595936"/>
  </r>
  <r>
    <x v="0"/>
    <x v="0"/>
    <x v="0"/>
    <x v="7"/>
    <x v="10"/>
    <s v="NO3_A1"/>
    <x v="7"/>
    <x v="7"/>
    <s v="GHYRS_WATER"/>
    <x v="8"/>
    <x v="3"/>
    <n v="1770.50054743993"/>
    <n v="107705.44996926301"/>
    <n v="387739.61988934502"/>
  </r>
  <r>
    <x v="0"/>
    <x v="0"/>
    <x v="0"/>
    <x v="7"/>
    <x v="10"/>
    <s v="NO3_A1"/>
    <x v="7"/>
    <x v="7"/>
    <s v="GHYRS_WATER"/>
    <x v="8"/>
    <x v="4"/>
    <n v="1795.2107419197"/>
    <n v="109208.65346678199"/>
    <n v="393151.15248041402"/>
  </r>
  <r>
    <x v="0"/>
    <x v="0"/>
    <x v="0"/>
    <x v="7"/>
    <x v="10"/>
    <s v="NO3_A1"/>
    <x v="7"/>
    <x v="7"/>
    <s v="GHYRS_WATER"/>
    <x v="8"/>
    <x v="5"/>
    <n v="1828.9282883307001"/>
    <n v="111259.804206785"/>
    <n v="400535.29514442402"/>
  </r>
  <r>
    <x v="0"/>
    <x v="0"/>
    <x v="0"/>
    <x v="7"/>
    <x v="10"/>
    <s v="NO3_A1"/>
    <x v="7"/>
    <x v="7"/>
    <s v="GHYRS_WATER"/>
    <x v="8"/>
    <x v="6"/>
    <n v="2045.10538061701"/>
    <n v="124410.577320868"/>
    <n v="447878.07835512602"/>
  </r>
  <r>
    <x v="0"/>
    <x v="0"/>
    <x v="0"/>
    <x v="7"/>
    <x v="10"/>
    <s v="NO3_A1"/>
    <x v="7"/>
    <x v="7"/>
    <s v="GHYRS_WATER"/>
    <x v="8"/>
    <x v="7"/>
    <n v="2324.6745137325802"/>
    <n v="141417.69958539901"/>
    <n v="509103.71850743599"/>
  </r>
  <r>
    <x v="0"/>
    <x v="0"/>
    <x v="0"/>
    <x v="7"/>
    <x v="10"/>
    <s v="NO3_A1"/>
    <x v="7"/>
    <x v="7"/>
    <s v="GHYRS_WATER"/>
    <x v="8"/>
    <x v="8"/>
    <n v="2372.0985498229502"/>
    <n v="144302.66178089601"/>
    <n v="519489.582411226"/>
  </r>
  <r>
    <x v="0"/>
    <x v="0"/>
    <x v="0"/>
    <x v="7"/>
    <x v="10"/>
    <s v="NO3_A1"/>
    <x v="7"/>
    <x v="7"/>
    <s v="GHYRS_WATER"/>
    <x v="8"/>
    <x v="9"/>
    <n v="2300.50152872239"/>
    <n v="139947.17633061201"/>
    <n v="503809.83479020302"/>
  </r>
  <r>
    <x v="0"/>
    <x v="0"/>
    <x v="0"/>
    <x v="7"/>
    <x v="10"/>
    <s v="NO3_A1"/>
    <x v="7"/>
    <x v="7"/>
    <s v="GHYRS_WATER"/>
    <x v="8"/>
    <x v="10"/>
    <n v="2235.8917415800202"/>
    <n v="136016.74761278499"/>
    <n v="489660.29140602599"/>
  </r>
  <r>
    <x v="0"/>
    <x v="0"/>
    <x v="0"/>
    <x v="7"/>
    <x v="10"/>
    <s v="NO3_A1"/>
    <x v="7"/>
    <x v="7"/>
    <s v="GHYRS_WATER"/>
    <x v="8"/>
    <x v="11"/>
    <n v="2160.3580181667498"/>
    <n v="131421.77943847701"/>
    <n v="473118.405978519"/>
  </r>
  <r>
    <x v="0"/>
    <x v="0"/>
    <x v="0"/>
    <x v="7"/>
    <x v="10"/>
    <s v="NO3_A1"/>
    <x v="7"/>
    <x v="7"/>
    <s v="GHYRS_WATER"/>
    <x v="9"/>
    <x v="0"/>
    <n v="829.31501087211905"/>
    <n v="50449.996494720603"/>
    <n v="181619.98738099399"/>
  </r>
  <r>
    <x v="0"/>
    <x v="0"/>
    <x v="0"/>
    <x v="7"/>
    <x v="10"/>
    <s v="NO3_A1"/>
    <x v="7"/>
    <x v="7"/>
    <s v="GHYRS_WATER"/>
    <x v="9"/>
    <x v="1"/>
    <n v="779.47672665068103"/>
    <n v="47418.167537916401"/>
    <n v="170705.40313649899"/>
  </r>
  <r>
    <x v="0"/>
    <x v="0"/>
    <x v="0"/>
    <x v="7"/>
    <x v="10"/>
    <s v="NO3_A1"/>
    <x v="7"/>
    <x v="7"/>
    <s v="GHYRS_WATER"/>
    <x v="9"/>
    <x v="2"/>
    <n v="762.47434299568295"/>
    <n v="46383.855865570702"/>
    <n v="166981.88111605501"/>
  </r>
  <r>
    <x v="0"/>
    <x v="0"/>
    <x v="0"/>
    <x v="7"/>
    <x v="10"/>
    <s v="NO3_A1"/>
    <x v="7"/>
    <x v="7"/>
    <s v="GHYRS_WATER"/>
    <x v="9"/>
    <x v="3"/>
    <n v="717.69961794470396"/>
    <n v="43660.060091636202"/>
    <n v="157176.21632989001"/>
  </r>
  <r>
    <x v="0"/>
    <x v="0"/>
    <x v="0"/>
    <x v="7"/>
    <x v="10"/>
    <s v="NO3_A1"/>
    <x v="7"/>
    <x v="7"/>
    <s v="GHYRS_WATER"/>
    <x v="9"/>
    <x v="4"/>
    <n v="779.83613174350501"/>
    <n v="47440.031347729899"/>
    <n v="170784.11285182799"/>
  </r>
  <r>
    <x v="0"/>
    <x v="0"/>
    <x v="0"/>
    <x v="7"/>
    <x v="10"/>
    <s v="NO3_A1"/>
    <x v="7"/>
    <x v="7"/>
    <s v="GHYRS_WATER"/>
    <x v="9"/>
    <x v="5"/>
    <n v="890.460810674654"/>
    <n v="54169.6993160415"/>
    <n v="195010.91753774899"/>
  </r>
  <r>
    <x v="0"/>
    <x v="0"/>
    <x v="0"/>
    <x v="7"/>
    <x v="10"/>
    <s v="NO3_A1"/>
    <x v="7"/>
    <x v="7"/>
    <s v="GHYRS_WATER"/>
    <x v="9"/>
    <x v="6"/>
    <n v="1565.30047961479"/>
    <n v="95222.445843232999"/>
    <n v="342800.80503563897"/>
  </r>
  <r>
    <x v="0"/>
    <x v="0"/>
    <x v="0"/>
    <x v="7"/>
    <x v="10"/>
    <s v="NO3_A1"/>
    <x v="7"/>
    <x v="7"/>
    <s v="GHYRS_WATER"/>
    <x v="9"/>
    <x v="7"/>
    <n v="2326.13664288576"/>
    <n v="141506.64577554999"/>
    <n v="509423.92479198199"/>
  </r>
  <r>
    <x v="0"/>
    <x v="0"/>
    <x v="0"/>
    <x v="7"/>
    <x v="10"/>
    <s v="NO3_A1"/>
    <x v="7"/>
    <x v="7"/>
    <s v="GHYRS_WATER"/>
    <x v="9"/>
    <x v="8"/>
    <n v="2552.21157657599"/>
    <n v="155259.53757503899"/>
    <n v="558934.33527014102"/>
  </r>
  <r>
    <x v="0"/>
    <x v="0"/>
    <x v="0"/>
    <x v="7"/>
    <x v="10"/>
    <s v="NO3_A1"/>
    <x v="7"/>
    <x v="7"/>
    <s v="GHYRS_WATER"/>
    <x v="9"/>
    <x v="9"/>
    <n v="655.59654466452696"/>
    <n v="39882.123133758701"/>
    <n v="143575.643281531"/>
  </r>
  <r>
    <x v="0"/>
    <x v="0"/>
    <x v="0"/>
    <x v="7"/>
    <x v="10"/>
    <s v="NO3_A1"/>
    <x v="7"/>
    <x v="7"/>
    <s v="GHYRS_WATER"/>
    <x v="9"/>
    <x v="10"/>
    <n v="2203.4923645173999"/>
    <n v="134045.785508142"/>
    <n v="482564.82782930997"/>
  </r>
  <r>
    <x v="0"/>
    <x v="0"/>
    <x v="0"/>
    <x v="7"/>
    <x v="10"/>
    <s v="NO3_A1"/>
    <x v="7"/>
    <x v="7"/>
    <s v="GHYRS_WATER"/>
    <x v="9"/>
    <x v="11"/>
    <n v="2392.9406868198198"/>
    <n v="145570.55844820599"/>
    <n v="524054.01041354"/>
  </r>
  <r>
    <x v="0"/>
    <x v="0"/>
    <x v="0"/>
    <x v="7"/>
    <x v="10"/>
    <s v="NO3_A1"/>
    <x v="7"/>
    <x v="7"/>
    <s v="GHYRS_WATER"/>
    <x v="10"/>
    <x v="0"/>
    <n v="1458.5927041044899"/>
    <n v="88731.0561663564"/>
    <n v="319431.80219888297"/>
  </r>
  <r>
    <x v="0"/>
    <x v="0"/>
    <x v="0"/>
    <x v="7"/>
    <x v="10"/>
    <s v="NO3_A1"/>
    <x v="7"/>
    <x v="7"/>
    <s v="GHYRS_WATER"/>
    <x v="10"/>
    <x v="1"/>
    <n v="1411.0231547242599"/>
    <n v="85837.241912392506"/>
    <n v="309014.07088461297"/>
  </r>
  <r>
    <x v="0"/>
    <x v="0"/>
    <x v="0"/>
    <x v="7"/>
    <x v="10"/>
    <s v="NO3_A1"/>
    <x v="7"/>
    <x v="7"/>
    <s v="GHYRS_WATER"/>
    <x v="10"/>
    <x v="2"/>
    <n v="1406.9372743276599"/>
    <n v="85588.684188265805"/>
    <n v="308119.26307775697"/>
  </r>
  <r>
    <x v="0"/>
    <x v="0"/>
    <x v="0"/>
    <x v="7"/>
    <x v="10"/>
    <s v="NO3_A1"/>
    <x v="7"/>
    <x v="7"/>
    <s v="GHYRS_WATER"/>
    <x v="10"/>
    <x v="3"/>
    <n v="1428.33644094804"/>
    <n v="86890.466824339295"/>
    <n v="312805.68056762102"/>
  </r>
  <r>
    <x v="0"/>
    <x v="0"/>
    <x v="0"/>
    <x v="7"/>
    <x v="10"/>
    <s v="NO3_A1"/>
    <x v="7"/>
    <x v="7"/>
    <s v="GHYRS_WATER"/>
    <x v="10"/>
    <x v="4"/>
    <n v="508.49437305048701"/>
    <n v="30933.407693904701"/>
    <n v="111360.267698057"/>
  </r>
  <r>
    <x v="0"/>
    <x v="0"/>
    <x v="0"/>
    <x v="7"/>
    <x v="10"/>
    <s v="NO3_A1"/>
    <x v="7"/>
    <x v="7"/>
    <s v="GHYRS_WATER"/>
    <x v="10"/>
    <x v="5"/>
    <n v="425.06021059466798"/>
    <n v="25857.829477842301"/>
    <n v="93088.186120232407"/>
  </r>
  <r>
    <x v="0"/>
    <x v="0"/>
    <x v="0"/>
    <x v="7"/>
    <x v="10"/>
    <s v="NO3_A1"/>
    <x v="7"/>
    <x v="7"/>
    <s v="GHYRS_WATER"/>
    <x v="10"/>
    <x v="6"/>
    <n v="1708.50818917674"/>
    <n v="103934.248174919"/>
    <n v="374163.293429707"/>
  </r>
  <r>
    <x v="0"/>
    <x v="0"/>
    <x v="0"/>
    <x v="7"/>
    <x v="10"/>
    <s v="NO3_A1"/>
    <x v="7"/>
    <x v="7"/>
    <s v="GHYRS_WATER"/>
    <x v="10"/>
    <x v="7"/>
    <n v="2227.0601269602498"/>
    <n v="135479.49105674899"/>
    <n v="487726.16780429502"/>
  </r>
  <r>
    <x v="0"/>
    <x v="0"/>
    <x v="0"/>
    <x v="7"/>
    <x v="10"/>
    <s v="NO3_A1"/>
    <x v="7"/>
    <x v="7"/>
    <s v="GHYRS_WATER"/>
    <x v="10"/>
    <x v="8"/>
    <n v="2462.09566352004"/>
    <n v="149777.486197469"/>
    <n v="539198.95031088905"/>
  </r>
  <r>
    <x v="0"/>
    <x v="0"/>
    <x v="0"/>
    <x v="7"/>
    <x v="10"/>
    <s v="NO3_A1"/>
    <x v="7"/>
    <x v="7"/>
    <s v="GHYRS_WATER"/>
    <x v="10"/>
    <x v="9"/>
    <n v="2120.0697906630598"/>
    <n v="128970.912265336"/>
    <n v="464295.284155211"/>
  </r>
  <r>
    <x v="0"/>
    <x v="0"/>
    <x v="0"/>
    <x v="7"/>
    <x v="10"/>
    <s v="NO3_A1"/>
    <x v="7"/>
    <x v="7"/>
    <s v="GHYRS_WATER"/>
    <x v="10"/>
    <x v="10"/>
    <n v="2024.7809432645799"/>
    <n v="123174.174048596"/>
    <n v="443427.02657494397"/>
  </r>
  <r>
    <x v="0"/>
    <x v="0"/>
    <x v="0"/>
    <x v="7"/>
    <x v="10"/>
    <s v="NO3_A1"/>
    <x v="7"/>
    <x v="7"/>
    <s v="GHYRS_WATER"/>
    <x v="10"/>
    <x v="11"/>
    <n v="2644.2711719905901"/>
    <n v="160859.829629427"/>
    <n v="579095.38666593796"/>
  </r>
  <r>
    <x v="0"/>
    <x v="0"/>
    <x v="0"/>
    <x v="7"/>
    <x v="10"/>
    <s v="NO3_A1"/>
    <x v="7"/>
    <x v="7"/>
    <s v="GHYRS_WATER"/>
    <x v="11"/>
    <x v="0"/>
    <n v="2264.0978020249599"/>
    <n v="137732.61628985201"/>
    <n v="495837.41864346602"/>
  </r>
  <r>
    <x v="0"/>
    <x v="0"/>
    <x v="0"/>
    <x v="7"/>
    <x v="10"/>
    <s v="NO3_A1"/>
    <x v="7"/>
    <x v="7"/>
    <s v="GHYRS_WATER"/>
    <x v="11"/>
    <x v="1"/>
    <n v="2212.1028952606998"/>
    <n v="134569.59279502599"/>
    <n v="484450.53406209301"/>
  </r>
  <r>
    <x v="0"/>
    <x v="0"/>
    <x v="0"/>
    <x v="7"/>
    <x v="10"/>
    <s v="NO3_A1"/>
    <x v="7"/>
    <x v="7"/>
    <s v="GHYRS_WATER"/>
    <x v="11"/>
    <x v="2"/>
    <n v="2156.9710074862201"/>
    <n v="131215.73628874501"/>
    <n v="472376.65063948202"/>
  </r>
  <r>
    <x v="0"/>
    <x v="0"/>
    <x v="0"/>
    <x v="7"/>
    <x v="10"/>
    <s v="NO3_A1"/>
    <x v="7"/>
    <x v="7"/>
    <s v="GHYRS_WATER"/>
    <x v="11"/>
    <x v="3"/>
    <n v="1231.0946715790501"/>
    <n v="74891.592521058905"/>
    <n v="269609.73307581199"/>
  </r>
  <r>
    <x v="0"/>
    <x v="0"/>
    <x v="0"/>
    <x v="7"/>
    <x v="10"/>
    <s v="NO3_A1"/>
    <x v="7"/>
    <x v="7"/>
    <s v="GHYRS_WATER"/>
    <x v="11"/>
    <x v="4"/>
    <n v="1104.1119034798801"/>
    <n v="67166.807461692893"/>
    <n v="241800.50686209399"/>
  </r>
  <r>
    <x v="0"/>
    <x v="0"/>
    <x v="0"/>
    <x v="7"/>
    <x v="10"/>
    <s v="NO3_A1"/>
    <x v="7"/>
    <x v="7"/>
    <s v="GHYRS_WATER"/>
    <x v="11"/>
    <x v="5"/>
    <n v="299.91147194291801"/>
    <n v="18244.614543194199"/>
    <n v="65680.612355499106"/>
  </r>
  <r>
    <x v="0"/>
    <x v="0"/>
    <x v="0"/>
    <x v="7"/>
    <x v="10"/>
    <s v="NO3_A1"/>
    <x v="7"/>
    <x v="7"/>
    <s v="GHYRS_WATER"/>
    <x v="11"/>
    <x v="6"/>
    <n v="2490.89511217786"/>
    <n v="151529.45265748599"/>
    <n v="545506.02956695098"/>
  </r>
  <r>
    <x v="0"/>
    <x v="0"/>
    <x v="0"/>
    <x v="7"/>
    <x v="10"/>
    <s v="NO3_A1"/>
    <x v="7"/>
    <x v="7"/>
    <s v="GHYRS_WATER"/>
    <x v="11"/>
    <x v="7"/>
    <n v="1824.6843195036499"/>
    <n v="111001.62943647199"/>
    <n v="399605.865971299"/>
  </r>
  <r>
    <x v="0"/>
    <x v="0"/>
    <x v="0"/>
    <x v="7"/>
    <x v="10"/>
    <s v="NO3_A1"/>
    <x v="7"/>
    <x v="7"/>
    <s v="GHYRS_WATER"/>
    <x v="11"/>
    <x v="8"/>
    <n v="2008.6484577524"/>
    <n v="122192.781179938"/>
    <n v="439894.01224777597"/>
  </r>
  <r>
    <x v="0"/>
    <x v="0"/>
    <x v="0"/>
    <x v="7"/>
    <x v="10"/>
    <s v="NO3_A1"/>
    <x v="7"/>
    <x v="7"/>
    <s v="GHYRS_WATER"/>
    <x v="11"/>
    <x v="9"/>
    <n v="2879.71110845352"/>
    <n v="175182.42576425601"/>
    <n v="630656.73275132105"/>
  </r>
  <r>
    <x v="0"/>
    <x v="0"/>
    <x v="0"/>
    <x v="7"/>
    <x v="10"/>
    <s v="NO3_A1"/>
    <x v="7"/>
    <x v="7"/>
    <s v="GHYRS_WATER"/>
    <x v="11"/>
    <x v="10"/>
    <n v="2059.3770111660801"/>
    <n v="125278.76817927"/>
    <n v="451003.56544537202"/>
  </r>
  <r>
    <x v="0"/>
    <x v="0"/>
    <x v="0"/>
    <x v="7"/>
    <x v="10"/>
    <s v="NO3_A1"/>
    <x v="7"/>
    <x v="7"/>
    <s v="GHYRS_WATER"/>
    <x v="11"/>
    <x v="11"/>
    <n v="1941.0556497063301"/>
    <n v="118080.885357135"/>
    <n v="425091.18728568702"/>
  </r>
  <r>
    <x v="0"/>
    <x v="0"/>
    <x v="0"/>
    <x v="7"/>
    <x v="10"/>
    <s v="NO3_A1"/>
    <x v="0"/>
    <x v="0"/>
    <s v="GWND_WIND"/>
    <x v="0"/>
    <x v="0"/>
    <n v="43.500452204899297"/>
    <n v="2646.2775091313802"/>
    <n v="9526.5990328729604"/>
  </r>
  <r>
    <x v="0"/>
    <x v="0"/>
    <x v="0"/>
    <x v="7"/>
    <x v="10"/>
    <s v="NO3_A1"/>
    <x v="0"/>
    <x v="0"/>
    <s v="GWND_WIND"/>
    <x v="0"/>
    <x v="1"/>
    <n v="44.774972299512299"/>
    <n v="2723.8108148870001"/>
    <n v="9805.7189335931998"/>
  </r>
  <r>
    <x v="0"/>
    <x v="0"/>
    <x v="0"/>
    <x v="7"/>
    <x v="10"/>
    <s v="NO3_A1"/>
    <x v="0"/>
    <x v="0"/>
    <s v="GWND_WIND"/>
    <x v="0"/>
    <x v="2"/>
    <n v="32.177438154335597"/>
    <n v="1957.46082105542"/>
    <n v="7046.8589557995001"/>
  </r>
  <r>
    <x v="0"/>
    <x v="0"/>
    <x v="0"/>
    <x v="7"/>
    <x v="10"/>
    <s v="NO3_A1"/>
    <x v="0"/>
    <x v="0"/>
    <s v="GWND_WIND"/>
    <x v="0"/>
    <x v="3"/>
    <n v="43.917509863912798"/>
    <n v="2671.64851672136"/>
    <n v="9617.9346601968991"/>
  </r>
  <r>
    <x v="0"/>
    <x v="0"/>
    <x v="0"/>
    <x v="7"/>
    <x v="10"/>
    <s v="NO3_A1"/>
    <x v="0"/>
    <x v="0"/>
    <s v="GWND_WIND"/>
    <x v="0"/>
    <x v="4"/>
    <n v="45.435167138342798"/>
    <n v="2763.97266758252"/>
    <n v="9950.3016032970809"/>
  </r>
  <r>
    <x v="0"/>
    <x v="0"/>
    <x v="0"/>
    <x v="7"/>
    <x v="10"/>
    <s v="NO3_A1"/>
    <x v="0"/>
    <x v="0"/>
    <s v="GWND_WIND"/>
    <x v="0"/>
    <x v="5"/>
    <n v="46.977050257990101"/>
    <n v="2857.7705573610701"/>
    <n v="10287.9740064998"/>
  </r>
  <r>
    <x v="0"/>
    <x v="0"/>
    <x v="0"/>
    <x v="7"/>
    <x v="10"/>
    <s v="NO3_A1"/>
    <x v="0"/>
    <x v="0"/>
    <s v="GWND_WIND"/>
    <x v="0"/>
    <x v="6"/>
    <n v="44.8691583841265"/>
    <n v="2729.5404683676902"/>
    <n v="9826.3456861236991"/>
  </r>
  <r>
    <x v="0"/>
    <x v="0"/>
    <x v="0"/>
    <x v="7"/>
    <x v="10"/>
    <s v="NO3_A1"/>
    <x v="0"/>
    <x v="0"/>
    <s v="GWND_WIND"/>
    <x v="0"/>
    <x v="7"/>
    <n v="47.375154437653897"/>
    <n v="2881.9885616239499"/>
    <n v="10375.1588218462"/>
  </r>
  <r>
    <x v="0"/>
    <x v="0"/>
    <x v="0"/>
    <x v="7"/>
    <x v="10"/>
    <s v="NO3_A1"/>
    <x v="0"/>
    <x v="0"/>
    <s v="GWND_WIND"/>
    <x v="0"/>
    <x v="8"/>
    <n v="39.957422341876899"/>
    <n v="2430.7431924641801"/>
    <n v="8750.6754928710307"/>
  </r>
  <r>
    <x v="0"/>
    <x v="0"/>
    <x v="0"/>
    <x v="7"/>
    <x v="10"/>
    <s v="NO3_A1"/>
    <x v="0"/>
    <x v="0"/>
    <s v="GWND_WIND"/>
    <x v="0"/>
    <x v="9"/>
    <n v="33.329139162007401"/>
    <n v="2027.52263235545"/>
    <n v="7299.0814764796196"/>
  </r>
  <r>
    <x v="0"/>
    <x v="0"/>
    <x v="0"/>
    <x v="7"/>
    <x v="10"/>
    <s v="NO3_A1"/>
    <x v="0"/>
    <x v="0"/>
    <s v="GWND_WIND"/>
    <x v="0"/>
    <x v="10"/>
    <n v="25.5600917539197"/>
    <n v="1554.90558169678"/>
    <n v="5597.6600941084198"/>
  </r>
  <r>
    <x v="0"/>
    <x v="0"/>
    <x v="0"/>
    <x v="7"/>
    <x v="10"/>
    <s v="NO3_A1"/>
    <x v="0"/>
    <x v="0"/>
    <s v="GWND_WIND"/>
    <x v="0"/>
    <x v="11"/>
    <n v="16.525216895457199"/>
    <n v="1005.28402780698"/>
    <n v="3619.0225001051199"/>
  </r>
  <r>
    <x v="0"/>
    <x v="0"/>
    <x v="0"/>
    <x v="7"/>
    <x v="10"/>
    <s v="NO3_A1"/>
    <x v="0"/>
    <x v="0"/>
    <s v="GWND_WIND"/>
    <x v="1"/>
    <x v="0"/>
    <n v="42.243790559802001"/>
    <n v="2569.8305923879502"/>
    <n v="9251.3901325966308"/>
  </r>
  <r>
    <x v="0"/>
    <x v="0"/>
    <x v="0"/>
    <x v="7"/>
    <x v="10"/>
    <s v="NO3_A1"/>
    <x v="0"/>
    <x v="0"/>
    <s v="GWND_WIND"/>
    <x v="1"/>
    <x v="1"/>
    <n v="55.221002641879501"/>
    <n v="3359.2776607143401"/>
    <n v="12093.3995785716"/>
  </r>
  <r>
    <x v="0"/>
    <x v="0"/>
    <x v="0"/>
    <x v="7"/>
    <x v="10"/>
    <s v="NO3_A1"/>
    <x v="0"/>
    <x v="0"/>
    <s v="GWND_WIND"/>
    <x v="1"/>
    <x v="2"/>
    <n v="58.859881412597503"/>
    <n v="3580.6427859330101"/>
    <n v="12890.3140293589"/>
  </r>
  <r>
    <x v="0"/>
    <x v="0"/>
    <x v="0"/>
    <x v="7"/>
    <x v="10"/>
    <s v="NO3_A1"/>
    <x v="0"/>
    <x v="0"/>
    <s v="GWND_WIND"/>
    <x v="1"/>
    <x v="3"/>
    <n v="67.570100203597903"/>
    <n v="4110.5144290522003"/>
    <n v="14797.851944587899"/>
  </r>
  <r>
    <x v="0"/>
    <x v="0"/>
    <x v="0"/>
    <x v="7"/>
    <x v="10"/>
    <s v="NO3_A1"/>
    <x v="0"/>
    <x v="0"/>
    <s v="GWND_WIND"/>
    <x v="1"/>
    <x v="4"/>
    <n v="76.803499915305594"/>
    <n v="4672.2129115144198"/>
    <n v="16819.966481451898"/>
  </r>
  <r>
    <x v="0"/>
    <x v="0"/>
    <x v="0"/>
    <x v="7"/>
    <x v="10"/>
    <s v="NO3_A1"/>
    <x v="0"/>
    <x v="0"/>
    <s v="GWND_WIND"/>
    <x v="1"/>
    <x v="5"/>
    <n v="78.945567535100693"/>
    <n v="4802.5220250519596"/>
    <n v="17289.079290187099"/>
  </r>
  <r>
    <x v="0"/>
    <x v="0"/>
    <x v="0"/>
    <x v="7"/>
    <x v="10"/>
    <s v="NO3_A1"/>
    <x v="0"/>
    <x v="0"/>
    <s v="GWND_WIND"/>
    <x v="1"/>
    <x v="6"/>
    <n v="55.450418151553997"/>
    <n v="3373.2337708862001"/>
    <n v="12143.641575190301"/>
  </r>
  <r>
    <x v="0"/>
    <x v="0"/>
    <x v="0"/>
    <x v="7"/>
    <x v="10"/>
    <s v="NO3_A1"/>
    <x v="0"/>
    <x v="0"/>
    <s v="GWND_WIND"/>
    <x v="1"/>
    <x v="7"/>
    <n v="62.810776091582198"/>
    <n v="3820.9888789045899"/>
    <n v="13755.5599640565"/>
  </r>
  <r>
    <x v="0"/>
    <x v="0"/>
    <x v="0"/>
    <x v="7"/>
    <x v="10"/>
    <s v="NO3_A1"/>
    <x v="0"/>
    <x v="0"/>
    <s v="GWND_WIND"/>
    <x v="1"/>
    <x v="8"/>
    <n v="93.383738680201404"/>
    <n v="5680.8441030455897"/>
    <n v="20451.0387709641"/>
  </r>
  <r>
    <x v="0"/>
    <x v="0"/>
    <x v="0"/>
    <x v="7"/>
    <x v="10"/>
    <s v="NO3_A1"/>
    <x v="0"/>
    <x v="0"/>
    <s v="GWND_WIND"/>
    <x v="1"/>
    <x v="9"/>
    <n v="96.516213468780506"/>
    <n v="5871.4029860174796"/>
    <n v="21137.0507496629"/>
  </r>
  <r>
    <x v="0"/>
    <x v="0"/>
    <x v="0"/>
    <x v="7"/>
    <x v="10"/>
    <s v="NO3_A1"/>
    <x v="0"/>
    <x v="0"/>
    <s v="GWND_WIND"/>
    <x v="1"/>
    <x v="10"/>
    <n v="99.770493427787798"/>
    <n v="6069.3716835237601"/>
    <n v="21849.7380606855"/>
  </r>
  <r>
    <x v="0"/>
    <x v="0"/>
    <x v="0"/>
    <x v="7"/>
    <x v="10"/>
    <s v="NO3_A1"/>
    <x v="0"/>
    <x v="0"/>
    <s v="GWND_WIND"/>
    <x v="1"/>
    <x v="11"/>
    <n v="108.25487921412601"/>
    <n v="6585.5051521926798"/>
    <n v="23707.818547893701"/>
  </r>
  <r>
    <x v="0"/>
    <x v="0"/>
    <x v="0"/>
    <x v="7"/>
    <x v="10"/>
    <s v="NO3_A1"/>
    <x v="0"/>
    <x v="0"/>
    <s v="GWND_WIND"/>
    <x v="2"/>
    <x v="0"/>
    <n v="181.441299563743"/>
    <n v="11037.679056794401"/>
    <n v="39735.644604459798"/>
  </r>
  <r>
    <x v="0"/>
    <x v="0"/>
    <x v="0"/>
    <x v="7"/>
    <x v="10"/>
    <s v="NO3_A1"/>
    <x v="0"/>
    <x v="0"/>
    <s v="GWND_WIND"/>
    <x v="2"/>
    <x v="1"/>
    <n v="171.76534016488699"/>
    <n v="10449.058193364001"/>
    <n v="37616.609496110301"/>
  </r>
  <r>
    <x v="0"/>
    <x v="0"/>
    <x v="0"/>
    <x v="7"/>
    <x v="10"/>
    <s v="NO3_A1"/>
    <x v="0"/>
    <x v="0"/>
    <s v="GWND_WIND"/>
    <x v="2"/>
    <x v="2"/>
    <n v="174.28404262015599"/>
    <n v="10602.279259392801"/>
    <n v="38168.205333814098"/>
  </r>
  <r>
    <x v="0"/>
    <x v="0"/>
    <x v="0"/>
    <x v="7"/>
    <x v="10"/>
    <s v="NO3_A1"/>
    <x v="0"/>
    <x v="0"/>
    <s v="GWND_WIND"/>
    <x v="2"/>
    <x v="3"/>
    <n v="162.10541957337799"/>
    <n v="9861.4130240471695"/>
    <n v="35501.086886569799"/>
  </r>
  <r>
    <x v="0"/>
    <x v="0"/>
    <x v="0"/>
    <x v="7"/>
    <x v="10"/>
    <s v="NO3_A1"/>
    <x v="0"/>
    <x v="0"/>
    <s v="GWND_WIND"/>
    <x v="2"/>
    <x v="4"/>
    <n v="159.44472554585201"/>
    <n v="9699.5541373726701"/>
    <n v="34918.394894541598"/>
  </r>
  <r>
    <x v="0"/>
    <x v="0"/>
    <x v="0"/>
    <x v="7"/>
    <x v="10"/>
    <s v="NO3_A1"/>
    <x v="0"/>
    <x v="0"/>
    <s v="GWND_WIND"/>
    <x v="2"/>
    <x v="5"/>
    <n v="159.465356719059"/>
    <n v="9700.8092004093996"/>
    <n v="34922.913121473801"/>
  </r>
  <r>
    <x v="0"/>
    <x v="0"/>
    <x v="0"/>
    <x v="7"/>
    <x v="10"/>
    <s v="NO3_A1"/>
    <x v="0"/>
    <x v="0"/>
    <s v="GWND_WIND"/>
    <x v="2"/>
    <x v="6"/>
    <n v="158.35668281328799"/>
    <n v="9633.3648711416809"/>
    <n v="34680.113536110097"/>
  </r>
  <r>
    <x v="0"/>
    <x v="0"/>
    <x v="0"/>
    <x v="7"/>
    <x v="10"/>
    <s v="NO3_A1"/>
    <x v="0"/>
    <x v="0"/>
    <s v="GWND_WIND"/>
    <x v="2"/>
    <x v="7"/>
    <n v="153.68784007013701"/>
    <n v="9349.3436042666599"/>
    <n v="33657.636975360001"/>
  </r>
  <r>
    <x v="0"/>
    <x v="0"/>
    <x v="0"/>
    <x v="7"/>
    <x v="10"/>
    <s v="NO3_A1"/>
    <x v="0"/>
    <x v="0"/>
    <s v="GWND_WIND"/>
    <x v="2"/>
    <x v="8"/>
    <n v="149.111020930461"/>
    <n v="9070.9204399363698"/>
    <n v="32655.313583770901"/>
  </r>
  <r>
    <x v="0"/>
    <x v="0"/>
    <x v="0"/>
    <x v="7"/>
    <x v="10"/>
    <s v="NO3_A1"/>
    <x v="0"/>
    <x v="0"/>
    <s v="GWND_WIND"/>
    <x v="2"/>
    <x v="9"/>
    <n v="144.453764414087"/>
    <n v="8787.6040018569693"/>
    <n v="31635.3744066851"/>
  </r>
  <r>
    <x v="0"/>
    <x v="0"/>
    <x v="0"/>
    <x v="7"/>
    <x v="10"/>
    <s v="NO3_A1"/>
    <x v="0"/>
    <x v="0"/>
    <s v="GWND_WIND"/>
    <x v="2"/>
    <x v="10"/>
    <n v="135.77097517410701"/>
    <n v="8259.4009897582"/>
    <n v="29733.8435631295"/>
  </r>
  <r>
    <x v="0"/>
    <x v="0"/>
    <x v="0"/>
    <x v="7"/>
    <x v="10"/>
    <s v="NO3_A1"/>
    <x v="0"/>
    <x v="0"/>
    <s v="GWND_WIND"/>
    <x v="2"/>
    <x v="11"/>
    <n v="136.47123485635501"/>
    <n v="8302.0001204282398"/>
    <n v="29887.200433541599"/>
  </r>
  <r>
    <x v="0"/>
    <x v="0"/>
    <x v="0"/>
    <x v="7"/>
    <x v="10"/>
    <s v="NO3_A1"/>
    <x v="0"/>
    <x v="0"/>
    <s v="GWND_WIND"/>
    <x v="3"/>
    <x v="0"/>
    <n v="62.7019220147467"/>
    <n v="3814.36692256376"/>
    <n v="13731.7209212295"/>
  </r>
  <r>
    <x v="0"/>
    <x v="0"/>
    <x v="0"/>
    <x v="7"/>
    <x v="10"/>
    <s v="NO3_A1"/>
    <x v="0"/>
    <x v="0"/>
    <s v="GWND_WIND"/>
    <x v="3"/>
    <x v="1"/>
    <n v="69.113037796418695"/>
    <n v="4204.3764659487997"/>
    <n v="15135.755277415699"/>
  </r>
  <r>
    <x v="0"/>
    <x v="0"/>
    <x v="0"/>
    <x v="7"/>
    <x v="10"/>
    <s v="NO3_A1"/>
    <x v="0"/>
    <x v="0"/>
    <s v="GWND_WIND"/>
    <x v="3"/>
    <x v="2"/>
    <n v="68.330348323931105"/>
    <n v="4156.7628563724802"/>
    <n v="14964.3462829409"/>
  </r>
  <r>
    <x v="0"/>
    <x v="0"/>
    <x v="0"/>
    <x v="7"/>
    <x v="10"/>
    <s v="NO3_A1"/>
    <x v="0"/>
    <x v="0"/>
    <s v="GWND_WIND"/>
    <x v="3"/>
    <x v="3"/>
    <n v="59.141047221095398"/>
    <n v="3597.7470392833102"/>
    <n v="12951.889341419899"/>
  </r>
  <r>
    <x v="0"/>
    <x v="0"/>
    <x v="0"/>
    <x v="7"/>
    <x v="10"/>
    <s v="NO3_A1"/>
    <x v="0"/>
    <x v="0"/>
    <s v="GWND_WIND"/>
    <x v="3"/>
    <x v="4"/>
    <n v="47.500014876507997"/>
    <n v="2889.5842383209001"/>
    <n v="10402.503257955301"/>
  </r>
  <r>
    <x v="0"/>
    <x v="0"/>
    <x v="0"/>
    <x v="7"/>
    <x v="10"/>
    <s v="NO3_A1"/>
    <x v="0"/>
    <x v="0"/>
    <s v="GWND_WIND"/>
    <x v="3"/>
    <x v="5"/>
    <n v="40.166613596838801"/>
    <n v="2443.4689938076899"/>
    <n v="8796.4883777076902"/>
  </r>
  <r>
    <x v="0"/>
    <x v="0"/>
    <x v="0"/>
    <x v="7"/>
    <x v="10"/>
    <s v="NO3_A1"/>
    <x v="0"/>
    <x v="0"/>
    <s v="GWND_WIND"/>
    <x v="3"/>
    <x v="6"/>
    <n v="40.246564293610398"/>
    <n v="2448.33266119463"/>
    <n v="8813.9975803006801"/>
  </r>
  <r>
    <x v="0"/>
    <x v="0"/>
    <x v="0"/>
    <x v="7"/>
    <x v="10"/>
    <s v="NO3_A1"/>
    <x v="0"/>
    <x v="0"/>
    <s v="GWND_WIND"/>
    <x v="3"/>
    <x v="7"/>
    <n v="39.946404449102303"/>
    <n v="2430.0729373203899"/>
    <n v="8748.2625743534009"/>
  </r>
  <r>
    <x v="0"/>
    <x v="0"/>
    <x v="0"/>
    <x v="7"/>
    <x v="10"/>
    <s v="NO3_A1"/>
    <x v="0"/>
    <x v="0"/>
    <s v="GWND_WIND"/>
    <x v="3"/>
    <x v="8"/>
    <n v="52.060976361920602"/>
    <n v="3167.0427286835002"/>
    <n v="11401.353823260601"/>
  </r>
  <r>
    <x v="0"/>
    <x v="0"/>
    <x v="0"/>
    <x v="7"/>
    <x v="10"/>
    <s v="NO3_A1"/>
    <x v="0"/>
    <x v="0"/>
    <s v="GWND_WIND"/>
    <x v="3"/>
    <x v="9"/>
    <n v="53.269497250980798"/>
    <n v="3240.5610827679998"/>
    <n v="11666.019897964799"/>
  </r>
  <r>
    <x v="0"/>
    <x v="0"/>
    <x v="0"/>
    <x v="7"/>
    <x v="10"/>
    <s v="NO3_A1"/>
    <x v="0"/>
    <x v="0"/>
    <s v="GWND_WIND"/>
    <x v="3"/>
    <x v="10"/>
    <n v="56.740471447146199"/>
    <n v="3451.7120130347198"/>
    <n v="12426.163246925"/>
  </r>
  <r>
    <x v="0"/>
    <x v="0"/>
    <x v="0"/>
    <x v="7"/>
    <x v="10"/>
    <s v="NO3_A1"/>
    <x v="0"/>
    <x v="0"/>
    <s v="GWND_WIND"/>
    <x v="3"/>
    <x v="11"/>
    <n v="57.655591935118203"/>
    <n v="3507.3818427196902"/>
    <n v="12626.5746337909"/>
  </r>
  <r>
    <x v="0"/>
    <x v="0"/>
    <x v="0"/>
    <x v="7"/>
    <x v="10"/>
    <s v="NO3_A1"/>
    <x v="0"/>
    <x v="0"/>
    <s v="GWND_WIND"/>
    <x v="4"/>
    <x v="0"/>
    <n v="48.968706742803597"/>
    <n v="2978.9296601872202"/>
    <n v="10724.146776674001"/>
  </r>
  <r>
    <x v="0"/>
    <x v="0"/>
    <x v="0"/>
    <x v="7"/>
    <x v="10"/>
    <s v="NO3_A1"/>
    <x v="0"/>
    <x v="0"/>
    <s v="GWND_WIND"/>
    <x v="4"/>
    <x v="1"/>
    <n v="61.428537506628302"/>
    <n v="3736.9026983198901"/>
    <n v="13452.8497139516"/>
  </r>
  <r>
    <x v="0"/>
    <x v="0"/>
    <x v="0"/>
    <x v="7"/>
    <x v="10"/>
    <s v="NO3_A1"/>
    <x v="0"/>
    <x v="0"/>
    <s v="GWND_WIND"/>
    <x v="4"/>
    <x v="2"/>
    <n v="69.959495858130495"/>
    <n v="4255.8693313696003"/>
    <n v="15321.1295929306"/>
  </r>
  <r>
    <x v="0"/>
    <x v="0"/>
    <x v="0"/>
    <x v="7"/>
    <x v="10"/>
    <s v="NO3_A1"/>
    <x v="0"/>
    <x v="0"/>
    <s v="GWND_WIND"/>
    <x v="4"/>
    <x v="3"/>
    <n v="70.084978165779205"/>
    <n v="4263.5028384182297"/>
    <n v="15348.610218305599"/>
  </r>
  <r>
    <x v="0"/>
    <x v="0"/>
    <x v="0"/>
    <x v="7"/>
    <x v="10"/>
    <s v="NO3_A1"/>
    <x v="0"/>
    <x v="0"/>
    <s v="GWND_WIND"/>
    <x v="4"/>
    <x v="4"/>
    <n v="55.179932263659701"/>
    <n v="3356.7792127059602"/>
    <n v="12084.4051657415"/>
  </r>
  <r>
    <x v="0"/>
    <x v="0"/>
    <x v="0"/>
    <x v="7"/>
    <x v="10"/>
    <s v="NO3_A1"/>
    <x v="0"/>
    <x v="0"/>
    <s v="GWND_WIND"/>
    <x v="4"/>
    <x v="5"/>
    <n v="44.145938494847897"/>
    <n v="2685.5445917699199"/>
    <n v="9667.9605303716999"/>
  </r>
  <r>
    <x v="0"/>
    <x v="0"/>
    <x v="0"/>
    <x v="7"/>
    <x v="10"/>
    <s v="NO3_A1"/>
    <x v="0"/>
    <x v="0"/>
    <s v="GWND_WIND"/>
    <x v="4"/>
    <x v="6"/>
    <n v="43.097954387012599"/>
    <n v="2621.7922252099302"/>
    <n v="9438.4520107557491"/>
  </r>
  <r>
    <x v="0"/>
    <x v="0"/>
    <x v="0"/>
    <x v="7"/>
    <x v="10"/>
    <s v="NO3_A1"/>
    <x v="0"/>
    <x v="0"/>
    <s v="GWND_WIND"/>
    <x v="4"/>
    <x v="7"/>
    <n v="39.784123731475098"/>
    <n v="2420.2008603313998"/>
    <n v="8712.7230971930494"/>
  </r>
  <r>
    <x v="0"/>
    <x v="0"/>
    <x v="0"/>
    <x v="7"/>
    <x v="10"/>
    <s v="NO3_A1"/>
    <x v="0"/>
    <x v="0"/>
    <s v="GWND_WIND"/>
    <x v="4"/>
    <x v="8"/>
    <n v="34.714122080989803"/>
    <n v="2111.7757599268798"/>
    <n v="7602.3927357367802"/>
  </r>
  <r>
    <x v="0"/>
    <x v="0"/>
    <x v="0"/>
    <x v="7"/>
    <x v="10"/>
    <s v="NO3_A1"/>
    <x v="0"/>
    <x v="0"/>
    <s v="GWND_WIND"/>
    <x v="4"/>
    <x v="9"/>
    <n v="33.680738370941597"/>
    <n v="2048.9115842322799"/>
    <n v="7376.0817032362202"/>
  </r>
  <r>
    <x v="0"/>
    <x v="0"/>
    <x v="0"/>
    <x v="7"/>
    <x v="10"/>
    <s v="NO3_A1"/>
    <x v="0"/>
    <x v="0"/>
    <s v="GWND_WIND"/>
    <x v="4"/>
    <x v="10"/>
    <n v="27.0299597633704"/>
    <n v="1644.3225522717"/>
    <n v="5919.5611881781197"/>
  </r>
  <r>
    <x v="0"/>
    <x v="0"/>
    <x v="0"/>
    <x v="7"/>
    <x v="10"/>
    <s v="NO3_A1"/>
    <x v="0"/>
    <x v="0"/>
    <s v="GWND_WIND"/>
    <x v="4"/>
    <x v="11"/>
    <n v="20.3928487503944"/>
    <n v="1240.56496564899"/>
    <n v="4466.0338763363798"/>
  </r>
  <r>
    <x v="0"/>
    <x v="0"/>
    <x v="0"/>
    <x v="7"/>
    <x v="10"/>
    <s v="NO3_A1"/>
    <x v="0"/>
    <x v="0"/>
    <s v="GWND_WIND"/>
    <x v="5"/>
    <x v="0"/>
    <n v="145.333819613374"/>
    <n v="8841.1406931468991"/>
    <n v="31828.106495328801"/>
  </r>
  <r>
    <x v="0"/>
    <x v="0"/>
    <x v="0"/>
    <x v="7"/>
    <x v="10"/>
    <s v="NO3_A1"/>
    <x v="0"/>
    <x v="0"/>
    <s v="GWND_WIND"/>
    <x v="5"/>
    <x v="1"/>
    <n v="174.733478013151"/>
    <n v="10629.6199124667"/>
    <n v="38266.631684879998"/>
  </r>
  <r>
    <x v="0"/>
    <x v="0"/>
    <x v="0"/>
    <x v="7"/>
    <x v="10"/>
    <s v="NO3_A1"/>
    <x v="0"/>
    <x v="0"/>
    <s v="GWND_WIND"/>
    <x v="5"/>
    <x v="2"/>
    <n v="174.11386687261401"/>
    <n v="10591.926901417301"/>
    <n v="38130.9368451025"/>
  </r>
  <r>
    <x v="0"/>
    <x v="0"/>
    <x v="0"/>
    <x v="7"/>
    <x v="10"/>
    <s v="NO3_A1"/>
    <x v="0"/>
    <x v="0"/>
    <s v="GWND_WIND"/>
    <x v="5"/>
    <x v="3"/>
    <n v="181.65495881080599"/>
    <n v="11050.676660990701"/>
    <n v="39782.4359795665"/>
  </r>
  <r>
    <x v="0"/>
    <x v="0"/>
    <x v="0"/>
    <x v="7"/>
    <x v="10"/>
    <s v="NO3_A1"/>
    <x v="0"/>
    <x v="0"/>
    <s v="GWND_WIND"/>
    <x v="5"/>
    <x v="4"/>
    <n v="199.375867171712"/>
    <n v="12128.698586279201"/>
    <n v="43663.314910604902"/>
  </r>
  <r>
    <x v="0"/>
    <x v="0"/>
    <x v="0"/>
    <x v="7"/>
    <x v="10"/>
    <s v="NO3_A1"/>
    <x v="0"/>
    <x v="0"/>
    <s v="GWND_WIND"/>
    <x v="5"/>
    <x v="5"/>
    <n v="170.02393044248001"/>
    <n v="10343.1224352509"/>
    <n v="37235.240766903102"/>
  </r>
  <r>
    <x v="0"/>
    <x v="0"/>
    <x v="0"/>
    <x v="7"/>
    <x v="10"/>
    <s v="NO3_A1"/>
    <x v="0"/>
    <x v="0"/>
    <s v="GWND_WIND"/>
    <x v="5"/>
    <x v="6"/>
    <n v="175.06859769902701"/>
    <n v="10650.006360024199"/>
    <n v="38340.022896086899"/>
  </r>
  <r>
    <x v="0"/>
    <x v="0"/>
    <x v="0"/>
    <x v="7"/>
    <x v="10"/>
    <s v="NO3_A1"/>
    <x v="0"/>
    <x v="0"/>
    <s v="GWND_WIND"/>
    <x v="5"/>
    <x v="7"/>
    <n v="171.453998849074"/>
    <n v="10430.1182633187"/>
    <n v="37548.4257479472"/>
  </r>
  <r>
    <x v="0"/>
    <x v="0"/>
    <x v="0"/>
    <x v="7"/>
    <x v="10"/>
    <s v="NO3_A1"/>
    <x v="0"/>
    <x v="0"/>
    <s v="GWND_WIND"/>
    <x v="5"/>
    <x v="8"/>
    <n v="168.75008764409799"/>
    <n v="10265.6303316826"/>
    <n v="36956.2691940574"/>
  </r>
  <r>
    <x v="0"/>
    <x v="0"/>
    <x v="0"/>
    <x v="7"/>
    <x v="10"/>
    <s v="NO3_A1"/>
    <x v="0"/>
    <x v="0"/>
    <s v="GWND_WIND"/>
    <x v="5"/>
    <x v="9"/>
    <n v="150.428797407296"/>
    <n v="9151.0851756105003"/>
    <n v="32943.906632197803"/>
  </r>
  <r>
    <x v="0"/>
    <x v="0"/>
    <x v="0"/>
    <x v="7"/>
    <x v="10"/>
    <s v="NO3_A1"/>
    <x v="0"/>
    <x v="0"/>
    <s v="GWND_WIND"/>
    <x v="5"/>
    <x v="10"/>
    <n v="119.185193665607"/>
    <n v="7250.4326146577596"/>
    <n v="26101.557412767899"/>
  </r>
  <r>
    <x v="0"/>
    <x v="0"/>
    <x v="0"/>
    <x v="7"/>
    <x v="10"/>
    <s v="NO3_A1"/>
    <x v="0"/>
    <x v="0"/>
    <s v="GWND_WIND"/>
    <x v="5"/>
    <x v="11"/>
    <n v="115.553336104515"/>
    <n v="7029.4946130246599"/>
    <n v="25306.1806068888"/>
  </r>
  <r>
    <x v="0"/>
    <x v="0"/>
    <x v="0"/>
    <x v="7"/>
    <x v="10"/>
    <s v="NO3_A1"/>
    <x v="0"/>
    <x v="0"/>
    <s v="GWND_WIND"/>
    <x v="6"/>
    <x v="0"/>
    <n v="171.07363144894401"/>
    <n v="10406.9792464774"/>
    <n v="37465.125287318799"/>
  </r>
  <r>
    <x v="0"/>
    <x v="0"/>
    <x v="0"/>
    <x v="7"/>
    <x v="10"/>
    <s v="NO3_A1"/>
    <x v="0"/>
    <x v="0"/>
    <s v="GWND_WIND"/>
    <x v="6"/>
    <x v="1"/>
    <n v="148.74084947478599"/>
    <n v="9048.4016763828095"/>
    <n v="32574.246034978099"/>
  </r>
  <r>
    <x v="0"/>
    <x v="0"/>
    <x v="0"/>
    <x v="7"/>
    <x v="10"/>
    <s v="NO3_A1"/>
    <x v="0"/>
    <x v="0"/>
    <s v="GWND_WIND"/>
    <x v="6"/>
    <x v="2"/>
    <n v="121.831870229746"/>
    <n v="7411.4387723095797"/>
    <n v="26681.1795803145"/>
  </r>
  <r>
    <x v="0"/>
    <x v="0"/>
    <x v="0"/>
    <x v="7"/>
    <x v="10"/>
    <s v="NO3_A1"/>
    <x v="0"/>
    <x v="0"/>
    <s v="GWND_WIND"/>
    <x v="6"/>
    <x v="3"/>
    <n v="142.92902594673001"/>
    <n v="8694.8490784260903"/>
    <n v="31301.456682333901"/>
  </r>
  <r>
    <x v="0"/>
    <x v="0"/>
    <x v="0"/>
    <x v="7"/>
    <x v="10"/>
    <s v="NO3_A1"/>
    <x v="0"/>
    <x v="0"/>
    <s v="GWND_WIND"/>
    <x v="6"/>
    <x v="4"/>
    <n v="142.600544034292"/>
    <n v="8674.8664287527899"/>
    <n v="31229.519143509999"/>
  </r>
  <r>
    <x v="0"/>
    <x v="0"/>
    <x v="0"/>
    <x v="7"/>
    <x v="10"/>
    <s v="NO3_A1"/>
    <x v="0"/>
    <x v="0"/>
    <s v="GWND_WIND"/>
    <x v="6"/>
    <x v="5"/>
    <n v="148.03405503301801"/>
    <n v="9005.4050145086003"/>
    <n v="32419.458052230901"/>
  </r>
  <r>
    <x v="0"/>
    <x v="0"/>
    <x v="0"/>
    <x v="7"/>
    <x v="10"/>
    <s v="NO3_A1"/>
    <x v="0"/>
    <x v="0"/>
    <s v="GWND_WIND"/>
    <x v="6"/>
    <x v="6"/>
    <n v="159.186447212774"/>
    <n v="9683.8422054437706"/>
    <n v="34861.8319395976"/>
  </r>
  <r>
    <x v="0"/>
    <x v="0"/>
    <x v="0"/>
    <x v="7"/>
    <x v="10"/>
    <s v="NO3_A1"/>
    <x v="0"/>
    <x v="0"/>
    <s v="GWND_WIND"/>
    <x v="6"/>
    <x v="7"/>
    <n v="134.72095268851399"/>
    <n v="8195.5246218846205"/>
    <n v="29503.8886387846"/>
  </r>
  <r>
    <x v="0"/>
    <x v="0"/>
    <x v="0"/>
    <x v="7"/>
    <x v="10"/>
    <s v="NO3_A1"/>
    <x v="0"/>
    <x v="0"/>
    <s v="GWND_WIND"/>
    <x v="6"/>
    <x v="8"/>
    <n v="113.375820030225"/>
    <n v="6897.0290518386601"/>
    <n v="24829.304586619201"/>
  </r>
  <r>
    <x v="0"/>
    <x v="0"/>
    <x v="0"/>
    <x v="7"/>
    <x v="10"/>
    <s v="NO3_A1"/>
    <x v="0"/>
    <x v="0"/>
    <s v="GWND_WIND"/>
    <x v="6"/>
    <x v="9"/>
    <n v="155.20080358705599"/>
    <n v="9441.3822182125805"/>
    <n v="33988.975985565303"/>
  </r>
  <r>
    <x v="0"/>
    <x v="0"/>
    <x v="0"/>
    <x v="7"/>
    <x v="10"/>
    <s v="NO3_A1"/>
    <x v="0"/>
    <x v="0"/>
    <s v="GWND_WIND"/>
    <x v="6"/>
    <x v="10"/>
    <n v="160.02365159644401"/>
    <n v="9734.7721387836791"/>
    <n v="35045.179699621302"/>
  </r>
  <r>
    <x v="0"/>
    <x v="0"/>
    <x v="0"/>
    <x v="7"/>
    <x v="10"/>
    <s v="NO3_A1"/>
    <x v="0"/>
    <x v="0"/>
    <s v="GWND_WIND"/>
    <x v="6"/>
    <x v="11"/>
    <n v="156.14408662009299"/>
    <n v="9498.7652693889995"/>
    <n v="34195.554969800403"/>
  </r>
  <r>
    <x v="0"/>
    <x v="0"/>
    <x v="0"/>
    <x v="7"/>
    <x v="10"/>
    <s v="NO3_A1"/>
    <x v="0"/>
    <x v="0"/>
    <s v="GWND_WIND"/>
    <x v="7"/>
    <x v="0"/>
    <n v="185.02139145503801"/>
    <n v="11255.4679801815"/>
    <n v="40519.684728653199"/>
  </r>
  <r>
    <x v="0"/>
    <x v="0"/>
    <x v="0"/>
    <x v="7"/>
    <x v="10"/>
    <s v="NO3_A1"/>
    <x v="0"/>
    <x v="0"/>
    <s v="GWND_WIND"/>
    <x v="7"/>
    <x v="1"/>
    <n v="165.603308521353"/>
    <n v="10074.2012683823"/>
    <n v="36267.124566176397"/>
  </r>
  <r>
    <x v="0"/>
    <x v="0"/>
    <x v="0"/>
    <x v="7"/>
    <x v="10"/>
    <s v="NO3_A1"/>
    <x v="0"/>
    <x v="0"/>
    <s v="GWND_WIND"/>
    <x v="7"/>
    <x v="2"/>
    <n v="141.65726370503299"/>
    <n v="8617.4835420561503"/>
    <n v="31022.940751402199"/>
  </r>
  <r>
    <x v="0"/>
    <x v="0"/>
    <x v="0"/>
    <x v="7"/>
    <x v="10"/>
    <s v="NO3_A1"/>
    <x v="0"/>
    <x v="0"/>
    <s v="GWND_WIND"/>
    <x v="7"/>
    <x v="3"/>
    <n v="108.69199890121"/>
    <n v="6612.0965998236197"/>
    <n v="23803.547759364999"/>
  </r>
  <r>
    <x v="0"/>
    <x v="0"/>
    <x v="0"/>
    <x v="7"/>
    <x v="10"/>
    <s v="NO3_A1"/>
    <x v="0"/>
    <x v="0"/>
    <s v="GWND_WIND"/>
    <x v="7"/>
    <x v="4"/>
    <n v="123.801017767971"/>
    <n v="7531.2285808849301"/>
    <n v="27112.422891185699"/>
  </r>
  <r>
    <x v="0"/>
    <x v="0"/>
    <x v="0"/>
    <x v="7"/>
    <x v="10"/>
    <s v="NO3_A1"/>
    <x v="0"/>
    <x v="0"/>
    <s v="GWND_WIND"/>
    <x v="7"/>
    <x v="5"/>
    <n v="139.05767639791199"/>
    <n v="8459.3419808729795"/>
    <n v="30453.631131142702"/>
  </r>
  <r>
    <x v="0"/>
    <x v="0"/>
    <x v="0"/>
    <x v="7"/>
    <x v="10"/>
    <s v="NO3_A1"/>
    <x v="0"/>
    <x v="0"/>
    <s v="GWND_WIND"/>
    <x v="7"/>
    <x v="6"/>
    <n v="157.03322651133601"/>
    <n v="9552.8546127729496"/>
    <n v="34390.276605982603"/>
  </r>
  <r>
    <x v="0"/>
    <x v="0"/>
    <x v="0"/>
    <x v="7"/>
    <x v="10"/>
    <s v="NO3_A1"/>
    <x v="0"/>
    <x v="0"/>
    <s v="GWND_WIND"/>
    <x v="7"/>
    <x v="7"/>
    <n v="169.52867954198399"/>
    <n v="10312.9946721374"/>
    <n v="37126.780819694497"/>
  </r>
  <r>
    <x v="0"/>
    <x v="0"/>
    <x v="0"/>
    <x v="7"/>
    <x v="10"/>
    <s v="NO3_A1"/>
    <x v="0"/>
    <x v="0"/>
    <s v="GWND_WIND"/>
    <x v="7"/>
    <x v="8"/>
    <n v="165.20813794013401"/>
    <n v="10050.161724691499"/>
    <n v="36180.582208889296"/>
  </r>
  <r>
    <x v="0"/>
    <x v="0"/>
    <x v="0"/>
    <x v="7"/>
    <x v="10"/>
    <s v="NO3_A1"/>
    <x v="0"/>
    <x v="0"/>
    <s v="GWND_WIND"/>
    <x v="7"/>
    <x v="9"/>
    <n v="132.10521031162"/>
    <n v="8036.40029395687"/>
    <n v="28931.0410582447"/>
  </r>
  <r>
    <x v="0"/>
    <x v="0"/>
    <x v="0"/>
    <x v="7"/>
    <x v="10"/>
    <s v="NO3_A1"/>
    <x v="0"/>
    <x v="0"/>
    <s v="GWND_WIND"/>
    <x v="7"/>
    <x v="10"/>
    <n v="135.16183062613999"/>
    <n v="8222.3446964235009"/>
    <n v="29600.440907124601"/>
  </r>
  <r>
    <x v="0"/>
    <x v="0"/>
    <x v="0"/>
    <x v="7"/>
    <x v="10"/>
    <s v="NO3_A1"/>
    <x v="0"/>
    <x v="0"/>
    <s v="GWND_WIND"/>
    <x v="7"/>
    <x v="11"/>
    <n v="149.79670157476201"/>
    <n v="9112.6326791313695"/>
    <n v="32805.477644872903"/>
  </r>
  <r>
    <x v="0"/>
    <x v="0"/>
    <x v="0"/>
    <x v="7"/>
    <x v="10"/>
    <s v="NO3_A1"/>
    <x v="0"/>
    <x v="0"/>
    <s v="GWND_WIND"/>
    <x v="8"/>
    <x v="0"/>
    <n v="74.304533682934903"/>
    <n v="4520.1924657118698"/>
    <n v="16272.6928765627"/>
  </r>
  <r>
    <x v="0"/>
    <x v="0"/>
    <x v="0"/>
    <x v="7"/>
    <x v="10"/>
    <s v="NO3_A1"/>
    <x v="0"/>
    <x v="0"/>
    <s v="GWND_WIND"/>
    <x v="8"/>
    <x v="1"/>
    <n v="71.374990904710799"/>
    <n v="4341.9786133699099"/>
    <n v="15631.123008131701"/>
  </r>
  <r>
    <x v="0"/>
    <x v="0"/>
    <x v="0"/>
    <x v="7"/>
    <x v="10"/>
    <s v="NO3_A1"/>
    <x v="0"/>
    <x v="0"/>
    <s v="GWND_WIND"/>
    <x v="8"/>
    <x v="2"/>
    <n v="105.127595678094"/>
    <n v="6395.2620704173696"/>
    <n v="23022.943453502499"/>
  </r>
  <r>
    <x v="0"/>
    <x v="0"/>
    <x v="0"/>
    <x v="7"/>
    <x v="10"/>
    <s v="NO3_A1"/>
    <x v="0"/>
    <x v="0"/>
    <s v="GWND_WIND"/>
    <x v="8"/>
    <x v="3"/>
    <n v="120.07479346938"/>
    <n v="7304.5499360539698"/>
    <n v="26296.379769794301"/>
  </r>
  <r>
    <x v="0"/>
    <x v="0"/>
    <x v="0"/>
    <x v="7"/>
    <x v="10"/>
    <s v="NO3_A1"/>
    <x v="0"/>
    <x v="0"/>
    <s v="GWND_WIND"/>
    <x v="8"/>
    <x v="4"/>
    <n v="120.42266146554699"/>
    <n v="7325.71190582076"/>
    <n v="26372.562860954698"/>
  </r>
  <r>
    <x v="0"/>
    <x v="0"/>
    <x v="0"/>
    <x v="7"/>
    <x v="10"/>
    <s v="NO3_A1"/>
    <x v="0"/>
    <x v="0"/>
    <s v="GWND_WIND"/>
    <x v="8"/>
    <x v="5"/>
    <n v="122.28528017547301"/>
    <n v="7439.0212106745903"/>
    <n v="26780.476358428499"/>
  </r>
  <r>
    <x v="0"/>
    <x v="0"/>
    <x v="0"/>
    <x v="7"/>
    <x v="10"/>
    <s v="NO3_A1"/>
    <x v="0"/>
    <x v="0"/>
    <s v="GWND_WIND"/>
    <x v="8"/>
    <x v="6"/>
    <n v="142.44415755132701"/>
    <n v="8665.3529177057608"/>
    <n v="31195.270503740699"/>
  </r>
  <r>
    <x v="0"/>
    <x v="0"/>
    <x v="0"/>
    <x v="7"/>
    <x v="10"/>
    <s v="NO3_A1"/>
    <x v="0"/>
    <x v="0"/>
    <s v="GWND_WIND"/>
    <x v="8"/>
    <x v="7"/>
    <n v="128.06187348442299"/>
    <n v="7790.4306369690803"/>
    <n v="28045.550293088701"/>
  </r>
  <r>
    <x v="0"/>
    <x v="0"/>
    <x v="0"/>
    <x v="7"/>
    <x v="10"/>
    <s v="NO3_A1"/>
    <x v="0"/>
    <x v="0"/>
    <s v="GWND_WIND"/>
    <x v="8"/>
    <x v="8"/>
    <n v="136.40293203248399"/>
    <n v="8297.8450319761305"/>
    <n v="29872.242115114099"/>
  </r>
  <r>
    <x v="0"/>
    <x v="0"/>
    <x v="0"/>
    <x v="7"/>
    <x v="10"/>
    <s v="NO3_A1"/>
    <x v="0"/>
    <x v="0"/>
    <s v="GWND_WIND"/>
    <x v="8"/>
    <x v="9"/>
    <n v="169.23007436946301"/>
    <n v="10294.8295241423"/>
    <n v="37061.386286912297"/>
  </r>
  <r>
    <x v="0"/>
    <x v="0"/>
    <x v="0"/>
    <x v="7"/>
    <x v="10"/>
    <s v="NO3_A1"/>
    <x v="0"/>
    <x v="0"/>
    <s v="GWND_WIND"/>
    <x v="8"/>
    <x v="10"/>
    <n v="171.21080759370901"/>
    <n v="10415.3241286173"/>
    <n v="37495.166863022401"/>
  </r>
  <r>
    <x v="0"/>
    <x v="0"/>
    <x v="0"/>
    <x v="7"/>
    <x v="10"/>
    <s v="NO3_A1"/>
    <x v="0"/>
    <x v="0"/>
    <s v="GWND_WIND"/>
    <x v="8"/>
    <x v="11"/>
    <n v="179.78103831148201"/>
    <n v="10936.679830615099"/>
    <n v="39372.047390214502"/>
  </r>
  <r>
    <x v="0"/>
    <x v="0"/>
    <x v="0"/>
    <x v="7"/>
    <x v="10"/>
    <s v="NO3_A1"/>
    <x v="0"/>
    <x v="0"/>
    <s v="GWND_WIND"/>
    <x v="9"/>
    <x v="0"/>
    <n v="26.519378445198001"/>
    <n v="1613.26218874954"/>
    <n v="5807.74387949836"/>
  </r>
  <r>
    <x v="0"/>
    <x v="0"/>
    <x v="0"/>
    <x v="7"/>
    <x v="10"/>
    <s v="NO3_A1"/>
    <x v="0"/>
    <x v="0"/>
    <s v="GWND_WIND"/>
    <x v="9"/>
    <x v="1"/>
    <n v="21.7563231204145"/>
    <n v="1323.5096564918799"/>
    <n v="4764.6347633707801"/>
  </r>
  <r>
    <x v="0"/>
    <x v="0"/>
    <x v="0"/>
    <x v="7"/>
    <x v="10"/>
    <s v="NO3_A1"/>
    <x v="0"/>
    <x v="0"/>
    <s v="GWND_WIND"/>
    <x v="9"/>
    <x v="2"/>
    <n v="18.6923485314536"/>
    <n v="1137.1178689967601"/>
    <n v="4093.62432838834"/>
  </r>
  <r>
    <x v="0"/>
    <x v="0"/>
    <x v="0"/>
    <x v="7"/>
    <x v="10"/>
    <s v="NO3_A1"/>
    <x v="0"/>
    <x v="0"/>
    <s v="GWND_WIND"/>
    <x v="9"/>
    <x v="3"/>
    <n v="25.222714413941102"/>
    <n v="1534.3817935147499"/>
    <n v="5523.7744566531001"/>
  </r>
  <r>
    <x v="0"/>
    <x v="0"/>
    <x v="0"/>
    <x v="7"/>
    <x v="10"/>
    <s v="NO3_A1"/>
    <x v="0"/>
    <x v="0"/>
    <s v="GWND_WIND"/>
    <x v="9"/>
    <x v="4"/>
    <n v="30.8226023530063"/>
    <n v="1875.04164314122"/>
    <n v="6750.1499153083896"/>
  </r>
  <r>
    <x v="0"/>
    <x v="0"/>
    <x v="0"/>
    <x v="7"/>
    <x v="10"/>
    <s v="NO3_A1"/>
    <x v="0"/>
    <x v="0"/>
    <s v="GWND_WIND"/>
    <x v="9"/>
    <x v="5"/>
    <n v="28.2046428786701"/>
    <n v="1715.7824417857701"/>
    <n v="6176.8167904287602"/>
  </r>
  <r>
    <x v="0"/>
    <x v="0"/>
    <x v="0"/>
    <x v="7"/>
    <x v="10"/>
    <s v="NO3_A1"/>
    <x v="0"/>
    <x v="0"/>
    <s v="GWND_WIND"/>
    <x v="9"/>
    <x v="6"/>
    <n v="25.7499374818136"/>
    <n v="1566.4545301436599"/>
    <n v="5639.2363085171701"/>
  </r>
  <r>
    <x v="0"/>
    <x v="0"/>
    <x v="0"/>
    <x v="7"/>
    <x v="10"/>
    <s v="NO3_A1"/>
    <x v="0"/>
    <x v="0"/>
    <s v="GWND_WIND"/>
    <x v="9"/>
    <x v="7"/>
    <n v="33.931635391804903"/>
    <n v="2064.1744863347999"/>
    <n v="7431.0281508052703"/>
  </r>
  <r>
    <x v="0"/>
    <x v="0"/>
    <x v="0"/>
    <x v="7"/>
    <x v="10"/>
    <s v="NO3_A1"/>
    <x v="0"/>
    <x v="0"/>
    <s v="GWND_WIND"/>
    <x v="9"/>
    <x v="8"/>
    <n v="54.0394248942914"/>
    <n v="3287.3983477360598"/>
    <n v="11834.6340518498"/>
  </r>
  <r>
    <x v="0"/>
    <x v="0"/>
    <x v="0"/>
    <x v="7"/>
    <x v="10"/>
    <s v="NO3_A1"/>
    <x v="0"/>
    <x v="0"/>
    <s v="GWND_WIND"/>
    <x v="9"/>
    <x v="9"/>
    <n v="61.6786369131679"/>
    <n v="3752.1170788843801"/>
    <n v="13507.621483983799"/>
  </r>
  <r>
    <x v="0"/>
    <x v="0"/>
    <x v="0"/>
    <x v="7"/>
    <x v="10"/>
    <s v="NO3_A1"/>
    <x v="0"/>
    <x v="0"/>
    <s v="GWND_WIND"/>
    <x v="9"/>
    <x v="10"/>
    <n v="56.517152955436501"/>
    <n v="3438.1268047890499"/>
    <n v="12377.2564972406"/>
  </r>
  <r>
    <x v="0"/>
    <x v="0"/>
    <x v="0"/>
    <x v="7"/>
    <x v="10"/>
    <s v="NO3_A1"/>
    <x v="0"/>
    <x v="0"/>
    <s v="GWND_WIND"/>
    <x v="9"/>
    <x v="11"/>
    <n v="48.557725823424803"/>
    <n v="2953.9283209250102"/>
    <n v="10634.14195533"/>
  </r>
  <r>
    <x v="0"/>
    <x v="0"/>
    <x v="0"/>
    <x v="7"/>
    <x v="10"/>
    <s v="NO3_A1"/>
    <x v="0"/>
    <x v="0"/>
    <s v="GWND_WIND"/>
    <x v="10"/>
    <x v="0"/>
    <n v="193.23146550850601"/>
    <n v="11754.9141517675"/>
    <n v="42317.690946362804"/>
  </r>
  <r>
    <x v="0"/>
    <x v="0"/>
    <x v="0"/>
    <x v="7"/>
    <x v="10"/>
    <s v="NO3_A1"/>
    <x v="0"/>
    <x v="0"/>
    <s v="GWND_WIND"/>
    <x v="10"/>
    <x v="1"/>
    <n v="193.45155298626099"/>
    <n v="11768.3028066642"/>
    <n v="42365.890103991202"/>
  </r>
  <r>
    <x v="0"/>
    <x v="0"/>
    <x v="0"/>
    <x v="7"/>
    <x v="10"/>
    <s v="NO3_A1"/>
    <x v="0"/>
    <x v="0"/>
    <s v="GWND_WIND"/>
    <x v="10"/>
    <x v="2"/>
    <n v="192.058269470759"/>
    <n v="11683.544726137799"/>
    <n v="42060.761014096199"/>
  </r>
  <r>
    <x v="0"/>
    <x v="0"/>
    <x v="0"/>
    <x v="7"/>
    <x v="10"/>
    <s v="NO3_A1"/>
    <x v="0"/>
    <x v="0"/>
    <s v="GWND_WIND"/>
    <x v="10"/>
    <x v="3"/>
    <n v="181.149000951933"/>
    <n v="11019.8975579092"/>
    <n v="39671.6312084733"/>
  </r>
  <r>
    <x v="0"/>
    <x v="0"/>
    <x v="0"/>
    <x v="7"/>
    <x v="10"/>
    <s v="NO3_A1"/>
    <x v="0"/>
    <x v="0"/>
    <s v="GWND_WIND"/>
    <x v="10"/>
    <x v="4"/>
    <n v="183.96695883818001"/>
    <n v="11191.3233293226"/>
    <n v="40288.763985561302"/>
  </r>
  <r>
    <x v="0"/>
    <x v="0"/>
    <x v="0"/>
    <x v="7"/>
    <x v="10"/>
    <s v="NO3_A1"/>
    <x v="0"/>
    <x v="0"/>
    <s v="GWND_WIND"/>
    <x v="10"/>
    <x v="5"/>
    <n v="182.21677671010201"/>
    <n v="11084.8539165312"/>
    <n v="39905.474099512299"/>
  </r>
  <r>
    <x v="0"/>
    <x v="0"/>
    <x v="0"/>
    <x v="7"/>
    <x v="10"/>
    <s v="NO3_A1"/>
    <x v="0"/>
    <x v="0"/>
    <s v="GWND_WIND"/>
    <x v="10"/>
    <x v="6"/>
    <n v="189.34990920012399"/>
    <n v="11518.786143007501"/>
    <n v="41467.630114827101"/>
  </r>
  <r>
    <x v="0"/>
    <x v="0"/>
    <x v="0"/>
    <x v="7"/>
    <x v="10"/>
    <s v="NO3_A1"/>
    <x v="0"/>
    <x v="0"/>
    <s v="GWND_WIND"/>
    <x v="10"/>
    <x v="7"/>
    <n v="184.79434175055999"/>
    <n v="11241.6557898257"/>
    <n v="40469.960843372697"/>
  </r>
  <r>
    <x v="0"/>
    <x v="0"/>
    <x v="0"/>
    <x v="7"/>
    <x v="10"/>
    <s v="NO3_A1"/>
    <x v="0"/>
    <x v="0"/>
    <s v="GWND_WIND"/>
    <x v="10"/>
    <x v="8"/>
    <n v="183.04483556682399"/>
    <n v="11135.227496981801"/>
    <n v="40086.818989134503"/>
  </r>
  <r>
    <x v="0"/>
    <x v="0"/>
    <x v="0"/>
    <x v="7"/>
    <x v="10"/>
    <s v="NO3_A1"/>
    <x v="0"/>
    <x v="0"/>
    <s v="GWND_WIND"/>
    <x v="10"/>
    <x v="9"/>
    <n v="176.54642833282699"/>
    <n v="10739.9077235803"/>
    <n v="38663.667804889003"/>
  </r>
  <r>
    <x v="0"/>
    <x v="0"/>
    <x v="0"/>
    <x v="7"/>
    <x v="10"/>
    <s v="NO3_A1"/>
    <x v="0"/>
    <x v="0"/>
    <s v="GWND_WIND"/>
    <x v="10"/>
    <x v="10"/>
    <n v="184.53699622067401"/>
    <n v="11226.0006034244"/>
    <n v="40413.602172327701"/>
  </r>
  <r>
    <x v="0"/>
    <x v="0"/>
    <x v="0"/>
    <x v="7"/>
    <x v="10"/>
    <s v="NO3_A1"/>
    <x v="0"/>
    <x v="0"/>
    <s v="GWND_WIND"/>
    <x v="10"/>
    <x v="11"/>
    <n v="191.462978807647"/>
    <n v="11647.3312107985"/>
    <n v="41930.392358874698"/>
  </r>
  <r>
    <x v="0"/>
    <x v="0"/>
    <x v="0"/>
    <x v="7"/>
    <x v="10"/>
    <s v="NO3_A1"/>
    <x v="0"/>
    <x v="0"/>
    <s v="GWND_WIND"/>
    <x v="11"/>
    <x v="0"/>
    <n v="143.41155557471001"/>
    <n v="8724.2029641281806"/>
    <n v="31407.130670861399"/>
  </r>
  <r>
    <x v="0"/>
    <x v="0"/>
    <x v="0"/>
    <x v="7"/>
    <x v="10"/>
    <s v="NO3_A1"/>
    <x v="0"/>
    <x v="0"/>
    <s v="GWND_WIND"/>
    <x v="11"/>
    <x v="1"/>
    <n v="154.716021712529"/>
    <n v="9411.8913208455197"/>
    <n v="33882.808755043901"/>
  </r>
  <r>
    <x v="0"/>
    <x v="0"/>
    <x v="0"/>
    <x v="7"/>
    <x v="10"/>
    <s v="NO3_A1"/>
    <x v="0"/>
    <x v="0"/>
    <s v="GWND_WIND"/>
    <x v="11"/>
    <x v="2"/>
    <n v="137.8253757869"/>
    <n v="8384.3770270364403"/>
    <n v="30183.757297331202"/>
  </r>
  <r>
    <x v="0"/>
    <x v="0"/>
    <x v="0"/>
    <x v="7"/>
    <x v="10"/>
    <s v="NO3_A1"/>
    <x v="0"/>
    <x v="0"/>
    <s v="GWND_WIND"/>
    <x v="11"/>
    <x v="3"/>
    <n v="133.76065208072299"/>
    <n v="8137.1063349106498"/>
    <n v="29293.582805678299"/>
  </r>
  <r>
    <x v="0"/>
    <x v="0"/>
    <x v="0"/>
    <x v="7"/>
    <x v="10"/>
    <s v="NO3_A1"/>
    <x v="0"/>
    <x v="0"/>
    <s v="GWND_WIND"/>
    <x v="11"/>
    <x v="4"/>
    <n v="165.24922183723999"/>
    <n v="10052.6609950988"/>
    <n v="36189.579582355698"/>
  </r>
  <r>
    <x v="0"/>
    <x v="0"/>
    <x v="0"/>
    <x v="7"/>
    <x v="10"/>
    <s v="NO3_A1"/>
    <x v="0"/>
    <x v="0"/>
    <s v="GWND_WIND"/>
    <x v="11"/>
    <x v="5"/>
    <n v="160.29799712653099"/>
    <n v="9751.46149186398"/>
    <n v="35105.261370710301"/>
  </r>
  <r>
    <x v="0"/>
    <x v="0"/>
    <x v="0"/>
    <x v="7"/>
    <x v="10"/>
    <s v="NO3_A1"/>
    <x v="0"/>
    <x v="0"/>
    <s v="GWND_WIND"/>
    <x v="11"/>
    <x v="6"/>
    <n v="145.61197071010599"/>
    <n v="8858.0615515314694"/>
    <n v="31889.021585513299"/>
  </r>
  <r>
    <x v="0"/>
    <x v="0"/>
    <x v="0"/>
    <x v="7"/>
    <x v="10"/>
    <s v="NO3_A1"/>
    <x v="0"/>
    <x v="0"/>
    <s v="GWND_WIND"/>
    <x v="11"/>
    <x v="7"/>
    <n v="133.257195215915"/>
    <n v="8106.4793756348399"/>
    <n v="29183.3257522854"/>
  </r>
  <r>
    <x v="0"/>
    <x v="0"/>
    <x v="0"/>
    <x v="7"/>
    <x v="10"/>
    <s v="NO3_A1"/>
    <x v="0"/>
    <x v="0"/>
    <s v="GWND_WIND"/>
    <x v="11"/>
    <x v="8"/>
    <n v="123.50353466305801"/>
    <n v="7513.1316920026702"/>
    <n v="27047.274091209601"/>
  </r>
  <r>
    <x v="0"/>
    <x v="0"/>
    <x v="0"/>
    <x v="7"/>
    <x v="10"/>
    <s v="NO3_A1"/>
    <x v="0"/>
    <x v="0"/>
    <s v="GWND_WIND"/>
    <x v="11"/>
    <x v="9"/>
    <n v="89.352014576800499"/>
    <n v="5435.5808867553596"/>
    <n v="19568.091192319302"/>
  </r>
  <r>
    <x v="0"/>
    <x v="0"/>
    <x v="0"/>
    <x v="7"/>
    <x v="10"/>
    <s v="NO3_A1"/>
    <x v="0"/>
    <x v="0"/>
    <s v="GWND_WIND"/>
    <x v="11"/>
    <x v="10"/>
    <n v="41.464845818969103"/>
    <n v="2522.44478732062"/>
    <n v="9080.8012343542196"/>
  </r>
  <r>
    <x v="0"/>
    <x v="0"/>
    <x v="0"/>
    <x v="7"/>
    <x v="10"/>
    <s v="NO3_A1"/>
    <x v="0"/>
    <x v="0"/>
    <s v="GWND_WIND"/>
    <x v="11"/>
    <x v="11"/>
    <n v="35.554253303660502"/>
    <n v="2162.8837426393502"/>
    <n v="7786.3814735016604"/>
  </r>
  <r>
    <x v="0"/>
    <x v="0"/>
    <x v="0"/>
    <x v="7"/>
    <x v="10"/>
    <s v="NO3_A2"/>
    <x v="1"/>
    <x v="1"/>
    <s v="SolarPV-50"/>
    <x v="0"/>
    <x v="0"/>
    <n v="2914.7450202976402"/>
    <n v="177313.65540143999"/>
    <n v="638329.15944518405"/>
  </r>
  <r>
    <x v="0"/>
    <x v="0"/>
    <x v="0"/>
    <x v="7"/>
    <x v="10"/>
    <s v="NO3_A2"/>
    <x v="1"/>
    <x v="1"/>
    <s v="SolarPV-50"/>
    <x v="0"/>
    <x v="1"/>
    <n v="2875.2905501214"/>
    <n v="174913.508465719"/>
    <n v="629688.63047658803"/>
  </r>
  <r>
    <x v="0"/>
    <x v="0"/>
    <x v="0"/>
    <x v="7"/>
    <x v="10"/>
    <s v="NO3_A2"/>
    <x v="1"/>
    <x v="1"/>
    <s v="SolarPV-50"/>
    <x v="0"/>
    <x v="2"/>
    <n v="2861.8521747446198"/>
    <n v="174096.00729696499"/>
    <n v="626745.62626907194"/>
  </r>
  <r>
    <x v="0"/>
    <x v="0"/>
    <x v="0"/>
    <x v="7"/>
    <x v="10"/>
    <s v="NO3_A2"/>
    <x v="1"/>
    <x v="1"/>
    <s v="SolarPV-50"/>
    <x v="0"/>
    <x v="3"/>
    <n v="2861.6471849552699"/>
    <n v="174083.537084779"/>
    <n v="626700.73350520397"/>
  </r>
  <r>
    <x v="0"/>
    <x v="0"/>
    <x v="0"/>
    <x v="7"/>
    <x v="10"/>
    <s v="NO3_A2"/>
    <x v="1"/>
    <x v="1"/>
    <s v="SolarPV-50"/>
    <x v="0"/>
    <x v="4"/>
    <n v="2890.1631921170201"/>
    <n v="175818.26085378599"/>
    <n v="632945.73907362903"/>
  </r>
  <r>
    <x v="0"/>
    <x v="0"/>
    <x v="0"/>
    <x v="7"/>
    <x v="10"/>
    <s v="NO3_A2"/>
    <x v="1"/>
    <x v="1"/>
    <s v="SolarPV-50"/>
    <x v="0"/>
    <x v="5"/>
    <n v="2962.9523229244101"/>
    <n v="180246.266311235"/>
    <n v="648886.55872044503"/>
  </r>
  <r>
    <x v="0"/>
    <x v="0"/>
    <x v="0"/>
    <x v="7"/>
    <x v="10"/>
    <s v="NO3_A2"/>
    <x v="1"/>
    <x v="1"/>
    <s v="SolarPV-50"/>
    <x v="0"/>
    <x v="6"/>
    <n v="3146.2532230473898"/>
    <n v="191397.071068716"/>
    <n v="689029.45584737905"/>
  </r>
  <r>
    <x v="0"/>
    <x v="0"/>
    <x v="0"/>
    <x v="7"/>
    <x v="10"/>
    <s v="NO3_A2"/>
    <x v="1"/>
    <x v="1"/>
    <s v="SolarPV-50"/>
    <x v="0"/>
    <x v="7"/>
    <n v="3313.0394420180401"/>
    <n v="201543.23272276399"/>
    <n v="725555.63780195103"/>
  </r>
  <r>
    <x v="0"/>
    <x v="0"/>
    <x v="0"/>
    <x v="7"/>
    <x v="10"/>
    <s v="NO3_A2"/>
    <x v="1"/>
    <x v="1"/>
    <s v="SolarPV-50"/>
    <x v="0"/>
    <x v="8"/>
    <n v="3446.1529492987402"/>
    <n v="209640.97108233999"/>
    <n v="754707.49589642405"/>
  </r>
  <r>
    <x v="0"/>
    <x v="0"/>
    <x v="0"/>
    <x v="7"/>
    <x v="10"/>
    <s v="NO3_A2"/>
    <x v="1"/>
    <x v="1"/>
    <s v="SolarPV-50"/>
    <x v="0"/>
    <x v="9"/>
    <n v="3636.8899880085401"/>
    <n v="221244.14093718599"/>
    <n v="796478.90737387096"/>
  </r>
  <r>
    <x v="0"/>
    <x v="0"/>
    <x v="0"/>
    <x v="7"/>
    <x v="10"/>
    <s v="NO3_A2"/>
    <x v="1"/>
    <x v="1"/>
    <s v="SolarPV-50"/>
    <x v="0"/>
    <x v="10"/>
    <n v="3638.7729231829699"/>
    <n v="221358.68616029801"/>
    <n v="796891.27017707098"/>
  </r>
  <r>
    <x v="0"/>
    <x v="0"/>
    <x v="0"/>
    <x v="7"/>
    <x v="10"/>
    <s v="NO3_A2"/>
    <x v="1"/>
    <x v="1"/>
    <s v="SolarPV-50"/>
    <x v="0"/>
    <x v="11"/>
    <n v="3602.20437668981"/>
    <n v="219134.099581963"/>
    <n v="788882.75849506899"/>
  </r>
  <r>
    <x v="0"/>
    <x v="0"/>
    <x v="0"/>
    <x v="7"/>
    <x v="10"/>
    <s v="NO3_A2"/>
    <x v="1"/>
    <x v="1"/>
    <s v="SolarPV-50"/>
    <x v="1"/>
    <x v="0"/>
    <n v="3433.2014517493599"/>
    <n v="208853.088314753"/>
    <n v="751871.11793310998"/>
  </r>
  <r>
    <x v="0"/>
    <x v="0"/>
    <x v="0"/>
    <x v="7"/>
    <x v="10"/>
    <s v="NO3_A2"/>
    <x v="1"/>
    <x v="1"/>
    <s v="SolarPV-50"/>
    <x v="1"/>
    <x v="1"/>
    <n v="3365.74147139461"/>
    <n v="204749.27284317199"/>
    <n v="737097.38223541901"/>
  </r>
  <r>
    <x v="0"/>
    <x v="0"/>
    <x v="0"/>
    <x v="7"/>
    <x v="10"/>
    <s v="NO3_A2"/>
    <x v="1"/>
    <x v="1"/>
    <s v="SolarPV-50"/>
    <x v="1"/>
    <x v="2"/>
    <n v="3327.6349480942399"/>
    <n v="202431.126009067"/>
    <n v="728752.05363264005"/>
  </r>
  <r>
    <x v="0"/>
    <x v="0"/>
    <x v="0"/>
    <x v="7"/>
    <x v="10"/>
    <s v="NO3_A2"/>
    <x v="1"/>
    <x v="1"/>
    <s v="SolarPV-50"/>
    <x v="1"/>
    <x v="3"/>
    <n v="3291.2859118240999"/>
    <n v="200219.89296930001"/>
    <n v="720791.614689479"/>
  </r>
  <r>
    <x v="0"/>
    <x v="0"/>
    <x v="0"/>
    <x v="7"/>
    <x v="10"/>
    <s v="NO3_A2"/>
    <x v="1"/>
    <x v="1"/>
    <s v="SolarPV-50"/>
    <x v="1"/>
    <x v="4"/>
    <n v="3321.5952999183501"/>
    <n v="202063.714078366"/>
    <n v="727429.37068211904"/>
  </r>
  <r>
    <x v="0"/>
    <x v="0"/>
    <x v="0"/>
    <x v="7"/>
    <x v="10"/>
    <s v="NO3_A2"/>
    <x v="1"/>
    <x v="1"/>
    <s v="SolarPV-50"/>
    <x v="1"/>
    <x v="5"/>
    <n v="3417.1866068498398"/>
    <n v="207878.851916699"/>
    <n v="748363.86690011504"/>
  </r>
  <r>
    <x v="0"/>
    <x v="0"/>
    <x v="0"/>
    <x v="7"/>
    <x v="10"/>
    <s v="NO3_A2"/>
    <x v="1"/>
    <x v="1"/>
    <s v="SolarPV-50"/>
    <x v="1"/>
    <x v="6"/>
    <n v="3644.7444773986299"/>
    <n v="221721.95570841699"/>
    <n v="798199.04055030004"/>
  </r>
  <r>
    <x v="0"/>
    <x v="0"/>
    <x v="0"/>
    <x v="7"/>
    <x v="10"/>
    <s v="NO3_A2"/>
    <x v="1"/>
    <x v="1"/>
    <s v="SolarPV-50"/>
    <x v="1"/>
    <x v="7"/>
    <n v="3967.8642164729499"/>
    <n v="241378.406502105"/>
    <n v="868962.26340757601"/>
  </r>
  <r>
    <x v="0"/>
    <x v="0"/>
    <x v="0"/>
    <x v="7"/>
    <x v="10"/>
    <s v="NO3_A2"/>
    <x v="1"/>
    <x v="1"/>
    <s v="SolarPV-50"/>
    <x v="1"/>
    <x v="8"/>
    <n v="4108.7702007600301"/>
    <n v="249950.187212902"/>
    <n v="899820.67396644701"/>
  </r>
  <r>
    <x v="0"/>
    <x v="0"/>
    <x v="0"/>
    <x v="7"/>
    <x v="10"/>
    <s v="NO3_A2"/>
    <x v="1"/>
    <x v="1"/>
    <s v="SolarPV-50"/>
    <x v="1"/>
    <x v="9"/>
    <n v="4018.8611198508002"/>
    <n v="244480.71812425699"/>
    <n v="880130.58524732501"/>
  </r>
  <r>
    <x v="0"/>
    <x v="0"/>
    <x v="0"/>
    <x v="7"/>
    <x v="10"/>
    <s v="NO3_A2"/>
    <x v="1"/>
    <x v="1"/>
    <s v="SolarPV-50"/>
    <x v="1"/>
    <x v="10"/>
    <n v="3978.5906449023801"/>
    <n v="242030.93089822799"/>
    <n v="871311.35123361996"/>
  </r>
  <r>
    <x v="0"/>
    <x v="0"/>
    <x v="0"/>
    <x v="7"/>
    <x v="10"/>
    <s v="NO3_A2"/>
    <x v="1"/>
    <x v="1"/>
    <s v="SolarPV-50"/>
    <x v="1"/>
    <x v="11"/>
    <n v="3962.16491147426"/>
    <n v="241031.69878135101"/>
    <n v="867714.11561286298"/>
  </r>
  <r>
    <x v="0"/>
    <x v="0"/>
    <x v="0"/>
    <x v="7"/>
    <x v="10"/>
    <s v="NO3_A2"/>
    <x v="1"/>
    <x v="1"/>
    <s v="SolarPV-50"/>
    <x v="2"/>
    <x v="0"/>
    <n v="3047.2409002557301"/>
    <n v="185373.82143222299"/>
    <n v="667345.75715600397"/>
  </r>
  <r>
    <x v="0"/>
    <x v="0"/>
    <x v="0"/>
    <x v="7"/>
    <x v="10"/>
    <s v="NO3_A2"/>
    <x v="1"/>
    <x v="1"/>
    <s v="SolarPV-50"/>
    <x v="2"/>
    <x v="1"/>
    <n v="2982.2491618643899"/>
    <n v="181420.15734675099"/>
    <n v="653112.56644830201"/>
  </r>
  <r>
    <x v="0"/>
    <x v="0"/>
    <x v="0"/>
    <x v="7"/>
    <x v="10"/>
    <s v="NO3_A2"/>
    <x v="1"/>
    <x v="1"/>
    <s v="SolarPV-50"/>
    <x v="2"/>
    <x v="2"/>
    <n v="2950.0012742926601"/>
    <n v="179458.41085280399"/>
    <n v="646050.27907009295"/>
  </r>
  <r>
    <x v="0"/>
    <x v="0"/>
    <x v="0"/>
    <x v="7"/>
    <x v="10"/>
    <s v="NO3_A2"/>
    <x v="1"/>
    <x v="1"/>
    <s v="SolarPV-50"/>
    <x v="2"/>
    <x v="3"/>
    <n v="2993.0216030472002"/>
    <n v="182075.48085203799"/>
    <n v="655471.73106733698"/>
  </r>
  <r>
    <x v="0"/>
    <x v="0"/>
    <x v="0"/>
    <x v="7"/>
    <x v="10"/>
    <s v="NO3_A2"/>
    <x v="1"/>
    <x v="1"/>
    <s v="SolarPV-50"/>
    <x v="2"/>
    <x v="4"/>
    <n v="3012.94978772586"/>
    <n v="183287.77875332299"/>
    <n v="659836.00351196399"/>
  </r>
  <r>
    <x v="0"/>
    <x v="0"/>
    <x v="0"/>
    <x v="7"/>
    <x v="10"/>
    <s v="NO3_A2"/>
    <x v="1"/>
    <x v="1"/>
    <s v="SolarPV-50"/>
    <x v="2"/>
    <x v="5"/>
    <n v="3094.2075688037098"/>
    <n v="188230.96043555901"/>
    <n v="677631.45756801404"/>
  </r>
  <r>
    <x v="0"/>
    <x v="0"/>
    <x v="0"/>
    <x v="7"/>
    <x v="10"/>
    <s v="NO3_A2"/>
    <x v="1"/>
    <x v="1"/>
    <s v="SolarPV-50"/>
    <x v="2"/>
    <x v="6"/>
    <n v="3223.4571588081699"/>
    <n v="196093.643827497"/>
    <n v="705937.11777898797"/>
  </r>
  <r>
    <x v="0"/>
    <x v="0"/>
    <x v="0"/>
    <x v="7"/>
    <x v="10"/>
    <s v="NO3_A2"/>
    <x v="1"/>
    <x v="1"/>
    <s v="SolarPV-50"/>
    <x v="2"/>
    <x v="7"/>
    <n v="3584.5666301717802"/>
    <n v="218061.136668783"/>
    <n v="785020.09200761898"/>
  </r>
  <r>
    <x v="0"/>
    <x v="0"/>
    <x v="0"/>
    <x v="7"/>
    <x v="10"/>
    <s v="NO3_A2"/>
    <x v="1"/>
    <x v="1"/>
    <s v="SolarPV-50"/>
    <x v="2"/>
    <x v="8"/>
    <n v="3736.8732295523901"/>
    <n v="227326.454797771"/>
    <n v="818375.23727197398"/>
  </r>
  <r>
    <x v="0"/>
    <x v="0"/>
    <x v="0"/>
    <x v="7"/>
    <x v="10"/>
    <s v="NO3_A2"/>
    <x v="1"/>
    <x v="1"/>
    <s v="SolarPV-50"/>
    <x v="2"/>
    <x v="9"/>
    <n v="3747.7371798938598"/>
    <n v="227987.34511021001"/>
    <n v="820754.44239675498"/>
  </r>
  <r>
    <x v="0"/>
    <x v="0"/>
    <x v="0"/>
    <x v="7"/>
    <x v="10"/>
    <s v="NO3_A2"/>
    <x v="1"/>
    <x v="1"/>
    <s v="SolarPV-50"/>
    <x v="2"/>
    <x v="10"/>
    <n v="3682.2397310237802"/>
    <n v="224002.91697061301"/>
    <n v="806410.50109420798"/>
  </r>
  <r>
    <x v="0"/>
    <x v="0"/>
    <x v="0"/>
    <x v="7"/>
    <x v="10"/>
    <s v="NO3_A2"/>
    <x v="1"/>
    <x v="1"/>
    <s v="SolarPV-50"/>
    <x v="2"/>
    <x v="11"/>
    <n v="3701.8429721325801"/>
    <n v="225195.44747139901"/>
    <n v="810703.61089703604"/>
  </r>
  <r>
    <x v="0"/>
    <x v="0"/>
    <x v="0"/>
    <x v="7"/>
    <x v="10"/>
    <s v="NO3_A2"/>
    <x v="1"/>
    <x v="1"/>
    <s v="SolarPV-50"/>
    <x v="3"/>
    <x v="0"/>
    <n v="3592.9383526571801"/>
    <n v="218570.41645331201"/>
    <n v="786853.49923192197"/>
  </r>
  <r>
    <x v="0"/>
    <x v="0"/>
    <x v="0"/>
    <x v="7"/>
    <x v="10"/>
    <s v="NO3_A2"/>
    <x v="1"/>
    <x v="1"/>
    <s v="SolarPV-50"/>
    <x v="3"/>
    <x v="1"/>
    <n v="3556.4291633524499"/>
    <n v="216349.44077060701"/>
    <n v="778857.98677418602"/>
  </r>
  <r>
    <x v="0"/>
    <x v="0"/>
    <x v="0"/>
    <x v="7"/>
    <x v="10"/>
    <s v="NO3_A2"/>
    <x v="1"/>
    <x v="1"/>
    <s v="SolarPV-50"/>
    <x v="3"/>
    <x v="2"/>
    <n v="3562.79348573887"/>
    <n v="216736.60371578101"/>
    <n v="780251.77337681304"/>
  </r>
  <r>
    <x v="0"/>
    <x v="0"/>
    <x v="0"/>
    <x v="7"/>
    <x v="10"/>
    <s v="NO3_A2"/>
    <x v="1"/>
    <x v="1"/>
    <s v="SolarPV-50"/>
    <x v="3"/>
    <x v="3"/>
    <n v="3560.1461532875301"/>
    <n v="216575.55765832501"/>
    <n v="779672.00756996905"/>
  </r>
  <r>
    <x v="0"/>
    <x v="0"/>
    <x v="0"/>
    <x v="7"/>
    <x v="10"/>
    <s v="NO3_A2"/>
    <x v="1"/>
    <x v="1"/>
    <s v="SolarPV-50"/>
    <x v="3"/>
    <x v="4"/>
    <n v="3627.9372709488498"/>
    <n v="220699.51731605499"/>
    <n v="794518.26233779802"/>
  </r>
  <r>
    <x v="0"/>
    <x v="0"/>
    <x v="0"/>
    <x v="7"/>
    <x v="10"/>
    <s v="NO3_A2"/>
    <x v="1"/>
    <x v="1"/>
    <s v="SolarPV-50"/>
    <x v="3"/>
    <x v="5"/>
    <n v="3696.16214464418"/>
    <n v="224849.863799188"/>
    <n v="809459.50967707695"/>
  </r>
  <r>
    <x v="0"/>
    <x v="0"/>
    <x v="0"/>
    <x v="7"/>
    <x v="10"/>
    <s v="NO3_A2"/>
    <x v="1"/>
    <x v="1"/>
    <s v="SolarPV-50"/>
    <x v="3"/>
    <x v="6"/>
    <n v="3911.3710306338298"/>
    <n v="237941.73769689101"/>
    <n v="856590.25570880796"/>
  </r>
  <r>
    <x v="0"/>
    <x v="0"/>
    <x v="0"/>
    <x v="7"/>
    <x v="10"/>
    <s v="NO3_A2"/>
    <x v="1"/>
    <x v="1"/>
    <s v="SolarPV-50"/>
    <x v="3"/>
    <x v="7"/>
    <n v="4247.6304514047797"/>
    <n v="258397.51912712399"/>
    <n v="930231.06885764701"/>
  </r>
  <r>
    <x v="0"/>
    <x v="0"/>
    <x v="0"/>
    <x v="7"/>
    <x v="10"/>
    <s v="NO3_A2"/>
    <x v="1"/>
    <x v="1"/>
    <s v="SolarPV-50"/>
    <x v="3"/>
    <x v="8"/>
    <n v="4350.6559053189903"/>
    <n v="264664.90090690501"/>
    <n v="952793.64326485898"/>
  </r>
  <r>
    <x v="0"/>
    <x v="0"/>
    <x v="0"/>
    <x v="7"/>
    <x v="10"/>
    <s v="NO3_A2"/>
    <x v="1"/>
    <x v="1"/>
    <s v="SolarPV-50"/>
    <x v="3"/>
    <x v="9"/>
    <n v="4332.5004753702297"/>
    <n v="263560.44558502198"/>
    <n v="948817.60410608002"/>
  </r>
  <r>
    <x v="0"/>
    <x v="0"/>
    <x v="0"/>
    <x v="7"/>
    <x v="10"/>
    <s v="NO3_A2"/>
    <x v="1"/>
    <x v="1"/>
    <s v="SolarPV-50"/>
    <x v="3"/>
    <x v="10"/>
    <n v="4320.5143271220404"/>
    <n v="262831.288233258"/>
    <n v="946192.63763972698"/>
  </r>
  <r>
    <x v="0"/>
    <x v="0"/>
    <x v="0"/>
    <x v="7"/>
    <x v="10"/>
    <s v="NO3_A2"/>
    <x v="1"/>
    <x v="1"/>
    <s v="SolarPV-50"/>
    <x v="3"/>
    <x v="11"/>
    <n v="4287.0872561964898"/>
    <n v="260797.808085286"/>
    <n v="938872.10910703102"/>
  </r>
  <r>
    <x v="0"/>
    <x v="0"/>
    <x v="0"/>
    <x v="7"/>
    <x v="11"/>
    <s v="NO4_A1"/>
    <x v="7"/>
    <x v="6"/>
    <s v="GHYRR_WATER"/>
    <x v="0"/>
    <x v="0"/>
    <n v="860.03175827987104"/>
    <n v="52318.598628692103"/>
    <n v="188346.955063292"/>
  </r>
  <r>
    <x v="0"/>
    <x v="0"/>
    <x v="0"/>
    <x v="7"/>
    <x v="11"/>
    <s v="NO4_A1"/>
    <x v="7"/>
    <x v="6"/>
    <s v="GHYRR_WATER"/>
    <x v="0"/>
    <x v="1"/>
    <n v="860.03175827987104"/>
    <n v="52318.598628692103"/>
    <n v="188346.955063292"/>
  </r>
  <r>
    <x v="0"/>
    <x v="0"/>
    <x v="0"/>
    <x v="7"/>
    <x v="11"/>
    <s v="NO4_A1"/>
    <x v="7"/>
    <x v="6"/>
    <s v="GHYRR_WATER"/>
    <x v="0"/>
    <x v="2"/>
    <n v="860.03175827987104"/>
    <n v="52318.598628692103"/>
    <n v="188346.955063292"/>
  </r>
  <r>
    <x v="0"/>
    <x v="0"/>
    <x v="0"/>
    <x v="7"/>
    <x v="11"/>
    <s v="NO4_A1"/>
    <x v="7"/>
    <x v="6"/>
    <s v="GHYRR_WATER"/>
    <x v="0"/>
    <x v="3"/>
    <n v="860.03175827987104"/>
    <n v="52318.598628692103"/>
    <n v="188346.955063292"/>
  </r>
  <r>
    <x v="0"/>
    <x v="0"/>
    <x v="0"/>
    <x v="7"/>
    <x v="11"/>
    <s v="NO4_A1"/>
    <x v="7"/>
    <x v="6"/>
    <s v="GHYRR_WATER"/>
    <x v="0"/>
    <x v="4"/>
    <n v="860.03175827987104"/>
    <n v="52318.598628692103"/>
    <n v="188346.955063292"/>
  </r>
  <r>
    <x v="0"/>
    <x v="0"/>
    <x v="0"/>
    <x v="7"/>
    <x v="11"/>
    <s v="NO4_A1"/>
    <x v="7"/>
    <x v="6"/>
    <s v="GHYRR_WATER"/>
    <x v="0"/>
    <x v="5"/>
    <n v="860.03175827987104"/>
    <n v="52318.598628692103"/>
    <n v="188346.955063292"/>
  </r>
  <r>
    <x v="0"/>
    <x v="0"/>
    <x v="0"/>
    <x v="7"/>
    <x v="11"/>
    <s v="NO4_A1"/>
    <x v="7"/>
    <x v="6"/>
    <s v="GHYRR_WATER"/>
    <x v="0"/>
    <x v="6"/>
    <n v="860.03175827987104"/>
    <n v="52318.598628692103"/>
    <n v="188346.955063292"/>
  </r>
  <r>
    <x v="0"/>
    <x v="0"/>
    <x v="0"/>
    <x v="7"/>
    <x v="11"/>
    <s v="NO4_A1"/>
    <x v="7"/>
    <x v="6"/>
    <s v="GHYRR_WATER"/>
    <x v="0"/>
    <x v="7"/>
    <n v="860.03175827987104"/>
    <n v="52318.598628692103"/>
    <n v="188346.955063292"/>
  </r>
  <r>
    <x v="0"/>
    <x v="0"/>
    <x v="0"/>
    <x v="7"/>
    <x v="11"/>
    <s v="NO4_A1"/>
    <x v="7"/>
    <x v="6"/>
    <s v="GHYRR_WATER"/>
    <x v="0"/>
    <x v="8"/>
    <n v="860.03175827987104"/>
    <n v="52318.598628692103"/>
    <n v="188346.955063292"/>
  </r>
  <r>
    <x v="0"/>
    <x v="0"/>
    <x v="0"/>
    <x v="7"/>
    <x v="11"/>
    <s v="NO4_A1"/>
    <x v="7"/>
    <x v="6"/>
    <s v="GHYRR_WATER"/>
    <x v="0"/>
    <x v="9"/>
    <n v="860.03175827987104"/>
    <n v="52318.598628692103"/>
    <n v="188346.955063292"/>
  </r>
  <r>
    <x v="0"/>
    <x v="0"/>
    <x v="0"/>
    <x v="7"/>
    <x v="11"/>
    <s v="NO4_A1"/>
    <x v="7"/>
    <x v="6"/>
    <s v="GHYRR_WATER"/>
    <x v="0"/>
    <x v="10"/>
    <n v="860.03175827987104"/>
    <n v="52318.598628692103"/>
    <n v="188346.955063292"/>
  </r>
  <r>
    <x v="0"/>
    <x v="0"/>
    <x v="0"/>
    <x v="7"/>
    <x v="11"/>
    <s v="NO4_A1"/>
    <x v="7"/>
    <x v="6"/>
    <s v="GHYRR_WATER"/>
    <x v="0"/>
    <x v="11"/>
    <n v="860.03175827987104"/>
    <n v="52318.598628692103"/>
    <n v="188346.955063292"/>
  </r>
  <r>
    <x v="0"/>
    <x v="0"/>
    <x v="0"/>
    <x v="7"/>
    <x v="11"/>
    <s v="NO4_A1"/>
    <x v="7"/>
    <x v="6"/>
    <s v="GHYRR_WATER"/>
    <x v="1"/>
    <x v="0"/>
    <n v="728.87981673381796"/>
    <n v="44340.188851307299"/>
    <n v="159624.67986470601"/>
  </r>
  <r>
    <x v="0"/>
    <x v="0"/>
    <x v="0"/>
    <x v="7"/>
    <x v="11"/>
    <s v="NO4_A1"/>
    <x v="7"/>
    <x v="6"/>
    <s v="GHYRR_WATER"/>
    <x v="1"/>
    <x v="1"/>
    <n v="728.87981673381796"/>
    <n v="44340.188851307299"/>
    <n v="159624.67986470601"/>
  </r>
  <r>
    <x v="0"/>
    <x v="0"/>
    <x v="0"/>
    <x v="7"/>
    <x v="11"/>
    <s v="NO4_A1"/>
    <x v="7"/>
    <x v="6"/>
    <s v="GHYRR_WATER"/>
    <x v="1"/>
    <x v="2"/>
    <n v="728.87981673381796"/>
    <n v="44340.188851307299"/>
    <n v="159624.67986470601"/>
  </r>
  <r>
    <x v="0"/>
    <x v="0"/>
    <x v="0"/>
    <x v="7"/>
    <x v="11"/>
    <s v="NO4_A1"/>
    <x v="7"/>
    <x v="6"/>
    <s v="GHYRR_WATER"/>
    <x v="1"/>
    <x v="3"/>
    <n v="728.87981673381796"/>
    <n v="44340.188851307299"/>
    <n v="159624.67986470601"/>
  </r>
  <r>
    <x v="0"/>
    <x v="0"/>
    <x v="0"/>
    <x v="7"/>
    <x v="11"/>
    <s v="NO4_A1"/>
    <x v="7"/>
    <x v="6"/>
    <s v="GHYRR_WATER"/>
    <x v="1"/>
    <x v="4"/>
    <n v="728.87981673381796"/>
    <n v="44340.188851307299"/>
    <n v="159624.67986470601"/>
  </r>
  <r>
    <x v="0"/>
    <x v="0"/>
    <x v="0"/>
    <x v="7"/>
    <x v="11"/>
    <s v="NO4_A1"/>
    <x v="7"/>
    <x v="6"/>
    <s v="GHYRR_WATER"/>
    <x v="1"/>
    <x v="5"/>
    <n v="728.87981673381796"/>
    <n v="44340.188851307299"/>
    <n v="159624.67986470601"/>
  </r>
  <r>
    <x v="0"/>
    <x v="0"/>
    <x v="0"/>
    <x v="7"/>
    <x v="11"/>
    <s v="NO4_A1"/>
    <x v="7"/>
    <x v="6"/>
    <s v="GHYRR_WATER"/>
    <x v="1"/>
    <x v="6"/>
    <n v="728.87981673381796"/>
    <n v="44340.188851307299"/>
    <n v="159624.67986470601"/>
  </r>
  <r>
    <x v="0"/>
    <x v="0"/>
    <x v="0"/>
    <x v="7"/>
    <x v="11"/>
    <s v="NO4_A1"/>
    <x v="7"/>
    <x v="6"/>
    <s v="GHYRR_WATER"/>
    <x v="1"/>
    <x v="7"/>
    <n v="728.87981673381796"/>
    <n v="44340.188851307299"/>
    <n v="159624.67986470601"/>
  </r>
  <r>
    <x v="0"/>
    <x v="0"/>
    <x v="0"/>
    <x v="7"/>
    <x v="11"/>
    <s v="NO4_A1"/>
    <x v="7"/>
    <x v="6"/>
    <s v="GHYRR_WATER"/>
    <x v="1"/>
    <x v="8"/>
    <n v="728.87981673381796"/>
    <n v="44340.188851307299"/>
    <n v="159624.67986470601"/>
  </r>
  <r>
    <x v="0"/>
    <x v="0"/>
    <x v="0"/>
    <x v="7"/>
    <x v="11"/>
    <s v="NO4_A1"/>
    <x v="7"/>
    <x v="6"/>
    <s v="GHYRR_WATER"/>
    <x v="1"/>
    <x v="9"/>
    <n v="728.87981673381796"/>
    <n v="44340.188851307299"/>
    <n v="159624.67986470601"/>
  </r>
  <r>
    <x v="0"/>
    <x v="0"/>
    <x v="0"/>
    <x v="7"/>
    <x v="11"/>
    <s v="NO4_A1"/>
    <x v="7"/>
    <x v="6"/>
    <s v="GHYRR_WATER"/>
    <x v="1"/>
    <x v="10"/>
    <n v="728.87981673381796"/>
    <n v="44340.188851307299"/>
    <n v="159624.67986470601"/>
  </r>
  <r>
    <x v="0"/>
    <x v="0"/>
    <x v="0"/>
    <x v="7"/>
    <x v="11"/>
    <s v="NO4_A1"/>
    <x v="7"/>
    <x v="6"/>
    <s v="GHYRR_WATER"/>
    <x v="1"/>
    <x v="11"/>
    <n v="728.87981673381796"/>
    <n v="44340.188851307299"/>
    <n v="159624.67986470601"/>
  </r>
  <r>
    <x v="0"/>
    <x v="0"/>
    <x v="0"/>
    <x v="7"/>
    <x v="11"/>
    <s v="NO4_A1"/>
    <x v="7"/>
    <x v="6"/>
    <s v="GHYRR_WATER"/>
    <x v="2"/>
    <x v="0"/>
    <n v="711.47026697106696"/>
    <n v="43281.1079074066"/>
    <n v="155811.98846666401"/>
  </r>
  <r>
    <x v="0"/>
    <x v="0"/>
    <x v="0"/>
    <x v="7"/>
    <x v="11"/>
    <s v="NO4_A1"/>
    <x v="7"/>
    <x v="6"/>
    <s v="GHYRR_WATER"/>
    <x v="2"/>
    <x v="1"/>
    <n v="711.47026697106696"/>
    <n v="43281.1079074066"/>
    <n v="155811.98846666401"/>
  </r>
  <r>
    <x v="0"/>
    <x v="0"/>
    <x v="0"/>
    <x v="7"/>
    <x v="11"/>
    <s v="NO4_A1"/>
    <x v="7"/>
    <x v="6"/>
    <s v="GHYRR_WATER"/>
    <x v="2"/>
    <x v="2"/>
    <n v="711.47026697106696"/>
    <n v="43281.1079074066"/>
    <n v="155811.98846666401"/>
  </r>
  <r>
    <x v="0"/>
    <x v="0"/>
    <x v="0"/>
    <x v="7"/>
    <x v="11"/>
    <s v="NO4_A1"/>
    <x v="7"/>
    <x v="6"/>
    <s v="GHYRR_WATER"/>
    <x v="2"/>
    <x v="3"/>
    <n v="711.47026697106696"/>
    <n v="43281.1079074066"/>
    <n v="155811.98846666401"/>
  </r>
  <r>
    <x v="0"/>
    <x v="0"/>
    <x v="0"/>
    <x v="7"/>
    <x v="11"/>
    <s v="NO4_A1"/>
    <x v="7"/>
    <x v="6"/>
    <s v="GHYRR_WATER"/>
    <x v="2"/>
    <x v="4"/>
    <n v="711.47026697106696"/>
    <n v="43281.1079074066"/>
    <n v="155811.98846666401"/>
  </r>
  <r>
    <x v="0"/>
    <x v="0"/>
    <x v="0"/>
    <x v="7"/>
    <x v="11"/>
    <s v="NO4_A1"/>
    <x v="7"/>
    <x v="6"/>
    <s v="GHYRR_WATER"/>
    <x v="2"/>
    <x v="5"/>
    <n v="711.47026697106696"/>
    <n v="43281.1079074066"/>
    <n v="155811.98846666401"/>
  </r>
  <r>
    <x v="0"/>
    <x v="0"/>
    <x v="0"/>
    <x v="7"/>
    <x v="11"/>
    <s v="NO4_A1"/>
    <x v="7"/>
    <x v="6"/>
    <s v="GHYRR_WATER"/>
    <x v="2"/>
    <x v="6"/>
    <n v="711.47026697106696"/>
    <n v="43281.1079074066"/>
    <n v="155811.98846666401"/>
  </r>
  <r>
    <x v="0"/>
    <x v="0"/>
    <x v="0"/>
    <x v="7"/>
    <x v="11"/>
    <s v="NO4_A1"/>
    <x v="7"/>
    <x v="6"/>
    <s v="GHYRR_WATER"/>
    <x v="2"/>
    <x v="7"/>
    <n v="711.47026697106696"/>
    <n v="43281.1079074066"/>
    <n v="155811.98846666401"/>
  </r>
  <r>
    <x v="0"/>
    <x v="0"/>
    <x v="0"/>
    <x v="7"/>
    <x v="11"/>
    <s v="NO4_A1"/>
    <x v="7"/>
    <x v="6"/>
    <s v="GHYRR_WATER"/>
    <x v="2"/>
    <x v="8"/>
    <n v="711.47026697106696"/>
    <n v="43281.1079074066"/>
    <n v="155811.98846666401"/>
  </r>
  <r>
    <x v="0"/>
    <x v="0"/>
    <x v="0"/>
    <x v="7"/>
    <x v="11"/>
    <s v="NO4_A1"/>
    <x v="7"/>
    <x v="6"/>
    <s v="GHYRR_WATER"/>
    <x v="2"/>
    <x v="9"/>
    <n v="711.47026697106696"/>
    <n v="43281.1079074066"/>
    <n v="155811.98846666401"/>
  </r>
  <r>
    <x v="0"/>
    <x v="0"/>
    <x v="0"/>
    <x v="7"/>
    <x v="11"/>
    <s v="NO4_A1"/>
    <x v="7"/>
    <x v="6"/>
    <s v="GHYRR_WATER"/>
    <x v="2"/>
    <x v="10"/>
    <n v="711.47026697106696"/>
    <n v="43281.1079074066"/>
    <n v="155811.98846666401"/>
  </r>
  <r>
    <x v="0"/>
    <x v="0"/>
    <x v="0"/>
    <x v="7"/>
    <x v="11"/>
    <s v="NO4_A1"/>
    <x v="7"/>
    <x v="6"/>
    <s v="GHYRR_WATER"/>
    <x v="2"/>
    <x v="11"/>
    <n v="711.47026697106696"/>
    <n v="43281.1079074066"/>
    <n v="155811.98846666401"/>
  </r>
  <r>
    <x v="0"/>
    <x v="0"/>
    <x v="0"/>
    <x v="7"/>
    <x v="11"/>
    <s v="NO4_A1"/>
    <x v="7"/>
    <x v="6"/>
    <s v="GHYRR_WATER"/>
    <x v="3"/>
    <x v="0"/>
    <n v="526.92903948591299"/>
    <n v="32054.849902059701"/>
    <n v="115397.459647415"/>
  </r>
  <r>
    <x v="0"/>
    <x v="0"/>
    <x v="0"/>
    <x v="7"/>
    <x v="11"/>
    <s v="NO4_A1"/>
    <x v="7"/>
    <x v="6"/>
    <s v="GHYRR_WATER"/>
    <x v="3"/>
    <x v="1"/>
    <n v="526.92903948591299"/>
    <n v="32054.849902059701"/>
    <n v="115397.459647415"/>
  </r>
  <r>
    <x v="0"/>
    <x v="0"/>
    <x v="0"/>
    <x v="7"/>
    <x v="11"/>
    <s v="NO4_A1"/>
    <x v="7"/>
    <x v="6"/>
    <s v="GHYRR_WATER"/>
    <x v="3"/>
    <x v="2"/>
    <n v="526.92903948591299"/>
    <n v="32054.849902059701"/>
    <n v="115397.459647415"/>
  </r>
  <r>
    <x v="0"/>
    <x v="0"/>
    <x v="0"/>
    <x v="7"/>
    <x v="11"/>
    <s v="NO4_A1"/>
    <x v="7"/>
    <x v="6"/>
    <s v="GHYRR_WATER"/>
    <x v="3"/>
    <x v="3"/>
    <n v="526.92903948591299"/>
    <n v="32054.849902059701"/>
    <n v="115397.459647415"/>
  </r>
  <r>
    <x v="0"/>
    <x v="0"/>
    <x v="0"/>
    <x v="7"/>
    <x v="11"/>
    <s v="NO4_A1"/>
    <x v="7"/>
    <x v="6"/>
    <s v="GHYRR_WATER"/>
    <x v="3"/>
    <x v="4"/>
    <n v="526.92903948591299"/>
    <n v="32054.849902059701"/>
    <n v="115397.459647415"/>
  </r>
  <r>
    <x v="0"/>
    <x v="0"/>
    <x v="0"/>
    <x v="7"/>
    <x v="11"/>
    <s v="NO4_A1"/>
    <x v="7"/>
    <x v="6"/>
    <s v="GHYRR_WATER"/>
    <x v="3"/>
    <x v="5"/>
    <n v="526.92903948591299"/>
    <n v="32054.849902059701"/>
    <n v="115397.459647415"/>
  </r>
  <r>
    <x v="0"/>
    <x v="0"/>
    <x v="0"/>
    <x v="7"/>
    <x v="11"/>
    <s v="NO4_A1"/>
    <x v="7"/>
    <x v="6"/>
    <s v="GHYRR_WATER"/>
    <x v="3"/>
    <x v="6"/>
    <n v="526.92903948591299"/>
    <n v="32054.849902059701"/>
    <n v="115397.459647415"/>
  </r>
  <r>
    <x v="0"/>
    <x v="0"/>
    <x v="0"/>
    <x v="7"/>
    <x v="11"/>
    <s v="NO4_A1"/>
    <x v="7"/>
    <x v="6"/>
    <s v="GHYRR_WATER"/>
    <x v="3"/>
    <x v="7"/>
    <n v="526.92903948591299"/>
    <n v="32054.849902059701"/>
    <n v="115397.459647415"/>
  </r>
  <r>
    <x v="0"/>
    <x v="0"/>
    <x v="0"/>
    <x v="7"/>
    <x v="11"/>
    <s v="NO4_A1"/>
    <x v="7"/>
    <x v="6"/>
    <s v="GHYRR_WATER"/>
    <x v="3"/>
    <x v="8"/>
    <n v="526.92903948591299"/>
    <n v="32054.849902059701"/>
    <n v="115397.459647415"/>
  </r>
  <r>
    <x v="0"/>
    <x v="0"/>
    <x v="0"/>
    <x v="7"/>
    <x v="11"/>
    <s v="NO4_A1"/>
    <x v="7"/>
    <x v="6"/>
    <s v="GHYRR_WATER"/>
    <x v="3"/>
    <x v="9"/>
    <n v="526.92903948591299"/>
    <n v="32054.849902059701"/>
    <n v="115397.459647415"/>
  </r>
  <r>
    <x v="0"/>
    <x v="0"/>
    <x v="0"/>
    <x v="7"/>
    <x v="11"/>
    <s v="NO4_A1"/>
    <x v="7"/>
    <x v="6"/>
    <s v="GHYRR_WATER"/>
    <x v="3"/>
    <x v="10"/>
    <n v="526.92903948591299"/>
    <n v="32054.849902059701"/>
    <n v="115397.459647415"/>
  </r>
  <r>
    <x v="0"/>
    <x v="0"/>
    <x v="0"/>
    <x v="7"/>
    <x v="11"/>
    <s v="NO4_A1"/>
    <x v="7"/>
    <x v="6"/>
    <s v="GHYRR_WATER"/>
    <x v="3"/>
    <x v="11"/>
    <n v="526.92903948591299"/>
    <n v="32054.849902059701"/>
    <n v="115397.459647415"/>
  </r>
  <r>
    <x v="0"/>
    <x v="0"/>
    <x v="0"/>
    <x v="7"/>
    <x v="11"/>
    <s v="NO4_A1"/>
    <x v="7"/>
    <x v="6"/>
    <s v="GHYRR_WATER"/>
    <x v="4"/>
    <x v="0"/>
    <n v="400.41964454326001"/>
    <n v="24358.861709715002"/>
    <n v="87691.902154973897"/>
  </r>
  <r>
    <x v="0"/>
    <x v="0"/>
    <x v="0"/>
    <x v="7"/>
    <x v="11"/>
    <s v="NO4_A1"/>
    <x v="7"/>
    <x v="6"/>
    <s v="GHYRR_WATER"/>
    <x v="4"/>
    <x v="1"/>
    <n v="400.41964454326001"/>
    <n v="24358.861709715002"/>
    <n v="87691.902154973897"/>
  </r>
  <r>
    <x v="0"/>
    <x v="0"/>
    <x v="0"/>
    <x v="7"/>
    <x v="11"/>
    <s v="NO4_A1"/>
    <x v="7"/>
    <x v="6"/>
    <s v="GHYRR_WATER"/>
    <x v="4"/>
    <x v="2"/>
    <n v="400.41964454326001"/>
    <n v="24358.861709715002"/>
    <n v="87691.902154973897"/>
  </r>
  <r>
    <x v="0"/>
    <x v="0"/>
    <x v="0"/>
    <x v="7"/>
    <x v="11"/>
    <s v="NO4_A1"/>
    <x v="7"/>
    <x v="6"/>
    <s v="GHYRR_WATER"/>
    <x v="4"/>
    <x v="3"/>
    <n v="400.41964454326001"/>
    <n v="24358.861709715002"/>
    <n v="87691.902154973897"/>
  </r>
  <r>
    <x v="0"/>
    <x v="0"/>
    <x v="0"/>
    <x v="7"/>
    <x v="11"/>
    <s v="NO4_A1"/>
    <x v="7"/>
    <x v="6"/>
    <s v="GHYRR_WATER"/>
    <x v="4"/>
    <x v="4"/>
    <n v="400.41964454326001"/>
    <n v="24358.861709715002"/>
    <n v="87691.902154973897"/>
  </r>
  <r>
    <x v="0"/>
    <x v="0"/>
    <x v="0"/>
    <x v="7"/>
    <x v="11"/>
    <s v="NO4_A1"/>
    <x v="7"/>
    <x v="6"/>
    <s v="GHYRR_WATER"/>
    <x v="4"/>
    <x v="5"/>
    <n v="400.41964454326001"/>
    <n v="24358.861709715002"/>
    <n v="87691.902154973897"/>
  </r>
  <r>
    <x v="0"/>
    <x v="0"/>
    <x v="0"/>
    <x v="7"/>
    <x v="11"/>
    <s v="NO4_A1"/>
    <x v="7"/>
    <x v="6"/>
    <s v="GHYRR_WATER"/>
    <x v="4"/>
    <x v="6"/>
    <n v="400.41964454326001"/>
    <n v="24358.861709715002"/>
    <n v="87691.902154973897"/>
  </r>
  <r>
    <x v="0"/>
    <x v="0"/>
    <x v="0"/>
    <x v="7"/>
    <x v="11"/>
    <s v="NO4_A1"/>
    <x v="7"/>
    <x v="6"/>
    <s v="GHYRR_WATER"/>
    <x v="4"/>
    <x v="7"/>
    <n v="400.41964454326001"/>
    <n v="24358.861709715002"/>
    <n v="87691.902154973897"/>
  </r>
  <r>
    <x v="0"/>
    <x v="0"/>
    <x v="0"/>
    <x v="7"/>
    <x v="11"/>
    <s v="NO4_A1"/>
    <x v="7"/>
    <x v="6"/>
    <s v="GHYRR_WATER"/>
    <x v="4"/>
    <x v="8"/>
    <n v="400.41964454326001"/>
    <n v="24358.861709715002"/>
    <n v="87691.902154973897"/>
  </r>
  <r>
    <x v="0"/>
    <x v="0"/>
    <x v="0"/>
    <x v="7"/>
    <x v="11"/>
    <s v="NO4_A1"/>
    <x v="7"/>
    <x v="6"/>
    <s v="GHYRR_WATER"/>
    <x v="4"/>
    <x v="9"/>
    <n v="400.41964454326001"/>
    <n v="24358.861709715002"/>
    <n v="87691.902154973897"/>
  </r>
  <r>
    <x v="0"/>
    <x v="0"/>
    <x v="0"/>
    <x v="7"/>
    <x v="11"/>
    <s v="NO4_A1"/>
    <x v="7"/>
    <x v="6"/>
    <s v="GHYRR_WATER"/>
    <x v="4"/>
    <x v="10"/>
    <n v="400.41964454326001"/>
    <n v="24358.861709715002"/>
    <n v="87691.902154973897"/>
  </r>
  <r>
    <x v="0"/>
    <x v="0"/>
    <x v="0"/>
    <x v="7"/>
    <x v="11"/>
    <s v="NO4_A1"/>
    <x v="7"/>
    <x v="6"/>
    <s v="GHYRR_WATER"/>
    <x v="4"/>
    <x v="11"/>
    <n v="400.41964454326001"/>
    <n v="24358.861709715002"/>
    <n v="87691.902154973897"/>
  </r>
  <r>
    <x v="0"/>
    <x v="0"/>
    <x v="0"/>
    <x v="7"/>
    <x v="11"/>
    <s v="NO4_A1"/>
    <x v="7"/>
    <x v="6"/>
    <s v="GHYRR_WATER"/>
    <x v="5"/>
    <x v="0"/>
    <n v="402.74091784495999"/>
    <n v="24500.072502235002"/>
    <n v="88200.261008046204"/>
  </r>
  <r>
    <x v="0"/>
    <x v="0"/>
    <x v="0"/>
    <x v="7"/>
    <x v="11"/>
    <s v="NO4_A1"/>
    <x v="7"/>
    <x v="6"/>
    <s v="GHYRR_WATER"/>
    <x v="5"/>
    <x v="1"/>
    <n v="402.74091784495999"/>
    <n v="24500.072502235002"/>
    <n v="88200.261008046204"/>
  </r>
  <r>
    <x v="0"/>
    <x v="0"/>
    <x v="0"/>
    <x v="7"/>
    <x v="11"/>
    <s v="NO4_A1"/>
    <x v="7"/>
    <x v="6"/>
    <s v="GHYRR_WATER"/>
    <x v="5"/>
    <x v="2"/>
    <n v="402.74091784495999"/>
    <n v="24500.072502235002"/>
    <n v="88200.261008046204"/>
  </r>
  <r>
    <x v="0"/>
    <x v="0"/>
    <x v="0"/>
    <x v="7"/>
    <x v="11"/>
    <s v="NO4_A1"/>
    <x v="7"/>
    <x v="6"/>
    <s v="GHYRR_WATER"/>
    <x v="5"/>
    <x v="3"/>
    <n v="402.74091784495999"/>
    <n v="24500.072502235002"/>
    <n v="88200.261008046204"/>
  </r>
  <r>
    <x v="0"/>
    <x v="0"/>
    <x v="0"/>
    <x v="7"/>
    <x v="11"/>
    <s v="NO4_A1"/>
    <x v="7"/>
    <x v="6"/>
    <s v="GHYRR_WATER"/>
    <x v="5"/>
    <x v="4"/>
    <n v="402.74091784495999"/>
    <n v="24500.072502235002"/>
    <n v="88200.261008046204"/>
  </r>
  <r>
    <x v="0"/>
    <x v="0"/>
    <x v="0"/>
    <x v="7"/>
    <x v="11"/>
    <s v="NO4_A1"/>
    <x v="7"/>
    <x v="6"/>
    <s v="GHYRR_WATER"/>
    <x v="5"/>
    <x v="5"/>
    <n v="402.74091784495999"/>
    <n v="24500.072502235002"/>
    <n v="88200.261008046204"/>
  </r>
  <r>
    <x v="0"/>
    <x v="0"/>
    <x v="0"/>
    <x v="7"/>
    <x v="11"/>
    <s v="NO4_A1"/>
    <x v="7"/>
    <x v="6"/>
    <s v="GHYRR_WATER"/>
    <x v="5"/>
    <x v="6"/>
    <n v="402.74091784495999"/>
    <n v="24500.072502235002"/>
    <n v="88200.261008046204"/>
  </r>
  <r>
    <x v="0"/>
    <x v="0"/>
    <x v="0"/>
    <x v="7"/>
    <x v="11"/>
    <s v="NO4_A1"/>
    <x v="7"/>
    <x v="6"/>
    <s v="GHYRR_WATER"/>
    <x v="5"/>
    <x v="7"/>
    <n v="402.74091784495999"/>
    <n v="24500.072502235002"/>
    <n v="88200.261008046204"/>
  </r>
  <r>
    <x v="0"/>
    <x v="0"/>
    <x v="0"/>
    <x v="7"/>
    <x v="11"/>
    <s v="NO4_A1"/>
    <x v="7"/>
    <x v="6"/>
    <s v="GHYRR_WATER"/>
    <x v="5"/>
    <x v="8"/>
    <n v="402.74091784495999"/>
    <n v="24500.072502235002"/>
    <n v="88200.261008046204"/>
  </r>
  <r>
    <x v="0"/>
    <x v="0"/>
    <x v="0"/>
    <x v="7"/>
    <x v="11"/>
    <s v="NO4_A1"/>
    <x v="7"/>
    <x v="6"/>
    <s v="GHYRR_WATER"/>
    <x v="5"/>
    <x v="9"/>
    <n v="402.74091784495999"/>
    <n v="24500.072502235002"/>
    <n v="88200.261008046204"/>
  </r>
  <r>
    <x v="0"/>
    <x v="0"/>
    <x v="0"/>
    <x v="7"/>
    <x v="11"/>
    <s v="NO4_A1"/>
    <x v="7"/>
    <x v="6"/>
    <s v="GHYRR_WATER"/>
    <x v="5"/>
    <x v="10"/>
    <n v="402.74091784495999"/>
    <n v="24500.072502235002"/>
    <n v="88200.261008046204"/>
  </r>
  <r>
    <x v="0"/>
    <x v="0"/>
    <x v="0"/>
    <x v="7"/>
    <x v="11"/>
    <s v="NO4_A1"/>
    <x v="7"/>
    <x v="6"/>
    <s v="GHYRR_WATER"/>
    <x v="5"/>
    <x v="11"/>
    <n v="402.74091784495999"/>
    <n v="24500.072502235002"/>
    <n v="88200.261008046204"/>
  </r>
  <r>
    <x v="0"/>
    <x v="0"/>
    <x v="0"/>
    <x v="7"/>
    <x v="11"/>
    <s v="NO4_A1"/>
    <x v="7"/>
    <x v="6"/>
    <s v="GHYRR_WATER"/>
    <x v="6"/>
    <x v="0"/>
    <n v="445.68447392641099"/>
    <n v="27112.472163856699"/>
    <n v="97604.899789884003"/>
  </r>
  <r>
    <x v="0"/>
    <x v="0"/>
    <x v="0"/>
    <x v="7"/>
    <x v="11"/>
    <s v="NO4_A1"/>
    <x v="7"/>
    <x v="6"/>
    <s v="GHYRR_WATER"/>
    <x v="6"/>
    <x v="1"/>
    <n v="445.68447392641099"/>
    <n v="27112.472163856699"/>
    <n v="97604.899789884003"/>
  </r>
  <r>
    <x v="0"/>
    <x v="0"/>
    <x v="0"/>
    <x v="7"/>
    <x v="11"/>
    <s v="NO4_A1"/>
    <x v="7"/>
    <x v="6"/>
    <s v="GHYRR_WATER"/>
    <x v="6"/>
    <x v="2"/>
    <n v="445.68447392641099"/>
    <n v="27112.472163856699"/>
    <n v="97604.899789884003"/>
  </r>
  <r>
    <x v="0"/>
    <x v="0"/>
    <x v="0"/>
    <x v="7"/>
    <x v="11"/>
    <s v="NO4_A1"/>
    <x v="7"/>
    <x v="6"/>
    <s v="GHYRR_WATER"/>
    <x v="6"/>
    <x v="3"/>
    <n v="445.68447392641099"/>
    <n v="27112.472163856699"/>
    <n v="97604.899789884003"/>
  </r>
  <r>
    <x v="0"/>
    <x v="0"/>
    <x v="0"/>
    <x v="7"/>
    <x v="11"/>
    <s v="NO4_A1"/>
    <x v="7"/>
    <x v="6"/>
    <s v="GHYRR_WATER"/>
    <x v="6"/>
    <x v="4"/>
    <n v="445.68447392641099"/>
    <n v="27112.472163856699"/>
    <n v="97604.899789884003"/>
  </r>
  <r>
    <x v="0"/>
    <x v="0"/>
    <x v="0"/>
    <x v="7"/>
    <x v="11"/>
    <s v="NO4_A1"/>
    <x v="7"/>
    <x v="6"/>
    <s v="GHYRR_WATER"/>
    <x v="6"/>
    <x v="5"/>
    <n v="445.68447392641099"/>
    <n v="27112.472163856699"/>
    <n v="97604.899789884003"/>
  </r>
  <r>
    <x v="0"/>
    <x v="0"/>
    <x v="0"/>
    <x v="7"/>
    <x v="11"/>
    <s v="NO4_A1"/>
    <x v="7"/>
    <x v="6"/>
    <s v="GHYRR_WATER"/>
    <x v="6"/>
    <x v="6"/>
    <n v="445.68447392641099"/>
    <n v="27112.472163856699"/>
    <n v="97604.899789884003"/>
  </r>
  <r>
    <x v="0"/>
    <x v="0"/>
    <x v="0"/>
    <x v="7"/>
    <x v="11"/>
    <s v="NO4_A1"/>
    <x v="7"/>
    <x v="6"/>
    <s v="GHYRR_WATER"/>
    <x v="6"/>
    <x v="7"/>
    <n v="445.68447392641099"/>
    <n v="27112.472163856699"/>
    <n v="97604.899789884003"/>
  </r>
  <r>
    <x v="0"/>
    <x v="0"/>
    <x v="0"/>
    <x v="7"/>
    <x v="11"/>
    <s v="NO4_A1"/>
    <x v="7"/>
    <x v="6"/>
    <s v="GHYRR_WATER"/>
    <x v="6"/>
    <x v="8"/>
    <n v="445.68447392641099"/>
    <n v="27112.472163856699"/>
    <n v="97604.899789884003"/>
  </r>
  <r>
    <x v="0"/>
    <x v="0"/>
    <x v="0"/>
    <x v="7"/>
    <x v="11"/>
    <s v="NO4_A1"/>
    <x v="7"/>
    <x v="6"/>
    <s v="GHYRR_WATER"/>
    <x v="6"/>
    <x v="9"/>
    <n v="445.68447392641099"/>
    <n v="27112.472163856699"/>
    <n v="97604.899789884003"/>
  </r>
  <r>
    <x v="0"/>
    <x v="0"/>
    <x v="0"/>
    <x v="7"/>
    <x v="11"/>
    <s v="NO4_A1"/>
    <x v="7"/>
    <x v="6"/>
    <s v="GHYRR_WATER"/>
    <x v="6"/>
    <x v="10"/>
    <n v="445.68447392641099"/>
    <n v="27112.472163856699"/>
    <n v="97604.899789884003"/>
  </r>
  <r>
    <x v="0"/>
    <x v="0"/>
    <x v="0"/>
    <x v="7"/>
    <x v="11"/>
    <s v="NO4_A1"/>
    <x v="7"/>
    <x v="6"/>
    <s v="GHYRR_WATER"/>
    <x v="6"/>
    <x v="11"/>
    <n v="445.68447392641099"/>
    <n v="27112.472163856699"/>
    <n v="97604.899789884003"/>
  </r>
  <r>
    <x v="0"/>
    <x v="0"/>
    <x v="0"/>
    <x v="7"/>
    <x v="11"/>
    <s v="NO4_A1"/>
    <x v="7"/>
    <x v="6"/>
    <s v="GHYRR_WATER"/>
    <x v="7"/>
    <x v="0"/>
    <n v="458.45147708576098"/>
    <n v="27889.1315227171"/>
    <n v="100400.87348178199"/>
  </r>
  <r>
    <x v="0"/>
    <x v="0"/>
    <x v="0"/>
    <x v="7"/>
    <x v="11"/>
    <s v="NO4_A1"/>
    <x v="7"/>
    <x v="6"/>
    <s v="GHYRR_WATER"/>
    <x v="7"/>
    <x v="1"/>
    <n v="458.45147708576098"/>
    <n v="27889.1315227171"/>
    <n v="100400.87348178199"/>
  </r>
  <r>
    <x v="0"/>
    <x v="0"/>
    <x v="0"/>
    <x v="7"/>
    <x v="11"/>
    <s v="NO4_A1"/>
    <x v="7"/>
    <x v="6"/>
    <s v="GHYRR_WATER"/>
    <x v="7"/>
    <x v="2"/>
    <n v="458.45147708576098"/>
    <n v="27889.1315227171"/>
    <n v="100400.87348178199"/>
  </r>
  <r>
    <x v="0"/>
    <x v="0"/>
    <x v="0"/>
    <x v="7"/>
    <x v="11"/>
    <s v="NO4_A1"/>
    <x v="7"/>
    <x v="6"/>
    <s v="GHYRR_WATER"/>
    <x v="7"/>
    <x v="3"/>
    <n v="458.45147708576098"/>
    <n v="27889.1315227171"/>
    <n v="100400.87348178199"/>
  </r>
  <r>
    <x v="0"/>
    <x v="0"/>
    <x v="0"/>
    <x v="7"/>
    <x v="11"/>
    <s v="NO4_A1"/>
    <x v="7"/>
    <x v="6"/>
    <s v="GHYRR_WATER"/>
    <x v="7"/>
    <x v="4"/>
    <n v="458.45147708576098"/>
    <n v="27889.1315227171"/>
    <n v="100400.87348178199"/>
  </r>
  <r>
    <x v="0"/>
    <x v="0"/>
    <x v="0"/>
    <x v="7"/>
    <x v="11"/>
    <s v="NO4_A1"/>
    <x v="7"/>
    <x v="6"/>
    <s v="GHYRR_WATER"/>
    <x v="7"/>
    <x v="5"/>
    <n v="458.45147708576098"/>
    <n v="27889.1315227171"/>
    <n v="100400.87348178199"/>
  </r>
  <r>
    <x v="0"/>
    <x v="0"/>
    <x v="0"/>
    <x v="7"/>
    <x v="11"/>
    <s v="NO4_A1"/>
    <x v="7"/>
    <x v="6"/>
    <s v="GHYRR_WATER"/>
    <x v="7"/>
    <x v="6"/>
    <n v="458.45147708576098"/>
    <n v="27889.1315227171"/>
    <n v="100400.87348178199"/>
  </r>
  <r>
    <x v="0"/>
    <x v="0"/>
    <x v="0"/>
    <x v="7"/>
    <x v="11"/>
    <s v="NO4_A1"/>
    <x v="7"/>
    <x v="6"/>
    <s v="GHYRR_WATER"/>
    <x v="7"/>
    <x v="7"/>
    <n v="458.45147708576098"/>
    <n v="27889.1315227171"/>
    <n v="100400.87348178199"/>
  </r>
  <r>
    <x v="0"/>
    <x v="0"/>
    <x v="0"/>
    <x v="7"/>
    <x v="11"/>
    <s v="NO4_A1"/>
    <x v="7"/>
    <x v="6"/>
    <s v="GHYRR_WATER"/>
    <x v="7"/>
    <x v="8"/>
    <n v="458.45147708576098"/>
    <n v="27889.1315227171"/>
    <n v="100400.87348178199"/>
  </r>
  <r>
    <x v="0"/>
    <x v="0"/>
    <x v="0"/>
    <x v="7"/>
    <x v="11"/>
    <s v="NO4_A1"/>
    <x v="7"/>
    <x v="6"/>
    <s v="GHYRR_WATER"/>
    <x v="7"/>
    <x v="9"/>
    <n v="458.45147708576098"/>
    <n v="27889.1315227171"/>
    <n v="100400.87348178199"/>
  </r>
  <r>
    <x v="0"/>
    <x v="0"/>
    <x v="0"/>
    <x v="7"/>
    <x v="11"/>
    <s v="NO4_A1"/>
    <x v="7"/>
    <x v="6"/>
    <s v="GHYRR_WATER"/>
    <x v="7"/>
    <x v="10"/>
    <n v="458.45147708576098"/>
    <n v="27889.1315227171"/>
    <n v="100400.87348178199"/>
  </r>
  <r>
    <x v="0"/>
    <x v="0"/>
    <x v="0"/>
    <x v="7"/>
    <x v="11"/>
    <s v="NO4_A1"/>
    <x v="7"/>
    <x v="6"/>
    <s v="GHYRR_WATER"/>
    <x v="7"/>
    <x v="11"/>
    <n v="458.45147708576098"/>
    <n v="27889.1315227171"/>
    <n v="100400.87348178199"/>
  </r>
  <r>
    <x v="0"/>
    <x v="0"/>
    <x v="0"/>
    <x v="7"/>
    <x v="11"/>
    <s v="NO4_A1"/>
    <x v="7"/>
    <x v="6"/>
    <s v="GHYRR_WATER"/>
    <x v="8"/>
    <x v="0"/>
    <n v="517.64394627911304"/>
    <n v="31490.006731979302"/>
    <n v="113364.02423512599"/>
  </r>
  <r>
    <x v="0"/>
    <x v="0"/>
    <x v="0"/>
    <x v="7"/>
    <x v="11"/>
    <s v="NO4_A1"/>
    <x v="7"/>
    <x v="6"/>
    <s v="GHYRR_WATER"/>
    <x v="8"/>
    <x v="1"/>
    <n v="517.64394627911304"/>
    <n v="31490.006731979302"/>
    <n v="113364.02423512599"/>
  </r>
  <r>
    <x v="0"/>
    <x v="0"/>
    <x v="0"/>
    <x v="7"/>
    <x v="11"/>
    <s v="NO4_A1"/>
    <x v="7"/>
    <x v="6"/>
    <s v="GHYRR_WATER"/>
    <x v="8"/>
    <x v="2"/>
    <n v="517.64394627911304"/>
    <n v="31490.006731979302"/>
    <n v="113364.02423512599"/>
  </r>
  <r>
    <x v="0"/>
    <x v="0"/>
    <x v="0"/>
    <x v="7"/>
    <x v="11"/>
    <s v="NO4_A1"/>
    <x v="7"/>
    <x v="6"/>
    <s v="GHYRR_WATER"/>
    <x v="8"/>
    <x v="3"/>
    <n v="517.64394627911304"/>
    <n v="31490.006731979302"/>
    <n v="113364.02423512599"/>
  </r>
  <r>
    <x v="0"/>
    <x v="0"/>
    <x v="0"/>
    <x v="7"/>
    <x v="11"/>
    <s v="NO4_A1"/>
    <x v="7"/>
    <x v="6"/>
    <s v="GHYRR_WATER"/>
    <x v="8"/>
    <x v="4"/>
    <n v="517.64394627911304"/>
    <n v="31490.006731979302"/>
    <n v="113364.02423512599"/>
  </r>
  <r>
    <x v="0"/>
    <x v="0"/>
    <x v="0"/>
    <x v="7"/>
    <x v="11"/>
    <s v="NO4_A1"/>
    <x v="7"/>
    <x v="6"/>
    <s v="GHYRR_WATER"/>
    <x v="8"/>
    <x v="5"/>
    <n v="517.64394627911304"/>
    <n v="31490.006731979302"/>
    <n v="113364.02423512599"/>
  </r>
  <r>
    <x v="0"/>
    <x v="0"/>
    <x v="0"/>
    <x v="7"/>
    <x v="11"/>
    <s v="NO4_A1"/>
    <x v="7"/>
    <x v="6"/>
    <s v="GHYRR_WATER"/>
    <x v="8"/>
    <x v="6"/>
    <n v="517.64394627911304"/>
    <n v="31490.006731979302"/>
    <n v="113364.02423512599"/>
  </r>
  <r>
    <x v="0"/>
    <x v="0"/>
    <x v="0"/>
    <x v="7"/>
    <x v="11"/>
    <s v="NO4_A1"/>
    <x v="7"/>
    <x v="6"/>
    <s v="GHYRR_WATER"/>
    <x v="8"/>
    <x v="7"/>
    <n v="517.64394627911304"/>
    <n v="31490.006731979302"/>
    <n v="113364.02423512599"/>
  </r>
  <r>
    <x v="0"/>
    <x v="0"/>
    <x v="0"/>
    <x v="7"/>
    <x v="11"/>
    <s v="NO4_A1"/>
    <x v="7"/>
    <x v="6"/>
    <s v="GHYRR_WATER"/>
    <x v="8"/>
    <x v="8"/>
    <n v="517.64394627911304"/>
    <n v="31490.006731979302"/>
    <n v="113364.02423512599"/>
  </r>
  <r>
    <x v="0"/>
    <x v="0"/>
    <x v="0"/>
    <x v="7"/>
    <x v="11"/>
    <s v="NO4_A1"/>
    <x v="7"/>
    <x v="6"/>
    <s v="GHYRR_WATER"/>
    <x v="8"/>
    <x v="9"/>
    <n v="517.64394627911304"/>
    <n v="31490.006731979302"/>
    <n v="113364.02423512599"/>
  </r>
  <r>
    <x v="0"/>
    <x v="0"/>
    <x v="0"/>
    <x v="7"/>
    <x v="11"/>
    <s v="NO4_A1"/>
    <x v="7"/>
    <x v="6"/>
    <s v="GHYRR_WATER"/>
    <x v="8"/>
    <x v="10"/>
    <n v="517.64394627911304"/>
    <n v="31490.006731979302"/>
    <n v="113364.02423512599"/>
  </r>
  <r>
    <x v="0"/>
    <x v="0"/>
    <x v="0"/>
    <x v="7"/>
    <x v="11"/>
    <s v="NO4_A1"/>
    <x v="7"/>
    <x v="6"/>
    <s v="GHYRR_WATER"/>
    <x v="8"/>
    <x v="11"/>
    <n v="517.64394627911304"/>
    <n v="31490.006731979302"/>
    <n v="113364.02423512599"/>
  </r>
  <r>
    <x v="0"/>
    <x v="0"/>
    <x v="0"/>
    <x v="7"/>
    <x v="11"/>
    <s v="NO4_A1"/>
    <x v="7"/>
    <x v="6"/>
    <s v="GHYRR_WATER"/>
    <x v="9"/>
    <x v="0"/>
    <n v="481.66421010276201"/>
    <n v="29301.239447918"/>
    <n v="105484.462012505"/>
  </r>
  <r>
    <x v="0"/>
    <x v="0"/>
    <x v="0"/>
    <x v="7"/>
    <x v="11"/>
    <s v="NO4_A1"/>
    <x v="7"/>
    <x v="6"/>
    <s v="GHYRR_WATER"/>
    <x v="9"/>
    <x v="1"/>
    <n v="481.66421010276201"/>
    <n v="29301.239447918"/>
    <n v="105484.462012505"/>
  </r>
  <r>
    <x v="0"/>
    <x v="0"/>
    <x v="0"/>
    <x v="7"/>
    <x v="11"/>
    <s v="NO4_A1"/>
    <x v="7"/>
    <x v="6"/>
    <s v="GHYRR_WATER"/>
    <x v="9"/>
    <x v="2"/>
    <n v="481.66421010276201"/>
    <n v="29301.239447918"/>
    <n v="105484.462012505"/>
  </r>
  <r>
    <x v="0"/>
    <x v="0"/>
    <x v="0"/>
    <x v="7"/>
    <x v="11"/>
    <s v="NO4_A1"/>
    <x v="7"/>
    <x v="6"/>
    <s v="GHYRR_WATER"/>
    <x v="9"/>
    <x v="3"/>
    <n v="481.66421010276201"/>
    <n v="29301.239447918"/>
    <n v="105484.462012505"/>
  </r>
  <r>
    <x v="0"/>
    <x v="0"/>
    <x v="0"/>
    <x v="7"/>
    <x v="11"/>
    <s v="NO4_A1"/>
    <x v="7"/>
    <x v="6"/>
    <s v="GHYRR_WATER"/>
    <x v="9"/>
    <x v="4"/>
    <n v="481.66421010276201"/>
    <n v="29301.239447918"/>
    <n v="105484.462012505"/>
  </r>
  <r>
    <x v="0"/>
    <x v="0"/>
    <x v="0"/>
    <x v="7"/>
    <x v="11"/>
    <s v="NO4_A1"/>
    <x v="7"/>
    <x v="6"/>
    <s v="GHYRR_WATER"/>
    <x v="9"/>
    <x v="5"/>
    <n v="481.66421010276201"/>
    <n v="29301.239447918"/>
    <n v="105484.462012505"/>
  </r>
  <r>
    <x v="0"/>
    <x v="0"/>
    <x v="0"/>
    <x v="7"/>
    <x v="11"/>
    <s v="NO4_A1"/>
    <x v="7"/>
    <x v="6"/>
    <s v="GHYRR_WATER"/>
    <x v="9"/>
    <x v="6"/>
    <n v="481.66421010276201"/>
    <n v="29301.239447918"/>
    <n v="105484.462012505"/>
  </r>
  <r>
    <x v="0"/>
    <x v="0"/>
    <x v="0"/>
    <x v="7"/>
    <x v="11"/>
    <s v="NO4_A1"/>
    <x v="7"/>
    <x v="6"/>
    <s v="GHYRR_WATER"/>
    <x v="9"/>
    <x v="7"/>
    <n v="481.66421010276201"/>
    <n v="29301.239447918"/>
    <n v="105484.462012505"/>
  </r>
  <r>
    <x v="0"/>
    <x v="0"/>
    <x v="0"/>
    <x v="7"/>
    <x v="11"/>
    <s v="NO4_A1"/>
    <x v="7"/>
    <x v="6"/>
    <s v="GHYRR_WATER"/>
    <x v="9"/>
    <x v="8"/>
    <n v="481.66421010276201"/>
    <n v="29301.239447918"/>
    <n v="105484.462012505"/>
  </r>
  <r>
    <x v="0"/>
    <x v="0"/>
    <x v="0"/>
    <x v="7"/>
    <x v="11"/>
    <s v="NO4_A1"/>
    <x v="7"/>
    <x v="6"/>
    <s v="GHYRR_WATER"/>
    <x v="9"/>
    <x v="9"/>
    <n v="481.66421010276201"/>
    <n v="29301.239447918"/>
    <n v="105484.462012505"/>
  </r>
  <r>
    <x v="0"/>
    <x v="0"/>
    <x v="0"/>
    <x v="7"/>
    <x v="11"/>
    <s v="NO4_A1"/>
    <x v="7"/>
    <x v="6"/>
    <s v="GHYRR_WATER"/>
    <x v="9"/>
    <x v="10"/>
    <n v="481.66421010276201"/>
    <n v="29301.239447918"/>
    <n v="105484.462012505"/>
  </r>
  <r>
    <x v="0"/>
    <x v="0"/>
    <x v="0"/>
    <x v="7"/>
    <x v="11"/>
    <s v="NO4_A1"/>
    <x v="7"/>
    <x v="6"/>
    <s v="GHYRR_WATER"/>
    <x v="9"/>
    <x v="11"/>
    <n v="481.66421010276201"/>
    <n v="29301.239447918"/>
    <n v="105484.462012505"/>
  </r>
  <r>
    <x v="0"/>
    <x v="0"/>
    <x v="0"/>
    <x v="7"/>
    <x v="11"/>
    <s v="NO4_A1"/>
    <x v="7"/>
    <x v="6"/>
    <s v="GHYRR_WATER"/>
    <x v="10"/>
    <x v="0"/>
    <n v="580.318325425014"/>
    <n v="35302.698130021701"/>
    <n v="127089.71326807801"/>
  </r>
  <r>
    <x v="0"/>
    <x v="0"/>
    <x v="0"/>
    <x v="7"/>
    <x v="11"/>
    <s v="NO4_A1"/>
    <x v="7"/>
    <x v="6"/>
    <s v="GHYRR_WATER"/>
    <x v="10"/>
    <x v="1"/>
    <n v="580.318325425014"/>
    <n v="35302.698130021701"/>
    <n v="127089.71326807801"/>
  </r>
  <r>
    <x v="0"/>
    <x v="0"/>
    <x v="0"/>
    <x v="7"/>
    <x v="11"/>
    <s v="NO4_A1"/>
    <x v="7"/>
    <x v="6"/>
    <s v="GHYRR_WATER"/>
    <x v="10"/>
    <x v="2"/>
    <n v="580.318325425014"/>
    <n v="35302.698130021701"/>
    <n v="127089.71326807801"/>
  </r>
  <r>
    <x v="0"/>
    <x v="0"/>
    <x v="0"/>
    <x v="7"/>
    <x v="11"/>
    <s v="NO4_A1"/>
    <x v="7"/>
    <x v="6"/>
    <s v="GHYRR_WATER"/>
    <x v="10"/>
    <x v="3"/>
    <n v="580.318325425014"/>
    <n v="35302.698130021701"/>
    <n v="127089.71326807801"/>
  </r>
  <r>
    <x v="0"/>
    <x v="0"/>
    <x v="0"/>
    <x v="7"/>
    <x v="11"/>
    <s v="NO4_A1"/>
    <x v="7"/>
    <x v="6"/>
    <s v="GHYRR_WATER"/>
    <x v="10"/>
    <x v="4"/>
    <n v="580.318325425014"/>
    <n v="35302.698130021701"/>
    <n v="127089.71326807801"/>
  </r>
  <r>
    <x v="0"/>
    <x v="0"/>
    <x v="0"/>
    <x v="7"/>
    <x v="11"/>
    <s v="NO4_A1"/>
    <x v="7"/>
    <x v="6"/>
    <s v="GHYRR_WATER"/>
    <x v="10"/>
    <x v="5"/>
    <n v="580.318325425014"/>
    <n v="35302.698130021701"/>
    <n v="127089.71326807801"/>
  </r>
  <r>
    <x v="0"/>
    <x v="0"/>
    <x v="0"/>
    <x v="7"/>
    <x v="11"/>
    <s v="NO4_A1"/>
    <x v="7"/>
    <x v="6"/>
    <s v="GHYRR_WATER"/>
    <x v="10"/>
    <x v="6"/>
    <n v="580.318325425014"/>
    <n v="35302.698130021701"/>
    <n v="127089.71326807801"/>
  </r>
  <r>
    <x v="0"/>
    <x v="0"/>
    <x v="0"/>
    <x v="7"/>
    <x v="11"/>
    <s v="NO4_A1"/>
    <x v="7"/>
    <x v="6"/>
    <s v="GHYRR_WATER"/>
    <x v="10"/>
    <x v="7"/>
    <n v="580.318325425014"/>
    <n v="35302.698130021701"/>
    <n v="127089.71326807801"/>
  </r>
  <r>
    <x v="0"/>
    <x v="0"/>
    <x v="0"/>
    <x v="7"/>
    <x v="11"/>
    <s v="NO4_A1"/>
    <x v="7"/>
    <x v="6"/>
    <s v="GHYRR_WATER"/>
    <x v="10"/>
    <x v="8"/>
    <n v="580.318325425014"/>
    <n v="35302.698130021701"/>
    <n v="127089.71326807801"/>
  </r>
  <r>
    <x v="0"/>
    <x v="0"/>
    <x v="0"/>
    <x v="7"/>
    <x v="11"/>
    <s v="NO4_A1"/>
    <x v="7"/>
    <x v="6"/>
    <s v="GHYRR_WATER"/>
    <x v="10"/>
    <x v="9"/>
    <n v="580.318325425014"/>
    <n v="35302.698130021701"/>
    <n v="127089.71326807801"/>
  </r>
  <r>
    <x v="0"/>
    <x v="0"/>
    <x v="0"/>
    <x v="7"/>
    <x v="11"/>
    <s v="NO4_A1"/>
    <x v="7"/>
    <x v="6"/>
    <s v="GHYRR_WATER"/>
    <x v="10"/>
    <x v="10"/>
    <n v="580.318325425014"/>
    <n v="35302.698130021701"/>
    <n v="127089.71326807801"/>
  </r>
  <r>
    <x v="0"/>
    <x v="0"/>
    <x v="0"/>
    <x v="7"/>
    <x v="11"/>
    <s v="NO4_A1"/>
    <x v="7"/>
    <x v="6"/>
    <s v="GHYRR_WATER"/>
    <x v="10"/>
    <x v="11"/>
    <n v="580.318325425014"/>
    <n v="35302.698130021701"/>
    <n v="127089.71326807801"/>
  </r>
  <r>
    <x v="0"/>
    <x v="0"/>
    <x v="0"/>
    <x v="7"/>
    <x v="11"/>
    <s v="NO4_A1"/>
    <x v="7"/>
    <x v="6"/>
    <s v="GHYRR_WATER"/>
    <x v="11"/>
    <x v="0"/>
    <n v="988.86242652422402"/>
    <n v="60155.797613556999"/>
    <n v="216560.87140880499"/>
  </r>
  <r>
    <x v="0"/>
    <x v="0"/>
    <x v="0"/>
    <x v="7"/>
    <x v="11"/>
    <s v="NO4_A1"/>
    <x v="7"/>
    <x v="6"/>
    <s v="GHYRR_WATER"/>
    <x v="11"/>
    <x v="1"/>
    <n v="988.86242652422402"/>
    <n v="60155.797613556999"/>
    <n v="216560.87140880499"/>
  </r>
  <r>
    <x v="0"/>
    <x v="0"/>
    <x v="0"/>
    <x v="7"/>
    <x v="11"/>
    <s v="NO4_A1"/>
    <x v="7"/>
    <x v="6"/>
    <s v="GHYRR_WATER"/>
    <x v="11"/>
    <x v="2"/>
    <n v="988.86242652422402"/>
    <n v="60155.797613556999"/>
    <n v="216560.87140880499"/>
  </r>
  <r>
    <x v="0"/>
    <x v="0"/>
    <x v="0"/>
    <x v="7"/>
    <x v="11"/>
    <s v="NO4_A1"/>
    <x v="7"/>
    <x v="6"/>
    <s v="GHYRR_WATER"/>
    <x v="11"/>
    <x v="3"/>
    <n v="988.86242652422402"/>
    <n v="60155.797613556999"/>
    <n v="216560.87140880499"/>
  </r>
  <r>
    <x v="0"/>
    <x v="0"/>
    <x v="0"/>
    <x v="7"/>
    <x v="11"/>
    <s v="NO4_A1"/>
    <x v="7"/>
    <x v="6"/>
    <s v="GHYRR_WATER"/>
    <x v="11"/>
    <x v="4"/>
    <n v="988.86242652422402"/>
    <n v="60155.797613556999"/>
    <n v="216560.87140880499"/>
  </r>
  <r>
    <x v="0"/>
    <x v="0"/>
    <x v="0"/>
    <x v="7"/>
    <x v="11"/>
    <s v="NO4_A1"/>
    <x v="7"/>
    <x v="6"/>
    <s v="GHYRR_WATER"/>
    <x v="11"/>
    <x v="5"/>
    <n v="988.86242652422402"/>
    <n v="60155.797613556999"/>
    <n v="216560.87140880499"/>
  </r>
  <r>
    <x v="0"/>
    <x v="0"/>
    <x v="0"/>
    <x v="7"/>
    <x v="11"/>
    <s v="NO4_A1"/>
    <x v="7"/>
    <x v="6"/>
    <s v="GHYRR_WATER"/>
    <x v="11"/>
    <x v="6"/>
    <n v="988.86242652422402"/>
    <n v="60155.797613556999"/>
    <n v="216560.87140880499"/>
  </r>
  <r>
    <x v="0"/>
    <x v="0"/>
    <x v="0"/>
    <x v="7"/>
    <x v="11"/>
    <s v="NO4_A1"/>
    <x v="7"/>
    <x v="6"/>
    <s v="GHYRR_WATER"/>
    <x v="11"/>
    <x v="7"/>
    <n v="988.86242652422402"/>
    <n v="60155.797613556999"/>
    <n v="216560.87140880499"/>
  </r>
  <r>
    <x v="0"/>
    <x v="0"/>
    <x v="0"/>
    <x v="7"/>
    <x v="11"/>
    <s v="NO4_A1"/>
    <x v="7"/>
    <x v="6"/>
    <s v="GHYRR_WATER"/>
    <x v="11"/>
    <x v="8"/>
    <n v="988.86242652422402"/>
    <n v="60155.797613556999"/>
    <n v="216560.87140880499"/>
  </r>
  <r>
    <x v="0"/>
    <x v="0"/>
    <x v="0"/>
    <x v="7"/>
    <x v="11"/>
    <s v="NO4_A1"/>
    <x v="7"/>
    <x v="6"/>
    <s v="GHYRR_WATER"/>
    <x v="11"/>
    <x v="9"/>
    <n v="988.86242652422402"/>
    <n v="60155.797613556999"/>
    <n v="216560.87140880499"/>
  </r>
  <r>
    <x v="0"/>
    <x v="0"/>
    <x v="0"/>
    <x v="7"/>
    <x v="11"/>
    <s v="NO4_A1"/>
    <x v="7"/>
    <x v="6"/>
    <s v="GHYRR_WATER"/>
    <x v="11"/>
    <x v="10"/>
    <n v="988.86242652422402"/>
    <n v="60155.797613556999"/>
    <n v="216560.87140880499"/>
  </r>
  <r>
    <x v="0"/>
    <x v="0"/>
    <x v="0"/>
    <x v="7"/>
    <x v="11"/>
    <s v="NO4_A1"/>
    <x v="7"/>
    <x v="6"/>
    <s v="GHYRR_WATER"/>
    <x v="11"/>
    <x v="11"/>
    <n v="988.86242652422402"/>
    <n v="60155.797613556999"/>
    <n v="216560.87140880499"/>
  </r>
  <r>
    <x v="0"/>
    <x v="0"/>
    <x v="0"/>
    <x v="7"/>
    <x v="11"/>
    <s v="NO4_A1"/>
    <x v="7"/>
    <x v="7"/>
    <s v="GHYRS_WATER"/>
    <x v="1"/>
    <x v="7"/>
    <n v="104.012752847728"/>
    <n v="6327.44246490347"/>
    <n v="22778.792873652499"/>
  </r>
  <r>
    <x v="0"/>
    <x v="0"/>
    <x v="0"/>
    <x v="7"/>
    <x v="11"/>
    <s v="NO4_A1"/>
    <x v="7"/>
    <x v="7"/>
    <s v="GHYRS_WATER"/>
    <x v="1"/>
    <x v="8"/>
    <n v="215.43709113787301"/>
    <n v="13105.7563775539"/>
    <n v="47180.7229591941"/>
  </r>
  <r>
    <x v="0"/>
    <x v="0"/>
    <x v="0"/>
    <x v="7"/>
    <x v="11"/>
    <s v="NO4_A1"/>
    <x v="7"/>
    <x v="7"/>
    <s v="GHYRS_WATER"/>
    <x v="1"/>
    <x v="9"/>
    <n v="219.407227168693"/>
    <n v="13347.272986095501"/>
    <n v="48050.1827499438"/>
  </r>
  <r>
    <x v="0"/>
    <x v="0"/>
    <x v="0"/>
    <x v="7"/>
    <x v="11"/>
    <s v="NO4_A1"/>
    <x v="7"/>
    <x v="7"/>
    <s v="GHYRS_WATER"/>
    <x v="1"/>
    <x v="10"/>
    <n v="171.662181592585"/>
    <n v="10442.782713548901"/>
    <n v="37594.017768776102"/>
  </r>
  <r>
    <x v="0"/>
    <x v="0"/>
    <x v="0"/>
    <x v="7"/>
    <x v="11"/>
    <s v="NO4_A1"/>
    <x v="7"/>
    <x v="7"/>
    <s v="GHYRS_WATER"/>
    <x v="1"/>
    <x v="11"/>
    <n v="141.92018138061499"/>
    <n v="8633.4777006541008"/>
    <n v="31080.5197223547"/>
  </r>
  <r>
    <x v="0"/>
    <x v="0"/>
    <x v="0"/>
    <x v="7"/>
    <x v="11"/>
    <s v="NO4_A1"/>
    <x v="7"/>
    <x v="7"/>
    <s v="GHYRS_WATER"/>
    <x v="3"/>
    <x v="0"/>
    <n v="45.926056665530702"/>
    <n v="2793.83511381979"/>
    <n v="10057.8064097512"/>
  </r>
  <r>
    <x v="0"/>
    <x v="0"/>
    <x v="0"/>
    <x v="7"/>
    <x v="11"/>
    <s v="NO4_A1"/>
    <x v="7"/>
    <x v="7"/>
    <s v="GHYRS_WATER"/>
    <x v="3"/>
    <x v="4"/>
    <n v="12.809944835009899"/>
    <n v="779.27164412976902"/>
    <n v="2805.3779188671701"/>
  </r>
  <r>
    <x v="0"/>
    <x v="0"/>
    <x v="0"/>
    <x v="7"/>
    <x v="11"/>
    <s v="NO4_A1"/>
    <x v="7"/>
    <x v="7"/>
    <s v="GHYRS_WATER"/>
    <x v="3"/>
    <x v="5"/>
    <n v="79.297451528557303"/>
    <n v="4823.9283013205704"/>
    <n v="17366.141884754099"/>
  </r>
  <r>
    <x v="0"/>
    <x v="0"/>
    <x v="0"/>
    <x v="7"/>
    <x v="11"/>
    <s v="NO4_A1"/>
    <x v="7"/>
    <x v="7"/>
    <s v="GHYRS_WATER"/>
    <x v="3"/>
    <x v="6"/>
    <n v="173.98823511118499"/>
    <n v="10584.2843025971"/>
    <n v="38103.423489349399"/>
  </r>
  <r>
    <x v="0"/>
    <x v="0"/>
    <x v="0"/>
    <x v="7"/>
    <x v="11"/>
    <s v="NO4_A1"/>
    <x v="7"/>
    <x v="7"/>
    <s v="GHYRS_WATER"/>
    <x v="3"/>
    <x v="7"/>
    <n v="331.40575121059197"/>
    <n v="20160.516531977701"/>
    <n v="72577.859515119606"/>
  </r>
  <r>
    <x v="0"/>
    <x v="0"/>
    <x v="0"/>
    <x v="7"/>
    <x v="11"/>
    <s v="NO4_A1"/>
    <x v="7"/>
    <x v="7"/>
    <s v="GHYRS_WATER"/>
    <x v="3"/>
    <x v="8"/>
    <n v="393.53457825370498"/>
    <n v="23940.020177100399"/>
    <n v="86184.072637561505"/>
  </r>
  <r>
    <x v="0"/>
    <x v="0"/>
    <x v="0"/>
    <x v="7"/>
    <x v="11"/>
    <s v="NO4_A1"/>
    <x v="7"/>
    <x v="7"/>
    <s v="GHYRS_WATER"/>
    <x v="3"/>
    <x v="9"/>
    <n v="334.24292448575397"/>
    <n v="20333.111239549999"/>
    <n v="73199.200462380206"/>
  </r>
  <r>
    <x v="0"/>
    <x v="0"/>
    <x v="0"/>
    <x v="7"/>
    <x v="11"/>
    <s v="NO4_A1"/>
    <x v="7"/>
    <x v="7"/>
    <s v="GHYRS_WATER"/>
    <x v="3"/>
    <x v="10"/>
    <n v="330.582172438675"/>
    <n v="20110.415490019401"/>
    <n v="72397.495764069899"/>
  </r>
  <r>
    <x v="0"/>
    <x v="0"/>
    <x v="0"/>
    <x v="7"/>
    <x v="11"/>
    <s v="NO4_A1"/>
    <x v="7"/>
    <x v="7"/>
    <s v="GHYRS_WATER"/>
    <x v="3"/>
    <x v="11"/>
    <n v="315.32979948421001"/>
    <n v="19182.562801956101"/>
    <n v="69057.226087042101"/>
  </r>
  <r>
    <x v="0"/>
    <x v="0"/>
    <x v="0"/>
    <x v="7"/>
    <x v="11"/>
    <s v="NO4_A1"/>
    <x v="7"/>
    <x v="7"/>
    <s v="GHYRS_WATER"/>
    <x v="4"/>
    <x v="0"/>
    <n v="1688.1238613738201"/>
    <n v="102694.201566907"/>
    <n v="369699.12564086699"/>
  </r>
  <r>
    <x v="0"/>
    <x v="0"/>
    <x v="0"/>
    <x v="7"/>
    <x v="11"/>
    <s v="NO4_A1"/>
    <x v="7"/>
    <x v="7"/>
    <s v="GHYRS_WATER"/>
    <x v="4"/>
    <x v="1"/>
    <n v="1644.6963410549499"/>
    <n v="100052.360747509"/>
    <n v="360188.49869103398"/>
  </r>
  <r>
    <x v="0"/>
    <x v="0"/>
    <x v="0"/>
    <x v="7"/>
    <x v="11"/>
    <s v="NO4_A1"/>
    <x v="7"/>
    <x v="7"/>
    <s v="GHYRS_WATER"/>
    <x v="4"/>
    <x v="2"/>
    <n v="1635.6505973261801"/>
    <n v="99502.078004009105"/>
    <n v="358207.48081443302"/>
  </r>
  <r>
    <x v="0"/>
    <x v="0"/>
    <x v="0"/>
    <x v="7"/>
    <x v="11"/>
    <s v="NO4_A1"/>
    <x v="7"/>
    <x v="7"/>
    <s v="GHYRS_WATER"/>
    <x v="4"/>
    <x v="3"/>
    <n v="1586.5972904099999"/>
    <n v="96518.001833275106"/>
    <n v="347464.80659979"/>
  </r>
  <r>
    <x v="0"/>
    <x v="0"/>
    <x v="0"/>
    <x v="7"/>
    <x v="11"/>
    <s v="NO4_A1"/>
    <x v="7"/>
    <x v="7"/>
    <s v="GHYRS_WATER"/>
    <x v="4"/>
    <x v="4"/>
    <n v="1617.0210394369701"/>
    <n v="98368.779899082598"/>
    <n v="354127.60763669701"/>
  </r>
  <r>
    <x v="0"/>
    <x v="0"/>
    <x v="0"/>
    <x v="7"/>
    <x v="11"/>
    <s v="NO4_A1"/>
    <x v="7"/>
    <x v="7"/>
    <s v="GHYRS_WATER"/>
    <x v="4"/>
    <x v="5"/>
    <n v="1660.81198368487"/>
    <n v="101032.729007496"/>
    <n v="363717.82442698698"/>
  </r>
  <r>
    <x v="0"/>
    <x v="0"/>
    <x v="0"/>
    <x v="7"/>
    <x v="11"/>
    <s v="NO4_A1"/>
    <x v="7"/>
    <x v="7"/>
    <s v="GHYRS_WATER"/>
    <x v="4"/>
    <x v="6"/>
    <n v="1785.9972730238201"/>
    <n v="108648.167442283"/>
    <n v="391133.40279221698"/>
  </r>
  <r>
    <x v="0"/>
    <x v="0"/>
    <x v="0"/>
    <x v="7"/>
    <x v="11"/>
    <s v="NO4_A1"/>
    <x v="7"/>
    <x v="7"/>
    <s v="GHYRS_WATER"/>
    <x v="4"/>
    <x v="7"/>
    <n v="2102.4245945714101"/>
    <n v="127897.496169761"/>
    <n v="460430.98621113901"/>
  </r>
  <r>
    <x v="0"/>
    <x v="0"/>
    <x v="0"/>
    <x v="7"/>
    <x v="11"/>
    <s v="NO4_A1"/>
    <x v="7"/>
    <x v="7"/>
    <s v="GHYRS_WATER"/>
    <x v="4"/>
    <x v="8"/>
    <n v="2353.6437633114201"/>
    <n v="143179.995601445"/>
    <n v="515447.98416520201"/>
  </r>
  <r>
    <x v="0"/>
    <x v="0"/>
    <x v="0"/>
    <x v="7"/>
    <x v="11"/>
    <s v="NO4_A1"/>
    <x v="7"/>
    <x v="7"/>
    <s v="GHYRS_WATER"/>
    <x v="4"/>
    <x v="9"/>
    <n v="2259.9173807614002"/>
    <n v="137478.30732965199"/>
    <n v="494921.90638674702"/>
  </r>
  <r>
    <x v="0"/>
    <x v="0"/>
    <x v="0"/>
    <x v="7"/>
    <x v="11"/>
    <s v="NO4_A1"/>
    <x v="7"/>
    <x v="7"/>
    <s v="GHYRS_WATER"/>
    <x v="4"/>
    <x v="10"/>
    <n v="2177.5739368201798"/>
    <n v="132469.08115656101"/>
    <n v="476888.69216361898"/>
  </r>
  <r>
    <x v="0"/>
    <x v="0"/>
    <x v="0"/>
    <x v="7"/>
    <x v="11"/>
    <s v="NO4_A1"/>
    <x v="7"/>
    <x v="7"/>
    <s v="GHYRS_WATER"/>
    <x v="4"/>
    <x v="11"/>
    <n v="2128.45795579474"/>
    <n v="129481.19231084699"/>
    <n v="466132.29231904802"/>
  </r>
  <r>
    <x v="0"/>
    <x v="0"/>
    <x v="0"/>
    <x v="7"/>
    <x v="11"/>
    <s v="NO4_A1"/>
    <x v="7"/>
    <x v="7"/>
    <s v="GHYRS_WATER"/>
    <x v="5"/>
    <x v="0"/>
    <n v="1668.7538043514901"/>
    <n v="101515.856431382"/>
    <n v="365457.08315297699"/>
  </r>
  <r>
    <x v="0"/>
    <x v="0"/>
    <x v="0"/>
    <x v="7"/>
    <x v="11"/>
    <s v="NO4_A1"/>
    <x v="7"/>
    <x v="7"/>
    <s v="GHYRS_WATER"/>
    <x v="5"/>
    <x v="1"/>
    <n v="1685.37391087013"/>
    <n v="102526.912911266"/>
    <n v="369096.88648055802"/>
  </r>
  <r>
    <x v="0"/>
    <x v="0"/>
    <x v="0"/>
    <x v="7"/>
    <x v="11"/>
    <s v="NO4_A1"/>
    <x v="7"/>
    <x v="7"/>
    <s v="GHYRS_WATER"/>
    <x v="5"/>
    <x v="2"/>
    <n v="1613.92625128451"/>
    <n v="98180.513619808"/>
    <n v="353449.84903130902"/>
  </r>
  <r>
    <x v="0"/>
    <x v="0"/>
    <x v="0"/>
    <x v="7"/>
    <x v="11"/>
    <s v="NO4_A1"/>
    <x v="7"/>
    <x v="7"/>
    <s v="GHYRS_WATER"/>
    <x v="5"/>
    <x v="3"/>
    <n v="1692.1858285247699"/>
    <n v="102941.30456859"/>
    <n v="370588.696446924"/>
  </r>
  <r>
    <x v="0"/>
    <x v="0"/>
    <x v="0"/>
    <x v="7"/>
    <x v="11"/>
    <s v="NO4_A1"/>
    <x v="7"/>
    <x v="7"/>
    <s v="GHYRS_WATER"/>
    <x v="5"/>
    <x v="4"/>
    <n v="1695.7557345729599"/>
    <n v="103158.473853188"/>
    <n v="371370.505871478"/>
  </r>
  <r>
    <x v="0"/>
    <x v="0"/>
    <x v="0"/>
    <x v="7"/>
    <x v="11"/>
    <s v="NO4_A1"/>
    <x v="7"/>
    <x v="7"/>
    <s v="GHYRS_WATER"/>
    <x v="5"/>
    <x v="5"/>
    <n v="1714.7573243853501"/>
    <n v="104314.403900109"/>
    <n v="375531.85404039198"/>
  </r>
  <r>
    <x v="0"/>
    <x v="0"/>
    <x v="0"/>
    <x v="7"/>
    <x v="11"/>
    <s v="NO4_A1"/>
    <x v="7"/>
    <x v="7"/>
    <s v="GHYRS_WATER"/>
    <x v="5"/>
    <x v="6"/>
    <n v="1808.18939127985"/>
    <n v="109998.18796952401"/>
    <n v="395993.47669028601"/>
  </r>
  <r>
    <x v="0"/>
    <x v="0"/>
    <x v="0"/>
    <x v="7"/>
    <x v="11"/>
    <s v="NO4_A1"/>
    <x v="7"/>
    <x v="7"/>
    <s v="GHYRS_WATER"/>
    <x v="5"/>
    <x v="7"/>
    <n v="1946.0758316439901"/>
    <n v="118386.27975834299"/>
    <n v="426190.60713003401"/>
  </r>
  <r>
    <x v="0"/>
    <x v="0"/>
    <x v="0"/>
    <x v="7"/>
    <x v="11"/>
    <s v="NO4_A1"/>
    <x v="7"/>
    <x v="7"/>
    <s v="GHYRS_WATER"/>
    <x v="5"/>
    <x v="8"/>
    <n v="2015.88793988358"/>
    <n v="122633.183009584"/>
    <n v="441479.45883450302"/>
  </r>
  <r>
    <x v="0"/>
    <x v="0"/>
    <x v="0"/>
    <x v="7"/>
    <x v="11"/>
    <s v="NO4_A1"/>
    <x v="7"/>
    <x v="7"/>
    <s v="GHYRS_WATER"/>
    <x v="5"/>
    <x v="9"/>
    <n v="2010.01756190063"/>
    <n v="122276.068348955"/>
    <n v="440193.84605623898"/>
  </r>
  <r>
    <x v="0"/>
    <x v="0"/>
    <x v="0"/>
    <x v="7"/>
    <x v="11"/>
    <s v="NO4_A1"/>
    <x v="7"/>
    <x v="7"/>
    <s v="GHYRS_WATER"/>
    <x v="5"/>
    <x v="10"/>
    <n v="2004.07589459718"/>
    <n v="121914.61692132799"/>
    <n v="438892.62091678201"/>
  </r>
  <r>
    <x v="0"/>
    <x v="0"/>
    <x v="0"/>
    <x v="7"/>
    <x v="11"/>
    <s v="NO4_A1"/>
    <x v="7"/>
    <x v="7"/>
    <s v="GHYRS_WATER"/>
    <x v="5"/>
    <x v="11"/>
    <n v="2080.9193924030401"/>
    <n v="126589.263037852"/>
    <n v="455721.34693626699"/>
  </r>
  <r>
    <x v="0"/>
    <x v="0"/>
    <x v="0"/>
    <x v="7"/>
    <x v="11"/>
    <s v="NO4_A1"/>
    <x v="7"/>
    <x v="7"/>
    <s v="GHYRS_WATER"/>
    <x v="6"/>
    <x v="0"/>
    <n v="1456.86783360861"/>
    <n v="88626.126544524101"/>
    <n v="319054.05556028697"/>
  </r>
  <r>
    <x v="0"/>
    <x v="0"/>
    <x v="0"/>
    <x v="7"/>
    <x v="11"/>
    <s v="NO4_A1"/>
    <x v="7"/>
    <x v="7"/>
    <s v="GHYRS_WATER"/>
    <x v="6"/>
    <x v="1"/>
    <n v="1380.2064687355301"/>
    <n v="83962.560181411303"/>
    <n v="302265.21665308101"/>
  </r>
  <r>
    <x v="0"/>
    <x v="0"/>
    <x v="0"/>
    <x v="7"/>
    <x v="11"/>
    <s v="NO4_A1"/>
    <x v="7"/>
    <x v="7"/>
    <s v="GHYRS_WATER"/>
    <x v="6"/>
    <x v="2"/>
    <n v="1375.5992803755701"/>
    <n v="83682.289556180302"/>
    <n v="301256.24240224902"/>
  </r>
  <r>
    <x v="0"/>
    <x v="0"/>
    <x v="0"/>
    <x v="7"/>
    <x v="11"/>
    <s v="NO4_A1"/>
    <x v="7"/>
    <x v="7"/>
    <s v="GHYRS_WATER"/>
    <x v="6"/>
    <x v="3"/>
    <n v="1386.0738313495599"/>
    <n v="84319.491407098307"/>
    <n v="303550.16906555399"/>
  </r>
  <r>
    <x v="0"/>
    <x v="0"/>
    <x v="0"/>
    <x v="7"/>
    <x v="11"/>
    <s v="NO4_A1"/>
    <x v="7"/>
    <x v="7"/>
    <s v="GHYRS_WATER"/>
    <x v="6"/>
    <x v="4"/>
    <n v="1405.34330622673"/>
    <n v="85491.717795459204"/>
    <n v="307770.184063653"/>
  </r>
  <r>
    <x v="0"/>
    <x v="0"/>
    <x v="0"/>
    <x v="7"/>
    <x v="11"/>
    <s v="NO4_A1"/>
    <x v="7"/>
    <x v="7"/>
    <s v="GHYRS_WATER"/>
    <x v="6"/>
    <x v="5"/>
    <n v="1455.4753618171101"/>
    <n v="88541.417843874297"/>
    <n v="318749.10423794697"/>
  </r>
  <r>
    <x v="0"/>
    <x v="0"/>
    <x v="0"/>
    <x v="7"/>
    <x v="11"/>
    <s v="NO4_A1"/>
    <x v="7"/>
    <x v="7"/>
    <s v="GHYRS_WATER"/>
    <x v="6"/>
    <x v="6"/>
    <n v="1507.2819772917501"/>
    <n v="91692.986951914994"/>
    <n v="330094.753026894"/>
  </r>
  <r>
    <x v="0"/>
    <x v="0"/>
    <x v="0"/>
    <x v="7"/>
    <x v="11"/>
    <s v="NO4_A1"/>
    <x v="7"/>
    <x v="7"/>
    <s v="GHYRS_WATER"/>
    <x v="6"/>
    <x v="7"/>
    <n v="1633.2492914660099"/>
    <n v="99355.998564182097"/>
    <n v="357681.59483105602"/>
  </r>
  <r>
    <x v="0"/>
    <x v="0"/>
    <x v="0"/>
    <x v="7"/>
    <x v="11"/>
    <s v="NO4_A1"/>
    <x v="7"/>
    <x v="7"/>
    <s v="GHYRS_WATER"/>
    <x v="6"/>
    <x v="8"/>
    <n v="1666.0276742259"/>
    <n v="101350.016848742"/>
    <n v="364860.060655471"/>
  </r>
  <r>
    <x v="0"/>
    <x v="0"/>
    <x v="0"/>
    <x v="7"/>
    <x v="11"/>
    <s v="NO4_A1"/>
    <x v="7"/>
    <x v="7"/>
    <s v="GHYRS_WATER"/>
    <x v="6"/>
    <x v="9"/>
    <n v="1662.67673646041"/>
    <n v="101146.168134675"/>
    <n v="364126.20528483001"/>
  </r>
  <r>
    <x v="0"/>
    <x v="0"/>
    <x v="0"/>
    <x v="7"/>
    <x v="11"/>
    <s v="NO4_A1"/>
    <x v="7"/>
    <x v="7"/>
    <s v="GHYRS_WATER"/>
    <x v="6"/>
    <x v="10"/>
    <n v="1641.2077208461501"/>
    <n v="99840.136351474197"/>
    <n v="359424.49086530699"/>
  </r>
  <r>
    <x v="0"/>
    <x v="0"/>
    <x v="0"/>
    <x v="7"/>
    <x v="11"/>
    <s v="NO4_A1"/>
    <x v="7"/>
    <x v="7"/>
    <s v="GHYRS_WATER"/>
    <x v="6"/>
    <x v="11"/>
    <n v="1671.2837548791899"/>
    <n v="101669.761755151"/>
    <n v="366011.142318542"/>
  </r>
  <r>
    <x v="0"/>
    <x v="0"/>
    <x v="0"/>
    <x v="7"/>
    <x v="11"/>
    <s v="NO4_A1"/>
    <x v="7"/>
    <x v="7"/>
    <s v="GHYRS_WATER"/>
    <x v="7"/>
    <x v="0"/>
    <n v="1518.15080673546"/>
    <n v="92354.174076407304"/>
    <n v="332475.02667506598"/>
  </r>
  <r>
    <x v="0"/>
    <x v="0"/>
    <x v="0"/>
    <x v="7"/>
    <x v="11"/>
    <s v="NO4_A1"/>
    <x v="7"/>
    <x v="7"/>
    <s v="GHYRS_WATER"/>
    <x v="7"/>
    <x v="1"/>
    <n v="1482.6994727368699"/>
    <n v="90197.551258159801"/>
    <n v="324711.18452937499"/>
  </r>
  <r>
    <x v="0"/>
    <x v="0"/>
    <x v="0"/>
    <x v="7"/>
    <x v="11"/>
    <s v="NO4_A1"/>
    <x v="7"/>
    <x v="7"/>
    <s v="GHYRS_WATER"/>
    <x v="7"/>
    <x v="2"/>
    <n v="1471.61182648504"/>
    <n v="89523.052777839897"/>
    <n v="322282.99000022397"/>
  </r>
  <r>
    <x v="0"/>
    <x v="0"/>
    <x v="0"/>
    <x v="7"/>
    <x v="11"/>
    <s v="NO4_A1"/>
    <x v="7"/>
    <x v="7"/>
    <s v="GHYRS_WATER"/>
    <x v="7"/>
    <x v="3"/>
    <n v="1478.7900695624201"/>
    <n v="89959.729231713703"/>
    <n v="323855.02523416898"/>
  </r>
  <r>
    <x v="0"/>
    <x v="0"/>
    <x v="0"/>
    <x v="7"/>
    <x v="11"/>
    <s v="NO4_A1"/>
    <x v="7"/>
    <x v="7"/>
    <s v="GHYRS_WATER"/>
    <x v="7"/>
    <x v="4"/>
    <n v="1515.83581564985"/>
    <n v="92213.345452032299"/>
    <n v="331968.04362731602"/>
  </r>
  <r>
    <x v="0"/>
    <x v="0"/>
    <x v="0"/>
    <x v="7"/>
    <x v="11"/>
    <s v="NO4_A1"/>
    <x v="7"/>
    <x v="7"/>
    <s v="GHYRS_WATER"/>
    <x v="7"/>
    <x v="5"/>
    <n v="1527.3168949914"/>
    <n v="92911.777778643402"/>
    <n v="334482.400003116"/>
  </r>
  <r>
    <x v="0"/>
    <x v="0"/>
    <x v="0"/>
    <x v="7"/>
    <x v="11"/>
    <s v="NO4_A1"/>
    <x v="7"/>
    <x v="7"/>
    <s v="GHYRS_WATER"/>
    <x v="7"/>
    <x v="6"/>
    <n v="1599.03179355116"/>
    <n v="97274.434107695794"/>
    <n v="350187.96278770501"/>
  </r>
  <r>
    <x v="0"/>
    <x v="0"/>
    <x v="0"/>
    <x v="7"/>
    <x v="11"/>
    <s v="NO4_A1"/>
    <x v="7"/>
    <x v="7"/>
    <s v="GHYRS_WATER"/>
    <x v="7"/>
    <x v="7"/>
    <n v="1720.31891338892"/>
    <n v="104652.73389782599"/>
    <n v="376749.842032174"/>
  </r>
  <r>
    <x v="0"/>
    <x v="0"/>
    <x v="0"/>
    <x v="7"/>
    <x v="11"/>
    <s v="NO4_A1"/>
    <x v="7"/>
    <x v="7"/>
    <s v="GHYRS_WATER"/>
    <x v="7"/>
    <x v="8"/>
    <n v="1721.6941727705"/>
    <n v="104736.39551020499"/>
    <n v="377051.02383673901"/>
  </r>
  <r>
    <x v="0"/>
    <x v="0"/>
    <x v="0"/>
    <x v="7"/>
    <x v="11"/>
    <s v="NO4_A1"/>
    <x v="7"/>
    <x v="7"/>
    <s v="GHYRS_WATER"/>
    <x v="7"/>
    <x v="9"/>
    <n v="1732.4762227404899"/>
    <n v="105392.303550047"/>
    <n v="379412.29278016801"/>
  </r>
  <r>
    <x v="0"/>
    <x v="0"/>
    <x v="0"/>
    <x v="7"/>
    <x v="11"/>
    <s v="NO4_A1"/>
    <x v="7"/>
    <x v="7"/>
    <s v="GHYRS_WATER"/>
    <x v="7"/>
    <x v="10"/>
    <n v="1723.9873688867101"/>
    <n v="104875.898273941"/>
    <n v="377553.233786189"/>
  </r>
  <r>
    <x v="0"/>
    <x v="0"/>
    <x v="0"/>
    <x v="7"/>
    <x v="11"/>
    <s v="NO4_A1"/>
    <x v="7"/>
    <x v="7"/>
    <s v="GHYRS_WATER"/>
    <x v="7"/>
    <x v="11"/>
    <n v="1729.2617769190599"/>
    <n v="105196.75809591"/>
    <n v="378708.32914527401"/>
  </r>
  <r>
    <x v="0"/>
    <x v="0"/>
    <x v="0"/>
    <x v="7"/>
    <x v="11"/>
    <s v="NO4_A1"/>
    <x v="7"/>
    <x v="7"/>
    <s v="GHYRS_WATER"/>
    <x v="8"/>
    <x v="0"/>
    <n v="2467.4490795633601"/>
    <n v="150103.15234010399"/>
    <n v="540371.34842437506"/>
  </r>
  <r>
    <x v="0"/>
    <x v="0"/>
    <x v="0"/>
    <x v="7"/>
    <x v="11"/>
    <s v="NO4_A1"/>
    <x v="7"/>
    <x v="7"/>
    <s v="GHYRS_WATER"/>
    <x v="8"/>
    <x v="1"/>
    <n v="2439.82897442181"/>
    <n v="148422.929277327"/>
    <n v="534322.545398377"/>
  </r>
  <r>
    <x v="0"/>
    <x v="0"/>
    <x v="0"/>
    <x v="7"/>
    <x v="11"/>
    <s v="NO4_A1"/>
    <x v="7"/>
    <x v="7"/>
    <s v="GHYRS_WATER"/>
    <x v="8"/>
    <x v="2"/>
    <n v="2409.2562136341598"/>
    <n v="146563.08632941099"/>
    <n v="527627.11078588001"/>
  </r>
  <r>
    <x v="0"/>
    <x v="0"/>
    <x v="0"/>
    <x v="7"/>
    <x v="11"/>
    <s v="NO4_A1"/>
    <x v="7"/>
    <x v="7"/>
    <s v="GHYRS_WATER"/>
    <x v="8"/>
    <x v="3"/>
    <n v="2393.2304665177899"/>
    <n v="145588.18671316601"/>
    <n v="524117.47216739599"/>
  </r>
  <r>
    <x v="0"/>
    <x v="0"/>
    <x v="0"/>
    <x v="7"/>
    <x v="11"/>
    <s v="NO4_A1"/>
    <x v="7"/>
    <x v="7"/>
    <s v="GHYRS_WATER"/>
    <x v="8"/>
    <x v="4"/>
    <n v="2416.7495673165499"/>
    <n v="147018.93201175699"/>
    <n v="529268.15524232504"/>
  </r>
  <r>
    <x v="0"/>
    <x v="0"/>
    <x v="0"/>
    <x v="7"/>
    <x v="11"/>
    <s v="NO4_A1"/>
    <x v="7"/>
    <x v="7"/>
    <s v="GHYRS_WATER"/>
    <x v="8"/>
    <x v="5"/>
    <n v="2464.40686967497"/>
    <n v="149918.084571894"/>
    <n v="539705.10445881798"/>
  </r>
  <r>
    <x v="0"/>
    <x v="0"/>
    <x v="0"/>
    <x v="7"/>
    <x v="11"/>
    <s v="NO4_A1"/>
    <x v="7"/>
    <x v="7"/>
    <s v="GHYRS_WATER"/>
    <x v="8"/>
    <x v="6"/>
    <n v="2609.71019446935"/>
    <n v="158757.370163552"/>
    <n v="571526.53258878796"/>
  </r>
  <r>
    <x v="0"/>
    <x v="0"/>
    <x v="0"/>
    <x v="7"/>
    <x v="11"/>
    <s v="NO4_A1"/>
    <x v="7"/>
    <x v="7"/>
    <s v="GHYRS_WATER"/>
    <x v="8"/>
    <x v="7"/>
    <n v="2709.4906747682298"/>
    <n v="164827.34938173401"/>
    <n v="593378.45777424297"/>
  </r>
  <r>
    <x v="0"/>
    <x v="0"/>
    <x v="0"/>
    <x v="7"/>
    <x v="11"/>
    <s v="NO4_A1"/>
    <x v="7"/>
    <x v="7"/>
    <s v="GHYRS_WATER"/>
    <x v="8"/>
    <x v="8"/>
    <n v="2747.2473267682099"/>
    <n v="167124.2123784"/>
    <n v="601647.16456223896"/>
  </r>
  <r>
    <x v="0"/>
    <x v="0"/>
    <x v="0"/>
    <x v="7"/>
    <x v="11"/>
    <s v="NO4_A1"/>
    <x v="7"/>
    <x v="7"/>
    <s v="GHYRS_WATER"/>
    <x v="8"/>
    <x v="9"/>
    <n v="2731.3066641862401"/>
    <n v="166154.488737996"/>
    <n v="598156.159456786"/>
  </r>
  <r>
    <x v="0"/>
    <x v="0"/>
    <x v="0"/>
    <x v="7"/>
    <x v="11"/>
    <s v="NO4_A1"/>
    <x v="7"/>
    <x v="7"/>
    <s v="GHYRS_WATER"/>
    <x v="8"/>
    <x v="10"/>
    <n v="2678.8396575977799"/>
    <n v="162962.74583719799"/>
    <n v="586665.88501391397"/>
  </r>
  <r>
    <x v="0"/>
    <x v="0"/>
    <x v="0"/>
    <x v="7"/>
    <x v="11"/>
    <s v="NO4_A1"/>
    <x v="7"/>
    <x v="7"/>
    <s v="GHYRS_WATER"/>
    <x v="8"/>
    <x v="11"/>
    <n v="2595.45540001272"/>
    <n v="157890.20350077399"/>
    <n v="568404.73260278697"/>
  </r>
  <r>
    <x v="0"/>
    <x v="0"/>
    <x v="0"/>
    <x v="7"/>
    <x v="11"/>
    <s v="NO4_A1"/>
    <x v="7"/>
    <x v="7"/>
    <s v="GHYRS_WATER"/>
    <x v="9"/>
    <x v="0"/>
    <n v="2378.6906631607999"/>
    <n v="144703.68200894899"/>
    <n v="520933.25523221598"/>
  </r>
  <r>
    <x v="0"/>
    <x v="0"/>
    <x v="0"/>
    <x v="7"/>
    <x v="11"/>
    <s v="NO4_A1"/>
    <x v="7"/>
    <x v="7"/>
    <s v="GHYRS_WATER"/>
    <x v="9"/>
    <x v="1"/>
    <n v="2347.5601027930702"/>
    <n v="142809.90625324499"/>
    <n v="514115.66251168202"/>
  </r>
  <r>
    <x v="0"/>
    <x v="0"/>
    <x v="0"/>
    <x v="7"/>
    <x v="11"/>
    <s v="NO4_A1"/>
    <x v="7"/>
    <x v="7"/>
    <s v="GHYRS_WATER"/>
    <x v="9"/>
    <x v="2"/>
    <n v="2359.8430301118301"/>
    <n v="143557.117665136"/>
    <n v="516805.62359449099"/>
  </r>
  <r>
    <x v="0"/>
    <x v="0"/>
    <x v="0"/>
    <x v="7"/>
    <x v="11"/>
    <s v="NO4_A1"/>
    <x v="7"/>
    <x v="7"/>
    <s v="GHYRS_WATER"/>
    <x v="9"/>
    <x v="3"/>
    <n v="2341.88615254253"/>
    <n v="142464.740946337"/>
    <n v="512873.06740681402"/>
  </r>
  <r>
    <x v="0"/>
    <x v="0"/>
    <x v="0"/>
    <x v="7"/>
    <x v="11"/>
    <s v="NO4_A1"/>
    <x v="7"/>
    <x v="7"/>
    <s v="GHYRS_WATER"/>
    <x v="9"/>
    <x v="4"/>
    <n v="2381.1602264179401"/>
    <n v="144853.91377375799"/>
    <n v="521474.089585529"/>
  </r>
  <r>
    <x v="0"/>
    <x v="0"/>
    <x v="0"/>
    <x v="7"/>
    <x v="11"/>
    <s v="NO4_A1"/>
    <x v="7"/>
    <x v="7"/>
    <s v="GHYRS_WATER"/>
    <x v="9"/>
    <x v="5"/>
    <n v="2443.3136137944002"/>
    <n v="148634.91150582599"/>
    <n v="535085.68142097502"/>
  </r>
  <r>
    <x v="0"/>
    <x v="0"/>
    <x v="0"/>
    <x v="7"/>
    <x v="11"/>
    <s v="NO4_A1"/>
    <x v="7"/>
    <x v="7"/>
    <s v="GHYRS_WATER"/>
    <x v="9"/>
    <x v="6"/>
    <n v="2547.19807876812"/>
    <n v="154954.54979172701"/>
    <n v="557836.37925021898"/>
  </r>
  <r>
    <x v="0"/>
    <x v="0"/>
    <x v="0"/>
    <x v="7"/>
    <x v="11"/>
    <s v="NO4_A1"/>
    <x v="7"/>
    <x v="7"/>
    <s v="GHYRS_WATER"/>
    <x v="9"/>
    <x v="7"/>
    <n v="2696.3383849279599"/>
    <n v="164027.25174978399"/>
    <n v="590498.10629922198"/>
  </r>
  <r>
    <x v="0"/>
    <x v="0"/>
    <x v="0"/>
    <x v="7"/>
    <x v="11"/>
    <s v="NO4_A1"/>
    <x v="7"/>
    <x v="7"/>
    <s v="GHYRS_WATER"/>
    <x v="9"/>
    <x v="8"/>
    <n v="2748.8866425465299"/>
    <n v="167223.93742158101"/>
    <n v="602006.17471768998"/>
  </r>
  <r>
    <x v="0"/>
    <x v="0"/>
    <x v="0"/>
    <x v="7"/>
    <x v="11"/>
    <s v="NO4_A1"/>
    <x v="7"/>
    <x v="7"/>
    <s v="GHYRS_WATER"/>
    <x v="9"/>
    <x v="9"/>
    <n v="2713.1541959813098"/>
    <n v="165050.213588863"/>
    <n v="594180.76891990704"/>
  </r>
  <r>
    <x v="0"/>
    <x v="0"/>
    <x v="0"/>
    <x v="7"/>
    <x v="11"/>
    <s v="NO4_A1"/>
    <x v="7"/>
    <x v="7"/>
    <s v="GHYRS_WATER"/>
    <x v="9"/>
    <x v="10"/>
    <n v="2708.5464908151098"/>
    <n v="164769.911524586"/>
    <n v="593171.68148850906"/>
  </r>
  <r>
    <x v="0"/>
    <x v="0"/>
    <x v="0"/>
    <x v="7"/>
    <x v="11"/>
    <s v="NO4_A1"/>
    <x v="7"/>
    <x v="7"/>
    <s v="GHYRS_WATER"/>
    <x v="9"/>
    <x v="11"/>
    <n v="2634.9507919502398"/>
    <n v="160292.839843639"/>
    <n v="577054.22343710205"/>
  </r>
  <r>
    <x v="0"/>
    <x v="0"/>
    <x v="0"/>
    <x v="7"/>
    <x v="11"/>
    <s v="NO4_A1"/>
    <x v="7"/>
    <x v="7"/>
    <s v="GHYRS_WATER"/>
    <x v="10"/>
    <x v="0"/>
    <n v="2269.2919511510099"/>
    <n v="138048.59369502001"/>
    <n v="496974.93730207102"/>
  </r>
  <r>
    <x v="0"/>
    <x v="0"/>
    <x v="0"/>
    <x v="7"/>
    <x v="11"/>
    <s v="NO4_A1"/>
    <x v="7"/>
    <x v="7"/>
    <s v="GHYRS_WATER"/>
    <x v="10"/>
    <x v="1"/>
    <n v="2227.3004184834099"/>
    <n v="135494.10879107399"/>
    <n v="487778.791647868"/>
  </r>
  <r>
    <x v="0"/>
    <x v="0"/>
    <x v="0"/>
    <x v="7"/>
    <x v="11"/>
    <s v="NO4_A1"/>
    <x v="7"/>
    <x v="7"/>
    <s v="GHYRS_WATER"/>
    <x v="10"/>
    <x v="2"/>
    <n v="2268.9879678193702"/>
    <n v="138030.10137567899"/>
    <n v="496908.36495244299"/>
  </r>
  <r>
    <x v="0"/>
    <x v="0"/>
    <x v="0"/>
    <x v="7"/>
    <x v="11"/>
    <s v="NO4_A1"/>
    <x v="7"/>
    <x v="7"/>
    <s v="GHYRS_WATER"/>
    <x v="10"/>
    <x v="3"/>
    <n v="2249.9936567084801"/>
    <n v="136874.61411643299"/>
    <n v="492748.61081915803"/>
  </r>
  <r>
    <x v="0"/>
    <x v="0"/>
    <x v="0"/>
    <x v="7"/>
    <x v="11"/>
    <s v="NO4_A1"/>
    <x v="7"/>
    <x v="7"/>
    <s v="GHYRS_WATER"/>
    <x v="10"/>
    <x v="4"/>
    <n v="2290.7413253033701"/>
    <n v="139353.43062262199"/>
    <n v="501672.35024143802"/>
  </r>
  <r>
    <x v="0"/>
    <x v="0"/>
    <x v="0"/>
    <x v="7"/>
    <x v="11"/>
    <s v="NO4_A1"/>
    <x v="7"/>
    <x v="7"/>
    <s v="GHYRS_WATER"/>
    <x v="10"/>
    <x v="5"/>
    <n v="2295.4815494522099"/>
    <n v="139641.794258343"/>
    <n v="502710.45933003502"/>
  </r>
  <r>
    <x v="0"/>
    <x v="0"/>
    <x v="0"/>
    <x v="7"/>
    <x v="11"/>
    <s v="NO4_A1"/>
    <x v="7"/>
    <x v="7"/>
    <s v="GHYRS_WATER"/>
    <x v="10"/>
    <x v="6"/>
    <n v="2356.7020697807102"/>
    <n v="143366.042578327"/>
    <n v="516117.75328197598"/>
  </r>
  <r>
    <x v="0"/>
    <x v="0"/>
    <x v="0"/>
    <x v="7"/>
    <x v="11"/>
    <s v="NO4_A1"/>
    <x v="7"/>
    <x v="7"/>
    <s v="GHYRS_WATER"/>
    <x v="10"/>
    <x v="7"/>
    <n v="1545.45232841764"/>
    <n v="94015.0166454063"/>
    <n v="338454.05992346298"/>
  </r>
  <r>
    <x v="0"/>
    <x v="0"/>
    <x v="0"/>
    <x v="7"/>
    <x v="11"/>
    <s v="NO4_A1"/>
    <x v="7"/>
    <x v="7"/>
    <s v="GHYRS_WATER"/>
    <x v="10"/>
    <x v="8"/>
    <n v="1422.9557565083701"/>
    <n v="86563.1418542592"/>
    <n v="311627.31067533302"/>
  </r>
  <r>
    <x v="0"/>
    <x v="0"/>
    <x v="0"/>
    <x v="7"/>
    <x v="11"/>
    <s v="NO4_A1"/>
    <x v="7"/>
    <x v="7"/>
    <s v="GHYRS_WATER"/>
    <x v="10"/>
    <x v="9"/>
    <n v="1452.7905706571701"/>
    <n v="88378.093048310999"/>
    <n v="318161.13497391902"/>
  </r>
  <r>
    <x v="0"/>
    <x v="0"/>
    <x v="0"/>
    <x v="7"/>
    <x v="11"/>
    <s v="NO4_A1"/>
    <x v="7"/>
    <x v="7"/>
    <s v="GHYRS_WATER"/>
    <x v="10"/>
    <x v="10"/>
    <n v="2469.82054586597"/>
    <n v="150247.41654018001"/>
    <n v="540890.69954464899"/>
  </r>
  <r>
    <x v="0"/>
    <x v="0"/>
    <x v="0"/>
    <x v="7"/>
    <x v="11"/>
    <s v="NO4_A1"/>
    <x v="7"/>
    <x v="7"/>
    <s v="GHYRS_WATER"/>
    <x v="10"/>
    <x v="11"/>
    <n v="1467.4397663053201"/>
    <n v="89269.252450240107"/>
    <n v="321369.30882086401"/>
  </r>
  <r>
    <x v="0"/>
    <x v="0"/>
    <x v="0"/>
    <x v="7"/>
    <x v="11"/>
    <s v="NO4_A1"/>
    <x v="7"/>
    <x v="7"/>
    <s v="GHYRS_WATER"/>
    <x v="11"/>
    <x v="0"/>
    <n v="830.79277770237195"/>
    <n v="50539.893976894302"/>
    <n v="181943.61831681899"/>
  </r>
  <r>
    <x v="0"/>
    <x v="0"/>
    <x v="0"/>
    <x v="7"/>
    <x v="11"/>
    <s v="NO4_A1"/>
    <x v="7"/>
    <x v="7"/>
    <s v="GHYRS_WATER"/>
    <x v="11"/>
    <x v="1"/>
    <n v="816.32817294116398"/>
    <n v="49659.963853920803"/>
    <n v="178775.86987411499"/>
  </r>
  <r>
    <x v="0"/>
    <x v="0"/>
    <x v="0"/>
    <x v="7"/>
    <x v="11"/>
    <s v="NO4_A1"/>
    <x v="7"/>
    <x v="7"/>
    <s v="GHYRS_WATER"/>
    <x v="11"/>
    <x v="2"/>
    <n v="807.66634099620899"/>
    <n v="49133.035743936001"/>
    <n v="176878.92867816999"/>
  </r>
  <r>
    <x v="0"/>
    <x v="0"/>
    <x v="0"/>
    <x v="7"/>
    <x v="11"/>
    <s v="NO4_A1"/>
    <x v="7"/>
    <x v="7"/>
    <s v="GHYRS_WATER"/>
    <x v="11"/>
    <x v="3"/>
    <n v="1783.91707463288"/>
    <n v="108521.622040167"/>
    <n v="390677.83934460097"/>
  </r>
  <r>
    <x v="0"/>
    <x v="0"/>
    <x v="0"/>
    <x v="7"/>
    <x v="11"/>
    <s v="NO4_A1"/>
    <x v="7"/>
    <x v="7"/>
    <s v="GHYRS_WATER"/>
    <x v="11"/>
    <x v="4"/>
    <n v="1814.9568651720299"/>
    <n v="110409.875964632"/>
    <n v="397475.55347267498"/>
  </r>
  <r>
    <x v="0"/>
    <x v="0"/>
    <x v="0"/>
    <x v="7"/>
    <x v="11"/>
    <s v="NO4_A1"/>
    <x v="7"/>
    <x v="7"/>
    <s v="GHYRS_WATER"/>
    <x v="11"/>
    <x v="5"/>
    <n v="1801.0535486139099"/>
    <n v="109564.090874013"/>
    <n v="394430.727146447"/>
  </r>
  <r>
    <x v="0"/>
    <x v="0"/>
    <x v="0"/>
    <x v="7"/>
    <x v="11"/>
    <s v="NO4_A1"/>
    <x v="7"/>
    <x v="7"/>
    <s v="GHYRS_WATER"/>
    <x v="11"/>
    <x v="6"/>
    <n v="912.12193630507602"/>
    <n v="55487.417791892098"/>
    <n v="199754.704050812"/>
  </r>
  <r>
    <x v="0"/>
    <x v="0"/>
    <x v="0"/>
    <x v="7"/>
    <x v="11"/>
    <s v="NO4_A1"/>
    <x v="7"/>
    <x v="7"/>
    <s v="GHYRS_WATER"/>
    <x v="11"/>
    <x v="7"/>
    <n v="2104.9172090301099"/>
    <n v="128049.130215999"/>
    <n v="460976.86877759499"/>
  </r>
  <r>
    <x v="0"/>
    <x v="0"/>
    <x v="0"/>
    <x v="7"/>
    <x v="11"/>
    <s v="NO4_A1"/>
    <x v="7"/>
    <x v="7"/>
    <s v="GHYRS_WATER"/>
    <x v="11"/>
    <x v="8"/>
    <n v="2113.3568258761602"/>
    <n v="128562.54024079999"/>
    <n v="462825.14486687898"/>
  </r>
  <r>
    <x v="0"/>
    <x v="0"/>
    <x v="0"/>
    <x v="7"/>
    <x v="11"/>
    <s v="NO4_A1"/>
    <x v="7"/>
    <x v="7"/>
    <s v="GHYRS_WATER"/>
    <x v="11"/>
    <x v="9"/>
    <n v="1135.4292098916001"/>
    <n v="69071.943601738894"/>
    <n v="248658.99696625999"/>
  </r>
  <r>
    <x v="0"/>
    <x v="0"/>
    <x v="0"/>
    <x v="7"/>
    <x v="11"/>
    <s v="NO4_A1"/>
    <x v="7"/>
    <x v="7"/>
    <s v="GHYRS_WATER"/>
    <x v="11"/>
    <x v="10"/>
    <n v="2028.93914965506"/>
    <n v="123427.131604016"/>
    <n v="444337.67377445701"/>
  </r>
  <r>
    <x v="0"/>
    <x v="0"/>
    <x v="0"/>
    <x v="7"/>
    <x v="11"/>
    <s v="NO4_A1"/>
    <x v="7"/>
    <x v="7"/>
    <s v="GHYRS_WATER"/>
    <x v="11"/>
    <x v="11"/>
    <n v="1997.87027218772"/>
    <n v="121537.108224753"/>
    <n v="437533.58960911102"/>
  </r>
  <r>
    <x v="0"/>
    <x v="0"/>
    <x v="0"/>
    <x v="7"/>
    <x v="11"/>
    <s v="NO4_A1"/>
    <x v="0"/>
    <x v="0"/>
    <s v="GWND_WIND"/>
    <x v="0"/>
    <x v="0"/>
    <n v="60.633157694389503"/>
    <n v="3688.5170930753602"/>
    <n v="13278.6615350713"/>
  </r>
  <r>
    <x v="0"/>
    <x v="0"/>
    <x v="0"/>
    <x v="7"/>
    <x v="11"/>
    <s v="NO4_A1"/>
    <x v="0"/>
    <x v="0"/>
    <s v="GWND_WIND"/>
    <x v="0"/>
    <x v="1"/>
    <n v="61.225988900496702"/>
    <n v="3724.58099144688"/>
    <n v="13408.4915692088"/>
  </r>
  <r>
    <x v="0"/>
    <x v="0"/>
    <x v="0"/>
    <x v="7"/>
    <x v="11"/>
    <s v="NO4_A1"/>
    <x v="0"/>
    <x v="0"/>
    <s v="GWND_WIND"/>
    <x v="0"/>
    <x v="2"/>
    <n v="60.634786531985803"/>
    <n v="3688.6161806957998"/>
    <n v="13279.0182505049"/>
  </r>
  <r>
    <x v="0"/>
    <x v="0"/>
    <x v="0"/>
    <x v="7"/>
    <x v="11"/>
    <s v="NO4_A1"/>
    <x v="0"/>
    <x v="0"/>
    <s v="GWND_WIND"/>
    <x v="0"/>
    <x v="3"/>
    <n v="60.855763309915297"/>
    <n v="3702.0589346865099"/>
    <n v="13327.412164871501"/>
  </r>
  <r>
    <x v="0"/>
    <x v="0"/>
    <x v="0"/>
    <x v="7"/>
    <x v="11"/>
    <s v="NO4_A1"/>
    <x v="0"/>
    <x v="0"/>
    <s v="GWND_WIND"/>
    <x v="0"/>
    <x v="4"/>
    <n v="53.664267989255201"/>
    <n v="3264.5763026796899"/>
    <n v="11752.474689646901"/>
  </r>
  <r>
    <x v="0"/>
    <x v="0"/>
    <x v="0"/>
    <x v="7"/>
    <x v="11"/>
    <s v="NO4_A1"/>
    <x v="0"/>
    <x v="0"/>
    <s v="GWND_WIND"/>
    <x v="0"/>
    <x v="5"/>
    <n v="57.927441706497497"/>
    <n v="3523.9193704785898"/>
    <n v="12686.1097337229"/>
  </r>
  <r>
    <x v="0"/>
    <x v="0"/>
    <x v="0"/>
    <x v="7"/>
    <x v="11"/>
    <s v="NO4_A1"/>
    <x v="0"/>
    <x v="0"/>
    <s v="GWND_WIND"/>
    <x v="0"/>
    <x v="6"/>
    <n v="54.886901074168797"/>
    <n v="3338.9531486786"/>
    <n v="12020.231335242999"/>
  </r>
  <r>
    <x v="0"/>
    <x v="0"/>
    <x v="0"/>
    <x v="7"/>
    <x v="11"/>
    <s v="NO4_A1"/>
    <x v="0"/>
    <x v="0"/>
    <s v="GWND_WIND"/>
    <x v="0"/>
    <x v="7"/>
    <n v="54.079253774266398"/>
    <n v="3289.8212712678701"/>
    <n v="11843.3565765643"/>
  </r>
  <r>
    <x v="0"/>
    <x v="0"/>
    <x v="0"/>
    <x v="7"/>
    <x v="11"/>
    <s v="NO4_A1"/>
    <x v="0"/>
    <x v="0"/>
    <s v="GWND_WIND"/>
    <x v="0"/>
    <x v="8"/>
    <n v="56.960076371651098"/>
    <n v="3465.0713126087699"/>
    <n v="12474.2567253916"/>
  </r>
  <r>
    <x v="0"/>
    <x v="0"/>
    <x v="0"/>
    <x v="7"/>
    <x v="11"/>
    <s v="NO4_A1"/>
    <x v="0"/>
    <x v="0"/>
    <s v="GWND_WIND"/>
    <x v="0"/>
    <x v="9"/>
    <n v="60.053238966968898"/>
    <n v="3653.2387038239399"/>
    <n v="13151.6593337662"/>
  </r>
  <r>
    <x v="0"/>
    <x v="0"/>
    <x v="0"/>
    <x v="7"/>
    <x v="11"/>
    <s v="NO4_A1"/>
    <x v="0"/>
    <x v="0"/>
    <s v="GWND_WIND"/>
    <x v="0"/>
    <x v="10"/>
    <n v="59.290496355153998"/>
    <n v="3606.83852827187"/>
    <n v="12984.6187017787"/>
  </r>
  <r>
    <x v="0"/>
    <x v="0"/>
    <x v="0"/>
    <x v="7"/>
    <x v="11"/>
    <s v="NO4_A1"/>
    <x v="0"/>
    <x v="0"/>
    <s v="GWND_WIND"/>
    <x v="0"/>
    <x v="11"/>
    <n v="60.126884757158301"/>
    <n v="3657.7188227271299"/>
    <n v="13167.787761817701"/>
  </r>
  <r>
    <x v="0"/>
    <x v="0"/>
    <x v="0"/>
    <x v="7"/>
    <x v="11"/>
    <s v="NO4_A1"/>
    <x v="0"/>
    <x v="0"/>
    <s v="GWND_WIND"/>
    <x v="1"/>
    <x v="0"/>
    <n v="8.3230753068075192"/>
    <n v="506.32041449745799"/>
    <n v="1822.75349219085"/>
  </r>
  <r>
    <x v="0"/>
    <x v="0"/>
    <x v="0"/>
    <x v="7"/>
    <x v="11"/>
    <s v="NO4_A1"/>
    <x v="0"/>
    <x v="0"/>
    <s v="GWND_WIND"/>
    <x v="1"/>
    <x v="1"/>
    <n v="14.954922810204099"/>
    <n v="909.75780428741803"/>
    <n v="3275.1280954347098"/>
  </r>
  <r>
    <x v="0"/>
    <x v="0"/>
    <x v="0"/>
    <x v="7"/>
    <x v="11"/>
    <s v="NO4_A1"/>
    <x v="0"/>
    <x v="0"/>
    <s v="GWND_WIND"/>
    <x v="1"/>
    <x v="2"/>
    <n v="16.1268307397809"/>
    <n v="981.04887000333895"/>
    <n v="3531.7759320120199"/>
  </r>
  <r>
    <x v="0"/>
    <x v="0"/>
    <x v="0"/>
    <x v="7"/>
    <x v="11"/>
    <s v="NO4_A1"/>
    <x v="0"/>
    <x v="0"/>
    <s v="GWND_WIND"/>
    <x v="1"/>
    <x v="3"/>
    <n v="19.066630393937601"/>
    <n v="1159.88668229787"/>
    <n v="4175.5920562723504"/>
  </r>
  <r>
    <x v="0"/>
    <x v="0"/>
    <x v="0"/>
    <x v="7"/>
    <x v="11"/>
    <s v="NO4_A1"/>
    <x v="0"/>
    <x v="0"/>
    <s v="GWND_WIND"/>
    <x v="1"/>
    <x v="4"/>
    <n v="18.484293368118099"/>
    <n v="1124.4611798938499"/>
    <n v="4048.0602476178601"/>
  </r>
  <r>
    <x v="0"/>
    <x v="0"/>
    <x v="0"/>
    <x v="7"/>
    <x v="11"/>
    <s v="NO4_A1"/>
    <x v="0"/>
    <x v="0"/>
    <s v="GWND_WIND"/>
    <x v="1"/>
    <x v="5"/>
    <n v="23.772999655706101"/>
    <n v="1446.1908123887899"/>
    <n v="5206.2869245996299"/>
  </r>
  <r>
    <x v="0"/>
    <x v="0"/>
    <x v="0"/>
    <x v="7"/>
    <x v="11"/>
    <s v="NO4_A1"/>
    <x v="0"/>
    <x v="0"/>
    <s v="GWND_WIND"/>
    <x v="1"/>
    <x v="6"/>
    <n v="28.614900027692599"/>
    <n v="1740.7397516846299"/>
    <n v="6266.6631060646696"/>
  </r>
  <r>
    <x v="0"/>
    <x v="0"/>
    <x v="0"/>
    <x v="7"/>
    <x v="11"/>
    <s v="NO4_A1"/>
    <x v="0"/>
    <x v="0"/>
    <s v="GWND_WIND"/>
    <x v="1"/>
    <x v="7"/>
    <n v="36.358133871779003"/>
    <n v="2211.7864771998902"/>
    <n v="7962.4313179195997"/>
  </r>
  <r>
    <x v="0"/>
    <x v="0"/>
    <x v="0"/>
    <x v="7"/>
    <x v="11"/>
    <s v="NO4_A1"/>
    <x v="0"/>
    <x v="0"/>
    <s v="GWND_WIND"/>
    <x v="1"/>
    <x v="8"/>
    <n v="34.776080694725202"/>
    <n v="2115.5449089291101"/>
    <n v="7615.9616721448101"/>
  </r>
  <r>
    <x v="0"/>
    <x v="0"/>
    <x v="0"/>
    <x v="7"/>
    <x v="11"/>
    <s v="NO4_A1"/>
    <x v="0"/>
    <x v="0"/>
    <s v="GWND_WIND"/>
    <x v="1"/>
    <x v="9"/>
    <n v="36.142320771745403"/>
    <n v="2198.65784694784"/>
    <n v="7915.1682490122403"/>
  </r>
  <r>
    <x v="0"/>
    <x v="0"/>
    <x v="0"/>
    <x v="7"/>
    <x v="11"/>
    <s v="NO4_A1"/>
    <x v="0"/>
    <x v="0"/>
    <s v="GWND_WIND"/>
    <x v="1"/>
    <x v="10"/>
    <n v="36.622320821264402"/>
    <n v="2227.85784996025"/>
    <n v="8020.2882598569104"/>
  </r>
  <r>
    <x v="0"/>
    <x v="0"/>
    <x v="0"/>
    <x v="7"/>
    <x v="11"/>
    <s v="NO4_A1"/>
    <x v="0"/>
    <x v="0"/>
    <s v="GWND_WIND"/>
    <x v="1"/>
    <x v="11"/>
    <n v="33.583724942210999"/>
    <n v="2043.0099339845001"/>
    <n v="7354.8357623442098"/>
  </r>
  <r>
    <x v="0"/>
    <x v="0"/>
    <x v="0"/>
    <x v="7"/>
    <x v="11"/>
    <s v="NO4_A1"/>
    <x v="0"/>
    <x v="0"/>
    <s v="GWND_WIND"/>
    <x v="2"/>
    <x v="0"/>
    <n v="36.291887470444202"/>
    <n v="2207.7564877853602"/>
    <n v="7947.9233560272896"/>
  </r>
  <r>
    <x v="0"/>
    <x v="0"/>
    <x v="0"/>
    <x v="7"/>
    <x v="11"/>
    <s v="NO4_A1"/>
    <x v="0"/>
    <x v="0"/>
    <s v="GWND_WIND"/>
    <x v="2"/>
    <x v="1"/>
    <n v="37.762471672028802"/>
    <n v="2297.21702671508"/>
    <n v="8269.9812961742991"/>
  </r>
  <r>
    <x v="0"/>
    <x v="0"/>
    <x v="0"/>
    <x v="7"/>
    <x v="11"/>
    <s v="NO4_A1"/>
    <x v="0"/>
    <x v="0"/>
    <s v="GWND_WIND"/>
    <x v="2"/>
    <x v="2"/>
    <n v="29.088786681910801"/>
    <n v="1769.5678564829"/>
    <n v="6370.4442833384601"/>
  </r>
  <r>
    <x v="0"/>
    <x v="0"/>
    <x v="0"/>
    <x v="7"/>
    <x v="11"/>
    <s v="NO4_A1"/>
    <x v="0"/>
    <x v="0"/>
    <s v="GWND_WIND"/>
    <x v="2"/>
    <x v="3"/>
    <n v="30.789989329131799"/>
    <n v="1873.0576841888501"/>
    <n v="6743.0076630798603"/>
  </r>
  <r>
    <x v="0"/>
    <x v="0"/>
    <x v="0"/>
    <x v="7"/>
    <x v="11"/>
    <s v="NO4_A1"/>
    <x v="0"/>
    <x v="0"/>
    <s v="GWND_WIND"/>
    <x v="2"/>
    <x v="4"/>
    <n v="33.773520645590999"/>
    <n v="2054.5558392734501"/>
    <n v="7396.4010213844203"/>
  </r>
  <r>
    <x v="0"/>
    <x v="0"/>
    <x v="0"/>
    <x v="7"/>
    <x v="11"/>
    <s v="NO4_A1"/>
    <x v="0"/>
    <x v="0"/>
    <s v="GWND_WIND"/>
    <x v="2"/>
    <x v="5"/>
    <n v="28.988764231291398"/>
    <n v="1763.48315740356"/>
    <n v="6348.5393666528098"/>
  </r>
  <r>
    <x v="0"/>
    <x v="0"/>
    <x v="0"/>
    <x v="7"/>
    <x v="11"/>
    <s v="NO4_A1"/>
    <x v="0"/>
    <x v="0"/>
    <s v="GWND_WIND"/>
    <x v="2"/>
    <x v="6"/>
    <n v="27.268271680762901"/>
    <n v="1658.81986057974"/>
    <n v="5971.7514980870801"/>
  </r>
  <r>
    <x v="0"/>
    <x v="0"/>
    <x v="0"/>
    <x v="7"/>
    <x v="11"/>
    <s v="NO4_A1"/>
    <x v="0"/>
    <x v="0"/>
    <s v="GWND_WIND"/>
    <x v="2"/>
    <x v="7"/>
    <n v="31.672123109595901"/>
    <n v="1926.7208225004199"/>
    <n v="6936.1949610015099"/>
  </r>
  <r>
    <x v="0"/>
    <x v="0"/>
    <x v="0"/>
    <x v="7"/>
    <x v="11"/>
    <s v="NO4_A1"/>
    <x v="0"/>
    <x v="0"/>
    <s v="GWND_WIND"/>
    <x v="2"/>
    <x v="8"/>
    <n v="24.814217669388199"/>
    <n v="1509.5315748877799"/>
    <n v="5434.3136695960202"/>
  </r>
  <r>
    <x v="0"/>
    <x v="0"/>
    <x v="0"/>
    <x v="7"/>
    <x v="11"/>
    <s v="NO4_A1"/>
    <x v="0"/>
    <x v="0"/>
    <s v="GWND_WIND"/>
    <x v="2"/>
    <x v="9"/>
    <n v="19.041923948833201"/>
    <n v="1158.3837068873599"/>
    <n v="4170.1813447944796"/>
  </r>
  <r>
    <x v="0"/>
    <x v="0"/>
    <x v="0"/>
    <x v="7"/>
    <x v="11"/>
    <s v="NO4_A1"/>
    <x v="0"/>
    <x v="0"/>
    <s v="GWND_WIND"/>
    <x v="2"/>
    <x v="10"/>
    <n v="23.667846366658399"/>
    <n v="1439.79398730505"/>
    <n v="5183.2583542982002"/>
  </r>
  <r>
    <x v="0"/>
    <x v="0"/>
    <x v="0"/>
    <x v="7"/>
    <x v="11"/>
    <s v="NO4_A1"/>
    <x v="0"/>
    <x v="0"/>
    <s v="GWND_WIND"/>
    <x v="2"/>
    <x v="11"/>
    <n v="21.7741814512829"/>
    <n v="1324.59603828638"/>
    <n v="4768.5457378309602"/>
  </r>
  <r>
    <x v="0"/>
    <x v="0"/>
    <x v="0"/>
    <x v="7"/>
    <x v="11"/>
    <s v="NO4_A1"/>
    <x v="0"/>
    <x v="0"/>
    <s v="GWND_WIND"/>
    <x v="3"/>
    <x v="0"/>
    <n v="25.830509870321901"/>
    <n v="1571.3560171112499"/>
    <n v="5656.8816616004997"/>
  </r>
  <r>
    <x v="0"/>
    <x v="0"/>
    <x v="0"/>
    <x v="7"/>
    <x v="11"/>
    <s v="NO4_A1"/>
    <x v="0"/>
    <x v="0"/>
    <s v="GWND_WIND"/>
    <x v="3"/>
    <x v="1"/>
    <n v="28.805127241677599"/>
    <n v="1752.31190720206"/>
    <n v="6308.32286592741"/>
  </r>
  <r>
    <x v="0"/>
    <x v="0"/>
    <x v="0"/>
    <x v="7"/>
    <x v="11"/>
    <s v="NO4_A1"/>
    <x v="0"/>
    <x v="0"/>
    <s v="GWND_WIND"/>
    <x v="3"/>
    <x v="2"/>
    <n v="34.248495599767701"/>
    <n v="2083.4501489858699"/>
    <n v="7500.4205363491201"/>
  </r>
  <r>
    <x v="0"/>
    <x v="0"/>
    <x v="0"/>
    <x v="7"/>
    <x v="11"/>
    <s v="NO4_A1"/>
    <x v="0"/>
    <x v="0"/>
    <s v="GWND_WIND"/>
    <x v="3"/>
    <x v="3"/>
    <n v="31.0627867870394"/>
    <n v="1889.6528628782301"/>
    <n v="6802.7503063616396"/>
  </r>
  <r>
    <x v="0"/>
    <x v="0"/>
    <x v="0"/>
    <x v="7"/>
    <x v="11"/>
    <s v="NO4_A1"/>
    <x v="0"/>
    <x v="0"/>
    <s v="GWND_WIND"/>
    <x v="3"/>
    <x v="4"/>
    <n v="29.9777228297074"/>
    <n v="1823.6448054738701"/>
    <n v="6565.1212997059201"/>
  </r>
  <r>
    <x v="0"/>
    <x v="0"/>
    <x v="0"/>
    <x v="7"/>
    <x v="11"/>
    <s v="NO4_A1"/>
    <x v="0"/>
    <x v="0"/>
    <s v="GWND_WIND"/>
    <x v="3"/>
    <x v="5"/>
    <n v="23.6496270299969"/>
    <n v="1438.68564432481"/>
    <n v="5179.2683195693298"/>
  </r>
  <r>
    <x v="0"/>
    <x v="0"/>
    <x v="0"/>
    <x v="7"/>
    <x v="11"/>
    <s v="NO4_A1"/>
    <x v="0"/>
    <x v="0"/>
    <s v="GWND_WIND"/>
    <x v="3"/>
    <x v="6"/>
    <n v="19.742642461029199"/>
    <n v="1201.01074971261"/>
    <n v="4323.6386989653902"/>
  </r>
  <r>
    <x v="0"/>
    <x v="0"/>
    <x v="0"/>
    <x v="7"/>
    <x v="11"/>
    <s v="NO4_A1"/>
    <x v="0"/>
    <x v="0"/>
    <s v="GWND_WIND"/>
    <x v="3"/>
    <x v="7"/>
    <n v="19.367051820936101"/>
    <n v="1178.16231910695"/>
    <n v="4241.3843487850199"/>
  </r>
  <r>
    <x v="0"/>
    <x v="0"/>
    <x v="0"/>
    <x v="7"/>
    <x v="11"/>
    <s v="NO4_A1"/>
    <x v="0"/>
    <x v="0"/>
    <s v="GWND_WIND"/>
    <x v="3"/>
    <x v="8"/>
    <n v="19.684654003591699"/>
    <n v="1197.4831185518301"/>
    <n v="4310.9392267865896"/>
  </r>
  <r>
    <x v="0"/>
    <x v="0"/>
    <x v="0"/>
    <x v="7"/>
    <x v="11"/>
    <s v="NO4_A1"/>
    <x v="0"/>
    <x v="0"/>
    <s v="GWND_WIND"/>
    <x v="3"/>
    <x v="9"/>
    <n v="20.341575765660298"/>
    <n v="1237.4458590776701"/>
    <n v="4454.8050926796004"/>
  </r>
  <r>
    <x v="0"/>
    <x v="0"/>
    <x v="0"/>
    <x v="7"/>
    <x v="11"/>
    <s v="NO4_A1"/>
    <x v="0"/>
    <x v="0"/>
    <s v="GWND_WIND"/>
    <x v="3"/>
    <x v="10"/>
    <n v="21.715309480807399"/>
    <n v="1321.0146600824501"/>
    <n v="4755.6527762968199"/>
  </r>
  <r>
    <x v="0"/>
    <x v="0"/>
    <x v="0"/>
    <x v="7"/>
    <x v="11"/>
    <s v="NO4_A1"/>
    <x v="0"/>
    <x v="0"/>
    <s v="GWND_WIND"/>
    <x v="3"/>
    <x v="11"/>
    <n v="26.294930219590501"/>
    <n v="1599.6082550250901"/>
    <n v="5758.5897180903203"/>
  </r>
  <r>
    <x v="0"/>
    <x v="0"/>
    <x v="0"/>
    <x v="7"/>
    <x v="11"/>
    <s v="NO4_A1"/>
    <x v="0"/>
    <x v="0"/>
    <s v="GWND_WIND"/>
    <x v="4"/>
    <x v="0"/>
    <n v="15.4660218356036"/>
    <n v="940.84966166588504"/>
    <n v="3387.0587819971902"/>
  </r>
  <r>
    <x v="0"/>
    <x v="0"/>
    <x v="0"/>
    <x v="7"/>
    <x v="11"/>
    <s v="NO4_A1"/>
    <x v="0"/>
    <x v="0"/>
    <s v="GWND_WIND"/>
    <x v="4"/>
    <x v="1"/>
    <n v="18.489551623680899"/>
    <n v="1124.78105710725"/>
    <n v="4049.2118055861101"/>
  </r>
  <r>
    <x v="0"/>
    <x v="0"/>
    <x v="0"/>
    <x v="7"/>
    <x v="11"/>
    <s v="NO4_A1"/>
    <x v="0"/>
    <x v="0"/>
    <s v="GWND_WIND"/>
    <x v="4"/>
    <x v="2"/>
    <n v="22.198919244612402"/>
    <n v="1350.4342540472501"/>
    <n v="4861.5633145701104"/>
  </r>
  <r>
    <x v="0"/>
    <x v="0"/>
    <x v="0"/>
    <x v="7"/>
    <x v="11"/>
    <s v="NO4_A1"/>
    <x v="0"/>
    <x v="0"/>
    <s v="GWND_WIND"/>
    <x v="4"/>
    <x v="3"/>
    <n v="23.987180634196601"/>
    <n v="1459.2201552469601"/>
    <n v="5253.1925588890599"/>
  </r>
  <r>
    <x v="0"/>
    <x v="0"/>
    <x v="0"/>
    <x v="7"/>
    <x v="11"/>
    <s v="NO4_A1"/>
    <x v="0"/>
    <x v="0"/>
    <s v="GWND_WIND"/>
    <x v="4"/>
    <x v="4"/>
    <n v="22.532330478360599"/>
    <n v="1370.71677076694"/>
    <n v="4934.5803747609698"/>
  </r>
  <r>
    <x v="0"/>
    <x v="0"/>
    <x v="0"/>
    <x v="7"/>
    <x v="11"/>
    <s v="NO4_A1"/>
    <x v="0"/>
    <x v="0"/>
    <s v="GWND_WIND"/>
    <x v="4"/>
    <x v="5"/>
    <n v="24.481752869098099"/>
    <n v="1489.30663287014"/>
    <n v="5361.5038783324899"/>
  </r>
  <r>
    <x v="0"/>
    <x v="0"/>
    <x v="0"/>
    <x v="7"/>
    <x v="11"/>
    <s v="NO4_A1"/>
    <x v="0"/>
    <x v="0"/>
    <s v="GWND_WIND"/>
    <x v="4"/>
    <x v="6"/>
    <n v="23.492387718072401"/>
    <n v="1429.12025284941"/>
    <n v="5144.83291025786"/>
  </r>
  <r>
    <x v="0"/>
    <x v="0"/>
    <x v="0"/>
    <x v="7"/>
    <x v="11"/>
    <s v="NO4_A1"/>
    <x v="0"/>
    <x v="0"/>
    <s v="GWND_WIND"/>
    <x v="4"/>
    <x v="7"/>
    <n v="24.054389231934"/>
    <n v="1463.3086782759899"/>
    <n v="5267.9112417935603"/>
  </r>
  <r>
    <x v="0"/>
    <x v="0"/>
    <x v="0"/>
    <x v="7"/>
    <x v="11"/>
    <s v="NO4_A1"/>
    <x v="0"/>
    <x v="0"/>
    <s v="GWND_WIND"/>
    <x v="4"/>
    <x v="8"/>
    <n v="25.843585889557499"/>
    <n v="1572.15147494808"/>
    <n v="5659.74530981309"/>
  </r>
  <r>
    <x v="0"/>
    <x v="0"/>
    <x v="0"/>
    <x v="7"/>
    <x v="11"/>
    <s v="NO4_A1"/>
    <x v="0"/>
    <x v="0"/>
    <s v="GWND_WIND"/>
    <x v="4"/>
    <x v="9"/>
    <n v="24.645516726458698"/>
    <n v="1499.2689341928999"/>
    <n v="5397.3681630944502"/>
  </r>
  <r>
    <x v="0"/>
    <x v="0"/>
    <x v="0"/>
    <x v="7"/>
    <x v="11"/>
    <s v="NO4_A1"/>
    <x v="0"/>
    <x v="0"/>
    <s v="GWND_WIND"/>
    <x v="4"/>
    <x v="10"/>
    <n v="22.003927023868801"/>
    <n v="1338.57222728535"/>
    <n v="4818.8600182272703"/>
  </r>
  <r>
    <x v="0"/>
    <x v="0"/>
    <x v="0"/>
    <x v="7"/>
    <x v="11"/>
    <s v="NO4_A1"/>
    <x v="0"/>
    <x v="0"/>
    <s v="GWND_WIND"/>
    <x v="4"/>
    <x v="11"/>
    <n v="22.010115949945298"/>
    <n v="1338.9487202883399"/>
    <n v="4820.21539303802"/>
  </r>
  <r>
    <x v="0"/>
    <x v="0"/>
    <x v="0"/>
    <x v="7"/>
    <x v="11"/>
    <s v="NO4_A1"/>
    <x v="0"/>
    <x v="0"/>
    <s v="GWND_WIND"/>
    <x v="5"/>
    <x v="0"/>
    <n v="48.002855417698399"/>
    <n v="2920.1737045766499"/>
    <n v="10512.6253364759"/>
  </r>
  <r>
    <x v="0"/>
    <x v="0"/>
    <x v="0"/>
    <x v="7"/>
    <x v="11"/>
    <s v="NO4_A1"/>
    <x v="0"/>
    <x v="0"/>
    <s v="GWND_WIND"/>
    <x v="5"/>
    <x v="1"/>
    <n v="46.629537778606597"/>
    <n v="2836.6302148652298"/>
    <n v="10211.8687735148"/>
  </r>
  <r>
    <x v="0"/>
    <x v="0"/>
    <x v="0"/>
    <x v="7"/>
    <x v="11"/>
    <s v="NO4_A1"/>
    <x v="0"/>
    <x v="0"/>
    <s v="GWND_WIND"/>
    <x v="5"/>
    <x v="2"/>
    <n v="47.179629074334798"/>
    <n v="2870.0941020220398"/>
    <n v="10332.3387672793"/>
  </r>
  <r>
    <x v="0"/>
    <x v="0"/>
    <x v="0"/>
    <x v="7"/>
    <x v="11"/>
    <s v="NO4_A1"/>
    <x v="0"/>
    <x v="0"/>
    <s v="GWND_WIND"/>
    <x v="5"/>
    <x v="3"/>
    <n v="44.391656787831103"/>
    <n v="2700.4924545930598"/>
    <n v="9721.7728365350195"/>
  </r>
  <r>
    <x v="0"/>
    <x v="0"/>
    <x v="0"/>
    <x v="7"/>
    <x v="11"/>
    <s v="NO4_A1"/>
    <x v="0"/>
    <x v="0"/>
    <s v="GWND_WIND"/>
    <x v="5"/>
    <x v="4"/>
    <n v="49.969824067368101"/>
    <n v="3039.8309640982302"/>
    <n v="10943.391470753601"/>
  </r>
  <r>
    <x v="0"/>
    <x v="0"/>
    <x v="0"/>
    <x v="7"/>
    <x v="11"/>
    <s v="NO4_A1"/>
    <x v="0"/>
    <x v="0"/>
    <s v="GWND_WIND"/>
    <x v="5"/>
    <x v="5"/>
    <n v="48.502041466449199"/>
    <n v="2950.5408558756599"/>
    <n v="10621.947081152401"/>
  </r>
  <r>
    <x v="0"/>
    <x v="0"/>
    <x v="0"/>
    <x v="7"/>
    <x v="11"/>
    <s v="NO4_A1"/>
    <x v="0"/>
    <x v="0"/>
    <s v="GWND_WIND"/>
    <x v="5"/>
    <x v="6"/>
    <n v="47.313047293203198"/>
    <n v="2878.2103770031999"/>
    <n v="10361.557357211501"/>
  </r>
  <r>
    <x v="0"/>
    <x v="0"/>
    <x v="0"/>
    <x v="7"/>
    <x v="11"/>
    <s v="NO4_A1"/>
    <x v="0"/>
    <x v="0"/>
    <s v="GWND_WIND"/>
    <x v="5"/>
    <x v="7"/>
    <n v="44.360688513032002"/>
    <n v="2698.6085512094501"/>
    <n v="9714.9907843540204"/>
  </r>
  <r>
    <x v="0"/>
    <x v="0"/>
    <x v="0"/>
    <x v="7"/>
    <x v="11"/>
    <s v="NO4_A1"/>
    <x v="0"/>
    <x v="0"/>
    <s v="GWND_WIND"/>
    <x v="5"/>
    <x v="8"/>
    <n v="40.109772455491097"/>
    <n v="2440.0111577090402"/>
    <n v="8784.0401677525606"/>
  </r>
  <r>
    <x v="0"/>
    <x v="0"/>
    <x v="0"/>
    <x v="7"/>
    <x v="11"/>
    <s v="NO4_A1"/>
    <x v="0"/>
    <x v="0"/>
    <s v="GWND_WIND"/>
    <x v="5"/>
    <x v="9"/>
    <n v="36.069737666729601"/>
    <n v="2194.24237472605"/>
    <n v="7899.27254901379"/>
  </r>
  <r>
    <x v="0"/>
    <x v="0"/>
    <x v="0"/>
    <x v="7"/>
    <x v="11"/>
    <s v="NO4_A1"/>
    <x v="0"/>
    <x v="0"/>
    <s v="GWND_WIND"/>
    <x v="5"/>
    <x v="10"/>
    <n v="10.6934598978695"/>
    <n v="650.51881045372795"/>
    <n v="2341.8677176334199"/>
  </r>
  <r>
    <x v="0"/>
    <x v="0"/>
    <x v="0"/>
    <x v="7"/>
    <x v="11"/>
    <s v="NO4_A1"/>
    <x v="0"/>
    <x v="0"/>
    <s v="GWND_WIND"/>
    <x v="5"/>
    <x v="11"/>
    <n v="7.0965765830686296"/>
    <n v="431.70840880334202"/>
    <n v="1554.1502716920299"/>
  </r>
  <r>
    <x v="0"/>
    <x v="0"/>
    <x v="0"/>
    <x v="7"/>
    <x v="11"/>
    <s v="NO4_A1"/>
    <x v="0"/>
    <x v="0"/>
    <s v="GWND_WIND"/>
    <x v="6"/>
    <x v="0"/>
    <n v="19.4993540890143"/>
    <n v="1186.2107070817001"/>
    <n v="4270.3585454941303"/>
  </r>
  <r>
    <x v="0"/>
    <x v="0"/>
    <x v="0"/>
    <x v="7"/>
    <x v="11"/>
    <s v="NO4_A1"/>
    <x v="0"/>
    <x v="0"/>
    <s v="GWND_WIND"/>
    <x v="6"/>
    <x v="1"/>
    <n v="22.213792896308"/>
    <n v="1351.33906785874"/>
    <n v="4864.8206442914498"/>
  </r>
  <r>
    <x v="0"/>
    <x v="0"/>
    <x v="0"/>
    <x v="7"/>
    <x v="11"/>
    <s v="NO4_A1"/>
    <x v="0"/>
    <x v="0"/>
    <s v="GWND_WIND"/>
    <x v="6"/>
    <x v="2"/>
    <n v="25.296302368314699"/>
    <n v="1538.85839407248"/>
    <n v="5539.8902186609303"/>
  </r>
  <r>
    <x v="0"/>
    <x v="0"/>
    <x v="0"/>
    <x v="7"/>
    <x v="11"/>
    <s v="NO4_A1"/>
    <x v="0"/>
    <x v="0"/>
    <s v="GWND_WIND"/>
    <x v="6"/>
    <x v="3"/>
    <n v="20.920466946137601"/>
    <n v="1272.66173922337"/>
    <n v="4581.5822612041302"/>
  </r>
  <r>
    <x v="0"/>
    <x v="0"/>
    <x v="0"/>
    <x v="7"/>
    <x v="11"/>
    <s v="NO4_A1"/>
    <x v="0"/>
    <x v="0"/>
    <s v="GWND_WIND"/>
    <x v="6"/>
    <x v="4"/>
    <n v="29.095212052154402"/>
    <n v="1769.95873317273"/>
    <n v="6371.85143942182"/>
  </r>
  <r>
    <x v="0"/>
    <x v="0"/>
    <x v="0"/>
    <x v="7"/>
    <x v="11"/>
    <s v="NO4_A1"/>
    <x v="0"/>
    <x v="0"/>
    <s v="GWND_WIND"/>
    <x v="6"/>
    <x v="5"/>
    <n v="29.2775597642676"/>
    <n v="1781.05155232628"/>
    <n v="6411.7855883745997"/>
  </r>
  <r>
    <x v="0"/>
    <x v="0"/>
    <x v="0"/>
    <x v="7"/>
    <x v="11"/>
    <s v="NO4_A1"/>
    <x v="0"/>
    <x v="0"/>
    <s v="GWND_WIND"/>
    <x v="6"/>
    <x v="6"/>
    <n v="29.4633595612218"/>
    <n v="1792.3543733076599"/>
    <n v="6452.4757439075802"/>
  </r>
  <r>
    <x v="0"/>
    <x v="0"/>
    <x v="0"/>
    <x v="7"/>
    <x v="11"/>
    <s v="NO4_A1"/>
    <x v="0"/>
    <x v="0"/>
    <s v="GWND_WIND"/>
    <x v="6"/>
    <x v="7"/>
    <n v="29.2166484628499"/>
    <n v="1777.34611482337"/>
    <n v="6398.4460133641396"/>
  </r>
  <r>
    <x v="0"/>
    <x v="0"/>
    <x v="0"/>
    <x v="7"/>
    <x v="11"/>
    <s v="NO4_A1"/>
    <x v="0"/>
    <x v="0"/>
    <s v="GWND_WIND"/>
    <x v="6"/>
    <x v="8"/>
    <n v="34.555237901823702"/>
    <n v="2102.1103056942802"/>
    <n v="7567.5971004993999"/>
  </r>
  <r>
    <x v="0"/>
    <x v="0"/>
    <x v="0"/>
    <x v="7"/>
    <x v="11"/>
    <s v="NO4_A1"/>
    <x v="0"/>
    <x v="0"/>
    <s v="GWND_WIND"/>
    <x v="6"/>
    <x v="9"/>
    <n v="39.4308545552637"/>
    <n v="2398.7103187785401"/>
    <n v="8635.3571476027391"/>
  </r>
  <r>
    <x v="0"/>
    <x v="0"/>
    <x v="0"/>
    <x v="7"/>
    <x v="11"/>
    <s v="NO4_A1"/>
    <x v="0"/>
    <x v="0"/>
    <s v="GWND_WIND"/>
    <x v="6"/>
    <x v="10"/>
    <n v="38.857431474547496"/>
    <n v="2363.8270813683098"/>
    <n v="8509.7774929259103"/>
  </r>
  <r>
    <x v="0"/>
    <x v="0"/>
    <x v="0"/>
    <x v="7"/>
    <x v="11"/>
    <s v="NO4_A1"/>
    <x v="0"/>
    <x v="0"/>
    <s v="GWND_WIND"/>
    <x v="6"/>
    <x v="11"/>
    <n v="36.2256174246927"/>
    <n v="2203.7250600021398"/>
    <n v="7933.41021600771"/>
  </r>
  <r>
    <x v="0"/>
    <x v="0"/>
    <x v="0"/>
    <x v="7"/>
    <x v="11"/>
    <s v="NO4_A1"/>
    <x v="0"/>
    <x v="0"/>
    <s v="GWND_WIND"/>
    <x v="7"/>
    <x v="0"/>
    <n v="29.263834180361599"/>
    <n v="1780.21657930533"/>
    <n v="6408.7796854991902"/>
  </r>
  <r>
    <x v="0"/>
    <x v="0"/>
    <x v="0"/>
    <x v="7"/>
    <x v="11"/>
    <s v="NO4_A1"/>
    <x v="0"/>
    <x v="0"/>
    <s v="GWND_WIND"/>
    <x v="7"/>
    <x v="1"/>
    <n v="12.876085988496101"/>
    <n v="783.29523096684795"/>
    <n v="2819.8628314806501"/>
  </r>
  <r>
    <x v="0"/>
    <x v="0"/>
    <x v="0"/>
    <x v="7"/>
    <x v="11"/>
    <s v="NO4_A1"/>
    <x v="0"/>
    <x v="0"/>
    <s v="GWND_WIND"/>
    <x v="7"/>
    <x v="2"/>
    <n v="11.766301136693899"/>
    <n v="715.78331914887804"/>
    <n v="2576.8199489359599"/>
  </r>
  <r>
    <x v="0"/>
    <x v="0"/>
    <x v="0"/>
    <x v="7"/>
    <x v="11"/>
    <s v="NO4_A1"/>
    <x v="0"/>
    <x v="0"/>
    <s v="GWND_WIND"/>
    <x v="7"/>
    <x v="3"/>
    <n v="12.973791943066299"/>
    <n v="789.23900986986598"/>
    <n v="2841.2604355315202"/>
  </r>
  <r>
    <x v="0"/>
    <x v="0"/>
    <x v="0"/>
    <x v="7"/>
    <x v="11"/>
    <s v="NO4_A1"/>
    <x v="0"/>
    <x v="0"/>
    <s v="GWND_WIND"/>
    <x v="7"/>
    <x v="4"/>
    <n v="8.7086419466599096"/>
    <n v="529.77571842181101"/>
    <n v="1907.1925863185199"/>
  </r>
  <r>
    <x v="0"/>
    <x v="0"/>
    <x v="0"/>
    <x v="7"/>
    <x v="11"/>
    <s v="NO4_A1"/>
    <x v="0"/>
    <x v="0"/>
    <s v="GWND_WIND"/>
    <x v="7"/>
    <x v="5"/>
    <n v="13.2366909286298"/>
    <n v="805.23203149164897"/>
    <n v="2898.8353133699402"/>
  </r>
  <r>
    <x v="0"/>
    <x v="0"/>
    <x v="0"/>
    <x v="7"/>
    <x v="11"/>
    <s v="NO4_A1"/>
    <x v="0"/>
    <x v="0"/>
    <s v="GWND_WIND"/>
    <x v="7"/>
    <x v="6"/>
    <n v="10.9600869511605"/>
    <n v="666.73862286226097"/>
    <n v="2400.2590423041402"/>
  </r>
  <r>
    <x v="0"/>
    <x v="0"/>
    <x v="0"/>
    <x v="7"/>
    <x v="11"/>
    <s v="NO4_A1"/>
    <x v="0"/>
    <x v="0"/>
    <s v="GWND_WIND"/>
    <x v="7"/>
    <x v="7"/>
    <n v="14.631230745306601"/>
    <n v="890.06653700614902"/>
    <n v="3204.2395332221399"/>
  </r>
  <r>
    <x v="0"/>
    <x v="0"/>
    <x v="0"/>
    <x v="7"/>
    <x v="11"/>
    <s v="NO4_A1"/>
    <x v="0"/>
    <x v="0"/>
    <s v="GWND_WIND"/>
    <x v="7"/>
    <x v="8"/>
    <n v="29.3305048676186"/>
    <n v="1784.2723794468"/>
    <n v="6423.3805660084799"/>
  </r>
  <r>
    <x v="0"/>
    <x v="0"/>
    <x v="0"/>
    <x v="7"/>
    <x v="11"/>
    <s v="NO4_A1"/>
    <x v="0"/>
    <x v="0"/>
    <s v="GWND_WIND"/>
    <x v="7"/>
    <x v="9"/>
    <n v="36.016856928735201"/>
    <n v="2191.0254631647299"/>
    <n v="7887.69166739302"/>
  </r>
  <r>
    <x v="0"/>
    <x v="0"/>
    <x v="0"/>
    <x v="7"/>
    <x v="11"/>
    <s v="NO4_A1"/>
    <x v="0"/>
    <x v="0"/>
    <s v="GWND_WIND"/>
    <x v="7"/>
    <x v="10"/>
    <n v="35.357637454793"/>
    <n v="2150.9229451665701"/>
    <n v="7743.3226025996601"/>
  </r>
  <r>
    <x v="0"/>
    <x v="0"/>
    <x v="0"/>
    <x v="7"/>
    <x v="11"/>
    <s v="NO4_A1"/>
    <x v="0"/>
    <x v="0"/>
    <s v="GWND_WIND"/>
    <x v="7"/>
    <x v="11"/>
    <n v="35.419605530280101"/>
    <n v="2154.6926697587101"/>
    <n v="7756.8936111313496"/>
  </r>
  <r>
    <x v="0"/>
    <x v="0"/>
    <x v="0"/>
    <x v="7"/>
    <x v="11"/>
    <s v="NO4_A1"/>
    <x v="0"/>
    <x v="0"/>
    <s v="GWND_WIND"/>
    <x v="8"/>
    <x v="0"/>
    <n v="32.338994179504503"/>
    <n v="1967.28881258652"/>
    <n v="7082.2397253114896"/>
  </r>
  <r>
    <x v="0"/>
    <x v="0"/>
    <x v="0"/>
    <x v="7"/>
    <x v="11"/>
    <s v="NO4_A1"/>
    <x v="0"/>
    <x v="0"/>
    <s v="GWND_WIND"/>
    <x v="8"/>
    <x v="1"/>
    <n v="35.564237113777999"/>
    <n v="2163.4910910881599"/>
    <n v="7788.5679279173901"/>
  </r>
  <r>
    <x v="0"/>
    <x v="0"/>
    <x v="0"/>
    <x v="7"/>
    <x v="11"/>
    <s v="NO4_A1"/>
    <x v="0"/>
    <x v="0"/>
    <s v="GWND_WIND"/>
    <x v="8"/>
    <x v="2"/>
    <n v="31.831722922456301"/>
    <n v="1936.4298111160899"/>
    <n v="6971.1473200179298"/>
  </r>
  <r>
    <x v="0"/>
    <x v="0"/>
    <x v="0"/>
    <x v="7"/>
    <x v="11"/>
    <s v="NO4_A1"/>
    <x v="0"/>
    <x v="0"/>
    <s v="GWND_WIND"/>
    <x v="8"/>
    <x v="3"/>
    <n v="36.422378379164797"/>
    <n v="2215.6946847325298"/>
    <n v="7976.5008650371001"/>
  </r>
  <r>
    <x v="0"/>
    <x v="0"/>
    <x v="0"/>
    <x v="7"/>
    <x v="11"/>
    <s v="NO4_A1"/>
    <x v="0"/>
    <x v="0"/>
    <s v="GWND_WIND"/>
    <x v="8"/>
    <x v="4"/>
    <n v="38.822818675626799"/>
    <n v="2361.72146943396"/>
    <n v="8502.1972899622706"/>
  </r>
  <r>
    <x v="0"/>
    <x v="0"/>
    <x v="0"/>
    <x v="7"/>
    <x v="11"/>
    <s v="NO4_A1"/>
    <x v="0"/>
    <x v="0"/>
    <s v="GWND_WIND"/>
    <x v="8"/>
    <x v="5"/>
    <n v="37.668222399825197"/>
    <n v="2291.4835293227002"/>
    <n v="8249.3407055617208"/>
  </r>
  <r>
    <x v="0"/>
    <x v="0"/>
    <x v="0"/>
    <x v="7"/>
    <x v="11"/>
    <s v="NO4_A1"/>
    <x v="0"/>
    <x v="0"/>
    <s v="GWND_WIND"/>
    <x v="8"/>
    <x v="6"/>
    <n v="43.242702332574702"/>
    <n v="2630.5977252316302"/>
    <n v="9470.1518108338605"/>
  </r>
  <r>
    <x v="0"/>
    <x v="0"/>
    <x v="0"/>
    <x v="7"/>
    <x v="11"/>
    <s v="NO4_A1"/>
    <x v="0"/>
    <x v="0"/>
    <s v="GWND_WIND"/>
    <x v="8"/>
    <x v="7"/>
    <n v="43.328689194713299"/>
    <n v="2635.8285926783901"/>
    <n v="9488.9829336422099"/>
  </r>
  <r>
    <x v="0"/>
    <x v="0"/>
    <x v="0"/>
    <x v="7"/>
    <x v="11"/>
    <s v="NO4_A1"/>
    <x v="0"/>
    <x v="0"/>
    <s v="GWND_WIND"/>
    <x v="8"/>
    <x v="8"/>
    <n v="51.312403833365899"/>
    <n v="3121.5045665297598"/>
    <n v="11237.4164395071"/>
  </r>
  <r>
    <x v="0"/>
    <x v="0"/>
    <x v="0"/>
    <x v="7"/>
    <x v="11"/>
    <s v="NO4_A1"/>
    <x v="0"/>
    <x v="0"/>
    <s v="GWND_WIND"/>
    <x v="8"/>
    <x v="9"/>
    <n v="56.580314199659298"/>
    <n v="3441.96911381261"/>
    <n v="12391.088809725399"/>
  </r>
  <r>
    <x v="0"/>
    <x v="0"/>
    <x v="0"/>
    <x v="7"/>
    <x v="11"/>
    <s v="NO4_A1"/>
    <x v="0"/>
    <x v="0"/>
    <s v="GWND_WIND"/>
    <x v="8"/>
    <x v="10"/>
    <n v="64.134698773823899"/>
    <n v="3901.52750874096"/>
    <n v="14045.4990314674"/>
  </r>
  <r>
    <x v="0"/>
    <x v="0"/>
    <x v="0"/>
    <x v="7"/>
    <x v="11"/>
    <s v="NO4_A1"/>
    <x v="0"/>
    <x v="0"/>
    <s v="GWND_WIND"/>
    <x v="8"/>
    <x v="11"/>
    <n v="68.170249004880802"/>
    <n v="4147.0234811302498"/>
    <n v="14929.284532068899"/>
  </r>
  <r>
    <x v="0"/>
    <x v="0"/>
    <x v="0"/>
    <x v="7"/>
    <x v="11"/>
    <s v="NO4_A1"/>
    <x v="0"/>
    <x v="0"/>
    <s v="GWND_WIND"/>
    <x v="9"/>
    <x v="0"/>
    <n v="33.839777555555401"/>
    <n v="2058.5864679629499"/>
    <n v="7410.9112846666303"/>
  </r>
  <r>
    <x v="0"/>
    <x v="0"/>
    <x v="0"/>
    <x v="7"/>
    <x v="11"/>
    <s v="NO4_A1"/>
    <x v="0"/>
    <x v="0"/>
    <s v="GWND_WIND"/>
    <x v="9"/>
    <x v="1"/>
    <n v="39.0507968280629"/>
    <n v="2375.5901403738198"/>
    <n v="8552.1245053457696"/>
  </r>
  <r>
    <x v="0"/>
    <x v="0"/>
    <x v="0"/>
    <x v="7"/>
    <x v="11"/>
    <s v="NO4_A1"/>
    <x v="0"/>
    <x v="0"/>
    <s v="GWND_WIND"/>
    <x v="9"/>
    <x v="2"/>
    <n v="39.662234876550002"/>
    <n v="2412.78595499013"/>
    <n v="8686.0294379644492"/>
  </r>
  <r>
    <x v="0"/>
    <x v="0"/>
    <x v="0"/>
    <x v="7"/>
    <x v="11"/>
    <s v="NO4_A1"/>
    <x v="0"/>
    <x v="0"/>
    <s v="GWND_WIND"/>
    <x v="9"/>
    <x v="3"/>
    <n v="43.897002454260502"/>
    <n v="2670.4009826341799"/>
    <n v="9613.44353748305"/>
  </r>
  <r>
    <x v="0"/>
    <x v="0"/>
    <x v="0"/>
    <x v="7"/>
    <x v="11"/>
    <s v="NO4_A1"/>
    <x v="0"/>
    <x v="0"/>
    <s v="GWND_WIND"/>
    <x v="9"/>
    <x v="4"/>
    <n v="35.878845781918997"/>
    <n v="2182.6297850667402"/>
    <n v="7857.4672262402601"/>
  </r>
  <r>
    <x v="0"/>
    <x v="0"/>
    <x v="0"/>
    <x v="7"/>
    <x v="11"/>
    <s v="NO4_A1"/>
    <x v="0"/>
    <x v="0"/>
    <s v="GWND_WIND"/>
    <x v="9"/>
    <x v="5"/>
    <n v="28.329754929942201"/>
    <n v="1723.39342490482"/>
    <n v="6204.2163296573399"/>
  </r>
  <r>
    <x v="0"/>
    <x v="0"/>
    <x v="0"/>
    <x v="7"/>
    <x v="11"/>
    <s v="NO4_A1"/>
    <x v="0"/>
    <x v="0"/>
    <s v="GWND_WIND"/>
    <x v="9"/>
    <x v="6"/>
    <n v="27.295709712787801"/>
    <n v="1660.48900752793"/>
    <n v="5977.7604271005303"/>
  </r>
  <r>
    <x v="0"/>
    <x v="0"/>
    <x v="0"/>
    <x v="7"/>
    <x v="11"/>
    <s v="NO4_A1"/>
    <x v="0"/>
    <x v="0"/>
    <s v="GWND_WIND"/>
    <x v="9"/>
    <x v="7"/>
    <n v="28.1604182149186"/>
    <n v="1713.0921080742201"/>
    <n v="6167.1315890671804"/>
  </r>
  <r>
    <x v="0"/>
    <x v="0"/>
    <x v="0"/>
    <x v="7"/>
    <x v="11"/>
    <s v="NO4_A1"/>
    <x v="0"/>
    <x v="0"/>
    <s v="GWND_WIND"/>
    <x v="9"/>
    <x v="8"/>
    <n v="26.688903342820399"/>
    <n v="1623.5749533549099"/>
    <n v="5844.8698320776703"/>
  </r>
  <r>
    <x v="0"/>
    <x v="0"/>
    <x v="0"/>
    <x v="7"/>
    <x v="11"/>
    <s v="NO4_A1"/>
    <x v="0"/>
    <x v="0"/>
    <s v="GWND_WIND"/>
    <x v="9"/>
    <x v="9"/>
    <n v="24.3043777091791"/>
    <n v="1478.5163106417299"/>
    <n v="5322.6587183102201"/>
  </r>
  <r>
    <x v="0"/>
    <x v="0"/>
    <x v="0"/>
    <x v="7"/>
    <x v="11"/>
    <s v="NO4_A1"/>
    <x v="0"/>
    <x v="0"/>
    <s v="GWND_WIND"/>
    <x v="9"/>
    <x v="10"/>
    <n v="23.575706767536701"/>
    <n v="1434.1888283584799"/>
    <n v="5163.07978209054"/>
  </r>
  <r>
    <x v="0"/>
    <x v="0"/>
    <x v="0"/>
    <x v="7"/>
    <x v="11"/>
    <s v="NO4_A1"/>
    <x v="0"/>
    <x v="0"/>
    <s v="GWND_WIND"/>
    <x v="9"/>
    <x v="11"/>
    <n v="22.462140122638001"/>
    <n v="1366.44685746048"/>
    <n v="4919.2086868577198"/>
  </r>
  <r>
    <x v="0"/>
    <x v="0"/>
    <x v="0"/>
    <x v="7"/>
    <x v="11"/>
    <s v="NO4_A1"/>
    <x v="0"/>
    <x v="0"/>
    <s v="GWND_WIND"/>
    <x v="10"/>
    <x v="0"/>
    <n v="56.190995742576497"/>
    <n v="3418.2855743400701"/>
    <n v="12305.828067624299"/>
  </r>
  <r>
    <x v="0"/>
    <x v="0"/>
    <x v="0"/>
    <x v="7"/>
    <x v="11"/>
    <s v="NO4_A1"/>
    <x v="0"/>
    <x v="0"/>
    <s v="GWND_WIND"/>
    <x v="10"/>
    <x v="1"/>
    <n v="55.491519547442401"/>
    <n v="3375.73410580275"/>
    <n v="12152.642780889901"/>
  </r>
  <r>
    <x v="0"/>
    <x v="0"/>
    <x v="0"/>
    <x v="7"/>
    <x v="11"/>
    <s v="NO4_A1"/>
    <x v="0"/>
    <x v="0"/>
    <s v="GWND_WIND"/>
    <x v="10"/>
    <x v="2"/>
    <n v="54.970300186255301"/>
    <n v="3344.0265946638601"/>
    <n v="12038.4957407899"/>
  </r>
  <r>
    <x v="0"/>
    <x v="0"/>
    <x v="0"/>
    <x v="7"/>
    <x v="11"/>
    <s v="NO4_A1"/>
    <x v="0"/>
    <x v="0"/>
    <s v="GWND_WIND"/>
    <x v="10"/>
    <x v="3"/>
    <n v="55.6684646416929"/>
    <n v="3386.49826570298"/>
    <n v="12191.393756530701"/>
  </r>
  <r>
    <x v="0"/>
    <x v="0"/>
    <x v="0"/>
    <x v="7"/>
    <x v="11"/>
    <s v="NO4_A1"/>
    <x v="0"/>
    <x v="0"/>
    <s v="GWND_WIND"/>
    <x v="10"/>
    <x v="4"/>
    <n v="54.562447133621298"/>
    <n v="3319.2155339619599"/>
    <n v="11949.175922263101"/>
  </r>
  <r>
    <x v="0"/>
    <x v="0"/>
    <x v="0"/>
    <x v="7"/>
    <x v="11"/>
    <s v="NO4_A1"/>
    <x v="0"/>
    <x v="0"/>
    <s v="GWND_WIND"/>
    <x v="10"/>
    <x v="5"/>
    <n v="57.445617424549503"/>
    <n v="3494.6083933267601"/>
    <n v="12580.590215976301"/>
  </r>
  <r>
    <x v="0"/>
    <x v="0"/>
    <x v="0"/>
    <x v="7"/>
    <x v="11"/>
    <s v="NO4_A1"/>
    <x v="0"/>
    <x v="0"/>
    <s v="GWND_WIND"/>
    <x v="10"/>
    <x v="6"/>
    <n v="57.212252614232099"/>
    <n v="3480.4120340324498"/>
    <n v="12529.4833225168"/>
  </r>
  <r>
    <x v="0"/>
    <x v="0"/>
    <x v="0"/>
    <x v="7"/>
    <x v="11"/>
    <s v="NO4_A1"/>
    <x v="0"/>
    <x v="0"/>
    <s v="GWND_WIND"/>
    <x v="10"/>
    <x v="7"/>
    <n v="55.415475950681802"/>
    <n v="3371.1081203331401"/>
    <n v="12135.9892331993"/>
  </r>
  <r>
    <x v="0"/>
    <x v="0"/>
    <x v="0"/>
    <x v="7"/>
    <x v="11"/>
    <s v="NO4_A1"/>
    <x v="0"/>
    <x v="0"/>
    <s v="GWND_WIND"/>
    <x v="10"/>
    <x v="8"/>
    <n v="52.7080608487327"/>
    <n v="3206.4070349645699"/>
    <n v="11543.0653258725"/>
  </r>
  <r>
    <x v="0"/>
    <x v="0"/>
    <x v="0"/>
    <x v="7"/>
    <x v="11"/>
    <s v="NO4_A1"/>
    <x v="0"/>
    <x v="0"/>
    <s v="GWND_WIND"/>
    <x v="10"/>
    <x v="9"/>
    <n v="48.792787795162603"/>
    <n v="2968.2279242057298"/>
    <n v="10685.6205271406"/>
  </r>
  <r>
    <x v="0"/>
    <x v="0"/>
    <x v="0"/>
    <x v="7"/>
    <x v="11"/>
    <s v="NO4_A1"/>
    <x v="0"/>
    <x v="0"/>
    <s v="GWND_WIND"/>
    <x v="10"/>
    <x v="10"/>
    <n v="41.673225358058502"/>
    <n v="2535.1212092818901"/>
    <n v="9126.4363534148197"/>
  </r>
  <r>
    <x v="0"/>
    <x v="0"/>
    <x v="0"/>
    <x v="7"/>
    <x v="11"/>
    <s v="NO4_A1"/>
    <x v="0"/>
    <x v="0"/>
    <s v="GWND_WIND"/>
    <x v="10"/>
    <x v="11"/>
    <n v="47.103362694625602"/>
    <n v="2865.4545639230601"/>
    <n v="10315.636430123001"/>
  </r>
  <r>
    <x v="0"/>
    <x v="0"/>
    <x v="0"/>
    <x v="7"/>
    <x v="11"/>
    <s v="NO4_A1"/>
    <x v="0"/>
    <x v="0"/>
    <s v="GWND_WIND"/>
    <x v="11"/>
    <x v="0"/>
    <n v="34.656534523788601"/>
    <n v="2108.2725168637999"/>
    <n v="7589.7810607096899"/>
  </r>
  <r>
    <x v="0"/>
    <x v="0"/>
    <x v="0"/>
    <x v="7"/>
    <x v="11"/>
    <s v="NO4_A1"/>
    <x v="0"/>
    <x v="0"/>
    <s v="GWND_WIND"/>
    <x v="11"/>
    <x v="1"/>
    <n v="28.168065935827801"/>
    <n v="1713.5573444295201"/>
    <n v="6168.8064399462901"/>
  </r>
  <r>
    <x v="0"/>
    <x v="0"/>
    <x v="0"/>
    <x v="7"/>
    <x v="11"/>
    <s v="NO4_A1"/>
    <x v="0"/>
    <x v="0"/>
    <s v="GWND_WIND"/>
    <x v="11"/>
    <x v="2"/>
    <n v="26.157145665101201"/>
    <n v="1591.2263612936499"/>
    <n v="5728.4149006571497"/>
  </r>
  <r>
    <x v="0"/>
    <x v="0"/>
    <x v="0"/>
    <x v="7"/>
    <x v="11"/>
    <s v="NO4_A1"/>
    <x v="0"/>
    <x v="0"/>
    <s v="GWND_WIND"/>
    <x v="11"/>
    <x v="3"/>
    <n v="24.880020737909501"/>
    <n v="1513.5345948894901"/>
    <n v="5448.7245416021797"/>
  </r>
  <r>
    <x v="0"/>
    <x v="0"/>
    <x v="0"/>
    <x v="7"/>
    <x v="11"/>
    <s v="NO4_A1"/>
    <x v="0"/>
    <x v="0"/>
    <s v="GWND_WIND"/>
    <x v="11"/>
    <x v="4"/>
    <n v="15.3819501712193"/>
    <n v="935.73530208250804"/>
    <n v="3368.64708749703"/>
  </r>
  <r>
    <x v="0"/>
    <x v="0"/>
    <x v="0"/>
    <x v="7"/>
    <x v="11"/>
    <s v="NO4_A1"/>
    <x v="0"/>
    <x v="0"/>
    <s v="GWND_WIND"/>
    <x v="11"/>
    <x v="5"/>
    <n v="17.850175069681601"/>
    <n v="1085.8856500723"/>
    <n v="3909.1883402602598"/>
  </r>
  <r>
    <x v="0"/>
    <x v="0"/>
    <x v="0"/>
    <x v="7"/>
    <x v="11"/>
    <s v="NO4_A1"/>
    <x v="0"/>
    <x v="0"/>
    <s v="GWND_WIND"/>
    <x v="11"/>
    <x v="6"/>
    <n v="5.1235756515831703"/>
    <n v="311.68418547131"/>
    <n v="1122.0630676967201"/>
  </r>
  <r>
    <x v="0"/>
    <x v="0"/>
    <x v="0"/>
    <x v="7"/>
    <x v="11"/>
    <s v="NO4_A1"/>
    <x v="0"/>
    <x v="0"/>
    <s v="GWND_WIND"/>
    <x v="11"/>
    <x v="7"/>
    <n v="3.6755033648367301"/>
    <n v="223.59312136090099"/>
    <n v="804.93523689924496"/>
  </r>
  <r>
    <x v="0"/>
    <x v="0"/>
    <x v="0"/>
    <x v="7"/>
    <x v="11"/>
    <s v="NO4_A1"/>
    <x v="0"/>
    <x v="0"/>
    <s v="GWND_WIND"/>
    <x v="11"/>
    <x v="8"/>
    <n v="6.0394490952017197"/>
    <n v="367.39981995810501"/>
    <n v="1322.63935184918"/>
  </r>
  <r>
    <x v="0"/>
    <x v="0"/>
    <x v="0"/>
    <x v="7"/>
    <x v="11"/>
    <s v="NO4_A1"/>
    <x v="0"/>
    <x v="0"/>
    <s v="GWND_WIND"/>
    <x v="11"/>
    <x v="9"/>
    <n v="13.3299318321392"/>
    <n v="810.90418645513603"/>
    <n v="2919.25507123849"/>
  </r>
  <r>
    <x v="0"/>
    <x v="0"/>
    <x v="0"/>
    <x v="7"/>
    <x v="11"/>
    <s v="NO4_A1"/>
    <x v="0"/>
    <x v="0"/>
    <s v="GWND_WIND"/>
    <x v="11"/>
    <x v="10"/>
    <n v="14.223180918582401"/>
    <n v="865.24350588042796"/>
    <n v="3114.8766211695402"/>
  </r>
  <r>
    <x v="0"/>
    <x v="0"/>
    <x v="0"/>
    <x v="7"/>
    <x v="11"/>
    <s v="NO4_A1"/>
    <x v="0"/>
    <x v="0"/>
    <s v="GWND_WIND"/>
    <x v="11"/>
    <x v="11"/>
    <n v="9.4621045189858002"/>
    <n v="575.61135823830296"/>
    <n v="2072.20088965789"/>
  </r>
  <r>
    <x v="0"/>
    <x v="0"/>
    <x v="0"/>
    <x v="7"/>
    <x v="12"/>
    <s v="NO5_A1"/>
    <x v="7"/>
    <x v="6"/>
    <s v="GHYRR_WATER"/>
    <x v="0"/>
    <x v="0"/>
    <n v="659.07830727995599"/>
    <n v="40093.930359530597"/>
    <n v="144338.14929430999"/>
  </r>
  <r>
    <x v="0"/>
    <x v="0"/>
    <x v="0"/>
    <x v="7"/>
    <x v="12"/>
    <s v="NO5_A1"/>
    <x v="7"/>
    <x v="6"/>
    <s v="GHYRR_WATER"/>
    <x v="0"/>
    <x v="1"/>
    <n v="659.07830727995599"/>
    <n v="40093.930359530597"/>
    <n v="144338.14929430999"/>
  </r>
  <r>
    <x v="0"/>
    <x v="0"/>
    <x v="0"/>
    <x v="7"/>
    <x v="12"/>
    <s v="NO5_A1"/>
    <x v="7"/>
    <x v="6"/>
    <s v="GHYRR_WATER"/>
    <x v="0"/>
    <x v="2"/>
    <n v="659.07830727995599"/>
    <n v="40093.930359530597"/>
    <n v="144338.14929430999"/>
  </r>
  <r>
    <x v="0"/>
    <x v="0"/>
    <x v="0"/>
    <x v="7"/>
    <x v="12"/>
    <s v="NO5_A1"/>
    <x v="7"/>
    <x v="6"/>
    <s v="GHYRR_WATER"/>
    <x v="0"/>
    <x v="3"/>
    <n v="659.07830727995599"/>
    <n v="40093.930359530597"/>
    <n v="144338.14929430999"/>
  </r>
  <r>
    <x v="0"/>
    <x v="0"/>
    <x v="0"/>
    <x v="7"/>
    <x v="12"/>
    <s v="NO5_A1"/>
    <x v="7"/>
    <x v="6"/>
    <s v="GHYRR_WATER"/>
    <x v="0"/>
    <x v="4"/>
    <n v="659.07830727995599"/>
    <n v="40093.930359530597"/>
    <n v="144338.14929430999"/>
  </r>
  <r>
    <x v="0"/>
    <x v="0"/>
    <x v="0"/>
    <x v="7"/>
    <x v="12"/>
    <s v="NO5_A1"/>
    <x v="7"/>
    <x v="6"/>
    <s v="GHYRR_WATER"/>
    <x v="0"/>
    <x v="5"/>
    <n v="659.07830727995599"/>
    <n v="40093.930359530597"/>
    <n v="144338.14929430999"/>
  </r>
  <r>
    <x v="0"/>
    <x v="0"/>
    <x v="0"/>
    <x v="7"/>
    <x v="12"/>
    <s v="NO5_A1"/>
    <x v="7"/>
    <x v="6"/>
    <s v="GHYRR_WATER"/>
    <x v="0"/>
    <x v="6"/>
    <n v="659.07830727995599"/>
    <n v="40093.930359530597"/>
    <n v="144338.14929430999"/>
  </r>
  <r>
    <x v="0"/>
    <x v="0"/>
    <x v="0"/>
    <x v="7"/>
    <x v="12"/>
    <s v="NO5_A1"/>
    <x v="7"/>
    <x v="6"/>
    <s v="GHYRR_WATER"/>
    <x v="0"/>
    <x v="7"/>
    <n v="659.07830727995599"/>
    <n v="40093.930359530597"/>
    <n v="144338.14929430999"/>
  </r>
  <r>
    <x v="0"/>
    <x v="0"/>
    <x v="0"/>
    <x v="7"/>
    <x v="12"/>
    <s v="NO5_A1"/>
    <x v="7"/>
    <x v="6"/>
    <s v="GHYRR_WATER"/>
    <x v="0"/>
    <x v="8"/>
    <n v="659.07830727995599"/>
    <n v="40093.930359530597"/>
    <n v="144338.14929430999"/>
  </r>
  <r>
    <x v="0"/>
    <x v="0"/>
    <x v="0"/>
    <x v="7"/>
    <x v="12"/>
    <s v="NO5_A1"/>
    <x v="7"/>
    <x v="6"/>
    <s v="GHYRR_WATER"/>
    <x v="0"/>
    <x v="9"/>
    <n v="659.07830727995599"/>
    <n v="40093.930359530597"/>
    <n v="144338.14929430999"/>
  </r>
  <r>
    <x v="0"/>
    <x v="0"/>
    <x v="0"/>
    <x v="7"/>
    <x v="12"/>
    <s v="NO5_A1"/>
    <x v="7"/>
    <x v="6"/>
    <s v="GHYRR_WATER"/>
    <x v="0"/>
    <x v="10"/>
    <n v="659.07830727995599"/>
    <n v="40093.930359530597"/>
    <n v="144338.14929430999"/>
  </r>
  <r>
    <x v="0"/>
    <x v="0"/>
    <x v="0"/>
    <x v="7"/>
    <x v="12"/>
    <s v="NO5_A1"/>
    <x v="7"/>
    <x v="6"/>
    <s v="GHYRR_WATER"/>
    <x v="0"/>
    <x v="11"/>
    <n v="659.07830727995599"/>
    <n v="40093.930359530597"/>
    <n v="144338.14929430999"/>
  </r>
  <r>
    <x v="0"/>
    <x v="0"/>
    <x v="0"/>
    <x v="7"/>
    <x v="12"/>
    <s v="NO5_A1"/>
    <x v="7"/>
    <x v="6"/>
    <s v="GHYRR_WATER"/>
    <x v="1"/>
    <x v="0"/>
    <n v="558.57108903078597"/>
    <n v="33979.741249372797"/>
    <n v="122327.068497742"/>
  </r>
  <r>
    <x v="0"/>
    <x v="0"/>
    <x v="0"/>
    <x v="7"/>
    <x v="12"/>
    <s v="NO5_A1"/>
    <x v="7"/>
    <x v="6"/>
    <s v="GHYRR_WATER"/>
    <x v="1"/>
    <x v="1"/>
    <n v="558.57108903078597"/>
    <n v="33979.741249372797"/>
    <n v="122327.068497742"/>
  </r>
  <r>
    <x v="0"/>
    <x v="0"/>
    <x v="0"/>
    <x v="7"/>
    <x v="12"/>
    <s v="NO5_A1"/>
    <x v="7"/>
    <x v="6"/>
    <s v="GHYRR_WATER"/>
    <x v="1"/>
    <x v="2"/>
    <n v="558.57108903078597"/>
    <n v="33979.741249372797"/>
    <n v="122327.068497742"/>
  </r>
  <r>
    <x v="0"/>
    <x v="0"/>
    <x v="0"/>
    <x v="7"/>
    <x v="12"/>
    <s v="NO5_A1"/>
    <x v="7"/>
    <x v="6"/>
    <s v="GHYRR_WATER"/>
    <x v="1"/>
    <x v="3"/>
    <n v="558.57108903078597"/>
    <n v="33979.741249372797"/>
    <n v="122327.068497742"/>
  </r>
  <r>
    <x v="0"/>
    <x v="0"/>
    <x v="0"/>
    <x v="7"/>
    <x v="12"/>
    <s v="NO5_A1"/>
    <x v="7"/>
    <x v="6"/>
    <s v="GHYRR_WATER"/>
    <x v="1"/>
    <x v="4"/>
    <n v="558.57108903078597"/>
    <n v="33979.741249372797"/>
    <n v="122327.068497742"/>
  </r>
  <r>
    <x v="0"/>
    <x v="0"/>
    <x v="0"/>
    <x v="7"/>
    <x v="12"/>
    <s v="NO5_A1"/>
    <x v="7"/>
    <x v="6"/>
    <s v="GHYRR_WATER"/>
    <x v="1"/>
    <x v="5"/>
    <n v="558.57108903078597"/>
    <n v="33979.741249372797"/>
    <n v="122327.068497742"/>
  </r>
  <r>
    <x v="0"/>
    <x v="0"/>
    <x v="0"/>
    <x v="7"/>
    <x v="12"/>
    <s v="NO5_A1"/>
    <x v="7"/>
    <x v="6"/>
    <s v="GHYRR_WATER"/>
    <x v="1"/>
    <x v="6"/>
    <n v="558.57108903078597"/>
    <n v="33979.741249372797"/>
    <n v="122327.068497742"/>
  </r>
  <r>
    <x v="0"/>
    <x v="0"/>
    <x v="0"/>
    <x v="7"/>
    <x v="12"/>
    <s v="NO5_A1"/>
    <x v="7"/>
    <x v="6"/>
    <s v="GHYRR_WATER"/>
    <x v="1"/>
    <x v="7"/>
    <n v="558.57108903078597"/>
    <n v="33979.741249372797"/>
    <n v="122327.068497742"/>
  </r>
  <r>
    <x v="0"/>
    <x v="0"/>
    <x v="0"/>
    <x v="7"/>
    <x v="12"/>
    <s v="NO5_A1"/>
    <x v="7"/>
    <x v="6"/>
    <s v="GHYRR_WATER"/>
    <x v="1"/>
    <x v="8"/>
    <n v="558.57108903078597"/>
    <n v="33979.741249372797"/>
    <n v="122327.068497742"/>
  </r>
  <r>
    <x v="0"/>
    <x v="0"/>
    <x v="0"/>
    <x v="7"/>
    <x v="12"/>
    <s v="NO5_A1"/>
    <x v="7"/>
    <x v="6"/>
    <s v="GHYRR_WATER"/>
    <x v="1"/>
    <x v="9"/>
    <n v="558.57108903078597"/>
    <n v="33979.741249372797"/>
    <n v="122327.068497742"/>
  </r>
  <r>
    <x v="0"/>
    <x v="0"/>
    <x v="0"/>
    <x v="7"/>
    <x v="12"/>
    <s v="NO5_A1"/>
    <x v="7"/>
    <x v="6"/>
    <s v="GHYRR_WATER"/>
    <x v="1"/>
    <x v="10"/>
    <n v="558.57108903078597"/>
    <n v="33979.741249372797"/>
    <n v="122327.068497742"/>
  </r>
  <r>
    <x v="0"/>
    <x v="0"/>
    <x v="0"/>
    <x v="7"/>
    <x v="12"/>
    <s v="NO5_A1"/>
    <x v="7"/>
    <x v="6"/>
    <s v="GHYRR_WATER"/>
    <x v="1"/>
    <x v="11"/>
    <n v="558.57108903078597"/>
    <n v="33979.741249372797"/>
    <n v="122327.068497742"/>
  </r>
  <r>
    <x v="0"/>
    <x v="0"/>
    <x v="0"/>
    <x v="7"/>
    <x v="12"/>
    <s v="NO5_A1"/>
    <x v="7"/>
    <x v="6"/>
    <s v="GHYRR_WATER"/>
    <x v="2"/>
    <x v="0"/>
    <n v="545.22942289151501"/>
    <n v="33168.123225900497"/>
    <n v="119405.243613242"/>
  </r>
  <r>
    <x v="0"/>
    <x v="0"/>
    <x v="0"/>
    <x v="7"/>
    <x v="12"/>
    <s v="NO5_A1"/>
    <x v="7"/>
    <x v="6"/>
    <s v="GHYRR_WATER"/>
    <x v="2"/>
    <x v="1"/>
    <n v="545.22942289151501"/>
    <n v="33168.123225900497"/>
    <n v="119405.243613242"/>
  </r>
  <r>
    <x v="0"/>
    <x v="0"/>
    <x v="0"/>
    <x v="7"/>
    <x v="12"/>
    <s v="NO5_A1"/>
    <x v="7"/>
    <x v="6"/>
    <s v="GHYRR_WATER"/>
    <x v="2"/>
    <x v="2"/>
    <n v="545.22942289151501"/>
    <n v="33168.123225900497"/>
    <n v="119405.243613242"/>
  </r>
  <r>
    <x v="0"/>
    <x v="0"/>
    <x v="0"/>
    <x v="7"/>
    <x v="12"/>
    <s v="NO5_A1"/>
    <x v="7"/>
    <x v="6"/>
    <s v="GHYRR_WATER"/>
    <x v="2"/>
    <x v="3"/>
    <n v="545.22942289151501"/>
    <n v="33168.123225900497"/>
    <n v="119405.243613242"/>
  </r>
  <r>
    <x v="0"/>
    <x v="0"/>
    <x v="0"/>
    <x v="7"/>
    <x v="12"/>
    <s v="NO5_A1"/>
    <x v="7"/>
    <x v="6"/>
    <s v="GHYRR_WATER"/>
    <x v="2"/>
    <x v="4"/>
    <n v="545.22942289151501"/>
    <n v="33168.123225900497"/>
    <n v="119405.243613242"/>
  </r>
  <r>
    <x v="0"/>
    <x v="0"/>
    <x v="0"/>
    <x v="7"/>
    <x v="12"/>
    <s v="NO5_A1"/>
    <x v="7"/>
    <x v="6"/>
    <s v="GHYRR_WATER"/>
    <x v="2"/>
    <x v="5"/>
    <n v="545.22942289151501"/>
    <n v="33168.123225900497"/>
    <n v="119405.243613242"/>
  </r>
  <r>
    <x v="0"/>
    <x v="0"/>
    <x v="0"/>
    <x v="7"/>
    <x v="12"/>
    <s v="NO5_A1"/>
    <x v="7"/>
    <x v="6"/>
    <s v="GHYRR_WATER"/>
    <x v="2"/>
    <x v="6"/>
    <n v="545.22942289151501"/>
    <n v="33168.123225900497"/>
    <n v="119405.243613242"/>
  </r>
  <r>
    <x v="0"/>
    <x v="0"/>
    <x v="0"/>
    <x v="7"/>
    <x v="12"/>
    <s v="NO5_A1"/>
    <x v="7"/>
    <x v="6"/>
    <s v="GHYRR_WATER"/>
    <x v="2"/>
    <x v="7"/>
    <n v="545.22942289151501"/>
    <n v="33168.123225900497"/>
    <n v="119405.243613242"/>
  </r>
  <r>
    <x v="0"/>
    <x v="0"/>
    <x v="0"/>
    <x v="7"/>
    <x v="12"/>
    <s v="NO5_A1"/>
    <x v="7"/>
    <x v="6"/>
    <s v="GHYRR_WATER"/>
    <x v="2"/>
    <x v="8"/>
    <n v="545.22942289151501"/>
    <n v="33168.123225900497"/>
    <n v="119405.243613242"/>
  </r>
  <r>
    <x v="0"/>
    <x v="0"/>
    <x v="0"/>
    <x v="7"/>
    <x v="12"/>
    <s v="NO5_A1"/>
    <x v="7"/>
    <x v="6"/>
    <s v="GHYRR_WATER"/>
    <x v="2"/>
    <x v="9"/>
    <n v="545.22942289151501"/>
    <n v="33168.123225900497"/>
    <n v="119405.243613242"/>
  </r>
  <r>
    <x v="0"/>
    <x v="0"/>
    <x v="0"/>
    <x v="7"/>
    <x v="12"/>
    <s v="NO5_A1"/>
    <x v="7"/>
    <x v="6"/>
    <s v="GHYRR_WATER"/>
    <x v="2"/>
    <x v="10"/>
    <n v="545.22942289151501"/>
    <n v="33168.123225900497"/>
    <n v="119405.243613242"/>
  </r>
  <r>
    <x v="0"/>
    <x v="0"/>
    <x v="0"/>
    <x v="7"/>
    <x v="12"/>
    <s v="NO5_A1"/>
    <x v="7"/>
    <x v="6"/>
    <s v="GHYRR_WATER"/>
    <x v="2"/>
    <x v="11"/>
    <n v="545.22942289151501"/>
    <n v="33168.123225900497"/>
    <n v="119405.243613242"/>
  </r>
  <r>
    <x v="0"/>
    <x v="0"/>
    <x v="0"/>
    <x v="7"/>
    <x v="12"/>
    <s v="NO5_A1"/>
    <x v="7"/>
    <x v="6"/>
    <s v="GHYRR_WATER"/>
    <x v="3"/>
    <x v="0"/>
    <n v="403.80776181524999"/>
    <n v="24564.9721770943"/>
    <n v="88433.899837539706"/>
  </r>
  <r>
    <x v="0"/>
    <x v="0"/>
    <x v="0"/>
    <x v="7"/>
    <x v="12"/>
    <s v="NO5_A1"/>
    <x v="7"/>
    <x v="6"/>
    <s v="GHYRR_WATER"/>
    <x v="3"/>
    <x v="1"/>
    <n v="403.80776181524999"/>
    <n v="24564.9721770943"/>
    <n v="88433.899837539706"/>
  </r>
  <r>
    <x v="0"/>
    <x v="0"/>
    <x v="0"/>
    <x v="7"/>
    <x v="12"/>
    <s v="NO5_A1"/>
    <x v="7"/>
    <x v="6"/>
    <s v="GHYRR_WATER"/>
    <x v="3"/>
    <x v="2"/>
    <n v="403.80776181524999"/>
    <n v="24564.9721770943"/>
    <n v="88433.899837539706"/>
  </r>
  <r>
    <x v="0"/>
    <x v="0"/>
    <x v="0"/>
    <x v="7"/>
    <x v="12"/>
    <s v="NO5_A1"/>
    <x v="7"/>
    <x v="6"/>
    <s v="GHYRR_WATER"/>
    <x v="3"/>
    <x v="3"/>
    <n v="403.80776181524999"/>
    <n v="24564.9721770943"/>
    <n v="88433.899837539706"/>
  </r>
  <r>
    <x v="0"/>
    <x v="0"/>
    <x v="0"/>
    <x v="7"/>
    <x v="12"/>
    <s v="NO5_A1"/>
    <x v="7"/>
    <x v="6"/>
    <s v="GHYRR_WATER"/>
    <x v="3"/>
    <x v="4"/>
    <n v="403.80776181524999"/>
    <n v="24564.9721770943"/>
    <n v="88433.899837539706"/>
  </r>
  <r>
    <x v="0"/>
    <x v="0"/>
    <x v="0"/>
    <x v="7"/>
    <x v="12"/>
    <s v="NO5_A1"/>
    <x v="7"/>
    <x v="6"/>
    <s v="GHYRR_WATER"/>
    <x v="3"/>
    <x v="5"/>
    <n v="403.80776181524999"/>
    <n v="24564.9721770943"/>
    <n v="88433.899837539706"/>
  </r>
  <r>
    <x v="0"/>
    <x v="0"/>
    <x v="0"/>
    <x v="7"/>
    <x v="12"/>
    <s v="NO5_A1"/>
    <x v="7"/>
    <x v="6"/>
    <s v="GHYRR_WATER"/>
    <x v="3"/>
    <x v="6"/>
    <n v="403.80776181524999"/>
    <n v="24564.9721770943"/>
    <n v="88433.899837539706"/>
  </r>
  <r>
    <x v="0"/>
    <x v="0"/>
    <x v="0"/>
    <x v="7"/>
    <x v="12"/>
    <s v="NO5_A1"/>
    <x v="7"/>
    <x v="6"/>
    <s v="GHYRR_WATER"/>
    <x v="3"/>
    <x v="7"/>
    <n v="403.80776181524999"/>
    <n v="24564.9721770943"/>
    <n v="88433.899837539706"/>
  </r>
  <r>
    <x v="0"/>
    <x v="0"/>
    <x v="0"/>
    <x v="7"/>
    <x v="12"/>
    <s v="NO5_A1"/>
    <x v="7"/>
    <x v="6"/>
    <s v="GHYRR_WATER"/>
    <x v="3"/>
    <x v="8"/>
    <n v="403.80776181524999"/>
    <n v="24564.9721770943"/>
    <n v="88433.899837539706"/>
  </r>
  <r>
    <x v="0"/>
    <x v="0"/>
    <x v="0"/>
    <x v="7"/>
    <x v="12"/>
    <s v="NO5_A1"/>
    <x v="7"/>
    <x v="6"/>
    <s v="GHYRR_WATER"/>
    <x v="3"/>
    <x v="9"/>
    <n v="403.80776181524999"/>
    <n v="24564.9721770943"/>
    <n v="88433.899837539706"/>
  </r>
  <r>
    <x v="0"/>
    <x v="0"/>
    <x v="0"/>
    <x v="7"/>
    <x v="12"/>
    <s v="NO5_A1"/>
    <x v="7"/>
    <x v="6"/>
    <s v="GHYRR_WATER"/>
    <x v="3"/>
    <x v="10"/>
    <n v="403.80776181524999"/>
    <n v="24564.9721770943"/>
    <n v="88433.899837539706"/>
  </r>
  <r>
    <x v="0"/>
    <x v="0"/>
    <x v="0"/>
    <x v="7"/>
    <x v="12"/>
    <s v="NO5_A1"/>
    <x v="7"/>
    <x v="6"/>
    <s v="GHYRR_WATER"/>
    <x v="3"/>
    <x v="11"/>
    <n v="403.80776181524999"/>
    <n v="24564.9721770943"/>
    <n v="88433.899837539706"/>
  </r>
  <r>
    <x v="0"/>
    <x v="0"/>
    <x v="0"/>
    <x v="7"/>
    <x v="12"/>
    <s v="NO5_A1"/>
    <x v="7"/>
    <x v="6"/>
    <s v="GHYRR_WATER"/>
    <x v="4"/>
    <x v="0"/>
    <n v="306.858321203218"/>
    <n v="18667.214539862402"/>
    <n v="67201.972343504807"/>
  </r>
  <r>
    <x v="0"/>
    <x v="0"/>
    <x v="0"/>
    <x v="7"/>
    <x v="12"/>
    <s v="NO5_A1"/>
    <x v="7"/>
    <x v="6"/>
    <s v="GHYRR_WATER"/>
    <x v="4"/>
    <x v="1"/>
    <n v="306.858321203218"/>
    <n v="18667.214539862402"/>
    <n v="67201.972343504807"/>
  </r>
  <r>
    <x v="0"/>
    <x v="0"/>
    <x v="0"/>
    <x v="7"/>
    <x v="12"/>
    <s v="NO5_A1"/>
    <x v="7"/>
    <x v="6"/>
    <s v="GHYRR_WATER"/>
    <x v="4"/>
    <x v="2"/>
    <n v="306.858321203218"/>
    <n v="18667.214539862402"/>
    <n v="67201.972343504807"/>
  </r>
  <r>
    <x v="0"/>
    <x v="0"/>
    <x v="0"/>
    <x v="7"/>
    <x v="12"/>
    <s v="NO5_A1"/>
    <x v="7"/>
    <x v="6"/>
    <s v="GHYRR_WATER"/>
    <x v="4"/>
    <x v="3"/>
    <n v="306.858321203218"/>
    <n v="18667.214539862402"/>
    <n v="67201.972343504807"/>
  </r>
  <r>
    <x v="0"/>
    <x v="0"/>
    <x v="0"/>
    <x v="7"/>
    <x v="12"/>
    <s v="NO5_A1"/>
    <x v="7"/>
    <x v="6"/>
    <s v="GHYRR_WATER"/>
    <x v="4"/>
    <x v="4"/>
    <n v="306.858321203218"/>
    <n v="18667.214539862402"/>
    <n v="67201.972343504807"/>
  </r>
  <r>
    <x v="0"/>
    <x v="0"/>
    <x v="0"/>
    <x v="7"/>
    <x v="12"/>
    <s v="NO5_A1"/>
    <x v="7"/>
    <x v="6"/>
    <s v="GHYRR_WATER"/>
    <x v="4"/>
    <x v="5"/>
    <n v="306.858321203218"/>
    <n v="18667.214539862402"/>
    <n v="67201.972343504807"/>
  </r>
  <r>
    <x v="0"/>
    <x v="0"/>
    <x v="0"/>
    <x v="7"/>
    <x v="12"/>
    <s v="NO5_A1"/>
    <x v="7"/>
    <x v="6"/>
    <s v="GHYRR_WATER"/>
    <x v="4"/>
    <x v="6"/>
    <n v="306.858321203218"/>
    <n v="18667.214539862402"/>
    <n v="67201.972343504807"/>
  </r>
  <r>
    <x v="0"/>
    <x v="0"/>
    <x v="0"/>
    <x v="7"/>
    <x v="12"/>
    <s v="NO5_A1"/>
    <x v="7"/>
    <x v="6"/>
    <s v="GHYRR_WATER"/>
    <x v="4"/>
    <x v="7"/>
    <n v="306.858321203218"/>
    <n v="18667.214539862402"/>
    <n v="67201.972343504807"/>
  </r>
  <r>
    <x v="0"/>
    <x v="0"/>
    <x v="0"/>
    <x v="7"/>
    <x v="12"/>
    <s v="NO5_A1"/>
    <x v="7"/>
    <x v="6"/>
    <s v="GHYRR_WATER"/>
    <x v="4"/>
    <x v="8"/>
    <n v="306.858321203218"/>
    <n v="18667.214539862402"/>
    <n v="67201.972343504807"/>
  </r>
  <r>
    <x v="0"/>
    <x v="0"/>
    <x v="0"/>
    <x v="7"/>
    <x v="12"/>
    <s v="NO5_A1"/>
    <x v="7"/>
    <x v="6"/>
    <s v="GHYRR_WATER"/>
    <x v="4"/>
    <x v="9"/>
    <n v="306.858321203218"/>
    <n v="18667.214539862402"/>
    <n v="67201.972343504807"/>
  </r>
  <r>
    <x v="0"/>
    <x v="0"/>
    <x v="0"/>
    <x v="7"/>
    <x v="12"/>
    <s v="NO5_A1"/>
    <x v="7"/>
    <x v="6"/>
    <s v="GHYRR_WATER"/>
    <x v="4"/>
    <x v="10"/>
    <n v="306.858321203218"/>
    <n v="18667.214539862402"/>
    <n v="67201.972343504807"/>
  </r>
  <r>
    <x v="0"/>
    <x v="0"/>
    <x v="0"/>
    <x v="7"/>
    <x v="12"/>
    <s v="NO5_A1"/>
    <x v="7"/>
    <x v="6"/>
    <s v="GHYRR_WATER"/>
    <x v="4"/>
    <x v="11"/>
    <n v="306.858321203218"/>
    <n v="18667.214539862402"/>
    <n v="67201.972343504807"/>
  </r>
  <r>
    <x v="0"/>
    <x v="0"/>
    <x v="0"/>
    <x v="7"/>
    <x v="12"/>
    <s v="NO5_A1"/>
    <x v="7"/>
    <x v="6"/>
    <s v="GHYRR_WATER"/>
    <x v="5"/>
    <x v="0"/>
    <n v="308.63721002178801"/>
    <n v="18775.430276325402"/>
    <n v="67591.548994771496"/>
  </r>
  <r>
    <x v="0"/>
    <x v="0"/>
    <x v="0"/>
    <x v="7"/>
    <x v="12"/>
    <s v="NO5_A1"/>
    <x v="7"/>
    <x v="6"/>
    <s v="GHYRR_WATER"/>
    <x v="5"/>
    <x v="1"/>
    <n v="308.63721002178801"/>
    <n v="18775.430276325402"/>
    <n v="67591.548994771496"/>
  </r>
  <r>
    <x v="0"/>
    <x v="0"/>
    <x v="0"/>
    <x v="7"/>
    <x v="12"/>
    <s v="NO5_A1"/>
    <x v="7"/>
    <x v="6"/>
    <s v="GHYRR_WATER"/>
    <x v="5"/>
    <x v="2"/>
    <n v="308.63721002178801"/>
    <n v="18775.430276325402"/>
    <n v="67591.548994771496"/>
  </r>
  <r>
    <x v="0"/>
    <x v="0"/>
    <x v="0"/>
    <x v="7"/>
    <x v="12"/>
    <s v="NO5_A1"/>
    <x v="7"/>
    <x v="6"/>
    <s v="GHYRR_WATER"/>
    <x v="5"/>
    <x v="3"/>
    <n v="308.63721002178801"/>
    <n v="18775.430276325402"/>
    <n v="67591.548994771496"/>
  </r>
  <r>
    <x v="0"/>
    <x v="0"/>
    <x v="0"/>
    <x v="7"/>
    <x v="12"/>
    <s v="NO5_A1"/>
    <x v="7"/>
    <x v="6"/>
    <s v="GHYRR_WATER"/>
    <x v="5"/>
    <x v="4"/>
    <n v="308.63721002178801"/>
    <n v="18775.430276325402"/>
    <n v="67591.548994771496"/>
  </r>
  <r>
    <x v="0"/>
    <x v="0"/>
    <x v="0"/>
    <x v="7"/>
    <x v="12"/>
    <s v="NO5_A1"/>
    <x v="7"/>
    <x v="6"/>
    <s v="GHYRR_WATER"/>
    <x v="5"/>
    <x v="5"/>
    <n v="308.63721002178801"/>
    <n v="18775.430276325402"/>
    <n v="67591.548994771496"/>
  </r>
  <r>
    <x v="0"/>
    <x v="0"/>
    <x v="0"/>
    <x v="7"/>
    <x v="12"/>
    <s v="NO5_A1"/>
    <x v="7"/>
    <x v="6"/>
    <s v="GHYRR_WATER"/>
    <x v="5"/>
    <x v="6"/>
    <n v="308.63721002178801"/>
    <n v="18775.430276325402"/>
    <n v="67591.548994771496"/>
  </r>
  <r>
    <x v="0"/>
    <x v="0"/>
    <x v="0"/>
    <x v="7"/>
    <x v="12"/>
    <s v="NO5_A1"/>
    <x v="7"/>
    <x v="6"/>
    <s v="GHYRR_WATER"/>
    <x v="5"/>
    <x v="7"/>
    <n v="308.63721002178801"/>
    <n v="18775.430276325402"/>
    <n v="67591.548994771496"/>
  </r>
  <r>
    <x v="0"/>
    <x v="0"/>
    <x v="0"/>
    <x v="7"/>
    <x v="12"/>
    <s v="NO5_A1"/>
    <x v="7"/>
    <x v="6"/>
    <s v="GHYRR_WATER"/>
    <x v="5"/>
    <x v="8"/>
    <n v="308.63721002178801"/>
    <n v="18775.430276325402"/>
    <n v="67591.548994771496"/>
  </r>
  <r>
    <x v="0"/>
    <x v="0"/>
    <x v="0"/>
    <x v="7"/>
    <x v="12"/>
    <s v="NO5_A1"/>
    <x v="7"/>
    <x v="6"/>
    <s v="GHYRR_WATER"/>
    <x v="5"/>
    <x v="9"/>
    <n v="308.63721002178801"/>
    <n v="18775.430276325402"/>
    <n v="67591.548994771496"/>
  </r>
  <r>
    <x v="0"/>
    <x v="0"/>
    <x v="0"/>
    <x v="7"/>
    <x v="12"/>
    <s v="NO5_A1"/>
    <x v="7"/>
    <x v="6"/>
    <s v="GHYRR_WATER"/>
    <x v="5"/>
    <x v="10"/>
    <n v="308.63721002178801"/>
    <n v="18775.430276325402"/>
    <n v="67591.548994771496"/>
  </r>
  <r>
    <x v="0"/>
    <x v="0"/>
    <x v="0"/>
    <x v="7"/>
    <x v="12"/>
    <s v="NO5_A1"/>
    <x v="7"/>
    <x v="6"/>
    <s v="GHYRR_WATER"/>
    <x v="5"/>
    <x v="11"/>
    <n v="308.63721002178801"/>
    <n v="18775.430276325402"/>
    <n v="67591.548994771496"/>
  </r>
  <r>
    <x v="0"/>
    <x v="0"/>
    <x v="0"/>
    <x v="7"/>
    <x v="12"/>
    <s v="NO5_A1"/>
    <x v="7"/>
    <x v="6"/>
    <s v="GHYRR_WATER"/>
    <x v="6"/>
    <x v="0"/>
    <n v="341.546653165321"/>
    <n v="20777.421400890398"/>
    <n v="74798.717043205295"/>
  </r>
  <r>
    <x v="0"/>
    <x v="0"/>
    <x v="0"/>
    <x v="7"/>
    <x v="12"/>
    <s v="NO5_A1"/>
    <x v="7"/>
    <x v="6"/>
    <s v="GHYRR_WATER"/>
    <x v="6"/>
    <x v="1"/>
    <n v="341.546653165321"/>
    <n v="20777.421400890398"/>
    <n v="74798.717043205295"/>
  </r>
  <r>
    <x v="0"/>
    <x v="0"/>
    <x v="0"/>
    <x v="7"/>
    <x v="12"/>
    <s v="NO5_A1"/>
    <x v="7"/>
    <x v="6"/>
    <s v="GHYRR_WATER"/>
    <x v="6"/>
    <x v="2"/>
    <n v="341.546653165321"/>
    <n v="20777.421400890398"/>
    <n v="74798.717043205295"/>
  </r>
  <r>
    <x v="0"/>
    <x v="0"/>
    <x v="0"/>
    <x v="7"/>
    <x v="12"/>
    <s v="NO5_A1"/>
    <x v="7"/>
    <x v="6"/>
    <s v="GHYRR_WATER"/>
    <x v="6"/>
    <x v="3"/>
    <n v="341.546653165321"/>
    <n v="20777.421400890398"/>
    <n v="74798.717043205295"/>
  </r>
  <r>
    <x v="0"/>
    <x v="0"/>
    <x v="0"/>
    <x v="7"/>
    <x v="12"/>
    <s v="NO5_A1"/>
    <x v="7"/>
    <x v="6"/>
    <s v="GHYRR_WATER"/>
    <x v="6"/>
    <x v="4"/>
    <n v="341.546653165321"/>
    <n v="20777.421400890398"/>
    <n v="74798.717043205295"/>
  </r>
  <r>
    <x v="0"/>
    <x v="0"/>
    <x v="0"/>
    <x v="7"/>
    <x v="12"/>
    <s v="NO5_A1"/>
    <x v="7"/>
    <x v="6"/>
    <s v="GHYRR_WATER"/>
    <x v="6"/>
    <x v="5"/>
    <n v="341.546653165321"/>
    <n v="20777.421400890398"/>
    <n v="74798.717043205295"/>
  </r>
  <r>
    <x v="0"/>
    <x v="0"/>
    <x v="0"/>
    <x v="7"/>
    <x v="12"/>
    <s v="NO5_A1"/>
    <x v="7"/>
    <x v="6"/>
    <s v="GHYRR_WATER"/>
    <x v="6"/>
    <x v="6"/>
    <n v="341.546653165321"/>
    <n v="20777.421400890398"/>
    <n v="74798.717043205295"/>
  </r>
  <r>
    <x v="0"/>
    <x v="0"/>
    <x v="0"/>
    <x v="7"/>
    <x v="12"/>
    <s v="NO5_A1"/>
    <x v="7"/>
    <x v="6"/>
    <s v="GHYRR_WATER"/>
    <x v="6"/>
    <x v="7"/>
    <n v="341.546653165321"/>
    <n v="20777.421400890398"/>
    <n v="74798.717043205295"/>
  </r>
  <r>
    <x v="0"/>
    <x v="0"/>
    <x v="0"/>
    <x v="7"/>
    <x v="12"/>
    <s v="NO5_A1"/>
    <x v="7"/>
    <x v="6"/>
    <s v="GHYRR_WATER"/>
    <x v="6"/>
    <x v="8"/>
    <n v="341.546653165321"/>
    <n v="20777.421400890398"/>
    <n v="74798.717043205295"/>
  </r>
  <r>
    <x v="0"/>
    <x v="0"/>
    <x v="0"/>
    <x v="7"/>
    <x v="12"/>
    <s v="NO5_A1"/>
    <x v="7"/>
    <x v="6"/>
    <s v="GHYRR_WATER"/>
    <x v="6"/>
    <x v="9"/>
    <n v="341.546653165321"/>
    <n v="20777.421400890398"/>
    <n v="74798.717043205295"/>
  </r>
  <r>
    <x v="0"/>
    <x v="0"/>
    <x v="0"/>
    <x v="7"/>
    <x v="12"/>
    <s v="NO5_A1"/>
    <x v="7"/>
    <x v="6"/>
    <s v="GHYRR_WATER"/>
    <x v="6"/>
    <x v="10"/>
    <n v="341.546653165321"/>
    <n v="20777.421400890398"/>
    <n v="74798.717043205295"/>
  </r>
  <r>
    <x v="0"/>
    <x v="0"/>
    <x v="0"/>
    <x v="7"/>
    <x v="12"/>
    <s v="NO5_A1"/>
    <x v="7"/>
    <x v="6"/>
    <s v="GHYRR_WATER"/>
    <x v="6"/>
    <x v="11"/>
    <n v="341.546653165321"/>
    <n v="20777.421400890398"/>
    <n v="74798.717043205295"/>
  </r>
  <r>
    <x v="0"/>
    <x v="0"/>
    <x v="0"/>
    <x v="7"/>
    <x v="12"/>
    <s v="NO5_A1"/>
    <x v="7"/>
    <x v="6"/>
    <s v="GHYRR_WATER"/>
    <x v="7"/>
    <x v="0"/>
    <n v="351.33054166745302"/>
    <n v="21372.607951436701"/>
    <n v="76941.3886251722"/>
  </r>
  <r>
    <x v="0"/>
    <x v="0"/>
    <x v="0"/>
    <x v="7"/>
    <x v="12"/>
    <s v="NO5_A1"/>
    <x v="7"/>
    <x v="6"/>
    <s v="GHYRR_WATER"/>
    <x v="7"/>
    <x v="1"/>
    <n v="351.33054166745302"/>
    <n v="21372.607951436701"/>
    <n v="76941.3886251722"/>
  </r>
  <r>
    <x v="0"/>
    <x v="0"/>
    <x v="0"/>
    <x v="7"/>
    <x v="12"/>
    <s v="NO5_A1"/>
    <x v="7"/>
    <x v="6"/>
    <s v="GHYRR_WATER"/>
    <x v="7"/>
    <x v="2"/>
    <n v="351.33054166745302"/>
    <n v="21372.607951436701"/>
    <n v="76941.3886251722"/>
  </r>
  <r>
    <x v="0"/>
    <x v="0"/>
    <x v="0"/>
    <x v="7"/>
    <x v="12"/>
    <s v="NO5_A1"/>
    <x v="7"/>
    <x v="6"/>
    <s v="GHYRR_WATER"/>
    <x v="7"/>
    <x v="3"/>
    <n v="351.33054166745302"/>
    <n v="21372.607951436701"/>
    <n v="76941.3886251722"/>
  </r>
  <r>
    <x v="0"/>
    <x v="0"/>
    <x v="0"/>
    <x v="7"/>
    <x v="12"/>
    <s v="NO5_A1"/>
    <x v="7"/>
    <x v="6"/>
    <s v="GHYRR_WATER"/>
    <x v="7"/>
    <x v="4"/>
    <n v="351.33054166745302"/>
    <n v="21372.607951436701"/>
    <n v="76941.3886251722"/>
  </r>
  <r>
    <x v="0"/>
    <x v="0"/>
    <x v="0"/>
    <x v="7"/>
    <x v="12"/>
    <s v="NO5_A1"/>
    <x v="7"/>
    <x v="6"/>
    <s v="GHYRR_WATER"/>
    <x v="7"/>
    <x v="5"/>
    <n v="351.33054166745302"/>
    <n v="21372.607951436701"/>
    <n v="76941.3886251722"/>
  </r>
  <r>
    <x v="0"/>
    <x v="0"/>
    <x v="0"/>
    <x v="7"/>
    <x v="12"/>
    <s v="NO5_A1"/>
    <x v="7"/>
    <x v="6"/>
    <s v="GHYRR_WATER"/>
    <x v="7"/>
    <x v="6"/>
    <n v="351.33054166745302"/>
    <n v="21372.607951436701"/>
    <n v="76941.3886251722"/>
  </r>
  <r>
    <x v="0"/>
    <x v="0"/>
    <x v="0"/>
    <x v="7"/>
    <x v="12"/>
    <s v="NO5_A1"/>
    <x v="7"/>
    <x v="6"/>
    <s v="GHYRR_WATER"/>
    <x v="7"/>
    <x v="7"/>
    <n v="351.33054166745302"/>
    <n v="21372.607951436701"/>
    <n v="76941.3886251722"/>
  </r>
  <r>
    <x v="0"/>
    <x v="0"/>
    <x v="0"/>
    <x v="7"/>
    <x v="12"/>
    <s v="NO5_A1"/>
    <x v="7"/>
    <x v="6"/>
    <s v="GHYRR_WATER"/>
    <x v="7"/>
    <x v="8"/>
    <n v="351.33054166745302"/>
    <n v="21372.607951436701"/>
    <n v="76941.3886251722"/>
  </r>
  <r>
    <x v="0"/>
    <x v="0"/>
    <x v="0"/>
    <x v="7"/>
    <x v="12"/>
    <s v="NO5_A1"/>
    <x v="7"/>
    <x v="6"/>
    <s v="GHYRR_WATER"/>
    <x v="7"/>
    <x v="9"/>
    <n v="351.33054166745302"/>
    <n v="21372.607951436701"/>
    <n v="76941.3886251722"/>
  </r>
  <r>
    <x v="0"/>
    <x v="0"/>
    <x v="0"/>
    <x v="7"/>
    <x v="12"/>
    <s v="NO5_A1"/>
    <x v="7"/>
    <x v="6"/>
    <s v="GHYRR_WATER"/>
    <x v="7"/>
    <x v="10"/>
    <n v="351.33054166745302"/>
    <n v="21372.607951436701"/>
    <n v="76941.3886251722"/>
  </r>
  <r>
    <x v="0"/>
    <x v="0"/>
    <x v="0"/>
    <x v="7"/>
    <x v="12"/>
    <s v="NO5_A1"/>
    <x v="7"/>
    <x v="6"/>
    <s v="GHYRR_WATER"/>
    <x v="7"/>
    <x v="11"/>
    <n v="351.33054166745302"/>
    <n v="21372.607951436701"/>
    <n v="76941.3886251722"/>
  </r>
  <r>
    <x v="0"/>
    <x v="0"/>
    <x v="0"/>
    <x v="7"/>
    <x v="12"/>
    <s v="NO5_A1"/>
    <x v="7"/>
    <x v="6"/>
    <s v="GHYRR_WATER"/>
    <x v="8"/>
    <x v="0"/>
    <n v="396.69220654097199"/>
    <n v="24132.109231242499"/>
    <n v="86875.593232472893"/>
  </r>
  <r>
    <x v="0"/>
    <x v="0"/>
    <x v="0"/>
    <x v="7"/>
    <x v="12"/>
    <s v="NO5_A1"/>
    <x v="7"/>
    <x v="6"/>
    <s v="GHYRR_WATER"/>
    <x v="8"/>
    <x v="1"/>
    <n v="396.69220654097199"/>
    <n v="24132.109231242499"/>
    <n v="86875.593232472893"/>
  </r>
  <r>
    <x v="0"/>
    <x v="0"/>
    <x v="0"/>
    <x v="7"/>
    <x v="12"/>
    <s v="NO5_A1"/>
    <x v="7"/>
    <x v="6"/>
    <s v="GHYRR_WATER"/>
    <x v="8"/>
    <x v="2"/>
    <n v="396.69220654097199"/>
    <n v="24132.109231242499"/>
    <n v="86875.593232472893"/>
  </r>
  <r>
    <x v="0"/>
    <x v="0"/>
    <x v="0"/>
    <x v="7"/>
    <x v="12"/>
    <s v="NO5_A1"/>
    <x v="7"/>
    <x v="6"/>
    <s v="GHYRR_WATER"/>
    <x v="8"/>
    <x v="3"/>
    <n v="396.69220654097199"/>
    <n v="24132.109231242499"/>
    <n v="86875.593232472893"/>
  </r>
  <r>
    <x v="0"/>
    <x v="0"/>
    <x v="0"/>
    <x v="7"/>
    <x v="12"/>
    <s v="NO5_A1"/>
    <x v="7"/>
    <x v="6"/>
    <s v="GHYRR_WATER"/>
    <x v="8"/>
    <x v="4"/>
    <n v="396.69220654097199"/>
    <n v="24132.109231242499"/>
    <n v="86875.593232472893"/>
  </r>
  <r>
    <x v="0"/>
    <x v="0"/>
    <x v="0"/>
    <x v="7"/>
    <x v="12"/>
    <s v="NO5_A1"/>
    <x v="7"/>
    <x v="6"/>
    <s v="GHYRR_WATER"/>
    <x v="8"/>
    <x v="5"/>
    <n v="396.69220654097199"/>
    <n v="24132.109231242499"/>
    <n v="86875.593232472893"/>
  </r>
  <r>
    <x v="0"/>
    <x v="0"/>
    <x v="0"/>
    <x v="7"/>
    <x v="12"/>
    <s v="NO5_A1"/>
    <x v="7"/>
    <x v="6"/>
    <s v="GHYRR_WATER"/>
    <x v="8"/>
    <x v="6"/>
    <n v="396.69220654097199"/>
    <n v="24132.109231242499"/>
    <n v="86875.593232472893"/>
  </r>
  <r>
    <x v="0"/>
    <x v="0"/>
    <x v="0"/>
    <x v="7"/>
    <x v="12"/>
    <s v="NO5_A1"/>
    <x v="7"/>
    <x v="6"/>
    <s v="GHYRR_WATER"/>
    <x v="8"/>
    <x v="7"/>
    <n v="396.69220654097199"/>
    <n v="24132.109231242499"/>
    <n v="86875.593232472893"/>
  </r>
  <r>
    <x v="0"/>
    <x v="0"/>
    <x v="0"/>
    <x v="7"/>
    <x v="12"/>
    <s v="NO5_A1"/>
    <x v="7"/>
    <x v="6"/>
    <s v="GHYRR_WATER"/>
    <x v="8"/>
    <x v="8"/>
    <n v="396.69220654097199"/>
    <n v="24132.109231242499"/>
    <n v="86875.593232472893"/>
  </r>
  <r>
    <x v="0"/>
    <x v="0"/>
    <x v="0"/>
    <x v="7"/>
    <x v="12"/>
    <s v="NO5_A1"/>
    <x v="7"/>
    <x v="6"/>
    <s v="GHYRR_WATER"/>
    <x v="8"/>
    <x v="9"/>
    <n v="396.69220654097199"/>
    <n v="24132.109231242499"/>
    <n v="86875.593232472893"/>
  </r>
  <r>
    <x v="0"/>
    <x v="0"/>
    <x v="0"/>
    <x v="7"/>
    <x v="12"/>
    <s v="NO5_A1"/>
    <x v="7"/>
    <x v="6"/>
    <s v="GHYRR_WATER"/>
    <x v="8"/>
    <x v="10"/>
    <n v="396.69220654097199"/>
    <n v="24132.109231242499"/>
    <n v="86875.593232472893"/>
  </r>
  <r>
    <x v="0"/>
    <x v="0"/>
    <x v="0"/>
    <x v="7"/>
    <x v="12"/>
    <s v="NO5_A1"/>
    <x v="7"/>
    <x v="6"/>
    <s v="GHYRR_WATER"/>
    <x v="8"/>
    <x v="11"/>
    <n v="396.69220654097199"/>
    <n v="24132.109231242499"/>
    <n v="86875.593232472893"/>
  </r>
  <r>
    <x v="0"/>
    <x v="0"/>
    <x v="0"/>
    <x v="7"/>
    <x v="12"/>
    <s v="NO5_A1"/>
    <x v="7"/>
    <x v="6"/>
    <s v="GHYRR_WATER"/>
    <x v="9"/>
    <x v="0"/>
    <n v="369.11942985314698"/>
    <n v="22454.765316066401"/>
    <n v="80837.155137839101"/>
  </r>
  <r>
    <x v="0"/>
    <x v="0"/>
    <x v="0"/>
    <x v="7"/>
    <x v="12"/>
    <s v="NO5_A1"/>
    <x v="7"/>
    <x v="6"/>
    <s v="GHYRR_WATER"/>
    <x v="9"/>
    <x v="1"/>
    <n v="369.11942985314698"/>
    <n v="22454.765316066401"/>
    <n v="80837.155137839101"/>
  </r>
  <r>
    <x v="0"/>
    <x v="0"/>
    <x v="0"/>
    <x v="7"/>
    <x v="12"/>
    <s v="NO5_A1"/>
    <x v="7"/>
    <x v="6"/>
    <s v="GHYRR_WATER"/>
    <x v="9"/>
    <x v="2"/>
    <n v="369.11942985314698"/>
    <n v="22454.765316066401"/>
    <n v="80837.155137839101"/>
  </r>
  <r>
    <x v="0"/>
    <x v="0"/>
    <x v="0"/>
    <x v="7"/>
    <x v="12"/>
    <s v="NO5_A1"/>
    <x v="7"/>
    <x v="6"/>
    <s v="GHYRR_WATER"/>
    <x v="9"/>
    <x v="3"/>
    <n v="369.11942985314698"/>
    <n v="22454.765316066401"/>
    <n v="80837.155137839101"/>
  </r>
  <r>
    <x v="0"/>
    <x v="0"/>
    <x v="0"/>
    <x v="7"/>
    <x v="12"/>
    <s v="NO5_A1"/>
    <x v="7"/>
    <x v="6"/>
    <s v="GHYRR_WATER"/>
    <x v="9"/>
    <x v="4"/>
    <n v="369.11942985314698"/>
    <n v="22454.765316066401"/>
    <n v="80837.155137839101"/>
  </r>
  <r>
    <x v="0"/>
    <x v="0"/>
    <x v="0"/>
    <x v="7"/>
    <x v="12"/>
    <s v="NO5_A1"/>
    <x v="7"/>
    <x v="6"/>
    <s v="GHYRR_WATER"/>
    <x v="9"/>
    <x v="5"/>
    <n v="369.11942985314698"/>
    <n v="22454.765316066401"/>
    <n v="80837.155137839101"/>
  </r>
  <r>
    <x v="0"/>
    <x v="0"/>
    <x v="0"/>
    <x v="7"/>
    <x v="12"/>
    <s v="NO5_A1"/>
    <x v="7"/>
    <x v="6"/>
    <s v="GHYRR_WATER"/>
    <x v="9"/>
    <x v="6"/>
    <n v="369.11942985314698"/>
    <n v="22454.765316066401"/>
    <n v="80837.155137839101"/>
  </r>
  <r>
    <x v="0"/>
    <x v="0"/>
    <x v="0"/>
    <x v="7"/>
    <x v="12"/>
    <s v="NO5_A1"/>
    <x v="7"/>
    <x v="6"/>
    <s v="GHYRR_WATER"/>
    <x v="9"/>
    <x v="7"/>
    <n v="369.11942985314698"/>
    <n v="22454.765316066401"/>
    <n v="80837.155137839101"/>
  </r>
  <r>
    <x v="0"/>
    <x v="0"/>
    <x v="0"/>
    <x v="7"/>
    <x v="12"/>
    <s v="NO5_A1"/>
    <x v="7"/>
    <x v="6"/>
    <s v="GHYRR_WATER"/>
    <x v="9"/>
    <x v="8"/>
    <n v="369.11942985314698"/>
    <n v="22454.765316066401"/>
    <n v="80837.155137839101"/>
  </r>
  <r>
    <x v="0"/>
    <x v="0"/>
    <x v="0"/>
    <x v="7"/>
    <x v="12"/>
    <s v="NO5_A1"/>
    <x v="7"/>
    <x v="6"/>
    <s v="GHYRR_WATER"/>
    <x v="9"/>
    <x v="9"/>
    <n v="369.11942985314698"/>
    <n v="22454.765316066401"/>
    <n v="80837.155137839101"/>
  </r>
  <r>
    <x v="0"/>
    <x v="0"/>
    <x v="0"/>
    <x v="7"/>
    <x v="12"/>
    <s v="NO5_A1"/>
    <x v="7"/>
    <x v="6"/>
    <s v="GHYRR_WATER"/>
    <x v="9"/>
    <x v="10"/>
    <n v="369.11942985314698"/>
    <n v="22454.765316066401"/>
    <n v="80837.155137839101"/>
  </r>
  <r>
    <x v="0"/>
    <x v="0"/>
    <x v="0"/>
    <x v="7"/>
    <x v="12"/>
    <s v="NO5_A1"/>
    <x v="7"/>
    <x v="6"/>
    <s v="GHYRR_WATER"/>
    <x v="9"/>
    <x v="11"/>
    <n v="369.11942985314698"/>
    <n v="22454.765316066401"/>
    <n v="80837.155137839101"/>
  </r>
  <r>
    <x v="0"/>
    <x v="0"/>
    <x v="0"/>
    <x v="7"/>
    <x v="12"/>
    <s v="NO5_A1"/>
    <x v="7"/>
    <x v="6"/>
    <s v="GHYRR_WATER"/>
    <x v="10"/>
    <x v="0"/>
    <n v="444.72220464234499"/>
    <n v="27053.934115742701"/>
    <n v="97394.162816673605"/>
  </r>
  <r>
    <x v="0"/>
    <x v="0"/>
    <x v="0"/>
    <x v="7"/>
    <x v="12"/>
    <s v="NO5_A1"/>
    <x v="7"/>
    <x v="6"/>
    <s v="GHYRR_WATER"/>
    <x v="10"/>
    <x v="1"/>
    <n v="444.72220464234499"/>
    <n v="27053.934115742701"/>
    <n v="97394.162816673605"/>
  </r>
  <r>
    <x v="0"/>
    <x v="0"/>
    <x v="0"/>
    <x v="7"/>
    <x v="12"/>
    <s v="NO5_A1"/>
    <x v="7"/>
    <x v="6"/>
    <s v="GHYRR_WATER"/>
    <x v="10"/>
    <x v="2"/>
    <n v="444.72220464234499"/>
    <n v="27053.934115742701"/>
    <n v="97394.162816673605"/>
  </r>
  <r>
    <x v="0"/>
    <x v="0"/>
    <x v="0"/>
    <x v="7"/>
    <x v="12"/>
    <s v="NO5_A1"/>
    <x v="7"/>
    <x v="6"/>
    <s v="GHYRR_WATER"/>
    <x v="10"/>
    <x v="3"/>
    <n v="444.72220464234499"/>
    <n v="27053.934115742701"/>
    <n v="97394.162816673605"/>
  </r>
  <r>
    <x v="0"/>
    <x v="0"/>
    <x v="0"/>
    <x v="7"/>
    <x v="12"/>
    <s v="NO5_A1"/>
    <x v="7"/>
    <x v="6"/>
    <s v="GHYRR_WATER"/>
    <x v="10"/>
    <x v="4"/>
    <n v="444.72220464234499"/>
    <n v="27053.934115742701"/>
    <n v="97394.162816673605"/>
  </r>
  <r>
    <x v="0"/>
    <x v="0"/>
    <x v="0"/>
    <x v="7"/>
    <x v="12"/>
    <s v="NO5_A1"/>
    <x v="7"/>
    <x v="6"/>
    <s v="GHYRR_WATER"/>
    <x v="10"/>
    <x v="5"/>
    <n v="444.72220464234499"/>
    <n v="27053.934115742701"/>
    <n v="97394.162816673605"/>
  </r>
  <r>
    <x v="0"/>
    <x v="0"/>
    <x v="0"/>
    <x v="7"/>
    <x v="12"/>
    <s v="NO5_A1"/>
    <x v="7"/>
    <x v="6"/>
    <s v="GHYRR_WATER"/>
    <x v="10"/>
    <x v="6"/>
    <n v="444.72220464234499"/>
    <n v="27053.934115742701"/>
    <n v="97394.162816673605"/>
  </r>
  <r>
    <x v="0"/>
    <x v="0"/>
    <x v="0"/>
    <x v="7"/>
    <x v="12"/>
    <s v="NO5_A1"/>
    <x v="7"/>
    <x v="6"/>
    <s v="GHYRR_WATER"/>
    <x v="10"/>
    <x v="7"/>
    <n v="444.72220464234499"/>
    <n v="27053.934115742701"/>
    <n v="97394.162816673605"/>
  </r>
  <r>
    <x v="0"/>
    <x v="0"/>
    <x v="0"/>
    <x v="7"/>
    <x v="12"/>
    <s v="NO5_A1"/>
    <x v="7"/>
    <x v="6"/>
    <s v="GHYRR_WATER"/>
    <x v="10"/>
    <x v="8"/>
    <n v="444.72220464234499"/>
    <n v="27053.934115742701"/>
    <n v="97394.162816673605"/>
  </r>
  <r>
    <x v="0"/>
    <x v="0"/>
    <x v="0"/>
    <x v="7"/>
    <x v="12"/>
    <s v="NO5_A1"/>
    <x v="7"/>
    <x v="6"/>
    <s v="GHYRR_WATER"/>
    <x v="10"/>
    <x v="9"/>
    <n v="444.72220464234499"/>
    <n v="27053.934115742701"/>
    <n v="97394.162816673605"/>
  </r>
  <r>
    <x v="0"/>
    <x v="0"/>
    <x v="0"/>
    <x v="7"/>
    <x v="12"/>
    <s v="NO5_A1"/>
    <x v="7"/>
    <x v="6"/>
    <s v="GHYRR_WATER"/>
    <x v="10"/>
    <x v="10"/>
    <n v="444.72220464234499"/>
    <n v="27053.934115742701"/>
    <n v="97394.162816673605"/>
  </r>
  <r>
    <x v="0"/>
    <x v="0"/>
    <x v="0"/>
    <x v="7"/>
    <x v="12"/>
    <s v="NO5_A1"/>
    <x v="7"/>
    <x v="6"/>
    <s v="GHYRR_WATER"/>
    <x v="10"/>
    <x v="11"/>
    <n v="444.72220464234499"/>
    <n v="27053.934115742701"/>
    <n v="97394.162816673605"/>
  </r>
  <r>
    <x v="0"/>
    <x v="0"/>
    <x v="0"/>
    <x v="7"/>
    <x v="12"/>
    <s v="NO5_A1"/>
    <x v="7"/>
    <x v="6"/>
    <s v="GHYRR_WATER"/>
    <x v="11"/>
    <x v="0"/>
    <n v="757.80663671055595"/>
    <n v="46099.903733225503"/>
    <n v="165959.65343961201"/>
  </r>
  <r>
    <x v="0"/>
    <x v="0"/>
    <x v="0"/>
    <x v="7"/>
    <x v="12"/>
    <s v="NO5_A1"/>
    <x v="7"/>
    <x v="6"/>
    <s v="GHYRR_WATER"/>
    <x v="11"/>
    <x v="1"/>
    <n v="757.80663671055595"/>
    <n v="46099.903733225503"/>
    <n v="165959.65343961201"/>
  </r>
  <r>
    <x v="0"/>
    <x v="0"/>
    <x v="0"/>
    <x v="7"/>
    <x v="12"/>
    <s v="NO5_A1"/>
    <x v="7"/>
    <x v="6"/>
    <s v="GHYRR_WATER"/>
    <x v="11"/>
    <x v="2"/>
    <n v="757.80663671055595"/>
    <n v="46099.903733225503"/>
    <n v="165959.65343961201"/>
  </r>
  <r>
    <x v="0"/>
    <x v="0"/>
    <x v="0"/>
    <x v="7"/>
    <x v="12"/>
    <s v="NO5_A1"/>
    <x v="7"/>
    <x v="6"/>
    <s v="GHYRR_WATER"/>
    <x v="11"/>
    <x v="3"/>
    <n v="757.80663671055595"/>
    <n v="46099.903733225503"/>
    <n v="165959.65343961201"/>
  </r>
  <r>
    <x v="0"/>
    <x v="0"/>
    <x v="0"/>
    <x v="7"/>
    <x v="12"/>
    <s v="NO5_A1"/>
    <x v="7"/>
    <x v="6"/>
    <s v="GHYRR_WATER"/>
    <x v="11"/>
    <x v="4"/>
    <n v="757.80663671055595"/>
    <n v="46099.903733225503"/>
    <n v="165959.65343961201"/>
  </r>
  <r>
    <x v="0"/>
    <x v="0"/>
    <x v="0"/>
    <x v="7"/>
    <x v="12"/>
    <s v="NO5_A1"/>
    <x v="7"/>
    <x v="6"/>
    <s v="GHYRR_WATER"/>
    <x v="11"/>
    <x v="5"/>
    <n v="757.80663671055595"/>
    <n v="46099.903733225503"/>
    <n v="165959.65343961201"/>
  </r>
  <r>
    <x v="0"/>
    <x v="0"/>
    <x v="0"/>
    <x v="7"/>
    <x v="12"/>
    <s v="NO5_A1"/>
    <x v="7"/>
    <x v="6"/>
    <s v="GHYRR_WATER"/>
    <x v="11"/>
    <x v="6"/>
    <n v="757.80663671055595"/>
    <n v="46099.903733225503"/>
    <n v="165959.65343961201"/>
  </r>
  <r>
    <x v="0"/>
    <x v="0"/>
    <x v="0"/>
    <x v="7"/>
    <x v="12"/>
    <s v="NO5_A1"/>
    <x v="7"/>
    <x v="6"/>
    <s v="GHYRR_WATER"/>
    <x v="11"/>
    <x v="7"/>
    <n v="757.80663671055595"/>
    <n v="46099.903733225503"/>
    <n v="165959.65343961201"/>
  </r>
  <r>
    <x v="0"/>
    <x v="0"/>
    <x v="0"/>
    <x v="7"/>
    <x v="12"/>
    <s v="NO5_A1"/>
    <x v="7"/>
    <x v="6"/>
    <s v="GHYRR_WATER"/>
    <x v="11"/>
    <x v="8"/>
    <n v="757.80663671055595"/>
    <n v="46099.903733225503"/>
    <n v="165959.65343961201"/>
  </r>
  <r>
    <x v="0"/>
    <x v="0"/>
    <x v="0"/>
    <x v="7"/>
    <x v="12"/>
    <s v="NO5_A1"/>
    <x v="7"/>
    <x v="6"/>
    <s v="GHYRR_WATER"/>
    <x v="11"/>
    <x v="9"/>
    <n v="757.80663671055595"/>
    <n v="46099.903733225503"/>
    <n v="165959.65343961201"/>
  </r>
  <r>
    <x v="0"/>
    <x v="0"/>
    <x v="0"/>
    <x v="7"/>
    <x v="12"/>
    <s v="NO5_A1"/>
    <x v="7"/>
    <x v="6"/>
    <s v="GHYRR_WATER"/>
    <x v="11"/>
    <x v="10"/>
    <n v="757.80663671055595"/>
    <n v="46099.903733225503"/>
    <n v="165959.65343961201"/>
  </r>
  <r>
    <x v="0"/>
    <x v="0"/>
    <x v="0"/>
    <x v="7"/>
    <x v="12"/>
    <s v="NO5_A1"/>
    <x v="7"/>
    <x v="6"/>
    <s v="GHYRR_WATER"/>
    <x v="11"/>
    <x v="11"/>
    <n v="757.80663671055595"/>
    <n v="46099.903733225503"/>
    <n v="165959.65343961201"/>
  </r>
  <r>
    <x v="0"/>
    <x v="0"/>
    <x v="0"/>
    <x v="7"/>
    <x v="12"/>
    <s v="NO5_A1"/>
    <x v="7"/>
    <x v="7"/>
    <s v="GHYRS_WATER"/>
    <x v="0"/>
    <x v="0"/>
    <n v="75.570829768760206"/>
    <n v="4597.2254775995798"/>
    <n v="16550.011719358499"/>
  </r>
  <r>
    <x v="0"/>
    <x v="0"/>
    <x v="0"/>
    <x v="7"/>
    <x v="12"/>
    <s v="NO5_A1"/>
    <x v="7"/>
    <x v="7"/>
    <s v="GHYRS_WATER"/>
    <x v="0"/>
    <x v="1"/>
    <n v="61.134650160111498"/>
    <n v="3719.0245514067801"/>
    <n v="13388.4883850644"/>
  </r>
  <r>
    <x v="0"/>
    <x v="0"/>
    <x v="0"/>
    <x v="7"/>
    <x v="12"/>
    <s v="NO5_A1"/>
    <x v="7"/>
    <x v="7"/>
    <s v="GHYRS_WATER"/>
    <x v="0"/>
    <x v="2"/>
    <n v="47.094677189766898"/>
    <n v="2864.9261957108201"/>
    <n v="10313.734304559001"/>
  </r>
  <r>
    <x v="0"/>
    <x v="0"/>
    <x v="0"/>
    <x v="7"/>
    <x v="12"/>
    <s v="NO5_A1"/>
    <x v="7"/>
    <x v="7"/>
    <s v="GHYRS_WATER"/>
    <x v="0"/>
    <x v="3"/>
    <n v="46.489748693729702"/>
    <n v="2828.1263788685501"/>
    <n v="10181.2549639268"/>
  </r>
  <r>
    <x v="0"/>
    <x v="0"/>
    <x v="0"/>
    <x v="7"/>
    <x v="12"/>
    <s v="NO5_A1"/>
    <x v="7"/>
    <x v="7"/>
    <s v="GHYRS_WATER"/>
    <x v="0"/>
    <x v="4"/>
    <n v="54.8814312726605"/>
    <n v="3338.6204024201802"/>
    <n v="12019.0334487127"/>
  </r>
  <r>
    <x v="0"/>
    <x v="0"/>
    <x v="0"/>
    <x v="7"/>
    <x v="12"/>
    <s v="NO5_A1"/>
    <x v="7"/>
    <x v="7"/>
    <s v="GHYRS_WATER"/>
    <x v="0"/>
    <x v="5"/>
    <n v="111.788957247375"/>
    <n v="6800.4948992153304"/>
    <n v="24481.781637175201"/>
  </r>
  <r>
    <x v="0"/>
    <x v="0"/>
    <x v="0"/>
    <x v="7"/>
    <x v="12"/>
    <s v="NO5_A1"/>
    <x v="7"/>
    <x v="7"/>
    <s v="GHYRS_WATER"/>
    <x v="0"/>
    <x v="6"/>
    <n v="221.86786851805999"/>
    <n v="13496.9620015154"/>
    <n v="48589.063205455299"/>
  </r>
  <r>
    <x v="0"/>
    <x v="0"/>
    <x v="0"/>
    <x v="7"/>
    <x v="12"/>
    <s v="NO5_A1"/>
    <x v="7"/>
    <x v="7"/>
    <s v="GHYRS_WATER"/>
    <x v="0"/>
    <x v="7"/>
    <n v="362.507658216371"/>
    <n v="22052.5492081626"/>
    <n v="79389.177149385301"/>
  </r>
  <r>
    <x v="0"/>
    <x v="0"/>
    <x v="0"/>
    <x v="7"/>
    <x v="12"/>
    <s v="NO5_A1"/>
    <x v="7"/>
    <x v="7"/>
    <s v="GHYRS_WATER"/>
    <x v="0"/>
    <x v="8"/>
    <n v="414.403675258097"/>
    <n v="25209.5569115342"/>
    <n v="90754.404881523296"/>
  </r>
  <r>
    <x v="0"/>
    <x v="0"/>
    <x v="0"/>
    <x v="7"/>
    <x v="12"/>
    <s v="NO5_A1"/>
    <x v="7"/>
    <x v="7"/>
    <s v="GHYRS_WATER"/>
    <x v="0"/>
    <x v="9"/>
    <n v="443.56853572879402"/>
    <n v="26983.7525901683"/>
    <n v="97141.509324605999"/>
  </r>
  <r>
    <x v="0"/>
    <x v="0"/>
    <x v="0"/>
    <x v="7"/>
    <x v="12"/>
    <s v="NO5_A1"/>
    <x v="7"/>
    <x v="7"/>
    <s v="GHYRS_WATER"/>
    <x v="0"/>
    <x v="10"/>
    <n v="444.28711071304798"/>
    <n v="27027.465901710399"/>
    <n v="97298.877246157499"/>
  </r>
  <r>
    <x v="0"/>
    <x v="0"/>
    <x v="0"/>
    <x v="7"/>
    <x v="12"/>
    <s v="NO5_A1"/>
    <x v="7"/>
    <x v="7"/>
    <s v="GHYRS_WATER"/>
    <x v="0"/>
    <x v="11"/>
    <n v="462.87873559163"/>
    <n v="28158.4564151575"/>
    <n v="101370.443094567"/>
  </r>
  <r>
    <x v="0"/>
    <x v="0"/>
    <x v="0"/>
    <x v="7"/>
    <x v="12"/>
    <s v="NO5_A1"/>
    <x v="7"/>
    <x v="7"/>
    <s v="GHYRS_WATER"/>
    <x v="1"/>
    <x v="0"/>
    <n v="351.31641469642602"/>
    <n v="21371.748560699201"/>
    <n v="76938.294818517301"/>
  </r>
  <r>
    <x v="0"/>
    <x v="0"/>
    <x v="0"/>
    <x v="7"/>
    <x v="12"/>
    <s v="NO5_A1"/>
    <x v="7"/>
    <x v="7"/>
    <s v="GHYRS_WATER"/>
    <x v="1"/>
    <x v="1"/>
    <n v="302.70212766563498"/>
    <n v="18414.379432992799"/>
    <n v="66291.765958774005"/>
  </r>
  <r>
    <x v="0"/>
    <x v="0"/>
    <x v="0"/>
    <x v="7"/>
    <x v="12"/>
    <s v="NO5_A1"/>
    <x v="7"/>
    <x v="7"/>
    <s v="GHYRS_WATER"/>
    <x v="1"/>
    <x v="2"/>
    <n v="284.45098374589702"/>
    <n v="17304.101511208799"/>
    <n v="62294.765440351599"/>
  </r>
  <r>
    <x v="0"/>
    <x v="0"/>
    <x v="0"/>
    <x v="7"/>
    <x v="12"/>
    <s v="NO5_A1"/>
    <x v="7"/>
    <x v="7"/>
    <s v="GHYRS_WATER"/>
    <x v="1"/>
    <x v="3"/>
    <n v="300.57871914895901"/>
    <n v="18285.205414895001"/>
    <n v="65826.739493621993"/>
  </r>
  <r>
    <x v="0"/>
    <x v="0"/>
    <x v="0"/>
    <x v="7"/>
    <x v="12"/>
    <s v="NO5_A1"/>
    <x v="7"/>
    <x v="7"/>
    <s v="GHYRS_WATER"/>
    <x v="1"/>
    <x v="4"/>
    <n v="334.89885082925298"/>
    <n v="20373.013425446199"/>
    <n v="73342.848331606496"/>
  </r>
  <r>
    <x v="0"/>
    <x v="0"/>
    <x v="0"/>
    <x v="7"/>
    <x v="12"/>
    <s v="NO5_A1"/>
    <x v="7"/>
    <x v="7"/>
    <s v="GHYRS_WATER"/>
    <x v="1"/>
    <x v="5"/>
    <n v="405.51453917174302"/>
    <n v="24668.801132947701"/>
    <n v="88807.684078611695"/>
  </r>
  <r>
    <x v="0"/>
    <x v="0"/>
    <x v="0"/>
    <x v="7"/>
    <x v="12"/>
    <s v="NO5_A1"/>
    <x v="7"/>
    <x v="7"/>
    <s v="GHYRS_WATER"/>
    <x v="1"/>
    <x v="6"/>
    <n v="533.15443120157204"/>
    <n v="32433.561231429001"/>
    <n v="116760.82043314401"/>
  </r>
  <r>
    <x v="0"/>
    <x v="0"/>
    <x v="0"/>
    <x v="7"/>
    <x v="12"/>
    <s v="NO5_A1"/>
    <x v="7"/>
    <x v="7"/>
    <s v="GHYRS_WATER"/>
    <x v="1"/>
    <x v="7"/>
    <n v="710.27029449913198"/>
    <n v="43208.109582030498"/>
    <n v="155549.19449530999"/>
  </r>
  <r>
    <x v="0"/>
    <x v="0"/>
    <x v="0"/>
    <x v="7"/>
    <x v="12"/>
    <s v="NO5_A1"/>
    <x v="7"/>
    <x v="7"/>
    <s v="GHYRS_WATER"/>
    <x v="1"/>
    <x v="8"/>
    <n v="782.09450420997996"/>
    <n v="47577.415672773801"/>
    <n v="171278.69642198601"/>
  </r>
  <r>
    <x v="0"/>
    <x v="0"/>
    <x v="0"/>
    <x v="7"/>
    <x v="12"/>
    <s v="NO5_A1"/>
    <x v="7"/>
    <x v="7"/>
    <s v="GHYRS_WATER"/>
    <x v="1"/>
    <x v="9"/>
    <n v="756.93167349712405"/>
    <n v="46046.676804408402"/>
    <n v="165768.03649587001"/>
  </r>
  <r>
    <x v="0"/>
    <x v="0"/>
    <x v="0"/>
    <x v="7"/>
    <x v="12"/>
    <s v="NO5_A1"/>
    <x v="7"/>
    <x v="7"/>
    <s v="GHYRS_WATER"/>
    <x v="1"/>
    <x v="10"/>
    <n v="735.38873352672101"/>
    <n v="44736.147956208901"/>
    <n v="161050.13264235199"/>
  </r>
  <r>
    <x v="0"/>
    <x v="0"/>
    <x v="0"/>
    <x v="7"/>
    <x v="12"/>
    <s v="NO5_A1"/>
    <x v="7"/>
    <x v="7"/>
    <s v="GHYRS_WATER"/>
    <x v="1"/>
    <x v="11"/>
    <n v="722.23658654524399"/>
    <n v="43936.059014835701"/>
    <n v="158169.812453408"/>
  </r>
  <r>
    <x v="0"/>
    <x v="0"/>
    <x v="0"/>
    <x v="7"/>
    <x v="12"/>
    <s v="NO5_A1"/>
    <x v="7"/>
    <x v="7"/>
    <s v="GHYRS_WATER"/>
    <x v="2"/>
    <x v="0"/>
    <n v="319.60129452256803"/>
    <n v="19442.412083456202"/>
    <n v="69992.683500442407"/>
  </r>
  <r>
    <x v="0"/>
    <x v="0"/>
    <x v="0"/>
    <x v="7"/>
    <x v="12"/>
    <s v="NO5_A1"/>
    <x v="7"/>
    <x v="7"/>
    <s v="GHYRS_WATER"/>
    <x v="2"/>
    <x v="1"/>
    <n v="275.40895365786201"/>
    <n v="16754.044680853302"/>
    <n v="60314.560851071801"/>
  </r>
  <r>
    <x v="0"/>
    <x v="0"/>
    <x v="0"/>
    <x v="7"/>
    <x v="12"/>
    <s v="NO5_A1"/>
    <x v="7"/>
    <x v="7"/>
    <s v="GHYRS_WATER"/>
    <x v="2"/>
    <x v="2"/>
    <n v="260.03992737004"/>
    <n v="15819.0955816774"/>
    <n v="56948.744094038797"/>
  </r>
  <r>
    <x v="0"/>
    <x v="0"/>
    <x v="0"/>
    <x v="7"/>
    <x v="12"/>
    <s v="NO5_A1"/>
    <x v="7"/>
    <x v="7"/>
    <s v="GHYRS_WATER"/>
    <x v="2"/>
    <x v="3"/>
    <n v="277.80405602839397"/>
    <n v="16899.7467417273"/>
    <n v="60839.088270218403"/>
  </r>
  <r>
    <x v="0"/>
    <x v="0"/>
    <x v="0"/>
    <x v="7"/>
    <x v="12"/>
    <s v="NO5_A1"/>
    <x v="7"/>
    <x v="7"/>
    <s v="GHYRS_WATER"/>
    <x v="2"/>
    <x v="4"/>
    <n v="292.73898499618701"/>
    <n v="17808.288253934701"/>
    <n v="64109.837714164998"/>
  </r>
  <r>
    <x v="0"/>
    <x v="0"/>
    <x v="0"/>
    <x v="7"/>
    <x v="12"/>
    <s v="NO5_A1"/>
    <x v="7"/>
    <x v="7"/>
    <s v="GHYRS_WATER"/>
    <x v="2"/>
    <x v="5"/>
    <n v="362.352283443386"/>
    <n v="22043.097242806001"/>
    <n v="79355.150074101504"/>
  </r>
  <r>
    <x v="0"/>
    <x v="0"/>
    <x v="0"/>
    <x v="7"/>
    <x v="12"/>
    <s v="NO5_A1"/>
    <x v="7"/>
    <x v="7"/>
    <s v="GHYRS_WATER"/>
    <x v="2"/>
    <x v="6"/>
    <n v="483.21865626661503"/>
    <n v="29395.8015895524"/>
    <n v="105824.88572238899"/>
  </r>
  <r>
    <x v="0"/>
    <x v="0"/>
    <x v="0"/>
    <x v="7"/>
    <x v="12"/>
    <s v="NO5_A1"/>
    <x v="7"/>
    <x v="7"/>
    <s v="GHYRS_WATER"/>
    <x v="2"/>
    <x v="7"/>
    <n v="662.57163945730201"/>
    <n v="40306.4414003192"/>
    <n v="145103.18904114899"/>
  </r>
  <r>
    <x v="0"/>
    <x v="0"/>
    <x v="0"/>
    <x v="7"/>
    <x v="12"/>
    <s v="NO5_A1"/>
    <x v="7"/>
    <x v="7"/>
    <s v="GHYRS_WATER"/>
    <x v="2"/>
    <x v="8"/>
    <n v="719.64192607935797"/>
    <n v="43778.2171698276"/>
    <n v="157601.581811379"/>
  </r>
  <r>
    <x v="0"/>
    <x v="0"/>
    <x v="0"/>
    <x v="7"/>
    <x v="12"/>
    <s v="NO5_A1"/>
    <x v="7"/>
    <x v="7"/>
    <s v="GHYRS_WATER"/>
    <x v="2"/>
    <x v="9"/>
    <n v="696.35330922588798"/>
    <n v="42361.492977908201"/>
    <n v="152501.37472046999"/>
  </r>
  <r>
    <x v="0"/>
    <x v="0"/>
    <x v="0"/>
    <x v="7"/>
    <x v="12"/>
    <s v="NO5_A1"/>
    <x v="7"/>
    <x v="7"/>
    <s v="GHYRS_WATER"/>
    <x v="2"/>
    <x v="10"/>
    <n v="667.90470047654503"/>
    <n v="40630.869278989798"/>
    <n v="146271.12940436299"/>
  </r>
  <r>
    <x v="0"/>
    <x v="0"/>
    <x v="0"/>
    <x v="7"/>
    <x v="12"/>
    <s v="NO5_A1"/>
    <x v="7"/>
    <x v="7"/>
    <s v="GHYRS_WATER"/>
    <x v="2"/>
    <x v="11"/>
    <n v="664.29509974845405"/>
    <n v="40411.2852346976"/>
    <n v="145480.62684491099"/>
  </r>
  <r>
    <x v="0"/>
    <x v="0"/>
    <x v="0"/>
    <x v="7"/>
    <x v="12"/>
    <s v="NO5_A1"/>
    <x v="7"/>
    <x v="7"/>
    <s v="GHYRS_WATER"/>
    <x v="3"/>
    <x v="0"/>
    <n v="525.46815012647801"/>
    <n v="31965.979132694101"/>
    <n v="115077.524877699"/>
  </r>
  <r>
    <x v="0"/>
    <x v="0"/>
    <x v="0"/>
    <x v="7"/>
    <x v="12"/>
    <s v="NO5_A1"/>
    <x v="7"/>
    <x v="7"/>
    <s v="GHYRS_WATER"/>
    <x v="3"/>
    <x v="1"/>
    <n v="479.05141313421399"/>
    <n v="29142.294298998"/>
    <n v="104912.259476393"/>
  </r>
  <r>
    <x v="0"/>
    <x v="0"/>
    <x v="0"/>
    <x v="7"/>
    <x v="12"/>
    <s v="NO5_A1"/>
    <x v="7"/>
    <x v="7"/>
    <s v="GHYRS_WATER"/>
    <x v="3"/>
    <x v="2"/>
    <n v="479.568274805263"/>
    <n v="29173.7367173202"/>
    <n v="105025.45218235299"/>
  </r>
  <r>
    <x v="0"/>
    <x v="0"/>
    <x v="0"/>
    <x v="7"/>
    <x v="12"/>
    <s v="NO5_A1"/>
    <x v="7"/>
    <x v="7"/>
    <s v="GHYRS_WATER"/>
    <x v="3"/>
    <x v="3"/>
    <n v="476.53869246265498"/>
    <n v="28989.437124811499"/>
    <n v="104361.973649322"/>
  </r>
  <r>
    <x v="0"/>
    <x v="0"/>
    <x v="0"/>
    <x v="7"/>
    <x v="12"/>
    <s v="NO5_A1"/>
    <x v="7"/>
    <x v="7"/>
    <s v="GHYRS_WATER"/>
    <x v="3"/>
    <x v="4"/>
    <n v="535.54865240764502"/>
    <n v="32579.209688131701"/>
    <n v="117285.15487727401"/>
  </r>
  <r>
    <x v="0"/>
    <x v="0"/>
    <x v="0"/>
    <x v="7"/>
    <x v="12"/>
    <s v="NO5_A1"/>
    <x v="7"/>
    <x v="7"/>
    <s v="GHYRS_WATER"/>
    <x v="3"/>
    <x v="5"/>
    <n v="609.24779377056404"/>
    <n v="37062.574121042599"/>
    <n v="133425.26683575299"/>
  </r>
  <r>
    <x v="0"/>
    <x v="0"/>
    <x v="0"/>
    <x v="7"/>
    <x v="12"/>
    <s v="NO5_A1"/>
    <x v="7"/>
    <x v="7"/>
    <s v="GHYRS_WATER"/>
    <x v="3"/>
    <x v="6"/>
    <n v="741.12021800097705"/>
    <n v="45084.8132617261"/>
    <n v="162305.32774221399"/>
  </r>
  <r>
    <x v="0"/>
    <x v="0"/>
    <x v="0"/>
    <x v="7"/>
    <x v="12"/>
    <s v="NO5_A1"/>
    <x v="7"/>
    <x v="7"/>
    <s v="GHYRS_WATER"/>
    <x v="3"/>
    <x v="7"/>
    <n v="922.89958813364694"/>
    <n v="56143.0582781302"/>
    <n v="202115.00980126901"/>
  </r>
  <r>
    <x v="0"/>
    <x v="0"/>
    <x v="0"/>
    <x v="7"/>
    <x v="12"/>
    <s v="NO5_A1"/>
    <x v="7"/>
    <x v="7"/>
    <s v="GHYRS_WATER"/>
    <x v="3"/>
    <x v="8"/>
    <n v="977.99646536273895"/>
    <n v="59494.784976233299"/>
    <n v="214181.22591444"/>
  </r>
  <r>
    <x v="0"/>
    <x v="0"/>
    <x v="0"/>
    <x v="7"/>
    <x v="12"/>
    <s v="NO5_A1"/>
    <x v="7"/>
    <x v="7"/>
    <s v="GHYRS_WATER"/>
    <x v="3"/>
    <x v="9"/>
    <n v="954.80626581383001"/>
    <n v="58084.047837008002"/>
    <n v="209102.572213229"/>
  </r>
  <r>
    <x v="0"/>
    <x v="0"/>
    <x v="0"/>
    <x v="7"/>
    <x v="12"/>
    <s v="NO5_A1"/>
    <x v="7"/>
    <x v="7"/>
    <s v="GHYRS_WATER"/>
    <x v="3"/>
    <x v="10"/>
    <n v="950.44966191507399"/>
    <n v="57819.021099833699"/>
    <n v="208148.475959401"/>
  </r>
  <r>
    <x v="0"/>
    <x v="0"/>
    <x v="0"/>
    <x v="7"/>
    <x v="12"/>
    <s v="NO5_A1"/>
    <x v="7"/>
    <x v="7"/>
    <s v="GHYRS_WATER"/>
    <x v="3"/>
    <x v="11"/>
    <n v="927.34823054420895"/>
    <n v="56413.684024772701"/>
    <n v="203089.262489182"/>
  </r>
  <r>
    <x v="0"/>
    <x v="0"/>
    <x v="0"/>
    <x v="7"/>
    <x v="12"/>
    <s v="NO5_A1"/>
    <x v="7"/>
    <x v="7"/>
    <s v="GHYRS_WATER"/>
    <x v="4"/>
    <x v="0"/>
    <n v="1666.2970453353601"/>
    <n v="101366.403591234"/>
    <n v="364919.05292844301"/>
  </r>
  <r>
    <x v="0"/>
    <x v="0"/>
    <x v="0"/>
    <x v="7"/>
    <x v="12"/>
    <s v="NO5_A1"/>
    <x v="7"/>
    <x v="7"/>
    <s v="GHYRS_WATER"/>
    <x v="4"/>
    <x v="1"/>
    <n v="1635.6463639497299"/>
    <n v="99501.820473608794"/>
    <n v="358206.55370499199"/>
  </r>
  <r>
    <x v="0"/>
    <x v="0"/>
    <x v="0"/>
    <x v="7"/>
    <x v="12"/>
    <s v="NO5_A1"/>
    <x v="7"/>
    <x v="7"/>
    <s v="GHYRS_WATER"/>
    <x v="4"/>
    <x v="2"/>
    <n v="1612.3409201649499"/>
    <n v="98084.072643367996"/>
    <n v="353102.66151612502"/>
  </r>
  <r>
    <x v="0"/>
    <x v="0"/>
    <x v="0"/>
    <x v="7"/>
    <x v="12"/>
    <s v="NO5_A1"/>
    <x v="7"/>
    <x v="7"/>
    <s v="GHYRS_WATER"/>
    <x v="4"/>
    <x v="3"/>
    <n v="1552.0930195789001"/>
    <n v="94418.9920243831"/>
    <n v="339908.37128777901"/>
  </r>
  <r>
    <x v="0"/>
    <x v="0"/>
    <x v="0"/>
    <x v="7"/>
    <x v="12"/>
    <s v="NO5_A1"/>
    <x v="7"/>
    <x v="7"/>
    <s v="GHYRS_WATER"/>
    <x v="4"/>
    <x v="4"/>
    <n v="1638.25773365898"/>
    <n v="99660.678797588102"/>
    <n v="358778.44367131701"/>
  </r>
  <r>
    <x v="0"/>
    <x v="0"/>
    <x v="0"/>
    <x v="7"/>
    <x v="12"/>
    <s v="NO5_A1"/>
    <x v="7"/>
    <x v="7"/>
    <s v="GHYRS_WATER"/>
    <x v="4"/>
    <x v="5"/>
    <n v="1696.39073192828"/>
    <n v="103197.10285897"/>
    <n v="371509.57029229298"/>
  </r>
  <r>
    <x v="0"/>
    <x v="0"/>
    <x v="0"/>
    <x v="7"/>
    <x v="12"/>
    <s v="NO5_A1"/>
    <x v="7"/>
    <x v="7"/>
    <s v="GHYRS_WATER"/>
    <x v="4"/>
    <x v="6"/>
    <n v="1858.43843790029"/>
    <n v="113055.00497226699"/>
    <n v="406998.01790016302"/>
  </r>
  <r>
    <x v="0"/>
    <x v="0"/>
    <x v="0"/>
    <x v="7"/>
    <x v="12"/>
    <s v="NO5_A1"/>
    <x v="7"/>
    <x v="7"/>
    <s v="GHYRS_WATER"/>
    <x v="4"/>
    <x v="7"/>
    <n v="2042.9153713644901"/>
    <n v="124277.351758006"/>
    <n v="447398.46632882301"/>
  </r>
  <r>
    <x v="0"/>
    <x v="0"/>
    <x v="0"/>
    <x v="7"/>
    <x v="12"/>
    <s v="NO5_A1"/>
    <x v="7"/>
    <x v="7"/>
    <s v="GHYRS_WATER"/>
    <x v="4"/>
    <x v="8"/>
    <n v="2107.4262250483198"/>
    <n v="128201.762023773"/>
    <n v="461526.34328558098"/>
  </r>
  <r>
    <x v="0"/>
    <x v="0"/>
    <x v="0"/>
    <x v="7"/>
    <x v="12"/>
    <s v="NO5_A1"/>
    <x v="7"/>
    <x v="7"/>
    <s v="GHYRS_WATER"/>
    <x v="4"/>
    <x v="9"/>
    <n v="2093.1197581861802"/>
    <n v="127331.451956326"/>
    <n v="458393.22704277397"/>
  </r>
  <r>
    <x v="0"/>
    <x v="0"/>
    <x v="0"/>
    <x v="7"/>
    <x v="12"/>
    <s v="NO5_A1"/>
    <x v="7"/>
    <x v="7"/>
    <s v="GHYRS_WATER"/>
    <x v="4"/>
    <x v="10"/>
    <n v="2071.7231596147499"/>
    <n v="126029.825543231"/>
    <n v="453707.37195563002"/>
  </r>
  <r>
    <x v="0"/>
    <x v="0"/>
    <x v="0"/>
    <x v="7"/>
    <x v="12"/>
    <s v="NO5_A1"/>
    <x v="7"/>
    <x v="7"/>
    <s v="GHYRS_WATER"/>
    <x v="4"/>
    <x v="11"/>
    <n v="2068.0675621927599"/>
    <n v="125807.443366726"/>
    <n v="452906.79612021497"/>
  </r>
  <r>
    <x v="0"/>
    <x v="0"/>
    <x v="0"/>
    <x v="7"/>
    <x v="12"/>
    <s v="NO5_A1"/>
    <x v="7"/>
    <x v="7"/>
    <s v="GHYRS_WATER"/>
    <x v="5"/>
    <x v="0"/>
    <n v="1793.6875892114899"/>
    <n v="109115.995010365"/>
    <n v="392817.58203731599"/>
  </r>
  <r>
    <x v="0"/>
    <x v="0"/>
    <x v="0"/>
    <x v="7"/>
    <x v="12"/>
    <s v="NO5_A1"/>
    <x v="7"/>
    <x v="7"/>
    <s v="GHYRS_WATER"/>
    <x v="5"/>
    <x v="1"/>
    <n v="1759.81174161789"/>
    <n v="107055.214281755"/>
    <n v="385398.77141431801"/>
  </r>
  <r>
    <x v="0"/>
    <x v="0"/>
    <x v="0"/>
    <x v="7"/>
    <x v="12"/>
    <s v="NO5_A1"/>
    <x v="7"/>
    <x v="7"/>
    <s v="GHYRS_WATER"/>
    <x v="5"/>
    <x v="2"/>
    <n v="1746.9475546212"/>
    <n v="106272.642906123"/>
    <n v="382581.51446204202"/>
  </r>
  <r>
    <x v="0"/>
    <x v="0"/>
    <x v="0"/>
    <x v="7"/>
    <x v="12"/>
    <s v="NO5_A1"/>
    <x v="7"/>
    <x v="7"/>
    <s v="GHYRS_WATER"/>
    <x v="5"/>
    <x v="3"/>
    <n v="1748.35405538076"/>
    <n v="106358.20503566301"/>
    <n v="382889.53812838497"/>
  </r>
  <r>
    <x v="0"/>
    <x v="0"/>
    <x v="0"/>
    <x v="7"/>
    <x v="12"/>
    <s v="NO5_A1"/>
    <x v="7"/>
    <x v="7"/>
    <s v="GHYRS_WATER"/>
    <x v="5"/>
    <x v="4"/>
    <n v="1765.4739587338699"/>
    <n v="107399.665822977"/>
    <n v="386638.79696271702"/>
  </r>
  <r>
    <x v="0"/>
    <x v="0"/>
    <x v="0"/>
    <x v="7"/>
    <x v="12"/>
    <s v="NO5_A1"/>
    <x v="7"/>
    <x v="7"/>
    <s v="GHYRS_WATER"/>
    <x v="5"/>
    <x v="5"/>
    <n v="1824.84934701476"/>
    <n v="111011.668610065"/>
    <n v="399642.00699623302"/>
  </r>
  <r>
    <x v="0"/>
    <x v="0"/>
    <x v="0"/>
    <x v="7"/>
    <x v="12"/>
    <s v="NO5_A1"/>
    <x v="7"/>
    <x v="7"/>
    <s v="GHYRS_WATER"/>
    <x v="5"/>
    <x v="6"/>
    <n v="1934.4735312461901"/>
    <n v="117680.47315080999"/>
    <n v="423649.70334291499"/>
  </r>
  <r>
    <x v="0"/>
    <x v="0"/>
    <x v="0"/>
    <x v="7"/>
    <x v="12"/>
    <s v="NO5_A1"/>
    <x v="7"/>
    <x v="7"/>
    <s v="GHYRS_WATER"/>
    <x v="5"/>
    <x v="7"/>
    <n v="2111.1792880258899"/>
    <n v="128430.073354908"/>
    <n v="462348.26407767"/>
  </r>
  <r>
    <x v="0"/>
    <x v="0"/>
    <x v="0"/>
    <x v="7"/>
    <x v="12"/>
    <s v="NO5_A1"/>
    <x v="7"/>
    <x v="7"/>
    <s v="GHYRS_WATER"/>
    <x v="5"/>
    <x v="8"/>
    <n v="2111.1792880258899"/>
    <n v="128430.073354908"/>
    <n v="462348.26407767"/>
  </r>
  <r>
    <x v="0"/>
    <x v="0"/>
    <x v="0"/>
    <x v="7"/>
    <x v="12"/>
    <s v="NO5_A1"/>
    <x v="7"/>
    <x v="7"/>
    <s v="GHYRS_WATER"/>
    <x v="5"/>
    <x v="9"/>
    <n v="2025.0910247951999"/>
    <n v="123193.037341708"/>
    <n v="443494.93443014898"/>
  </r>
  <r>
    <x v="0"/>
    <x v="0"/>
    <x v="0"/>
    <x v="7"/>
    <x v="12"/>
    <s v="NO5_A1"/>
    <x v="7"/>
    <x v="7"/>
    <s v="GHYRS_WATER"/>
    <x v="5"/>
    <x v="10"/>
    <n v="2108.52991673722"/>
    <n v="128268.90326818101"/>
    <n v="461768.05176545097"/>
  </r>
  <r>
    <x v="0"/>
    <x v="0"/>
    <x v="0"/>
    <x v="7"/>
    <x v="12"/>
    <s v="NO5_A1"/>
    <x v="7"/>
    <x v="7"/>
    <s v="GHYRS_WATER"/>
    <x v="5"/>
    <x v="11"/>
    <n v="2107.4754823752801"/>
    <n v="128204.758511163"/>
    <n v="461537.13064018602"/>
  </r>
  <r>
    <x v="0"/>
    <x v="0"/>
    <x v="0"/>
    <x v="7"/>
    <x v="12"/>
    <s v="NO5_A1"/>
    <x v="7"/>
    <x v="7"/>
    <s v="GHYRS_WATER"/>
    <x v="6"/>
    <x v="0"/>
    <n v="1630.16579501673"/>
    <n v="99168.419196851202"/>
    <n v="357006.30910866399"/>
  </r>
  <r>
    <x v="0"/>
    <x v="0"/>
    <x v="0"/>
    <x v="7"/>
    <x v="12"/>
    <s v="NO5_A1"/>
    <x v="7"/>
    <x v="7"/>
    <s v="GHYRS_WATER"/>
    <x v="6"/>
    <x v="1"/>
    <n v="1588.5607861072699"/>
    <n v="96637.447821525799"/>
    <n v="347894.81215749303"/>
  </r>
  <r>
    <x v="0"/>
    <x v="0"/>
    <x v="0"/>
    <x v="7"/>
    <x v="12"/>
    <s v="NO5_A1"/>
    <x v="7"/>
    <x v="7"/>
    <s v="GHYRS_WATER"/>
    <x v="6"/>
    <x v="2"/>
    <n v="1586.2206925753501"/>
    <n v="96495.092131667305"/>
    <n v="347382.33167400199"/>
  </r>
  <r>
    <x v="0"/>
    <x v="0"/>
    <x v="0"/>
    <x v="7"/>
    <x v="12"/>
    <s v="NO5_A1"/>
    <x v="7"/>
    <x v="7"/>
    <s v="GHYRS_WATER"/>
    <x v="6"/>
    <x v="3"/>
    <n v="1587.16871786147"/>
    <n v="96552.763669905995"/>
    <n v="347589.94921166101"/>
  </r>
  <r>
    <x v="0"/>
    <x v="0"/>
    <x v="0"/>
    <x v="7"/>
    <x v="12"/>
    <s v="NO5_A1"/>
    <x v="7"/>
    <x v="7"/>
    <s v="GHYRS_WATER"/>
    <x v="6"/>
    <x v="4"/>
    <n v="1637.24497388691"/>
    <n v="99599.069244787199"/>
    <n v="358556.64928123401"/>
  </r>
  <r>
    <x v="0"/>
    <x v="0"/>
    <x v="0"/>
    <x v="7"/>
    <x v="12"/>
    <s v="NO5_A1"/>
    <x v="7"/>
    <x v="7"/>
    <s v="GHYRS_WATER"/>
    <x v="6"/>
    <x v="5"/>
    <n v="1703.07920718227"/>
    <n v="103603.985103588"/>
    <n v="372974.34637291799"/>
  </r>
  <r>
    <x v="0"/>
    <x v="0"/>
    <x v="0"/>
    <x v="7"/>
    <x v="12"/>
    <s v="NO5_A1"/>
    <x v="7"/>
    <x v="7"/>
    <s v="GHYRS_WATER"/>
    <x v="6"/>
    <x v="6"/>
    <n v="1816.2719902715901"/>
    <n v="110489.879408188"/>
    <n v="397763.565869477"/>
  </r>
  <r>
    <x v="0"/>
    <x v="0"/>
    <x v="0"/>
    <x v="7"/>
    <x v="12"/>
    <s v="NO5_A1"/>
    <x v="7"/>
    <x v="7"/>
    <s v="GHYRS_WATER"/>
    <x v="6"/>
    <x v="7"/>
    <n v="2001.3606818287301"/>
    <n v="121749.44147791401"/>
    <n v="438297.98932049202"/>
  </r>
  <r>
    <x v="0"/>
    <x v="0"/>
    <x v="0"/>
    <x v="7"/>
    <x v="12"/>
    <s v="NO5_A1"/>
    <x v="7"/>
    <x v="7"/>
    <s v="GHYRS_WATER"/>
    <x v="6"/>
    <x v="8"/>
    <n v="2068.2959657503202"/>
    <n v="125821.33791647801"/>
    <n v="452956.81649932102"/>
  </r>
  <r>
    <x v="0"/>
    <x v="0"/>
    <x v="0"/>
    <x v="7"/>
    <x v="12"/>
    <s v="NO5_A1"/>
    <x v="7"/>
    <x v="7"/>
    <s v="GHYRS_WATER"/>
    <x v="6"/>
    <x v="9"/>
    <n v="2044.64667448516"/>
    <n v="124382.672697847"/>
    <n v="447777.62171224901"/>
  </r>
  <r>
    <x v="0"/>
    <x v="0"/>
    <x v="0"/>
    <x v="7"/>
    <x v="12"/>
    <s v="NO5_A1"/>
    <x v="7"/>
    <x v="7"/>
    <s v="GHYRS_WATER"/>
    <x v="6"/>
    <x v="10"/>
    <n v="2018.9912756788001"/>
    <n v="122821.96927046"/>
    <n v="442159.08937365701"/>
  </r>
  <r>
    <x v="0"/>
    <x v="0"/>
    <x v="0"/>
    <x v="7"/>
    <x v="12"/>
    <s v="NO5_A1"/>
    <x v="7"/>
    <x v="7"/>
    <s v="GHYRS_WATER"/>
    <x v="6"/>
    <x v="11"/>
    <n v="1992.93036059971"/>
    <n v="121236.596936482"/>
    <n v="436451.748971336"/>
  </r>
  <r>
    <x v="0"/>
    <x v="0"/>
    <x v="0"/>
    <x v="7"/>
    <x v="12"/>
    <s v="NO5_A1"/>
    <x v="7"/>
    <x v="7"/>
    <s v="GHYRS_WATER"/>
    <x v="7"/>
    <x v="0"/>
    <n v="1600.4474759485399"/>
    <n v="97360.554786869194"/>
    <n v="350497.99723272899"/>
  </r>
  <r>
    <x v="0"/>
    <x v="0"/>
    <x v="0"/>
    <x v="7"/>
    <x v="12"/>
    <s v="NO5_A1"/>
    <x v="7"/>
    <x v="7"/>
    <s v="GHYRS_WATER"/>
    <x v="7"/>
    <x v="1"/>
    <n v="1564.6848228616"/>
    <n v="95184.9933907472"/>
    <n v="342665.97620669001"/>
  </r>
  <r>
    <x v="0"/>
    <x v="0"/>
    <x v="0"/>
    <x v="7"/>
    <x v="12"/>
    <s v="NO5_A1"/>
    <x v="7"/>
    <x v="7"/>
    <s v="GHYRS_WATER"/>
    <x v="7"/>
    <x v="2"/>
    <n v="1551.4933584983801"/>
    <n v="94382.512641984504"/>
    <n v="339777.04551114398"/>
  </r>
  <r>
    <x v="0"/>
    <x v="0"/>
    <x v="0"/>
    <x v="7"/>
    <x v="12"/>
    <s v="NO5_A1"/>
    <x v="7"/>
    <x v="7"/>
    <s v="GHYRS_WATER"/>
    <x v="7"/>
    <x v="3"/>
    <n v="1561.22771641742"/>
    <n v="94974.686082059503"/>
    <n v="341908.86989541398"/>
  </r>
  <r>
    <x v="0"/>
    <x v="0"/>
    <x v="0"/>
    <x v="7"/>
    <x v="12"/>
    <s v="NO5_A1"/>
    <x v="7"/>
    <x v="7"/>
    <s v="GHYRS_WATER"/>
    <x v="7"/>
    <x v="4"/>
    <n v="1586.4070919537901"/>
    <n v="96506.431427189105"/>
    <n v="347423.15313788102"/>
  </r>
  <r>
    <x v="0"/>
    <x v="0"/>
    <x v="0"/>
    <x v="7"/>
    <x v="12"/>
    <s v="NO5_A1"/>
    <x v="7"/>
    <x v="7"/>
    <s v="GHYRS_WATER"/>
    <x v="7"/>
    <x v="5"/>
    <n v="1628.0255518967299"/>
    <n v="99038.221073717694"/>
    <n v="356537.59586538398"/>
  </r>
  <r>
    <x v="0"/>
    <x v="0"/>
    <x v="0"/>
    <x v="7"/>
    <x v="12"/>
    <s v="NO5_A1"/>
    <x v="7"/>
    <x v="7"/>
    <s v="GHYRS_WATER"/>
    <x v="7"/>
    <x v="6"/>
    <n v="1728.1112930978099"/>
    <n v="105126.770330117"/>
    <n v="378456.37318842101"/>
  </r>
  <r>
    <x v="0"/>
    <x v="0"/>
    <x v="0"/>
    <x v="7"/>
    <x v="12"/>
    <s v="NO5_A1"/>
    <x v="7"/>
    <x v="7"/>
    <s v="GHYRS_WATER"/>
    <x v="7"/>
    <x v="7"/>
    <n v="1893.3138567275701"/>
    <n v="115176.59295092701"/>
    <n v="414635.73462333699"/>
  </r>
  <r>
    <x v="0"/>
    <x v="0"/>
    <x v="0"/>
    <x v="7"/>
    <x v="12"/>
    <s v="NO5_A1"/>
    <x v="7"/>
    <x v="7"/>
    <s v="GHYRS_WATER"/>
    <x v="7"/>
    <x v="8"/>
    <n v="1923.9194511416199"/>
    <n v="117038.43327778199"/>
    <n v="421338.359800014"/>
  </r>
  <r>
    <x v="0"/>
    <x v="0"/>
    <x v="0"/>
    <x v="7"/>
    <x v="12"/>
    <s v="NO5_A1"/>
    <x v="7"/>
    <x v="7"/>
    <s v="GHYRS_WATER"/>
    <x v="7"/>
    <x v="9"/>
    <n v="1947.35536002341"/>
    <n v="118464.11773475799"/>
    <n v="426470.823845128"/>
  </r>
  <r>
    <x v="0"/>
    <x v="0"/>
    <x v="0"/>
    <x v="7"/>
    <x v="12"/>
    <s v="NO5_A1"/>
    <x v="7"/>
    <x v="7"/>
    <s v="GHYRS_WATER"/>
    <x v="7"/>
    <x v="10"/>
    <n v="1968.45329255158"/>
    <n v="119747.575296888"/>
    <n v="431091.271068795"/>
  </r>
  <r>
    <x v="0"/>
    <x v="0"/>
    <x v="0"/>
    <x v="7"/>
    <x v="12"/>
    <s v="NO5_A1"/>
    <x v="7"/>
    <x v="7"/>
    <s v="GHYRS_WATER"/>
    <x v="7"/>
    <x v="11"/>
    <n v="1923.7556325237899"/>
    <n v="117028.467645197"/>
    <n v="421302.48352271097"/>
  </r>
  <r>
    <x v="0"/>
    <x v="0"/>
    <x v="0"/>
    <x v="7"/>
    <x v="12"/>
    <s v="NO5_A1"/>
    <x v="7"/>
    <x v="7"/>
    <s v="GHYRS_WATER"/>
    <x v="8"/>
    <x v="0"/>
    <n v="305.08290557895299"/>
    <n v="18559.210089386299"/>
    <n v="66813.156321790695"/>
  </r>
  <r>
    <x v="0"/>
    <x v="0"/>
    <x v="0"/>
    <x v="7"/>
    <x v="12"/>
    <s v="NO5_A1"/>
    <x v="7"/>
    <x v="7"/>
    <s v="GHYRS_WATER"/>
    <x v="8"/>
    <x v="1"/>
    <n v="274.37675521999398"/>
    <n v="16691.252609216299"/>
    <n v="60088.509393178698"/>
  </r>
  <r>
    <x v="0"/>
    <x v="0"/>
    <x v="0"/>
    <x v="7"/>
    <x v="12"/>
    <s v="NO5_A1"/>
    <x v="7"/>
    <x v="7"/>
    <s v="GHYRS_WATER"/>
    <x v="8"/>
    <x v="2"/>
    <n v="271.80913496871699"/>
    <n v="16535.055710596898"/>
    <n v="59526.200558149001"/>
  </r>
  <r>
    <x v="0"/>
    <x v="0"/>
    <x v="0"/>
    <x v="7"/>
    <x v="12"/>
    <s v="NO5_A1"/>
    <x v="7"/>
    <x v="7"/>
    <s v="GHYRS_WATER"/>
    <x v="8"/>
    <x v="3"/>
    <n v="273.88617915709199"/>
    <n v="16661.409232056401"/>
    <n v="59981.073235403099"/>
  </r>
  <r>
    <x v="0"/>
    <x v="0"/>
    <x v="0"/>
    <x v="7"/>
    <x v="12"/>
    <s v="NO5_A1"/>
    <x v="7"/>
    <x v="7"/>
    <s v="GHYRS_WATER"/>
    <x v="8"/>
    <x v="4"/>
    <n v="290.66619747801201"/>
    <n v="17682.193679912401"/>
    <n v="63655.897247684603"/>
  </r>
  <r>
    <x v="0"/>
    <x v="0"/>
    <x v="0"/>
    <x v="7"/>
    <x v="12"/>
    <s v="NO5_A1"/>
    <x v="7"/>
    <x v="7"/>
    <s v="GHYRS_WATER"/>
    <x v="8"/>
    <x v="5"/>
    <n v="333.22929612918603"/>
    <n v="20271.448847858799"/>
    <n v="72977.215852291803"/>
  </r>
  <r>
    <x v="0"/>
    <x v="0"/>
    <x v="0"/>
    <x v="7"/>
    <x v="12"/>
    <s v="NO5_A1"/>
    <x v="7"/>
    <x v="7"/>
    <s v="GHYRS_WATER"/>
    <x v="8"/>
    <x v="6"/>
    <n v="1597.5485448356901"/>
    <n v="97184.203144171406"/>
    <n v="349863.13131901697"/>
  </r>
  <r>
    <x v="0"/>
    <x v="0"/>
    <x v="0"/>
    <x v="7"/>
    <x v="12"/>
    <s v="NO5_A1"/>
    <x v="7"/>
    <x v="7"/>
    <s v="GHYRS_WATER"/>
    <x v="8"/>
    <x v="7"/>
    <n v="1754.4229763395599"/>
    <n v="106727.397727323"/>
    <n v="384218.63181836298"/>
  </r>
  <r>
    <x v="0"/>
    <x v="0"/>
    <x v="0"/>
    <x v="7"/>
    <x v="12"/>
    <s v="NO5_A1"/>
    <x v="7"/>
    <x v="7"/>
    <s v="GHYRS_WATER"/>
    <x v="8"/>
    <x v="8"/>
    <n v="1781.66081751158"/>
    <n v="108384.366398621"/>
    <n v="390183.719035035"/>
  </r>
  <r>
    <x v="0"/>
    <x v="0"/>
    <x v="0"/>
    <x v="7"/>
    <x v="12"/>
    <s v="NO5_A1"/>
    <x v="7"/>
    <x v="7"/>
    <s v="GHYRS_WATER"/>
    <x v="8"/>
    <x v="9"/>
    <n v="1774.1659186802001"/>
    <n v="107928.42671971201"/>
    <n v="388542.33619096398"/>
  </r>
  <r>
    <x v="0"/>
    <x v="0"/>
    <x v="0"/>
    <x v="7"/>
    <x v="12"/>
    <s v="NO5_A1"/>
    <x v="7"/>
    <x v="7"/>
    <s v="GHYRS_WATER"/>
    <x v="8"/>
    <x v="10"/>
    <n v="1756.5151850596201"/>
    <n v="106854.67375779399"/>
    <n v="384676.825528057"/>
  </r>
  <r>
    <x v="0"/>
    <x v="0"/>
    <x v="0"/>
    <x v="7"/>
    <x v="12"/>
    <s v="NO5_A1"/>
    <x v="7"/>
    <x v="7"/>
    <s v="GHYRS_WATER"/>
    <x v="8"/>
    <x v="11"/>
    <n v="1368.06096751531"/>
    <n v="83223.708857181206"/>
    <n v="299605.351885852"/>
  </r>
  <r>
    <x v="0"/>
    <x v="0"/>
    <x v="0"/>
    <x v="7"/>
    <x v="12"/>
    <s v="NO5_A1"/>
    <x v="7"/>
    <x v="7"/>
    <s v="GHYRS_WATER"/>
    <x v="9"/>
    <x v="0"/>
    <n v="1447.84840262487"/>
    <n v="88077.444493012707"/>
    <n v="317078.80017484602"/>
  </r>
  <r>
    <x v="0"/>
    <x v="0"/>
    <x v="0"/>
    <x v="7"/>
    <x v="12"/>
    <s v="NO5_A1"/>
    <x v="7"/>
    <x v="7"/>
    <s v="GHYRS_WATER"/>
    <x v="9"/>
    <x v="1"/>
    <n v="1412.0703864903401"/>
    <n v="85900.9485114954"/>
    <n v="309243.41464138299"/>
  </r>
  <r>
    <x v="0"/>
    <x v="0"/>
    <x v="0"/>
    <x v="7"/>
    <x v="12"/>
    <s v="NO5_A1"/>
    <x v="7"/>
    <x v="7"/>
    <s v="GHYRS_WATER"/>
    <x v="9"/>
    <x v="2"/>
    <n v="253.80252983211801"/>
    <n v="15439.653898120499"/>
    <n v="55582.754033233898"/>
  </r>
  <r>
    <x v="0"/>
    <x v="0"/>
    <x v="0"/>
    <x v="7"/>
    <x v="12"/>
    <s v="NO5_A1"/>
    <x v="7"/>
    <x v="7"/>
    <s v="GHYRS_WATER"/>
    <x v="9"/>
    <x v="3"/>
    <n v="1386.5354102873901"/>
    <n v="84347.570792482598"/>
    <n v="303651.254852938"/>
  </r>
  <r>
    <x v="0"/>
    <x v="0"/>
    <x v="0"/>
    <x v="7"/>
    <x v="12"/>
    <s v="NO5_A1"/>
    <x v="7"/>
    <x v="7"/>
    <s v="GHYRS_WATER"/>
    <x v="9"/>
    <x v="4"/>
    <n v="1430.3898780720999"/>
    <n v="87015.384249385796"/>
    <n v="313255.38329778903"/>
  </r>
  <r>
    <x v="0"/>
    <x v="0"/>
    <x v="0"/>
    <x v="7"/>
    <x v="12"/>
    <s v="NO5_A1"/>
    <x v="7"/>
    <x v="7"/>
    <s v="GHYRS_WATER"/>
    <x v="9"/>
    <x v="5"/>
    <n v="349.73871031154499"/>
    <n v="21275.771543952302"/>
    <n v="76592.777558228307"/>
  </r>
  <r>
    <x v="0"/>
    <x v="0"/>
    <x v="0"/>
    <x v="7"/>
    <x v="12"/>
    <s v="NO5_A1"/>
    <x v="7"/>
    <x v="7"/>
    <s v="GHYRS_WATER"/>
    <x v="9"/>
    <x v="6"/>
    <n v="531.081469845622"/>
    <n v="32307.456082275301"/>
    <n v="116306.84189619101"/>
  </r>
  <r>
    <x v="0"/>
    <x v="0"/>
    <x v="0"/>
    <x v="7"/>
    <x v="12"/>
    <s v="NO5_A1"/>
    <x v="7"/>
    <x v="7"/>
    <s v="GHYRS_WATER"/>
    <x v="9"/>
    <x v="7"/>
    <n v="668.85529891229396"/>
    <n v="40688.697350497903"/>
    <n v="146479.31046179199"/>
  </r>
  <r>
    <x v="0"/>
    <x v="0"/>
    <x v="0"/>
    <x v="7"/>
    <x v="12"/>
    <s v="NO5_A1"/>
    <x v="7"/>
    <x v="7"/>
    <s v="GHYRS_WATER"/>
    <x v="9"/>
    <x v="8"/>
    <n v="711.49250418309305"/>
    <n v="43282.4606711382"/>
    <n v="155816.85841609701"/>
  </r>
  <r>
    <x v="0"/>
    <x v="0"/>
    <x v="0"/>
    <x v="7"/>
    <x v="12"/>
    <s v="NO5_A1"/>
    <x v="7"/>
    <x v="7"/>
    <s v="GHYRS_WATER"/>
    <x v="9"/>
    <x v="9"/>
    <n v="1452.9685372741001"/>
    <n v="88388.919350840893"/>
    <n v="318200.10966302699"/>
  </r>
  <r>
    <x v="0"/>
    <x v="0"/>
    <x v="0"/>
    <x v="7"/>
    <x v="12"/>
    <s v="NO5_A1"/>
    <x v="7"/>
    <x v="7"/>
    <s v="GHYRS_WATER"/>
    <x v="9"/>
    <x v="10"/>
    <n v="684.19362056021805"/>
    <n v="41621.778584079897"/>
    <n v="149838.40290268799"/>
  </r>
  <r>
    <x v="0"/>
    <x v="0"/>
    <x v="0"/>
    <x v="7"/>
    <x v="12"/>
    <s v="NO5_A1"/>
    <x v="7"/>
    <x v="7"/>
    <s v="GHYRS_WATER"/>
    <x v="9"/>
    <x v="11"/>
    <n v="633.55985377372099"/>
    <n v="38541.5577712347"/>
    <n v="138749.607976445"/>
  </r>
  <r>
    <x v="0"/>
    <x v="0"/>
    <x v="0"/>
    <x v="7"/>
    <x v="12"/>
    <s v="NO5_A1"/>
    <x v="7"/>
    <x v="7"/>
    <s v="GHYRS_WATER"/>
    <x v="10"/>
    <x v="0"/>
    <n v="1211.8417118028799"/>
    <n v="73720.370801341996"/>
    <n v="265393.33488483098"/>
  </r>
  <r>
    <x v="0"/>
    <x v="0"/>
    <x v="0"/>
    <x v="7"/>
    <x v="12"/>
    <s v="NO5_A1"/>
    <x v="7"/>
    <x v="7"/>
    <s v="GHYRS_WATER"/>
    <x v="10"/>
    <x v="1"/>
    <n v="32.173591149540002"/>
    <n v="1957.22679493035"/>
    <n v="7046.0164617492601"/>
  </r>
  <r>
    <x v="0"/>
    <x v="0"/>
    <x v="0"/>
    <x v="7"/>
    <x v="12"/>
    <s v="NO5_A1"/>
    <x v="7"/>
    <x v="7"/>
    <s v="GHYRS_WATER"/>
    <x v="10"/>
    <x v="2"/>
    <n v="1149.12355209469"/>
    <n v="69905.016085760595"/>
    <n v="251658.057908738"/>
  </r>
  <r>
    <x v="0"/>
    <x v="0"/>
    <x v="0"/>
    <x v="7"/>
    <x v="12"/>
    <s v="NO5_A1"/>
    <x v="7"/>
    <x v="7"/>
    <s v="GHYRS_WATER"/>
    <x v="10"/>
    <x v="3"/>
    <n v="16.251385057574701"/>
    <n v="988.625924335793"/>
    <n v="3559.0533276088599"/>
  </r>
  <r>
    <x v="0"/>
    <x v="0"/>
    <x v="0"/>
    <x v="7"/>
    <x v="12"/>
    <s v="NO5_A1"/>
    <x v="7"/>
    <x v="7"/>
    <s v="GHYRS_WATER"/>
    <x v="10"/>
    <x v="4"/>
    <n v="1056.8741122951501"/>
    <n v="64293.175164621702"/>
    <n v="231455.430592638"/>
  </r>
  <r>
    <x v="0"/>
    <x v="0"/>
    <x v="0"/>
    <x v="7"/>
    <x v="12"/>
    <s v="NO5_A1"/>
    <x v="7"/>
    <x v="7"/>
    <s v="GHYRS_WATER"/>
    <x v="10"/>
    <x v="5"/>
    <n v="85.511109384232697"/>
    <n v="5201.9258208741503"/>
    <n v="18726.932955147"/>
  </r>
  <r>
    <x v="0"/>
    <x v="0"/>
    <x v="0"/>
    <x v="7"/>
    <x v="12"/>
    <s v="NO5_A1"/>
    <x v="7"/>
    <x v="7"/>
    <s v="GHYRS_WATER"/>
    <x v="10"/>
    <x v="6"/>
    <n v="1368.1510110849499"/>
    <n v="83229.186507667793"/>
    <n v="299625.07142760401"/>
  </r>
  <r>
    <x v="0"/>
    <x v="0"/>
    <x v="0"/>
    <x v="7"/>
    <x v="12"/>
    <s v="NO5_A1"/>
    <x v="7"/>
    <x v="7"/>
    <s v="GHYRS_WATER"/>
    <x v="10"/>
    <x v="7"/>
    <n v="2111.1792880258899"/>
    <n v="128430.073354908"/>
    <n v="462348.26407767"/>
  </r>
  <r>
    <x v="0"/>
    <x v="0"/>
    <x v="0"/>
    <x v="7"/>
    <x v="12"/>
    <s v="NO5_A1"/>
    <x v="7"/>
    <x v="7"/>
    <s v="GHYRS_WATER"/>
    <x v="10"/>
    <x v="8"/>
    <n v="2111.1792880258899"/>
    <n v="128430.073354908"/>
    <n v="462348.26407767"/>
  </r>
  <r>
    <x v="0"/>
    <x v="0"/>
    <x v="0"/>
    <x v="7"/>
    <x v="12"/>
    <s v="NO5_A1"/>
    <x v="7"/>
    <x v="7"/>
    <s v="GHYRS_WATER"/>
    <x v="10"/>
    <x v="9"/>
    <n v="1404.2067834812699"/>
    <n v="85422.579328443797"/>
    <n v="307521.28558239801"/>
  </r>
  <r>
    <x v="0"/>
    <x v="0"/>
    <x v="0"/>
    <x v="7"/>
    <x v="12"/>
    <s v="NO5_A1"/>
    <x v="7"/>
    <x v="7"/>
    <s v="GHYRS_WATER"/>
    <x v="10"/>
    <x v="10"/>
    <n v="1616.5326731324201"/>
    <n v="98339.070948888795"/>
    <n v="354020.65541599999"/>
  </r>
  <r>
    <x v="0"/>
    <x v="0"/>
    <x v="0"/>
    <x v="7"/>
    <x v="12"/>
    <s v="NO5_A1"/>
    <x v="7"/>
    <x v="7"/>
    <s v="GHYRS_WATER"/>
    <x v="10"/>
    <x v="11"/>
    <n v="1044.85091876358"/>
    <n v="63561.764224784798"/>
    <n v="228822.35120922499"/>
  </r>
  <r>
    <x v="0"/>
    <x v="0"/>
    <x v="0"/>
    <x v="7"/>
    <x v="12"/>
    <s v="NO5_A1"/>
    <x v="7"/>
    <x v="7"/>
    <s v="GHYRS_WATER"/>
    <x v="11"/>
    <x v="0"/>
    <n v="993.31075146315197"/>
    <n v="60426.404047341697"/>
    <n v="217535.05457042999"/>
  </r>
  <r>
    <x v="0"/>
    <x v="0"/>
    <x v="0"/>
    <x v="7"/>
    <x v="12"/>
    <s v="NO5_A1"/>
    <x v="7"/>
    <x v="7"/>
    <s v="GHYRS_WATER"/>
    <x v="11"/>
    <x v="1"/>
    <n v="954.68279777127304"/>
    <n v="58076.536864419097"/>
    <n v="209075.53271190901"/>
  </r>
  <r>
    <x v="0"/>
    <x v="0"/>
    <x v="0"/>
    <x v="7"/>
    <x v="12"/>
    <s v="NO5_A1"/>
    <x v="7"/>
    <x v="7"/>
    <s v="GHYRS_WATER"/>
    <x v="11"/>
    <x v="2"/>
    <n v="951.62695447769795"/>
    <n v="57890.639730726703"/>
    <n v="208406.30303061599"/>
  </r>
  <r>
    <x v="0"/>
    <x v="0"/>
    <x v="0"/>
    <x v="7"/>
    <x v="12"/>
    <s v="NO5_A1"/>
    <x v="7"/>
    <x v="7"/>
    <s v="GHYRS_WATER"/>
    <x v="11"/>
    <x v="3"/>
    <n v="981.31997406902894"/>
    <n v="59696.965089199199"/>
    <n v="214909.07432111699"/>
  </r>
  <r>
    <x v="0"/>
    <x v="0"/>
    <x v="0"/>
    <x v="7"/>
    <x v="12"/>
    <s v="NO5_A1"/>
    <x v="7"/>
    <x v="7"/>
    <s v="GHYRS_WATER"/>
    <x v="11"/>
    <x v="4"/>
    <n v="1074.2452262701599"/>
    <n v="65349.917931434597"/>
    <n v="235259.70455316501"/>
  </r>
  <r>
    <x v="0"/>
    <x v="0"/>
    <x v="0"/>
    <x v="7"/>
    <x v="12"/>
    <s v="NO5_A1"/>
    <x v="7"/>
    <x v="7"/>
    <s v="GHYRS_WATER"/>
    <x v="11"/>
    <x v="5"/>
    <n v="2033.2253424041"/>
    <n v="123687.874996249"/>
    <n v="445276.34998649801"/>
  </r>
  <r>
    <x v="0"/>
    <x v="0"/>
    <x v="0"/>
    <x v="7"/>
    <x v="12"/>
    <s v="NO5_A1"/>
    <x v="7"/>
    <x v="7"/>
    <s v="GHYRS_WATER"/>
    <x v="11"/>
    <x v="6"/>
    <n v="1177.51857698"/>
    <n v="71632.380099616596"/>
    <n v="257876.56835861999"/>
  </r>
  <r>
    <x v="0"/>
    <x v="0"/>
    <x v="0"/>
    <x v="7"/>
    <x v="12"/>
    <s v="NO5_A1"/>
    <x v="7"/>
    <x v="7"/>
    <s v="GHYRS_WATER"/>
    <x v="11"/>
    <x v="7"/>
    <n v="1348.3481053953501"/>
    <n v="82024.509744883806"/>
    <n v="295288.23508158198"/>
  </r>
  <r>
    <x v="0"/>
    <x v="0"/>
    <x v="0"/>
    <x v="7"/>
    <x v="12"/>
    <s v="NO5_A1"/>
    <x v="7"/>
    <x v="7"/>
    <s v="GHYRS_WATER"/>
    <x v="11"/>
    <x v="8"/>
    <n v="1399.5090079593899"/>
    <n v="85136.797984196397"/>
    <n v="306492.47274310701"/>
  </r>
  <r>
    <x v="0"/>
    <x v="0"/>
    <x v="0"/>
    <x v="7"/>
    <x v="12"/>
    <s v="NO5_A1"/>
    <x v="7"/>
    <x v="7"/>
    <s v="GHYRS_WATER"/>
    <x v="11"/>
    <x v="9"/>
    <n v="1297.28138142071"/>
    <n v="78917.950703093098"/>
    <n v="284104.62253113498"/>
  </r>
  <r>
    <x v="0"/>
    <x v="0"/>
    <x v="0"/>
    <x v="7"/>
    <x v="12"/>
    <s v="NO5_A1"/>
    <x v="7"/>
    <x v="7"/>
    <s v="GHYRS_WATER"/>
    <x v="11"/>
    <x v="10"/>
    <n v="1334.85771002613"/>
    <n v="81203.844026589897"/>
    <n v="292333.83849572297"/>
  </r>
  <r>
    <x v="0"/>
    <x v="0"/>
    <x v="0"/>
    <x v="7"/>
    <x v="12"/>
    <s v="NO5_A1"/>
    <x v="7"/>
    <x v="7"/>
    <s v="GHYRS_WATER"/>
    <x v="11"/>
    <x v="11"/>
    <n v="1306.7453537909801"/>
    <n v="79493.675688951102"/>
    <n v="286177.23248022399"/>
  </r>
  <r>
    <x v="0"/>
    <x v="0"/>
    <x v="0"/>
    <x v="7"/>
    <x v="12"/>
    <s v="NO5_A1"/>
    <x v="0"/>
    <x v="0"/>
    <s v="GWND_WIND"/>
    <x v="0"/>
    <x v="0"/>
    <n v="1.66213971384143"/>
    <n v="101.113499258687"/>
    <n v="364.00859733127299"/>
  </r>
  <r>
    <x v="0"/>
    <x v="0"/>
    <x v="0"/>
    <x v="7"/>
    <x v="12"/>
    <s v="NO5_A1"/>
    <x v="0"/>
    <x v="0"/>
    <s v="GWND_WIND"/>
    <x v="0"/>
    <x v="1"/>
    <n v="1.60006622611256"/>
    <n v="97.337362088514098"/>
    <n v="350.41450351865097"/>
  </r>
  <r>
    <x v="0"/>
    <x v="0"/>
    <x v="0"/>
    <x v="7"/>
    <x v="12"/>
    <s v="NO5_A1"/>
    <x v="0"/>
    <x v="0"/>
    <s v="GWND_WIND"/>
    <x v="0"/>
    <x v="2"/>
    <n v="0.82006034202191103"/>
    <n v="49.887004139666203"/>
    <n v="179.593214902798"/>
  </r>
  <r>
    <x v="0"/>
    <x v="0"/>
    <x v="0"/>
    <x v="7"/>
    <x v="12"/>
    <s v="NO5_A1"/>
    <x v="0"/>
    <x v="0"/>
    <s v="GWND_WIND"/>
    <x v="0"/>
    <x v="3"/>
    <n v="1.4462754390135599"/>
    <n v="87.981755873325199"/>
    <n v="316.73432114397099"/>
  </r>
  <r>
    <x v="0"/>
    <x v="0"/>
    <x v="0"/>
    <x v="7"/>
    <x v="12"/>
    <s v="NO5_A1"/>
    <x v="0"/>
    <x v="0"/>
    <s v="GWND_WIND"/>
    <x v="0"/>
    <x v="4"/>
    <n v="1.55626579521979"/>
    <n v="94.672835875870405"/>
    <n v="340.82220915313297"/>
  </r>
  <r>
    <x v="0"/>
    <x v="0"/>
    <x v="0"/>
    <x v="7"/>
    <x v="12"/>
    <s v="NO5_A1"/>
    <x v="0"/>
    <x v="0"/>
    <s v="GWND_WIND"/>
    <x v="0"/>
    <x v="5"/>
    <n v="1.55721040621087"/>
    <n v="94.730299711161294"/>
    <n v="341.02907896018002"/>
  </r>
  <r>
    <x v="0"/>
    <x v="0"/>
    <x v="0"/>
    <x v="7"/>
    <x v="12"/>
    <s v="NO5_A1"/>
    <x v="0"/>
    <x v="0"/>
    <s v="GWND_WIND"/>
    <x v="0"/>
    <x v="6"/>
    <n v="1.3424508834561699"/>
    <n v="81.665762076916906"/>
    <n v="293.99674347690097"/>
  </r>
  <r>
    <x v="0"/>
    <x v="0"/>
    <x v="0"/>
    <x v="7"/>
    <x v="12"/>
    <s v="NO5_A1"/>
    <x v="0"/>
    <x v="0"/>
    <s v="GWND_WIND"/>
    <x v="0"/>
    <x v="7"/>
    <n v="1.7183270943321201"/>
    <n v="104.53156490520399"/>
    <n v="376.31363365873301"/>
  </r>
  <r>
    <x v="0"/>
    <x v="0"/>
    <x v="0"/>
    <x v="7"/>
    <x v="12"/>
    <s v="NO5_A1"/>
    <x v="0"/>
    <x v="0"/>
    <s v="GWND_WIND"/>
    <x v="0"/>
    <x v="8"/>
    <n v="1.3279370831736499"/>
    <n v="80.782839226396902"/>
    <n v="290.81822121502898"/>
  </r>
  <r>
    <x v="0"/>
    <x v="0"/>
    <x v="0"/>
    <x v="7"/>
    <x v="12"/>
    <s v="NO5_A1"/>
    <x v="0"/>
    <x v="0"/>
    <s v="GWND_WIND"/>
    <x v="0"/>
    <x v="9"/>
    <n v="0.96800339670423496"/>
    <n v="58.886873299507599"/>
    <n v="211.992743878227"/>
  </r>
  <r>
    <x v="0"/>
    <x v="0"/>
    <x v="0"/>
    <x v="7"/>
    <x v="12"/>
    <s v="NO5_A1"/>
    <x v="0"/>
    <x v="0"/>
    <s v="GWND_WIND"/>
    <x v="0"/>
    <x v="10"/>
    <n v="0.69651629404832305"/>
    <n v="42.371407887939597"/>
    <n v="152.53706839658301"/>
  </r>
  <r>
    <x v="0"/>
    <x v="0"/>
    <x v="0"/>
    <x v="7"/>
    <x v="12"/>
    <s v="NO5_A1"/>
    <x v="0"/>
    <x v="0"/>
    <s v="GWND_WIND"/>
    <x v="0"/>
    <x v="11"/>
    <n v="0.27206641486528699"/>
    <n v="16.550706904304899"/>
    <n v="59.582544855497801"/>
  </r>
  <r>
    <x v="0"/>
    <x v="0"/>
    <x v="0"/>
    <x v="7"/>
    <x v="12"/>
    <s v="NO5_A1"/>
    <x v="0"/>
    <x v="0"/>
    <s v="GWND_WIND"/>
    <x v="1"/>
    <x v="0"/>
    <n v="1.78678556197884"/>
    <n v="108.696121687046"/>
    <n v="391.30603807336502"/>
  </r>
  <r>
    <x v="0"/>
    <x v="0"/>
    <x v="0"/>
    <x v="7"/>
    <x v="12"/>
    <s v="NO5_A1"/>
    <x v="0"/>
    <x v="0"/>
    <s v="GWND_WIND"/>
    <x v="1"/>
    <x v="1"/>
    <n v="1.89255690175067"/>
    <n v="115.130544856499"/>
    <n v="414.46996148339599"/>
  </r>
  <r>
    <x v="0"/>
    <x v="0"/>
    <x v="0"/>
    <x v="7"/>
    <x v="12"/>
    <s v="NO5_A1"/>
    <x v="0"/>
    <x v="0"/>
    <s v="GWND_WIND"/>
    <x v="1"/>
    <x v="2"/>
    <n v="1.89845186471689"/>
    <n v="115.489155103611"/>
    <n v="415.76095837299999"/>
  </r>
  <r>
    <x v="0"/>
    <x v="0"/>
    <x v="0"/>
    <x v="7"/>
    <x v="12"/>
    <s v="NO5_A1"/>
    <x v="0"/>
    <x v="0"/>
    <s v="GWND_WIND"/>
    <x v="1"/>
    <x v="3"/>
    <n v="1.8988156875439299"/>
    <n v="115.511287658922"/>
    <n v="415.84063557211999"/>
  </r>
  <r>
    <x v="0"/>
    <x v="0"/>
    <x v="0"/>
    <x v="7"/>
    <x v="12"/>
    <s v="NO5_A1"/>
    <x v="0"/>
    <x v="0"/>
    <s v="GWND_WIND"/>
    <x v="1"/>
    <x v="4"/>
    <n v="1.8988156875439299"/>
    <n v="115.511287658922"/>
    <n v="415.84063557211999"/>
  </r>
  <r>
    <x v="0"/>
    <x v="0"/>
    <x v="0"/>
    <x v="7"/>
    <x v="12"/>
    <s v="NO5_A1"/>
    <x v="0"/>
    <x v="0"/>
    <s v="GWND_WIND"/>
    <x v="1"/>
    <x v="5"/>
    <n v="1.80988941846152"/>
    <n v="110.10160628974199"/>
    <n v="396.36578264307201"/>
  </r>
  <r>
    <x v="0"/>
    <x v="0"/>
    <x v="0"/>
    <x v="7"/>
    <x v="12"/>
    <s v="NO5_A1"/>
    <x v="0"/>
    <x v="0"/>
    <s v="GWND_WIND"/>
    <x v="1"/>
    <x v="6"/>
    <n v="0.221393201035048"/>
    <n v="13.4680863962988"/>
    <n v="48.485111026675497"/>
  </r>
  <r>
    <x v="0"/>
    <x v="0"/>
    <x v="0"/>
    <x v="7"/>
    <x v="12"/>
    <s v="NO5_A1"/>
    <x v="0"/>
    <x v="0"/>
    <s v="GWND_WIND"/>
    <x v="1"/>
    <x v="7"/>
    <n v="0.221393201035048"/>
    <n v="13.4680863962988"/>
    <n v="48.485111026675497"/>
  </r>
  <r>
    <x v="0"/>
    <x v="0"/>
    <x v="0"/>
    <x v="7"/>
    <x v="12"/>
    <s v="NO5_A1"/>
    <x v="0"/>
    <x v="0"/>
    <s v="GWND_WIND"/>
    <x v="1"/>
    <x v="8"/>
    <n v="1.8359104993565001"/>
    <n v="111.68455537752099"/>
    <n v="402.064399359074"/>
  </r>
  <r>
    <x v="0"/>
    <x v="0"/>
    <x v="0"/>
    <x v="7"/>
    <x v="12"/>
    <s v="NO5_A1"/>
    <x v="0"/>
    <x v="0"/>
    <s v="GWND_WIND"/>
    <x v="1"/>
    <x v="9"/>
    <n v="1.86509381313961"/>
    <n v="113.459873632659"/>
    <n v="408.45554507757402"/>
  </r>
  <r>
    <x v="0"/>
    <x v="0"/>
    <x v="0"/>
    <x v="7"/>
    <x v="12"/>
    <s v="NO5_A1"/>
    <x v="0"/>
    <x v="0"/>
    <s v="GWND_WIND"/>
    <x v="1"/>
    <x v="10"/>
    <n v="1.2644252776153899"/>
    <n v="76.919204388269407"/>
    <n v="276.90913579776998"/>
  </r>
  <r>
    <x v="0"/>
    <x v="0"/>
    <x v="0"/>
    <x v="7"/>
    <x v="12"/>
    <s v="NO5_A1"/>
    <x v="0"/>
    <x v="0"/>
    <s v="GWND_WIND"/>
    <x v="1"/>
    <x v="11"/>
    <n v="1.2583694355897399"/>
    <n v="76.550807331709294"/>
    <n v="275.58290639415299"/>
  </r>
  <r>
    <x v="0"/>
    <x v="0"/>
    <x v="0"/>
    <x v="7"/>
    <x v="12"/>
    <s v="NO5_A1"/>
    <x v="0"/>
    <x v="0"/>
    <s v="GWND_WIND"/>
    <x v="2"/>
    <x v="0"/>
    <n v="1.1500180436570799"/>
    <n v="69.959430989138795"/>
    <n v="251.85395156089999"/>
  </r>
  <r>
    <x v="0"/>
    <x v="0"/>
    <x v="0"/>
    <x v="7"/>
    <x v="12"/>
    <s v="NO5_A1"/>
    <x v="0"/>
    <x v="0"/>
    <s v="GWND_WIND"/>
    <x v="2"/>
    <x v="1"/>
    <n v="0.98414038551878402"/>
    <n v="59.868540119059404"/>
    <n v="215.52674442861399"/>
  </r>
  <r>
    <x v="0"/>
    <x v="0"/>
    <x v="0"/>
    <x v="7"/>
    <x v="12"/>
    <s v="NO5_A1"/>
    <x v="0"/>
    <x v="0"/>
    <s v="GWND_WIND"/>
    <x v="2"/>
    <x v="2"/>
    <n v="1.04352673540941"/>
    <n v="63.481209737405898"/>
    <n v="228.532355054661"/>
  </r>
  <r>
    <x v="0"/>
    <x v="0"/>
    <x v="0"/>
    <x v="7"/>
    <x v="12"/>
    <s v="NO5_A1"/>
    <x v="0"/>
    <x v="0"/>
    <s v="GWND_WIND"/>
    <x v="2"/>
    <x v="3"/>
    <n v="0.92262460940264202"/>
    <n v="56.126330405327401"/>
    <n v="202.05478945917901"/>
  </r>
  <r>
    <x v="0"/>
    <x v="0"/>
    <x v="0"/>
    <x v="7"/>
    <x v="12"/>
    <s v="NO5_A1"/>
    <x v="0"/>
    <x v="0"/>
    <s v="GWND_WIND"/>
    <x v="2"/>
    <x v="4"/>
    <n v="1.15540181931582"/>
    <n v="70.286944008378896"/>
    <n v="253.03299843016401"/>
  </r>
  <r>
    <x v="0"/>
    <x v="0"/>
    <x v="0"/>
    <x v="7"/>
    <x v="12"/>
    <s v="NO5_A1"/>
    <x v="0"/>
    <x v="0"/>
    <s v="GWND_WIND"/>
    <x v="2"/>
    <x v="5"/>
    <n v="1.17233220018537"/>
    <n v="71.316875511276706"/>
    <n v="256.74075184059598"/>
  </r>
  <r>
    <x v="0"/>
    <x v="0"/>
    <x v="0"/>
    <x v="7"/>
    <x v="12"/>
    <s v="NO5_A1"/>
    <x v="0"/>
    <x v="0"/>
    <s v="GWND_WIND"/>
    <x v="2"/>
    <x v="6"/>
    <n v="0.94151085160787096"/>
    <n v="57.2752434728122"/>
    <n v="206.19087650212401"/>
  </r>
  <r>
    <x v="0"/>
    <x v="0"/>
    <x v="0"/>
    <x v="7"/>
    <x v="12"/>
    <s v="NO5_A1"/>
    <x v="0"/>
    <x v="0"/>
    <s v="GWND_WIND"/>
    <x v="2"/>
    <x v="7"/>
    <n v="0.95397525930705096"/>
    <n v="58.033494941178901"/>
    <n v="208.92058178824399"/>
  </r>
  <r>
    <x v="0"/>
    <x v="0"/>
    <x v="0"/>
    <x v="7"/>
    <x v="12"/>
    <s v="NO5_A1"/>
    <x v="0"/>
    <x v="0"/>
    <s v="GWND_WIND"/>
    <x v="2"/>
    <x v="8"/>
    <n v="0.94237880151320896"/>
    <n v="57.328043758720199"/>
    <n v="206.38095753139299"/>
  </r>
  <r>
    <x v="0"/>
    <x v="0"/>
    <x v="0"/>
    <x v="7"/>
    <x v="12"/>
    <s v="NO5_A1"/>
    <x v="0"/>
    <x v="0"/>
    <s v="GWND_WIND"/>
    <x v="2"/>
    <x v="9"/>
    <n v="0.93891628468738397"/>
    <n v="57.117407318482499"/>
    <n v="205.62266634653699"/>
  </r>
  <r>
    <x v="0"/>
    <x v="0"/>
    <x v="0"/>
    <x v="7"/>
    <x v="12"/>
    <s v="NO5_A1"/>
    <x v="0"/>
    <x v="0"/>
    <s v="GWND_WIND"/>
    <x v="2"/>
    <x v="10"/>
    <n v="0.95989799236046103"/>
    <n v="58.393794535261399"/>
    <n v="210.217660326941"/>
  </r>
  <r>
    <x v="0"/>
    <x v="0"/>
    <x v="0"/>
    <x v="7"/>
    <x v="12"/>
    <s v="NO5_A1"/>
    <x v="0"/>
    <x v="0"/>
    <s v="GWND_WIND"/>
    <x v="2"/>
    <x v="11"/>
    <n v="0.81778789578852695"/>
    <n v="49.748763660468697"/>
    <n v="179.09554917768699"/>
  </r>
  <r>
    <x v="0"/>
    <x v="0"/>
    <x v="0"/>
    <x v="7"/>
    <x v="12"/>
    <s v="NO5_A1"/>
    <x v="0"/>
    <x v="0"/>
    <s v="GWND_WIND"/>
    <x v="3"/>
    <x v="0"/>
    <n v="1.2941502667636899"/>
    <n v="78.727474561457797"/>
    <n v="283.41890842124798"/>
  </r>
  <r>
    <x v="0"/>
    <x v="0"/>
    <x v="0"/>
    <x v="7"/>
    <x v="12"/>
    <s v="NO5_A1"/>
    <x v="0"/>
    <x v="0"/>
    <s v="GWND_WIND"/>
    <x v="3"/>
    <x v="1"/>
    <n v="1.45552672290748"/>
    <n v="88.544542310205202"/>
    <n v="318.76035231673899"/>
  </r>
  <r>
    <x v="0"/>
    <x v="0"/>
    <x v="0"/>
    <x v="7"/>
    <x v="12"/>
    <s v="NO5_A1"/>
    <x v="0"/>
    <x v="0"/>
    <s v="GWND_WIND"/>
    <x v="3"/>
    <x v="2"/>
    <n v="1.5194008753381001"/>
    <n v="92.430219916401398"/>
    <n v="332.748791699045"/>
  </r>
  <r>
    <x v="0"/>
    <x v="0"/>
    <x v="0"/>
    <x v="7"/>
    <x v="12"/>
    <s v="NO5_A1"/>
    <x v="0"/>
    <x v="0"/>
    <s v="GWND_WIND"/>
    <x v="3"/>
    <x v="3"/>
    <n v="1.5140136407795901"/>
    <n v="92.102496480758106"/>
    <n v="331.56898733072899"/>
  </r>
  <r>
    <x v="0"/>
    <x v="0"/>
    <x v="0"/>
    <x v="7"/>
    <x v="12"/>
    <s v="NO5_A1"/>
    <x v="0"/>
    <x v="0"/>
    <s v="GWND_WIND"/>
    <x v="3"/>
    <x v="4"/>
    <n v="1.24344900979465"/>
    <n v="75.643148095841397"/>
    <n v="272.315333145029"/>
  </r>
  <r>
    <x v="0"/>
    <x v="0"/>
    <x v="0"/>
    <x v="7"/>
    <x v="12"/>
    <s v="NO5_A1"/>
    <x v="0"/>
    <x v="0"/>
    <s v="GWND_WIND"/>
    <x v="3"/>
    <x v="5"/>
    <n v="1.01967952173516"/>
    <n v="62.030504238889002"/>
    <n v="223.30981525999999"/>
  </r>
  <r>
    <x v="0"/>
    <x v="0"/>
    <x v="0"/>
    <x v="7"/>
    <x v="12"/>
    <s v="NO5_A1"/>
    <x v="0"/>
    <x v="0"/>
    <s v="GWND_WIND"/>
    <x v="3"/>
    <x v="6"/>
    <n v="1.1798730002080899"/>
    <n v="71.775607512658894"/>
    <n v="258.39218704557197"/>
  </r>
  <r>
    <x v="0"/>
    <x v="0"/>
    <x v="0"/>
    <x v="7"/>
    <x v="12"/>
    <s v="NO5_A1"/>
    <x v="0"/>
    <x v="0"/>
    <s v="GWND_WIND"/>
    <x v="3"/>
    <x v="7"/>
    <n v="0.99903239180663295"/>
    <n v="60.7744705015702"/>
    <n v="218.78809380565301"/>
  </r>
  <r>
    <x v="0"/>
    <x v="0"/>
    <x v="0"/>
    <x v="7"/>
    <x v="12"/>
    <s v="NO5_A1"/>
    <x v="0"/>
    <x v="0"/>
    <s v="GWND_WIND"/>
    <x v="3"/>
    <x v="8"/>
    <n v="1.17842213676398"/>
    <n v="71.687346653141802"/>
    <n v="258.07444795131102"/>
  </r>
  <r>
    <x v="0"/>
    <x v="0"/>
    <x v="0"/>
    <x v="7"/>
    <x v="12"/>
    <s v="NO5_A1"/>
    <x v="0"/>
    <x v="0"/>
    <s v="GWND_WIND"/>
    <x v="3"/>
    <x v="9"/>
    <n v="1.1274013356081101"/>
    <n v="68.583581249493506"/>
    <n v="246.90089249817601"/>
  </r>
  <r>
    <x v="0"/>
    <x v="0"/>
    <x v="0"/>
    <x v="7"/>
    <x v="12"/>
    <s v="NO5_A1"/>
    <x v="0"/>
    <x v="0"/>
    <s v="GWND_WIND"/>
    <x v="3"/>
    <x v="10"/>
    <n v="1.2958498285703"/>
    <n v="78.830864571359996"/>
    <n v="283.79111245689597"/>
  </r>
  <r>
    <x v="0"/>
    <x v="0"/>
    <x v="0"/>
    <x v="7"/>
    <x v="12"/>
    <s v="NO5_A1"/>
    <x v="0"/>
    <x v="0"/>
    <s v="GWND_WIND"/>
    <x v="3"/>
    <x v="11"/>
    <n v="1.20691986960121"/>
    <n v="73.420958734073395"/>
    <n v="264.31545144266403"/>
  </r>
  <r>
    <x v="0"/>
    <x v="0"/>
    <x v="0"/>
    <x v="7"/>
    <x v="12"/>
    <s v="NO5_A1"/>
    <x v="0"/>
    <x v="0"/>
    <s v="GWND_WIND"/>
    <x v="4"/>
    <x v="0"/>
    <n v="0.63607447421108099"/>
    <n v="38.694530514507498"/>
    <n v="139.300309852227"/>
  </r>
  <r>
    <x v="0"/>
    <x v="0"/>
    <x v="0"/>
    <x v="7"/>
    <x v="12"/>
    <s v="NO5_A1"/>
    <x v="0"/>
    <x v="0"/>
    <s v="GWND_WIND"/>
    <x v="4"/>
    <x v="1"/>
    <n v="0.61661696374944797"/>
    <n v="37.510865294758098"/>
    <n v="135.039115061129"/>
  </r>
  <r>
    <x v="0"/>
    <x v="0"/>
    <x v="0"/>
    <x v="7"/>
    <x v="12"/>
    <s v="NO5_A1"/>
    <x v="0"/>
    <x v="0"/>
    <s v="GWND_WIND"/>
    <x v="4"/>
    <x v="2"/>
    <n v="0.57083653966208403"/>
    <n v="34.725889496110099"/>
    <n v="125.01320218599599"/>
  </r>
  <r>
    <x v="0"/>
    <x v="0"/>
    <x v="0"/>
    <x v="7"/>
    <x v="12"/>
    <s v="NO5_A1"/>
    <x v="0"/>
    <x v="0"/>
    <s v="GWND_WIND"/>
    <x v="4"/>
    <x v="3"/>
    <n v="0.49442636621152097"/>
    <n v="30.0776039445342"/>
    <n v="108.27937420032301"/>
  </r>
  <r>
    <x v="0"/>
    <x v="0"/>
    <x v="0"/>
    <x v="7"/>
    <x v="12"/>
    <s v="NO5_A1"/>
    <x v="0"/>
    <x v="0"/>
    <s v="GWND_WIND"/>
    <x v="4"/>
    <x v="4"/>
    <n v="0.19925757081822701"/>
    <n v="12.121502224775501"/>
    <n v="43.637408009191702"/>
  </r>
  <r>
    <x v="0"/>
    <x v="0"/>
    <x v="0"/>
    <x v="7"/>
    <x v="12"/>
    <s v="NO5_A1"/>
    <x v="0"/>
    <x v="0"/>
    <s v="GWND_WIND"/>
    <x v="4"/>
    <x v="5"/>
    <n v="0.39285411748598797"/>
    <n v="23.898625480397602"/>
    <n v="86.035051729431402"/>
  </r>
  <r>
    <x v="0"/>
    <x v="0"/>
    <x v="0"/>
    <x v="7"/>
    <x v="12"/>
    <s v="NO5_A1"/>
    <x v="0"/>
    <x v="0"/>
    <s v="GWND_WIND"/>
    <x v="4"/>
    <x v="6"/>
    <n v="0.61974598765740996"/>
    <n v="37.701214249159101"/>
    <n v="135.724371296973"/>
  </r>
  <r>
    <x v="0"/>
    <x v="0"/>
    <x v="0"/>
    <x v="7"/>
    <x v="12"/>
    <s v="NO5_A1"/>
    <x v="0"/>
    <x v="0"/>
    <s v="GWND_WIND"/>
    <x v="4"/>
    <x v="7"/>
    <n v="0.57759050824832603"/>
    <n v="35.136755918439903"/>
    <n v="126.492321306383"/>
  </r>
  <r>
    <x v="0"/>
    <x v="0"/>
    <x v="0"/>
    <x v="7"/>
    <x v="12"/>
    <s v="NO5_A1"/>
    <x v="0"/>
    <x v="0"/>
    <s v="GWND_WIND"/>
    <x v="4"/>
    <x v="8"/>
    <n v="0.42777003922122597"/>
    <n v="26.022677385957898"/>
    <n v="93.681638589448397"/>
  </r>
  <r>
    <x v="0"/>
    <x v="0"/>
    <x v="0"/>
    <x v="7"/>
    <x v="12"/>
    <s v="NO5_A1"/>
    <x v="0"/>
    <x v="0"/>
    <s v="GWND_WIND"/>
    <x v="4"/>
    <x v="9"/>
    <n v="0.551781226848997"/>
    <n v="33.566691299980697"/>
    <n v="120.84008867993001"/>
  </r>
  <r>
    <x v="0"/>
    <x v="0"/>
    <x v="0"/>
    <x v="7"/>
    <x v="12"/>
    <s v="NO5_A1"/>
    <x v="0"/>
    <x v="0"/>
    <s v="GWND_WIND"/>
    <x v="4"/>
    <x v="10"/>
    <n v="0.49194012056389702"/>
    <n v="29.926357334303699"/>
    <n v="107.734886403494"/>
  </r>
  <r>
    <x v="0"/>
    <x v="0"/>
    <x v="0"/>
    <x v="7"/>
    <x v="12"/>
    <s v="NO5_A1"/>
    <x v="0"/>
    <x v="0"/>
    <s v="GWND_WIND"/>
    <x v="4"/>
    <x v="11"/>
    <n v="0.29646615955135902"/>
    <n v="18.035024706041"/>
    <n v="64.926088941747693"/>
  </r>
  <r>
    <x v="0"/>
    <x v="0"/>
    <x v="0"/>
    <x v="7"/>
    <x v="12"/>
    <s v="NO5_A1"/>
    <x v="0"/>
    <x v="0"/>
    <s v="GWND_WIND"/>
    <x v="5"/>
    <x v="0"/>
    <n v="1.8445559038569199"/>
    <n v="112.210484151296"/>
    <n v="403.95774294466599"/>
  </r>
  <r>
    <x v="0"/>
    <x v="0"/>
    <x v="0"/>
    <x v="7"/>
    <x v="12"/>
    <s v="NO5_A1"/>
    <x v="0"/>
    <x v="0"/>
    <s v="GWND_WIND"/>
    <x v="5"/>
    <x v="1"/>
    <n v="1.73735583996108"/>
    <n v="105.689146930966"/>
    <n v="380.48092895147602"/>
  </r>
  <r>
    <x v="0"/>
    <x v="0"/>
    <x v="0"/>
    <x v="7"/>
    <x v="12"/>
    <s v="NO5_A1"/>
    <x v="0"/>
    <x v="0"/>
    <s v="GWND_WIND"/>
    <x v="5"/>
    <x v="2"/>
    <n v="0.413158825930249"/>
    <n v="25.1338285774235"/>
    <n v="90.481782878724601"/>
  </r>
  <r>
    <x v="0"/>
    <x v="0"/>
    <x v="0"/>
    <x v="7"/>
    <x v="12"/>
    <s v="NO5_A1"/>
    <x v="0"/>
    <x v="0"/>
    <s v="GWND_WIND"/>
    <x v="5"/>
    <x v="3"/>
    <n v="0.54542945591130199"/>
    <n v="33.180291901270898"/>
    <n v="119.449050844575"/>
  </r>
  <r>
    <x v="0"/>
    <x v="0"/>
    <x v="0"/>
    <x v="7"/>
    <x v="12"/>
    <s v="NO5_A1"/>
    <x v="0"/>
    <x v="0"/>
    <s v="GWND_WIND"/>
    <x v="5"/>
    <x v="4"/>
    <n v="1.8954977414377501"/>
    <n v="115.309445937463"/>
    <n v="415.11400537486702"/>
  </r>
  <r>
    <x v="0"/>
    <x v="0"/>
    <x v="0"/>
    <x v="7"/>
    <x v="12"/>
    <s v="NO5_A1"/>
    <x v="0"/>
    <x v="0"/>
    <s v="GWND_WIND"/>
    <x v="5"/>
    <x v="5"/>
    <n v="0.426831332048837"/>
    <n v="25.965572699637601"/>
    <n v="93.476061718695306"/>
  </r>
  <r>
    <x v="0"/>
    <x v="0"/>
    <x v="0"/>
    <x v="7"/>
    <x v="12"/>
    <s v="NO5_A1"/>
    <x v="0"/>
    <x v="0"/>
    <s v="GWND_WIND"/>
    <x v="5"/>
    <x v="6"/>
    <n v="0.71765786879249704"/>
    <n v="43.657520351543504"/>
    <n v="157.16707326555701"/>
  </r>
  <r>
    <x v="0"/>
    <x v="0"/>
    <x v="0"/>
    <x v="7"/>
    <x v="12"/>
    <s v="NO5_A1"/>
    <x v="0"/>
    <x v="0"/>
    <s v="GWND_WIND"/>
    <x v="5"/>
    <x v="7"/>
    <n v="0.40913367614223101"/>
    <n v="24.888965298652401"/>
    <n v="89.600275075148602"/>
  </r>
  <r>
    <x v="0"/>
    <x v="0"/>
    <x v="0"/>
    <x v="7"/>
    <x v="12"/>
    <s v="NO5_A1"/>
    <x v="0"/>
    <x v="0"/>
    <s v="GWND_WIND"/>
    <x v="5"/>
    <x v="8"/>
    <n v="0.40473784033794602"/>
    <n v="24.6215519538917"/>
    <n v="88.637587034010295"/>
  </r>
  <r>
    <x v="0"/>
    <x v="0"/>
    <x v="0"/>
    <x v="7"/>
    <x v="12"/>
    <s v="NO5_A1"/>
    <x v="0"/>
    <x v="0"/>
    <s v="GWND_WIND"/>
    <x v="5"/>
    <x v="9"/>
    <n v="0.31630114542075799"/>
    <n v="19.241653013096101"/>
    <n v="69.269950847145907"/>
  </r>
  <r>
    <x v="0"/>
    <x v="0"/>
    <x v="0"/>
    <x v="7"/>
    <x v="12"/>
    <s v="NO5_A1"/>
    <x v="0"/>
    <x v="0"/>
    <s v="GWND_WIND"/>
    <x v="5"/>
    <x v="10"/>
    <n v="0.411010411547858"/>
    <n v="25.0031333691614"/>
    <n v="90.011280128980999"/>
  </r>
  <r>
    <x v="0"/>
    <x v="0"/>
    <x v="0"/>
    <x v="7"/>
    <x v="12"/>
    <s v="NO5_A1"/>
    <x v="0"/>
    <x v="0"/>
    <s v="GWND_WIND"/>
    <x v="5"/>
    <x v="11"/>
    <n v="0.13839528322751199"/>
    <n v="8.4190463963403008"/>
    <n v="30.308567026825099"/>
  </r>
  <r>
    <x v="0"/>
    <x v="0"/>
    <x v="0"/>
    <x v="7"/>
    <x v="12"/>
    <s v="NO5_A1"/>
    <x v="0"/>
    <x v="0"/>
    <s v="GWND_WIND"/>
    <x v="6"/>
    <x v="0"/>
    <n v="1.71705135291002"/>
    <n v="104.453957302026"/>
    <n v="376.03424628729402"/>
  </r>
  <r>
    <x v="0"/>
    <x v="0"/>
    <x v="0"/>
    <x v="7"/>
    <x v="12"/>
    <s v="NO5_A1"/>
    <x v="0"/>
    <x v="0"/>
    <s v="GWND_WIND"/>
    <x v="6"/>
    <x v="1"/>
    <n v="1.7788035991041899"/>
    <n v="108.21055227883799"/>
    <n v="389.55798820381699"/>
  </r>
  <r>
    <x v="0"/>
    <x v="0"/>
    <x v="0"/>
    <x v="7"/>
    <x v="12"/>
    <s v="NO5_A1"/>
    <x v="0"/>
    <x v="0"/>
    <s v="GWND_WIND"/>
    <x v="6"/>
    <x v="2"/>
    <n v="1.7746672361315099"/>
    <n v="107.95892353133399"/>
    <n v="388.65212471280199"/>
  </r>
  <r>
    <x v="0"/>
    <x v="0"/>
    <x v="0"/>
    <x v="7"/>
    <x v="12"/>
    <s v="NO5_A1"/>
    <x v="0"/>
    <x v="0"/>
    <s v="GWND_WIND"/>
    <x v="6"/>
    <x v="3"/>
    <n v="1.8059641170071701"/>
    <n v="109.862817117936"/>
    <n v="395.50614162456901"/>
  </r>
  <r>
    <x v="0"/>
    <x v="0"/>
    <x v="0"/>
    <x v="7"/>
    <x v="12"/>
    <s v="NO5_A1"/>
    <x v="0"/>
    <x v="0"/>
    <s v="GWND_WIND"/>
    <x v="6"/>
    <x v="4"/>
    <n v="1.77935265424275"/>
    <n v="108.243953133101"/>
    <n v="389.67823127916301"/>
  </r>
  <r>
    <x v="0"/>
    <x v="0"/>
    <x v="0"/>
    <x v="7"/>
    <x v="12"/>
    <s v="NO5_A1"/>
    <x v="0"/>
    <x v="0"/>
    <s v="GWND_WIND"/>
    <x v="6"/>
    <x v="5"/>
    <n v="1.8555672636990701"/>
    <n v="112.880341875027"/>
    <n v="406.36923075009599"/>
  </r>
  <r>
    <x v="0"/>
    <x v="0"/>
    <x v="0"/>
    <x v="7"/>
    <x v="12"/>
    <s v="NO5_A1"/>
    <x v="0"/>
    <x v="0"/>
    <s v="GWND_WIND"/>
    <x v="6"/>
    <x v="6"/>
    <n v="1.8162006006456901"/>
    <n v="110.485536539279"/>
    <n v="397.74793154140599"/>
  </r>
  <r>
    <x v="0"/>
    <x v="0"/>
    <x v="0"/>
    <x v="7"/>
    <x v="12"/>
    <s v="NO5_A1"/>
    <x v="0"/>
    <x v="0"/>
    <s v="GWND_WIND"/>
    <x v="6"/>
    <x v="7"/>
    <n v="0.69984088195053296"/>
    <n v="42.573653651990703"/>
    <n v="153.26515314716701"/>
  </r>
  <r>
    <x v="0"/>
    <x v="0"/>
    <x v="0"/>
    <x v="7"/>
    <x v="12"/>
    <s v="NO5_A1"/>
    <x v="0"/>
    <x v="0"/>
    <s v="GWND_WIND"/>
    <x v="6"/>
    <x v="8"/>
    <n v="0.304242226749047"/>
    <n v="18.508068793900399"/>
    <n v="66.629047658041301"/>
  </r>
  <r>
    <x v="0"/>
    <x v="0"/>
    <x v="0"/>
    <x v="7"/>
    <x v="12"/>
    <s v="NO5_A1"/>
    <x v="0"/>
    <x v="0"/>
    <s v="GWND_WIND"/>
    <x v="6"/>
    <x v="9"/>
    <n v="0.69338402304007896"/>
    <n v="42.180861401604801"/>
    <n v="151.851101045777"/>
  </r>
  <r>
    <x v="0"/>
    <x v="0"/>
    <x v="0"/>
    <x v="7"/>
    <x v="12"/>
    <s v="NO5_A1"/>
    <x v="0"/>
    <x v="0"/>
    <s v="GWND_WIND"/>
    <x v="6"/>
    <x v="10"/>
    <n v="0.75268928398094104"/>
    <n v="45.788598108840603"/>
    <n v="164.83895319182599"/>
  </r>
  <r>
    <x v="0"/>
    <x v="0"/>
    <x v="0"/>
    <x v="7"/>
    <x v="12"/>
    <s v="NO5_A1"/>
    <x v="0"/>
    <x v="0"/>
    <s v="GWND_WIND"/>
    <x v="6"/>
    <x v="11"/>
    <n v="1.15836597908674"/>
    <n v="70.467263727776896"/>
    <n v="253.68214941999699"/>
  </r>
  <r>
    <x v="0"/>
    <x v="0"/>
    <x v="0"/>
    <x v="7"/>
    <x v="12"/>
    <s v="NO5_A1"/>
    <x v="0"/>
    <x v="0"/>
    <s v="GWND_WIND"/>
    <x v="7"/>
    <x v="0"/>
    <n v="1.5871649063109099"/>
    <n v="96.552531800580496"/>
    <n v="347.58911448209"/>
  </r>
  <r>
    <x v="0"/>
    <x v="0"/>
    <x v="0"/>
    <x v="7"/>
    <x v="12"/>
    <s v="NO5_A1"/>
    <x v="0"/>
    <x v="0"/>
    <s v="GWND_WIND"/>
    <x v="7"/>
    <x v="1"/>
    <n v="1.1325442996681601"/>
    <n v="68.896444896479494"/>
    <n v="248.02720162732601"/>
  </r>
  <r>
    <x v="0"/>
    <x v="0"/>
    <x v="0"/>
    <x v="7"/>
    <x v="12"/>
    <s v="NO5_A1"/>
    <x v="0"/>
    <x v="0"/>
    <s v="GWND_WIND"/>
    <x v="7"/>
    <x v="2"/>
    <n v="1.6365378040737399"/>
    <n v="99.556049747819003"/>
    <n v="358.40177909214901"/>
  </r>
  <r>
    <x v="0"/>
    <x v="0"/>
    <x v="0"/>
    <x v="7"/>
    <x v="12"/>
    <s v="NO5_A1"/>
    <x v="0"/>
    <x v="0"/>
    <s v="GWND_WIND"/>
    <x v="7"/>
    <x v="3"/>
    <n v="1.5463953483403099"/>
    <n v="94.072383690702097"/>
    <n v="338.66058128652702"/>
  </r>
  <r>
    <x v="0"/>
    <x v="0"/>
    <x v="0"/>
    <x v="7"/>
    <x v="12"/>
    <s v="NO5_A1"/>
    <x v="0"/>
    <x v="0"/>
    <s v="GWND_WIND"/>
    <x v="7"/>
    <x v="4"/>
    <n v="1.72774737503616"/>
    <n v="105.104631981366"/>
    <n v="378.37667513291802"/>
  </r>
  <r>
    <x v="0"/>
    <x v="0"/>
    <x v="0"/>
    <x v="7"/>
    <x v="12"/>
    <s v="NO5_A1"/>
    <x v="0"/>
    <x v="0"/>
    <s v="GWND_WIND"/>
    <x v="7"/>
    <x v="5"/>
    <n v="1.74004798128566"/>
    <n v="105.85291886154501"/>
    <n v="381.07050790156097"/>
  </r>
  <r>
    <x v="0"/>
    <x v="0"/>
    <x v="0"/>
    <x v="7"/>
    <x v="12"/>
    <s v="NO5_A1"/>
    <x v="0"/>
    <x v="0"/>
    <s v="GWND_WIND"/>
    <x v="7"/>
    <x v="6"/>
    <n v="1.8848863653121399"/>
    <n v="114.663920556489"/>
    <n v="412.79011400335901"/>
  </r>
  <r>
    <x v="0"/>
    <x v="0"/>
    <x v="0"/>
    <x v="7"/>
    <x v="12"/>
    <s v="NO5_A1"/>
    <x v="0"/>
    <x v="0"/>
    <s v="GWND_WIND"/>
    <x v="7"/>
    <x v="7"/>
    <n v="1.8925295965892099"/>
    <n v="115.12888379251"/>
    <n v="414.463981653036"/>
  </r>
  <r>
    <x v="0"/>
    <x v="0"/>
    <x v="0"/>
    <x v="7"/>
    <x v="12"/>
    <s v="NO5_A1"/>
    <x v="0"/>
    <x v="0"/>
    <s v="GWND_WIND"/>
    <x v="7"/>
    <x v="8"/>
    <n v="1.8234261367501401"/>
    <n v="110.92508998563299"/>
    <n v="399.33032394828001"/>
  </r>
  <r>
    <x v="0"/>
    <x v="0"/>
    <x v="0"/>
    <x v="7"/>
    <x v="12"/>
    <s v="NO5_A1"/>
    <x v="0"/>
    <x v="0"/>
    <s v="GWND_WIND"/>
    <x v="7"/>
    <x v="9"/>
    <n v="0.221256675227743"/>
    <n v="13.4597810763544"/>
    <n v="48.455211874875701"/>
  </r>
  <r>
    <x v="0"/>
    <x v="0"/>
    <x v="0"/>
    <x v="7"/>
    <x v="12"/>
    <s v="NO5_A1"/>
    <x v="0"/>
    <x v="0"/>
    <s v="GWND_WIND"/>
    <x v="7"/>
    <x v="10"/>
    <n v="0.221393201035048"/>
    <n v="13.4680863962988"/>
    <n v="48.485111026675497"/>
  </r>
  <r>
    <x v="0"/>
    <x v="0"/>
    <x v="0"/>
    <x v="7"/>
    <x v="12"/>
    <s v="NO5_A1"/>
    <x v="0"/>
    <x v="0"/>
    <s v="GWND_WIND"/>
    <x v="7"/>
    <x v="11"/>
    <n v="0.221393201035048"/>
    <n v="13.4680863962988"/>
    <n v="48.485111026675497"/>
  </r>
  <r>
    <x v="0"/>
    <x v="0"/>
    <x v="0"/>
    <x v="7"/>
    <x v="12"/>
    <s v="NO5_A1"/>
    <x v="0"/>
    <x v="0"/>
    <s v="GWND_WIND"/>
    <x v="8"/>
    <x v="0"/>
    <n v="0.220719427726565"/>
    <n v="13.4270985200327"/>
    <n v="48.337554672117697"/>
  </r>
  <r>
    <x v="0"/>
    <x v="0"/>
    <x v="0"/>
    <x v="7"/>
    <x v="12"/>
    <s v="NO5_A1"/>
    <x v="0"/>
    <x v="0"/>
    <s v="GWND_WIND"/>
    <x v="8"/>
    <x v="1"/>
    <n v="0.216515170838909"/>
    <n v="13.171339559367"/>
    <n v="47.4168224137211"/>
  </r>
  <r>
    <x v="0"/>
    <x v="0"/>
    <x v="0"/>
    <x v="7"/>
    <x v="12"/>
    <s v="NO5_A1"/>
    <x v="0"/>
    <x v="0"/>
    <s v="GWND_WIND"/>
    <x v="8"/>
    <x v="2"/>
    <n v="1.7645975353711001"/>
    <n v="107.346350068409"/>
    <n v="386.44686024627202"/>
  </r>
  <r>
    <x v="0"/>
    <x v="0"/>
    <x v="0"/>
    <x v="7"/>
    <x v="12"/>
    <s v="NO5_A1"/>
    <x v="0"/>
    <x v="0"/>
    <s v="GWND_WIND"/>
    <x v="8"/>
    <x v="3"/>
    <n v="1.8177038604807201"/>
    <n v="110.57698484591"/>
    <n v="398.07714544527698"/>
  </r>
  <r>
    <x v="0"/>
    <x v="0"/>
    <x v="0"/>
    <x v="7"/>
    <x v="12"/>
    <s v="NO5_A1"/>
    <x v="0"/>
    <x v="0"/>
    <s v="GWND_WIND"/>
    <x v="8"/>
    <x v="4"/>
    <n v="1.79502212703468"/>
    <n v="109.19717939461"/>
    <n v="393.10984582059399"/>
  </r>
  <r>
    <x v="0"/>
    <x v="0"/>
    <x v="0"/>
    <x v="7"/>
    <x v="12"/>
    <s v="NO5_A1"/>
    <x v="0"/>
    <x v="0"/>
    <s v="GWND_WIND"/>
    <x v="8"/>
    <x v="5"/>
    <n v="1.8609353108468301"/>
    <n v="113.206898076516"/>
    <n v="407.54483307545598"/>
  </r>
  <r>
    <x v="0"/>
    <x v="0"/>
    <x v="0"/>
    <x v="7"/>
    <x v="12"/>
    <s v="NO5_A1"/>
    <x v="0"/>
    <x v="0"/>
    <s v="GWND_WIND"/>
    <x v="8"/>
    <x v="6"/>
    <n v="1.79601618250732"/>
    <n v="109.257651102529"/>
    <n v="393.327543969104"/>
  </r>
  <r>
    <x v="0"/>
    <x v="0"/>
    <x v="0"/>
    <x v="7"/>
    <x v="12"/>
    <s v="NO5_A1"/>
    <x v="0"/>
    <x v="0"/>
    <s v="GWND_WIND"/>
    <x v="8"/>
    <x v="7"/>
    <n v="1.3675376850427901"/>
    <n v="83.191875840102895"/>
    <n v="299.49075302437001"/>
  </r>
  <r>
    <x v="0"/>
    <x v="0"/>
    <x v="0"/>
    <x v="7"/>
    <x v="12"/>
    <s v="NO5_A1"/>
    <x v="0"/>
    <x v="0"/>
    <s v="GWND_WIND"/>
    <x v="8"/>
    <x v="8"/>
    <n v="1.2622039658316699"/>
    <n v="76.784074588093205"/>
    <n v="276.42266851713498"/>
  </r>
  <r>
    <x v="0"/>
    <x v="0"/>
    <x v="0"/>
    <x v="7"/>
    <x v="12"/>
    <s v="NO5_A1"/>
    <x v="0"/>
    <x v="0"/>
    <s v="GWND_WIND"/>
    <x v="8"/>
    <x v="9"/>
    <n v="1.0691741857585599"/>
    <n v="65.041429633645606"/>
    <n v="234.14914668112399"/>
  </r>
  <r>
    <x v="0"/>
    <x v="0"/>
    <x v="0"/>
    <x v="7"/>
    <x v="12"/>
    <s v="NO5_A1"/>
    <x v="0"/>
    <x v="0"/>
    <s v="GWND_WIND"/>
    <x v="8"/>
    <x v="10"/>
    <n v="1.03646555423764"/>
    <n v="63.051654549456401"/>
    <n v="226.985956378043"/>
  </r>
  <r>
    <x v="0"/>
    <x v="0"/>
    <x v="0"/>
    <x v="7"/>
    <x v="12"/>
    <s v="NO5_A1"/>
    <x v="0"/>
    <x v="0"/>
    <s v="GWND_WIND"/>
    <x v="8"/>
    <x v="11"/>
    <n v="1.30705380049735"/>
    <n v="79.512439530255406"/>
    <n v="286.24478230891901"/>
  </r>
  <r>
    <x v="0"/>
    <x v="0"/>
    <x v="0"/>
    <x v="7"/>
    <x v="12"/>
    <s v="NO5_A1"/>
    <x v="0"/>
    <x v="0"/>
    <s v="GWND_WIND"/>
    <x v="9"/>
    <x v="0"/>
    <n v="0.67452383143483796"/>
    <n v="41.033533078952701"/>
    <n v="147.72071908423001"/>
  </r>
  <r>
    <x v="0"/>
    <x v="0"/>
    <x v="0"/>
    <x v="7"/>
    <x v="12"/>
    <s v="NO5_A1"/>
    <x v="0"/>
    <x v="0"/>
    <s v="GWND_WIND"/>
    <x v="9"/>
    <x v="1"/>
    <n v="0.60428019661043797"/>
    <n v="36.760378627134997"/>
    <n v="132.33736305768599"/>
  </r>
  <r>
    <x v="0"/>
    <x v="0"/>
    <x v="0"/>
    <x v="7"/>
    <x v="12"/>
    <s v="NO5_A1"/>
    <x v="0"/>
    <x v="0"/>
    <s v="GWND_WIND"/>
    <x v="9"/>
    <x v="2"/>
    <n v="0.54809871993844805"/>
    <n v="33.342672129588898"/>
    <n v="120.03361966652"/>
  </r>
  <r>
    <x v="0"/>
    <x v="0"/>
    <x v="0"/>
    <x v="7"/>
    <x v="12"/>
    <s v="NO5_A1"/>
    <x v="0"/>
    <x v="0"/>
    <s v="GWND_WIND"/>
    <x v="9"/>
    <x v="3"/>
    <n v="0.70045487909473703"/>
    <n v="42.611005144929798"/>
    <n v="153.39961852174699"/>
  </r>
  <r>
    <x v="0"/>
    <x v="0"/>
    <x v="0"/>
    <x v="7"/>
    <x v="12"/>
    <s v="NO5_A1"/>
    <x v="0"/>
    <x v="0"/>
    <s v="GWND_WIND"/>
    <x v="9"/>
    <x v="4"/>
    <n v="0.70390123325751497"/>
    <n v="42.820658356498903"/>
    <n v="154.154370083396"/>
  </r>
  <r>
    <x v="0"/>
    <x v="0"/>
    <x v="0"/>
    <x v="7"/>
    <x v="12"/>
    <s v="NO5_A1"/>
    <x v="0"/>
    <x v="0"/>
    <s v="GWND_WIND"/>
    <x v="9"/>
    <x v="5"/>
    <n v="0.56919601604241399"/>
    <n v="34.626090975913499"/>
    <n v="124.65392751328901"/>
  </r>
  <r>
    <x v="0"/>
    <x v="0"/>
    <x v="0"/>
    <x v="7"/>
    <x v="12"/>
    <s v="NO5_A1"/>
    <x v="0"/>
    <x v="0"/>
    <s v="GWND_WIND"/>
    <x v="9"/>
    <x v="6"/>
    <n v="0.450023745811932"/>
    <n v="27.3764445368925"/>
    <n v="98.555200332813101"/>
  </r>
  <r>
    <x v="0"/>
    <x v="0"/>
    <x v="0"/>
    <x v="7"/>
    <x v="12"/>
    <s v="NO5_A1"/>
    <x v="0"/>
    <x v="0"/>
    <s v="GWND_WIND"/>
    <x v="9"/>
    <x v="7"/>
    <n v="0.55517297068885396"/>
    <n v="33.773022383571998"/>
    <n v="121.582880580859"/>
  </r>
  <r>
    <x v="0"/>
    <x v="0"/>
    <x v="0"/>
    <x v="7"/>
    <x v="12"/>
    <s v="NO5_A1"/>
    <x v="0"/>
    <x v="0"/>
    <s v="GWND_WIND"/>
    <x v="9"/>
    <x v="8"/>
    <n v="1.1442869950510499"/>
    <n v="69.610792198939194"/>
    <n v="250.59885191618099"/>
  </r>
  <r>
    <x v="0"/>
    <x v="0"/>
    <x v="0"/>
    <x v="7"/>
    <x v="12"/>
    <s v="NO5_A1"/>
    <x v="0"/>
    <x v="0"/>
    <s v="GWND_WIND"/>
    <x v="9"/>
    <x v="9"/>
    <n v="1.5437386299278899"/>
    <n v="93.910766653946496"/>
    <n v="338.07875995420699"/>
  </r>
  <r>
    <x v="0"/>
    <x v="0"/>
    <x v="0"/>
    <x v="7"/>
    <x v="12"/>
    <s v="NO5_A1"/>
    <x v="0"/>
    <x v="0"/>
    <s v="GWND_WIND"/>
    <x v="9"/>
    <x v="10"/>
    <n v="1.5330283648391501"/>
    <n v="93.259225527714904"/>
    <n v="335.73321189977298"/>
  </r>
  <r>
    <x v="0"/>
    <x v="0"/>
    <x v="0"/>
    <x v="7"/>
    <x v="12"/>
    <s v="NO5_A1"/>
    <x v="0"/>
    <x v="0"/>
    <s v="GWND_WIND"/>
    <x v="9"/>
    <x v="11"/>
    <n v="1.5257714646978899"/>
    <n v="92.817764102454902"/>
    <n v="334.14395076883801"/>
  </r>
  <r>
    <x v="0"/>
    <x v="0"/>
    <x v="0"/>
    <x v="7"/>
    <x v="12"/>
    <s v="NO5_A1"/>
    <x v="0"/>
    <x v="0"/>
    <s v="GWND_WIND"/>
    <x v="10"/>
    <x v="0"/>
    <n v="1.09721289669231"/>
    <n v="66.747117882115504"/>
    <n v="240.289624375616"/>
  </r>
  <r>
    <x v="0"/>
    <x v="0"/>
    <x v="0"/>
    <x v="7"/>
    <x v="12"/>
    <s v="NO5_A1"/>
    <x v="0"/>
    <x v="0"/>
    <s v="GWND_WIND"/>
    <x v="10"/>
    <x v="1"/>
    <n v="1.23086502024782"/>
    <n v="74.877622065075798"/>
    <n v="269.55943943427297"/>
  </r>
  <r>
    <x v="0"/>
    <x v="0"/>
    <x v="0"/>
    <x v="7"/>
    <x v="12"/>
    <s v="NO5_A1"/>
    <x v="0"/>
    <x v="0"/>
    <s v="GWND_WIND"/>
    <x v="10"/>
    <x v="2"/>
    <n v="1.13975950408989"/>
    <n v="69.335369832134901"/>
    <n v="249.60733139568501"/>
  </r>
  <r>
    <x v="0"/>
    <x v="0"/>
    <x v="0"/>
    <x v="7"/>
    <x v="12"/>
    <s v="NO5_A1"/>
    <x v="0"/>
    <x v="0"/>
    <s v="GWND_WIND"/>
    <x v="10"/>
    <x v="3"/>
    <n v="0.61217138827266404"/>
    <n v="37.2404261199204"/>
    <n v="134.06553403171301"/>
  </r>
  <r>
    <x v="0"/>
    <x v="0"/>
    <x v="0"/>
    <x v="7"/>
    <x v="12"/>
    <s v="NO5_A1"/>
    <x v="0"/>
    <x v="0"/>
    <s v="GWND_WIND"/>
    <x v="10"/>
    <x v="4"/>
    <n v="0.77217299263802996"/>
    <n v="46.973857052146798"/>
    <n v="169.10588538772899"/>
  </r>
  <r>
    <x v="0"/>
    <x v="0"/>
    <x v="0"/>
    <x v="7"/>
    <x v="12"/>
    <s v="NO5_A1"/>
    <x v="0"/>
    <x v="0"/>
    <s v="GWND_WIND"/>
    <x v="10"/>
    <x v="5"/>
    <n v="0.90224445015546795"/>
    <n v="54.886537384457597"/>
    <n v="197.591534584047"/>
  </r>
  <r>
    <x v="0"/>
    <x v="0"/>
    <x v="0"/>
    <x v="7"/>
    <x v="12"/>
    <s v="NO5_A1"/>
    <x v="0"/>
    <x v="0"/>
    <s v="GWND_WIND"/>
    <x v="10"/>
    <x v="6"/>
    <n v="0.98664396625404904"/>
    <n v="60.020841280454597"/>
    <n v="216.075028609637"/>
  </r>
  <r>
    <x v="0"/>
    <x v="0"/>
    <x v="0"/>
    <x v="7"/>
    <x v="12"/>
    <s v="NO5_A1"/>
    <x v="0"/>
    <x v="0"/>
    <s v="GWND_WIND"/>
    <x v="10"/>
    <x v="7"/>
    <n v="0.83768028891495405"/>
    <n v="50.958884242326398"/>
    <n v="183.451983272375"/>
  </r>
  <r>
    <x v="0"/>
    <x v="0"/>
    <x v="0"/>
    <x v="7"/>
    <x v="12"/>
    <s v="NO5_A1"/>
    <x v="0"/>
    <x v="0"/>
    <s v="GWND_WIND"/>
    <x v="10"/>
    <x v="8"/>
    <n v="0.779127691059878"/>
    <n v="47.3969345394759"/>
    <n v="170.62896434211299"/>
  </r>
  <r>
    <x v="0"/>
    <x v="0"/>
    <x v="0"/>
    <x v="7"/>
    <x v="12"/>
    <s v="NO5_A1"/>
    <x v="0"/>
    <x v="0"/>
    <s v="GWND_WIND"/>
    <x v="10"/>
    <x v="9"/>
    <n v="0.75090005792790904"/>
    <n v="45.679753523947802"/>
    <n v="164.44711268621199"/>
  </r>
  <r>
    <x v="0"/>
    <x v="0"/>
    <x v="0"/>
    <x v="7"/>
    <x v="12"/>
    <s v="NO5_A1"/>
    <x v="0"/>
    <x v="0"/>
    <s v="GWND_WIND"/>
    <x v="10"/>
    <x v="10"/>
    <n v="0.82401944283828699"/>
    <n v="50.127849439329097"/>
    <n v="180.46025798158499"/>
  </r>
  <r>
    <x v="0"/>
    <x v="0"/>
    <x v="0"/>
    <x v="7"/>
    <x v="12"/>
    <s v="NO5_A1"/>
    <x v="0"/>
    <x v="0"/>
    <s v="GWND_WIND"/>
    <x v="10"/>
    <x v="11"/>
    <n v="1.2701202487233501"/>
    <n v="77.265648464003505"/>
    <n v="278.15633447041301"/>
  </r>
  <r>
    <x v="0"/>
    <x v="0"/>
    <x v="0"/>
    <x v="7"/>
    <x v="12"/>
    <s v="NO5_A1"/>
    <x v="0"/>
    <x v="0"/>
    <s v="GWND_WIND"/>
    <x v="11"/>
    <x v="0"/>
    <n v="1.85642331740974"/>
    <n v="112.93241847575899"/>
    <n v="406.55670651273198"/>
  </r>
  <r>
    <x v="0"/>
    <x v="0"/>
    <x v="0"/>
    <x v="7"/>
    <x v="12"/>
    <s v="NO5_A1"/>
    <x v="0"/>
    <x v="0"/>
    <s v="GWND_WIND"/>
    <x v="11"/>
    <x v="1"/>
    <n v="1.84008449917335"/>
    <n v="111.93847369971201"/>
    <n v="402.97850531896398"/>
  </r>
  <r>
    <x v="0"/>
    <x v="0"/>
    <x v="0"/>
    <x v="7"/>
    <x v="12"/>
    <s v="NO5_A1"/>
    <x v="0"/>
    <x v="0"/>
    <s v="GWND_WIND"/>
    <x v="11"/>
    <x v="2"/>
    <n v="1.79945589487407"/>
    <n v="109.46690027150601"/>
    <n v="394.08084097742199"/>
  </r>
  <r>
    <x v="0"/>
    <x v="0"/>
    <x v="0"/>
    <x v="7"/>
    <x v="12"/>
    <s v="NO5_A1"/>
    <x v="0"/>
    <x v="0"/>
    <s v="GWND_WIND"/>
    <x v="11"/>
    <x v="3"/>
    <n v="1.77832391383528"/>
    <n v="108.18137142497901"/>
    <n v="389.452937129926"/>
  </r>
  <r>
    <x v="0"/>
    <x v="0"/>
    <x v="0"/>
    <x v="7"/>
    <x v="12"/>
    <s v="NO5_A1"/>
    <x v="0"/>
    <x v="0"/>
    <s v="GWND_WIND"/>
    <x v="11"/>
    <x v="4"/>
    <n v="1.713311062374"/>
    <n v="104.22642296108501"/>
    <n v="375.215122659906"/>
  </r>
  <r>
    <x v="0"/>
    <x v="0"/>
    <x v="0"/>
    <x v="7"/>
    <x v="12"/>
    <s v="NO5_A1"/>
    <x v="0"/>
    <x v="0"/>
    <s v="GWND_WIND"/>
    <x v="11"/>
    <x v="5"/>
    <n v="1.3809400914561101"/>
    <n v="84.007188896913505"/>
    <n v="302.425880028888"/>
  </r>
  <r>
    <x v="0"/>
    <x v="0"/>
    <x v="0"/>
    <x v="7"/>
    <x v="12"/>
    <s v="NO5_A1"/>
    <x v="0"/>
    <x v="0"/>
    <s v="GWND_WIND"/>
    <x v="11"/>
    <x v="6"/>
    <n v="1.38435028472939"/>
    <n v="84.2146423210378"/>
    <n v="303.172712355736"/>
  </r>
  <r>
    <x v="0"/>
    <x v="0"/>
    <x v="0"/>
    <x v="7"/>
    <x v="12"/>
    <s v="NO5_A1"/>
    <x v="0"/>
    <x v="0"/>
    <s v="GWND_WIND"/>
    <x v="11"/>
    <x v="7"/>
    <n v="1.41152408622443"/>
    <n v="85.867715245319502"/>
    <n v="309.12377488315002"/>
  </r>
  <r>
    <x v="0"/>
    <x v="0"/>
    <x v="0"/>
    <x v="7"/>
    <x v="12"/>
    <s v="NO5_A1"/>
    <x v="0"/>
    <x v="0"/>
    <s v="GWND_WIND"/>
    <x v="11"/>
    <x v="8"/>
    <n v="1.08800884334795"/>
    <n v="66.187204636999994"/>
    <n v="238.2739366932"/>
  </r>
  <r>
    <x v="0"/>
    <x v="0"/>
    <x v="0"/>
    <x v="7"/>
    <x v="12"/>
    <s v="NO5_A1"/>
    <x v="0"/>
    <x v="0"/>
    <s v="GWND_WIND"/>
    <x v="11"/>
    <x v="9"/>
    <n v="1.0896973354945101"/>
    <n v="66.289921242582494"/>
    <n v="238.64371647329699"/>
  </r>
  <r>
    <x v="0"/>
    <x v="0"/>
    <x v="0"/>
    <x v="7"/>
    <x v="12"/>
    <s v="NO5_A1"/>
    <x v="0"/>
    <x v="0"/>
    <s v="GWND_WIND"/>
    <x v="11"/>
    <x v="10"/>
    <n v="0.95482976326531299"/>
    <n v="58.085477265306501"/>
    <n v="209.10771815510299"/>
  </r>
  <r>
    <x v="0"/>
    <x v="0"/>
    <x v="0"/>
    <x v="7"/>
    <x v="12"/>
    <s v="NO5_A1"/>
    <x v="0"/>
    <x v="0"/>
    <s v="GWND_WIND"/>
    <x v="11"/>
    <x v="11"/>
    <n v="0.81106513626385701"/>
    <n v="49.339795789384603"/>
    <n v="177.62326484178499"/>
  </r>
  <r>
    <x v="0"/>
    <x v="0"/>
    <x v="0"/>
    <x v="8"/>
    <x v="13"/>
    <s v="PL_A"/>
    <x v="11"/>
    <x v="5"/>
    <s v="GCND-CO-038"/>
    <x v="3"/>
    <x v="11"/>
    <n v="16.425950212136701"/>
    <n v="999.24530457165201"/>
    <n v="3597.2830964579498"/>
  </r>
  <r>
    <x v="0"/>
    <x v="0"/>
    <x v="0"/>
    <x v="8"/>
    <x v="13"/>
    <s v="PL_A"/>
    <x v="11"/>
    <x v="5"/>
    <s v="GCND-CO-038"/>
    <x v="6"/>
    <x v="10"/>
    <n v="267.481108510046"/>
    <n v="16271.7674343612"/>
    <n v="58578.362763700199"/>
  </r>
  <r>
    <x v="0"/>
    <x v="0"/>
    <x v="0"/>
    <x v="8"/>
    <x v="13"/>
    <s v="PL_A"/>
    <x v="11"/>
    <x v="5"/>
    <s v="GCND-CO-038"/>
    <x v="6"/>
    <x v="11"/>
    <n v="505.76717473500503"/>
    <n v="30767.503129712801"/>
    <n v="110763.011266966"/>
  </r>
  <r>
    <x v="0"/>
    <x v="0"/>
    <x v="0"/>
    <x v="8"/>
    <x v="13"/>
    <s v="PL_A"/>
    <x v="11"/>
    <x v="5"/>
    <s v="GCND-CO-038"/>
    <x v="7"/>
    <x v="9"/>
    <n v="238.89182875768799"/>
    <n v="14532.5862494261"/>
    <n v="52317.310497933802"/>
  </r>
  <r>
    <x v="0"/>
    <x v="0"/>
    <x v="0"/>
    <x v="8"/>
    <x v="13"/>
    <s v="PL_A"/>
    <x v="11"/>
    <x v="5"/>
    <s v="GCND-CO-038"/>
    <x v="7"/>
    <x v="10"/>
    <n v="369.270296771017"/>
    <n v="22463.943053570201"/>
    <n v="80870.194992852703"/>
  </r>
  <r>
    <x v="0"/>
    <x v="0"/>
    <x v="0"/>
    <x v="8"/>
    <x v="13"/>
    <s v="PL_A"/>
    <x v="11"/>
    <x v="5"/>
    <s v="GCND-CO-038"/>
    <x v="7"/>
    <x v="11"/>
    <n v="708.31909853509205"/>
    <n v="43089.411827551397"/>
    <n v="155121.88257918501"/>
  </r>
  <r>
    <x v="0"/>
    <x v="0"/>
    <x v="0"/>
    <x v="8"/>
    <x v="13"/>
    <s v="PL_A"/>
    <x v="11"/>
    <x v="5"/>
    <s v="GCND-CO-038"/>
    <x v="8"/>
    <x v="8"/>
    <n v="290.95831556686102"/>
    <n v="17699.964196984001"/>
    <n v="63719.871109142499"/>
  </r>
  <r>
    <x v="0"/>
    <x v="0"/>
    <x v="0"/>
    <x v="8"/>
    <x v="13"/>
    <s v="PL_A"/>
    <x v="11"/>
    <x v="5"/>
    <s v="GCND-CO-038"/>
    <x v="8"/>
    <x v="9"/>
    <n v="550.63144181586597"/>
    <n v="33496.746043798499"/>
    <n v="120588.285757675"/>
  </r>
  <r>
    <x v="0"/>
    <x v="0"/>
    <x v="0"/>
    <x v="8"/>
    <x v="13"/>
    <s v="PL_A"/>
    <x v="11"/>
    <x v="5"/>
    <s v="GCND-CO-038"/>
    <x v="8"/>
    <x v="10"/>
    <n v="889.74420638779202"/>
    <n v="54126.105888590697"/>
    <n v="194853.98119892599"/>
  </r>
  <r>
    <x v="0"/>
    <x v="0"/>
    <x v="0"/>
    <x v="8"/>
    <x v="13"/>
    <s v="PL_A"/>
    <x v="11"/>
    <x v="5"/>
    <s v="GCND-CO-038"/>
    <x v="8"/>
    <x v="11"/>
    <n v="882.10031290395295"/>
    <n v="53661.102368323802"/>
    <n v="193179.96852596599"/>
  </r>
  <r>
    <x v="0"/>
    <x v="0"/>
    <x v="0"/>
    <x v="8"/>
    <x v="13"/>
    <s v="PL_A"/>
    <x v="11"/>
    <x v="5"/>
    <s v="GCND-CO-039"/>
    <x v="0"/>
    <x v="0"/>
    <n v="494.27158884114601"/>
    <n v="30068.188321169699"/>
    <n v="108245.47795621101"/>
  </r>
  <r>
    <x v="0"/>
    <x v="0"/>
    <x v="0"/>
    <x v="8"/>
    <x v="13"/>
    <s v="PL_A"/>
    <x v="11"/>
    <x v="5"/>
    <s v="GCND-CO-039"/>
    <x v="1"/>
    <x v="4"/>
    <n v="190.18229601480201"/>
    <n v="11569.4230075671"/>
    <n v="41649.922827241702"/>
  </r>
  <r>
    <x v="0"/>
    <x v="0"/>
    <x v="0"/>
    <x v="8"/>
    <x v="13"/>
    <s v="PL_A"/>
    <x v="11"/>
    <x v="5"/>
    <s v="GCND-CO-039"/>
    <x v="1"/>
    <x v="5"/>
    <n v="1851.4161990228699"/>
    <n v="112627.81877389101"/>
    <n v="405460.14758600801"/>
  </r>
  <r>
    <x v="0"/>
    <x v="0"/>
    <x v="0"/>
    <x v="8"/>
    <x v="13"/>
    <s v="PL_A"/>
    <x v="11"/>
    <x v="5"/>
    <s v="GCND-CO-039"/>
    <x v="1"/>
    <x v="6"/>
    <n v="5082.93959451929"/>
    <n v="309212.15866659"/>
    <n v="1113163.77119973"/>
  </r>
  <r>
    <x v="0"/>
    <x v="0"/>
    <x v="0"/>
    <x v="8"/>
    <x v="13"/>
    <s v="PL_A"/>
    <x v="11"/>
    <x v="5"/>
    <s v="GCND-CO-039"/>
    <x v="1"/>
    <x v="7"/>
    <n v="6127.89256003026"/>
    <n v="372780.130735174"/>
    <n v="1342008.47064663"/>
  </r>
  <r>
    <x v="0"/>
    <x v="0"/>
    <x v="0"/>
    <x v="8"/>
    <x v="13"/>
    <s v="PL_A"/>
    <x v="11"/>
    <x v="5"/>
    <s v="GCND-CO-039"/>
    <x v="1"/>
    <x v="8"/>
    <n v="6668.5020274729104"/>
    <n v="405667.20667126903"/>
    <n v="1460401.94401657"/>
  </r>
  <r>
    <x v="0"/>
    <x v="0"/>
    <x v="0"/>
    <x v="8"/>
    <x v="13"/>
    <s v="PL_A"/>
    <x v="11"/>
    <x v="5"/>
    <s v="GCND-CO-039"/>
    <x v="1"/>
    <x v="9"/>
    <n v="6769.9472447542003"/>
    <n v="411838.45738921402"/>
    <n v="1482618.4466011701"/>
  </r>
  <r>
    <x v="0"/>
    <x v="0"/>
    <x v="0"/>
    <x v="8"/>
    <x v="13"/>
    <s v="PL_A"/>
    <x v="11"/>
    <x v="5"/>
    <s v="GCND-CO-039"/>
    <x v="1"/>
    <x v="10"/>
    <n v="7058.7425839505004"/>
    <n v="429406.84052365599"/>
    <n v="1545864.6258851599"/>
  </r>
  <r>
    <x v="0"/>
    <x v="0"/>
    <x v="0"/>
    <x v="8"/>
    <x v="13"/>
    <s v="PL_A"/>
    <x v="11"/>
    <x v="5"/>
    <s v="GCND-CO-039"/>
    <x v="1"/>
    <x v="11"/>
    <n v="6994.1425935970001"/>
    <n v="425477.00777715101"/>
    <n v="1531717.22799774"/>
  </r>
  <r>
    <x v="0"/>
    <x v="0"/>
    <x v="0"/>
    <x v="8"/>
    <x v="13"/>
    <s v="PL_A"/>
    <x v="11"/>
    <x v="5"/>
    <s v="GCND-CO-039"/>
    <x v="2"/>
    <x v="0"/>
    <n v="240.961010739426"/>
    <n v="14658.461486648401"/>
    <n v="52770.461351934202"/>
  </r>
  <r>
    <x v="0"/>
    <x v="0"/>
    <x v="0"/>
    <x v="8"/>
    <x v="13"/>
    <s v="PL_A"/>
    <x v="11"/>
    <x v="5"/>
    <s v="GCND-CO-039"/>
    <x v="2"/>
    <x v="1"/>
    <n v="30.5834791824145"/>
    <n v="1860.49498359688"/>
    <n v="6697.7819409487802"/>
  </r>
  <r>
    <x v="0"/>
    <x v="0"/>
    <x v="0"/>
    <x v="8"/>
    <x v="13"/>
    <s v="PL_A"/>
    <x v="11"/>
    <x v="5"/>
    <s v="GCND-CO-039"/>
    <x v="2"/>
    <x v="3"/>
    <n v="91.873155323516997"/>
    <n v="5588.95028218062"/>
    <n v="20120.221015850198"/>
  </r>
  <r>
    <x v="0"/>
    <x v="0"/>
    <x v="0"/>
    <x v="8"/>
    <x v="13"/>
    <s v="PL_A"/>
    <x v="11"/>
    <x v="5"/>
    <s v="GCND-CO-039"/>
    <x v="2"/>
    <x v="4"/>
    <n v="625.75563179684298"/>
    <n v="38066.800934307998"/>
    <n v="137040.483363509"/>
  </r>
  <r>
    <x v="0"/>
    <x v="0"/>
    <x v="0"/>
    <x v="8"/>
    <x v="13"/>
    <s v="PL_A"/>
    <x v="11"/>
    <x v="5"/>
    <s v="GCND-CO-039"/>
    <x v="2"/>
    <x v="5"/>
    <n v="1944.15643420367"/>
    <n v="118269.51641405599"/>
    <n v="425770.25909060298"/>
  </r>
  <r>
    <x v="0"/>
    <x v="0"/>
    <x v="0"/>
    <x v="8"/>
    <x v="13"/>
    <s v="PL_A"/>
    <x v="11"/>
    <x v="5"/>
    <s v="GCND-CO-039"/>
    <x v="2"/>
    <x v="6"/>
    <n v="5046.2876085552998"/>
    <n v="306982.49618711398"/>
    <n v="1105136.98627361"/>
  </r>
  <r>
    <x v="0"/>
    <x v="0"/>
    <x v="0"/>
    <x v="8"/>
    <x v="13"/>
    <s v="PL_A"/>
    <x v="11"/>
    <x v="5"/>
    <s v="GCND-CO-039"/>
    <x v="2"/>
    <x v="7"/>
    <n v="5947.5868663884803"/>
    <n v="361811.53437196597"/>
    <n v="1302521.5237390799"/>
  </r>
  <r>
    <x v="0"/>
    <x v="0"/>
    <x v="0"/>
    <x v="8"/>
    <x v="13"/>
    <s v="PL_A"/>
    <x v="11"/>
    <x v="5"/>
    <s v="GCND-CO-039"/>
    <x v="2"/>
    <x v="8"/>
    <n v="6354.3535107582002"/>
    <n v="386556.50523779"/>
    <n v="1391603.4188560499"/>
  </r>
  <r>
    <x v="0"/>
    <x v="0"/>
    <x v="0"/>
    <x v="8"/>
    <x v="13"/>
    <s v="PL_A"/>
    <x v="11"/>
    <x v="5"/>
    <s v="GCND-CO-039"/>
    <x v="2"/>
    <x v="9"/>
    <n v="6576.4634471883101"/>
    <n v="400068.19303728902"/>
    <n v="1440245.4949342399"/>
  </r>
  <r>
    <x v="0"/>
    <x v="0"/>
    <x v="0"/>
    <x v="8"/>
    <x v="13"/>
    <s v="PL_A"/>
    <x v="11"/>
    <x v="5"/>
    <s v="GCND-CO-039"/>
    <x v="2"/>
    <x v="10"/>
    <n v="6706.9975367921397"/>
    <n v="408009.01682152197"/>
    <n v="1468832.4605574801"/>
  </r>
  <r>
    <x v="0"/>
    <x v="0"/>
    <x v="0"/>
    <x v="8"/>
    <x v="13"/>
    <s v="PL_A"/>
    <x v="11"/>
    <x v="5"/>
    <s v="GCND-CO-039"/>
    <x v="2"/>
    <x v="11"/>
    <n v="6791.5621967516099"/>
    <n v="413153.36696905602"/>
    <n v="1487352.1210886"/>
  </r>
  <r>
    <x v="0"/>
    <x v="0"/>
    <x v="0"/>
    <x v="8"/>
    <x v="13"/>
    <s v="PL_A"/>
    <x v="11"/>
    <x v="5"/>
    <s v="GCND-CO-039"/>
    <x v="3"/>
    <x v="0"/>
    <n v="250.472398146578"/>
    <n v="15237.0708872502"/>
    <n v="54853.455194100599"/>
  </r>
  <r>
    <x v="0"/>
    <x v="0"/>
    <x v="0"/>
    <x v="8"/>
    <x v="13"/>
    <s v="PL_A"/>
    <x v="11"/>
    <x v="5"/>
    <s v="GCND-CO-039"/>
    <x v="3"/>
    <x v="4"/>
    <n v="318.182438194952"/>
    <n v="19356.098323526199"/>
    <n v="69681.953964694403"/>
  </r>
  <r>
    <x v="0"/>
    <x v="0"/>
    <x v="0"/>
    <x v="8"/>
    <x v="13"/>
    <s v="PL_A"/>
    <x v="11"/>
    <x v="5"/>
    <s v="GCND-CO-039"/>
    <x v="3"/>
    <x v="5"/>
    <n v="1899.0408216169801"/>
    <n v="115524.98331503299"/>
    <n v="415889.93993411801"/>
  </r>
  <r>
    <x v="0"/>
    <x v="0"/>
    <x v="0"/>
    <x v="8"/>
    <x v="13"/>
    <s v="PL_A"/>
    <x v="11"/>
    <x v="5"/>
    <s v="GCND-CO-039"/>
    <x v="3"/>
    <x v="6"/>
    <n v="4994.3055176047901"/>
    <n v="303820.25232095801"/>
    <n v="1093752.90835545"/>
  </r>
  <r>
    <x v="0"/>
    <x v="0"/>
    <x v="0"/>
    <x v="8"/>
    <x v="13"/>
    <s v="PL_A"/>
    <x v="11"/>
    <x v="5"/>
    <s v="GCND-CO-039"/>
    <x v="3"/>
    <x v="7"/>
    <n v="6123.1584958821304"/>
    <n v="372492.14183282899"/>
    <n v="1340971.7105981901"/>
  </r>
  <r>
    <x v="0"/>
    <x v="0"/>
    <x v="0"/>
    <x v="8"/>
    <x v="13"/>
    <s v="PL_A"/>
    <x v="11"/>
    <x v="5"/>
    <s v="GCND-CO-039"/>
    <x v="3"/>
    <x v="8"/>
    <n v="6708.8719623055003"/>
    <n v="408123.04437358503"/>
    <n v="1469242.9597449"/>
  </r>
  <r>
    <x v="0"/>
    <x v="0"/>
    <x v="0"/>
    <x v="8"/>
    <x v="13"/>
    <s v="PL_A"/>
    <x v="11"/>
    <x v="5"/>
    <s v="GCND-CO-039"/>
    <x v="3"/>
    <x v="9"/>
    <n v="6953.4671542977503"/>
    <n v="423002.58521977998"/>
    <n v="1522809.3067912101"/>
  </r>
  <r>
    <x v="0"/>
    <x v="0"/>
    <x v="0"/>
    <x v="8"/>
    <x v="13"/>
    <s v="PL_A"/>
    <x v="11"/>
    <x v="5"/>
    <s v="GCND-CO-039"/>
    <x v="3"/>
    <x v="10"/>
    <n v="7051.60000499936"/>
    <n v="428972.33363746101"/>
    <n v="1544300.4010948599"/>
  </r>
  <r>
    <x v="0"/>
    <x v="0"/>
    <x v="0"/>
    <x v="8"/>
    <x v="13"/>
    <s v="PL_A"/>
    <x v="11"/>
    <x v="5"/>
    <s v="GCND-CO-039"/>
    <x v="3"/>
    <x v="11"/>
    <n v="7244"/>
    <n v="440676.66666666698"/>
    <n v="1586436"/>
  </r>
  <r>
    <x v="0"/>
    <x v="0"/>
    <x v="0"/>
    <x v="8"/>
    <x v="13"/>
    <s v="PL_A"/>
    <x v="11"/>
    <x v="5"/>
    <s v="GCND-CO-039"/>
    <x v="4"/>
    <x v="5"/>
    <n v="1262.9471139203499"/>
    <n v="76829.282763487907"/>
    <n v="276585.41794855701"/>
  </r>
  <r>
    <x v="0"/>
    <x v="0"/>
    <x v="0"/>
    <x v="8"/>
    <x v="13"/>
    <s v="PL_A"/>
    <x v="11"/>
    <x v="5"/>
    <s v="GCND-CO-039"/>
    <x v="4"/>
    <x v="6"/>
    <n v="4105.1029573829701"/>
    <n v="249727.09657413099"/>
    <n v="899017.54766687099"/>
  </r>
  <r>
    <x v="0"/>
    <x v="0"/>
    <x v="0"/>
    <x v="8"/>
    <x v="13"/>
    <s v="PL_A"/>
    <x v="11"/>
    <x v="5"/>
    <s v="GCND-CO-039"/>
    <x v="4"/>
    <x v="7"/>
    <n v="5434.01924611504"/>
    <n v="330569.50413866498"/>
    <n v="1190050.21489919"/>
  </r>
  <r>
    <x v="0"/>
    <x v="0"/>
    <x v="0"/>
    <x v="8"/>
    <x v="13"/>
    <s v="PL_A"/>
    <x v="11"/>
    <x v="5"/>
    <s v="GCND-CO-039"/>
    <x v="4"/>
    <x v="8"/>
    <n v="6329.1087849371897"/>
    <n v="385020.78441701201"/>
    <n v="1386074.82390124"/>
  </r>
  <r>
    <x v="0"/>
    <x v="0"/>
    <x v="0"/>
    <x v="8"/>
    <x v="13"/>
    <s v="PL_A"/>
    <x v="11"/>
    <x v="5"/>
    <s v="GCND-CO-039"/>
    <x v="4"/>
    <x v="9"/>
    <n v="6705.1435814624601"/>
    <n v="407896.23453896597"/>
    <n v="1468426.44434028"/>
  </r>
  <r>
    <x v="0"/>
    <x v="0"/>
    <x v="0"/>
    <x v="8"/>
    <x v="13"/>
    <s v="PL_A"/>
    <x v="11"/>
    <x v="5"/>
    <s v="GCND-CO-039"/>
    <x v="4"/>
    <x v="10"/>
    <n v="6989.5875921212901"/>
    <n v="425199.911854045"/>
    <n v="1530719.68267456"/>
  </r>
  <r>
    <x v="0"/>
    <x v="0"/>
    <x v="0"/>
    <x v="8"/>
    <x v="13"/>
    <s v="PL_A"/>
    <x v="11"/>
    <x v="5"/>
    <s v="GCND-CO-039"/>
    <x v="4"/>
    <x v="11"/>
    <n v="7003.4666574006096"/>
    <n v="426044.22165853699"/>
    <n v="1533759.19797073"/>
  </r>
  <r>
    <x v="0"/>
    <x v="0"/>
    <x v="0"/>
    <x v="8"/>
    <x v="13"/>
    <s v="PL_A"/>
    <x v="11"/>
    <x v="5"/>
    <s v="GCND-CO-039"/>
    <x v="5"/>
    <x v="5"/>
    <n v="578.51837820068897"/>
    <n v="35193.201340541898"/>
    <n v="126695.524825951"/>
  </r>
  <r>
    <x v="0"/>
    <x v="0"/>
    <x v="0"/>
    <x v="8"/>
    <x v="13"/>
    <s v="PL_A"/>
    <x v="11"/>
    <x v="5"/>
    <s v="GCND-CO-039"/>
    <x v="5"/>
    <x v="6"/>
    <n v="3308.5943389352401"/>
    <n v="201272.82228522701"/>
    <n v="724582.16022681899"/>
  </r>
  <r>
    <x v="0"/>
    <x v="0"/>
    <x v="0"/>
    <x v="8"/>
    <x v="13"/>
    <s v="PL_A"/>
    <x v="11"/>
    <x v="5"/>
    <s v="GCND-CO-039"/>
    <x v="5"/>
    <x v="7"/>
    <n v="4446.2620195887202"/>
    <n v="270480.93952498102"/>
    <n v="973731.38228993001"/>
  </r>
  <r>
    <x v="0"/>
    <x v="0"/>
    <x v="0"/>
    <x v="8"/>
    <x v="13"/>
    <s v="PL_A"/>
    <x v="11"/>
    <x v="5"/>
    <s v="GCND-CO-039"/>
    <x v="5"/>
    <x v="8"/>
    <n v="5588.3119476564098"/>
    <n v="339955.643482432"/>
    <n v="1223840.3165367499"/>
  </r>
  <r>
    <x v="0"/>
    <x v="0"/>
    <x v="0"/>
    <x v="8"/>
    <x v="13"/>
    <s v="PL_A"/>
    <x v="11"/>
    <x v="5"/>
    <s v="GCND-CO-039"/>
    <x v="5"/>
    <x v="9"/>
    <n v="5680.9956282588901"/>
    <n v="345593.90071908297"/>
    <n v="1244138.0425887001"/>
  </r>
  <r>
    <x v="0"/>
    <x v="0"/>
    <x v="0"/>
    <x v="8"/>
    <x v="13"/>
    <s v="PL_A"/>
    <x v="11"/>
    <x v="5"/>
    <s v="GCND-CO-039"/>
    <x v="5"/>
    <x v="10"/>
    <n v="5991.1483147567697"/>
    <n v="364461.52248103701"/>
    <n v="1312061.48093173"/>
  </r>
  <r>
    <x v="0"/>
    <x v="0"/>
    <x v="0"/>
    <x v="8"/>
    <x v="13"/>
    <s v="PL_A"/>
    <x v="11"/>
    <x v="5"/>
    <s v="GCND-CO-039"/>
    <x v="5"/>
    <x v="11"/>
    <n v="5994.0478226227697"/>
    <n v="364637.90920955199"/>
    <n v="1312696.47315439"/>
  </r>
  <r>
    <x v="0"/>
    <x v="0"/>
    <x v="0"/>
    <x v="8"/>
    <x v="13"/>
    <s v="PL_A"/>
    <x v="11"/>
    <x v="5"/>
    <s v="GCND-CO-039"/>
    <x v="6"/>
    <x v="0"/>
    <n v="759.84585023980605"/>
    <n v="46223.9558895882"/>
    <n v="166406.24120251799"/>
  </r>
  <r>
    <x v="0"/>
    <x v="0"/>
    <x v="0"/>
    <x v="8"/>
    <x v="13"/>
    <s v="PL_A"/>
    <x v="11"/>
    <x v="5"/>
    <s v="GCND-CO-039"/>
    <x v="6"/>
    <x v="1"/>
    <n v="596.83529745151202"/>
    <n v="36307.480594966997"/>
    <n v="130706.93014188101"/>
  </r>
  <r>
    <x v="0"/>
    <x v="0"/>
    <x v="0"/>
    <x v="8"/>
    <x v="13"/>
    <s v="PL_A"/>
    <x v="11"/>
    <x v="5"/>
    <s v="GCND-CO-039"/>
    <x v="6"/>
    <x v="2"/>
    <n v="435.11128079737"/>
    <n v="26469.269581839999"/>
    <n v="95289.370494624105"/>
  </r>
  <r>
    <x v="0"/>
    <x v="0"/>
    <x v="0"/>
    <x v="8"/>
    <x v="13"/>
    <s v="PL_A"/>
    <x v="11"/>
    <x v="5"/>
    <s v="GCND-CO-039"/>
    <x v="6"/>
    <x v="3"/>
    <n v="624.83719488249596"/>
    <n v="38010.9293553518"/>
    <n v="136839.34567926699"/>
  </r>
  <r>
    <x v="0"/>
    <x v="0"/>
    <x v="0"/>
    <x v="8"/>
    <x v="13"/>
    <s v="PL_A"/>
    <x v="11"/>
    <x v="5"/>
    <s v="GCND-CO-039"/>
    <x v="6"/>
    <x v="4"/>
    <n v="1017.38589952925"/>
    <n v="61890.975554696"/>
    <n v="222807.51199690599"/>
  </r>
  <r>
    <x v="0"/>
    <x v="0"/>
    <x v="0"/>
    <x v="8"/>
    <x v="13"/>
    <s v="PL_A"/>
    <x v="11"/>
    <x v="5"/>
    <s v="GCND-CO-039"/>
    <x v="6"/>
    <x v="5"/>
    <n v="2468.6087868150498"/>
    <n v="150173.701197916"/>
    <n v="540625.32431249705"/>
  </r>
  <r>
    <x v="0"/>
    <x v="0"/>
    <x v="0"/>
    <x v="8"/>
    <x v="13"/>
    <s v="PL_A"/>
    <x v="11"/>
    <x v="5"/>
    <s v="GCND-CO-039"/>
    <x v="6"/>
    <x v="6"/>
    <n v="4801.4944423328398"/>
    <n v="292090.91190858098"/>
    <n v="1051527.2828708901"/>
  </r>
  <r>
    <x v="0"/>
    <x v="0"/>
    <x v="0"/>
    <x v="8"/>
    <x v="13"/>
    <s v="PL_A"/>
    <x v="11"/>
    <x v="5"/>
    <s v="GCND-CO-039"/>
    <x v="6"/>
    <x v="7"/>
    <n v="6418.8426205015203"/>
    <n v="390479.59274717601"/>
    <n v="1405726.5338898301"/>
  </r>
  <r>
    <x v="0"/>
    <x v="0"/>
    <x v="0"/>
    <x v="8"/>
    <x v="13"/>
    <s v="PL_A"/>
    <x v="11"/>
    <x v="5"/>
    <s v="GCND-CO-039"/>
    <x v="6"/>
    <x v="8"/>
    <n v="7200.3435526009298"/>
    <n v="438020.89944989001"/>
    <n v="1576875.2380196"/>
  </r>
  <r>
    <x v="0"/>
    <x v="0"/>
    <x v="0"/>
    <x v="8"/>
    <x v="13"/>
    <s v="PL_A"/>
    <x v="11"/>
    <x v="5"/>
    <s v="GCND-CO-039"/>
    <x v="6"/>
    <x v="9"/>
    <n v="7223.1244841835696"/>
    <n v="439406.73945450102"/>
    <n v="1581864.2620361999"/>
  </r>
  <r>
    <x v="0"/>
    <x v="0"/>
    <x v="0"/>
    <x v="8"/>
    <x v="13"/>
    <s v="PL_A"/>
    <x v="11"/>
    <x v="5"/>
    <s v="GCND-CO-039"/>
    <x v="6"/>
    <x v="10"/>
    <n v="7244"/>
    <n v="440676.66666666698"/>
    <n v="1586436"/>
  </r>
  <r>
    <x v="0"/>
    <x v="0"/>
    <x v="0"/>
    <x v="8"/>
    <x v="13"/>
    <s v="PL_A"/>
    <x v="11"/>
    <x v="5"/>
    <s v="GCND-CO-039"/>
    <x v="6"/>
    <x v="11"/>
    <n v="7244"/>
    <n v="440676.66666666698"/>
    <n v="1586436"/>
  </r>
  <r>
    <x v="0"/>
    <x v="0"/>
    <x v="0"/>
    <x v="8"/>
    <x v="13"/>
    <s v="PL_A"/>
    <x v="11"/>
    <x v="5"/>
    <s v="GCND-CO-039"/>
    <x v="7"/>
    <x v="3"/>
    <n v="60.432065994352797"/>
    <n v="3676.2840146564599"/>
    <n v="13234.6224527633"/>
  </r>
  <r>
    <x v="0"/>
    <x v="0"/>
    <x v="0"/>
    <x v="8"/>
    <x v="13"/>
    <s v="PL_A"/>
    <x v="11"/>
    <x v="5"/>
    <s v="GCND-CO-039"/>
    <x v="7"/>
    <x v="4"/>
    <n v="705.92924164885198"/>
    <n v="42944.028866971799"/>
    <n v="154598.50392109901"/>
  </r>
  <r>
    <x v="0"/>
    <x v="0"/>
    <x v="0"/>
    <x v="8"/>
    <x v="13"/>
    <s v="PL_A"/>
    <x v="11"/>
    <x v="5"/>
    <s v="GCND-CO-039"/>
    <x v="7"/>
    <x v="5"/>
    <n v="2263.1749619647298"/>
    <n v="137676.47685285399"/>
    <n v="495635.316670275"/>
  </r>
  <r>
    <x v="0"/>
    <x v="0"/>
    <x v="0"/>
    <x v="8"/>
    <x v="13"/>
    <s v="PL_A"/>
    <x v="11"/>
    <x v="5"/>
    <s v="GCND-CO-039"/>
    <x v="7"/>
    <x v="6"/>
    <n v="4715.9408294836003"/>
    <n v="286886.40046025201"/>
    <n v="1032791.04165691"/>
  </r>
  <r>
    <x v="0"/>
    <x v="0"/>
    <x v="0"/>
    <x v="8"/>
    <x v="13"/>
    <s v="PL_A"/>
    <x v="11"/>
    <x v="5"/>
    <s v="GCND-CO-039"/>
    <x v="7"/>
    <x v="7"/>
    <n v="6312.1509218533001"/>
    <n v="383989.18107940903"/>
    <n v="1382361.0518858701"/>
  </r>
  <r>
    <x v="0"/>
    <x v="0"/>
    <x v="0"/>
    <x v="8"/>
    <x v="13"/>
    <s v="PL_A"/>
    <x v="11"/>
    <x v="5"/>
    <s v="GCND-CO-039"/>
    <x v="7"/>
    <x v="8"/>
    <n v="7202.8207440342303"/>
    <n v="438171.59526208299"/>
    <n v="1577417.7429434999"/>
  </r>
  <r>
    <x v="0"/>
    <x v="0"/>
    <x v="0"/>
    <x v="8"/>
    <x v="13"/>
    <s v="PL_A"/>
    <x v="11"/>
    <x v="5"/>
    <s v="GCND-CO-039"/>
    <x v="7"/>
    <x v="9"/>
    <n v="7244"/>
    <n v="440676.66666666698"/>
    <n v="1586436"/>
  </r>
  <r>
    <x v="0"/>
    <x v="0"/>
    <x v="0"/>
    <x v="8"/>
    <x v="13"/>
    <s v="PL_A"/>
    <x v="11"/>
    <x v="5"/>
    <s v="GCND-CO-039"/>
    <x v="7"/>
    <x v="10"/>
    <n v="7244"/>
    <n v="440676.66666666698"/>
    <n v="1586436"/>
  </r>
  <r>
    <x v="0"/>
    <x v="0"/>
    <x v="0"/>
    <x v="8"/>
    <x v="13"/>
    <s v="PL_A"/>
    <x v="11"/>
    <x v="5"/>
    <s v="GCND-CO-039"/>
    <x v="7"/>
    <x v="11"/>
    <n v="7244"/>
    <n v="440676.66666666698"/>
    <n v="1586436"/>
  </r>
  <r>
    <x v="0"/>
    <x v="0"/>
    <x v="0"/>
    <x v="8"/>
    <x v="13"/>
    <s v="PL_A"/>
    <x v="11"/>
    <x v="5"/>
    <s v="GCND-CO-039"/>
    <x v="8"/>
    <x v="0"/>
    <n v="1335.3492850197599"/>
    <n v="81233.748172035703"/>
    <n v="292441.49341932801"/>
  </r>
  <r>
    <x v="0"/>
    <x v="0"/>
    <x v="0"/>
    <x v="8"/>
    <x v="13"/>
    <s v="PL_A"/>
    <x v="11"/>
    <x v="5"/>
    <s v="GCND-CO-039"/>
    <x v="8"/>
    <x v="1"/>
    <n v="1061.56796172756"/>
    <n v="64578.717671759703"/>
    <n v="232483.38361833501"/>
  </r>
  <r>
    <x v="0"/>
    <x v="0"/>
    <x v="0"/>
    <x v="8"/>
    <x v="13"/>
    <s v="PL_A"/>
    <x v="11"/>
    <x v="5"/>
    <s v="GCND-CO-039"/>
    <x v="8"/>
    <x v="2"/>
    <n v="1002.66274402639"/>
    <n v="60995.316928272303"/>
    <n v="219583.14094178"/>
  </r>
  <r>
    <x v="0"/>
    <x v="0"/>
    <x v="0"/>
    <x v="8"/>
    <x v="13"/>
    <s v="PL_A"/>
    <x v="11"/>
    <x v="5"/>
    <s v="GCND-CO-039"/>
    <x v="8"/>
    <x v="3"/>
    <n v="1104.44827662789"/>
    <n v="67187.270161529799"/>
    <n v="241874.17258150701"/>
  </r>
  <r>
    <x v="0"/>
    <x v="0"/>
    <x v="0"/>
    <x v="8"/>
    <x v="13"/>
    <s v="PL_A"/>
    <x v="11"/>
    <x v="5"/>
    <s v="GCND-CO-039"/>
    <x v="8"/>
    <x v="4"/>
    <n v="1506.8845310383099"/>
    <n v="91668.808971496896"/>
    <n v="330007.71229738899"/>
  </r>
  <r>
    <x v="0"/>
    <x v="0"/>
    <x v="0"/>
    <x v="8"/>
    <x v="13"/>
    <s v="PL_A"/>
    <x v="11"/>
    <x v="5"/>
    <s v="GCND-CO-039"/>
    <x v="8"/>
    <x v="5"/>
    <n v="2784.98351318713"/>
    <n v="169419.830385551"/>
    <n v="609911.38938798197"/>
  </r>
  <r>
    <x v="0"/>
    <x v="0"/>
    <x v="0"/>
    <x v="8"/>
    <x v="13"/>
    <s v="PL_A"/>
    <x v="11"/>
    <x v="5"/>
    <s v="GCND-CO-039"/>
    <x v="8"/>
    <x v="6"/>
    <n v="5274.9585383924696"/>
    <n v="320893.31108554202"/>
    <n v="1155215.9199079501"/>
  </r>
  <r>
    <x v="0"/>
    <x v="0"/>
    <x v="0"/>
    <x v="8"/>
    <x v="13"/>
    <s v="PL_A"/>
    <x v="11"/>
    <x v="5"/>
    <s v="GCND-CO-039"/>
    <x v="8"/>
    <x v="7"/>
    <n v="6865.6679351400899"/>
    <n v="417661.46605435602"/>
    <n v="1503581.2777956801"/>
  </r>
  <r>
    <x v="0"/>
    <x v="0"/>
    <x v="0"/>
    <x v="8"/>
    <x v="13"/>
    <s v="PL_A"/>
    <x v="11"/>
    <x v="5"/>
    <s v="GCND-CO-039"/>
    <x v="8"/>
    <x v="8"/>
    <n v="7244"/>
    <n v="440676.66666666698"/>
    <n v="1586436"/>
  </r>
  <r>
    <x v="0"/>
    <x v="0"/>
    <x v="0"/>
    <x v="8"/>
    <x v="13"/>
    <s v="PL_A"/>
    <x v="11"/>
    <x v="5"/>
    <s v="GCND-CO-039"/>
    <x v="8"/>
    <x v="9"/>
    <n v="7244"/>
    <n v="440676.66666666698"/>
    <n v="1586436"/>
  </r>
  <r>
    <x v="0"/>
    <x v="0"/>
    <x v="0"/>
    <x v="8"/>
    <x v="13"/>
    <s v="PL_A"/>
    <x v="11"/>
    <x v="5"/>
    <s v="GCND-CO-039"/>
    <x v="8"/>
    <x v="10"/>
    <n v="7244"/>
    <n v="440676.66666666698"/>
    <n v="1586436"/>
  </r>
  <r>
    <x v="0"/>
    <x v="0"/>
    <x v="0"/>
    <x v="8"/>
    <x v="13"/>
    <s v="PL_A"/>
    <x v="11"/>
    <x v="5"/>
    <s v="GCND-CO-039"/>
    <x v="8"/>
    <x v="11"/>
    <n v="7244"/>
    <n v="440676.66666666698"/>
    <n v="1586436"/>
  </r>
  <r>
    <x v="0"/>
    <x v="0"/>
    <x v="0"/>
    <x v="8"/>
    <x v="13"/>
    <s v="PL_A"/>
    <x v="11"/>
    <x v="5"/>
    <s v="GCND-CO-039"/>
    <x v="9"/>
    <x v="0"/>
    <n v="555.191806971814"/>
    <n v="33774.168257452002"/>
    <n v="121587.005726827"/>
  </r>
  <r>
    <x v="0"/>
    <x v="0"/>
    <x v="0"/>
    <x v="8"/>
    <x v="13"/>
    <s v="PL_A"/>
    <x v="11"/>
    <x v="5"/>
    <s v="GCND-CO-039"/>
    <x v="9"/>
    <x v="1"/>
    <n v="159.72717411564599"/>
    <n v="9716.73642536847"/>
    <n v="34980.251131326499"/>
  </r>
  <r>
    <x v="0"/>
    <x v="0"/>
    <x v="0"/>
    <x v="8"/>
    <x v="13"/>
    <s v="PL_A"/>
    <x v="11"/>
    <x v="5"/>
    <s v="GCND-CO-039"/>
    <x v="9"/>
    <x v="2"/>
    <n v="110.629163453554"/>
    <n v="6729.9407767578496"/>
    <n v="24227.786796328299"/>
  </r>
  <r>
    <x v="0"/>
    <x v="0"/>
    <x v="0"/>
    <x v="8"/>
    <x v="13"/>
    <s v="PL_A"/>
    <x v="11"/>
    <x v="5"/>
    <s v="GCND-CO-039"/>
    <x v="9"/>
    <x v="3"/>
    <n v="370.43315528240299"/>
    <n v="22534.683613012901"/>
    <n v="81124.861006846302"/>
  </r>
  <r>
    <x v="0"/>
    <x v="0"/>
    <x v="0"/>
    <x v="8"/>
    <x v="13"/>
    <s v="PL_A"/>
    <x v="11"/>
    <x v="5"/>
    <s v="GCND-CO-039"/>
    <x v="9"/>
    <x v="4"/>
    <n v="785.97741790548605"/>
    <n v="47813.626255917101"/>
    <n v="172129.05452130199"/>
  </r>
  <r>
    <x v="0"/>
    <x v="0"/>
    <x v="0"/>
    <x v="8"/>
    <x v="13"/>
    <s v="PL_A"/>
    <x v="11"/>
    <x v="5"/>
    <s v="GCND-CO-039"/>
    <x v="9"/>
    <x v="5"/>
    <n v="1901.42645247314"/>
    <n v="115670.109192116"/>
    <n v="416412.39309161803"/>
  </r>
  <r>
    <x v="0"/>
    <x v="0"/>
    <x v="0"/>
    <x v="8"/>
    <x v="13"/>
    <s v="PL_A"/>
    <x v="11"/>
    <x v="5"/>
    <s v="GCND-CO-039"/>
    <x v="9"/>
    <x v="6"/>
    <n v="4442.5957249303801"/>
    <n v="270257.906599932"/>
    <n v="972928.46375975397"/>
  </r>
  <r>
    <x v="0"/>
    <x v="0"/>
    <x v="0"/>
    <x v="8"/>
    <x v="13"/>
    <s v="PL_A"/>
    <x v="11"/>
    <x v="5"/>
    <s v="GCND-CO-039"/>
    <x v="9"/>
    <x v="7"/>
    <n v="6010.8846655642301"/>
    <n v="365662.150488491"/>
    <n v="1316383.7417585701"/>
  </r>
  <r>
    <x v="0"/>
    <x v="0"/>
    <x v="0"/>
    <x v="8"/>
    <x v="13"/>
    <s v="PL_A"/>
    <x v="11"/>
    <x v="5"/>
    <s v="GCND-CO-039"/>
    <x v="9"/>
    <x v="8"/>
    <n v="6693.8589789509097"/>
    <n v="407209.75455284701"/>
    <n v="1465955.1163902499"/>
  </r>
  <r>
    <x v="0"/>
    <x v="0"/>
    <x v="0"/>
    <x v="8"/>
    <x v="13"/>
    <s v="PL_A"/>
    <x v="11"/>
    <x v="5"/>
    <s v="GCND-CO-039"/>
    <x v="9"/>
    <x v="9"/>
    <n v="6592.5146982128099"/>
    <n v="401044.64414127899"/>
    <n v="1443760.7189086101"/>
  </r>
  <r>
    <x v="0"/>
    <x v="0"/>
    <x v="0"/>
    <x v="8"/>
    <x v="13"/>
    <s v="PL_A"/>
    <x v="11"/>
    <x v="5"/>
    <s v="GCND-CO-039"/>
    <x v="9"/>
    <x v="10"/>
    <n v="6746.9716767686996"/>
    <n v="410440.77700342902"/>
    <n v="1477586.7972123499"/>
  </r>
  <r>
    <x v="0"/>
    <x v="0"/>
    <x v="0"/>
    <x v="8"/>
    <x v="13"/>
    <s v="PL_A"/>
    <x v="11"/>
    <x v="5"/>
    <s v="GCND-CO-039"/>
    <x v="9"/>
    <x v="11"/>
    <n v="6588.4856798803403"/>
    <n v="400799.54552605399"/>
    <n v="1442878.3638937999"/>
  </r>
  <r>
    <x v="0"/>
    <x v="0"/>
    <x v="0"/>
    <x v="8"/>
    <x v="13"/>
    <s v="PL_A"/>
    <x v="11"/>
    <x v="5"/>
    <s v="GCND-CO-039"/>
    <x v="10"/>
    <x v="0"/>
    <n v="68.024239361813699"/>
    <n v="4138.1412278436701"/>
    <n v="14897.308420237199"/>
  </r>
  <r>
    <x v="0"/>
    <x v="0"/>
    <x v="0"/>
    <x v="8"/>
    <x v="13"/>
    <s v="PL_A"/>
    <x v="11"/>
    <x v="5"/>
    <s v="GCND-CO-039"/>
    <x v="10"/>
    <x v="4"/>
    <n v="528.69752008011596"/>
    <n v="32162.4324715404"/>
    <n v="115784.756897545"/>
  </r>
  <r>
    <x v="0"/>
    <x v="0"/>
    <x v="0"/>
    <x v="8"/>
    <x v="13"/>
    <s v="PL_A"/>
    <x v="11"/>
    <x v="5"/>
    <s v="GCND-CO-039"/>
    <x v="10"/>
    <x v="5"/>
    <n v="1337.0258781283601"/>
    <n v="81335.740919475298"/>
    <n v="292808.66731011099"/>
  </r>
  <r>
    <x v="0"/>
    <x v="0"/>
    <x v="0"/>
    <x v="8"/>
    <x v="13"/>
    <s v="PL_A"/>
    <x v="11"/>
    <x v="5"/>
    <s v="GCND-CO-039"/>
    <x v="10"/>
    <x v="6"/>
    <n v="4126.1364899533701"/>
    <n v="251006.63647216401"/>
    <n v="903623.89129978896"/>
  </r>
  <r>
    <x v="0"/>
    <x v="0"/>
    <x v="0"/>
    <x v="8"/>
    <x v="13"/>
    <s v="PL_A"/>
    <x v="11"/>
    <x v="5"/>
    <s v="GCND-CO-039"/>
    <x v="10"/>
    <x v="7"/>
    <n v="5587.6163419738396"/>
    <n v="339913.32747007499"/>
    <n v="1223687.97889227"/>
  </r>
  <r>
    <x v="0"/>
    <x v="0"/>
    <x v="0"/>
    <x v="8"/>
    <x v="13"/>
    <s v="PL_A"/>
    <x v="11"/>
    <x v="5"/>
    <s v="GCND-CO-039"/>
    <x v="10"/>
    <x v="8"/>
    <n v="6171.9229305559802"/>
    <n v="375458.64494215499"/>
    <n v="1351651.12179176"/>
  </r>
  <r>
    <x v="0"/>
    <x v="0"/>
    <x v="0"/>
    <x v="8"/>
    <x v="13"/>
    <s v="PL_A"/>
    <x v="11"/>
    <x v="5"/>
    <s v="GCND-CO-039"/>
    <x v="10"/>
    <x v="9"/>
    <n v="6221.4246151100697"/>
    <n v="378469.99741919601"/>
    <n v="1362491.9907091099"/>
  </r>
  <r>
    <x v="0"/>
    <x v="0"/>
    <x v="0"/>
    <x v="8"/>
    <x v="13"/>
    <s v="PL_A"/>
    <x v="11"/>
    <x v="5"/>
    <s v="GCND-CO-039"/>
    <x v="10"/>
    <x v="10"/>
    <n v="6393.7048203469003"/>
    <n v="388950.376571103"/>
    <n v="1400221.3556559701"/>
  </r>
  <r>
    <x v="0"/>
    <x v="0"/>
    <x v="0"/>
    <x v="8"/>
    <x v="13"/>
    <s v="PL_A"/>
    <x v="11"/>
    <x v="5"/>
    <s v="GCND-CO-039"/>
    <x v="10"/>
    <x v="11"/>
    <n v="6119.6179596084803"/>
    <n v="372276.75920951599"/>
    <n v="1340196.3331542599"/>
  </r>
  <r>
    <x v="0"/>
    <x v="0"/>
    <x v="0"/>
    <x v="8"/>
    <x v="13"/>
    <s v="PL_A"/>
    <x v="11"/>
    <x v="5"/>
    <s v="GCND-CO-039"/>
    <x v="11"/>
    <x v="0"/>
    <n v="64.208314750448196"/>
    <n v="3906.0058139856001"/>
    <n v="14061.620930348099"/>
  </r>
  <r>
    <x v="0"/>
    <x v="0"/>
    <x v="0"/>
    <x v="8"/>
    <x v="13"/>
    <s v="PL_A"/>
    <x v="11"/>
    <x v="5"/>
    <s v="GCND-CO-039"/>
    <x v="11"/>
    <x v="4"/>
    <n v="66.116859435449001"/>
    <n v="4022.10894898981"/>
    <n v="14479.5922163633"/>
  </r>
  <r>
    <x v="0"/>
    <x v="0"/>
    <x v="0"/>
    <x v="8"/>
    <x v="13"/>
    <s v="PL_A"/>
    <x v="11"/>
    <x v="5"/>
    <s v="GCND-CO-039"/>
    <x v="11"/>
    <x v="5"/>
    <n v="793.24790295442199"/>
    <n v="48255.914096394001"/>
    <n v="173721.29074701801"/>
  </r>
  <r>
    <x v="0"/>
    <x v="0"/>
    <x v="0"/>
    <x v="8"/>
    <x v="13"/>
    <s v="PL_A"/>
    <x v="11"/>
    <x v="5"/>
    <s v="GCND-CO-039"/>
    <x v="11"/>
    <x v="6"/>
    <n v="3682.74237689239"/>
    <n v="224033.49459428701"/>
    <n v="806520.58053943398"/>
  </r>
  <r>
    <x v="0"/>
    <x v="0"/>
    <x v="0"/>
    <x v="8"/>
    <x v="13"/>
    <s v="PL_A"/>
    <x v="11"/>
    <x v="5"/>
    <s v="GCND-CO-039"/>
    <x v="11"/>
    <x v="7"/>
    <n v="5411.6677821248304"/>
    <n v="329209.79007926001"/>
    <n v="1185155.24428534"/>
  </r>
  <r>
    <x v="0"/>
    <x v="0"/>
    <x v="0"/>
    <x v="8"/>
    <x v="13"/>
    <s v="PL_A"/>
    <x v="11"/>
    <x v="5"/>
    <s v="GCND-CO-039"/>
    <x v="11"/>
    <x v="8"/>
    <n v="6024.9189273685797"/>
    <n v="366515.90141492197"/>
    <n v="1319457.24509372"/>
  </r>
  <r>
    <x v="0"/>
    <x v="0"/>
    <x v="0"/>
    <x v="8"/>
    <x v="13"/>
    <s v="PL_A"/>
    <x v="11"/>
    <x v="5"/>
    <s v="GCND-CO-039"/>
    <x v="11"/>
    <x v="9"/>
    <n v="6258.3137476654001"/>
    <n v="380714.08631631202"/>
    <n v="1370570.7107387199"/>
  </r>
  <r>
    <x v="0"/>
    <x v="0"/>
    <x v="0"/>
    <x v="8"/>
    <x v="13"/>
    <s v="PL_A"/>
    <x v="11"/>
    <x v="5"/>
    <s v="GCND-CO-039"/>
    <x v="11"/>
    <x v="10"/>
    <n v="6557.0371238614898"/>
    <n v="398886.42503490701"/>
    <n v="1435991.13012567"/>
  </r>
  <r>
    <x v="0"/>
    <x v="0"/>
    <x v="0"/>
    <x v="8"/>
    <x v="13"/>
    <s v="PL_A"/>
    <x v="11"/>
    <x v="5"/>
    <s v="GCND-CO-039"/>
    <x v="11"/>
    <x v="11"/>
    <n v="6758.2929998239697"/>
    <n v="411129.490822625"/>
    <n v="1480066.1669614499"/>
  </r>
  <r>
    <x v="0"/>
    <x v="0"/>
    <x v="0"/>
    <x v="8"/>
    <x v="13"/>
    <s v="PL_A"/>
    <x v="11"/>
    <x v="5"/>
    <s v="GCND-CO-040"/>
    <x v="0"/>
    <x v="0"/>
    <n v="5303"/>
    <n v="322599.16666666698"/>
    <n v="1161357"/>
  </r>
  <r>
    <x v="0"/>
    <x v="0"/>
    <x v="0"/>
    <x v="8"/>
    <x v="13"/>
    <s v="PL_A"/>
    <x v="11"/>
    <x v="5"/>
    <s v="GCND-CO-040"/>
    <x v="0"/>
    <x v="1"/>
    <n v="4912.4316494936802"/>
    <n v="298839.59201086499"/>
    <n v="1075822.5312391201"/>
  </r>
  <r>
    <x v="0"/>
    <x v="0"/>
    <x v="0"/>
    <x v="8"/>
    <x v="13"/>
    <s v="PL_A"/>
    <x v="11"/>
    <x v="5"/>
    <s v="GCND-CO-040"/>
    <x v="0"/>
    <x v="2"/>
    <n v="4349.0899739317201"/>
    <n v="264569.64008084597"/>
    <n v="952450.70429104695"/>
  </r>
  <r>
    <x v="0"/>
    <x v="0"/>
    <x v="0"/>
    <x v="8"/>
    <x v="13"/>
    <s v="PL_A"/>
    <x v="11"/>
    <x v="5"/>
    <s v="GCND-CO-040"/>
    <x v="0"/>
    <x v="3"/>
    <n v="4229.4345229823202"/>
    <n v="257290.60014809101"/>
    <n v="926246.16053312703"/>
  </r>
  <r>
    <x v="0"/>
    <x v="0"/>
    <x v="0"/>
    <x v="8"/>
    <x v="13"/>
    <s v="PL_A"/>
    <x v="11"/>
    <x v="5"/>
    <s v="GCND-CO-040"/>
    <x v="0"/>
    <x v="4"/>
    <n v="3870.2744139790998"/>
    <n v="235441.693517062"/>
    <n v="847590.09666142403"/>
  </r>
  <r>
    <x v="0"/>
    <x v="0"/>
    <x v="0"/>
    <x v="8"/>
    <x v="13"/>
    <s v="PL_A"/>
    <x v="11"/>
    <x v="5"/>
    <s v="GCND-CO-040"/>
    <x v="0"/>
    <x v="5"/>
    <n v="3709.4533615047899"/>
    <n v="225658.41282487501"/>
    <n v="812370.28616954898"/>
  </r>
  <r>
    <x v="0"/>
    <x v="0"/>
    <x v="0"/>
    <x v="8"/>
    <x v="13"/>
    <s v="PL_A"/>
    <x v="11"/>
    <x v="5"/>
    <s v="GCND-CO-040"/>
    <x v="0"/>
    <x v="6"/>
    <n v="3741.1483734880999"/>
    <n v="227586.52605385901"/>
    <n v="819311.49379389395"/>
  </r>
  <r>
    <x v="0"/>
    <x v="0"/>
    <x v="0"/>
    <x v="8"/>
    <x v="13"/>
    <s v="PL_A"/>
    <x v="11"/>
    <x v="5"/>
    <s v="GCND-CO-040"/>
    <x v="0"/>
    <x v="7"/>
    <n v="3320.90077186301"/>
    <n v="202021.46362166599"/>
    <n v="727277.26903799805"/>
  </r>
  <r>
    <x v="0"/>
    <x v="0"/>
    <x v="0"/>
    <x v="8"/>
    <x v="13"/>
    <s v="PL_A"/>
    <x v="11"/>
    <x v="5"/>
    <s v="GCND-CO-040"/>
    <x v="0"/>
    <x v="8"/>
    <n v="3435.0531745187"/>
    <n v="208965.73478322101"/>
    <n v="752276.64521959506"/>
  </r>
  <r>
    <x v="0"/>
    <x v="0"/>
    <x v="0"/>
    <x v="8"/>
    <x v="13"/>
    <s v="PL_A"/>
    <x v="11"/>
    <x v="5"/>
    <s v="GCND-CO-040"/>
    <x v="0"/>
    <x v="9"/>
    <n v="3928.27222844876"/>
    <n v="238969.89389729901"/>
    <n v="860291.61803027801"/>
  </r>
  <r>
    <x v="0"/>
    <x v="0"/>
    <x v="0"/>
    <x v="8"/>
    <x v="13"/>
    <s v="PL_A"/>
    <x v="11"/>
    <x v="5"/>
    <s v="GCND-CO-040"/>
    <x v="0"/>
    <x v="10"/>
    <n v="4522.3796215614002"/>
    <n v="275111.42697831901"/>
    <n v="990401.13712194702"/>
  </r>
  <r>
    <x v="0"/>
    <x v="0"/>
    <x v="0"/>
    <x v="8"/>
    <x v="13"/>
    <s v="PL_A"/>
    <x v="11"/>
    <x v="5"/>
    <s v="GCND-CO-040"/>
    <x v="0"/>
    <x v="11"/>
    <n v="4739.2015151777496"/>
    <n v="288301.42550664599"/>
    <n v="1037885.13182393"/>
  </r>
  <r>
    <x v="0"/>
    <x v="0"/>
    <x v="0"/>
    <x v="8"/>
    <x v="13"/>
    <s v="PL_A"/>
    <x v="11"/>
    <x v="5"/>
    <s v="GCND-CO-040"/>
    <x v="1"/>
    <x v="0"/>
    <n v="5116.0893029339504"/>
    <n v="311228.765928482"/>
    <n v="1120423.55734254"/>
  </r>
  <r>
    <x v="0"/>
    <x v="0"/>
    <x v="0"/>
    <x v="8"/>
    <x v="13"/>
    <s v="PL_A"/>
    <x v="11"/>
    <x v="5"/>
    <s v="GCND-CO-040"/>
    <x v="1"/>
    <x v="1"/>
    <n v="4753.1606263190397"/>
    <n v="289150.604767741"/>
    <n v="1040942.17716387"/>
  </r>
  <r>
    <x v="0"/>
    <x v="0"/>
    <x v="0"/>
    <x v="8"/>
    <x v="13"/>
    <s v="PL_A"/>
    <x v="11"/>
    <x v="5"/>
    <s v="GCND-CO-040"/>
    <x v="1"/>
    <x v="2"/>
    <n v="4677.2400931291404"/>
    <n v="284532.10566535598"/>
    <n v="1024315.58039528"/>
  </r>
  <r>
    <x v="0"/>
    <x v="0"/>
    <x v="0"/>
    <x v="8"/>
    <x v="13"/>
    <s v="PL_A"/>
    <x v="11"/>
    <x v="5"/>
    <s v="GCND-CO-040"/>
    <x v="1"/>
    <x v="3"/>
    <n v="4897.9114742457596"/>
    <n v="297956.28134995099"/>
    <n v="1072642.61285982"/>
  </r>
  <r>
    <x v="0"/>
    <x v="0"/>
    <x v="0"/>
    <x v="8"/>
    <x v="13"/>
    <s v="PL_A"/>
    <x v="11"/>
    <x v="5"/>
    <s v="GCND-CO-040"/>
    <x v="1"/>
    <x v="4"/>
    <n v="5303"/>
    <n v="322599.16666666698"/>
    <n v="1161357"/>
  </r>
  <r>
    <x v="0"/>
    <x v="0"/>
    <x v="0"/>
    <x v="8"/>
    <x v="13"/>
    <s v="PL_A"/>
    <x v="11"/>
    <x v="5"/>
    <s v="GCND-CO-040"/>
    <x v="1"/>
    <x v="5"/>
    <n v="5303"/>
    <n v="322599.16666666698"/>
    <n v="1161357"/>
  </r>
  <r>
    <x v="0"/>
    <x v="0"/>
    <x v="0"/>
    <x v="8"/>
    <x v="13"/>
    <s v="PL_A"/>
    <x v="11"/>
    <x v="5"/>
    <s v="GCND-CO-040"/>
    <x v="1"/>
    <x v="6"/>
    <n v="5303"/>
    <n v="322599.16666666698"/>
    <n v="1161357"/>
  </r>
  <r>
    <x v="0"/>
    <x v="0"/>
    <x v="0"/>
    <x v="8"/>
    <x v="13"/>
    <s v="PL_A"/>
    <x v="11"/>
    <x v="5"/>
    <s v="GCND-CO-040"/>
    <x v="1"/>
    <x v="7"/>
    <n v="5303"/>
    <n v="322599.16666666698"/>
    <n v="1161357"/>
  </r>
  <r>
    <x v="0"/>
    <x v="0"/>
    <x v="0"/>
    <x v="8"/>
    <x v="13"/>
    <s v="PL_A"/>
    <x v="11"/>
    <x v="5"/>
    <s v="GCND-CO-040"/>
    <x v="1"/>
    <x v="8"/>
    <n v="5303"/>
    <n v="322599.16666666698"/>
    <n v="1161357"/>
  </r>
  <r>
    <x v="0"/>
    <x v="0"/>
    <x v="0"/>
    <x v="8"/>
    <x v="13"/>
    <s v="PL_A"/>
    <x v="11"/>
    <x v="5"/>
    <s v="GCND-CO-040"/>
    <x v="1"/>
    <x v="9"/>
    <n v="5303"/>
    <n v="322599.16666666698"/>
    <n v="1161357"/>
  </r>
  <r>
    <x v="0"/>
    <x v="0"/>
    <x v="0"/>
    <x v="8"/>
    <x v="13"/>
    <s v="PL_A"/>
    <x v="11"/>
    <x v="5"/>
    <s v="GCND-CO-040"/>
    <x v="1"/>
    <x v="10"/>
    <n v="5303"/>
    <n v="322599.16666666698"/>
    <n v="1161357"/>
  </r>
  <r>
    <x v="0"/>
    <x v="0"/>
    <x v="0"/>
    <x v="8"/>
    <x v="13"/>
    <s v="PL_A"/>
    <x v="11"/>
    <x v="5"/>
    <s v="GCND-CO-040"/>
    <x v="1"/>
    <x v="11"/>
    <n v="5303"/>
    <n v="322599.16666666698"/>
    <n v="1161357"/>
  </r>
  <r>
    <x v="0"/>
    <x v="0"/>
    <x v="0"/>
    <x v="8"/>
    <x v="13"/>
    <s v="PL_A"/>
    <x v="11"/>
    <x v="5"/>
    <s v="GCND-CO-040"/>
    <x v="2"/>
    <x v="0"/>
    <n v="5303"/>
    <n v="322599.16666666698"/>
    <n v="1161357"/>
  </r>
  <r>
    <x v="0"/>
    <x v="0"/>
    <x v="0"/>
    <x v="8"/>
    <x v="13"/>
    <s v="PL_A"/>
    <x v="11"/>
    <x v="5"/>
    <s v="GCND-CO-040"/>
    <x v="2"/>
    <x v="1"/>
    <n v="5303"/>
    <n v="322599.16666666698"/>
    <n v="1161357"/>
  </r>
  <r>
    <x v="0"/>
    <x v="0"/>
    <x v="0"/>
    <x v="8"/>
    <x v="13"/>
    <s v="PL_A"/>
    <x v="11"/>
    <x v="5"/>
    <s v="GCND-CO-040"/>
    <x v="2"/>
    <x v="2"/>
    <n v="5299.4243898804098"/>
    <n v="322381.65038439201"/>
    <n v="1160573.94138381"/>
  </r>
  <r>
    <x v="0"/>
    <x v="0"/>
    <x v="0"/>
    <x v="8"/>
    <x v="13"/>
    <s v="PL_A"/>
    <x v="11"/>
    <x v="5"/>
    <s v="GCND-CO-040"/>
    <x v="2"/>
    <x v="3"/>
    <n v="5303"/>
    <n v="322599.16666666698"/>
    <n v="1161357"/>
  </r>
  <r>
    <x v="0"/>
    <x v="0"/>
    <x v="0"/>
    <x v="8"/>
    <x v="13"/>
    <s v="PL_A"/>
    <x v="11"/>
    <x v="5"/>
    <s v="GCND-CO-040"/>
    <x v="2"/>
    <x v="4"/>
    <n v="5303"/>
    <n v="322599.16666666698"/>
    <n v="1161357"/>
  </r>
  <r>
    <x v="0"/>
    <x v="0"/>
    <x v="0"/>
    <x v="8"/>
    <x v="13"/>
    <s v="PL_A"/>
    <x v="11"/>
    <x v="5"/>
    <s v="GCND-CO-040"/>
    <x v="2"/>
    <x v="5"/>
    <n v="5303"/>
    <n v="322599.16666666698"/>
    <n v="1161357"/>
  </r>
  <r>
    <x v="0"/>
    <x v="0"/>
    <x v="0"/>
    <x v="8"/>
    <x v="13"/>
    <s v="PL_A"/>
    <x v="11"/>
    <x v="5"/>
    <s v="GCND-CO-040"/>
    <x v="2"/>
    <x v="6"/>
    <n v="5303"/>
    <n v="322599.16666666698"/>
    <n v="1161357"/>
  </r>
  <r>
    <x v="0"/>
    <x v="0"/>
    <x v="0"/>
    <x v="8"/>
    <x v="13"/>
    <s v="PL_A"/>
    <x v="11"/>
    <x v="5"/>
    <s v="GCND-CO-040"/>
    <x v="2"/>
    <x v="7"/>
    <n v="5303"/>
    <n v="322599.16666666698"/>
    <n v="1161357"/>
  </r>
  <r>
    <x v="0"/>
    <x v="0"/>
    <x v="0"/>
    <x v="8"/>
    <x v="13"/>
    <s v="PL_A"/>
    <x v="11"/>
    <x v="5"/>
    <s v="GCND-CO-040"/>
    <x v="2"/>
    <x v="8"/>
    <n v="5303"/>
    <n v="322599.16666666698"/>
    <n v="1161357"/>
  </r>
  <r>
    <x v="0"/>
    <x v="0"/>
    <x v="0"/>
    <x v="8"/>
    <x v="13"/>
    <s v="PL_A"/>
    <x v="11"/>
    <x v="5"/>
    <s v="GCND-CO-040"/>
    <x v="2"/>
    <x v="9"/>
    <n v="5303"/>
    <n v="322599.16666666698"/>
    <n v="1161357"/>
  </r>
  <r>
    <x v="0"/>
    <x v="0"/>
    <x v="0"/>
    <x v="8"/>
    <x v="13"/>
    <s v="PL_A"/>
    <x v="11"/>
    <x v="5"/>
    <s v="GCND-CO-040"/>
    <x v="2"/>
    <x v="10"/>
    <n v="5303"/>
    <n v="322599.16666666698"/>
    <n v="1161357"/>
  </r>
  <r>
    <x v="0"/>
    <x v="0"/>
    <x v="0"/>
    <x v="8"/>
    <x v="13"/>
    <s v="PL_A"/>
    <x v="11"/>
    <x v="5"/>
    <s v="GCND-CO-040"/>
    <x v="2"/>
    <x v="11"/>
    <n v="5303"/>
    <n v="322599.16666666698"/>
    <n v="1161357"/>
  </r>
  <r>
    <x v="0"/>
    <x v="0"/>
    <x v="0"/>
    <x v="8"/>
    <x v="13"/>
    <s v="PL_A"/>
    <x v="11"/>
    <x v="5"/>
    <s v="GCND-CO-040"/>
    <x v="3"/>
    <x v="0"/>
    <n v="5303"/>
    <n v="322599.16666666698"/>
    <n v="1161357"/>
  </r>
  <r>
    <x v="0"/>
    <x v="0"/>
    <x v="0"/>
    <x v="8"/>
    <x v="13"/>
    <s v="PL_A"/>
    <x v="11"/>
    <x v="5"/>
    <s v="GCND-CO-040"/>
    <x v="3"/>
    <x v="1"/>
    <n v="5134.3428753486096"/>
    <n v="312339.191583707"/>
    <n v="1124421.0897013501"/>
  </r>
  <r>
    <x v="0"/>
    <x v="0"/>
    <x v="0"/>
    <x v="8"/>
    <x v="13"/>
    <s v="PL_A"/>
    <x v="11"/>
    <x v="5"/>
    <s v="GCND-CO-040"/>
    <x v="3"/>
    <x v="2"/>
    <n v="5056.13557273882"/>
    <n v="307581.58067494503"/>
    <n v="1107293.6904298"/>
  </r>
  <r>
    <x v="0"/>
    <x v="0"/>
    <x v="0"/>
    <x v="8"/>
    <x v="13"/>
    <s v="PL_A"/>
    <x v="11"/>
    <x v="5"/>
    <s v="GCND-CO-040"/>
    <x v="3"/>
    <x v="3"/>
    <n v="5095.1096320248898"/>
    <n v="309952.50261484802"/>
    <n v="1115829.00941345"/>
  </r>
  <r>
    <x v="0"/>
    <x v="0"/>
    <x v="0"/>
    <x v="8"/>
    <x v="13"/>
    <s v="PL_A"/>
    <x v="11"/>
    <x v="5"/>
    <s v="GCND-CO-040"/>
    <x v="3"/>
    <x v="4"/>
    <n v="5303"/>
    <n v="322599.16666666698"/>
    <n v="1161357"/>
  </r>
  <r>
    <x v="0"/>
    <x v="0"/>
    <x v="0"/>
    <x v="8"/>
    <x v="13"/>
    <s v="PL_A"/>
    <x v="11"/>
    <x v="5"/>
    <s v="GCND-CO-040"/>
    <x v="3"/>
    <x v="5"/>
    <n v="5303"/>
    <n v="322599.16666666698"/>
    <n v="1161357"/>
  </r>
  <r>
    <x v="0"/>
    <x v="0"/>
    <x v="0"/>
    <x v="8"/>
    <x v="13"/>
    <s v="PL_A"/>
    <x v="11"/>
    <x v="5"/>
    <s v="GCND-CO-040"/>
    <x v="3"/>
    <x v="6"/>
    <n v="5303"/>
    <n v="322599.16666666698"/>
    <n v="1161357"/>
  </r>
  <r>
    <x v="0"/>
    <x v="0"/>
    <x v="0"/>
    <x v="8"/>
    <x v="13"/>
    <s v="PL_A"/>
    <x v="11"/>
    <x v="5"/>
    <s v="GCND-CO-040"/>
    <x v="3"/>
    <x v="7"/>
    <n v="5303"/>
    <n v="322599.16666666698"/>
    <n v="1161357"/>
  </r>
  <r>
    <x v="0"/>
    <x v="0"/>
    <x v="0"/>
    <x v="8"/>
    <x v="13"/>
    <s v="PL_A"/>
    <x v="11"/>
    <x v="5"/>
    <s v="GCND-CO-040"/>
    <x v="3"/>
    <x v="8"/>
    <n v="5303"/>
    <n v="322599.16666666698"/>
    <n v="1161357"/>
  </r>
  <r>
    <x v="0"/>
    <x v="0"/>
    <x v="0"/>
    <x v="8"/>
    <x v="13"/>
    <s v="PL_A"/>
    <x v="11"/>
    <x v="5"/>
    <s v="GCND-CO-040"/>
    <x v="3"/>
    <x v="9"/>
    <n v="5303"/>
    <n v="322599.16666666698"/>
    <n v="1161357"/>
  </r>
  <r>
    <x v="0"/>
    <x v="0"/>
    <x v="0"/>
    <x v="8"/>
    <x v="13"/>
    <s v="PL_A"/>
    <x v="11"/>
    <x v="5"/>
    <s v="GCND-CO-040"/>
    <x v="3"/>
    <x v="10"/>
    <n v="5303"/>
    <n v="322599.16666666698"/>
    <n v="1161357"/>
  </r>
  <r>
    <x v="0"/>
    <x v="0"/>
    <x v="0"/>
    <x v="8"/>
    <x v="13"/>
    <s v="PL_A"/>
    <x v="11"/>
    <x v="5"/>
    <s v="GCND-CO-040"/>
    <x v="3"/>
    <x v="11"/>
    <n v="5303"/>
    <n v="322599.16666666698"/>
    <n v="1161357"/>
  </r>
  <r>
    <x v="0"/>
    <x v="0"/>
    <x v="0"/>
    <x v="8"/>
    <x v="13"/>
    <s v="PL_A"/>
    <x v="11"/>
    <x v="5"/>
    <s v="GCND-CO-040"/>
    <x v="4"/>
    <x v="0"/>
    <n v="5080.7516850378397"/>
    <n v="309079.06083980203"/>
    <n v="1112684.61902329"/>
  </r>
  <r>
    <x v="0"/>
    <x v="0"/>
    <x v="0"/>
    <x v="8"/>
    <x v="13"/>
    <s v="PL_A"/>
    <x v="11"/>
    <x v="5"/>
    <s v="GCND-CO-040"/>
    <x v="4"/>
    <x v="1"/>
    <n v="4741.0524718459101"/>
    <n v="288414.02537062601"/>
    <n v="1038290.49133425"/>
  </r>
  <r>
    <x v="0"/>
    <x v="0"/>
    <x v="0"/>
    <x v="8"/>
    <x v="13"/>
    <s v="PL_A"/>
    <x v="11"/>
    <x v="5"/>
    <s v="GCND-CO-040"/>
    <x v="4"/>
    <x v="2"/>
    <n v="4707.0677949337696"/>
    <n v="286346.62419180397"/>
    <n v="1030847.84709049"/>
  </r>
  <r>
    <x v="0"/>
    <x v="0"/>
    <x v="0"/>
    <x v="8"/>
    <x v="13"/>
    <s v="PL_A"/>
    <x v="11"/>
    <x v="5"/>
    <s v="GCND-CO-040"/>
    <x v="4"/>
    <x v="3"/>
    <n v="4863.64703640058"/>
    <n v="295871.86138103501"/>
    <n v="1065138.7009717301"/>
  </r>
  <r>
    <x v="0"/>
    <x v="0"/>
    <x v="0"/>
    <x v="8"/>
    <x v="13"/>
    <s v="PL_A"/>
    <x v="11"/>
    <x v="5"/>
    <s v="GCND-CO-040"/>
    <x v="4"/>
    <x v="4"/>
    <n v="5298.2410805283498"/>
    <n v="322309.665732141"/>
    <n v="1160314.7966357099"/>
  </r>
  <r>
    <x v="0"/>
    <x v="0"/>
    <x v="0"/>
    <x v="8"/>
    <x v="13"/>
    <s v="PL_A"/>
    <x v="11"/>
    <x v="5"/>
    <s v="GCND-CO-040"/>
    <x v="4"/>
    <x v="5"/>
    <n v="5303"/>
    <n v="322599.16666666698"/>
    <n v="1161357"/>
  </r>
  <r>
    <x v="0"/>
    <x v="0"/>
    <x v="0"/>
    <x v="8"/>
    <x v="13"/>
    <s v="PL_A"/>
    <x v="11"/>
    <x v="5"/>
    <s v="GCND-CO-040"/>
    <x v="4"/>
    <x v="6"/>
    <n v="5303"/>
    <n v="322599.16666666698"/>
    <n v="1161357"/>
  </r>
  <r>
    <x v="0"/>
    <x v="0"/>
    <x v="0"/>
    <x v="8"/>
    <x v="13"/>
    <s v="PL_A"/>
    <x v="11"/>
    <x v="5"/>
    <s v="GCND-CO-040"/>
    <x v="4"/>
    <x v="7"/>
    <n v="5303"/>
    <n v="322599.16666666698"/>
    <n v="1161357"/>
  </r>
  <r>
    <x v="0"/>
    <x v="0"/>
    <x v="0"/>
    <x v="8"/>
    <x v="13"/>
    <s v="PL_A"/>
    <x v="11"/>
    <x v="5"/>
    <s v="GCND-CO-040"/>
    <x v="4"/>
    <x v="8"/>
    <n v="5303"/>
    <n v="322599.16666666698"/>
    <n v="1161357"/>
  </r>
  <r>
    <x v="0"/>
    <x v="0"/>
    <x v="0"/>
    <x v="8"/>
    <x v="13"/>
    <s v="PL_A"/>
    <x v="11"/>
    <x v="5"/>
    <s v="GCND-CO-040"/>
    <x v="4"/>
    <x v="9"/>
    <n v="5303"/>
    <n v="322599.16666666698"/>
    <n v="1161357"/>
  </r>
  <r>
    <x v="0"/>
    <x v="0"/>
    <x v="0"/>
    <x v="8"/>
    <x v="13"/>
    <s v="PL_A"/>
    <x v="11"/>
    <x v="5"/>
    <s v="GCND-CO-040"/>
    <x v="4"/>
    <x v="10"/>
    <n v="5303"/>
    <n v="322599.16666666698"/>
    <n v="1161357"/>
  </r>
  <r>
    <x v="0"/>
    <x v="0"/>
    <x v="0"/>
    <x v="8"/>
    <x v="13"/>
    <s v="PL_A"/>
    <x v="11"/>
    <x v="5"/>
    <s v="GCND-CO-040"/>
    <x v="4"/>
    <x v="11"/>
    <n v="5303"/>
    <n v="322599.16666666698"/>
    <n v="1161357"/>
  </r>
  <r>
    <x v="0"/>
    <x v="0"/>
    <x v="0"/>
    <x v="8"/>
    <x v="13"/>
    <s v="PL_A"/>
    <x v="11"/>
    <x v="5"/>
    <s v="GCND-CO-040"/>
    <x v="5"/>
    <x v="0"/>
    <n v="3921.6959187390798"/>
    <n v="238569.83505662801"/>
    <n v="858851.40620385902"/>
  </r>
  <r>
    <x v="0"/>
    <x v="0"/>
    <x v="0"/>
    <x v="8"/>
    <x v="13"/>
    <s v="PL_A"/>
    <x v="11"/>
    <x v="5"/>
    <s v="GCND-CO-040"/>
    <x v="5"/>
    <x v="1"/>
    <n v="3674.0292315305901"/>
    <n v="223503.444918111"/>
    <n v="804612.40170519904"/>
  </r>
  <r>
    <x v="0"/>
    <x v="0"/>
    <x v="0"/>
    <x v="8"/>
    <x v="13"/>
    <s v="PL_A"/>
    <x v="11"/>
    <x v="5"/>
    <s v="GCND-CO-040"/>
    <x v="5"/>
    <x v="2"/>
    <n v="3652.5497147119499"/>
    <n v="222196.774311644"/>
    <n v="799908.387521917"/>
  </r>
  <r>
    <x v="0"/>
    <x v="0"/>
    <x v="0"/>
    <x v="8"/>
    <x v="13"/>
    <s v="PL_A"/>
    <x v="11"/>
    <x v="5"/>
    <s v="GCND-CO-040"/>
    <x v="5"/>
    <x v="3"/>
    <n v="3569.3449678440602"/>
    <n v="217135.15221051301"/>
    <n v="781686.54795784899"/>
  </r>
  <r>
    <x v="0"/>
    <x v="0"/>
    <x v="0"/>
    <x v="8"/>
    <x v="13"/>
    <s v="PL_A"/>
    <x v="11"/>
    <x v="5"/>
    <s v="GCND-CO-040"/>
    <x v="5"/>
    <x v="4"/>
    <n v="4239.9992106814698"/>
    <n v="257933.28531645599"/>
    <n v="928559.82713924197"/>
  </r>
  <r>
    <x v="0"/>
    <x v="0"/>
    <x v="0"/>
    <x v="8"/>
    <x v="13"/>
    <s v="PL_A"/>
    <x v="11"/>
    <x v="5"/>
    <s v="GCND-CO-040"/>
    <x v="5"/>
    <x v="5"/>
    <n v="5303"/>
    <n v="322599.16666666698"/>
    <n v="1161357"/>
  </r>
  <r>
    <x v="0"/>
    <x v="0"/>
    <x v="0"/>
    <x v="8"/>
    <x v="13"/>
    <s v="PL_A"/>
    <x v="11"/>
    <x v="5"/>
    <s v="GCND-CO-040"/>
    <x v="5"/>
    <x v="6"/>
    <n v="5303"/>
    <n v="322599.16666666698"/>
    <n v="1161357"/>
  </r>
  <r>
    <x v="0"/>
    <x v="0"/>
    <x v="0"/>
    <x v="8"/>
    <x v="13"/>
    <s v="PL_A"/>
    <x v="11"/>
    <x v="5"/>
    <s v="GCND-CO-040"/>
    <x v="5"/>
    <x v="7"/>
    <n v="5303"/>
    <n v="322599.16666666698"/>
    <n v="1161357"/>
  </r>
  <r>
    <x v="0"/>
    <x v="0"/>
    <x v="0"/>
    <x v="8"/>
    <x v="13"/>
    <s v="PL_A"/>
    <x v="11"/>
    <x v="5"/>
    <s v="GCND-CO-040"/>
    <x v="5"/>
    <x v="8"/>
    <n v="5303"/>
    <n v="322599.16666666698"/>
    <n v="1161357"/>
  </r>
  <r>
    <x v="0"/>
    <x v="0"/>
    <x v="0"/>
    <x v="8"/>
    <x v="13"/>
    <s v="PL_A"/>
    <x v="11"/>
    <x v="5"/>
    <s v="GCND-CO-040"/>
    <x v="5"/>
    <x v="9"/>
    <n v="5303"/>
    <n v="322599.16666666698"/>
    <n v="1161357"/>
  </r>
  <r>
    <x v="0"/>
    <x v="0"/>
    <x v="0"/>
    <x v="8"/>
    <x v="13"/>
    <s v="PL_A"/>
    <x v="11"/>
    <x v="5"/>
    <s v="GCND-CO-040"/>
    <x v="5"/>
    <x v="10"/>
    <n v="5303"/>
    <n v="322599.16666666698"/>
    <n v="1161357"/>
  </r>
  <r>
    <x v="0"/>
    <x v="0"/>
    <x v="0"/>
    <x v="8"/>
    <x v="13"/>
    <s v="PL_A"/>
    <x v="11"/>
    <x v="5"/>
    <s v="GCND-CO-040"/>
    <x v="5"/>
    <x v="11"/>
    <n v="5303"/>
    <n v="322599.16666666698"/>
    <n v="1161357"/>
  </r>
  <r>
    <x v="0"/>
    <x v="0"/>
    <x v="0"/>
    <x v="8"/>
    <x v="13"/>
    <s v="PL_A"/>
    <x v="11"/>
    <x v="5"/>
    <s v="GCND-CO-040"/>
    <x v="6"/>
    <x v="0"/>
    <n v="5303"/>
    <n v="322599.16666666698"/>
    <n v="1161357"/>
  </r>
  <r>
    <x v="0"/>
    <x v="0"/>
    <x v="0"/>
    <x v="8"/>
    <x v="13"/>
    <s v="PL_A"/>
    <x v="11"/>
    <x v="5"/>
    <s v="GCND-CO-040"/>
    <x v="6"/>
    <x v="1"/>
    <n v="5303"/>
    <n v="322599.16666666698"/>
    <n v="1161357"/>
  </r>
  <r>
    <x v="0"/>
    <x v="0"/>
    <x v="0"/>
    <x v="8"/>
    <x v="13"/>
    <s v="PL_A"/>
    <x v="11"/>
    <x v="5"/>
    <s v="GCND-CO-040"/>
    <x v="6"/>
    <x v="2"/>
    <n v="5303"/>
    <n v="322599.16666666698"/>
    <n v="1161357"/>
  </r>
  <r>
    <x v="0"/>
    <x v="0"/>
    <x v="0"/>
    <x v="8"/>
    <x v="13"/>
    <s v="PL_A"/>
    <x v="11"/>
    <x v="5"/>
    <s v="GCND-CO-040"/>
    <x v="6"/>
    <x v="3"/>
    <n v="5303"/>
    <n v="322599.16666666698"/>
    <n v="1161357"/>
  </r>
  <r>
    <x v="0"/>
    <x v="0"/>
    <x v="0"/>
    <x v="8"/>
    <x v="13"/>
    <s v="PL_A"/>
    <x v="11"/>
    <x v="5"/>
    <s v="GCND-CO-040"/>
    <x v="6"/>
    <x v="4"/>
    <n v="5303"/>
    <n v="322599.16666666698"/>
    <n v="1161357"/>
  </r>
  <r>
    <x v="0"/>
    <x v="0"/>
    <x v="0"/>
    <x v="8"/>
    <x v="13"/>
    <s v="PL_A"/>
    <x v="11"/>
    <x v="5"/>
    <s v="GCND-CO-040"/>
    <x v="6"/>
    <x v="5"/>
    <n v="5303"/>
    <n v="322599.16666666698"/>
    <n v="1161357"/>
  </r>
  <r>
    <x v="0"/>
    <x v="0"/>
    <x v="0"/>
    <x v="8"/>
    <x v="13"/>
    <s v="PL_A"/>
    <x v="11"/>
    <x v="5"/>
    <s v="GCND-CO-040"/>
    <x v="6"/>
    <x v="6"/>
    <n v="5303"/>
    <n v="322599.16666666698"/>
    <n v="1161357"/>
  </r>
  <r>
    <x v="0"/>
    <x v="0"/>
    <x v="0"/>
    <x v="8"/>
    <x v="13"/>
    <s v="PL_A"/>
    <x v="11"/>
    <x v="5"/>
    <s v="GCND-CO-040"/>
    <x v="6"/>
    <x v="7"/>
    <n v="5303"/>
    <n v="322599.16666666698"/>
    <n v="1161357"/>
  </r>
  <r>
    <x v="0"/>
    <x v="0"/>
    <x v="0"/>
    <x v="8"/>
    <x v="13"/>
    <s v="PL_A"/>
    <x v="11"/>
    <x v="5"/>
    <s v="GCND-CO-040"/>
    <x v="6"/>
    <x v="8"/>
    <n v="5303"/>
    <n v="322599.16666666698"/>
    <n v="1161357"/>
  </r>
  <r>
    <x v="0"/>
    <x v="0"/>
    <x v="0"/>
    <x v="8"/>
    <x v="13"/>
    <s v="PL_A"/>
    <x v="11"/>
    <x v="5"/>
    <s v="GCND-CO-040"/>
    <x v="6"/>
    <x v="9"/>
    <n v="5303"/>
    <n v="322599.16666666698"/>
    <n v="1161357"/>
  </r>
  <r>
    <x v="0"/>
    <x v="0"/>
    <x v="0"/>
    <x v="8"/>
    <x v="13"/>
    <s v="PL_A"/>
    <x v="11"/>
    <x v="5"/>
    <s v="GCND-CO-040"/>
    <x v="6"/>
    <x v="10"/>
    <n v="5303"/>
    <n v="322599.16666666698"/>
    <n v="1161357"/>
  </r>
  <r>
    <x v="0"/>
    <x v="0"/>
    <x v="0"/>
    <x v="8"/>
    <x v="13"/>
    <s v="PL_A"/>
    <x v="11"/>
    <x v="5"/>
    <s v="GCND-CO-040"/>
    <x v="6"/>
    <x v="11"/>
    <n v="5303"/>
    <n v="322599.16666666698"/>
    <n v="1161357"/>
  </r>
  <r>
    <x v="0"/>
    <x v="0"/>
    <x v="0"/>
    <x v="8"/>
    <x v="13"/>
    <s v="PL_A"/>
    <x v="11"/>
    <x v="5"/>
    <s v="GCND-CO-040"/>
    <x v="7"/>
    <x v="0"/>
    <n v="5296.8768117772797"/>
    <n v="322226.67271645099"/>
    <n v="1160016.0217792201"/>
  </r>
  <r>
    <x v="0"/>
    <x v="0"/>
    <x v="0"/>
    <x v="8"/>
    <x v="13"/>
    <s v="PL_A"/>
    <x v="11"/>
    <x v="5"/>
    <s v="GCND-CO-040"/>
    <x v="7"/>
    <x v="1"/>
    <n v="4972.8764590317496"/>
    <n v="302516.65125776501"/>
    <n v="1089059.9445279499"/>
  </r>
  <r>
    <x v="0"/>
    <x v="0"/>
    <x v="0"/>
    <x v="8"/>
    <x v="13"/>
    <s v="PL_A"/>
    <x v="11"/>
    <x v="5"/>
    <s v="GCND-CO-040"/>
    <x v="7"/>
    <x v="2"/>
    <n v="5002.3112606250797"/>
    <n v="304307.26835469197"/>
    <n v="1095506.16607689"/>
  </r>
  <r>
    <x v="0"/>
    <x v="0"/>
    <x v="0"/>
    <x v="8"/>
    <x v="13"/>
    <s v="PL_A"/>
    <x v="11"/>
    <x v="5"/>
    <s v="GCND-CO-040"/>
    <x v="7"/>
    <x v="3"/>
    <n v="5303"/>
    <n v="322599.16666666698"/>
    <n v="1161357"/>
  </r>
  <r>
    <x v="0"/>
    <x v="0"/>
    <x v="0"/>
    <x v="8"/>
    <x v="13"/>
    <s v="PL_A"/>
    <x v="11"/>
    <x v="5"/>
    <s v="GCND-CO-040"/>
    <x v="7"/>
    <x v="4"/>
    <n v="5303"/>
    <n v="322599.16666666698"/>
    <n v="1161357"/>
  </r>
  <r>
    <x v="0"/>
    <x v="0"/>
    <x v="0"/>
    <x v="8"/>
    <x v="13"/>
    <s v="PL_A"/>
    <x v="11"/>
    <x v="5"/>
    <s v="GCND-CO-040"/>
    <x v="7"/>
    <x v="5"/>
    <n v="5303"/>
    <n v="322599.16666666698"/>
    <n v="1161357"/>
  </r>
  <r>
    <x v="0"/>
    <x v="0"/>
    <x v="0"/>
    <x v="8"/>
    <x v="13"/>
    <s v="PL_A"/>
    <x v="11"/>
    <x v="5"/>
    <s v="GCND-CO-040"/>
    <x v="7"/>
    <x v="6"/>
    <n v="5303"/>
    <n v="322599.16666666698"/>
    <n v="1161357"/>
  </r>
  <r>
    <x v="0"/>
    <x v="0"/>
    <x v="0"/>
    <x v="8"/>
    <x v="13"/>
    <s v="PL_A"/>
    <x v="11"/>
    <x v="5"/>
    <s v="GCND-CO-040"/>
    <x v="7"/>
    <x v="7"/>
    <n v="5303"/>
    <n v="322599.16666666698"/>
    <n v="1161357"/>
  </r>
  <r>
    <x v="0"/>
    <x v="0"/>
    <x v="0"/>
    <x v="8"/>
    <x v="13"/>
    <s v="PL_A"/>
    <x v="11"/>
    <x v="5"/>
    <s v="GCND-CO-040"/>
    <x v="7"/>
    <x v="8"/>
    <n v="5303"/>
    <n v="322599.16666666698"/>
    <n v="1161357"/>
  </r>
  <r>
    <x v="0"/>
    <x v="0"/>
    <x v="0"/>
    <x v="8"/>
    <x v="13"/>
    <s v="PL_A"/>
    <x v="11"/>
    <x v="5"/>
    <s v="GCND-CO-040"/>
    <x v="7"/>
    <x v="9"/>
    <n v="5303"/>
    <n v="322599.16666666698"/>
    <n v="1161357"/>
  </r>
  <r>
    <x v="0"/>
    <x v="0"/>
    <x v="0"/>
    <x v="8"/>
    <x v="13"/>
    <s v="PL_A"/>
    <x v="11"/>
    <x v="5"/>
    <s v="GCND-CO-040"/>
    <x v="7"/>
    <x v="10"/>
    <n v="5303"/>
    <n v="322599.16666666698"/>
    <n v="1161357"/>
  </r>
  <r>
    <x v="0"/>
    <x v="0"/>
    <x v="0"/>
    <x v="8"/>
    <x v="13"/>
    <s v="PL_A"/>
    <x v="11"/>
    <x v="5"/>
    <s v="GCND-CO-040"/>
    <x v="7"/>
    <x v="11"/>
    <n v="5303"/>
    <n v="322599.16666666698"/>
    <n v="1161357"/>
  </r>
  <r>
    <x v="0"/>
    <x v="0"/>
    <x v="0"/>
    <x v="8"/>
    <x v="13"/>
    <s v="PL_A"/>
    <x v="11"/>
    <x v="5"/>
    <s v="GCND-CO-040"/>
    <x v="8"/>
    <x v="0"/>
    <n v="5303"/>
    <n v="322599.16666666698"/>
    <n v="1161357"/>
  </r>
  <r>
    <x v="0"/>
    <x v="0"/>
    <x v="0"/>
    <x v="8"/>
    <x v="13"/>
    <s v="PL_A"/>
    <x v="11"/>
    <x v="5"/>
    <s v="GCND-CO-040"/>
    <x v="8"/>
    <x v="1"/>
    <n v="5303"/>
    <n v="322599.16666666698"/>
    <n v="1161357"/>
  </r>
  <r>
    <x v="0"/>
    <x v="0"/>
    <x v="0"/>
    <x v="8"/>
    <x v="13"/>
    <s v="PL_A"/>
    <x v="11"/>
    <x v="5"/>
    <s v="GCND-CO-040"/>
    <x v="8"/>
    <x v="2"/>
    <n v="5303"/>
    <n v="322599.16666666698"/>
    <n v="1161357"/>
  </r>
  <r>
    <x v="0"/>
    <x v="0"/>
    <x v="0"/>
    <x v="8"/>
    <x v="13"/>
    <s v="PL_A"/>
    <x v="11"/>
    <x v="5"/>
    <s v="GCND-CO-040"/>
    <x v="8"/>
    <x v="3"/>
    <n v="5303"/>
    <n v="322599.16666666698"/>
    <n v="1161357"/>
  </r>
  <r>
    <x v="0"/>
    <x v="0"/>
    <x v="0"/>
    <x v="8"/>
    <x v="13"/>
    <s v="PL_A"/>
    <x v="11"/>
    <x v="5"/>
    <s v="GCND-CO-040"/>
    <x v="8"/>
    <x v="4"/>
    <n v="5303"/>
    <n v="322599.16666666698"/>
    <n v="1161357"/>
  </r>
  <r>
    <x v="0"/>
    <x v="0"/>
    <x v="0"/>
    <x v="8"/>
    <x v="13"/>
    <s v="PL_A"/>
    <x v="11"/>
    <x v="5"/>
    <s v="GCND-CO-040"/>
    <x v="8"/>
    <x v="5"/>
    <n v="5303"/>
    <n v="322599.16666666698"/>
    <n v="1161357"/>
  </r>
  <r>
    <x v="0"/>
    <x v="0"/>
    <x v="0"/>
    <x v="8"/>
    <x v="13"/>
    <s v="PL_A"/>
    <x v="11"/>
    <x v="5"/>
    <s v="GCND-CO-040"/>
    <x v="8"/>
    <x v="6"/>
    <n v="5303"/>
    <n v="322599.16666666698"/>
    <n v="1161357"/>
  </r>
  <r>
    <x v="0"/>
    <x v="0"/>
    <x v="0"/>
    <x v="8"/>
    <x v="13"/>
    <s v="PL_A"/>
    <x v="11"/>
    <x v="5"/>
    <s v="GCND-CO-040"/>
    <x v="8"/>
    <x v="7"/>
    <n v="5303"/>
    <n v="322599.16666666698"/>
    <n v="1161357"/>
  </r>
  <r>
    <x v="0"/>
    <x v="0"/>
    <x v="0"/>
    <x v="8"/>
    <x v="13"/>
    <s v="PL_A"/>
    <x v="11"/>
    <x v="5"/>
    <s v="GCND-CO-040"/>
    <x v="8"/>
    <x v="8"/>
    <n v="5303"/>
    <n v="322599.16666666698"/>
    <n v="1161357"/>
  </r>
  <r>
    <x v="0"/>
    <x v="0"/>
    <x v="0"/>
    <x v="8"/>
    <x v="13"/>
    <s v="PL_A"/>
    <x v="11"/>
    <x v="5"/>
    <s v="GCND-CO-040"/>
    <x v="8"/>
    <x v="9"/>
    <n v="5303"/>
    <n v="322599.16666666698"/>
    <n v="1161357"/>
  </r>
  <r>
    <x v="0"/>
    <x v="0"/>
    <x v="0"/>
    <x v="8"/>
    <x v="13"/>
    <s v="PL_A"/>
    <x v="11"/>
    <x v="5"/>
    <s v="GCND-CO-040"/>
    <x v="8"/>
    <x v="10"/>
    <n v="5303"/>
    <n v="322599.16666666698"/>
    <n v="1161357"/>
  </r>
  <r>
    <x v="0"/>
    <x v="0"/>
    <x v="0"/>
    <x v="8"/>
    <x v="13"/>
    <s v="PL_A"/>
    <x v="11"/>
    <x v="5"/>
    <s v="GCND-CO-040"/>
    <x v="8"/>
    <x v="11"/>
    <n v="5303"/>
    <n v="322599.16666666698"/>
    <n v="1161357"/>
  </r>
  <r>
    <x v="0"/>
    <x v="0"/>
    <x v="0"/>
    <x v="8"/>
    <x v="13"/>
    <s v="PL_A"/>
    <x v="11"/>
    <x v="5"/>
    <s v="GCND-CO-040"/>
    <x v="9"/>
    <x v="0"/>
    <n v="5303"/>
    <n v="322599.16666666698"/>
    <n v="1161357"/>
  </r>
  <r>
    <x v="0"/>
    <x v="0"/>
    <x v="0"/>
    <x v="8"/>
    <x v="13"/>
    <s v="PL_A"/>
    <x v="11"/>
    <x v="5"/>
    <s v="GCND-CO-040"/>
    <x v="9"/>
    <x v="1"/>
    <n v="5303"/>
    <n v="322599.16666666698"/>
    <n v="1161357"/>
  </r>
  <r>
    <x v="0"/>
    <x v="0"/>
    <x v="0"/>
    <x v="8"/>
    <x v="13"/>
    <s v="PL_A"/>
    <x v="11"/>
    <x v="5"/>
    <s v="GCND-CO-040"/>
    <x v="9"/>
    <x v="2"/>
    <n v="5303"/>
    <n v="322599.16666666698"/>
    <n v="1161357"/>
  </r>
  <r>
    <x v="0"/>
    <x v="0"/>
    <x v="0"/>
    <x v="8"/>
    <x v="13"/>
    <s v="PL_A"/>
    <x v="11"/>
    <x v="5"/>
    <s v="GCND-CO-040"/>
    <x v="9"/>
    <x v="3"/>
    <n v="5303"/>
    <n v="322599.16666666698"/>
    <n v="1161357"/>
  </r>
  <r>
    <x v="0"/>
    <x v="0"/>
    <x v="0"/>
    <x v="8"/>
    <x v="13"/>
    <s v="PL_A"/>
    <x v="11"/>
    <x v="5"/>
    <s v="GCND-CO-040"/>
    <x v="9"/>
    <x v="4"/>
    <n v="5303"/>
    <n v="322599.16666666698"/>
    <n v="1161357"/>
  </r>
  <r>
    <x v="0"/>
    <x v="0"/>
    <x v="0"/>
    <x v="8"/>
    <x v="13"/>
    <s v="PL_A"/>
    <x v="11"/>
    <x v="5"/>
    <s v="GCND-CO-040"/>
    <x v="9"/>
    <x v="5"/>
    <n v="5303"/>
    <n v="322599.16666666698"/>
    <n v="1161357"/>
  </r>
  <r>
    <x v="0"/>
    <x v="0"/>
    <x v="0"/>
    <x v="8"/>
    <x v="13"/>
    <s v="PL_A"/>
    <x v="11"/>
    <x v="5"/>
    <s v="GCND-CO-040"/>
    <x v="9"/>
    <x v="6"/>
    <n v="5303"/>
    <n v="322599.16666666698"/>
    <n v="1161357"/>
  </r>
  <r>
    <x v="0"/>
    <x v="0"/>
    <x v="0"/>
    <x v="8"/>
    <x v="13"/>
    <s v="PL_A"/>
    <x v="11"/>
    <x v="5"/>
    <s v="GCND-CO-040"/>
    <x v="9"/>
    <x v="7"/>
    <n v="5303"/>
    <n v="322599.16666666698"/>
    <n v="1161357"/>
  </r>
  <r>
    <x v="0"/>
    <x v="0"/>
    <x v="0"/>
    <x v="8"/>
    <x v="13"/>
    <s v="PL_A"/>
    <x v="11"/>
    <x v="5"/>
    <s v="GCND-CO-040"/>
    <x v="9"/>
    <x v="8"/>
    <n v="5303"/>
    <n v="322599.16666666698"/>
    <n v="1161357"/>
  </r>
  <r>
    <x v="0"/>
    <x v="0"/>
    <x v="0"/>
    <x v="8"/>
    <x v="13"/>
    <s v="PL_A"/>
    <x v="11"/>
    <x v="5"/>
    <s v="GCND-CO-040"/>
    <x v="9"/>
    <x v="9"/>
    <n v="5303"/>
    <n v="322599.16666666698"/>
    <n v="1161357"/>
  </r>
  <r>
    <x v="0"/>
    <x v="0"/>
    <x v="0"/>
    <x v="8"/>
    <x v="13"/>
    <s v="PL_A"/>
    <x v="11"/>
    <x v="5"/>
    <s v="GCND-CO-040"/>
    <x v="9"/>
    <x v="10"/>
    <n v="5303"/>
    <n v="322599.16666666698"/>
    <n v="1161357"/>
  </r>
  <r>
    <x v="0"/>
    <x v="0"/>
    <x v="0"/>
    <x v="8"/>
    <x v="13"/>
    <s v="PL_A"/>
    <x v="11"/>
    <x v="5"/>
    <s v="GCND-CO-040"/>
    <x v="9"/>
    <x v="11"/>
    <n v="5303"/>
    <n v="322599.16666666698"/>
    <n v="1161357"/>
  </r>
  <r>
    <x v="0"/>
    <x v="0"/>
    <x v="0"/>
    <x v="8"/>
    <x v="13"/>
    <s v="PL_A"/>
    <x v="11"/>
    <x v="5"/>
    <s v="GCND-CO-040"/>
    <x v="10"/>
    <x v="0"/>
    <n v="5303"/>
    <n v="322599.16666666698"/>
    <n v="1161357"/>
  </r>
  <r>
    <x v="0"/>
    <x v="0"/>
    <x v="0"/>
    <x v="8"/>
    <x v="13"/>
    <s v="PL_A"/>
    <x v="11"/>
    <x v="5"/>
    <s v="GCND-CO-040"/>
    <x v="10"/>
    <x v="1"/>
    <n v="4981.4545038087799"/>
    <n v="303038.48231503402"/>
    <n v="1090938.53633412"/>
  </r>
  <r>
    <x v="0"/>
    <x v="0"/>
    <x v="0"/>
    <x v="8"/>
    <x v="13"/>
    <s v="PL_A"/>
    <x v="11"/>
    <x v="5"/>
    <s v="GCND-CO-040"/>
    <x v="10"/>
    <x v="2"/>
    <n v="5114.7412409683102"/>
    <n v="311146.75882557197"/>
    <n v="1120128.3317720599"/>
  </r>
  <r>
    <x v="0"/>
    <x v="0"/>
    <x v="0"/>
    <x v="8"/>
    <x v="13"/>
    <s v="PL_A"/>
    <x v="11"/>
    <x v="5"/>
    <s v="GCND-CO-040"/>
    <x v="10"/>
    <x v="3"/>
    <n v="5169.2816355957302"/>
    <n v="314464.63283207401"/>
    <n v="1132072.67819547"/>
  </r>
  <r>
    <x v="0"/>
    <x v="0"/>
    <x v="0"/>
    <x v="8"/>
    <x v="13"/>
    <s v="PL_A"/>
    <x v="11"/>
    <x v="5"/>
    <s v="GCND-CO-040"/>
    <x v="10"/>
    <x v="4"/>
    <n v="5303"/>
    <n v="322599.16666666698"/>
    <n v="1161357"/>
  </r>
  <r>
    <x v="0"/>
    <x v="0"/>
    <x v="0"/>
    <x v="8"/>
    <x v="13"/>
    <s v="PL_A"/>
    <x v="11"/>
    <x v="5"/>
    <s v="GCND-CO-040"/>
    <x v="10"/>
    <x v="5"/>
    <n v="5303"/>
    <n v="322599.16666666698"/>
    <n v="1161357"/>
  </r>
  <r>
    <x v="0"/>
    <x v="0"/>
    <x v="0"/>
    <x v="8"/>
    <x v="13"/>
    <s v="PL_A"/>
    <x v="11"/>
    <x v="5"/>
    <s v="GCND-CO-040"/>
    <x v="10"/>
    <x v="6"/>
    <n v="5303"/>
    <n v="322599.16666666698"/>
    <n v="1161357"/>
  </r>
  <r>
    <x v="0"/>
    <x v="0"/>
    <x v="0"/>
    <x v="8"/>
    <x v="13"/>
    <s v="PL_A"/>
    <x v="11"/>
    <x v="5"/>
    <s v="GCND-CO-040"/>
    <x v="10"/>
    <x v="7"/>
    <n v="5303"/>
    <n v="322599.16666666698"/>
    <n v="1161357"/>
  </r>
  <r>
    <x v="0"/>
    <x v="0"/>
    <x v="0"/>
    <x v="8"/>
    <x v="13"/>
    <s v="PL_A"/>
    <x v="11"/>
    <x v="5"/>
    <s v="GCND-CO-040"/>
    <x v="10"/>
    <x v="8"/>
    <n v="5303"/>
    <n v="322599.16666666698"/>
    <n v="1161357"/>
  </r>
  <r>
    <x v="0"/>
    <x v="0"/>
    <x v="0"/>
    <x v="8"/>
    <x v="13"/>
    <s v="PL_A"/>
    <x v="11"/>
    <x v="5"/>
    <s v="GCND-CO-040"/>
    <x v="10"/>
    <x v="9"/>
    <n v="5303"/>
    <n v="322599.16666666698"/>
    <n v="1161357"/>
  </r>
  <r>
    <x v="0"/>
    <x v="0"/>
    <x v="0"/>
    <x v="8"/>
    <x v="13"/>
    <s v="PL_A"/>
    <x v="11"/>
    <x v="5"/>
    <s v="GCND-CO-040"/>
    <x v="10"/>
    <x v="10"/>
    <n v="5303"/>
    <n v="322599.16666666698"/>
    <n v="1161357"/>
  </r>
  <r>
    <x v="0"/>
    <x v="0"/>
    <x v="0"/>
    <x v="8"/>
    <x v="13"/>
    <s v="PL_A"/>
    <x v="11"/>
    <x v="5"/>
    <s v="GCND-CO-040"/>
    <x v="10"/>
    <x v="11"/>
    <n v="5303"/>
    <n v="322599.16666666698"/>
    <n v="1161357"/>
  </r>
  <r>
    <x v="0"/>
    <x v="0"/>
    <x v="0"/>
    <x v="8"/>
    <x v="13"/>
    <s v="PL_A"/>
    <x v="11"/>
    <x v="5"/>
    <s v="GCND-CO-040"/>
    <x v="11"/>
    <x v="0"/>
    <n v="5303"/>
    <n v="322599.16666666698"/>
    <n v="1161357"/>
  </r>
  <r>
    <x v="0"/>
    <x v="0"/>
    <x v="0"/>
    <x v="8"/>
    <x v="13"/>
    <s v="PL_A"/>
    <x v="11"/>
    <x v="5"/>
    <s v="GCND-CO-040"/>
    <x v="11"/>
    <x v="1"/>
    <n v="4900.3045061811999"/>
    <n v="298101.85745935602"/>
    <n v="1073166.6868536801"/>
  </r>
  <r>
    <x v="0"/>
    <x v="0"/>
    <x v="0"/>
    <x v="8"/>
    <x v="13"/>
    <s v="PL_A"/>
    <x v="11"/>
    <x v="5"/>
    <s v="GCND-CO-040"/>
    <x v="11"/>
    <x v="2"/>
    <n v="4866.94666608632"/>
    <n v="296072.58885358402"/>
    <n v="1065861.3198728999"/>
  </r>
  <r>
    <x v="0"/>
    <x v="0"/>
    <x v="0"/>
    <x v="8"/>
    <x v="13"/>
    <s v="PL_A"/>
    <x v="11"/>
    <x v="5"/>
    <s v="GCND-CO-040"/>
    <x v="11"/>
    <x v="3"/>
    <n v="4869.0861010992703"/>
    <n v="296202.73781687202"/>
    <n v="1066329.85614074"/>
  </r>
  <r>
    <x v="0"/>
    <x v="0"/>
    <x v="0"/>
    <x v="8"/>
    <x v="13"/>
    <s v="PL_A"/>
    <x v="11"/>
    <x v="5"/>
    <s v="GCND-CO-040"/>
    <x v="11"/>
    <x v="4"/>
    <n v="5303"/>
    <n v="322599.16666666698"/>
    <n v="1161357"/>
  </r>
  <r>
    <x v="0"/>
    <x v="0"/>
    <x v="0"/>
    <x v="8"/>
    <x v="13"/>
    <s v="PL_A"/>
    <x v="11"/>
    <x v="5"/>
    <s v="GCND-CO-040"/>
    <x v="11"/>
    <x v="5"/>
    <n v="5303"/>
    <n v="322599.16666666698"/>
    <n v="1161357"/>
  </r>
  <r>
    <x v="0"/>
    <x v="0"/>
    <x v="0"/>
    <x v="8"/>
    <x v="13"/>
    <s v="PL_A"/>
    <x v="11"/>
    <x v="5"/>
    <s v="GCND-CO-040"/>
    <x v="11"/>
    <x v="6"/>
    <n v="5303"/>
    <n v="322599.16666666698"/>
    <n v="1161357"/>
  </r>
  <r>
    <x v="0"/>
    <x v="0"/>
    <x v="0"/>
    <x v="8"/>
    <x v="13"/>
    <s v="PL_A"/>
    <x v="11"/>
    <x v="5"/>
    <s v="GCND-CO-040"/>
    <x v="11"/>
    <x v="7"/>
    <n v="5303"/>
    <n v="322599.16666666698"/>
    <n v="1161357"/>
  </r>
  <r>
    <x v="0"/>
    <x v="0"/>
    <x v="0"/>
    <x v="8"/>
    <x v="13"/>
    <s v="PL_A"/>
    <x v="11"/>
    <x v="5"/>
    <s v="GCND-CO-040"/>
    <x v="11"/>
    <x v="8"/>
    <n v="5303"/>
    <n v="322599.16666666698"/>
    <n v="1161357"/>
  </r>
  <r>
    <x v="0"/>
    <x v="0"/>
    <x v="0"/>
    <x v="8"/>
    <x v="13"/>
    <s v="PL_A"/>
    <x v="11"/>
    <x v="5"/>
    <s v="GCND-CO-040"/>
    <x v="11"/>
    <x v="9"/>
    <n v="5303"/>
    <n v="322599.16666666698"/>
    <n v="1161357"/>
  </r>
  <r>
    <x v="0"/>
    <x v="0"/>
    <x v="0"/>
    <x v="8"/>
    <x v="13"/>
    <s v="PL_A"/>
    <x v="11"/>
    <x v="5"/>
    <s v="GCND-CO-040"/>
    <x v="11"/>
    <x v="10"/>
    <n v="5303"/>
    <n v="322599.16666666698"/>
    <n v="1161357"/>
  </r>
  <r>
    <x v="0"/>
    <x v="0"/>
    <x v="0"/>
    <x v="8"/>
    <x v="13"/>
    <s v="PL_A"/>
    <x v="11"/>
    <x v="5"/>
    <s v="GCND-CO-040"/>
    <x v="11"/>
    <x v="11"/>
    <n v="5303"/>
    <n v="322599.16666666698"/>
    <n v="1161357"/>
  </r>
  <r>
    <x v="0"/>
    <x v="0"/>
    <x v="0"/>
    <x v="8"/>
    <x v="13"/>
    <s v="PL_A"/>
    <x v="12"/>
    <x v="5"/>
    <s v="GCND-LI"/>
    <x v="0"/>
    <x v="0"/>
    <n v="2403"/>
    <n v="146182.5"/>
    <n v="526257"/>
  </r>
  <r>
    <x v="0"/>
    <x v="0"/>
    <x v="0"/>
    <x v="8"/>
    <x v="13"/>
    <s v="PL_A"/>
    <x v="12"/>
    <x v="5"/>
    <s v="GCND-LI"/>
    <x v="0"/>
    <x v="1"/>
    <n v="2403"/>
    <n v="146182.5"/>
    <n v="526257"/>
  </r>
  <r>
    <x v="0"/>
    <x v="0"/>
    <x v="0"/>
    <x v="8"/>
    <x v="13"/>
    <s v="PL_A"/>
    <x v="12"/>
    <x v="5"/>
    <s v="GCND-LI"/>
    <x v="0"/>
    <x v="2"/>
    <n v="2403"/>
    <n v="146182.5"/>
    <n v="526257"/>
  </r>
  <r>
    <x v="0"/>
    <x v="0"/>
    <x v="0"/>
    <x v="8"/>
    <x v="13"/>
    <s v="PL_A"/>
    <x v="12"/>
    <x v="5"/>
    <s v="GCND-LI"/>
    <x v="0"/>
    <x v="3"/>
    <n v="2403"/>
    <n v="146182.5"/>
    <n v="526257"/>
  </r>
  <r>
    <x v="0"/>
    <x v="0"/>
    <x v="0"/>
    <x v="8"/>
    <x v="13"/>
    <s v="PL_A"/>
    <x v="12"/>
    <x v="5"/>
    <s v="GCND-LI"/>
    <x v="0"/>
    <x v="4"/>
    <n v="2403"/>
    <n v="146182.5"/>
    <n v="526257"/>
  </r>
  <r>
    <x v="0"/>
    <x v="0"/>
    <x v="0"/>
    <x v="8"/>
    <x v="13"/>
    <s v="PL_A"/>
    <x v="12"/>
    <x v="5"/>
    <s v="GCND-LI"/>
    <x v="0"/>
    <x v="5"/>
    <n v="2403"/>
    <n v="146182.5"/>
    <n v="526257"/>
  </r>
  <r>
    <x v="0"/>
    <x v="0"/>
    <x v="0"/>
    <x v="8"/>
    <x v="13"/>
    <s v="PL_A"/>
    <x v="12"/>
    <x v="5"/>
    <s v="GCND-LI"/>
    <x v="0"/>
    <x v="6"/>
    <n v="2403"/>
    <n v="146182.5"/>
    <n v="526257"/>
  </r>
  <r>
    <x v="0"/>
    <x v="0"/>
    <x v="0"/>
    <x v="8"/>
    <x v="13"/>
    <s v="PL_A"/>
    <x v="12"/>
    <x v="5"/>
    <s v="GCND-LI"/>
    <x v="0"/>
    <x v="7"/>
    <n v="2403"/>
    <n v="146182.5"/>
    <n v="526257"/>
  </r>
  <r>
    <x v="0"/>
    <x v="0"/>
    <x v="0"/>
    <x v="8"/>
    <x v="13"/>
    <s v="PL_A"/>
    <x v="12"/>
    <x v="5"/>
    <s v="GCND-LI"/>
    <x v="0"/>
    <x v="8"/>
    <n v="2403"/>
    <n v="146182.5"/>
    <n v="526257"/>
  </r>
  <r>
    <x v="0"/>
    <x v="0"/>
    <x v="0"/>
    <x v="8"/>
    <x v="13"/>
    <s v="PL_A"/>
    <x v="12"/>
    <x v="5"/>
    <s v="GCND-LI"/>
    <x v="0"/>
    <x v="9"/>
    <n v="2403"/>
    <n v="146182.5"/>
    <n v="526257"/>
  </r>
  <r>
    <x v="0"/>
    <x v="0"/>
    <x v="0"/>
    <x v="8"/>
    <x v="13"/>
    <s v="PL_A"/>
    <x v="12"/>
    <x v="5"/>
    <s v="GCND-LI"/>
    <x v="0"/>
    <x v="10"/>
    <n v="2403"/>
    <n v="146182.5"/>
    <n v="526257"/>
  </r>
  <r>
    <x v="0"/>
    <x v="0"/>
    <x v="0"/>
    <x v="8"/>
    <x v="13"/>
    <s v="PL_A"/>
    <x v="12"/>
    <x v="5"/>
    <s v="GCND-LI"/>
    <x v="0"/>
    <x v="11"/>
    <n v="2403"/>
    <n v="146182.5"/>
    <n v="526257"/>
  </r>
  <r>
    <x v="0"/>
    <x v="0"/>
    <x v="0"/>
    <x v="8"/>
    <x v="13"/>
    <s v="PL_A"/>
    <x v="12"/>
    <x v="5"/>
    <s v="GCND-LI"/>
    <x v="1"/>
    <x v="0"/>
    <n v="2403"/>
    <n v="146182.5"/>
    <n v="526257"/>
  </r>
  <r>
    <x v="0"/>
    <x v="0"/>
    <x v="0"/>
    <x v="8"/>
    <x v="13"/>
    <s v="PL_A"/>
    <x v="12"/>
    <x v="5"/>
    <s v="GCND-LI"/>
    <x v="1"/>
    <x v="1"/>
    <n v="2403"/>
    <n v="146182.5"/>
    <n v="526257"/>
  </r>
  <r>
    <x v="0"/>
    <x v="0"/>
    <x v="0"/>
    <x v="8"/>
    <x v="13"/>
    <s v="PL_A"/>
    <x v="12"/>
    <x v="5"/>
    <s v="GCND-LI"/>
    <x v="1"/>
    <x v="2"/>
    <n v="2403"/>
    <n v="146182.5"/>
    <n v="526257"/>
  </r>
  <r>
    <x v="0"/>
    <x v="0"/>
    <x v="0"/>
    <x v="8"/>
    <x v="13"/>
    <s v="PL_A"/>
    <x v="12"/>
    <x v="5"/>
    <s v="GCND-LI"/>
    <x v="1"/>
    <x v="3"/>
    <n v="2403"/>
    <n v="146182.5"/>
    <n v="526257"/>
  </r>
  <r>
    <x v="0"/>
    <x v="0"/>
    <x v="0"/>
    <x v="8"/>
    <x v="13"/>
    <s v="PL_A"/>
    <x v="12"/>
    <x v="5"/>
    <s v="GCND-LI"/>
    <x v="1"/>
    <x v="4"/>
    <n v="2403"/>
    <n v="146182.5"/>
    <n v="526257"/>
  </r>
  <r>
    <x v="0"/>
    <x v="0"/>
    <x v="0"/>
    <x v="8"/>
    <x v="13"/>
    <s v="PL_A"/>
    <x v="12"/>
    <x v="5"/>
    <s v="GCND-LI"/>
    <x v="1"/>
    <x v="5"/>
    <n v="2403"/>
    <n v="146182.5"/>
    <n v="526257"/>
  </r>
  <r>
    <x v="0"/>
    <x v="0"/>
    <x v="0"/>
    <x v="8"/>
    <x v="13"/>
    <s v="PL_A"/>
    <x v="12"/>
    <x v="5"/>
    <s v="GCND-LI"/>
    <x v="1"/>
    <x v="6"/>
    <n v="2403"/>
    <n v="146182.5"/>
    <n v="526257"/>
  </r>
  <r>
    <x v="0"/>
    <x v="0"/>
    <x v="0"/>
    <x v="8"/>
    <x v="13"/>
    <s v="PL_A"/>
    <x v="12"/>
    <x v="5"/>
    <s v="GCND-LI"/>
    <x v="1"/>
    <x v="7"/>
    <n v="2403"/>
    <n v="146182.5"/>
    <n v="526257"/>
  </r>
  <r>
    <x v="0"/>
    <x v="0"/>
    <x v="0"/>
    <x v="8"/>
    <x v="13"/>
    <s v="PL_A"/>
    <x v="12"/>
    <x v="5"/>
    <s v="GCND-LI"/>
    <x v="1"/>
    <x v="8"/>
    <n v="2403"/>
    <n v="146182.5"/>
    <n v="526257"/>
  </r>
  <r>
    <x v="0"/>
    <x v="0"/>
    <x v="0"/>
    <x v="8"/>
    <x v="13"/>
    <s v="PL_A"/>
    <x v="12"/>
    <x v="5"/>
    <s v="GCND-LI"/>
    <x v="1"/>
    <x v="9"/>
    <n v="2403"/>
    <n v="146182.5"/>
    <n v="526257"/>
  </r>
  <r>
    <x v="0"/>
    <x v="0"/>
    <x v="0"/>
    <x v="8"/>
    <x v="13"/>
    <s v="PL_A"/>
    <x v="12"/>
    <x v="5"/>
    <s v="GCND-LI"/>
    <x v="1"/>
    <x v="10"/>
    <n v="2403"/>
    <n v="146182.5"/>
    <n v="526257"/>
  </r>
  <r>
    <x v="0"/>
    <x v="0"/>
    <x v="0"/>
    <x v="8"/>
    <x v="13"/>
    <s v="PL_A"/>
    <x v="12"/>
    <x v="5"/>
    <s v="GCND-LI"/>
    <x v="1"/>
    <x v="11"/>
    <n v="2403"/>
    <n v="146182.5"/>
    <n v="526257"/>
  </r>
  <r>
    <x v="0"/>
    <x v="0"/>
    <x v="0"/>
    <x v="8"/>
    <x v="13"/>
    <s v="PL_A"/>
    <x v="12"/>
    <x v="5"/>
    <s v="GCND-LI"/>
    <x v="2"/>
    <x v="0"/>
    <n v="2403"/>
    <n v="146182.5"/>
    <n v="526257"/>
  </r>
  <r>
    <x v="0"/>
    <x v="0"/>
    <x v="0"/>
    <x v="8"/>
    <x v="13"/>
    <s v="PL_A"/>
    <x v="12"/>
    <x v="5"/>
    <s v="GCND-LI"/>
    <x v="2"/>
    <x v="1"/>
    <n v="2403"/>
    <n v="146182.5"/>
    <n v="526257"/>
  </r>
  <r>
    <x v="0"/>
    <x v="0"/>
    <x v="0"/>
    <x v="8"/>
    <x v="13"/>
    <s v="PL_A"/>
    <x v="12"/>
    <x v="5"/>
    <s v="GCND-LI"/>
    <x v="2"/>
    <x v="2"/>
    <n v="2403"/>
    <n v="146182.5"/>
    <n v="526257"/>
  </r>
  <r>
    <x v="0"/>
    <x v="0"/>
    <x v="0"/>
    <x v="8"/>
    <x v="13"/>
    <s v="PL_A"/>
    <x v="12"/>
    <x v="5"/>
    <s v="GCND-LI"/>
    <x v="2"/>
    <x v="3"/>
    <n v="2403"/>
    <n v="146182.5"/>
    <n v="526257"/>
  </r>
  <r>
    <x v="0"/>
    <x v="0"/>
    <x v="0"/>
    <x v="8"/>
    <x v="13"/>
    <s v="PL_A"/>
    <x v="12"/>
    <x v="5"/>
    <s v="GCND-LI"/>
    <x v="2"/>
    <x v="4"/>
    <n v="2403"/>
    <n v="146182.5"/>
    <n v="526257"/>
  </r>
  <r>
    <x v="0"/>
    <x v="0"/>
    <x v="0"/>
    <x v="8"/>
    <x v="13"/>
    <s v="PL_A"/>
    <x v="12"/>
    <x v="5"/>
    <s v="GCND-LI"/>
    <x v="2"/>
    <x v="5"/>
    <n v="2403"/>
    <n v="146182.5"/>
    <n v="526257"/>
  </r>
  <r>
    <x v="0"/>
    <x v="0"/>
    <x v="0"/>
    <x v="8"/>
    <x v="13"/>
    <s v="PL_A"/>
    <x v="12"/>
    <x v="5"/>
    <s v="GCND-LI"/>
    <x v="2"/>
    <x v="6"/>
    <n v="2403"/>
    <n v="146182.5"/>
    <n v="526257"/>
  </r>
  <r>
    <x v="0"/>
    <x v="0"/>
    <x v="0"/>
    <x v="8"/>
    <x v="13"/>
    <s v="PL_A"/>
    <x v="12"/>
    <x v="5"/>
    <s v="GCND-LI"/>
    <x v="2"/>
    <x v="7"/>
    <n v="2403"/>
    <n v="146182.5"/>
    <n v="526257"/>
  </r>
  <r>
    <x v="0"/>
    <x v="0"/>
    <x v="0"/>
    <x v="8"/>
    <x v="13"/>
    <s v="PL_A"/>
    <x v="12"/>
    <x v="5"/>
    <s v="GCND-LI"/>
    <x v="2"/>
    <x v="8"/>
    <n v="2403"/>
    <n v="146182.5"/>
    <n v="526257"/>
  </r>
  <r>
    <x v="0"/>
    <x v="0"/>
    <x v="0"/>
    <x v="8"/>
    <x v="13"/>
    <s v="PL_A"/>
    <x v="12"/>
    <x v="5"/>
    <s v="GCND-LI"/>
    <x v="2"/>
    <x v="9"/>
    <n v="2403"/>
    <n v="146182.5"/>
    <n v="526257"/>
  </r>
  <r>
    <x v="0"/>
    <x v="0"/>
    <x v="0"/>
    <x v="8"/>
    <x v="13"/>
    <s v="PL_A"/>
    <x v="12"/>
    <x v="5"/>
    <s v="GCND-LI"/>
    <x v="2"/>
    <x v="10"/>
    <n v="2403"/>
    <n v="146182.5"/>
    <n v="526257"/>
  </r>
  <r>
    <x v="0"/>
    <x v="0"/>
    <x v="0"/>
    <x v="8"/>
    <x v="13"/>
    <s v="PL_A"/>
    <x v="12"/>
    <x v="5"/>
    <s v="GCND-LI"/>
    <x v="2"/>
    <x v="11"/>
    <n v="2403"/>
    <n v="146182.5"/>
    <n v="526257"/>
  </r>
  <r>
    <x v="0"/>
    <x v="0"/>
    <x v="0"/>
    <x v="8"/>
    <x v="13"/>
    <s v="PL_A"/>
    <x v="12"/>
    <x v="5"/>
    <s v="GCND-LI"/>
    <x v="3"/>
    <x v="0"/>
    <n v="2403"/>
    <n v="146182.5"/>
    <n v="526257"/>
  </r>
  <r>
    <x v="0"/>
    <x v="0"/>
    <x v="0"/>
    <x v="8"/>
    <x v="13"/>
    <s v="PL_A"/>
    <x v="12"/>
    <x v="5"/>
    <s v="GCND-LI"/>
    <x v="3"/>
    <x v="1"/>
    <n v="2403"/>
    <n v="146182.5"/>
    <n v="526257"/>
  </r>
  <r>
    <x v="0"/>
    <x v="0"/>
    <x v="0"/>
    <x v="8"/>
    <x v="13"/>
    <s v="PL_A"/>
    <x v="12"/>
    <x v="5"/>
    <s v="GCND-LI"/>
    <x v="3"/>
    <x v="2"/>
    <n v="2403"/>
    <n v="146182.5"/>
    <n v="526257"/>
  </r>
  <r>
    <x v="0"/>
    <x v="0"/>
    <x v="0"/>
    <x v="8"/>
    <x v="13"/>
    <s v="PL_A"/>
    <x v="12"/>
    <x v="5"/>
    <s v="GCND-LI"/>
    <x v="3"/>
    <x v="3"/>
    <n v="2403"/>
    <n v="146182.5"/>
    <n v="526257"/>
  </r>
  <r>
    <x v="0"/>
    <x v="0"/>
    <x v="0"/>
    <x v="8"/>
    <x v="13"/>
    <s v="PL_A"/>
    <x v="12"/>
    <x v="5"/>
    <s v="GCND-LI"/>
    <x v="3"/>
    <x v="4"/>
    <n v="2403"/>
    <n v="146182.5"/>
    <n v="526257"/>
  </r>
  <r>
    <x v="0"/>
    <x v="0"/>
    <x v="0"/>
    <x v="8"/>
    <x v="13"/>
    <s v="PL_A"/>
    <x v="12"/>
    <x v="5"/>
    <s v="GCND-LI"/>
    <x v="3"/>
    <x v="5"/>
    <n v="2403"/>
    <n v="146182.5"/>
    <n v="526257"/>
  </r>
  <r>
    <x v="0"/>
    <x v="0"/>
    <x v="0"/>
    <x v="8"/>
    <x v="13"/>
    <s v="PL_A"/>
    <x v="12"/>
    <x v="5"/>
    <s v="GCND-LI"/>
    <x v="3"/>
    <x v="6"/>
    <n v="2403"/>
    <n v="146182.5"/>
    <n v="526257"/>
  </r>
  <r>
    <x v="0"/>
    <x v="0"/>
    <x v="0"/>
    <x v="8"/>
    <x v="13"/>
    <s v="PL_A"/>
    <x v="12"/>
    <x v="5"/>
    <s v="GCND-LI"/>
    <x v="3"/>
    <x v="7"/>
    <n v="2403"/>
    <n v="146182.5"/>
    <n v="526257"/>
  </r>
  <r>
    <x v="0"/>
    <x v="0"/>
    <x v="0"/>
    <x v="8"/>
    <x v="13"/>
    <s v="PL_A"/>
    <x v="12"/>
    <x v="5"/>
    <s v="GCND-LI"/>
    <x v="3"/>
    <x v="8"/>
    <n v="2403"/>
    <n v="146182.5"/>
    <n v="526257"/>
  </r>
  <r>
    <x v="0"/>
    <x v="0"/>
    <x v="0"/>
    <x v="8"/>
    <x v="13"/>
    <s v="PL_A"/>
    <x v="12"/>
    <x v="5"/>
    <s v="GCND-LI"/>
    <x v="3"/>
    <x v="9"/>
    <n v="2403"/>
    <n v="146182.5"/>
    <n v="526257"/>
  </r>
  <r>
    <x v="0"/>
    <x v="0"/>
    <x v="0"/>
    <x v="8"/>
    <x v="13"/>
    <s v="PL_A"/>
    <x v="12"/>
    <x v="5"/>
    <s v="GCND-LI"/>
    <x v="3"/>
    <x v="10"/>
    <n v="2403"/>
    <n v="146182.5"/>
    <n v="526257"/>
  </r>
  <r>
    <x v="0"/>
    <x v="0"/>
    <x v="0"/>
    <x v="8"/>
    <x v="13"/>
    <s v="PL_A"/>
    <x v="12"/>
    <x v="5"/>
    <s v="GCND-LI"/>
    <x v="3"/>
    <x v="11"/>
    <n v="2403"/>
    <n v="146182.5"/>
    <n v="526257"/>
  </r>
  <r>
    <x v="0"/>
    <x v="0"/>
    <x v="0"/>
    <x v="8"/>
    <x v="13"/>
    <s v="PL_A"/>
    <x v="12"/>
    <x v="5"/>
    <s v="GCND-LI"/>
    <x v="4"/>
    <x v="0"/>
    <n v="2403"/>
    <n v="146182.5"/>
    <n v="526257"/>
  </r>
  <r>
    <x v="0"/>
    <x v="0"/>
    <x v="0"/>
    <x v="8"/>
    <x v="13"/>
    <s v="PL_A"/>
    <x v="12"/>
    <x v="5"/>
    <s v="GCND-LI"/>
    <x v="4"/>
    <x v="1"/>
    <n v="2403"/>
    <n v="146182.5"/>
    <n v="526257"/>
  </r>
  <r>
    <x v="0"/>
    <x v="0"/>
    <x v="0"/>
    <x v="8"/>
    <x v="13"/>
    <s v="PL_A"/>
    <x v="12"/>
    <x v="5"/>
    <s v="GCND-LI"/>
    <x v="4"/>
    <x v="2"/>
    <n v="2403"/>
    <n v="146182.5"/>
    <n v="526257"/>
  </r>
  <r>
    <x v="0"/>
    <x v="0"/>
    <x v="0"/>
    <x v="8"/>
    <x v="13"/>
    <s v="PL_A"/>
    <x v="12"/>
    <x v="5"/>
    <s v="GCND-LI"/>
    <x v="4"/>
    <x v="3"/>
    <n v="2403"/>
    <n v="146182.5"/>
    <n v="526257"/>
  </r>
  <r>
    <x v="0"/>
    <x v="0"/>
    <x v="0"/>
    <x v="8"/>
    <x v="13"/>
    <s v="PL_A"/>
    <x v="12"/>
    <x v="5"/>
    <s v="GCND-LI"/>
    <x v="4"/>
    <x v="4"/>
    <n v="2403"/>
    <n v="146182.5"/>
    <n v="526257"/>
  </r>
  <r>
    <x v="0"/>
    <x v="0"/>
    <x v="0"/>
    <x v="8"/>
    <x v="13"/>
    <s v="PL_A"/>
    <x v="12"/>
    <x v="5"/>
    <s v="GCND-LI"/>
    <x v="4"/>
    <x v="5"/>
    <n v="2403"/>
    <n v="146182.5"/>
    <n v="526257"/>
  </r>
  <r>
    <x v="0"/>
    <x v="0"/>
    <x v="0"/>
    <x v="8"/>
    <x v="13"/>
    <s v="PL_A"/>
    <x v="12"/>
    <x v="5"/>
    <s v="GCND-LI"/>
    <x v="4"/>
    <x v="6"/>
    <n v="2403"/>
    <n v="146182.5"/>
    <n v="526257"/>
  </r>
  <r>
    <x v="0"/>
    <x v="0"/>
    <x v="0"/>
    <x v="8"/>
    <x v="13"/>
    <s v="PL_A"/>
    <x v="12"/>
    <x v="5"/>
    <s v="GCND-LI"/>
    <x v="4"/>
    <x v="7"/>
    <n v="2403"/>
    <n v="146182.5"/>
    <n v="526257"/>
  </r>
  <r>
    <x v="0"/>
    <x v="0"/>
    <x v="0"/>
    <x v="8"/>
    <x v="13"/>
    <s v="PL_A"/>
    <x v="12"/>
    <x v="5"/>
    <s v="GCND-LI"/>
    <x v="4"/>
    <x v="8"/>
    <n v="2403"/>
    <n v="146182.5"/>
    <n v="526257"/>
  </r>
  <r>
    <x v="0"/>
    <x v="0"/>
    <x v="0"/>
    <x v="8"/>
    <x v="13"/>
    <s v="PL_A"/>
    <x v="12"/>
    <x v="5"/>
    <s v="GCND-LI"/>
    <x v="4"/>
    <x v="9"/>
    <n v="2403"/>
    <n v="146182.5"/>
    <n v="526257"/>
  </r>
  <r>
    <x v="0"/>
    <x v="0"/>
    <x v="0"/>
    <x v="8"/>
    <x v="13"/>
    <s v="PL_A"/>
    <x v="12"/>
    <x v="5"/>
    <s v="GCND-LI"/>
    <x v="4"/>
    <x v="10"/>
    <n v="2403"/>
    <n v="146182.5"/>
    <n v="526257"/>
  </r>
  <r>
    <x v="0"/>
    <x v="0"/>
    <x v="0"/>
    <x v="8"/>
    <x v="13"/>
    <s v="PL_A"/>
    <x v="12"/>
    <x v="5"/>
    <s v="GCND-LI"/>
    <x v="4"/>
    <x v="11"/>
    <n v="2403"/>
    <n v="146182.5"/>
    <n v="526257"/>
  </r>
  <r>
    <x v="0"/>
    <x v="0"/>
    <x v="0"/>
    <x v="8"/>
    <x v="13"/>
    <s v="PL_A"/>
    <x v="12"/>
    <x v="5"/>
    <s v="GCND-LI"/>
    <x v="5"/>
    <x v="0"/>
    <n v="2403"/>
    <n v="146182.5"/>
    <n v="526257"/>
  </r>
  <r>
    <x v="0"/>
    <x v="0"/>
    <x v="0"/>
    <x v="8"/>
    <x v="13"/>
    <s v="PL_A"/>
    <x v="12"/>
    <x v="5"/>
    <s v="GCND-LI"/>
    <x v="5"/>
    <x v="1"/>
    <n v="2403"/>
    <n v="146182.5"/>
    <n v="526257"/>
  </r>
  <r>
    <x v="0"/>
    <x v="0"/>
    <x v="0"/>
    <x v="8"/>
    <x v="13"/>
    <s v="PL_A"/>
    <x v="12"/>
    <x v="5"/>
    <s v="GCND-LI"/>
    <x v="5"/>
    <x v="2"/>
    <n v="2403"/>
    <n v="146182.5"/>
    <n v="526257"/>
  </r>
  <r>
    <x v="0"/>
    <x v="0"/>
    <x v="0"/>
    <x v="8"/>
    <x v="13"/>
    <s v="PL_A"/>
    <x v="12"/>
    <x v="5"/>
    <s v="GCND-LI"/>
    <x v="5"/>
    <x v="3"/>
    <n v="2403"/>
    <n v="146182.5"/>
    <n v="526257"/>
  </r>
  <r>
    <x v="0"/>
    <x v="0"/>
    <x v="0"/>
    <x v="8"/>
    <x v="13"/>
    <s v="PL_A"/>
    <x v="12"/>
    <x v="5"/>
    <s v="GCND-LI"/>
    <x v="5"/>
    <x v="4"/>
    <n v="2403"/>
    <n v="146182.5"/>
    <n v="526257"/>
  </r>
  <r>
    <x v="0"/>
    <x v="0"/>
    <x v="0"/>
    <x v="8"/>
    <x v="13"/>
    <s v="PL_A"/>
    <x v="12"/>
    <x v="5"/>
    <s v="GCND-LI"/>
    <x v="5"/>
    <x v="5"/>
    <n v="2403"/>
    <n v="146182.5"/>
    <n v="526257"/>
  </r>
  <r>
    <x v="0"/>
    <x v="0"/>
    <x v="0"/>
    <x v="8"/>
    <x v="13"/>
    <s v="PL_A"/>
    <x v="12"/>
    <x v="5"/>
    <s v="GCND-LI"/>
    <x v="5"/>
    <x v="6"/>
    <n v="2403"/>
    <n v="146182.5"/>
    <n v="526257"/>
  </r>
  <r>
    <x v="0"/>
    <x v="0"/>
    <x v="0"/>
    <x v="8"/>
    <x v="13"/>
    <s v="PL_A"/>
    <x v="12"/>
    <x v="5"/>
    <s v="GCND-LI"/>
    <x v="5"/>
    <x v="7"/>
    <n v="2403"/>
    <n v="146182.5"/>
    <n v="526257"/>
  </r>
  <r>
    <x v="0"/>
    <x v="0"/>
    <x v="0"/>
    <x v="8"/>
    <x v="13"/>
    <s v="PL_A"/>
    <x v="12"/>
    <x v="5"/>
    <s v="GCND-LI"/>
    <x v="5"/>
    <x v="8"/>
    <n v="2403"/>
    <n v="146182.5"/>
    <n v="526257"/>
  </r>
  <r>
    <x v="0"/>
    <x v="0"/>
    <x v="0"/>
    <x v="8"/>
    <x v="13"/>
    <s v="PL_A"/>
    <x v="12"/>
    <x v="5"/>
    <s v="GCND-LI"/>
    <x v="5"/>
    <x v="9"/>
    <n v="2403"/>
    <n v="146182.5"/>
    <n v="526257"/>
  </r>
  <r>
    <x v="0"/>
    <x v="0"/>
    <x v="0"/>
    <x v="8"/>
    <x v="13"/>
    <s v="PL_A"/>
    <x v="12"/>
    <x v="5"/>
    <s v="GCND-LI"/>
    <x v="5"/>
    <x v="10"/>
    <n v="2403"/>
    <n v="146182.5"/>
    <n v="526257"/>
  </r>
  <r>
    <x v="0"/>
    <x v="0"/>
    <x v="0"/>
    <x v="8"/>
    <x v="13"/>
    <s v="PL_A"/>
    <x v="12"/>
    <x v="5"/>
    <s v="GCND-LI"/>
    <x v="5"/>
    <x v="11"/>
    <n v="2403"/>
    <n v="146182.5"/>
    <n v="526257"/>
  </r>
  <r>
    <x v="0"/>
    <x v="0"/>
    <x v="0"/>
    <x v="8"/>
    <x v="13"/>
    <s v="PL_A"/>
    <x v="12"/>
    <x v="5"/>
    <s v="GCND-LI"/>
    <x v="6"/>
    <x v="0"/>
    <n v="2403"/>
    <n v="146182.5"/>
    <n v="526257"/>
  </r>
  <r>
    <x v="0"/>
    <x v="0"/>
    <x v="0"/>
    <x v="8"/>
    <x v="13"/>
    <s v="PL_A"/>
    <x v="12"/>
    <x v="5"/>
    <s v="GCND-LI"/>
    <x v="6"/>
    <x v="1"/>
    <n v="2403"/>
    <n v="146182.5"/>
    <n v="526257"/>
  </r>
  <r>
    <x v="0"/>
    <x v="0"/>
    <x v="0"/>
    <x v="8"/>
    <x v="13"/>
    <s v="PL_A"/>
    <x v="12"/>
    <x v="5"/>
    <s v="GCND-LI"/>
    <x v="6"/>
    <x v="2"/>
    <n v="2403"/>
    <n v="146182.5"/>
    <n v="526257"/>
  </r>
  <r>
    <x v="0"/>
    <x v="0"/>
    <x v="0"/>
    <x v="8"/>
    <x v="13"/>
    <s v="PL_A"/>
    <x v="12"/>
    <x v="5"/>
    <s v="GCND-LI"/>
    <x v="6"/>
    <x v="3"/>
    <n v="2403"/>
    <n v="146182.5"/>
    <n v="526257"/>
  </r>
  <r>
    <x v="0"/>
    <x v="0"/>
    <x v="0"/>
    <x v="8"/>
    <x v="13"/>
    <s v="PL_A"/>
    <x v="12"/>
    <x v="5"/>
    <s v="GCND-LI"/>
    <x v="6"/>
    <x v="4"/>
    <n v="2403"/>
    <n v="146182.5"/>
    <n v="526257"/>
  </r>
  <r>
    <x v="0"/>
    <x v="0"/>
    <x v="0"/>
    <x v="8"/>
    <x v="13"/>
    <s v="PL_A"/>
    <x v="12"/>
    <x v="5"/>
    <s v="GCND-LI"/>
    <x v="6"/>
    <x v="5"/>
    <n v="2403"/>
    <n v="146182.5"/>
    <n v="526257"/>
  </r>
  <r>
    <x v="0"/>
    <x v="0"/>
    <x v="0"/>
    <x v="8"/>
    <x v="13"/>
    <s v="PL_A"/>
    <x v="12"/>
    <x v="5"/>
    <s v="GCND-LI"/>
    <x v="6"/>
    <x v="6"/>
    <n v="2403"/>
    <n v="146182.5"/>
    <n v="526257"/>
  </r>
  <r>
    <x v="0"/>
    <x v="0"/>
    <x v="0"/>
    <x v="8"/>
    <x v="13"/>
    <s v="PL_A"/>
    <x v="12"/>
    <x v="5"/>
    <s v="GCND-LI"/>
    <x v="6"/>
    <x v="7"/>
    <n v="2403"/>
    <n v="146182.5"/>
    <n v="526257"/>
  </r>
  <r>
    <x v="0"/>
    <x v="0"/>
    <x v="0"/>
    <x v="8"/>
    <x v="13"/>
    <s v="PL_A"/>
    <x v="12"/>
    <x v="5"/>
    <s v="GCND-LI"/>
    <x v="6"/>
    <x v="8"/>
    <n v="2403"/>
    <n v="146182.5"/>
    <n v="526257"/>
  </r>
  <r>
    <x v="0"/>
    <x v="0"/>
    <x v="0"/>
    <x v="8"/>
    <x v="13"/>
    <s v="PL_A"/>
    <x v="12"/>
    <x v="5"/>
    <s v="GCND-LI"/>
    <x v="6"/>
    <x v="9"/>
    <n v="2403"/>
    <n v="146182.5"/>
    <n v="526257"/>
  </r>
  <r>
    <x v="0"/>
    <x v="0"/>
    <x v="0"/>
    <x v="8"/>
    <x v="13"/>
    <s v="PL_A"/>
    <x v="12"/>
    <x v="5"/>
    <s v="GCND-LI"/>
    <x v="6"/>
    <x v="10"/>
    <n v="2403"/>
    <n v="146182.5"/>
    <n v="526257"/>
  </r>
  <r>
    <x v="0"/>
    <x v="0"/>
    <x v="0"/>
    <x v="8"/>
    <x v="13"/>
    <s v="PL_A"/>
    <x v="12"/>
    <x v="5"/>
    <s v="GCND-LI"/>
    <x v="6"/>
    <x v="11"/>
    <n v="2403"/>
    <n v="146182.5"/>
    <n v="526257"/>
  </r>
  <r>
    <x v="0"/>
    <x v="0"/>
    <x v="0"/>
    <x v="8"/>
    <x v="13"/>
    <s v="PL_A"/>
    <x v="12"/>
    <x v="5"/>
    <s v="GCND-LI"/>
    <x v="7"/>
    <x v="0"/>
    <n v="2403"/>
    <n v="146182.5"/>
    <n v="526257"/>
  </r>
  <r>
    <x v="0"/>
    <x v="0"/>
    <x v="0"/>
    <x v="8"/>
    <x v="13"/>
    <s v="PL_A"/>
    <x v="12"/>
    <x v="5"/>
    <s v="GCND-LI"/>
    <x v="7"/>
    <x v="1"/>
    <n v="2403"/>
    <n v="146182.5"/>
    <n v="526257"/>
  </r>
  <r>
    <x v="0"/>
    <x v="0"/>
    <x v="0"/>
    <x v="8"/>
    <x v="13"/>
    <s v="PL_A"/>
    <x v="12"/>
    <x v="5"/>
    <s v="GCND-LI"/>
    <x v="7"/>
    <x v="2"/>
    <n v="2403"/>
    <n v="146182.5"/>
    <n v="526257"/>
  </r>
  <r>
    <x v="0"/>
    <x v="0"/>
    <x v="0"/>
    <x v="8"/>
    <x v="13"/>
    <s v="PL_A"/>
    <x v="12"/>
    <x v="5"/>
    <s v="GCND-LI"/>
    <x v="7"/>
    <x v="3"/>
    <n v="2403"/>
    <n v="146182.5"/>
    <n v="526257"/>
  </r>
  <r>
    <x v="0"/>
    <x v="0"/>
    <x v="0"/>
    <x v="8"/>
    <x v="13"/>
    <s v="PL_A"/>
    <x v="12"/>
    <x v="5"/>
    <s v="GCND-LI"/>
    <x v="7"/>
    <x v="4"/>
    <n v="2403"/>
    <n v="146182.5"/>
    <n v="526257"/>
  </r>
  <r>
    <x v="0"/>
    <x v="0"/>
    <x v="0"/>
    <x v="8"/>
    <x v="13"/>
    <s v="PL_A"/>
    <x v="12"/>
    <x v="5"/>
    <s v="GCND-LI"/>
    <x v="7"/>
    <x v="5"/>
    <n v="2403"/>
    <n v="146182.5"/>
    <n v="526257"/>
  </r>
  <r>
    <x v="0"/>
    <x v="0"/>
    <x v="0"/>
    <x v="8"/>
    <x v="13"/>
    <s v="PL_A"/>
    <x v="12"/>
    <x v="5"/>
    <s v="GCND-LI"/>
    <x v="7"/>
    <x v="6"/>
    <n v="2403"/>
    <n v="146182.5"/>
    <n v="526257"/>
  </r>
  <r>
    <x v="0"/>
    <x v="0"/>
    <x v="0"/>
    <x v="8"/>
    <x v="13"/>
    <s v="PL_A"/>
    <x v="12"/>
    <x v="5"/>
    <s v="GCND-LI"/>
    <x v="7"/>
    <x v="7"/>
    <n v="2403"/>
    <n v="146182.5"/>
    <n v="526257"/>
  </r>
  <r>
    <x v="0"/>
    <x v="0"/>
    <x v="0"/>
    <x v="8"/>
    <x v="13"/>
    <s v="PL_A"/>
    <x v="12"/>
    <x v="5"/>
    <s v="GCND-LI"/>
    <x v="7"/>
    <x v="8"/>
    <n v="2403"/>
    <n v="146182.5"/>
    <n v="526257"/>
  </r>
  <r>
    <x v="0"/>
    <x v="0"/>
    <x v="0"/>
    <x v="8"/>
    <x v="13"/>
    <s v="PL_A"/>
    <x v="12"/>
    <x v="5"/>
    <s v="GCND-LI"/>
    <x v="7"/>
    <x v="9"/>
    <n v="2403"/>
    <n v="146182.5"/>
    <n v="526257"/>
  </r>
  <r>
    <x v="0"/>
    <x v="0"/>
    <x v="0"/>
    <x v="8"/>
    <x v="13"/>
    <s v="PL_A"/>
    <x v="12"/>
    <x v="5"/>
    <s v="GCND-LI"/>
    <x v="7"/>
    <x v="10"/>
    <n v="2403"/>
    <n v="146182.5"/>
    <n v="526257"/>
  </r>
  <r>
    <x v="0"/>
    <x v="0"/>
    <x v="0"/>
    <x v="8"/>
    <x v="13"/>
    <s v="PL_A"/>
    <x v="12"/>
    <x v="5"/>
    <s v="GCND-LI"/>
    <x v="7"/>
    <x v="11"/>
    <n v="2403"/>
    <n v="146182.5"/>
    <n v="526257"/>
  </r>
  <r>
    <x v="0"/>
    <x v="0"/>
    <x v="0"/>
    <x v="8"/>
    <x v="13"/>
    <s v="PL_A"/>
    <x v="12"/>
    <x v="5"/>
    <s v="GCND-LI"/>
    <x v="8"/>
    <x v="0"/>
    <n v="2403"/>
    <n v="146182.5"/>
    <n v="526257"/>
  </r>
  <r>
    <x v="0"/>
    <x v="0"/>
    <x v="0"/>
    <x v="8"/>
    <x v="13"/>
    <s v="PL_A"/>
    <x v="12"/>
    <x v="5"/>
    <s v="GCND-LI"/>
    <x v="8"/>
    <x v="1"/>
    <n v="2403"/>
    <n v="146182.5"/>
    <n v="526257"/>
  </r>
  <r>
    <x v="0"/>
    <x v="0"/>
    <x v="0"/>
    <x v="8"/>
    <x v="13"/>
    <s v="PL_A"/>
    <x v="12"/>
    <x v="5"/>
    <s v="GCND-LI"/>
    <x v="8"/>
    <x v="2"/>
    <n v="2403"/>
    <n v="146182.5"/>
    <n v="526257"/>
  </r>
  <r>
    <x v="0"/>
    <x v="0"/>
    <x v="0"/>
    <x v="8"/>
    <x v="13"/>
    <s v="PL_A"/>
    <x v="12"/>
    <x v="5"/>
    <s v="GCND-LI"/>
    <x v="8"/>
    <x v="3"/>
    <n v="2403"/>
    <n v="146182.5"/>
    <n v="526257"/>
  </r>
  <r>
    <x v="0"/>
    <x v="0"/>
    <x v="0"/>
    <x v="8"/>
    <x v="13"/>
    <s v="PL_A"/>
    <x v="12"/>
    <x v="5"/>
    <s v="GCND-LI"/>
    <x v="8"/>
    <x v="4"/>
    <n v="2403"/>
    <n v="146182.5"/>
    <n v="526257"/>
  </r>
  <r>
    <x v="0"/>
    <x v="0"/>
    <x v="0"/>
    <x v="8"/>
    <x v="13"/>
    <s v="PL_A"/>
    <x v="12"/>
    <x v="5"/>
    <s v="GCND-LI"/>
    <x v="8"/>
    <x v="5"/>
    <n v="2403"/>
    <n v="146182.5"/>
    <n v="526257"/>
  </r>
  <r>
    <x v="0"/>
    <x v="0"/>
    <x v="0"/>
    <x v="8"/>
    <x v="13"/>
    <s v="PL_A"/>
    <x v="12"/>
    <x v="5"/>
    <s v="GCND-LI"/>
    <x v="8"/>
    <x v="6"/>
    <n v="2403"/>
    <n v="146182.5"/>
    <n v="526257"/>
  </r>
  <r>
    <x v="0"/>
    <x v="0"/>
    <x v="0"/>
    <x v="8"/>
    <x v="13"/>
    <s v="PL_A"/>
    <x v="12"/>
    <x v="5"/>
    <s v="GCND-LI"/>
    <x v="8"/>
    <x v="7"/>
    <n v="2403"/>
    <n v="146182.5"/>
    <n v="526257"/>
  </r>
  <r>
    <x v="0"/>
    <x v="0"/>
    <x v="0"/>
    <x v="8"/>
    <x v="13"/>
    <s v="PL_A"/>
    <x v="12"/>
    <x v="5"/>
    <s v="GCND-LI"/>
    <x v="8"/>
    <x v="8"/>
    <n v="2403"/>
    <n v="146182.5"/>
    <n v="526257"/>
  </r>
  <r>
    <x v="0"/>
    <x v="0"/>
    <x v="0"/>
    <x v="8"/>
    <x v="13"/>
    <s v="PL_A"/>
    <x v="12"/>
    <x v="5"/>
    <s v="GCND-LI"/>
    <x v="8"/>
    <x v="9"/>
    <n v="2403"/>
    <n v="146182.5"/>
    <n v="526257"/>
  </r>
  <r>
    <x v="0"/>
    <x v="0"/>
    <x v="0"/>
    <x v="8"/>
    <x v="13"/>
    <s v="PL_A"/>
    <x v="12"/>
    <x v="5"/>
    <s v="GCND-LI"/>
    <x v="8"/>
    <x v="10"/>
    <n v="2403"/>
    <n v="146182.5"/>
    <n v="526257"/>
  </r>
  <r>
    <x v="0"/>
    <x v="0"/>
    <x v="0"/>
    <x v="8"/>
    <x v="13"/>
    <s v="PL_A"/>
    <x v="12"/>
    <x v="5"/>
    <s v="GCND-LI"/>
    <x v="8"/>
    <x v="11"/>
    <n v="2403"/>
    <n v="146182.5"/>
    <n v="526257"/>
  </r>
  <r>
    <x v="0"/>
    <x v="0"/>
    <x v="0"/>
    <x v="8"/>
    <x v="13"/>
    <s v="PL_A"/>
    <x v="12"/>
    <x v="5"/>
    <s v="GCND-LI"/>
    <x v="9"/>
    <x v="0"/>
    <n v="2403"/>
    <n v="146182.5"/>
    <n v="526257"/>
  </r>
  <r>
    <x v="0"/>
    <x v="0"/>
    <x v="0"/>
    <x v="8"/>
    <x v="13"/>
    <s v="PL_A"/>
    <x v="12"/>
    <x v="5"/>
    <s v="GCND-LI"/>
    <x v="9"/>
    <x v="1"/>
    <n v="2403"/>
    <n v="146182.5"/>
    <n v="526257"/>
  </r>
  <r>
    <x v="0"/>
    <x v="0"/>
    <x v="0"/>
    <x v="8"/>
    <x v="13"/>
    <s v="PL_A"/>
    <x v="12"/>
    <x v="5"/>
    <s v="GCND-LI"/>
    <x v="9"/>
    <x v="2"/>
    <n v="2403"/>
    <n v="146182.5"/>
    <n v="526257"/>
  </r>
  <r>
    <x v="0"/>
    <x v="0"/>
    <x v="0"/>
    <x v="8"/>
    <x v="13"/>
    <s v="PL_A"/>
    <x v="12"/>
    <x v="5"/>
    <s v="GCND-LI"/>
    <x v="9"/>
    <x v="3"/>
    <n v="2403"/>
    <n v="146182.5"/>
    <n v="526257"/>
  </r>
  <r>
    <x v="0"/>
    <x v="0"/>
    <x v="0"/>
    <x v="8"/>
    <x v="13"/>
    <s v="PL_A"/>
    <x v="12"/>
    <x v="5"/>
    <s v="GCND-LI"/>
    <x v="9"/>
    <x v="4"/>
    <n v="2403"/>
    <n v="146182.5"/>
    <n v="526257"/>
  </r>
  <r>
    <x v="0"/>
    <x v="0"/>
    <x v="0"/>
    <x v="8"/>
    <x v="13"/>
    <s v="PL_A"/>
    <x v="12"/>
    <x v="5"/>
    <s v="GCND-LI"/>
    <x v="9"/>
    <x v="5"/>
    <n v="2403"/>
    <n v="146182.5"/>
    <n v="526257"/>
  </r>
  <r>
    <x v="0"/>
    <x v="0"/>
    <x v="0"/>
    <x v="8"/>
    <x v="13"/>
    <s v="PL_A"/>
    <x v="12"/>
    <x v="5"/>
    <s v="GCND-LI"/>
    <x v="9"/>
    <x v="6"/>
    <n v="2403"/>
    <n v="146182.5"/>
    <n v="526257"/>
  </r>
  <r>
    <x v="0"/>
    <x v="0"/>
    <x v="0"/>
    <x v="8"/>
    <x v="13"/>
    <s v="PL_A"/>
    <x v="12"/>
    <x v="5"/>
    <s v="GCND-LI"/>
    <x v="9"/>
    <x v="7"/>
    <n v="2403"/>
    <n v="146182.5"/>
    <n v="526257"/>
  </r>
  <r>
    <x v="0"/>
    <x v="0"/>
    <x v="0"/>
    <x v="8"/>
    <x v="13"/>
    <s v="PL_A"/>
    <x v="12"/>
    <x v="5"/>
    <s v="GCND-LI"/>
    <x v="9"/>
    <x v="8"/>
    <n v="2403"/>
    <n v="146182.5"/>
    <n v="526257"/>
  </r>
  <r>
    <x v="0"/>
    <x v="0"/>
    <x v="0"/>
    <x v="8"/>
    <x v="13"/>
    <s v="PL_A"/>
    <x v="12"/>
    <x v="5"/>
    <s v="GCND-LI"/>
    <x v="9"/>
    <x v="9"/>
    <n v="2403"/>
    <n v="146182.5"/>
    <n v="526257"/>
  </r>
  <r>
    <x v="0"/>
    <x v="0"/>
    <x v="0"/>
    <x v="8"/>
    <x v="13"/>
    <s v="PL_A"/>
    <x v="12"/>
    <x v="5"/>
    <s v="GCND-LI"/>
    <x v="9"/>
    <x v="10"/>
    <n v="2403"/>
    <n v="146182.5"/>
    <n v="526257"/>
  </r>
  <r>
    <x v="0"/>
    <x v="0"/>
    <x v="0"/>
    <x v="8"/>
    <x v="13"/>
    <s v="PL_A"/>
    <x v="12"/>
    <x v="5"/>
    <s v="GCND-LI"/>
    <x v="9"/>
    <x v="11"/>
    <n v="2403"/>
    <n v="146182.5"/>
    <n v="526257"/>
  </r>
  <r>
    <x v="0"/>
    <x v="0"/>
    <x v="0"/>
    <x v="8"/>
    <x v="13"/>
    <s v="PL_A"/>
    <x v="12"/>
    <x v="5"/>
    <s v="GCND-LI"/>
    <x v="10"/>
    <x v="0"/>
    <n v="2403"/>
    <n v="146182.5"/>
    <n v="526257"/>
  </r>
  <r>
    <x v="0"/>
    <x v="0"/>
    <x v="0"/>
    <x v="8"/>
    <x v="13"/>
    <s v="PL_A"/>
    <x v="12"/>
    <x v="5"/>
    <s v="GCND-LI"/>
    <x v="10"/>
    <x v="1"/>
    <n v="2403"/>
    <n v="146182.5"/>
    <n v="526257"/>
  </r>
  <r>
    <x v="0"/>
    <x v="0"/>
    <x v="0"/>
    <x v="8"/>
    <x v="13"/>
    <s v="PL_A"/>
    <x v="12"/>
    <x v="5"/>
    <s v="GCND-LI"/>
    <x v="10"/>
    <x v="2"/>
    <n v="2403"/>
    <n v="146182.5"/>
    <n v="526257"/>
  </r>
  <r>
    <x v="0"/>
    <x v="0"/>
    <x v="0"/>
    <x v="8"/>
    <x v="13"/>
    <s v="PL_A"/>
    <x v="12"/>
    <x v="5"/>
    <s v="GCND-LI"/>
    <x v="10"/>
    <x v="3"/>
    <n v="2403"/>
    <n v="146182.5"/>
    <n v="526257"/>
  </r>
  <r>
    <x v="0"/>
    <x v="0"/>
    <x v="0"/>
    <x v="8"/>
    <x v="13"/>
    <s v="PL_A"/>
    <x v="12"/>
    <x v="5"/>
    <s v="GCND-LI"/>
    <x v="10"/>
    <x v="4"/>
    <n v="2403"/>
    <n v="146182.5"/>
    <n v="526257"/>
  </r>
  <r>
    <x v="0"/>
    <x v="0"/>
    <x v="0"/>
    <x v="8"/>
    <x v="13"/>
    <s v="PL_A"/>
    <x v="12"/>
    <x v="5"/>
    <s v="GCND-LI"/>
    <x v="10"/>
    <x v="5"/>
    <n v="2403"/>
    <n v="146182.5"/>
    <n v="526257"/>
  </r>
  <r>
    <x v="0"/>
    <x v="0"/>
    <x v="0"/>
    <x v="8"/>
    <x v="13"/>
    <s v="PL_A"/>
    <x v="12"/>
    <x v="5"/>
    <s v="GCND-LI"/>
    <x v="10"/>
    <x v="6"/>
    <n v="2403"/>
    <n v="146182.5"/>
    <n v="526257"/>
  </r>
  <r>
    <x v="0"/>
    <x v="0"/>
    <x v="0"/>
    <x v="8"/>
    <x v="13"/>
    <s v="PL_A"/>
    <x v="12"/>
    <x v="5"/>
    <s v="GCND-LI"/>
    <x v="10"/>
    <x v="7"/>
    <n v="2403"/>
    <n v="146182.5"/>
    <n v="526257"/>
  </r>
  <r>
    <x v="0"/>
    <x v="0"/>
    <x v="0"/>
    <x v="8"/>
    <x v="13"/>
    <s v="PL_A"/>
    <x v="12"/>
    <x v="5"/>
    <s v="GCND-LI"/>
    <x v="10"/>
    <x v="8"/>
    <n v="2403"/>
    <n v="146182.5"/>
    <n v="526257"/>
  </r>
  <r>
    <x v="0"/>
    <x v="0"/>
    <x v="0"/>
    <x v="8"/>
    <x v="13"/>
    <s v="PL_A"/>
    <x v="12"/>
    <x v="5"/>
    <s v="GCND-LI"/>
    <x v="10"/>
    <x v="9"/>
    <n v="2403"/>
    <n v="146182.5"/>
    <n v="526257"/>
  </r>
  <r>
    <x v="0"/>
    <x v="0"/>
    <x v="0"/>
    <x v="8"/>
    <x v="13"/>
    <s v="PL_A"/>
    <x v="12"/>
    <x v="5"/>
    <s v="GCND-LI"/>
    <x v="10"/>
    <x v="10"/>
    <n v="2403"/>
    <n v="146182.5"/>
    <n v="526257"/>
  </r>
  <r>
    <x v="0"/>
    <x v="0"/>
    <x v="0"/>
    <x v="8"/>
    <x v="13"/>
    <s v="PL_A"/>
    <x v="12"/>
    <x v="5"/>
    <s v="GCND-LI"/>
    <x v="10"/>
    <x v="11"/>
    <n v="2403"/>
    <n v="146182.5"/>
    <n v="526257"/>
  </r>
  <r>
    <x v="0"/>
    <x v="0"/>
    <x v="0"/>
    <x v="8"/>
    <x v="13"/>
    <s v="PL_A"/>
    <x v="12"/>
    <x v="5"/>
    <s v="GCND-LI"/>
    <x v="11"/>
    <x v="0"/>
    <n v="2403"/>
    <n v="146182.5"/>
    <n v="526257"/>
  </r>
  <r>
    <x v="0"/>
    <x v="0"/>
    <x v="0"/>
    <x v="8"/>
    <x v="13"/>
    <s v="PL_A"/>
    <x v="12"/>
    <x v="5"/>
    <s v="GCND-LI"/>
    <x v="11"/>
    <x v="1"/>
    <n v="2403"/>
    <n v="146182.5"/>
    <n v="526257"/>
  </r>
  <r>
    <x v="0"/>
    <x v="0"/>
    <x v="0"/>
    <x v="8"/>
    <x v="13"/>
    <s v="PL_A"/>
    <x v="12"/>
    <x v="5"/>
    <s v="GCND-LI"/>
    <x v="11"/>
    <x v="2"/>
    <n v="2403"/>
    <n v="146182.5"/>
    <n v="526257"/>
  </r>
  <r>
    <x v="0"/>
    <x v="0"/>
    <x v="0"/>
    <x v="8"/>
    <x v="13"/>
    <s v="PL_A"/>
    <x v="12"/>
    <x v="5"/>
    <s v="GCND-LI"/>
    <x v="11"/>
    <x v="3"/>
    <n v="2403"/>
    <n v="146182.5"/>
    <n v="526257"/>
  </r>
  <r>
    <x v="0"/>
    <x v="0"/>
    <x v="0"/>
    <x v="8"/>
    <x v="13"/>
    <s v="PL_A"/>
    <x v="12"/>
    <x v="5"/>
    <s v="GCND-LI"/>
    <x v="11"/>
    <x v="4"/>
    <n v="2403"/>
    <n v="146182.5"/>
    <n v="526257"/>
  </r>
  <r>
    <x v="0"/>
    <x v="0"/>
    <x v="0"/>
    <x v="8"/>
    <x v="13"/>
    <s v="PL_A"/>
    <x v="12"/>
    <x v="5"/>
    <s v="GCND-LI"/>
    <x v="11"/>
    <x v="5"/>
    <n v="2403"/>
    <n v="146182.5"/>
    <n v="526257"/>
  </r>
  <r>
    <x v="0"/>
    <x v="0"/>
    <x v="0"/>
    <x v="8"/>
    <x v="13"/>
    <s v="PL_A"/>
    <x v="12"/>
    <x v="5"/>
    <s v="GCND-LI"/>
    <x v="11"/>
    <x v="6"/>
    <n v="2403"/>
    <n v="146182.5"/>
    <n v="526257"/>
  </r>
  <r>
    <x v="0"/>
    <x v="0"/>
    <x v="0"/>
    <x v="8"/>
    <x v="13"/>
    <s v="PL_A"/>
    <x v="12"/>
    <x v="5"/>
    <s v="GCND-LI"/>
    <x v="11"/>
    <x v="7"/>
    <n v="2403"/>
    <n v="146182.5"/>
    <n v="526257"/>
  </r>
  <r>
    <x v="0"/>
    <x v="0"/>
    <x v="0"/>
    <x v="8"/>
    <x v="13"/>
    <s v="PL_A"/>
    <x v="12"/>
    <x v="5"/>
    <s v="GCND-LI"/>
    <x v="11"/>
    <x v="8"/>
    <n v="2403"/>
    <n v="146182.5"/>
    <n v="526257"/>
  </r>
  <r>
    <x v="0"/>
    <x v="0"/>
    <x v="0"/>
    <x v="8"/>
    <x v="13"/>
    <s v="PL_A"/>
    <x v="12"/>
    <x v="5"/>
    <s v="GCND-LI"/>
    <x v="11"/>
    <x v="9"/>
    <n v="2403"/>
    <n v="146182.5"/>
    <n v="526257"/>
  </r>
  <r>
    <x v="0"/>
    <x v="0"/>
    <x v="0"/>
    <x v="8"/>
    <x v="13"/>
    <s v="PL_A"/>
    <x v="12"/>
    <x v="5"/>
    <s v="GCND-LI"/>
    <x v="11"/>
    <x v="10"/>
    <n v="2403"/>
    <n v="146182.5"/>
    <n v="526257"/>
  </r>
  <r>
    <x v="0"/>
    <x v="0"/>
    <x v="0"/>
    <x v="8"/>
    <x v="13"/>
    <s v="PL_A"/>
    <x v="12"/>
    <x v="5"/>
    <s v="GCND-LI"/>
    <x v="11"/>
    <x v="11"/>
    <n v="2403"/>
    <n v="146182.5"/>
    <n v="526257"/>
  </r>
  <r>
    <x v="0"/>
    <x v="0"/>
    <x v="0"/>
    <x v="8"/>
    <x v="13"/>
    <s v="PL_A"/>
    <x v="7"/>
    <x v="6"/>
    <s v="HY-ROR"/>
    <x v="0"/>
    <x v="0"/>
    <n v="383.308605291432"/>
    <n v="23317.9401552288"/>
    <n v="83944.584558823597"/>
  </r>
  <r>
    <x v="0"/>
    <x v="0"/>
    <x v="0"/>
    <x v="8"/>
    <x v="13"/>
    <s v="PL_A"/>
    <x v="7"/>
    <x v="6"/>
    <s v="HY-ROR"/>
    <x v="0"/>
    <x v="1"/>
    <n v="383.308605291432"/>
    <n v="23317.9401552288"/>
    <n v="83944.584558823597"/>
  </r>
  <r>
    <x v="0"/>
    <x v="0"/>
    <x v="0"/>
    <x v="8"/>
    <x v="13"/>
    <s v="PL_A"/>
    <x v="7"/>
    <x v="6"/>
    <s v="HY-ROR"/>
    <x v="0"/>
    <x v="2"/>
    <n v="383.308605291432"/>
    <n v="23317.9401552288"/>
    <n v="83944.584558823597"/>
  </r>
  <r>
    <x v="0"/>
    <x v="0"/>
    <x v="0"/>
    <x v="8"/>
    <x v="13"/>
    <s v="PL_A"/>
    <x v="7"/>
    <x v="6"/>
    <s v="HY-ROR"/>
    <x v="0"/>
    <x v="3"/>
    <n v="383.308605291432"/>
    <n v="23317.9401552288"/>
    <n v="83944.584558823597"/>
  </r>
  <r>
    <x v="0"/>
    <x v="0"/>
    <x v="0"/>
    <x v="8"/>
    <x v="13"/>
    <s v="PL_A"/>
    <x v="7"/>
    <x v="6"/>
    <s v="HY-ROR"/>
    <x v="0"/>
    <x v="4"/>
    <n v="383.308605291432"/>
    <n v="23317.9401552288"/>
    <n v="83944.584558823597"/>
  </r>
  <r>
    <x v="0"/>
    <x v="0"/>
    <x v="0"/>
    <x v="8"/>
    <x v="13"/>
    <s v="PL_A"/>
    <x v="7"/>
    <x v="6"/>
    <s v="HY-ROR"/>
    <x v="0"/>
    <x v="5"/>
    <n v="383.308605291432"/>
    <n v="23317.9401552288"/>
    <n v="83944.584558823597"/>
  </r>
  <r>
    <x v="0"/>
    <x v="0"/>
    <x v="0"/>
    <x v="8"/>
    <x v="13"/>
    <s v="PL_A"/>
    <x v="7"/>
    <x v="6"/>
    <s v="HY-ROR"/>
    <x v="0"/>
    <x v="6"/>
    <n v="383.308605291432"/>
    <n v="23317.9401552288"/>
    <n v="83944.584558823597"/>
  </r>
  <r>
    <x v="0"/>
    <x v="0"/>
    <x v="0"/>
    <x v="8"/>
    <x v="13"/>
    <s v="PL_A"/>
    <x v="7"/>
    <x v="6"/>
    <s v="HY-ROR"/>
    <x v="0"/>
    <x v="7"/>
    <n v="383.308605291432"/>
    <n v="23317.9401552288"/>
    <n v="83944.584558823597"/>
  </r>
  <r>
    <x v="0"/>
    <x v="0"/>
    <x v="0"/>
    <x v="8"/>
    <x v="13"/>
    <s v="PL_A"/>
    <x v="7"/>
    <x v="6"/>
    <s v="HY-ROR"/>
    <x v="0"/>
    <x v="8"/>
    <n v="383.308605291432"/>
    <n v="23317.9401552288"/>
    <n v="83944.584558823597"/>
  </r>
  <r>
    <x v="0"/>
    <x v="0"/>
    <x v="0"/>
    <x v="8"/>
    <x v="13"/>
    <s v="PL_A"/>
    <x v="7"/>
    <x v="6"/>
    <s v="HY-ROR"/>
    <x v="0"/>
    <x v="9"/>
    <n v="383.308605291432"/>
    <n v="23317.9401552288"/>
    <n v="83944.584558823597"/>
  </r>
  <r>
    <x v="0"/>
    <x v="0"/>
    <x v="0"/>
    <x v="8"/>
    <x v="13"/>
    <s v="PL_A"/>
    <x v="7"/>
    <x v="6"/>
    <s v="HY-ROR"/>
    <x v="0"/>
    <x v="10"/>
    <n v="383.308605291432"/>
    <n v="23317.9401552288"/>
    <n v="83944.584558823597"/>
  </r>
  <r>
    <x v="0"/>
    <x v="0"/>
    <x v="0"/>
    <x v="8"/>
    <x v="13"/>
    <s v="PL_A"/>
    <x v="7"/>
    <x v="6"/>
    <s v="HY-ROR"/>
    <x v="0"/>
    <x v="11"/>
    <n v="383.308605291432"/>
    <n v="23317.9401552288"/>
    <n v="83944.584558823597"/>
  </r>
  <r>
    <x v="0"/>
    <x v="0"/>
    <x v="0"/>
    <x v="8"/>
    <x v="13"/>
    <s v="PL_A"/>
    <x v="7"/>
    <x v="6"/>
    <s v="HY-ROR"/>
    <x v="1"/>
    <x v="0"/>
    <n v="324.85533619840601"/>
    <n v="19762.032952069701"/>
    <n v="71143.318627450994"/>
  </r>
  <r>
    <x v="0"/>
    <x v="0"/>
    <x v="0"/>
    <x v="8"/>
    <x v="13"/>
    <s v="PL_A"/>
    <x v="7"/>
    <x v="6"/>
    <s v="HY-ROR"/>
    <x v="1"/>
    <x v="1"/>
    <n v="324.85533619840601"/>
    <n v="19762.032952069701"/>
    <n v="71143.318627450994"/>
  </r>
  <r>
    <x v="0"/>
    <x v="0"/>
    <x v="0"/>
    <x v="8"/>
    <x v="13"/>
    <s v="PL_A"/>
    <x v="7"/>
    <x v="6"/>
    <s v="HY-ROR"/>
    <x v="1"/>
    <x v="2"/>
    <n v="324.85533619840601"/>
    <n v="19762.032952069701"/>
    <n v="71143.318627450994"/>
  </r>
  <r>
    <x v="0"/>
    <x v="0"/>
    <x v="0"/>
    <x v="8"/>
    <x v="13"/>
    <s v="PL_A"/>
    <x v="7"/>
    <x v="6"/>
    <s v="HY-ROR"/>
    <x v="1"/>
    <x v="3"/>
    <n v="324.85533619840601"/>
    <n v="19762.032952069701"/>
    <n v="71143.318627450994"/>
  </r>
  <r>
    <x v="0"/>
    <x v="0"/>
    <x v="0"/>
    <x v="8"/>
    <x v="13"/>
    <s v="PL_A"/>
    <x v="7"/>
    <x v="6"/>
    <s v="HY-ROR"/>
    <x v="1"/>
    <x v="4"/>
    <n v="324.85533619840601"/>
    <n v="19762.032952069701"/>
    <n v="71143.318627450994"/>
  </r>
  <r>
    <x v="0"/>
    <x v="0"/>
    <x v="0"/>
    <x v="8"/>
    <x v="13"/>
    <s v="PL_A"/>
    <x v="7"/>
    <x v="6"/>
    <s v="HY-ROR"/>
    <x v="1"/>
    <x v="5"/>
    <n v="324.85533619840601"/>
    <n v="19762.032952069701"/>
    <n v="71143.318627450994"/>
  </r>
  <r>
    <x v="0"/>
    <x v="0"/>
    <x v="0"/>
    <x v="8"/>
    <x v="13"/>
    <s v="PL_A"/>
    <x v="7"/>
    <x v="6"/>
    <s v="HY-ROR"/>
    <x v="1"/>
    <x v="6"/>
    <n v="324.85533619840601"/>
    <n v="19762.032952069701"/>
    <n v="71143.318627450994"/>
  </r>
  <r>
    <x v="0"/>
    <x v="0"/>
    <x v="0"/>
    <x v="8"/>
    <x v="13"/>
    <s v="PL_A"/>
    <x v="7"/>
    <x v="6"/>
    <s v="HY-ROR"/>
    <x v="1"/>
    <x v="7"/>
    <n v="324.85533619840601"/>
    <n v="19762.032952069701"/>
    <n v="71143.318627450994"/>
  </r>
  <r>
    <x v="0"/>
    <x v="0"/>
    <x v="0"/>
    <x v="8"/>
    <x v="13"/>
    <s v="PL_A"/>
    <x v="7"/>
    <x v="6"/>
    <s v="HY-ROR"/>
    <x v="1"/>
    <x v="8"/>
    <n v="324.85533619840601"/>
    <n v="19762.032952069701"/>
    <n v="71143.318627450994"/>
  </r>
  <r>
    <x v="0"/>
    <x v="0"/>
    <x v="0"/>
    <x v="8"/>
    <x v="13"/>
    <s v="PL_A"/>
    <x v="7"/>
    <x v="6"/>
    <s v="HY-ROR"/>
    <x v="1"/>
    <x v="9"/>
    <n v="324.85533619840601"/>
    <n v="19762.032952069701"/>
    <n v="71143.318627450994"/>
  </r>
  <r>
    <x v="0"/>
    <x v="0"/>
    <x v="0"/>
    <x v="8"/>
    <x v="13"/>
    <s v="PL_A"/>
    <x v="7"/>
    <x v="6"/>
    <s v="HY-ROR"/>
    <x v="1"/>
    <x v="10"/>
    <n v="324.85533619840601"/>
    <n v="19762.032952069701"/>
    <n v="71143.318627450994"/>
  </r>
  <r>
    <x v="0"/>
    <x v="0"/>
    <x v="0"/>
    <x v="8"/>
    <x v="13"/>
    <s v="PL_A"/>
    <x v="7"/>
    <x v="6"/>
    <s v="HY-ROR"/>
    <x v="1"/>
    <x v="11"/>
    <n v="324.85533619840601"/>
    <n v="19762.032952069701"/>
    <n v="71143.318627450994"/>
  </r>
  <r>
    <x v="0"/>
    <x v="0"/>
    <x v="0"/>
    <x v="8"/>
    <x v="13"/>
    <s v="PL_A"/>
    <x v="7"/>
    <x v="6"/>
    <s v="HY-ROR"/>
    <x v="2"/>
    <x v="0"/>
    <n v="317.09605269048302"/>
    <n v="19290.009872004401"/>
    <n v="69444.035539215707"/>
  </r>
  <r>
    <x v="0"/>
    <x v="0"/>
    <x v="0"/>
    <x v="8"/>
    <x v="13"/>
    <s v="PL_A"/>
    <x v="7"/>
    <x v="6"/>
    <s v="HY-ROR"/>
    <x v="2"/>
    <x v="1"/>
    <n v="317.09605269048302"/>
    <n v="19290.009872004401"/>
    <n v="69444.035539215707"/>
  </r>
  <r>
    <x v="0"/>
    <x v="0"/>
    <x v="0"/>
    <x v="8"/>
    <x v="13"/>
    <s v="PL_A"/>
    <x v="7"/>
    <x v="6"/>
    <s v="HY-ROR"/>
    <x v="2"/>
    <x v="2"/>
    <n v="317.09605269048302"/>
    <n v="19290.009872004401"/>
    <n v="69444.035539215707"/>
  </r>
  <r>
    <x v="0"/>
    <x v="0"/>
    <x v="0"/>
    <x v="8"/>
    <x v="13"/>
    <s v="PL_A"/>
    <x v="7"/>
    <x v="6"/>
    <s v="HY-ROR"/>
    <x v="2"/>
    <x v="3"/>
    <n v="317.09605269048302"/>
    <n v="19290.009872004401"/>
    <n v="69444.035539215707"/>
  </r>
  <r>
    <x v="0"/>
    <x v="0"/>
    <x v="0"/>
    <x v="8"/>
    <x v="13"/>
    <s v="PL_A"/>
    <x v="7"/>
    <x v="6"/>
    <s v="HY-ROR"/>
    <x v="2"/>
    <x v="4"/>
    <n v="317.09605269048302"/>
    <n v="19290.009872004401"/>
    <n v="69444.035539215707"/>
  </r>
  <r>
    <x v="0"/>
    <x v="0"/>
    <x v="0"/>
    <x v="8"/>
    <x v="13"/>
    <s v="PL_A"/>
    <x v="7"/>
    <x v="6"/>
    <s v="HY-ROR"/>
    <x v="2"/>
    <x v="5"/>
    <n v="317.09605269048302"/>
    <n v="19290.009872004401"/>
    <n v="69444.035539215707"/>
  </r>
  <r>
    <x v="0"/>
    <x v="0"/>
    <x v="0"/>
    <x v="8"/>
    <x v="13"/>
    <s v="PL_A"/>
    <x v="7"/>
    <x v="6"/>
    <s v="HY-ROR"/>
    <x v="2"/>
    <x v="6"/>
    <n v="317.09605269048302"/>
    <n v="19290.009872004401"/>
    <n v="69444.035539215707"/>
  </r>
  <r>
    <x v="0"/>
    <x v="0"/>
    <x v="0"/>
    <x v="8"/>
    <x v="13"/>
    <s v="PL_A"/>
    <x v="7"/>
    <x v="6"/>
    <s v="HY-ROR"/>
    <x v="2"/>
    <x v="7"/>
    <n v="317.09605269048302"/>
    <n v="19290.009872004401"/>
    <n v="69444.035539215707"/>
  </r>
  <r>
    <x v="0"/>
    <x v="0"/>
    <x v="0"/>
    <x v="8"/>
    <x v="13"/>
    <s v="PL_A"/>
    <x v="7"/>
    <x v="6"/>
    <s v="HY-ROR"/>
    <x v="2"/>
    <x v="8"/>
    <n v="317.09605269048302"/>
    <n v="19290.009872004401"/>
    <n v="69444.035539215707"/>
  </r>
  <r>
    <x v="0"/>
    <x v="0"/>
    <x v="0"/>
    <x v="8"/>
    <x v="13"/>
    <s v="PL_A"/>
    <x v="7"/>
    <x v="6"/>
    <s v="HY-ROR"/>
    <x v="2"/>
    <x v="9"/>
    <n v="317.09605269048302"/>
    <n v="19290.009872004401"/>
    <n v="69444.035539215707"/>
  </r>
  <r>
    <x v="0"/>
    <x v="0"/>
    <x v="0"/>
    <x v="8"/>
    <x v="13"/>
    <s v="PL_A"/>
    <x v="7"/>
    <x v="6"/>
    <s v="HY-ROR"/>
    <x v="2"/>
    <x v="10"/>
    <n v="317.09605269048302"/>
    <n v="19290.009872004401"/>
    <n v="69444.035539215707"/>
  </r>
  <r>
    <x v="0"/>
    <x v="0"/>
    <x v="0"/>
    <x v="8"/>
    <x v="13"/>
    <s v="PL_A"/>
    <x v="7"/>
    <x v="6"/>
    <s v="HY-ROR"/>
    <x v="2"/>
    <x v="11"/>
    <n v="317.09605269048302"/>
    <n v="19290.009872004401"/>
    <n v="69444.035539215707"/>
  </r>
  <r>
    <x v="0"/>
    <x v="0"/>
    <x v="0"/>
    <x v="8"/>
    <x v="13"/>
    <s v="PL_A"/>
    <x v="7"/>
    <x v="6"/>
    <s v="HY-ROR"/>
    <x v="3"/>
    <x v="0"/>
    <n v="234.847647506491"/>
    <n v="14286.5652233116"/>
    <n v="51431.634803921603"/>
  </r>
  <r>
    <x v="0"/>
    <x v="0"/>
    <x v="0"/>
    <x v="8"/>
    <x v="13"/>
    <s v="PL_A"/>
    <x v="7"/>
    <x v="6"/>
    <s v="HY-ROR"/>
    <x v="3"/>
    <x v="1"/>
    <n v="234.847647506491"/>
    <n v="14286.5652233116"/>
    <n v="51431.634803921603"/>
  </r>
  <r>
    <x v="0"/>
    <x v="0"/>
    <x v="0"/>
    <x v="8"/>
    <x v="13"/>
    <s v="PL_A"/>
    <x v="7"/>
    <x v="6"/>
    <s v="HY-ROR"/>
    <x v="3"/>
    <x v="2"/>
    <n v="234.847647506491"/>
    <n v="14286.5652233116"/>
    <n v="51431.634803921603"/>
  </r>
  <r>
    <x v="0"/>
    <x v="0"/>
    <x v="0"/>
    <x v="8"/>
    <x v="13"/>
    <s v="PL_A"/>
    <x v="7"/>
    <x v="6"/>
    <s v="HY-ROR"/>
    <x v="3"/>
    <x v="3"/>
    <n v="234.847647506491"/>
    <n v="14286.5652233116"/>
    <n v="51431.634803921603"/>
  </r>
  <r>
    <x v="0"/>
    <x v="0"/>
    <x v="0"/>
    <x v="8"/>
    <x v="13"/>
    <s v="PL_A"/>
    <x v="7"/>
    <x v="6"/>
    <s v="HY-ROR"/>
    <x v="3"/>
    <x v="4"/>
    <n v="234.847647506491"/>
    <n v="14286.5652233116"/>
    <n v="51431.634803921603"/>
  </r>
  <r>
    <x v="0"/>
    <x v="0"/>
    <x v="0"/>
    <x v="8"/>
    <x v="13"/>
    <s v="PL_A"/>
    <x v="7"/>
    <x v="6"/>
    <s v="HY-ROR"/>
    <x v="3"/>
    <x v="5"/>
    <n v="234.847647506491"/>
    <n v="14286.5652233116"/>
    <n v="51431.634803921603"/>
  </r>
  <r>
    <x v="0"/>
    <x v="0"/>
    <x v="0"/>
    <x v="8"/>
    <x v="13"/>
    <s v="PL_A"/>
    <x v="7"/>
    <x v="6"/>
    <s v="HY-ROR"/>
    <x v="3"/>
    <x v="6"/>
    <n v="234.847647506491"/>
    <n v="14286.5652233116"/>
    <n v="51431.634803921603"/>
  </r>
  <r>
    <x v="0"/>
    <x v="0"/>
    <x v="0"/>
    <x v="8"/>
    <x v="13"/>
    <s v="PL_A"/>
    <x v="7"/>
    <x v="6"/>
    <s v="HY-ROR"/>
    <x v="3"/>
    <x v="7"/>
    <n v="234.847647506491"/>
    <n v="14286.5652233116"/>
    <n v="51431.634803921603"/>
  </r>
  <r>
    <x v="0"/>
    <x v="0"/>
    <x v="0"/>
    <x v="8"/>
    <x v="13"/>
    <s v="PL_A"/>
    <x v="7"/>
    <x v="6"/>
    <s v="HY-ROR"/>
    <x v="3"/>
    <x v="8"/>
    <n v="234.847647506491"/>
    <n v="14286.5652233116"/>
    <n v="51431.634803921603"/>
  </r>
  <r>
    <x v="0"/>
    <x v="0"/>
    <x v="0"/>
    <x v="8"/>
    <x v="13"/>
    <s v="PL_A"/>
    <x v="7"/>
    <x v="6"/>
    <s v="HY-ROR"/>
    <x v="3"/>
    <x v="9"/>
    <n v="234.847647506491"/>
    <n v="14286.5652233116"/>
    <n v="51431.634803921603"/>
  </r>
  <r>
    <x v="0"/>
    <x v="0"/>
    <x v="0"/>
    <x v="8"/>
    <x v="13"/>
    <s v="PL_A"/>
    <x v="7"/>
    <x v="6"/>
    <s v="HY-ROR"/>
    <x v="3"/>
    <x v="10"/>
    <n v="234.847647506491"/>
    <n v="14286.5652233116"/>
    <n v="51431.634803921603"/>
  </r>
  <r>
    <x v="0"/>
    <x v="0"/>
    <x v="0"/>
    <x v="8"/>
    <x v="13"/>
    <s v="PL_A"/>
    <x v="7"/>
    <x v="6"/>
    <s v="HY-ROR"/>
    <x v="3"/>
    <x v="11"/>
    <n v="234.847647506491"/>
    <n v="14286.5652233116"/>
    <n v="51431.634803921603"/>
  </r>
  <r>
    <x v="0"/>
    <x v="0"/>
    <x v="0"/>
    <x v="8"/>
    <x v="13"/>
    <s v="PL_A"/>
    <x v="7"/>
    <x v="6"/>
    <s v="HY-ROR"/>
    <x v="4"/>
    <x v="0"/>
    <n v="178.46352068224601"/>
    <n v="10856.5308415033"/>
    <n v="39083.511029411799"/>
  </r>
  <r>
    <x v="0"/>
    <x v="0"/>
    <x v="0"/>
    <x v="8"/>
    <x v="13"/>
    <s v="PL_A"/>
    <x v="7"/>
    <x v="6"/>
    <s v="HY-ROR"/>
    <x v="4"/>
    <x v="1"/>
    <n v="178.46352068224601"/>
    <n v="10856.5308415033"/>
    <n v="39083.511029411799"/>
  </r>
  <r>
    <x v="0"/>
    <x v="0"/>
    <x v="0"/>
    <x v="8"/>
    <x v="13"/>
    <s v="PL_A"/>
    <x v="7"/>
    <x v="6"/>
    <s v="HY-ROR"/>
    <x v="4"/>
    <x v="2"/>
    <n v="178.46352068224601"/>
    <n v="10856.5308415033"/>
    <n v="39083.511029411799"/>
  </r>
  <r>
    <x v="0"/>
    <x v="0"/>
    <x v="0"/>
    <x v="8"/>
    <x v="13"/>
    <s v="PL_A"/>
    <x v="7"/>
    <x v="6"/>
    <s v="HY-ROR"/>
    <x v="4"/>
    <x v="3"/>
    <n v="178.46352068224601"/>
    <n v="10856.5308415033"/>
    <n v="39083.511029411799"/>
  </r>
  <r>
    <x v="0"/>
    <x v="0"/>
    <x v="0"/>
    <x v="8"/>
    <x v="13"/>
    <s v="PL_A"/>
    <x v="7"/>
    <x v="6"/>
    <s v="HY-ROR"/>
    <x v="4"/>
    <x v="4"/>
    <n v="178.46352068224601"/>
    <n v="10856.5308415033"/>
    <n v="39083.511029411799"/>
  </r>
  <r>
    <x v="0"/>
    <x v="0"/>
    <x v="0"/>
    <x v="8"/>
    <x v="13"/>
    <s v="PL_A"/>
    <x v="7"/>
    <x v="6"/>
    <s v="HY-ROR"/>
    <x v="4"/>
    <x v="5"/>
    <n v="178.46352068224601"/>
    <n v="10856.5308415033"/>
    <n v="39083.511029411799"/>
  </r>
  <r>
    <x v="0"/>
    <x v="0"/>
    <x v="0"/>
    <x v="8"/>
    <x v="13"/>
    <s v="PL_A"/>
    <x v="7"/>
    <x v="6"/>
    <s v="HY-ROR"/>
    <x v="4"/>
    <x v="6"/>
    <n v="178.46352068224601"/>
    <n v="10856.5308415033"/>
    <n v="39083.511029411799"/>
  </r>
  <r>
    <x v="0"/>
    <x v="0"/>
    <x v="0"/>
    <x v="8"/>
    <x v="13"/>
    <s v="PL_A"/>
    <x v="7"/>
    <x v="6"/>
    <s v="HY-ROR"/>
    <x v="4"/>
    <x v="7"/>
    <n v="178.46352068224601"/>
    <n v="10856.5308415033"/>
    <n v="39083.511029411799"/>
  </r>
  <r>
    <x v="0"/>
    <x v="0"/>
    <x v="0"/>
    <x v="8"/>
    <x v="13"/>
    <s v="PL_A"/>
    <x v="7"/>
    <x v="6"/>
    <s v="HY-ROR"/>
    <x v="4"/>
    <x v="8"/>
    <n v="178.46352068224601"/>
    <n v="10856.5308415033"/>
    <n v="39083.511029411799"/>
  </r>
  <r>
    <x v="0"/>
    <x v="0"/>
    <x v="0"/>
    <x v="8"/>
    <x v="13"/>
    <s v="PL_A"/>
    <x v="7"/>
    <x v="6"/>
    <s v="HY-ROR"/>
    <x v="4"/>
    <x v="9"/>
    <n v="178.46352068224601"/>
    <n v="10856.5308415033"/>
    <n v="39083.511029411799"/>
  </r>
  <r>
    <x v="0"/>
    <x v="0"/>
    <x v="0"/>
    <x v="8"/>
    <x v="13"/>
    <s v="PL_A"/>
    <x v="7"/>
    <x v="6"/>
    <s v="HY-ROR"/>
    <x v="4"/>
    <x v="10"/>
    <n v="178.46352068224601"/>
    <n v="10856.5308415033"/>
    <n v="39083.511029411799"/>
  </r>
  <r>
    <x v="0"/>
    <x v="0"/>
    <x v="0"/>
    <x v="8"/>
    <x v="13"/>
    <s v="PL_A"/>
    <x v="7"/>
    <x v="6"/>
    <s v="HY-ROR"/>
    <x v="4"/>
    <x v="11"/>
    <n v="178.46352068224601"/>
    <n v="10856.5308415033"/>
    <n v="39083.511029411799"/>
  </r>
  <r>
    <x v="0"/>
    <x v="0"/>
    <x v="0"/>
    <x v="8"/>
    <x v="13"/>
    <s v="PL_A"/>
    <x v="7"/>
    <x v="6"/>
    <s v="HY-ROR"/>
    <x v="5"/>
    <x v="0"/>
    <n v="179.498091816635"/>
    <n v="10919.4672521787"/>
    <n v="39310.082107843104"/>
  </r>
  <r>
    <x v="0"/>
    <x v="0"/>
    <x v="0"/>
    <x v="8"/>
    <x v="13"/>
    <s v="PL_A"/>
    <x v="7"/>
    <x v="6"/>
    <s v="HY-ROR"/>
    <x v="5"/>
    <x v="1"/>
    <n v="179.498091816635"/>
    <n v="10919.4672521787"/>
    <n v="39310.082107843104"/>
  </r>
  <r>
    <x v="0"/>
    <x v="0"/>
    <x v="0"/>
    <x v="8"/>
    <x v="13"/>
    <s v="PL_A"/>
    <x v="7"/>
    <x v="6"/>
    <s v="HY-ROR"/>
    <x v="5"/>
    <x v="2"/>
    <n v="179.498091816635"/>
    <n v="10919.4672521787"/>
    <n v="39310.082107843104"/>
  </r>
  <r>
    <x v="0"/>
    <x v="0"/>
    <x v="0"/>
    <x v="8"/>
    <x v="13"/>
    <s v="PL_A"/>
    <x v="7"/>
    <x v="6"/>
    <s v="HY-ROR"/>
    <x v="5"/>
    <x v="3"/>
    <n v="179.498091816635"/>
    <n v="10919.4672521787"/>
    <n v="39310.082107843104"/>
  </r>
  <r>
    <x v="0"/>
    <x v="0"/>
    <x v="0"/>
    <x v="8"/>
    <x v="13"/>
    <s v="PL_A"/>
    <x v="7"/>
    <x v="6"/>
    <s v="HY-ROR"/>
    <x v="5"/>
    <x v="4"/>
    <n v="179.498091816635"/>
    <n v="10919.4672521787"/>
    <n v="39310.082107843104"/>
  </r>
  <r>
    <x v="0"/>
    <x v="0"/>
    <x v="0"/>
    <x v="8"/>
    <x v="13"/>
    <s v="PL_A"/>
    <x v="7"/>
    <x v="6"/>
    <s v="HY-ROR"/>
    <x v="5"/>
    <x v="5"/>
    <n v="179.498091816635"/>
    <n v="10919.4672521787"/>
    <n v="39310.082107843104"/>
  </r>
  <r>
    <x v="0"/>
    <x v="0"/>
    <x v="0"/>
    <x v="8"/>
    <x v="13"/>
    <s v="PL_A"/>
    <x v="7"/>
    <x v="6"/>
    <s v="HY-ROR"/>
    <x v="5"/>
    <x v="6"/>
    <n v="179.498091816635"/>
    <n v="10919.4672521787"/>
    <n v="39310.082107843104"/>
  </r>
  <r>
    <x v="0"/>
    <x v="0"/>
    <x v="0"/>
    <x v="8"/>
    <x v="13"/>
    <s v="PL_A"/>
    <x v="7"/>
    <x v="6"/>
    <s v="HY-ROR"/>
    <x v="5"/>
    <x v="7"/>
    <n v="179.498091816635"/>
    <n v="10919.4672521787"/>
    <n v="39310.082107843104"/>
  </r>
  <r>
    <x v="0"/>
    <x v="0"/>
    <x v="0"/>
    <x v="8"/>
    <x v="13"/>
    <s v="PL_A"/>
    <x v="7"/>
    <x v="6"/>
    <s v="HY-ROR"/>
    <x v="5"/>
    <x v="8"/>
    <n v="179.498091816635"/>
    <n v="10919.4672521787"/>
    <n v="39310.082107843104"/>
  </r>
  <r>
    <x v="0"/>
    <x v="0"/>
    <x v="0"/>
    <x v="8"/>
    <x v="13"/>
    <s v="PL_A"/>
    <x v="7"/>
    <x v="6"/>
    <s v="HY-ROR"/>
    <x v="5"/>
    <x v="9"/>
    <n v="179.498091816635"/>
    <n v="10919.4672521787"/>
    <n v="39310.082107843104"/>
  </r>
  <r>
    <x v="0"/>
    <x v="0"/>
    <x v="0"/>
    <x v="8"/>
    <x v="13"/>
    <s v="PL_A"/>
    <x v="7"/>
    <x v="6"/>
    <s v="HY-ROR"/>
    <x v="5"/>
    <x v="10"/>
    <n v="179.498091816635"/>
    <n v="10919.4672521787"/>
    <n v="39310.082107843104"/>
  </r>
  <r>
    <x v="0"/>
    <x v="0"/>
    <x v="0"/>
    <x v="8"/>
    <x v="13"/>
    <s v="PL_A"/>
    <x v="7"/>
    <x v="6"/>
    <s v="HY-ROR"/>
    <x v="5"/>
    <x v="11"/>
    <n v="179.498091816635"/>
    <n v="10919.4672521787"/>
    <n v="39310.082107843104"/>
  </r>
  <r>
    <x v="0"/>
    <x v="0"/>
    <x v="0"/>
    <x v="8"/>
    <x v="13"/>
    <s v="PL_A"/>
    <x v="7"/>
    <x v="6"/>
    <s v="HY-ROR"/>
    <x v="6"/>
    <x v="0"/>
    <n v="198.637657802847"/>
    <n v="12083.7908496732"/>
    <n v="43501.647058823597"/>
  </r>
  <r>
    <x v="0"/>
    <x v="0"/>
    <x v="0"/>
    <x v="8"/>
    <x v="13"/>
    <s v="PL_A"/>
    <x v="7"/>
    <x v="6"/>
    <s v="HY-ROR"/>
    <x v="6"/>
    <x v="1"/>
    <n v="198.637657802847"/>
    <n v="12083.7908496732"/>
    <n v="43501.647058823597"/>
  </r>
  <r>
    <x v="0"/>
    <x v="0"/>
    <x v="0"/>
    <x v="8"/>
    <x v="13"/>
    <s v="PL_A"/>
    <x v="7"/>
    <x v="6"/>
    <s v="HY-ROR"/>
    <x v="6"/>
    <x v="2"/>
    <n v="198.637657802847"/>
    <n v="12083.7908496732"/>
    <n v="43501.647058823597"/>
  </r>
  <r>
    <x v="0"/>
    <x v="0"/>
    <x v="0"/>
    <x v="8"/>
    <x v="13"/>
    <s v="PL_A"/>
    <x v="7"/>
    <x v="6"/>
    <s v="HY-ROR"/>
    <x v="6"/>
    <x v="3"/>
    <n v="198.637657802847"/>
    <n v="12083.7908496732"/>
    <n v="43501.647058823597"/>
  </r>
  <r>
    <x v="0"/>
    <x v="0"/>
    <x v="0"/>
    <x v="8"/>
    <x v="13"/>
    <s v="PL_A"/>
    <x v="7"/>
    <x v="6"/>
    <s v="HY-ROR"/>
    <x v="6"/>
    <x v="4"/>
    <n v="198.637657802847"/>
    <n v="12083.7908496732"/>
    <n v="43501.647058823597"/>
  </r>
  <r>
    <x v="0"/>
    <x v="0"/>
    <x v="0"/>
    <x v="8"/>
    <x v="13"/>
    <s v="PL_A"/>
    <x v="7"/>
    <x v="6"/>
    <s v="HY-ROR"/>
    <x v="6"/>
    <x v="5"/>
    <n v="198.637657802847"/>
    <n v="12083.7908496732"/>
    <n v="43501.647058823597"/>
  </r>
  <r>
    <x v="0"/>
    <x v="0"/>
    <x v="0"/>
    <x v="8"/>
    <x v="13"/>
    <s v="PL_A"/>
    <x v="7"/>
    <x v="6"/>
    <s v="HY-ROR"/>
    <x v="6"/>
    <x v="6"/>
    <n v="198.637657802847"/>
    <n v="12083.7908496732"/>
    <n v="43501.647058823597"/>
  </r>
  <r>
    <x v="0"/>
    <x v="0"/>
    <x v="0"/>
    <x v="8"/>
    <x v="13"/>
    <s v="PL_A"/>
    <x v="7"/>
    <x v="6"/>
    <s v="HY-ROR"/>
    <x v="6"/>
    <x v="7"/>
    <n v="198.637657802847"/>
    <n v="12083.7908496732"/>
    <n v="43501.647058823597"/>
  </r>
  <r>
    <x v="0"/>
    <x v="0"/>
    <x v="0"/>
    <x v="8"/>
    <x v="13"/>
    <s v="PL_A"/>
    <x v="7"/>
    <x v="6"/>
    <s v="HY-ROR"/>
    <x v="6"/>
    <x v="8"/>
    <n v="198.637657802847"/>
    <n v="12083.7908496732"/>
    <n v="43501.647058823597"/>
  </r>
  <r>
    <x v="0"/>
    <x v="0"/>
    <x v="0"/>
    <x v="8"/>
    <x v="13"/>
    <s v="PL_A"/>
    <x v="7"/>
    <x v="6"/>
    <s v="HY-ROR"/>
    <x v="6"/>
    <x v="9"/>
    <n v="198.637657802847"/>
    <n v="12083.7908496732"/>
    <n v="43501.647058823597"/>
  </r>
  <r>
    <x v="0"/>
    <x v="0"/>
    <x v="0"/>
    <x v="8"/>
    <x v="13"/>
    <s v="PL_A"/>
    <x v="7"/>
    <x v="6"/>
    <s v="HY-ROR"/>
    <x v="6"/>
    <x v="10"/>
    <n v="198.637657802847"/>
    <n v="12083.7908496732"/>
    <n v="43501.647058823597"/>
  </r>
  <r>
    <x v="0"/>
    <x v="0"/>
    <x v="0"/>
    <x v="8"/>
    <x v="13"/>
    <s v="PL_A"/>
    <x v="7"/>
    <x v="6"/>
    <s v="HY-ROR"/>
    <x v="6"/>
    <x v="11"/>
    <n v="198.637657802847"/>
    <n v="12083.7908496732"/>
    <n v="43501.647058823597"/>
  </r>
  <r>
    <x v="0"/>
    <x v="0"/>
    <x v="0"/>
    <x v="8"/>
    <x v="13"/>
    <s v="PL_A"/>
    <x v="7"/>
    <x v="6"/>
    <s v="HY-ROR"/>
    <x v="7"/>
    <x v="0"/>
    <n v="204.327799041991"/>
    <n v="12429.9411083878"/>
    <n v="44747.787990196099"/>
  </r>
  <r>
    <x v="0"/>
    <x v="0"/>
    <x v="0"/>
    <x v="8"/>
    <x v="13"/>
    <s v="PL_A"/>
    <x v="7"/>
    <x v="6"/>
    <s v="HY-ROR"/>
    <x v="7"/>
    <x v="1"/>
    <n v="204.327799041991"/>
    <n v="12429.9411083878"/>
    <n v="44747.787990196099"/>
  </r>
  <r>
    <x v="0"/>
    <x v="0"/>
    <x v="0"/>
    <x v="8"/>
    <x v="13"/>
    <s v="PL_A"/>
    <x v="7"/>
    <x v="6"/>
    <s v="HY-ROR"/>
    <x v="7"/>
    <x v="2"/>
    <n v="204.327799041991"/>
    <n v="12429.9411083878"/>
    <n v="44747.787990196099"/>
  </r>
  <r>
    <x v="0"/>
    <x v="0"/>
    <x v="0"/>
    <x v="8"/>
    <x v="13"/>
    <s v="PL_A"/>
    <x v="7"/>
    <x v="6"/>
    <s v="HY-ROR"/>
    <x v="7"/>
    <x v="3"/>
    <n v="204.327799041991"/>
    <n v="12429.9411083878"/>
    <n v="44747.787990196099"/>
  </r>
  <r>
    <x v="0"/>
    <x v="0"/>
    <x v="0"/>
    <x v="8"/>
    <x v="13"/>
    <s v="PL_A"/>
    <x v="7"/>
    <x v="6"/>
    <s v="HY-ROR"/>
    <x v="7"/>
    <x v="4"/>
    <n v="204.327799041991"/>
    <n v="12429.9411083878"/>
    <n v="44747.787990196099"/>
  </r>
  <r>
    <x v="0"/>
    <x v="0"/>
    <x v="0"/>
    <x v="8"/>
    <x v="13"/>
    <s v="PL_A"/>
    <x v="7"/>
    <x v="6"/>
    <s v="HY-ROR"/>
    <x v="7"/>
    <x v="5"/>
    <n v="204.327799041991"/>
    <n v="12429.9411083878"/>
    <n v="44747.787990196099"/>
  </r>
  <r>
    <x v="0"/>
    <x v="0"/>
    <x v="0"/>
    <x v="8"/>
    <x v="13"/>
    <s v="PL_A"/>
    <x v="7"/>
    <x v="6"/>
    <s v="HY-ROR"/>
    <x v="7"/>
    <x v="6"/>
    <n v="204.327799041991"/>
    <n v="12429.9411083878"/>
    <n v="44747.787990196099"/>
  </r>
  <r>
    <x v="0"/>
    <x v="0"/>
    <x v="0"/>
    <x v="8"/>
    <x v="13"/>
    <s v="PL_A"/>
    <x v="7"/>
    <x v="6"/>
    <s v="HY-ROR"/>
    <x v="7"/>
    <x v="7"/>
    <n v="204.327799041991"/>
    <n v="12429.9411083878"/>
    <n v="44747.787990196099"/>
  </r>
  <r>
    <x v="0"/>
    <x v="0"/>
    <x v="0"/>
    <x v="8"/>
    <x v="13"/>
    <s v="PL_A"/>
    <x v="7"/>
    <x v="6"/>
    <s v="HY-ROR"/>
    <x v="7"/>
    <x v="8"/>
    <n v="204.327799041991"/>
    <n v="12429.9411083878"/>
    <n v="44747.787990196099"/>
  </r>
  <r>
    <x v="0"/>
    <x v="0"/>
    <x v="0"/>
    <x v="8"/>
    <x v="13"/>
    <s v="PL_A"/>
    <x v="7"/>
    <x v="6"/>
    <s v="HY-ROR"/>
    <x v="7"/>
    <x v="9"/>
    <n v="204.327799041991"/>
    <n v="12429.9411083878"/>
    <n v="44747.787990196099"/>
  </r>
  <r>
    <x v="0"/>
    <x v="0"/>
    <x v="0"/>
    <x v="8"/>
    <x v="13"/>
    <s v="PL_A"/>
    <x v="7"/>
    <x v="6"/>
    <s v="HY-ROR"/>
    <x v="7"/>
    <x v="10"/>
    <n v="204.327799041991"/>
    <n v="12429.9411083878"/>
    <n v="44747.787990196099"/>
  </r>
  <r>
    <x v="0"/>
    <x v="0"/>
    <x v="0"/>
    <x v="8"/>
    <x v="13"/>
    <s v="PL_A"/>
    <x v="7"/>
    <x v="6"/>
    <s v="HY-ROR"/>
    <x v="7"/>
    <x v="11"/>
    <n v="204.327799041991"/>
    <n v="12429.9411083878"/>
    <n v="44747.787990196099"/>
  </r>
  <r>
    <x v="0"/>
    <x v="0"/>
    <x v="0"/>
    <x v="8"/>
    <x v="13"/>
    <s v="PL_A"/>
    <x v="7"/>
    <x v="6"/>
    <s v="HY-ROR"/>
    <x v="8"/>
    <x v="0"/>
    <n v="230.709362968932"/>
    <n v="14034.819580609999"/>
    <n v="50525.350490196099"/>
  </r>
  <r>
    <x v="0"/>
    <x v="0"/>
    <x v="0"/>
    <x v="8"/>
    <x v="13"/>
    <s v="PL_A"/>
    <x v="7"/>
    <x v="6"/>
    <s v="HY-ROR"/>
    <x v="8"/>
    <x v="1"/>
    <n v="230.709362968932"/>
    <n v="14034.819580609999"/>
    <n v="50525.350490196099"/>
  </r>
  <r>
    <x v="0"/>
    <x v="0"/>
    <x v="0"/>
    <x v="8"/>
    <x v="13"/>
    <s v="PL_A"/>
    <x v="7"/>
    <x v="6"/>
    <s v="HY-ROR"/>
    <x v="8"/>
    <x v="2"/>
    <n v="230.709362968932"/>
    <n v="14034.819580609999"/>
    <n v="50525.350490196099"/>
  </r>
  <r>
    <x v="0"/>
    <x v="0"/>
    <x v="0"/>
    <x v="8"/>
    <x v="13"/>
    <s v="PL_A"/>
    <x v="7"/>
    <x v="6"/>
    <s v="HY-ROR"/>
    <x v="8"/>
    <x v="3"/>
    <n v="230.709362968932"/>
    <n v="14034.819580609999"/>
    <n v="50525.350490196099"/>
  </r>
  <r>
    <x v="0"/>
    <x v="0"/>
    <x v="0"/>
    <x v="8"/>
    <x v="13"/>
    <s v="PL_A"/>
    <x v="7"/>
    <x v="6"/>
    <s v="HY-ROR"/>
    <x v="8"/>
    <x v="4"/>
    <n v="230.709362968932"/>
    <n v="14034.819580609999"/>
    <n v="50525.350490196099"/>
  </r>
  <r>
    <x v="0"/>
    <x v="0"/>
    <x v="0"/>
    <x v="8"/>
    <x v="13"/>
    <s v="PL_A"/>
    <x v="7"/>
    <x v="6"/>
    <s v="HY-ROR"/>
    <x v="8"/>
    <x v="5"/>
    <n v="230.709362968932"/>
    <n v="14034.819580609999"/>
    <n v="50525.350490196099"/>
  </r>
  <r>
    <x v="0"/>
    <x v="0"/>
    <x v="0"/>
    <x v="8"/>
    <x v="13"/>
    <s v="PL_A"/>
    <x v="7"/>
    <x v="6"/>
    <s v="HY-ROR"/>
    <x v="8"/>
    <x v="6"/>
    <n v="230.709362968932"/>
    <n v="14034.819580609999"/>
    <n v="50525.350490196099"/>
  </r>
  <r>
    <x v="0"/>
    <x v="0"/>
    <x v="0"/>
    <x v="8"/>
    <x v="13"/>
    <s v="PL_A"/>
    <x v="7"/>
    <x v="6"/>
    <s v="HY-ROR"/>
    <x v="8"/>
    <x v="7"/>
    <n v="230.709362968932"/>
    <n v="14034.819580609999"/>
    <n v="50525.350490196099"/>
  </r>
  <r>
    <x v="0"/>
    <x v="0"/>
    <x v="0"/>
    <x v="8"/>
    <x v="13"/>
    <s v="PL_A"/>
    <x v="7"/>
    <x v="6"/>
    <s v="HY-ROR"/>
    <x v="8"/>
    <x v="8"/>
    <n v="230.709362968932"/>
    <n v="14034.819580609999"/>
    <n v="50525.350490196099"/>
  </r>
  <r>
    <x v="0"/>
    <x v="0"/>
    <x v="0"/>
    <x v="8"/>
    <x v="13"/>
    <s v="PL_A"/>
    <x v="7"/>
    <x v="6"/>
    <s v="HY-ROR"/>
    <x v="8"/>
    <x v="9"/>
    <n v="230.709362968932"/>
    <n v="14034.819580609999"/>
    <n v="50525.350490196099"/>
  </r>
  <r>
    <x v="0"/>
    <x v="0"/>
    <x v="0"/>
    <x v="8"/>
    <x v="13"/>
    <s v="PL_A"/>
    <x v="7"/>
    <x v="6"/>
    <s v="HY-ROR"/>
    <x v="8"/>
    <x v="10"/>
    <n v="230.709362968932"/>
    <n v="14034.819580609999"/>
    <n v="50525.350490196099"/>
  </r>
  <r>
    <x v="0"/>
    <x v="0"/>
    <x v="0"/>
    <x v="8"/>
    <x v="13"/>
    <s v="PL_A"/>
    <x v="7"/>
    <x v="6"/>
    <s v="HY-ROR"/>
    <x v="8"/>
    <x v="11"/>
    <n v="230.709362968932"/>
    <n v="14034.819580609999"/>
    <n v="50525.350490196099"/>
  </r>
  <r>
    <x v="0"/>
    <x v="0"/>
    <x v="0"/>
    <x v="8"/>
    <x v="13"/>
    <s v="PL_A"/>
    <x v="7"/>
    <x v="6"/>
    <s v="HY-ROR"/>
    <x v="9"/>
    <x v="0"/>
    <n v="214.67351038589001"/>
    <n v="13059.3052151416"/>
    <n v="47013.498774509797"/>
  </r>
  <r>
    <x v="0"/>
    <x v="0"/>
    <x v="0"/>
    <x v="8"/>
    <x v="13"/>
    <s v="PL_A"/>
    <x v="7"/>
    <x v="6"/>
    <s v="HY-ROR"/>
    <x v="9"/>
    <x v="1"/>
    <n v="214.67351038589001"/>
    <n v="13059.3052151416"/>
    <n v="47013.498774509797"/>
  </r>
  <r>
    <x v="0"/>
    <x v="0"/>
    <x v="0"/>
    <x v="8"/>
    <x v="13"/>
    <s v="PL_A"/>
    <x v="7"/>
    <x v="6"/>
    <s v="HY-ROR"/>
    <x v="9"/>
    <x v="2"/>
    <n v="214.67351038589001"/>
    <n v="13059.3052151416"/>
    <n v="47013.498774509797"/>
  </r>
  <r>
    <x v="0"/>
    <x v="0"/>
    <x v="0"/>
    <x v="8"/>
    <x v="13"/>
    <s v="PL_A"/>
    <x v="7"/>
    <x v="6"/>
    <s v="HY-ROR"/>
    <x v="9"/>
    <x v="3"/>
    <n v="214.67351038589001"/>
    <n v="13059.3052151416"/>
    <n v="47013.498774509797"/>
  </r>
  <r>
    <x v="0"/>
    <x v="0"/>
    <x v="0"/>
    <x v="8"/>
    <x v="13"/>
    <s v="PL_A"/>
    <x v="7"/>
    <x v="6"/>
    <s v="HY-ROR"/>
    <x v="9"/>
    <x v="4"/>
    <n v="214.67351038589001"/>
    <n v="13059.3052151416"/>
    <n v="47013.498774509797"/>
  </r>
  <r>
    <x v="0"/>
    <x v="0"/>
    <x v="0"/>
    <x v="8"/>
    <x v="13"/>
    <s v="PL_A"/>
    <x v="7"/>
    <x v="6"/>
    <s v="HY-ROR"/>
    <x v="9"/>
    <x v="5"/>
    <n v="214.67351038589001"/>
    <n v="13059.3052151416"/>
    <n v="47013.498774509797"/>
  </r>
  <r>
    <x v="0"/>
    <x v="0"/>
    <x v="0"/>
    <x v="8"/>
    <x v="13"/>
    <s v="PL_A"/>
    <x v="7"/>
    <x v="6"/>
    <s v="HY-ROR"/>
    <x v="9"/>
    <x v="6"/>
    <n v="214.67351038589001"/>
    <n v="13059.3052151416"/>
    <n v="47013.498774509797"/>
  </r>
  <r>
    <x v="0"/>
    <x v="0"/>
    <x v="0"/>
    <x v="8"/>
    <x v="13"/>
    <s v="PL_A"/>
    <x v="7"/>
    <x v="6"/>
    <s v="HY-ROR"/>
    <x v="9"/>
    <x v="7"/>
    <n v="214.67351038589001"/>
    <n v="13059.3052151416"/>
    <n v="47013.498774509797"/>
  </r>
  <r>
    <x v="0"/>
    <x v="0"/>
    <x v="0"/>
    <x v="8"/>
    <x v="13"/>
    <s v="PL_A"/>
    <x v="7"/>
    <x v="6"/>
    <s v="HY-ROR"/>
    <x v="9"/>
    <x v="8"/>
    <n v="214.67351038589001"/>
    <n v="13059.3052151416"/>
    <n v="47013.498774509797"/>
  </r>
  <r>
    <x v="0"/>
    <x v="0"/>
    <x v="0"/>
    <x v="8"/>
    <x v="13"/>
    <s v="PL_A"/>
    <x v="7"/>
    <x v="6"/>
    <s v="HY-ROR"/>
    <x v="9"/>
    <x v="9"/>
    <n v="214.67351038589001"/>
    <n v="13059.3052151416"/>
    <n v="47013.498774509797"/>
  </r>
  <r>
    <x v="0"/>
    <x v="0"/>
    <x v="0"/>
    <x v="8"/>
    <x v="13"/>
    <s v="PL_A"/>
    <x v="7"/>
    <x v="6"/>
    <s v="HY-ROR"/>
    <x v="9"/>
    <x v="10"/>
    <n v="214.67351038589001"/>
    <n v="13059.3052151416"/>
    <n v="47013.498774509797"/>
  </r>
  <r>
    <x v="0"/>
    <x v="0"/>
    <x v="0"/>
    <x v="8"/>
    <x v="13"/>
    <s v="PL_A"/>
    <x v="7"/>
    <x v="6"/>
    <s v="HY-ROR"/>
    <x v="9"/>
    <x v="11"/>
    <n v="214.67351038589001"/>
    <n v="13059.3052151416"/>
    <n v="47013.498774509797"/>
  </r>
  <r>
    <x v="0"/>
    <x v="0"/>
    <x v="0"/>
    <x v="8"/>
    <x v="13"/>
    <s v="PL_A"/>
    <x v="7"/>
    <x v="6"/>
    <s v="HY-ROR"/>
    <x v="10"/>
    <x v="0"/>
    <n v="258.64278359745703"/>
    <n v="15734.1026688453"/>
    <n v="56642.769607843198"/>
  </r>
  <r>
    <x v="0"/>
    <x v="0"/>
    <x v="0"/>
    <x v="8"/>
    <x v="13"/>
    <s v="PL_A"/>
    <x v="7"/>
    <x v="6"/>
    <s v="HY-ROR"/>
    <x v="10"/>
    <x v="1"/>
    <n v="258.64278359745703"/>
    <n v="15734.1026688453"/>
    <n v="56642.769607843198"/>
  </r>
  <r>
    <x v="0"/>
    <x v="0"/>
    <x v="0"/>
    <x v="8"/>
    <x v="13"/>
    <s v="PL_A"/>
    <x v="7"/>
    <x v="6"/>
    <s v="HY-ROR"/>
    <x v="10"/>
    <x v="2"/>
    <n v="258.64278359745703"/>
    <n v="15734.1026688453"/>
    <n v="56642.769607843198"/>
  </r>
  <r>
    <x v="0"/>
    <x v="0"/>
    <x v="0"/>
    <x v="8"/>
    <x v="13"/>
    <s v="PL_A"/>
    <x v="7"/>
    <x v="6"/>
    <s v="HY-ROR"/>
    <x v="10"/>
    <x v="3"/>
    <n v="258.64278359745703"/>
    <n v="15734.1026688453"/>
    <n v="56642.769607843198"/>
  </r>
  <r>
    <x v="0"/>
    <x v="0"/>
    <x v="0"/>
    <x v="8"/>
    <x v="13"/>
    <s v="PL_A"/>
    <x v="7"/>
    <x v="6"/>
    <s v="HY-ROR"/>
    <x v="10"/>
    <x v="4"/>
    <n v="258.64278359745703"/>
    <n v="15734.1026688453"/>
    <n v="56642.769607843198"/>
  </r>
  <r>
    <x v="0"/>
    <x v="0"/>
    <x v="0"/>
    <x v="8"/>
    <x v="13"/>
    <s v="PL_A"/>
    <x v="7"/>
    <x v="6"/>
    <s v="HY-ROR"/>
    <x v="10"/>
    <x v="5"/>
    <n v="258.64278359745703"/>
    <n v="15734.1026688453"/>
    <n v="56642.769607843198"/>
  </r>
  <r>
    <x v="0"/>
    <x v="0"/>
    <x v="0"/>
    <x v="8"/>
    <x v="13"/>
    <s v="PL_A"/>
    <x v="7"/>
    <x v="6"/>
    <s v="HY-ROR"/>
    <x v="10"/>
    <x v="6"/>
    <n v="258.64278359745703"/>
    <n v="15734.1026688453"/>
    <n v="56642.769607843198"/>
  </r>
  <r>
    <x v="0"/>
    <x v="0"/>
    <x v="0"/>
    <x v="8"/>
    <x v="13"/>
    <s v="PL_A"/>
    <x v="7"/>
    <x v="6"/>
    <s v="HY-ROR"/>
    <x v="10"/>
    <x v="7"/>
    <n v="258.64278359745703"/>
    <n v="15734.1026688453"/>
    <n v="56642.769607843198"/>
  </r>
  <r>
    <x v="0"/>
    <x v="0"/>
    <x v="0"/>
    <x v="8"/>
    <x v="13"/>
    <s v="PL_A"/>
    <x v="7"/>
    <x v="6"/>
    <s v="HY-ROR"/>
    <x v="10"/>
    <x v="8"/>
    <n v="258.64278359745703"/>
    <n v="15734.1026688453"/>
    <n v="56642.769607843198"/>
  </r>
  <r>
    <x v="0"/>
    <x v="0"/>
    <x v="0"/>
    <x v="8"/>
    <x v="13"/>
    <s v="PL_A"/>
    <x v="7"/>
    <x v="6"/>
    <s v="HY-ROR"/>
    <x v="10"/>
    <x v="9"/>
    <n v="258.64278359745703"/>
    <n v="15734.1026688453"/>
    <n v="56642.769607843198"/>
  </r>
  <r>
    <x v="0"/>
    <x v="0"/>
    <x v="0"/>
    <x v="8"/>
    <x v="13"/>
    <s v="PL_A"/>
    <x v="7"/>
    <x v="6"/>
    <s v="HY-ROR"/>
    <x v="10"/>
    <x v="10"/>
    <n v="258.64278359745703"/>
    <n v="15734.1026688453"/>
    <n v="56642.769607843198"/>
  </r>
  <r>
    <x v="0"/>
    <x v="0"/>
    <x v="0"/>
    <x v="8"/>
    <x v="13"/>
    <s v="PL_A"/>
    <x v="7"/>
    <x v="6"/>
    <s v="HY-ROR"/>
    <x v="10"/>
    <x v="11"/>
    <n v="258.64278359745703"/>
    <n v="15734.1026688453"/>
    <n v="56642.769607843198"/>
  </r>
  <r>
    <x v="0"/>
    <x v="0"/>
    <x v="0"/>
    <x v="8"/>
    <x v="13"/>
    <s v="PL_A"/>
    <x v="7"/>
    <x v="6"/>
    <s v="HY-ROR"/>
    <x v="11"/>
    <x v="0"/>
    <n v="440.727303250067"/>
    <n v="26810.9109477124"/>
    <n v="96519.279411764699"/>
  </r>
  <r>
    <x v="0"/>
    <x v="0"/>
    <x v="0"/>
    <x v="8"/>
    <x v="13"/>
    <s v="PL_A"/>
    <x v="7"/>
    <x v="6"/>
    <s v="HY-ROR"/>
    <x v="11"/>
    <x v="1"/>
    <n v="440.727303250067"/>
    <n v="26810.9109477124"/>
    <n v="96519.279411764699"/>
  </r>
  <r>
    <x v="0"/>
    <x v="0"/>
    <x v="0"/>
    <x v="8"/>
    <x v="13"/>
    <s v="PL_A"/>
    <x v="7"/>
    <x v="6"/>
    <s v="HY-ROR"/>
    <x v="11"/>
    <x v="2"/>
    <n v="440.727303250067"/>
    <n v="26810.9109477124"/>
    <n v="96519.279411764699"/>
  </r>
  <r>
    <x v="0"/>
    <x v="0"/>
    <x v="0"/>
    <x v="8"/>
    <x v="13"/>
    <s v="PL_A"/>
    <x v="7"/>
    <x v="6"/>
    <s v="HY-ROR"/>
    <x v="11"/>
    <x v="3"/>
    <n v="440.727303250067"/>
    <n v="26810.9109477124"/>
    <n v="96519.279411764699"/>
  </r>
  <r>
    <x v="0"/>
    <x v="0"/>
    <x v="0"/>
    <x v="8"/>
    <x v="13"/>
    <s v="PL_A"/>
    <x v="7"/>
    <x v="6"/>
    <s v="HY-ROR"/>
    <x v="11"/>
    <x v="4"/>
    <n v="440.727303250067"/>
    <n v="26810.9109477124"/>
    <n v="96519.279411764699"/>
  </r>
  <r>
    <x v="0"/>
    <x v="0"/>
    <x v="0"/>
    <x v="8"/>
    <x v="13"/>
    <s v="PL_A"/>
    <x v="7"/>
    <x v="6"/>
    <s v="HY-ROR"/>
    <x v="11"/>
    <x v="5"/>
    <n v="440.727303250067"/>
    <n v="26810.9109477124"/>
    <n v="96519.279411764699"/>
  </r>
  <r>
    <x v="0"/>
    <x v="0"/>
    <x v="0"/>
    <x v="8"/>
    <x v="13"/>
    <s v="PL_A"/>
    <x v="7"/>
    <x v="6"/>
    <s v="HY-ROR"/>
    <x v="11"/>
    <x v="6"/>
    <n v="440.727303250067"/>
    <n v="26810.9109477124"/>
    <n v="96519.279411764699"/>
  </r>
  <r>
    <x v="0"/>
    <x v="0"/>
    <x v="0"/>
    <x v="8"/>
    <x v="13"/>
    <s v="PL_A"/>
    <x v="7"/>
    <x v="6"/>
    <s v="HY-ROR"/>
    <x v="11"/>
    <x v="7"/>
    <n v="440.727303250067"/>
    <n v="26810.9109477124"/>
    <n v="96519.279411764699"/>
  </r>
  <r>
    <x v="0"/>
    <x v="0"/>
    <x v="0"/>
    <x v="8"/>
    <x v="13"/>
    <s v="PL_A"/>
    <x v="7"/>
    <x v="6"/>
    <s v="HY-ROR"/>
    <x v="11"/>
    <x v="8"/>
    <n v="440.727303250067"/>
    <n v="26810.9109477124"/>
    <n v="96519.279411764699"/>
  </r>
  <r>
    <x v="0"/>
    <x v="0"/>
    <x v="0"/>
    <x v="8"/>
    <x v="13"/>
    <s v="PL_A"/>
    <x v="7"/>
    <x v="6"/>
    <s v="HY-ROR"/>
    <x v="11"/>
    <x v="9"/>
    <n v="440.727303250067"/>
    <n v="26810.9109477124"/>
    <n v="96519.279411764699"/>
  </r>
  <r>
    <x v="0"/>
    <x v="0"/>
    <x v="0"/>
    <x v="8"/>
    <x v="13"/>
    <s v="PL_A"/>
    <x v="7"/>
    <x v="6"/>
    <s v="HY-ROR"/>
    <x v="11"/>
    <x v="10"/>
    <n v="440.727303250067"/>
    <n v="26810.9109477124"/>
    <n v="96519.279411764699"/>
  </r>
  <r>
    <x v="0"/>
    <x v="0"/>
    <x v="0"/>
    <x v="8"/>
    <x v="13"/>
    <s v="PL_A"/>
    <x v="7"/>
    <x v="6"/>
    <s v="HY-ROR"/>
    <x v="11"/>
    <x v="11"/>
    <n v="440.727303250067"/>
    <n v="26810.9109477124"/>
    <n v="96519.279411764699"/>
  </r>
  <r>
    <x v="0"/>
    <x v="0"/>
    <x v="0"/>
    <x v="8"/>
    <x v="13"/>
    <s v="PL_A"/>
    <x v="0"/>
    <x v="0"/>
    <s v="WI-L9"/>
    <x v="0"/>
    <x v="0"/>
    <n v="459.77826909094398"/>
    <n v="27969.844703032399"/>
    <n v="100691.440930917"/>
  </r>
  <r>
    <x v="0"/>
    <x v="0"/>
    <x v="0"/>
    <x v="8"/>
    <x v="13"/>
    <s v="PL_A"/>
    <x v="0"/>
    <x v="0"/>
    <s v="WI-L9"/>
    <x v="0"/>
    <x v="1"/>
    <n v="480.98575382761101"/>
    <n v="29259.966691179699"/>
    <n v="105335.880088247"/>
  </r>
  <r>
    <x v="0"/>
    <x v="0"/>
    <x v="0"/>
    <x v="8"/>
    <x v="13"/>
    <s v="PL_A"/>
    <x v="0"/>
    <x v="0"/>
    <s v="WI-L9"/>
    <x v="0"/>
    <x v="2"/>
    <n v="433.48098801747602"/>
    <n v="26370.0934377298"/>
    <n v="94932.336375827304"/>
  </r>
  <r>
    <x v="0"/>
    <x v="0"/>
    <x v="0"/>
    <x v="8"/>
    <x v="13"/>
    <s v="PL_A"/>
    <x v="0"/>
    <x v="0"/>
    <s v="WI-L9"/>
    <x v="0"/>
    <x v="3"/>
    <n v="310.47757654480699"/>
    <n v="18887.3859064758"/>
    <n v="67994.589263312693"/>
  </r>
  <r>
    <x v="0"/>
    <x v="0"/>
    <x v="0"/>
    <x v="8"/>
    <x v="13"/>
    <s v="PL_A"/>
    <x v="0"/>
    <x v="0"/>
    <s v="WI-L9"/>
    <x v="0"/>
    <x v="4"/>
    <n v="285.02859486080598"/>
    <n v="17339.239520699099"/>
    <n v="62421.262274516601"/>
  </r>
  <r>
    <x v="0"/>
    <x v="0"/>
    <x v="0"/>
    <x v="8"/>
    <x v="13"/>
    <s v="PL_A"/>
    <x v="0"/>
    <x v="0"/>
    <s v="WI-L9"/>
    <x v="0"/>
    <x v="5"/>
    <n v="395.30751549147499"/>
    <n v="24047.873859064799"/>
    <n v="86572.345892633093"/>
  </r>
  <r>
    <x v="0"/>
    <x v="0"/>
    <x v="0"/>
    <x v="8"/>
    <x v="13"/>
    <s v="PL_A"/>
    <x v="0"/>
    <x v="0"/>
    <s v="WI-L9"/>
    <x v="0"/>
    <x v="6"/>
    <n v="469.95786176454402"/>
    <n v="28589.1032573431"/>
    <n v="102920.77172643501"/>
  </r>
  <r>
    <x v="0"/>
    <x v="0"/>
    <x v="0"/>
    <x v="8"/>
    <x v="13"/>
    <s v="PL_A"/>
    <x v="0"/>
    <x v="0"/>
    <s v="WI-L9"/>
    <x v="0"/>
    <x v="7"/>
    <n v="400.39731182827597"/>
    <n v="24357.503136220101"/>
    <n v="87687.011290392402"/>
  </r>
  <r>
    <x v="0"/>
    <x v="0"/>
    <x v="0"/>
    <x v="8"/>
    <x v="13"/>
    <s v="PL_A"/>
    <x v="0"/>
    <x v="0"/>
    <s v="WI-L9"/>
    <x v="0"/>
    <x v="8"/>
    <n v="385.976222207342"/>
    <n v="23480.220184279999"/>
    <n v="84528.792663407905"/>
  </r>
  <r>
    <x v="0"/>
    <x v="0"/>
    <x v="0"/>
    <x v="8"/>
    <x v="13"/>
    <s v="PL_A"/>
    <x v="0"/>
    <x v="0"/>
    <s v="WI-L9"/>
    <x v="0"/>
    <x v="9"/>
    <n v="308.78097776587401"/>
    <n v="18784.176147424001"/>
    <n v="67623.034130726301"/>
  </r>
  <r>
    <x v="0"/>
    <x v="0"/>
    <x v="0"/>
    <x v="8"/>
    <x v="13"/>
    <s v="PL_A"/>
    <x v="0"/>
    <x v="0"/>
    <s v="WI-L9"/>
    <x v="0"/>
    <x v="10"/>
    <n v="290.966690587073"/>
    <n v="17700.473677380302"/>
    <n v="63721.705238568997"/>
  </r>
  <r>
    <x v="0"/>
    <x v="0"/>
    <x v="0"/>
    <x v="8"/>
    <x v="13"/>
    <s v="PL_A"/>
    <x v="0"/>
    <x v="0"/>
    <s v="WI-L9"/>
    <x v="0"/>
    <x v="11"/>
    <n v="342.71295334454101"/>
    <n v="20848.371328459602"/>
    <n v="75054.136782454501"/>
  </r>
  <r>
    <x v="0"/>
    <x v="0"/>
    <x v="0"/>
    <x v="8"/>
    <x v="13"/>
    <s v="PL_A"/>
    <x v="0"/>
    <x v="0"/>
    <s v="WI-L9"/>
    <x v="1"/>
    <x v="0"/>
    <n v="59.380957262667998"/>
    <n v="3612.3415668122998"/>
    <n v="13004.4296405243"/>
  </r>
  <r>
    <x v="0"/>
    <x v="0"/>
    <x v="0"/>
    <x v="8"/>
    <x v="13"/>
    <s v="PL_A"/>
    <x v="0"/>
    <x v="0"/>
    <s v="WI-L9"/>
    <x v="1"/>
    <x v="1"/>
    <n v="71.257148715201595"/>
    <n v="4334.8098801747601"/>
    <n v="15605.315568629199"/>
  </r>
  <r>
    <x v="0"/>
    <x v="0"/>
    <x v="0"/>
    <x v="8"/>
    <x v="13"/>
    <s v="PL_A"/>
    <x v="0"/>
    <x v="0"/>
    <s v="WI-L9"/>
    <x v="1"/>
    <x v="2"/>
    <n v="69.560549936268202"/>
    <n v="4231.6001211229805"/>
    <n v="15233.760436042699"/>
  </r>
  <r>
    <x v="0"/>
    <x v="0"/>
    <x v="0"/>
    <x v="8"/>
    <x v="13"/>
    <s v="PL_A"/>
    <x v="0"/>
    <x v="0"/>
    <s v="WI-L9"/>
    <x v="1"/>
    <x v="3"/>
    <n v="65.3190529889348"/>
    <n v="3973.5757234935299"/>
    <n v="14304.8726045767"/>
  </r>
  <r>
    <x v="0"/>
    <x v="0"/>
    <x v="0"/>
    <x v="8"/>
    <x v="13"/>
    <s v="PL_A"/>
    <x v="0"/>
    <x v="0"/>
    <s v="WI-L9"/>
    <x v="1"/>
    <x v="4"/>
    <n v="48.353065199601097"/>
    <n v="2941.4781329757302"/>
    <n v="10589.321278712599"/>
  </r>
  <r>
    <x v="0"/>
    <x v="0"/>
    <x v="0"/>
    <x v="8"/>
    <x v="13"/>
    <s v="PL_A"/>
    <x v="0"/>
    <x v="0"/>
    <s v="WI-L9"/>
    <x v="1"/>
    <x v="5"/>
    <n v="27.9938798524006"/>
    <n v="1702.96102435437"/>
    <n v="6130.6596876757403"/>
  </r>
  <r>
    <x v="0"/>
    <x v="0"/>
    <x v="0"/>
    <x v="8"/>
    <x v="13"/>
    <s v="PL_A"/>
    <x v="0"/>
    <x v="0"/>
    <s v="WI-L9"/>
    <x v="1"/>
    <x v="6"/>
    <n v="5.9380957262668002"/>
    <n v="361.23415668122999"/>
    <n v="1300.4429640524299"/>
  </r>
  <r>
    <x v="0"/>
    <x v="0"/>
    <x v="0"/>
    <x v="8"/>
    <x v="13"/>
    <s v="PL_A"/>
    <x v="0"/>
    <x v="0"/>
    <s v="WI-L9"/>
    <x v="1"/>
    <x v="7"/>
    <n v="4.2414969473334301"/>
    <n v="258.02439762944999"/>
    <n v="928.887831466021"/>
  </r>
  <r>
    <x v="0"/>
    <x v="0"/>
    <x v="0"/>
    <x v="8"/>
    <x v="13"/>
    <s v="PL_A"/>
    <x v="0"/>
    <x v="0"/>
    <s v="WI-L9"/>
    <x v="1"/>
    <x v="8"/>
    <n v="5.9380957262668002"/>
    <n v="361.23415668122999"/>
    <n v="1300.4429640524299"/>
  </r>
  <r>
    <x v="0"/>
    <x v="0"/>
    <x v="0"/>
    <x v="8"/>
    <x v="13"/>
    <s v="PL_A"/>
    <x v="0"/>
    <x v="0"/>
    <s v="WI-L9"/>
    <x v="1"/>
    <x v="9"/>
    <n v="27.9938798524006"/>
    <n v="1702.96102435437"/>
    <n v="6130.6596876757403"/>
  </r>
  <r>
    <x v="0"/>
    <x v="0"/>
    <x v="0"/>
    <x v="8"/>
    <x v="13"/>
    <s v="PL_A"/>
    <x v="0"/>
    <x v="0"/>
    <s v="WI-L9"/>
    <x v="1"/>
    <x v="10"/>
    <n v="65.3190529889348"/>
    <n v="3973.5757234935299"/>
    <n v="14304.8726045767"/>
  </r>
  <r>
    <x v="0"/>
    <x v="0"/>
    <x v="0"/>
    <x v="8"/>
    <x v="13"/>
    <s v="PL_A"/>
    <x v="0"/>
    <x v="0"/>
    <s v="WI-L9"/>
    <x v="1"/>
    <x v="11"/>
    <n v="100.947627346536"/>
    <n v="6140.98066358092"/>
    <n v="22107.5303888913"/>
  </r>
  <r>
    <x v="0"/>
    <x v="0"/>
    <x v="0"/>
    <x v="8"/>
    <x v="13"/>
    <s v="PL_A"/>
    <x v="0"/>
    <x v="0"/>
    <s v="WI-L9"/>
    <x v="2"/>
    <x v="0"/>
    <n v="71.257148715201595"/>
    <n v="4334.8098801747601"/>
    <n v="15605.315568629199"/>
  </r>
  <r>
    <x v="0"/>
    <x v="0"/>
    <x v="0"/>
    <x v="8"/>
    <x v="13"/>
    <s v="PL_A"/>
    <x v="0"/>
    <x v="0"/>
    <s v="WI-L9"/>
    <x v="2"/>
    <x v="1"/>
    <n v="76.346945052001701"/>
    <n v="4644.43915733011"/>
    <n v="16719.980966388401"/>
  </r>
  <r>
    <x v="0"/>
    <x v="0"/>
    <x v="0"/>
    <x v="8"/>
    <x v="13"/>
    <s v="PL_A"/>
    <x v="0"/>
    <x v="0"/>
    <s v="WI-L9"/>
    <x v="2"/>
    <x v="2"/>
    <n v="122.15511208320299"/>
    <n v="7431.1026517281698"/>
    <n v="26751.9695462214"/>
  </r>
  <r>
    <x v="0"/>
    <x v="0"/>
    <x v="0"/>
    <x v="8"/>
    <x v="13"/>
    <s v="PL_A"/>
    <x v="0"/>
    <x v="0"/>
    <s v="WI-L9"/>
    <x v="2"/>
    <x v="3"/>
    <n v="133.18300414627001"/>
    <n v="8101.9660855647398"/>
    <n v="29167.077908033101"/>
  </r>
  <r>
    <x v="0"/>
    <x v="0"/>
    <x v="0"/>
    <x v="8"/>
    <x v="13"/>
    <s v="PL_A"/>
    <x v="0"/>
    <x v="0"/>
    <s v="WI-L9"/>
    <x v="2"/>
    <x v="4"/>
    <n v="145.90749498827"/>
    <n v="8876.0392784530904"/>
    <n v="31953.7414024311"/>
  </r>
  <r>
    <x v="0"/>
    <x v="0"/>
    <x v="0"/>
    <x v="8"/>
    <x v="13"/>
    <s v="PL_A"/>
    <x v="0"/>
    <x v="0"/>
    <s v="WI-L9"/>
    <x v="2"/>
    <x v="5"/>
    <n v="134.03130353573599"/>
    <n v="8153.5709650906301"/>
    <n v="29352.855474326301"/>
  </r>
  <r>
    <x v="0"/>
    <x v="0"/>
    <x v="0"/>
    <x v="8"/>
    <x v="13"/>
    <s v="PL_A"/>
    <x v="0"/>
    <x v="0"/>
    <s v="WI-L9"/>
    <x v="2"/>
    <x v="6"/>
    <n v="126.396609030536"/>
    <n v="7689.1270493576203"/>
    <n v="27680.8573776874"/>
  </r>
  <r>
    <x v="0"/>
    <x v="0"/>
    <x v="0"/>
    <x v="8"/>
    <x v="13"/>
    <s v="PL_A"/>
    <x v="0"/>
    <x v="0"/>
    <s v="WI-L9"/>
    <x v="2"/>
    <x v="7"/>
    <n v="122.15511208320299"/>
    <n v="7431.1026517281698"/>
    <n v="26751.9695462214"/>
  </r>
  <r>
    <x v="0"/>
    <x v="0"/>
    <x v="0"/>
    <x v="8"/>
    <x v="13"/>
    <s v="PL_A"/>
    <x v="0"/>
    <x v="0"/>
    <s v="WI-L9"/>
    <x v="2"/>
    <x v="8"/>
    <n v="120.458513304269"/>
    <n v="7327.8928926763901"/>
    <n v="26380.414413635001"/>
  </r>
  <r>
    <x v="0"/>
    <x v="0"/>
    <x v="0"/>
    <x v="8"/>
    <x v="13"/>
    <s v="PL_A"/>
    <x v="0"/>
    <x v="0"/>
    <s v="WI-L9"/>
    <x v="2"/>
    <x v="9"/>
    <n v="112.823818799069"/>
    <n v="6863.4489769433803"/>
    <n v="24708.416316996201"/>
  </r>
  <r>
    <x v="0"/>
    <x v="0"/>
    <x v="0"/>
    <x v="8"/>
    <x v="13"/>
    <s v="PL_A"/>
    <x v="0"/>
    <x v="0"/>
    <s v="WI-L9"/>
    <x v="2"/>
    <x v="10"/>
    <n v="116.217016356936"/>
    <n v="7069.8684950469396"/>
    <n v="25451.526582169001"/>
  </r>
  <r>
    <x v="0"/>
    <x v="0"/>
    <x v="0"/>
    <x v="8"/>
    <x v="13"/>
    <s v="PL_A"/>
    <x v="0"/>
    <x v="0"/>
    <s v="WI-L9"/>
    <x v="2"/>
    <x v="11"/>
    <n v="128.94150719893599"/>
    <n v="7843.9416879352902"/>
    <n v="28238.190076567"/>
  </r>
  <r>
    <x v="0"/>
    <x v="0"/>
    <x v="0"/>
    <x v="8"/>
    <x v="13"/>
    <s v="PL_A"/>
    <x v="0"/>
    <x v="0"/>
    <s v="WI-L9"/>
    <x v="3"/>
    <x v="0"/>
    <n v="117.91361513586899"/>
    <n v="7173.0782540987202"/>
    <n v="25823.081714755401"/>
  </r>
  <r>
    <x v="0"/>
    <x v="0"/>
    <x v="0"/>
    <x v="8"/>
    <x v="13"/>
    <s v="PL_A"/>
    <x v="0"/>
    <x v="0"/>
    <s v="WI-L9"/>
    <x v="3"/>
    <x v="1"/>
    <n v="90.7680346729354"/>
    <n v="5521.7221092702403"/>
    <n v="19878.199593372799"/>
  </r>
  <r>
    <x v="0"/>
    <x v="0"/>
    <x v="0"/>
    <x v="8"/>
    <x v="13"/>
    <s v="PL_A"/>
    <x v="0"/>
    <x v="0"/>
    <s v="WI-L9"/>
    <x v="3"/>
    <x v="2"/>
    <n v="104.340824904402"/>
    <n v="6347.4001816844802"/>
    <n v="22850.6406540641"/>
  </r>
  <r>
    <x v="0"/>
    <x v="0"/>
    <x v="0"/>
    <x v="8"/>
    <x v="13"/>
    <s v="PL_A"/>
    <x v="0"/>
    <x v="0"/>
    <s v="WI-L9"/>
    <x v="3"/>
    <x v="3"/>
    <n v="96.706130399202195"/>
    <n v="5882.9562659514704"/>
    <n v="21178.642557425301"/>
  </r>
  <r>
    <x v="0"/>
    <x v="0"/>
    <x v="0"/>
    <x v="8"/>
    <x v="13"/>
    <s v="PL_A"/>
    <x v="0"/>
    <x v="0"/>
    <s v="WI-L9"/>
    <x v="3"/>
    <x v="4"/>
    <n v="78.891843220401796"/>
    <n v="4799.2537959077699"/>
    <n v="17277.313665268"/>
  </r>
  <r>
    <x v="0"/>
    <x v="0"/>
    <x v="0"/>
    <x v="8"/>
    <x v="13"/>
    <s v="PL_A"/>
    <x v="0"/>
    <x v="0"/>
    <s v="WI-L9"/>
    <x v="3"/>
    <x v="5"/>
    <n v="62.774154820534697"/>
    <n v="3818.76108491586"/>
    <n v="13747.5399056971"/>
  </r>
  <r>
    <x v="0"/>
    <x v="0"/>
    <x v="0"/>
    <x v="8"/>
    <x v="13"/>
    <s v="PL_A"/>
    <x v="0"/>
    <x v="0"/>
    <s v="WI-L9"/>
    <x v="3"/>
    <x v="6"/>
    <n v="40.718370694400903"/>
    <n v="2477.0342172427199"/>
    <n v="8917.3231820738001"/>
  </r>
  <r>
    <x v="0"/>
    <x v="0"/>
    <x v="0"/>
    <x v="8"/>
    <x v="13"/>
    <s v="PL_A"/>
    <x v="0"/>
    <x v="0"/>
    <s v="WI-L9"/>
    <x v="3"/>
    <x v="7"/>
    <n v="30.538778020800699"/>
    <n v="1857.7756629320399"/>
    <n v="6687.9923865553501"/>
  </r>
  <r>
    <x v="0"/>
    <x v="0"/>
    <x v="0"/>
    <x v="8"/>
    <x v="13"/>
    <s v="PL_A"/>
    <x v="0"/>
    <x v="0"/>
    <s v="WI-L9"/>
    <x v="3"/>
    <x v="8"/>
    <n v="22.904083515600501"/>
    <n v="1393.3317471990299"/>
    <n v="5015.9942899165098"/>
  </r>
  <r>
    <x v="0"/>
    <x v="0"/>
    <x v="0"/>
    <x v="8"/>
    <x v="13"/>
    <s v="PL_A"/>
    <x v="0"/>
    <x v="0"/>
    <s v="WI-L9"/>
    <x v="3"/>
    <x v="9"/>
    <n v="16.965987789333699"/>
    <n v="1032.0975905178"/>
    <n v="3715.5513258640799"/>
  </r>
  <r>
    <x v="0"/>
    <x v="0"/>
    <x v="0"/>
    <x v="8"/>
    <x v="13"/>
    <s v="PL_A"/>
    <x v="0"/>
    <x v="0"/>
    <s v="WI-L9"/>
    <x v="3"/>
    <x v="10"/>
    <n v="11.8761914525336"/>
    <n v="722.468313362461"/>
    <n v="2600.8859281048599"/>
  </r>
  <r>
    <x v="0"/>
    <x v="0"/>
    <x v="0"/>
    <x v="8"/>
    <x v="13"/>
    <s v="PL_A"/>
    <x v="0"/>
    <x v="0"/>
    <s v="WI-L9"/>
    <x v="3"/>
    <x v="11"/>
    <n v="10.179592673600199"/>
    <n v="619.25855431068101"/>
    <n v="2229.33079551845"/>
  </r>
  <r>
    <x v="0"/>
    <x v="0"/>
    <x v="0"/>
    <x v="8"/>
    <x v="13"/>
    <s v="PL_A"/>
    <x v="0"/>
    <x v="0"/>
    <s v="WI-L9"/>
    <x v="4"/>
    <x v="0"/>
    <n v="485.22725077494403"/>
    <n v="29517.9910888091"/>
    <n v="106264.76791971301"/>
  </r>
  <r>
    <x v="0"/>
    <x v="0"/>
    <x v="0"/>
    <x v="8"/>
    <x v="13"/>
    <s v="PL_A"/>
    <x v="0"/>
    <x v="0"/>
    <s v="WI-L9"/>
    <x v="4"/>
    <x v="1"/>
    <n v="472.502759932944"/>
    <n v="28743.9178959208"/>
    <n v="103478.104425315"/>
  </r>
  <r>
    <x v="0"/>
    <x v="0"/>
    <x v="0"/>
    <x v="8"/>
    <x v="13"/>
    <s v="PL_A"/>
    <x v="0"/>
    <x v="0"/>
    <s v="WI-L9"/>
    <x v="4"/>
    <x v="2"/>
    <n v="482.68235260654399"/>
    <n v="29363.1764502314"/>
    <n v="105707.43522083299"/>
  </r>
  <r>
    <x v="0"/>
    <x v="0"/>
    <x v="0"/>
    <x v="8"/>
    <x v="13"/>
    <s v="PL_A"/>
    <x v="0"/>
    <x v="0"/>
    <s v="WI-L9"/>
    <x v="4"/>
    <x v="3"/>
    <n v="485.22725077494403"/>
    <n v="29517.9910888091"/>
    <n v="106264.76791971301"/>
  </r>
  <r>
    <x v="0"/>
    <x v="0"/>
    <x v="0"/>
    <x v="8"/>
    <x v="13"/>
    <s v="PL_A"/>
    <x v="0"/>
    <x v="0"/>
    <s v="WI-L9"/>
    <x v="4"/>
    <x v="4"/>
    <n v="483.53065199601099"/>
    <n v="29414.781329757301"/>
    <n v="105893.212787126"/>
  </r>
  <r>
    <x v="0"/>
    <x v="0"/>
    <x v="0"/>
    <x v="8"/>
    <x v="13"/>
    <s v="PL_A"/>
    <x v="0"/>
    <x v="0"/>
    <s v="WI-L9"/>
    <x v="4"/>
    <x v="5"/>
    <n v="518.31092696414498"/>
    <n v="31530.581390318799"/>
    <n v="113510.093005148"/>
  </r>
  <r>
    <x v="0"/>
    <x v="0"/>
    <x v="0"/>
    <x v="8"/>
    <x v="13"/>
    <s v="PL_A"/>
    <x v="0"/>
    <x v="0"/>
    <s v="WI-L9"/>
    <x v="4"/>
    <x v="6"/>
    <n v="531.88371719561201"/>
    <n v="32356.259462733098"/>
    <n v="116482.53406583901"/>
  </r>
  <r>
    <x v="0"/>
    <x v="0"/>
    <x v="0"/>
    <x v="8"/>
    <x v="13"/>
    <s v="PL_A"/>
    <x v="0"/>
    <x v="0"/>
    <s v="WI-L9"/>
    <x v="4"/>
    <x v="7"/>
    <n v="539.51841170081195"/>
    <n v="32820.703378466103"/>
    <n v="118154.532162478"/>
  </r>
  <r>
    <x v="0"/>
    <x v="0"/>
    <x v="0"/>
    <x v="8"/>
    <x v="13"/>
    <s v="PL_A"/>
    <x v="0"/>
    <x v="0"/>
    <s v="WI-L9"/>
    <x v="4"/>
    <x v="8"/>
    <n v="555.63610010067896"/>
    <n v="33801.196089457997"/>
    <n v="121684.305922049"/>
  </r>
  <r>
    <x v="0"/>
    <x v="0"/>
    <x v="0"/>
    <x v="8"/>
    <x v="13"/>
    <s v="PL_A"/>
    <x v="0"/>
    <x v="0"/>
    <s v="WI-L9"/>
    <x v="4"/>
    <x v="9"/>
    <n v="569.20889033214598"/>
    <n v="34626.874161872198"/>
    <n v="124656.74698274001"/>
  </r>
  <r>
    <x v="0"/>
    <x v="0"/>
    <x v="0"/>
    <x v="8"/>
    <x v="13"/>
    <s v="PL_A"/>
    <x v="0"/>
    <x v="0"/>
    <s v="WI-L9"/>
    <x v="4"/>
    <x v="10"/>
    <n v="581.08508178468003"/>
    <n v="35349.342475234698"/>
    <n v="127257.632910845"/>
  </r>
  <r>
    <x v="0"/>
    <x v="0"/>
    <x v="0"/>
    <x v="8"/>
    <x v="13"/>
    <s v="PL_A"/>
    <x v="0"/>
    <x v="0"/>
    <s v="WI-L9"/>
    <x v="4"/>
    <x v="11"/>
    <n v="605.68576407921398"/>
    <n v="36845.883981485502"/>
    <n v="132645.182333348"/>
  </r>
  <r>
    <x v="0"/>
    <x v="0"/>
    <x v="0"/>
    <x v="8"/>
    <x v="13"/>
    <s v="PL_A"/>
    <x v="0"/>
    <x v="0"/>
    <s v="WI-L9"/>
    <x v="5"/>
    <x v="0"/>
    <n v="152.693890104003"/>
    <n v="9288.8783146602109"/>
    <n v="33439.9619327767"/>
  </r>
  <r>
    <x v="0"/>
    <x v="0"/>
    <x v="0"/>
    <x v="8"/>
    <x v="13"/>
    <s v="PL_A"/>
    <x v="0"/>
    <x v="0"/>
    <s v="WI-L9"/>
    <x v="5"/>
    <x v="1"/>
    <n v="127.244908420003"/>
    <n v="7740.7319288835097"/>
    <n v="27866.6349439806"/>
  </r>
  <r>
    <x v="0"/>
    <x v="0"/>
    <x v="0"/>
    <x v="8"/>
    <x v="13"/>
    <s v="PL_A"/>
    <x v="0"/>
    <x v="0"/>
    <s v="WI-L9"/>
    <x v="5"/>
    <x v="2"/>
    <n v="111.12722002013599"/>
    <n v="6760.2392178915998"/>
    <n v="24336.861184409699"/>
  </r>
  <r>
    <x v="0"/>
    <x v="0"/>
    <x v="0"/>
    <x v="8"/>
    <x v="13"/>
    <s v="PL_A"/>
    <x v="0"/>
    <x v="0"/>
    <s v="WI-L9"/>
    <x v="5"/>
    <x v="3"/>
    <n v="93.312932841335396"/>
    <n v="5676.5367478479102"/>
    <n v="20435.532292252501"/>
  </r>
  <r>
    <x v="0"/>
    <x v="0"/>
    <x v="0"/>
    <x v="8"/>
    <x v="13"/>
    <s v="PL_A"/>
    <x v="0"/>
    <x v="0"/>
    <s v="WI-L9"/>
    <x v="5"/>
    <x v="4"/>
    <n v="74.650346273068294"/>
    <n v="4541.2293982783203"/>
    <n v="16348.425833802001"/>
  </r>
  <r>
    <x v="0"/>
    <x v="0"/>
    <x v="0"/>
    <x v="8"/>
    <x v="13"/>
    <s v="PL_A"/>
    <x v="0"/>
    <x v="0"/>
    <s v="WI-L9"/>
    <x v="5"/>
    <x v="5"/>
    <n v="70.408849325734906"/>
    <n v="4283.2050006488698"/>
    <n v="15419.538002335899"/>
  </r>
  <r>
    <x v="0"/>
    <x v="0"/>
    <x v="0"/>
    <x v="8"/>
    <x v="13"/>
    <s v="PL_A"/>
    <x v="0"/>
    <x v="0"/>
    <s v="WI-L9"/>
    <x v="5"/>
    <x v="6"/>
    <n v="65.3190529889348"/>
    <n v="3973.5757234935299"/>
    <n v="14304.8726045767"/>
  </r>
  <r>
    <x v="0"/>
    <x v="0"/>
    <x v="0"/>
    <x v="8"/>
    <x v="13"/>
    <s v="PL_A"/>
    <x v="0"/>
    <x v="0"/>
    <s v="WI-L9"/>
    <x v="5"/>
    <x v="7"/>
    <n v="62.774154820534697"/>
    <n v="3818.76108491586"/>
    <n v="13747.5399056971"/>
  </r>
  <r>
    <x v="0"/>
    <x v="0"/>
    <x v="0"/>
    <x v="8"/>
    <x v="13"/>
    <s v="PL_A"/>
    <x v="0"/>
    <x v="0"/>
    <s v="WI-L9"/>
    <x v="5"/>
    <x v="8"/>
    <n v="57.684358483734599"/>
    <n v="3509.1318077605201"/>
    <n v="12632.8745079379"/>
  </r>
  <r>
    <x v="0"/>
    <x v="0"/>
    <x v="0"/>
    <x v="8"/>
    <x v="13"/>
    <s v="PL_A"/>
    <x v="0"/>
    <x v="0"/>
    <s v="WI-L9"/>
    <x v="5"/>
    <x v="9"/>
    <n v="57.684358483734599"/>
    <n v="3509.1318077605201"/>
    <n v="12632.8745079379"/>
  </r>
  <r>
    <x v="0"/>
    <x v="0"/>
    <x v="0"/>
    <x v="8"/>
    <x v="13"/>
    <s v="PL_A"/>
    <x v="0"/>
    <x v="0"/>
    <s v="WI-L9"/>
    <x v="5"/>
    <x v="10"/>
    <n v="62.774154820534697"/>
    <n v="3818.76108491586"/>
    <n v="13747.5399056971"/>
  </r>
  <r>
    <x v="0"/>
    <x v="0"/>
    <x v="0"/>
    <x v="8"/>
    <x v="13"/>
    <s v="PL_A"/>
    <x v="0"/>
    <x v="0"/>
    <s v="WI-L9"/>
    <x v="5"/>
    <x v="11"/>
    <n v="90.7680346729354"/>
    <n v="5521.7221092702403"/>
    <n v="19878.199593372799"/>
  </r>
  <r>
    <x v="0"/>
    <x v="0"/>
    <x v="0"/>
    <x v="8"/>
    <x v="13"/>
    <s v="PL_A"/>
    <x v="0"/>
    <x v="0"/>
    <s v="WI-L9"/>
    <x v="6"/>
    <x v="0"/>
    <n v="45.808167031201002"/>
    <n v="2786.6634943980598"/>
    <n v="10031.988579833"/>
  </r>
  <r>
    <x v="0"/>
    <x v="0"/>
    <x v="0"/>
    <x v="8"/>
    <x v="13"/>
    <s v="PL_A"/>
    <x v="0"/>
    <x v="0"/>
    <s v="WI-L9"/>
    <x v="6"/>
    <x v="1"/>
    <n v="50.897963368001101"/>
    <n v="3096.2927715534001"/>
    <n v="11146.653977592299"/>
  </r>
  <r>
    <x v="0"/>
    <x v="0"/>
    <x v="0"/>
    <x v="8"/>
    <x v="13"/>
    <s v="PL_A"/>
    <x v="0"/>
    <x v="0"/>
    <s v="WI-L9"/>
    <x v="6"/>
    <x v="2"/>
    <n v="30.538778020800699"/>
    <n v="1857.7756629320399"/>
    <n v="6687.9923865553501"/>
  </r>
  <r>
    <x v="0"/>
    <x v="0"/>
    <x v="0"/>
    <x v="8"/>
    <x v="13"/>
    <s v="PL_A"/>
    <x v="0"/>
    <x v="0"/>
    <s v="WI-L9"/>
    <x v="6"/>
    <x v="3"/>
    <n v="26.2972810734673"/>
    <n v="1599.7512653025899"/>
    <n v="5759.1045550893296"/>
  </r>
  <r>
    <x v="0"/>
    <x v="0"/>
    <x v="0"/>
    <x v="8"/>
    <x v="13"/>
    <s v="PL_A"/>
    <x v="0"/>
    <x v="0"/>
    <s v="WI-L9"/>
    <x v="6"/>
    <x v="4"/>
    <n v="28.842179241867299"/>
    <n v="1754.5659038802601"/>
    <n v="6316.4372539689402"/>
  </r>
  <r>
    <x v="0"/>
    <x v="0"/>
    <x v="0"/>
    <x v="8"/>
    <x v="13"/>
    <s v="PL_A"/>
    <x v="0"/>
    <x v="0"/>
    <s v="WI-L9"/>
    <x v="6"/>
    <x v="5"/>
    <n v="16.117688399866999"/>
    <n v="980.49271099191105"/>
    <n v="3529.77375957088"/>
  </r>
  <r>
    <x v="0"/>
    <x v="0"/>
    <x v="0"/>
    <x v="8"/>
    <x v="13"/>
    <s v="PL_A"/>
    <x v="0"/>
    <x v="0"/>
    <s v="WI-L9"/>
    <x v="6"/>
    <x v="6"/>
    <n v="16.965987789333699"/>
    <n v="1032.0975905178"/>
    <n v="3715.5513258640799"/>
  </r>
  <r>
    <x v="0"/>
    <x v="0"/>
    <x v="0"/>
    <x v="8"/>
    <x v="13"/>
    <s v="PL_A"/>
    <x v="0"/>
    <x v="0"/>
    <s v="WI-L9"/>
    <x v="6"/>
    <x v="7"/>
    <n v="11.8761914525336"/>
    <n v="722.468313362461"/>
    <n v="2600.8859281048599"/>
  </r>
  <r>
    <x v="0"/>
    <x v="0"/>
    <x v="0"/>
    <x v="8"/>
    <x v="13"/>
    <s v="PL_A"/>
    <x v="0"/>
    <x v="0"/>
    <s v="WI-L9"/>
    <x v="6"/>
    <x v="8"/>
    <n v="13.572790231467"/>
    <n v="825.678072414241"/>
    <n v="2972.4410606912702"/>
  </r>
  <r>
    <x v="0"/>
    <x v="0"/>
    <x v="0"/>
    <x v="8"/>
    <x v="13"/>
    <s v="PL_A"/>
    <x v="0"/>
    <x v="0"/>
    <s v="WI-L9"/>
    <x v="6"/>
    <x v="9"/>
    <n v="11.027892063066901"/>
    <n v="670.86343383657095"/>
    <n v="2415.10836181165"/>
  </r>
  <r>
    <x v="0"/>
    <x v="0"/>
    <x v="0"/>
    <x v="8"/>
    <x v="13"/>
    <s v="PL_A"/>
    <x v="0"/>
    <x v="0"/>
    <s v="WI-L9"/>
    <x v="6"/>
    <x v="10"/>
    <n v="10.179592673600199"/>
    <n v="619.25855431068101"/>
    <n v="2229.33079551845"/>
  </r>
  <r>
    <x v="0"/>
    <x v="0"/>
    <x v="0"/>
    <x v="8"/>
    <x v="13"/>
    <s v="PL_A"/>
    <x v="0"/>
    <x v="0"/>
    <s v="WI-L9"/>
    <x v="6"/>
    <x v="11"/>
    <n v="14.421089620933699"/>
    <n v="877.28295194013106"/>
    <n v="3158.2186269844701"/>
  </r>
  <r>
    <x v="0"/>
    <x v="0"/>
    <x v="0"/>
    <x v="8"/>
    <x v="13"/>
    <s v="PL_A"/>
    <x v="0"/>
    <x v="0"/>
    <s v="WI-L9"/>
    <x v="7"/>
    <x v="0"/>
    <n v="583.62997995308001"/>
    <n v="35504.157113812304"/>
    <n v="127814.96560972399"/>
  </r>
  <r>
    <x v="0"/>
    <x v="0"/>
    <x v="0"/>
    <x v="8"/>
    <x v="13"/>
    <s v="PL_A"/>
    <x v="0"/>
    <x v="0"/>
    <s v="WI-L9"/>
    <x v="7"/>
    <x v="1"/>
    <n v="579.38848300574602"/>
    <n v="35246.132716182903"/>
    <n v="126886.077778258"/>
  </r>
  <r>
    <x v="0"/>
    <x v="0"/>
    <x v="0"/>
    <x v="8"/>
    <x v="13"/>
    <s v="PL_A"/>
    <x v="0"/>
    <x v="0"/>
    <s v="WI-L9"/>
    <x v="7"/>
    <x v="2"/>
    <n v="559.02929765854606"/>
    <n v="34007.6156075615"/>
    <n v="122427.416187222"/>
  </r>
  <r>
    <x v="0"/>
    <x v="0"/>
    <x v="0"/>
    <x v="8"/>
    <x v="13"/>
    <s v="PL_A"/>
    <x v="0"/>
    <x v="0"/>
    <s v="WI-L9"/>
    <x v="7"/>
    <x v="3"/>
    <n v="480.137454438144"/>
    <n v="29208.361811653798"/>
    <n v="105150.102521954"/>
  </r>
  <r>
    <x v="0"/>
    <x v="0"/>
    <x v="0"/>
    <x v="8"/>
    <x v="13"/>
    <s v="PL_A"/>
    <x v="0"/>
    <x v="0"/>
    <s v="WI-L9"/>
    <x v="7"/>
    <x v="4"/>
    <n v="376.644928923208"/>
    <n v="22912.566509495198"/>
    <n v="82485.239434182702"/>
  </r>
  <r>
    <x v="0"/>
    <x v="0"/>
    <x v="0"/>
    <x v="8"/>
    <x v="13"/>
    <s v="PL_A"/>
    <x v="0"/>
    <x v="0"/>
    <s v="WI-L9"/>
    <x v="7"/>
    <x v="5"/>
    <n v="290.966690587073"/>
    <n v="17700.473677380302"/>
    <n v="63721.705238568997"/>
  </r>
  <r>
    <x v="0"/>
    <x v="0"/>
    <x v="0"/>
    <x v="8"/>
    <x v="13"/>
    <s v="PL_A"/>
    <x v="0"/>
    <x v="0"/>
    <s v="WI-L9"/>
    <x v="7"/>
    <x v="6"/>
    <n v="244.31022416640499"/>
    <n v="14862.2053034563"/>
    <n v="53503.939092442801"/>
  </r>
  <r>
    <x v="0"/>
    <x v="0"/>
    <x v="0"/>
    <x v="8"/>
    <x v="13"/>
    <s v="PL_A"/>
    <x v="0"/>
    <x v="0"/>
    <s v="WI-L9"/>
    <x v="7"/>
    <x v="7"/>
    <n v="228.19253576653799"/>
    <n v="13881.712592464401"/>
    <n v="49974.165332871897"/>
  </r>
  <r>
    <x v="0"/>
    <x v="0"/>
    <x v="0"/>
    <x v="8"/>
    <x v="13"/>
    <s v="PL_A"/>
    <x v="0"/>
    <x v="0"/>
    <s v="WI-L9"/>
    <x v="7"/>
    <x v="8"/>
    <n v="234.13063149280501"/>
    <n v="14242.9467491457"/>
    <n v="51274.608296924402"/>
  </r>
  <r>
    <x v="0"/>
    <x v="0"/>
    <x v="0"/>
    <x v="8"/>
    <x v="13"/>
    <s v="PL_A"/>
    <x v="0"/>
    <x v="0"/>
    <s v="WI-L9"/>
    <x v="7"/>
    <x v="9"/>
    <n v="233.282332103339"/>
    <n v="14191.3418696198"/>
    <n v="51088.830730631104"/>
  </r>
  <r>
    <x v="0"/>
    <x v="0"/>
    <x v="0"/>
    <x v="8"/>
    <x v="13"/>
    <s v="PL_A"/>
    <x v="0"/>
    <x v="0"/>
    <s v="WI-L9"/>
    <x v="7"/>
    <x v="10"/>
    <n v="341.01635456560803"/>
    <n v="20745.161569407799"/>
    <n v="74682.581649868094"/>
  </r>
  <r>
    <x v="0"/>
    <x v="0"/>
    <x v="0"/>
    <x v="8"/>
    <x v="13"/>
    <s v="PL_A"/>
    <x v="0"/>
    <x v="0"/>
    <s v="WI-L9"/>
    <x v="7"/>
    <x v="11"/>
    <n v="402.94220999667601"/>
    <n v="24512.317774797801"/>
    <n v="88244.343989272005"/>
  </r>
  <r>
    <x v="0"/>
    <x v="0"/>
    <x v="0"/>
    <x v="8"/>
    <x v="13"/>
    <s v="PL_A"/>
    <x v="0"/>
    <x v="0"/>
    <s v="WI-L9"/>
    <x v="8"/>
    <x v="0"/>
    <n v="15.2693890104003"/>
    <n v="928.887831466021"/>
    <n v="3343.99619327767"/>
  </r>
  <r>
    <x v="0"/>
    <x v="0"/>
    <x v="0"/>
    <x v="8"/>
    <x v="13"/>
    <s v="PL_A"/>
    <x v="0"/>
    <x v="0"/>
    <s v="WI-L9"/>
    <x v="8"/>
    <x v="1"/>
    <n v="11.8761914525336"/>
    <n v="722.468313362461"/>
    <n v="2600.8859281048599"/>
  </r>
  <r>
    <x v="0"/>
    <x v="0"/>
    <x v="0"/>
    <x v="8"/>
    <x v="13"/>
    <s v="PL_A"/>
    <x v="0"/>
    <x v="0"/>
    <s v="WI-L9"/>
    <x v="8"/>
    <x v="2"/>
    <n v="23.752382905067201"/>
    <n v="1444.93662672492"/>
    <n v="5201.7718562097198"/>
  </r>
  <r>
    <x v="0"/>
    <x v="0"/>
    <x v="0"/>
    <x v="8"/>
    <x v="13"/>
    <s v="PL_A"/>
    <x v="0"/>
    <x v="0"/>
    <s v="WI-L9"/>
    <x v="8"/>
    <x v="3"/>
    <n v="55.987759704801199"/>
    <n v="3405.92204870874"/>
    <n v="12261.319375351501"/>
  </r>
  <r>
    <x v="0"/>
    <x v="0"/>
    <x v="0"/>
    <x v="8"/>
    <x v="13"/>
    <s v="PL_A"/>
    <x v="0"/>
    <x v="0"/>
    <s v="WI-L9"/>
    <x v="8"/>
    <x v="4"/>
    <n v="79.740142609868499"/>
    <n v="4850.8586754336702"/>
    <n v="17463.0912315612"/>
  </r>
  <r>
    <x v="0"/>
    <x v="0"/>
    <x v="0"/>
    <x v="8"/>
    <x v="13"/>
    <s v="PL_A"/>
    <x v="0"/>
    <x v="0"/>
    <s v="WI-L9"/>
    <x v="8"/>
    <x v="5"/>
    <n v="84.829938946668605"/>
    <n v="5160.4879525890101"/>
    <n v="18577.7566293204"/>
  </r>
  <r>
    <x v="0"/>
    <x v="0"/>
    <x v="0"/>
    <x v="8"/>
    <x v="13"/>
    <s v="PL_A"/>
    <x v="0"/>
    <x v="0"/>
    <s v="WI-L9"/>
    <x v="8"/>
    <x v="6"/>
    <n v="58.532657873201302"/>
    <n v="3560.73668728641"/>
    <n v="12818.6520742311"/>
  </r>
  <r>
    <x v="0"/>
    <x v="0"/>
    <x v="0"/>
    <x v="8"/>
    <x v="13"/>
    <s v="PL_A"/>
    <x v="0"/>
    <x v="0"/>
    <s v="WI-L9"/>
    <x v="8"/>
    <x v="7"/>
    <n v="63.622454210001401"/>
    <n v="3870.3659644417498"/>
    <n v="13933.3174719903"/>
  </r>
  <r>
    <x v="0"/>
    <x v="0"/>
    <x v="0"/>
    <x v="8"/>
    <x v="13"/>
    <s v="PL_A"/>
    <x v="0"/>
    <x v="0"/>
    <s v="WI-L9"/>
    <x v="8"/>
    <x v="8"/>
    <n v="49.201364589067801"/>
    <n v="2993.08301250162"/>
    <n v="10775.098845005799"/>
  </r>
  <r>
    <x v="0"/>
    <x v="0"/>
    <x v="0"/>
    <x v="8"/>
    <x v="13"/>
    <s v="PL_A"/>
    <x v="0"/>
    <x v="0"/>
    <s v="WI-L9"/>
    <x v="8"/>
    <x v="9"/>
    <n v="74.650346273068294"/>
    <n v="4541.2293982783203"/>
    <n v="16348.425833802001"/>
  </r>
  <r>
    <x v="0"/>
    <x v="0"/>
    <x v="0"/>
    <x v="8"/>
    <x v="13"/>
    <s v="PL_A"/>
    <x v="0"/>
    <x v="0"/>
    <s v="WI-L9"/>
    <x v="8"/>
    <x v="10"/>
    <n v="139.96939926200301"/>
    <n v="8514.8051217718603"/>
    <n v="30653.298438378701"/>
  </r>
  <r>
    <x v="0"/>
    <x v="0"/>
    <x v="0"/>
    <x v="8"/>
    <x v="13"/>
    <s v="PL_A"/>
    <x v="0"/>
    <x v="0"/>
    <s v="WI-L9"/>
    <x v="8"/>
    <x v="11"/>
    <n v="139.12109987253601"/>
    <n v="8463.20024224597"/>
    <n v="30467.520872085501"/>
  </r>
  <r>
    <x v="0"/>
    <x v="0"/>
    <x v="0"/>
    <x v="8"/>
    <x v="13"/>
    <s v="PL_A"/>
    <x v="0"/>
    <x v="0"/>
    <s v="WI-L9"/>
    <x v="9"/>
    <x v="0"/>
    <n v="532.73201658507901"/>
    <n v="32407.864342258901"/>
    <n v="116668.311632132"/>
  </r>
  <r>
    <x v="0"/>
    <x v="0"/>
    <x v="0"/>
    <x v="8"/>
    <x v="13"/>
    <s v="PL_A"/>
    <x v="0"/>
    <x v="0"/>
    <s v="WI-L9"/>
    <x v="9"/>
    <x v="1"/>
    <n v="536.97351353241197"/>
    <n v="32665.8887398884"/>
    <n v="117597.19946359799"/>
  </r>
  <r>
    <x v="0"/>
    <x v="0"/>
    <x v="0"/>
    <x v="8"/>
    <x v="13"/>
    <s v="PL_A"/>
    <x v="0"/>
    <x v="0"/>
    <s v="WI-L9"/>
    <x v="9"/>
    <x v="2"/>
    <n v="514.917729406278"/>
    <n v="31324.1618722153"/>
    <n v="112766.98273997501"/>
  </r>
  <r>
    <x v="0"/>
    <x v="0"/>
    <x v="0"/>
    <x v="8"/>
    <x v="13"/>
    <s v="PL_A"/>
    <x v="0"/>
    <x v="0"/>
    <s v="WI-L9"/>
    <x v="9"/>
    <x v="3"/>
    <n v="483.53065199601099"/>
    <n v="29414.781329757301"/>
    <n v="105893.212787126"/>
  </r>
  <r>
    <x v="0"/>
    <x v="0"/>
    <x v="0"/>
    <x v="8"/>
    <x v="13"/>
    <s v="PL_A"/>
    <x v="0"/>
    <x v="0"/>
    <s v="WI-L9"/>
    <x v="9"/>
    <x v="4"/>
    <n v="480.98575382761101"/>
    <n v="29259.966691179699"/>
    <n v="105335.880088247"/>
  </r>
  <r>
    <x v="0"/>
    <x v="0"/>
    <x v="0"/>
    <x v="8"/>
    <x v="13"/>
    <s v="PL_A"/>
    <x v="0"/>
    <x v="0"/>
    <s v="WI-L9"/>
    <x v="9"/>
    <x v="5"/>
    <n v="467.41296359614398"/>
    <n v="28434.2886187654"/>
    <n v="102363.439027556"/>
  </r>
  <r>
    <x v="0"/>
    <x v="0"/>
    <x v="0"/>
    <x v="8"/>
    <x v="13"/>
    <s v="PL_A"/>
    <x v="0"/>
    <x v="0"/>
    <s v="WI-L9"/>
    <x v="9"/>
    <x v="6"/>
    <n v="465.71636481720998"/>
    <n v="28331.078859713602"/>
    <n v="101991.883894969"/>
  </r>
  <r>
    <x v="0"/>
    <x v="0"/>
    <x v="0"/>
    <x v="8"/>
    <x v="13"/>
    <s v="PL_A"/>
    <x v="0"/>
    <x v="0"/>
    <s v="WI-L9"/>
    <x v="9"/>
    <x v="7"/>
    <n v="432.63268862800999"/>
    <n v="26318.488558203899"/>
    <n v="94746.558809534094"/>
  </r>
  <r>
    <x v="0"/>
    <x v="0"/>
    <x v="0"/>
    <x v="8"/>
    <x v="13"/>
    <s v="PL_A"/>
    <x v="0"/>
    <x v="0"/>
    <s v="WI-L9"/>
    <x v="9"/>
    <x v="8"/>
    <n v="456.385071533077"/>
    <n v="27763.425184928801"/>
    <n v="99948.330665743793"/>
  </r>
  <r>
    <x v="0"/>
    <x v="0"/>
    <x v="0"/>
    <x v="8"/>
    <x v="13"/>
    <s v="PL_A"/>
    <x v="0"/>
    <x v="0"/>
    <s v="WI-L9"/>
    <x v="9"/>
    <x v="9"/>
    <n v="495.40684344854401"/>
    <n v="30137.249643119801"/>
    <n v="108494.098715231"/>
  </r>
  <r>
    <x v="0"/>
    <x v="0"/>
    <x v="0"/>
    <x v="8"/>
    <x v="13"/>
    <s v="PL_A"/>
    <x v="0"/>
    <x v="0"/>
    <s v="WI-L9"/>
    <x v="9"/>
    <x v="10"/>
    <n v="525.94562146934504"/>
    <n v="31995.025306051801"/>
    <n v="115182.09110178699"/>
  </r>
  <r>
    <x v="0"/>
    <x v="0"/>
    <x v="0"/>
    <x v="8"/>
    <x v="13"/>
    <s v="PL_A"/>
    <x v="0"/>
    <x v="0"/>
    <s v="WI-L9"/>
    <x v="9"/>
    <x v="11"/>
    <n v="514.917729406278"/>
    <n v="31324.1618722153"/>
    <n v="112766.98273997501"/>
  </r>
  <r>
    <x v="0"/>
    <x v="0"/>
    <x v="0"/>
    <x v="8"/>
    <x v="13"/>
    <s v="PL_A"/>
    <x v="0"/>
    <x v="0"/>
    <s v="WI-L9"/>
    <x v="10"/>
    <x v="0"/>
    <n v="513.22113062734502"/>
    <n v="31220.952113163501"/>
    <n v="112395.42760738901"/>
  </r>
  <r>
    <x v="0"/>
    <x v="0"/>
    <x v="0"/>
    <x v="8"/>
    <x v="13"/>
    <s v="PL_A"/>
    <x v="0"/>
    <x v="0"/>
    <s v="WI-L9"/>
    <x v="10"/>
    <x v="1"/>
    <n v="536.12521414294497"/>
    <n v="32614.283860362499"/>
    <n v="117411.421897305"/>
  </r>
  <r>
    <x v="0"/>
    <x v="0"/>
    <x v="0"/>
    <x v="8"/>
    <x v="13"/>
    <s v="PL_A"/>
    <x v="0"/>
    <x v="0"/>
    <s v="WI-L9"/>
    <x v="10"/>
    <x v="2"/>
    <n v="531.03541780614501"/>
    <n v="32304.654583207201"/>
    <n v="116296.756499546"/>
  </r>
  <r>
    <x v="0"/>
    <x v="0"/>
    <x v="0"/>
    <x v="8"/>
    <x v="13"/>
    <s v="PL_A"/>
    <x v="0"/>
    <x v="0"/>
    <s v="WI-L9"/>
    <x v="10"/>
    <x v="3"/>
    <n v="520.85582513254496"/>
    <n v="31685.396028896499"/>
    <n v="114067.425704027"/>
  </r>
  <r>
    <x v="0"/>
    <x v="0"/>
    <x v="0"/>
    <x v="8"/>
    <x v="13"/>
    <s v="PL_A"/>
    <x v="0"/>
    <x v="0"/>
    <s v="WI-L9"/>
    <x v="10"/>
    <x v="4"/>
    <n v="488.62044833281101"/>
    <n v="29724.410606912701"/>
    <n v="107007.87818488599"/>
  </r>
  <r>
    <x v="0"/>
    <x v="0"/>
    <x v="0"/>
    <x v="8"/>
    <x v="13"/>
    <s v="PL_A"/>
    <x v="0"/>
    <x v="0"/>
    <s v="WI-L9"/>
    <x v="10"/>
    <x v="5"/>
    <n v="514.069430016811"/>
    <n v="31272.556992689399"/>
    <n v="112581.205173682"/>
  </r>
  <r>
    <x v="0"/>
    <x v="0"/>
    <x v="0"/>
    <x v="8"/>
    <x v="13"/>
    <s v="PL_A"/>
    <x v="0"/>
    <x v="0"/>
    <s v="WI-L9"/>
    <x v="10"/>
    <x v="6"/>
    <n v="471.654460543477"/>
    <n v="28692.313016394899"/>
    <n v="103292.326859022"/>
  </r>
  <r>
    <x v="0"/>
    <x v="0"/>
    <x v="0"/>
    <x v="8"/>
    <x v="13"/>
    <s v="PL_A"/>
    <x v="0"/>
    <x v="0"/>
    <s v="WI-L9"/>
    <x v="10"/>
    <x v="7"/>
    <n v="413.970102059743"/>
    <n v="25183.181208634302"/>
    <n v="90659.452351083601"/>
  </r>
  <r>
    <x v="0"/>
    <x v="0"/>
    <x v="0"/>
    <x v="8"/>
    <x v="13"/>
    <s v="PL_A"/>
    <x v="0"/>
    <x v="0"/>
    <s v="WI-L9"/>
    <x v="10"/>
    <x v="8"/>
    <n v="371.55513258640798"/>
    <n v="22602.937232339798"/>
    <n v="81370.574036423393"/>
  </r>
  <r>
    <x v="0"/>
    <x v="0"/>
    <x v="0"/>
    <x v="8"/>
    <x v="13"/>
    <s v="PL_A"/>
    <x v="0"/>
    <x v="0"/>
    <s v="WI-L9"/>
    <x v="10"/>
    <x v="9"/>
    <n v="328.29186372360698"/>
    <n v="19971.088376519401"/>
    <n v="71895.918155470004"/>
  </r>
  <r>
    <x v="0"/>
    <x v="0"/>
    <x v="0"/>
    <x v="8"/>
    <x v="13"/>
    <s v="PL_A"/>
    <x v="0"/>
    <x v="0"/>
    <s v="WI-L9"/>
    <x v="10"/>
    <x v="10"/>
    <n v="315.56737288160701"/>
    <n v="19197.015183631102"/>
    <n v="69109.254661072002"/>
  </r>
  <r>
    <x v="0"/>
    <x v="0"/>
    <x v="0"/>
    <x v="8"/>
    <x v="13"/>
    <s v="PL_A"/>
    <x v="0"/>
    <x v="0"/>
    <s v="WI-L9"/>
    <x v="10"/>
    <x v="11"/>
    <n v="370.706833196942"/>
    <n v="22551.332352813901"/>
    <n v="81184.796470130197"/>
  </r>
  <r>
    <x v="0"/>
    <x v="0"/>
    <x v="0"/>
    <x v="8"/>
    <x v="13"/>
    <s v="PL_A"/>
    <x v="0"/>
    <x v="0"/>
    <s v="WI-L9"/>
    <x v="11"/>
    <x v="0"/>
    <n v="502.19323856427798"/>
    <n v="30550.088679326898"/>
    <n v="109980.319245577"/>
  </r>
  <r>
    <x v="0"/>
    <x v="0"/>
    <x v="0"/>
    <x v="8"/>
    <x v="13"/>
    <s v="PL_A"/>
    <x v="0"/>
    <x v="0"/>
    <s v="WI-L9"/>
    <x v="11"/>
    <x v="1"/>
    <n v="513.22113062734502"/>
    <n v="31220.952113163501"/>
    <n v="112395.42760738901"/>
  </r>
  <r>
    <x v="0"/>
    <x v="0"/>
    <x v="0"/>
    <x v="8"/>
    <x v="13"/>
    <s v="PL_A"/>
    <x v="0"/>
    <x v="0"/>
    <s v="WI-L9"/>
    <x v="11"/>
    <x v="2"/>
    <n v="526.79392085881204"/>
    <n v="32046.630185577698"/>
    <n v="115367.86866808"/>
  </r>
  <r>
    <x v="0"/>
    <x v="0"/>
    <x v="0"/>
    <x v="8"/>
    <x v="13"/>
    <s v="PL_A"/>
    <x v="0"/>
    <x v="0"/>
    <s v="WI-L9"/>
    <x v="11"/>
    <x v="3"/>
    <n v="504.73813673267802"/>
    <n v="30704.903317904598"/>
    <n v="110537.651944456"/>
  </r>
  <r>
    <x v="0"/>
    <x v="0"/>
    <x v="0"/>
    <x v="8"/>
    <x v="13"/>
    <s v="PL_A"/>
    <x v="0"/>
    <x v="0"/>
    <s v="WI-L9"/>
    <x v="11"/>
    <x v="4"/>
    <n v="595.50617140561303"/>
    <n v="36226.625427174797"/>
    <n v="130415.851537829"/>
  </r>
  <r>
    <x v="0"/>
    <x v="0"/>
    <x v="0"/>
    <x v="8"/>
    <x v="13"/>
    <s v="PL_A"/>
    <x v="0"/>
    <x v="0"/>
    <s v="WI-L9"/>
    <x v="11"/>
    <x v="5"/>
    <n v="658.28032622614796"/>
    <n v="40045.386512090699"/>
    <n v="144163.39144352599"/>
  </r>
  <r>
    <x v="0"/>
    <x v="0"/>
    <x v="0"/>
    <x v="8"/>
    <x v="13"/>
    <s v="PL_A"/>
    <x v="0"/>
    <x v="0"/>
    <s v="WI-L9"/>
    <x v="11"/>
    <x v="6"/>
    <n v="697.30209814161606"/>
    <n v="42419.210970281601"/>
    <n v="152709.15949301401"/>
  </r>
  <r>
    <x v="0"/>
    <x v="0"/>
    <x v="0"/>
    <x v="8"/>
    <x v="13"/>
    <s v="PL_A"/>
    <x v="0"/>
    <x v="0"/>
    <s v="WI-L9"/>
    <x v="11"/>
    <x v="7"/>
    <n v="752.44155845695002"/>
    <n v="45773.528139464499"/>
    <n v="164784.701302072"/>
  </r>
  <r>
    <x v="0"/>
    <x v="0"/>
    <x v="0"/>
    <x v="8"/>
    <x v="13"/>
    <s v="PL_A"/>
    <x v="0"/>
    <x v="0"/>
    <s v="WI-L9"/>
    <x v="11"/>
    <x v="8"/>
    <n v="781.28373769881796"/>
    <n v="47528.094043344703"/>
    <n v="171101.138556041"/>
  </r>
  <r>
    <x v="0"/>
    <x v="0"/>
    <x v="0"/>
    <x v="8"/>
    <x v="13"/>
    <s v="PL_A"/>
    <x v="0"/>
    <x v="0"/>
    <s v="WI-L9"/>
    <x v="11"/>
    <x v="9"/>
    <n v="776.19394136201697"/>
    <n v="47218.464766189398"/>
    <n v="169986.47315828199"/>
  </r>
  <r>
    <x v="0"/>
    <x v="0"/>
    <x v="0"/>
    <x v="8"/>
    <x v="13"/>
    <s v="PL_A"/>
    <x v="0"/>
    <x v="0"/>
    <s v="WI-L9"/>
    <x v="11"/>
    <x v="10"/>
    <n v="754.13815723588402"/>
    <n v="45876.737898516199"/>
    <n v="165156.25643465901"/>
  </r>
  <r>
    <x v="0"/>
    <x v="0"/>
    <x v="0"/>
    <x v="8"/>
    <x v="13"/>
    <s v="PL_A"/>
    <x v="0"/>
    <x v="0"/>
    <s v="WI-L9"/>
    <x v="11"/>
    <x v="11"/>
    <n v="700.69529569948202"/>
    <n v="42625.630488385199"/>
    <n v="153452.269758187"/>
  </r>
  <r>
    <x v="0"/>
    <x v="0"/>
    <x v="0"/>
    <x v="8"/>
    <x v="13"/>
    <s v="PL_A1"/>
    <x v="11"/>
    <x v="3"/>
    <s v="GBPR-CO-07"/>
    <x v="0"/>
    <x v="0"/>
    <n v="744"/>
    <n v="45260"/>
    <n v="162936"/>
  </r>
  <r>
    <x v="0"/>
    <x v="0"/>
    <x v="0"/>
    <x v="8"/>
    <x v="13"/>
    <s v="PL_A1"/>
    <x v="11"/>
    <x v="3"/>
    <s v="GBPR-CO-07"/>
    <x v="0"/>
    <x v="1"/>
    <n v="744"/>
    <n v="45260"/>
    <n v="162936"/>
  </r>
  <r>
    <x v="0"/>
    <x v="0"/>
    <x v="0"/>
    <x v="8"/>
    <x v="13"/>
    <s v="PL_A1"/>
    <x v="11"/>
    <x v="3"/>
    <s v="GBPR-CO-07"/>
    <x v="0"/>
    <x v="2"/>
    <n v="744"/>
    <n v="45260"/>
    <n v="162936"/>
  </r>
  <r>
    <x v="0"/>
    <x v="0"/>
    <x v="0"/>
    <x v="8"/>
    <x v="13"/>
    <s v="PL_A1"/>
    <x v="11"/>
    <x v="3"/>
    <s v="GBPR-CO-07"/>
    <x v="0"/>
    <x v="3"/>
    <n v="744"/>
    <n v="45260"/>
    <n v="162936"/>
  </r>
  <r>
    <x v="0"/>
    <x v="0"/>
    <x v="0"/>
    <x v="8"/>
    <x v="13"/>
    <s v="PL_A1"/>
    <x v="11"/>
    <x v="3"/>
    <s v="GBPR-CO-07"/>
    <x v="0"/>
    <x v="4"/>
    <n v="744"/>
    <n v="45260"/>
    <n v="162936"/>
  </r>
  <r>
    <x v="0"/>
    <x v="0"/>
    <x v="0"/>
    <x v="8"/>
    <x v="13"/>
    <s v="PL_A1"/>
    <x v="11"/>
    <x v="3"/>
    <s v="GBPR-CO-07"/>
    <x v="0"/>
    <x v="5"/>
    <n v="744"/>
    <n v="45260"/>
    <n v="162936"/>
  </r>
  <r>
    <x v="0"/>
    <x v="0"/>
    <x v="0"/>
    <x v="8"/>
    <x v="13"/>
    <s v="PL_A1"/>
    <x v="11"/>
    <x v="3"/>
    <s v="GBPR-CO-07"/>
    <x v="0"/>
    <x v="6"/>
    <n v="744"/>
    <n v="45260"/>
    <n v="162936"/>
  </r>
  <r>
    <x v="0"/>
    <x v="0"/>
    <x v="0"/>
    <x v="8"/>
    <x v="13"/>
    <s v="PL_A1"/>
    <x v="11"/>
    <x v="3"/>
    <s v="GBPR-CO-07"/>
    <x v="0"/>
    <x v="7"/>
    <n v="744"/>
    <n v="45260"/>
    <n v="162936"/>
  </r>
  <r>
    <x v="0"/>
    <x v="0"/>
    <x v="0"/>
    <x v="8"/>
    <x v="13"/>
    <s v="PL_A1"/>
    <x v="11"/>
    <x v="3"/>
    <s v="GBPR-CO-07"/>
    <x v="0"/>
    <x v="8"/>
    <n v="744"/>
    <n v="45260"/>
    <n v="162936"/>
  </r>
  <r>
    <x v="0"/>
    <x v="0"/>
    <x v="0"/>
    <x v="8"/>
    <x v="13"/>
    <s v="PL_A1"/>
    <x v="11"/>
    <x v="3"/>
    <s v="GBPR-CO-07"/>
    <x v="0"/>
    <x v="9"/>
    <n v="744"/>
    <n v="45260"/>
    <n v="162936"/>
  </r>
  <r>
    <x v="0"/>
    <x v="0"/>
    <x v="0"/>
    <x v="8"/>
    <x v="13"/>
    <s v="PL_A1"/>
    <x v="11"/>
    <x v="3"/>
    <s v="GBPR-CO-07"/>
    <x v="0"/>
    <x v="10"/>
    <n v="744"/>
    <n v="45260"/>
    <n v="162936"/>
  </r>
  <r>
    <x v="0"/>
    <x v="0"/>
    <x v="0"/>
    <x v="8"/>
    <x v="13"/>
    <s v="PL_A1"/>
    <x v="11"/>
    <x v="3"/>
    <s v="GBPR-CO-07"/>
    <x v="0"/>
    <x v="11"/>
    <n v="744"/>
    <n v="45260"/>
    <n v="162936"/>
  </r>
  <r>
    <x v="0"/>
    <x v="0"/>
    <x v="0"/>
    <x v="8"/>
    <x v="13"/>
    <s v="PL_A1"/>
    <x v="11"/>
    <x v="3"/>
    <s v="GBPR-CO-07"/>
    <x v="1"/>
    <x v="0"/>
    <n v="744"/>
    <n v="45260"/>
    <n v="162936"/>
  </r>
  <r>
    <x v="0"/>
    <x v="0"/>
    <x v="0"/>
    <x v="8"/>
    <x v="13"/>
    <s v="PL_A1"/>
    <x v="11"/>
    <x v="3"/>
    <s v="GBPR-CO-07"/>
    <x v="1"/>
    <x v="1"/>
    <n v="744"/>
    <n v="45260"/>
    <n v="162936"/>
  </r>
  <r>
    <x v="0"/>
    <x v="0"/>
    <x v="0"/>
    <x v="8"/>
    <x v="13"/>
    <s v="PL_A1"/>
    <x v="11"/>
    <x v="3"/>
    <s v="GBPR-CO-07"/>
    <x v="1"/>
    <x v="2"/>
    <n v="744"/>
    <n v="45260"/>
    <n v="162936"/>
  </r>
  <r>
    <x v="0"/>
    <x v="0"/>
    <x v="0"/>
    <x v="8"/>
    <x v="13"/>
    <s v="PL_A1"/>
    <x v="11"/>
    <x v="3"/>
    <s v="GBPR-CO-07"/>
    <x v="1"/>
    <x v="3"/>
    <n v="744"/>
    <n v="45260"/>
    <n v="162936"/>
  </r>
  <r>
    <x v="0"/>
    <x v="0"/>
    <x v="0"/>
    <x v="8"/>
    <x v="13"/>
    <s v="PL_A1"/>
    <x v="11"/>
    <x v="3"/>
    <s v="GBPR-CO-07"/>
    <x v="1"/>
    <x v="4"/>
    <n v="744"/>
    <n v="45260"/>
    <n v="162936"/>
  </r>
  <r>
    <x v="0"/>
    <x v="0"/>
    <x v="0"/>
    <x v="8"/>
    <x v="13"/>
    <s v="PL_A1"/>
    <x v="11"/>
    <x v="3"/>
    <s v="GBPR-CO-07"/>
    <x v="1"/>
    <x v="5"/>
    <n v="744"/>
    <n v="45260"/>
    <n v="162936"/>
  </r>
  <r>
    <x v="0"/>
    <x v="0"/>
    <x v="0"/>
    <x v="8"/>
    <x v="13"/>
    <s v="PL_A1"/>
    <x v="11"/>
    <x v="3"/>
    <s v="GBPR-CO-07"/>
    <x v="1"/>
    <x v="6"/>
    <n v="744"/>
    <n v="45260"/>
    <n v="162936"/>
  </r>
  <r>
    <x v="0"/>
    <x v="0"/>
    <x v="0"/>
    <x v="8"/>
    <x v="13"/>
    <s v="PL_A1"/>
    <x v="11"/>
    <x v="3"/>
    <s v="GBPR-CO-07"/>
    <x v="1"/>
    <x v="7"/>
    <n v="744"/>
    <n v="45260"/>
    <n v="162936"/>
  </r>
  <r>
    <x v="0"/>
    <x v="0"/>
    <x v="0"/>
    <x v="8"/>
    <x v="13"/>
    <s v="PL_A1"/>
    <x v="11"/>
    <x v="3"/>
    <s v="GBPR-CO-07"/>
    <x v="1"/>
    <x v="8"/>
    <n v="744"/>
    <n v="45260"/>
    <n v="162936"/>
  </r>
  <r>
    <x v="0"/>
    <x v="0"/>
    <x v="0"/>
    <x v="8"/>
    <x v="13"/>
    <s v="PL_A1"/>
    <x v="11"/>
    <x v="3"/>
    <s v="GBPR-CO-07"/>
    <x v="1"/>
    <x v="9"/>
    <n v="744"/>
    <n v="45260"/>
    <n v="162936"/>
  </r>
  <r>
    <x v="0"/>
    <x v="0"/>
    <x v="0"/>
    <x v="8"/>
    <x v="13"/>
    <s v="PL_A1"/>
    <x v="11"/>
    <x v="3"/>
    <s v="GBPR-CO-07"/>
    <x v="1"/>
    <x v="10"/>
    <n v="744"/>
    <n v="45260"/>
    <n v="162936"/>
  </r>
  <r>
    <x v="0"/>
    <x v="0"/>
    <x v="0"/>
    <x v="8"/>
    <x v="13"/>
    <s v="PL_A1"/>
    <x v="11"/>
    <x v="3"/>
    <s v="GBPR-CO-07"/>
    <x v="1"/>
    <x v="11"/>
    <n v="744"/>
    <n v="45260"/>
    <n v="162936"/>
  </r>
  <r>
    <x v="0"/>
    <x v="0"/>
    <x v="0"/>
    <x v="8"/>
    <x v="13"/>
    <s v="PL_A1"/>
    <x v="11"/>
    <x v="3"/>
    <s v="GBPR-CO-07"/>
    <x v="2"/>
    <x v="0"/>
    <n v="744"/>
    <n v="45260"/>
    <n v="162936"/>
  </r>
  <r>
    <x v="0"/>
    <x v="0"/>
    <x v="0"/>
    <x v="8"/>
    <x v="13"/>
    <s v="PL_A1"/>
    <x v="11"/>
    <x v="3"/>
    <s v="GBPR-CO-07"/>
    <x v="2"/>
    <x v="1"/>
    <n v="744"/>
    <n v="45260"/>
    <n v="162936"/>
  </r>
  <r>
    <x v="0"/>
    <x v="0"/>
    <x v="0"/>
    <x v="8"/>
    <x v="13"/>
    <s v="PL_A1"/>
    <x v="11"/>
    <x v="3"/>
    <s v="GBPR-CO-07"/>
    <x v="2"/>
    <x v="2"/>
    <n v="744"/>
    <n v="45260"/>
    <n v="162936"/>
  </r>
  <r>
    <x v="0"/>
    <x v="0"/>
    <x v="0"/>
    <x v="8"/>
    <x v="13"/>
    <s v="PL_A1"/>
    <x v="11"/>
    <x v="3"/>
    <s v="GBPR-CO-07"/>
    <x v="2"/>
    <x v="3"/>
    <n v="744"/>
    <n v="45260"/>
    <n v="162936"/>
  </r>
  <r>
    <x v="0"/>
    <x v="0"/>
    <x v="0"/>
    <x v="8"/>
    <x v="13"/>
    <s v="PL_A1"/>
    <x v="11"/>
    <x v="3"/>
    <s v="GBPR-CO-07"/>
    <x v="2"/>
    <x v="4"/>
    <n v="744"/>
    <n v="45260"/>
    <n v="162936"/>
  </r>
  <r>
    <x v="0"/>
    <x v="0"/>
    <x v="0"/>
    <x v="8"/>
    <x v="13"/>
    <s v="PL_A1"/>
    <x v="11"/>
    <x v="3"/>
    <s v="GBPR-CO-07"/>
    <x v="2"/>
    <x v="5"/>
    <n v="744"/>
    <n v="45260"/>
    <n v="162936"/>
  </r>
  <r>
    <x v="0"/>
    <x v="0"/>
    <x v="0"/>
    <x v="8"/>
    <x v="13"/>
    <s v="PL_A1"/>
    <x v="11"/>
    <x v="3"/>
    <s v="GBPR-CO-07"/>
    <x v="2"/>
    <x v="6"/>
    <n v="744"/>
    <n v="45260"/>
    <n v="162936"/>
  </r>
  <r>
    <x v="0"/>
    <x v="0"/>
    <x v="0"/>
    <x v="8"/>
    <x v="13"/>
    <s v="PL_A1"/>
    <x v="11"/>
    <x v="3"/>
    <s v="GBPR-CO-07"/>
    <x v="2"/>
    <x v="7"/>
    <n v="744"/>
    <n v="45260"/>
    <n v="162936"/>
  </r>
  <r>
    <x v="0"/>
    <x v="0"/>
    <x v="0"/>
    <x v="8"/>
    <x v="13"/>
    <s v="PL_A1"/>
    <x v="11"/>
    <x v="3"/>
    <s v="GBPR-CO-07"/>
    <x v="2"/>
    <x v="8"/>
    <n v="744"/>
    <n v="45260"/>
    <n v="162936"/>
  </r>
  <r>
    <x v="0"/>
    <x v="0"/>
    <x v="0"/>
    <x v="8"/>
    <x v="13"/>
    <s v="PL_A1"/>
    <x v="11"/>
    <x v="3"/>
    <s v="GBPR-CO-07"/>
    <x v="2"/>
    <x v="9"/>
    <n v="744"/>
    <n v="45260"/>
    <n v="162936"/>
  </r>
  <r>
    <x v="0"/>
    <x v="0"/>
    <x v="0"/>
    <x v="8"/>
    <x v="13"/>
    <s v="PL_A1"/>
    <x v="11"/>
    <x v="3"/>
    <s v="GBPR-CO-07"/>
    <x v="2"/>
    <x v="10"/>
    <n v="744"/>
    <n v="45260"/>
    <n v="162936"/>
  </r>
  <r>
    <x v="0"/>
    <x v="0"/>
    <x v="0"/>
    <x v="8"/>
    <x v="13"/>
    <s v="PL_A1"/>
    <x v="11"/>
    <x v="3"/>
    <s v="GBPR-CO-07"/>
    <x v="2"/>
    <x v="11"/>
    <n v="744"/>
    <n v="45260"/>
    <n v="162936"/>
  </r>
  <r>
    <x v="0"/>
    <x v="0"/>
    <x v="0"/>
    <x v="8"/>
    <x v="13"/>
    <s v="PL_A1"/>
    <x v="11"/>
    <x v="3"/>
    <s v="GBPR-CO-07"/>
    <x v="3"/>
    <x v="0"/>
    <n v="744"/>
    <n v="45260"/>
    <n v="162936"/>
  </r>
  <r>
    <x v="0"/>
    <x v="0"/>
    <x v="0"/>
    <x v="8"/>
    <x v="13"/>
    <s v="PL_A1"/>
    <x v="11"/>
    <x v="3"/>
    <s v="GBPR-CO-07"/>
    <x v="3"/>
    <x v="1"/>
    <n v="744"/>
    <n v="45260"/>
    <n v="162936"/>
  </r>
  <r>
    <x v="0"/>
    <x v="0"/>
    <x v="0"/>
    <x v="8"/>
    <x v="13"/>
    <s v="PL_A1"/>
    <x v="11"/>
    <x v="3"/>
    <s v="GBPR-CO-07"/>
    <x v="3"/>
    <x v="2"/>
    <n v="744"/>
    <n v="45260"/>
    <n v="162936"/>
  </r>
  <r>
    <x v="0"/>
    <x v="0"/>
    <x v="0"/>
    <x v="8"/>
    <x v="13"/>
    <s v="PL_A1"/>
    <x v="11"/>
    <x v="3"/>
    <s v="GBPR-CO-07"/>
    <x v="3"/>
    <x v="3"/>
    <n v="744"/>
    <n v="45260"/>
    <n v="162936"/>
  </r>
  <r>
    <x v="0"/>
    <x v="0"/>
    <x v="0"/>
    <x v="8"/>
    <x v="13"/>
    <s v="PL_A1"/>
    <x v="11"/>
    <x v="3"/>
    <s v="GBPR-CO-07"/>
    <x v="3"/>
    <x v="4"/>
    <n v="744"/>
    <n v="45260"/>
    <n v="162936"/>
  </r>
  <r>
    <x v="0"/>
    <x v="0"/>
    <x v="0"/>
    <x v="8"/>
    <x v="13"/>
    <s v="PL_A1"/>
    <x v="11"/>
    <x v="3"/>
    <s v="GBPR-CO-07"/>
    <x v="3"/>
    <x v="5"/>
    <n v="744"/>
    <n v="45260"/>
    <n v="162936"/>
  </r>
  <r>
    <x v="0"/>
    <x v="0"/>
    <x v="0"/>
    <x v="8"/>
    <x v="13"/>
    <s v="PL_A1"/>
    <x v="11"/>
    <x v="3"/>
    <s v="GBPR-CO-07"/>
    <x v="3"/>
    <x v="6"/>
    <n v="744"/>
    <n v="45260"/>
    <n v="162936"/>
  </r>
  <r>
    <x v="0"/>
    <x v="0"/>
    <x v="0"/>
    <x v="8"/>
    <x v="13"/>
    <s v="PL_A1"/>
    <x v="11"/>
    <x v="3"/>
    <s v="GBPR-CO-07"/>
    <x v="3"/>
    <x v="7"/>
    <n v="744"/>
    <n v="45260"/>
    <n v="162936"/>
  </r>
  <r>
    <x v="0"/>
    <x v="0"/>
    <x v="0"/>
    <x v="8"/>
    <x v="13"/>
    <s v="PL_A1"/>
    <x v="11"/>
    <x v="3"/>
    <s v="GBPR-CO-07"/>
    <x v="3"/>
    <x v="8"/>
    <n v="744"/>
    <n v="45260"/>
    <n v="162936"/>
  </r>
  <r>
    <x v="0"/>
    <x v="0"/>
    <x v="0"/>
    <x v="8"/>
    <x v="13"/>
    <s v="PL_A1"/>
    <x v="11"/>
    <x v="3"/>
    <s v="GBPR-CO-07"/>
    <x v="3"/>
    <x v="9"/>
    <n v="744"/>
    <n v="45260"/>
    <n v="162936"/>
  </r>
  <r>
    <x v="0"/>
    <x v="0"/>
    <x v="0"/>
    <x v="8"/>
    <x v="13"/>
    <s v="PL_A1"/>
    <x v="11"/>
    <x v="3"/>
    <s v="GBPR-CO-07"/>
    <x v="3"/>
    <x v="10"/>
    <n v="744"/>
    <n v="45260"/>
    <n v="162936"/>
  </r>
  <r>
    <x v="0"/>
    <x v="0"/>
    <x v="0"/>
    <x v="8"/>
    <x v="13"/>
    <s v="PL_A1"/>
    <x v="11"/>
    <x v="3"/>
    <s v="GBPR-CO-07"/>
    <x v="3"/>
    <x v="11"/>
    <n v="744"/>
    <n v="45260"/>
    <n v="162936"/>
  </r>
  <r>
    <x v="0"/>
    <x v="0"/>
    <x v="0"/>
    <x v="8"/>
    <x v="13"/>
    <s v="PL_A1"/>
    <x v="11"/>
    <x v="3"/>
    <s v="GBPR-CO-07"/>
    <x v="4"/>
    <x v="0"/>
    <n v="744"/>
    <n v="45260"/>
    <n v="162936"/>
  </r>
  <r>
    <x v="0"/>
    <x v="0"/>
    <x v="0"/>
    <x v="8"/>
    <x v="13"/>
    <s v="PL_A1"/>
    <x v="11"/>
    <x v="3"/>
    <s v="GBPR-CO-07"/>
    <x v="4"/>
    <x v="1"/>
    <n v="744"/>
    <n v="45260"/>
    <n v="162936"/>
  </r>
  <r>
    <x v="0"/>
    <x v="0"/>
    <x v="0"/>
    <x v="8"/>
    <x v="13"/>
    <s v="PL_A1"/>
    <x v="11"/>
    <x v="3"/>
    <s v="GBPR-CO-07"/>
    <x v="4"/>
    <x v="2"/>
    <n v="744"/>
    <n v="45260"/>
    <n v="162936"/>
  </r>
  <r>
    <x v="0"/>
    <x v="0"/>
    <x v="0"/>
    <x v="8"/>
    <x v="13"/>
    <s v="PL_A1"/>
    <x v="11"/>
    <x v="3"/>
    <s v="GBPR-CO-07"/>
    <x v="4"/>
    <x v="3"/>
    <n v="744"/>
    <n v="45260"/>
    <n v="162936"/>
  </r>
  <r>
    <x v="0"/>
    <x v="0"/>
    <x v="0"/>
    <x v="8"/>
    <x v="13"/>
    <s v="PL_A1"/>
    <x v="11"/>
    <x v="3"/>
    <s v="GBPR-CO-07"/>
    <x v="4"/>
    <x v="4"/>
    <n v="744"/>
    <n v="45260"/>
    <n v="162936"/>
  </r>
  <r>
    <x v="0"/>
    <x v="0"/>
    <x v="0"/>
    <x v="8"/>
    <x v="13"/>
    <s v="PL_A1"/>
    <x v="11"/>
    <x v="3"/>
    <s v="GBPR-CO-07"/>
    <x v="4"/>
    <x v="5"/>
    <n v="744"/>
    <n v="45260"/>
    <n v="162936"/>
  </r>
  <r>
    <x v="0"/>
    <x v="0"/>
    <x v="0"/>
    <x v="8"/>
    <x v="13"/>
    <s v="PL_A1"/>
    <x v="11"/>
    <x v="3"/>
    <s v="GBPR-CO-07"/>
    <x v="4"/>
    <x v="6"/>
    <n v="744"/>
    <n v="45260"/>
    <n v="162936"/>
  </r>
  <r>
    <x v="0"/>
    <x v="0"/>
    <x v="0"/>
    <x v="8"/>
    <x v="13"/>
    <s v="PL_A1"/>
    <x v="11"/>
    <x v="3"/>
    <s v="GBPR-CO-07"/>
    <x v="4"/>
    <x v="7"/>
    <n v="744"/>
    <n v="45260"/>
    <n v="162936"/>
  </r>
  <r>
    <x v="0"/>
    <x v="0"/>
    <x v="0"/>
    <x v="8"/>
    <x v="13"/>
    <s v="PL_A1"/>
    <x v="11"/>
    <x v="3"/>
    <s v="GBPR-CO-07"/>
    <x v="4"/>
    <x v="8"/>
    <n v="744"/>
    <n v="45260"/>
    <n v="162936"/>
  </r>
  <r>
    <x v="0"/>
    <x v="0"/>
    <x v="0"/>
    <x v="8"/>
    <x v="13"/>
    <s v="PL_A1"/>
    <x v="11"/>
    <x v="3"/>
    <s v="GBPR-CO-07"/>
    <x v="4"/>
    <x v="9"/>
    <n v="744"/>
    <n v="45260"/>
    <n v="162936"/>
  </r>
  <r>
    <x v="0"/>
    <x v="0"/>
    <x v="0"/>
    <x v="8"/>
    <x v="13"/>
    <s v="PL_A1"/>
    <x v="11"/>
    <x v="3"/>
    <s v="GBPR-CO-07"/>
    <x v="4"/>
    <x v="10"/>
    <n v="744"/>
    <n v="45260"/>
    <n v="162936"/>
  </r>
  <r>
    <x v="0"/>
    <x v="0"/>
    <x v="0"/>
    <x v="8"/>
    <x v="13"/>
    <s v="PL_A1"/>
    <x v="11"/>
    <x v="3"/>
    <s v="GBPR-CO-07"/>
    <x v="4"/>
    <x v="11"/>
    <n v="744"/>
    <n v="45260"/>
    <n v="162936"/>
  </r>
  <r>
    <x v="0"/>
    <x v="0"/>
    <x v="0"/>
    <x v="8"/>
    <x v="13"/>
    <s v="PL_A1"/>
    <x v="11"/>
    <x v="3"/>
    <s v="GBPR-CO-07"/>
    <x v="5"/>
    <x v="0"/>
    <n v="744"/>
    <n v="45260"/>
    <n v="162936"/>
  </r>
  <r>
    <x v="0"/>
    <x v="0"/>
    <x v="0"/>
    <x v="8"/>
    <x v="13"/>
    <s v="PL_A1"/>
    <x v="11"/>
    <x v="3"/>
    <s v="GBPR-CO-07"/>
    <x v="5"/>
    <x v="1"/>
    <n v="744"/>
    <n v="45260"/>
    <n v="162936"/>
  </r>
  <r>
    <x v="0"/>
    <x v="0"/>
    <x v="0"/>
    <x v="8"/>
    <x v="13"/>
    <s v="PL_A1"/>
    <x v="11"/>
    <x v="3"/>
    <s v="GBPR-CO-07"/>
    <x v="5"/>
    <x v="2"/>
    <n v="744"/>
    <n v="45260"/>
    <n v="162936"/>
  </r>
  <r>
    <x v="0"/>
    <x v="0"/>
    <x v="0"/>
    <x v="8"/>
    <x v="13"/>
    <s v="PL_A1"/>
    <x v="11"/>
    <x v="3"/>
    <s v="GBPR-CO-07"/>
    <x v="5"/>
    <x v="3"/>
    <n v="744"/>
    <n v="45260"/>
    <n v="162936"/>
  </r>
  <r>
    <x v="0"/>
    <x v="0"/>
    <x v="0"/>
    <x v="8"/>
    <x v="13"/>
    <s v="PL_A1"/>
    <x v="11"/>
    <x v="3"/>
    <s v="GBPR-CO-07"/>
    <x v="5"/>
    <x v="4"/>
    <n v="744"/>
    <n v="45260"/>
    <n v="162936"/>
  </r>
  <r>
    <x v="0"/>
    <x v="0"/>
    <x v="0"/>
    <x v="8"/>
    <x v="13"/>
    <s v="PL_A1"/>
    <x v="11"/>
    <x v="3"/>
    <s v="GBPR-CO-07"/>
    <x v="5"/>
    <x v="5"/>
    <n v="744"/>
    <n v="45260"/>
    <n v="162936"/>
  </r>
  <r>
    <x v="0"/>
    <x v="0"/>
    <x v="0"/>
    <x v="8"/>
    <x v="13"/>
    <s v="PL_A1"/>
    <x v="11"/>
    <x v="3"/>
    <s v="GBPR-CO-07"/>
    <x v="5"/>
    <x v="6"/>
    <n v="744"/>
    <n v="45260"/>
    <n v="162936"/>
  </r>
  <r>
    <x v="0"/>
    <x v="0"/>
    <x v="0"/>
    <x v="8"/>
    <x v="13"/>
    <s v="PL_A1"/>
    <x v="11"/>
    <x v="3"/>
    <s v="GBPR-CO-07"/>
    <x v="5"/>
    <x v="7"/>
    <n v="744"/>
    <n v="45260"/>
    <n v="162936"/>
  </r>
  <r>
    <x v="0"/>
    <x v="0"/>
    <x v="0"/>
    <x v="8"/>
    <x v="13"/>
    <s v="PL_A1"/>
    <x v="11"/>
    <x v="3"/>
    <s v="GBPR-CO-07"/>
    <x v="5"/>
    <x v="8"/>
    <n v="744"/>
    <n v="45260"/>
    <n v="162936"/>
  </r>
  <r>
    <x v="0"/>
    <x v="0"/>
    <x v="0"/>
    <x v="8"/>
    <x v="13"/>
    <s v="PL_A1"/>
    <x v="11"/>
    <x v="3"/>
    <s v="GBPR-CO-07"/>
    <x v="5"/>
    <x v="9"/>
    <n v="744"/>
    <n v="45260"/>
    <n v="162936"/>
  </r>
  <r>
    <x v="0"/>
    <x v="0"/>
    <x v="0"/>
    <x v="8"/>
    <x v="13"/>
    <s v="PL_A1"/>
    <x v="11"/>
    <x v="3"/>
    <s v="GBPR-CO-07"/>
    <x v="5"/>
    <x v="10"/>
    <n v="744"/>
    <n v="45260"/>
    <n v="162936"/>
  </r>
  <r>
    <x v="0"/>
    <x v="0"/>
    <x v="0"/>
    <x v="8"/>
    <x v="13"/>
    <s v="PL_A1"/>
    <x v="11"/>
    <x v="3"/>
    <s v="GBPR-CO-07"/>
    <x v="5"/>
    <x v="11"/>
    <n v="744"/>
    <n v="45260"/>
    <n v="162936"/>
  </r>
  <r>
    <x v="0"/>
    <x v="0"/>
    <x v="0"/>
    <x v="8"/>
    <x v="13"/>
    <s v="PL_A1"/>
    <x v="11"/>
    <x v="3"/>
    <s v="GBPR-CO-07"/>
    <x v="6"/>
    <x v="0"/>
    <n v="744"/>
    <n v="45260"/>
    <n v="162936"/>
  </r>
  <r>
    <x v="0"/>
    <x v="0"/>
    <x v="0"/>
    <x v="8"/>
    <x v="13"/>
    <s v="PL_A1"/>
    <x v="11"/>
    <x v="3"/>
    <s v="GBPR-CO-07"/>
    <x v="6"/>
    <x v="1"/>
    <n v="744"/>
    <n v="45260"/>
    <n v="162936"/>
  </r>
  <r>
    <x v="0"/>
    <x v="0"/>
    <x v="0"/>
    <x v="8"/>
    <x v="13"/>
    <s v="PL_A1"/>
    <x v="11"/>
    <x v="3"/>
    <s v="GBPR-CO-07"/>
    <x v="6"/>
    <x v="2"/>
    <n v="744"/>
    <n v="45260"/>
    <n v="162936"/>
  </r>
  <r>
    <x v="0"/>
    <x v="0"/>
    <x v="0"/>
    <x v="8"/>
    <x v="13"/>
    <s v="PL_A1"/>
    <x v="11"/>
    <x v="3"/>
    <s v="GBPR-CO-07"/>
    <x v="6"/>
    <x v="3"/>
    <n v="744"/>
    <n v="45260"/>
    <n v="162936"/>
  </r>
  <r>
    <x v="0"/>
    <x v="0"/>
    <x v="0"/>
    <x v="8"/>
    <x v="13"/>
    <s v="PL_A1"/>
    <x v="11"/>
    <x v="3"/>
    <s v="GBPR-CO-07"/>
    <x v="6"/>
    <x v="4"/>
    <n v="744"/>
    <n v="45260"/>
    <n v="162936"/>
  </r>
  <r>
    <x v="0"/>
    <x v="0"/>
    <x v="0"/>
    <x v="8"/>
    <x v="13"/>
    <s v="PL_A1"/>
    <x v="11"/>
    <x v="3"/>
    <s v="GBPR-CO-07"/>
    <x v="6"/>
    <x v="5"/>
    <n v="744"/>
    <n v="45260"/>
    <n v="162936"/>
  </r>
  <r>
    <x v="0"/>
    <x v="0"/>
    <x v="0"/>
    <x v="8"/>
    <x v="13"/>
    <s v="PL_A1"/>
    <x v="11"/>
    <x v="3"/>
    <s v="GBPR-CO-07"/>
    <x v="6"/>
    <x v="6"/>
    <n v="744"/>
    <n v="45260"/>
    <n v="162936"/>
  </r>
  <r>
    <x v="0"/>
    <x v="0"/>
    <x v="0"/>
    <x v="8"/>
    <x v="13"/>
    <s v="PL_A1"/>
    <x v="11"/>
    <x v="3"/>
    <s v="GBPR-CO-07"/>
    <x v="6"/>
    <x v="7"/>
    <n v="744"/>
    <n v="45260"/>
    <n v="162936"/>
  </r>
  <r>
    <x v="0"/>
    <x v="0"/>
    <x v="0"/>
    <x v="8"/>
    <x v="13"/>
    <s v="PL_A1"/>
    <x v="11"/>
    <x v="3"/>
    <s v="GBPR-CO-07"/>
    <x v="6"/>
    <x v="8"/>
    <n v="744"/>
    <n v="45260"/>
    <n v="162936"/>
  </r>
  <r>
    <x v="0"/>
    <x v="0"/>
    <x v="0"/>
    <x v="8"/>
    <x v="13"/>
    <s v="PL_A1"/>
    <x v="11"/>
    <x v="3"/>
    <s v="GBPR-CO-07"/>
    <x v="6"/>
    <x v="9"/>
    <n v="744"/>
    <n v="45260"/>
    <n v="162936"/>
  </r>
  <r>
    <x v="0"/>
    <x v="0"/>
    <x v="0"/>
    <x v="8"/>
    <x v="13"/>
    <s v="PL_A1"/>
    <x v="11"/>
    <x v="3"/>
    <s v="GBPR-CO-07"/>
    <x v="6"/>
    <x v="10"/>
    <n v="744"/>
    <n v="45260"/>
    <n v="162936"/>
  </r>
  <r>
    <x v="0"/>
    <x v="0"/>
    <x v="0"/>
    <x v="8"/>
    <x v="13"/>
    <s v="PL_A1"/>
    <x v="11"/>
    <x v="3"/>
    <s v="GBPR-CO-07"/>
    <x v="6"/>
    <x v="11"/>
    <n v="744"/>
    <n v="45260"/>
    <n v="162936"/>
  </r>
  <r>
    <x v="0"/>
    <x v="0"/>
    <x v="0"/>
    <x v="8"/>
    <x v="13"/>
    <s v="PL_A1"/>
    <x v="11"/>
    <x v="3"/>
    <s v="GBPR-CO-07"/>
    <x v="7"/>
    <x v="0"/>
    <n v="744"/>
    <n v="45260"/>
    <n v="162936"/>
  </r>
  <r>
    <x v="0"/>
    <x v="0"/>
    <x v="0"/>
    <x v="8"/>
    <x v="13"/>
    <s v="PL_A1"/>
    <x v="11"/>
    <x v="3"/>
    <s v="GBPR-CO-07"/>
    <x v="7"/>
    <x v="1"/>
    <n v="744"/>
    <n v="45260"/>
    <n v="162936"/>
  </r>
  <r>
    <x v="0"/>
    <x v="0"/>
    <x v="0"/>
    <x v="8"/>
    <x v="13"/>
    <s v="PL_A1"/>
    <x v="11"/>
    <x v="3"/>
    <s v="GBPR-CO-07"/>
    <x v="7"/>
    <x v="2"/>
    <n v="744"/>
    <n v="45260"/>
    <n v="162936"/>
  </r>
  <r>
    <x v="0"/>
    <x v="0"/>
    <x v="0"/>
    <x v="8"/>
    <x v="13"/>
    <s v="PL_A1"/>
    <x v="11"/>
    <x v="3"/>
    <s v="GBPR-CO-07"/>
    <x v="7"/>
    <x v="3"/>
    <n v="744"/>
    <n v="45260"/>
    <n v="162936"/>
  </r>
  <r>
    <x v="0"/>
    <x v="0"/>
    <x v="0"/>
    <x v="8"/>
    <x v="13"/>
    <s v="PL_A1"/>
    <x v="11"/>
    <x v="3"/>
    <s v="GBPR-CO-07"/>
    <x v="7"/>
    <x v="4"/>
    <n v="744"/>
    <n v="45260"/>
    <n v="162936"/>
  </r>
  <r>
    <x v="0"/>
    <x v="0"/>
    <x v="0"/>
    <x v="8"/>
    <x v="13"/>
    <s v="PL_A1"/>
    <x v="11"/>
    <x v="3"/>
    <s v="GBPR-CO-07"/>
    <x v="7"/>
    <x v="5"/>
    <n v="744"/>
    <n v="45260"/>
    <n v="162936"/>
  </r>
  <r>
    <x v="0"/>
    <x v="0"/>
    <x v="0"/>
    <x v="8"/>
    <x v="13"/>
    <s v="PL_A1"/>
    <x v="11"/>
    <x v="3"/>
    <s v="GBPR-CO-07"/>
    <x v="7"/>
    <x v="6"/>
    <n v="744"/>
    <n v="45260"/>
    <n v="162936"/>
  </r>
  <r>
    <x v="0"/>
    <x v="0"/>
    <x v="0"/>
    <x v="8"/>
    <x v="13"/>
    <s v="PL_A1"/>
    <x v="11"/>
    <x v="3"/>
    <s v="GBPR-CO-07"/>
    <x v="7"/>
    <x v="7"/>
    <n v="744"/>
    <n v="45260"/>
    <n v="162936"/>
  </r>
  <r>
    <x v="0"/>
    <x v="0"/>
    <x v="0"/>
    <x v="8"/>
    <x v="13"/>
    <s v="PL_A1"/>
    <x v="11"/>
    <x v="3"/>
    <s v="GBPR-CO-07"/>
    <x v="7"/>
    <x v="8"/>
    <n v="744"/>
    <n v="45260"/>
    <n v="162936"/>
  </r>
  <r>
    <x v="0"/>
    <x v="0"/>
    <x v="0"/>
    <x v="8"/>
    <x v="13"/>
    <s v="PL_A1"/>
    <x v="11"/>
    <x v="3"/>
    <s v="GBPR-CO-07"/>
    <x v="7"/>
    <x v="9"/>
    <n v="744"/>
    <n v="45260"/>
    <n v="162936"/>
  </r>
  <r>
    <x v="0"/>
    <x v="0"/>
    <x v="0"/>
    <x v="8"/>
    <x v="13"/>
    <s v="PL_A1"/>
    <x v="11"/>
    <x v="3"/>
    <s v="GBPR-CO-07"/>
    <x v="7"/>
    <x v="10"/>
    <n v="744"/>
    <n v="45260"/>
    <n v="162936"/>
  </r>
  <r>
    <x v="0"/>
    <x v="0"/>
    <x v="0"/>
    <x v="8"/>
    <x v="13"/>
    <s v="PL_A1"/>
    <x v="11"/>
    <x v="3"/>
    <s v="GBPR-CO-07"/>
    <x v="7"/>
    <x v="11"/>
    <n v="744"/>
    <n v="45260"/>
    <n v="162936"/>
  </r>
  <r>
    <x v="0"/>
    <x v="0"/>
    <x v="0"/>
    <x v="8"/>
    <x v="13"/>
    <s v="PL_A1"/>
    <x v="11"/>
    <x v="3"/>
    <s v="GBPR-CO-07"/>
    <x v="8"/>
    <x v="0"/>
    <n v="744"/>
    <n v="45260"/>
    <n v="162936"/>
  </r>
  <r>
    <x v="0"/>
    <x v="0"/>
    <x v="0"/>
    <x v="8"/>
    <x v="13"/>
    <s v="PL_A1"/>
    <x v="11"/>
    <x v="3"/>
    <s v="GBPR-CO-07"/>
    <x v="8"/>
    <x v="1"/>
    <n v="744"/>
    <n v="45260"/>
    <n v="162936"/>
  </r>
  <r>
    <x v="0"/>
    <x v="0"/>
    <x v="0"/>
    <x v="8"/>
    <x v="13"/>
    <s v="PL_A1"/>
    <x v="11"/>
    <x v="3"/>
    <s v="GBPR-CO-07"/>
    <x v="8"/>
    <x v="2"/>
    <n v="744"/>
    <n v="45260"/>
    <n v="162936"/>
  </r>
  <r>
    <x v="0"/>
    <x v="0"/>
    <x v="0"/>
    <x v="8"/>
    <x v="13"/>
    <s v="PL_A1"/>
    <x v="11"/>
    <x v="3"/>
    <s v="GBPR-CO-07"/>
    <x v="8"/>
    <x v="3"/>
    <n v="744"/>
    <n v="45260"/>
    <n v="162936"/>
  </r>
  <r>
    <x v="0"/>
    <x v="0"/>
    <x v="0"/>
    <x v="8"/>
    <x v="13"/>
    <s v="PL_A1"/>
    <x v="11"/>
    <x v="3"/>
    <s v="GBPR-CO-07"/>
    <x v="8"/>
    <x v="4"/>
    <n v="744"/>
    <n v="45260"/>
    <n v="162936"/>
  </r>
  <r>
    <x v="0"/>
    <x v="0"/>
    <x v="0"/>
    <x v="8"/>
    <x v="13"/>
    <s v="PL_A1"/>
    <x v="11"/>
    <x v="3"/>
    <s v="GBPR-CO-07"/>
    <x v="8"/>
    <x v="5"/>
    <n v="744"/>
    <n v="45260"/>
    <n v="162936"/>
  </r>
  <r>
    <x v="0"/>
    <x v="0"/>
    <x v="0"/>
    <x v="8"/>
    <x v="13"/>
    <s v="PL_A1"/>
    <x v="11"/>
    <x v="3"/>
    <s v="GBPR-CO-07"/>
    <x v="8"/>
    <x v="6"/>
    <n v="744"/>
    <n v="45260"/>
    <n v="162936"/>
  </r>
  <r>
    <x v="0"/>
    <x v="0"/>
    <x v="0"/>
    <x v="8"/>
    <x v="13"/>
    <s v="PL_A1"/>
    <x v="11"/>
    <x v="3"/>
    <s v="GBPR-CO-07"/>
    <x v="8"/>
    <x v="7"/>
    <n v="744"/>
    <n v="45260"/>
    <n v="162936"/>
  </r>
  <r>
    <x v="0"/>
    <x v="0"/>
    <x v="0"/>
    <x v="8"/>
    <x v="13"/>
    <s v="PL_A1"/>
    <x v="11"/>
    <x v="3"/>
    <s v="GBPR-CO-07"/>
    <x v="8"/>
    <x v="8"/>
    <n v="744"/>
    <n v="45260"/>
    <n v="162936"/>
  </r>
  <r>
    <x v="0"/>
    <x v="0"/>
    <x v="0"/>
    <x v="8"/>
    <x v="13"/>
    <s v="PL_A1"/>
    <x v="11"/>
    <x v="3"/>
    <s v="GBPR-CO-07"/>
    <x v="8"/>
    <x v="9"/>
    <n v="744"/>
    <n v="45260"/>
    <n v="162936"/>
  </r>
  <r>
    <x v="0"/>
    <x v="0"/>
    <x v="0"/>
    <x v="8"/>
    <x v="13"/>
    <s v="PL_A1"/>
    <x v="11"/>
    <x v="3"/>
    <s v="GBPR-CO-07"/>
    <x v="8"/>
    <x v="10"/>
    <n v="744"/>
    <n v="45260"/>
    <n v="162936"/>
  </r>
  <r>
    <x v="0"/>
    <x v="0"/>
    <x v="0"/>
    <x v="8"/>
    <x v="13"/>
    <s v="PL_A1"/>
    <x v="11"/>
    <x v="3"/>
    <s v="GBPR-CO-07"/>
    <x v="8"/>
    <x v="11"/>
    <n v="744"/>
    <n v="45260"/>
    <n v="162936"/>
  </r>
  <r>
    <x v="0"/>
    <x v="0"/>
    <x v="0"/>
    <x v="8"/>
    <x v="13"/>
    <s v="PL_A1"/>
    <x v="11"/>
    <x v="3"/>
    <s v="GBPR-CO-07"/>
    <x v="9"/>
    <x v="0"/>
    <n v="744"/>
    <n v="45260"/>
    <n v="162936"/>
  </r>
  <r>
    <x v="0"/>
    <x v="0"/>
    <x v="0"/>
    <x v="8"/>
    <x v="13"/>
    <s v="PL_A1"/>
    <x v="11"/>
    <x v="3"/>
    <s v="GBPR-CO-07"/>
    <x v="9"/>
    <x v="1"/>
    <n v="744"/>
    <n v="45260"/>
    <n v="162936"/>
  </r>
  <r>
    <x v="0"/>
    <x v="0"/>
    <x v="0"/>
    <x v="8"/>
    <x v="13"/>
    <s v="PL_A1"/>
    <x v="11"/>
    <x v="3"/>
    <s v="GBPR-CO-07"/>
    <x v="9"/>
    <x v="2"/>
    <n v="744"/>
    <n v="45260"/>
    <n v="162936"/>
  </r>
  <r>
    <x v="0"/>
    <x v="0"/>
    <x v="0"/>
    <x v="8"/>
    <x v="13"/>
    <s v="PL_A1"/>
    <x v="11"/>
    <x v="3"/>
    <s v="GBPR-CO-07"/>
    <x v="9"/>
    <x v="3"/>
    <n v="744"/>
    <n v="45260"/>
    <n v="162936"/>
  </r>
  <r>
    <x v="0"/>
    <x v="0"/>
    <x v="0"/>
    <x v="8"/>
    <x v="13"/>
    <s v="PL_A1"/>
    <x v="11"/>
    <x v="3"/>
    <s v="GBPR-CO-07"/>
    <x v="9"/>
    <x v="4"/>
    <n v="744"/>
    <n v="45260"/>
    <n v="162936"/>
  </r>
  <r>
    <x v="0"/>
    <x v="0"/>
    <x v="0"/>
    <x v="8"/>
    <x v="13"/>
    <s v="PL_A1"/>
    <x v="11"/>
    <x v="3"/>
    <s v="GBPR-CO-07"/>
    <x v="9"/>
    <x v="5"/>
    <n v="744"/>
    <n v="45260"/>
    <n v="162936"/>
  </r>
  <r>
    <x v="0"/>
    <x v="0"/>
    <x v="0"/>
    <x v="8"/>
    <x v="13"/>
    <s v="PL_A1"/>
    <x v="11"/>
    <x v="3"/>
    <s v="GBPR-CO-07"/>
    <x v="9"/>
    <x v="6"/>
    <n v="744"/>
    <n v="45260"/>
    <n v="162936"/>
  </r>
  <r>
    <x v="0"/>
    <x v="0"/>
    <x v="0"/>
    <x v="8"/>
    <x v="13"/>
    <s v="PL_A1"/>
    <x v="11"/>
    <x v="3"/>
    <s v="GBPR-CO-07"/>
    <x v="9"/>
    <x v="7"/>
    <n v="744"/>
    <n v="45260"/>
    <n v="162936"/>
  </r>
  <r>
    <x v="0"/>
    <x v="0"/>
    <x v="0"/>
    <x v="8"/>
    <x v="13"/>
    <s v="PL_A1"/>
    <x v="11"/>
    <x v="3"/>
    <s v="GBPR-CO-07"/>
    <x v="9"/>
    <x v="8"/>
    <n v="744"/>
    <n v="45260"/>
    <n v="162936"/>
  </r>
  <r>
    <x v="0"/>
    <x v="0"/>
    <x v="0"/>
    <x v="8"/>
    <x v="13"/>
    <s v="PL_A1"/>
    <x v="11"/>
    <x v="3"/>
    <s v="GBPR-CO-07"/>
    <x v="9"/>
    <x v="9"/>
    <n v="744"/>
    <n v="45260"/>
    <n v="162936"/>
  </r>
  <r>
    <x v="0"/>
    <x v="0"/>
    <x v="0"/>
    <x v="8"/>
    <x v="13"/>
    <s v="PL_A1"/>
    <x v="11"/>
    <x v="3"/>
    <s v="GBPR-CO-07"/>
    <x v="9"/>
    <x v="10"/>
    <n v="744"/>
    <n v="45260"/>
    <n v="162936"/>
  </r>
  <r>
    <x v="0"/>
    <x v="0"/>
    <x v="0"/>
    <x v="8"/>
    <x v="13"/>
    <s v="PL_A1"/>
    <x v="11"/>
    <x v="3"/>
    <s v="GBPR-CO-07"/>
    <x v="9"/>
    <x v="11"/>
    <n v="744"/>
    <n v="45260"/>
    <n v="162936"/>
  </r>
  <r>
    <x v="0"/>
    <x v="0"/>
    <x v="0"/>
    <x v="8"/>
    <x v="13"/>
    <s v="PL_A1"/>
    <x v="11"/>
    <x v="3"/>
    <s v="GBPR-CO-07"/>
    <x v="10"/>
    <x v="0"/>
    <n v="744"/>
    <n v="45260"/>
    <n v="162936"/>
  </r>
  <r>
    <x v="0"/>
    <x v="0"/>
    <x v="0"/>
    <x v="8"/>
    <x v="13"/>
    <s v="PL_A1"/>
    <x v="11"/>
    <x v="3"/>
    <s v="GBPR-CO-07"/>
    <x v="10"/>
    <x v="1"/>
    <n v="744"/>
    <n v="45260"/>
    <n v="162936"/>
  </r>
  <r>
    <x v="0"/>
    <x v="0"/>
    <x v="0"/>
    <x v="8"/>
    <x v="13"/>
    <s v="PL_A1"/>
    <x v="11"/>
    <x v="3"/>
    <s v="GBPR-CO-07"/>
    <x v="10"/>
    <x v="2"/>
    <n v="744"/>
    <n v="45260"/>
    <n v="162936"/>
  </r>
  <r>
    <x v="0"/>
    <x v="0"/>
    <x v="0"/>
    <x v="8"/>
    <x v="13"/>
    <s v="PL_A1"/>
    <x v="11"/>
    <x v="3"/>
    <s v="GBPR-CO-07"/>
    <x v="10"/>
    <x v="3"/>
    <n v="744"/>
    <n v="45260"/>
    <n v="162936"/>
  </r>
  <r>
    <x v="0"/>
    <x v="0"/>
    <x v="0"/>
    <x v="8"/>
    <x v="13"/>
    <s v="PL_A1"/>
    <x v="11"/>
    <x v="3"/>
    <s v="GBPR-CO-07"/>
    <x v="10"/>
    <x v="4"/>
    <n v="744"/>
    <n v="45260"/>
    <n v="162936"/>
  </r>
  <r>
    <x v="0"/>
    <x v="0"/>
    <x v="0"/>
    <x v="8"/>
    <x v="13"/>
    <s v="PL_A1"/>
    <x v="11"/>
    <x v="3"/>
    <s v="GBPR-CO-07"/>
    <x v="10"/>
    <x v="5"/>
    <n v="744"/>
    <n v="45260"/>
    <n v="162936"/>
  </r>
  <r>
    <x v="0"/>
    <x v="0"/>
    <x v="0"/>
    <x v="8"/>
    <x v="13"/>
    <s v="PL_A1"/>
    <x v="11"/>
    <x v="3"/>
    <s v="GBPR-CO-07"/>
    <x v="10"/>
    <x v="6"/>
    <n v="744"/>
    <n v="45260"/>
    <n v="162936"/>
  </r>
  <r>
    <x v="0"/>
    <x v="0"/>
    <x v="0"/>
    <x v="8"/>
    <x v="13"/>
    <s v="PL_A1"/>
    <x v="11"/>
    <x v="3"/>
    <s v="GBPR-CO-07"/>
    <x v="10"/>
    <x v="7"/>
    <n v="744"/>
    <n v="45260"/>
    <n v="162936"/>
  </r>
  <r>
    <x v="0"/>
    <x v="0"/>
    <x v="0"/>
    <x v="8"/>
    <x v="13"/>
    <s v="PL_A1"/>
    <x v="11"/>
    <x v="3"/>
    <s v="GBPR-CO-07"/>
    <x v="10"/>
    <x v="8"/>
    <n v="744"/>
    <n v="45260"/>
    <n v="162936"/>
  </r>
  <r>
    <x v="0"/>
    <x v="0"/>
    <x v="0"/>
    <x v="8"/>
    <x v="13"/>
    <s v="PL_A1"/>
    <x v="11"/>
    <x v="3"/>
    <s v="GBPR-CO-07"/>
    <x v="10"/>
    <x v="9"/>
    <n v="744"/>
    <n v="45260"/>
    <n v="162936"/>
  </r>
  <r>
    <x v="0"/>
    <x v="0"/>
    <x v="0"/>
    <x v="8"/>
    <x v="13"/>
    <s v="PL_A1"/>
    <x v="11"/>
    <x v="3"/>
    <s v="GBPR-CO-07"/>
    <x v="10"/>
    <x v="10"/>
    <n v="744"/>
    <n v="45260"/>
    <n v="162936"/>
  </r>
  <r>
    <x v="0"/>
    <x v="0"/>
    <x v="0"/>
    <x v="8"/>
    <x v="13"/>
    <s v="PL_A1"/>
    <x v="11"/>
    <x v="3"/>
    <s v="GBPR-CO-07"/>
    <x v="10"/>
    <x v="11"/>
    <n v="744"/>
    <n v="45260"/>
    <n v="162936"/>
  </r>
  <r>
    <x v="0"/>
    <x v="0"/>
    <x v="0"/>
    <x v="8"/>
    <x v="13"/>
    <s v="PL_A1"/>
    <x v="11"/>
    <x v="3"/>
    <s v="GBPR-CO-07"/>
    <x v="11"/>
    <x v="0"/>
    <n v="744"/>
    <n v="45260"/>
    <n v="162936"/>
  </r>
  <r>
    <x v="0"/>
    <x v="0"/>
    <x v="0"/>
    <x v="8"/>
    <x v="13"/>
    <s v="PL_A1"/>
    <x v="11"/>
    <x v="3"/>
    <s v="GBPR-CO-07"/>
    <x v="11"/>
    <x v="1"/>
    <n v="744"/>
    <n v="45260"/>
    <n v="162936"/>
  </r>
  <r>
    <x v="0"/>
    <x v="0"/>
    <x v="0"/>
    <x v="8"/>
    <x v="13"/>
    <s v="PL_A1"/>
    <x v="11"/>
    <x v="3"/>
    <s v="GBPR-CO-07"/>
    <x v="11"/>
    <x v="2"/>
    <n v="744"/>
    <n v="45260"/>
    <n v="162936"/>
  </r>
  <r>
    <x v="0"/>
    <x v="0"/>
    <x v="0"/>
    <x v="8"/>
    <x v="13"/>
    <s v="PL_A1"/>
    <x v="11"/>
    <x v="3"/>
    <s v="GBPR-CO-07"/>
    <x v="11"/>
    <x v="3"/>
    <n v="744"/>
    <n v="45260"/>
    <n v="162936"/>
  </r>
  <r>
    <x v="0"/>
    <x v="0"/>
    <x v="0"/>
    <x v="8"/>
    <x v="13"/>
    <s v="PL_A1"/>
    <x v="11"/>
    <x v="3"/>
    <s v="GBPR-CO-07"/>
    <x v="11"/>
    <x v="4"/>
    <n v="744"/>
    <n v="45260"/>
    <n v="162936"/>
  </r>
  <r>
    <x v="0"/>
    <x v="0"/>
    <x v="0"/>
    <x v="8"/>
    <x v="13"/>
    <s v="PL_A1"/>
    <x v="11"/>
    <x v="3"/>
    <s v="GBPR-CO-07"/>
    <x v="11"/>
    <x v="5"/>
    <n v="744"/>
    <n v="45260"/>
    <n v="162936"/>
  </r>
  <r>
    <x v="0"/>
    <x v="0"/>
    <x v="0"/>
    <x v="8"/>
    <x v="13"/>
    <s v="PL_A1"/>
    <x v="11"/>
    <x v="3"/>
    <s v="GBPR-CO-07"/>
    <x v="11"/>
    <x v="6"/>
    <n v="744"/>
    <n v="45260"/>
    <n v="162936"/>
  </r>
  <r>
    <x v="0"/>
    <x v="0"/>
    <x v="0"/>
    <x v="8"/>
    <x v="13"/>
    <s v="PL_A1"/>
    <x v="11"/>
    <x v="3"/>
    <s v="GBPR-CO-07"/>
    <x v="11"/>
    <x v="7"/>
    <n v="744"/>
    <n v="45260"/>
    <n v="162936"/>
  </r>
  <r>
    <x v="0"/>
    <x v="0"/>
    <x v="0"/>
    <x v="8"/>
    <x v="13"/>
    <s v="PL_A1"/>
    <x v="11"/>
    <x v="3"/>
    <s v="GBPR-CO-07"/>
    <x v="11"/>
    <x v="8"/>
    <n v="744"/>
    <n v="45260"/>
    <n v="162936"/>
  </r>
  <r>
    <x v="0"/>
    <x v="0"/>
    <x v="0"/>
    <x v="8"/>
    <x v="13"/>
    <s v="PL_A1"/>
    <x v="11"/>
    <x v="3"/>
    <s v="GBPR-CO-07"/>
    <x v="11"/>
    <x v="9"/>
    <n v="744"/>
    <n v="45260"/>
    <n v="162936"/>
  </r>
  <r>
    <x v="0"/>
    <x v="0"/>
    <x v="0"/>
    <x v="8"/>
    <x v="13"/>
    <s v="PL_A1"/>
    <x v="11"/>
    <x v="3"/>
    <s v="GBPR-CO-07"/>
    <x v="11"/>
    <x v="10"/>
    <n v="744"/>
    <n v="45260"/>
    <n v="162936"/>
  </r>
  <r>
    <x v="0"/>
    <x v="0"/>
    <x v="0"/>
    <x v="8"/>
    <x v="13"/>
    <s v="PL_A1"/>
    <x v="11"/>
    <x v="3"/>
    <s v="GBPR-CO-07"/>
    <x v="11"/>
    <x v="11"/>
    <n v="744"/>
    <n v="45260"/>
    <n v="162936"/>
  </r>
  <r>
    <x v="0"/>
    <x v="0"/>
    <x v="0"/>
    <x v="8"/>
    <x v="13"/>
    <s v="PL_A1"/>
    <x v="11"/>
    <x v="3"/>
    <s v="GBPR-CO-09"/>
    <x v="0"/>
    <x v="0"/>
    <n v="2552.8378831042201"/>
    <n v="155297.63788883999"/>
    <n v="559071.49639982404"/>
  </r>
  <r>
    <x v="0"/>
    <x v="0"/>
    <x v="0"/>
    <x v="8"/>
    <x v="13"/>
    <s v="PL_A1"/>
    <x v="11"/>
    <x v="3"/>
    <s v="GBPR-CO-09"/>
    <x v="0"/>
    <x v="1"/>
    <n v="2551.31595619165"/>
    <n v="155205.05400165901"/>
    <n v="558738.19440597098"/>
  </r>
  <r>
    <x v="0"/>
    <x v="0"/>
    <x v="0"/>
    <x v="8"/>
    <x v="13"/>
    <s v="PL_A1"/>
    <x v="11"/>
    <x v="3"/>
    <s v="GBPR-CO-09"/>
    <x v="0"/>
    <x v="2"/>
    <n v="2552.8378831042201"/>
    <n v="155297.63788883999"/>
    <n v="559071.49639982404"/>
  </r>
  <r>
    <x v="0"/>
    <x v="0"/>
    <x v="0"/>
    <x v="8"/>
    <x v="13"/>
    <s v="PL_A1"/>
    <x v="11"/>
    <x v="3"/>
    <s v="GBPR-CO-09"/>
    <x v="0"/>
    <x v="3"/>
    <n v="2554.3598100167801"/>
    <n v="155390.221776021"/>
    <n v="559404.79839367606"/>
  </r>
  <r>
    <x v="0"/>
    <x v="0"/>
    <x v="0"/>
    <x v="8"/>
    <x v="13"/>
    <s v="PL_A1"/>
    <x v="11"/>
    <x v="3"/>
    <s v="GBPR-CO-09"/>
    <x v="0"/>
    <x v="4"/>
    <n v="2554.3598100167801"/>
    <n v="155390.221776021"/>
    <n v="559404.79839367606"/>
  </r>
  <r>
    <x v="0"/>
    <x v="0"/>
    <x v="0"/>
    <x v="8"/>
    <x v="13"/>
    <s v="PL_A1"/>
    <x v="11"/>
    <x v="3"/>
    <s v="GBPR-CO-09"/>
    <x v="0"/>
    <x v="5"/>
    <n v="2551.31595619165"/>
    <n v="155205.05400165901"/>
    <n v="558738.19440597098"/>
  </r>
  <r>
    <x v="0"/>
    <x v="0"/>
    <x v="0"/>
    <x v="8"/>
    <x v="13"/>
    <s v="PL_A1"/>
    <x v="11"/>
    <x v="3"/>
    <s v="GBPR-CO-09"/>
    <x v="0"/>
    <x v="6"/>
    <n v="2545.2282485413798"/>
    <n v="154834.718452934"/>
    <n v="557404.98643056105"/>
  </r>
  <r>
    <x v="0"/>
    <x v="0"/>
    <x v="0"/>
    <x v="8"/>
    <x v="13"/>
    <s v="PL_A1"/>
    <x v="11"/>
    <x v="3"/>
    <s v="GBPR-CO-09"/>
    <x v="0"/>
    <x v="7"/>
    <n v="2540.6624678036701"/>
    <n v="154556.96679139"/>
    <n v="556405.08044900303"/>
  </r>
  <r>
    <x v="0"/>
    <x v="0"/>
    <x v="0"/>
    <x v="8"/>
    <x v="13"/>
    <s v="PL_A1"/>
    <x v="11"/>
    <x v="3"/>
    <s v="GBPR-CO-09"/>
    <x v="0"/>
    <x v="8"/>
    <n v="2555.8817369293602"/>
    <n v="155482.80566320301"/>
    <n v="559738.100387529"/>
  </r>
  <r>
    <x v="0"/>
    <x v="0"/>
    <x v="0"/>
    <x v="8"/>
    <x v="13"/>
    <s v="PL_A1"/>
    <x v="11"/>
    <x v="3"/>
    <s v="GBPR-CO-09"/>
    <x v="0"/>
    <x v="9"/>
    <n v="2577.18871370533"/>
    <n v="156778.98008374099"/>
    <n v="564404.328301467"/>
  </r>
  <r>
    <x v="0"/>
    <x v="0"/>
    <x v="0"/>
    <x v="8"/>
    <x v="13"/>
    <s v="PL_A1"/>
    <x v="11"/>
    <x v="3"/>
    <s v="GBPR-CO-09"/>
    <x v="0"/>
    <x v="10"/>
    <n v="2607.6272519567101"/>
    <n v="158630.657827366"/>
    <n v="571070.36817851895"/>
  </r>
  <r>
    <x v="0"/>
    <x v="0"/>
    <x v="0"/>
    <x v="8"/>
    <x v="13"/>
    <s v="PL_A1"/>
    <x v="11"/>
    <x v="3"/>
    <s v="GBPR-CO-09"/>
    <x v="0"/>
    <x v="11"/>
    <n v="2644.15349785837"/>
    <n v="160852.671119718"/>
    <n v="579069.61603098304"/>
  </r>
  <r>
    <x v="0"/>
    <x v="0"/>
    <x v="0"/>
    <x v="8"/>
    <x v="13"/>
    <s v="PL_A1"/>
    <x v="11"/>
    <x v="3"/>
    <s v="GBPR-CO-09"/>
    <x v="1"/>
    <x v="0"/>
    <n v="3500.99834963482"/>
    <n v="212977.39960278501"/>
    <n v="766718.63857002603"/>
  </r>
  <r>
    <x v="0"/>
    <x v="0"/>
    <x v="0"/>
    <x v="8"/>
    <x v="13"/>
    <s v="PL_A1"/>
    <x v="11"/>
    <x v="3"/>
    <s v="GBPR-CO-09"/>
    <x v="1"/>
    <x v="1"/>
    <n v="3525.3491802359299"/>
    <n v="214458.741797686"/>
    <n v="772051.47047166899"/>
  </r>
  <r>
    <x v="0"/>
    <x v="0"/>
    <x v="0"/>
    <x v="8"/>
    <x v="13"/>
    <s v="PL_A1"/>
    <x v="11"/>
    <x v="3"/>
    <s v="GBPR-CO-09"/>
    <x v="1"/>
    <x v="2"/>
    <n v="3532.9588147987702"/>
    <n v="214921.66123359199"/>
    <n v="773717.98044093198"/>
  </r>
  <r>
    <x v="0"/>
    <x v="0"/>
    <x v="0"/>
    <x v="8"/>
    <x v="13"/>
    <s v="PL_A1"/>
    <x v="11"/>
    <x v="3"/>
    <s v="GBPR-CO-09"/>
    <x v="1"/>
    <x v="3"/>
    <n v="3510.1299111102398"/>
    <n v="213532.902925873"/>
    <n v="768718.45053314301"/>
  </r>
  <r>
    <x v="0"/>
    <x v="0"/>
    <x v="0"/>
    <x v="8"/>
    <x v="13"/>
    <s v="PL_A1"/>
    <x v="11"/>
    <x v="3"/>
    <s v="GBPR-CO-09"/>
    <x v="1"/>
    <x v="4"/>
    <n v="3459.90632299545"/>
    <n v="210477.63464889"/>
    <n v="757719.48473600403"/>
  </r>
  <r>
    <x v="0"/>
    <x v="0"/>
    <x v="0"/>
    <x v="8"/>
    <x v="13"/>
    <s v="PL_A1"/>
    <x v="11"/>
    <x v="3"/>
    <s v="GBPR-CO-09"/>
    <x v="1"/>
    <x v="5"/>
    <n v="3386.8538311921302"/>
    <n v="206033.60806418801"/>
    <n v="741720.98903107597"/>
  </r>
  <r>
    <x v="0"/>
    <x v="0"/>
    <x v="0"/>
    <x v="8"/>
    <x v="13"/>
    <s v="PL_A1"/>
    <x v="11"/>
    <x v="3"/>
    <s v="GBPR-CO-09"/>
    <x v="1"/>
    <x v="6"/>
    <n v="3294.0162895254198"/>
    <n v="200385.99094612899"/>
    <n v="721389.56740606599"/>
  </r>
  <r>
    <x v="0"/>
    <x v="0"/>
    <x v="0"/>
    <x v="8"/>
    <x v="13"/>
    <s v="PL_A1"/>
    <x v="11"/>
    <x v="3"/>
    <s v="GBPR-CO-09"/>
    <x v="1"/>
    <x v="7"/>
    <n v="3179.87177108272"/>
    <n v="193442.199407532"/>
    <n v="696391.91786711605"/>
  </r>
  <r>
    <x v="0"/>
    <x v="0"/>
    <x v="0"/>
    <x v="8"/>
    <x v="13"/>
    <s v="PL_A1"/>
    <x v="11"/>
    <x v="3"/>
    <s v="GBPR-CO-09"/>
    <x v="1"/>
    <x v="8"/>
    <n v="3080.9465217657298"/>
    <n v="187424.246740748"/>
    <n v="674727.28826669406"/>
  </r>
  <r>
    <x v="0"/>
    <x v="0"/>
    <x v="0"/>
    <x v="8"/>
    <x v="13"/>
    <s v="PL_A1"/>
    <x v="11"/>
    <x v="3"/>
    <s v="GBPR-CO-09"/>
    <x v="1"/>
    <x v="9"/>
    <n v="2991.1528339241399"/>
    <n v="181961.797397052"/>
    <n v="655062.47062938695"/>
  </r>
  <r>
    <x v="0"/>
    <x v="0"/>
    <x v="0"/>
    <x v="8"/>
    <x v="13"/>
    <s v="PL_A1"/>
    <x v="11"/>
    <x v="3"/>
    <s v="GBPR-CO-09"/>
    <x v="1"/>
    <x v="10"/>
    <n v="2910.4907075579699"/>
    <n v="177054.851376443"/>
    <n v="637397.46495519602"/>
  </r>
  <r>
    <x v="0"/>
    <x v="0"/>
    <x v="0"/>
    <x v="8"/>
    <x v="13"/>
    <s v="PL_A1"/>
    <x v="11"/>
    <x v="3"/>
    <s v="GBPR-CO-09"/>
    <x v="1"/>
    <x v="11"/>
    <n v="2843.5259234049299"/>
    <n v="172981.160340467"/>
    <n v="622732.17722567997"/>
  </r>
  <r>
    <x v="0"/>
    <x v="0"/>
    <x v="0"/>
    <x v="8"/>
    <x v="13"/>
    <s v="PL_A1"/>
    <x v="11"/>
    <x v="3"/>
    <s v="GBPR-CO-09"/>
    <x v="2"/>
    <x v="0"/>
    <n v="2723.2936973119599"/>
    <n v="165667.033253145"/>
    <n v="596401.31971131999"/>
  </r>
  <r>
    <x v="0"/>
    <x v="0"/>
    <x v="0"/>
    <x v="8"/>
    <x v="13"/>
    <s v="PL_A1"/>
    <x v="11"/>
    <x v="3"/>
    <s v="GBPR-CO-09"/>
    <x v="2"/>
    <x v="1"/>
    <n v="2726.3375511371"/>
    <n v="165852.20102750699"/>
    <n v="597067.92369902495"/>
  </r>
  <r>
    <x v="0"/>
    <x v="0"/>
    <x v="0"/>
    <x v="8"/>
    <x v="13"/>
    <s v="PL_A1"/>
    <x v="11"/>
    <x v="3"/>
    <s v="GBPR-CO-09"/>
    <x v="2"/>
    <x v="2"/>
    <n v="2729.3814049622501"/>
    <n v="166037.36880187"/>
    <n v="597734.52768673201"/>
  </r>
  <r>
    <x v="0"/>
    <x v="0"/>
    <x v="0"/>
    <x v="8"/>
    <x v="13"/>
    <s v="PL_A1"/>
    <x v="11"/>
    <x v="3"/>
    <s v="GBPR-CO-09"/>
    <x v="2"/>
    <x v="3"/>
    <n v="2736.9910395250899"/>
    <n v="166500.288237776"/>
    <n v="599401.03765599499"/>
  </r>
  <r>
    <x v="0"/>
    <x v="0"/>
    <x v="0"/>
    <x v="8"/>
    <x v="13"/>
    <s v="PL_A1"/>
    <x v="11"/>
    <x v="3"/>
    <s v="GBPR-CO-09"/>
    <x v="2"/>
    <x v="4"/>
    <n v="2746.1226010004998"/>
    <n v="167055.79156086399"/>
    <n v="601400.84961911"/>
  </r>
  <r>
    <x v="0"/>
    <x v="0"/>
    <x v="0"/>
    <x v="8"/>
    <x v="13"/>
    <s v="PL_A1"/>
    <x v="11"/>
    <x v="3"/>
    <s v="GBPR-CO-09"/>
    <x v="2"/>
    <x v="5"/>
    <n v="2756.7760893884902"/>
    <n v="167703.87877113299"/>
    <n v="603733.96357608004"/>
  </r>
  <r>
    <x v="0"/>
    <x v="0"/>
    <x v="0"/>
    <x v="8"/>
    <x v="13"/>
    <s v="PL_A1"/>
    <x v="11"/>
    <x v="3"/>
    <s v="GBPR-CO-09"/>
    <x v="2"/>
    <x v="6"/>
    <n v="2771.9953585141802"/>
    <n v="168629.71764294599"/>
    <n v="607066.98351460602"/>
  </r>
  <r>
    <x v="0"/>
    <x v="0"/>
    <x v="0"/>
    <x v="8"/>
    <x v="13"/>
    <s v="PL_A1"/>
    <x v="11"/>
    <x v="3"/>
    <s v="GBPR-CO-09"/>
    <x v="2"/>
    <x v="7"/>
    <n v="2784.1707738147302"/>
    <n v="169370.38874039601"/>
    <n v="609733.39946542704"/>
  </r>
  <r>
    <x v="0"/>
    <x v="0"/>
    <x v="0"/>
    <x v="8"/>
    <x v="13"/>
    <s v="PL_A1"/>
    <x v="11"/>
    <x v="3"/>
    <s v="GBPR-CO-09"/>
    <x v="2"/>
    <x v="8"/>
    <n v="2794.8242622027201"/>
    <n v="170018.47595066499"/>
    <n v="612066.51342239499"/>
  </r>
  <r>
    <x v="0"/>
    <x v="0"/>
    <x v="0"/>
    <x v="8"/>
    <x v="13"/>
    <s v="PL_A1"/>
    <x v="11"/>
    <x v="3"/>
    <s v="GBPR-CO-09"/>
    <x v="2"/>
    <x v="9"/>
    <n v="2808.5216044158401"/>
    <n v="170851.730935297"/>
    <n v="615066.23136707"/>
  </r>
  <r>
    <x v="0"/>
    <x v="0"/>
    <x v="0"/>
    <x v="8"/>
    <x v="13"/>
    <s v="PL_A1"/>
    <x v="11"/>
    <x v="3"/>
    <s v="GBPR-CO-09"/>
    <x v="2"/>
    <x v="10"/>
    <n v="2814.6093120661099"/>
    <n v="171222.06648402201"/>
    <n v="616399.43934247899"/>
  </r>
  <r>
    <x v="0"/>
    <x v="0"/>
    <x v="0"/>
    <x v="8"/>
    <x v="13"/>
    <s v="PL_A1"/>
    <x v="11"/>
    <x v="3"/>
    <s v="GBPR-CO-09"/>
    <x v="2"/>
    <x v="11"/>
    <n v="2805.47775059071"/>
    <n v="170666.56316093501"/>
    <n v="614399.62737936503"/>
  </r>
  <r>
    <x v="0"/>
    <x v="0"/>
    <x v="0"/>
    <x v="8"/>
    <x v="13"/>
    <s v="PL_A1"/>
    <x v="11"/>
    <x v="3"/>
    <s v="GBPR-CO-09"/>
    <x v="3"/>
    <x v="0"/>
    <n v="2817.65316589126"/>
    <n v="171407.234258385"/>
    <n v="617066.04333018605"/>
  </r>
  <r>
    <x v="0"/>
    <x v="0"/>
    <x v="0"/>
    <x v="8"/>
    <x v="13"/>
    <s v="PL_A1"/>
    <x v="11"/>
    <x v="3"/>
    <s v="GBPR-CO-09"/>
    <x v="3"/>
    <x v="1"/>
    <n v="2866.3548270934698"/>
    <n v="174369.91864818599"/>
    <n v="627731.70713346906"/>
  </r>
  <r>
    <x v="0"/>
    <x v="0"/>
    <x v="0"/>
    <x v="8"/>
    <x v="13"/>
    <s v="PL_A1"/>
    <x v="11"/>
    <x v="3"/>
    <s v="GBPR-CO-09"/>
    <x v="3"/>
    <x v="2"/>
    <n v="2905.9249268202602"/>
    <n v="176777.099714899"/>
    <n v="636397.55897363799"/>
  </r>
  <r>
    <x v="0"/>
    <x v="0"/>
    <x v="0"/>
    <x v="8"/>
    <x v="13"/>
    <s v="PL_A1"/>
    <x v="11"/>
    <x v="3"/>
    <s v="GBPR-CO-09"/>
    <x v="3"/>
    <x v="3"/>
    <n v="2939.40731889679"/>
    <n v="178813.94523288801"/>
    <n v="643730.202838397"/>
  </r>
  <r>
    <x v="0"/>
    <x v="0"/>
    <x v="0"/>
    <x v="8"/>
    <x v="13"/>
    <s v="PL_A1"/>
    <x v="11"/>
    <x v="3"/>
    <s v="GBPR-CO-09"/>
    <x v="3"/>
    <x v="4"/>
    <n v="2965.28007641047"/>
    <n v="180387.87131496999"/>
    <n v="649396.33673389303"/>
  </r>
  <r>
    <x v="0"/>
    <x v="0"/>
    <x v="0"/>
    <x v="8"/>
    <x v="13"/>
    <s v="PL_A1"/>
    <x v="11"/>
    <x v="3"/>
    <s v="GBPR-CO-09"/>
    <x v="3"/>
    <x v="5"/>
    <n v="2974.4116378858798"/>
    <n v="180943.37463805801"/>
    <n v="651396.14869700698"/>
  </r>
  <r>
    <x v="0"/>
    <x v="0"/>
    <x v="0"/>
    <x v="8"/>
    <x v="13"/>
    <s v="PL_A1"/>
    <x v="11"/>
    <x v="3"/>
    <s v="GBPR-CO-09"/>
    <x v="3"/>
    <x v="6"/>
    <n v="2972.8897109733198"/>
    <n v="180850.790750877"/>
    <n v="651062.84670315601"/>
  </r>
  <r>
    <x v="0"/>
    <x v="0"/>
    <x v="0"/>
    <x v="8"/>
    <x v="13"/>
    <s v="PL_A1"/>
    <x v="11"/>
    <x v="3"/>
    <s v="GBPR-CO-09"/>
    <x v="3"/>
    <x v="7"/>
    <n v="2962.2362225853199"/>
    <n v="180202.70354060701"/>
    <n v="648729.73274618597"/>
  </r>
  <r>
    <x v="0"/>
    <x v="0"/>
    <x v="0"/>
    <x v="8"/>
    <x v="13"/>
    <s v="PL_A1"/>
    <x v="11"/>
    <x v="3"/>
    <s v="GBPR-CO-09"/>
    <x v="3"/>
    <x v="8"/>
    <n v="2948.5388803722099"/>
    <n v="179369.44855597601"/>
    <n v="645730.01480151305"/>
  </r>
  <r>
    <x v="0"/>
    <x v="0"/>
    <x v="0"/>
    <x v="8"/>
    <x v="13"/>
    <s v="PL_A1"/>
    <x v="11"/>
    <x v="3"/>
    <s v="GBPR-CO-09"/>
    <x v="3"/>
    <x v="9"/>
    <n v="2930.2757574213701"/>
    <n v="178258.44190979999"/>
    <n v="641730.39087528095"/>
  </r>
  <r>
    <x v="0"/>
    <x v="0"/>
    <x v="0"/>
    <x v="8"/>
    <x v="13"/>
    <s v="PL_A1"/>
    <x v="11"/>
    <x v="3"/>
    <s v="GBPR-CO-09"/>
    <x v="3"/>
    <x v="10"/>
    <n v="2908.9687806454099"/>
    <n v="176962.26748926201"/>
    <n v="637064.16296134505"/>
  </r>
  <r>
    <x v="0"/>
    <x v="0"/>
    <x v="0"/>
    <x v="8"/>
    <x v="13"/>
    <s v="PL_A1"/>
    <x v="11"/>
    <x v="3"/>
    <s v="GBPR-CO-09"/>
    <x v="3"/>
    <x v="11"/>
    <n v="2887.6618038694401"/>
    <n v="175666.093068724"/>
    <n v="632397.93504740705"/>
  </r>
  <r>
    <x v="0"/>
    <x v="0"/>
    <x v="0"/>
    <x v="8"/>
    <x v="13"/>
    <s v="PL_A1"/>
    <x v="11"/>
    <x v="3"/>
    <s v="GBPR-CO-09"/>
    <x v="4"/>
    <x v="0"/>
    <n v="3962.1422041432902"/>
    <n v="241030.31741871699"/>
    <n v="867709.14270738"/>
  </r>
  <r>
    <x v="0"/>
    <x v="0"/>
    <x v="0"/>
    <x v="8"/>
    <x v="13"/>
    <s v="PL_A1"/>
    <x v="11"/>
    <x v="3"/>
    <s v="GBPR-CO-09"/>
    <x v="4"/>
    <x v="1"/>
    <n v="3963.6641310558498"/>
    <n v="241122.90130589801"/>
    <n v="868042.44470123097"/>
  </r>
  <r>
    <x v="0"/>
    <x v="0"/>
    <x v="0"/>
    <x v="8"/>
    <x v="13"/>
    <s v="PL_A1"/>
    <x v="11"/>
    <x v="3"/>
    <s v="GBPR-CO-09"/>
    <x v="4"/>
    <x v="2"/>
    <n v="3934.7475197170402"/>
    <n v="239363.80744945299"/>
    <n v="861709.70681803301"/>
  </r>
  <r>
    <x v="0"/>
    <x v="0"/>
    <x v="0"/>
    <x v="8"/>
    <x v="13"/>
    <s v="PL_A1"/>
    <x v="11"/>
    <x v="3"/>
    <s v="GBPR-CO-09"/>
    <x v="4"/>
    <x v="3"/>
    <n v="3884.5239316022498"/>
    <n v="236308.53917246999"/>
    <n v="850710.74102089403"/>
  </r>
  <r>
    <x v="0"/>
    <x v="0"/>
    <x v="0"/>
    <x v="8"/>
    <x v="13"/>
    <s v="PL_A1"/>
    <x v="11"/>
    <x v="3"/>
    <s v="GBPR-CO-09"/>
    <x v="4"/>
    <x v="4"/>
    <n v="3832.7784165748999"/>
    <n v="233160.687008307"/>
    <n v="839378.47322990396"/>
  </r>
  <r>
    <x v="0"/>
    <x v="0"/>
    <x v="0"/>
    <x v="8"/>
    <x v="13"/>
    <s v="PL_A1"/>
    <x v="11"/>
    <x v="3"/>
    <s v="GBPR-CO-09"/>
    <x v="4"/>
    <x v="5"/>
    <n v="3762.7697785967198"/>
    <n v="228901.828197967"/>
    <n v="824046.58151268098"/>
  </r>
  <r>
    <x v="0"/>
    <x v="0"/>
    <x v="0"/>
    <x v="8"/>
    <x v="13"/>
    <s v="PL_A1"/>
    <x v="11"/>
    <x v="3"/>
    <s v="GBPR-CO-09"/>
    <x v="4"/>
    <x v="6"/>
    <n v="3674.4980176677"/>
    <n v="223531.96274145201"/>
    <n v="804715.06586922705"/>
  </r>
  <r>
    <x v="0"/>
    <x v="0"/>
    <x v="0"/>
    <x v="8"/>
    <x v="13"/>
    <s v="PL_A1"/>
    <x v="11"/>
    <x v="3"/>
    <s v="GBPR-CO-09"/>
    <x v="4"/>
    <x v="7"/>
    <n v="3581.66047600099"/>
    <n v="217884.34562339401"/>
    <n v="784383.64424421696"/>
  </r>
  <r>
    <x v="0"/>
    <x v="0"/>
    <x v="0"/>
    <x v="8"/>
    <x v="13"/>
    <s v="PL_A1"/>
    <x v="11"/>
    <x v="3"/>
    <s v="GBPR-CO-09"/>
    <x v="4"/>
    <x v="8"/>
    <n v="3507.0860572850902"/>
    <n v="213347.73515150999"/>
    <n v="768051.84654543595"/>
  </r>
  <r>
    <x v="0"/>
    <x v="0"/>
    <x v="0"/>
    <x v="8"/>
    <x v="13"/>
    <s v="PL_A1"/>
    <x v="11"/>
    <x v="3"/>
    <s v="GBPR-CO-09"/>
    <x v="4"/>
    <x v="9"/>
    <n v="3467.5159575583002"/>
    <n v="210940.55408479599"/>
    <n v="759385.99470526702"/>
  </r>
  <r>
    <x v="0"/>
    <x v="0"/>
    <x v="0"/>
    <x v="8"/>
    <x v="13"/>
    <s v="PL_A1"/>
    <x v="11"/>
    <x v="3"/>
    <s v="GBPR-CO-09"/>
    <x v="4"/>
    <x v="10"/>
    <n v="3453.8186153451802"/>
    <n v="210107.29910016499"/>
    <n v="756386.27676059399"/>
  </r>
  <r>
    <x v="0"/>
    <x v="0"/>
    <x v="0"/>
    <x v="8"/>
    <x v="13"/>
    <s v="PL_A1"/>
    <x v="11"/>
    <x v="3"/>
    <s v="GBPR-CO-09"/>
    <x v="4"/>
    <x v="11"/>
    <n v="3450.7747615200301"/>
    <n v="209922.13132580201"/>
    <n v="755719.67277288705"/>
  </r>
  <r>
    <x v="0"/>
    <x v="0"/>
    <x v="0"/>
    <x v="8"/>
    <x v="13"/>
    <s v="PL_A1"/>
    <x v="11"/>
    <x v="3"/>
    <s v="GBPR-CO-09"/>
    <x v="5"/>
    <x v="0"/>
    <n v="4276"/>
    <n v="260123.33333333299"/>
    <n v="936444"/>
  </r>
  <r>
    <x v="0"/>
    <x v="0"/>
    <x v="0"/>
    <x v="8"/>
    <x v="13"/>
    <s v="PL_A1"/>
    <x v="11"/>
    <x v="3"/>
    <s v="GBPR-CO-09"/>
    <x v="5"/>
    <x v="1"/>
    <n v="4276"/>
    <n v="260123.33333333299"/>
    <n v="936444"/>
  </r>
  <r>
    <x v="0"/>
    <x v="0"/>
    <x v="0"/>
    <x v="8"/>
    <x v="13"/>
    <s v="PL_A1"/>
    <x v="11"/>
    <x v="3"/>
    <s v="GBPR-CO-09"/>
    <x v="5"/>
    <x v="2"/>
    <n v="4276"/>
    <n v="260123.33333333299"/>
    <n v="936444"/>
  </r>
  <r>
    <x v="0"/>
    <x v="0"/>
    <x v="0"/>
    <x v="8"/>
    <x v="13"/>
    <s v="PL_A1"/>
    <x v="11"/>
    <x v="3"/>
    <s v="GBPR-CO-09"/>
    <x v="5"/>
    <x v="3"/>
    <n v="4276"/>
    <n v="260123.33333333299"/>
    <n v="936444"/>
  </r>
  <r>
    <x v="0"/>
    <x v="0"/>
    <x v="0"/>
    <x v="8"/>
    <x v="13"/>
    <s v="PL_A1"/>
    <x v="11"/>
    <x v="3"/>
    <s v="GBPR-CO-09"/>
    <x v="5"/>
    <x v="4"/>
    <n v="4276"/>
    <n v="260123.33333333299"/>
    <n v="936444"/>
  </r>
  <r>
    <x v="0"/>
    <x v="0"/>
    <x v="0"/>
    <x v="8"/>
    <x v="13"/>
    <s v="PL_A1"/>
    <x v="11"/>
    <x v="3"/>
    <s v="GBPR-CO-09"/>
    <x v="5"/>
    <x v="5"/>
    <n v="4276"/>
    <n v="260123.33333333299"/>
    <n v="936444"/>
  </r>
  <r>
    <x v="0"/>
    <x v="0"/>
    <x v="0"/>
    <x v="8"/>
    <x v="13"/>
    <s v="PL_A1"/>
    <x v="11"/>
    <x v="3"/>
    <s v="GBPR-CO-09"/>
    <x v="5"/>
    <x v="6"/>
    <n v="4276"/>
    <n v="260123.33333333299"/>
    <n v="936444"/>
  </r>
  <r>
    <x v="0"/>
    <x v="0"/>
    <x v="0"/>
    <x v="8"/>
    <x v="13"/>
    <s v="PL_A1"/>
    <x v="11"/>
    <x v="3"/>
    <s v="GBPR-CO-09"/>
    <x v="5"/>
    <x v="7"/>
    <n v="4276"/>
    <n v="260123.33333333299"/>
    <n v="936444"/>
  </r>
  <r>
    <x v="0"/>
    <x v="0"/>
    <x v="0"/>
    <x v="8"/>
    <x v="13"/>
    <s v="PL_A1"/>
    <x v="11"/>
    <x v="3"/>
    <s v="GBPR-CO-09"/>
    <x v="5"/>
    <x v="8"/>
    <n v="4276"/>
    <n v="260123.33333333299"/>
    <n v="936444"/>
  </r>
  <r>
    <x v="0"/>
    <x v="0"/>
    <x v="0"/>
    <x v="8"/>
    <x v="13"/>
    <s v="PL_A1"/>
    <x v="11"/>
    <x v="3"/>
    <s v="GBPR-CO-09"/>
    <x v="5"/>
    <x v="9"/>
    <n v="4276"/>
    <n v="260123.33333333299"/>
    <n v="936444"/>
  </r>
  <r>
    <x v="0"/>
    <x v="0"/>
    <x v="0"/>
    <x v="8"/>
    <x v="13"/>
    <s v="PL_A1"/>
    <x v="11"/>
    <x v="3"/>
    <s v="GBPR-CO-09"/>
    <x v="5"/>
    <x v="10"/>
    <n v="4276"/>
    <n v="260123.33333333299"/>
    <n v="936444"/>
  </r>
  <r>
    <x v="0"/>
    <x v="0"/>
    <x v="0"/>
    <x v="8"/>
    <x v="13"/>
    <s v="PL_A1"/>
    <x v="11"/>
    <x v="3"/>
    <s v="GBPR-CO-09"/>
    <x v="5"/>
    <x v="11"/>
    <n v="4276"/>
    <n v="260123.33333333299"/>
    <n v="936444"/>
  </r>
  <r>
    <x v="0"/>
    <x v="0"/>
    <x v="0"/>
    <x v="8"/>
    <x v="13"/>
    <s v="PL_A1"/>
    <x v="11"/>
    <x v="3"/>
    <s v="GBPR-CO-09"/>
    <x v="6"/>
    <x v="0"/>
    <n v="3441.6432000446298"/>
    <n v="209366.62800271501"/>
    <n v="753719.86080977297"/>
  </r>
  <r>
    <x v="0"/>
    <x v="0"/>
    <x v="0"/>
    <x v="8"/>
    <x v="13"/>
    <s v="PL_A1"/>
    <x v="11"/>
    <x v="3"/>
    <s v="GBPR-CO-09"/>
    <x v="6"/>
    <x v="1"/>
    <n v="3437.0774193069201"/>
    <n v="209088.87634117101"/>
    <n v="752719.95482821495"/>
  </r>
  <r>
    <x v="0"/>
    <x v="0"/>
    <x v="0"/>
    <x v="8"/>
    <x v="13"/>
    <s v="PL_A1"/>
    <x v="11"/>
    <x v="3"/>
    <s v="GBPR-CO-09"/>
    <x v="6"/>
    <x v="2"/>
    <n v="3426.4239309189302"/>
    <n v="208440.78913090201"/>
    <n v="750386.840871247"/>
  </r>
  <r>
    <x v="0"/>
    <x v="0"/>
    <x v="0"/>
    <x v="8"/>
    <x v="13"/>
    <s v="PL_A1"/>
    <x v="11"/>
    <x v="3"/>
    <s v="GBPR-CO-09"/>
    <x v="6"/>
    <x v="3"/>
    <n v="3411.2046617932301"/>
    <n v="207514.95025908799"/>
    <n v="747053.82093271904"/>
  </r>
  <r>
    <x v="0"/>
    <x v="0"/>
    <x v="0"/>
    <x v="8"/>
    <x v="13"/>
    <s v="PL_A1"/>
    <x v="11"/>
    <x v="3"/>
    <s v="GBPR-CO-09"/>
    <x v="6"/>
    <x v="4"/>
    <n v="3392.94153884241"/>
    <n v="206403.94361291299"/>
    <n v="743054.19700648799"/>
  </r>
  <r>
    <x v="0"/>
    <x v="0"/>
    <x v="0"/>
    <x v="8"/>
    <x v="13"/>
    <s v="PL_A1"/>
    <x v="11"/>
    <x v="3"/>
    <s v="GBPR-CO-09"/>
    <x v="6"/>
    <x v="5"/>
    <n v="3376.2003428041498"/>
    <n v="205385.52085391901"/>
    <n v="739387.87507410801"/>
  </r>
  <r>
    <x v="0"/>
    <x v="0"/>
    <x v="0"/>
    <x v="8"/>
    <x v="13"/>
    <s v="PL_A1"/>
    <x v="11"/>
    <x v="3"/>
    <s v="GBPR-CO-09"/>
    <x v="6"/>
    <x v="6"/>
    <n v="3351.8495122030399"/>
    <n v="203904.17865901801"/>
    <n v="734055.04317246506"/>
  </r>
  <r>
    <x v="0"/>
    <x v="0"/>
    <x v="0"/>
    <x v="8"/>
    <x v="13"/>
    <s v="PL_A1"/>
    <x v="11"/>
    <x v="3"/>
    <s v="GBPR-CO-09"/>
    <x v="6"/>
    <x v="7"/>
    <n v="3329.0206085145001"/>
    <n v="202515.42035129899"/>
    <n v="729055.51326467597"/>
  </r>
  <r>
    <x v="0"/>
    <x v="0"/>
    <x v="0"/>
    <x v="8"/>
    <x v="13"/>
    <s v="PL_A1"/>
    <x v="11"/>
    <x v="3"/>
    <s v="GBPR-CO-09"/>
    <x v="6"/>
    <x v="8"/>
    <n v="3304.6697779134001"/>
    <n v="201034.078156398"/>
    <n v="723722.68136303395"/>
  </r>
  <r>
    <x v="0"/>
    <x v="0"/>
    <x v="0"/>
    <x v="8"/>
    <x v="13"/>
    <s v="PL_A1"/>
    <x v="11"/>
    <x v="3"/>
    <s v="GBPR-CO-09"/>
    <x v="6"/>
    <x v="9"/>
    <n v="3281.8408742248598"/>
    <n v="199645.31984867901"/>
    <n v="718723.15145524498"/>
  </r>
  <r>
    <x v="0"/>
    <x v="0"/>
    <x v="0"/>
    <x v="8"/>
    <x v="13"/>
    <s v="PL_A1"/>
    <x v="11"/>
    <x v="3"/>
    <s v="GBPR-CO-09"/>
    <x v="6"/>
    <x v="10"/>
    <n v="3260.53389744889"/>
    <n v="198349.145428141"/>
    <n v="714056.92354130698"/>
  </r>
  <r>
    <x v="0"/>
    <x v="0"/>
    <x v="0"/>
    <x v="8"/>
    <x v="13"/>
    <s v="PL_A1"/>
    <x v="11"/>
    <x v="3"/>
    <s v="GBPR-CO-09"/>
    <x v="6"/>
    <x v="11"/>
    <n v="3245.3146283231999"/>
    <n v="197423.306556328"/>
    <n v="710723.90360278101"/>
  </r>
  <r>
    <x v="0"/>
    <x v="0"/>
    <x v="0"/>
    <x v="8"/>
    <x v="13"/>
    <s v="PL_A1"/>
    <x v="11"/>
    <x v="3"/>
    <s v="GBPR-CO-09"/>
    <x v="7"/>
    <x v="0"/>
    <n v="3216.3980169843799"/>
    <n v="195664.21269988301"/>
    <n v="704391.16571958002"/>
  </r>
  <r>
    <x v="0"/>
    <x v="0"/>
    <x v="0"/>
    <x v="8"/>
    <x v="13"/>
    <s v="PL_A1"/>
    <x v="11"/>
    <x v="3"/>
    <s v="GBPR-CO-09"/>
    <x v="7"/>
    <x v="1"/>
    <n v="3185.9594787329902"/>
    <n v="193812.534956257"/>
    <n v="697725.12584252597"/>
  </r>
  <r>
    <x v="0"/>
    <x v="0"/>
    <x v="0"/>
    <x v="8"/>
    <x v="13"/>
    <s v="PL_A1"/>
    <x v="11"/>
    <x v="3"/>
    <s v="GBPR-CO-09"/>
    <x v="7"/>
    <x v="2"/>
    <n v="3150.9551597438999"/>
    <n v="191683.105551088"/>
    <n v="690059.17998391495"/>
  </r>
  <r>
    <x v="0"/>
    <x v="0"/>
    <x v="0"/>
    <x v="8"/>
    <x v="13"/>
    <s v="PL_A1"/>
    <x v="11"/>
    <x v="3"/>
    <s v="GBPR-CO-09"/>
    <x v="7"/>
    <x v="3"/>
    <n v="3109.8631331045399"/>
    <n v="189183.34059719299"/>
    <n v="681060.02614989504"/>
  </r>
  <r>
    <x v="0"/>
    <x v="0"/>
    <x v="0"/>
    <x v="8"/>
    <x v="13"/>
    <s v="PL_A1"/>
    <x v="11"/>
    <x v="3"/>
    <s v="GBPR-CO-09"/>
    <x v="7"/>
    <x v="4"/>
    <n v="3059.63954498976"/>
    <n v="186128.07232020999"/>
    <n v="670061.06035275699"/>
  </r>
  <r>
    <x v="0"/>
    <x v="0"/>
    <x v="0"/>
    <x v="8"/>
    <x v="13"/>
    <s v="PL_A1"/>
    <x v="11"/>
    <x v="3"/>
    <s v="GBPR-CO-09"/>
    <x v="7"/>
    <x v="5"/>
    <n v="3006.37210304983"/>
    <n v="182887.636268865"/>
    <n v="658395.49056791305"/>
  </r>
  <r>
    <x v="0"/>
    <x v="0"/>
    <x v="0"/>
    <x v="8"/>
    <x v="13"/>
    <s v="PL_A1"/>
    <x v="11"/>
    <x v="3"/>
    <s v="GBPR-CO-09"/>
    <x v="7"/>
    <x v="6"/>
    <n v="2948.5388803722099"/>
    <n v="179369.44855597601"/>
    <n v="645730.01480151305"/>
  </r>
  <r>
    <x v="0"/>
    <x v="0"/>
    <x v="0"/>
    <x v="8"/>
    <x v="13"/>
    <s v="PL_A1"/>
    <x v="11"/>
    <x v="3"/>
    <s v="GBPR-CO-09"/>
    <x v="7"/>
    <x v="7"/>
    <n v="2886.13987695687"/>
    <n v="175573.50918154299"/>
    <n v="632064.63305355399"/>
  </r>
  <r>
    <x v="0"/>
    <x v="0"/>
    <x v="0"/>
    <x v="8"/>
    <x v="13"/>
    <s v="PL_A1"/>
    <x v="11"/>
    <x v="3"/>
    <s v="GBPR-CO-09"/>
    <x v="7"/>
    <x v="8"/>
    <n v="2831.35050810438"/>
    <n v="172240.489243016"/>
    <n v="620065.76127485896"/>
  </r>
  <r>
    <x v="0"/>
    <x v="0"/>
    <x v="0"/>
    <x v="8"/>
    <x v="13"/>
    <s v="PL_A1"/>
    <x v="11"/>
    <x v="3"/>
    <s v="GBPR-CO-09"/>
    <x v="7"/>
    <x v="9"/>
    <n v="2787.2146276398698"/>
    <n v="169555.556514759"/>
    <n v="610400.003453132"/>
  </r>
  <r>
    <x v="0"/>
    <x v="0"/>
    <x v="0"/>
    <x v="8"/>
    <x v="13"/>
    <s v="PL_A1"/>
    <x v="11"/>
    <x v="3"/>
    <s v="GBPR-CO-09"/>
    <x v="7"/>
    <x v="10"/>
    <n v="2752.21030865078"/>
    <n v="167426.127109589"/>
    <n v="602734.05759452097"/>
  </r>
  <r>
    <x v="0"/>
    <x v="0"/>
    <x v="0"/>
    <x v="8"/>
    <x v="13"/>
    <s v="PL_A1"/>
    <x v="11"/>
    <x v="3"/>
    <s v="GBPR-CO-09"/>
    <x v="7"/>
    <x v="11"/>
    <n v="2726.3375511371"/>
    <n v="165852.20102750699"/>
    <n v="597067.92369902495"/>
  </r>
  <r>
    <x v="0"/>
    <x v="0"/>
    <x v="0"/>
    <x v="8"/>
    <x v="13"/>
    <s v="PL_A1"/>
    <x v="11"/>
    <x v="3"/>
    <s v="GBPR-CO-09"/>
    <x v="8"/>
    <x v="0"/>
    <n v="2828.3066542792399"/>
    <n v="172055.321468654"/>
    <n v="619399.157287154"/>
  </r>
  <r>
    <x v="0"/>
    <x v="0"/>
    <x v="0"/>
    <x v="8"/>
    <x v="13"/>
    <s v="PL_A1"/>
    <x v="11"/>
    <x v="3"/>
    <s v="GBPR-CO-09"/>
    <x v="8"/>
    <x v="1"/>
    <n v="2855.7013387054899"/>
    <n v="173721.83143791699"/>
    <n v="625398.59317650099"/>
  </r>
  <r>
    <x v="0"/>
    <x v="0"/>
    <x v="0"/>
    <x v="8"/>
    <x v="13"/>
    <s v="PL_A1"/>
    <x v="11"/>
    <x v="3"/>
    <s v="GBPR-CO-09"/>
    <x v="8"/>
    <x v="2"/>
    <n v="2878.5302423940202"/>
    <n v="175110.58974563601"/>
    <n v="630398.123084291"/>
  </r>
  <r>
    <x v="0"/>
    <x v="0"/>
    <x v="0"/>
    <x v="8"/>
    <x v="13"/>
    <s v="PL_A1"/>
    <x v="11"/>
    <x v="3"/>
    <s v="GBPR-CO-09"/>
    <x v="8"/>
    <x v="3"/>
    <n v="2904.4029999077002"/>
    <n v="176684.51582771901"/>
    <n v="636064.25697978702"/>
  </r>
  <r>
    <x v="0"/>
    <x v="0"/>
    <x v="0"/>
    <x v="8"/>
    <x v="13"/>
    <s v="PL_A1"/>
    <x v="11"/>
    <x v="3"/>
    <s v="GBPR-CO-09"/>
    <x v="8"/>
    <x v="4"/>
    <n v="2924.1880497710999"/>
    <n v="177888.10636107501"/>
    <n v="640397.18289987103"/>
  </r>
  <r>
    <x v="0"/>
    <x v="0"/>
    <x v="0"/>
    <x v="8"/>
    <x v="13"/>
    <s v="PL_A1"/>
    <x v="11"/>
    <x v="3"/>
    <s v="GBPR-CO-09"/>
    <x v="8"/>
    <x v="5"/>
    <n v="2934.8415381590798"/>
    <n v="178536.19357134399"/>
    <n v="642730.29685683898"/>
  </r>
  <r>
    <x v="0"/>
    <x v="0"/>
    <x v="0"/>
    <x v="8"/>
    <x v="13"/>
    <s v="PL_A1"/>
    <x v="11"/>
    <x v="3"/>
    <s v="GBPR-CO-09"/>
    <x v="8"/>
    <x v="6"/>
    <n v="2931.7976843339402"/>
    <n v="178351.02579698199"/>
    <n v="642063.69286913401"/>
  </r>
  <r>
    <x v="0"/>
    <x v="0"/>
    <x v="0"/>
    <x v="8"/>
    <x v="13"/>
    <s v="PL_A1"/>
    <x v="11"/>
    <x v="3"/>
    <s v="GBPR-CO-09"/>
    <x v="8"/>
    <x v="7"/>
    <n v="2915.0564882956801"/>
    <n v="177332.60303798699"/>
    <n v="638397.37093675404"/>
  </r>
  <r>
    <x v="0"/>
    <x v="0"/>
    <x v="0"/>
    <x v="8"/>
    <x v="13"/>
    <s v="PL_A1"/>
    <x v="11"/>
    <x v="3"/>
    <s v="GBPR-CO-09"/>
    <x v="8"/>
    <x v="8"/>
    <n v="2887.6618038694401"/>
    <n v="175666.093068724"/>
    <n v="632397.93504740705"/>
  </r>
  <r>
    <x v="0"/>
    <x v="0"/>
    <x v="0"/>
    <x v="8"/>
    <x v="13"/>
    <s v="PL_A1"/>
    <x v="11"/>
    <x v="3"/>
    <s v="GBPR-CO-09"/>
    <x v="8"/>
    <x v="9"/>
    <n v="2867.8767540060398"/>
    <n v="174462.50253536701"/>
    <n v="628065.00912732305"/>
  </r>
  <r>
    <x v="0"/>
    <x v="0"/>
    <x v="0"/>
    <x v="8"/>
    <x v="13"/>
    <s v="PL_A1"/>
    <x v="11"/>
    <x v="3"/>
    <s v="GBPR-CO-09"/>
    <x v="8"/>
    <x v="10"/>
    <n v="2842.0039964923699"/>
    <n v="172888.57645328599"/>
    <n v="622398.87523182901"/>
  </r>
  <r>
    <x v="0"/>
    <x v="0"/>
    <x v="0"/>
    <x v="8"/>
    <x v="13"/>
    <s v="PL_A1"/>
    <x v="11"/>
    <x v="3"/>
    <s v="GBPR-CO-09"/>
    <x v="8"/>
    <x v="11"/>
    <n v="2817.65316589126"/>
    <n v="171407.234258385"/>
    <n v="617066.04333018605"/>
  </r>
  <r>
    <x v="0"/>
    <x v="0"/>
    <x v="0"/>
    <x v="8"/>
    <x v="13"/>
    <s v="PL_A1"/>
    <x v="11"/>
    <x v="3"/>
    <s v="GBPR-CO-09"/>
    <x v="9"/>
    <x v="0"/>
    <n v="2653.2850593337898"/>
    <n v="161408.174442805"/>
    <n v="581069.42799410003"/>
  </r>
  <r>
    <x v="0"/>
    <x v="0"/>
    <x v="0"/>
    <x v="8"/>
    <x v="13"/>
    <s v="PL_A1"/>
    <x v="11"/>
    <x v="3"/>
    <s v="GBPR-CO-09"/>
    <x v="9"/>
    <x v="1"/>
    <n v="2674.5920361097501"/>
    <n v="162704.34886334301"/>
    <n v="585735.655908035"/>
  </r>
  <r>
    <x v="0"/>
    <x v="0"/>
    <x v="0"/>
    <x v="8"/>
    <x v="13"/>
    <s v="PL_A1"/>
    <x v="11"/>
    <x v="3"/>
    <s v="GBPR-CO-09"/>
    <x v="9"/>
    <x v="2"/>
    <n v="2685.24552449774"/>
    <n v="163352.436073613"/>
    <n v="588068.76986500504"/>
  </r>
  <r>
    <x v="0"/>
    <x v="0"/>
    <x v="0"/>
    <x v="8"/>
    <x v="13"/>
    <s v="PL_A1"/>
    <x v="11"/>
    <x v="3"/>
    <s v="GBPR-CO-09"/>
    <x v="9"/>
    <x v="3"/>
    <n v="2680.6797437600299"/>
    <n v="163074.68441206901"/>
    <n v="587068.86388344702"/>
  </r>
  <r>
    <x v="0"/>
    <x v="0"/>
    <x v="0"/>
    <x v="8"/>
    <x v="13"/>
    <s v="PL_A1"/>
    <x v="11"/>
    <x v="3"/>
    <s v="GBPR-CO-09"/>
    <x v="9"/>
    <x v="4"/>
    <n v="2666.9824015469098"/>
    <n v="162241.42942743699"/>
    <n v="584069.14593877201"/>
  </r>
  <r>
    <x v="0"/>
    <x v="0"/>
    <x v="0"/>
    <x v="8"/>
    <x v="13"/>
    <s v="PL_A1"/>
    <x v="11"/>
    <x v="3"/>
    <s v="GBPR-CO-09"/>
    <x v="9"/>
    <x v="5"/>
    <n v="2647.1973516835101"/>
    <n v="161037.83889407999"/>
    <n v="579736.22001868801"/>
  </r>
  <r>
    <x v="0"/>
    <x v="0"/>
    <x v="0"/>
    <x v="8"/>
    <x v="13"/>
    <s v="PL_A1"/>
    <x v="11"/>
    <x v="3"/>
    <s v="GBPR-CO-09"/>
    <x v="9"/>
    <x v="6"/>
    <n v="2616.75881343213"/>
    <n v="159186.16115045399"/>
    <n v="573070.18014163605"/>
  </r>
  <r>
    <x v="0"/>
    <x v="0"/>
    <x v="0"/>
    <x v="8"/>
    <x v="13"/>
    <s v="PL_A1"/>
    <x v="11"/>
    <x v="3"/>
    <s v="GBPR-CO-09"/>
    <x v="9"/>
    <x v="7"/>
    <n v="2580.2325675304601"/>
    <n v="156964.14785810301"/>
    <n v="565070.93228917196"/>
  </r>
  <r>
    <x v="0"/>
    <x v="0"/>
    <x v="0"/>
    <x v="8"/>
    <x v="13"/>
    <s v="PL_A1"/>
    <x v="11"/>
    <x v="3"/>
    <s v="GBPR-CO-09"/>
    <x v="9"/>
    <x v="8"/>
    <n v="2552.8378831042201"/>
    <n v="155297.63788883999"/>
    <n v="559071.49639982404"/>
  </r>
  <r>
    <x v="0"/>
    <x v="0"/>
    <x v="0"/>
    <x v="8"/>
    <x v="13"/>
    <s v="PL_A1"/>
    <x v="11"/>
    <x v="3"/>
    <s v="GBPR-CO-09"/>
    <x v="9"/>
    <x v="9"/>
    <n v="2533.0528332408198"/>
    <n v="154094.047355483"/>
    <n v="554738.57047974004"/>
  </r>
  <r>
    <x v="0"/>
    <x v="0"/>
    <x v="0"/>
    <x v="8"/>
    <x v="13"/>
    <s v="PL_A1"/>
    <x v="11"/>
    <x v="3"/>
    <s v="GBPR-CO-09"/>
    <x v="9"/>
    <x v="10"/>
    <n v="2526.9651255905401"/>
    <n v="153723.71180675799"/>
    <n v="553405.36250432895"/>
  </r>
  <r>
    <x v="0"/>
    <x v="0"/>
    <x v="0"/>
    <x v="8"/>
    <x v="13"/>
    <s v="PL_A1"/>
    <x v="11"/>
    <x v="3"/>
    <s v="GBPR-CO-09"/>
    <x v="9"/>
    <x v="11"/>
    <n v="2545.2282485413798"/>
    <n v="154834.718452934"/>
    <n v="557404.98643056105"/>
  </r>
  <r>
    <x v="0"/>
    <x v="0"/>
    <x v="0"/>
    <x v="8"/>
    <x v="13"/>
    <s v="PL_A1"/>
    <x v="11"/>
    <x v="3"/>
    <s v="GBPR-CO-09"/>
    <x v="10"/>
    <x v="0"/>
    <n v="2319.9830654811299"/>
    <n v="141132.303150102"/>
    <n v="508076.29134036798"/>
  </r>
  <r>
    <x v="0"/>
    <x v="0"/>
    <x v="0"/>
    <x v="8"/>
    <x v="13"/>
    <s v="PL_A1"/>
    <x v="11"/>
    <x v="3"/>
    <s v="GBPR-CO-09"/>
    <x v="10"/>
    <x v="1"/>
    <n v="2318.4611385685598"/>
    <n v="141039.71926292099"/>
    <n v="507742.98934651498"/>
  </r>
  <r>
    <x v="0"/>
    <x v="0"/>
    <x v="0"/>
    <x v="8"/>
    <x v="13"/>
    <s v="PL_A1"/>
    <x v="11"/>
    <x v="3"/>
    <s v="GBPR-CO-09"/>
    <x v="10"/>
    <x v="2"/>
    <n v="2307.8076501805799"/>
    <n v="140391.63205265201"/>
    <n v="505409.87538954703"/>
  </r>
  <r>
    <x v="0"/>
    <x v="0"/>
    <x v="0"/>
    <x v="8"/>
    <x v="13"/>
    <s v="PL_A1"/>
    <x v="11"/>
    <x v="3"/>
    <s v="GBPR-CO-09"/>
    <x v="10"/>
    <x v="3"/>
    <n v="2297.1541617926"/>
    <n v="139743.54484238301"/>
    <n v="503076.76143257902"/>
  </r>
  <r>
    <x v="0"/>
    <x v="0"/>
    <x v="0"/>
    <x v="8"/>
    <x v="13"/>
    <s v="PL_A1"/>
    <x v="11"/>
    <x v="3"/>
    <s v="GBPR-CO-09"/>
    <x v="10"/>
    <x v="4"/>
    <n v="2278.8910388417598"/>
    <n v="138632.538196207"/>
    <n v="499077.13750634599"/>
  </r>
  <r>
    <x v="0"/>
    <x v="0"/>
    <x v="0"/>
    <x v="8"/>
    <x v="13"/>
    <s v="PL_A1"/>
    <x v="11"/>
    <x v="3"/>
    <s v="GBPR-CO-09"/>
    <x v="10"/>
    <x v="5"/>
    <n v="2251.4963544155198"/>
    <n v="136966.02822694401"/>
    <n v="493077.70161699899"/>
  </r>
  <r>
    <x v="0"/>
    <x v="0"/>
    <x v="0"/>
    <x v="8"/>
    <x v="13"/>
    <s v="PL_A1"/>
    <x v="11"/>
    <x v="3"/>
    <s v="GBPR-CO-09"/>
    <x v="10"/>
    <x v="6"/>
    <n v="2219.5358892515701"/>
    <n v="135021.76659613699"/>
    <n v="486078.35974609299"/>
  </r>
  <r>
    <x v="0"/>
    <x v="0"/>
    <x v="0"/>
    <x v="8"/>
    <x v="13"/>
    <s v="PL_A1"/>
    <x v="11"/>
    <x v="3"/>
    <s v="GBPR-CO-09"/>
    <x v="10"/>
    <x v="7"/>
    <n v="2189.09735100019"/>
    <n v="133170.08885251099"/>
    <n v="479412.31986904098"/>
  </r>
  <r>
    <x v="0"/>
    <x v="0"/>
    <x v="0"/>
    <x v="8"/>
    <x v="13"/>
    <s v="PL_A1"/>
    <x v="11"/>
    <x v="3"/>
    <s v="GBPR-CO-09"/>
    <x v="10"/>
    <x v="8"/>
    <n v="2157.1368858362298"/>
    <n v="131225.82722170401"/>
    <n v="472412.97799813497"/>
  </r>
  <r>
    <x v="0"/>
    <x v="0"/>
    <x v="0"/>
    <x v="8"/>
    <x v="13"/>
    <s v="PL_A1"/>
    <x v="11"/>
    <x v="3"/>
    <s v="GBPR-CO-09"/>
    <x v="10"/>
    <x v="9"/>
    <n v="2126.6983475848401"/>
    <n v="129374.149478078"/>
    <n v="465746.93812108098"/>
  </r>
  <r>
    <x v="0"/>
    <x v="0"/>
    <x v="0"/>
    <x v="8"/>
    <x v="13"/>
    <s v="PL_A1"/>
    <x v="11"/>
    <x v="3"/>
    <s v="GBPR-CO-09"/>
    <x v="10"/>
    <x v="10"/>
    <n v="2111.4790784591601"/>
    <n v="128448.310606265"/>
    <n v="462413.918182555"/>
  </r>
  <r>
    <x v="0"/>
    <x v="0"/>
    <x v="0"/>
    <x v="8"/>
    <x v="13"/>
    <s v="PL_A1"/>
    <x v="11"/>
    <x v="3"/>
    <s v="GBPR-CO-09"/>
    <x v="10"/>
    <x v="11"/>
    <n v="2122.13256684714"/>
    <n v="129096.39781653399"/>
    <n v="464747.03213952301"/>
  </r>
  <r>
    <x v="0"/>
    <x v="0"/>
    <x v="0"/>
    <x v="8"/>
    <x v="13"/>
    <s v="PL_A1"/>
    <x v="11"/>
    <x v="3"/>
    <s v="GBPR-CO-09"/>
    <x v="11"/>
    <x v="0"/>
    <n v="2284.97874649205"/>
    <n v="139002.87374493299"/>
    <n v="500410.34548175801"/>
  </r>
  <r>
    <x v="0"/>
    <x v="0"/>
    <x v="0"/>
    <x v="8"/>
    <x v="13"/>
    <s v="PL_A1"/>
    <x v="11"/>
    <x v="3"/>
    <s v="GBPR-CO-09"/>
    <x v="11"/>
    <x v="1"/>
    <n v="2313.8953578308501"/>
    <n v="140761.96760137699"/>
    <n v="506743.08336495701"/>
  </r>
  <r>
    <x v="0"/>
    <x v="0"/>
    <x v="0"/>
    <x v="8"/>
    <x v="13"/>
    <s v="PL_A1"/>
    <x v="11"/>
    <x v="3"/>
    <s v="GBPR-CO-09"/>
    <x v="11"/>
    <x v="2"/>
    <n v="2333.6804076942599"/>
    <n v="141965.55813473399"/>
    <n v="511076.00928504299"/>
  </r>
  <r>
    <x v="0"/>
    <x v="0"/>
    <x v="0"/>
    <x v="8"/>
    <x v="13"/>
    <s v="PL_A1"/>
    <x v="11"/>
    <x v="3"/>
    <s v="GBPR-CO-09"/>
    <x v="11"/>
    <x v="3"/>
    <n v="2339.7681153445301"/>
    <n v="142335.893683459"/>
    <n v="512409.21726045298"/>
  </r>
  <r>
    <x v="0"/>
    <x v="0"/>
    <x v="0"/>
    <x v="8"/>
    <x v="13"/>
    <s v="PL_A1"/>
    <x v="11"/>
    <x v="3"/>
    <s v="GBPR-CO-09"/>
    <x v="11"/>
    <x v="4"/>
    <n v="2330.6365538691198"/>
    <n v="141780.39036037101"/>
    <n v="510409.40529733599"/>
  </r>
  <r>
    <x v="0"/>
    <x v="0"/>
    <x v="0"/>
    <x v="8"/>
    <x v="13"/>
    <s v="PL_A1"/>
    <x v="11"/>
    <x v="3"/>
    <s v="GBPR-CO-09"/>
    <x v="11"/>
    <x v="5"/>
    <n v="2304.7637963554398"/>
    <n v="140206.464278289"/>
    <n v="504743.27140184201"/>
  </r>
  <r>
    <x v="0"/>
    <x v="0"/>
    <x v="0"/>
    <x v="8"/>
    <x v="13"/>
    <s v="PL_A1"/>
    <x v="11"/>
    <x v="3"/>
    <s v="GBPR-CO-09"/>
    <x v="11"/>
    <x v="6"/>
    <n v="2256.06213515323"/>
    <n v="137243.779888488"/>
    <n v="494077.60759855702"/>
  </r>
  <r>
    <x v="0"/>
    <x v="0"/>
    <x v="0"/>
    <x v="8"/>
    <x v="13"/>
    <s v="PL_A1"/>
    <x v="11"/>
    <x v="3"/>
    <s v="GBPR-CO-09"/>
    <x v="11"/>
    <x v="7"/>
    <n v="2193.6631317378901"/>
    <n v="133447.84051405499"/>
    <n v="480412.22585059702"/>
  </r>
  <r>
    <x v="0"/>
    <x v="0"/>
    <x v="0"/>
    <x v="8"/>
    <x v="13"/>
    <s v="PL_A1"/>
    <x v="11"/>
    <x v="3"/>
    <s v="GBPR-CO-09"/>
    <x v="11"/>
    <x v="8"/>
    <n v="2135.82990906026"/>
    <n v="129929.652801166"/>
    <n v="467746.75008419802"/>
  </r>
  <r>
    <x v="0"/>
    <x v="0"/>
    <x v="0"/>
    <x v="8"/>
    <x v="13"/>
    <s v="PL_A1"/>
    <x v="11"/>
    <x v="3"/>
    <s v="GBPR-CO-09"/>
    <x v="11"/>
    <x v="9"/>
    <n v="2079.5186132951999"/>
    <n v="126504.048975458"/>
    <n v="455414.576311649"/>
  </r>
  <r>
    <x v="0"/>
    <x v="0"/>
    <x v="0"/>
    <x v="8"/>
    <x v="13"/>
    <s v="PL_A1"/>
    <x v="11"/>
    <x v="3"/>
    <s v="GBPR-CO-09"/>
    <x v="11"/>
    <x v="10"/>
    <n v="2029.29502518041"/>
    <n v="123448.78069847501"/>
    <n v="444415.61051451101"/>
  </r>
  <r>
    <x v="0"/>
    <x v="0"/>
    <x v="0"/>
    <x v="8"/>
    <x v="13"/>
    <s v="PL_A1"/>
    <x v="11"/>
    <x v="3"/>
    <s v="GBPR-CO-09"/>
    <x v="11"/>
    <x v="11"/>
    <n v="1991.2468523661901"/>
    <n v="121134.183518943"/>
    <n v="436083.06066819502"/>
  </r>
  <r>
    <x v="0"/>
    <x v="0"/>
    <x v="0"/>
    <x v="8"/>
    <x v="13"/>
    <s v="PL_A1"/>
    <x v="11"/>
    <x v="4"/>
    <s v="GEXT-CO-025"/>
    <x v="5"/>
    <x v="0"/>
    <n v="747.14458453691896"/>
    <n v="45451.295559329301"/>
    <n v="163624.66401358499"/>
  </r>
  <r>
    <x v="0"/>
    <x v="0"/>
    <x v="0"/>
    <x v="8"/>
    <x v="13"/>
    <s v="PL_A1"/>
    <x v="11"/>
    <x v="4"/>
    <s v="GEXT-CO-025"/>
    <x v="5"/>
    <x v="1"/>
    <n v="747.14458453691896"/>
    <n v="45451.295559329301"/>
    <n v="163624.66401358499"/>
  </r>
  <r>
    <x v="0"/>
    <x v="0"/>
    <x v="0"/>
    <x v="8"/>
    <x v="13"/>
    <s v="PL_A1"/>
    <x v="11"/>
    <x v="4"/>
    <s v="GEXT-CO-025"/>
    <x v="5"/>
    <x v="2"/>
    <n v="742.39157527525799"/>
    <n v="45162.154162578197"/>
    <n v="162583.75498528199"/>
  </r>
  <r>
    <x v="0"/>
    <x v="0"/>
    <x v="0"/>
    <x v="8"/>
    <x v="13"/>
    <s v="PL_A1"/>
    <x v="11"/>
    <x v="4"/>
    <s v="GEXT-CO-025"/>
    <x v="5"/>
    <x v="3"/>
    <n v="700.80274423568198"/>
    <n v="42632.166941003998"/>
    <n v="153475.800987614"/>
  </r>
  <r>
    <x v="0"/>
    <x v="0"/>
    <x v="0"/>
    <x v="8"/>
    <x v="13"/>
    <s v="PL_A1"/>
    <x v="11"/>
    <x v="4"/>
    <s v="GEXT-CO-025"/>
    <x v="5"/>
    <x v="4"/>
    <n v="642.57838078028203"/>
    <n v="39090.184830800499"/>
    <n v="140724.665390882"/>
  </r>
  <r>
    <x v="0"/>
    <x v="0"/>
    <x v="0"/>
    <x v="8"/>
    <x v="13"/>
    <s v="PL_A1"/>
    <x v="11"/>
    <x v="4"/>
    <s v="GEXT-CO-025"/>
    <x v="5"/>
    <x v="5"/>
    <n v="546.32994323155003"/>
    <n v="33235.071546585903"/>
    <n v="119646.25756770901"/>
  </r>
  <r>
    <x v="0"/>
    <x v="0"/>
    <x v="0"/>
    <x v="8"/>
    <x v="13"/>
    <s v="PL_A1"/>
    <x v="11"/>
    <x v="4"/>
    <s v="GEXT-CO-025"/>
    <x v="5"/>
    <x v="6"/>
    <n v="445.32849642116298"/>
    <n v="27090.816865620702"/>
    <n v="97526.940716234603"/>
  </r>
  <r>
    <x v="0"/>
    <x v="0"/>
    <x v="0"/>
    <x v="8"/>
    <x v="13"/>
    <s v="PL_A1"/>
    <x v="11"/>
    <x v="4"/>
    <s v="GEXT-CO-025"/>
    <x v="5"/>
    <x v="7"/>
    <n v="330.06802182577502"/>
    <n v="20079.137994401299"/>
    <n v="72284.896779844697"/>
  </r>
  <r>
    <x v="0"/>
    <x v="0"/>
    <x v="0"/>
    <x v="8"/>
    <x v="13"/>
    <s v="PL_A1"/>
    <x v="11"/>
    <x v="4"/>
    <s v="GEXT-CO-025"/>
    <x v="5"/>
    <x v="8"/>
    <n v="220.74880880746801"/>
    <n v="13428.885869121001"/>
    <n v="48343.989128835601"/>
  </r>
  <r>
    <x v="0"/>
    <x v="0"/>
    <x v="0"/>
    <x v="8"/>
    <x v="13"/>
    <s v="PL_A1"/>
    <x v="11"/>
    <x v="4"/>
    <s v="GEXT-CO-025"/>
    <x v="5"/>
    <x v="9"/>
    <n v="128.065128204985"/>
    <n v="7790.6286324699304"/>
    <n v="28046.263076891799"/>
  </r>
  <r>
    <x v="0"/>
    <x v="0"/>
    <x v="0"/>
    <x v="8"/>
    <x v="13"/>
    <s v="PL_A1"/>
    <x v="11"/>
    <x v="4"/>
    <s v="GEXT-CO-025"/>
    <x v="5"/>
    <x v="10"/>
    <n v="68.652512434166397"/>
    <n v="4176.3611730784596"/>
    <n v="15034.900223082401"/>
  </r>
  <r>
    <x v="0"/>
    <x v="0"/>
    <x v="0"/>
    <x v="8"/>
    <x v="13"/>
    <s v="PL_A1"/>
    <x v="11"/>
    <x v="4"/>
    <s v="GEXT-CO-025"/>
    <x v="5"/>
    <x v="11"/>
    <n v="28.251933710010199"/>
    <n v="1718.6593006922899"/>
    <n v="6187.1734824922396"/>
  </r>
  <r>
    <x v="0"/>
    <x v="0"/>
    <x v="0"/>
    <x v="8"/>
    <x v="13"/>
    <s v="PL_A1"/>
    <x v="11"/>
    <x v="4"/>
    <s v="GEXT-CO-04"/>
    <x v="0"/>
    <x v="0"/>
    <n v="401.72987927565401"/>
    <n v="24438.5676559356"/>
    <n v="87978.843561368194"/>
  </r>
  <r>
    <x v="0"/>
    <x v="0"/>
    <x v="0"/>
    <x v="8"/>
    <x v="13"/>
    <s v="PL_A1"/>
    <x v="11"/>
    <x v="4"/>
    <s v="GEXT-CO-04"/>
    <x v="0"/>
    <x v="1"/>
    <n v="401.72987927565401"/>
    <n v="24438.5676559356"/>
    <n v="87978.843561368194"/>
  </r>
  <r>
    <x v="0"/>
    <x v="0"/>
    <x v="0"/>
    <x v="8"/>
    <x v="13"/>
    <s v="PL_A1"/>
    <x v="11"/>
    <x v="4"/>
    <s v="GEXT-CO-04"/>
    <x v="0"/>
    <x v="2"/>
    <n v="401.72987927565401"/>
    <n v="24438.5676559356"/>
    <n v="87978.843561368194"/>
  </r>
  <r>
    <x v="0"/>
    <x v="0"/>
    <x v="0"/>
    <x v="8"/>
    <x v="13"/>
    <s v="PL_A1"/>
    <x v="11"/>
    <x v="4"/>
    <s v="GEXT-CO-04"/>
    <x v="0"/>
    <x v="3"/>
    <n v="401.72987927565401"/>
    <n v="24438.5676559356"/>
    <n v="87978.843561368194"/>
  </r>
  <r>
    <x v="0"/>
    <x v="0"/>
    <x v="0"/>
    <x v="8"/>
    <x v="13"/>
    <s v="PL_A1"/>
    <x v="11"/>
    <x v="4"/>
    <s v="GEXT-CO-04"/>
    <x v="0"/>
    <x v="4"/>
    <n v="401.72987927565401"/>
    <n v="24438.5676559356"/>
    <n v="87978.843561368194"/>
  </r>
  <r>
    <x v="0"/>
    <x v="0"/>
    <x v="0"/>
    <x v="8"/>
    <x v="13"/>
    <s v="PL_A1"/>
    <x v="11"/>
    <x v="4"/>
    <s v="GEXT-CO-04"/>
    <x v="0"/>
    <x v="5"/>
    <n v="401.72987927565401"/>
    <n v="24438.5676559356"/>
    <n v="87978.843561368194"/>
  </r>
  <r>
    <x v="0"/>
    <x v="0"/>
    <x v="0"/>
    <x v="8"/>
    <x v="13"/>
    <s v="PL_A1"/>
    <x v="11"/>
    <x v="4"/>
    <s v="GEXT-CO-04"/>
    <x v="0"/>
    <x v="6"/>
    <n v="401.72987927565401"/>
    <n v="24438.5676559356"/>
    <n v="87978.843561368194"/>
  </r>
  <r>
    <x v="0"/>
    <x v="0"/>
    <x v="0"/>
    <x v="8"/>
    <x v="13"/>
    <s v="PL_A1"/>
    <x v="11"/>
    <x v="4"/>
    <s v="GEXT-CO-04"/>
    <x v="0"/>
    <x v="7"/>
    <n v="401.72987927565401"/>
    <n v="24438.5676559356"/>
    <n v="87978.843561368194"/>
  </r>
  <r>
    <x v="0"/>
    <x v="0"/>
    <x v="0"/>
    <x v="8"/>
    <x v="13"/>
    <s v="PL_A1"/>
    <x v="11"/>
    <x v="4"/>
    <s v="GEXT-CO-04"/>
    <x v="0"/>
    <x v="8"/>
    <n v="401.72987927565401"/>
    <n v="24438.5676559356"/>
    <n v="87978.843561368194"/>
  </r>
  <r>
    <x v="0"/>
    <x v="0"/>
    <x v="0"/>
    <x v="8"/>
    <x v="13"/>
    <s v="PL_A1"/>
    <x v="11"/>
    <x v="4"/>
    <s v="GEXT-CO-04"/>
    <x v="0"/>
    <x v="9"/>
    <n v="401.72987927565401"/>
    <n v="24438.5676559356"/>
    <n v="87978.843561368194"/>
  </r>
  <r>
    <x v="0"/>
    <x v="0"/>
    <x v="0"/>
    <x v="8"/>
    <x v="13"/>
    <s v="PL_A1"/>
    <x v="11"/>
    <x v="4"/>
    <s v="GEXT-CO-04"/>
    <x v="0"/>
    <x v="10"/>
    <n v="401.72987927565401"/>
    <n v="24438.5676559356"/>
    <n v="87978.843561368194"/>
  </r>
  <r>
    <x v="0"/>
    <x v="0"/>
    <x v="0"/>
    <x v="8"/>
    <x v="13"/>
    <s v="PL_A1"/>
    <x v="11"/>
    <x v="4"/>
    <s v="GEXT-CO-04"/>
    <x v="0"/>
    <x v="11"/>
    <n v="401.72987927565401"/>
    <n v="24438.5676559356"/>
    <n v="87978.843561368194"/>
  </r>
  <r>
    <x v="0"/>
    <x v="0"/>
    <x v="0"/>
    <x v="8"/>
    <x v="13"/>
    <s v="PL_A1"/>
    <x v="11"/>
    <x v="4"/>
    <s v="GEXT-CO-04"/>
    <x v="1"/>
    <x v="0"/>
    <n v="401.72987927565401"/>
    <n v="24438.5676559356"/>
    <n v="87978.843561368194"/>
  </r>
  <r>
    <x v="0"/>
    <x v="0"/>
    <x v="0"/>
    <x v="8"/>
    <x v="13"/>
    <s v="PL_A1"/>
    <x v="11"/>
    <x v="4"/>
    <s v="GEXT-CO-04"/>
    <x v="1"/>
    <x v="1"/>
    <n v="401.72987927565401"/>
    <n v="24438.5676559356"/>
    <n v="87978.843561368194"/>
  </r>
  <r>
    <x v="0"/>
    <x v="0"/>
    <x v="0"/>
    <x v="8"/>
    <x v="13"/>
    <s v="PL_A1"/>
    <x v="11"/>
    <x v="4"/>
    <s v="GEXT-CO-04"/>
    <x v="1"/>
    <x v="2"/>
    <n v="401.72987927565401"/>
    <n v="24438.5676559356"/>
    <n v="87978.843561368194"/>
  </r>
  <r>
    <x v="0"/>
    <x v="0"/>
    <x v="0"/>
    <x v="8"/>
    <x v="13"/>
    <s v="PL_A1"/>
    <x v="11"/>
    <x v="4"/>
    <s v="GEXT-CO-04"/>
    <x v="1"/>
    <x v="3"/>
    <n v="401.72987927565401"/>
    <n v="24438.5676559356"/>
    <n v="87978.843561368194"/>
  </r>
  <r>
    <x v="0"/>
    <x v="0"/>
    <x v="0"/>
    <x v="8"/>
    <x v="13"/>
    <s v="PL_A1"/>
    <x v="11"/>
    <x v="4"/>
    <s v="GEXT-CO-04"/>
    <x v="1"/>
    <x v="4"/>
    <n v="401.72987927565401"/>
    <n v="24438.5676559356"/>
    <n v="87978.843561368194"/>
  </r>
  <r>
    <x v="0"/>
    <x v="0"/>
    <x v="0"/>
    <x v="8"/>
    <x v="13"/>
    <s v="PL_A1"/>
    <x v="11"/>
    <x v="4"/>
    <s v="GEXT-CO-04"/>
    <x v="1"/>
    <x v="5"/>
    <n v="401.72987927565401"/>
    <n v="24438.5676559356"/>
    <n v="87978.843561368194"/>
  </r>
  <r>
    <x v="0"/>
    <x v="0"/>
    <x v="0"/>
    <x v="8"/>
    <x v="13"/>
    <s v="PL_A1"/>
    <x v="11"/>
    <x v="4"/>
    <s v="GEXT-CO-04"/>
    <x v="1"/>
    <x v="6"/>
    <n v="401.72987927565401"/>
    <n v="24438.5676559356"/>
    <n v="87978.843561368194"/>
  </r>
  <r>
    <x v="0"/>
    <x v="0"/>
    <x v="0"/>
    <x v="8"/>
    <x v="13"/>
    <s v="PL_A1"/>
    <x v="11"/>
    <x v="4"/>
    <s v="GEXT-CO-04"/>
    <x v="1"/>
    <x v="7"/>
    <n v="401.72987927565401"/>
    <n v="24438.5676559356"/>
    <n v="87978.843561368194"/>
  </r>
  <r>
    <x v="0"/>
    <x v="0"/>
    <x v="0"/>
    <x v="8"/>
    <x v="13"/>
    <s v="PL_A1"/>
    <x v="11"/>
    <x v="4"/>
    <s v="GEXT-CO-04"/>
    <x v="1"/>
    <x v="8"/>
    <n v="401.72987927565401"/>
    <n v="24438.5676559356"/>
    <n v="87978.843561368194"/>
  </r>
  <r>
    <x v="0"/>
    <x v="0"/>
    <x v="0"/>
    <x v="8"/>
    <x v="13"/>
    <s v="PL_A1"/>
    <x v="11"/>
    <x v="4"/>
    <s v="GEXT-CO-04"/>
    <x v="1"/>
    <x v="9"/>
    <n v="401.72987927565401"/>
    <n v="24438.5676559356"/>
    <n v="87978.843561368194"/>
  </r>
  <r>
    <x v="0"/>
    <x v="0"/>
    <x v="0"/>
    <x v="8"/>
    <x v="13"/>
    <s v="PL_A1"/>
    <x v="11"/>
    <x v="4"/>
    <s v="GEXT-CO-04"/>
    <x v="1"/>
    <x v="10"/>
    <n v="401.72987927565401"/>
    <n v="24438.5676559356"/>
    <n v="87978.843561368194"/>
  </r>
  <r>
    <x v="0"/>
    <x v="0"/>
    <x v="0"/>
    <x v="8"/>
    <x v="13"/>
    <s v="PL_A1"/>
    <x v="11"/>
    <x v="4"/>
    <s v="GEXT-CO-04"/>
    <x v="1"/>
    <x v="11"/>
    <n v="401.72987927565401"/>
    <n v="24438.5676559356"/>
    <n v="87978.843561368194"/>
  </r>
  <r>
    <x v="0"/>
    <x v="0"/>
    <x v="0"/>
    <x v="8"/>
    <x v="13"/>
    <s v="PL_A1"/>
    <x v="11"/>
    <x v="4"/>
    <s v="GEXT-CO-04"/>
    <x v="2"/>
    <x v="0"/>
    <n v="401.72987927565401"/>
    <n v="24438.5676559356"/>
    <n v="87978.843561368194"/>
  </r>
  <r>
    <x v="0"/>
    <x v="0"/>
    <x v="0"/>
    <x v="8"/>
    <x v="13"/>
    <s v="PL_A1"/>
    <x v="11"/>
    <x v="4"/>
    <s v="GEXT-CO-04"/>
    <x v="2"/>
    <x v="1"/>
    <n v="401.72987927565401"/>
    <n v="24438.5676559356"/>
    <n v="87978.843561368194"/>
  </r>
  <r>
    <x v="0"/>
    <x v="0"/>
    <x v="0"/>
    <x v="8"/>
    <x v="13"/>
    <s v="PL_A1"/>
    <x v="11"/>
    <x v="4"/>
    <s v="GEXT-CO-04"/>
    <x v="2"/>
    <x v="2"/>
    <n v="401.72987927565401"/>
    <n v="24438.5676559356"/>
    <n v="87978.843561368194"/>
  </r>
  <r>
    <x v="0"/>
    <x v="0"/>
    <x v="0"/>
    <x v="8"/>
    <x v="13"/>
    <s v="PL_A1"/>
    <x v="11"/>
    <x v="4"/>
    <s v="GEXT-CO-04"/>
    <x v="2"/>
    <x v="3"/>
    <n v="401.72987927565401"/>
    <n v="24438.5676559356"/>
    <n v="87978.843561368194"/>
  </r>
  <r>
    <x v="0"/>
    <x v="0"/>
    <x v="0"/>
    <x v="8"/>
    <x v="13"/>
    <s v="PL_A1"/>
    <x v="11"/>
    <x v="4"/>
    <s v="GEXT-CO-04"/>
    <x v="2"/>
    <x v="4"/>
    <n v="401.72987927565401"/>
    <n v="24438.5676559356"/>
    <n v="87978.843561368194"/>
  </r>
  <r>
    <x v="0"/>
    <x v="0"/>
    <x v="0"/>
    <x v="8"/>
    <x v="13"/>
    <s v="PL_A1"/>
    <x v="11"/>
    <x v="4"/>
    <s v="GEXT-CO-04"/>
    <x v="2"/>
    <x v="5"/>
    <n v="401.72987927565401"/>
    <n v="24438.5676559356"/>
    <n v="87978.843561368194"/>
  </r>
  <r>
    <x v="0"/>
    <x v="0"/>
    <x v="0"/>
    <x v="8"/>
    <x v="13"/>
    <s v="PL_A1"/>
    <x v="11"/>
    <x v="4"/>
    <s v="GEXT-CO-04"/>
    <x v="2"/>
    <x v="6"/>
    <n v="401.72987927565401"/>
    <n v="24438.5676559356"/>
    <n v="87978.843561368194"/>
  </r>
  <r>
    <x v="0"/>
    <x v="0"/>
    <x v="0"/>
    <x v="8"/>
    <x v="13"/>
    <s v="PL_A1"/>
    <x v="11"/>
    <x v="4"/>
    <s v="GEXT-CO-04"/>
    <x v="2"/>
    <x v="7"/>
    <n v="401.72987927565401"/>
    <n v="24438.5676559356"/>
    <n v="87978.843561368194"/>
  </r>
  <r>
    <x v="0"/>
    <x v="0"/>
    <x v="0"/>
    <x v="8"/>
    <x v="13"/>
    <s v="PL_A1"/>
    <x v="11"/>
    <x v="4"/>
    <s v="GEXT-CO-04"/>
    <x v="2"/>
    <x v="8"/>
    <n v="401.72987927565401"/>
    <n v="24438.5676559356"/>
    <n v="87978.843561368194"/>
  </r>
  <r>
    <x v="0"/>
    <x v="0"/>
    <x v="0"/>
    <x v="8"/>
    <x v="13"/>
    <s v="PL_A1"/>
    <x v="11"/>
    <x v="4"/>
    <s v="GEXT-CO-04"/>
    <x v="2"/>
    <x v="9"/>
    <n v="401.72987927565401"/>
    <n v="24438.5676559356"/>
    <n v="87978.843561368194"/>
  </r>
  <r>
    <x v="0"/>
    <x v="0"/>
    <x v="0"/>
    <x v="8"/>
    <x v="13"/>
    <s v="PL_A1"/>
    <x v="11"/>
    <x v="4"/>
    <s v="GEXT-CO-04"/>
    <x v="2"/>
    <x v="10"/>
    <n v="401.72987927565401"/>
    <n v="24438.5676559356"/>
    <n v="87978.843561368194"/>
  </r>
  <r>
    <x v="0"/>
    <x v="0"/>
    <x v="0"/>
    <x v="8"/>
    <x v="13"/>
    <s v="PL_A1"/>
    <x v="11"/>
    <x v="4"/>
    <s v="GEXT-CO-04"/>
    <x v="2"/>
    <x v="11"/>
    <n v="401.72987927565401"/>
    <n v="24438.5676559356"/>
    <n v="87978.843561368194"/>
  </r>
  <r>
    <x v="0"/>
    <x v="0"/>
    <x v="0"/>
    <x v="8"/>
    <x v="13"/>
    <s v="PL_A1"/>
    <x v="11"/>
    <x v="4"/>
    <s v="GEXT-CO-04"/>
    <x v="3"/>
    <x v="0"/>
    <n v="401.72987927565401"/>
    <n v="24438.5676559356"/>
    <n v="87978.843561368194"/>
  </r>
  <r>
    <x v="0"/>
    <x v="0"/>
    <x v="0"/>
    <x v="8"/>
    <x v="13"/>
    <s v="PL_A1"/>
    <x v="11"/>
    <x v="4"/>
    <s v="GEXT-CO-04"/>
    <x v="3"/>
    <x v="1"/>
    <n v="401.72987927565401"/>
    <n v="24438.5676559356"/>
    <n v="87978.843561368194"/>
  </r>
  <r>
    <x v="0"/>
    <x v="0"/>
    <x v="0"/>
    <x v="8"/>
    <x v="13"/>
    <s v="PL_A1"/>
    <x v="11"/>
    <x v="4"/>
    <s v="GEXT-CO-04"/>
    <x v="3"/>
    <x v="2"/>
    <n v="401.72987927565401"/>
    <n v="24438.5676559356"/>
    <n v="87978.843561368194"/>
  </r>
  <r>
    <x v="0"/>
    <x v="0"/>
    <x v="0"/>
    <x v="8"/>
    <x v="13"/>
    <s v="PL_A1"/>
    <x v="11"/>
    <x v="4"/>
    <s v="GEXT-CO-04"/>
    <x v="3"/>
    <x v="3"/>
    <n v="401.72987927565401"/>
    <n v="24438.5676559356"/>
    <n v="87978.843561368194"/>
  </r>
  <r>
    <x v="0"/>
    <x v="0"/>
    <x v="0"/>
    <x v="8"/>
    <x v="13"/>
    <s v="PL_A1"/>
    <x v="11"/>
    <x v="4"/>
    <s v="GEXT-CO-04"/>
    <x v="3"/>
    <x v="4"/>
    <n v="401.72987927565401"/>
    <n v="24438.5676559356"/>
    <n v="87978.843561368194"/>
  </r>
  <r>
    <x v="0"/>
    <x v="0"/>
    <x v="0"/>
    <x v="8"/>
    <x v="13"/>
    <s v="PL_A1"/>
    <x v="11"/>
    <x v="4"/>
    <s v="GEXT-CO-04"/>
    <x v="3"/>
    <x v="5"/>
    <n v="401.72987927565401"/>
    <n v="24438.5676559356"/>
    <n v="87978.843561368194"/>
  </r>
  <r>
    <x v="0"/>
    <x v="0"/>
    <x v="0"/>
    <x v="8"/>
    <x v="13"/>
    <s v="PL_A1"/>
    <x v="11"/>
    <x v="4"/>
    <s v="GEXT-CO-04"/>
    <x v="3"/>
    <x v="6"/>
    <n v="401.72987927565401"/>
    <n v="24438.5676559356"/>
    <n v="87978.843561368194"/>
  </r>
  <r>
    <x v="0"/>
    <x v="0"/>
    <x v="0"/>
    <x v="8"/>
    <x v="13"/>
    <s v="PL_A1"/>
    <x v="11"/>
    <x v="4"/>
    <s v="GEXT-CO-04"/>
    <x v="3"/>
    <x v="7"/>
    <n v="401.72987927565401"/>
    <n v="24438.5676559356"/>
    <n v="87978.843561368194"/>
  </r>
  <r>
    <x v="0"/>
    <x v="0"/>
    <x v="0"/>
    <x v="8"/>
    <x v="13"/>
    <s v="PL_A1"/>
    <x v="11"/>
    <x v="4"/>
    <s v="GEXT-CO-04"/>
    <x v="3"/>
    <x v="8"/>
    <n v="401.72987927565401"/>
    <n v="24438.5676559356"/>
    <n v="87978.843561368194"/>
  </r>
  <r>
    <x v="0"/>
    <x v="0"/>
    <x v="0"/>
    <x v="8"/>
    <x v="13"/>
    <s v="PL_A1"/>
    <x v="11"/>
    <x v="4"/>
    <s v="GEXT-CO-04"/>
    <x v="3"/>
    <x v="9"/>
    <n v="401.72987927565401"/>
    <n v="24438.5676559356"/>
    <n v="87978.843561368194"/>
  </r>
  <r>
    <x v="0"/>
    <x v="0"/>
    <x v="0"/>
    <x v="8"/>
    <x v="13"/>
    <s v="PL_A1"/>
    <x v="11"/>
    <x v="4"/>
    <s v="GEXT-CO-04"/>
    <x v="3"/>
    <x v="10"/>
    <n v="401.72987927565401"/>
    <n v="24438.5676559356"/>
    <n v="87978.843561368194"/>
  </r>
  <r>
    <x v="0"/>
    <x v="0"/>
    <x v="0"/>
    <x v="8"/>
    <x v="13"/>
    <s v="PL_A1"/>
    <x v="11"/>
    <x v="4"/>
    <s v="GEXT-CO-04"/>
    <x v="3"/>
    <x v="11"/>
    <n v="401.72987927565401"/>
    <n v="24438.5676559356"/>
    <n v="87978.843561368194"/>
  </r>
  <r>
    <x v="0"/>
    <x v="0"/>
    <x v="0"/>
    <x v="8"/>
    <x v="13"/>
    <s v="PL_A1"/>
    <x v="11"/>
    <x v="4"/>
    <s v="GEXT-CO-04"/>
    <x v="4"/>
    <x v="0"/>
    <n v="401.72987927565401"/>
    <n v="24438.5676559356"/>
    <n v="87978.843561368194"/>
  </r>
  <r>
    <x v="0"/>
    <x v="0"/>
    <x v="0"/>
    <x v="8"/>
    <x v="13"/>
    <s v="PL_A1"/>
    <x v="11"/>
    <x v="4"/>
    <s v="GEXT-CO-04"/>
    <x v="4"/>
    <x v="1"/>
    <n v="401.72987927565401"/>
    <n v="24438.5676559356"/>
    <n v="87978.843561368194"/>
  </r>
  <r>
    <x v="0"/>
    <x v="0"/>
    <x v="0"/>
    <x v="8"/>
    <x v="13"/>
    <s v="PL_A1"/>
    <x v="11"/>
    <x v="4"/>
    <s v="GEXT-CO-04"/>
    <x v="4"/>
    <x v="2"/>
    <n v="401.72987927565401"/>
    <n v="24438.5676559356"/>
    <n v="87978.843561368194"/>
  </r>
  <r>
    <x v="0"/>
    <x v="0"/>
    <x v="0"/>
    <x v="8"/>
    <x v="13"/>
    <s v="PL_A1"/>
    <x v="11"/>
    <x v="4"/>
    <s v="GEXT-CO-04"/>
    <x v="4"/>
    <x v="3"/>
    <n v="401.72987927565401"/>
    <n v="24438.5676559356"/>
    <n v="87978.843561368194"/>
  </r>
  <r>
    <x v="0"/>
    <x v="0"/>
    <x v="0"/>
    <x v="8"/>
    <x v="13"/>
    <s v="PL_A1"/>
    <x v="11"/>
    <x v="4"/>
    <s v="GEXT-CO-04"/>
    <x v="4"/>
    <x v="4"/>
    <n v="401.72987927565401"/>
    <n v="24438.5676559356"/>
    <n v="87978.843561368194"/>
  </r>
  <r>
    <x v="0"/>
    <x v="0"/>
    <x v="0"/>
    <x v="8"/>
    <x v="13"/>
    <s v="PL_A1"/>
    <x v="11"/>
    <x v="4"/>
    <s v="GEXT-CO-04"/>
    <x v="4"/>
    <x v="5"/>
    <n v="401.72987927565401"/>
    <n v="24438.5676559356"/>
    <n v="87978.843561368194"/>
  </r>
  <r>
    <x v="0"/>
    <x v="0"/>
    <x v="0"/>
    <x v="8"/>
    <x v="13"/>
    <s v="PL_A1"/>
    <x v="11"/>
    <x v="4"/>
    <s v="GEXT-CO-04"/>
    <x v="4"/>
    <x v="6"/>
    <n v="401.72987927565401"/>
    <n v="24438.5676559356"/>
    <n v="87978.843561368194"/>
  </r>
  <r>
    <x v="0"/>
    <x v="0"/>
    <x v="0"/>
    <x v="8"/>
    <x v="13"/>
    <s v="PL_A1"/>
    <x v="11"/>
    <x v="4"/>
    <s v="GEXT-CO-04"/>
    <x v="4"/>
    <x v="7"/>
    <n v="401.72987927565401"/>
    <n v="24438.5676559356"/>
    <n v="87978.843561368194"/>
  </r>
  <r>
    <x v="0"/>
    <x v="0"/>
    <x v="0"/>
    <x v="8"/>
    <x v="13"/>
    <s v="PL_A1"/>
    <x v="11"/>
    <x v="4"/>
    <s v="GEXT-CO-04"/>
    <x v="4"/>
    <x v="8"/>
    <n v="401.72987927565401"/>
    <n v="24438.5676559356"/>
    <n v="87978.843561368194"/>
  </r>
  <r>
    <x v="0"/>
    <x v="0"/>
    <x v="0"/>
    <x v="8"/>
    <x v="13"/>
    <s v="PL_A1"/>
    <x v="11"/>
    <x v="4"/>
    <s v="GEXT-CO-04"/>
    <x v="4"/>
    <x v="9"/>
    <n v="401.72987927565401"/>
    <n v="24438.5676559356"/>
    <n v="87978.843561368194"/>
  </r>
  <r>
    <x v="0"/>
    <x v="0"/>
    <x v="0"/>
    <x v="8"/>
    <x v="13"/>
    <s v="PL_A1"/>
    <x v="11"/>
    <x v="4"/>
    <s v="GEXT-CO-04"/>
    <x v="4"/>
    <x v="10"/>
    <n v="401.72987927565401"/>
    <n v="24438.5676559356"/>
    <n v="87978.843561368194"/>
  </r>
  <r>
    <x v="0"/>
    <x v="0"/>
    <x v="0"/>
    <x v="8"/>
    <x v="13"/>
    <s v="PL_A1"/>
    <x v="11"/>
    <x v="4"/>
    <s v="GEXT-CO-04"/>
    <x v="4"/>
    <x v="11"/>
    <n v="401.72987927565401"/>
    <n v="24438.5676559356"/>
    <n v="87978.843561368194"/>
  </r>
  <r>
    <x v="0"/>
    <x v="0"/>
    <x v="0"/>
    <x v="8"/>
    <x v="13"/>
    <s v="PL_A1"/>
    <x v="11"/>
    <x v="4"/>
    <s v="GEXT-CO-04"/>
    <x v="5"/>
    <x v="0"/>
    <n v="401.72987927565401"/>
    <n v="24438.5676559356"/>
    <n v="87978.843561368194"/>
  </r>
  <r>
    <x v="0"/>
    <x v="0"/>
    <x v="0"/>
    <x v="8"/>
    <x v="13"/>
    <s v="PL_A1"/>
    <x v="11"/>
    <x v="4"/>
    <s v="GEXT-CO-04"/>
    <x v="5"/>
    <x v="1"/>
    <n v="401.72987927565401"/>
    <n v="24438.5676559356"/>
    <n v="87978.843561368194"/>
  </r>
  <r>
    <x v="0"/>
    <x v="0"/>
    <x v="0"/>
    <x v="8"/>
    <x v="13"/>
    <s v="PL_A1"/>
    <x v="11"/>
    <x v="4"/>
    <s v="GEXT-CO-04"/>
    <x v="5"/>
    <x v="2"/>
    <n v="401.72987927565401"/>
    <n v="24438.5676559356"/>
    <n v="87978.843561368194"/>
  </r>
  <r>
    <x v="0"/>
    <x v="0"/>
    <x v="0"/>
    <x v="8"/>
    <x v="13"/>
    <s v="PL_A1"/>
    <x v="11"/>
    <x v="4"/>
    <s v="GEXT-CO-04"/>
    <x v="5"/>
    <x v="3"/>
    <n v="401.72987927565401"/>
    <n v="24438.5676559356"/>
    <n v="87978.843561368194"/>
  </r>
  <r>
    <x v="0"/>
    <x v="0"/>
    <x v="0"/>
    <x v="8"/>
    <x v="13"/>
    <s v="PL_A1"/>
    <x v="11"/>
    <x v="4"/>
    <s v="GEXT-CO-04"/>
    <x v="5"/>
    <x v="4"/>
    <n v="401.72987927565401"/>
    <n v="24438.5676559356"/>
    <n v="87978.843561368194"/>
  </r>
  <r>
    <x v="0"/>
    <x v="0"/>
    <x v="0"/>
    <x v="8"/>
    <x v="13"/>
    <s v="PL_A1"/>
    <x v="11"/>
    <x v="4"/>
    <s v="GEXT-CO-04"/>
    <x v="5"/>
    <x v="5"/>
    <n v="401.72987927565401"/>
    <n v="24438.5676559356"/>
    <n v="87978.843561368194"/>
  </r>
  <r>
    <x v="0"/>
    <x v="0"/>
    <x v="0"/>
    <x v="8"/>
    <x v="13"/>
    <s v="PL_A1"/>
    <x v="11"/>
    <x v="4"/>
    <s v="GEXT-CO-04"/>
    <x v="5"/>
    <x v="6"/>
    <n v="401.72987927565401"/>
    <n v="24438.5676559356"/>
    <n v="87978.843561368194"/>
  </r>
  <r>
    <x v="0"/>
    <x v="0"/>
    <x v="0"/>
    <x v="8"/>
    <x v="13"/>
    <s v="PL_A1"/>
    <x v="11"/>
    <x v="4"/>
    <s v="GEXT-CO-04"/>
    <x v="5"/>
    <x v="7"/>
    <n v="401.72987927565401"/>
    <n v="24438.5676559356"/>
    <n v="87978.843561368194"/>
  </r>
  <r>
    <x v="0"/>
    <x v="0"/>
    <x v="0"/>
    <x v="8"/>
    <x v="13"/>
    <s v="PL_A1"/>
    <x v="11"/>
    <x v="4"/>
    <s v="GEXT-CO-04"/>
    <x v="5"/>
    <x v="8"/>
    <n v="401.72987927565401"/>
    <n v="24438.5676559356"/>
    <n v="87978.843561368194"/>
  </r>
  <r>
    <x v="0"/>
    <x v="0"/>
    <x v="0"/>
    <x v="8"/>
    <x v="13"/>
    <s v="PL_A1"/>
    <x v="11"/>
    <x v="4"/>
    <s v="GEXT-CO-04"/>
    <x v="5"/>
    <x v="9"/>
    <n v="401.72987927565401"/>
    <n v="24438.5676559356"/>
    <n v="87978.843561368194"/>
  </r>
  <r>
    <x v="0"/>
    <x v="0"/>
    <x v="0"/>
    <x v="8"/>
    <x v="13"/>
    <s v="PL_A1"/>
    <x v="11"/>
    <x v="4"/>
    <s v="GEXT-CO-04"/>
    <x v="5"/>
    <x v="10"/>
    <n v="401.72987927565401"/>
    <n v="24438.5676559356"/>
    <n v="87978.843561368194"/>
  </r>
  <r>
    <x v="0"/>
    <x v="0"/>
    <x v="0"/>
    <x v="8"/>
    <x v="13"/>
    <s v="PL_A1"/>
    <x v="11"/>
    <x v="4"/>
    <s v="GEXT-CO-04"/>
    <x v="5"/>
    <x v="11"/>
    <n v="401.72987927565401"/>
    <n v="24438.5676559356"/>
    <n v="87978.843561368194"/>
  </r>
  <r>
    <x v="0"/>
    <x v="0"/>
    <x v="0"/>
    <x v="8"/>
    <x v="13"/>
    <s v="PL_A1"/>
    <x v="11"/>
    <x v="4"/>
    <s v="GEXT-CO-04"/>
    <x v="6"/>
    <x v="0"/>
    <n v="401.72987927565401"/>
    <n v="24438.5676559356"/>
    <n v="87978.843561368194"/>
  </r>
  <r>
    <x v="0"/>
    <x v="0"/>
    <x v="0"/>
    <x v="8"/>
    <x v="13"/>
    <s v="PL_A1"/>
    <x v="11"/>
    <x v="4"/>
    <s v="GEXT-CO-04"/>
    <x v="6"/>
    <x v="1"/>
    <n v="401.72987927565401"/>
    <n v="24438.5676559356"/>
    <n v="87978.843561368194"/>
  </r>
  <r>
    <x v="0"/>
    <x v="0"/>
    <x v="0"/>
    <x v="8"/>
    <x v="13"/>
    <s v="PL_A1"/>
    <x v="11"/>
    <x v="4"/>
    <s v="GEXT-CO-04"/>
    <x v="6"/>
    <x v="2"/>
    <n v="401.72987927565401"/>
    <n v="24438.5676559356"/>
    <n v="87978.843561368194"/>
  </r>
  <r>
    <x v="0"/>
    <x v="0"/>
    <x v="0"/>
    <x v="8"/>
    <x v="13"/>
    <s v="PL_A1"/>
    <x v="11"/>
    <x v="4"/>
    <s v="GEXT-CO-04"/>
    <x v="6"/>
    <x v="3"/>
    <n v="401.72987927565401"/>
    <n v="24438.5676559356"/>
    <n v="87978.843561368194"/>
  </r>
  <r>
    <x v="0"/>
    <x v="0"/>
    <x v="0"/>
    <x v="8"/>
    <x v="13"/>
    <s v="PL_A1"/>
    <x v="11"/>
    <x v="4"/>
    <s v="GEXT-CO-04"/>
    <x v="6"/>
    <x v="4"/>
    <n v="401.72987927565401"/>
    <n v="24438.5676559356"/>
    <n v="87978.843561368194"/>
  </r>
  <r>
    <x v="0"/>
    <x v="0"/>
    <x v="0"/>
    <x v="8"/>
    <x v="13"/>
    <s v="PL_A1"/>
    <x v="11"/>
    <x v="4"/>
    <s v="GEXT-CO-04"/>
    <x v="6"/>
    <x v="5"/>
    <n v="401.72987927565401"/>
    <n v="24438.5676559356"/>
    <n v="87978.843561368194"/>
  </r>
  <r>
    <x v="0"/>
    <x v="0"/>
    <x v="0"/>
    <x v="8"/>
    <x v="13"/>
    <s v="PL_A1"/>
    <x v="11"/>
    <x v="4"/>
    <s v="GEXT-CO-04"/>
    <x v="6"/>
    <x v="6"/>
    <n v="401.72987927565401"/>
    <n v="24438.5676559356"/>
    <n v="87978.843561368194"/>
  </r>
  <r>
    <x v="0"/>
    <x v="0"/>
    <x v="0"/>
    <x v="8"/>
    <x v="13"/>
    <s v="PL_A1"/>
    <x v="11"/>
    <x v="4"/>
    <s v="GEXT-CO-04"/>
    <x v="6"/>
    <x v="7"/>
    <n v="401.72987927565401"/>
    <n v="24438.5676559356"/>
    <n v="87978.843561368194"/>
  </r>
  <r>
    <x v="0"/>
    <x v="0"/>
    <x v="0"/>
    <x v="8"/>
    <x v="13"/>
    <s v="PL_A1"/>
    <x v="11"/>
    <x v="4"/>
    <s v="GEXT-CO-04"/>
    <x v="6"/>
    <x v="8"/>
    <n v="401.72987927565401"/>
    <n v="24438.5676559356"/>
    <n v="87978.843561368194"/>
  </r>
  <r>
    <x v="0"/>
    <x v="0"/>
    <x v="0"/>
    <x v="8"/>
    <x v="13"/>
    <s v="PL_A1"/>
    <x v="11"/>
    <x v="4"/>
    <s v="GEXT-CO-04"/>
    <x v="6"/>
    <x v="9"/>
    <n v="401.72987927565401"/>
    <n v="24438.5676559356"/>
    <n v="87978.843561368194"/>
  </r>
  <r>
    <x v="0"/>
    <x v="0"/>
    <x v="0"/>
    <x v="8"/>
    <x v="13"/>
    <s v="PL_A1"/>
    <x v="11"/>
    <x v="4"/>
    <s v="GEXT-CO-04"/>
    <x v="6"/>
    <x v="10"/>
    <n v="401.72987927565401"/>
    <n v="24438.5676559356"/>
    <n v="87978.843561368194"/>
  </r>
  <r>
    <x v="0"/>
    <x v="0"/>
    <x v="0"/>
    <x v="8"/>
    <x v="13"/>
    <s v="PL_A1"/>
    <x v="11"/>
    <x v="4"/>
    <s v="GEXT-CO-04"/>
    <x v="6"/>
    <x v="11"/>
    <n v="401.72987927565401"/>
    <n v="24438.5676559356"/>
    <n v="87978.843561368194"/>
  </r>
  <r>
    <x v="0"/>
    <x v="0"/>
    <x v="0"/>
    <x v="8"/>
    <x v="13"/>
    <s v="PL_A1"/>
    <x v="11"/>
    <x v="4"/>
    <s v="GEXT-CO-04"/>
    <x v="7"/>
    <x v="0"/>
    <n v="401.72987927565401"/>
    <n v="24438.5676559356"/>
    <n v="87978.843561368194"/>
  </r>
  <r>
    <x v="0"/>
    <x v="0"/>
    <x v="0"/>
    <x v="8"/>
    <x v="13"/>
    <s v="PL_A1"/>
    <x v="11"/>
    <x v="4"/>
    <s v="GEXT-CO-04"/>
    <x v="7"/>
    <x v="1"/>
    <n v="401.72987927565401"/>
    <n v="24438.5676559356"/>
    <n v="87978.843561368194"/>
  </r>
  <r>
    <x v="0"/>
    <x v="0"/>
    <x v="0"/>
    <x v="8"/>
    <x v="13"/>
    <s v="PL_A1"/>
    <x v="11"/>
    <x v="4"/>
    <s v="GEXT-CO-04"/>
    <x v="7"/>
    <x v="2"/>
    <n v="401.72987927565401"/>
    <n v="24438.5676559356"/>
    <n v="87978.843561368194"/>
  </r>
  <r>
    <x v="0"/>
    <x v="0"/>
    <x v="0"/>
    <x v="8"/>
    <x v="13"/>
    <s v="PL_A1"/>
    <x v="11"/>
    <x v="4"/>
    <s v="GEXT-CO-04"/>
    <x v="7"/>
    <x v="3"/>
    <n v="401.72987927565401"/>
    <n v="24438.5676559356"/>
    <n v="87978.843561368194"/>
  </r>
  <r>
    <x v="0"/>
    <x v="0"/>
    <x v="0"/>
    <x v="8"/>
    <x v="13"/>
    <s v="PL_A1"/>
    <x v="11"/>
    <x v="4"/>
    <s v="GEXT-CO-04"/>
    <x v="7"/>
    <x v="4"/>
    <n v="401.72987927565401"/>
    <n v="24438.5676559356"/>
    <n v="87978.843561368194"/>
  </r>
  <r>
    <x v="0"/>
    <x v="0"/>
    <x v="0"/>
    <x v="8"/>
    <x v="13"/>
    <s v="PL_A1"/>
    <x v="11"/>
    <x v="4"/>
    <s v="GEXT-CO-04"/>
    <x v="7"/>
    <x v="5"/>
    <n v="401.72987927565401"/>
    <n v="24438.5676559356"/>
    <n v="87978.843561368194"/>
  </r>
  <r>
    <x v="0"/>
    <x v="0"/>
    <x v="0"/>
    <x v="8"/>
    <x v="13"/>
    <s v="PL_A1"/>
    <x v="11"/>
    <x v="4"/>
    <s v="GEXT-CO-04"/>
    <x v="7"/>
    <x v="6"/>
    <n v="401.72987927565401"/>
    <n v="24438.5676559356"/>
    <n v="87978.843561368194"/>
  </r>
  <r>
    <x v="0"/>
    <x v="0"/>
    <x v="0"/>
    <x v="8"/>
    <x v="13"/>
    <s v="PL_A1"/>
    <x v="11"/>
    <x v="4"/>
    <s v="GEXT-CO-04"/>
    <x v="7"/>
    <x v="7"/>
    <n v="401.72987927565401"/>
    <n v="24438.5676559356"/>
    <n v="87978.843561368194"/>
  </r>
  <r>
    <x v="0"/>
    <x v="0"/>
    <x v="0"/>
    <x v="8"/>
    <x v="13"/>
    <s v="PL_A1"/>
    <x v="11"/>
    <x v="4"/>
    <s v="GEXT-CO-04"/>
    <x v="7"/>
    <x v="8"/>
    <n v="401.72987927565401"/>
    <n v="24438.5676559356"/>
    <n v="87978.843561368194"/>
  </r>
  <r>
    <x v="0"/>
    <x v="0"/>
    <x v="0"/>
    <x v="8"/>
    <x v="13"/>
    <s v="PL_A1"/>
    <x v="11"/>
    <x v="4"/>
    <s v="GEXT-CO-04"/>
    <x v="7"/>
    <x v="9"/>
    <n v="401.72987927565401"/>
    <n v="24438.5676559356"/>
    <n v="87978.843561368194"/>
  </r>
  <r>
    <x v="0"/>
    <x v="0"/>
    <x v="0"/>
    <x v="8"/>
    <x v="13"/>
    <s v="PL_A1"/>
    <x v="11"/>
    <x v="4"/>
    <s v="GEXT-CO-04"/>
    <x v="7"/>
    <x v="10"/>
    <n v="401.72987927565401"/>
    <n v="24438.5676559356"/>
    <n v="87978.843561368194"/>
  </r>
  <r>
    <x v="0"/>
    <x v="0"/>
    <x v="0"/>
    <x v="8"/>
    <x v="13"/>
    <s v="PL_A1"/>
    <x v="11"/>
    <x v="4"/>
    <s v="GEXT-CO-04"/>
    <x v="7"/>
    <x v="11"/>
    <n v="401.72987927565401"/>
    <n v="24438.5676559356"/>
    <n v="87978.843561368194"/>
  </r>
  <r>
    <x v="0"/>
    <x v="0"/>
    <x v="0"/>
    <x v="8"/>
    <x v="13"/>
    <s v="PL_A1"/>
    <x v="11"/>
    <x v="4"/>
    <s v="GEXT-CO-04"/>
    <x v="8"/>
    <x v="0"/>
    <n v="401.72987927565401"/>
    <n v="24438.5676559356"/>
    <n v="87978.843561368194"/>
  </r>
  <r>
    <x v="0"/>
    <x v="0"/>
    <x v="0"/>
    <x v="8"/>
    <x v="13"/>
    <s v="PL_A1"/>
    <x v="11"/>
    <x v="4"/>
    <s v="GEXT-CO-04"/>
    <x v="8"/>
    <x v="1"/>
    <n v="401.72987927565401"/>
    <n v="24438.5676559356"/>
    <n v="87978.843561368194"/>
  </r>
  <r>
    <x v="0"/>
    <x v="0"/>
    <x v="0"/>
    <x v="8"/>
    <x v="13"/>
    <s v="PL_A1"/>
    <x v="11"/>
    <x v="4"/>
    <s v="GEXT-CO-04"/>
    <x v="8"/>
    <x v="2"/>
    <n v="401.72987927565401"/>
    <n v="24438.5676559356"/>
    <n v="87978.843561368194"/>
  </r>
  <r>
    <x v="0"/>
    <x v="0"/>
    <x v="0"/>
    <x v="8"/>
    <x v="13"/>
    <s v="PL_A1"/>
    <x v="11"/>
    <x v="4"/>
    <s v="GEXT-CO-04"/>
    <x v="8"/>
    <x v="3"/>
    <n v="401.72987927565401"/>
    <n v="24438.5676559356"/>
    <n v="87978.843561368194"/>
  </r>
  <r>
    <x v="0"/>
    <x v="0"/>
    <x v="0"/>
    <x v="8"/>
    <x v="13"/>
    <s v="PL_A1"/>
    <x v="11"/>
    <x v="4"/>
    <s v="GEXT-CO-04"/>
    <x v="8"/>
    <x v="4"/>
    <n v="401.72987927565401"/>
    <n v="24438.5676559356"/>
    <n v="87978.843561368194"/>
  </r>
  <r>
    <x v="0"/>
    <x v="0"/>
    <x v="0"/>
    <x v="8"/>
    <x v="13"/>
    <s v="PL_A1"/>
    <x v="11"/>
    <x v="4"/>
    <s v="GEXT-CO-04"/>
    <x v="8"/>
    <x v="5"/>
    <n v="401.72987927565401"/>
    <n v="24438.5676559356"/>
    <n v="87978.843561368194"/>
  </r>
  <r>
    <x v="0"/>
    <x v="0"/>
    <x v="0"/>
    <x v="8"/>
    <x v="13"/>
    <s v="PL_A1"/>
    <x v="11"/>
    <x v="4"/>
    <s v="GEXT-CO-04"/>
    <x v="8"/>
    <x v="6"/>
    <n v="401.72987927565401"/>
    <n v="24438.5676559356"/>
    <n v="87978.843561368194"/>
  </r>
  <r>
    <x v="0"/>
    <x v="0"/>
    <x v="0"/>
    <x v="8"/>
    <x v="13"/>
    <s v="PL_A1"/>
    <x v="11"/>
    <x v="4"/>
    <s v="GEXT-CO-04"/>
    <x v="8"/>
    <x v="7"/>
    <n v="401.72987927565401"/>
    <n v="24438.5676559356"/>
    <n v="87978.843561368194"/>
  </r>
  <r>
    <x v="0"/>
    <x v="0"/>
    <x v="0"/>
    <x v="8"/>
    <x v="13"/>
    <s v="PL_A1"/>
    <x v="11"/>
    <x v="4"/>
    <s v="GEXT-CO-04"/>
    <x v="8"/>
    <x v="8"/>
    <n v="401.72987927565401"/>
    <n v="24438.5676559356"/>
    <n v="87978.843561368194"/>
  </r>
  <r>
    <x v="0"/>
    <x v="0"/>
    <x v="0"/>
    <x v="8"/>
    <x v="13"/>
    <s v="PL_A1"/>
    <x v="11"/>
    <x v="4"/>
    <s v="GEXT-CO-04"/>
    <x v="8"/>
    <x v="9"/>
    <n v="401.72987927565401"/>
    <n v="24438.5676559356"/>
    <n v="87978.843561368194"/>
  </r>
  <r>
    <x v="0"/>
    <x v="0"/>
    <x v="0"/>
    <x v="8"/>
    <x v="13"/>
    <s v="PL_A1"/>
    <x v="11"/>
    <x v="4"/>
    <s v="GEXT-CO-04"/>
    <x v="8"/>
    <x v="10"/>
    <n v="401.72987927565401"/>
    <n v="24438.5676559356"/>
    <n v="87978.843561368194"/>
  </r>
  <r>
    <x v="0"/>
    <x v="0"/>
    <x v="0"/>
    <x v="8"/>
    <x v="13"/>
    <s v="PL_A1"/>
    <x v="11"/>
    <x v="4"/>
    <s v="GEXT-CO-04"/>
    <x v="8"/>
    <x v="11"/>
    <n v="401.72987927565401"/>
    <n v="24438.5676559356"/>
    <n v="87978.843561368194"/>
  </r>
  <r>
    <x v="0"/>
    <x v="0"/>
    <x v="0"/>
    <x v="8"/>
    <x v="13"/>
    <s v="PL_A1"/>
    <x v="11"/>
    <x v="4"/>
    <s v="GEXT-CO-04"/>
    <x v="9"/>
    <x v="0"/>
    <n v="401.72987927565401"/>
    <n v="24438.5676559356"/>
    <n v="87978.843561368194"/>
  </r>
  <r>
    <x v="0"/>
    <x v="0"/>
    <x v="0"/>
    <x v="8"/>
    <x v="13"/>
    <s v="PL_A1"/>
    <x v="11"/>
    <x v="4"/>
    <s v="GEXT-CO-04"/>
    <x v="9"/>
    <x v="1"/>
    <n v="401.72987927565401"/>
    <n v="24438.5676559356"/>
    <n v="87978.843561368194"/>
  </r>
  <r>
    <x v="0"/>
    <x v="0"/>
    <x v="0"/>
    <x v="8"/>
    <x v="13"/>
    <s v="PL_A1"/>
    <x v="11"/>
    <x v="4"/>
    <s v="GEXT-CO-04"/>
    <x v="9"/>
    <x v="2"/>
    <n v="401.72987927565401"/>
    <n v="24438.5676559356"/>
    <n v="87978.843561368194"/>
  </r>
  <r>
    <x v="0"/>
    <x v="0"/>
    <x v="0"/>
    <x v="8"/>
    <x v="13"/>
    <s v="PL_A1"/>
    <x v="11"/>
    <x v="4"/>
    <s v="GEXT-CO-04"/>
    <x v="9"/>
    <x v="3"/>
    <n v="401.72987927565401"/>
    <n v="24438.5676559356"/>
    <n v="87978.843561368194"/>
  </r>
  <r>
    <x v="0"/>
    <x v="0"/>
    <x v="0"/>
    <x v="8"/>
    <x v="13"/>
    <s v="PL_A1"/>
    <x v="11"/>
    <x v="4"/>
    <s v="GEXT-CO-04"/>
    <x v="9"/>
    <x v="4"/>
    <n v="401.72987927565401"/>
    <n v="24438.5676559356"/>
    <n v="87978.843561368194"/>
  </r>
  <r>
    <x v="0"/>
    <x v="0"/>
    <x v="0"/>
    <x v="8"/>
    <x v="13"/>
    <s v="PL_A1"/>
    <x v="11"/>
    <x v="4"/>
    <s v="GEXT-CO-04"/>
    <x v="9"/>
    <x v="5"/>
    <n v="401.72987927565401"/>
    <n v="24438.5676559356"/>
    <n v="87978.843561368194"/>
  </r>
  <r>
    <x v="0"/>
    <x v="0"/>
    <x v="0"/>
    <x v="8"/>
    <x v="13"/>
    <s v="PL_A1"/>
    <x v="11"/>
    <x v="4"/>
    <s v="GEXT-CO-04"/>
    <x v="9"/>
    <x v="6"/>
    <n v="401.72987927565401"/>
    <n v="24438.5676559356"/>
    <n v="87978.843561368194"/>
  </r>
  <r>
    <x v="0"/>
    <x v="0"/>
    <x v="0"/>
    <x v="8"/>
    <x v="13"/>
    <s v="PL_A1"/>
    <x v="11"/>
    <x v="4"/>
    <s v="GEXT-CO-04"/>
    <x v="9"/>
    <x v="7"/>
    <n v="401.72987927565401"/>
    <n v="24438.5676559356"/>
    <n v="87978.843561368194"/>
  </r>
  <r>
    <x v="0"/>
    <x v="0"/>
    <x v="0"/>
    <x v="8"/>
    <x v="13"/>
    <s v="PL_A1"/>
    <x v="11"/>
    <x v="4"/>
    <s v="GEXT-CO-04"/>
    <x v="9"/>
    <x v="8"/>
    <n v="401.72987927565401"/>
    <n v="24438.5676559356"/>
    <n v="87978.843561368194"/>
  </r>
  <r>
    <x v="0"/>
    <x v="0"/>
    <x v="0"/>
    <x v="8"/>
    <x v="13"/>
    <s v="PL_A1"/>
    <x v="11"/>
    <x v="4"/>
    <s v="GEXT-CO-04"/>
    <x v="9"/>
    <x v="9"/>
    <n v="401.72987927565401"/>
    <n v="24438.5676559356"/>
    <n v="87978.843561368194"/>
  </r>
  <r>
    <x v="0"/>
    <x v="0"/>
    <x v="0"/>
    <x v="8"/>
    <x v="13"/>
    <s v="PL_A1"/>
    <x v="11"/>
    <x v="4"/>
    <s v="GEXT-CO-04"/>
    <x v="9"/>
    <x v="10"/>
    <n v="401.72987927565401"/>
    <n v="24438.5676559356"/>
    <n v="87978.843561368194"/>
  </r>
  <r>
    <x v="0"/>
    <x v="0"/>
    <x v="0"/>
    <x v="8"/>
    <x v="13"/>
    <s v="PL_A1"/>
    <x v="11"/>
    <x v="4"/>
    <s v="GEXT-CO-04"/>
    <x v="9"/>
    <x v="11"/>
    <n v="401.72987927565401"/>
    <n v="24438.5676559356"/>
    <n v="87978.843561368194"/>
  </r>
  <r>
    <x v="0"/>
    <x v="0"/>
    <x v="0"/>
    <x v="8"/>
    <x v="13"/>
    <s v="PL_A1"/>
    <x v="11"/>
    <x v="4"/>
    <s v="GEXT-CO-04"/>
    <x v="10"/>
    <x v="0"/>
    <n v="401.72987927565401"/>
    <n v="24438.5676559356"/>
    <n v="87978.843561368194"/>
  </r>
  <r>
    <x v="0"/>
    <x v="0"/>
    <x v="0"/>
    <x v="8"/>
    <x v="13"/>
    <s v="PL_A1"/>
    <x v="11"/>
    <x v="4"/>
    <s v="GEXT-CO-04"/>
    <x v="10"/>
    <x v="1"/>
    <n v="401.72987927565401"/>
    <n v="24438.5676559356"/>
    <n v="87978.843561368194"/>
  </r>
  <r>
    <x v="0"/>
    <x v="0"/>
    <x v="0"/>
    <x v="8"/>
    <x v="13"/>
    <s v="PL_A1"/>
    <x v="11"/>
    <x v="4"/>
    <s v="GEXT-CO-04"/>
    <x v="10"/>
    <x v="2"/>
    <n v="401.72987927565401"/>
    <n v="24438.5676559356"/>
    <n v="87978.843561368194"/>
  </r>
  <r>
    <x v="0"/>
    <x v="0"/>
    <x v="0"/>
    <x v="8"/>
    <x v="13"/>
    <s v="PL_A1"/>
    <x v="11"/>
    <x v="4"/>
    <s v="GEXT-CO-04"/>
    <x v="10"/>
    <x v="3"/>
    <n v="401.72987927565401"/>
    <n v="24438.5676559356"/>
    <n v="87978.843561368194"/>
  </r>
  <r>
    <x v="0"/>
    <x v="0"/>
    <x v="0"/>
    <x v="8"/>
    <x v="13"/>
    <s v="PL_A1"/>
    <x v="11"/>
    <x v="4"/>
    <s v="GEXT-CO-04"/>
    <x v="10"/>
    <x v="4"/>
    <n v="401.72987927565401"/>
    <n v="24438.5676559356"/>
    <n v="87978.843561368194"/>
  </r>
  <r>
    <x v="0"/>
    <x v="0"/>
    <x v="0"/>
    <x v="8"/>
    <x v="13"/>
    <s v="PL_A1"/>
    <x v="11"/>
    <x v="4"/>
    <s v="GEXT-CO-04"/>
    <x v="10"/>
    <x v="5"/>
    <n v="401.72987927565401"/>
    <n v="24438.5676559356"/>
    <n v="87978.843561368194"/>
  </r>
  <r>
    <x v="0"/>
    <x v="0"/>
    <x v="0"/>
    <x v="8"/>
    <x v="13"/>
    <s v="PL_A1"/>
    <x v="11"/>
    <x v="4"/>
    <s v="GEXT-CO-04"/>
    <x v="10"/>
    <x v="6"/>
    <n v="401.72987927565401"/>
    <n v="24438.5676559356"/>
    <n v="87978.843561368194"/>
  </r>
  <r>
    <x v="0"/>
    <x v="0"/>
    <x v="0"/>
    <x v="8"/>
    <x v="13"/>
    <s v="PL_A1"/>
    <x v="11"/>
    <x v="4"/>
    <s v="GEXT-CO-04"/>
    <x v="10"/>
    <x v="7"/>
    <n v="401.72987927565401"/>
    <n v="24438.5676559356"/>
    <n v="87978.843561368194"/>
  </r>
  <r>
    <x v="0"/>
    <x v="0"/>
    <x v="0"/>
    <x v="8"/>
    <x v="13"/>
    <s v="PL_A1"/>
    <x v="11"/>
    <x v="4"/>
    <s v="GEXT-CO-04"/>
    <x v="10"/>
    <x v="8"/>
    <n v="401.72987927565401"/>
    <n v="24438.5676559356"/>
    <n v="87978.843561368194"/>
  </r>
  <r>
    <x v="0"/>
    <x v="0"/>
    <x v="0"/>
    <x v="8"/>
    <x v="13"/>
    <s v="PL_A1"/>
    <x v="11"/>
    <x v="4"/>
    <s v="GEXT-CO-04"/>
    <x v="10"/>
    <x v="9"/>
    <n v="401.72987927565401"/>
    <n v="24438.5676559356"/>
    <n v="87978.843561368194"/>
  </r>
  <r>
    <x v="0"/>
    <x v="0"/>
    <x v="0"/>
    <x v="8"/>
    <x v="13"/>
    <s v="PL_A1"/>
    <x v="11"/>
    <x v="4"/>
    <s v="GEXT-CO-04"/>
    <x v="10"/>
    <x v="10"/>
    <n v="401.72987927565401"/>
    <n v="24438.5676559356"/>
    <n v="87978.843561368194"/>
  </r>
  <r>
    <x v="0"/>
    <x v="0"/>
    <x v="0"/>
    <x v="8"/>
    <x v="13"/>
    <s v="PL_A1"/>
    <x v="11"/>
    <x v="4"/>
    <s v="GEXT-CO-04"/>
    <x v="10"/>
    <x v="11"/>
    <n v="401.72987927565401"/>
    <n v="24438.5676559356"/>
    <n v="87978.843561368194"/>
  </r>
  <r>
    <x v="0"/>
    <x v="0"/>
    <x v="0"/>
    <x v="8"/>
    <x v="13"/>
    <s v="PL_A1"/>
    <x v="11"/>
    <x v="4"/>
    <s v="GEXT-CO-04"/>
    <x v="11"/>
    <x v="0"/>
    <n v="401.72987927565401"/>
    <n v="24438.5676559356"/>
    <n v="87978.843561368194"/>
  </r>
  <r>
    <x v="0"/>
    <x v="0"/>
    <x v="0"/>
    <x v="8"/>
    <x v="13"/>
    <s v="PL_A1"/>
    <x v="11"/>
    <x v="4"/>
    <s v="GEXT-CO-04"/>
    <x v="11"/>
    <x v="1"/>
    <n v="401.72987927565401"/>
    <n v="24438.5676559356"/>
    <n v="87978.843561368194"/>
  </r>
  <r>
    <x v="0"/>
    <x v="0"/>
    <x v="0"/>
    <x v="8"/>
    <x v="13"/>
    <s v="PL_A1"/>
    <x v="11"/>
    <x v="4"/>
    <s v="GEXT-CO-04"/>
    <x v="11"/>
    <x v="2"/>
    <n v="401.72987927565401"/>
    <n v="24438.5676559356"/>
    <n v="87978.843561368194"/>
  </r>
  <r>
    <x v="0"/>
    <x v="0"/>
    <x v="0"/>
    <x v="8"/>
    <x v="13"/>
    <s v="PL_A1"/>
    <x v="11"/>
    <x v="4"/>
    <s v="GEXT-CO-04"/>
    <x v="11"/>
    <x v="3"/>
    <n v="401.72987927565401"/>
    <n v="24438.5676559356"/>
    <n v="87978.843561368194"/>
  </r>
  <r>
    <x v="0"/>
    <x v="0"/>
    <x v="0"/>
    <x v="8"/>
    <x v="13"/>
    <s v="PL_A1"/>
    <x v="11"/>
    <x v="4"/>
    <s v="GEXT-CO-04"/>
    <x v="11"/>
    <x v="4"/>
    <n v="401.72987927565401"/>
    <n v="24438.5676559356"/>
    <n v="87978.843561368194"/>
  </r>
  <r>
    <x v="0"/>
    <x v="0"/>
    <x v="0"/>
    <x v="8"/>
    <x v="13"/>
    <s v="PL_A1"/>
    <x v="11"/>
    <x v="4"/>
    <s v="GEXT-CO-04"/>
    <x v="11"/>
    <x v="5"/>
    <n v="401.72987927565401"/>
    <n v="24438.5676559356"/>
    <n v="87978.843561368194"/>
  </r>
  <r>
    <x v="0"/>
    <x v="0"/>
    <x v="0"/>
    <x v="8"/>
    <x v="13"/>
    <s v="PL_A1"/>
    <x v="11"/>
    <x v="4"/>
    <s v="GEXT-CO-04"/>
    <x v="11"/>
    <x v="6"/>
    <n v="401.72987927565401"/>
    <n v="24438.5676559356"/>
    <n v="87978.843561368194"/>
  </r>
  <r>
    <x v="0"/>
    <x v="0"/>
    <x v="0"/>
    <x v="8"/>
    <x v="13"/>
    <s v="PL_A1"/>
    <x v="11"/>
    <x v="4"/>
    <s v="GEXT-CO-04"/>
    <x v="11"/>
    <x v="7"/>
    <n v="401.72987927565401"/>
    <n v="24438.5676559356"/>
    <n v="87978.843561368194"/>
  </r>
  <r>
    <x v="0"/>
    <x v="0"/>
    <x v="0"/>
    <x v="8"/>
    <x v="13"/>
    <s v="PL_A1"/>
    <x v="11"/>
    <x v="4"/>
    <s v="GEXT-CO-04"/>
    <x v="11"/>
    <x v="8"/>
    <n v="401.72987927565401"/>
    <n v="24438.5676559356"/>
    <n v="87978.843561368194"/>
  </r>
  <r>
    <x v="0"/>
    <x v="0"/>
    <x v="0"/>
    <x v="8"/>
    <x v="13"/>
    <s v="PL_A1"/>
    <x v="11"/>
    <x v="4"/>
    <s v="GEXT-CO-04"/>
    <x v="11"/>
    <x v="9"/>
    <n v="401.72987927565401"/>
    <n v="24438.5676559356"/>
    <n v="87978.843561368194"/>
  </r>
  <r>
    <x v="0"/>
    <x v="0"/>
    <x v="0"/>
    <x v="8"/>
    <x v="13"/>
    <s v="PL_A1"/>
    <x v="11"/>
    <x v="4"/>
    <s v="GEXT-CO-04"/>
    <x v="11"/>
    <x v="10"/>
    <n v="401.72987927565401"/>
    <n v="24438.5676559356"/>
    <n v="87978.843561368194"/>
  </r>
  <r>
    <x v="0"/>
    <x v="0"/>
    <x v="0"/>
    <x v="8"/>
    <x v="13"/>
    <s v="PL_A1"/>
    <x v="11"/>
    <x v="4"/>
    <s v="GEXT-CO-04"/>
    <x v="11"/>
    <x v="11"/>
    <n v="401.72987927565401"/>
    <n v="24438.5676559356"/>
    <n v="87978.843561368194"/>
  </r>
  <r>
    <x v="0"/>
    <x v="0"/>
    <x v="0"/>
    <x v="8"/>
    <x v="13"/>
    <s v="PL_A1"/>
    <x v="12"/>
    <x v="3"/>
    <s v="GBRP-LIGNITE-047"/>
    <x v="0"/>
    <x v="0"/>
    <n v="57"/>
    <n v="3467.5"/>
    <n v="12483"/>
  </r>
  <r>
    <x v="0"/>
    <x v="0"/>
    <x v="0"/>
    <x v="8"/>
    <x v="13"/>
    <s v="PL_A1"/>
    <x v="12"/>
    <x v="3"/>
    <s v="GBRP-LIGNITE-047"/>
    <x v="0"/>
    <x v="1"/>
    <n v="57"/>
    <n v="3467.5"/>
    <n v="12483"/>
  </r>
  <r>
    <x v="0"/>
    <x v="0"/>
    <x v="0"/>
    <x v="8"/>
    <x v="13"/>
    <s v="PL_A1"/>
    <x v="12"/>
    <x v="3"/>
    <s v="GBRP-LIGNITE-047"/>
    <x v="0"/>
    <x v="2"/>
    <n v="57"/>
    <n v="3467.5"/>
    <n v="12483"/>
  </r>
  <r>
    <x v="0"/>
    <x v="0"/>
    <x v="0"/>
    <x v="8"/>
    <x v="13"/>
    <s v="PL_A1"/>
    <x v="12"/>
    <x v="3"/>
    <s v="GBRP-LIGNITE-047"/>
    <x v="0"/>
    <x v="3"/>
    <n v="57"/>
    <n v="3467.5"/>
    <n v="12483"/>
  </r>
  <r>
    <x v="0"/>
    <x v="0"/>
    <x v="0"/>
    <x v="8"/>
    <x v="13"/>
    <s v="PL_A1"/>
    <x v="12"/>
    <x v="3"/>
    <s v="GBRP-LIGNITE-047"/>
    <x v="0"/>
    <x v="4"/>
    <n v="57"/>
    <n v="3467.5"/>
    <n v="12483"/>
  </r>
  <r>
    <x v="0"/>
    <x v="0"/>
    <x v="0"/>
    <x v="8"/>
    <x v="13"/>
    <s v="PL_A1"/>
    <x v="12"/>
    <x v="3"/>
    <s v="GBRP-LIGNITE-047"/>
    <x v="0"/>
    <x v="5"/>
    <n v="57"/>
    <n v="3467.5"/>
    <n v="12483"/>
  </r>
  <r>
    <x v="0"/>
    <x v="0"/>
    <x v="0"/>
    <x v="8"/>
    <x v="13"/>
    <s v="PL_A1"/>
    <x v="12"/>
    <x v="3"/>
    <s v="GBRP-LIGNITE-047"/>
    <x v="0"/>
    <x v="6"/>
    <n v="57"/>
    <n v="3467.5"/>
    <n v="12483"/>
  </r>
  <r>
    <x v="0"/>
    <x v="0"/>
    <x v="0"/>
    <x v="8"/>
    <x v="13"/>
    <s v="PL_A1"/>
    <x v="12"/>
    <x v="3"/>
    <s v="GBRP-LIGNITE-047"/>
    <x v="0"/>
    <x v="7"/>
    <n v="57"/>
    <n v="3467.5"/>
    <n v="12483"/>
  </r>
  <r>
    <x v="0"/>
    <x v="0"/>
    <x v="0"/>
    <x v="8"/>
    <x v="13"/>
    <s v="PL_A1"/>
    <x v="12"/>
    <x v="3"/>
    <s v="GBRP-LIGNITE-047"/>
    <x v="0"/>
    <x v="8"/>
    <n v="57"/>
    <n v="3467.5"/>
    <n v="12483"/>
  </r>
  <r>
    <x v="0"/>
    <x v="0"/>
    <x v="0"/>
    <x v="8"/>
    <x v="13"/>
    <s v="PL_A1"/>
    <x v="12"/>
    <x v="3"/>
    <s v="GBRP-LIGNITE-047"/>
    <x v="0"/>
    <x v="9"/>
    <n v="57"/>
    <n v="3467.5"/>
    <n v="12483"/>
  </r>
  <r>
    <x v="0"/>
    <x v="0"/>
    <x v="0"/>
    <x v="8"/>
    <x v="13"/>
    <s v="PL_A1"/>
    <x v="12"/>
    <x v="3"/>
    <s v="GBRP-LIGNITE-047"/>
    <x v="0"/>
    <x v="10"/>
    <n v="57"/>
    <n v="3467.5"/>
    <n v="12483"/>
  </r>
  <r>
    <x v="0"/>
    <x v="0"/>
    <x v="0"/>
    <x v="8"/>
    <x v="13"/>
    <s v="PL_A1"/>
    <x v="12"/>
    <x v="3"/>
    <s v="GBRP-LIGNITE-047"/>
    <x v="0"/>
    <x v="11"/>
    <n v="57"/>
    <n v="3467.5"/>
    <n v="12483"/>
  </r>
  <r>
    <x v="0"/>
    <x v="0"/>
    <x v="0"/>
    <x v="8"/>
    <x v="13"/>
    <s v="PL_A1"/>
    <x v="12"/>
    <x v="3"/>
    <s v="GBRP-LIGNITE-047"/>
    <x v="1"/>
    <x v="0"/>
    <n v="57"/>
    <n v="3467.5"/>
    <n v="12483"/>
  </r>
  <r>
    <x v="0"/>
    <x v="0"/>
    <x v="0"/>
    <x v="8"/>
    <x v="13"/>
    <s v="PL_A1"/>
    <x v="12"/>
    <x v="3"/>
    <s v="GBRP-LIGNITE-047"/>
    <x v="1"/>
    <x v="1"/>
    <n v="57"/>
    <n v="3467.5"/>
    <n v="12483"/>
  </r>
  <r>
    <x v="0"/>
    <x v="0"/>
    <x v="0"/>
    <x v="8"/>
    <x v="13"/>
    <s v="PL_A1"/>
    <x v="12"/>
    <x v="3"/>
    <s v="GBRP-LIGNITE-047"/>
    <x v="1"/>
    <x v="2"/>
    <n v="57"/>
    <n v="3467.5"/>
    <n v="12483"/>
  </r>
  <r>
    <x v="0"/>
    <x v="0"/>
    <x v="0"/>
    <x v="8"/>
    <x v="13"/>
    <s v="PL_A1"/>
    <x v="12"/>
    <x v="3"/>
    <s v="GBRP-LIGNITE-047"/>
    <x v="1"/>
    <x v="3"/>
    <n v="57"/>
    <n v="3467.5"/>
    <n v="12483"/>
  </r>
  <r>
    <x v="0"/>
    <x v="0"/>
    <x v="0"/>
    <x v="8"/>
    <x v="13"/>
    <s v="PL_A1"/>
    <x v="12"/>
    <x v="3"/>
    <s v="GBRP-LIGNITE-047"/>
    <x v="1"/>
    <x v="4"/>
    <n v="57"/>
    <n v="3467.5"/>
    <n v="12483"/>
  </r>
  <r>
    <x v="0"/>
    <x v="0"/>
    <x v="0"/>
    <x v="8"/>
    <x v="13"/>
    <s v="PL_A1"/>
    <x v="12"/>
    <x v="3"/>
    <s v="GBRP-LIGNITE-047"/>
    <x v="1"/>
    <x v="5"/>
    <n v="57"/>
    <n v="3467.5"/>
    <n v="12483"/>
  </r>
  <r>
    <x v="0"/>
    <x v="0"/>
    <x v="0"/>
    <x v="8"/>
    <x v="13"/>
    <s v="PL_A1"/>
    <x v="12"/>
    <x v="3"/>
    <s v="GBRP-LIGNITE-047"/>
    <x v="1"/>
    <x v="6"/>
    <n v="57"/>
    <n v="3467.5"/>
    <n v="12483"/>
  </r>
  <r>
    <x v="0"/>
    <x v="0"/>
    <x v="0"/>
    <x v="8"/>
    <x v="13"/>
    <s v="PL_A1"/>
    <x v="12"/>
    <x v="3"/>
    <s v="GBRP-LIGNITE-047"/>
    <x v="1"/>
    <x v="7"/>
    <n v="57"/>
    <n v="3467.5"/>
    <n v="12483"/>
  </r>
  <r>
    <x v="0"/>
    <x v="0"/>
    <x v="0"/>
    <x v="8"/>
    <x v="13"/>
    <s v="PL_A1"/>
    <x v="12"/>
    <x v="3"/>
    <s v="GBRP-LIGNITE-047"/>
    <x v="1"/>
    <x v="8"/>
    <n v="57"/>
    <n v="3467.5"/>
    <n v="12483"/>
  </r>
  <r>
    <x v="0"/>
    <x v="0"/>
    <x v="0"/>
    <x v="8"/>
    <x v="13"/>
    <s v="PL_A1"/>
    <x v="12"/>
    <x v="3"/>
    <s v="GBRP-LIGNITE-047"/>
    <x v="1"/>
    <x v="9"/>
    <n v="57"/>
    <n v="3467.5"/>
    <n v="12483"/>
  </r>
  <r>
    <x v="0"/>
    <x v="0"/>
    <x v="0"/>
    <x v="8"/>
    <x v="13"/>
    <s v="PL_A1"/>
    <x v="12"/>
    <x v="3"/>
    <s v="GBRP-LIGNITE-047"/>
    <x v="1"/>
    <x v="10"/>
    <n v="57"/>
    <n v="3467.5"/>
    <n v="12483"/>
  </r>
  <r>
    <x v="0"/>
    <x v="0"/>
    <x v="0"/>
    <x v="8"/>
    <x v="13"/>
    <s v="PL_A1"/>
    <x v="12"/>
    <x v="3"/>
    <s v="GBRP-LIGNITE-047"/>
    <x v="1"/>
    <x v="11"/>
    <n v="57"/>
    <n v="3467.5"/>
    <n v="12483"/>
  </r>
  <r>
    <x v="0"/>
    <x v="0"/>
    <x v="0"/>
    <x v="8"/>
    <x v="13"/>
    <s v="PL_A1"/>
    <x v="12"/>
    <x v="3"/>
    <s v="GBRP-LIGNITE-047"/>
    <x v="2"/>
    <x v="0"/>
    <n v="57"/>
    <n v="3467.5"/>
    <n v="12483"/>
  </r>
  <r>
    <x v="0"/>
    <x v="0"/>
    <x v="0"/>
    <x v="8"/>
    <x v="13"/>
    <s v="PL_A1"/>
    <x v="12"/>
    <x v="3"/>
    <s v="GBRP-LIGNITE-047"/>
    <x v="2"/>
    <x v="1"/>
    <n v="57"/>
    <n v="3467.5"/>
    <n v="12483"/>
  </r>
  <r>
    <x v="0"/>
    <x v="0"/>
    <x v="0"/>
    <x v="8"/>
    <x v="13"/>
    <s v="PL_A1"/>
    <x v="12"/>
    <x v="3"/>
    <s v="GBRP-LIGNITE-047"/>
    <x v="2"/>
    <x v="2"/>
    <n v="57"/>
    <n v="3467.5"/>
    <n v="12483"/>
  </r>
  <r>
    <x v="0"/>
    <x v="0"/>
    <x v="0"/>
    <x v="8"/>
    <x v="13"/>
    <s v="PL_A1"/>
    <x v="12"/>
    <x v="3"/>
    <s v="GBRP-LIGNITE-047"/>
    <x v="2"/>
    <x v="3"/>
    <n v="57"/>
    <n v="3467.5"/>
    <n v="12483"/>
  </r>
  <r>
    <x v="0"/>
    <x v="0"/>
    <x v="0"/>
    <x v="8"/>
    <x v="13"/>
    <s v="PL_A1"/>
    <x v="12"/>
    <x v="3"/>
    <s v="GBRP-LIGNITE-047"/>
    <x v="2"/>
    <x v="4"/>
    <n v="57"/>
    <n v="3467.5"/>
    <n v="12483"/>
  </r>
  <r>
    <x v="0"/>
    <x v="0"/>
    <x v="0"/>
    <x v="8"/>
    <x v="13"/>
    <s v="PL_A1"/>
    <x v="12"/>
    <x v="3"/>
    <s v="GBRP-LIGNITE-047"/>
    <x v="2"/>
    <x v="5"/>
    <n v="57"/>
    <n v="3467.5"/>
    <n v="12483"/>
  </r>
  <r>
    <x v="0"/>
    <x v="0"/>
    <x v="0"/>
    <x v="8"/>
    <x v="13"/>
    <s v="PL_A1"/>
    <x v="12"/>
    <x v="3"/>
    <s v="GBRP-LIGNITE-047"/>
    <x v="2"/>
    <x v="6"/>
    <n v="57"/>
    <n v="3467.5"/>
    <n v="12483"/>
  </r>
  <r>
    <x v="0"/>
    <x v="0"/>
    <x v="0"/>
    <x v="8"/>
    <x v="13"/>
    <s v="PL_A1"/>
    <x v="12"/>
    <x v="3"/>
    <s v="GBRP-LIGNITE-047"/>
    <x v="2"/>
    <x v="7"/>
    <n v="57"/>
    <n v="3467.5"/>
    <n v="12483"/>
  </r>
  <r>
    <x v="0"/>
    <x v="0"/>
    <x v="0"/>
    <x v="8"/>
    <x v="13"/>
    <s v="PL_A1"/>
    <x v="12"/>
    <x v="3"/>
    <s v="GBRP-LIGNITE-047"/>
    <x v="2"/>
    <x v="8"/>
    <n v="57"/>
    <n v="3467.5"/>
    <n v="12483"/>
  </r>
  <r>
    <x v="0"/>
    <x v="0"/>
    <x v="0"/>
    <x v="8"/>
    <x v="13"/>
    <s v="PL_A1"/>
    <x v="12"/>
    <x v="3"/>
    <s v="GBRP-LIGNITE-047"/>
    <x v="2"/>
    <x v="9"/>
    <n v="57"/>
    <n v="3467.5"/>
    <n v="12483"/>
  </r>
  <r>
    <x v="0"/>
    <x v="0"/>
    <x v="0"/>
    <x v="8"/>
    <x v="13"/>
    <s v="PL_A1"/>
    <x v="12"/>
    <x v="3"/>
    <s v="GBRP-LIGNITE-047"/>
    <x v="2"/>
    <x v="10"/>
    <n v="57"/>
    <n v="3467.5"/>
    <n v="12483"/>
  </r>
  <r>
    <x v="0"/>
    <x v="0"/>
    <x v="0"/>
    <x v="8"/>
    <x v="13"/>
    <s v="PL_A1"/>
    <x v="12"/>
    <x v="3"/>
    <s v="GBRP-LIGNITE-047"/>
    <x v="2"/>
    <x v="11"/>
    <n v="57"/>
    <n v="3467.5"/>
    <n v="12483"/>
  </r>
  <r>
    <x v="0"/>
    <x v="0"/>
    <x v="0"/>
    <x v="8"/>
    <x v="13"/>
    <s v="PL_A1"/>
    <x v="12"/>
    <x v="3"/>
    <s v="GBRP-LIGNITE-047"/>
    <x v="3"/>
    <x v="0"/>
    <n v="57"/>
    <n v="3467.5"/>
    <n v="12483"/>
  </r>
  <r>
    <x v="0"/>
    <x v="0"/>
    <x v="0"/>
    <x v="8"/>
    <x v="13"/>
    <s v="PL_A1"/>
    <x v="12"/>
    <x v="3"/>
    <s v="GBRP-LIGNITE-047"/>
    <x v="3"/>
    <x v="1"/>
    <n v="57"/>
    <n v="3467.5"/>
    <n v="12483"/>
  </r>
  <r>
    <x v="0"/>
    <x v="0"/>
    <x v="0"/>
    <x v="8"/>
    <x v="13"/>
    <s v="PL_A1"/>
    <x v="12"/>
    <x v="3"/>
    <s v="GBRP-LIGNITE-047"/>
    <x v="3"/>
    <x v="2"/>
    <n v="57"/>
    <n v="3467.5"/>
    <n v="12483"/>
  </r>
  <r>
    <x v="0"/>
    <x v="0"/>
    <x v="0"/>
    <x v="8"/>
    <x v="13"/>
    <s v="PL_A1"/>
    <x v="12"/>
    <x v="3"/>
    <s v="GBRP-LIGNITE-047"/>
    <x v="3"/>
    <x v="3"/>
    <n v="57"/>
    <n v="3467.5"/>
    <n v="12483"/>
  </r>
  <r>
    <x v="0"/>
    <x v="0"/>
    <x v="0"/>
    <x v="8"/>
    <x v="13"/>
    <s v="PL_A1"/>
    <x v="12"/>
    <x v="3"/>
    <s v="GBRP-LIGNITE-047"/>
    <x v="3"/>
    <x v="4"/>
    <n v="57"/>
    <n v="3467.5"/>
    <n v="12483"/>
  </r>
  <r>
    <x v="0"/>
    <x v="0"/>
    <x v="0"/>
    <x v="8"/>
    <x v="13"/>
    <s v="PL_A1"/>
    <x v="12"/>
    <x v="3"/>
    <s v="GBRP-LIGNITE-047"/>
    <x v="3"/>
    <x v="5"/>
    <n v="57"/>
    <n v="3467.5"/>
    <n v="12483"/>
  </r>
  <r>
    <x v="0"/>
    <x v="0"/>
    <x v="0"/>
    <x v="8"/>
    <x v="13"/>
    <s v="PL_A1"/>
    <x v="12"/>
    <x v="3"/>
    <s v="GBRP-LIGNITE-047"/>
    <x v="3"/>
    <x v="6"/>
    <n v="57"/>
    <n v="3467.5"/>
    <n v="12483"/>
  </r>
  <r>
    <x v="0"/>
    <x v="0"/>
    <x v="0"/>
    <x v="8"/>
    <x v="13"/>
    <s v="PL_A1"/>
    <x v="12"/>
    <x v="3"/>
    <s v="GBRP-LIGNITE-047"/>
    <x v="3"/>
    <x v="7"/>
    <n v="57"/>
    <n v="3467.5"/>
    <n v="12483"/>
  </r>
  <r>
    <x v="0"/>
    <x v="0"/>
    <x v="0"/>
    <x v="8"/>
    <x v="13"/>
    <s v="PL_A1"/>
    <x v="12"/>
    <x v="3"/>
    <s v="GBRP-LIGNITE-047"/>
    <x v="3"/>
    <x v="8"/>
    <n v="57"/>
    <n v="3467.5"/>
    <n v="12483"/>
  </r>
  <r>
    <x v="0"/>
    <x v="0"/>
    <x v="0"/>
    <x v="8"/>
    <x v="13"/>
    <s v="PL_A1"/>
    <x v="12"/>
    <x v="3"/>
    <s v="GBRP-LIGNITE-047"/>
    <x v="3"/>
    <x v="9"/>
    <n v="57"/>
    <n v="3467.5"/>
    <n v="12483"/>
  </r>
  <r>
    <x v="0"/>
    <x v="0"/>
    <x v="0"/>
    <x v="8"/>
    <x v="13"/>
    <s v="PL_A1"/>
    <x v="12"/>
    <x v="3"/>
    <s v="GBRP-LIGNITE-047"/>
    <x v="3"/>
    <x v="10"/>
    <n v="57"/>
    <n v="3467.5"/>
    <n v="12483"/>
  </r>
  <r>
    <x v="0"/>
    <x v="0"/>
    <x v="0"/>
    <x v="8"/>
    <x v="13"/>
    <s v="PL_A1"/>
    <x v="12"/>
    <x v="3"/>
    <s v="GBRP-LIGNITE-047"/>
    <x v="3"/>
    <x v="11"/>
    <n v="57"/>
    <n v="3467.5"/>
    <n v="12483"/>
  </r>
  <r>
    <x v="0"/>
    <x v="0"/>
    <x v="0"/>
    <x v="8"/>
    <x v="13"/>
    <s v="PL_A1"/>
    <x v="12"/>
    <x v="3"/>
    <s v="GBRP-LIGNITE-047"/>
    <x v="4"/>
    <x v="0"/>
    <n v="57"/>
    <n v="3467.5"/>
    <n v="12483"/>
  </r>
  <r>
    <x v="0"/>
    <x v="0"/>
    <x v="0"/>
    <x v="8"/>
    <x v="13"/>
    <s v="PL_A1"/>
    <x v="12"/>
    <x v="3"/>
    <s v="GBRP-LIGNITE-047"/>
    <x v="4"/>
    <x v="1"/>
    <n v="57"/>
    <n v="3467.5"/>
    <n v="12483"/>
  </r>
  <r>
    <x v="0"/>
    <x v="0"/>
    <x v="0"/>
    <x v="8"/>
    <x v="13"/>
    <s v="PL_A1"/>
    <x v="12"/>
    <x v="3"/>
    <s v="GBRP-LIGNITE-047"/>
    <x v="4"/>
    <x v="2"/>
    <n v="57"/>
    <n v="3467.5"/>
    <n v="12483"/>
  </r>
  <r>
    <x v="0"/>
    <x v="0"/>
    <x v="0"/>
    <x v="8"/>
    <x v="13"/>
    <s v="PL_A1"/>
    <x v="12"/>
    <x v="3"/>
    <s v="GBRP-LIGNITE-047"/>
    <x v="4"/>
    <x v="3"/>
    <n v="57"/>
    <n v="3467.5"/>
    <n v="12483"/>
  </r>
  <r>
    <x v="0"/>
    <x v="0"/>
    <x v="0"/>
    <x v="8"/>
    <x v="13"/>
    <s v="PL_A1"/>
    <x v="12"/>
    <x v="3"/>
    <s v="GBRP-LIGNITE-047"/>
    <x v="4"/>
    <x v="4"/>
    <n v="57"/>
    <n v="3467.5"/>
    <n v="12483"/>
  </r>
  <r>
    <x v="0"/>
    <x v="0"/>
    <x v="0"/>
    <x v="8"/>
    <x v="13"/>
    <s v="PL_A1"/>
    <x v="12"/>
    <x v="3"/>
    <s v="GBRP-LIGNITE-047"/>
    <x v="4"/>
    <x v="5"/>
    <n v="57"/>
    <n v="3467.5"/>
    <n v="12483"/>
  </r>
  <r>
    <x v="0"/>
    <x v="0"/>
    <x v="0"/>
    <x v="8"/>
    <x v="13"/>
    <s v="PL_A1"/>
    <x v="12"/>
    <x v="3"/>
    <s v="GBRP-LIGNITE-047"/>
    <x v="4"/>
    <x v="6"/>
    <n v="57"/>
    <n v="3467.5"/>
    <n v="12483"/>
  </r>
  <r>
    <x v="0"/>
    <x v="0"/>
    <x v="0"/>
    <x v="8"/>
    <x v="13"/>
    <s v="PL_A1"/>
    <x v="12"/>
    <x v="3"/>
    <s v="GBRP-LIGNITE-047"/>
    <x v="4"/>
    <x v="7"/>
    <n v="57"/>
    <n v="3467.5"/>
    <n v="12483"/>
  </r>
  <r>
    <x v="0"/>
    <x v="0"/>
    <x v="0"/>
    <x v="8"/>
    <x v="13"/>
    <s v="PL_A1"/>
    <x v="12"/>
    <x v="3"/>
    <s v="GBRP-LIGNITE-047"/>
    <x v="4"/>
    <x v="8"/>
    <n v="57"/>
    <n v="3467.5"/>
    <n v="12483"/>
  </r>
  <r>
    <x v="0"/>
    <x v="0"/>
    <x v="0"/>
    <x v="8"/>
    <x v="13"/>
    <s v="PL_A1"/>
    <x v="12"/>
    <x v="3"/>
    <s v="GBRP-LIGNITE-047"/>
    <x v="4"/>
    <x v="9"/>
    <n v="57"/>
    <n v="3467.5"/>
    <n v="12483"/>
  </r>
  <r>
    <x v="0"/>
    <x v="0"/>
    <x v="0"/>
    <x v="8"/>
    <x v="13"/>
    <s v="PL_A1"/>
    <x v="12"/>
    <x v="3"/>
    <s v="GBRP-LIGNITE-047"/>
    <x v="4"/>
    <x v="10"/>
    <n v="57"/>
    <n v="3467.5"/>
    <n v="12483"/>
  </r>
  <r>
    <x v="0"/>
    <x v="0"/>
    <x v="0"/>
    <x v="8"/>
    <x v="13"/>
    <s v="PL_A1"/>
    <x v="12"/>
    <x v="3"/>
    <s v="GBRP-LIGNITE-047"/>
    <x v="4"/>
    <x v="11"/>
    <n v="57"/>
    <n v="3467.5"/>
    <n v="12483"/>
  </r>
  <r>
    <x v="0"/>
    <x v="0"/>
    <x v="0"/>
    <x v="8"/>
    <x v="13"/>
    <s v="PL_A1"/>
    <x v="12"/>
    <x v="3"/>
    <s v="GBRP-LIGNITE-047"/>
    <x v="5"/>
    <x v="0"/>
    <n v="57"/>
    <n v="3467.5"/>
    <n v="12483"/>
  </r>
  <r>
    <x v="0"/>
    <x v="0"/>
    <x v="0"/>
    <x v="8"/>
    <x v="13"/>
    <s v="PL_A1"/>
    <x v="12"/>
    <x v="3"/>
    <s v="GBRP-LIGNITE-047"/>
    <x v="5"/>
    <x v="1"/>
    <n v="57"/>
    <n v="3467.5"/>
    <n v="12483"/>
  </r>
  <r>
    <x v="0"/>
    <x v="0"/>
    <x v="0"/>
    <x v="8"/>
    <x v="13"/>
    <s v="PL_A1"/>
    <x v="12"/>
    <x v="3"/>
    <s v="GBRP-LIGNITE-047"/>
    <x v="5"/>
    <x v="2"/>
    <n v="57"/>
    <n v="3467.5"/>
    <n v="12483"/>
  </r>
  <r>
    <x v="0"/>
    <x v="0"/>
    <x v="0"/>
    <x v="8"/>
    <x v="13"/>
    <s v="PL_A1"/>
    <x v="12"/>
    <x v="3"/>
    <s v="GBRP-LIGNITE-047"/>
    <x v="5"/>
    <x v="3"/>
    <n v="57"/>
    <n v="3467.5"/>
    <n v="12483"/>
  </r>
  <r>
    <x v="0"/>
    <x v="0"/>
    <x v="0"/>
    <x v="8"/>
    <x v="13"/>
    <s v="PL_A1"/>
    <x v="12"/>
    <x v="3"/>
    <s v="GBRP-LIGNITE-047"/>
    <x v="5"/>
    <x v="4"/>
    <n v="57"/>
    <n v="3467.5"/>
    <n v="12483"/>
  </r>
  <r>
    <x v="0"/>
    <x v="0"/>
    <x v="0"/>
    <x v="8"/>
    <x v="13"/>
    <s v="PL_A1"/>
    <x v="12"/>
    <x v="3"/>
    <s v="GBRP-LIGNITE-047"/>
    <x v="5"/>
    <x v="5"/>
    <n v="57"/>
    <n v="3467.5"/>
    <n v="12483"/>
  </r>
  <r>
    <x v="0"/>
    <x v="0"/>
    <x v="0"/>
    <x v="8"/>
    <x v="13"/>
    <s v="PL_A1"/>
    <x v="12"/>
    <x v="3"/>
    <s v="GBRP-LIGNITE-047"/>
    <x v="5"/>
    <x v="6"/>
    <n v="57"/>
    <n v="3467.5"/>
    <n v="12483"/>
  </r>
  <r>
    <x v="0"/>
    <x v="0"/>
    <x v="0"/>
    <x v="8"/>
    <x v="13"/>
    <s v="PL_A1"/>
    <x v="12"/>
    <x v="3"/>
    <s v="GBRP-LIGNITE-047"/>
    <x v="5"/>
    <x v="7"/>
    <n v="57"/>
    <n v="3467.5"/>
    <n v="12483"/>
  </r>
  <r>
    <x v="0"/>
    <x v="0"/>
    <x v="0"/>
    <x v="8"/>
    <x v="13"/>
    <s v="PL_A1"/>
    <x v="12"/>
    <x v="3"/>
    <s v="GBRP-LIGNITE-047"/>
    <x v="5"/>
    <x v="8"/>
    <n v="57"/>
    <n v="3467.5"/>
    <n v="12483"/>
  </r>
  <r>
    <x v="0"/>
    <x v="0"/>
    <x v="0"/>
    <x v="8"/>
    <x v="13"/>
    <s v="PL_A1"/>
    <x v="12"/>
    <x v="3"/>
    <s v="GBRP-LIGNITE-047"/>
    <x v="5"/>
    <x v="9"/>
    <n v="57"/>
    <n v="3467.5"/>
    <n v="12483"/>
  </r>
  <r>
    <x v="0"/>
    <x v="0"/>
    <x v="0"/>
    <x v="8"/>
    <x v="13"/>
    <s v="PL_A1"/>
    <x v="12"/>
    <x v="3"/>
    <s v="GBRP-LIGNITE-047"/>
    <x v="5"/>
    <x v="10"/>
    <n v="57"/>
    <n v="3467.5"/>
    <n v="12483"/>
  </r>
  <r>
    <x v="0"/>
    <x v="0"/>
    <x v="0"/>
    <x v="8"/>
    <x v="13"/>
    <s v="PL_A1"/>
    <x v="12"/>
    <x v="3"/>
    <s v="GBRP-LIGNITE-047"/>
    <x v="5"/>
    <x v="11"/>
    <n v="57"/>
    <n v="3467.5"/>
    <n v="12483"/>
  </r>
  <r>
    <x v="0"/>
    <x v="0"/>
    <x v="0"/>
    <x v="8"/>
    <x v="13"/>
    <s v="PL_A1"/>
    <x v="12"/>
    <x v="3"/>
    <s v="GBRP-LIGNITE-047"/>
    <x v="6"/>
    <x v="0"/>
    <n v="57"/>
    <n v="3467.5"/>
    <n v="12483"/>
  </r>
  <r>
    <x v="0"/>
    <x v="0"/>
    <x v="0"/>
    <x v="8"/>
    <x v="13"/>
    <s v="PL_A1"/>
    <x v="12"/>
    <x v="3"/>
    <s v="GBRP-LIGNITE-047"/>
    <x v="6"/>
    <x v="1"/>
    <n v="57"/>
    <n v="3467.5"/>
    <n v="12483"/>
  </r>
  <r>
    <x v="0"/>
    <x v="0"/>
    <x v="0"/>
    <x v="8"/>
    <x v="13"/>
    <s v="PL_A1"/>
    <x v="12"/>
    <x v="3"/>
    <s v="GBRP-LIGNITE-047"/>
    <x v="6"/>
    <x v="2"/>
    <n v="57"/>
    <n v="3467.5"/>
    <n v="12483"/>
  </r>
  <r>
    <x v="0"/>
    <x v="0"/>
    <x v="0"/>
    <x v="8"/>
    <x v="13"/>
    <s v="PL_A1"/>
    <x v="12"/>
    <x v="3"/>
    <s v="GBRP-LIGNITE-047"/>
    <x v="6"/>
    <x v="3"/>
    <n v="57"/>
    <n v="3467.5"/>
    <n v="12483"/>
  </r>
  <r>
    <x v="0"/>
    <x v="0"/>
    <x v="0"/>
    <x v="8"/>
    <x v="13"/>
    <s v="PL_A1"/>
    <x v="12"/>
    <x v="3"/>
    <s v="GBRP-LIGNITE-047"/>
    <x v="6"/>
    <x v="4"/>
    <n v="57"/>
    <n v="3467.5"/>
    <n v="12483"/>
  </r>
  <r>
    <x v="0"/>
    <x v="0"/>
    <x v="0"/>
    <x v="8"/>
    <x v="13"/>
    <s v="PL_A1"/>
    <x v="12"/>
    <x v="3"/>
    <s v="GBRP-LIGNITE-047"/>
    <x v="6"/>
    <x v="5"/>
    <n v="57"/>
    <n v="3467.5"/>
    <n v="12483"/>
  </r>
  <r>
    <x v="0"/>
    <x v="0"/>
    <x v="0"/>
    <x v="8"/>
    <x v="13"/>
    <s v="PL_A1"/>
    <x v="12"/>
    <x v="3"/>
    <s v="GBRP-LIGNITE-047"/>
    <x v="6"/>
    <x v="6"/>
    <n v="57"/>
    <n v="3467.5"/>
    <n v="12483"/>
  </r>
  <r>
    <x v="0"/>
    <x v="0"/>
    <x v="0"/>
    <x v="8"/>
    <x v="13"/>
    <s v="PL_A1"/>
    <x v="12"/>
    <x v="3"/>
    <s v="GBRP-LIGNITE-047"/>
    <x v="6"/>
    <x v="7"/>
    <n v="57"/>
    <n v="3467.5"/>
    <n v="12483"/>
  </r>
  <r>
    <x v="0"/>
    <x v="0"/>
    <x v="0"/>
    <x v="8"/>
    <x v="13"/>
    <s v="PL_A1"/>
    <x v="12"/>
    <x v="3"/>
    <s v="GBRP-LIGNITE-047"/>
    <x v="6"/>
    <x v="8"/>
    <n v="57"/>
    <n v="3467.5"/>
    <n v="12483"/>
  </r>
  <r>
    <x v="0"/>
    <x v="0"/>
    <x v="0"/>
    <x v="8"/>
    <x v="13"/>
    <s v="PL_A1"/>
    <x v="12"/>
    <x v="3"/>
    <s v="GBRP-LIGNITE-047"/>
    <x v="6"/>
    <x v="9"/>
    <n v="57"/>
    <n v="3467.5"/>
    <n v="12483"/>
  </r>
  <r>
    <x v="0"/>
    <x v="0"/>
    <x v="0"/>
    <x v="8"/>
    <x v="13"/>
    <s v="PL_A1"/>
    <x v="12"/>
    <x v="3"/>
    <s v="GBRP-LIGNITE-047"/>
    <x v="6"/>
    <x v="10"/>
    <n v="57"/>
    <n v="3467.5"/>
    <n v="12483"/>
  </r>
  <r>
    <x v="0"/>
    <x v="0"/>
    <x v="0"/>
    <x v="8"/>
    <x v="13"/>
    <s v="PL_A1"/>
    <x v="12"/>
    <x v="3"/>
    <s v="GBRP-LIGNITE-047"/>
    <x v="6"/>
    <x v="11"/>
    <n v="57"/>
    <n v="3467.5"/>
    <n v="12483"/>
  </r>
  <r>
    <x v="0"/>
    <x v="0"/>
    <x v="0"/>
    <x v="8"/>
    <x v="13"/>
    <s v="PL_A1"/>
    <x v="12"/>
    <x v="3"/>
    <s v="GBRP-LIGNITE-047"/>
    <x v="7"/>
    <x v="0"/>
    <n v="57"/>
    <n v="3467.5"/>
    <n v="12483"/>
  </r>
  <r>
    <x v="0"/>
    <x v="0"/>
    <x v="0"/>
    <x v="8"/>
    <x v="13"/>
    <s v="PL_A1"/>
    <x v="12"/>
    <x v="3"/>
    <s v="GBRP-LIGNITE-047"/>
    <x v="7"/>
    <x v="1"/>
    <n v="57"/>
    <n v="3467.5"/>
    <n v="12483"/>
  </r>
  <r>
    <x v="0"/>
    <x v="0"/>
    <x v="0"/>
    <x v="8"/>
    <x v="13"/>
    <s v="PL_A1"/>
    <x v="12"/>
    <x v="3"/>
    <s v="GBRP-LIGNITE-047"/>
    <x v="7"/>
    <x v="2"/>
    <n v="57"/>
    <n v="3467.5"/>
    <n v="12483"/>
  </r>
  <r>
    <x v="0"/>
    <x v="0"/>
    <x v="0"/>
    <x v="8"/>
    <x v="13"/>
    <s v="PL_A1"/>
    <x v="12"/>
    <x v="3"/>
    <s v="GBRP-LIGNITE-047"/>
    <x v="7"/>
    <x v="3"/>
    <n v="57"/>
    <n v="3467.5"/>
    <n v="12483"/>
  </r>
  <r>
    <x v="0"/>
    <x v="0"/>
    <x v="0"/>
    <x v="8"/>
    <x v="13"/>
    <s v="PL_A1"/>
    <x v="12"/>
    <x v="3"/>
    <s v="GBRP-LIGNITE-047"/>
    <x v="7"/>
    <x v="4"/>
    <n v="57"/>
    <n v="3467.5"/>
    <n v="12483"/>
  </r>
  <r>
    <x v="0"/>
    <x v="0"/>
    <x v="0"/>
    <x v="8"/>
    <x v="13"/>
    <s v="PL_A1"/>
    <x v="12"/>
    <x v="3"/>
    <s v="GBRP-LIGNITE-047"/>
    <x v="7"/>
    <x v="5"/>
    <n v="57"/>
    <n v="3467.5"/>
    <n v="12483"/>
  </r>
  <r>
    <x v="0"/>
    <x v="0"/>
    <x v="0"/>
    <x v="8"/>
    <x v="13"/>
    <s v="PL_A1"/>
    <x v="12"/>
    <x v="3"/>
    <s v="GBRP-LIGNITE-047"/>
    <x v="7"/>
    <x v="6"/>
    <n v="57"/>
    <n v="3467.5"/>
    <n v="12483"/>
  </r>
  <r>
    <x v="0"/>
    <x v="0"/>
    <x v="0"/>
    <x v="8"/>
    <x v="13"/>
    <s v="PL_A1"/>
    <x v="12"/>
    <x v="3"/>
    <s v="GBRP-LIGNITE-047"/>
    <x v="7"/>
    <x v="7"/>
    <n v="57"/>
    <n v="3467.5"/>
    <n v="12483"/>
  </r>
  <r>
    <x v="0"/>
    <x v="0"/>
    <x v="0"/>
    <x v="8"/>
    <x v="13"/>
    <s v="PL_A1"/>
    <x v="12"/>
    <x v="3"/>
    <s v="GBRP-LIGNITE-047"/>
    <x v="7"/>
    <x v="8"/>
    <n v="57"/>
    <n v="3467.5"/>
    <n v="12483"/>
  </r>
  <r>
    <x v="0"/>
    <x v="0"/>
    <x v="0"/>
    <x v="8"/>
    <x v="13"/>
    <s v="PL_A1"/>
    <x v="12"/>
    <x v="3"/>
    <s v="GBRP-LIGNITE-047"/>
    <x v="7"/>
    <x v="9"/>
    <n v="57"/>
    <n v="3467.5"/>
    <n v="12483"/>
  </r>
  <r>
    <x v="0"/>
    <x v="0"/>
    <x v="0"/>
    <x v="8"/>
    <x v="13"/>
    <s v="PL_A1"/>
    <x v="12"/>
    <x v="3"/>
    <s v="GBRP-LIGNITE-047"/>
    <x v="7"/>
    <x v="10"/>
    <n v="57"/>
    <n v="3467.5"/>
    <n v="12483"/>
  </r>
  <r>
    <x v="0"/>
    <x v="0"/>
    <x v="0"/>
    <x v="8"/>
    <x v="13"/>
    <s v="PL_A1"/>
    <x v="12"/>
    <x v="3"/>
    <s v="GBRP-LIGNITE-047"/>
    <x v="7"/>
    <x v="11"/>
    <n v="57"/>
    <n v="3467.5"/>
    <n v="12483"/>
  </r>
  <r>
    <x v="0"/>
    <x v="0"/>
    <x v="0"/>
    <x v="8"/>
    <x v="13"/>
    <s v="PL_A1"/>
    <x v="12"/>
    <x v="3"/>
    <s v="GBRP-LIGNITE-047"/>
    <x v="8"/>
    <x v="0"/>
    <n v="57"/>
    <n v="3467.5"/>
    <n v="12483"/>
  </r>
  <r>
    <x v="0"/>
    <x v="0"/>
    <x v="0"/>
    <x v="8"/>
    <x v="13"/>
    <s v="PL_A1"/>
    <x v="12"/>
    <x v="3"/>
    <s v="GBRP-LIGNITE-047"/>
    <x v="8"/>
    <x v="1"/>
    <n v="57"/>
    <n v="3467.5"/>
    <n v="12483"/>
  </r>
  <r>
    <x v="0"/>
    <x v="0"/>
    <x v="0"/>
    <x v="8"/>
    <x v="13"/>
    <s v="PL_A1"/>
    <x v="12"/>
    <x v="3"/>
    <s v="GBRP-LIGNITE-047"/>
    <x v="8"/>
    <x v="2"/>
    <n v="57"/>
    <n v="3467.5"/>
    <n v="12483"/>
  </r>
  <r>
    <x v="0"/>
    <x v="0"/>
    <x v="0"/>
    <x v="8"/>
    <x v="13"/>
    <s v="PL_A1"/>
    <x v="12"/>
    <x v="3"/>
    <s v="GBRP-LIGNITE-047"/>
    <x v="8"/>
    <x v="3"/>
    <n v="57"/>
    <n v="3467.5"/>
    <n v="12483"/>
  </r>
  <r>
    <x v="0"/>
    <x v="0"/>
    <x v="0"/>
    <x v="8"/>
    <x v="13"/>
    <s v="PL_A1"/>
    <x v="12"/>
    <x v="3"/>
    <s v="GBRP-LIGNITE-047"/>
    <x v="8"/>
    <x v="4"/>
    <n v="57"/>
    <n v="3467.5"/>
    <n v="12483"/>
  </r>
  <r>
    <x v="0"/>
    <x v="0"/>
    <x v="0"/>
    <x v="8"/>
    <x v="13"/>
    <s v="PL_A1"/>
    <x v="12"/>
    <x v="3"/>
    <s v="GBRP-LIGNITE-047"/>
    <x v="8"/>
    <x v="5"/>
    <n v="57"/>
    <n v="3467.5"/>
    <n v="12483"/>
  </r>
  <r>
    <x v="0"/>
    <x v="0"/>
    <x v="0"/>
    <x v="8"/>
    <x v="13"/>
    <s v="PL_A1"/>
    <x v="12"/>
    <x v="3"/>
    <s v="GBRP-LIGNITE-047"/>
    <x v="8"/>
    <x v="6"/>
    <n v="57"/>
    <n v="3467.5"/>
    <n v="12483"/>
  </r>
  <r>
    <x v="0"/>
    <x v="0"/>
    <x v="0"/>
    <x v="8"/>
    <x v="13"/>
    <s v="PL_A1"/>
    <x v="12"/>
    <x v="3"/>
    <s v="GBRP-LIGNITE-047"/>
    <x v="8"/>
    <x v="7"/>
    <n v="57"/>
    <n v="3467.5"/>
    <n v="12483"/>
  </r>
  <r>
    <x v="0"/>
    <x v="0"/>
    <x v="0"/>
    <x v="8"/>
    <x v="13"/>
    <s v="PL_A1"/>
    <x v="12"/>
    <x v="3"/>
    <s v="GBRP-LIGNITE-047"/>
    <x v="8"/>
    <x v="8"/>
    <n v="57"/>
    <n v="3467.5"/>
    <n v="12483"/>
  </r>
  <r>
    <x v="0"/>
    <x v="0"/>
    <x v="0"/>
    <x v="8"/>
    <x v="13"/>
    <s v="PL_A1"/>
    <x v="12"/>
    <x v="3"/>
    <s v="GBRP-LIGNITE-047"/>
    <x v="8"/>
    <x v="9"/>
    <n v="57"/>
    <n v="3467.5"/>
    <n v="12483"/>
  </r>
  <r>
    <x v="0"/>
    <x v="0"/>
    <x v="0"/>
    <x v="8"/>
    <x v="13"/>
    <s v="PL_A1"/>
    <x v="12"/>
    <x v="3"/>
    <s v="GBRP-LIGNITE-047"/>
    <x v="8"/>
    <x v="10"/>
    <n v="57"/>
    <n v="3467.5"/>
    <n v="12483"/>
  </r>
  <r>
    <x v="0"/>
    <x v="0"/>
    <x v="0"/>
    <x v="8"/>
    <x v="13"/>
    <s v="PL_A1"/>
    <x v="12"/>
    <x v="3"/>
    <s v="GBRP-LIGNITE-047"/>
    <x v="8"/>
    <x v="11"/>
    <n v="57"/>
    <n v="3467.5"/>
    <n v="12483"/>
  </r>
  <r>
    <x v="0"/>
    <x v="0"/>
    <x v="0"/>
    <x v="8"/>
    <x v="13"/>
    <s v="PL_A1"/>
    <x v="12"/>
    <x v="3"/>
    <s v="GBRP-LIGNITE-047"/>
    <x v="9"/>
    <x v="0"/>
    <n v="57"/>
    <n v="3467.5"/>
    <n v="12483"/>
  </r>
  <r>
    <x v="0"/>
    <x v="0"/>
    <x v="0"/>
    <x v="8"/>
    <x v="13"/>
    <s v="PL_A1"/>
    <x v="12"/>
    <x v="3"/>
    <s v="GBRP-LIGNITE-047"/>
    <x v="9"/>
    <x v="1"/>
    <n v="57"/>
    <n v="3467.5"/>
    <n v="12483"/>
  </r>
  <r>
    <x v="0"/>
    <x v="0"/>
    <x v="0"/>
    <x v="8"/>
    <x v="13"/>
    <s v="PL_A1"/>
    <x v="12"/>
    <x v="3"/>
    <s v="GBRP-LIGNITE-047"/>
    <x v="9"/>
    <x v="2"/>
    <n v="57"/>
    <n v="3467.5"/>
    <n v="12483"/>
  </r>
  <r>
    <x v="0"/>
    <x v="0"/>
    <x v="0"/>
    <x v="8"/>
    <x v="13"/>
    <s v="PL_A1"/>
    <x v="12"/>
    <x v="3"/>
    <s v="GBRP-LIGNITE-047"/>
    <x v="9"/>
    <x v="3"/>
    <n v="57"/>
    <n v="3467.5"/>
    <n v="12483"/>
  </r>
  <r>
    <x v="0"/>
    <x v="0"/>
    <x v="0"/>
    <x v="8"/>
    <x v="13"/>
    <s v="PL_A1"/>
    <x v="12"/>
    <x v="3"/>
    <s v="GBRP-LIGNITE-047"/>
    <x v="9"/>
    <x v="4"/>
    <n v="57"/>
    <n v="3467.5"/>
    <n v="12483"/>
  </r>
  <r>
    <x v="0"/>
    <x v="0"/>
    <x v="0"/>
    <x v="8"/>
    <x v="13"/>
    <s v="PL_A1"/>
    <x v="12"/>
    <x v="3"/>
    <s v="GBRP-LIGNITE-047"/>
    <x v="9"/>
    <x v="5"/>
    <n v="57"/>
    <n v="3467.5"/>
    <n v="12483"/>
  </r>
  <r>
    <x v="0"/>
    <x v="0"/>
    <x v="0"/>
    <x v="8"/>
    <x v="13"/>
    <s v="PL_A1"/>
    <x v="12"/>
    <x v="3"/>
    <s v="GBRP-LIGNITE-047"/>
    <x v="9"/>
    <x v="6"/>
    <n v="57"/>
    <n v="3467.5"/>
    <n v="12483"/>
  </r>
  <r>
    <x v="0"/>
    <x v="0"/>
    <x v="0"/>
    <x v="8"/>
    <x v="13"/>
    <s v="PL_A1"/>
    <x v="12"/>
    <x v="3"/>
    <s v="GBRP-LIGNITE-047"/>
    <x v="9"/>
    <x v="7"/>
    <n v="57"/>
    <n v="3467.5"/>
    <n v="12483"/>
  </r>
  <r>
    <x v="0"/>
    <x v="0"/>
    <x v="0"/>
    <x v="8"/>
    <x v="13"/>
    <s v="PL_A1"/>
    <x v="12"/>
    <x v="3"/>
    <s v="GBRP-LIGNITE-047"/>
    <x v="9"/>
    <x v="8"/>
    <n v="57"/>
    <n v="3467.5"/>
    <n v="12483"/>
  </r>
  <r>
    <x v="0"/>
    <x v="0"/>
    <x v="0"/>
    <x v="8"/>
    <x v="13"/>
    <s v="PL_A1"/>
    <x v="12"/>
    <x v="3"/>
    <s v="GBRP-LIGNITE-047"/>
    <x v="9"/>
    <x v="9"/>
    <n v="57"/>
    <n v="3467.5"/>
    <n v="12483"/>
  </r>
  <r>
    <x v="0"/>
    <x v="0"/>
    <x v="0"/>
    <x v="8"/>
    <x v="13"/>
    <s v="PL_A1"/>
    <x v="12"/>
    <x v="3"/>
    <s v="GBRP-LIGNITE-047"/>
    <x v="9"/>
    <x v="10"/>
    <n v="57"/>
    <n v="3467.5"/>
    <n v="12483"/>
  </r>
  <r>
    <x v="0"/>
    <x v="0"/>
    <x v="0"/>
    <x v="8"/>
    <x v="13"/>
    <s v="PL_A1"/>
    <x v="12"/>
    <x v="3"/>
    <s v="GBRP-LIGNITE-047"/>
    <x v="9"/>
    <x v="11"/>
    <n v="57"/>
    <n v="3467.5"/>
    <n v="12483"/>
  </r>
  <r>
    <x v="0"/>
    <x v="0"/>
    <x v="0"/>
    <x v="8"/>
    <x v="13"/>
    <s v="PL_A1"/>
    <x v="12"/>
    <x v="3"/>
    <s v="GBRP-LIGNITE-047"/>
    <x v="10"/>
    <x v="0"/>
    <n v="57"/>
    <n v="3467.5"/>
    <n v="12483"/>
  </r>
  <r>
    <x v="0"/>
    <x v="0"/>
    <x v="0"/>
    <x v="8"/>
    <x v="13"/>
    <s v="PL_A1"/>
    <x v="12"/>
    <x v="3"/>
    <s v="GBRP-LIGNITE-047"/>
    <x v="10"/>
    <x v="1"/>
    <n v="57"/>
    <n v="3467.5"/>
    <n v="12483"/>
  </r>
  <r>
    <x v="0"/>
    <x v="0"/>
    <x v="0"/>
    <x v="8"/>
    <x v="13"/>
    <s v="PL_A1"/>
    <x v="12"/>
    <x v="3"/>
    <s v="GBRP-LIGNITE-047"/>
    <x v="10"/>
    <x v="2"/>
    <n v="57"/>
    <n v="3467.5"/>
    <n v="12483"/>
  </r>
  <r>
    <x v="0"/>
    <x v="0"/>
    <x v="0"/>
    <x v="8"/>
    <x v="13"/>
    <s v="PL_A1"/>
    <x v="12"/>
    <x v="3"/>
    <s v="GBRP-LIGNITE-047"/>
    <x v="10"/>
    <x v="3"/>
    <n v="57"/>
    <n v="3467.5"/>
    <n v="12483"/>
  </r>
  <r>
    <x v="0"/>
    <x v="0"/>
    <x v="0"/>
    <x v="8"/>
    <x v="13"/>
    <s v="PL_A1"/>
    <x v="12"/>
    <x v="3"/>
    <s v="GBRP-LIGNITE-047"/>
    <x v="10"/>
    <x v="4"/>
    <n v="57"/>
    <n v="3467.5"/>
    <n v="12483"/>
  </r>
  <r>
    <x v="0"/>
    <x v="0"/>
    <x v="0"/>
    <x v="8"/>
    <x v="13"/>
    <s v="PL_A1"/>
    <x v="12"/>
    <x v="3"/>
    <s v="GBRP-LIGNITE-047"/>
    <x v="10"/>
    <x v="5"/>
    <n v="57"/>
    <n v="3467.5"/>
    <n v="12483"/>
  </r>
  <r>
    <x v="0"/>
    <x v="0"/>
    <x v="0"/>
    <x v="8"/>
    <x v="13"/>
    <s v="PL_A1"/>
    <x v="12"/>
    <x v="3"/>
    <s v="GBRP-LIGNITE-047"/>
    <x v="10"/>
    <x v="6"/>
    <n v="57"/>
    <n v="3467.5"/>
    <n v="12483"/>
  </r>
  <r>
    <x v="0"/>
    <x v="0"/>
    <x v="0"/>
    <x v="8"/>
    <x v="13"/>
    <s v="PL_A1"/>
    <x v="12"/>
    <x v="3"/>
    <s v="GBRP-LIGNITE-047"/>
    <x v="10"/>
    <x v="7"/>
    <n v="57"/>
    <n v="3467.5"/>
    <n v="12483"/>
  </r>
  <r>
    <x v="0"/>
    <x v="0"/>
    <x v="0"/>
    <x v="8"/>
    <x v="13"/>
    <s v="PL_A1"/>
    <x v="12"/>
    <x v="3"/>
    <s v="GBRP-LIGNITE-047"/>
    <x v="10"/>
    <x v="8"/>
    <n v="57"/>
    <n v="3467.5"/>
    <n v="12483"/>
  </r>
  <r>
    <x v="0"/>
    <x v="0"/>
    <x v="0"/>
    <x v="8"/>
    <x v="13"/>
    <s v="PL_A1"/>
    <x v="12"/>
    <x v="3"/>
    <s v="GBRP-LIGNITE-047"/>
    <x v="10"/>
    <x v="9"/>
    <n v="57"/>
    <n v="3467.5"/>
    <n v="12483"/>
  </r>
  <r>
    <x v="0"/>
    <x v="0"/>
    <x v="0"/>
    <x v="8"/>
    <x v="13"/>
    <s v="PL_A1"/>
    <x v="12"/>
    <x v="3"/>
    <s v="GBRP-LIGNITE-047"/>
    <x v="10"/>
    <x v="10"/>
    <n v="57"/>
    <n v="3467.5"/>
    <n v="12483"/>
  </r>
  <r>
    <x v="0"/>
    <x v="0"/>
    <x v="0"/>
    <x v="8"/>
    <x v="13"/>
    <s v="PL_A1"/>
    <x v="12"/>
    <x v="3"/>
    <s v="GBRP-LIGNITE-047"/>
    <x v="10"/>
    <x v="11"/>
    <n v="57"/>
    <n v="3467.5"/>
    <n v="12483"/>
  </r>
  <r>
    <x v="0"/>
    <x v="0"/>
    <x v="0"/>
    <x v="8"/>
    <x v="13"/>
    <s v="PL_A1"/>
    <x v="12"/>
    <x v="3"/>
    <s v="GBRP-LIGNITE-047"/>
    <x v="11"/>
    <x v="0"/>
    <n v="57"/>
    <n v="3467.5"/>
    <n v="12483"/>
  </r>
  <r>
    <x v="0"/>
    <x v="0"/>
    <x v="0"/>
    <x v="8"/>
    <x v="13"/>
    <s v="PL_A1"/>
    <x v="12"/>
    <x v="3"/>
    <s v="GBRP-LIGNITE-047"/>
    <x v="11"/>
    <x v="1"/>
    <n v="57"/>
    <n v="3467.5"/>
    <n v="12483"/>
  </r>
  <r>
    <x v="0"/>
    <x v="0"/>
    <x v="0"/>
    <x v="8"/>
    <x v="13"/>
    <s v="PL_A1"/>
    <x v="12"/>
    <x v="3"/>
    <s v="GBRP-LIGNITE-047"/>
    <x v="11"/>
    <x v="2"/>
    <n v="57"/>
    <n v="3467.5"/>
    <n v="12483"/>
  </r>
  <r>
    <x v="0"/>
    <x v="0"/>
    <x v="0"/>
    <x v="8"/>
    <x v="13"/>
    <s v="PL_A1"/>
    <x v="12"/>
    <x v="3"/>
    <s v="GBRP-LIGNITE-047"/>
    <x v="11"/>
    <x v="3"/>
    <n v="57"/>
    <n v="3467.5"/>
    <n v="12483"/>
  </r>
  <r>
    <x v="0"/>
    <x v="0"/>
    <x v="0"/>
    <x v="8"/>
    <x v="13"/>
    <s v="PL_A1"/>
    <x v="12"/>
    <x v="3"/>
    <s v="GBRP-LIGNITE-047"/>
    <x v="11"/>
    <x v="4"/>
    <n v="57"/>
    <n v="3467.5"/>
    <n v="12483"/>
  </r>
  <r>
    <x v="0"/>
    <x v="0"/>
    <x v="0"/>
    <x v="8"/>
    <x v="13"/>
    <s v="PL_A1"/>
    <x v="12"/>
    <x v="3"/>
    <s v="GBRP-LIGNITE-047"/>
    <x v="11"/>
    <x v="5"/>
    <n v="57"/>
    <n v="3467.5"/>
    <n v="12483"/>
  </r>
  <r>
    <x v="0"/>
    <x v="0"/>
    <x v="0"/>
    <x v="8"/>
    <x v="13"/>
    <s v="PL_A1"/>
    <x v="12"/>
    <x v="3"/>
    <s v="GBRP-LIGNITE-047"/>
    <x v="11"/>
    <x v="6"/>
    <n v="57"/>
    <n v="3467.5"/>
    <n v="12483"/>
  </r>
  <r>
    <x v="0"/>
    <x v="0"/>
    <x v="0"/>
    <x v="8"/>
    <x v="13"/>
    <s v="PL_A1"/>
    <x v="12"/>
    <x v="3"/>
    <s v="GBRP-LIGNITE-047"/>
    <x v="11"/>
    <x v="7"/>
    <n v="57"/>
    <n v="3467.5"/>
    <n v="12483"/>
  </r>
  <r>
    <x v="0"/>
    <x v="0"/>
    <x v="0"/>
    <x v="8"/>
    <x v="13"/>
    <s v="PL_A1"/>
    <x v="12"/>
    <x v="3"/>
    <s v="GBRP-LIGNITE-047"/>
    <x v="11"/>
    <x v="8"/>
    <n v="57"/>
    <n v="3467.5"/>
    <n v="12483"/>
  </r>
  <r>
    <x v="0"/>
    <x v="0"/>
    <x v="0"/>
    <x v="8"/>
    <x v="13"/>
    <s v="PL_A1"/>
    <x v="12"/>
    <x v="3"/>
    <s v="GBRP-LIGNITE-047"/>
    <x v="11"/>
    <x v="9"/>
    <n v="57"/>
    <n v="3467.5"/>
    <n v="12483"/>
  </r>
  <r>
    <x v="0"/>
    <x v="0"/>
    <x v="0"/>
    <x v="8"/>
    <x v="13"/>
    <s v="PL_A1"/>
    <x v="12"/>
    <x v="3"/>
    <s v="GBRP-LIGNITE-047"/>
    <x v="11"/>
    <x v="10"/>
    <n v="57"/>
    <n v="3467.5"/>
    <n v="12483"/>
  </r>
  <r>
    <x v="0"/>
    <x v="0"/>
    <x v="0"/>
    <x v="8"/>
    <x v="13"/>
    <s v="PL_A1"/>
    <x v="12"/>
    <x v="3"/>
    <s v="GBRP-LIGNITE-047"/>
    <x v="11"/>
    <x v="11"/>
    <n v="57"/>
    <n v="3467.5"/>
    <n v="12483"/>
  </r>
  <r>
    <x v="0"/>
    <x v="0"/>
    <x v="0"/>
    <x v="8"/>
    <x v="13"/>
    <s v="PL_A1"/>
    <x v="12"/>
    <x v="4"/>
    <s v="GEXT-LIGNITE-036"/>
    <x v="0"/>
    <x v="0"/>
    <n v="109.949026294535"/>
    <n v="6688.5657662508602"/>
    <n v="24078.836758503101"/>
  </r>
  <r>
    <x v="0"/>
    <x v="0"/>
    <x v="0"/>
    <x v="8"/>
    <x v="13"/>
    <s v="PL_A1"/>
    <x v="12"/>
    <x v="4"/>
    <s v="GEXT-LIGNITE-036"/>
    <x v="0"/>
    <x v="1"/>
    <n v="109.949026294535"/>
    <n v="6688.5657662508602"/>
    <n v="24078.836758503101"/>
  </r>
  <r>
    <x v="0"/>
    <x v="0"/>
    <x v="0"/>
    <x v="8"/>
    <x v="13"/>
    <s v="PL_A1"/>
    <x v="12"/>
    <x v="4"/>
    <s v="GEXT-LIGNITE-036"/>
    <x v="0"/>
    <x v="2"/>
    <n v="109.949026294535"/>
    <n v="6688.5657662508602"/>
    <n v="24078.836758503101"/>
  </r>
  <r>
    <x v="0"/>
    <x v="0"/>
    <x v="0"/>
    <x v="8"/>
    <x v="13"/>
    <s v="PL_A1"/>
    <x v="12"/>
    <x v="4"/>
    <s v="GEXT-LIGNITE-036"/>
    <x v="0"/>
    <x v="3"/>
    <n v="109.949026294535"/>
    <n v="6688.5657662508602"/>
    <n v="24078.836758503101"/>
  </r>
  <r>
    <x v="0"/>
    <x v="0"/>
    <x v="0"/>
    <x v="8"/>
    <x v="13"/>
    <s v="PL_A1"/>
    <x v="12"/>
    <x v="4"/>
    <s v="GEXT-LIGNITE-036"/>
    <x v="0"/>
    <x v="4"/>
    <n v="109.949026294535"/>
    <n v="6688.5657662508602"/>
    <n v="24078.836758503101"/>
  </r>
  <r>
    <x v="0"/>
    <x v="0"/>
    <x v="0"/>
    <x v="8"/>
    <x v="13"/>
    <s v="PL_A1"/>
    <x v="12"/>
    <x v="4"/>
    <s v="GEXT-LIGNITE-036"/>
    <x v="0"/>
    <x v="5"/>
    <n v="109.949026294535"/>
    <n v="6688.5657662508602"/>
    <n v="24078.836758503101"/>
  </r>
  <r>
    <x v="0"/>
    <x v="0"/>
    <x v="0"/>
    <x v="8"/>
    <x v="13"/>
    <s v="PL_A1"/>
    <x v="12"/>
    <x v="4"/>
    <s v="GEXT-LIGNITE-036"/>
    <x v="0"/>
    <x v="6"/>
    <n v="109.949026294535"/>
    <n v="6688.5657662508602"/>
    <n v="24078.836758503101"/>
  </r>
  <r>
    <x v="0"/>
    <x v="0"/>
    <x v="0"/>
    <x v="8"/>
    <x v="13"/>
    <s v="PL_A1"/>
    <x v="12"/>
    <x v="4"/>
    <s v="GEXT-LIGNITE-036"/>
    <x v="0"/>
    <x v="7"/>
    <n v="109.949026294535"/>
    <n v="6688.5657662508602"/>
    <n v="24078.836758503101"/>
  </r>
  <r>
    <x v="0"/>
    <x v="0"/>
    <x v="0"/>
    <x v="8"/>
    <x v="13"/>
    <s v="PL_A1"/>
    <x v="12"/>
    <x v="4"/>
    <s v="GEXT-LIGNITE-036"/>
    <x v="0"/>
    <x v="8"/>
    <n v="109.949026294535"/>
    <n v="6688.5657662508602"/>
    <n v="24078.836758503101"/>
  </r>
  <r>
    <x v="0"/>
    <x v="0"/>
    <x v="0"/>
    <x v="8"/>
    <x v="13"/>
    <s v="PL_A1"/>
    <x v="12"/>
    <x v="4"/>
    <s v="GEXT-LIGNITE-036"/>
    <x v="0"/>
    <x v="9"/>
    <n v="109.949026294535"/>
    <n v="6688.5657662508602"/>
    <n v="24078.836758503101"/>
  </r>
  <r>
    <x v="0"/>
    <x v="0"/>
    <x v="0"/>
    <x v="8"/>
    <x v="13"/>
    <s v="PL_A1"/>
    <x v="12"/>
    <x v="4"/>
    <s v="GEXT-LIGNITE-036"/>
    <x v="0"/>
    <x v="10"/>
    <n v="109.949026294535"/>
    <n v="6688.5657662508602"/>
    <n v="24078.836758503101"/>
  </r>
  <r>
    <x v="0"/>
    <x v="0"/>
    <x v="0"/>
    <x v="8"/>
    <x v="13"/>
    <s v="PL_A1"/>
    <x v="12"/>
    <x v="4"/>
    <s v="GEXT-LIGNITE-036"/>
    <x v="0"/>
    <x v="11"/>
    <n v="109.949026294535"/>
    <n v="6688.5657662508602"/>
    <n v="24078.836758503101"/>
  </r>
  <r>
    <x v="0"/>
    <x v="0"/>
    <x v="0"/>
    <x v="8"/>
    <x v="13"/>
    <s v="PL_A1"/>
    <x v="12"/>
    <x v="4"/>
    <s v="GEXT-LIGNITE-036"/>
    <x v="1"/>
    <x v="0"/>
    <n v="109.949026294535"/>
    <n v="6688.5657662508602"/>
    <n v="24078.836758503101"/>
  </r>
  <r>
    <x v="0"/>
    <x v="0"/>
    <x v="0"/>
    <x v="8"/>
    <x v="13"/>
    <s v="PL_A1"/>
    <x v="12"/>
    <x v="4"/>
    <s v="GEXT-LIGNITE-036"/>
    <x v="1"/>
    <x v="1"/>
    <n v="109.949026294535"/>
    <n v="6688.5657662508602"/>
    <n v="24078.836758503101"/>
  </r>
  <r>
    <x v="0"/>
    <x v="0"/>
    <x v="0"/>
    <x v="8"/>
    <x v="13"/>
    <s v="PL_A1"/>
    <x v="12"/>
    <x v="4"/>
    <s v="GEXT-LIGNITE-036"/>
    <x v="1"/>
    <x v="2"/>
    <n v="109.949026294535"/>
    <n v="6688.5657662508602"/>
    <n v="24078.836758503101"/>
  </r>
  <r>
    <x v="0"/>
    <x v="0"/>
    <x v="0"/>
    <x v="8"/>
    <x v="13"/>
    <s v="PL_A1"/>
    <x v="12"/>
    <x v="4"/>
    <s v="GEXT-LIGNITE-036"/>
    <x v="1"/>
    <x v="3"/>
    <n v="109.949026294535"/>
    <n v="6688.5657662508602"/>
    <n v="24078.836758503101"/>
  </r>
  <r>
    <x v="0"/>
    <x v="0"/>
    <x v="0"/>
    <x v="8"/>
    <x v="13"/>
    <s v="PL_A1"/>
    <x v="12"/>
    <x v="4"/>
    <s v="GEXT-LIGNITE-036"/>
    <x v="1"/>
    <x v="4"/>
    <n v="109.949026294535"/>
    <n v="6688.5657662508602"/>
    <n v="24078.836758503101"/>
  </r>
  <r>
    <x v="0"/>
    <x v="0"/>
    <x v="0"/>
    <x v="8"/>
    <x v="13"/>
    <s v="PL_A1"/>
    <x v="12"/>
    <x v="4"/>
    <s v="GEXT-LIGNITE-036"/>
    <x v="1"/>
    <x v="5"/>
    <n v="109.949026294535"/>
    <n v="6688.5657662508602"/>
    <n v="24078.836758503101"/>
  </r>
  <r>
    <x v="0"/>
    <x v="0"/>
    <x v="0"/>
    <x v="8"/>
    <x v="13"/>
    <s v="PL_A1"/>
    <x v="12"/>
    <x v="4"/>
    <s v="GEXT-LIGNITE-036"/>
    <x v="1"/>
    <x v="6"/>
    <n v="109.949026294535"/>
    <n v="6688.5657662508602"/>
    <n v="24078.836758503101"/>
  </r>
  <r>
    <x v="0"/>
    <x v="0"/>
    <x v="0"/>
    <x v="8"/>
    <x v="13"/>
    <s v="PL_A1"/>
    <x v="12"/>
    <x v="4"/>
    <s v="GEXT-LIGNITE-036"/>
    <x v="1"/>
    <x v="7"/>
    <n v="109.949026294535"/>
    <n v="6688.5657662508602"/>
    <n v="24078.836758503101"/>
  </r>
  <r>
    <x v="0"/>
    <x v="0"/>
    <x v="0"/>
    <x v="8"/>
    <x v="13"/>
    <s v="PL_A1"/>
    <x v="12"/>
    <x v="4"/>
    <s v="GEXT-LIGNITE-036"/>
    <x v="1"/>
    <x v="8"/>
    <n v="109.949026294535"/>
    <n v="6688.5657662508602"/>
    <n v="24078.836758503101"/>
  </r>
  <r>
    <x v="0"/>
    <x v="0"/>
    <x v="0"/>
    <x v="8"/>
    <x v="13"/>
    <s v="PL_A1"/>
    <x v="12"/>
    <x v="4"/>
    <s v="GEXT-LIGNITE-036"/>
    <x v="1"/>
    <x v="9"/>
    <n v="109.949026294535"/>
    <n v="6688.5657662508602"/>
    <n v="24078.836758503101"/>
  </r>
  <r>
    <x v="0"/>
    <x v="0"/>
    <x v="0"/>
    <x v="8"/>
    <x v="13"/>
    <s v="PL_A1"/>
    <x v="12"/>
    <x v="4"/>
    <s v="GEXT-LIGNITE-036"/>
    <x v="1"/>
    <x v="10"/>
    <n v="109.949026294535"/>
    <n v="6688.5657662508602"/>
    <n v="24078.836758503101"/>
  </r>
  <r>
    <x v="0"/>
    <x v="0"/>
    <x v="0"/>
    <x v="8"/>
    <x v="13"/>
    <s v="PL_A1"/>
    <x v="12"/>
    <x v="4"/>
    <s v="GEXT-LIGNITE-036"/>
    <x v="1"/>
    <x v="11"/>
    <n v="109.949026294535"/>
    <n v="6688.5657662508602"/>
    <n v="24078.836758503101"/>
  </r>
  <r>
    <x v="0"/>
    <x v="0"/>
    <x v="0"/>
    <x v="8"/>
    <x v="13"/>
    <s v="PL_A1"/>
    <x v="12"/>
    <x v="4"/>
    <s v="GEXT-LIGNITE-036"/>
    <x v="2"/>
    <x v="0"/>
    <n v="109.949026294535"/>
    <n v="6688.5657662508602"/>
    <n v="24078.836758503101"/>
  </r>
  <r>
    <x v="0"/>
    <x v="0"/>
    <x v="0"/>
    <x v="8"/>
    <x v="13"/>
    <s v="PL_A1"/>
    <x v="12"/>
    <x v="4"/>
    <s v="GEXT-LIGNITE-036"/>
    <x v="2"/>
    <x v="1"/>
    <n v="109.949026294535"/>
    <n v="6688.5657662508602"/>
    <n v="24078.836758503101"/>
  </r>
  <r>
    <x v="0"/>
    <x v="0"/>
    <x v="0"/>
    <x v="8"/>
    <x v="13"/>
    <s v="PL_A1"/>
    <x v="12"/>
    <x v="4"/>
    <s v="GEXT-LIGNITE-036"/>
    <x v="2"/>
    <x v="2"/>
    <n v="109.949026294535"/>
    <n v="6688.5657662508602"/>
    <n v="24078.836758503101"/>
  </r>
  <r>
    <x v="0"/>
    <x v="0"/>
    <x v="0"/>
    <x v="8"/>
    <x v="13"/>
    <s v="PL_A1"/>
    <x v="12"/>
    <x v="4"/>
    <s v="GEXT-LIGNITE-036"/>
    <x v="2"/>
    <x v="3"/>
    <n v="109.949026294535"/>
    <n v="6688.5657662508602"/>
    <n v="24078.836758503101"/>
  </r>
  <r>
    <x v="0"/>
    <x v="0"/>
    <x v="0"/>
    <x v="8"/>
    <x v="13"/>
    <s v="PL_A1"/>
    <x v="12"/>
    <x v="4"/>
    <s v="GEXT-LIGNITE-036"/>
    <x v="2"/>
    <x v="4"/>
    <n v="109.949026294535"/>
    <n v="6688.5657662508602"/>
    <n v="24078.836758503101"/>
  </r>
  <r>
    <x v="0"/>
    <x v="0"/>
    <x v="0"/>
    <x v="8"/>
    <x v="13"/>
    <s v="PL_A1"/>
    <x v="12"/>
    <x v="4"/>
    <s v="GEXT-LIGNITE-036"/>
    <x v="2"/>
    <x v="5"/>
    <n v="109.949026294535"/>
    <n v="6688.5657662508602"/>
    <n v="24078.836758503101"/>
  </r>
  <r>
    <x v="0"/>
    <x v="0"/>
    <x v="0"/>
    <x v="8"/>
    <x v="13"/>
    <s v="PL_A1"/>
    <x v="12"/>
    <x v="4"/>
    <s v="GEXT-LIGNITE-036"/>
    <x v="2"/>
    <x v="6"/>
    <n v="109.949026294535"/>
    <n v="6688.5657662508602"/>
    <n v="24078.836758503101"/>
  </r>
  <r>
    <x v="0"/>
    <x v="0"/>
    <x v="0"/>
    <x v="8"/>
    <x v="13"/>
    <s v="PL_A1"/>
    <x v="12"/>
    <x v="4"/>
    <s v="GEXT-LIGNITE-036"/>
    <x v="2"/>
    <x v="7"/>
    <n v="109.949026294535"/>
    <n v="6688.5657662508602"/>
    <n v="24078.836758503101"/>
  </r>
  <r>
    <x v="0"/>
    <x v="0"/>
    <x v="0"/>
    <x v="8"/>
    <x v="13"/>
    <s v="PL_A1"/>
    <x v="12"/>
    <x v="4"/>
    <s v="GEXT-LIGNITE-036"/>
    <x v="2"/>
    <x v="8"/>
    <n v="109.949026294535"/>
    <n v="6688.5657662508602"/>
    <n v="24078.836758503101"/>
  </r>
  <r>
    <x v="0"/>
    <x v="0"/>
    <x v="0"/>
    <x v="8"/>
    <x v="13"/>
    <s v="PL_A1"/>
    <x v="12"/>
    <x v="4"/>
    <s v="GEXT-LIGNITE-036"/>
    <x v="2"/>
    <x v="9"/>
    <n v="109.949026294535"/>
    <n v="6688.5657662508602"/>
    <n v="24078.836758503101"/>
  </r>
  <r>
    <x v="0"/>
    <x v="0"/>
    <x v="0"/>
    <x v="8"/>
    <x v="13"/>
    <s v="PL_A1"/>
    <x v="12"/>
    <x v="4"/>
    <s v="GEXT-LIGNITE-036"/>
    <x v="2"/>
    <x v="10"/>
    <n v="109.949026294535"/>
    <n v="6688.5657662508602"/>
    <n v="24078.836758503101"/>
  </r>
  <r>
    <x v="0"/>
    <x v="0"/>
    <x v="0"/>
    <x v="8"/>
    <x v="13"/>
    <s v="PL_A1"/>
    <x v="12"/>
    <x v="4"/>
    <s v="GEXT-LIGNITE-036"/>
    <x v="2"/>
    <x v="11"/>
    <n v="109.949026294535"/>
    <n v="6688.5657662508602"/>
    <n v="24078.836758503101"/>
  </r>
  <r>
    <x v="0"/>
    <x v="0"/>
    <x v="0"/>
    <x v="8"/>
    <x v="13"/>
    <s v="PL_A1"/>
    <x v="12"/>
    <x v="4"/>
    <s v="GEXT-LIGNITE-036"/>
    <x v="3"/>
    <x v="0"/>
    <n v="109.949026294535"/>
    <n v="6688.5657662508602"/>
    <n v="24078.836758503101"/>
  </r>
  <r>
    <x v="0"/>
    <x v="0"/>
    <x v="0"/>
    <x v="8"/>
    <x v="13"/>
    <s v="PL_A1"/>
    <x v="12"/>
    <x v="4"/>
    <s v="GEXT-LIGNITE-036"/>
    <x v="3"/>
    <x v="1"/>
    <n v="109.949026294535"/>
    <n v="6688.5657662508602"/>
    <n v="24078.836758503101"/>
  </r>
  <r>
    <x v="0"/>
    <x v="0"/>
    <x v="0"/>
    <x v="8"/>
    <x v="13"/>
    <s v="PL_A1"/>
    <x v="12"/>
    <x v="4"/>
    <s v="GEXT-LIGNITE-036"/>
    <x v="3"/>
    <x v="2"/>
    <n v="109.949026294535"/>
    <n v="6688.5657662508602"/>
    <n v="24078.836758503101"/>
  </r>
  <r>
    <x v="0"/>
    <x v="0"/>
    <x v="0"/>
    <x v="8"/>
    <x v="13"/>
    <s v="PL_A1"/>
    <x v="12"/>
    <x v="4"/>
    <s v="GEXT-LIGNITE-036"/>
    <x v="3"/>
    <x v="3"/>
    <n v="109.949026294535"/>
    <n v="6688.5657662508602"/>
    <n v="24078.836758503101"/>
  </r>
  <r>
    <x v="0"/>
    <x v="0"/>
    <x v="0"/>
    <x v="8"/>
    <x v="13"/>
    <s v="PL_A1"/>
    <x v="12"/>
    <x v="4"/>
    <s v="GEXT-LIGNITE-036"/>
    <x v="3"/>
    <x v="4"/>
    <n v="109.949026294535"/>
    <n v="6688.5657662508602"/>
    <n v="24078.836758503101"/>
  </r>
  <r>
    <x v="0"/>
    <x v="0"/>
    <x v="0"/>
    <x v="8"/>
    <x v="13"/>
    <s v="PL_A1"/>
    <x v="12"/>
    <x v="4"/>
    <s v="GEXT-LIGNITE-036"/>
    <x v="3"/>
    <x v="5"/>
    <n v="109.949026294535"/>
    <n v="6688.5657662508602"/>
    <n v="24078.836758503101"/>
  </r>
  <r>
    <x v="0"/>
    <x v="0"/>
    <x v="0"/>
    <x v="8"/>
    <x v="13"/>
    <s v="PL_A1"/>
    <x v="12"/>
    <x v="4"/>
    <s v="GEXT-LIGNITE-036"/>
    <x v="3"/>
    <x v="6"/>
    <n v="109.949026294535"/>
    <n v="6688.5657662508602"/>
    <n v="24078.836758503101"/>
  </r>
  <r>
    <x v="0"/>
    <x v="0"/>
    <x v="0"/>
    <x v="8"/>
    <x v="13"/>
    <s v="PL_A1"/>
    <x v="12"/>
    <x v="4"/>
    <s v="GEXT-LIGNITE-036"/>
    <x v="3"/>
    <x v="7"/>
    <n v="109.949026294535"/>
    <n v="6688.5657662508602"/>
    <n v="24078.836758503101"/>
  </r>
  <r>
    <x v="0"/>
    <x v="0"/>
    <x v="0"/>
    <x v="8"/>
    <x v="13"/>
    <s v="PL_A1"/>
    <x v="12"/>
    <x v="4"/>
    <s v="GEXT-LIGNITE-036"/>
    <x v="3"/>
    <x v="8"/>
    <n v="109.949026294535"/>
    <n v="6688.5657662508602"/>
    <n v="24078.836758503101"/>
  </r>
  <r>
    <x v="0"/>
    <x v="0"/>
    <x v="0"/>
    <x v="8"/>
    <x v="13"/>
    <s v="PL_A1"/>
    <x v="12"/>
    <x v="4"/>
    <s v="GEXT-LIGNITE-036"/>
    <x v="3"/>
    <x v="9"/>
    <n v="109.949026294535"/>
    <n v="6688.5657662508602"/>
    <n v="24078.836758503101"/>
  </r>
  <r>
    <x v="0"/>
    <x v="0"/>
    <x v="0"/>
    <x v="8"/>
    <x v="13"/>
    <s v="PL_A1"/>
    <x v="12"/>
    <x v="4"/>
    <s v="GEXT-LIGNITE-036"/>
    <x v="3"/>
    <x v="10"/>
    <n v="109.949026294535"/>
    <n v="6688.5657662508602"/>
    <n v="24078.836758503101"/>
  </r>
  <r>
    <x v="0"/>
    <x v="0"/>
    <x v="0"/>
    <x v="8"/>
    <x v="13"/>
    <s v="PL_A1"/>
    <x v="12"/>
    <x v="4"/>
    <s v="GEXT-LIGNITE-036"/>
    <x v="3"/>
    <x v="11"/>
    <n v="109.949026294535"/>
    <n v="6688.5657662508602"/>
    <n v="24078.836758503101"/>
  </r>
  <r>
    <x v="0"/>
    <x v="0"/>
    <x v="0"/>
    <x v="8"/>
    <x v="13"/>
    <s v="PL_A1"/>
    <x v="12"/>
    <x v="4"/>
    <s v="GEXT-LIGNITE-036"/>
    <x v="4"/>
    <x v="0"/>
    <n v="109.949026294535"/>
    <n v="6688.5657662508602"/>
    <n v="24078.836758503101"/>
  </r>
  <r>
    <x v="0"/>
    <x v="0"/>
    <x v="0"/>
    <x v="8"/>
    <x v="13"/>
    <s v="PL_A1"/>
    <x v="12"/>
    <x v="4"/>
    <s v="GEXT-LIGNITE-036"/>
    <x v="4"/>
    <x v="1"/>
    <n v="109.949026294535"/>
    <n v="6688.5657662508602"/>
    <n v="24078.836758503101"/>
  </r>
  <r>
    <x v="0"/>
    <x v="0"/>
    <x v="0"/>
    <x v="8"/>
    <x v="13"/>
    <s v="PL_A1"/>
    <x v="12"/>
    <x v="4"/>
    <s v="GEXT-LIGNITE-036"/>
    <x v="4"/>
    <x v="2"/>
    <n v="109.949026294535"/>
    <n v="6688.5657662508602"/>
    <n v="24078.836758503101"/>
  </r>
  <r>
    <x v="0"/>
    <x v="0"/>
    <x v="0"/>
    <x v="8"/>
    <x v="13"/>
    <s v="PL_A1"/>
    <x v="12"/>
    <x v="4"/>
    <s v="GEXT-LIGNITE-036"/>
    <x v="4"/>
    <x v="3"/>
    <n v="109.949026294535"/>
    <n v="6688.5657662508602"/>
    <n v="24078.836758503101"/>
  </r>
  <r>
    <x v="0"/>
    <x v="0"/>
    <x v="0"/>
    <x v="8"/>
    <x v="13"/>
    <s v="PL_A1"/>
    <x v="12"/>
    <x v="4"/>
    <s v="GEXT-LIGNITE-036"/>
    <x v="4"/>
    <x v="4"/>
    <n v="109.949026294535"/>
    <n v="6688.5657662508602"/>
    <n v="24078.836758503101"/>
  </r>
  <r>
    <x v="0"/>
    <x v="0"/>
    <x v="0"/>
    <x v="8"/>
    <x v="13"/>
    <s v="PL_A1"/>
    <x v="12"/>
    <x v="4"/>
    <s v="GEXT-LIGNITE-036"/>
    <x v="4"/>
    <x v="5"/>
    <n v="109.949026294535"/>
    <n v="6688.5657662508602"/>
    <n v="24078.836758503101"/>
  </r>
  <r>
    <x v="0"/>
    <x v="0"/>
    <x v="0"/>
    <x v="8"/>
    <x v="13"/>
    <s v="PL_A1"/>
    <x v="12"/>
    <x v="4"/>
    <s v="GEXT-LIGNITE-036"/>
    <x v="4"/>
    <x v="6"/>
    <n v="109.949026294535"/>
    <n v="6688.5657662508602"/>
    <n v="24078.836758503101"/>
  </r>
  <r>
    <x v="0"/>
    <x v="0"/>
    <x v="0"/>
    <x v="8"/>
    <x v="13"/>
    <s v="PL_A1"/>
    <x v="12"/>
    <x v="4"/>
    <s v="GEXT-LIGNITE-036"/>
    <x v="4"/>
    <x v="7"/>
    <n v="109.949026294535"/>
    <n v="6688.5657662508602"/>
    <n v="24078.836758503101"/>
  </r>
  <r>
    <x v="0"/>
    <x v="0"/>
    <x v="0"/>
    <x v="8"/>
    <x v="13"/>
    <s v="PL_A1"/>
    <x v="12"/>
    <x v="4"/>
    <s v="GEXT-LIGNITE-036"/>
    <x v="4"/>
    <x v="8"/>
    <n v="109.949026294535"/>
    <n v="6688.5657662508602"/>
    <n v="24078.836758503101"/>
  </r>
  <r>
    <x v="0"/>
    <x v="0"/>
    <x v="0"/>
    <x v="8"/>
    <x v="13"/>
    <s v="PL_A1"/>
    <x v="12"/>
    <x v="4"/>
    <s v="GEXT-LIGNITE-036"/>
    <x v="4"/>
    <x v="9"/>
    <n v="109.949026294535"/>
    <n v="6688.5657662508602"/>
    <n v="24078.836758503101"/>
  </r>
  <r>
    <x v="0"/>
    <x v="0"/>
    <x v="0"/>
    <x v="8"/>
    <x v="13"/>
    <s v="PL_A1"/>
    <x v="12"/>
    <x v="4"/>
    <s v="GEXT-LIGNITE-036"/>
    <x v="4"/>
    <x v="10"/>
    <n v="109.949026294535"/>
    <n v="6688.5657662508602"/>
    <n v="24078.836758503101"/>
  </r>
  <r>
    <x v="0"/>
    <x v="0"/>
    <x v="0"/>
    <x v="8"/>
    <x v="13"/>
    <s v="PL_A1"/>
    <x v="12"/>
    <x v="4"/>
    <s v="GEXT-LIGNITE-036"/>
    <x v="4"/>
    <x v="11"/>
    <n v="109.949026294535"/>
    <n v="6688.5657662508602"/>
    <n v="24078.836758503101"/>
  </r>
  <r>
    <x v="0"/>
    <x v="0"/>
    <x v="0"/>
    <x v="8"/>
    <x v="13"/>
    <s v="PL_A1"/>
    <x v="12"/>
    <x v="4"/>
    <s v="GEXT-LIGNITE-036"/>
    <x v="5"/>
    <x v="0"/>
    <n v="109.949026294535"/>
    <n v="6688.5657662508602"/>
    <n v="24078.836758503101"/>
  </r>
  <r>
    <x v="0"/>
    <x v="0"/>
    <x v="0"/>
    <x v="8"/>
    <x v="13"/>
    <s v="PL_A1"/>
    <x v="12"/>
    <x v="4"/>
    <s v="GEXT-LIGNITE-036"/>
    <x v="5"/>
    <x v="1"/>
    <n v="109.949026294535"/>
    <n v="6688.5657662508602"/>
    <n v="24078.836758503101"/>
  </r>
  <r>
    <x v="0"/>
    <x v="0"/>
    <x v="0"/>
    <x v="8"/>
    <x v="13"/>
    <s v="PL_A1"/>
    <x v="12"/>
    <x v="4"/>
    <s v="GEXT-LIGNITE-036"/>
    <x v="5"/>
    <x v="2"/>
    <n v="109.949026294535"/>
    <n v="6688.5657662508602"/>
    <n v="24078.836758503101"/>
  </r>
  <r>
    <x v="0"/>
    <x v="0"/>
    <x v="0"/>
    <x v="8"/>
    <x v="13"/>
    <s v="PL_A1"/>
    <x v="12"/>
    <x v="4"/>
    <s v="GEXT-LIGNITE-036"/>
    <x v="5"/>
    <x v="3"/>
    <n v="109.949026294535"/>
    <n v="6688.5657662508602"/>
    <n v="24078.836758503101"/>
  </r>
  <r>
    <x v="0"/>
    <x v="0"/>
    <x v="0"/>
    <x v="8"/>
    <x v="13"/>
    <s v="PL_A1"/>
    <x v="12"/>
    <x v="4"/>
    <s v="GEXT-LIGNITE-036"/>
    <x v="5"/>
    <x v="4"/>
    <n v="109.949026294535"/>
    <n v="6688.5657662508602"/>
    <n v="24078.836758503101"/>
  </r>
  <r>
    <x v="0"/>
    <x v="0"/>
    <x v="0"/>
    <x v="8"/>
    <x v="13"/>
    <s v="PL_A1"/>
    <x v="12"/>
    <x v="4"/>
    <s v="GEXT-LIGNITE-036"/>
    <x v="5"/>
    <x v="5"/>
    <n v="109.949026294535"/>
    <n v="6688.5657662508602"/>
    <n v="24078.836758503101"/>
  </r>
  <r>
    <x v="0"/>
    <x v="0"/>
    <x v="0"/>
    <x v="8"/>
    <x v="13"/>
    <s v="PL_A1"/>
    <x v="12"/>
    <x v="4"/>
    <s v="GEXT-LIGNITE-036"/>
    <x v="5"/>
    <x v="6"/>
    <n v="109.949026294535"/>
    <n v="6688.5657662508602"/>
    <n v="24078.836758503101"/>
  </r>
  <r>
    <x v="0"/>
    <x v="0"/>
    <x v="0"/>
    <x v="8"/>
    <x v="13"/>
    <s v="PL_A1"/>
    <x v="12"/>
    <x v="4"/>
    <s v="GEXT-LIGNITE-036"/>
    <x v="5"/>
    <x v="7"/>
    <n v="109.949026294535"/>
    <n v="6688.5657662508602"/>
    <n v="24078.836758503101"/>
  </r>
  <r>
    <x v="0"/>
    <x v="0"/>
    <x v="0"/>
    <x v="8"/>
    <x v="13"/>
    <s v="PL_A1"/>
    <x v="12"/>
    <x v="4"/>
    <s v="GEXT-LIGNITE-036"/>
    <x v="5"/>
    <x v="8"/>
    <n v="109.949026294535"/>
    <n v="6688.5657662508602"/>
    <n v="24078.836758503101"/>
  </r>
  <r>
    <x v="0"/>
    <x v="0"/>
    <x v="0"/>
    <x v="8"/>
    <x v="13"/>
    <s v="PL_A1"/>
    <x v="12"/>
    <x v="4"/>
    <s v="GEXT-LIGNITE-036"/>
    <x v="5"/>
    <x v="9"/>
    <n v="109.949026294535"/>
    <n v="6688.5657662508602"/>
    <n v="24078.836758503101"/>
  </r>
  <r>
    <x v="0"/>
    <x v="0"/>
    <x v="0"/>
    <x v="8"/>
    <x v="13"/>
    <s v="PL_A1"/>
    <x v="12"/>
    <x v="4"/>
    <s v="GEXT-LIGNITE-036"/>
    <x v="5"/>
    <x v="10"/>
    <n v="109.949026294535"/>
    <n v="6688.5657662508602"/>
    <n v="24078.836758503101"/>
  </r>
  <r>
    <x v="0"/>
    <x v="0"/>
    <x v="0"/>
    <x v="8"/>
    <x v="13"/>
    <s v="PL_A1"/>
    <x v="12"/>
    <x v="4"/>
    <s v="GEXT-LIGNITE-036"/>
    <x v="5"/>
    <x v="11"/>
    <n v="109.949026294535"/>
    <n v="6688.5657662508602"/>
    <n v="24078.836758503101"/>
  </r>
  <r>
    <x v="0"/>
    <x v="0"/>
    <x v="0"/>
    <x v="8"/>
    <x v="13"/>
    <s v="PL_A1"/>
    <x v="12"/>
    <x v="4"/>
    <s v="GEXT-LIGNITE-036"/>
    <x v="6"/>
    <x v="0"/>
    <n v="109.949026294535"/>
    <n v="6688.5657662508602"/>
    <n v="24078.836758503101"/>
  </r>
  <r>
    <x v="0"/>
    <x v="0"/>
    <x v="0"/>
    <x v="8"/>
    <x v="13"/>
    <s v="PL_A1"/>
    <x v="12"/>
    <x v="4"/>
    <s v="GEXT-LIGNITE-036"/>
    <x v="6"/>
    <x v="1"/>
    <n v="109.949026294535"/>
    <n v="6688.5657662508602"/>
    <n v="24078.836758503101"/>
  </r>
  <r>
    <x v="0"/>
    <x v="0"/>
    <x v="0"/>
    <x v="8"/>
    <x v="13"/>
    <s v="PL_A1"/>
    <x v="12"/>
    <x v="4"/>
    <s v="GEXT-LIGNITE-036"/>
    <x v="6"/>
    <x v="2"/>
    <n v="109.949026294535"/>
    <n v="6688.5657662508602"/>
    <n v="24078.836758503101"/>
  </r>
  <r>
    <x v="0"/>
    <x v="0"/>
    <x v="0"/>
    <x v="8"/>
    <x v="13"/>
    <s v="PL_A1"/>
    <x v="12"/>
    <x v="4"/>
    <s v="GEXT-LIGNITE-036"/>
    <x v="6"/>
    <x v="3"/>
    <n v="109.949026294535"/>
    <n v="6688.5657662508602"/>
    <n v="24078.836758503101"/>
  </r>
  <r>
    <x v="0"/>
    <x v="0"/>
    <x v="0"/>
    <x v="8"/>
    <x v="13"/>
    <s v="PL_A1"/>
    <x v="12"/>
    <x v="4"/>
    <s v="GEXT-LIGNITE-036"/>
    <x v="6"/>
    <x v="4"/>
    <n v="109.949026294535"/>
    <n v="6688.5657662508602"/>
    <n v="24078.836758503101"/>
  </r>
  <r>
    <x v="0"/>
    <x v="0"/>
    <x v="0"/>
    <x v="8"/>
    <x v="13"/>
    <s v="PL_A1"/>
    <x v="12"/>
    <x v="4"/>
    <s v="GEXT-LIGNITE-036"/>
    <x v="6"/>
    <x v="5"/>
    <n v="109.949026294535"/>
    <n v="6688.5657662508602"/>
    <n v="24078.836758503101"/>
  </r>
  <r>
    <x v="0"/>
    <x v="0"/>
    <x v="0"/>
    <x v="8"/>
    <x v="13"/>
    <s v="PL_A1"/>
    <x v="12"/>
    <x v="4"/>
    <s v="GEXT-LIGNITE-036"/>
    <x v="6"/>
    <x v="6"/>
    <n v="109.949026294535"/>
    <n v="6688.5657662508602"/>
    <n v="24078.836758503101"/>
  </r>
  <r>
    <x v="0"/>
    <x v="0"/>
    <x v="0"/>
    <x v="8"/>
    <x v="13"/>
    <s v="PL_A1"/>
    <x v="12"/>
    <x v="4"/>
    <s v="GEXT-LIGNITE-036"/>
    <x v="6"/>
    <x v="7"/>
    <n v="109.949026294535"/>
    <n v="6688.5657662508602"/>
    <n v="24078.836758503101"/>
  </r>
  <r>
    <x v="0"/>
    <x v="0"/>
    <x v="0"/>
    <x v="8"/>
    <x v="13"/>
    <s v="PL_A1"/>
    <x v="12"/>
    <x v="4"/>
    <s v="GEXT-LIGNITE-036"/>
    <x v="6"/>
    <x v="8"/>
    <n v="109.949026294535"/>
    <n v="6688.5657662508602"/>
    <n v="24078.836758503101"/>
  </r>
  <r>
    <x v="0"/>
    <x v="0"/>
    <x v="0"/>
    <x v="8"/>
    <x v="13"/>
    <s v="PL_A1"/>
    <x v="12"/>
    <x v="4"/>
    <s v="GEXT-LIGNITE-036"/>
    <x v="6"/>
    <x v="9"/>
    <n v="109.949026294535"/>
    <n v="6688.5657662508602"/>
    <n v="24078.836758503101"/>
  </r>
  <r>
    <x v="0"/>
    <x v="0"/>
    <x v="0"/>
    <x v="8"/>
    <x v="13"/>
    <s v="PL_A1"/>
    <x v="12"/>
    <x v="4"/>
    <s v="GEXT-LIGNITE-036"/>
    <x v="6"/>
    <x v="10"/>
    <n v="109.949026294535"/>
    <n v="6688.5657662508602"/>
    <n v="24078.836758503101"/>
  </r>
  <r>
    <x v="0"/>
    <x v="0"/>
    <x v="0"/>
    <x v="8"/>
    <x v="13"/>
    <s v="PL_A1"/>
    <x v="12"/>
    <x v="4"/>
    <s v="GEXT-LIGNITE-036"/>
    <x v="6"/>
    <x v="11"/>
    <n v="109.949026294535"/>
    <n v="6688.5657662508602"/>
    <n v="24078.836758503101"/>
  </r>
  <r>
    <x v="0"/>
    <x v="0"/>
    <x v="0"/>
    <x v="8"/>
    <x v="13"/>
    <s v="PL_A1"/>
    <x v="12"/>
    <x v="4"/>
    <s v="GEXT-LIGNITE-036"/>
    <x v="7"/>
    <x v="0"/>
    <n v="109.949026294535"/>
    <n v="6688.5657662508602"/>
    <n v="24078.836758503101"/>
  </r>
  <r>
    <x v="0"/>
    <x v="0"/>
    <x v="0"/>
    <x v="8"/>
    <x v="13"/>
    <s v="PL_A1"/>
    <x v="12"/>
    <x v="4"/>
    <s v="GEXT-LIGNITE-036"/>
    <x v="7"/>
    <x v="1"/>
    <n v="109.949026294535"/>
    <n v="6688.5657662508602"/>
    <n v="24078.836758503101"/>
  </r>
  <r>
    <x v="0"/>
    <x v="0"/>
    <x v="0"/>
    <x v="8"/>
    <x v="13"/>
    <s v="PL_A1"/>
    <x v="12"/>
    <x v="4"/>
    <s v="GEXT-LIGNITE-036"/>
    <x v="7"/>
    <x v="2"/>
    <n v="109.949026294535"/>
    <n v="6688.5657662508602"/>
    <n v="24078.836758503101"/>
  </r>
  <r>
    <x v="0"/>
    <x v="0"/>
    <x v="0"/>
    <x v="8"/>
    <x v="13"/>
    <s v="PL_A1"/>
    <x v="12"/>
    <x v="4"/>
    <s v="GEXT-LIGNITE-036"/>
    <x v="7"/>
    <x v="3"/>
    <n v="109.949026294535"/>
    <n v="6688.5657662508602"/>
    <n v="24078.836758503101"/>
  </r>
  <r>
    <x v="0"/>
    <x v="0"/>
    <x v="0"/>
    <x v="8"/>
    <x v="13"/>
    <s v="PL_A1"/>
    <x v="12"/>
    <x v="4"/>
    <s v="GEXT-LIGNITE-036"/>
    <x v="7"/>
    <x v="4"/>
    <n v="109.949026294535"/>
    <n v="6688.5657662508602"/>
    <n v="24078.836758503101"/>
  </r>
  <r>
    <x v="0"/>
    <x v="0"/>
    <x v="0"/>
    <x v="8"/>
    <x v="13"/>
    <s v="PL_A1"/>
    <x v="12"/>
    <x v="4"/>
    <s v="GEXT-LIGNITE-036"/>
    <x v="7"/>
    <x v="5"/>
    <n v="109.949026294535"/>
    <n v="6688.5657662508602"/>
    <n v="24078.836758503101"/>
  </r>
  <r>
    <x v="0"/>
    <x v="0"/>
    <x v="0"/>
    <x v="8"/>
    <x v="13"/>
    <s v="PL_A1"/>
    <x v="12"/>
    <x v="4"/>
    <s v="GEXT-LIGNITE-036"/>
    <x v="7"/>
    <x v="6"/>
    <n v="109.949026294535"/>
    <n v="6688.5657662508602"/>
    <n v="24078.836758503101"/>
  </r>
  <r>
    <x v="0"/>
    <x v="0"/>
    <x v="0"/>
    <x v="8"/>
    <x v="13"/>
    <s v="PL_A1"/>
    <x v="12"/>
    <x v="4"/>
    <s v="GEXT-LIGNITE-036"/>
    <x v="7"/>
    <x v="7"/>
    <n v="109.949026294535"/>
    <n v="6688.5657662508602"/>
    <n v="24078.836758503101"/>
  </r>
  <r>
    <x v="0"/>
    <x v="0"/>
    <x v="0"/>
    <x v="8"/>
    <x v="13"/>
    <s v="PL_A1"/>
    <x v="12"/>
    <x v="4"/>
    <s v="GEXT-LIGNITE-036"/>
    <x v="7"/>
    <x v="8"/>
    <n v="109.949026294535"/>
    <n v="6688.5657662508602"/>
    <n v="24078.836758503101"/>
  </r>
  <r>
    <x v="0"/>
    <x v="0"/>
    <x v="0"/>
    <x v="8"/>
    <x v="13"/>
    <s v="PL_A1"/>
    <x v="12"/>
    <x v="4"/>
    <s v="GEXT-LIGNITE-036"/>
    <x v="7"/>
    <x v="9"/>
    <n v="109.949026294535"/>
    <n v="6688.5657662508602"/>
    <n v="24078.836758503101"/>
  </r>
  <r>
    <x v="0"/>
    <x v="0"/>
    <x v="0"/>
    <x v="8"/>
    <x v="13"/>
    <s v="PL_A1"/>
    <x v="12"/>
    <x v="4"/>
    <s v="GEXT-LIGNITE-036"/>
    <x v="7"/>
    <x v="10"/>
    <n v="109.949026294535"/>
    <n v="6688.5657662508602"/>
    <n v="24078.836758503101"/>
  </r>
  <r>
    <x v="0"/>
    <x v="0"/>
    <x v="0"/>
    <x v="8"/>
    <x v="13"/>
    <s v="PL_A1"/>
    <x v="12"/>
    <x v="4"/>
    <s v="GEXT-LIGNITE-036"/>
    <x v="7"/>
    <x v="11"/>
    <n v="109.949026294535"/>
    <n v="6688.5657662508602"/>
    <n v="24078.836758503101"/>
  </r>
  <r>
    <x v="0"/>
    <x v="0"/>
    <x v="0"/>
    <x v="8"/>
    <x v="13"/>
    <s v="PL_A1"/>
    <x v="12"/>
    <x v="4"/>
    <s v="GEXT-LIGNITE-036"/>
    <x v="8"/>
    <x v="0"/>
    <n v="109.949026294535"/>
    <n v="6688.5657662508602"/>
    <n v="24078.836758503101"/>
  </r>
  <r>
    <x v="0"/>
    <x v="0"/>
    <x v="0"/>
    <x v="8"/>
    <x v="13"/>
    <s v="PL_A1"/>
    <x v="12"/>
    <x v="4"/>
    <s v="GEXT-LIGNITE-036"/>
    <x v="8"/>
    <x v="1"/>
    <n v="109.949026294535"/>
    <n v="6688.5657662508602"/>
    <n v="24078.836758503101"/>
  </r>
  <r>
    <x v="0"/>
    <x v="0"/>
    <x v="0"/>
    <x v="8"/>
    <x v="13"/>
    <s v="PL_A1"/>
    <x v="12"/>
    <x v="4"/>
    <s v="GEXT-LIGNITE-036"/>
    <x v="8"/>
    <x v="2"/>
    <n v="109.949026294535"/>
    <n v="6688.5657662508602"/>
    <n v="24078.836758503101"/>
  </r>
  <r>
    <x v="0"/>
    <x v="0"/>
    <x v="0"/>
    <x v="8"/>
    <x v="13"/>
    <s v="PL_A1"/>
    <x v="12"/>
    <x v="4"/>
    <s v="GEXT-LIGNITE-036"/>
    <x v="8"/>
    <x v="3"/>
    <n v="109.949026294535"/>
    <n v="6688.5657662508602"/>
    <n v="24078.836758503101"/>
  </r>
  <r>
    <x v="0"/>
    <x v="0"/>
    <x v="0"/>
    <x v="8"/>
    <x v="13"/>
    <s v="PL_A1"/>
    <x v="12"/>
    <x v="4"/>
    <s v="GEXT-LIGNITE-036"/>
    <x v="8"/>
    <x v="4"/>
    <n v="109.949026294535"/>
    <n v="6688.5657662508602"/>
    <n v="24078.836758503101"/>
  </r>
  <r>
    <x v="0"/>
    <x v="0"/>
    <x v="0"/>
    <x v="8"/>
    <x v="13"/>
    <s v="PL_A1"/>
    <x v="12"/>
    <x v="4"/>
    <s v="GEXT-LIGNITE-036"/>
    <x v="8"/>
    <x v="5"/>
    <n v="109.949026294535"/>
    <n v="6688.5657662508602"/>
    <n v="24078.836758503101"/>
  </r>
  <r>
    <x v="0"/>
    <x v="0"/>
    <x v="0"/>
    <x v="8"/>
    <x v="13"/>
    <s v="PL_A1"/>
    <x v="12"/>
    <x v="4"/>
    <s v="GEXT-LIGNITE-036"/>
    <x v="8"/>
    <x v="6"/>
    <n v="109.949026294535"/>
    <n v="6688.5657662508602"/>
    <n v="24078.836758503101"/>
  </r>
  <r>
    <x v="0"/>
    <x v="0"/>
    <x v="0"/>
    <x v="8"/>
    <x v="13"/>
    <s v="PL_A1"/>
    <x v="12"/>
    <x v="4"/>
    <s v="GEXT-LIGNITE-036"/>
    <x v="8"/>
    <x v="7"/>
    <n v="109.949026294535"/>
    <n v="6688.5657662508602"/>
    <n v="24078.836758503101"/>
  </r>
  <r>
    <x v="0"/>
    <x v="0"/>
    <x v="0"/>
    <x v="8"/>
    <x v="13"/>
    <s v="PL_A1"/>
    <x v="12"/>
    <x v="4"/>
    <s v="GEXT-LIGNITE-036"/>
    <x v="8"/>
    <x v="8"/>
    <n v="109.949026294535"/>
    <n v="6688.5657662508602"/>
    <n v="24078.836758503101"/>
  </r>
  <r>
    <x v="0"/>
    <x v="0"/>
    <x v="0"/>
    <x v="8"/>
    <x v="13"/>
    <s v="PL_A1"/>
    <x v="12"/>
    <x v="4"/>
    <s v="GEXT-LIGNITE-036"/>
    <x v="8"/>
    <x v="9"/>
    <n v="109.949026294535"/>
    <n v="6688.5657662508602"/>
    <n v="24078.836758503101"/>
  </r>
  <r>
    <x v="0"/>
    <x v="0"/>
    <x v="0"/>
    <x v="8"/>
    <x v="13"/>
    <s v="PL_A1"/>
    <x v="12"/>
    <x v="4"/>
    <s v="GEXT-LIGNITE-036"/>
    <x v="8"/>
    <x v="10"/>
    <n v="109.949026294535"/>
    <n v="6688.5657662508602"/>
    <n v="24078.836758503101"/>
  </r>
  <r>
    <x v="0"/>
    <x v="0"/>
    <x v="0"/>
    <x v="8"/>
    <x v="13"/>
    <s v="PL_A1"/>
    <x v="12"/>
    <x v="4"/>
    <s v="GEXT-LIGNITE-036"/>
    <x v="8"/>
    <x v="11"/>
    <n v="109.949026294535"/>
    <n v="6688.5657662508602"/>
    <n v="24078.836758503101"/>
  </r>
  <r>
    <x v="0"/>
    <x v="0"/>
    <x v="0"/>
    <x v="8"/>
    <x v="13"/>
    <s v="PL_A1"/>
    <x v="12"/>
    <x v="4"/>
    <s v="GEXT-LIGNITE-036"/>
    <x v="9"/>
    <x v="0"/>
    <n v="109.949026294535"/>
    <n v="6688.5657662508602"/>
    <n v="24078.836758503101"/>
  </r>
  <r>
    <x v="0"/>
    <x v="0"/>
    <x v="0"/>
    <x v="8"/>
    <x v="13"/>
    <s v="PL_A1"/>
    <x v="12"/>
    <x v="4"/>
    <s v="GEXT-LIGNITE-036"/>
    <x v="9"/>
    <x v="1"/>
    <n v="109.949026294535"/>
    <n v="6688.5657662508602"/>
    <n v="24078.836758503101"/>
  </r>
  <r>
    <x v="0"/>
    <x v="0"/>
    <x v="0"/>
    <x v="8"/>
    <x v="13"/>
    <s v="PL_A1"/>
    <x v="12"/>
    <x v="4"/>
    <s v="GEXT-LIGNITE-036"/>
    <x v="9"/>
    <x v="2"/>
    <n v="109.949026294535"/>
    <n v="6688.5657662508602"/>
    <n v="24078.836758503101"/>
  </r>
  <r>
    <x v="0"/>
    <x v="0"/>
    <x v="0"/>
    <x v="8"/>
    <x v="13"/>
    <s v="PL_A1"/>
    <x v="12"/>
    <x v="4"/>
    <s v="GEXT-LIGNITE-036"/>
    <x v="9"/>
    <x v="3"/>
    <n v="109.949026294535"/>
    <n v="6688.5657662508602"/>
    <n v="24078.836758503101"/>
  </r>
  <r>
    <x v="0"/>
    <x v="0"/>
    <x v="0"/>
    <x v="8"/>
    <x v="13"/>
    <s v="PL_A1"/>
    <x v="12"/>
    <x v="4"/>
    <s v="GEXT-LIGNITE-036"/>
    <x v="9"/>
    <x v="4"/>
    <n v="109.949026294535"/>
    <n v="6688.5657662508602"/>
    <n v="24078.836758503101"/>
  </r>
  <r>
    <x v="0"/>
    <x v="0"/>
    <x v="0"/>
    <x v="8"/>
    <x v="13"/>
    <s v="PL_A1"/>
    <x v="12"/>
    <x v="4"/>
    <s v="GEXT-LIGNITE-036"/>
    <x v="9"/>
    <x v="5"/>
    <n v="109.949026294535"/>
    <n v="6688.5657662508602"/>
    <n v="24078.836758503101"/>
  </r>
  <r>
    <x v="0"/>
    <x v="0"/>
    <x v="0"/>
    <x v="8"/>
    <x v="13"/>
    <s v="PL_A1"/>
    <x v="12"/>
    <x v="4"/>
    <s v="GEXT-LIGNITE-036"/>
    <x v="9"/>
    <x v="6"/>
    <n v="109.949026294535"/>
    <n v="6688.5657662508602"/>
    <n v="24078.836758503101"/>
  </r>
  <r>
    <x v="0"/>
    <x v="0"/>
    <x v="0"/>
    <x v="8"/>
    <x v="13"/>
    <s v="PL_A1"/>
    <x v="12"/>
    <x v="4"/>
    <s v="GEXT-LIGNITE-036"/>
    <x v="9"/>
    <x v="7"/>
    <n v="109.949026294535"/>
    <n v="6688.5657662508602"/>
    <n v="24078.836758503101"/>
  </r>
  <r>
    <x v="0"/>
    <x v="0"/>
    <x v="0"/>
    <x v="8"/>
    <x v="13"/>
    <s v="PL_A1"/>
    <x v="12"/>
    <x v="4"/>
    <s v="GEXT-LIGNITE-036"/>
    <x v="9"/>
    <x v="8"/>
    <n v="109.949026294535"/>
    <n v="6688.5657662508602"/>
    <n v="24078.836758503101"/>
  </r>
  <r>
    <x v="0"/>
    <x v="0"/>
    <x v="0"/>
    <x v="8"/>
    <x v="13"/>
    <s v="PL_A1"/>
    <x v="12"/>
    <x v="4"/>
    <s v="GEXT-LIGNITE-036"/>
    <x v="9"/>
    <x v="9"/>
    <n v="109.949026294535"/>
    <n v="6688.5657662508602"/>
    <n v="24078.836758503101"/>
  </r>
  <r>
    <x v="0"/>
    <x v="0"/>
    <x v="0"/>
    <x v="8"/>
    <x v="13"/>
    <s v="PL_A1"/>
    <x v="12"/>
    <x v="4"/>
    <s v="GEXT-LIGNITE-036"/>
    <x v="9"/>
    <x v="10"/>
    <n v="109.949026294535"/>
    <n v="6688.5657662508602"/>
    <n v="24078.836758503101"/>
  </r>
  <r>
    <x v="0"/>
    <x v="0"/>
    <x v="0"/>
    <x v="8"/>
    <x v="13"/>
    <s v="PL_A1"/>
    <x v="12"/>
    <x v="4"/>
    <s v="GEXT-LIGNITE-036"/>
    <x v="9"/>
    <x v="11"/>
    <n v="109.949026294535"/>
    <n v="6688.5657662508602"/>
    <n v="24078.836758503101"/>
  </r>
  <r>
    <x v="0"/>
    <x v="0"/>
    <x v="0"/>
    <x v="8"/>
    <x v="13"/>
    <s v="PL_A1"/>
    <x v="12"/>
    <x v="4"/>
    <s v="GEXT-LIGNITE-036"/>
    <x v="10"/>
    <x v="0"/>
    <n v="109.949026294535"/>
    <n v="6688.5657662508602"/>
    <n v="24078.836758503101"/>
  </r>
  <r>
    <x v="0"/>
    <x v="0"/>
    <x v="0"/>
    <x v="8"/>
    <x v="13"/>
    <s v="PL_A1"/>
    <x v="12"/>
    <x v="4"/>
    <s v="GEXT-LIGNITE-036"/>
    <x v="10"/>
    <x v="1"/>
    <n v="109.949026294535"/>
    <n v="6688.5657662508602"/>
    <n v="24078.836758503101"/>
  </r>
  <r>
    <x v="0"/>
    <x v="0"/>
    <x v="0"/>
    <x v="8"/>
    <x v="13"/>
    <s v="PL_A1"/>
    <x v="12"/>
    <x v="4"/>
    <s v="GEXT-LIGNITE-036"/>
    <x v="10"/>
    <x v="2"/>
    <n v="109.949026294535"/>
    <n v="6688.5657662508602"/>
    <n v="24078.836758503101"/>
  </r>
  <r>
    <x v="0"/>
    <x v="0"/>
    <x v="0"/>
    <x v="8"/>
    <x v="13"/>
    <s v="PL_A1"/>
    <x v="12"/>
    <x v="4"/>
    <s v="GEXT-LIGNITE-036"/>
    <x v="10"/>
    <x v="3"/>
    <n v="109.949026294535"/>
    <n v="6688.5657662508602"/>
    <n v="24078.836758503101"/>
  </r>
  <r>
    <x v="0"/>
    <x v="0"/>
    <x v="0"/>
    <x v="8"/>
    <x v="13"/>
    <s v="PL_A1"/>
    <x v="12"/>
    <x v="4"/>
    <s v="GEXT-LIGNITE-036"/>
    <x v="10"/>
    <x v="4"/>
    <n v="109.949026294535"/>
    <n v="6688.5657662508602"/>
    <n v="24078.836758503101"/>
  </r>
  <r>
    <x v="0"/>
    <x v="0"/>
    <x v="0"/>
    <x v="8"/>
    <x v="13"/>
    <s v="PL_A1"/>
    <x v="12"/>
    <x v="4"/>
    <s v="GEXT-LIGNITE-036"/>
    <x v="10"/>
    <x v="5"/>
    <n v="109.949026294535"/>
    <n v="6688.5657662508602"/>
    <n v="24078.836758503101"/>
  </r>
  <r>
    <x v="0"/>
    <x v="0"/>
    <x v="0"/>
    <x v="8"/>
    <x v="13"/>
    <s v="PL_A1"/>
    <x v="12"/>
    <x v="4"/>
    <s v="GEXT-LIGNITE-036"/>
    <x v="10"/>
    <x v="6"/>
    <n v="109.949026294535"/>
    <n v="6688.5657662508602"/>
    <n v="24078.836758503101"/>
  </r>
  <r>
    <x v="0"/>
    <x v="0"/>
    <x v="0"/>
    <x v="8"/>
    <x v="13"/>
    <s v="PL_A1"/>
    <x v="12"/>
    <x v="4"/>
    <s v="GEXT-LIGNITE-036"/>
    <x v="10"/>
    <x v="7"/>
    <n v="109.949026294535"/>
    <n v="6688.5657662508602"/>
    <n v="24078.836758503101"/>
  </r>
  <r>
    <x v="0"/>
    <x v="0"/>
    <x v="0"/>
    <x v="8"/>
    <x v="13"/>
    <s v="PL_A1"/>
    <x v="12"/>
    <x v="4"/>
    <s v="GEXT-LIGNITE-036"/>
    <x v="10"/>
    <x v="8"/>
    <n v="109.949026294535"/>
    <n v="6688.5657662508602"/>
    <n v="24078.836758503101"/>
  </r>
  <r>
    <x v="0"/>
    <x v="0"/>
    <x v="0"/>
    <x v="8"/>
    <x v="13"/>
    <s v="PL_A1"/>
    <x v="12"/>
    <x v="4"/>
    <s v="GEXT-LIGNITE-036"/>
    <x v="10"/>
    <x v="9"/>
    <n v="109.949026294535"/>
    <n v="6688.5657662508602"/>
    <n v="24078.836758503101"/>
  </r>
  <r>
    <x v="0"/>
    <x v="0"/>
    <x v="0"/>
    <x v="8"/>
    <x v="13"/>
    <s v="PL_A1"/>
    <x v="12"/>
    <x v="4"/>
    <s v="GEXT-LIGNITE-036"/>
    <x v="10"/>
    <x v="10"/>
    <n v="109.949026294535"/>
    <n v="6688.5657662508602"/>
    <n v="24078.836758503101"/>
  </r>
  <r>
    <x v="0"/>
    <x v="0"/>
    <x v="0"/>
    <x v="8"/>
    <x v="13"/>
    <s v="PL_A1"/>
    <x v="12"/>
    <x v="4"/>
    <s v="GEXT-LIGNITE-036"/>
    <x v="10"/>
    <x v="11"/>
    <n v="109.949026294535"/>
    <n v="6688.5657662508602"/>
    <n v="24078.836758503101"/>
  </r>
  <r>
    <x v="0"/>
    <x v="0"/>
    <x v="0"/>
    <x v="8"/>
    <x v="13"/>
    <s v="PL_A1"/>
    <x v="12"/>
    <x v="4"/>
    <s v="GEXT-LIGNITE-036"/>
    <x v="11"/>
    <x v="0"/>
    <n v="109.949026294535"/>
    <n v="6688.5657662508602"/>
    <n v="24078.836758503101"/>
  </r>
  <r>
    <x v="0"/>
    <x v="0"/>
    <x v="0"/>
    <x v="8"/>
    <x v="13"/>
    <s v="PL_A1"/>
    <x v="12"/>
    <x v="4"/>
    <s v="GEXT-LIGNITE-036"/>
    <x v="11"/>
    <x v="1"/>
    <n v="109.949026294535"/>
    <n v="6688.5657662508602"/>
    <n v="24078.836758503101"/>
  </r>
  <r>
    <x v="0"/>
    <x v="0"/>
    <x v="0"/>
    <x v="8"/>
    <x v="13"/>
    <s v="PL_A1"/>
    <x v="12"/>
    <x v="4"/>
    <s v="GEXT-LIGNITE-036"/>
    <x v="11"/>
    <x v="2"/>
    <n v="109.949026294535"/>
    <n v="6688.5657662508602"/>
    <n v="24078.836758503101"/>
  </r>
  <r>
    <x v="0"/>
    <x v="0"/>
    <x v="0"/>
    <x v="8"/>
    <x v="13"/>
    <s v="PL_A1"/>
    <x v="12"/>
    <x v="4"/>
    <s v="GEXT-LIGNITE-036"/>
    <x v="11"/>
    <x v="3"/>
    <n v="109.949026294535"/>
    <n v="6688.5657662508602"/>
    <n v="24078.836758503101"/>
  </r>
  <r>
    <x v="0"/>
    <x v="0"/>
    <x v="0"/>
    <x v="8"/>
    <x v="13"/>
    <s v="PL_A1"/>
    <x v="12"/>
    <x v="4"/>
    <s v="GEXT-LIGNITE-036"/>
    <x v="11"/>
    <x v="4"/>
    <n v="109.949026294535"/>
    <n v="6688.5657662508602"/>
    <n v="24078.836758503101"/>
  </r>
  <r>
    <x v="0"/>
    <x v="0"/>
    <x v="0"/>
    <x v="8"/>
    <x v="13"/>
    <s v="PL_A1"/>
    <x v="12"/>
    <x v="4"/>
    <s v="GEXT-LIGNITE-036"/>
    <x v="11"/>
    <x v="5"/>
    <n v="109.949026294535"/>
    <n v="6688.5657662508602"/>
    <n v="24078.836758503101"/>
  </r>
  <r>
    <x v="0"/>
    <x v="0"/>
    <x v="0"/>
    <x v="8"/>
    <x v="13"/>
    <s v="PL_A1"/>
    <x v="12"/>
    <x v="4"/>
    <s v="GEXT-LIGNITE-036"/>
    <x v="11"/>
    <x v="6"/>
    <n v="109.949026294535"/>
    <n v="6688.5657662508602"/>
    <n v="24078.836758503101"/>
  </r>
  <r>
    <x v="0"/>
    <x v="0"/>
    <x v="0"/>
    <x v="8"/>
    <x v="13"/>
    <s v="PL_A1"/>
    <x v="12"/>
    <x v="4"/>
    <s v="GEXT-LIGNITE-036"/>
    <x v="11"/>
    <x v="7"/>
    <n v="109.949026294535"/>
    <n v="6688.5657662508602"/>
    <n v="24078.836758503101"/>
  </r>
  <r>
    <x v="0"/>
    <x v="0"/>
    <x v="0"/>
    <x v="8"/>
    <x v="13"/>
    <s v="PL_A1"/>
    <x v="12"/>
    <x v="4"/>
    <s v="GEXT-LIGNITE-036"/>
    <x v="11"/>
    <x v="8"/>
    <n v="109.949026294535"/>
    <n v="6688.5657662508602"/>
    <n v="24078.836758503101"/>
  </r>
  <r>
    <x v="0"/>
    <x v="0"/>
    <x v="0"/>
    <x v="8"/>
    <x v="13"/>
    <s v="PL_A1"/>
    <x v="12"/>
    <x v="4"/>
    <s v="GEXT-LIGNITE-036"/>
    <x v="11"/>
    <x v="9"/>
    <n v="109.949026294535"/>
    <n v="6688.5657662508602"/>
    <n v="24078.836758503101"/>
  </r>
  <r>
    <x v="0"/>
    <x v="0"/>
    <x v="0"/>
    <x v="8"/>
    <x v="13"/>
    <s v="PL_A1"/>
    <x v="12"/>
    <x v="4"/>
    <s v="GEXT-LIGNITE-036"/>
    <x v="11"/>
    <x v="10"/>
    <n v="109.949026294535"/>
    <n v="6688.5657662508602"/>
    <n v="24078.836758503101"/>
  </r>
  <r>
    <x v="0"/>
    <x v="0"/>
    <x v="0"/>
    <x v="8"/>
    <x v="13"/>
    <s v="PL_A1"/>
    <x v="12"/>
    <x v="4"/>
    <s v="GEXT-LIGNITE-036"/>
    <x v="11"/>
    <x v="11"/>
    <n v="109.949026294535"/>
    <n v="6688.5657662508602"/>
    <n v="24078.836758503101"/>
  </r>
  <r>
    <x v="0"/>
    <x v="0"/>
    <x v="0"/>
    <x v="8"/>
    <x v="13"/>
    <s v="PL_A1"/>
    <x v="9"/>
    <x v="3"/>
    <s v="GBPR-WASTE"/>
    <x v="0"/>
    <x v="0"/>
    <n v="34"/>
    <n v="2068.3333333333298"/>
    <n v="7446"/>
  </r>
  <r>
    <x v="0"/>
    <x v="0"/>
    <x v="0"/>
    <x v="8"/>
    <x v="13"/>
    <s v="PL_A1"/>
    <x v="9"/>
    <x v="3"/>
    <s v="GBPR-WASTE"/>
    <x v="0"/>
    <x v="1"/>
    <n v="34"/>
    <n v="2068.3333333333298"/>
    <n v="7446"/>
  </r>
  <r>
    <x v="0"/>
    <x v="0"/>
    <x v="0"/>
    <x v="8"/>
    <x v="13"/>
    <s v="PL_A1"/>
    <x v="9"/>
    <x v="3"/>
    <s v="GBPR-WASTE"/>
    <x v="0"/>
    <x v="2"/>
    <n v="34"/>
    <n v="2068.3333333333298"/>
    <n v="7446"/>
  </r>
  <r>
    <x v="0"/>
    <x v="0"/>
    <x v="0"/>
    <x v="8"/>
    <x v="13"/>
    <s v="PL_A1"/>
    <x v="9"/>
    <x v="3"/>
    <s v="GBPR-WASTE"/>
    <x v="0"/>
    <x v="3"/>
    <n v="34"/>
    <n v="2068.3333333333298"/>
    <n v="7446"/>
  </r>
  <r>
    <x v="0"/>
    <x v="0"/>
    <x v="0"/>
    <x v="8"/>
    <x v="13"/>
    <s v="PL_A1"/>
    <x v="9"/>
    <x v="3"/>
    <s v="GBPR-WASTE"/>
    <x v="0"/>
    <x v="4"/>
    <n v="34"/>
    <n v="2068.3333333333298"/>
    <n v="7446"/>
  </r>
  <r>
    <x v="0"/>
    <x v="0"/>
    <x v="0"/>
    <x v="8"/>
    <x v="13"/>
    <s v="PL_A1"/>
    <x v="9"/>
    <x v="3"/>
    <s v="GBPR-WASTE"/>
    <x v="0"/>
    <x v="5"/>
    <n v="34"/>
    <n v="2068.3333333333298"/>
    <n v="7446"/>
  </r>
  <r>
    <x v="0"/>
    <x v="0"/>
    <x v="0"/>
    <x v="8"/>
    <x v="13"/>
    <s v="PL_A1"/>
    <x v="9"/>
    <x v="3"/>
    <s v="GBPR-WASTE"/>
    <x v="0"/>
    <x v="6"/>
    <n v="34"/>
    <n v="2068.3333333333298"/>
    <n v="7446"/>
  </r>
  <r>
    <x v="0"/>
    <x v="0"/>
    <x v="0"/>
    <x v="8"/>
    <x v="13"/>
    <s v="PL_A1"/>
    <x v="9"/>
    <x v="3"/>
    <s v="GBPR-WASTE"/>
    <x v="0"/>
    <x v="7"/>
    <n v="34"/>
    <n v="2068.3333333333298"/>
    <n v="7446"/>
  </r>
  <r>
    <x v="0"/>
    <x v="0"/>
    <x v="0"/>
    <x v="8"/>
    <x v="13"/>
    <s v="PL_A1"/>
    <x v="9"/>
    <x v="3"/>
    <s v="GBPR-WASTE"/>
    <x v="0"/>
    <x v="8"/>
    <n v="34"/>
    <n v="2068.3333333333298"/>
    <n v="7446"/>
  </r>
  <r>
    <x v="0"/>
    <x v="0"/>
    <x v="0"/>
    <x v="8"/>
    <x v="13"/>
    <s v="PL_A1"/>
    <x v="9"/>
    <x v="3"/>
    <s v="GBPR-WASTE"/>
    <x v="0"/>
    <x v="9"/>
    <n v="34"/>
    <n v="2068.3333333333298"/>
    <n v="7446"/>
  </r>
  <r>
    <x v="0"/>
    <x v="0"/>
    <x v="0"/>
    <x v="8"/>
    <x v="13"/>
    <s v="PL_A1"/>
    <x v="9"/>
    <x v="3"/>
    <s v="GBPR-WASTE"/>
    <x v="0"/>
    <x v="10"/>
    <n v="34"/>
    <n v="2068.3333333333298"/>
    <n v="7446"/>
  </r>
  <r>
    <x v="0"/>
    <x v="0"/>
    <x v="0"/>
    <x v="8"/>
    <x v="13"/>
    <s v="PL_A1"/>
    <x v="9"/>
    <x v="3"/>
    <s v="GBPR-WASTE"/>
    <x v="0"/>
    <x v="11"/>
    <n v="34"/>
    <n v="2068.3333333333298"/>
    <n v="7446"/>
  </r>
  <r>
    <x v="0"/>
    <x v="0"/>
    <x v="0"/>
    <x v="8"/>
    <x v="13"/>
    <s v="PL_A1"/>
    <x v="9"/>
    <x v="3"/>
    <s v="GBPR-WASTE"/>
    <x v="1"/>
    <x v="0"/>
    <n v="34"/>
    <n v="2068.3333333333298"/>
    <n v="7446"/>
  </r>
  <r>
    <x v="0"/>
    <x v="0"/>
    <x v="0"/>
    <x v="8"/>
    <x v="13"/>
    <s v="PL_A1"/>
    <x v="9"/>
    <x v="3"/>
    <s v="GBPR-WASTE"/>
    <x v="1"/>
    <x v="1"/>
    <n v="34"/>
    <n v="2068.3333333333298"/>
    <n v="7446"/>
  </r>
  <r>
    <x v="0"/>
    <x v="0"/>
    <x v="0"/>
    <x v="8"/>
    <x v="13"/>
    <s v="PL_A1"/>
    <x v="9"/>
    <x v="3"/>
    <s v="GBPR-WASTE"/>
    <x v="1"/>
    <x v="2"/>
    <n v="34"/>
    <n v="2068.3333333333298"/>
    <n v="7446"/>
  </r>
  <r>
    <x v="0"/>
    <x v="0"/>
    <x v="0"/>
    <x v="8"/>
    <x v="13"/>
    <s v="PL_A1"/>
    <x v="9"/>
    <x v="3"/>
    <s v="GBPR-WASTE"/>
    <x v="1"/>
    <x v="3"/>
    <n v="34"/>
    <n v="2068.3333333333298"/>
    <n v="7446"/>
  </r>
  <r>
    <x v="0"/>
    <x v="0"/>
    <x v="0"/>
    <x v="8"/>
    <x v="13"/>
    <s v="PL_A1"/>
    <x v="9"/>
    <x v="3"/>
    <s v="GBPR-WASTE"/>
    <x v="1"/>
    <x v="4"/>
    <n v="34"/>
    <n v="2068.3333333333298"/>
    <n v="7446"/>
  </r>
  <r>
    <x v="0"/>
    <x v="0"/>
    <x v="0"/>
    <x v="8"/>
    <x v="13"/>
    <s v="PL_A1"/>
    <x v="9"/>
    <x v="3"/>
    <s v="GBPR-WASTE"/>
    <x v="1"/>
    <x v="5"/>
    <n v="34"/>
    <n v="2068.3333333333298"/>
    <n v="7446"/>
  </r>
  <r>
    <x v="0"/>
    <x v="0"/>
    <x v="0"/>
    <x v="8"/>
    <x v="13"/>
    <s v="PL_A1"/>
    <x v="9"/>
    <x v="3"/>
    <s v="GBPR-WASTE"/>
    <x v="1"/>
    <x v="6"/>
    <n v="34"/>
    <n v="2068.3333333333298"/>
    <n v="7446"/>
  </r>
  <r>
    <x v="0"/>
    <x v="0"/>
    <x v="0"/>
    <x v="8"/>
    <x v="13"/>
    <s v="PL_A1"/>
    <x v="9"/>
    <x v="3"/>
    <s v="GBPR-WASTE"/>
    <x v="1"/>
    <x v="7"/>
    <n v="34"/>
    <n v="2068.3333333333298"/>
    <n v="7446"/>
  </r>
  <r>
    <x v="0"/>
    <x v="0"/>
    <x v="0"/>
    <x v="8"/>
    <x v="13"/>
    <s v="PL_A1"/>
    <x v="9"/>
    <x v="3"/>
    <s v="GBPR-WASTE"/>
    <x v="1"/>
    <x v="8"/>
    <n v="34"/>
    <n v="2068.3333333333298"/>
    <n v="7446"/>
  </r>
  <r>
    <x v="0"/>
    <x v="0"/>
    <x v="0"/>
    <x v="8"/>
    <x v="13"/>
    <s v="PL_A1"/>
    <x v="9"/>
    <x v="3"/>
    <s v="GBPR-WASTE"/>
    <x v="1"/>
    <x v="9"/>
    <n v="34"/>
    <n v="2068.3333333333298"/>
    <n v="7446"/>
  </r>
  <r>
    <x v="0"/>
    <x v="0"/>
    <x v="0"/>
    <x v="8"/>
    <x v="13"/>
    <s v="PL_A1"/>
    <x v="9"/>
    <x v="3"/>
    <s v="GBPR-WASTE"/>
    <x v="1"/>
    <x v="10"/>
    <n v="34"/>
    <n v="2068.3333333333298"/>
    <n v="7446"/>
  </r>
  <r>
    <x v="0"/>
    <x v="0"/>
    <x v="0"/>
    <x v="8"/>
    <x v="13"/>
    <s v="PL_A1"/>
    <x v="9"/>
    <x v="3"/>
    <s v="GBPR-WASTE"/>
    <x v="1"/>
    <x v="11"/>
    <n v="34"/>
    <n v="2068.3333333333298"/>
    <n v="7446"/>
  </r>
  <r>
    <x v="0"/>
    <x v="0"/>
    <x v="0"/>
    <x v="8"/>
    <x v="13"/>
    <s v="PL_A1"/>
    <x v="9"/>
    <x v="3"/>
    <s v="GBPR-WASTE"/>
    <x v="2"/>
    <x v="0"/>
    <n v="34"/>
    <n v="2068.3333333333298"/>
    <n v="7446"/>
  </r>
  <r>
    <x v="0"/>
    <x v="0"/>
    <x v="0"/>
    <x v="8"/>
    <x v="13"/>
    <s v="PL_A1"/>
    <x v="9"/>
    <x v="3"/>
    <s v="GBPR-WASTE"/>
    <x v="2"/>
    <x v="1"/>
    <n v="34"/>
    <n v="2068.3333333333298"/>
    <n v="7446"/>
  </r>
  <r>
    <x v="0"/>
    <x v="0"/>
    <x v="0"/>
    <x v="8"/>
    <x v="13"/>
    <s v="PL_A1"/>
    <x v="9"/>
    <x v="3"/>
    <s v="GBPR-WASTE"/>
    <x v="2"/>
    <x v="2"/>
    <n v="34"/>
    <n v="2068.3333333333298"/>
    <n v="7446"/>
  </r>
  <r>
    <x v="0"/>
    <x v="0"/>
    <x v="0"/>
    <x v="8"/>
    <x v="13"/>
    <s v="PL_A1"/>
    <x v="9"/>
    <x v="3"/>
    <s v="GBPR-WASTE"/>
    <x v="2"/>
    <x v="3"/>
    <n v="34"/>
    <n v="2068.3333333333298"/>
    <n v="7446"/>
  </r>
  <r>
    <x v="0"/>
    <x v="0"/>
    <x v="0"/>
    <x v="8"/>
    <x v="13"/>
    <s v="PL_A1"/>
    <x v="9"/>
    <x v="3"/>
    <s v="GBPR-WASTE"/>
    <x v="2"/>
    <x v="4"/>
    <n v="34"/>
    <n v="2068.3333333333298"/>
    <n v="7446"/>
  </r>
  <r>
    <x v="0"/>
    <x v="0"/>
    <x v="0"/>
    <x v="8"/>
    <x v="13"/>
    <s v="PL_A1"/>
    <x v="9"/>
    <x v="3"/>
    <s v="GBPR-WASTE"/>
    <x v="2"/>
    <x v="5"/>
    <n v="34"/>
    <n v="2068.3333333333298"/>
    <n v="7446"/>
  </r>
  <r>
    <x v="0"/>
    <x v="0"/>
    <x v="0"/>
    <x v="8"/>
    <x v="13"/>
    <s v="PL_A1"/>
    <x v="9"/>
    <x v="3"/>
    <s v="GBPR-WASTE"/>
    <x v="2"/>
    <x v="6"/>
    <n v="34"/>
    <n v="2068.3333333333298"/>
    <n v="7446"/>
  </r>
  <r>
    <x v="0"/>
    <x v="0"/>
    <x v="0"/>
    <x v="8"/>
    <x v="13"/>
    <s v="PL_A1"/>
    <x v="9"/>
    <x v="3"/>
    <s v="GBPR-WASTE"/>
    <x v="2"/>
    <x v="7"/>
    <n v="34"/>
    <n v="2068.3333333333298"/>
    <n v="7446"/>
  </r>
  <r>
    <x v="0"/>
    <x v="0"/>
    <x v="0"/>
    <x v="8"/>
    <x v="13"/>
    <s v="PL_A1"/>
    <x v="9"/>
    <x v="3"/>
    <s v="GBPR-WASTE"/>
    <x v="2"/>
    <x v="8"/>
    <n v="34"/>
    <n v="2068.3333333333298"/>
    <n v="7446"/>
  </r>
  <r>
    <x v="0"/>
    <x v="0"/>
    <x v="0"/>
    <x v="8"/>
    <x v="13"/>
    <s v="PL_A1"/>
    <x v="9"/>
    <x v="3"/>
    <s v="GBPR-WASTE"/>
    <x v="2"/>
    <x v="9"/>
    <n v="34"/>
    <n v="2068.3333333333298"/>
    <n v="7446"/>
  </r>
  <r>
    <x v="0"/>
    <x v="0"/>
    <x v="0"/>
    <x v="8"/>
    <x v="13"/>
    <s v="PL_A1"/>
    <x v="9"/>
    <x v="3"/>
    <s v="GBPR-WASTE"/>
    <x v="2"/>
    <x v="10"/>
    <n v="34"/>
    <n v="2068.3333333333298"/>
    <n v="7446"/>
  </r>
  <r>
    <x v="0"/>
    <x v="0"/>
    <x v="0"/>
    <x v="8"/>
    <x v="13"/>
    <s v="PL_A1"/>
    <x v="9"/>
    <x v="3"/>
    <s v="GBPR-WASTE"/>
    <x v="2"/>
    <x v="11"/>
    <n v="34"/>
    <n v="2068.3333333333298"/>
    <n v="7446"/>
  </r>
  <r>
    <x v="0"/>
    <x v="0"/>
    <x v="0"/>
    <x v="8"/>
    <x v="13"/>
    <s v="PL_A1"/>
    <x v="9"/>
    <x v="3"/>
    <s v="GBPR-WASTE"/>
    <x v="3"/>
    <x v="0"/>
    <n v="34"/>
    <n v="2068.3333333333298"/>
    <n v="7446"/>
  </r>
  <r>
    <x v="0"/>
    <x v="0"/>
    <x v="0"/>
    <x v="8"/>
    <x v="13"/>
    <s v="PL_A1"/>
    <x v="9"/>
    <x v="3"/>
    <s v="GBPR-WASTE"/>
    <x v="3"/>
    <x v="1"/>
    <n v="34"/>
    <n v="2068.3333333333298"/>
    <n v="7446"/>
  </r>
  <r>
    <x v="0"/>
    <x v="0"/>
    <x v="0"/>
    <x v="8"/>
    <x v="13"/>
    <s v="PL_A1"/>
    <x v="9"/>
    <x v="3"/>
    <s v="GBPR-WASTE"/>
    <x v="3"/>
    <x v="2"/>
    <n v="34"/>
    <n v="2068.3333333333298"/>
    <n v="7446"/>
  </r>
  <r>
    <x v="0"/>
    <x v="0"/>
    <x v="0"/>
    <x v="8"/>
    <x v="13"/>
    <s v="PL_A1"/>
    <x v="9"/>
    <x v="3"/>
    <s v="GBPR-WASTE"/>
    <x v="3"/>
    <x v="3"/>
    <n v="34"/>
    <n v="2068.3333333333298"/>
    <n v="7446"/>
  </r>
  <r>
    <x v="0"/>
    <x v="0"/>
    <x v="0"/>
    <x v="8"/>
    <x v="13"/>
    <s v="PL_A1"/>
    <x v="9"/>
    <x v="3"/>
    <s v="GBPR-WASTE"/>
    <x v="3"/>
    <x v="4"/>
    <n v="34"/>
    <n v="2068.3333333333298"/>
    <n v="7446"/>
  </r>
  <r>
    <x v="0"/>
    <x v="0"/>
    <x v="0"/>
    <x v="8"/>
    <x v="13"/>
    <s v="PL_A1"/>
    <x v="9"/>
    <x v="3"/>
    <s v="GBPR-WASTE"/>
    <x v="3"/>
    <x v="5"/>
    <n v="34"/>
    <n v="2068.3333333333298"/>
    <n v="7446"/>
  </r>
  <r>
    <x v="0"/>
    <x v="0"/>
    <x v="0"/>
    <x v="8"/>
    <x v="13"/>
    <s v="PL_A1"/>
    <x v="9"/>
    <x v="3"/>
    <s v="GBPR-WASTE"/>
    <x v="3"/>
    <x v="6"/>
    <n v="34"/>
    <n v="2068.3333333333298"/>
    <n v="7446"/>
  </r>
  <r>
    <x v="0"/>
    <x v="0"/>
    <x v="0"/>
    <x v="8"/>
    <x v="13"/>
    <s v="PL_A1"/>
    <x v="9"/>
    <x v="3"/>
    <s v="GBPR-WASTE"/>
    <x v="3"/>
    <x v="7"/>
    <n v="34"/>
    <n v="2068.3333333333298"/>
    <n v="7446"/>
  </r>
  <r>
    <x v="0"/>
    <x v="0"/>
    <x v="0"/>
    <x v="8"/>
    <x v="13"/>
    <s v="PL_A1"/>
    <x v="9"/>
    <x v="3"/>
    <s v="GBPR-WASTE"/>
    <x v="3"/>
    <x v="8"/>
    <n v="34"/>
    <n v="2068.3333333333298"/>
    <n v="7446"/>
  </r>
  <r>
    <x v="0"/>
    <x v="0"/>
    <x v="0"/>
    <x v="8"/>
    <x v="13"/>
    <s v="PL_A1"/>
    <x v="9"/>
    <x v="3"/>
    <s v="GBPR-WASTE"/>
    <x v="3"/>
    <x v="9"/>
    <n v="34"/>
    <n v="2068.3333333333298"/>
    <n v="7446"/>
  </r>
  <r>
    <x v="0"/>
    <x v="0"/>
    <x v="0"/>
    <x v="8"/>
    <x v="13"/>
    <s v="PL_A1"/>
    <x v="9"/>
    <x v="3"/>
    <s v="GBPR-WASTE"/>
    <x v="3"/>
    <x v="10"/>
    <n v="34"/>
    <n v="2068.3333333333298"/>
    <n v="7446"/>
  </r>
  <r>
    <x v="0"/>
    <x v="0"/>
    <x v="0"/>
    <x v="8"/>
    <x v="13"/>
    <s v="PL_A1"/>
    <x v="9"/>
    <x v="3"/>
    <s v="GBPR-WASTE"/>
    <x v="3"/>
    <x v="11"/>
    <n v="34"/>
    <n v="2068.3333333333298"/>
    <n v="7446"/>
  </r>
  <r>
    <x v="0"/>
    <x v="0"/>
    <x v="0"/>
    <x v="8"/>
    <x v="13"/>
    <s v="PL_A1"/>
    <x v="9"/>
    <x v="3"/>
    <s v="GBPR-WASTE"/>
    <x v="4"/>
    <x v="0"/>
    <n v="34"/>
    <n v="2068.3333333333298"/>
    <n v="7446"/>
  </r>
  <r>
    <x v="0"/>
    <x v="0"/>
    <x v="0"/>
    <x v="8"/>
    <x v="13"/>
    <s v="PL_A1"/>
    <x v="9"/>
    <x v="3"/>
    <s v="GBPR-WASTE"/>
    <x v="4"/>
    <x v="1"/>
    <n v="34"/>
    <n v="2068.3333333333298"/>
    <n v="7446"/>
  </r>
  <r>
    <x v="0"/>
    <x v="0"/>
    <x v="0"/>
    <x v="8"/>
    <x v="13"/>
    <s v="PL_A1"/>
    <x v="9"/>
    <x v="3"/>
    <s v="GBPR-WASTE"/>
    <x v="4"/>
    <x v="2"/>
    <n v="34"/>
    <n v="2068.3333333333298"/>
    <n v="7446"/>
  </r>
  <r>
    <x v="0"/>
    <x v="0"/>
    <x v="0"/>
    <x v="8"/>
    <x v="13"/>
    <s v="PL_A1"/>
    <x v="9"/>
    <x v="3"/>
    <s v="GBPR-WASTE"/>
    <x v="4"/>
    <x v="3"/>
    <n v="34"/>
    <n v="2068.3333333333298"/>
    <n v="7446"/>
  </r>
  <r>
    <x v="0"/>
    <x v="0"/>
    <x v="0"/>
    <x v="8"/>
    <x v="13"/>
    <s v="PL_A1"/>
    <x v="9"/>
    <x v="3"/>
    <s v="GBPR-WASTE"/>
    <x v="4"/>
    <x v="4"/>
    <n v="34"/>
    <n v="2068.3333333333298"/>
    <n v="7446"/>
  </r>
  <r>
    <x v="0"/>
    <x v="0"/>
    <x v="0"/>
    <x v="8"/>
    <x v="13"/>
    <s v="PL_A1"/>
    <x v="9"/>
    <x v="3"/>
    <s v="GBPR-WASTE"/>
    <x v="4"/>
    <x v="5"/>
    <n v="34"/>
    <n v="2068.3333333333298"/>
    <n v="7446"/>
  </r>
  <r>
    <x v="0"/>
    <x v="0"/>
    <x v="0"/>
    <x v="8"/>
    <x v="13"/>
    <s v="PL_A1"/>
    <x v="9"/>
    <x v="3"/>
    <s v="GBPR-WASTE"/>
    <x v="4"/>
    <x v="6"/>
    <n v="34"/>
    <n v="2068.3333333333298"/>
    <n v="7446"/>
  </r>
  <r>
    <x v="0"/>
    <x v="0"/>
    <x v="0"/>
    <x v="8"/>
    <x v="13"/>
    <s v="PL_A1"/>
    <x v="9"/>
    <x v="3"/>
    <s v="GBPR-WASTE"/>
    <x v="4"/>
    <x v="7"/>
    <n v="34"/>
    <n v="2068.3333333333298"/>
    <n v="7446"/>
  </r>
  <r>
    <x v="0"/>
    <x v="0"/>
    <x v="0"/>
    <x v="8"/>
    <x v="13"/>
    <s v="PL_A1"/>
    <x v="9"/>
    <x v="3"/>
    <s v="GBPR-WASTE"/>
    <x v="4"/>
    <x v="8"/>
    <n v="34"/>
    <n v="2068.3333333333298"/>
    <n v="7446"/>
  </r>
  <r>
    <x v="0"/>
    <x v="0"/>
    <x v="0"/>
    <x v="8"/>
    <x v="13"/>
    <s v="PL_A1"/>
    <x v="9"/>
    <x v="3"/>
    <s v="GBPR-WASTE"/>
    <x v="4"/>
    <x v="9"/>
    <n v="34"/>
    <n v="2068.3333333333298"/>
    <n v="7446"/>
  </r>
  <r>
    <x v="0"/>
    <x v="0"/>
    <x v="0"/>
    <x v="8"/>
    <x v="13"/>
    <s v="PL_A1"/>
    <x v="9"/>
    <x v="3"/>
    <s v="GBPR-WASTE"/>
    <x v="4"/>
    <x v="10"/>
    <n v="34"/>
    <n v="2068.3333333333298"/>
    <n v="7446"/>
  </r>
  <r>
    <x v="0"/>
    <x v="0"/>
    <x v="0"/>
    <x v="8"/>
    <x v="13"/>
    <s v="PL_A1"/>
    <x v="9"/>
    <x v="3"/>
    <s v="GBPR-WASTE"/>
    <x v="4"/>
    <x v="11"/>
    <n v="34"/>
    <n v="2068.3333333333298"/>
    <n v="7446"/>
  </r>
  <r>
    <x v="0"/>
    <x v="0"/>
    <x v="0"/>
    <x v="8"/>
    <x v="13"/>
    <s v="PL_A1"/>
    <x v="9"/>
    <x v="3"/>
    <s v="GBPR-WASTE"/>
    <x v="5"/>
    <x v="0"/>
    <n v="34"/>
    <n v="2068.3333333333298"/>
    <n v="7446"/>
  </r>
  <r>
    <x v="0"/>
    <x v="0"/>
    <x v="0"/>
    <x v="8"/>
    <x v="13"/>
    <s v="PL_A1"/>
    <x v="9"/>
    <x v="3"/>
    <s v="GBPR-WASTE"/>
    <x v="5"/>
    <x v="1"/>
    <n v="34"/>
    <n v="2068.3333333333298"/>
    <n v="7446"/>
  </r>
  <r>
    <x v="0"/>
    <x v="0"/>
    <x v="0"/>
    <x v="8"/>
    <x v="13"/>
    <s v="PL_A1"/>
    <x v="9"/>
    <x v="3"/>
    <s v="GBPR-WASTE"/>
    <x v="5"/>
    <x v="2"/>
    <n v="34"/>
    <n v="2068.3333333333298"/>
    <n v="7446"/>
  </r>
  <r>
    <x v="0"/>
    <x v="0"/>
    <x v="0"/>
    <x v="8"/>
    <x v="13"/>
    <s v="PL_A1"/>
    <x v="9"/>
    <x v="3"/>
    <s v="GBPR-WASTE"/>
    <x v="5"/>
    <x v="3"/>
    <n v="34"/>
    <n v="2068.3333333333298"/>
    <n v="7446"/>
  </r>
  <r>
    <x v="0"/>
    <x v="0"/>
    <x v="0"/>
    <x v="8"/>
    <x v="13"/>
    <s v="PL_A1"/>
    <x v="9"/>
    <x v="3"/>
    <s v="GBPR-WASTE"/>
    <x v="5"/>
    <x v="4"/>
    <n v="34"/>
    <n v="2068.3333333333298"/>
    <n v="7446"/>
  </r>
  <r>
    <x v="0"/>
    <x v="0"/>
    <x v="0"/>
    <x v="8"/>
    <x v="13"/>
    <s v="PL_A1"/>
    <x v="9"/>
    <x v="3"/>
    <s v="GBPR-WASTE"/>
    <x v="5"/>
    <x v="5"/>
    <n v="34"/>
    <n v="2068.3333333333298"/>
    <n v="7446"/>
  </r>
  <r>
    <x v="0"/>
    <x v="0"/>
    <x v="0"/>
    <x v="8"/>
    <x v="13"/>
    <s v="PL_A1"/>
    <x v="9"/>
    <x v="3"/>
    <s v="GBPR-WASTE"/>
    <x v="5"/>
    <x v="6"/>
    <n v="34"/>
    <n v="2068.3333333333298"/>
    <n v="7446"/>
  </r>
  <r>
    <x v="0"/>
    <x v="0"/>
    <x v="0"/>
    <x v="8"/>
    <x v="13"/>
    <s v="PL_A1"/>
    <x v="9"/>
    <x v="3"/>
    <s v="GBPR-WASTE"/>
    <x v="5"/>
    <x v="7"/>
    <n v="34"/>
    <n v="2068.3333333333298"/>
    <n v="7446"/>
  </r>
  <r>
    <x v="0"/>
    <x v="0"/>
    <x v="0"/>
    <x v="8"/>
    <x v="13"/>
    <s v="PL_A1"/>
    <x v="9"/>
    <x v="3"/>
    <s v="GBPR-WASTE"/>
    <x v="5"/>
    <x v="8"/>
    <n v="34"/>
    <n v="2068.3333333333298"/>
    <n v="7446"/>
  </r>
  <r>
    <x v="0"/>
    <x v="0"/>
    <x v="0"/>
    <x v="8"/>
    <x v="13"/>
    <s v="PL_A1"/>
    <x v="9"/>
    <x v="3"/>
    <s v="GBPR-WASTE"/>
    <x v="5"/>
    <x v="9"/>
    <n v="34"/>
    <n v="2068.3333333333298"/>
    <n v="7446"/>
  </r>
  <r>
    <x v="0"/>
    <x v="0"/>
    <x v="0"/>
    <x v="8"/>
    <x v="13"/>
    <s v="PL_A1"/>
    <x v="9"/>
    <x v="3"/>
    <s v="GBPR-WASTE"/>
    <x v="5"/>
    <x v="10"/>
    <n v="34"/>
    <n v="2068.3333333333298"/>
    <n v="7446"/>
  </r>
  <r>
    <x v="0"/>
    <x v="0"/>
    <x v="0"/>
    <x v="8"/>
    <x v="13"/>
    <s v="PL_A1"/>
    <x v="9"/>
    <x v="3"/>
    <s v="GBPR-WASTE"/>
    <x v="5"/>
    <x v="11"/>
    <n v="34"/>
    <n v="2068.3333333333298"/>
    <n v="7446"/>
  </r>
  <r>
    <x v="0"/>
    <x v="0"/>
    <x v="0"/>
    <x v="8"/>
    <x v="13"/>
    <s v="PL_A1"/>
    <x v="9"/>
    <x v="3"/>
    <s v="GBPR-WASTE"/>
    <x v="6"/>
    <x v="0"/>
    <n v="34"/>
    <n v="2068.3333333333298"/>
    <n v="7446"/>
  </r>
  <r>
    <x v="0"/>
    <x v="0"/>
    <x v="0"/>
    <x v="8"/>
    <x v="13"/>
    <s v="PL_A1"/>
    <x v="9"/>
    <x v="3"/>
    <s v="GBPR-WASTE"/>
    <x v="6"/>
    <x v="1"/>
    <n v="34"/>
    <n v="2068.3333333333298"/>
    <n v="7446"/>
  </r>
  <r>
    <x v="0"/>
    <x v="0"/>
    <x v="0"/>
    <x v="8"/>
    <x v="13"/>
    <s v="PL_A1"/>
    <x v="9"/>
    <x v="3"/>
    <s v="GBPR-WASTE"/>
    <x v="6"/>
    <x v="2"/>
    <n v="34"/>
    <n v="2068.3333333333298"/>
    <n v="7446"/>
  </r>
  <r>
    <x v="0"/>
    <x v="0"/>
    <x v="0"/>
    <x v="8"/>
    <x v="13"/>
    <s v="PL_A1"/>
    <x v="9"/>
    <x v="3"/>
    <s v="GBPR-WASTE"/>
    <x v="6"/>
    <x v="3"/>
    <n v="34"/>
    <n v="2068.3333333333298"/>
    <n v="7446"/>
  </r>
  <r>
    <x v="0"/>
    <x v="0"/>
    <x v="0"/>
    <x v="8"/>
    <x v="13"/>
    <s v="PL_A1"/>
    <x v="9"/>
    <x v="3"/>
    <s v="GBPR-WASTE"/>
    <x v="6"/>
    <x v="4"/>
    <n v="34"/>
    <n v="2068.3333333333298"/>
    <n v="7446"/>
  </r>
  <r>
    <x v="0"/>
    <x v="0"/>
    <x v="0"/>
    <x v="8"/>
    <x v="13"/>
    <s v="PL_A1"/>
    <x v="9"/>
    <x v="3"/>
    <s v="GBPR-WASTE"/>
    <x v="6"/>
    <x v="5"/>
    <n v="34"/>
    <n v="2068.3333333333298"/>
    <n v="7446"/>
  </r>
  <r>
    <x v="0"/>
    <x v="0"/>
    <x v="0"/>
    <x v="8"/>
    <x v="13"/>
    <s v="PL_A1"/>
    <x v="9"/>
    <x v="3"/>
    <s v="GBPR-WASTE"/>
    <x v="6"/>
    <x v="6"/>
    <n v="34"/>
    <n v="2068.3333333333298"/>
    <n v="7446"/>
  </r>
  <r>
    <x v="0"/>
    <x v="0"/>
    <x v="0"/>
    <x v="8"/>
    <x v="13"/>
    <s v="PL_A1"/>
    <x v="9"/>
    <x v="3"/>
    <s v="GBPR-WASTE"/>
    <x v="6"/>
    <x v="7"/>
    <n v="34"/>
    <n v="2068.3333333333298"/>
    <n v="7446"/>
  </r>
  <r>
    <x v="0"/>
    <x v="0"/>
    <x v="0"/>
    <x v="8"/>
    <x v="13"/>
    <s v="PL_A1"/>
    <x v="9"/>
    <x v="3"/>
    <s v="GBPR-WASTE"/>
    <x v="6"/>
    <x v="8"/>
    <n v="34"/>
    <n v="2068.3333333333298"/>
    <n v="7446"/>
  </r>
  <r>
    <x v="0"/>
    <x v="0"/>
    <x v="0"/>
    <x v="8"/>
    <x v="13"/>
    <s v="PL_A1"/>
    <x v="9"/>
    <x v="3"/>
    <s v="GBPR-WASTE"/>
    <x v="6"/>
    <x v="9"/>
    <n v="34"/>
    <n v="2068.3333333333298"/>
    <n v="7446"/>
  </r>
  <r>
    <x v="0"/>
    <x v="0"/>
    <x v="0"/>
    <x v="8"/>
    <x v="13"/>
    <s v="PL_A1"/>
    <x v="9"/>
    <x v="3"/>
    <s v="GBPR-WASTE"/>
    <x v="6"/>
    <x v="10"/>
    <n v="34"/>
    <n v="2068.3333333333298"/>
    <n v="7446"/>
  </r>
  <r>
    <x v="0"/>
    <x v="0"/>
    <x v="0"/>
    <x v="8"/>
    <x v="13"/>
    <s v="PL_A1"/>
    <x v="9"/>
    <x v="3"/>
    <s v="GBPR-WASTE"/>
    <x v="6"/>
    <x v="11"/>
    <n v="34"/>
    <n v="2068.3333333333298"/>
    <n v="7446"/>
  </r>
  <r>
    <x v="0"/>
    <x v="0"/>
    <x v="0"/>
    <x v="8"/>
    <x v="13"/>
    <s v="PL_A1"/>
    <x v="9"/>
    <x v="3"/>
    <s v="GBPR-WASTE"/>
    <x v="7"/>
    <x v="0"/>
    <n v="34"/>
    <n v="2068.3333333333298"/>
    <n v="7446"/>
  </r>
  <r>
    <x v="0"/>
    <x v="0"/>
    <x v="0"/>
    <x v="8"/>
    <x v="13"/>
    <s v="PL_A1"/>
    <x v="9"/>
    <x v="3"/>
    <s v="GBPR-WASTE"/>
    <x v="7"/>
    <x v="1"/>
    <n v="34"/>
    <n v="2068.3333333333298"/>
    <n v="7446"/>
  </r>
  <r>
    <x v="0"/>
    <x v="0"/>
    <x v="0"/>
    <x v="8"/>
    <x v="13"/>
    <s v="PL_A1"/>
    <x v="9"/>
    <x v="3"/>
    <s v="GBPR-WASTE"/>
    <x v="7"/>
    <x v="2"/>
    <n v="34"/>
    <n v="2068.3333333333298"/>
    <n v="7446"/>
  </r>
  <r>
    <x v="0"/>
    <x v="0"/>
    <x v="0"/>
    <x v="8"/>
    <x v="13"/>
    <s v="PL_A1"/>
    <x v="9"/>
    <x v="3"/>
    <s v="GBPR-WASTE"/>
    <x v="7"/>
    <x v="3"/>
    <n v="34"/>
    <n v="2068.3333333333298"/>
    <n v="7446"/>
  </r>
  <r>
    <x v="0"/>
    <x v="0"/>
    <x v="0"/>
    <x v="8"/>
    <x v="13"/>
    <s v="PL_A1"/>
    <x v="9"/>
    <x v="3"/>
    <s v="GBPR-WASTE"/>
    <x v="7"/>
    <x v="4"/>
    <n v="34"/>
    <n v="2068.3333333333298"/>
    <n v="7446"/>
  </r>
  <r>
    <x v="0"/>
    <x v="0"/>
    <x v="0"/>
    <x v="8"/>
    <x v="13"/>
    <s v="PL_A1"/>
    <x v="9"/>
    <x v="3"/>
    <s v="GBPR-WASTE"/>
    <x v="7"/>
    <x v="5"/>
    <n v="34"/>
    <n v="2068.3333333333298"/>
    <n v="7446"/>
  </r>
  <r>
    <x v="0"/>
    <x v="0"/>
    <x v="0"/>
    <x v="8"/>
    <x v="13"/>
    <s v="PL_A1"/>
    <x v="9"/>
    <x v="3"/>
    <s v="GBPR-WASTE"/>
    <x v="7"/>
    <x v="6"/>
    <n v="34"/>
    <n v="2068.3333333333298"/>
    <n v="7446"/>
  </r>
  <r>
    <x v="0"/>
    <x v="0"/>
    <x v="0"/>
    <x v="8"/>
    <x v="13"/>
    <s v="PL_A1"/>
    <x v="9"/>
    <x v="3"/>
    <s v="GBPR-WASTE"/>
    <x v="7"/>
    <x v="7"/>
    <n v="34"/>
    <n v="2068.3333333333298"/>
    <n v="7446"/>
  </r>
  <r>
    <x v="0"/>
    <x v="0"/>
    <x v="0"/>
    <x v="8"/>
    <x v="13"/>
    <s v="PL_A1"/>
    <x v="9"/>
    <x v="3"/>
    <s v="GBPR-WASTE"/>
    <x v="7"/>
    <x v="8"/>
    <n v="34"/>
    <n v="2068.3333333333298"/>
    <n v="7446"/>
  </r>
  <r>
    <x v="0"/>
    <x v="0"/>
    <x v="0"/>
    <x v="8"/>
    <x v="13"/>
    <s v="PL_A1"/>
    <x v="9"/>
    <x v="3"/>
    <s v="GBPR-WASTE"/>
    <x v="7"/>
    <x v="9"/>
    <n v="34"/>
    <n v="2068.3333333333298"/>
    <n v="7446"/>
  </r>
  <r>
    <x v="0"/>
    <x v="0"/>
    <x v="0"/>
    <x v="8"/>
    <x v="13"/>
    <s v="PL_A1"/>
    <x v="9"/>
    <x v="3"/>
    <s v="GBPR-WASTE"/>
    <x v="7"/>
    <x v="10"/>
    <n v="34"/>
    <n v="2068.3333333333298"/>
    <n v="7446"/>
  </r>
  <r>
    <x v="0"/>
    <x v="0"/>
    <x v="0"/>
    <x v="8"/>
    <x v="13"/>
    <s v="PL_A1"/>
    <x v="9"/>
    <x v="3"/>
    <s v="GBPR-WASTE"/>
    <x v="7"/>
    <x v="11"/>
    <n v="34"/>
    <n v="2068.3333333333298"/>
    <n v="7446"/>
  </r>
  <r>
    <x v="0"/>
    <x v="0"/>
    <x v="0"/>
    <x v="8"/>
    <x v="13"/>
    <s v="PL_A1"/>
    <x v="9"/>
    <x v="3"/>
    <s v="GBPR-WASTE"/>
    <x v="8"/>
    <x v="0"/>
    <n v="34"/>
    <n v="2068.3333333333298"/>
    <n v="7446"/>
  </r>
  <r>
    <x v="0"/>
    <x v="0"/>
    <x v="0"/>
    <x v="8"/>
    <x v="13"/>
    <s v="PL_A1"/>
    <x v="9"/>
    <x v="3"/>
    <s v="GBPR-WASTE"/>
    <x v="8"/>
    <x v="1"/>
    <n v="34"/>
    <n v="2068.3333333333298"/>
    <n v="7446"/>
  </r>
  <r>
    <x v="0"/>
    <x v="0"/>
    <x v="0"/>
    <x v="8"/>
    <x v="13"/>
    <s v="PL_A1"/>
    <x v="9"/>
    <x v="3"/>
    <s v="GBPR-WASTE"/>
    <x v="8"/>
    <x v="2"/>
    <n v="34"/>
    <n v="2068.3333333333298"/>
    <n v="7446"/>
  </r>
  <r>
    <x v="0"/>
    <x v="0"/>
    <x v="0"/>
    <x v="8"/>
    <x v="13"/>
    <s v="PL_A1"/>
    <x v="9"/>
    <x v="3"/>
    <s v="GBPR-WASTE"/>
    <x v="8"/>
    <x v="3"/>
    <n v="34"/>
    <n v="2068.3333333333298"/>
    <n v="7446"/>
  </r>
  <r>
    <x v="0"/>
    <x v="0"/>
    <x v="0"/>
    <x v="8"/>
    <x v="13"/>
    <s v="PL_A1"/>
    <x v="9"/>
    <x v="3"/>
    <s v="GBPR-WASTE"/>
    <x v="8"/>
    <x v="4"/>
    <n v="34"/>
    <n v="2068.3333333333298"/>
    <n v="7446"/>
  </r>
  <r>
    <x v="0"/>
    <x v="0"/>
    <x v="0"/>
    <x v="8"/>
    <x v="13"/>
    <s v="PL_A1"/>
    <x v="9"/>
    <x v="3"/>
    <s v="GBPR-WASTE"/>
    <x v="8"/>
    <x v="5"/>
    <n v="34"/>
    <n v="2068.3333333333298"/>
    <n v="7446"/>
  </r>
  <r>
    <x v="0"/>
    <x v="0"/>
    <x v="0"/>
    <x v="8"/>
    <x v="13"/>
    <s v="PL_A1"/>
    <x v="9"/>
    <x v="3"/>
    <s v="GBPR-WASTE"/>
    <x v="8"/>
    <x v="6"/>
    <n v="34"/>
    <n v="2068.3333333333298"/>
    <n v="7446"/>
  </r>
  <r>
    <x v="0"/>
    <x v="0"/>
    <x v="0"/>
    <x v="8"/>
    <x v="13"/>
    <s v="PL_A1"/>
    <x v="9"/>
    <x v="3"/>
    <s v="GBPR-WASTE"/>
    <x v="8"/>
    <x v="7"/>
    <n v="34"/>
    <n v="2068.3333333333298"/>
    <n v="7446"/>
  </r>
  <r>
    <x v="0"/>
    <x v="0"/>
    <x v="0"/>
    <x v="8"/>
    <x v="13"/>
    <s v="PL_A1"/>
    <x v="9"/>
    <x v="3"/>
    <s v="GBPR-WASTE"/>
    <x v="8"/>
    <x v="8"/>
    <n v="34"/>
    <n v="2068.3333333333298"/>
    <n v="7446"/>
  </r>
  <r>
    <x v="0"/>
    <x v="0"/>
    <x v="0"/>
    <x v="8"/>
    <x v="13"/>
    <s v="PL_A1"/>
    <x v="9"/>
    <x v="3"/>
    <s v="GBPR-WASTE"/>
    <x v="8"/>
    <x v="9"/>
    <n v="34"/>
    <n v="2068.3333333333298"/>
    <n v="7446"/>
  </r>
  <r>
    <x v="0"/>
    <x v="0"/>
    <x v="0"/>
    <x v="8"/>
    <x v="13"/>
    <s v="PL_A1"/>
    <x v="9"/>
    <x v="3"/>
    <s v="GBPR-WASTE"/>
    <x v="8"/>
    <x v="10"/>
    <n v="34"/>
    <n v="2068.3333333333298"/>
    <n v="7446"/>
  </r>
  <r>
    <x v="0"/>
    <x v="0"/>
    <x v="0"/>
    <x v="8"/>
    <x v="13"/>
    <s v="PL_A1"/>
    <x v="9"/>
    <x v="3"/>
    <s v="GBPR-WASTE"/>
    <x v="8"/>
    <x v="11"/>
    <n v="34"/>
    <n v="2068.3333333333298"/>
    <n v="7446"/>
  </r>
  <r>
    <x v="0"/>
    <x v="0"/>
    <x v="0"/>
    <x v="8"/>
    <x v="13"/>
    <s v="PL_A1"/>
    <x v="9"/>
    <x v="3"/>
    <s v="GBPR-WASTE"/>
    <x v="9"/>
    <x v="0"/>
    <n v="34"/>
    <n v="2068.3333333333298"/>
    <n v="7446"/>
  </r>
  <r>
    <x v="0"/>
    <x v="0"/>
    <x v="0"/>
    <x v="8"/>
    <x v="13"/>
    <s v="PL_A1"/>
    <x v="9"/>
    <x v="3"/>
    <s v="GBPR-WASTE"/>
    <x v="9"/>
    <x v="1"/>
    <n v="34"/>
    <n v="2068.3333333333298"/>
    <n v="7446"/>
  </r>
  <r>
    <x v="0"/>
    <x v="0"/>
    <x v="0"/>
    <x v="8"/>
    <x v="13"/>
    <s v="PL_A1"/>
    <x v="9"/>
    <x v="3"/>
    <s v="GBPR-WASTE"/>
    <x v="9"/>
    <x v="2"/>
    <n v="34"/>
    <n v="2068.3333333333298"/>
    <n v="7446"/>
  </r>
  <r>
    <x v="0"/>
    <x v="0"/>
    <x v="0"/>
    <x v="8"/>
    <x v="13"/>
    <s v="PL_A1"/>
    <x v="9"/>
    <x v="3"/>
    <s v="GBPR-WASTE"/>
    <x v="9"/>
    <x v="3"/>
    <n v="34"/>
    <n v="2068.3333333333298"/>
    <n v="7446"/>
  </r>
  <r>
    <x v="0"/>
    <x v="0"/>
    <x v="0"/>
    <x v="8"/>
    <x v="13"/>
    <s v="PL_A1"/>
    <x v="9"/>
    <x v="3"/>
    <s v="GBPR-WASTE"/>
    <x v="9"/>
    <x v="4"/>
    <n v="34"/>
    <n v="2068.3333333333298"/>
    <n v="7446"/>
  </r>
  <r>
    <x v="0"/>
    <x v="0"/>
    <x v="0"/>
    <x v="8"/>
    <x v="13"/>
    <s v="PL_A1"/>
    <x v="9"/>
    <x v="3"/>
    <s v="GBPR-WASTE"/>
    <x v="9"/>
    <x v="5"/>
    <n v="34"/>
    <n v="2068.3333333333298"/>
    <n v="7446"/>
  </r>
  <r>
    <x v="0"/>
    <x v="0"/>
    <x v="0"/>
    <x v="8"/>
    <x v="13"/>
    <s v="PL_A1"/>
    <x v="9"/>
    <x v="3"/>
    <s v="GBPR-WASTE"/>
    <x v="9"/>
    <x v="6"/>
    <n v="34"/>
    <n v="2068.3333333333298"/>
    <n v="7446"/>
  </r>
  <r>
    <x v="0"/>
    <x v="0"/>
    <x v="0"/>
    <x v="8"/>
    <x v="13"/>
    <s v="PL_A1"/>
    <x v="9"/>
    <x v="3"/>
    <s v="GBPR-WASTE"/>
    <x v="9"/>
    <x v="7"/>
    <n v="34"/>
    <n v="2068.3333333333298"/>
    <n v="7446"/>
  </r>
  <r>
    <x v="0"/>
    <x v="0"/>
    <x v="0"/>
    <x v="8"/>
    <x v="13"/>
    <s v="PL_A1"/>
    <x v="9"/>
    <x v="3"/>
    <s v="GBPR-WASTE"/>
    <x v="9"/>
    <x v="8"/>
    <n v="34"/>
    <n v="2068.3333333333298"/>
    <n v="7446"/>
  </r>
  <r>
    <x v="0"/>
    <x v="0"/>
    <x v="0"/>
    <x v="8"/>
    <x v="13"/>
    <s v="PL_A1"/>
    <x v="9"/>
    <x v="3"/>
    <s v="GBPR-WASTE"/>
    <x v="9"/>
    <x v="9"/>
    <n v="34"/>
    <n v="2068.3333333333298"/>
    <n v="7446"/>
  </r>
  <r>
    <x v="0"/>
    <x v="0"/>
    <x v="0"/>
    <x v="8"/>
    <x v="13"/>
    <s v="PL_A1"/>
    <x v="9"/>
    <x v="3"/>
    <s v="GBPR-WASTE"/>
    <x v="9"/>
    <x v="10"/>
    <n v="34"/>
    <n v="2068.3333333333298"/>
    <n v="7446"/>
  </r>
  <r>
    <x v="0"/>
    <x v="0"/>
    <x v="0"/>
    <x v="8"/>
    <x v="13"/>
    <s v="PL_A1"/>
    <x v="9"/>
    <x v="3"/>
    <s v="GBPR-WASTE"/>
    <x v="9"/>
    <x v="11"/>
    <n v="34"/>
    <n v="2068.3333333333298"/>
    <n v="7446"/>
  </r>
  <r>
    <x v="0"/>
    <x v="0"/>
    <x v="0"/>
    <x v="8"/>
    <x v="13"/>
    <s v="PL_A1"/>
    <x v="9"/>
    <x v="3"/>
    <s v="GBPR-WASTE"/>
    <x v="10"/>
    <x v="0"/>
    <n v="34"/>
    <n v="2068.3333333333298"/>
    <n v="7446"/>
  </r>
  <r>
    <x v="0"/>
    <x v="0"/>
    <x v="0"/>
    <x v="8"/>
    <x v="13"/>
    <s v="PL_A1"/>
    <x v="9"/>
    <x v="3"/>
    <s v="GBPR-WASTE"/>
    <x v="10"/>
    <x v="1"/>
    <n v="34"/>
    <n v="2068.3333333333298"/>
    <n v="7446"/>
  </r>
  <r>
    <x v="0"/>
    <x v="0"/>
    <x v="0"/>
    <x v="8"/>
    <x v="13"/>
    <s v="PL_A1"/>
    <x v="9"/>
    <x v="3"/>
    <s v="GBPR-WASTE"/>
    <x v="10"/>
    <x v="2"/>
    <n v="34"/>
    <n v="2068.3333333333298"/>
    <n v="7446"/>
  </r>
  <r>
    <x v="0"/>
    <x v="0"/>
    <x v="0"/>
    <x v="8"/>
    <x v="13"/>
    <s v="PL_A1"/>
    <x v="9"/>
    <x v="3"/>
    <s v="GBPR-WASTE"/>
    <x v="10"/>
    <x v="3"/>
    <n v="34"/>
    <n v="2068.3333333333298"/>
    <n v="7446"/>
  </r>
  <r>
    <x v="0"/>
    <x v="0"/>
    <x v="0"/>
    <x v="8"/>
    <x v="13"/>
    <s v="PL_A1"/>
    <x v="9"/>
    <x v="3"/>
    <s v="GBPR-WASTE"/>
    <x v="10"/>
    <x v="4"/>
    <n v="34"/>
    <n v="2068.3333333333298"/>
    <n v="7446"/>
  </r>
  <r>
    <x v="0"/>
    <x v="0"/>
    <x v="0"/>
    <x v="8"/>
    <x v="13"/>
    <s v="PL_A1"/>
    <x v="9"/>
    <x v="3"/>
    <s v="GBPR-WASTE"/>
    <x v="10"/>
    <x v="5"/>
    <n v="34"/>
    <n v="2068.3333333333298"/>
    <n v="7446"/>
  </r>
  <r>
    <x v="0"/>
    <x v="0"/>
    <x v="0"/>
    <x v="8"/>
    <x v="13"/>
    <s v="PL_A1"/>
    <x v="9"/>
    <x v="3"/>
    <s v="GBPR-WASTE"/>
    <x v="10"/>
    <x v="6"/>
    <n v="34"/>
    <n v="2068.3333333333298"/>
    <n v="7446"/>
  </r>
  <r>
    <x v="0"/>
    <x v="0"/>
    <x v="0"/>
    <x v="8"/>
    <x v="13"/>
    <s v="PL_A1"/>
    <x v="9"/>
    <x v="3"/>
    <s v="GBPR-WASTE"/>
    <x v="10"/>
    <x v="7"/>
    <n v="34"/>
    <n v="2068.3333333333298"/>
    <n v="7446"/>
  </r>
  <r>
    <x v="0"/>
    <x v="0"/>
    <x v="0"/>
    <x v="8"/>
    <x v="13"/>
    <s v="PL_A1"/>
    <x v="9"/>
    <x v="3"/>
    <s v="GBPR-WASTE"/>
    <x v="10"/>
    <x v="8"/>
    <n v="34"/>
    <n v="2068.3333333333298"/>
    <n v="7446"/>
  </r>
  <r>
    <x v="0"/>
    <x v="0"/>
    <x v="0"/>
    <x v="8"/>
    <x v="13"/>
    <s v="PL_A1"/>
    <x v="9"/>
    <x v="3"/>
    <s v="GBPR-WASTE"/>
    <x v="10"/>
    <x v="9"/>
    <n v="34"/>
    <n v="2068.3333333333298"/>
    <n v="7446"/>
  </r>
  <r>
    <x v="0"/>
    <x v="0"/>
    <x v="0"/>
    <x v="8"/>
    <x v="13"/>
    <s v="PL_A1"/>
    <x v="9"/>
    <x v="3"/>
    <s v="GBPR-WASTE"/>
    <x v="10"/>
    <x v="10"/>
    <n v="34"/>
    <n v="2068.3333333333298"/>
    <n v="7446"/>
  </r>
  <r>
    <x v="0"/>
    <x v="0"/>
    <x v="0"/>
    <x v="8"/>
    <x v="13"/>
    <s v="PL_A1"/>
    <x v="9"/>
    <x v="3"/>
    <s v="GBPR-WASTE"/>
    <x v="10"/>
    <x v="11"/>
    <n v="34"/>
    <n v="2068.3333333333298"/>
    <n v="7446"/>
  </r>
  <r>
    <x v="0"/>
    <x v="0"/>
    <x v="0"/>
    <x v="8"/>
    <x v="13"/>
    <s v="PL_A1"/>
    <x v="9"/>
    <x v="3"/>
    <s v="GBPR-WASTE"/>
    <x v="11"/>
    <x v="0"/>
    <n v="34"/>
    <n v="2068.3333333333298"/>
    <n v="7446"/>
  </r>
  <r>
    <x v="0"/>
    <x v="0"/>
    <x v="0"/>
    <x v="8"/>
    <x v="13"/>
    <s v="PL_A1"/>
    <x v="9"/>
    <x v="3"/>
    <s v="GBPR-WASTE"/>
    <x v="11"/>
    <x v="1"/>
    <n v="34"/>
    <n v="2068.3333333333298"/>
    <n v="7446"/>
  </r>
  <r>
    <x v="0"/>
    <x v="0"/>
    <x v="0"/>
    <x v="8"/>
    <x v="13"/>
    <s v="PL_A1"/>
    <x v="9"/>
    <x v="3"/>
    <s v="GBPR-WASTE"/>
    <x v="11"/>
    <x v="2"/>
    <n v="34"/>
    <n v="2068.3333333333298"/>
    <n v="7446"/>
  </r>
  <r>
    <x v="0"/>
    <x v="0"/>
    <x v="0"/>
    <x v="8"/>
    <x v="13"/>
    <s v="PL_A1"/>
    <x v="9"/>
    <x v="3"/>
    <s v="GBPR-WASTE"/>
    <x v="11"/>
    <x v="3"/>
    <n v="34"/>
    <n v="2068.3333333333298"/>
    <n v="7446"/>
  </r>
  <r>
    <x v="0"/>
    <x v="0"/>
    <x v="0"/>
    <x v="8"/>
    <x v="13"/>
    <s v="PL_A1"/>
    <x v="9"/>
    <x v="3"/>
    <s v="GBPR-WASTE"/>
    <x v="11"/>
    <x v="4"/>
    <n v="34"/>
    <n v="2068.3333333333298"/>
    <n v="7446"/>
  </r>
  <r>
    <x v="0"/>
    <x v="0"/>
    <x v="0"/>
    <x v="8"/>
    <x v="13"/>
    <s v="PL_A1"/>
    <x v="9"/>
    <x v="3"/>
    <s v="GBPR-WASTE"/>
    <x v="11"/>
    <x v="5"/>
    <n v="34"/>
    <n v="2068.3333333333298"/>
    <n v="7446"/>
  </r>
  <r>
    <x v="0"/>
    <x v="0"/>
    <x v="0"/>
    <x v="8"/>
    <x v="13"/>
    <s v="PL_A1"/>
    <x v="9"/>
    <x v="3"/>
    <s v="GBPR-WASTE"/>
    <x v="11"/>
    <x v="6"/>
    <n v="34"/>
    <n v="2068.3333333333298"/>
    <n v="7446"/>
  </r>
  <r>
    <x v="0"/>
    <x v="0"/>
    <x v="0"/>
    <x v="8"/>
    <x v="13"/>
    <s v="PL_A1"/>
    <x v="9"/>
    <x v="3"/>
    <s v="GBPR-WASTE"/>
    <x v="11"/>
    <x v="7"/>
    <n v="34"/>
    <n v="2068.3333333333298"/>
    <n v="7446"/>
  </r>
  <r>
    <x v="0"/>
    <x v="0"/>
    <x v="0"/>
    <x v="8"/>
    <x v="13"/>
    <s v="PL_A1"/>
    <x v="9"/>
    <x v="3"/>
    <s v="GBPR-WASTE"/>
    <x v="11"/>
    <x v="8"/>
    <n v="34"/>
    <n v="2068.3333333333298"/>
    <n v="7446"/>
  </r>
  <r>
    <x v="0"/>
    <x v="0"/>
    <x v="0"/>
    <x v="8"/>
    <x v="13"/>
    <s v="PL_A1"/>
    <x v="9"/>
    <x v="3"/>
    <s v="GBPR-WASTE"/>
    <x v="11"/>
    <x v="9"/>
    <n v="34"/>
    <n v="2068.3333333333298"/>
    <n v="7446"/>
  </r>
  <r>
    <x v="0"/>
    <x v="0"/>
    <x v="0"/>
    <x v="8"/>
    <x v="13"/>
    <s v="PL_A1"/>
    <x v="9"/>
    <x v="3"/>
    <s v="GBPR-WASTE"/>
    <x v="11"/>
    <x v="10"/>
    <n v="34"/>
    <n v="2068.3333333333298"/>
    <n v="7446"/>
  </r>
  <r>
    <x v="0"/>
    <x v="0"/>
    <x v="0"/>
    <x v="8"/>
    <x v="13"/>
    <s v="PL_A1"/>
    <x v="9"/>
    <x v="3"/>
    <s v="GBPR-WASTE"/>
    <x v="11"/>
    <x v="11"/>
    <n v="34"/>
    <n v="2068.3333333333298"/>
    <n v="7446"/>
  </r>
  <r>
    <x v="0"/>
    <x v="0"/>
    <x v="0"/>
    <x v="9"/>
    <x v="14"/>
    <s v="SE1A"/>
    <x v="7"/>
    <x v="6"/>
    <s v="GHYRR_WATER"/>
    <x v="0"/>
    <x v="0"/>
    <n v="851.32104090629002"/>
    <n v="51788.696655132597"/>
    <n v="186439.307958477"/>
  </r>
  <r>
    <x v="0"/>
    <x v="0"/>
    <x v="0"/>
    <x v="9"/>
    <x v="14"/>
    <s v="SE1A"/>
    <x v="7"/>
    <x v="6"/>
    <s v="GHYRR_WATER"/>
    <x v="0"/>
    <x v="1"/>
    <n v="851.32104090629002"/>
    <n v="51788.696655132597"/>
    <n v="186439.307958477"/>
  </r>
  <r>
    <x v="0"/>
    <x v="0"/>
    <x v="0"/>
    <x v="9"/>
    <x v="14"/>
    <s v="SE1A"/>
    <x v="7"/>
    <x v="6"/>
    <s v="GHYRR_WATER"/>
    <x v="0"/>
    <x v="2"/>
    <n v="851.32104090629002"/>
    <n v="51788.696655132597"/>
    <n v="186439.307958477"/>
  </r>
  <r>
    <x v="0"/>
    <x v="0"/>
    <x v="0"/>
    <x v="9"/>
    <x v="14"/>
    <s v="SE1A"/>
    <x v="7"/>
    <x v="6"/>
    <s v="GHYRR_WATER"/>
    <x v="0"/>
    <x v="3"/>
    <n v="851.32104090629002"/>
    <n v="51788.696655132597"/>
    <n v="186439.307958477"/>
  </r>
  <r>
    <x v="0"/>
    <x v="0"/>
    <x v="0"/>
    <x v="9"/>
    <x v="14"/>
    <s v="SE1A"/>
    <x v="7"/>
    <x v="6"/>
    <s v="GHYRR_WATER"/>
    <x v="0"/>
    <x v="4"/>
    <n v="851.32104090629002"/>
    <n v="51788.696655132597"/>
    <n v="186439.307958477"/>
  </r>
  <r>
    <x v="0"/>
    <x v="0"/>
    <x v="0"/>
    <x v="9"/>
    <x v="14"/>
    <s v="SE1A"/>
    <x v="7"/>
    <x v="6"/>
    <s v="GHYRR_WATER"/>
    <x v="0"/>
    <x v="5"/>
    <n v="851.32104090629002"/>
    <n v="51788.696655132597"/>
    <n v="186439.307958477"/>
  </r>
  <r>
    <x v="0"/>
    <x v="0"/>
    <x v="0"/>
    <x v="9"/>
    <x v="14"/>
    <s v="SE1A"/>
    <x v="7"/>
    <x v="6"/>
    <s v="GHYRR_WATER"/>
    <x v="0"/>
    <x v="6"/>
    <n v="851.32104090629002"/>
    <n v="51788.696655132597"/>
    <n v="186439.307958477"/>
  </r>
  <r>
    <x v="0"/>
    <x v="0"/>
    <x v="0"/>
    <x v="9"/>
    <x v="14"/>
    <s v="SE1A"/>
    <x v="7"/>
    <x v="6"/>
    <s v="GHYRR_WATER"/>
    <x v="0"/>
    <x v="7"/>
    <n v="851.32104090629002"/>
    <n v="51788.696655132597"/>
    <n v="186439.307958477"/>
  </r>
  <r>
    <x v="0"/>
    <x v="0"/>
    <x v="0"/>
    <x v="9"/>
    <x v="14"/>
    <s v="SE1A"/>
    <x v="7"/>
    <x v="6"/>
    <s v="GHYRR_WATER"/>
    <x v="0"/>
    <x v="8"/>
    <n v="851.32104090629002"/>
    <n v="51788.696655132597"/>
    <n v="186439.307958477"/>
  </r>
  <r>
    <x v="0"/>
    <x v="0"/>
    <x v="0"/>
    <x v="9"/>
    <x v="14"/>
    <s v="SE1A"/>
    <x v="7"/>
    <x v="6"/>
    <s v="GHYRR_WATER"/>
    <x v="0"/>
    <x v="9"/>
    <n v="851.32104090629002"/>
    <n v="51788.696655132597"/>
    <n v="186439.307958477"/>
  </r>
  <r>
    <x v="0"/>
    <x v="0"/>
    <x v="0"/>
    <x v="9"/>
    <x v="14"/>
    <s v="SE1A"/>
    <x v="7"/>
    <x v="6"/>
    <s v="GHYRR_WATER"/>
    <x v="0"/>
    <x v="10"/>
    <n v="851.32104090629002"/>
    <n v="51788.696655132597"/>
    <n v="186439.307958477"/>
  </r>
  <r>
    <x v="0"/>
    <x v="0"/>
    <x v="0"/>
    <x v="9"/>
    <x v="14"/>
    <s v="SE1A"/>
    <x v="7"/>
    <x v="6"/>
    <s v="GHYRR_WATER"/>
    <x v="0"/>
    <x v="11"/>
    <n v="851.32104090629002"/>
    <n v="51788.696655132597"/>
    <n v="186439.307958477"/>
  </r>
  <r>
    <x v="0"/>
    <x v="0"/>
    <x v="0"/>
    <x v="9"/>
    <x v="14"/>
    <s v="SE1A"/>
    <x v="7"/>
    <x v="6"/>
    <s v="GHYRR_WATER"/>
    <x v="1"/>
    <x v="0"/>
    <n v="721.49745437132196"/>
    <n v="43891.095140922102"/>
    <n v="158007.94250732"/>
  </r>
  <r>
    <x v="0"/>
    <x v="0"/>
    <x v="0"/>
    <x v="9"/>
    <x v="14"/>
    <s v="SE1A"/>
    <x v="7"/>
    <x v="6"/>
    <s v="GHYRR_WATER"/>
    <x v="1"/>
    <x v="1"/>
    <n v="721.49745437132196"/>
    <n v="43891.095140922102"/>
    <n v="158007.94250732"/>
  </r>
  <r>
    <x v="0"/>
    <x v="0"/>
    <x v="0"/>
    <x v="9"/>
    <x v="14"/>
    <s v="SE1A"/>
    <x v="7"/>
    <x v="6"/>
    <s v="GHYRR_WATER"/>
    <x v="1"/>
    <x v="2"/>
    <n v="721.49745437132196"/>
    <n v="43891.095140922102"/>
    <n v="158007.94250732"/>
  </r>
  <r>
    <x v="0"/>
    <x v="0"/>
    <x v="0"/>
    <x v="9"/>
    <x v="14"/>
    <s v="SE1A"/>
    <x v="7"/>
    <x v="6"/>
    <s v="GHYRR_WATER"/>
    <x v="1"/>
    <x v="3"/>
    <n v="721.49745437132196"/>
    <n v="43891.095140922102"/>
    <n v="158007.94250732"/>
  </r>
  <r>
    <x v="0"/>
    <x v="0"/>
    <x v="0"/>
    <x v="9"/>
    <x v="14"/>
    <s v="SE1A"/>
    <x v="7"/>
    <x v="6"/>
    <s v="GHYRR_WATER"/>
    <x v="1"/>
    <x v="4"/>
    <n v="721.49745437132196"/>
    <n v="43891.095140922102"/>
    <n v="158007.94250732"/>
  </r>
  <r>
    <x v="0"/>
    <x v="0"/>
    <x v="0"/>
    <x v="9"/>
    <x v="14"/>
    <s v="SE1A"/>
    <x v="7"/>
    <x v="6"/>
    <s v="GHYRR_WATER"/>
    <x v="1"/>
    <x v="5"/>
    <n v="721.49745437132196"/>
    <n v="43891.095140922102"/>
    <n v="158007.94250732"/>
  </r>
  <r>
    <x v="0"/>
    <x v="0"/>
    <x v="0"/>
    <x v="9"/>
    <x v="14"/>
    <s v="SE1A"/>
    <x v="7"/>
    <x v="6"/>
    <s v="GHYRR_WATER"/>
    <x v="1"/>
    <x v="6"/>
    <n v="721.49745437132196"/>
    <n v="43891.095140922102"/>
    <n v="158007.94250732"/>
  </r>
  <r>
    <x v="0"/>
    <x v="0"/>
    <x v="0"/>
    <x v="9"/>
    <x v="14"/>
    <s v="SE1A"/>
    <x v="7"/>
    <x v="6"/>
    <s v="GHYRR_WATER"/>
    <x v="1"/>
    <x v="7"/>
    <n v="721.49745437132196"/>
    <n v="43891.095140922102"/>
    <n v="158007.94250732"/>
  </r>
  <r>
    <x v="0"/>
    <x v="0"/>
    <x v="0"/>
    <x v="9"/>
    <x v="14"/>
    <s v="SE1A"/>
    <x v="7"/>
    <x v="6"/>
    <s v="GHYRR_WATER"/>
    <x v="1"/>
    <x v="8"/>
    <n v="721.49745437132196"/>
    <n v="43891.095140922102"/>
    <n v="158007.94250732"/>
  </r>
  <r>
    <x v="0"/>
    <x v="0"/>
    <x v="0"/>
    <x v="9"/>
    <x v="14"/>
    <s v="SE1A"/>
    <x v="7"/>
    <x v="6"/>
    <s v="GHYRR_WATER"/>
    <x v="1"/>
    <x v="9"/>
    <n v="721.49745437132196"/>
    <n v="43891.095140922102"/>
    <n v="158007.94250732"/>
  </r>
  <r>
    <x v="0"/>
    <x v="0"/>
    <x v="0"/>
    <x v="9"/>
    <x v="14"/>
    <s v="SE1A"/>
    <x v="7"/>
    <x v="6"/>
    <s v="GHYRR_WATER"/>
    <x v="1"/>
    <x v="10"/>
    <n v="721.49745437132196"/>
    <n v="43891.095140922102"/>
    <n v="158007.94250732"/>
  </r>
  <r>
    <x v="0"/>
    <x v="0"/>
    <x v="0"/>
    <x v="9"/>
    <x v="14"/>
    <s v="SE1A"/>
    <x v="7"/>
    <x v="6"/>
    <s v="GHYRR_WATER"/>
    <x v="1"/>
    <x v="11"/>
    <n v="721.49745437132196"/>
    <n v="43891.095140922102"/>
    <n v="158007.94250732"/>
  </r>
  <r>
    <x v="0"/>
    <x v="0"/>
    <x v="0"/>
    <x v="9"/>
    <x v="14"/>
    <s v="SE1A"/>
    <x v="7"/>
    <x v="6"/>
    <s v="GHYRR_WATER"/>
    <x v="2"/>
    <x v="0"/>
    <n v="704.264234919778"/>
    <n v="42842.740957619797"/>
    <n v="154233.867447431"/>
  </r>
  <r>
    <x v="0"/>
    <x v="0"/>
    <x v="0"/>
    <x v="9"/>
    <x v="14"/>
    <s v="SE1A"/>
    <x v="7"/>
    <x v="6"/>
    <s v="GHYRR_WATER"/>
    <x v="2"/>
    <x v="1"/>
    <n v="704.264234919778"/>
    <n v="42842.740957619797"/>
    <n v="154233.867447431"/>
  </r>
  <r>
    <x v="0"/>
    <x v="0"/>
    <x v="0"/>
    <x v="9"/>
    <x v="14"/>
    <s v="SE1A"/>
    <x v="7"/>
    <x v="6"/>
    <s v="GHYRR_WATER"/>
    <x v="2"/>
    <x v="2"/>
    <n v="704.264234919778"/>
    <n v="42842.740957619797"/>
    <n v="154233.867447431"/>
  </r>
  <r>
    <x v="0"/>
    <x v="0"/>
    <x v="0"/>
    <x v="9"/>
    <x v="14"/>
    <s v="SE1A"/>
    <x v="7"/>
    <x v="6"/>
    <s v="GHYRR_WATER"/>
    <x v="2"/>
    <x v="3"/>
    <n v="704.264234919778"/>
    <n v="42842.740957619797"/>
    <n v="154233.867447431"/>
  </r>
  <r>
    <x v="0"/>
    <x v="0"/>
    <x v="0"/>
    <x v="9"/>
    <x v="14"/>
    <s v="SE1A"/>
    <x v="7"/>
    <x v="6"/>
    <s v="GHYRR_WATER"/>
    <x v="2"/>
    <x v="4"/>
    <n v="704.264234919778"/>
    <n v="42842.740957619797"/>
    <n v="154233.867447431"/>
  </r>
  <r>
    <x v="0"/>
    <x v="0"/>
    <x v="0"/>
    <x v="9"/>
    <x v="14"/>
    <s v="SE1A"/>
    <x v="7"/>
    <x v="6"/>
    <s v="GHYRR_WATER"/>
    <x v="2"/>
    <x v="5"/>
    <n v="704.264234919778"/>
    <n v="42842.740957619797"/>
    <n v="154233.867447431"/>
  </r>
  <r>
    <x v="0"/>
    <x v="0"/>
    <x v="0"/>
    <x v="9"/>
    <x v="14"/>
    <s v="SE1A"/>
    <x v="7"/>
    <x v="6"/>
    <s v="GHYRR_WATER"/>
    <x v="2"/>
    <x v="6"/>
    <n v="704.264234919778"/>
    <n v="42842.740957619797"/>
    <n v="154233.867447431"/>
  </r>
  <r>
    <x v="0"/>
    <x v="0"/>
    <x v="0"/>
    <x v="9"/>
    <x v="14"/>
    <s v="SE1A"/>
    <x v="7"/>
    <x v="6"/>
    <s v="GHYRR_WATER"/>
    <x v="2"/>
    <x v="7"/>
    <n v="704.264234919778"/>
    <n v="42842.740957619797"/>
    <n v="154233.867447431"/>
  </r>
  <r>
    <x v="0"/>
    <x v="0"/>
    <x v="0"/>
    <x v="9"/>
    <x v="14"/>
    <s v="SE1A"/>
    <x v="7"/>
    <x v="6"/>
    <s v="GHYRR_WATER"/>
    <x v="2"/>
    <x v="8"/>
    <n v="704.264234919778"/>
    <n v="42842.740957619797"/>
    <n v="154233.867447431"/>
  </r>
  <r>
    <x v="0"/>
    <x v="0"/>
    <x v="0"/>
    <x v="9"/>
    <x v="14"/>
    <s v="SE1A"/>
    <x v="7"/>
    <x v="6"/>
    <s v="GHYRR_WATER"/>
    <x v="2"/>
    <x v="9"/>
    <n v="704.264234919778"/>
    <n v="42842.740957619797"/>
    <n v="154233.867447431"/>
  </r>
  <r>
    <x v="0"/>
    <x v="0"/>
    <x v="0"/>
    <x v="9"/>
    <x v="14"/>
    <s v="SE1A"/>
    <x v="7"/>
    <x v="6"/>
    <s v="GHYRR_WATER"/>
    <x v="2"/>
    <x v="10"/>
    <n v="704.264234919778"/>
    <n v="42842.740957619797"/>
    <n v="154233.867447431"/>
  </r>
  <r>
    <x v="0"/>
    <x v="0"/>
    <x v="0"/>
    <x v="9"/>
    <x v="14"/>
    <s v="SE1A"/>
    <x v="7"/>
    <x v="6"/>
    <s v="GHYRR_WATER"/>
    <x v="2"/>
    <x v="11"/>
    <n v="704.264234919778"/>
    <n v="42842.740957619797"/>
    <n v="154233.867447431"/>
  </r>
  <r>
    <x v="0"/>
    <x v="0"/>
    <x v="0"/>
    <x v="9"/>
    <x v="14"/>
    <s v="SE1A"/>
    <x v="7"/>
    <x v="6"/>
    <s v="GHYRR_WATER"/>
    <x v="3"/>
    <x v="0"/>
    <n v="521.59210873340805"/>
    <n v="31730.186614615701"/>
    <n v="114228.671812616"/>
  </r>
  <r>
    <x v="0"/>
    <x v="0"/>
    <x v="0"/>
    <x v="9"/>
    <x v="14"/>
    <s v="SE1A"/>
    <x v="7"/>
    <x v="6"/>
    <s v="GHYRR_WATER"/>
    <x v="3"/>
    <x v="1"/>
    <n v="521.59210873340805"/>
    <n v="31730.186614615701"/>
    <n v="114228.671812616"/>
  </r>
  <r>
    <x v="0"/>
    <x v="0"/>
    <x v="0"/>
    <x v="9"/>
    <x v="14"/>
    <s v="SE1A"/>
    <x v="7"/>
    <x v="6"/>
    <s v="GHYRR_WATER"/>
    <x v="3"/>
    <x v="2"/>
    <n v="521.59210873340805"/>
    <n v="31730.186614615701"/>
    <n v="114228.671812616"/>
  </r>
  <r>
    <x v="0"/>
    <x v="0"/>
    <x v="0"/>
    <x v="9"/>
    <x v="14"/>
    <s v="SE1A"/>
    <x v="7"/>
    <x v="6"/>
    <s v="GHYRR_WATER"/>
    <x v="3"/>
    <x v="3"/>
    <n v="521.59210873340805"/>
    <n v="31730.186614615701"/>
    <n v="114228.671812616"/>
  </r>
  <r>
    <x v="0"/>
    <x v="0"/>
    <x v="0"/>
    <x v="9"/>
    <x v="14"/>
    <s v="SE1A"/>
    <x v="7"/>
    <x v="6"/>
    <s v="GHYRR_WATER"/>
    <x v="3"/>
    <x v="4"/>
    <n v="521.59210873340805"/>
    <n v="31730.186614615701"/>
    <n v="114228.671812616"/>
  </r>
  <r>
    <x v="0"/>
    <x v="0"/>
    <x v="0"/>
    <x v="9"/>
    <x v="14"/>
    <s v="SE1A"/>
    <x v="7"/>
    <x v="6"/>
    <s v="GHYRR_WATER"/>
    <x v="3"/>
    <x v="5"/>
    <n v="521.59210873340805"/>
    <n v="31730.186614615701"/>
    <n v="114228.671812616"/>
  </r>
  <r>
    <x v="0"/>
    <x v="0"/>
    <x v="0"/>
    <x v="9"/>
    <x v="14"/>
    <s v="SE1A"/>
    <x v="7"/>
    <x v="6"/>
    <s v="GHYRR_WATER"/>
    <x v="3"/>
    <x v="6"/>
    <n v="521.59210873340805"/>
    <n v="31730.186614615701"/>
    <n v="114228.671812616"/>
  </r>
  <r>
    <x v="0"/>
    <x v="0"/>
    <x v="0"/>
    <x v="9"/>
    <x v="14"/>
    <s v="SE1A"/>
    <x v="7"/>
    <x v="6"/>
    <s v="GHYRR_WATER"/>
    <x v="3"/>
    <x v="7"/>
    <n v="521.59210873340805"/>
    <n v="31730.186614615701"/>
    <n v="114228.671812616"/>
  </r>
  <r>
    <x v="0"/>
    <x v="0"/>
    <x v="0"/>
    <x v="9"/>
    <x v="14"/>
    <s v="SE1A"/>
    <x v="7"/>
    <x v="6"/>
    <s v="GHYRR_WATER"/>
    <x v="3"/>
    <x v="8"/>
    <n v="521.59210873340805"/>
    <n v="31730.186614615701"/>
    <n v="114228.671812616"/>
  </r>
  <r>
    <x v="0"/>
    <x v="0"/>
    <x v="0"/>
    <x v="9"/>
    <x v="14"/>
    <s v="SE1A"/>
    <x v="7"/>
    <x v="6"/>
    <s v="GHYRR_WATER"/>
    <x v="3"/>
    <x v="9"/>
    <n v="521.59210873340805"/>
    <n v="31730.186614615701"/>
    <n v="114228.671812616"/>
  </r>
  <r>
    <x v="0"/>
    <x v="0"/>
    <x v="0"/>
    <x v="9"/>
    <x v="14"/>
    <s v="SE1A"/>
    <x v="7"/>
    <x v="6"/>
    <s v="GHYRR_WATER"/>
    <x v="3"/>
    <x v="10"/>
    <n v="521.59210873340805"/>
    <n v="31730.186614615701"/>
    <n v="114228.671812616"/>
  </r>
  <r>
    <x v="0"/>
    <x v="0"/>
    <x v="0"/>
    <x v="9"/>
    <x v="14"/>
    <s v="SE1A"/>
    <x v="7"/>
    <x v="6"/>
    <s v="GHYRR_WATER"/>
    <x v="3"/>
    <x v="11"/>
    <n v="521.59210873340805"/>
    <n v="31730.186614615701"/>
    <n v="114228.671812616"/>
  </r>
  <r>
    <x v="0"/>
    <x v="0"/>
    <x v="0"/>
    <x v="9"/>
    <x v="14"/>
    <s v="SE1A"/>
    <x v="7"/>
    <x v="6"/>
    <s v="GHYRR_WATER"/>
    <x v="4"/>
    <x v="0"/>
    <n v="396.36404738551897"/>
    <n v="24112.146215952402"/>
    <n v="86803.7263774288"/>
  </r>
  <r>
    <x v="0"/>
    <x v="0"/>
    <x v="0"/>
    <x v="9"/>
    <x v="14"/>
    <s v="SE1A"/>
    <x v="7"/>
    <x v="6"/>
    <s v="GHYRR_WATER"/>
    <x v="4"/>
    <x v="1"/>
    <n v="396.36404738551897"/>
    <n v="24112.146215952402"/>
    <n v="86803.7263774288"/>
  </r>
  <r>
    <x v="0"/>
    <x v="0"/>
    <x v="0"/>
    <x v="9"/>
    <x v="14"/>
    <s v="SE1A"/>
    <x v="7"/>
    <x v="6"/>
    <s v="GHYRR_WATER"/>
    <x v="4"/>
    <x v="2"/>
    <n v="396.36404738551897"/>
    <n v="24112.146215952402"/>
    <n v="86803.7263774288"/>
  </r>
  <r>
    <x v="0"/>
    <x v="0"/>
    <x v="0"/>
    <x v="9"/>
    <x v="14"/>
    <s v="SE1A"/>
    <x v="7"/>
    <x v="6"/>
    <s v="GHYRR_WATER"/>
    <x v="4"/>
    <x v="3"/>
    <n v="396.36404738551897"/>
    <n v="24112.146215952402"/>
    <n v="86803.7263774288"/>
  </r>
  <r>
    <x v="0"/>
    <x v="0"/>
    <x v="0"/>
    <x v="9"/>
    <x v="14"/>
    <s v="SE1A"/>
    <x v="7"/>
    <x v="6"/>
    <s v="GHYRR_WATER"/>
    <x v="4"/>
    <x v="4"/>
    <n v="396.36404738551897"/>
    <n v="24112.146215952402"/>
    <n v="86803.7263774288"/>
  </r>
  <r>
    <x v="0"/>
    <x v="0"/>
    <x v="0"/>
    <x v="9"/>
    <x v="14"/>
    <s v="SE1A"/>
    <x v="7"/>
    <x v="6"/>
    <s v="GHYRR_WATER"/>
    <x v="4"/>
    <x v="5"/>
    <n v="396.36404738551897"/>
    <n v="24112.146215952402"/>
    <n v="86803.7263774288"/>
  </r>
  <r>
    <x v="0"/>
    <x v="0"/>
    <x v="0"/>
    <x v="9"/>
    <x v="14"/>
    <s v="SE1A"/>
    <x v="7"/>
    <x v="6"/>
    <s v="GHYRR_WATER"/>
    <x v="4"/>
    <x v="6"/>
    <n v="396.36404738551897"/>
    <n v="24112.146215952402"/>
    <n v="86803.7263774288"/>
  </r>
  <r>
    <x v="0"/>
    <x v="0"/>
    <x v="0"/>
    <x v="9"/>
    <x v="14"/>
    <s v="SE1A"/>
    <x v="7"/>
    <x v="6"/>
    <s v="GHYRR_WATER"/>
    <x v="4"/>
    <x v="7"/>
    <n v="396.36404738551897"/>
    <n v="24112.146215952402"/>
    <n v="86803.7263774288"/>
  </r>
  <r>
    <x v="0"/>
    <x v="0"/>
    <x v="0"/>
    <x v="9"/>
    <x v="14"/>
    <s v="SE1A"/>
    <x v="7"/>
    <x v="6"/>
    <s v="GHYRR_WATER"/>
    <x v="4"/>
    <x v="8"/>
    <n v="396.36404738551897"/>
    <n v="24112.146215952402"/>
    <n v="86803.7263774288"/>
  </r>
  <r>
    <x v="0"/>
    <x v="0"/>
    <x v="0"/>
    <x v="9"/>
    <x v="14"/>
    <s v="SE1A"/>
    <x v="7"/>
    <x v="6"/>
    <s v="GHYRR_WATER"/>
    <x v="4"/>
    <x v="9"/>
    <n v="396.36404738551897"/>
    <n v="24112.146215952402"/>
    <n v="86803.7263774288"/>
  </r>
  <r>
    <x v="0"/>
    <x v="0"/>
    <x v="0"/>
    <x v="9"/>
    <x v="14"/>
    <s v="SE1A"/>
    <x v="7"/>
    <x v="6"/>
    <s v="GHYRR_WATER"/>
    <x v="4"/>
    <x v="10"/>
    <n v="396.36404738551897"/>
    <n v="24112.146215952402"/>
    <n v="86803.7263774288"/>
  </r>
  <r>
    <x v="0"/>
    <x v="0"/>
    <x v="0"/>
    <x v="9"/>
    <x v="14"/>
    <s v="SE1A"/>
    <x v="7"/>
    <x v="6"/>
    <s v="GHYRR_WATER"/>
    <x v="4"/>
    <x v="11"/>
    <n v="396.36404738551897"/>
    <n v="24112.146215952402"/>
    <n v="86803.7263774288"/>
  </r>
  <r>
    <x v="0"/>
    <x v="0"/>
    <x v="0"/>
    <x v="9"/>
    <x v="14"/>
    <s v="SE1A"/>
    <x v="7"/>
    <x v="6"/>
    <s v="GHYRR_WATER"/>
    <x v="5"/>
    <x v="0"/>
    <n v="398.661809979059"/>
    <n v="24251.9267737261"/>
    <n v="87306.936385413894"/>
  </r>
  <r>
    <x v="0"/>
    <x v="0"/>
    <x v="0"/>
    <x v="9"/>
    <x v="14"/>
    <s v="SE1A"/>
    <x v="7"/>
    <x v="6"/>
    <s v="GHYRR_WATER"/>
    <x v="5"/>
    <x v="1"/>
    <n v="398.661809979059"/>
    <n v="24251.9267737261"/>
    <n v="87306.936385413894"/>
  </r>
  <r>
    <x v="0"/>
    <x v="0"/>
    <x v="0"/>
    <x v="9"/>
    <x v="14"/>
    <s v="SE1A"/>
    <x v="7"/>
    <x v="6"/>
    <s v="GHYRR_WATER"/>
    <x v="5"/>
    <x v="2"/>
    <n v="398.661809979059"/>
    <n v="24251.9267737261"/>
    <n v="87306.936385413894"/>
  </r>
  <r>
    <x v="0"/>
    <x v="0"/>
    <x v="0"/>
    <x v="9"/>
    <x v="14"/>
    <s v="SE1A"/>
    <x v="7"/>
    <x v="6"/>
    <s v="GHYRR_WATER"/>
    <x v="5"/>
    <x v="3"/>
    <n v="398.661809979059"/>
    <n v="24251.9267737261"/>
    <n v="87306.936385413894"/>
  </r>
  <r>
    <x v="0"/>
    <x v="0"/>
    <x v="0"/>
    <x v="9"/>
    <x v="14"/>
    <s v="SE1A"/>
    <x v="7"/>
    <x v="6"/>
    <s v="GHYRR_WATER"/>
    <x v="5"/>
    <x v="4"/>
    <n v="398.661809979059"/>
    <n v="24251.9267737261"/>
    <n v="87306.936385413894"/>
  </r>
  <r>
    <x v="0"/>
    <x v="0"/>
    <x v="0"/>
    <x v="9"/>
    <x v="14"/>
    <s v="SE1A"/>
    <x v="7"/>
    <x v="6"/>
    <s v="GHYRR_WATER"/>
    <x v="5"/>
    <x v="5"/>
    <n v="398.661809979059"/>
    <n v="24251.9267737261"/>
    <n v="87306.936385413894"/>
  </r>
  <r>
    <x v="0"/>
    <x v="0"/>
    <x v="0"/>
    <x v="9"/>
    <x v="14"/>
    <s v="SE1A"/>
    <x v="7"/>
    <x v="6"/>
    <s v="GHYRR_WATER"/>
    <x v="5"/>
    <x v="6"/>
    <n v="398.661809979059"/>
    <n v="24251.9267737261"/>
    <n v="87306.936385413894"/>
  </r>
  <r>
    <x v="0"/>
    <x v="0"/>
    <x v="0"/>
    <x v="9"/>
    <x v="14"/>
    <s v="SE1A"/>
    <x v="7"/>
    <x v="6"/>
    <s v="GHYRR_WATER"/>
    <x v="5"/>
    <x v="7"/>
    <n v="398.661809979059"/>
    <n v="24251.9267737261"/>
    <n v="87306.936385413894"/>
  </r>
  <r>
    <x v="0"/>
    <x v="0"/>
    <x v="0"/>
    <x v="9"/>
    <x v="14"/>
    <s v="SE1A"/>
    <x v="7"/>
    <x v="6"/>
    <s v="GHYRR_WATER"/>
    <x v="5"/>
    <x v="8"/>
    <n v="398.661809979059"/>
    <n v="24251.9267737261"/>
    <n v="87306.936385413894"/>
  </r>
  <r>
    <x v="0"/>
    <x v="0"/>
    <x v="0"/>
    <x v="9"/>
    <x v="14"/>
    <s v="SE1A"/>
    <x v="7"/>
    <x v="6"/>
    <s v="GHYRR_WATER"/>
    <x v="5"/>
    <x v="9"/>
    <n v="398.661809979059"/>
    <n v="24251.9267737261"/>
    <n v="87306.936385413894"/>
  </r>
  <r>
    <x v="0"/>
    <x v="0"/>
    <x v="0"/>
    <x v="9"/>
    <x v="14"/>
    <s v="SE1A"/>
    <x v="7"/>
    <x v="6"/>
    <s v="GHYRR_WATER"/>
    <x v="5"/>
    <x v="10"/>
    <n v="398.661809979059"/>
    <n v="24251.9267737261"/>
    <n v="87306.936385413894"/>
  </r>
  <r>
    <x v="0"/>
    <x v="0"/>
    <x v="0"/>
    <x v="9"/>
    <x v="14"/>
    <s v="SE1A"/>
    <x v="7"/>
    <x v="6"/>
    <s v="GHYRR_WATER"/>
    <x v="5"/>
    <x v="11"/>
    <n v="398.661809979059"/>
    <n v="24251.9267737261"/>
    <n v="87306.936385413894"/>
  </r>
  <r>
    <x v="0"/>
    <x v="0"/>
    <x v="0"/>
    <x v="9"/>
    <x v="14"/>
    <s v="SE1A"/>
    <x v="7"/>
    <x v="6"/>
    <s v="GHYRR_WATER"/>
    <x v="6"/>
    <x v="0"/>
    <n v="441.17041795953497"/>
    <n v="26837.867092538399"/>
    <n v="96616.321533138107"/>
  </r>
  <r>
    <x v="0"/>
    <x v="0"/>
    <x v="0"/>
    <x v="9"/>
    <x v="14"/>
    <s v="SE1A"/>
    <x v="7"/>
    <x v="6"/>
    <s v="GHYRR_WATER"/>
    <x v="6"/>
    <x v="1"/>
    <n v="441.17041795953497"/>
    <n v="26837.867092538399"/>
    <n v="96616.321533138107"/>
  </r>
  <r>
    <x v="0"/>
    <x v="0"/>
    <x v="0"/>
    <x v="9"/>
    <x v="14"/>
    <s v="SE1A"/>
    <x v="7"/>
    <x v="6"/>
    <s v="GHYRR_WATER"/>
    <x v="6"/>
    <x v="2"/>
    <n v="441.17041795953497"/>
    <n v="26837.867092538399"/>
    <n v="96616.321533138107"/>
  </r>
  <r>
    <x v="0"/>
    <x v="0"/>
    <x v="0"/>
    <x v="9"/>
    <x v="14"/>
    <s v="SE1A"/>
    <x v="7"/>
    <x v="6"/>
    <s v="GHYRR_WATER"/>
    <x v="6"/>
    <x v="3"/>
    <n v="441.17041795953497"/>
    <n v="26837.867092538399"/>
    <n v="96616.321533138107"/>
  </r>
  <r>
    <x v="0"/>
    <x v="0"/>
    <x v="0"/>
    <x v="9"/>
    <x v="14"/>
    <s v="SE1A"/>
    <x v="7"/>
    <x v="6"/>
    <s v="GHYRR_WATER"/>
    <x v="6"/>
    <x v="4"/>
    <n v="441.17041795953497"/>
    <n v="26837.867092538399"/>
    <n v="96616.321533138107"/>
  </r>
  <r>
    <x v="0"/>
    <x v="0"/>
    <x v="0"/>
    <x v="9"/>
    <x v="14"/>
    <s v="SE1A"/>
    <x v="7"/>
    <x v="6"/>
    <s v="GHYRR_WATER"/>
    <x v="6"/>
    <x v="5"/>
    <n v="441.17041795953497"/>
    <n v="26837.867092538399"/>
    <n v="96616.321533138107"/>
  </r>
  <r>
    <x v="0"/>
    <x v="0"/>
    <x v="0"/>
    <x v="9"/>
    <x v="14"/>
    <s v="SE1A"/>
    <x v="7"/>
    <x v="6"/>
    <s v="GHYRR_WATER"/>
    <x v="6"/>
    <x v="6"/>
    <n v="441.17041795953497"/>
    <n v="26837.867092538399"/>
    <n v="96616.321533138107"/>
  </r>
  <r>
    <x v="0"/>
    <x v="0"/>
    <x v="0"/>
    <x v="9"/>
    <x v="14"/>
    <s v="SE1A"/>
    <x v="7"/>
    <x v="6"/>
    <s v="GHYRR_WATER"/>
    <x v="6"/>
    <x v="7"/>
    <n v="441.17041795953497"/>
    <n v="26837.867092538399"/>
    <n v="96616.321533138107"/>
  </r>
  <r>
    <x v="0"/>
    <x v="0"/>
    <x v="0"/>
    <x v="9"/>
    <x v="14"/>
    <s v="SE1A"/>
    <x v="7"/>
    <x v="6"/>
    <s v="GHYRR_WATER"/>
    <x v="6"/>
    <x v="8"/>
    <n v="441.17041795953497"/>
    <n v="26837.867092538399"/>
    <n v="96616.321533138107"/>
  </r>
  <r>
    <x v="0"/>
    <x v="0"/>
    <x v="0"/>
    <x v="9"/>
    <x v="14"/>
    <s v="SE1A"/>
    <x v="7"/>
    <x v="6"/>
    <s v="GHYRR_WATER"/>
    <x v="6"/>
    <x v="9"/>
    <n v="441.17041795953497"/>
    <n v="26837.867092538399"/>
    <n v="96616.321533138107"/>
  </r>
  <r>
    <x v="0"/>
    <x v="0"/>
    <x v="0"/>
    <x v="9"/>
    <x v="14"/>
    <s v="SE1A"/>
    <x v="7"/>
    <x v="6"/>
    <s v="GHYRR_WATER"/>
    <x v="6"/>
    <x v="10"/>
    <n v="441.17041795953497"/>
    <n v="26837.867092538399"/>
    <n v="96616.321533138107"/>
  </r>
  <r>
    <x v="0"/>
    <x v="0"/>
    <x v="0"/>
    <x v="9"/>
    <x v="14"/>
    <s v="SE1A"/>
    <x v="7"/>
    <x v="6"/>
    <s v="GHYRR_WATER"/>
    <x v="6"/>
    <x v="11"/>
    <n v="441.17041795953497"/>
    <n v="26837.867092538399"/>
    <n v="96616.321533138107"/>
  </r>
  <r>
    <x v="0"/>
    <x v="0"/>
    <x v="0"/>
    <x v="9"/>
    <x v="14"/>
    <s v="SE1A"/>
    <x v="7"/>
    <x v="6"/>
    <s v="GHYRR_WATER"/>
    <x v="7"/>
    <x v="0"/>
    <n v="453.80811222400098"/>
    <n v="27606.660160293399"/>
    <n v="99383.976577056106"/>
  </r>
  <r>
    <x v="0"/>
    <x v="0"/>
    <x v="0"/>
    <x v="9"/>
    <x v="14"/>
    <s v="SE1A"/>
    <x v="7"/>
    <x v="6"/>
    <s v="GHYRR_WATER"/>
    <x v="7"/>
    <x v="1"/>
    <n v="453.80811222400098"/>
    <n v="27606.660160293399"/>
    <n v="99383.976577056106"/>
  </r>
  <r>
    <x v="0"/>
    <x v="0"/>
    <x v="0"/>
    <x v="9"/>
    <x v="14"/>
    <s v="SE1A"/>
    <x v="7"/>
    <x v="6"/>
    <s v="GHYRR_WATER"/>
    <x v="7"/>
    <x v="2"/>
    <n v="453.80811222400098"/>
    <n v="27606.660160293399"/>
    <n v="99383.976577056106"/>
  </r>
  <r>
    <x v="0"/>
    <x v="0"/>
    <x v="0"/>
    <x v="9"/>
    <x v="14"/>
    <s v="SE1A"/>
    <x v="7"/>
    <x v="6"/>
    <s v="GHYRR_WATER"/>
    <x v="7"/>
    <x v="3"/>
    <n v="453.80811222400098"/>
    <n v="27606.660160293399"/>
    <n v="99383.976577056106"/>
  </r>
  <r>
    <x v="0"/>
    <x v="0"/>
    <x v="0"/>
    <x v="9"/>
    <x v="14"/>
    <s v="SE1A"/>
    <x v="7"/>
    <x v="6"/>
    <s v="GHYRR_WATER"/>
    <x v="7"/>
    <x v="4"/>
    <n v="453.80811222400098"/>
    <n v="27606.660160293399"/>
    <n v="99383.976577056106"/>
  </r>
  <r>
    <x v="0"/>
    <x v="0"/>
    <x v="0"/>
    <x v="9"/>
    <x v="14"/>
    <s v="SE1A"/>
    <x v="7"/>
    <x v="6"/>
    <s v="GHYRR_WATER"/>
    <x v="7"/>
    <x v="5"/>
    <n v="453.80811222400098"/>
    <n v="27606.660160293399"/>
    <n v="99383.976577056106"/>
  </r>
  <r>
    <x v="0"/>
    <x v="0"/>
    <x v="0"/>
    <x v="9"/>
    <x v="14"/>
    <s v="SE1A"/>
    <x v="7"/>
    <x v="6"/>
    <s v="GHYRR_WATER"/>
    <x v="7"/>
    <x v="6"/>
    <n v="453.80811222400098"/>
    <n v="27606.660160293399"/>
    <n v="99383.976577056106"/>
  </r>
  <r>
    <x v="0"/>
    <x v="0"/>
    <x v="0"/>
    <x v="9"/>
    <x v="14"/>
    <s v="SE1A"/>
    <x v="7"/>
    <x v="6"/>
    <s v="GHYRR_WATER"/>
    <x v="7"/>
    <x v="7"/>
    <n v="453.80811222400098"/>
    <n v="27606.660160293399"/>
    <n v="99383.976577056106"/>
  </r>
  <r>
    <x v="0"/>
    <x v="0"/>
    <x v="0"/>
    <x v="9"/>
    <x v="14"/>
    <s v="SE1A"/>
    <x v="7"/>
    <x v="6"/>
    <s v="GHYRR_WATER"/>
    <x v="7"/>
    <x v="8"/>
    <n v="453.80811222400098"/>
    <n v="27606.660160293399"/>
    <n v="99383.976577056106"/>
  </r>
  <r>
    <x v="0"/>
    <x v="0"/>
    <x v="0"/>
    <x v="9"/>
    <x v="14"/>
    <s v="SE1A"/>
    <x v="7"/>
    <x v="6"/>
    <s v="GHYRR_WATER"/>
    <x v="7"/>
    <x v="9"/>
    <n v="453.80811222400098"/>
    <n v="27606.660160293399"/>
    <n v="99383.976577056106"/>
  </r>
  <r>
    <x v="0"/>
    <x v="0"/>
    <x v="0"/>
    <x v="9"/>
    <x v="14"/>
    <s v="SE1A"/>
    <x v="7"/>
    <x v="6"/>
    <s v="GHYRR_WATER"/>
    <x v="7"/>
    <x v="10"/>
    <n v="453.80811222400098"/>
    <n v="27606.660160293399"/>
    <n v="99383.976577056106"/>
  </r>
  <r>
    <x v="0"/>
    <x v="0"/>
    <x v="0"/>
    <x v="9"/>
    <x v="14"/>
    <s v="SE1A"/>
    <x v="7"/>
    <x v="6"/>
    <s v="GHYRR_WATER"/>
    <x v="7"/>
    <x v="11"/>
    <n v="453.80811222400098"/>
    <n v="27606.660160293399"/>
    <n v="99383.976577056106"/>
  </r>
  <r>
    <x v="0"/>
    <x v="0"/>
    <x v="0"/>
    <x v="9"/>
    <x v="14"/>
    <s v="SE1A"/>
    <x v="7"/>
    <x v="6"/>
    <s v="GHYRR_WATER"/>
    <x v="8"/>
    <x v="0"/>
    <n v="512.40105835925101"/>
    <n v="31171.064383521101"/>
    <n v="112215.831780676"/>
  </r>
  <r>
    <x v="0"/>
    <x v="0"/>
    <x v="0"/>
    <x v="9"/>
    <x v="14"/>
    <s v="SE1A"/>
    <x v="7"/>
    <x v="6"/>
    <s v="GHYRR_WATER"/>
    <x v="8"/>
    <x v="1"/>
    <n v="512.40105835925101"/>
    <n v="31171.064383521101"/>
    <n v="112215.831780676"/>
  </r>
  <r>
    <x v="0"/>
    <x v="0"/>
    <x v="0"/>
    <x v="9"/>
    <x v="14"/>
    <s v="SE1A"/>
    <x v="7"/>
    <x v="6"/>
    <s v="GHYRR_WATER"/>
    <x v="8"/>
    <x v="2"/>
    <n v="512.40105835925101"/>
    <n v="31171.064383521101"/>
    <n v="112215.831780676"/>
  </r>
  <r>
    <x v="0"/>
    <x v="0"/>
    <x v="0"/>
    <x v="9"/>
    <x v="14"/>
    <s v="SE1A"/>
    <x v="7"/>
    <x v="6"/>
    <s v="GHYRR_WATER"/>
    <x v="8"/>
    <x v="3"/>
    <n v="512.40105835925101"/>
    <n v="31171.064383521101"/>
    <n v="112215.831780676"/>
  </r>
  <r>
    <x v="0"/>
    <x v="0"/>
    <x v="0"/>
    <x v="9"/>
    <x v="14"/>
    <s v="SE1A"/>
    <x v="7"/>
    <x v="6"/>
    <s v="GHYRR_WATER"/>
    <x v="8"/>
    <x v="4"/>
    <n v="512.40105835925101"/>
    <n v="31171.064383521101"/>
    <n v="112215.831780676"/>
  </r>
  <r>
    <x v="0"/>
    <x v="0"/>
    <x v="0"/>
    <x v="9"/>
    <x v="14"/>
    <s v="SE1A"/>
    <x v="7"/>
    <x v="6"/>
    <s v="GHYRR_WATER"/>
    <x v="8"/>
    <x v="5"/>
    <n v="512.40105835925101"/>
    <n v="31171.064383521101"/>
    <n v="112215.831780676"/>
  </r>
  <r>
    <x v="0"/>
    <x v="0"/>
    <x v="0"/>
    <x v="9"/>
    <x v="14"/>
    <s v="SE1A"/>
    <x v="7"/>
    <x v="6"/>
    <s v="GHYRR_WATER"/>
    <x v="8"/>
    <x v="6"/>
    <n v="512.40105835925101"/>
    <n v="31171.064383521101"/>
    <n v="112215.831780676"/>
  </r>
  <r>
    <x v="0"/>
    <x v="0"/>
    <x v="0"/>
    <x v="9"/>
    <x v="14"/>
    <s v="SE1A"/>
    <x v="7"/>
    <x v="6"/>
    <s v="GHYRR_WATER"/>
    <x v="8"/>
    <x v="7"/>
    <n v="512.40105835925101"/>
    <n v="31171.064383521101"/>
    <n v="112215.831780676"/>
  </r>
  <r>
    <x v="0"/>
    <x v="0"/>
    <x v="0"/>
    <x v="9"/>
    <x v="14"/>
    <s v="SE1A"/>
    <x v="7"/>
    <x v="6"/>
    <s v="GHYRR_WATER"/>
    <x v="8"/>
    <x v="8"/>
    <n v="512.40105835925101"/>
    <n v="31171.064383521101"/>
    <n v="112215.831780676"/>
  </r>
  <r>
    <x v="0"/>
    <x v="0"/>
    <x v="0"/>
    <x v="9"/>
    <x v="14"/>
    <s v="SE1A"/>
    <x v="7"/>
    <x v="6"/>
    <s v="GHYRR_WATER"/>
    <x v="8"/>
    <x v="9"/>
    <n v="512.40105835925101"/>
    <n v="31171.064383521101"/>
    <n v="112215.831780676"/>
  </r>
  <r>
    <x v="0"/>
    <x v="0"/>
    <x v="0"/>
    <x v="9"/>
    <x v="14"/>
    <s v="SE1A"/>
    <x v="7"/>
    <x v="6"/>
    <s v="GHYRR_WATER"/>
    <x v="8"/>
    <x v="10"/>
    <n v="512.40105835925101"/>
    <n v="31171.064383521101"/>
    <n v="112215.831780676"/>
  </r>
  <r>
    <x v="0"/>
    <x v="0"/>
    <x v="0"/>
    <x v="9"/>
    <x v="14"/>
    <s v="SE1A"/>
    <x v="7"/>
    <x v="6"/>
    <s v="GHYRR_WATER"/>
    <x v="8"/>
    <x v="11"/>
    <n v="512.40105835925101"/>
    <n v="31171.064383521101"/>
    <n v="112215.831780676"/>
  </r>
  <r>
    <x v="0"/>
    <x v="0"/>
    <x v="0"/>
    <x v="9"/>
    <x v="14"/>
    <s v="SE1A"/>
    <x v="7"/>
    <x v="6"/>
    <s v="GHYRR_WATER"/>
    <x v="9"/>
    <x v="0"/>
    <n v="476.78573815939302"/>
    <n v="29004.465738029699"/>
    <n v="104416.076656907"/>
  </r>
  <r>
    <x v="0"/>
    <x v="0"/>
    <x v="0"/>
    <x v="9"/>
    <x v="14"/>
    <s v="SE1A"/>
    <x v="7"/>
    <x v="6"/>
    <s v="GHYRR_WATER"/>
    <x v="9"/>
    <x v="1"/>
    <n v="476.78573815939302"/>
    <n v="29004.465738029699"/>
    <n v="104416.076656907"/>
  </r>
  <r>
    <x v="0"/>
    <x v="0"/>
    <x v="0"/>
    <x v="9"/>
    <x v="14"/>
    <s v="SE1A"/>
    <x v="7"/>
    <x v="6"/>
    <s v="GHYRR_WATER"/>
    <x v="9"/>
    <x v="2"/>
    <n v="476.78573815939302"/>
    <n v="29004.465738029699"/>
    <n v="104416.076656907"/>
  </r>
  <r>
    <x v="0"/>
    <x v="0"/>
    <x v="0"/>
    <x v="9"/>
    <x v="14"/>
    <s v="SE1A"/>
    <x v="7"/>
    <x v="6"/>
    <s v="GHYRR_WATER"/>
    <x v="9"/>
    <x v="3"/>
    <n v="476.78573815939302"/>
    <n v="29004.465738029699"/>
    <n v="104416.076656907"/>
  </r>
  <r>
    <x v="0"/>
    <x v="0"/>
    <x v="0"/>
    <x v="9"/>
    <x v="14"/>
    <s v="SE1A"/>
    <x v="7"/>
    <x v="6"/>
    <s v="GHYRR_WATER"/>
    <x v="9"/>
    <x v="4"/>
    <n v="476.78573815939302"/>
    <n v="29004.465738029699"/>
    <n v="104416.076656907"/>
  </r>
  <r>
    <x v="0"/>
    <x v="0"/>
    <x v="0"/>
    <x v="9"/>
    <x v="14"/>
    <s v="SE1A"/>
    <x v="7"/>
    <x v="6"/>
    <s v="GHYRR_WATER"/>
    <x v="9"/>
    <x v="5"/>
    <n v="476.78573815939302"/>
    <n v="29004.465738029699"/>
    <n v="104416.076656907"/>
  </r>
  <r>
    <x v="0"/>
    <x v="0"/>
    <x v="0"/>
    <x v="9"/>
    <x v="14"/>
    <s v="SE1A"/>
    <x v="7"/>
    <x v="6"/>
    <s v="GHYRR_WATER"/>
    <x v="9"/>
    <x v="6"/>
    <n v="476.78573815939302"/>
    <n v="29004.465738029699"/>
    <n v="104416.076656907"/>
  </r>
  <r>
    <x v="0"/>
    <x v="0"/>
    <x v="0"/>
    <x v="9"/>
    <x v="14"/>
    <s v="SE1A"/>
    <x v="7"/>
    <x v="6"/>
    <s v="GHYRR_WATER"/>
    <x v="9"/>
    <x v="7"/>
    <n v="476.78573815939302"/>
    <n v="29004.465738029699"/>
    <n v="104416.076656907"/>
  </r>
  <r>
    <x v="0"/>
    <x v="0"/>
    <x v="0"/>
    <x v="9"/>
    <x v="14"/>
    <s v="SE1A"/>
    <x v="7"/>
    <x v="6"/>
    <s v="GHYRR_WATER"/>
    <x v="9"/>
    <x v="8"/>
    <n v="476.78573815939302"/>
    <n v="29004.465738029699"/>
    <n v="104416.076656907"/>
  </r>
  <r>
    <x v="0"/>
    <x v="0"/>
    <x v="0"/>
    <x v="9"/>
    <x v="14"/>
    <s v="SE1A"/>
    <x v="7"/>
    <x v="6"/>
    <s v="GHYRR_WATER"/>
    <x v="9"/>
    <x v="9"/>
    <n v="476.78573815939302"/>
    <n v="29004.465738029699"/>
    <n v="104416.076656907"/>
  </r>
  <r>
    <x v="0"/>
    <x v="0"/>
    <x v="0"/>
    <x v="9"/>
    <x v="14"/>
    <s v="SE1A"/>
    <x v="7"/>
    <x v="6"/>
    <s v="GHYRR_WATER"/>
    <x v="9"/>
    <x v="10"/>
    <n v="476.78573815939302"/>
    <n v="29004.465738029699"/>
    <n v="104416.076656907"/>
  </r>
  <r>
    <x v="0"/>
    <x v="0"/>
    <x v="0"/>
    <x v="9"/>
    <x v="14"/>
    <s v="SE1A"/>
    <x v="7"/>
    <x v="6"/>
    <s v="GHYRR_WATER"/>
    <x v="9"/>
    <x v="11"/>
    <n v="476.78573815939302"/>
    <n v="29004.465738029699"/>
    <n v="104416.076656907"/>
  </r>
  <r>
    <x v="0"/>
    <x v="0"/>
    <x v="0"/>
    <x v="9"/>
    <x v="14"/>
    <s v="SE1A"/>
    <x v="7"/>
    <x v="6"/>
    <s v="GHYRR_WATER"/>
    <x v="10"/>
    <x v="0"/>
    <n v="574.44064838481097"/>
    <n v="34945.139443409302"/>
    <n v="125802.501996274"/>
  </r>
  <r>
    <x v="0"/>
    <x v="0"/>
    <x v="0"/>
    <x v="9"/>
    <x v="14"/>
    <s v="SE1A"/>
    <x v="7"/>
    <x v="6"/>
    <s v="GHYRR_WATER"/>
    <x v="10"/>
    <x v="1"/>
    <n v="574.44064838481097"/>
    <n v="34945.139443409302"/>
    <n v="125802.501996274"/>
  </r>
  <r>
    <x v="0"/>
    <x v="0"/>
    <x v="0"/>
    <x v="9"/>
    <x v="14"/>
    <s v="SE1A"/>
    <x v="7"/>
    <x v="6"/>
    <s v="GHYRR_WATER"/>
    <x v="10"/>
    <x v="2"/>
    <n v="574.44064838481097"/>
    <n v="34945.139443409302"/>
    <n v="125802.501996274"/>
  </r>
  <r>
    <x v="0"/>
    <x v="0"/>
    <x v="0"/>
    <x v="9"/>
    <x v="14"/>
    <s v="SE1A"/>
    <x v="7"/>
    <x v="6"/>
    <s v="GHYRR_WATER"/>
    <x v="10"/>
    <x v="3"/>
    <n v="574.44064838481097"/>
    <n v="34945.139443409302"/>
    <n v="125802.501996274"/>
  </r>
  <r>
    <x v="0"/>
    <x v="0"/>
    <x v="0"/>
    <x v="9"/>
    <x v="14"/>
    <s v="SE1A"/>
    <x v="7"/>
    <x v="6"/>
    <s v="GHYRR_WATER"/>
    <x v="10"/>
    <x v="4"/>
    <n v="574.44064838481097"/>
    <n v="34945.139443409302"/>
    <n v="125802.501996274"/>
  </r>
  <r>
    <x v="0"/>
    <x v="0"/>
    <x v="0"/>
    <x v="9"/>
    <x v="14"/>
    <s v="SE1A"/>
    <x v="7"/>
    <x v="6"/>
    <s v="GHYRR_WATER"/>
    <x v="10"/>
    <x v="5"/>
    <n v="574.44064838481097"/>
    <n v="34945.139443409302"/>
    <n v="125802.501996274"/>
  </r>
  <r>
    <x v="0"/>
    <x v="0"/>
    <x v="0"/>
    <x v="9"/>
    <x v="14"/>
    <s v="SE1A"/>
    <x v="7"/>
    <x v="6"/>
    <s v="GHYRR_WATER"/>
    <x v="10"/>
    <x v="6"/>
    <n v="574.44064838481097"/>
    <n v="34945.139443409302"/>
    <n v="125802.501996274"/>
  </r>
  <r>
    <x v="0"/>
    <x v="0"/>
    <x v="0"/>
    <x v="9"/>
    <x v="14"/>
    <s v="SE1A"/>
    <x v="7"/>
    <x v="6"/>
    <s v="GHYRR_WATER"/>
    <x v="10"/>
    <x v="7"/>
    <n v="574.44064838481097"/>
    <n v="34945.139443409302"/>
    <n v="125802.501996274"/>
  </r>
  <r>
    <x v="0"/>
    <x v="0"/>
    <x v="0"/>
    <x v="9"/>
    <x v="14"/>
    <s v="SE1A"/>
    <x v="7"/>
    <x v="6"/>
    <s v="GHYRR_WATER"/>
    <x v="10"/>
    <x v="8"/>
    <n v="574.44064838481097"/>
    <n v="34945.139443409302"/>
    <n v="125802.501996274"/>
  </r>
  <r>
    <x v="0"/>
    <x v="0"/>
    <x v="0"/>
    <x v="9"/>
    <x v="14"/>
    <s v="SE1A"/>
    <x v="7"/>
    <x v="6"/>
    <s v="GHYRR_WATER"/>
    <x v="10"/>
    <x v="9"/>
    <n v="574.44064838481097"/>
    <n v="34945.139443409302"/>
    <n v="125802.501996274"/>
  </r>
  <r>
    <x v="0"/>
    <x v="0"/>
    <x v="0"/>
    <x v="9"/>
    <x v="14"/>
    <s v="SE1A"/>
    <x v="7"/>
    <x v="6"/>
    <s v="GHYRR_WATER"/>
    <x v="10"/>
    <x v="10"/>
    <n v="574.44064838481097"/>
    <n v="34945.139443409302"/>
    <n v="125802.501996274"/>
  </r>
  <r>
    <x v="0"/>
    <x v="0"/>
    <x v="0"/>
    <x v="9"/>
    <x v="14"/>
    <s v="SE1A"/>
    <x v="7"/>
    <x v="6"/>
    <s v="GHYRR_WATER"/>
    <x v="10"/>
    <x v="11"/>
    <n v="574.44064838481097"/>
    <n v="34945.139443409302"/>
    <n v="125802.501996274"/>
  </r>
  <r>
    <x v="0"/>
    <x v="0"/>
    <x v="0"/>
    <x v="9"/>
    <x v="14"/>
    <s v="SE1A"/>
    <x v="7"/>
    <x v="6"/>
    <s v="GHYRR_WATER"/>
    <x v="11"/>
    <x v="0"/>
    <n v="978.84686484771805"/>
    <n v="59546.517611569499"/>
    <n v="214367.46340164999"/>
  </r>
  <r>
    <x v="0"/>
    <x v="0"/>
    <x v="0"/>
    <x v="9"/>
    <x v="14"/>
    <s v="SE1A"/>
    <x v="7"/>
    <x v="6"/>
    <s v="GHYRR_WATER"/>
    <x v="11"/>
    <x v="1"/>
    <n v="978.84686484771805"/>
    <n v="59546.517611569499"/>
    <n v="214367.46340164999"/>
  </r>
  <r>
    <x v="0"/>
    <x v="0"/>
    <x v="0"/>
    <x v="9"/>
    <x v="14"/>
    <s v="SE1A"/>
    <x v="7"/>
    <x v="6"/>
    <s v="GHYRR_WATER"/>
    <x v="11"/>
    <x v="2"/>
    <n v="978.84686484771805"/>
    <n v="59546.517611569499"/>
    <n v="214367.46340164999"/>
  </r>
  <r>
    <x v="0"/>
    <x v="0"/>
    <x v="0"/>
    <x v="9"/>
    <x v="14"/>
    <s v="SE1A"/>
    <x v="7"/>
    <x v="6"/>
    <s v="GHYRR_WATER"/>
    <x v="11"/>
    <x v="3"/>
    <n v="978.84686484771805"/>
    <n v="59546.517611569499"/>
    <n v="214367.46340164999"/>
  </r>
  <r>
    <x v="0"/>
    <x v="0"/>
    <x v="0"/>
    <x v="9"/>
    <x v="14"/>
    <s v="SE1A"/>
    <x v="7"/>
    <x v="6"/>
    <s v="GHYRR_WATER"/>
    <x v="11"/>
    <x v="4"/>
    <n v="978.84686484771805"/>
    <n v="59546.517611569499"/>
    <n v="214367.46340164999"/>
  </r>
  <r>
    <x v="0"/>
    <x v="0"/>
    <x v="0"/>
    <x v="9"/>
    <x v="14"/>
    <s v="SE1A"/>
    <x v="7"/>
    <x v="6"/>
    <s v="GHYRR_WATER"/>
    <x v="11"/>
    <x v="5"/>
    <n v="978.84686484771805"/>
    <n v="59546.517611569499"/>
    <n v="214367.46340164999"/>
  </r>
  <r>
    <x v="0"/>
    <x v="0"/>
    <x v="0"/>
    <x v="9"/>
    <x v="14"/>
    <s v="SE1A"/>
    <x v="7"/>
    <x v="6"/>
    <s v="GHYRR_WATER"/>
    <x v="11"/>
    <x v="6"/>
    <n v="978.84686484771805"/>
    <n v="59546.517611569499"/>
    <n v="214367.46340164999"/>
  </r>
  <r>
    <x v="0"/>
    <x v="0"/>
    <x v="0"/>
    <x v="9"/>
    <x v="14"/>
    <s v="SE1A"/>
    <x v="7"/>
    <x v="6"/>
    <s v="GHYRR_WATER"/>
    <x v="11"/>
    <x v="7"/>
    <n v="978.84686484771805"/>
    <n v="59546.517611569499"/>
    <n v="214367.46340164999"/>
  </r>
  <r>
    <x v="0"/>
    <x v="0"/>
    <x v="0"/>
    <x v="9"/>
    <x v="14"/>
    <s v="SE1A"/>
    <x v="7"/>
    <x v="6"/>
    <s v="GHYRR_WATER"/>
    <x v="11"/>
    <x v="8"/>
    <n v="978.84686484771805"/>
    <n v="59546.517611569499"/>
    <n v="214367.46340164999"/>
  </r>
  <r>
    <x v="0"/>
    <x v="0"/>
    <x v="0"/>
    <x v="9"/>
    <x v="14"/>
    <s v="SE1A"/>
    <x v="7"/>
    <x v="6"/>
    <s v="GHYRR_WATER"/>
    <x v="11"/>
    <x v="9"/>
    <n v="978.84686484771805"/>
    <n v="59546.517611569499"/>
    <n v="214367.46340164999"/>
  </r>
  <r>
    <x v="0"/>
    <x v="0"/>
    <x v="0"/>
    <x v="9"/>
    <x v="14"/>
    <s v="SE1A"/>
    <x v="7"/>
    <x v="6"/>
    <s v="GHYRR_WATER"/>
    <x v="11"/>
    <x v="10"/>
    <n v="978.84686484771805"/>
    <n v="59546.517611569499"/>
    <n v="214367.46340164999"/>
  </r>
  <r>
    <x v="0"/>
    <x v="0"/>
    <x v="0"/>
    <x v="9"/>
    <x v="14"/>
    <s v="SE1A"/>
    <x v="7"/>
    <x v="6"/>
    <s v="GHYRR_WATER"/>
    <x v="11"/>
    <x v="11"/>
    <n v="978.84686484771805"/>
    <n v="59546.517611569499"/>
    <n v="214367.46340164999"/>
  </r>
  <r>
    <x v="0"/>
    <x v="0"/>
    <x v="0"/>
    <x v="9"/>
    <x v="14"/>
    <s v="SE1A"/>
    <x v="7"/>
    <x v="7"/>
    <s v="GHYRS_WATER"/>
    <x v="4"/>
    <x v="0"/>
    <n v="1980.6592346837699"/>
    <n v="120490.10344326201"/>
    <n v="433764.37239574501"/>
  </r>
  <r>
    <x v="0"/>
    <x v="0"/>
    <x v="0"/>
    <x v="9"/>
    <x v="14"/>
    <s v="SE1A"/>
    <x v="7"/>
    <x v="7"/>
    <s v="GHYRS_WATER"/>
    <x v="4"/>
    <x v="1"/>
    <n v="2083.9953861496901"/>
    <n v="126776.38599077299"/>
    <n v="456394.98956678202"/>
  </r>
  <r>
    <x v="0"/>
    <x v="0"/>
    <x v="0"/>
    <x v="9"/>
    <x v="14"/>
    <s v="SE1A"/>
    <x v="7"/>
    <x v="7"/>
    <s v="GHYRS_WATER"/>
    <x v="4"/>
    <x v="2"/>
    <n v="2066.6776627046502"/>
    <n v="125722.891147866"/>
    <n v="452602.408132318"/>
  </r>
  <r>
    <x v="0"/>
    <x v="0"/>
    <x v="0"/>
    <x v="9"/>
    <x v="14"/>
    <s v="SE1A"/>
    <x v="7"/>
    <x v="7"/>
    <s v="GHYRS_WATER"/>
    <x v="4"/>
    <x v="3"/>
    <n v="2052.4793010828898"/>
    <n v="124859.157482542"/>
    <n v="449492.96693715203"/>
  </r>
  <r>
    <x v="0"/>
    <x v="0"/>
    <x v="0"/>
    <x v="9"/>
    <x v="14"/>
    <s v="SE1A"/>
    <x v="7"/>
    <x v="7"/>
    <s v="GHYRS_WATER"/>
    <x v="4"/>
    <x v="4"/>
    <n v="4219"/>
    <n v="256655.83333333299"/>
    <n v="923961"/>
  </r>
  <r>
    <x v="0"/>
    <x v="0"/>
    <x v="0"/>
    <x v="9"/>
    <x v="14"/>
    <s v="SE1A"/>
    <x v="7"/>
    <x v="7"/>
    <s v="GHYRS_WATER"/>
    <x v="4"/>
    <x v="5"/>
    <n v="4219"/>
    <n v="256655.83333333299"/>
    <n v="923961"/>
  </r>
  <r>
    <x v="0"/>
    <x v="0"/>
    <x v="0"/>
    <x v="9"/>
    <x v="14"/>
    <s v="SE1A"/>
    <x v="7"/>
    <x v="7"/>
    <s v="GHYRS_WATER"/>
    <x v="4"/>
    <x v="6"/>
    <n v="2394.6772652117502"/>
    <n v="145676.20030038201"/>
    <n v="524434.32108137396"/>
  </r>
  <r>
    <x v="0"/>
    <x v="0"/>
    <x v="0"/>
    <x v="9"/>
    <x v="14"/>
    <s v="SE1A"/>
    <x v="7"/>
    <x v="7"/>
    <s v="GHYRS_WATER"/>
    <x v="4"/>
    <x v="7"/>
    <n v="2731.2960573086202"/>
    <n v="166153.84348627401"/>
    <n v="598153.83655058802"/>
  </r>
  <r>
    <x v="0"/>
    <x v="0"/>
    <x v="0"/>
    <x v="9"/>
    <x v="14"/>
    <s v="SE1A"/>
    <x v="7"/>
    <x v="7"/>
    <s v="GHYRS_WATER"/>
    <x v="4"/>
    <x v="8"/>
    <n v="2700.1647948892401"/>
    <n v="164260.02502242901"/>
    <n v="591336.090080744"/>
  </r>
  <r>
    <x v="0"/>
    <x v="0"/>
    <x v="0"/>
    <x v="9"/>
    <x v="14"/>
    <s v="SE1A"/>
    <x v="7"/>
    <x v="7"/>
    <s v="GHYRS_WATER"/>
    <x v="4"/>
    <x v="9"/>
    <n v="2547.4651810763098"/>
    <n v="154970.79851547501"/>
    <n v="557894.874655711"/>
  </r>
  <r>
    <x v="0"/>
    <x v="0"/>
    <x v="0"/>
    <x v="9"/>
    <x v="14"/>
    <s v="SE1A"/>
    <x v="7"/>
    <x v="7"/>
    <s v="GHYRS_WATER"/>
    <x v="4"/>
    <x v="10"/>
    <n v="2563.0783873043501"/>
    <n v="155920.60189434799"/>
    <n v="561314.16681965301"/>
  </r>
  <r>
    <x v="0"/>
    <x v="0"/>
    <x v="0"/>
    <x v="9"/>
    <x v="14"/>
    <s v="SE1A"/>
    <x v="7"/>
    <x v="7"/>
    <s v="GHYRS_WATER"/>
    <x v="4"/>
    <x v="11"/>
    <n v="2602.2039154518402"/>
    <n v="158300.73818998699"/>
    <n v="569882.657483952"/>
  </r>
  <r>
    <x v="0"/>
    <x v="0"/>
    <x v="0"/>
    <x v="9"/>
    <x v="14"/>
    <s v="SE1A"/>
    <x v="7"/>
    <x v="7"/>
    <s v="GHYRS_WATER"/>
    <x v="5"/>
    <x v="0"/>
    <n v="4219"/>
    <n v="256655.83333333299"/>
    <n v="923961"/>
  </r>
  <r>
    <x v="0"/>
    <x v="0"/>
    <x v="0"/>
    <x v="9"/>
    <x v="14"/>
    <s v="SE1A"/>
    <x v="7"/>
    <x v="7"/>
    <s v="GHYRS_WATER"/>
    <x v="5"/>
    <x v="1"/>
    <n v="2266.9494179604199"/>
    <n v="137906.089592592"/>
    <n v="496461.92253333202"/>
  </r>
  <r>
    <x v="0"/>
    <x v="0"/>
    <x v="0"/>
    <x v="9"/>
    <x v="14"/>
    <s v="SE1A"/>
    <x v="7"/>
    <x v="7"/>
    <s v="GHYRS_WATER"/>
    <x v="5"/>
    <x v="2"/>
    <n v="2254.9546898210401"/>
    <n v="137176.410297447"/>
    <n v="493835.07707080798"/>
  </r>
  <r>
    <x v="0"/>
    <x v="0"/>
    <x v="0"/>
    <x v="9"/>
    <x v="14"/>
    <s v="SE1A"/>
    <x v="7"/>
    <x v="7"/>
    <s v="GHYRS_WATER"/>
    <x v="5"/>
    <x v="3"/>
    <n v="2166.5624523045299"/>
    <n v="131799.21584852599"/>
    <n v="474477.17705469299"/>
  </r>
  <r>
    <x v="0"/>
    <x v="0"/>
    <x v="0"/>
    <x v="9"/>
    <x v="14"/>
    <s v="SE1A"/>
    <x v="7"/>
    <x v="7"/>
    <s v="GHYRS_WATER"/>
    <x v="5"/>
    <x v="4"/>
    <n v="2254.0593329947901"/>
    <n v="137121.94275718299"/>
    <n v="493638.99392585998"/>
  </r>
  <r>
    <x v="0"/>
    <x v="0"/>
    <x v="0"/>
    <x v="9"/>
    <x v="14"/>
    <s v="SE1A"/>
    <x v="7"/>
    <x v="7"/>
    <s v="GHYRS_WATER"/>
    <x v="5"/>
    <x v="5"/>
    <n v="2345.2652023002202"/>
    <n v="142670.299806597"/>
    <n v="513613.07930374698"/>
  </r>
  <r>
    <x v="0"/>
    <x v="0"/>
    <x v="0"/>
    <x v="9"/>
    <x v="14"/>
    <s v="SE1A"/>
    <x v="7"/>
    <x v="7"/>
    <s v="GHYRS_WATER"/>
    <x v="5"/>
    <x v="6"/>
    <n v="2542.6023909200999"/>
    <n v="154674.978780973"/>
    <n v="556829.92361150298"/>
  </r>
  <r>
    <x v="0"/>
    <x v="0"/>
    <x v="0"/>
    <x v="9"/>
    <x v="14"/>
    <s v="SE1A"/>
    <x v="7"/>
    <x v="7"/>
    <s v="GHYRS_WATER"/>
    <x v="5"/>
    <x v="7"/>
    <n v="2675.6725579157701"/>
    <n v="162770.08060654299"/>
    <n v="585972.29018355405"/>
  </r>
  <r>
    <x v="0"/>
    <x v="0"/>
    <x v="0"/>
    <x v="9"/>
    <x v="14"/>
    <s v="SE1A"/>
    <x v="7"/>
    <x v="7"/>
    <s v="GHYRS_WATER"/>
    <x v="5"/>
    <x v="8"/>
    <n v="3860.8705678299998"/>
    <n v="234869.62620965901"/>
    <n v="845530.65435477102"/>
  </r>
  <r>
    <x v="0"/>
    <x v="0"/>
    <x v="0"/>
    <x v="9"/>
    <x v="14"/>
    <s v="SE1A"/>
    <x v="7"/>
    <x v="7"/>
    <s v="GHYRS_WATER"/>
    <x v="5"/>
    <x v="9"/>
    <n v="4033.5033144199601"/>
    <n v="245371.451627214"/>
    <n v="883337.22585796996"/>
  </r>
  <r>
    <x v="0"/>
    <x v="0"/>
    <x v="0"/>
    <x v="9"/>
    <x v="14"/>
    <s v="SE1A"/>
    <x v="7"/>
    <x v="7"/>
    <s v="GHYRS_WATER"/>
    <x v="5"/>
    <x v="10"/>
    <n v="2816.4325471048501"/>
    <n v="171332.979948878"/>
    <n v="616798.727815961"/>
  </r>
  <r>
    <x v="0"/>
    <x v="0"/>
    <x v="0"/>
    <x v="9"/>
    <x v="14"/>
    <s v="SE1A"/>
    <x v="7"/>
    <x v="7"/>
    <s v="GHYRS_WATER"/>
    <x v="5"/>
    <x v="11"/>
    <n v="4219"/>
    <n v="256655.83333333299"/>
    <n v="923961"/>
  </r>
  <r>
    <x v="0"/>
    <x v="0"/>
    <x v="0"/>
    <x v="9"/>
    <x v="14"/>
    <s v="SE1A"/>
    <x v="7"/>
    <x v="7"/>
    <s v="GHYRS_WATER"/>
    <x v="6"/>
    <x v="0"/>
    <n v="1929.0473462969401"/>
    <n v="117350.380233064"/>
    <n v="422461.36883902899"/>
  </r>
  <r>
    <x v="0"/>
    <x v="0"/>
    <x v="0"/>
    <x v="9"/>
    <x v="14"/>
    <s v="SE1A"/>
    <x v="7"/>
    <x v="7"/>
    <s v="GHYRS_WATER"/>
    <x v="6"/>
    <x v="1"/>
    <n v="2087.1540204445701"/>
    <n v="126968.536243711"/>
    <n v="457086.73047736101"/>
  </r>
  <r>
    <x v="0"/>
    <x v="0"/>
    <x v="0"/>
    <x v="9"/>
    <x v="14"/>
    <s v="SE1A"/>
    <x v="7"/>
    <x v="7"/>
    <s v="GHYRS_WATER"/>
    <x v="6"/>
    <x v="2"/>
    <n v="2113.1233692321298"/>
    <n v="128548.338294955"/>
    <n v="462774.017861837"/>
  </r>
  <r>
    <x v="0"/>
    <x v="0"/>
    <x v="0"/>
    <x v="9"/>
    <x v="14"/>
    <s v="SE1A"/>
    <x v="7"/>
    <x v="7"/>
    <s v="GHYRS_WATER"/>
    <x v="6"/>
    <x v="3"/>
    <n v="2059.7304249106101"/>
    <n v="125300.267515396"/>
    <n v="451080.96305542497"/>
  </r>
  <r>
    <x v="0"/>
    <x v="0"/>
    <x v="0"/>
    <x v="9"/>
    <x v="14"/>
    <s v="SE1A"/>
    <x v="7"/>
    <x v="7"/>
    <s v="GHYRS_WATER"/>
    <x v="6"/>
    <x v="4"/>
    <n v="2033.8513363081599"/>
    <n v="123725.956292079"/>
    <n v="445413.44265148602"/>
  </r>
  <r>
    <x v="0"/>
    <x v="0"/>
    <x v="0"/>
    <x v="9"/>
    <x v="14"/>
    <s v="SE1A"/>
    <x v="7"/>
    <x v="7"/>
    <s v="GHYRS_WATER"/>
    <x v="6"/>
    <x v="5"/>
    <n v="2066.4979927156"/>
    <n v="125711.96122353199"/>
    <n v="452563.06040471699"/>
  </r>
  <r>
    <x v="0"/>
    <x v="0"/>
    <x v="0"/>
    <x v="9"/>
    <x v="14"/>
    <s v="SE1A"/>
    <x v="7"/>
    <x v="7"/>
    <s v="GHYRS_WATER"/>
    <x v="6"/>
    <x v="6"/>
    <n v="3557.5192065043898"/>
    <n v="216415.75172901701"/>
    <n v="779096.70622446097"/>
  </r>
  <r>
    <x v="0"/>
    <x v="0"/>
    <x v="0"/>
    <x v="9"/>
    <x v="14"/>
    <s v="SE1A"/>
    <x v="7"/>
    <x v="7"/>
    <s v="GHYRS_WATER"/>
    <x v="6"/>
    <x v="7"/>
    <n v="2514.72492547826"/>
    <n v="152979.09963326101"/>
    <n v="550724.75867973804"/>
  </r>
  <r>
    <x v="0"/>
    <x v="0"/>
    <x v="0"/>
    <x v="9"/>
    <x v="14"/>
    <s v="SE1A"/>
    <x v="7"/>
    <x v="7"/>
    <s v="GHYRS_WATER"/>
    <x v="6"/>
    <x v="8"/>
    <n v="3668.1576468329999"/>
    <n v="223146.256849008"/>
    <n v="803326.52465642802"/>
  </r>
  <r>
    <x v="0"/>
    <x v="0"/>
    <x v="0"/>
    <x v="9"/>
    <x v="14"/>
    <s v="SE1A"/>
    <x v="7"/>
    <x v="7"/>
    <s v="GHYRS_WATER"/>
    <x v="6"/>
    <x v="9"/>
    <n v="2410.4076797983198"/>
    <n v="146633.13385439801"/>
    <n v="527879.28187583201"/>
  </r>
  <r>
    <x v="0"/>
    <x v="0"/>
    <x v="0"/>
    <x v="9"/>
    <x v="14"/>
    <s v="SE1A"/>
    <x v="7"/>
    <x v="7"/>
    <s v="GHYRS_WATER"/>
    <x v="6"/>
    <x v="10"/>
    <n v="2403.6235806230902"/>
    <n v="146220.43448790401"/>
    <n v="526393.56415645604"/>
  </r>
  <r>
    <x v="0"/>
    <x v="0"/>
    <x v="0"/>
    <x v="9"/>
    <x v="14"/>
    <s v="SE1A"/>
    <x v="7"/>
    <x v="7"/>
    <s v="GHYRS_WATER"/>
    <x v="6"/>
    <x v="11"/>
    <n v="2442.82438236598"/>
    <n v="148605.14992726399"/>
    <n v="534978.53973814996"/>
  </r>
  <r>
    <x v="0"/>
    <x v="0"/>
    <x v="0"/>
    <x v="9"/>
    <x v="14"/>
    <s v="SE1A"/>
    <x v="7"/>
    <x v="7"/>
    <s v="GHYRS_WATER"/>
    <x v="7"/>
    <x v="0"/>
    <n v="1911.4403806939199"/>
    <n v="116279.28982554701"/>
    <n v="418605.44337196799"/>
  </r>
  <r>
    <x v="0"/>
    <x v="0"/>
    <x v="0"/>
    <x v="9"/>
    <x v="14"/>
    <s v="SE1A"/>
    <x v="7"/>
    <x v="7"/>
    <s v="GHYRS_WATER"/>
    <x v="7"/>
    <x v="1"/>
    <n v="1848.6649528614901"/>
    <n v="112460.451299074"/>
    <n v="404857.62467666599"/>
  </r>
  <r>
    <x v="0"/>
    <x v="0"/>
    <x v="0"/>
    <x v="9"/>
    <x v="14"/>
    <s v="SE1A"/>
    <x v="7"/>
    <x v="7"/>
    <s v="GHYRS_WATER"/>
    <x v="7"/>
    <x v="2"/>
    <n v="4219"/>
    <n v="256655.83333333299"/>
    <n v="923961"/>
  </r>
  <r>
    <x v="0"/>
    <x v="0"/>
    <x v="0"/>
    <x v="9"/>
    <x v="14"/>
    <s v="SE1A"/>
    <x v="7"/>
    <x v="7"/>
    <s v="GHYRS_WATER"/>
    <x v="7"/>
    <x v="3"/>
    <n v="1833.48248244057"/>
    <n v="111536.851015134"/>
    <n v="401532.66365448397"/>
  </r>
  <r>
    <x v="0"/>
    <x v="0"/>
    <x v="0"/>
    <x v="9"/>
    <x v="14"/>
    <s v="SE1A"/>
    <x v="7"/>
    <x v="7"/>
    <s v="GHYRS_WATER"/>
    <x v="7"/>
    <x v="4"/>
    <n v="1836.9197442573"/>
    <n v="111745.951108986"/>
    <n v="402285.42399234901"/>
  </r>
  <r>
    <x v="0"/>
    <x v="0"/>
    <x v="0"/>
    <x v="9"/>
    <x v="14"/>
    <s v="SE1A"/>
    <x v="7"/>
    <x v="7"/>
    <s v="GHYRS_WATER"/>
    <x v="7"/>
    <x v="5"/>
    <n v="4219"/>
    <n v="256655.83333333299"/>
    <n v="923961"/>
  </r>
  <r>
    <x v="0"/>
    <x v="0"/>
    <x v="0"/>
    <x v="9"/>
    <x v="14"/>
    <s v="SE1A"/>
    <x v="7"/>
    <x v="7"/>
    <s v="GHYRS_WATER"/>
    <x v="7"/>
    <x v="6"/>
    <n v="4219"/>
    <n v="256655.83333333299"/>
    <n v="923961"/>
  </r>
  <r>
    <x v="0"/>
    <x v="0"/>
    <x v="0"/>
    <x v="9"/>
    <x v="14"/>
    <s v="SE1A"/>
    <x v="7"/>
    <x v="7"/>
    <s v="GHYRS_WATER"/>
    <x v="7"/>
    <x v="7"/>
    <n v="4219"/>
    <n v="256655.83333333299"/>
    <n v="923961"/>
  </r>
  <r>
    <x v="0"/>
    <x v="0"/>
    <x v="0"/>
    <x v="9"/>
    <x v="14"/>
    <s v="SE1A"/>
    <x v="7"/>
    <x v="7"/>
    <s v="GHYRS_WATER"/>
    <x v="7"/>
    <x v="8"/>
    <n v="2363.98125267056"/>
    <n v="143808.85953745901"/>
    <n v="517711.89433485299"/>
  </r>
  <r>
    <x v="0"/>
    <x v="0"/>
    <x v="0"/>
    <x v="9"/>
    <x v="14"/>
    <s v="SE1A"/>
    <x v="7"/>
    <x v="7"/>
    <s v="GHYRS_WATER"/>
    <x v="7"/>
    <x v="9"/>
    <n v="4219"/>
    <n v="256655.83333333299"/>
    <n v="923961"/>
  </r>
  <r>
    <x v="0"/>
    <x v="0"/>
    <x v="0"/>
    <x v="9"/>
    <x v="14"/>
    <s v="SE1A"/>
    <x v="7"/>
    <x v="7"/>
    <s v="GHYRS_WATER"/>
    <x v="7"/>
    <x v="10"/>
    <n v="3609.8247880445201"/>
    <n v="219597.67460604099"/>
    <n v="790551.62858174904"/>
  </r>
  <r>
    <x v="0"/>
    <x v="0"/>
    <x v="0"/>
    <x v="9"/>
    <x v="14"/>
    <s v="SE1A"/>
    <x v="7"/>
    <x v="7"/>
    <s v="GHYRS_WATER"/>
    <x v="7"/>
    <x v="11"/>
    <n v="3301.8493610304399"/>
    <n v="200862.50279601899"/>
    <n v="723105.01006566698"/>
  </r>
  <r>
    <x v="0"/>
    <x v="0"/>
    <x v="0"/>
    <x v="9"/>
    <x v="14"/>
    <s v="SE1A"/>
    <x v="7"/>
    <x v="7"/>
    <s v="GHYRS_WATER"/>
    <x v="8"/>
    <x v="0"/>
    <n v="4219"/>
    <n v="256655.83333333299"/>
    <n v="923961"/>
  </r>
  <r>
    <x v="0"/>
    <x v="0"/>
    <x v="0"/>
    <x v="9"/>
    <x v="14"/>
    <s v="SE1A"/>
    <x v="7"/>
    <x v="7"/>
    <s v="GHYRS_WATER"/>
    <x v="8"/>
    <x v="1"/>
    <n v="4219"/>
    <n v="256655.83333333299"/>
    <n v="923961"/>
  </r>
  <r>
    <x v="0"/>
    <x v="0"/>
    <x v="0"/>
    <x v="9"/>
    <x v="14"/>
    <s v="SE1A"/>
    <x v="7"/>
    <x v="7"/>
    <s v="GHYRS_WATER"/>
    <x v="8"/>
    <x v="2"/>
    <n v="4219"/>
    <n v="256655.83333333299"/>
    <n v="923961"/>
  </r>
  <r>
    <x v="0"/>
    <x v="0"/>
    <x v="0"/>
    <x v="9"/>
    <x v="14"/>
    <s v="SE1A"/>
    <x v="7"/>
    <x v="7"/>
    <s v="GHYRS_WATER"/>
    <x v="8"/>
    <x v="3"/>
    <n v="4219"/>
    <n v="256655.83333333299"/>
    <n v="923961"/>
  </r>
  <r>
    <x v="0"/>
    <x v="0"/>
    <x v="0"/>
    <x v="9"/>
    <x v="14"/>
    <s v="SE1A"/>
    <x v="7"/>
    <x v="7"/>
    <s v="GHYRS_WATER"/>
    <x v="8"/>
    <x v="4"/>
    <n v="4219"/>
    <n v="256655.83333333299"/>
    <n v="923961"/>
  </r>
  <r>
    <x v="0"/>
    <x v="0"/>
    <x v="0"/>
    <x v="9"/>
    <x v="14"/>
    <s v="SE1A"/>
    <x v="7"/>
    <x v="7"/>
    <s v="GHYRS_WATER"/>
    <x v="8"/>
    <x v="5"/>
    <n v="4219"/>
    <n v="256655.83333333299"/>
    <n v="923961"/>
  </r>
  <r>
    <x v="0"/>
    <x v="0"/>
    <x v="0"/>
    <x v="9"/>
    <x v="14"/>
    <s v="SE1A"/>
    <x v="7"/>
    <x v="7"/>
    <s v="GHYRS_WATER"/>
    <x v="8"/>
    <x v="6"/>
    <n v="4219"/>
    <n v="256655.83333333299"/>
    <n v="923961"/>
  </r>
  <r>
    <x v="0"/>
    <x v="0"/>
    <x v="0"/>
    <x v="9"/>
    <x v="14"/>
    <s v="SE1A"/>
    <x v="7"/>
    <x v="7"/>
    <s v="GHYRS_WATER"/>
    <x v="8"/>
    <x v="7"/>
    <n v="4219"/>
    <n v="256655.83333333299"/>
    <n v="923961"/>
  </r>
  <r>
    <x v="0"/>
    <x v="0"/>
    <x v="0"/>
    <x v="9"/>
    <x v="14"/>
    <s v="SE1A"/>
    <x v="7"/>
    <x v="7"/>
    <s v="GHYRS_WATER"/>
    <x v="8"/>
    <x v="8"/>
    <n v="4219"/>
    <n v="256655.83333333299"/>
    <n v="923961"/>
  </r>
  <r>
    <x v="0"/>
    <x v="0"/>
    <x v="0"/>
    <x v="9"/>
    <x v="14"/>
    <s v="SE1A"/>
    <x v="7"/>
    <x v="7"/>
    <s v="GHYRS_WATER"/>
    <x v="8"/>
    <x v="9"/>
    <n v="4219"/>
    <n v="256655.83333333299"/>
    <n v="923961"/>
  </r>
  <r>
    <x v="0"/>
    <x v="0"/>
    <x v="0"/>
    <x v="9"/>
    <x v="14"/>
    <s v="SE1A"/>
    <x v="7"/>
    <x v="7"/>
    <s v="GHYRS_WATER"/>
    <x v="8"/>
    <x v="10"/>
    <n v="4219"/>
    <n v="256655.83333333299"/>
    <n v="923961"/>
  </r>
  <r>
    <x v="0"/>
    <x v="0"/>
    <x v="0"/>
    <x v="9"/>
    <x v="14"/>
    <s v="SE1A"/>
    <x v="7"/>
    <x v="7"/>
    <s v="GHYRS_WATER"/>
    <x v="8"/>
    <x v="11"/>
    <n v="4219"/>
    <n v="256655.83333333299"/>
    <n v="923961"/>
  </r>
  <r>
    <x v="0"/>
    <x v="0"/>
    <x v="0"/>
    <x v="9"/>
    <x v="14"/>
    <s v="SE1A"/>
    <x v="7"/>
    <x v="7"/>
    <s v="GHYRS_WATER"/>
    <x v="9"/>
    <x v="0"/>
    <n v="4219"/>
    <n v="256655.83333333299"/>
    <n v="923961"/>
  </r>
  <r>
    <x v="0"/>
    <x v="0"/>
    <x v="0"/>
    <x v="9"/>
    <x v="14"/>
    <s v="SE1A"/>
    <x v="7"/>
    <x v="7"/>
    <s v="GHYRS_WATER"/>
    <x v="9"/>
    <x v="1"/>
    <n v="4219"/>
    <n v="256655.83333333299"/>
    <n v="923961"/>
  </r>
  <r>
    <x v="0"/>
    <x v="0"/>
    <x v="0"/>
    <x v="9"/>
    <x v="14"/>
    <s v="SE1A"/>
    <x v="7"/>
    <x v="7"/>
    <s v="GHYRS_WATER"/>
    <x v="9"/>
    <x v="2"/>
    <n v="4219"/>
    <n v="256655.83333333299"/>
    <n v="923961"/>
  </r>
  <r>
    <x v="0"/>
    <x v="0"/>
    <x v="0"/>
    <x v="9"/>
    <x v="14"/>
    <s v="SE1A"/>
    <x v="7"/>
    <x v="7"/>
    <s v="GHYRS_WATER"/>
    <x v="9"/>
    <x v="3"/>
    <n v="4219"/>
    <n v="256655.83333333299"/>
    <n v="923961"/>
  </r>
  <r>
    <x v="0"/>
    <x v="0"/>
    <x v="0"/>
    <x v="9"/>
    <x v="14"/>
    <s v="SE1A"/>
    <x v="7"/>
    <x v="7"/>
    <s v="GHYRS_WATER"/>
    <x v="9"/>
    <x v="4"/>
    <n v="4219"/>
    <n v="256655.83333333299"/>
    <n v="923961"/>
  </r>
  <r>
    <x v="0"/>
    <x v="0"/>
    <x v="0"/>
    <x v="9"/>
    <x v="14"/>
    <s v="SE1A"/>
    <x v="7"/>
    <x v="7"/>
    <s v="GHYRS_WATER"/>
    <x v="9"/>
    <x v="5"/>
    <n v="4219"/>
    <n v="256655.83333333299"/>
    <n v="923961"/>
  </r>
  <r>
    <x v="0"/>
    <x v="0"/>
    <x v="0"/>
    <x v="9"/>
    <x v="14"/>
    <s v="SE1A"/>
    <x v="7"/>
    <x v="7"/>
    <s v="GHYRS_WATER"/>
    <x v="9"/>
    <x v="6"/>
    <n v="4219"/>
    <n v="256655.83333333299"/>
    <n v="923961"/>
  </r>
  <r>
    <x v="0"/>
    <x v="0"/>
    <x v="0"/>
    <x v="9"/>
    <x v="14"/>
    <s v="SE1A"/>
    <x v="7"/>
    <x v="7"/>
    <s v="GHYRS_WATER"/>
    <x v="9"/>
    <x v="7"/>
    <n v="4219"/>
    <n v="256655.83333333299"/>
    <n v="923961"/>
  </r>
  <r>
    <x v="0"/>
    <x v="0"/>
    <x v="0"/>
    <x v="9"/>
    <x v="14"/>
    <s v="SE1A"/>
    <x v="7"/>
    <x v="7"/>
    <s v="GHYRS_WATER"/>
    <x v="9"/>
    <x v="8"/>
    <n v="4219"/>
    <n v="256655.83333333299"/>
    <n v="923961"/>
  </r>
  <r>
    <x v="0"/>
    <x v="0"/>
    <x v="0"/>
    <x v="9"/>
    <x v="14"/>
    <s v="SE1A"/>
    <x v="7"/>
    <x v="7"/>
    <s v="GHYRS_WATER"/>
    <x v="9"/>
    <x v="9"/>
    <n v="4219"/>
    <n v="256655.83333333299"/>
    <n v="923961"/>
  </r>
  <r>
    <x v="0"/>
    <x v="0"/>
    <x v="0"/>
    <x v="9"/>
    <x v="14"/>
    <s v="SE1A"/>
    <x v="7"/>
    <x v="7"/>
    <s v="GHYRS_WATER"/>
    <x v="9"/>
    <x v="10"/>
    <n v="4219"/>
    <n v="256655.83333333299"/>
    <n v="923961"/>
  </r>
  <r>
    <x v="0"/>
    <x v="0"/>
    <x v="0"/>
    <x v="9"/>
    <x v="14"/>
    <s v="SE1A"/>
    <x v="7"/>
    <x v="7"/>
    <s v="GHYRS_WATER"/>
    <x v="9"/>
    <x v="11"/>
    <n v="4219"/>
    <n v="256655.83333333299"/>
    <n v="923961"/>
  </r>
  <r>
    <x v="0"/>
    <x v="0"/>
    <x v="0"/>
    <x v="9"/>
    <x v="14"/>
    <s v="SE1A"/>
    <x v="7"/>
    <x v="7"/>
    <s v="GHYRS_WATER"/>
    <x v="10"/>
    <x v="0"/>
    <n v="4219"/>
    <n v="256655.83333333299"/>
    <n v="923961"/>
  </r>
  <r>
    <x v="0"/>
    <x v="0"/>
    <x v="0"/>
    <x v="9"/>
    <x v="14"/>
    <s v="SE1A"/>
    <x v="7"/>
    <x v="7"/>
    <s v="GHYRS_WATER"/>
    <x v="10"/>
    <x v="1"/>
    <n v="4219"/>
    <n v="256655.83333333299"/>
    <n v="923961"/>
  </r>
  <r>
    <x v="0"/>
    <x v="0"/>
    <x v="0"/>
    <x v="9"/>
    <x v="14"/>
    <s v="SE1A"/>
    <x v="7"/>
    <x v="7"/>
    <s v="GHYRS_WATER"/>
    <x v="10"/>
    <x v="2"/>
    <n v="4219"/>
    <n v="256655.83333333299"/>
    <n v="923961"/>
  </r>
  <r>
    <x v="0"/>
    <x v="0"/>
    <x v="0"/>
    <x v="9"/>
    <x v="14"/>
    <s v="SE1A"/>
    <x v="7"/>
    <x v="7"/>
    <s v="GHYRS_WATER"/>
    <x v="10"/>
    <x v="3"/>
    <n v="4219"/>
    <n v="256655.83333333299"/>
    <n v="923961"/>
  </r>
  <r>
    <x v="0"/>
    <x v="0"/>
    <x v="0"/>
    <x v="9"/>
    <x v="14"/>
    <s v="SE1A"/>
    <x v="7"/>
    <x v="7"/>
    <s v="GHYRS_WATER"/>
    <x v="10"/>
    <x v="4"/>
    <n v="4219"/>
    <n v="256655.83333333299"/>
    <n v="923961"/>
  </r>
  <r>
    <x v="0"/>
    <x v="0"/>
    <x v="0"/>
    <x v="9"/>
    <x v="14"/>
    <s v="SE1A"/>
    <x v="7"/>
    <x v="7"/>
    <s v="GHYRS_WATER"/>
    <x v="10"/>
    <x v="5"/>
    <n v="4219"/>
    <n v="256655.83333333299"/>
    <n v="923961"/>
  </r>
  <r>
    <x v="0"/>
    <x v="0"/>
    <x v="0"/>
    <x v="9"/>
    <x v="14"/>
    <s v="SE1A"/>
    <x v="7"/>
    <x v="7"/>
    <s v="GHYRS_WATER"/>
    <x v="10"/>
    <x v="6"/>
    <n v="4219"/>
    <n v="256655.83333333299"/>
    <n v="923961"/>
  </r>
  <r>
    <x v="0"/>
    <x v="0"/>
    <x v="0"/>
    <x v="9"/>
    <x v="14"/>
    <s v="SE1A"/>
    <x v="7"/>
    <x v="7"/>
    <s v="GHYRS_WATER"/>
    <x v="10"/>
    <x v="7"/>
    <n v="4219"/>
    <n v="256655.83333333299"/>
    <n v="923961"/>
  </r>
  <r>
    <x v="0"/>
    <x v="0"/>
    <x v="0"/>
    <x v="9"/>
    <x v="14"/>
    <s v="SE1A"/>
    <x v="7"/>
    <x v="7"/>
    <s v="GHYRS_WATER"/>
    <x v="10"/>
    <x v="8"/>
    <n v="4219"/>
    <n v="256655.83333333299"/>
    <n v="923961"/>
  </r>
  <r>
    <x v="0"/>
    <x v="0"/>
    <x v="0"/>
    <x v="9"/>
    <x v="14"/>
    <s v="SE1A"/>
    <x v="7"/>
    <x v="7"/>
    <s v="GHYRS_WATER"/>
    <x v="10"/>
    <x v="9"/>
    <n v="4219"/>
    <n v="256655.83333333299"/>
    <n v="923961"/>
  </r>
  <r>
    <x v="0"/>
    <x v="0"/>
    <x v="0"/>
    <x v="9"/>
    <x v="14"/>
    <s v="SE1A"/>
    <x v="7"/>
    <x v="7"/>
    <s v="GHYRS_WATER"/>
    <x v="10"/>
    <x v="10"/>
    <n v="4219"/>
    <n v="256655.83333333299"/>
    <n v="923961"/>
  </r>
  <r>
    <x v="0"/>
    <x v="0"/>
    <x v="0"/>
    <x v="9"/>
    <x v="14"/>
    <s v="SE1A"/>
    <x v="7"/>
    <x v="7"/>
    <s v="GHYRS_WATER"/>
    <x v="10"/>
    <x v="11"/>
    <n v="4219"/>
    <n v="256655.83333333299"/>
    <n v="923961"/>
  </r>
  <r>
    <x v="0"/>
    <x v="0"/>
    <x v="0"/>
    <x v="9"/>
    <x v="14"/>
    <s v="SE1A"/>
    <x v="7"/>
    <x v="7"/>
    <s v="GHYRS_WATER"/>
    <x v="11"/>
    <x v="0"/>
    <n v="4219"/>
    <n v="256655.83333333299"/>
    <n v="923961"/>
  </r>
  <r>
    <x v="0"/>
    <x v="0"/>
    <x v="0"/>
    <x v="9"/>
    <x v="14"/>
    <s v="SE1A"/>
    <x v="7"/>
    <x v="7"/>
    <s v="GHYRS_WATER"/>
    <x v="11"/>
    <x v="1"/>
    <n v="4219"/>
    <n v="256655.83333333299"/>
    <n v="923961"/>
  </r>
  <r>
    <x v="0"/>
    <x v="0"/>
    <x v="0"/>
    <x v="9"/>
    <x v="14"/>
    <s v="SE1A"/>
    <x v="7"/>
    <x v="7"/>
    <s v="GHYRS_WATER"/>
    <x v="11"/>
    <x v="2"/>
    <n v="4219"/>
    <n v="256655.83333333299"/>
    <n v="923961"/>
  </r>
  <r>
    <x v="0"/>
    <x v="0"/>
    <x v="0"/>
    <x v="9"/>
    <x v="14"/>
    <s v="SE1A"/>
    <x v="7"/>
    <x v="7"/>
    <s v="GHYRS_WATER"/>
    <x v="11"/>
    <x v="3"/>
    <n v="4219"/>
    <n v="256655.83333333299"/>
    <n v="923961"/>
  </r>
  <r>
    <x v="0"/>
    <x v="0"/>
    <x v="0"/>
    <x v="9"/>
    <x v="14"/>
    <s v="SE1A"/>
    <x v="7"/>
    <x v="7"/>
    <s v="GHYRS_WATER"/>
    <x v="11"/>
    <x v="4"/>
    <n v="4219"/>
    <n v="256655.83333333299"/>
    <n v="923961"/>
  </r>
  <r>
    <x v="0"/>
    <x v="0"/>
    <x v="0"/>
    <x v="9"/>
    <x v="14"/>
    <s v="SE1A"/>
    <x v="7"/>
    <x v="7"/>
    <s v="GHYRS_WATER"/>
    <x v="11"/>
    <x v="5"/>
    <n v="4219"/>
    <n v="256655.83333333299"/>
    <n v="923961"/>
  </r>
  <r>
    <x v="0"/>
    <x v="0"/>
    <x v="0"/>
    <x v="9"/>
    <x v="14"/>
    <s v="SE1A"/>
    <x v="7"/>
    <x v="7"/>
    <s v="GHYRS_WATER"/>
    <x v="11"/>
    <x v="6"/>
    <n v="4219"/>
    <n v="256655.83333333299"/>
    <n v="923961"/>
  </r>
  <r>
    <x v="0"/>
    <x v="0"/>
    <x v="0"/>
    <x v="9"/>
    <x v="14"/>
    <s v="SE1A"/>
    <x v="7"/>
    <x v="7"/>
    <s v="GHYRS_WATER"/>
    <x v="11"/>
    <x v="7"/>
    <n v="4219"/>
    <n v="256655.83333333299"/>
    <n v="923961"/>
  </r>
  <r>
    <x v="0"/>
    <x v="0"/>
    <x v="0"/>
    <x v="9"/>
    <x v="14"/>
    <s v="SE1A"/>
    <x v="7"/>
    <x v="7"/>
    <s v="GHYRS_WATER"/>
    <x v="11"/>
    <x v="8"/>
    <n v="4219"/>
    <n v="256655.83333333299"/>
    <n v="923961"/>
  </r>
  <r>
    <x v="0"/>
    <x v="0"/>
    <x v="0"/>
    <x v="9"/>
    <x v="14"/>
    <s v="SE1A"/>
    <x v="7"/>
    <x v="7"/>
    <s v="GHYRS_WATER"/>
    <x v="11"/>
    <x v="9"/>
    <n v="4219"/>
    <n v="256655.83333333299"/>
    <n v="923961"/>
  </r>
  <r>
    <x v="0"/>
    <x v="0"/>
    <x v="0"/>
    <x v="9"/>
    <x v="14"/>
    <s v="SE1A"/>
    <x v="7"/>
    <x v="7"/>
    <s v="GHYRS_WATER"/>
    <x v="11"/>
    <x v="10"/>
    <n v="4219"/>
    <n v="256655.83333333299"/>
    <n v="923961"/>
  </r>
  <r>
    <x v="0"/>
    <x v="0"/>
    <x v="0"/>
    <x v="9"/>
    <x v="14"/>
    <s v="SE1A"/>
    <x v="7"/>
    <x v="7"/>
    <s v="GHYRS_WATER"/>
    <x v="11"/>
    <x v="11"/>
    <n v="4219"/>
    <n v="256655.83333333299"/>
    <n v="923961"/>
  </r>
  <r>
    <x v="0"/>
    <x v="0"/>
    <x v="0"/>
    <x v="9"/>
    <x v="14"/>
    <s v="SE1A"/>
    <x v="0"/>
    <x v="0"/>
    <s v="GWND_WIND"/>
    <x v="0"/>
    <x v="0"/>
    <n v="164.485128720006"/>
    <n v="10006.1786638004"/>
    <n v="36022.2431896813"/>
  </r>
  <r>
    <x v="0"/>
    <x v="0"/>
    <x v="0"/>
    <x v="9"/>
    <x v="14"/>
    <s v="SE1A"/>
    <x v="0"/>
    <x v="0"/>
    <s v="GWND_WIND"/>
    <x v="0"/>
    <x v="1"/>
    <n v="162.96759701029501"/>
    <n v="9913.8621514595998"/>
    <n v="35689.903745254604"/>
  </r>
  <r>
    <x v="0"/>
    <x v="0"/>
    <x v="0"/>
    <x v="9"/>
    <x v="14"/>
    <s v="SE1A"/>
    <x v="0"/>
    <x v="0"/>
    <s v="GWND_WIND"/>
    <x v="0"/>
    <x v="2"/>
    <n v="158.573029137703"/>
    <n v="9646.5259392102598"/>
    <n v="34727.493381156899"/>
  </r>
  <r>
    <x v="0"/>
    <x v="0"/>
    <x v="0"/>
    <x v="9"/>
    <x v="14"/>
    <s v="SE1A"/>
    <x v="0"/>
    <x v="0"/>
    <s v="GWND_WIND"/>
    <x v="0"/>
    <x v="3"/>
    <n v="160.70354928451201"/>
    <n v="9776.1325814744905"/>
    <n v="35194.077293308197"/>
  </r>
  <r>
    <x v="0"/>
    <x v="0"/>
    <x v="0"/>
    <x v="9"/>
    <x v="14"/>
    <s v="SE1A"/>
    <x v="0"/>
    <x v="0"/>
    <s v="GWND_WIND"/>
    <x v="0"/>
    <x v="4"/>
    <n v="168.727008314464"/>
    <n v="10264.2263391299"/>
    <n v="36951.214820867703"/>
  </r>
  <r>
    <x v="0"/>
    <x v="0"/>
    <x v="0"/>
    <x v="9"/>
    <x v="14"/>
    <s v="SE1A"/>
    <x v="0"/>
    <x v="0"/>
    <s v="GWND_WIND"/>
    <x v="0"/>
    <x v="5"/>
    <n v="171.72353894454301"/>
    <n v="10446.515285793001"/>
    <n v="37607.4550288549"/>
  </r>
  <r>
    <x v="0"/>
    <x v="0"/>
    <x v="0"/>
    <x v="9"/>
    <x v="14"/>
    <s v="SE1A"/>
    <x v="0"/>
    <x v="0"/>
    <s v="GWND_WIND"/>
    <x v="0"/>
    <x v="6"/>
    <n v="168.10778546826501"/>
    <n v="10226.5569493194"/>
    <n v="36815.605017549999"/>
  </r>
  <r>
    <x v="0"/>
    <x v="0"/>
    <x v="0"/>
    <x v="9"/>
    <x v="14"/>
    <s v="SE1A"/>
    <x v="0"/>
    <x v="0"/>
    <s v="GWND_WIND"/>
    <x v="0"/>
    <x v="7"/>
    <n v="178.896625006665"/>
    <n v="10882.878021238799"/>
    <n v="39178.360876459599"/>
  </r>
  <r>
    <x v="0"/>
    <x v="0"/>
    <x v="0"/>
    <x v="9"/>
    <x v="14"/>
    <s v="SE1A"/>
    <x v="0"/>
    <x v="0"/>
    <s v="GWND_WIND"/>
    <x v="0"/>
    <x v="8"/>
    <n v="179.44230003761601"/>
    <n v="10916.073252288301"/>
    <n v="39297.863708237899"/>
  </r>
  <r>
    <x v="0"/>
    <x v="0"/>
    <x v="0"/>
    <x v="9"/>
    <x v="14"/>
    <s v="SE1A"/>
    <x v="0"/>
    <x v="0"/>
    <s v="GWND_WIND"/>
    <x v="0"/>
    <x v="9"/>
    <n v="168.78025933930999"/>
    <n v="10267.465776474701"/>
    <n v="36962.876795308897"/>
  </r>
  <r>
    <x v="0"/>
    <x v="0"/>
    <x v="0"/>
    <x v="9"/>
    <x v="14"/>
    <s v="SE1A"/>
    <x v="0"/>
    <x v="0"/>
    <s v="GWND_WIND"/>
    <x v="0"/>
    <x v="10"/>
    <n v="173.81584935085499"/>
    <n v="10573.797502177"/>
    <n v="38065.671007837198"/>
  </r>
  <r>
    <x v="0"/>
    <x v="0"/>
    <x v="0"/>
    <x v="9"/>
    <x v="14"/>
    <s v="SE1A"/>
    <x v="0"/>
    <x v="0"/>
    <s v="GWND_WIND"/>
    <x v="0"/>
    <x v="11"/>
    <n v="171.214359760717"/>
    <n v="10415.5402187769"/>
    <n v="37495.944787597"/>
  </r>
  <r>
    <x v="0"/>
    <x v="0"/>
    <x v="0"/>
    <x v="9"/>
    <x v="14"/>
    <s v="SE1A"/>
    <x v="0"/>
    <x v="0"/>
    <s v="GWND_WIND"/>
    <x v="1"/>
    <x v="0"/>
    <n v="1.3541416255177501"/>
    <n v="82.376948885662998"/>
    <n v="296.55701598838698"/>
  </r>
  <r>
    <x v="0"/>
    <x v="0"/>
    <x v="0"/>
    <x v="9"/>
    <x v="14"/>
    <s v="SE1A"/>
    <x v="0"/>
    <x v="0"/>
    <s v="GWND_WIND"/>
    <x v="1"/>
    <x v="1"/>
    <n v="1.38904607765687"/>
    <n v="84.500303057459604"/>
    <n v="304.20109100685499"/>
  </r>
  <r>
    <x v="0"/>
    <x v="0"/>
    <x v="0"/>
    <x v="9"/>
    <x v="14"/>
    <s v="SE1A"/>
    <x v="0"/>
    <x v="0"/>
    <s v="GWND_WIND"/>
    <x v="1"/>
    <x v="2"/>
    <n v="1.89700027760483"/>
    <n v="115.400850220961"/>
    <n v="415.44306079545902"/>
  </r>
  <r>
    <x v="0"/>
    <x v="0"/>
    <x v="0"/>
    <x v="9"/>
    <x v="14"/>
    <s v="SE1A"/>
    <x v="0"/>
    <x v="0"/>
    <s v="GWND_WIND"/>
    <x v="1"/>
    <x v="3"/>
    <n v="3.1946658101015299"/>
    <n v="194.34217011451"/>
    <n v="699.63181241223504"/>
  </r>
  <r>
    <x v="0"/>
    <x v="0"/>
    <x v="0"/>
    <x v="9"/>
    <x v="14"/>
    <s v="SE1A"/>
    <x v="0"/>
    <x v="0"/>
    <s v="GWND_WIND"/>
    <x v="1"/>
    <x v="4"/>
    <n v="1.5483286716597799"/>
    <n v="94.189994192636505"/>
    <n v="339.083979093491"/>
  </r>
  <r>
    <x v="0"/>
    <x v="0"/>
    <x v="0"/>
    <x v="9"/>
    <x v="14"/>
    <s v="SE1A"/>
    <x v="0"/>
    <x v="0"/>
    <s v="GWND_WIND"/>
    <x v="1"/>
    <x v="5"/>
    <n v="4.0289448746939804"/>
    <n v="245.094146543883"/>
    <n v="882.33892755798104"/>
  </r>
  <r>
    <x v="0"/>
    <x v="0"/>
    <x v="0"/>
    <x v="9"/>
    <x v="14"/>
    <s v="SE1A"/>
    <x v="0"/>
    <x v="0"/>
    <s v="GWND_WIND"/>
    <x v="1"/>
    <x v="6"/>
    <n v="4.72865458198814"/>
    <n v="287.659820404279"/>
    <n v="1035.5753534554001"/>
  </r>
  <r>
    <x v="0"/>
    <x v="0"/>
    <x v="0"/>
    <x v="9"/>
    <x v="14"/>
    <s v="SE1A"/>
    <x v="0"/>
    <x v="0"/>
    <s v="GWND_WIND"/>
    <x v="1"/>
    <x v="7"/>
    <n v="2.68406868033447"/>
    <n v="163.28084472034701"/>
    <n v="587.81104099324898"/>
  </r>
  <r>
    <x v="0"/>
    <x v="0"/>
    <x v="0"/>
    <x v="9"/>
    <x v="14"/>
    <s v="SE1A"/>
    <x v="0"/>
    <x v="0"/>
    <s v="GWND_WIND"/>
    <x v="1"/>
    <x v="8"/>
    <n v="2.1319944636894999"/>
    <n v="129.69632987444501"/>
    <n v="466.90678754800098"/>
  </r>
  <r>
    <x v="0"/>
    <x v="0"/>
    <x v="0"/>
    <x v="9"/>
    <x v="14"/>
    <s v="SE1A"/>
    <x v="0"/>
    <x v="0"/>
    <s v="GWND_WIND"/>
    <x v="1"/>
    <x v="9"/>
    <n v="1.66466203001762"/>
    <n v="101.266940159405"/>
    <n v="364.56098457385798"/>
  </r>
  <r>
    <x v="0"/>
    <x v="0"/>
    <x v="0"/>
    <x v="9"/>
    <x v="14"/>
    <s v="SE1A"/>
    <x v="0"/>
    <x v="0"/>
    <s v="GWND_WIND"/>
    <x v="1"/>
    <x v="10"/>
    <n v="1.25472930552998"/>
    <n v="76.329366086407106"/>
    <n v="274.785717911066"/>
  </r>
  <r>
    <x v="0"/>
    <x v="0"/>
    <x v="0"/>
    <x v="9"/>
    <x v="14"/>
    <s v="SE1A"/>
    <x v="0"/>
    <x v="0"/>
    <s v="GWND_WIND"/>
    <x v="1"/>
    <x v="11"/>
    <n v="0.99218490680279903"/>
    <n v="60.357915163836999"/>
    <n v="217.28849458981301"/>
  </r>
  <r>
    <x v="0"/>
    <x v="0"/>
    <x v="0"/>
    <x v="9"/>
    <x v="14"/>
    <s v="SE1A"/>
    <x v="0"/>
    <x v="0"/>
    <s v="GWND_WIND"/>
    <x v="2"/>
    <x v="0"/>
    <n v="142.53434123497101"/>
    <n v="8670.8390917940596"/>
    <n v="31215.0207304586"/>
  </r>
  <r>
    <x v="0"/>
    <x v="0"/>
    <x v="0"/>
    <x v="9"/>
    <x v="14"/>
    <s v="SE1A"/>
    <x v="0"/>
    <x v="0"/>
    <s v="GWND_WIND"/>
    <x v="2"/>
    <x v="1"/>
    <n v="142.23146884928701"/>
    <n v="8652.4143549983"/>
    <n v="31148.691677993898"/>
  </r>
  <r>
    <x v="0"/>
    <x v="0"/>
    <x v="0"/>
    <x v="9"/>
    <x v="14"/>
    <s v="SE1A"/>
    <x v="0"/>
    <x v="0"/>
    <s v="GWND_WIND"/>
    <x v="2"/>
    <x v="2"/>
    <n v="132.45436300908699"/>
    <n v="8057.6404163861498"/>
    <n v="29007.5054989901"/>
  </r>
  <r>
    <x v="0"/>
    <x v="0"/>
    <x v="0"/>
    <x v="9"/>
    <x v="14"/>
    <s v="SE1A"/>
    <x v="0"/>
    <x v="0"/>
    <s v="GWND_WIND"/>
    <x v="2"/>
    <x v="3"/>
    <n v="136.92067591091899"/>
    <n v="8329.3411179142604"/>
    <n v="29985.6280244913"/>
  </r>
  <r>
    <x v="0"/>
    <x v="0"/>
    <x v="0"/>
    <x v="9"/>
    <x v="14"/>
    <s v="SE1A"/>
    <x v="0"/>
    <x v="0"/>
    <s v="GWND_WIND"/>
    <x v="2"/>
    <x v="4"/>
    <n v="154.12105071536101"/>
    <n v="9375.6972518511502"/>
    <n v="33752.5101066641"/>
  </r>
  <r>
    <x v="0"/>
    <x v="0"/>
    <x v="0"/>
    <x v="9"/>
    <x v="14"/>
    <s v="SE1A"/>
    <x v="0"/>
    <x v="0"/>
    <s v="GWND_WIND"/>
    <x v="2"/>
    <x v="5"/>
    <n v="147.361973430278"/>
    <n v="8964.5200503419401"/>
    <n v="32272.272181231001"/>
  </r>
  <r>
    <x v="0"/>
    <x v="0"/>
    <x v="0"/>
    <x v="9"/>
    <x v="14"/>
    <s v="SE1A"/>
    <x v="0"/>
    <x v="0"/>
    <s v="GWND_WIND"/>
    <x v="2"/>
    <x v="6"/>
    <n v="134.692824832659"/>
    <n v="8193.8135106534301"/>
    <n v="29497.728638352401"/>
  </r>
  <r>
    <x v="0"/>
    <x v="0"/>
    <x v="0"/>
    <x v="9"/>
    <x v="14"/>
    <s v="SE1A"/>
    <x v="0"/>
    <x v="0"/>
    <s v="GWND_WIND"/>
    <x v="2"/>
    <x v="7"/>
    <n v="109.31702470178"/>
    <n v="6650.1190026916202"/>
    <n v="23940.428409689801"/>
  </r>
  <r>
    <x v="0"/>
    <x v="0"/>
    <x v="0"/>
    <x v="9"/>
    <x v="14"/>
    <s v="SE1A"/>
    <x v="0"/>
    <x v="0"/>
    <s v="GWND_WIND"/>
    <x v="2"/>
    <x v="8"/>
    <n v="80.462517521090902"/>
    <n v="4894.8031491996999"/>
    <n v="17621.291337118899"/>
  </r>
  <r>
    <x v="0"/>
    <x v="0"/>
    <x v="0"/>
    <x v="9"/>
    <x v="14"/>
    <s v="SE1A"/>
    <x v="0"/>
    <x v="0"/>
    <s v="GWND_WIND"/>
    <x v="2"/>
    <x v="9"/>
    <n v="81.039381942454099"/>
    <n v="4929.8957348326203"/>
    <n v="17747.624645397402"/>
  </r>
  <r>
    <x v="0"/>
    <x v="0"/>
    <x v="0"/>
    <x v="9"/>
    <x v="14"/>
    <s v="SE1A"/>
    <x v="0"/>
    <x v="0"/>
    <s v="GWND_WIND"/>
    <x v="2"/>
    <x v="10"/>
    <n v="90.367562628854003"/>
    <n v="5497.3600599219499"/>
    <n v="19790.496215718998"/>
  </r>
  <r>
    <x v="0"/>
    <x v="0"/>
    <x v="0"/>
    <x v="9"/>
    <x v="14"/>
    <s v="SE1A"/>
    <x v="0"/>
    <x v="0"/>
    <s v="GWND_WIND"/>
    <x v="2"/>
    <x v="11"/>
    <n v="77.506009174027298"/>
    <n v="4714.9488914200001"/>
    <n v="16973.816009112001"/>
  </r>
  <r>
    <x v="0"/>
    <x v="0"/>
    <x v="0"/>
    <x v="9"/>
    <x v="14"/>
    <s v="SE1A"/>
    <x v="0"/>
    <x v="0"/>
    <s v="GWND_WIND"/>
    <x v="3"/>
    <x v="0"/>
    <n v="15.5660381717826"/>
    <n v="946.93398878343999"/>
    <n v="3408.9623596203801"/>
  </r>
  <r>
    <x v="0"/>
    <x v="0"/>
    <x v="0"/>
    <x v="9"/>
    <x v="14"/>
    <s v="SE1A"/>
    <x v="0"/>
    <x v="0"/>
    <s v="GWND_WIND"/>
    <x v="3"/>
    <x v="1"/>
    <n v="15.9291808483409"/>
    <n v="969.02516827406998"/>
    <n v="3488.4906057866501"/>
  </r>
  <r>
    <x v="0"/>
    <x v="0"/>
    <x v="0"/>
    <x v="9"/>
    <x v="14"/>
    <s v="SE1A"/>
    <x v="0"/>
    <x v="0"/>
    <s v="GWND_WIND"/>
    <x v="3"/>
    <x v="2"/>
    <n v="11.6569997057679"/>
    <n v="709.134148767547"/>
    <n v="2552.8829355631701"/>
  </r>
  <r>
    <x v="0"/>
    <x v="0"/>
    <x v="0"/>
    <x v="9"/>
    <x v="14"/>
    <s v="SE1A"/>
    <x v="0"/>
    <x v="0"/>
    <s v="GWND_WIND"/>
    <x v="3"/>
    <x v="3"/>
    <n v="8.7066845736577605"/>
    <n v="529.65664489751396"/>
    <n v="1906.7639216310499"/>
  </r>
  <r>
    <x v="0"/>
    <x v="0"/>
    <x v="0"/>
    <x v="9"/>
    <x v="14"/>
    <s v="SE1A"/>
    <x v="0"/>
    <x v="0"/>
    <s v="GWND_WIND"/>
    <x v="3"/>
    <x v="4"/>
    <n v="8.1335059444951092"/>
    <n v="494.78827829011902"/>
    <n v="1781.2378018444299"/>
  </r>
  <r>
    <x v="0"/>
    <x v="0"/>
    <x v="0"/>
    <x v="9"/>
    <x v="14"/>
    <s v="SE1A"/>
    <x v="0"/>
    <x v="0"/>
    <s v="GWND_WIND"/>
    <x v="3"/>
    <x v="5"/>
    <n v="6.32924561893853"/>
    <n v="385.029108485427"/>
    <n v="1386.10479054754"/>
  </r>
  <r>
    <x v="0"/>
    <x v="0"/>
    <x v="0"/>
    <x v="9"/>
    <x v="14"/>
    <s v="SE1A"/>
    <x v="0"/>
    <x v="0"/>
    <s v="GWND_WIND"/>
    <x v="3"/>
    <x v="6"/>
    <n v="6.3630627623785001"/>
    <n v="387.08631804469201"/>
    <n v="1393.51074496089"/>
  </r>
  <r>
    <x v="0"/>
    <x v="0"/>
    <x v="0"/>
    <x v="9"/>
    <x v="14"/>
    <s v="SE1A"/>
    <x v="0"/>
    <x v="0"/>
    <s v="GWND_WIND"/>
    <x v="3"/>
    <x v="7"/>
    <n v="6.9283722251929998"/>
    <n v="421.47597703257401"/>
    <n v="1517.31351731727"/>
  </r>
  <r>
    <x v="0"/>
    <x v="0"/>
    <x v="0"/>
    <x v="9"/>
    <x v="14"/>
    <s v="SE1A"/>
    <x v="0"/>
    <x v="0"/>
    <s v="GWND_WIND"/>
    <x v="3"/>
    <x v="8"/>
    <n v="6.8314391424883603"/>
    <n v="415.57921450137502"/>
    <n v="1496.0851722049499"/>
  </r>
  <r>
    <x v="0"/>
    <x v="0"/>
    <x v="0"/>
    <x v="9"/>
    <x v="14"/>
    <s v="SE1A"/>
    <x v="0"/>
    <x v="0"/>
    <s v="GWND_WIND"/>
    <x v="3"/>
    <x v="9"/>
    <n v="6.5750185790967199"/>
    <n v="399.98029689505"/>
    <n v="1439.9290688221799"/>
  </r>
  <r>
    <x v="0"/>
    <x v="0"/>
    <x v="0"/>
    <x v="9"/>
    <x v="14"/>
    <s v="SE1A"/>
    <x v="0"/>
    <x v="0"/>
    <s v="GWND_WIND"/>
    <x v="3"/>
    <x v="10"/>
    <n v="6.37648663438417"/>
    <n v="387.90293692503701"/>
    <n v="1396.45057293013"/>
  </r>
  <r>
    <x v="0"/>
    <x v="0"/>
    <x v="0"/>
    <x v="9"/>
    <x v="14"/>
    <s v="SE1A"/>
    <x v="0"/>
    <x v="0"/>
    <s v="GWND_WIND"/>
    <x v="3"/>
    <x v="11"/>
    <n v="6.1449549248549502"/>
    <n v="373.81809126201"/>
    <n v="1345.7451285432401"/>
  </r>
  <r>
    <x v="0"/>
    <x v="0"/>
    <x v="0"/>
    <x v="9"/>
    <x v="14"/>
    <s v="SE1A"/>
    <x v="0"/>
    <x v="0"/>
    <s v="GWND_WIND"/>
    <x v="4"/>
    <x v="0"/>
    <n v="11.6167172491856"/>
    <n v="706.68363265878895"/>
    <n v="2544.06107757164"/>
  </r>
  <r>
    <x v="0"/>
    <x v="0"/>
    <x v="0"/>
    <x v="9"/>
    <x v="14"/>
    <s v="SE1A"/>
    <x v="0"/>
    <x v="0"/>
    <s v="GWND_WIND"/>
    <x v="4"/>
    <x v="1"/>
    <n v="12.3081935471377"/>
    <n v="748.74844078420699"/>
    <n v="2695.4943868231499"/>
  </r>
  <r>
    <x v="0"/>
    <x v="0"/>
    <x v="0"/>
    <x v="9"/>
    <x v="14"/>
    <s v="SE1A"/>
    <x v="0"/>
    <x v="0"/>
    <s v="GWND_WIND"/>
    <x v="4"/>
    <x v="2"/>
    <n v="15.025548183212599"/>
    <n v="914.05418114543295"/>
    <n v="3290.59505212356"/>
  </r>
  <r>
    <x v="0"/>
    <x v="0"/>
    <x v="0"/>
    <x v="9"/>
    <x v="14"/>
    <s v="SE1A"/>
    <x v="0"/>
    <x v="0"/>
    <s v="GWND_WIND"/>
    <x v="4"/>
    <x v="3"/>
    <n v="14.6235409960127"/>
    <n v="889.59874392410302"/>
    <n v="3202.5554781267701"/>
  </r>
  <r>
    <x v="0"/>
    <x v="0"/>
    <x v="0"/>
    <x v="9"/>
    <x v="14"/>
    <s v="SE1A"/>
    <x v="0"/>
    <x v="0"/>
    <s v="GWND_WIND"/>
    <x v="4"/>
    <x v="4"/>
    <n v="15.5793460497396"/>
    <n v="947.743551359158"/>
    <n v="3411.8767848929701"/>
  </r>
  <r>
    <x v="0"/>
    <x v="0"/>
    <x v="0"/>
    <x v="9"/>
    <x v="14"/>
    <s v="SE1A"/>
    <x v="0"/>
    <x v="0"/>
    <s v="GWND_WIND"/>
    <x v="4"/>
    <x v="5"/>
    <n v="16.3280887179228"/>
    <n v="993.29206367363497"/>
    <n v="3575.8514292250902"/>
  </r>
  <r>
    <x v="0"/>
    <x v="0"/>
    <x v="0"/>
    <x v="9"/>
    <x v="14"/>
    <s v="SE1A"/>
    <x v="0"/>
    <x v="0"/>
    <s v="GWND_WIND"/>
    <x v="4"/>
    <x v="6"/>
    <n v="15.5342438778268"/>
    <n v="944.99983590112902"/>
    <n v="3401.9994092440702"/>
  </r>
  <r>
    <x v="0"/>
    <x v="0"/>
    <x v="0"/>
    <x v="9"/>
    <x v="14"/>
    <s v="SE1A"/>
    <x v="0"/>
    <x v="0"/>
    <s v="GWND_WIND"/>
    <x v="4"/>
    <x v="7"/>
    <n v="14.7239343871597"/>
    <n v="895.70600855221403"/>
    <n v="3224.54163078797"/>
  </r>
  <r>
    <x v="0"/>
    <x v="0"/>
    <x v="0"/>
    <x v="9"/>
    <x v="14"/>
    <s v="SE1A"/>
    <x v="0"/>
    <x v="0"/>
    <s v="GWND_WIND"/>
    <x v="4"/>
    <x v="8"/>
    <n v="14.8294130874869"/>
    <n v="902.12262948878799"/>
    <n v="3247.64146615964"/>
  </r>
  <r>
    <x v="0"/>
    <x v="0"/>
    <x v="0"/>
    <x v="9"/>
    <x v="14"/>
    <s v="SE1A"/>
    <x v="0"/>
    <x v="0"/>
    <s v="GWND_WIND"/>
    <x v="4"/>
    <x v="9"/>
    <n v="17.875246608530599"/>
    <n v="1087.4108353522799"/>
    <n v="3914.6790072682002"/>
  </r>
  <r>
    <x v="0"/>
    <x v="0"/>
    <x v="0"/>
    <x v="9"/>
    <x v="14"/>
    <s v="SE1A"/>
    <x v="0"/>
    <x v="0"/>
    <s v="GWND_WIND"/>
    <x v="4"/>
    <x v="10"/>
    <n v="20.512501391692101"/>
    <n v="1247.84383466127"/>
    <n v="4492.2378047805696"/>
  </r>
  <r>
    <x v="0"/>
    <x v="0"/>
    <x v="0"/>
    <x v="9"/>
    <x v="14"/>
    <s v="SE1A"/>
    <x v="0"/>
    <x v="0"/>
    <s v="GWND_WIND"/>
    <x v="4"/>
    <x v="11"/>
    <n v="20.625464418299501"/>
    <n v="1254.7157521132201"/>
    <n v="4516.9767076075896"/>
  </r>
  <r>
    <x v="0"/>
    <x v="0"/>
    <x v="0"/>
    <x v="9"/>
    <x v="14"/>
    <s v="SE1A"/>
    <x v="0"/>
    <x v="0"/>
    <s v="GWND_WIND"/>
    <x v="5"/>
    <x v="0"/>
    <n v="28.168124864369499"/>
    <n v="1713.5609292491499"/>
    <n v="6168.8193452969299"/>
  </r>
  <r>
    <x v="0"/>
    <x v="0"/>
    <x v="0"/>
    <x v="9"/>
    <x v="14"/>
    <s v="SE1A"/>
    <x v="0"/>
    <x v="0"/>
    <s v="GWND_WIND"/>
    <x v="5"/>
    <x v="1"/>
    <n v="27.811470266140699"/>
    <n v="1691.8644411902301"/>
    <n v="6090.7119882848201"/>
  </r>
  <r>
    <x v="0"/>
    <x v="0"/>
    <x v="0"/>
    <x v="9"/>
    <x v="14"/>
    <s v="SE1A"/>
    <x v="0"/>
    <x v="0"/>
    <s v="GWND_WIND"/>
    <x v="5"/>
    <x v="2"/>
    <n v="30.680967899914801"/>
    <n v="1866.4255472448201"/>
    <n v="6719.1319700813401"/>
  </r>
  <r>
    <x v="0"/>
    <x v="0"/>
    <x v="0"/>
    <x v="9"/>
    <x v="14"/>
    <s v="SE1A"/>
    <x v="0"/>
    <x v="0"/>
    <s v="GWND_WIND"/>
    <x v="5"/>
    <x v="3"/>
    <n v="30.558469512073302"/>
    <n v="1858.97356198446"/>
    <n v="6692.3048231440498"/>
  </r>
  <r>
    <x v="0"/>
    <x v="0"/>
    <x v="0"/>
    <x v="9"/>
    <x v="14"/>
    <s v="SE1A"/>
    <x v="0"/>
    <x v="0"/>
    <s v="GWND_WIND"/>
    <x v="5"/>
    <x v="4"/>
    <n v="35.226416928405499"/>
    <n v="2142.9403631446698"/>
    <n v="7714.5853073208"/>
  </r>
  <r>
    <x v="0"/>
    <x v="0"/>
    <x v="0"/>
    <x v="9"/>
    <x v="14"/>
    <s v="SE1A"/>
    <x v="0"/>
    <x v="0"/>
    <s v="GWND_WIND"/>
    <x v="5"/>
    <x v="5"/>
    <n v="30.710237426213201"/>
    <n v="1868.2061100946401"/>
    <n v="6725.5419963407003"/>
  </r>
  <r>
    <x v="0"/>
    <x v="0"/>
    <x v="0"/>
    <x v="9"/>
    <x v="14"/>
    <s v="SE1A"/>
    <x v="0"/>
    <x v="0"/>
    <s v="GWND_WIND"/>
    <x v="5"/>
    <x v="6"/>
    <n v="41.428304334080401"/>
    <n v="2520.2218469898899"/>
    <n v="9072.7986491636202"/>
  </r>
  <r>
    <x v="0"/>
    <x v="0"/>
    <x v="0"/>
    <x v="9"/>
    <x v="14"/>
    <s v="SE1A"/>
    <x v="0"/>
    <x v="0"/>
    <s v="GWND_WIND"/>
    <x v="5"/>
    <x v="7"/>
    <n v="45.236594922462899"/>
    <n v="2751.8928577831598"/>
    <n v="9906.8142880193791"/>
  </r>
  <r>
    <x v="0"/>
    <x v="0"/>
    <x v="0"/>
    <x v="9"/>
    <x v="14"/>
    <s v="SE1A"/>
    <x v="0"/>
    <x v="0"/>
    <s v="GWND_WIND"/>
    <x v="5"/>
    <x v="8"/>
    <n v="27.411453406729098"/>
    <n v="1667.53008224268"/>
    <n v="6003.1082960736703"/>
  </r>
  <r>
    <x v="0"/>
    <x v="0"/>
    <x v="0"/>
    <x v="9"/>
    <x v="14"/>
    <s v="SE1A"/>
    <x v="0"/>
    <x v="0"/>
    <s v="GWND_WIND"/>
    <x v="5"/>
    <x v="9"/>
    <n v="31.896146487019902"/>
    <n v="1940.34891129371"/>
    <n v="6985.2560806573701"/>
  </r>
  <r>
    <x v="0"/>
    <x v="0"/>
    <x v="0"/>
    <x v="9"/>
    <x v="14"/>
    <s v="SE1A"/>
    <x v="0"/>
    <x v="0"/>
    <s v="GWND_WIND"/>
    <x v="5"/>
    <x v="10"/>
    <n v="23.094740305977801"/>
    <n v="1404.93003528032"/>
    <n v="5057.7481270091503"/>
  </r>
  <r>
    <x v="0"/>
    <x v="0"/>
    <x v="0"/>
    <x v="9"/>
    <x v="14"/>
    <s v="SE1A"/>
    <x v="0"/>
    <x v="0"/>
    <s v="GWND_WIND"/>
    <x v="5"/>
    <x v="11"/>
    <n v="26.1496116063086"/>
    <n v="1590.76803938377"/>
    <n v="5726.7649417815801"/>
  </r>
  <r>
    <x v="0"/>
    <x v="0"/>
    <x v="0"/>
    <x v="9"/>
    <x v="14"/>
    <s v="SE1A"/>
    <x v="0"/>
    <x v="0"/>
    <s v="GWND_WIND"/>
    <x v="6"/>
    <x v="0"/>
    <n v="29.372511668722801"/>
    <n v="1786.8277931806399"/>
    <n v="6432.5800554502903"/>
  </r>
  <r>
    <x v="0"/>
    <x v="0"/>
    <x v="0"/>
    <x v="9"/>
    <x v="14"/>
    <s v="SE1A"/>
    <x v="0"/>
    <x v="0"/>
    <s v="GWND_WIND"/>
    <x v="6"/>
    <x v="1"/>
    <n v="19.094571711861299"/>
    <n v="1161.5864458049"/>
    <n v="4181.7112048976296"/>
  </r>
  <r>
    <x v="0"/>
    <x v="0"/>
    <x v="0"/>
    <x v="9"/>
    <x v="14"/>
    <s v="SE1A"/>
    <x v="0"/>
    <x v="0"/>
    <s v="GWND_WIND"/>
    <x v="6"/>
    <x v="2"/>
    <n v="7.7255917332655297"/>
    <n v="469.973497106987"/>
    <n v="1691.90458958515"/>
  </r>
  <r>
    <x v="0"/>
    <x v="0"/>
    <x v="0"/>
    <x v="9"/>
    <x v="14"/>
    <s v="SE1A"/>
    <x v="0"/>
    <x v="0"/>
    <s v="GWND_WIND"/>
    <x v="6"/>
    <x v="3"/>
    <n v="3.6295838694827101"/>
    <n v="220.799685393532"/>
    <n v="794.87886741671502"/>
  </r>
  <r>
    <x v="0"/>
    <x v="0"/>
    <x v="0"/>
    <x v="9"/>
    <x v="14"/>
    <s v="SE1A"/>
    <x v="0"/>
    <x v="0"/>
    <s v="GWND_WIND"/>
    <x v="6"/>
    <x v="4"/>
    <n v="2.1329809551314098"/>
    <n v="129.75634143716101"/>
    <n v="467.122829173779"/>
  </r>
  <r>
    <x v="0"/>
    <x v="0"/>
    <x v="0"/>
    <x v="9"/>
    <x v="14"/>
    <s v="SE1A"/>
    <x v="0"/>
    <x v="0"/>
    <s v="GWND_WIND"/>
    <x v="6"/>
    <x v="5"/>
    <n v="1.4246313172965599"/>
    <n v="86.665071802207606"/>
    <n v="311.99425848794698"/>
  </r>
  <r>
    <x v="0"/>
    <x v="0"/>
    <x v="0"/>
    <x v="9"/>
    <x v="14"/>
    <s v="SE1A"/>
    <x v="0"/>
    <x v="0"/>
    <s v="GWND_WIND"/>
    <x v="6"/>
    <x v="6"/>
    <n v="1.3890753471831701"/>
    <n v="84.502083620309406"/>
    <n v="304.207501033114"/>
  </r>
  <r>
    <x v="0"/>
    <x v="0"/>
    <x v="0"/>
    <x v="9"/>
    <x v="14"/>
    <s v="SE1A"/>
    <x v="0"/>
    <x v="0"/>
    <s v="GWND_WIND"/>
    <x v="6"/>
    <x v="7"/>
    <n v="3.9840855314438"/>
    <n v="242.36520316283099"/>
    <n v="872.51473138619303"/>
  </r>
  <r>
    <x v="0"/>
    <x v="0"/>
    <x v="0"/>
    <x v="9"/>
    <x v="14"/>
    <s v="SE1A"/>
    <x v="0"/>
    <x v="0"/>
    <s v="GWND_WIND"/>
    <x v="6"/>
    <x v="8"/>
    <n v="11.1190138877812"/>
    <n v="676.40667817335805"/>
    <n v="2435.0640414240902"/>
  </r>
  <r>
    <x v="0"/>
    <x v="0"/>
    <x v="0"/>
    <x v="9"/>
    <x v="14"/>
    <s v="SE1A"/>
    <x v="0"/>
    <x v="0"/>
    <s v="GWND_WIND"/>
    <x v="6"/>
    <x v="9"/>
    <n v="23.436687509270001"/>
    <n v="1425.73182348059"/>
    <n v="5132.6345645301299"/>
  </r>
  <r>
    <x v="0"/>
    <x v="0"/>
    <x v="0"/>
    <x v="9"/>
    <x v="14"/>
    <s v="SE1A"/>
    <x v="0"/>
    <x v="0"/>
    <s v="GWND_WIND"/>
    <x v="6"/>
    <x v="10"/>
    <n v="37.520971088986798"/>
    <n v="2282.5257412466999"/>
    <n v="8217.0926684881106"/>
  </r>
  <r>
    <x v="0"/>
    <x v="0"/>
    <x v="0"/>
    <x v="9"/>
    <x v="14"/>
    <s v="SE1A"/>
    <x v="0"/>
    <x v="0"/>
    <s v="GWND_WIND"/>
    <x v="6"/>
    <x v="11"/>
    <n v="36.646137469623099"/>
    <n v="2229.3066960687402"/>
    <n v="8025.5041058474599"/>
  </r>
  <r>
    <x v="0"/>
    <x v="0"/>
    <x v="0"/>
    <x v="9"/>
    <x v="14"/>
    <s v="SE1A"/>
    <x v="0"/>
    <x v="0"/>
    <s v="GWND_WIND"/>
    <x v="7"/>
    <x v="0"/>
    <n v="149.31968737787801"/>
    <n v="9083.6143154876008"/>
    <n v="32701.011535755399"/>
  </r>
  <r>
    <x v="0"/>
    <x v="0"/>
    <x v="0"/>
    <x v="9"/>
    <x v="14"/>
    <s v="SE1A"/>
    <x v="0"/>
    <x v="0"/>
    <s v="GWND_WIND"/>
    <x v="7"/>
    <x v="1"/>
    <n v="148.218501671084"/>
    <n v="9016.6255183242592"/>
    <n v="32459.851865967299"/>
  </r>
  <r>
    <x v="0"/>
    <x v="0"/>
    <x v="0"/>
    <x v="9"/>
    <x v="14"/>
    <s v="SE1A"/>
    <x v="0"/>
    <x v="0"/>
    <s v="GWND_WIND"/>
    <x v="7"/>
    <x v="2"/>
    <n v="149.44571436972399"/>
    <n v="9091.2809574915209"/>
    <n v="32728.611446969499"/>
  </r>
  <r>
    <x v="0"/>
    <x v="0"/>
    <x v="0"/>
    <x v="9"/>
    <x v="14"/>
    <s v="SE1A"/>
    <x v="0"/>
    <x v="0"/>
    <s v="GWND_WIND"/>
    <x v="7"/>
    <x v="3"/>
    <n v="146.06303413135899"/>
    <n v="8885.5012429910294"/>
    <n v="31987.804474767701"/>
  </r>
  <r>
    <x v="0"/>
    <x v="0"/>
    <x v="0"/>
    <x v="9"/>
    <x v="14"/>
    <s v="SE1A"/>
    <x v="0"/>
    <x v="0"/>
    <s v="GWND_WIND"/>
    <x v="7"/>
    <x v="4"/>
    <n v="152.66352587078799"/>
    <n v="9287.0311571396105"/>
    <n v="33433.312165702599"/>
  </r>
  <r>
    <x v="0"/>
    <x v="0"/>
    <x v="0"/>
    <x v="9"/>
    <x v="14"/>
    <s v="SE1A"/>
    <x v="0"/>
    <x v="0"/>
    <s v="GWND_WIND"/>
    <x v="7"/>
    <x v="5"/>
    <n v="155.06099710611699"/>
    <n v="9432.8773239554594"/>
    <n v="33958.3583662397"/>
  </r>
  <r>
    <x v="0"/>
    <x v="0"/>
    <x v="0"/>
    <x v="9"/>
    <x v="14"/>
    <s v="SE1A"/>
    <x v="0"/>
    <x v="0"/>
    <s v="GWND_WIND"/>
    <x v="7"/>
    <x v="6"/>
    <n v="144.74945139683899"/>
    <n v="8805.5916266410404"/>
    <n v="31700.129855907799"/>
  </r>
  <r>
    <x v="0"/>
    <x v="0"/>
    <x v="0"/>
    <x v="9"/>
    <x v="14"/>
    <s v="SE1A"/>
    <x v="0"/>
    <x v="0"/>
    <s v="GWND_WIND"/>
    <x v="7"/>
    <x v="7"/>
    <n v="137.40769155899901"/>
    <n v="8358.9679031724208"/>
    <n v="30092.284451420699"/>
  </r>
  <r>
    <x v="0"/>
    <x v="0"/>
    <x v="0"/>
    <x v="9"/>
    <x v="14"/>
    <s v="SE1A"/>
    <x v="0"/>
    <x v="0"/>
    <s v="GWND_WIND"/>
    <x v="7"/>
    <x v="8"/>
    <n v="126.57717221515"/>
    <n v="7700.1113097549296"/>
    <n v="27720.400715117699"/>
  </r>
  <r>
    <x v="0"/>
    <x v="0"/>
    <x v="0"/>
    <x v="9"/>
    <x v="14"/>
    <s v="SE1A"/>
    <x v="0"/>
    <x v="0"/>
    <s v="GWND_WIND"/>
    <x v="7"/>
    <x v="9"/>
    <n v="123.921644575126"/>
    <n v="7538.5667116534696"/>
    <n v="27138.840161952499"/>
  </r>
  <r>
    <x v="0"/>
    <x v="0"/>
    <x v="0"/>
    <x v="9"/>
    <x v="14"/>
    <s v="SE1A"/>
    <x v="0"/>
    <x v="0"/>
    <s v="GWND_WIND"/>
    <x v="7"/>
    <x v="10"/>
    <n v="106.419830507732"/>
    <n v="6473.8730225536901"/>
    <n v="23305.942881193299"/>
  </r>
  <r>
    <x v="0"/>
    <x v="0"/>
    <x v="0"/>
    <x v="9"/>
    <x v="14"/>
    <s v="SE1A"/>
    <x v="0"/>
    <x v="0"/>
    <s v="GWND_WIND"/>
    <x v="7"/>
    <x v="11"/>
    <n v="92.480322677539306"/>
    <n v="5625.8862962169796"/>
    <n v="20253.190666381099"/>
  </r>
  <r>
    <x v="0"/>
    <x v="0"/>
    <x v="0"/>
    <x v="9"/>
    <x v="14"/>
    <s v="SE1A"/>
    <x v="0"/>
    <x v="0"/>
    <s v="GWND_WIND"/>
    <x v="8"/>
    <x v="0"/>
    <n v="31.735757071300299"/>
    <n v="1930.5918885041001"/>
    <n v="6950.1307986147704"/>
  </r>
  <r>
    <x v="0"/>
    <x v="0"/>
    <x v="0"/>
    <x v="9"/>
    <x v="14"/>
    <s v="SE1A"/>
    <x v="0"/>
    <x v="0"/>
    <s v="GWND_WIND"/>
    <x v="8"/>
    <x v="1"/>
    <n v="21.976489381294702"/>
    <n v="1336.90310402876"/>
    <n v="4812.8511745035503"/>
  </r>
  <r>
    <x v="0"/>
    <x v="0"/>
    <x v="0"/>
    <x v="9"/>
    <x v="14"/>
    <s v="SE1A"/>
    <x v="0"/>
    <x v="0"/>
    <s v="GWND_WIND"/>
    <x v="8"/>
    <x v="2"/>
    <n v="20.167406088238099"/>
    <n v="1226.8505370344801"/>
    <n v="4416.6619333241397"/>
  </r>
  <r>
    <x v="0"/>
    <x v="0"/>
    <x v="0"/>
    <x v="9"/>
    <x v="14"/>
    <s v="SE1A"/>
    <x v="0"/>
    <x v="0"/>
    <s v="GWND_WIND"/>
    <x v="8"/>
    <x v="3"/>
    <n v="19.0463908194046"/>
    <n v="1158.65544151378"/>
    <n v="4171.1595894496004"/>
  </r>
  <r>
    <x v="0"/>
    <x v="0"/>
    <x v="0"/>
    <x v="9"/>
    <x v="14"/>
    <s v="SE1A"/>
    <x v="0"/>
    <x v="0"/>
    <s v="GWND_WIND"/>
    <x v="8"/>
    <x v="4"/>
    <n v="21.224931418304202"/>
    <n v="1291.1833279468401"/>
    <n v="4648.25998060863"/>
  </r>
  <r>
    <x v="0"/>
    <x v="0"/>
    <x v="0"/>
    <x v="9"/>
    <x v="14"/>
    <s v="SE1A"/>
    <x v="0"/>
    <x v="0"/>
    <s v="GWND_WIND"/>
    <x v="8"/>
    <x v="5"/>
    <n v="30.027723023591101"/>
    <n v="1826.6864839351299"/>
    <n v="6576.0713421664504"/>
  </r>
  <r>
    <x v="0"/>
    <x v="0"/>
    <x v="0"/>
    <x v="9"/>
    <x v="14"/>
    <s v="SE1A"/>
    <x v="0"/>
    <x v="0"/>
    <s v="GWND_WIND"/>
    <x v="8"/>
    <x v="6"/>
    <n v="41.495966806430097"/>
    <n v="2524.3379807245001"/>
    <n v="9087.6167306082007"/>
  </r>
  <r>
    <x v="0"/>
    <x v="0"/>
    <x v="0"/>
    <x v="9"/>
    <x v="14"/>
    <s v="SE1A"/>
    <x v="0"/>
    <x v="0"/>
    <s v="GWND_WIND"/>
    <x v="8"/>
    <x v="7"/>
    <n v="66.853532022425298"/>
    <n v="4066.92319803087"/>
    <n v="14640.9235129111"/>
  </r>
  <r>
    <x v="0"/>
    <x v="0"/>
    <x v="0"/>
    <x v="9"/>
    <x v="14"/>
    <s v="SE1A"/>
    <x v="0"/>
    <x v="0"/>
    <s v="GWND_WIND"/>
    <x v="8"/>
    <x v="8"/>
    <n v="83.699036585686102"/>
    <n v="5091.6913922959102"/>
    <n v="18330.0890122653"/>
  </r>
  <r>
    <x v="0"/>
    <x v="0"/>
    <x v="0"/>
    <x v="9"/>
    <x v="14"/>
    <s v="SE1A"/>
    <x v="0"/>
    <x v="0"/>
    <s v="GWND_WIND"/>
    <x v="8"/>
    <x v="9"/>
    <n v="98.637369168925105"/>
    <n v="6000.4399577762797"/>
    <n v="21601.5838479946"/>
  </r>
  <r>
    <x v="0"/>
    <x v="0"/>
    <x v="0"/>
    <x v="9"/>
    <x v="14"/>
    <s v="SE1A"/>
    <x v="0"/>
    <x v="0"/>
    <s v="GWND_WIND"/>
    <x v="8"/>
    <x v="10"/>
    <n v="113.210651136114"/>
    <n v="6886.9812774469201"/>
    <n v="24793.132598808901"/>
  </r>
  <r>
    <x v="0"/>
    <x v="0"/>
    <x v="0"/>
    <x v="9"/>
    <x v="14"/>
    <s v="SE1A"/>
    <x v="0"/>
    <x v="0"/>
    <s v="GWND_WIND"/>
    <x v="8"/>
    <x v="11"/>
    <n v="123.830563229568"/>
    <n v="7533.0259297986904"/>
    <n v="27118.893347275301"/>
  </r>
  <r>
    <x v="0"/>
    <x v="0"/>
    <x v="0"/>
    <x v="9"/>
    <x v="14"/>
    <s v="SE1A"/>
    <x v="0"/>
    <x v="0"/>
    <s v="GWND_WIND"/>
    <x v="9"/>
    <x v="0"/>
    <n v="47.186124243264601"/>
    <n v="2870.4892247985999"/>
    <n v="10333.761209275001"/>
  </r>
  <r>
    <x v="0"/>
    <x v="0"/>
    <x v="0"/>
    <x v="9"/>
    <x v="14"/>
    <s v="SE1A"/>
    <x v="0"/>
    <x v="0"/>
    <s v="GWND_WIND"/>
    <x v="9"/>
    <x v="1"/>
    <n v="39.620405914810597"/>
    <n v="2410.2413598176499"/>
    <n v="8676.8688953435194"/>
  </r>
  <r>
    <x v="0"/>
    <x v="0"/>
    <x v="0"/>
    <x v="9"/>
    <x v="14"/>
    <s v="SE1A"/>
    <x v="0"/>
    <x v="0"/>
    <s v="GWND_WIND"/>
    <x v="9"/>
    <x v="2"/>
    <n v="36.002632841217597"/>
    <n v="2190.1601645074002"/>
    <n v="7884.5765922266501"/>
  </r>
  <r>
    <x v="0"/>
    <x v="0"/>
    <x v="0"/>
    <x v="9"/>
    <x v="14"/>
    <s v="SE1A"/>
    <x v="0"/>
    <x v="0"/>
    <s v="GWND_WIND"/>
    <x v="9"/>
    <x v="3"/>
    <n v="34.997958519137597"/>
    <n v="2129.0424765808698"/>
    <n v="7664.5529156911298"/>
  </r>
  <r>
    <x v="0"/>
    <x v="0"/>
    <x v="0"/>
    <x v="9"/>
    <x v="14"/>
    <s v="SE1A"/>
    <x v="0"/>
    <x v="0"/>
    <s v="GWND_WIND"/>
    <x v="9"/>
    <x v="4"/>
    <n v="36.564057045430097"/>
    <n v="2224.3134702636598"/>
    <n v="8007.52849294919"/>
  </r>
  <r>
    <x v="0"/>
    <x v="0"/>
    <x v="0"/>
    <x v="9"/>
    <x v="14"/>
    <s v="SE1A"/>
    <x v="0"/>
    <x v="0"/>
    <s v="GWND_WIND"/>
    <x v="9"/>
    <x v="5"/>
    <n v="37.9965228392659"/>
    <n v="2311.45513938867"/>
    <n v="8321.2385017992292"/>
  </r>
  <r>
    <x v="0"/>
    <x v="0"/>
    <x v="0"/>
    <x v="9"/>
    <x v="14"/>
    <s v="SE1A"/>
    <x v="0"/>
    <x v="0"/>
    <s v="GWND_WIND"/>
    <x v="9"/>
    <x v="6"/>
    <n v="39.064047506760801"/>
    <n v="2376.3962233279499"/>
    <n v="8555.0264039806207"/>
  </r>
  <r>
    <x v="0"/>
    <x v="0"/>
    <x v="0"/>
    <x v="9"/>
    <x v="14"/>
    <s v="SE1A"/>
    <x v="0"/>
    <x v="0"/>
    <s v="GWND_WIND"/>
    <x v="9"/>
    <x v="7"/>
    <n v="35.611726392880399"/>
    <n v="2166.3800222335599"/>
    <n v="7798.9680800408196"/>
  </r>
  <r>
    <x v="0"/>
    <x v="0"/>
    <x v="0"/>
    <x v="9"/>
    <x v="14"/>
    <s v="SE1A"/>
    <x v="0"/>
    <x v="0"/>
    <s v="GWND_WIND"/>
    <x v="9"/>
    <x v="8"/>
    <n v="30.555940408189802"/>
    <n v="1858.81970816488"/>
    <n v="6691.7509493935704"/>
  </r>
  <r>
    <x v="0"/>
    <x v="0"/>
    <x v="0"/>
    <x v="9"/>
    <x v="14"/>
    <s v="SE1A"/>
    <x v="0"/>
    <x v="0"/>
    <s v="GWND_WIND"/>
    <x v="9"/>
    <x v="9"/>
    <n v="26.349186413402599"/>
    <n v="1602.9088401486599"/>
    <n v="5770.4718245351596"/>
  </r>
  <r>
    <x v="0"/>
    <x v="0"/>
    <x v="0"/>
    <x v="9"/>
    <x v="14"/>
    <s v="SE1A"/>
    <x v="0"/>
    <x v="0"/>
    <s v="GWND_WIND"/>
    <x v="9"/>
    <x v="10"/>
    <n v="21.501437381075799"/>
    <n v="1308.0041073487801"/>
    <n v="4708.8147864555904"/>
  </r>
  <r>
    <x v="0"/>
    <x v="0"/>
    <x v="0"/>
    <x v="9"/>
    <x v="14"/>
    <s v="SE1A"/>
    <x v="0"/>
    <x v="0"/>
    <s v="GWND_WIND"/>
    <x v="9"/>
    <x v="11"/>
    <n v="30.374473681365799"/>
    <n v="1847.7804822830799"/>
    <n v="6652.0097362191"/>
  </r>
  <r>
    <x v="0"/>
    <x v="0"/>
    <x v="0"/>
    <x v="9"/>
    <x v="14"/>
    <s v="SE1A"/>
    <x v="0"/>
    <x v="0"/>
    <s v="GWND_WIND"/>
    <x v="10"/>
    <x v="0"/>
    <n v="195.18130268086099"/>
    <n v="11873.529246419101"/>
    <n v="42744.705287108598"/>
  </r>
  <r>
    <x v="0"/>
    <x v="0"/>
    <x v="0"/>
    <x v="9"/>
    <x v="14"/>
    <s v="SE1A"/>
    <x v="0"/>
    <x v="0"/>
    <s v="GWND_WIND"/>
    <x v="10"/>
    <x v="1"/>
    <n v="198.21047642115801"/>
    <n v="12057.8039822871"/>
    <n v="43408.094336233698"/>
  </r>
  <r>
    <x v="0"/>
    <x v="0"/>
    <x v="0"/>
    <x v="9"/>
    <x v="14"/>
    <s v="SE1A"/>
    <x v="0"/>
    <x v="0"/>
    <s v="GWND_WIND"/>
    <x v="10"/>
    <x v="2"/>
    <n v="206.08766045140601"/>
    <n v="12536.9993441272"/>
    <n v="45133.197638857899"/>
  </r>
  <r>
    <x v="0"/>
    <x v="0"/>
    <x v="0"/>
    <x v="9"/>
    <x v="14"/>
    <s v="SE1A"/>
    <x v="0"/>
    <x v="0"/>
    <s v="GWND_WIND"/>
    <x v="10"/>
    <x v="3"/>
    <n v="206.49156690564601"/>
    <n v="12561.5703200935"/>
    <n v="45221.653152336403"/>
  </r>
  <r>
    <x v="0"/>
    <x v="0"/>
    <x v="0"/>
    <x v="9"/>
    <x v="14"/>
    <s v="SE1A"/>
    <x v="0"/>
    <x v="0"/>
    <s v="GWND_WIND"/>
    <x v="10"/>
    <x v="4"/>
    <n v="201.113171118037"/>
    <n v="12234.3845763473"/>
    <n v="44043.784474850203"/>
  </r>
  <r>
    <x v="0"/>
    <x v="0"/>
    <x v="0"/>
    <x v="9"/>
    <x v="14"/>
    <s v="SE1A"/>
    <x v="0"/>
    <x v="0"/>
    <s v="GWND_WIND"/>
    <x v="10"/>
    <x v="5"/>
    <n v="206.79651742769701"/>
    <n v="12580.1214768515"/>
    <n v="45288.437316665601"/>
  </r>
  <r>
    <x v="0"/>
    <x v="0"/>
    <x v="0"/>
    <x v="9"/>
    <x v="14"/>
    <s v="SE1A"/>
    <x v="0"/>
    <x v="0"/>
    <s v="GWND_WIND"/>
    <x v="10"/>
    <x v="6"/>
    <n v="208.24051433083699"/>
    <n v="12667.9646217926"/>
    <n v="45604.672638453398"/>
  </r>
  <r>
    <x v="0"/>
    <x v="0"/>
    <x v="0"/>
    <x v="9"/>
    <x v="14"/>
    <s v="SE1A"/>
    <x v="0"/>
    <x v="0"/>
    <s v="GWND_WIND"/>
    <x v="10"/>
    <x v="7"/>
    <n v="203.50756363282301"/>
    <n v="12380.04345433"/>
    <n v="44568.1564355882"/>
  </r>
  <r>
    <x v="0"/>
    <x v="0"/>
    <x v="0"/>
    <x v="9"/>
    <x v="14"/>
    <s v="SE1A"/>
    <x v="0"/>
    <x v="0"/>
    <s v="GWND_WIND"/>
    <x v="10"/>
    <x v="8"/>
    <n v="184.41255504617999"/>
    <n v="11218.430431975899"/>
    <n v="40386.349555113396"/>
  </r>
  <r>
    <x v="0"/>
    <x v="0"/>
    <x v="0"/>
    <x v="9"/>
    <x v="14"/>
    <s v="SE1A"/>
    <x v="0"/>
    <x v="0"/>
    <s v="GWND_WIND"/>
    <x v="10"/>
    <x v="9"/>
    <n v="183.00923085997201"/>
    <n v="11133.061543981599"/>
    <n v="40079.021558333901"/>
  </r>
  <r>
    <x v="0"/>
    <x v="0"/>
    <x v="0"/>
    <x v="9"/>
    <x v="14"/>
    <s v="SE1A"/>
    <x v="0"/>
    <x v="0"/>
    <s v="GWND_WIND"/>
    <x v="10"/>
    <x v="10"/>
    <n v="166.216236910947"/>
    <n v="10111.4877454159"/>
    <n v="36401.355883497403"/>
  </r>
  <r>
    <x v="0"/>
    <x v="0"/>
    <x v="0"/>
    <x v="9"/>
    <x v="14"/>
    <s v="SE1A"/>
    <x v="0"/>
    <x v="0"/>
    <s v="GWND_WIND"/>
    <x v="10"/>
    <x v="11"/>
    <n v="160.93648376319101"/>
    <n v="9790.3027622607606"/>
    <n v="35245.089944138701"/>
  </r>
  <r>
    <x v="0"/>
    <x v="0"/>
    <x v="0"/>
    <x v="9"/>
    <x v="14"/>
    <s v="SE1A"/>
    <x v="0"/>
    <x v="0"/>
    <s v="GWND_WIND"/>
    <x v="11"/>
    <x v="0"/>
    <n v="57.340400451515301"/>
    <n v="3488.2076941338501"/>
    <n v="12557.547698881801"/>
  </r>
  <r>
    <x v="0"/>
    <x v="0"/>
    <x v="0"/>
    <x v="9"/>
    <x v="14"/>
    <s v="SE1A"/>
    <x v="0"/>
    <x v="0"/>
    <s v="GWND_WIND"/>
    <x v="11"/>
    <x v="1"/>
    <n v="46.678537538480199"/>
    <n v="2839.6110335908802"/>
    <n v="10222.599720927201"/>
  </r>
  <r>
    <x v="0"/>
    <x v="0"/>
    <x v="0"/>
    <x v="9"/>
    <x v="14"/>
    <s v="SE1A"/>
    <x v="0"/>
    <x v="0"/>
    <s v="GWND_WIND"/>
    <x v="11"/>
    <x v="2"/>
    <n v="54.672666334968397"/>
    <n v="3325.92053537724"/>
    <n v="11973.3139273581"/>
  </r>
  <r>
    <x v="0"/>
    <x v="0"/>
    <x v="0"/>
    <x v="9"/>
    <x v="14"/>
    <s v="SE1A"/>
    <x v="0"/>
    <x v="0"/>
    <s v="GWND_WIND"/>
    <x v="11"/>
    <x v="3"/>
    <n v="51.9072381280331"/>
    <n v="3157.6903194553502"/>
    <n v="11367.6851500392"/>
  </r>
  <r>
    <x v="0"/>
    <x v="0"/>
    <x v="0"/>
    <x v="9"/>
    <x v="14"/>
    <s v="SE1A"/>
    <x v="0"/>
    <x v="0"/>
    <s v="GWND_WIND"/>
    <x v="11"/>
    <x v="4"/>
    <n v="44.006289410544198"/>
    <n v="2677.0492724747701"/>
    <n v="9637.3773809091708"/>
  </r>
  <r>
    <x v="0"/>
    <x v="0"/>
    <x v="0"/>
    <x v="9"/>
    <x v="14"/>
    <s v="SE1A"/>
    <x v="0"/>
    <x v="0"/>
    <s v="GWND_WIND"/>
    <x v="11"/>
    <x v="5"/>
    <n v="35.197024903719203"/>
    <n v="2141.1523483095898"/>
    <n v="7708.1484539145104"/>
  </r>
  <r>
    <x v="0"/>
    <x v="0"/>
    <x v="0"/>
    <x v="9"/>
    <x v="14"/>
    <s v="SE1A"/>
    <x v="0"/>
    <x v="0"/>
    <s v="GWND_WIND"/>
    <x v="11"/>
    <x v="6"/>
    <n v="32.189796803806601"/>
    <n v="1958.2126388982399"/>
    <n v="7049.5655000336501"/>
  </r>
  <r>
    <x v="0"/>
    <x v="0"/>
    <x v="0"/>
    <x v="9"/>
    <x v="14"/>
    <s v="SE1A"/>
    <x v="0"/>
    <x v="0"/>
    <s v="GWND_WIND"/>
    <x v="11"/>
    <x v="7"/>
    <n v="27.480481790306001"/>
    <n v="1671.72930891028"/>
    <n v="6018.2255120770196"/>
  </r>
  <r>
    <x v="0"/>
    <x v="0"/>
    <x v="0"/>
    <x v="9"/>
    <x v="14"/>
    <s v="SE1A"/>
    <x v="0"/>
    <x v="0"/>
    <s v="GWND_WIND"/>
    <x v="11"/>
    <x v="8"/>
    <n v="21.831075122474601"/>
    <n v="1328.0570699505399"/>
    <n v="4781.0054518219404"/>
  </r>
  <r>
    <x v="0"/>
    <x v="0"/>
    <x v="0"/>
    <x v="9"/>
    <x v="14"/>
    <s v="SE1A"/>
    <x v="0"/>
    <x v="0"/>
    <s v="GWND_WIND"/>
    <x v="11"/>
    <x v="9"/>
    <n v="15.390793929438299"/>
    <n v="936.27329737416096"/>
    <n v="3370.5838705469801"/>
  </r>
  <r>
    <x v="0"/>
    <x v="0"/>
    <x v="0"/>
    <x v="9"/>
    <x v="14"/>
    <s v="SE1A"/>
    <x v="0"/>
    <x v="0"/>
    <s v="GWND_WIND"/>
    <x v="11"/>
    <x v="10"/>
    <n v="11.106749956262201"/>
    <n v="675.66062233928403"/>
    <n v="2432.3782404214198"/>
  </r>
  <r>
    <x v="0"/>
    <x v="0"/>
    <x v="0"/>
    <x v="9"/>
    <x v="14"/>
    <s v="SE1A"/>
    <x v="0"/>
    <x v="0"/>
    <s v="GWND_WIND"/>
    <x v="11"/>
    <x v="11"/>
    <n v="8.8021942901390702"/>
    <n v="535.46681931679404"/>
    <n v="1927.6805495404601"/>
  </r>
  <r>
    <x v="0"/>
    <x v="0"/>
    <x v="0"/>
    <x v="9"/>
    <x v="14"/>
    <s v="SE1_EL"/>
    <x v="1"/>
    <x v="1"/>
    <s v="SolarPV-50"/>
    <x v="0"/>
    <x v="0"/>
    <n v="532.782606905747"/>
    <n v="32410.941920099602"/>
    <n v="116679.390912359"/>
  </r>
  <r>
    <x v="0"/>
    <x v="0"/>
    <x v="0"/>
    <x v="9"/>
    <x v="14"/>
    <s v="SE1_EL"/>
    <x v="1"/>
    <x v="1"/>
    <s v="SolarPV-50"/>
    <x v="0"/>
    <x v="3"/>
    <n v="246.41319938718701"/>
    <n v="14990.136296053901"/>
    <n v="53964.490665793899"/>
  </r>
  <r>
    <x v="0"/>
    <x v="0"/>
    <x v="0"/>
    <x v="9"/>
    <x v="14"/>
    <s v="SE1_EL"/>
    <x v="1"/>
    <x v="1"/>
    <s v="SolarPV-50"/>
    <x v="0"/>
    <x v="10"/>
    <n v="971.16225818173905"/>
    <n v="59079.037372722501"/>
    <n v="212684.534541801"/>
  </r>
  <r>
    <x v="0"/>
    <x v="0"/>
    <x v="0"/>
    <x v="9"/>
    <x v="14"/>
    <s v="SE1_EL"/>
    <x v="1"/>
    <x v="1"/>
    <s v="SolarPV-50"/>
    <x v="0"/>
    <x v="11"/>
    <n v="1071.2648331002499"/>
    <n v="65168.610680265199"/>
    <n v="234606.99844895501"/>
  </r>
  <r>
    <x v="0"/>
    <x v="0"/>
    <x v="0"/>
    <x v="9"/>
    <x v="14"/>
    <s v="SE1_EL"/>
    <x v="1"/>
    <x v="1"/>
    <s v="SolarPV-50"/>
    <x v="1"/>
    <x v="0"/>
    <n v="975.95896089931705"/>
    <n v="59370.836788041801"/>
    <n v="213735.01243695"/>
  </r>
  <r>
    <x v="0"/>
    <x v="0"/>
    <x v="0"/>
    <x v="9"/>
    <x v="14"/>
    <s v="SE1_EL"/>
    <x v="1"/>
    <x v="1"/>
    <s v="SolarPV-50"/>
    <x v="1"/>
    <x v="4"/>
    <n v="875.50638762279402"/>
    <n v="53259.971913720001"/>
    <n v="191735.898889392"/>
  </r>
  <r>
    <x v="0"/>
    <x v="0"/>
    <x v="0"/>
    <x v="9"/>
    <x v="14"/>
    <s v="SE1_EL"/>
    <x v="1"/>
    <x v="1"/>
    <s v="SolarPV-50"/>
    <x v="1"/>
    <x v="6"/>
    <n v="1352.0612329544199"/>
    <n v="82250.391671393896"/>
    <n v="296101.41001701797"/>
  </r>
  <r>
    <x v="0"/>
    <x v="0"/>
    <x v="0"/>
    <x v="9"/>
    <x v="14"/>
    <s v="SE1_EL"/>
    <x v="1"/>
    <x v="1"/>
    <s v="SolarPV-50"/>
    <x v="1"/>
    <x v="8"/>
    <n v="1454.12290558379"/>
    <n v="88459.143423014102"/>
    <n v="318452.91632285097"/>
  </r>
  <r>
    <x v="0"/>
    <x v="0"/>
    <x v="0"/>
    <x v="9"/>
    <x v="14"/>
    <s v="SE1_EL"/>
    <x v="1"/>
    <x v="1"/>
    <s v="SolarPV-50"/>
    <x v="1"/>
    <x v="10"/>
    <n v="1413.93663346674"/>
    <n v="86014.4785358933"/>
    <n v="309652.122729216"/>
  </r>
  <r>
    <x v="0"/>
    <x v="0"/>
    <x v="0"/>
    <x v="9"/>
    <x v="14"/>
    <s v="SE1_EL"/>
    <x v="1"/>
    <x v="1"/>
    <s v="SolarPV-50"/>
    <x v="1"/>
    <x v="11"/>
    <n v="1349.41004127568"/>
    <n v="82089.110844270705"/>
    <n v="295520.79903937399"/>
  </r>
  <r>
    <x v="0"/>
    <x v="0"/>
    <x v="0"/>
    <x v="9"/>
    <x v="14"/>
    <s v="SE1_EL"/>
    <x v="1"/>
    <x v="1"/>
    <s v="SolarPV-50"/>
    <x v="2"/>
    <x v="2"/>
    <n v="503.44339686192302"/>
    <n v="30626.139975767001"/>
    <n v="110254.103912761"/>
  </r>
  <r>
    <x v="0"/>
    <x v="0"/>
    <x v="0"/>
    <x v="9"/>
    <x v="14"/>
    <s v="SE1_EL"/>
    <x v="1"/>
    <x v="1"/>
    <s v="SolarPV-50"/>
    <x v="2"/>
    <x v="4"/>
    <n v="844.40613587139796"/>
    <n v="51368.039932176704"/>
    <n v="184924.94375583599"/>
  </r>
  <r>
    <x v="0"/>
    <x v="0"/>
    <x v="0"/>
    <x v="9"/>
    <x v="14"/>
    <s v="SE1_EL"/>
    <x v="1"/>
    <x v="1"/>
    <s v="SolarPV-50"/>
    <x v="2"/>
    <x v="5"/>
    <n v="686.44748762595998"/>
    <n v="41758.888830579199"/>
    <n v="150331.99979008501"/>
  </r>
  <r>
    <x v="0"/>
    <x v="0"/>
    <x v="0"/>
    <x v="9"/>
    <x v="14"/>
    <s v="SE1_EL"/>
    <x v="1"/>
    <x v="1"/>
    <s v="SolarPV-50"/>
    <x v="2"/>
    <x v="6"/>
    <n v="1009.3744734140899"/>
    <n v="61403.613799357197"/>
    <n v="221053.009677686"/>
  </r>
  <r>
    <x v="0"/>
    <x v="0"/>
    <x v="0"/>
    <x v="9"/>
    <x v="14"/>
    <s v="SE1_EL"/>
    <x v="1"/>
    <x v="1"/>
    <s v="SolarPV-50"/>
    <x v="2"/>
    <x v="8"/>
    <n v="1370.0732779053401"/>
    <n v="83346.124405908398"/>
    <n v="300046.04786127002"/>
  </r>
  <r>
    <x v="0"/>
    <x v="0"/>
    <x v="0"/>
    <x v="9"/>
    <x v="14"/>
    <s v="SE1_EL"/>
    <x v="1"/>
    <x v="1"/>
    <s v="SolarPV-50"/>
    <x v="2"/>
    <x v="10"/>
    <n v="1277.26788300518"/>
    <n v="77700.4628828149"/>
    <n v="279721.666378133"/>
  </r>
  <r>
    <x v="0"/>
    <x v="0"/>
    <x v="0"/>
    <x v="9"/>
    <x v="14"/>
    <s v="SE1_EL"/>
    <x v="1"/>
    <x v="1"/>
    <s v="SolarPV-50"/>
    <x v="3"/>
    <x v="1"/>
    <n v="1261.53399885452"/>
    <n v="76743.318263649999"/>
    <n v="276275.94574914"/>
  </r>
  <r>
    <x v="0"/>
    <x v="0"/>
    <x v="0"/>
    <x v="9"/>
    <x v="14"/>
    <s v="SE1_EL"/>
    <x v="1"/>
    <x v="1"/>
    <s v="SolarPV-50"/>
    <x v="3"/>
    <x v="4"/>
    <n v="1212.7532446236301"/>
    <n v="73775.822381270598"/>
    <n v="265592.960572574"/>
  </r>
  <r>
    <x v="0"/>
    <x v="0"/>
    <x v="0"/>
    <x v="9"/>
    <x v="14"/>
    <s v="SE1_EL"/>
    <x v="1"/>
    <x v="1"/>
    <s v="SolarPV-50"/>
    <x v="3"/>
    <x v="5"/>
    <n v="1219.1201202019799"/>
    <n v="74163.140645620704"/>
    <n v="266987.30632423499"/>
  </r>
  <r>
    <x v="0"/>
    <x v="0"/>
    <x v="0"/>
    <x v="9"/>
    <x v="14"/>
    <s v="SE1_EL"/>
    <x v="1"/>
    <x v="1"/>
    <s v="SolarPV-50"/>
    <x v="3"/>
    <x v="6"/>
    <n v="1475.505280266"/>
    <n v="89759.904549514802"/>
    <n v="323135.65637825301"/>
  </r>
  <r>
    <x v="0"/>
    <x v="0"/>
    <x v="0"/>
    <x v="9"/>
    <x v="14"/>
    <s v="SE1_EL"/>
    <x v="1"/>
    <x v="1"/>
    <s v="SolarPV-50"/>
    <x v="3"/>
    <x v="8"/>
    <n v="1790.7698793797599"/>
    <n v="108938.50099560199"/>
    <n v="392178.60358416702"/>
  </r>
  <r>
    <x v="0"/>
    <x v="0"/>
    <x v="0"/>
    <x v="9"/>
    <x v="14"/>
    <s v="SE1_EL"/>
    <x v="1"/>
    <x v="1"/>
    <s v="SolarPV-50"/>
    <x v="3"/>
    <x v="9"/>
    <n v="1801.0640534993199"/>
    <n v="109564.729921208"/>
    <n v="394433.02771634998"/>
  </r>
  <r>
    <x v="0"/>
    <x v="0"/>
    <x v="0"/>
    <x v="9"/>
    <x v="14"/>
    <s v="SE1_EL"/>
    <x v="1"/>
    <x v="1"/>
    <s v="SolarPV-50"/>
    <x v="3"/>
    <x v="10"/>
    <n v="1697.23495768015"/>
    <n v="103248.459925542"/>
    <n v="371694.45573195303"/>
  </r>
  <r>
    <x v="0"/>
    <x v="0"/>
    <x v="0"/>
    <x v="9"/>
    <x v="14"/>
    <s v="SE1_EL"/>
    <x v="1"/>
    <x v="1"/>
    <s v="SolarPV-50"/>
    <x v="3"/>
    <x v="11"/>
    <n v="1671.9158439739899"/>
    <n v="101708.213841751"/>
    <n v="366149.56983030401"/>
  </r>
  <r>
    <x v="0"/>
    <x v="0"/>
    <x v="0"/>
    <x v="9"/>
    <x v="14"/>
    <s v="SE1_OTHER"/>
    <x v="1"/>
    <x v="1"/>
    <s v="SolarPV-50"/>
    <x v="0"/>
    <x v="1"/>
    <n v="466.19589495760698"/>
    <n v="28360.250276587802"/>
    <n v="102096.900995716"/>
  </r>
  <r>
    <x v="0"/>
    <x v="0"/>
    <x v="0"/>
    <x v="9"/>
    <x v="14"/>
    <s v="SE1_OTHER"/>
    <x v="1"/>
    <x v="1"/>
    <s v="SolarPV-50"/>
    <x v="0"/>
    <x v="2"/>
    <n v="264.38246775171501"/>
    <n v="16083.266788229401"/>
    <n v="57899.7604376257"/>
  </r>
  <r>
    <x v="0"/>
    <x v="0"/>
    <x v="0"/>
    <x v="9"/>
    <x v="14"/>
    <s v="SE1_OTHER"/>
    <x v="1"/>
    <x v="1"/>
    <s v="SolarPV-50"/>
    <x v="0"/>
    <x v="4"/>
    <n v="223.48578079341399"/>
    <n v="13595.384998265999"/>
    <n v="48943.385993757598"/>
  </r>
  <r>
    <x v="0"/>
    <x v="0"/>
    <x v="0"/>
    <x v="9"/>
    <x v="14"/>
    <s v="SE1_OTHER"/>
    <x v="1"/>
    <x v="1"/>
    <s v="SolarPV-50"/>
    <x v="0"/>
    <x v="5"/>
    <n v="475.36182390667898"/>
    <n v="28917.844287656299"/>
    <n v="104104.23943556299"/>
  </r>
  <r>
    <x v="0"/>
    <x v="0"/>
    <x v="0"/>
    <x v="9"/>
    <x v="14"/>
    <s v="SE1_OTHER"/>
    <x v="1"/>
    <x v="1"/>
    <s v="SolarPV-50"/>
    <x v="0"/>
    <x v="6"/>
    <n v="795.39129509623604"/>
    <n v="48386.303785021002"/>
    <n v="174190.69362607601"/>
  </r>
  <r>
    <x v="0"/>
    <x v="0"/>
    <x v="0"/>
    <x v="9"/>
    <x v="14"/>
    <s v="SE1_OTHER"/>
    <x v="1"/>
    <x v="1"/>
    <s v="SolarPV-50"/>
    <x v="0"/>
    <x v="7"/>
    <n v="1016.13136922516"/>
    <n v="61814.658294530796"/>
    <n v="222532.769860311"/>
  </r>
  <r>
    <x v="0"/>
    <x v="0"/>
    <x v="0"/>
    <x v="9"/>
    <x v="14"/>
    <s v="SE1_OTHER"/>
    <x v="1"/>
    <x v="1"/>
    <s v="SolarPV-50"/>
    <x v="0"/>
    <x v="8"/>
    <n v="1055.73670841887"/>
    <n v="64223.983095481097"/>
    <n v="231206.33914373201"/>
  </r>
  <r>
    <x v="0"/>
    <x v="0"/>
    <x v="0"/>
    <x v="9"/>
    <x v="14"/>
    <s v="SE1_OTHER"/>
    <x v="1"/>
    <x v="1"/>
    <s v="SolarPV-50"/>
    <x v="0"/>
    <x v="9"/>
    <n v="947.93078274637401"/>
    <n v="57665.789283737802"/>
    <n v="207596.84142145599"/>
  </r>
  <r>
    <x v="0"/>
    <x v="0"/>
    <x v="0"/>
    <x v="9"/>
    <x v="14"/>
    <s v="SE1_OTHER"/>
    <x v="1"/>
    <x v="1"/>
    <s v="SolarPV-50"/>
    <x v="1"/>
    <x v="1"/>
    <n v="889.50785101828501"/>
    <n v="54111.7276036123"/>
    <n v="194802.21937300399"/>
  </r>
  <r>
    <x v="0"/>
    <x v="0"/>
    <x v="0"/>
    <x v="9"/>
    <x v="14"/>
    <s v="SE1_OTHER"/>
    <x v="1"/>
    <x v="1"/>
    <s v="SolarPV-50"/>
    <x v="1"/>
    <x v="2"/>
    <n v="879.79742667784797"/>
    <n v="53521.0101229024"/>
    <n v="192675.636442449"/>
  </r>
  <r>
    <x v="0"/>
    <x v="0"/>
    <x v="0"/>
    <x v="9"/>
    <x v="14"/>
    <s v="SE1_OTHER"/>
    <x v="1"/>
    <x v="1"/>
    <s v="SolarPV-50"/>
    <x v="1"/>
    <x v="3"/>
    <n v="855.60710011168203"/>
    <n v="52049.431923460703"/>
    <n v="187377.954924458"/>
  </r>
  <r>
    <x v="0"/>
    <x v="0"/>
    <x v="0"/>
    <x v="9"/>
    <x v="14"/>
    <s v="SE1_OTHER"/>
    <x v="1"/>
    <x v="1"/>
    <s v="SolarPV-50"/>
    <x v="1"/>
    <x v="5"/>
    <n v="1066.2287047857701"/>
    <n v="64862.246207801101"/>
    <n v="233504.08634808401"/>
  </r>
  <r>
    <x v="0"/>
    <x v="0"/>
    <x v="0"/>
    <x v="9"/>
    <x v="14"/>
    <s v="SE1_OTHER"/>
    <x v="1"/>
    <x v="1"/>
    <s v="SolarPV-50"/>
    <x v="1"/>
    <x v="7"/>
    <n v="1252.81576024388"/>
    <n v="76212.9587481692"/>
    <n v="274366.65149340901"/>
  </r>
  <r>
    <x v="0"/>
    <x v="0"/>
    <x v="0"/>
    <x v="9"/>
    <x v="14"/>
    <s v="SE1_OTHER"/>
    <x v="1"/>
    <x v="1"/>
    <s v="SolarPV-50"/>
    <x v="1"/>
    <x v="9"/>
    <n v="1366.0755021131099"/>
    <n v="83102.926378547796"/>
    <n v="299170.53496277198"/>
  </r>
  <r>
    <x v="0"/>
    <x v="0"/>
    <x v="0"/>
    <x v="9"/>
    <x v="14"/>
    <s v="SE1_OTHER"/>
    <x v="1"/>
    <x v="1"/>
    <s v="SolarPV-50"/>
    <x v="2"/>
    <x v="0"/>
    <n v="525.407984028182"/>
    <n v="31962.319028381"/>
    <n v="115064.348502172"/>
  </r>
  <r>
    <x v="0"/>
    <x v="0"/>
    <x v="0"/>
    <x v="9"/>
    <x v="14"/>
    <s v="SE1_OTHER"/>
    <x v="1"/>
    <x v="1"/>
    <s v="SolarPV-50"/>
    <x v="2"/>
    <x v="1"/>
    <n v="497.23132398592497"/>
    <n v="30248.238875810501"/>
    <n v="108893.65995291799"/>
  </r>
  <r>
    <x v="0"/>
    <x v="0"/>
    <x v="0"/>
    <x v="9"/>
    <x v="14"/>
    <s v="SE1_OTHER"/>
    <x v="1"/>
    <x v="1"/>
    <s v="SolarPV-50"/>
    <x v="2"/>
    <x v="3"/>
    <n v="550.106065284593"/>
    <n v="33464.785638146102"/>
    <n v="120473.228297326"/>
  </r>
  <r>
    <x v="0"/>
    <x v="0"/>
    <x v="0"/>
    <x v="9"/>
    <x v="14"/>
    <s v="SE1_OTHER"/>
    <x v="1"/>
    <x v="1"/>
    <s v="SolarPV-50"/>
    <x v="2"/>
    <x v="7"/>
    <n v="1137.8653782582901"/>
    <n v="69220.143844045801"/>
    <n v="249192.51783856499"/>
  </r>
  <r>
    <x v="0"/>
    <x v="0"/>
    <x v="0"/>
    <x v="9"/>
    <x v="14"/>
    <s v="SE1_OTHER"/>
    <x v="1"/>
    <x v="1"/>
    <s v="SolarPV-50"/>
    <x v="2"/>
    <x v="9"/>
    <n v="1334.9597853712701"/>
    <n v="81210.053610085801"/>
    <n v="292356.19299630902"/>
  </r>
  <r>
    <x v="0"/>
    <x v="0"/>
    <x v="0"/>
    <x v="9"/>
    <x v="14"/>
    <s v="SE1_OTHER"/>
    <x v="1"/>
    <x v="1"/>
    <s v="SolarPV-50"/>
    <x v="2"/>
    <x v="11"/>
    <n v="1367.6938957576299"/>
    <n v="83201.378658589194"/>
    <n v="299524.96317092102"/>
  </r>
  <r>
    <x v="0"/>
    <x v="0"/>
    <x v="0"/>
    <x v="9"/>
    <x v="14"/>
    <s v="SE1_OTHER"/>
    <x v="1"/>
    <x v="1"/>
    <s v="SolarPV-50"/>
    <x v="3"/>
    <x v="0"/>
    <n v="1270.1098489861199"/>
    <n v="77265.015813322403"/>
    <n v="278154.05692796101"/>
  </r>
  <r>
    <x v="0"/>
    <x v="0"/>
    <x v="0"/>
    <x v="9"/>
    <x v="14"/>
    <s v="SE1_OTHER"/>
    <x v="1"/>
    <x v="1"/>
    <s v="SolarPV-50"/>
    <x v="3"/>
    <x v="2"/>
    <n v="1230.2177810252399"/>
    <n v="74838.248345702203"/>
    <n v="269417.69404452801"/>
  </r>
  <r>
    <x v="0"/>
    <x v="0"/>
    <x v="0"/>
    <x v="9"/>
    <x v="14"/>
    <s v="SE1_OTHER"/>
    <x v="1"/>
    <x v="1"/>
    <s v="SolarPV-50"/>
    <x v="3"/>
    <x v="3"/>
    <n v="1235.9056653090299"/>
    <n v="75184.261306299493"/>
    <n v="270663.34070267802"/>
  </r>
  <r>
    <x v="0"/>
    <x v="0"/>
    <x v="0"/>
    <x v="9"/>
    <x v="14"/>
    <s v="SE1_OTHER"/>
    <x v="1"/>
    <x v="1"/>
    <s v="SolarPV-50"/>
    <x v="3"/>
    <x v="7"/>
    <n v="1644.6692582073999"/>
    <n v="100050.71320761699"/>
    <n v="360182.56754742097"/>
  </r>
  <r>
    <x v="0"/>
    <x v="0"/>
    <x v="0"/>
    <x v="9"/>
    <x v="15"/>
    <s v="SE2A"/>
    <x v="7"/>
    <x v="6"/>
    <s v="GHYRR_WATER"/>
    <x v="0"/>
    <x v="0"/>
    <n v="1289.48912167607"/>
    <n v="78443.921568627396"/>
    <n v="282398.11764705903"/>
  </r>
  <r>
    <x v="0"/>
    <x v="0"/>
    <x v="0"/>
    <x v="9"/>
    <x v="15"/>
    <s v="SE2A"/>
    <x v="7"/>
    <x v="6"/>
    <s v="GHYRR_WATER"/>
    <x v="0"/>
    <x v="1"/>
    <n v="1289.48912167607"/>
    <n v="78443.921568627396"/>
    <n v="282398.11764705903"/>
  </r>
  <r>
    <x v="0"/>
    <x v="0"/>
    <x v="0"/>
    <x v="9"/>
    <x v="15"/>
    <s v="SE2A"/>
    <x v="7"/>
    <x v="6"/>
    <s v="GHYRR_WATER"/>
    <x v="0"/>
    <x v="2"/>
    <n v="1289.48912167607"/>
    <n v="78443.921568627396"/>
    <n v="282398.11764705903"/>
  </r>
  <r>
    <x v="0"/>
    <x v="0"/>
    <x v="0"/>
    <x v="9"/>
    <x v="15"/>
    <s v="SE2A"/>
    <x v="7"/>
    <x v="6"/>
    <s v="GHYRR_WATER"/>
    <x v="0"/>
    <x v="3"/>
    <n v="1289.48912167607"/>
    <n v="78443.921568627396"/>
    <n v="282398.11764705903"/>
  </r>
  <r>
    <x v="0"/>
    <x v="0"/>
    <x v="0"/>
    <x v="9"/>
    <x v="15"/>
    <s v="SE2A"/>
    <x v="7"/>
    <x v="6"/>
    <s v="GHYRR_WATER"/>
    <x v="0"/>
    <x v="4"/>
    <n v="1289.48912167607"/>
    <n v="78443.921568627396"/>
    <n v="282398.11764705903"/>
  </r>
  <r>
    <x v="0"/>
    <x v="0"/>
    <x v="0"/>
    <x v="9"/>
    <x v="15"/>
    <s v="SE2A"/>
    <x v="7"/>
    <x v="6"/>
    <s v="GHYRR_WATER"/>
    <x v="0"/>
    <x v="5"/>
    <n v="1289.48912167607"/>
    <n v="78443.921568627396"/>
    <n v="282398.11764705903"/>
  </r>
  <r>
    <x v="0"/>
    <x v="0"/>
    <x v="0"/>
    <x v="9"/>
    <x v="15"/>
    <s v="SE2A"/>
    <x v="7"/>
    <x v="6"/>
    <s v="GHYRR_WATER"/>
    <x v="0"/>
    <x v="6"/>
    <n v="1289.48912167607"/>
    <n v="78443.921568627396"/>
    <n v="282398.11764705903"/>
  </r>
  <r>
    <x v="0"/>
    <x v="0"/>
    <x v="0"/>
    <x v="9"/>
    <x v="15"/>
    <s v="SE2A"/>
    <x v="7"/>
    <x v="6"/>
    <s v="GHYRR_WATER"/>
    <x v="0"/>
    <x v="7"/>
    <n v="1289.48912167607"/>
    <n v="78443.921568627396"/>
    <n v="282398.11764705903"/>
  </r>
  <r>
    <x v="0"/>
    <x v="0"/>
    <x v="0"/>
    <x v="9"/>
    <x v="15"/>
    <s v="SE2A"/>
    <x v="7"/>
    <x v="6"/>
    <s v="GHYRR_WATER"/>
    <x v="0"/>
    <x v="8"/>
    <n v="1289.48912167607"/>
    <n v="78443.921568627396"/>
    <n v="282398.11764705903"/>
  </r>
  <r>
    <x v="0"/>
    <x v="0"/>
    <x v="0"/>
    <x v="9"/>
    <x v="15"/>
    <s v="SE2A"/>
    <x v="7"/>
    <x v="6"/>
    <s v="GHYRR_WATER"/>
    <x v="0"/>
    <x v="9"/>
    <n v="1289.48912167607"/>
    <n v="78443.921568627396"/>
    <n v="282398.11764705903"/>
  </r>
  <r>
    <x v="0"/>
    <x v="0"/>
    <x v="0"/>
    <x v="9"/>
    <x v="15"/>
    <s v="SE2A"/>
    <x v="7"/>
    <x v="6"/>
    <s v="GHYRR_WATER"/>
    <x v="0"/>
    <x v="10"/>
    <n v="1289.48912167607"/>
    <n v="78443.921568627396"/>
    <n v="282398.11764705903"/>
  </r>
  <r>
    <x v="0"/>
    <x v="0"/>
    <x v="0"/>
    <x v="9"/>
    <x v="15"/>
    <s v="SE2A"/>
    <x v="7"/>
    <x v="6"/>
    <s v="GHYRR_WATER"/>
    <x v="0"/>
    <x v="11"/>
    <n v="1289.48912167607"/>
    <n v="78443.921568627396"/>
    <n v="282398.11764705903"/>
  </r>
  <r>
    <x v="0"/>
    <x v="0"/>
    <x v="0"/>
    <x v="9"/>
    <x v="15"/>
    <s v="SE2A"/>
    <x v="7"/>
    <x v="6"/>
    <s v="GHYRR_WATER"/>
    <x v="1"/>
    <x v="0"/>
    <n v="1092.8463811235799"/>
    <n v="66481.488185017603"/>
    <n v="239333.357466063"/>
  </r>
  <r>
    <x v="0"/>
    <x v="0"/>
    <x v="0"/>
    <x v="9"/>
    <x v="15"/>
    <s v="SE2A"/>
    <x v="7"/>
    <x v="6"/>
    <s v="GHYRR_WATER"/>
    <x v="1"/>
    <x v="1"/>
    <n v="1092.8463811235799"/>
    <n v="66481.488185017603"/>
    <n v="239333.357466063"/>
  </r>
  <r>
    <x v="0"/>
    <x v="0"/>
    <x v="0"/>
    <x v="9"/>
    <x v="15"/>
    <s v="SE2A"/>
    <x v="7"/>
    <x v="6"/>
    <s v="GHYRR_WATER"/>
    <x v="1"/>
    <x v="2"/>
    <n v="1092.8463811235799"/>
    <n v="66481.488185017603"/>
    <n v="239333.357466063"/>
  </r>
  <r>
    <x v="0"/>
    <x v="0"/>
    <x v="0"/>
    <x v="9"/>
    <x v="15"/>
    <s v="SE2A"/>
    <x v="7"/>
    <x v="6"/>
    <s v="GHYRR_WATER"/>
    <x v="1"/>
    <x v="3"/>
    <n v="1092.8463811235799"/>
    <n v="66481.488185017603"/>
    <n v="239333.357466063"/>
  </r>
  <r>
    <x v="0"/>
    <x v="0"/>
    <x v="0"/>
    <x v="9"/>
    <x v="15"/>
    <s v="SE2A"/>
    <x v="7"/>
    <x v="6"/>
    <s v="GHYRR_WATER"/>
    <x v="1"/>
    <x v="4"/>
    <n v="1092.8463811235799"/>
    <n v="66481.488185017603"/>
    <n v="239333.357466063"/>
  </r>
  <r>
    <x v="0"/>
    <x v="0"/>
    <x v="0"/>
    <x v="9"/>
    <x v="15"/>
    <s v="SE2A"/>
    <x v="7"/>
    <x v="6"/>
    <s v="GHYRR_WATER"/>
    <x v="1"/>
    <x v="5"/>
    <n v="1092.8463811235799"/>
    <n v="66481.488185017603"/>
    <n v="239333.357466063"/>
  </r>
  <r>
    <x v="0"/>
    <x v="0"/>
    <x v="0"/>
    <x v="9"/>
    <x v="15"/>
    <s v="SE2A"/>
    <x v="7"/>
    <x v="6"/>
    <s v="GHYRR_WATER"/>
    <x v="1"/>
    <x v="6"/>
    <n v="1092.8463811235799"/>
    <n v="66481.488185017603"/>
    <n v="239333.357466063"/>
  </r>
  <r>
    <x v="0"/>
    <x v="0"/>
    <x v="0"/>
    <x v="9"/>
    <x v="15"/>
    <s v="SE2A"/>
    <x v="7"/>
    <x v="6"/>
    <s v="GHYRR_WATER"/>
    <x v="1"/>
    <x v="7"/>
    <n v="1092.8463811235799"/>
    <n v="66481.488185017603"/>
    <n v="239333.357466063"/>
  </r>
  <r>
    <x v="0"/>
    <x v="0"/>
    <x v="0"/>
    <x v="9"/>
    <x v="15"/>
    <s v="SE2A"/>
    <x v="7"/>
    <x v="6"/>
    <s v="GHYRR_WATER"/>
    <x v="1"/>
    <x v="8"/>
    <n v="1092.8463811235799"/>
    <n v="66481.488185017603"/>
    <n v="239333.357466063"/>
  </r>
  <r>
    <x v="0"/>
    <x v="0"/>
    <x v="0"/>
    <x v="9"/>
    <x v="15"/>
    <s v="SE2A"/>
    <x v="7"/>
    <x v="6"/>
    <s v="GHYRR_WATER"/>
    <x v="1"/>
    <x v="9"/>
    <n v="1092.8463811235799"/>
    <n v="66481.488185017603"/>
    <n v="239333.357466063"/>
  </r>
  <r>
    <x v="0"/>
    <x v="0"/>
    <x v="0"/>
    <x v="9"/>
    <x v="15"/>
    <s v="SE2A"/>
    <x v="7"/>
    <x v="6"/>
    <s v="GHYRR_WATER"/>
    <x v="1"/>
    <x v="10"/>
    <n v="1092.8463811235799"/>
    <n v="66481.488185017603"/>
    <n v="239333.357466063"/>
  </r>
  <r>
    <x v="0"/>
    <x v="0"/>
    <x v="0"/>
    <x v="9"/>
    <x v="15"/>
    <s v="SE2A"/>
    <x v="7"/>
    <x v="6"/>
    <s v="GHYRR_WATER"/>
    <x v="1"/>
    <x v="11"/>
    <n v="1092.8463811235799"/>
    <n v="66481.488185017603"/>
    <n v="239333.357466063"/>
  </r>
  <r>
    <x v="0"/>
    <x v="0"/>
    <x v="0"/>
    <x v="9"/>
    <x v="15"/>
    <s v="SE2A"/>
    <x v="7"/>
    <x v="6"/>
    <s v="GHYRR_WATER"/>
    <x v="2"/>
    <x v="0"/>
    <n v="1066.7433624661701"/>
    <n v="64893.554550025103"/>
    <n v="233616.79638009"/>
  </r>
  <r>
    <x v="0"/>
    <x v="0"/>
    <x v="0"/>
    <x v="9"/>
    <x v="15"/>
    <s v="SE2A"/>
    <x v="7"/>
    <x v="6"/>
    <s v="GHYRR_WATER"/>
    <x v="2"/>
    <x v="1"/>
    <n v="1066.7433624661701"/>
    <n v="64893.554550025103"/>
    <n v="233616.79638009"/>
  </r>
  <r>
    <x v="0"/>
    <x v="0"/>
    <x v="0"/>
    <x v="9"/>
    <x v="15"/>
    <s v="SE2A"/>
    <x v="7"/>
    <x v="6"/>
    <s v="GHYRR_WATER"/>
    <x v="2"/>
    <x v="2"/>
    <n v="1066.7433624661701"/>
    <n v="64893.554550025103"/>
    <n v="233616.79638009"/>
  </r>
  <r>
    <x v="0"/>
    <x v="0"/>
    <x v="0"/>
    <x v="9"/>
    <x v="15"/>
    <s v="SE2A"/>
    <x v="7"/>
    <x v="6"/>
    <s v="GHYRR_WATER"/>
    <x v="2"/>
    <x v="3"/>
    <n v="1066.7433624661701"/>
    <n v="64893.554550025103"/>
    <n v="233616.79638009"/>
  </r>
  <r>
    <x v="0"/>
    <x v="0"/>
    <x v="0"/>
    <x v="9"/>
    <x v="15"/>
    <s v="SE2A"/>
    <x v="7"/>
    <x v="6"/>
    <s v="GHYRR_WATER"/>
    <x v="2"/>
    <x v="4"/>
    <n v="1066.7433624661701"/>
    <n v="64893.554550025103"/>
    <n v="233616.79638009"/>
  </r>
  <r>
    <x v="0"/>
    <x v="0"/>
    <x v="0"/>
    <x v="9"/>
    <x v="15"/>
    <s v="SE2A"/>
    <x v="7"/>
    <x v="6"/>
    <s v="GHYRR_WATER"/>
    <x v="2"/>
    <x v="5"/>
    <n v="1066.7433624661701"/>
    <n v="64893.554550025103"/>
    <n v="233616.79638009"/>
  </r>
  <r>
    <x v="0"/>
    <x v="0"/>
    <x v="0"/>
    <x v="9"/>
    <x v="15"/>
    <s v="SE2A"/>
    <x v="7"/>
    <x v="6"/>
    <s v="GHYRR_WATER"/>
    <x v="2"/>
    <x v="6"/>
    <n v="1066.7433624661701"/>
    <n v="64893.554550025103"/>
    <n v="233616.79638009"/>
  </r>
  <r>
    <x v="0"/>
    <x v="0"/>
    <x v="0"/>
    <x v="9"/>
    <x v="15"/>
    <s v="SE2A"/>
    <x v="7"/>
    <x v="6"/>
    <s v="GHYRR_WATER"/>
    <x v="2"/>
    <x v="7"/>
    <n v="1066.7433624661701"/>
    <n v="64893.554550025103"/>
    <n v="233616.79638009"/>
  </r>
  <r>
    <x v="0"/>
    <x v="0"/>
    <x v="0"/>
    <x v="9"/>
    <x v="15"/>
    <s v="SE2A"/>
    <x v="7"/>
    <x v="6"/>
    <s v="GHYRR_WATER"/>
    <x v="2"/>
    <x v="8"/>
    <n v="1066.7433624661701"/>
    <n v="64893.554550025103"/>
    <n v="233616.79638009"/>
  </r>
  <r>
    <x v="0"/>
    <x v="0"/>
    <x v="0"/>
    <x v="9"/>
    <x v="15"/>
    <s v="SE2A"/>
    <x v="7"/>
    <x v="6"/>
    <s v="GHYRR_WATER"/>
    <x v="2"/>
    <x v="9"/>
    <n v="1066.7433624661701"/>
    <n v="64893.554550025103"/>
    <n v="233616.79638009"/>
  </r>
  <r>
    <x v="0"/>
    <x v="0"/>
    <x v="0"/>
    <x v="9"/>
    <x v="15"/>
    <s v="SE2A"/>
    <x v="7"/>
    <x v="6"/>
    <s v="GHYRR_WATER"/>
    <x v="2"/>
    <x v="10"/>
    <n v="1066.7433624661701"/>
    <n v="64893.554550025103"/>
    <n v="233616.79638009"/>
  </r>
  <r>
    <x v="0"/>
    <x v="0"/>
    <x v="0"/>
    <x v="9"/>
    <x v="15"/>
    <s v="SE2A"/>
    <x v="7"/>
    <x v="6"/>
    <s v="GHYRR_WATER"/>
    <x v="2"/>
    <x v="11"/>
    <n v="1066.7433624661701"/>
    <n v="64893.554550025103"/>
    <n v="233616.79638009"/>
  </r>
  <r>
    <x v="0"/>
    <x v="0"/>
    <x v="0"/>
    <x v="9"/>
    <x v="15"/>
    <s v="SE2A"/>
    <x v="7"/>
    <x v="6"/>
    <s v="GHYRR_WATER"/>
    <x v="3"/>
    <x v="0"/>
    <n v="790.05136469761806"/>
    <n v="48061.458019105099"/>
    <n v="173021.248868778"/>
  </r>
  <r>
    <x v="0"/>
    <x v="0"/>
    <x v="0"/>
    <x v="9"/>
    <x v="15"/>
    <s v="SE2A"/>
    <x v="7"/>
    <x v="6"/>
    <s v="GHYRR_WATER"/>
    <x v="3"/>
    <x v="1"/>
    <n v="790.05136469761806"/>
    <n v="48061.458019105099"/>
    <n v="173021.248868778"/>
  </r>
  <r>
    <x v="0"/>
    <x v="0"/>
    <x v="0"/>
    <x v="9"/>
    <x v="15"/>
    <s v="SE2A"/>
    <x v="7"/>
    <x v="6"/>
    <s v="GHYRR_WATER"/>
    <x v="3"/>
    <x v="2"/>
    <n v="790.05136469761806"/>
    <n v="48061.458019105099"/>
    <n v="173021.248868778"/>
  </r>
  <r>
    <x v="0"/>
    <x v="0"/>
    <x v="0"/>
    <x v="9"/>
    <x v="15"/>
    <s v="SE2A"/>
    <x v="7"/>
    <x v="6"/>
    <s v="GHYRR_WATER"/>
    <x v="3"/>
    <x v="3"/>
    <n v="790.05136469761806"/>
    <n v="48061.458019105099"/>
    <n v="173021.248868778"/>
  </r>
  <r>
    <x v="0"/>
    <x v="0"/>
    <x v="0"/>
    <x v="9"/>
    <x v="15"/>
    <s v="SE2A"/>
    <x v="7"/>
    <x v="6"/>
    <s v="GHYRR_WATER"/>
    <x v="3"/>
    <x v="4"/>
    <n v="790.05136469761806"/>
    <n v="48061.458019105099"/>
    <n v="173021.248868778"/>
  </r>
  <r>
    <x v="0"/>
    <x v="0"/>
    <x v="0"/>
    <x v="9"/>
    <x v="15"/>
    <s v="SE2A"/>
    <x v="7"/>
    <x v="6"/>
    <s v="GHYRR_WATER"/>
    <x v="3"/>
    <x v="5"/>
    <n v="790.05136469761806"/>
    <n v="48061.458019105099"/>
    <n v="173021.248868778"/>
  </r>
  <r>
    <x v="0"/>
    <x v="0"/>
    <x v="0"/>
    <x v="9"/>
    <x v="15"/>
    <s v="SE2A"/>
    <x v="7"/>
    <x v="6"/>
    <s v="GHYRR_WATER"/>
    <x v="3"/>
    <x v="6"/>
    <n v="790.05136469761806"/>
    <n v="48061.458019105099"/>
    <n v="173021.248868778"/>
  </r>
  <r>
    <x v="0"/>
    <x v="0"/>
    <x v="0"/>
    <x v="9"/>
    <x v="15"/>
    <s v="SE2A"/>
    <x v="7"/>
    <x v="6"/>
    <s v="GHYRR_WATER"/>
    <x v="3"/>
    <x v="7"/>
    <n v="790.05136469761806"/>
    <n v="48061.458019105099"/>
    <n v="173021.248868778"/>
  </r>
  <r>
    <x v="0"/>
    <x v="0"/>
    <x v="0"/>
    <x v="9"/>
    <x v="15"/>
    <s v="SE2A"/>
    <x v="7"/>
    <x v="6"/>
    <s v="GHYRR_WATER"/>
    <x v="3"/>
    <x v="8"/>
    <n v="790.05136469761806"/>
    <n v="48061.458019105099"/>
    <n v="173021.248868778"/>
  </r>
  <r>
    <x v="0"/>
    <x v="0"/>
    <x v="0"/>
    <x v="9"/>
    <x v="15"/>
    <s v="SE2A"/>
    <x v="7"/>
    <x v="6"/>
    <s v="GHYRR_WATER"/>
    <x v="3"/>
    <x v="9"/>
    <n v="790.05136469761806"/>
    <n v="48061.458019105099"/>
    <n v="173021.248868778"/>
  </r>
  <r>
    <x v="0"/>
    <x v="0"/>
    <x v="0"/>
    <x v="9"/>
    <x v="15"/>
    <s v="SE2A"/>
    <x v="7"/>
    <x v="6"/>
    <s v="GHYRR_WATER"/>
    <x v="3"/>
    <x v="10"/>
    <n v="790.05136469761806"/>
    <n v="48061.458019105099"/>
    <n v="173021.248868778"/>
  </r>
  <r>
    <x v="0"/>
    <x v="0"/>
    <x v="0"/>
    <x v="9"/>
    <x v="15"/>
    <s v="SE2A"/>
    <x v="7"/>
    <x v="6"/>
    <s v="GHYRR_WATER"/>
    <x v="3"/>
    <x v="11"/>
    <n v="790.05136469761806"/>
    <n v="48061.458019105099"/>
    <n v="173021.248868778"/>
  </r>
  <r>
    <x v="0"/>
    <x v="0"/>
    <x v="0"/>
    <x v="9"/>
    <x v="15"/>
    <s v="SE2A"/>
    <x v="7"/>
    <x v="6"/>
    <s v="GHYRR_WATER"/>
    <x v="4"/>
    <x v="0"/>
    <n v="600.36942912043605"/>
    <n v="36522.473604826497"/>
    <n v="131480.90497737599"/>
  </r>
  <r>
    <x v="0"/>
    <x v="0"/>
    <x v="0"/>
    <x v="9"/>
    <x v="15"/>
    <s v="SE2A"/>
    <x v="7"/>
    <x v="6"/>
    <s v="GHYRR_WATER"/>
    <x v="4"/>
    <x v="1"/>
    <n v="600.36942912043605"/>
    <n v="36522.473604826497"/>
    <n v="131480.90497737599"/>
  </r>
  <r>
    <x v="0"/>
    <x v="0"/>
    <x v="0"/>
    <x v="9"/>
    <x v="15"/>
    <s v="SE2A"/>
    <x v="7"/>
    <x v="6"/>
    <s v="GHYRR_WATER"/>
    <x v="4"/>
    <x v="2"/>
    <n v="600.36942912043605"/>
    <n v="36522.473604826497"/>
    <n v="131480.90497737599"/>
  </r>
  <r>
    <x v="0"/>
    <x v="0"/>
    <x v="0"/>
    <x v="9"/>
    <x v="15"/>
    <s v="SE2A"/>
    <x v="7"/>
    <x v="6"/>
    <s v="GHYRR_WATER"/>
    <x v="4"/>
    <x v="3"/>
    <n v="600.36942912043605"/>
    <n v="36522.473604826497"/>
    <n v="131480.90497737599"/>
  </r>
  <r>
    <x v="0"/>
    <x v="0"/>
    <x v="0"/>
    <x v="9"/>
    <x v="15"/>
    <s v="SE2A"/>
    <x v="7"/>
    <x v="6"/>
    <s v="GHYRR_WATER"/>
    <x v="4"/>
    <x v="4"/>
    <n v="600.36942912043605"/>
    <n v="36522.473604826497"/>
    <n v="131480.90497737599"/>
  </r>
  <r>
    <x v="0"/>
    <x v="0"/>
    <x v="0"/>
    <x v="9"/>
    <x v="15"/>
    <s v="SE2A"/>
    <x v="7"/>
    <x v="6"/>
    <s v="GHYRR_WATER"/>
    <x v="4"/>
    <x v="5"/>
    <n v="600.36942912043605"/>
    <n v="36522.473604826497"/>
    <n v="131480.90497737599"/>
  </r>
  <r>
    <x v="0"/>
    <x v="0"/>
    <x v="0"/>
    <x v="9"/>
    <x v="15"/>
    <s v="SE2A"/>
    <x v="7"/>
    <x v="6"/>
    <s v="GHYRR_WATER"/>
    <x v="4"/>
    <x v="6"/>
    <n v="600.36942912043605"/>
    <n v="36522.473604826497"/>
    <n v="131480.90497737599"/>
  </r>
  <r>
    <x v="0"/>
    <x v="0"/>
    <x v="0"/>
    <x v="9"/>
    <x v="15"/>
    <s v="SE2A"/>
    <x v="7"/>
    <x v="6"/>
    <s v="GHYRR_WATER"/>
    <x v="4"/>
    <x v="7"/>
    <n v="600.36942912043605"/>
    <n v="36522.473604826497"/>
    <n v="131480.90497737599"/>
  </r>
  <r>
    <x v="0"/>
    <x v="0"/>
    <x v="0"/>
    <x v="9"/>
    <x v="15"/>
    <s v="SE2A"/>
    <x v="7"/>
    <x v="6"/>
    <s v="GHYRR_WATER"/>
    <x v="4"/>
    <x v="8"/>
    <n v="600.36942912043605"/>
    <n v="36522.473604826497"/>
    <n v="131480.90497737599"/>
  </r>
  <r>
    <x v="0"/>
    <x v="0"/>
    <x v="0"/>
    <x v="9"/>
    <x v="15"/>
    <s v="SE2A"/>
    <x v="7"/>
    <x v="6"/>
    <s v="GHYRR_WATER"/>
    <x v="4"/>
    <x v="9"/>
    <n v="600.36942912043605"/>
    <n v="36522.473604826497"/>
    <n v="131480.90497737599"/>
  </r>
  <r>
    <x v="0"/>
    <x v="0"/>
    <x v="0"/>
    <x v="9"/>
    <x v="15"/>
    <s v="SE2A"/>
    <x v="7"/>
    <x v="6"/>
    <s v="GHYRR_WATER"/>
    <x v="4"/>
    <x v="10"/>
    <n v="600.36942912043605"/>
    <n v="36522.473604826497"/>
    <n v="131480.90497737599"/>
  </r>
  <r>
    <x v="0"/>
    <x v="0"/>
    <x v="0"/>
    <x v="9"/>
    <x v="15"/>
    <s v="SE2A"/>
    <x v="7"/>
    <x v="6"/>
    <s v="GHYRR_WATER"/>
    <x v="4"/>
    <x v="11"/>
    <n v="600.36942912043605"/>
    <n v="36522.473604826497"/>
    <n v="131480.90497737599"/>
  </r>
  <r>
    <x v="0"/>
    <x v="0"/>
    <x v="0"/>
    <x v="9"/>
    <x v="15"/>
    <s v="SE2A"/>
    <x v="7"/>
    <x v="6"/>
    <s v="GHYRR_WATER"/>
    <x v="5"/>
    <x v="0"/>
    <n v="603.84983160809099"/>
    <n v="36734.198089492202"/>
    <n v="132243.11312217201"/>
  </r>
  <r>
    <x v="0"/>
    <x v="0"/>
    <x v="0"/>
    <x v="9"/>
    <x v="15"/>
    <s v="SE2A"/>
    <x v="7"/>
    <x v="6"/>
    <s v="GHYRR_WATER"/>
    <x v="5"/>
    <x v="1"/>
    <n v="603.84983160809099"/>
    <n v="36734.198089492202"/>
    <n v="132243.11312217201"/>
  </r>
  <r>
    <x v="0"/>
    <x v="0"/>
    <x v="0"/>
    <x v="9"/>
    <x v="15"/>
    <s v="SE2A"/>
    <x v="7"/>
    <x v="6"/>
    <s v="GHYRR_WATER"/>
    <x v="5"/>
    <x v="2"/>
    <n v="603.84983160809099"/>
    <n v="36734.198089492202"/>
    <n v="132243.11312217201"/>
  </r>
  <r>
    <x v="0"/>
    <x v="0"/>
    <x v="0"/>
    <x v="9"/>
    <x v="15"/>
    <s v="SE2A"/>
    <x v="7"/>
    <x v="6"/>
    <s v="GHYRR_WATER"/>
    <x v="5"/>
    <x v="3"/>
    <n v="603.84983160809099"/>
    <n v="36734.198089492202"/>
    <n v="132243.11312217201"/>
  </r>
  <r>
    <x v="0"/>
    <x v="0"/>
    <x v="0"/>
    <x v="9"/>
    <x v="15"/>
    <s v="SE2A"/>
    <x v="7"/>
    <x v="6"/>
    <s v="GHYRR_WATER"/>
    <x v="5"/>
    <x v="4"/>
    <n v="603.84983160809099"/>
    <n v="36734.198089492202"/>
    <n v="132243.11312217201"/>
  </r>
  <r>
    <x v="0"/>
    <x v="0"/>
    <x v="0"/>
    <x v="9"/>
    <x v="15"/>
    <s v="SE2A"/>
    <x v="7"/>
    <x v="6"/>
    <s v="GHYRR_WATER"/>
    <x v="5"/>
    <x v="5"/>
    <n v="603.84983160809099"/>
    <n v="36734.198089492202"/>
    <n v="132243.11312217201"/>
  </r>
  <r>
    <x v="0"/>
    <x v="0"/>
    <x v="0"/>
    <x v="9"/>
    <x v="15"/>
    <s v="SE2A"/>
    <x v="7"/>
    <x v="6"/>
    <s v="GHYRR_WATER"/>
    <x v="5"/>
    <x v="6"/>
    <n v="603.84983160809099"/>
    <n v="36734.198089492202"/>
    <n v="132243.11312217201"/>
  </r>
  <r>
    <x v="0"/>
    <x v="0"/>
    <x v="0"/>
    <x v="9"/>
    <x v="15"/>
    <s v="SE2A"/>
    <x v="7"/>
    <x v="6"/>
    <s v="GHYRR_WATER"/>
    <x v="5"/>
    <x v="7"/>
    <n v="603.84983160809099"/>
    <n v="36734.198089492202"/>
    <n v="132243.11312217201"/>
  </r>
  <r>
    <x v="0"/>
    <x v="0"/>
    <x v="0"/>
    <x v="9"/>
    <x v="15"/>
    <s v="SE2A"/>
    <x v="7"/>
    <x v="6"/>
    <s v="GHYRR_WATER"/>
    <x v="5"/>
    <x v="8"/>
    <n v="603.84983160809099"/>
    <n v="36734.198089492202"/>
    <n v="132243.11312217201"/>
  </r>
  <r>
    <x v="0"/>
    <x v="0"/>
    <x v="0"/>
    <x v="9"/>
    <x v="15"/>
    <s v="SE2A"/>
    <x v="7"/>
    <x v="6"/>
    <s v="GHYRR_WATER"/>
    <x v="5"/>
    <x v="9"/>
    <n v="603.84983160809099"/>
    <n v="36734.198089492202"/>
    <n v="132243.11312217201"/>
  </r>
  <r>
    <x v="0"/>
    <x v="0"/>
    <x v="0"/>
    <x v="9"/>
    <x v="15"/>
    <s v="SE2A"/>
    <x v="7"/>
    <x v="6"/>
    <s v="GHYRR_WATER"/>
    <x v="5"/>
    <x v="10"/>
    <n v="603.84983160809099"/>
    <n v="36734.198089492202"/>
    <n v="132243.11312217201"/>
  </r>
  <r>
    <x v="0"/>
    <x v="0"/>
    <x v="0"/>
    <x v="9"/>
    <x v="15"/>
    <s v="SE2A"/>
    <x v="7"/>
    <x v="6"/>
    <s v="GHYRR_WATER"/>
    <x v="5"/>
    <x v="11"/>
    <n v="603.84983160809099"/>
    <n v="36734.198089492202"/>
    <n v="132243.11312217201"/>
  </r>
  <r>
    <x v="0"/>
    <x v="0"/>
    <x v="0"/>
    <x v="9"/>
    <x v="15"/>
    <s v="SE2A"/>
    <x v="7"/>
    <x v="6"/>
    <s v="GHYRR_WATER"/>
    <x v="6"/>
    <x v="0"/>
    <n v="668.23727762970304"/>
    <n v="40651.101055806903"/>
    <n v="146343.96380090501"/>
  </r>
  <r>
    <x v="0"/>
    <x v="0"/>
    <x v="0"/>
    <x v="9"/>
    <x v="15"/>
    <s v="SE2A"/>
    <x v="7"/>
    <x v="6"/>
    <s v="GHYRR_WATER"/>
    <x v="6"/>
    <x v="1"/>
    <n v="668.23727762970304"/>
    <n v="40651.101055806903"/>
    <n v="146343.96380090501"/>
  </r>
  <r>
    <x v="0"/>
    <x v="0"/>
    <x v="0"/>
    <x v="9"/>
    <x v="15"/>
    <s v="SE2A"/>
    <x v="7"/>
    <x v="6"/>
    <s v="GHYRR_WATER"/>
    <x v="6"/>
    <x v="2"/>
    <n v="668.23727762970304"/>
    <n v="40651.101055806903"/>
    <n v="146343.96380090501"/>
  </r>
  <r>
    <x v="0"/>
    <x v="0"/>
    <x v="0"/>
    <x v="9"/>
    <x v="15"/>
    <s v="SE2A"/>
    <x v="7"/>
    <x v="6"/>
    <s v="GHYRR_WATER"/>
    <x v="6"/>
    <x v="3"/>
    <n v="668.23727762970304"/>
    <n v="40651.101055806903"/>
    <n v="146343.96380090501"/>
  </r>
  <r>
    <x v="0"/>
    <x v="0"/>
    <x v="0"/>
    <x v="9"/>
    <x v="15"/>
    <s v="SE2A"/>
    <x v="7"/>
    <x v="6"/>
    <s v="GHYRR_WATER"/>
    <x v="6"/>
    <x v="4"/>
    <n v="668.23727762970304"/>
    <n v="40651.101055806903"/>
    <n v="146343.96380090501"/>
  </r>
  <r>
    <x v="0"/>
    <x v="0"/>
    <x v="0"/>
    <x v="9"/>
    <x v="15"/>
    <s v="SE2A"/>
    <x v="7"/>
    <x v="6"/>
    <s v="GHYRR_WATER"/>
    <x v="6"/>
    <x v="5"/>
    <n v="668.23727762970304"/>
    <n v="40651.101055806903"/>
    <n v="146343.96380090501"/>
  </r>
  <r>
    <x v="0"/>
    <x v="0"/>
    <x v="0"/>
    <x v="9"/>
    <x v="15"/>
    <s v="SE2A"/>
    <x v="7"/>
    <x v="6"/>
    <s v="GHYRR_WATER"/>
    <x v="6"/>
    <x v="6"/>
    <n v="668.23727762970304"/>
    <n v="40651.101055806903"/>
    <n v="146343.96380090501"/>
  </r>
  <r>
    <x v="0"/>
    <x v="0"/>
    <x v="0"/>
    <x v="9"/>
    <x v="15"/>
    <s v="SE2A"/>
    <x v="7"/>
    <x v="6"/>
    <s v="GHYRR_WATER"/>
    <x v="6"/>
    <x v="7"/>
    <n v="668.23727762970304"/>
    <n v="40651.101055806903"/>
    <n v="146343.96380090501"/>
  </r>
  <r>
    <x v="0"/>
    <x v="0"/>
    <x v="0"/>
    <x v="9"/>
    <x v="15"/>
    <s v="SE2A"/>
    <x v="7"/>
    <x v="6"/>
    <s v="GHYRR_WATER"/>
    <x v="6"/>
    <x v="8"/>
    <n v="668.23727762970304"/>
    <n v="40651.101055806903"/>
    <n v="146343.96380090501"/>
  </r>
  <r>
    <x v="0"/>
    <x v="0"/>
    <x v="0"/>
    <x v="9"/>
    <x v="15"/>
    <s v="SE2A"/>
    <x v="7"/>
    <x v="6"/>
    <s v="GHYRR_WATER"/>
    <x v="6"/>
    <x v="9"/>
    <n v="668.23727762970304"/>
    <n v="40651.101055806903"/>
    <n v="146343.96380090501"/>
  </r>
  <r>
    <x v="0"/>
    <x v="0"/>
    <x v="0"/>
    <x v="9"/>
    <x v="15"/>
    <s v="SE2A"/>
    <x v="7"/>
    <x v="6"/>
    <s v="GHYRR_WATER"/>
    <x v="6"/>
    <x v="10"/>
    <n v="668.23727762970304"/>
    <n v="40651.101055806903"/>
    <n v="146343.96380090501"/>
  </r>
  <r>
    <x v="0"/>
    <x v="0"/>
    <x v="0"/>
    <x v="9"/>
    <x v="15"/>
    <s v="SE2A"/>
    <x v="7"/>
    <x v="6"/>
    <s v="GHYRR_WATER"/>
    <x v="6"/>
    <x v="11"/>
    <n v="668.23727762970304"/>
    <n v="40651.101055806903"/>
    <n v="146343.96380090501"/>
  </r>
  <r>
    <x v="0"/>
    <x v="0"/>
    <x v="0"/>
    <x v="9"/>
    <x v="15"/>
    <s v="SE2A"/>
    <x v="7"/>
    <x v="6"/>
    <s v="GHYRR_WATER"/>
    <x v="7"/>
    <x v="0"/>
    <n v="687.37949131180403"/>
    <n v="41815.585721468102"/>
    <n v="150536.108597285"/>
  </r>
  <r>
    <x v="0"/>
    <x v="0"/>
    <x v="0"/>
    <x v="9"/>
    <x v="15"/>
    <s v="SE2A"/>
    <x v="7"/>
    <x v="6"/>
    <s v="GHYRR_WATER"/>
    <x v="7"/>
    <x v="1"/>
    <n v="687.37949131180403"/>
    <n v="41815.585721468102"/>
    <n v="150536.108597285"/>
  </r>
  <r>
    <x v="0"/>
    <x v="0"/>
    <x v="0"/>
    <x v="9"/>
    <x v="15"/>
    <s v="SE2A"/>
    <x v="7"/>
    <x v="6"/>
    <s v="GHYRR_WATER"/>
    <x v="7"/>
    <x v="2"/>
    <n v="687.37949131180403"/>
    <n v="41815.585721468102"/>
    <n v="150536.108597285"/>
  </r>
  <r>
    <x v="0"/>
    <x v="0"/>
    <x v="0"/>
    <x v="9"/>
    <x v="15"/>
    <s v="SE2A"/>
    <x v="7"/>
    <x v="6"/>
    <s v="GHYRR_WATER"/>
    <x v="7"/>
    <x v="3"/>
    <n v="687.37949131180403"/>
    <n v="41815.585721468102"/>
    <n v="150536.108597285"/>
  </r>
  <r>
    <x v="0"/>
    <x v="0"/>
    <x v="0"/>
    <x v="9"/>
    <x v="15"/>
    <s v="SE2A"/>
    <x v="7"/>
    <x v="6"/>
    <s v="GHYRR_WATER"/>
    <x v="7"/>
    <x v="4"/>
    <n v="687.37949131180403"/>
    <n v="41815.585721468102"/>
    <n v="150536.108597285"/>
  </r>
  <r>
    <x v="0"/>
    <x v="0"/>
    <x v="0"/>
    <x v="9"/>
    <x v="15"/>
    <s v="SE2A"/>
    <x v="7"/>
    <x v="6"/>
    <s v="GHYRR_WATER"/>
    <x v="7"/>
    <x v="5"/>
    <n v="687.37949131180403"/>
    <n v="41815.585721468102"/>
    <n v="150536.108597285"/>
  </r>
  <r>
    <x v="0"/>
    <x v="0"/>
    <x v="0"/>
    <x v="9"/>
    <x v="15"/>
    <s v="SE2A"/>
    <x v="7"/>
    <x v="6"/>
    <s v="GHYRR_WATER"/>
    <x v="7"/>
    <x v="6"/>
    <n v="687.37949131180403"/>
    <n v="41815.585721468102"/>
    <n v="150536.108597285"/>
  </r>
  <r>
    <x v="0"/>
    <x v="0"/>
    <x v="0"/>
    <x v="9"/>
    <x v="15"/>
    <s v="SE2A"/>
    <x v="7"/>
    <x v="6"/>
    <s v="GHYRR_WATER"/>
    <x v="7"/>
    <x v="7"/>
    <n v="687.37949131180403"/>
    <n v="41815.585721468102"/>
    <n v="150536.108597285"/>
  </r>
  <r>
    <x v="0"/>
    <x v="0"/>
    <x v="0"/>
    <x v="9"/>
    <x v="15"/>
    <s v="SE2A"/>
    <x v="7"/>
    <x v="6"/>
    <s v="GHYRR_WATER"/>
    <x v="7"/>
    <x v="8"/>
    <n v="687.37949131180403"/>
    <n v="41815.585721468102"/>
    <n v="150536.108597285"/>
  </r>
  <r>
    <x v="0"/>
    <x v="0"/>
    <x v="0"/>
    <x v="9"/>
    <x v="15"/>
    <s v="SE2A"/>
    <x v="7"/>
    <x v="6"/>
    <s v="GHYRR_WATER"/>
    <x v="7"/>
    <x v="9"/>
    <n v="687.37949131180403"/>
    <n v="41815.585721468102"/>
    <n v="150536.108597285"/>
  </r>
  <r>
    <x v="0"/>
    <x v="0"/>
    <x v="0"/>
    <x v="9"/>
    <x v="15"/>
    <s v="SE2A"/>
    <x v="7"/>
    <x v="6"/>
    <s v="GHYRR_WATER"/>
    <x v="7"/>
    <x v="10"/>
    <n v="687.37949131180403"/>
    <n v="41815.585721468102"/>
    <n v="150536.108597285"/>
  </r>
  <r>
    <x v="0"/>
    <x v="0"/>
    <x v="0"/>
    <x v="9"/>
    <x v="15"/>
    <s v="SE2A"/>
    <x v="7"/>
    <x v="6"/>
    <s v="GHYRR_WATER"/>
    <x v="7"/>
    <x v="11"/>
    <n v="687.37949131180403"/>
    <n v="41815.585721468102"/>
    <n v="150536.108597285"/>
  </r>
  <r>
    <x v="0"/>
    <x v="0"/>
    <x v="0"/>
    <x v="9"/>
    <x v="15"/>
    <s v="SE2A"/>
    <x v="7"/>
    <x v="6"/>
    <s v="GHYRR_WATER"/>
    <x v="8"/>
    <x v="0"/>
    <n v="776.12975474699897"/>
    <n v="47214.560080442403"/>
    <n v="169972.41628959301"/>
  </r>
  <r>
    <x v="0"/>
    <x v="0"/>
    <x v="0"/>
    <x v="9"/>
    <x v="15"/>
    <s v="SE2A"/>
    <x v="7"/>
    <x v="6"/>
    <s v="GHYRR_WATER"/>
    <x v="8"/>
    <x v="1"/>
    <n v="776.12975474699897"/>
    <n v="47214.560080442403"/>
    <n v="169972.41628959301"/>
  </r>
  <r>
    <x v="0"/>
    <x v="0"/>
    <x v="0"/>
    <x v="9"/>
    <x v="15"/>
    <s v="SE2A"/>
    <x v="7"/>
    <x v="6"/>
    <s v="GHYRR_WATER"/>
    <x v="8"/>
    <x v="2"/>
    <n v="776.12975474699897"/>
    <n v="47214.560080442403"/>
    <n v="169972.41628959301"/>
  </r>
  <r>
    <x v="0"/>
    <x v="0"/>
    <x v="0"/>
    <x v="9"/>
    <x v="15"/>
    <s v="SE2A"/>
    <x v="7"/>
    <x v="6"/>
    <s v="GHYRR_WATER"/>
    <x v="8"/>
    <x v="3"/>
    <n v="776.12975474699897"/>
    <n v="47214.560080442403"/>
    <n v="169972.41628959301"/>
  </r>
  <r>
    <x v="0"/>
    <x v="0"/>
    <x v="0"/>
    <x v="9"/>
    <x v="15"/>
    <s v="SE2A"/>
    <x v="7"/>
    <x v="6"/>
    <s v="GHYRR_WATER"/>
    <x v="8"/>
    <x v="4"/>
    <n v="776.12975474699897"/>
    <n v="47214.560080442403"/>
    <n v="169972.41628959301"/>
  </r>
  <r>
    <x v="0"/>
    <x v="0"/>
    <x v="0"/>
    <x v="9"/>
    <x v="15"/>
    <s v="SE2A"/>
    <x v="7"/>
    <x v="6"/>
    <s v="GHYRR_WATER"/>
    <x v="8"/>
    <x v="5"/>
    <n v="776.12975474699897"/>
    <n v="47214.560080442403"/>
    <n v="169972.41628959301"/>
  </r>
  <r>
    <x v="0"/>
    <x v="0"/>
    <x v="0"/>
    <x v="9"/>
    <x v="15"/>
    <s v="SE2A"/>
    <x v="7"/>
    <x v="6"/>
    <s v="GHYRR_WATER"/>
    <x v="8"/>
    <x v="6"/>
    <n v="776.12975474699897"/>
    <n v="47214.560080442403"/>
    <n v="169972.41628959301"/>
  </r>
  <r>
    <x v="0"/>
    <x v="0"/>
    <x v="0"/>
    <x v="9"/>
    <x v="15"/>
    <s v="SE2A"/>
    <x v="7"/>
    <x v="6"/>
    <s v="GHYRR_WATER"/>
    <x v="8"/>
    <x v="7"/>
    <n v="776.12975474699897"/>
    <n v="47214.560080442403"/>
    <n v="169972.41628959301"/>
  </r>
  <r>
    <x v="0"/>
    <x v="0"/>
    <x v="0"/>
    <x v="9"/>
    <x v="15"/>
    <s v="SE2A"/>
    <x v="7"/>
    <x v="6"/>
    <s v="GHYRR_WATER"/>
    <x v="8"/>
    <x v="8"/>
    <n v="776.12975474699897"/>
    <n v="47214.560080442403"/>
    <n v="169972.41628959301"/>
  </r>
  <r>
    <x v="0"/>
    <x v="0"/>
    <x v="0"/>
    <x v="9"/>
    <x v="15"/>
    <s v="SE2A"/>
    <x v="7"/>
    <x v="6"/>
    <s v="GHYRR_WATER"/>
    <x v="8"/>
    <x v="9"/>
    <n v="776.12975474699897"/>
    <n v="47214.560080442403"/>
    <n v="169972.41628959301"/>
  </r>
  <r>
    <x v="0"/>
    <x v="0"/>
    <x v="0"/>
    <x v="9"/>
    <x v="15"/>
    <s v="SE2A"/>
    <x v="7"/>
    <x v="6"/>
    <s v="GHYRR_WATER"/>
    <x v="8"/>
    <x v="10"/>
    <n v="776.12975474699897"/>
    <n v="47214.560080442403"/>
    <n v="169972.41628959301"/>
  </r>
  <r>
    <x v="0"/>
    <x v="0"/>
    <x v="0"/>
    <x v="9"/>
    <x v="15"/>
    <s v="SE2A"/>
    <x v="7"/>
    <x v="6"/>
    <s v="GHYRR_WATER"/>
    <x v="8"/>
    <x v="11"/>
    <n v="776.12975474699897"/>
    <n v="47214.560080442403"/>
    <n v="169972.41628959301"/>
  </r>
  <r>
    <x v="0"/>
    <x v="0"/>
    <x v="0"/>
    <x v="9"/>
    <x v="15"/>
    <s v="SE2A"/>
    <x v="7"/>
    <x v="6"/>
    <s v="GHYRR_WATER"/>
    <x v="9"/>
    <x v="0"/>
    <n v="722.18351618835095"/>
    <n v="43932.8305681247"/>
    <n v="158158.19004524901"/>
  </r>
  <r>
    <x v="0"/>
    <x v="0"/>
    <x v="0"/>
    <x v="9"/>
    <x v="15"/>
    <s v="SE2A"/>
    <x v="7"/>
    <x v="6"/>
    <s v="GHYRR_WATER"/>
    <x v="9"/>
    <x v="1"/>
    <n v="722.18351618835095"/>
    <n v="43932.8305681247"/>
    <n v="158158.19004524901"/>
  </r>
  <r>
    <x v="0"/>
    <x v="0"/>
    <x v="0"/>
    <x v="9"/>
    <x v="15"/>
    <s v="SE2A"/>
    <x v="7"/>
    <x v="6"/>
    <s v="GHYRR_WATER"/>
    <x v="9"/>
    <x v="2"/>
    <n v="722.18351618835095"/>
    <n v="43932.8305681247"/>
    <n v="158158.19004524901"/>
  </r>
  <r>
    <x v="0"/>
    <x v="0"/>
    <x v="0"/>
    <x v="9"/>
    <x v="15"/>
    <s v="SE2A"/>
    <x v="7"/>
    <x v="6"/>
    <s v="GHYRR_WATER"/>
    <x v="9"/>
    <x v="3"/>
    <n v="722.18351618835095"/>
    <n v="43932.8305681247"/>
    <n v="158158.19004524901"/>
  </r>
  <r>
    <x v="0"/>
    <x v="0"/>
    <x v="0"/>
    <x v="9"/>
    <x v="15"/>
    <s v="SE2A"/>
    <x v="7"/>
    <x v="6"/>
    <s v="GHYRR_WATER"/>
    <x v="9"/>
    <x v="4"/>
    <n v="722.18351618835095"/>
    <n v="43932.8305681247"/>
    <n v="158158.19004524901"/>
  </r>
  <r>
    <x v="0"/>
    <x v="0"/>
    <x v="0"/>
    <x v="9"/>
    <x v="15"/>
    <s v="SE2A"/>
    <x v="7"/>
    <x v="6"/>
    <s v="GHYRR_WATER"/>
    <x v="9"/>
    <x v="5"/>
    <n v="722.18351618835095"/>
    <n v="43932.8305681247"/>
    <n v="158158.19004524901"/>
  </r>
  <r>
    <x v="0"/>
    <x v="0"/>
    <x v="0"/>
    <x v="9"/>
    <x v="15"/>
    <s v="SE2A"/>
    <x v="7"/>
    <x v="6"/>
    <s v="GHYRR_WATER"/>
    <x v="9"/>
    <x v="6"/>
    <n v="722.18351618835095"/>
    <n v="43932.8305681247"/>
    <n v="158158.19004524901"/>
  </r>
  <r>
    <x v="0"/>
    <x v="0"/>
    <x v="0"/>
    <x v="9"/>
    <x v="15"/>
    <s v="SE2A"/>
    <x v="7"/>
    <x v="6"/>
    <s v="GHYRR_WATER"/>
    <x v="9"/>
    <x v="7"/>
    <n v="722.18351618835095"/>
    <n v="43932.8305681247"/>
    <n v="158158.19004524901"/>
  </r>
  <r>
    <x v="0"/>
    <x v="0"/>
    <x v="0"/>
    <x v="9"/>
    <x v="15"/>
    <s v="SE2A"/>
    <x v="7"/>
    <x v="6"/>
    <s v="GHYRR_WATER"/>
    <x v="9"/>
    <x v="8"/>
    <n v="722.18351618835095"/>
    <n v="43932.8305681247"/>
    <n v="158158.19004524901"/>
  </r>
  <r>
    <x v="0"/>
    <x v="0"/>
    <x v="0"/>
    <x v="9"/>
    <x v="15"/>
    <s v="SE2A"/>
    <x v="7"/>
    <x v="6"/>
    <s v="GHYRR_WATER"/>
    <x v="9"/>
    <x v="9"/>
    <n v="722.18351618835095"/>
    <n v="43932.8305681247"/>
    <n v="158158.19004524901"/>
  </r>
  <r>
    <x v="0"/>
    <x v="0"/>
    <x v="0"/>
    <x v="9"/>
    <x v="15"/>
    <s v="SE2A"/>
    <x v="7"/>
    <x v="6"/>
    <s v="GHYRR_WATER"/>
    <x v="9"/>
    <x v="10"/>
    <n v="722.18351618835095"/>
    <n v="43932.8305681247"/>
    <n v="158158.19004524901"/>
  </r>
  <r>
    <x v="0"/>
    <x v="0"/>
    <x v="0"/>
    <x v="9"/>
    <x v="15"/>
    <s v="SE2A"/>
    <x v="7"/>
    <x v="6"/>
    <s v="GHYRR_WATER"/>
    <x v="9"/>
    <x v="11"/>
    <n v="722.18351618835095"/>
    <n v="43932.8305681247"/>
    <n v="158158.19004524901"/>
  </r>
  <r>
    <x v="0"/>
    <x v="0"/>
    <x v="0"/>
    <x v="9"/>
    <x v="15"/>
    <s v="SE2A"/>
    <x v="7"/>
    <x v="6"/>
    <s v="GHYRR_WATER"/>
    <x v="10"/>
    <x v="0"/>
    <n v="870.10062191367604"/>
    <n v="52931.121166415302"/>
    <n v="190552.03619909499"/>
  </r>
  <r>
    <x v="0"/>
    <x v="0"/>
    <x v="0"/>
    <x v="9"/>
    <x v="15"/>
    <s v="SE2A"/>
    <x v="7"/>
    <x v="6"/>
    <s v="GHYRR_WATER"/>
    <x v="10"/>
    <x v="1"/>
    <n v="870.10062191367604"/>
    <n v="52931.121166415302"/>
    <n v="190552.03619909499"/>
  </r>
  <r>
    <x v="0"/>
    <x v="0"/>
    <x v="0"/>
    <x v="9"/>
    <x v="15"/>
    <s v="SE2A"/>
    <x v="7"/>
    <x v="6"/>
    <s v="GHYRR_WATER"/>
    <x v="10"/>
    <x v="2"/>
    <n v="870.10062191367604"/>
    <n v="52931.121166415302"/>
    <n v="190552.03619909499"/>
  </r>
  <r>
    <x v="0"/>
    <x v="0"/>
    <x v="0"/>
    <x v="9"/>
    <x v="15"/>
    <s v="SE2A"/>
    <x v="7"/>
    <x v="6"/>
    <s v="GHYRR_WATER"/>
    <x v="10"/>
    <x v="3"/>
    <n v="870.10062191367604"/>
    <n v="52931.121166415302"/>
    <n v="190552.03619909499"/>
  </r>
  <r>
    <x v="0"/>
    <x v="0"/>
    <x v="0"/>
    <x v="9"/>
    <x v="15"/>
    <s v="SE2A"/>
    <x v="7"/>
    <x v="6"/>
    <s v="GHYRR_WATER"/>
    <x v="10"/>
    <x v="4"/>
    <n v="870.10062191367604"/>
    <n v="52931.121166415302"/>
    <n v="190552.03619909499"/>
  </r>
  <r>
    <x v="0"/>
    <x v="0"/>
    <x v="0"/>
    <x v="9"/>
    <x v="15"/>
    <s v="SE2A"/>
    <x v="7"/>
    <x v="6"/>
    <s v="GHYRR_WATER"/>
    <x v="10"/>
    <x v="5"/>
    <n v="870.10062191367604"/>
    <n v="52931.121166415302"/>
    <n v="190552.03619909499"/>
  </r>
  <r>
    <x v="0"/>
    <x v="0"/>
    <x v="0"/>
    <x v="9"/>
    <x v="15"/>
    <s v="SE2A"/>
    <x v="7"/>
    <x v="6"/>
    <s v="GHYRR_WATER"/>
    <x v="10"/>
    <x v="6"/>
    <n v="870.10062191367604"/>
    <n v="52931.121166415302"/>
    <n v="190552.03619909499"/>
  </r>
  <r>
    <x v="0"/>
    <x v="0"/>
    <x v="0"/>
    <x v="9"/>
    <x v="15"/>
    <s v="SE2A"/>
    <x v="7"/>
    <x v="6"/>
    <s v="GHYRR_WATER"/>
    <x v="10"/>
    <x v="7"/>
    <n v="870.10062191367604"/>
    <n v="52931.121166415302"/>
    <n v="190552.03619909499"/>
  </r>
  <r>
    <x v="0"/>
    <x v="0"/>
    <x v="0"/>
    <x v="9"/>
    <x v="15"/>
    <s v="SE2A"/>
    <x v="7"/>
    <x v="6"/>
    <s v="GHYRR_WATER"/>
    <x v="10"/>
    <x v="8"/>
    <n v="870.10062191367604"/>
    <n v="52931.121166415302"/>
    <n v="190552.03619909499"/>
  </r>
  <r>
    <x v="0"/>
    <x v="0"/>
    <x v="0"/>
    <x v="9"/>
    <x v="15"/>
    <s v="SE2A"/>
    <x v="7"/>
    <x v="6"/>
    <s v="GHYRR_WATER"/>
    <x v="10"/>
    <x v="9"/>
    <n v="870.10062191367604"/>
    <n v="52931.121166415302"/>
    <n v="190552.03619909499"/>
  </r>
  <r>
    <x v="0"/>
    <x v="0"/>
    <x v="0"/>
    <x v="9"/>
    <x v="15"/>
    <s v="SE2A"/>
    <x v="7"/>
    <x v="6"/>
    <s v="GHYRR_WATER"/>
    <x v="10"/>
    <x v="10"/>
    <n v="870.10062191367604"/>
    <n v="52931.121166415302"/>
    <n v="190552.03619909499"/>
  </r>
  <r>
    <x v="0"/>
    <x v="0"/>
    <x v="0"/>
    <x v="9"/>
    <x v="15"/>
    <s v="SE2A"/>
    <x v="7"/>
    <x v="6"/>
    <s v="GHYRR_WATER"/>
    <x v="10"/>
    <x v="11"/>
    <n v="870.10062191367604"/>
    <n v="52931.121166415302"/>
    <n v="190552.03619909499"/>
  </r>
  <r>
    <x v="0"/>
    <x v="0"/>
    <x v="0"/>
    <x v="9"/>
    <x v="15"/>
    <s v="SE2A"/>
    <x v="7"/>
    <x v="6"/>
    <s v="GHYRR_WATER"/>
    <x v="11"/>
    <x v="0"/>
    <n v="1482.6514597409"/>
    <n v="90194.630467571595"/>
    <n v="324700.66968325799"/>
  </r>
  <r>
    <x v="0"/>
    <x v="0"/>
    <x v="0"/>
    <x v="9"/>
    <x v="15"/>
    <s v="SE2A"/>
    <x v="7"/>
    <x v="6"/>
    <s v="GHYRR_WATER"/>
    <x v="11"/>
    <x v="1"/>
    <n v="1482.6514597409"/>
    <n v="90194.630467571595"/>
    <n v="324700.66968325799"/>
  </r>
  <r>
    <x v="0"/>
    <x v="0"/>
    <x v="0"/>
    <x v="9"/>
    <x v="15"/>
    <s v="SE2A"/>
    <x v="7"/>
    <x v="6"/>
    <s v="GHYRR_WATER"/>
    <x v="11"/>
    <x v="2"/>
    <n v="1482.6514597409"/>
    <n v="90194.630467571595"/>
    <n v="324700.66968325799"/>
  </r>
  <r>
    <x v="0"/>
    <x v="0"/>
    <x v="0"/>
    <x v="9"/>
    <x v="15"/>
    <s v="SE2A"/>
    <x v="7"/>
    <x v="6"/>
    <s v="GHYRR_WATER"/>
    <x v="11"/>
    <x v="3"/>
    <n v="1482.6514597409"/>
    <n v="90194.630467571595"/>
    <n v="324700.66968325799"/>
  </r>
  <r>
    <x v="0"/>
    <x v="0"/>
    <x v="0"/>
    <x v="9"/>
    <x v="15"/>
    <s v="SE2A"/>
    <x v="7"/>
    <x v="6"/>
    <s v="GHYRR_WATER"/>
    <x v="11"/>
    <x v="4"/>
    <n v="1482.6514597409"/>
    <n v="90194.630467571595"/>
    <n v="324700.66968325799"/>
  </r>
  <r>
    <x v="0"/>
    <x v="0"/>
    <x v="0"/>
    <x v="9"/>
    <x v="15"/>
    <s v="SE2A"/>
    <x v="7"/>
    <x v="6"/>
    <s v="GHYRR_WATER"/>
    <x v="11"/>
    <x v="5"/>
    <n v="1482.6514597409"/>
    <n v="90194.630467571595"/>
    <n v="324700.66968325799"/>
  </r>
  <r>
    <x v="0"/>
    <x v="0"/>
    <x v="0"/>
    <x v="9"/>
    <x v="15"/>
    <s v="SE2A"/>
    <x v="7"/>
    <x v="6"/>
    <s v="GHYRR_WATER"/>
    <x v="11"/>
    <x v="6"/>
    <n v="1482.6514597409"/>
    <n v="90194.630467571595"/>
    <n v="324700.66968325799"/>
  </r>
  <r>
    <x v="0"/>
    <x v="0"/>
    <x v="0"/>
    <x v="9"/>
    <x v="15"/>
    <s v="SE2A"/>
    <x v="7"/>
    <x v="6"/>
    <s v="GHYRR_WATER"/>
    <x v="11"/>
    <x v="7"/>
    <n v="1482.6514597409"/>
    <n v="90194.630467571595"/>
    <n v="324700.66968325799"/>
  </r>
  <r>
    <x v="0"/>
    <x v="0"/>
    <x v="0"/>
    <x v="9"/>
    <x v="15"/>
    <s v="SE2A"/>
    <x v="7"/>
    <x v="6"/>
    <s v="GHYRR_WATER"/>
    <x v="11"/>
    <x v="8"/>
    <n v="1482.6514597409"/>
    <n v="90194.630467571595"/>
    <n v="324700.66968325799"/>
  </r>
  <r>
    <x v="0"/>
    <x v="0"/>
    <x v="0"/>
    <x v="9"/>
    <x v="15"/>
    <s v="SE2A"/>
    <x v="7"/>
    <x v="6"/>
    <s v="GHYRR_WATER"/>
    <x v="11"/>
    <x v="9"/>
    <n v="1482.6514597409"/>
    <n v="90194.630467571595"/>
    <n v="324700.66968325799"/>
  </r>
  <r>
    <x v="0"/>
    <x v="0"/>
    <x v="0"/>
    <x v="9"/>
    <x v="15"/>
    <s v="SE2A"/>
    <x v="7"/>
    <x v="6"/>
    <s v="GHYRR_WATER"/>
    <x v="11"/>
    <x v="10"/>
    <n v="1482.6514597409"/>
    <n v="90194.630467571595"/>
    <n v="324700.66968325799"/>
  </r>
  <r>
    <x v="0"/>
    <x v="0"/>
    <x v="0"/>
    <x v="9"/>
    <x v="15"/>
    <s v="SE2A"/>
    <x v="7"/>
    <x v="6"/>
    <s v="GHYRR_WATER"/>
    <x v="11"/>
    <x v="11"/>
    <n v="1482.6514597409"/>
    <n v="90194.630467571595"/>
    <n v="324700.66968325799"/>
  </r>
  <r>
    <x v="0"/>
    <x v="0"/>
    <x v="0"/>
    <x v="9"/>
    <x v="15"/>
    <s v="SE2A"/>
    <x v="7"/>
    <x v="7"/>
    <s v="GHYRS_WATER"/>
    <x v="4"/>
    <x v="0"/>
    <n v="6393"/>
    <n v="388907.5"/>
    <n v="1400067"/>
  </r>
  <r>
    <x v="0"/>
    <x v="0"/>
    <x v="0"/>
    <x v="9"/>
    <x v="15"/>
    <s v="SE2A"/>
    <x v="7"/>
    <x v="7"/>
    <s v="GHYRS_WATER"/>
    <x v="4"/>
    <x v="1"/>
    <n v="6393"/>
    <n v="388907.5"/>
    <n v="1400067"/>
  </r>
  <r>
    <x v="0"/>
    <x v="0"/>
    <x v="0"/>
    <x v="9"/>
    <x v="15"/>
    <s v="SE2A"/>
    <x v="7"/>
    <x v="7"/>
    <s v="GHYRS_WATER"/>
    <x v="4"/>
    <x v="2"/>
    <n v="6393"/>
    <n v="388907.5"/>
    <n v="1400067"/>
  </r>
  <r>
    <x v="0"/>
    <x v="0"/>
    <x v="0"/>
    <x v="9"/>
    <x v="15"/>
    <s v="SE2A"/>
    <x v="7"/>
    <x v="7"/>
    <s v="GHYRS_WATER"/>
    <x v="4"/>
    <x v="3"/>
    <n v="6393"/>
    <n v="388907.5"/>
    <n v="1400067"/>
  </r>
  <r>
    <x v="0"/>
    <x v="0"/>
    <x v="0"/>
    <x v="9"/>
    <x v="15"/>
    <s v="SE2A"/>
    <x v="7"/>
    <x v="7"/>
    <s v="GHYRS_WATER"/>
    <x v="4"/>
    <x v="4"/>
    <n v="5339.3098184916798"/>
    <n v="324808.013958244"/>
    <n v="1169308.85024968"/>
  </r>
  <r>
    <x v="0"/>
    <x v="0"/>
    <x v="0"/>
    <x v="9"/>
    <x v="15"/>
    <s v="SE2A"/>
    <x v="7"/>
    <x v="7"/>
    <s v="GHYRS_WATER"/>
    <x v="4"/>
    <x v="5"/>
    <n v="5552.9791035929202"/>
    <n v="337806.22880190302"/>
    <n v="1216102.4236868499"/>
  </r>
  <r>
    <x v="0"/>
    <x v="0"/>
    <x v="0"/>
    <x v="9"/>
    <x v="15"/>
    <s v="SE2A"/>
    <x v="7"/>
    <x v="7"/>
    <s v="GHYRS_WATER"/>
    <x v="4"/>
    <x v="6"/>
    <n v="6393"/>
    <n v="388907.5"/>
    <n v="1400067"/>
  </r>
  <r>
    <x v="0"/>
    <x v="0"/>
    <x v="0"/>
    <x v="9"/>
    <x v="15"/>
    <s v="SE2A"/>
    <x v="7"/>
    <x v="7"/>
    <s v="GHYRS_WATER"/>
    <x v="4"/>
    <x v="7"/>
    <n v="6393"/>
    <n v="388907.5"/>
    <n v="1400067"/>
  </r>
  <r>
    <x v="0"/>
    <x v="0"/>
    <x v="0"/>
    <x v="9"/>
    <x v="15"/>
    <s v="SE2A"/>
    <x v="7"/>
    <x v="7"/>
    <s v="GHYRS_WATER"/>
    <x v="4"/>
    <x v="8"/>
    <n v="6393"/>
    <n v="388907.5"/>
    <n v="1400067"/>
  </r>
  <r>
    <x v="0"/>
    <x v="0"/>
    <x v="0"/>
    <x v="9"/>
    <x v="15"/>
    <s v="SE2A"/>
    <x v="7"/>
    <x v="7"/>
    <s v="GHYRS_WATER"/>
    <x v="4"/>
    <x v="9"/>
    <n v="6393"/>
    <n v="388907.5"/>
    <n v="1400067"/>
  </r>
  <r>
    <x v="0"/>
    <x v="0"/>
    <x v="0"/>
    <x v="9"/>
    <x v="15"/>
    <s v="SE2A"/>
    <x v="7"/>
    <x v="7"/>
    <s v="GHYRS_WATER"/>
    <x v="4"/>
    <x v="10"/>
    <n v="6393"/>
    <n v="388907.5"/>
    <n v="1400067"/>
  </r>
  <r>
    <x v="0"/>
    <x v="0"/>
    <x v="0"/>
    <x v="9"/>
    <x v="15"/>
    <s v="SE2A"/>
    <x v="7"/>
    <x v="7"/>
    <s v="GHYRS_WATER"/>
    <x v="4"/>
    <x v="11"/>
    <n v="6393"/>
    <n v="388907.5"/>
    <n v="1400067"/>
  </r>
  <r>
    <x v="0"/>
    <x v="0"/>
    <x v="0"/>
    <x v="9"/>
    <x v="15"/>
    <s v="SE2A"/>
    <x v="7"/>
    <x v="7"/>
    <s v="GHYRS_WATER"/>
    <x v="5"/>
    <x v="0"/>
    <n v="4138.9499570076496"/>
    <n v="251786.12238463201"/>
    <n v="906430.04058467597"/>
  </r>
  <r>
    <x v="0"/>
    <x v="0"/>
    <x v="0"/>
    <x v="9"/>
    <x v="15"/>
    <s v="SE2A"/>
    <x v="7"/>
    <x v="7"/>
    <s v="GHYRS_WATER"/>
    <x v="5"/>
    <x v="1"/>
    <n v="6393"/>
    <n v="388907.5"/>
    <n v="1400067"/>
  </r>
  <r>
    <x v="0"/>
    <x v="0"/>
    <x v="0"/>
    <x v="9"/>
    <x v="15"/>
    <s v="SE2A"/>
    <x v="7"/>
    <x v="7"/>
    <s v="GHYRS_WATER"/>
    <x v="5"/>
    <x v="2"/>
    <n v="6393"/>
    <n v="388907.5"/>
    <n v="1400067"/>
  </r>
  <r>
    <x v="0"/>
    <x v="0"/>
    <x v="0"/>
    <x v="9"/>
    <x v="15"/>
    <s v="SE2A"/>
    <x v="7"/>
    <x v="7"/>
    <s v="GHYRS_WATER"/>
    <x v="5"/>
    <x v="3"/>
    <n v="6393"/>
    <n v="388907.5"/>
    <n v="1400067"/>
  </r>
  <r>
    <x v="0"/>
    <x v="0"/>
    <x v="0"/>
    <x v="9"/>
    <x v="15"/>
    <s v="SE2A"/>
    <x v="7"/>
    <x v="7"/>
    <s v="GHYRS_WATER"/>
    <x v="5"/>
    <x v="4"/>
    <n v="6393"/>
    <n v="388907.5"/>
    <n v="1400067"/>
  </r>
  <r>
    <x v="0"/>
    <x v="0"/>
    <x v="0"/>
    <x v="9"/>
    <x v="15"/>
    <s v="SE2A"/>
    <x v="7"/>
    <x v="7"/>
    <s v="GHYRS_WATER"/>
    <x v="5"/>
    <x v="5"/>
    <n v="6393"/>
    <n v="388907.5"/>
    <n v="1400067"/>
  </r>
  <r>
    <x v="0"/>
    <x v="0"/>
    <x v="0"/>
    <x v="9"/>
    <x v="15"/>
    <s v="SE2A"/>
    <x v="7"/>
    <x v="7"/>
    <s v="GHYRS_WATER"/>
    <x v="5"/>
    <x v="6"/>
    <n v="6393"/>
    <n v="388907.5"/>
    <n v="1400067"/>
  </r>
  <r>
    <x v="0"/>
    <x v="0"/>
    <x v="0"/>
    <x v="9"/>
    <x v="15"/>
    <s v="SE2A"/>
    <x v="7"/>
    <x v="7"/>
    <s v="GHYRS_WATER"/>
    <x v="5"/>
    <x v="7"/>
    <n v="6393"/>
    <n v="388907.5"/>
    <n v="1400067"/>
  </r>
  <r>
    <x v="0"/>
    <x v="0"/>
    <x v="0"/>
    <x v="9"/>
    <x v="15"/>
    <s v="SE2A"/>
    <x v="7"/>
    <x v="7"/>
    <s v="GHYRS_WATER"/>
    <x v="5"/>
    <x v="8"/>
    <n v="6393"/>
    <n v="388907.5"/>
    <n v="1400067"/>
  </r>
  <r>
    <x v="0"/>
    <x v="0"/>
    <x v="0"/>
    <x v="9"/>
    <x v="15"/>
    <s v="SE2A"/>
    <x v="7"/>
    <x v="7"/>
    <s v="GHYRS_WATER"/>
    <x v="5"/>
    <x v="9"/>
    <n v="6393"/>
    <n v="388907.5"/>
    <n v="1400067"/>
  </r>
  <r>
    <x v="0"/>
    <x v="0"/>
    <x v="0"/>
    <x v="9"/>
    <x v="15"/>
    <s v="SE2A"/>
    <x v="7"/>
    <x v="7"/>
    <s v="GHYRS_WATER"/>
    <x v="5"/>
    <x v="10"/>
    <n v="6393"/>
    <n v="388907.5"/>
    <n v="1400067"/>
  </r>
  <r>
    <x v="0"/>
    <x v="0"/>
    <x v="0"/>
    <x v="9"/>
    <x v="15"/>
    <s v="SE2A"/>
    <x v="7"/>
    <x v="7"/>
    <s v="GHYRS_WATER"/>
    <x v="5"/>
    <x v="11"/>
    <n v="6145.2763164811504"/>
    <n v="373837.64258593699"/>
    <n v="1345815.51330937"/>
  </r>
  <r>
    <x v="0"/>
    <x v="0"/>
    <x v="0"/>
    <x v="9"/>
    <x v="15"/>
    <s v="SE2A"/>
    <x v="7"/>
    <x v="7"/>
    <s v="GHYRS_WATER"/>
    <x v="6"/>
    <x v="0"/>
    <n v="6393"/>
    <n v="388907.5"/>
    <n v="1400067"/>
  </r>
  <r>
    <x v="0"/>
    <x v="0"/>
    <x v="0"/>
    <x v="9"/>
    <x v="15"/>
    <s v="SE2A"/>
    <x v="7"/>
    <x v="7"/>
    <s v="GHYRS_WATER"/>
    <x v="6"/>
    <x v="1"/>
    <n v="6393"/>
    <n v="388907.5"/>
    <n v="1400067"/>
  </r>
  <r>
    <x v="0"/>
    <x v="0"/>
    <x v="0"/>
    <x v="9"/>
    <x v="15"/>
    <s v="SE2A"/>
    <x v="7"/>
    <x v="7"/>
    <s v="GHYRS_WATER"/>
    <x v="6"/>
    <x v="2"/>
    <n v="6393"/>
    <n v="388907.5"/>
    <n v="1400067"/>
  </r>
  <r>
    <x v="0"/>
    <x v="0"/>
    <x v="0"/>
    <x v="9"/>
    <x v="15"/>
    <s v="SE2A"/>
    <x v="7"/>
    <x v="7"/>
    <s v="GHYRS_WATER"/>
    <x v="6"/>
    <x v="3"/>
    <n v="6393"/>
    <n v="388907.5"/>
    <n v="1400067"/>
  </r>
  <r>
    <x v="0"/>
    <x v="0"/>
    <x v="0"/>
    <x v="9"/>
    <x v="15"/>
    <s v="SE2A"/>
    <x v="7"/>
    <x v="7"/>
    <s v="GHYRS_WATER"/>
    <x v="6"/>
    <x v="4"/>
    <n v="6393"/>
    <n v="388907.5"/>
    <n v="1400067"/>
  </r>
  <r>
    <x v="0"/>
    <x v="0"/>
    <x v="0"/>
    <x v="9"/>
    <x v="15"/>
    <s v="SE2A"/>
    <x v="7"/>
    <x v="7"/>
    <s v="GHYRS_WATER"/>
    <x v="6"/>
    <x v="5"/>
    <n v="6393"/>
    <n v="388907.5"/>
    <n v="1400067"/>
  </r>
  <r>
    <x v="0"/>
    <x v="0"/>
    <x v="0"/>
    <x v="9"/>
    <x v="15"/>
    <s v="SE2A"/>
    <x v="7"/>
    <x v="7"/>
    <s v="GHYRS_WATER"/>
    <x v="6"/>
    <x v="6"/>
    <n v="6393"/>
    <n v="388907.5"/>
    <n v="1400067"/>
  </r>
  <r>
    <x v="0"/>
    <x v="0"/>
    <x v="0"/>
    <x v="9"/>
    <x v="15"/>
    <s v="SE2A"/>
    <x v="7"/>
    <x v="7"/>
    <s v="GHYRS_WATER"/>
    <x v="6"/>
    <x v="7"/>
    <n v="6393"/>
    <n v="388907.5"/>
    <n v="1400067"/>
  </r>
  <r>
    <x v="0"/>
    <x v="0"/>
    <x v="0"/>
    <x v="9"/>
    <x v="15"/>
    <s v="SE2A"/>
    <x v="7"/>
    <x v="7"/>
    <s v="GHYRS_WATER"/>
    <x v="6"/>
    <x v="8"/>
    <n v="6393"/>
    <n v="388907.5"/>
    <n v="1400067"/>
  </r>
  <r>
    <x v="0"/>
    <x v="0"/>
    <x v="0"/>
    <x v="9"/>
    <x v="15"/>
    <s v="SE2A"/>
    <x v="7"/>
    <x v="7"/>
    <s v="GHYRS_WATER"/>
    <x v="6"/>
    <x v="9"/>
    <n v="6393"/>
    <n v="388907.5"/>
    <n v="1400067"/>
  </r>
  <r>
    <x v="0"/>
    <x v="0"/>
    <x v="0"/>
    <x v="9"/>
    <x v="15"/>
    <s v="SE2A"/>
    <x v="7"/>
    <x v="7"/>
    <s v="GHYRS_WATER"/>
    <x v="6"/>
    <x v="10"/>
    <n v="6393"/>
    <n v="388907.5"/>
    <n v="1400067"/>
  </r>
  <r>
    <x v="0"/>
    <x v="0"/>
    <x v="0"/>
    <x v="9"/>
    <x v="15"/>
    <s v="SE2A"/>
    <x v="7"/>
    <x v="7"/>
    <s v="GHYRS_WATER"/>
    <x v="6"/>
    <x v="11"/>
    <n v="6393"/>
    <n v="388907.5"/>
    <n v="1400067"/>
  </r>
  <r>
    <x v="0"/>
    <x v="0"/>
    <x v="0"/>
    <x v="9"/>
    <x v="15"/>
    <s v="SE2A"/>
    <x v="7"/>
    <x v="7"/>
    <s v="GHYRS_WATER"/>
    <x v="7"/>
    <x v="0"/>
    <n v="5810.5400712811597"/>
    <n v="353474.52100293699"/>
    <n v="1272508.2756105701"/>
  </r>
  <r>
    <x v="0"/>
    <x v="0"/>
    <x v="0"/>
    <x v="9"/>
    <x v="15"/>
    <s v="SE2A"/>
    <x v="7"/>
    <x v="7"/>
    <s v="GHYRS_WATER"/>
    <x v="7"/>
    <x v="1"/>
    <n v="5796.2132231534197"/>
    <n v="352602.97107516701"/>
    <n v="1269370.6958705999"/>
  </r>
  <r>
    <x v="0"/>
    <x v="0"/>
    <x v="0"/>
    <x v="9"/>
    <x v="15"/>
    <s v="SE2A"/>
    <x v="7"/>
    <x v="7"/>
    <s v="GHYRS_WATER"/>
    <x v="7"/>
    <x v="2"/>
    <n v="3440.6393472584"/>
    <n v="209305.560291553"/>
    <n v="753500.01704959001"/>
  </r>
  <r>
    <x v="0"/>
    <x v="0"/>
    <x v="0"/>
    <x v="9"/>
    <x v="15"/>
    <s v="SE2A"/>
    <x v="7"/>
    <x v="7"/>
    <s v="GHYRS_WATER"/>
    <x v="7"/>
    <x v="3"/>
    <n v="3874.4349877364998"/>
    <n v="235694.795087304"/>
    <n v="848501.26231429295"/>
  </r>
  <r>
    <x v="0"/>
    <x v="0"/>
    <x v="0"/>
    <x v="9"/>
    <x v="15"/>
    <s v="SE2A"/>
    <x v="7"/>
    <x v="7"/>
    <s v="GHYRS_WATER"/>
    <x v="7"/>
    <x v="4"/>
    <n v="4042.1562850097898"/>
    <n v="245897.840671429"/>
    <n v="885232.22641714301"/>
  </r>
  <r>
    <x v="0"/>
    <x v="0"/>
    <x v="0"/>
    <x v="9"/>
    <x v="15"/>
    <s v="SE2A"/>
    <x v="7"/>
    <x v="7"/>
    <s v="GHYRS_WATER"/>
    <x v="7"/>
    <x v="5"/>
    <n v="4469.4333271716196"/>
    <n v="271890.52740293997"/>
    <n v="978805.89865058602"/>
  </r>
  <r>
    <x v="0"/>
    <x v="0"/>
    <x v="0"/>
    <x v="9"/>
    <x v="15"/>
    <s v="SE2A"/>
    <x v="7"/>
    <x v="7"/>
    <s v="GHYRS_WATER"/>
    <x v="7"/>
    <x v="6"/>
    <n v="4991.5051234013399"/>
    <n v="303649.89500691497"/>
    <n v="1093139.62202489"/>
  </r>
  <r>
    <x v="0"/>
    <x v="0"/>
    <x v="0"/>
    <x v="9"/>
    <x v="15"/>
    <s v="SE2A"/>
    <x v="7"/>
    <x v="7"/>
    <s v="GHYRS_WATER"/>
    <x v="7"/>
    <x v="7"/>
    <n v="5313.39823491261"/>
    <n v="323231.72595718398"/>
    <n v="1163634.21344586"/>
  </r>
  <r>
    <x v="0"/>
    <x v="0"/>
    <x v="0"/>
    <x v="9"/>
    <x v="15"/>
    <s v="SE2A"/>
    <x v="7"/>
    <x v="7"/>
    <s v="GHYRS_WATER"/>
    <x v="7"/>
    <x v="8"/>
    <n v="6393"/>
    <n v="388907.5"/>
    <n v="1400067"/>
  </r>
  <r>
    <x v="0"/>
    <x v="0"/>
    <x v="0"/>
    <x v="9"/>
    <x v="15"/>
    <s v="SE2A"/>
    <x v="7"/>
    <x v="7"/>
    <s v="GHYRS_WATER"/>
    <x v="7"/>
    <x v="9"/>
    <n v="5602.0556060090403"/>
    <n v="340791.71603221702"/>
    <n v="1226850.17771598"/>
  </r>
  <r>
    <x v="0"/>
    <x v="0"/>
    <x v="0"/>
    <x v="9"/>
    <x v="15"/>
    <s v="SE2A"/>
    <x v="7"/>
    <x v="7"/>
    <s v="GHYRS_WATER"/>
    <x v="7"/>
    <x v="10"/>
    <n v="5153.2312124801001"/>
    <n v="313488.23209253902"/>
    <n v="1128557.63553314"/>
  </r>
  <r>
    <x v="0"/>
    <x v="0"/>
    <x v="0"/>
    <x v="9"/>
    <x v="15"/>
    <s v="SE2A"/>
    <x v="7"/>
    <x v="7"/>
    <s v="GHYRS_WATER"/>
    <x v="7"/>
    <x v="11"/>
    <n v="6393"/>
    <n v="388907.5"/>
    <n v="1400067"/>
  </r>
  <r>
    <x v="0"/>
    <x v="0"/>
    <x v="0"/>
    <x v="9"/>
    <x v="15"/>
    <s v="SE2A"/>
    <x v="7"/>
    <x v="7"/>
    <s v="GHYRS_WATER"/>
    <x v="8"/>
    <x v="0"/>
    <n v="5016.24925000647"/>
    <n v="305155.162708727"/>
    <n v="1098558.5857514199"/>
  </r>
  <r>
    <x v="0"/>
    <x v="0"/>
    <x v="0"/>
    <x v="9"/>
    <x v="15"/>
    <s v="SE2A"/>
    <x v="7"/>
    <x v="7"/>
    <s v="GHYRS_WATER"/>
    <x v="8"/>
    <x v="1"/>
    <n v="4975.10547161062"/>
    <n v="302652.24952297902"/>
    <n v="1089548.09828273"/>
  </r>
  <r>
    <x v="0"/>
    <x v="0"/>
    <x v="0"/>
    <x v="9"/>
    <x v="15"/>
    <s v="SE2A"/>
    <x v="7"/>
    <x v="7"/>
    <s v="GHYRS_WATER"/>
    <x v="8"/>
    <x v="2"/>
    <n v="4996.0668244928202"/>
    <n v="303927.39848998003"/>
    <n v="1094138.6345639301"/>
  </r>
  <r>
    <x v="0"/>
    <x v="0"/>
    <x v="0"/>
    <x v="9"/>
    <x v="15"/>
    <s v="SE2A"/>
    <x v="7"/>
    <x v="7"/>
    <s v="GHYRS_WATER"/>
    <x v="8"/>
    <x v="3"/>
    <n v="5044.4129871938603"/>
    <n v="306868.45672095998"/>
    <n v="1104726.4441954601"/>
  </r>
  <r>
    <x v="0"/>
    <x v="0"/>
    <x v="0"/>
    <x v="9"/>
    <x v="15"/>
    <s v="SE2A"/>
    <x v="7"/>
    <x v="7"/>
    <s v="GHYRS_WATER"/>
    <x v="8"/>
    <x v="4"/>
    <n v="5001.7726528978501"/>
    <n v="304274.50305128598"/>
    <n v="1095388.21098463"/>
  </r>
  <r>
    <x v="0"/>
    <x v="0"/>
    <x v="0"/>
    <x v="9"/>
    <x v="15"/>
    <s v="SE2A"/>
    <x v="7"/>
    <x v="7"/>
    <s v="GHYRS_WATER"/>
    <x v="8"/>
    <x v="5"/>
    <n v="5031.8942710048996"/>
    <n v="306106.901486132"/>
    <n v="1101984.8453500699"/>
  </r>
  <r>
    <x v="0"/>
    <x v="0"/>
    <x v="0"/>
    <x v="9"/>
    <x v="15"/>
    <s v="SE2A"/>
    <x v="7"/>
    <x v="7"/>
    <s v="GHYRS_WATER"/>
    <x v="8"/>
    <x v="6"/>
    <n v="5304.1112516122103"/>
    <n v="322666.76780640899"/>
    <n v="1161600.36410307"/>
  </r>
  <r>
    <x v="0"/>
    <x v="0"/>
    <x v="0"/>
    <x v="9"/>
    <x v="15"/>
    <s v="SE2A"/>
    <x v="7"/>
    <x v="7"/>
    <s v="GHYRS_WATER"/>
    <x v="8"/>
    <x v="7"/>
    <n v="5539.1036401653"/>
    <n v="336962.138110056"/>
    <n v="1213063.6971962"/>
  </r>
  <r>
    <x v="0"/>
    <x v="0"/>
    <x v="0"/>
    <x v="9"/>
    <x v="15"/>
    <s v="SE2A"/>
    <x v="7"/>
    <x v="7"/>
    <s v="GHYRS_WATER"/>
    <x v="8"/>
    <x v="8"/>
    <n v="5477.4442030699101"/>
    <n v="333211.18902008602"/>
    <n v="1199560.28047231"/>
  </r>
  <r>
    <x v="0"/>
    <x v="0"/>
    <x v="0"/>
    <x v="9"/>
    <x v="15"/>
    <s v="SE2A"/>
    <x v="7"/>
    <x v="7"/>
    <s v="GHYRS_WATER"/>
    <x v="8"/>
    <x v="9"/>
    <n v="5442.5581111883303"/>
    <n v="331088.95176395698"/>
    <n v="1191920.2263502399"/>
  </r>
  <r>
    <x v="0"/>
    <x v="0"/>
    <x v="0"/>
    <x v="9"/>
    <x v="15"/>
    <s v="SE2A"/>
    <x v="7"/>
    <x v="7"/>
    <s v="GHYRS_WATER"/>
    <x v="8"/>
    <x v="10"/>
    <n v="5375.9295726528298"/>
    <n v="327035.71566971397"/>
    <n v="1177328.57641097"/>
  </r>
  <r>
    <x v="0"/>
    <x v="0"/>
    <x v="0"/>
    <x v="9"/>
    <x v="15"/>
    <s v="SE2A"/>
    <x v="7"/>
    <x v="7"/>
    <s v="GHYRS_WATER"/>
    <x v="8"/>
    <x v="11"/>
    <n v="5309.93567413042"/>
    <n v="323021.08684293402"/>
    <n v="1162875.9126345599"/>
  </r>
  <r>
    <x v="0"/>
    <x v="0"/>
    <x v="0"/>
    <x v="9"/>
    <x v="15"/>
    <s v="SE2A"/>
    <x v="7"/>
    <x v="7"/>
    <s v="GHYRS_WATER"/>
    <x v="9"/>
    <x v="0"/>
    <n v="4886.7333178674198"/>
    <n v="297276.27683693398"/>
    <n v="1070194.5966129601"/>
  </r>
  <r>
    <x v="0"/>
    <x v="0"/>
    <x v="0"/>
    <x v="9"/>
    <x v="15"/>
    <s v="SE2A"/>
    <x v="7"/>
    <x v="7"/>
    <s v="GHYRS_WATER"/>
    <x v="9"/>
    <x v="1"/>
    <n v="4955.6885401434301"/>
    <n v="301471.05285872601"/>
    <n v="1085295.7902914099"/>
  </r>
  <r>
    <x v="0"/>
    <x v="0"/>
    <x v="0"/>
    <x v="9"/>
    <x v="15"/>
    <s v="SE2A"/>
    <x v="7"/>
    <x v="7"/>
    <s v="GHYRS_WATER"/>
    <x v="9"/>
    <x v="2"/>
    <n v="5016.8893770061204"/>
    <n v="305194.10376787197"/>
    <n v="1098698.7735643401"/>
  </r>
  <r>
    <x v="0"/>
    <x v="0"/>
    <x v="0"/>
    <x v="9"/>
    <x v="15"/>
    <s v="SE2A"/>
    <x v="7"/>
    <x v="7"/>
    <s v="GHYRS_WATER"/>
    <x v="9"/>
    <x v="3"/>
    <n v="4989.4833152041701"/>
    <n v="303526.90167491999"/>
    <n v="1092696.84602971"/>
  </r>
  <r>
    <x v="0"/>
    <x v="0"/>
    <x v="0"/>
    <x v="9"/>
    <x v="15"/>
    <s v="SE2A"/>
    <x v="7"/>
    <x v="7"/>
    <s v="GHYRS_WATER"/>
    <x v="9"/>
    <x v="4"/>
    <n v="5129.12179756975"/>
    <n v="312021.57601882599"/>
    <n v="1123277.6736677701"/>
  </r>
  <r>
    <x v="0"/>
    <x v="0"/>
    <x v="0"/>
    <x v="9"/>
    <x v="15"/>
    <s v="SE2A"/>
    <x v="7"/>
    <x v="7"/>
    <s v="GHYRS_WATER"/>
    <x v="9"/>
    <x v="5"/>
    <n v="5157.2751532913398"/>
    <n v="313734.23849189002"/>
    <n v="1129443.2585708001"/>
  </r>
  <r>
    <x v="0"/>
    <x v="0"/>
    <x v="0"/>
    <x v="9"/>
    <x v="15"/>
    <s v="SE2A"/>
    <x v="7"/>
    <x v="7"/>
    <s v="GHYRS_WATER"/>
    <x v="9"/>
    <x v="6"/>
    <n v="5413.6017227961702"/>
    <n v="329327.43813676701"/>
    <n v="1185578.7772923601"/>
  </r>
  <r>
    <x v="0"/>
    <x v="0"/>
    <x v="0"/>
    <x v="9"/>
    <x v="15"/>
    <s v="SE2A"/>
    <x v="7"/>
    <x v="7"/>
    <s v="GHYRS_WATER"/>
    <x v="9"/>
    <x v="7"/>
    <n v="5799.2695250736397"/>
    <n v="352788.89610864699"/>
    <n v="1270040.0259911299"/>
  </r>
  <r>
    <x v="0"/>
    <x v="0"/>
    <x v="0"/>
    <x v="9"/>
    <x v="15"/>
    <s v="SE2A"/>
    <x v="7"/>
    <x v="7"/>
    <s v="GHYRS_WATER"/>
    <x v="9"/>
    <x v="8"/>
    <n v="5769.9759468966504"/>
    <n v="351006.87010287901"/>
    <n v="1263624.7323703701"/>
  </r>
  <r>
    <x v="0"/>
    <x v="0"/>
    <x v="0"/>
    <x v="9"/>
    <x v="15"/>
    <s v="SE2A"/>
    <x v="7"/>
    <x v="7"/>
    <s v="GHYRS_WATER"/>
    <x v="9"/>
    <x v="9"/>
    <n v="5877.3982805613996"/>
    <n v="357541.72873415198"/>
    <n v="1287150.2234429501"/>
  </r>
  <r>
    <x v="0"/>
    <x v="0"/>
    <x v="0"/>
    <x v="9"/>
    <x v="15"/>
    <s v="SE2A"/>
    <x v="7"/>
    <x v="7"/>
    <s v="GHYRS_WATER"/>
    <x v="9"/>
    <x v="10"/>
    <n v="5703.3885782286698"/>
    <n v="346956.13850891101"/>
    <n v="1249042.09863208"/>
  </r>
  <r>
    <x v="0"/>
    <x v="0"/>
    <x v="0"/>
    <x v="9"/>
    <x v="15"/>
    <s v="SE2A"/>
    <x v="7"/>
    <x v="7"/>
    <s v="GHYRS_WATER"/>
    <x v="9"/>
    <x v="11"/>
    <n v="5681.4791387248597"/>
    <n v="345623.31427242898"/>
    <n v="1244243.9313807399"/>
  </r>
  <r>
    <x v="0"/>
    <x v="0"/>
    <x v="0"/>
    <x v="9"/>
    <x v="15"/>
    <s v="SE2A"/>
    <x v="7"/>
    <x v="7"/>
    <s v="GHYRS_WATER"/>
    <x v="10"/>
    <x v="0"/>
    <n v="4093.8773416988602"/>
    <n v="249044.20495334701"/>
    <n v="896559.13783204998"/>
  </r>
  <r>
    <x v="0"/>
    <x v="0"/>
    <x v="0"/>
    <x v="9"/>
    <x v="15"/>
    <s v="SE2A"/>
    <x v="7"/>
    <x v="7"/>
    <s v="GHYRS_WATER"/>
    <x v="10"/>
    <x v="1"/>
    <n v="4009.1246261791098"/>
    <n v="243888.414759229"/>
    <n v="877998.29313322401"/>
  </r>
  <r>
    <x v="0"/>
    <x v="0"/>
    <x v="0"/>
    <x v="9"/>
    <x v="15"/>
    <s v="SE2A"/>
    <x v="7"/>
    <x v="7"/>
    <s v="GHYRS_WATER"/>
    <x v="10"/>
    <x v="2"/>
    <n v="4172.6069985869699"/>
    <n v="253833.59241404099"/>
    <n v="913800.93269054696"/>
  </r>
  <r>
    <x v="0"/>
    <x v="0"/>
    <x v="0"/>
    <x v="9"/>
    <x v="15"/>
    <s v="SE2A"/>
    <x v="7"/>
    <x v="7"/>
    <s v="GHYRS_WATER"/>
    <x v="10"/>
    <x v="3"/>
    <n v="4148.3009813877898"/>
    <n v="252354.97636775699"/>
    <n v="908477.914923926"/>
  </r>
  <r>
    <x v="0"/>
    <x v="0"/>
    <x v="0"/>
    <x v="9"/>
    <x v="15"/>
    <s v="SE2A"/>
    <x v="7"/>
    <x v="7"/>
    <s v="GHYRS_WATER"/>
    <x v="10"/>
    <x v="4"/>
    <n v="4179.5243122182201"/>
    <n v="254254.39565994201"/>
    <n v="915315.82437579101"/>
  </r>
  <r>
    <x v="0"/>
    <x v="0"/>
    <x v="0"/>
    <x v="9"/>
    <x v="15"/>
    <s v="SE2A"/>
    <x v="7"/>
    <x v="7"/>
    <s v="GHYRS_WATER"/>
    <x v="10"/>
    <x v="5"/>
    <n v="4243.6759561455101"/>
    <n v="258156.953998852"/>
    <n v="929365.03439586703"/>
  </r>
  <r>
    <x v="0"/>
    <x v="0"/>
    <x v="0"/>
    <x v="9"/>
    <x v="15"/>
    <s v="SE2A"/>
    <x v="7"/>
    <x v="7"/>
    <s v="GHYRS_WATER"/>
    <x v="10"/>
    <x v="6"/>
    <n v="4446.667576672"/>
    <n v="270505.610914213"/>
    <n v="973820.19929116801"/>
  </r>
  <r>
    <x v="0"/>
    <x v="0"/>
    <x v="0"/>
    <x v="9"/>
    <x v="15"/>
    <s v="SE2A"/>
    <x v="7"/>
    <x v="7"/>
    <s v="GHYRS_WATER"/>
    <x v="10"/>
    <x v="7"/>
    <n v="4683.7569673734197"/>
    <n v="284928.54884855001"/>
    <n v="1025742.77585478"/>
  </r>
  <r>
    <x v="0"/>
    <x v="0"/>
    <x v="0"/>
    <x v="9"/>
    <x v="15"/>
    <s v="SE2A"/>
    <x v="7"/>
    <x v="7"/>
    <s v="GHYRS_WATER"/>
    <x v="10"/>
    <x v="8"/>
    <n v="4886.2841722069197"/>
    <n v="297248.95380925399"/>
    <n v="1070096.23371331"/>
  </r>
  <r>
    <x v="0"/>
    <x v="0"/>
    <x v="0"/>
    <x v="9"/>
    <x v="15"/>
    <s v="SE2A"/>
    <x v="7"/>
    <x v="7"/>
    <s v="GHYRS_WATER"/>
    <x v="10"/>
    <x v="9"/>
    <n v="4723.9353198182898"/>
    <n v="287372.73195561301"/>
    <n v="1034541.83504021"/>
  </r>
  <r>
    <x v="0"/>
    <x v="0"/>
    <x v="0"/>
    <x v="9"/>
    <x v="15"/>
    <s v="SE2A"/>
    <x v="7"/>
    <x v="7"/>
    <s v="GHYRS_WATER"/>
    <x v="10"/>
    <x v="10"/>
    <n v="4660.2053434238896"/>
    <n v="283495.82505828701"/>
    <n v="1020584.97020983"/>
  </r>
  <r>
    <x v="0"/>
    <x v="0"/>
    <x v="0"/>
    <x v="9"/>
    <x v="15"/>
    <s v="SE2A"/>
    <x v="7"/>
    <x v="7"/>
    <s v="GHYRS_WATER"/>
    <x v="10"/>
    <x v="11"/>
    <n v="4659.1958603297599"/>
    <n v="283434.41483672702"/>
    <n v="1020363.8934122199"/>
  </r>
  <r>
    <x v="0"/>
    <x v="0"/>
    <x v="0"/>
    <x v="9"/>
    <x v="15"/>
    <s v="SE2A"/>
    <x v="7"/>
    <x v="7"/>
    <s v="GHYRS_WATER"/>
    <x v="11"/>
    <x v="0"/>
    <n v="3563.3287482676501"/>
    <n v="216769.16551961499"/>
    <n v="780368.99587061501"/>
  </r>
  <r>
    <x v="0"/>
    <x v="0"/>
    <x v="0"/>
    <x v="9"/>
    <x v="15"/>
    <s v="SE2A"/>
    <x v="7"/>
    <x v="7"/>
    <s v="GHYRS_WATER"/>
    <x v="11"/>
    <x v="1"/>
    <n v="3364.0810050513401"/>
    <n v="204648.26114062301"/>
    <n v="736733.74010624399"/>
  </r>
  <r>
    <x v="0"/>
    <x v="0"/>
    <x v="0"/>
    <x v="9"/>
    <x v="15"/>
    <s v="SE2A"/>
    <x v="7"/>
    <x v="7"/>
    <s v="GHYRS_WATER"/>
    <x v="11"/>
    <x v="2"/>
    <n v="3475.29930162148"/>
    <n v="211414.04084864"/>
    <n v="761090.54705510498"/>
  </r>
  <r>
    <x v="0"/>
    <x v="0"/>
    <x v="0"/>
    <x v="9"/>
    <x v="15"/>
    <s v="SE2A"/>
    <x v="7"/>
    <x v="7"/>
    <s v="GHYRS_WATER"/>
    <x v="11"/>
    <x v="3"/>
    <n v="3491.0971001476701"/>
    <n v="212375.07359231601"/>
    <n v="764550.26493233896"/>
  </r>
  <r>
    <x v="0"/>
    <x v="0"/>
    <x v="0"/>
    <x v="9"/>
    <x v="15"/>
    <s v="SE2A"/>
    <x v="7"/>
    <x v="7"/>
    <s v="GHYRS_WATER"/>
    <x v="11"/>
    <x v="4"/>
    <n v="3403.9893069448199"/>
    <n v="207076.01617247699"/>
    <n v="745473.65822091606"/>
  </r>
  <r>
    <x v="0"/>
    <x v="0"/>
    <x v="0"/>
    <x v="9"/>
    <x v="15"/>
    <s v="SE2A"/>
    <x v="7"/>
    <x v="7"/>
    <s v="GHYRS_WATER"/>
    <x v="11"/>
    <x v="5"/>
    <n v="3450.5853775123801"/>
    <n v="209910.610465337"/>
    <n v="755678.19767521205"/>
  </r>
  <r>
    <x v="0"/>
    <x v="0"/>
    <x v="0"/>
    <x v="9"/>
    <x v="15"/>
    <s v="SE2A"/>
    <x v="7"/>
    <x v="7"/>
    <s v="GHYRS_WATER"/>
    <x v="11"/>
    <x v="6"/>
    <n v="3665.7127324851099"/>
    <n v="222997.52455951099"/>
    <n v="802791.08841423795"/>
  </r>
  <r>
    <x v="0"/>
    <x v="0"/>
    <x v="0"/>
    <x v="9"/>
    <x v="15"/>
    <s v="SE2A"/>
    <x v="7"/>
    <x v="7"/>
    <s v="GHYRS_WATER"/>
    <x v="11"/>
    <x v="7"/>
    <n v="4065.182545829"/>
    <n v="247298.60487126399"/>
    <n v="890274.97753655096"/>
  </r>
  <r>
    <x v="0"/>
    <x v="0"/>
    <x v="0"/>
    <x v="9"/>
    <x v="15"/>
    <s v="SE2A"/>
    <x v="7"/>
    <x v="7"/>
    <s v="GHYRS_WATER"/>
    <x v="11"/>
    <x v="8"/>
    <n v="3918.0515465977701"/>
    <n v="238348.135751364"/>
    <n v="858053.28870491195"/>
  </r>
  <r>
    <x v="0"/>
    <x v="0"/>
    <x v="0"/>
    <x v="9"/>
    <x v="15"/>
    <s v="SE2A"/>
    <x v="7"/>
    <x v="7"/>
    <s v="GHYRS_WATER"/>
    <x v="11"/>
    <x v="9"/>
    <n v="4004.6619663429601"/>
    <n v="243616.93628586299"/>
    <n v="877020.97062910895"/>
  </r>
  <r>
    <x v="0"/>
    <x v="0"/>
    <x v="0"/>
    <x v="9"/>
    <x v="15"/>
    <s v="SE2A"/>
    <x v="7"/>
    <x v="7"/>
    <s v="GHYRS_WATER"/>
    <x v="11"/>
    <x v="10"/>
    <n v="4011.7588431075201"/>
    <n v="244048.662955707"/>
    <n v="878575.18664054701"/>
  </r>
  <r>
    <x v="0"/>
    <x v="0"/>
    <x v="0"/>
    <x v="9"/>
    <x v="15"/>
    <s v="SE2A"/>
    <x v="7"/>
    <x v="7"/>
    <s v="GHYRS_WATER"/>
    <x v="11"/>
    <x v="11"/>
    <n v="4033.57744549682"/>
    <n v="245375.961267723"/>
    <n v="883353.46056380298"/>
  </r>
  <r>
    <x v="0"/>
    <x v="0"/>
    <x v="0"/>
    <x v="9"/>
    <x v="15"/>
    <s v="SE2A"/>
    <x v="0"/>
    <x v="0"/>
    <s v="GWND_WIND"/>
    <x v="0"/>
    <x v="0"/>
    <n v="211.28500073025899"/>
    <n v="12853.1708777574"/>
    <n v="46271.415159926699"/>
  </r>
  <r>
    <x v="0"/>
    <x v="0"/>
    <x v="0"/>
    <x v="9"/>
    <x v="15"/>
    <s v="SE2A"/>
    <x v="0"/>
    <x v="0"/>
    <s v="GWND_WIND"/>
    <x v="0"/>
    <x v="1"/>
    <n v="209.22739798518799"/>
    <n v="12728.000044098901"/>
    <n v="45820.800158756101"/>
  </r>
  <r>
    <x v="0"/>
    <x v="0"/>
    <x v="0"/>
    <x v="9"/>
    <x v="15"/>
    <s v="SE2A"/>
    <x v="0"/>
    <x v="0"/>
    <s v="GWND_WIND"/>
    <x v="0"/>
    <x v="2"/>
    <n v="213.39000657778999"/>
    <n v="12981.2254001489"/>
    <n v="46732.411440536001"/>
  </r>
  <r>
    <x v="0"/>
    <x v="0"/>
    <x v="0"/>
    <x v="9"/>
    <x v="15"/>
    <s v="SE2A"/>
    <x v="0"/>
    <x v="0"/>
    <s v="GWND_WIND"/>
    <x v="0"/>
    <x v="3"/>
    <n v="215.72871856485199"/>
    <n v="13123.4970460285"/>
    <n v="47244.589365702603"/>
  </r>
  <r>
    <x v="0"/>
    <x v="0"/>
    <x v="0"/>
    <x v="9"/>
    <x v="15"/>
    <s v="SE2A"/>
    <x v="0"/>
    <x v="0"/>
    <s v="GWND_WIND"/>
    <x v="0"/>
    <x v="4"/>
    <n v="202.29933665352101"/>
    <n v="12306.542979755901"/>
    <n v="44303.554727121198"/>
  </r>
  <r>
    <x v="0"/>
    <x v="0"/>
    <x v="0"/>
    <x v="9"/>
    <x v="15"/>
    <s v="SE2A"/>
    <x v="0"/>
    <x v="0"/>
    <s v="GWND_WIND"/>
    <x v="0"/>
    <x v="5"/>
    <n v="198.07376626587401"/>
    <n v="12049.4874478407"/>
    <n v="43378.154812226399"/>
  </r>
  <r>
    <x v="0"/>
    <x v="0"/>
    <x v="0"/>
    <x v="9"/>
    <x v="15"/>
    <s v="SE2A"/>
    <x v="0"/>
    <x v="0"/>
    <s v="GWND_WIND"/>
    <x v="0"/>
    <x v="6"/>
    <n v="205.179150651155"/>
    <n v="12481.7316646119"/>
    <n v="44934.2339926028"/>
  </r>
  <r>
    <x v="0"/>
    <x v="0"/>
    <x v="0"/>
    <x v="9"/>
    <x v="15"/>
    <s v="SE2A"/>
    <x v="0"/>
    <x v="0"/>
    <s v="GWND_WIND"/>
    <x v="0"/>
    <x v="7"/>
    <n v="210.52271760521401"/>
    <n v="12806.798654317199"/>
    <n v="46104.475155541797"/>
  </r>
  <r>
    <x v="0"/>
    <x v="0"/>
    <x v="0"/>
    <x v="9"/>
    <x v="15"/>
    <s v="SE2A"/>
    <x v="0"/>
    <x v="0"/>
    <s v="GWND_WIND"/>
    <x v="0"/>
    <x v="8"/>
    <n v="209.92465016103"/>
    <n v="12770.4162181293"/>
    <n v="45973.498385265601"/>
  </r>
  <r>
    <x v="0"/>
    <x v="0"/>
    <x v="0"/>
    <x v="9"/>
    <x v="15"/>
    <s v="SE2A"/>
    <x v="0"/>
    <x v="0"/>
    <s v="GWND_WIND"/>
    <x v="0"/>
    <x v="9"/>
    <n v="200.47597780968201"/>
    <n v="12195.621983422299"/>
    <n v="43904.2391403203"/>
  </r>
  <r>
    <x v="0"/>
    <x v="0"/>
    <x v="0"/>
    <x v="9"/>
    <x v="15"/>
    <s v="SE2A"/>
    <x v="0"/>
    <x v="0"/>
    <s v="GWND_WIND"/>
    <x v="0"/>
    <x v="10"/>
    <n v="185.5703927145"/>
    <n v="11288.865556798801"/>
    <n v="40639.916004475599"/>
  </r>
  <r>
    <x v="0"/>
    <x v="0"/>
    <x v="0"/>
    <x v="9"/>
    <x v="15"/>
    <s v="SE2A"/>
    <x v="0"/>
    <x v="0"/>
    <s v="GWND_WIND"/>
    <x v="0"/>
    <x v="11"/>
    <n v="172.29279245080301"/>
    <n v="10481.1448740905"/>
    <n v="37732.121546725801"/>
  </r>
  <r>
    <x v="0"/>
    <x v="0"/>
    <x v="0"/>
    <x v="9"/>
    <x v="15"/>
    <s v="SE2A"/>
    <x v="0"/>
    <x v="0"/>
    <s v="GWND_WIND"/>
    <x v="1"/>
    <x v="0"/>
    <n v="31.482289697677601"/>
    <n v="1915.1726232753899"/>
    <n v="6894.6214437913904"/>
  </r>
  <r>
    <x v="0"/>
    <x v="0"/>
    <x v="0"/>
    <x v="9"/>
    <x v="15"/>
    <s v="SE2A"/>
    <x v="0"/>
    <x v="0"/>
    <s v="GWND_WIND"/>
    <x v="1"/>
    <x v="1"/>
    <n v="20.676476968774999"/>
    <n v="1257.81901560048"/>
    <n v="4528.1484561617199"/>
  </r>
  <r>
    <x v="0"/>
    <x v="0"/>
    <x v="0"/>
    <x v="9"/>
    <x v="15"/>
    <s v="SE2A"/>
    <x v="0"/>
    <x v="0"/>
    <s v="GWND_WIND"/>
    <x v="1"/>
    <x v="2"/>
    <n v="20.327370444004501"/>
    <n v="1236.58170201027"/>
    <n v="4451.6941272369904"/>
  </r>
  <r>
    <x v="0"/>
    <x v="0"/>
    <x v="0"/>
    <x v="9"/>
    <x v="15"/>
    <s v="SE2A"/>
    <x v="0"/>
    <x v="0"/>
    <s v="GWND_WIND"/>
    <x v="1"/>
    <x v="3"/>
    <n v="15.319311286094599"/>
    <n v="931.92476990408602"/>
    <n v="3354.92917165471"/>
  </r>
  <r>
    <x v="0"/>
    <x v="0"/>
    <x v="0"/>
    <x v="9"/>
    <x v="15"/>
    <s v="SE2A"/>
    <x v="0"/>
    <x v="0"/>
    <s v="GWND_WIND"/>
    <x v="1"/>
    <x v="4"/>
    <n v="14.425673268774201"/>
    <n v="877.56179051709898"/>
    <n v="3159.2224458615501"/>
  </r>
  <r>
    <x v="0"/>
    <x v="0"/>
    <x v="0"/>
    <x v="9"/>
    <x v="15"/>
    <s v="SE2A"/>
    <x v="0"/>
    <x v="0"/>
    <s v="GWND_WIND"/>
    <x v="1"/>
    <x v="5"/>
    <n v="12.4197666205843"/>
    <n v="755.535802752211"/>
    <n v="2719.9288899079602"/>
  </r>
  <r>
    <x v="0"/>
    <x v="0"/>
    <x v="0"/>
    <x v="9"/>
    <x v="15"/>
    <s v="SE2A"/>
    <x v="0"/>
    <x v="0"/>
    <s v="GWND_WIND"/>
    <x v="1"/>
    <x v="6"/>
    <n v="12.469625592468301"/>
    <n v="758.56889020848905"/>
    <n v="2730.84800475056"/>
  </r>
  <r>
    <x v="0"/>
    <x v="0"/>
    <x v="0"/>
    <x v="9"/>
    <x v="15"/>
    <s v="SE2A"/>
    <x v="0"/>
    <x v="0"/>
    <s v="GWND_WIND"/>
    <x v="1"/>
    <x v="7"/>
    <n v="19.488209233814299"/>
    <n v="1185.53272839037"/>
    <n v="4267.9178222053397"/>
  </r>
  <r>
    <x v="0"/>
    <x v="0"/>
    <x v="0"/>
    <x v="9"/>
    <x v="15"/>
    <s v="SE2A"/>
    <x v="0"/>
    <x v="0"/>
    <s v="GWND_WIND"/>
    <x v="1"/>
    <x v="8"/>
    <n v="30.191057430543399"/>
    <n v="1836.6226603580601"/>
    <n v="6611.8415772890003"/>
  </r>
  <r>
    <x v="0"/>
    <x v="0"/>
    <x v="0"/>
    <x v="9"/>
    <x v="15"/>
    <s v="SE2A"/>
    <x v="0"/>
    <x v="0"/>
    <s v="GWND_WIND"/>
    <x v="1"/>
    <x v="9"/>
    <n v="40.575253157251197"/>
    <n v="2468.3279003994498"/>
    <n v="8885.9804414380196"/>
  </r>
  <r>
    <x v="0"/>
    <x v="0"/>
    <x v="0"/>
    <x v="9"/>
    <x v="15"/>
    <s v="SE2A"/>
    <x v="0"/>
    <x v="0"/>
    <s v="GWND_WIND"/>
    <x v="1"/>
    <x v="10"/>
    <n v="58.114124452120201"/>
    <n v="3535.2759041706499"/>
    <n v="12726.9932550143"/>
  </r>
  <r>
    <x v="0"/>
    <x v="0"/>
    <x v="0"/>
    <x v="9"/>
    <x v="15"/>
    <s v="SE2A"/>
    <x v="0"/>
    <x v="0"/>
    <s v="GWND_WIND"/>
    <x v="1"/>
    <x v="11"/>
    <n v="84.312286697141303"/>
    <n v="5128.9974407427599"/>
    <n v="18464.390786673899"/>
  </r>
  <r>
    <x v="0"/>
    <x v="0"/>
    <x v="0"/>
    <x v="9"/>
    <x v="15"/>
    <s v="SE2A"/>
    <x v="0"/>
    <x v="0"/>
    <s v="GWND_WIND"/>
    <x v="2"/>
    <x v="0"/>
    <n v="187.23792077438301"/>
    <n v="11390.306847108301"/>
    <n v="41005.104649589899"/>
  </r>
  <r>
    <x v="0"/>
    <x v="0"/>
    <x v="0"/>
    <x v="9"/>
    <x v="15"/>
    <s v="SE2A"/>
    <x v="0"/>
    <x v="0"/>
    <s v="GWND_WIND"/>
    <x v="2"/>
    <x v="1"/>
    <n v="200.39320618386901"/>
    <n v="12190.5867095187"/>
    <n v="43886.112154267401"/>
  </r>
  <r>
    <x v="0"/>
    <x v="0"/>
    <x v="0"/>
    <x v="9"/>
    <x v="15"/>
    <s v="SE2A"/>
    <x v="0"/>
    <x v="0"/>
    <s v="GWND_WIND"/>
    <x v="2"/>
    <x v="2"/>
    <n v="223.52252709887"/>
    <n v="13597.6203985146"/>
    <n v="48951.433434652499"/>
  </r>
  <r>
    <x v="0"/>
    <x v="0"/>
    <x v="0"/>
    <x v="9"/>
    <x v="15"/>
    <s v="SE2A"/>
    <x v="0"/>
    <x v="0"/>
    <s v="GWND_WIND"/>
    <x v="2"/>
    <x v="3"/>
    <n v="233.253585307549"/>
    <n v="14189.5931062092"/>
    <n v="51082.535182353196"/>
  </r>
  <r>
    <x v="0"/>
    <x v="0"/>
    <x v="0"/>
    <x v="9"/>
    <x v="15"/>
    <s v="SE2A"/>
    <x v="0"/>
    <x v="0"/>
    <s v="GWND_WIND"/>
    <x v="2"/>
    <x v="4"/>
    <n v="240.063590202531"/>
    <n v="14603.868403987301"/>
    <n v="52573.926254354199"/>
  </r>
  <r>
    <x v="0"/>
    <x v="0"/>
    <x v="0"/>
    <x v="9"/>
    <x v="15"/>
    <s v="SE2A"/>
    <x v="0"/>
    <x v="0"/>
    <s v="GWND_WIND"/>
    <x v="2"/>
    <x v="5"/>
    <n v="232.048217478444"/>
    <n v="14116.266563272"/>
    <n v="50818.559627779301"/>
  </r>
  <r>
    <x v="0"/>
    <x v="0"/>
    <x v="0"/>
    <x v="9"/>
    <x v="15"/>
    <s v="SE2A"/>
    <x v="0"/>
    <x v="0"/>
    <s v="GWND_WIND"/>
    <x v="2"/>
    <x v="6"/>
    <n v="208.65528141020999"/>
    <n v="12693.196285787801"/>
    <n v="45695.506628836003"/>
  </r>
  <r>
    <x v="0"/>
    <x v="0"/>
    <x v="0"/>
    <x v="9"/>
    <x v="15"/>
    <s v="SE2A"/>
    <x v="0"/>
    <x v="0"/>
    <s v="GWND_WIND"/>
    <x v="2"/>
    <x v="7"/>
    <n v="214.26694304517099"/>
    <n v="13034.572368581201"/>
    <n v="46924.460526892399"/>
  </r>
  <r>
    <x v="0"/>
    <x v="0"/>
    <x v="0"/>
    <x v="9"/>
    <x v="15"/>
    <s v="SE2A"/>
    <x v="0"/>
    <x v="0"/>
    <s v="GWND_WIND"/>
    <x v="2"/>
    <x v="8"/>
    <n v="202.736512348302"/>
    <n v="12333.1378345217"/>
    <n v="44399.296204278202"/>
  </r>
  <r>
    <x v="0"/>
    <x v="0"/>
    <x v="0"/>
    <x v="9"/>
    <x v="15"/>
    <s v="SE2A"/>
    <x v="0"/>
    <x v="0"/>
    <s v="GWND_WIND"/>
    <x v="2"/>
    <x v="9"/>
    <n v="211.99236573781101"/>
    <n v="12896.2022490502"/>
    <n v="46426.328096580597"/>
  </r>
  <r>
    <x v="0"/>
    <x v="0"/>
    <x v="0"/>
    <x v="9"/>
    <x v="15"/>
    <s v="SE2A"/>
    <x v="0"/>
    <x v="0"/>
    <s v="GWND_WIND"/>
    <x v="2"/>
    <x v="10"/>
    <n v="207.460699752338"/>
    <n v="12620.5259016006"/>
    <n v="45433.893245762098"/>
  </r>
  <r>
    <x v="0"/>
    <x v="0"/>
    <x v="0"/>
    <x v="9"/>
    <x v="15"/>
    <s v="SE2A"/>
    <x v="0"/>
    <x v="0"/>
    <s v="GWND_WIND"/>
    <x v="2"/>
    <x v="11"/>
    <n v="183.67009118131801"/>
    <n v="11173.263880196901"/>
    <n v="40223.749968708697"/>
  </r>
  <r>
    <x v="0"/>
    <x v="0"/>
    <x v="0"/>
    <x v="9"/>
    <x v="15"/>
    <s v="SE2A"/>
    <x v="0"/>
    <x v="0"/>
    <s v="GWND_WIND"/>
    <x v="3"/>
    <x v="0"/>
    <n v="21.212687258699098"/>
    <n v="1290.4384749041899"/>
    <n v="4645.5785096550999"/>
  </r>
  <r>
    <x v="0"/>
    <x v="0"/>
    <x v="0"/>
    <x v="9"/>
    <x v="15"/>
    <s v="SE2A"/>
    <x v="0"/>
    <x v="0"/>
    <s v="GWND_WIND"/>
    <x v="3"/>
    <x v="1"/>
    <n v="19.413135516609099"/>
    <n v="1180.96574392705"/>
    <n v="4251.4766781373801"/>
  </r>
  <r>
    <x v="0"/>
    <x v="0"/>
    <x v="0"/>
    <x v="9"/>
    <x v="15"/>
    <s v="SE2A"/>
    <x v="0"/>
    <x v="0"/>
    <s v="GWND_WIND"/>
    <x v="3"/>
    <x v="2"/>
    <n v="20.829031137023101"/>
    <n v="1267.0993941689101"/>
    <n v="4561.5578190080696"/>
  </r>
  <r>
    <x v="0"/>
    <x v="0"/>
    <x v="0"/>
    <x v="9"/>
    <x v="15"/>
    <s v="SE2A"/>
    <x v="0"/>
    <x v="0"/>
    <s v="GWND_WIND"/>
    <x v="3"/>
    <x v="3"/>
    <n v="18.509696769547599"/>
    <n v="1126.00655348081"/>
    <n v="4053.6235925309302"/>
  </r>
  <r>
    <x v="0"/>
    <x v="0"/>
    <x v="0"/>
    <x v="9"/>
    <x v="15"/>
    <s v="SE2A"/>
    <x v="0"/>
    <x v="0"/>
    <s v="GWND_WIND"/>
    <x v="3"/>
    <x v="4"/>
    <n v="21.8792724589158"/>
    <n v="1330.9890745840501"/>
    <n v="4791.5606685025696"/>
  </r>
  <r>
    <x v="0"/>
    <x v="0"/>
    <x v="0"/>
    <x v="9"/>
    <x v="15"/>
    <s v="SE2A"/>
    <x v="0"/>
    <x v="0"/>
    <s v="GWND_WIND"/>
    <x v="3"/>
    <x v="5"/>
    <n v="23.558145379852601"/>
    <n v="1433.1205106077"/>
    <n v="5159.2338381877298"/>
  </r>
  <r>
    <x v="0"/>
    <x v="0"/>
    <x v="0"/>
    <x v="9"/>
    <x v="15"/>
    <s v="SE2A"/>
    <x v="0"/>
    <x v="0"/>
    <s v="GWND_WIND"/>
    <x v="3"/>
    <x v="6"/>
    <n v="20.937939255369699"/>
    <n v="1273.72463803499"/>
    <n v="4585.4086969259597"/>
  </r>
  <r>
    <x v="0"/>
    <x v="0"/>
    <x v="0"/>
    <x v="9"/>
    <x v="15"/>
    <s v="SE2A"/>
    <x v="0"/>
    <x v="0"/>
    <s v="GWND_WIND"/>
    <x v="3"/>
    <x v="7"/>
    <n v="17.464630152885402"/>
    <n v="1062.4316676338599"/>
    <n v="3824.7540034819099"/>
  </r>
  <r>
    <x v="0"/>
    <x v="0"/>
    <x v="0"/>
    <x v="9"/>
    <x v="15"/>
    <s v="SE2A"/>
    <x v="0"/>
    <x v="0"/>
    <s v="GWND_WIND"/>
    <x v="3"/>
    <x v="8"/>
    <n v="16.1511012483382"/>
    <n v="982.525325940573"/>
    <n v="3537.0911733860598"/>
  </r>
  <r>
    <x v="0"/>
    <x v="0"/>
    <x v="0"/>
    <x v="9"/>
    <x v="15"/>
    <s v="SE2A"/>
    <x v="0"/>
    <x v="0"/>
    <s v="GWND_WIND"/>
    <x v="3"/>
    <x v="9"/>
    <n v="16.997343442545201"/>
    <n v="1034.0050594214999"/>
    <n v="3722.4182139174"/>
  </r>
  <r>
    <x v="0"/>
    <x v="0"/>
    <x v="0"/>
    <x v="9"/>
    <x v="15"/>
    <s v="SE2A"/>
    <x v="0"/>
    <x v="0"/>
    <s v="GWND_WIND"/>
    <x v="3"/>
    <x v="10"/>
    <n v="17.5831888644576"/>
    <n v="1069.64398925451"/>
    <n v="3850.7183613162201"/>
  </r>
  <r>
    <x v="0"/>
    <x v="0"/>
    <x v="0"/>
    <x v="9"/>
    <x v="15"/>
    <s v="SE2A"/>
    <x v="0"/>
    <x v="0"/>
    <s v="GWND_WIND"/>
    <x v="3"/>
    <x v="11"/>
    <n v="17.380839418604701"/>
    <n v="1057.3343979651199"/>
    <n v="3806.4038326744299"/>
  </r>
  <r>
    <x v="0"/>
    <x v="0"/>
    <x v="0"/>
    <x v="9"/>
    <x v="15"/>
    <s v="SE2A"/>
    <x v="0"/>
    <x v="0"/>
    <s v="GWND_WIND"/>
    <x v="4"/>
    <x v="0"/>
    <n v="46.898069609379803"/>
    <n v="2852.9659012372699"/>
    <n v="10270.6772444542"/>
  </r>
  <r>
    <x v="0"/>
    <x v="0"/>
    <x v="0"/>
    <x v="9"/>
    <x v="15"/>
    <s v="SE2A"/>
    <x v="0"/>
    <x v="0"/>
    <s v="GWND_WIND"/>
    <x v="4"/>
    <x v="1"/>
    <n v="49.660604240535399"/>
    <n v="3021.02009129924"/>
    <n v="10875.672328677299"/>
  </r>
  <r>
    <x v="0"/>
    <x v="0"/>
    <x v="0"/>
    <x v="9"/>
    <x v="15"/>
    <s v="SE2A"/>
    <x v="0"/>
    <x v="0"/>
    <s v="GWND_WIND"/>
    <x v="4"/>
    <x v="2"/>
    <n v="59.584720719560103"/>
    <n v="3624.73717710657"/>
    <n v="13049.0538375837"/>
  </r>
  <r>
    <x v="0"/>
    <x v="0"/>
    <x v="0"/>
    <x v="9"/>
    <x v="15"/>
    <s v="SE2A"/>
    <x v="0"/>
    <x v="0"/>
    <s v="GWND_WIND"/>
    <x v="4"/>
    <x v="3"/>
    <n v="60.051674399811702"/>
    <n v="3653.1435259885402"/>
    <n v="13151.3166935588"/>
  </r>
  <r>
    <x v="0"/>
    <x v="0"/>
    <x v="0"/>
    <x v="9"/>
    <x v="15"/>
    <s v="SE2A"/>
    <x v="0"/>
    <x v="0"/>
    <s v="GWND_WIND"/>
    <x v="4"/>
    <x v="4"/>
    <n v="57.248975066074898"/>
    <n v="3482.6459831862198"/>
    <n v="12537.5255394704"/>
  </r>
  <r>
    <x v="0"/>
    <x v="0"/>
    <x v="0"/>
    <x v="9"/>
    <x v="15"/>
    <s v="SE2A"/>
    <x v="0"/>
    <x v="0"/>
    <s v="GWND_WIND"/>
    <x v="4"/>
    <x v="5"/>
    <n v="58.450057180103798"/>
    <n v="3555.7118117896498"/>
    <n v="12800.5625224427"/>
  </r>
  <r>
    <x v="0"/>
    <x v="0"/>
    <x v="0"/>
    <x v="9"/>
    <x v="15"/>
    <s v="SE2A"/>
    <x v="0"/>
    <x v="0"/>
    <s v="GWND_WIND"/>
    <x v="4"/>
    <x v="6"/>
    <n v="54.485333064378501"/>
    <n v="3314.5244280830302"/>
    <n v="11932.287941098901"/>
  </r>
  <r>
    <x v="0"/>
    <x v="0"/>
    <x v="0"/>
    <x v="9"/>
    <x v="15"/>
    <s v="SE2A"/>
    <x v="0"/>
    <x v="0"/>
    <s v="GWND_WIND"/>
    <x v="4"/>
    <x v="7"/>
    <n v="54.382624219240299"/>
    <n v="3308.2763066704501"/>
    <n v="11909.7947040136"/>
  </r>
  <r>
    <x v="0"/>
    <x v="0"/>
    <x v="0"/>
    <x v="9"/>
    <x v="15"/>
    <s v="SE2A"/>
    <x v="0"/>
    <x v="0"/>
    <s v="GWND_WIND"/>
    <x v="4"/>
    <x v="8"/>
    <n v="47.717546557524798"/>
    <n v="2902.8174155827601"/>
    <n v="10450.142696097901"/>
  </r>
  <r>
    <x v="0"/>
    <x v="0"/>
    <x v="0"/>
    <x v="9"/>
    <x v="15"/>
    <s v="SE2A"/>
    <x v="0"/>
    <x v="0"/>
    <s v="GWND_WIND"/>
    <x v="4"/>
    <x v="9"/>
    <n v="40.523396004835099"/>
    <n v="2465.1732569607998"/>
    <n v="8874.6237250588892"/>
  </r>
  <r>
    <x v="0"/>
    <x v="0"/>
    <x v="0"/>
    <x v="9"/>
    <x v="15"/>
    <s v="SE2A"/>
    <x v="0"/>
    <x v="0"/>
    <s v="GWND_WIND"/>
    <x v="4"/>
    <x v="10"/>
    <n v="42.3318230897804"/>
    <n v="2575.1859046283098"/>
    <n v="9270.6692566619204"/>
  </r>
  <r>
    <x v="0"/>
    <x v="0"/>
    <x v="0"/>
    <x v="9"/>
    <x v="15"/>
    <s v="SE2A"/>
    <x v="0"/>
    <x v="0"/>
    <s v="GWND_WIND"/>
    <x v="4"/>
    <x v="11"/>
    <n v="40.6816571805047"/>
    <n v="2474.8008118140401"/>
    <n v="8909.2829225305304"/>
  </r>
  <r>
    <x v="0"/>
    <x v="0"/>
    <x v="0"/>
    <x v="9"/>
    <x v="15"/>
    <s v="SE2A"/>
    <x v="0"/>
    <x v="0"/>
    <s v="GWND_WIND"/>
    <x v="5"/>
    <x v="0"/>
    <n v="86.875488261525902"/>
    <n v="5284.9255359094896"/>
    <n v="19025.7319292742"/>
  </r>
  <r>
    <x v="0"/>
    <x v="0"/>
    <x v="0"/>
    <x v="9"/>
    <x v="15"/>
    <s v="SE2A"/>
    <x v="0"/>
    <x v="0"/>
    <s v="GWND_WIND"/>
    <x v="5"/>
    <x v="1"/>
    <n v="102.260170806258"/>
    <n v="6220.8270573807204"/>
    <n v="22394.977406570601"/>
  </r>
  <r>
    <x v="0"/>
    <x v="0"/>
    <x v="0"/>
    <x v="9"/>
    <x v="15"/>
    <s v="SE2A"/>
    <x v="0"/>
    <x v="0"/>
    <s v="GWND_WIND"/>
    <x v="5"/>
    <x v="2"/>
    <n v="116.081570988213"/>
    <n v="7061.6289017829504"/>
    <n v="25421.864046418599"/>
  </r>
  <r>
    <x v="0"/>
    <x v="0"/>
    <x v="0"/>
    <x v="9"/>
    <x v="15"/>
    <s v="SE2A"/>
    <x v="0"/>
    <x v="0"/>
    <s v="GWND_WIND"/>
    <x v="5"/>
    <x v="3"/>
    <n v="132.95368874798399"/>
    <n v="8088.0160655023701"/>
    <n v="29116.8578358085"/>
  </r>
  <r>
    <x v="0"/>
    <x v="0"/>
    <x v="0"/>
    <x v="9"/>
    <x v="15"/>
    <s v="SE2A"/>
    <x v="0"/>
    <x v="0"/>
    <s v="GWND_WIND"/>
    <x v="5"/>
    <x v="4"/>
    <n v="161.202566566652"/>
    <n v="9806.4894661380204"/>
    <n v="35303.362078096899"/>
  </r>
  <r>
    <x v="0"/>
    <x v="0"/>
    <x v="0"/>
    <x v="9"/>
    <x v="15"/>
    <s v="SE2A"/>
    <x v="0"/>
    <x v="0"/>
    <s v="GWND_WIND"/>
    <x v="5"/>
    <x v="5"/>
    <n v="183.40000013972099"/>
    <n v="11156.833341833"/>
    <n v="40164.6000305989"/>
  </r>
  <r>
    <x v="0"/>
    <x v="0"/>
    <x v="0"/>
    <x v="9"/>
    <x v="15"/>
    <s v="SE2A"/>
    <x v="0"/>
    <x v="0"/>
    <s v="GWND_WIND"/>
    <x v="5"/>
    <x v="6"/>
    <n v="200.19274845811"/>
    <n v="12178.392197868399"/>
    <n v="43842.2119123261"/>
  </r>
  <r>
    <x v="0"/>
    <x v="0"/>
    <x v="0"/>
    <x v="9"/>
    <x v="15"/>
    <s v="SE2A"/>
    <x v="0"/>
    <x v="0"/>
    <s v="GWND_WIND"/>
    <x v="5"/>
    <x v="7"/>
    <n v="212.24769608515001"/>
    <n v="12911.734845179901"/>
    <n v="46482.2454426478"/>
  </r>
  <r>
    <x v="0"/>
    <x v="0"/>
    <x v="0"/>
    <x v="9"/>
    <x v="15"/>
    <s v="SE2A"/>
    <x v="0"/>
    <x v="0"/>
    <s v="GWND_WIND"/>
    <x v="5"/>
    <x v="8"/>
    <n v="235.16027628685899"/>
    <n v="14305.5834741172"/>
    <n v="51500.100506821997"/>
  </r>
  <r>
    <x v="0"/>
    <x v="0"/>
    <x v="0"/>
    <x v="9"/>
    <x v="15"/>
    <s v="SE2A"/>
    <x v="0"/>
    <x v="0"/>
    <s v="GWND_WIND"/>
    <x v="5"/>
    <x v="9"/>
    <n v="240.371694899907"/>
    <n v="14622.6114397443"/>
    <n v="52641.401183079601"/>
  </r>
  <r>
    <x v="0"/>
    <x v="0"/>
    <x v="0"/>
    <x v="9"/>
    <x v="15"/>
    <s v="SE2A"/>
    <x v="0"/>
    <x v="0"/>
    <s v="GWND_WIND"/>
    <x v="5"/>
    <x v="10"/>
    <n v="243.225212259389"/>
    <n v="14796.2004124462"/>
    <n v="53266.3214848063"/>
  </r>
  <r>
    <x v="0"/>
    <x v="0"/>
    <x v="0"/>
    <x v="9"/>
    <x v="15"/>
    <s v="SE2A"/>
    <x v="0"/>
    <x v="0"/>
    <s v="GWND_WIND"/>
    <x v="5"/>
    <x v="11"/>
    <n v="235.56872768153099"/>
    <n v="14330.4309339598"/>
    <n v="51589.551362255297"/>
  </r>
  <r>
    <x v="0"/>
    <x v="0"/>
    <x v="0"/>
    <x v="9"/>
    <x v="15"/>
    <s v="SE2A"/>
    <x v="0"/>
    <x v="0"/>
    <s v="GWND_WIND"/>
    <x v="6"/>
    <x v="0"/>
    <n v="124.885765513756"/>
    <n v="7597.2174020868297"/>
    <n v="27349.982647512599"/>
  </r>
  <r>
    <x v="0"/>
    <x v="0"/>
    <x v="0"/>
    <x v="9"/>
    <x v="15"/>
    <s v="SE2A"/>
    <x v="0"/>
    <x v="0"/>
    <s v="GWND_WIND"/>
    <x v="6"/>
    <x v="1"/>
    <n v="101.875092482318"/>
    <n v="6197.4014593410402"/>
    <n v="22310.645253627699"/>
  </r>
  <r>
    <x v="0"/>
    <x v="0"/>
    <x v="0"/>
    <x v="9"/>
    <x v="15"/>
    <s v="SE2A"/>
    <x v="0"/>
    <x v="0"/>
    <s v="GWND_WIND"/>
    <x v="6"/>
    <x v="2"/>
    <n v="69.649811746864103"/>
    <n v="4237.0302146008999"/>
    <n v="15253.308772563199"/>
  </r>
  <r>
    <x v="0"/>
    <x v="0"/>
    <x v="0"/>
    <x v="9"/>
    <x v="15"/>
    <s v="SE2A"/>
    <x v="0"/>
    <x v="0"/>
    <s v="GWND_WIND"/>
    <x v="6"/>
    <x v="3"/>
    <n v="42.883557495395998"/>
    <n v="2608.7497476365902"/>
    <n v="9391.4990914917307"/>
  </r>
  <r>
    <x v="0"/>
    <x v="0"/>
    <x v="0"/>
    <x v="9"/>
    <x v="15"/>
    <s v="SE2A"/>
    <x v="0"/>
    <x v="0"/>
    <s v="GWND_WIND"/>
    <x v="6"/>
    <x v="4"/>
    <n v="26.8917237923397"/>
    <n v="1635.91319736733"/>
    <n v="5889.2875105223902"/>
  </r>
  <r>
    <x v="0"/>
    <x v="0"/>
    <x v="0"/>
    <x v="9"/>
    <x v="15"/>
    <s v="SE2A"/>
    <x v="0"/>
    <x v="0"/>
    <s v="GWND_WIND"/>
    <x v="6"/>
    <x v="5"/>
    <n v="13.504327330058899"/>
    <n v="821.51324591191496"/>
    <n v="2957.4476852828898"/>
  </r>
  <r>
    <x v="0"/>
    <x v="0"/>
    <x v="0"/>
    <x v="9"/>
    <x v="15"/>
    <s v="SE2A"/>
    <x v="0"/>
    <x v="0"/>
    <s v="GWND_WIND"/>
    <x v="6"/>
    <x v="6"/>
    <n v="11.2618537592809"/>
    <n v="685.09610368959"/>
    <n v="2466.3459732825199"/>
  </r>
  <r>
    <x v="0"/>
    <x v="0"/>
    <x v="0"/>
    <x v="9"/>
    <x v="15"/>
    <s v="SE2A"/>
    <x v="0"/>
    <x v="0"/>
    <s v="GWND_WIND"/>
    <x v="6"/>
    <x v="7"/>
    <n v="14.215542201832699"/>
    <n v="864.77881727815304"/>
    <n v="3113.20374220135"/>
  </r>
  <r>
    <x v="0"/>
    <x v="0"/>
    <x v="0"/>
    <x v="9"/>
    <x v="15"/>
    <s v="SE2A"/>
    <x v="0"/>
    <x v="0"/>
    <s v="GWND_WIND"/>
    <x v="6"/>
    <x v="8"/>
    <n v="23.9321590975674"/>
    <n v="1455.87301176868"/>
    <n v="5241.1428423672496"/>
  </r>
  <r>
    <x v="0"/>
    <x v="0"/>
    <x v="0"/>
    <x v="9"/>
    <x v="15"/>
    <s v="SE2A"/>
    <x v="0"/>
    <x v="0"/>
    <s v="GWND_WIND"/>
    <x v="6"/>
    <x v="9"/>
    <n v="34.3478625643871"/>
    <n v="2089.4949726668801"/>
    <n v="7522.1819016007703"/>
  </r>
  <r>
    <x v="0"/>
    <x v="0"/>
    <x v="0"/>
    <x v="9"/>
    <x v="15"/>
    <s v="SE2A"/>
    <x v="0"/>
    <x v="0"/>
    <s v="GWND_WIND"/>
    <x v="6"/>
    <x v="10"/>
    <n v="32.031144211952501"/>
    <n v="1948.5612728937799"/>
    <n v="7014.8205824175902"/>
  </r>
  <r>
    <x v="0"/>
    <x v="0"/>
    <x v="0"/>
    <x v="9"/>
    <x v="15"/>
    <s v="SE2A"/>
    <x v="0"/>
    <x v="0"/>
    <s v="GWND_WIND"/>
    <x v="6"/>
    <x v="11"/>
    <n v="43.297444741843798"/>
    <n v="2633.9278884621699"/>
    <n v="9482.1403984638"/>
  </r>
  <r>
    <x v="0"/>
    <x v="0"/>
    <x v="0"/>
    <x v="9"/>
    <x v="15"/>
    <s v="SE2A"/>
    <x v="0"/>
    <x v="0"/>
    <s v="GWND_WIND"/>
    <x v="7"/>
    <x v="0"/>
    <n v="261.050577692601"/>
    <n v="15880.576809633199"/>
    <n v="57170.076514679597"/>
  </r>
  <r>
    <x v="0"/>
    <x v="0"/>
    <x v="0"/>
    <x v="9"/>
    <x v="15"/>
    <s v="SE2A"/>
    <x v="0"/>
    <x v="0"/>
    <s v="GWND_WIND"/>
    <x v="7"/>
    <x v="1"/>
    <n v="219.97320251376601"/>
    <n v="13381.7031529208"/>
    <n v="48174.131350514697"/>
  </r>
  <r>
    <x v="0"/>
    <x v="0"/>
    <x v="0"/>
    <x v="9"/>
    <x v="15"/>
    <s v="SE2A"/>
    <x v="0"/>
    <x v="0"/>
    <s v="GWND_WIND"/>
    <x v="7"/>
    <x v="2"/>
    <n v="227.57530582591301"/>
    <n v="13844.164437743"/>
    <n v="49838.991975874997"/>
  </r>
  <r>
    <x v="0"/>
    <x v="0"/>
    <x v="0"/>
    <x v="9"/>
    <x v="15"/>
    <s v="SE2A"/>
    <x v="0"/>
    <x v="0"/>
    <s v="GWND_WIND"/>
    <x v="7"/>
    <x v="3"/>
    <n v="221.151163604424"/>
    <n v="13453.3624526025"/>
    <n v="48432.104829368902"/>
  </r>
  <r>
    <x v="0"/>
    <x v="0"/>
    <x v="0"/>
    <x v="9"/>
    <x v="15"/>
    <s v="SE2A"/>
    <x v="0"/>
    <x v="0"/>
    <s v="GWND_WIND"/>
    <x v="7"/>
    <x v="4"/>
    <n v="206.71050034198601"/>
    <n v="12574.8887708042"/>
    <n v="45269.599574895001"/>
  </r>
  <r>
    <x v="0"/>
    <x v="0"/>
    <x v="0"/>
    <x v="9"/>
    <x v="15"/>
    <s v="SE2A"/>
    <x v="0"/>
    <x v="0"/>
    <s v="GWND_WIND"/>
    <x v="7"/>
    <x v="5"/>
    <n v="186.32224635627699"/>
    <n v="11334.6033200068"/>
    <n v="40804.571952024598"/>
  </r>
  <r>
    <x v="0"/>
    <x v="0"/>
    <x v="0"/>
    <x v="9"/>
    <x v="15"/>
    <s v="SE2A"/>
    <x v="0"/>
    <x v="0"/>
    <s v="GWND_WIND"/>
    <x v="7"/>
    <x v="6"/>
    <n v="206.66368504673201"/>
    <n v="12572.040840342899"/>
    <n v="45259.347025234398"/>
  </r>
  <r>
    <x v="0"/>
    <x v="0"/>
    <x v="0"/>
    <x v="9"/>
    <x v="15"/>
    <s v="SE2A"/>
    <x v="0"/>
    <x v="0"/>
    <s v="GWND_WIND"/>
    <x v="7"/>
    <x v="7"/>
    <n v="193.32766075042699"/>
    <n v="11760.766028984301"/>
    <n v="42338.757704343501"/>
  </r>
  <r>
    <x v="0"/>
    <x v="0"/>
    <x v="0"/>
    <x v="9"/>
    <x v="15"/>
    <s v="SE2A"/>
    <x v="0"/>
    <x v="0"/>
    <s v="GWND_WIND"/>
    <x v="7"/>
    <x v="8"/>
    <n v="146.889230898204"/>
    <n v="8935.7615463073798"/>
    <n v="32168.741566706602"/>
  </r>
  <r>
    <x v="0"/>
    <x v="0"/>
    <x v="0"/>
    <x v="9"/>
    <x v="15"/>
    <s v="SE2A"/>
    <x v="0"/>
    <x v="0"/>
    <s v="GWND_WIND"/>
    <x v="7"/>
    <x v="9"/>
    <n v="118.68151141287299"/>
    <n v="7219.7919442830998"/>
    <n v="25991.250999419201"/>
  </r>
  <r>
    <x v="0"/>
    <x v="0"/>
    <x v="0"/>
    <x v="9"/>
    <x v="15"/>
    <s v="SE2A"/>
    <x v="0"/>
    <x v="0"/>
    <s v="GWND_WIND"/>
    <x v="7"/>
    <x v="10"/>
    <n v="122.299025273513"/>
    <n v="7439.85737080537"/>
    <n v="26783.486534899301"/>
  </r>
  <r>
    <x v="0"/>
    <x v="0"/>
    <x v="0"/>
    <x v="9"/>
    <x v="15"/>
    <s v="SE2A"/>
    <x v="0"/>
    <x v="0"/>
    <s v="GWND_WIND"/>
    <x v="7"/>
    <x v="11"/>
    <n v="111.65224715081401"/>
    <n v="6792.1783683411704"/>
    <n v="24451.842126028201"/>
  </r>
  <r>
    <x v="0"/>
    <x v="0"/>
    <x v="0"/>
    <x v="9"/>
    <x v="15"/>
    <s v="SE2A"/>
    <x v="0"/>
    <x v="0"/>
    <s v="GWND_WIND"/>
    <x v="8"/>
    <x v="0"/>
    <n v="61.207237852128699"/>
    <n v="3723.4403026711602"/>
    <n v="13404.3850896162"/>
  </r>
  <r>
    <x v="0"/>
    <x v="0"/>
    <x v="0"/>
    <x v="9"/>
    <x v="15"/>
    <s v="SE2A"/>
    <x v="0"/>
    <x v="0"/>
    <s v="GWND_WIND"/>
    <x v="8"/>
    <x v="1"/>
    <n v="63.819135512841797"/>
    <n v="3882.3307436978798"/>
    <n v="13976.3906773124"/>
  </r>
  <r>
    <x v="0"/>
    <x v="0"/>
    <x v="0"/>
    <x v="9"/>
    <x v="15"/>
    <s v="SE2A"/>
    <x v="0"/>
    <x v="0"/>
    <s v="GWND_WIND"/>
    <x v="8"/>
    <x v="2"/>
    <n v="90.023766366880494"/>
    <n v="5476.4457873185702"/>
    <n v="19715.204834346801"/>
  </r>
  <r>
    <x v="0"/>
    <x v="0"/>
    <x v="0"/>
    <x v="9"/>
    <x v="15"/>
    <s v="SE2A"/>
    <x v="0"/>
    <x v="0"/>
    <s v="GWND_WIND"/>
    <x v="8"/>
    <x v="3"/>
    <n v="101.14830344934801"/>
    <n v="6153.1884598353399"/>
    <n v="22151.478455407199"/>
  </r>
  <r>
    <x v="0"/>
    <x v="0"/>
    <x v="0"/>
    <x v="9"/>
    <x v="15"/>
    <s v="SE2A"/>
    <x v="0"/>
    <x v="0"/>
    <s v="GWND_WIND"/>
    <x v="8"/>
    <x v="4"/>
    <n v="132.810107283847"/>
    <n v="8079.2815264340097"/>
    <n v="29085.4134951624"/>
  </r>
  <r>
    <x v="0"/>
    <x v="0"/>
    <x v="0"/>
    <x v="9"/>
    <x v="15"/>
    <s v="SE2A"/>
    <x v="0"/>
    <x v="0"/>
    <s v="GWND_WIND"/>
    <x v="8"/>
    <x v="5"/>
    <n v="155.44876386818299"/>
    <n v="9456.46646864783"/>
    <n v="34043.279287132202"/>
  </r>
  <r>
    <x v="0"/>
    <x v="0"/>
    <x v="0"/>
    <x v="9"/>
    <x v="15"/>
    <s v="SE2A"/>
    <x v="0"/>
    <x v="0"/>
    <s v="GWND_WIND"/>
    <x v="8"/>
    <x v="6"/>
    <n v="169.87226789178999"/>
    <n v="10333.8962967506"/>
    <n v="37202.026668302002"/>
  </r>
  <r>
    <x v="0"/>
    <x v="0"/>
    <x v="0"/>
    <x v="9"/>
    <x v="15"/>
    <s v="SE2A"/>
    <x v="0"/>
    <x v="0"/>
    <s v="GWND_WIND"/>
    <x v="8"/>
    <x v="7"/>
    <n v="195.02779573169801"/>
    <n v="11864.1909070116"/>
    <n v="42711.087265241898"/>
  </r>
  <r>
    <x v="0"/>
    <x v="0"/>
    <x v="0"/>
    <x v="9"/>
    <x v="15"/>
    <s v="SE2A"/>
    <x v="0"/>
    <x v="0"/>
    <s v="GWND_WIND"/>
    <x v="8"/>
    <x v="8"/>
    <n v="212.22471791894901"/>
    <n v="12910.337006735999"/>
    <n v="46477.213224249703"/>
  </r>
  <r>
    <x v="0"/>
    <x v="0"/>
    <x v="0"/>
    <x v="9"/>
    <x v="15"/>
    <s v="SE2A"/>
    <x v="0"/>
    <x v="0"/>
    <s v="GWND_WIND"/>
    <x v="8"/>
    <x v="9"/>
    <n v="218.21309936857401"/>
    <n v="13274.630211588301"/>
    <n v="47788.668761717803"/>
  </r>
  <r>
    <x v="0"/>
    <x v="0"/>
    <x v="0"/>
    <x v="9"/>
    <x v="15"/>
    <s v="SE2A"/>
    <x v="0"/>
    <x v="0"/>
    <s v="GWND_WIND"/>
    <x v="8"/>
    <x v="10"/>
    <n v="214.33218600533201"/>
    <n v="13038.541315324401"/>
    <n v="46938.748735167697"/>
  </r>
  <r>
    <x v="0"/>
    <x v="0"/>
    <x v="0"/>
    <x v="9"/>
    <x v="15"/>
    <s v="SE2A"/>
    <x v="0"/>
    <x v="0"/>
    <s v="GWND_WIND"/>
    <x v="8"/>
    <x v="11"/>
    <n v="208.783082161702"/>
    <n v="12700.9708315035"/>
    <n v="45723.494993412802"/>
  </r>
  <r>
    <x v="0"/>
    <x v="0"/>
    <x v="0"/>
    <x v="9"/>
    <x v="15"/>
    <s v="SE2A"/>
    <x v="0"/>
    <x v="0"/>
    <s v="GWND_WIND"/>
    <x v="9"/>
    <x v="0"/>
    <n v="105.556841113671"/>
    <n v="6421.3745010816401"/>
    <n v="23116.948203893899"/>
  </r>
  <r>
    <x v="0"/>
    <x v="0"/>
    <x v="0"/>
    <x v="9"/>
    <x v="15"/>
    <s v="SE2A"/>
    <x v="0"/>
    <x v="0"/>
    <s v="GWND_WIND"/>
    <x v="9"/>
    <x v="1"/>
    <n v="99.099323999769794"/>
    <n v="6028.5422099859998"/>
    <n v="21702.7519559496"/>
  </r>
  <r>
    <x v="0"/>
    <x v="0"/>
    <x v="0"/>
    <x v="9"/>
    <x v="15"/>
    <s v="SE2A"/>
    <x v="0"/>
    <x v="0"/>
    <s v="GWND_WIND"/>
    <x v="9"/>
    <x v="2"/>
    <n v="94.965345075775204"/>
    <n v="5777.0584921096597"/>
    <n v="20797.410571594799"/>
  </r>
  <r>
    <x v="0"/>
    <x v="0"/>
    <x v="0"/>
    <x v="9"/>
    <x v="15"/>
    <s v="SE2A"/>
    <x v="0"/>
    <x v="0"/>
    <s v="GWND_WIND"/>
    <x v="9"/>
    <x v="3"/>
    <n v="80.073254068613494"/>
    <n v="4871.1229558406503"/>
    <n v="17536.042641026401"/>
  </r>
  <r>
    <x v="0"/>
    <x v="0"/>
    <x v="0"/>
    <x v="9"/>
    <x v="15"/>
    <s v="SE2A"/>
    <x v="0"/>
    <x v="0"/>
    <s v="GWND_WIND"/>
    <x v="9"/>
    <x v="4"/>
    <n v="69.0908061843122"/>
    <n v="4203.0240428789903"/>
    <n v="15130.886554364401"/>
  </r>
  <r>
    <x v="0"/>
    <x v="0"/>
    <x v="0"/>
    <x v="9"/>
    <x v="15"/>
    <s v="SE2A"/>
    <x v="0"/>
    <x v="0"/>
    <s v="GWND_WIND"/>
    <x v="9"/>
    <x v="5"/>
    <n v="58.047438361574798"/>
    <n v="3531.2191669958002"/>
    <n v="12712.3890011849"/>
  </r>
  <r>
    <x v="0"/>
    <x v="0"/>
    <x v="0"/>
    <x v="9"/>
    <x v="15"/>
    <s v="SE2A"/>
    <x v="0"/>
    <x v="0"/>
    <s v="GWND_WIND"/>
    <x v="9"/>
    <x v="6"/>
    <n v="57.188810359807199"/>
    <n v="3478.9859635549401"/>
    <n v="12524.3494687978"/>
  </r>
  <r>
    <x v="0"/>
    <x v="0"/>
    <x v="0"/>
    <x v="9"/>
    <x v="15"/>
    <s v="SE2A"/>
    <x v="0"/>
    <x v="0"/>
    <s v="GWND_WIND"/>
    <x v="9"/>
    <x v="7"/>
    <n v="56.228572694177501"/>
    <n v="3420.5715055624701"/>
    <n v="12314.057420024899"/>
  </r>
  <r>
    <x v="0"/>
    <x v="0"/>
    <x v="0"/>
    <x v="9"/>
    <x v="15"/>
    <s v="SE2A"/>
    <x v="0"/>
    <x v="0"/>
    <s v="GWND_WIND"/>
    <x v="9"/>
    <x v="8"/>
    <n v="59.494356735660098"/>
    <n v="3619.24003475266"/>
    <n v="13029.264125109599"/>
  </r>
  <r>
    <x v="0"/>
    <x v="0"/>
    <x v="0"/>
    <x v="9"/>
    <x v="15"/>
    <s v="SE2A"/>
    <x v="0"/>
    <x v="0"/>
    <s v="GWND_WIND"/>
    <x v="9"/>
    <x v="9"/>
    <n v="47.842501084652703"/>
    <n v="2910.4188159830401"/>
    <n v="10477.507737538899"/>
  </r>
  <r>
    <x v="0"/>
    <x v="0"/>
    <x v="0"/>
    <x v="9"/>
    <x v="15"/>
    <s v="SE2A"/>
    <x v="0"/>
    <x v="0"/>
    <s v="GWND_WIND"/>
    <x v="9"/>
    <x v="10"/>
    <n v="38.7933938661022"/>
    <n v="2359.93146018789"/>
    <n v="8495.7532566763894"/>
  </r>
  <r>
    <x v="0"/>
    <x v="0"/>
    <x v="0"/>
    <x v="9"/>
    <x v="15"/>
    <s v="SE2A"/>
    <x v="0"/>
    <x v="0"/>
    <s v="GWND_WIND"/>
    <x v="9"/>
    <x v="11"/>
    <n v="38.889928005825702"/>
    <n v="2365.80395368773"/>
    <n v="8516.8942332758306"/>
  </r>
  <r>
    <x v="0"/>
    <x v="0"/>
    <x v="0"/>
    <x v="9"/>
    <x v="15"/>
    <s v="SE2A"/>
    <x v="0"/>
    <x v="0"/>
    <s v="GWND_WIND"/>
    <x v="10"/>
    <x v="0"/>
    <n v="340.27255407927299"/>
    <n v="20699.9137064891"/>
    <n v="74519.689343360806"/>
  </r>
  <r>
    <x v="0"/>
    <x v="0"/>
    <x v="0"/>
    <x v="9"/>
    <x v="15"/>
    <s v="SE2A"/>
    <x v="0"/>
    <x v="0"/>
    <s v="GWND_WIND"/>
    <x v="10"/>
    <x v="1"/>
    <n v="332.55538796156702"/>
    <n v="20230.452767661998"/>
    <n v="72829.629963583095"/>
  </r>
  <r>
    <x v="0"/>
    <x v="0"/>
    <x v="0"/>
    <x v="9"/>
    <x v="15"/>
    <s v="SE2A"/>
    <x v="0"/>
    <x v="0"/>
    <s v="GWND_WIND"/>
    <x v="10"/>
    <x v="2"/>
    <n v="294.65471946475498"/>
    <n v="17924.8287674393"/>
    <n v="64529.383562781302"/>
  </r>
  <r>
    <x v="0"/>
    <x v="0"/>
    <x v="0"/>
    <x v="9"/>
    <x v="15"/>
    <s v="SE2A"/>
    <x v="0"/>
    <x v="0"/>
    <s v="GWND_WIND"/>
    <x v="10"/>
    <x v="3"/>
    <n v="302.93814865317501"/>
    <n v="18428.737376401499"/>
    <n v="66343.454555045406"/>
  </r>
  <r>
    <x v="0"/>
    <x v="0"/>
    <x v="0"/>
    <x v="9"/>
    <x v="15"/>
    <s v="SE2A"/>
    <x v="0"/>
    <x v="0"/>
    <s v="GWND_WIND"/>
    <x v="10"/>
    <x v="4"/>
    <n v="299.92129368396598"/>
    <n v="18245.212032441301"/>
    <n v="65682.763316788696"/>
  </r>
  <r>
    <x v="0"/>
    <x v="0"/>
    <x v="0"/>
    <x v="9"/>
    <x v="15"/>
    <s v="SE2A"/>
    <x v="0"/>
    <x v="0"/>
    <s v="GWND_WIND"/>
    <x v="10"/>
    <x v="5"/>
    <n v="277.656467923771"/>
    <n v="16890.7684653627"/>
    <n v="60806.7664753059"/>
  </r>
  <r>
    <x v="0"/>
    <x v="0"/>
    <x v="0"/>
    <x v="9"/>
    <x v="15"/>
    <s v="SE2A"/>
    <x v="0"/>
    <x v="0"/>
    <s v="GWND_WIND"/>
    <x v="10"/>
    <x v="6"/>
    <n v="285.61104081863402"/>
    <n v="17374.671649800199"/>
    <n v="62548.817939280802"/>
  </r>
  <r>
    <x v="0"/>
    <x v="0"/>
    <x v="0"/>
    <x v="9"/>
    <x v="15"/>
    <s v="SE2A"/>
    <x v="0"/>
    <x v="0"/>
    <s v="GWND_WIND"/>
    <x v="10"/>
    <x v="7"/>
    <n v="307.27340058970299"/>
    <n v="18692.465202540301"/>
    <n v="67292.8747291451"/>
  </r>
  <r>
    <x v="0"/>
    <x v="0"/>
    <x v="0"/>
    <x v="9"/>
    <x v="15"/>
    <s v="SE2A"/>
    <x v="0"/>
    <x v="0"/>
    <s v="GWND_WIND"/>
    <x v="10"/>
    <x v="8"/>
    <n v="313.53986580305502"/>
    <n v="19073.675169685899"/>
    <n v="68665.230610869097"/>
  </r>
  <r>
    <x v="0"/>
    <x v="0"/>
    <x v="0"/>
    <x v="9"/>
    <x v="15"/>
    <s v="SE2A"/>
    <x v="0"/>
    <x v="0"/>
    <s v="GWND_WIND"/>
    <x v="10"/>
    <x v="9"/>
    <n v="333.28939628613199"/>
    <n v="20275.1049407397"/>
    <n v="72990.377786662793"/>
  </r>
  <r>
    <x v="0"/>
    <x v="0"/>
    <x v="0"/>
    <x v="9"/>
    <x v="15"/>
    <s v="SE2A"/>
    <x v="0"/>
    <x v="0"/>
    <s v="GWND_WIND"/>
    <x v="10"/>
    <x v="10"/>
    <n v="331.88126772811398"/>
    <n v="20189.443786793599"/>
    <n v="72681.9976324569"/>
  </r>
  <r>
    <x v="0"/>
    <x v="0"/>
    <x v="0"/>
    <x v="9"/>
    <x v="15"/>
    <s v="SE2A"/>
    <x v="0"/>
    <x v="0"/>
    <s v="GWND_WIND"/>
    <x v="10"/>
    <x v="11"/>
    <n v="350.61226390151103"/>
    <n v="21328.9127206753"/>
    <n v="76784.085794430997"/>
  </r>
  <r>
    <x v="0"/>
    <x v="0"/>
    <x v="0"/>
    <x v="9"/>
    <x v="15"/>
    <s v="SE2A"/>
    <x v="0"/>
    <x v="0"/>
    <s v="GWND_WIND"/>
    <x v="11"/>
    <x v="0"/>
    <n v="116.272690222715"/>
    <n v="7073.2553218818002"/>
    <n v="25463.7191587745"/>
  </r>
  <r>
    <x v="0"/>
    <x v="0"/>
    <x v="0"/>
    <x v="9"/>
    <x v="15"/>
    <s v="SE2A"/>
    <x v="0"/>
    <x v="0"/>
    <s v="GWND_WIND"/>
    <x v="11"/>
    <x v="1"/>
    <n v="153.76686910865499"/>
    <n v="9354.1512041098504"/>
    <n v="33674.944334795502"/>
  </r>
  <r>
    <x v="0"/>
    <x v="0"/>
    <x v="0"/>
    <x v="9"/>
    <x v="15"/>
    <s v="SE2A"/>
    <x v="0"/>
    <x v="0"/>
    <s v="GWND_WIND"/>
    <x v="11"/>
    <x v="2"/>
    <n v="185.052291618087"/>
    <n v="11257.3477401003"/>
    <n v="40526.451864361101"/>
  </r>
  <r>
    <x v="0"/>
    <x v="0"/>
    <x v="0"/>
    <x v="9"/>
    <x v="15"/>
    <s v="SE2A"/>
    <x v="0"/>
    <x v="0"/>
    <s v="GWND_WIND"/>
    <x v="11"/>
    <x v="3"/>
    <n v="204.17408313194699"/>
    <n v="12420.5900571935"/>
    <n v="44714.1242058965"/>
  </r>
  <r>
    <x v="0"/>
    <x v="0"/>
    <x v="0"/>
    <x v="9"/>
    <x v="15"/>
    <s v="SE2A"/>
    <x v="0"/>
    <x v="0"/>
    <s v="GWND_WIND"/>
    <x v="11"/>
    <x v="4"/>
    <n v="231.91205093833099"/>
    <n v="14107.9830987484"/>
    <n v="50788.739155494397"/>
  </r>
  <r>
    <x v="0"/>
    <x v="0"/>
    <x v="0"/>
    <x v="9"/>
    <x v="15"/>
    <s v="SE2A"/>
    <x v="0"/>
    <x v="0"/>
    <s v="GWND_WIND"/>
    <x v="11"/>
    <x v="5"/>
    <n v="227.82335227746"/>
    <n v="13859.2539302121"/>
    <n v="49893.314148763697"/>
  </r>
  <r>
    <x v="0"/>
    <x v="0"/>
    <x v="0"/>
    <x v="9"/>
    <x v="15"/>
    <s v="SE2A"/>
    <x v="0"/>
    <x v="0"/>
    <s v="GWND_WIND"/>
    <x v="11"/>
    <x v="6"/>
    <n v="237.19912379644401"/>
    <n v="14429.613364283699"/>
    <n v="51946.608111421199"/>
  </r>
  <r>
    <x v="0"/>
    <x v="0"/>
    <x v="0"/>
    <x v="9"/>
    <x v="15"/>
    <s v="SE2A"/>
    <x v="0"/>
    <x v="0"/>
    <s v="GWND_WIND"/>
    <x v="11"/>
    <x v="7"/>
    <n v="233.83173464069"/>
    <n v="14224.763857308701"/>
    <n v="51209.149886311199"/>
  </r>
  <r>
    <x v="0"/>
    <x v="0"/>
    <x v="0"/>
    <x v="9"/>
    <x v="15"/>
    <s v="SE2A"/>
    <x v="0"/>
    <x v="0"/>
    <s v="GWND_WIND"/>
    <x v="11"/>
    <x v="8"/>
    <n v="239.684416338278"/>
    <n v="14580.8019939119"/>
    <n v="52490.887178082798"/>
  </r>
  <r>
    <x v="0"/>
    <x v="0"/>
    <x v="0"/>
    <x v="9"/>
    <x v="15"/>
    <s v="SE2A"/>
    <x v="0"/>
    <x v="0"/>
    <s v="GWND_WIND"/>
    <x v="11"/>
    <x v="9"/>
    <n v="241.64370514347999"/>
    <n v="14699.992062895"/>
    <n v="52919.971426422002"/>
  </r>
  <r>
    <x v="0"/>
    <x v="0"/>
    <x v="0"/>
    <x v="9"/>
    <x v="15"/>
    <s v="SE2A"/>
    <x v="0"/>
    <x v="0"/>
    <s v="GWND_WIND"/>
    <x v="11"/>
    <x v="10"/>
    <n v="254.63635631006599"/>
    <n v="15490.3783421957"/>
    <n v="55765.362031904398"/>
  </r>
  <r>
    <x v="0"/>
    <x v="0"/>
    <x v="0"/>
    <x v="9"/>
    <x v="15"/>
    <s v="SE2A"/>
    <x v="0"/>
    <x v="0"/>
    <s v="GWND_WIND"/>
    <x v="11"/>
    <x v="11"/>
    <n v="264.573558323805"/>
    <n v="16094.891464698099"/>
    <n v="57941.6092729132"/>
  </r>
  <r>
    <x v="0"/>
    <x v="0"/>
    <x v="0"/>
    <x v="9"/>
    <x v="15"/>
    <s v="SE2_EL"/>
    <x v="1"/>
    <x v="1"/>
    <s v="SolarPV-50"/>
    <x v="0"/>
    <x v="3"/>
    <n v="146.701624664451"/>
    <n v="8924.3488337541203"/>
    <n v="32127.6558015148"/>
  </r>
  <r>
    <x v="0"/>
    <x v="0"/>
    <x v="0"/>
    <x v="9"/>
    <x v="15"/>
    <s v="SE2_EL"/>
    <x v="1"/>
    <x v="1"/>
    <s v="SolarPV-50"/>
    <x v="0"/>
    <x v="4"/>
    <n v="207.36301537259001"/>
    <n v="12614.5834351659"/>
    <n v="45412.500366597298"/>
  </r>
  <r>
    <x v="0"/>
    <x v="0"/>
    <x v="0"/>
    <x v="9"/>
    <x v="15"/>
    <s v="SE2_EL"/>
    <x v="1"/>
    <x v="1"/>
    <s v="SolarPV-50"/>
    <x v="0"/>
    <x v="7"/>
    <n v="472.46584926144601"/>
    <n v="28741.672496738"/>
    <n v="103470.02098825701"/>
  </r>
  <r>
    <x v="0"/>
    <x v="0"/>
    <x v="0"/>
    <x v="9"/>
    <x v="15"/>
    <s v="SE2_EL"/>
    <x v="1"/>
    <x v="1"/>
    <s v="SolarPV-50"/>
    <x v="0"/>
    <x v="8"/>
    <n v="414.217479516163"/>
    <n v="25198.230003899898"/>
    <n v="90713.628014039699"/>
  </r>
  <r>
    <x v="0"/>
    <x v="0"/>
    <x v="0"/>
    <x v="9"/>
    <x v="15"/>
    <s v="SE2_EL"/>
    <x v="1"/>
    <x v="1"/>
    <s v="SolarPV-50"/>
    <x v="0"/>
    <x v="10"/>
    <n v="485.029450533324"/>
    <n v="29505.9582407772"/>
    <n v="106221.449666798"/>
  </r>
  <r>
    <x v="0"/>
    <x v="0"/>
    <x v="0"/>
    <x v="9"/>
    <x v="15"/>
    <s v="SE2_EL"/>
    <x v="1"/>
    <x v="1"/>
    <s v="SolarPV-50"/>
    <x v="1"/>
    <x v="0"/>
    <n v="888.41236948268602"/>
    <n v="54045.085810196702"/>
    <n v="194562.30891670799"/>
  </r>
  <r>
    <x v="0"/>
    <x v="0"/>
    <x v="0"/>
    <x v="9"/>
    <x v="15"/>
    <s v="SE2_EL"/>
    <x v="1"/>
    <x v="1"/>
    <s v="SolarPV-50"/>
    <x v="1"/>
    <x v="1"/>
    <n v="873.66643974774104"/>
    <n v="53148.041751320903"/>
    <n v="191332.95030475501"/>
  </r>
  <r>
    <x v="0"/>
    <x v="0"/>
    <x v="0"/>
    <x v="9"/>
    <x v="15"/>
    <s v="SE2_EL"/>
    <x v="1"/>
    <x v="1"/>
    <s v="SolarPV-50"/>
    <x v="1"/>
    <x v="2"/>
    <n v="870.91836536780295"/>
    <n v="52980.867226541399"/>
    <n v="190731.12201554899"/>
  </r>
  <r>
    <x v="0"/>
    <x v="0"/>
    <x v="0"/>
    <x v="9"/>
    <x v="15"/>
    <s v="SE2_EL"/>
    <x v="1"/>
    <x v="1"/>
    <s v="SolarPV-50"/>
    <x v="1"/>
    <x v="3"/>
    <n v="919.286957191635"/>
    <n v="55923.289895824499"/>
    <n v="201323.84362496799"/>
  </r>
  <r>
    <x v="0"/>
    <x v="0"/>
    <x v="0"/>
    <x v="9"/>
    <x v="15"/>
    <s v="SE2_EL"/>
    <x v="1"/>
    <x v="1"/>
    <s v="SolarPV-50"/>
    <x v="1"/>
    <x v="4"/>
    <n v="924.05207133984197"/>
    <n v="56213.167673173702"/>
    <n v="202367.40362342499"/>
  </r>
  <r>
    <x v="0"/>
    <x v="0"/>
    <x v="0"/>
    <x v="9"/>
    <x v="15"/>
    <s v="SE2_EL"/>
    <x v="1"/>
    <x v="1"/>
    <s v="SolarPV-50"/>
    <x v="1"/>
    <x v="6"/>
    <n v="1154.96934607808"/>
    <n v="70260.635219749907"/>
    <n v="252938.28679109999"/>
  </r>
  <r>
    <x v="0"/>
    <x v="0"/>
    <x v="0"/>
    <x v="9"/>
    <x v="15"/>
    <s v="SE2_EL"/>
    <x v="1"/>
    <x v="1"/>
    <s v="SolarPV-50"/>
    <x v="1"/>
    <x v="10"/>
    <n v="1213.31056741269"/>
    <n v="73809.7261842718"/>
    <n v="265715.01426337898"/>
  </r>
  <r>
    <x v="0"/>
    <x v="0"/>
    <x v="0"/>
    <x v="9"/>
    <x v="15"/>
    <s v="SE2_EL"/>
    <x v="1"/>
    <x v="1"/>
    <s v="SolarPV-50"/>
    <x v="2"/>
    <x v="0"/>
    <n v="492.40219925843797"/>
    <n v="29954.467121555001"/>
    <n v="107836.08163759801"/>
  </r>
  <r>
    <x v="0"/>
    <x v="0"/>
    <x v="0"/>
    <x v="9"/>
    <x v="15"/>
    <s v="SE2_EL"/>
    <x v="1"/>
    <x v="1"/>
    <s v="SolarPV-50"/>
    <x v="2"/>
    <x v="1"/>
    <n v="404.91457213594202"/>
    <n v="24632.303138269799"/>
    <n v="88676.291297771299"/>
  </r>
  <r>
    <x v="0"/>
    <x v="0"/>
    <x v="0"/>
    <x v="9"/>
    <x v="15"/>
    <s v="SE2_EL"/>
    <x v="1"/>
    <x v="1"/>
    <s v="SolarPV-50"/>
    <x v="2"/>
    <x v="2"/>
    <n v="353.91062307856203"/>
    <n v="21529.562903945902"/>
    <n v="77506.426454205197"/>
  </r>
  <r>
    <x v="0"/>
    <x v="0"/>
    <x v="0"/>
    <x v="9"/>
    <x v="15"/>
    <s v="SE2_EL"/>
    <x v="1"/>
    <x v="1"/>
    <s v="SolarPV-50"/>
    <x v="2"/>
    <x v="3"/>
    <n v="276.815880192468"/>
    <n v="16839.632711708498"/>
    <n v="60622.677762150597"/>
  </r>
  <r>
    <x v="0"/>
    <x v="0"/>
    <x v="0"/>
    <x v="9"/>
    <x v="15"/>
    <s v="SE2_EL"/>
    <x v="1"/>
    <x v="1"/>
    <s v="SolarPV-50"/>
    <x v="2"/>
    <x v="5"/>
    <n v="48.651471366695603"/>
    <n v="2959.6311748073099"/>
    <n v="10654.672229306299"/>
  </r>
  <r>
    <x v="0"/>
    <x v="0"/>
    <x v="0"/>
    <x v="9"/>
    <x v="15"/>
    <s v="SE2_EL"/>
    <x v="1"/>
    <x v="1"/>
    <s v="SolarPV-50"/>
    <x v="2"/>
    <x v="6"/>
    <n v="515.11966651471096"/>
    <n v="31336.446379644902"/>
    <n v="112811.20696672201"/>
  </r>
  <r>
    <x v="0"/>
    <x v="0"/>
    <x v="0"/>
    <x v="9"/>
    <x v="15"/>
    <s v="SE2_EL"/>
    <x v="1"/>
    <x v="1"/>
    <s v="SolarPV-50"/>
    <x v="2"/>
    <x v="7"/>
    <n v="592.35759408070896"/>
    <n v="36035.086973243197"/>
    <n v="129726.313103675"/>
  </r>
  <r>
    <x v="0"/>
    <x v="0"/>
    <x v="0"/>
    <x v="9"/>
    <x v="15"/>
    <s v="SE2_EL"/>
    <x v="1"/>
    <x v="1"/>
    <s v="SolarPV-50"/>
    <x v="2"/>
    <x v="9"/>
    <n v="605.47230455454996"/>
    <n v="36832.898527068501"/>
    <n v="132598.43469744601"/>
  </r>
  <r>
    <x v="0"/>
    <x v="0"/>
    <x v="0"/>
    <x v="9"/>
    <x v="15"/>
    <s v="SE2_EL"/>
    <x v="1"/>
    <x v="1"/>
    <s v="SolarPV-50"/>
    <x v="2"/>
    <x v="10"/>
    <n v="678.91624566979203"/>
    <n v="41300.738278245699"/>
    <n v="148682.65780168399"/>
  </r>
  <r>
    <x v="0"/>
    <x v="0"/>
    <x v="0"/>
    <x v="9"/>
    <x v="15"/>
    <s v="SE2_EL"/>
    <x v="1"/>
    <x v="1"/>
    <s v="SolarPV-50"/>
    <x v="3"/>
    <x v="0"/>
    <n v="978.47996320859295"/>
    <n v="59524.1977618561"/>
    <n v="214287.11194268201"/>
  </r>
  <r>
    <x v="0"/>
    <x v="0"/>
    <x v="0"/>
    <x v="9"/>
    <x v="15"/>
    <s v="SE2_EL"/>
    <x v="1"/>
    <x v="1"/>
    <s v="SolarPV-50"/>
    <x v="3"/>
    <x v="1"/>
    <n v="1030.6014921329499"/>
    <n v="62694.924104754296"/>
    <n v="225701.72677711499"/>
  </r>
  <r>
    <x v="0"/>
    <x v="0"/>
    <x v="0"/>
    <x v="9"/>
    <x v="15"/>
    <s v="SE2_EL"/>
    <x v="1"/>
    <x v="1"/>
    <s v="SolarPV-50"/>
    <x v="3"/>
    <x v="3"/>
    <n v="984.19236297214104"/>
    <n v="59871.702080805197"/>
    <n v="215538.127490899"/>
  </r>
  <r>
    <x v="0"/>
    <x v="0"/>
    <x v="0"/>
    <x v="9"/>
    <x v="15"/>
    <s v="SE2_EL"/>
    <x v="1"/>
    <x v="1"/>
    <s v="SolarPV-50"/>
    <x v="3"/>
    <x v="4"/>
    <n v="1096.2805476134899"/>
    <n v="66690.399979820402"/>
    <n v="240085.43992735399"/>
  </r>
  <r>
    <x v="0"/>
    <x v="0"/>
    <x v="0"/>
    <x v="9"/>
    <x v="15"/>
    <s v="SE2_EL"/>
    <x v="1"/>
    <x v="1"/>
    <s v="SolarPV-50"/>
    <x v="3"/>
    <x v="5"/>
    <n v="1082.21295107371"/>
    <n v="65834.621190317703"/>
    <n v="237004.63628514399"/>
  </r>
  <r>
    <x v="0"/>
    <x v="0"/>
    <x v="0"/>
    <x v="9"/>
    <x v="15"/>
    <s v="SE2_EL"/>
    <x v="1"/>
    <x v="1"/>
    <s v="SolarPV-50"/>
    <x v="3"/>
    <x v="6"/>
    <n v="1211.8175742912599"/>
    <n v="73718.902436051401"/>
    <n v="265388.04876978497"/>
  </r>
  <r>
    <x v="0"/>
    <x v="0"/>
    <x v="0"/>
    <x v="9"/>
    <x v="15"/>
    <s v="SE2_EL"/>
    <x v="1"/>
    <x v="1"/>
    <s v="SolarPV-50"/>
    <x v="3"/>
    <x v="7"/>
    <n v="1330.6608720941399"/>
    <n v="80948.536385726999"/>
    <n v="291414.730988617"/>
  </r>
  <r>
    <x v="0"/>
    <x v="0"/>
    <x v="0"/>
    <x v="9"/>
    <x v="15"/>
    <s v="SE2_EL"/>
    <x v="1"/>
    <x v="1"/>
    <s v="SolarPV-50"/>
    <x v="3"/>
    <x v="8"/>
    <n v="1323.45715351074"/>
    <n v="80510.310171903402"/>
    <n v="289837.11661885201"/>
  </r>
  <r>
    <x v="0"/>
    <x v="0"/>
    <x v="0"/>
    <x v="9"/>
    <x v="15"/>
    <s v="SE2_EL"/>
    <x v="1"/>
    <x v="1"/>
    <s v="SolarPV-50"/>
    <x v="3"/>
    <x v="10"/>
    <n v="1376.22573172702"/>
    <n v="83720.398680060607"/>
    <n v="301393.43524821801"/>
  </r>
  <r>
    <x v="0"/>
    <x v="0"/>
    <x v="0"/>
    <x v="9"/>
    <x v="15"/>
    <s v="SE2_OTHER"/>
    <x v="1"/>
    <x v="1"/>
    <s v="SolarPV-50"/>
    <x v="0"/>
    <x v="2"/>
    <n v="172.269193436829"/>
    <n v="10479.709267407099"/>
    <n v="37726.953362665503"/>
  </r>
  <r>
    <x v="0"/>
    <x v="0"/>
    <x v="0"/>
    <x v="9"/>
    <x v="15"/>
    <s v="SE2_OTHER"/>
    <x v="1"/>
    <x v="1"/>
    <s v="SolarPV-50"/>
    <x v="0"/>
    <x v="9"/>
    <n v="436.82917071252302"/>
    <n v="26573.7745516785"/>
    <n v="95665.588386042597"/>
  </r>
  <r>
    <x v="0"/>
    <x v="0"/>
    <x v="0"/>
    <x v="9"/>
    <x v="15"/>
    <s v="SE2_OTHER"/>
    <x v="1"/>
    <x v="1"/>
    <s v="SolarPV-50"/>
    <x v="0"/>
    <x v="11"/>
    <n v="494.43557466613601"/>
    <n v="30078.164125523301"/>
    <n v="108281.390851884"/>
  </r>
  <r>
    <x v="0"/>
    <x v="0"/>
    <x v="0"/>
    <x v="9"/>
    <x v="15"/>
    <s v="SE2_OTHER"/>
    <x v="1"/>
    <x v="1"/>
    <s v="SolarPV-50"/>
    <x v="1"/>
    <x v="5"/>
    <n v="954.70690135658799"/>
    <n v="58078.003165859103"/>
    <n v="209080.811397093"/>
  </r>
  <r>
    <x v="0"/>
    <x v="0"/>
    <x v="0"/>
    <x v="9"/>
    <x v="15"/>
    <s v="SE2_OTHER"/>
    <x v="1"/>
    <x v="1"/>
    <s v="SolarPV-50"/>
    <x v="1"/>
    <x v="7"/>
    <n v="1200.8329977033"/>
    <n v="73050.674026950699"/>
    <n v="262982.42649702198"/>
  </r>
  <r>
    <x v="0"/>
    <x v="0"/>
    <x v="0"/>
    <x v="9"/>
    <x v="15"/>
    <s v="SE2_OTHER"/>
    <x v="1"/>
    <x v="1"/>
    <s v="SolarPV-50"/>
    <x v="1"/>
    <x v="8"/>
    <n v="1213.35900629189"/>
    <n v="73812.672882756393"/>
    <n v="265725.62237792299"/>
  </r>
  <r>
    <x v="0"/>
    <x v="0"/>
    <x v="0"/>
    <x v="9"/>
    <x v="15"/>
    <s v="SE2_OTHER"/>
    <x v="1"/>
    <x v="1"/>
    <s v="SolarPV-50"/>
    <x v="1"/>
    <x v="9"/>
    <n v="1205.2976962437101"/>
    <n v="73322.276521492298"/>
    <n v="263960.19547737198"/>
  </r>
  <r>
    <x v="0"/>
    <x v="0"/>
    <x v="0"/>
    <x v="9"/>
    <x v="15"/>
    <s v="SE2_OTHER"/>
    <x v="1"/>
    <x v="1"/>
    <s v="SolarPV-50"/>
    <x v="1"/>
    <x v="11"/>
    <n v="1187.11240516767"/>
    <n v="72216.004647699694"/>
    <n v="259977.616731719"/>
  </r>
  <r>
    <x v="0"/>
    <x v="0"/>
    <x v="0"/>
    <x v="9"/>
    <x v="15"/>
    <s v="SE2_OTHER"/>
    <x v="1"/>
    <x v="1"/>
    <s v="SolarPV-50"/>
    <x v="2"/>
    <x v="8"/>
    <n v="655.76580493145002"/>
    <n v="39892.419799996504"/>
    <n v="143612.71127998701"/>
  </r>
  <r>
    <x v="0"/>
    <x v="0"/>
    <x v="0"/>
    <x v="9"/>
    <x v="15"/>
    <s v="SE2_OTHER"/>
    <x v="1"/>
    <x v="1"/>
    <s v="SolarPV-50"/>
    <x v="2"/>
    <x v="11"/>
    <n v="657.79773112253497"/>
    <n v="40016.028643287602"/>
    <n v="144057.703115835"/>
  </r>
  <r>
    <x v="0"/>
    <x v="0"/>
    <x v="0"/>
    <x v="9"/>
    <x v="15"/>
    <s v="SE2_OTHER"/>
    <x v="1"/>
    <x v="1"/>
    <s v="SolarPV-50"/>
    <x v="3"/>
    <x v="2"/>
    <n v="1009.52333714626"/>
    <n v="61412.6696763976"/>
    <n v="221085.610835031"/>
  </r>
  <r>
    <x v="0"/>
    <x v="0"/>
    <x v="0"/>
    <x v="9"/>
    <x v="15"/>
    <s v="SE2_OTHER"/>
    <x v="1"/>
    <x v="1"/>
    <s v="SolarPV-50"/>
    <x v="3"/>
    <x v="9"/>
    <n v="1449.5953284095899"/>
    <n v="88183.715811583505"/>
    <n v="317461.37692170101"/>
  </r>
  <r>
    <x v="0"/>
    <x v="0"/>
    <x v="0"/>
    <x v="9"/>
    <x v="15"/>
    <s v="SE2_OTHER"/>
    <x v="1"/>
    <x v="1"/>
    <s v="SolarPV-50"/>
    <x v="3"/>
    <x v="11"/>
    <n v="1390.36539524407"/>
    <n v="84580.561544013995"/>
    <n v="304490.02155845001"/>
  </r>
  <r>
    <x v="0"/>
    <x v="0"/>
    <x v="0"/>
    <x v="9"/>
    <x v="16"/>
    <s v="SE3A"/>
    <x v="7"/>
    <x v="6"/>
    <s v="GHYRR_WATER"/>
    <x v="0"/>
    <x v="0"/>
    <n v="405.08356638384601"/>
    <n v="24642.583621684"/>
    <n v="88713.3010380622"/>
  </r>
  <r>
    <x v="0"/>
    <x v="0"/>
    <x v="0"/>
    <x v="9"/>
    <x v="16"/>
    <s v="SE3A"/>
    <x v="7"/>
    <x v="6"/>
    <s v="GHYRR_WATER"/>
    <x v="0"/>
    <x v="1"/>
    <n v="405.08356638384601"/>
    <n v="24642.583621684"/>
    <n v="88713.3010380622"/>
  </r>
  <r>
    <x v="0"/>
    <x v="0"/>
    <x v="0"/>
    <x v="9"/>
    <x v="16"/>
    <s v="SE3A"/>
    <x v="7"/>
    <x v="6"/>
    <s v="GHYRR_WATER"/>
    <x v="0"/>
    <x v="2"/>
    <n v="405.08356638384601"/>
    <n v="24642.583621684"/>
    <n v="88713.3010380622"/>
  </r>
  <r>
    <x v="0"/>
    <x v="0"/>
    <x v="0"/>
    <x v="9"/>
    <x v="16"/>
    <s v="SE3A"/>
    <x v="7"/>
    <x v="6"/>
    <s v="GHYRR_WATER"/>
    <x v="0"/>
    <x v="3"/>
    <n v="405.08356638384601"/>
    <n v="24642.583621684"/>
    <n v="88713.3010380622"/>
  </r>
  <r>
    <x v="0"/>
    <x v="0"/>
    <x v="0"/>
    <x v="9"/>
    <x v="16"/>
    <s v="SE3A"/>
    <x v="7"/>
    <x v="6"/>
    <s v="GHYRR_WATER"/>
    <x v="0"/>
    <x v="4"/>
    <n v="405.08356638384601"/>
    <n v="24642.583621684"/>
    <n v="88713.3010380622"/>
  </r>
  <r>
    <x v="0"/>
    <x v="0"/>
    <x v="0"/>
    <x v="9"/>
    <x v="16"/>
    <s v="SE3A"/>
    <x v="7"/>
    <x v="6"/>
    <s v="GHYRR_WATER"/>
    <x v="0"/>
    <x v="5"/>
    <n v="405.08356638384601"/>
    <n v="24642.583621684"/>
    <n v="88713.3010380622"/>
  </r>
  <r>
    <x v="0"/>
    <x v="0"/>
    <x v="0"/>
    <x v="9"/>
    <x v="16"/>
    <s v="SE3A"/>
    <x v="7"/>
    <x v="6"/>
    <s v="GHYRR_WATER"/>
    <x v="0"/>
    <x v="6"/>
    <n v="405.08356638384601"/>
    <n v="24642.583621684"/>
    <n v="88713.3010380622"/>
  </r>
  <r>
    <x v="0"/>
    <x v="0"/>
    <x v="0"/>
    <x v="9"/>
    <x v="16"/>
    <s v="SE3A"/>
    <x v="7"/>
    <x v="6"/>
    <s v="GHYRR_WATER"/>
    <x v="0"/>
    <x v="7"/>
    <n v="405.08356638384601"/>
    <n v="24642.583621684"/>
    <n v="88713.3010380622"/>
  </r>
  <r>
    <x v="0"/>
    <x v="0"/>
    <x v="0"/>
    <x v="9"/>
    <x v="16"/>
    <s v="SE3A"/>
    <x v="7"/>
    <x v="6"/>
    <s v="GHYRR_WATER"/>
    <x v="0"/>
    <x v="8"/>
    <n v="405.08356638384601"/>
    <n v="24642.583621684"/>
    <n v="88713.3010380622"/>
  </r>
  <r>
    <x v="0"/>
    <x v="0"/>
    <x v="0"/>
    <x v="9"/>
    <x v="16"/>
    <s v="SE3A"/>
    <x v="7"/>
    <x v="6"/>
    <s v="GHYRR_WATER"/>
    <x v="0"/>
    <x v="9"/>
    <n v="405.08356638384601"/>
    <n v="24642.583621684"/>
    <n v="88713.3010380622"/>
  </r>
  <r>
    <x v="0"/>
    <x v="0"/>
    <x v="0"/>
    <x v="9"/>
    <x v="16"/>
    <s v="SE3A"/>
    <x v="7"/>
    <x v="6"/>
    <s v="GHYRR_WATER"/>
    <x v="0"/>
    <x v="10"/>
    <n v="405.08356638384601"/>
    <n v="24642.583621684"/>
    <n v="88713.3010380622"/>
  </r>
  <r>
    <x v="0"/>
    <x v="0"/>
    <x v="0"/>
    <x v="9"/>
    <x v="16"/>
    <s v="SE3A"/>
    <x v="7"/>
    <x v="6"/>
    <s v="GHYRR_WATER"/>
    <x v="0"/>
    <x v="11"/>
    <n v="405.08356638384601"/>
    <n v="24642.583621684"/>
    <n v="88713.3010380622"/>
  </r>
  <r>
    <x v="0"/>
    <x v="0"/>
    <x v="0"/>
    <x v="9"/>
    <x v="16"/>
    <s v="SE3A"/>
    <x v="7"/>
    <x v="6"/>
    <s v="GHYRR_WATER"/>
    <x v="1"/>
    <x v="0"/>
    <n v="343.309689189008"/>
    <n v="20884.672758998"/>
    <n v="75184.821932392806"/>
  </r>
  <r>
    <x v="0"/>
    <x v="0"/>
    <x v="0"/>
    <x v="9"/>
    <x v="16"/>
    <s v="SE3A"/>
    <x v="7"/>
    <x v="6"/>
    <s v="GHYRR_WATER"/>
    <x v="1"/>
    <x v="1"/>
    <n v="343.309689189008"/>
    <n v="20884.672758998"/>
    <n v="75184.821932392806"/>
  </r>
  <r>
    <x v="0"/>
    <x v="0"/>
    <x v="0"/>
    <x v="9"/>
    <x v="16"/>
    <s v="SE3A"/>
    <x v="7"/>
    <x v="6"/>
    <s v="GHYRR_WATER"/>
    <x v="1"/>
    <x v="2"/>
    <n v="343.309689189008"/>
    <n v="20884.672758998"/>
    <n v="75184.821932392806"/>
  </r>
  <r>
    <x v="0"/>
    <x v="0"/>
    <x v="0"/>
    <x v="9"/>
    <x v="16"/>
    <s v="SE3A"/>
    <x v="7"/>
    <x v="6"/>
    <s v="GHYRR_WATER"/>
    <x v="1"/>
    <x v="3"/>
    <n v="343.309689189008"/>
    <n v="20884.672758998"/>
    <n v="75184.821932392806"/>
  </r>
  <r>
    <x v="0"/>
    <x v="0"/>
    <x v="0"/>
    <x v="9"/>
    <x v="16"/>
    <s v="SE3A"/>
    <x v="7"/>
    <x v="6"/>
    <s v="GHYRR_WATER"/>
    <x v="1"/>
    <x v="4"/>
    <n v="343.309689189008"/>
    <n v="20884.672758998"/>
    <n v="75184.821932392806"/>
  </r>
  <r>
    <x v="0"/>
    <x v="0"/>
    <x v="0"/>
    <x v="9"/>
    <x v="16"/>
    <s v="SE3A"/>
    <x v="7"/>
    <x v="6"/>
    <s v="GHYRR_WATER"/>
    <x v="1"/>
    <x v="5"/>
    <n v="343.309689189008"/>
    <n v="20884.672758998"/>
    <n v="75184.821932392806"/>
  </r>
  <r>
    <x v="0"/>
    <x v="0"/>
    <x v="0"/>
    <x v="9"/>
    <x v="16"/>
    <s v="SE3A"/>
    <x v="7"/>
    <x v="6"/>
    <s v="GHYRR_WATER"/>
    <x v="1"/>
    <x v="6"/>
    <n v="343.309689189008"/>
    <n v="20884.672758998"/>
    <n v="75184.821932392806"/>
  </r>
  <r>
    <x v="0"/>
    <x v="0"/>
    <x v="0"/>
    <x v="9"/>
    <x v="16"/>
    <s v="SE3A"/>
    <x v="7"/>
    <x v="6"/>
    <s v="GHYRR_WATER"/>
    <x v="1"/>
    <x v="7"/>
    <n v="343.309689189008"/>
    <n v="20884.672758998"/>
    <n v="75184.821932392806"/>
  </r>
  <r>
    <x v="0"/>
    <x v="0"/>
    <x v="0"/>
    <x v="9"/>
    <x v="16"/>
    <s v="SE3A"/>
    <x v="7"/>
    <x v="6"/>
    <s v="GHYRR_WATER"/>
    <x v="1"/>
    <x v="8"/>
    <n v="343.309689189008"/>
    <n v="20884.672758998"/>
    <n v="75184.821932392806"/>
  </r>
  <r>
    <x v="0"/>
    <x v="0"/>
    <x v="0"/>
    <x v="9"/>
    <x v="16"/>
    <s v="SE3A"/>
    <x v="7"/>
    <x v="6"/>
    <s v="GHYRR_WATER"/>
    <x v="1"/>
    <x v="9"/>
    <n v="343.309689189008"/>
    <n v="20884.672758998"/>
    <n v="75184.821932392806"/>
  </r>
  <r>
    <x v="0"/>
    <x v="0"/>
    <x v="0"/>
    <x v="9"/>
    <x v="16"/>
    <s v="SE3A"/>
    <x v="7"/>
    <x v="6"/>
    <s v="GHYRR_WATER"/>
    <x v="1"/>
    <x v="10"/>
    <n v="343.309689189008"/>
    <n v="20884.672758998"/>
    <n v="75184.821932392806"/>
  </r>
  <r>
    <x v="0"/>
    <x v="0"/>
    <x v="0"/>
    <x v="9"/>
    <x v="16"/>
    <s v="SE3A"/>
    <x v="7"/>
    <x v="6"/>
    <s v="GHYRR_WATER"/>
    <x v="1"/>
    <x v="11"/>
    <n v="343.309689189008"/>
    <n v="20884.672758998"/>
    <n v="75184.821932392806"/>
  </r>
  <r>
    <x v="0"/>
    <x v="0"/>
    <x v="0"/>
    <x v="9"/>
    <x v="16"/>
    <s v="SE3A"/>
    <x v="7"/>
    <x v="6"/>
    <s v="GHYRR_WATER"/>
    <x v="2"/>
    <x v="0"/>
    <n v="335.10961699500302"/>
    <n v="20385.835033862699"/>
    <n v="73389.006121905695"/>
  </r>
  <r>
    <x v="0"/>
    <x v="0"/>
    <x v="0"/>
    <x v="9"/>
    <x v="16"/>
    <s v="SE3A"/>
    <x v="7"/>
    <x v="6"/>
    <s v="GHYRR_WATER"/>
    <x v="2"/>
    <x v="1"/>
    <n v="335.10961699500302"/>
    <n v="20385.835033862699"/>
    <n v="73389.006121905695"/>
  </r>
  <r>
    <x v="0"/>
    <x v="0"/>
    <x v="0"/>
    <x v="9"/>
    <x v="16"/>
    <s v="SE3A"/>
    <x v="7"/>
    <x v="6"/>
    <s v="GHYRR_WATER"/>
    <x v="2"/>
    <x v="2"/>
    <n v="335.10961699500302"/>
    <n v="20385.835033862699"/>
    <n v="73389.006121905695"/>
  </r>
  <r>
    <x v="0"/>
    <x v="0"/>
    <x v="0"/>
    <x v="9"/>
    <x v="16"/>
    <s v="SE3A"/>
    <x v="7"/>
    <x v="6"/>
    <s v="GHYRR_WATER"/>
    <x v="2"/>
    <x v="3"/>
    <n v="335.10961699500302"/>
    <n v="20385.835033862699"/>
    <n v="73389.006121905695"/>
  </r>
  <r>
    <x v="0"/>
    <x v="0"/>
    <x v="0"/>
    <x v="9"/>
    <x v="16"/>
    <s v="SE3A"/>
    <x v="7"/>
    <x v="6"/>
    <s v="GHYRR_WATER"/>
    <x v="2"/>
    <x v="4"/>
    <n v="335.10961699500302"/>
    <n v="20385.835033862699"/>
    <n v="73389.006121905695"/>
  </r>
  <r>
    <x v="0"/>
    <x v="0"/>
    <x v="0"/>
    <x v="9"/>
    <x v="16"/>
    <s v="SE3A"/>
    <x v="7"/>
    <x v="6"/>
    <s v="GHYRR_WATER"/>
    <x v="2"/>
    <x v="5"/>
    <n v="335.10961699500302"/>
    <n v="20385.835033862699"/>
    <n v="73389.006121905695"/>
  </r>
  <r>
    <x v="0"/>
    <x v="0"/>
    <x v="0"/>
    <x v="9"/>
    <x v="16"/>
    <s v="SE3A"/>
    <x v="7"/>
    <x v="6"/>
    <s v="GHYRR_WATER"/>
    <x v="2"/>
    <x v="6"/>
    <n v="335.10961699500302"/>
    <n v="20385.835033862699"/>
    <n v="73389.006121905695"/>
  </r>
  <r>
    <x v="0"/>
    <x v="0"/>
    <x v="0"/>
    <x v="9"/>
    <x v="16"/>
    <s v="SE3A"/>
    <x v="7"/>
    <x v="6"/>
    <s v="GHYRR_WATER"/>
    <x v="2"/>
    <x v="7"/>
    <n v="335.10961699500302"/>
    <n v="20385.835033862699"/>
    <n v="73389.006121905695"/>
  </r>
  <r>
    <x v="0"/>
    <x v="0"/>
    <x v="0"/>
    <x v="9"/>
    <x v="16"/>
    <s v="SE3A"/>
    <x v="7"/>
    <x v="6"/>
    <s v="GHYRR_WATER"/>
    <x v="2"/>
    <x v="8"/>
    <n v="335.10961699500302"/>
    <n v="20385.835033862699"/>
    <n v="73389.006121905695"/>
  </r>
  <r>
    <x v="0"/>
    <x v="0"/>
    <x v="0"/>
    <x v="9"/>
    <x v="16"/>
    <s v="SE3A"/>
    <x v="7"/>
    <x v="6"/>
    <s v="GHYRR_WATER"/>
    <x v="2"/>
    <x v="9"/>
    <n v="335.10961699500302"/>
    <n v="20385.835033862699"/>
    <n v="73389.006121905695"/>
  </r>
  <r>
    <x v="0"/>
    <x v="0"/>
    <x v="0"/>
    <x v="9"/>
    <x v="16"/>
    <s v="SE3A"/>
    <x v="7"/>
    <x v="6"/>
    <s v="GHYRR_WATER"/>
    <x v="2"/>
    <x v="10"/>
    <n v="335.10961699500302"/>
    <n v="20385.835033862699"/>
    <n v="73389.006121905695"/>
  </r>
  <r>
    <x v="0"/>
    <x v="0"/>
    <x v="0"/>
    <x v="9"/>
    <x v="16"/>
    <s v="SE3A"/>
    <x v="7"/>
    <x v="6"/>
    <s v="GHYRR_WATER"/>
    <x v="2"/>
    <x v="11"/>
    <n v="335.10961699500302"/>
    <n v="20385.835033862699"/>
    <n v="73389.006121905695"/>
  </r>
  <r>
    <x v="0"/>
    <x v="0"/>
    <x v="0"/>
    <x v="9"/>
    <x v="16"/>
    <s v="SE3A"/>
    <x v="7"/>
    <x v="6"/>
    <s v="GHYRR_WATER"/>
    <x v="3"/>
    <x v="0"/>
    <n v="248.18885173855099"/>
    <n v="15098.155147428501"/>
    <n v="54353.358530742596"/>
  </r>
  <r>
    <x v="0"/>
    <x v="0"/>
    <x v="0"/>
    <x v="9"/>
    <x v="16"/>
    <s v="SE3A"/>
    <x v="7"/>
    <x v="6"/>
    <s v="GHYRR_WATER"/>
    <x v="3"/>
    <x v="1"/>
    <n v="248.18885173855099"/>
    <n v="15098.155147428501"/>
    <n v="54353.358530742596"/>
  </r>
  <r>
    <x v="0"/>
    <x v="0"/>
    <x v="0"/>
    <x v="9"/>
    <x v="16"/>
    <s v="SE3A"/>
    <x v="7"/>
    <x v="6"/>
    <s v="GHYRR_WATER"/>
    <x v="3"/>
    <x v="2"/>
    <n v="248.18885173855099"/>
    <n v="15098.155147428501"/>
    <n v="54353.358530742596"/>
  </r>
  <r>
    <x v="0"/>
    <x v="0"/>
    <x v="0"/>
    <x v="9"/>
    <x v="16"/>
    <s v="SE3A"/>
    <x v="7"/>
    <x v="6"/>
    <s v="GHYRR_WATER"/>
    <x v="3"/>
    <x v="3"/>
    <n v="248.18885173855099"/>
    <n v="15098.155147428501"/>
    <n v="54353.358530742596"/>
  </r>
  <r>
    <x v="0"/>
    <x v="0"/>
    <x v="0"/>
    <x v="9"/>
    <x v="16"/>
    <s v="SE3A"/>
    <x v="7"/>
    <x v="6"/>
    <s v="GHYRR_WATER"/>
    <x v="3"/>
    <x v="4"/>
    <n v="248.18885173855099"/>
    <n v="15098.155147428501"/>
    <n v="54353.358530742596"/>
  </r>
  <r>
    <x v="0"/>
    <x v="0"/>
    <x v="0"/>
    <x v="9"/>
    <x v="16"/>
    <s v="SE3A"/>
    <x v="7"/>
    <x v="6"/>
    <s v="GHYRR_WATER"/>
    <x v="3"/>
    <x v="5"/>
    <n v="248.18885173855099"/>
    <n v="15098.155147428501"/>
    <n v="54353.358530742596"/>
  </r>
  <r>
    <x v="0"/>
    <x v="0"/>
    <x v="0"/>
    <x v="9"/>
    <x v="16"/>
    <s v="SE3A"/>
    <x v="7"/>
    <x v="6"/>
    <s v="GHYRR_WATER"/>
    <x v="3"/>
    <x v="6"/>
    <n v="248.18885173855099"/>
    <n v="15098.155147428501"/>
    <n v="54353.358530742596"/>
  </r>
  <r>
    <x v="0"/>
    <x v="0"/>
    <x v="0"/>
    <x v="9"/>
    <x v="16"/>
    <s v="SE3A"/>
    <x v="7"/>
    <x v="6"/>
    <s v="GHYRR_WATER"/>
    <x v="3"/>
    <x v="7"/>
    <n v="248.18885173855099"/>
    <n v="15098.155147428501"/>
    <n v="54353.358530742596"/>
  </r>
  <r>
    <x v="0"/>
    <x v="0"/>
    <x v="0"/>
    <x v="9"/>
    <x v="16"/>
    <s v="SE3A"/>
    <x v="7"/>
    <x v="6"/>
    <s v="GHYRR_WATER"/>
    <x v="3"/>
    <x v="8"/>
    <n v="248.18885173855099"/>
    <n v="15098.155147428501"/>
    <n v="54353.358530742596"/>
  </r>
  <r>
    <x v="0"/>
    <x v="0"/>
    <x v="0"/>
    <x v="9"/>
    <x v="16"/>
    <s v="SE3A"/>
    <x v="7"/>
    <x v="6"/>
    <s v="GHYRR_WATER"/>
    <x v="3"/>
    <x v="9"/>
    <n v="248.18885173855099"/>
    <n v="15098.155147428501"/>
    <n v="54353.358530742596"/>
  </r>
  <r>
    <x v="0"/>
    <x v="0"/>
    <x v="0"/>
    <x v="9"/>
    <x v="16"/>
    <s v="SE3A"/>
    <x v="7"/>
    <x v="6"/>
    <s v="GHYRR_WATER"/>
    <x v="3"/>
    <x v="10"/>
    <n v="248.18885173855099"/>
    <n v="15098.155147428501"/>
    <n v="54353.358530742596"/>
  </r>
  <r>
    <x v="0"/>
    <x v="0"/>
    <x v="0"/>
    <x v="9"/>
    <x v="16"/>
    <s v="SE3A"/>
    <x v="7"/>
    <x v="6"/>
    <s v="GHYRR_WATER"/>
    <x v="3"/>
    <x v="11"/>
    <n v="248.18885173855099"/>
    <n v="15098.155147428501"/>
    <n v="54353.358530742596"/>
  </r>
  <r>
    <x v="0"/>
    <x v="0"/>
    <x v="0"/>
    <x v="9"/>
    <x v="16"/>
    <s v="SE3A"/>
    <x v="7"/>
    <x v="6"/>
    <s v="GHYRR_WATER"/>
    <x v="4"/>
    <x v="0"/>
    <n v="188.60166046211401"/>
    <n v="11473.267678112001"/>
    <n v="41303.763641203099"/>
  </r>
  <r>
    <x v="0"/>
    <x v="0"/>
    <x v="0"/>
    <x v="9"/>
    <x v="16"/>
    <s v="SE3A"/>
    <x v="7"/>
    <x v="6"/>
    <s v="GHYRR_WATER"/>
    <x v="4"/>
    <x v="1"/>
    <n v="188.60166046211401"/>
    <n v="11473.267678112001"/>
    <n v="41303.763641203099"/>
  </r>
  <r>
    <x v="0"/>
    <x v="0"/>
    <x v="0"/>
    <x v="9"/>
    <x v="16"/>
    <s v="SE3A"/>
    <x v="7"/>
    <x v="6"/>
    <s v="GHYRR_WATER"/>
    <x v="4"/>
    <x v="2"/>
    <n v="188.60166046211401"/>
    <n v="11473.267678112001"/>
    <n v="41303.763641203099"/>
  </r>
  <r>
    <x v="0"/>
    <x v="0"/>
    <x v="0"/>
    <x v="9"/>
    <x v="16"/>
    <s v="SE3A"/>
    <x v="7"/>
    <x v="6"/>
    <s v="GHYRR_WATER"/>
    <x v="4"/>
    <x v="3"/>
    <n v="188.60166046211401"/>
    <n v="11473.267678112001"/>
    <n v="41303.763641203099"/>
  </r>
  <r>
    <x v="0"/>
    <x v="0"/>
    <x v="0"/>
    <x v="9"/>
    <x v="16"/>
    <s v="SE3A"/>
    <x v="7"/>
    <x v="6"/>
    <s v="GHYRR_WATER"/>
    <x v="4"/>
    <x v="4"/>
    <n v="188.60166046211401"/>
    <n v="11473.267678112001"/>
    <n v="41303.763641203099"/>
  </r>
  <r>
    <x v="0"/>
    <x v="0"/>
    <x v="0"/>
    <x v="9"/>
    <x v="16"/>
    <s v="SE3A"/>
    <x v="7"/>
    <x v="6"/>
    <s v="GHYRR_WATER"/>
    <x v="4"/>
    <x v="5"/>
    <n v="188.60166046211401"/>
    <n v="11473.267678112001"/>
    <n v="41303.763641203099"/>
  </r>
  <r>
    <x v="0"/>
    <x v="0"/>
    <x v="0"/>
    <x v="9"/>
    <x v="16"/>
    <s v="SE3A"/>
    <x v="7"/>
    <x v="6"/>
    <s v="GHYRR_WATER"/>
    <x v="4"/>
    <x v="6"/>
    <n v="188.60166046211401"/>
    <n v="11473.267678112001"/>
    <n v="41303.763641203099"/>
  </r>
  <r>
    <x v="0"/>
    <x v="0"/>
    <x v="0"/>
    <x v="9"/>
    <x v="16"/>
    <s v="SE3A"/>
    <x v="7"/>
    <x v="6"/>
    <s v="GHYRR_WATER"/>
    <x v="4"/>
    <x v="7"/>
    <n v="188.60166046211401"/>
    <n v="11473.267678112001"/>
    <n v="41303.763641203099"/>
  </r>
  <r>
    <x v="0"/>
    <x v="0"/>
    <x v="0"/>
    <x v="9"/>
    <x v="16"/>
    <s v="SE3A"/>
    <x v="7"/>
    <x v="6"/>
    <s v="GHYRR_WATER"/>
    <x v="4"/>
    <x v="8"/>
    <n v="188.60166046211401"/>
    <n v="11473.267678112001"/>
    <n v="41303.763641203099"/>
  </r>
  <r>
    <x v="0"/>
    <x v="0"/>
    <x v="0"/>
    <x v="9"/>
    <x v="16"/>
    <s v="SE3A"/>
    <x v="7"/>
    <x v="6"/>
    <s v="GHYRR_WATER"/>
    <x v="4"/>
    <x v="9"/>
    <n v="188.60166046211401"/>
    <n v="11473.267678112001"/>
    <n v="41303.763641203099"/>
  </r>
  <r>
    <x v="0"/>
    <x v="0"/>
    <x v="0"/>
    <x v="9"/>
    <x v="16"/>
    <s v="SE3A"/>
    <x v="7"/>
    <x v="6"/>
    <s v="GHYRR_WATER"/>
    <x v="4"/>
    <x v="10"/>
    <n v="188.60166046211401"/>
    <n v="11473.267678112001"/>
    <n v="41303.763641203099"/>
  </r>
  <r>
    <x v="0"/>
    <x v="0"/>
    <x v="0"/>
    <x v="9"/>
    <x v="16"/>
    <s v="SE3A"/>
    <x v="7"/>
    <x v="6"/>
    <s v="GHYRR_WATER"/>
    <x v="4"/>
    <x v="11"/>
    <n v="188.60166046211401"/>
    <n v="11473.267678112001"/>
    <n v="41303.763641203099"/>
  </r>
  <r>
    <x v="0"/>
    <x v="0"/>
    <x v="0"/>
    <x v="9"/>
    <x v="16"/>
    <s v="SE3A"/>
    <x v="7"/>
    <x v="6"/>
    <s v="GHYRR_WATER"/>
    <x v="5"/>
    <x v="0"/>
    <n v="189.69500342131499"/>
    <n v="11539.779374796701"/>
    <n v="41543.205749268003"/>
  </r>
  <r>
    <x v="0"/>
    <x v="0"/>
    <x v="0"/>
    <x v="9"/>
    <x v="16"/>
    <s v="SE3A"/>
    <x v="7"/>
    <x v="6"/>
    <s v="GHYRR_WATER"/>
    <x v="5"/>
    <x v="1"/>
    <n v="189.69500342131499"/>
    <n v="11539.779374796701"/>
    <n v="41543.205749268003"/>
  </r>
  <r>
    <x v="0"/>
    <x v="0"/>
    <x v="0"/>
    <x v="9"/>
    <x v="16"/>
    <s v="SE3A"/>
    <x v="7"/>
    <x v="6"/>
    <s v="GHYRR_WATER"/>
    <x v="5"/>
    <x v="2"/>
    <n v="189.69500342131499"/>
    <n v="11539.779374796701"/>
    <n v="41543.205749268003"/>
  </r>
  <r>
    <x v="0"/>
    <x v="0"/>
    <x v="0"/>
    <x v="9"/>
    <x v="16"/>
    <s v="SE3A"/>
    <x v="7"/>
    <x v="6"/>
    <s v="GHYRR_WATER"/>
    <x v="5"/>
    <x v="3"/>
    <n v="189.69500342131499"/>
    <n v="11539.779374796701"/>
    <n v="41543.205749268003"/>
  </r>
  <r>
    <x v="0"/>
    <x v="0"/>
    <x v="0"/>
    <x v="9"/>
    <x v="16"/>
    <s v="SE3A"/>
    <x v="7"/>
    <x v="6"/>
    <s v="GHYRR_WATER"/>
    <x v="5"/>
    <x v="4"/>
    <n v="189.69500342131499"/>
    <n v="11539.779374796701"/>
    <n v="41543.205749268003"/>
  </r>
  <r>
    <x v="0"/>
    <x v="0"/>
    <x v="0"/>
    <x v="9"/>
    <x v="16"/>
    <s v="SE3A"/>
    <x v="7"/>
    <x v="6"/>
    <s v="GHYRR_WATER"/>
    <x v="5"/>
    <x v="5"/>
    <n v="189.69500342131499"/>
    <n v="11539.779374796701"/>
    <n v="41543.205749268003"/>
  </r>
  <r>
    <x v="0"/>
    <x v="0"/>
    <x v="0"/>
    <x v="9"/>
    <x v="16"/>
    <s v="SE3A"/>
    <x v="7"/>
    <x v="6"/>
    <s v="GHYRR_WATER"/>
    <x v="5"/>
    <x v="6"/>
    <n v="189.69500342131499"/>
    <n v="11539.779374796701"/>
    <n v="41543.205749268003"/>
  </r>
  <r>
    <x v="0"/>
    <x v="0"/>
    <x v="0"/>
    <x v="9"/>
    <x v="16"/>
    <s v="SE3A"/>
    <x v="7"/>
    <x v="6"/>
    <s v="GHYRR_WATER"/>
    <x v="5"/>
    <x v="7"/>
    <n v="189.69500342131499"/>
    <n v="11539.779374796701"/>
    <n v="41543.205749268003"/>
  </r>
  <r>
    <x v="0"/>
    <x v="0"/>
    <x v="0"/>
    <x v="9"/>
    <x v="16"/>
    <s v="SE3A"/>
    <x v="7"/>
    <x v="6"/>
    <s v="GHYRR_WATER"/>
    <x v="5"/>
    <x v="8"/>
    <n v="189.69500342131499"/>
    <n v="11539.779374796701"/>
    <n v="41543.205749268003"/>
  </r>
  <r>
    <x v="0"/>
    <x v="0"/>
    <x v="0"/>
    <x v="9"/>
    <x v="16"/>
    <s v="SE3A"/>
    <x v="7"/>
    <x v="6"/>
    <s v="GHYRR_WATER"/>
    <x v="5"/>
    <x v="9"/>
    <n v="189.69500342131499"/>
    <n v="11539.779374796701"/>
    <n v="41543.205749268003"/>
  </r>
  <r>
    <x v="0"/>
    <x v="0"/>
    <x v="0"/>
    <x v="9"/>
    <x v="16"/>
    <s v="SE3A"/>
    <x v="7"/>
    <x v="6"/>
    <s v="GHYRR_WATER"/>
    <x v="5"/>
    <x v="10"/>
    <n v="189.69500342131499"/>
    <n v="11539.779374796701"/>
    <n v="41543.205749268003"/>
  </r>
  <r>
    <x v="0"/>
    <x v="0"/>
    <x v="0"/>
    <x v="9"/>
    <x v="16"/>
    <s v="SE3A"/>
    <x v="7"/>
    <x v="6"/>
    <s v="GHYRR_WATER"/>
    <x v="5"/>
    <x v="11"/>
    <n v="189.69500342131499"/>
    <n v="11539.779374796701"/>
    <n v="41543.205749268003"/>
  </r>
  <r>
    <x v="0"/>
    <x v="0"/>
    <x v="0"/>
    <x v="9"/>
    <x v="16"/>
    <s v="SE3A"/>
    <x v="7"/>
    <x v="6"/>
    <s v="GHYRR_WATER"/>
    <x v="6"/>
    <x v="0"/>
    <n v="209.92184816652701"/>
    <n v="12770.245763463799"/>
    <n v="45972.8847484695"/>
  </r>
  <r>
    <x v="0"/>
    <x v="0"/>
    <x v="0"/>
    <x v="9"/>
    <x v="16"/>
    <s v="SE3A"/>
    <x v="7"/>
    <x v="6"/>
    <s v="GHYRR_WATER"/>
    <x v="6"/>
    <x v="1"/>
    <n v="209.92184816652701"/>
    <n v="12770.245763463799"/>
    <n v="45972.8847484695"/>
  </r>
  <r>
    <x v="0"/>
    <x v="0"/>
    <x v="0"/>
    <x v="9"/>
    <x v="16"/>
    <s v="SE3A"/>
    <x v="7"/>
    <x v="6"/>
    <s v="GHYRR_WATER"/>
    <x v="6"/>
    <x v="2"/>
    <n v="209.92184816652701"/>
    <n v="12770.245763463799"/>
    <n v="45972.8847484695"/>
  </r>
  <r>
    <x v="0"/>
    <x v="0"/>
    <x v="0"/>
    <x v="9"/>
    <x v="16"/>
    <s v="SE3A"/>
    <x v="7"/>
    <x v="6"/>
    <s v="GHYRR_WATER"/>
    <x v="6"/>
    <x v="3"/>
    <n v="209.92184816652701"/>
    <n v="12770.245763463799"/>
    <n v="45972.8847484695"/>
  </r>
  <r>
    <x v="0"/>
    <x v="0"/>
    <x v="0"/>
    <x v="9"/>
    <x v="16"/>
    <s v="SE3A"/>
    <x v="7"/>
    <x v="6"/>
    <s v="GHYRR_WATER"/>
    <x v="6"/>
    <x v="4"/>
    <n v="209.92184816652701"/>
    <n v="12770.245763463799"/>
    <n v="45972.8847484695"/>
  </r>
  <r>
    <x v="0"/>
    <x v="0"/>
    <x v="0"/>
    <x v="9"/>
    <x v="16"/>
    <s v="SE3A"/>
    <x v="7"/>
    <x v="6"/>
    <s v="GHYRR_WATER"/>
    <x v="6"/>
    <x v="5"/>
    <n v="209.92184816652701"/>
    <n v="12770.245763463799"/>
    <n v="45972.8847484695"/>
  </r>
  <r>
    <x v="0"/>
    <x v="0"/>
    <x v="0"/>
    <x v="9"/>
    <x v="16"/>
    <s v="SE3A"/>
    <x v="7"/>
    <x v="6"/>
    <s v="GHYRR_WATER"/>
    <x v="6"/>
    <x v="6"/>
    <n v="209.92184816652701"/>
    <n v="12770.245763463799"/>
    <n v="45972.8847484695"/>
  </r>
  <r>
    <x v="0"/>
    <x v="0"/>
    <x v="0"/>
    <x v="9"/>
    <x v="16"/>
    <s v="SE3A"/>
    <x v="7"/>
    <x v="6"/>
    <s v="GHYRR_WATER"/>
    <x v="6"/>
    <x v="7"/>
    <n v="209.92184816652701"/>
    <n v="12770.245763463799"/>
    <n v="45972.8847484695"/>
  </r>
  <r>
    <x v="0"/>
    <x v="0"/>
    <x v="0"/>
    <x v="9"/>
    <x v="16"/>
    <s v="SE3A"/>
    <x v="7"/>
    <x v="6"/>
    <s v="GHYRR_WATER"/>
    <x v="6"/>
    <x v="8"/>
    <n v="209.92184816652701"/>
    <n v="12770.245763463799"/>
    <n v="45972.8847484695"/>
  </r>
  <r>
    <x v="0"/>
    <x v="0"/>
    <x v="0"/>
    <x v="9"/>
    <x v="16"/>
    <s v="SE3A"/>
    <x v="7"/>
    <x v="6"/>
    <s v="GHYRR_WATER"/>
    <x v="6"/>
    <x v="9"/>
    <n v="209.92184816652701"/>
    <n v="12770.245763463799"/>
    <n v="45972.8847484695"/>
  </r>
  <r>
    <x v="0"/>
    <x v="0"/>
    <x v="0"/>
    <x v="9"/>
    <x v="16"/>
    <s v="SE3A"/>
    <x v="7"/>
    <x v="6"/>
    <s v="GHYRR_WATER"/>
    <x v="6"/>
    <x v="10"/>
    <n v="209.92184816652701"/>
    <n v="12770.245763463799"/>
    <n v="45972.8847484695"/>
  </r>
  <r>
    <x v="0"/>
    <x v="0"/>
    <x v="0"/>
    <x v="9"/>
    <x v="16"/>
    <s v="SE3A"/>
    <x v="7"/>
    <x v="6"/>
    <s v="GHYRR_WATER"/>
    <x v="6"/>
    <x v="11"/>
    <n v="209.92184816652701"/>
    <n v="12770.245763463799"/>
    <n v="45972.8847484695"/>
  </r>
  <r>
    <x v="0"/>
    <x v="0"/>
    <x v="0"/>
    <x v="9"/>
    <x v="16"/>
    <s v="SE3A"/>
    <x v="7"/>
    <x v="6"/>
    <s v="GHYRR_WATER"/>
    <x v="7"/>
    <x v="0"/>
    <n v="215.93523444213099"/>
    <n v="13136.060095229601"/>
    <n v="47289.8163428267"/>
  </r>
  <r>
    <x v="0"/>
    <x v="0"/>
    <x v="0"/>
    <x v="9"/>
    <x v="16"/>
    <s v="SE3A"/>
    <x v="7"/>
    <x v="6"/>
    <s v="GHYRR_WATER"/>
    <x v="7"/>
    <x v="1"/>
    <n v="215.93523444213099"/>
    <n v="13136.060095229601"/>
    <n v="47289.8163428267"/>
  </r>
  <r>
    <x v="0"/>
    <x v="0"/>
    <x v="0"/>
    <x v="9"/>
    <x v="16"/>
    <s v="SE3A"/>
    <x v="7"/>
    <x v="6"/>
    <s v="GHYRR_WATER"/>
    <x v="7"/>
    <x v="2"/>
    <n v="215.93523444213099"/>
    <n v="13136.060095229601"/>
    <n v="47289.8163428267"/>
  </r>
  <r>
    <x v="0"/>
    <x v="0"/>
    <x v="0"/>
    <x v="9"/>
    <x v="16"/>
    <s v="SE3A"/>
    <x v="7"/>
    <x v="6"/>
    <s v="GHYRR_WATER"/>
    <x v="7"/>
    <x v="3"/>
    <n v="215.93523444213099"/>
    <n v="13136.060095229601"/>
    <n v="47289.8163428267"/>
  </r>
  <r>
    <x v="0"/>
    <x v="0"/>
    <x v="0"/>
    <x v="9"/>
    <x v="16"/>
    <s v="SE3A"/>
    <x v="7"/>
    <x v="6"/>
    <s v="GHYRR_WATER"/>
    <x v="7"/>
    <x v="4"/>
    <n v="215.93523444213099"/>
    <n v="13136.060095229601"/>
    <n v="47289.8163428267"/>
  </r>
  <r>
    <x v="0"/>
    <x v="0"/>
    <x v="0"/>
    <x v="9"/>
    <x v="16"/>
    <s v="SE3A"/>
    <x v="7"/>
    <x v="6"/>
    <s v="GHYRR_WATER"/>
    <x v="7"/>
    <x v="5"/>
    <n v="215.93523444213099"/>
    <n v="13136.060095229601"/>
    <n v="47289.8163428267"/>
  </r>
  <r>
    <x v="0"/>
    <x v="0"/>
    <x v="0"/>
    <x v="9"/>
    <x v="16"/>
    <s v="SE3A"/>
    <x v="7"/>
    <x v="6"/>
    <s v="GHYRR_WATER"/>
    <x v="7"/>
    <x v="6"/>
    <n v="215.93523444213099"/>
    <n v="13136.060095229601"/>
    <n v="47289.8163428267"/>
  </r>
  <r>
    <x v="0"/>
    <x v="0"/>
    <x v="0"/>
    <x v="9"/>
    <x v="16"/>
    <s v="SE3A"/>
    <x v="7"/>
    <x v="6"/>
    <s v="GHYRR_WATER"/>
    <x v="7"/>
    <x v="7"/>
    <n v="215.93523444213099"/>
    <n v="13136.060095229601"/>
    <n v="47289.8163428267"/>
  </r>
  <r>
    <x v="0"/>
    <x v="0"/>
    <x v="0"/>
    <x v="9"/>
    <x v="16"/>
    <s v="SE3A"/>
    <x v="7"/>
    <x v="6"/>
    <s v="GHYRR_WATER"/>
    <x v="7"/>
    <x v="8"/>
    <n v="215.93523444213099"/>
    <n v="13136.060095229601"/>
    <n v="47289.8163428267"/>
  </r>
  <r>
    <x v="0"/>
    <x v="0"/>
    <x v="0"/>
    <x v="9"/>
    <x v="16"/>
    <s v="SE3A"/>
    <x v="7"/>
    <x v="6"/>
    <s v="GHYRR_WATER"/>
    <x v="7"/>
    <x v="9"/>
    <n v="215.93523444213099"/>
    <n v="13136.060095229601"/>
    <n v="47289.8163428267"/>
  </r>
  <r>
    <x v="0"/>
    <x v="0"/>
    <x v="0"/>
    <x v="9"/>
    <x v="16"/>
    <s v="SE3A"/>
    <x v="7"/>
    <x v="6"/>
    <s v="GHYRR_WATER"/>
    <x v="7"/>
    <x v="10"/>
    <n v="215.93523444213099"/>
    <n v="13136.060095229601"/>
    <n v="47289.8163428267"/>
  </r>
  <r>
    <x v="0"/>
    <x v="0"/>
    <x v="0"/>
    <x v="9"/>
    <x v="16"/>
    <s v="SE3A"/>
    <x v="7"/>
    <x v="6"/>
    <s v="GHYRR_WATER"/>
    <x v="7"/>
    <x v="11"/>
    <n v="215.93523444213099"/>
    <n v="13136.060095229601"/>
    <n v="47289.8163428267"/>
  </r>
  <r>
    <x v="0"/>
    <x v="0"/>
    <x v="0"/>
    <x v="9"/>
    <x v="16"/>
    <s v="SE3A"/>
    <x v="7"/>
    <x v="6"/>
    <s v="GHYRR_WATER"/>
    <x v="8"/>
    <x v="0"/>
    <n v="243.81547990174801"/>
    <n v="14832.108360689699"/>
    <n v="53395.590098482797"/>
  </r>
  <r>
    <x v="0"/>
    <x v="0"/>
    <x v="0"/>
    <x v="9"/>
    <x v="16"/>
    <s v="SE3A"/>
    <x v="7"/>
    <x v="6"/>
    <s v="GHYRR_WATER"/>
    <x v="8"/>
    <x v="1"/>
    <n v="243.81547990174801"/>
    <n v="14832.108360689699"/>
    <n v="53395.590098482797"/>
  </r>
  <r>
    <x v="0"/>
    <x v="0"/>
    <x v="0"/>
    <x v="9"/>
    <x v="16"/>
    <s v="SE3A"/>
    <x v="7"/>
    <x v="6"/>
    <s v="GHYRR_WATER"/>
    <x v="8"/>
    <x v="2"/>
    <n v="243.81547990174801"/>
    <n v="14832.108360689699"/>
    <n v="53395.590098482797"/>
  </r>
  <r>
    <x v="0"/>
    <x v="0"/>
    <x v="0"/>
    <x v="9"/>
    <x v="16"/>
    <s v="SE3A"/>
    <x v="7"/>
    <x v="6"/>
    <s v="GHYRR_WATER"/>
    <x v="8"/>
    <x v="3"/>
    <n v="243.81547990174801"/>
    <n v="14832.108360689699"/>
    <n v="53395.590098482797"/>
  </r>
  <r>
    <x v="0"/>
    <x v="0"/>
    <x v="0"/>
    <x v="9"/>
    <x v="16"/>
    <s v="SE3A"/>
    <x v="7"/>
    <x v="6"/>
    <s v="GHYRR_WATER"/>
    <x v="8"/>
    <x v="4"/>
    <n v="243.81547990174801"/>
    <n v="14832.108360689699"/>
    <n v="53395.590098482797"/>
  </r>
  <r>
    <x v="0"/>
    <x v="0"/>
    <x v="0"/>
    <x v="9"/>
    <x v="16"/>
    <s v="SE3A"/>
    <x v="7"/>
    <x v="6"/>
    <s v="GHYRR_WATER"/>
    <x v="8"/>
    <x v="5"/>
    <n v="243.81547990174801"/>
    <n v="14832.108360689699"/>
    <n v="53395.590098482797"/>
  </r>
  <r>
    <x v="0"/>
    <x v="0"/>
    <x v="0"/>
    <x v="9"/>
    <x v="16"/>
    <s v="SE3A"/>
    <x v="7"/>
    <x v="6"/>
    <s v="GHYRR_WATER"/>
    <x v="8"/>
    <x v="6"/>
    <n v="243.81547990174801"/>
    <n v="14832.108360689699"/>
    <n v="53395.590098482797"/>
  </r>
  <r>
    <x v="0"/>
    <x v="0"/>
    <x v="0"/>
    <x v="9"/>
    <x v="16"/>
    <s v="SE3A"/>
    <x v="7"/>
    <x v="6"/>
    <s v="GHYRR_WATER"/>
    <x v="8"/>
    <x v="7"/>
    <n v="243.81547990174801"/>
    <n v="14832.108360689699"/>
    <n v="53395.590098482797"/>
  </r>
  <r>
    <x v="0"/>
    <x v="0"/>
    <x v="0"/>
    <x v="9"/>
    <x v="16"/>
    <s v="SE3A"/>
    <x v="7"/>
    <x v="6"/>
    <s v="GHYRR_WATER"/>
    <x v="8"/>
    <x v="8"/>
    <n v="243.81547990174801"/>
    <n v="14832.108360689699"/>
    <n v="53395.590098482797"/>
  </r>
  <r>
    <x v="0"/>
    <x v="0"/>
    <x v="0"/>
    <x v="9"/>
    <x v="16"/>
    <s v="SE3A"/>
    <x v="7"/>
    <x v="6"/>
    <s v="GHYRR_WATER"/>
    <x v="8"/>
    <x v="9"/>
    <n v="243.81547990174801"/>
    <n v="14832.108360689699"/>
    <n v="53395.590098482797"/>
  </r>
  <r>
    <x v="0"/>
    <x v="0"/>
    <x v="0"/>
    <x v="9"/>
    <x v="16"/>
    <s v="SE3A"/>
    <x v="7"/>
    <x v="6"/>
    <s v="GHYRR_WATER"/>
    <x v="8"/>
    <x v="10"/>
    <n v="243.81547990174801"/>
    <n v="14832.108360689699"/>
    <n v="53395.590098482797"/>
  </r>
  <r>
    <x v="0"/>
    <x v="0"/>
    <x v="0"/>
    <x v="9"/>
    <x v="16"/>
    <s v="SE3A"/>
    <x v="7"/>
    <x v="6"/>
    <s v="GHYRR_WATER"/>
    <x v="8"/>
    <x v="11"/>
    <n v="243.81547990174801"/>
    <n v="14832.108360689699"/>
    <n v="53395.590098482797"/>
  </r>
  <r>
    <x v="0"/>
    <x v="0"/>
    <x v="0"/>
    <x v="9"/>
    <x v="16"/>
    <s v="SE3A"/>
    <x v="7"/>
    <x v="6"/>
    <s v="GHYRR_WATER"/>
    <x v="9"/>
    <x v="0"/>
    <n v="226.86866403413799"/>
    <n v="13801.1770620767"/>
    <n v="49684.237423476203"/>
  </r>
  <r>
    <x v="0"/>
    <x v="0"/>
    <x v="0"/>
    <x v="9"/>
    <x v="16"/>
    <s v="SE3A"/>
    <x v="7"/>
    <x v="6"/>
    <s v="GHYRR_WATER"/>
    <x v="9"/>
    <x v="1"/>
    <n v="226.86866403413799"/>
    <n v="13801.1770620767"/>
    <n v="49684.237423476203"/>
  </r>
  <r>
    <x v="0"/>
    <x v="0"/>
    <x v="0"/>
    <x v="9"/>
    <x v="16"/>
    <s v="SE3A"/>
    <x v="7"/>
    <x v="6"/>
    <s v="GHYRR_WATER"/>
    <x v="9"/>
    <x v="2"/>
    <n v="226.86866403413799"/>
    <n v="13801.1770620767"/>
    <n v="49684.237423476203"/>
  </r>
  <r>
    <x v="0"/>
    <x v="0"/>
    <x v="0"/>
    <x v="9"/>
    <x v="16"/>
    <s v="SE3A"/>
    <x v="7"/>
    <x v="6"/>
    <s v="GHYRR_WATER"/>
    <x v="9"/>
    <x v="3"/>
    <n v="226.86866403413799"/>
    <n v="13801.1770620767"/>
    <n v="49684.237423476203"/>
  </r>
  <r>
    <x v="0"/>
    <x v="0"/>
    <x v="0"/>
    <x v="9"/>
    <x v="16"/>
    <s v="SE3A"/>
    <x v="7"/>
    <x v="6"/>
    <s v="GHYRR_WATER"/>
    <x v="9"/>
    <x v="4"/>
    <n v="226.86866403413799"/>
    <n v="13801.1770620767"/>
    <n v="49684.237423476203"/>
  </r>
  <r>
    <x v="0"/>
    <x v="0"/>
    <x v="0"/>
    <x v="9"/>
    <x v="16"/>
    <s v="SE3A"/>
    <x v="7"/>
    <x v="6"/>
    <s v="GHYRR_WATER"/>
    <x v="9"/>
    <x v="5"/>
    <n v="226.86866403413799"/>
    <n v="13801.1770620767"/>
    <n v="49684.237423476203"/>
  </r>
  <r>
    <x v="0"/>
    <x v="0"/>
    <x v="0"/>
    <x v="9"/>
    <x v="16"/>
    <s v="SE3A"/>
    <x v="7"/>
    <x v="6"/>
    <s v="GHYRR_WATER"/>
    <x v="9"/>
    <x v="6"/>
    <n v="226.86866403413799"/>
    <n v="13801.1770620767"/>
    <n v="49684.237423476203"/>
  </r>
  <r>
    <x v="0"/>
    <x v="0"/>
    <x v="0"/>
    <x v="9"/>
    <x v="16"/>
    <s v="SE3A"/>
    <x v="7"/>
    <x v="6"/>
    <s v="GHYRR_WATER"/>
    <x v="9"/>
    <x v="7"/>
    <n v="226.86866403413799"/>
    <n v="13801.1770620767"/>
    <n v="49684.237423476203"/>
  </r>
  <r>
    <x v="0"/>
    <x v="0"/>
    <x v="0"/>
    <x v="9"/>
    <x v="16"/>
    <s v="SE3A"/>
    <x v="7"/>
    <x v="6"/>
    <s v="GHYRR_WATER"/>
    <x v="9"/>
    <x v="8"/>
    <n v="226.86866403413799"/>
    <n v="13801.1770620767"/>
    <n v="49684.237423476203"/>
  </r>
  <r>
    <x v="0"/>
    <x v="0"/>
    <x v="0"/>
    <x v="9"/>
    <x v="16"/>
    <s v="SE3A"/>
    <x v="7"/>
    <x v="6"/>
    <s v="GHYRR_WATER"/>
    <x v="9"/>
    <x v="9"/>
    <n v="226.86866403413799"/>
    <n v="13801.1770620767"/>
    <n v="49684.237423476203"/>
  </r>
  <r>
    <x v="0"/>
    <x v="0"/>
    <x v="0"/>
    <x v="9"/>
    <x v="16"/>
    <s v="SE3A"/>
    <x v="7"/>
    <x v="6"/>
    <s v="GHYRR_WATER"/>
    <x v="9"/>
    <x v="10"/>
    <n v="226.86866403413799"/>
    <n v="13801.1770620767"/>
    <n v="49684.237423476203"/>
  </r>
  <r>
    <x v="0"/>
    <x v="0"/>
    <x v="0"/>
    <x v="9"/>
    <x v="16"/>
    <s v="SE3A"/>
    <x v="7"/>
    <x v="6"/>
    <s v="GHYRR_WATER"/>
    <x v="9"/>
    <x v="11"/>
    <n v="226.86866403413799"/>
    <n v="13801.1770620767"/>
    <n v="49684.237423476203"/>
  </r>
  <r>
    <x v="0"/>
    <x v="0"/>
    <x v="0"/>
    <x v="9"/>
    <x v="16"/>
    <s v="SE3A"/>
    <x v="7"/>
    <x v="6"/>
    <s v="GHYRR_WATER"/>
    <x v="10"/>
    <x v="0"/>
    <n v="273.33573980016598"/>
    <n v="16627.924171176801"/>
    <n v="59860.527016236301"/>
  </r>
  <r>
    <x v="0"/>
    <x v="0"/>
    <x v="0"/>
    <x v="9"/>
    <x v="16"/>
    <s v="SE3A"/>
    <x v="7"/>
    <x v="6"/>
    <s v="GHYRR_WATER"/>
    <x v="10"/>
    <x v="1"/>
    <n v="273.33573980016598"/>
    <n v="16627.924171176801"/>
    <n v="59860.527016236301"/>
  </r>
  <r>
    <x v="0"/>
    <x v="0"/>
    <x v="0"/>
    <x v="9"/>
    <x v="16"/>
    <s v="SE3A"/>
    <x v="7"/>
    <x v="6"/>
    <s v="GHYRR_WATER"/>
    <x v="10"/>
    <x v="2"/>
    <n v="273.33573980016598"/>
    <n v="16627.924171176801"/>
    <n v="59860.527016236301"/>
  </r>
  <r>
    <x v="0"/>
    <x v="0"/>
    <x v="0"/>
    <x v="9"/>
    <x v="16"/>
    <s v="SE3A"/>
    <x v="7"/>
    <x v="6"/>
    <s v="GHYRR_WATER"/>
    <x v="10"/>
    <x v="3"/>
    <n v="273.33573980016598"/>
    <n v="16627.924171176801"/>
    <n v="59860.527016236301"/>
  </r>
  <r>
    <x v="0"/>
    <x v="0"/>
    <x v="0"/>
    <x v="9"/>
    <x v="16"/>
    <s v="SE3A"/>
    <x v="7"/>
    <x v="6"/>
    <s v="GHYRR_WATER"/>
    <x v="10"/>
    <x v="4"/>
    <n v="273.33573980016598"/>
    <n v="16627.924171176801"/>
    <n v="59860.527016236301"/>
  </r>
  <r>
    <x v="0"/>
    <x v="0"/>
    <x v="0"/>
    <x v="9"/>
    <x v="16"/>
    <s v="SE3A"/>
    <x v="7"/>
    <x v="6"/>
    <s v="GHYRR_WATER"/>
    <x v="10"/>
    <x v="5"/>
    <n v="273.33573980016598"/>
    <n v="16627.924171176801"/>
    <n v="59860.527016236301"/>
  </r>
  <r>
    <x v="0"/>
    <x v="0"/>
    <x v="0"/>
    <x v="9"/>
    <x v="16"/>
    <s v="SE3A"/>
    <x v="7"/>
    <x v="6"/>
    <s v="GHYRR_WATER"/>
    <x v="10"/>
    <x v="6"/>
    <n v="273.33573980016598"/>
    <n v="16627.924171176801"/>
    <n v="59860.527016236301"/>
  </r>
  <r>
    <x v="0"/>
    <x v="0"/>
    <x v="0"/>
    <x v="9"/>
    <x v="16"/>
    <s v="SE3A"/>
    <x v="7"/>
    <x v="6"/>
    <s v="GHYRR_WATER"/>
    <x v="10"/>
    <x v="7"/>
    <n v="273.33573980016598"/>
    <n v="16627.924171176801"/>
    <n v="59860.527016236301"/>
  </r>
  <r>
    <x v="0"/>
    <x v="0"/>
    <x v="0"/>
    <x v="9"/>
    <x v="16"/>
    <s v="SE3A"/>
    <x v="7"/>
    <x v="6"/>
    <s v="GHYRR_WATER"/>
    <x v="10"/>
    <x v="8"/>
    <n v="273.33573980016598"/>
    <n v="16627.924171176801"/>
    <n v="59860.527016236301"/>
  </r>
  <r>
    <x v="0"/>
    <x v="0"/>
    <x v="0"/>
    <x v="9"/>
    <x v="16"/>
    <s v="SE3A"/>
    <x v="7"/>
    <x v="6"/>
    <s v="GHYRR_WATER"/>
    <x v="10"/>
    <x v="9"/>
    <n v="273.33573980016598"/>
    <n v="16627.924171176801"/>
    <n v="59860.527016236301"/>
  </r>
  <r>
    <x v="0"/>
    <x v="0"/>
    <x v="0"/>
    <x v="9"/>
    <x v="16"/>
    <s v="SE3A"/>
    <x v="7"/>
    <x v="6"/>
    <s v="GHYRR_WATER"/>
    <x v="10"/>
    <x v="10"/>
    <n v="273.33573980016598"/>
    <n v="16627.924171176801"/>
    <n v="59860.527016236301"/>
  </r>
  <r>
    <x v="0"/>
    <x v="0"/>
    <x v="0"/>
    <x v="9"/>
    <x v="16"/>
    <s v="SE3A"/>
    <x v="7"/>
    <x v="6"/>
    <s v="GHYRR_WATER"/>
    <x v="10"/>
    <x v="11"/>
    <n v="273.33573980016598"/>
    <n v="16627.924171176801"/>
    <n v="59860.527016236301"/>
  </r>
  <r>
    <x v="0"/>
    <x v="0"/>
    <x v="0"/>
    <x v="9"/>
    <x v="16"/>
    <s v="SE3A"/>
    <x v="7"/>
    <x v="6"/>
    <s v="GHYRR_WATER"/>
    <x v="11"/>
    <x v="0"/>
    <n v="465.76410061948297"/>
    <n v="28333.9827876852"/>
    <n v="102002.33803566699"/>
  </r>
  <r>
    <x v="0"/>
    <x v="0"/>
    <x v="0"/>
    <x v="9"/>
    <x v="16"/>
    <s v="SE3A"/>
    <x v="7"/>
    <x v="6"/>
    <s v="GHYRR_WATER"/>
    <x v="11"/>
    <x v="1"/>
    <n v="465.76410061948297"/>
    <n v="28333.9827876852"/>
    <n v="102002.33803566699"/>
  </r>
  <r>
    <x v="0"/>
    <x v="0"/>
    <x v="0"/>
    <x v="9"/>
    <x v="16"/>
    <s v="SE3A"/>
    <x v="7"/>
    <x v="6"/>
    <s v="GHYRR_WATER"/>
    <x v="11"/>
    <x v="2"/>
    <n v="465.76410061948297"/>
    <n v="28333.9827876852"/>
    <n v="102002.33803566699"/>
  </r>
  <r>
    <x v="0"/>
    <x v="0"/>
    <x v="0"/>
    <x v="9"/>
    <x v="16"/>
    <s v="SE3A"/>
    <x v="7"/>
    <x v="6"/>
    <s v="GHYRR_WATER"/>
    <x v="11"/>
    <x v="3"/>
    <n v="465.76410061948297"/>
    <n v="28333.9827876852"/>
    <n v="102002.33803566699"/>
  </r>
  <r>
    <x v="0"/>
    <x v="0"/>
    <x v="0"/>
    <x v="9"/>
    <x v="16"/>
    <s v="SE3A"/>
    <x v="7"/>
    <x v="6"/>
    <s v="GHYRR_WATER"/>
    <x v="11"/>
    <x v="4"/>
    <n v="465.76410061948297"/>
    <n v="28333.9827876852"/>
    <n v="102002.33803566699"/>
  </r>
  <r>
    <x v="0"/>
    <x v="0"/>
    <x v="0"/>
    <x v="9"/>
    <x v="16"/>
    <s v="SE3A"/>
    <x v="7"/>
    <x v="6"/>
    <s v="GHYRR_WATER"/>
    <x v="11"/>
    <x v="5"/>
    <n v="465.76410061948297"/>
    <n v="28333.9827876852"/>
    <n v="102002.33803566699"/>
  </r>
  <r>
    <x v="0"/>
    <x v="0"/>
    <x v="0"/>
    <x v="9"/>
    <x v="16"/>
    <s v="SE3A"/>
    <x v="7"/>
    <x v="6"/>
    <s v="GHYRR_WATER"/>
    <x v="11"/>
    <x v="6"/>
    <n v="465.76410061948297"/>
    <n v="28333.9827876852"/>
    <n v="102002.33803566699"/>
  </r>
  <r>
    <x v="0"/>
    <x v="0"/>
    <x v="0"/>
    <x v="9"/>
    <x v="16"/>
    <s v="SE3A"/>
    <x v="7"/>
    <x v="6"/>
    <s v="GHYRR_WATER"/>
    <x v="11"/>
    <x v="7"/>
    <n v="465.76410061948297"/>
    <n v="28333.9827876852"/>
    <n v="102002.33803566699"/>
  </r>
  <r>
    <x v="0"/>
    <x v="0"/>
    <x v="0"/>
    <x v="9"/>
    <x v="16"/>
    <s v="SE3A"/>
    <x v="7"/>
    <x v="6"/>
    <s v="GHYRR_WATER"/>
    <x v="11"/>
    <x v="8"/>
    <n v="465.76410061948297"/>
    <n v="28333.9827876852"/>
    <n v="102002.33803566699"/>
  </r>
  <r>
    <x v="0"/>
    <x v="0"/>
    <x v="0"/>
    <x v="9"/>
    <x v="16"/>
    <s v="SE3A"/>
    <x v="7"/>
    <x v="6"/>
    <s v="GHYRR_WATER"/>
    <x v="11"/>
    <x v="9"/>
    <n v="465.76410061948297"/>
    <n v="28333.9827876852"/>
    <n v="102002.33803566699"/>
  </r>
  <r>
    <x v="0"/>
    <x v="0"/>
    <x v="0"/>
    <x v="9"/>
    <x v="16"/>
    <s v="SE3A"/>
    <x v="7"/>
    <x v="6"/>
    <s v="GHYRR_WATER"/>
    <x v="11"/>
    <x v="10"/>
    <n v="465.76410061948297"/>
    <n v="28333.9827876852"/>
    <n v="102002.33803566699"/>
  </r>
  <r>
    <x v="0"/>
    <x v="0"/>
    <x v="0"/>
    <x v="9"/>
    <x v="16"/>
    <s v="SE3A"/>
    <x v="7"/>
    <x v="6"/>
    <s v="GHYRR_WATER"/>
    <x v="11"/>
    <x v="11"/>
    <n v="465.76410061948297"/>
    <n v="28333.9827876852"/>
    <n v="102002.33803566699"/>
  </r>
  <r>
    <x v="0"/>
    <x v="0"/>
    <x v="0"/>
    <x v="9"/>
    <x v="16"/>
    <s v="SE3A"/>
    <x v="7"/>
    <x v="7"/>
    <s v="GHYRS_WATER"/>
    <x v="4"/>
    <x v="0"/>
    <n v="665.13906552183403"/>
    <n v="40462.626485911598"/>
    <n v="145665.45534928201"/>
  </r>
  <r>
    <x v="0"/>
    <x v="0"/>
    <x v="0"/>
    <x v="9"/>
    <x v="16"/>
    <s v="SE3A"/>
    <x v="7"/>
    <x v="7"/>
    <s v="GHYRS_WATER"/>
    <x v="4"/>
    <x v="1"/>
    <n v="507.69020282104299"/>
    <n v="30884.487338280102"/>
    <n v="111184.15441780799"/>
  </r>
  <r>
    <x v="0"/>
    <x v="0"/>
    <x v="0"/>
    <x v="9"/>
    <x v="16"/>
    <s v="SE3A"/>
    <x v="7"/>
    <x v="7"/>
    <s v="GHYRS_WATER"/>
    <x v="4"/>
    <x v="2"/>
    <n v="507.73339883250702"/>
    <n v="30887.1150956442"/>
    <n v="111193.61434431899"/>
  </r>
  <r>
    <x v="0"/>
    <x v="0"/>
    <x v="0"/>
    <x v="9"/>
    <x v="16"/>
    <s v="SE3A"/>
    <x v="7"/>
    <x v="7"/>
    <s v="GHYRS_WATER"/>
    <x v="4"/>
    <x v="3"/>
    <n v="696.87167095417203"/>
    <n v="42393.026649712097"/>
    <n v="152614.89593896401"/>
  </r>
  <r>
    <x v="0"/>
    <x v="0"/>
    <x v="0"/>
    <x v="9"/>
    <x v="16"/>
    <s v="SE3A"/>
    <x v="7"/>
    <x v="7"/>
    <s v="GHYRS_WATER"/>
    <x v="4"/>
    <x v="5"/>
    <n v="427.41046315530701"/>
    <n v="26000.803175281198"/>
    <n v="93602.891431012293"/>
  </r>
  <r>
    <x v="0"/>
    <x v="0"/>
    <x v="0"/>
    <x v="9"/>
    <x v="16"/>
    <s v="SE3A"/>
    <x v="7"/>
    <x v="7"/>
    <s v="GHYRS_WATER"/>
    <x v="4"/>
    <x v="6"/>
    <n v="2010"/>
    <n v="122275"/>
    <n v="440190"/>
  </r>
  <r>
    <x v="0"/>
    <x v="0"/>
    <x v="0"/>
    <x v="9"/>
    <x v="16"/>
    <s v="SE3A"/>
    <x v="7"/>
    <x v="7"/>
    <s v="GHYRS_WATER"/>
    <x v="4"/>
    <x v="7"/>
    <n v="2010"/>
    <n v="122275"/>
    <n v="440190"/>
  </r>
  <r>
    <x v="0"/>
    <x v="0"/>
    <x v="0"/>
    <x v="9"/>
    <x v="16"/>
    <s v="SE3A"/>
    <x v="7"/>
    <x v="7"/>
    <s v="GHYRS_WATER"/>
    <x v="4"/>
    <x v="8"/>
    <n v="2010"/>
    <n v="122275"/>
    <n v="440190"/>
  </r>
  <r>
    <x v="0"/>
    <x v="0"/>
    <x v="0"/>
    <x v="9"/>
    <x v="16"/>
    <s v="SE3A"/>
    <x v="7"/>
    <x v="7"/>
    <s v="GHYRS_WATER"/>
    <x v="4"/>
    <x v="9"/>
    <n v="2010"/>
    <n v="122275"/>
    <n v="440190"/>
  </r>
  <r>
    <x v="0"/>
    <x v="0"/>
    <x v="0"/>
    <x v="9"/>
    <x v="16"/>
    <s v="SE3A"/>
    <x v="7"/>
    <x v="7"/>
    <s v="GHYRS_WATER"/>
    <x v="4"/>
    <x v="10"/>
    <n v="2010"/>
    <n v="122275"/>
    <n v="440190"/>
  </r>
  <r>
    <x v="0"/>
    <x v="0"/>
    <x v="0"/>
    <x v="9"/>
    <x v="16"/>
    <s v="SE3A"/>
    <x v="7"/>
    <x v="7"/>
    <s v="GHYRS_WATER"/>
    <x v="4"/>
    <x v="11"/>
    <n v="2010"/>
    <n v="122275"/>
    <n v="440190"/>
  </r>
  <r>
    <x v="0"/>
    <x v="0"/>
    <x v="0"/>
    <x v="9"/>
    <x v="16"/>
    <s v="SE3A"/>
    <x v="7"/>
    <x v="7"/>
    <s v="GHYRS_WATER"/>
    <x v="5"/>
    <x v="0"/>
    <n v="2010"/>
    <n v="122275"/>
    <n v="440190"/>
  </r>
  <r>
    <x v="0"/>
    <x v="0"/>
    <x v="0"/>
    <x v="9"/>
    <x v="16"/>
    <s v="SE3A"/>
    <x v="7"/>
    <x v="7"/>
    <s v="GHYRS_WATER"/>
    <x v="5"/>
    <x v="1"/>
    <n v="1529.74807186619"/>
    <n v="93059.674371859801"/>
    <n v="335014.82773869502"/>
  </r>
  <r>
    <x v="0"/>
    <x v="0"/>
    <x v="0"/>
    <x v="9"/>
    <x v="16"/>
    <s v="SE3A"/>
    <x v="7"/>
    <x v="7"/>
    <s v="GHYRS_WATER"/>
    <x v="5"/>
    <x v="2"/>
    <n v="1702.59265873661"/>
    <n v="103574.386739811"/>
    <n v="372867.79226331902"/>
  </r>
  <r>
    <x v="0"/>
    <x v="0"/>
    <x v="0"/>
    <x v="9"/>
    <x v="16"/>
    <s v="SE3A"/>
    <x v="7"/>
    <x v="7"/>
    <s v="GHYRS_WATER"/>
    <x v="5"/>
    <x v="3"/>
    <n v="1700.05344325089"/>
    <n v="103419.917797763"/>
    <n v="372311.70407194499"/>
  </r>
  <r>
    <x v="0"/>
    <x v="0"/>
    <x v="0"/>
    <x v="9"/>
    <x v="16"/>
    <s v="SE3A"/>
    <x v="7"/>
    <x v="7"/>
    <s v="GHYRS_WATER"/>
    <x v="5"/>
    <x v="4"/>
    <n v="1613.28375518089"/>
    <n v="98141.428440171003"/>
    <n v="353309.14238461602"/>
  </r>
  <r>
    <x v="0"/>
    <x v="0"/>
    <x v="0"/>
    <x v="9"/>
    <x v="16"/>
    <s v="SE3A"/>
    <x v="7"/>
    <x v="7"/>
    <s v="GHYRS_WATER"/>
    <x v="5"/>
    <x v="5"/>
    <n v="2010"/>
    <n v="122275"/>
    <n v="440190"/>
  </r>
  <r>
    <x v="0"/>
    <x v="0"/>
    <x v="0"/>
    <x v="9"/>
    <x v="16"/>
    <s v="SE3A"/>
    <x v="7"/>
    <x v="7"/>
    <s v="GHYRS_WATER"/>
    <x v="5"/>
    <x v="6"/>
    <n v="2010"/>
    <n v="122275"/>
    <n v="440190"/>
  </r>
  <r>
    <x v="0"/>
    <x v="0"/>
    <x v="0"/>
    <x v="9"/>
    <x v="16"/>
    <s v="SE3A"/>
    <x v="7"/>
    <x v="7"/>
    <s v="GHYRS_WATER"/>
    <x v="5"/>
    <x v="7"/>
    <n v="2010"/>
    <n v="122275"/>
    <n v="440190"/>
  </r>
  <r>
    <x v="0"/>
    <x v="0"/>
    <x v="0"/>
    <x v="9"/>
    <x v="16"/>
    <s v="SE3A"/>
    <x v="7"/>
    <x v="7"/>
    <s v="GHYRS_WATER"/>
    <x v="5"/>
    <x v="8"/>
    <n v="2010"/>
    <n v="122275"/>
    <n v="440190"/>
  </r>
  <r>
    <x v="0"/>
    <x v="0"/>
    <x v="0"/>
    <x v="9"/>
    <x v="16"/>
    <s v="SE3A"/>
    <x v="7"/>
    <x v="7"/>
    <s v="GHYRS_WATER"/>
    <x v="5"/>
    <x v="9"/>
    <n v="2010"/>
    <n v="122275"/>
    <n v="440190"/>
  </r>
  <r>
    <x v="0"/>
    <x v="0"/>
    <x v="0"/>
    <x v="9"/>
    <x v="16"/>
    <s v="SE3A"/>
    <x v="7"/>
    <x v="7"/>
    <s v="GHYRS_WATER"/>
    <x v="5"/>
    <x v="10"/>
    <n v="2010"/>
    <n v="122275"/>
    <n v="440190"/>
  </r>
  <r>
    <x v="0"/>
    <x v="0"/>
    <x v="0"/>
    <x v="9"/>
    <x v="16"/>
    <s v="SE3A"/>
    <x v="7"/>
    <x v="7"/>
    <s v="GHYRS_WATER"/>
    <x v="5"/>
    <x v="11"/>
    <n v="2010"/>
    <n v="122275"/>
    <n v="440190"/>
  </r>
  <r>
    <x v="0"/>
    <x v="0"/>
    <x v="0"/>
    <x v="9"/>
    <x v="16"/>
    <s v="SE3A"/>
    <x v="7"/>
    <x v="7"/>
    <s v="GHYRS_WATER"/>
    <x v="6"/>
    <x v="1"/>
    <n v="704.01584913222405"/>
    <n v="42827.630822210303"/>
    <n v="154179.47095995699"/>
  </r>
  <r>
    <x v="0"/>
    <x v="0"/>
    <x v="0"/>
    <x v="9"/>
    <x v="16"/>
    <s v="SE3A"/>
    <x v="7"/>
    <x v="7"/>
    <s v="GHYRS_WATER"/>
    <x v="6"/>
    <x v="2"/>
    <n v="627.162236730627"/>
    <n v="38152.369401113203"/>
    <n v="137348.52984400699"/>
  </r>
  <r>
    <x v="0"/>
    <x v="0"/>
    <x v="0"/>
    <x v="9"/>
    <x v="16"/>
    <s v="SE3A"/>
    <x v="7"/>
    <x v="7"/>
    <s v="GHYRS_WATER"/>
    <x v="6"/>
    <x v="3"/>
    <n v="878.91687182197802"/>
    <n v="53467.443035837001"/>
    <n v="192482.79492901301"/>
  </r>
  <r>
    <x v="0"/>
    <x v="0"/>
    <x v="0"/>
    <x v="9"/>
    <x v="16"/>
    <s v="SE3A"/>
    <x v="7"/>
    <x v="7"/>
    <s v="GHYRS_WATER"/>
    <x v="6"/>
    <x v="4"/>
    <n v="160.05773014213699"/>
    <n v="9736.8452503133103"/>
    <n v="35052.642901127903"/>
  </r>
  <r>
    <x v="0"/>
    <x v="0"/>
    <x v="0"/>
    <x v="9"/>
    <x v="16"/>
    <s v="SE3A"/>
    <x v="7"/>
    <x v="7"/>
    <s v="GHYRS_WATER"/>
    <x v="6"/>
    <x v="5"/>
    <n v="1799.32145772785"/>
    <n v="109458.722011777"/>
    <n v="394051.39924239903"/>
  </r>
  <r>
    <x v="0"/>
    <x v="0"/>
    <x v="0"/>
    <x v="9"/>
    <x v="16"/>
    <s v="SE3A"/>
    <x v="7"/>
    <x v="7"/>
    <s v="GHYRS_WATER"/>
    <x v="6"/>
    <x v="6"/>
    <n v="2010"/>
    <n v="122275"/>
    <n v="440190"/>
  </r>
  <r>
    <x v="0"/>
    <x v="0"/>
    <x v="0"/>
    <x v="9"/>
    <x v="16"/>
    <s v="SE3A"/>
    <x v="7"/>
    <x v="7"/>
    <s v="GHYRS_WATER"/>
    <x v="6"/>
    <x v="7"/>
    <n v="2010"/>
    <n v="122275"/>
    <n v="440190"/>
  </r>
  <r>
    <x v="0"/>
    <x v="0"/>
    <x v="0"/>
    <x v="9"/>
    <x v="16"/>
    <s v="SE3A"/>
    <x v="7"/>
    <x v="7"/>
    <s v="GHYRS_WATER"/>
    <x v="6"/>
    <x v="8"/>
    <n v="2010"/>
    <n v="122275"/>
    <n v="440190"/>
  </r>
  <r>
    <x v="0"/>
    <x v="0"/>
    <x v="0"/>
    <x v="9"/>
    <x v="16"/>
    <s v="SE3A"/>
    <x v="7"/>
    <x v="7"/>
    <s v="GHYRS_WATER"/>
    <x v="6"/>
    <x v="9"/>
    <n v="2010"/>
    <n v="122275"/>
    <n v="440190"/>
  </r>
  <r>
    <x v="0"/>
    <x v="0"/>
    <x v="0"/>
    <x v="9"/>
    <x v="16"/>
    <s v="SE3A"/>
    <x v="7"/>
    <x v="7"/>
    <s v="GHYRS_WATER"/>
    <x v="6"/>
    <x v="10"/>
    <n v="2010"/>
    <n v="122275"/>
    <n v="440190"/>
  </r>
  <r>
    <x v="0"/>
    <x v="0"/>
    <x v="0"/>
    <x v="9"/>
    <x v="16"/>
    <s v="SE3A"/>
    <x v="7"/>
    <x v="7"/>
    <s v="GHYRS_WATER"/>
    <x v="6"/>
    <x v="11"/>
    <n v="2010"/>
    <n v="122275"/>
    <n v="440190"/>
  </r>
  <r>
    <x v="0"/>
    <x v="0"/>
    <x v="0"/>
    <x v="9"/>
    <x v="16"/>
    <s v="SE3A"/>
    <x v="7"/>
    <x v="7"/>
    <s v="GHYRS_WATER"/>
    <x v="7"/>
    <x v="3"/>
    <n v="2010"/>
    <n v="122275"/>
    <n v="440190"/>
  </r>
  <r>
    <x v="0"/>
    <x v="0"/>
    <x v="0"/>
    <x v="9"/>
    <x v="16"/>
    <s v="SE3A"/>
    <x v="7"/>
    <x v="7"/>
    <s v="GHYRS_WATER"/>
    <x v="7"/>
    <x v="4"/>
    <n v="2010"/>
    <n v="122275"/>
    <n v="440190"/>
  </r>
  <r>
    <x v="0"/>
    <x v="0"/>
    <x v="0"/>
    <x v="9"/>
    <x v="16"/>
    <s v="SE3A"/>
    <x v="7"/>
    <x v="7"/>
    <s v="GHYRS_WATER"/>
    <x v="7"/>
    <x v="6"/>
    <n v="839.61305741776198"/>
    <n v="51076.460992913897"/>
    <n v="183875.25957448999"/>
  </r>
  <r>
    <x v="0"/>
    <x v="0"/>
    <x v="0"/>
    <x v="9"/>
    <x v="16"/>
    <s v="SE3A"/>
    <x v="7"/>
    <x v="7"/>
    <s v="GHYRS_WATER"/>
    <x v="7"/>
    <x v="7"/>
    <n v="1595.03244871164"/>
    <n v="97031.140629958201"/>
    <n v="349312.10626784997"/>
  </r>
  <r>
    <x v="0"/>
    <x v="0"/>
    <x v="0"/>
    <x v="9"/>
    <x v="16"/>
    <s v="SE3A"/>
    <x v="7"/>
    <x v="7"/>
    <s v="GHYRS_WATER"/>
    <x v="7"/>
    <x v="8"/>
    <n v="2010"/>
    <n v="122275"/>
    <n v="440190"/>
  </r>
  <r>
    <x v="0"/>
    <x v="0"/>
    <x v="0"/>
    <x v="9"/>
    <x v="16"/>
    <s v="SE3A"/>
    <x v="7"/>
    <x v="7"/>
    <s v="GHYRS_WATER"/>
    <x v="7"/>
    <x v="9"/>
    <n v="1461.03592021592"/>
    <n v="88879.685146468299"/>
    <n v="319966.86652728601"/>
  </r>
  <r>
    <x v="0"/>
    <x v="0"/>
    <x v="0"/>
    <x v="9"/>
    <x v="16"/>
    <s v="SE3A"/>
    <x v="7"/>
    <x v="7"/>
    <s v="GHYRS_WATER"/>
    <x v="7"/>
    <x v="10"/>
    <n v="2010"/>
    <n v="122275"/>
    <n v="440190"/>
  </r>
  <r>
    <x v="0"/>
    <x v="0"/>
    <x v="0"/>
    <x v="9"/>
    <x v="16"/>
    <s v="SE3A"/>
    <x v="7"/>
    <x v="7"/>
    <s v="GHYRS_WATER"/>
    <x v="7"/>
    <x v="11"/>
    <n v="928.06960135959503"/>
    <n v="56457.567416042002"/>
    <n v="203247.242697751"/>
  </r>
  <r>
    <x v="0"/>
    <x v="0"/>
    <x v="0"/>
    <x v="9"/>
    <x v="16"/>
    <s v="SE3A"/>
    <x v="7"/>
    <x v="7"/>
    <s v="GHYRS_WATER"/>
    <x v="8"/>
    <x v="0"/>
    <n v="2010"/>
    <n v="122275"/>
    <n v="440190"/>
  </r>
  <r>
    <x v="0"/>
    <x v="0"/>
    <x v="0"/>
    <x v="9"/>
    <x v="16"/>
    <s v="SE3A"/>
    <x v="7"/>
    <x v="7"/>
    <s v="GHYRS_WATER"/>
    <x v="8"/>
    <x v="1"/>
    <n v="2010"/>
    <n v="122275"/>
    <n v="440190"/>
  </r>
  <r>
    <x v="0"/>
    <x v="0"/>
    <x v="0"/>
    <x v="9"/>
    <x v="16"/>
    <s v="SE3A"/>
    <x v="7"/>
    <x v="7"/>
    <s v="GHYRS_WATER"/>
    <x v="8"/>
    <x v="2"/>
    <n v="2010"/>
    <n v="122275"/>
    <n v="440190"/>
  </r>
  <r>
    <x v="0"/>
    <x v="0"/>
    <x v="0"/>
    <x v="9"/>
    <x v="16"/>
    <s v="SE3A"/>
    <x v="7"/>
    <x v="7"/>
    <s v="GHYRS_WATER"/>
    <x v="8"/>
    <x v="3"/>
    <n v="2010"/>
    <n v="122275"/>
    <n v="440190"/>
  </r>
  <r>
    <x v="0"/>
    <x v="0"/>
    <x v="0"/>
    <x v="9"/>
    <x v="16"/>
    <s v="SE3A"/>
    <x v="7"/>
    <x v="7"/>
    <s v="GHYRS_WATER"/>
    <x v="8"/>
    <x v="4"/>
    <n v="2010"/>
    <n v="122275"/>
    <n v="440190"/>
  </r>
  <r>
    <x v="0"/>
    <x v="0"/>
    <x v="0"/>
    <x v="9"/>
    <x v="16"/>
    <s v="SE3A"/>
    <x v="7"/>
    <x v="7"/>
    <s v="GHYRS_WATER"/>
    <x v="8"/>
    <x v="5"/>
    <n v="2010"/>
    <n v="122275"/>
    <n v="440190"/>
  </r>
  <r>
    <x v="0"/>
    <x v="0"/>
    <x v="0"/>
    <x v="9"/>
    <x v="16"/>
    <s v="SE3A"/>
    <x v="7"/>
    <x v="7"/>
    <s v="GHYRS_WATER"/>
    <x v="8"/>
    <x v="6"/>
    <n v="2010"/>
    <n v="122275"/>
    <n v="440190"/>
  </r>
  <r>
    <x v="0"/>
    <x v="0"/>
    <x v="0"/>
    <x v="9"/>
    <x v="16"/>
    <s v="SE3A"/>
    <x v="7"/>
    <x v="7"/>
    <s v="GHYRS_WATER"/>
    <x v="8"/>
    <x v="7"/>
    <n v="2010"/>
    <n v="122275"/>
    <n v="440190"/>
  </r>
  <r>
    <x v="0"/>
    <x v="0"/>
    <x v="0"/>
    <x v="9"/>
    <x v="16"/>
    <s v="SE3A"/>
    <x v="7"/>
    <x v="7"/>
    <s v="GHYRS_WATER"/>
    <x v="8"/>
    <x v="8"/>
    <n v="2010"/>
    <n v="122275"/>
    <n v="440190"/>
  </r>
  <r>
    <x v="0"/>
    <x v="0"/>
    <x v="0"/>
    <x v="9"/>
    <x v="16"/>
    <s v="SE3A"/>
    <x v="7"/>
    <x v="7"/>
    <s v="GHYRS_WATER"/>
    <x v="8"/>
    <x v="9"/>
    <n v="2010"/>
    <n v="122275"/>
    <n v="440190"/>
  </r>
  <r>
    <x v="0"/>
    <x v="0"/>
    <x v="0"/>
    <x v="9"/>
    <x v="16"/>
    <s v="SE3A"/>
    <x v="7"/>
    <x v="7"/>
    <s v="GHYRS_WATER"/>
    <x v="8"/>
    <x v="10"/>
    <n v="2010"/>
    <n v="122275"/>
    <n v="440190"/>
  </r>
  <r>
    <x v="0"/>
    <x v="0"/>
    <x v="0"/>
    <x v="9"/>
    <x v="16"/>
    <s v="SE3A"/>
    <x v="7"/>
    <x v="7"/>
    <s v="GHYRS_WATER"/>
    <x v="8"/>
    <x v="11"/>
    <n v="2010"/>
    <n v="122275"/>
    <n v="440190"/>
  </r>
  <r>
    <x v="0"/>
    <x v="0"/>
    <x v="0"/>
    <x v="9"/>
    <x v="16"/>
    <s v="SE3A"/>
    <x v="7"/>
    <x v="7"/>
    <s v="GHYRS_WATER"/>
    <x v="9"/>
    <x v="0"/>
    <n v="2010"/>
    <n v="122275"/>
    <n v="440190"/>
  </r>
  <r>
    <x v="0"/>
    <x v="0"/>
    <x v="0"/>
    <x v="9"/>
    <x v="16"/>
    <s v="SE3A"/>
    <x v="7"/>
    <x v="7"/>
    <s v="GHYRS_WATER"/>
    <x v="9"/>
    <x v="1"/>
    <n v="2010"/>
    <n v="122275"/>
    <n v="440190"/>
  </r>
  <r>
    <x v="0"/>
    <x v="0"/>
    <x v="0"/>
    <x v="9"/>
    <x v="16"/>
    <s v="SE3A"/>
    <x v="7"/>
    <x v="7"/>
    <s v="GHYRS_WATER"/>
    <x v="9"/>
    <x v="2"/>
    <n v="2010"/>
    <n v="122275"/>
    <n v="440190"/>
  </r>
  <r>
    <x v="0"/>
    <x v="0"/>
    <x v="0"/>
    <x v="9"/>
    <x v="16"/>
    <s v="SE3A"/>
    <x v="7"/>
    <x v="7"/>
    <s v="GHYRS_WATER"/>
    <x v="9"/>
    <x v="3"/>
    <n v="2010"/>
    <n v="122275"/>
    <n v="440190"/>
  </r>
  <r>
    <x v="0"/>
    <x v="0"/>
    <x v="0"/>
    <x v="9"/>
    <x v="16"/>
    <s v="SE3A"/>
    <x v="7"/>
    <x v="7"/>
    <s v="GHYRS_WATER"/>
    <x v="9"/>
    <x v="4"/>
    <n v="2010"/>
    <n v="122275"/>
    <n v="440190"/>
  </r>
  <r>
    <x v="0"/>
    <x v="0"/>
    <x v="0"/>
    <x v="9"/>
    <x v="16"/>
    <s v="SE3A"/>
    <x v="7"/>
    <x v="7"/>
    <s v="GHYRS_WATER"/>
    <x v="9"/>
    <x v="5"/>
    <n v="2010"/>
    <n v="122275"/>
    <n v="440190"/>
  </r>
  <r>
    <x v="0"/>
    <x v="0"/>
    <x v="0"/>
    <x v="9"/>
    <x v="16"/>
    <s v="SE3A"/>
    <x v="7"/>
    <x v="7"/>
    <s v="GHYRS_WATER"/>
    <x v="9"/>
    <x v="6"/>
    <n v="2010"/>
    <n v="122275"/>
    <n v="440190"/>
  </r>
  <r>
    <x v="0"/>
    <x v="0"/>
    <x v="0"/>
    <x v="9"/>
    <x v="16"/>
    <s v="SE3A"/>
    <x v="7"/>
    <x v="7"/>
    <s v="GHYRS_WATER"/>
    <x v="9"/>
    <x v="7"/>
    <n v="2010"/>
    <n v="122275"/>
    <n v="440190"/>
  </r>
  <r>
    <x v="0"/>
    <x v="0"/>
    <x v="0"/>
    <x v="9"/>
    <x v="16"/>
    <s v="SE3A"/>
    <x v="7"/>
    <x v="7"/>
    <s v="GHYRS_WATER"/>
    <x v="9"/>
    <x v="8"/>
    <n v="2010"/>
    <n v="122275"/>
    <n v="440190"/>
  </r>
  <r>
    <x v="0"/>
    <x v="0"/>
    <x v="0"/>
    <x v="9"/>
    <x v="16"/>
    <s v="SE3A"/>
    <x v="7"/>
    <x v="7"/>
    <s v="GHYRS_WATER"/>
    <x v="9"/>
    <x v="9"/>
    <n v="2010"/>
    <n v="122275"/>
    <n v="440190"/>
  </r>
  <r>
    <x v="0"/>
    <x v="0"/>
    <x v="0"/>
    <x v="9"/>
    <x v="16"/>
    <s v="SE3A"/>
    <x v="7"/>
    <x v="7"/>
    <s v="GHYRS_WATER"/>
    <x v="9"/>
    <x v="10"/>
    <n v="2010"/>
    <n v="122275"/>
    <n v="440190"/>
  </r>
  <r>
    <x v="0"/>
    <x v="0"/>
    <x v="0"/>
    <x v="9"/>
    <x v="16"/>
    <s v="SE3A"/>
    <x v="7"/>
    <x v="7"/>
    <s v="GHYRS_WATER"/>
    <x v="9"/>
    <x v="11"/>
    <n v="2010"/>
    <n v="122275"/>
    <n v="440190"/>
  </r>
  <r>
    <x v="0"/>
    <x v="0"/>
    <x v="0"/>
    <x v="9"/>
    <x v="16"/>
    <s v="SE3A"/>
    <x v="7"/>
    <x v="7"/>
    <s v="GHYRS_WATER"/>
    <x v="10"/>
    <x v="0"/>
    <n v="2010"/>
    <n v="122275"/>
    <n v="440190"/>
  </r>
  <r>
    <x v="0"/>
    <x v="0"/>
    <x v="0"/>
    <x v="9"/>
    <x v="16"/>
    <s v="SE3A"/>
    <x v="7"/>
    <x v="7"/>
    <s v="GHYRS_WATER"/>
    <x v="10"/>
    <x v="1"/>
    <n v="2010"/>
    <n v="122275"/>
    <n v="440190"/>
  </r>
  <r>
    <x v="0"/>
    <x v="0"/>
    <x v="0"/>
    <x v="9"/>
    <x v="16"/>
    <s v="SE3A"/>
    <x v="7"/>
    <x v="7"/>
    <s v="GHYRS_WATER"/>
    <x v="10"/>
    <x v="2"/>
    <n v="2010"/>
    <n v="122275"/>
    <n v="440190"/>
  </r>
  <r>
    <x v="0"/>
    <x v="0"/>
    <x v="0"/>
    <x v="9"/>
    <x v="16"/>
    <s v="SE3A"/>
    <x v="7"/>
    <x v="7"/>
    <s v="GHYRS_WATER"/>
    <x v="10"/>
    <x v="3"/>
    <n v="2010"/>
    <n v="122275"/>
    <n v="440190"/>
  </r>
  <r>
    <x v="0"/>
    <x v="0"/>
    <x v="0"/>
    <x v="9"/>
    <x v="16"/>
    <s v="SE3A"/>
    <x v="7"/>
    <x v="7"/>
    <s v="GHYRS_WATER"/>
    <x v="10"/>
    <x v="4"/>
    <n v="2010"/>
    <n v="122275"/>
    <n v="440190"/>
  </r>
  <r>
    <x v="0"/>
    <x v="0"/>
    <x v="0"/>
    <x v="9"/>
    <x v="16"/>
    <s v="SE3A"/>
    <x v="7"/>
    <x v="7"/>
    <s v="GHYRS_WATER"/>
    <x v="10"/>
    <x v="5"/>
    <n v="2010"/>
    <n v="122275"/>
    <n v="440190"/>
  </r>
  <r>
    <x v="0"/>
    <x v="0"/>
    <x v="0"/>
    <x v="9"/>
    <x v="16"/>
    <s v="SE3A"/>
    <x v="7"/>
    <x v="7"/>
    <s v="GHYRS_WATER"/>
    <x v="10"/>
    <x v="6"/>
    <n v="2010"/>
    <n v="122275"/>
    <n v="440190"/>
  </r>
  <r>
    <x v="0"/>
    <x v="0"/>
    <x v="0"/>
    <x v="9"/>
    <x v="16"/>
    <s v="SE3A"/>
    <x v="7"/>
    <x v="7"/>
    <s v="GHYRS_WATER"/>
    <x v="10"/>
    <x v="7"/>
    <n v="2010"/>
    <n v="122275"/>
    <n v="440190"/>
  </r>
  <r>
    <x v="0"/>
    <x v="0"/>
    <x v="0"/>
    <x v="9"/>
    <x v="16"/>
    <s v="SE3A"/>
    <x v="7"/>
    <x v="7"/>
    <s v="GHYRS_WATER"/>
    <x v="10"/>
    <x v="8"/>
    <n v="2010"/>
    <n v="122275"/>
    <n v="440190"/>
  </r>
  <r>
    <x v="0"/>
    <x v="0"/>
    <x v="0"/>
    <x v="9"/>
    <x v="16"/>
    <s v="SE3A"/>
    <x v="7"/>
    <x v="7"/>
    <s v="GHYRS_WATER"/>
    <x v="10"/>
    <x v="9"/>
    <n v="2010"/>
    <n v="122275"/>
    <n v="440190"/>
  </r>
  <r>
    <x v="0"/>
    <x v="0"/>
    <x v="0"/>
    <x v="9"/>
    <x v="16"/>
    <s v="SE3A"/>
    <x v="7"/>
    <x v="7"/>
    <s v="GHYRS_WATER"/>
    <x v="10"/>
    <x v="10"/>
    <n v="2010"/>
    <n v="122275"/>
    <n v="440190"/>
  </r>
  <r>
    <x v="0"/>
    <x v="0"/>
    <x v="0"/>
    <x v="9"/>
    <x v="16"/>
    <s v="SE3A"/>
    <x v="7"/>
    <x v="7"/>
    <s v="GHYRS_WATER"/>
    <x v="10"/>
    <x v="11"/>
    <n v="2010"/>
    <n v="122275"/>
    <n v="440190"/>
  </r>
  <r>
    <x v="0"/>
    <x v="0"/>
    <x v="0"/>
    <x v="9"/>
    <x v="16"/>
    <s v="SE3A"/>
    <x v="7"/>
    <x v="7"/>
    <s v="GHYRS_WATER"/>
    <x v="11"/>
    <x v="0"/>
    <n v="2010"/>
    <n v="122275"/>
    <n v="440190"/>
  </r>
  <r>
    <x v="0"/>
    <x v="0"/>
    <x v="0"/>
    <x v="9"/>
    <x v="16"/>
    <s v="SE3A"/>
    <x v="7"/>
    <x v="7"/>
    <s v="GHYRS_WATER"/>
    <x v="11"/>
    <x v="1"/>
    <n v="2010"/>
    <n v="122275"/>
    <n v="440190"/>
  </r>
  <r>
    <x v="0"/>
    <x v="0"/>
    <x v="0"/>
    <x v="9"/>
    <x v="16"/>
    <s v="SE3A"/>
    <x v="7"/>
    <x v="7"/>
    <s v="GHYRS_WATER"/>
    <x v="11"/>
    <x v="2"/>
    <n v="1199.7746119378201"/>
    <n v="72986.288892883793"/>
    <n v="262750.64001438202"/>
  </r>
  <r>
    <x v="0"/>
    <x v="0"/>
    <x v="0"/>
    <x v="9"/>
    <x v="16"/>
    <s v="SE3A"/>
    <x v="7"/>
    <x v="7"/>
    <s v="GHYRS_WATER"/>
    <x v="11"/>
    <x v="3"/>
    <n v="757.69443215611602"/>
    <n v="46093.077956163703"/>
    <n v="165935.08064218899"/>
  </r>
  <r>
    <x v="0"/>
    <x v="0"/>
    <x v="0"/>
    <x v="9"/>
    <x v="16"/>
    <s v="SE3A"/>
    <x v="7"/>
    <x v="7"/>
    <s v="GHYRS_WATER"/>
    <x v="11"/>
    <x v="4"/>
    <n v="1758.9473119188799"/>
    <n v="107002.628141732"/>
    <n v="385209.46131023602"/>
  </r>
  <r>
    <x v="0"/>
    <x v="0"/>
    <x v="0"/>
    <x v="9"/>
    <x v="16"/>
    <s v="SE3A"/>
    <x v="7"/>
    <x v="7"/>
    <s v="GHYRS_WATER"/>
    <x v="11"/>
    <x v="5"/>
    <n v="2010"/>
    <n v="122275"/>
    <n v="440190"/>
  </r>
  <r>
    <x v="0"/>
    <x v="0"/>
    <x v="0"/>
    <x v="9"/>
    <x v="16"/>
    <s v="SE3A"/>
    <x v="7"/>
    <x v="7"/>
    <s v="GHYRS_WATER"/>
    <x v="11"/>
    <x v="6"/>
    <n v="2010"/>
    <n v="122275"/>
    <n v="440190"/>
  </r>
  <r>
    <x v="0"/>
    <x v="0"/>
    <x v="0"/>
    <x v="9"/>
    <x v="16"/>
    <s v="SE3A"/>
    <x v="7"/>
    <x v="7"/>
    <s v="GHYRS_WATER"/>
    <x v="11"/>
    <x v="7"/>
    <n v="2010"/>
    <n v="122275"/>
    <n v="440190"/>
  </r>
  <r>
    <x v="0"/>
    <x v="0"/>
    <x v="0"/>
    <x v="9"/>
    <x v="16"/>
    <s v="SE3A"/>
    <x v="7"/>
    <x v="7"/>
    <s v="GHYRS_WATER"/>
    <x v="11"/>
    <x v="8"/>
    <n v="2010"/>
    <n v="122275"/>
    <n v="440190"/>
  </r>
  <r>
    <x v="0"/>
    <x v="0"/>
    <x v="0"/>
    <x v="9"/>
    <x v="16"/>
    <s v="SE3A"/>
    <x v="7"/>
    <x v="7"/>
    <s v="GHYRS_WATER"/>
    <x v="11"/>
    <x v="9"/>
    <n v="2010"/>
    <n v="122275"/>
    <n v="440190"/>
  </r>
  <r>
    <x v="0"/>
    <x v="0"/>
    <x v="0"/>
    <x v="9"/>
    <x v="16"/>
    <s v="SE3A"/>
    <x v="7"/>
    <x v="7"/>
    <s v="GHYRS_WATER"/>
    <x v="11"/>
    <x v="10"/>
    <n v="2010"/>
    <n v="122275"/>
    <n v="440190"/>
  </r>
  <r>
    <x v="0"/>
    <x v="0"/>
    <x v="0"/>
    <x v="9"/>
    <x v="16"/>
    <s v="SE3A"/>
    <x v="7"/>
    <x v="7"/>
    <s v="GHYRS_WATER"/>
    <x v="11"/>
    <x v="11"/>
    <n v="2010"/>
    <n v="122275"/>
    <n v="440190"/>
  </r>
  <r>
    <x v="0"/>
    <x v="0"/>
    <x v="0"/>
    <x v="9"/>
    <x v="16"/>
    <s v="SE3A"/>
    <x v="0"/>
    <x v="0"/>
    <s v="GWND_WIND"/>
    <x v="0"/>
    <x v="0"/>
    <n v="445.45277142483002"/>
    <n v="27098.376928343801"/>
    <n v="97554.156942037705"/>
  </r>
  <r>
    <x v="0"/>
    <x v="0"/>
    <x v="0"/>
    <x v="9"/>
    <x v="16"/>
    <s v="SE3A"/>
    <x v="0"/>
    <x v="0"/>
    <s v="GWND_WIND"/>
    <x v="0"/>
    <x v="1"/>
    <n v="363.09079198458397"/>
    <n v="22088.023179062198"/>
    <n v="79516.883444623905"/>
  </r>
  <r>
    <x v="0"/>
    <x v="0"/>
    <x v="0"/>
    <x v="9"/>
    <x v="16"/>
    <s v="SE3A"/>
    <x v="0"/>
    <x v="0"/>
    <s v="GWND_WIND"/>
    <x v="0"/>
    <x v="2"/>
    <n v="306.90234377216899"/>
    <n v="18669.892579473599"/>
    <n v="67211.613286104999"/>
  </r>
  <r>
    <x v="0"/>
    <x v="0"/>
    <x v="0"/>
    <x v="9"/>
    <x v="16"/>
    <s v="SE3A"/>
    <x v="0"/>
    <x v="0"/>
    <s v="GWND_WIND"/>
    <x v="0"/>
    <x v="3"/>
    <n v="319.35098369809799"/>
    <n v="19427.184841634298"/>
    <n v="69937.865429883503"/>
  </r>
  <r>
    <x v="0"/>
    <x v="0"/>
    <x v="0"/>
    <x v="9"/>
    <x v="16"/>
    <s v="SE3A"/>
    <x v="0"/>
    <x v="0"/>
    <s v="GWND_WIND"/>
    <x v="0"/>
    <x v="4"/>
    <n v="383.53995628739699"/>
    <n v="23332.0140074833"/>
    <n v="83995.250426939994"/>
  </r>
  <r>
    <x v="0"/>
    <x v="0"/>
    <x v="0"/>
    <x v="9"/>
    <x v="16"/>
    <s v="SE3A"/>
    <x v="0"/>
    <x v="0"/>
    <s v="GWND_WIND"/>
    <x v="0"/>
    <x v="5"/>
    <n v="410.02466111342801"/>
    <n v="24943.166884400202"/>
    <n v="89795.400783840698"/>
  </r>
  <r>
    <x v="0"/>
    <x v="0"/>
    <x v="0"/>
    <x v="9"/>
    <x v="16"/>
    <s v="SE3A"/>
    <x v="0"/>
    <x v="0"/>
    <s v="GWND_WIND"/>
    <x v="0"/>
    <x v="6"/>
    <n v="389.91280860315999"/>
    <n v="23719.6958566922"/>
    <n v="85390.905084092097"/>
  </r>
  <r>
    <x v="0"/>
    <x v="0"/>
    <x v="0"/>
    <x v="9"/>
    <x v="16"/>
    <s v="SE3A"/>
    <x v="0"/>
    <x v="0"/>
    <s v="GWND_WIND"/>
    <x v="0"/>
    <x v="7"/>
    <n v="436.45047149529398"/>
    <n v="26550.737015963699"/>
    <n v="95582.653257469297"/>
  </r>
  <r>
    <x v="0"/>
    <x v="0"/>
    <x v="0"/>
    <x v="9"/>
    <x v="16"/>
    <s v="SE3A"/>
    <x v="0"/>
    <x v="0"/>
    <s v="GWND_WIND"/>
    <x v="0"/>
    <x v="8"/>
    <n v="449.94517040660702"/>
    <n v="27371.664533068601"/>
    <n v="98537.992319047"/>
  </r>
  <r>
    <x v="0"/>
    <x v="0"/>
    <x v="0"/>
    <x v="9"/>
    <x v="16"/>
    <s v="SE3A"/>
    <x v="0"/>
    <x v="0"/>
    <s v="GWND_WIND"/>
    <x v="0"/>
    <x v="9"/>
    <n v="462.52597749052399"/>
    <n v="28136.996964006899"/>
    <n v="101293.189070425"/>
  </r>
  <r>
    <x v="0"/>
    <x v="0"/>
    <x v="0"/>
    <x v="9"/>
    <x v="16"/>
    <s v="SE3A"/>
    <x v="0"/>
    <x v="0"/>
    <s v="GWND_WIND"/>
    <x v="0"/>
    <x v="10"/>
    <n v="544.11493960526798"/>
    <n v="33100.325492653799"/>
    <n v="119161.171773554"/>
  </r>
  <r>
    <x v="0"/>
    <x v="0"/>
    <x v="0"/>
    <x v="9"/>
    <x v="16"/>
    <s v="SE3A"/>
    <x v="0"/>
    <x v="0"/>
    <s v="GWND_WIND"/>
    <x v="0"/>
    <x v="11"/>
    <n v="610.62047081705703"/>
    <n v="37146.078641371001"/>
    <n v="133725.88310893599"/>
  </r>
  <r>
    <x v="0"/>
    <x v="0"/>
    <x v="0"/>
    <x v="9"/>
    <x v="16"/>
    <s v="SE3A"/>
    <x v="0"/>
    <x v="0"/>
    <s v="GWND_WIND"/>
    <x v="1"/>
    <x v="0"/>
    <n v="167.58789167759201"/>
    <n v="10194.930077053499"/>
    <n v="36701.748277392602"/>
  </r>
  <r>
    <x v="0"/>
    <x v="0"/>
    <x v="0"/>
    <x v="9"/>
    <x v="16"/>
    <s v="SE3A"/>
    <x v="0"/>
    <x v="0"/>
    <s v="GWND_WIND"/>
    <x v="1"/>
    <x v="1"/>
    <n v="154.21145144819101"/>
    <n v="9381.1966297649305"/>
    <n v="33772.307867153802"/>
  </r>
  <r>
    <x v="0"/>
    <x v="0"/>
    <x v="0"/>
    <x v="9"/>
    <x v="16"/>
    <s v="SE3A"/>
    <x v="0"/>
    <x v="0"/>
    <s v="GWND_WIND"/>
    <x v="1"/>
    <x v="2"/>
    <n v="128.81322401829999"/>
    <n v="7836.1377944465903"/>
    <n v="28210.096060007701"/>
  </r>
  <r>
    <x v="0"/>
    <x v="0"/>
    <x v="0"/>
    <x v="9"/>
    <x v="16"/>
    <s v="SE3A"/>
    <x v="0"/>
    <x v="0"/>
    <s v="GWND_WIND"/>
    <x v="1"/>
    <x v="3"/>
    <n v="86.855930033856893"/>
    <n v="5283.7357437262999"/>
    <n v="19021.448677414701"/>
  </r>
  <r>
    <x v="0"/>
    <x v="0"/>
    <x v="0"/>
    <x v="9"/>
    <x v="16"/>
    <s v="SE3A"/>
    <x v="0"/>
    <x v="0"/>
    <s v="GWND_WIND"/>
    <x v="1"/>
    <x v="4"/>
    <n v="83.621593011827898"/>
    <n v="5086.9802415528602"/>
    <n v="18313.128869590299"/>
  </r>
  <r>
    <x v="0"/>
    <x v="0"/>
    <x v="0"/>
    <x v="9"/>
    <x v="16"/>
    <s v="SE3A"/>
    <x v="0"/>
    <x v="0"/>
    <s v="GWND_WIND"/>
    <x v="1"/>
    <x v="5"/>
    <n v="67.364478740147803"/>
    <n v="4098.0057900256597"/>
    <n v="14752.820844092401"/>
  </r>
  <r>
    <x v="0"/>
    <x v="0"/>
    <x v="0"/>
    <x v="9"/>
    <x v="16"/>
    <s v="SE3A"/>
    <x v="0"/>
    <x v="0"/>
    <s v="GWND_WIND"/>
    <x v="1"/>
    <x v="6"/>
    <n v="60.902324698315297"/>
    <n v="3704.8914191475101"/>
    <n v="13337.609108930999"/>
  </r>
  <r>
    <x v="0"/>
    <x v="0"/>
    <x v="0"/>
    <x v="9"/>
    <x v="16"/>
    <s v="SE3A"/>
    <x v="0"/>
    <x v="0"/>
    <s v="GWND_WIND"/>
    <x v="1"/>
    <x v="7"/>
    <n v="77.180344784435903"/>
    <n v="4695.1376410531802"/>
    <n v="16902.4955077915"/>
  </r>
  <r>
    <x v="0"/>
    <x v="0"/>
    <x v="0"/>
    <x v="9"/>
    <x v="16"/>
    <s v="SE3A"/>
    <x v="0"/>
    <x v="0"/>
    <s v="GWND_WIND"/>
    <x v="1"/>
    <x v="8"/>
    <n v="90.9006308162148"/>
    <n v="5529.7883746530697"/>
    <n v="19907.238148750999"/>
  </r>
  <r>
    <x v="0"/>
    <x v="0"/>
    <x v="0"/>
    <x v="9"/>
    <x v="16"/>
    <s v="SE3A"/>
    <x v="0"/>
    <x v="0"/>
    <s v="GWND_WIND"/>
    <x v="1"/>
    <x v="9"/>
    <n v="97.350999073161702"/>
    <n v="5922.1857769506696"/>
    <n v="21319.868797022398"/>
  </r>
  <r>
    <x v="0"/>
    <x v="0"/>
    <x v="0"/>
    <x v="9"/>
    <x v="16"/>
    <s v="SE3A"/>
    <x v="0"/>
    <x v="0"/>
    <s v="GWND_WIND"/>
    <x v="1"/>
    <x v="10"/>
    <n v="124.055616861383"/>
    <n v="7546.7166924007897"/>
    <n v="27168.180092642899"/>
  </r>
  <r>
    <x v="0"/>
    <x v="0"/>
    <x v="0"/>
    <x v="9"/>
    <x v="16"/>
    <s v="SE3A"/>
    <x v="0"/>
    <x v="0"/>
    <s v="GWND_WIND"/>
    <x v="1"/>
    <x v="11"/>
    <n v="128.91036569416201"/>
    <n v="7842.0472463948399"/>
    <n v="28231.370087021402"/>
  </r>
  <r>
    <x v="0"/>
    <x v="0"/>
    <x v="0"/>
    <x v="9"/>
    <x v="16"/>
    <s v="SE3A"/>
    <x v="0"/>
    <x v="0"/>
    <s v="GWND_WIND"/>
    <x v="2"/>
    <x v="0"/>
    <n v="70.559023383695902"/>
    <n v="4292.3405891748298"/>
    <n v="15452.426121029401"/>
  </r>
  <r>
    <x v="0"/>
    <x v="0"/>
    <x v="0"/>
    <x v="9"/>
    <x v="16"/>
    <s v="SE3A"/>
    <x v="0"/>
    <x v="0"/>
    <s v="GWND_WIND"/>
    <x v="2"/>
    <x v="1"/>
    <n v="54.891821156045197"/>
    <n v="3339.2524536594201"/>
    <n v="12021.3088331739"/>
  </r>
  <r>
    <x v="0"/>
    <x v="0"/>
    <x v="0"/>
    <x v="9"/>
    <x v="16"/>
    <s v="SE3A"/>
    <x v="0"/>
    <x v="0"/>
    <s v="GWND_WIND"/>
    <x v="2"/>
    <x v="2"/>
    <n v="47.542443615204597"/>
    <n v="2892.1653199249399"/>
    <n v="10411.795151729801"/>
  </r>
  <r>
    <x v="0"/>
    <x v="0"/>
    <x v="0"/>
    <x v="9"/>
    <x v="16"/>
    <s v="SE3A"/>
    <x v="0"/>
    <x v="0"/>
    <s v="GWND_WIND"/>
    <x v="2"/>
    <x v="3"/>
    <n v="46.550202932771299"/>
    <n v="2831.8040117435798"/>
    <n v="10194.4944422769"/>
  </r>
  <r>
    <x v="0"/>
    <x v="0"/>
    <x v="0"/>
    <x v="9"/>
    <x v="16"/>
    <s v="SE3A"/>
    <x v="0"/>
    <x v="0"/>
    <s v="GWND_WIND"/>
    <x v="2"/>
    <x v="4"/>
    <n v="49.398823260589197"/>
    <n v="3005.0950816858499"/>
    <n v="10818.342294069"/>
  </r>
  <r>
    <x v="0"/>
    <x v="0"/>
    <x v="0"/>
    <x v="9"/>
    <x v="16"/>
    <s v="SE3A"/>
    <x v="0"/>
    <x v="0"/>
    <s v="GWND_WIND"/>
    <x v="2"/>
    <x v="5"/>
    <n v="63.020766194843702"/>
    <n v="3833.7632768529902"/>
    <n v="13801.5477966708"/>
  </r>
  <r>
    <x v="0"/>
    <x v="0"/>
    <x v="0"/>
    <x v="9"/>
    <x v="16"/>
    <s v="SE3A"/>
    <x v="0"/>
    <x v="0"/>
    <s v="GWND_WIND"/>
    <x v="2"/>
    <x v="6"/>
    <n v="64.264900283369897"/>
    <n v="3909.4481005716698"/>
    <n v="14074.013162058"/>
  </r>
  <r>
    <x v="0"/>
    <x v="0"/>
    <x v="0"/>
    <x v="9"/>
    <x v="16"/>
    <s v="SE3A"/>
    <x v="0"/>
    <x v="0"/>
    <s v="GWND_WIND"/>
    <x v="2"/>
    <x v="7"/>
    <n v="61.934660539038703"/>
    <n v="3767.6918494581901"/>
    <n v="13563.6906580495"/>
  </r>
  <r>
    <x v="0"/>
    <x v="0"/>
    <x v="0"/>
    <x v="9"/>
    <x v="16"/>
    <s v="SE3A"/>
    <x v="0"/>
    <x v="0"/>
    <s v="GWND_WIND"/>
    <x v="2"/>
    <x v="8"/>
    <n v="64.8501036164878"/>
    <n v="3945.0479700030101"/>
    <n v="14202.172692010799"/>
  </r>
  <r>
    <x v="0"/>
    <x v="0"/>
    <x v="0"/>
    <x v="9"/>
    <x v="16"/>
    <s v="SE3A"/>
    <x v="0"/>
    <x v="0"/>
    <s v="GWND_WIND"/>
    <x v="2"/>
    <x v="9"/>
    <n v="74.634582923901505"/>
    <n v="4540.2704612040097"/>
    <n v="16344.973660334401"/>
  </r>
  <r>
    <x v="0"/>
    <x v="0"/>
    <x v="0"/>
    <x v="9"/>
    <x v="16"/>
    <s v="SE3A"/>
    <x v="0"/>
    <x v="0"/>
    <s v="GWND_WIND"/>
    <x v="2"/>
    <x v="10"/>
    <n v="73.102486919201795"/>
    <n v="4447.0679542514499"/>
    <n v="16009.444635305201"/>
  </r>
  <r>
    <x v="0"/>
    <x v="0"/>
    <x v="0"/>
    <x v="9"/>
    <x v="16"/>
    <s v="SE3A"/>
    <x v="0"/>
    <x v="0"/>
    <s v="GWND_WIND"/>
    <x v="2"/>
    <x v="11"/>
    <n v="71.275890678463597"/>
    <n v="4335.9500162732002"/>
    <n v="15609.420058583501"/>
  </r>
  <r>
    <x v="0"/>
    <x v="0"/>
    <x v="0"/>
    <x v="9"/>
    <x v="16"/>
    <s v="SE3A"/>
    <x v="0"/>
    <x v="0"/>
    <s v="GWND_WIND"/>
    <x v="3"/>
    <x v="0"/>
    <n v="367.56650144157697"/>
    <n v="22360.295504362599"/>
    <n v="80497.063815705405"/>
  </r>
  <r>
    <x v="0"/>
    <x v="0"/>
    <x v="0"/>
    <x v="9"/>
    <x v="16"/>
    <s v="SE3A"/>
    <x v="0"/>
    <x v="0"/>
    <s v="GWND_WIND"/>
    <x v="3"/>
    <x v="1"/>
    <n v="327.24132100712802"/>
    <n v="19907.180361267001"/>
    <n v="71665.849300561094"/>
  </r>
  <r>
    <x v="0"/>
    <x v="0"/>
    <x v="0"/>
    <x v="9"/>
    <x v="16"/>
    <s v="SE3A"/>
    <x v="0"/>
    <x v="0"/>
    <s v="GWND_WIND"/>
    <x v="3"/>
    <x v="2"/>
    <n v="318.677891252184"/>
    <n v="19386.238384507898"/>
    <n v="69790.458184228395"/>
  </r>
  <r>
    <x v="0"/>
    <x v="0"/>
    <x v="0"/>
    <x v="9"/>
    <x v="16"/>
    <s v="SE3A"/>
    <x v="0"/>
    <x v="0"/>
    <s v="GWND_WIND"/>
    <x v="3"/>
    <x v="3"/>
    <n v="272.998639289317"/>
    <n v="16607.417223433498"/>
    <n v="59786.702004360399"/>
  </r>
  <r>
    <x v="0"/>
    <x v="0"/>
    <x v="0"/>
    <x v="9"/>
    <x v="16"/>
    <s v="SE3A"/>
    <x v="0"/>
    <x v="0"/>
    <s v="GWND_WIND"/>
    <x v="3"/>
    <x v="4"/>
    <n v="235.41108182865301"/>
    <n v="14320.840811243001"/>
    <n v="51555.026920474898"/>
  </r>
  <r>
    <x v="0"/>
    <x v="0"/>
    <x v="0"/>
    <x v="9"/>
    <x v="16"/>
    <s v="SE3A"/>
    <x v="0"/>
    <x v="0"/>
    <s v="GWND_WIND"/>
    <x v="3"/>
    <x v="5"/>
    <n v="189.410759354606"/>
    <n v="11522.4878607385"/>
    <n v="41480.956298658602"/>
  </r>
  <r>
    <x v="0"/>
    <x v="0"/>
    <x v="0"/>
    <x v="9"/>
    <x v="16"/>
    <s v="SE3A"/>
    <x v="0"/>
    <x v="0"/>
    <s v="GWND_WIND"/>
    <x v="3"/>
    <x v="6"/>
    <n v="172.10332670755599"/>
    <n v="10469.6190413763"/>
    <n v="37690.628548954803"/>
  </r>
  <r>
    <x v="0"/>
    <x v="0"/>
    <x v="0"/>
    <x v="9"/>
    <x v="16"/>
    <s v="SE3A"/>
    <x v="0"/>
    <x v="0"/>
    <s v="GWND_WIND"/>
    <x v="3"/>
    <x v="7"/>
    <n v="170.86360609268999"/>
    <n v="10394.202703972"/>
    <n v="37419.129734299102"/>
  </r>
  <r>
    <x v="0"/>
    <x v="0"/>
    <x v="0"/>
    <x v="9"/>
    <x v="16"/>
    <s v="SE3A"/>
    <x v="0"/>
    <x v="0"/>
    <s v="GWND_WIND"/>
    <x v="3"/>
    <x v="8"/>
    <n v="142.37689207561499"/>
    <n v="8661.2609345999008"/>
    <n v="31180.539364559601"/>
  </r>
  <r>
    <x v="0"/>
    <x v="0"/>
    <x v="0"/>
    <x v="9"/>
    <x v="16"/>
    <s v="SE3A"/>
    <x v="0"/>
    <x v="0"/>
    <s v="GWND_WIND"/>
    <x v="3"/>
    <x v="9"/>
    <n v="123.879136100433"/>
    <n v="7535.9807794429998"/>
    <n v="27129.5308059948"/>
  </r>
  <r>
    <x v="0"/>
    <x v="0"/>
    <x v="0"/>
    <x v="9"/>
    <x v="16"/>
    <s v="SE3A"/>
    <x v="0"/>
    <x v="0"/>
    <s v="GWND_WIND"/>
    <x v="3"/>
    <x v="10"/>
    <n v="107.25165747162799"/>
    <n v="6524.4758295240399"/>
    <n v="23488.112986286498"/>
  </r>
  <r>
    <x v="0"/>
    <x v="0"/>
    <x v="0"/>
    <x v="9"/>
    <x v="16"/>
    <s v="SE3A"/>
    <x v="0"/>
    <x v="0"/>
    <s v="GWND_WIND"/>
    <x v="3"/>
    <x v="11"/>
    <n v="77.344537641670797"/>
    <n v="4705.1260398683098"/>
    <n v="16938.453743525901"/>
  </r>
  <r>
    <x v="0"/>
    <x v="0"/>
    <x v="0"/>
    <x v="9"/>
    <x v="16"/>
    <s v="SE3A"/>
    <x v="0"/>
    <x v="0"/>
    <s v="GWND_WIND"/>
    <x v="4"/>
    <x v="0"/>
    <n v="483.15325713425398"/>
    <n v="29391.8231423338"/>
    <n v="105810.563312402"/>
  </r>
  <r>
    <x v="0"/>
    <x v="0"/>
    <x v="0"/>
    <x v="9"/>
    <x v="16"/>
    <s v="SE3A"/>
    <x v="0"/>
    <x v="0"/>
    <s v="GWND_WIND"/>
    <x v="4"/>
    <x v="1"/>
    <n v="465.929162205289"/>
    <n v="28344.0240341551"/>
    <n v="102038.486522958"/>
  </r>
  <r>
    <x v="0"/>
    <x v="0"/>
    <x v="0"/>
    <x v="9"/>
    <x v="16"/>
    <s v="SE3A"/>
    <x v="0"/>
    <x v="0"/>
    <s v="GWND_WIND"/>
    <x v="4"/>
    <x v="2"/>
    <n v="439.16629863284999"/>
    <n v="26715.949833498398"/>
    <n v="96177.419400594095"/>
  </r>
  <r>
    <x v="0"/>
    <x v="0"/>
    <x v="0"/>
    <x v="9"/>
    <x v="16"/>
    <s v="SE3A"/>
    <x v="0"/>
    <x v="0"/>
    <s v="GWND_WIND"/>
    <x v="4"/>
    <x v="3"/>
    <n v="398.59274285663901"/>
    <n v="24247.725190445501"/>
    <n v="87291.810685603894"/>
  </r>
  <r>
    <x v="0"/>
    <x v="0"/>
    <x v="0"/>
    <x v="9"/>
    <x v="16"/>
    <s v="SE3A"/>
    <x v="0"/>
    <x v="0"/>
    <s v="GWND_WIND"/>
    <x v="4"/>
    <x v="4"/>
    <n v="408.62154068737499"/>
    <n v="24857.810391815299"/>
    <n v="89488.117410535095"/>
  </r>
  <r>
    <x v="0"/>
    <x v="0"/>
    <x v="0"/>
    <x v="9"/>
    <x v="16"/>
    <s v="SE3A"/>
    <x v="0"/>
    <x v="0"/>
    <s v="GWND_WIND"/>
    <x v="4"/>
    <x v="5"/>
    <n v="411.99718860212698"/>
    <n v="25063.162306629401"/>
    <n v="90227.384303865794"/>
  </r>
  <r>
    <x v="0"/>
    <x v="0"/>
    <x v="0"/>
    <x v="9"/>
    <x v="16"/>
    <s v="SE3A"/>
    <x v="0"/>
    <x v="0"/>
    <s v="GWND_WIND"/>
    <x v="4"/>
    <x v="6"/>
    <n v="411.05369439146398"/>
    <n v="25005.766408814099"/>
    <n v="90020.759071730601"/>
  </r>
  <r>
    <x v="0"/>
    <x v="0"/>
    <x v="0"/>
    <x v="9"/>
    <x v="16"/>
    <s v="SE3A"/>
    <x v="0"/>
    <x v="0"/>
    <s v="GWND_WIND"/>
    <x v="4"/>
    <x v="7"/>
    <n v="421.771389558652"/>
    <n v="25657.7595314846"/>
    <n v="92367.934313344696"/>
  </r>
  <r>
    <x v="0"/>
    <x v="0"/>
    <x v="0"/>
    <x v="9"/>
    <x v="16"/>
    <s v="SE3A"/>
    <x v="0"/>
    <x v="0"/>
    <s v="GWND_WIND"/>
    <x v="4"/>
    <x v="8"/>
    <n v="406.81784149626299"/>
    <n v="24748.085357689401"/>
    <n v="89093.107287681705"/>
  </r>
  <r>
    <x v="0"/>
    <x v="0"/>
    <x v="0"/>
    <x v="9"/>
    <x v="16"/>
    <s v="SE3A"/>
    <x v="0"/>
    <x v="0"/>
    <s v="GWND_WIND"/>
    <x v="4"/>
    <x v="9"/>
    <n v="369.15774187234803"/>
    <n v="22457.0959639012"/>
    <n v="80845.545470044293"/>
  </r>
  <r>
    <x v="0"/>
    <x v="0"/>
    <x v="0"/>
    <x v="9"/>
    <x v="16"/>
    <s v="SE3A"/>
    <x v="0"/>
    <x v="0"/>
    <s v="GWND_WIND"/>
    <x v="4"/>
    <x v="10"/>
    <n v="293.50555587758402"/>
    <n v="17854.9213158864"/>
    <n v="64277.716737191004"/>
  </r>
  <r>
    <x v="0"/>
    <x v="0"/>
    <x v="0"/>
    <x v="9"/>
    <x v="16"/>
    <s v="SE3A"/>
    <x v="0"/>
    <x v="0"/>
    <s v="GWND_WIND"/>
    <x v="4"/>
    <x v="11"/>
    <n v="217.527424724464"/>
    <n v="13232.918337404901"/>
    <n v="47638.5060146576"/>
  </r>
  <r>
    <x v="0"/>
    <x v="0"/>
    <x v="0"/>
    <x v="9"/>
    <x v="16"/>
    <s v="SE3A"/>
    <x v="0"/>
    <x v="0"/>
    <s v="GWND_WIND"/>
    <x v="5"/>
    <x v="0"/>
    <n v="692.58242317645204"/>
    <n v="42132.097409900802"/>
    <n v="151675.550675643"/>
  </r>
  <r>
    <x v="0"/>
    <x v="0"/>
    <x v="0"/>
    <x v="9"/>
    <x v="16"/>
    <s v="SE3A"/>
    <x v="0"/>
    <x v="0"/>
    <s v="GWND_WIND"/>
    <x v="5"/>
    <x v="1"/>
    <n v="683.75062383725697"/>
    <n v="41594.829616766503"/>
    <n v="149741.386620359"/>
  </r>
  <r>
    <x v="0"/>
    <x v="0"/>
    <x v="0"/>
    <x v="9"/>
    <x v="16"/>
    <s v="SE3A"/>
    <x v="0"/>
    <x v="0"/>
    <s v="GWND_WIND"/>
    <x v="5"/>
    <x v="2"/>
    <n v="663.31526564723799"/>
    <n v="40351.678660206999"/>
    <n v="145266.04317674501"/>
  </r>
  <r>
    <x v="0"/>
    <x v="0"/>
    <x v="0"/>
    <x v="9"/>
    <x v="16"/>
    <s v="SE3A"/>
    <x v="0"/>
    <x v="0"/>
    <s v="GWND_WIND"/>
    <x v="5"/>
    <x v="3"/>
    <n v="686.013273646107"/>
    <n v="41732.474146804801"/>
    <n v="150236.90692849699"/>
  </r>
  <r>
    <x v="0"/>
    <x v="0"/>
    <x v="0"/>
    <x v="9"/>
    <x v="16"/>
    <s v="SE3A"/>
    <x v="0"/>
    <x v="0"/>
    <s v="GWND_WIND"/>
    <x v="5"/>
    <x v="4"/>
    <n v="694.73367372070197"/>
    <n v="42262.965151342702"/>
    <n v="152146.67454483401"/>
  </r>
  <r>
    <x v="0"/>
    <x v="0"/>
    <x v="0"/>
    <x v="9"/>
    <x v="16"/>
    <s v="SE3A"/>
    <x v="0"/>
    <x v="0"/>
    <s v="GWND_WIND"/>
    <x v="5"/>
    <x v="5"/>
    <n v="681.290909627975"/>
    <n v="41445.197002368499"/>
    <n v="149202.709208527"/>
  </r>
  <r>
    <x v="0"/>
    <x v="0"/>
    <x v="0"/>
    <x v="9"/>
    <x v="16"/>
    <s v="SE3A"/>
    <x v="0"/>
    <x v="0"/>
    <s v="GWND_WIND"/>
    <x v="5"/>
    <x v="6"/>
    <n v="668.04496534131601"/>
    <n v="40639.402058263397"/>
    <n v="146301.84740974801"/>
  </r>
  <r>
    <x v="0"/>
    <x v="0"/>
    <x v="0"/>
    <x v="9"/>
    <x v="16"/>
    <s v="SE3A"/>
    <x v="0"/>
    <x v="0"/>
    <s v="GWND_WIND"/>
    <x v="5"/>
    <x v="7"/>
    <n v="660.36418937302801"/>
    <n v="40172.154853525899"/>
    <n v="144619.75747269299"/>
  </r>
  <r>
    <x v="0"/>
    <x v="0"/>
    <x v="0"/>
    <x v="9"/>
    <x v="16"/>
    <s v="SE3A"/>
    <x v="0"/>
    <x v="0"/>
    <s v="GWND_WIND"/>
    <x v="5"/>
    <x v="8"/>
    <n v="640.61621462041501"/>
    <n v="38970.8197227419"/>
    <n v="140294.951001871"/>
  </r>
  <r>
    <x v="0"/>
    <x v="0"/>
    <x v="0"/>
    <x v="9"/>
    <x v="16"/>
    <s v="SE3A"/>
    <x v="0"/>
    <x v="0"/>
    <s v="GWND_WIND"/>
    <x v="5"/>
    <x v="9"/>
    <n v="587.67042394848602"/>
    <n v="35749.950790199597"/>
    <n v="128699.822844718"/>
  </r>
  <r>
    <x v="0"/>
    <x v="0"/>
    <x v="0"/>
    <x v="9"/>
    <x v="16"/>
    <s v="SE3A"/>
    <x v="0"/>
    <x v="0"/>
    <s v="GWND_WIND"/>
    <x v="5"/>
    <x v="10"/>
    <n v="535.39656847864603"/>
    <n v="32569.9579157843"/>
    <n v="117251.848496823"/>
  </r>
  <r>
    <x v="0"/>
    <x v="0"/>
    <x v="0"/>
    <x v="9"/>
    <x v="16"/>
    <s v="SE3A"/>
    <x v="0"/>
    <x v="0"/>
    <s v="GWND_WIND"/>
    <x v="5"/>
    <x v="11"/>
    <n v="517.01468665969105"/>
    <n v="31451.726771797901"/>
    <n v="113226.216378472"/>
  </r>
  <r>
    <x v="0"/>
    <x v="0"/>
    <x v="0"/>
    <x v="9"/>
    <x v="16"/>
    <s v="SE3A"/>
    <x v="0"/>
    <x v="0"/>
    <s v="GWND_WIND"/>
    <x v="6"/>
    <x v="0"/>
    <n v="197.57974459877499"/>
    <n v="12019.434463092201"/>
    <n v="43269.964067131703"/>
  </r>
  <r>
    <x v="0"/>
    <x v="0"/>
    <x v="0"/>
    <x v="9"/>
    <x v="16"/>
    <s v="SE3A"/>
    <x v="0"/>
    <x v="0"/>
    <s v="GWND_WIND"/>
    <x v="6"/>
    <x v="1"/>
    <n v="158.25668559711599"/>
    <n v="9627.2817071579102"/>
    <n v="34658.214145768499"/>
  </r>
  <r>
    <x v="0"/>
    <x v="0"/>
    <x v="0"/>
    <x v="9"/>
    <x v="16"/>
    <s v="SE3A"/>
    <x v="0"/>
    <x v="0"/>
    <s v="GWND_WIND"/>
    <x v="6"/>
    <x v="2"/>
    <n v="139.26204748240801"/>
    <n v="8471.7745551798107"/>
    <n v="30498.388398647301"/>
  </r>
  <r>
    <x v="0"/>
    <x v="0"/>
    <x v="0"/>
    <x v="9"/>
    <x v="16"/>
    <s v="SE3A"/>
    <x v="0"/>
    <x v="0"/>
    <s v="GWND_WIND"/>
    <x v="6"/>
    <x v="3"/>
    <n v="113.50960646606801"/>
    <n v="6905.1677266858196"/>
    <n v="24858.603816068899"/>
  </r>
  <r>
    <x v="0"/>
    <x v="0"/>
    <x v="0"/>
    <x v="9"/>
    <x v="16"/>
    <s v="SE3A"/>
    <x v="0"/>
    <x v="0"/>
    <s v="GWND_WIND"/>
    <x v="6"/>
    <x v="4"/>
    <n v="100.545134263587"/>
    <n v="6116.4956677015398"/>
    <n v="22019.384403725599"/>
  </r>
  <r>
    <x v="0"/>
    <x v="0"/>
    <x v="0"/>
    <x v="9"/>
    <x v="16"/>
    <s v="SE3A"/>
    <x v="0"/>
    <x v="0"/>
    <s v="GWND_WIND"/>
    <x v="6"/>
    <x v="5"/>
    <n v="95.981841706131604"/>
    <n v="5838.8953704563401"/>
    <n v="21020.023333642799"/>
  </r>
  <r>
    <x v="0"/>
    <x v="0"/>
    <x v="0"/>
    <x v="9"/>
    <x v="16"/>
    <s v="SE3A"/>
    <x v="0"/>
    <x v="0"/>
    <s v="GWND_WIND"/>
    <x v="6"/>
    <x v="6"/>
    <n v="102.096457324924"/>
    <n v="6210.8678205995402"/>
    <n v="22359.1241541583"/>
  </r>
  <r>
    <x v="0"/>
    <x v="0"/>
    <x v="0"/>
    <x v="9"/>
    <x v="16"/>
    <s v="SE3A"/>
    <x v="0"/>
    <x v="0"/>
    <s v="GWND_WIND"/>
    <x v="6"/>
    <x v="7"/>
    <n v="152.67405410306"/>
    <n v="9287.6716246028009"/>
    <n v="33435.617848570102"/>
  </r>
  <r>
    <x v="0"/>
    <x v="0"/>
    <x v="0"/>
    <x v="9"/>
    <x v="16"/>
    <s v="SE3A"/>
    <x v="0"/>
    <x v="0"/>
    <s v="GWND_WIND"/>
    <x v="6"/>
    <x v="8"/>
    <n v="204.39491296041001"/>
    <n v="12434.0238717583"/>
    <n v="44762.485938329897"/>
  </r>
  <r>
    <x v="0"/>
    <x v="0"/>
    <x v="0"/>
    <x v="9"/>
    <x v="16"/>
    <s v="SE3A"/>
    <x v="0"/>
    <x v="0"/>
    <s v="GWND_WIND"/>
    <x v="6"/>
    <x v="9"/>
    <n v="272.40532986187702"/>
    <n v="16571.3242332642"/>
    <n v="59656.767239751098"/>
  </r>
  <r>
    <x v="0"/>
    <x v="0"/>
    <x v="0"/>
    <x v="9"/>
    <x v="16"/>
    <s v="SE3A"/>
    <x v="0"/>
    <x v="0"/>
    <s v="GWND_WIND"/>
    <x v="6"/>
    <x v="10"/>
    <n v="293.63423945150402"/>
    <n v="17862.7495666332"/>
    <n v="64305.898439879398"/>
  </r>
  <r>
    <x v="0"/>
    <x v="0"/>
    <x v="0"/>
    <x v="9"/>
    <x v="16"/>
    <s v="SE3A"/>
    <x v="0"/>
    <x v="0"/>
    <s v="GWND_WIND"/>
    <x v="6"/>
    <x v="11"/>
    <n v="242.788896966376"/>
    <n v="14769.6578987879"/>
    <n v="53170.768435636302"/>
  </r>
  <r>
    <x v="0"/>
    <x v="0"/>
    <x v="0"/>
    <x v="9"/>
    <x v="16"/>
    <s v="SE3A"/>
    <x v="0"/>
    <x v="0"/>
    <s v="GWND_WIND"/>
    <x v="7"/>
    <x v="0"/>
    <n v="517.48954022121404"/>
    <n v="31480.6136967905"/>
    <n v="113330.20930844601"/>
  </r>
  <r>
    <x v="0"/>
    <x v="0"/>
    <x v="0"/>
    <x v="9"/>
    <x v="16"/>
    <s v="SE3A"/>
    <x v="0"/>
    <x v="0"/>
    <s v="GWND_WIND"/>
    <x v="7"/>
    <x v="1"/>
    <n v="514.602471167663"/>
    <n v="31304.983662699498"/>
    <n v="112697.94118571799"/>
  </r>
  <r>
    <x v="0"/>
    <x v="0"/>
    <x v="0"/>
    <x v="9"/>
    <x v="16"/>
    <s v="SE3A"/>
    <x v="0"/>
    <x v="0"/>
    <s v="GWND_WIND"/>
    <x v="7"/>
    <x v="2"/>
    <n v="503.85026233475298"/>
    <n v="30650.890958697499"/>
    <n v="110343.207451311"/>
  </r>
  <r>
    <x v="0"/>
    <x v="0"/>
    <x v="0"/>
    <x v="9"/>
    <x v="16"/>
    <s v="SE3A"/>
    <x v="0"/>
    <x v="0"/>
    <s v="GWND_WIND"/>
    <x v="7"/>
    <x v="3"/>
    <n v="488.45934075668703"/>
    <n v="29714.609896031801"/>
    <n v="106972.595625715"/>
  </r>
  <r>
    <x v="0"/>
    <x v="0"/>
    <x v="0"/>
    <x v="9"/>
    <x v="16"/>
    <s v="SE3A"/>
    <x v="0"/>
    <x v="0"/>
    <s v="GWND_WIND"/>
    <x v="7"/>
    <x v="4"/>
    <n v="523.76344818986695"/>
    <n v="31862.276431550301"/>
    <n v="114704.19515358099"/>
  </r>
  <r>
    <x v="0"/>
    <x v="0"/>
    <x v="0"/>
    <x v="9"/>
    <x v="16"/>
    <s v="SE3A"/>
    <x v="0"/>
    <x v="0"/>
    <s v="GWND_WIND"/>
    <x v="7"/>
    <x v="5"/>
    <n v="586.45443114208297"/>
    <n v="35675.977894476702"/>
    <n v="128433.52042011599"/>
  </r>
  <r>
    <x v="0"/>
    <x v="0"/>
    <x v="0"/>
    <x v="9"/>
    <x v="16"/>
    <s v="SE3A"/>
    <x v="0"/>
    <x v="0"/>
    <s v="GWND_WIND"/>
    <x v="7"/>
    <x v="6"/>
    <n v="570.72738195300303"/>
    <n v="34719.249068807701"/>
    <n v="124989.296647708"/>
  </r>
  <r>
    <x v="0"/>
    <x v="0"/>
    <x v="0"/>
    <x v="9"/>
    <x v="16"/>
    <s v="SE3A"/>
    <x v="0"/>
    <x v="0"/>
    <s v="GWND_WIND"/>
    <x v="7"/>
    <x v="7"/>
    <n v="596.35559596941096"/>
    <n v="36278.298754805801"/>
    <n v="130601.875517301"/>
  </r>
  <r>
    <x v="0"/>
    <x v="0"/>
    <x v="0"/>
    <x v="9"/>
    <x v="16"/>
    <s v="SE3A"/>
    <x v="0"/>
    <x v="0"/>
    <s v="GWND_WIND"/>
    <x v="7"/>
    <x v="8"/>
    <n v="615.04246756690395"/>
    <n v="37415.083443653297"/>
    <n v="134694.30039715199"/>
  </r>
  <r>
    <x v="0"/>
    <x v="0"/>
    <x v="0"/>
    <x v="9"/>
    <x v="16"/>
    <s v="SE3A"/>
    <x v="0"/>
    <x v="0"/>
    <s v="GWND_WIND"/>
    <x v="7"/>
    <x v="9"/>
    <n v="659.49419738543804"/>
    <n v="40119.230340947499"/>
    <n v="144429.22922741101"/>
  </r>
  <r>
    <x v="0"/>
    <x v="0"/>
    <x v="0"/>
    <x v="9"/>
    <x v="16"/>
    <s v="SE3A"/>
    <x v="0"/>
    <x v="0"/>
    <s v="GWND_WIND"/>
    <x v="7"/>
    <x v="10"/>
    <n v="729.42974111159697"/>
    <n v="44373.642584288798"/>
    <n v="159745.11330344001"/>
  </r>
  <r>
    <x v="0"/>
    <x v="0"/>
    <x v="0"/>
    <x v="9"/>
    <x v="16"/>
    <s v="SE3A"/>
    <x v="0"/>
    <x v="0"/>
    <s v="GWND_WIND"/>
    <x v="7"/>
    <x v="11"/>
    <n v="792.27426898483998"/>
    <n v="48196.684696577802"/>
    <n v="173508.06490768"/>
  </r>
  <r>
    <x v="0"/>
    <x v="0"/>
    <x v="0"/>
    <x v="9"/>
    <x v="16"/>
    <s v="SE3A"/>
    <x v="0"/>
    <x v="0"/>
    <s v="GWND_WIND"/>
    <x v="8"/>
    <x v="0"/>
    <n v="80.933035452246301"/>
    <n v="4923.4263233449801"/>
    <n v="17724.334764041902"/>
  </r>
  <r>
    <x v="0"/>
    <x v="0"/>
    <x v="0"/>
    <x v="9"/>
    <x v="16"/>
    <s v="SE3A"/>
    <x v="0"/>
    <x v="0"/>
    <s v="GWND_WIND"/>
    <x v="8"/>
    <x v="1"/>
    <n v="85.735316099870801"/>
    <n v="5215.5650627421401"/>
    <n v="18776.034225871699"/>
  </r>
  <r>
    <x v="0"/>
    <x v="0"/>
    <x v="0"/>
    <x v="9"/>
    <x v="16"/>
    <s v="SE3A"/>
    <x v="0"/>
    <x v="0"/>
    <s v="GWND_WIND"/>
    <x v="8"/>
    <x v="2"/>
    <n v="103.752691973881"/>
    <n v="6311.6220950777397"/>
    <n v="22721.8395422799"/>
  </r>
  <r>
    <x v="0"/>
    <x v="0"/>
    <x v="0"/>
    <x v="9"/>
    <x v="16"/>
    <s v="SE3A"/>
    <x v="0"/>
    <x v="0"/>
    <s v="GWND_WIND"/>
    <x v="8"/>
    <x v="3"/>
    <n v="135.011831402665"/>
    <n v="8213.21974366211"/>
    <n v="29567.591077183599"/>
  </r>
  <r>
    <x v="0"/>
    <x v="0"/>
    <x v="0"/>
    <x v="9"/>
    <x v="16"/>
    <s v="SE3A"/>
    <x v="0"/>
    <x v="0"/>
    <s v="GWND_WIND"/>
    <x v="8"/>
    <x v="4"/>
    <n v="207.350040665519"/>
    <n v="12613.794140485699"/>
    <n v="45409.658905748598"/>
  </r>
  <r>
    <x v="0"/>
    <x v="0"/>
    <x v="0"/>
    <x v="9"/>
    <x v="16"/>
    <s v="SE3A"/>
    <x v="0"/>
    <x v="0"/>
    <s v="GWND_WIND"/>
    <x v="8"/>
    <x v="5"/>
    <n v="262.519835236559"/>
    <n v="15969.9566435573"/>
    <n v="57491.8439168064"/>
  </r>
  <r>
    <x v="0"/>
    <x v="0"/>
    <x v="0"/>
    <x v="9"/>
    <x v="16"/>
    <s v="SE3A"/>
    <x v="0"/>
    <x v="0"/>
    <s v="GWND_WIND"/>
    <x v="8"/>
    <x v="6"/>
    <n v="323.12510169432699"/>
    <n v="19656.777019738201"/>
    <n v="70764.397271057504"/>
  </r>
  <r>
    <x v="0"/>
    <x v="0"/>
    <x v="0"/>
    <x v="9"/>
    <x v="16"/>
    <s v="SE3A"/>
    <x v="0"/>
    <x v="0"/>
    <s v="GWND_WIND"/>
    <x v="8"/>
    <x v="7"/>
    <n v="357.10362619280198"/>
    <n v="21723.8039267288"/>
    <n v="78205.694136223596"/>
  </r>
  <r>
    <x v="0"/>
    <x v="0"/>
    <x v="0"/>
    <x v="9"/>
    <x v="16"/>
    <s v="SE3A"/>
    <x v="0"/>
    <x v="0"/>
    <s v="GWND_WIND"/>
    <x v="8"/>
    <x v="8"/>
    <n v="363.239870634049"/>
    <n v="22097.092130238001"/>
    <n v="79549.531668856696"/>
  </r>
  <r>
    <x v="0"/>
    <x v="0"/>
    <x v="0"/>
    <x v="9"/>
    <x v="16"/>
    <s v="SE3A"/>
    <x v="0"/>
    <x v="0"/>
    <s v="GWND_WIND"/>
    <x v="8"/>
    <x v="9"/>
    <n v="344.68137336561699"/>
    <n v="20968.116879741701"/>
    <n v="75485.220767070103"/>
  </r>
  <r>
    <x v="0"/>
    <x v="0"/>
    <x v="0"/>
    <x v="9"/>
    <x v="16"/>
    <s v="SE3A"/>
    <x v="0"/>
    <x v="0"/>
    <s v="GWND_WIND"/>
    <x v="8"/>
    <x v="10"/>
    <n v="333.016643295763"/>
    <n v="20258.5124671589"/>
    <n v="72930.644881771994"/>
  </r>
  <r>
    <x v="0"/>
    <x v="0"/>
    <x v="0"/>
    <x v="9"/>
    <x v="16"/>
    <s v="SE3A"/>
    <x v="0"/>
    <x v="0"/>
    <s v="GWND_WIND"/>
    <x v="8"/>
    <x v="11"/>
    <n v="322.26925738963502"/>
    <n v="19604.713157869501"/>
    <n v="70576.967368330195"/>
  </r>
  <r>
    <x v="0"/>
    <x v="0"/>
    <x v="0"/>
    <x v="9"/>
    <x v="16"/>
    <s v="SE3A"/>
    <x v="0"/>
    <x v="0"/>
    <s v="GWND_WIND"/>
    <x v="9"/>
    <x v="0"/>
    <n v="197.516953884895"/>
    <n v="12015.6146946644"/>
    <n v="43256.212900792001"/>
  </r>
  <r>
    <x v="0"/>
    <x v="0"/>
    <x v="0"/>
    <x v="9"/>
    <x v="16"/>
    <s v="SE3A"/>
    <x v="0"/>
    <x v="0"/>
    <s v="GWND_WIND"/>
    <x v="9"/>
    <x v="1"/>
    <n v="192.015349931304"/>
    <n v="11680.9337874876"/>
    <n v="42051.361634955501"/>
  </r>
  <r>
    <x v="0"/>
    <x v="0"/>
    <x v="0"/>
    <x v="9"/>
    <x v="16"/>
    <s v="SE3A"/>
    <x v="0"/>
    <x v="0"/>
    <s v="GWND_WIND"/>
    <x v="9"/>
    <x v="2"/>
    <n v="172.717313517695"/>
    <n v="10506.9699056598"/>
    <n v="37825.091660375103"/>
  </r>
  <r>
    <x v="0"/>
    <x v="0"/>
    <x v="0"/>
    <x v="9"/>
    <x v="16"/>
    <s v="SE3A"/>
    <x v="0"/>
    <x v="0"/>
    <s v="GWND_WIND"/>
    <x v="9"/>
    <x v="3"/>
    <n v="154.42550707570999"/>
    <n v="9394.2183471056705"/>
    <n v="33819.186049580399"/>
  </r>
  <r>
    <x v="0"/>
    <x v="0"/>
    <x v="0"/>
    <x v="9"/>
    <x v="16"/>
    <s v="SE3A"/>
    <x v="0"/>
    <x v="0"/>
    <s v="GWND_WIND"/>
    <x v="9"/>
    <x v="4"/>
    <n v="138.46847130011099"/>
    <n v="8423.4986707567805"/>
    <n v="30324.595214724399"/>
  </r>
  <r>
    <x v="0"/>
    <x v="0"/>
    <x v="0"/>
    <x v="9"/>
    <x v="16"/>
    <s v="SE3A"/>
    <x v="0"/>
    <x v="0"/>
    <s v="GWND_WIND"/>
    <x v="9"/>
    <x v="5"/>
    <n v="133.562458936365"/>
    <n v="8125.0495852955701"/>
    <n v="29250.178507064"/>
  </r>
  <r>
    <x v="0"/>
    <x v="0"/>
    <x v="0"/>
    <x v="9"/>
    <x v="16"/>
    <s v="SE3A"/>
    <x v="0"/>
    <x v="0"/>
    <s v="GWND_WIND"/>
    <x v="9"/>
    <x v="6"/>
    <n v="134.57089348980301"/>
    <n v="8186.3960206296897"/>
    <n v="29471.025674266901"/>
  </r>
  <r>
    <x v="0"/>
    <x v="0"/>
    <x v="0"/>
    <x v="9"/>
    <x v="16"/>
    <s v="SE3A"/>
    <x v="0"/>
    <x v="0"/>
    <s v="GWND_WIND"/>
    <x v="9"/>
    <x v="7"/>
    <n v="126.052712614955"/>
    <n v="7668.2066840764001"/>
    <n v="27605.544062674999"/>
  </r>
  <r>
    <x v="0"/>
    <x v="0"/>
    <x v="0"/>
    <x v="9"/>
    <x v="16"/>
    <s v="SE3A"/>
    <x v="0"/>
    <x v="0"/>
    <s v="GWND_WIND"/>
    <x v="9"/>
    <x v="8"/>
    <n v="104.139130598598"/>
    <n v="6335.1304447480197"/>
    <n v="22806.4696010929"/>
  </r>
  <r>
    <x v="0"/>
    <x v="0"/>
    <x v="0"/>
    <x v="9"/>
    <x v="16"/>
    <s v="SE3A"/>
    <x v="0"/>
    <x v="0"/>
    <s v="GWND_WIND"/>
    <x v="9"/>
    <x v="9"/>
    <n v="66.246673870085303"/>
    <n v="4030.0059937635301"/>
    <n v="14508.021577548699"/>
  </r>
  <r>
    <x v="0"/>
    <x v="0"/>
    <x v="0"/>
    <x v="9"/>
    <x v="16"/>
    <s v="SE3A"/>
    <x v="0"/>
    <x v="0"/>
    <s v="GWND_WIND"/>
    <x v="9"/>
    <x v="10"/>
    <n v="48.0477885042732"/>
    <n v="2922.9071340099599"/>
    <n v="10522.465682435801"/>
  </r>
  <r>
    <x v="0"/>
    <x v="0"/>
    <x v="0"/>
    <x v="9"/>
    <x v="16"/>
    <s v="SE3A"/>
    <x v="0"/>
    <x v="0"/>
    <s v="GWND_WIND"/>
    <x v="9"/>
    <x v="11"/>
    <n v="43.235532285569001"/>
    <n v="2630.1615473721099"/>
    <n v="9468.5815705395999"/>
  </r>
  <r>
    <x v="0"/>
    <x v="0"/>
    <x v="0"/>
    <x v="9"/>
    <x v="16"/>
    <s v="SE3A"/>
    <x v="0"/>
    <x v="0"/>
    <s v="GWND_WIND"/>
    <x v="10"/>
    <x v="0"/>
    <n v="793.05516181790597"/>
    <n v="48244.189010589304"/>
    <n v="173679.08043812099"/>
  </r>
  <r>
    <x v="0"/>
    <x v="0"/>
    <x v="0"/>
    <x v="9"/>
    <x v="16"/>
    <s v="SE3A"/>
    <x v="0"/>
    <x v="0"/>
    <s v="GWND_WIND"/>
    <x v="10"/>
    <x v="1"/>
    <n v="729.03076891129194"/>
    <n v="44349.371775436899"/>
    <n v="159657.73839157299"/>
  </r>
  <r>
    <x v="0"/>
    <x v="0"/>
    <x v="0"/>
    <x v="9"/>
    <x v="16"/>
    <s v="SE3A"/>
    <x v="0"/>
    <x v="0"/>
    <s v="GWND_WIND"/>
    <x v="10"/>
    <x v="2"/>
    <n v="678.89720572712702"/>
    <n v="41299.580015066902"/>
    <n v="148678.488054241"/>
  </r>
  <r>
    <x v="0"/>
    <x v="0"/>
    <x v="0"/>
    <x v="9"/>
    <x v="16"/>
    <s v="SE3A"/>
    <x v="0"/>
    <x v="0"/>
    <s v="GWND_WIND"/>
    <x v="10"/>
    <x v="3"/>
    <n v="693.13583462960605"/>
    <n v="42165.763273301003"/>
    <n v="151796.747783884"/>
  </r>
  <r>
    <x v="0"/>
    <x v="0"/>
    <x v="0"/>
    <x v="9"/>
    <x v="16"/>
    <s v="SE3A"/>
    <x v="0"/>
    <x v="0"/>
    <s v="GWND_WIND"/>
    <x v="10"/>
    <x v="4"/>
    <n v="650.14691164983003"/>
    <n v="39550.603792031303"/>
    <n v="142382.173651313"/>
  </r>
  <r>
    <x v="0"/>
    <x v="0"/>
    <x v="0"/>
    <x v="9"/>
    <x v="16"/>
    <s v="SE3A"/>
    <x v="0"/>
    <x v="0"/>
    <s v="GWND_WIND"/>
    <x v="10"/>
    <x v="5"/>
    <n v="606.05540468107495"/>
    <n v="36868.3704514321"/>
    <n v="132726.13362515499"/>
  </r>
  <r>
    <x v="0"/>
    <x v="0"/>
    <x v="0"/>
    <x v="9"/>
    <x v="16"/>
    <s v="SE3A"/>
    <x v="0"/>
    <x v="0"/>
    <s v="GWND_WIND"/>
    <x v="10"/>
    <x v="6"/>
    <n v="521.56245555625401"/>
    <n v="31728.382713005401"/>
    <n v="114222.17776681999"/>
  </r>
  <r>
    <x v="0"/>
    <x v="0"/>
    <x v="0"/>
    <x v="9"/>
    <x v="16"/>
    <s v="SE3A"/>
    <x v="0"/>
    <x v="0"/>
    <s v="GWND_WIND"/>
    <x v="10"/>
    <x v="7"/>
    <n v="465.67355247335303"/>
    <n v="28328.474442129002"/>
    <n v="101982.507991664"/>
  </r>
  <r>
    <x v="0"/>
    <x v="0"/>
    <x v="0"/>
    <x v="9"/>
    <x v="16"/>
    <s v="SE3A"/>
    <x v="0"/>
    <x v="0"/>
    <s v="GWND_WIND"/>
    <x v="10"/>
    <x v="8"/>
    <n v="392.30912869396002"/>
    <n v="23865.471995549298"/>
    <n v="85915.699183977296"/>
  </r>
  <r>
    <x v="0"/>
    <x v="0"/>
    <x v="0"/>
    <x v="9"/>
    <x v="16"/>
    <s v="SE3A"/>
    <x v="0"/>
    <x v="0"/>
    <s v="GWND_WIND"/>
    <x v="10"/>
    <x v="9"/>
    <n v="287.156372107332"/>
    <n v="17468.679303196001"/>
    <n v="62887.245491505797"/>
  </r>
  <r>
    <x v="0"/>
    <x v="0"/>
    <x v="0"/>
    <x v="9"/>
    <x v="16"/>
    <s v="SE3A"/>
    <x v="0"/>
    <x v="0"/>
    <s v="GWND_WIND"/>
    <x v="10"/>
    <x v="10"/>
    <n v="268.77517235107899"/>
    <n v="16350.4896513573"/>
    <n v="58861.7627448864"/>
  </r>
  <r>
    <x v="0"/>
    <x v="0"/>
    <x v="0"/>
    <x v="9"/>
    <x v="16"/>
    <s v="SE3A"/>
    <x v="0"/>
    <x v="0"/>
    <s v="GWND_WIND"/>
    <x v="10"/>
    <x v="11"/>
    <n v="285.757613434544"/>
    <n v="17383.588150601499"/>
    <n v="62580.917342165303"/>
  </r>
  <r>
    <x v="0"/>
    <x v="0"/>
    <x v="0"/>
    <x v="9"/>
    <x v="16"/>
    <s v="SE3A"/>
    <x v="0"/>
    <x v="0"/>
    <s v="GWND_WIND"/>
    <x v="11"/>
    <x v="0"/>
    <n v="652.01113663254796"/>
    <n v="39664.010811813299"/>
    <n v="142790.438922528"/>
  </r>
  <r>
    <x v="0"/>
    <x v="0"/>
    <x v="0"/>
    <x v="9"/>
    <x v="16"/>
    <s v="SE3A"/>
    <x v="0"/>
    <x v="0"/>
    <s v="GWND_WIND"/>
    <x v="11"/>
    <x v="1"/>
    <n v="773.58144199942797"/>
    <n v="47059.537721631903"/>
    <n v="169414.33579787501"/>
  </r>
  <r>
    <x v="0"/>
    <x v="0"/>
    <x v="0"/>
    <x v="9"/>
    <x v="16"/>
    <s v="SE3A"/>
    <x v="0"/>
    <x v="0"/>
    <s v="GWND_WIND"/>
    <x v="11"/>
    <x v="2"/>
    <n v="901.59184158239805"/>
    <n v="54846.837029595903"/>
    <n v="197448.61330654501"/>
  </r>
  <r>
    <x v="0"/>
    <x v="0"/>
    <x v="0"/>
    <x v="9"/>
    <x v="16"/>
    <s v="SE3A"/>
    <x v="0"/>
    <x v="0"/>
    <s v="GWND_WIND"/>
    <x v="11"/>
    <x v="3"/>
    <n v="1002.02930583733"/>
    <n v="60956.782771770799"/>
    <n v="219444.41797837499"/>
  </r>
  <r>
    <x v="0"/>
    <x v="0"/>
    <x v="0"/>
    <x v="9"/>
    <x v="16"/>
    <s v="SE3A"/>
    <x v="0"/>
    <x v="0"/>
    <s v="GWND_WIND"/>
    <x v="11"/>
    <x v="4"/>
    <n v="1054.14497771326"/>
    <n v="64127.152810890198"/>
    <n v="230857.75011920501"/>
  </r>
  <r>
    <x v="0"/>
    <x v="0"/>
    <x v="0"/>
    <x v="9"/>
    <x v="16"/>
    <s v="SE3A"/>
    <x v="0"/>
    <x v="0"/>
    <s v="GWND_WIND"/>
    <x v="11"/>
    <x v="5"/>
    <n v="1077.73527565478"/>
    <n v="65562.229268999101"/>
    <n v="236024.02536839701"/>
  </r>
  <r>
    <x v="0"/>
    <x v="0"/>
    <x v="0"/>
    <x v="9"/>
    <x v="16"/>
    <s v="SE3A"/>
    <x v="0"/>
    <x v="0"/>
    <s v="GWND_WIND"/>
    <x v="11"/>
    <x v="6"/>
    <n v="1116.8087234127499"/>
    <n v="67939.197340942395"/>
    <n v="244581.110427393"/>
  </r>
  <r>
    <x v="0"/>
    <x v="0"/>
    <x v="0"/>
    <x v="9"/>
    <x v="16"/>
    <s v="SE3A"/>
    <x v="0"/>
    <x v="0"/>
    <s v="GWND_WIND"/>
    <x v="11"/>
    <x v="7"/>
    <n v="1133.1130939623399"/>
    <n v="68931.046549375504"/>
    <n v="248151.76757775201"/>
  </r>
  <r>
    <x v="0"/>
    <x v="0"/>
    <x v="0"/>
    <x v="9"/>
    <x v="16"/>
    <s v="SE3A"/>
    <x v="0"/>
    <x v="0"/>
    <s v="GWND_WIND"/>
    <x v="11"/>
    <x v="8"/>
    <n v="1130.86408109749"/>
    <n v="68794.231600097395"/>
    <n v="247659.23376035099"/>
  </r>
  <r>
    <x v="0"/>
    <x v="0"/>
    <x v="0"/>
    <x v="9"/>
    <x v="16"/>
    <s v="SE3A"/>
    <x v="0"/>
    <x v="0"/>
    <s v="GWND_WIND"/>
    <x v="11"/>
    <x v="9"/>
    <n v="1094.80429452354"/>
    <n v="66600.594583515398"/>
    <n v="239762.14050065499"/>
  </r>
  <r>
    <x v="0"/>
    <x v="0"/>
    <x v="0"/>
    <x v="9"/>
    <x v="16"/>
    <s v="SE3A"/>
    <x v="0"/>
    <x v="0"/>
    <s v="GWND_WIND"/>
    <x v="11"/>
    <x v="10"/>
    <n v="1104.9756865592899"/>
    <n v="67219.354265689894"/>
    <n v="241989.67535648399"/>
  </r>
  <r>
    <x v="0"/>
    <x v="0"/>
    <x v="0"/>
    <x v="9"/>
    <x v="16"/>
    <s v="SE3A"/>
    <x v="0"/>
    <x v="0"/>
    <s v="GWND_WIND"/>
    <x v="11"/>
    <x v="11"/>
    <n v="1123.5986877796699"/>
    <n v="68352.253506596302"/>
    <n v="246068.112623747"/>
  </r>
  <r>
    <x v="0"/>
    <x v="0"/>
    <x v="0"/>
    <x v="9"/>
    <x v="16"/>
    <s v="SE3_EL"/>
    <x v="1"/>
    <x v="1"/>
    <s v="SolarPV-50"/>
    <x v="0"/>
    <x v="1"/>
    <n v="6486.7111301323002"/>
    <n v="394608.26041638199"/>
    <n v="1420589.73749897"/>
  </r>
  <r>
    <x v="0"/>
    <x v="0"/>
    <x v="0"/>
    <x v="9"/>
    <x v="16"/>
    <s v="SE3_EL"/>
    <x v="1"/>
    <x v="1"/>
    <s v="SolarPV-50"/>
    <x v="0"/>
    <x v="2"/>
    <n v="6487.3405218845"/>
    <n v="394646.54841464001"/>
    <n v="1420727.5742927101"/>
  </r>
  <r>
    <x v="0"/>
    <x v="0"/>
    <x v="0"/>
    <x v="9"/>
    <x v="16"/>
    <s v="SE3_EL"/>
    <x v="1"/>
    <x v="1"/>
    <s v="SolarPV-50"/>
    <x v="0"/>
    <x v="3"/>
    <n v="6406.4495660293196"/>
    <n v="389725.68193344999"/>
    <n v="1403012.45496042"/>
  </r>
  <r>
    <x v="0"/>
    <x v="0"/>
    <x v="0"/>
    <x v="9"/>
    <x v="16"/>
    <s v="SE3_EL"/>
    <x v="1"/>
    <x v="1"/>
    <s v="SolarPV-50"/>
    <x v="0"/>
    <x v="5"/>
    <n v="6671.6759314460996"/>
    <n v="405860.28582963801"/>
    <n v="1461097.0289867001"/>
  </r>
  <r>
    <x v="0"/>
    <x v="0"/>
    <x v="0"/>
    <x v="9"/>
    <x v="16"/>
    <s v="SE3_EL"/>
    <x v="1"/>
    <x v="1"/>
    <s v="SolarPV-50"/>
    <x v="0"/>
    <x v="6"/>
    <n v="7568.6546315676096"/>
    <n v="460426.490087029"/>
    <n v="1657535.36431331"/>
  </r>
  <r>
    <x v="0"/>
    <x v="0"/>
    <x v="0"/>
    <x v="9"/>
    <x v="16"/>
    <s v="SE3_EL"/>
    <x v="1"/>
    <x v="1"/>
    <s v="SolarPV-50"/>
    <x v="1"/>
    <x v="0"/>
    <n v="8289.1738402015999"/>
    <n v="504258.07527893101"/>
    <n v="1815329.07100415"/>
  </r>
  <r>
    <x v="0"/>
    <x v="0"/>
    <x v="0"/>
    <x v="9"/>
    <x v="16"/>
    <s v="SE3_EL"/>
    <x v="1"/>
    <x v="1"/>
    <s v="SolarPV-50"/>
    <x v="1"/>
    <x v="8"/>
    <n v="11552.052208498901"/>
    <n v="702749.84268368105"/>
    <n v="2529899.4336612499"/>
  </r>
  <r>
    <x v="0"/>
    <x v="0"/>
    <x v="0"/>
    <x v="9"/>
    <x v="16"/>
    <s v="SE3_EL"/>
    <x v="1"/>
    <x v="1"/>
    <s v="SolarPV-50"/>
    <x v="2"/>
    <x v="4"/>
    <n v="8265.7950894850692"/>
    <n v="502835.86794367502"/>
    <n v="1810209.12459723"/>
  </r>
  <r>
    <x v="0"/>
    <x v="0"/>
    <x v="0"/>
    <x v="9"/>
    <x v="16"/>
    <s v="SE3_EL"/>
    <x v="1"/>
    <x v="1"/>
    <s v="SolarPV-50"/>
    <x v="2"/>
    <x v="11"/>
    <n v="10930.882825078001"/>
    <n v="664962.03852557496"/>
    <n v="2393863.33869207"/>
  </r>
  <r>
    <x v="0"/>
    <x v="0"/>
    <x v="0"/>
    <x v="9"/>
    <x v="16"/>
    <s v="SE3_EL"/>
    <x v="1"/>
    <x v="1"/>
    <s v="SolarPV-50"/>
    <x v="4"/>
    <x v="8"/>
    <n v="2034.5971286200599"/>
    <n v="123771.325324387"/>
    <n v="445576.77116779401"/>
  </r>
  <r>
    <x v="0"/>
    <x v="0"/>
    <x v="0"/>
    <x v="9"/>
    <x v="16"/>
    <s v="SE3_EL"/>
    <x v="1"/>
    <x v="1"/>
    <s v="SolarPV-50"/>
    <x v="5"/>
    <x v="6"/>
    <n v="1390.67851266549"/>
    <n v="84599.609520484097"/>
    <n v="304558.59427374299"/>
  </r>
  <r>
    <x v="0"/>
    <x v="0"/>
    <x v="0"/>
    <x v="9"/>
    <x v="16"/>
    <s v="SE3_EL"/>
    <x v="1"/>
    <x v="1"/>
    <s v="SolarPV-50"/>
    <x v="5"/>
    <x v="7"/>
    <n v="2273.3627447543099"/>
    <n v="138296.233639221"/>
    <n v="497866.44110119401"/>
  </r>
  <r>
    <x v="0"/>
    <x v="0"/>
    <x v="0"/>
    <x v="9"/>
    <x v="16"/>
    <s v="SE3_EL"/>
    <x v="1"/>
    <x v="1"/>
    <s v="SolarPV-50"/>
    <x v="6"/>
    <x v="0"/>
    <n v="612.38734043313798"/>
    <n v="37253.563209682601"/>
    <n v="134112.82755485701"/>
  </r>
  <r>
    <x v="0"/>
    <x v="0"/>
    <x v="0"/>
    <x v="9"/>
    <x v="16"/>
    <s v="SE3_EL"/>
    <x v="1"/>
    <x v="1"/>
    <s v="SolarPV-50"/>
    <x v="6"/>
    <x v="4"/>
    <n v="987.42226928180298"/>
    <n v="60068.188047976299"/>
    <n v="216245.476972715"/>
  </r>
  <r>
    <x v="0"/>
    <x v="0"/>
    <x v="0"/>
    <x v="9"/>
    <x v="16"/>
    <s v="SE3_EL"/>
    <x v="1"/>
    <x v="1"/>
    <s v="SolarPV-50"/>
    <x v="6"/>
    <x v="8"/>
    <n v="975.01749711199795"/>
    <n v="59313.564407646503"/>
    <n v="213528.831867528"/>
  </r>
  <r>
    <x v="0"/>
    <x v="0"/>
    <x v="0"/>
    <x v="9"/>
    <x v="16"/>
    <s v="SE3_EL"/>
    <x v="1"/>
    <x v="1"/>
    <s v="SolarPV-50"/>
    <x v="6"/>
    <x v="9"/>
    <n v="1875.3477651277201"/>
    <n v="114083.65571193599"/>
    <n v="410701.16056296998"/>
  </r>
  <r>
    <x v="0"/>
    <x v="0"/>
    <x v="0"/>
    <x v="9"/>
    <x v="16"/>
    <s v="SE3_EL"/>
    <x v="1"/>
    <x v="1"/>
    <s v="SolarPV-50"/>
    <x v="6"/>
    <x v="11"/>
    <n v="1477.3814796326001"/>
    <n v="89874.040010982906"/>
    <n v="323546.54403953801"/>
  </r>
  <r>
    <x v="0"/>
    <x v="0"/>
    <x v="0"/>
    <x v="9"/>
    <x v="16"/>
    <s v="SE3_EL"/>
    <x v="1"/>
    <x v="1"/>
    <s v="SolarPV-50"/>
    <x v="9"/>
    <x v="8"/>
    <n v="87.250781127631896"/>
    <n v="5307.7558519309396"/>
    <n v="19107.9210669514"/>
  </r>
  <r>
    <x v="0"/>
    <x v="0"/>
    <x v="0"/>
    <x v="9"/>
    <x v="16"/>
    <s v="SE3_GOT"/>
    <x v="1"/>
    <x v="1"/>
    <s v="SolarPV-50"/>
    <x v="4"/>
    <x v="9"/>
    <n v="1989.7275548718501"/>
    <n v="121041.75958803701"/>
    <n v="435750.33451693499"/>
  </r>
  <r>
    <x v="0"/>
    <x v="0"/>
    <x v="0"/>
    <x v="9"/>
    <x v="16"/>
    <s v="SE3_GOT"/>
    <x v="1"/>
    <x v="1"/>
    <s v="SolarPV-50"/>
    <x v="4"/>
    <x v="10"/>
    <n v="2093.6954022479199"/>
    <n v="127366.470303415"/>
    <n v="458519.29309229401"/>
  </r>
  <r>
    <x v="0"/>
    <x v="0"/>
    <x v="0"/>
    <x v="9"/>
    <x v="16"/>
    <s v="SE3_GOT"/>
    <x v="1"/>
    <x v="1"/>
    <s v="SolarPV-50"/>
    <x v="5"/>
    <x v="8"/>
    <n v="1293.36882993224"/>
    <n v="78679.937154211293"/>
    <n v="283247.77375516098"/>
  </r>
  <r>
    <x v="0"/>
    <x v="0"/>
    <x v="0"/>
    <x v="9"/>
    <x v="16"/>
    <s v="SE3_HP"/>
    <x v="1"/>
    <x v="1"/>
    <s v="SolarPV-50"/>
    <x v="0"/>
    <x v="0"/>
    <n v="6581.4939683912999"/>
    <n v="400374.21641047101"/>
    <n v="1441347.17907769"/>
  </r>
  <r>
    <x v="0"/>
    <x v="0"/>
    <x v="0"/>
    <x v="9"/>
    <x v="16"/>
    <s v="SE3_HP"/>
    <x v="1"/>
    <x v="1"/>
    <s v="SolarPV-50"/>
    <x v="0"/>
    <x v="4"/>
    <n v="6348.7022231745404"/>
    <n v="386212.71857645101"/>
    <n v="1390365.78687522"/>
  </r>
  <r>
    <x v="0"/>
    <x v="0"/>
    <x v="0"/>
    <x v="9"/>
    <x v="16"/>
    <s v="SE3_HP"/>
    <x v="1"/>
    <x v="1"/>
    <s v="SolarPV-50"/>
    <x v="0"/>
    <x v="7"/>
    <n v="8353.8924081451005"/>
    <n v="508195.12149549299"/>
    <n v="1829502.43738378"/>
  </r>
  <r>
    <x v="0"/>
    <x v="0"/>
    <x v="0"/>
    <x v="9"/>
    <x v="16"/>
    <s v="SE3_HP"/>
    <x v="1"/>
    <x v="1"/>
    <s v="SolarPV-50"/>
    <x v="0"/>
    <x v="8"/>
    <n v="8717.2330487030704"/>
    <n v="530298.34379610396"/>
    <n v="1909074.0376659699"/>
  </r>
  <r>
    <x v="0"/>
    <x v="0"/>
    <x v="0"/>
    <x v="9"/>
    <x v="16"/>
    <s v="SE3_HP"/>
    <x v="1"/>
    <x v="1"/>
    <s v="SolarPV-50"/>
    <x v="1"/>
    <x v="1"/>
    <n v="8223.6403161831604"/>
    <n v="500271.45256780903"/>
    <n v="1800977.2292441099"/>
  </r>
  <r>
    <x v="0"/>
    <x v="0"/>
    <x v="0"/>
    <x v="9"/>
    <x v="16"/>
    <s v="SE3_HP"/>
    <x v="1"/>
    <x v="1"/>
    <s v="SolarPV-50"/>
    <x v="1"/>
    <x v="4"/>
    <n v="8649.3250137348205"/>
    <n v="526167.27166886802"/>
    <n v="1894202.17800792"/>
  </r>
  <r>
    <x v="0"/>
    <x v="0"/>
    <x v="0"/>
    <x v="9"/>
    <x v="16"/>
    <s v="SE3_HP"/>
    <x v="1"/>
    <x v="1"/>
    <s v="SolarPV-50"/>
    <x v="1"/>
    <x v="5"/>
    <n v="9183.3281179183705"/>
    <n v="558652.46050670103"/>
    <n v="2011148.85782412"/>
  </r>
  <r>
    <x v="0"/>
    <x v="0"/>
    <x v="0"/>
    <x v="9"/>
    <x v="16"/>
    <s v="SE3_HP"/>
    <x v="1"/>
    <x v="1"/>
    <s v="SolarPV-50"/>
    <x v="1"/>
    <x v="6"/>
    <n v="10351.6992353239"/>
    <n v="629728.37014886795"/>
    <n v="2267022.13253592"/>
  </r>
  <r>
    <x v="0"/>
    <x v="0"/>
    <x v="0"/>
    <x v="9"/>
    <x v="16"/>
    <s v="SE3_HP"/>
    <x v="1"/>
    <x v="1"/>
    <s v="SolarPV-50"/>
    <x v="1"/>
    <x v="7"/>
    <n v="11308.107305149901"/>
    <n v="687909.86106328794"/>
    <n v="2476475.4998278399"/>
  </r>
  <r>
    <x v="0"/>
    <x v="0"/>
    <x v="0"/>
    <x v="9"/>
    <x v="16"/>
    <s v="SE3_HP"/>
    <x v="1"/>
    <x v="1"/>
    <s v="SolarPV-50"/>
    <x v="1"/>
    <x v="9"/>
    <n v="11399.8599674985"/>
    <n v="693491.48135615594"/>
    <n v="2496569.3328821599"/>
  </r>
  <r>
    <x v="0"/>
    <x v="0"/>
    <x v="0"/>
    <x v="9"/>
    <x v="16"/>
    <s v="SE3_HP"/>
    <x v="1"/>
    <x v="1"/>
    <s v="SolarPV-50"/>
    <x v="1"/>
    <x v="10"/>
    <n v="11445.623684223599"/>
    <n v="696275.44079026696"/>
    <n v="2506591.5868449602"/>
  </r>
  <r>
    <x v="0"/>
    <x v="0"/>
    <x v="0"/>
    <x v="9"/>
    <x v="16"/>
    <s v="SE3_HP"/>
    <x v="1"/>
    <x v="1"/>
    <s v="SolarPV-50"/>
    <x v="2"/>
    <x v="0"/>
    <n v="8230.1412224593005"/>
    <n v="500666.92436627398"/>
    <n v="1802400.92771859"/>
  </r>
  <r>
    <x v="0"/>
    <x v="0"/>
    <x v="0"/>
    <x v="9"/>
    <x v="16"/>
    <s v="SE3_HP"/>
    <x v="1"/>
    <x v="1"/>
    <s v="SolarPV-50"/>
    <x v="2"/>
    <x v="2"/>
    <n v="8139.6240781569104"/>
    <n v="495160.46475454501"/>
    <n v="1782577.6731163601"/>
  </r>
  <r>
    <x v="0"/>
    <x v="0"/>
    <x v="0"/>
    <x v="9"/>
    <x v="16"/>
    <s v="SE3_HP"/>
    <x v="1"/>
    <x v="1"/>
    <s v="SolarPV-50"/>
    <x v="2"/>
    <x v="9"/>
    <n v="11039.447449469801"/>
    <n v="671566.38650941104"/>
    <n v="2417638.9914338798"/>
  </r>
  <r>
    <x v="0"/>
    <x v="0"/>
    <x v="0"/>
    <x v="9"/>
    <x v="16"/>
    <s v="SE3_HP"/>
    <x v="1"/>
    <x v="1"/>
    <s v="SolarPV-50"/>
    <x v="2"/>
    <x v="10"/>
    <n v="11054.668008660299"/>
    <n v="672492.30386016902"/>
    <n v="2420972.2938966099"/>
  </r>
  <r>
    <x v="0"/>
    <x v="0"/>
    <x v="0"/>
    <x v="9"/>
    <x v="16"/>
    <s v="SE3_HP"/>
    <x v="1"/>
    <x v="1"/>
    <s v="SolarPV-50"/>
    <x v="3"/>
    <x v="7"/>
    <n v="10928.6835232388"/>
    <n v="664828.24766369199"/>
    <n v="2393381.6915892898"/>
  </r>
  <r>
    <x v="0"/>
    <x v="0"/>
    <x v="0"/>
    <x v="9"/>
    <x v="16"/>
    <s v="SE3_HP"/>
    <x v="1"/>
    <x v="1"/>
    <s v="SolarPV-50"/>
    <x v="3"/>
    <x v="8"/>
    <n v="11068.288350176301"/>
    <n v="673320.874635724"/>
    <n v="2423955.1486885999"/>
  </r>
  <r>
    <x v="0"/>
    <x v="0"/>
    <x v="0"/>
    <x v="9"/>
    <x v="16"/>
    <s v="SE3_HP"/>
    <x v="1"/>
    <x v="1"/>
    <s v="SolarPV-50"/>
    <x v="3"/>
    <x v="11"/>
    <n v="11118.827037707601"/>
    <n v="676395.31146054296"/>
    <n v="2435023.1212579501"/>
  </r>
  <r>
    <x v="0"/>
    <x v="0"/>
    <x v="0"/>
    <x v="9"/>
    <x v="16"/>
    <s v="SE3_HP"/>
    <x v="1"/>
    <x v="1"/>
    <s v="SolarPV-50"/>
    <x v="4"/>
    <x v="6"/>
    <n v="843.86840445165501"/>
    <n v="51335.327937475697"/>
    <n v="184807.180574912"/>
  </r>
  <r>
    <x v="0"/>
    <x v="0"/>
    <x v="0"/>
    <x v="9"/>
    <x v="16"/>
    <s v="SE3_HP"/>
    <x v="1"/>
    <x v="1"/>
    <s v="SolarPV-50"/>
    <x v="5"/>
    <x v="5"/>
    <n v="215.01017909727901"/>
    <n v="13079.7858950844"/>
    <n v="47087.229222303999"/>
  </r>
  <r>
    <x v="0"/>
    <x v="0"/>
    <x v="0"/>
    <x v="9"/>
    <x v="16"/>
    <s v="SE3_HP"/>
    <x v="1"/>
    <x v="1"/>
    <s v="SolarPV-50"/>
    <x v="5"/>
    <x v="11"/>
    <n v="1101.3305009015901"/>
    <n v="66997.605471513103"/>
    <n v="241191.379697447"/>
  </r>
  <r>
    <x v="0"/>
    <x v="0"/>
    <x v="0"/>
    <x v="9"/>
    <x v="16"/>
    <s v="SE3_HP"/>
    <x v="1"/>
    <x v="1"/>
    <s v="SolarPV-50"/>
    <x v="6"/>
    <x v="6"/>
    <n v="49.876010091886201"/>
    <n v="3034.1239472564098"/>
    <n v="10922.8462101231"/>
  </r>
  <r>
    <x v="0"/>
    <x v="0"/>
    <x v="0"/>
    <x v="9"/>
    <x v="16"/>
    <s v="SE3_HP"/>
    <x v="1"/>
    <x v="1"/>
    <s v="SolarPV-50"/>
    <x v="7"/>
    <x v="8"/>
    <n v="572.79838056954202"/>
    <n v="34845.234817980498"/>
    <n v="125442.84534473"/>
  </r>
  <r>
    <x v="0"/>
    <x v="0"/>
    <x v="0"/>
    <x v="9"/>
    <x v="16"/>
    <s v="SE3_OTHER"/>
    <x v="1"/>
    <x v="1"/>
    <s v="SolarPV-50"/>
    <x v="1"/>
    <x v="11"/>
    <n v="11414.1972127359"/>
    <n v="694363.66377476696"/>
    <n v="2499709.18958916"/>
  </r>
  <r>
    <x v="0"/>
    <x v="0"/>
    <x v="0"/>
    <x v="9"/>
    <x v="16"/>
    <s v="SE3_OTHER"/>
    <x v="1"/>
    <x v="1"/>
    <s v="SolarPV-50"/>
    <x v="2"/>
    <x v="8"/>
    <n v="11178.869727184299"/>
    <n v="680047.90840371395"/>
    <n v="2448172.4702533698"/>
  </r>
  <r>
    <x v="0"/>
    <x v="0"/>
    <x v="0"/>
    <x v="9"/>
    <x v="16"/>
    <s v="SE3_OTHER"/>
    <x v="1"/>
    <x v="1"/>
    <s v="SolarPV-50"/>
    <x v="3"/>
    <x v="1"/>
    <n v="7767.2855371717496"/>
    <n v="472509.87017794797"/>
    <n v="1701035.5326406099"/>
  </r>
  <r>
    <x v="0"/>
    <x v="0"/>
    <x v="0"/>
    <x v="9"/>
    <x v="16"/>
    <s v="SE3_OTHER"/>
    <x v="1"/>
    <x v="1"/>
    <s v="SolarPV-50"/>
    <x v="3"/>
    <x v="2"/>
    <n v="7778.26457807714"/>
    <n v="473177.76183302602"/>
    <n v="1703439.94259889"/>
  </r>
  <r>
    <x v="0"/>
    <x v="0"/>
    <x v="0"/>
    <x v="9"/>
    <x v="16"/>
    <s v="SE3_OTHER"/>
    <x v="1"/>
    <x v="1"/>
    <s v="SolarPV-50"/>
    <x v="3"/>
    <x v="3"/>
    <n v="7879.5028865002296"/>
    <n v="479336.42559543002"/>
    <n v="1725611.1321435501"/>
  </r>
  <r>
    <x v="0"/>
    <x v="0"/>
    <x v="0"/>
    <x v="9"/>
    <x v="16"/>
    <s v="SE3_OTHER"/>
    <x v="1"/>
    <x v="1"/>
    <s v="SolarPV-50"/>
    <x v="3"/>
    <x v="4"/>
    <n v="8122.4173917486496"/>
    <n v="494113.72466470901"/>
    <n v="1778809.40879295"/>
  </r>
  <r>
    <x v="0"/>
    <x v="0"/>
    <x v="0"/>
    <x v="9"/>
    <x v="16"/>
    <s v="SE3_OTHER"/>
    <x v="1"/>
    <x v="1"/>
    <s v="SolarPV-50"/>
    <x v="3"/>
    <x v="5"/>
    <n v="8704.6833896213102"/>
    <n v="529534.90620196296"/>
    <n v="1906325.66232707"/>
  </r>
  <r>
    <x v="0"/>
    <x v="0"/>
    <x v="0"/>
    <x v="9"/>
    <x v="16"/>
    <s v="SE3_OTHER"/>
    <x v="1"/>
    <x v="1"/>
    <s v="SolarPV-50"/>
    <x v="3"/>
    <x v="9"/>
    <n v="11158.449236947999"/>
    <n v="678805.66191433498"/>
    <n v="2443700.3828916098"/>
  </r>
  <r>
    <x v="0"/>
    <x v="0"/>
    <x v="0"/>
    <x v="9"/>
    <x v="16"/>
    <s v="SE3_OTHER"/>
    <x v="1"/>
    <x v="1"/>
    <s v="SolarPV-50"/>
    <x v="3"/>
    <x v="10"/>
    <n v="11152.531011506"/>
    <n v="678445.63653327897"/>
    <n v="2442404.29151981"/>
  </r>
  <r>
    <x v="0"/>
    <x v="0"/>
    <x v="0"/>
    <x v="9"/>
    <x v="16"/>
    <s v="SE3_OTHER"/>
    <x v="1"/>
    <x v="1"/>
    <s v="SolarPV-50"/>
    <x v="4"/>
    <x v="7"/>
    <n v="2140.25878780537"/>
    <n v="130199.07625816"/>
    <n v="468716.67452937498"/>
  </r>
  <r>
    <x v="0"/>
    <x v="0"/>
    <x v="0"/>
    <x v="9"/>
    <x v="16"/>
    <s v="SE3_OTHER"/>
    <x v="1"/>
    <x v="1"/>
    <s v="SolarPV-50"/>
    <x v="5"/>
    <x v="10"/>
    <n v="2363.14246387618"/>
    <n v="143757.83321913501"/>
    <n v="517528.19958888402"/>
  </r>
  <r>
    <x v="0"/>
    <x v="0"/>
    <x v="0"/>
    <x v="9"/>
    <x v="16"/>
    <s v="SE3_OTHER"/>
    <x v="1"/>
    <x v="1"/>
    <s v="SolarPV-50"/>
    <x v="6"/>
    <x v="10"/>
    <n v="1731.9369541344699"/>
    <n v="105359.49804318001"/>
    <n v="379294.19295544899"/>
  </r>
  <r>
    <x v="0"/>
    <x v="0"/>
    <x v="0"/>
    <x v="9"/>
    <x v="16"/>
    <s v="SE3_STO"/>
    <x v="1"/>
    <x v="1"/>
    <s v="SolarPV-50"/>
    <x v="0"/>
    <x v="9"/>
    <n v="8711.0938713536707"/>
    <n v="529924.87717401504"/>
    <n v="1907729.5578264501"/>
  </r>
  <r>
    <x v="0"/>
    <x v="0"/>
    <x v="0"/>
    <x v="9"/>
    <x v="16"/>
    <s v="SE3_STO"/>
    <x v="1"/>
    <x v="1"/>
    <s v="SolarPV-50"/>
    <x v="0"/>
    <x v="10"/>
    <n v="8631.9205203893798"/>
    <n v="525108.498323687"/>
    <n v="1890390.5939652701"/>
  </r>
  <r>
    <x v="0"/>
    <x v="0"/>
    <x v="0"/>
    <x v="9"/>
    <x v="16"/>
    <s v="SE3_STO"/>
    <x v="1"/>
    <x v="1"/>
    <s v="SolarPV-50"/>
    <x v="0"/>
    <x v="11"/>
    <n v="8472.0113580270809"/>
    <n v="515380.69094664702"/>
    <n v="1855370.48740793"/>
  </r>
  <r>
    <x v="0"/>
    <x v="0"/>
    <x v="0"/>
    <x v="9"/>
    <x v="16"/>
    <s v="SE3_STO"/>
    <x v="1"/>
    <x v="1"/>
    <s v="SolarPV-50"/>
    <x v="1"/>
    <x v="2"/>
    <n v="8303.7923963564499"/>
    <n v="505147.37077835097"/>
    <n v="1818530.5348020601"/>
  </r>
  <r>
    <x v="0"/>
    <x v="0"/>
    <x v="0"/>
    <x v="9"/>
    <x v="16"/>
    <s v="SE3_STO"/>
    <x v="1"/>
    <x v="1"/>
    <s v="SolarPV-50"/>
    <x v="1"/>
    <x v="3"/>
    <n v="8377.1526352966703"/>
    <n v="509610.11864721403"/>
    <n v="1834596.4271299699"/>
  </r>
  <r>
    <x v="0"/>
    <x v="0"/>
    <x v="0"/>
    <x v="9"/>
    <x v="16"/>
    <s v="SE3_STO"/>
    <x v="1"/>
    <x v="1"/>
    <s v="SolarPV-50"/>
    <x v="2"/>
    <x v="1"/>
    <n v="8155.6256084037004"/>
    <n v="496133.89117789199"/>
    <n v="1786082.0082404099"/>
  </r>
  <r>
    <x v="0"/>
    <x v="0"/>
    <x v="0"/>
    <x v="9"/>
    <x v="16"/>
    <s v="SE3_STO"/>
    <x v="1"/>
    <x v="1"/>
    <s v="SolarPV-50"/>
    <x v="2"/>
    <x v="3"/>
    <n v="8152.6943745915596"/>
    <n v="495955.57445432001"/>
    <n v="1785440.0680355499"/>
  </r>
  <r>
    <x v="0"/>
    <x v="0"/>
    <x v="0"/>
    <x v="9"/>
    <x v="16"/>
    <s v="SE3_STO"/>
    <x v="1"/>
    <x v="1"/>
    <s v="SolarPV-50"/>
    <x v="2"/>
    <x v="5"/>
    <n v="8724.0225246042392"/>
    <n v="530711.37024675799"/>
    <n v="1910560.93288833"/>
  </r>
  <r>
    <x v="0"/>
    <x v="0"/>
    <x v="0"/>
    <x v="9"/>
    <x v="16"/>
    <s v="SE3_STO"/>
    <x v="1"/>
    <x v="1"/>
    <s v="SolarPV-50"/>
    <x v="2"/>
    <x v="6"/>
    <n v="9899.9862244988599"/>
    <n v="602249.16199034697"/>
    <n v="2168096.9831652502"/>
  </r>
  <r>
    <x v="0"/>
    <x v="0"/>
    <x v="0"/>
    <x v="9"/>
    <x v="16"/>
    <s v="SE3_STO"/>
    <x v="1"/>
    <x v="1"/>
    <s v="SolarPV-50"/>
    <x v="2"/>
    <x v="7"/>
    <n v="10971.627000173199"/>
    <n v="667440.64251053298"/>
    <n v="2402786.3130379198"/>
  </r>
  <r>
    <x v="0"/>
    <x v="0"/>
    <x v="0"/>
    <x v="9"/>
    <x v="16"/>
    <s v="SE3_STO"/>
    <x v="1"/>
    <x v="1"/>
    <s v="SolarPV-50"/>
    <x v="3"/>
    <x v="0"/>
    <n v="7804.2599135515202"/>
    <n v="474759.14474105102"/>
    <n v="1709132.9210677799"/>
  </r>
  <r>
    <x v="0"/>
    <x v="0"/>
    <x v="0"/>
    <x v="9"/>
    <x v="16"/>
    <s v="SE3_STO"/>
    <x v="1"/>
    <x v="1"/>
    <s v="SolarPV-50"/>
    <x v="3"/>
    <x v="6"/>
    <n v="9856.5228592603107"/>
    <n v="599605.14060500194"/>
    <n v="2158578.5061780098"/>
  </r>
  <r>
    <x v="0"/>
    <x v="0"/>
    <x v="0"/>
    <x v="9"/>
    <x v="16"/>
    <s v="SE3_STO"/>
    <x v="1"/>
    <x v="1"/>
    <s v="SolarPV-50"/>
    <x v="4"/>
    <x v="11"/>
    <n v="2003.54298886432"/>
    <n v="121882.198489246"/>
    <n v="438775.914561285"/>
  </r>
  <r>
    <x v="0"/>
    <x v="0"/>
    <x v="0"/>
    <x v="9"/>
    <x v="16"/>
    <s v="SE3_STO"/>
    <x v="1"/>
    <x v="1"/>
    <s v="SolarPV-50"/>
    <x v="5"/>
    <x v="9"/>
    <n v="1218.28722963062"/>
    <n v="74112.473135862907"/>
    <n v="266804.90328910598"/>
  </r>
  <r>
    <x v="0"/>
    <x v="0"/>
    <x v="0"/>
    <x v="9"/>
    <x v="16"/>
    <s v="SE3_STO"/>
    <x v="1"/>
    <x v="1"/>
    <s v="SolarPV-50"/>
    <x v="6"/>
    <x v="7"/>
    <n v="2058.1939474579899"/>
    <n v="125206.798470361"/>
    <n v="450744.47449329903"/>
  </r>
  <r>
    <x v="0"/>
    <x v="0"/>
    <x v="0"/>
    <x v="9"/>
    <x v="17"/>
    <s v="SE4A"/>
    <x v="7"/>
    <x v="6"/>
    <s v="GHYRR_WATER"/>
    <x v="0"/>
    <x v="0"/>
    <n v="115.392330663127"/>
    <n v="7019.7001153402498"/>
    <n v="25270.9204152249"/>
  </r>
  <r>
    <x v="0"/>
    <x v="0"/>
    <x v="0"/>
    <x v="9"/>
    <x v="17"/>
    <s v="SE4A"/>
    <x v="7"/>
    <x v="6"/>
    <s v="GHYRR_WATER"/>
    <x v="0"/>
    <x v="1"/>
    <n v="115.392330663127"/>
    <n v="7019.7001153402498"/>
    <n v="25270.9204152249"/>
  </r>
  <r>
    <x v="0"/>
    <x v="0"/>
    <x v="0"/>
    <x v="9"/>
    <x v="17"/>
    <s v="SE4A"/>
    <x v="7"/>
    <x v="6"/>
    <s v="GHYRR_WATER"/>
    <x v="0"/>
    <x v="2"/>
    <n v="115.392330663127"/>
    <n v="7019.7001153402498"/>
    <n v="25270.9204152249"/>
  </r>
  <r>
    <x v="0"/>
    <x v="0"/>
    <x v="0"/>
    <x v="9"/>
    <x v="17"/>
    <s v="SE4A"/>
    <x v="7"/>
    <x v="6"/>
    <s v="GHYRR_WATER"/>
    <x v="0"/>
    <x v="3"/>
    <n v="115.392330663127"/>
    <n v="7019.7001153402498"/>
    <n v="25270.9204152249"/>
  </r>
  <r>
    <x v="0"/>
    <x v="0"/>
    <x v="0"/>
    <x v="9"/>
    <x v="17"/>
    <s v="SE4A"/>
    <x v="7"/>
    <x v="6"/>
    <s v="GHYRR_WATER"/>
    <x v="0"/>
    <x v="4"/>
    <n v="115.392330663127"/>
    <n v="7019.7001153402498"/>
    <n v="25270.9204152249"/>
  </r>
  <r>
    <x v="0"/>
    <x v="0"/>
    <x v="0"/>
    <x v="9"/>
    <x v="17"/>
    <s v="SE4A"/>
    <x v="7"/>
    <x v="6"/>
    <s v="GHYRR_WATER"/>
    <x v="0"/>
    <x v="5"/>
    <n v="115.392330663127"/>
    <n v="7019.7001153402498"/>
    <n v="25270.9204152249"/>
  </r>
  <r>
    <x v="0"/>
    <x v="0"/>
    <x v="0"/>
    <x v="9"/>
    <x v="17"/>
    <s v="SE4A"/>
    <x v="7"/>
    <x v="6"/>
    <s v="GHYRR_WATER"/>
    <x v="0"/>
    <x v="6"/>
    <n v="115.392330663127"/>
    <n v="7019.7001153402498"/>
    <n v="25270.9204152249"/>
  </r>
  <r>
    <x v="0"/>
    <x v="0"/>
    <x v="0"/>
    <x v="9"/>
    <x v="17"/>
    <s v="SE4A"/>
    <x v="7"/>
    <x v="6"/>
    <s v="GHYRR_WATER"/>
    <x v="0"/>
    <x v="7"/>
    <n v="115.392330663127"/>
    <n v="7019.7001153402498"/>
    <n v="25270.9204152249"/>
  </r>
  <r>
    <x v="0"/>
    <x v="0"/>
    <x v="0"/>
    <x v="9"/>
    <x v="17"/>
    <s v="SE4A"/>
    <x v="7"/>
    <x v="6"/>
    <s v="GHYRR_WATER"/>
    <x v="0"/>
    <x v="8"/>
    <n v="115.392330663127"/>
    <n v="7019.7001153402498"/>
    <n v="25270.9204152249"/>
  </r>
  <r>
    <x v="0"/>
    <x v="0"/>
    <x v="0"/>
    <x v="9"/>
    <x v="17"/>
    <s v="SE4A"/>
    <x v="7"/>
    <x v="6"/>
    <s v="GHYRR_WATER"/>
    <x v="0"/>
    <x v="9"/>
    <n v="115.392330663127"/>
    <n v="7019.7001153402498"/>
    <n v="25270.9204152249"/>
  </r>
  <r>
    <x v="0"/>
    <x v="0"/>
    <x v="0"/>
    <x v="9"/>
    <x v="17"/>
    <s v="SE4A"/>
    <x v="7"/>
    <x v="6"/>
    <s v="GHYRR_WATER"/>
    <x v="0"/>
    <x v="10"/>
    <n v="115.392330663127"/>
    <n v="7019.7001153402498"/>
    <n v="25270.9204152249"/>
  </r>
  <r>
    <x v="0"/>
    <x v="0"/>
    <x v="0"/>
    <x v="9"/>
    <x v="17"/>
    <s v="SE4A"/>
    <x v="7"/>
    <x v="6"/>
    <s v="GHYRR_WATER"/>
    <x v="0"/>
    <x v="11"/>
    <n v="115.392330663127"/>
    <n v="7019.7001153402498"/>
    <n v="25270.9204152249"/>
  </r>
  <r>
    <x v="0"/>
    <x v="0"/>
    <x v="0"/>
    <x v="9"/>
    <x v="17"/>
    <s v="SE4A"/>
    <x v="7"/>
    <x v="6"/>
    <s v="GHYRR_WATER"/>
    <x v="1"/>
    <x v="0"/>
    <n v="97.795389549857006"/>
    <n v="5949.2195309496301"/>
    <n v="21417.190311418701"/>
  </r>
  <r>
    <x v="0"/>
    <x v="0"/>
    <x v="0"/>
    <x v="9"/>
    <x v="17"/>
    <s v="SE4A"/>
    <x v="7"/>
    <x v="6"/>
    <s v="GHYRR_WATER"/>
    <x v="1"/>
    <x v="1"/>
    <n v="97.795389549857006"/>
    <n v="5949.2195309496301"/>
    <n v="21417.190311418701"/>
  </r>
  <r>
    <x v="0"/>
    <x v="0"/>
    <x v="0"/>
    <x v="9"/>
    <x v="17"/>
    <s v="SE4A"/>
    <x v="7"/>
    <x v="6"/>
    <s v="GHYRR_WATER"/>
    <x v="1"/>
    <x v="2"/>
    <n v="97.795389549857006"/>
    <n v="5949.2195309496301"/>
    <n v="21417.190311418701"/>
  </r>
  <r>
    <x v="0"/>
    <x v="0"/>
    <x v="0"/>
    <x v="9"/>
    <x v="17"/>
    <s v="SE4A"/>
    <x v="7"/>
    <x v="6"/>
    <s v="GHYRR_WATER"/>
    <x v="1"/>
    <x v="3"/>
    <n v="97.795389549857006"/>
    <n v="5949.2195309496301"/>
    <n v="21417.190311418701"/>
  </r>
  <r>
    <x v="0"/>
    <x v="0"/>
    <x v="0"/>
    <x v="9"/>
    <x v="17"/>
    <s v="SE4A"/>
    <x v="7"/>
    <x v="6"/>
    <s v="GHYRR_WATER"/>
    <x v="1"/>
    <x v="4"/>
    <n v="97.795389549857006"/>
    <n v="5949.2195309496301"/>
    <n v="21417.190311418701"/>
  </r>
  <r>
    <x v="0"/>
    <x v="0"/>
    <x v="0"/>
    <x v="9"/>
    <x v="17"/>
    <s v="SE4A"/>
    <x v="7"/>
    <x v="6"/>
    <s v="GHYRR_WATER"/>
    <x v="1"/>
    <x v="5"/>
    <n v="97.795389549857006"/>
    <n v="5949.2195309496301"/>
    <n v="21417.190311418701"/>
  </r>
  <r>
    <x v="0"/>
    <x v="0"/>
    <x v="0"/>
    <x v="9"/>
    <x v="17"/>
    <s v="SE4A"/>
    <x v="7"/>
    <x v="6"/>
    <s v="GHYRR_WATER"/>
    <x v="1"/>
    <x v="6"/>
    <n v="97.795389549857006"/>
    <n v="5949.2195309496301"/>
    <n v="21417.190311418701"/>
  </r>
  <r>
    <x v="0"/>
    <x v="0"/>
    <x v="0"/>
    <x v="9"/>
    <x v="17"/>
    <s v="SE4A"/>
    <x v="7"/>
    <x v="6"/>
    <s v="GHYRR_WATER"/>
    <x v="1"/>
    <x v="7"/>
    <n v="97.795389549857006"/>
    <n v="5949.2195309496301"/>
    <n v="21417.190311418701"/>
  </r>
  <r>
    <x v="0"/>
    <x v="0"/>
    <x v="0"/>
    <x v="9"/>
    <x v="17"/>
    <s v="SE4A"/>
    <x v="7"/>
    <x v="6"/>
    <s v="GHYRR_WATER"/>
    <x v="1"/>
    <x v="8"/>
    <n v="97.795389549857006"/>
    <n v="5949.2195309496301"/>
    <n v="21417.190311418701"/>
  </r>
  <r>
    <x v="0"/>
    <x v="0"/>
    <x v="0"/>
    <x v="9"/>
    <x v="17"/>
    <s v="SE4A"/>
    <x v="7"/>
    <x v="6"/>
    <s v="GHYRR_WATER"/>
    <x v="1"/>
    <x v="9"/>
    <n v="97.795389549857006"/>
    <n v="5949.2195309496301"/>
    <n v="21417.190311418701"/>
  </r>
  <r>
    <x v="0"/>
    <x v="0"/>
    <x v="0"/>
    <x v="9"/>
    <x v="17"/>
    <s v="SE4A"/>
    <x v="7"/>
    <x v="6"/>
    <s v="GHYRR_WATER"/>
    <x v="1"/>
    <x v="10"/>
    <n v="97.795389549857006"/>
    <n v="5949.2195309496301"/>
    <n v="21417.190311418701"/>
  </r>
  <r>
    <x v="0"/>
    <x v="0"/>
    <x v="0"/>
    <x v="9"/>
    <x v="17"/>
    <s v="SE4A"/>
    <x v="7"/>
    <x v="6"/>
    <s v="GHYRR_WATER"/>
    <x v="1"/>
    <x v="11"/>
    <n v="97.795389549857006"/>
    <n v="5949.2195309496301"/>
    <n v="21417.190311418701"/>
  </r>
  <r>
    <x v="0"/>
    <x v="0"/>
    <x v="0"/>
    <x v="9"/>
    <x v="17"/>
    <s v="SE4A"/>
    <x v="7"/>
    <x v="6"/>
    <s v="GHYRR_WATER"/>
    <x v="2"/>
    <x v="0"/>
    <n v="95.459512410927303"/>
    <n v="5807.1203383314096"/>
    <n v="20905.633217993101"/>
  </r>
  <r>
    <x v="0"/>
    <x v="0"/>
    <x v="0"/>
    <x v="9"/>
    <x v="17"/>
    <s v="SE4A"/>
    <x v="7"/>
    <x v="6"/>
    <s v="GHYRR_WATER"/>
    <x v="2"/>
    <x v="1"/>
    <n v="95.459512410927303"/>
    <n v="5807.1203383314096"/>
    <n v="20905.633217993101"/>
  </r>
  <r>
    <x v="0"/>
    <x v="0"/>
    <x v="0"/>
    <x v="9"/>
    <x v="17"/>
    <s v="SE4A"/>
    <x v="7"/>
    <x v="6"/>
    <s v="GHYRR_WATER"/>
    <x v="2"/>
    <x v="2"/>
    <n v="95.459512410927303"/>
    <n v="5807.1203383314096"/>
    <n v="20905.633217993101"/>
  </r>
  <r>
    <x v="0"/>
    <x v="0"/>
    <x v="0"/>
    <x v="9"/>
    <x v="17"/>
    <s v="SE4A"/>
    <x v="7"/>
    <x v="6"/>
    <s v="GHYRR_WATER"/>
    <x v="2"/>
    <x v="3"/>
    <n v="95.459512410927303"/>
    <n v="5807.1203383314096"/>
    <n v="20905.633217993101"/>
  </r>
  <r>
    <x v="0"/>
    <x v="0"/>
    <x v="0"/>
    <x v="9"/>
    <x v="17"/>
    <s v="SE4A"/>
    <x v="7"/>
    <x v="6"/>
    <s v="GHYRR_WATER"/>
    <x v="2"/>
    <x v="4"/>
    <n v="95.459512410927303"/>
    <n v="5807.1203383314096"/>
    <n v="20905.633217993101"/>
  </r>
  <r>
    <x v="0"/>
    <x v="0"/>
    <x v="0"/>
    <x v="9"/>
    <x v="17"/>
    <s v="SE4A"/>
    <x v="7"/>
    <x v="6"/>
    <s v="GHYRR_WATER"/>
    <x v="2"/>
    <x v="5"/>
    <n v="95.459512410927303"/>
    <n v="5807.1203383314096"/>
    <n v="20905.633217993101"/>
  </r>
  <r>
    <x v="0"/>
    <x v="0"/>
    <x v="0"/>
    <x v="9"/>
    <x v="17"/>
    <s v="SE4A"/>
    <x v="7"/>
    <x v="6"/>
    <s v="GHYRR_WATER"/>
    <x v="2"/>
    <x v="6"/>
    <n v="95.459512410927303"/>
    <n v="5807.1203383314096"/>
    <n v="20905.633217993101"/>
  </r>
  <r>
    <x v="0"/>
    <x v="0"/>
    <x v="0"/>
    <x v="9"/>
    <x v="17"/>
    <s v="SE4A"/>
    <x v="7"/>
    <x v="6"/>
    <s v="GHYRR_WATER"/>
    <x v="2"/>
    <x v="7"/>
    <n v="95.459512410927303"/>
    <n v="5807.1203383314096"/>
    <n v="20905.633217993101"/>
  </r>
  <r>
    <x v="0"/>
    <x v="0"/>
    <x v="0"/>
    <x v="9"/>
    <x v="17"/>
    <s v="SE4A"/>
    <x v="7"/>
    <x v="6"/>
    <s v="GHYRR_WATER"/>
    <x v="2"/>
    <x v="8"/>
    <n v="95.459512410927303"/>
    <n v="5807.1203383314096"/>
    <n v="20905.633217993101"/>
  </r>
  <r>
    <x v="0"/>
    <x v="0"/>
    <x v="0"/>
    <x v="9"/>
    <x v="17"/>
    <s v="SE4A"/>
    <x v="7"/>
    <x v="6"/>
    <s v="GHYRR_WATER"/>
    <x v="2"/>
    <x v="9"/>
    <n v="95.459512410927303"/>
    <n v="5807.1203383314096"/>
    <n v="20905.633217993101"/>
  </r>
  <r>
    <x v="0"/>
    <x v="0"/>
    <x v="0"/>
    <x v="9"/>
    <x v="17"/>
    <s v="SE4A"/>
    <x v="7"/>
    <x v="6"/>
    <s v="GHYRR_WATER"/>
    <x v="2"/>
    <x v="10"/>
    <n v="95.459512410927303"/>
    <n v="5807.1203383314096"/>
    <n v="20905.633217993101"/>
  </r>
  <r>
    <x v="0"/>
    <x v="0"/>
    <x v="0"/>
    <x v="9"/>
    <x v="17"/>
    <s v="SE4A"/>
    <x v="7"/>
    <x v="6"/>
    <s v="GHYRR_WATER"/>
    <x v="2"/>
    <x v="11"/>
    <n v="95.459512410927303"/>
    <n v="5807.1203383314096"/>
    <n v="20905.633217993101"/>
  </r>
  <r>
    <x v="0"/>
    <x v="0"/>
    <x v="0"/>
    <x v="9"/>
    <x v="17"/>
    <s v="SE4A"/>
    <x v="7"/>
    <x v="6"/>
    <s v="GHYRR_WATER"/>
    <x v="3"/>
    <x v="0"/>
    <n v="70.699214738272403"/>
    <n v="4300.8688965782403"/>
    <n v="15483.1280276817"/>
  </r>
  <r>
    <x v="0"/>
    <x v="0"/>
    <x v="0"/>
    <x v="9"/>
    <x v="17"/>
    <s v="SE4A"/>
    <x v="7"/>
    <x v="6"/>
    <s v="GHYRR_WATER"/>
    <x v="3"/>
    <x v="1"/>
    <n v="70.699214738272403"/>
    <n v="4300.8688965782403"/>
    <n v="15483.1280276817"/>
  </r>
  <r>
    <x v="0"/>
    <x v="0"/>
    <x v="0"/>
    <x v="9"/>
    <x v="17"/>
    <s v="SE4A"/>
    <x v="7"/>
    <x v="6"/>
    <s v="GHYRR_WATER"/>
    <x v="3"/>
    <x v="2"/>
    <n v="70.699214738272403"/>
    <n v="4300.8688965782403"/>
    <n v="15483.1280276817"/>
  </r>
  <r>
    <x v="0"/>
    <x v="0"/>
    <x v="0"/>
    <x v="9"/>
    <x v="17"/>
    <s v="SE4A"/>
    <x v="7"/>
    <x v="6"/>
    <s v="GHYRR_WATER"/>
    <x v="3"/>
    <x v="3"/>
    <n v="70.699214738272403"/>
    <n v="4300.8688965782403"/>
    <n v="15483.1280276817"/>
  </r>
  <r>
    <x v="0"/>
    <x v="0"/>
    <x v="0"/>
    <x v="9"/>
    <x v="17"/>
    <s v="SE4A"/>
    <x v="7"/>
    <x v="6"/>
    <s v="GHYRR_WATER"/>
    <x v="3"/>
    <x v="4"/>
    <n v="70.699214738272403"/>
    <n v="4300.8688965782403"/>
    <n v="15483.1280276817"/>
  </r>
  <r>
    <x v="0"/>
    <x v="0"/>
    <x v="0"/>
    <x v="9"/>
    <x v="17"/>
    <s v="SE4A"/>
    <x v="7"/>
    <x v="6"/>
    <s v="GHYRR_WATER"/>
    <x v="3"/>
    <x v="5"/>
    <n v="70.699214738272403"/>
    <n v="4300.8688965782403"/>
    <n v="15483.1280276817"/>
  </r>
  <r>
    <x v="0"/>
    <x v="0"/>
    <x v="0"/>
    <x v="9"/>
    <x v="17"/>
    <s v="SE4A"/>
    <x v="7"/>
    <x v="6"/>
    <s v="GHYRR_WATER"/>
    <x v="3"/>
    <x v="6"/>
    <n v="70.699214738272403"/>
    <n v="4300.8688965782403"/>
    <n v="15483.1280276817"/>
  </r>
  <r>
    <x v="0"/>
    <x v="0"/>
    <x v="0"/>
    <x v="9"/>
    <x v="17"/>
    <s v="SE4A"/>
    <x v="7"/>
    <x v="6"/>
    <s v="GHYRR_WATER"/>
    <x v="3"/>
    <x v="7"/>
    <n v="70.699214738272403"/>
    <n v="4300.8688965782403"/>
    <n v="15483.1280276817"/>
  </r>
  <r>
    <x v="0"/>
    <x v="0"/>
    <x v="0"/>
    <x v="9"/>
    <x v="17"/>
    <s v="SE4A"/>
    <x v="7"/>
    <x v="6"/>
    <s v="GHYRR_WATER"/>
    <x v="3"/>
    <x v="8"/>
    <n v="70.699214738272403"/>
    <n v="4300.8688965782403"/>
    <n v="15483.1280276817"/>
  </r>
  <r>
    <x v="0"/>
    <x v="0"/>
    <x v="0"/>
    <x v="9"/>
    <x v="17"/>
    <s v="SE4A"/>
    <x v="7"/>
    <x v="6"/>
    <s v="GHYRR_WATER"/>
    <x v="3"/>
    <x v="9"/>
    <n v="70.699214738272403"/>
    <n v="4300.8688965782403"/>
    <n v="15483.1280276817"/>
  </r>
  <r>
    <x v="0"/>
    <x v="0"/>
    <x v="0"/>
    <x v="9"/>
    <x v="17"/>
    <s v="SE4A"/>
    <x v="7"/>
    <x v="6"/>
    <s v="GHYRR_WATER"/>
    <x v="3"/>
    <x v="10"/>
    <n v="70.699214738272403"/>
    <n v="4300.8688965782403"/>
    <n v="15483.1280276817"/>
  </r>
  <r>
    <x v="0"/>
    <x v="0"/>
    <x v="0"/>
    <x v="9"/>
    <x v="17"/>
    <s v="SE4A"/>
    <x v="7"/>
    <x v="6"/>
    <s v="GHYRR_WATER"/>
    <x v="3"/>
    <x v="11"/>
    <n v="70.699214738272403"/>
    <n v="4300.8688965782403"/>
    <n v="15483.1280276817"/>
  </r>
  <r>
    <x v="0"/>
    <x v="0"/>
    <x v="0"/>
    <x v="9"/>
    <x v="17"/>
    <s v="SE4A"/>
    <x v="7"/>
    <x v="6"/>
    <s v="GHYRR_WATER"/>
    <x v="4"/>
    <x v="0"/>
    <n v="53.725174195383197"/>
    <n v="3268.28143021915"/>
    <n v="11765.8131487889"/>
  </r>
  <r>
    <x v="0"/>
    <x v="0"/>
    <x v="0"/>
    <x v="9"/>
    <x v="17"/>
    <s v="SE4A"/>
    <x v="7"/>
    <x v="6"/>
    <s v="GHYRR_WATER"/>
    <x v="4"/>
    <x v="1"/>
    <n v="53.725174195383197"/>
    <n v="3268.28143021915"/>
    <n v="11765.8131487889"/>
  </r>
  <r>
    <x v="0"/>
    <x v="0"/>
    <x v="0"/>
    <x v="9"/>
    <x v="17"/>
    <s v="SE4A"/>
    <x v="7"/>
    <x v="6"/>
    <s v="GHYRR_WATER"/>
    <x v="4"/>
    <x v="2"/>
    <n v="53.725174195383197"/>
    <n v="3268.28143021915"/>
    <n v="11765.8131487889"/>
  </r>
  <r>
    <x v="0"/>
    <x v="0"/>
    <x v="0"/>
    <x v="9"/>
    <x v="17"/>
    <s v="SE4A"/>
    <x v="7"/>
    <x v="6"/>
    <s v="GHYRR_WATER"/>
    <x v="4"/>
    <x v="3"/>
    <n v="53.725174195383197"/>
    <n v="3268.28143021915"/>
    <n v="11765.8131487889"/>
  </r>
  <r>
    <x v="0"/>
    <x v="0"/>
    <x v="0"/>
    <x v="9"/>
    <x v="17"/>
    <s v="SE4A"/>
    <x v="7"/>
    <x v="6"/>
    <s v="GHYRR_WATER"/>
    <x v="4"/>
    <x v="4"/>
    <n v="53.725174195383197"/>
    <n v="3268.28143021915"/>
    <n v="11765.8131487889"/>
  </r>
  <r>
    <x v="0"/>
    <x v="0"/>
    <x v="0"/>
    <x v="9"/>
    <x v="17"/>
    <s v="SE4A"/>
    <x v="7"/>
    <x v="6"/>
    <s v="GHYRR_WATER"/>
    <x v="4"/>
    <x v="5"/>
    <n v="53.725174195383197"/>
    <n v="3268.28143021915"/>
    <n v="11765.8131487889"/>
  </r>
  <r>
    <x v="0"/>
    <x v="0"/>
    <x v="0"/>
    <x v="9"/>
    <x v="17"/>
    <s v="SE4A"/>
    <x v="7"/>
    <x v="6"/>
    <s v="GHYRR_WATER"/>
    <x v="4"/>
    <x v="6"/>
    <n v="53.725174195383197"/>
    <n v="3268.28143021915"/>
    <n v="11765.8131487889"/>
  </r>
  <r>
    <x v="0"/>
    <x v="0"/>
    <x v="0"/>
    <x v="9"/>
    <x v="17"/>
    <s v="SE4A"/>
    <x v="7"/>
    <x v="6"/>
    <s v="GHYRR_WATER"/>
    <x v="4"/>
    <x v="7"/>
    <n v="53.725174195383197"/>
    <n v="3268.28143021915"/>
    <n v="11765.8131487889"/>
  </r>
  <r>
    <x v="0"/>
    <x v="0"/>
    <x v="0"/>
    <x v="9"/>
    <x v="17"/>
    <s v="SE4A"/>
    <x v="7"/>
    <x v="6"/>
    <s v="GHYRR_WATER"/>
    <x v="4"/>
    <x v="8"/>
    <n v="53.725174195383197"/>
    <n v="3268.28143021915"/>
    <n v="11765.8131487889"/>
  </r>
  <r>
    <x v="0"/>
    <x v="0"/>
    <x v="0"/>
    <x v="9"/>
    <x v="17"/>
    <s v="SE4A"/>
    <x v="7"/>
    <x v="6"/>
    <s v="GHYRR_WATER"/>
    <x v="4"/>
    <x v="9"/>
    <n v="53.725174195383197"/>
    <n v="3268.28143021915"/>
    <n v="11765.8131487889"/>
  </r>
  <r>
    <x v="0"/>
    <x v="0"/>
    <x v="0"/>
    <x v="9"/>
    <x v="17"/>
    <s v="SE4A"/>
    <x v="7"/>
    <x v="6"/>
    <s v="GHYRR_WATER"/>
    <x v="4"/>
    <x v="10"/>
    <n v="53.725174195383197"/>
    <n v="3268.28143021915"/>
    <n v="11765.8131487889"/>
  </r>
  <r>
    <x v="0"/>
    <x v="0"/>
    <x v="0"/>
    <x v="9"/>
    <x v="17"/>
    <s v="SE4A"/>
    <x v="7"/>
    <x v="6"/>
    <s v="GHYRR_WATER"/>
    <x v="4"/>
    <x v="11"/>
    <n v="53.725174195383197"/>
    <n v="3268.28143021915"/>
    <n v="11765.8131487889"/>
  </r>
  <r>
    <x v="0"/>
    <x v="0"/>
    <x v="0"/>
    <x v="9"/>
    <x v="17"/>
    <s v="SE4A"/>
    <x v="7"/>
    <x v="6"/>
    <s v="GHYRR_WATER"/>
    <x v="5"/>
    <x v="0"/>
    <n v="54.036624480573799"/>
    <n v="3287.2279892349102"/>
    <n v="11834.0207612457"/>
  </r>
  <r>
    <x v="0"/>
    <x v="0"/>
    <x v="0"/>
    <x v="9"/>
    <x v="17"/>
    <s v="SE4A"/>
    <x v="7"/>
    <x v="6"/>
    <s v="GHYRR_WATER"/>
    <x v="5"/>
    <x v="1"/>
    <n v="54.036624480573799"/>
    <n v="3287.2279892349102"/>
    <n v="11834.0207612457"/>
  </r>
  <r>
    <x v="0"/>
    <x v="0"/>
    <x v="0"/>
    <x v="9"/>
    <x v="17"/>
    <s v="SE4A"/>
    <x v="7"/>
    <x v="6"/>
    <s v="GHYRR_WATER"/>
    <x v="5"/>
    <x v="2"/>
    <n v="54.036624480573799"/>
    <n v="3287.2279892349102"/>
    <n v="11834.0207612457"/>
  </r>
  <r>
    <x v="0"/>
    <x v="0"/>
    <x v="0"/>
    <x v="9"/>
    <x v="17"/>
    <s v="SE4A"/>
    <x v="7"/>
    <x v="6"/>
    <s v="GHYRR_WATER"/>
    <x v="5"/>
    <x v="3"/>
    <n v="54.036624480573799"/>
    <n v="3287.2279892349102"/>
    <n v="11834.0207612457"/>
  </r>
  <r>
    <x v="0"/>
    <x v="0"/>
    <x v="0"/>
    <x v="9"/>
    <x v="17"/>
    <s v="SE4A"/>
    <x v="7"/>
    <x v="6"/>
    <s v="GHYRR_WATER"/>
    <x v="5"/>
    <x v="4"/>
    <n v="54.036624480573799"/>
    <n v="3287.2279892349102"/>
    <n v="11834.0207612457"/>
  </r>
  <r>
    <x v="0"/>
    <x v="0"/>
    <x v="0"/>
    <x v="9"/>
    <x v="17"/>
    <s v="SE4A"/>
    <x v="7"/>
    <x v="6"/>
    <s v="GHYRR_WATER"/>
    <x v="5"/>
    <x v="5"/>
    <n v="54.036624480573799"/>
    <n v="3287.2279892349102"/>
    <n v="11834.0207612457"/>
  </r>
  <r>
    <x v="0"/>
    <x v="0"/>
    <x v="0"/>
    <x v="9"/>
    <x v="17"/>
    <s v="SE4A"/>
    <x v="7"/>
    <x v="6"/>
    <s v="GHYRR_WATER"/>
    <x v="5"/>
    <x v="6"/>
    <n v="54.036624480573799"/>
    <n v="3287.2279892349102"/>
    <n v="11834.0207612457"/>
  </r>
  <r>
    <x v="0"/>
    <x v="0"/>
    <x v="0"/>
    <x v="9"/>
    <x v="17"/>
    <s v="SE4A"/>
    <x v="7"/>
    <x v="6"/>
    <s v="GHYRR_WATER"/>
    <x v="5"/>
    <x v="7"/>
    <n v="54.036624480573799"/>
    <n v="3287.2279892349102"/>
    <n v="11834.0207612457"/>
  </r>
  <r>
    <x v="0"/>
    <x v="0"/>
    <x v="0"/>
    <x v="9"/>
    <x v="17"/>
    <s v="SE4A"/>
    <x v="7"/>
    <x v="6"/>
    <s v="GHYRR_WATER"/>
    <x v="5"/>
    <x v="8"/>
    <n v="54.036624480573799"/>
    <n v="3287.2279892349102"/>
    <n v="11834.0207612457"/>
  </r>
  <r>
    <x v="0"/>
    <x v="0"/>
    <x v="0"/>
    <x v="9"/>
    <x v="17"/>
    <s v="SE4A"/>
    <x v="7"/>
    <x v="6"/>
    <s v="GHYRR_WATER"/>
    <x v="5"/>
    <x v="9"/>
    <n v="54.036624480573799"/>
    <n v="3287.2279892349102"/>
    <n v="11834.0207612457"/>
  </r>
  <r>
    <x v="0"/>
    <x v="0"/>
    <x v="0"/>
    <x v="9"/>
    <x v="17"/>
    <s v="SE4A"/>
    <x v="7"/>
    <x v="6"/>
    <s v="GHYRR_WATER"/>
    <x v="5"/>
    <x v="10"/>
    <n v="54.036624480573799"/>
    <n v="3287.2279892349102"/>
    <n v="11834.0207612457"/>
  </r>
  <r>
    <x v="0"/>
    <x v="0"/>
    <x v="0"/>
    <x v="9"/>
    <x v="17"/>
    <s v="SE4A"/>
    <x v="7"/>
    <x v="6"/>
    <s v="GHYRR_WATER"/>
    <x v="5"/>
    <x v="11"/>
    <n v="54.036624480573799"/>
    <n v="3287.2279892349102"/>
    <n v="11834.0207612457"/>
  </r>
  <r>
    <x v="0"/>
    <x v="0"/>
    <x v="0"/>
    <x v="9"/>
    <x v="17"/>
    <s v="SE4A"/>
    <x v="7"/>
    <x v="6"/>
    <s v="GHYRR_WATER"/>
    <x v="6"/>
    <x v="0"/>
    <n v="59.7984547566004"/>
    <n v="3637.7393310265302"/>
    <n v="13095.8615916955"/>
  </r>
  <r>
    <x v="0"/>
    <x v="0"/>
    <x v="0"/>
    <x v="9"/>
    <x v="17"/>
    <s v="SE4A"/>
    <x v="7"/>
    <x v="6"/>
    <s v="GHYRR_WATER"/>
    <x v="6"/>
    <x v="1"/>
    <n v="59.7984547566004"/>
    <n v="3637.7393310265302"/>
    <n v="13095.8615916955"/>
  </r>
  <r>
    <x v="0"/>
    <x v="0"/>
    <x v="0"/>
    <x v="9"/>
    <x v="17"/>
    <s v="SE4A"/>
    <x v="7"/>
    <x v="6"/>
    <s v="GHYRR_WATER"/>
    <x v="6"/>
    <x v="2"/>
    <n v="59.7984547566004"/>
    <n v="3637.7393310265302"/>
    <n v="13095.8615916955"/>
  </r>
  <r>
    <x v="0"/>
    <x v="0"/>
    <x v="0"/>
    <x v="9"/>
    <x v="17"/>
    <s v="SE4A"/>
    <x v="7"/>
    <x v="6"/>
    <s v="GHYRR_WATER"/>
    <x v="6"/>
    <x v="3"/>
    <n v="59.7984547566004"/>
    <n v="3637.7393310265302"/>
    <n v="13095.8615916955"/>
  </r>
  <r>
    <x v="0"/>
    <x v="0"/>
    <x v="0"/>
    <x v="9"/>
    <x v="17"/>
    <s v="SE4A"/>
    <x v="7"/>
    <x v="6"/>
    <s v="GHYRR_WATER"/>
    <x v="6"/>
    <x v="4"/>
    <n v="59.7984547566004"/>
    <n v="3637.7393310265302"/>
    <n v="13095.8615916955"/>
  </r>
  <r>
    <x v="0"/>
    <x v="0"/>
    <x v="0"/>
    <x v="9"/>
    <x v="17"/>
    <s v="SE4A"/>
    <x v="7"/>
    <x v="6"/>
    <s v="GHYRR_WATER"/>
    <x v="6"/>
    <x v="5"/>
    <n v="59.7984547566004"/>
    <n v="3637.7393310265302"/>
    <n v="13095.8615916955"/>
  </r>
  <r>
    <x v="0"/>
    <x v="0"/>
    <x v="0"/>
    <x v="9"/>
    <x v="17"/>
    <s v="SE4A"/>
    <x v="7"/>
    <x v="6"/>
    <s v="GHYRR_WATER"/>
    <x v="6"/>
    <x v="6"/>
    <n v="59.7984547566004"/>
    <n v="3637.7393310265302"/>
    <n v="13095.8615916955"/>
  </r>
  <r>
    <x v="0"/>
    <x v="0"/>
    <x v="0"/>
    <x v="9"/>
    <x v="17"/>
    <s v="SE4A"/>
    <x v="7"/>
    <x v="6"/>
    <s v="GHYRR_WATER"/>
    <x v="6"/>
    <x v="7"/>
    <n v="59.7984547566004"/>
    <n v="3637.7393310265302"/>
    <n v="13095.8615916955"/>
  </r>
  <r>
    <x v="0"/>
    <x v="0"/>
    <x v="0"/>
    <x v="9"/>
    <x v="17"/>
    <s v="SE4A"/>
    <x v="7"/>
    <x v="6"/>
    <s v="GHYRR_WATER"/>
    <x v="6"/>
    <x v="8"/>
    <n v="59.7984547566004"/>
    <n v="3637.7393310265302"/>
    <n v="13095.8615916955"/>
  </r>
  <r>
    <x v="0"/>
    <x v="0"/>
    <x v="0"/>
    <x v="9"/>
    <x v="17"/>
    <s v="SE4A"/>
    <x v="7"/>
    <x v="6"/>
    <s v="GHYRR_WATER"/>
    <x v="6"/>
    <x v="9"/>
    <n v="59.7984547566004"/>
    <n v="3637.7393310265302"/>
    <n v="13095.8615916955"/>
  </r>
  <r>
    <x v="0"/>
    <x v="0"/>
    <x v="0"/>
    <x v="9"/>
    <x v="17"/>
    <s v="SE4A"/>
    <x v="7"/>
    <x v="6"/>
    <s v="GHYRR_WATER"/>
    <x v="6"/>
    <x v="10"/>
    <n v="59.7984547566004"/>
    <n v="3637.7393310265302"/>
    <n v="13095.8615916955"/>
  </r>
  <r>
    <x v="0"/>
    <x v="0"/>
    <x v="0"/>
    <x v="9"/>
    <x v="17"/>
    <s v="SE4A"/>
    <x v="7"/>
    <x v="6"/>
    <s v="GHYRR_WATER"/>
    <x v="6"/>
    <x v="11"/>
    <n v="59.7984547566004"/>
    <n v="3637.7393310265302"/>
    <n v="13095.8615916955"/>
  </r>
  <r>
    <x v="0"/>
    <x v="0"/>
    <x v="0"/>
    <x v="9"/>
    <x v="17"/>
    <s v="SE4A"/>
    <x v="7"/>
    <x v="6"/>
    <s v="GHYRR_WATER"/>
    <x v="7"/>
    <x v="0"/>
    <n v="61.511431325148898"/>
    <n v="3741.9454056132199"/>
    <n v="13471.003460207599"/>
  </r>
  <r>
    <x v="0"/>
    <x v="0"/>
    <x v="0"/>
    <x v="9"/>
    <x v="17"/>
    <s v="SE4A"/>
    <x v="7"/>
    <x v="6"/>
    <s v="GHYRR_WATER"/>
    <x v="7"/>
    <x v="1"/>
    <n v="61.511431325148898"/>
    <n v="3741.9454056132199"/>
    <n v="13471.003460207599"/>
  </r>
  <r>
    <x v="0"/>
    <x v="0"/>
    <x v="0"/>
    <x v="9"/>
    <x v="17"/>
    <s v="SE4A"/>
    <x v="7"/>
    <x v="6"/>
    <s v="GHYRR_WATER"/>
    <x v="7"/>
    <x v="2"/>
    <n v="61.511431325148898"/>
    <n v="3741.9454056132199"/>
    <n v="13471.003460207599"/>
  </r>
  <r>
    <x v="0"/>
    <x v="0"/>
    <x v="0"/>
    <x v="9"/>
    <x v="17"/>
    <s v="SE4A"/>
    <x v="7"/>
    <x v="6"/>
    <s v="GHYRR_WATER"/>
    <x v="7"/>
    <x v="3"/>
    <n v="61.511431325148898"/>
    <n v="3741.9454056132199"/>
    <n v="13471.003460207599"/>
  </r>
  <r>
    <x v="0"/>
    <x v="0"/>
    <x v="0"/>
    <x v="9"/>
    <x v="17"/>
    <s v="SE4A"/>
    <x v="7"/>
    <x v="6"/>
    <s v="GHYRR_WATER"/>
    <x v="7"/>
    <x v="4"/>
    <n v="61.511431325148898"/>
    <n v="3741.9454056132199"/>
    <n v="13471.003460207599"/>
  </r>
  <r>
    <x v="0"/>
    <x v="0"/>
    <x v="0"/>
    <x v="9"/>
    <x v="17"/>
    <s v="SE4A"/>
    <x v="7"/>
    <x v="6"/>
    <s v="GHYRR_WATER"/>
    <x v="7"/>
    <x v="5"/>
    <n v="61.511431325148898"/>
    <n v="3741.9454056132199"/>
    <n v="13471.003460207599"/>
  </r>
  <r>
    <x v="0"/>
    <x v="0"/>
    <x v="0"/>
    <x v="9"/>
    <x v="17"/>
    <s v="SE4A"/>
    <x v="7"/>
    <x v="6"/>
    <s v="GHYRR_WATER"/>
    <x v="7"/>
    <x v="6"/>
    <n v="61.511431325148898"/>
    <n v="3741.9454056132199"/>
    <n v="13471.003460207599"/>
  </r>
  <r>
    <x v="0"/>
    <x v="0"/>
    <x v="0"/>
    <x v="9"/>
    <x v="17"/>
    <s v="SE4A"/>
    <x v="7"/>
    <x v="6"/>
    <s v="GHYRR_WATER"/>
    <x v="7"/>
    <x v="7"/>
    <n v="61.511431325148898"/>
    <n v="3741.9454056132199"/>
    <n v="13471.003460207599"/>
  </r>
  <r>
    <x v="0"/>
    <x v="0"/>
    <x v="0"/>
    <x v="9"/>
    <x v="17"/>
    <s v="SE4A"/>
    <x v="7"/>
    <x v="6"/>
    <s v="GHYRR_WATER"/>
    <x v="7"/>
    <x v="8"/>
    <n v="61.511431325148898"/>
    <n v="3741.9454056132199"/>
    <n v="13471.003460207599"/>
  </r>
  <r>
    <x v="0"/>
    <x v="0"/>
    <x v="0"/>
    <x v="9"/>
    <x v="17"/>
    <s v="SE4A"/>
    <x v="7"/>
    <x v="6"/>
    <s v="GHYRR_WATER"/>
    <x v="7"/>
    <x v="9"/>
    <n v="61.511431325148898"/>
    <n v="3741.9454056132199"/>
    <n v="13471.003460207599"/>
  </r>
  <r>
    <x v="0"/>
    <x v="0"/>
    <x v="0"/>
    <x v="9"/>
    <x v="17"/>
    <s v="SE4A"/>
    <x v="7"/>
    <x v="6"/>
    <s v="GHYRR_WATER"/>
    <x v="7"/>
    <x v="10"/>
    <n v="61.511431325148898"/>
    <n v="3741.9454056132199"/>
    <n v="13471.003460207599"/>
  </r>
  <r>
    <x v="0"/>
    <x v="0"/>
    <x v="0"/>
    <x v="9"/>
    <x v="17"/>
    <s v="SE4A"/>
    <x v="7"/>
    <x v="6"/>
    <s v="GHYRR_WATER"/>
    <x v="7"/>
    <x v="11"/>
    <n v="61.511431325148898"/>
    <n v="3741.9454056132199"/>
    <n v="13471.003460207599"/>
  </r>
  <r>
    <x v="0"/>
    <x v="0"/>
    <x v="0"/>
    <x v="9"/>
    <x v="17"/>
    <s v="SE4A"/>
    <x v="7"/>
    <x v="6"/>
    <s v="GHYRR_WATER"/>
    <x v="8"/>
    <x v="0"/>
    <n v="69.453413597509893"/>
    <n v="4225.0826605151897"/>
    <n v="15210.297577854701"/>
  </r>
  <r>
    <x v="0"/>
    <x v="0"/>
    <x v="0"/>
    <x v="9"/>
    <x v="17"/>
    <s v="SE4A"/>
    <x v="7"/>
    <x v="6"/>
    <s v="GHYRR_WATER"/>
    <x v="8"/>
    <x v="1"/>
    <n v="69.453413597509893"/>
    <n v="4225.0826605151897"/>
    <n v="15210.297577854701"/>
  </r>
  <r>
    <x v="0"/>
    <x v="0"/>
    <x v="0"/>
    <x v="9"/>
    <x v="17"/>
    <s v="SE4A"/>
    <x v="7"/>
    <x v="6"/>
    <s v="GHYRR_WATER"/>
    <x v="8"/>
    <x v="2"/>
    <n v="69.453413597509893"/>
    <n v="4225.0826605151897"/>
    <n v="15210.297577854701"/>
  </r>
  <r>
    <x v="0"/>
    <x v="0"/>
    <x v="0"/>
    <x v="9"/>
    <x v="17"/>
    <s v="SE4A"/>
    <x v="7"/>
    <x v="6"/>
    <s v="GHYRR_WATER"/>
    <x v="8"/>
    <x v="3"/>
    <n v="69.453413597509893"/>
    <n v="4225.0826605151897"/>
    <n v="15210.297577854701"/>
  </r>
  <r>
    <x v="0"/>
    <x v="0"/>
    <x v="0"/>
    <x v="9"/>
    <x v="17"/>
    <s v="SE4A"/>
    <x v="7"/>
    <x v="6"/>
    <s v="GHYRR_WATER"/>
    <x v="8"/>
    <x v="4"/>
    <n v="69.453413597509893"/>
    <n v="4225.0826605151897"/>
    <n v="15210.297577854701"/>
  </r>
  <r>
    <x v="0"/>
    <x v="0"/>
    <x v="0"/>
    <x v="9"/>
    <x v="17"/>
    <s v="SE4A"/>
    <x v="7"/>
    <x v="6"/>
    <s v="GHYRR_WATER"/>
    <x v="8"/>
    <x v="5"/>
    <n v="69.453413597509893"/>
    <n v="4225.0826605151897"/>
    <n v="15210.297577854701"/>
  </r>
  <r>
    <x v="0"/>
    <x v="0"/>
    <x v="0"/>
    <x v="9"/>
    <x v="17"/>
    <s v="SE4A"/>
    <x v="7"/>
    <x v="6"/>
    <s v="GHYRR_WATER"/>
    <x v="8"/>
    <x v="6"/>
    <n v="69.453413597509893"/>
    <n v="4225.0826605151897"/>
    <n v="15210.297577854701"/>
  </r>
  <r>
    <x v="0"/>
    <x v="0"/>
    <x v="0"/>
    <x v="9"/>
    <x v="17"/>
    <s v="SE4A"/>
    <x v="7"/>
    <x v="6"/>
    <s v="GHYRR_WATER"/>
    <x v="8"/>
    <x v="7"/>
    <n v="69.453413597509893"/>
    <n v="4225.0826605151897"/>
    <n v="15210.297577854701"/>
  </r>
  <r>
    <x v="0"/>
    <x v="0"/>
    <x v="0"/>
    <x v="9"/>
    <x v="17"/>
    <s v="SE4A"/>
    <x v="7"/>
    <x v="6"/>
    <s v="GHYRR_WATER"/>
    <x v="8"/>
    <x v="8"/>
    <n v="69.453413597509893"/>
    <n v="4225.0826605151897"/>
    <n v="15210.297577854701"/>
  </r>
  <r>
    <x v="0"/>
    <x v="0"/>
    <x v="0"/>
    <x v="9"/>
    <x v="17"/>
    <s v="SE4A"/>
    <x v="7"/>
    <x v="6"/>
    <s v="GHYRR_WATER"/>
    <x v="8"/>
    <x v="9"/>
    <n v="69.453413597509893"/>
    <n v="4225.0826605151897"/>
    <n v="15210.297577854701"/>
  </r>
  <r>
    <x v="0"/>
    <x v="0"/>
    <x v="0"/>
    <x v="9"/>
    <x v="17"/>
    <s v="SE4A"/>
    <x v="7"/>
    <x v="6"/>
    <s v="GHYRR_WATER"/>
    <x v="8"/>
    <x v="10"/>
    <n v="69.453413597509893"/>
    <n v="4225.0826605151897"/>
    <n v="15210.297577854701"/>
  </r>
  <r>
    <x v="0"/>
    <x v="0"/>
    <x v="0"/>
    <x v="9"/>
    <x v="17"/>
    <s v="SE4A"/>
    <x v="7"/>
    <x v="6"/>
    <s v="GHYRR_WATER"/>
    <x v="8"/>
    <x v="11"/>
    <n v="69.453413597509893"/>
    <n v="4225.0826605151897"/>
    <n v="15210.297577854701"/>
  </r>
  <r>
    <x v="0"/>
    <x v="0"/>
    <x v="0"/>
    <x v="9"/>
    <x v="17"/>
    <s v="SE4A"/>
    <x v="7"/>
    <x v="6"/>
    <s v="GHYRR_WATER"/>
    <x v="9"/>
    <x v="0"/>
    <n v="64.6259341770552"/>
    <n v="3931.4109957708602"/>
    <n v="14153.0795847751"/>
  </r>
  <r>
    <x v="0"/>
    <x v="0"/>
    <x v="0"/>
    <x v="9"/>
    <x v="17"/>
    <s v="SE4A"/>
    <x v="7"/>
    <x v="6"/>
    <s v="GHYRR_WATER"/>
    <x v="9"/>
    <x v="1"/>
    <n v="64.6259341770552"/>
    <n v="3931.4109957708602"/>
    <n v="14153.0795847751"/>
  </r>
  <r>
    <x v="0"/>
    <x v="0"/>
    <x v="0"/>
    <x v="9"/>
    <x v="17"/>
    <s v="SE4A"/>
    <x v="7"/>
    <x v="6"/>
    <s v="GHYRR_WATER"/>
    <x v="9"/>
    <x v="2"/>
    <n v="64.6259341770552"/>
    <n v="3931.4109957708602"/>
    <n v="14153.0795847751"/>
  </r>
  <r>
    <x v="0"/>
    <x v="0"/>
    <x v="0"/>
    <x v="9"/>
    <x v="17"/>
    <s v="SE4A"/>
    <x v="7"/>
    <x v="6"/>
    <s v="GHYRR_WATER"/>
    <x v="9"/>
    <x v="3"/>
    <n v="64.6259341770552"/>
    <n v="3931.4109957708602"/>
    <n v="14153.0795847751"/>
  </r>
  <r>
    <x v="0"/>
    <x v="0"/>
    <x v="0"/>
    <x v="9"/>
    <x v="17"/>
    <s v="SE4A"/>
    <x v="7"/>
    <x v="6"/>
    <s v="GHYRR_WATER"/>
    <x v="9"/>
    <x v="4"/>
    <n v="64.6259341770552"/>
    <n v="3931.4109957708602"/>
    <n v="14153.0795847751"/>
  </r>
  <r>
    <x v="0"/>
    <x v="0"/>
    <x v="0"/>
    <x v="9"/>
    <x v="17"/>
    <s v="SE4A"/>
    <x v="7"/>
    <x v="6"/>
    <s v="GHYRR_WATER"/>
    <x v="9"/>
    <x v="5"/>
    <n v="64.6259341770552"/>
    <n v="3931.4109957708602"/>
    <n v="14153.0795847751"/>
  </r>
  <r>
    <x v="0"/>
    <x v="0"/>
    <x v="0"/>
    <x v="9"/>
    <x v="17"/>
    <s v="SE4A"/>
    <x v="7"/>
    <x v="6"/>
    <s v="GHYRR_WATER"/>
    <x v="9"/>
    <x v="6"/>
    <n v="64.6259341770552"/>
    <n v="3931.4109957708602"/>
    <n v="14153.0795847751"/>
  </r>
  <r>
    <x v="0"/>
    <x v="0"/>
    <x v="0"/>
    <x v="9"/>
    <x v="17"/>
    <s v="SE4A"/>
    <x v="7"/>
    <x v="6"/>
    <s v="GHYRR_WATER"/>
    <x v="9"/>
    <x v="7"/>
    <n v="64.6259341770552"/>
    <n v="3931.4109957708602"/>
    <n v="14153.0795847751"/>
  </r>
  <r>
    <x v="0"/>
    <x v="0"/>
    <x v="0"/>
    <x v="9"/>
    <x v="17"/>
    <s v="SE4A"/>
    <x v="7"/>
    <x v="6"/>
    <s v="GHYRR_WATER"/>
    <x v="9"/>
    <x v="8"/>
    <n v="64.6259341770552"/>
    <n v="3931.4109957708602"/>
    <n v="14153.0795847751"/>
  </r>
  <r>
    <x v="0"/>
    <x v="0"/>
    <x v="0"/>
    <x v="9"/>
    <x v="17"/>
    <s v="SE4A"/>
    <x v="7"/>
    <x v="6"/>
    <s v="GHYRR_WATER"/>
    <x v="9"/>
    <x v="9"/>
    <n v="64.6259341770552"/>
    <n v="3931.4109957708602"/>
    <n v="14153.0795847751"/>
  </r>
  <r>
    <x v="0"/>
    <x v="0"/>
    <x v="0"/>
    <x v="9"/>
    <x v="17"/>
    <s v="SE4A"/>
    <x v="7"/>
    <x v="6"/>
    <s v="GHYRR_WATER"/>
    <x v="9"/>
    <x v="10"/>
    <n v="64.6259341770552"/>
    <n v="3931.4109957708602"/>
    <n v="14153.0795847751"/>
  </r>
  <r>
    <x v="0"/>
    <x v="0"/>
    <x v="0"/>
    <x v="9"/>
    <x v="17"/>
    <s v="SE4A"/>
    <x v="7"/>
    <x v="6"/>
    <s v="GHYRR_WATER"/>
    <x v="9"/>
    <x v="11"/>
    <n v="64.6259341770552"/>
    <n v="3931.4109957708602"/>
    <n v="14153.0795847751"/>
  </r>
  <r>
    <x v="0"/>
    <x v="0"/>
    <x v="0"/>
    <x v="9"/>
    <x v="17"/>
    <s v="SE4A"/>
    <x v="7"/>
    <x v="6"/>
    <s v="GHYRR_WATER"/>
    <x v="10"/>
    <x v="0"/>
    <n v="77.8625712976568"/>
    <n v="4736.6397539407899"/>
    <n v="17051.9031141868"/>
  </r>
  <r>
    <x v="0"/>
    <x v="0"/>
    <x v="0"/>
    <x v="9"/>
    <x v="17"/>
    <s v="SE4A"/>
    <x v="7"/>
    <x v="6"/>
    <s v="GHYRR_WATER"/>
    <x v="10"/>
    <x v="1"/>
    <n v="77.8625712976568"/>
    <n v="4736.6397539407899"/>
    <n v="17051.9031141868"/>
  </r>
  <r>
    <x v="0"/>
    <x v="0"/>
    <x v="0"/>
    <x v="9"/>
    <x v="17"/>
    <s v="SE4A"/>
    <x v="7"/>
    <x v="6"/>
    <s v="GHYRR_WATER"/>
    <x v="10"/>
    <x v="2"/>
    <n v="77.8625712976568"/>
    <n v="4736.6397539407899"/>
    <n v="17051.9031141868"/>
  </r>
  <r>
    <x v="0"/>
    <x v="0"/>
    <x v="0"/>
    <x v="9"/>
    <x v="17"/>
    <s v="SE4A"/>
    <x v="7"/>
    <x v="6"/>
    <s v="GHYRR_WATER"/>
    <x v="10"/>
    <x v="3"/>
    <n v="77.8625712976568"/>
    <n v="4736.6397539407899"/>
    <n v="17051.9031141868"/>
  </r>
  <r>
    <x v="0"/>
    <x v="0"/>
    <x v="0"/>
    <x v="9"/>
    <x v="17"/>
    <s v="SE4A"/>
    <x v="7"/>
    <x v="6"/>
    <s v="GHYRR_WATER"/>
    <x v="10"/>
    <x v="4"/>
    <n v="77.8625712976568"/>
    <n v="4736.6397539407899"/>
    <n v="17051.9031141868"/>
  </r>
  <r>
    <x v="0"/>
    <x v="0"/>
    <x v="0"/>
    <x v="9"/>
    <x v="17"/>
    <s v="SE4A"/>
    <x v="7"/>
    <x v="6"/>
    <s v="GHYRR_WATER"/>
    <x v="10"/>
    <x v="5"/>
    <n v="77.8625712976568"/>
    <n v="4736.6397539407899"/>
    <n v="17051.9031141868"/>
  </r>
  <r>
    <x v="0"/>
    <x v="0"/>
    <x v="0"/>
    <x v="9"/>
    <x v="17"/>
    <s v="SE4A"/>
    <x v="7"/>
    <x v="6"/>
    <s v="GHYRR_WATER"/>
    <x v="10"/>
    <x v="6"/>
    <n v="77.8625712976568"/>
    <n v="4736.6397539407899"/>
    <n v="17051.9031141868"/>
  </r>
  <r>
    <x v="0"/>
    <x v="0"/>
    <x v="0"/>
    <x v="9"/>
    <x v="17"/>
    <s v="SE4A"/>
    <x v="7"/>
    <x v="6"/>
    <s v="GHYRR_WATER"/>
    <x v="10"/>
    <x v="7"/>
    <n v="77.8625712976568"/>
    <n v="4736.6397539407899"/>
    <n v="17051.9031141868"/>
  </r>
  <r>
    <x v="0"/>
    <x v="0"/>
    <x v="0"/>
    <x v="9"/>
    <x v="17"/>
    <s v="SE4A"/>
    <x v="7"/>
    <x v="6"/>
    <s v="GHYRR_WATER"/>
    <x v="10"/>
    <x v="8"/>
    <n v="77.8625712976568"/>
    <n v="4736.6397539407899"/>
    <n v="17051.9031141868"/>
  </r>
  <r>
    <x v="0"/>
    <x v="0"/>
    <x v="0"/>
    <x v="9"/>
    <x v="17"/>
    <s v="SE4A"/>
    <x v="7"/>
    <x v="6"/>
    <s v="GHYRR_WATER"/>
    <x v="10"/>
    <x v="9"/>
    <n v="77.8625712976568"/>
    <n v="4736.6397539407899"/>
    <n v="17051.9031141868"/>
  </r>
  <r>
    <x v="0"/>
    <x v="0"/>
    <x v="0"/>
    <x v="9"/>
    <x v="17"/>
    <s v="SE4A"/>
    <x v="7"/>
    <x v="6"/>
    <s v="GHYRR_WATER"/>
    <x v="10"/>
    <x v="10"/>
    <n v="77.8625712976568"/>
    <n v="4736.6397539407899"/>
    <n v="17051.9031141868"/>
  </r>
  <r>
    <x v="0"/>
    <x v="0"/>
    <x v="0"/>
    <x v="9"/>
    <x v="17"/>
    <s v="SE4A"/>
    <x v="7"/>
    <x v="6"/>
    <s v="GHYRR_WATER"/>
    <x v="10"/>
    <x v="11"/>
    <n v="77.8625712976568"/>
    <n v="4736.6397539407899"/>
    <n v="17051.9031141868"/>
  </r>
  <r>
    <x v="0"/>
    <x v="0"/>
    <x v="0"/>
    <x v="9"/>
    <x v="17"/>
    <s v="SE4A"/>
    <x v="7"/>
    <x v="6"/>
    <s v="GHYRR_WATER"/>
    <x v="11"/>
    <x v="0"/>
    <n v="132.677821491207"/>
    <n v="8071.2341407151098"/>
    <n v="29056.442906574401"/>
  </r>
  <r>
    <x v="0"/>
    <x v="0"/>
    <x v="0"/>
    <x v="9"/>
    <x v="17"/>
    <s v="SE4A"/>
    <x v="7"/>
    <x v="6"/>
    <s v="GHYRR_WATER"/>
    <x v="11"/>
    <x v="1"/>
    <n v="132.677821491207"/>
    <n v="8071.2341407151098"/>
    <n v="29056.442906574401"/>
  </r>
  <r>
    <x v="0"/>
    <x v="0"/>
    <x v="0"/>
    <x v="9"/>
    <x v="17"/>
    <s v="SE4A"/>
    <x v="7"/>
    <x v="6"/>
    <s v="GHYRR_WATER"/>
    <x v="11"/>
    <x v="2"/>
    <n v="132.677821491207"/>
    <n v="8071.2341407151098"/>
    <n v="29056.442906574401"/>
  </r>
  <r>
    <x v="0"/>
    <x v="0"/>
    <x v="0"/>
    <x v="9"/>
    <x v="17"/>
    <s v="SE4A"/>
    <x v="7"/>
    <x v="6"/>
    <s v="GHYRR_WATER"/>
    <x v="11"/>
    <x v="3"/>
    <n v="132.677821491207"/>
    <n v="8071.2341407151098"/>
    <n v="29056.442906574401"/>
  </r>
  <r>
    <x v="0"/>
    <x v="0"/>
    <x v="0"/>
    <x v="9"/>
    <x v="17"/>
    <s v="SE4A"/>
    <x v="7"/>
    <x v="6"/>
    <s v="GHYRR_WATER"/>
    <x v="11"/>
    <x v="4"/>
    <n v="132.677821491207"/>
    <n v="8071.2341407151098"/>
    <n v="29056.442906574401"/>
  </r>
  <r>
    <x v="0"/>
    <x v="0"/>
    <x v="0"/>
    <x v="9"/>
    <x v="17"/>
    <s v="SE4A"/>
    <x v="7"/>
    <x v="6"/>
    <s v="GHYRR_WATER"/>
    <x v="11"/>
    <x v="5"/>
    <n v="132.677821491207"/>
    <n v="8071.2341407151098"/>
    <n v="29056.442906574401"/>
  </r>
  <r>
    <x v="0"/>
    <x v="0"/>
    <x v="0"/>
    <x v="9"/>
    <x v="17"/>
    <s v="SE4A"/>
    <x v="7"/>
    <x v="6"/>
    <s v="GHYRR_WATER"/>
    <x v="11"/>
    <x v="6"/>
    <n v="132.677821491207"/>
    <n v="8071.2341407151098"/>
    <n v="29056.442906574401"/>
  </r>
  <r>
    <x v="0"/>
    <x v="0"/>
    <x v="0"/>
    <x v="9"/>
    <x v="17"/>
    <s v="SE4A"/>
    <x v="7"/>
    <x v="6"/>
    <s v="GHYRR_WATER"/>
    <x v="11"/>
    <x v="7"/>
    <n v="132.677821491207"/>
    <n v="8071.2341407151098"/>
    <n v="29056.442906574401"/>
  </r>
  <r>
    <x v="0"/>
    <x v="0"/>
    <x v="0"/>
    <x v="9"/>
    <x v="17"/>
    <s v="SE4A"/>
    <x v="7"/>
    <x v="6"/>
    <s v="GHYRR_WATER"/>
    <x v="11"/>
    <x v="8"/>
    <n v="132.677821491207"/>
    <n v="8071.2341407151098"/>
    <n v="29056.442906574401"/>
  </r>
  <r>
    <x v="0"/>
    <x v="0"/>
    <x v="0"/>
    <x v="9"/>
    <x v="17"/>
    <s v="SE4A"/>
    <x v="7"/>
    <x v="6"/>
    <s v="GHYRR_WATER"/>
    <x v="11"/>
    <x v="9"/>
    <n v="132.677821491207"/>
    <n v="8071.2341407151098"/>
    <n v="29056.442906574401"/>
  </r>
  <r>
    <x v="0"/>
    <x v="0"/>
    <x v="0"/>
    <x v="9"/>
    <x v="17"/>
    <s v="SE4A"/>
    <x v="7"/>
    <x v="6"/>
    <s v="GHYRR_WATER"/>
    <x v="11"/>
    <x v="10"/>
    <n v="132.677821491207"/>
    <n v="8071.2341407151098"/>
    <n v="29056.442906574401"/>
  </r>
  <r>
    <x v="0"/>
    <x v="0"/>
    <x v="0"/>
    <x v="9"/>
    <x v="17"/>
    <s v="SE4A"/>
    <x v="7"/>
    <x v="6"/>
    <s v="GHYRR_WATER"/>
    <x v="11"/>
    <x v="11"/>
    <n v="132.677821491207"/>
    <n v="8071.2341407151098"/>
    <n v="29056.442906574401"/>
  </r>
  <r>
    <x v="0"/>
    <x v="0"/>
    <x v="0"/>
    <x v="9"/>
    <x v="17"/>
    <s v="SE4A"/>
    <x v="7"/>
    <x v="7"/>
    <s v="GHYRS_WATER"/>
    <x v="4"/>
    <x v="0"/>
    <n v="341"/>
    <n v="20744.166666666701"/>
    <n v="74679"/>
  </r>
  <r>
    <x v="0"/>
    <x v="0"/>
    <x v="0"/>
    <x v="9"/>
    <x v="17"/>
    <s v="SE4A"/>
    <x v="7"/>
    <x v="7"/>
    <s v="GHYRS_WATER"/>
    <x v="4"/>
    <x v="1"/>
    <n v="341"/>
    <n v="20744.166666666701"/>
    <n v="74679"/>
  </r>
  <r>
    <x v="0"/>
    <x v="0"/>
    <x v="0"/>
    <x v="9"/>
    <x v="17"/>
    <s v="SE4A"/>
    <x v="7"/>
    <x v="7"/>
    <s v="GHYRS_WATER"/>
    <x v="4"/>
    <x v="2"/>
    <n v="341"/>
    <n v="20744.166666666701"/>
    <n v="74679"/>
  </r>
  <r>
    <x v="0"/>
    <x v="0"/>
    <x v="0"/>
    <x v="9"/>
    <x v="17"/>
    <s v="SE4A"/>
    <x v="7"/>
    <x v="7"/>
    <s v="GHYRS_WATER"/>
    <x v="4"/>
    <x v="3"/>
    <n v="341"/>
    <n v="20744.166666666701"/>
    <n v="74679"/>
  </r>
  <r>
    <x v="0"/>
    <x v="0"/>
    <x v="0"/>
    <x v="9"/>
    <x v="17"/>
    <s v="SE4A"/>
    <x v="7"/>
    <x v="7"/>
    <s v="GHYRS_WATER"/>
    <x v="4"/>
    <x v="4"/>
    <n v="341"/>
    <n v="20744.166666666701"/>
    <n v="74679"/>
  </r>
  <r>
    <x v="0"/>
    <x v="0"/>
    <x v="0"/>
    <x v="9"/>
    <x v="17"/>
    <s v="SE4A"/>
    <x v="7"/>
    <x v="7"/>
    <s v="GHYRS_WATER"/>
    <x v="4"/>
    <x v="5"/>
    <n v="341"/>
    <n v="20744.166666666701"/>
    <n v="74679"/>
  </r>
  <r>
    <x v="0"/>
    <x v="0"/>
    <x v="0"/>
    <x v="9"/>
    <x v="17"/>
    <s v="SE4A"/>
    <x v="7"/>
    <x v="7"/>
    <s v="GHYRS_WATER"/>
    <x v="4"/>
    <x v="6"/>
    <n v="341"/>
    <n v="20744.166666666701"/>
    <n v="74679"/>
  </r>
  <r>
    <x v="0"/>
    <x v="0"/>
    <x v="0"/>
    <x v="9"/>
    <x v="17"/>
    <s v="SE4A"/>
    <x v="7"/>
    <x v="7"/>
    <s v="GHYRS_WATER"/>
    <x v="4"/>
    <x v="7"/>
    <n v="341"/>
    <n v="20744.166666666701"/>
    <n v="74679"/>
  </r>
  <r>
    <x v="0"/>
    <x v="0"/>
    <x v="0"/>
    <x v="9"/>
    <x v="17"/>
    <s v="SE4A"/>
    <x v="7"/>
    <x v="7"/>
    <s v="GHYRS_WATER"/>
    <x v="4"/>
    <x v="8"/>
    <n v="341"/>
    <n v="20744.166666666701"/>
    <n v="74679"/>
  </r>
  <r>
    <x v="0"/>
    <x v="0"/>
    <x v="0"/>
    <x v="9"/>
    <x v="17"/>
    <s v="SE4A"/>
    <x v="7"/>
    <x v="7"/>
    <s v="GHYRS_WATER"/>
    <x v="4"/>
    <x v="9"/>
    <n v="341"/>
    <n v="20744.166666666701"/>
    <n v="74679"/>
  </r>
  <r>
    <x v="0"/>
    <x v="0"/>
    <x v="0"/>
    <x v="9"/>
    <x v="17"/>
    <s v="SE4A"/>
    <x v="7"/>
    <x v="7"/>
    <s v="GHYRS_WATER"/>
    <x v="4"/>
    <x v="10"/>
    <n v="341"/>
    <n v="20744.166666666701"/>
    <n v="74679"/>
  </r>
  <r>
    <x v="0"/>
    <x v="0"/>
    <x v="0"/>
    <x v="9"/>
    <x v="17"/>
    <s v="SE4A"/>
    <x v="7"/>
    <x v="7"/>
    <s v="GHYRS_WATER"/>
    <x v="4"/>
    <x v="11"/>
    <n v="341"/>
    <n v="20744.166666666701"/>
    <n v="74679"/>
  </r>
  <r>
    <x v="0"/>
    <x v="0"/>
    <x v="0"/>
    <x v="9"/>
    <x v="17"/>
    <s v="SE4A"/>
    <x v="7"/>
    <x v="7"/>
    <s v="GHYRS_WATER"/>
    <x v="6"/>
    <x v="4"/>
    <n v="332.54527986112601"/>
    <n v="20229.8378582185"/>
    <n v="72827.416289586603"/>
  </r>
  <r>
    <x v="0"/>
    <x v="0"/>
    <x v="0"/>
    <x v="9"/>
    <x v="17"/>
    <s v="SE4A"/>
    <x v="7"/>
    <x v="7"/>
    <s v="GHYRS_WATER"/>
    <x v="6"/>
    <x v="5"/>
    <n v="341"/>
    <n v="20744.166666666701"/>
    <n v="74679"/>
  </r>
  <r>
    <x v="0"/>
    <x v="0"/>
    <x v="0"/>
    <x v="9"/>
    <x v="17"/>
    <s v="SE4A"/>
    <x v="7"/>
    <x v="7"/>
    <s v="GHYRS_WATER"/>
    <x v="6"/>
    <x v="6"/>
    <n v="341"/>
    <n v="20744.166666666701"/>
    <n v="74679"/>
  </r>
  <r>
    <x v="0"/>
    <x v="0"/>
    <x v="0"/>
    <x v="9"/>
    <x v="17"/>
    <s v="SE4A"/>
    <x v="7"/>
    <x v="7"/>
    <s v="GHYRS_WATER"/>
    <x v="6"/>
    <x v="7"/>
    <n v="341"/>
    <n v="20744.166666666701"/>
    <n v="74679"/>
  </r>
  <r>
    <x v="0"/>
    <x v="0"/>
    <x v="0"/>
    <x v="9"/>
    <x v="17"/>
    <s v="SE4A"/>
    <x v="7"/>
    <x v="7"/>
    <s v="GHYRS_WATER"/>
    <x v="6"/>
    <x v="8"/>
    <n v="341"/>
    <n v="20744.166666666701"/>
    <n v="74679"/>
  </r>
  <r>
    <x v="0"/>
    <x v="0"/>
    <x v="0"/>
    <x v="9"/>
    <x v="17"/>
    <s v="SE4A"/>
    <x v="7"/>
    <x v="7"/>
    <s v="GHYRS_WATER"/>
    <x v="6"/>
    <x v="9"/>
    <n v="341"/>
    <n v="20744.166666666701"/>
    <n v="74679"/>
  </r>
  <r>
    <x v="0"/>
    <x v="0"/>
    <x v="0"/>
    <x v="9"/>
    <x v="17"/>
    <s v="SE4A"/>
    <x v="7"/>
    <x v="7"/>
    <s v="GHYRS_WATER"/>
    <x v="6"/>
    <x v="10"/>
    <n v="341"/>
    <n v="20744.166666666701"/>
    <n v="74679"/>
  </r>
  <r>
    <x v="0"/>
    <x v="0"/>
    <x v="0"/>
    <x v="9"/>
    <x v="17"/>
    <s v="SE4A"/>
    <x v="7"/>
    <x v="7"/>
    <s v="GHYRS_WATER"/>
    <x v="6"/>
    <x v="11"/>
    <n v="341"/>
    <n v="20744.166666666701"/>
    <n v="74679"/>
  </r>
  <r>
    <x v="0"/>
    <x v="0"/>
    <x v="0"/>
    <x v="9"/>
    <x v="17"/>
    <s v="SE4A"/>
    <x v="7"/>
    <x v="7"/>
    <s v="GHYRS_WATER"/>
    <x v="7"/>
    <x v="0"/>
    <n v="341"/>
    <n v="20744.166666666701"/>
    <n v="74679"/>
  </r>
  <r>
    <x v="0"/>
    <x v="0"/>
    <x v="0"/>
    <x v="9"/>
    <x v="17"/>
    <s v="SE4A"/>
    <x v="7"/>
    <x v="7"/>
    <s v="GHYRS_WATER"/>
    <x v="7"/>
    <x v="1"/>
    <n v="341"/>
    <n v="20744.166666666701"/>
    <n v="74679"/>
  </r>
  <r>
    <x v="0"/>
    <x v="0"/>
    <x v="0"/>
    <x v="9"/>
    <x v="17"/>
    <s v="SE4A"/>
    <x v="7"/>
    <x v="7"/>
    <s v="GHYRS_WATER"/>
    <x v="7"/>
    <x v="2"/>
    <n v="341"/>
    <n v="20744.166666666701"/>
    <n v="74679"/>
  </r>
  <r>
    <x v="0"/>
    <x v="0"/>
    <x v="0"/>
    <x v="9"/>
    <x v="17"/>
    <s v="SE4A"/>
    <x v="7"/>
    <x v="7"/>
    <s v="GHYRS_WATER"/>
    <x v="7"/>
    <x v="3"/>
    <n v="341"/>
    <n v="20744.166666666701"/>
    <n v="74679"/>
  </r>
  <r>
    <x v="0"/>
    <x v="0"/>
    <x v="0"/>
    <x v="9"/>
    <x v="17"/>
    <s v="SE4A"/>
    <x v="7"/>
    <x v="7"/>
    <s v="GHYRS_WATER"/>
    <x v="7"/>
    <x v="4"/>
    <n v="341"/>
    <n v="20744.166666666701"/>
    <n v="74679"/>
  </r>
  <r>
    <x v="0"/>
    <x v="0"/>
    <x v="0"/>
    <x v="9"/>
    <x v="17"/>
    <s v="SE4A"/>
    <x v="7"/>
    <x v="7"/>
    <s v="GHYRS_WATER"/>
    <x v="7"/>
    <x v="5"/>
    <n v="341"/>
    <n v="20744.166666666701"/>
    <n v="74679"/>
  </r>
  <r>
    <x v="0"/>
    <x v="0"/>
    <x v="0"/>
    <x v="9"/>
    <x v="17"/>
    <s v="SE4A"/>
    <x v="7"/>
    <x v="7"/>
    <s v="GHYRS_WATER"/>
    <x v="7"/>
    <x v="6"/>
    <n v="341"/>
    <n v="20744.166666666701"/>
    <n v="74679"/>
  </r>
  <r>
    <x v="0"/>
    <x v="0"/>
    <x v="0"/>
    <x v="9"/>
    <x v="17"/>
    <s v="SE4A"/>
    <x v="7"/>
    <x v="7"/>
    <s v="GHYRS_WATER"/>
    <x v="7"/>
    <x v="7"/>
    <n v="341"/>
    <n v="20744.166666666701"/>
    <n v="74679"/>
  </r>
  <r>
    <x v="0"/>
    <x v="0"/>
    <x v="0"/>
    <x v="9"/>
    <x v="17"/>
    <s v="SE4A"/>
    <x v="7"/>
    <x v="7"/>
    <s v="GHYRS_WATER"/>
    <x v="7"/>
    <x v="8"/>
    <n v="341"/>
    <n v="20744.166666666701"/>
    <n v="74679"/>
  </r>
  <r>
    <x v="0"/>
    <x v="0"/>
    <x v="0"/>
    <x v="9"/>
    <x v="17"/>
    <s v="SE4A"/>
    <x v="7"/>
    <x v="7"/>
    <s v="GHYRS_WATER"/>
    <x v="7"/>
    <x v="9"/>
    <n v="341"/>
    <n v="20744.166666666701"/>
    <n v="74679"/>
  </r>
  <r>
    <x v="0"/>
    <x v="0"/>
    <x v="0"/>
    <x v="9"/>
    <x v="17"/>
    <s v="SE4A"/>
    <x v="7"/>
    <x v="7"/>
    <s v="GHYRS_WATER"/>
    <x v="7"/>
    <x v="10"/>
    <n v="341"/>
    <n v="20744.166666666701"/>
    <n v="74679"/>
  </r>
  <r>
    <x v="0"/>
    <x v="0"/>
    <x v="0"/>
    <x v="9"/>
    <x v="17"/>
    <s v="SE4A"/>
    <x v="7"/>
    <x v="7"/>
    <s v="GHYRS_WATER"/>
    <x v="7"/>
    <x v="11"/>
    <n v="341"/>
    <n v="20744.166666666701"/>
    <n v="74679"/>
  </r>
  <r>
    <x v="0"/>
    <x v="0"/>
    <x v="0"/>
    <x v="9"/>
    <x v="17"/>
    <s v="SE4A"/>
    <x v="7"/>
    <x v="7"/>
    <s v="GHYRS_WATER"/>
    <x v="8"/>
    <x v="0"/>
    <n v="341"/>
    <n v="20744.166666666701"/>
    <n v="74679"/>
  </r>
  <r>
    <x v="0"/>
    <x v="0"/>
    <x v="0"/>
    <x v="9"/>
    <x v="17"/>
    <s v="SE4A"/>
    <x v="7"/>
    <x v="7"/>
    <s v="GHYRS_WATER"/>
    <x v="8"/>
    <x v="1"/>
    <n v="341"/>
    <n v="20744.166666666701"/>
    <n v="74679"/>
  </r>
  <r>
    <x v="0"/>
    <x v="0"/>
    <x v="0"/>
    <x v="9"/>
    <x v="17"/>
    <s v="SE4A"/>
    <x v="7"/>
    <x v="7"/>
    <s v="GHYRS_WATER"/>
    <x v="8"/>
    <x v="2"/>
    <n v="341"/>
    <n v="20744.166666666701"/>
    <n v="74679"/>
  </r>
  <r>
    <x v="0"/>
    <x v="0"/>
    <x v="0"/>
    <x v="9"/>
    <x v="17"/>
    <s v="SE4A"/>
    <x v="7"/>
    <x v="7"/>
    <s v="GHYRS_WATER"/>
    <x v="8"/>
    <x v="3"/>
    <n v="341"/>
    <n v="20744.166666666701"/>
    <n v="74679"/>
  </r>
  <r>
    <x v="0"/>
    <x v="0"/>
    <x v="0"/>
    <x v="9"/>
    <x v="17"/>
    <s v="SE4A"/>
    <x v="7"/>
    <x v="7"/>
    <s v="GHYRS_WATER"/>
    <x v="8"/>
    <x v="4"/>
    <n v="341"/>
    <n v="20744.166666666701"/>
    <n v="74679"/>
  </r>
  <r>
    <x v="0"/>
    <x v="0"/>
    <x v="0"/>
    <x v="9"/>
    <x v="17"/>
    <s v="SE4A"/>
    <x v="7"/>
    <x v="7"/>
    <s v="GHYRS_WATER"/>
    <x v="8"/>
    <x v="5"/>
    <n v="341"/>
    <n v="20744.166666666701"/>
    <n v="74679"/>
  </r>
  <r>
    <x v="0"/>
    <x v="0"/>
    <x v="0"/>
    <x v="9"/>
    <x v="17"/>
    <s v="SE4A"/>
    <x v="7"/>
    <x v="7"/>
    <s v="GHYRS_WATER"/>
    <x v="8"/>
    <x v="6"/>
    <n v="341"/>
    <n v="20744.166666666701"/>
    <n v="74679"/>
  </r>
  <r>
    <x v="0"/>
    <x v="0"/>
    <x v="0"/>
    <x v="9"/>
    <x v="17"/>
    <s v="SE4A"/>
    <x v="7"/>
    <x v="7"/>
    <s v="GHYRS_WATER"/>
    <x v="8"/>
    <x v="7"/>
    <n v="341"/>
    <n v="20744.166666666701"/>
    <n v="74679"/>
  </r>
  <r>
    <x v="0"/>
    <x v="0"/>
    <x v="0"/>
    <x v="9"/>
    <x v="17"/>
    <s v="SE4A"/>
    <x v="7"/>
    <x v="7"/>
    <s v="GHYRS_WATER"/>
    <x v="8"/>
    <x v="8"/>
    <n v="341"/>
    <n v="20744.166666666701"/>
    <n v="74679"/>
  </r>
  <r>
    <x v="0"/>
    <x v="0"/>
    <x v="0"/>
    <x v="9"/>
    <x v="17"/>
    <s v="SE4A"/>
    <x v="7"/>
    <x v="7"/>
    <s v="GHYRS_WATER"/>
    <x v="8"/>
    <x v="9"/>
    <n v="341"/>
    <n v="20744.166666666701"/>
    <n v="74679"/>
  </r>
  <r>
    <x v="0"/>
    <x v="0"/>
    <x v="0"/>
    <x v="9"/>
    <x v="17"/>
    <s v="SE4A"/>
    <x v="7"/>
    <x v="7"/>
    <s v="GHYRS_WATER"/>
    <x v="8"/>
    <x v="10"/>
    <n v="341"/>
    <n v="20744.166666666701"/>
    <n v="74679"/>
  </r>
  <r>
    <x v="0"/>
    <x v="0"/>
    <x v="0"/>
    <x v="9"/>
    <x v="17"/>
    <s v="SE4A"/>
    <x v="7"/>
    <x v="7"/>
    <s v="GHYRS_WATER"/>
    <x v="8"/>
    <x v="11"/>
    <n v="341"/>
    <n v="20744.166666666701"/>
    <n v="74679"/>
  </r>
  <r>
    <x v="0"/>
    <x v="0"/>
    <x v="0"/>
    <x v="9"/>
    <x v="17"/>
    <s v="SE4A"/>
    <x v="7"/>
    <x v="7"/>
    <s v="GHYRS_WATER"/>
    <x v="9"/>
    <x v="0"/>
    <n v="341"/>
    <n v="20744.166666666701"/>
    <n v="74679"/>
  </r>
  <r>
    <x v="0"/>
    <x v="0"/>
    <x v="0"/>
    <x v="9"/>
    <x v="17"/>
    <s v="SE4A"/>
    <x v="7"/>
    <x v="7"/>
    <s v="GHYRS_WATER"/>
    <x v="9"/>
    <x v="1"/>
    <n v="341"/>
    <n v="20744.166666666701"/>
    <n v="74679"/>
  </r>
  <r>
    <x v="0"/>
    <x v="0"/>
    <x v="0"/>
    <x v="9"/>
    <x v="17"/>
    <s v="SE4A"/>
    <x v="7"/>
    <x v="7"/>
    <s v="GHYRS_WATER"/>
    <x v="9"/>
    <x v="2"/>
    <n v="341"/>
    <n v="20744.166666666701"/>
    <n v="74679"/>
  </r>
  <r>
    <x v="0"/>
    <x v="0"/>
    <x v="0"/>
    <x v="9"/>
    <x v="17"/>
    <s v="SE4A"/>
    <x v="7"/>
    <x v="7"/>
    <s v="GHYRS_WATER"/>
    <x v="9"/>
    <x v="3"/>
    <n v="341"/>
    <n v="20744.166666666701"/>
    <n v="74679"/>
  </r>
  <r>
    <x v="0"/>
    <x v="0"/>
    <x v="0"/>
    <x v="9"/>
    <x v="17"/>
    <s v="SE4A"/>
    <x v="7"/>
    <x v="7"/>
    <s v="GHYRS_WATER"/>
    <x v="9"/>
    <x v="4"/>
    <n v="341"/>
    <n v="20744.166666666701"/>
    <n v="74679"/>
  </r>
  <r>
    <x v="0"/>
    <x v="0"/>
    <x v="0"/>
    <x v="9"/>
    <x v="17"/>
    <s v="SE4A"/>
    <x v="7"/>
    <x v="7"/>
    <s v="GHYRS_WATER"/>
    <x v="9"/>
    <x v="5"/>
    <n v="341"/>
    <n v="20744.166666666701"/>
    <n v="74679"/>
  </r>
  <r>
    <x v="0"/>
    <x v="0"/>
    <x v="0"/>
    <x v="9"/>
    <x v="17"/>
    <s v="SE4A"/>
    <x v="7"/>
    <x v="7"/>
    <s v="GHYRS_WATER"/>
    <x v="9"/>
    <x v="6"/>
    <n v="341"/>
    <n v="20744.166666666701"/>
    <n v="74679"/>
  </r>
  <r>
    <x v="0"/>
    <x v="0"/>
    <x v="0"/>
    <x v="9"/>
    <x v="17"/>
    <s v="SE4A"/>
    <x v="7"/>
    <x v="7"/>
    <s v="GHYRS_WATER"/>
    <x v="9"/>
    <x v="7"/>
    <n v="341"/>
    <n v="20744.166666666701"/>
    <n v="74679"/>
  </r>
  <r>
    <x v="0"/>
    <x v="0"/>
    <x v="0"/>
    <x v="9"/>
    <x v="17"/>
    <s v="SE4A"/>
    <x v="7"/>
    <x v="7"/>
    <s v="GHYRS_WATER"/>
    <x v="9"/>
    <x v="8"/>
    <n v="341"/>
    <n v="20744.166666666701"/>
    <n v="74679"/>
  </r>
  <r>
    <x v="0"/>
    <x v="0"/>
    <x v="0"/>
    <x v="9"/>
    <x v="17"/>
    <s v="SE4A"/>
    <x v="7"/>
    <x v="7"/>
    <s v="GHYRS_WATER"/>
    <x v="9"/>
    <x v="9"/>
    <n v="341"/>
    <n v="20744.166666666701"/>
    <n v="74679"/>
  </r>
  <r>
    <x v="0"/>
    <x v="0"/>
    <x v="0"/>
    <x v="9"/>
    <x v="17"/>
    <s v="SE4A"/>
    <x v="7"/>
    <x v="7"/>
    <s v="GHYRS_WATER"/>
    <x v="9"/>
    <x v="10"/>
    <n v="341"/>
    <n v="20744.166666666701"/>
    <n v="74679"/>
  </r>
  <r>
    <x v="0"/>
    <x v="0"/>
    <x v="0"/>
    <x v="9"/>
    <x v="17"/>
    <s v="SE4A"/>
    <x v="7"/>
    <x v="7"/>
    <s v="GHYRS_WATER"/>
    <x v="9"/>
    <x v="11"/>
    <n v="341"/>
    <n v="20744.166666666701"/>
    <n v="74679"/>
  </r>
  <r>
    <x v="0"/>
    <x v="0"/>
    <x v="0"/>
    <x v="9"/>
    <x v="17"/>
    <s v="SE4A"/>
    <x v="7"/>
    <x v="7"/>
    <s v="GHYRS_WATER"/>
    <x v="10"/>
    <x v="0"/>
    <n v="341"/>
    <n v="20744.166666666701"/>
    <n v="74679"/>
  </r>
  <r>
    <x v="0"/>
    <x v="0"/>
    <x v="0"/>
    <x v="9"/>
    <x v="17"/>
    <s v="SE4A"/>
    <x v="7"/>
    <x v="7"/>
    <s v="GHYRS_WATER"/>
    <x v="10"/>
    <x v="1"/>
    <n v="341"/>
    <n v="20744.166666666701"/>
    <n v="74679"/>
  </r>
  <r>
    <x v="0"/>
    <x v="0"/>
    <x v="0"/>
    <x v="9"/>
    <x v="17"/>
    <s v="SE4A"/>
    <x v="7"/>
    <x v="7"/>
    <s v="GHYRS_WATER"/>
    <x v="10"/>
    <x v="2"/>
    <n v="341"/>
    <n v="20744.166666666701"/>
    <n v="74679"/>
  </r>
  <r>
    <x v="0"/>
    <x v="0"/>
    <x v="0"/>
    <x v="9"/>
    <x v="17"/>
    <s v="SE4A"/>
    <x v="7"/>
    <x v="7"/>
    <s v="GHYRS_WATER"/>
    <x v="10"/>
    <x v="3"/>
    <n v="341"/>
    <n v="20744.166666666701"/>
    <n v="74679"/>
  </r>
  <r>
    <x v="0"/>
    <x v="0"/>
    <x v="0"/>
    <x v="9"/>
    <x v="17"/>
    <s v="SE4A"/>
    <x v="7"/>
    <x v="7"/>
    <s v="GHYRS_WATER"/>
    <x v="10"/>
    <x v="4"/>
    <n v="341"/>
    <n v="20744.166666666701"/>
    <n v="74679"/>
  </r>
  <r>
    <x v="0"/>
    <x v="0"/>
    <x v="0"/>
    <x v="9"/>
    <x v="17"/>
    <s v="SE4A"/>
    <x v="7"/>
    <x v="7"/>
    <s v="GHYRS_WATER"/>
    <x v="10"/>
    <x v="5"/>
    <n v="341"/>
    <n v="20744.166666666701"/>
    <n v="74679"/>
  </r>
  <r>
    <x v="0"/>
    <x v="0"/>
    <x v="0"/>
    <x v="9"/>
    <x v="17"/>
    <s v="SE4A"/>
    <x v="7"/>
    <x v="7"/>
    <s v="GHYRS_WATER"/>
    <x v="10"/>
    <x v="6"/>
    <n v="341"/>
    <n v="20744.166666666701"/>
    <n v="74679"/>
  </r>
  <r>
    <x v="0"/>
    <x v="0"/>
    <x v="0"/>
    <x v="9"/>
    <x v="17"/>
    <s v="SE4A"/>
    <x v="7"/>
    <x v="7"/>
    <s v="GHYRS_WATER"/>
    <x v="10"/>
    <x v="7"/>
    <n v="341"/>
    <n v="20744.166666666701"/>
    <n v="74679"/>
  </r>
  <r>
    <x v="0"/>
    <x v="0"/>
    <x v="0"/>
    <x v="9"/>
    <x v="17"/>
    <s v="SE4A"/>
    <x v="7"/>
    <x v="7"/>
    <s v="GHYRS_WATER"/>
    <x v="10"/>
    <x v="8"/>
    <n v="341"/>
    <n v="20744.166666666701"/>
    <n v="74679"/>
  </r>
  <r>
    <x v="0"/>
    <x v="0"/>
    <x v="0"/>
    <x v="9"/>
    <x v="17"/>
    <s v="SE4A"/>
    <x v="7"/>
    <x v="7"/>
    <s v="GHYRS_WATER"/>
    <x v="10"/>
    <x v="9"/>
    <n v="341"/>
    <n v="20744.166666666701"/>
    <n v="74679"/>
  </r>
  <r>
    <x v="0"/>
    <x v="0"/>
    <x v="0"/>
    <x v="9"/>
    <x v="17"/>
    <s v="SE4A"/>
    <x v="7"/>
    <x v="7"/>
    <s v="GHYRS_WATER"/>
    <x v="10"/>
    <x v="10"/>
    <n v="341"/>
    <n v="20744.166666666701"/>
    <n v="74679"/>
  </r>
  <r>
    <x v="0"/>
    <x v="0"/>
    <x v="0"/>
    <x v="9"/>
    <x v="17"/>
    <s v="SE4A"/>
    <x v="7"/>
    <x v="7"/>
    <s v="GHYRS_WATER"/>
    <x v="10"/>
    <x v="11"/>
    <n v="341"/>
    <n v="20744.166666666701"/>
    <n v="74679"/>
  </r>
  <r>
    <x v="0"/>
    <x v="0"/>
    <x v="0"/>
    <x v="9"/>
    <x v="17"/>
    <s v="SE4A"/>
    <x v="7"/>
    <x v="7"/>
    <s v="GHYRS_WATER"/>
    <x v="11"/>
    <x v="0"/>
    <n v="341"/>
    <n v="20744.166666666701"/>
    <n v="74679"/>
  </r>
  <r>
    <x v="0"/>
    <x v="0"/>
    <x v="0"/>
    <x v="9"/>
    <x v="17"/>
    <s v="SE4A"/>
    <x v="7"/>
    <x v="7"/>
    <s v="GHYRS_WATER"/>
    <x v="11"/>
    <x v="1"/>
    <n v="341"/>
    <n v="20744.166666666701"/>
    <n v="74679"/>
  </r>
  <r>
    <x v="0"/>
    <x v="0"/>
    <x v="0"/>
    <x v="9"/>
    <x v="17"/>
    <s v="SE4A"/>
    <x v="7"/>
    <x v="7"/>
    <s v="GHYRS_WATER"/>
    <x v="11"/>
    <x v="2"/>
    <n v="341"/>
    <n v="20744.166666666701"/>
    <n v="74679"/>
  </r>
  <r>
    <x v="0"/>
    <x v="0"/>
    <x v="0"/>
    <x v="9"/>
    <x v="17"/>
    <s v="SE4A"/>
    <x v="7"/>
    <x v="7"/>
    <s v="GHYRS_WATER"/>
    <x v="11"/>
    <x v="3"/>
    <n v="341"/>
    <n v="20744.166666666701"/>
    <n v="74679"/>
  </r>
  <r>
    <x v="0"/>
    <x v="0"/>
    <x v="0"/>
    <x v="9"/>
    <x v="17"/>
    <s v="SE4A"/>
    <x v="7"/>
    <x v="7"/>
    <s v="GHYRS_WATER"/>
    <x v="11"/>
    <x v="4"/>
    <n v="341"/>
    <n v="20744.166666666701"/>
    <n v="74679"/>
  </r>
  <r>
    <x v="0"/>
    <x v="0"/>
    <x v="0"/>
    <x v="9"/>
    <x v="17"/>
    <s v="SE4A"/>
    <x v="7"/>
    <x v="7"/>
    <s v="GHYRS_WATER"/>
    <x v="11"/>
    <x v="5"/>
    <n v="341"/>
    <n v="20744.166666666701"/>
    <n v="74679"/>
  </r>
  <r>
    <x v="0"/>
    <x v="0"/>
    <x v="0"/>
    <x v="9"/>
    <x v="17"/>
    <s v="SE4A"/>
    <x v="7"/>
    <x v="7"/>
    <s v="GHYRS_WATER"/>
    <x v="11"/>
    <x v="6"/>
    <n v="341"/>
    <n v="20744.166666666701"/>
    <n v="74679"/>
  </r>
  <r>
    <x v="0"/>
    <x v="0"/>
    <x v="0"/>
    <x v="9"/>
    <x v="17"/>
    <s v="SE4A"/>
    <x v="7"/>
    <x v="7"/>
    <s v="GHYRS_WATER"/>
    <x v="11"/>
    <x v="7"/>
    <n v="341"/>
    <n v="20744.166666666701"/>
    <n v="74679"/>
  </r>
  <r>
    <x v="0"/>
    <x v="0"/>
    <x v="0"/>
    <x v="9"/>
    <x v="17"/>
    <s v="SE4A"/>
    <x v="7"/>
    <x v="7"/>
    <s v="GHYRS_WATER"/>
    <x v="11"/>
    <x v="8"/>
    <n v="341"/>
    <n v="20744.166666666701"/>
    <n v="74679"/>
  </r>
  <r>
    <x v="0"/>
    <x v="0"/>
    <x v="0"/>
    <x v="9"/>
    <x v="17"/>
    <s v="SE4A"/>
    <x v="7"/>
    <x v="7"/>
    <s v="GHYRS_WATER"/>
    <x v="11"/>
    <x v="9"/>
    <n v="341"/>
    <n v="20744.166666666701"/>
    <n v="74679"/>
  </r>
  <r>
    <x v="0"/>
    <x v="0"/>
    <x v="0"/>
    <x v="9"/>
    <x v="17"/>
    <s v="SE4A"/>
    <x v="7"/>
    <x v="7"/>
    <s v="GHYRS_WATER"/>
    <x v="11"/>
    <x v="10"/>
    <n v="341"/>
    <n v="20744.166666666701"/>
    <n v="74679"/>
  </r>
  <r>
    <x v="0"/>
    <x v="0"/>
    <x v="0"/>
    <x v="9"/>
    <x v="17"/>
    <s v="SE4A"/>
    <x v="7"/>
    <x v="7"/>
    <s v="GHYRS_WATER"/>
    <x v="11"/>
    <x v="11"/>
    <n v="341"/>
    <n v="20744.166666666701"/>
    <n v="74679"/>
  </r>
  <r>
    <x v="0"/>
    <x v="0"/>
    <x v="0"/>
    <x v="9"/>
    <x v="17"/>
    <s v="SE4A"/>
    <x v="0"/>
    <x v="0"/>
    <s v="GWND_WIND"/>
    <x v="0"/>
    <x v="0"/>
    <n v="266.52846189399497"/>
    <n v="16213.814765218"/>
    <n v="58369.733154784903"/>
  </r>
  <r>
    <x v="0"/>
    <x v="0"/>
    <x v="0"/>
    <x v="9"/>
    <x v="17"/>
    <s v="SE4A"/>
    <x v="0"/>
    <x v="0"/>
    <s v="GWND_WIND"/>
    <x v="0"/>
    <x v="1"/>
    <n v="286.13920068482702"/>
    <n v="17406.8013749936"/>
    <n v="62664.484949977101"/>
  </r>
  <r>
    <x v="0"/>
    <x v="0"/>
    <x v="0"/>
    <x v="9"/>
    <x v="17"/>
    <s v="SE4A"/>
    <x v="0"/>
    <x v="0"/>
    <s v="GWND_WIND"/>
    <x v="0"/>
    <x v="2"/>
    <n v="400.68535061922199"/>
    <n v="24375.025496002701"/>
    <n v="87750.091785609693"/>
  </r>
  <r>
    <x v="0"/>
    <x v="0"/>
    <x v="0"/>
    <x v="9"/>
    <x v="17"/>
    <s v="SE4A"/>
    <x v="0"/>
    <x v="0"/>
    <s v="GWND_WIND"/>
    <x v="0"/>
    <x v="3"/>
    <n v="448.66453576633501"/>
    <n v="27293.759259118699"/>
    <n v="98257.533332827297"/>
  </r>
  <r>
    <x v="0"/>
    <x v="0"/>
    <x v="0"/>
    <x v="9"/>
    <x v="17"/>
    <s v="SE4A"/>
    <x v="0"/>
    <x v="0"/>
    <s v="GWND_WIND"/>
    <x v="0"/>
    <x v="4"/>
    <n v="373.46357845183297"/>
    <n v="22719.0343558198"/>
    <n v="81788.523680951301"/>
  </r>
  <r>
    <x v="0"/>
    <x v="0"/>
    <x v="0"/>
    <x v="9"/>
    <x v="17"/>
    <s v="SE4A"/>
    <x v="0"/>
    <x v="0"/>
    <s v="GWND_WIND"/>
    <x v="0"/>
    <x v="5"/>
    <n v="313.19734657603902"/>
    <n v="19052.838583375698"/>
    <n v="68590.218900152395"/>
  </r>
  <r>
    <x v="0"/>
    <x v="0"/>
    <x v="0"/>
    <x v="9"/>
    <x v="17"/>
    <s v="SE4A"/>
    <x v="0"/>
    <x v="0"/>
    <s v="GWND_WIND"/>
    <x v="0"/>
    <x v="6"/>
    <n v="412.64095366328303"/>
    <n v="25102.324681182999"/>
    <n v="90368.368852258893"/>
  </r>
  <r>
    <x v="0"/>
    <x v="0"/>
    <x v="0"/>
    <x v="9"/>
    <x v="17"/>
    <s v="SE4A"/>
    <x v="0"/>
    <x v="0"/>
    <s v="GWND_WIND"/>
    <x v="0"/>
    <x v="7"/>
    <n v="523.41137209037595"/>
    <n v="31840.8584688312"/>
    <n v="114627.090487792"/>
  </r>
  <r>
    <x v="0"/>
    <x v="0"/>
    <x v="0"/>
    <x v="9"/>
    <x v="17"/>
    <s v="SE4A"/>
    <x v="0"/>
    <x v="0"/>
    <s v="GWND_WIND"/>
    <x v="0"/>
    <x v="8"/>
    <n v="506.69052075938401"/>
    <n v="30823.673346195901"/>
    <n v="110965.224046305"/>
  </r>
  <r>
    <x v="0"/>
    <x v="0"/>
    <x v="0"/>
    <x v="9"/>
    <x v="17"/>
    <s v="SE4A"/>
    <x v="0"/>
    <x v="0"/>
    <s v="GWND_WIND"/>
    <x v="0"/>
    <x v="9"/>
    <n v="555.27348775759106"/>
    <n v="33779.137171920098"/>
    <n v="121604.89381891199"/>
  </r>
  <r>
    <x v="0"/>
    <x v="0"/>
    <x v="0"/>
    <x v="9"/>
    <x v="17"/>
    <s v="SE4A"/>
    <x v="0"/>
    <x v="0"/>
    <s v="GWND_WIND"/>
    <x v="0"/>
    <x v="10"/>
    <n v="477.19133304975901"/>
    <n v="29029.139427193699"/>
    <n v="104504.901937897"/>
  </r>
  <r>
    <x v="0"/>
    <x v="0"/>
    <x v="0"/>
    <x v="9"/>
    <x v="17"/>
    <s v="SE4A"/>
    <x v="0"/>
    <x v="0"/>
    <s v="GWND_WIND"/>
    <x v="0"/>
    <x v="11"/>
    <n v="423.68389745392602"/>
    <n v="25774.103761780501"/>
    <n v="92786.773542409894"/>
  </r>
  <r>
    <x v="0"/>
    <x v="0"/>
    <x v="0"/>
    <x v="9"/>
    <x v="17"/>
    <s v="SE4A"/>
    <x v="0"/>
    <x v="0"/>
    <s v="GWND_WIND"/>
    <x v="1"/>
    <x v="0"/>
    <n v="102.623310840676"/>
    <n v="6242.9180761411499"/>
    <n v="22474.5050741081"/>
  </r>
  <r>
    <x v="0"/>
    <x v="0"/>
    <x v="0"/>
    <x v="9"/>
    <x v="17"/>
    <s v="SE4A"/>
    <x v="0"/>
    <x v="0"/>
    <s v="GWND_WIND"/>
    <x v="1"/>
    <x v="1"/>
    <n v="97.3975417947712"/>
    <n v="5925.0171258485798"/>
    <n v="21330.061653054901"/>
  </r>
  <r>
    <x v="0"/>
    <x v="0"/>
    <x v="0"/>
    <x v="9"/>
    <x v="17"/>
    <s v="SE4A"/>
    <x v="0"/>
    <x v="0"/>
    <s v="GWND_WIND"/>
    <x v="1"/>
    <x v="2"/>
    <n v="92.426216941462897"/>
    <n v="5622.5948639389899"/>
    <n v="20241.341510180398"/>
  </r>
  <r>
    <x v="0"/>
    <x v="0"/>
    <x v="0"/>
    <x v="9"/>
    <x v="17"/>
    <s v="SE4A"/>
    <x v="0"/>
    <x v="0"/>
    <s v="GWND_WIND"/>
    <x v="1"/>
    <x v="3"/>
    <n v="87.532866495837098"/>
    <n v="5324.9160451634198"/>
    <n v="19169.697762588301"/>
  </r>
  <r>
    <x v="0"/>
    <x v="0"/>
    <x v="0"/>
    <x v="9"/>
    <x v="17"/>
    <s v="SE4A"/>
    <x v="0"/>
    <x v="0"/>
    <s v="GWND_WIND"/>
    <x v="1"/>
    <x v="4"/>
    <n v="72.183386055394607"/>
    <n v="4391.1559850365002"/>
    <n v="15808.1615461314"/>
  </r>
  <r>
    <x v="0"/>
    <x v="0"/>
    <x v="0"/>
    <x v="9"/>
    <x v="17"/>
    <s v="SE4A"/>
    <x v="0"/>
    <x v="0"/>
    <s v="GWND_WIND"/>
    <x v="1"/>
    <x v="5"/>
    <n v="66.558626494464093"/>
    <n v="4048.9831117465601"/>
    <n v="14576.3392022876"/>
  </r>
  <r>
    <x v="0"/>
    <x v="0"/>
    <x v="0"/>
    <x v="9"/>
    <x v="17"/>
    <s v="SE4A"/>
    <x v="0"/>
    <x v="0"/>
    <s v="GWND_WIND"/>
    <x v="1"/>
    <x v="6"/>
    <n v="55.155859676653499"/>
    <n v="3355.3147969964198"/>
    <n v="12079.133269187099"/>
  </r>
  <r>
    <x v="0"/>
    <x v="0"/>
    <x v="0"/>
    <x v="9"/>
    <x v="17"/>
    <s v="SE4A"/>
    <x v="0"/>
    <x v="0"/>
    <s v="GWND_WIND"/>
    <x v="1"/>
    <x v="7"/>
    <n v="39.2690449227362"/>
    <n v="2388.8668994664499"/>
    <n v="8599.9208380792206"/>
  </r>
  <r>
    <x v="0"/>
    <x v="0"/>
    <x v="0"/>
    <x v="9"/>
    <x v="17"/>
    <s v="SE4A"/>
    <x v="0"/>
    <x v="0"/>
    <s v="GWND_WIND"/>
    <x v="1"/>
    <x v="8"/>
    <n v="31.620973545487299"/>
    <n v="1923.6092240171399"/>
    <n v="6924.9932064617096"/>
  </r>
  <r>
    <x v="0"/>
    <x v="0"/>
    <x v="0"/>
    <x v="9"/>
    <x v="17"/>
    <s v="SE4A"/>
    <x v="0"/>
    <x v="0"/>
    <s v="GWND_WIND"/>
    <x v="1"/>
    <x v="9"/>
    <n v="33.2454179675725"/>
    <n v="2022.4295930273299"/>
    <n v="7280.7465348983696"/>
  </r>
  <r>
    <x v="0"/>
    <x v="0"/>
    <x v="0"/>
    <x v="9"/>
    <x v="17"/>
    <s v="SE4A"/>
    <x v="0"/>
    <x v="0"/>
    <s v="GWND_WIND"/>
    <x v="1"/>
    <x v="10"/>
    <n v="31.090843054676601"/>
    <n v="1891.3596191595"/>
    <n v="6808.8946289741798"/>
  </r>
  <r>
    <x v="0"/>
    <x v="0"/>
    <x v="0"/>
    <x v="9"/>
    <x v="17"/>
    <s v="SE4A"/>
    <x v="0"/>
    <x v="0"/>
    <s v="GWND_WIND"/>
    <x v="1"/>
    <x v="11"/>
    <n v="32.437775724357301"/>
    <n v="1973.29802323173"/>
    <n v="7103.8728836342398"/>
  </r>
  <r>
    <x v="0"/>
    <x v="0"/>
    <x v="0"/>
    <x v="9"/>
    <x v="17"/>
    <s v="SE4A"/>
    <x v="0"/>
    <x v="0"/>
    <s v="GWND_WIND"/>
    <x v="2"/>
    <x v="0"/>
    <n v="20.011801001631799"/>
    <n v="1217.3845609325999"/>
    <n v="4382.5844193573603"/>
  </r>
  <r>
    <x v="0"/>
    <x v="0"/>
    <x v="0"/>
    <x v="9"/>
    <x v="17"/>
    <s v="SE4A"/>
    <x v="0"/>
    <x v="0"/>
    <s v="GWND_WIND"/>
    <x v="2"/>
    <x v="1"/>
    <n v="12.9681107470866"/>
    <n v="788.89340378110296"/>
    <n v="2840.0162536119701"/>
  </r>
  <r>
    <x v="0"/>
    <x v="0"/>
    <x v="0"/>
    <x v="9"/>
    <x v="17"/>
    <s v="SE4A"/>
    <x v="0"/>
    <x v="0"/>
    <s v="GWND_WIND"/>
    <x v="2"/>
    <x v="2"/>
    <n v="17.783508142718301"/>
    <n v="1081.83007868203"/>
    <n v="3894.5882832553002"/>
  </r>
  <r>
    <x v="0"/>
    <x v="0"/>
    <x v="0"/>
    <x v="9"/>
    <x v="17"/>
    <s v="SE4A"/>
    <x v="0"/>
    <x v="0"/>
    <s v="GWND_WIND"/>
    <x v="2"/>
    <x v="3"/>
    <n v="33.833430306618801"/>
    <n v="2058.2003436526402"/>
    <n v="7409.5212371495199"/>
  </r>
  <r>
    <x v="0"/>
    <x v="0"/>
    <x v="0"/>
    <x v="9"/>
    <x v="17"/>
    <s v="SE4A"/>
    <x v="0"/>
    <x v="0"/>
    <s v="GWND_WIND"/>
    <x v="2"/>
    <x v="4"/>
    <n v="52.8409513405974"/>
    <n v="3214.4912065530102"/>
    <n v="11572.1683435908"/>
  </r>
  <r>
    <x v="0"/>
    <x v="0"/>
    <x v="0"/>
    <x v="9"/>
    <x v="17"/>
    <s v="SE4A"/>
    <x v="0"/>
    <x v="0"/>
    <s v="GWND_WIND"/>
    <x v="2"/>
    <x v="5"/>
    <n v="55.346227035043903"/>
    <n v="3366.8954779651699"/>
    <n v="12120.8237206746"/>
  </r>
  <r>
    <x v="0"/>
    <x v="0"/>
    <x v="0"/>
    <x v="9"/>
    <x v="17"/>
    <s v="SE4A"/>
    <x v="0"/>
    <x v="0"/>
    <s v="GWND_WIND"/>
    <x v="2"/>
    <x v="6"/>
    <n v="41.221824857612503"/>
    <n v="2507.6610121714298"/>
    <n v="9027.5796438171401"/>
  </r>
  <r>
    <x v="0"/>
    <x v="0"/>
    <x v="0"/>
    <x v="9"/>
    <x v="17"/>
    <s v="SE4A"/>
    <x v="0"/>
    <x v="0"/>
    <s v="GWND_WIND"/>
    <x v="2"/>
    <x v="7"/>
    <n v="46.058646527379501"/>
    <n v="2801.9009970822499"/>
    <n v="10086.8435894961"/>
  </r>
  <r>
    <x v="0"/>
    <x v="0"/>
    <x v="0"/>
    <x v="9"/>
    <x v="17"/>
    <s v="SE4A"/>
    <x v="0"/>
    <x v="0"/>
    <s v="GWND_WIND"/>
    <x v="2"/>
    <x v="8"/>
    <n v="45.513432483219397"/>
    <n v="2768.7338093958501"/>
    <n v="9967.4417138250392"/>
  </r>
  <r>
    <x v="0"/>
    <x v="0"/>
    <x v="0"/>
    <x v="9"/>
    <x v="17"/>
    <s v="SE4A"/>
    <x v="0"/>
    <x v="0"/>
    <s v="GWND_WIND"/>
    <x v="2"/>
    <x v="9"/>
    <n v="36.445013266913598"/>
    <n v="2217.0716404039099"/>
    <n v="7981.45790545408"/>
  </r>
  <r>
    <x v="0"/>
    <x v="0"/>
    <x v="0"/>
    <x v="9"/>
    <x v="17"/>
    <s v="SE4A"/>
    <x v="0"/>
    <x v="0"/>
    <s v="GWND_WIND"/>
    <x v="2"/>
    <x v="10"/>
    <n v="36.212855193995701"/>
    <n v="2202.94869096807"/>
    <n v="7930.6152874850504"/>
  </r>
  <r>
    <x v="0"/>
    <x v="0"/>
    <x v="0"/>
    <x v="9"/>
    <x v="17"/>
    <s v="SE4A"/>
    <x v="0"/>
    <x v="0"/>
    <s v="GWND_WIND"/>
    <x v="2"/>
    <x v="11"/>
    <n v="32.456825526076301"/>
    <n v="1974.45688616964"/>
    <n v="7108.0447902106998"/>
  </r>
  <r>
    <x v="0"/>
    <x v="0"/>
    <x v="0"/>
    <x v="9"/>
    <x v="17"/>
    <s v="SE4A"/>
    <x v="0"/>
    <x v="0"/>
    <s v="GWND_WIND"/>
    <x v="3"/>
    <x v="0"/>
    <n v="467.39423473326002"/>
    <n v="28433.149279606601"/>
    <n v="102359.337406584"/>
  </r>
  <r>
    <x v="0"/>
    <x v="0"/>
    <x v="0"/>
    <x v="9"/>
    <x v="17"/>
    <s v="SE4A"/>
    <x v="0"/>
    <x v="0"/>
    <s v="GWND_WIND"/>
    <x v="3"/>
    <x v="1"/>
    <n v="386.678140590716"/>
    <n v="23522.920219268501"/>
    <n v="84682.512789366796"/>
  </r>
  <r>
    <x v="0"/>
    <x v="0"/>
    <x v="0"/>
    <x v="9"/>
    <x v="17"/>
    <s v="SE4A"/>
    <x v="0"/>
    <x v="0"/>
    <s v="GWND_WIND"/>
    <x v="3"/>
    <x v="2"/>
    <n v="361.440952468901"/>
    <n v="21987.657941858099"/>
    <n v="79155.568590689305"/>
  </r>
  <r>
    <x v="0"/>
    <x v="0"/>
    <x v="0"/>
    <x v="9"/>
    <x v="17"/>
    <s v="SE4A"/>
    <x v="0"/>
    <x v="0"/>
    <s v="GWND_WIND"/>
    <x v="3"/>
    <x v="3"/>
    <n v="349.30218463277902"/>
    <n v="21249.216231827399"/>
    <n v="76497.1784345786"/>
  </r>
  <r>
    <x v="0"/>
    <x v="0"/>
    <x v="0"/>
    <x v="9"/>
    <x v="17"/>
    <s v="SE4A"/>
    <x v="0"/>
    <x v="0"/>
    <s v="GWND_WIND"/>
    <x v="3"/>
    <x v="4"/>
    <n v="316.07463174338699"/>
    <n v="19227.873431055999"/>
    <n v="69220.344351801701"/>
  </r>
  <r>
    <x v="0"/>
    <x v="0"/>
    <x v="0"/>
    <x v="9"/>
    <x v="17"/>
    <s v="SE4A"/>
    <x v="0"/>
    <x v="0"/>
    <s v="GWND_WIND"/>
    <x v="3"/>
    <x v="5"/>
    <n v="299.35549279647"/>
    <n v="18210.792478452"/>
    <n v="65558.852922427002"/>
  </r>
  <r>
    <x v="0"/>
    <x v="0"/>
    <x v="0"/>
    <x v="9"/>
    <x v="17"/>
    <s v="SE4A"/>
    <x v="0"/>
    <x v="0"/>
    <s v="GWND_WIND"/>
    <x v="3"/>
    <x v="6"/>
    <n v="281.41828090833798"/>
    <n v="17119.612088590598"/>
    <n v="61630.603518926102"/>
  </r>
  <r>
    <x v="0"/>
    <x v="0"/>
    <x v="0"/>
    <x v="9"/>
    <x v="17"/>
    <s v="SE4A"/>
    <x v="0"/>
    <x v="0"/>
    <s v="GWND_WIND"/>
    <x v="3"/>
    <x v="7"/>
    <n v="257.171385980943"/>
    <n v="15644.592647174"/>
    <n v="56320.5335298266"/>
  </r>
  <r>
    <x v="0"/>
    <x v="0"/>
    <x v="0"/>
    <x v="9"/>
    <x v="17"/>
    <s v="SE4A"/>
    <x v="0"/>
    <x v="0"/>
    <s v="GWND_WIND"/>
    <x v="3"/>
    <x v="8"/>
    <n v="246.09644711674099"/>
    <n v="14970.8671996017"/>
    <n v="53895.121918566198"/>
  </r>
  <r>
    <x v="0"/>
    <x v="0"/>
    <x v="0"/>
    <x v="9"/>
    <x v="17"/>
    <s v="SE4A"/>
    <x v="0"/>
    <x v="0"/>
    <s v="GWND_WIND"/>
    <x v="3"/>
    <x v="9"/>
    <n v="231.706580179497"/>
    <n v="14095.4836275861"/>
    <n v="50743.741059309898"/>
  </r>
  <r>
    <x v="0"/>
    <x v="0"/>
    <x v="0"/>
    <x v="9"/>
    <x v="17"/>
    <s v="SE4A"/>
    <x v="0"/>
    <x v="0"/>
    <s v="GWND_WIND"/>
    <x v="3"/>
    <x v="10"/>
    <n v="196.444676061552"/>
    <n v="11950.3844604111"/>
    <n v="43021.384057479998"/>
  </r>
  <r>
    <x v="0"/>
    <x v="0"/>
    <x v="0"/>
    <x v="9"/>
    <x v="17"/>
    <s v="SE4A"/>
    <x v="0"/>
    <x v="0"/>
    <s v="GWND_WIND"/>
    <x v="3"/>
    <x v="11"/>
    <n v="164.02856205857199"/>
    <n v="9978.4041918964704"/>
    <n v="35922.255090827297"/>
  </r>
  <r>
    <x v="0"/>
    <x v="0"/>
    <x v="0"/>
    <x v="9"/>
    <x v="17"/>
    <s v="SE4A"/>
    <x v="0"/>
    <x v="0"/>
    <s v="GWND_WIND"/>
    <x v="4"/>
    <x v="0"/>
    <n v="675.46124721272997"/>
    <n v="41090.559205441103"/>
    <n v="147926.013139588"/>
  </r>
  <r>
    <x v="0"/>
    <x v="0"/>
    <x v="0"/>
    <x v="9"/>
    <x v="17"/>
    <s v="SE4A"/>
    <x v="0"/>
    <x v="0"/>
    <s v="GWND_WIND"/>
    <x v="4"/>
    <x v="1"/>
    <n v="648.563238756479"/>
    <n v="39454.263691019201"/>
    <n v="142035.349287669"/>
  </r>
  <r>
    <x v="0"/>
    <x v="0"/>
    <x v="0"/>
    <x v="9"/>
    <x v="17"/>
    <s v="SE4A"/>
    <x v="0"/>
    <x v="0"/>
    <s v="GWND_WIND"/>
    <x v="4"/>
    <x v="2"/>
    <n v="591.57309788187104"/>
    <n v="35987.363454480503"/>
    <n v="129554.50843613"/>
  </r>
  <r>
    <x v="0"/>
    <x v="0"/>
    <x v="0"/>
    <x v="9"/>
    <x v="17"/>
    <s v="SE4A"/>
    <x v="0"/>
    <x v="0"/>
    <s v="GWND_WIND"/>
    <x v="4"/>
    <x v="3"/>
    <n v="594.95862190941898"/>
    <n v="36193.316166156299"/>
    <n v="130295.938198163"/>
  </r>
  <r>
    <x v="0"/>
    <x v="0"/>
    <x v="0"/>
    <x v="9"/>
    <x v="17"/>
    <s v="SE4A"/>
    <x v="0"/>
    <x v="0"/>
    <s v="GWND_WIND"/>
    <x v="4"/>
    <x v="4"/>
    <n v="569.91664305958795"/>
    <n v="34669.929119458298"/>
    <n v="124811.74483005"/>
  </r>
  <r>
    <x v="0"/>
    <x v="0"/>
    <x v="0"/>
    <x v="9"/>
    <x v="17"/>
    <s v="SE4A"/>
    <x v="0"/>
    <x v="0"/>
    <s v="GWND_WIND"/>
    <x v="4"/>
    <x v="5"/>
    <n v="566.02236004931103"/>
    <n v="34433.026902999802"/>
    <n v="123958.89685079901"/>
  </r>
  <r>
    <x v="0"/>
    <x v="0"/>
    <x v="0"/>
    <x v="9"/>
    <x v="17"/>
    <s v="SE4A"/>
    <x v="0"/>
    <x v="0"/>
    <s v="GWND_WIND"/>
    <x v="4"/>
    <x v="6"/>
    <n v="545.74537319415094"/>
    <n v="33199.510202644196"/>
    <n v="119518.23672951901"/>
  </r>
  <r>
    <x v="0"/>
    <x v="0"/>
    <x v="0"/>
    <x v="9"/>
    <x v="17"/>
    <s v="SE4A"/>
    <x v="0"/>
    <x v="0"/>
    <s v="GWND_WIND"/>
    <x v="4"/>
    <x v="7"/>
    <n v="518.85399944098504"/>
    <n v="31563.618299326601"/>
    <n v="113629.025877576"/>
  </r>
  <r>
    <x v="0"/>
    <x v="0"/>
    <x v="0"/>
    <x v="9"/>
    <x v="17"/>
    <s v="SE4A"/>
    <x v="0"/>
    <x v="0"/>
    <s v="GWND_WIND"/>
    <x v="4"/>
    <x v="8"/>
    <n v="502.62937012963101"/>
    <n v="30576.6200162192"/>
    <n v="110075.832058389"/>
  </r>
  <r>
    <x v="0"/>
    <x v="0"/>
    <x v="0"/>
    <x v="9"/>
    <x v="17"/>
    <s v="SE4A"/>
    <x v="0"/>
    <x v="0"/>
    <s v="GWND_WIND"/>
    <x v="4"/>
    <x v="9"/>
    <n v="483.14561535968897"/>
    <n v="29391.3582677144"/>
    <n v="105808.88976377199"/>
  </r>
  <r>
    <x v="0"/>
    <x v="0"/>
    <x v="0"/>
    <x v="9"/>
    <x v="17"/>
    <s v="SE4A"/>
    <x v="0"/>
    <x v="0"/>
    <s v="GWND_WIND"/>
    <x v="4"/>
    <x v="10"/>
    <n v="502.03691413506198"/>
    <n v="30540.5789432163"/>
    <n v="109946.08419557899"/>
  </r>
  <r>
    <x v="0"/>
    <x v="0"/>
    <x v="0"/>
    <x v="9"/>
    <x v="17"/>
    <s v="SE4A"/>
    <x v="0"/>
    <x v="0"/>
    <s v="GWND_WIND"/>
    <x v="4"/>
    <x v="11"/>
    <n v="576.34940668810202"/>
    <n v="35061.255573526199"/>
    <n v="126220.52006469401"/>
  </r>
  <r>
    <x v="0"/>
    <x v="0"/>
    <x v="0"/>
    <x v="9"/>
    <x v="17"/>
    <s v="SE4A"/>
    <x v="0"/>
    <x v="0"/>
    <s v="GWND_WIND"/>
    <x v="5"/>
    <x v="0"/>
    <n v="225.642438945772"/>
    <n v="13726.5817025344"/>
    <n v="49415.694129124"/>
  </r>
  <r>
    <x v="0"/>
    <x v="0"/>
    <x v="0"/>
    <x v="9"/>
    <x v="17"/>
    <s v="SE4A"/>
    <x v="0"/>
    <x v="0"/>
    <s v="GWND_WIND"/>
    <x v="5"/>
    <x v="1"/>
    <n v="205.60400616303801"/>
    <n v="12507.5770415848"/>
    <n v="45027.2773497054"/>
  </r>
  <r>
    <x v="0"/>
    <x v="0"/>
    <x v="0"/>
    <x v="9"/>
    <x v="17"/>
    <s v="SE4A"/>
    <x v="0"/>
    <x v="0"/>
    <s v="GWND_WIND"/>
    <x v="5"/>
    <x v="2"/>
    <n v="192.466105562168"/>
    <n v="11708.3547550319"/>
    <n v="42150.077118114903"/>
  </r>
  <r>
    <x v="0"/>
    <x v="0"/>
    <x v="0"/>
    <x v="9"/>
    <x v="17"/>
    <s v="SE4A"/>
    <x v="0"/>
    <x v="0"/>
    <s v="GWND_WIND"/>
    <x v="5"/>
    <x v="3"/>
    <n v="181.249487331122"/>
    <n v="11026.0104793099"/>
    <n v="39693.637725515699"/>
  </r>
  <r>
    <x v="0"/>
    <x v="0"/>
    <x v="0"/>
    <x v="9"/>
    <x v="17"/>
    <s v="SE4A"/>
    <x v="0"/>
    <x v="0"/>
    <s v="GWND_WIND"/>
    <x v="5"/>
    <x v="4"/>
    <n v="180.86259029307001"/>
    <n v="11002.474242828401"/>
    <n v="39608.907274182297"/>
  </r>
  <r>
    <x v="0"/>
    <x v="0"/>
    <x v="0"/>
    <x v="9"/>
    <x v="17"/>
    <s v="SE4A"/>
    <x v="0"/>
    <x v="0"/>
    <s v="GWND_WIND"/>
    <x v="5"/>
    <x v="5"/>
    <n v="175.801270422513"/>
    <n v="10694.577284036201"/>
    <n v="38500.478222530401"/>
  </r>
  <r>
    <x v="0"/>
    <x v="0"/>
    <x v="0"/>
    <x v="9"/>
    <x v="17"/>
    <s v="SE4A"/>
    <x v="0"/>
    <x v="0"/>
    <s v="GWND_WIND"/>
    <x v="5"/>
    <x v="6"/>
    <n v="170.88345662932599"/>
    <n v="10395.410278284"/>
    <n v="37423.477001822503"/>
  </r>
  <r>
    <x v="0"/>
    <x v="0"/>
    <x v="0"/>
    <x v="9"/>
    <x v="17"/>
    <s v="SE4A"/>
    <x v="0"/>
    <x v="0"/>
    <s v="GWND_WIND"/>
    <x v="5"/>
    <x v="7"/>
    <n v="163.87480680343899"/>
    <n v="9969.0507472092195"/>
    <n v="35888.582689953197"/>
  </r>
  <r>
    <x v="0"/>
    <x v="0"/>
    <x v="0"/>
    <x v="9"/>
    <x v="17"/>
    <s v="SE4A"/>
    <x v="0"/>
    <x v="0"/>
    <s v="GWND_WIND"/>
    <x v="5"/>
    <x v="8"/>
    <n v="154.062784488087"/>
    <n v="9372.1527230252595"/>
    <n v="33739.749802890903"/>
  </r>
  <r>
    <x v="0"/>
    <x v="0"/>
    <x v="0"/>
    <x v="9"/>
    <x v="17"/>
    <s v="SE4A"/>
    <x v="0"/>
    <x v="0"/>
    <s v="GWND_WIND"/>
    <x v="5"/>
    <x v="9"/>
    <n v="128.64345674325401"/>
    <n v="7825.8102852146103"/>
    <n v="28172.9170267726"/>
  </r>
  <r>
    <x v="0"/>
    <x v="0"/>
    <x v="0"/>
    <x v="9"/>
    <x v="17"/>
    <s v="SE4A"/>
    <x v="0"/>
    <x v="0"/>
    <s v="GWND_WIND"/>
    <x v="5"/>
    <x v="10"/>
    <n v="88.018329265859094"/>
    <n v="5354.4483636731002"/>
    <n v="19276.014109223201"/>
  </r>
  <r>
    <x v="0"/>
    <x v="0"/>
    <x v="0"/>
    <x v="9"/>
    <x v="17"/>
    <s v="SE4A"/>
    <x v="0"/>
    <x v="0"/>
    <s v="GWND_WIND"/>
    <x v="5"/>
    <x v="11"/>
    <n v="72.726834949425097"/>
    <n v="4424.2157927566896"/>
    <n v="15927.1768539241"/>
  </r>
  <r>
    <x v="0"/>
    <x v="0"/>
    <x v="0"/>
    <x v="9"/>
    <x v="17"/>
    <s v="SE4A"/>
    <x v="0"/>
    <x v="0"/>
    <s v="GWND_WIND"/>
    <x v="6"/>
    <x v="0"/>
    <n v="139.42119583535001"/>
    <n v="8481.4560799837891"/>
    <n v="30533.241887941698"/>
  </r>
  <r>
    <x v="0"/>
    <x v="0"/>
    <x v="0"/>
    <x v="9"/>
    <x v="17"/>
    <s v="SE4A"/>
    <x v="0"/>
    <x v="0"/>
    <s v="GWND_WIND"/>
    <x v="6"/>
    <x v="1"/>
    <n v="125.949818800457"/>
    <n v="7661.9473103611499"/>
    <n v="27583.010317300101"/>
  </r>
  <r>
    <x v="0"/>
    <x v="0"/>
    <x v="0"/>
    <x v="9"/>
    <x v="17"/>
    <s v="SE4A"/>
    <x v="0"/>
    <x v="0"/>
    <s v="GWND_WIND"/>
    <x v="6"/>
    <x v="2"/>
    <n v="105.061224385907"/>
    <n v="6391.2244834759804"/>
    <n v="23008.4081405135"/>
  </r>
  <r>
    <x v="0"/>
    <x v="0"/>
    <x v="0"/>
    <x v="9"/>
    <x v="17"/>
    <s v="SE4A"/>
    <x v="0"/>
    <x v="0"/>
    <s v="GWND_WIND"/>
    <x v="6"/>
    <x v="3"/>
    <n v="72.633636278916498"/>
    <n v="4418.5462069674204"/>
    <n v="15906.7663450827"/>
  </r>
  <r>
    <x v="0"/>
    <x v="0"/>
    <x v="0"/>
    <x v="9"/>
    <x v="17"/>
    <s v="SE4A"/>
    <x v="0"/>
    <x v="0"/>
    <s v="GWND_WIND"/>
    <x v="6"/>
    <x v="4"/>
    <n v="67.905875760466898"/>
    <n v="4130.9407754284002"/>
    <n v="14871.3867915422"/>
  </r>
  <r>
    <x v="0"/>
    <x v="0"/>
    <x v="0"/>
    <x v="9"/>
    <x v="17"/>
    <s v="SE4A"/>
    <x v="0"/>
    <x v="0"/>
    <s v="GWND_WIND"/>
    <x v="6"/>
    <x v="5"/>
    <n v="89.369426684777906"/>
    <n v="5436.6401233239903"/>
    <n v="19571.904443966399"/>
  </r>
  <r>
    <x v="0"/>
    <x v="0"/>
    <x v="0"/>
    <x v="9"/>
    <x v="17"/>
    <s v="SE4A"/>
    <x v="0"/>
    <x v="0"/>
    <s v="GWND_WIND"/>
    <x v="6"/>
    <x v="6"/>
    <n v="84.092570048217596"/>
    <n v="5115.6313445999103"/>
    <n v="18416.272840559701"/>
  </r>
  <r>
    <x v="0"/>
    <x v="0"/>
    <x v="0"/>
    <x v="9"/>
    <x v="17"/>
    <s v="SE4A"/>
    <x v="0"/>
    <x v="0"/>
    <s v="GWND_WIND"/>
    <x v="6"/>
    <x v="7"/>
    <n v="57.129993530926903"/>
    <n v="3475.4079397980499"/>
    <n v="12511.468583272999"/>
  </r>
  <r>
    <x v="0"/>
    <x v="0"/>
    <x v="0"/>
    <x v="9"/>
    <x v="17"/>
    <s v="SE4A"/>
    <x v="0"/>
    <x v="0"/>
    <s v="GWND_WIND"/>
    <x v="6"/>
    <x v="8"/>
    <n v="47.976713936931297"/>
    <n v="2918.5834311633198"/>
    <n v="10506.900352188"/>
  </r>
  <r>
    <x v="0"/>
    <x v="0"/>
    <x v="0"/>
    <x v="9"/>
    <x v="17"/>
    <s v="SE4A"/>
    <x v="0"/>
    <x v="0"/>
    <s v="GWND_WIND"/>
    <x v="6"/>
    <x v="9"/>
    <n v="38.417523936868598"/>
    <n v="2337.06603949284"/>
    <n v="8413.4377421742101"/>
  </r>
  <r>
    <x v="0"/>
    <x v="0"/>
    <x v="0"/>
    <x v="9"/>
    <x v="17"/>
    <s v="SE4A"/>
    <x v="0"/>
    <x v="0"/>
    <s v="GWND_WIND"/>
    <x v="6"/>
    <x v="10"/>
    <n v="19.4191967595793"/>
    <n v="1181.3344695410699"/>
    <n v="4252.8040903478604"/>
  </r>
  <r>
    <x v="0"/>
    <x v="0"/>
    <x v="0"/>
    <x v="9"/>
    <x v="17"/>
    <s v="SE4A"/>
    <x v="0"/>
    <x v="0"/>
    <s v="GWND_WIND"/>
    <x v="6"/>
    <x v="11"/>
    <n v="8.8756874361758999"/>
    <n v="539.93765236736704"/>
    <n v="1943.77554852252"/>
  </r>
  <r>
    <x v="0"/>
    <x v="0"/>
    <x v="0"/>
    <x v="9"/>
    <x v="17"/>
    <s v="SE4A"/>
    <x v="0"/>
    <x v="0"/>
    <s v="GWND_WIND"/>
    <x v="7"/>
    <x v="0"/>
    <n v="359.830199581415"/>
    <n v="21889.670474536098"/>
    <n v="78802.813708329893"/>
  </r>
  <r>
    <x v="0"/>
    <x v="0"/>
    <x v="0"/>
    <x v="9"/>
    <x v="17"/>
    <s v="SE4A"/>
    <x v="0"/>
    <x v="0"/>
    <s v="GWND_WIND"/>
    <x v="7"/>
    <x v="1"/>
    <n v="289.77341740511901"/>
    <n v="17627.882892144698"/>
    <n v="63460.378411721002"/>
  </r>
  <r>
    <x v="0"/>
    <x v="0"/>
    <x v="0"/>
    <x v="9"/>
    <x v="17"/>
    <s v="SE4A"/>
    <x v="0"/>
    <x v="0"/>
    <s v="GWND_WIND"/>
    <x v="7"/>
    <x v="2"/>
    <n v="262.77325889424998"/>
    <n v="15985.3732494002"/>
    <n v="57547.343697840799"/>
  </r>
  <r>
    <x v="0"/>
    <x v="0"/>
    <x v="0"/>
    <x v="9"/>
    <x v="17"/>
    <s v="SE4A"/>
    <x v="0"/>
    <x v="0"/>
    <s v="GWND_WIND"/>
    <x v="7"/>
    <x v="3"/>
    <n v="236.15010504270001"/>
    <n v="14365.798056764201"/>
    <n v="51716.873004351299"/>
  </r>
  <r>
    <x v="0"/>
    <x v="0"/>
    <x v="0"/>
    <x v="9"/>
    <x v="17"/>
    <s v="SE4A"/>
    <x v="0"/>
    <x v="0"/>
    <s v="GWND_WIND"/>
    <x v="7"/>
    <x v="4"/>
    <n v="246.40419256157901"/>
    <n v="14989.5883808294"/>
    <n v="53962.518170985699"/>
  </r>
  <r>
    <x v="0"/>
    <x v="0"/>
    <x v="0"/>
    <x v="9"/>
    <x v="17"/>
    <s v="SE4A"/>
    <x v="0"/>
    <x v="0"/>
    <s v="GWND_WIND"/>
    <x v="7"/>
    <x v="5"/>
    <n v="250.38694791155399"/>
    <n v="15231.872664619599"/>
    <n v="54834.741592630402"/>
  </r>
  <r>
    <x v="0"/>
    <x v="0"/>
    <x v="0"/>
    <x v="9"/>
    <x v="17"/>
    <s v="SE4A"/>
    <x v="0"/>
    <x v="0"/>
    <s v="GWND_WIND"/>
    <x v="7"/>
    <x v="6"/>
    <n v="272.55408642119102"/>
    <n v="16580.373590622501"/>
    <n v="59689.344926240898"/>
  </r>
  <r>
    <x v="0"/>
    <x v="0"/>
    <x v="0"/>
    <x v="9"/>
    <x v="17"/>
    <s v="SE4A"/>
    <x v="0"/>
    <x v="0"/>
    <s v="GWND_WIND"/>
    <x v="7"/>
    <x v="7"/>
    <n v="264.49553283622299"/>
    <n v="16090.1449142036"/>
    <n v="57924.521691132897"/>
  </r>
  <r>
    <x v="0"/>
    <x v="0"/>
    <x v="0"/>
    <x v="9"/>
    <x v="17"/>
    <s v="SE4A"/>
    <x v="0"/>
    <x v="0"/>
    <s v="GWND_WIND"/>
    <x v="7"/>
    <x v="8"/>
    <n v="226.70698277208501"/>
    <n v="13791.341451968499"/>
    <n v="49648.829227086499"/>
  </r>
  <r>
    <x v="0"/>
    <x v="0"/>
    <x v="0"/>
    <x v="9"/>
    <x v="17"/>
    <s v="SE4A"/>
    <x v="0"/>
    <x v="0"/>
    <s v="GWND_WIND"/>
    <x v="7"/>
    <x v="9"/>
    <n v="197.28603204407599"/>
    <n v="12001.5669493479"/>
    <n v="43205.641017652597"/>
  </r>
  <r>
    <x v="0"/>
    <x v="0"/>
    <x v="0"/>
    <x v="9"/>
    <x v="17"/>
    <s v="SE4A"/>
    <x v="0"/>
    <x v="0"/>
    <s v="GWND_WIND"/>
    <x v="7"/>
    <x v="10"/>
    <n v="191.02507091739301"/>
    <n v="11620.691814141401"/>
    <n v="41834.490530909199"/>
  </r>
  <r>
    <x v="0"/>
    <x v="0"/>
    <x v="0"/>
    <x v="9"/>
    <x v="17"/>
    <s v="SE4A"/>
    <x v="0"/>
    <x v="0"/>
    <s v="GWND_WIND"/>
    <x v="7"/>
    <x v="11"/>
    <n v="254.79791863229599"/>
    <n v="15500.206716798"/>
    <n v="55800.744180472699"/>
  </r>
  <r>
    <x v="0"/>
    <x v="0"/>
    <x v="0"/>
    <x v="9"/>
    <x v="17"/>
    <s v="SE4A"/>
    <x v="0"/>
    <x v="0"/>
    <s v="GWND_WIND"/>
    <x v="8"/>
    <x v="0"/>
    <n v="114.79822342358"/>
    <n v="6983.5585916011096"/>
    <n v="25140.810929764"/>
  </r>
  <r>
    <x v="0"/>
    <x v="0"/>
    <x v="0"/>
    <x v="9"/>
    <x v="17"/>
    <s v="SE4A"/>
    <x v="0"/>
    <x v="0"/>
    <s v="GWND_WIND"/>
    <x v="8"/>
    <x v="1"/>
    <n v="95.243616406869606"/>
    <n v="5793.9866647512399"/>
    <n v="20858.351993104399"/>
  </r>
  <r>
    <x v="0"/>
    <x v="0"/>
    <x v="0"/>
    <x v="9"/>
    <x v="17"/>
    <s v="SE4A"/>
    <x v="0"/>
    <x v="0"/>
    <s v="GWND_WIND"/>
    <x v="8"/>
    <x v="2"/>
    <n v="71.008232017187893"/>
    <n v="4319.6674477122597"/>
    <n v="15550.802811764101"/>
  </r>
  <r>
    <x v="0"/>
    <x v="0"/>
    <x v="0"/>
    <x v="9"/>
    <x v="17"/>
    <s v="SE4A"/>
    <x v="0"/>
    <x v="0"/>
    <s v="GWND_WIND"/>
    <x v="8"/>
    <x v="3"/>
    <n v="52.147042557120898"/>
    <n v="3172.2784222248501"/>
    <n v="11420.202320009501"/>
  </r>
  <r>
    <x v="0"/>
    <x v="0"/>
    <x v="0"/>
    <x v="9"/>
    <x v="17"/>
    <s v="SE4A"/>
    <x v="0"/>
    <x v="0"/>
    <s v="GWND_WIND"/>
    <x v="8"/>
    <x v="4"/>
    <n v="43.711190330534997"/>
    <n v="2659.0974117742098"/>
    <n v="9572.7506823871609"/>
  </r>
  <r>
    <x v="0"/>
    <x v="0"/>
    <x v="0"/>
    <x v="9"/>
    <x v="17"/>
    <s v="SE4A"/>
    <x v="0"/>
    <x v="0"/>
    <s v="GWND_WIND"/>
    <x v="8"/>
    <x v="5"/>
    <n v="45.525102575428498"/>
    <n v="2769.4437400052402"/>
    <n v="9969.9974640188502"/>
  </r>
  <r>
    <x v="0"/>
    <x v="0"/>
    <x v="0"/>
    <x v="9"/>
    <x v="17"/>
    <s v="SE4A"/>
    <x v="0"/>
    <x v="0"/>
    <s v="GWND_WIND"/>
    <x v="8"/>
    <x v="6"/>
    <n v="42.560366468420803"/>
    <n v="2589.0889601622598"/>
    <n v="9320.7202565841508"/>
  </r>
  <r>
    <x v="0"/>
    <x v="0"/>
    <x v="0"/>
    <x v="9"/>
    <x v="17"/>
    <s v="SE4A"/>
    <x v="0"/>
    <x v="0"/>
    <s v="GWND_WIND"/>
    <x v="8"/>
    <x v="7"/>
    <n v="50.4362653331807"/>
    <n v="3068.2061411018299"/>
    <n v="11045.542107966599"/>
  </r>
  <r>
    <x v="0"/>
    <x v="0"/>
    <x v="0"/>
    <x v="9"/>
    <x v="17"/>
    <s v="SE4A"/>
    <x v="0"/>
    <x v="0"/>
    <s v="GWND_WIND"/>
    <x v="8"/>
    <x v="8"/>
    <n v="68.431370376559897"/>
    <n v="4162.9083645740602"/>
    <n v="14986.470112466601"/>
  </r>
  <r>
    <x v="0"/>
    <x v="0"/>
    <x v="0"/>
    <x v="9"/>
    <x v="17"/>
    <s v="SE4A"/>
    <x v="0"/>
    <x v="0"/>
    <s v="GWND_WIND"/>
    <x v="8"/>
    <x v="9"/>
    <n v="80.788024324409093"/>
    <n v="4914.6048130682202"/>
    <n v="17692.577327045601"/>
  </r>
  <r>
    <x v="0"/>
    <x v="0"/>
    <x v="0"/>
    <x v="9"/>
    <x v="17"/>
    <s v="SE4A"/>
    <x v="0"/>
    <x v="0"/>
    <s v="GWND_WIND"/>
    <x v="8"/>
    <x v="10"/>
    <n v="64.389704240301299"/>
    <n v="3917.0403412849901"/>
    <n v="14101.345228626"/>
  </r>
  <r>
    <x v="0"/>
    <x v="0"/>
    <x v="0"/>
    <x v="9"/>
    <x v="17"/>
    <s v="SE4A"/>
    <x v="0"/>
    <x v="0"/>
    <s v="GWND_WIND"/>
    <x v="8"/>
    <x v="11"/>
    <n v="64.552528974996804"/>
    <n v="3926.9455126456401"/>
    <n v="14137.003845524299"/>
  </r>
  <r>
    <x v="0"/>
    <x v="0"/>
    <x v="0"/>
    <x v="9"/>
    <x v="17"/>
    <s v="SE4A"/>
    <x v="0"/>
    <x v="0"/>
    <s v="GWND_WIND"/>
    <x v="9"/>
    <x v="0"/>
    <n v="397.68753019654702"/>
    <n v="24192.658086956599"/>
    <n v="87093.569113043806"/>
  </r>
  <r>
    <x v="0"/>
    <x v="0"/>
    <x v="0"/>
    <x v="9"/>
    <x v="17"/>
    <s v="SE4A"/>
    <x v="0"/>
    <x v="0"/>
    <s v="GWND_WIND"/>
    <x v="9"/>
    <x v="1"/>
    <n v="386.46239024782801"/>
    <n v="23509.795406742898"/>
    <n v="84635.263464274394"/>
  </r>
  <r>
    <x v="0"/>
    <x v="0"/>
    <x v="0"/>
    <x v="9"/>
    <x v="17"/>
    <s v="SE4A"/>
    <x v="0"/>
    <x v="0"/>
    <s v="GWND_WIND"/>
    <x v="9"/>
    <x v="2"/>
    <n v="342.43847687472299"/>
    <n v="20831.674009879"/>
    <n v="74994.026435564403"/>
  </r>
  <r>
    <x v="0"/>
    <x v="0"/>
    <x v="0"/>
    <x v="9"/>
    <x v="17"/>
    <s v="SE4A"/>
    <x v="0"/>
    <x v="0"/>
    <s v="GWND_WIND"/>
    <x v="9"/>
    <x v="3"/>
    <n v="301.84390471142302"/>
    <n v="18362.170869944901"/>
    <n v="66103.815131801501"/>
  </r>
  <r>
    <x v="0"/>
    <x v="0"/>
    <x v="0"/>
    <x v="9"/>
    <x v="17"/>
    <s v="SE4A"/>
    <x v="0"/>
    <x v="0"/>
    <s v="GWND_WIND"/>
    <x v="9"/>
    <x v="4"/>
    <n v="258.55610417040901"/>
    <n v="15728.8296703665"/>
    <n v="56623.786813319501"/>
  </r>
  <r>
    <x v="0"/>
    <x v="0"/>
    <x v="0"/>
    <x v="9"/>
    <x v="17"/>
    <s v="SE4A"/>
    <x v="0"/>
    <x v="0"/>
    <s v="GWND_WIND"/>
    <x v="9"/>
    <x v="5"/>
    <n v="227.81770317705499"/>
    <n v="13858.9102766042"/>
    <n v="49892.076995775002"/>
  </r>
  <r>
    <x v="0"/>
    <x v="0"/>
    <x v="0"/>
    <x v="9"/>
    <x v="17"/>
    <s v="SE4A"/>
    <x v="0"/>
    <x v="0"/>
    <s v="GWND_WIND"/>
    <x v="9"/>
    <x v="6"/>
    <n v="238.174351571969"/>
    <n v="14488.939720628099"/>
    <n v="52160.182994261297"/>
  </r>
  <r>
    <x v="0"/>
    <x v="0"/>
    <x v="0"/>
    <x v="9"/>
    <x v="17"/>
    <s v="SE4A"/>
    <x v="0"/>
    <x v="0"/>
    <s v="GWND_WIND"/>
    <x v="9"/>
    <x v="7"/>
    <n v="245.06203019441901"/>
    <n v="14907.9401701605"/>
    <n v="53668.584612577797"/>
  </r>
  <r>
    <x v="0"/>
    <x v="0"/>
    <x v="0"/>
    <x v="9"/>
    <x v="17"/>
    <s v="SE4A"/>
    <x v="0"/>
    <x v="0"/>
    <s v="GWND_WIND"/>
    <x v="9"/>
    <x v="8"/>
    <n v="272.36584101196001"/>
    <n v="16568.921994894299"/>
    <n v="59648.119181619302"/>
  </r>
  <r>
    <x v="0"/>
    <x v="0"/>
    <x v="0"/>
    <x v="9"/>
    <x v="17"/>
    <s v="SE4A"/>
    <x v="0"/>
    <x v="0"/>
    <s v="GWND_WIND"/>
    <x v="9"/>
    <x v="9"/>
    <n v="304.03328888740799"/>
    <n v="18495.358407317301"/>
    <n v="66583.290266342403"/>
  </r>
  <r>
    <x v="0"/>
    <x v="0"/>
    <x v="0"/>
    <x v="9"/>
    <x v="17"/>
    <s v="SE4A"/>
    <x v="0"/>
    <x v="0"/>
    <s v="GWND_WIND"/>
    <x v="9"/>
    <x v="10"/>
    <n v="292.147525484418"/>
    <n v="17772.3078003021"/>
    <n v="63980.308081087598"/>
  </r>
  <r>
    <x v="0"/>
    <x v="0"/>
    <x v="0"/>
    <x v="9"/>
    <x v="17"/>
    <s v="SE4A"/>
    <x v="0"/>
    <x v="0"/>
    <s v="GWND_WIND"/>
    <x v="9"/>
    <x v="11"/>
    <n v="298.82266369891403"/>
    <n v="18178.378708350599"/>
    <n v="65442.163350062103"/>
  </r>
  <r>
    <x v="0"/>
    <x v="0"/>
    <x v="0"/>
    <x v="9"/>
    <x v="17"/>
    <s v="SE4A"/>
    <x v="0"/>
    <x v="0"/>
    <s v="GWND_WIND"/>
    <x v="10"/>
    <x v="0"/>
    <n v="476.66988257478101"/>
    <n v="28997.417856632499"/>
    <n v="104390.704283877"/>
  </r>
  <r>
    <x v="0"/>
    <x v="0"/>
    <x v="0"/>
    <x v="9"/>
    <x v="17"/>
    <s v="SE4A"/>
    <x v="0"/>
    <x v="0"/>
    <s v="GWND_WIND"/>
    <x v="10"/>
    <x v="1"/>
    <n v="433.84305884220498"/>
    <n v="26392.1194129008"/>
    <n v="95011.629886442897"/>
  </r>
  <r>
    <x v="0"/>
    <x v="0"/>
    <x v="0"/>
    <x v="9"/>
    <x v="17"/>
    <s v="SE4A"/>
    <x v="0"/>
    <x v="0"/>
    <s v="GWND_WIND"/>
    <x v="10"/>
    <x v="2"/>
    <n v="405.68281225779498"/>
    <n v="24679.037745682501"/>
    <n v="88844.535884457102"/>
  </r>
  <r>
    <x v="0"/>
    <x v="0"/>
    <x v="0"/>
    <x v="9"/>
    <x v="17"/>
    <s v="SE4A"/>
    <x v="0"/>
    <x v="0"/>
    <s v="GWND_WIND"/>
    <x v="10"/>
    <x v="3"/>
    <n v="396.69718423607299"/>
    <n v="24132.412041027801"/>
    <n v="86876.683347700004"/>
  </r>
  <r>
    <x v="0"/>
    <x v="0"/>
    <x v="0"/>
    <x v="9"/>
    <x v="17"/>
    <s v="SE4A"/>
    <x v="0"/>
    <x v="0"/>
    <s v="GWND_WIND"/>
    <x v="10"/>
    <x v="4"/>
    <n v="406.351310417413"/>
    <n v="24719.7047170593"/>
    <n v="88990.936981413397"/>
  </r>
  <r>
    <x v="0"/>
    <x v="0"/>
    <x v="0"/>
    <x v="9"/>
    <x v="17"/>
    <s v="SE4A"/>
    <x v="0"/>
    <x v="0"/>
    <s v="GWND_WIND"/>
    <x v="10"/>
    <x v="5"/>
    <n v="432.98934806510903"/>
    <n v="26340.1853406275"/>
    <n v="94824.667226258898"/>
  </r>
  <r>
    <x v="0"/>
    <x v="0"/>
    <x v="0"/>
    <x v="9"/>
    <x v="17"/>
    <s v="SE4A"/>
    <x v="0"/>
    <x v="0"/>
    <s v="GWND_WIND"/>
    <x v="10"/>
    <x v="6"/>
    <n v="389.73889207043197"/>
    <n v="23709.1159342846"/>
    <n v="85352.817363424605"/>
  </r>
  <r>
    <x v="0"/>
    <x v="0"/>
    <x v="0"/>
    <x v="9"/>
    <x v="17"/>
    <s v="SE4A"/>
    <x v="0"/>
    <x v="0"/>
    <s v="GWND_WIND"/>
    <x v="10"/>
    <x v="7"/>
    <n v="367.53363636867198"/>
    <n v="22358.296212427598"/>
    <n v="80489.866364739195"/>
  </r>
  <r>
    <x v="0"/>
    <x v="0"/>
    <x v="0"/>
    <x v="9"/>
    <x v="17"/>
    <s v="SE4A"/>
    <x v="0"/>
    <x v="0"/>
    <s v="GWND_WIND"/>
    <x v="10"/>
    <x v="8"/>
    <n v="291.37342109366602"/>
    <n v="17725.2164498647"/>
    <n v="63810.779219512799"/>
  </r>
  <r>
    <x v="0"/>
    <x v="0"/>
    <x v="0"/>
    <x v="9"/>
    <x v="17"/>
    <s v="SE4A"/>
    <x v="0"/>
    <x v="0"/>
    <s v="GWND_WIND"/>
    <x v="10"/>
    <x v="9"/>
    <n v="245.16893798821201"/>
    <n v="14914.443727616201"/>
    <n v="53691.997419418403"/>
  </r>
  <r>
    <x v="0"/>
    <x v="0"/>
    <x v="0"/>
    <x v="9"/>
    <x v="17"/>
    <s v="SE4A"/>
    <x v="0"/>
    <x v="0"/>
    <s v="GWND_WIND"/>
    <x v="10"/>
    <x v="10"/>
    <n v="232.257673869641"/>
    <n v="14129.008493736501"/>
    <n v="50864.430577451298"/>
  </r>
  <r>
    <x v="0"/>
    <x v="0"/>
    <x v="0"/>
    <x v="9"/>
    <x v="17"/>
    <s v="SE4A"/>
    <x v="0"/>
    <x v="0"/>
    <s v="GWND_WIND"/>
    <x v="10"/>
    <x v="11"/>
    <n v="256.657685834186"/>
    <n v="15613.342554913001"/>
    <n v="56208.033197686702"/>
  </r>
  <r>
    <x v="0"/>
    <x v="0"/>
    <x v="0"/>
    <x v="9"/>
    <x v="17"/>
    <s v="SE4A"/>
    <x v="0"/>
    <x v="0"/>
    <s v="GWND_WIND"/>
    <x v="11"/>
    <x v="0"/>
    <n v="302.26092237179301"/>
    <n v="18387.539444284099"/>
    <n v="66195.141999422602"/>
  </r>
  <r>
    <x v="0"/>
    <x v="0"/>
    <x v="0"/>
    <x v="9"/>
    <x v="17"/>
    <s v="SE4A"/>
    <x v="0"/>
    <x v="0"/>
    <s v="GWND_WIND"/>
    <x v="11"/>
    <x v="1"/>
    <n v="430.877845328045"/>
    <n v="26211.735590789402"/>
    <n v="94362.248126841805"/>
  </r>
  <r>
    <x v="0"/>
    <x v="0"/>
    <x v="0"/>
    <x v="9"/>
    <x v="17"/>
    <s v="SE4A"/>
    <x v="0"/>
    <x v="0"/>
    <s v="GWND_WIND"/>
    <x v="11"/>
    <x v="2"/>
    <n v="600.43742805315605"/>
    <n v="36526.610206566998"/>
    <n v="131495.796743641"/>
  </r>
  <r>
    <x v="0"/>
    <x v="0"/>
    <x v="0"/>
    <x v="9"/>
    <x v="17"/>
    <s v="SE4A"/>
    <x v="0"/>
    <x v="0"/>
    <s v="GWND_WIND"/>
    <x v="11"/>
    <x v="3"/>
    <n v="663.12067560424703"/>
    <n v="40339.841099258403"/>
    <n v="145223.42795732999"/>
  </r>
  <r>
    <x v="0"/>
    <x v="0"/>
    <x v="0"/>
    <x v="9"/>
    <x v="17"/>
    <s v="SE4A"/>
    <x v="0"/>
    <x v="0"/>
    <s v="GWND_WIND"/>
    <x v="11"/>
    <x v="4"/>
    <n v="733.64709450346004"/>
    <n v="44630.1982489605"/>
    <n v="160668.713696258"/>
  </r>
  <r>
    <x v="0"/>
    <x v="0"/>
    <x v="0"/>
    <x v="9"/>
    <x v="17"/>
    <s v="SE4A"/>
    <x v="0"/>
    <x v="0"/>
    <s v="GWND_WIND"/>
    <x v="11"/>
    <x v="5"/>
    <n v="805.44890284154906"/>
    <n v="48998.1415895276"/>
    <n v="176393.30972229899"/>
  </r>
  <r>
    <x v="0"/>
    <x v="0"/>
    <x v="0"/>
    <x v="9"/>
    <x v="17"/>
    <s v="SE4A"/>
    <x v="0"/>
    <x v="0"/>
    <s v="GWND_WIND"/>
    <x v="11"/>
    <x v="6"/>
    <n v="894.76021023085002"/>
    <n v="54431.246122376702"/>
    <n v="195952.48604055599"/>
  </r>
  <r>
    <x v="0"/>
    <x v="0"/>
    <x v="0"/>
    <x v="9"/>
    <x v="17"/>
    <s v="SE4A"/>
    <x v="0"/>
    <x v="0"/>
    <s v="GWND_WIND"/>
    <x v="11"/>
    <x v="7"/>
    <n v="918.29295808050699"/>
    <n v="55862.821616564201"/>
    <n v="201106.15781963099"/>
  </r>
  <r>
    <x v="0"/>
    <x v="0"/>
    <x v="0"/>
    <x v="9"/>
    <x v="17"/>
    <s v="SE4A"/>
    <x v="0"/>
    <x v="0"/>
    <s v="GWND_WIND"/>
    <x v="11"/>
    <x v="8"/>
    <n v="931.174785022788"/>
    <n v="56646.4660888863"/>
    <n v="203927.277919991"/>
  </r>
  <r>
    <x v="0"/>
    <x v="0"/>
    <x v="0"/>
    <x v="9"/>
    <x v="17"/>
    <s v="SE4A"/>
    <x v="0"/>
    <x v="0"/>
    <s v="GWND_WIND"/>
    <x v="11"/>
    <x v="9"/>
    <n v="896.670189358171"/>
    <n v="54547.436519288698"/>
    <n v="196370.771469439"/>
  </r>
  <r>
    <x v="0"/>
    <x v="0"/>
    <x v="0"/>
    <x v="9"/>
    <x v="17"/>
    <s v="SE4A"/>
    <x v="0"/>
    <x v="0"/>
    <s v="GWND_WIND"/>
    <x v="11"/>
    <x v="10"/>
    <n v="903.85571979039003"/>
    <n v="54984.556287248801"/>
    <n v="197944.40263409601"/>
  </r>
  <r>
    <x v="0"/>
    <x v="0"/>
    <x v="0"/>
    <x v="9"/>
    <x v="17"/>
    <s v="SE4A"/>
    <x v="0"/>
    <x v="0"/>
    <s v="GWND_WIND"/>
    <x v="11"/>
    <x v="11"/>
    <n v="911.45274503602695"/>
    <n v="55446.7086563583"/>
    <n v="199608.15116288999"/>
  </r>
  <r>
    <x v="0"/>
    <x v="0"/>
    <x v="0"/>
    <x v="9"/>
    <x v="17"/>
    <s v="SE4_EL"/>
    <x v="1"/>
    <x v="1"/>
    <s v="SolarPV-50"/>
    <x v="0"/>
    <x v="4"/>
    <n v="1076.60055572853"/>
    <n v="65493.200473485696"/>
    <n v="235775.52170454801"/>
  </r>
  <r>
    <x v="0"/>
    <x v="0"/>
    <x v="0"/>
    <x v="9"/>
    <x v="17"/>
    <s v="SE4_EL"/>
    <x v="1"/>
    <x v="1"/>
    <s v="SolarPV-50"/>
    <x v="1"/>
    <x v="6"/>
    <n v="3403.50262943809"/>
    <n v="207046.40995748399"/>
    <n v="745367.07584694203"/>
  </r>
  <r>
    <x v="0"/>
    <x v="0"/>
    <x v="0"/>
    <x v="9"/>
    <x v="17"/>
    <s v="SE4_EL"/>
    <x v="1"/>
    <x v="1"/>
    <s v="SolarPV-50"/>
    <x v="2"/>
    <x v="6"/>
    <n v="3876.5702511224499"/>
    <n v="235824.69027661599"/>
    <n v="848968.88499581697"/>
  </r>
  <r>
    <x v="0"/>
    <x v="0"/>
    <x v="0"/>
    <x v="9"/>
    <x v="17"/>
    <s v="SE4_EL"/>
    <x v="1"/>
    <x v="1"/>
    <s v="SolarPV-50"/>
    <x v="2"/>
    <x v="7"/>
    <n v="3741.8532178696901"/>
    <n v="227629.404087073"/>
    <n v="819465.85471346299"/>
  </r>
  <r>
    <x v="0"/>
    <x v="0"/>
    <x v="0"/>
    <x v="9"/>
    <x v="17"/>
    <s v="SE4_EL"/>
    <x v="1"/>
    <x v="1"/>
    <s v="SolarPV-50"/>
    <x v="2"/>
    <x v="8"/>
    <n v="3804.9353412770502"/>
    <n v="231466.89992768699"/>
    <n v="833280.83973967505"/>
  </r>
  <r>
    <x v="0"/>
    <x v="0"/>
    <x v="0"/>
    <x v="9"/>
    <x v="17"/>
    <s v="SE4_EL"/>
    <x v="1"/>
    <x v="1"/>
    <s v="SolarPV-50"/>
    <x v="3"/>
    <x v="0"/>
    <n v="2181.97038687334"/>
    <n v="132736.53186812799"/>
    <n v="477851.51472526201"/>
  </r>
  <r>
    <x v="0"/>
    <x v="0"/>
    <x v="0"/>
    <x v="9"/>
    <x v="17"/>
    <s v="SE4_EL"/>
    <x v="1"/>
    <x v="1"/>
    <s v="SolarPV-50"/>
    <x v="3"/>
    <x v="5"/>
    <n v="2578.5825182132598"/>
    <n v="156863.76985797301"/>
    <n v="564709.57148870395"/>
  </r>
  <r>
    <x v="0"/>
    <x v="0"/>
    <x v="0"/>
    <x v="9"/>
    <x v="17"/>
    <s v="SE4_EL"/>
    <x v="1"/>
    <x v="1"/>
    <s v="SolarPV-50"/>
    <x v="3"/>
    <x v="6"/>
    <n v="3421.3380628739701"/>
    <n v="208131.39882483301"/>
    <n v="749273.03576939902"/>
  </r>
  <r>
    <x v="0"/>
    <x v="0"/>
    <x v="0"/>
    <x v="9"/>
    <x v="17"/>
    <s v="SE4_EL"/>
    <x v="1"/>
    <x v="1"/>
    <s v="SolarPV-50"/>
    <x v="3"/>
    <x v="8"/>
    <n v="3627.5384803275101"/>
    <n v="220675.25755325699"/>
    <n v="794430.927191725"/>
  </r>
  <r>
    <x v="0"/>
    <x v="0"/>
    <x v="0"/>
    <x v="9"/>
    <x v="17"/>
    <s v="SE4_EL"/>
    <x v="1"/>
    <x v="1"/>
    <s v="SolarPV-50"/>
    <x v="3"/>
    <x v="11"/>
    <n v="4555.9657219145301"/>
    <n v="277154.58141646697"/>
    <n v="997756.49309928203"/>
  </r>
  <r>
    <x v="0"/>
    <x v="0"/>
    <x v="0"/>
    <x v="9"/>
    <x v="17"/>
    <s v="SE4_EL"/>
    <x v="1"/>
    <x v="1"/>
    <s v="SolarPV-50"/>
    <x v="4"/>
    <x v="0"/>
    <n v="2145.1361064044099"/>
    <n v="130495.77980626799"/>
    <n v="469784.80730256601"/>
  </r>
  <r>
    <x v="0"/>
    <x v="0"/>
    <x v="0"/>
    <x v="9"/>
    <x v="17"/>
    <s v="SE4_EL"/>
    <x v="1"/>
    <x v="1"/>
    <s v="SolarPV-50"/>
    <x v="4"/>
    <x v="7"/>
    <n v="3322.0082173737701"/>
    <n v="202088.83322357101"/>
    <n v="727519.79960485501"/>
  </r>
  <r>
    <x v="0"/>
    <x v="0"/>
    <x v="0"/>
    <x v="9"/>
    <x v="17"/>
    <s v="SE4_EL"/>
    <x v="1"/>
    <x v="1"/>
    <s v="SolarPV-50"/>
    <x v="4"/>
    <x v="8"/>
    <n v="2711.7890876216802"/>
    <n v="164967.16949698501"/>
    <n v="593881.81018914795"/>
  </r>
  <r>
    <x v="0"/>
    <x v="0"/>
    <x v="0"/>
    <x v="9"/>
    <x v="17"/>
    <s v="SE4_EL"/>
    <x v="1"/>
    <x v="1"/>
    <s v="SolarPV-50"/>
    <x v="4"/>
    <x v="9"/>
    <n v="3311.8885581142199"/>
    <n v="201473.22061861501"/>
    <n v="725303.59422701399"/>
  </r>
  <r>
    <x v="0"/>
    <x v="0"/>
    <x v="0"/>
    <x v="9"/>
    <x v="17"/>
    <s v="SE4_EL"/>
    <x v="1"/>
    <x v="1"/>
    <s v="SolarPV-50"/>
    <x v="4"/>
    <x v="10"/>
    <n v="4314.8495990423298"/>
    <n v="262486.683941742"/>
    <n v="944952.06219027005"/>
  </r>
  <r>
    <x v="0"/>
    <x v="0"/>
    <x v="0"/>
    <x v="9"/>
    <x v="17"/>
    <s v="SE4_EL"/>
    <x v="1"/>
    <x v="1"/>
    <s v="SolarPV-50"/>
    <x v="5"/>
    <x v="0"/>
    <n v="3441.6801271480399"/>
    <n v="209368.87440150499"/>
    <n v="753727.94784541999"/>
  </r>
  <r>
    <x v="0"/>
    <x v="0"/>
    <x v="0"/>
    <x v="9"/>
    <x v="17"/>
    <s v="SE4_EL"/>
    <x v="1"/>
    <x v="1"/>
    <s v="SolarPV-50"/>
    <x v="5"/>
    <x v="7"/>
    <n v="4380.6790979530897"/>
    <n v="266491.31179214601"/>
    <n v="959368.72245172597"/>
  </r>
  <r>
    <x v="0"/>
    <x v="0"/>
    <x v="0"/>
    <x v="9"/>
    <x v="17"/>
    <s v="SE4_EL"/>
    <x v="1"/>
    <x v="1"/>
    <s v="SolarPV-50"/>
    <x v="7"/>
    <x v="8"/>
    <n v="3988.2402579132299"/>
    <n v="242617.949023055"/>
    <n v="873424.61648299801"/>
  </r>
  <r>
    <x v="0"/>
    <x v="0"/>
    <x v="0"/>
    <x v="9"/>
    <x v="17"/>
    <s v="SE4_EL"/>
    <x v="1"/>
    <x v="1"/>
    <s v="SolarPV-50"/>
    <x v="7"/>
    <x v="11"/>
    <n v="5025.2997741757299"/>
    <n v="305705.73626235698"/>
    <n v="1100540.65054448"/>
  </r>
  <r>
    <x v="0"/>
    <x v="0"/>
    <x v="0"/>
    <x v="9"/>
    <x v="17"/>
    <s v="SE4_EL"/>
    <x v="1"/>
    <x v="1"/>
    <s v="SolarPV-50"/>
    <x v="8"/>
    <x v="4"/>
    <n v="1550.3317810834001"/>
    <n v="94311.850015906806"/>
    <n v="339522.66005726397"/>
  </r>
  <r>
    <x v="0"/>
    <x v="0"/>
    <x v="0"/>
    <x v="9"/>
    <x v="17"/>
    <s v="SE4_EL"/>
    <x v="1"/>
    <x v="1"/>
    <s v="SolarPV-50"/>
    <x v="9"/>
    <x v="2"/>
    <n v="743.14521899963302"/>
    <n v="45208.000822477698"/>
    <n v="162748.80296092"/>
  </r>
  <r>
    <x v="0"/>
    <x v="0"/>
    <x v="0"/>
    <x v="9"/>
    <x v="17"/>
    <s v="SE4_EL"/>
    <x v="1"/>
    <x v="1"/>
    <s v="SolarPV-50"/>
    <x v="9"/>
    <x v="4"/>
    <n v="1199.86731223939"/>
    <n v="72991.928161229502"/>
    <n v="262770.941380426"/>
  </r>
  <r>
    <x v="0"/>
    <x v="0"/>
    <x v="0"/>
    <x v="9"/>
    <x v="17"/>
    <s v="SE4_EL"/>
    <x v="1"/>
    <x v="1"/>
    <s v="SolarPV-50"/>
    <x v="9"/>
    <x v="7"/>
    <n v="5032.2444639642399"/>
    <n v="306128.20489115798"/>
    <n v="1102061.53760817"/>
  </r>
  <r>
    <x v="0"/>
    <x v="0"/>
    <x v="0"/>
    <x v="9"/>
    <x v="17"/>
    <s v="SE4_HP"/>
    <x v="1"/>
    <x v="1"/>
    <s v="SolarPV-50"/>
    <x v="0"/>
    <x v="1"/>
    <n v="1150.8937786716499"/>
    <n v="70012.704869192094"/>
    <n v="252045.737529092"/>
  </r>
  <r>
    <x v="0"/>
    <x v="0"/>
    <x v="0"/>
    <x v="9"/>
    <x v="17"/>
    <s v="SE4_HP"/>
    <x v="1"/>
    <x v="1"/>
    <s v="SolarPV-50"/>
    <x v="0"/>
    <x v="8"/>
    <n v="3494.6915860505101"/>
    <n v="212593.738151406"/>
    <n v="765337.457345061"/>
  </r>
  <r>
    <x v="0"/>
    <x v="0"/>
    <x v="0"/>
    <x v="9"/>
    <x v="17"/>
    <s v="SE4_HP"/>
    <x v="1"/>
    <x v="1"/>
    <s v="SolarPV-50"/>
    <x v="0"/>
    <x v="10"/>
    <n v="3611.3729245183899"/>
    <n v="219691.85290820201"/>
    <n v="790890.67046952702"/>
  </r>
  <r>
    <x v="0"/>
    <x v="0"/>
    <x v="0"/>
    <x v="9"/>
    <x v="17"/>
    <s v="SE4_HP"/>
    <x v="1"/>
    <x v="1"/>
    <s v="SolarPV-50"/>
    <x v="1"/>
    <x v="4"/>
    <n v="2098.7710900962802"/>
    <n v="127675.24131419"/>
    <n v="459630.86873108603"/>
  </r>
  <r>
    <x v="0"/>
    <x v="0"/>
    <x v="0"/>
    <x v="9"/>
    <x v="17"/>
    <s v="SE4_HP"/>
    <x v="1"/>
    <x v="1"/>
    <s v="SolarPV-50"/>
    <x v="1"/>
    <x v="8"/>
    <n v="3673.40686878632"/>
    <n v="223465.584517835"/>
    <n v="804476.10426420404"/>
  </r>
  <r>
    <x v="0"/>
    <x v="0"/>
    <x v="0"/>
    <x v="9"/>
    <x v="17"/>
    <s v="SE4_HP"/>
    <x v="1"/>
    <x v="1"/>
    <s v="SolarPV-50"/>
    <x v="1"/>
    <x v="9"/>
    <n v="3617.3223539629998"/>
    <n v="220053.77653274901"/>
    <n v="792193.595517896"/>
  </r>
  <r>
    <x v="0"/>
    <x v="0"/>
    <x v="0"/>
    <x v="9"/>
    <x v="17"/>
    <s v="SE4_HP"/>
    <x v="1"/>
    <x v="1"/>
    <s v="SolarPV-50"/>
    <x v="1"/>
    <x v="10"/>
    <n v="3682.9554994973601"/>
    <n v="224046.45955275599"/>
    <n v="806567.25438992202"/>
  </r>
  <r>
    <x v="0"/>
    <x v="0"/>
    <x v="0"/>
    <x v="9"/>
    <x v="17"/>
    <s v="SE4_HP"/>
    <x v="1"/>
    <x v="1"/>
    <s v="SolarPV-50"/>
    <x v="1"/>
    <x v="11"/>
    <n v="4481.3012782667101"/>
    <n v="272612.49442789098"/>
    <n v="981404.97994040896"/>
  </r>
  <r>
    <x v="0"/>
    <x v="0"/>
    <x v="0"/>
    <x v="9"/>
    <x v="17"/>
    <s v="SE4_HP"/>
    <x v="1"/>
    <x v="1"/>
    <s v="SolarPV-50"/>
    <x v="2"/>
    <x v="2"/>
    <n v="2823.0961061381399"/>
    <n v="171738.346456737"/>
    <n v="618258.04724425205"/>
  </r>
  <r>
    <x v="0"/>
    <x v="0"/>
    <x v="0"/>
    <x v="9"/>
    <x v="17"/>
    <s v="SE4_HP"/>
    <x v="1"/>
    <x v="1"/>
    <s v="SolarPV-50"/>
    <x v="2"/>
    <x v="10"/>
    <n v="4412.7481711400796"/>
    <n v="268442.18041102198"/>
    <n v="966391.84947967797"/>
  </r>
  <r>
    <x v="0"/>
    <x v="0"/>
    <x v="0"/>
    <x v="9"/>
    <x v="17"/>
    <s v="SE4_HP"/>
    <x v="1"/>
    <x v="1"/>
    <s v="SolarPV-50"/>
    <x v="3"/>
    <x v="1"/>
    <n v="2233.3212941268298"/>
    <n v="135860.37872604901"/>
    <n v="489097.36341377598"/>
  </r>
  <r>
    <x v="0"/>
    <x v="0"/>
    <x v="0"/>
    <x v="9"/>
    <x v="17"/>
    <s v="SE4_HP"/>
    <x v="1"/>
    <x v="1"/>
    <s v="SolarPV-50"/>
    <x v="3"/>
    <x v="7"/>
    <n v="3558.6748289434599"/>
    <n v="216486.05209406099"/>
    <n v="779349.78753861797"/>
  </r>
  <r>
    <x v="0"/>
    <x v="0"/>
    <x v="0"/>
    <x v="9"/>
    <x v="17"/>
    <s v="SE4_HP"/>
    <x v="1"/>
    <x v="1"/>
    <s v="SolarPV-50"/>
    <x v="3"/>
    <x v="9"/>
    <n v="4178.8195868563098"/>
    <n v="254211.524867092"/>
    <n v="915161.48952153104"/>
  </r>
  <r>
    <x v="0"/>
    <x v="0"/>
    <x v="0"/>
    <x v="9"/>
    <x v="17"/>
    <s v="SE4_HP"/>
    <x v="1"/>
    <x v="1"/>
    <s v="SolarPV-50"/>
    <x v="4"/>
    <x v="1"/>
    <n v="2117.3936903181602"/>
    <n v="128808.116161022"/>
    <n v="463709.21817967802"/>
  </r>
  <r>
    <x v="0"/>
    <x v="0"/>
    <x v="0"/>
    <x v="9"/>
    <x v="17"/>
    <s v="SE4_HP"/>
    <x v="1"/>
    <x v="1"/>
    <s v="SolarPV-50"/>
    <x v="4"/>
    <x v="5"/>
    <n v="2548.0091042372001"/>
    <n v="155003.88717442899"/>
    <n v="558013.99382794602"/>
  </r>
  <r>
    <x v="0"/>
    <x v="0"/>
    <x v="0"/>
    <x v="9"/>
    <x v="17"/>
    <s v="SE4_HP"/>
    <x v="1"/>
    <x v="1"/>
    <s v="SolarPV-50"/>
    <x v="4"/>
    <x v="6"/>
    <n v="4206.0086442690999"/>
    <n v="255865.52585970401"/>
    <n v="921115.89309493406"/>
  </r>
  <r>
    <x v="0"/>
    <x v="0"/>
    <x v="0"/>
    <x v="9"/>
    <x v="17"/>
    <s v="SE4_HP"/>
    <x v="1"/>
    <x v="1"/>
    <s v="SolarPV-50"/>
    <x v="5"/>
    <x v="5"/>
    <n v="3720.84435298879"/>
    <n v="226351.36480681799"/>
    <n v="814864.91330454405"/>
  </r>
  <r>
    <x v="0"/>
    <x v="0"/>
    <x v="0"/>
    <x v="9"/>
    <x v="17"/>
    <s v="SE4_HP"/>
    <x v="1"/>
    <x v="1"/>
    <s v="SolarPV-50"/>
    <x v="5"/>
    <x v="8"/>
    <n v="4485.5930342526999"/>
    <n v="272873.57625037199"/>
    <n v="982344.87450134102"/>
  </r>
  <r>
    <x v="0"/>
    <x v="0"/>
    <x v="0"/>
    <x v="9"/>
    <x v="17"/>
    <s v="SE4_HP"/>
    <x v="1"/>
    <x v="1"/>
    <s v="SolarPV-50"/>
    <x v="5"/>
    <x v="9"/>
    <n v="4505.3225038959099"/>
    <n v="274073.78565366799"/>
    <n v="986665.628353204"/>
  </r>
  <r>
    <x v="0"/>
    <x v="0"/>
    <x v="0"/>
    <x v="9"/>
    <x v="17"/>
    <s v="SE4_HP"/>
    <x v="1"/>
    <x v="1"/>
    <s v="SolarPV-50"/>
    <x v="5"/>
    <x v="11"/>
    <n v="4691.70277672051"/>
    <n v="285411.91891716502"/>
    <n v="1027482.90810179"/>
  </r>
  <r>
    <x v="0"/>
    <x v="0"/>
    <x v="0"/>
    <x v="9"/>
    <x v="17"/>
    <s v="SE4_HP"/>
    <x v="1"/>
    <x v="1"/>
    <s v="SolarPV-50"/>
    <x v="6"/>
    <x v="2"/>
    <n v="3247.8018543422099"/>
    <n v="197574.612805818"/>
    <n v="711268.60610094503"/>
  </r>
  <r>
    <x v="0"/>
    <x v="0"/>
    <x v="0"/>
    <x v="9"/>
    <x v="17"/>
    <s v="SE4_HP"/>
    <x v="1"/>
    <x v="1"/>
    <s v="SolarPV-50"/>
    <x v="6"/>
    <x v="3"/>
    <n v="3333.0638391071202"/>
    <n v="202761.383545683"/>
    <n v="729940.98076446005"/>
  </r>
  <r>
    <x v="0"/>
    <x v="0"/>
    <x v="0"/>
    <x v="9"/>
    <x v="17"/>
    <s v="SE4_HP"/>
    <x v="1"/>
    <x v="1"/>
    <s v="SolarPV-50"/>
    <x v="6"/>
    <x v="6"/>
    <n v="3590.2325590830501"/>
    <n v="218405.81401088499"/>
    <n v="786260.93043918803"/>
  </r>
  <r>
    <x v="0"/>
    <x v="0"/>
    <x v="0"/>
    <x v="9"/>
    <x v="17"/>
    <s v="SE4_HP"/>
    <x v="1"/>
    <x v="1"/>
    <s v="SolarPV-50"/>
    <x v="6"/>
    <x v="10"/>
    <n v="3886.5644407948698"/>
    <n v="236432.67014835501"/>
    <n v="851157.61253407702"/>
  </r>
  <r>
    <x v="0"/>
    <x v="0"/>
    <x v="0"/>
    <x v="9"/>
    <x v="17"/>
    <s v="SE4_HP"/>
    <x v="1"/>
    <x v="1"/>
    <s v="SolarPV-50"/>
    <x v="6"/>
    <x v="11"/>
    <n v="3797.9418517757199"/>
    <n v="231041.46264968999"/>
    <n v="831749.265538882"/>
  </r>
  <r>
    <x v="0"/>
    <x v="0"/>
    <x v="0"/>
    <x v="9"/>
    <x v="17"/>
    <s v="SE4_HP"/>
    <x v="1"/>
    <x v="1"/>
    <s v="SolarPV-50"/>
    <x v="7"/>
    <x v="0"/>
    <n v="2403.9389101584502"/>
    <n v="146239.617034639"/>
    <n v="526462.62132469995"/>
  </r>
  <r>
    <x v="0"/>
    <x v="0"/>
    <x v="0"/>
    <x v="9"/>
    <x v="17"/>
    <s v="SE4_HP"/>
    <x v="1"/>
    <x v="1"/>
    <s v="SolarPV-50"/>
    <x v="7"/>
    <x v="6"/>
    <n v="4287.4665313464902"/>
    <n v="260820.88065691199"/>
    <n v="938955.17036488198"/>
  </r>
  <r>
    <x v="0"/>
    <x v="0"/>
    <x v="0"/>
    <x v="9"/>
    <x v="17"/>
    <s v="SE4_HP"/>
    <x v="1"/>
    <x v="1"/>
    <s v="SolarPV-50"/>
    <x v="8"/>
    <x v="0"/>
    <n v="1350.87395507205"/>
    <n v="82178.165600216395"/>
    <n v="295841.396160779"/>
  </r>
  <r>
    <x v="0"/>
    <x v="0"/>
    <x v="0"/>
    <x v="9"/>
    <x v="17"/>
    <s v="SE4_HP"/>
    <x v="1"/>
    <x v="1"/>
    <s v="SolarPV-50"/>
    <x v="8"/>
    <x v="9"/>
    <n v="3497.01166020758"/>
    <n v="212734.87599596099"/>
    <n v="765845.55358546099"/>
  </r>
  <r>
    <x v="0"/>
    <x v="0"/>
    <x v="0"/>
    <x v="9"/>
    <x v="17"/>
    <s v="SE4_HP"/>
    <x v="1"/>
    <x v="1"/>
    <s v="SolarPV-50"/>
    <x v="8"/>
    <x v="10"/>
    <n v="3947.7497432169198"/>
    <n v="240154.77604569599"/>
    <n v="864557.19376450602"/>
  </r>
  <r>
    <x v="0"/>
    <x v="0"/>
    <x v="0"/>
    <x v="9"/>
    <x v="17"/>
    <s v="SE4_HP"/>
    <x v="1"/>
    <x v="1"/>
    <s v="SolarPV-50"/>
    <x v="9"/>
    <x v="0"/>
    <n v="754.99704684968594"/>
    <n v="45928.9870166892"/>
    <n v="165344.353260081"/>
  </r>
  <r>
    <x v="0"/>
    <x v="0"/>
    <x v="0"/>
    <x v="9"/>
    <x v="17"/>
    <s v="SE4_HP"/>
    <x v="1"/>
    <x v="1"/>
    <s v="SolarPV-50"/>
    <x v="9"/>
    <x v="8"/>
    <n v="4784.2521093616197"/>
    <n v="291042.00331949902"/>
    <n v="1047751.2119502"/>
  </r>
  <r>
    <x v="0"/>
    <x v="0"/>
    <x v="0"/>
    <x v="9"/>
    <x v="17"/>
    <s v="SE4_HP"/>
    <x v="1"/>
    <x v="1"/>
    <s v="SolarPV-50"/>
    <x v="10"/>
    <x v="5"/>
    <n v="140.670865613167"/>
    <n v="8557.4776581342994"/>
    <n v="30806.919569283498"/>
  </r>
  <r>
    <x v="0"/>
    <x v="0"/>
    <x v="0"/>
    <x v="9"/>
    <x v="17"/>
    <s v="SE4_HP"/>
    <x v="1"/>
    <x v="1"/>
    <s v="SolarPV-50"/>
    <x v="10"/>
    <x v="7"/>
    <n v="3967.13353065294"/>
    <n v="241333.956448054"/>
    <n v="868802.243212995"/>
  </r>
  <r>
    <x v="0"/>
    <x v="0"/>
    <x v="0"/>
    <x v="9"/>
    <x v="17"/>
    <s v="SE4_MAL"/>
    <x v="1"/>
    <x v="1"/>
    <s v="SolarPV-50"/>
    <x v="1"/>
    <x v="2"/>
    <n v="2032.95786464259"/>
    <n v="123671.603432424"/>
    <n v="445217.77235672699"/>
  </r>
  <r>
    <x v="0"/>
    <x v="0"/>
    <x v="0"/>
    <x v="9"/>
    <x v="17"/>
    <s v="SE4_MAL"/>
    <x v="1"/>
    <x v="1"/>
    <s v="SolarPV-50"/>
    <x v="1"/>
    <x v="3"/>
    <n v="2037.85121508821"/>
    <n v="123969.2822512"/>
    <n v="446289.41610431898"/>
  </r>
  <r>
    <x v="0"/>
    <x v="0"/>
    <x v="0"/>
    <x v="9"/>
    <x v="17"/>
    <s v="SE4_MAL"/>
    <x v="1"/>
    <x v="1"/>
    <s v="SolarPV-50"/>
    <x v="1"/>
    <x v="7"/>
    <n v="3583.6622733713798"/>
    <n v="218006.12163009201"/>
    <n v="784822.03786833305"/>
  </r>
  <r>
    <x v="0"/>
    <x v="0"/>
    <x v="0"/>
    <x v="9"/>
    <x v="17"/>
    <s v="SE4_MAL"/>
    <x v="1"/>
    <x v="1"/>
    <s v="SolarPV-50"/>
    <x v="2"/>
    <x v="0"/>
    <n v="2915.62065818362"/>
    <n v="177366.92337283699"/>
    <n v="638520.92414221202"/>
  </r>
  <r>
    <x v="0"/>
    <x v="0"/>
    <x v="0"/>
    <x v="9"/>
    <x v="17"/>
    <s v="SE4_MAL"/>
    <x v="1"/>
    <x v="1"/>
    <s v="SolarPV-50"/>
    <x v="2"/>
    <x v="3"/>
    <n v="2806.23334710258"/>
    <n v="170712.52861540701"/>
    <n v="614565.10301546496"/>
  </r>
  <r>
    <x v="0"/>
    <x v="0"/>
    <x v="0"/>
    <x v="9"/>
    <x v="17"/>
    <s v="SE4_MAL"/>
    <x v="1"/>
    <x v="1"/>
    <s v="SolarPV-50"/>
    <x v="2"/>
    <x v="4"/>
    <n v="2818.9264640633501"/>
    <n v="171484.69323052099"/>
    <n v="617344.89562987396"/>
  </r>
  <r>
    <x v="0"/>
    <x v="0"/>
    <x v="0"/>
    <x v="9"/>
    <x v="17"/>
    <s v="SE4_MAL"/>
    <x v="1"/>
    <x v="1"/>
    <s v="SolarPV-50"/>
    <x v="2"/>
    <x v="9"/>
    <n v="4168.8220273050301"/>
    <n v="253603.33999438901"/>
    <n v="912972.02397980203"/>
  </r>
  <r>
    <x v="0"/>
    <x v="0"/>
    <x v="0"/>
    <x v="9"/>
    <x v="17"/>
    <s v="SE4_MAL"/>
    <x v="1"/>
    <x v="1"/>
    <s v="SolarPV-50"/>
    <x v="2"/>
    <x v="11"/>
    <n v="3814.7148358702302"/>
    <n v="232061.819182106"/>
    <n v="835422.54905558098"/>
  </r>
  <r>
    <x v="0"/>
    <x v="0"/>
    <x v="0"/>
    <x v="9"/>
    <x v="17"/>
    <s v="SE4_MAL"/>
    <x v="1"/>
    <x v="1"/>
    <s v="SolarPV-50"/>
    <x v="3"/>
    <x v="2"/>
    <n v="2260.9969928636201"/>
    <n v="137543.98373253699"/>
    <n v="495158.34143713402"/>
  </r>
  <r>
    <x v="0"/>
    <x v="0"/>
    <x v="0"/>
    <x v="9"/>
    <x v="17"/>
    <s v="SE4_MAL"/>
    <x v="1"/>
    <x v="1"/>
    <s v="SolarPV-50"/>
    <x v="3"/>
    <x v="3"/>
    <n v="2264.19455511148"/>
    <n v="137738.50210261499"/>
    <n v="495858.60756941501"/>
  </r>
  <r>
    <x v="0"/>
    <x v="0"/>
    <x v="0"/>
    <x v="9"/>
    <x v="17"/>
    <s v="SE4_MAL"/>
    <x v="1"/>
    <x v="1"/>
    <s v="SolarPV-50"/>
    <x v="3"/>
    <x v="10"/>
    <n v="4496.5456370054999"/>
    <n v="273539.85958450101"/>
    <n v="984743.49450420495"/>
  </r>
  <r>
    <x v="0"/>
    <x v="0"/>
    <x v="0"/>
    <x v="9"/>
    <x v="17"/>
    <s v="SE4_MAL"/>
    <x v="1"/>
    <x v="1"/>
    <s v="SolarPV-50"/>
    <x v="4"/>
    <x v="2"/>
    <n v="2233.7209228239799"/>
    <n v="135884.68947179199"/>
    <n v="489184.88209845102"/>
  </r>
  <r>
    <x v="0"/>
    <x v="0"/>
    <x v="0"/>
    <x v="9"/>
    <x v="17"/>
    <s v="SE4_MAL"/>
    <x v="1"/>
    <x v="1"/>
    <s v="SolarPV-50"/>
    <x v="4"/>
    <x v="11"/>
    <n v="3964.6645892659299"/>
    <n v="241183.762513678"/>
    <n v="868261.54504923895"/>
  </r>
  <r>
    <x v="0"/>
    <x v="0"/>
    <x v="0"/>
    <x v="9"/>
    <x v="17"/>
    <s v="SE4_MAL"/>
    <x v="1"/>
    <x v="1"/>
    <s v="SolarPV-50"/>
    <x v="5"/>
    <x v="1"/>
    <n v="2809.1983655448798"/>
    <n v="170892.90057064701"/>
    <n v="615214.44205432804"/>
  </r>
  <r>
    <x v="0"/>
    <x v="0"/>
    <x v="0"/>
    <x v="9"/>
    <x v="17"/>
    <s v="SE4_MAL"/>
    <x v="1"/>
    <x v="1"/>
    <s v="SolarPV-50"/>
    <x v="5"/>
    <x v="2"/>
    <n v="2785.4494283931699"/>
    <n v="169448.17356058399"/>
    <n v="610013.42481810402"/>
  </r>
  <r>
    <x v="0"/>
    <x v="0"/>
    <x v="0"/>
    <x v="9"/>
    <x v="17"/>
    <s v="SE4_MAL"/>
    <x v="1"/>
    <x v="1"/>
    <s v="SolarPV-50"/>
    <x v="5"/>
    <x v="3"/>
    <n v="2835.4760974453302"/>
    <n v="172491.46259459099"/>
    <n v="620969.26534052705"/>
  </r>
  <r>
    <x v="0"/>
    <x v="0"/>
    <x v="0"/>
    <x v="9"/>
    <x v="17"/>
    <s v="SE4_MAL"/>
    <x v="1"/>
    <x v="1"/>
    <s v="SolarPV-50"/>
    <x v="5"/>
    <x v="10"/>
    <n v="4538.6836292830003"/>
    <n v="276103.25411471602"/>
    <n v="993971.71481297805"/>
  </r>
  <r>
    <x v="0"/>
    <x v="0"/>
    <x v="0"/>
    <x v="9"/>
    <x v="17"/>
    <s v="SE4_MAL"/>
    <x v="1"/>
    <x v="1"/>
    <s v="SolarPV-50"/>
    <x v="6"/>
    <x v="5"/>
    <n v="3180.1629403596598"/>
    <n v="193459.91220521301"/>
    <n v="696455.68393876497"/>
  </r>
  <r>
    <x v="0"/>
    <x v="0"/>
    <x v="0"/>
    <x v="9"/>
    <x v="17"/>
    <s v="SE4_MAL"/>
    <x v="1"/>
    <x v="1"/>
    <s v="SolarPV-50"/>
    <x v="6"/>
    <x v="8"/>
    <n v="4012.4459292329798"/>
    <n v="244090.46069500601"/>
    <n v="878725.65850202204"/>
  </r>
  <r>
    <x v="0"/>
    <x v="0"/>
    <x v="0"/>
    <x v="9"/>
    <x v="17"/>
    <s v="SE4_MAL"/>
    <x v="1"/>
    <x v="1"/>
    <s v="SolarPV-50"/>
    <x v="6"/>
    <x v="9"/>
    <n v="3940.72143206701"/>
    <n v="239727.22045074301"/>
    <n v="863017.993622676"/>
  </r>
  <r>
    <x v="0"/>
    <x v="0"/>
    <x v="0"/>
    <x v="9"/>
    <x v="17"/>
    <s v="SE4_MAL"/>
    <x v="1"/>
    <x v="1"/>
    <s v="SolarPV-50"/>
    <x v="7"/>
    <x v="1"/>
    <n v="2401.7446310636101"/>
    <n v="146106.13172303699"/>
    <n v="525982.07420293195"/>
  </r>
  <r>
    <x v="0"/>
    <x v="0"/>
    <x v="0"/>
    <x v="9"/>
    <x v="17"/>
    <s v="SE4_MAL"/>
    <x v="1"/>
    <x v="1"/>
    <s v="SolarPV-50"/>
    <x v="7"/>
    <x v="3"/>
    <n v="2465.9348227576202"/>
    <n v="150011.03505108799"/>
    <n v="540039.72618391796"/>
  </r>
  <r>
    <x v="0"/>
    <x v="0"/>
    <x v="0"/>
    <x v="9"/>
    <x v="17"/>
    <s v="SE4_MAL"/>
    <x v="1"/>
    <x v="1"/>
    <s v="SolarPV-50"/>
    <x v="7"/>
    <x v="4"/>
    <n v="2496.3225788217501"/>
    <n v="151859.62354499"/>
    <n v="546694.64476196398"/>
  </r>
  <r>
    <x v="0"/>
    <x v="0"/>
    <x v="0"/>
    <x v="9"/>
    <x v="17"/>
    <s v="SE4_MAL"/>
    <x v="1"/>
    <x v="1"/>
    <s v="SolarPV-50"/>
    <x v="7"/>
    <x v="5"/>
    <n v="2691.84556531106"/>
    <n v="163753.938556423"/>
    <n v="589514.17880312295"/>
  </r>
  <r>
    <x v="0"/>
    <x v="0"/>
    <x v="0"/>
    <x v="9"/>
    <x v="17"/>
    <s v="SE4_MAL"/>
    <x v="1"/>
    <x v="1"/>
    <s v="SolarPV-50"/>
    <x v="7"/>
    <x v="9"/>
    <n v="4557.7522659647902"/>
    <n v="277263.26284619101"/>
    <n v="998147.746246289"/>
  </r>
  <r>
    <x v="0"/>
    <x v="0"/>
    <x v="0"/>
    <x v="9"/>
    <x v="17"/>
    <s v="SE4_MAL"/>
    <x v="1"/>
    <x v="1"/>
    <s v="SolarPV-50"/>
    <x v="7"/>
    <x v="10"/>
    <n v="4890.2276141311004"/>
    <n v="297488.84652630799"/>
    <n v="1070959.84749471"/>
  </r>
  <r>
    <x v="0"/>
    <x v="0"/>
    <x v="0"/>
    <x v="9"/>
    <x v="17"/>
    <s v="SE4_MAL"/>
    <x v="1"/>
    <x v="1"/>
    <s v="SolarPV-50"/>
    <x v="8"/>
    <x v="2"/>
    <n v="1302.6645519819499"/>
    <n v="79245.426912235402"/>
    <n v="285283.53688404697"/>
  </r>
  <r>
    <x v="0"/>
    <x v="0"/>
    <x v="0"/>
    <x v="9"/>
    <x v="17"/>
    <s v="SE4_MAL"/>
    <x v="1"/>
    <x v="1"/>
    <s v="SolarPV-50"/>
    <x v="8"/>
    <x v="8"/>
    <n v="3562.9124881757198"/>
    <n v="216743.84303069001"/>
    <n v="780277.83491048403"/>
  </r>
  <r>
    <x v="0"/>
    <x v="0"/>
    <x v="0"/>
    <x v="9"/>
    <x v="17"/>
    <s v="SE4_MAL"/>
    <x v="1"/>
    <x v="1"/>
    <s v="SolarPV-50"/>
    <x v="8"/>
    <x v="11"/>
    <n v="4747.9617801135601"/>
    <n v="288834.34162357502"/>
    <n v="1039803.62984487"/>
  </r>
  <r>
    <x v="0"/>
    <x v="0"/>
    <x v="0"/>
    <x v="9"/>
    <x v="17"/>
    <s v="SE4_MAL"/>
    <x v="1"/>
    <x v="1"/>
    <s v="SolarPV-50"/>
    <x v="9"/>
    <x v="3"/>
    <n v="925.521141997928"/>
    <n v="56302.536138207302"/>
    <n v="202689.130097546"/>
  </r>
  <r>
    <x v="0"/>
    <x v="0"/>
    <x v="0"/>
    <x v="9"/>
    <x v="17"/>
    <s v="SE4_MAL"/>
    <x v="1"/>
    <x v="1"/>
    <s v="SolarPV-50"/>
    <x v="9"/>
    <x v="5"/>
    <n v="2605.4457868504001"/>
    <n v="158497.95203340001"/>
    <n v="570592.62732023804"/>
  </r>
  <r>
    <x v="0"/>
    <x v="0"/>
    <x v="0"/>
    <x v="9"/>
    <x v="17"/>
    <s v="SE4_MAL"/>
    <x v="1"/>
    <x v="1"/>
    <s v="SolarPV-50"/>
    <x v="9"/>
    <x v="6"/>
    <n v="4270.6197986519201"/>
    <n v="259796.037751325"/>
    <n v="935265.73590476997"/>
  </r>
  <r>
    <x v="0"/>
    <x v="0"/>
    <x v="0"/>
    <x v="9"/>
    <x v="17"/>
    <s v="SE4_MAL"/>
    <x v="1"/>
    <x v="1"/>
    <s v="SolarPV-50"/>
    <x v="9"/>
    <x v="10"/>
    <n v="4900.0570802904003"/>
    <n v="298086.80571766599"/>
    <n v="1073112.5005836"/>
  </r>
  <r>
    <x v="0"/>
    <x v="0"/>
    <x v="0"/>
    <x v="9"/>
    <x v="17"/>
    <s v="SE4_MAL"/>
    <x v="1"/>
    <x v="1"/>
    <s v="SolarPV-50"/>
    <x v="10"/>
    <x v="6"/>
    <n v="820.94293238472403"/>
    <n v="49940.695053404001"/>
    <n v="179786.502192254"/>
  </r>
  <r>
    <x v="0"/>
    <x v="0"/>
    <x v="0"/>
    <x v="9"/>
    <x v="17"/>
    <s v="SE4_MAL"/>
    <x v="1"/>
    <x v="1"/>
    <s v="SolarPV-50"/>
    <x v="10"/>
    <x v="9"/>
    <n v="4291.1734865425497"/>
    <n v="261046.38709800501"/>
    <n v="939766.99355281901"/>
  </r>
  <r>
    <x v="0"/>
    <x v="0"/>
    <x v="0"/>
    <x v="9"/>
    <x v="17"/>
    <s v="SE4_MAL"/>
    <x v="1"/>
    <x v="1"/>
    <s v="SolarPV-50"/>
    <x v="10"/>
    <x v="11"/>
    <n v="4567.74203765524"/>
    <n v="277870.97395736002"/>
    <n v="1000335.5062465"/>
  </r>
  <r>
    <x v="0"/>
    <x v="0"/>
    <x v="0"/>
    <x v="9"/>
    <x v="17"/>
    <s v="SE4_MAL"/>
    <x v="1"/>
    <x v="1"/>
    <s v="SolarPV-50"/>
    <x v="11"/>
    <x v="6"/>
    <n v="678.08176078133999"/>
    <n v="41249.973780864799"/>
    <n v="148499.905611113"/>
  </r>
  <r>
    <x v="0"/>
    <x v="0"/>
    <x v="0"/>
    <x v="9"/>
    <x v="17"/>
    <s v="SE4_MAL"/>
    <x v="1"/>
    <x v="1"/>
    <s v="SolarPV-50"/>
    <x v="11"/>
    <x v="11"/>
    <n v="3833.4406780355198"/>
    <n v="233200.97458049399"/>
    <n v="839523.50848977896"/>
  </r>
  <r>
    <x v="0"/>
    <x v="0"/>
    <x v="0"/>
    <x v="9"/>
    <x v="17"/>
    <s v="SE4_OTHER"/>
    <x v="1"/>
    <x v="1"/>
    <s v="SolarPV-50"/>
    <x v="0"/>
    <x v="0"/>
    <n v="1229.8416090936801"/>
    <n v="74815.364553199193"/>
    <n v="269335.31239151699"/>
  </r>
  <r>
    <x v="0"/>
    <x v="0"/>
    <x v="0"/>
    <x v="9"/>
    <x v="17"/>
    <s v="SE4_OTHER"/>
    <x v="1"/>
    <x v="1"/>
    <s v="SolarPV-50"/>
    <x v="0"/>
    <x v="2"/>
    <n v="1005.03346390234"/>
    <n v="61139.5357207255"/>
    <n v="220102.32859461199"/>
  </r>
  <r>
    <x v="0"/>
    <x v="0"/>
    <x v="0"/>
    <x v="9"/>
    <x v="17"/>
    <s v="SE4_OTHER"/>
    <x v="1"/>
    <x v="1"/>
    <s v="SolarPV-50"/>
    <x v="0"/>
    <x v="3"/>
    <n v="910.593752683974"/>
    <n v="55394.453288275101"/>
    <n v="199420.03183779001"/>
  </r>
  <r>
    <x v="0"/>
    <x v="0"/>
    <x v="0"/>
    <x v="9"/>
    <x v="17"/>
    <s v="SE4_OTHER"/>
    <x v="1"/>
    <x v="1"/>
    <s v="SolarPV-50"/>
    <x v="0"/>
    <x v="5"/>
    <n v="1692.8164699986"/>
    <n v="102979.66859158099"/>
    <n v="370726.80692969298"/>
  </r>
  <r>
    <x v="0"/>
    <x v="0"/>
    <x v="0"/>
    <x v="9"/>
    <x v="17"/>
    <s v="SE4_OTHER"/>
    <x v="1"/>
    <x v="1"/>
    <s v="SolarPV-50"/>
    <x v="0"/>
    <x v="6"/>
    <n v="3550.0433145654001"/>
    <n v="215960.96830272899"/>
    <n v="777459.48588982294"/>
  </r>
  <r>
    <x v="0"/>
    <x v="0"/>
    <x v="0"/>
    <x v="9"/>
    <x v="17"/>
    <s v="SE4_OTHER"/>
    <x v="1"/>
    <x v="1"/>
    <s v="SolarPV-50"/>
    <x v="0"/>
    <x v="7"/>
    <n v="2513.34943296541"/>
    <n v="152895.42383872901"/>
    <n v="550423.52581942605"/>
  </r>
  <r>
    <x v="0"/>
    <x v="0"/>
    <x v="0"/>
    <x v="9"/>
    <x v="17"/>
    <s v="SE4_OTHER"/>
    <x v="1"/>
    <x v="1"/>
    <s v="SolarPV-50"/>
    <x v="0"/>
    <x v="9"/>
    <n v="3203.5507743643702"/>
    <n v="194882.672107166"/>
    <n v="701577.61958579696"/>
  </r>
  <r>
    <x v="0"/>
    <x v="0"/>
    <x v="0"/>
    <x v="9"/>
    <x v="17"/>
    <s v="SE4_OTHER"/>
    <x v="1"/>
    <x v="1"/>
    <s v="SolarPV-50"/>
    <x v="0"/>
    <x v="11"/>
    <n v="4389.9865591764201"/>
    <n v="267057.51568323199"/>
    <n v="961407.05645963701"/>
  </r>
  <r>
    <x v="0"/>
    <x v="0"/>
    <x v="0"/>
    <x v="9"/>
    <x v="17"/>
    <s v="SE4_OTHER"/>
    <x v="1"/>
    <x v="1"/>
    <s v="SolarPV-50"/>
    <x v="1"/>
    <x v="0"/>
    <n v="2115.73335264052"/>
    <n v="128707.112285631"/>
    <n v="463345.60422827298"/>
  </r>
  <r>
    <x v="0"/>
    <x v="0"/>
    <x v="0"/>
    <x v="9"/>
    <x v="17"/>
    <s v="SE4_OTHER"/>
    <x v="1"/>
    <x v="1"/>
    <s v="SolarPV-50"/>
    <x v="1"/>
    <x v="1"/>
    <n v="2025.5480291742999"/>
    <n v="123220.83844143699"/>
    <n v="443595.01838917198"/>
  </r>
  <r>
    <x v="0"/>
    <x v="0"/>
    <x v="0"/>
    <x v="9"/>
    <x v="17"/>
    <s v="SE4_OTHER"/>
    <x v="1"/>
    <x v="1"/>
    <s v="SolarPV-50"/>
    <x v="1"/>
    <x v="5"/>
    <n v="2689.8653082044798"/>
    <n v="163633.472915772"/>
    <n v="589080.50249678001"/>
  </r>
  <r>
    <x v="0"/>
    <x v="0"/>
    <x v="0"/>
    <x v="9"/>
    <x v="17"/>
    <s v="SE4_OTHER"/>
    <x v="1"/>
    <x v="1"/>
    <s v="SolarPV-50"/>
    <x v="2"/>
    <x v="1"/>
    <n v="2843.35540409532"/>
    <n v="172970.78708246499"/>
    <n v="622694.83349687397"/>
  </r>
  <r>
    <x v="0"/>
    <x v="0"/>
    <x v="0"/>
    <x v="9"/>
    <x v="17"/>
    <s v="SE4_OTHER"/>
    <x v="1"/>
    <x v="1"/>
    <s v="SolarPV-50"/>
    <x v="2"/>
    <x v="5"/>
    <n v="2987.9297682892302"/>
    <n v="181765.72757092799"/>
    <n v="654356.61925534101"/>
  </r>
  <r>
    <x v="0"/>
    <x v="0"/>
    <x v="0"/>
    <x v="9"/>
    <x v="17"/>
    <s v="SE4_OTHER"/>
    <x v="1"/>
    <x v="1"/>
    <s v="SolarPV-50"/>
    <x v="3"/>
    <x v="4"/>
    <n v="2335.6512058462299"/>
    <n v="142085.44835564599"/>
    <n v="511507.614080325"/>
  </r>
  <r>
    <x v="0"/>
    <x v="0"/>
    <x v="0"/>
    <x v="9"/>
    <x v="17"/>
    <s v="SE4_OTHER"/>
    <x v="1"/>
    <x v="1"/>
    <s v="SolarPV-50"/>
    <x v="4"/>
    <x v="3"/>
    <n v="2257.97185243288"/>
    <n v="137359.95435633301"/>
    <n v="494495.83568279998"/>
  </r>
  <r>
    <x v="0"/>
    <x v="0"/>
    <x v="0"/>
    <x v="9"/>
    <x v="17"/>
    <s v="SE4_OTHER"/>
    <x v="1"/>
    <x v="1"/>
    <s v="SolarPV-50"/>
    <x v="4"/>
    <x v="4"/>
    <n v="2331.78404358233"/>
    <n v="141850.19598459199"/>
    <n v="510660.70554453001"/>
  </r>
  <r>
    <x v="0"/>
    <x v="0"/>
    <x v="0"/>
    <x v="9"/>
    <x v="17"/>
    <s v="SE4_OTHER"/>
    <x v="1"/>
    <x v="1"/>
    <s v="SolarPV-50"/>
    <x v="5"/>
    <x v="4"/>
    <n v="2714.24912873423"/>
    <n v="165116.82199799901"/>
    <n v="594420.559192796"/>
  </r>
  <r>
    <x v="0"/>
    <x v="0"/>
    <x v="0"/>
    <x v="9"/>
    <x v="17"/>
    <s v="SE4_OTHER"/>
    <x v="1"/>
    <x v="1"/>
    <s v="SolarPV-50"/>
    <x v="5"/>
    <x v="6"/>
    <n v="4130.6322235007701"/>
    <n v="251280.12692963"/>
    <n v="904608.45694666903"/>
  </r>
  <r>
    <x v="0"/>
    <x v="0"/>
    <x v="0"/>
    <x v="9"/>
    <x v="17"/>
    <s v="SE4_OTHER"/>
    <x v="1"/>
    <x v="1"/>
    <s v="SolarPV-50"/>
    <x v="6"/>
    <x v="0"/>
    <n v="3178.4898974113798"/>
    <n v="193358.13542585901"/>
    <n v="696089.28753309196"/>
  </r>
  <r>
    <x v="0"/>
    <x v="0"/>
    <x v="0"/>
    <x v="9"/>
    <x v="17"/>
    <s v="SE4_OTHER"/>
    <x v="1"/>
    <x v="1"/>
    <s v="SolarPV-50"/>
    <x v="6"/>
    <x v="1"/>
    <n v="3201.7153169061899"/>
    <n v="194771.01511179301"/>
    <n v="701175.65440245601"/>
  </r>
  <r>
    <x v="0"/>
    <x v="0"/>
    <x v="0"/>
    <x v="9"/>
    <x v="17"/>
    <s v="SE4_OTHER"/>
    <x v="1"/>
    <x v="1"/>
    <s v="SolarPV-50"/>
    <x v="6"/>
    <x v="4"/>
    <n v="3067.8347588822899"/>
    <n v="186626.61449867301"/>
    <n v="671855.81219522201"/>
  </r>
  <r>
    <x v="0"/>
    <x v="0"/>
    <x v="0"/>
    <x v="9"/>
    <x v="17"/>
    <s v="SE4_OTHER"/>
    <x v="1"/>
    <x v="1"/>
    <s v="SolarPV-50"/>
    <x v="6"/>
    <x v="7"/>
    <n v="3940.7042105211399"/>
    <n v="239726.17280670299"/>
    <n v="863014.22210412996"/>
  </r>
  <r>
    <x v="0"/>
    <x v="0"/>
    <x v="0"/>
    <x v="9"/>
    <x v="17"/>
    <s v="SE4_OTHER"/>
    <x v="1"/>
    <x v="1"/>
    <s v="SolarPV-50"/>
    <x v="7"/>
    <x v="2"/>
    <n v="2421.42925772954"/>
    <n v="147303.61317854701"/>
    <n v="530293.00744276994"/>
  </r>
  <r>
    <x v="0"/>
    <x v="0"/>
    <x v="0"/>
    <x v="9"/>
    <x v="17"/>
    <s v="SE4_OTHER"/>
    <x v="1"/>
    <x v="1"/>
    <s v="SolarPV-50"/>
    <x v="7"/>
    <x v="7"/>
    <n v="3444.7175573565"/>
    <n v="209553.65140585401"/>
    <n v="754393.14506107499"/>
  </r>
  <r>
    <x v="0"/>
    <x v="0"/>
    <x v="0"/>
    <x v="9"/>
    <x v="17"/>
    <s v="SE4_OTHER"/>
    <x v="1"/>
    <x v="1"/>
    <s v="SolarPV-50"/>
    <x v="8"/>
    <x v="1"/>
    <n v="1317.2976551956101"/>
    <n v="80135.607357732995"/>
    <n v="288488.18648783898"/>
  </r>
  <r>
    <x v="0"/>
    <x v="0"/>
    <x v="0"/>
    <x v="9"/>
    <x v="17"/>
    <s v="SE4_OTHER"/>
    <x v="1"/>
    <x v="1"/>
    <s v="SolarPV-50"/>
    <x v="8"/>
    <x v="3"/>
    <n v="1460.6605288758101"/>
    <n v="88856.848839945305"/>
    <n v="319884.65582380298"/>
  </r>
  <r>
    <x v="0"/>
    <x v="0"/>
    <x v="0"/>
    <x v="9"/>
    <x v="17"/>
    <s v="SE4_OTHER"/>
    <x v="1"/>
    <x v="1"/>
    <s v="SolarPV-50"/>
    <x v="8"/>
    <x v="5"/>
    <n v="2894.4780658228901"/>
    <n v="176080.749004226"/>
    <n v="633890.69641521201"/>
  </r>
  <r>
    <x v="0"/>
    <x v="0"/>
    <x v="0"/>
    <x v="9"/>
    <x v="17"/>
    <s v="SE4_OTHER"/>
    <x v="1"/>
    <x v="1"/>
    <s v="SolarPV-50"/>
    <x v="8"/>
    <x v="6"/>
    <n v="3313.8800141392098"/>
    <n v="201594.367526802"/>
    <n v="725739.72309648804"/>
  </r>
  <r>
    <x v="0"/>
    <x v="0"/>
    <x v="0"/>
    <x v="9"/>
    <x v="17"/>
    <s v="SE4_OTHER"/>
    <x v="1"/>
    <x v="1"/>
    <s v="SolarPV-50"/>
    <x v="8"/>
    <x v="7"/>
    <n v="3550.20014623727"/>
    <n v="215970.50889609999"/>
    <n v="777493.83202596195"/>
  </r>
  <r>
    <x v="0"/>
    <x v="0"/>
    <x v="0"/>
    <x v="9"/>
    <x v="17"/>
    <s v="SE4_OTHER"/>
    <x v="1"/>
    <x v="1"/>
    <s v="SolarPV-50"/>
    <x v="9"/>
    <x v="1"/>
    <n v="643.88126365756796"/>
    <n v="39169.4435391687"/>
    <n v="141009.99674100699"/>
  </r>
  <r>
    <x v="0"/>
    <x v="0"/>
    <x v="0"/>
    <x v="9"/>
    <x v="17"/>
    <s v="SE4_OTHER"/>
    <x v="1"/>
    <x v="1"/>
    <s v="SolarPV-50"/>
    <x v="9"/>
    <x v="9"/>
    <n v="5017.8362831512804"/>
    <n v="305251.70722503599"/>
    <n v="1098906.1460101299"/>
  </r>
  <r>
    <x v="0"/>
    <x v="0"/>
    <x v="0"/>
    <x v="9"/>
    <x v="17"/>
    <s v="SE4_OTHER"/>
    <x v="1"/>
    <x v="1"/>
    <s v="SolarPV-50"/>
    <x v="9"/>
    <x v="11"/>
    <n v="4618.3800171571402"/>
    <n v="280951.451043726"/>
    <n v="1011425.22375741"/>
  </r>
  <r>
    <x v="0"/>
    <x v="0"/>
    <x v="0"/>
    <x v="9"/>
    <x v="17"/>
    <s v="SE4_OTHER"/>
    <x v="1"/>
    <x v="1"/>
    <s v="SolarPV-50"/>
    <x v="10"/>
    <x v="8"/>
    <n v="4301.3789198406903"/>
    <n v="261667.21762364201"/>
    <n v="942001.98344511003"/>
  </r>
  <r>
    <x v="0"/>
    <x v="0"/>
    <x v="0"/>
    <x v="9"/>
    <x v="17"/>
    <s v="SE4_OTHER"/>
    <x v="1"/>
    <x v="1"/>
    <s v="SolarPV-50"/>
    <x v="10"/>
    <x v="10"/>
    <n v="4203.1078838332596"/>
    <n v="255689.06293319"/>
    <n v="920480.62655948498"/>
  </r>
  <r>
    <x v="0"/>
    <x v="0"/>
    <x v="0"/>
    <x v="9"/>
    <x v="17"/>
    <s v="SE4_OTHER"/>
    <x v="1"/>
    <x v="1"/>
    <s v="SolarPV-50"/>
    <x v="11"/>
    <x v="7"/>
    <n v="3256.5657030713801"/>
    <n v="198107.74693684201"/>
    <n v="713187.88897263305"/>
  </r>
  <r>
    <x v="0"/>
    <x v="0"/>
    <x v="0"/>
    <x v="9"/>
    <x v="17"/>
    <s v="SE4_OTHER"/>
    <x v="1"/>
    <x v="1"/>
    <s v="SolarPV-50"/>
    <x v="11"/>
    <x v="8"/>
    <n v="3635.5680241175801"/>
    <n v="221163.72146715299"/>
    <n v="796189.39728174906"/>
  </r>
  <r>
    <x v="0"/>
    <x v="0"/>
    <x v="0"/>
    <x v="9"/>
    <x v="17"/>
    <s v="SE4_OTHER"/>
    <x v="1"/>
    <x v="1"/>
    <s v="SolarPV-50"/>
    <x v="11"/>
    <x v="9"/>
    <n v="3849.17379021031"/>
    <n v="234158.072237794"/>
    <n v="842969.06005605799"/>
  </r>
  <r>
    <x v="0"/>
    <x v="0"/>
    <x v="0"/>
    <x v="9"/>
    <x v="17"/>
    <s v="SE4_OTHER"/>
    <x v="1"/>
    <x v="1"/>
    <s v="SolarPV-50"/>
    <x v="11"/>
    <x v="10"/>
    <n v="3843.8148436184802"/>
    <n v="233832.069653457"/>
    <n v="841795.45075244596"/>
  </r>
  <r>
    <x v="0"/>
    <x v="0"/>
    <x v="0"/>
    <x v="10"/>
    <x v="18"/>
    <s v="UKA"/>
    <x v="8"/>
    <x v="5"/>
    <s v="GCND_NUCLEAR"/>
    <x v="0"/>
    <x v="0"/>
    <n v="7430.0637499848799"/>
    <n v="451995.54479074699"/>
    <n v="1627183.96124669"/>
  </r>
  <r>
    <x v="0"/>
    <x v="0"/>
    <x v="0"/>
    <x v="10"/>
    <x v="18"/>
    <s v="UKA"/>
    <x v="8"/>
    <x v="5"/>
    <s v="GCND_NUCLEAR"/>
    <x v="0"/>
    <x v="1"/>
    <n v="7430.0637499848799"/>
    <n v="451995.54479074699"/>
    <n v="1627183.96124669"/>
  </r>
  <r>
    <x v="0"/>
    <x v="0"/>
    <x v="0"/>
    <x v="10"/>
    <x v="18"/>
    <s v="UKA"/>
    <x v="8"/>
    <x v="5"/>
    <s v="GCND_NUCLEAR"/>
    <x v="0"/>
    <x v="2"/>
    <n v="7430.0637499848799"/>
    <n v="451995.54479074699"/>
    <n v="1627183.96124669"/>
  </r>
  <r>
    <x v="0"/>
    <x v="0"/>
    <x v="0"/>
    <x v="10"/>
    <x v="18"/>
    <s v="UKA"/>
    <x v="8"/>
    <x v="5"/>
    <s v="GCND_NUCLEAR"/>
    <x v="0"/>
    <x v="3"/>
    <n v="7430.0637499848799"/>
    <n v="451995.54479074699"/>
    <n v="1627183.96124669"/>
  </r>
  <r>
    <x v="0"/>
    <x v="0"/>
    <x v="0"/>
    <x v="10"/>
    <x v="18"/>
    <s v="UKA"/>
    <x v="8"/>
    <x v="5"/>
    <s v="GCND_NUCLEAR"/>
    <x v="0"/>
    <x v="4"/>
    <n v="7430.0637499848799"/>
    <n v="451995.54479074699"/>
    <n v="1627183.96124669"/>
  </r>
  <r>
    <x v="0"/>
    <x v="0"/>
    <x v="0"/>
    <x v="10"/>
    <x v="18"/>
    <s v="UKA"/>
    <x v="8"/>
    <x v="5"/>
    <s v="GCND_NUCLEAR"/>
    <x v="0"/>
    <x v="5"/>
    <n v="7430.0637499848799"/>
    <n v="451995.54479074699"/>
    <n v="1627183.96124669"/>
  </r>
  <r>
    <x v="0"/>
    <x v="0"/>
    <x v="0"/>
    <x v="10"/>
    <x v="18"/>
    <s v="UKA"/>
    <x v="8"/>
    <x v="5"/>
    <s v="GCND_NUCLEAR"/>
    <x v="0"/>
    <x v="6"/>
    <n v="7430.0637499848799"/>
    <n v="451995.54479074699"/>
    <n v="1627183.96124669"/>
  </r>
  <r>
    <x v="0"/>
    <x v="0"/>
    <x v="0"/>
    <x v="10"/>
    <x v="18"/>
    <s v="UKA"/>
    <x v="8"/>
    <x v="5"/>
    <s v="GCND_NUCLEAR"/>
    <x v="0"/>
    <x v="7"/>
    <n v="7430.0637499848799"/>
    <n v="451995.54479074699"/>
    <n v="1627183.96124669"/>
  </r>
  <r>
    <x v="0"/>
    <x v="0"/>
    <x v="0"/>
    <x v="10"/>
    <x v="18"/>
    <s v="UKA"/>
    <x v="8"/>
    <x v="5"/>
    <s v="GCND_NUCLEAR"/>
    <x v="0"/>
    <x v="8"/>
    <n v="7430.0637499848799"/>
    <n v="451995.54479074699"/>
    <n v="1627183.96124669"/>
  </r>
  <r>
    <x v="0"/>
    <x v="0"/>
    <x v="0"/>
    <x v="10"/>
    <x v="18"/>
    <s v="UKA"/>
    <x v="8"/>
    <x v="5"/>
    <s v="GCND_NUCLEAR"/>
    <x v="0"/>
    <x v="9"/>
    <n v="7430.0637499848799"/>
    <n v="451995.54479074699"/>
    <n v="1627183.96124669"/>
  </r>
  <r>
    <x v="0"/>
    <x v="0"/>
    <x v="0"/>
    <x v="10"/>
    <x v="18"/>
    <s v="UKA"/>
    <x v="8"/>
    <x v="5"/>
    <s v="GCND_NUCLEAR"/>
    <x v="0"/>
    <x v="10"/>
    <n v="7430.0637499848799"/>
    <n v="451995.54479074699"/>
    <n v="1627183.96124669"/>
  </r>
  <r>
    <x v="0"/>
    <x v="0"/>
    <x v="0"/>
    <x v="10"/>
    <x v="18"/>
    <s v="UKA"/>
    <x v="8"/>
    <x v="5"/>
    <s v="GCND_NUCLEAR"/>
    <x v="0"/>
    <x v="11"/>
    <n v="7430.0637499848799"/>
    <n v="451995.54479074699"/>
    <n v="1627183.96124669"/>
  </r>
  <r>
    <x v="0"/>
    <x v="0"/>
    <x v="0"/>
    <x v="10"/>
    <x v="18"/>
    <s v="UKA"/>
    <x v="8"/>
    <x v="5"/>
    <s v="GCND_NUCLEAR"/>
    <x v="1"/>
    <x v="0"/>
    <n v="7550.7268714712"/>
    <n v="459335.88468116499"/>
    <n v="1653609.1848521901"/>
  </r>
  <r>
    <x v="0"/>
    <x v="0"/>
    <x v="0"/>
    <x v="10"/>
    <x v="18"/>
    <s v="UKA"/>
    <x v="8"/>
    <x v="5"/>
    <s v="GCND_NUCLEAR"/>
    <x v="1"/>
    <x v="1"/>
    <n v="7550.7268714712"/>
    <n v="459335.88468116499"/>
    <n v="1653609.1848521901"/>
  </r>
  <r>
    <x v="0"/>
    <x v="0"/>
    <x v="0"/>
    <x v="10"/>
    <x v="18"/>
    <s v="UKA"/>
    <x v="8"/>
    <x v="5"/>
    <s v="GCND_NUCLEAR"/>
    <x v="1"/>
    <x v="2"/>
    <n v="7550.7268714712"/>
    <n v="459335.88468116499"/>
    <n v="1653609.1848521901"/>
  </r>
  <r>
    <x v="0"/>
    <x v="0"/>
    <x v="0"/>
    <x v="10"/>
    <x v="18"/>
    <s v="UKA"/>
    <x v="8"/>
    <x v="5"/>
    <s v="GCND_NUCLEAR"/>
    <x v="1"/>
    <x v="3"/>
    <n v="7550.7268714712"/>
    <n v="459335.88468116499"/>
    <n v="1653609.1848521901"/>
  </r>
  <r>
    <x v="0"/>
    <x v="0"/>
    <x v="0"/>
    <x v="10"/>
    <x v="18"/>
    <s v="UKA"/>
    <x v="8"/>
    <x v="5"/>
    <s v="GCND_NUCLEAR"/>
    <x v="1"/>
    <x v="4"/>
    <n v="7550.7268714712"/>
    <n v="459335.88468116499"/>
    <n v="1653609.1848521901"/>
  </r>
  <r>
    <x v="0"/>
    <x v="0"/>
    <x v="0"/>
    <x v="10"/>
    <x v="18"/>
    <s v="UKA"/>
    <x v="8"/>
    <x v="5"/>
    <s v="GCND_NUCLEAR"/>
    <x v="1"/>
    <x v="5"/>
    <n v="7550.7268714712"/>
    <n v="459335.88468116499"/>
    <n v="1653609.1848521901"/>
  </r>
  <r>
    <x v="0"/>
    <x v="0"/>
    <x v="0"/>
    <x v="10"/>
    <x v="18"/>
    <s v="UKA"/>
    <x v="8"/>
    <x v="5"/>
    <s v="GCND_NUCLEAR"/>
    <x v="1"/>
    <x v="6"/>
    <n v="7550.7268714712"/>
    <n v="459335.88468116499"/>
    <n v="1653609.1848521901"/>
  </r>
  <r>
    <x v="0"/>
    <x v="0"/>
    <x v="0"/>
    <x v="10"/>
    <x v="18"/>
    <s v="UKA"/>
    <x v="8"/>
    <x v="5"/>
    <s v="GCND_NUCLEAR"/>
    <x v="1"/>
    <x v="7"/>
    <n v="7550.7268714712"/>
    <n v="459335.88468116499"/>
    <n v="1653609.1848521901"/>
  </r>
  <r>
    <x v="0"/>
    <x v="0"/>
    <x v="0"/>
    <x v="10"/>
    <x v="18"/>
    <s v="UKA"/>
    <x v="8"/>
    <x v="5"/>
    <s v="GCND_NUCLEAR"/>
    <x v="1"/>
    <x v="8"/>
    <n v="7550.7268714712"/>
    <n v="459335.88468116499"/>
    <n v="1653609.1848521901"/>
  </r>
  <r>
    <x v="0"/>
    <x v="0"/>
    <x v="0"/>
    <x v="10"/>
    <x v="18"/>
    <s v="UKA"/>
    <x v="8"/>
    <x v="5"/>
    <s v="GCND_NUCLEAR"/>
    <x v="1"/>
    <x v="9"/>
    <n v="7550.7268714712"/>
    <n v="459335.88468116499"/>
    <n v="1653609.1848521901"/>
  </r>
  <r>
    <x v="0"/>
    <x v="0"/>
    <x v="0"/>
    <x v="10"/>
    <x v="18"/>
    <s v="UKA"/>
    <x v="8"/>
    <x v="5"/>
    <s v="GCND_NUCLEAR"/>
    <x v="1"/>
    <x v="10"/>
    <n v="7550.7268714712"/>
    <n v="459335.88468116499"/>
    <n v="1653609.1848521901"/>
  </r>
  <r>
    <x v="0"/>
    <x v="0"/>
    <x v="0"/>
    <x v="10"/>
    <x v="18"/>
    <s v="UKA"/>
    <x v="8"/>
    <x v="5"/>
    <s v="GCND_NUCLEAR"/>
    <x v="1"/>
    <x v="11"/>
    <n v="7550.7268714712"/>
    <n v="459335.88468116499"/>
    <n v="1653609.1848521901"/>
  </r>
  <r>
    <x v="0"/>
    <x v="0"/>
    <x v="0"/>
    <x v="10"/>
    <x v="18"/>
    <s v="UKA"/>
    <x v="8"/>
    <x v="5"/>
    <s v="GCND_NUCLEAR"/>
    <x v="2"/>
    <x v="0"/>
    <n v="7395.7211692541596"/>
    <n v="449906.37112962798"/>
    <n v="1619662.9360666601"/>
  </r>
  <r>
    <x v="0"/>
    <x v="0"/>
    <x v="0"/>
    <x v="10"/>
    <x v="18"/>
    <s v="UKA"/>
    <x v="8"/>
    <x v="5"/>
    <s v="GCND_NUCLEAR"/>
    <x v="2"/>
    <x v="1"/>
    <n v="7395.7211692541596"/>
    <n v="449906.37112962798"/>
    <n v="1619662.9360666601"/>
  </r>
  <r>
    <x v="0"/>
    <x v="0"/>
    <x v="0"/>
    <x v="10"/>
    <x v="18"/>
    <s v="UKA"/>
    <x v="8"/>
    <x v="5"/>
    <s v="GCND_NUCLEAR"/>
    <x v="2"/>
    <x v="2"/>
    <n v="7395.7211692541596"/>
    <n v="449906.37112962798"/>
    <n v="1619662.9360666601"/>
  </r>
  <r>
    <x v="0"/>
    <x v="0"/>
    <x v="0"/>
    <x v="10"/>
    <x v="18"/>
    <s v="UKA"/>
    <x v="8"/>
    <x v="5"/>
    <s v="GCND_NUCLEAR"/>
    <x v="2"/>
    <x v="3"/>
    <n v="7395.7211692541596"/>
    <n v="449906.37112962798"/>
    <n v="1619662.9360666601"/>
  </r>
  <r>
    <x v="0"/>
    <x v="0"/>
    <x v="0"/>
    <x v="10"/>
    <x v="18"/>
    <s v="UKA"/>
    <x v="8"/>
    <x v="5"/>
    <s v="GCND_NUCLEAR"/>
    <x v="2"/>
    <x v="4"/>
    <n v="7395.7211692541596"/>
    <n v="449906.37112962798"/>
    <n v="1619662.9360666601"/>
  </r>
  <r>
    <x v="0"/>
    <x v="0"/>
    <x v="0"/>
    <x v="10"/>
    <x v="18"/>
    <s v="UKA"/>
    <x v="8"/>
    <x v="5"/>
    <s v="GCND_NUCLEAR"/>
    <x v="2"/>
    <x v="5"/>
    <n v="7395.7211692541596"/>
    <n v="449906.37112962798"/>
    <n v="1619662.9360666601"/>
  </r>
  <r>
    <x v="0"/>
    <x v="0"/>
    <x v="0"/>
    <x v="10"/>
    <x v="18"/>
    <s v="UKA"/>
    <x v="8"/>
    <x v="5"/>
    <s v="GCND_NUCLEAR"/>
    <x v="2"/>
    <x v="6"/>
    <n v="7395.7211692541596"/>
    <n v="449906.37112962798"/>
    <n v="1619662.9360666601"/>
  </r>
  <r>
    <x v="0"/>
    <x v="0"/>
    <x v="0"/>
    <x v="10"/>
    <x v="18"/>
    <s v="UKA"/>
    <x v="8"/>
    <x v="5"/>
    <s v="GCND_NUCLEAR"/>
    <x v="2"/>
    <x v="7"/>
    <n v="7395.7211692541596"/>
    <n v="449906.37112962798"/>
    <n v="1619662.9360666601"/>
  </r>
  <r>
    <x v="0"/>
    <x v="0"/>
    <x v="0"/>
    <x v="10"/>
    <x v="18"/>
    <s v="UKA"/>
    <x v="8"/>
    <x v="5"/>
    <s v="GCND_NUCLEAR"/>
    <x v="2"/>
    <x v="8"/>
    <n v="7395.7211692541596"/>
    <n v="449906.37112962798"/>
    <n v="1619662.9360666601"/>
  </r>
  <r>
    <x v="0"/>
    <x v="0"/>
    <x v="0"/>
    <x v="10"/>
    <x v="18"/>
    <s v="UKA"/>
    <x v="8"/>
    <x v="5"/>
    <s v="GCND_NUCLEAR"/>
    <x v="2"/>
    <x v="9"/>
    <n v="7395.7211692541596"/>
    <n v="449906.37112962798"/>
    <n v="1619662.9360666601"/>
  </r>
  <r>
    <x v="0"/>
    <x v="0"/>
    <x v="0"/>
    <x v="10"/>
    <x v="18"/>
    <s v="UKA"/>
    <x v="8"/>
    <x v="5"/>
    <s v="GCND_NUCLEAR"/>
    <x v="2"/>
    <x v="10"/>
    <n v="7395.7211692541596"/>
    <n v="449906.37112962798"/>
    <n v="1619662.9360666601"/>
  </r>
  <r>
    <x v="0"/>
    <x v="0"/>
    <x v="0"/>
    <x v="10"/>
    <x v="18"/>
    <s v="UKA"/>
    <x v="8"/>
    <x v="5"/>
    <s v="GCND_NUCLEAR"/>
    <x v="2"/>
    <x v="11"/>
    <n v="7395.7211692541596"/>
    <n v="449906.37112962798"/>
    <n v="1619662.9360666601"/>
  </r>
  <r>
    <x v="0"/>
    <x v="0"/>
    <x v="0"/>
    <x v="10"/>
    <x v="18"/>
    <s v="UKA"/>
    <x v="8"/>
    <x v="5"/>
    <s v="GCND_NUCLEAR"/>
    <x v="3"/>
    <x v="0"/>
    <n v="7847.7437858990797"/>
    <n v="477404.41364219401"/>
    <n v="1718655.8891119"/>
  </r>
  <r>
    <x v="0"/>
    <x v="0"/>
    <x v="0"/>
    <x v="10"/>
    <x v="18"/>
    <s v="UKA"/>
    <x v="8"/>
    <x v="5"/>
    <s v="GCND_NUCLEAR"/>
    <x v="3"/>
    <x v="1"/>
    <n v="7847.7437858990797"/>
    <n v="477404.41364219401"/>
    <n v="1718655.8891119"/>
  </r>
  <r>
    <x v="0"/>
    <x v="0"/>
    <x v="0"/>
    <x v="10"/>
    <x v="18"/>
    <s v="UKA"/>
    <x v="8"/>
    <x v="5"/>
    <s v="GCND_NUCLEAR"/>
    <x v="3"/>
    <x v="2"/>
    <n v="7847.7437858990797"/>
    <n v="477404.41364219401"/>
    <n v="1718655.8891119"/>
  </r>
  <r>
    <x v="0"/>
    <x v="0"/>
    <x v="0"/>
    <x v="10"/>
    <x v="18"/>
    <s v="UKA"/>
    <x v="8"/>
    <x v="5"/>
    <s v="GCND_NUCLEAR"/>
    <x v="3"/>
    <x v="3"/>
    <n v="7847.7437858990797"/>
    <n v="477404.41364219401"/>
    <n v="1718655.8891119"/>
  </r>
  <r>
    <x v="0"/>
    <x v="0"/>
    <x v="0"/>
    <x v="10"/>
    <x v="18"/>
    <s v="UKA"/>
    <x v="8"/>
    <x v="5"/>
    <s v="GCND_NUCLEAR"/>
    <x v="3"/>
    <x v="4"/>
    <n v="7847.7437858990797"/>
    <n v="477404.41364219401"/>
    <n v="1718655.8891119"/>
  </r>
  <r>
    <x v="0"/>
    <x v="0"/>
    <x v="0"/>
    <x v="10"/>
    <x v="18"/>
    <s v="UKA"/>
    <x v="8"/>
    <x v="5"/>
    <s v="GCND_NUCLEAR"/>
    <x v="3"/>
    <x v="5"/>
    <n v="7847.7437858990797"/>
    <n v="477404.41364219401"/>
    <n v="1718655.8891119"/>
  </r>
  <r>
    <x v="0"/>
    <x v="0"/>
    <x v="0"/>
    <x v="10"/>
    <x v="18"/>
    <s v="UKA"/>
    <x v="8"/>
    <x v="5"/>
    <s v="GCND_NUCLEAR"/>
    <x v="3"/>
    <x v="6"/>
    <n v="7847.7437858990797"/>
    <n v="477404.41364219401"/>
    <n v="1718655.8891119"/>
  </r>
  <r>
    <x v="0"/>
    <x v="0"/>
    <x v="0"/>
    <x v="10"/>
    <x v="18"/>
    <s v="UKA"/>
    <x v="8"/>
    <x v="5"/>
    <s v="GCND_NUCLEAR"/>
    <x v="3"/>
    <x v="7"/>
    <n v="7847.7437858990797"/>
    <n v="477404.41364219401"/>
    <n v="1718655.8891119"/>
  </r>
  <r>
    <x v="0"/>
    <x v="0"/>
    <x v="0"/>
    <x v="10"/>
    <x v="18"/>
    <s v="UKA"/>
    <x v="8"/>
    <x v="5"/>
    <s v="GCND_NUCLEAR"/>
    <x v="3"/>
    <x v="8"/>
    <n v="7847.7437858990797"/>
    <n v="477404.41364219401"/>
    <n v="1718655.8891119"/>
  </r>
  <r>
    <x v="0"/>
    <x v="0"/>
    <x v="0"/>
    <x v="10"/>
    <x v="18"/>
    <s v="UKA"/>
    <x v="8"/>
    <x v="5"/>
    <s v="GCND_NUCLEAR"/>
    <x v="3"/>
    <x v="9"/>
    <n v="7847.7437858990797"/>
    <n v="477404.41364219401"/>
    <n v="1718655.8891119"/>
  </r>
  <r>
    <x v="0"/>
    <x v="0"/>
    <x v="0"/>
    <x v="10"/>
    <x v="18"/>
    <s v="UKA"/>
    <x v="8"/>
    <x v="5"/>
    <s v="GCND_NUCLEAR"/>
    <x v="3"/>
    <x v="10"/>
    <n v="7847.7437858990797"/>
    <n v="477404.41364219401"/>
    <n v="1718655.8891119"/>
  </r>
  <r>
    <x v="0"/>
    <x v="0"/>
    <x v="0"/>
    <x v="10"/>
    <x v="18"/>
    <s v="UKA"/>
    <x v="8"/>
    <x v="5"/>
    <s v="GCND_NUCLEAR"/>
    <x v="3"/>
    <x v="11"/>
    <n v="7847.7437858990797"/>
    <n v="477404.41364219401"/>
    <n v="1718655.8891119"/>
  </r>
  <r>
    <x v="0"/>
    <x v="0"/>
    <x v="0"/>
    <x v="10"/>
    <x v="18"/>
    <s v="UKA"/>
    <x v="8"/>
    <x v="5"/>
    <s v="GCND_NUCLEAR"/>
    <x v="4"/>
    <x v="0"/>
    <n v="7872.8045880539303"/>
    <n v="478928.94577328098"/>
    <n v="1724144.2047838101"/>
  </r>
  <r>
    <x v="0"/>
    <x v="0"/>
    <x v="0"/>
    <x v="10"/>
    <x v="18"/>
    <s v="UKA"/>
    <x v="8"/>
    <x v="5"/>
    <s v="GCND_NUCLEAR"/>
    <x v="4"/>
    <x v="1"/>
    <n v="7872.8045880539303"/>
    <n v="478928.94577328098"/>
    <n v="1724144.2047838101"/>
  </r>
  <r>
    <x v="0"/>
    <x v="0"/>
    <x v="0"/>
    <x v="10"/>
    <x v="18"/>
    <s v="UKA"/>
    <x v="8"/>
    <x v="5"/>
    <s v="GCND_NUCLEAR"/>
    <x v="4"/>
    <x v="2"/>
    <n v="7872.8045880539303"/>
    <n v="478928.94577328098"/>
    <n v="1724144.2047838101"/>
  </r>
  <r>
    <x v="0"/>
    <x v="0"/>
    <x v="0"/>
    <x v="10"/>
    <x v="18"/>
    <s v="UKA"/>
    <x v="8"/>
    <x v="5"/>
    <s v="GCND_NUCLEAR"/>
    <x v="4"/>
    <x v="3"/>
    <n v="7872.8045880539303"/>
    <n v="478928.94577328098"/>
    <n v="1724144.2047838101"/>
  </r>
  <r>
    <x v="0"/>
    <x v="0"/>
    <x v="0"/>
    <x v="10"/>
    <x v="18"/>
    <s v="UKA"/>
    <x v="8"/>
    <x v="5"/>
    <s v="GCND_NUCLEAR"/>
    <x v="4"/>
    <x v="4"/>
    <n v="7872.8045880539303"/>
    <n v="478928.94577328098"/>
    <n v="1724144.2047838101"/>
  </r>
  <r>
    <x v="0"/>
    <x v="0"/>
    <x v="0"/>
    <x v="10"/>
    <x v="18"/>
    <s v="UKA"/>
    <x v="8"/>
    <x v="5"/>
    <s v="GCND_NUCLEAR"/>
    <x v="4"/>
    <x v="5"/>
    <n v="7872.8045880539303"/>
    <n v="478928.94577328098"/>
    <n v="1724144.2047838101"/>
  </r>
  <r>
    <x v="0"/>
    <x v="0"/>
    <x v="0"/>
    <x v="10"/>
    <x v="18"/>
    <s v="UKA"/>
    <x v="8"/>
    <x v="5"/>
    <s v="GCND_NUCLEAR"/>
    <x v="4"/>
    <x v="6"/>
    <n v="7872.8045880539303"/>
    <n v="478928.94577328098"/>
    <n v="1724144.2047838101"/>
  </r>
  <r>
    <x v="0"/>
    <x v="0"/>
    <x v="0"/>
    <x v="10"/>
    <x v="18"/>
    <s v="UKA"/>
    <x v="8"/>
    <x v="5"/>
    <s v="GCND_NUCLEAR"/>
    <x v="4"/>
    <x v="7"/>
    <n v="7872.8045880539303"/>
    <n v="478928.94577328098"/>
    <n v="1724144.2047838101"/>
  </r>
  <r>
    <x v="0"/>
    <x v="0"/>
    <x v="0"/>
    <x v="10"/>
    <x v="18"/>
    <s v="UKA"/>
    <x v="8"/>
    <x v="5"/>
    <s v="GCND_NUCLEAR"/>
    <x v="4"/>
    <x v="8"/>
    <n v="7872.8045880539303"/>
    <n v="478928.94577328098"/>
    <n v="1724144.2047838101"/>
  </r>
  <r>
    <x v="0"/>
    <x v="0"/>
    <x v="0"/>
    <x v="10"/>
    <x v="18"/>
    <s v="UKA"/>
    <x v="8"/>
    <x v="5"/>
    <s v="GCND_NUCLEAR"/>
    <x v="4"/>
    <x v="9"/>
    <n v="7872.8045880539303"/>
    <n v="478928.94577328098"/>
    <n v="1724144.2047838101"/>
  </r>
  <r>
    <x v="0"/>
    <x v="0"/>
    <x v="0"/>
    <x v="10"/>
    <x v="18"/>
    <s v="UKA"/>
    <x v="8"/>
    <x v="5"/>
    <s v="GCND_NUCLEAR"/>
    <x v="4"/>
    <x v="10"/>
    <n v="7872.8045880539303"/>
    <n v="478928.94577328098"/>
    <n v="1724144.2047838101"/>
  </r>
  <r>
    <x v="0"/>
    <x v="0"/>
    <x v="0"/>
    <x v="10"/>
    <x v="18"/>
    <s v="UKA"/>
    <x v="8"/>
    <x v="5"/>
    <s v="GCND_NUCLEAR"/>
    <x v="4"/>
    <x v="11"/>
    <n v="7872.8045880539303"/>
    <n v="478928.94577328098"/>
    <n v="1724144.2047838101"/>
  </r>
  <r>
    <x v="0"/>
    <x v="0"/>
    <x v="0"/>
    <x v="10"/>
    <x v="18"/>
    <s v="UKA"/>
    <x v="8"/>
    <x v="5"/>
    <s v="GCND_NUCLEAR"/>
    <x v="5"/>
    <x v="0"/>
    <n v="8019.4566895526996"/>
    <n v="487850.28194778902"/>
    <n v="1756261.01501204"/>
  </r>
  <r>
    <x v="0"/>
    <x v="0"/>
    <x v="0"/>
    <x v="10"/>
    <x v="18"/>
    <s v="UKA"/>
    <x v="8"/>
    <x v="5"/>
    <s v="GCND_NUCLEAR"/>
    <x v="5"/>
    <x v="1"/>
    <n v="8019.4566895526996"/>
    <n v="487850.28194778902"/>
    <n v="1756261.01501204"/>
  </r>
  <r>
    <x v="0"/>
    <x v="0"/>
    <x v="0"/>
    <x v="10"/>
    <x v="18"/>
    <s v="UKA"/>
    <x v="8"/>
    <x v="5"/>
    <s v="GCND_NUCLEAR"/>
    <x v="5"/>
    <x v="2"/>
    <n v="8019.4566895526996"/>
    <n v="487850.28194778902"/>
    <n v="1756261.01501204"/>
  </r>
  <r>
    <x v="0"/>
    <x v="0"/>
    <x v="0"/>
    <x v="10"/>
    <x v="18"/>
    <s v="UKA"/>
    <x v="8"/>
    <x v="5"/>
    <s v="GCND_NUCLEAR"/>
    <x v="5"/>
    <x v="3"/>
    <n v="8019.4566895526996"/>
    <n v="487850.28194778902"/>
    <n v="1756261.01501204"/>
  </r>
  <r>
    <x v="0"/>
    <x v="0"/>
    <x v="0"/>
    <x v="10"/>
    <x v="18"/>
    <s v="UKA"/>
    <x v="8"/>
    <x v="5"/>
    <s v="GCND_NUCLEAR"/>
    <x v="5"/>
    <x v="4"/>
    <n v="8019.4566895526996"/>
    <n v="487850.28194778902"/>
    <n v="1756261.01501204"/>
  </r>
  <r>
    <x v="0"/>
    <x v="0"/>
    <x v="0"/>
    <x v="10"/>
    <x v="18"/>
    <s v="UKA"/>
    <x v="8"/>
    <x v="5"/>
    <s v="GCND_NUCLEAR"/>
    <x v="5"/>
    <x v="5"/>
    <n v="8019.4566895526996"/>
    <n v="487850.28194778902"/>
    <n v="1756261.01501204"/>
  </r>
  <r>
    <x v="0"/>
    <x v="0"/>
    <x v="0"/>
    <x v="10"/>
    <x v="18"/>
    <s v="UKA"/>
    <x v="8"/>
    <x v="5"/>
    <s v="GCND_NUCLEAR"/>
    <x v="5"/>
    <x v="6"/>
    <n v="8019.4566895526996"/>
    <n v="487850.28194778902"/>
    <n v="1756261.01501204"/>
  </r>
  <r>
    <x v="0"/>
    <x v="0"/>
    <x v="0"/>
    <x v="10"/>
    <x v="18"/>
    <s v="UKA"/>
    <x v="8"/>
    <x v="5"/>
    <s v="GCND_NUCLEAR"/>
    <x v="5"/>
    <x v="7"/>
    <n v="8019.4566895526996"/>
    <n v="487850.28194778902"/>
    <n v="1756261.01501204"/>
  </r>
  <r>
    <x v="0"/>
    <x v="0"/>
    <x v="0"/>
    <x v="10"/>
    <x v="18"/>
    <s v="UKA"/>
    <x v="8"/>
    <x v="5"/>
    <s v="GCND_NUCLEAR"/>
    <x v="5"/>
    <x v="8"/>
    <n v="8019.4566895526996"/>
    <n v="487850.28194778902"/>
    <n v="1756261.01501204"/>
  </r>
  <r>
    <x v="0"/>
    <x v="0"/>
    <x v="0"/>
    <x v="10"/>
    <x v="18"/>
    <s v="UKA"/>
    <x v="8"/>
    <x v="5"/>
    <s v="GCND_NUCLEAR"/>
    <x v="5"/>
    <x v="9"/>
    <n v="8019.4566895526996"/>
    <n v="487850.28194778902"/>
    <n v="1756261.01501204"/>
  </r>
  <r>
    <x v="0"/>
    <x v="0"/>
    <x v="0"/>
    <x v="10"/>
    <x v="18"/>
    <s v="UKA"/>
    <x v="8"/>
    <x v="5"/>
    <s v="GCND_NUCLEAR"/>
    <x v="5"/>
    <x v="10"/>
    <n v="8019.4566895526996"/>
    <n v="487850.28194778902"/>
    <n v="1756261.01501204"/>
  </r>
  <r>
    <x v="0"/>
    <x v="0"/>
    <x v="0"/>
    <x v="10"/>
    <x v="18"/>
    <s v="UKA"/>
    <x v="8"/>
    <x v="5"/>
    <s v="GCND_NUCLEAR"/>
    <x v="5"/>
    <x v="11"/>
    <n v="8019.4566895526996"/>
    <n v="487850.28194778902"/>
    <n v="1756261.01501204"/>
  </r>
  <r>
    <x v="0"/>
    <x v="0"/>
    <x v="0"/>
    <x v="10"/>
    <x v="18"/>
    <s v="UKA"/>
    <x v="8"/>
    <x v="5"/>
    <s v="GCND_NUCLEAR"/>
    <x v="6"/>
    <x v="0"/>
    <n v="8101.1363410203603"/>
    <n v="492819.12741207198"/>
    <n v="1774148.8586834599"/>
  </r>
  <r>
    <x v="0"/>
    <x v="0"/>
    <x v="0"/>
    <x v="10"/>
    <x v="18"/>
    <s v="UKA"/>
    <x v="8"/>
    <x v="5"/>
    <s v="GCND_NUCLEAR"/>
    <x v="6"/>
    <x v="1"/>
    <n v="8101.1363410203603"/>
    <n v="492819.12741207198"/>
    <n v="1774148.8586834599"/>
  </r>
  <r>
    <x v="0"/>
    <x v="0"/>
    <x v="0"/>
    <x v="10"/>
    <x v="18"/>
    <s v="UKA"/>
    <x v="8"/>
    <x v="5"/>
    <s v="GCND_NUCLEAR"/>
    <x v="6"/>
    <x v="2"/>
    <n v="8101.1363410203603"/>
    <n v="492819.12741207198"/>
    <n v="1774148.8586834599"/>
  </r>
  <r>
    <x v="0"/>
    <x v="0"/>
    <x v="0"/>
    <x v="10"/>
    <x v="18"/>
    <s v="UKA"/>
    <x v="8"/>
    <x v="5"/>
    <s v="GCND_NUCLEAR"/>
    <x v="6"/>
    <x v="3"/>
    <n v="8101.1363410203603"/>
    <n v="492819.12741207198"/>
    <n v="1774148.8586834599"/>
  </r>
  <r>
    <x v="0"/>
    <x v="0"/>
    <x v="0"/>
    <x v="10"/>
    <x v="18"/>
    <s v="UKA"/>
    <x v="8"/>
    <x v="5"/>
    <s v="GCND_NUCLEAR"/>
    <x v="6"/>
    <x v="4"/>
    <n v="8101.1363410203603"/>
    <n v="492819.12741207198"/>
    <n v="1774148.8586834599"/>
  </r>
  <r>
    <x v="0"/>
    <x v="0"/>
    <x v="0"/>
    <x v="10"/>
    <x v="18"/>
    <s v="UKA"/>
    <x v="8"/>
    <x v="5"/>
    <s v="GCND_NUCLEAR"/>
    <x v="6"/>
    <x v="5"/>
    <n v="8101.1363410203603"/>
    <n v="492819.12741207198"/>
    <n v="1774148.8586834599"/>
  </r>
  <r>
    <x v="0"/>
    <x v="0"/>
    <x v="0"/>
    <x v="10"/>
    <x v="18"/>
    <s v="UKA"/>
    <x v="8"/>
    <x v="5"/>
    <s v="GCND_NUCLEAR"/>
    <x v="6"/>
    <x v="6"/>
    <n v="8101.1363410203603"/>
    <n v="492819.12741207198"/>
    <n v="1774148.8586834599"/>
  </r>
  <r>
    <x v="0"/>
    <x v="0"/>
    <x v="0"/>
    <x v="10"/>
    <x v="18"/>
    <s v="UKA"/>
    <x v="8"/>
    <x v="5"/>
    <s v="GCND_NUCLEAR"/>
    <x v="6"/>
    <x v="7"/>
    <n v="8101.1363410203603"/>
    <n v="492819.12741207198"/>
    <n v="1774148.8586834599"/>
  </r>
  <r>
    <x v="0"/>
    <x v="0"/>
    <x v="0"/>
    <x v="10"/>
    <x v="18"/>
    <s v="UKA"/>
    <x v="8"/>
    <x v="5"/>
    <s v="GCND_NUCLEAR"/>
    <x v="6"/>
    <x v="8"/>
    <n v="8101.1363410203603"/>
    <n v="492819.12741207198"/>
    <n v="1774148.8586834599"/>
  </r>
  <r>
    <x v="0"/>
    <x v="0"/>
    <x v="0"/>
    <x v="10"/>
    <x v="18"/>
    <s v="UKA"/>
    <x v="8"/>
    <x v="5"/>
    <s v="GCND_NUCLEAR"/>
    <x v="6"/>
    <x v="9"/>
    <n v="8101.1363410203603"/>
    <n v="492819.12741207198"/>
    <n v="1774148.8586834599"/>
  </r>
  <r>
    <x v="0"/>
    <x v="0"/>
    <x v="0"/>
    <x v="10"/>
    <x v="18"/>
    <s v="UKA"/>
    <x v="8"/>
    <x v="5"/>
    <s v="GCND_NUCLEAR"/>
    <x v="6"/>
    <x v="10"/>
    <n v="8101.1363410203603"/>
    <n v="492819.12741207198"/>
    <n v="1774148.8586834599"/>
  </r>
  <r>
    <x v="0"/>
    <x v="0"/>
    <x v="0"/>
    <x v="10"/>
    <x v="18"/>
    <s v="UKA"/>
    <x v="8"/>
    <x v="5"/>
    <s v="GCND_NUCLEAR"/>
    <x v="6"/>
    <x v="11"/>
    <n v="8101.1363410203603"/>
    <n v="492819.12741207198"/>
    <n v="1774148.8586834599"/>
  </r>
  <r>
    <x v="0"/>
    <x v="0"/>
    <x v="0"/>
    <x v="10"/>
    <x v="18"/>
    <s v="UKA"/>
    <x v="8"/>
    <x v="5"/>
    <s v="GCND_NUCLEAR"/>
    <x v="7"/>
    <x v="0"/>
    <n v="8089.9982067293204"/>
    <n v="492141.55757603399"/>
    <n v="1771709.60727372"/>
  </r>
  <r>
    <x v="0"/>
    <x v="0"/>
    <x v="0"/>
    <x v="10"/>
    <x v="18"/>
    <s v="UKA"/>
    <x v="8"/>
    <x v="5"/>
    <s v="GCND_NUCLEAR"/>
    <x v="7"/>
    <x v="1"/>
    <n v="8089.9982067293204"/>
    <n v="492141.55757603399"/>
    <n v="1771709.60727372"/>
  </r>
  <r>
    <x v="0"/>
    <x v="0"/>
    <x v="0"/>
    <x v="10"/>
    <x v="18"/>
    <s v="UKA"/>
    <x v="8"/>
    <x v="5"/>
    <s v="GCND_NUCLEAR"/>
    <x v="7"/>
    <x v="2"/>
    <n v="8089.9982067293204"/>
    <n v="492141.55757603399"/>
    <n v="1771709.60727372"/>
  </r>
  <r>
    <x v="0"/>
    <x v="0"/>
    <x v="0"/>
    <x v="10"/>
    <x v="18"/>
    <s v="UKA"/>
    <x v="8"/>
    <x v="5"/>
    <s v="GCND_NUCLEAR"/>
    <x v="7"/>
    <x v="3"/>
    <n v="8089.9982067293204"/>
    <n v="492141.55757603399"/>
    <n v="1771709.60727372"/>
  </r>
  <r>
    <x v="0"/>
    <x v="0"/>
    <x v="0"/>
    <x v="10"/>
    <x v="18"/>
    <s v="UKA"/>
    <x v="8"/>
    <x v="5"/>
    <s v="GCND_NUCLEAR"/>
    <x v="7"/>
    <x v="4"/>
    <n v="8089.9982067293204"/>
    <n v="492141.55757603399"/>
    <n v="1771709.60727372"/>
  </r>
  <r>
    <x v="0"/>
    <x v="0"/>
    <x v="0"/>
    <x v="10"/>
    <x v="18"/>
    <s v="UKA"/>
    <x v="8"/>
    <x v="5"/>
    <s v="GCND_NUCLEAR"/>
    <x v="7"/>
    <x v="5"/>
    <n v="8089.9982067293204"/>
    <n v="492141.55757603399"/>
    <n v="1771709.60727372"/>
  </r>
  <r>
    <x v="0"/>
    <x v="0"/>
    <x v="0"/>
    <x v="10"/>
    <x v="18"/>
    <s v="UKA"/>
    <x v="8"/>
    <x v="5"/>
    <s v="GCND_NUCLEAR"/>
    <x v="7"/>
    <x v="6"/>
    <n v="8089.9982067293204"/>
    <n v="492141.55757603399"/>
    <n v="1771709.60727372"/>
  </r>
  <r>
    <x v="0"/>
    <x v="0"/>
    <x v="0"/>
    <x v="10"/>
    <x v="18"/>
    <s v="UKA"/>
    <x v="8"/>
    <x v="5"/>
    <s v="GCND_NUCLEAR"/>
    <x v="7"/>
    <x v="7"/>
    <n v="8089.9982067293204"/>
    <n v="492141.55757603399"/>
    <n v="1771709.60727372"/>
  </r>
  <r>
    <x v="0"/>
    <x v="0"/>
    <x v="0"/>
    <x v="10"/>
    <x v="18"/>
    <s v="UKA"/>
    <x v="8"/>
    <x v="5"/>
    <s v="GCND_NUCLEAR"/>
    <x v="7"/>
    <x v="8"/>
    <n v="8089.9982067293204"/>
    <n v="492141.55757603399"/>
    <n v="1771709.60727372"/>
  </r>
  <r>
    <x v="0"/>
    <x v="0"/>
    <x v="0"/>
    <x v="10"/>
    <x v="18"/>
    <s v="UKA"/>
    <x v="8"/>
    <x v="5"/>
    <s v="GCND_NUCLEAR"/>
    <x v="7"/>
    <x v="9"/>
    <n v="8089.9982067293204"/>
    <n v="492141.55757603399"/>
    <n v="1771709.60727372"/>
  </r>
  <r>
    <x v="0"/>
    <x v="0"/>
    <x v="0"/>
    <x v="10"/>
    <x v="18"/>
    <s v="UKA"/>
    <x v="8"/>
    <x v="5"/>
    <s v="GCND_NUCLEAR"/>
    <x v="7"/>
    <x v="10"/>
    <n v="8089.9982067293204"/>
    <n v="492141.55757603399"/>
    <n v="1771709.60727372"/>
  </r>
  <r>
    <x v="0"/>
    <x v="0"/>
    <x v="0"/>
    <x v="10"/>
    <x v="18"/>
    <s v="UKA"/>
    <x v="8"/>
    <x v="5"/>
    <s v="GCND_NUCLEAR"/>
    <x v="7"/>
    <x v="11"/>
    <n v="8089.9982067293204"/>
    <n v="492141.55757603399"/>
    <n v="1771709.60727372"/>
  </r>
  <r>
    <x v="0"/>
    <x v="0"/>
    <x v="0"/>
    <x v="10"/>
    <x v="18"/>
    <s v="UKA"/>
    <x v="8"/>
    <x v="5"/>
    <s v="GCND_NUCLEAR"/>
    <x v="8"/>
    <x v="0"/>
    <n v="8247.7884425191205"/>
    <n v="501740.46358658001"/>
    <n v="1806265.6689116899"/>
  </r>
  <r>
    <x v="0"/>
    <x v="0"/>
    <x v="0"/>
    <x v="10"/>
    <x v="18"/>
    <s v="UKA"/>
    <x v="8"/>
    <x v="5"/>
    <s v="GCND_NUCLEAR"/>
    <x v="8"/>
    <x v="1"/>
    <n v="8247.7884425191205"/>
    <n v="501740.46358658001"/>
    <n v="1806265.6689116899"/>
  </r>
  <r>
    <x v="0"/>
    <x v="0"/>
    <x v="0"/>
    <x v="10"/>
    <x v="18"/>
    <s v="UKA"/>
    <x v="8"/>
    <x v="5"/>
    <s v="GCND_NUCLEAR"/>
    <x v="8"/>
    <x v="2"/>
    <n v="8247.7884425191205"/>
    <n v="501740.46358658001"/>
    <n v="1806265.6689116899"/>
  </r>
  <r>
    <x v="0"/>
    <x v="0"/>
    <x v="0"/>
    <x v="10"/>
    <x v="18"/>
    <s v="UKA"/>
    <x v="8"/>
    <x v="5"/>
    <s v="GCND_NUCLEAR"/>
    <x v="8"/>
    <x v="3"/>
    <n v="8247.7884425191205"/>
    <n v="501740.46358658001"/>
    <n v="1806265.6689116899"/>
  </r>
  <r>
    <x v="0"/>
    <x v="0"/>
    <x v="0"/>
    <x v="10"/>
    <x v="18"/>
    <s v="UKA"/>
    <x v="8"/>
    <x v="5"/>
    <s v="GCND_NUCLEAR"/>
    <x v="8"/>
    <x v="4"/>
    <n v="8247.7884425191205"/>
    <n v="501740.46358658001"/>
    <n v="1806265.6689116899"/>
  </r>
  <r>
    <x v="0"/>
    <x v="0"/>
    <x v="0"/>
    <x v="10"/>
    <x v="18"/>
    <s v="UKA"/>
    <x v="8"/>
    <x v="5"/>
    <s v="GCND_NUCLEAR"/>
    <x v="8"/>
    <x v="5"/>
    <n v="8247.7884425191205"/>
    <n v="501740.46358658001"/>
    <n v="1806265.6689116899"/>
  </r>
  <r>
    <x v="0"/>
    <x v="0"/>
    <x v="0"/>
    <x v="10"/>
    <x v="18"/>
    <s v="UKA"/>
    <x v="8"/>
    <x v="5"/>
    <s v="GCND_NUCLEAR"/>
    <x v="8"/>
    <x v="6"/>
    <n v="8247.7884425191205"/>
    <n v="501740.46358658001"/>
    <n v="1806265.6689116899"/>
  </r>
  <r>
    <x v="0"/>
    <x v="0"/>
    <x v="0"/>
    <x v="10"/>
    <x v="18"/>
    <s v="UKA"/>
    <x v="8"/>
    <x v="5"/>
    <s v="GCND_NUCLEAR"/>
    <x v="8"/>
    <x v="7"/>
    <n v="8247.7884425191205"/>
    <n v="501740.46358658001"/>
    <n v="1806265.6689116899"/>
  </r>
  <r>
    <x v="0"/>
    <x v="0"/>
    <x v="0"/>
    <x v="10"/>
    <x v="18"/>
    <s v="UKA"/>
    <x v="8"/>
    <x v="5"/>
    <s v="GCND_NUCLEAR"/>
    <x v="8"/>
    <x v="8"/>
    <n v="8247.7884425191205"/>
    <n v="501740.46358658001"/>
    <n v="1806265.6689116899"/>
  </r>
  <r>
    <x v="0"/>
    <x v="0"/>
    <x v="0"/>
    <x v="10"/>
    <x v="18"/>
    <s v="UKA"/>
    <x v="8"/>
    <x v="5"/>
    <s v="GCND_NUCLEAR"/>
    <x v="8"/>
    <x v="9"/>
    <n v="8247.7884425191205"/>
    <n v="501740.46358658001"/>
    <n v="1806265.6689116899"/>
  </r>
  <r>
    <x v="0"/>
    <x v="0"/>
    <x v="0"/>
    <x v="10"/>
    <x v="18"/>
    <s v="UKA"/>
    <x v="8"/>
    <x v="5"/>
    <s v="GCND_NUCLEAR"/>
    <x v="8"/>
    <x v="10"/>
    <n v="8247.7884425191205"/>
    <n v="501740.46358658001"/>
    <n v="1806265.6689116899"/>
  </r>
  <r>
    <x v="0"/>
    <x v="0"/>
    <x v="0"/>
    <x v="10"/>
    <x v="18"/>
    <s v="UKA"/>
    <x v="8"/>
    <x v="5"/>
    <s v="GCND_NUCLEAR"/>
    <x v="8"/>
    <x v="11"/>
    <n v="8247.7884425191205"/>
    <n v="501740.46358658001"/>
    <n v="1806265.6689116899"/>
  </r>
  <r>
    <x v="0"/>
    <x v="0"/>
    <x v="0"/>
    <x v="10"/>
    <x v="18"/>
    <s v="UKA"/>
    <x v="8"/>
    <x v="5"/>
    <s v="GCND_NUCLEAR"/>
    <x v="9"/>
    <x v="0"/>
    <n v="6404.4272173511099"/>
    <n v="389602.65572219301"/>
    <n v="1402569.5605998901"/>
  </r>
  <r>
    <x v="0"/>
    <x v="0"/>
    <x v="0"/>
    <x v="10"/>
    <x v="18"/>
    <s v="UKA"/>
    <x v="8"/>
    <x v="5"/>
    <s v="GCND_NUCLEAR"/>
    <x v="9"/>
    <x v="1"/>
    <n v="6404.4272173511099"/>
    <n v="389602.65572219301"/>
    <n v="1402569.5605998901"/>
  </r>
  <r>
    <x v="0"/>
    <x v="0"/>
    <x v="0"/>
    <x v="10"/>
    <x v="18"/>
    <s v="UKA"/>
    <x v="8"/>
    <x v="5"/>
    <s v="GCND_NUCLEAR"/>
    <x v="9"/>
    <x v="2"/>
    <n v="6404.4272173511099"/>
    <n v="389602.65572219301"/>
    <n v="1402569.5605998901"/>
  </r>
  <r>
    <x v="0"/>
    <x v="0"/>
    <x v="0"/>
    <x v="10"/>
    <x v="18"/>
    <s v="UKA"/>
    <x v="8"/>
    <x v="5"/>
    <s v="GCND_NUCLEAR"/>
    <x v="9"/>
    <x v="3"/>
    <n v="6404.4272173511099"/>
    <n v="389602.65572219301"/>
    <n v="1402569.5605998901"/>
  </r>
  <r>
    <x v="0"/>
    <x v="0"/>
    <x v="0"/>
    <x v="10"/>
    <x v="18"/>
    <s v="UKA"/>
    <x v="8"/>
    <x v="5"/>
    <s v="GCND_NUCLEAR"/>
    <x v="9"/>
    <x v="4"/>
    <n v="6404.4272173511099"/>
    <n v="389602.65572219301"/>
    <n v="1402569.5605998901"/>
  </r>
  <r>
    <x v="0"/>
    <x v="0"/>
    <x v="0"/>
    <x v="10"/>
    <x v="18"/>
    <s v="UKA"/>
    <x v="8"/>
    <x v="5"/>
    <s v="GCND_NUCLEAR"/>
    <x v="9"/>
    <x v="5"/>
    <n v="6404.4272173511099"/>
    <n v="389602.65572219301"/>
    <n v="1402569.5605998901"/>
  </r>
  <r>
    <x v="0"/>
    <x v="0"/>
    <x v="0"/>
    <x v="10"/>
    <x v="18"/>
    <s v="UKA"/>
    <x v="8"/>
    <x v="5"/>
    <s v="GCND_NUCLEAR"/>
    <x v="9"/>
    <x v="6"/>
    <n v="6404.4272173511099"/>
    <n v="389602.65572219301"/>
    <n v="1402569.5605998901"/>
  </r>
  <r>
    <x v="0"/>
    <x v="0"/>
    <x v="0"/>
    <x v="10"/>
    <x v="18"/>
    <s v="UKA"/>
    <x v="8"/>
    <x v="5"/>
    <s v="GCND_NUCLEAR"/>
    <x v="9"/>
    <x v="7"/>
    <n v="6404.4272173511099"/>
    <n v="389602.65572219301"/>
    <n v="1402569.5605998901"/>
  </r>
  <r>
    <x v="0"/>
    <x v="0"/>
    <x v="0"/>
    <x v="10"/>
    <x v="18"/>
    <s v="UKA"/>
    <x v="8"/>
    <x v="5"/>
    <s v="GCND_NUCLEAR"/>
    <x v="9"/>
    <x v="8"/>
    <n v="6404.4272173511099"/>
    <n v="389602.65572219301"/>
    <n v="1402569.5605998901"/>
  </r>
  <r>
    <x v="0"/>
    <x v="0"/>
    <x v="0"/>
    <x v="10"/>
    <x v="18"/>
    <s v="UKA"/>
    <x v="8"/>
    <x v="5"/>
    <s v="GCND_NUCLEAR"/>
    <x v="9"/>
    <x v="9"/>
    <n v="6404.4272173511099"/>
    <n v="389602.65572219301"/>
    <n v="1402569.5605998901"/>
  </r>
  <r>
    <x v="0"/>
    <x v="0"/>
    <x v="0"/>
    <x v="10"/>
    <x v="18"/>
    <s v="UKA"/>
    <x v="8"/>
    <x v="5"/>
    <s v="GCND_NUCLEAR"/>
    <x v="9"/>
    <x v="10"/>
    <n v="6404.4272173511099"/>
    <n v="389602.65572219301"/>
    <n v="1402569.5605998901"/>
  </r>
  <r>
    <x v="0"/>
    <x v="0"/>
    <x v="0"/>
    <x v="10"/>
    <x v="18"/>
    <s v="UKA"/>
    <x v="8"/>
    <x v="5"/>
    <s v="GCND_NUCLEAR"/>
    <x v="9"/>
    <x v="11"/>
    <n v="6404.4272173511099"/>
    <n v="389602.65572219301"/>
    <n v="1402569.5605998901"/>
  </r>
  <r>
    <x v="0"/>
    <x v="0"/>
    <x v="0"/>
    <x v="10"/>
    <x v="18"/>
    <s v="UKA"/>
    <x v="8"/>
    <x v="5"/>
    <s v="GCND_NUCLEAR"/>
    <x v="10"/>
    <x v="0"/>
    <n v="6144.5374172267202"/>
    <n v="373792.69288129202"/>
    <n v="1345653.69437265"/>
  </r>
  <r>
    <x v="0"/>
    <x v="0"/>
    <x v="0"/>
    <x v="10"/>
    <x v="18"/>
    <s v="UKA"/>
    <x v="8"/>
    <x v="5"/>
    <s v="GCND_NUCLEAR"/>
    <x v="10"/>
    <x v="1"/>
    <n v="6144.5374172267202"/>
    <n v="373792.69288129202"/>
    <n v="1345653.69437265"/>
  </r>
  <r>
    <x v="0"/>
    <x v="0"/>
    <x v="0"/>
    <x v="10"/>
    <x v="18"/>
    <s v="UKA"/>
    <x v="8"/>
    <x v="5"/>
    <s v="GCND_NUCLEAR"/>
    <x v="10"/>
    <x v="2"/>
    <n v="6144.5374172267202"/>
    <n v="373792.69288129202"/>
    <n v="1345653.69437265"/>
  </r>
  <r>
    <x v="0"/>
    <x v="0"/>
    <x v="0"/>
    <x v="10"/>
    <x v="18"/>
    <s v="UKA"/>
    <x v="8"/>
    <x v="5"/>
    <s v="GCND_NUCLEAR"/>
    <x v="10"/>
    <x v="3"/>
    <n v="6144.5374172267202"/>
    <n v="373792.69288129202"/>
    <n v="1345653.69437265"/>
  </r>
  <r>
    <x v="0"/>
    <x v="0"/>
    <x v="0"/>
    <x v="10"/>
    <x v="18"/>
    <s v="UKA"/>
    <x v="8"/>
    <x v="5"/>
    <s v="GCND_NUCLEAR"/>
    <x v="10"/>
    <x v="4"/>
    <n v="6144.5374172267202"/>
    <n v="373792.69288129202"/>
    <n v="1345653.69437265"/>
  </r>
  <r>
    <x v="0"/>
    <x v="0"/>
    <x v="0"/>
    <x v="10"/>
    <x v="18"/>
    <s v="UKA"/>
    <x v="8"/>
    <x v="5"/>
    <s v="GCND_NUCLEAR"/>
    <x v="10"/>
    <x v="5"/>
    <n v="6144.5374172267202"/>
    <n v="373792.69288129202"/>
    <n v="1345653.69437265"/>
  </r>
  <r>
    <x v="0"/>
    <x v="0"/>
    <x v="0"/>
    <x v="10"/>
    <x v="18"/>
    <s v="UKA"/>
    <x v="8"/>
    <x v="5"/>
    <s v="GCND_NUCLEAR"/>
    <x v="10"/>
    <x v="6"/>
    <n v="6144.5374172267202"/>
    <n v="373792.69288129202"/>
    <n v="1345653.69437265"/>
  </r>
  <r>
    <x v="0"/>
    <x v="0"/>
    <x v="0"/>
    <x v="10"/>
    <x v="18"/>
    <s v="UKA"/>
    <x v="8"/>
    <x v="5"/>
    <s v="GCND_NUCLEAR"/>
    <x v="10"/>
    <x v="7"/>
    <n v="6144.5374172267202"/>
    <n v="373792.69288129202"/>
    <n v="1345653.69437265"/>
  </r>
  <r>
    <x v="0"/>
    <x v="0"/>
    <x v="0"/>
    <x v="10"/>
    <x v="18"/>
    <s v="UKA"/>
    <x v="8"/>
    <x v="5"/>
    <s v="GCND_NUCLEAR"/>
    <x v="10"/>
    <x v="8"/>
    <n v="6144.5374172267202"/>
    <n v="373792.69288129202"/>
    <n v="1345653.69437265"/>
  </r>
  <r>
    <x v="0"/>
    <x v="0"/>
    <x v="0"/>
    <x v="10"/>
    <x v="18"/>
    <s v="UKA"/>
    <x v="8"/>
    <x v="5"/>
    <s v="GCND_NUCLEAR"/>
    <x v="10"/>
    <x v="9"/>
    <n v="6144.5374172267202"/>
    <n v="373792.69288129202"/>
    <n v="1345653.69437265"/>
  </r>
  <r>
    <x v="0"/>
    <x v="0"/>
    <x v="0"/>
    <x v="10"/>
    <x v="18"/>
    <s v="UKA"/>
    <x v="8"/>
    <x v="5"/>
    <s v="GCND_NUCLEAR"/>
    <x v="10"/>
    <x v="10"/>
    <n v="6144.5374172267202"/>
    <n v="373792.69288129202"/>
    <n v="1345653.69437265"/>
  </r>
  <r>
    <x v="0"/>
    <x v="0"/>
    <x v="0"/>
    <x v="10"/>
    <x v="18"/>
    <s v="UKA"/>
    <x v="8"/>
    <x v="5"/>
    <s v="GCND_NUCLEAR"/>
    <x v="10"/>
    <x v="11"/>
    <n v="6144.5374172267202"/>
    <n v="373792.69288129202"/>
    <n v="1345653.69437265"/>
  </r>
  <r>
    <x v="0"/>
    <x v="0"/>
    <x v="0"/>
    <x v="10"/>
    <x v="18"/>
    <s v="UKA"/>
    <x v="8"/>
    <x v="5"/>
    <s v="GCND_NUCLEAR"/>
    <x v="11"/>
    <x v="0"/>
    <n v="5998.8134935855396"/>
    <n v="364927.820859787"/>
    <n v="1313740.1550952301"/>
  </r>
  <r>
    <x v="0"/>
    <x v="0"/>
    <x v="0"/>
    <x v="10"/>
    <x v="18"/>
    <s v="UKA"/>
    <x v="8"/>
    <x v="5"/>
    <s v="GCND_NUCLEAR"/>
    <x v="11"/>
    <x v="1"/>
    <n v="5998.8134935855396"/>
    <n v="364927.820859787"/>
    <n v="1313740.1550952301"/>
  </r>
  <r>
    <x v="0"/>
    <x v="0"/>
    <x v="0"/>
    <x v="10"/>
    <x v="18"/>
    <s v="UKA"/>
    <x v="8"/>
    <x v="5"/>
    <s v="GCND_NUCLEAR"/>
    <x v="11"/>
    <x v="2"/>
    <n v="5998.8134935855396"/>
    <n v="364927.820859787"/>
    <n v="1313740.1550952301"/>
  </r>
  <r>
    <x v="0"/>
    <x v="0"/>
    <x v="0"/>
    <x v="10"/>
    <x v="18"/>
    <s v="UKA"/>
    <x v="8"/>
    <x v="5"/>
    <s v="GCND_NUCLEAR"/>
    <x v="11"/>
    <x v="3"/>
    <n v="5998.8134935855396"/>
    <n v="364927.820859787"/>
    <n v="1313740.1550952301"/>
  </r>
  <r>
    <x v="0"/>
    <x v="0"/>
    <x v="0"/>
    <x v="10"/>
    <x v="18"/>
    <s v="UKA"/>
    <x v="8"/>
    <x v="5"/>
    <s v="GCND_NUCLEAR"/>
    <x v="11"/>
    <x v="4"/>
    <n v="5998.8134935855396"/>
    <n v="364927.820859787"/>
    <n v="1313740.1550952301"/>
  </r>
  <r>
    <x v="0"/>
    <x v="0"/>
    <x v="0"/>
    <x v="10"/>
    <x v="18"/>
    <s v="UKA"/>
    <x v="8"/>
    <x v="5"/>
    <s v="GCND_NUCLEAR"/>
    <x v="11"/>
    <x v="5"/>
    <n v="5998.8134935855396"/>
    <n v="364927.820859787"/>
    <n v="1313740.1550952301"/>
  </r>
  <r>
    <x v="0"/>
    <x v="0"/>
    <x v="0"/>
    <x v="10"/>
    <x v="18"/>
    <s v="UKA"/>
    <x v="8"/>
    <x v="5"/>
    <s v="GCND_NUCLEAR"/>
    <x v="11"/>
    <x v="6"/>
    <n v="5998.8134935855396"/>
    <n v="364927.820859787"/>
    <n v="1313740.1550952301"/>
  </r>
  <r>
    <x v="0"/>
    <x v="0"/>
    <x v="0"/>
    <x v="10"/>
    <x v="18"/>
    <s v="UKA"/>
    <x v="8"/>
    <x v="5"/>
    <s v="GCND_NUCLEAR"/>
    <x v="11"/>
    <x v="7"/>
    <n v="5998.8134935855396"/>
    <n v="364927.820859787"/>
    <n v="1313740.1550952301"/>
  </r>
  <r>
    <x v="0"/>
    <x v="0"/>
    <x v="0"/>
    <x v="10"/>
    <x v="18"/>
    <s v="UKA"/>
    <x v="8"/>
    <x v="5"/>
    <s v="GCND_NUCLEAR"/>
    <x v="11"/>
    <x v="8"/>
    <n v="5998.8134935855396"/>
    <n v="364927.820859787"/>
    <n v="1313740.1550952301"/>
  </r>
  <r>
    <x v="0"/>
    <x v="0"/>
    <x v="0"/>
    <x v="10"/>
    <x v="18"/>
    <s v="UKA"/>
    <x v="8"/>
    <x v="5"/>
    <s v="GCND_NUCLEAR"/>
    <x v="11"/>
    <x v="9"/>
    <n v="5998.8134935855396"/>
    <n v="364927.820859787"/>
    <n v="1313740.1550952301"/>
  </r>
  <r>
    <x v="0"/>
    <x v="0"/>
    <x v="0"/>
    <x v="10"/>
    <x v="18"/>
    <s v="UKA"/>
    <x v="8"/>
    <x v="5"/>
    <s v="GCND_NUCLEAR"/>
    <x v="11"/>
    <x v="10"/>
    <n v="5998.8134935855396"/>
    <n v="364927.820859787"/>
    <n v="1313740.1550952301"/>
  </r>
  <r>
    <x v="0"/>
    <x v="0"/>
    <x v="0"/>
    <x v="10"/>
    <x v="18"/>
    <s v="UKA"/>
    <x v="8"/>
    <x v="5"/>
    <s v="GCND_NUCLEAR"/>
    <x v="11"/>
    <x v="11"/>
    <n v="5998.8134935855396"/>
    <n v="364927.820859787"/>
    <n v="1313740.1550952301"/>
  </r>
  <r>
    <x v="0"/>
    <x v="0"/>
    <x v="0"/>
    <x v="10"/>
    <x v="18"/>
    <s v="UKA"/>
    <x v="1"/>
    <x v="1"/>
    <s v="GSOLE_SUN"/>
    <x v="0"/>
    <x v="5"/>
    <n v="6.1777245566110901"/>
    <n v="375.811577193841"/>
    <n v="1352.92167789783"/>
  </r>
  <r>
    <x v="0"/>
    <x v="0"/>
    <x v="0"/>
    <x v="10"/>
    <x v="18"/>
    <s v="UKA"/>
    <x v="1"/>
    <x v="1"/>
    <s v="GSOLE_SUN"/>
    <x v="0"/>
    <x v="6"/>
    <n v="16.473932150963002"/>
    <n v="1002.16420585025"/>
    <n v="3607.7911410608899"/>
  </r>
  <r>
    <x v="0"/>
    <x v="0"/>
    <x v="0"/>
    <x v="10"/>
    <x v="18"/>
    <s v="UKA"/>
    <x v="1"/>
    <x v="1"/>
    <s v="GSOLE_SUN"/>
    <x v="0"/>
    <x v="7"/>
    <n v="16.473932150963002"/>
    <n v="1002.16420585025"/>
    <n v="3607.7911410608899"/>
  </r>
  <r>
    <x v="0"/>
    <x v="0"/>
    <x v="0"/>
    <x v="10"/>
    <x v="18"/>
    <s v="UKA"/>
    <x v="1"/>
    <x v="1"/>
    <s v="GSOLE_SUN"/>
    <x v="0"/>
    <x v="8"/>
    <n v="18.5331736698333"/>
    <n v="1127.4347315815301"/>
    <n v="4058.7650336934998"/>
  </r>
  <r>
    <x v="0"/>
    <x v="0"/>
    <x v="0"/>
    <x v="10"/>
    <x v="18"/>
    <s v="UKA"/>
    <x v="1"/>
    <x v="1"/>
    <s v="GSOLE_SUN"/>
    <x v="0"/>
    <x v="9"/>
    <n v="131.79145720770401"/>
    <n v="8017.3136468019802"/>
    <n v="28862.329128487101"/>
  </r>
  <r>
    <x v="0"/>
    <x v="0"/>
    <x v="0"/>
    <x v="10"/>
    <x v="18"/>
    <s v="UKA"/>
    <x v="1"/>
    <x v="1"/>
    <s v="GSOLE_SUN"/>
    <x v="0"/>
    <x v="10"/>
    <n v="329.47864301926001"/>
    <n v="20043.284117005001"/>
    <n v="72155.822821217895"/>
  </r>
  <r>
    <x v="0"/>
    <x v="0"/>
    <x v="0"/>
    <x v="10"/>
    <x v="18"/>
    <s v="UKA"/>
    <x v="1"/>
    <x v="1"/>
    <s v="GSOLE_SUN"/>
    <x v="0"/>
    <x v="11"/>
    <n v="469.50706630244503"/>
    <n v="28561.679866732102"/>
    <n v="102822.04752023501"/>
  </r>
  <r>
    <x v="0"/>
    <x v="0"/>
    <x v="0"/>
    <x v="10"/>
    <x v="18"/>
    <s v="UKA"/>
    <x v="1"/>
    <x v="1"/>
    <s v="GSOLE_SUN"/>
    <x v="1"/>
    <x v="5"/>
    <n v="10.296207594351801"/>
    <n v="626.352628656403"/>
    <n v="2254.8694631630501"/>
  </r>
  <r>
    <x v="0"/>
    <x v="0"/>
    <x v="0"/>
    <x v="10"/>
    <x v="18"/>
    <s v="UKA"/>
    <x v="1"/>
    <x v="1"/>
    <s v="GSOLE_SUN"/>
    <x v="1"/>
    <x v="6"/>
    <n v="20.592415188703701"/>
    <n v="1252.7052573128101"/>
    <n v="4509.7389263261202"/>
  </r>
  <r>
    <x v="0"/>
    <x v="0"/>
    <x v="0"/>
    <x v="10"/>
    <x v="18"/>
    <s v="UKA"/>
    <x v="1"/>
    <x v="1"/>
    <s v="GSOLE_SUN"/>
    <x v="1"/>
    <x v="7"/>
    <n v="24.710898226444499"/>
    <n v="1503.2463087753699"/>
    <n v="5411.6867115913401"/>
  </r>
  <r>
    <x v="0"/>
    <x v="0"/>
    <x v="0"/>
    <x v="10"/>
    <x v="18"/>
    <s v="UKA"/>
    <x v="1"/>
    <x v="1"/>
    <s v="GSOLE_SUN"/>
    <x v="1"/>
    <x v="8"/>
    <n v="24.710898226444499"/>
    <n v="1503.2463087753699"/>
    <n v="5411.6867115913401"/>
  </r>
  <r>
    <x v="0"/>
    <x v="0"/>
    <x v="0"/>
    <x v="10"/>
    <x v="18"/>
    <s v="UKA"/>
    <x v="1"/>
    <x v="1"/>
    <s v="GSOLE_SUN"/>
    <x v="1"/>
    <x v="9"/>
    <n v="105.02131746238901"/>
    <n v="6388.7968122953098"/>
    <n v="22999.668524263099"/>
  </r>
  <r>
    <x v="0"/>
    <x v="0"/>
    <x v="0"/>
    <x v="10"/>
    <x v="18"/>
    <s v="UKA"/>
    <x v="1"/>
    <x v="1"/>
    <s v="GSOLE_SUN"/>
    <x v="1"/>
    <x v="10"/>
    <n v="218.27960100025899"/>
    <n v="13278.6757275158"/>
    <n v="47803.232619056798"/>
  </r>
  <r>
    <x v="0"/>
    <x v="0"/>
    <x v="0"/>
    <x v="10"/>
    <x v="18"/>
    <s v="UKA"/>
    <x v="1"/>
    <x v="1"/>
    <s v="GSOLE_SUN"/>
    <x v="1"/>
    <x v="11"/>
    <n v="315.06395238716698"/>
    <n v="19166.390436885998"/>
    <n v="68999.005572789494"/>
  </r>
  <r>
    <x v="0"/>
    <x v="0"/>
    <x v="0"/>
    <x v="10"/>
    <x v="18"/>
    <s v="UKA"/>
    <x v="1"/>
    <x v="1"/>
    <s v="GSOLE_SUN"/>
    <x v="2"/>
    <x v="5"/>
    <n v="18.5331736698333"/>
    <n v="1127.4347315815301"/>
    <n v="4058.7650336934998"/>
  </r>
  <r>
    <x v="0"/>
    <x v="0"/>
    <x v="0"/>
    <x v="10"/>
    <x v="18"/>
    <s v="UKA"/>
    <x v="1"/>
    <x v="1"/>
    <s v="GSOLE_SUN"/>
    <x v="2"/>
    <x v="6"/>
    <n v="41.184830377407401"/>
    <n v="2505.4105146256202"/>
    <n v="9019.4778526522205"/>
  </r>
  <r>
    <x v="0"/>
    <x v="0"/>
    <x v="0"/>
    <x v="10"/>
    <x v="18"/>
    <s v="UKA"/>
    <x v="1"/>
    <x v="1"/>
    <s v="GSOLE_SUN"/>
    <x v="2"/>
    <x v="7"/>
    <n v="45.303313415148097"/>
    <n v="2755.9515660881798"/>
    <n v="9921.4256379174403"/>
  </r>
  <r>
    <x v="0"/>
    <x v="0"/>
    <x v="0"/>
    <x v="10"/>
    <x v="18"/>
    <s v="UKA"/>
    <x v="1"/>
    <x v="1"/>
    <s v="GSOLE_SUN"/>
    <x v="2"/>
    <x v="8"/>
    <n v="47.362554934018497"/>
    <n v="2881.2220918194598"/>
    <n v="10372.399530550099"/>
  </r>
  <r>
    <x v="0"/>
    <x v="0"/>
    <x v="0"/>
    <x v="10"/>
    <x v="18"/>
    <s v="UKA"/>
    <x v="1"/>
    <x v="1"/>
    <s v="GSOLE_SUN"/>
    <x v="2"/>
    <x v="9"/>
    <n v="269.760638972018"/>
    <n v="16410.4388707978"/>
    <n v="59077.579934872003"/>
  </r>
  <r>
    <x v="0"/>
    <x v="0"/>
    <x v="0"/>
    <x v="10"/>
    <x v="18"/>
    <s v="UKA"/>
    <x v="1"/>
    <x v="1"/>
    <s v="GSOLE_SUN"/>
    <x v="2"/>
    <x v="10"/>
    <n v="539.52127794403702"/>
    <n v="32820.877741595599"/>
    <n v="118155.15986974401"/>
  </r>
  <r>
    <x v="0"/>
    <x v="0"/>
    <x v="0"/>
    <x v="10"/>
    <x v="18"/>
    <s v="UKA"/>
    <x v="1"/>
    <x v="1"/>
    <s v="GSOLE_SUN"/>
    <x v="2"/>
    <x v="11"/>
    <n v="710.43832401027703"/>
    <n v="43218.331377291899"/>
    <n v="155585.99295825101"/>
  </r>
  <r>
    <x v="0"/>
    <x v="0"/>
    <x v="0"/>
    <x v="10"/>
    <x v="18"/>
    <s v="UKA"/>
    <x v="1"/>
    <x v="1"/>
    <s v="GSOLE_SUN"/>
    <x v="3"/>
    <x v="5"/>
    <n v="16.473932150963002"/>
    <n v="1002.16420585025"/>
    <n v="3607.7911410608899"/>
  </r>
  <r>
    <x v="0"/>
    <x v="0"/>
    <x v="0"/>
    <x v="10"/>
    <x v="18"/>
    <s v="UKA"/>
    <x v="1"/>
    <x v="1"/>
    <s v="GSOLE_SUN"/>
    <x v="3"/>
    <x v="6"/>
    <n v="37.066347339666599"/>
    <n v="2254.8694631630501"/>
    <n v="8117.5300673869997"/>
  </r>
  <r>
    <x v="0"/>
    <x v="0"/>
    <x v="0"/>
    <x v="10"/>
    <x v="18"/>
    <s v="UKA"/>
    <x v="1"/>
    <x v="1"/>
    <s v="GSOLE_SUN"/>
    <x v="3"/>
    <x v="7"/>
    <n v="39.125588858537"/>
    <n v="2380.1399888943401"/>
    <n v="8568.5039600196105"/>
  </r>
  <r>
    <x v="0"/>
    <x v="0"/>
    <x v="0"/>
    <x v="10"/>
    <x v="18"/>
    <s v="UKA"/>
    <x v="1"/>
    <x v="1"/>
    <s v="GSOLE_SUN"/>
    <x v="3"/>
    <x v="8"/>
    <n v="41.184830377407401"/>
    <n v="2505.4105146256202"/>
    <n v="9019.4778526522205"/>
  </r>
  <r>
    <x v="0"/>
    <x v="0"/>
    <x v="0"/>
    <x v="10"/>
    <x v="18"/>
    <s v="UKA"/>
    <x v="1"/>
    <x v="1"/>
    <s v="GSOLE_SUN"/>
    <x v="3"/>
    <x v="9"/>
    <n v="199.746427330426"/>
    <n v="12151.2409959343"/>
    <n v="43744.467585363302"/>
  </r>
  <r>
    <x v="0"/>
    <x v="0"/>
    <x v="0"/>
    <x v="10"/>
    <x v="18"/>
    <s v="UKA"/>
    <x v="1"/>
    <x v="1"/>
    <s v="GSOLE_SUN"/>
    <x v="3"/>
    <x v="10"/>
    <n v="395.37437162311102"/>
    <n v="24051.940940405901"/>
    <n v="86586.987385461398"/>
  </r>
  <r>
    <x v="0"/>
    <x v="0"/>
    <x v="0"/>
    <x v="10"/>
    <x v="18"/>
    <s v="UKA"/>
    <x v="1"/>
    <x v="1"/>
    <s v="GSOLE_SUN"/>
    <x v="3"/>
    <x v="11"/>
    <n v="520.98810427420403"/>
    <n v="31693.4430100141"/>
    <n v="114096.394836051"/>
  </r>
  <r>
    <x v="0"/>
    <x v="0"/>
    <x v="0"/>
    <x v="10"/>
    <x v="18"/>
    <s v="UKA"/>
    <x v="1"/>
    <x v="1"/>
    <s v="GSOLE_SUN"/>
    <x v="4"/>
    <x v="5"/>
    <n v="16.473932150963002"/>
    <n v="1002.16420585025"/>
    <n v="3607.7911410608899"/>
  </r>
  <r>
    <x v="0"/>
    <x v="0"/>
    <x v="0"/>
    <x v="10"/>
    <x v="18"/>
    <s v="UKA"/>
    <x v="1"/>
    <x v="1"/>
    <s v="GSOLE_SUN"/>
    <x v="4"/>
    <x v="6"/>
    <n v="32.947864301926003"/>
    <n v="2004.3284117005001"/>
    <n v="7215.5822821217798"/>
  </r>
  <r>
    <x v="0"/>
    <x v="0"/>
    <x v="0"/>
    <x v="10"/>
    <x v="18"/>
    <s v="UKA"/>
    <x v="1"/>
    <x v="1"/>
    <s v="GSOLE_SUN"/>
    <x v="4"/>
    <x v="7"/>
    <n v="37.066347339666599"/>
    <n v="2254.8694631630501"/>
    <n v="8117.5300673869997"/>
  </r>
  <r>
    <x v="0"/>
    <x v="0"/>
    <x v="0"/>
    <x v="10"/>
    <x v="18"/>
    <s v="UKA"/>
    <x v="1"/>
    <x v="1"/>
    <s v="GSOLE_SUN"/>
    <x v="4"/>
    <x v="8"/>
    <n v="41.184830377407401"/>
    <n v="2505.4105146256202"/>
    <n v="9019.4778526522205"/>
  </r>
  <r>
    <x v="0"/>
    <x v="0"/>
    <x v="0"/>
    <x v="10"/>
    <x v="18"/>
    <s v="UKA"/>
    <x v="1"/>
    <x v="1"/>
    <s v="GSOLE_SUN"/>
    <x v="4"/>
    <x v="9"/>
    <n v="129.73221568883301"/>
    <n v="7892.0431210707002"/>
    <n v="28411.355235854498"/>
  </r>
  <r>
    <x v="0"/>
    <x v="0"/>
    <x v="0"/>
    <x v="10"/>
    <x v="18"/>
    <s v="UKA"/>
    <x v="1"/>
    <x v="1"/>
    <s v="GSOLE_SUN"/>
    <x v="4"/>
    <x v="10"/>
    <n v="269.760638972018"/>
    <n v="16410.4388707978"/>
    <n v="59077.579934872003"/>
  </r>
  <r>
    <x v="0"/>
    <x v="0"/>
    <x v="0"/>
    <x v="10"/>
    <x v="18"/>
    <s v="UKA"/>
    <x v="1"/>
    <x v="1"/>
    <s v="GSOLE_SUN"/>
    <x v="4"/>
    <x v="11"/>
    <n v="391.25588858536997"/>
    <n v="23801.399888943401"/>
    <n v="85685.039600196105"/>
  </r>
  <r>
    <x v="0"/>
    <x v="0"/>
    <x v="0"/>
    <x v="10"/>
    <x v="18"/>
    <s v="UKA"/>
    <x v="1"/>
    <x v="1"/>
    <s v="GSOLE_SUN"/>
    <x v="5"/>
    <x v="7"/>
    <n v="6.1777245566110901"/>
    <n v="375.811577193841"/>
    <n v="1352.92167789783"/>
  </r>
  <r>
    <x v="0"/>
    <x v="0"/>
    <x v="0"/>
    <x v="10"/>
    <x v="18"/>
    <s v="UKA"/>
    <x v="1"/>
    <x v="1"/>
    <s v="GSOLE_SUN"/>
    <x v="5"/>
    <x v="8"/>
    <n v="63.8364870849813"/>
    <n v="3883.3862976696901"/>
    <n v="13980.190671610901"/>
  </r>
  <r>
    <x v="0"/>
    <x v="0"/>
    <x v="0"/>
    <x v="10"/>
    <x v="18"/>
    <s v="UKA"/>
    <x v="1"/>
    <x v="1"/>
    <s v="GSOLE_SUN"/>
    <x v="5"/>
    <x v="9"/>
    <n v="205.924151887037"/>
    <n v="12527.0525731281"/>
    <n v="45097.389263261197"/>
  </r>
  <r>
    <x v="0"/>
    <x v="0"/>
    <x v="0"/>
    <x v="10"/>
    <x v="18"/>
    <s v="UKA"/>
    <x v="1"/>
    <x v="1"/>
    <s v="GSOLE_SUN"/>
    <x v="5"/>
    <x v="10"/>
    <n v="393.31513010424101"/>
    <n v="23926.6704146747"/>
    <n v="86136.013492828701"/>
  </r>
  <r>
    <x v="0"/>
    <x v="0"/>
    <x v="0"/>
    <x v="10"/>
    <x v="18"/>
    <s v="UKA"/>
    <x v="1"/>
    <x v="1"/>
    <s v="GSOLE_SUN"/>
    <x v="5"/>
    <x v="11"/>
    <n v="523.04734579307501"/>
    <n v="31818.713535745399"/>
    <n v="114547.368728683"/>
  </r>
  <r>
    <x v="0"/>
    <x v="0"/>
    <x v="0"/>
    <x v="10"/>
    <x v="18"/>
    <s v="UKA"/>
    <x v="1"/>
    <x v="1"/>
    <s v="GSOLE_SUN"/>
    <x v="6"/>
    <x v="5"/>
    <n v="4.1184830377407398"/>
    <n v="250.541051462562"/>
    <n v="901.94778526522202"/>
  </r>
  <r>
    <x v="0"/>
    <x v="0"/>
    <x v="0"/>
    <x v="10"/>
    <x v="18"/>
    <s v="UKA"/>
    <x v="1"/>
    <x v="1"/>
    <s v="GSOLE_SUN"/>
    <x v="6"/>
    <x v="6"/>
    <n v="8.2369660754814902"/>
    <n v="501.08210292512399"/>
    <n v="1803.89557053045"/>
  </r>
  <r>
    <x v="0"/>
    <x v="0"/>
    <x v="0"/>
    <x v="10"/>
    <x v="18"/>
    <s v="UKA"/>
    <x v="1"/>
    <x v="1"/>
    <s v="GSOLE_SUN"/>
    <x v="6"/>
    <x v="7"/>
    <n v="10.296207594351801"/>
    <n v="626.352628656403"/>
    <n v="2254.8694631630501"/>
  </r>
  <r>
    <x v="0"/>
    <x v="0"/>
    <x v="0"/>
    <x v="10"/>
    <x v="18"/>
    <s v="UKA"/>
    <x v="1"/>
    <x v="1"/>
    <s v="GSOLE_SUN"/>
    <x v="6"/>
    <x v="8"/>
    <n v="111.199042019"/>
    <n v="6764.6083894891799"/>
    <n v="24352.5902021611"/>
  </r>
  <r>
    <x v="0"/>
    <x v="0"/>
    <x v="0"/>
    <x v="10"/>
    <x v="18"/>
    <s v="UKA"/>
    <x v="1"/>
    <x v="1"/>
    <s v="GSOLE_SUN"/>
    <x v="6"/>
    <x v="9"/>
    <n v="286.234571122982"/>
    <n v="17412.603076648102"/>
    <n v="62685.371075932999"/>
  </r>
  <r>
    <x v="0"/>
    <x v="0"/>
    <x v="0"/>
    <x v="10"/>
    <x v="18"/>
    <s v="UKA"/>
    <x v="1"/>
    <x v="1"/>
    <s v="GSOLE_SUN"/>
    <x v="6"/>
    <x v="10"/>
    <n v="442.73692655713"/>
    <n v="26933.163032225399"/>
    <n v="96959.386916011397"/>
  </r>
  <r>
    <x v="0"/>
    <x v="0"/>
    <x v="0"/>
    <x v="10"/>
    <x v="18"/>
    <s v="UKA"/>
    <x v="1"/>
    <x v="1"/>
    <s v="GSOLE_SUN"/>
    <x v="6"/>
    <x v="11"/>
    <n v="508.63265516097903"/>
    <n v="30941.8198556262"/>
    <n v="111390.551480254"/>
  </r>
  <r>
    <x v="0"/>
    <x v="0"/>
    <x v="0"/>
    <x v="10"/>
    <x v="18"/>
    <s v="UKA"/>
    <x v="1"/>
    <x v="1"/>
    <s v="GSOLE_SUN"/>
    <x v="7"/>
    <x v="5"/>
    <n v="12.3554491132222"/>
    <n v="751.62315438768599"/>
    <n v="2705.84335579567"/>
  </r>
  <r>
    <x v="0"/>
    <x v="0"/>
    <x v="0"/>
    <x v="10"/>
    <x v="18"/>
    <s v="UKA"/>
    <x v="1"/>
    <x v="1"/>
    <s v="GSOLE_SUN"/>
    <x v="7"/>
    <x v="6"/>
    <n v="32.947864301926003"/>
    <n v="2004.3284117005001"/>
    <n v="7215.5822821217798"/>
  </r>
  <r>
    <x v="0"/>
    <x v="0"/>
    <x v="0"/>
    <x v="10"/>
    <x v="18"/>
    <s v="UKA"/>
    <x v="1"/>
    <x v="1"/>
    <s v="GSOLE_SUN"/>
    <x v="7"/>
    <x v="7"/>
    <n v="45.303313415148097"/>
    <n v="2755.9515660881798"/>
    <n v="9921.4256379174403"/>
  </r>
  <r>
    <x v="0"/>
    <x v="0"/>
    <x v="0"/>
    <x v="10"/>
    <x v="18"/>
    <s v="UKA"/>
    <x v="1"/>
    <x v="1"/>
    <s v="GSOLE_SUN"/>
    <x v="7"/>
    <x v="8"/>
    <n v="253.28670682105599"/>
    <n v="15408.274664947599"/>
    <n v="55469.788793811204"/>
  </r>
  <r>
    <x v="0"/>
    <x v="0"/>
    <x v="0"/>
    <x v="10"/>
    <x v="18"/>
    <s v="UKA"/>
    <x v="1"/>
    <x v="1"/>
    <s v="GSOLE_SUN"/>
    <x v="7"/>
    <x v="9"/>
    <n v="547.75824401952002"/>
    <n v="33321.959844520803"/>
    <n v="119959.055440275"/>
  </r>
  <r>
    <x v="0"/>
    <x v="0"/>
    <x v="0"/>
    <x v="10"/>
    <x v="18"/>
    <s v="UKA"/>
    <x v="1"/>
    <x v="1"/>
    <s v="GSOLE_SUN"/>
    <x v="7"/>
    <x v="10"/>
    <n v="801.04495084057396"/>
    <n v="48730.234509468297"/>
    <n v="175428.84423408599"/>
  </r>
  <r>
    <x v="0"/>
    <x v="0"/>
    <x v="0"/>
    <x v="10"/>
    <x v="18"/>
    <s v="UKA"/>
    <x v="1"/>
    <x v="1"/>
    <s v="GSOLE_SUN"/>
    <x v="7"/>
    <x v="11"/>
    <n v="928.71792501053699"/>
    <n v="56497.007104807701"/>
    <n v="203389.22557730801"/>
  </r>
  <r>
    <x v="0"/>
    <x v="0"/>
    <x v="0"/>
    <x v="10"/>
    <x v="18"/>
    <s v="UKA"/>
    <x v="1"/>
    <x v="1"/>
    <s v="GSOLE_SUN"/>
    <x v="8"/>
    <x v="6"/>
    <n v="2.5033396040714702"/>
    <n v="152.28649258101501"/>
    <n v="548.23137329165297"/>
  </r>
  <r>
    <x v="0"/>
    <x v="0"/>
    <x v="0"/>
    <x v="10"/>
    <x v="18"/>
    <s v="UKA"/>
    <x v="1"/>
    <x v="1"/>
    <s v="GSOLE_SUN"/>
    <x v="8"/>
    <x v="7"/>
    <n v="43.244071896277802"/>
    <n v="2630.6810403569002"/>
    <n v="9470.4517452848395"/>
  </r>
  <r>
    <x v="0"/>
    <x v="0"/>
    <x v="0"/>
    <x v="10"/>
    <x v="18"/>
    <s v="UKA"/>
    <x v="1"/>
    <x v="1"/>
    <s v="GSOLE_SUN"/>
    <x v="8"/>
    <x v="8"/>
    <n v="197.687185811555"/>
    <n v="12025.970470202999"/>
    <n v="43293.493692730597"/>
  </r>
  <r>
    <x v="0"/>
    <x v="0"/>
    <x v="0"/>
    <x v="10"/>
    <x v="18"/>
    <s v="UKA"/>
    <x v="1"/>
    <x v="1"/>
    <s v="GSOLE_SUN"/>
    <x v="8"/>
    <x v="9"/>
    <n v="409.78906225520399"/>
    <n v="24928.8346205249"/>
    <n v="89743.804633889595"/>
  </r>
  <r>
    <x v="0"/>
    <x v="0"/>
    <x v="0"/>
    <x v="10"/>
    <x v="18"/>
    <s v="UKA"/>
    <x v="1"/>
    <x v="1"/>
    <s v="GSOLE_SUN"/>
    <x v="8"/>
    <x v="10"/>
    <n v="570.40990072709496"/>
    <n v="34699.935627564897"/>
    <n v="124919.768259234"/>
  </r>
  <r>
    <x v="0"/>
    <x v="0"/>
    <x v="0"/>
    <x v="10"/>
    <x v="18"/>
    <s v="UKA"/>
    <x v="1"/>
    <x v="1"/>
    <s v="GSOLE_SUN"/>
    <x v="8"/>
    <x v="11"/>
    <n v="609.53548958563101"/>
    <n v="37080.075616459202"/>
    <n v="133488.27221925301"/>
  </r>
  <r>
    <x v="0"/>
    <x v="0"/>
    <x v="0"/>
    <x v="10"/>
    <x v="18"/>
    <s v="UKA"/>
    <x v="1"/>
    <x v="1"/>
    <s v="GSOLE_SUN"/>
    <x v="9"/>
    <x v="6"/>
    <n v="48.815122279393698"/>
    <n v="2969.58660532979"/>
    <n v="10690.5117791872"/>
  </r>
  <r>
    <x v="0"/>
    <x v="0"/>
    <x v="0"/>
    <x v="10"/>
    <x v="18"/>
    <s v="UKA"/>
    <x v="1"/>
    <x v="1"/>
    <s v="GSOLE_SUN"/>
    <x v="9"/>
    <x v="7"/>
    <n v="105.02131746238901"/>
    <n v="6388.7968122953098"/>
    <n v="22999.668524263099"/>
  </r>
  <r>
    <x v="0"/>
    <x v="0"/>
    <x v="0"/>
    <x v="10"/>
    <x v="18"/>
    <s v="UKA"/>
    <x v="1"/>
    <x v="1"/>
    <s v="GSOLE_SUN"/>
    <x v="9"/>
    <x v="8"/>
    <n v="494.21796452888901"/>
    <n v="30064.9261755074"/>
    <n v="108233.73423182699"/>
  </r>
  <r>
    <x v="0"/>
    <x v="0"/>
    <x v="0"/>
    <x v="10"/>
    <x v="18"/>
    <s v="UKA"/>
    <x v="1"/>
    <x v="1"/>
    <s v="GSOLE_SUN"/>
    <x v="9"/>
    <x v="9"/>
    <n v="990.49517057664696"/>
    <n v="60255.1228767461"/>
    <n v="216918.44235628599"/>
  </r>
  <r>
    <x v="0"/>
    <x v="0"/>
    <x v="0"/>
    <x v="10"/>
    <x v="18"/>
    <s v="UKA"/>
    <x v="1"/>
    <x v="1"/>
    <s v="GSOLE_SUN"/>
    <x v="9"/>
    <x v="10"/>
    <n v="1418.8174065016799"/>
    <n v="86311.392228852405"/>
    <n v="310721.01202386903"/>
  </r>
  <r>
    <x v="0"/>
    <x v="0"/>
    <x v="0"/>
    <x v="10"/>
    <x v="18"/>
    <s v="UKA"/>
    <x v="1"/>
    <x v="1"/>
    <s v="GSOLE_SUN"/>
    <x v="9"/>
    <x v="11"/>
    <n v="1744.1775664832001"/>
    <n v="106104.135294395"/>
    <n v="381974.88705982099"/>
  </r>
  <r>
    <x v="0"/>
    <x v="0"/>
    <x v="0"/>
    <x v="10"/>
    <x v="18"/>
    <s v="UKA"/>
    <x v="1"/>
    <x v="1"/>
    <s v="GSOLE_SUN"/>
    <x v="10"/>
    <x v="5"/>
    <n v="6.1777245566110901"/>
    <n v="375.811577193841"/>
    <n v="1352.92167789783"/>
  </r>
  <r>
    <x v="0"/>
    <x v="0"/>
    <x v="0"/>
    <x v="10"/>
    <x v="18"/>
    <s v="UKA"/>
    <x v="1"/>
    <x v="1"/>
    <s v="GSOLE_SUN"/>
    <x v="10"/>
    <x v="6"/>
    <n v="12.3554491132222"/>
    <n v="751.62315438768599"/>
    <n v="2705.84335579567"/>
  </r>
  <r>
    <x v="0"/>
    <x v="0"/>
    <x v="0"/>
    <x v="10"/>
    <x v="18"/>
    <s v="UKA"/>
    <x v="1"/>
    <x v="1"/>
    <s v="GSOLE_SUN"/>
    <x v="10"/>
    <x v="7"/>
    <n v="115.317525056741"/>
    <n v="7015.14944095174"/>
    <n v="25254.537987426302"/>
  </r>
  <r>
    <x v="0"/>
    <x v="0"/>
    <x v="0"/>
    <x v="10"/>
    <x v="18"/>
    <s v="UKA"/>
    <x v="1"/>
    <x v="1"/>
    <s v="GSOLE_SUN"/>
    <x v="10"/>
    <x v="8"/>
    <n v="331.53788453813002"/>
    <n v="20168.554642736199"/>
    <n v="72606.796713850505"/>
  </r>
  <r>
    <x v="0"/>
    <x v="0"/>
    <x v="0"/>
    <x v="10"/>
    <x v="18"/>
    <s v="UKA"/>
    <x v="1"/>
    <x v="1"/>
    <s v="GSOLE_SUN"/>
    <x v="10"/>
    <x v="9"/>
    <n v="582.76534984031503"/>
    <n v="35451.558781952503"/>
    <n v="127625.611615029"/>
  </r>
  <r>
    <x v="0"/>
    <x v="0"/>
    <x v="0"/>
    <x v="10"/>
    <x v="18"/>
    <s v="UKA"/>
    <x v="1"/>
    <x v="1"/>
    <s v="GSOLE_SUN"/>
    <x v="10"/>
    <x v="10"/>
    <n v="891.65157767087203"/>
    <n v="54242.137641644702"/>
    <n v="195271.695509921"/>
  </r>
  <r>
    <x v="0"/>
    <x v="0"/>
    <x v="0"/>
    <x v="10"/>
    <x v="18"/>
    <s v="UKA"/>
    <x v="1"/>
    <x v="1"/>
    <s v="GSOLE_SUN"/>
    <x v="10"/>
    <x v="11"/>
    <n v="1097.5757295579101"/>
    <n v="66769.190214772694"/>
    <n v="240369.084773182"/>
  </r>
  <r>
    <x v="0"/>
    <x v="0"/>
    <x v="0"/>
    <x v="10"/>
    <x v="18"/>
    <s v="UKA"/>
    <x v="1"/>
    <x v="1"/>
    <s v="GSOLE_SUN"/>
    <x v="11"/>
    <x v="5"/>
    <n v="35.007105820796298"/>
    <n v="2129.5989374317701"/>
    <n v="7666.5561747543898"/>
  </r>
  <r>
    <x v="0"/>
    <x v="0"/>
    <x v="0"/>
    <x v="10"/>
    <x v="18"/>
    <s v="UKA"/>
    <x v="1"/>
    <x v="1"/>
    <s v="GSOLE_SUN"/>
    <x v="11"/>
    <x v="6"/>
    <n v="72.073453160463103"/>
    <n v="4384.4684005948402"/>
    <n v="15784.0862421414"/>
  </r>
  <r>
    <x v="0"/>
    <x v="0"/>
    <x v="0"/>
    <x v="10"/>
    <x v="18"/>
    <s v="UKA"/>
    <x v="1"/>
    <x v="1"/>
    <s v="GSOLE_SUN"/>
    <x v="11"/>
    <x v="7"/>
    <n v="442.73692655713"/>
    <n v="26933.163032225399"/>
    <n v="96959.386916011397"/>
  </r>
  <r>
    <x v="0"/>
    <x v="0"/>
    <x v="0"/>
    <x v="10"/>
    <x v="18"/>
    <s v="UKA"/>
    <x v="1"/>
    <x v="1"/>
    <s v="GSOLE_SUN"/>
    <x v="11"/>
    <x v="8"/>
    <n v="1011.08758576535"/>
    <n v="61507.828134058902"/>
    <n v="221428.181282612"/>
  </r>
  <r>
    <x v="0"/>
    <x v="0"/>
    <x v="0"/>
    <x v="10"/>
    <x v="18"/>
    <s v="UKA"/>
    <x v="1"/>
    <x v="1"/>
    <s v="GSOLE_SUN"/>
    <x v="11"/>
    <x v="9"/>
    <n v="1575.31976193583"/>
    <n v="95831.952184429902"/>
    <n v="344995.02786394698"/>
  </r>
  <r>
    <x v="0"/>
    <x v="0"/>
    <x v="0"/>
    <x v="10"/>
    <x v="18"/>
    <s v="UKA"/>
    <x v="1"/>
    <x v="1"/>
    <s v="GSOLE_SUN"/>
    <x v="11"/>
    <x v="10"/>
    <n v="1941.8647522947599"/>
    <n v="118130.105764598"/>
    <n v="425268.38075255201"/>
  </r>
  <r>
    <x v="0"/>
    <x v="0"/>
    <x v="0"/>
    <x v="10"/>
    <x v="18"/>
    <s v="UKA"/>
    <x v="1"/>
    <x v="1"/>
    <s v="GSOLE_SUN"/>
    <x v="11"/>
    <x v="11"/>
    <n v="2170.4405608893699"/>
    <n v="132035.13412077"/>
    <n v="475326.48283477302"/>
  </r>
  <r>
    <x v="0"/>
    <x v="0"/>
    <x v="0"/>
    <x v="10"/>
    <x v="18"/>
    <s v="UKA"/>
    <x v="7"/>
    <x v="6"/>
    <s v="GHYRR_WATER"/>
    <x v="0"/>
    <x v="0"/>
    <n v="817.64315649825198"/>
    <n v="49739.958686976999"/>
    <n v="179063.851273117"/>
  </r>
  <r>
    <x v="0"/>
    <x v="0"/>
    <x v="0"/>
    <x v="10"/>
    <x v="18"/>
    <s v="UKA"/>
    <x v="7"/>
    <x v="6"/>
    <s v="GHYRR_WATER"/>
    <x v="0"/>
    <x v="1"/>
    <n v="817.64315649825198"/>
    <n v="49739.958686976999"/>
    <n v="179063.851273117"/>
  </r>
  <r>
    <x v="0"/>
    <x v="0"/>
    <x v="0"/>
    <x v="10"/>
    <x v="18"/>
    <s v="UKA"/>
    <x v="7"/>
    <x v="6"/>
    <s v="GHYRR_WATER"/>
    <x v="0"/>
    <x v="2"/>
    <n v="817.64315649825198"/>
    <n v="49739.958686976999"/>
    <n v="179063.851273117"/>
  </r>
  <r>
    <x v="0"/>
    <x v="0"/>
    <x v="0"/>
    <x v="10"/>
    <x v="18"/>
    <s v="UKA"/>
    <x v="7"/>
    <x v="6"/>
    <s v="GHYRR_WATER"/>
    <x v="0"/>
    <x v="3"/>
    <n v="817.64315649825198"/>
    <n v="49739.958686976999"/>
    <n v="179063.851273117"/>
  </r>
  <r>
    <x v="0"/>
    <x v="0"/>
    <x v="0"/>
    <x v="10"/>
    <x v="18"/>
    <s v="UKA"/>
    <x v="7"/>
    <x v="6"/>
    <s v="GHYRR_WATER"/>
    <x v="0"/>
    <x v="4"/>
    <n v="817.64315649825198"/>
    <n v="49739.958686976999"/>
    <n v="179063.851273117"/>
  </r>
  <r>
    <x v="0"/>
    <x v="0"/>
    <x v="0"/>
    <x v="10"/>
    <x v="18"/>
    <s v="UKA"/>
    <x v="7"/>
    <x v="6"/>
    <s v="GHYRR_WATER"/>
    <x v="0"/>
    <x v="5"/>
    <n v="817.64315649825198"/>
    <n v="49739.958686976999"/>
    <n v="179063.851273117"/>
  </r>
  <r>
    <x v="0"/>
    <x v="0"/>
    <x v="0"/>
    <x v="10"/>
    <x v="18"/>
    <s v="UKA"/>
    <x v="7"/>
    <x v="6"/>
    <s v="GHYRR_WATER"/>
    <x v="0"/>
    <x v="6"/>
    <n v="817.64315649825198"/>
    <n v="49739.958686976999"/>
    <n v="179063.851273117"/>
  </r>
  <r>
    <x v="0"/>
    <x v="0"/>
    <x v="0"/>
    <x v="10"/>
    <x v="18"/>
    <s v="UKA"/>
    <x v="7"/>
    <x v="6"/>
    <s v="GHYRR_WATER"/>
    <x v="0"/>
    <x v="7"/>
    <n v="817.64315649825198"/>
    <n v="49739.958686976999"/>
    <n v="179063.851273117"/>
  </r>
  <r>
    <x v="0"/>
    <x v="0"/>
    <x v="0"/>
    <x v="10"/>
    <x v="18"/>
    <s v="UKA"/>
    <x v="7"/>
    <x v="6"/>
    <s v="GHYRR_WATER"/>
    <x v="0"/>
    <x v="8"/>
    <n v="817.64315649825198"/>
    <n v="49739.958686976999"/>
    <n v="179063.851273117"/>
  </r>
  <r>
    <x v="0"/>
    <x v="0"/>
    <x v="0"/>
    <x v="10"/>
    <x v="18"/>
    <s v="UKA"/>
    <x v="7"/>
    <x v="6"/>
    <s v="GHYRR_WATER"/>
    <x v="0"/>
    <x v="9"/>
    <n v="817.64315649825198"/>
    <n v="49739.958686976999"/>
    <n v="179063.851273117"/>
  </r>
  <r>
    <x v="0"/>
    <x v="0"/>
    <x v="0"/>
    <x v="10"/>
    <x v="18"/>
    <s v="UKA"/>
    <x v="7"/>
    <x v="6"/>
    <s v="GHYRR_WATER"/>
    <x v="0"/>
    <x v="10"/>
    <n v="817.64315649825198"/>
    <n v="49739.958686976999"/>
    <n v="179063.851273117"/>
  </r>
  <r>
    <x v="0"/>
    <x v="0"/>
    <x v="0"/>
    <x v="10"/>
    <x v="18"/>
    <s v="UKA"/>
    <x v="7"/>
    <x v="6"/>
    <s v="GHYRR_WATER"/>
    <x v="0"/>
    <x v="11"/>
    <n v="817.64315649825198"/>
    <n v="49739.958686976999"/>
    <n v="179063.851273117"/>
  </r>
  <r>
    <x v="0"/>
    <x v="0"/>
    <x v="0"/>
    <x v="10"/>
    <x v="18"/>
    <s v="UKA"/>
    <x v="7"/>
    <x v="6"/>
    <s v="GHYRR_WATER"/>
    <x v="1"/>
    <x v="0"/>
    <n v="783.45211258284303"/>
    <n v="47660.003515456301"/>
    <n v="171576.01265564299"/>
  </r>
  <r>
    <x v="0"/>
    <x v="0"/>
    <x v="0"/>
    <x v="10"/>
    <x v="18"/>
    <s v="UKA"/>
    <x v="7"/>
    <x v="6"/>
    <s v="GHYRR_WATER"/>
    <x v="1"/>
    <x v="1"/>
    <n v="783.45211258284303"/>
    <n v="47660.003515456301"/>
    <n v="171576.01265564299"/>
  </r>
  <r>
    <x v="0"/>
    <x v="0"/>
    <x v="0"/>
    <x v="10"/>
    <x v="18"/>
    <s v="UKA"/>
    <x v="7"/>
    <x v="6"/>
    <s v="GHYRR_WATER"/>
    <x v="1"/>
    <x v="2"/>
    <n v="783.45211258284303"/>
    <n v="47660.003515456301"/>
    <n v="171576.01265564299"/>
  </r>
  <r>
    <x v="0"/>
    <x v="0"/>
    <x v="0"/>
    <x v="10"/>
    <x v="18"/>
    <s v="UKA"/>
    <x v="7"/>
    <x v="6"/>
    <s v="GHYRR_WATER"/>
    <x v="1"/>
    <x v="3"/>
    <n v="783.45211258284303"/>
    <n v="47660.003515456301"/>
    <n v="171576.01265564299"/>
  </r>
  <r>
    <x v="0"/>
    <x v="0"/>
    <x v="0"/>
    <x v="10"/>
    <x v="18"/>
    <s v="UKA"/>
    <x v="7"/>
    <x v="6"/>
    <s v="GHYRR_WATER"/>
    <x v="1"/>
    <x v="4"/>
    <n v="783.45211258284303"/>
    <n v="47660.003515456301"/>
    <n v="171576.01265564299"/>
  </r>
  <r>
    <x v="0"/>
    <x v="0"/>
    <x v="0"/>
    <x v="10"/>
    <x v="18"/>
    <s v="UKA"/>
    <x v="7"/>
    <x v="6"/>
    <s v="GHYRR_WATER"/>
    <x v="1"/>
    <x v="5"/>
    <n v="783.45211258284303"/>
    <n v="47660.003515456301"/>
    <n v="171576.01265564299"/>
  </r>
  <r>
    <x v="0"/>
    <x v="0"/>
    <x v="0"/>
    <x v="10"/>
    <x v="18"/>
    <s v="UKA"/>
    <x v="7"/>
    <x v="6"/>
    <s v="GHYRR_WATER"/>
    <x v="1"/>
    <x v="6"/>
    <n v="783.45211258284303"/>
    <n v="47660.003515456301"/>
    <n v="171576.01265564299"/>
  </r>
  <r>
    <x v="0"/>
    <x v="0"/>
    <x v="0"/>
    <x v="10"/>
    <x v="18"/>
    <s v="UKA"/>
    <x v="7"/>
    <x v="6"/>
    <s v="GHYRR_WATER"/>
    <x v="1"/>
    <x v="7"/>
    <n v="783.45211258284303"/>
    <n v="47660.003515456301"/>
    <n v="171576.01265564299"/>
  </r>
  <r>
    <x v="0"/>
    <x v="0"/>
    <x v="0"/>
    <x v="10"/>
    <x v="18"/>
    <s v="UKA"/>
    <x v="7"/>
    <x v="6"/>
    <s v="GHYRR_WATER"/>
    <x v="1"/>
    <x v="8"/>
    <n v="783.45211258284303"/>
    <n v="47660.003515456301"/>
    <n v="171576.01265564299"/>
  </r>
  <r>
    <x v="0"/>
    <x v="0"/>
    <x v="0"/>
    <x v="10"/>
    <x v="18"/>
    <s v="UKA"/>
    <x v="7"/>
    <x v="6"/>
    <s v="GHYRR_WATER"/>
    <x v="1"/>
    <x v="9"/>
    <n v="783.45211258284303"/>
    <n v="47660.003515456301"/>
    <n v="171576.01265564299"/>
  </r>
  <r>
    <x v="0"/>
    <x v="0"/>
    <x v="0"/>
    <x v="10"/>
    <x v="18"/>
    <s v="UKA"/>
    <x v="7"/>
    <x v="6"/>
    <s v="GHYRR_WATER"/>
    <x v="1"/>
    <x v="10"/>
    <n v="783.45211258284303"/>
    <n v="47660.003515456301"/>
    <n v="171576.01265564299"/>
  </r>
  <r>
    <x v="0"/>
    <x v="0"/>
    <x v="0"/>
    <x v="10"/>
    <x v="18"/>
    <s v="UKA"/>
    <x v="7"/>
    <x v="6"/>
    <s v="GHYRR_WATER"/>
    <x v="1"/>
    <x v="11"/>
    <n v="783.45211258284303"/>
    <n v="47660.003515456301"/>
    <n v="171576.01265564299"/>
  </r>
  <r>
    <x v="0"/>
    <x v="0"/>
    <x v="0"/>
    <x v="10"/>
    <x v="18"/>
    <s v="UKA"/>
    <x v="7"/>
    <x v="6"/>
    <s v="GHYRR_WATER"/>
    <x v="2"/>
    <x v="0"/>
    <n v="633.64940795332404"/>
    <n v="38547.005650493898"/>
    <n v="138769.22034177801"/>
  </r>
  <r>
    <x v="0"/>
    <x v="0"/>
    <x v="0"/>
    <x v="10"/>
    <x v="18"/>
    <s v="UKA"/>
    <x v="7"/>
    <x v="6"/>
    <s v="GHYRR_WATER"/>
    <x v="2"/>
    <x v="1"/>
    <n v="633.64940795332404"/>
    <n v="38547.005650493898"/>
    <n v="138769.22034177801"/>
  </r>
  <r>
    <x v="0"/>
    <x v="0"/>
    <x v="0"/>
    <x v="10"/>
    <x v="18"/>
    <s v="UKA"/>
    <x v="7"/>
    <x v="6"/>
    <s v="GHYRR_WATER"/>
    <x v="2"/>
    <x v="2"/>
    <n v="633.64940795332404"/>
    <n v="38547.005650493898"/>
    <n v="138769.22034177801"/>
  </r>
  <r>
    <x v="0"/>
    <x v="0"/>
    <x v="0"/>
    <x v="10"/>
    <x v="18"/>
    <s v="UKA"/>
    <x v="7"/>
    <x v="6"/>
    <s v="GHYRR_WATER"/>
    <x v="2"/>
    <x v="3"/>
    <n v="633.64940795332404"/>
    <n v="38547.005650493898"/>
    <n v="138769.22034177801"/>
  </r>
  <r>
    <x v="0"/>
    <x v="0"/>
    <x v="0"/>
    <x v="10"/>
    <x v="18"/>
    <s v="UKA"/>
    <x v="7"/>
    <x v="6"/>
    <s v="GHYRR_WATER"/>
    <x v="2"/>
    <x v="4"/>
    <n v="633.64940795332404"/>
    <n v="38547.005650493898"/>
    <n v="138769.22034177801"/>
  </r>
  <r>
    <x v="0"/>
    <x v="0"/>
    <x v="0"/>
    <x v="10"/>
    <x v="18"/>
    <s v="UKA"/>
    <x v="7"/>
    <x v="6"/>
    <s v="GHYRR_WATER"/>
    <x v="2"/>
    <x v="5"/>
    <n v="633.64940795332404"/>
    <n v="38547.005650493898"/>
    <n v="138769.22034177801"/>
  </r>
  <r>
    <x v="0"/>
    <x v="0"/>
    <x v="0"/>
    <x v="10"/>
    <x v="18"/>
    <s v="UKA"/>
    <x v="7"/>
    <x v="6"/>
    <s v="GHYRR_WATER"/>
    <x v="2"/>
    <x v="6"/>
    <n v="633.64940795332404"/>
    <n v="38547.005650493898"/>
    <n v="138769.22034177801"/>
  </r>
  <r>
    <x v="0"/>
    <x v="0"/>
    <x v="0"/>
    <x v="10"/>
    <x v="18"/>
    <s v="UKA"/>
    <x v="7"/>
    <x v="6"/>
    <s v="GHYRR_WATER"/>
    <x v="2"/>
    <x v="7"/>
    <n v="633.64940795332404"/>
    <n v="38547.005650493898"/>
    <n v="138769.22034177801"/>
  </r>
  <r>
    <x v="0"/>
    <x v="0"/>
    <x v="0"/>
    <x v="10"/>
    <x v="18"/>
    <s v="UKA"/>
    <x v="7"/>
    <x v="6"/>
    <s v="GHYRR_WATER"/>
    <x v="2"/>
    <x v="8"/>
    <n v="633.64940795332404"/>
    <n v="38547.005650493898"/>
    <n v="138769.22034177801"/>
  </r>
  <r>
    <x v="0"/>
    <x v="0"/>
    <x v="0"/>
    <x v="10"/>
    <x v="18"/>
    <s v="UKA"/>
    <x v="7"/>
    <x v="6"/>
    <s v="GHYRR_WATER"/>
    <x v="2"/>
    <x v="9"/>
    <n v="633.64940795332404"/>
    <n v="38547.005650493898"/>
    <n v="138769.22034177801"/>
  </r>
  <r>
    <x v="0"/>
    <x v="0"/>
    <x v="0"/>
    <x v="10"/>
    <x v="18"/>
    <s v="UKA"/>
    <x v="7"/>
    <x v="6"/>
    <s v="GHYRR_WATER"/>
    <x v="2"/>
    <x v="10"/>
    <n v="633.64940795332404"/>
    <n v="38547.005650493898"/>
    <n v="138769.22034177801"/>
  </r>
  <r>
    <x v="0"/>
    <x v="0"/>
    <x v="0"/>
    <x v="10"/>
    <x v="18"/>
    <s v="UKA"/>
    <x v="7"/>
    <x v="6"/>
    <s v="GHYRR_WATER"/>
    <x v="2"/>
    <x v="11"/>
    <n v="633.64940795332404"/>
    <n v="38547.005650493898"/>
    <n v="138769.22034177801"/>
  </r>
  <r>
    <x v="0"/>
    <x v="0"/>
    <x v="0"/>
    <x v="10"/>
    <x v="18"/>
    <s v="UKA"/>
    <x v="7"/>
    <x v="6"/>
    <s v="GHYRR_WATER"/>
    <x v="3"/>
    <x v="0"/>
    <n v="672.83677583190695"/>
    <n v="40930.903863107698"/>
    <n v="147351.25390718799"/>
  </r>
  <r>
    <x v="0"/>
    <x v="0"/>
    <x v="0"/>
    <x v="10"/>
    <x v="18"/>
    <s v="UKA"/>
    <x v="7"/>
    <x v="6"/>
    <s v="GHYRR_WATER"/>
    <x v="3"/>
    <x v="1"/>
    <n v="672.83677583190695"/>
    <n v="40930.903863107698"/>
    <n v="147351.25390718799"/>
  </r>
  <r>
    <x v="0"/>
    <x v="0"/>
    <x v="0"/>
    <x v="10"/>
    <x v="18"/>
    <s v="UKA"/>
    <x v="7"/>
    <x v="6"/>
    <s v="GHYRR_WATER"/>
    <x v="3"/>
    <x v="2"/>
    <n v="672.83677583190695"/>
    <n v="40930.903863107698"/>
    <n v="147351.25390718799"/>
  </r>
  <r>
    <x v="0"/>
    <x v="0"/>
    <x v="0"/>
    <x v="10"/>
    <x v="18"/>
    <s v="UKA"/>
    <x v="7"/>
    <x v="6"/>
    <s v="GHYRR_WATER"/>
    <x v="3"/>
    <x v="3"/>
    <n v="672.83677583190695"/>
    <n v="40930.903863107698"/>
    <n v="147351.25390718799"/>
  </r>
  <r>
    <x v="0"/>
    <x v="0"/>
    <x v="0"/>
    <x v="10"/>
    <x v="18"/>
    <s v="UKA"/>
    <x v="7"/>
    <x v="6"/>
    <s v="GHYRR_WATER"/>
    <x v="3"/>
    <x v="4"/>
    <n v="672.83677583190695"/>
    <n v="40930.903863107698"/>
    <n v="147351.25390718799"/>
  </r>
  <r>
    <x v="0"/>
    <x v="0"/>
    <x v="0"/>
    <x v="10"/>
    <x v="18"/>
    <s v="UKA"/>
    <x v="7"/>
    <x v="6"/>
    <s v="GHYRR_WATER"/>
    <x v="3"/>
    <x v="5"/>
    <n v="672.83677583190695"/>
    <n v="40930.903863107698"/>
    <n v="147351.25390718799"/>
  </r>
  <r>
    <x v="0"/>
    <x v="0"/>
    <x v="0"/>
    <x v="10"/>
    <x v="18"/>
    <s v="UKA"/>
    <x v="7"/>
    <x v="6"/>
    <s v="GHYRR_WATER"/>
    <x v="3"/>
    <x v="6"/>
    <n v="672.83677583190695"/>
    <n v="40930.903863107698"/>
    <n v="147351.25390718799"/>
  </r>
  <r>
    <x v="0"/>
    <x v="0"/>
    <x v="0"/>
    <x v="10"/>
    <x v="18"/>
    <s v="UKA"/>
    <x v="7"/>
    <x v="6"/>
    <s v="GHYRR_WATER"/>
    <x v="3"/>
    <x v="7"/>
    <n v="672.83677583190695"/>
    <n v="40930.903863107698"/>
    <n v="147351.25390718799"/>
  </r>
  <r>
    <x v="0"/>
    <x v="0"/>
    <x v="0"/>
    <x v="10"/>
    <x v="18"/>
    <s v="UKA"/>
    <x v="7"/>
    <x v="6"/>
    <s v="GHYRR_WATER"/>
    <x v="3"/>
    <x v="8"/>
    <n v="672.83677583190695"/>
    <n v="40930.903863107698"/>
    <n v="147351.25390718799"/>
  </r>
  <r>
    <x v="0"/>
    <x v="0"/>
    <x v="0"/>
    <x v="10"/>
    <x v="18"/>
    <s v="UKA"/>
    <x v="7"/>
    <x v="6"/>
    <s v="GHYRR_WATER"/>
    <x v="3"/>
    <x v="9"/>
    <n v="672.83677583190695"/>
    <n v="40930.903863107698"/>
    <n v="147351.25390718799"/>
  </r>
  <r>
    <x v="0"/>
    <x v="0"/>
    <x v="0"/>
    <x v="10"/>
    <x v="18"/>
    <s v="UKA"/>
    <x v="7"/>
    <x v="6"/>
    <s v="GHYRR_WATER"/>
    <x v="3"/>
    <x v="10"/>
    <n v="672.83677583190695"/>
    <n v="40930.903863107698"/>
    <n v="147351.25390718799"/>
  </r>
  <r>
    <x v="0"/>
    <x v="0"/>
    <x v="0"/>
    <x v="10"/>
    <x v="18"/>
    <s v="UKA"/>
    <x v="7"/>
    <x v="6"/>
    <s v="GHYRR_WATER"/>
    <x v="3"/>
    <x v="11"/>
    <n v="672.83677583190695"/>
    <n v="40930.903863107698"/>
    <n v="147351.25390718799"/>
  </r>
  <r>
    <x v="0"/>
    <x v="0"/>
    <x v="0"/>
    <x v="10"/>
    <x v="18"/>
    <s v="UKA"/>
    <x v="7"/>
    <x v="6"/>
    <s v="GHYRR_WATER"/>
    <x v="4"/>
    <x v="0"/>
    <n v="552.25160018996303"/>
    <n v="33595.305678222699"/>
    <n v="120943.100441602"/>
  </r>
  <r>
    <x v="0"/>
    <x v="0"/>
    <x v="0"/>
    <x v="10"/>
    <x v="18"/>
    <s v="UKA"/>
    <x v="7"/>
    <x v="6"/>
    <s v="GHYRR_WATER"/>
    <x v="4"/>
    <x v="1"/>
    <n v="552.25160018996303"/>
    <n v="33595.305678222699"/>
    <n v="120943.100441602"/>
  </r>
  <r>
    <x v="0"/>
    <x v="0"/>
    <x v="0"/>
    <x v="10"/>
    <x v="18"/>
    <s v="UKA"/>
    <x v="7"/>
    <x v="6"/>
    <s v="GHYRR_WATER"/>
    <x v="4"/>
    <x v="2"/>
    <n v="552.25160018996303"/>
    <n v="33595.305678222699"/>
    <n v="120943.100441602"/>
  </r>
  <r>
    <x v="0"/>
    <x v="0"/>
    <x v="0"/>
    <x v="10"/>
    <x v="18"/>
    <s v="UKA"/>
    <x v="7"/>
    <x v="6"/>
    <s v="GHYRR_WATER"/>
    <x v="4"/>
    <x v="3"/>
    <n v="552.25160018996303"/>
    <n v="33595.305678222699"/>
    <n v="120943.100441602"/>
  </r>
  <r>
    <x v="0"/>
    <x v="0"/>
    <x v="0"/>
    <x v="10"/>
    <x v="18"/>
    <s v="UKA"/>
    <x v="7"/>
    <x v="6"/>
    <s v="GHYRR_WATER"/>
    <x v="4"/>
    <x v="4"/>
    <n v="552.25160018996303"/>
    <n v="33595.305678222699"/>
    <n v="120943.100441602"/>
  </r>
  <r>
    <x v="0"/>
    <x v="0"/>
    <x v="0"/>
    <x v="10"/>
    <x v="18"/>
    <s v="UKA"/>
    <x v="7"/>
    <x v="6"/>
    <s v="GHYRR_WATER"/>
    <x v="4"/>
    <x v="5"/>
    <n v="552.25160018996303"/>
    <n v="33595.305678222699"/>
    <n v="120943.100441602"/>
  </r>
  <r>
    <x v="0"/>
    <x v="0"/>
    <x v="0"/>
    <x v="10"/>
    <x v="18"/>
    <s v="UKA"/>
    <x v="7"/>
    <x v="6"/>
    <s v="GHYRR_WATER"/>
    <x v="4"/>
    <x v="6"/>
    <n v="552.25160018996303"/>
    <n v="33595.305678222699"/>
    <n v="120943.100441602"/>
  </r>
  <r>
    <x v="0"/>
    <x v="0"/>
    <x v="0"/>
    <x v="10"/>
    <x v="18"/>
    <s v="UKA"/>
    <x v="7"/>
    <x v="6"/>
    <s v="GHYRR_WATER"/>
    <x v="4"/>
    <x v="7"/>
    <n v="552.25160018996303"/>
    <n v="33595.305678222699"/>
    <n v="120943.100441602"/>
  </r>
  <r>
    <x v="0"/>
    <x v="0"/>
    <x v="0"/>
    <x v="10"/>
    <x v="18"/>
    <s v="UKA"/>
    <x v="7"/>
    <x v="6"/>
    <s v="GHYRR_WATER"/>
    <x v="4"/>
    <x v="8"/>
    <n v="552.25160018996303"/>
    <n v="33595.305678222699"/>
    <n v="120943.100441602"/>
  </r>
  <r>
    <x v="0"/>
    <x v="0"/>
    <x v="0"/>
    <x v="10"/>
    <x v="18"/>
    <s v="UKA"/>
    <x v="7"/>
    <x v="6"/>
    <s v="GHYRR_WATER"/>
    <x v="4"/>
    <x v="9"/>
    <n v="552.25160018996303"/>
    <n v="33595.305678222699"/>
    <n v="120943.100441602"/>
  </r>
  <r>
    <x v="0"/>
    <x v="0"/>
    <x v="0"/>
    <x v="10"/>
    <x v="18"/>
    <s v="UKA"/>
    <x v="7"/>
    <x v="6"/>
    <s v="GHYRR_WATER"/>
    <x v="4"/>
    <x v="10"/>
    <n v="552.25160018996303"/>
    <n v="33595.305678222699"/>
    <n v="120943.100441602"/>
  </r>
  <r>
    <x v="0"/>
    <x v="0"/>
    <x v="0"/>
    <x v="10"/>
    <x v="18"/>
    <s v="UKA"/>
    <x v="7"/>
    <x v="6"/>
    <s v="GHYRR_WATER"/>
    <x v="4"/>
    <x v="11"/>
    <n v="552.25160018996303"/>
    <n v="33595.305678222699"/>
    <n v="120943.100441602"/>
  </r>
  <r>
    <x v="0"/>
    <x v="0"/>
    <x v="0"/>
    <x v="10"/>
    <x v="18"/>
    <s v="UKA"/>
    <x v="7"/>
    <x v="6"/>
    <s v="GHYRR_WATER"/>
    <x v="5"/>
    <x v="0"/>
    <n v="485.58154882651701"/>
    <n v="29539.5442202798"/>
    <n v="106342.359193007"/>
  </r>
  <r>
    <x v="0"/>
    <x v="0"/>
    <x v="0"/>
    <x v="10"/>
    <x v="18"/>
    <s v="UKA"/>
    <x v="7"/>
    <x v="6"/>
    <s v="GHYRR_WATER"/>
    <x v="5"/>
    <x v="1"/>
    <n v="485.58154882651701"/>
    <n v="29539.5442202798"/>
    <n v="106342.359193007"/>
  </r>
  <r>
    <x v="0"/>
    <x v="0"/>
    <x v="0"/>
    <x v="10"/>
    <x v="18"/>
    <s v="UKA"/>
    <x v="7"/>
    <x v="6"/>
    <s v="GHYRR_WATER"/>
    <x v="5"/>
    <x v="2"/>
    <n v="485.58154882651701"/>
    <n v="29539.5442202798"/>
    <n v="106342.359193007"/>
  </r>
  <r>
    <x v="0"/>
    <x v="0"/>
    <x v="0"/>
    <x v="10"/>
    <x v="18"/>
    <s v="UKA"/>
    <x v="7"/>
    <x v="6"/>
    <s v="GHYRR_WATER"/>
    <x v="5"/>
    <x v="3"/>
    <n v="485.58154882651701"/>
    <n v="29539.5442202798"/>
    <n v="106342.359193007"/>
  </r>
  <r>
    <x v="0"/>
    <x v="0"/>
    <x v="0"/>
    <x v="10"/>
    <x v="18"/>
    <s v="UKA"/>
    <x v="7"/>
    <x v="6"/>
    <s v="GHYRR_WATER"/>
    <x v="5"/>
    <x v="4"/>
    <n v="485.58154882651701"/>
    <n v="29539.5442202798"/>
    <n v="106342.359193007"/>
  </r>
  <r>
    <x v="0"/>
    <x v="0"/>
    <x v="0"/>
    <x v="10"/>
    <x v="18"/>
    <s v="UKA"/>
    <x v="7"/>
    <x v="6"/>
    <s v="GHYRR_WATER"/>
    <x v="5"/>
    <x v="5"/>
    <n v="485.58154882651701"/>
    <n v="29539.5442202798"/>
    <n v="106342.359193007"/>
  </r>
  <r>
    <x v="0"/>
    <x v="0"/>
    <x v="0"/>
    <x v="10"/>
    <x v="18"/>
    <s v="UKA"/>
    <x v="7"/>
    <x v="6"/>
    <s v="GHYRR_WATER"/>
    <x v="5"/>
    <x v="6"/>
    <n v="485.58154882651701"/>
    <n v="29539.5442202798"/>
    <n v="106342.359193007"/>
  </r>
  <r>
    <x v="0"/>
    <x v="0"/>
    <x v="0"/>
    <x v="10"/>
    <x v="18"/>
    <s v="UKA"/>
    <x v="7"/>
    <x v="6"/>
    <s v="GHYRR_WATER"/>
    <x v="5"/>
    <x v="7"/>
    <n v="485.58154882651701"/>
    <n v="29539.5442202798"/>
    <n v="106342.359193007"/>
  </r>
  <r>
    <x v="0"/>
    <x v="0"/>
    <x v="0"/>
    <x v="10"/>
    <x v="18"/>
    <s v="UKA"/>
    <x v="7"/>
    <x v="6"/>
    <s v="GHYRR_WATER"/>
    <x v="5"/>
    <x v="8"/>
    <n v="485.58154882651701"/>
    <n v="29539.5442202798"/>
    <n v="106342.359193007"/>
  </r>
  <r>
    <x v="0"/>
    <x v="0"/>
    <x v="0"/>
    <x v="10"/>
    <x v="18"/>
    <s v="UKA"/>
    <x v="7"/>
    <x v="6"/>
    <s v="GHYRR_WATER"/>
    <x v="5"/>
    <x v="9"/>
    <n v="485.58154882651701"/>
    <n v="29539.5442202798"/>
    <n v="106342.359193007"/>
  </r>
  <r>
    <x v="0"/>
    <x v="0"/>
    <x v="0"/>
    <x v="10"/>
    <x v="18"/>
    <s v="UKA"/>
    <x v="7"/>
    <x v="6"/>
    <s v="GHYRR_WATER"/>
    <x v="5"/>
    <x v="10"/>
    <n v="485.58154882651701"/>
    <n v="29539.5442202798"/>
    <n v="106342.359193007"/>
  </r>
  <r>
    <x v="0"/>
    <x v="0"/>
    <x v="0"/>
    <x v="10"/>
    <x v="18"/>
    <s v="UKA"/>
    <x v="7"/>
    <x v="6"/>
    <s v="GHYRR_WATER"/>
    <x v="5"/>
    <x v="11"/>
    <n v="485.58154882651701"/>
    <n v="29539.5442202798"/>
    <n v="106342.359193007"/>
  </r>
  <r>
    <x v="0"/>
    <x v="0"/>
    <x v="0"/>
    <x v="10"/>
    <x v="18"/>
    <s v="UKA"/>
    <x v="7"/>
    <x v="6"/>
    <s v="GHYRR_WATER"/>
    <x v="6"/>
    <x v="0"/>
    <n v="467.30109998235201"/>
    <n v="28427.483582259702"/>
    <n v="102338.940896135"/>
  </r>
  <r>
    <x v="0"/>
    <x v="0"/>
    <x v="0"/>
    <x v="10"/>
    <x v="18"/>
    <s v="UKA"/>
    <x v="7"/>
    <x v="6"/>
    <s v="GHYRR_WATER"/>
    <x v="6"/>
    <x v="1"/>
    <n v="467.30109998235201"/>
    <n v="28427.483582259702"/>
    <n v="102338.940896135"/>
  </r>
  <r>
    <x v="0"/>
    <x v="0"/>
    <x v="0"/>
    <x v="10"/>
    <x v="18"/>
    <s v="UKA"/>
    <x v="7"/>
    <x v="6"/>
    <s v="GHYRR_WATER"/>
    <x v="6"/>
    <x v="2"/>
    <n v="467.30109998235201"/>
    <n v="28427.483582259702"/>
    <n v="102338.940896135"/>
  </r>
  <r>
    <x v="0"/>
    <x v="0"/>
    <x v="0"/>
    <x v="10"/>
    <x v="18"/>
    <s v="UKA"/>
    <x v="7"/>
    <x v="6"/>
    <s v="GHYRR_WATER"/>
    <x v="6"/>
    <x v="3"/>
    <n v="467.30109998235201"/>
    <n v="28427.483582259702"/>
    <n v="102338.940896135"/>
  </r>
  <r>
    <x v="0"/>
    <x v="0"/>
    <x v="0"/>
    <x v="10"/>
    <x v="18"/>
    <s v="UKA"/>
    <x v="7"/>
    <x v="6"/>
    <s v="GHYRR_WATER"/>
    <x v="6"/>
    <x v="4"/>
    <n v="467.30109998235201"/>
    <n v="28427.483582259702"/>
    <n v="102338.940896135"/>
  </r>
  <r>
    <x v="0"/>
    <x v="0"/>
    <x v="0"/>
    <x v="10"/>
    <x v="18"/>
    <s v="UKA"/>
    <x v="7"/>
    <x v="6"/>
    <s v="GHYRR_WATER"/>
    <x v="6"/>
    <x v="5"/>
    <n v="467.30109998235201"/>
    <n v="28427.483582259702"/>
    <n v="102338.940896135"/>
  </r>
  <r>
    <x v="0"/>
    <x v="0"/>
    <x v="0"/>
    <x v="10"/>
    <x v="18"/>
    <s v="UKA"/>
    <x v="7"/>
    <x v="6"/>
    <s v="GHYRR_WATER"/>
    <x v="6"/>
    <x v="6"/>
    <n v="467.30109998235201"/>
    <n v="28427.483582259702"/>
    <n v="102338.940896135"/>
  </r>
  <r>
    <x v="0"/>
    <x v="0"/>
    <x v="0"/>
    <x v="10"/>
    <x v="18"/>
    <s v="UKA"/>
    <x v="7"/>
    <x v="6"/>
    <s v="GHYRR_WATER"/>
    <x v="6"/>
    <x v="7"/>
    <n v="467.30109998235201"/>
    <n v="28427.483582259702"/>
    <n v="102338.940896135"/>
  </r>
  <r>
    <x v="0"/>
    <x v="0"/>
    <x v="0"/>
    <x v="10"/>
    <x v="18"/>
    <s v="UKA"/>
    <x v="7"/>
    <x v="6"/>
    <s v="GHYRR_WATER"/>
    <x v="6"/>
    <x v="8"/>
    <n v="467.30109998235201"/>
    <n v="28427.483582259702"/>
    <n v="102338.940896135"/>
  </r>
  <r>
    <x v="0"/>
    <x v="0"/>
    <x v="0"/>
    <x v="10"/>
    <x v="18"/>
    <s v="UKA"/>
    <x v="7"/>
    <x v="6"/>
    <s v="GHYRR_WATER"/>
    <x v="6"/>
    <x v="9"/>
    <n v="467.30109998235201"/>
    <n v="28427.483582259702"/>
    <n v="102338.940896135"/>
  </r>
  <r>
    <x v="0"/>
    <x v="0"/>
    <x v="0"/>
    <x v="10"/>
    <x v="18"/>
    <s v="UKA"/>
    <x v="7"/>
    <x v="6"/>
    <s v="GHYRR_WATER"/>
    <x v="6"/>
    <x v="10"/>
    <n v="467.30109998235201"/>
    <n v="28427.483582259702"/>
    <n v="102338.940896135"/>
  </r>
  <r>
    <x v="0"/>
    <x v="0"/>
    <x v="0"/>
    <x v="10"/>
    <x v="18"/>
    <s v="UKA"/>
    <x v="7"/>
    <x v="6"/>
    <s v="GHYRR_WATER"/>
    <x v="6"/>
    <x v="11"/>
    <n v="467.30109998235201"/>
    <n v="28427.483582259702"/>
    <n v="102338.940896135"/>
  </r>
  <r>
    <x v="0"/>
    <x v="0"/>
    <x v="0"/>
    <x v="10"/>
    <x v="18"/>
    <s v="UKA"/>
    <x v="7"/>
    <x v="6"/>
    <s v="GHYRR_WATER"/>
    <x v="7"/>
    <x v="0"/>
    <n v="709.93779184067296"/>
    <n v="43187.882336974297"/>
    <n v="155476.37641310701"/>
  </r>
  <r>
    <x v="0"/>
    <x v="0"/>
    <x v="0"/>
    <x v="10"/>
    <x v="18"/>
    <s v="UKA"/>
    <x v="7"/>
    <x v="6"/>
    <s v="GHYRR_WATER"/>
    <x v="7"/>
    <x v="1"/>
    <n v="709.93779184067296"/>
    <n v="43187.882336974297"/>
    <n v="155476.37641310701"/>
  </r>
  <r>
    <x v="0"/>
    <x v="0"/>
    <x v="0"/>
    <x v="10"/>
    <x v="18"/>
    <s v="UKA"/>
    <x v="7"/>
    <x v="6"/>
    <s v="GHYRR_WATER"/>
    <x v="7"/>
    <x v="2"/>
    <n v="709.93779184067296"/>
    <n v="43187.882336974297"/>
    <n v="155476.37641310701"/>
  </r>
  <r>
    <x v="0"/>
    <x v="0"/>
    <x v="0"/>
    <x v="10"/>
    <x v="18"/>
    <s v="UKA"/>
    <x v="7"/>
    <x v="6"/>
    <s v="GHYRR_WATER"/>
    <x v="7"/>
    <x v="3"/>
    <n v="709.93779184067296"/>
    <n v="43187.882336974297"/>
    <n v="155476.37641310701"/>
  </r>
  <r>
    <x v="0"/>
    <x v="0"/>
    <x v="0"/>
    <x v="10"/>
    <x v="18"/>
    <s v="UKA"/>
    <x v="7"/>
    <x v="6"/>
    <s v="GHYRR_WATER"/>
    <x v="7"/>
    <x v="4"/>
    <n v="709.93779184067296"/>
    <n v="43187.882336974297"/>
    <n v="155476.37641310701"/>
  </r>
  <r>
    <x v="0"/>
    <x v="0"/>
    <x v="0"/>
    <x v="10"/>
    <x v="18"/>
    <s v="UKA"/>
    <x v="7"/>
    <x v="6"/>
    <s v="GHYRR_WATER"/>
    <x v="7"/>
    <x v="5"/>
    <n v="709.93779184067296"/>
    <n v="43187.882336974297"/>
    <n v="155476.37641310701"/>
  </r>
  <r>
    <x v="0"/>
    <x v="0"/>
    <x v="0"/>
    <x v="10"/>
    <x v="18"/>
    <s v="UKA"/>
    <x v="7"/>
    <x v="6"/>
    <s v="GHYRR_WATER"/>
    <x v="7"/>
    <x v="6"/>
    <n v="709.93779184067296"/>
    <n v="43187.882336974297"/>
    <n v="155476.37641310701"/>
  </r>
  <r>
    <x v="0"/>
    <x v="0"/>
    <x v="0"/>
    <x v="10"/>
    <x v="18"/>
    <s v="UKA"/>
    <x v="7"/>
    <x v="6"/>
    <s v="GHYRR_WATER"/>
    <x v="7"/>
    <x v="7"/>
    <n v="709.93779184067296"/>
    <n v="43187.882336974297"/>
    <n v="155476.37641310701"/>
  </r>
  <r>
    <x v="0"/>
    <x v="0"/>
    <x v="0"/>
    <x v="10"/>
    <x v="18"/>
    <s v="UKA"/>
    <x v="7"/>
    <x v="6"/>
    <s v="GHYRR_WATER"/>
    <x v="7"/>
    <x v="8"/>
    <n v="709.93779184067296"/>
    <n v="43187.882336974297"/>
    <n v="155476.37641310701"/>
  </r>
  <r>
    <x v="0"/>
    <x v="0"/>
    <x v="0"/>
    <x v="10"/>
    <x v="18"/>
    <s v="UKA"/>
    <x v="7"/>
    <x v="6"/>
    <s v="GHYRR_WATER"/>
    <x v="7"/>
    <x v="9"/>
    <n v="709.93779184067296"/>
    <n v="43187.882336974297"/>
    <n v="155476.37641310701"/>
  </r>
  <r>
    <x v="0"/>
    <x v="0"/>
    <x v="0"/>
    <x v="10"/>
    <x v="18"/>
    <s v="UKA"/>
    <x v="7"/>
    <x v="6"/>
    <s v="GHYRR_WATER"/>
    <x v="7"/>
    <x v="10"/>
    <n v="709.93779184067296"/>
    <n v="43187.882336974297"/>
    <n v="155476.37641310701"/>
  </r>
  <r>
    <x v="0"/>
    <x v="0"/>
    <x v="0"/>
    <x v="10"/>
    <x v="18"/>
    <s v="UKA"/>
    <x v="7"/>
    <x v="6"/>
    <s v="GHYRR_WATER"/>
    <x v="7"/>
    <x v="11"/>
    <n v="709.93779184067296"/>
    <n v="43187.882336974297"/>
    <n v="155476.37641310701"/>
  </r>
  <r>
    <x v="0"/>
    <x v="0"/>
    <x v="0"/>
    <x v="10"/>
    <x v="18"/>
    <s v="UKA"/>
    <x v="7"/>
    <x v="6"/>
    <s v="GHYRR_WATER"/>
    <x v="8"/>
    <x v="0"/>
    <n v="597.75841149661699"/>
    <n v="36363.636699377603"/>
    <n v="130909.09211775901"/>
  </r>
  <r>
    <x v="0"/>
    <x v="0"/>
    <x v="0"/>
    <x v="10"/>
    <x v="18"/>
    <s v="UKA"/>
    <x v="7"/>
    <x v="6"/>
    <s v="GHYRR_WATER"/>
    <x v="8"/>
    <x v="1"/>
    <n v="597.75841149661699"/>
    <n v="36363.636699377603"/>
    <n v="130909.09211775901"/>
  </r>
  <r>
    <x v="0"/>
    <x v="0"/>
    <x v="0"/>
    <x v="10"/>
    <x v="18"/>
    <s v="UKA"/>
    <x v="7"/>
    <x v="6"/>
    <s v="GHYRR_WATER"/>
    <x v="8"/>
    <x v="2"/>
    <n v="597.75841149661699"/>
    <n v="36363.636699377603"/>
    <n v="130909.09211775901"/>
  </r>
  <r>
    <x v="0"/>
    <x v="0"/>
    <x v="0"/>
    <x v="10"/>
    <x v="18"/>
    <s v="UKA"/>
    <x v="7"/>
    <x v="6"/>
    <s v="GHYRR_WATER"/>
    <x v="8"/>
    <x v="3"/>
    <n v="597.75841149661699"/>
    <n v="36363.636699377603"/>
    <n v="130909.09211775901"/>
  </r>
  <r>
    <x v="0"/>
    <x v="0"/>
    <x v="0"/>
    <x v="10"/>
    <x v="18"/>
    <s v="UKA"/>
    <x v="7"/>
    <x v="6"/>
    <s v="GHYRR_WATER"/>
    <x v="8"/>
    <x v="4"/>
    <n v="597.75841149661699"/>
    <n v="36363.636699377603"/>
    <n v="130909.09211775901"/>
  </r>
  <r>
    <x v="0"/>
    <x v="0"/>
    <x v="0"/>
    <x v="10"/>
    <x v="18"/>
    <s v="UKA"/>
    <x v="7"/>
    <x v="6"/>
    <s v="GHYRR_WATER"/>
    <x v="8"/>
    <x v="5"/>
    <n v="597.75841149661699"/>
    <n v="36363.636699377603"/>
    <n v="130909.09211775901"/>
  </r>
  <r>
    <x v="0"/>
    <x v="0"/>
    <x v="0"/>
    <x v="10"/>
    <x v="18"/>
    <s v="UKA"/>
    <x v="7"/>
    <x v="6"/>
    <s v="GHYRR_WATER"/>
    <x v="8"/>
    <x v="6"/>
    <n v="597.75841149661699"/>
    <n v="36363.636699377603"/>
    <n v="130909.09211775901"/>
  </r>
  <r>
    <x v="0"/>
    <x v="0"/>
    <x v="0"/>
    <x v="10"/>
    <x v="18"/>
    <s v="UKA"/>
    <x v="7"/>
    <x v="6"/>
    <s v="GHYRR_WATER"/>
    <x v="8"/>
    <x v="7"/>
    <n v="597.75841149661699"/>
    <n v="36363.636699377603"/>
    <n v="130909.09211775901"/>
  </r>
  <r>
    <x v="0"/>
    <x v="0"/>
    <x v="0"/>
    <x v="10"/>
    <x v="18"/>
    <s v="UKA"/>
    <x v="7"/>
    <x v="6"/>
    <s v="GHYRR_WATER"/>
    <x v="8"/>
    <x v="8"/>
    <n v="597.75841149661699"/>
    <n v="36363.636699377603"/>
    <n v="130909.09211775901"/>
  </r>
  <r>
    <x v="0"/>
    <x v="0"/>
    <x v="0"/>
    <x v="10"/>
    <x v="18"/>
    <s v="UKA"/>
    <x v="7"/>
    <x v="6"/>
    <s v="GHYRR_WATER"/>
    <x v="8"/>
    <x v="9"/>
    <n v="597.75841149661699"/>
    <n v="36363.636699377603"/>
    <n v="130909.09211775901"/>
  </r>
  <r>
    <x v="0"/>
    <x v="0"/>
    <x v="0"/>
    <x v="10"/>
    <x v="18"/>
    <s v="UKA"/>
    <x v="7"/>
    <x v="6"/>
    <s v="GHYRR_WATER"/>
    <x v="8"/>
    <x v="10"/>
    <n v="597.75841149661699"/>
    <n v="36363.636699377603"/>
    <n v="130909.09211775901"/>
  </r>
  <r>
    <x v="0"/>
    <x v="0"/>
    <x v="0"/>
    <x v="10"/>
    <x v="18"/>
    <s v="UKA"/>
    <x v="7"/>
    <x v="6"/>
    <s v="GHYRR_WATER"/>
    <x v="8"/>
    <x v="11"/>
    <n v="597.75841149661699"/>
    <n v="36363.636699377603"/>
    <n v="130909.09211775901"/>
  </r>
  <r>
    <x v="0"/>
    <x v="0"/>
    <x v="0"/>
    <x v="10"/>
    <x v="18"/>
    <s v="UKA"/>
    <x v="7"/>
    <x v="6"/>
    <s v="GHYRR_WATER"/>
    <x v="9"/>
    <x v="0"/>
    <n v="496.855774597508"/>
    <n v="30225.3929546818"/>
    <n v="108811.414636854"/>
  </r>
  <r>
    <x v="0"/>
    <x v="0"/>
    <x v="0"/>
    <x v="10"/>
    <x v="18"/>
    <s v="UKA"/>
    <x v="7"/>
    <x v="6"/>
    <s v="GHYRR_WATER"/>
    <x v="9"/>
    <x v="1"/>
    <n v="496.855774597508"/>
    <n v="30225.3929546818"/>
    <n v="108811.414636854"/>
  </r>
  <r>
    <x v="0"/>
    <x v="0"/>
    <x v="0"/>
    <x v="10"/>
    <x v="18"/>
    <s v="UKA"/>
    <x v="7"/>
    <x v="6"/>
    <s v="GHYRR_WATER"/>
    <x v="9"/>
    <x v="2"/>
    <n v="496.855774597508"/>
    <n v="30225.3929546818"/>
    <n v="108811.414636854"/>
  </r>
  <r>
    <x v="0"/>
    <x v="0"/>
    <x v="0"/>
    <x v="10"/>
    <x v="18"/>
    <s v="UKA"/>
    <x v="7"/>
    <x v="6"/>
    <s v="GHYRR_WATER"/>
    <x v="9"/>
    <x v="3"/>
    <n v="496.855774597508"/>
    <n v="30225.3929546818"/>
    <n v="108811.414636854"/>
  </r>
  <r>
    <x v="0"/>
    <x v="0"/>
    <x v="0"/>
    <x v="10"/>
    <x v="18"/>
    <s v="UKA"/>
    <x v="7"/>
    <x v="6"/>
    <s v="GHYRR_WATER"/>
    <x v="9"/>
    <x v="4"/>
    <n v="496.855774597508"/>
    <n v="30225.3929546818"/>
    <n v="108811.414636854"/>
  </r>
  <r>
    <x v="0"/>
    <x v="0"/>
    <x v="0"/>
    <x v="10"/>
    <x v="18"/>
    <s v="UKA"/>
    <x v="7"/>
    <x v="6"/>
    <s v="GHYRR_WATER"/>
    <x v="9"/>
    <x v="5"/>
    <n v="496.855774597508"/>
    <n v="30225.3929546818"/>
    <n v="108811.414636854"/>
  </r>
  <r>
    <x v="0"/>
    <x v="0"/>
    <x v="0"/>
    <x v="10"/>
    <x v="18"/>
    <s v="UKA"/>
    <x v="7"/>
    <x v="6"/>
    <s v="GHYRR_WATER"/>
    <x v="9"/>
    <x v="6"/>
    <n v="496.855774597508"/>
    <n v="30225.3929546818"/>
    <n v="108811.414636854"/>
  </r>
  <r>
    <x v="0"/>
    <x v="0"/>
    <x v="0"/>
    <x v="10"/>
    <x v="18"/>
    <s v="UKA"/>
    <x v="7"/>
    <x v="6"/>
    <s v="GHYRR_WATER"/>
    <x v="9"/>
    <x v="7"/>
    <n v="496.855774597508"/>
    <n v="30225.3929546818"/>
    <n v="108811.414636854"/>
  </r>
  <r>
    <x v="0"/>
    <x v="0"/>
    <x v="0"/>
    <x v="10"/>
    <x v="18"/>
    <s v="UKA"/>
    <x v="7"/>
    <x v="6"/>
    <s v="GHYRR_WATER"/>
    <x v="9"/>
    <x v="8"/>
    <n v="496.855774597508"/>
    <n v="30225.3929546818"/>
    <n v="108811.414636854"/>
  </r>
  <r>
    <x v="0"/>
    <x v="0"/>
    <x v="0"/>
    <x v="10"/>
    <x v="18"/>
    <s v="UKA"/>
    <x v="7"/>
    <x v="6"/>
    <s v="GHYRR_WATER"/>
    <x v="9"/>
    <x v="9"/>
    <n v="496.855774597508"/>
    <n v="30225.3929546818"/>
    <n v="108811.414636854"/>
  </r>
  <r>
    <x v="0"/>
    <x v="0"/>
    <x v="0"/>
    <x v="10"/>
    <x v="18"/>
    <s v="UKA"/>
    <x v="7"/>
    <x v="6"/>
    <s v="GHYRR_WATER"/>
    <x v="9"/>
    <x v="10"/>
    <n v="496.855774597508"/>
    <n v="30225.3929546818"/>
    <n v="108811.414636854"/>
  </r>
  <r>
    <x v="0"/>
    <x v="0"/>
    <x v="0"/>
    <x v="10"/>
    <x v="18"/>
    <s v="UKA"/>
    <x v="7"/>
    <x v="6"/>
    <s v="GHYRR_WATER"/>
    <x v="9"/>
    <x v="11"/>
    <n v="496.855774597508"/>
    <n v="30225.3929546818"/>
    <n v="108811.414636854"/>
  </r>
  <r>
    <x v="0"/>
    <x v="0"/>
    <x v="0"/>
    <x v="10"/>
    <x v="18"/>
    <s v="UKA"/>
    <x v="7"/>
    <x v="6"/>
    <s v="GHYRR_WATER"/>
    <x v="10"/>
    <x v="0"/>
    <n v="444.654304641848"/>
    <n v="27049.803532379101"/>
    <n v="97379.292716564698"/>
  </r>
  <r>
    <x v="0"/>
    <x v="0"/>
    <x v="0"/>
    <x v="10"/>
    <x v="18"/>
    <s v="UKA"/>
    <x v="7"/>
    <x v="6"/>
    <s v="GHYRR_WATER"/>
    <x v="10"/>
    <x v="1"/>
    <n v="444.654304641848"/>
    <n v="27049.803532379101"/>
    <n v="97379.292716564698"/>
  </r>
  <r>
    <x v="0"/>
    <x v="0"/>
    <x v="0"/>
    <x v="10"/>
    <x v="18"/>
    <s v="UKA"/>
    <x v="7"/>
    <x v="6"/>
    <s v="GHYRR_WATER"/>
    <x v="10"/>
    <x v="2"/>
    <n v="444.654304641848"/>
    <n v="27049.803532379101"/>
    <n v="97379.292716564698"/>
  </r>
  <r>
    <x v="0"/>
    <x v="0"/>
    <x v="0"/>
    <x v="10"/>
    <x v="18"/>
    <s v="UKA"/>
    <x v="7"/>
    <x v="6"/>
    <s v="GHYRR_WATER"/>
    <x v="10"/>
    <x v="3"/>
    <n v="444.654304641848"/>
    <n v="27049.803532379101"/>
    <n v="97379.292716564698"/>
  </r>
  <r>
    <x v="0"/>
    <x v="0"/>
    <x v="0"/>
    <x v="10"/>
    <x v="18"/>
    <s v="UKA"/>
    <x v="7"/>
    <x v="6"/>
    <s v="GHYRR_WATER"/>
    <x v="10"/>
    <x v="4"/>
    <n v="444.654304641848"/>
    <n v="27049.803532379101"/>
    <n v="97379.292716564698"/>
  </r>
  <r>
    <x v="0"/>
    <x v="0"/>
    <x v="0"/>
    <x v="10"/>
    <x v="18"/>
    <s v="UKA"/>
    <x v="7"/>
    <x v="6"/>
    <s v="GHYRR_WATER"/>
    <x v="10"/>
    <x v="5"/>
    <n v="444.654304641848"/>
    <n v="27049.803532379101"/>
    <n v="97379.292716564698"/>
  </r>
  <r>
    <x v="0"/>
    <x v="0"/>
    <x v="0"/>
    <x v="10"/>
    <x v="18"/>
    <s v="UKA"/>
    <x v="7"/>
    <x v="6"/>
    <s v="GHYRR_WATER"/>
    <x v="10"/>
    <x v="6"/>
    <n v="444.654304641848"/>
    <n v="27049.803532379101"/>
    <n v="97379.292716564698"/>
  </r>
  <r>
    <x v="0"/>
    <x v="0"/>
    <x v="0"/>
    <x v="10"/>
    <x v="18"/>
    <s v="UKA"/>
    <x v="7"/>
    <x v="6"/>
    <s v="GHYRR_WATER"/>
    <x v="10"/>
    <x v="7"/>
    <n v="444.654304641848"/>
    <n v="27049.803532379101"/>
    <n v="97379.292716564698"/>
  </r>
  <r>
    <x v="0"/>
    <x v="0"/>
    <x v="0"/>
    <x v="10"/>
    <x v="18"/>
    <s v="UKA"/>
    <x v="7"/>
    <x v="6"/>
    <s v="GHYRR_WATER"/>
    <x v="10"/>
    <x v="8"/>
    <n v="444.654304641848"/>
    <n v="27049.803532379101"/>
    <n v="97379.292716564698"/>
  </r>
  <r>
    <x v="0"/>
    <x v="0"/>
    <x v="0"/>
    <x v="10"/>
    <x v="18"/>
    <s v="UKA"/>
    <x v="7"/>
    <x v="6"/>
    <s v="GHYRR_WATER"/>
    <x v="10"/>
    <x v="9"/>
    <n v="444.654304641848"/>
    <n v="27049.803532379101"/>
    <n v="97379.292716564698"/>
  </r>
  <r>
    <x v="0"/>
    <x v="0"/>
    <x v="0"/>
    <x v="10"/>
    <x v="18"/>
    <s v="UKA"/>
    <x v="7"/>
    <x v="6"/>
    <s v="GHYRR_WATER"/>
    <x v="10"/>
    <x v="10"/>
    <n v="444.654304641848"/>
    <n v="27049.803532379101"/>
    <n v="97379.292716564698"/>
  </r>
  <r>
    <x v="0"/>
    <x v="0"/>
    <x v="0"/>
    <x v="10"/>
    <x v="18"/>
    <s v="UKA"/>
    <x v="7"/>
    <x v="6"/>
    <s v="GHYRR_WATER"/>
    <x v="10"/>
    <x v="11"/>
    <n v="444.654304641848"/>
    <n v="27049.803532379101"/>
    <n v="97379.292716564698"/>
  </r>
  <r>
    <x v="0"/>
    <x v="0"/>
    <x v="0"/>
    <x v="10"/>
    <x v="18"/>
    <s v="UKA"/>
    <x v="7"/>
    <x v="6"/>
    <s v="GHYRR_WATER"/>
    <x v="11"/>
    <x v="0"/>
    <n v="378.57213469137002"/>
    <n v="23029.804860391701"/>
    <n v="82907.297497410007"/>
  </r>
  <r>
    <x v="0"/>
    <x v="0"/>
    <x v="0"/>
    <x v="10"/>
    <x v="18"/>
    <s v="UKA"/>
    <x v="7"/>
    <x v="6"/>
    <s v="GHYRR_WATER"/>
    <x v="11"/>
    <x v="1"/>
    <n v="378.57213469137002"/>
    <n v="23029.804860391701"/>
    <n v="82907.297497410007"/>
  </r>
  <r>
    <x v="0"/>
    <x v="0"/>
    <x v="0"/>
    <x v="10"/>
    <x v="18"/>
    <s v="UKA"/>
    <x v="7"/>
    <x v="6"/>
    <s v="GHYRR_WATER"/>
    <x v="11"/>
    <x v="2"/>
    <n v="378.57213469137002"/>
    <n v="23029.804860391701"/>
    <n v="82907.297497410007"/>
  </r>
  <r>
    <x v="0"/>
    <x v="0"/>
    <x v="0"/>
    <x v="10"/>
    <x v="18"/>
    <s v="UKA"/>
    <x v="7"/>
    <x v="6"/>
    <s v="GHYRR_WATER"/>
    <x v="11"/>
    <x v="3"/>
    <n v="378.57213469137002"/>
    <n v="23029.804860391701"/>
    <n v="82907.297497410007"/>
  </r>
  <r>
    <x v="0"/>
    <x v="0"/>
    <x v="0"/>
    <x v="10"/>
    <x v="18"/>
    <s v="UKA"/>
    <x v="7"/>
    <x v="6"/>
    <s v="GHYRR_WATER"/>
    <x v="11"/>
    <x v="4"/>
    <n v="378.57213469137002"/>
    <n v="23029.804860391701"/>
    <n v="82907.297497410007"/>
  </r>
  <r>
    <x v="0"/>
    <x v="0"/>
    <x v="0"/>
    <x v="10"/>
    <x v="18"/>
    <s v="UKA"/>
    <x v="7"/>
    <x v="6"/>
    <s v="GHYRR_WATER"/>
    <x v="11"/>
    <x v="5"/>
    <n v="378.57213469137002"/>
    <n v="23029.804860391701"/>
    <n v="82907.297497410007"/>
  </r>
  <r>
    <x v="0"/>
    <x v="0"/>
    <x v="0"/>
    <x v="10"/>
    <x v="18"/>
    <s v="UKA"/>
    <x v="7"/>
    <x v="6"/>
    <s v="GHYRR_WATER"/>
    <x v="11"/>
    <x v="6"/>
    <n v="378.57213469137002"/>
    <n v="23029.804860391701"/>
    <n v="82907.297497410007"/>
  </r>
  <r>
    <x v="0"/>
    <x v="0"/>
    <x v="0"/>
    <x v="10"/>
    <x v="18"/>
    <s v="UKA"/>
    <x v="7"/>
    <x v="6"/>
    <s v="GHYRR_WATER"/>
    <x v="11"/>
    <x v="7"/>
    <n v="378.57213469137002"/>
    <n v="23029.804860391701"/>
    <n v="82907.297497410007"/>
  </r>
  <r>
    <x v="0"/>
    <x v="0"/>
    <x v="0"/>
    <x v="10"/>
    <x v="18"/>
    <s v="UKA"/>
    <x v="7"/>
    <x v="6"/>
    <s v="GHYRR_WATER"/>
    <x v="11"/>
    <x v="8"/>
    <n v="378.57213469137002"/>
    <n v="23029.804860391701"/>
    <n v="82907.297497410007"/>
  </r>
  <r>
    <x v="0"/>
    <x v="0"/>
    <x v="0"/>
    <x v="10"/>
    <x v="18"/>
    <s v="UKA"/>
    <x v="7"/>
    <x v="6"/>
    <s v="GHYRR_WATER"/>
    <x v="11"/>
    <x v="9"/>
    <n v="378.57213469137002"/>
    <n v="23029.804860391701"/>
    <n v="82907.297497410007"/>
  </r>
  <r>
    <x v="0"/>
    <x v="0"/>
    <x v="0"/>
    <x v="10"/>
    <x v="18"/>
    <s v="UKA"/>
    <x v="7"/>
    <x v="6"/>
    <s v="GHYRR_WATER"/>
    <x v="11"/>
    <x v="10"/>
    <n v="378.57213469137002"/>
    <n v="23029.804860391701"/>
    <n v="82907.297497410007"/>
  </r>
  <r>
    <x v="0"/>
    <x v="0"/>
    <x v="0"/>
    <x v="10"/>
    <x v="18"/>
    <s v="UKA"/>
    <x v="7"/>
    <x v="6"/>
    <s v="GHYRR_WATER"/>
    <x v="11"/>
    <x v="11"/>
    <n v="378.57213469137002"/>
    <n v="23029.804860391701"/>
    <n v="82907.297497410007"/>
  </r>
  <r>
    <x v="0"/>
    <x v="0"/>
    <x v="0"/>
    <x v="10"/>
    <x v="18"/>
    <s v="UKA"/>
    <x v="0"/>
    <x v="0"/>
    <s v="GWND_WIND"/>
    <x v="0"/>
    <x v="0"/>
    <n v="2652.2676827400701"/>
    <n v="161346.28403335501"/>
    <n v="580846.62252007599"/>
  </r>
  <r>
    <x v="0"/>
    <x v="0"/>
    <x v="0"/>
    <x v="10"/>
    <x v="18"/>
    <s v="UKA"/>
    <x v="0"/>
    <x v="0"/>
    <s v="GWND_WIND"/>
    <x v="0"/>
    <x v="1"/>
    <n v="2769.7818613673999"/>
    <n v="168495.063233183"/>
    <n v="606582.22763946"/>
  </r>
  <r>
    <x v="0"/>
    <x v="0"/>
    <x v="0"/>
    <x v="10"/>
    <x v="18"/>
    <s v="UKA"/>
    <x v="0"/>
    <x v="0"/>
    <s v="GWND_WIND"/>
    <x v="0"/>
    <x v="2"/>
    <n v="2756.1174219921299"/>
    <n v="167663.80983785499"/>
    <n v="603589.71541627694"/>
  </r>
  <r>
    <x v="0"/>
    <x v="0"/>
    <x v="0"/>
    <x v="10"/>
    <x v="18"/>
    <s v="UKA"/>
    <x v="0"/>
    <x v="0"/>
    <s v="GWND_WIND"/>
    <x v="0"/>
    <x v="3"/>
    <n v="2665.93212211534"/>
    <n v="162177.53742868299"/>
    <n v="583839.13474325906"/>
  </r>
  <r>
    <x v="0"/>
    <x v="0"/>
    <x v="0"/>
    <x v="10"/>
    <x v="18"/>
    <s v="UKA"/>
    <x v="0"/>
    <x v="0"/>
    <s v="GWND_WIND"/>
    <x v="0"/>
    <x v="4"/>
    <n v="2745.18587049191"/>
    <n v="166998.807121591"/>
    <n v="601195.70563772705"/>
  </r>
  <r>
    <x v="0"/>
    <x v="0"/>
    <x v="0"/>
    <x v="10"/>
    <x v="18"/>
    <s v="UKA"/>
    <x v="0"/>
    <x v="0"/>
    <s v="GWND_WIND"/>
    <x v="0"/>
    <x v="5"/>
    <n v="2794.3778522428902"/>
    <n v="169991.31934477601"/>
    <n v="611968.74964119296"/>
  </r>
  <r>
    <x v="0"/>
    <x v="0"/>
    <x v="0"/>
    <x v="10"/>
    <x v="18"/>
    <s v="UKA"/>
    <x v="0"/>
    <x v="0"/>
    <s v="GWND_WIND"/>
    <x v="0"/>
    <x v="6"/>
    <n v="2794.3778522428902"/>
    <n v="169991.31934477601"/>
    <n v="611968.74964119296"/>
  </r>
  <r>
    <x v="0"/>
    <x v="0"/>
    <x v="0"/>
    <x v="10"/>
    <x v="18"/>
    <s v="UKA"/>
    <x v="0"/>
    <x v="0"/>
    <s v="GWND_WIND"/>
    <x v="0"/>
    <x v="7"/>
    <n v="2900.96047937"/>
    <n v="176475.09582834199"/>
    <n v="635310.34498202999"/>
  </r>
  <r>
    <x v="0"/>
    <x v="0"/>
    <x v="0"/>
    <x v="10"/>
    <x v="18"/>
    <s v="UKA"/>
    <x v="0"/>
    <x v="0"/>
    <s v="GWND_WIND"/>
    <x v="0"/>
    <x v="8"/>
    <n v="2891.3953718072999"/>
    <n v="175893.218451611"/>
    <n v="633215.58642579999"/>
  </r>
  <r>
    <x v="0"/>
    <x v="0"/>
    <x v="0"/>
    <x v="10"/>
    <x v="18"/>
    <s v="UKA"/>
    <x v="0"/>
    <x v="0"/>
    <s v="GWND_WIND"/>
    <x v="0"/>
    <x v="9"/>
    <n v="3081.3310791235699"/>
    <n v="187447.64064668401"/>
    <n v="674811.50632806297"/>
  </r>
  <r>
    <x v="0"/>
    <x v="0"/>
    <x v="0"/>
    <x v="10"/>
    <x v="18"/>
    <s v="UKA"/>
    <x v="0"/>
    <x v="0"/>
    <s v="GWND_WIND"/>
    <x v="0"/>
    <x v="10"/>
    <n v="3297.22922125286"/>
    <n v="200581.44429288199"/>
    <n v="722093.19945437601"/>
  </r>
  <r>
    <x v="0"/>
    <x v="0"/>
    <x v="0"/>
    <x v="10"/>
    <x v="18"/>
    <s v="UKA"/>
    <x v="0"/>
    <x v="0"/>
    <s v="GWND_WIND"/>
    <x v="0"/>
    <x v="11"/>
    <n v="3384.68163325459"/>
    <n v="205901.46602298701"/>
    <n v="741245.27768275398"/>
  </r>
  <r>
    <x v="0"/>
    <x v="0"/>
    <x v="0"/>
    <x v="10"/>
    <x v="18"/>
    <s v="UKA"/>
    <x v="0"/>
    <x v="0"/>
    <s v="GWND_WIND"/>
    <x v="1"/>
    <x v="0"/>
    <n v="2477.3628587366002"/>
    <n v="150706.240573143"/>
    <n v="542542.46606331598"/>
  </r>
  <r>
    <x v="0"/>
    <x v="0"/>
    <x v="0"/>
    <x v="10"/>
    <x v="18"/>
    <s v="UKA"/>
    <x v="0"/>
    <x v="0"/>
    <s v="GWND_WIND"/>
    <x v="1"/>
    <x v="1"/>
    <n v="2583.94548586371"/>
    <n v="157190.01705670901"/>
    <n v="565884.06140415196"/>
  </r>
  <r>
    <x v="0"/>
    <x v="0"/>
    <x v="0"/>
    <x v="10"/>
    <x v="18"/>
    <s v="UKA"/>
    <x v="0"/>
    <x v="0"/>
    <s v="GWND_WIND"/>
    <x v="1"/>
    <x v="2"/>
    <n v="2698.7267766159798"/>
    <n v="164172.54557747199"/>
    <n v="591021.16407890001"/>
  </r>
  <r>
    <x v="0"/>
    <x v="0"/>
    <x v="0"/>
    <x v="10"/>
    <x v="18"/>
    <s v="UKA"/>
    <x v="0"/>
    <x v="0"/>
    <s v="GWND_WIND"/>
    <x v="1"/>
    <x v="3"/>
    <n v="2820.3402870558998"/>
    <n v="171570.70079590101"/>
    <n v="617654.52286524302"/>
  </r>
  <r>
    <x v="0"/>
    <x v="0"/>
    <x v="0"/>
    <x v="10"/>
    <x v="18"/>
    <s v="UKA"/>
    <x v="0"/>
    <x v="0"/>
    <s v="GWND_WIND"/>
    <x v="1"/>
    <x v="4"/>
    <n v="2846.3027218689099"/>
    <n v="173150.082247026"/>
    <n v="623340.29608929204"/>
  </r>
  <r>
    <x v="0"/>
    <x v="0"/>
    <x v="0"/>
    <x v="10"/>
    <x v="18"/>
    <s v="UKA"/>
    <x v="0"/>
    <x v="0"/>
    <s v="GWND_WIND"/>
    <x v="1"/>
    <x v="5"/>
    <n v="2820.3402870558998"/>
    <n v="171570.70079590101"/>
    <n v="617654.52286524302"/>
  </r>
  <r>
    <x v="0"/>
    <x v="0"/>
    <x v="0"/>
    <x v="10"/>
    <x v="18"/>
    <s v="UKA"/>
    <x v="0"/>
    <x v="0"/>
    <s v="GWND_WIND"/>
    <x v="1"/>
    <x v="6"/>
    <n v="2849.0356097439599"/>
    <n v="173316.33292609101"/>
    <n v="623938.798533928"/>
  </r>
  <r>
    <x v="0"/>
    <x v="0"/>
    <x v="0"/>
    <x v="10"/>
    <x v="18"/>
    <s v="UKA"/>
    <x v="0"/>
    <x v="0"/>
    <s v="GWND_WIND"/>
    <x v="1"/>
    <x v="7"/>
    <n v="2926.9229141830101"/>
    <n v="178054.47727946701"/>
    <n v="640996.11820608005"/>
  </r>
  <r>
    <x v="0"/>
    <x v="0"/>
    <x v="0"/>
    <x v="10"/>
    <x v="18"/>
    <s v="UKA"/>
    <x v="0"/>
    <x v="0"/>
    <s v="GWND_WIND"/>
    <x v="1"/>
    <x v="8"/>
    <n v="3007.5431064971099"/>
    <n v="182958.87231190701"/>
    <n v="658651.94032286701"/>
  </r>
  <r>
    <x v="0"/>
    <x v="0"/>
    <x v="0"/>
    <x v="10"/>
    <x v="18"/>
    <s v="UKA"/>
    <x v="0"/>
    <x v="0"/>
    <s v="GWND_WIND"/>
    <x v="1"/>
    <x v="9"/>
    <n v="2885.9295960571999"/>
    <n v="175560.71709347999"/>
    <n v="632018.58153652796"/>
  </r>
  <r>
    <x v="0"/>
    <x v="0"/>
    <x v="0"/>
    <x v="10"/>
    <x v="18"/>
    <s v="UKA"/>
    <x v="0"/>
    <x v="0"/>
    <s v="GWND_WIND"/>
    <x v="1"/>
    <x v="10"/>
    <n v="2573.0139343635001"/>
    <n v="156525.01434044601"/>
    <n v="563490.05162560602"/>
  </r>
  <r>
    <x v="0"/>
    <x v="0"/>
    <x v="0"/>
    <x v="10"/>
    <x v="18"/>
    <s v="UKA"/>
    <x v="0"/>
    <x v="0"/>
    <s v="GWND_WIND"/>
    <x v="1"/>
    <x v="11"/>
    <n v="2335.2526892337801"/>
    <n v="142061.205261722"/>
    <n v="511420.33894219901"/>
  </r>
  <r>
    <x v="0"/>
    <x v="0"/>
    <x v="0"/>
    <x v="10"/>
    <x v="18"/>
    <s v="UKA"/>
    <x v="0"/>
    <x v="0"/>
    <s v="GWND_WIND"/>
    <x v="2"/>
    <x v="0"/>
    <n v="1325.4506194012699"/>
    <n v="80631.579346910701"/>
    <n v="290273.68564887799"/>
  </r>
  <r>
    <x v="0"/>
    <x v="0"/>
    <x v="0"/>
    <x v="10"/>
    <x v="18"/>
    <s v="UKA"/>
    <x v="0"/>
    <x v="0"/>
    <s v="GWND_WIND"/>
    <x v="2"/>
    <x v="1"/>
    <n v="1149.17935146028"/>
    <n v="69908.410547166801"/>
    <n v="251670.27796980101"/>
  </r>
  <r>
    <x v="0"/>
    <x v="0"/>
    <x v="0"/>
    <x v="10"/>
    <x v="18"/>
    <s v="UKA"/>
    <x v="0"/>
    <x v="0"/>
    <s v="GWND_WIND"/>
    <x v="2"/>
    <x v="2"/>
    <n v="1039.86383645811"/>
    <n v="63258.383384535096"/>
    <n v="227730.18018432599"/>
  </r>
  <r>
    <x v="0"/>
    <x v="0"/>
    <x v="0"/>
    <x v="10"/>
    <x v="18"/>
    <s v="UKA"/>
    <x v="0"/>
    <x v="0"/>
    <s v="GWND_WIND"/>
    <x v="2"/>
    <x v="3"/>
    <n v="1026.1993970828401"/>
    <n v="62427.1299892061"/>
    <n v="224737.667961142"/>
  </r>
  <r>
    <x v="0"/>
    <x v="0"/>
    <x v="0"/>
    <x v="10"/>
    <x v="18"/>
    <s v="UKA"/>
    <x v="0"/>
    <x v="0"/>
    <s v="GWND_WIND"/>
    <x v="2"/>
    <x v="4"/>
    <n v="1083.59004245898"/>
    <n v="65918.3942495878"/>
    <n v="237306.21929851599"/>
  </r>
  <r>
    <x v="0"/>
    <x v="0"/>
    <x v="0"/>
    <x v="10"/>
    <x v="18"/>
    <s v="UKA"/>
    <x v="0"/>
    <x v="0"/>
    <s v="GWND_WIND"/>
    <x v="2"/>
    <x v="5"/>
    <n v="1067.19271520865"/>
    <n v="64920.890175193003"/>
    <n v="233715.20463069499"/>
  </r>
  <r>
    <x v="0"/>
    <x v="0"/>
    <x v="0"/>
    <x v="10"/>
    <x v="18"/>
    <s v="UKA"/>
    <x v="0"/>
    <x v="0"/>
    <s v="GWND_WIND"/>
    <x v="2"/>
    <x v="6"/>
    <n v="1004.3362940824099"/>
    <n v="61097.124556679802"/>
    <n v="219949.64840404701"/>
  </r>
  <r>
    <x v="0"/>
    <x v="0"/>
    <x v="0"/>
    <x v="10"/>
    <x v="18"/>
    <s v="UKA"/>
    <x v="0"/>
    <x v="0"/>
    <s v="GWND_WIND"/>
    <x v="2"/>
    <x v="7"/>
    <n v="945.57920476874096"/>
    <n v="57522.734956765104"/>
    <n v="207081.84584435399"/>
  </r>
  <r>
    <x v="0"/>
    <x v="0"/>
    <x v="0"/>
    <x v="10"/>
    <x v="18"/>
    <s v="UKA"/>
    <x v="0"/>
    <x v="0"/>
    <s v="GWND_WIND"/>
    <x v="2"/>
    <x v="8"/>
    <n v="890.921447267659"/>
    <n v="54197.721375449197"/>
    <n v="195111.796951617"/>
  </r>
  <r>
    <x v="0"/>
    <x v="0"/>
    <x v="0"/>
    <x v="10"/>
    <x v="18"/>
    <s v="UKA"/>
    <x v="0"/>
    <x v="0"/>
    <s v="GWND_WIND"/>
    <x v="2"/>
    <x v="9"/>
    <n v="829.43147007894004"/>
    <n v="50457.081096468901"/>
    <n v="181645.49194728801"/>
  </r>
  <r>
    <x v="0"/>
    <x v="0"/>
    <x v="0"/>
    <x v="10"/>
    <x v="18"/>
    <s v="UKA"/>
    <x v="0"/>
    <x v="0"/>
    <s v="GWND_WIND"/>
    <x v="2"/>
    <x v="10"/>
    <n v="762.47571714011201"/>
    <n v="46383.939459356799"/>
    <n v="166982.18205368501"/>
  </r>
  <r>
    <x v="0"/>
    <x v="0"/>
    <x v="0"/>
    <x v="10"/>
    <x v="18"/>
    <s v="UKA"/>
    <x v="0"/>
    <x v="0"/>
    <s v="GWND_WIND"/>
    <x v="2"/>
    <x v="11"/>
    <n v="721.48239901429997"/>
    <n v="43890.179273369897"/>
    <n v="158004.64538413199"/>
  </r>
  <r>
    <x v="0"/>
    <x v="0"/>
    <x v="0"/>
    <x v="10"/>
    <x v="18"/>
    <s v="UKA"/>
    <x v="0"/>
    <x v="0"/>
    <s v="GWND_WIND"/>
    <x v="3"/>
    <x v="0"/>
    <n v="2205.4405151687101"/>
    <n v="134164.298006097"/>
    <n v="482991.472821948"/>
  </r>
  <r>
    <x v="0"/>
    <x v="0"/>
    <x v="0"/>
    <x v="10"/>
    <x v="18"/>
    <s v="UKA"/>
    <x v="0"/>
    <x v="0"/>
    <s v="GWND_WIND"/>
    <x v="3"/>
    <x v="1"/>
    <n v="2104.3236637916998"/>
    <n v="128013.022880662"/>
    <n v="460846.882370384"/>
  </r>
  <r>
    <x v="0"/>
    <x v="0"/>
    <x v="0"/>
    <x v="10"/>
    <x v="18"/>
    <s v="UKA"/>
    <x v="0"/>
    <x v="0"/>
    <s v="GWND_WIND"/>
    <x v="3"/>
    <x v="2"/>
    <n v="2208.1734030437601"/>
    <n v="134330.54868516201"/>
    <n v="483589.97526658501"/>
  </r>
  <r>
    <x v="0"/>
    <x v="0"/>
    <x v="0"/>
    <x v="10"/>
    <x v="18"/>
    <s v="UKA"/>
    <x v="0"/>
    <x v="0"/>
    <s v="GWND_WIND"/>
    <x v="3"/>
    <x v="3"/>
    <n v="2169.9129727930099"/>
    <n v="132003.03917824099"/>
    <n v="475210.94104166899"/>
  </r>
  <r>
    <x v="0"/>
    <x v="0"/>
    <x v="0"/>
    <x v="10"/>
    <x v="18"/>
    <s v="UKA"/>
    <x v="0"/>
    <x v="0"/>
    <s v="GWND_WIND"/>
    <x v="3"/>
    <x v="4"/>
    <n v="2001.8403684771799"/>
    <n v="121778.622415695"/>
    <n v="438403.04069650202"/>
  </r>
  <r>
    <x v="0"/>
    <x v="0"/>
    <x v="0"/>
    <x v="10"/>
    <x v="18"/>
    <s v="UKA"/>
    <x v="0"/>
    <x v="0"/>
    <s v="GWND_WIND"/>
    <x v="3"/>
    <x v="5"/>
    <n v="1896.6241852875901"/>
    <n v="115377.971271662"/>
    <n v="415360.69657798199"/>
  </r>
  <r>
    <x v="0"/>
    <x v="0"/>
    <x v="0"/>
    <x v="10"/>
    <x v="18"/>
    <s v="UKA"/>
    <x v="0"/>
    <x v="0"/>
    <s v="GWND_WIND"/>
    <x v="3"/>
    <x v="6"/>
    <n v="1877.49397016221"/>
    <n v="114214.21651820101"/>
    <n v="411171.17946552398"/>
  </r>
  <r>
    <x v="0"/>
    <x v="0"/>
    <x v="0"/>
    <x v="10"/>
    <x v="18"/>
    <s v="UKA"/>
    <x v="0"/>
    <x v="0"/>
    <s v="GWND_WIND"/>
    <x v="3"/>
    <x v="7"/>
    <n v="1858.3637550368301"/>
    <n v="113050.46176474101"/>
    <n v="406981.66235306603"/>
  </r>
  <r>
    <x v="0"/>
    <x v="0"/>
    <x v="0"/>
    <x v="10"/>
    <x v="18"/>
    <s v="UKA"/>
    <x v="0"/>
    <x v="0"/>
    <s v="GWND_WIND"/>
    <x v="3"/>
    <x v="8"/>
    <n v="1865.19597472446"/>
    <n v="113466.08846240499"/>
    <n v="408477.91846465698"/>
  </r>
  <r>
    <x v="0"/>
    <x v="0"/>
    <x v="0"/>
    <x v="10"/>
    <x v="18"/>
    <s v="UKA"/>
    <x v="0"/>
    <x v="0"/>
    <s v="GWND_WIND"/>
    <x v="3"/>
    <x v="9"/>
    <n v="2113.8887713544"/>
    <n v="128594.900257393"/>
    <n v="462941.640926614"/>
  </r>
  <r>
    <x v="0"/>
    <x v="0"/>
    <x v="0"/>
    <x v="10"/>
    <x v="18"/>
    <s v="UKA"/>
    <x v="0"/>
    <x v="0"/>
    <s v="GWND_WIND"/>
    <x v="3"/>
    <x v="10"/>
    <n v="2437.7359845483102"/>
    <n v="148295.60572668901"/>
    <n v="533864.18061607995"/>
  </r>
  <r>
    <x v="0"/>
    <x v="0"/>
    <x v="0"/>
    <x v="10"/>
    <x v="18"/>
    <s v="UKA"/>
    <x v="0"/>
    <x v="0"/>
    <s v="GWND_WIND"/>
    <x v="3"/>
    <x v="11"/>
    <n v="2597.6099252389899"/>
    <n v="158021.27045203801"/>
    <n v="568876.57362733898"/>
  </r>
  <r>
    <x v="0"/>
    <x v="0"/>
    <x v="0"/>
    <x v="10"/>
    <x v="18"/>
    <s v="UKA"/>
    <x v="0"/>
    <x v="0"/>
    <s v="GWND_WIND"/>
    <x v="4"/>
    <x v="0"/>
    <n v="1120.48402877221"/>
    <n v="68162.778416975998"/>
    <n v="245386.002301114"/>
  </r>
  <r>
    <x v="0"/>
    <x v="0"/>
    <x v="0"/>
    <x v="10"/>
    <x v="18"/>
    <s v="UKA"/>
    <x v="0"/>
    <x v="0"/>
    <s v="GWND_WIND"/>
    <x v="4"/>
    <x v="1"/>
    <n v="1115.0182530221"/>
    <n v="67830.277058844396"/>
    <n v="244188.99741184001"/>
  </r>
  <r>
    <x v="0"/>
    <x v="0"/>
    <x v="0"/>
    <x v="10"/>
    <x v="18"/>
    <s v="UKA"/>
    <x v="0"/>
    <x v="0"/>
    <s v="GWND_WIND"/>
    <x v="4"/>
    <x v="2"/>
    <n v="1102.7202575843601"/>
    <n v="67082.149003048398"/>
    <n v="241495.736410974"/>
  </r>
  <r>
    <x v="0"/>
    <x v="0"/>
    <x v="0"/>
    <x v="10"/>
    <x v="18"/>
    <s v="UKA"/>
    <x v="0"/>
    <x v="0"/>
    <s v="GWND_WIND"/>
    <x v="4"/>
    <x v="3"/>
    <n v="1134.1484681474799"/>
    <n v="68994.031812304995"/>
    <n v="248378.51452429799"/>
  </r>
  <r>
    <x v="0"/>
    <x v="0"/>
    <x v="0"/>
    <x v="10"/>
    <x v="18"/>
    <s v="UKA"/>
    <x v="0"/>
    <x v="0"/>
    <s v="GWND_WIND"/>
    <x v="4"/>
    <x v="4"/>
    <n v="1132.7820242099499"/>
    <n v="68910.906472772098"/>
    <n v="248079.26330198001"/>
  </r>
  <r>
    <x v="0"/>
    <x v="0"/>
    <x v="0"/>
    <x v="10"/>
    <x v="18"/>
    <s v="UKA"/>
    <x v="0"/>
    <x v="0"/>
    <s v="GWND_WIND"/>
    <x v="4"/>
    <x v="5"/>
    <n v="1116.38469695963"/>
    <n v="67913.402398377293"/>
    <n v="244488.24863415799"/>
  </r>
  <r>
    <x v="0"/>
    <x v="0"/>
    <x v="0"/>
    <x v="10"/>
    <x v="18"/>
    <s v="UKA"/>
    <x v="0"/>
    <x v="0"/>
    <s v="GWND_WIND"/>
    <x v="4"/>
    <x v="6"/>
    <n v="1089.0558182090899"/>
    <n v="66250.895607719402"/>
    <n v="238503.22418779001"/>
  </r>
  <r>
    <x v="0"/>
    <x v="0"/>
    <x v="0"/>
    <x v="10"/>
    <x v="18"/>
    <s v="UKA"/>
    <x v="0"/>
    <x v="0"/>
    <s v="GWND_WIND"/>
    <x v="4"/>
    <x v="7"/>
    <n v="1052.1618318958499"/>
    <n v="64006.511440331102"/>
    <n v="230423.441185192"/>
  </r>
  <r>
    <x v="0"/>
    <x v="0"/>
    <x v="0"/>
    <x v="10"/>
    <x v="18"/>
    <s v="UKA"/>
    <x v="0"/>
    <x v="0"/>
    <s v="GWND_WIND"/>
    <x v="4"/>
    <x v="8"/>
    <n v="1038.49739252058"/>
    <n v="63175.2580450022"/>
    <n v="227430.92896200801"/>
  </r>
  <r>
    <x v="0"/>
    <x v="0"/>
    <x v="0"/>
    <x v="10"/>
    <x v="18"/>
    <s v="UKA"/>
    <x v="0"/>
    <x v="0"/>
    <s v="GWND_WIND"/>
    <x v="4"/>
    <x v="9"/>
    <n v="1050.7953879583299"/>
    <n v="63923.3861007983"/>
    <n v="230124.18996287399"/>
  </r>
  <r>
    <x v="0"/>
    <x v="0"/>
    <x v="0"/>
    <x v="10"/>
    <x v="18"/>
    <s v="UKA"/>
    <x v="0"/>
    <x v="0"/>
    <s v="GWND_WIND"/>
    <x v="4"/>
    <x v="10"/>
    <n v="1004.3362940824099"/>
    <n v="61097.124556679802"/>
    <n v="219949.64840404701"/>
  </r>
  <r>
    <x v="0"/>
    <x v="0"/>
    <x v="0"/>
    <x v="10"/>
    <x v="18"/>
    <s v="UKA"/>
    <x v="0"/>
    <x v="0"/>
    <s v="GWND_WIND"/>
    <x v="4"/>
    <x v="11"/>
    <n v="964.70941989412097"/>
    <n v="58686.489710225702"/>
    <n v="211271.36295681301"/>
  </r>
  <r>
    <x v="0"/>
    <x v="0"/>
    <x v="0"/>
    <x v="10"/>
    <x v="18"/>
    <s v="UKA"/>
    <x v="0"/>
    <x v="0"/>
    <s v="GWND_WIND"/>
    <x v="5"/>
    <x v="0"/>
    <n v="222.73036181691401"/>
    <n v="13549.430343862299"/>
    <n v="48777.949237904199"/>
  </r>
  <r>
    <x v="0"/>
    <x v="0"/>
    <x v="0"/>
    <x v="10"/>
    <x v="18"/>
    <s v="UKA"/>
    <x v="0"/>
    <x v="0"/>
    <s v="GWND_WIND"/>
    <x v="5"/>
    <x v="1"/>
    <n v="165.33971644077801"/>
    <n v="10058.166083480601"/>
    <n v="36209.397900530297"/>
  </r>
  <r>
    <x v="0"/>
    <x v="0"/>
    <x v="0"/>
    <x v="10"/>
    <x v="18"/>
    <s v="UKA"/>
    <x v="0"/>
    <x v="0"/>
    <s v="GWND_WIND"/>
    <x v="5"/>
    <x v="2"/>
    <n v="146.20950131539701"/>
    <n v="8894.4113300200097"/>
    <n v="32019.880788072001"/>
  </r>
  <r>
    <x v="0"/>
    <x v="0"/>
    <x v="0"/>
    <x v="10"/>
    <x v="18"/>
    <s v="UKA"/>
    <x v="0"/>
    <x v="0"/>
    <s v="GWND_WIND"/>
    <x v="5"/>
    <x v="3"/>
    <n v="128.445730127546"/>
    <n v="7813.78191609237"/>
    <n v="28129.614897932501"/>
  </r>
  <r>
    <x v="0"/>
    <x v="0"/>
    <x v="0"/>
    <x v="10"/>
    <x v="18"/>
    <s v="UKA"/>
    <x v="0"/>
    <x v="0"/>
    <s v="GWND_WIND"/>
    <x v="5"/>
    <x v="4"/>
    <n v="112.04840287722099"/>
    <n v="6816.2778416975998"/>
    <n v="24538.600230111399"/>
  </r>
  <r>
    <x v="0"/>
    <x v="0"/>
    <x v="0"/>
    <x v="10"/>
    <x v="18"/>
    <s v="UKA"/>
    <x v="0"/>
    <x v="0"/>
    <s v="GWND_WIND"/>
    <x v="5"/>
    <x v="5"/>
    <n v="95.651075626895803"/>
    <n v="5818.7737673028296"/>
    <n v="20947.585562290202"/>
  </r>
  <r>
    <x v="0"/>
    <x v="0"/>
    <x v="0"/>
    <x v="10"/>
    <x v="18"/>
    <s v="UKA"/>
    <x v="0"/>
    <x v="0"/>
    <s v="GWND_WIND"/>
    <x v="5"/>
    <x v="6"/>
    <n v="80.620192314097906"/>
    <n v="4904.3950324409498"/>
    <n v="17655.8221167874"/>
  </r>
  <r>
    <x v="0"/>
    <x v="0"/>
    <x v="0"/>
    <x v="10"/>
    <x v="18"/>
    <s v="UKA"/>
    <x v="0"/>
    <x v="0"/>
    <s v="GWND_WIND"/>
    <x v="5"/>
    <x v="7"/>
    <n v="66.955752938827104"/>
    <n v="4073.1416371119799"/>
    <n v="14663.3098936031"/>
  </r>
  <r>
    <x v="0"/>
    <x v="0"/>
    <x v="0"/>
    <x v="10"/>
    <x v="18"/>
    <s v="UKA"/>
    <x v="0"/>
    <x v="0"/>
    <s v="GWND_WIND"/>
    <x v="5"/>
    <x v="8"/>
    <n v="51.9248696260291"/>
    <n v="3158.7629022501101"/>
    <n v="11371.5464481004"/>
  </r>
  <r>
    <x v="0"/>
    <x v="0"/>
    <x v="0"/>
    <x v="10"/>
    <x v="18"/>
    <s v="UKA"/>
    <x v="0"/>
    <x v="0"/>
    <s v="GWND_WIND"/>
    <x v="5"/>
    <x v="9"/>
    <n v="36.893986313231302"/>
    <n v="2244.3841673882398"/>
    <n v="8079.78300259766"/>
  </r>
  <r>
    <x v="0"/>
    <x v="0"/>
    <x v="0"/>
    <x v="10"/>
    <x v="18"/>
    <s v="UKA"/>
    <x v="0"/>
    <x v="0"/>
    <s v="GWND_WIND"/>
    <x v="5"/>
    <x v="10"/>
    <n v="23.2295469379604"/>
    <n v="1413.1307720592599"/>
    <n v="5087.2707794133203"/>
  </r>
  <r>
    <x v="0"/>
    <x v="0"/>
    <x v="0"/>
    <x v="10"/>
    <x v="18"/>
    <s v="UKA"/>
    <x v="0"/>
    <x v="0"/>
    <s v="GWND_WIND"/>
    <x v="5"/>
    <x v="11"/>
    <n v="12.297995437743801"/>
    <n v="748.12805579607902"/>
    <n v="2693.2610008658799"/>
  </r>
  <r>
    <x v="0"/>
    <x v="0"/>
    <x v="0"/>
    <x v="10"/>
    <x v="18"/>
    <s v="UKA"/>
    <x v="0"/>
    <x v="0"/>
    <s v="GWND_WIND"/>
    <x v="6"/>
    <x v="0"/>
    <n v="520.61514019781896"/>
    <n v="31670.754362034"/>
    <n v="114014.715703322"/>
  </r>
  <r>
    <x v="0"/>
    <x v="0"/>
    <x v="0"/>
    <x v="10"/>
    <x v="18"/>
    <s v="UKA"/>
    <x v="0"/>
    <x v="0"/>
    <s v="GWND_WIND"/>
    <x v="6"/>
    <x v="1"/>
    <n v="639.49576276267499"/>
    <n v="38902.658901395997"/>
    <n v="140049.572045026"/>
  </r>
  <r>
    <x v="0"/>
    <x v="0"/>
    <x v="0"/>
    <x v="10"/>
    <x v="18"/>
    <s v="UKA"/>
    <x v="0"/>
    <x v="0"/>
    <s v="GWND_WIND"/>
    <x v="6"/>
    <x v="2"/>
    <n v="837.63013370410295"/>
    <n v="50955.833133666303"/>
    <n v="183440.99928119901"/>
  </r>
  <r>
    <x v="0"/>
    <x v="0"/>
    <x v="0"/>
    <x v="10"/>
    <x v="18"/>
    <s v="UKA"/>
    <x v="0"/>
    <x v="0"/>
    <s v="GWND_WIND"/>
    <x v="6"/>
    <x v="3"/>
    <n v="1106.81958939694"/>
    <n v="67331.525021647001"/>
    <n v="242393.49007792899"/>
  </r>
  <r>
    <x v="0"/>
    <x v="0"/>
    <x v="0"/>
    <x v="10"/>
    <x v="18"/>
    <s v="UKA"/>
    <x v="0"/>
    <x v="0"/>
    <s v="GWND_WIND"/>
    <x v="6"/>
    <x v="4"/>
    <n v="1292.6559649006199"/>
    <n v="78636.571198121106"/>
    <n v="283091.65631323599"/>
  </r>
  <r>
    <x v="0"/>
    <x v="0"/>
    <x v="0"/>
    <x v="10"/>
    <x v="18"/>
    <s v="UKA"/>
    <x v="0"/>
    <x v="0"/>
    <s v="GWND_WIND"/>
    <x v="6"/>
    <x v="5"/>
    <n v="1456.6292374038701"/>
    <n v="88611.611942068994"/>
    <n v="319001.80299144803"/>
  </r>
  <r>
    <x v="0"/>
    <x v="0"/>
    <x v="0"/>
    <x v="10"/>
    <x v="18"/>
    <s v="UKA"/>
    <x v="0"/>
    <x v="0"/>
    <s v="GWND_WIND"/>
    <x v="6"/>
    <x v="6"/>
    <n v="1805.0724414732799"/>
    <n v="109808.573522958"/>
    <n v="395310.86468264699"/>
  </r>
  <r>
    <x v="0"/>
    <x v="0"/>
    <x v="0"/>
    <x v="10"/>
    <x v="18"/>
    <s v="UKA"/>
    <x v="0"/>
    <x v="0"/>
    <s v="GWND_WIND"/>
    <x v="6"/>
    <x v="7"/>
    <n v="2046.9330184155699"/>
    <n v="124521.75862028"/>
    <n v="448278.33103300998"/>
  </r>
  <r>
    <x v="0"/>
    <x v="0"/>
    <x v="0"/>
    <x v="10"/>
    <x v="18"/>
    <s v="UKA"/>
    <x v="0"/>
    <x v="0"/>
    <s v="GWND_WIND"/>
    <x v="6"/>
    <x v="8"/>
    <n v="2016.8712517899801"/>
    <n v="122693.001150557"/>
    <n v="441694.80414200498"/>
  </r>
  <r>
    <x v="0"/>
    <x v="0"/>
    <x v="0"/>
    <x v="10"/>
    <x v="18"/>
    <s v="UKA"/>
    <x v="0"/>
    <x v="0"/>
    <s v="GWND_WIND"/>
    <x v="6"/>
    <x v="9"/>
    <n v="2113.8887713544"/>
    <n v="128594.900257393"/>
    <n v="462941.640926614"/>
  </r>
  <r>
    <x v="0"/>
    <x v="0"/>
    <x v="0"/>
    <x v="10"/>
    <x v="18"/>
    <s v="UKA"/>
    <x v="0"/>
    <x v="0"/>
    <s v="GWND_WIND"/>
    <x v="6"/>
    <x v="10"/>
    <n v="2424.0715451730498"/>
    <n v="147464.35233135999"/>
    <n v="530871.668392897"/>
  </r>
  <r>
    <x v="0"/>
    <x v="0"/>
    <x v="0"/>
    <x v="10"/>
    <x v="18"/>
    <s v="UKA"/>
    <x v="0"/>
    <x v="0"/>
    <s v="GWND_WIND"/>
    <x v="6"/>
    <x v="11"/>
    <n v="2700.09322055351"/>
    <n v="164255.67091700601"/>
    <n v="591320.41530122003"/>
  </r>
  <r>
    <x v="0"/>
    <x v="0"/>
    <x v="0"/>
    <x v="10"/>
    <x v="18"/>
    <s v="UKA"/>
    <x v="0"/>
    <x v="0"/>
    <s v="GWND_WIND"/>
    <x v="7"/>
    <x v="0"/>
    <n v="817.13347464119602"/>
    <n v="49708.953040672801"/>
    <n v="178952.230946422"/>
  </r>
  <r>
    <x v="0"/>
    <x v="0"/>
    <x v="0"/>
    <x v="10"/>
    <x v="18"/>
    <s v="UKA"/>
    <x v="0"/>
    <x v="0"/>
    <s v="GWND_WIND"/>
    <x v="7"/>
    <x v="1"/>
    <n v="1112.28536514705"/>
    <n v="67664.026379778705"/>
    <n v="243590.49496720301"/>
  </r>
  <r>
    <x v="0"/>
    <x v="0"/>
    <x v="0"/>
    <x v="10"/>
    <x v="18"/>
    <s v="UKA"/>
    <x v="0"/>
    <x v="0"/>
    <s v="GWND_WIND"/>
    <x v="7"/>
    <x v="2"/>
    <n v="1300.8546285257801"/>
    <n v="79135.323235318501"/>
    <n v="284887.16364714701"/>
  </r>
  <r>
    <x v="0"/>
    <x v="0"/>
    <x v="0"/>
    <x v="10"/>
    <x v="18"/>
    <s v="UKA"/>
    <x v="0"/>
    <x v="0"/>
    <s v="GWND_WIND"/>
    <x v="7"/>
    <x v="3"/>
    <n v="1515.38632671754"/>
    <n v="92186.001541983802"/>
    <n v="331869.60555114201"/>
  </r>
  <r>
    <x v="0"/>
    <x v="0"/>
    <x v="0"/>
    <x v="10"/>
    <x v="18"/>
    <s v="UKA"/>
    <x v="0"/>
    <x v="0"/>
    <s v="GWND_WIND"/>
    <x v="7"/>
    <x v="4"/>
    <n v="1699.8562582837001"/>
    <n v="103407.922378925"/>
    <n v="372268.52056412998"/>
  </r>
  <r>
    <x v="0"/>
    <x v="0"/>
    <x v="0"/>
    <x v="10"/>
    <x v="18"/>
    <s v="UKA"/>
    <x v="0"/>
    <x v="0"/>
    <s v="GWND_WIND"/>
    <x v="7"/>
    <x v="5"/>
    <n v="1877.49397016221"/>
    <n v="114214.21651820101"/>
    <n v="411171.17946552398"/>
  </r>
  <r>
    <x v="0"/>
    <x v="0"/>
    <x v="0"/>
    <x v="10"/>
    <x v="18"/>
    <s v="UKA"/>
    <x v="0"/>
    <x v="0"/>
    <s v="GWND_WIND"/>
    <x v="7"/>
    <x v="6"/>
    <n v="2197.2418515435502"/>
    <n v="133665.54596889901"/>
    <n v="481195.96548803698"/>
  </r>
  <r>
    <x v="0"/>
    <x v="0"/>
    <x v="0"/>
    <x v="10"/>
    <x v="18"/>
    <s v="UKA"/>
    <x v="0"/>
    <x v="0"/>
    <s v="GWND_WIND"/>
    <x v="7"/>
    <x v="7"/>
    <n v="2500.5924056745598"/>
    <n v="152119.37134520299"/>
    <n v="547629.73684272903"/>
  </r>
  <r>
    <x v="0"/>
    <x v="0"/>
    <x v="0"/>
    <x v="10"/>
    <x v="18"/>
    <s v="UKA"/>
    <x v="0"/>
    <x v="0"/>
    <s v="GWND_WIND"/>
    <x v="7"/>
    <x v="8"/>
    <n v="2661.8327903027598"/>
    <n v="161928.16141008399"/>
    <n v="582941.38107630401"/>
  </r>
  <r>
    <x v="0"/>
    <x v="0"/>
    <x v="0"/>
    <x v="10"/>
    <x v="18"/>
    <s v="UKA"/>
    <x v="0"/>
    <x v="0"/>
    <s v="GWND_WIND"/>
    <x v="7"/>
    <x v="9"/>
    <n v="2828.5389506810702"/>
    <n v="172069.45283309801"/>
    <n v="619450.03019915405"/>
  </r>
  <r>
    <x v="0"/>
    <x v="0"/>
    <x v="0"/>
    <x v="10"/>
    <x v="18"/>
    <s v="UKA"/>
    <x v="0"/>
    <x v="0"/>
    <s v="GWND_WIND"/>
    <x v="7"/>
    <x v="10"/>
    <n v="3093.6290745613201"/>
    <n v="188195.76870248001"/>
    <n v="677504.76732892904"/>
  </r>
  <r>
    <x v="0"/>
    <x v="0"/>
    <x v="0"/>
    <x v="10"/>
    <x v="18"/>
    <s v="UKA"/>
    <x v="0"/>
    <x v="0"/>
    <s v="GWND_WIND"/>
    <x v="7"/>
    <x v="11"/>
    <n v="3287.6641136901599"/>
    <n v="199999.566916151"/>
    <n v="719998.44089814497"/>
  </r>
  <r>
    <x v="0"/>
    <x v="0"/>
    <x v="0"/>
    <x v="10"/>
    <x v="18"/>
    <s v="UKA"/>
    <x v="0"/>
    <x v="0"/>
    <s v="GWND_WIND"/>
    <x v="8"/>
    <x v="0"/>
    <n v="1652.0307204702401"/>
    <n v="100498.535495273"/>
    <n v="361794.72778298397"/>
  </r>
  <r>
    <x v="0"/>
    <x v="0"/>
    <x v="0"/>
    <x v="10"/>
    <x v="18"/>
    <s v="UKA"/>
    <x v="0"/>
    <x v="0"/>
    <s v="GWND_WIND"/>
    <x v="8"/>
    <x v="1"/>
    <n v="1742.2160203470301"/>
    <n v="105984.80790444399"/>
    <n v="381545.30845599802"/>
  </r>
  <r>
    <x v="0"/>
    <x v="0"/>
    <x v="0"/>
    <x v="10"/>
    <x v="18"/>
    <s v="UKA"/>
    <x v="0"/>
    <x v="0"/>
    <s v="GWND_WIND"/>
    <x v="8"/>
    <x v="2"/>
    <n v="1759.97979153489"/>
    <n v="107065.437318372"/>
    <n v="385435.57434614003"/>
  </r>
  <r>
    <x v="0"/>
    <x v="0"/>
    <x v="0"/>
    <x v="10"/>
    <x v="18"/>
    <s v="UKA"/>
    <x v="0"/>
    <x v="0"/>
    <s v="GWND_WIND"/>
    <x v="8"/>
    <x v="3"/>
    <n v="1780.4764505978001"/>
    <n v="108312.31741136601"/>
    <n v="389924.34268091701"/>
  </r>
  <r>
    <x v="0"/>
    <x v="0"/>
    <x v="0"/>
    <x v="10"/>
    <x v="18"/>
    <s v="UKA"/>
    <x v="0"/>
    <x v="0"/>
    <s v="GWND_WIND"/>
    <x v="8"/>
    <x v="4"/>
    <n v="1742.2160203470301"/>
    <n v="105984.80790444399"/>
    <n v="381545.30845599802"/>
  </r>
  <r>
    <x v="0"/>
    <x v="0"/>
    <x v="0"/>
    <x v="10"/>
    <x v="18"/>
    <s v="UKA"/>
    <x v="0"/>
    <x v="0"/>
    <s v="GWND_WIND"/>
    <x v="8"/>
    <x v="5"/>
    <n v="1660.2293840954101"/>
    <n v="100997.287532471"/>
    <n v="363590.235116895"/>
  </r>
  <r>
    <x v="0"/>
    <x v="0"/>
    <x v="0"/>
    <x v="10"/>
    <x v="18"/>
    <s v="UKA"/>
    <x v="0"/>
    <x v="0"/>
    <s v="GWND_WIND"/>
    <x v="8"/>
    <x v="6"/>
    <n v="1668.42804772057"/>
    <n v="101496.03956966801"/>
    <n v="365385.74245080602"/>
  </r>
  <r>
    <x v="0"/>
    <x v="0"/>
    <x v="0"/>
    <x v="10"/>
    <x v="18"/>
    <s v="UKA"/>
    <x v="0"/>
    <x v="0"/>
    <s v="GWND_WIND"/>
    <x v="8"/>
    <x v="7"/>
    <n v="1791.40800209801"/>
    <n v="108977.32012762901"/>
    <n v="392318.35245946399"/>
  </r>
  <r>
    <x v="0"/>
    <x v="0"/>
    <x v="0"/>
    <x v="10"/>
    <x v="18"/>
    <s v="UKA"/>
    <x v="0"/>
    <x v="0"/>
    <s v="GWND_WIND"/>
    <x v="8"/>
    <x v="8"/>
    <n v="1889.7919655999599"/>
    <n v="114962.344573997"/>
    <n v="413864.44046638999"/>
  </r>
  <r>
    <x v="0"/>
    <x v="0"/>
    <x v="0"/>
    <x v="10"/>
    <x v="18"/>
    <s v="UKA"/>
    <x v="0"/>
    <x v="0"/>
    <s v="GWND_WIND"/>
    <x v="8"/>
    <x v="9"/>
    <n v="1990.90881697696"/>
    <n v="121113.61969943201"/>
    <n v="436009.03091795498"/>
  </r>
  <r>
    <x v="0"/>
    <x v="0"/>
    <x v="0"/>
    <x v="10"/>
    <x v="18"/>
    <s v="UKA"/>
    <x v="0"/>
    <x v="0"/>
    <s v="GWND_WIND"/>
    <x v="8"/>
    <x v="10"/>
    <n v="2221.83784241904"/>
    <n v="135161.80208049199"/>
    <n v="486582.48748976999"/>
  </r>
  <r>
    <x v="0"/>
    <x v="0"/>
    <x v="0"/>
    <x v="10"/>
    <x v="18"/>
    <s v="UKA"/>
    <x v="0"/>
    <x v="0"/>
    <s v="GWND_WIND"/>
    <x v="8"/>
    <x v="11"/>
    <n v="2458.2326436112198"/>
    <n v="149542.485819683"/>
    <n v="538352.94895085797"/>
  </r>
  <r>
    <x v="0"/>
    <x v="0"/>
    <x v="0"/>
    <x v="10"/>
    <x v="18"/>
    <s v="UKA"/>
    <x v="0"/>
    <x v="0"/>
    <s v="GWND_WIND"/>
    <x v="9"/>
    <x v="0"/>
    <n v="2555.25016317565"/>
    <n v="155444.38492651901"/>
    <n v="559599.78573546698"/>
  </r>
  <r>
    <x v="0"/>
    <x v="0"/>
    <x v="0"/>
    <x v="10"/>
    <x v="18"/>
    <s v="UKA"/>
    <x v="0"/>
    <x v="0"/>
    <s v="GWND_WIND"/>
    <x v="9"/>
    <x v="1"/>
    <n v="2533.3870601752201"/>
    <n v="154114.37949399301"/>
    <n v="554811.76617837301"/>
  </r>
  <r>
    <x v="0"/>
    <x v="0"/>
    <x v="0"/>
    <x v="10"/>
    <x v="18"/>
    <s v="UKA"/>
    <x v="0"/>
    <x v="0"/>
    <s v="GWND_WIND"/>
    <x v="9"/>
    <x v="2"/>
    <n v="2578.4797101136101"/>
    <n v="156857.515698578"/>
    <n v="564687.05651488097"/>
  </r>
  <r>
    <x v="0"/>
    <x v="0"/>
    <x v="0"/>
    <x v="10"/>
    <x v="18"/>
    <s v="UKA"/>
    <x v="0"/>
    <x v="0"/>
    <s v="GWND_WIND"/>
    <x v="9"/>
    <x v="3"/>
    <n v="2567.5481586133901"/>
    <n v="156192.51298231501"/>
    <n v="562293.04673633398"/>
  </r>
  <r>
    <x v="0"/>
    <x v="0"/>
    <x v="0"/>
    <x v="10"/>
    <x v="18"/>
    <s v="UKA"/>
    <x v="0"/>
    <x v="0"/>
    <s v="GWND_WIND"/>
    <x v="9"/>
    <x v="4"/>
    <n v="2409.0406618602501"/>
    <n v="146549.97359649901"/>
    <n v="527579.90494739497"/>
  </r>
  <r>
    <x v="0"/>
    <x v="0"/>
    <x v="0"/>
    <x v="10"/>
    <x v="18"/>
    <s v="UKA"/>
    <x v="0"/>
    <x v="0"/>
    <s v="GWND_WIND"/>
    <x v="9"/>
    <x v="5"/>
    <n v="2254.6324969196899"/>
    <n v="137156.81022928099"/>
    <n v="493764.516825411"/>
  </r>
  <r>
    <x v="0"/>
    <x v="0"/>
    <x v="0"/>
    <x v="10"/>
    <x v="18"/>
    <s v="UKA"/>
    <x v="0"/>
    <x v="0"/>
    <s v="GWND_WIND"/>
    <x v="9"/>
    <x v="6"/>
    <n v="2172.6458606680599"/>
    <n v="132169.28985730701"/>
    <n v="475809.44348630501"/>
  </r>
  <r>
    <x v="0"/>
    <x v="0"/>
    <x v="0"/>
    <x v="10"/>
    <x v="18"/>
    <s v="UKA"/>
    <x v="0"/>
    <x v="0"/>
    <s v="GWND_WIND"/>
    <x v="9"/>
    <x v="7"/>
    <n v="2223.2042863565598"/>
    <n v="135244.927420024"/>
    <n v="486881.73871208698"/>
  </r>
  <r>
    <x v="0"/>
    <x v="0"/>
    <x v="0"/>
    <x v="10"/>
    <x v="18"/>
    <s v="UKA"/>
    <x v="0"/>
    <x v="0"/>
    <s v="GWND_WIND"/>
    <x v="9"/>
    <x v="8"/>
    <n v="2437.7359845483102"/>
    <n v="148295.60572668901"/>
    <n v="533864.18061607995"/>
  </r>
  <r>
    <x v="0"/>
    <x v="0"/>
    <x v="0"/>
    <x v="10"/>
    <x v="18"/>
    <s v="UKA"/>
    <x v="0"/>
    <x v="0"/>
    <s v="GWND_WIND"/>
    <x v="9"/>
    <x v="9"/>
    <n v="2633.1374676147002"/>
    <n v="160182.52927989399"/>
    <n v="576657.10540761799"/>
  </r>
  <r>
    <x v="0"/>
    <x v="0"/>
    <x v="0"/>
    <x v="10"/>
    <x v="18"/>
    <s v="UKA"/>
    <x v="0"/>
    <x v="0"/>
    <s v="GWND_WIND"/>
    <x v="9"/>
    <x v="10"/>
    <n v="2713.75765992879"/>
    <n v="165086.924312335"/>
    <n v="594312.927524406"/>
  </r>
  <r>
    <x v="0"/>
    <x v="0"/>
    <x v="0"/>
    <x v="10"/>
    <x v="18"/>
    <s v="UKA"/>
    <x v="0"/>
    <x v="0"/>
    <s v="GWND_WIND"/>
    <x v="9"/>
    <x v="11"/>
    <n v="2708.29188417868"/>
    <n v="164754.42295420301"/>
    <n v="593115.92263513105"/>
  </r>
  <r>
    <x v="0"/>
    <x v="0"/>
    <x v="0"/>
    <x v="10"/>
    <x v="18"/>
    <s v="UKA"/>
    <x v="0"/>
    <x v="0"/>
    <s v="GWND_WIND"/>
    <x v="10"/>
    <x v="0"/>
    <n v="423.59762063339599"/>
    <n v="25768.855255198199"/>
    <n v="92767.878918713599"/>
  </r>
  <r>
    <x v="0"/>
    <x v="0"/>
    <x v="0"/>
    <x v="10"/>
    <x v="18"/>
    <s v="UKA"/>
    <x v="0"/>
    <x v="0"/>
    <s v="GWND_WIND"/>
    <x v="10"/>
    <x v="1"/>
    <n v="531.54669169803503"/>
    <n v="32335.757078297102"/>
    <n v="116408.72548187"/>
  </r>
  <r>
    <x v="0"/>
    <x v="0"/>
    <x v="0"/>
    <x v="10"/>
    <x v="18"/>
    <s v="UKA"/>
    <x v="0"/>
    <x v="0"/>
    <s v="GWND_WIND"/>
    <x v="10"/>
    <x v="2"/>
    <n v="557.50912651105102"/>
    <n v="33915.138529422198"/>
    <n v="122094.49870592001"/>
  </r>
  <r>
    <x v="0"/>
    <x v="0"/>
    <x v="0"/>
    <x v="10"/>
    <x v="18"/>
    <s v="UKA"/>
    <x v="0"/>
    <x v="0"/>
    <s v="GWND_WIND"/>
    <x v="10"/>
    <x v="3"/>
    <n v="472.78960238437099"/>
    <n v="28761.367478382501"/>
    <n v="103540.92292217699"/>
  </r>
  <r>
    <x v="0"/>
    <x v="0"/>
    <x v="0"/>
    <x v="10"/>
    <x v="18"/>
    <s v="UKA"/>
    <x v="0"/>
    <x v="0"/>
    <s v="GWND_WIND"/>
    <x v="10"/>
    <x v="4"/>
    <n v="353.90897981951503"/>
    <n v="21529.462939020501"/>
    <n v="77506.066580473795"/>
  </r>
  <r>
    <x v="0"/>
    <x v="0"/>
    <x v="0"/>
    <x v="10"/>
    <x v="18"/>
    <s v="UKA"/>
    <x v="0"/>
    <x v="0"/>
    <s v="GWND_WIND"/>
    <x v="10"/>
    <x v="5"/>
    <n v="267.82301175530898"/>
    <n v="16292.5665484479"/>
    <n v="58653.239574412597"/>
  </r>
  <r>
    <x v="0"/>
    <x v="0"/>
    <x v="0"/>
    <x v="10"/>
    <x v="18"/>
    <s v="UKA"/>
    <x v="0"/>
    <x v="0"/>
    <s v="GWND_WIND"/>
    <x v="10"/>
    <x v="6"/>
    <n v="284.22033900563298"/>
    <n v="17290.070622842701"/>
    <n v="62244.254242233699"/>
  </r>
  <r>
    <x v="0"/>
    <x v="0"/>
    <x v="0"/>
    <x v="10"/>
    <x v="18"/>
    <s v="UKA"/>
    <x v="0"/>
    <x v="0"/>
    <s v="GWND_WIND"/>
    <x v="10"/>
    <x v="7"/>
    <n v="314.282105631229"/>
    <n v="19118.828092566499"/>
    <n v="68827.781133239201"/>
  </r>
  <r>
    <x v="0"/>
    <x v="0"/>
    <x v="0"/>
    <x v="10"/>
    <x v="18"/>
    <s v="UKA"/>
    <x v="0"/>
    <x v="0"/>
    <s v="GWND_WIND"/>
    <x v="10"/>
    <x v="8"/>
    <n v="326.58010106897302"/>
    <n v="19866.9561483625"/>
    <n v="71521.042134105097"/>
  </r>
  <r>
    <x v="0"/>
    <x v="0"/>
    <x v="0"/>
    <x v="10"/>
    <x v="18"/>
    <s v="UKA"/>
    <x v="0"/>
    <x v="0"/>
    <s v="GWND_WIND"/>
    <x v="10"/>
    <x v="9"/>
    <n v="336.14520863166302"/>
    <n v="20448.833525092799"/>
    <n v="73615.800690334101"/>
  </r>
  <r>
    <x v="0"/>
    <x v="0"/>
    <x v="0"/>
    <x v="10"/>
    <x v="18"/>
    <s v="UKA"/>
    <x v="0"/>
    <x v="0"/>
    <s v="GWND_WIND"/>
    <x v="10"/>
    <x v="10"/>
    <n v="356.64186769456899"/>
    <n v="21695.713618086302"/>
    <n v="78104.569025110701"/>
  </r>
  <r>
    <x v="0"/>
    <x v="0"/>
    <x v="0"/>
    <x v="10"/>
    <x v="18"/>
    <s v="UKA"/>
    <x v="0"/>
    <x v="0"/>
    <s v="GWND_WIND"/>
    <x v="10"/>
    <x v="11"/>
    <n v="337.51165256918898"/>
    <n v="20531.9588646257"/>
    <n v="73915.051912652401"/>
  </r>
  <r>
    <x v="0"/>
    <x v="0"/>
    <x v="0"/>
    <x v="10"/>
    <x v="18"/>
    <s v="UKA"/>
    <x v="0"/>
    <x v="0"/>
    <s v="GWND_WIND"/>
    <x v="11"/>
    <x v="0"/>
    <n v="616.266215824715"/>
    <n v="37489.528129336803"/>
    <n v="134962.301265613"/>
  </r>
  <r>
    <x v="0"/>
    <x v="0"/>
    <x v="0"/>
    <x v="10"/>
    <x v="18"/>
    <s v="UKA"/>
    <x v="0"/>
    <x v="0"/>
    <s v="GWND_WIND"/>
    <x v="11"/>
    <x v="1"/>
    <n v="720.11595507677202"/>
    <n v="43807.053933837"/>
    <n v="157705.39416181299"/>
  </r>
  <r>
    <x v="0"/>
    <x v="0"/>
    <x v="0"/>
    <x v="10"/>
    <x v="18"/>
    <s v="UKA"/>
    <x v="0"/>
    <x v="0"/>
    <s v="GWND_WIND"/>
    <x v="11"/>
    <x v="2"/>
    <n v="665.45819757568995"/>
    <n v="40482.0403525211"/>
    <n v="145735.345269076"/>
  </r>
  <r>
    <x v="0"/>
    <x v="0"/>
    <x v="0"/>
    <x v="10"/>
    <x v="18"/>
    <s v="UKA"/>
    <x v="0"/>
    <x v="0"/>
    <s v="GWND_WIND"/>
    <x v="11"/>
    <x v="3"/>
    <n v="583.47156132406406"/>
    <n v="35494.5199805472"/>
    <n v="127780.27192997"/>
  </r>
  <r>
    <x v="0"/>
    <x v="0"/>
    <x v="0"/>
    <x v="10"/>
    <x v="18"/>
    <s v="UKA"/>
    <x v="0"/>
    <x v="0"/>
    <s v="GWND_WIND"/>
    <x v="11"/>
    <x v="4"/>
    <n v="627.19776732493096"/>
    <n v="38154.530845599998"/>
    <n v="137356.31104415999"/>
  </r>
  <r>
    <x v="0"/>
    <x v="0"/>
    <x v="0"/>
    <x v="10"/>
    <x v="18"/>
    <s v="UKA"/>
    <x v="0"/>
    <x v="0"/>
    <s v="GWND_WIND"/>
    <x v="11"/>
    <x v="5"/>
    <n v="692.78707632623195"/>
    <n v="42144.547143179101"/>
    <n v="151720.36971544501"/>
  </r>
  <r>
    <x v="0"/>
    <x v="0"/>
    <x v="0"/>
    <x v="10"/>
    <x v="18"/>
    <s v="UKA"/>
    <x v="0"/>
    <x v="0"/>
    <s v="GWND_WIND"/>
    <x v="11"/>
    <x v="6"/>
    <n v="747.44483382731403"/>
    <n v="45469.560724495001"/>
    <n v="163690.41860818199"/>
  </r>
  <r>
    <x v="0"/>
    <x v="0"/>
    <x v="0"/>
    <x v="10"/>
    <x v="18"/>
    <s v="UKA"/>
    <x v="0"/>
    <x v="0"/>
    <s v="GWND_WIND"/>
    <x v="11"/>
    <x v="7"/>
    <n v="874.52412001733296"/>
    <n v="53200.217301054399"/>
    <n v="191520.782283796"/>
  </r>
  <r>
    <x v="0"/>
    <x v="0"/>
    <x v="0"/>
    <x v="10"/>
    <x v="18"/>
    <s v="UKA"/>
    <x v="0"/>
    <x v="0"/>
    <s v="GWND_WIND"/>
    <x v="11"/>
    <x v="8"/>
    <n v="1027.56584102037"/>
    <n v="62510.255328738996"/>
    <n v="225036.91918346001"/>
  </r>
  <r>
    <x v="0"/>
    <x v="0"/>
    <x v="0"/>
    <x v="10"/>
    <x v="18"/>
    <s v="UKA"/>
    <x v="0"/>
    <x v="0"/>
    <s v="GWND_WIND"/>
    <x v="11"/>
    <x v="9"/>
    <n v="1191.53911352362"/>
    <n v="72485.296072686702"/>
    <n v="260947.06586167199"/>
  </r>
  <r>
    <x v="0"/>
    <x v="0"/>
    <x v="0"/>
    <x v="10"/>
    <x v="18"/>
    <s v="UKA"/>
    <x v="0"/>
    <x v="0"/>
    <s v="GWND_WIND"/>
    <x v="11"/>
    <x v="10"/>
    <n v="1490.7903358420499"/>
    <n v="90689.745430391296"/>
    <n v="326483.083549409"/>
  </r>
  <r>
    <x v="0"/>
    <x v="0"/>
    <x v="0"/>
    <x v="10"/>
    <x v="18"/>
    <s v="UKA"/>
    <x v="0"/>
    <x v="0"/>
    <s v="GWND_WIND"/>
    <x v="11"/>
    <x v="11"/>
    <n v="1799.60666572317"/>
    <n v="109476.07216482599"/>
    <n v="394113.85979337501"/>
  </r>
  <r>
    <x v="0"/>
    <x v="0"/>
    <x v="0"/>
    <x v="10"/>
    <x v="18"/>
    <s v="UK_OFFSHORE"/>
    <x v="0"/>
    <x v="0"/>
    <s v="GWND_WIND"/>
    <x v="0"/>
    <x v="0"/>
    <n v="1883.8578619465"/>
    <n v="114601.353268412"/>
    <n v="412564.87176628399"/>
  </r>
  <r>
    <x v="0"/>
    <x v="0"/>
    <x v="0"/>
    <x v="10"/>
    <x v="18"/>
    <s v="UK_OFFSHORE"/>
    <x v="0"/>
    <x v="0"/>
    <s v="GWND_WIND"/>
    <x v="0"/>
    <x v="1"/>
    <n v="1967.32606190909"/>
    <n v="119679.00209947"/>
    <n v="430844.40755809098"/>
  </r>
  <r>
    <x v="0"/>
    <x v="0"/>
    <x v="0"/>
    <x v="10"/>
    <x v="18"/>
    <s v="UK_OFFSHORE"/>
    <x v="0"/>
    <x v="0"/>
    <s v="GWND_WIND"/>
    <x v="0"/>
    <x v="2"/>
    <n v="1957.6204572622801"/>
    <n v="119088.57781678899"/>
    <n v="428718.88014044001"/>
  </r>
  <r>
    <x v="0"/>
    <x v="0"/>
    <x v="0"/>
    <x v="10"/>
    <x v="18"/>
    <s v="UK_OFFSHORE"/>
    <x v="0"/>
    <x v="0"/>
    <s v="GWND_WIND"/>
    <x v="0"/>
    <x v="3"/>
    <n v="1893.5634665933101"/>
    <n v="115191.77755109299"/>
    <n v="414690.39918393502"/>
  </r>
  <r>
    <x v="0"/>
    <x v="0"/>
    <x v="0"/>
    <x v="10"/>
    <x v="18"/>
    <s v="UK_OFFSHORE"/>
    <x v="0"/>
    <x v="0"/>
    <s v="GWND_WIND"/>
    <x v="0"/>
    <x v="4"/>
    <n v="1949.85597354482"/>
    <n v="118616.238390643"/>
    <n v="427018.45820631599"/>
  </r>
  <r>
    <x v="0"/>
    <x v="0"/>
    <x v="0"/>
    <x v="10"/>
    <x v="18"/>
    <s v="UK_OFFSHORE"/>
    <x v="0"/>
    <x v="0"/>
    <s v="GWND_WIND"/>
    <x v="0"/>
    <x v="5"/>
    <n v="1984.7961502733599"/>
    <n v="120741.765808296"/>
    <n v="434670.35690986598"/>
  </r>
  <r>
    <x v="0"/>
    <x v="0"/>
    <x v="0"/>
    <x v="10"/>
    <x v="18"/>
    <s v="UK_OFFSHORE"/>
    <x v="0"/>
    <x v="0"/>
    <s v="GWND_WIND"/>
    <x v="0"/>
    <x v="6"/>
    <n v="1984.7961502733599"/>
    <n v="120741.765808296"/>
    <n v="434670.35690986598"/>
  </r>
  <r>
    <x v="0"/>
    <x v="0"/>
    <x v="0"/>
    <x v="10"/>
    <x v="18"/>
    <s v="UK_OFFSHORE"/>
    <x v="0"/>
    <x v="0"/>
    <s v="GWND_WIND"/>
    <x v="0"/>
    <x v="7"/>
    <n v="2060.4998665184999"/>
    <n v="125347.075213209"/>
    <n v="451249.47076755197"/>
  </r>
  <r>
    <x v="0"/>
    <x v="0"/>
    <x v="0"/>
    <x v="10"/>
    <x v="18"/>
    <s v="UK_OFFSHORE"/>
    <x v="0"/>
    <x v="0"/>
    <s v="GWND_WIND"/>
    <x v="0"/>
    <x v="8"/>
    <n v="2053.7059432657302"/>
    <n v="124933.778215332"/>
    <n v="449761.60157519497"/>
  </r>
  <r>
    <x v="0"/>
    <x v="0"/>
    <x v="0"/>
    <x v="10"/>
    <x v="18"/>
    <s v="UK_OFFSHORE"/>
    <x v="0"/>
    <x v="0"/>
    <s v="GWND_WIND"/>
    <x v="0"/>
    <x v="9"/>
    <n v="2188.6138478564399"/>
    <n v="133140.67574460001"/>
    <n v="479306.43268055998"/>
  </r>
  <r>
    <x v="0"/>
    <x v="0"/>
    <x v="0"/>
    <x v="10"/>
    <x v="18"/>
    <s v="UK_OFFSHORE"/>
    <x v="0"/>
    <x v="0"/>
    <s v="GWND_WIND"/>
    <x v="0"/>
    <x v="10"/>
    <n v="2341.9624012760901"/>
    <n v="142469.37941096199"/>
    <n v="512889.76587946498"/>
  </r>
  <r>
    <x v="0"/>
    <x v="0"/>
    <x v="0"/>
    <x v="10"/>
    <x v="18"/>
    <s v="UK_OFFSHORE"/>
    <x v="0"/>
    <x v="0"/>
    <s v="GWND_WIND"/>
    <x v="0"/>
    <x v="11"/>
    <n v="2404.0782710157"/>
    <n v="146248.094820122"/>
    <n v="526493.14135243802"/>
  </r>
  <r>
    <x v="0"/>
    <x v="0"/>
    <x v="0"/>
    <x v="10"/>
    <x v="18"/>
    <s v="UK_OFFSHORE"/>
    <x v="0"/>
    <x v="0"/>
    <s v="GWND_WIND"/>
    <x v="1"/>
    <x v="0"/>
    <n v="1759.6261224672801"/>
    <n v="107043.922450093"/>
    <n v="385358.120820335"/>
  </r>
  <r>
    <x v="0"/>
    <x v="0"/>
    <x v="0"/>
    <x v="10"/>
    <x v="18"/>
    <s v="UK_OFFSHORE"/>
    <x v="0"/>
    <x v="0"/>
    <s v="GWND_WIND"/>
    <x v="1"/>
    <x v="1"/>
    <n v="1835.32983871242"/>
    <n v="111649.231855006"/>
    <n v="401937.23467802099"/>
  </r>
  <r>
    <x v="0"/>
    <x v="0"/>
    <x v="0"/>
    <x v="10"/>
    <x v="18"/>
    <s v="UK_OFFSHORE"/>
    <x v="0"/>
    <x v="0"/>
    <s v="GWND_WIND"/>
    <x v="1"/>
    <x v="2"/>
    <n v="1916.85691774566"/>
    <n v="116608.79582952699"/>
    <n v="419791.664986299"/>
  </r>
  <r>
    <x v="0"/>
    <x v="0"/>
    <x v="0"/>
    <x v="10"/>
    <x v="18"/>
    <s v="UK_OFFSHORE"/>
    <x v="0"/>
    <x v="0"/>
    <s v="GWND_WIND"/>
    <x v="1"/>
    <x v="3"/>
    <n v="2003.2367991023"/>
    <n v="121863.57194538999"/>
    <n v="438708.85900340398"/>
  </r>
  <r>
    <x v="0"/>
    <x v="0"/>
    <x v="0"/>
    <x v="10"/>
    <x v="18"/>
    <s v="UK_OFFSHORE"/>
    <x v="0"/>
    <x v="0"/>
    <s v="GWND_WIND"/>
    <x v="1"/>
    <x v="4"/>
    <n v="2021.6774479312501"/>
    <n v="122985.37808248401"/>
    <n v="442747.36109694297"/>
  </r>
  <r>
    <x v="0"/>
    <x v="0"/>
    <x v="0"/>
    <x v="10"/>
    <x v="18"/>
    <s v="UK_OFFSHORE"/>
    <x v="0"/>
    <x v="0"/>
    <s v="GWND_WIND"/>
    <x v="1"/>
    <x v="5"/>
    <n v="2003.2367991023"/>
    <n v="121863.57194538999"/>
    <n v="438708.85900340398"/>
  </r>
  <r>
    <x v="0"/>
    <x v="0"/>
    <x v="0"/>
    <x v="10"/>
    <x v="18"/>
    <s v="UK_OFFSHORE"/>
    <x v="0"/>
    <x v="0"/>
    <s v="GWND_WIND"/>
    <x v="1"/>
    <x v="6"/>
    <n v="2023.6185688606099"/>
    <n v="123103.46293902"/>
    <n v="443172.466580473"/>
  </r>
  <r>
    <x v="0"/>
    <x v="0"/>
    <x v="0"/>
    <x v="10"/>
    <x v="18"/>
    <s v="UK_OFFSHORE"/>
    <x v="0"/>
    <x v="0"/>
    <s v="GWND_WIND"/>
    <x v="1"/>
    <x v="7"/>
    <n v="2078.9405153474499"/>
    <n v="126468.881350303"/>
    <n v="455287.97286109102"/>
  </r>
  <r>
    <x v="0"/>
    <x v="0"/>
    <x v="0"/>
    <x v="10"/>
    <x v="18"/>
    <s v="UK_OFFSHORE"/>
    <x v="0"/>
    <x v="0"/>
    <s v="GWND_WIND"/>
    <x v="1"/>
    <x v="8"/>
    <n v="2136.20358276364"/>
    <n v="129952.384618122"/>
    <n v="467828.58462523803"/>
  </r>
  <r>
    <x v="0"/>
    <x v="0"/>
    <x v="0"/>
    <x v="10"/>
    <x v="18"/>
    <s v="UK_OFFSHORE"/>
    <x v="0"/>
    <x v="0"/>
    <s v="GWND_WIND"/>
    <x v="1"/>
    <x v="9"/>
    <n v="2049.82370140701"/>
    <n v="124697.60850226"/>
    <n v="448911.39060813503"/>
  </r>
  <r>
    <x v="0"/>
    <x v="0"/>
    <x v="0"/>
    <x v="10"/>
    <x v="18"/>
    <s v="UK_OFFSHORE"/>
    <x v="0"/>
    <x v="0"/>
    <s v="GWND_WIND"/>
    <x v="1"/>
    <x v="10"/>
    <n v="1827.56535499498"/>
    <n v="111176.892428861"/>
    <n v="400236.81274389999"/>
  </r>
  <r>
    <x v="0"/>
    <x v="0"/>
    <x v="0"/>
    <x v="10"/>
    <x v="18"/>
    <s v="UK_OFFSHORE"/>
    <x v="0"/>
    <x v="0"/>
    <s v="GWND_WIND"/>
    <x v="1"/>
    <x v="11"/>
    <n v="1658.6878341404199"/>
    <n v="100903.509910209"/>
    <n v="363252.63567675202"/>
  </r>
  <r>
    <x v="0"/>
    <x v="0"/>
    <x v="0"/>
    <x v="10"/>
    <x v="18"/>
    <s v="UK_OFFSHORE"/>
    <x v="0"/>
    <x v="0"/>
    <s v="GWND_WIND"/>
    <x v="2"/>
    <x v="0"/>
    <n v="941.44365074090695"/>
    <n v="57271.155420071897"/>
    <n v="206176.15951225901"/>
  </r>
  <r>
    <x v="0"/>
    <x v="0"/>
    <x v="0"/>
    <x v="10"/>
    <x v="18"/>
    <s v="UK_OFFSHORE"/>
    <x v="0"/>
    <x v="0"/>
    <s v="GWND_WIND"/>
    <x v="2"/>
    <x v="1"/>
    <n v="816.24135079701296"/>
    <n v="49654.6821734849"/>
    <n v="178756.85582454599"/>
  </r>
  <r>
    <x v="0"/>
    <x v="0"/>
    <x v="0"/>
    <x v="10"/>
    <x v="18"/>
    <s v="UK_OFFSHORE"/>
    <x v="0"/>
    <x v="0"/>
    <s v="GWND_WIND"/>
    <x v="2"/>
    <x v="2"/>
    <n v="738.59651362250497"/>
    <n v="44931.287912035703"/>
    <n v="161752.636483329"/>
  </r>
  <r>
    <x v="0"/>
    <x v="0"/>
    <x v="0"/>
    <x v="10"/>
    <x v="18"/>
    <s v="UK_OFFSHORE"/>
    <x v="0"/>
    <x v="0"/>
    <s v="GWND_WIND"/>
    <x v="2"/>
    <x v="3"/>
    <n v="728.89090897569201"/>
    <n v="44340.863629354601"/>
    <n v="159627.10906567701"/>
  </r>
  <r>
    <x v="0"/>
    <x v="0"/>
    <x v="0"/>
    <x v="10"/>
    <x v="18"/>
    <s v="UK_OFFSHORE"/>
    <x v="0"/>
    <x v="0"/>
    <s v="GWND_WIND"/>
    <x v="2"/>
    <x v="4"/>
    <n v="769.65444849230801"/>
    <n v="46820.645616615402"/>
    <n v="168554.32421981599"/>
  </r>
  <r>
    <x v="0"/>
    <x v="0"/>
    <x v="0"/>
    <x v="10"/>
    <x v="18"/>
    <s v="UK_OFFSHORE"/>
    <x v="0"/>
    <x v="0"/>
    <s v="GWND_WIND"/>
    <x v="2"/>
    <x v="5"/>
    <n v="758.00772291613202"/>
    <n v="46112.136477398097"/>
    <n v="166003.69131863301"/>
  </r>
  <r>
    <x v="0"/>
    <x v="0"/>
    <x v="0"/>
    <x v="10"/>
    <x v="18"/>
    <s v="UK_OFFSHORE"/>
    <x v="0"/>
    <x v="0"/>
    <s v="GWND_WIND"/>
    <x v="2"/>
    <x v="6"/>
    <n v="713.36194154079101"/>
    <n v="43396.184777064802"/>
    <n v="156226.26519743301"/>
  </r>
  <r>
    <x v="0"/>
    <x v="0"/>
    <x v="0"/>
    <x v="10"/>
    <x v="18"/>
    <s v="UK_OFFSHORE"/>
    <x v="0"/>
    <x v="0"/>
    <s v="GWND_WIND"/>
    <x v="2"/>
    <x v="7"/>
    <n v="671.62784155949203"/>
    <n v="40857.360361535801"/>
    <n v="147086.49730152899"/>
  </r>
  <r>
    <x v="0"/>
    <x v="0"/>
    <x v="0"/>
    <x v="10"/>
    <x v="18"/>
    <s v="UK_OFFSHORE"/>
    <x v="0"/>
    <x v="0"/>
    <s v="GWND_WIND"/>
    <x v="2"/>
    <x v="8"/>
    <n v="632.80542297223894"/>
    <n v="38495.663230811202"/>
    <n v="138584.38763092001"/>
  </r>
  <r>
    <x v="0"/>
    <x v="0"/>
    <x v="0"/>
    <x v="10"/>
    <x v="18"/>
    <s v="UK_OFFSHORE"/>
    <x v="0"/>
    <x v="0"/>
    <s v="GWND_WIND"/>
    <x v="2"/>
    <x v="9"/>
    <n v="589.13020206157796"/>
    <n v="35838.753958745998"/>
    <n v="129019.51425148601"/>
  </r>
  <r>
    <x v="0"/>
    <x v="0"/>
    <x v="0"/>
    <x v="10"/>
    <x v="18"/>
    <s v="UK_OFFSHORE"/>
    <x v="0"/>
    <x v="0"/>
    <s v="GWND_WIND"/>
    <x v="2"/>
    <x v="10"/>
    <n v="541.57273929219195"/>
    <n v="32945.6749736083"/>
    <n v="118604.42990499"/>
  </r>
  <r>
    <x v="0"/>
    <x v="0"/>
    <x v="0"/>
    <x v="10"/>
    <x v="18"/>
    <s v="UK_OFFSHORE"/>
    <x v="0"/>
    <x v="0"/>
    <s v="GWND_WIND"/>
    <x v="2"/>
    <x v="11"/>
    <n v="512.45592535175194"/>
    <n v="31174.402125564899"/>
    <n v="112227.847652034"/>
  </r>
  <r>
    <x v="0"/>
    <x v="0"/>
    <x v="0"/>
    <x v="10"/>
    <x v="18"/>
    <s v="UK_OFFSHORE"/>
    <x v="0"/>
    <x v="0"/>
    <s v="GWND_WIND"/>
    <x v="3"/>
    <x v="0"/>
    <n v="1566.4845899956999"/>
    <n v="95294.479224738199"/>
    <n v="343060.12520905701"/>
  </r>
  <r>
    <x v="0"/>
    <x v="0"/>
    <x v="0"/>
    <x v="10"/>
    <x v="18"/>
    <s v="UK_OFFSHORE"/>
    <x v="0"/>
    <x v="0"/>
    <s v="GWND_WIND"/>
    <x v="3"/>
    <x v="1"/>
    <n v="1494.6631156092701"/>
    <n v="90925.3395328974"/>
    <n v="327331.22231843101"/>
  </r>
  <r>
    <x v="0"/>
    <x v="0"/>
    <x v="0"/>
    <x v="10"/>
    <x v="18"/>
    <s v="UK_OFFSHORE"/>
    <x v="0"/>
    <x v="0"/>
    <s v="GWND_WIND"/>
    <x v="3"/>
    <x v="2"/>
    <n v="1568.42571092506"/>
    <n v="95412.564081274206"/>
    <n v="343485.23069258698"/>
  </r>
  <r>
    <x v="0"/>
    <x v="0"/>
    <x v="0"/>
    <x v="10"/>
    <x v="18"/>
    <s v="UK_OFFSHORE"/>
    <x v="0"/>
    <x v="0"/>
    <s v="GWND_WIND"/>
    <x v="3"/>
    <x v="3"/>
    <n v="1541.2500179139799"/>
    <n v="93759.376089767"/>
    <n v="337533.75392316101"/>
  </r>
  <r>
    <x v="0"/>
    <x v="0"/>
    <x v="0"/>
    <x v="10"/>
    <x v="18"/>
    <s v="UK_OFFSHORE"/>
    <x v="0"/>
    <x v="0"/>
    <s v="GWND_WIND"/>
    <x v="3"/>
    <x v="4"/>
    <n v="1421.8710807581799"/>
    <n v="86497.157412789005"/>
    <n v="311389.76668603998"/>
  </r>
  <r>
    <x v="0"/>
    <x v="0"/>
    <x v="0"/>
    <x v="10"/>
    <x v="18"/>
    <s v="UK_OFFSHORE"/>
    <x v="0"/>
    <x v="0"/>
    <s v="GWND_WIND"/>
    <x v="3"/>
    <x v="5"/>
    <n v="1347.1379249777101"/>
    <n v="81950.890436143905"/>
    <n v="295023.20557011798"/>
  </r>
  <r>
    <x v="0"/>
    <x v="0"/>
    <x v="0"/>
    <x v="10"/>
    <x v="18"/>
    <s v="UK_OFFSHORE"/>
    <x v="0"/>
    <x v="0"/>
    <s v="GWND_WIND"/>
    <x v="3"/>
    <x v="6"/>
    <n v="1333.5500784721701"/>
    <n v="81124.296440390302"/>
    <n v="292047.46718540502"/>
  </r>
  <r>
    <x v="0"/>
    <x v="0"/>
    <x v="0"/>
    <x v="10"/>
    <x v="18"/>
    <s v="UK_OFFSHORE"/>
    <x v="0"/>
    <x v="0"/>
    <s v="GWND_WIND"/>
    <x v="3"/>
    <x v="7"/>
    <n v="1319.96223196663"/>
    <n v="80297.7024446367"/>
    <n v="289071.72880069201"/>
  </r>
  <r>
    <x v="0"/>
    <x v="0"/>
    <x v="0"/>
    <x v="10"/>
    <x v="18"/>
    <s v="UK_OFFSHORE"/>
    <x v="0"/>
    <x v="0"/>
    <s v="GWND_WIND"/>
    <x v="3"/>
    <x v="8"/>
    <n v="1324.8150342900401"/>
    <n v="80592.914585977094"/>
    <n v="290134.49250951799"/>
  </r>
  <r>
    <x v="0"/>
    <x v="0"/>
    <x v="0"/>
    <x v="10"/>
    <x v="18"/>
    <s v="UK_OFFSHORE"/>
    <x v="0"/>
    <x v="0"/>
    <s v="GWND_WIND"/>
    <x v="3"/>
    <x v="9"/>
    <n v="1501.45703886205"/>
    <n v="91338.636530774602"/>
    <n v="328819.09151078801"/>
  </r>
  <r>
    <x v="0"/>
    <x v="0"/>
    <x v="0"/>
    <x v="10"/>
    <x v="18"/>
    <s v="UK_OFFSHORE"/>
    <x v="0"/>
    <x v="0"/>
    <s v="GWND_WIND"/>
    <x v="3"/>
    <x v="10"/>
    <n v="1731.4798689915201"/>
    <n v="105331.692030317"/>
    <n v="379194.091309143"/>
  </r>
  <r>
    <x v="0"/>
    <x v="0"/>
    <x v="0"/>
    <x v="10"/>
    <x v="18"/>
    <s v="UK_OFFSHORE"/>
    <x v="0"/>
    <x v="0"/>
    <s v="GWND_WIND"/>
    <x v="3"/>
    <x v="11"/>
    <n v="1845.0354433592399"/>
    <n v="112239.65613768699"/>
    <n v="404062.762095674"/>
  </r>
  <r>
    <x v="0"/>
    <x v="0"/>
    <x v="0"/>
    <x v="10"/>
    <x v="18"/>
    <s v="UK_OFFSHORE"/>
    <x v="0"/>
    <x v="0"/>
    <s v="GWND_WIND"/>
    <x v="4"/>
    <x v="0"/>
    <n v="795.85958103870496"/>
    <n v="48414.791179854503"/>
    <n v="174293.248247476"/>
  </r>
  <r>
    <x v="0"/>
    <x v="0"/>
    <x v="0"/>
    <x v="10"/>
    <x v="18"/>
    <s v="UK_OFFSHORE"/>
    <x v="0"/>
    <x v="0"/>
    <s v="GWND_WIND"/>
    <x v="4"/>
    <x v="1"/>
    <n v="791.97733917997903"/>
    <n v="48178.621466782097"/>
    <n v="173443.03728041501"/>
  </r>
  <r>
    <x v="0"/>
    <x v="0"/>
    <x v="0"/>
    <x v="10"/>
    <x v="18"/>
    <s v="UK_OFFSHORE"/>
    <x v="0"/>
    <x v="0"/>
    <s v="GWND_WIND"/>
    <x v="4"/>
    <x v="2"/>
    <n v="783.24229499784803"/>
    <n v="47647.2396123691"/>
    <n v="171530.062604529"/>
  </r>
  <r>
    <x v="0"/>
    <x v="0"/>
    <x v="0"/>
    <x v="10"/>
    <x v="18"/>
    <s v="UK_OFFSHORE"/>
    <x v="0"/>
    <x v="0"/>
    <s v="GWND_WIND"/>
    <x v="4"/>
    <x v="3"/>
    <n v="805.56518568551905"/>
    <n v="49005.2154625357"/>
    <n v="176418.77566512901"/>
  </r>
  <r>
    <x v="0"/>
    <x v="0"/>
    <x v="0"/>
    <x v="10"/>
    <x v="18"/>
    <s v="UK_OFFSHORE"/>
    <x v="0"/>
    <x v="0"/>
    <s v="GWND_WIND"/>
    <x v="4"/>
    <x v="4"/>
    <n v="804.59462522083697"/>
    <n v="48946.173034267602"/>
    <n v="176206.22292336301"/>
  </r>
  <r>
    <x v="0"/>
    <x v="0"/>
    <x v="0"/>
    <x v="10"/>
    <x v="18"/>
    <s v="UK_OFFSHORE"/>
    <x v="0"/>
    <x v="0"/>
    <s v="GWND_WIND"/>
    <x v="4"/>
    <x v="5"/>
    <n v="792.94789964466099"/>
    <n v="48237.663895050202"/>
    <n v="173655.59002218099"/>
  </r>
  <r>
    <x v="0"/>
    <x v="0"/>
    <x v="0"/>
    <x v="10"/>
    <x v="18"/>
    <s v="UK_OFFSHORE"/>
    <x v="0"/>
    <x v="0"/>
    <s v="GWND_WIND"/>
    <x v="4"/>
    <x v="6"/>
    <n v="773.53669035103405"/>
    <n v="47056.815329687903"/>
    <n v="169404.53518687599"/>
  </r>
  <r>
    <x v="0"/>
    <x v="0"/>
    <x v="0"/>
    <x v="10"/>
    <x v="18"/>
    <s v="UK_OFFSHORE"/>
    <x v="0"/>
    <x v="0"/>
    <s v="GWND_WIND"/>
    <x v="4"/>
    <x v="7"/>
    <n v="747.33155780463801"/>
    <n v="45462.669766448802"/>
    <n v="163665.611159216"/>
  </r>
  <r>
    <x v="0"/>
    <x v="0"/>
    <x v="0"/>
    <x v="10"/>
    <x v="18"/>
    <s v="UK_OFFSHORE"/>
    <x v="0"/>
    <x v="0"/>
    <s v="GWND_WIND"/>
    <x v="4"/>
    <x v="8"/>
    <n v="737.62595315782403"/>
    <n v="44872.2454837677"/>
    <n v="161540.08374156401"/>
  </r>
  <r>
    <x v="0"/>
    <x v="0"/>
    <x v="0"/>
    <x v="10"/>
    <x v="18"/>
    <s v="UK_OFFSHORE"/>
    <x v="0"/>
    <x v="0"/>
    <s v="GWND_WIND"/>
    <x v="4"/>
    <x v="9"/>
    <n v="746.36099733995695"/>
    <n v="45403.627338180697"/>
    <n v="163453.05841745099"/>
  </r>
  <r>
    <x v="0"/>
    <x v="0"/>
    <x v="0"/>
    <x v="10"/>
    <x v="18"/>
    <s v="UK_OFFSHORE"/>
    <x v="0"/>
    <x v="0"/>
    <s v="GWND_WIND"/>
    <x v="4"/>
    <x v="10"/>
    <n v="713.36194154079101"/>
    <n v="43396.184777064802"/>
    <n v="156226.26519743301"/>
  </r>
  <r>
    <x v="0"/>
    <x v="0"/>
    <x v="0"/>
    <x v="10"/>
    <x v="18"/>
    <s v="UK_OFFSHORE"/>
    <x v="0"/>
    <x v="0"/>
    <s v="GWND_WIND"/>
    <x v="4"/>
    <x v="11"/>
    <n v="685.21568806503205"/>
    <n v="41683.954357289404"/>
    <n v="150062.235686242"/>
  </r>
  <r>
    <x v="0"/>
    <x v="0"/>
    <x v="0"/>
    <x v="10"/>
    <x v="18"/>
    <s v="UK_OFFSHORE"/>
    <x v="0"/>
    <x v="0"/>
    <s v="GWND_WIND"/>
    <x v="5"/>
    <x v="0"/>
    <n v="158.201355743059"/>
    <n v="9623.9158077027896"/>
    <n v="34646.096907730003"/>
  </r>
  <r>
    <x v="0"/>
    <x v="0"/>
    <x v="0"/>
    <x v="10"/>
    <x v="18"/>
    <s v="UK_OFFSHORE"/>
    <x v="0"/>
    <x v="0"/>
    <s v="GWND_WIND"/>
    <x v="5"/>
    <x v="1"/>
    <n v="117.437816226443"/>
    <n v="7144.1338204419799"/>
    <n v="25718.8817535911"/>
  </r>
  <r>
    <x v="0"/>
    <x v="0"/>
    <x v="0"/>
    <x v="10"/>
    <x v="18"/>
    <s v="UK_OFFSHORE"/>
    <x v="0"/>
    <x v="0"/>
    <s v="GWND_WIND"/>
    <x v="5"/>
    <x v="2"/>
    <n v="103.849969720904"/>
    <n v="6317.5398246883196"/>
    <n v="22743.1433688779"/>
  </r>
  <r>
    <x v="0"/>
    <x v="0"/>
    <x v="0"/>
    <x v="10"/>
    <x v="18"/>
    <s v="UK_OFFSHORE"/>
    <x v="0"/>
    <x v="0"/>
    <s v="GWND_WIND"/>
    <x v="5"/>
    <x v="3"/>
    <n v="91.232683680046605"/>
    <n v="5549.98825720284"/>
    <n v="19979.957725930199"/>
  </r>
  <r>
    <x v="0"/>
    <x v="0"/>
    <x v="0"/>
    <x v="10"/>
    <x v="18"/>
    <s v="UK_OFFSHORE"/>
    <x v="0"/>
    <x v="0"/>
    <s v="GWND_WIND"/>
    <x v="5"/>
    <x v="4"/>
    <n v="79.585958103870496"/>
    <n v="4841.4791179854501"/>
    <n v="17429.3248247476"/>
  </r>
  <r>
    <x v="0"/>
    <x v="0"/>
    <x v="0"/>
    <x v="10"/>
    <x v="18"/>
    <s v="UK_OFFSHORE"/>
    <x v="0"/>
    <x v="0"/>
    <s v="GWND_WIND"/>
    <x v="5"/>
    <x v="5"/>
    <n v="67.939232527694301"/>
    <n v="4132.9699787680702"/>
    <n v="14878.6919235651"/>
  </r>
  <r>
    <x v="0"/>
    <x v="0"/>
    <x v="0"/>
    <x v="10"/>
    <x v="18"/>
    <s v="UK_OFFSHORE"/>
    <x v="0"/>
    <x v="0"/>
    <s v="GWND_WIND"/>
    <x v="5"/>
    <x v="6"/>
    <n v="57.263067416199497"/>
    <n v="3483.5032678187999"/>
    <n v="12540.611764147699"/>
  </r>
  <r>
    <x v="0"/>
    <x v="0"/>
    <x v="0"/>
    <x v="10"/>
    <x v="18"/>
    <s v="UK_OFFSHORE"/>
    <x v="0"/>
    <x v="0"/>
    <s v="GWND_WIND"/>
    <x v="5"/>
    <x v="7"/>
    <n v="47.557462769385999"/>
    <n v="2893.0789851376499"/>
    <n v="10415.0843464955"/>
  </r>
  <r>
    <x v="0"/>
    <x v="0"/>
    <x v="0"/>
    <x v="10"/>
    <x v="18"/>
    <s v="UK_OFFSHORE"/>
    <x v="0"/>
    <x v="0"/>
    <s v="GWND_WIND"/>
    <x v="5"/>
    <x v="8"/>
    <n v="36.881297657891203"/>
    <n v="2243.6122741883801"/>
    <n v="8077.0041870781697"/>
  </r>
  <r>
    <x v="0"/>
    <x v="0"/>
    <x v="0"/>
    <x v="10"/>
    <x v="18"/>
    <s v="UK_OFFSHORE"/>
    <x v="0"/>
    <x v="0"/>
    <s v="GWND_WIND"/>
    <x v="5"/>
    <x v="9"/>
    <n v="26.205132546396399"/>
    <n v="1594.1455632391201"/>
    <n v="5738.9240276608198"/>
  </r>
  <r>
    <x v="0"/>
    <x v="0"/>
    <x v="0"/>
    <x v="10"/>
    <x v="18"/>
    <s v="UK_OFFSHORE"/>
    <x v="0"/>
    <x v="0"/>
    <s v="GWND_WIND"/>
    <x v="5"/>
    <x v="10"/>
    <n v="16.499527899582901"/>
    <n v="1003.72128055796"/>
    <n v="3613.39661000865"/>
  </r>
  <r>
    <x v="0"/>
    <x v="0"/>
    <x v="0"/>
    <x v="10"/>
    <x v="18"/>
    <s v="UK_OFFSHORE"/>
    <x v="0"/>
    <x v="0"/>
    <s v="GWND_WIND"/>
    <x v="5"/>
    <x v="11"/>
    <n v="8.7350441821321301"/>
    <n v="531.38185441303801"/>
    <n v="1912.9746758869401"/>
  </r>
  <r>
    <x v="0"/>
    <x v="0"/>
    <x v="0"/>
    <x v="10"/>
    <x v="18"/>
    <s v="UK_OFFSHORE"/>
    <x v="0"/>
    <x v="0"/>
    <s v="GWND_WIND"/>
    <x v="6"/>
    <x v="0"/>
    <n v="369.78353704359398"/>
    <n v="22495.1651701519"/>
    <n v="80982.594612547007"/>
  </r>
  <r>
    <x v="0"/>
    <x v="0"/>
    <x v="0"/>
    <x v="10"/>
    <x v="18"/>
    <s v="UK_OFFSHORE"/>
    <x v="0"/>
    <x v="0"/>
    <s v="GWND_WIND"/>
    <x v="6"/>
    <x v="1"/>
    <n v="454.22229747086999"/>
    <n v="27631.856429477899"/>
    <n v="99474.683146120602"/>
  </r>
  <r>
    <x v="0"/>
    <x v="0"/>
    <x v="0"/>
    <x v="10"/>
    <x v="18"/>
    <s v="UK_OFFSHORE"/>
    <x v="0"/>
    <x v="0"/>
    <s v="GWND_WIND"/>
    <x v="6"/>
    <x v="2"/>
    <n v="594.95356484966601"/>
    <n v="36193.008528354701"/>
    <n v="130294.830702077"/>
  </r>
  <r>
    <x v="0"/>
    <x v="0"/>
    <x v="0"/>
    <x v="10"/>
    <x v="18"/>
    <s v="UK_OFFSHORE"/>
    <x v="0"/>
    <x v="0"/>
    <s v="GWND_WIND"/>
    <x v="6"/>
    <x v="3"/>
    <n v="786.153976391892"/>
    <n v="47824.366897173401"/>
    <n v="172167.72082982399"/>
  </r>
  <r>
    <x v="0"/>
    <x v="0"/>
    <x v="0"/>
    <x v="10"/>
    <x v="18"/>
    <s v="UK_OFFSHORE"/>
    <x v="0"/>
    <x v="0"/>
    <s v="GWND_WIND"/>
    <x v="6"/>
    <x v="4"/>
    <n v="918.15019958855498"/>
    <n v="55854.137141637097"/>
    <n v="201074.89370989401"/>
  </r>
  <r>
    <x v="0"/>
    <x v="0"/>
    <x v="0"/>
    <x v="10"/>
    <x v="18"/>
    <s v="UK_OFFSHORE"/>
    <x v="0"/>
    <x v="0"/>
    <s v="GWND_WIND"/>
    <x v="6"/>
    <x v="5"/>
    <n v="1034.6174553503199"/>
    <n v="62939.228533811001"/>
    <n v="226581.22272172"/>
  </r>
  <r>
    <x v="0"/>
    <x v="0"/>
    <x v="0"/>
    <x v="10"/>
    <x v="18"/>
    <s v="UK_OFFSHORE"/>
    <x v="0"/>
    <x v="0"/>
    <s v="GWND_WIND"/>
    <x v="6"/>
    <x v="6"/>
    <n v="1282.1103738440599"/>
    <n v="77995.047742180293"/>
    <n v="280782.17187184899"/>
  </r>
  <r>
    <x v="0"/>
    <x v="0"/>
    <x v="0"/>
    <x v="10"/>
    <x v="18"/>
    <s v="UK_OFFSHORE"/>
    <x v="0"/>
    <x v="0"/>
    <s v="GWND_WIND"/>
    <x v="6"/>
    <x v="7"/>
    <n v="1453.89957609266"/>
    <n v="88445.557545636606"/>
    <n v="318404.00716429198"/>
  </r>
  <r>
    <x v="0"/>
    <x v="0"/>
    <x v="0"/>
    <x v="10"/>
    <x v="18"/>
    <s v="UK_OFFSHORE"/>
    <x v="0"/>
    <x v="0"/>
    <s v="GWND_WIND"/>
    <x v="6"/>
    <x v="8"/>
    <n v="1432.54724586967"/>
    <n v="87146.624123738206"/>
    <n v="313727.84684545803"/>
  </r>
  <r>
    <x v="0"/>
    <x v="0"/>
    <x v="0"/>
    <x v="10"/>
    <x v="18"/>
    <s v="UK_OFFSHORE"/>
    <x v="0"/>
    <x v="0"/>
    <s v="GWND_WIND"/>
    <x v="6"/>
    <x v="9"/>
    <n v="1501.45703886205"/>
    <n v="91338.636530774602"/>
    <n v="328819.09151078801"/>
  </r>
  <r>
    <x v="0"/>
    <x v="0"/>
    <x v="0"/>
    <x v="10"/>
    <x v="18"/>
    <s v="UK_OFFSHORE"/>
    <x v="0"/>
    <x v="0"/>
    <s v="GWND_WIND"/>
    <x v="6"/>
    <x v="10"/>
    <n v="1721.77426434471"/>
    <n v="104741.267747637"/>
    <n v="377068.56389149203"/>
  </r>
  <r>
    <x v="0"/>
    <x v="0"/>
    <x v="0"/>
    <x v="10"/>
    <x v="18"/>
    <s v="UK_OFFSHORE"/>
    <x v="0"/>
    <x v="0"/>
    <s v="GWND_WIND"/>
    <x v="6"/>
    <x v="11"/>
    <n v="1917.8274782103399"/>
    <n v="116667.838257796"/>
    <n v="420004.21772806498"/>
  </r>
  <r>
    <x v="0"/>
    <x v="0"/>
    <x v="0"/>
    <x v="10"/>
    <x v="18"/>
    <s v="UK_OFFSHORE"/>
    <x v="0"/>
    <x v="0"/>
    <s v="GWND_WIND"/>
    <x v="7"/>
    <x v="0"/>
    <n v="580.39515787944595"/>
    <n v="35307.372104333001"/>
    <n v="127106.539575599"/>
  </r>
  <r>
    <x v="0"/>
    <x v="0"/>
    <x v="0"/>
    <x v="10"/>
    <x v="18"/>
    <s v="UK_OFFSHORE"/>
    <x v="0"/>
    <x v="0"/>
    <s v="GWND_WIND"/>
    <x v="7"/>
    <x v="1"/>
    <n v="790.03621825061703"/>
    <n v="48060.536610245901"/>
    <n v="173017.93179688501"/>
  </r>
  <r>
    <x v="0"/>
    <x v="0"/>
    <x v="0"/>
    <x v="10"/>
    <x v="18"/>
    <s v="UK_OFFSHORE"/>
    <x v="0"/>
    <x v="0"/>
    <s v="GWND_WIND"/>
    <x v="7"/>
    <x v="2"/>
    <n v="923.97356237664303"/>
    <n v="56208.3917112458"/>
    <n v="202350.210160485"/>
  </r>
  <r>
    <x v="0"/>
    <x v="0"/>
    <x v="0"/>
    <x v="10"/>
    <x v="18"/>
    <s v="UK_OFFSHORE"/>
    <x v="0"/>
    <x v="0"/>
    <s v="GWND_WIND"/>
    <x v="7"/>
    <x v="3"/>
    <n v="1076.3515553316199"/>
    <n v="65478.052949340199"/>
    <n v="235720.99061762501"/>
  </r>
  <r>
    <x v="0"/>
    <x v="0"/>
    <x v="0"/>
    <x v="10"/>
    <x v="18"/>
    <s v="UK_OFFSHORE"/>
    <x v="0"/>
    <x v="0"/>
    <s v="GWND_WIND"/>
    <x v="7"/>
    <x v="4"/>
    <n v="1207.3772180635999"/>
    <n v="73448.780765535703"/>
    <n v="264415.61075592902"/>
  </r>
  <r>
    <x v="0"/>
    <x v="0"/>
    <x v="0"/>
    <x v="10"/>
    <x v="18"/>
    <s v="UK_OFFSHORE"/>
    <x v="0"/>
    <x v="0"/>
    <s v="GWND_WIND"/>
    <x v="7"/>
    <x v="5"/>
    <n v="1333.5500784721701"/>
    <n v="81124.296440390302"/>
    <n v="292047.46718540502"/>
  </r>
  <r>
    <x v="0"/>
    <x v="0"/>
    <x v="0"/>
    <x v="10"/>
    <x v="18"/>
    <s v="UK_OFFSHORE"/>
    <x v="0"/>
    <x v="0"/>
    <s v="GWND_WIND"/>
    <x v="7"/>
    <x v="6"/>
    <n v="1560.66122720761"/>
    <n v="94940.224655129394"/>
    <n v="341784.80875846598"/>
  </r>
  <r>
    <x v="0"/>
    <x v="0"/>
    <x v="0"/>
    <x v="10"/>
    <x v="18"/>
    <s v="UK_OFFSHORE"/>
    <x v="0"/>
    <x v="0"/>
    <s v="GWND_WIND"/>
    <x v="7"/>
    <x v="7"/>
    <n v="1776.1256503668701"/>
    <n v="108047.64373065101"/>
    <n v="388971.51743034401"/>
  </r>
  <r>
    <x v="0"/>
    <x v="0"/>
    <x v="0"/>
    <x v="10"/>
    <x v="18"/>
    <s v="UK_OFFSHORE"/>
    <x v="0"/>
    <x v="0"/>
    <s v="GWND_WIND"/>
    <x v="7"/>
    <x v="8"/>
    <n v="1890.6517851992601"/>
    <n v="115014.650266289"/>
    <n v="414052.74095863901"/>
  </r>
  <r>
    <x v="0"/>
    <x v="0"/>
    <x v="0"/>
    <x v="10"/>
    <x v="18"/>
    <s v="UK_OFFSHORE"/>
    <x v="0"/>
    <x v="0"/>
    <s v="GWND_WIND"/>
    <x v="7"/>
    <x v="9"/>
    <n v="2009.06016189039"/>
    <n v="122217.826514999"/>
    <n v="439984.17545399599"/>
  </r>
  <r>
    <x v="0"/>
    <x v="0"/>
    <x v="0"/>
    <x v="10"/>
    <x v="18"/>
    <s v="UK_OFFSHORE"/>
    <x v="0"/>
    <x v="0"/>
    <s v="GWND_WIND"/>
    <x v="7"/>
    <x v="10"/>
    <n v="2197.3488920385698"/>
    <n v="133672.057599013"/>
    <n v="481219.40735644801"/>
  </r>
  <r>
    <x v="0"/>
    <x v="0"/>
    <x v="0"/>
    <x v="10"/>
    <x v="18"/>
    <s v="UK_OFFSHORE"/>
    <x v="0"/>
    <x v="0"/>
    <s v="GWND_WIND"/>
    <x v="7"/>
    <x v="11"/>
    <n v="2335.1684780233199"/>
    <n v="142056.08241308501"/>
    <n v="511401.89668710699"/>
  </r>
  <r>
    <x v="0"/>
    <x v="0"/>
    <x v="0"/>
    <x v="10"/>
    <x v="18"/>
    <s v="UK_OFFSHORE"/>
    <x v="0"/>
    <x v="0"/>
    <s v="GWND_WIND"/>
    <x v="8"/>
    <x v="0"/>
    <n v="1173.40760179975"/>
    <n v="71382.295776151397"/>
    <n v="256976.26479414501"/>
  </r>
  <r>
    <x v="0"/>
    <x v="0"/>
    <x v="0"/>
    <x v="10"/>
    <x v="18"/>
    <s v="UK_OFFSHORE"/>
    <x v="0"/>
    <x v="0"/>
    <s v="GWND_WIND"/>
    <x v="8"/>
    <x v="1"/>
    <n v="1237.46459246871"/>
    <n v="75279.0960418467"/>
    <n v="271004.74575064803"/>
  </r>
  <r>
    <x v="0"/>
    <x v="0"/>
    <x v="0"/>
    <x v="10"/>
    <x v="18"/>
    <s v="UK_OFFSHORE"/>
    <x v="0"/>
    <x v="0"/>
    <s v="GWND_WIND"/>
    <x v="8"/>
    <x v="2"/>
    <n v="1250.0818785095801"/>
    <n v="76046.647609332605"/>
    <n v="273767.93139359698"/>
  </r>
  <r>
    <x v="0"/>
    <x v="0"/>
    <x v="0"/>
    <x v="10"/>
    <x v="18"/>
    <s v="UK_OFFSHORE"/>
    <x v="0"/>
    <x v="0"/>
    <s v="GWND_WIND"/>
    <x v="8"/>
    <x v="3"/>
    <n v="1264.6402854798"/>
    <n v="76932.284033354503"/>
    <n v="276956.22252007597"/>
  </r>
  <r>
    <x v="0"/>
    <x v="0"/>
    <x v="0"/>
    <x v="10"/>
    <x v="18"/>
    <s v="UK_OFFSHORE"/>
    <x v="0"/>
    <x v="0"/>
    <s v="GWND_WIND"/>
    <x v="8"/>
    <x v="4"/>
    <n v="1237.46459246871"/>
    <n v="75279.0960418467"/>
    <n v="271004.74575064803"/>
  </r>
  <r>
    <x v="0"/>
    <x v="0"/>
    <x v="0"/>
    <x v="10"/>
    <x v="18"/>
    <s v="UK_OFFSHORE"/>
    <x v="0"/>
    <x v="0"/>
    <s v="GWND_WIND"/>
    <x v="8"/>
    <x v="5"/>
    <n v="1179.2309645878399"/>
    <n v="71736.550345760203"/>
    <n v="258251.581244737"/>
  </r>
  <r>
    <x v="0"/>
    <x v="0"/>
    <x v="0"/>
    <x v="10"/>
    <x v="18"/>
    <s v="UK_OFFSHORE"/>
    <x v="0"/>
    <x v="0"/>
    <s v="GWND_WIND"/>
    <x v="8"/>
    <x v="6"/>
    <n v="1185.0543273759299"/>
    <n v="72090.804915368994"/>
    <n v="259526.89769532799"/>
  </r>
  <r>
    <x v="0"/>
    <x v="0"/>
    <x v="0"/>
    <x v="10"/>
    <x v="18"/>
    <s v="UK_OFFSHORE"/>
    <x v="0"/>
    <x v="0"/>
    <s v="GWND_WIND"/>
    <x v="8"/>
    <x v="7"/>
    <n v="1272.4047691972501"/>
    <n v="77404.623459499402"/>
    <n v="278656.64445419802"/>
  </r>
  <r>
    <x v="0"/>
    <x v="0"/>
    <x v="0"/>
    <x v="10"/>
    <x v="18"/>
    <s v="UK_OFFSHORE"/>
    <x v="0"/>
    <x v="0"/>
    <s v="GWND_WIND"/>
    <x v="8"/>
    <x v="8"/>
    <n v="1342.2851226543"/>
    <n v="81655.678294803496"/>
    <n v="293960.441861292"/>
  </r>
  <r>
    <x v="0"/>
    <x v="0"/>
    <x v="0"/>
    <x v="10"/>
    <x v="18"/>
    <s v="UK_OFFSHORE"/>
    <x v="0"/>
    <x v="0"/>
    <s v="GWND_WIND"/>
    <x v="8"/>
    <x v="9"/>
    <n v="1414.1065970407301"/>
    <n v="86024.817986644193"/>
    <n v="309689.34475191898"/>
  </r>
  <r>
    <x v="0"/>
    <x v="0"/>
    <x v="0"/>
    <x v="10"/>
    <x v="18"/>
    <s v="UK_OFFSHORE"/>
    <x v="0"/>
    <x v="0"/>
    <s v="GWND_WIND"/>
    <x v="8"/>
    <x v="10"/>
    <n v="1578.1313155718699"/>
    <n v="96002.988363955694"/>
    <n v="345610.75811024097"/>
  </r>
  <r>
    <x v="0"/>
    <x v="0"/>
    <x v="0"/>
    <x v="10"/>
    <x v="18"/>
    <s v="UK_OFFSHORE"/>
    <x v="0"/>
    <x v="0"/>
    <s v="GWND_WIND"/>
    <x v="8"/>
    <x v="11"/>
    <n v="1746.0382759617401"/>
    <n v="106217.328454339"/>
    <n v="382382.38243562198"/>
  </r>
  <r>
    <x v="0"/>
    <x v="0"/>
    <x v="0"/>
    <x v="10"/>
    <x v="18"/>
    <s v="UK_OFFSHORE"/>
    <x v="0"/>
    <x v="0"/>
    <s v="GWND_WIND"/>
    <x v="9"/>
    <x v="0"/>
    <n v="1814.9480689541199"/>
    <n v="110409.340861376"/>
    <n v="397473.62710095302"/>
  </r>
  <r>
    <x v="0"/>
    <x v="0"/>
    <x v="0"/>
    <x v="10"/>
    <x v="18"/>
    <s v="UK_OFFSHORE"/>
    <x v="0"/>
    <x v="0"/>
    <s v="GWND_WIND"/>
    <x v="9"/>
    <x v="1"/>
    <n v="1799.41910151922"/>
    <n v="109464.66200908599"/>
    <n v="394072.78323270997"/>
  </r>
  <r>
    <x v="0"/>
    <x v="0"/>
    <x v="0"/>
    <x v="10"/>
    <x v="18"/>
    <s v="UK_OFFSHORE"/>
    <x v="0"/>
    <x v="0"/>
    <s v="GWND_WIND"/>
    <x v="9"/>
    <x v="2"/>
    <n v="1831.4475968536999"/>
    <n v="111413.062141934"/>
    <n v="401087.02371096099"/>
  </r>
  <r>
    <x v="0"/>
    <x v="0"/>
    <x v="0"/>
    <x v="10"/>
    <x v="18"/>
    <s v="UK_OFFSHORE"/>
    <x v="0"/>
    <x v="0"/>
    <s v="GWND_WIND"/>
    <x v="9"/>
    <x v="3"/>
    <n v="1823.6831131362601"/>
    <n v="110940.722715789"/>
    <n v="399386.60177683999"/>
  </r>
  <r>
    <x v="0"/>
    <x v="0"/>
    <x v="0"/>
    <x v="10"/>
    <x v="18"/>
    <s v="UK_OFFSHORE"/>
    <x v="0"/>
    <x v="0"/>
    <s v="GWND_WIND"/>
    <x v="9"/>
    <x v="4"/>
    <n v="1711.09809923322"/>
    <n v="104091.801036687"/>
    <n v="374730.48373207398"/>
  </r>
  <r>
    <x v="0"/>
    <x v="0"/>
    <x v="0"/>
    <x v="10"/>
    <x v="18"/>
    <s v="UK_OFFSHORE"/>
    <x v="0"/>
    <x v="0"/>
    <s v="GWND_WIND"/>
    <x v="9"/>
    <x v="5"/>
    <n v="1601.42476672422"/>
    <n v="97420.006642390203"/>
    <n v="350712.02391260501"/>
  </r>
  <r>
    <x v="0"/>
    <x v="0"/>
    <x v="0"/>
    <x v="10"/>
    <x v="18"/>
    <s v="UK_OFFSHORE"/>
    <x v="0"/>
    <x v="0"/>
    <s v="GWND_WIND"/>
    <x v="9"/>
    <x v="6"/>
    <n v="1543.19113884334"/>
    <n v="93877.460946303094"/>
    <n v="337958.85940669099"/>
  </r>
  <r>
    <x v="0"/>
    <x v="0"/>
    <x v="0"/>
    <x v="10"/>
    <x v="18"/>
    <s v="UK_OFFSHORE"/>
    <x v="0"/>
    <x v="0"/>
    <s v="GWND_WIND"/>
    <x v="9"/>
    <x v="7"/>
    <n v="1579.10187603655"/>
    <n v="96062.030792223493"/>
    <n v="345823.31085200398"/>
  </r>
  <r>
    <x v="0"/>
    <x v="0"/>
    <x v="0"/>
    <x v="10"/>
    <x v="18"/>
    <s v="UK_OFFSHORE"/>
    <x v="0"/>
    <x v="0"/>
    <s v="GWND_WIND"/>
    <x v="9"/>
    <x v="8"/>
    <n v="1731.4798689915201"/>
    <n v="105331.692030317"/>
    <n v="379194.091309143"/>
  </r>
  <r>
    <x v="0"/>
    <x v="0"/>
    <x v="0"/>
    <x v="10"/>
    <x v="18"/>
    <s v="UK_OFFSHORE"/>
    <x v="0"/>
    <x v="0"/>
    <s v="GWND_WIND"/>
    <x v="9"/>
    <x v="9"/>
    <n v="1870.2700154409599"/>
    <n v="113774.759272658"/>
    <n v="409589.13338157098"/>
  </r>
  <r>
    <x v="0"/>
    <x v="0"/>
    <x v="0"/>
    <x v="10"/>
    <x v="18"/>
    <s v="UK_OFFSHORE"/>
    <x v="0"/>
    <x v="0"/>
    <s v="GWND_WIND"/>
    <x v="9"/>
    <x v="10"/>
    <n v="1927.53308285716"/>
    <n v="117258.26254047699"/>
    <n v="422129.74514571798"/>
  </r>
  <r>
    <x v="0"/>
    <x v="0"/>
    <x v="0"/>
    <x v="10"/>
    <x v="18"/>
    <s v="UK_OFFSHORE"/>
    <x v="0"/>
    <x v="0"/>
    <s v="GWND_WIND"/>
    <x v="9"/>
    <x v="11"/>
    <n v="1923.6508409984301"/>
    <n v="117022.09282740499"/>
    <n v="421279.534178656"/>
  </r>
  <r>
    <x v="0"/>
    <x v="0"/>
    <x v="0"/>
    <x v="10"/>
    <x v="18"/>
    <s v="UK_OFFSHORE"/>
    <x v="0"/>
    <x v="0"/>
    <s v="GWND_WIND"/>
    <x v="10"/>
    <x v="0"/>
    <n v="300.87374405121699"/>
    <n v="18303.152763115701"/>
    <n v="65891.3499472166"/>
  </r>
  <r>
    <x v="0"/>
    <x v="0"/>
    <x v="0"/>
    <x v="10"/>
    <x v="18"/>
    <s v="UK_OFFSHORE"/>
    <x v="0"/>
    <x v="0"/>
    <s v="GWND_WIND"/>
    <x v="10"/>
    <x v="1"/>
    <n v="377.54802076104397"/>
    <n v="22967.5045962968"/>
    <n v="82683.016546668601"/>
  </r>
  <r>
    <x v="0"/>
    <x v="0"/>
    <x v="0"/>
    <x v="10"/>
    <x v="18"/>
    <s v="UK_OFFSHORE"/>
    <x v="0"/>
    <x v="0"/>
    <s v="GWND_WIND"/>
    <x v="10"/>
    <x v="2"/>
    <n v="395.98866958999002"/>
    <n v="24089.310733391099"/>
    <n v="86721.518640207796"/>
  </r>
  <r>
    <x v="0"/>
    <x v="0"/>
    <x v="0"/>
    <x v="10"/>
    <x v="18"/>
    <s v="UK_OFFSHORE"/>
    <x v="0"/>
    <x v="0"/>
    <s v="GWND_WIND"/>
    <x v="10"/>
    <x v="3"/>
    <n v="335.81392077974601"/>
    <n v="20428.6801807679"/>
    <n v="73543.248650764406"/>
  </r>
  <r>
    <x v="0"/>
    <x v="0"/>
    <x v="0"/>
    <x v="10"/>
    <x v="18"/>
    <s v="UK_OFFSHORE"/>
    <x v="0"/>
    <x v="0"/>
    <s v="GWND_WIND"/>
    <x v="10"/>
    <x v="4"/>
    <n v="251.37516035246901"/>
    <n v="15291.9889214419"/>
    <n v="55051.160117190797"/>
  </r>
  <r>
    <x v="0"/>
    <x v="0"/>
    <x v="0"/>
    <x v="10"/>
    <x v="18"/>
    <s v="UK_OFFSHORE"/>
    <x v="0"/>
    <x v="0"/>
    <s v="GWND_WIND"/>
    <x v="10"/>
    <x v="5"/>
    <n v="190.229851077544"/>
    <n v="11572.315940550599"/>
    <n v="41660.337385982202"/>
  </r>
  <r>
    <x v="0"/>
    <x v="0"/>
    <x v="0"/>
    <x v="10"/>
    <x v="18"/>
    <s v="UK_OFFSHORE"/>
    <x v="0"/>
    <x v="0"/>
    <s v="GWND_WIND"/>
    <x v="10"/>
    <x v="6"/>
    <n v="201.87657665372001"/>
    <n v="12280.825079767999"/>
    <n v="44210.970287164702"/>
  </r>
  <r>
    <x v="0"/>
    <x v="0"/>
    <x v="0"/>
    <x v="10"/>
    <x v="18"/>
    <s v="UK_OFFSHORE"/>
    <x v="0"/>
    <x v="0"/>
    <s v="GWND_WIND"/>
    <x v="10"/>
    <x v="7"/>
    <n v="223.22890687671"/>
    <n v="13579.7585016665"/>
    <n v="48887.130605999497"/>
  </r>
  <r>
    <x v="0"/>
    <x v="0"/>
    <x v="0"/>
    <x v="10"/>
    <x v="18"/>
    <s v="UK_OFFSHORE"/>
    <x v="0"/>
    <x v="0"/>
    <s v="GWND_WIND"/>
    <x v="10"/>
    <x v="8"/>
    <n v="231.96395105884201"/>
    <n v="14111.140356079601"/>
    <n v="50800.105281886397"/>
  </r>
  <r>
    <x v="0"/>
    <x v="0"/>
    <x v="0"/>
    <x v="10"/>
    <x v="18"/>
    <s v="UK_OFFSHORE"/>
    <x v="0"/>
    <x v="0"/>
    <s v="GWND_WIND"/>
    <x v="10"/>
    <x v="9"/>
    <n v="238.757874311611"/>
    <n v="14524.4373539564"/>
    <n v="52287.974474242903"/>
  </r>
  <r>
    <x v="0"/>
    <x v="0"/>
    <x v="0"/>
    <x v="10"/>
    <x v="18"/>
    <s v="UK_OFFSHORE"/>
    <x v="0"/>
    <x v="0"/>
    <s v="GWND_WIND"/>
    <x v="10"/>
    <x v="10"/>
    <n v="253.316281281832"/>
    <n v="15410.073777978099"/>
    <n v="55476.265600721199"/>
  </r>
  <r>
    <x v="0"/>
    <x v="0"/>
    <x v="0"/>
    <x v="10"/>
    <x v="18"/>
    <s v="UK_OFFSHORE"/>
    <x v="0"/>
    <x v="0"/>
    <s v="GWND_WIND"/>
    <x v="10"/>
    <x v="11"/>
    <n v="239.728434776292"/>
    <n v="14583.4797822245"/>
    <n v="52500.527216007999"/>
  </r>
  <r>
    <x v="0"/>
    <x v="0"/>
    <x v="0"/>
    <x v="10"/>
    <x v="18"/>
    <s v="UK_OFFSHORE"/>
    <x v="0"/>
    <x v="0"/>
    <s v="GWND_WIND"/>
    <x v="11"/>
    <x v="0"/>
    <n v="437.72276957128798"/>
    <n v="26628.135148919999"/>
    <n v="95861.286536112093"/>
  </r>
  <r>
    <x v="0"/>
    <x v="0"/>
    <x v="0"/>
    <x v="10"/>
    <x v="18"/>
    <s v="UK_OFFSHORE"/>
    <x v="0"/>
    <x v="0"/>
    <s v="GWND_WIND"/>
    <x v="11"/>
    <x v="1"/>
    <n v="511.48536488706998"/>
    <n v="31115.359697296699"/>
    <n v="112015.294910268"/>
  </r>
  <r>
    <x v="0"/>
    <x v="0"/>
    <x v="0"/>
    <x v="10"/>
    <x v="18"/>
    <s v="UK_OFFSHORE"/>
    <x v="0"/>
    <x v="0"/>
    <s v="GWND_WIND"/>
    <x v="11"/>
    <x v="2"/>
    <n v="472.66294629981701"/>
    <n v="28753.662566572199"/>
    <n v="103513.18523966"/>
  </r>
  <r>
    <x v="0"/>
    <x v="0"/>
    <x v="0"/>
    <x v="10"/>
    <x v="18"/>
    <s v="UK_OFFSHORE"/>
    <x v="0"/>
    <x v="0"/>
    <s v="GWND_WIND"/>
    <x v="11"/>
    <x v="3"/>
    <n v="414.429318418935"/>
    <n v="25211.116870485199"/>
    <n v="90760.020733746802"/>
  </r>
  <r>
    <x v="0"/>
    <x v="0"/>
    <x v="0"/>
    <x v="10"/>
    <x v="18"/>
    <s v="UK_OFFSHORE"/>
    <x v="0"/>
    <x v="0"/>
    <s v="GWND_WIND"/>
    <x v="11"/>
    <x v="4"/>
    <n v="445.48725328873797"/>
    <n v="27100.474575064902"/>
    <n v="97561.708470233702"/>
  </r>
  <r>
    <x v="0"/>
    <x v="0"/>
    <x v="0"/>
    <x v="10"/>
    <x v="18"/>
    <s v="UK_OFFSHORE"/>
    <x v="0"/>
    <x v="0"/>
    <s v="GWND_WIND"/>
    <x v="11"/>
    <x v="5"/>
    <n v="492.074155593444"/>
    <n v="29934.511131934501"/>
    <n v="107764.24007496399"/>
  </r>
  <r>
    <x v="0"/>
    <x v="0"/>
    <x v="0"/>
    <x v="10"/>
    <x v="18"/>
    <s v="UK_OFFSHORE"/>
    <x v="0"/>
    <x v="0"/>
    <s v="GWND_WIND"/>
    <x v="11"/>
    <x v="6"/>
    <n v="530.89657418069703"/>
    <n v="32296.2082626591"/>
    <n v="116266.349745573"/>
  </r>
  <r>
    <x v="0"/>
    <x v="0"/>
    <x v="0"/>
    <x v="10"/>
    <x v="18"/>
    <s v="UK_OFFSHORE"/>
    <x v="0"/>
    <x v="0"/>
    <s v="GWND_WIND"/>
    <x v="11"/>
    <x v="7"/>
    <n v="621.15869739606205"/>
    <n v="37787.154091593802"/>
    <n v="136033.75472973799"/>
  </r>
  <r>
    <x v="0"/>
    <x v="0"/>
    <x v="0"/>
    <x v="10"/>
    <x v="18"/>
    <s v="UK_OFFSHORE"/>
    <x v="0"/>
    <x v="0"/>
    <s v="GWND_WIND"/>
    <x v="11"/>
    <x v="8"/>
    <n v="729.86146944037296"/>
    <n v="44399.906057622698"/>
    <n v="159839.661807442"/>
  </r>
  <r>
    <x v="0"/>
    <x v="0"/>
    <x v="0"/>
    <x v="10"/>
    <x v="18"/>
    <s v="UK_OFFSHORE"/>
    <x v="0"/>
    <x v="0"/>
    <s v="GWND_WIND"/>
    <x v="11"/>
    <x v="9"/>
    <n v="846.32872520213505"/>
    <n v="51484.997449796501"/>
    <n v="185345.99081926799"/>
  </r>
  <r>
    <x v="0"/>
    <x v="0"/>
    <x v="0"/>
    <x v="10"/>
    <x v="18"/>
    <s v="UK_OFFSHORE"/>
    <x v="0"/>
    <x v="0"/>
    <s v="GWND_WIND"/>
    <x v="11"/>
    <x v="10"/>
    <n v="1058.88146696735"/>
    <n v="64415.289240513797"/>
    <n v="231895.04126585001"/>
  </r>
  <r>
    <x v="0"/>
    <x v="0"/>
    <x v="0"/>
    <x v="10"/>
    <x v="18"/>
    <s v="UK_OFFSHORE"/>
    <x v="0"/>
    <x v="0"/>
    <s v="GWND_WIND"/>
    <x v="11"/>
    <x v="11"/>
    <n v="1278.22813198534"/>
    <n v="77758.878029108106"/>
    <n v="279931.96090478898"/>
  </r>
</pivotCacheRecords>
</file>

<file path=xl/pivotCache/pivotCacheRecords10.xml><?xml version="1.0" encoding="utf-8"?>
<pivotCacheRecords xmlns="http://schemas.openxmlformats.org/spreadsheetml/2006/main" xmlns:r="http://schemas.openxmlformats.org/officeDocument/2006/relationships" count="7776">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0"/>
  </r>
  <r>
    <x v="0"/>
    <x v="0"/>
    <x v="0"/>
    <x v="0"/>
    <x v="0"/>
    <x v="0"/>
    <x v="7"/>
    <n v="0"/>
  </r>
  <r>
    <x v="0"/>
    <x v="0"/>
    <x v="0"/>
    <x v="0"/>
    <x v="0"/>
    <x v="0"/>
    <x v="8"/>
    <n v="0"/>
  </r>
  <r>
    <x v="0"/>
    <x v="0"/>
    <x v="0"/>
    <x v="0"/>
    <x v="0"/>
    <x v="0"/>
    <x v="9"/>
    <n v="0"/>
  </r>
  <r>
    <x v="0"/>
    <x v="0"/>
    <x v="0"/>
    <x v="0"/>
    <x v="0"/>
    <x v="0"/>
    <x v="10"/>
    <n v="0"/>
  </r>
  <r>
    <x v="0"/>
    <x v="0"/>
    <x v="0"/>
    <x v="0"/>
    <x v="0"/>
    <x v="0"/>
    <x v="11"/>
    <n v="0"/>
  </r>
  <r>
    <x v="0"/>
    <x v="0"/>
    <x v="0"/>
    <x v="0"/>
    <x v="0"/>
    <x v="1"/>
    <x v="0"/>
    <n v="0"/>
  </r>
  <r>
    <x v="0"/>
    <x v="0"/>
    <x v="0"/>
    <x v="0"/>
    <x v="0"/>
    <x v="1"/>
    <x v="1"/>
    <n v="0"/>
  </r>
  <r>
    <x v="0"/>
    <x v="0"/>
    <x v="0"/>
    <x v="0"/>
    <x v="0"/>
    <x v="1"/>
    <x v="2"/>
    <n v="0"/>
  </r>
  <r>
    <x v="0"/>
    <x v="0"/>
    <x v="0"/>
    <x v="0"/>
    <x v="0"/>
    <x v="1"/>
    <x v="3"/>
    <n v="0"/>
  </r>
  <r>
    <x v="0"/>
    <x v="0"/>
    <x v="0"/>
    <x v="0"/>
    <x v="0"/>
    <x v="1"/>
    <x v="4"/>
    <n v="0"/>
  </r>
  <r>
    <x v="0"/>
    <x v="0"/>
    <x v="0"/>
    <x v="0"/>
    <x v="0"/>
    <x v="1"/>
    <x v="5"/>
    <n v="0"/>
  </r>
  <r>
    <x v="0"/>
    <x v="0"/>
    <x v="0"/>
    <x v="0"/>
    <x v="0"/>
    <x v="1"/>
    <x v="6"/>
    <n v="0"/>
  </r>
  <r>
    <x v="0"/>
    <x v="0"/>
    <x v="0"/>
    <x v="0"/>
    <x v="0"/>
    <x v="1"/>
    <x v="7"/>
    <n v="0"/>
  </r>
  <r>
    <x v="0"/>
    <x v="0"/>
    <x v="0"/>
    <x v="0"/>
    <x v="0"/>
    <x v="1"/>
    <x v="8"/>
    <n v="0"/>
  </r>
  <r>
    <x v="0"/>
    <x v="0"/>
    <x v="0"/>
    <x v="0"/>
    <x v="0"/>
    <x v="1"/>
    <x v="9"/>
    <n v="0"/>
  </r>
  <r>
    <x v="0"/>
    <x v="0"/>
    <x v="0"/>
    <x v="0"/>
    <x v="0"/>
    <x v="1"/>
    <x v="10"/>
    <n v="0"/>
  </r>
  <r>
    <x v="0"/>
    <x v="0"/>
    <x v="0"/>
    <x v="0"/>
    <x v="0"/>
    <x v="1"/>
    <x v="11"/>
    <n v="0"/>
  </r>
  <r>
    <x v="0"/>
    <x v="0"/>
    <x v="0"/>
    <x v="0"/>
    <x v="0"/>
    <x v="2"/>
    <x v="0"/>
    <n v="0"/>
  </r>
  <r>
    <x v="0"/>
    <x v="0"/>
    <x v="0"/>
    <x v="0"/>
    <x v="0"/>
    <x v="2"/>
    <x v="1"/>
    <n v="0"/>
  </r>
  <r>
    <x v="0"/>
    <x v="0"/>
    <x v="0"/>
    <x v="0"/>
    <x v="0"/>
    <x v="2"/>
    <x v="2"/>
    <n v="0"/>
  </r>
  <r>
    <x v="0"/>
    <x v="0"/>
    <x v="0"/>
    <x v="0"/>
    <x v="0"/>
    <x v="2"/>
    <x v="3"/>
    <n v="0"/>
  </r>
  <r>
    <x v="0"/>
    <x v="0"/>
    <x v="0"/>
    <x v="0"/>
    <x v="0"/>
    <x v="2"/>
    <x v="4"/>
    <n v="0"/>
  </r>
  <r>
    <x v="0"/>
    <x v="0"/>
    <x v="0"/>
    <x v="0"/>
    <x v="0"/>
    <x v="2"/>
    <x v="5"/>
    <n v="0"/>
  </r>
  <r>
    <x v="0"/>
    <x v="0"/>
    <x v="0"/>
    <x v="0"/>
    <x v="0"/>
    <x v="2"/>
    <x v="6"/>
    <n v="0"/>
  </r>
  <r>
    <x v="0"/>
    <x v="0"/>
    <x v="0"/>
    <x v="0"/>
    <x v="0"/>
    <x v="2"/>
    <x v="7"/>
    <n v="0"/>
  </r>
  <r>
    <x v="0"/>
    <x v="0"/>
    <x v="0"/>
    <x v="0"/>
    <x v="0"/>
    <x v="2"/>
    <x v="8"/>
    <n v="0"/>
  </r>
  <r>
    <x v="0"/>
    <x v="0"/>
    <x v="0"/>
    <x v="0"/>
    <x v="0"/>
    <x v="2"/>
    <x v="9"/>
    <n v="0"/>
  </r>
  <r>
    <x v="0"/>
    <x v="0"/>
    <x v="0"/>
    <x v="0"/>
    <x v="0"/>
    <x v="2"/>
    <x v="10"/>
    <n v="0"/>
  </r>
  <r>
    <x v="0"/>
    <x v="0"/>
    <x v="0"/>
    <x v="0"/>
    <x v="0"/>
    <x v="2"/>
    <x v="11"/>
    <n v="0"/>
  </r>
  <r>
    <x v="0"/>
    <x v="0"/>
    <x v="0"/>
    <x v="0"/>
    <x v="0"/>
    <x v="3"/>
    <x v="0"/>
    <n v="0"/>
  </r>
  <r>
    <x v="0"/>
    <x v="0"/>
    <x v="0"/>
    <x v="0"/>
    <x v="0"/>
    <x v="3"/>
    <x v="1"/>
    <n v="0"/>
  </r>
  <r>
    <x v="0"/>
    <x v="0"/>
    <x v="0"/>
    <x v="0"/>
    <x v="0"/>
    <x v="3"/>
    <x v="2"/>
    <n v="0"/>
  </r>
  <r>
    <x v="0"/>
    <x v="0"/>
    <x v="0"/>
    <x v="0"/>
    <x v="0"/>
    <x v="3"/>
    <x v="3"/>
    <n v="0"/>
  </r>
  <r>
    <x v="0"/>
    <x v="0"/>
    <x v="0"/>
    <x v="0"/>
    <x v="0"/>
    <x v="3"/>
    <x v="4"/>
    <n v="0"/>
  </r>
  <r>
    <x v="0"/>
    <x v="0"/>
    <x v="0"/>
    <x v="0"/>
    <x v="0"/>
    <x v="3"/>
    <x v="5"/>
    <n v="0"/>
  </r>
  <r>
    <x v="0"/>
    <x v="0"/>
    <x v="0"/>
    <x v="0"/>
    <x v="0"/>
    <x v="3"/>
    <x v="6"/>
    <n v="0"/>
  </r>
  <r>
    <x v="0"/>
    <x v="0"/>
    <x v="0"/>
    <x v="0"/>
    <x v="0"/>
    <x v="3"/>
    <x v="7"/>
    <n v="0"/>
  </r>
  <r>
    <x v="0"/>
    <x v="0"/>
    <x v="0"/>
    <x v="0"/>
    <x v="0"/>
    <x v="3"/>
    <x v="8"/>
    <n v="0"/>
  </r>
  <r>
    <x v="0"/>
    <x v="0"/>
    <x v="0"/>
    <x v="0"/>
    <x v="0"/>
    <x v="3"/>
    <x v="9"/>
    <n v="0"/>
  </r>
  <r>
    <x v="0"/>
    <x v="0"/>
    <x v="0"/>
    <x v="0"/>
    <x v="0"/>
    <x v="3"/>
    <x v="10"/>
    <n v="0"/>
  </r>
  <r>
    <x v="0"/>
    <x v="0"/>
    <x v="0"/>
    <x v="0"/>
    <x v="0"/>
    <x v="3"/>
    <x v="11"/>
    <n v="0"/>
  </r>
  <r>
    <x v="0"/>
    <x v="0"/>
    <x v="0"/>
    <x v="0"/>
    <x v="0"/>
    <x v="4"/>
    <x v="0"/>
    <n v="0"/>
  </r>
  <r>
    <x v="0"/>
    <x v="0"/>
    <x v="0"/>
    <x v="0"/>
    <x v="0"/>
    <x v="4"/>
    <x v="1"/>
    <n v="0"/>
  </r>
  <r>
    <x v="0"/>
    <x v="0"/>
    <x v="0"/>
    <x v="0"/>
    <x v="0"/>
    <x v="4"/>
    <x v="2"/>
    <n v="0"/>
  </r>
  <r>
    <x v="0"/>
    <x v="0"/>
    <x v="0"/>
    <x v="0"/>
    <x v="0"/>
    <x v="4"/>
    <x v="3"/>
    <n v="0"/>
  </r>
  <r>
    <x v="0"/>
    <x v="0"/>
    <x v="0"/>
    <x v="0"/>
    <x v="0"/>
    <x v="4"/>
    <x v="4"/>
    <n v="0"/>
  </r>
  <r>
    <x v="0"/>
    <x v="0"/>
    <x v="0"/>
    <x v="0"/>
    <x v="0"/>
    <x v="4"/>
    <x v="5"/>
    <n v="0"/>
  </r>
  <r>
    <x v="0"/>
    <x v="0"/>
    <x v="0"/>
    <x v="0"/>
    <x v="0"/>
    <x v="4"/>
    <x v="6"/>
    <n v="0"/>
  </r>
  <r>
    <x v="0"/>
    <x v="0"/>
    <x v="0"/>
    <x v="0"/>
    <x v="0"/>
    <x v="4"/>
    <x v="7"/>
    <n v="0"/>
  </r>
  <r>
    <x v="0"/>
    <x v="0"/>
    <x v="0"/>
    <x v="0"/>
    <x v="0"/>
    <x v="4"/>
    <x v="8"/>
    <n v="0"/>
  </r>
  <r>
    <x v="0"/>
    <x v="0"/>
    <x v="0"/>
    <x v="0"/>
    <x v="0"/>
    <x v="4"/>
    <x v="9"/>
    <n v="0"/>
  </r>
  <r>
    <x v="0"/>
    <x v="0"/>
    <x v="0"/>
    <x v="0"/>
    <x v="0"/>
    <x v="4"/>
    <x v="10"/>
    <n v="0"/>
  </r>
  <r>
    <x v="0"/>
    <x v="0"/>
    <x v="0"/>
    <x v="0"/>
    <x v="0"/>
    <x v="4"/>
    <x v="11"/>
    <n v="0"/>
  </r>
  <r>
    <x v="0"/>
    <x v="0"/>
    <x v="0"/>
    <x v="0"/>
    <x v="0"/>
    <x v="5"/>
    <x v="0"/>
    <n v="0"/>
  </r>
  <r>
    <x v="0"/>
    <x v="0"/>
    <x v="0"/>
    <x v="0"/>
    <x v="0"/>
    <x v="5"/>
    <x v="1"/>
    <n v="0"/>
  </r>
  <r>
    <x v="0"/>
    <x v="0"/>
    <x v="0"/>
    <x v="0"/>
    <x v="0"/>
    <x v="5"/>
    <x v="2"/>
    <n v="0"/>
  </r>
  <r>
    <x v="0"/>
    <x v="0"/>
    <x v="0"/>
    <x v="0"/>
    <x v="0"/>
    <x v="5"/>
    <x v="3"/>
    <n v="0"/>
  </r>
  <r>
    <x v="0"/>
    <x v="0"/>
    <x v="0"/>
    <x v="0"/>
    <x v="0"/>
    <x v="5"/>
    <x v="4"/>
    <n v="0"/>
  </r>
  <r>
    <x v="0"/>
    <x v="0"/>
    <x v="0"/>
    <x v="0"/>
    <x v="0"/>
    <x v="5"/>
    <x v="5"/>
    <n v="0"/>
  </r>
  <r>
    <x v="0"/>
    <x v="0"/>
    <x v="0"/>
    <x v="0"/>
    <x v="0"/>
    <x v="5"/>
    <x v="6"/>
    <n v="0"/>
  </r>
  <r>
    <x v="0"/>
    <x v="0"/>
    <x v="0"/>
    <x v="0"/>
    <x v="0"/>
    <x v="5"/>
    <x v="7"/>
    <n v="0"/>
  </r>
  <r>
    <x v="0"/>
    <x v="0"/>
    <x v="0"/>
    <x v="0"/>
    <x v="0"/>
    <x v="5"/>
    <x v="8"/>
    <n v="0"/>
  </r>
  <r>
    <x v="0"/>
    <x v="0"/>
    <x v="0"/>
    <x v="0"/>
    <x v="0"/>
    <x v="5"/>
    <x v="9"/>
    <n v="0"/>
  </r>
  <r>
    <x v="0"/>
    <x v="0"/>
    <x v="0"/>
    <x v="0"/>
    <x v="0"/>
    <x v="5"/>
    <x v="10"/>
    <n v="0"/>
  </r>
  <r>
    <x v="0"/>
    <x v="0"/>
    <x v="0"/>
    <x v="0"/>
    <x v="0"/>
    <x v="5"/>
    <x v="11"/>
    <n v="0"/>
  </r>
  <r>
    <x v="0"/>
    <x v="0"/>
    <x v="0"/>
    <x v="0"/>
    <x v="0"/>
    <x v="6"/>
    <x v="0"/>
    <n v="0"/>
  </r>
  <r>
    <x v="0"/>
    <x v="0"/>
    <x v="0"/>
    <x v="0"/>
    <x v="0"/>
    <x v="6"/>
    <x v="1"/>
    <n v="0"/>
  </r>
  <r>
    <x v="0"/>
    <x v="0"/>
    <x v="0"/>
    <x v="0"/>
    <x v="0"/>
    <x v="6"/>
    <x v="2"/>
    <n v="0"/>
  </r>
  <r>
    <x v="0"/>
    <x v="0"/>
    <x v="0"/>
    <x v="0"/>
    <x v="0"/>
    <x v="6"/>
    <x v="3"/>
    <n v="0"/>
  </r>
  <r>
    <x v="0"/>
    <x v="0"/>
    <x v="0"/>
    <x v="0"/>
    <x v="0"/>
    <x v="6"/>
    <x v="4"/>
    <n v="0"/>
  </r>
  <r>
    <x v="0"/>
    <x v="0"/>
    <x v="0"/>
    <x v="0"/>
    <x v="0"/>
    <x v="6"/>
    <x v="5"/>
    <n v="0"/>
  </r>
  <r>
    <x v="0"/>
    <x v="0"/>
    <x v="0"/>
    <x v="0"/>
    <x v="0"/>
    <x v="6"/>
    <x v="6"/>
    <n v="0"/>
  </r>
  <r>
    <x v="0"/>
    <x v="0"/>
    <x v="0"/>
    <x v="0"/>
    <x v="0"/>
    <x v="6"/>
    <x v="7"/>
    <n v="0"/>
  </r>
  <r>
    <x v="0"/>
    <x v="0"/>
    <x v="0"/>
    <x v="0"/>
    <x v="0"/>
    <x v="6"/>
    <x v="8"/>
    <n v="0"/>
  </r>
  <r>
    <x v="0"/>
    <x v="0"/>
    <x v="0"/>
    <x v="0"/>
    <x v="0"/>
    <x v="6"/>
    <x v="9"/>
    <n v="0"/>
  </r>
  <r>
    <x v="0"/>
    <x v="0"/>
    <x v="0"/>
    <x v="0"/>
    <x v="0"/>
    <x v="6"/>
    <x v="10"/>
    <n v="0"/>
  </r>
  <r>
    <x v="0"/>
    <x v="0"/>
    <x v="0"/>
    <x v="0"/>
    <x v="0"/>
    <x v="6"/>
    <x v="11"/>
    <n v="0"/>
  </r>
  <r>
    <x v="0"/>
    <x v="0"/>
    <x v="0"/>
    <x v="0"/>
    <x v="0"/>
    <x v="7"/>
    <x v="0"/>
    <n v="0"/>
  </r>
  <r>
    <x v="0"/>
    <x v="0"/>
    <x v="0"/>
    <x v="0"/>
    <x v="0"/>
    <x v="7"/>
    <x v="1"/>
    <n v="0"/>
  </r>
  <r>
    <x v="0"/>
    <x v="0"/>
    <x v="0"/>
    <x v="0"/>
    <x v="0"/>
    <x v="7"/>
    <x v="2"/>
    <n v="0"/>
  </r>
  <r>
    <x v="0"/>
    <x v="0"/>
    <x v="0"/>
    <x v="0"/>
    <x v="0"/>
    <x v="7"/>
    <x v="3"/>
    <n v="0"/>
  </r>
  <r>
    <x v="0"/>
    <x v="0"/>
    <x v="0"/>
    <x v="0"/>
    <x v="0"/>
    <x v="7"/>
    <x v="4"/>
    <n v="0"/>
  </r>
  <r>
    <x v="0"/>
    <x v="0"/>
    <x v="0"/>
    <x v="0"/>
    <x v="0"/>
    <x v="7"/>
    <x v="5"/>
    <n v="0"/>
  </r>
  <r>
    <x v="0"/>
    <x v="0"/>
    <x v="0"/>
    <x v="0"/>
    <x v="0"/>
    <x v="7"/>
    <x v="6"/>
    <n v="0"/>
  </r>
  <r>
    <x v="0"/>
    <x v="0"/>
    <x v="0"/>
    <x v="0"/>
    <x v="0"/>
    <x v="7"/>
    <x v="7"/>
    <n v="0"/>
  </r>
  <r>
    <x v="0"/>
    <x v="0"/>
    <x v="0"/>
    <x v="0"/>
    <x v="0"/>
    <x v="7"/>
    <x v="8"/>
    <n v="0"/>
  </r>
  <r>
    <x v="0"/>
    <x v="0"/>
    <x v="0"/>
    <x v="0"/>
    <x v="0"/>
    <x v="7"/>
    <x v="9"/>
    <n v="0"/>
  </r>
  <r>
    <x v="0"/>
    <x v="0"/>
    <x v="0"/>
    <x v="0"/>
    <x v="0"/>
    <x v="7"/>
    <x v="10"/>
    <n v="0"/>
  </r>
  <r>
    <x v="0"/>
    <x v="0"/>
    <x v="0"/>
    <x v="0"/>
    <x v="0"/>
    <x v="7"/>
    <x v="11"/>
    <n v="0"/>
  </r>
  <r>
    <x v="0"/>
    <x v="0"/>
    <x v="0"/>
    <x v="0"/>
    <x v="0"/>
    <x v="8"/>
    <x v="0"/>
    <n v="0"/>
  </r>
  <r>
    <x v="0"/>
    <x v="0"/>
    <x v="0"/>
    <x v="0"/>
    <x v="0"/>
    <x v="8"/>
    <x v="1"/>
    <n v="0"/>
  </r>
  <r>
    <x v="0"/>
    <x v="0"/>
    <x v="0"/>
    <x v="0"/>
    <x v="0"/>
    <x v="8"/>
    <x v="2"/>
    <n v="0"/>
  </r>
  <r>
    <x v="0"/>
    <x v="0"/>
    <x v="0"/>
    <x v="0"/>
    <x v="0"/>
    <x v="8"/>
    <x v="3"/>
    <n v="0"/>
  </r>
  <r>
    <x v="0"/>
    <x v="0"/>
    <x v="0"/>
    <x v="0"/>
    <x v="0"/>
    <x v="8"/>
    <x v="4"/>
    <n v="0"/>
  </r>
  <r>
    <x v="0"/>
    <x v="0"/>
    <x v="0"/>
    <x v="0"/>
    <x v="0"/>
    <x v="8"/>
    <x v="5"/>
    <n v="0"/>
  </r>
  <r>
    <x v="0"/>
    <x v="0"/>
    <x v="0"/>
    <x v="0"/>
    <x v="0"/>
    <x v="8"/>
    <x v="6"/>
    <n v="0"/>
  </r>
  <r>
    <x v="0"/>
    <x v="0"/>
    <x v="0"/>
    <x v="0"/>
    <x v="0"/>
    <x v="8"/>
    <x v="7"/>
    <n v="0"/>
  </r>
  <r>
    <x v="0"/>
    <x v="0"/>
    <x v="0"/>
    <x v="0"/>
    <x v="0"/>
    <x v="8"/>
    <x v="8"/>
    <n v="0"/>
  </r>
  <r>
    <x v="0"/>
    <x v="0"/>
    <x v="0"/>
    <x v="0"/>
    <x v="0"/>
    <x v="8"/>
    <x v="9"/>
    <n v="0"/>
  </r>
  <r>
    <x v="0"/>
    <x v="0"/>
    <x v="0"/>
    <x v="0"/>
    <x v="0"/>
    <x v="8"/>
    <x v="10"/>
    <n v="0"/>
  </r>
  <r>
    <x v="0"/>
    <x v="0"/>
    <x v="0"/>
    <x v="0"/>
    <x v="0"/>
    <x v="8"/>
    <x v="11"/>
    <n v="0"/>
  </r>
  <r>
    <x v="0"/>
    <x v="0"/>
    <x v="0"/>
    <x v="0"/>
    <x v="0"/>
    <x v="9"/>
    <x v="0"/>
    <n v="0"/>
  </r>
  <r>
    <x v="0"/>
    <x v="0"/>
    <x v="0"/>
    <x v="0"/>
    <x v="0"/>
    <x v="9"/>
    <x v="1"/>
    <n v="0"/>
  </r>
  <r>
    <x v="0"/>
    <x v="0"/>
    <x v="0"/>
    <x v="0"/>
    <x v="0"/>
    <x v="9"/>
    <x v="2"/>
    <n v="0"/>
  </r>
  <r>
    <x v="0"/>
    <x v="0"/>
    <x v="0"/>
    <x v="0"/>
    <x v="0"/>
    <x v="9"/>
    <x v="3"/>
    <n v="0"/>
  </r>
  <r>
    <x v="0"/>
    <x v="0"/>
    <x v="0"/>
    <x v="0"/>
    <x v="0"/>
    <x v="9"/>
    <x v="4"/>
    <n v="0"/>
  </r>
  <r>
    <x v="0"/>
    <x v="0"/>
    <x v="0"/>
    <x v="0"/>
    <x v="0"/>
    <x v="9"/>
    <x v="5"/>
    <n v="0"/>
  </r>
  <r>
    <x v="0"/>
    <x v="0"/>
    <x v="0"/>
    <x v="0"/>
    <x v="0"/>
    <x v="9"/>
    <x v="6"/>
    <n v="0"/>
  </r>
  <r>
    <x v="0"/>
    <x v="0"/>
    <x v="0"/>
    <x v="0"/>
    <x v="0"/>
    <x v="9"/>
    <x v="7"/>
    <n v="0"/>
  </r>
  <r>
    <x v="0"/>
    <x v="0"/>
    <x v="0"/>
    <x v="0"/>
    <x v="0"/>
    <x v="9"/>
    <x v="8"/>
    <n v="0"/>
  </r>
  <r>
    <x v="0"/>
    <x v="0"/>
    <x v="0"/>
    <x v="0"/>
    <x v="0"/>
    <x v="9"/>
    <x v="9"/>
    <n v="0"/>
  </r>
  <r>
    <x v="0"/>
    <x v="0"/>
    <x v="0"/>
    <x v="0"/>
    <x v="0"/>
    <x v="9"/>
    <x v="10"/>
    <n v="0"/>
  </r>
  <r>
    <x v="0"/>
    <x v="0"/>
    <x v="0"/>
    <x v="0"/>
    <x v="0"/>
    <x v="9"/>
    <x v="11"/>
    <n v="0"/>
  </r>
  <r>
    <x v="0"/>
    <x v="0"/>
    <x v="0"/>
    <x v="0"/>
    <x v="0"/>
    <x v="10"/>
    <x v="0"/>
    <n v="0"/>
  </r>
  <r>
    <x v="0"/>
    <x v="0"/>
    <x v="0"/>
    <x v="0"/>
    <x v="0"/>
    <x v="10"/>
    <x v="1"/>
    <n v="0"/>
  </r>
  <r>
    <x v="0"/>
    <x v="0"/>
    <x v="0"/>
    <x v="0"/>
    <x v="0"/>
    <x v="10"/>
    <x v="2"/>
    <n v="0"/>
  </r>
  <r>
    <x v="0"/>
    <x v="0"/>
    <x v="0"/>
    <x v="0"/>
    <x v="0"/>
    <x v="10"/>
    <x v="3"/>
    <n v="0"/>
  </r>
  <r>
    <x v="0"/>
    <x v="0"/>
    <x v="0"/>
    <x v="0"/>
    <x v="0"/>
    <x v="10"/>
    <x v="4"/>
    <n v="0"/>
  </r>
  <r>
    <x v="0"/>
    <x v="0"/>
    <x v="0"/>
    <x v="0"/>
    <x v="0"/>
    <x v="10"/>
    <x v="5"/>
    <n v="0"/>
  </r>
  <r>
    <x v="0"/>
    <x v="0"/>
    <x v="0"/>
    <x v="0"/>
    <x v="0"/>
    <x v="10"/>
    <x v="6"/>
    <n v="0"/>
  </r>
  <r>
    <x v="0"/>
    <x v="0"/>
    <x v="0"/>
    <x v="0"/>
    <x v="0"/>
    <x v="10"/>
    <x v="7"/>
    <n v="0"/>
  </r>
  <r>
    <x v="0"/>
    <x v="0"/>
    <x v="0"/>
    <x v="0"/>
    <x v="0"/>
    <x v="10"/>
    <x v="8"/>
    <n v="0"/>
  </r>
  <r>
    <x v="0"/>
    <x v="0"/>
    <x v="0"/>
    <x v="0"/>
    <x v="0"/>
    <x v="10"/>
    <x v="9"/>
    <n v="0"/>
  </r>
  <r>
    <x v="0"/>
    <x v="0"/>
    <x v="0"/>
    <x v="0"/>
    <x v="0"/>
    <x v="10"/>
    <x v="10"/>
    <n v="0"/>
  </r>
  <r>
    <x v="0"/>
    <x v="0"/>
    <x v="0"/>
    <x v="0"/>
    <x v="0"/>
    <x v="10"/>
    <x v="11"/>
    <n v="0"/>
  </r>
  <r>
    <x v="0"/>
    <x v="0"/>
    <x v="0"/>
    <x v="0"/>
    <x v="0"/>
    <x v="11"/>
    <x v="0"/>
    <n v="0"/>
  </r>
  <r>
    <x v="0"/>
    <x v="0"/>
    <x v="0"/>
    <x v="0"/>
    <x v="0"/>
    <x v="11"/>
    <x v="1"/>
    <n v="0"/>
  </r>
  <r>
    <x v="0"/>
    <x v="0"/>
    <x v="0"/>
    <x v="0"/>
    <x v="0"/>
    <x v="11"/>
    <x v="2"/>
    <n v="0"/>
  </r>
  <r>
    <x v="0"/>
    <x v="0"/>
    <x v="0"/>
    <x v="0"/>
    <x v="0"/>
    <x v="11"/>
    <x v="3"/>
    <n v="0"/>
  </r>
  <r>
    <x v="0"/>
    <x v="0"/>
    <x v="0"/>
    <x v="0"/>
    <x v="0"/>
    <x v="11"/>
    <x v="4"/>
    <n v="0"/>
  </r>
  <r>
    <x v="0"/>
    <x v="0"/>
    <x v="0"/>
    <x v="0"/>
    <x v="0"/>
    <x v="11"/>
    <x v="5"/>
    <n v="0"/>
  </r>
  <r>
    <x v="0"/>
    <x v="0"/>
    <x v="0"/>
    <x v="0"/>
    <x v="0"/>
    <x v="11"/>
    <x v="6"/>
    <n v="0"/>
  </r>
  <r>
    <x v="0"/>
    <x v="0"/>
    <x v="0"/>
    <x v="0"/>
    <x v="0"/>
    <x v="11"/>
    <x v="7"/>
    <n v="0"/>
  </r>
  <r>
    <x v="0"/>
    <x v="0"/>
    <x v="0"/>
    <x v="0"/>
    <x v="0"/>
    <x v="11"/>
    <x v="8"/>
    <n v="0"/>
  </r>
  <r>
    <x v="0"/>
    <x v="0"/>
    <x v="0"/>
    <x v="0"/>
    <x v="0"/>
    <x v="11"/>
    <x v="9"/>
    <n v="0"/>
  </r>
  <r>
    <x v="0"/>
    <x v="0"/>
    <x v="0"/>
    <x v="0"/>
    <x v="0"/>
    <x v="11"/>
    <x v="10"/>
    <n v="0"/>
  </r>
  <r>
    <x v="0"/>
    <x v="0"/>
    <x v="0"/>
    <x v="0"/>
    <x v="0"/>
    <x v="11"/>
    <x v="11"/>
    <n v="0"/>
  </r>
  <r>
    <x v="0"/>
    <x v="0"/>
    <x v="0"/>
    <x v="0"/>
    <x v="1"/>
    <x v="0"/>
    <x v="0"/>
    <n v="1.78"/>
  </r>
  <r>
    <x v="0"/>
    <x v="0"/>
    <x v="0"/>
    <x v="0"/>
    <x v="1"/>
    <x v="0"/>
    <x v="1"/>
    <n v="1.78"/>
  </r>
  <r>
    <x v="0"/>
    <x v="0"/>
    <x v="0"/>
    <x v="0"/>
    <x v="1"/>
    <x v="0"/>
    <x v="2"/>
    <n v="1.78"/>
  </r>
  <r>
    <x v="0"/>
    <x v="0"/>
    <x v="0"/>
    <x v="0"/>
    <x v="1"/>
    <x v="0"/>
    <x v="3"/>
    <n v="1.78"/>
  </r>
  <r>
    <x v="0"/>
    <x v="0"/>
    <x v="0"/>
    <x v="0"/>
    <x v="1"/>
    <x v="0"/>
    <x v="4"/>
    <n v="1.78"/>
  </r>
  <r>
    <x v="0"/>
    <x v="0"/>
    <x v="0"/>
    <x v="0"/>
    <x v="1"/>
    <x v="0"/>
    <x v="5"/>
    <n v="1.78"/>
  </r>
  <r>
    <x v="0"/>
    <x v="0"/>
    <x v="0"/>
    <x v="0"/>
    <x v="1"/>
    <x v="0"/>
    <x v="6"/>
    <n v="1.78"/>
  </r>
  <r>
    <x v="0"/>
    <x v="0"/>
    <x v="0"/>
    <x v="0"/>
    <x v="1"/>
    <x v="0"/>
    <x v="7"/>
    <n v="1.78"/>
  </r>
  <r>
    <x v="0"/>
    <x v="0"/>
    <x v="0"/>
    <x v="0"/>
    <x v="1"/>
    <x v="0"/>
    <x v="8"/>
    <n v="1.78"/>
  </r>
  <r>
    <x v="0"/>
    <x v="0"/>
    <x v="0"/>
    <x v="0"/>
    <x v="1"/>
    <x v="0"/>
    <x v="9"/>
    <n v="1.78"/>
  </r>
  <r>
    <x v="0"/>
    <x v="0"/>
    <x v="0"/>
    <x v="0"/>
    <x v="1"/>
    <x v="0"/>
    <x v="10"/>
    <n v="1.78"/>
  </r>
  <r>
    <x v="0"/>
    <x v="0"/>
    <x v="0"/>
    <x v="0"/>
    <x v="1"/>
    <x v="0"/>
    <x v="11"/>
    <n v="1.78"/>
  </r>
  <r>
    <x v="0"/>
    <x v="0"/>
    <x v="0"/>
    <x v="0"/>
    <x v="1"/>
    <x v="1"/>
    <x v="0"/>
    <n v="1.78"/>
  </r>
  <r>
    <x v="0"/>
    <x v="0"/>
    <x v="0"/>
    <x v="0"/>
    <x v="1"/>
    <x v="1"/>
    <x v="1"/>
    <n v="1.78"/>
  </r>
  <r>
    <x v="0"/>
    <x v="0"/>
    <x v="0"/>
    <x v="0"/>
    <x v="1"/>
    <x v="1"/>
    <x v="2"/>
    <n v="1.78"/>
  </r>
  <r>
    <x v="0"/>
    <x v="0"/>
    <x v="0"/>
    <x v="0"/>
    <x v="1"/>
    <x v="1"/>
    <x v="3"/>
    <n v="1.78"/>
  </r>
  <r>
    <x v="0"/>
    <x v="0"/>
    <x v="0"/>
    <x v="0"/>
    <x v="1"/>
    <x v="1"/>
    <x v="4"/>
    <n v="1.78"/>
  </r>
  <r>
    <x v="0"/>
    <x v="0"/>
    <x v="0"/>
    <x v="0"/>
    <x v="1"/>
    <x v="1"/>
    <x v="5"/>
    <n v="1.78"/>
  </r>
  <r>
    <x v="0"/>
    <x v="0"/>
    <x v="0"/>
    <x v="0"/>
    <x v="1"/>
    <x v="1"/>
    <x v="6"/>
    <n v="1.78"/>
  </r>
  <r>
    <x v="0"/>
    <x v="0"/>
    <x v="0"/>
    <x v="0"/>
    <x v="1"/>
    <x v="1"/>
    <x v="7"/>
    <n v="1.78"/>
  </r>
  <r>
    <x v="0"/>
    <x v="0"/>
    <x v="0"/>
    <x v="0"/>
    <x v="1"/>
    <x v="1"/>
    <x v="8"/>
    <n v="1.78"/>
  </r>
  <r>
    <x v="0"/>
    <x v="0"/>
    <x v="0"/>
    <x v="0"/>
    <x v="1"/>
    <x v="1"/>
    <x v="9"/>
    <n v="1.78"/>
  </r>
  <r>
    <x v="0"/>
    <x v="0"/>
    <x v="0"/>
    <x v="0"/>
    <x v="1"/>
    <x v="1"/>
    <x v="10"/>
    <n v="1.78"/>
  </r>
  <r>
    <x v="0"/>
    <x v="0"/>
    <x v="0"/>
    <x v="0"/>
    <x v="1"/>
    <x v="1"/>
    <x v="11"/>
    <n v="1.78"/>
  </r>
  <r>
    <x v="0"/>
    <x v="0"/>
    <x v="0"/>
    <x v="0"/>
    <x v="1"/>
    <x v="2"/>
    <x v="0"/>
    <n v="1.78"/>
  </r>
  <r>
    <x v="0"/>
    <x v="0"/>
    <x v="0"/>
    <x v="0"/>
    <x v="1"/>
    <x v="2"/>
    <x v="1"/>
    <n v="1.78"/>
  </r>
  <r>
    <x v="0"/>
    <x v="0"/>
    <x v="0"/>
    <x v="0"/>
    <x v="1"/>
    <x v="2"/>
    <x v="2"/>
    <n v="1.78"/>
  </r>
  <r>
    <x v="0"/>
    <x v="0"/>
    <x v="0"/>
    <x v="0"/>
    <x v="1"/>
    <x v="2"/>
    <x v="3"/>
    <n v="1.78"/>
  </r>
  <r>
    <x v="0"/>
    <x v="0"/>
    <x v="0"/>
    <x v="0"/>
    <x v="1"/>
    <x v="2"/>
    <x v="4"/>
    <n v="1.78"/>
  </r>
  <r>
    <x v="0"/>
    <x v="0"/>
    <x v="0"/>
    <x v="0"/>
    <x v="1"/>
    <x v="2"/>
    <x v="5"/>
    <n v="1.78"/>
  </r>
  <r>
    <x v="0"/>
    <x v="0"/>
    <x v="0"/>
    <x v="0"/>
    <x v="1"/>
    <x v="2"/>
    <x v="6"/>
    <n v="1.78"/>
  </r>
  <r>
    <x v="0"/>
    <x v="0"/>
    <x v="0"/>
    <x v="0"/>
    <x v="1"/>
    <x v="2"/>
    <x v="7"/>
    <n v="1.78"/>
  </r>
  <r>
    <x v="0"/>
    <x v="0"/>
    <x v="0"/>
    <x v="0"/>
    <x v="1"/>
    <x v="2"/>
    <x v="8"/>
    <n v="1.78"/>
  </r>
  <r>
    <x v="0"/>
    <x v="0"/>
    <x v="0"/>
    <x v="0"/>
    <x v="1"/>
    <x v="2"/>
    <x v="9"/>
    <n v="1.78"/>
  </r>
  <r>
    <x v="0"/>
    <x v="0"/>
    <x v="0"/>
    <x v="0"/>
    <x v="1"/>
    <x v="2"/>
    <x v="10"/>
    <n v="1.78"/>
  </r>
  <r>
    <x v="0"/>
    <x v="0"/>
    <x v="0"/>
    <x v="0"/>
    <x v="1"/>
    <x v="2"/>
    <x v="11"/>
    <n v="1.78"/>
  </r>
  <r>
    <x v="0"/>
    <x v="0"/>
    <x v="0"/>
    <x v="0"/>
    <x v="1"/>
    <x v="3"/>
    <x v="0"/>
    <n v="1.78"/>
  </r>
  <r>
    <x v="0"/>
    <x v="0"/>
    <x v="0"/>
    <x v="0"/>
    <x v="1"/>
    <x v="3"/>
    <x v="1"/>
    <n v="1.78"/>
  </r>
  <r>
    <x v="0"/>
    <x v="0"/>
    <x v="0"/>
    <x v="0"/>
    <x v="1"/>
    <x v="3"/>
    <x v="2"/>
    <n v="1.78"/>
  </r>
  <r>
    <x v="0"/>
    <x v="0"/>
    <x v="0"/>
    <x v="0"/>
    <x v="1"/>
    <x v="3"/>
    <x v="3"/>
    <n v="1.78"/>
  </r>
  <r>
    <x v="0"/>
    <x v="0"/>
    <x v="0"/>
    <x v="0"/>
    <x v="1"/>
    <x v="3"/>
    <x v="4"/>
    <n v="1.78"/>
  </r>
  <r>
    <x v="0"/>
    <x v="0"/>
    <x v="0"/>
    <x v="0"/>
    <x v="1"/>
    <x v="3"/>
    <x v="5"/>
    <n v="1.78"/>
  </r>
  <r>
    <x v="0"/>
    <x v="0"/>
    <x v="0"/>
    <x v="0"/>
    <x v="1"/>
    <x v="3"/>
    <x v="6"/>
    <n v="1.78"/>
  </r>
  <r>
    <x v="0"/>
    <x v="0"/>
    <x v="0"/>
    <x v="0"/>
    <x v="1"/>
    <x v="3"/>
    <x v="7"/>
    <n v="1.78"/>
  </r>
  <r>
    <x v="0"/>
    <x v="0"/>
    <x v="0"/>
    <x v="0"/>
    <x v="1"/>
    <x v="3"/>
    <x v="8"/>
    <n v="1.78"/>
  </r>
  <r>
    <x v="0"/>
    <x v="0"/>
    <x v="0"/>
    <x v="0"/>
    <x v="1"/>
    <x v="3"/>
    <x v="9"/>
    <n v="1.78"/>
  </r>
  <r>
    <x v="0"/>
    <x v="0"/>
    <x v="0"/>
    <x v="0"/>
    <x v="1"/>
    <x v="3"/>
    <x v="10"/>
    <n v="1.78"/>
  </r>
  <r>
    <x v="0"/>
    <x v="0"/>
    <x v="0"/>
    <x v="0"/>
    <x v="1"/>
    <x v="3"/>
    <x v="11"/>
    <n v="1.78"/>
  </r>
  <r>
    <x v="0"/>
    <x v="0"/>
    <x v="0"/>
    <x v="0"/>
    <x v="1"/>
    <x v="4"/>
    <x v="0"/>
    <n v="1.78"/>
  </r>
  <r>
    <x v="0"/>
    <x v="0"/>
    <x v="0"/>
    <x v="0"/>
    <x v="1"/>
    <x v="4"/>
    <x v="1"/>
    <n v="1.78"/>
  </r>
  <r>
    <x v="0"/>
    <x v="0"/>
    <x v="0"/>
    <x v="0"/>
    <x v="1"/>
    <x v="4"/>
    <x v="2"/>
    <n v="1.78"/>
  </r>
  <r>
    <x v="0"/>
    <x v="0"/>
    <x v="0"/>
    <x v="0"/>
    <x v="1"/>
    <x v="4"/>
    <x v="3"/>
    <n v="1.78"/>
  </r>
  <r>
    <x v="0"/>
    <x v="0"/>
    <x v="0"/>
    <x v="0"/>
    <x v="1"/>
    <x v="4"/>
    <x v="4"/>
    <n v="1.78"/>
  </r>
  <r>
    <x v="0"/>
    <x v="0"/>
    <x v="0"/>
    <x v="0"/>
    <x v="1"/>
    <x v="4"/>
    <x v="5"/>
    <n v="1.78"/>
  </r>
  <r>
    <x v="0"/>
    <x v="0"/>
    <x v="0"/>
    <x v="0"/>
    <x v="1"/>
    <x v="4"/>
    <x v="6"/>
    <n v="1.78"/>
  </r>
  <r>
    <x v="0"/>
    <x v="0"/>
    <x v="0"/>
    <x v="0"/>
    <x v="1"/>
    <x v="4"/>
    <x v="7"/>
    <n v="1.78"/>
  </r>
  <r>
    <x v="0"/>
    <x v="0"/>
    <x v="0"/>
    <x v="0"/>
    <x v="1"/>
    <x v="4"/>
    <x v="8"/>
    <n v="1.78"/>
  </r>
  <r>
    <x v="0"/>
    <x v="0"/>
    <x v="0"/>
    <x v="0"/>
    <x v="1"/>
    <x v="4"/>
    <x v="9"/>
    <n v="1.78"/>
  </r>
  <r>
    <x v="0"/>
    <x v="0"/>
    <x v="0"/>
    <x v="0"/>
    <x v="1"/>
    <x v="4"/>
    <x v="10"/>
    <n v="1.78"/>
  </r>
  <r>
    <x v="0"/>
    <x v="0"/>
    <x v="0"/>
    <x v="0"/>
    <x v="1"/>
    <x v="4"/>
    <x v="11"/>
    <n v="1.78"/>
  </r>
  <r>
    <x v="0"/>
    <x v="0"/>
    <x v="0"/>
    <x v="0"/>
    <x v="1"/>
    <x v="5"/>
    <x v="0"/>
    <n v="1.78"/>
  </r>
  <r>
    <x v="0"/>
    <x v="0"/>
    <x v="0"/>
    <x v="0"/>
    <x v="1"/>
    <x v="5"/>
    <x v="1"/>
    <n v="1.78"/>
  </r>
  <r>
    <x v="0"/>
    <x v="0"/>
    <x v="0"/>
    <x v="0"/>
    <x v="1"/>
    <x v="5"/>
    <x v="2"/>
    <n v="1.78"/>
  </r>
  <r>
    <x v="0"/>
    <x v="0"/>
    <x v="0"/>
    <x v="0"/>
    <x v="1"/>
    <x v="5"/>
    <x v="3"/>
    <n v="1.78"/>
  </r>
  <r>
    <x v="0"/>
    <x v="0"/>
    <x v="0"/>
    <x v="0"/>
    <x v="1"/>
    <x v="5"/>
    <x v="4"/>
    <n v="1.78"/>
  </r>
  <r>
    <x v="0"/>
    <x v="0"/>
    <x v="0"/>
    <x v="0"/>
    <x v="1"/>
    <x v="5"/>
    <x v="5"/>
    <n v="1.78"/>
  </r>
  <r>
    <x v="0"/>
    <x v="0"/>
    <x v="0"/>
    <x v="0"/>
    <x v="1"/>
    <x v="5"/>
    <x v="6"/>
    <n v="1.78"/>
  </r>
  <r>
    <x v="0"/>
    <x v="0"/>
    <x v="0"/>
    <x v="0"/>
    <x v="1"/>
    <x v="5"/>
    <x v="7"/>
    <n v="1.78"/>
  </r>
  <r>
    <x v="0"/>
    <x v="0"/>
    <x v="0"/>
    <x v="0"/>
    <x v="1"/>
    <x v="5"/>
    <x v="8"/>
    <n v="1.78"/>
  </r>
  <r>
    <x v="0"/>
    <x v="0"/>
    <x v="0"/>
    <x v="0"/>
    <x v="1"/>
    <x v="5"/>
    <x v="9"/>
    <n v="1.78"/>
  </r>
  <r>
    <x v="0"/>
    <x v="0"/>
    <x v="0"/>
    <x v="0"/>
    <x v="1"/>
    <x v="5"/>
    <x v="10"/>
    <n v="1.78"/>
  </r>
  <r>
    <x v="0"/>
    <x v="0"/>
    <x v="0"/>
    <x v="0"/>
    <x v="1"/>
    <x v="5"/>
    <x v="11"/>
    <n v="1.78"/>
  </r>
  <r>
    <x v="0"/>
    <x v="0"/>
    <x v="0"/>
    <x v="0"/>
    <x v="1"/>
    <x v="6"/>
    <x v="0"/>
    <n v="1.78"/>
  </r>
  <r>
    <x v="0"/>
    <x v="0"/>
    <x v="0"/>
    <x v="0"/>
    <x v="1"/>
    <x v="6"/>
    <x v="1"/>
    <n v="1.78"/>
  </r>
  <r>
    <x v="0"/>
    <x v="0"/>
    <x v="0"/>
    <x v="0"/>
    <x v="1"/>
    <x v="6"/>
    <x v="2"/>
    <n v="1.78"/>
  </r>
  <r>
    <x v="0"/>
    <x v="0"/>
    <x v="0"/>
    <x v="0"/>
    <x v="1"/>
    <x v="6"/>
    <x v="3"/>
    <n v="1.78"/>
  </r>
  <r>
    <x v="0"/>
    <x v="0"/>
    <x v="0"/>
    <x v="0"/>
    <x v="1"/>
    <x v="6"/>
    <x v="4"/>
    <n v="1.78"/>
  </r>
  <r>
    <x v="0"/>
    <x v="0"/>
    <x v="0"/>
    <x v="0"/>
    <x v="1"/>
    <x v="6"/>
    <x v="5"/>
    <n v="1.78"/>
  </r>
  <r>
    <x v="0"/>
    <x v="0"/>
    <x v="0"/>
    <x v="0"/>
    <x v="1"/>
    <x v="6"/>
    <x v="6"/>
    <n v="1.78"/>
  </r>
  <r>
    <x v="0"/>
    <x v="0"/>
    <x v="0"/>
    <x v="0"/>
    <x v="1"/>
    <x v="6"/>
    <x v="7"/>
    <n v="1.78"/>
  </r>
  <r>
    <x v="0"/>
    <x v="0"/>
    <x v="0"/>
    <x v="0"/>
    <x v="1"/>
    <x v="6"/>
    <x v="8"/>
    <n v="1.78"/>
  </r>
  <r>
    <x v="0"/>
    <x v="0"/>
    <x v="0"/>
    <x v="0"/>
    <x v="1"/>
    <x v="6"/>
    <x v="9"/>
    <n v="1.78"/>
  </r>
  <r>
    <x v="0"/>
    <x v="0"/>
    <x v="0"/>
    <x v="0"/>
    <x v="1"/>
    <x v="6"/>
    <x v="10"/>
    <n v="1.78"/>
  </r>
  <r>
    <x v="0"/>
    <x v="0"/>
    <x v="0"/>
    <x v="0"/>
    <x v="1"/>
    <x v="6"/>
    <x v="11"/>
    <n v="1.78"/>
  </r>
  <r>
    <x v="0"/>
    <x v="0"/>
    <x v="0"/>
    <x v="0"/>
    <x v="1"/>
    <x v="7"/>
    <x v="0"/>
    <n v="1.78"/>
  </r>
  <r>
    <x v="0"/>
    <x v="0"/>
    <x v="0"/>
    <x v="0"/>
    <x v="1"/>
    <x v="7"/>
    <x v="1"/>
    <n v="1.78"/>
  </r>
  <r>
    <x v="0"/>
    <x v="0"/>
    <x v="0"/>
    <x v="0"/>
    <x v="1"/>
    <x v="7"/>
    <x v="2"/>
    <n v="1.78"/>
  </r>
  <r>
    <x v="0"/>
    <x v="0"/>
    <x v="0"/>
    <x v="0"/>
    <x v="1"/>
    <x v="7"/>
    <x v="3"/>
    <n v="1.78"/>
  </r>
  <r>
    <x v="0"/>
    <x v="0"/>
    <x v="0"/>
    <x v="0"/>
    <x v="1"/>
    <x v="7"/>
    <x v="4"/>
    <n v="1.78"/>
  </r>
  <r>
    <x v="0"/>
    <x v="0"/>
    <x v="0"/>
    <x v="0"/>
    <x v="1"/>
    <x v="7"/>
    <x v="5"/>
    <n v="1.78"/>
  </r>
  <r>
    <x v="0"/>
    <x v="0"/>
    <x v="0"/>
    <x v="0"/>
    <x v="1"/>
    <x v="7"/>
    <x v="6"/>
    <n v="1.78"/>
  </r>
  <r>
    <x v="0"/>
    <x v="0"/>
    <x v="0"/>
    <x v="0"/>
    <x v="1"/>
    <x v="7"/>
    <x v="7"/>
    <n v="1.78"/>
  </r>
  <r>
    <x v="0"/>
    <x v="0"/>
    <x v="0"/>
    <x v="0"/>
    <x v="1"/>
    <x v="7"/>
    <x v="8"/>
    <n v="1.78"/>
  </r>
  <r>
    <x v="0"/>
    <x v="0"/>
    <x v="0"/>
    <x v="0"/>
    <x v="1"/>
    <x v="7"/>
    <x v="9"/>
    <n v="1.78"/>
  </r>
  <r>
    <x v="0"/>
    <x v="0"/>
    <x v="0"/>
    <x v="0"/>
    <x v="1"/>
    <x v="7"/>
    <x v="10"/>
    <n v="1.78"/>
  </r>
  <r>
    <x v="0"/>
    <x v="0"/>
    <x v="0"/>
    <x v="0"/>
    <x v="1"/>
    <x v="7"/>
    <x v="11"/>
    <n v="1.78"/>
  </r>
  <r>
    <x v="0"/>
    <x v="0"/>
    <x v="0"/>
    <x v="0"/>
    <x v="1"/>
    <x v="8"/>
    <x v="0"/>
    <n v="1.78"/>
  </r>
  <r>
    <x v="0"/>
    <x v="0"/>
    <x v="0"/>
    <x v="0"/>
    <x v="1"/>
    <x v="8"/>
    <x v="1"/>
    <n v="1.78"/>
  </r>
  <r>
    <x v="0"/>
    <x v="0"/>
    <x v="0"/>
    <x v="0"/>
    <x v="1"/>
    <x v="8"/>
    <x v="2"/>
    <n v="1.78"/>
  </r>
  <r>
    <x v="0"/>
    <x v="0"/>
    <x v="0"/>
    <x v="0"/>
    <x v="1"/>
    <x v="8"/>
    <x v="3"/>
    <n v="1.78"/>
  </r>
  <r>
    <x v="0"/>
    <x v="0"/>
    <x v="0"/>
    <x v="0"/>
    <x v="1"/>
    <x v="8"/>
    <x v="4"/>
    <n v="1.78"/>
  </r>
  <r>
    <x v="0"/>
    <x v="0"/>
    <x v="0"/>
    <x v="0"/>
    <x v="1"/>
    <x v="8"/>
    <x v="5"/>
    <n v="1.78"/>
  </r>
  <r>
    <x v="0"/>
    <x v="0"/>
    <x v="0"/>
    <x v="0"/>
    <x v="1"/>
    <x v="8"/>
    <x v="6"/>
    <n v="1.78"/>
  </r>
  <r>
    <x v="0"/>
    <x v="0"/>
    <x v="0"/>
    <x v="0"/>
    <x v="1"/>
    <x v="8"/>
    <x v="7"/>
    <n v="1.78"/>
  </r>
  <r>
    <x v="0"/>
    <x v="0"/>
    <x v="0"/>
    <x v="0"/>
    <x v="1"/>
    <x v="8"/>
    <x v="8"/>
    <n v="1.78"/>
  </r>
  <r>
    <x v="0"/>
    <x v="0"/>
    <x v="0"/>
    <x v="0"/>
    <x v="1"/>
    <x v="8"/>
    <x v="9"/>
    <n v="1.78"/>
  </r>
  <r>
    <x v="0"/>
    <x v="0"/>
    <x v="0"/>
    <x v="0"/>
    <x v="1"/>
    <x v="8"/>
    <x v="10"/>
    <n v="1.78"/>
  </r>
  <r>
    <x v="0"/>
    <x v="0"/>
    <x v="0"/>
    <x v="0"/>
    <x v="1"/>
    <x v="8"/>
    <x v="11"/>
    <n v="1.78"/>
  </r>
  <r>
    <x v="0"/>
    <x v="0"/>
    <x v="0"/>
    <x v="0"/>
    <x v="1"/>
    <x v="9"/>
    <x v="0"/>
    <n v="1.78"/>
  </r>
  <r>
    <x v="0"/>
    <x v="0"/>
    <x v="0"/>
    <x v="0"/>
    <x v="1"/>
    <x v="9"/>
    <x v="1"/>
    <n v="1.78"/>
  </r>
  <r>
    <x v="0"/>
    <x v="0"/>
    <x v="0"/>
    <x v="0"/>
    <x v="1"/>
    <x v="9"/>
    <x v="2"/>
    <n v="1.78"/>
  </r>
  <r>
    <x v="0"/>
    <x v="0"/>
    <x v="0"/>
    <x v="0"/>
    <x v="1"/>
    <x v="9"/>
    <x v="3"/>
    <n v="1.78"/>
  </r>
  <r>
    <x v="0"/>
    <x v="0"/>
    <x v="0"/>
    <x v="0"/>
    <x v="1"/>
    <x v="9"/>
    <x v="4"/>
    <n v="1.78"/>
  </r>
  <r>
    <x v="0"/>
    <x v="0"/>
    <x v="0"/>
    <x v="0"/>
    <x v="1"/>
    <x v="9"/>
    <x v="5"/>
    <n v="1.78"/>
  </r>
  <r>
    <x v="0"/>
    <x v="0"/>
    <x v="0"/>
    <x v="0"/>
    <x v="1"/>
    <x v="9"/>
    <x v="6"/>
    <n v="1.78"/>
  </r>
  <r>
    <x v="0"/>
    <x v="0"/>
    <x v="0"/>
    <x v="0"/>
    <x v="1"/>
    <x v="9"/>
    <x v="7"/>
    <n v="1.78"/>
  </r>
  <r>
    <x v="0"/>
    <x v="0"/>
    <x v="0"/>
    <x v="0"/>
    <x v="1"/>
    <x v="9"/>
    <x v="8"/>
    <n v="1.78"/>
  </r>
  <r>
    <x v="0"/>
    <x v="0"/>
    <x v="0"/>
    <x v="0"/>
    <x v="1"/>
    <x v="9"/>
    <x v="9"/>
    <n v="1.78"/>
  </r>
  <r>
    <x v="0"/>
    <x v="0"/>
    <x v="0"/>
    <x v="0"/>
    <x v="1"/>
    <x v="9"/>
    <x v="10"/>
    <n v="1.78"/>
  </r>
  <r>
    <x v="0"/>
    <x v="0"/>
    <x v="0"/>
    <x v="0"/>
    <x v="1"/>
    <x v="9"/>
    <x v="11"/>
    <n v="1.78"/>
  </r>
  <r>
    <x v="0"/>
    <x v="0"/>
    <x v="0"/>
    <x v="0"/>
    <x v="1"/>
    <x v="10"/>
    <x v="0"/>
    <n v="1.78"/>
  </r>
  <r>
    <x v="0"/>
    <x v="0"/>
    <x v="0"/>
    <x v="0"/>
    <x v="1"/>
    <x v="10"/>
    <x v="1"/>
    <n v="1.78"/>
  </r>
  <r>
    <x v="0"/>
    <x v="0"/>
    <x v="0"/>
    <x v="0"/>
    <x v="1"/>
    <x v="10"/>
    <x v="2"/>
    <n v="1.78"/>
  </r>
  <r>
    <x v="0"/>
    <x v="0"/>
    <x v="0"/>
    <x v="0"/>
    <x v="1"/>
    <x v="10"/>
    <x v="3"/>
    <n v="1.78"/>
  </r>
  <r>
    <x v="0"/>
    <x v="0"/>
    <x v="0"/>
    <x v="0"/>
    <x v="1"/>
    <x v="10"/>
    <x v="4"/>
    <n v="1.78"/>
  </r>
  <r>
    <x v="0"/>
    <x v="0"/>
    <x v="0"/>
    <x v="0"/>
    <x v="1"/>
    <x v="10"/>
    <x v="5"/>
    <n v="1.78"/>
  </r>
  <r>
    <x v="0"/>
    <x v="0"/>
    <x v="0"/>
    <x v="0"/>
    <x v="1"/>
    <x v="10"/>
    <x v="6"/>
    <n v="1.78"/>
  </r>
  <r>
    <x v="0"/>
    <x v="0"/>
    <x v="0"/>
    <x v="0"/>
    <x v="1"/>
    <x v="10"/>
    <x v="7"/>
    <n v="1.78"/>
  </r>
  <r>
    <x v="0"/>
    <x v="0"/>
    <x v="0"/>
    <x v="0"/>
    <x v="1"/>
    <x v="10"/>
    <x v="8"/>
    <n v="1.78"/>
  </r>
  <r>
    <x v="0"/>
    <x v="0"/>
    <x v="0"/>
    <x v="0"/>
    <x v="1"/>
    <x v="10"/>
    <x v="9"/>
    <n v="1.78"/>
  </r>
  <r>
    <x v="0"/>
    <x v="0"/>
    <x v="0"/>
    <x v="0"/>
    <x v="1"/>
    <x v="10"/>
    <x v="10"/>
    <n v="1.78"/>
  </r>
  <r>
    <x v="0"/>
    <x v="0"/>
    <x v="0"/>
    <x v="0"/>
    <x v="1"/>
    <x v="10"/>
    <x v="11"/>
    <n v="1.78"/>
  </r>
  <r>
    <x v="0"/>
    <x v="0"/>
    <x v="0"/>
    <x v="0"/>
    <x v="1"/>
    <x v="11"/>
    <x v="0"/>
    <n v="1.78"/>
  </r>
  <r>
    <x v="0"/>
    <x v="0"/>
    <x v="0"/>
    <x v="0"/>
    <x v="1"/>
    <x v="11"/>
    <x v="1"/>
    <n v="1.78"/>
  </r>
  <r>
    <x v="0"/>
    <x v="0"/>
    <x v="0"/>
    <x v="0"/>
    <x v="1"/>
    <x v="11"/>
    <x v="2"/>
    <n v="1.78"/>
  </r>
  <r>
    <x v="0"/>
    <x v="0"/>
    <x v="0"/>
    <x v="0"/>
    <x v="1"/>
    <x v="11"/>
    <x v="3"/>
    <n v="1.78"/>
  </r>
  <r>
    <x v="0"/>
    <x v="0"/>
    <x v="0"/>
    <x v="0"/>
    <x v="1"/>
    <x v="11"/>
    <x v="4"/>
    <n v="1.78"/>
  </r>
  <r>
    <x v="0"/>
    <x v="0"/>
    <x v="0"/>
    <x v="0"/>
    <x v="1"/>
    <x v="11"/>
    <x v="5"/>
    <n v="1.78"/>
  </r>
  <r>
    <x v="0"/>
    <x v="0"/>
    <x v="0"/>
    <x v="0"/>
    <x v="1"/>
    <x v="11"/>
    <x v="6"/>
    <n v="1.78"/>
  </r>
  <r>
    <x v="0"/>
    <x v="0"/>
    <x v="0"/>
    <x v="0"/>
    <x v="1"/>
    <x v="11"/>
    <x v="7"/>
    <n v="1.78"/>
  </r>
  <r>
    <x v="0"/>
    <x v="0"/>
    <x v="0"/>
    <x v="0"/>
    <x v="1"/>
    <x v="11"/>
    <x v="8"/>
    <n v="1.78"/>
  </r>
  <r>
    <x v="0"/>
    <x v="0"/>
    <x v="0"/>
    <x v="0"/>
    <x v="1"/>
    <x v="11"/>
    <x v="9"/>
    <n v="1.78"/>
  </r>
  <r>
    <x v="0"/>
    <x v="0"/>
    <x v="0"/>
    <x v="0"/>
    <x v="1"/>
    <x v="11"/>
    <x v="10"/>
    <n v="1.78"/>
  </r>
  <r>
    <x v="0"/>
    <x v="0"/>
    <x v="0"/>
    <x v="0"/>
    <x v="1"/>
    <x v="11"/>
    <x v="11"/>
    <n v="1.78"/>
  </r>
  <r>
    <x v="0"/>
    <x v="0"/>
    <x v="0"/>
    <x v="0"/>
    <x v="2"/>
    <x v="0"/>
    <x v="0"/>
    <n v="0"/>
  </r>
  <r>
    <x v="0"/>
    <x v="0"/>
    <x v="0"/>
    <x v="0"/>
    <x v="2"/>
    <x v="0"/>
    <x v="1"/>
    <n v="0"/>
  </r>
  <r>
    <x v="0"/>
    <x v="0"/>
    <x v="0"/>
    <x v="0"/>
    <x v="2"/>
    <x v="0"/>
    <x v="2"/>
    <n v="0"/>
  </r>
  <r>
    <x v="0"/>
    <x v="0"/>
    <x v="0"/>
    <x v="0"/>
    <x v="2"/>
    <x v="0"/>
    <x v="3"/>
    <n v="0"/>
  </r>
  <r>
    <x v="0"/>
    <x v="0"/>
    <x v="0"/>
    <x v="0"/>
    <x v="2"/>
    <x v="0"/>
    <x v="4"/>
    <n v="0"/>
  </r>
  <r>
    <x v="0"/>
    <x v="0"/>
    <x v="0"/>
    <x v="0"/>
    <x v="2"/>
    <x v="0"/>
    <x v="5"/>
    <n v="0"/>
  </r>
  <r>
    <x v="0"/>
    <x v="0"/>
    <x v="0"/>
    <x v="0"/>
    <x v="2"/>
    <x v="0"/>
    <x v="6"/>
    <n v="0"/>
  </r>
  <r>
    <x v="0"/>
    <x v="0"/>
    <x v="0"/>
    <x v="0"/>
    <x v="2"/>
    <x v="0"/>
    <x v="7"/>
    <n v="0"/>
  </r>
  <r>
    <x v="0"/>
    <x v="0"/>
    <x v="0"/>
    <x v="0"/>
    <x v="2"/>
    <x v="0"/>
    <x v="8"/>
    <n v="0"/>
  </r>
  <r>
    <x v="0"/>
    <x v="0"/>
    <x v="0"/>
    <x v="0"/>
    <x v="2"/>
    <x v="0"/>
    <x v="9"/>
    <n v="0"/>
  </r>
  <r>
    <x v="0"/>
    <x v="0"/>
    <x v="0"/>
    <x v="0"/>
    <x v="2"/>
    <x v="0"/>
    <x v="10"/>
    <n v="0"/>
  </r>
  <r>
    <x v="0"/>
    <x v="0"/>
    <x v="0"/>
    <x v="0"/>
    <x v="2"/>
    <x v="0"/>
    <x v="11"/>
    <n v="0"/>
  </r>
  <r>
    <x v="0"/>
    <x v="0"/>
    <x v="0"/>
    <x v="0"/>
    <x v="2"/>
    <x v="1"/>
    <x v="0"/>
    <n v="0"/>
  </r>
  <r>
    <x v="0"/>
    <x v="0"/>
    <x v="0"/>
    <x v="0"/>
    <x v="2"/>
    <x v="1"/>
    <x v="1"/>
    <n v="0"/>
  </r>
  <r>
    <x v="0"/>
    <x v="0"/>
    <x v="0"/>
    <x v="0"/>
    <x v="2"/>
    <x v="1"/>
    <x v="2"/>
    <n v="0"/>
  </r>
  <r>
    <x v="0"/>
    <x v="0"/>
    <x v="0"/>
    <x v="0"/>
    <x v="2"/>
    <x v="1"/>
    <x v="3"/>
    <n v="0"/>
  </r>
  <r>
    <x v="0"/>
    <x v="0"/>
    <x v="0"/>
    <x v="0"/>
    <x v="2"/>
    <x v="1"/>
    <x v="4"/>
    <n v="0"/>
  </r>
  <r>
    <x v="0"/>
    <x v="0"/>
    <x v="0"/>
    <x v="0"/>
    <x v="2"/>
    <x v="1"/>
    <x v="5"/>
    <n v="0"/>
  </r>
  <r>
    <x v="0"/>
    <x v="0"/>
    <x v="0"/>
    <x v="0"/>
    <x v="2"/>
    <x v="1"/>
    <x v="6"/>
    <n v="0"/>
  </r>
  <r>
    <x v="0"/>
    <x v="0"/>
    <x v="0"/>
    <x v="0"/>
    <x v="2"/>
    <x v="1"/>
    <x v="7"/>
    <n v="0"/>
  </r>
  <r>
    <x v="0"/>
    <x v="0"/>
    <x v="0"/>
    <x v="0"/>
    <x v="2"/>
    <x v="1"/>
    <x v="8"/>
    <n v="0"/>
  </r>
  <r>
    <x v="0"/>
    <x v="0"/>
    <x v="0"/>
    <x v="0"/>
    <x v="2"/>
    <x v="1"/>
    <x v="9"/>
    <n v="0"/>
  </r>
  <r>
    <x v="0"/>
    <x v="0"/>
    <x v="0"/>
    <x v="0"/>
    <x v="2"/>
    <x v="1"/>
    <x v="10"/>
    <n v="0"/>
  </r>
  <r>
    <x v="0"/>
    <x v="0"/>
    <x v="0"/>
    <x v="0"/>
    <x v="2"/>
    <x v="1"/>
    <x v="11"/>
    <n v="0"/>
  </r>
  <r>
    <x v="0"/>
    <x v="0"/>
    <x v="0"/>
    <x v="0"/>
    <x v="2"/>
    <x v="2"/>
    <x v="0"/>
    <n v="0"/>
  </r>
  <r>
    <x v="0"/>
    <x v="0"/>
    <x v="0"/>
    <x v="0"/>
    <x v="2"/>
    <x v="2"/>
    <x v="1"/>
    <n v="0"/>
  </r>
  <r>
    <x v="0"/>
    <x v="0"/>
    <x v="0"/>
    <x v="0"/>
    <x v="2"/>
    <x v="2"/>
    <x v="2"/>
    <n v="0"/>
  </r>
  <r>
    <x v="0"/>
    <x v="0"/>
    <x v="0"/>
    <x v="0"/>
    <x v="2"/>
    <x v="2"/>
    <x v="3"/>
    <n v="0"/>
  </r>
  <r>
    <x v="0"/>
    <x v="0"/>
    <x v="0"/>
    <x v="0"/>
    <x v="2"/>
    <x v="2"/>
    <x v="4"/>
    <n v="0"/>
  </r>
  <r>
    <x v="0"/>
    <x v="0"/>
    <x v="0"/>
    <x v="0"/>
    <x v="2"/>
    <x v="2"/>
    <x v="5"/>
    <n v="0"/>
  </r>
  <r>
    <x v="0"/>
    <x v="0"/>
    <x v="0"/>
    <x v="0"/>
    <x v="2"/>
    <x v="2"/>
    <x v="6"/>
    <n v="0"/>
  </r>
  <r>
    <x v="0"/>
    <x v="0"/>
    <x v="0"/>
    <x v="0"/>
    <x v="2"/>
    <x v="2"/>
    <x v="7"/>
    <n v="0"/>
  </r>
  <r>
    <x v="0"/>
    <x v="0"/>
    <x v="0"/>
    <x v="0"/>
    <x v="2"/>
    <x v="2"/>
    <x v="8"/>
    <n v="0"/>
  </r>
  <r>
    <x v="0"/>
    <x v="0"/>
    <x v="0"/>
    <x v="0"/>
    <x v="2"/>
    <x v="2"/>
    <x v="9"/>
    <n v="0"/>
  </r>
  <r>
    <x v="0"/>
    <x v="0"/>
    <x v="0"/>
    <x v="0"/>
    <x v="2"/>
    <x v="2"/>
    <x v="10"/>
    <n v="0"/>
  </r>
  <r>
    <x v="0"/>
    <x v="0"/>
    <x v="0"/>
    <x v="0"/>
    <x v="2"/>
    <x v="2"/>
    <x v="11"/>
    <n v="0"/>
  </r>
  <r>
    <x v="0"/>
    <x v="0"/>
    <x v="0"/>
    <x v="0"/>
    <x v="2"/>
    <x v="3"/>
    <x v="0"/>
    <n v="0"/>
  </r>
  <r>
    <x v="0"/>
    <x v="0"/>
    <x v="0"/>
    <x v="0"/>
    <x v="2"/>
    <x v="3"/>
    <x v="1"/>
    <n v="0"/>
  </r>
  <r>
    <x v="0"/>
    <x v="0"/>
    <x v="0"/>
    <x v="0"/>
    <x v="2"/>
    <x v="3"/>
    <x v="2"/>
    <n v="0"/>
  </r>
  <r>
    <x v="0"/>
    <x v="0"/>
    <x v="0"/>
    <x v="0"/>
    <x v="2"/>
    <x v="3"/>
    <x v="3"/>
    <n v="0"/>
  </r>
  <r>
    <x v="0"/>
    <x v="0"/>
    <x v="0"/>
    <x v="0"/>
    <x v="2"/>
    <x v="3"/>
    <x v="4"/>
    <n v="0"/>
  </r>
  <r>
    <x v="0"/>
    <x v="0"/>
    <x v="0"/>
    <x v="0"/>
    <x v="2"/>
    <x v="3"/>
    <x v="5"/>
    <n v="0"/>
  </r>
  <r>
    <x v="0"/>
    <x v="0"/>
    <x v="0"/>
    <x v="0"/>
    <x v="2"/>
    <x v="3"/>
    <x v="6"/>
    <n v="0"/>
  </r>
  <r>
    <x v="0"/>
    <x v="0"/>
    <x v="0"/>
    <x v="0"/>
    <x v="2"/>
    <x v="3"/>
    <x v="7"/>
    <n v="0"/>
  </r>
  <r>
    <x v="0"/>
    <x v="0"/>
    <x v="0"/>
    <x v="0"/>
    <x v="2"/>
    <x v="3"/>
    <x v="8"/>
    <n v="0"/>
  </r>
  <r>
    <x v="0"/>
    <x v="0"/>
    <x v="0"/>
    <x v="0"/>
    <x v="2"/>
    <x v="3"/>
    <x v="9"/>
    <n v="1"/>
  </r>
  <r>
    <x v="0"/>
    <x v="0"/>
    <x v="0"/>
    <x v="0"/>
    <x v="2"/>
    <x v="3"/>
    <x v="10"/>
    <n v="1"/>
  </r>
  <r>
    <x v="0"/>
    <x v="0"/>
    <x v="0"/>
    <x v="0"/>
    <x v="2"/>
    <x v="3"/>
    <x v="11"/>
    <n v="1"/>
  </r>
  <r>
    <x v="0"/>
    <x v="0"/>
    <x v="0"/>
    <x v="0"/>
    <x v="2"/>
    <x v="4"/>
    <x v="0"/>
    <n v="-1"/>
  </r>
  <r>
    <x v="0"/>
    <x v="0"/>
    <x v="0"/>
    <x v="0"/>
    <x v="2"/>
    <x v="4"/>
    <x v="1"/>
    <n v="-1"/>
  </r>
  <r>
    <x v="0"/>
    <x v="0"/>
    <x v="0"/>
    <x v="0"/>
    <x v="2"/>
    <x v="4"/>
    <x v="2"/>
    <n v="-1"/>
  </r>
  <r>
    <x v="0"/>
    <x v="0"/>
    <x v="0"/>
    <x v="0"/>
    <x v="2"/>
    <x v="4"/>
    <x v="3"/>
    <n v="-1"/>
  </r>
  <r>
    <x v="0"/>
    <x v="0"/>
    <x v="0"/>
    <x v="0"/>
    <x v="2"/>
    <x v="4"/>
    <x v="4"/>
    <n v="-1"/>
  </r>
  <r>
    <x v="0"/>
    <x v="0"/>
    <x v="0"/>
    <x v="0"/>
    <x v="2"/>
    <x v="4"/>
    <x v="5"/>
    <n v="-1"/>
  </r>
  <r>
    <x v="0"/>
    <x v="0"/>
    <x v="0"/>
    <x v="0"/>
    <x v="2"/>
    <x v="4"/>
    <x v="6"/>
    <n v="-1"/>
  </r>
  <r>
    <x v="0"/>
    <x v="0"/>
    <x v="0"/>
    <x v="0"/>
    <x v="2"/>
    <x v="4"/>
    <x v="7"/>
    <n v="-1"/>
  </r>
  <r>
    <x v="0"/>
    <x v="0"/>
    <x v="0"/>
    <x v="0"/>
    <x v="2"/>
    <x v="4"/>
    <x v="8"/>
    <n v="-1"/>
  </r>
  <r>
    <x v="0"/>
    <x v="0"/>
    <x v="0"/>
    <x v="0"/>
    <x v="2"/>
    <x v="4"/>
    <x v="9"/>
    <n v="-1"/>
  </r>
  <r>
    <x v="0"/>
    <x v="0"/>
    <x v="0"/>
    <x v="0"/>
    <x v="2"/>
    <x v="4"/>
    <x v="10"/>
    <n v="-1"/>
  </r>
  <r>
    <x v="0"/>
    <x v="0"/>
    <x v="0"/>
    <x v="0"/>
    <x v="2"/>
    <x v="4"/>
    <x v="11"/>
    <n v="-1"/>
  </r>
  <r>
    <x v="0"/>
    <x v="0"/>
    <x v="0"/>
    <x v="0"/>
    <x v="2"/>
    <x v="5"/>
    <x v="0"/>
    <n v="-1"/>
  </r>
  <r>
    <x v="0"/>
    <x v="0"/>
    <x v="0"/>
    <x v="0"/>
    <x v="2"/>
    <x v="5"/>
    <x v="1"/>
    <n v="-1"/>
  </r>
  <r>
    <x v="0"/>
    <x v="0"/>
    <x v="0"/>
    <x v="0"/>
    <x v="2"/>
    <x v="5"/>
    <x v="2"/>
    <n v="-1"/>
  </r>
  <r>
    <x v="0"/>
    <x v="0"/>
    <x v="0"/>
    <x v="0"/>
    <x v="2"/>
    <x v="5"/>
    <x v="3"/>
    <n v="-1"/>
  </r>
  <r>
    <x v="0"/>
    <x v="0"/>
    <x v="0"/>
    <x v="0"/>
    <x v="2"/>
    <x v="5"/>
    <x v="4"/>
    <n v="-1"/>
  </r>
  <r>
    <x v="0"/>
    <x v="0"/>
    <x v="0"/>
    <x v="0"/>
    <x v="2"/>
    <x v="5"/>
    <x v="5"/>
    <n v="-1"/>
  </r>
  <r>
    <x v="0"/>
    <x v="0"/>
    <x v="0"/>
    <x v="0"/>
    <x v="2"/>
    <x v="5"/>
    <x v="6"/>
    <n v="-1"/>
  </r>
  <r>
    <x v="0"/>
    <x v="0"/>
    <x v="0"/>
    <x v="0"/>
    <x v="2"/>
    <x v="5"/>
    <x v="7"/>
    <n v="-1"/>
  </r>
  <r>
    <x v="0"/>
    <x v="0"/>
    <x v="0"/>
    <x v="0"/>
    <x v="2"/>
    <x v="5"/>
    <x v="8"/>
    <n v="-1"/>
  </r>
  <r>
    <x v="0"/>
    <x v="0"/>
    <x v="0"/>
    <x v="0"/>
    <x v="2"/>
    <x v="5"/>
    <x v="9"/>
    <n v="-1"/>
  </r>
  <r>
    <x v="0"/>
    <x v="0"/>
    <x v="0"/>
    <x v="0"/>
    <x v="2"/>
    <x v="5"/>
    <x v="10"/>
    <n v="-1"/>
  </r>
  <r>
    <x v="0"/>
    <x v="0"/>
    <x v="0"/>
    <x v="0"/>
    <x v="2"/>
    <x v="5"/>
    <x v="11"/>
    <n v="-1"/>
  </r>
  <r>
    <x v="0"/>
    <x v="0"/>
    <x v="0"/>
    <x v="0"/>
    <x v="2"/>
    <x v="6"/>
    <x v="0"/>
    <n v="-1"/>
  </r>
  <r>
    <x v="0"/>
    <x v="0"/>
    <x v="0"/>
    <x v="0"/>
    <x v="2"/>
    <x v="6"/>
    <x v="1"/>
    <n v="-1"/>
  </r>
  <r>
    <x v="0"/>
    <x v="0"/>
    <x v="0"/>
    <x v="0"/>
    <x v="2"/>
    <x v="6"/>
    <x v="2"/>
    <n v="-1"/>
  </r>
  <r>
    <x v="0"/>
    <x v="0"/>
    <x v="0"/>
    <x v="0"/>
    <x v="2"/>
    <x v="6"/>
    <x v="3"/>
    <n v="-1"/>
  </r>
  <r>
    <x v="0"/>
    <x v="0"/>
    <x v="0"/>
    <x v="0"/>
    <x v="2"/>
    <x v="6"/>
    <x v="4"/>
    <n v="-1"/>
  </r>
  <r>
    <x v="0"/>
    <x v="0"/>
    <x v="0"/>
    <x v="0"/>
    <x v="2"/>
    <x v="6"/>
    <x v="5"/>
    <n v="-1"/>
  </r>
  <r>
    <x v="0"/>
    <x v="0"/>
    <x v="0"/>
    <x v="0"/>
    <x v="2"/>
    <x v="6"/>
    <x v="6"/>
    <n v="-1"/>
  </r>
  <r>
    <x v="0"/>
    <x v="0"/>
    <x v="0"/>
    <x v="0"/>
    <x v="2"/>
    <x v="6"/>
    <x v="7"/>
    <n v="-1"/>
  </r>
  <r>
    <x v="0"/>
    <x v="0"/>
    <x v="0"/>
    <x v="0"/>
    <x v="2"/>
    <x v="6"/>
    <x v="8"/>
    <n v="-1"/>
  </r>
  <r>
    <x v="0"/>
    <x v="0"/>
    <x v="0"/>
    <x v="0"/>
    <x v="2"/>
    <x v="6"/>
    <x v="9"/>
    <n v="-1"/>
  </r>
  <r>
    <x v="0"/>
    <x v="0"/>
    <x v="0"/>
    <x v="0"/>
    <x v="2"/>
    <x v="6"/>
    <x v="10"/>
    <n v="-1"/>
  </r>
  <r>
    <x v="0"/>
    <x v="0"/>
    <x v="0"/>
    <x v="0"/>
    <x v="2"/>
    <x v="6"/>
    <x v="11"/>
    <n v="-1"/>
  </r>
  <r>
    <x v="0"/>
    <x v="0"/>
    <x v="0"/>
    <x v="0"/>
    <x v="2"/>
    <x v="7"/>
    <x v="0"/>
    <n v="-1"/>
  </r>
  <r>
    <x v="0"/>
    <x v="0"/>
    <x v="0"/>
    <x v="0"/>
    <x v="2"/>
    <x v="7"/>
    <x v="1"/>
    <n v="-1"/>
  </r>
  <r>
    <x v="0"/>
    <x v="0"/>
    <x v="0"/>
    <x v="0"/>
    <x v="2"/>
    <x v="7"/>
    <x v="2"/>
    <n v="-1"/>
  </r>
  <r>
    <x v="0"/>
    <x v="0"/>
    <x v="0"/>
    <x v="0"/>
    <x v="2"/>
    <x v="7"/>
    <x v="3"/>
    <n v="-1"/>
  </r>
  <r>
    <x v="0"/>
    <x v="0"/>
    <x v="0"/>
    <x v="0"/>
    <x v="2"/>
    <x v="7"/>
    <x v="4"/>
    <n v="-1"/>
  </r>
  <r>
    <x v="0"/>
    <x v="0"/>
    <x v="0"/>
    <x v="0"/>
    <x v="2"/>
    <x v="7"/>
    <x v="5"/>
    <n v="-1"/>
  </r>
  <r>
    <x v="0"/>
    <x v="0"/>
    <x v="0"/>
    <x v="0"/>
    <x v="2"/>
    <x v="7"/>
    <x v="6"/>
    <n v="-1"/>
  </r>
  <r>
    <x v="0"/>
    <x v="0"/>
    <x v="0"/>
    <x v="0"/>
    <x v="2"/>
    <x v="7"/>
    <x v="7"/>
    <n v="-1"/>
  </r>
  <r>
    <x v="0"/>
    <x v="0"/>
    <x v="0"/>
    <x v="0"/>
    <x v="2"/>
    <x v="7"/>
    <x v="8"/>
    <n v="-1"/>
  </r>
  <r>
    <x v="0"/>
    <x v="0"/>
    <x v="0"/>
    <x v="0"/>
    <x v="2"/>
    <x v="7"/>
    <x v="9"/>
    <n v="-1"/>
  </r>
  <r>
    <x v="0"/>
    <x v="0"/>
    <x v="0"/>
    <x v="0"/>
    <x v="2"/>
    <x v="7"/>
    <x v="10"/>
    <n v="-1"/>
  </r>
  <r>
    <x v="0"/>
    <x v="0"/>
    <x v="0"/>
    <x v="0"/>
    <x v="2"/>
    <x v="7"/>
    <x v="11"/>
    <n v="-1"/>
  </r>
  <r>
    <x v="0"/>
    <x v="0"/>
    <x v="0"/>
    <x v="0"/>
    <x v="2"/>
    <x v="8"/>
    <x v="0"/>
    <n v="-1"/>
  </r>
  <r>
    <x v="0"/>
    <x v="0"/>
    <x v="0"/>
    <x v="0"/>
    <x v="2"/>
    <x v="8"/>
    <x v="1"/>
    <n v="-1"/>
  </r>
  <r>
    <x v="0"/>
    <x v="0"/>
    <x v="0"/>
    <x v="0"/>
    <x v="2"/>
    <x v="8"/>
    <x v="2"/>
    <n v="-1"/>
  </r>
  <r>
    <x v="0"/>
    <x v="0"/>
    <x v="0"/>
    <x v="0"/>
    <x v="2"/>
    <x v="8"/>
    <x v="3"/>
    <n v="-1"/>
  </r>
  <r>
    <x v="0"/>
    <x v="0"/>
    <x v="0"/>
    <x v="0"/>
    <x v="2"/>
    <x v="8"/>
    <x v="4"/>
    <n v="-1"/>
  </r>
  <r>
    <x v="0"/>
    <x v="0"/>
    <x v="0"/>
    <x v="0"/>
    <x v="2"/>
    <x v="8"/>
    <x v="5"/>
    <n v="-1"/>
  </r>
  <r>
    <x v="0"/>
    <x v="0"/>
    <x v="0"/>
    <x v="0"/>
    <x v="2"/>
    <x v="8"/>
    <x v="6"/>
    <n v="-1"/>
  </r>
  <r>
    <x v="0"/>
    <x v="0"/>
    <x v="0"/>
    <x v="0"/>
    <x v="2"/>
    <x v="8"/>
    <x v="7"/>
    <n v="-1"/>
  </r>
  <r>
    <x v="0"/>
    <x v="0"/>
    <x v="0"/>
    <x v="0"/>
    <x v="2"/>
    <x v="8"/>
    <x v="8"/>
    <n v="-1"/>
  </r>
  <r>
    <x v="0"/>
    <x v="0"/>
    <x v="0"/>
    <x v="0"/>
    <x v="2"/>
    <x v="8"/>
    <x v="9"/>
    <n v="-1"/>
  </r>
  <r>
    <x v="0"/>
    <x v="0"/>
    <x v="0"/>
    <x v="0"/>
    <x v="2"/>
    <x v="8"/>
    <x v="10"/>
    <n v="-1"/>
  </r>
  <r>
    <x v="0"/>
    <x v="0"/>
    <x v="0"/>
    <x v="0"/>
    <x v="2"/>
    <x v="8"/>
    <x v="11"/>
    <n v="-1"/>
  </r>
  <r>
    <x v="0"/>
    <x v="0"/>
    <x v="0"/>
    <x v="0"/>
    <x v="2"/>
    <x v="9"/>
    <x v="0"/>
    <n v="-1"/>
  </r>
  <r>
    <x v="0"/>
    <x v="0"/>
    <x v="0"/>
    <x v="0"/>
    <x v="2"/>
    <x v="9"/>
    <x v="1"/>
    <n v="-1"/>
  </r>
  <r>
    <x v="0"/>
    <x v="0"/>
    <x v="0"/>
    <x v="0"/>
    <x v="2"/>
    <x v="9"/>
    <x v="2"/>
    <n v="-1"/>
  </r>
  <r>
    <x v="0"/>
    <x v="0"/>
    <x v="0"/>
    <x v="0"/>
    <x v="2"/>
    <x v="9"/>
    <x v="3"/>
    <n v="-1"/>
  </r>
  <r>
    <x v="0"/>
    <x v="0"/>
    <x v="0"/>
    <x v="0"/>
    <x v="2"/>
    <x v="9"/>
    <x v="4"/>
    <n v="-1"/>
  </r>
  <r>
    <x v="0"/>
    <x v="0"/>
    <x v="0"/>
    <x v="0"/>
    <x v="2"/>
    <x v="9"/>
    <x v="5"/>
    <n v="-1"/>
  </r>
  <r>
    <x v="0"/>
    <x v="0"/>
    <x v="0"/>
    <x v="0"/>
    <x v="2"/>
    <x v="9"/>
    <x v="6"/>
    <n v="-1"/>
  </r>
  <r>
    <x v="0"/>
    <x v="0"/>
    <x v="0"/>
    <x v="0"/>
    <x v="2"/>
    <x v="9"/>
    <x v="7"/>
    <n v="-1"/>
  </r>
  <r>
    <x v="0"/>
    <x v="0"/>
    <x v="0"/>
    <x v="0"/>
    <x v="2"/>
    <x v="9"/>
    <x v="8"/>
    <n v="-1"/>
  </r>
  <r>
    <x v="0"/>
    <x v="0"/>
    <x v="0"/>
    <x v="0"/>
    <x v="2"/>
    <x v="9"/>
    <x v="9"/>
    <n v="-1"/>
  </r>
  <r>
    <x v="0"/>
    <x v="0"/>
    <x v="0"/>
    <x v="0"/>
    <x v="2"/>
    <x v="9"/>
    <x v="10"/>
    <n v="-1"/>
  </r>
  <r>
    <x v="0"/>
    <x v="0"/>
    <x v="0"/>
    <x v="0"/>
    <x v="2"/>
    <x v="9"/>
    <x v="11"/>
    <n v="-1"/>
  </r>
  <r>
    <x v="0"/>
    <x v="0"/>
    <x v="0"/>
    <x v="0"/>
    <x v="2"/>
    <x v="10"/>
    <x v="0"/>
    <n v="-1"/>
  </r>
  <r>
    <x v="0"/>
    <x v="0"/>
    <x v="0"/>
    <x v="0"/>
    <x v="2"/>
    <x v="10"/>
    <x v="1"/>
    <n v="-1"/>
  </r>
  <r>
    <x v="0"/>
    <x v="0"/>
    <x v="0"/>
    <x v="0"/>
    <x v="2"/>
    <x v="10"/>
    <x v="2"/>
    <n v="-1"/>
  </r>
  <r>
    <x v="0"/>
    <x v="0"/>
    <x v="0"/>
    <x v="0"/>
    <x v="2"/>
    <x v="10"/>
    <x v="3"/>
    <n v="-1"/>
  </r>
  <r>
    <x v="0"/>
    <x v="0"/>
    <x v="0"/>
    <x v="0"/>
    <x v="2"/>
    <x v="10"/>
    <x v="4"/>
    <n v="-1"/>
  </r>
  <r>
    <x v="0"/>
    <x v="0"/>
    <x v="0"/>
    <x v="0"/>
    <x v="2"/>
    <x v="10"/>
    <x v="5"/>
    <n v="-1"/>
  </r>
  <r>
    <x v="0"/>
    <x v="0"/>
    <x v="0"/>
    <x v="0"/>
    <x v="2"/>
    <x v="10"/>
    <x v="6"/>
    <n v="-1"/>
  </r>
  <r>
    <x v="0"/>
    <x v="0"/>
    <x v="0"/>
    <x v="0"/>
    <x v="2"/>
    <x v="10"/>
    <x v="7"/>
    <n v="-1"/>
  </r>
  <r>
    <x v="0"/>
    <x v="0"/>
    <x v="0"/>
    <x v="0"/>
    <x v="2"/>
    <x v="10"/>
    <x v="8"/>
    <n v="-1"/>
  </r>
  <r>
    <x v="0"/>
    <x v="0"/>
    <x v="0"/>
    <x v="0"/>
    <x v="2"/>
    <x v="10"/>
    <x v="9"/>
    <n v="-1"/>
  </r>
  <r>
    <x v="0"/>
    <x v="0"/>
    <x v="0"/>
    <x v="0"/>
    <x v="2"/>
    <x v="10"/>
    <x v="10"/>
    <n v="-1"/>
  </r>
  <r>
    <x v="0"/>
    <x v="0"/>
    <x v="0"/>
    <x v="0"/>
    <x v="2"/>
    <x v="10"/>
    <x v="11"/>
    <n v="-1"/>
  </r>
  <r>
    <x v="0"/>
    <x v="0"/>
    <x v="0"/>
    <x v="0"/>
    <x v="2"/>
    <x v="11"/>
    <x v="0"/>
    <n v="-1"/>
  </r>
  <r>
    <x v="0"/>
    <x v="0"/>
    <x v="0"/>
    <x v="0"/>
    <x v="2"/>
    <x v="11"/>
    <x v="1"/>
    <n v="-1"/>
  </r>
  <r>
    <x v="0"/>
    <x v="0"/>
    <x v="0"/>
    <x v="0"/>
    <x v="2"/>
    <x v="11"/>
    <x v="2"/>
    <n v="-1"/>
  </r>
  <r>
    <x v="0"/>
    <x v="0"/>
    <x v="0"/>
    <x v="0"/>
    <x v="2"/>
    <x v="11"/>
    <x v="3"/>
    <n v="-1"/>
  </r>
  <r>
    <x v="0"/>
    <x v="0"/>
    <x v="0"/>
    <x v="0"/>
    <x v="2"/>
    <x v="11"/>
    <x v="4"/>
    <n v="-1"/>
  </r>
  <r>
    <x v="0"/>
    <x v="0"/>
    <x v="0"/>
    <x v="0"/>
    <x v="2"/>
    <x v="11"/>
    <x v="5"/>
    <n v="-1"/>
  </r>
  <r>
    <x v="0"/>
    <x v="0"/>
    <x v="0"/>
    <x v="0"/>
    <x v="2"/>
    <x v="11"/>
    <x v="6"/>
    <n v="-1"/>
  </r>
  <r>
    <x v="0"/>
    <x v="0"/>
    <x v="0"/>
    <x v="0"/>
    <x v="2"/>
    <x v="11"/>
    <x v="7"/>
    <n v="-1"/>
  </r>
  <r>
    <x v="0"/>
    <x v="0"/>
    <x v="0"/>
    <x v="0"/>
    <x v="2"/>
    <x v="11"/>
    <x v="8"/>
    <n v="-1"/>
  </r>
  <r>
    <x v="0"/>
    <x v="0"/>
    <x v="0"/>
    <x v="0"/>
    <x v="2"/>
    <x v="11"/>
    <x v="9"/>
    <n v="-1"/>
  </r>
  <r>
    <x v="0"/>
    <x v="0"/>
    <x v="0"/>
    <x v="0"/>
    <x v="2"/>
    <x v="11"/>
    <x v="10"/>
    <n v="-1"/>
  </r>
  <r>
    <x v="0"/>
    <x v="0"/>
    <x v="0"/>
    <x v="0"/>
    <x v="2"/>
    <x v="11"/>
    <x v="11"/>
    <n v="-1"/>
  </r>
  <r>
    <x v="0"/>
    <x v="0"/>
    <x v="0"/>
    <x v="0"/>
    <x v="3"/>
    <x v="0"/>
    <x v="0"/>
    <n v="0"/>
  </r>
  <r>
    <x v="0"/>
    <x v="0"/>
    <x v="0"/>
    <x v="0"/>
    <x v="3"/>
    <x v="0"/>
    <x v="1"/>
    <n v="0"/>
  </r>
  <r>
    <x v="0"/>
    <x v="0"/>
    <x v="0"/>
    <x v="0"/>
    <x v="3"/>
    <x v="0"/>
    <x v="2"/>
    <n v="0"/>
  </r>
  <r>
    <x v="0"/>
    <x v="0"/>
    <x v="0"/>
    <x v="0"/>
    <x v="3"/>
    <x v="0"/>
    <x v="3"/>
    <n v="0"/>
  </r>
  <r>
    <x v="0"/>
    <x v="0"/>
    <x v="0"/>
    <x v="0"/>
    <x v="3"/>
    <x v="0"/>
    <x v="4"/>
    <n v="0"/>
  </r>
  <r>
    <x v="0"/>
    <x v="0"/>
    <x v="0"/>
    <x v="0"/>
    <x v="3"/>
    <x v="0"/>
    <x v="5"/>
    <n v="0"/>
  </r>
  <r>
    <x v="0"/>
    <x v="0"/>
    <x v="0"/>
    <x v="0"/>
    <x v="3"/>
    <x v="0"/>
    <x v="6"/>
    <n v="0"/>
  </r>
  <r>
    <x v="0"/>
    <x v="0"/>
    <x v="0"/>
    <x v="0"/>
    <x v="3"/>
    <x v="0"/>
    <x v="7"/>
    <n v="0"/>
  </r>
  <r>
    <x v="0"/>
    <x v="0"/>
    <x v="0"/>
    <x v="0"/>
    <x v="3"/>
    <x v="0"/>
    <x v="8"/>
    <n v="0"/>
  </r>
  <r>
    <x v="0"/>
    <x v="0"/>
    <x v="0"/>
    <x v="0"/>
    <x v="3"/>
    <x v="0"/>
    <x v="9"/>
    <n v="0"/>
  </r>
  <r>
    <x v="0"/>
    <x v="0"/>
    <x v="0"/>
    <x v="0"/>
    <x v="3"/>
    <x v="0"/>
    <x v="10"/>
    <n v="0"/>
  </r>
  <r>
    <x v="0"/>
    <x v="0"/>
    <x v="0"/>
    <x v="0"/>
    <x v="3"/>
    <x v="0"/>
    <x v="11"/>
    <n v="0"/>
  </r>
  <r>
    <x v="0"/>
    <x v="0"/>
    <x v="0"/>
    <x v="0"/>
    <x v="3"/>
    <x v="1"/>
    <x v="0"/>
    <n v="0"/>
  </r>
  <r>
    <x v="0"/>
    <x v="0"/>
    <x v="0"/>
    <x v="0"/>
    <x v="3"/>
    <x v="1"/>
    <x v="1"/>
    <n v="0"/>
  </r>
  <r>
    <x v="0"/>
    <x v="0"/>
    <x v="0"/>
    <x v="0"/>
    <x v="3"/>
    <x v="1"/>
    <x v="2"/>
    <n v="0"/>
  </r>
  <r>
    <x v="0"/>
    <x v="0"/>
    <x v="0"/>
    <x v="0"/>
    <x v="3"/>
    <x v="1"/>
    <x v="3"/>
    <n v="0"/>
  </r>
  <r>
    <x v="0"/>
    <x v="0"/>
    <x v="0"/>
    <x v="0"/>
    <x v="3"/>
    <x v="1"/>
    <x v="4"/>
    <n v="0"/>
  </r>
  <r>
    <x v="0"/>
    <x v="0"/>
    <x v="0"/>
    <x v="0"/>
    <x v="3"/>
    <x v="1"/>
    <x v="5"/>
    <n v="0"/>
  </r>
  <r>
    <x v="0"/>
    <x v="0"/>
    <x v="0"/>
    <x v="0"/>
    <x v="3"/>
    <x v="1"/>
    <x v="6"/>
    <n v="0"/>
  </r>
  <r>
    <x v="0"/>
    <x v="0"/>
    <x v="0"/>
    <x v="0"/>
    <x v="3"/>
    <x v="1"/>
    <x v="7"/>
    <n v="0"/>
  </r>
  <r>
    <x v="0"/>
    <x v="0"/>
    <x v="0"/>
    <x v="0"/>
    <x v="3"/>
    <x v="1"/>
    <x v="8"/>
    <n v="0"/>
  </r>
  <r>
    <x v="0"/>
    <x v="0"/>
    <x v="0"/>
    <x v="0"/>
    <x v="3"/>
    <x v="1"/>
    <x v="9"/>
    <n v="0"/>
  </r>
  <r>
    <x v="0"/>
    <x v="0"/>
    <x v="0"/>
    <x v="0"/>
    <x v="3"/>
    <x v="1"/>
    <x v="10"/>
    <n v="0"/>
  </r>
  <r>
    <x v="0"/>
    <x v="0"/>
    <x v="0"/>
    <x v="0"/>
    <x v="3"/>
    <x v="1"/>
    <x v="11"/>
    <n v="0"/>
  </r>
  <r>
    <x v="0"/>
    <x v="0"/>
    <x v="0"/>
    <x v="0"/>
    <x v="3"/>
    <x v="2"/>
    <x v="0"/>
    <n v="0"/>
  </r>
  <r>
    <x v="0"/>
    <x v="0"/>
    <x v="0"/>
    <x v="0"/>
    <x v="3"/>
    <x v="2"/>
    <x v="1"/>
    <n v="0"/>
  </r>
  <r>
    <x v="0"/>
    <x v="0"/>
    <x v="0"/>
    <x v="0"/>
    <x v="3"/>
    <x v="2"/>
    <x v="2"/>
    <n v="0"/>
  </r>
  <r>
    <x v="0"/>
    <x v="0"/>
    <x v="0"/>
    <x v="0"/>
    <x v="3"/>
    <x v="2"/>
    <x v="3"/>
    <n v="0"/>
  </r>
  <r>
    <x v="0"/>
    <x v="0"/>
    <x v="0"/>
    <x v="0"/>
    <x v="3"/>
    <x v="2"/>
    <x v="4"/>
    <n v="0"/>
  </r>
  <r>
    <x v="0"/>
    <x v="0"/>
    <x v="0"/>
    <x v="0"/>
    <x v="3"/>
    <x v="2"/>
    <x v="5"/>
    <n v="0"/>
  </r>
  <r>
    <x v="0"/>
    <x v="0"/>
    <x v="0"/>
    <x v="0"/>
    <x v="3"/>
    <x v="2"/>
    <x v="6"/>
    <n v="0"/>
  </r>
  <r>
    <x v="0"/>
    <x v="0"/>
    <x v="0"/>
    <x v="0"/>
    <x v="3"/>
    <x v="2"/>
    <x v="7"/>
    <n v="0"/>
  </r>
  <r>
    <x v="0"/>
    <x v="0"/>
    <x v="0"/>
    <x v="0"/>
    <x v="3"/>
    <x v="2"/>
    <x v="8"/>
    <n v="0"/>
  </r>
  <r>
    <x v="0"/>
    <x v="0"/>
    <x v="0"/>
    <x v="0"/>
    <x v="3"/>
    <x v="2"/>
    <x v="9"/>
    <n v="0"/>
  </r>
  <r>
    <x v="0"/>
    <x v="0"/>
    <x v="0"/>
    <x v="0"/>
    <x v="3"/>
    <x v="2"/>
    <x v="10"/>
    <n v="0"/>
  </r>
  <r>
    <x v="0"/>
    <x v="0"/>
    <x v="0"/>
    <x v="0"/>
    <x v="3"/>
    <x v="2"/>
    <x v="11"/>
    <n v="0"/>
  </r>
  <r>
    <x v="0"/>
    <x v="0"/>
    <x v="0"/>
    <x v="0"/>
    <x v="3"/>
    <x v="3"/>
    <x v="0"/>
    <n v="0"/>
  </r>
  <r>
    <x v="0"/>
    <x v="0"/>
    <x v="0"/>
    <x v="0"/>
    <x v="3"/>
    <x v="3"/>
    <x v="1"/>
    <n v="0"/>
  </r>
  <r>
    <x v="0"/>
    <x v="0"/>
    <x v="0"/>
    <x v="0"/>
    <x v="3"/>
    <x v="3"/>
    <x v="2"/>
    <n v="0"/>
  </r>
  <r>
    <x v="0"/>
    <x v="0"/>
    <x v="0"/>
    <x v="0"/>
    <x v="3"/>
    <x v="3"/>
    <x v="3"/>
    <n v="0"/>
  </r>
  <r>
    <x v="0"/>
    <x v="0"/>
    <x v="0"/>
    <x v="0"/>
    <x v="3"/>
    <x v="3"/>
    <x v="4"/>
    <n v="0"/>
  </r>
  <r>
    <x v="0"/>
    <x v="0"/>
    <x v="0"/>
    <x v="0"/>
    <x v="3"/>
    <x v="3"/>
    <x v="5"/>
    <n v="0"/>
  </r>
  <r>
    <x v="0"/>
    <x v="0"/>
    <x v="0"/>
    <x v="0"/>
    <x v="3"/>
    <x v="3"/>
    <x v="6"/>
    <n v="0"/>
  </r>
  <r>
    <x v="0"/>
    <x v="0"/>
    <x v="0"/>
    <x v="0"/>
    <x v="3"/>
    <x v="3"/>
    <x v="7"/>
    <n v="0"/>
  </r>
  <r>
    <x v="0"/>
    <x v="0"/>
    <x v="0"/>
    <x v="0"/>
    <x v="3"/>
    <x v="3"/>
    <x v="8"/>
    <n v="0"/>
  </r>
  <r>
    <x v="0"/>
    <x v="0"/>
    <x v="0"/>
    <x v="0"/>
    <x v="3"/>
    <x v="3"/>
    <x v="9"/>
    <n v="0"/>
  </r>
  <r>
    <x v="0"/>
    <x v="0"/>
    <x v="0"/>
    <x v="0"/>
    <x v="3"/>
    <x v="3"/>
    <x v="10"/>
    <n v="0"/>
  </r>
  <r>
    <x v="0"/>
    <x v="0"/>
    <x v="0"/>
    <x v="0"/>
    <x v="3"/>
    <x v="3"/>
    <x v="11"/>
    <n v="0"/>
  </r>
  <r>
    <x v="0"/>
    <x v="0"/>
    <x v="0"/>
    <x v="0"/>
    <x v="3"/>
    <x v="4"/>
    <x v="0"/>
    <n v="0"/>
  </r>
  <r>
    <x v="0"/>
    <x v="0"/>
    <x v="0"/>
    <x v="0"/>
    <x v="3"/>
    <x v="4"/>
    <x v="1"/>
    <n v="0"/>
  </r>
  <r>
    <x v="0"/>
    <x v="0"/>
    <x v="0"/>
    <x v="0"/>
    <x v="3"/>
    <x v="4"/>
    <x v="2"/>
    <n v="0"/>
  </r>
  <r>
    <x v="0"/>
    <x v="0"/>
    <x v="0"/>
    <x v="0"/>
    <x v="3"/>
    <x v="4"/>
    <x v="3"/>
    <n v="0"/>
  </r>
  <r>
    <x v="0"/>
    <x v="0"/>
    <x v="0"/>
    <x v="0"/>
    <x v="3"/>
    <x v="4"/>
    <x v="4"/>
    <n v="0"/>
  </r>
  <r>
    <x v="0"/>
    <x v="0"/>
    <x v="0"/>
    <x v="0"/>
    <x v="3"/>
    <x v="4"/>
    <x v="5"/>
    <n v="0"/>
  </r>
  <r>
    <x v="0"/>
    <x v="0"/>
    <x v="0"/>
    <x v="0"/>
    <x v="3"/>
    <x v="4"/>
    <x v="6"/>
    <n v="0"/>
  </r>
  <r>
    <x v="0"/>
    <x v="0"/>
    <x v="0"/>
    <x v="0"/>
    <x v="3"/>
    <x v="4"/>
    <x v="7"/>
    <n v="0"/>
  </r>
  <r>
    <x v="0"/>
    <x v="0"/>
    <x v="0"/>
    <x v="0"/>
    <x v="3"/>
    <x v="4"/>
    <x v="8"/>
    <n v="0"/>
  </r>
  <r>
    <x v="0"/>
    <x v="0"/>
    <x v="0"/>
    <x v="0"/>
    <x v="3"/>
    <x v="4"/>
    <x v="9"/>
    <n v="0"/>
  </r>
  <r>
    <x v="0"/>
    <x v="0"/>
    <x v="0"/>
    <x v="0"/>
    <x v="3"/>
    <x v="4"/>
    <x v="10"/>
    <n v="0"/>
  </r>
  <r>
    <x v="0"/>
    <x v="0"/>
    <x v="0"/>
    <x v="0"/>
    <x v="3"/>
    <x v="4"/>
    <x v="11"/>
    <n v="0"/>
  </r>
  <r>
    <x v="0"/>
    <x v="0"/>
    <x v="0"/>
    <x v="0"/>
    <x v="3"/>
    <x v="5"/>
    <x v="0"/>
    <n v="0"/>
  </r>
  <r>
    <x v="0"/>
    <x v="0"/>
    <x v="0"/>
    <x v="0"/>
    <x v="3"/>
    <x v="5"/>
    <x v="1"/>
    <n v="0"/>
  </r>
  <r>
    <x v="0"/>
    <x v="0"/>
    <x v="0"/>
    <x v="0"/>
    <x v="3"/>
    <x v="5"/>
    <x v="2"/>
    <n v="0"/>
  </r>
  <r>
    <x v="0"/>
    <x v="0"/>
    <x v="0"/>
    <x v="0"/>
    <x v="3"/>
    <x v="5"/>
    <x v="3"/>
    <n v="0"/>
  </r>
  <r>
    <x v="0"/>
    <x v="0"/>
    <x v="0"/>
    <x v="0"/>
    <x v="3"/>
    <x v="5"/>
    <x v="4"/>
    <n v="0"/>
  </r>
  <r>
    <x v="0"/>
    <x v="0"/>
    <x v="0"/>
    <x v="0"/>
    <x v="3"/>
    <x v="5"/>
    <x v="5"/>
    <n v="0"/>
  </r>
  <r>
    <x v="0"/>
    <x v="0"/>
    <x v="0"/>
    <x v="0"/>
    <x v="3"/>
    <x v="5"/>
    <x v="6"/>
    <n v="0"/>
  </r>
  <r>
    <x v="0"/>
    <x v="0"/>
    <x v="0"/>
    <x v="0"/>
    <x v="3"/>
    <x v="5"/>
    <x v="7"/>
    <n v="0"/>
  </r>
  <r>
    <x v="0"/>
    <x v="0"/>
    <x v="0"/>
    <x v="0"/>
    <x v="3"/>
    <x v="5"/>
    <x v="8"/>
    <n v="0"/>
  </r>
  <r>
    <x v="0"/>
    <x v="0"/>
    <x v="0"/>
    <x v="0"/>
    <x v="3"/>
    <x v="5"/>
    <x v="9"/>
    <n v="0"/>
  </r>
  <r>
    <x v="0"/>
    <x v="0"/>
    <x v="0"/>
    <x v="0"/>
    <x v="3"/>
    <x v="5"/>
    <x v="10"/>
    <n v="0"/>
  </r>
  <r>
    <x v="0"/>
    <x v="0"/>
    <x v="0"/>
    <x v="0"/>
    <x v="3"/>
    <x v="5"/>
    <x v="11"/>
    <n v="0"/>
  </r>
  <r>
    <x v="0"/>
    <x v="0"/>
    <x v="0"/>
    <x v="0"/>
    <x v="3"/>
    <x v="6"/>
    <x v="0"/>
    <n v="0"/>
  </r>
  <r>
    <x v="0"/>
    <x v="0"/>
    <x v="0"/>
    <x v="0"/>
    <x v="3"/>
    <x v="6"/>
    <x v="1"/>
    <n v="0"/>
  </r>
  <r>
    <x v="0"/>
    <x v="0"/>
    <x v="0"/>
    <x v="0"/>
    <x v="3"/>
    <x v="6"/>
    <x v="2"/>
    <n v="0"/>
  </r>
  <r>
    <x v="0"/>
    <x v="0"/>
    <x v="0"/>
    <x v="0"/>
    <x v="3"/>
    <x v="6"/>
    <x v="3"/>
    <n v="0"/>
  </r>
  <r>
    <x v="0"/>
    <x v="0"/>
    <x v="0"/>
    <x v="0"/>
    <x v="3"/>
    <x v="6"/>
    <x v="4"/>
    <n v="0"/>
  </r>
  <r>
    <x v="0"/>
    <x v="0"/>
    <x v="0"/>
    <x v="0"/>
    <x v="3"/>
    <x v="6"/>
    <x v="5"/>
    <n v="0"/>
  </r>
  <r>
    <x v="0"/>
    <x v="0"/>
    <x v="0"/>
    <x v="0"/>
    <x v="3"/>
    <x v="6"/>
    <x v="6"/>
    <n v="0"/>
  </r>
  <r>
    <x v="0"/>
    <x v="0"/>
    <x v="0"/>
    <x v="0"/>
    <x v="3"/>
    <x v="6"/>
    <x v="7"/>
    <n v="0"/>
  </r>
  <r>
    <x v="0"/>
    <x v="0"/>
    <x v="0"/>
    <x v="0"/>
    <x v="3"/>
    <x v="6"/>
    <x v="8"/>
    <n v="0"/>
  </r>
  <r>
    <x v="0"/>
    <x v="0"/>
    <x v="0"/>
    <x v="0"/>
    <x v="3"/>
    <x v="6"/>
    <x v="9"/>
    <n v="0"/>
  </r>
  <r>
    <x v="0"/>
    <x v="0"/>
    <x v="0"/>
    <x v="0"/>
    <x v="3"/>
    <x v="6"/>
    <x v="10"/>
    <n v="0"/>
  </r>
  <r>
    <x v="0"/>
    <x v="0"/>
    <x v="0"/>
    <x v="0"/>
    <x v="3"/>
    <x v="6"/>
    <x v="11"/>
    <n v="0"/>
  </r>
  <r>
    <x v="0"/>
    <x v="0"/>
    <x v="0"/>
    <x v="0"/>
    <x v="3"/>
    <x v="7"/>
    <x v="0"/>
    <n v="0"/>
  </r>
  <r>
    <x v="0"/>
    <x v="0"/>
    <x v="0"/>
    <x v="0"/>
    <x v="3"/>
    <x v="7"/>
    <x v="1"/>
    <n v="0"/>
  </r>
  <r>
    <x v="0"/>
    <x v="0"/>
    <x v="0"/>
    <x v="0"/>
    <x v="3"/>
    <x v="7"/>
    <x v="2"/>
    <n v="0"/>
  </r>
  <r>
    <x v="0"/>
    <x v="0"/>
    <x v="0"/>
    <x v="0"/>
    <x v="3"/>
    <x v="7"/>
    <x v="3"/>
    <n v="0"/>
  </r>
  <r>
    <x v="0"/>
    <x v="0"/>
    <x v="0"/>
    <x v="0"/>
    <x v="3"/>
    <x v="7"/>
    <x v="4"/>
    <n v="0"/>
  </r>
  <r>
    <x v="0"/>
    <x v="0"/>
    <x v="0"/>
    <x v="0"/>
    <x v="3"/>
    <x v="7"/>
    <x v="5"/>
    <n v="0"/>
  </r>
  <r>
    <x v="0"/>
    <x v="0"/>
    <x v="0"/>
    <x v="0"/>
    <x v="3"/>
    <x v="7"/>
    <x v="6"/>
    <n v="0"/>
  </r>
  <r>
    <x v="0"/>
    <x v="0"/>
    <x v="0"/>
    <x v="0"/>
    <x v="3"/>
    <x v="7"/>
    <x v="7"/>
    <n v="0"/>
  </r>
  <r>
    <x v="0"/>
    <x v="0"/>
    <x v="0"/>
    <x v="0"/>
    <x v="3"/>
    <x v="7"/>
    <x v="8"/>
    <n v="0"/>
  </r>
  <r>
    <x v="0"/>
    <x v="0"/>
    <x v="0"/>
    <x v="0"/>
    <x v="3"/>
    <x v="7"/>
    <x v="9"/>
    <n v="0"/>
  </r>
  <r>
    <x v="0"/>
    <x v="0"/>
    <x v="0"/>
    <x v="0"/>
    <x v="3"/>
    <x v="7"/>
    <x v="10"/>
    <n v="0"/>
  </r>
  <r>
    <x v="0"/>
    <x v="0"/>
    <x v="0"/>
    <x v="0"/>
    <x v="3"/>
    <x v="7"/>
    <x v="11"/>
    <n v="0"/>
  </r>
  <r>
    <x v="0"/>
    <x v="0"/>
    <x v="0"/>
    <x v="0"/>
    <x v="3"/>
    <x v="8"/>
    <x v="0"/>
    <n v="0"/>
  </r>
  <r>
    <x v="0"/>
    <x v="0"/>
    <x v="0"/>
    <x v="0"/>
    <x v="3"/>
    <x v="8"/>
    <x v="1"/>
    <n v="0"/>
  </r>
  <r>
    <x v="0"/>
    <x v="0"/>
    <x v="0"/>
    <x v="0"/>
    <x v="3"/>
    <x v="8"/>
    <x v="2"/>
    <n v="0"/>
  </r>
  <r>
    <x v="0"/>
    <x v="0"/>
    <x v="0"/>
    <x v="0"/>
    <x v="3"/>
    <x v="8"/>
    <x v="3"/>
    <n v="0"/>
  </r>
  <r>
    <x v="0"/>
    <x v="0"/>
    <x v="0"/>
    <x v="0"/>
    <x v="3"/>
    <x v="8"/>
    <x v="4"/>
    <n v="0"/>
  </r>
  <r>
    <x v="0"/>
    <x v="0"/>
    <x v="0"/>
    <x v="0"/>
    <x v="3"/>
    <x v="8"/>
    <x v="5"/>
    <n v="-0.68"/>
  </r>
  <r>
    <x v="0"/>
    <x v="0"/>
    <x v="0"/>
    <x v="0"/>
    <x v="3"/>
    <x v="8"/>
    <x v="6"/>
    <n v="0"/>
  </r>
  <r>
    <x v="0"/>
    <x v="0"/>
    <x v="0"/>
    <x v="0"/>
    <x v="3"/>
    <x v="8"/>
    <x v="7"/>
    <n v="0"/>
  </r>
  <r>
    <x v="0"/>
    <x v="0"/>
    <x v="0"/>
    <x v="0"/>
    <x v="3"/>
    <x v="8"/>
    <x v="8"/>
    <n v="0"/>
  </r>
  <r>
    <x v="0"/>
    <x v="0"/>
    <x v="0"/>
    <x v="0"/>
    <x v="3"/>
    <x v="8"/>
    <x v="9"/>
    <n v="0"/>
  </r>
  <r>
    <x v="0"/>
    <x v="0"/>
    <x v="0"/>
    <x v="0"/>
    <x v="3"/>
    <x v="8"/>
    <x v="10"/>
    <n v="0"/>
  </r>
  <r>
    <x v="0"/>
    <x v="0"/>
    <x v="0"/>
    <x v="0"/>
    <x v="3"/>
    <x v="8"/>
    <x v="11"/>
    <n v="0"/>
  </r>
  <r>
    <x v="0"/>
    <x v="0"/>
    <x v="0"/>
    <x v="0"/>
    <x v="3"/>
    <x v="9"/>
    <x v="0"/>
    <n v="0"/>
  </r>
  <r>
    <x v="0"/>
    <x v="0"/>
    <x v="0"/>
    <x v="0"/>
    <x v="3"/>
    <x v="9"/>
    <x v="1"/>
    <n v="0"/>
  </r>
  <r>
    <x v="0"/>
    <x v="0"/>
    <x v="0"/>
    <x v="0"/>
    <x v="3"/>
    <x v="9"/>
    <x v="2"/>
    <n v="0"/>
  </r>
  <r>
    <x v="0"/>
    <x v="0"/>
    <x v="0"/>
    <x v="0"/>
    <x v="3"/>
    <x v="9"/>
    <x v="3"/>
    <n v="0"/>
  </r>
  <r>
    <x v="0"/>
    <x v="0"/>
    <x v="0"/>
    <x v="0"/>
    <x v="3"/>
    <x v="9"/>
    <x v="4"/>
    <n v="0"/>
  </r>
  <r>
    <x v="0"/>
    <x v="0"/>
    <x v="0"/>
    <x v="0"/>
    <x v="3"/>
    <x v="9"/>
    <x v="5"/>
    <n v="-0.68"/>
  </r>
  <r>
    <x v="0"/>
    <x v="0"/>
    <x v="0"/>
    <x v="0"/>
    <x v="3"/>
    <x v="9"/>
    <x v="6"/>
    <n v="-0.68"/>
  </r>
  <r>
    <x v="0"/>
    <x v="0"/>
    <x v="0"/>
    <x v="0"/>
    <x v="3"/>
    <x v="9"/>
    <x v="7"/>
    <n v="-0.131132507791517"/>
  </r>
  <r>
    <x v="0"/>
    <x v="0"/>
    <x v="0"/>
    <x v="0"/>
    <x v="3"/>
    <x v="9"/>
    <x v="8"/>
    <n v="0"/>
  </r>
  <r>
    <x v="0"/>
    <x v="0"/>
    <x v="0"/>
    <x v="0"/>
    <x v="3"/>
    <x v="9"/>
    <x v="9"/>
    <n v="0"/>
  </r>
  <r>
    <x v="0"/>
    <x v="0"/>
    <x v="0"/>
    <x v="0"/>
    <x v="3"/>
    <x v="9"/>
    <x v="10"/>
    <n v="0"/>
  </r>
  <r>
    <x v="0"/>
    <x v="0"/>
    <x v="0"/>
    <x v="0"/>
    <x v="3"/>
    <x v="9"/>
    <x v="11"/>
    <n v="0"/>
  </r>
  <r>
    <x v="0"/>
    <x v="0"/>
    <x v="0"/>
    <x v="0"/>
    <x v="3"/>
    <x v="10"/>
    <x v="0"/>
    <n v="-0.68"/>
  </r>
  <r>
    <x v="0"/>
    <x v="0"/>
    <x v="0"/>
    <x v="0"/>
    <x v="3"/>
    <x v="10"/>
    <x v="1"/>
    <n v="-0.68"/>
  </r>
  <r>
    <x v="0"/>
    <x v="0"/>
    <x v="0"/>
    <x v="0"/>
    <x v="3"/>
    <x v="10"/>
    <x v="2"/>
    <n v="-0.68"/>
  </r>
  <r>
    <x v="0"/>
    <x v="0"/>
    <x v="0"/>
    <x v="0"/>
    <x v="3"/>
    <x v="10"/>
    <x v="3"/>
    <n v="-0.68"/>
  </r>
  <r>
    <x v="0"/>
    <x v="0"/>
    <x v="0"/>
    <x v="0"/>
    <x v="3"/>
    <x v="10"/>
    <x v="4"/>
    <n v="-0.68"/>
  </r>
  <r>
    <x v="0"/>
    <x v="0"/>
    <x v="0"/>
    <x v="0"/>
    <x v="3"/>
    <x v="10"/>
    <x v="5"/>
    <n v="-0.68"/>
  </r>
  <r>
    <x v="0"/>
    <x v="0"/>
    <x v="0"/>
    <x v="0"/>
    <x v="3"/>
    <x v="10"/>
    <x v="6"/>
    <n v="0"/>
  </r>
  <r>
    <x v="0"/>
    <x v="0"/>
    <x v="0"/>
    <x v="0"/>
    <x v="3"/>
    <x v="10"/>
    <x v="7"/>
    <n v="0"/>
  </r>
  <r>
    <x v="0"/>
    <x v="0"/>
    <x v="0"/>
    <x v="0"/>
    <x v="3"/>
    <x v="10"/>
    <x v="8"/>
    <n v="0"/>
  </r>
  <r>
    <x v="0"/>
    <x v="0"/>
    <x v="0"/>
    <x v="0"/>
    <x v="3"/>
    <x v="10"/>
    <x v="9"/>
    <n v="0"/>
  </r>
  <r>
    <x v="0"/>
    <x v="0"/>
    <x v="0"/>
    <x v="0"/>
    <x v="3"/>
    <x v="10"/>
    <x v="10"/>
    <n v="0"/>
  </r>
  <r>
    <x v="0"/>
    <x v="0"/>
    <x v="0"/>
    <x v="0"/>
    <x v="3"/>
    <x v="10"/>
    <x v="11"/>
    <n v="-0.68"/>
  </r>
  <r>
    <x v="0"/>
    <x v="0"/>
    <x v="0"/>
    <x v="0"/>
    <x v="3"/>
    <x v="11"/>
    <x v="0"/>
    <n v="-0.68"/>
  </r>
  <r>
    <x v="0"/>
    <x v="0"/>
    <x v="0"/>
    <x v="0"/>
    <x v="3"/>
    <x v="11"/>
    <x v="1"/>
    <n v="-0.68"/>
  </r>
  <r>
    <x v="0"/>
    <x v="0"/>
    <x v="0"/>
    <x v="0"/>
    <x v="3"/>
    <x v="11"/>
    <x v="2"/>
    <n v="-0.68"/>
  </r>
  <r>
    <x v="0"/>
    <x v="0"/>
    <x v="0"/>
    <x v="0"/>
    <x v="3"/>
    <x v="11"/>
    <x v="3"/>
    <n v="-0.68"/>
  </r>
  <r>
    <x v="0"/>
    <x v="0"/>
    <x v="0"/>
    <x v="0"/>
    <x v="3"/>
    <x v="11"/>
    <x v="4"/>
    <n v="-0.68"/>
  </r>
  <r>
    <x v="0"/>
    <x v="0"/>
    <x v="0"/>
    <x v="0"/>
    <x v="3"/>
    <x v="11"/>
    <x v="5"/>
    <n v="-0.68"/>
  </r>
  <r>
    <x v="0"/>
    <x v="0"/>
    <x v="0"/>
    <x v="0"/>
    <x v="3"/>
    <x v="11"/>
    <x v="6"/>
    <n v="0"/>
  </r>
  <r>
    <x v="0"/>
    <x v="0"/>
    <x v="0"/>
    <x v="0"/>
    <x v="3"/>
    <x v="11"/>
    <x v="7"/>
    <n v="-0.68"/>
  </r>
  <r>
    <x v="0"/>
    <x v="0"/>
    <x v="0"/>
    <x v="0"/>
    <x v="3"/>
    <x v="11"/>
    <x v="8"/>
    <n v="-0.68"/>
  </r>
  <r>
    <x v="0"/>
    <x v="0"/>
    <x v="0"/>
    <x v="0"/>
    <x v="3"/>
    <x v="11"/>
    <x v="9"/>
    <n v="-0.68"/>
  </r>
  <r>
    <x v="0"/>
    <x v="0"/>
    <x v="0"/>
    <x v="0"/>
    <x v="3"/>
    <x v="11"/>
    <x v="10"/>
    <n v="-0.68"/>
  </r>
  <r>
    <x v="0"/>
    <x v="0"/>
    <x v="0"/>
    <x v="0"/>
    <x v="3"/>
    <x v="11"/>
    <x v="11"/>
    <n v="-0.68"/>
  </r>
  <r>
    <x v="0"/>
    <x v="0"/>
    <x v="0"/>
    <x v="1"/>
    <x v="4"/>
    <x v="0"/>
    <x v="0"/>
    <n v="0"/>
  </r>
  <r>
    <x v="0"/>
    <x v="0"/>
    <x v="0"/>
    <x v="1"/>
    <x v="4"/>
    <x v="0"/>
    <x v="1"/>
    <n v="0"/>
  </r>
  <r>
    <x v="0"/>
    <x v="0"/>
    <x v="0"/>
    <x v="1"/>
    <x v="4"/>
    <x v="0"/>
    <x v="2"/>
    <n v="0"/>
  </r>
  <r>
    <x v="0"/>
    <x v="0"/>
    <x v="0"/>
    <x v="1"/>
    <x v="4"/>
    <x v="0"/>
    <x v="3"/>
    <n v="0"/>
  </r>
  <r>
    <x v="0"/>
    <x v="0"/>
    <x v="0"/>
    <x v="1"/>
    <x v="4"/>
    <x v="0"/>
    <x v="4"/>
    <n v="0"/>
  </r>
  <r>
    <x v="0"/>
    <x v="0"/>
    <x v="0"/>
    <x v="1"/>
    <x v="4"/>
    <x v="0"/>
    <x v="5"/>
    <n v="0"/>
  </r>
  <r>
    <x v="0"/>
    <x v="0"/>
    <x v="0"/>
    <x v="1"/>
    <x v="4"/>
    <x v="0"/>
    <x v="6"/>
    <n v="0"/>
  </r>
  <r>
    <x v="0"/>
    <x v="0"/>
    <x v="0"/>
    <x v="1"/>
    <x v="4"/>
    <x v="0"/>
    <x v="7"/>
    <n v="0"/>
  </r>
  <r>
    <x v="0"/>
    <x v="0"/>
    <x v="0"/>
    <x v="1"/>
    <x v="4"/>
    <x v="0"/>
    <x v="8"/>
    <n v="0"/>
  </r>
  <r>
    <x v="0"/>
    <x v="0"/>
    <x v="0"/>
    <x v="1"/>
    <x v="4"/>
    <x v="0"/>
    <x v="9"/>
    <n v="0"/>
  </r>
  <r>
    <x v="0"/>
    <x v="0"/>
    <x v="0"/>
    <x v="1"/>
    <x v="4"/>
    <x v="0"/>
    <x v="10"/>
    <n v="0"/>
  </r>
  <r>
    <x v="0"/>
    <x v="0"/>
    <x v="0"/>
    <x v="1"/>
    <x v="4"/>
    <x v="0"/>
    <x v="11"/>
    <n v="0"/>
  </r>
  <r>
    <x v="0"/>
    <x v="0"/>
    <x v="0"/>
    <x v="1"/>
    <x v="4"/>
    <x v="1"/>
    <x v="0"/>
    <n v="0"/>
  </r>
  <r>
    <x v="0"/>
    <x v="0"/>
    <x v="0"/>
    <x v="1"/>
    <x v="4"/>
    <x v="1"/>
    <x v="1"/>
    <n v="0"/>
  </r>
  <r>
    <x v="0"/>
    <x v="0"/>
    <x v="0"/>
    <x v="1"/>
    <x v="4"/>
    <x v="1"/>
    <x v="2"/>
    <n v="0"/>
  </r>
  <r>
    <x v="0"/>
    <x v="0"/>
    <x v="0"/>
    <x v="1"/>
    <x v="4"/>
    <x v="1"/>
    <x v="3"/>
    <n v="0"/>
  </r>
  <r>
    <x v="0"/>
    <x v="0"/>
    <x v="0"/>
    <x v="1"/>
    <x v="4"/>
    <x v="1"/>
    <x v="4"/>
    <n v="0"/>
  </r>
  <r>
    <x v="0"/>
    <x v="0"/>
    <x v="0"/>
    <x v="1"/>
    <x v="4"/>
    <x v="1"/>
    <x v="5"/>
    <n v="0"/>
  </r>
  <r>
    <x v="0"/>
    <x v="0"/>
    <x v="0"/>
    <x v="1"/>
    <x v="4"/>
    <x v="1"/>
    <x v="6"/>
    <n v="0"/>
  </r>
  <r>
    <x v="0"/>
    <x v="0"/>
    <x v="0"/>
    <x v="1"/>
    <x v="4"/>
    <x v="1"/>
    <x v="7"/>
    <n v="0"/>
  </r>
  <r>
    <x v="0"/>
    <x v="0"/>
    <x v="0"/>
    <x v="1"/>
    <x v="4"/>
    <x v="1"/>
    <x v="8"/>
    <n v="0"/>
  </r>
  <r>
    <x v="0"/>
    <x v="0"/>
    <x v="0"/>
    <x v="1"/>
    <x v="4"/>
    <x v="1"/>
    <x v="9"/>
    <n v="0"/>
  </r>
  <r>
    <x v="0"/>
    <x v="0"/>
    <x v="0"/>
    <x v="1"/>
    <x v="4"/>
    <x v="1"/>
    <x v="10"/>
    <n v="0"/>
  </r>
  <r>
    <x v="0"/>
    <x v="0"/>
    <x v="0"/>
    <x v="1"/>
    <x v="4"/>
    <x v="1"/>
    <x v="11"/>
    <n v="0"/>
  </r>
  <r>
    <x v="0"/>
    <x v="0"/>
    <x v="0"/>
    <x v="1"/>
    <x v="4"/>
    <x v="2"/>
    <x v="0"/>
    <n v="0"/>
  </r>
  <r>
    <x v="0"/>
    <x v="0"/>
    <x v="0"/>
    <x v="1"/>
    <x v="4"/>
    <x v="2"/>
    <x v="1"/>
    <n v="0"/>
  </r>
  <r>
    <x v="0"/>
    <x v="0"/>
    <x v="0"/>
    <x v="1"/>
    <x v="4"/>
    <x v="2"/>
    <x v="2"/>
    <n v="0"/>
  </r>
  <r>
    <x v="0"/>
    <x v="0"/>
    <x v="0"/>
    <x v="1"/>
    <x v="4"/>
    <x v="2"/>
    <x v="3"/>
    <n v="0"/>
  </r>
  <r>
    <x v="0"/>
    <x v="0"/>
    <x v="0"/>
    <x v="1"/>
    <x v="4"/>
    <x v="2"/>
    <x v="4"/>
    <n v="0"/>
  </r>
  <r>
    <x v="0"/>
    <x v="0"/>
    <x v="0"/>
    <x v="1"/>
    <x v="4"/>
    <x v="2"/>
    <x v="5"/>
    <n v="0"/>
  </r>
  <r>
    <x v="0"/>
    <x v="0"/>
    <x v="0"/>
    <x v="1"/>
    <x v="4"/>
    <x v="2"/>
    <x v="6"/>
    <n v="0"/>
  </r>
  <r>
    <x v="0"/>
    <x v="0"/>
    <x v="0"/>
    <x v="1"/>
    <x v="4"/>
    <x v="2"/>
    <x v="7"/>
    <n v="0"/>
  </r>
  <r>
    <x v="0"/>
    <x v="0"/>
    <x v="0"/>
    <x v="1"/>
    <x v="4"/>
    <x v="2"/>
    <x v="8"/>
    <n v="0"/>
  </r>
  <r>
    <x v="0"/>
    <x v="0"/>
    <x v="0"/>
    <x v="1"/>
    <x v="4"/>
    <x v="2"/>
    <x v="9"/>
    <n v="0"/>
  </r>
  <r>
    <x v="0"/>
    <x v="0"/>
    <x v="0"/>
    <x v="1"/>
    <x v="4"/>
    <x v="2"/>
    <x v="10"/>
    <n v="0"/>
  </r>
  <r>
    <x v="0"/>
    <x v="0"/>
    <x v="0"/>
    <x v="1"/>
    <x v="4"/>
    <x v="2"/>
    <x v="11"/>
    <n v="0"/>
  </r>
  <r>
    <x v="0"/>
    <x v="0"/>
    <x v="0"/>
    <x v="1"/>
    <x v="4"/>
    <x v="3"/>
    <x v="0"/>
    <n v="0"/>
  </r>
  <r>
    <x v="0"/>
    <x v="0"/>
    <x v="0"/>
    <x v="1"/>
    <x v="4"/>
    <x v="3"/>
    <x v="1"/>
    <n v="0"/>
  </r>
  <r>
    <x v="0"/>
    <x v="0"/>
    <x v="0"/>
    <x v="1"/>
    <x v="4"/>
    <x v="3"/>
    <x v="2"/>
    <n v="0"/>
  </r>
  <r>
    <x v="0"/>
    <x v="0"/>
    <x v="0"/>
    <x v="1"/>
    <x v="4"/>
    <x v="3"/>
    <x v="3"/>
    <n v="0"/>
  </r>
  <r>
    <x v="0"/>
    <x v="0"/>
    <x v="0"/>
    <x v="1"/>
    <x v="4"/>
    <x v="3"/>
    <x v="4"/>
    <n v="0"/>
  </r>
  <r>
    <x v="0"/>
    <x v="0"/>
    <x v="0"/>
    <x v="1"/>
    <x v="4"/>
    <x v="3"/>
    <x v="5"/>
    <n v="0"/>
  </r>
  <r>
    <x v="0"/>
    <x v="0"/>
    <x v="0"/>
    <x v="1"/>
    <x v="4"/>
    <x v="3"/>
    <x v="6"/>
    <n v="0"/>
  </r>
  <r>
    <x v="0"/>
    <x v="0"/>
    <x v="0"/>
    <x v="1"/>
    <x v="4"/>
    <x v="3"/>
    <x v="7"/>
    <n v="0"/>
  </r>
  <r>
    <x v="0"/>
    <x v="0"/>
    <x v="0"/>
    <x v="1"/>
    <x v="4"/>
    <x v="3"/>
    <x v="8"/>
    <n v="0"/>
  </r>
  <r>
    <x v="0"/>
    <x v="0"/>
    <x v="0"/>
    <x v="1"/>
    <x v="4"/>
    <x v="3"/>
    <x v="9"/>
    <n v="0"/>
  </r>
  <r>
    <x v="0"/>
    <x v="0"/>
    <x v="0"/>
    <x v="1"/>
    <x v="4"/>
    <x v="3"/>
    <x v="10"/>
    <n v="0"/>
  </r>
  <r>
    <x v="0"/>
    <x v="0"/>
    <x v="0"/>
    <x v="1"/>
    <x v="4"/>
    <x v="3"/>
    <x v="11"/>
    <n v="0"/>
  </r>
  <r>
    <x v="0"/>
    <x v="0"/>
    <x v="0"/>
    <x v="1"/>
    <x v="4"/>
    <x v="4"/>
    <x v="0"/>
    <n v="0"/>
  </r>
  <r>
    <x v="0"/>
    <x v="0"/>
    <x v="0"/>
    <x v="1"/>
    <x v="4"/>
    <x v="4"/>
    <x v="1"/>
    <n v="0"/>
  </r>
  <r>
    <x v="0"/>
    <x v="0"/>
    <x v="0"/>
    <x v="1"/>
    <x v="4"/>
    <x v="4"/>
    <x v="2"/>
    <n v="0"/>
  </r>
  <r>
    <x v="0"/>
    <x v="0"/>
    <x v="0"/>
    <x v="1"/>
    <x v="4"/>
    <x v="4"/>
    <x v="3"/>
    <n v="0"/>
  </r>
  <r>
    <x v="0"/>
    <x v="0"/>
    <x v="0"/>
    <x v="1"/>
    <x v="4"/>
    <x v="4"/>
    <x v="4"/>
    <n v="0"/>
  </r>
  <r>
    <x v="0"/>
    <x v="0"/>
    <x v="0"/>
    <x v="1"/>
    <x v="4"/>
    <x v="4"/>
    <x v="5"/>
    <n v="0"/>
  </r>
  <r>
    <x v="0"/>
    <x v="0"/>
    <x v="0"/>
    <x v="1"/>
    <x v="4"/>
    <x v="4"/>
    <x v="6"/>
    <n v="0"/>
  </r>
  <r>
    <x v="0"/>
    <x v="0"/>
    <x v="0"/>
    <x v="1"/>
    <x v="4"/>
    <x v="4"/>
    <x v="7"/>
    <n v="0"/>
  </r>
  <r>
    <x v="0"/>
    <x v="0"/>
    <x v="0"/>
    <x v="1"/>
    <x v="4"/>
    <x v="4"/>
    <x v="8"/>
    <n v="0"/>
  </r>
  <r>
    <x v="0"/>
    <x v="0"/>
    <x v="0"/>
    <x v="1"/>
    <x v="4"/>
    <x v="4"/>
    <x v="9"/>
    <n v="0"/>
  </r>
  <r>
    <x v="0"/>
    <x v="0"/>
    <x v="0"/>
    <x v="1"/>
    <x v="4"/>
    <x v="4"/>
    <x v="10"/>
    <n v="0"/>
  </r>
  <r>
    <x v="0"/>
    <x v="0"/>
    <x v="0"/>
    <x v="1"/>
    <x v="4"/>
    <x v="4"/>
    <x v="11"/>
    <n v="0"/>
  </r>
  <r>
    <x v="0"/>
    <x v="0"/>
    <x v="0"/>
    <x v="1"/>
    <x v="4"/>
    <x v="5"/>
    <x v="0"/>
    <n v="0"/>
  </r>
  <r>
    <x v="0"/>
    <x v="0"/>
    <x v="0"/>
    <x v="1"/>
    <x v="4"/>
    <x v="5"/>
    <x v="1"/>
    <n v="0"/>
  </r>
  <r>
    <x v="0"/>
    <x v="0"/>
    <x v="0"/>
    <x v="1"/>
    <x v="4"/>
    <x v="5"/>
    <x v="2"/>
    <n v="0"/>
  </r>
  <r>
    <x v="0"/>
    <x v="0"/>
    <x v="0"/>
    <x v="1"/>
    <x v="4"/>
    <x v="5"/>
    <x v="3"/>
    <n v="0"/>
  </r>
  <r>
    <x v="0"/>
    <x v="0"/>
    <x v="0"/>
    <x v="1"/>
    <x v="4"/>
    <x v="5"/>
    <x v="4"/>
    <n v="0"/>
  </r>
  <r>
    <x v="0"/>
    <x v="0"/>
    <x v="0"/>
    <x v="1"/>
    <x v="4"/>
    <x v="5"/>
    <x v="5"/>
    <n v="0"/>
  </r>
  <r>
    <x v="0"/>
    <x v="0"/>
    <x v="0"/>
    <x v="1"/>
    <x v="4"/>
    <x v="5"/>
    <x v="6"/>
    <n v="0"/>
  </r>
  <r>
    <x v="0"/>
    <x v="0"/>
    <x v="0"/>
    <x v="1"/>
    <x v="4"/>
    <x v="5"/>
    <x v="7"/>
    <n v="0"/>
  </r>
  <r>
    <x v="0"/>
    <x v="0"/>
    <x v="0"/>
    <x v="1"/>
    <x v="4"/>
    <x v="5"/>
    <x v="8"/>
    <n v="0"/>
  </r>
  <r>
    <x v="0"/>
    <x v="0"/>
    <x v="0"/>
    <x v="1"/>
    <x v="4"/>
    <x v="5"/>
    <x v="9"/>
    <n v="0"/>
  </r>
  <r>
    <x v="0"/>
    <x v="0"/>
    <x v="0"/>
    <x v="1"/>
    <x v="4"/>
    <x v="5"/>
    <x v="10"/>
    <n v="0"/>
  </r>
  <r>
    <x v="0"/>
    <x v="0"/>
    <x v="0"/>
    <x v="1"/>
    <x v="4"/>
    <x v="5"/>
    <x v="11"/>
    <n v="0"/>
  </r>
  <r>
    <x v="0"/>
    <x v="0"/>
    <x v="0"/>
    <x v="1"/>
    <x v="4"/>
    <x v="6"/>
    <x v="0"/>
    <n v="0"/>
  </r>
  <r>
    <x v="0"/>
    <x v="0"/>
    <x v="0"/>
    <x v="1"/>
    <x v="4"/>
    <x v="6"/>
    <x v="1"/>
    <n v="0"/>
  </r>
  <r>
    <x v="0"/>
    <x v="0"/>
    <x v="0"/>
    <x v="1"/>
    <x v="4"/>
    <x v="6"/>
    <x v="2"/>
    <n v="0"/>
  </r>
  <r>
    <x v="0"/>
    <x v="0"/>
    <x v="0"/>
    <x v="1"/>
    <x v="4"/>
    <x v="6"/>
    <x v="3"/>
    <n v="0"/>
  </r>
  <r>
    <x v="0"/>
    <x v="0"/>
    <x v="0"/>
    <x v="1"/>
    <x v="4"/>
    <x v="6"/>
    <x v="4"/>
    <n v="0"/>
  </r>
  <r>
    <x v="0"/>
    <x v="0"/>
    <x v="0"/>
    <x v="1"/>
    <x v="4"/>
    <x v="6"/>
    <x v="5"/>
    <n v="0"/>
  </r>
  <r>
    <x v="0"/>
    <x v="0"/>
    <x v="0"/>
    <x v="1"/>
    <x v="4"/>
    <x v="6"/>
    <x v="6"/>
    <n v="0"/>
  </r>
  <r>
    <x v="0"/>
    <x v="0"/>
    <x v="0"/>
    <x v="1"/>
    <x v="4"/>
    <x v="6"/>
    <x v="7"/>
    <n v="0"/>
  </r>
  <r>
    <x v="0"/>
    <x v="0"/>
    <x v="0"/>
    <x v="1"/>
    <x v="4"/>
    <x v="6"/>
    <x v="8"/>
    <n v="0"/>
  </r>
  <r>
    <x v="0"/>
    <x v="0"/>
    <x v="0"/>
    <x v="1"/>
    <x v="4"/>
    <x v="6"/>
    <x v="9"/>
    <n v="0"/>
  </r>
  <r>
    <x v="0"/>
    <x v="0"/>
    <x v="0"/>
    <x v="1"/>
    <x v="4"/>
    <x v="6"/>
    <x v="10"/>
    <n v="0"/>
  </r>
  <r>
    <x v="0"/>
    <x v="0"/>
    <x v="0"/>
    <x v="1"/>
    <x v="4"/>
    <x v="6"/>
    <x v="11"/>
    <n v="0"/>
  </r>
  <r>
    <x v="0"/>
    <x v="0"/>
    <x v="0"/>
    <x v="1"/>
    <x v="4"/>
    <x v="7"/>
    <x v="0"/>
    <n v="0"/>
  </r>
  <r>
    <x v="0"/>
    <x v="0"/>
    <x v="0"/>
    <x v="1"/>
    <x v="4"/>
    <x v="7"/>
    <x v="1"/>
    <n v="0"/>
  </r>
  <r>
    <x v="0"/>
    <x v="0"/>
    <x v="0"/>
    <x v="1"/>
    <x v="4"/>
    <x v="7"/>
    <x v="2"/>
    <n v="0"/>
  </r>
  <r>
    <x v="0"/>
    <x v="0"/>
    <x v="0"/>
    <x v="1"/>
    <x v="4"/>
    <x v="7"/>
    <x v="3"/>
    <n v="0"/>
  </r>
  <r>
    <x v="0"/>
    <x v="0"/>
    <x v="0"/>
    <x v="1"/>
    <x v="4"/>
    <x v="7"/>
    <x v="4"/>
    <n v="0"/>
  </r>
  <r>
    <x v="0"/>
    <x v="0"/>
    <x v="0"/>
    <x v="1"/>
    <x v="4"/>
    <x v="7"/>
    <x v="5"/>
    <n v="0"/>
  </r>
  <r>
    <x v="0"/>
    <x v="0"/>
    <x v="0"/>
    <x v="1"/>
    <x v="4"/>
    <x v="7"/>
    <x v="6"/>
    <n v="0"/>
  </r>
  <r>
    <x v="0"/>
    <x v="0"/>
    <x v="0"/>
    <x v="1"/>
    <x v="4"/>
    <x v="7"/>
    <x v="7"/>
    <n v="0"/>
  </r>
  <r>
    <x v="0"/>
    <x v="0"/>
    <x v="0"/>
    <x v="1"/>
    <x v="4"/>
    <x v="7"/>
    <x v="8"/>
    <n v="0"/>
  </r>
  <r>
    <x v="0"/>
    <x v="0"/>
    <x v="0"/>
    <x v="1"/>
    <x v="4"/>
    <x v="7"/>
    <x v="9"/>
    <n v="0"/>
  </r>
  <r>
    <x v="0"/>
    <x v="0"/>
    <x v="0"/>
    <x v="1"/>
    <x v="4"/>
    <x v="7"/>
    <x v="10"/>
    <n v="0"/>
  </r>
  <r>
    <x v="0"/>
    <x v="0"/>
    <x v="0"/>
    <x v="1"/>
    <x v="4"/>
    <x v="7"/>
    <x v="11"/>
    <n v="0"/>
  </r>
  <r>
    <x v="0"/>
    <x v="0"/>
    <x v="0"/>
    <x v="1"/>
    <x v="4"/>
    <x v="8"/>
    <x v="0"/>
    <n v="0"/>
  </r>
  <r>
    <x v="0"/>
    <x v="0"/>
    <x v="0"/>
    <x v="1"/>
    <x v="4"/>
    <x v="8"/>
    <x v="1"/>
    <n v="0"/>
  </r>
  <r>
    <x v="0"/>
    <x v="0"/>
    <x v="0"/>
    <x v="1"/>
    <x v="4"/>
    <x v="8"/>
    <x v="2"/>
    <n v="0"/>
  </r>
  <r>
    <x v="0"/>
    <x v="0"/>
    <x v="0"/>
    <x v="1"/>
    <x v="4"/>
    <x v="8"/>
    <x v="3"/>
    <n v="0"/>
  </r>
  <r>
    <x v="0"/>
    <x v="0"/>
    <x v="0"/>
    <x v="1"/>
    <x v="4"/>
    <x v="8"/>
    <x v="4"/>
    <n v="0"/>
  </r>
  <r>
    <x v="0"/>
    <x v="0"/>
    <x v="0"/>
    <x v="1"/>
    <x v="4"/>
    <x v="8"/>
    <x v="5"/>
    <n v="0"/>
  </r>
  <r>
    <x v="0"/>
    <x v="0"/>
    <x v="0"/>
    <x v="1"/>
    <x v="4"/>
    <x v="8"/>
    <x v="6"/>
    <n v="0"/>
  </r>
  <r>
    <x v="0"/>
    <x v="0"/>
    <x v="0"/>
    <x v="1"/>
    <x v="4"/>
    <x v="8"/>
    <x v="7"/>
    <n v="0"/>
  </r>
  <r>
    <x v="0"/>
    <x v="0"/>
    <x v="0"/>
    <x v="1"/>
    <x v="4"/>
    <x v="8"/>
    <x v="8"/>
    <n v="0"/>
  </r>
  <r>
    <x v="0"/>
    <x v="0"/>
    <x v="0"/>
    <x v="1"/>
    <x v="4"/>
    <x v="8"/>
    <x v="9"/>
    <n v="0"/>
  </r>
  <r>
    <x v="0"/>
    <x v="0"/>
    <x v="0"/>
    <x v="1"/>
    <x v="4"/>
    <x v="8"/>
    <x v="10"/>
    <n v="0"/>
  </r>
  <r>
    <x v="0"/>
    <x v="0"/>
    <x v="0"/>
    <x v="1"/>
    <x v="4"/>
    <x v="8"/>
    <x v="11"/>
    <n v="0"/>
  </r>
  <r>
    <x v="0"/>
    <x v="0"/>
    <x v="0"/>
    <x v="1"/>
    <x v="4"/>
    <x v="9"/>
    <x v="0"/>
    <n v="0"/>
  </r>
  <r>
    <x v="0"/>
    <x v="0"/>
    <x v="0"/>
    <x v="1"/>
    <x v="4"/>
    <x v="9"/>
    <x v="1"/>
    <n v="0"/>
  </r>
  <r>
    <x v="0"/>
    <x v="0"/>
    <x v="0"/>
    <x v="1"/>
    <x v="4"/>
    <x v="9"/>
    <x v="2"/>
    <n v="0"/>
  </r>
  <r>
    <x v="0"/>
    <x v="0"/>
    <x v="0"/>
    <x v="1"/>
    <x v="4"/>
    <x v="9"/>
    <x v="3"/>
    <n v="0"/>
  </r>
  <r>
    <x v="0"/>
    <x v="0"/>
    <x v="0"/>
    <x v="1"/>
    <x v="4"/>
    <x v="9"/>
    <x v="4"/>
    <n v="0"/>
  </r>
  <r>
    <x v="0"/>
    <x v="0"/>
    <x v="0"/>
    <x v="1"/>
    <x v="4"/>
    <x v="9"/>
    <x v="5"/>
    <n v="0"/>
  </r>
  <r>
    <x v="0"/>
    <x v="0"/>
    <x v="0"/>
    <x v="1"/>
    <x v="4"/>
    <x v="9"/>
    <x v="6"/>
    <n v="0"/>
  </r>
  <r>
    <x v="0"/>
    <x v="0"/>
    <x v="0"/>
    <x v="1"/>
    <x v="4"/>
    <x v="9"/>
    <x v="7"/>
    <n v="0"/>
  </r>
  <r>
    <x v="0"/>
    <x v="0"/>
    <x v="0"/>
    <x v="1"/>
    <x v="4"/>
    <x v="9"/>
    <x v="8"/>
    <n v="0"/>
  </r>
  <r>
    <x v="0"/>
    <x v="0"/>
    <x v="0"/>
    <x v="1"/>
    <x v="4"/>
    <x v="9"/>
    <x v="9"/>
    <n v="0"/>
  </r>
  <r>
    <x v="0"/>
    <x v="0"/>
    <x v="0"/>
    <x v="1"/>
    <x v="4"/>
    <x v="9"/>
    <x v="10"/>
    <n v="0"/>
  </r>
  <r>
    <x v="0"/>
    <x v="0"/>
    <x v="0"/>
    <x v="1"/>
    <x v="4"/>
    <x v="9"/>
    <x v="11"/>
    <n v="0"/>
  </r>
  <r>
    <x v="0"/>
    <x v="0"/>
    <x v="0"/>
    <x v="1"/>
    <x v="4"/>
    <x v="10"/>
    <x v="0"/>
    <n v="0"/>
  </r>
  <r>
    <x v="0"/>
    <x v="0"/>
    <x v="0"/>
    <x v="1"/>
    <x v="4"/>
    <x v="10"/>
    <x v="1"/>
    <n v="0"/>
  </r>
  <r>
    <x v="0"/>
    <x v="0"/>
    <x v="0"/>
    <x v="1"/>
    <x v="4"/>
    <x v="10"/>
    <x v="2"/>
    <n v="0"/>
  </r>
  <r>
    <x v="0"/>
    <x v="0"/>
    <x v="0"/>
    <x v="1"/>
    <x v="4"/>
    <x v="10"/>
    <x v="3"/>
    <n v="0"/>
  </r>
  <r>
    <x v="0"/>
    <x v="0"/>
    <x v="0"/>
    <x v="1"/>
    <x v="4"/>
    <x v="10"/>
    <x v="4"/>
    <n v="0"/>
  </r>
  <r>
    <x v="0"/>
    <x v="0"/>
    <x v="0"/>
    <x v="1"/>
    <x v="4"/>
    <x v="10"/>
    <x v="5"/>
    <n v="0"/>
  </r>
  <r>
    <x v="0"/>
    <x v="0"/>
    <x v="0"/>
    <x v="1"/>
    <x v="4"/>
    <x v="10"/>
    <x v="6"/>
    <n v="0"/>
  </r>
  <r>
    <x v="0"/>
    <x v="0"/>
    <x v="0"/>
    <x v="1"/>
    <x v="4"/>
    <x v="10"/>
    <x v="7"/>
    <n v="0"/>
  </r>
  <r>
    <x v="0"/>
    <x v="0"/>
    <x v="0"/>
    <x v="1"/>
    <x v="4"/>
    <x v="10"/>
    <x v="8"/>
    <n v="0"/>
  </r>
  <r>
    <x v="0"/>
    <x v="0"/>
    <x v="0"/>
    <x v="1"/>
    <x v="4"/>
    <x v="10"/>
    <x v="9"/>
    <n v="0"/>
  </r>
  <r>
    <x v="0"/>
    <x v="0"/>
    <x v="0"/>
    <x v="1"/>
    <x v="4"/>
    <x v="10"/>
    <x v="10"/>
    <n v="0"/>
  </r>
  <r>
    <x v="0"/>
    <x v="0"/>
    <x v="0"/>
    <x v="1"/>
    <x v="4"/>
    <x v="10"/>
    <x v="11"/>
    <n v="0"/>
  </r>
  <r>
    <x v="0"/>
    <x v="0"/>
    <x v="0"/>
    <x v="1"/>
    <x v="4"/>
    <x v="11"/>
    <x v="0"/>
    <n v="0"/>
  </r>
  <r>
    <x v="0"/>
    <x v="0"/>
    <x v="0"/>
    <x v="1"/>
    <x v="4"/>
    <x v="11"/>
    <x v="1"/>
    <n v="0"/>
  </r>
  <r>
    <x v="0"/>
    <x v="0"/>
    <x v="0"/>
    <x v="1"/>
    <x v="4"/>
    <x v="11"/>
    <x v="2"/>
    <n v="0"/>
  </r>
  <r>
    <x v="0"/>
    <x v="0"/>
    <x v="0"/>
    <x v="1"/>
    <x v="4"/>
    <x v="11"/>
    <x v="3"/>
    <n v="0"/>
  </r>
  <r>
    <x v="0"/>
    <x v="0"/>
    <x v="0"/>
    <x v="1"/>
    <x v="4"/>
    <x v="11"/>
    <x v="4"/>
    <n v="0"/>
  </r>
  <r>
    <x v="0"/>
    <x v="0"/>
    <x v="0"/>
    <x v="1"/>
    <x v="4"/>
    <x v="11"/>
    <x v="5"/>
    <n v="0"/>
  </r>
  <r>
    <x v="0"/>
    <x v="0"/>
    <x v="0"/>
    <x v="1"/>
    <x v="4"/>
    <x v="11"/>
    <x v="6"/>
    <n v="0"/>
  </r>
  <r>
    <x v="0"/>
    <x v="0"/>
    <x v="0"/>
    <x v="1"/>
    <x v="4"/>
    <x v="11"/>
    <x v="7"/>
    <n v="0"/>
  </r>
  <r>
    <x v="0"/>
    <x v="0"/>
    <x v="0"/>
    <x v="1"/>
    <x v="4"/>
    <x v="11"/>
    <x v="8"/>
    <n v="0"/>
  </r>
  <r>
    <x v="0"/>
    <x v="0"/>
    <x v="0"/>
    <x v="1"/>
    <x v="4"/>
    <x v="11"/>
    <x v="9"/>
    <n v="0"/>
  </r>
  <r>
    <x v="0"/>
    <x v="0"/>
    <x v="0"/>
    <x v="1"/>
    <x v="4"/>
    <x v="11"/>
    <x v="10"/>
    <n v="0"/>
  </r>
  <r>
    <x v="0"/>
    <x v="0"/>
    <x v="0"/>
    <x v="1"/>
    <x v="4"/>
    <x v="11"/>
    <x v="11"/>
    <n v="0"/>
  </r>
  <r>
    <x v="0"/>
    <x v="0"/>
    <x v="0"/>
    <x v="1"/>
    <x v="1"/>
    <x v="0"/>
    <x v="0"/>
    <n v="0.58499999999999996"/>
  </r>
  <r>
    <x v="0"/>
    <x v="0"/>
    <x v="0"/>
    <x v="1"/>
    <x v="1"/>
    <x v="0"/>
    <x v="1"/>
    <n v="0.58499999999999996"/>
  </r>
  <r>
    <x v="0"/>
    <x v="0"/>
    <x v="0"/>
    <x v="1"/>
    <x v="1"/>
    <x v="0"/>
    <x v="2"/>
    <n v="0.58499999999999996"/>
  </r>
  <r>
    <x v="0"/>
    <x v="0"/>
    <x v="0"/>
    <x v="1"/>
    <x v="1"/>
    <x v="0"/>
    <x v="3"/>
    <n v="0.58499999999999996"/>
  </r>
  <r>
    <x v="0"/>
    <x v="0"/>
    <x v="0"/>
    <x v="1"/>
    <x v="1"/>
    <x v="0"/>
    <x v="4"/>
    <n v="0.58499999999999996"/>
  </r>
  <r>
    <x v="0"/>
    <x v="0"/>
    <x v="0"/>
    <x v="1"/>
    <x v="1"/>
    <x v="0"/>
    <x v="5"/>
    <n v="0.58499999999999996"/>
  </r>
  <r>
    <x v="0"/>
    <x v="0"/>
    <x v="0"/>
    <x v="1"/>
    <x v="1"/>
    <x v="0"/>
    <x v="6"/>
    <n v="0.58499999999999996"/>
  </r>
  <r>
    <x v="0"/>
    <x v="0"/>
    <x v="0"/>
    <x v="1"/>
    <x v="1"/>
    <x v="0"/>
    <x v="7"/>
    <n v="0.58499999999999996"/>
  </r>
  <r>
    <x v="0"/>
    <x v="0"/>
    <x v="0"/>
    <x v="1"/>
    <x v="1"/>
    <x v="0"/>
    <x v="8"/>
    <n v="0.58499999999999996"/>
  </r>
  <r>
    <x v="0"/>
    <x v="0"/>
    <x v="0"/>
    <x v="1"/>
    <x v="1"/>
    <x v="0"/>
    <x v="9"/>
    <n v="0.58499999999999996"/>
  </r>
  <r>
    <x v="0"/>
    <x v="0"/>
    <x v="0"/>
    <x v="1"/>
    <x v="1"/>
    <x v="0"/>
    <x v="10"/>
    <n v="0.58499999999999996"/>
  </r>
  <r>
    <x v="0"/>
    <x v="0"/>
    <x v="0"/>
    <x v="1"/>
    <x v="1"/>
    <x v="0"/>
    <x v="11"/>
    <n v="0.58499999999999996"/>
  </r>
  <r>
    <x v="0"/>
    <x v="0"/>
    <x v="0"/>
    <x v="1"/>
    <x v="1"/>
    <x v="1"/>
    <x v="0"/>
    <n v="0.58499999999999996"/>
  </r>
  <r>
    <x v="0"/>
    <x v="0"/>
    <x v="0"/>
    <x v="1"/>
    <x v="1"/>
    <x v="1"/>
    <x v="1"/>
    <n v="0.58499999999999996"/>
  </r>
  <r>
    <x v="0"/>
    <x v="0"/>
    <x v="0"/>
    <x v="1"/>
    <x v="1"/>
    <x v="1"/>
    <x v="2"/>
    <n v="0.58499999999999996"/>
  </r>
  <r>
    <x v="0"/>
    <x v="0"/>
    <x v="0"/>
    <x v="1"/>
    <x v="1"/>
    <x v="1"/>
    <x v="3"/>
    <n v="0.58499999999999996"/>
  </r>
  <r>
    <x v="0"/>
    <x v="0"/>
    <x v="0"/>
    <x v="1"/>
    <x v="1"/>
    <x v="1"/>
    <x v="4"/>
    <n v="0.58499999999999996"/>
  </r>
  <r>
    <x v="0"/>
    <x v="0"/>
    <x v="0"/>
    <x v="1"/>
    <x v="1"/>
    <x v="1"/>
    <x v="5"/>
    <n v="0.58499999999999996"/>
  </r>
  <r>
    <x v="0"/>
    <x v="0"/>
    <x v="0"/>
    <x v="1"/>
    <x v="1"/>
    <x v="1"/>
    <x v="6"/>
    <n v="0.58499999999999996"/>
  </r>
  <r>
    <x v="0"/>
    <x v="0"/>
    <x v="0"/>
    <x v="1"/>
    <x v="1"/>
    <x v="1"/>
    <x v="7"/>
    <n v="0.58499999999999996"/>
  </r>
  <r>
    <x v="0"/>
    <x v="0"/>
    <x v="0"/>
    <x v="1"/>
    <x v="1"/>
    <x v="1"/>
    <x v="8"/>
    <n v="0.58499999999999996"/>
  </r>
  <r>
    <x v="0"/>
    <x v="0"/>
    <x v="0"/>
    <x v="1"/>
    <x v="1"/>
    <x v="1"/>
    <x v="9"/>
    <n v="0.58499999999999996"/>
  </r>
  <r>
    <x v="0"/>
    <x v="0"/>
    <x v="0"/>
    <x v="1"/>
    <x v="1"/>
    <x v="1"/>
    <x v="10"/>
    <n v="0.58499999999999996"/>
  </r>
  <r>
    <x v="0"/>
    <x v="0"/>
    <x v="0"/>
    <x v="1"/>
    <x v="1"/>
    <x v="1"/>
    <x v="11"/>
    <n v="0.58499999999999996"/>
  </r>
  <r>
    <x v="0"/>
    <x v="0"/>
    <x v="0"/>
    <x v="1"/>
    <x v="1"/>
    <x v="2"/>
    <x v="0"/>
    <n v="0.58499999999999996"/>
  </r>
  <r>
    <x v="0"/>
    <x v="0"/>
    <x v="0"/>
    <x v="1"/>
    <x v="1"/>
    <x v="2"/>
    <x v="1"/>
    <n v="0.58499999999999996"/>
  </r>
  <r>
    <x v="0"/>
    <x v="0"/>
    <x v="0"/>
    <x v="1"/>
    <x v="1"/>
    <x v="2"/>
    <x v="2"/>
    <n v="0.58499999999999996"/>
  </r>
  <r>
    <x v="0"/>
    <x v="0"/>
    <x v="0"/>
    <x v="1"/>
    <x v="1"/>
    <x v="2"/>
    <x v="3"/>
    <n v="0.58499999999999996"/>
  </r>
  <r>
    <x v="0"/>
    <x v="0"/>
    <x v="0"/>
    <x v="1"/>
    <x v="1"/>
    <x v="2"/>
    <x v="4"/>
    <n v="0.58499999999999996"/>
  </r>
  <r>
    <x v="0"/>
    <x v="0"/>
    <x v="0"/>
    <x v="1"/>
    <x v="1"/>
    <x v="2"/>
    <x v="5"/>
    <n v="0.58499999999999996"/>
  </r>
  <r>
    <x v="0"/>
    <x v="0"/>
    <x v="0"/>
    <x v="1"/>
    <x v="1"/>
    <x v="2"/>
    <x v="6"/>
    <n v="0.58499999999999996"/>
  </r>
  <r>
    <x v="0"/>
    <x v="0"/>
    <x v="0"/>
    <x v="1"/>
    <x v="1"/>
    <x v="2"/>
    <x v="7"/>
    <n v="0.58499999999999996"/>
  </r>
  <r>
    <x v="0"/>
    <x v="0"/>
    <x v="0"/>
    <x v="1"/>
    <x v="1"/>
    <x v="2"/>
    <x v="8"/>
    <n v="0.58499999999999996"/>
  </r>
  <r>
    <x v="0"/>
    <x v="0"/>
    <x v="0"/>
    <x v="1"/>
    <x v="1"/>
    <x v="2"/>
    <x v="9"/>
    <n v="0.58499999999999996"/>
  </r>
  <r>
    <x v="0"/>
    <x v="0"/>
    <x v="0"/>
    <x v="1"/>
    <x v="1"/>
    <x v="2"/>
    <x v="10"/>
    <n v="0.58499999999999996"/>
  </r>
  <r>
    <x v="0"/>
    <x v="0"/>
    <x v="0"/>
    <x v="1"/>
    <x v="1"/>
    <x v="2"/>
    <x v="11"/>
    <n v="0.58499999999999996"/>
  </r>
  <r>
    <x v="0"/>
    <x v="0"/>
    <x v="0"/>
    <x v="1"/>
    <x v="1"/>
    <x v="3"/>
    <x v="0"/>
    <n v="0.58499999999999996"/>
  </r>
  <r>
    <x v="0"/>
    <x v="0"/>
    <x v="0"/>
    <x v="1"/>
    <x v="1"/>
    <x v="3"/>
    <x v="1"/>
    <n v="0.58499999999999996"/>
  </r>
  <r>
    <x v="0"/>
    <x v="0"/>
    <x v="0"/>
    <x v="1"/>
    <x v="1"/>
    <x v="3"/>
    <x v="2"/>
    <n v="0.58499999999999996"/>
  </r>
  <r>
    <x v="0"/>
    <x v="0"/>
    <x v="0"/>
    <x v="1"/>
    <x v="1"/>
    <x v="3"/>
    <x v="3"/>
    <n v="0.58499999999999996"/>
  </r>
  <r>
    <x v="0"/>
    <x v="0"/>
    <x v="0"/>
    <x v="1"/>
    <x v="1"/>
    <x v="3"/>
    <x v="4"/>
    <n v="0.58499999999999996"/>
  </r>
  <r>
    <x v="0"/>
    <x v="0"/>
    <x v="0"/>
    <x v="1"/>
    <x v="1"/>
    <x v="3"/>
    <x v="5"/>
    <n v="0.58499999999999996"/>
  </r>
  <r>
    <x v="0"/>
    <x v="0"/>
    <x v="0"/>
    <x v="1"/>
    <x v="1"/>
    <x v="3"/>
    <x v="6"/>
    <n v="0.58499999999999996"/>
  </r>
  <r>
    <x v="0"/>
    <x v="0"/>
    <x v="0"/>
    <x v="1"/>
    <x v="1"/>
    <x v="3"/>
    <x v="7"/>
    <n v="0.58499999999999996"/>
  </r>
  <r>
    <x v="0"/>
    <x v="0"/>
    <x v="0"/>
    <x v="1"/>
    <x v="1"/>
    <x v="3"/>
    <x v="8"/>
    <n v="0.58499999999999996"/>
  </r>
  <r>
    <x v="0"/>
    <x v="0"/>
    <x v="0"/>
    <x v="1"/>
    <x v="1"/>
    <x v="3"/>
    <x v="9"/>
    <n v="0.58499999999999996"/>
  </r>
  <r>
    <x v="0"/>
    <x v="0"/>
    <x v="0"/>
    <x v="1"/>
    <x v="1"/>
    <x v="3"/>
    <x v="10"/>
    <n v="0.58499999999999996"/>
  </r>
  <r>
    <x v="0"/>
    <x v="0"/>
    <x v="0"/>
    <x v="1"/>
    <x v="1"/>
    <x v="3"/>
    <x v="11"/>
    <n v="0.58499999999999996"/>
  </r>
  <r>
    <x v="0"/>
    <x v="0"/>
    <x v="0"/>
    <x v="1"/>
    <x v="1"/>
    <x v="4"/>
    <x v="0"/>
    <n v="0.58499999999999996"/>
  </r>
  <r>
    <x v="0"/>
    <x v="0"/>
    <x v="0"/>
    <x v="1"/>
    <x v="1"/>
    <x v="4"/>
    <x v="1"/>
    <n v="0.58499999999999996"/>
  </r>
  <r>
    <x v="0"/>
    <x v="0"/>
    <x v="0"/>
    <x v="1"/>
    <x v="1"/>
    <x v="4"/>
    <x v="2"/>
    <n v="0.58499999999999996"/>
  </r>
  <r>
    <x v="0"/>
    <x v="0"/>
    <x v="0"/>
    <x v="1"/>
    <x v="1"/>
    <x v="4"/>
    <x v="3"/>
    <n v="0.58499999999999996"/>
  </r>
  <r>
    <x v="0"/>
    <x v="0"/>
    <x v="0"/>
    <x v="1"/>
    <x v="1"/>
    <x v="4"/>
    <x v="4"/>
    <n v="0.58499999999999996"/>
  </r>
  <r>
    <x v="0"/>
    <x v="0"/>
    <x v="0"/>
    <x v="1"/>
    <x v="1"/>
    <x v="4"/>
    <x v="5"/>
    <n v="0.58499999999999996"/>
  </r>
  <r>
    <x v="0"/>
    <x v="0"/>
    <x v="0"/>
    <x v="1"/>
    <x v="1"/>
    <x v="4"/>
    <x v="6"/>
    <n v="0.58499999999999996"/>
  </r>
  <r>
    <x v="0"/>
    <x v="0"/>
    <x v="0"/>
    <x v="1"/>
    <x v="1"/>
    <x v="4"/>
    <x v="7"/>
    <n v="0.58499999999999996"/>
  </r>
  <r>
    <x v="0"/>
    <x v="0"/>
    <x v="0"/>
    <x v="1"/>
    <x v="1"/>
    <x v="4"/>
    <x v="8"/>
    <n v="0.58499999999999996"/>
  </r>
  <r>
    <x v="0"/>
    <x v="0"/>
    <x v="0"/>
    <x v="1"/>
    <x v="1"/>
    <x v="4"/>
    <x v="9"/>
    <n v="0.58499999999999996"/>
  </r>
  <r>
    <x v="0"/>
    <x v="0"/>
    <x v="0"/>
    <x v="1"/>
    <x v="1"/>
    <x v="4"/>
    <x v="10"/>
    <n v="0.58499999999999996"/>
  </r>
  <r>
    <x v="0"/>
    <x v="0"/>
    <x v="0"/>
    <x v="1"/>
    <x v="1"/>
    <x v="4"/>
    <x v="11"/>
    <n v="0.58499999999999996"/>
  </r>
  <r>
    <x v="0"/>
    <x v="0"/>
    <x v="0"/>
    <x v="1"/>
    <x v="1"/>
    <x v="5"/>
    <x v="0"/>
    <n v="0.58499999999999996"/>
  </r>
  <r>
    <x v="0"/>
    <x v="0"/>
    <x v="0"/>
    <x v="1"/>
    <x v="1"/>
    <x v="5"/>
    <x v="1"/>
    <n v="0.58499999999999996"/>
  </r>
  <r>
    <x v="0"/>
    <x v="0"/>
    <x v="0"/>
    <x v="1"/>
    <x v="1"/>
    <x v="5"/>
    <x v="2"/>
    <n v="0.58499999999999996"/>
  </r>
  <r>
    <x v="0"/>
    <x v="0"/>
    <x v="0"/>
    <x v="1"/>
    <x v="1"/>
    <x v="5"/>
    <x v="3"/>
    <n v="0.58499999999999996"/>
  </r>
  <r>
    <x v="0"/>
    <x v="0"/>
    <x v="0"/>
    <x v="1"/>
    <x v="1"/>
    <x v="5"/>
    <x v="4"/>
    <n v="0.58499999999999996"/>
  </r>
  <r>
    <x v="0"/>
    <x v="0"/>
    <x v="0"/>
    <x v="1"/>
    <x v="1"/>
    <x v="5"/>
    <x v="5"/>
    <n v="0.58499999999999996"/>
  </r>
  <r>
    <x v="0"/>
    <x v="0"/>
    <x v="0"/>
    <x v="1"/>
    <x v="1"/>
    <x v="5"/>
    <x v="6"/>
    <n v="0.58499999999999996"/>
  </r>
  <r>
    <x v="0"/>
    <x v="0"/>
    <x v="0"/>
    <x v="1"/>
    <x v="1"/>
    <x v="5"/>
    <x v="7"/>
    <n v="0.58499999999999996"/>
  </r>
  <r>
    <x v="0"/>
    <x v="0"/>
    <x v="0"/>
    <x v="1"/>
    <x v="1"/>
    <x v="5"/>
    <x v="8"/>
    <n v="0.58499999999999996"/>
  </r>
  <r>
    <x v="0"/>
    <x v="0"/>
    <x v="0"/>
    <x v="1"/>
    <x v="1"/>
    <x v="5"/>
    <x v="9"/>
    <n v="0.58499999999999996"/>
  </r>
  <r>
    <x v="0"/>
    <x v="0"/>
    <x v="0"/>
    <x v="1"/>
    <x v="1"/>
    <x v="5"/>
    <x v="10"/>
    <n v="0.58499999999999996"/>
  </r>
  <r>
    <x v="0"/>
    <x v="0"/>
    <x v="0"/>
    <x v="1"/>
    <x v="1"/>
    <x v="5"/>
    <x v="11"/>
    <n v="0.58499999999999996"/>
  </r>
  <r>
    <x v="0"/>
    <x v="0"/>
    <x v="0"/>
    <x v="1"/>
    <x v="1"/>
    <x v="6"/>
    <x v="0"/>
    <n v="0.58499999999999996"/>
  </r>
  <r>
    <x v="0"/>
    <x v="0"/>
    <x v="0"/>
    <x v="1"/>
    <x v="1"/>
    <x v="6"/>
    <x v="1"/>
    <n v="0.58499999999999996"/>
  </r>
  <r>
    <x v="0"/>
    <x v="0"/>
    <x v="0"/>
    <x v="1"/>
    <x v="1"/>
    <x v="6"/>
    <x v="2"/>
    <n v="0.58499999999999996"/>
  </r>
  <r>
    <x v="0"/>
    <x v="0"/>
    <x v="0"/>
    <x v="1"/>
    <x v="1"/>
    <x v="6"/>
    <x v="3"/>
    <n v="0.58499999999999996"/>
  </r>
  <r>
    <x v="0"/>
    <x v="0"/>
    <x v="0"/>
    <x v="1"/>
    <x v="1"/>
    <x v="6"/>
    <x v="4"/>
    <n v="0.58499999999999996"/>
  </r>
  <r>
    <x v="0"/>
    <x v="0"/>
    <x v="0"/>
    <x v="1"/>
    <x v="1"/>
    <x v="6"/>
    <x v="5"/>
    <n v="0.58499999999999996"/>
  </r>
  <r>
    <x v="0"/>
    <x v="0"/>
    <x v="0"/>
    <x v="1"/>
    <x v="1"/>
    <x v="6"/>
    <x v="6"/>
    <n v="0.58499999999999996"/>
  </r>
  <r>
    <x v="0"/>
    <x v="0"/>
    <x v="0"/>
    <x v="1"/>
    <x v="1"/>
    <x v="6"/>
    <x v="7"/>
    <n v="0.58499999999999996"/>
  </r>
  <r>
    <x v="0"/>
    <x v="0"/>
    <x v="0"/>
    <x v="1"/>
    <x v="1"/>
    <x v="6"/>
    <x v="8"/>
    <n v="0.58499999999999996"/>
  </r>
  <r>
    <x v="0"/>
    <x v="0"/>
    <x v="0"/>
    <x v="1"/>
    <x v="1"/>
    <x v="6"/>
    <x v="9"/>
    <n v="0.58499999999999996"/>
  </r>
  <r>
    <x v="0"/>
    <x v="0"/>
    <x v="0"/>
    <x v="1"/>
    <x v="1"/>
    <x v="6"/>
    <x v="10"/>
    <n v="0.58499999999999996"/>
  </r>
  <r>
    <x v="0"/>
    <x v="0"/>
    <x v="0"/>
    <x v="1"/>
    <x v="1"/>
    <x v="6"/>
    <x v="11"/>
    <n v="0.58499999999999996"/>
  </r>
  <r>
    <x v="0"/>
    <x v="0"/>
    <x v="0"/>
    <x v="1"/>
    <x v="1"/>
    <x v="7"/>
    <x v="0"/>
    <n v="0.58499999999999996"/>
  </r>
  <r>
    <x v="0"/>
    <x v="0"/>
    <x v="0"/>
    <x v="1"/>
    <x v="1"/>
    <x v="7"/>
    <x v="1"/>
    <n v="0.58499999999999996"/>
  </r>
  <r>
    <x v="0"/>
    <x v="0"/>
    <x v="0"/>
    <x v="1"/>
    <x v="1"/>
    <x v="7"/>
    <x v="2"/>
    <n v="0.58499999999999996"/>
  </r>
  <r>
    <x v="0"/>
    <x v="0"/>
    <x v="0"/>
    <x v="1"/>
    <x v="1"/>
    <x v="7"/>
    <x v="3"/>
    <n v="0.58499999999999996"/>
  </r>
  <r>
    <x v="0"/>
    <x v="0"/>
    <x v="0"/>
    <x v="1"/>
    <x v="1"/>
    <x v="7"/>
    <x v="4"/>
    <n v="0.58499999999999996"/>
  </r>
  <r>
    <x v="0"/>
    <x v="0"/>
    <x v="0"/>
    <x v="1"/>
    <x v="1"/>
    <x v="7"/>
    <x v="5"/>
    <n v="0.58499999999999996"/>
  </r>
  <r>
    <x v="0"/>
    <x v="0"/>
    <x v="0"/>
    <x v="1"/>
    <x v="1"/>
    <x v="7"/>
    <x v="6"/>
    <n v="0.58499999999999996"/>
  </r>
  <r>
    <x v="0"/>
    <x v="0"/>
    <x v="0"/>
    <x v="1"/>
    <x v="1"/>
    <x v="7"/>
    <x v="7"/>
    <n v="0.58499999999999996"/>
  </r>
  <r>
    <x v="0"/>
    <x v="0"/>
    <x v="0"/>
    <x v="1"/>
    <x v="1"/>
    <x v="7"/>
    <x v="8"/>
    <n v="0.58499999999999996"/>
  </r>
  <r>
    <x v="0"/>
    <x v="0"/>
    <x v="0"/>
    <x v="1"/>
    <x v="1"/>
    <x v="7"/>
    <x v="9"/>
    <n v="0.58499999999999996"/>
  </r>
  <r>
    <x v="0"/>
    <x v="0"/>
    <x v="0"/>
    <x v="1"/>
    <x v="1"/>
    <x v="7"/>
    <x v="10"/>
    <n v="0.58499999999999996"/>
  </r>
  <r>
    <x v="0"/>
    <x v="0"/>
    <x v="0"/>
    <x v="1"/>
    <x v="1"/>
    <x v="7"/>
    <x v="11"/>
    <n v="0.58499999999999996"/>
  </r>
  <r>
    <x v="0"/>
    <x v="0"/>
    <x v="0"/>
    <x v="1"/>
    <x v="1"/>
    <x v="8"/>
    <x v="0"/>
    <n v="0.58499999999999996"/>
  </r>
  <r>
    <x v="0"/>
    <x v="0"/>
    <x v="0"/>
    <x v="1"/>
    <x v="1"/>
    <x v="8"/>
    <x v="1"/>
    <n v="0.58499999999999996"/>
  </r>
  <r>
    <x v="0"/>
    <x v="0"/>
    <x v="0"/>
    <x v="1"/>
    <x v="1"/>
    <x v="8"/>
    <x v="2"/>
    <n v="0.58499999999999996"/>
  </r>
  <r>
    <x v="0"/>
    <x v="0"/>
    <x v="0"/>
    <x v="1"/>
    <x v="1"/>
    <x v="8"/>
    <x v="3"/>
    <n v="0.58499999999999996"/>
  </r>
  <r>
    <x v="0"/>
    <x v="0"/>
    <x v="0"/>
    <x v="1"/>
    <x v="1"/>
    <x v="8"/>
    <x v="4"/>
    <n v="0.58499999999999996"/>
  </r>
  <r>
    <x v="0"/>
    <x v="0"/>
    <x v="0"/>
    <x v="1"/>
    <x v="1"/>
    <x v="8"/>
    <x v="5"/>
    <n v="0.58499999999999996"/>
  </r>
  <r>
    <x v="0"/>
    <x v="0"/>
    <x v="0"/>
    <x v="1"/>
    <x v="1"/>
    <x v="8"/>
    <x v="6"/>
    <n v="0.58499999999999996"/>
  </r>
  <r>
    <x v="0"/>
    <x v="0"/>
    <x v="0"/>
    <x v="1"/>
    <x v="1"/>
    <x v="8"/>
    <x v="7"/>
    <n v="0.58499999999999996"/>
  </r>
  <r>
    <x v="0"/>
    <x v="0"/>
    <x v="0"/>
    <x v="1"/>
    <x v="1"/>
    <x v="8"/>
    <x v="8"/>
    <n v="0.58499999999999996"/>
  </r>
  <r>
    <x v="0"/>
    <x v="0"/>
    <x v="0"/>
    <x v="1"/>
    <x v="1"/>
    <x v="8"/>
    <x v="9"/>
    <n v="0.58499999999999996"/>
  </r>
  <r>
    <x v="0"/>
    <x v="0"/>
    <x v="0"/>
    <x v="1"/>
    <x v="1"/>
    <x v="8"/>
    <x v="10"/>
    <n v="0.58499999999999996"/>
  </r>
  <r>
    <x v="0"/>
    <x v="0"/>
    <x v="0"/>
    <x v="1"/>
    <x v="1"/>
    <x v="8"/>
    <x v="11"/>
    <n v="0.58499999999999996"/>
  </r>
  <r>
    <x v="0"/>
    <x v="0"/>
    <x v="0"/>
    <x v="1"/>
    <x v="1"/>
    <x v="9"/>
    <x v="0"/>
    <n v="0.58499999999999996"/>
  </r>
  <r>
    <x v="0"/>
    <x v="0"/>
    <x v="0"/>
    <x v="1"/>
    <x v="1"/>
    <x v="9"/>
    <x v="1"/>
    <n v="0.58499999999999996"/>
  </r>
  <r>
    <x v="0"/>
    <x v="0"/>
    <x v="0"/>
    <x v="1"/>
    <x v="1"/>
    <x v="9"/>
    <x v="2"/>
    <n v="0.58499999999999996"/>
  </r>
  <r>
    <x v="0"/>
    <x v="0"/>
    <x v="0"/>
    <x v="1"/>
    <x v="1"/>
    <x v="9"/>
    <x v="3"/>
    <n v="0.58499999999999996"/>
  </r>
  <r>
    <x v="0"/>
    <x v="0"/>
    <x v="0"/>
    <x v="1"/>
    <x v="1"/>
    <x v="9"/>
    <x v="4"/>
    <n v="0.58499999999999996"/>
  </r>
  <r>
    <x v="0"/>
    <x v="0"/>
    <x v="0"/>
    <x v="1"/>
    <x v="1"/>
    <x v="9"/>
    <x v="5"/>
    <n v="0.58499999999999996"/>
  </r>
  <r>
    <x v="0"/>
    <x v="0"/>
    <x v="0"/>
    <x v="1"/>
    <x v="1"/>
    <x v="9"/>
    <x v="6"/>
    <n v="0.58499999999999996"/>
  </r>
  <r>
    <x v="0"/>
    <x v="0"/>
    <x v="0"/>
    <x v="1"/>
    <x v="1"/>
    <x v="9"/>
    <x v="7"/>
    <n v="0.58499999999999996"/>
  </r>
  <r>
    <x v="0"/>
    <x v="0"/>
    <x v="0"/>
    <x v="1"/>
    <x v="1"/>
    <x v="9"/>
    <x v="8"/>
    <n v="0.58499999999999996"/>
  </r>
  <r>
    <x v="0"/>
    <x v="0"/>
    <x v="0"/>
    <x v="1"/>
    <x v="1"/>
    <x v="9"/>
    <x v="9"/>
    <n v="0.58499999999999996"/>
  </r>
  <r>
    <x v="0"/>
    <x v="0"/>
    <x v="0"/>
    <x v="1"/>
    <x v="1"/>
    <x v="9"/>
    <x v="10"/>
    <n v="0.58499999999999996"/>
  </r>
  <r>
    <x v="0"/>
    <x v="0"/>
    <x v="0"/>
    <x v="1"/>
    <x v="1"/>
    <x v="9"/>
    <x v="11"/>
    <n v="0.58499999999999996"/>
  </r>
  <r>
    <x v="0"/>
    <x v="0"/>
    <x v="0"/>
    <x v="1"/>
    <x v="1"/>
    <x v="10"/>
    <x v="0"/>
    <n v="0.58499999999999996"/>
  </r>
  <r>
    <x v="0"/>
    <x v="0"/>
    <x v="0"/>
    <x v="1"/>
    <x v="1"/>
    <x v="10"/>
    <x v="1"/>
    <n v="0.58499999999999996"/>
  </r>
  <r>
    <x v="0"/>
    <x v="0"/>
    <x v="0"/>
    <x v="1"/>
    <x v="1"/>
    <x v="10"/>
    <x v="2"/>
    <n v="0.58499999999999996"/>
  </r>
  <r>
    <x v="0"/>
    <x v="0"/>
    <x v="0"/>
    <x v="1"/>
    <x v="1"/>
    <x v="10"/>
    <x v="3"/>
    <n v="0.58499999999999996"/>
  </r>
  <r>
    <x v="0"/>
    <x v="0"/>
    <x v="0"/>
    <x v="1"/>
    <x v="1"/>
    <x v="10"/>
    <x v="4"/>
    <n v="0.58499999999999996"/>
  </r>
  <r>
    <x v="0"/>
    <x v="0"/>
    <x v="0"/>
    <x v="1"/>
    <x v="1"/>
    <x v="10"/>
    <x v="5"/>
    <n v="0.58499999999999996"/>
  </r>
  <r>
    <x v="0"/>
    <x v="0"/>
    <x v="0"/>
    <x v="1"/>
    <x v="1"/>
    <x v="10"/>
    <x v="6"/>
    <n v="0.58499999999999996"/>
  </r>
  <r>
    <x v="0"/>
    <x v="0"/>
    <x v="0"/>
    <x v="1"/>
    <x v="1"/>
    <x v="10"/>
    <x v="7"/>
    <n v="0.58499999999999996"/>
  </r>
  <r>
    <x v="0"/>
    <x v="0"/>
    <x v="0"/>
    <x v="1"/>
    <x v="1"/>
    <x v="10"/>
    <x v="8"/>
    <n v="0.58499999999999996"/>
  </r>
  <r>
    <x v="0"/>
    <x v="0"/>
    <x v="0"/>
    <x v="1"/>
    <x v="1"/>
    <x v="10"/>
    <x v="9"/>
    <n v="0.58499999999999996"/>
  </r>
  <r>
    <x v="0"/>
    <x v="0"/>
    <x v="0"/>
    <x v="1"/>
    <x v="1"/>
    <x v="10"/>
    <x v="10"/>
    <n v="0.58499999999999996"/>
  </r>
  <r>
    <x v="0"/>
    <x v="0"/>
    <x v="0"/>
    <x v="1"/>
    <x v="1"/>
    <x v="10"/>
    <x v="11"/>
    <n v="0.58499999999999996"/>
  </r>
  <r>
    <x v="0"/>
    <x v="0"/>
    <x v="0"/>
    <x v="1"/>
    <x v="1"/>
    <x v="11"/>
    <x v="0"/>
    <n v="0.58499999999999996"/>
  </r>
  <r>
    <x v="0"/>
    <x v="0"/>
    <x v="0"/>
    <x v="1"/>
    <x v="1"/>
    <x v="11"/>
    <x v="1"/>
    <n v="0.58499999999999996"/>
  </r>
  <r>
    <x v="0"/>
    <x v="0"/>
    <x v="0"/>
    <x v="1"/>
    <x v="1"/>
    <x v="11"/>
    <x v="2"/>
    <n v="0.58499999999999996"/>
  </r>
  <r>
    <x v="0"/>
    <x v="0"/>
    <x v="0"/>
    <x v="1"/>
    <x v="1"/>
    <x v="11"/>
    <x v="3"/>
    <n v="0.58499999999999996"/>
  </r>
  <r>
    <x v="0"/>
    <x v="0"/>
    <x v="0"/>
    <x v="1"/>
    <x v="1"/>
    <x v="11"/>
    <x v="4"/>
    <n v="0.58499999999999996"/>
  </r>
  <r>
    <x v="0"/>
    <x v="0"/>
    <x v="0"/>
    <x v="1"/>
    <x v="1"/>
    <x v="11"/>
    <x v="5"/>
    <n v="0.58499999999999996"/>
  </r>
  <r>
    <x v="0"/>
    <x v="0"/>
    <x v="0"/>
    <x v="1"/>
    <x v="1"/>
    <x v="11"/>
    <x v="6"/>
    <n v="0.58499999999999996"/>
  </r>
  <r>
    <x v="0"/>
    <x v="0"/>
    <x v="0"/>
    <x v="1"/>
    <x v="1"/>
    <x v="11"/>
    <x v="7"/>
    <n v="0.58499999999999996"/>
  </r>
  <r>
    <x v="0"/>
    <x v="0"/>
    <x v="0"/>
    <x v="1"/>
    <x v="1"/>
    <x v="11"/>
    <x v="8"/>
    <n v="0.58499999999999996"/>
  </r>
  <r>
    <x v="0"/>
    <x v="0"/>
    <x v="0"/>
    <x v="1"/>
    <x v="1"/>
    <x v="11"/>
    <x v="9"/>
    <n v="0.58499999999999996"/>
  </r>
  <r>
    <x v="0"/>
    <x v="0"/>
    <x v="0"/>
    <x v="1"/>
    <x v="1"/>
    <x v="11"/>
    <x v="10"/>
    <n v="0.58499999999999996"/>
  </r>
  <r>
    <x v="0"/>
    <x v="0"/>
    <x v="0"/>
    <x v="1"/>
    <x v="1"/>
    <x v="11"/>
    <x v="11"/>
    <n v="0.58499999999999996"/>
  </r>
  <r>
    <x v="0"/>
    <x v="0"/>
    <x v="0"/>
    <x v="1"/>
    <x v="5"/>
    <x v="0"/>
    <x v="0"/>
    <n v="0"/>
  </r>
  <r>
    <x v="0"/>
    <x v="0"/>
    <x v="0"/>
    <x v="1"/>
    <x v="5"/>
    <x v="0"/>
    <x v="1"/>
    <n v="0"/>
  </r>
  <r>
    <x v="0"/>
    <x v="0"/>
    <x v="0"/>
    <x v="1"/>
    <x v="5"/>
    <x v="0"/>
    <x v="2"/>
    <n v="0"/>
  </r>
  <r>
    <x v="0"/>
    <x v="0"/>
    <x v="0"/>
    <x v="1"/>
    <x v="5"/>
    <x v="0"/>
    <x v="3"/>
    <n v="0"/>
  </r>
  <r>
    <x v="0"/>
    <x v="0"/>
    <x v="0"/>
    <x v="1"/>
    <x v="5"/>
    <x v="0"/>
    <x v="4"/>
    <n v="0"/>
  </r>
  <r>
    <x v="0"/>
    <x v="0"/>
    <x v="0"/>
    <x v="1"/>
    <x v="5"/>
    <x v="0"/>
    <x v="5"/>
    <n v="0"/>
  </r>
  <r>
    <x v="0"/>
    <x v="0"/>
    <x v="0"/>
    <x v="1"/>
    <x v="5"/>
    <x v="0"/>
    <x v="6"/>
    <n v="0"/>
  </r>
  <r>
    <x v="0"/>
    <x v="0"/>
    <x v="0"/>
    <x v="1"/>
    <x v="5"/>
    <x v="0"/>
    <x v="7"/>
    <n v="0"/>
  </r>
  <r>
    <x v="0"/>
    <x v="0"/>
    <x v="0"/>
    <x v="1"/>
    <x v="5"/>
    <x v="0"/>
    <x v="8"/>
    <n v="0"/>
  </r>
  <r>
    <x v="0"/>
    <x v="0"/>
    <x v="0"/>
    <x v="1"/>
    <x v="5"/>
    <x v="0"/>
    <x v="9"/>
    <n v="0"/>
  </r>
  <r>
    <x v="0"/>
    <x v="0"/>
    <x v="0"/>
    <x v="1"/>
    <x v="5"/>
    <x v="0"/>
    <x v="10"/>
    <n v="0"/>
  </r>
  <r>
    <x v="0"/>
    <x v="0"/>
    <x v="0"/>
    <x v="1"/>
    <x v="5"/>
    <x v="0"/>
    <x v="11"/>
    <n v="0"/>
  </r>
  <r>
    <x v="0"/>
    <x v="0"/>
    <x v="0"/>
    <x v="1"/>
    <x v="5"/>
    <x v="1"/>
    <x v="0"/>
    <n v="0"/>
  </r>
  <r>
    <x v="0"/>
    <x v="0"/>
    <x v="0"/>
    <x v="1"/>
    <x v="5"/>
    <x v="1"/>
    <x v="1"/>
    <n v="0"/>
  </r>
  <r>
    <x v="0"/>
    <x v="0"/>
    <x v="0"/>
    <x v="1"/>
    <x v="5"/>
    <x v="1"/>
    <x v="2"/>
    <n v="0"/>
  </r>
  <r>
    <x v="0"/>
    <x v="0"/>
    <x v="0"/>
    <x v="1"/>
    <x v="5"/>
    <x v="1"/>
    <x v="3"/>
    <n v="0"/>
  </r>
  <r>
    <x v="0"/>
    <x v="0"/>
    <x v="0"/>
    <x v="1"/>
    <x v="5"/>
    <x v="1"/>
    <x v="4"/>
    <n v="0"/>
  </r>
  <r>
    <x v="0"/>
    <x v="0"/>
    <x v="0"/>
    <x v="1"/>
    <x v="5"/>
    <x v="1"/>
    <x v="5"/>
    <n v="0"/>
  </r>
  <r>
    <x v="0"/>
    <x v="0"/>
    <x v="0"/>
    <x v="1"/>
    <x v="5"/>
    <x v="1"/>
    <x v="6"/>
    <n v="0"/>
  </r>
  <r>
    <x v="0"/>
    <x v="0"/>
    <x v="0"/>
    <x v="1"/>
    <x v="5"/>
    <x v="1"/>
    <x v="7"/>
    <n v="0"/>
  </r>
  <r>
    <x v="0"/>
    <x v="0"/>
    <x v="0"/>
    <x v="1"/>
    <x v="5"/>
    <x v="1"/>
    <x v="8"/>
    <n v="0"/>
  </r>
  <r>
    <x v="0"/>
    <x v="0"/>
    <x v="0"/>
    <x v="1"/>
    <x v="5"/>
    <x v="1"/>
    <x v="9"/>
    <n v="0"/>
  </r>
  <r>
    <x v="0"/>
    <x v="0"/>
    <x v="0"/>
    <x v="1"/>
    <x v="5"/>
    <x v="1"/>
    <x v="10"/>
    <n v="0"/>
  </r>
  <r>
    <x v="0"/>
    <x v="0"/>
    <x v="0"/>
    <x v="1"/>
    <x v="5"/>
    <x v="1"/>
    <x v="11"/>
    <n v="0"/>
  </r>
  <r>
    <x v="0"/>
    <x v="0"/>
    <x v="0"/>
    <x v="1"/>
    <x v="5"/>
    <x v="2"/>
    <x v="0"/>
    <n v="0"/>
  </r>
  <r>
    <x v="0"/>
    <x v="0"/>
    <x v="0"/>
    <x v="1"/>
    <x v="5"/>
    <x v="2"/>
    <x v="1"/>
    <n v="0"/>
  </r>
  <r>
    <x v="0"/>
    <x v="0"/>
    <x v="0"/>
    <x v="1"/>
    <x v="5"/>
    <x v="2"/>
    <x v="2"/>
    <n v="0"/>
  </r>
  <r>
    <x v="0"/>
    <x v="0"/>
    <x v="0"/>
    <x v="1"/>
    <x v="5"/>
    <x v="2"/>
    <x v="3"/>
    <n v="0"/>
  </r>
  <r>
    <x v="0"/>
    <x v="0"/>
    <x v="0"/>
    <x v="1"/>
    <x v="5"/>
    <x v="2"/>
    <x v="4"/>
    <n v="0"/>
  </r>
  <r>
    <x v="0"/>
    <x v="0"/>
    <x v="0"/>
    <x v="1"/>
    <x v="5"/>
    <x v="2"/>
    <x v="5"/>
    <n v="0"/>
  </r>
  <r>
    <x v="0"/>
    <x v="0"/>
    <x v="0"/>
    <x v="1"/>
    <x v="5"/>
    <x v="2"/>
    <x v="6"/>
    <n v="0"/>
  </r>
  <r>
    <x v="0"/>
    <x v="0"/>
    <x v="0"/>
    <x v="1"/>
    <x v="5"/>
    <x v="2"/>
    <x v="7"/>
    <n v="0"/>
  </r>
  <r>
    <x v="0"/>
    <x v="0"/>
    <x v="0"/>
    <x v="1"/>
    <x v="5"/>
    <x v="2"/>
    <x v="8"/>
    <n v="0"/>
  </r>
  <r>
    <x v="0"/>
    <x v="0"/>
    <x v="0"/>
    <x v="1"/>
    <x v="5"/>
    <x v="2"/>
    <x v="9"/>
    <n v="0"/>
  </r>
  <r>
    <x v="0"/>
    <x v="0"/>
    <x v="0"/>
    <x v="1"/>
    <x v="5"/>
    <x v="2"/>
    <x v="10"/>
    <n v="0"/>
  </r>
  <r>
    <x v="0"/>
    <x v="0"/>
    <x v="0"/>
    <x v="1"/>
    <x v="5"/>
    <x v="2"/>
    <x v="11"/>
    <n v="0"/>
  </r>
  <r>
    <x v="0"/>
    <x v="0"/>
    <x v="0"/>
    <x v="1"/>
    <x v="5"/>
    <x v="3"/>
    <x v="0"/>
    <n v="0"/>
  </r>
  <r>
    <x v="0"/>
    <x v="0"/>
    <x v="0"/>
    <x v="1"/>
    <x v="5"/>
    <x v="3"/>
    <x v="1"/>
    <n v="0"/>
  </r>
  <r>
    <x v="0"/>
    <x v="0"/>
    <x v="0"/>
    <x v="1"/>
    <x v="5"/>
    <x v="3"/>
    <x v="2"/>
    <n v="0"/>
  </r>
  <r>
    <x v="0"/>
    <x v="0"/>
    <x v="0"/>
    <x v="1"/>
    <x v="5"/>
    <x v="3"/>
    <x v="3"/>
    <n v="0"/>
  </r>
  <r>
    <x v="0"/>
    <x v="0"/>
    <x v="0"/>
    <x v="1"/>
    <x v="5"/>
    <x v="3"/>
    <x v="4"/>
    <n v="0"/>
  </r>
  <r>
    <x v="0"/>
    <x v="0"/>
    <x v="0"/>
    <x v="1"/>
    <x v="5"/>
    <x v="3"/>
    <x v="5"/>
    <n v="0"/>
  </r>
  <r>
    <x v="0"/>
    <x v="0"/>
    <x v="0"/>
    <x v="1"/>
    <x v="5"/>
    <x v="3"/>
    <x v="6"/>
    <n v="0"/>
  </r>
  <r>
    <x v="0"/>
    <x v="0"/>
    <x v="0"/>
    <x v="1"/>
    <x v="5"/>
    <x v="3"/>
    <x v="7"/>
    <n v="0"/>
  </r>
  <r>
    <x v="0"/>
    <x v="0"/>
    <x v="0"/>
    <x v="1"/>
    <x v="5"/>
    <x v="3"/>
    <x v="8"/>
    <n v="0"/>
  </r>
  <r>
    <x v="0"/>
    <x v="0"/>
    <x v="0"/>
    <x v="1"/>
    <x v="5"/>
    <x v="3"/>
    <x v="9"/>
    <n v="0"/>
  </r>
  <r>
    <x v="0"/>
    <x v="0"/>
    <x v="0"/>
    <x v="1"/>
    <x v="5"/>
    <x v="3"/>
    <x v="10"/>
    <n v="0"/>
  </r>
  <r>
    <x v="0"/>
    <x v="0"/>
    <x v="0"/>
    <x v="1"/>
    <x v="5"/>
    <x v="3"/>
    <x v="11"/>
    <n v="0"/>
  </r>
  <r>
    <x v="0"/>
    <x v="0"/>
    <x v="0"/>
    <x v="1"/>
    <x v="5"/>
    <x v="4"/>
    <x v="0"/>
    <n v="0"/>
  </r>
  <r>
    <x v="0"/>
    <x v="0"/>
    <x v="0"/>
    <x v="1"/>
    <x v="5"/>
    <x v="4"/>
    <x v="1"/>
    <n v="0"/>
  </r>
  <r>
    <x v="0"/>
    <x v="0"/>
    <x v="0"/>
    <x v="1"/>
    <x v="5"/>
    <x v="4"/>
    <x v="2"/>
    <n v="0"/>
  </r>
  <r>
    <x v="0"/>
    <x v="0"/>
    <x v="0"/>
    <x v="1"/>
    <x v="5"/>
    <x v="4"/>
    <x v="3"/>
    <n v="0"/>
  </r>
  <r>
    <x v="0"/>
    <x v="0"/>
    <x v="0"/>
    <x v="1"/>
    <x v="5"/>
    <x v="4"/>
    <x v="4"/>
    <n v="0"/>
  </r>
  <r>
    <x v="0"/>
    <x v="0"/>
    <x v="0"/>
    <x v="1"/>
    <x v="5"/>
    <x v="4"/>
    <x v="5"/>
    <n v="0"/>
  </r>
  <r>
    <x v="0"/>
    <x v="0"/>
    <x v="0"/>
    <x v="1"/>
    <x v="5"/>
    <x v="4"/>
    <x v="6"/>
    <n v="0"/>
  </r>
  <r>
    <x v="0"/>
    <x v="0"/>
    <x v="0"/>
    <x v="1"/>
    <x v="5"/>
    <x v="4"/>
    <x v="7"/>
    <n v="0"/>
  </r>
  <r>
    <x v="0"/>
    <x v="0"/>
    <x v="0"/>
    <x v="1"/>
    <x v="5"/>
    <x v="4"/>
    <x v="8"/>
    <n v="0"/>
  </r>
  <r>
    <x v="0"/>
    <x v="0"/>
    <x v="0"/>
    <x v="1"/>
    <x v="5"/>
    <x v="4"/>
    <x v="9"/>
    <n v="0"/>
  </r>
  <r>
    <x v="0"/>
    <x v="0"/>
    <x v="0"/>
    <x v="1"/>
    <x v="5"/>
    <x v="4"/>
    <x v="10"/>
    <n v="0"/>
  </r>
  <r>
    <x v="0"/>
    <x v="0"/>
    <x v="0"/>
    <x v="1"/>
    <x v="5"/>
    <x v="4"/>
    <x v="11"/>
    <n v="0"/>
  </r>
  <r>
    <x v="0"/>
    <x v="0"/>
    <x v="0"/>
    <x v="1"/>
    <x v="5"/>
    <x v="5"/>
    <x v="0"/>
    <n v="0"/>
  </r>
  <r>
    <x v="0"/>
    <x v="0"/>
    <x v="0"/>
    <x v="1"/>
    <x v="5"/>
    <x v="5"/>
    <x v="1"/>
    <n v="0"/>
  </r>
  <r>
    <x v="0"/>
    <x v="0"/>
    <x v="0"/>
    <x v="1"/>
    <x v="5"/>
    <x v="5"/>
    <x v="2"/>
    <n v="0"/>
  </r>
  <r>
    <x v="0"/>
    <x v="0"/>
    <x v="0"/>
    <x v="1"/>
    <x v="5"/>
    <x v="5"/>
    <x v="3"/>
    <n v="0"/>
  </r>
  <r>
    <x v="0"/>
    <x v="0"/>
    <x v="0"/>
    <x v="1"/>
    <x v="5"/>
    <x v="5"/>
    <x v="4"/>
    <n v="0"/>
  </r>
  <r>
    <x v="0"/>
    <x v="0"/>
    <x v="0"/>
    <x v="1"/>
    <x v="5"/>
    <x v="5"/>
    <x v="5"/>
    <n v="0"/>
  </r>
  <r>
    <x v="0"/>
    <x v="0"/>
    <x v="0"/>
    <x v="1"/>
    <x v="5"/>
    <x v="5"/>
    <x v="6"/>
    <n v="0"/>
  </r>
  <r>
    <x v="0"/>
    <x v="0"/>
    <x v="0"/>
    <x v="1"/>
    <x v="5"/>
    <x v="5"/>
    <x v="7"/>
    <n v="0"/>
  </r>
  <r>
    <x v="0"/>
    <x v="0"/>
    <x v="0"/>
    <x v="1"/>
    <x v="5"/>
    <x v="5"/>
    <x v="8"/>
    <n v="0"/>
  </r>
  <r>
    <x v="0"/>
    <x v="0"/>
    <x v="0"/>
    <x v="1"/>
    <x v="5"/>
    <x v="5"/>
    <x v="9"/>
    <n v="0"/>
  </r>
  <r>
    <x v="0"/>
    <x v="0"/>
    <x v="0"/>
    <x v="1"/>
    <x v="5"/>
    <x v="5"/>
    <x v="10"/>
    <n v="0"/>
  </r>
  <r>
    <x v="0"/>
    <x v="0"/>
    <x v="0"/>
    <x v="1"/>
    <x v="5"/>
    <x v="5"/>
    <x v="11"/>
    <n v="0"/>
  </r>
  <r>
    <x v="0"/>
    <x v="0"/>
    <x v="0"/>
    <x v="1"/>
    <x v="5"/>
    <x v="6"/>
    <x v="0"/>
    <n v="0"/>
  </r>
  <r>
    <x v="0"/>
    <x v="0"/>
    <x v="0"/>
    <x v="1"/>
    <x v="5"/>
    <x v="6"/>
    <x v="1"/>
    <n v="0"/>
  </r>
  <r>
    <x v="0"/>
    <x v="0"/>
    <x v="0"/>
    <x v="1"/>
    <x v="5"/>
    <x v="6"/>
    <x v="2"/>
    <n v="0"/>
  </r>
  <r>
    <x v="0"/>
    <x v="0"/>
    <x v="0"/>
    <x v="1"/>
    <x v="5"/>
    <x v="6"/>
    <x v="3"/>
    <n v="0"/>
  </r>
  <r>
    <x v="0"/>
    <x v="0"/>
    <x v="0"/>
    <x v="1"/>
    <x v="5"/>
    <x v="6"/>
    <x v="4"/>
    <n v="0"/>
  </r>
  <r>
    <x v="0"/>
    <x v="0"/>
    <x v="0"/>
    <x v="1"/>
    <x v="5"/>
    <x v="6"/>
    <x v="5"/>
    <n v="0"/>
  </r>
  <r>
    <x v="0"/>
    <x v="0"/>
    <x v="0"/>
    <x v="1"/>
    <x v="5"/>
    <x v="6"/>
    <x v="6"/>
    <n v="0"/>
  </r>
  <r>
    <x v="0"/>
    <x v="0"/>
    <x v="0"/>
    <x v="1"/>
    <x v="5"/>
    <x v="6"/>
    <x v="7"/>
    <n v="0"/>
  </r>
  <r>
    <x v="0"/>
    <x v="0"/>
    <x v="0"/>
    <x v="1"/>
    <x v="5"/>
    <x v="6"/>
    <x v="8"/>
    <n v="0"/>
  </r>
  <r>
    <x v="0"/>
    <x v="0"/>
    <x v="0"/>
    <x v="1"/>
    <x v="5"/>
    <x v="6"/>
    <x v="9"/>
    <n v="0"/>
  </r>
  <r>
    <x v="0"/>
    <x v="0"/>
    <x v="0"/>
    <x v="1"/>
    <x v="5"/>
    <x v="6"/>
    <x v="10"/>
    <n v="0"/>
  </r>
  <r>
    <x v="0"/>
    <x v="0"/>
    <x v="0"/>
    <x v="1"/>
    <x v="5"/>
    <x v="6"/>
    <x v="11"/>
    <n v="0"/>
  </r>
  <r>
    <x v="0"/>
    <x v="0"/>
    <x v="0"/>
    <x v="1"/>
    <x v="5"/>
    <x v="7"/>
    <x v="0"/>
    <n v="0"/>
  </r>
  <r>
    <x v="0"/>
    <x v="0"/>
    <x v="0"/>
    <x v="1"/>
    <x v="5"/>
    <x v="7"/>
    <x v="1"/>
    <n v="0"/>
  </r>
  <r>
    <x v="0"/>
    <x v="0"/>
    <x v="0"/>
    <x v="1"/>
    <x v="5"/>
    <x v="7"/>
    <x v="2"/>
    <n v="0"/>
  </r>
  <r>
    <x v="0"/>
    <x v="0"/>
    <x v="0"/>
    <x v="1"/>
    <x v="5"/>
    <x v="7"/>
    <x v="3"/>
    <n v="0"/>
  </r>
  <r>
    <x v="0"/>
    <x v="0"/>
    <x v="0"/>
    <x v="1"/>
    <x v="5"/>
    <x v="7"/>
    <x v="4"/>
    <n v="0"/>
  </r>
  <r>
    <x v="0"/>
    <x v="0"/>
    <x v="0"/>
    <x v="1"/>
    <x v="5"/>
    <x v="7"/>
    <x v="5"/>
    <n v="0"/>
  </r>
  <r>
    <x v="0"/>
    <x v="0"/>
    <x v="0"/>
    <x v="1"/>
    <x v="5"/>
    <x v="7"/>
    <x v="6"/>
    <n v="0"/>
  </r>
  <r>
    <x v="0"/>
    <x v="0"/>
    <x v="0"/>
    <x v="1"/>
    <x v="5"/>
    <x v="7"/>
    <x v="7"/>
    <n v="0"/>
  </r>
  <r>
    <x v="0"/>
    <x v="0"/>
    <x v="0"/>
    <x v="1"/>
    <x v="5"/>
    <x v="7"/>
    <x v="8"/>
    <n v="0"/>
  </r>
  <r>
    <x v="0"/>
    <x v="0"/>
    <x v="0"/>
    <x v="1"/>
    <x v="5"/>
    <x v="7"/>
    <x v="9"/>
    <n v="0"/>
  </r>
  <r>
    <x v="0"/>
    <x v="0"/>
    <x v="0"/>
    <x v="1"/>
    <x v="5"/>
    <x v="7"/>
    <x v="10"/>
    <n v="0"/>
  </r>
  <r>
    <x v="0"/>
    <x v="0"/>
    <x v="0"/>
    <x v="1"/>
    <x v="5"/>
    <x v="7"/>
    <x v="11"/>
    <n v="0"/>
  </r>
  <r>
    <x v="0"/>
    <x v="0"/>
    <x v="0"/>
    <x v="1"/>
    <x v="5"/>
    <x v="8"/>
    <x v="0"/>
    <n v="0"/>
  </r>
  <r>
    <x v="0"/>
    <x v="0"/>
    <x v="0"/>
    <x v="1"/>
    <x v="5"/>
    <x v="8"/>
    <x v="1"/>
    <n v="0"/>
  </r>
  <r>
    <x v="0"/>
    <x v="0"/>
    <x v="0"/>
    <x v="1"/>
    <x v="5"/>
    <x v="8"/>
    <x v="2"/>
    <n v="0"/>
  </r>
  <r>
    <x v="0"/>
    <x v="0"/>
    <x v="0"/>
    <x v="1"/>
    <x v="5"/>
    <x v="8"/>
    <x v="3"/>
    <n v="0"/>
  </r>
  <r>
    <x v="0"/>
    <x v="0"/>
    <x v="0"/>
    <x v="1"/>
    <x v="5"/>
    <x v="8"/>
    <x v="4"/>
    <n v="0"/>
  </r>
  <r>
    <x v="0"/>
    <x v="0"/>
    <x v="0"/>
    <x v="1"/>
    <x v="5"/>
    <x v="8"/>
    <x v="5"/>
    <n v="0"/>
  </r>
  <r>
    <x v="0"/>
    <x v="0"/>
    <x v="0"/>
    <x v="1"/>
    <x v="5"/>
    <x v="8"/>
    <x v="6"/>
    <n v="0"/>
  </r>
  <r>
    <x v="0"/>
    <x v="0"/>
    <x v="0"/>
    <x v="1"/>
    <x v="5"/>
    <x v="8"/>
    <x v="7"/>
    <n v="0"/>
  </r>
  <r>
    <x v="0"/>
    <x v="0"/>
    <x v="0"/>
    <x v="1"/>
    <x v="5"/>
    <x v="8"/>
    <x v="8"/>
    <n v="0"/>
  </r>
  <r>
    <x v="0"/>
    <x v="0"/>
    <x v="0"/>
    <x v="1"/>
    <x v="5"/>
    <x v="8"/>
    <x v="9"/>
    <n v="0"/>
  </r>
  <r>
    <x v="0"/>
    <x v="0"/>
    <x v="0"/>
    <x v="1"/>
    <x v="5"/>
    <x v="8"/>
    <x v="10"/>
    <n v="0"/>
  </r>
  <r>
    <x v="0"/>
    <x v="0"/>
    <x v="0"/>
    <x v="1"/>
    <x v="5"/>
    <x v="8"/>
    <x v="11"/>
    <n v="0"/>
  </r>
  <r>
    <x v="0"/>
    <x v="0"/>
    <x v="0"/>
    <x v="1"/>
    <x v="5"/>
    <x v="9"/>
    <x v="0"/>
    <n v="0"/>
  </r>
  <r>
    <x v="0"/>
    <x v="0"/>
    <x v="0"/>
    <x v="1"/>
    <x v="5"/>
    <x v="9"/>
    <x v="1"/>
    <n v="0"/>
  </r>
  <r>
    <x v="0"/>
    <x v="0"/>
    <x v="0"/>
    <x v="1"/>
    <x v="5"/>
    <x v="9"/>
    <x v="2"/>
    <n v="0"/>
  </r>
  <r>
    <x v="0"/>
    <x v="0"/>
    <x v="0"/>
    <x v="1"/>
    <x v="5"/>
    <x v="9"/>
    <x v="3"/>
    <n v="0"/>
  </r>
  <r>
    <x v="0"/>
    <x v="0"/>
    <x v="0"/>
    <x v="1"/>
    <x v="5"/>
    <x v="9"/>
    <x v="4"/>
    <n v="0"/>
  </r>
  <r>
    <x v="0"/>
    <x v="0"/>
    <x v="0"/>
    <x v="1"/>
    <x v="5"/>
    <x v="9"/>
    <x v="5"/>
    <n v="0"/>
  </r>
  <r>
    <x v="0"/>
    <x v="0"/>
    <x v="0"/>
    <x v="1"/>
    <x v="5"/>
    <x v="9"/>
    <x v="6"/>
    <n v="0"/>
  </r>
  <r>
    <x v="0"/>
    <x v="0"/>
    <x v="0"/>
    <x v="1"/>
    <x v="5"/>
    <x v="9"/>
    <x v="7"/>
    <n v="0"/>
  </r>
  <r>
    <x v="0"/>
    <x v="0"/>
    <x v="0"/>
    <x v="1"/>
    <x v="5"/>
    <x v="9"/>
    <x v="8"/>
    <n v="0"/>
  </r>
  <r>
    <x v="0"/>
    <x v="0"/>
    <x v="0"/>
    <x v="1"/>
    <x v="5"/>
    <x v="9"/>
    <x v="9"/>
    <n v="0"/>
  </r>
  <r>
    <x v="0"/>
    <x v="0"/>
    <x v="0"/>
    <x v="1"/>
    <x v="5"/>
    <x v="9"/>
    <x v="10"/>
    <n v="0"/>
  </r>
  <r>
    <x v="0"/>
    <x v="0"/>
    <x v="0"/>
    <x v="1"/>
    <x v="5"/>
    <x v="9"/>
    <x v="11"/>
    <n v="0"/>
  </r>
  <r>
    <x v="0"/>
    <x v="0"/>
    <x v="0"/>
    <x v="1"/>
    <x v="5"/>
    <x v="10"/>
    <x v="0"/>
    <n v="-0.93572615056664699"/>
  </r>
  <r>
    <x v="0"/>
    <x v="0"/>
    <x v="0"/>
    <x v="1"/>
    <x v="5"/>
    <x v="10"/>
    <x v="1"/>
    <n v="-0.89730809249100196"/>
  </r>
  <r>
    <x v="0"/>
    <x v="0"/>
    <x v="0"/>
    <x v="1"/>
    <x v="5"/>
    <x v="10"/>
    <x v="2"/>
    <n v="-0.74750668842124102"/>
  </r>
  <r>
    <x v="0"/>
    <x v="0"/>
    <x v="0"/>
    <x v="1"/>
    <x v="5"/>
    <x v="10"/>
    <x v="3"/>
    <n v="-0.70663374505891496"/>
  </r>
  <r>
    <x v="0"/>
    <x v="0"/>
    <x v="0"/>
    <x v="1"/>
    <x v="5"/>
    <x v="10"/>
    <x v="4"/>
    <n v="-0.51902882996562505"/>
  </r>
  <r>
    <x v="0"/>
    <x v="0"/>
    <x v="0"/>
    <x v="1"/>
    <x v="5"/>
    <x v="10"/>
    <x v="5"/>
    <n v="0"/>
  </r>
  <r>
    <x v="0"/>
    <x v="0"/>
    <x v="0"/>
    <x v="1"/>
    <x v="5"/>
    <x v="10"/>
    <x v="6"/>
    <n v="0"/>
  </r>
  <r>
    <x v="0"/>
    <x v="0"/>
    <x v="0"/>
    <x v="1"/>
    <x v="5"/>
    <x v="10"/>
    <x v="7"/>
    <n v="0"/>
  </r>
  <r>
    <x v="0"/>
    <x v="0"/>
    <x v="0"/>
    <x v="1"/>
    <x v="5"/>
    <x v="10"/>
    <x v="8"/>
    <n v="0"/>
  </r>
  <r>
    <x v="0"/>
    <x v="0"/>
    <x v="0"/>
    <x v="1"/>
    <x v="5"/>
    <x v="10"/>
    <x v="9"/>
    <n v="0"/>
  </r>
  <r>
    <x v="0"/>
    <x v="0"/>
    <x v="0"/>
    <x v="1"/>
    <x v="5"/>
    <x v="10"/>
    <x v="10"/>
    <n v="0"/>
  </r>
  <r>
    <x v="0"/>
    <x v="0"/>
    <x v="0"/>
    <x v="1"/>
    <x v="5"/>
    <x v="10"/>
    <x v="11"/>
    <n v="0"/>
  </r>
  <r>
    <x v="0"/>
    <x v="0"/>
    <x v="0"/>
    <x v="1"/>
    <x v="5"/>
    <x v="11"/>
    <x v="0"/>
    <n v="-0.63232682468093704"/>
  </r>
  <r>
    <x v="0"/>
    <x v="0"/>
    <x v="0"/>
    <x v="1"/>
    <x v="5"/>
    <x v="11"/>
    <x v="1"/>
    <n v="-1.19345335103839"/>
  </r>
  <r>
    <x v="0"/>
    <x v="0"/>
    <x v="0"/>
    <x v="1"/>
    <x v="5"/>
    <x v="11"/>
    <x v="2"/>
    <n v="-1.3"/>
  </r>
  <r>
    <x v="0"/>
    <x v="0"/>
    <x v="0"/>
    <x v="1"/>
    <x v="5"/>
    <x v="11"/>
    <x v="3"/>
    <n v="-1.3"/>
  </r>
  <r>
    <x v="0"/>
    <x v="0"/>
    <x v="0"/>
    <x v="1"/>
    <x v="5"/>
    <x v="11"/>
    <x v="4"/>
    <n v="-1.3"/>
  </r>
  <r>
    <x v="0"/>
    <x v="0"/>
    <x v="0"/>
    <x v="1"/>
    <x v="5"/>
    <x v="11"/>
    <x v="5"/>
    <n v="-1.0390975269217599"/>
  </r>
  <r>
    <x v="0"/>
    <x v="0"/>
    <x v="0"/>
    <x v="1"/>
    <x v="5"/>
    <x v="11"/>
    <x v="6"/>
    <n v="0"/>
  </r>
  <r>
    <x v="0"/>
    <x v="0"/>
    <x v="0"/>
    <x v="1"/>
    <x v="5"/>
    <x v="11"/>
    <x v="7"/>
    <n v="0"/>
  </r>
  <r>
    <x v="0"/>
    <x v="0"/>
    <x v="0"/>
    <x v="1"/>
    <x v="5"/>
    <x v="11"/>
    <x v="8"/>
    <n v="0"/>
  </r>
  <r>
    <x v="0"/>
    <x v="0"/>
    <x v="0"/>
    <x v="1"/>
    <x v="5"/>
    <x v="11"/>
    <x v="9"/>
    <n v="0"/>
  </r>
  <r>
    <x v="0"/>
    <x v="0"/>
    <x v="0"/>
    <x v="1"/>
    <x v="5"/>
    <x v="11"/>
    <x v="10"/>
    <n v="0"/>
  </r>
  <r>
    <x v="0"/>
    <x v="0"/>
    <x v="0"/>
    <x v="1"/>
    <x v="5"/>
    <x v="11"/>
    <x v="11"/>
    <n v="0"/>
  </r>
  <r>
    <x v="0"/>
    <x v="0"/>
    <x v="0"/>
    <x v="2"/>
    <x v="6"/>
    <x v="0"/>
    <x v="0"/>
    <n v="-0.35"/>
  </r>
  <r>
    <x v="0"/>
    <x v="0"/>
    <x v="0"/>
    <x v="2"/>
    <x v="6"/>
    <x v="0"/>
    <x v="1"/>
    <n v="-0.35"/>
  </r>
  <r>
    <x v="0"/>
    <x v="0"/>
    <x v="0"/>
    <x v="2"/>
    <x v="6"/>
    <x v="0"/>
    <x v="2"/>
    <n v="-0.35"/>
  </r>
  <r>
    <x v="0"/>
    <x v="0"/>
    <x v="0"/>
    <x v="2"/>
    <x v="6"/>
    <x v="0"/>
    <x v="3"/>
    <n v="-0.35"/>
  </r>
  <r>
    <x v="0"/>
    <x v="0"/>
    <x v="0"/>
    <x v="2"/>
    <x v="6"/>
    <x v="0"/>
    <x v="4"/>
    <n v="-0.35"/>
  </r>
  <r>
    <x v="0"/>
    <x v="0"/>
    <x v="0"/>
    <x v="2"/>
    <x v="6"/>
    <x v="0"/>
    <x v="5"/>
    <n v="-0.35"/>
  </r>
  <r>
    <x v="0"/>
    <x v="0"/>
    <x v="0"/>
    <x v="2"/>
    <x v="6"/>
    <x v="0"/>
    <x v="6"/>
    <n v="-0.35"/>
  </r>
  <r>
    <x v="0"/>
    <x v="0"/>
    <x v="0"/>
    <x v="2"/>
    <x v="6"/>
    <x v="0"/>
    <x v="7"/>
    <n v="-0.35"/>
  </r>
  <r>
    <x v="0"/>
    <x v="0"/>
    <x v="0"/>
    <x v="2"/>
    <x v="6"/>
    <x v="0"/>
    <x v="8"/>
    <n v="-0.35"/>
  </r>
  <r>
    <x v="0"/>
    <x v="0"/>
    <x v="0"/>
    <x v="2"/>
    <x v="6"/>
    <x v="0"/>
    <x v="9"/>
    <n v="-0.35"/>
  </r>
  <r>
    <x v="0"/>
    <x v="0"/>
    <x v="0"/>
    <x v="2"/>
    <x v="6"/>
    <x v="0"/>
    <x v="10"/>
    <n v="-0.35"/>
  </r>
  <r>
    <x v="0"/>
    <x v="0"/>
    <x v="0"/>
    <x v="2"/>
    <x v="6"/>
    <x v="0"/>
    <x v="11"/>
    <n v="-0.35"/>
  </r>
  <r>
    <x v="0"/>
    <x v="0"/>
    <x v="0"/>
    <x v="2"/>
    <x v="6"/>
    <x v="1"/>
    <x v="0"/>
    <n v="-0.35"/>
  </r>
  <r>
    <x v="0"/>
    <x v="0"/>
    <x v="0"/>
    <x v="2"/>
    <x v="6"/>
    <x v="1"/>
    <x v="1"/>
    <n v="-0.35"/>
  </r>
  <r>
    <x v="0"/>
    <x v="0"/>
    <x v="0"/>
    <x v="2"/>
    <x v="6"/>
    <x v="1"/>
    <x v="2"/>
    <n v="-0.35"/>
  </r>
  <r>
    <x v="0"/>
    <x v="0"/>
    <x v="0"/>
    <x v="2"/>
    <x v="6"/>
    <x v="1"/>
    <x v="3"/>
    <n v="-0.35"/>
  </r>
  <r>
    <x v="0"/>
    <x v="0"/>
    <x v="0"/>
    <x v="2"/>
    <x v="6"/>
    <x v="1"/>
    <x v="4"/>
    <n v="-0.35"/>
  </r>
  <r>
    <x v="0"/>
    <x v="0"/>
    <x v="0"/>
    <x v="2"/>
    <x v="6"/>
    <x v="1"/>
    <x v="5"/>
    <n v="-0.35"/>
  </r>
  <r>
    <x v="0"/>
    <x v="0"/>
    <x v="0"/>
    <x v="2"/>
    <x v="6"/>
    <x v="1"/>
    <x v="6"/>
    <n v="-0.35"/>
  </r>
  <r>
    <x v="0"/>
    <x v="0"/>
    <x v="0"/>
    <x v="2"/>
    <x v="6"/>
    <x v="1"/>
    <x v="7"/>
    <n v="-0.35"/>
  </r>
  <r>
    <x v="0"/>
    <x v="0"/>
    <x v="0"/>
    <x v="2"/>
    <x v="6"/>
    <x v="1"/>
    <x v="8"/>
    <n v="-0.35"/>
  </r>
  <r>
    <x v="0"/>
    <x v="0"/>
    <x v="0"/>
    <x v="2"/>
    <x v="6"/>
    <x v="1"/>
    <x v="9"/>
    <n v="-0.35"/>
  </r>
  <r>
    <x v="0"/>
    <x v="0"/>
    <x v="0"/>
    <x v="2"/>
    <x v="6"/>
    <x v="1"/>
    <x v="10"/>
    <n v="-0.35"/>
  </r>
  <r>
    <x v="0"/>
    <x v="0"/>
    <x v="0"/>
    <x v="2"/>
    <x v="6"/>
    <x v="1"/>
    <x v="11"/>
    <n v="-0.35"/>
  </r>
  <r>
    <x v="0"/>
    <x v="0"/>
    <x v="0"/>
    <x v="2"/>
    <x v="6"/>
    <x v="2"/>
    <x v="0"/>
    <n v="-0.35"/>
  </r>
  <r>
    <x v="0"/>
    <x v="0"/>
    <x v="0"/>
    <x v="2"/>
    <x v="6"/>
    <x v="2"/>
    <x v="1"/>
    <n v="-0.35"/>
  </r>
  <r>
    <x v="0"/>
    <x v="0"/>
    <x v="0"/>
    <x v="2"/>
    <x v="6"/>
    <x v="2"/>
    <x v="2"/>
    <n v="-0.35"/>
  </r>
  <r>
    <x v="0"/>
    <x v="0"/>
    <x v="0"/>
    <x v="2"/>
    <x v="6"/>
    <x v="2"/>
    <x v="3"/>
    <n v="-0.35"/>
  </r>
  <r>
    <x v="0"/>
    <x v="0"/>
    <x v="0"/>
    <x v="2"/>
    <x v="6"/>
    <x v="2"/>
    <x v="4"/>
    <n v="-0.35"/>
  </r>
  <r>
    <x v="0"/>
    <x v="0"/>
    <x v="0"/>
    <x v="2"/>
    <x v="6"/>
    <x v="2"/>
    <x v="5"/>
    <n v="-0.35"/>
  </r>
  <r>
    <x v="0"/>
    <x v="0"/>
    <x v="0"/>
    <x v="2"/>
    <x v="6"/>
    <x v="2"/>
    <x v="6"/>
    <n v="-0.35"/>
  </r>
  <r>
    <x v="0"/>
    <x v="0"/>
    <x v="0"/>
    <x v="2"/>
    <x v="6"/>
    <x v="2"/>
    <x v="7"/>
    <n v="-0.35"/>
  </r>
  <r>
    <x v="0"/>
    <x v="0"/>
    <x v="0"/>
    <x v="2"/>
    <x v="6"/>
    <x v="2"/>
    <x v="8"/>
    <n v="-0.35"/>
  </r>
  <r>
    <x v="0"/>
    <x v="0"/>
    <x v="0"/>
    <x v="2"/>
    <x v="6"/>
    <x v="2"/>
    <x v="9"/>
    <n v="-0.35"/>
  </r>
  <r>
    <x v="0"/>
    <x v="0"/>
    <x v="0"/>
    <x v="2"/>
    <x v="6"/>
    <x v="2"/>
    <x v="10"/>
    <n v="-0.35"/>
  </r>
  <r>
    <x v="0"/>
    <x v="0"/>
    <x v="0"/>
    <x v="2"/>
    <x v="6"/>
    <x v="2"/>
    <x v="11"/>
    <n v="-0.35"/>
  </r>
  <r>
    <x v="0"/>
    <x v="0"/>
    <x v="0"/>
    <x v="2"/>
    <x v="6"/>
    <x v="3"/>
    <x v="0"/>
    <n v="-0.35"/>
  </r>
  <r>
    <x v="0"/>
    <x v="0"/>
    <x v="0"/>
    <x v="2"/>
    <x v="6"/>
    <x v="3"/>
    <x v="1"/>
    <n v="-0.35"/>
  </r>
  <r>
    <x v="0"/>
    <x v="0"/>
    <x v="0"/>
    <x v="2"/>
    <x v="6"/>
    <x v="3"/>
    <x v="2"/>
    <n v="-0.35"/>
  </r>
  <r>
    <x v="0"/>
    <x v="0"/>
    <x v="0"/>
    <x v="2"/>
    <x v="6"/>
    <x v="3"/>
    <x v="3"/>
    <n v="-0.35"/>
  </r>
  <r>
    <x v="0"/>
    <x v="0"/>
    <x v="0"/>
    <x v="2"/>
    <x v="6"/>
    <x v="3"/>
    <x v="4"/>
    <n v="-0.35"/>
  </r>
  <r>
    <x v="0"/>
    <x v="0"/>
    <x v="0"/>
    <x v="2"/>
    <x v="6"/>
    <x v="3"/>
    <x v="5"/>
    <n v="-0.35"/>
  </r>
  <r>
    <x v="0"/>
    <x v="0"/>
    <x v="0"/>
    <x v="2"/>
    <x v="6"/>
    <x v="3"/>
    <x v="6"/>
    <n v="-0.35"/>
  </r>
  <r>
    <x v="0"/>
    <x v="0"/>
    <x v="0"/>
    <x v="2"/>
    <x v="6"/>
    <x v="3"/>
    <x v="7"/>
    <n v="-0.35"/>
  </r>
  <r>
    <x v="0"/>
    <x v="0"/>
    <x v="0"/>
    <x v="2"/>
    <x v="6"/>
    <x v="3"/>
    <x v="8"/>
    <n v="-0.35"/>
  </r>
  <r>
    <x v="0"/>
    <x v="0"/>
    <x v="0"/>
    <x v="2"/>
    <x v="6"/>
    <x v="3"/>
    <x v="9"/>
    <n v="-0.35"/>
  </r>
  <r>
    <x v="0"/>
    <x v="0"/>
    <x v="0"/>
    <x v="2"/>
    <x v="6"/>
    <x v="3"/>
    <x v="10"/>
    <n v="-0.35"/>
  </r>
  <r>
    <x v="0"/>
    <x v="0"/>
    <x v="0"/>
    <x v="2"/>
    <x v="6"/>
    <x v="3"/>
    <x v="11"/>
    <n v="-0.35"/>
  </r>
  <r>
    <x v="0"/>
    <x v="0"/>
    <x v="0"/>
    <x v="2"/>
    <x v="6"/>
    <x v="4"/>
    <x v="0"/>
    <n v="-0.35"/>
  </r>
  <r>
    <x v="0"/>
    <x v="0"/>
    <x v="0"/>
    <x v="2"/>
    <x v="6"/>
    <x v="4"/>
    <x v="1"/>
    <n v="-0.35"/>
  </r>
  <r>
    <x v="0"/>
    <x v="0"/>
    <x v="0"/>
    <x v="2"/>
    <x v="6"/>
    <x v="4"/>
    <x v="2"/>
    <n v="-0.35"/>
  </r>
  <r>
    <x v="0"/>
    <x v="0"/>
    <x v="0"/>
    <x v="2"/>
    <x v="6"/>
    <x v="4"/>
    <x v="3"/>
    <n v="-0.35"/>
  </r>
  <r>
    <x v="0"/>
    <x v="0"/>
    <x v="0"/>
    <x v="2"/>
    <x v="6"/>
    <x v="4"/>
    <x v="4"/>
    <n v="-0.35"/>
  </r>
  <r>
    <x v="0"/>
    <x v="0"/>
    <x v="0"/>
    <x v="2"/>
    <x v="6"/>
    <x v="4"/>
    <x v="5"/>
    <n v="-0.35"/>
  </r>
  <r>
    <x v="0"/>
    <x v="0"/>
    <x v="0"/>
    <x v="2"/>
    <x v="6"/>
    <x v="4"/>
    <x v="6"/>
    <n v="-0.35"/>
  </r>
  <r>
    <x v="0"/>
    <x v="0"/>
    <x v="0"/>
    <x v="2"/>
    <x v="6"/>
    <x v="4"/>
    <x v="7"/>
    <n v="-0.35"/>
  </r>
  <r>
    <x v="0"/>
    <x v="0"/>
    <x v="0"/>
    <x v="2"/>
    <x v="6"/>
    <x v="4"/>
    <x v="8"/>
    <n v="-0.35"/>
  </r>
  <r>
    <x v="0"/>
    <x v="0"/>
    <x v="0"/>
    <x v="2"/>
    <x v="6"/>
    <x v="4"/>
    <x v="9"/>
    <n v="-0.35"/>
  </r>
  <r>
    <x v="0"/>
    <x v="0"/>
    <x v="0"/>
    <x v="2"/>
    <x v="6"/>
    <x v="4"/>
    <x v="10"/>
    <n v="-0.35"/>
  </r>
  <r>
    <x v="0"/>
    <x v="0"/>
    <x v="0"/>
    <x v="2"/>
    <x v="6"/>
    <x v="4"/>
    <x v="11"/>
    <n v="-0.35"/>
  </r>
  <r>
    <x v="0"/>
    <x v="0"/>
    <x v="0"/>
    <x v="2"/>
    <x v="6"/>
    <x v="5"/>
    <x v="0"/>
    <n v="-0.35"/>
  </r>
  <r>
    <x v="0"/>
    <x v="0"/>
    <x v="0"/>
    <x v="2"/>
    <x v="6"/>
    <x v="5"/>
    <x v="1"/>
    <n v="-0.35"/>
  </r>
  <r>
    <x v="0"/>
    <x v="0"/>
    <x v="0"/>
    <x v="2"/>
    <x v="6"/>
    <x v="5"/>
    <x v="2"/>
    <n v="-0.35"/>
  </r>
  <r>
    <x v="0"/>
    <x v="0"/>
    <x v="0"/>
    <x v="2"/>
    <x v="6"/>
    <x v="5"/>
    <x v="3"/>
    <n v="-0.35"/>
  </r>
  <r>
    <x v="0"/>
    <x v="0"/>
    <x v="0"/>
    <x v="2"/>
    <x v="6"/>
    <x v="5"/>
    <x v="4"/>
    <n v="-0.35"/>
  </r>
  <r>
    <x v="0"/>
    <x v="0"/>
    <x v="0"/>
    <x v="2"/>
    <x v="6"/>
    <x v="5"/>
    <x v="5"/>
    <n v="-0.35"/>
  </r>
  <r>
    <x v="0"/>
    <x v="0"/>
    <x v="0"/>
    <x v="2"/>
    <x v="6"/>
    <x v="5"/>
    <x v="6"/>
    <n v="-0.35"/>
  </r>
  <r>
    <x v="0"/>
    <x v="0"/>
    <x v="0"/>
    <x v="2"/>
    <x v="6"/>
    <x v="5"/>
    <x v="7"/>
    <n v="-0.35"/>
  </r>
  <r>
    <x v="0"/>
    <x v="0"/>
    <x v="0"/>
    <x v="2"/>
    <x v="6"/>
    <x v="5"/>
    <x v="8"/>
    <n v="-0.35"/>
  </r>
  <r>
    <x v="0"/>
    <x v="0"/>
    <x v="0"/>
    <x v="2"/>
    <x v="6"/>
    <x v="5"/>
    <x v="9"/>
    <n v="-0.35"/>
  </r>
  <r>
    <x v="0"/>
    <x v="0"/>
    <x v="0"/>
    <x v="2"/>
    <x v="6"/>
    <x v="5"/>
    <x v="10"/>
    <n v="-0.35"/>
  </r>
  <r>
    <x v="0"/>
    <x v="0"/>
    <x v="0"/>
    <x v="2"/>
    <x v="6"/>
    <x v="5"/>
    <x v="11"/>
    <n v="-0.35"/>
  </r>
  <r>
    <x v="0"/>
    <x v="0"/>
    <x v="0"/>
    <x v="2"/>
    <x v="6"/>
    <x v="6"/>
    <x v="0"/>
    <n v="-0.35"/>
  </r>
  <r>
    <x v="0"/>
    <x v="0"/>
    <x v="0"/>
    <x v="2"/>
    <x v="6"/>
    <x v="6"/>
    <x v="1"/>
    <n v="-0.35"/>
  </r>
  <r>
    <x v="0"/>
    <x v="0"/>
    <x v="0"/>
    <x v="2"/>
    <x v="6"/>
    <x v="6"/>
    <x v="2"/>
    <n v="-0.35"/>
  </r>
  <r>
    <x v="0"/>
    <x v="0"/>
    <x v="0"/>
    <x v="2"/>
    <x v="6"/>
    <x v="6"/>
    <x v="3"/>
    <n v="-0.35"/>
  </r>
  <r>
    <x v="0"/>
    <x v="0"/>
    <x v="0"/>
    <x v="2"/>
    <x v="6"/>
    <x v="6"/>
    <x v="4"/>
    <n v="-0.35"/>
  </r>
  <r>
    <x v="0"/>
    <x v="0"/>
    <x v="0"/>
    <x v="2"/>
    <x v="6"/>
    <x v="6"/>
    <x v="5"/>
    <n v="-0.35"/>
  </r>
  <r>
    <x v="0"/>
    <x v="0"/>
    <x v="0"/>
    <x v="2"/>
    <x v="6"/>
    <x v="6"/>
    <x v="6"/>
    <n v="-0.35"/>
  </r>
  <r>
    <x v="0"/>
    <x v="0"/>
    <x v="0"/>
    <x v="2"/>
    <x v="6"/>
    <x v="6"/>
    <x v="7"/>
    <n v="-0.35"/>
  </r>
  <r>
    <x v="0"/>
    <x v="0"/>
    <x v="0"/>
    <x v="2"/>
    <x v="6"/>
    <x v="6"/>
    <x v="8"/>
    <n v="-0.35"/>
  </r>
  <r>
    <x v="0"/>
    <x v="0"/>
    <x v="0"/>
    <x v="2"/>
    <x v="6"/>
    <x v="6"/>
    <x v="9"/>
    <n v="-0.35"/>
  </r>
  <r>
    <x v="0"/>
    <x v="0"/>
    <x v="0"/>
    <x v="2"/>
    <x v="6"/>
    <x v="6"/>
    <x v="10"/>
    <n v="-0.35"/>
  </r>
  <r>
    <x v="0"/>
    <x v="0"/>
    <x v="0"/>
    <x v="2"/>
    <x v="6"/>
    <x v="6"/>
    <x v="11"/>
    <n v="-0.35"/>
  </r>
  <r>
    <x v="0"/>
    <x v="0"/>
    <x v="0"/>
    <x v="2"/>
    <x v="6"/>
    <x v="7"/>
    <x v="0"/>
    <n v="-0.35"/>
  </r>
  <r>
    <x v="0"/>
    <x v="0"/>
    <x v="0"/>
    <x v="2"/>
    <x v="6"/>
    <x v="7"/>
    <x v="1"/>
    <n v="-0.35"/>
  </r>
  <r>
    <x v="0"/>
    <x v="0"/>
    <x v="0"/>
    <x v="2"/>
    <x v="6"/>
    <x v="7"/>
    <x v="2"/>
    <n v="-0.35"/>
  </r>
  <r>
    <x v="0"/>
    <x v="0"/>
    <x v="0"/>
    <x v="2"/>
    <x v="6"/>
    <x v="7"/>
    <x v="3"/>
    <n v="-0.35"/>
  </r>
  <r>
    <x v="0"/>
    <x v="0"/>
    <x v="0"/>
    <x v="2"/>
    <x v="6"/>
    <x v="7"/>
    <x v="4"/>
    <n v="-0.35"/>
  </r>
  <r>
    <x v="0"/>
    <x v="0"/>
    <x v="0"/>
    <x v="2"/>
    <x v="6"/>
    <x v="7"/>
    <x v="5"/>
    <n v="-0.35"/>
  </r>
  <r>
    <x v="0"/>
    <x v="0"/>
    <x v="0"/>
    <x v="2"/>
    <x v="6"/>
    <x v="7"/>
    <x v="6"/>
    <n v="-0.35"/>
  </r>
  <r>
    <x v="0"/>
    <x v="0"/>
    <x v="0"/>
    <x v="2"/>
    <x v="6"/>
    <x v="7"/>
    <x v="7"/>
    <n v="-0.35"/>
  </r>
  <r>
    <x v="0"/>
    <x v="0"/>
    <x v="0"/>
    <x v="2"/>
    <x v="6"/>
    <x v="7"/>
    <x v="8"/>
    <n v="-0.35"/>
  </r>
  <r>
    <x v="0"/>
    <x v="0"/>
    <x v="0"/>
    <x v="2"/>
    <x v="6"/>
    <x v="7"/>
    <x v="9"/>
    <n v="-0.35"/>
  </r>
  <r>
    <x v="0"/>
    <x v="0"/>
    <x v="0"/>
    <x v="2"/>
    <x v="6"/>
    <x v="7"/>
    <x v="10"/>
    <n v="-0.35"/>
  </r>
  <r>
    <x v="0"/>
    <x v="0"/>
    <x v="0"/>
    <x v="2"/>
    <x v="6"/>
    <x v="7"/>
    <x v="11"/>
    <n v="-0.35"/>
  </r>
  <r>
    <x v="0"/>
    <x v="0"/>
    <x v="0"/>
    <x v="2"/>
    <x v="6"/>
    <x v="8"/>
    <x v="0"/>
    <n v="-0.35"/>
  </r>
  <r>
    <x v="0"/>
    <x v="0"/>
    <x v="0"/>
    <x v="2"/>
    <x v="6"/>
    <x v="8"/>
    <x v="1"/>
    <n v="-0.35"/>
  </r>
  <r>
    <x v="0"/>
    <x v="0"/>
    <x v="0"/>
    <x v="2"/>
    <x v="6"/>
    <x v="8"/>
    <x v="2"/>
    <n v="-0.35"/>
  </r>
  <r>
    <x v="0"/>
    <x v="0"/>
    <x v="0"/>
    <x v="2"/>
    <x v="6"/>
    <x v="8"/>
    <x v="3"/>
    <n v="-0.35"/>
  </r>
  <r>
    <x v="0"/>
    <x v="0"/>
    <x v="0"/>
    <x v="2"/>
    <x v="6"/>
    <x v="8"/>
    <x v="4"/>
    <n v="-0.35"/>
  </r>
  <r>
    <x v="0"/>
    <x v="0"/>
    <x v="0"/>
    <x v="2"/>
    <x v="6"/>
    <x v="8"/>
    <x v="5"/>
    <n v="-0.35"/>
  </r>
  <r>
    <x v="0"/>
    <x v="0"/>
    <x v="0"/>
    <x v="2"/>
    <x v="6"/>
    <x v="8"/>
    <x v="6"/>
    <n v="-0.35"/>
  </r>
  <r>
    <x v="0"/>
    <x v="0"/>
    <x v="0"/>
    <x v="2"/>
    <x v="6"/>
    <x v="8"/>
    <x v="7"/>
    <n v="-0.35"/>
  </r>
  <r>
    <x v="0"/>
    <x v="0"/>
    <x v="0"/>
    <x v="2"/>
    <x v="6"/>
    <x v="8"/>
    <x v="8"/>
    <n v="-0.35"/>
  </r>
  <r>
    <x v="0"/>
    <x v="0"/>
    <x v="0"/>
    <x v="2"/>
    <x v="6"/>
    <x v="8"/>
    <x v="9"/>
    <n v="-0.35"/>
  </r>
  <r>
    <x v="0"/>
    <x v="0"/>
    <x v="0"/>
    <x v="2"/>
    <x v="6"/>
    <x v="8"/>
    <x v="10"/>
    <n v="-0.35"/>
  </r>
  <r>
    <x v="0"/>
    <x v="0"/>
    <x v="0"/>
    <x v="2"/>
    <x v="6"/>
    <x v="8"/>
    <x v="11"/>
    <n v="-0.35"/>
  </r>
  <r>
    <x v="0"/>
    <x v="0"/>
    <x v="0"/>
    <x v="2"/>
    <x v="6"/>
    <x v="9"/>
    <x v="0"/>
    <n v="-0.35"/>
  </r>
  <r>
    <x v="0"/>
    <x v="0"/>
    <x v="0"/>
    <x v="2"/>
    <x v="6"/>
    <x v="9"/>
    <x v="1"/>
    <n v="-0.35"/>
  </r>
  <r>
    <x v="0"/>
    <x v="0"/>
    <x v="0"/>
    <x v="2"/>
    <x v="6"/>
    <x v="9"/>
    <x v="2"/>
    <n v="-0.35"/>
  </r>
  <r>
    <x v="0"/>
    <x v="0"/>
    <x v="0"/>
    <x v="2"/>
    <x v="6"/>
    <x v="9"/>
    <x v="3"/>
    <n v="-0.35"/>
  </r>
  <r>
    <x v="0"/>
    <x v="0"/>
    <x v="0"/>
    <x v="2"/>
    <x v="6"/>
    <x v="9"/>
    <x v="4"/>
    <n v="-0.35"/>
  </r>
  <r>
    <x v="0"/>
    <x v="0"/>
    <x v="0"/>
    <x v="2"/>
    <x v="6"/>
    <x v="9"/>
    <x v="5"/>
    <n v="-0.35"/>
  </r>
  <r>
    <x v="0"/>
    <x v="0"/>
    <x v="0"/>
    <x v="2"/>
    <x v="6"/>
    <x v="9"/>
    <x v="6"/>
    <n v="-0.35"/>
  </r>
  <r>
    <x v="0"/>
    <x v="0"/>
    <x v="0"/>
    <x v="2"/>
    <x v="6"/>
    <x v="9"/>
    <x v="7"/>
    <n v="-0.35"/>
  </r>
  <r>
    <x v="0"/>
    <x v="0"/>
    <x v="0"/>
    <x v="2"/>
    <x v="6"/>
    <x v="9"/>
    <x v="8"/>
    <n v="-0.35"/>
  </r>
  <r>
    <x v="0"/>
    <x v="0"/>
    <x v="0"/>
    <x v="2"/>
    <x v="6"/>
    <x v="9"/>
    <x v="9"/>
    <n v="-0.35"/>
  </r>
  <r>
    <x v="0"/>
    <x v="0"/>
    <x v="0"/>
    <x v="2"/>
    <x v="6"/>
    <x v="9"/>
    <x v="10"/>
    <n v="-0.35"/>
  </r>
  <r>
    <x v="0"/>
    <x v="0"/>
    <x v="0"/>
    <x v="2"/>
    <x v="6"/>
    <x v="9"/>
    <x v="11"/>
    <n v="-0.35"/>
  </r>
  <r>
    <x v="0"/>
    <x v="0"/>
    <x v="0"/>
    <x v="2"/>
    <x v="6"/>
    <x v="10"/>
    <x v="0"/>
    <n v="-0.35"/>
  </r>
  <r>
    <x v="0"/>
    <x v="0"/>
    <x v="0"/>
    <x v="2"/>
    <x v="6"/>
    <x v="10"/>
    <x v="1"/>
    <n v="-0.35"/>
  </r>
  <r>
    <x v="0"/>
    <x v="0"/>
    <x v="0"/>
    <x v="2"/>
    <x v="6"/>
    <x v="10"/>
    <x v="2"/>
    <n v="-0.35"/>
  </r>
  <r>
    <x v="0"/>
    <x v="0"/>
    <x v="0"/>
    <x v="2"/>
    <x v="6"/>
    <x v="10"/>
    <x v="3"/>
    <n v="-0.35"/>
  </r>
  <r>
    <x v="0"/>
    <x v="0"/>
    <x v="0"/>
    <x v="2"/>
    <x v="6"/>
    <x v="10"/>
    <x v="4"/>
    <n v="-0.35"/>
  </r>
  <r>
    <x v="0"/>
    <x v="0"/>
    <x v="0"/>
    <x v="2"/>
    <x v="6"/>
    <x v="10"/>
    <x v="5"/>
    <n v="-0.35"/>
  </r>
  <r>
    <x v="0"/>
    <x v="0"/>
    <x v="0"/>
    <x v="2"/>
    <x v="6"/>
    <x v="10"/>
    <x v="6"/>
    <n v="-0.35"/>
  </r>
  <r>
    <x v="0"/>
    <x v="0"/>
    <x v="0"/>
    <x v="2"/>
    <x v="6"/>
    <x v="10"/>
    <x v="7"/>
    <n v="-0.35"/>
  </r>
  <r>
    <x v="0"/>
    <x v="0"/>
    <x v="0"/>
    <x v="2"/>
    <x v="6"/>
    <x v="10"/>
    <x v="8"/>
    <n v="-0.35"/>
  </r>
  <r>
    <x v="0"/>
    <x v="0"/>
    <x v="0"/>
    <x v="2"/>
    <x v="6"/>
    <x v="10"/>
    <x v="9"/>
    <n v="-0.35"/>
  </r>
  <r>
    <x v="0"/>
    <x v="0"/>
    <x v="0"/>
    <x v="2"/>
    <x v="6"/>
    <x v="10"/>
    <x v="10"/>
    <n v="-0.35"/>
  </r>
  <r>
    <x v="0"/>
    <x v="0"/>
    <x v="0"/>
    <x v="2"/>
    <x v="6"/>
    <x v="10"/>
    <x v="11"/>
    <n v="-0.35"/>
  </r>
  <r>
    <x v="0"/>
    <x v="0"/>
    <x v="0"/>
    <x v="2"/>
    <x v="6"/>
    <x v="11"/>
    <x v="0"/>
    <n v="-0.35"/>
  </r>
  <r>
    <x v="0"/>
    <x v="0"/>
    <x v="0"/>
    <x v="2"/>
    <x v="6"/>
    <x v="11"/>
    <x v="1"/>
    <n v="-0.35"/>
  </r>
  <r>
    <x v="0"/>
    <x v="0"/>
    <x v="0"/>
    <x v="2"/>
    <x v="6"/>
    <x v="11"/>
    <x v="2"/>
    <n v="-0.35"/>
  </r>
  <r>
    <x v="0"/>
    <x v="0"/>
    <x v="0"/>
    <x v="2"/>
    <x v="6"/>
    <x v="11"/>
    <x v="3"/>
    <n v="-0.35"/>
  </r>
  <r>
    <x v="0"/>
    <x v="0"/>
    <x v="0"/>
    <x v="2"/>
    <x v="6"/>
    <x v="11"/>
    <x v="4"/>
    <n v="-0.35"/>
  </r>
  <r>
    <x v="0"/>
    <x v="0"/>
    <x v="0"/>
    <x v="2"/>
    <x v="6"/>
    <x v="11"/>
    <x v="5"/>
    <n v="-0.35"/>
  </r>
  <r>
    <x v="0"/>
    <x v="0"/>
    <x v="0"/>
    <x v="2"/>
    <x v="6"/>
    <x v="11"/>
    <x v="6"/>
    <n v="-0.35"/>
  </r>
  <r>
    <x v="0"/>
    <x v="0"/>
    <x v="0"/>
    <x v="2"/>
    <x v="6"/>
    <x v="11"/>
    <x v="7"/>
    <n v="-0.35"/>
  </r>
  <r>
    <x v="0"/>
    <x v="0"/>
    <x v="0"/>
    <x v="2"/>
    <x v="6"/>
    <x v="11"/>
    <x v="8"/>
    <n v="-0.35"/>
  </r>
  <r>
    <x v="0"/>
    <x v="0"/>
    <x v="0"/>
    <x v="2"/>
    <x v="6"/>
    <x v="11"/>
    <x v="9"/>
    <n v="-0.35"/>
  </r>
  <r>
    <x v="0"/>
    <x v="0"/>
    <x v="0"/>
    <x v="2"/>
    <x v="6"/>
    <x v="11"/>
    <x v="10"/>
    <n v="-0.35"/>
  </r>
  <r>
    <x v="0"/>
    <x v="0"/>
    <x v="0"/>
    <x v="2"/>
    <x v="6"/>
    <x v="11"/>
    <x v="11"/>
    <n v="-0.35"/>
  </r>
  <r>
    <x v="0"/>
    <x v="0"/>
    <x v="0"/>
    <x v="2"/>
    <x v="7"/>
    <x v="0"/>
    <x v="0"/>
    <n v="0.8"/>
  </r>
  <r>
    <x v="0"/>
    <x v="0"/>
    <x v="0"/>
    <x v="2"/>
    <x v="7"/>
    <x v="0"/>
    <x v="1"/>
    <n v="0.8"/>
  </r>
  <r>
    <x v="0"/>
    <x v="0"/>
    <x v="0"/>
    <x v="2"/>
    <x v="7"/>
    <x v="0"/>
    <x v="2"/>
    <n v="0.8"/>
  </r>
  <r>
    <x v="0"/>
    <x v="0"/>
    <x v="0"/>
    <x v="2"/>
    <x v="7"/>
    <x v="0"/>
    <x v="3"/>
    <n v="0.8"/>
  </r>
  <r>
    <x v="0"/>
    <x v="0"/>
    <x v="0"/>
    <x v="2"/>
    <x v="7"/>
    <x v="0"/>
    <x v="4"/>
    <n v="0.8"/>
  </r>
  <r>
    <x v="0"/>
    <x v="0"/>
    <x v="0"/>
    <x v="2"/>
    <x v="7"/>
    <x v="0"/>
    <x v="5"/>
    <n v="0.8"/>
  </r>
  <r>
    <x v="0"/>
    <x v="0"/>
    <x v="0"/>
    <x v="2"/>
    <x v="7"/>
    <x v="0"/>
    <x v="6"/>
    <n v="0.8"/>
  </r>
  <r>
    <x v="0"/>
    <x v="0"/>
    <x v="0"/>
    <x v="2"/>
    <x v="7"/>
    <x v="0"/>
    <x v="7"/>
    <n v="0.8"/>
  </r>
  <r>
    <x v="0"/>
    <x v="0"/>
    <x v="0"/>
    <x v="2"/>
    <x v="7"/>
    <x v="0"/>
    <x v="8"/>
    <n v="0.8"/>
  </r>
  <r>
    <x v="0"/>
    <x v="0"/>
    <x v="0"/>
    <x v="2"/>
    <x v="7"/>
    <x v="0"/>
    <x v="9"/>
    <n v="0.8"/>
  </r>
  <r>
    <x v="0"/>
    <x v="0"/>
    <x v="0"/>
    <x v="2"/>
    <x v="7"/>
    <x v="0"/>
    <x v="10"/>
    <n v="0.8"/>
  </r>
  <r>
    <x v="0"/>
    <x v="0"/>
    <x v="0"/>
    <x v="2"/>
    <x v="7"/>
    <x v="0"/>
    <x v="11"/>
    <n v="0.8"/>
  </r>
  <r>
    <x v="0"/>
    <x v="0"/>
    <x v="0"/>
    <x v="2"/>
    <x v="7"/>
    <x v="1"/>
    <x v="0"/>
    <n v="0.8"/>
  </r>
  <r>
    <x v="0"/>
    <x v="0"/>
    <x v="0"/>
    <x v="2"/>
    <x v="7"/>
    <x v="1"/>
    <x v="1"/>
    <n v="0.8"/>
  </r>
  <r>
    <x v="0"/>
    <x v="0"/>
    <x v="0"/>
    <x v="2"/>
    <x v="7"/>
    <x v="1"/>
    <x v="2"/>
    <n v="0.8"/>
  </r>
  <r>
    <x v="0"/>
    <x v="0"/>
    <x v="0"/>
    <x v="2"/>
    <x v="7"/>
    <x v="1"/>
    <x v="3"/>
    <n v="0.8"/>
  </r>
  <r>
    <x v="0"/>
    <x v="0"/>
    <x v="0"/>
    <x v="2"/>
    <x v="7"/>
    <x v="1"/>
    <x v="4"/>
    <n v="0.8"/>
  </r>
  <r>
    <x v="0"/>
    <x v="0"/>
    <x v="0"/>
    <x v="2"/>
    <x v="7"/>
    <x v="1"/>
    <x v="5"/>
    <n v="0.8"/>
  </r>
  <r>
    <x v="0"/>
    <x v="0"/>
    <x v="0"/>
    <x v="2"/>
    <x v="7"/>
    <x v="1"/>
    <x v="6"/>
    <n v="0.8"/>
  </r>
  <r>
    <x v="0"/>
    <x v="0"/>
    <x v="0"/>
    <x v="2"/>
    <x v="7"/>
    <x v="1"/>
    <x v="7"/>
    <n v="0.8"/>
  </r>
  <r>
    <x v="0"/>
    <x v="0"/>
    <x v="0"/>
    <x v="2"/>
    <x v="7"/>
    <x v="1"/>
    <x v="8"/>
    <n v="0.8"/>
  </r>
  <r>
    <x v="0"/>
    <x v="0"/>
    <x v="0"/>
    <x v="2"/>
    <x v="7"/>
    <x v="1"/>
    <x v="9"/>
    <n v="0.8"/>
  </r>
  <r>
    <x v="0"/>
    <x v="0"/>
    <x v="0"/>
    <x v="2"/>
    <x v="7"/>
    <x v="1"/>
    <x v="10"/>
    <n v="0.8"/>
  </r>
  <r>
    <x v="0"/>
    <x v="0"/>
    <x v="0"/>
    <x v="2"/>
    <x v="7"/>
    <x v="1"/>
    <x v="11"/>
    <n v="0.8"/>
  </r>
  <r>
    <x v="0"/>
    <x v="0"/>
    <x v="0"/>
    <x v="2"/>
    <x v="7"/>
    <x v="2"/>
    <x v="0"/>
    <n v="0.8"/>
  </r>
  <r>
    <x v="0"/>
    <x v="0"/>
    <x v="0"/>
    <x v="2"/>
    <x v="7"/>
    <x v="2"/>
    <x v="1"/>
    <n v="0.66601609621672297"/>
  </r>
  <r>
    <x v="0"/>
    <x v="0"/>
    <x v="0"/>
    <x v="2"/>
    <x v="7"/>
    <x v="2"/>
    <x v="2"/>
    <n v="0.63526762696803896"/>
  </r>
  <r>
    <x v="0"/>
    <x v="0"/>
    <x v="0"/>
    <x v="2"/>
    <x v="7"/>
    <x v="2"/>
    <x v="3"/>
    <n v="0.8"/>
  </r>
  <r>
    <x v="0"/>
    <x v="0"/>
    <x v="0"/>
    <x v="2"/>
    <x v="7"/>
    <x v="2"/>
    <x v="4"/>
    <n v="0.8"/>
  </r>
  <r>
    <x v="0"/>
    <x v="0"/>
    <x v="0"/>
    <x v="2"/>
    <x v="7"/>
    <x v="2"/>
    <x v="5"/>
    <n v="0.8"/>
  </r>
  <r>
    <x v="0"/>
    <x v="0"/>
    <x v="0"/>
    <x v="2"/>
    <x v="7"/>
    <x v="2"/>
    <x v="6"/>
    <n v="0.8"/>
  </r>
  <r>
    <x v="0"/>
    <x v="0"/>
    <x v="0"/>
    <x v="2"/>
    <x v="7"/>
    <x v="2"/>
    <x v="7"/>
    <n v="0.8"/>
  </r>
  <r>
    <x v="0"/>
    <x v="0"/>
    <x v="0"/>
    <x v="2"/>
    <x v="7"/>
    <x v="2"/>
    <x v="8"/>
    <n v="0.8"/>
  </r>
  <r>
    <x v="0"/>
    <x v="0"/>
    <x v="0"/>
    <x v="2"/>
    <x v="7"/>
    <x v="2"/>
    <x v="9"/>
    <n v="0.8"/>
  </r>
  <r>
    <x v="0"/>
    <x v="0"/>
    <x v="0"/>
    <x v="2"/>
    <x v="7"/>
    <x v="2"/>
    <x v="10"/>
    <n v="0.8"/>
  </r>
  <r>
    <x v="0"/>
    <x v="0"/>
    <x v="0"/>
    <x v="2"/>
    <x v="7"/>
    <x v="2"/>
    <x v="11"/>
    <n v="0.8"/>
  </r>
  <r>
    <x v="0"/>
    <x v="0"/>
    <x v="0"/>
    <x v="2"/>
    <x v="7"/>
    <x v="3"/>
    <x v="0"/>
    <n v="0.8"/>
  </r>
  <r>
    <x v="0"/>
    <x v="0"/>
    <x v="0"/>
    <x v="2"/>
    <x v="7"/>
    <x v="3"/>
    <x v="1"/>
    <n v="0.8"/>
  </r>
  <r>
    <x v="0"/>
    <x v="0"/>
    <x v="0"/>
    <x v="2"/>
    <x v="7"/>
    <x v="3"/>
    <x v="2"/>
    <n v="0.8"/>
  </r>
  <r>
    <x v="0"/>
    <x v="0"/>
    <x v="0"/>
    <x v="2"/>
    <x v="7"/>
    <x v="3"/>
    <x v="3"/>
    <n v="0.8"/>
  </r>
  <r>
    <x v="0"/>
    <x v="0"/>
    <x v="0"/>
    <x v="2"/>
    <x v="7"/>
    <x v="3"/>
    <x v="4"/>
    <n v="0.8"/>
  </r>
  <r>
    <x v="0"/>
    <x v="0"/>
    <x v="0"/>
    <x v="2"/>
    <x v="7"/>
    <x v="3"/>
    <x v="5"/>
    <n v="0.8"/>
  </r>
  <r>
    <x v="0"/>
    <x v="0"/>
    <x v="0"/>
    <x v="2"/>
    <x v="7"/>
    <x v="3"/>
    <x v="6"/>
    <n v="0.8"/>
  </r>
  <r>
    <x v="0"/>
    <x v="0"/>
    <x v="0"/>
    <x v="2"/>
    <x v="7"/>
    <x v="3"/>
    <x v="7"/>
    <n v="0.8"/>
  </r>
  <r>
    <x v="0"/>
    <x v="0"/>
    <x v="0"/>
    <x v="2"/>
    <x v="7"/>
    <x v="3"/>
    <x v="8"/>
    <n v="0.8"/>
  </r>
  <r>
    <x v="0"/>
    <x v="0"/>
    <x v="0"/>
    <x v="2"/>
    <x v="7"/>
    <x v="3"/>
    <x v="9"/>
    <n v="0.8"/>
  </r>
  <r>
    <x v="0"/>
    <x v="0"/>
    <x v="0"/>
    <x v="2"/>
    <x v="7"/>
    <x v="3"/>
    <x v="10"/>
    <n v="0.8"/>
  </r>
  <r>
    <x v="0"/>
    <x v="0"/>
    <x v="0"/>
    <x v="2"/>
    <x v="7"/>
    <x v="3"/>
    <x v="11"/>
    <n v="0.8"/>
  </r>
  <r>
    <x v="0"/>
    <x v="0"/>
    <x v="0"/>
    <x v="2"/>
    <x v="7"/>
    <x v="4"/>
    <x v="0"/>
    <n v="0.8"/>
  </r>
  <r>
    <x v="0"/>
    <x v="0"/>
    <x v="0"/>
    <x v="2"/>
    <x v="7"/>
    <x v="4"/>
    <x v="1"/>
    <n v="0.8"/>
  </r>
  <r>
    <x v="0"/>
    <x v="0"/>
    <x v="0"/>
    <x v="2"/>
    <x v="7"/>
    <x v="4"/>
    <x v="2"/>
    <n v="0.8"/>
  </r>
  <r>
    <x v="0"/>
    <x v="0"/>
    <x v="0"/>
    <x v="2"/>
    <x v="7"/>
    <x v="4"/>
    <x v="3"/>
    <n v="0.8"/>
  </r>
  <r>
    <x v="0"/>
    <x v="0"/>
    <x v="0"/>
    <x v="2"/>
    <x v="7"/>
    <x v="4"/>
    <x v="4"/>
    <n v="0.8"/>
  </r>
  <r>
    <x v="0"/>
    <x v="0"/>
    <x v="0"/>
    <x v="2"/>
    <x v="7"/>
    <x v="4"/>
    <x v="5"/>
    <n v="0.8"/>
  </r>
  <r>
    <x v="0"/>
    <x v="0"/>
    <x v="0"/>
    <x v="2"/>
    <x v="7"/>
    <x v="4"/>
    <x v="6"/>
    <n v="0.8"/>
  </r>
  <r>
    <x v="0"/>
    <x v="0"/>
    <x v="0"/>
    <x v="2"/>
    <x v="7"/>
    <x v="4"/>
    <x v="7"/>
    <n v="0.8"/>
  </r>
  <r>
    <x v="0"/>
    <x v="0"/>
    <x v="0"/>
    <x v="2"/>
    <x v="7"/>
    <x v="4"/>
    <x v="8"/>
    <n v="0.8"/>
  </r>
  <r>
    <x v="0"/>
    <x v="0"/>
    <x v="0"/>
    <x v="2"/>
    <x v="7"/>
    <x v="4"/>
    <x v="9"/>
    <n v="0.8"/>
  </r>
  <r>
    <x v="0"/>
    <x v="0"/>
    <x v="0"/>
    <x v="2"/>
    <x v="7"/>
    <x v="4"/>
    <x v="10"/>
    <n v="0.8"/>
  </r>
  <r>
    <x v="0"/>
    <x v="0"/>
    <x v="0"/>
    <x v="2"/>
    <x v="7"/>
    <x v="4"/>
    <x v="11"/>
    <n v="0.8"/>
  </r>
  <r>
    <x v="0"/>
    <x v="0"/>
    <x v="0"/>
    <x v="2"/>
    <x v="7"/>
    <x v="5"/>
    <x v="0"/>
    <n v="0.74066319567127903"/>
  </r>
  <r>
    <x v="0"/>
    <x v="0"/>
    <x v="0"/>
    <x v="2"/>
    <x v="7"/>
    <x v="5"/>
    <x v="1"/>
    <n v="0.65943464259310003"/>
  </r>
  <r>
    <x v="0"/>
    <x v="0"/>
    <x v="0"/>
    <x v="2"/>
    <x v="7"/>
    <x v="5"/>
    <x v="2"/>
    <n v="0.76857017882069201"/>
  </r>
  <r>
    <x v="0"/>
    <x v="0"/>
    <x v="0"/>
    <x v="2"/>
    <x v="7"/>
    <x v="5"/>
    <x v="3"/>
    <n v="0.8"/>
  </r>
  <r>
    <x v="0"/>
    <x v="0"/>
    <x v="0"/>
    <x v="2"/>
    <x v="7"/>
    <x v="5"/>
    <x v="4"/>
    <n v="0.8"/>
  </r>
  <r>
    <x v="0"/>
    <x v="0"/>
    <x v="0"/>
    <x v="2"/>
    <x v="7"/>
    <x v="5"/>
    <x v="5"/>
    <n v="0.8"/>
  </r>
  <r>
    <x v="0"/>
    <x v="0"/>
    <x v="0"/>
    <x v="2"/>
    <x v="7"/>
    <x v="5"/>
    <x v="6"/>
    <n v="0.8"/>
  </r>
  <r>
    <x v="0"/>
    <x v="0"/>
    <x v="0"/>
    <x v="2"/>
    <x v="7"/>
    <x v="5"/>
    <x v="7"/>
    <n v="0.8"/>
  </r>
  <r>
    <x v="0"/>
    <x v="0"/>
    <x v="0"/>
    <x v="2"/>
    <x v="7"/>
    <x v="5"/>
    <x v="8"/>
    <n v="0.8"/>
  </r>
  <r>
    <x v="0"/>
    <x v="0"/>
    <x v="0"/>
    <x v="2"/>
    <x v="7"/>
    <x v="5"/>
    <x v="9"/>
    <n v="0.8"/>
  </r>
  <r>
    <x v="0"/>
    <x v="0"/>
    <x v="0"/>
    <x v="2"/>
    <x v="7"/>
    <x v="5"/>
    <x v="10"/>
    <n v="0.8"/>
  </r>
  <r>
    <x v="0"/>
    <x v="0"/>
    <x v="0"/>
    <x v="2"/>
    <x v="7"/>
    <x v="5"/>
    <x v="11"/>
    <n v="0.8"/>
  </r>
  <r>
    <x v="0"/>
    <x v="0"/>
    <x v="0"/>
    <x v="2"/>
    <x v="7"/>
    <x v="6"/>
    <x v="0"/>
    <n v="0.8"/>
  </r>
  <r>
    <x v="0"/>
    <x v="0"/>
    <x v="0"/>
    <x v="2"/>
    <x v="7"/>
    <x v="6"/>
    <x v="1"/>
    <n v="0.79096677785648095"/>
  </r>
  <r>
    <x v="0"/>
    <x v="0"/>
    <x v="0"/>
    <x v="2"/>
    <x v="7"/>
    <x v="6"/>
    <x v="2"/>
    <n v="0.8"/>
  </r>
  <r>
    <x v="0"/>
    <x v="0"/>
    <x v="0"/>
    <x v="2"/>
    <x v="7"/>
    <x v="6"/>
    <x v="3"/>
    <n v="0.8"/>
  </r>
  <r>
    <x v="0"/>
    <x v="0"/>
    <x v="0"/>
    <x v="2"/>
    <x v="7"/>
    <x v="6"/>
    <x v="4"/>
    <n v="0.8"/>
  </r>
  <r>
    <x v="0"/>
    <x v="0"/>
    <x v="0"/>
    <x v="2"/>
    <x v="7"/>
    <x v="6"/>
    <x v="5"/>
    <n v="0.8"/>
  </r>
  <r>
    <x v="0"/>
    <x v="0"/>
    <x v="0"/>
    <x v="2"/>
    <x v="7"/>
    <x v="6"/>
    <x v="6"/>
    <n v="0.8"/>
  </r>
  <r>
    <x v="0"/>
    <x v="0"/>
    <x v="0"/>
    <x v="2"/>
    <x v="7"/>
    <x v="6"/>
    <x v="7"/>
    <n v="0.8"/>
  </r>
  <r>
    <x v="0"/>
    <x v="0"/>
    <x v="0"/>
    <x v="2"/>
    <x v="7"/>
    <x v="6"/>
    <x v="8"/>
    <n v="0.8"/>
  </r>
  <r>
    <x v="0"/>
    <x v="0"/>
    <x v="0"/>
    <x v="2"/>
    <x v="7"/>
    <x v="6"/>
    <x v="9"/>
    <n v="0.8"/>
  </r>
  <r>
    <x v="0"/>
    <x v="0"/>
    <x v="0"/>
    <x v="2"/>
    <x v="7"/>
    <x v="6"/>
    <x v="10"/>
    <n v="0.8"/>
  </r>
  <r>
    <x v="0"/>
    <x v="0"/>
    <x v="0"/>
    <x v="2"/>
    <x v="7"/>
    <x v="6"/>
    <x v="11"/>
    <n v="0.8"/>
  </r>
  <r>
    <x v="0"/>
    <x v="0"/>
    <x v="0"/>
    <x v="2"/>
    <x v="7"/>
    <x v="7"/>
    <x v="0"/>
    <n v="0.8"/>
  </r>
  <r>
    <x v="0"/>
    <x v="0"/>
    <x v="0"/>
    <x v="2"/>
    <x v="7"/>
    <x v="7"/>
    <x v="1"/>
    <n v="0.8"/>
  </r>
  <r>
    <x v="0"/>
    <x v="0"/>
    <x v="0"/>
    <x v="2"/>
    <x v="7"/>
    <x v="7"/>
    <x v="2"/>
    <n v="0.8"/>
  </r>
  <r>
    <x v="0"/>
    <x v="0"/>
    <x v="0"/>
    <x v="2"/>
    <x v="7"/>
    <x v="7"/>
    <x v="3"/>
    <n v="0.8"/>
  </r>
  <r>
    <x v="0"/>
    <x v="0"/>
    <x v="0"/>
    <x v="2"/>
    <x v="7"/>
    <x v="7"/>
    <x v="4"/>
    <n v="0.8"/>
  </r>
  <r>
    <x v="0"/>
    <x v="0"/>
    <x v="0"/>
    <x v="2"/>
    <x v="7"/>
    <x v="7"/>
    <x v="5"/>
    <n v="0.8"/>
  </r>
  <r>
    <x v="0"/>
    <x v="0"/>
    <x v="0"/>
    <x v="2"/>
    <x v="7"/>
    <x v="7"/>
    <x v="6"/>
    <n v="0.8"/>
  </r>
  <r>
    <x v="0"/>
    <x v="0"/>
    <x v="0"/>
    <x v="2"/>
    <x v="7"/>
    <x v="7"/>
    <x v="7"/>
    <n v="0.8"/>
  </r>
  <r>
    <x v="0"/>
    <x v="0"/>
    <x v="0"/>
    <x v="2"/>
    <x v="7"/>
    <x v="7"/>
    <x v="8"/>
    <n v="0.8"/>
  </r>
  <r>
    <x v="0"/>
    <x v="0"/>
    <x v="0"/>
    <x v="2"/>
    <x v="7"/>
    <x v="7"/>
    <x v="9"/>
    <n v="0.8"/>
  </r>
  <r>
    <x v="0"/>
    <x v="0"/>
    <x v="0"/>
    <x v="2"/>
    <x v="7"/>
    <x v="7"/>
    <x v="10"/>
    <n v="0.8"/>
  </r>
  <r>
    <x v="0"/>
    <x v="0"/>
    <x v="0"/>
    <x v="2"/>
    <x v="7"/>
    <x v="7"/>
    <x v="11"/>
    <n v="0.8"/>
  </r>
  <r>
    <x v="0"/>
    <x v="0"/>
    <x v="0"/>
    <x v="2"/>
    <x v="7"/>
    <x v="8"/>
    <x v="0"/>
    <n v="0.8"/>
  </r>
  <r>
    <x v="0"/>
    <x v="0"/>
    <x v="0"/>
    <x v="2"/>
    <x v="7"/>
    <x v="8"/>
    <x v="1"/>
    <n v="0.8"/>
  </r>
  <r>
    <x v="0"/>
    <x v="0"/>
    <x v="0"/>
    <x v="2"/>
    <x v="7"/>
    <x v="8"/>
    <x v="2"/>
    <n v="0.8"/>
  </r>
  <r>
    <x v="0"/>
    <x v="0"/>
    <x v="0"/>
    <x v="2"/>
    <x v="7"/>
    <x v="8"/>
    <x v="3"/>
    <n v="0.8"/>
  </r>
  <r>
    <x v="0"/>
    <x v="0"/>
    <x v="0"/>
    <x v="2"/>
    <x v="7"/>
    <x v="8"/>
    <x v="4"/>
    <n v="0.8"/>
  </r>
  <r>
    <x v="0"/>
    <x v="0"/>
    <x v="0"/>
    <x v="2"/>
    <x v="7"/>
    <x v="8"/>
    <x v="5"/>
    <n v="0.8"/>
  </r>
  <r>
    <x v="0"/>
    <x v="0"/>
    <x v="0"/>
    <x v="2"/>
    <x v="7"/>
    <x v="8"/>
    <x v="6"/>
    <n v="0.8"/>
  </r>
  <r>
    <x v="0"/>
    <x v="0"/>
    <x v="0"/>
    <x v="2"/>
    <x v="7"/>
    <x v="8"/>
    <x v="7"/>
    <n v="0.8"/>
  </r>
  <r>
    <x v="0"/>
    <x v="0"/>
    <x v="0"/>
    <x v="2"/>
    <x v="7"/>
    <x v="8"/>
    <x v="8"/>
    <n v="0.8"/>
  </r>
  <r>
    <x v="0"/>
    <x v="0"/>
    <x v="0"/>
    <x v="2"/>
    <x v="7"/>
    <x v="8"/>
    <x v="9"/>
    <n v="0.8"/>
  </r>
  <r>
    <x v="0"/>
    <x v="0"/>
    <x v="0"/>
    <x v="2"/>
    <x v="7"/>
    <x v="8"/>
    <x v="10"/>
    <n v="0.8"/>
  </r>
  <r>
    <x v="0"/>
    <x v="0"/>
    <x v="0"/>
    <x v="2"/>
    <x v="7"/>
    <x v="8"/>
    <x v="11"/>
    <n v="0.8"/>
  </r>
  <r>
    <x v="0"/>
    <x v="0"/>
    <x v="0"/>
    <x v="2"/>
    <x v="7"/>
    <x v="9"/>
    <x v="0"/>
    <n v="0.8"/>
  </r>
  <r>
    <x v="0"/>
    <x v="0"/>
    <x v="0"/>
    <x v="2"/>
    <x v="7"/>
    <x v="9"/>
    <x v="1"/>
    <n v="0.8"/>
  </r>
  <r>
    <x v="0"/>
    <x v="0"/>
    <x v="0"/>
    <x v="2"/>
    <x v="7"/>
    <x v="9"/>
    <x v="2"/>
    <n v="0.8"/>
  </r>
  <r>
    <x v="0"/>
    <x v="0"/>
    <x v="0"/>
    <x v="2"/>
    <x v="7"/>
    <x v="9"/>
    <x v="3"/>
    <n v="0.8"/>
  </r>
  <r>
    <x v="0"/>
    <x v="0"/>
    <x v="0"/>
    <x v="2"/>
    <x v="7"/>
    <x v="9"/>
    <x v="4"/>
    <n v="0.8"/>
  </r>
  <r>
    <x v="0"/>
    <x v="0"/>
    <x v="0"/>
    <x v="2"/>
    <x v="7"/>
    <x v="9"/>
    <x v="5"/>
    <n v="0.8"/>
  </r>
  <r>
    <x v="0"/>
    <x v="0"/>
    <x v="0"/>
    <x v="2"/>
    <x v="7"/>
    <x v="9"/>
    <x v="6"/>
    <n v="0.8"/>
  </r>
  <r>
    <x v="0"/>
    <x v="0"/>
    <x v="0"/>
    <x v="2"/>
    <x v="7"/>
    <x v="9"/>
    <x v="7"/>
    <n v="0.8"/>
  </r>
  <r>
    <x v="0"/>
    <x v="0"/>
    <x v="0"/>
    <x v="2"/>
    <x v="7"/>
    <x v="9"/>
    <x v="8"/>
    <n v="0.8"/>
  </r>
  <r>
    <x v="0"/>
    <x v="0"/>
    <x v="0"/>
    <x v="2"/>
    <x v="7"/>
    <x v="9"/>
    <x v="9"/>
    <n v="0.8"/>
  </r>
  <r>
    <x v="0"/>
    <x v="0"/>
    <x v="0"/>
    <x v="2"/>
    <x v="7"/>
    <x v="9"/>
    <x v="10"/>
    <n v="0.8"/>
  </r>
  <r>
    <x v="0"/>
    <x v="0"/>
    <x v="0"/>
    <x v="2"/>
    <x v="7"/>
    <x v="9"/>
    <x v="11"/>
    <n v="0.8"/>
  </r>
  <r>
    <x v="0"/>
    <x v="0"/>
    <x v="0"/>
    <x v="2"/>
    <x v="7"/>
    <x v="10"/>
    <x v="0"/>
    <n v="0.8"/>
  </r>
  <r>
    <x v="0"/>
    <x v="0"/>
    <x v="0"/>
    <x v="2"/>
    <x v="7"/>
    <x v="10"/>
    <x v="1"/>
    <n v="0.8"/>
  </r>
  <r>
    <x v="0"/>
    <x v="0"/>
    <x v="0"/>
    <x v="2"/>
    <x v="7"/>
    <x v="10"/>
    <x v="2"/>
    <n v="0.8"/>
  </r>
  <r>
    <x v="0"/>
    <x v="0"/>
    <x v="0"/>
    <x v="2"/>
    <x v="7"/>
    <x v="10"/>
    <x v="3"/>
    <n v="0.8"/>
  </r>
  <r>
    <x v="0"/>
    <x v="0"/>
    <x v="0"/>
    <x v="2"/>
    <x v="7"/>
    <x v="10"/>
    <x v="4"/>
    <n v="0.8"/>
  </r>
  <r>
    <x v="0"/>
    <x v="0"/>
    <x v="0"/>
    <x v="2"/>
    <x v="7"/>
    <x v="10"/>
    <x v="5"/>
    <n v="0.8"/>
  </r>
  <r>
    <x v="0"/>
    <x v="0"/>
    <x v="0"/>
    <x v="2"/>
    <x v="7"/>
    <x v="10"/>
    <x v="6"/>
    <n v="0.8"/>
  </r>
  <r>
    <x v="0"/>
    <x v="0"/>
    <x v="0"/>
    <x v="2"/>
    <x v="7"/>
    <x v="10"/>
    <x v="7"/>
    <n v="0.8"/>
  </r>
  <r>
    <x v="0"/>
    <x v="0"/>
    <x v="0"/>
    <x v="2"/>
    <x v="7"/>
    <x v="10"/>
    <x v="8"/>
    <n v="0.8"/>
  </r>
  <r>
    <x v="0"/>
    <x v="0"/>
    <x v="0"/>
    <x v="2"/>
    <x v="7"/>
    <x v="10"/>
    <x v="9"/>
    <n v="0.8"/>
  </r>
  <r>
    <x v="0"/>
    <x v="0"/>
    <x v="0"/>
    <x v="2"/>
    <x v="7"/>
    <x v="10"/>
    <x v="10"/>
    <n v="0.8"/>
  </r>
  <r>
    <x v="0"/>
    <x v="0"/>
    <x v="0"/>
    <x v="2"/>
    <x v="7"/>
    <x v="10"/>
    <x v="11"/>
    <n v="0.8"/>
  </r>
  <r>
    <x v="0"/>
    <x v="0"/>
    <x v="0"/>
    <x v="2"/>
    <x v="7"/>
    <x v="11"/>
    <x v="0"/>
    <n v="0.58120872275859303"/>
  </r>
  <r>
    <x v="0"/>
    <x v="0"/>
    <x v="0"/>
    <x v="2"/>
    <x v="7"/>
    <x v="11"/>
    <x v="1"/>
    <n v="0.64006237943577504"/>
  </r>
  <r>
    <x v="0"/>
    <x v="0"/>
    <x v="0"/>
    <x v="2"/>
    <x v="7"/>
    <x v="11"/>
    <x v="2"/>
    <n v="0.53949628005435601"/>
  </r>
  <r>
    <x v="0"/>
    <x v="0"/>
    <x v="0"/>
    <x v="2"/>
    <x v="7"/>
    <x v="11"/>
    <x v="3"/>
    <n v="0.78233078887268104"/>
  </r>
  <r>
    <x v="0"/>
    <x v="0"/>
    <x v="0"/>
    <x v="2"/>
    <x v="7"/>
    <x v="11"/>
    <x v="4"/>
    <n v="0.8"/>
  </r>
  <r>
    <x v="0"/>
    <x v="0"/>
    <x v="0"/>
    <x v="2"/>
    <x v="7"/>
    <x v="11"/>
    <x v="5"/>
    <n v="0.8"/>
  </r>
  <r>
    <x v="0"/>
    <x v="0"/>
    <x v="0"/>
    <x v="2"/>
    <x v="7"/>
    <x v="11"/>
    <x v="6"/>
    <n v="0.8"/>
  </r>
  <r>
    <x v="0"/>
    <x v="0"/>
    <x v="0"/>
    <x v="2"/>
    <x v="7"/>
    <x v="11"/>
    <x v="7"/>
    <n v="0.8"/>
  </r>
  <r>
    <x v="0"/>
    <x v="0"/>
    <x v="0"/>
    <x v="2"/>
    <x v="7"/>
    <x v="11"/>
    <x v="8"/>
    <n v="0.8"/>
  </r>
  <r>
    <x v="0"/>
    <x v="0"/>
    <x v="0"/>
    <x v="2"/>
    <x v="7"/>
    <x v="11"/>
    <x v="9"/>
    <n v="0.8"/>
  </r>
  <r>
    <x v="0"/>
    <x v="0"/>
    <x v="0"/>
    <x v="2"/>
    <x v="7"/>
    <x v="11"/>
    <x v="10"/>
    <n v="0.8"/>
  </r>
  <r>
    <x v="0"/>
    <x v="0"/>
    <x v="0"/>
    <x v="2"/>
    <x v="7"/>
    <x v="11"/>
    <x v="11"/>
    <n v="0.8"/>
  </r>
  <r>
    <x v="0"/>
    <x v="0"/>
    <x v="0"/>
    <x v="3"/>
    <x v="8"/>
    <x v="0"/>
    <x v="0"/>
    <n v="0.35"/>
  </r>
  <r>
    <x v="0"/>
    <x v="0"/>
    <x v="0"/>
    <x v="3"/>
    <x v="8"/>
    <x v="0"/>
    <x v="1"/>
    <n v="0.35"/>
  </r>
  <r>
    <x v="0"/>
    <x v="0"/>
    <x v="0"/>
    <x v="3"/>
    <x v="8"/>
    <x v="0"/>
    <x v="2"/>
    <n v="0.35"/>
  </r>
  <r>
    <x v="0"/>
    <x v="0"/>
    <x v="0"/>
    <x v="3"/>
    <x v="8"/>
    <x v="0"/>
    <x v="3"/>
    <n v="0.35"/>
  </r>
  <r>
    <x v="0"/>
    <x v="0"/>
    <x v="0"/>
    <x v="3"/>
    <x v="8"/>
    <x v="0"/>
    <x v="4"/>
    <n v="0.35"/>
  </r>
  <r>
    <x v="0"/>
    <x v="0"/>
    <x v="0"/>
    <x v="3"/>
    <x v="8"/>
    <x v="0"/>
    <x v="5"/>
    <n v="0.35"/>
  </r>
  <r>
    <x v="0"/>
    <x v="0"/>
    <x v="0"/>
    <x v="3"/>
    <x v="8"/>
    <x v="0"/>
    <x v="6"/>
    <n v="0.35"/>
  </r>
  <r>
    <x v="0"/>
    <x v="0"/>
    <x v="0"/>
    <x v="3"/>
    <x v="8"/>
    <x v="0"/>
    <x v="7"/>
    <n v="0.35"/>
  </r>
  <r>
    <x v="0"/>
    <x v="0"/>
    <x v="0"/>
    <x v="3"/>
    <x v="8"/>
    <x v="0"/>
    <x v="8"/>
    <n v="0.35"/>
  </r>
  <r>
    <x v="0"/>
    <x v="0"/>
    <x v="0"/>
    <x v="3"/>
    <x v="8"/>
    <x v="0"/>
    <x v="9"/>
    <n v="0.35"/>
  </r>
  <r>
    <x v="0"/>
    <x v="0"/>
    <x v="0"/>
    <x v="3"/>
    <x v="8"/>
    <x v="0"/>
    <x v="10"/>
    <n v="0.35"/>
  </r>
  <r>
    <x v="0"/>
    <x v="0"/>
    <x v="0"/>
    <x v="3"/>
    <x v="8"/>
    <x v="0"/>
    <x v="11"/>
    <n v="0.35"/>
  </r>
  <r>
    <x v="0"/>
    <x v="0"/>
    <x v="0"/>
    <x v="3"/>
    <x v="8"/>
    <x v="1"/>
    <x v="0"/>
    <n v="0.35"/>
  </r>
  <r>
    <x v="0"/>
    <x v="0"/>
    <x v="0"/>
    <x v="3"/>
    <x v="8"/>
    <x v="1"/>
    <x v="1"/>
    <n v="0.35"/>
  </r>
  <r>
    <x v="0"/>
    <x v="0"/>
    <x v="0"/>
    <x v="3"/>
    <x v="8"/>
    <x v="1"/>
    <x v="2"/>
    <n v="0.35"/>
  </r>
  <r>
    <x v="0"/>
    <x v="0"/>
    <x v="0"/>
    <x v="3"/>
    <x v="8"/>
    <x v="1"/>
    <x v="3"/>
    <n v="0.35"/>
  </r>
  <r>
    <x v="0"/>
    <x v="0"/>
    <x v="0"/>
    <x v="3"/>
    <x v="8"/>
    <x v="1"/>
    <x v="4"/>
    <n v="0.35"/>
  </r>
  <r>
    <x v="0"/>
    <x v="0"/>
    <x v="0"/>
    <x v="3"/>
    <x v="8"/>
    <x v="1"/>
    <x v="5"/>
    <n v="0.35"/>
  </r>
  <r>
    <x v="0"/>
    <x v="0"/>
    <x v="0"/>
    <x v="3"/>
    <x v="8"/>
    <x v="1"/>
    <x v="6"/>
    <n v="0.35"/>
  </r>
  <r>
    <x v="0"/>
    <x v="0"/>
    <x v="0"/>
    <x v="3"/>
    <x v="8"/>
    <x v="1"/>
    <x v="7"/>
    <n v="0.35"/>
  </r>
  <r>
    <x v="0"/>
    <x v="0"/>
    <x v="0"/>
    <x v="3"/>
    <x v="8"/>
    <x v="1"/>
    <x v="8"/>
    <n v="0.35"/>
  </r>
  <r>
    <x v="0"/>
    <x v="0"/>
    <x v="0"/>
    <x v="3"/>
    <x v="8"/>
    <x v="1"/>
    <x v="9"/>
    <n v="0.35"/>
  </r>
  <r>
    <x v="0"/>
    <x v="0"/>
    <x v="0"/>
    <x v="3"/>
    <x v="8"/>
    <x v="1"/>
    <x v="10"/>
    <n v="0.35"/>
  </r>
  <r>
    <x v="0"/>
    <x v="0"/>
    <x v="0"/>
    <x v="3"/>
    <x v="8"/>
    <x v="1"/>
    <x v="11"/>
    <n v="0.35"/>
  </r>
  <r>
    <x v="0"/>
    <x v="0"/>
    <x v="0"/>
    <x v="3"/>
    <x v="8"/>
    <x v="2"/>
    <x v="0"/>
    <n v="0.35"/>
  </r>
  <r>
    <x v="0"/>
    <x v="0"/>
    <x v="0"/>
    <x v="3"/>
    <x v="8"/>
    <x v="2"/>
    <x v="1"/>
    <n v="0.35"/>
  </r>
  <r>
    <x v="0"/>
    <x v="0"/>
    <x v="0"/>
    <x v="3"/>
    <x v="8"/>
    <x v="2"/>
    <x v="2"/>
    <n v="0.35"/>
  </r>
  <r>
    <x v="0"/>
    <x v="0"/>
    <x v="0"/>
    <x v="3"/>
    <x v="8"/>
    <x v="2"/>
    <x v="3"/>
    <n v="0.35"/>
  </r>
  <r>
    <x v="0"/>
    <x v="0"/>
    <x v="0"/>
    <x v="3"/>
    <x v="8"/>
    <x v="2"/>
    <x v="4"/>
    <n v="0.35"/>
  </r>
  <r>
    <x v="0"/>
    <x v="0"/>
    <x v="0"/>
    <x v="3"/>
    <x v="8"/>
    <x v="2"/>
    <x v="5"/>
    <n v="0.35"/>
  </r>
  <r>
    <x v="0"/>
    <x v="0"/>
    <x v="0"/>
    <x v="3"/>
    <x v="8"/>
    <x v="2"/>
    <x v="6"/>
    <n v="0.35"/>
  </r>
  <r>
    <x v="0"/>
    <x v="0"/>
    <x v="0"/>
    <x v="3"/>
    <x v="8"/>
    <x v="2"/>
    <x v="7"/>
    <n v="0.35"/>
  </r>
  <r>
    <x v="0"/>
    <x v="0"/>
    <x v="0"/>
    <x v="3"/>
    <x v="8"/>
    <x v="2"/>
    <x v="8"/>
    <n v="0.35"/>
  </r>
  <r>
    <x v="0"/>
    <x v="0"/>
    <x v="0"/>
    <x v="3"/>
    <x v="8"/>
    <x v="2"/>
    <x v="9"/>
    <n v="0.35"/>
  </r>
  <r>
    <x v="0"/>
    <x v="0"/>
    <x v="0"/>
    <x v="3"/>
    <x v="8"/>
    <x v="2"/>
    <x v="10"/>
    <n v="0.35"/>
  </r>
  <r>
    <x v="0"/>
    <x v="0"/>
    <x v="0"/>
    <x v="3"/>
    <x v="8"/>
    <x v="2"/>
    <x v="11"/>
    <n v="0.35"/>
  </r>
  <r>
    <x v="0"/>
    <x v="0"/>
    <x v="0"/>
    <x v="3"/>
    <x v="8"/>
    <x v="3"/>
    <x v="0"/>
    <n v="0.35"/>
  </r>
  <r>
    <x v="0"/>
    <x v="0"/>
    <x v="0"/>
    <x v="3"/>
    <x v="8"/>
    <x v="3"/>
    <x v="1"/>
    <n v="0.35"/>
  </r>
  <r>
    <x v="0"/>
    <x v="0"/>
    <x v="0"/>
    <x v="3"/>
    <x v="8"/>
    <x v="3"/>
    <x v="2"/>
    <n v="0.35"/>
  </r>
  <r>
    <x v="0"/>
    <x v="0"/>
    <x v="0"/>
    <x v="3"/>
    <x v="8"/>
    <x v="3"/>
    <x v="3"/>
    <n v="0.35"/>
  </r>
  <r>
    <x v="0"/>
    <x v="0"/>
    <x v="0"/>
    <x v="3"/>
    <x v="8"/>
    <x v="3"/>
    <x v="4"/>
    <n v="0.35"/>
  </r>
  <r>
    <x v="0"/>
    <x v="0"/>
    <x v="0"/>
    <x v="3"/>
    <x v="8"/>
    <x v="3"/>
    <x v="5"/>
    <n v="0.35"/>
  </r>
  <r>
    <x v="0"/>
    <x v="0"/>
    <x v="0"/>
    <x v="3"/>
    <x v="8"/>
    <x v="3"/>
    <x v="6"/>
    <n v="0.35"/>
  </r>
  <r>
    <x v="0"/>
    <x v="0"/>
    <x v="0"/>
    <x v="3"/>
    <x v="8"/>
    <x v="3"/>
    <x v="7"/>
    <n v="0.35"/>
  </r>
  <r>
    <x v="0"/>
    <x v="0"/>
    <x v="0"/>
    <x v="3"/>
    <x v="8"/>
    <x v="3"/>
    <x v="8"/>
    <n v="0.35"/>
  </r>
  <r>
    <x v="0"/>
    <x v="0"/>
    <x v="0"/>
    <x v="3"/>
    <x v="8"/>
    <x v="3"/>
    <x v="9"/>
    <n v="0.35"/>
  </r>
  <r>
    <x v="0"/>
    <x v="0"/>
    <x v="0"/>
    <x v="3"/>
    <x v="8"/>
    <x v="3"/>
    <x v="10"/>
    <n v="0.35"/>
  </r>
  <r>
    <x v="0"/>
    <x v="0"/>
    <x v="0"/>
    <x v="3"/>
    <x v="8"/>
    <x v="3"/>
    <x v="11"/>
    <n v="0.35"/>
  </r>
  <r>
    <x v="0"/>
    <x v="0"/>
    <x v="0"/>
    <x v="3"/>
    <x v="8"/>
    <x v="4"/>
    <x v="0"/>
    <n v="0.35"/>
  </r>
  <r>
    <x v="0"/>
    <x v="0"/>
    <x v="0"/>
    <x v="3"/>
    <x v="8"/>
    <x v="4"/>
    <x v="1"/>
    <n v="0.35"/>
  </r>
  <r>
    <x v="0"/>
    <x v="0"/>
    <x v="0"/>
    <x v="3"/>
    <x v="8"/>
    <x v="4"/>
    <x v="2"/>
    <n v="0.35"/>
  </r>
  <r>
    <x v="0"/>
    <x v="0"/>
    <x v="0"/>
    <x v="3"/>
    <x v="8"/>
    <x v="4"/>
    <x v="3"/>
    <n v="0.35"/>
  </r>
  <r>
    <x v="0"/>
    <x v="0"/>
    <x v="0"/>
    <x v="3"/>
    <x v="8"/>
    <x v="4"/>
    <x v="4"/>
    <n v="0.35"/>
  </r>
  <r>
    <x v="0"/>
    <x v="0"/>
    <x v="0"/>
    <x v="3"/>
    <x v="8"/>
    <x v="4"/>
    <x v="5"/>
    <n v="0.35"/>
  </r>
  <r>
    <x v="0"/>
    <x v="0"/>
    <x v="0"/>
    <x v="3"/>
    <x v="8"/>
    <x v="4"/>
    <x v="6"/>
    <n v="0.35"/>
  </r>
  <r>
    <x v="0"/>
    <x v="0"/>
    <x v="0"/>
    <x v="3"/>
    <x v="8"/>
    <x v="4"/>
    <x v="7"/>
    <n v="0.35"/>
  </r>
  <r>
    <x v="0"/>
    <x v="0"/>
    <x v="0"/>
    <x v="3"/>
    <x v="8"/>
    <x v="4"/>
    <x v="8"/>
    <n v="0.35"/>
  </r>
  <r>
    <x v="0"/>
    <x v="0"/>
    <x v="0"/>
    <x v="3"/>
    <x v="8"/>
    <x v="4"/>
    <x v="9"/>
    <n v="0.35"/>
  </r>
  <r>
    <x v="0"/>
    <x v="0"/>
    <x v="0"/>
    <x v="3"/>
    <x v="8"/>
    <x v="4"/>
    <x v="10"/>
    <n v="0.35"/>
  </r>
  <r>
    <x v="0"/>
    <x v="0"/>
    <x v="0"/>
    <x v="3"/>
    <x v="8"/>
    <x v="4"/>
    <x v="11"/>
    <n v="0.35"/>
  </r>
  <r>
    <x v="0"/>
    <x v="0"/>
    <x v="0"/>
    <x v="3"/>
    <x v="8"/>
    <x v="5"/>
    <x v="0"/>
    <n v="0.35"/>
  </r>
  <r>
    <x v="0"/>
    <x v="0"/>
    <x v="0"/>
    <x v="3"/>
    <x v="8"/>
    <x v="5"/>
    <x v="1"/>
    <n v="0.35"/>
  </r>
  <r>
    <x v="0"/>
    <x v="0"/>
    <x v="0"/>
    <x v="3"/>
    <x v="8"/>
    <x v="5"/>
    <x v="2"/>
    <n v="0.35"/>
  </r>
  <r>
    <x v="0"/>
    <x v="0"/>
    <x v="0"/>
    <x v="3"/>
    <x v="8"/>
    <x v="5"/>
    <x v="3"/>
    <n v="0.35"/>
  </r>
  <r>
    <x v="0"/>
    <x v="0"/>
    <x v="0"/>
    <x v="3"/>
    <x v="8"/>
    <x v="5"/>
    <x v="4"/>
    <n v="0.35"/>
  </r>
  <r>
    <x v="0"/>
    <x v="0"/>
    <x v="0"/>
    <x v="3"/>
    <x v="8"/>
    <x v="5"/>
    <x v="5"/>
    <n v="0.35"/>
  </r>
  <r>
    <x v="0"/>
    <x v="0"/>
    <x v="0"/>
    <x v="3"/>
    <x v="8"/>
    <x v="5"/>
    <x v="6"/>
    <n v="0.35"/>
  </r>
  <r>
    <x v="0"/>
    <x v="0"/>
    <x v="0"/>
    <x v="3"/>
    <x v="8"/>
    <x v="5"/>
    <x v="7"/>
    <n v="0.35"/>
  </r>
  <r>
    <x v="0"/>
    <x v="0"/>
    <x v="0"/>
    <x v="3"/>
    <x v="8"/>
    <x v="5"/>
    <x v="8"/>
    <n v="0.35"/>
  </r>
  <r>
    <x v="0"/>
    <x v="0"/>
    <x v="0"/>
    <x v="3"/>
    <x v="8"/>
    <x v="5"/>
    <x v="9"/>
    <n v="0.35"/>
  </r>
  <r>
    <x v="0"/>
    <x v="0"/>
    <x v="0"/>
    <x v="3"/>
    <x v="8"/>
    <x v="5"/>
    <x v="10"/>
    <n v="0.35"/>
  </r>
  <r>
    <x v="0"/>
    <x v="0"/>
    <x v="0"/>
    <x v="3"/>
    <x v="8"/>
    <x v="5"/>
    <x v="11"/>
    <n v="0.35"/>
  </r>
  <r>
    <x v="0"/>
    <x v="0"/>
    <x v="0"/>
    <x v="3"/>
    <x v="8"/>
    <x v="6"/>
    <x v="0"/>
    <n v="0.35"/>
  </r>
  <r>
    <x v="0"/>
    <x v="0"/>
    <x v="0"/>
    <x v="3"/>
    <x v="8"/>
    <x v="6"/>
    <x v="1"/>
    <n v="0.35"/>
  </r>
  <r>
    <x v="0"/>
    <x v="0"/>
    <x v="0"/>
    <x v="3"/>
    <x v="8"/>
    <x v="6"/>
    <x v="2"/>
    <n v="0.35"/>
  </r>
  <r>
    <x v="0"/>
    <x v="0"/>
    <x v="0"/>
    <x v="3"/>
    <x v="8"/>
    <x v="6"/>
    <x v="3"/>
    <n v="0.35"/>
  </r>
  <r>
    <x v="0"/>
    <x v="0"/>
    <x v="0"/>
    <x v="3"/>
    <x v="8"/>
    <x v="6"/>
    <x v="4"/>
    <n v="0.35"/>
  </r>
  <r>
    <x v="0"/>
    <x v="0"/>
    <x v="0"/>
    <x v="3"/>
    <x v="8"/>
    <x v="6"/>
    <x v="5"/>
    <n v="0.35"/>
  </r>
  <r>
    <x v="0"/>
    <x v="0"/>
    <x v="0"/>
    <x v="3"/>
    <x v="8"/>
    <x v="6"/>
    <x v="6"/>
    <n v="0.35"/>
  </r>
  <r>
    <x v="0"/>
    <x v="0"/>
    <x v="0"/>
    <x v="3"/>
    <x v="8"/>
    <x v="6"/>
    <x v="7"/>
    <n v="0.35"/>
  </r>
  <r>
    <x v="0"/>
    <x v="0"/>
    <x v="0"/>
    <x v="3"/>
    <x v="8"/>
    <x v="6"/>
    <x v="8"/>
    <n v="0.35"/>
  </r>
  <r>
    <x v="0"/>
    <x v="0"/>
    <x v="0"/>
    <x v="3"/>
    <x v="8"/>
    <x v="6"/>
    <x v="9"/>
    <n v="0.35"/>
  </r>
  <r>
    <x v="0"/>
    <x v="0"/>
    <x v="0"/>
    <x v="3"/>
    <x v="8"/>
    <x v="6"/>
    <x v="10"/>
    <n v="0.35"/>
  </r>
  <r>
    <x v="0"/>
    <x v="0"/>
    <x v="0"/>
    <x v="3"/>
    <x v="8"/>
    <x v="6"/>
    <x v="11"/>
    <n v="0.35"/>
  </r>
  <r>
    <x v="0"/>
    <x v="0"/>
    <x v="0"/>
    <x v="3"/>
    <x v="8"/>
    <x v="7"/>
    <x v="0"/>
    <n v="0.35"/>
  </r>
  <r>
    <x v="0"/>
    <x v="0"/>
    <x v="0"/>
    <x v="3"/>
    <x v="8"/>
    <x v="7"/>
    <x v="1"/>
    <n v="0.35"/>
  </r>
  <r>
    <x v="0"/>
    <x v="0"/>
    <x v="0"/>
    <x v="3"/>
    <x v="8"/>
    <x v="7"/>
    <x v="2"/>
    <n v="0.35"/>
  </r>
  <r>
    <x v="0"/>
    <x v="0"/>
    <x v="0"/>
    <x v="3"/>
    <x v="8"/>
    <x v="7"/>
    <x v="3"/>
    <n v="0.35"/>
  </r>
  <r>
    <x v="0"/>
    <x v="0"/>
    <x v="0"/>
    <x v="3"/>
    <x v="8"/>
    <x v="7"/>
    <x v="4"/>
    <n v="0.35"/>
  </r>
  <r>
    <x v="0"/>
    <x v="0"/>
    <x v="0"/>
    <x v="3"/>
    <x v="8"/>
    <x v="7"/>
    <x v="5"/>
    <n v="0.35"/>
  </r>
  <r>
    <x v="0"/>
    <x v="0"/>
    <x v="0"/>
    <x v="3"/>
    <x v="8"/>
    <x v="7"/>
    <x v="6"/>
    <n v="0.35"/>
  </r>
  <r>
    <x v="0"/>
    <x v="0"/>
    <x v="0"/>
    <x v="3"/>
    <x v="8"/>
    <x v="7"/>
    <x v="7"/>
    <n v="0.35"/>
  </r>
  <r>
    <x v="0"/>
    <x v="0"/>
    <x v="0"/>
    <x v="3"/>
    <x v="8"/>
    <x v="7"/>
    <x v="8"/>
    <n v="0.35"/>
  </r>
  <r>
    <x v="0"/>
    <x v="0"/>
    <x v="0"/>
    <x v="3"/>
    <x v="8"/>
    <x v="7"/>
    <x v="9"/>
    <n v="0.35"/>
  </r>
  <r>
    <x v="0"/>
    <x v="0"/>
    <x v="0"/>
    <x v="3"/>
    <x v="8"/>
    <x v="7"/>
    <x v="10"/>
    <n v="0.35"/>
  </r>
  <r>
    <x v="0"/>
    <x v="0"/>
    <x v="0"/>
    <x v="3"/>
    <x v="8"/>
    <x v="7"/>
    <x v="11"/>
    <n v="0.35"/>
  </r>
  <r>
    <x v="0"/>
    <x v="0"/>
    <x v="0"/>
    <x v="3"/>
    <x v="8"/>
    <x v="8"/>
    <x v="0"/>
    <n v="0.35"/>
  </r>
  <r>
    <x v="0"/>
    <x v="0"/>
    <x v="0"/>
    <x v="3"/>
    <x v="8"/>
    <x v="8"/>
    <x v="1"/>
    <n v="0.35"/>
  </r>
  <r>
    <x v="0"/>
    <x v="0"/>
    <x v="0"/>
    <x v="3"/>
    <x v="8"/>
    <x v="8"/>
    <x v="2"/>
    <n v="0.35"/>
  </r>
  <r>
    <x v="0"/>
    <x v="0"/>
    <x v="0"/>
    <x v="3"/>
    <x v="8"/>
    <x v="8"/>
    <x v="3"/>
    <n v="0.35"/>
  </r>
  <r>
    <x v="0"/>
    <x v="0"/>
    <x v="0"/>
    <x v="3"/>
    <x v="8"/>
    <x v="8"/>
    <x v="4"/>
    <n v="0.35"/>
  </r>
  <r>
    <x v="0"/>
    <x v="0"/>
    <x v="0"/>
    <x v="3"/>
    <x v="8"/>
    <x v="8"/>
    <x v="5"/>
    <n v="0.35"/>
  </r>
  <r>
    <x v="0"/>
    <x v="0"/>
    <x v="0"/>
    <x v="3"/>
    <x v="8"/>
    <x v="8"/>
    <x v="6"/>
    <n v="0.35"/>
  </r>
  <r>
    <x v="0"/>
    <x v="0"/>
    <x v="0"/>
    <x v="3"/>
    <x v="8"/>
    <x v="8"/>
    <x v="7"/>
    <n v="0.35"/>
  </r>
  <r>
    <x v="0"/>
    <x v="0"/>
    <x v="0"/>
    <x v="3"/>
    <x v="8"/>
    <x v="8"/>
    <x v="8"/>
    <n v="0.35"/>
  </r>
  <r>
    <x v="0"/>
    <x v="0"/>
    <x v="0"/>
    <x v="3"/>
    <x v="8"/>
    <x v="8"/>
    <x v="9"/>
    <n v="0.35"/>
  </r>
  <r>
    <x v="0"/>
    <x v="0"/>
    <x v="0"/>
    <x v="3"/>
    <x v="8"/>
    <x v="8"/>
    <x v="10"/>
    <n v="0.35"/>
  </r>
  <r>
    <x v="0"/>
    <x v="0"/>
    <x v="0"/>
    <x v="3"/>
    <x v="8"/>
    <x v="8"/>
    <x v="11"/>
    <n v="0.35"/>
  </r>
  <r>
    <x v="0"/>
    <x v="0"/>
    <x v="0"/>
    <x v="3"/>
    <x v="8"/>
    <x v="9"/>
    <x v="0"/>
    <n v="0.35"/>
  </r>
  <r>
    <x v="0"/>
    <x v="0"/>
    <x v="0"/>
    <x v="3"/>
    <x v="8"/>
    <x v="9"/>
    <x v="1"/>
    <n v="0.35"/>
  </r>
  <r>
    <x v="0"/>
    <x v="0"/>
    <x v="0"/>
    <x v="3"/>
    <x v="8"/>
    <x v="9"/>
    <x v="2"/>
    <n v="0.35"/>
  </r>
  <r>
    <x v="0"/>
    <x v="0"/>
    <x v="0"/>
    <x v="3"/>
    <x v="8"/>
    <x v="9"/>
    <x v="3"/>
    <n v="0.35"/>
  </r>
  <r>
    <x v="0"/>
    <x v="0"/>
    <x v="0"/>
    <x v="3"/>
    <x v="8"/>
    <x v="9"/>
    <x v="4"/>
    <n v="0.35"/>
  </r>
  <r>
    <x v="0"/>
    <x v="0"/>
    <x v="0"/>
    <x v="3"/>
    <x v="8"/>
    <x v="9"/>
    <x v="5"/>
    <n v="0.35"/>
  </r>
  <r>
    <x v="0"/>
    <x v="0"/>
    <x v="0"/>
    <x v="3"/>
    <x v="8"/>
    <x v="9"/>
    <x v="6"/>
    <n v="0.35"/>
  </r>
  <r>
    <x v="0"/>
    <x v="0"/>
    <x v="0"/>
    <x v="3"/>
    <x v="8"/>
    <x v="9"/>
    <x v="7"/>
    <n v="0.35"/>
  </r>
  <r>
    <x v="0"/>
    <x v="0"/>
    <x v="0"/>
    <x v="3"/>
    <x v="8"/>
    <x v="9"/>
    <x v="8"/>
    <n v="0.35"/>
  </r>
  <r>
    <x v="0"/>
    <x v="0"/>
    <x v="0"/>
    <x v="3"/>
    <x v="8"/>
    <x v="9"/>
    <x v="9"/>
    <n v="0.35"/>
  </r>
  <r>
    <x v="0"/>
    <x v="0"/>
    <x v="0"/>
    <x v="3"/>
    <x v="8"/>
    <x v="9"/>
    <x v="10"/>
    <n v="0.35"/>
  </r>
  <r>
    <x v="0"/>
    <x v="0"/>
    <x v="0"/>
    <x v="3"/>
    <x v="8"/>
    <x v="9"/>
    <x v="11"/>
    <n v="0.35"/>
  </r>
  <r>
    <x v="0"/>
    <x v="0"/>
    <x v="0"/>
    <x v="3"/>
    <x v="8"/>
    <x v="10"/>
    <x v="0"/>
    <n v="0.35"/>
  </r>
  <r>
    <x v="0"/>
    <x v="0"/>
    <x v="0"/>
    <x v="3"/>
    <x v="8"/>
    <x v="10"/>
    <x v="1"/>
    <n v="0.35"/>
  </r>
  <r>
    <x v="0"/>
    <x v="0"/>
    <x v="0"/>
    <x v="3"/>
    <x v="8"/>
    <x v="10"/>
    <x v="2"/>
    <n v="0.35"/>
  </r>
  <r>
    <x v="0"/>
    <x v="0"/>
    <x v="0"/>
    <x v="3"/>
    <x v="8"/>
    <x v="10"/>
    <x v="3"/>
    <n v="0.35"/>
  </r>
  <r>
    <x v="0"/>
    <x v="0"/>
    <x v="0"/>
    <x v="3"/>
    <x v="8"/>
    <x v="10"/>
    <x v="4"/>
    <n v="0.35"/>
  </r>
  <r>
    <x v="0"/>
    <x v="0"/>
    <x v="0"/>
    <x v="3"/>
    <x v="8"/>
    <x v="10"/>
    <x v="5"/>
    <n v="0.35"/>
  </r>
  <r>
    <x v="0"/>
    <x v="0"/>
    <x v="0"/>
    <x v="3"/>
    <x v="8"/>
    <x v="10"/>
    <x v="6"/>
    <n v="0.35"/>
  </r>
  <r>
    <x v="0"/>
    <x v="0"/>
    <x v="0"/>
    <x v="3"/>
    <x v="8"/>
    <x v="10"/>
    <x v="7"/>
    <n v="0.35"/>
  </r>
  <r>
    <x v="0"/>
    <x v="0"/>
    <x v="0"/>
    <x v="3"/>
    <x v="8"/>
    <x v="10"/>
    <x v="8"/>
    <n v="0.35"/>
  </r>
  <r>
    <x v="0"/>
    <x v="0"/>
    <x v="0"/>
    <x v="3"/>
    <x v="8"/>
    <x v="10"/>
    <x v="9"/>
    <n v="0.35"/>
  </r>
  <r>
    <x v="0"/>
    <x v="0"/>
    <x v="0"/>
    <x v="3"/>
    <x v="8"/>
    <x v="10"/>
    <x v="10"/>
    <n v="0.35"/>
  </r>
  <r>
    <x v="0"/>
    <x v="0"/>
    <x v="0"/>
    <x v="3"/>
    <x v="8"/>
    <x v="10"/>
    <x v="11"/>
    <n v="0.35"/>
  </r>
  <r>
    <x v="0"/>
    <x v="0"/>
    <x v="0"/>
    <x v="3"/>
    <x v="8"/>
    <x v="11"/>
    <x v="0"/>
    <n v="0.35"/>
  </r>
  <r>
    <x v="0"/>
    <x v="0"/>
    <x v="0"/>
    <x v="3"/>
    <x v="8"/>
    <x v="11"/>
    <x v="1"/>
    <n v="0.35"/>
  </r>
  <r>
    <x v="0"/>
    <x v="0"/>
    <x v="0"/>
    <x v="3"/>
    <x v="8"/>
    <x v="11"/>
    <x v="2"/>
    <n v="0.35"/>
  </r>
  <r>
    <x v="0"/>
    <x v="0"/>
    <x v="0"/>
    <x v="3"/>
    <x v="8"/>
    <x v="11"/>
    <x v="3"/>
    <n v="0.35"/>
  </r>
  <r>
    <x v="0"/>
    <x v="0"/>
    <x v="0"/>
    <x v="3"/>
    <x v="8"/>
    <x v="11"/>
    <x v="4"/>
    <n v="0.35"/>
  </r>
  <r>
    <x v="0"/>
    <x v="0"/>
    <x v="0"/>
    <x v="3"/>
    <x v="8"/>
    <x v="11"/>
    <x v="5"/>
    <n v="0.35"/>
  </r>
  <r>
    <x v="0"/>
    <x v="0"/>
    <x v="0"/>
    <x v="3"/>
    <x v="8"/>
    <x v="11"/>
    <x v="6"/>
    <n v="0.35"/>
  </r>
  <r>
    <x v="0"/>
    <x v="0"/>
    <x v="0"/>
    <x v="3"/>
    <x v="8"/>
    <x v="11"/>
    <x v="7"/>
    <n v="0.35"/>
  </r>
  <r>
    <x v="0"/>
    <x v="0"/>
    <x v="0"/>
    <x v="3"/>
    <x v="8"/>
    <x v="11"/>
    <x v="8"/>
    <n v="0.35"/>
  </r>
  <r>
    <x v="0"/>
    <x v="0"/>
    <x v="0"/>
    <x v="3"/>
    <x v="8"/>
    <x v="11"/>
    <x v="9"/>
    <n v="0.35"/>
  </r>
  <r>
    <x v="0"/>
    <x v="0"/>
    <x v="0"/>
    <x v="3"/>
    <x v="8"/>
    <x v="11"/>
    <x v="10"/>
    <n v="0.35"/>
  </r>
  <r>
    <x v="0"/>
    <x v="0"/>
    <x v="0"/>
    <x v="3"/>
    <x v="8"/>
    <x v="11"/>
    <x v="11"/>
    <n v="0.35"/>
  </r>
  <r>
    <x v="0"/>
    <x v="0"/>
    <x v="0"/>
    <x v="3"/>
    <x v="9"/>
    <x v="0"/>
    <x v="0"/>
    <n v="0"/>
  </r>
  <r>
    <x v="0"/>
    <x v="0"/>
    <x v="0"/>
    <x v="3"/>
    <x v="9"/>
    <x v="0"/>
    <x v="1"/>
    <n v="0"/>
  </r>
  <r>
    <x v="0"/>
    <x v="0"/>
    <x v="0"/>
    <x v="3"/>
    <x v="9"/>
    <x v="0"/>
    <x v="2"/>
    <n v="0"/>
  </r>
  <r>
    <x v="0"/>
    <x v="0"/>
    <x v="0"/>
    <x v="3"/>
    <x v="9"/>
    <x v="0"/>
    <x v="3"/>
    <n v="0"/>
  </r>
  <r>
    <x v="0"/>
    <x v="0"/>
    <x v="0"/>
    <x v="3"/>
    <x v="9"/>
    <x v="0"/>
    <x v="4"/>
    <n v="0"/>
  </r>
  <r>
    <x v="0"/>
    <x v="0"/>
    <x v="0"/>
    <x v="3"/>
    <x v="9"/>
    <x v="0"/>
    <x v="5"/>
    <n v="0"/>
  </r>
  <r>
    <x v="0"/>
    <x v="0"/>
    <x v="0"/>
    <x v="3"/>
    <x v="9"/>
    <x v="0"/>
    <x v="6"/>
    <n v="0"/>
  </r>
  <r>
    <x v="0"/>
    <x v="0"/>
    <x v="0"/>
    <x v="3"/>
    <x v="9"/>
    <x v="0"/>
    <x v="7"/>
    <n v="0"/>
  </r>
  <r>
    <x v="0"/>
    <x v="0"/>
    <x v="0"/>
    <x v="3"/>
    <x v="9"/>
    <x v="0"/>
    <x v="8"/>
    <n v="0"/>
  </r>
  <r>
    <x v="0"/>
    <x v="0"/>
    <x v="0"/>
    <x v="3"/>
    <x v="9"/>
    <x v="0"/>
    <x v="9"/>
    <n v="0"/>
  </r>
  <r>
    <x v="0"/>
    <x v="0"/>
    <x v="0"/>
    <x v="3"/>
    <x v="9"/>
    <x v="0"/>
    <x v="10"/>
    <n v="0"/>
  </r>
  <r>
    <x v="0"/>
    <x v="0"/>
    <x v="0"/>
    <x v="3"/>
    <x v="9"/>
    <x v="0"/>
    <x v="11"/>
    <n v="0"/>
  </r>
  <r>
    <x v="0"/>
    <x v="0"/>
    <x v="0"/>
    <x v="3"/>
    <x v="9"/>
    <x v="1"/>
    <x v="0"/>
    <n v="0"/>
  </r>
  <r>
    <x v="0"/>
    <x v="0"/>
    <x v="0"/>
    <x v="3"/>
    <x v="9"/>
    <x v="1"/>
    <x v="1"/>
    <n v="0"/>
  </r>
  <r>
    <x v="0"/>
    <x v="0"/>
    <x v="0"/>
    <x v="3"/>
    <x v="9"/>
    <x v="1"/>
    <x v="2"/>
    <n v="0"/>
  </r>
  <r>
    <x v="0"/>
    <x v="0"/>
    <x v="0"/>
    <x v="3"/>
    <x v="9"/>
    <x v="1"/>
    <x v="3"/>
    <n v="0"/>
  </r>
  <r>
    <x v="0"/>
    <x v="0"/>
    <x v="0"/>
    <x v="3"/>
    <x v="9"/>
    <x v="1"/>
    <x v="4"/>
    <n v="0"/>
  </r>
  <r>
    <x v="0"/>
    <x v="0"/>
    <x v="0"/>
    <x v="3"/>
    <x v="9"/>
    <x v="1"/>
    <x v="5"/>
    <n v="0"/>
  </r>
  <r>
    <x v="0"/>
    <x v="0"/>
    <x v="0"/>
    <x v="3"/>
    <x v="9"/>
    <x v="1"/>
    <x v="6"/>
    <n v="0"/>
  </r>
  <r>
    <x v="0"/>
    <x v="0"/>
    <x v="0"/>
    <x v="3"/>
    <x v="9"/>
    <x v="1"/>
    <x v="7"/>
    <n v="0"/>
  </r>
  <r>
    <x v="0"/>
    <x v="0"/>
    <x v="0"/>
    <x v="3"/>
    <x v="9"/>
    <x v="1"/>
    <x v="8"/>
    <n v="0"/>
  </r>
  <r>
    <x v="0"/>
    <x v="0"/>
    <x v="0"/>
    <x v="3"/>
    <x v="9"/>
    <x v="1"/>
    <x v="9"/>
    <n v="0"/>
  </r>
  <r>
    <x v="0"/>
    <x v="0"/>
    <x v="0"/>
    <x v="3"/>
    <x v="9"/>
    <x v="1"/>
    <x v="10"/>
    <n v="0"/>
  </r>
  <r>
    <x v="0"/>
    <x v="0"/>
    <x v="0"/>
    <x v="3"/>
    <x v="9"/>
    <x v="1"/>
    <x v="11"/>
    <n v="0"/>
  </r>
  <r>
    <x v="0"/>
    <x v="0"/>
    <x v="0"/>
    <x v="3"/>
    <x v="9"/>
    <x v="2"/>
    <x v="0"/>
    <n v="0"/>
  </r>
  <r>
    <x v="0"/>
    <x v="0"/>
    <x v="0"/>
    <x v="3"/>
    <x v="9"/>
    <x v="2"/>
    <x v="1"/>
    <n v="0"/>
  </r>
  <r>
    <x v="0"/>
    <x v="0"/>
    <x v="0"/>
    <x v="3"/>
    <x v="9"/>
    <x v="2"/>
    <x v="2"/>
    <n v="0"/>
  </r>
  <r>
    <x v="0"/>
    <x v="0"/>
    <x v="0"/>
    <x v="3"/>
    <x v="9"/>
    <x v="2"/>
    <x v="3"/>
    <n v="0"/>
  </r>
  <r>
    <x v="0"/>
    <x v="0"/>
    <x v="0"/>
    <x v="3"/>
    <x v="9"/>
    <x v="2"/>
    <x v="4"/>
    <n v="0"/>
  </r>
  <r>
    <x v="0"/>
    <x v="0"/>
    <x v="0"/>
    <x v="3"/>
    <x v="9"/>
    <x v="2"/>
    <x v="5"/>
    <n v="0"/>
  </r>
  <r>
    <x v="0"/>
    <x v="0"/>
    <x v="0"/>
    <x v="3"/>
    <x v="9"/>
    <x v="2"/>
    <x v="6"/>
    <n v="0"/>
  </r>
  <r>
    <x v="0"/>
    <x v="0"/>
    <x v="0"/>
    <x v="3"/>
    <x v="9"/>
    <x v="2"/>
    <x v="7"/>
    <n v="0"/>
  </r>
  <r>
    <x v="0"/>
    <x v="0"/>
    <x v="0"/>
    <x v="3"/>
    <x v="9"/>
    <x v="2"/>
    <x v="8"/>
    <n v="0"/>
  </r>
  <r>
    <x v="0"/>
    <x v="0"/>
    <x v="0"/>
    <x v="3"/>
    <x v="9"/>
    <x v="2"/>
    <x v="9"/>
    <n v="0"/>
  </r>
  <r>
    <x v="0"/>
    <x v="0"/>
    <x v="0"/>
    <x v="3"/>
    <x v="9"/>
    <x v="2"/>
    <x v="10"/>
    <n v="0"/>
  </r>
  <r>
    <x v="0"/>
    <x v="0"/>
    <x v="0"/>
    <x v="3"/>
    <x v="9"/>
    <x v="2"/>
    <x v="11"/>
    <n v="0"/>
  </r>
  <r>
    <x v="0"/>
    <x v="0"/>
    <x v="0"/>
    <x v="3"/>
    <x v="9"/>
    <x v="3"/>
    <x v="0"/>
    <n v="0"/>
  </r>
  <r>
    <x v="0"/>
    <x v="0"/>
    <x v="0"/>
    <x v="3"/>
    <x v="9"/>
    <x v="3"/>
    <x v="1"/>
    <n v="0"/>
  </r>
  <r>
    <x v="0"/>
    <x v="0"/>
    <x v="0"/>
    <x v="3"/>
    <x v="9"/>
    <x v="3"/>
    <x v="2"/>
    <n v="0"/>
  </r>
  <r>
    <x v="0"/>
    <x v="0"/>
    <x v="0"/>
    <x v="3"/>
    <x v="9"/>
    <x v="3"/>
    <x v="3"/>
    <n v="0"/>
  </r>
  <r>
    <x v="0"/>
    <x v="0"/>
    <x v="0"/>
    <x v="3"/>
    <x v="9"/>
    <x v="3"/>
    <x v="4"/>
    <n v="0"/>
  </r>
  <r>
    <x v="0"/>
    <x v="0"/>
    <x v="0"/>
    <x v="3"/>
    <x v="9"/>
    <x v="3"/>
    <x v="5"/>
    <n v="0"/>
  </r>
  <r>
    <x v="0"/>
    <x v="0"/>
    <x v="0"/>
    <x v="3"/>
    <x v="9"/>
    <x v="3"/>
    <x v="6"/>
    <n v="0"/>
  </r>
  <r>
    <x v="0"/>
    <x v="0"/>
    <x v="0"/>
    <x v="3"/>
    <x v="9"/>
    <x v="3"/>
    <x v="7"/>
    <n v="0"/>
  </r>
  <r>
    <x v="0"/>
    <x v="0"/>
    <x v="0"/>
    <x v="3"/>
    <x v="9"/>
    <x v="3"/>
    <x v="8"/>
    <n v="0"/>
  </r>
  <r>
    <x v="0"/>
    <x v="0"/>
    <x v="0"/>
    <x v="3"/>
    <x v="9"/>
    <x v="3"/>
    <x v="9"/>
    <n v="0"/>
  </r>
  <r>
    <x v="0"/>
    <x v="0"/>
    <x v="0"/>
    <x v="3"/>
    <x v="9"/>
    <x v="3"/>
    <x v="10"/>
    <n v="0"/>
  </r>
  <r>
    <x v="0"/>
    <x v="0"/>
    <x v="0"/>
    <x v="3"/>
    <x v="9"/>
    <x v="3"/>
    <x v="11"/>
    <n v="0"/>
  </r>
  <r>
    <x v="0"/>
    <x v="0"/>
    <x v="0"/>
    <x v="3"/>
    <x v="9"/>
    <x v="4"/>
    <x v="0"/>
    <n v="-1.3"/>
  </r>
  <r>
    <x v="0"/>
    <x v="0"/>
    <x v="0"/>
    <x v="3"/>
    <x v="9"/>
    <x v="4"/>
    <x v="1"/>
    <n v="-1.3"/>
  </r>
  <r>
    <x v="0"/>
    <x v="0"/>
    <x v="0"/>
    <x v="3"/>
    <x v="9"/>
    <x v="4"/>
    <x v="2"/>
    <n v="-1.3"/>
  </r>
  <r>
    <x v="0"/>
    <x v="0"/>
    <x v="0"/>
    <x v="3"/>
    <x v="9"/>
    <x v="4"/>
    <x v="3"/>
    <n v="-1.3"/>
  </r>
  <r>
    <x v="0"/>
    <x v="0"/>
    <x v="0"/>
    <x v="3"/>
    <x v="9"/>
    <x v="4"/>
    <x v="4"/>
    <n v="-1.3"/>
  </r>
  <r>
    <x v="0"/>
    <x v="0"/>
    <x v="0"/>
    <x v="3"/>
    <x v="9"/>
    <x v="4"/>
    <x v="5"/>
    <n v="-1.3"/>
  </r>
  <r>
    <x v="0"/>
    <x v="0"/>
    <x v="0"/>
    <x v="3"/>
    <x v="9"/>
    <x v="4"/>
    <x v="6"/>
    <n v="-1.3"/>
  </r>
  <r>
    <x v="0"/>
    <x v="0"/>
    <x v="0"/>
    <x v="3"/>
    <x v="9"/>
    <x v="4"/>
    <x v="7"/>
    <n v="-1.3"/>
  </r>
  <r>
    <x v="0"/>
    <x v="0"/>
    <x v="0"/>
    <x v="3"/>
    <x v="9"/>
    <x v="4"/>
    <x v="8"/>
    <n v="-1.3"/>
  </r>
  <r>
    <x v="0"/>
    <x v="0"/>
    <x v="0"/>
    <x v="3"/>
    <x v="9"/>
    <x v="4"/>
    <x v="9"/>
    <n v="-1.3"/>
  </r>
  <r>
    <x v="0"/>
    <x v="0"/>
    <x v="0"/>
    <x v="3"/>
    <x v="9"/>
    <x v="4"/>
    <x v="10"/>
    <n v="-1.3"/>
  </r>
  <r>
    <x v="0"/>
    <x v="0"/>
    <x v="0"/>
    <x v="3"/>
    <x v="9"/>
    <x v="4"/>
    <x v="11"/>
    <n v="-1.3"/>
  </r>
  <r>
    <x v="0"/>
    <x v="0"/>
    <x v="0"/>
    <x v="3"/>
    <x v="9"/>
    <x v="5"/>
    <x v="0"/>
    <n v="-1.3"/>
  </r>
  <r>
    <x v="0"/>
    <x v="0"/>
    <x v="0"/>
    <x v="3"/>
    <x v="9"/>
    <x v="5"/>
    <x v="1"/>
    <n v="-1.3"/>
  </r>
  <r>
    <x v="0"/>
    <x v="0"/>
    <x v="0"/>
    <x v="3"/>
    <x v="9"/>
    <x v="5"/>
    <x v="2"/>
    <n v="-1.3"/>
  </r>
  <r>
    <x v="0"/>
    <x v="0"/>
    <x v="0"/>
    <x v="3"/>
    <x v="9"/>
    <x v="5"/>
    <x v="3"/>
    <n v="-1.3"/>
  </r>
  <r>
    <x v="0"/>
    <x v="0"/>
    <x v="0"/>
    <x v="3"/>
    <x v="9"/>
    <x v="5"/>
    <x v="4"/>
    <n v="-1.3"/>
  </r>
  <r>
    <x v="0"/>
    <x v="0"/>
    <x v="0"/>
    <x v="3"/>
    <x v="9"/>
    <x v="5"/>
    <x v="5"/>
    <n v="-1.3"/>
  </r>
  <r>
    <x v="0"/>
    <x v="0"/>
    <x v="0"/>
    <x v="3"/>
    <x v="9"/>
    <x v="5"/>
    <x v="6"/>
    <n v="-1.3"/>
  </r>
  <r>
    <x v="0"/>
    <x v="0"/>
    <x v="0"/>
    <x v="3"/>
    <x v="9"/>
    <x v="5"/>
    <x v="7"/>
    <n v="-1.3"/>
  </r>
  <r>
    <x v="0"/>
    <x v="0"/>
    <x v="0"/>
    <x v="3"/>
    <x v="9"/>
    <x v="5"/>
    <x v="8"/>
    <n v="-1.3"/>
  </r>
  <r>
    <x v="0"/>
    <x v="0"/>
    <x v="0"/>
    <x v="3"/>
    <x v="9"/>
    <x v="5"/>
    <x v="9"/>
    <n v="-1.3"/>
  </r>
  <r>
    <x v="0"/>
    <x v="0"/>
    <x v="0"/>
    <x v="3"/>
    <x v="9"/>
    <x v="5"/>
    <x v="10"/>
    <n v="-1.3"/>
  </r>
  <r>
    <x v="0"/>
    <x v="0"/>
    <x v="0"/>
    <x v="3"/>
    <x v="9"/>
    <x v="5"/>
    <x v="11"/>
    <n v="-1.3"/>
  </r>
  <r>
    <x v="0"/>
    <x v="0"/>
    <x v="0"/>
    <x v="3"/>
    <x v="9"/>
    <x v="6"/>
    <x v="0"/>
    <n v="-1.3"/>
  </r>
  <r>
    <x v="0"/>
    <x v="0"/>
    <x v="0"/>
    <x v="3"/>
    <x v="9"/>
    <x v="6"/>
    <x v="1"/>
    <n v="-1.3"/>
  </r>
  <r>
    <x v="0"/>
    <x v="0"/>
    <x v="0"/>
    <x v="3"/>
    <x v="9"/>
    <x v="6"/>
    <x v="2"/>
    <n v="-1.3"/>
  </r>
  <r>
    <x v="0"/>
    <x v="0"/>
    <x v="0"/>
    <x v="3"/>
    <x v="9"/>
    <x v="6"/>
    <x v="3"/>
    <n v="-1.3"/>
  </r>
  <r>
    <x v="0"/>
    <x v="0"/>
    <x v="0"/>
    <x v="3"/>
    <x v="9"/>
    <x v="6"/>
    <x v="4"/>
    <n v="-1.3"/>
  </r>
  <r>
    <x v="0"/>
    <x v="0"/>
    <x v="0"/>
    <x v="3"/>
    <x v="9"/>
    <x v="6"/>
    <x v="5"/>
    <n v="-1.3"/>
  </r>
  <r>
    <x v="0"/>
    <x v="0"/>
    <x v="0"/>
    <x v="3"/>
    <x v="9"/>
    <x v="6"/>
    <x v="6"/>
    <n v="-1.3"/>
  </r>
  <r>
    <x v="0"/>
    <x v="0"/>
    <x v="0"/>
    <x v="3"/>
    <x v="9"/>
    <x v="6"/>
    <x v="7"/>
    <n v="-1.3"/>
  </r>
  <r>
    <x v="0"/>
    <x v="0"/>
    <x v="0"/>
    <x v="3"/>
    <x v="9"/>
    <x v="6"/>
    <x v="8"/>
    <n v="-1.3"/>
  </r>
  <r>
    <x v="0"/>
    <x v="0"/>
    <x v="0"/>
    <x v="3"/>
    <x v="9"/>
    <x v="6"/>
    <x v="9"/>
    <n v="-1.3"/>
  </r>
  <r>
    <x v="0"/>
    <x v="0"/>
    <x v="0"/>
    <x v="3"/>
    <x v="9"/>
    <x v="6"/>
    <x v="10"/>
    <n v="-1.3"/>
  </r>
  <r>
    <x v="0"/>
    <x v="0"/>
    <x v="0"/>
    <x v="3"/>
    <x v="9"/>
    <x v="6"/>
    <x v="11"/>
    <n v="-1.3"/>
  </r>
  <r>
    <x v="0"/>
    <x v="0"/>
    <x v="0"/>
    <x v="3"/>
    <x v="9"/>
    <x v="7"/>
    <x v="0"/>
    <n v="-1.3"/>
  </r>
  <r>
    <x v="0"/>
    <x v="0"/>
    <x v="0"/>
    <x v="3"/>
    <x v="9"/>
    <x v="7"/>
    <x v="1"/>
    <n v="-1.3"/>
  </r>
  <r>
    <x v="0"/>
    <x v="0"/>
    <x v="0"/>
    <x v="3"/>
    <x v="9"/>
    <x v="7"/>
    <x v="2"/>
    <n v="-1.3"/>
  </r>
  <r>
    <x v="0"/>
    <x v="0"/>
    <x v="0"/>
    <x v="3"/>
    <x v="9"/>
    <x v="7"/>
    <x v="3"/>
    <n v="-1.3"/>
  </r>
  <r>
    <x v="0"/>
    <x v="0"/>
    <x v="0"/>
    <x v="3"/>
    <x v="9"/>
    <x v="7"/>
    <x v="4"/>
    <n v="-1.3"/>
  </r>
  <r>
    <x v="0"/>
    <x v="0"/>
    <x v="0"/>
    <x v="3"/>
    <x v="9"/>
    <x v="7"/>
    <x v="5"/>
    <n v="-1.3"/>
  </r>
  <r>
    <x v="0"/>
    <x v="0"/>
    <x v="0"/>
    <x v="3"/>
    <x v="9"/>
    <x v="7"/>
    <x v="6"/>
    <n v="-1.3"/>
  </r>
  <r>
    <x v="0"/>
    <x v="0"/>
    <x v="0"/>
    <x v="3"/>
    <x v="9"/>
    <x v="7"/>
    <x v="7"/>
    <n v="-1.3"/>
  </r>
  <r>
    <x v="0"/>
    <x v="0"/>
    <x v="0"/>
    <x v="3"/>
    <x v="9"/>
    <x v="7"/>
    <x v="8"/>
    <n v="-1.3"/>
  </r>
  <r>
    <x v="0"/>
    <x v="0"/>
    <x v="0"/>
    <x v="3"/>
    <x v="9"/>
    <x v="7"/>
    <x v="9"/>
    <n v="-1.3"/>
  </r>
  <r>
    <x v="0"/>
    <x v="0"/>
    <x v="0"/>
    <x v="3"/>
    <x v="9"/>
    <x v="7"/>
    <x v="10"/>
    <n v="-1.3"/>
  </r>
  <r>
    <x v="0"/>
    <x v="0"/>
    <x v="0"/>
    <x v="3"/>
    <x v="9"/>
    <x v="7"/>
    <x v="11"/>
    <n v="-1.3"/>
  </r>
  <r>
    <x v="0"/>
    <x v="0"/>
    <x v="0"/>
    <x v="3"/>
    <x v="9"/>
    <x v="8"/>
    <x v="0"/>
    <n v="-1.3"/>
  </r>
  <r>
    <x v="0"/>
    <x v="0"/>
    <x v="0"/>
    <x v="3"/>
    <x v="9"/>
    <x v="8"/>
    <x v="1"/>
    <n v="-1.3"/>
  </r>
  <r>
    <x v="0"/>
    <x v="0"/>
    <x v="0"/>
    <x v="3"/>
    <x v="9"/>
    <x v="8"/>
    <x v="2"/>
    <n v="-1.3"/>
  </r>
  <r>
    <x v="0"/>
    <x v="0"/>
    <x v="0"/>
    <x v="3"/>
    <x v="9"/>
    <x v="8"/>
    <x v="3"/>
    <n v="-1.3"/>
  </r>
  <r>
    <x v="0"/>
    <x v="0"/>
    <x v="0"/>
    <x v="3"/>
    <x v="9"/>
    <x v="8"/>
    <x v="4"/>
    <n v="-1.3"/>
  </r>
  <r>
    <x v="0"/>
    <x v="0"/>
    <x v="0"/>
    <x v="3"/>
    <x v="9"/>
    <x v="8"/>
    <x v="5"/>
    <n v="-1.3"/>
  </r>
  <r>
    <x v="0"/>
    <x v="0"/>
    <x v="0"/>
    <x v="3"/>
    <x v="9"/>
    <x v="8"/>
    <x v="6"/>
    <n v="-1.3"/>
  </r>
  <r>
    <x v="0"/>
    <x v="0"/>
    <x v="0"/>
    <x v="3"/>
    <x v="9"/>
    <x v="8"/>
    <x v="7"/>
    <n v="-1.3"/>
  </r>
  <r>
    <x v="0"/>
    <x v="0"/>
    <x v="0"/>
    <x v="3"/>
    <x v="9"/>
    <x v="8"/>
    <x v="8"/>
    <n v="-1.3"/>
  </r>
  <r>
    <x v="0"/>
    <x v="0"/>
    <x v="0"/>
    <x v="3"/>
    <x v="9"/>
    <x v="8"/>
    <x v="9"/>
    <n v="-1.3"/>
  </r>
  <r>
    <x v="0"/>
    <x v="0"/>
    <x v="0"/>
    <x v="3"/>
    <x v="9"/>
    <x v="8"/>
    <x v="10"/>
    <n v="-1.3"/>
  </r>
  <r>
    <x v="0"/>
    <x v="0"/>
    <x v="0"/>
    <x v="3"/>
    <x v="9"/>
    <x v="8"/>
    <x v="11"/>
    <n v="-1.3"/>
  </r>
  <r>
    <x v="0"/>
    <x v="0"/>
    <x v="0"/>
    <x v="3"/>
    <x v="9"/>
    <x v="9"/>
    <x v="0"/>
    <n v="-1.3"/>
  </r>
  <r>
    <x v="0"/>
    <x v="0"/>
    <x v="0"/>
    <x v="3"/>
    <x v="9"/>
    <x v="9"/>
    <x v="1"/>
    <n v="-1.3"/>
  </r>
  <r>
    <x v="0"/>
    <x v="0"/>
    <x v="0"/>
    <x v="3"/>
    <x v="9"/>
    <x v="9"/>
    <x v="2"/>
    <n v="-1.3"/>
  </r>
  <r>
    <x v="0"/>
    <x v="0"/>
    <x v="0"/>
    <x v="3"/>
    <x v="9"/>
    <x v="9"/>
    <x v="3"/>
    <n v="-1.3"/>
  </r>
  <r>
    <x v="0"/>
    <x v="0"/>
    <x v="0"/>
    <x v="3"/>
    <x v="9"/>
    <x v="9"/>
    <x v="4"/>
    <n v="-1.3"/>
  </r>
  <r>
    <x v="0"/>
    <x v="0"/>
    <x v="0"/>
    <x v="3"/>
    <x v="9"/>
    <x v="9"/>
    <x v="5"/>
    <n v="-1.3"/>
  </r>
  <r>
    <x v="0"/>
    <x v="0"/>
    <x v="0"/>
    <x v="3"/>
    <x v="9"/>
    <x v="9"/>
    <x v="6"/>
    <n v="-1.3"/>
  </r>
  <r>
    <x v="0"/>
    <x v="0"/>
    <x v="0"/>
    <x v="3"/>
    <x v="9"/>
    <x v="9"/>
    <x v="7"/>
    <n v="-1.3"/>
  </r>
  <r>
    <x v="0"/>
    <x v="0"/>
    <x v="0"/>
    <x v="3"/>
    <x v="9"/>
    <x v="9"/>
    <x v="8"/>
    <n v="-1.3"/>
  </r>
  <r>
    <x v="0"/>
    <x v="0"/>
    <x v="0"/>
    <x v="3"/>
    <x v="9"/>
    <x v="9"/>
    <x v="9"/>
    <n v="-1.3"/>
  </r>
  <r>
    <x v="0"/>
    <x v="0"/>
    <x v="0"/>
    <x v="3"/>
    <x v="9"/>
    <x v="9"/>
    <x v="10"/>
    <n v="-1.3"/>
  </r>
  <r>
    <x v="0"/>
    <x v="0"/>
    <x v="0"/>
    <x v="3"/>
    <x v="9"/>
    <x v="9"/>
    <x v="11"/>
    <n v="-1.3"/>
  </r>
  <r>
    <x v="0"/>
    <x v="0"/>
    <x v="0"/>
    <x v="3"/>
    <x v="9"/>
    <x v="10"/>
    <x v="0"/>
    <n v="-1.3"/>
  </r>
  <r>
    <x v="0"/>
    <x v="0"/>
    <x v="0"/>
    <x v="3"/>
    <x v="9"/>
    <x v="10"/>
    <x v="1"/>
    <n v="-1.3"/>
  </r>
  <r>
    <x v="0"/>
    <x v="0"/>
    <x v="0"/>
    <x v="3"/>
    <x v="9"/>
    <x v="10"/>
    <x v="2"/>
    <n v="-1.3"/>
  </r>
  <r>
    <x v="0"/>
    <x v="0"/>
    <x v="0"/>
    <x v="3"/>
    <x v="9"/>
    <x v="10"/>
    <x v="3"/>
    <n v="-1.3"/>
  </r>
  <r>
    <x v="0"/>
    <x v="0"/>
    <x v="0"/>
    <x v="3"/>
    <x v="9"/>
    <x v="10"/>
    <x v="4"/>
    <n v="-1.3"/>
  </r>
  <r>
    <x v="0"/>
    <x v="0"/>
    <x v="0"/>
    <x v="3"/>
    <x v="9"/>
    <x v="10"/>
    <x v="5"/>
    <n v="-1.3"/>
  </r>
  <r>
    <x v="0"/>
    <x v="0"/>
    <x v="0"/>
    <x v="3"/>
    <x v="9"/>
    <x v="10"/>
    <x v="6"/>
    <n v="-1.3"/>
  </r>
  <r>
    <x v="0"/>
    <x v="0"/>
    <x v="0"/>
    <x v="3"/>
    <x v="9"/>
    <x v="10"/>
    <x v="7"/>
    <n v="-1.3"/>
  </r>
  <r>
    <x v="0"/>
    <x v="0"/>
    <x v="0"/>
    <x v="3"/>
    <x v="9"/>
    <x v="10"/>
    <x v="8"/>
    <n v="-1.3"/>
  </r>
  <r>
    <x v="0"/>
    <x v="0"/>
    <x v="0"/>
    <x v="3"/>
    <x v="9"/>
    <x v="10"/>
    <x v="9"/>
    <n v="-1.3"/>
  </r>
  <r>
    <x v="0"/>
    <x v="0"/>
    <x v="0"/>
    <x v="3"/>
    <x v="9"/>
    <x v="10"/>
    <x v="10"/>
    <n v="-1.3"/>
  </r>
  <r>
    <x v="0"/>
    <x v="0"/>
    <x v="0"/>
    <x v="3"/>
    <x v="9"/>
    <x v="10"/>
    <x v="11"/>
    <n v="-1.3"/>
  </r>
  <r>
    <x v="0"/>
    <x v="0"/>
    <x v="0"/>
    <x v="3"/>
    <x v="9"/>
    <x v="11"/>
    <x v="0"/>
    <n v="-1.3"/>
  </r>
  <r>
    <x v="0"/>
    <x v="0"/>
    <x v="0"/>
    <x v="3"/>
    <x v="9"/>
    <x v="11"/>
    <x v="1"/>
    <n v="-1.3"/>
  </r>
  <r>
    <x v="0"/>
    <x v="0"/>
    <x v="0"/>
    <x v="3"/>
    <x v="9"/>
    <x v="11"/>
    <x v="2"/>
    <n v="-1.3"/>
  </r>
  <r>
    <x v="0"/>
    <x v="0"/>
    <x v="0"/>
    <x v="3"/>
    <x v="9"/>
    <x v="11"/>
    <x v="3"/>
    <n v="-1.3"/>
  </r>
  <r>
    <x v="0"/>
    <x v="0"/>
    <x v="0"/>
    <x v="3"/>
    <x v="9"/>
    <x v="11"/>
    <x v="4"/>
    <n v="-1.3"/>
  </r>
  <r>
    <x v="0"/>
    <x v="0"/>
    <x v="0"/>
    <x v="3"/>
    <x v="9"/>
    <x v="11"/>
    <x v="5"/>
    <n v="-1.3"/>
  </r>
  <r>
    <x v="0"/>
    <x v="0"/>
    <x v="0"/>
    <x v="3"/>
    <x v="9"/>
    <x v="11"/>
    <x v="6"/>
    <n v="-1.3"/>
  </r>
  <r>
    <x v="0"/>
    <x v="0"/>
    <x v="0"/>
    <x v="3"/>
    <x v="9"/>
    <x v="11"/>
    <x v="7"/>
    <n v="-1.3"/>
  </r>
  <r>
    <x v="0"/>
    <x v="0"/>
    <x v="0"/>
    <x v="3"/>
    <x v="9"/>
    <x v="11"/>
    <x v="8"/>
    <n v="-1.3"/>
  </r>
  <r>
    <x v="0"/>
    <x v="0"/>
    <x v="0"/>
    <x v="3"/>
    <x v="9"/>
    <x v="11"/>
    <x v="9"/>
    <n v="-1.3"/>
  </r>
  <r>
    <x v="0"/>
    <x v="0"/>
    <x v="0"/>
    <x v="3"/>
    <x v="9"/>
    <x v="11"/>
    <x v="10"/>
    <n v="-1.3"/>
  </r>
  <r>
    <x v="0"/>
    <x v="0"/>
    <x v="0"/>
    <x v="3"/>
    <x v="9"/>
    <x v="11"/>
    <x v="11"/>
    <n v="-1.3"/>
  </r>
  <r>
    <x v="0"/>
    <x v="0"/>
    <x v="0"/>
    <x v="3"/>
    <x v="3"/>
    <x v="0"/>
    <x v="0"/>
    <n v="0"/>
  </r>
  <r>
    <x v="0"/>
    <x v="0"/>
    <x v="0"/>
    <x v="3"/>
    <x v="3"/>
    <x v="0"/>
    <x v="1"/>
    <n v="0"/>
  </r>
  <r>
    <x v="0"/>
    <x v="0"/>
    <x v="0"/>
    <x v="3"/>
    <x v="3"/>
    <x v="0"/>
    <x v="2"/>
    <n v="0"/>
  </r>
  <r>
    <x v="0"/>
    <x v="0"/>
    <x v="0"/>
    <x v="3"/>
    <x v="3"/>
    <x v="0"/>
    <x v="3"/>
    <n v="0"/>
  </r>
  <r>
    <x v="0"/>
    <x v="0"/>
    <x v="0"/>
    <x v="3"/>
    <x v="3"/>
    <x v="0"/>
    <x v="4"/>
    <n v="0"/>
  </r>
  <r>
    <x v="0"/>
    <x v="0"/>
    <x v="0"/>
    <x v="3"/>
    <x v="3"/>
    <x v="0"/>
    <x v="5"/>
    <n v="0"/>
  </r>
  <r>
    <x v="0"/>
    <x v="0"/>
    <x v="0"/>
    <x v="3"/>
    <x v="3"/>
    <x v="0"/>
    <x v="6"/>
    <n v="0"/>
  </r>
  <r>
    <x v="0"/>
    <x v="0"/>
    <x v="0"/>
    <x v="3"/>
    <x v="3"/>
    <x v="0"/>
    <x v="7"/>
    <n v="0"/>
  </r>
  <r>
    <x v="0"/>
    <x v="0"/>
    <x v="0"/>
    <x v="3"/>
    <x v="3"/>
    <x v="0"/>
    <x v="8"/>
    <n v="0"/>
  </r>
  <r>
    <x v="0"/>
    <x v="0"/>
    <x v="0"/>
    <x v="3"/>
    <x v="3"/>
    <x v="0"/>
    <x v="9"/>
    <n v="0"/>
  </r>
  <r>
    <x v="0"/>
    <x v="0"/>
    <x v="0"/>
    <x v="3"/>
    <x v="3"/>
    <x v="0"/>
    <x v="10"/>
    <n v="0"/>
  </r>
  <r>
    <x v="0"/>
    <x v="0"/>
    <x v="0"/>
    <x v="3"/>
    <x v="3"/>
    <x v="0"/>
    <x v="11"/>
    <n v="0"/>
  </r>
  <r>
    <x v="0"/>
    <x v="0"/>
    <x v="0"/>
    <x v="3"/>
    <x v="3"/>
    <x v="1"/>
    <x v="0"/>
    <n v="0"/>
  </r>
  <r>
    <x v="0"/>
    <x v="0"/>
    <x v="0"/>
    <x v="3"/>
    <x v="3"/>
    <x v="1"/>
    <x v="1"/>
    <n v="0"/>
  </r>
  <r>
    <x v="0"/>
    <x v="0"/>
    <x v="0"/>
    <x v="3"/>
    <x v="3"/>
    <x v="1"/>
    <x v="2"/>
    <n v="0"/>
  </r>
  <r>
    <x v="0"/>
    <x v="0"/>
    <x v="0"/>
    <x v="3"/>
    <x v="3"/>
    <x v="1"/>
    <x v="3"/>
    <n v="0"/>
  </r>
  <r>
    <x v="0"/>
    <x v="0"/>
    <x v="0"/>
    <x v="3"/>
    <x v="3"/>
    <x v="1"/>
    <x v="4"/>
    <n v="0"/>
  </r>
  <r>
    <x v="0"/>
    <x v="0"/>
    <x v="0"/>
    <x v="3"/>
    <x v="3"/>
    <x v="1"/>
    <x v="5"/>
    <n v="0"/>
  </r>
  <r>
    <x v="0"/>
    <x v="0"/>
    <x v="0"/>
    <x v="3"/>
    <x v="3"/>
    <x v="1"/>
    <x v="6"/>
    <n v="0"/>
  </r>
  <r>
    <x v="0"/>
    <x v="0"/>
    <x v="0"/>
    <x v="3"/>
    <x v="3"/>
    <x v="1"/>
    <x v="7"/>
    <n v="0"/>
  </r>
  <r>
    <x v="0"/>
    <x v="0"/>
    <x v="0"/>
    <x v="3"/>
    <x v="3"/>
    <x v="1"/>
    <x v="8"/>
    <n v="0"/>
  </r>
  <r>
    <x v="0"/>
    <x v="0"/>
    <x v="0"/>
    <x v="3"/>
    <x v="3"/>
    <x v="1"/>
    <x v="9"/>
    <n v="0"/>
  </r>
  <r>
    <x v="0"/>
    <x v="0"/>
    <x v="0"/>
    <x v="3"/>
    <x v="3"/>
    <x v="1"/>
    <x v="10"/>
    <n v="0"/>
  </r>
  <r>
    <x v="0"/>
    <x v="0"/>
    <x v="0"/>
    <x v="3"/>
    <x v="3"/>
    <x v="1"/>
    <x v="11"/>
    <n v="0"/>
  </r>
  <r>
    <x v="0"/>
    <x v="0"/>
    <x v="0"/>
    <x v="3"/>
    <x v="3"/>
    <x v="2"/>
    <x v="0"/>
    <n v="0"/>
  </r>
  <r>
    <x v="0"/>
    <x v="0"/>
    <x v="0"/>
    <x v="3"/>
    <x v="3"/>
    <x v="2"/>
    <x v="1"/>
    <n v="0"/>
  </r>
  <r>
    <x v="0"/>
    <x v="0"/>
    <x v="0"/>
    <x v="3"/>
    <x v="3"/>
    <x v="2"/>
    <x v="2"/>
    <n v="0"/>
  </r>
  <r>
    <x v="0"/>
    <x v="0"/>
    <x v="0"/>
    <x v="3"/>
    <x v="3"/>
    <x v="2"/>
    <x v="3"/>
    <n v="0"/>
  </r>
  <r>
    <x v="0"/>
    <x v="0"/>
    <x v="0"/>
    <x v="3"/>
    <x v="3"/>
    <x v="2"/>
    <x v="4"/>
    <n v="0"/>
  </r>
  <r>
    <x v="0"/>
    <x v="0"/>
    <x v="0"/>
    <x v="3"/>
    <x v="3"/>
    <x v="2"/>
    <x v="5"/>
    <n v="0"/>
  </r>
  <r>
    <x v="0"/>
    <x v="0"/>
    <x v="0"/>
    <x v="3"/>
    <x v="3"/>
    <x v="2"/>
    <x v="6"/>
    <n v="0"/>
  </r>
  <r>
    <x v="0"/>
    <x v="0"/>
    <x v="0"/>
    <x v="3"/>
    <x v="3"/>
    <x v="2"/>
    <x v="7"/>
    <n v="0"/>
  </r>
  <r>
    <x v="0"/>
    <x v="0"/>
    <x v="0"/>
    <x v="3"/>
    <x v="3"/>
    <x v="2"/>
    <x v="8"/>
    <n v="0"/>
  </r>
  <r>
    <x v="0"/>
    <x v="0"/>
    <x v="0"/>
    <x v="3"/>
    <x v="3"/>
    <x v="2"/>
    <x v="9"/>
    <n v="0"/>
  </r>
  <r>
    <x v="0"/>
    <x v="0"/>
    <x v="0"/>
    <x v="3"/>
    <x v="3"/>
    <x v="2"/>
    <x v="10"/>
    <n v="0"/>
  </r>
  <r>
    <x v="0"/>
    <x v="0"/>
    <x v="0"/>
    <x v="3"/>
    <x v="3"/>
    <x v="2"/>
    <x v="11"/>
    <n v="0"/>
  </r>
  <r>
    <x v="0"/>
    <x v="0"/>
    <x v="0"/>
    <x v="3"/>
    <x v="3"/>
    <x v="3"/>
    <x v="0"/>
    <n v="0"/>
  </r>
  <r>
    <x v="0"/>
    <x v="0"/>
    <x v="0"/>
    <x v="3"/>
    <x v="3"/>
    <x v="3"/>
    <x v="1"/>
    <n v="0"/>
  </r>
  <r>
    <x v="0"/>
    <x v="0"/>
    <x v="0"/>
    <x v="3"/>
    <x v="3"/>
    <x v="3"/>
    <x v="2"/>
    <n v="0"/>
  </r>
  <r>
    <x v="0"/>
    <x v="0"/>
    <x v="0"/>
    <x v="3"/>
    <x v="3"/>
    <x v="3"/>
    <x v="3"/>
    <n v="0"/>
  </r>
  <r>
    <x v="0"/>
    <x v="0"/>
    <x v="0"/>
    <x v="3"/>
    <x v="3"/>
    <x v="3"/>
    <x v="4"/>
    <n v="0"/>
  </r>
  <r>
    <x v="0"/>
    <x v="0"/>
    <x v="0"/>
    <x v="3"/>
    <x v="3"/>
    <x v="3"/>
    <x v="5"/>
    <n v="0"/>
  </r>
  <r>
    <x v="0"/>
    <x v="0"/>
    <x v="0"/>
    <x v="3"/>
    <x v="3"/>
    <x v="3"/>
    <x v="6"/>
    <n v="0"/>
  </r>
  <r>
    <x v="0"/>
    <x v="0"/>
    <x v="0"/>
    <x v="3"/>
    <x v="3"/>
    <x v="3"/>
    <x v="7"/>
    <n v="0"/>
  </r>
  <r>
    <x v="0"/>
    <x v="0"/>
    <x v="0"/>
    <x v="3"/>
    <x v="3"/>
    <x v="3"/>
    <x v="8"/>
    <n v="0"/>
  </r>
  <r>
    <x v="0"/>
    <x v="0"/>
    <x v="0"/>
    <x v="3"/>
    <x v="3"/>
    <x v="3"/>
    <x v="9"/>
    <n v="0"/>
  </r>
  <r>
    <x v="0"/>
    <x v="0"/>
    <x v="0"/>
    <x v="3"/>
    <x v="3"/>
    <x v="3"/>
    <x v="10"/>
    <n v="0"/>
  </r>
  <r>
    <x v="0"/>
    <x v="0"/>
    <x v="0"/>
    <x v="3"/>
    <x v="3"/>
    <x v="3"/>
    <x v="11"/>
    <n v="0"/>
  </r>
  <r>
    <x v="0"/>
    <x v="0"/>
    <x v="0"/>
    <x v="3"/>
    <x v="3"/>
    <x v="4"/>
    <x v="0"/>
    <n v="0"/>
  </r>
  <r>
    <x v="0"/>
    <x v="0"/>
    <x v="0"/>
    <x v="3"/>
    <x v="3"/>
    <x v="4"/>
    <x v="1"/>
    <n v="0"/>
  </r>
  <r>
    <x v="0"/>
    <x v="0"/>
    <x v="0"/>
    <x v="3"/>
    <x v="3"/>
    <x v="4"/>
    <x v="2"/>
    <n v="0"/>
  </r>
  <r>
    <x v="0"/>
    <x v="0"/>
    <x v="0"/>
    <x v="3"/>
    <x v="3"/>
    <x v="4"/>
    <x v="3"/>
    <n v="0"/>
  </r>
  <r>
    <x v="0"/>
    <x v="0"/>
    <x v="0"/>
    <x v="3"/>
    <x v="3"/>
    <x v="4"/>
    <x v="4"/>
    <n v="0"/>
  </r>
  <r>
    <x v="0"/>
    <x v="0"/>
    <x v="0"/>
    <x v="3"/>
    <x v="3"/>
    <x v="4"/>
    <x v="5"/>
    <n v="0"/>
  </r>
  <r>
    <x v="0"/>
    <x v="0"/>
    <x v="0"/>
    <x v="3"/>
    <x v="3"/>
    <x v="4"/>
    <x v="6"/>
    <n v="0"/>
  </r>
  <r>
    <x v="0"/>
    <x v="0"/>
    <x v="0"/>
    <x v="3"/>
    <x v="3"/>
    <x v="4"/>
    <x v="7"/>
    <n v="0"/>
  </r>
  <r>
    <x v="0"/>
    <x v="0"/>
    <x v="0"/>
    <x v="3"/>
    <x v="3"/>
    <x v="4"/>
    <x v="8"/>
    <n v="0"/>
  </r>
  <r>
    <x v="0"/>
    <x v="0"/>
    <x v="0"/>
    <x v="3"/>
    <x v="3"/>
    <x v="4"/>
    <x v="9"/>
    <n v="0"/>
  </r>
  <r>
    <x v="0"/>
    <x v="0"/>
    <x v="0"/>
    <x v="3"/>
    <x v="3"/>
    <x v="4"/>
    <x v="10"/>
    <n v="0"/>
  </r>
  <r>
    <x v="0"/>
    <x v="0"/>
    <x v="0"/>
    <x v="3"/>
    <x v="3"/>
    <x v="4"/>
    <x v="11"/>
    <n v="0"/>
  </r>
  <r>
    <x v="0"/>
    <x v="0"/>
    <x v="0"/>
    <x v="3"/>
    <x v="3"/>
    <x v="5"/>
    <x v="0"/>
    <n v="0"/>
  </r>
  <r>
    <x v="0"/>
    <x v="0"/>
    <x v="0"/>
    <x v="3"/>
    <x v="3"/>
    <x v="5"/>
    <x v="1"/>
    <n v="0"/>
  </r>
  <r>
    <x v="0"/>
    <x v="0"/>
    <x v="0"/>
    <x v="3"/>
    <x v="3"/>
    <x v="5"/>
    <x v="2"/>
    <n v="0"/>
  </r>
  <r>
    <x v="0"/>
    <x v="0"/>
    <x v="0"/>
    <x v="3"/>
    <x v="3"/>
    <x v="5"/>
    <x v="3"/>
    <n v="0"/>
  </r>
  <r>
    <x v="0"/>
    <x v="0"/>
    <x v="0"/>
    <x v="3"/>
    <x v="3"/>
    <x v="5"/>
    <x v="4"/>
    <n v="0"/>
  </r>
  <r>
    <x v="0"/>
    <x v="0"/>
    <x v="0"/>
    <x v="3"/>
    <x v="3"/>
    <x v="5"/>
    <x v="5"/>
    <n v="0"/>
  </r>
  <r>
    <x v="0"/>
    <x v="0"/>
    <x v="0"/>
    <x v="3"/>
    <x v="3"/>
    <x v="5"/>
    <x v="6"/>
    <n v="0"/>
  </r>
  <r>
    <x v="0"/>
    <x v="0"/>
    <x v="0"/>
    <x v="3"/>
    <x v="3"/>
    <x v="5"/>
    <x v="7"/>
    <n v="0"/>
  </r>
  <r>
    <x v="0"/>
    <x v="0"/>
    <x v="0"/>
    <x v="3"/>
    <x v="3"/>
    <x v="5"/>
    <x v="8"/>
    <n v="0"/>
  </r>
  <r>
    <x v="0"/>
    <x v="0"/>
    <x v="0"/>
    <x v="3"/>
    <x v="3"/>
    <x v="5"/>
    <x v="9"/>
    <n v="0"/>
  </r>
  <r>
    <x v="0"/>
    <x v="0"/>
    <x v="0"/>
    <x v="3"/>
    <x v="3"/>
    <x v="5"/>
    <x v="10"/>
    <n v="0"/>
  </r>
  <r>
    <x v="0"/>
    <x v="0"/>
    <x v="0"/>
    <x v="3"/>
    <x v="3"/>
    <x v="5"/>
    <x v="11"/>
    <n v="0"/>
  </r>
  <r>
    <x v="0"/>
    <x v="0"/>
    <x v="0"/>
    <x v="3"/>
    <x v="3"/>
    <x v="6"/>
    <x v="0"/>
    <n v="0"/>
  </r>
  <r>
    <x v="0"/>
    <x v="0"/>
    <x v="0"/>
    <x v="3"/>
    <x v="3"/>
    <x v="6"/>
    <x v="1"/>
    <n v="0"/>
  </r>
  <r>
    <x v="0"/>
    <x v="0"/>
    <x v="0"/>
    <x v="3"/>
    <x v="3"/>
    <x v="6"/>
    <x v="2"/>
    <n v="0"/>
  </r>
  <r>
    <x v="0"/>
    <x v="0"/>
    <x v="0"/>
    <x v="3"/>
    <x v="3"/>
    <x v="6"/>
    <x v="3"/>
    <n v="0"/>
  </r>
  <r>
    <x v="0"/>
    <x v="0"/>
    <x v="0"/>
    <x v="3"/>
    <x v="3"/>
    <x v="6"/>
    <x v="4"/>
    <n v="0"/>
  </r>
  <r>
    <x v="0"/>
    <x v="0"/>
    <x v="0"/>
    <x v="3"/>
    <x v="3"/>
    <x v="6"/>
    <x v="5"/>
    <n v="0"/>
  </r>
  <r>
    <x v="0"/>
    <x v="0"/>
    <x v="0"/>
    <x v="3"/>
    <x v="3"/>
    <x v="6"/>
    <x v="6"/>
    <n v="0"/>
  </r>
  <r>
    <x v="0"/>
    <x v="0"/>
    <x v="0"/>
    <x v="3"/>
    <x v="3"/>
    <x v="6"/>
    <x v="7"/>
    <n v="0"/>
  </r>
  <r>
    <x v="0"/>
    <x v="0"/>
    <x v="0"/>
    <x v="3"/>
    <x v="3"/>
    <x v="6"/>
    <x v="8"/>
    <n v="0"/>
  </r>
  <r>
    <x v="0"/>
    <x v="0"/>
    <x v="0"/>
    <x v="3"/>
    <x v="3"/>
    <x v="6"/>
    <x v="9"/>
    <n v="0"/>
  </r>
  <r>
    <x v="0"/>
    <x v="0"/>
    <x v="0"/>
    <x v="3"/>
    <x v="3"/>
    <x v="6"/>
    <x v="10"/>
    <n v="0"/>
  </r>
  <r>
    <x v="0"/>
    <x v="0"/>
    <x v="0"/>
    <x v="3"/>
    <x v="3"/>
    <x v="6"/>
    <x v="11"/>
    <n v="0"/>
  </r>
  <r>
    <x v="0"/>
    <x v="0"/>
    <x v="0"/>
    <x v="3"/>
    <x v="3"/>
    <x v="7"/>
    <x v="0"/>
    <n v="0"/>
  </r>
  <r>
    <x v="0"/>
    <x v="0"/>
    <x v="0"/>
    <x v="3"/>
    <x v="3"/>
    <x v="7"/>
    <x v="1"/>
    <n v="0"/>
  </r>
  <r>
    <x v="0"/>
    <x v="0"/>
    <x v="0"/>
    <x v="3"/>
    <x v="3"/>
    <x v="7"/>
    <x v="2"/>
    <n v="0"/>
  </r>
  <r>
    <x v="0"/>
    <x v="0"/>
    <x v="0"/>
    <x v="3"/>
    <x v="3"/>
    <x v="7"/>
    <x v="3"/>
    <n v="0"/>
  </r>
  <r>
    <x v="0"/>
    <x v="0"/>
    <x v="0"/>
    <x v="3"/>
    <x v="3"/>
    <x v="7"/>
    <x v="4"/>
    <n v="0"/>
  </r>
  <r>
    <x v="0"/>
    <x v="0"/>
    <x v="0"/>
    <x v="3"/>
    <x v="3"/>
    <x v="7"/>
    <x v="5"/>
    <n v="0"/>
  </r>
  <r>
    <x v="0"/>
    <x v="0"/>
    <x v="0"/>
    <x v="3"/>
    <x v="3"/>
    <x v="7"/>
    <x v="6"/>
    <n v="0"/>
  </r>
  <r>
    <x v="0"/>
    <x v="0"/>
    <x v="0"/>
    <x v="3"/>
    <x v="3"/>
    <x v="7"/>
    <x v="7"/>
    <n v="0"/>
  </r>
  <r>
    <x v="0"/>
    <x v="0"/>
    <x v="0"/>
    <x v="3"/>
    <x v="3"/>
    <x v="7"/>
    <x v="8"/>
    <n v="0"/>
  </r>
  <r>
    <x v="0"/>
    <x v="0"/>
    <x v="0"/>
    <x v="3"/>
    <x v="3"/>
    <x v="7"/>
    <x v="9"/>
    <n v="0"/>
  </r>
  <r>
    <x v="0"/>
    <x v="0"/>
    <x v="0"/>
    <x v="3"/>
    <x v="3"/>
    <x v="7"/>
    <x v="10"/>
    <n v="0"/>
  </r>
  <r>
    <x v="0"/>
    <x v="0"/>
    <x v="0"/>
    <x v="3"/>
    <x v="3"/>
    <x v="7"/>
    <x v="11"/>
    <n v="0"/>
  </r>
  <r>
    <x v="0"/>
    <x v="0"/>
    <x v="0"/>
    <x v="3"/>
    <x v="3"/>
    <x v="8"/>
    <x v="0"/>
    <n v="-1.35"/>
  </r>
  <r>
    <x v="0"/>
    <x v="0"/>
    <x v="0"/>
    <x v="3"/>
    <x v="3"/>
    <x v="8"/>
    <x v="1"/>
    <n v="-1.35"/>
  </r>
  <r>
    <x v="0"/>
    <x v="0"/>
    <x v="0"/>
    <x v="3"/>
    <x v="3"/>
    <x v="8"/>
    <x v="2"/>
    <n v="-1.35"/>
  </r>
  <r>
    <x v="0"/>
    <x v="0"/>
    <x v="0"/>
    <x v="3"/>
    <x v="3"/>
    <x v="8"/>
    <x v="3"/>
    <n v="-1.35"/>
  </r>
  <r>
    <x v="0"/>
    <x v="0"/>
    <x v="0"/>
    <x v="3"/>
    <x v="3"/>
    <x v="8"/>
    <x v="4"/>
    <n v="-1.35"/>
  </r>
  <r>
    <x v="0"/>
    <x v="0"/>
    <x v="0"/>
    <x v="3"/>
    <x v="3"/>
    <x v="8"/>
    <x v="5"/>
    <n v="-1.35"/>
  </r>
  <r>
    <x v="0"/>
    <x v="0"/>
    <x v="0"/>
    <x v="3"/>
    <x v="3"/>
    <x v="8"/>
    <x v="6"/>
    <n v="0"/>
  </r>
  <r>
    <x v="0"/>
    <x v="0"/>
    <x v="0"/>
    <x v="3"/>
    <x v="3"/>
    <x v="8"/>
    <x v="7"/>
    <n v="-0.41778001564408601"/>
  </r>
  <r>
    <x v="0"/>
    <x v="0"/>
    <x v="0"/>
    <x v="3"/>
    <x v="3"/>
    <x v="8"/>
    <x v="8"/>
    <n v="-0.37238322220918801"/>
  </r>
  <r>
    <x v="0"/>
    <x v="0"/>
    <x v="0"/>
    <x v="3"/>
    <x v="3"/>
    <x v="8"/>
    <x v="9"/>
    <n v="-0.483462523347929"/>
  </r>
  <r>
    <x v="0"/>
    <x v="0"/>
    <x v="0"/>
    <x v="3"/>
    <x v="3"/>
    <x v="8"/>
    <x v="10"/>
    <n v="0"/>
  </r>
  <r>
    <x v="0"/>
    <x v="0"/>
    <x v="0"/>
    <x v="3"/>
    <x v="3"/>
    <x v="8"/>
    <x v="11"/>
    <n v="0"/>
  </r>
  <r>
    <x v="0"/>
    <x v="0"/>
    <x v="0"/>
    <x v="3"/>
    <x v="3"/>
    <x v="9"/>
    <x v="0"/>
    <n v="-1.35"/>
  </r>
  <r>
    <x v="0"/>
    <x v="0"/>
    <x v="0"/>
    <x v="3"/>
    <x v="3"/>
    <x v="9"/>
    <x v="1"/>
    <n v="-1.35"/>
  </r>
  <r>
    <x v="0"/>
    <x v="0"/>
    <x v="0"/>
    <x v="3"/>
    <x v="3"/>
    <x v="9"/>
    <x v="2"/>
    <n v="-1.35"/>
  </r>
  <r>
    <x v="0"/>
    <x v="0"/>
    <x v="0"/>
    <x v="3"/>
    <x v="3"/>
    <x v="9"/>
    <x v="3"/>
    <n v="-1.35"/>
  </r>
  <r>
    <x v="0"/>
    <x v="0"/>
    <x v="0"/>
    <x v="3"/>
    <x v="3"/>
    <x v="9"/>
    <x v="4"/>
    <n v="-1.35"/>
  </r>
  <r>
    <x v="0"/>
    <x v="0"/>
    <x v="0"/>
    <x v="3"/>
    <x v="3"/>
    <x v="9"/>
    <x v="5"/>
    <n v="-1.35"/>
  </r>
  <r>
    <x v="0"/>
    <x v="0"/>
    <x v="0"/>
    <x v="3"/>
    <x v="3"/>
    <x v="9"/>
    <x v="6"/>
    <n v="-0.29062092441916998"/>
  </r>
  <r>
    <x v="0"/>
    <x v="0"/>
    <x v="0"/>
    <x v="3"/>
    <x v="3"/>
    <x v="9"/>
    <x v="7"/>
    <n v="0"/>
  </r>
  <r>
    <x v="0"/>
    <x v="0"/>
    <x v="0"/>
    <x v="3"/>
    <x v="3"/>
    <x v="9"/>
    <x v="8"/>
    <n v="0"/>
  </r>
  <r>
    <x v="0"/>
    <x v="0"/>
    <x v="0"/>
    <x v="3"/>
    <x v="3"/>
    <x v="9"/>
    <x v="9"/>
    <n v="-0.138963581259091"/>
  </r>
  <r>
    <x v="0"/>
    <x v="0"/>
    <x v="0"/>
    <x v="3"/>
    <x v="3"/>
    <x v="9"/>
    <x v="10"/>
    <n v="0"/>
  </r>
  <r>
    <x v="0"/>
    <x v="0"/>
    <x v="0"/>
    <x v="3"/>
    <x v="3"/>
    <x v="9"/>
    <x v="11"/>
    <n v="0"/>
  </r>
  <r>
    <x v="0"/>
    <x v="0"/>
    <x v="0"/>
    <x v="3"/>
    <x v="3"/>
    <x v="10"/>
    <x v="0"/>
    <n v="-1.35"/>
  </r>
  <r>
    <x v="0"/>
    <x v="0"/>
    <x v="0"/>
    <x v="3"/>
    <x v="3"/>
    <x v="10"/>
    <x v="1"/>
    <n v="-1.35"/>
  </r>
  <r>
    <x v="0"/>
    <x v="0"/>
    <x v="0"/>
    <x v="3"/>
    <x v="3"/>
    <x v="10"/>
    <x v="2"/>
    <n v="-1.35"/>
  </r>
  <r>
    <x v="0"/>
    <x v="0"/>
    <x v="0"/>
    <x v="3"/>
    <x v="3"/>
    <x v="10"/>
    <x v="3"/>
    <n v="-1.35"/>
  </r>
  <r>
    <x v="0"/>
    <x v="0"/>
    <x v="0"/>
    <x v="3"/>
    <x v="3"/>
    <x v="10"/>
    <x v="4"/>
    <n v="-1.35"/>
  </r>
  <r>
    <x v="0"/>
    <x v="0"/>
    <x v="0"/>
    <x v="3"/>
    <x v="3"/>
    <x v="10"/>
    <x v="5"/>
    <n v="-1.35"/>
  </r>
  <r>
    <x v="0"/>
    <x v="0"/>
    <x v="0"/>
    <x v="3"/>
    <x v="3"/>
    <x v="10"/>
    <x v="6"/>
    <n v="0"/>
  </r>
  <r>
    <x v="0"/>
    <x v="0"/>
    <x v="0"/>
    <x v="3"/>
    <x v="3"/>
    <x v="10"/>
    <x v="7"/>
    <n v="-1.35"/>
  </r>
  <r>
    <x v="0"/>
    <x v="0"/>
    <x v="0"/>
    <x v="3"/>
    <x v="3"/>
    <x v="10"/>
    <x v="8"/>
    <n v="-1.35"/>
  </r>
  <r>
    <x v="0"/>
    <x v="0"/>
    <x v="0"/>
    <x v="3"/>
    <x v="3"/>
    <x v="10"/>
    <x v="9"/>
    <n v="-1.35"/>
  </r>
  <r>
    <x v="0"/>
    <x v="0"/>
    <x v="0"/>
    <x v="3"/>
    <x v="3"/>
    <x v="10"/>
    <x v="10"/>
    <n v="-1.35"/>
  </r>
  <r>
    <x v="0"/>
    <x v="0"/>
    <x v="0"/>
    <x v="3"/>
    <x v="3"/>
    <x v="10"/>
    <x v="11"/>
    <n v="-1.35"/>
  </r>
  <r>
    <x v="0"/>
    <x v="0"/>
    <x v="0"/>
    <x v="3"/>
    <x v="3"/>
    <x v="11"/>
    <x v="0"/>
    <n v="-1.35"/>
  </r>
  <r>
    <x v="0"/>
    <x v="0"/>
    <x v="0"/>
    <x v="3"/>
    <x v="3"/>
    <x v="11"/>
    <x v="1"/>
    <n v="-1.35"/>
  </r>
  <r>
    <x v="0"/>
    <x v="0"/>
    <x v="0"/>
    <x v="3"/>
    <x v="3"/>
    <x v="11"/>
    <x v="2"/>
    <n v="-1.35"/>
  </r>
  <r>
    <x v="0"/>
    <x v="0"/>
    <x v="0"/>
    <x v="3"/>
    <x v="3"/>
    <x v="11"/>
    <x v="3"/>
    <n v="-1.35"/>
  </r>
  <r>
    <x v="0"/>
    <x v="0"/>
    <x v="0"/>
    <x v="3"/>
    <x v="3"/>
    <x v="11"/>
    <x v="4"/>
    <n v="-1.35"/>
  </r>
  <r>
    <x v="0"/>
    <x v="0"/>
    <x v="0"/>
    <x v="3"/>
    <x v="3"/>
    <x v="11"/>
    <x v="5"/>
    <n v="-1.35"/>
  </r>
  <r>
    <x v="0"/>
    <x v="0"/>
    <x v="0"/>
    <x v="3"/>
    <x v="3"/>
    <x v="11"/>
    <x v="6"/>
    <n v="-1.35"/>
  </r>
  <r>
    <x v="0"/>
    <x v="0"/>
    <x v="0"/>
    <x v="3"/>
    <x v="3"/>
    <x v="11"/>
    <x v="7"/>
    <n v="-1.35"/>
  </r>
  <r>
    <x v="0"/>
    <x v="0"/>
    <x v="0"/>
    <x v="3"/>
    <x v="3"/>
    <x v="11"/>
    <x v="8"/>
    <n v="-1.35"/>
  </r>
  <r>
    <x v="0"/>
    <x v="0"/>
    <x v="0"/>
    <x v="3"/>
    <x v="3"/>
    <x v="11"/>
    <x v="9"/>
    <n v="-1.35"/>
  </r>
  <r>
    <x v="0"/>
    <x v="0"/>
    <x v="0"/>
    <x v="3"/>
    <x v="3"/>
    <x v="11"/>
    <x v="10"/>
    <n v="-1.35"/>
  </r>
  <r>
    <x v="0"/>
    <x v="0"/>
    <x v="0"/>
    <x v="3"/>
    <x v="3"/>
    <x v="11"/>
    <x v="11"/>
    <n v="-1.35"/>
  </r>
  <r>
    <x v="0"/>
    <x v="0"/>
    <x v="0"/>
    <x v="4"/>
    <x v="4"/>
    <x v="0"/>
    <x v="0"/>
    <n v="-1.78"/>
  </r>
  <r>
    <x v="0"/>
    <x v="0"/>
    <x v="0"/>
    <x v="4"/>
    <x v="4"/>
    <x v="0"/>
    <x v="1"/>
    <n v="-1.78"/>
  </r>
  <r>
    <x v="0"/>
    <x v="0"/>
    <x v="0"/>
    <x v="4"/>
    <x v="4"/>
    <x v="0"/>
    <x v="2"/>
    <n v="-1.78"/>
  </r>
  <r>
    <x v="0"/>
    <x v="0"/>
    <x v="0"/>
    <x v="4"/>
    <x v="4"/>
    <x v="0"/>
    <x v="3"/>
    <n v="-1.78"/>
  </r>
  <r>
    <x v="0"/>
    <x v="0"/>
    <x v="0"/>
    <x v="4"/>
    <x v="4"/>
    <x v="0"/>
    <x v="4"/>
    <n v="-1.78"/>
  </r>
  <r>
    <x v="0"/>
    <x v="0"/>
    <x v="0"/>
    <x v="4"/>
    <x v="4"/>
    <x v="0"/>
    <x v="5"/>
    <n v="-1.78"/>
  </r>
  <r>
    <x v="0"/>
    <x v="0"/>
    <x v="0"/>
    <x v="4"/>
    <x v="4"/>
    <x v="0"/>
    <x v="6"/>
    <n v="-1.78"/>
  </r>
  <r>
    <x v="0"/>
    <x v="0"/>
    <x v="0"/>
    <x v="4"/>
    <x v="4"/>
    <x v="0"/>
    <x v="7"/>
    <n v="-1.78"/>
  </r>
  <r>
    <x v="0"/>
    <x v="0"/>
    <x v="0"/>
    <x v="4"/>
    <x v="4"/>
    <x v="0"/>
    <x v="8"/>
    <n v="-1.78"/>
  </r>
  <r>
    <x v="0"/>
    <x v="0"/>
    <x v="0"/>
    <x v="4"/>
    <x v="4"/>
    <x v="0"/>
    <x v="9"/>
    <n v="-1.78"/>
  </r>
  <r>
    <x v="0"/>
    <x v="0"/>
    <x v="0"/>
    <x v="4"/>
    <x v="4"/>
    <x v="0"/>
    <x v="10"/>
    <n v="-1.78"/>
  </r>
  <r>
    <x v="0"/>
    <x v="0"/>
    <x v="0"/>
    <x v="4"/>
    <x v="4"/>
    <x v="0"/>
    <x v="11"/>
    <n v="-1.78"/>
  </r>
  <r>
    <x v="0"/>
    <x v="0"/>
    <x v="0"/>
    <x v="4"/>
    <x v="4"/>
    <x v="1"/>
    <x v="0"/>
    <n v="-1.78"/>
  </r>
  <r>
    <x v="0"/>
    <x v="0"/>
    <x v="0"/>
    <x v="4"/>
    <x v="4"/>
    <x v="1"/>
    <x v="1"/>
    <n v="-1.78"/>
  </r>
  <r>
    <x v="0"/>
    <x v="0"/>
    <x v="0"/>
    <x v="4"/>
    <x v="4"/>
    <x v="1"/>
    <x v="2"/>
    <n v="-1.78"/>
  </r>
  <r>
    <x v="0"/>
    <x v="0"/>
    <x v="0"/>
    <x v="4"/>
    <x v="4"/>
    <x v="1"/>
    <x v="3"/>
    <n v="-1.78"/>
  </r>
  <r>
    <x v="0"/>
    <x v="0"/>
    <x v="0"/>
    <x v="4"/>
    <x v="4"/>
    <x v="1"/>
    <x v="4"/>
    <n v="-1.78"/>
  </r>
  <r>
    <x v="0"/>
    <x v="0"/>
    <x v="0"/>
    <x v="4"/>
    <x v="4"/>
    <x v="1"/>
    <x v="5"/>
    <n v="-1.78"/>
  </r>
  <r>
    <x v="0"/>
    <x v="0"/>
    <x v="0"/>
    <x v="4"/>
    <x v="4"/>
    <x v="1"/>
    <x v="6"/>
    <n v="-1.78"/>
  </r>
  <r>
    <x v="0"/>
    <x v="0"/>
    <x v="0"/>
    <x v="4"/>
    <x v="4"/>
    <x v="1"/>
    <x v="7"/>
    <n v="-1.78"/>
  </r>
  <r>
    <x v="0"/>
    <x v="0"/>
    <x v="0"/>
    <x v="4"/>
    <x v="4"/>
    <x v="1"/>
    <x v="8"/>
    <n v="-1.78"/>
  </r>
  <r>
    <x v="0"/>
    <x v="0"/>
    <x v="0"/>
    <x v="4"/>
    <x v="4"/>
    <x v="1"/>
    <x v="9"/>
    <n v="-1.78"/>
  </r>
  <r>
    <x v="0"/>
    <x v="0"/>
    <x v="0"/>
    <x v="4"/>
    <x v="4"/>
    <x v="1"/>
    <x v="10"/>
    <n v="-1.78"/>
  </r>
  <r>
    <x v="0"/>
    <x v="0"/>
    <x v="0"/>
    <x v="4"/>
    <x v="4"/>
    <x v="1"/>
    <x v="11"/>
    <n v="-1.78"/>
  </r>
  <r>
    <x v="0"/>
    <x v="0"/>
    <x v="0"/>
    <x v="4"/>
    <x v="4"/>
    <x v="2"/>
    <x v="0"/>
    <n v="-1.78"/>
  </r>
  <r>
    <x v="0"/>
    <x v="0"/>
    <x v="0"/>
    <x v="4"/>
    <x v="4"/>
    <x v="2"/>
    <x v="1"/>
    <n v="-1.78"/>
  </r>
  <r>
    <x v="0"/>
    <x v="0"/>
    <x v="0"/>
    <x v="4"/>
    <x v="4"/>
    <x v="2"/>
    <x v="2"/>
    <n v="-1.78"/>
  </r>
  <r>
    <x v="0"/>
    <x v="0"/>
    <x v="0"/>
    <x v="4"/>
    <x v="4"/>
    <x v="2"/>
    <x v="3"/>
    <n v="-1.78"/>
  </r>
  <r>
    <x v="0"/>
    <x v="0"/>
    <x v="0"/>
    <x v="4"/>
    <x v="4"/>
    <x v="2"/>
    <x v="4"/>
    <n v="-1.78"/>
  </r>
  <r>
    <x v="0"/>
    <x v="0"/>
    <x v="0"/>
    <x v="4"/>
    <x v="4"/>
    <x v="2"/>
    <x v="5"/>
    <n v="-1.78"/>
  </r>
  <r>
    <x v="0"/>
    <x v="0"/>
    <x v="0"/>
    <x v="4"/>
    <x v="4"/>
    <x v="2"/>
    <x v="6"/>
    <n v="-1.78"/>
  </r>
  <r>
    <x v="0"/>
    <x v="0"/>
    <x v="0"/>
    <x v="4"/>
    <x v="4"/>
    <x v="2"/>
    <x v="7"/>
    <n v="-1.78"/>
  </r>
  <r>
    <x v="0"/>
    <x v="0"/>
    <x v="0"/>
    <x v="4"/>
    <x v="4"/>
    <x v="2"/>
    <x v="8"/>
    <n v="-1.78"/>
  </r>
  <r>
    <x v="0"/>
    <x v="0"/>
    <x v="0"/>
    <x v="4"/>
    <x v="4"/>
    <x v="2"/>
    <x v="9"/>
    <n v="-1.78"/>
  </r>
  <r>
    <x v="0"/>
    <x v="0"/>
    <x v="0"/>
    <x v="4"/>
    <x v="4"/>
    <x v="2"/>
    <x v="10"/>
    <n v="-1.78"/>
  </r>
  <r>
    <x v="0"/>
    <x v="0"/>
    <x v="0"/>
    <x v="4"/>
    <x v="4"/>
    <x v="2"/>
    <x v="11"/>
    <n v="-1.78"/>
  </r>
  <r>
    <x v="0"/>
    <x v="0"/>
    <x v="0"/>
    <x v="4"/>
    <x v="4"/>
    <x v="3"/>
    <x v="0"/>
    <n v="-1.78"/>
  </r>
  <r>
    <x v="0"/>
    <x v="0"/>
    <x v="0"/>
    <x v="4"/>
    <x v="4"/>
    <x v="3"/>
    <x v="1"/>
    <n v="-1.78"/>
  </r>
  <r>
    <x v="0"/>
    <x v="0"/>
    <x v="0"/>
    <x v="4"/>
    <x v="4"/>
    <x v="3"/>
    <x v="2"/>
    <n v="-1.78"/>
  </r>
  <r>
    <x v="0"/>
    <x v="0"/>
    <x v="0"/>
    <x v="4"/>
    <x v="4"/>
    <x v="3"/>
    <x v="3"/>
    <n v="-1.78"/>
  </r>
  <r>
    <x v="0"/>
    <x v="0"/>
    <x v="0"/>
    <x v="4"/>
    <x v="4"/>
    <x v="3"/>
    <x v="4"/>
    <n v="-1.78"/>
  </r>
  <r>
    <x v="0"/>
    <x v="0"/>
    <x v="0"/>
    <x v="4"/>
    <x v="4"/>
    <x v="3"/>
    <x v="5"/>
    <n v="-1.78"/>
  </r>
  <r>
    <x v="0"/>
    <x v="0"/>
    <x v="0"/>
    <x v="4"/>
    <x v="4"/>
    <x v="3"/>
    <x v="6"/>
    <n v="-1.78"/>
  </r>
  <r>
    <x v="0"/>
    <x v="0"/>
    <x v="0"/>
    <x v="4"/>
    <x v="4"/>
    <x v="3"/>
    <x v="7"/>
    <n v="-1.78"/>
  </r>
  <r>
    <x v="0"/>
    <x v="0"/>
    <x v="0"/>
    <x v="4"/>
    <x v="4"/>
    <x v="3"/>
    <x v="8"/>
    <n v="-1.78"/>
  </r>
  <r>
    <x v="0"/>
    <x v="0"/>
    <x v="0"/>
    <x v="4"/>
    <x v="4"/>
    <x v="3"/>
    <x v="9"/>
    <n v="-1.78"/>
  </r>
  <r>
    <x v="0"/>
    <x v="0"/>
    <x v="0"/>
    <x v="4"/>
    <x v="4"/>
    <x v="3"/>
    <x v="10"/>
    <n v="-1.78"/>
  </r>
  <r>
    <x v="0"/>
    <x v="0"/>
    <x v="0"/>
    <x v="4"/>
    <x v="4"/>
    <x v="3"/>
    <x v="11"/>
    <n v="-1.78"/>
  </r>
  <r>
    <x v="0"/>
    <x v="0"/>
    <x v="0"/>
    <x v="4"/>
    <x v="4"/>
    <x v="4"/>
    <x v="0"/>
    <n v="-1.78"/>
  </r>
  <r>
    <x v="0"/>
    <x v="0"/>
    <x v="0"/>
    <x v="4"/>
    <x v="4"/>
    <x v="4"/>
    <x v="1"/>
    <n v="-1.78"/>
  </r>
  <r>
    <x v="0"/>
    <x v="0"/>
    <x v="0"/>
    <x v="4"/>
    <x v="4"/>
    <x v="4"/>
    <x v="2"/>
    <n v="-1.78"/>
  </r>
  <r>
    <x v="0"/>
    <x v="0"/>
    <x v="0"/>
    <x v="4"/>
    <x v="4"/>
    <x v="4"/>
    <x v="3"/>
    <n v="-1.78"/>
  </r>
  <r>
    <x v="0"/>
    <x v="0"/>
    <x v="0"/>
    <x v="4"/>
    <x v="4"/>
    <x v="4"/>
    <x v="4"/>
    <n v="-1.78"/>
  </r>
  <r>
    <x v="0"/>
    <x v="0"/>
    <x v="0"/>
    <x v="4"/>
    <x v="4"/>
    <x v="4"/>
    <x v="5"/>
    <n v="-1.78"/>
  </r>
  <r>
    <x v="0"/>
    <x v="0"/>
    <x v="0"/>
    <x v="4"/>
    <x v="4"/>
    <x v="4"/>
    <x v="6"/>
    <n v="-1.78"/>
  </r>
  <r>
    <x v="0"/>
    <x v="0"/>
    <x v="0"/>
    <x v="4"/>
    <x v="4"/>
    <x v="4"/>
    <x v="7"/>
    <n v="-1.78"/>
  </r>
  <r>
    <x v="0"/>
    <x v="0"/>
    <x v="0"/>
    <x v="4"/>
    <x v="4"/>
    <x v="4"/>
    <x v="8"/>
    <n v="-1.78"/>
  </r>
  <r>
    <x v="0"/>
    <x v="0"/>
    <x v="0"/>
    <x v="4"/>
    <x v="4"/>
    <x v="4"/>
    <x v="9"/>
    <n v="-1.78"/>
  </r>
  <r>
    <x v="0"/>
    <x v="0"/>
    <x v="0"/>
    <x v="4"/>
    <x v="4"/>
    <x v="4"/>
    <x v="10"/>
    <n v="-1.78"/>
  </r>
  <r>
    <x v="0"/>
    <x v="0"/>
    <x v="0"/>
    <x v="4"/>
    <x v="4"/>
    <x v="4"/>
    <x v="11"/>
    <n v="-1.78"/>
  </r>
  <r>
    <x v="0"/>
    <x v="0"/>
    <x v="0"/>
    <x v="4"/>
    <x v="4"/>
    <x v="5"/>
    <x v="0"/>
    <n v="-1.78"/>
  </r>
  <r>
    <x v="0"/>
    <x v="0"/>
    <x v="0"/>
    <x v="4"/>
    <x v="4"/>
    <x v="5"/>
    <x v="1"/>
    <n v="-1.78"/>
  </r>
  <r>
    <x v="0"/>
    <x v="0"/>
    <x v="0"/>
    <x v="4"/>
    <x v="4"/>
    <x v="5"/>
    <x v="2"/>
    <n v="-1.78"/>
  </r>
  <r>
    <x v="0"/>
    <x v="0"/>
    <x v="0"/>
    <x v="4"/>
    <x v="4"/>
    <x v="5"/>
    <x v="3"/>
    <n v="-1.78"/>
  </r>
  <r>
    <x v="0"/>
    <x v="0"/>
    <x v="0"/>
    <x v="4"/>
    <x v="4"/>
    <x v="5"/>
    <x v="4"/>
    <n v="-1.78"/>
  </r>
  <r>
    <x v="0"/>
    <x v="0"/>
    <x v="0"/>
    <x v="4"/>
    <x v="4"/>
    <x v="5"/>
    <x v="5"/>
    <n v="-1.78"/>
  </r>
  <r>
    <x v="0"/>
    <x v="0"/>
    <x v="0"/>
    <x v="4"/>
    <x v="4"/>
    <x v="5"/>
    <x v="6"/>
    <n v="-1.78"/>
  </r>
  <r>
    <x v="0"/>
    <x v="0"/>
    <x v="0"/>
    <x v="4"/>
    <x v="4"/>
    <x v="5"/>
    <x v="7"/>
    <n v="-1.78"/>
  </r>
  <r>
    <x v="0"/>
    <x v="0"/>
    <x v="0"/>
    <x v="4"/>
    <x v="4"/>
    <x v="5"/>
    <x v="8"/>
    <n v="-1.78"/>
  </r>
  <r>
    <x v="0"/>
    <x v="0"/>
    <x v="0"/>
    <x v="4"/>
    <x v="4"/>
    <x v="5"/>
    <x v="9"/>
    <n v="-1.78"/>
  </r>
  <r>
    <x v="0"/>
    <x v="0"/>
    <x v="0"/>
    <x v="4"/>
    <x v="4"/>
    <x v="5"/>
    <x v="10"/>
    <n v="-1.78"/>
  </r>
  <r>
    <x v="0"/>
    <x v="0"/>
    <x v="0"/>
    <x v="4"/>
    <x v="4"/>
    <x v="5"/>
    <x v="11"/>
    <n v="-1.78"/>
  </r>
  <r>
    <x v="0"/>
    <x v="0"/>
    <x v="0"/>
    <x v="4"/>
    <x v="4"/>
    <x v="6"/>
    <x v="0"/>
    <n v="-1.78"/>
  </r>
  <r>
    <x v="0"/>
    <x v="0"/>
    <x v="0"/>
    <x v="4"/>
    <x v="4"/>
    <x v="6"/>
    <x v="1"/>
    <n v="-1.78"/>
  </r>
  <r>
    <x v="0"/>
    <x v="0"/>
    <x v="0"/>
    <x v="4"/>
    <x v="4"/>
    <x v="6"/>
    <x v="2"/>
    <n v="-1.78"/>
  </r>
  <r>
    <x v="0"/>
    <x v="0"/>
    <x v="0"/>
    <x v="4"/>
    <x v="4"/>
    <x v="6"/>
    <x v="3"/>
    <n v="-1.78"/>
  </r>
  <r>
    <x v="0"/>
    <x v="0"/>
    <x v="0"/>
    <x v="4"/>
    <x v="4"/>
    <x v="6"/>
    <x v="4"/>
    <n v="-1.78"/>
  </r>
  <r>
    <x v="0"/>
    <x v="0"/>
    <x v="0"/>
    <x v="4"/>
    <x v="4"/>
    <x v="6"/>
    <x v="5"/>
    <n v="-1.78"/>
  </r>
  <r>
    <x v="0"/>
    <x v="0"/>
    <x v="0"/>
    <x v="4"/>
    <x v="4"/>
    <x v="6"/>
    <x v="6"/>
    <n v="-1.78"/>
  </r>
  <r>
    <x v="0"/>
    <x v="0"/>
    <x v="0"/>
    <x v="4"/>
    <x v="4"/>
    <x v="6"/>
    <x v="7"/>
    <n v="-1.78"/>
  </r>
  <r>
    <x v="0"/>
    <x v="0"/>
    <x v="0"/>
    <x v="4"/>
    <x v="4"/>
    <x v="6"/>
    <x v="8"/>
    <n v="-1.78"/>
  </r>
  <r>
    <x v="0"/>
    <x v="0"/>
    <x v="0"/>
    <x v="4"/>
    <x v="4"/>
    <x v="6"/>
    <x v="9"/>
    <n v="-1.78"/>
  </r>
  <r>
    <x v="0"/>
    <x v="0"/>
    <x v="0"/>
    <x v="4"/>
    <x v="4"/>
    <x v="6"/>
    <x v="10"/>
    <n v="-1.78"/>
  </r>
  <r>
    <x v="0"/>
    <x v="0"/>
    <x v="0"/>
    <x v="4"/>
    <x v="4"/>
    <x v="6"/>
    <x v="11"/>
    <n v="-1.78"/>
  </r>
  <r>
    <x v="0"/>
    <x v="0"/>
    <x v="0"/>
    <x v="4"/>
    <x v="4"/>
    <x v="7"/>
    <x v="0"/>
    <n v="-1.78"/>
  </r>
  <r>
    <x v="0"/>
    <x v="0"/>
    <x v="0"/>
    <x v="4"/>
    <x v="4"/>
    <x v="7"/>
    <x v="1"/>
    <n v="-1.78"/>
  </r>
  <r>
    <x v="0"/>
    <x v="0"/>
    <x v="0"/>
    <x v="4"/>
    <x v="4"/>
    <x v="7"/>
    <x v="2"/>
    <n v="-1.78"/>
  </r>
  <r>
    <x v="0"/>
    <x v="0"/>
    <x v="0"/>
    <x v="4"/>
    <x v="4"/>
    <x v="7"/>
    <x v="3"/>
    <n v="-1.78"/>
  </r>
  <r>
    <x v="0"/>
    <x v="0"/>
    <x v="0"/>
    <x v="4"/>
    <x v="4"/>
    <x v="7"/>
    <x v="4"/>
    <n v="-1.78"/>
  </r>
  <r>
    <x v="0"/>
    <x v="0"/>
    <x v="0"/>
    <x v="4"/>
    <x v="4"/>
    <x v="7"/>
    <x v="5"/>
    <n v="-1.78"/>
  </r>
  <r>
    <x v="0"/>
    <x v="0"/>
    <x v="0"/>
    <x v="4"/>
    <x v="4"/>
    <x v="7"/>
    <x v="6"/>
    <n v="-1.78"/>
  </r>
  <r>
    <x v="0"/>
    <x v="0"/>
    <x v="0"/>
    <x v="4"/>
    <x v="4"/>
    <x v="7"/>
    <x v="7"/>
    <n v="-1.78"/>
  </r>
  <r>
    <x v="0"/>
    <x v="0"/>
    <x v="0"/>
    <x v="4"/>
    <x v="4"/>
    <x v="7"/>
    <x v="8"/>
    <n v="-1.78"/>
  </r>
  <r>
    <x v="0"/>
    <x v="0"/>
    <x v="0"/>
    <x v="4"/>
    <x v="4"/>
    <x v="7"/>
    <x v="9"/>
    <n v="-1.78"/>
  </r>
  <r>
    <x v="0"/>
    <x v="0"/>
    <x v="0"/>
    <x v="4"/>
    <x v="4"/>
    <x v="7"/>
    <x v="10"/>
    <n v="-1.78"/>
  </r>
  <r>
    <x v="0"/>
    <x v="0"/>
    <x v="0"/>
    <x v="4"/>
    <x v="4"/>
    <x v="7"/>
    <x v="11"/>
    <n v="-1.78"/>
  </r>
  <r>
    <x v="0"/>
    <x v="0"/>
    <x v="0"/>
    <x v="4"/>
    <x v="4"/>
    <x v="8"/>
    <x v="0"/>
    <n v="-1.78"/>
  </r>
  <r>
    <x v="0"/>
    <x v="0"/>
    <x v="0"/>
    <x v="4"/>
    <x v="4"/>
    <x v="8"/>
    <x v="1"/>
    <n v="-1.78"/>
  </r>
  <r>
    <x v="0"/>
    <x v="0"/>
    <x v="0"/>
    <x v="4"/>
    <x v="4"/>
    <x v="8"/>
    <x v="2"/>
    <n v="-1.78"/>
  </r>
  <r>
    <x v="0"/>
    <x v="0"/>
    <x v="0"/>
    <x v="4"/>
    <x v="4"/>
    <x v="8"/>
    <x v="3"/>
    <n v="-1.78"/>
  </r>
  <r>
    <x v="0"/>
    <x v="0"/>
    <x v="0"/>
    <x v="4"/>
    <x v="4"/>
    <x v="8"/>
    <x v="4"/>
    <n v="-1.78"/>
  </r>
  <r>
    <x v="0"/>
    <x v="0"/>
    <x v="0"/>
    <x v="4"/>
    <x v="4"/>
    <x v="8"/>
    <x v="5"/>
    <n v="-1.78"/>
  </r>
  <r>
    <x v="0"/>
    <x v="0"/>
    <x v="0"/>
    <x v="4"/>
    <x v="4"/>
    <x v="8"/>
    <x v="6"/>
    <n v="-1.78"/>
  </r>
  <r>
    <x v="0"/>
    <x v="0"/>
    <x v="0"/>
    <x v="4"/>
    <x v="4"/>
    <x v="8"/>
    <x v="7"/>
    <n v="-1.78"/>
  </r>
  <r>
    <x v="0"/>
    <x v="0"/>
    <x v="0"/>
    <x v="4"/>
    <x v="4"/>
    <x v="8"/>
    <x v="8"/>
    <n v="-1.78"/>
  </r>
  <r>
    <x v="0"/>
    <x v="0"/>
    <x v="0"/>
    <x v="4"/>
    <x v="4"/>
    <x v="8"/>
    <x v="9"/>
    <n v="-1.78"/>
  </r>
  <r>
    <x v="0"/>
    <x v="0"/>
    <x v="0"/>
    <x v="4"/>
    <x v="4"/>
    <x v="8"/>
    <x v="10"/>
    <n v="-1.78"/>
  </r>
  <r>
    <x v="0"/>
    <x v="0"/>
    <x v="0"/>
    <x v="4"/>
    <x v="4"/>
    <x v="8"/>
    <x v="11"/>
    <n v="-1.78"/>
  </r>
  <r>
    <x v="0"/>
    <x v="0"/>
    <x v="0"/>
    <x v="4"/>
    <x v="4"/>
    <x v="9"/>
    <x v="0"/>
    <n v="-1.78"/>
  </r>
  <r>
    <x v="0"/>
    <x v="0"/>
    <x v="0"/>
    <x v="4"/>
    <x v="4"/>
    <x v="9"/>
    <x v="1"/>
    <n v="-1.78"/>
  </r>
  <r>
    <x v="0"/>
    <x v="0"/>
    <x v="0"/>
    <x v="4"/>
    <x v="4"/>
    <x v="9"/>
    <x v="2"/>
    <n v="-1.78"/>
  </r>
  <r>
    <x v="0"/>
    <x v="0"/>
    <x v="0"/>
    <x v="4"/>
    <x v="4"/>
    <x v="9"/>
    <x v="3"/>
    <n v="-1.78"/>
  </r>
  <r>
    <x v="0"/>
    <x v="0"/>
    <x v="0"/>
    <x v="4"/>
    <x v="4"/>
    <x v="9"/>
    <x v="4"/>
    <n v="-1.78"/>
  </r>
  <r>
    <x v="0"/>
    <x v="0"/>
    <x v="0"/>
    <x v="4"/>
    <x v="4"/>
    <x v="9"/>
    <x v="5"/>
    <n v="-1.78"/>
  </r>
  <r>
    <x v="0"/>
    <x v="0"/>
    <x v="0"/>
    <x v="4"/>
    <x v="4"/>
    <x v="9"/>
    <x v="6"/>
    <n v="-1.78"/>
  </r>
  <r>
    <x v="0"/>
    <x v="0"/>
    <x v="0"/>
    <x v="4"/>
    <x v="4"/>
    <x v="9"/>
    <x v="7"/>
    <n v="-1.78"/>
  </r>
  <r>
    <x v="0"/>
    <x v="0"/>
    <x v="0"/>
    <x v="4"/>
    <x v="4"/>
    <x v="9"/>
    <x v="8"/>
    <n v="-1.78"/>
  </r>
  <r>
    <x v="0"/>
    <x v="0"/>
    <x v="0"/>
    <x v="4"/>
    <x v="4"/>
    <x v="9"/>
    <x v="9"/>
    <n v="-1.78"/>
  </r>
  <r>
    <x v="0"/>
    <x v="0"/>
    <x v="0"/>
    <x v="4"/>
    <x v="4"/>
    <x v="9"/>
    <x v="10"/>
    <n v="-1.78"/>
  </r>
  <r>
    <x v="0"/>
    <x v="0"/>
    <x v="0"/>
    <x v="4"/>
    <x v="4"/>
    <x v="9"/>
    <x v="11"/>
    <n v="-1.78"/>
  </r>
  <r>
    <x v="0"/>
    <x v="0"/>
    <x v="0"/>
    <x v="4"/>
    <x v="4"/>
    <x v="10"/>
    <x v="0"/>
    <n v="-1.78"/>
  </r>
  <r>
    <x v="0"/>
    <x v="0"/>
    <x v="0"/>
    <x v="4"/>
    <x v="4"/>
    <x v="10"/>
    <x v="1"/>
    <n v="-1.78"/>
  </r>
  <r>
    <x v="0"/>
    <x v="0"/>
    <x v="0"/>
    <x v="4"/>
    <x v="4"/>
    <x v="10"/>
    <x v="2"/>
    <n v="-1.78"/>
  </r>
  <r>
    <x v="0"/>
    <x v="0"/>
    <x v="0"/>
    <x v="4"/>
    <x v="4"/>
    <x v="10"/>
    <x v="3"/>
    <n v="-1.78"/>
  </r>
  <r>
    <x v="0"/>
    <x v="0"/>
    <x v="0"/>
    <x v="4"/>
    <x v="4"/>
    <x v="10"/>
    <x v="4"/>
    <n v="-1.78"/>
  </r>
  <r>
    <x v="0"/>
    <x v="0"/>
    <x v="0"/>
    <x v="4"/>
    <x v="4"/>
    <x v="10"/>
    <x v="5"/>
    <n v="-1.78"/>
  </r>
  <r>
    <x v="0"/>
    <x v="0"/>
    <x v="0"/>
    <x v="4"/>
    <x v="4"/>
    <x v="10"/>
    <x v="6"/>
    <n v="-1.78"/>
  </r>
  <r>
    <x v="0"/>
    <x v="0"/>
    <x v="0"/>
    <x v="4"/>
    <x v="4"/>
    <x v="10"/>
    <x v="7"/>
    <n v="-1.78"/>
  </r>
  <r>
    <x v="0"/>
    <x v="0"/>
    <x v="0"/>
    <x v="4"/>
    <x v="4"/>
    <x v="10"/>
    <x v="8"/>
    <n v="-1.78"/>
  </r>
  <r>
    <x v="0"/>
    <x v="0"/>
    <x v="0"/>
    <x v="4"/>
    <x v="4"/>
    <x v="10"/>
    <x v="9"/>
    <n v="-1.78"/>
  </r>
  <r>
    <x v="0"/>
    <x v="0"/>
    <x v="0"/>
    <x v="4"/>
    <x v="4"/>
    <x v="10"/>
    <x v="10"/>
    <n v="-1.78"/>
  </r>
  <r>
    <x v="0"/>
    <x v="0"/>
    <x v="0"/>
    <x v="4"/>
    <x v="4"/>
    <x v="10"/>
    <x v="11"/>
    <n v="-1.78"/>
  </r>
  <r>
    <x v="0"/>
    <x v="0"/>
    <x v="0"/>
    <x v="4"/>
    <x v="4"/>
    <x v="11"/>
    <x v="0"/>
    <n v="-1.78"/>
  </r>
  <r>
    <x v="0"/>
    <x v="0"/>
    <x v="0"/>
    <x v="4"/>
    <x v="4"/>
    <x v="11"/>
    <x v="1"/>
    <n v="-1.78"/>
  </r>
  <r>
    <x v="0"/>
    <x v="0"/>
    <x v="0"/>
    <x v="4"/>
    <x v="4"/>
    <x v="11"/>
    <x v="2"/>
    <n v="-1.78"/>
  </r>
  <r>
    <x v="0"/>
    <x v="0"/>
    <x v="0"/>
    <x v="4"/>
    <x v="4"/>
    <x v="11"/>
    <x v="3"/>
    <n v="-1.78"/>
  </r>
  <r>
    <x v="0"/>
    <x v="0"/>
    <x v="0"/>
    <x v="4"/>
    <x v="4"/>
    <x v="11"/>
    <x v="4"/>
    <n v="-1.78"/>
  </r>
  <r>
    <x v="0"/>
    <x v="0"/>
    <x v="0"/>
    <x v="4"/>
    <x v="4"/>
    <x v="11"/>
    <x v="5"/>
    <n v="-1.78"/>
  </r>
  <r>
    <x v="0"/>
    <x v="0"/>
    <x v="0"/>
    <x v="4"/>
    <x v="4"/>
    <x v="11"/>
    <x v="6"/>
    <n v="-1.78"/>
  </r>
  <r>
    <x v="0"/>
    <x v="0"/>
    <x v="0"/>
    <x v="4"/>
    <x v="4"/>
    <x v="11"/>
    <x v="7"/>
    <n v="-1.78"/>
  </r>
  <r>
    <x v="0"/>
    <x v="0"/>
    <x v="0"/>
    <x v="4"/>
    <x v="4"/>
    <x v="11"/>
    <x v="8"/>
    <n v="-1.78"/>
  </r>
  <r>
    <x v="0"/>
    <x v="0"/>
    <x v="0"/>
    <x v="4"/>
    <x v="4"/>
    <x v="11"/>
    <x v="9"/>
    <n v="-1.78"/>
  </r>
  <r>
    <x v="0"/>
    <x v="0"/>
    <x v="0"/>
    <x v="4"/>
    <x v="4"/>
    <x v="11"/>
    <x v="10"/>
    <n v="-1.78"/>
  </r>
  <r>
    <x v="0"/>
    <x v="0"/>
    <x v="0"/>
    <x v="4"/>
    <x v="4"/>
    <x v="11"/>
    <x v="11"/>
    <n v="-1.78"/>
  </r>
  <r>
    <x v="0"/>
    <x v="0"/>
    <x v="0"/>
    <x v="4"/>
    <x v="0"/>
    <x v="0"/>
    <x v="0"/>
    <n v="-0.58499999999999996"/>
  </r>
  <r>
    <x v="0"/>
    <x v="0"/>
    <x v="0"/>
    <x v="4"/>
    <x v="0"/>
    <x v="0"/>
    <x v="1"/>
    <n v="-0.58499999999999996"/>
  </r>
  <r>
    <x v="0"/>
    <x v="0"/>
    <x v="0"/>
    <x v="4"/>
    <x v="0"/>
    <x v="0"/>
    <x v="2"/>
    <n v="-0.58499999999999996"/>
  </r>
  <r>
    <x v="0"/>
    <x v="0"/>
    <x v="0"/>
    <x v="4"/>
    <x v="0"/>
    <x v="0"/>
    <x v="3"/>
    <n v="-0.58499999999999996"/>
  </r>
  <r>
    <x v="0"/>
    <x v="0"/>
    <x v="0"/>
    <x v="4"/>
    <x v="0"/>
    <x v="0"/>
    <x v="4"/>
    <n v="-0.58499999999999996"/>
  </r>
  <r>
    <x v="0"/>
    <x v="0"/>
    <x v="0"/>
    <x v="4"/>
    <x v="0"/>
    <x v="0"/>
    <x v="5"/>
    <n v="-0.58499999999999996"/>
  </r>
  <r>
    <x v="0"/>
    <x v="0"/>
    <x v="0"/>
    <x v="4"/>
    <x v="0"/>
    <x v="0"/>
    <x v="6"/>
    <n v="-0.58499999999999996"/>
  </r>
  <r>
    <x v="0"/>
    <x v="0"/>
    <x v="0"/>
    <x v="4"/>
    <x v="0"/>
    <x v="0"/>
    <x v="7"/>
    <n v="-0.58499999999999996"/>
  </r>
  <r>
    <x v="0"/>
    <x v="0"/>
    <x v="0"/>
    <x v="4"/>
    <x v="0"/>
    <x v="0"/>
    <x v="8"/>
    <n v="-0.58499999999999996"/>
  </r>
  <r>
    <x v="0"/>
    <x v="0"/>
    <x v="0"/>
    <x v="4"/>
    <x v="0"/>
    <x v="0"/>
    <x v="9"/>
    <n v="-0.58499999999999996"/>
  </r>
  <r>
    <x v="0"/>
    <x v="0"/>
    <x v="0"/>
    <x v="4"/>
    <x v="0"/>
    <x v="0"/>
    <x v="10"/>
    <n v="-0.58499999999999996"/>
  </r>
  <r>
    <x v="0"/>
    <x v="0"/>
    <x v="0"/>
    <x v="4"/>
    <x v="0"/>
    <x v="0"/>
    <x v="11"/>
    <n v="-0.58499999999999996"/>
  </r>
  <r>
    <x v="0"/>
    <x v="0"/>
    <x v="0"/>
    <x v="4"/>
    <x v="0"/>
    <x v="1"/>
    <x v="0"/>
    <n v="-0.58499999999999996"/>
  </r>
  <r>
    <x v="0"/>
    <x v="0"/>
    <x v="0"/>
    <x v="4"/>
    <x v="0"/>
    <x v="1"/>
    <x v="1"/>
    <n v="-0.58499999999999996"/>
  </r>
  <r>
    <x v="0"/>
    <x v="0"/>
    <x v="0"/>
    <x v="4"/>
    <x v="0"/>
    <x v="1"/>
    <x v="2"/>
    <n v="-0.58499999999999996"/>
  </r>
  <r>
    <x v="0"/>
    <x v="0"/>
    <x v="0"/>
    <x v="4"/>
    <x v="0"/>
    <x v="1"/>
    <x v="3"/>
    <n v="-0.58499999999999996"/>
  </r>
  <r>
    <x v="0"/>
    <x v="0"/>
    <x v="0"/>
    <x v="4"/>
    <x v="0"/>
    <x v="1"/>
    <x v="4"/>
    <n v="-0.58499999999999996"/>
  </r>
  <r>
    <x v="0"/>
    <x v="0"/>
    <x v="0"/>
    <x v="4"/>
    <x v="0"/>
    <x v="1"/>
    <x v="5"/>
    <n v="-0.58499999999999996"/>
  </r>
  <r>
    <x v="0"/>
    <x v="0"/>
    <x v="0"/>
    <x v="4"/>
    <x v="0"/>
    <x v="1"/>
    <x v="6"/>
    <n v="-0.58499999999999996"/>
  </r>
  <r>
    <x v="0"/>
    <x v="0"/>
    <x v="0"/>
    <x v="4"/>
    <x v="0"/>
    <x v="1"/>
    <x v="7"/>
    <n v="-0.58499999999999996"/>
  </r>
  <r>
    <x v="0"/>
    <x v="0"/>
    <x v="0"/>
    <x v="4"/>
    <x v="0"/>
    <x v="1"/>
    <x v="8"/>
    <n v="-0.58499999999999996"/>
  </r>
  <r>
    <x v="0"/>
    <x v="0"/>
    <x v="0"/>
    <x v="4"/>
    <x v="0"/>
    <x v="1"/>
    <x v="9"/>
    <n v="-0.58499999999999996"/>
  </r>
  <r>
    <x v="0"/>
    <x v="0"/>
    <x v="0"/>
    <x v="4"/>
    <x v="0"/>
    <x v="1"/>
    <x v="10"/>
    <n v="-0.58499999999999996"/>
  </r>
  <r>
    <x v="0"/>
    <x v="0"/>
    <x v="0"/>
    <x v="4"/>
    <x v="0"/>
    <x v="1"/>
    <x v="11"/>
    <n v="-0.58499999999999996"/>
  </r>
  <r>
    <x v="0"/>
    <x v="0"/>
    <x v="0"/>
    <x v="4"/>
    <x v="0"/>
    <x v="2"/>
    <x v="0"/>
    <n v="-0.58499999999999996"/>
  </r>
  <r>
    <x v="0"/>
    <x v="0"/>
    <x v="0"/>
    <x v="4"/>
    <x v="0"/>
    <x v="2"/>
    <x v="1"/>
    <n v="-0.58499999999999996"/>
  </r>
  <r>
    <x v="0"/>
    <x v="0"/>
    <x v="0"/>
    <x v="4"/>
    <x v="0"/>
    <x v="2"/>
    <x v="2"/>
    <n v="-0.58499999999999996"/>
  </r>
  <r>
    <x v="0"/>
    <x v="0"/>
    <x v="0"/>
    <x v="4"/>
    <x v="0"/>
    <x v="2"/>
    <x v="3"/>
    <n v="-0.58499999999999996"/>
  </r>
  <r>
    <x v="0"/>
    <x v="0"/>
    <x v="0"/>
    <x v="4"/>
    <x v="0"/>
    <x v="2"/>
    <x v="4"/>
    <n v="-0.58499999999999996"/>
  </r>
  <r>
    <x v="0"/>
    <x v="0"/>
    <x v="0"/>
    <x v="4"/>
    <x v="0"/>
    <x v="2"/>
    <x v="5"/>
    <n v="-0.58499999999999996"/>
  </r>
  <r>
    <x v="0"/>
    <x v="0"/>
    <x v="0"/>
    <x v="4"/>
    <x v="0"/>
    <x v="2"/>
    <x v="6"/>
    <n v="-0.58499999999999996"/>
  </r>
  <r>
    <x v="0"/>
    <x v="0"/>
    <x v="0"/>
    <x v="4"/>
    <x v="0"/>
    <x v="2"/>
    <x v="7"/>
    <n v="-0.58499999999999996"/>
  </r>
  <r>
    <x v="0"/>
    <x v="0"/>
    <x v="0"/>
    <x v="4"/>
    <x v="0"/>
    <x v="2"/>
    <x v="8"/>
    <n v="-0.58499999999999996"/>
  </r>
  <r>
    <x v="0"/>
    <x v="0"/>
    <x v="0"/>
    <x v="4"/>
    <x v="0"/>
    <x v="2"/>
    <x v="9"/>
    <n v="-0.58499999999999996"/>
  </r>
  <r>
    <x v="0"/>
    <x v="0"/>
    <x v="0"/>
    <x v="4"/>
    <x v="0"/>
    <x v="2"/>
    <x v="10"/>
    <n v="-0.58499999999999996"/>
  </r>
  <r>
    <x v="0"/>
    <x v="0"/>
    <x v="0"/>
    <x v="4"/>
    <x v="0"/>
    <x v="2"/>
    <x v="11"/>
    <n v="-0.58499999999999996"/>
  </r>
  <r>
    <x v="0"/>
    <x v="0"/>
    <x v="0"/>
    <x v="4"/>
    <x v="0"/>
    <x v="3"/>
    <x v="0"/>
    <n v="-0.58499999999999996"/>
  </r>
  <r>
    <x v="0"/>
    <x v="0"/>
    <x v="0"/>
    <x v="4"/>
    <x v="0"/>
    <x v="3"/>
    <x v="1"/>
    <n v="-0.58499999999999996"/>
  </r>
  <r>
    <x v="0"/>
    <x v="0"/>
    <x v="0"/>
    <x v="4"/>
    <x v="0"/>
    <x v="3"/>
    <x v="2"/>
    <n v="-0.58499999999999996"/>
  </r>
  <r>
    <x v="0"/>
    <x v="0"/>
    <x v="0"/>
    <x v="4"/>
    <x v="0"/>
    <x v="3"/>
    <x v="3"/>
    <n v="-0.58499999999999996"/>
  </r>
  <r>
    <x v="0"/>
    <x v="0"/>
    <x v="0"/>
    <x v="4"/>
    <x v="0"/>
    <x v="3"/>
    <x v="4"/>
    <n v="-0.58499999999999996"/>
  </r>
  <r>
    <x v="0"/>
    <x v="0"/>
    <x v="0"/>
    <x v="4"/>
    <x v="0"/>
    <x v="3"/>
    <x v="5"/>
    <n v="-0.58499999999999996"/>
  </r>
  <r>
    <x v="0"/>
    <x v="0"/>
    <x v="0"/>
    <x v="4"/>
    <x v="0"/>
    <x v="3"/>
    <x v="6"/>
    <n v="-0.58499999999999996"/>
  </r>
  <r>
    <x v="0"/>
    <x v="0"/>
    <x v="0"/>
    <x v="4"/>
    <x v="0"/>
    <x v="3"/>
    <x v="7"/>
    <n v="-0.58499999999999996"/>
  </r>
  <r>
    <x v="0"/>
    <x v="0"/>
    <x v="0"/>
    <x v="4"/>
    <x v="0"/>
    <x v="3"/>
    <x v="8"/>
    <n v="-0.58499999999999996"/>
  </r>
  <r>
    <x v="0"/>
    <x v="0"/>
    <x v="0"/>
    <x v="4"/>
    <x v="0"/>
    <x v="3"/>
    <x v="9"/>
    <n v="-0.58499999999999996"/>
  </r>
  <r>
    <x v="0"/>
    <x v="0"/>
    <x v="0"/>
    <x v="4"/>
    <x v="0"/>
    <x v="3"/>
    <x v="10"/>
    <n v="-0.58499999999999996"/>
  </r>
  <r>
    <x v="0"/>
    <x v="0"/>
    <x v="0"/>
    <x v="4"/>
    <x v="0"/>
    <x v="3"/>
    <x v="11"/>
    <n v="-0.58499999999999996"/>
  </r>
  <r>
    <x v="0"/>
    <x v="0"/>
    <x v="0"/>
    <x v="4"/>
    <x v="0"/>
    <x v="4"/>
    <x v="0"/>
    <n v="-0.58499999999999996"/>
  </r>
  <r>
    <x v="0"/>
    <x v="0"/>
    <x v="0"/>
    <x v="4"/>
    <x v="0"/>
    <x v="4"/>
    <x v="1"/>
    <n v="-0.58499999999999996"/>
  </r>
  <r>
    <x v="0"/>
    <x v="0"/>
    <x v="0"/>
    <x v="4"/>
    <x v="0"/>
    <x v="4"/>
    <x v="2"/>
    <n v="-0.58499999999999996"/>
  </r>
  <r>
    <x v="0"/>
    <x v="0"/>
    <x v="0"/>
    <x v="4"/>
    <x v="0"/>
    <x v="4"/>
    <x v="3"/>
    <n v="-0.58499999999999996"/>
  </r>
  <r>
    <x v="0"/>
    <x v="0"/>
    <x v="0"/>
    <x v="4"/>
    <x v="0"/>
    <x v="4"/>
    <x v="4"/>
    <n v="-0.58499999999999996"/>
  </r>
  <r>
    <x v="0"/>
    <x v="0"/>
    <x v="0"/>
    <x v="4"/>
    <x v="0"/>
    <x v="4"/>
    <x v="5"/>
    <n v="-0.58499999999999996"/>
  </r>
  <r>
    <x v="0"/>
    <x v="0"/>
    <x v="0"/>
    <x v="4"/>
    <x v="0"/>
    <x v="4"/>
    <x v="6"/>
    <n v="-0.58499999999999996"/>
  </r>
  <r>
    <x v="0"/>
    <x v="0"/>
    <x v="0"/>
    <x v="4"/>
    <x v="0"/>
    <x v="4"/>
    <x v="7"/>
    <n v="-0.58499999999999996"/>
  </r>
  <r>
    <x v="0"/>
    <x v="0"/>
    <x v="0"/>
    <x v="4"/>
    <x v="0"/>
    <x v="4"/>
    <x v="8"/>
    <n v="-0.58499999999999996"/>
  </r>
  <r>
    <x v="0"/>
    <x v="0"/>
    <x v="0"/>
    <x v="4"/>
    <x v="0"/>
    <x v="4"/>
    <x v="9"/>
    <n v="-0.58499999999999996"/>
  </r>
  <r>
    <x v="0"/>
    <x v="0"/>
    <x v="0"/>
    <x v="4"/>
    <x v="0"/>
    <x v="4"/>
    <x v="10"/>
    <n v="-0.58499999999999996"/>
  </r>
  <r>
    <x v="0"/>
    <x v="0"/>
    <x v="0"/>
    <x v="4"/>
    <x v="0"/>
    <x v="4"/>
    <x v="11"/>
    <n v="-0.58499999999999996"/>
  </r>
  <r>
    <x v="0"/>
    <x v="0"/>
    <x v="0"/>
    <x v="4"/>
    <x v="0"/>
    <x v="5"/>
    <x v="0"/>
    <n v="-0.58499999999999996"/>
  </r>
  <r>
    <x v="0"/>
    <x v="0"/>
    <x v="0"/>
    <x v="4"/>
    <x v="0"/>
    <x v="5"/>
    <x v="1"/>
    <n v="-0.58499999999999996"/>
  </r>
  <r>
    <x v="0"/>
    <x v="0"/>
    <x v="0"/>
    <x v="4"/>
    <x v="0"/>
    <x v="5"/>
    <x v="2"/>
    <n v="-0.58499999999999996"/>
  </r>
  <r>
    <x v="0"/>
    <x v="0"/>
    <x v="0"/>
    <x v="4"/>
    <x v="0"/>
    <x v="5"/>
    <x v="3"/>
    <n v="-0.58499999999999996"/>
  </r>
  <r>
    <x v="0"/>
    <x v="0"/>
    <x v="0"/>
    <x v="4"/>
    <x v="0"/>
    <x v="5"/>
    <x v="4"/>
    <n v="-0.58499999999999996"/>
  </r>
  <r>
    <x v="0"/>
    <x v="0"/>
    <x v="0"/>
    <x v="4"/>
    <x v="0"/>
    <x v="5"/>
    <x v="5"/>
    <n v="-0.58499999999999996"/>
  </r>
  <r>
    <x v="0"/>
    <x v="0"/>
    <x v="0"/>
    <x v="4"/>
    <x v="0"/>
    <x v="5"/>
    <x v="6"/>
    <n v="-0.58499999999999996"/>
  </r>
  <r>
    <x v="0"/>
    <x v="0"/>
    <x v="0"/>
    <x v="4"/>
    <x v="0"/>
    <x v="5"/>
    <x v="7"/>
    <n v="-0.58499999999999996"/>
  </r>
  <r>
    <x v="0"/>
    <x v="0"/>
    <x v="0"/>
    <x v="4"/>
    <x v="0"/>
    <x v="5"/>
    <x v="8"/>
    <n v="-0.58499999999999996"/>
  </r>
  <r>
    <x v="0"/>
    <x v="0"/>
    <x v="0"/>
    <x v="4"/>
    <x v="0"/>
    <x v="5"/>
    <x v="9"/>
    <n v="-0.58499999999999996"/>
  </r>
  <r>
    <x v="0"/>
    <x v="0"/>
    <x v="0"/>
    <x v="4"/>
    <x v="0"/>
    <x v="5"/>
    <x v="10"/>
    <n v="-0.58499999999999996"/>
  </r>
  <r>
    <x v="0"/>
    <x v="0"/>
    <x v="0"/>
    <x v="4"/>
    <x v="0"/>
    <x v="5"/>
    <x v="11"/>
    <n v="-0.58499999999999996"/>
  </r>
  <r>
    <x v="0"/>
    <x v="0"/>
    <x v="0"/>
    <x v="4"/>
    <x v="0"/>
    <x v="6"/>
    <x v="0"/>
    <n v="-0.58499999999999996"/>
  </r>
  <r>
    <x v="0"/>
    <x v="0"/>
    <x v="0"/>
    <x v="4"/>
    <x v="0"/>
    <x v="6"/>
    <x v="1"/>
    <n v="-0.58499999999999996"/>
  </r>
  <r>
    <x v="0"/>
    <x v="0"/>
    <x v="0"/>
    <x v="4"/>
    <x v="0"/>
    <x v="6"/>
    <x v="2"/>
    <n v="-0.58499999999999996"/>
  </r>
  <r>
    <x v="0"/>
    <x v="0"/>
    <x v="0"/>
    <x v="4"/>
    <x v="0"/>
    <x v="6"/>
    <x v="3"/>
    <n v="-0.58499999999999996"/>
  </r>
  <r>
    <x v="0"/>
    <x v="0"/>
    <x v="0"/>
    <x v="4"/>
    <x v="0"/>
    <x v="6"/>
    <x v="4"/>
    <n v="-0.58499999999999996"/>
  </r>
  <r>
    <x v="0"/>
    <x v="0"/>
    <x v="0"/>
    <x v="4"/>
    <x v="0"/>
    <x v="6"/>
    <x v="5"/>
    <n v="-0.58499999999999996"/>
  </r>
  <r>
    <x v="0"/>
    <x v="0"/>
    <x v="0"/>
    <x v="4"/>
    <x v="0"/>
    <x v="6"/>
    <x v="6"/>
    <n v="-0.58499999999999996"/>
  </r>
  <r>
    <x v="0"/>
    <x v="0"/>
    <x v="0"/>
    <x v="4"/>
    <x v="0"/>
    <x v="6"/>
    <x v="7"/>
    <n v="-0.58499999999999996"/>
  </r>
  <r>
    <x v="0"/>
    <x v="0"/>
    <x v="0"/>
    <x v="4"/>
    <x v="0"/>
    <x v="6"/>
    <x v="8"/>
    <n v="-0.58499999999999996"/>
  </r>
  <r>
    <x v="0"/>
    <x v="0"/>
    <x v="0"/>
    <x v="4"/>
    <x v="0"/>
    <x v="6"/>
    <x v="9"/>
    <n v="-0.58499999999999996"/>
  </r>
  <r>
    <x v="0"/>
    <x v="0"/>
    <x v="0"/>
    <x v="4"/>
    <x v="0"/>
    <x v="6"/>
    <x v="10"/>
    <n v="-0.58499999999999996"/>
  </r>
  <r>
    <x v="0"/>
    <x v="0"/>
    <x v="0"/>
    <x v="4"/>
    <x v="0"/>
    <x v="6"/>
    <x v="11"/>
    <n v="-0.58499999999999996"/>
  </r>
  <r>
    <x v="0"/>
    <x v="0"/>
    <x v="0"/>
    <x v="4"/>
    <x v="0"/>
    <x v="7"/>
    <x v="0"/>
    <n v="-0.58499999999999996"/>
  </r>
  <r>
    <x v="0"/>
    <x v="0"/>
    <x v="0"/>
    <x v="4"/>
    <x v="0"/>
    <x v="7"/>
    <x v="1"/>
    <n v="-0.58499999999999996"/>
  </r>
  <r>
    <x v="0"/>
    <x v="0"/>
    <x v="0"/>
    <x v="4"/>
    <x v="0"/>
    <x v="7"/>
    <x v="2"/>
    <n v="-0.58499999999999996"/>
  </r>
  <r>
    <x v="0"/>
    <x v="0"/>
    <x v="0"/>
    <x v="4"/>
    <x v="0"/>
    <x v="7"/>
    <x v="3"/>
    <n v="-0.58499999999999996"/>
  </r>
  <r>
    <x v="0"/>
    <x v="0"/>
    <x v="0"/>
    <x v="4"/>
    <x v="0"/>
    <x v="7"/>
    <x v="4"/>
    <n v="-0.58499999999999996"/>
  </r>
  <r>
    <x v="0"/>
    <x v="0"/>
    <x v="0"/>
    <x v="4"/>
    <x v="0"/>
    <x v="7"/>
    <x v="5"/>
    <n v="-0.58499999999999996"/>
  </r>
  <r>
    <x v="0"/>
    <x v="0"/>
    <x v="0"/>
    <x v="4"/>
    <x v="0"/>
    <x v="7"/>
    <x v="6"/>
    <n v="-0.58499999999999996"/>
  </r>
  <r>
    <x v="0"/>
    <x v="0"/>
    <x v="0"/>
    <x v="4"/>
    <x v="0"/>
    <x v="7"/>
    <x v="7"/>
    <n v="-0.58499999999999996"/>
  </r>
  <r>
    <x v="0"/>
    <x v="0"/>
    <x v="0"/>
    <x v="4"/>
    <x v="0"/>
    <x v="7"/>
    <x v="8"/>
    <n v="-0.58499999999999996"/>
  </r>
  <r>
    <x v="0"/>
    <x v="0"/>
    <x v="0"/>
    <x v="4"/>
    <x v="0"/>
    <x v="7"/>
    <x v="9"/>
    <n v="-0.58499999999999996"/>
  </r>
  <r>
    <x v="0"/>
    <x v="0"/>
    <x v="0"/>
    <x v="4"/>
    <x v="0"/>
    <x v="7"/>
    <x v="10"/>
    <n v="-0.58499999999999996"/>
  </r>
  <r>
    <x v="0"/>
    <x v="0"/>
    <x v="0"/>
    <x v="4"/>
    <x v="0"/>
    <x v="7"/>
    <x v="11"/>
    <n v="-0.58499999999999996"/>
  </r>
  <r>
    <x v="0"/>
    <x v="0"/>
    <x v="0"/>
    <x v="4"/>
    <x v="0"/>
    <x v="8"/>
    <x v="0"/>
    <n v="-0.58499999999999996"/>
  </r>
  <r>
    <x v="0"/>
    <x v="0"/>
    <x v="0"/>
    <x v="4"/>
    <x v="0"/>
    <x v="8"/>
    <x v="1"/>
    <n v="-0.58499999999999996"/>
  </r>
  <r>
    <x v="0"/>
    <x v="0"/>
    <x v="0"/>
    <x v="4"/>
    <x v="0"/>
    <x v="8"/>
    <x v="2"/>
    <n v="-0.58499999999999996"/>
  </r>
  <r>
    <x v="0"/>
    <x v="0"/>
    <x v="0"/>
    <x v="4"/>
    <x v="0"/>
    <x v="8"/>
    <x v="3"/>
    <n v="-0.58499999999999996"/>
  </r>
  <r>
    <x v="0"/>
    <x v="0"/>
    <x v="0"/>
    <x v="4"/>
    <x v="0"/>
    <x v="8"/>
    <x v="4"/>
    <n v="-0.58499999999999996"/>
  </r>
  <r>
    <x v="0"/>
    <x v="0"/>
    <x v="0"/>
    <x v="4"/>
    <x v="0"/>
    <x v="8"/>
    <x v="5"/>
    <n v="-0.58499999999999996"/>
  </r>
  <r>
    <x v="0"/>
    <x v="0"/>
    <x v="0"/>
    <x v="4"/>
    <x v="0"/>
    <x v="8"/>
    <x v="6"/>
    <n v="-0.58499999999999996"/>
  </r>
  <r>
    <x v="0"/>
    <x v="0"/>
    <x v="0"/>
    <x v="4"/>
    <x v="0"/>
    <x v="8"/>
    <x v="7"/>
    <n v="-0.58499999999999996"/>
  </r>
  <r>
    <x v="0"/>
    <x v="0"/>
    <x v="0"/>
    <x v="4"/>
    <x v="0"/>
    <x v="8"/>
    <x v="8"/>
    <n v="-0.58499999999999996"/>
  </r>
  <r>
    <x v="0"/>
    <x v="0"/>
    <x v="0"/>
    <x v="4"/>
    <x v="0"/>
    <x v="8"/>
    <x v="9"/>
    <n v="-0.58499999999999996"/>
  </r>
  <r>
    <x v="0"/>
    <x v="0"/>
    <x v="0"/>
    <x v="4"/>
    <x v="0"/>
    <x v="8"/>
    <x v="10"/>
    <n v="-0.58499999999999996"/>
  </r>
  <r>
    <x v="0"/>
    <x v="0"/>
    <x v="0"/>
    <x v="4"/>
    <x v="0"/>
    <x v="8"/>
    <x v="11"/>
    <n v="-0.58499999999999996"/>
  </r>
  <r>
    <x v="0"/>
    <x v="0"/>
    <x v="0"/>
    <x v="4"/>
    <x v="0"/>
    <x v="9"/>
    <x v="0"/>
    <n v="-0.58499999999999996"/>
  </r>
  <r>
    <x v="0"/>
    <x v="0"/>
    <x v="0"/>
    <x v="4"/>
    <x v="0"/>
    <x v="9"/>
    <x v="1"/>
    <n v="-0.58499999999999996"/>
  </r>
  <r>
    <x v="0"/>
    <x v="0"/>
    <x v="0"/>
    <x v="4"/>
    <x v="0"/>
    <x v="9"/>
    <x v="2"/>
    <n v="-0.58499999999999996"/>
  </r>
  <r>
    <x v="0"/>
    <x v="0"/>
    <x v="0"/>
    <x v="4"/>
    <x v="0"/>
    <x v="9"/>
    <x v="3"/>
    <n v="-0.58499999999999996"/>
  </r>
  <r>
    <x v="0"/>
    <x v="0"/>
    <x v="0"/>
    <x v="4"/>
    <x v="0"/>
    <x v="9"/>
    <x v="4"/>
    <n v="-0.58499999999999996"/>
  </r>
  <r>
    <x v="0"/>
    <x v="0"/>
    <x v="0"/>
    <x v="4"/>
    <x v="0"/>
    <x v="9"/>
    <x v="5"/>
    <n v="-0.58499999999999996"/>
  </r>
  <r>
    <x v="0"/>
    <x v="0"/>
    <x v="0"/>
    <x v="4"/>
    <x v="0"/>
    <x v="9"/>
    <x v="6"/>
    <n v="-0.58499999999999996"/>
  </r>
  <r>
    <x v="0"/>
    <x v="0"/>
    <x v="0"/>
    <x v="4"/>
    <x v="0"/>
    <x v="9"/>
    <x v="7"/>
    <n v="-0.58499999999999996"/>
  </r>
  <r>
    <x v="0"/>
    <x v="0"/>
    <x v="0"/>
    <x v="4"/>
    <x v="0"/>
    <x v="9"/>
    <x v="8"/>
    <n v="-0.58499999999999996"/>
  </r>
  <r>
    <x v="0"/>
    <x v="0"/>
    <x v="0"/>
    <x v="4"/>
    <x v="0"/>
    <x v="9"/>
    <x v="9"/>
    <n v="-0.58499999999999996"/>
  </r>
  <r>
    <x v="0"/>
    <x v="0"/>
    <x v="0"/>
    <x v="4"/>
    <x v="0"/>
    <x v="9"/>
    <x v="10"/>
    <n v="-0.58499999999999996"/>
  </r>
  <r>
    <x v="0"/>
    <x v="0"/>
    <x v="0"/>
    <x v="4"/>
    <x v="0"/>
    <x v="9"/>
    <x v="11"/>
    <n v="-0.58499999999999996"/>
  </r>
  <r>
    <x v="0"/>
    <x v="0"/>
    <x v="0"/>
    <x v="4"/>
    <x v="0"/>
    <x v="10"/>
    <x v="0"/>
    <n v="-0.58499999999999996"/>
  </r>
  <r>
    <x v="0"/>
    <x v="0"/>
    <x v="0"/>
    <x v="4"/>
    <x v="0"/>
    <x v="10"/>
    <x v="1"/>
    <n v="-0.58499999999999996"/>
  </r>
  <r>
    <x v="0"/>
    <x v="0"/>
    <x v="0"/>
    <x v="4"/>
    <x v="0"/>
    <x v="10"/>
    <x v="2"/>
    <n v="-0.58499999999999996"/>
  </r>
  <r>
    <x v="0"/>
    <x v="0"/>
    <x v="0"/>
    <x v="4"/>
    <x v="0"/>
    <x v="10"/>
    <x v="3"/>
    <n v="-0.58499999999999996"/>
  </r>
  <r>
    <x v="0"/>
    <x v="0"/>
    <x v="0"/>
    <x v="4"/>
    <x v="0"/>
    <x v="10"/>
    <x v="4"/>
    <n v="-0.58499999999999996"/>
  </r>
  <r>
    <x v="0"/>
    <x v="0"/>
    <x v="0"/>
    <x v="4"/>
    <x v="0"/>
    <x v="10"/>
    <x v="5"/>
    <n v="-0.58499999999999996"/>
  </r>
  <r>
    <x v="0"/>
    <x v="0"/>
    <x v="0"/>
    <x v="4"/>
    <x v="0"/>
    <x v="10"/>
    <x v="6"/>
    <n v="-0.58499999999999996"/>
  </r>
  <r>
    <x v="0"/>
    <x v="0"/>
    <x v="0"/>
    <x v="4"/>
    <x v="0"/>
    <x v="10"/>
    <x v="7"/>
    <n v="-0.58499999999999996"/>
  </r>
  <r>
    <x v="0"/>
    <x v="0"/>
    <x v="0"/>
    <x v="4"/>
    <x v="0"/>
    <x v="10"/>
    <x v="8"/>
    <n v="-0.58499999999999996"/>
  </r>
  <r>
    <x v="0"/>
    <x v="0"/>
    <x v="0"/>
    <x v="4"/>
    <x v="0"/>
    <x v="10"/>
    <x v="9"/>
    <n v="-0.58499999999999996"/>
  </r>
  <r>
    <x v="0"/>
    <x v="0"/>
    <x v="0"/>
    <x v="4"/>
    <x v="0"/>
    <x v="10"/>
    <x v="10"/>
    <n v="-0.58499999999999996"/>
  </r>
  <r>
    <x v="0"/>
    <x v="0"/>
    <x v="0"/>
    <x v="4"/>
    <x v="0"/>
    <x v="10"/>
    <x v="11"/>
    <n v="-0.58499999999999996"/>
  </r>
  <r>
    <x v="0"/>
    <x v="0"/>
    <x v="0"/>
    <x v="4"/>
    <x v="0"/>
    <x v="11"/>
    <x v="0"/>
    <n v="-0.58499999999999996"/>
  </r>
  <r>
    <x v="0"/>
    <x v="0"/>
    <x v="0"/>
    <x v="4"/>
    <x v="0"/>
    <x v="11"/>
    <x v="1"/>
    <n v="-0.58499999999999996"/>
  </r>
  <r>
    <x v="0"/>
    <x v="0"/>
    <x v="0"/>
    <x v="4"/>
    <x v="0"/>
    <x v="11"/>
    <x v="2"/>
    <n v="-0.58499999999999996"/>
  </r>
  <r>
    <x v="0"/>
    <x v="0"/>
    <x v="0"/>
    <x v="4"/>
    <x v="0"/>
    <x v="11"/>
    <x v="3"/>
    <n v="-0.58499999999999996"/>
  </r>
  <r>
    <x v="0"/>
    <x v="0"/>
    <x v="0"/>
    <x v="4"/>
    <x v="0"/>
    <x v="11"/>
    <x v="4"/>
    <n v="-0.58499999999999996"/>
  </r>
  <r>
    <x v="0"/>
    <x v="0"/>
    <x v="0"/>
    <x v="4"/>
    <x v="0"/>
    <x v="11"/>
    <x v="5"/>
    <n v="-0.58499999999999996"/>
  </r>
  <r>
    <x v="0"/>
    <x v="0"/>
    <x v="0"/>
    <x v="4"/>
    <x v="0"/>
    <x v="11"/>
    <x v="6"/>
    <n v="-0.58499999999999996"/>
  </r>
  <r>
    <x v="0"/>
    <x v="0"/>
    <x v="0"/>
    <x v="4"/>
    <x v="0"/>
    <x v="11"/>
    <x v="7"/>
    <n v="-0.58499999999999996"/>
  </r>
  <r>
    <x v="0"/>
    <x v="0"/>
    <x v="0"/>
    <x v="4"/>
    <x v="0"/>
    <x v="11"/>
    <x v="8"/>
    <n v="-0.58499999999999996"/>
  </r>
  <r>
    <x v="0"/>
    <x v="0"/>
    <x v="0"/>
    <x v="4"/>
    <x v="0"/>
    <x v="11"/>
    <x v="9"/>
    <n v="-0.58499999999999996"/>
  </r>
  <r>
    <x v="0"/>
    <x v="0"/>
    <x v="0"/>
    <x v="4"/>
    <x v="0"/>
    <x v="11"/>
    <x v="10"/>
    <n v="-0.58499999999999996"/>
  </r>
  <r>
    <x v="0"/>
    <x v="0"/>
    <x v="0"/>
    <x v="4"/>
    <x v="0"/>
    <x v="11"/>
    <x v="11"/>
    <n v="-0.58499999999999996"/>
  </r>
  <r>
    <x v="0"/>
    <x v="0"/>
    <x v="0"/>
    <x v="4"/>
    <x v="10"/>
    <x v="0"/>
    <x v="0"/>
    <n v="0"/>
  </r>
  <r>
    <x v="0"/>
    <x v="0"/>
    <x v="0"/>
    <x v="4"/>
    <x v="10"/>
    <x v="0"/>
    <x v="1"/>
    <n v="0"/>
  </r>
  <r>
    <x v="0"/>
    <x v="0"/>
    <x v="0"/>
    <x v="4"/>
    <x v="10"/>
    <x v="0"/>
    <x v="2"/>
    <n v="0"/>
  </r>
  <r>
    <x v="0"/>
    <x v="0"/>
    <x v="0"/>
    <x v="4"/>
    <x v="10"/>
    <x v="0"/>
    <x v="3"/>
    <n v="0"/>
  </r>
  <r>
    <x v="0"/>
    <x v="0"/>
    <x v="0"/>
    <x v="4"/>
    <x v="10"/>
    <x v="0"/>
    <x v="4"/>
    <n v="0"/>
  </r>
  <r>
    <x v="0"/>
    <x v="0"/>
    <x v="0"/>
    <x v="4"/>
    <x v="10"/>
    <x v="0"/>
    <x v="5"/>
    <n v="0"/>
  </r>
  <r>
    <x v="0"/>
    <x v="0"/>
    <x v="0"/>
    <x v="4"/>
    <x v="10"/>
    <x v="0"/>
    <x v="6"/>
    <n v="0"/>
  </r>
  <r>
    <x v="0"/>
    <x v="0"/>
    <x v="0"/>
    <x v="4"/>
    <x v="10"/>
    <x v="0"/>
    <x v="7"/>
    <n v="0"/>
  </r>
  <r>
    <x v="0"/>
    <x v="0"/>
    <x v="0"/>
    <x v="4"/>
    <x v="10"/>
    <x v="0"/>
    <x v="8"/>
    <n v="0"/>
  </r>
  <r>
    <x v="0"/>
    <x v="0"/>
    <x v="0"/>
    <x v="4"/>
    <x v="10"/>
    <x v="0"/>
    <x v="9"/>
    <n v="0"/>
  </r>
  <r>
    <x v="0"/>
    <x v="0"/>
    <x v="0"/>
    <x v="4"/>
    <x v="10"/>
    <x v="0"/>
    <x v="10"/>
    <n v="0"/>
  </r>
  <r>
    <x v="0"/>
    <x v="0"/>
    <x v="0"/>
    <x v="4"/>
    <x v="10"/>
    <x v="0"/>
    <x v="11"/>
    <n v="0"/>
  </r>
  <r>
    <x v="0"/>
    <x v="0"/>
    <x v="0"/>
    <x v="4"/>
    <x v="10"/>
    <x v="1"/>
    <x v="0"/>
    <n v="0"/>
  </r>
  <r>
    <x v="0"/>
    <x v="0"/>
    <x v="0"/>
    <x v="4"/>
    <x v="10"/>
    <x v="1"/>
    <x v="1"/>
    <n v="0"/>
  </r>
  <r>
    <x v="0"/>
    <x v="0"/>
    <x v="0"/>
    <x v="4"/>
    <x v="10"/>
    <x v="1"/>
    <x v="2"/>
    <n v="0"/>
  </r>
  <r>
    <x v="0"/>
    <x v="0"/>
    <x v="0"/>
    <x v="4"/>
    <x v="10"/>
    <x v="1"/>
    <x v="3"/>
    <n v="0"/>
  </r>
  <r>
    <x v="0"/>
    <x v="0"/>
    <x v="0"/>
    <x v="4"/>
    <x v="10"/>
    <x v="1"/>
    <x v="4"/>
    <n v="0"/>
  </r>
  <r>
    <x v="0"/>
    <x v="0"/>
    <x v="0"/>
    <x v="4"/>
    <x v="10"/>
    <x v="1"/>
    <x v="5"/>
    <n v="0"/>
  </r>
  <r>
    <x v="0"/>
    <x v="0"/>
    <x v="0"/>
    <x v="4"/>
    <x v="10"/>
    <x v="1"/>
    <x v="6"/>
    <n v="0"/>
  </r>
  <r>
    <x v="0"/>
    <x v="0"/>
    <x v="0"/>
    <x v="4"/>
    <x v="10"/>
    <x v="1"/>
    <x v="7"/>
    <n v="0"/>
  </r>
  <r>
    <x v="0"/>
    <x v="0"/>
    <x v="0"/>
    <x v="4"/>
    <x v="10"/>
    <x v="1"/>
    <x v="8"/>
    <n v="0"/>
  </r>
  <r>
    <x v="0"/>
    <x v="0"/>
    <x v="0"/>
    <x v="4"/>
    <x v="10"/>
    <x v="1"/>
    <x v="9"/>
    <n v="0"/>
  </r>
  <r>
    <x v="0"/>
    <x v="0"/>
    <x v="0"/>
    <x v="4"/>
    <x v="10"/>
    <x v="1"/>
    <x v="10"/>
    <n v="0"/>
  </r>
  <r>
    <x v="0"/>
    <x v="0"/>
    <x v="0"/>
    <x v="4"/>
    <x v="10"/>
    <x v="1"/>
    <x v="11"/>
    <n v="0"/>
  </r>
  <r>
    <x v="0"/>
    <x v="0"/>
    <x v="0"/>
    <x v="4"/>
    <x v="10"/>
    <x v="2"/>
    <x v="0"/>
    <n v="0"/>
  </r>
  <r>
    <x v="0"/>
    <x v="0"/>
    <x v="0"/>
    <x v="4"/>
    <x v="10"/>
    <x v="2"/>
    <x v="1"/>
    <n v="0"/>
  </r>
  <r>
    <x v="0"/>
    <x v="0"/>
    <x v="0"/>
    <x v="4"/>
    <x v="10"/>
    <x v="2"/>
    <x v="2"/>
    <n v="0"/>
  </r>
  <r>
    <x v="0"/>
    <x v="0"/>
    <x v="0"/>
    <x v="4"/>
    <x v="10"/>
    <x v="2"/>
    <x v="3"/>
    <n v="0"/>
  </r>
  <r>
    <x v="0"/>
    <x v="0"/>
    <x v="0"/>
    <x v="4"/>
    <x v="10"/>
    <x v="2"/>
    <x v="4"/>
    <n v="0"/>
  </r>
  <r>
    <x v="0"/>
    <x v="0"/>
    <x v="0"/>
    <x v="4"/>
    <x v="10"/>
    <x v="2"/>
    <x v="5"/>
    <n v="0"/>
  </r>
  <r>
    <x v="0"/>
    <x v="0"/>
    <x v="0"/>
    <x v="4"/>
    <x v="10"/>
    <x v="2"/>
    <x v="6"/>
    <n v="0"/>
  </r>
  <r>
    <x v="0"/>
    <x v="0"/>
    <x v="0"/>
    <x v="4"/>
    <x v="10"/>
    <x v="2"/>
    <x v="7"/>
    <n v="0"/>
  </r>
  <r>
    <x v="0"/>
    <x v="0"/>
    <x v="0"/>
    <x v="4"/>
    <x v="10"/>
    <x v="2"/>
    <x v="8"/>
    <n v="0"/>
  </r>
  <r>
    <x v="0"/>
    <x v="0"/>
    <x v="0"/>
    <x v="4"/>
    <x v="10"/>
    <x v="2"/>
    <x v="9"/>
    <n v="0"/>
  </r>
  <r>
    <x v="0"/>
    <x v="0"/>
    <x v="0"/>
    <x v="4"/>
    <x v="10"/>
    <x v="2"/>
    <x v="10"/>
    <n v="0"/>
  </r>
  <r>
    <x v="0"/>
    <x v="0"/>
    <x v="0"/>
    <x v="4"/>
    <x v="10"/>
    <x v="2"/>
    <x v="11"/>
    <n v="0"/>
  </r>
  <r>
    <x v="0"/>
    <x v="0"/>
    <x v="0"/>
    <x v="4"/>
    <x v="10"/>
    <x v="3"/>
    <x v="0"/>
    <n v="0"/>
  </r>
  <r>
    <x v="0"/>
    <x v="0"/>
    <x v="0"/>
    <x v="4"/>
    <x v="10"/>
    <x v="3"/>
    <x v="1"/>
    <n v="0"/>
  </r>
  <r>
    <x v="0"/>
    <x v="0"/>
    <x v="0"/>
    <x v="4"/>
    <x v="10"/>
    <x v="3"/>
    <x v="2"/>
    <n v="0"/>
  </r>
  <r>
    <x v="0"/>
    <x v="0"/>
    <x v="0"/>
    <x v="4"/>
    <x v="10"/>
    <x v="3"/>
    <x v="3"/>
    <n v="0"/>
  </r>
  <r>
    <x v="0"/>
    <x v="0"/>
    <x v="0"/>
    <x v="4"/>
    <x v="10"/>
    <x v="3"/>
    <x v="4"/>
    <n v="0"/>
  </r>
  <r>
    <x v="0"/>
    <x v="0"/>
    <x v="0"/>
    <x v="4"/>
    <x v="10"/>
    <x v="3"/>
    <x v="5"/>
    <n v="0"/>
  </r>
  <r>
    <x v="0"/>
    <x v="0"/>
    <x v="0"/>
    <x v="4"/>
    <x v="10"/>
    <x v="3"/>
    <x v="6"/>
    <n v="0"/>
  </r>
  <r>
    <x v="0"/>
    <x v="0"/>
    <x v="0"/>
    <x v="4"/>
    <x v="10"/>
    <x v="3"/>
    <x v="7"/>
    <n v="0"/>
  </r>
  <r>
    <x v="0"/>
    <x v="0"/>
    <x v="0"/>
    <x v="4"/>
    <x v="10"/>
    <x v="3"/>
    <x v="8"/>
    <n v="0"/>
  </r>
  <r>
    <x v="0"/>
    <x v="0"/>
    <x v="0"/>
    <x v="4"/>
    <x v="10"/>
    <x v="3"/>
    <x v="9"/>
    <n v="0"/>
  </r>
  <r>
    <x v="0"/>
    <x v="0"/>
    <x v="0"/>
    <x v="4"/>
    <x v="10"/>
    <x v="3"/>
    <x v="10"/>
    <n v="0"/>
  </r>
  <r>
    <x v="0"/>
    <x v="0"/>
    <x v="0"/>
    <x v="4"/>
    <x v="10"/>
    <x v="3"/>
    <x v="11"/>
    <n v="0"/>
  </r>
  <r>
    <x v="0"/>
    <x v="0"/>
    <x v="0"/>
    <x v="4"/>
    <x v="10"/>
    <x v="4"/>
    <x v="0"/>
    <n v="0"/>
  </r>
  <r>
    <x v="0"/>
    <x v="0"/>
    <x v="0"/>
    <x v="4"/>
    <x v="10"/>
    <x v="4"/>
    <x v="1"/>
    <n v="0"/>
  </r>
  <r>
    <x v="0"/>
    <x v="0"/>
    <x v="0"/>
    <x v="4"/>
    <x v="10"/>
    <x v="4"/>
    <x v="2"/>
    <n v="0"/>
  </r>
  <r>
    <x v="0"/>
    <x v="0"/>
    <x v="0"/>
    <x v="4"/>
    <x v="10"/>
    <x v="4"/>
    <x v="3"/>
    <n v="0"/>
  </r>
  <r>
    <x v="0"/>
    <x v="0"/>
    <x v="0"/>
    <x v="4"/>
    <x v="10"/>
    <x v="4"/>
    <x v="4"/>
    <n v="0"/>
  </r>
  <r>
    <x v="0"/>
    <x v="0"/>
    <x v="0"/>
    <x v="4"/>
    <x v="10"/>
    <x v="4"/>
    <x v="5"/>
    <n v="0"/>
  </r>
  <r>
    <x v="0"/>
    <x v="0"/>
    <x v="0"/>
    <x v="4"/>
    <x v="10"/>
    <x v="4"/>
    <x v="6"/>
    <n v="0"/>
  </r>
  <r>
    <x v="0"/>
    <x v="0"/>
    <x v="0"/>
    <x v="4"/>
    <x v="10"/>
    <x v="4"/>
    <x v="7"/>
    <n v="0"/>
  </r>
  <r>
    <x v="0"/>
    <x v="0"/>
    <x v="0"/>
    <x v="4"/>
    <x v="10"/>
    <x v="4"/>
    <x v="8"/>
    <n v="0"/>
  </r>
  <r>
    <x v="0"/>
    <x v="0"/>
    <x v="0"/>
    <x v="4"/>
    <x v="10"/>
    <x v="4"/>
    <x v="9"/>
    <n v="0"/>
  </r>
  <r>
    <x v="0"/>
    <x v="0"/>
    <x v="0"/>
    <x v="4"/>
    <x v="10"/>
    <x v="4"/>
    <x v="10"/>
    <n v="0"/>
  </r>
  <r>
    <x v="0"/>
    <x v="0"/>
    <x v="0"/>
    <x v="4"/>
    <x v="10"/>
    <x v="4"/>
    <x v="11"/>
    <n v="0"/>
  </r>
  <r>
    <x v="0"/>
    <x v="0"/>
    <x v="0"/>
    <x v="4"/>
    <x v="10"/>
    <x v="5"/>
    <x v="0"/>
    <n v="0"/>
  </r>
  <r>
    <x v="0"/>
    <x v="0"/>
    <x v="0"/>
    <x v="4"/>
    <x v="10"/>
    <x v="5"/>
    <x v="1"/>
    <n v="0"/>
  </r>
  <r>
    <x v="0"/>
    <x v="0"/>
    <x v="0"/>
    <x v="4"/>
    <x v="10"/>
    <x v="5"/>
    <x v="2"/>
    <n v="0"/>
  </r>
  <r>
    <x v="0"/>
    <x v="0"/>
    <x v="0"/>
    <x v="4"/>
    <x v="10"/>
    <x v="5"/>
    <x v="3"/>
    <n v="0"/>
  </r>
  <r>
    <x v="0"/>
    <x v="0"/>
    <x v="0"/>
    <x v="4"/>
    <x v="10"/>
    <x v="5"/>
    <x v="4"/>
    <n v="0"/>
  </r>
  <r>
    <x v="0"/>
    <x v="0"/>
    <x v="0"/>
    <x v="4"/>
    <x v="10"/>
    <x v="5"/>
    <x v="5"/>
    <n v="0"/>
  </r>
  <r>
    <x v="0"/>
    <x v="0"/>
    <x v="0"/>
    <x v="4"/>
    <x v="10"/>
    <x v="5"/>
    <x v="6"/>
    <n v="0"/>
  </r>
  <r>
    <x v="0"/>
    <x v="0"/>
    <x v="0"/>
    <x v="4"/>
    <x v="10"/>
    <x v="5"/>
    <x v="7"/>
    <n v="0"/>
  </r>
  <r>
    <x v="0"/>
    <x v="0"/>
    <x v="0"/>
    <x v="4"/>
    <x v="10"/>
    <x v="5"/>
    <x v="8"/>
    <n v="0"/>
  </r>
  <r>
    <x v="0"/>
    <x v="0"/>
    <x v="0"/>
    <x v="4"/>
    <x v="10"/>
    <x v="5"/>
    <x v="9"/>
    <n v="0"/>
  </r>
  <r>
    <x v="0"/>
    <x v="0"/>
    <x v="0"/>
    <x v="4"/>
    <x v="10"/>
    <x v="5"/>
    <x v="10"/>
    <n v="0"/>
  </r>
  <r>
    <x v="0"/>
    <x v="0"/>
    <x v="0"/>
    <x v="4"/>
    <x v="10"/>
    <x v="5"/>
    <x v="11"/>
    <n v="0"/>
  </r>
  <r>
    <x v="0"/>
    <x v="0"/>
    <x v="0"/>
    <x v="4"/>
    <x v="10"/>
    <x v="6"/>
    <x v="0"/>
    <n v="0"/>
  </r>
  <r>
    <x v="0"/>
    <x v="0"/>
    <x v="0"/>
    <x v="4"/>
    <x v="10"/>
    <x v="6"/>
    <x v="1"/>
    <n v="0"/>
  </r>
  <r>
    <x v="0"/>
    <x v="0"/>
    <x v="0"/>
    <x v="4"/>
    <x v="10"/>
    <x v="6"/>
    <x v="2"/>
    <n v="0"/>
  </r>
  <r>
    <x v="0"/>
    <x v="0"/>
    <x v="0"/>
    <x v="4"/>
    <x v="10"/>
    <x v="6"/>
    <x v="3"/>
    <n v="0"/>
  </r>
  <r>
    <x v="0"/>
    <x v="0"/>
    <x v="0"/>
    <x v="4"/>
    <x v="10"/>
    <x v="6"/>
    <x v="4"/>
    <n v="0"/>
  </r>
  <r>
    <x v="0"/>
    <x v="0"/>
    <x v="0"/>
    <x v="4"/>
    <x v="10"/>
    <x v="6"/>
    <x v="5"/>
    <n v="0"/>
  </r>
  <r>
    <x v="0"/>
    <x v="0"/>
    <x v="0"/>
    <x v="4"/>
    <x v="10"/>
    <x v="6"/>
    <x v="6"/>
    <n v="0"/>
  </r>
  <r>
    <x v="0"/>
    <x v="0"/>
    <x v="0"/>
    <x v="4"/>
    <x v="10"/>
    <x v="6"/>
    <x v="7"/>
    <n v="0"/>
  </r>
  <r>
    <x v="0"/>
    <x v="0"/>
    <x v="0"/>
    <x v="4"/>
    <x v="10"/>
    <x v="6"/>
    <x v="8"/>
    <n v="0"/>
  </r>
  <r>
    <x v="0"/>
    <x v="0"/>
    <x v="0"/>
    <x v="4"/>
    <x v="10"/>
    <x v="6"/>
    <x v="9"/>
    <n v="0"/>
  </r>
  <r>
    <x v="0"/>
    <x v="0"/>
    <x v="0"/>
    <x v="4"/>
    <x v="10"/>
    <x v="6"/>
    <x v="10"/>
    <n v="0"/>
  </r>
  <r>
    <x v="0"/>
    <x v="0"/>
    <x v="0"/>
    <x v="4"/>
    <x v="10"/>
    <x v="6"/>
    <x v="11"/>
    <n v="0"/>
  </r>
  <r>
    <x v="0"/>
    <x v="0"/>
    <x v="0"/>
    <x v="4"/>
    <x v="10"/>
    <x v="7"/>
    <x v="0"/>
    <n v="0"/>
  </r>
  <r>
    <x v="0"/>
    <x v="0"/>
    <x v="0"/>
    <x v="4"/>
    <x v="10"/>
    <x v="7"/>
    <x v="1"/>
    <n v="0"/>
  </r>
  <r>
    <x v="0"/>
    <x v="0"/>
    <x v="0"/>
    <x v="4"/>
    <x v="10"/>
    <x v="7"/>
    <x v="2"/>
    <n v="0"/>
  </r>
  <r>
    <x v="0"/>
    <x v="0"/>
    <x v="0"/>
    <x v="4"/>
    <x v="10"/>
    <x v="7"/>
    <x v="3"/>
    <n v="0"/>
  </r>
  <r>
    <x v="0"/>
    <x v="0"/>
    <x v="0"/>
    <x v="4"/>
    <x v="10"/>
    <x v="7"/>
    <x v="4"/>
    <n v="0"/>
  </r>
  <r>
    <x v="0"/>
    <x v="0"/>
    <x v="0"/>
    <x v="4"/>
    <x v="10"/>
    <x v="7"/>
    <x v="5"/>
    <n v="0"/>
  </r>
  <r>
    <x v="0"/>
    <x v="0"/>
    <x v="0"/>
    <x v="4"/>
    <x v="10"/>
    <x v="7"/>
    <x v="6"/>
    <n v="0"/>
  </r>
  <r>
    <x v="0"/>
    <x v="0"/>
    <x v="0"/>
    <x v="4"/>
    <x v="10"/>
    <x v="7"/>
    <x v="7"/>
    <n v="0"/>
  </r>
  <r>
    <x v="0"/>
    <x v="0"/>
    <x v="0"/>
    <x v="4"/>
    <x v="10"/>
    <x v="7"/>
    <x v="8"/>
    <n v="0"/>
  </r>
  <r>
    <x v="0"/>
    <x v="0"/>
    <x v="0"/>
    <x v="4"/>
    <x v="10"/>
    <x v="7"/>
    <x v="9"/>
    <n v="0"/>
  </r>
  <r>
    <x v="0"/>
    <x v="0"/>
    <x v="0"/>
    <x v="4"/>
    <x v="10"/>
    <x v="7"/>
    <x v="10"/>
    <n v="0"/>
  </r>
  <r>
    <x v="0"/>
    <x v="0"/>
    <x v="0"/>
    <x v="4"/>
    <x v="10"/>
    <x v="7"/>
    <x v="11"/>
    <n v="0"/>
  </r>
  <r>
    <x v="0"/>
    <x v="0"/>
    <x v="0"/>
    <x v="4"/>
    <x v="10"/>
    <x v="8"/>
    <x v="0"/>
    <n v="0"/>
  </r>
  <r>
    <x v="0"/>
    <x v="0"/>
    <x v="0"/>
    <x v="4"/>
    <x v="10"/>
    <x v="8"/>
    <x v="1"/>
    <n v="0"/>
  </r>
  <r>
    <x v="0"/>
    <x v="0"/>
    <x v="0"/>
    <x v="4"/>
    <x v="10"/>
    <x v="8"/>
    <x v="2"/>
    <n v="0"/>
  </r>
  <r>
    <x v="0"/>
    <x v="0"/>
    <x v="0"/>
    <x v="4"/>
    <x v="10"/>
    <x v="8"/>
    <x v="3"/>
    <n v="0"/>
  </r>
  <r>
    <x v="0"/>
    <x v="0"/>
    <x v="0"/>
    <x v="4"/>
    <x v="10"/>
    <x v="8"/>
    <x v="4"/>
    <n v="0"/>
  </r>
  <r>
    <x v="0"/>
    <x v="0"/>
    <x v="0"/>
    <x v="4"/>
    <x v="10"/>
    <x v="8"/>
    <x v="5"/>
    <n v="0"/>
  </r>
  <r>
    <x v="0"/>
    <x v="0"/>
    <x v="0"/>
    <x v="4"/>
    <x v="10"/>
    <x v="8"/>
    <x v="6"/>
    <n v="0"/>
  </r>
  <r>
    <x v="0"/>
    <x v="0"/>
    <x v="0"/>
    <x v="4"/>
    <x v="10"/>
    <x v="8"/>
    <x v="7"/>
    <n v="0"/>
  </r>
  <r>
    <x v="0"/>
    <x v="0"/>
    <x v="0"/>
    <x v="4"/>
    <x v="10"/>
    <x v="8"/>
    <x v="8"/>
    <n v="0"/>
  </r>
  <r>
    <x v="0"/>
    <x v="0"/>
    <x v="0"/>
    <x v="4"/>
    <x v="10"/>
    <x v="8"/>
    <x v="9"/>
    <n v="0"/>
  </r>
  <r>
    <x v="0"/>
    <x v="0"/>
    <x v="0"/>
    <x v="4"/>
    <x v="10"/>
    <x v="8"/>
    <x v="10"/>
    <n v="0"/>
  </r>
  <r>
    <x v="0"/>
    <x v="0"/>
    <x v="0"/>
    <x v="4"/>
    <x v="10"/>
    <x v="8"/>
    <x v="11"/>
    <n v="0"/>
  </r>
  <r>
    <x v="0"/>
    <x v="0"/>
    <x v="0"/>
    <x v="4"/>
    <x v="10"/>
    <x v="9"/>
    <x v="0"/>
    <n v="0"/>
  </r>
  <r>
    <x v="0"/>
    <x v="0"/>
    <x v="0"/>
    <x v="4"/>
    <x v="10"/>
    <x v="9"/>
    <x v="1"/>
    <n v="0"/>
  </r>
  <r>
    <x v="0"/>
    <x v="0"/>
    <x v="0"/>
    <x v="4"/>
    <x v="10"/>
    <x v="9"/>
    <x v="2"/>
    <n v="0"/>
  </r>
  <r>
    <x v="0"/>
    <x v="0"/>
    <x v="0"/>
    <x v="4"/>
    <x v="10"/>
    <x v="9"/>
    <x v="3"/>
    <n v="0"/>
  </r>
  <r>
    <x v="0"/>
    <x v="0"/>
    <x v="0"/>
    <x v="4"/>
    <x v="10"/>
    <x v="9"/>
    <x v="4"/>
    <n v="0"/>
  </r>
  <r>
    <x v="0"/>
    <x v="0"/>
    <x v="0"/>
    <x v="4"/>
    <x v="10"/>
    <x v="9"/>
    <x v="5"/>
    <n v="0"/>
  </r>
  <r>
    <x v="0"/>
    <x v="0"/>
    <x v="0"/>
    <x v="4"/>
    <x v="10"/>
    <x v="9"/>
    <x v="6"/>
    <n v="0"/>
  </r>
  <r>
    <x v="0"/>
    <x v="0"/>
    <x v="0"/>
    <x v="4"/>
    <x v="10"/>
    <x v="9"/>
    <x v="7"/>
    <n v="0"/>
  </r>
  <r>
    <x v="0"/>
    <x v="0"/>
    <x v="0"/>
    <x v="4"/>
    <x v="10"/>
    <x v="9"/>
    <x v="8"/>
    <n v="0"/>
  </r>
  <r>
    <x v="0"/>
    <x v="0"/>
    <x v="0"/>
    <x v="4"/>
    <x v="10"/>
    <x v="9"/>
    <x v="9"/>
    <n v="0"/>
  </r>
  <r>
    <x v="0"/>
    <x v="0"/>
    <x v="0"/>
    <x v="4"/>
    <x v="10"/>
    <x v="9"/>
    <x v="10"/>
    <n v="0"/>
  </r>
  <r>
    <x v="0"/>
    <x v="0"/>
    <x v="0"/>
    <x v="4"/>
    <x v="10"/>
    <x v="9"/>
    <x v="11"/>
    <n v="0"/>
  </r>
  <r>
    <x v="0"/>
    <x v="0"/>
    <x v="0"/>
    <x v="4"/>
    <x v="10"/>
    <x v="10"/>
    <x v="0"/>
    <n v="0"/>
  </r>
  <r>
    <x v="0"/>
    <x v="0"/>
    <x v="0"/>
    <x v="4"/>
    <x v="10"/>
    <x v="10"/>
    <x v="1"/>
    <n v="0"/>
  </r>
  <r>
    <x v="0"/>
    <x v="0"/>
    <x v="0"/>
    <x v="4"/>
    <x v="10"/>
    <x v="10"/>
    <x v="2"/>
    <n v="0"/>
  </r>
  <r>
    <x v="0"/>
    <x v="0"/>
    <x v="0"/>
    <x v="4"/>
    <x v="10"/>
    <x v="10"/>
    <x v="3"/>
    <n v="0"/>
  </r>
  <r>
    <x v="0"/>
    <x v="0"/>
    <x v="0"/>
    <x v="4"/>
    <x v="10"/>
    <x v="10"/>
    <x v="4"/>
    <n v="0"/>
  </r>
  <r>
    <x v="0"/>
    <x v="0"/>
    <x v="0"/>
    <x v="4"/>
    <x v="10"/>
    <x v="10"/>
    <x v="5"/>
    <n v="0"/>
  </r>
  <r>
    <x v="0"/>
    <x v="0"/>
    <x v="0"/>
    <x v="4"/>
    <x v="10"/>
    <x v="10"/>
    <x v="6"/>
    <n v="0"/>
  </r>
  <r>
    <x v="0"/>
    <x v="0"/>
    <x v="0"/>
    <x v="4"/>
    <x v="10"/>
    <x v="10"/>
    <x v="7"/>
    <n v="0"/>
  </r>
  <r>
    <x v="0"/>
    <x v="0"/>
    <x v="0"/>
    <x v="4"/>
    <x v="10"/>
    <x v="10"/>
    <x v="8"/>
    <n v="0"/>
  </r>
  <r>
    <x v="0"/>
    <x v="0"/>
    <x v="0"/>
    <x v="4"/>
    <x v="10"/>
    <x v="10"/>
    <x v="9"/>
    <n v="0"/>
  </r>
  <r>
    <x v="0"/>
    <x v="0"/>
    <x v="0"/>
    <x v="4"/>
    <x v="10"/>
    <x v="10"/>
    <x v="10"/>
    <n v="0"/>
  </r>
  <r>
    <x v="0"/>
    <x v="0"/>
    <x v="0"/>
    <x v="4"/>
    <x v="10"/>
    <x v="10"/>
    <x v="11"/>
    <n v="0"/>
  </r>
  <r>
    <x v="0"/>
    <x v="0"/>
    <x v="0"/>
    <x v="4"/>
    <x v="10"/>
    <x v="11"/>
    <x v="0"/>
    <n v="0"/>
  </r>
  <r>
    <x v="0"/>
    <x v="0"/>
    <x v="0"/>
    <x v="4"/>
    <x v="10"/>
    <x v="11"/>
    <x v="1"/>
    <n v="0"/>
  </r>
  <r>
    <x v="0"/>
    <x v="0"/>
    <x v="0"/>
    <x v="4"/>
    <x v="10"/>
    <x v="11"/>
    <x v="2"/>
    <n v="0"/>
  </r>
  <r>
    <x v="0"/>
    <x v="0"/>
    <x v="0"/>
    <x v="4"/>
    <x v="10"/>
    <x v="11"/>
    <x v="3"/>
    <n v="0"/>
  </r>
  <r>
    <x v="0"/>
    <x v="0"/>
    <x v="0"/>
    <x v="4"/>
    <x v="10"/>
    <x v="11"/>
    <x v="4"/>
    <n v="0"/>
  </r>
  <r>
    <x v="0"/>
    <x v="0"/>
    <x v="0"/>
    <x v="4"/>
    <x v="10"/>
    <x v="11"/>
    <x v="5"/>
    <n v="0"/>
  </r>
  <r>
    <x v="0"/>
    <x v="0"/>
    <x v="0"/>
    <x v="4"/>
    <x v="10"/>
    <x v="11"/>
    <x v="6"/>
    <n v="0"/>
  </r>
  <r>
    <x v="0"/>
    <x v="0"/>
    <x v="0"/>
    <x v="4"/>
    <x v="10"/>
    <x v="11"/>
    <x v="7"/>
    <n v="0"/>
  </r>
  <r>
    <x v="0"/>
    <x v="0"/>
    <x v="0"/>
    <x v="4"/>
    <x v="10"/>
    <x v="11"/>
    <x v="8"/>
    <n v="0"/>
  </r>
  <r>
    <x v="0"/>
    <x v="0"/>
    <x v="0"/>
    <x v="4"/>
    <x v="10"/>
    <x v="11"/>
    <x v="9"/>
    <n v="0"/>
  </r>
  <r>
    <x v="0"/>
    <x v="0"/>
    <x v="0"/>
    <x v="4"/>
    <x v="10"/>
    <x v="11"/>
    <x v="10"/>
    <n v="0"/>
  </r>
  <r>
    <x v="0"/>
    <x v="0"/>
    <x v="0"/>
    <x v="4"/>
    <x v="10"/>
    <x v="11"/>
    <x v="11"/>
    <n v="0"/>
  </r>
  <r>
    <x v="0"/>
    <x v="0"/>
    <x v="0"/>
    <x v="4"/>
    <x v="11"/>
    <x v="0"/>
    <x v="0"/>
    <n v="2"/>
  </r>
  <r>
    <x v="0"/>
    <x v="0"/>
    <x v="0"/>
    <x v="4"/>
    <x v="11"/>
    <x v="0"/>
    <x v="1"/>
    <n v="2"/>
  </r>
  <r>
    <x v="0"/>
    <x v="0"/>
    <x v="0"/>
    <x v="4"/>
    <x v="11"/>
    <x v="0"/>
    <x v="2"/>
    <n v="2"/>
  </r>
  <r>
    <x v="0"/>
    <x v="0"/>
    <x v="0"/>
    <x v="4"/>
    <x v="11"/>
    <x v="0"/>
    <x v="3"/>
    <n v="2"/>
  </r>
  <r>
    <x v="0"/>
    <x v="0"/>
    <x v="0"/>
    <x v="4"/>
    <x v="11"/>
    <x v="0"/>
    <x v="4"/>
    <n v="2"/>
  </r>
  <r>
    <x v="0"/>
    <x v="0"/>
    <x v="0"/>
    <x v="4"/>
    <x v="11"/>
    <x v="0"/>
    <x v="5"/>
    <n v="2"/>
  </r>
  <r>
    <x v="0"/>
    <x v="0"/>
    <x v="0"/>
    <x v="4"/>
    <x v="11"/>
    <x v="0"/>
    <x v="6"/>
    <n v="2"/>
  </r>
  <r>
    <x v="0"/>
    <x v="0"/>
    <x v="0"/>
    <x v="4"/>
    <x v="11"/>
    <x v="0"/>
    <x v="7"/>
    <n v="2"/>
  </r>
  <r>
    <x v="0"/>
    <x v="0"/>
    <x v="0"/>
    <x v="4"/>
    <x v="11"/>
    <x v="0"/>
    <x v="8"/>
    <n v="2"/>
  </r>
  <r>
    <x v="0"/>
    <x v="0"/>
    <x v="0"/>
    <x v="4"/>
    <x v="11"/>
    <x v="0"/>
    <x v="9"/>
    <n v="2"/>
  </r>
  <r>
    <x v="0"/>
    <x v="0"/>
    <x v="0"/>
    <x v="4"/>
    <x v="11"/>
    <x v="0"/>
    <x v="10"/>
    <n v="2"/>
  </r>
  <r>
    <x v="0"/>
    <x v="0"/>
    <x v="0"/>
    <x v="4"/>
    <x v="11"/>
    <x v="0"/>
    <x v="11"/>
    <n v="2"/>
  </r>
  <r>
    <x v="0"/>
    <x v="0"/>
    <x v="0"/>
    <x v="4"/>
    <x v="11"/>
    <x v="1"/>
    <x v="0"/>
    <n v="2"/>
  </r>
  <r>
    <x v="0"/>
    <x v="0"/>
    <x v="0"/>
    <x v="4"/>
    <x v="11"/>
    <x v="1"/>
    <x v="1"/>
    <n v="2"/>
  </r>
  <r>
    <x v="0"/>
    <x v="0"/>
    <x v="0"/>
    <x v="4"/>
    <x v="11"/>
    <x v="1"/>
    <x v="2"/>
    <n v="2"/>
  </r>
  <r>
    <x v="0"/>
    <x v="0"/>
    <x v="0"/>
    <x v="4"/>
    <x v="11"/>
    <x v="1"/>
    <x v="3"/>
    <n v="2"/>
  </r>
  <r>
    <x v="0"/>
    <x v="0"/>
    <x v="0"/>
    <x v="4"/>
    <x v="11"/>
    <x v="1"/>
    <x v="4"/>
    <n v="2"/>
  </r>
  <r>
    <x v="0"/>
    <x v="0"/>
    <x v="0"/>
    <x v="4"/>
    <x v="11"/>
    <x v="1"/>
    <x v="5"/>
    <n v="2"/>
  </r>
  <r>
    <x v="0"/>
    <x v="0"/>
    <x v="0"/>
    <x v="4"/>
    <x v="11"/>
    <x v="1"/>
    <x v="6"/>
    <n v="2"/>
  </r>
  <r>
    <x v="0"/>
    <x v="0"/>
    <x v="0"/>
    <x v="4"/>
    <x v="11"/>
    <x v="1"/>
    <x v="7"/>
    <n v="2"/>
  </r>
  <r>
    <x v="0"/>
    <x v="0"/>
    <x v="0"/>
    <x v="4"/>
    <x v="11"/>
    <x v="1"/>
    <x v="8"/>
    <n v="2"/>
  </r>
  <r>
    <x v="0"/>
    <x v="0"/>
    <x v="0"/>
    <x v="4"/>
    <x v="11"/>
    <x v="1"/>
    <x v="9"/>
    <n v="2"/>
  </r>
  <r>
    <x v="0"/>
    <x v="0"/>
    <x v="0"/>
    <x v="4"/>
    <x v="11"/>
    <x v="1"/>
    <x v="10"/>
    <n v="2"/>
  </r>
  <r>
    <x v="0"/>
    <x v="0"/>
    <x v="0"/>
    <x v="4"/>
    <x v="11"/>
    <x v="1"/>
    <x v="11"/>
    <n v="2"/>
  </r>
  <r>
    <x v="0"/>
    <x v="0"/>
    <x v="0"/>
    <x v="4"/>
    <x v="11"/>
    <x v="2"/>
    <x v="0"/>
    <n v="2"/>
  </r>
  <r>
    <x v="0"/>
    <x v="0"/>
    <x v="0"/>
    <x v="4"/>
    <x v="11"/>
    <x v="2"/>
    <x v="1"/>
    <n v="2"/>
  </r>
  <r>
    <x v="0"/>
    <x v="0"/>
    <x v="0"/>
    <x v="4"/>
    <x v="11"/>
    <x v="2"/>
    <x v="2"/>
    <n v="2"/>
  </r>
  <r>
    <x v="0"/>
    <x v="0"/>
    <x v="0"/>
    <x v="4"/>
    <x v="11"/>
    <x v="2"/>
    <x v="3"/>
    <n v="2"/>
  </r>
  <r>
    <x v="0"/>
    <x v="0"/>
    <x v="0"/>
    <x v="4"/>
    <x v="11"/>
    <x v="2"/>
    <x v="4"/>
    <n v="2"/>
  </r>
  <r>
    <x v="0"/>
    <x v="0"/>
    <x v="0"/>
    <x v="4"/>
    <x v="11"/>
    <x v="2"/>
    <x v="5"/>
    <n v="2"/>
  </r>
  <r>
    <x v="0"/>
    <x v="0"/>
    <x v="0"/>
    <x v="4"/>
    <x v="11"/>
    <x v="2"/>
    <x v="6"/>
    <n v="2"/>
  </r>
  <r>
    <x v="0"/>
    <x v="0"/>
    <x v="0"/>
    <x v="4"/>
    <x v="11"/>
    <x v="2"/>
    <x v="7"/>
    <n v="2"/>
  </r>
  <r>
    <x v="0"/>
    <x v="0"/>
    <x v="0"/>
    <x v="4"/>
    <x v="11"/>
    <x v="2"/>
    <x v="8"/>
    <n v="2"/>
  </r>
  <r>
    <x v="0"/>
    <x v="0"/>
    <x v="0"/>
    <x v="4"/>
    <x v="11"/>
    <x v="2"/>
    <x v="9"/>
    <n v="2"/>
  </r>
  <r>
    <x v="0"/>
    <x v="0"/>
    <x v="0"/>
    <x v="4"/>
    <x v="11"/>
    <x v="2"/>
    <x v="10"/>
    <n v="2"/>
  </r>
  <r>
    <x v="0"/>
    <x v="0"/>
    <x v="0"/>
    <x v="4"/>
    <x v="11"/>
    <x v="2"/>
    <x v="11"/>
    <n v="2"/>
  </r>
  <r>
    <x v="0"/>
    <x v="0"/>
    <x v="0"/>
    <x v="4"/>
    <x v="11"/>
    <x v="3"/>
    <x v="0"/>
    <n v="2"/>
  </r>
  <r>
    <x v="0"/>
    <x v="0"/>
    <x v="0"/>
    <x v="4"/>
    <x v="11"/>
    <x v="3"/>
    <x v="1"/>
    <n v="2"/>
  </r>
  <r>
    <x v="0"/>
    <x v="0"/>
    <x v="0"/>
    <x v="4"/>
    <x v="11"/>
    <x v="3"/>
    <x v="2"/>
    <n v="2"/>
  </r>
  <r>
    <x v="0"/>
    <x v="0"/>
    <x v="0"/>
    <x v="4"/>
    <x v="11"/>
    <x v="3"/>
    <x v="3"/>
    <n v="2"/>
  </r>
  <r>
    <x v="0"/>
    <x v="0"/>
    <x v="0"/>
    <x v="4"/>
    <x v="11"/>
    <x v="3"/>
    <x v="4"/>
    <n v="2"/>
  </r>
  <r>
    <x v="0"/>
    <x v="0"/>
    <x v="0"/>
    <x v="4"/>
    <x v="11"/>
    <x v="3"/>
    <x v="5"/>
    <n v="2"/>
  </r>
  <r>
    <x v="0"/>
    <x v="0"/>
    <x v="0"/>
    <x v="4"/>
    <x v="11"/>
    <x v="3"/>
    <x v="6"/>
    <n v="2"/>
  </r>
  <r>
    <x v="0"/>
    <x v="0"/>
    <x v="0"/>
    <x v="4"/>
    <x v="11"/>
    <x v="3"/>
    <x v="7"/>
    <n v="2"/>
  </r>
  <r>
    <x v="0"/>
    <x v="0"/>
    <x v="0"/>
    <x v="4"/>
    <x v="11"/>
    <x v="3"/>
    <x v="8"/>
    <n v="2"/>
  </r>
  <r>
    <x v="0"/>
    <x v="0"/>
    <x v="0"/>
    <x v="4"/>
    <x v="11"/>
    <x v="3"/>
    <x v="9"/>
    <n v="2"/>
  </r>
  <r>
    <x v="0"/>
    <x v="0"/>
    <x v="0"/>
    <x v="4"/>
    <x v="11"/>
    <x v="3"/>
    <x v="10"/>
    <n v="2"/>
  </r>
  <r>
    <x v="0"/>
    <x v="0"/>
    <x v="0"/>
    <x v="4"/>
    <x v="11"/>
    <x v="3"/>
    <x v="11"/>
    <n v="2"/>
  </r>
  <r>
    <x v="0"/>
    <x v="0"/>
    <x v="0"/>
    <x v="4"/>
    <x v="11"/>
    <x v="4"/>
    <x v="0"/>
    <n v="2"/>
  </r>
  <r>
    <x v="0"/>
    <x v="0"/>
    <x v="0"/>
    <x v="4"/>
    <x v="11"/>
    <x v="4"/>
    <x v="1"/>
    <n v="2"/>
  </r>
  <r>
    <x v="0"/>
    <x v="0"/>
    <x v="0"/>
    <x v="4"/>
    <x v="11"/>
    <x v="4"/>
    <x v="2"/>
    <n v="2"/>
  </r>
  <r>
    <x v="0"/>
    <x v="0"/>
    <x v="0"/>
    <x v="4"/>
    <x v="11"/>
    <x v="4"/>
    <x v="3"/>
    <n v="2"/>
  </r>
  <r>
    <x v="0"/>
    <x v="0"/>
    <x v="0"/>
    <x v="4"/>
    <x v="11"/>
    <x v="4"/>
    <x v="4"/>
    <n v="2"/>
  </r>
  <r>
    <x v="0"/>
    <x v="0"/>
    <x v="0"/>
    <x v="4"/>
    <x v="11"/>
    <x v="4"/>
    <x v="5"/>
    <n v="2"/>
  </r>
  <r>
    <x v="0"/>
    <x v="0"/>
    <x v="0"/>
    <x v="4"/>
    <x v="11"/>
    <x v="4"/>
    <x v="6"/>
    <n v="2"/>
  </r>
  <r>
    <x v="0"/>
    <x v="0"/>
    <x v="0"/>
    <x v="4"/>
    <x v="11"/>
    <x v="4"/>
    <x v="7"/>
    <n v="2"/>
  </r>
  <r>
    <x v="0"/>
    <x v="0"/>
    <x v="0"/>
    <x v="4"/>
    <x v="11"/>
    <x v="4"/>
    <x v="8"/>
    <n v="2"/>
  </r>
  <r>
    <x v="0"/>
    <x v="0"/>
    <x v="0"/>
    <x v="4"/>
    <x v="11"/>
    <x v="4"/>
    <x v="9"/>
    <n v="2"/>
  </r>
  <r>
    <x v="0"/>
    <x v="0"/>
    <x v="0"/>
    <x v="4"/>
    <x v="11"/>
    <x v="4"/>
    <x v="10"/>
    <n v="2"/>
  </r>
  <r>
    <x v="0"/>
    <x v="0"/>
    <x v="0"/>
    <x v="4"/>
    <x v="11"/>
    <x v="4"/>
    <x v="11"/>
    <n v="2"/>
  </r>
  <r>
    <x v="0"/>
    <x v="0"/>
    <x v="0"/>
    <x v="4"/>
    <x v="11"/>
    <x v="5"/>
    <x v="0"/>
    <n v="2"/>
  </r>
  <r>
    <x v="0"/>
    <x v="0"/>
    <x v="0"/>
    <x v="4"/>
    <x v="11"/>
    <x v="5"/>
    <x v="1"/>
    <n v="2"/>
  </r>
  <r>
    <x v="0"/>
    <x v="0"/>
    <x v="0"/>
    <x v="4"/>
    <x v="11"/>
    <x v="5"/>
    <x v="2"/>
    <n v="2"/>
  </r>
  <r>
    <x v="0"/>
    <x v="0"/>
    <x v="0"/>
    <x v="4"/>
    <x v="11"/>
    <x v="5"/>
    <x v="3"/>
    <n v="2"/>
  </r>
  <r>
    <x v="0"/>
    <x v="0"/>
    <x v="0"/>
    <x v="4"/>
    <x v="11"/>
    <x v="5"/>
    <x v="4"/>
    <n v="2"/>
  </r>
  <r>
    <x v="0"/>
    <x v="0"/>
    <x v="0"/>
    <x v="4"/>
    <x v="11"/>
    <x v="5"/>
    <x v="5"/>
    <n v="2"/>
  </r>
  <r>
    <x v="0"/>
    <x v="0"/>
    <x v="0"/>
    <x v="4"/>
    <x v="11"/>
    <x v="5"/>
    <x v="6"/>
    <n v="2"/>
  </r>
  <r>
    <x v="0"/>
    <x v="0"/>
    <x v="0"/>
    <x v="4"/>
    <x v="11"/>
    <x v="5"/>
    <x v="7"/>
    <n v="2"/>
  </r>
  <r>
    <x v="0"/>
    <x v="0"/>
    <x v="0"/>
    <x v="4"/>
    <x v="11"/>
    <x v="5"/>
    <x v="8"/>
    <n v="2"/>
  </r>
  <r>
    <x v="0"/>
    <x v="0"/>
    <x v="0"/>
    <x v="4"/>
    <x v="11"/>
    <x v="5"/>
    <x v="9"/>
    <n v="2"/>
  </r>
  <r>
    <x v="0"/>
    <x v="0"/>
    <x v="0"/>
    <x v="4"/>
    <x v="11"/>
    <x v="5"/>
    <x v="10"/>
    <n v="2"/>
  </r>
  <r>
    <x v="0"/>
    <x v="0"/>
    <x v="0"/>
    <x v="4"/>
    <x v="11"/>
    <x v="5"/>
    <x v="11"/>
    <n v="2"/>
  </r>
  <r>
    <x v="0"/>
    <x v="0"/>
    <x v="0"/>
    <x v="4"/>
    <x v="11"/>
    <x v="6"/>
    <x v="0"/>
    <n v="2"/>
  </r>
  <r>
    <x v="0"/>
    <x v="0"/>
    <x v="0"/>
    <x v="4"/>
    <x v="11"/>
    <x v="6"/>
    <x v="1"/>
    <n v="2"/>
  </r>
  <r>
    <x v="0"/>
    <x v="0"/>
    <x v="0"/>
    <x v="4"/>
    <x v="11"/>
    <x v="6"/>
    <x v="2"/>
    <n v="2"/>
  </r>
  <r>
    <x v="0"/>
    <x v="0"/>
    <x v="0"/>
    <x v="4"/>
    <x v="11"/>
    <x v="6"/>
    <x v="3"/>
    <n v="2"/>
  </r>
  <r>
    <x v="0"/>
    <x v="0"/>
    <x v="0"/>
    <x v="4"/>
    <x v="11"/>
    <x v="6"/>
    <x v="4"/>
    <n v="2"/>
  </r>
  <r>
    <x v="0"/>
    <x v="0"/>
    <x v="0"/>
    <x v="4"/>
    <x v="11"/>
    <x v="6"/>
    <x v="5"/>
    <n v="2"/>
  </r>
  <r>
    <x v="0"/>
    <x v="0"/>
    <x v="0"/>
    <x v="4"/>
    <x v="11"/>
    <x v="6"/>
    <x v="6"/>
    <n v="2"/>
  </r>
  <r>
    <x v="0"/>
    <x v="0"/>
    <x v="0"/>
    <x v="4"/>
    <x v="11"/>
    <x v="6"/>
    <x v="7"/>
    <n v="2"/>
  </r>
  <r>
    <x v="0"/>
    <x v="0"/>
    <x v="0"/>
    <x v="4"/>
    <x v="11"/>
    <x v="6"/>
    <x v="8"/>
    <n v="2"/>
  </r>
  <r>
    <x v="0"/>
    <x v="0"/>
    <x v="0"/>
    <x v="4"/>
    <x v="11"/>
    <x v="6"/>
    <x v="9"/>
    <n v="2"/>
  </r>
  <r>
    <x v="0"/>
    <x v="0"/>
    <x v="0"/>
    <x v="4"/>
    <x v="11"/>
    <x v="6"/>
    <x v="10"/>
    <n v="2"/>
  </r>
  <r>
    <x v="0"/>
    <x v="0"/>
    <x v="0"/>
    <x v="4"/>
    <x v="11"/>
    <x v="6"/>
    <x v="11"/>
    <n v="2"/>
  </r>
  <r>
    <x v="0"/>
    <x v="0"/>
    <x v="0"/>
    <x v="4"/>
    <x v="11"/>
    <x v="7"/>
    <x v="0"/>
    <n v="2"/>
  </r>
  <r>
    <x v="0"/>
    <x v="0"/>
    <x v="0"/>
    <x v="4"/>
    <x v="11"/>
    <x v="7"/>
    <x v="1"/>
    <n v="2"/>
  </r>
  <r>
    <x v="0"/>
    <x v="0"/>
    <x v="0"/>
    <x v="4"/>
    <x v="11"/>
    <x v="7"/>
    <x v="2"/>
    <n v="2"/>
  </r>
  <r>
    <x v="0"/>
    <x v="0"/>
    <x v="0"/>
    <x v="4"/>
    <x v="11"/>
    <x v="7"/>
    <x v="3"/>
    <n v="2"/>
  </r>
  <r>
    <x v="0"/>
    <x v="0"/>
    <x v="0"/>
    <x v="4"/>
    <x v="11"/>
    <x v="7"/>
    <x v="4"/>
    <n v="2"/>
  </r>
  <r>
    <x v="0"/>
    <x v="0"/>
    <x v="0"/>
    <x v="4"/>
    <x v="11"/>
    <x v="7"/>
    <x v="5"/>
    <n v="2"/>
  </r>
  <r>
    <x v="0"/>
    <x v="0"/>
    <x v="0"/>
    <x v="4"/>
    <x v="11"/>
    <x v="7"/>
    <x v="6"/>
    <n v="2"/>
  </r>
  <r>
    <x v="0"/>
    <x v="0"/>
    <x v="0"/>
    <x v="4"/>
    <x v="11"/>
    <x v="7"/>
    <x v="7"/>
    <n v="2"/>
  </r>
  <r>
    <x v="0"/>
    <x v="0"/>
    <x v="0"/>
    <x v="4"/>
    <x v="11"/>
    <x v="7"/>
    <x v="8"/>
    <n v="2"/>
  </r>
  <r>
    <x v="0"/>
    <x v="0"/>
    <x v="0"/>
    <x v="4"/>
    <x v="11"/>
    <x v="7"/>
    <x v="9"/>
    <n v="2"/>
  </r>
  <r>
    <x v="0"/>
    <x v="0"/>
    <x v="0"/>
    <x v="4"/>
    <x v="11"/>
    <x v="7"/>
    <x v="10"/>
    <n v="2"/>
  </r>
  <r>
    <x v="0"/>
    <x v="0"/>
    <x v="0"/>
    <x v="4"/>
    <x v="11"/>
    <x v="7"/>
    <x v="11"/>
    <n v="2"/>
  </r>
  <r>
    <x v="0"/>
    <x v="0"/>
    <x v="0"/>
    <x v="4"/>
    <x v="11"/>
    <x v="8"/>
    <x v="0"/>
    <n v="2"/>
  </r>
  <r>
    <x v="0"/>
    <x v="0"/>
    <x v="0"/>
    <x v="4"/>
    <x v="11"/>
    <x v="8"/>
    <x v="1"/>
    <n v="2"/>
  </r>
  <r>
    <x v="0"/>
    <x v="0"/>
    <x v="0"/>
    <x v="4"/>
    <x v="11"/>
    <x v="8"/>
    <x v="2"/>
    <n v="2"/>
  </r>
  <r>
    <x v="0"/>
    <x v="0"/>
    <x v="0"/>
    <x v="4"/>
    <x v="11"/>
    <x v="8"/>
    <x v="3"/>
    <n v="2"/>
  </r>
  <r>
    <x v="0"/>
    <x v="0"/>
    <x v="0"/>
    <x v="4"/>
    <x v="11"/>
    <x v="8"/>
    <x v="4"/>
    <n v="2"/>
  </r>
  <r>
    <x v="0"/>
    <x v="0"/>
    <x v="0"/>
    <x v="4"/>
    <x v="11"/>
    <x v="8"/>
    <x v="5"/>
    <n v="2"/>
  </r>
  <r>
    <x v="0"/>
    <x v="0"/>
    <x v="0"/>
    <x v="4"/>
    <x v="11"/>
    <x v="8"/>
    <x v="6"/>
    <n v="2"/>
  </r>
  <r>
    <x v="0"/>
    <x v="0"/>
    <x v="0"/>
    <x v="4"/>
    <x v="11"/>
    <x v="8"/>
    <x v="7"/>
    <n v="2"/>
  </r>
  <r>
    <x v="0"/>
    <x v="0"/>
    <x v="0"/>
    <x v="4"/>
    <x v="11"/>
    <x v="8"/>
    <x v="8"/>
    <n v="2"/>
  </r>
  <r>
    <x v="0"/>
    <x v="0"/>
    <x v="0"/>
    <x v="4"/>
    <x v="11"/>
    <x v="8"/>
    <x v="9"/>
    <n v="2"/>
  </r>
  <r>
    <x v="0"/>
    <x v="0"/>
    <x v="0"/>
    <x v="4"/>
    <x v="11"/>
    <x v="8"/>
    <x v="10"/>
    <n v="2"/>
  </r>
  <r>
    <x v="0"/>
    <x v="0"/>
    <x v="0"/>
    <x v="4"/>
    <x v="11"/>
    <x v="8"/>
    <x v="11"/>
    <n v="2"/>
  </r>
  <r>
    <x v="0"/>
    <x v="0"/>
    <x v="0"/>
    <x v="4"/>
    <x v="11"/>
    <x v="9"/>
    <x v="0"/>
    <n v="2"/>
  </r>
  <r>
    <x v="0"/>
    <x v="0"/>
    <x v="0"/>
    <x v="4"/>
    <x v="11"/>
    <x v="9"/>
    <x v="1"/>
    <n v="2"/>
  </r>
  <r>
    <x v="0"/>
    <x v="0"/>
    <x v="0"/>
    <x v="4"/>
    <x v="11"/>
    <x v="9"/>
    <x v="2"/>
    <n v="2"/>
  </r>
  <r>
    <x v="0"/>
    <x v="0"/>
    <x v="0"/>
    <x v="4"/>
    <x v="11"/>
    <x v="9"/>
    <x v="3"/>
    <n v="2"/>
  </r>
  <r>
    <x v="0"/>
    <x v="0"/>
    <x v="0"/>
    <x v="4"/>
    <x v="11"/>
    <x v="9"/>
    <x v="4"/>
    <n v="2"/>
  </r>
  <r>
    <x v="0"/>
    <x v="0"/>
    <x v="0"/>
    <x v="4"/>
    <x v="11"/>
    <x v="9"/>
    <x v="5"/>
    <n v="2"/>
  </r>
  <r>
    <x v="0"/>
    <x v="0"/>
    <x v="0"/>
    <x v="4"/>
    <x v="11"/>
    <x v="9"/>
    <x v="6"/>
    <n v="2"/>
  </r>
  <r>
    <x v="0"/>
    <x v="0"/>
    <x v="0"/>
    <x v="4"/>
    <x v="11"/>
    <x v="9"/>
    <x v="7"/>
    <n v="2"/>
  </r>
  <r>
    <x v="0"/>
    <x v="0"/>
    <x v="0"/>
    <x v="4"/>
    <x v="11"/>
    <x v="9"/>
    <x v="8"/>
    <n v="2"/>
  </r>
  <r>
    <x v="0"/>
    <x v="0"/>
    <x v="0"/>
    <x v="4"/>
    <x v="11"/>
    <x v="9"/>
    <x v="9"/>
    <n v="2"/>
  </r>
  <r>
    <x v="0"/>
    <x v="0"/>
    <x v="0"/>
    <x v="4"/>
    <x v="11"/>
    <x v="9"/>
    <x v="10"/>
    <n v="2"/>
  </r>
  <r>
    <x v="0"/>
    <x v="0"/>
    <x v="0"/>
    <x v="4"/>
    <x v="11"/>
    <x v="9"/>
    <x v="11"/>
    <n v="2"/>
  </r>
  <r>
    <x v="0"/>
    <x v="0"/>
    <x v="0"/>
    <x v="4"/>
    <x v="11"/>
    <x v="10"/>
    <x v="0"/>
    <n v="2"/>
  </r>
  <r>
    <x v="0"/>
    <x v="0"/>
    <x v="0"/>
    <x v="4"/>
    <x v="11"/>
    <x v="10"/>
    <x v="1"/>
    <n v="2"/>
  </r>
  <r>
    <x v="0"/>
    <x v="0"/>
    <x v="0"/>
    <x v="4"/>
    <x v="11"/>
    <x v="10"/>
    <x v="2"/>
    <n v="2"/>
  </r>
  <r>
    <x v="0"/>
    <x v="0"/>
    <x v="0"/>
    <x v="4"/>
    <x v="11"/>
    <x v="10"/>
    <x v="3"/>
    <n v="2"/>
  </r>
  <r>
    <x v="0"/>
    <x v="0"/>
    <x v="0"/>
    <x v="4"/>
    <x v="11"/>
    <x v="10"/>
    <x v="4"/>
    <n v="2"/>
  </r>
  <r>
    <x v="0"/>
    <x v="0"/>
    <x v="0"/>
    <x v="4"/>
    <x v="11"/>
    <x v="10"/>
    <x v="5"/>
    <n v="2"/>
  </r>
  <r>
    <x v="0"/>
    <x v="0"/>
    <x v="0"/>
    <x v="4"/>
    <x v="11"/>
    <x v="10"/>
    <x v="6"/>
    <n v="2"/>
  </r>
  <r>
    <x v="0"/>
    <x v="0"/>
    <x v="0"/>
    <x v="4"/>
    <x v="11"/>
    <x v="10"/>
    <x v="7"/>
    <n v="2"/>
  </r>
  <r>
    <x v="0"/>
    <x v="0"/>
    <x v="0"/>
    <x v="4"/>
    <x v="11"/>
    <x v="10"/>
    <x v="8"/>
    <n v="2"/>
  </r>
  <r>
    <x v="0"/>
    <x v="0"/>
    <x v="0"/>
    <x v="4"/>
    <x v="11"/>
    <x v="10"/>
    <x v="9"/>
    <n v="2"/>
  </r>
  <r>
    <x v="0"/>
    <x v="0"/>
    <x v="0"/>
    <x v="4"/>
    <x v="11"/>
    <x v="10"/>
    <x v="10"/>
    <n v="2"/>
  </r>
  <r>
    <x v="0"/>
    <x v="0"/>
    <x v="0"/>
    <x v="4"/>
    <x v="11"/>
    <x v="10"/>
    <x v="11"/>
    <n v="2"/>
  </r>
  <r>
    <x v="0"/>
    <x v="0"/>
    <x v="0"/>
    <x v="4"/>
    <x v="11"/>
    <x v="11"/>
    <x v="0"/>
    <n v="2"/>
  </r>
  <r>
    <x v="0"/>
    <x v="0"/>
    <x v="0"/>
    <x v="4"/>
    <x v="11"/>
    <x v="11"/>
    <x v="1"/>
    <n v="2"/>
  </r>
  <r>
    <x v="0"/>
    <x v="0"/>
    <x v="0"/>
    <x v="4"/>
    <x v="11"/>
    <x v="11"/>
    <x v="2"/>
    <n v="2"/>
  </r>
  <r>
    <x v="0"/>
    <x v="0"/>
    <x v="0"/>
    <x v="4"/>
    <x v="11"/>
    <x v="11"/>
    <x v="3"/>
    <n v="2"/>
  </r>
  <r>
    <x v="0"/>
    <x v="0"/>
    <x v="0"/>
    <x v="4"/>
    <x v="11"/>
    <x v="11"/>
    <x v="4"/>
    <n v="2"/>
  </r>
  <r>
    <x v="0"/>
    <x v="0"/>
    <x v="0"/>
    <x v="4"/>
    <x v="11"/>
    <x v="11"/>
    <x v="5"/>
    <n v="2"/>
  </r>
  <r>
    <x v="0"/>
    <x v="0"/>
    <x v="0"/>
    <x v="4"/>
    <x v="11"/>
    <x v="11"/>
    <x v="6"/>
    <n v="2"/>
  </r>
  <r>
    <x v="0"/>
    <x v="0"/>
    <x v="0"/>
    <x v="4"/>
    <x v="11"/>
    <x v="11"/>
    <x v="7"/>
    <n v="2"/>
  </r>
  <r>
    <x v="0"/>
    <x v="0"/>
    <x v="0"/>
    <x v="4"/>
    <x v="11"/>
    <x v="11"/>
    <x v="8"/>
    <n v="2"/>
  </r>
  <r>
    <x v="0"/>
    <x v="0"/>
    <x v="0"/>
    <x v="4"/>
    <x v="11"/>
    <x v="11"/>
    <x v="9"/>
    <n v="2"/>
  </r>
  <r>
    <x v="0"/>
    <x v="0"/>
    <x v="0"/>
    <x v="4"/>
    <x v="11"/>
    <x v="11"/>
    <x v="10"/>
    <n v="2"/>
  </r>
  <r>
    <x v="0"/>
    <x v="0"/>
    <x v="0"/>
    <x v="4"/>
    <x v="11"/>
    <x v="11"/>
    <x v="11"/>
    <n v="2"/>
  </r>
  <r>
    <x v="0"/>
    <x v="0"/>
    <x v="0"/>
    <x v="4"/>
    <x v="5"/>
    <x v="0"/>
    <x v="0"/>
    <n v="-0.61"/>
  </r>
  <r>
    <x v="0"/>
    <x v="0"/>
    <x v="0"/>
    <x v="4"/>
    <x v="5"/>
    <x v="0"/>
    <x v="1"/>
    <n v="-0.61"/>
  </r>
  <r>
    <x v="0"/>
    <x v="0"/>
    <x v="0"/>
    <x v="4"/>
    <x v="5"/>
    <x v="0"/>
    <x v="2"/>
    <n v="-0.61"/>
  </r>
  <r>
    <x v="0"/>
    <x v="0"/>
    <x v="0"/>
    <x v="4"/>
    <x v="5"/>
    <x v="0"/>
    <x v="3"/>
    <n v="-0.61"/>
  </r>
  <r>
    <x v="0"/>
    <x v="0"/>
    <x v="0"/>
    <x v="4"/>
    <x v="5"/>
    <x v="0"/>
    <x v="4"/>
    <n v="-0.61"/>
  </r>
  <r>
    <x v="0"/>
    <x v="0"/>
    <x v="0"/>
    <x v="4"/>
    <x v="5"/>
    <x v="0"/>
    <x v="5"/>
    <n v="-0.61"/>
  </r>
  <r>
    <x v="0"/>
    <x v="0"/>
    <x v="0"/>
    <x v="4"/>
    <x v="5"/>
    <x v="0"/>
    <x v="6"/>
    <n v="-0.61"/>
  </r>
  <r>
    <x v="0"/>
    <x v="0"/>
    <x v="0"/>
    <x v="4"/>
    <x v="5"/>
    <x v="0"/>
    <x v="7"/>
    <n v="-0.61"/>
  </r>
  <r>
    <x v="0"/>
    <x v="0"/>
    <x v="0"/>
    <x v="4"/>
    <x v="5"/>
    <x v="0"/>
    <x v="8"/>
    <n v="-0.61"/>
  </r>
  <r>
    <x v="0"/>
    <x v="0"/>
    <x v="0"/>
    <x v="4"/>
    <x v="5"/>
    <x v="0"/>
    <x v="9"/>
    <n v="-0.61"/>
  </r>
  <r>
    <x v="0"/>
    <x v="0"/>
    <x v="0"/>
    <x v="4"/>
    <x v="5"/>
    <x v="0"/>
    <x v="10"/>
    <n v="-0.61"/>
  </r>
  <r>
    <x v="0"/>
    <x v="0"/>
    <x v="0"/>
    <x v="4"/>
    <x v="5"/>
    <x v="0"/>
    <x v="11"/>
    <n v="-0.61"/>
  </r>
  <r>
    <x v="0"/>
    <x v="0"/>
    <x v="0"/>
    <x v="4"/>
    <x v="5"/>
    <x v="1"/>
    <x v="0"/>
    <n v="-0.61"/>
  </r>
  <r>
    <x v="0"/>
    <x v="0"/>
    <x v="0"/>
    <x v="4"/>
    <x v="5"/>
    <x v="1"/>
    <x v="1"/>
    <n v="-0.61"/>
  </r>
  <r>
    <x v="0"/>
    <x v="0"/>
    <x v="0"/>
    <x v="4"/>
    <x v="5"/>
    <x v="1"/>
    <x v="2"/>
    <n v="-0.61"/>
  </r>
  <r>
    <x v="0"/>
    <x v="0"/>
    <x v="0"/>
    <x v="4"/>
    <x v="5"/>
    <x v="1"/>
    <x v="3"/>
    <n v="-0.61"/>
  </r>
  <r>
    <x v="0"/>
    <x v="0"/>
    <x v="0"/>
    <x v="4"/>
    <x v="5"/>
    <x v="1"/>
    <x v="4"/>
    <n v="-0.61"/>
  </r>
  <r>
    <x v="0"/>
    <x v="0"/>
    <x v="0"/>
    <x v="4"/>
    <x v="5"/>
    <x v="1"/>
    <x v="5"/>
    <n v="-0.61"/>
  </r>
  <r>
    <x v="0"/>
    <x v="0"/>
    <x v="0"/>
    <x v="4"/>
    <x v="5"/>
    <x v="1"/>
    <x v="6"/>
    <n v="-0.61"/>
  </r>
  <r>
    <x v="0"/>
    <x v="0"/>
    <x v="0"/>
    <x v="4"/>
    <x v="5"/>
    <x v="1"/>
    <x v="7"/>
    <n v="-0.61"/>
  </r>
  <r>
    <x v="0"/>
    <x v="0"/>
    <x v="0"/>
    <x v="4"/>
    <x v="5"/>
    <x v="1"/>
    <x v="8"/>
    <n v="-0.61"/>
  </r>
  <r>
    <x v="0"/>
    <x v="0"/>
    <x v="0"/>
    <x v="4"/>
    <x v="5"/>
    <x v="1"/>
    <x v="9"/>
    <n v="-0.61"/>
  </r>
  <r>
    <x v="0"/>
    <x v="0"/>
    <x v="0"/>
    <x v="4"/>
    <x v="5"/>
    <x v="1"/>
    <x v="10"/>
    <n v="-0.61"/>
  </r>
  <r>
    <x v="0"/>
    <x v="0"/>
    <x v="0"/>
    <x v="4"/>
    <x v="5"/>
    <x v="1"/>
    <x v="11"/>
    <n v="-0.61"/>
  </r>
  <r>
    <x v="0"/>
    <x v="0"/>
    <x v="0"/>
    <x v="4"/>
    <x v="5"/>
    <x v="2"/>
    <x v="0"/>
    <n v="-0.61"/>
  </r>
  <r>
    <x v="0"/>
    <x v="0"/>
    <x v="0"/>
    <x v="4"/>
    <x v="5"/>
    <x v="2"/>
    <x v="1"/>
    <n v="-0.61"/>
  </r>
  <r>
    <x v="0"/>
    <x v="0"/>
    <x v="0"/>
    <x v="4"/>
    <x v="5"/>
    <x v="2"/>
    <x v="2"/>
    <n v="-0.61"/>
  </r>
  <r>
    <x v="0"/>
    <x v="0"/>
    <x v="0"/>
    <x v="4"/>
    <x v="5"/>
    <x v="2"/>
    <x v="3"/>
    <n v="-0.61"/>
  </r>
  <r>
    <x v="0"/>
    <x v="0"/>
    <x v="0"/>
    <x v="4"/>
    <x v="5"/>
    <x v="2"/>
    <x v="4"/>
    <n v="-0.61"/>
  </r>
  <r>
    <x v="0"/>
    <x v="0"/>
    <x v="0"/>
    <x v="4"/>
    <x v="5"/>
    <x v="2"/>
    <x v="5"/>
    <n v="-0.61"/>
  </r>
  <r>
    <x v="0"/>
    <x v="0"/>
    <x v="0"/>
    <x v="4"/>
    <x v="5"/>
    <x v="2"/>
    <x v="6"/>
    <n v="-0.61"/>
  </r>
  <r>
    <x v="0"/>
    <x v="0"/>
    <x v="0"/>
    <x v="4"/>
    <x v="5"/>
    <x v="2"/>
    <x v="7"/>
    <n v="-0.61"/>
  </r>
  <r>
    <x v="0"/>
    <x v="0"/>
    <x v="0"/>
    <x v="4"/>
    <x v="5"/>
    <x v="2"/>
    <x v="8"/>
    <n v="-0.61"/>
  </r>
  <r>
    <x v="0"/>
    <x v="0"/>
    <x v="0"/>
    <x v="4"/>
    <x v="5"/>
    <x v="2"/>
    <x v="9"/>
    <n v="-0.61"/>
  </r>
  <r>
    <x v="0"/>
    <x v="0"/>
    <x v="0"/>
    <x v="4"/>
    <x v="5"/>
    <x v="2"/>
    <x v="10"/>
    <n v="-0.61"/>
  </r>
  <r>
    <x v="0"/>
    <x v="0"/>
    <x v="0"/>
    <x v="4"/>
    <x v="5"/>
    <x v="2"/>
    <x v="11"/>
    <n v="-0.61"/>
  </r>
  <r>
    <x v="0"/>
    <x v="0"/>
    <x v="0"/>
    <x v="4"/>
    <x v="5"/>
    <x v="3"/>
    <x v="0"/>
    <n v="-0.61"/>
  </r>
  <r>
    <x v="0"/>
    <x v="0"/>
    <x v="0"/>
    <x v="4"/>
    <x v="5"/>
    <x v="3"/>
    <x v="1"/>
    <n v="-0.61"/>
  </r>
  <r>
    <x v="0"/>
    <x v="0"/>
    <x v="0"/>
    <x v="4"/>
    <x v="5"/>
    <x v="3"/>
    <x v="2"/>
    <n v="-0.61"/>
  </r>
  <r>
    <x v="0"/>
    <x v="0"/>
    <x v="0"/>
    <x v="4"/>
    <x v="5"/>
    <x v="3"/>
    <x v="3"/>
    <n v="-0.61"/>
  </r>
  <r>
    <x v="0"/>
    <x v="0"/>
    <x v="0"/>
    <x v="4"/>
    <x v="5"/>
    <x v="3"/>
    <x v="4"/>
    <n v="-0.61"/>
  </r>
  <r>
    <x v="0"/>
    <x v="0"/>
    <x v="0"/>
    <x v="4"/>
    <x v="5"/>
    <x v="3"/>
    <x v="5"/>
    <n v="-0.61"/>
  </r>
  <r>
    <x v="0"/>
    <x v="0"/>
    <x v="0"/>
    <x v="4"/>
    <x v="5"/>
    <x v="3"/>
    <x v="6"/>
    <n v="-0.61"/>
  </r>
  <r>
    <x v="0"/>
    <x v="0"/>
    <x v="0"/>
    <x v="4"/>
    <x v="5"/>
    <x v="3"/>
    <x v="7"/>
    <n v="-0.61"/>
  </r>
  <r>
    <x v="0"/>
    <x v="0"/>
    <x v="0"/>
    <x v="4"/>
    <x v="5"/>
    <x v="3"/>
    <x v="8"/>
    <n v="-0.61"/>
  </r>
  <r>
    <x v="0"/>
    <x v="0"/>
    <x v="0"/>
    <x v="4"/>
    <x v="5"/>
    <x v="3"/>
    <x v="9"/>
    <n v="-0.61"/>
  </r>
  <r>
    <x v="0"/>
    <x v="0"/>
    <x v="0"/>
    <x v="4"/>
    <x v="5"/>
    <x v="3"/>
    <x v="10"/>
    <n v="-0.61"/>
  </r>
  <r>
    <x v="0"/>
    <x v="0"/>
    <x v="0"/>
    <x v="4"/>
    <x v="5"/>
    <x v="3"/>
    <x v="11"/>
    <n v="-0.61"/>
  </r>
  <r>
    <x v="0"/>
    <x v="0"/>
    <x v="0"/>
    <x v="4"/>
    <x v="5"/>
    <x v="4"/>
    <x v="0"/>
    <n v="-0.61"/>
  </r>
  <r>
    <x v="0"/>
    <x v="0"/>
    <x v="0"/>
    <x v="4"/>
    <x v="5"/>
    <x v="4"/>
    <x v="1"/>
    <n v="-0.61"/>
  </r>
  <r>
    <x v="0"/>
    <x v="0"/>
    <x v="0"/>
    <x v="4"/>
    <x v="5"/>
    <x v="4"/>
    <x v="2"/>
    <n v="-0.61"/>
  </r>
  <r>
    <x v="0"/>
    <x v="0"/>
    <x v="0"/>
    <x v="4"/>
    <x v="5"/>
    <x v="4"/>
    <x v="3"/>
    <n v="-0.61"/>
  </r>
  <r>
    <x v="0"/>
    <x v="0"/>
    <x v="0"/>
    <x v="4"/>
    <x v="5"/>
    <x v="4"/>
    <x v="4"/>
    <n v="-0.61"/>
  </r>
  <r>
    <x v="0"/>
    <x v="0"/>
    <x v="0"/>
    <x v="4"/>
    <x v="5"/>
    <x v="4"/>
    <x v="5"/>
    <n v="-0.61"/>
  </r>
  <r>
    <x v="0"/>
    <x v="0"/>
    <x v="0"/>
    <x v="4"/>
    <x v="5"/>
    <x v="4"/>
    <x v="6"/>
    <n v="-0.61"/>
  </r>
  <r>
    <x v="0"/>
    <x v="0"/>
    <x v="0"/>
    <x v="4"/>
    <x v="5"/>
    <x v="4"/>
    <x v="7"/>
    <n v="-0.61"/>
  </r>
  <r>
    <x v="0"/>
    <x v="0"/>
    <x v="0"/>
    <x v="4"/>
    <x v="5"/>
    <x v="4"/>
    <x v="8"/>
    <n v="-0.61"/>
  </r>
  <r>
    <x v="0"/>
    <x v="0"/>
    <x v="0"/>
    <x v="4"/>
    <x v="5"/>
    <x v="4"/>
    <x v="9"/>
    <n v="-0.61"/>
  </r>
  <r>
    <x v="0"/>
    <x v="0"/>
    <x v="0"/>
    <x v="4"/>
    <x v="5"/>
    <x v="4"/>
    <x v="10"/>
    <n v="-0.61"/>
  </r>
  <r>
    <x v="0"/>
    <x v="0"/>
    <x v="0"/>
    <x v="4"/>
    <x v="5"/>
    <x v="4"/>
    <x v="11"/>
    <n v="-0.61"/>
  </r>
  <r>
    <x v="0"/>
    <x v="0"/>
    <x v="0"/>
    <x v="4"/>
    <x v="5"/>
    <x v="5"/>
    <x v="0"/>
    <n v="-0.61"/>
  </r>
  <r>
    <x v="0"/>
    <x v="0"/>
    <x v="0"/>
    <x v="4"/>
    <x v="5"/>
    <x v="5"/>
    <x v="1"/>
    <n v="-0.61"/>
  </r>
  <r>
    <x v="0"/>
    <x v="0"/>
    <x v="0"/>
    <x v="4"/>
    <x v="5"/>
    <x v="5"/>
    <x v="2"/>
    <n v="-0.61"/>
  </r>
  <r>
    <x v="0"/>
    <x v="0"/>
    <x v="0"/>
    <x v="4"/>
    <x v="5"/>
    <x v="5"/>
    <x v="3"/>
    <n v="-0.61"/>
  </r>
  <r>
    <x v="0"/>
    <x v="0"/>
    <x v="0"/>
    <x v="4"/>
    <x v="5"/>
    <x v="5"/>
    <x v="4"/>
    <n v="-0.61"/>
  </r>
  <r>
    <x v="0"/>
    <x v="0"/>
    <x v="0"/>
    <x v="4"/>
    <x v="5"/>
    <x v="5"/>
    <x v="5"/>
    <n v="-0.61"/>
  </r>
  <r>
    <x v="0"/>
    <x v="0"/>
    <x v="0"/>
    <x v="4"/>
    <x v="5"/>
    <x v="5"/>
    <x v="6"/>
    <n v="-0.61"/>
  </r>
  <r>
    <x v="0"/>
    <x v="0"/>
    <x v="0"/>
    <x v="4"/>
    <x v="5"/>
    <x v="5"/>
    <x v="7"/>
    <n v="-0.61"/>
  </r>
  <r>
    <x v="0"/>
    <x v="0"/>
    <x v="0"/>
    <x v="4"/>
    <x v="5"/>
    <x v="5"/>
    <x v="8"/>
    <n v="-0.61"/>
  </r>
  <r>
    <x v="0"/>
    <x v="0"/>
    <x v="0"/>
    <x v="4"/>
    <x v="5"/>
    <x v="5"/>
    <x v="9"/>
    <n v="-0.61"/>
  </r>
  <r>
    <x v="0"/>
    <x v="0"/>
    <x v="0"/>
    <x v="4"/>
    <x v="5"/>
    <x v="5"/>
    <x v="10"/>
    <n v="-0.61"/>
  </r>
  <r>
    <x v="0"/>
    <x v="0"/>
    <x v="0"/>
    <x v="4"/>
    <x v="5"/>
    <x v="5"/>
    <x v="11"/>
    <n v="-0.61"/>
  </r>
  <r>
    <x v="0"/>
    <x v="0"/>
    <x v="0"/>
    <x v="4"/>
    <x v="5"/>
    <x v="6"/>
    <x v="0"/>
    <n v="-0.61"/>
  </r>
  <r>
    <x v="0"/>
    <x v="0"/>
    <x v="0"/>
    <x v="4"/>
    <x v="5"/>
    <x v="6"/>
    <x v="1"/>
    <n v="-0.61"/>
  </r>
  <r>
    <x v="0"/>
    <x v="0"/>
    <x v="0"/>
    <x v="4"/>
    <x v="5"/>
    <x v="6"/>
    <x v="2"/>
    <n v="-0.61"/>
  </r>
  <r>
    <x v="0"/>
    <x v="0"/>
    <x v="0"/>
    <x v="4"/>
    <x v="5"/>
    <x v="6"/>
    <x v="3"/>
    <n v="-0.61"/>
  </r>
  <r>
    <x v="0"/>
    <x v="0"/>
    <x v="0"/>
    <x v="4"/>
    <x v="5"/>
    <x v="6"/>
    <x v="4"/>
    <n v="-0.61"/>
  </r>
  <r>
    <x v="0"/>
    <x v="0"/>
    <x v="0"/>
    <x v="4"/>
    <x v="5"/>
    <x v="6"/>
    <x v="5"/>
    <n v="-0.61"/>
  </r>
  <r>
    <x v="0"/>
    <x v="0"/>
    <x v="0"/>
    <x v="4"/>
    <x v="5"/>
    <x v="6"/>
    <x v="6"/>
    <n v="-0.61"/>
  </r>
  <r>
    <x v="0"/>
    <x v="0"/>
    <x v="0"/>
    <x v="4"/>
    <x v="5"/>
    <x v="6"/>
    <x v="7"/>
    <n v="-0.61"/>
  </r>
  <r>
    <x v="0"/>
    <x v="0"/>
    <x v="0"/>
    <x v="4"/>
    <x v="5"/>
    <x v="6"/>
    <x v="8"/>
    <n v="-0.61"/>
  </r>
  <r>
    <x v="0"/>
    <x v="0"/>
    <x v="0"/>
    <x v="4"/>
    <x v="5"/>
    <x v="6"/>
    <x v="9"/>
    <n v="-0.61"/>
  </r>
  <r>
    <x v="0"/>
    <x v="0"/>
    <x v="0"/>
    <x v="4"/>
    <x v="5"/>
    <x v="6"/>
    <x v="10"/>
    <n v="-0.61"/>
  </r>
  <r>
    <x v="0"/>
    <x v="0"/>
    <x v="0"/>
    <x v="4"/>
    <x v="5"/>
    <x v="6"/>
    <x v="11"/>
    <n v="-0.61"/>
  </r>
  <r>
    <x v="0"/>
    <x v="0"/>
    <x v="0"/>
    <x v="4"/>
    <x v="5"/>
    <x v="7"/>
    <x v="0"/>
    <n v="-0.61"/>
  </r>
  <r>
    <x v="0"/>
    <x v="0"/>
    <x v="0"/>
    <x v="4"/>
    <x v="5"/>
    <x v="7"/>
    <x v="1"/>
    <n v="-0.61"/>
  </r>
  <r>
    <x v="0"/>
    <x v="0"/>
    <x v="0"/>
    <x v="4"/>
    <x v="5"/>
    <x v="7"/>
    <x v="2"/>
    <n v="-0.61"/>
  </r>
  <r>
    <x v="0"/>
    <x v="0"/>
    <x v="0"/>
    <x v="4"/>
    <x v="5"/>
    <x v="7"/>
    <x v="3"/>
    <n v="-0.61"/>
  </r>
  <r>
    <x v="0"/>
    <x v="0"/>
    <x v="0"/>
    <x v="4"/>
    <x v="5"/>
    <x v="7"/>
    <x v="4"/>
    <n v="-0.61"/>
  </r>
  <r>
    <x v="0"/>
    <x v="0"/>
    <x v="0"/>
    <x v="4"/>
    <x v="5"/>
    <x v="7"/>
    <x v="5"/>
    <n v="-0.61"/>
  </r>
  <r>
    <x v="0"/>
    <x v="0"/>
    <x v="0"/>
    <x v="4"/>
    <x v="5"/>
    <x v="7"/>
    <x v="6"/>
    <n v="-0.61"/>
  </r>
  <r>
    <x v="0"/>
    <x v="0"/>
    <x v="0"/>
    <x v="4"/>
    <x v="5"/>
    <x v="7"/>
    <x v="7"/>
    <n v="-0.61"/>
  </r>
  <r>
    <x v="0"/>
    <x v="0"/>
    <x v="0"/>
    <x v="4"/>
    <x v="5"/>
    <x v="7"/>
    <x v="8"/>
    <n v="-0.61"/>
  </r>
  <r>
    <x v="0"/>
    <x v="0"/>
    <x v="0"/>
    <x v="4"/>
    <x v="5"/>
    <x v="7"/>
    <x v="9"/>
    <n v="-0.61"/>
  </r>
  <r>
    <x v="0"/>
    <x v="0"/>
    <x v="0"/>
    <x v="4"/>
    <x v="5"/>
    <x v="7"/>
    <x v="10"/>
    <n v="-0.61"/>
  </r>
  <r>
    <x v="0"/>
    <x v="0"/>
    <x v="0"/>
    <x v="4"/>
    <x v="5"/>
    <x v="7"/>
    <x v="11"/>
    <n v="-0.61"/>
  </r>
  <r>
    <x v="0"/>
    <x v="0"/>
    <x v="0"/>
    <x v="4"/>
    <x v="5"/>
    <x v="8"/>
    <x v="0"/>
    <n v="-0.61"/>
  </r>
  <r>
    <x v="0"/>
    <x v="0"/>
    <x v="0"/>
    <x v="4"/>
    <x v="5"/>
    <x v="8"/>
    <x v="1"/>
    <n v="-0.61"/>
  </r>
  <r>
    <x v="0"/>
    <x v="0"/>
    <x v="0"/>
    <x v="4"/>
    <x v="5"/>
    <x v="8"/>
    <x v="2"/>
    <n v="-0.61"/>
  </r>
  <r>
    <x v="0"/>
    <x v="0"/>
    <x v="0"/>
    <x v="4"/>
    <x v="5"/>
    <x v="8"/>
    <x v="3"/>
    <n v="-0.61"/>
  </r>
  <r>
    <x v="0"/>
    <x v="0"/>
    <x v="0"/>
    <x v="4"/>
    <x v="5"/>
    <x v="8"/>
    <x v="4"/>
    <n v="-0.61"/>
  </r>
  <r>
    <x v="0"/>
    <x v="0"/>
    <x v="0"/>
    <x v="4"/>
    <x v="5"/>
    <x v="8"/>
    <x v="5"/>
    <n v="-0.61"/>
  </r>
  <r>
    <x v="0"/>
    <x v="0"/>
    <x v="0"/>
    <x v="4"/>
    <x v="5"/>
    <x v="8"/>
    <x v="6"/>
    <n v="-0.61"/>
  </r>
  <r>
    <x v="0"/>
    <x v="0"/>
    <x v="0"/>
    <x v="4"/>
    <x v="5"/>
    <x v="8"/>
    <x v="7"/>
    <n v="-0.61"/>
  </r>
  <r>
    <x v="0"/>
    <x v="0"/>
    <x v="0"/>
    <x v="4"/>
    <x v="5"/>
    <x v="8"/>
    <x v="8"/>
    <n v="-0.61"/>
  </r>
  <r>
    <x v="0"/>
    <x v="0"/>
    <x v="0"/>
    <x v="4"/>
    <x v="5"/>
    <x v="8"/>
    <x v="9"/>
    <n v="-0.61"/>
  </r>
  <r>
    <x v="0"/>
    <x v="0"/>
    <x v="0"/>
    <x v="4"/>
    <x v="5"/>
    <x v="8"/>
    <x v="10"/>
    <n v="-0.61"/>
  </r>
  <r>
    <x v="0"/>
    <x v="0"/>
    <x v="0"/>
    <x v="4"/>
    <x v="5"/>
    <x v="8"/>
    <x v="11"/>
    <n v="-0.61"/>
  </r>
  <r>
    <x v="0"/>
    <x v="0"/>
    <x v="0"/>
    <x v="4"/>
    <x v="5"/>
    <x v="9"/>
    <x v="0"/>
    <n v="-0.61"/>
  </r>
  <r>
    <x v="0"/>
    <x v="0"/>
    <x v="0"/>
    <x v="4"/>
    <x v="5"/>
    <x v="9"/>
    <x v="1"/>
    <n v="-0.61"/>
  </r>
  <r>
    <x v="0"/>
    <x v="0"/>
    <x v="0"/>
    <x v="4"/>
    <x v="5"/>
    <x v="9"/>
    <x v="2"/>
    <n v="-0.61"/>
  </r>
  <r>
    <x v="0"/>
    <x v="0"/>
    <x v="0"/>
    <x v="4"/>
    <x v="5"/>
    <x v="9"/>
    <x v="3"/>
    <n v="-0.61"/>
  </r>
  <r>
    <x v="0"/>
    <x v="0"/>
    <x v="0"/>
    <x v="4"/>
    <x v="5"/>
    <x v="9"/>
    <x v="4"/>
    <n v="-0.61"/>
  </r>
  <r>
    <x v="0"/>
    <x v="0"/>
    <x v="0"/>
    <x v="4"/>
    <x v="5"/>
    <x v="9"/>
    <x v="5"/>
    <n v="-0.61"/>
  </r>
  <r>
    <x v="0"/>
    <x v="0"/>
    <x v="0"/>
    <x v="4"/>
    <x v="5"/>
    <x v="9"/>
    <x v="6"/>
    <n v="-0.61"/>
  </r>
  <r>
    <x v="0"/>
    <x v="0"/>
    <x v="0"/>
    <x v="4"/>
    <x v="5"/>
    <x v="9"/>
    <x v="7"/>
    <n v="-0.61"/>
  </r>
  <r>
    <x v="0"/>
    <x v="0"/>
    <x v="0"/>
    <x v="4"/>
    <x v="5"/>
    <x v="9"/>
    <x v="8"/>
    <n v="-0.61"/>
  </r>
  <r>
    <x v="0"/>
    <x v="0"/>
    <x v="0"/>
    <x v="4"/>
    <x v="5"/>
    <x v="9"/>
    <x v="9"/>
    <n v="-0.61"/>
  </r>
  <r>
    <x v="0"/>
    <x v="0"/>
    <x v="0"/>
    <x v="4"/>
    <x v="5"/>
    <x v="9"/>
    <x v="10"/>
    <n v="-0.61"/>
  </r>
  <r>
    <x v="0"/>
    <x v="0"/>
    <x v="0"/>
    <x v="4"/>
    <x v="5"/>
    <x v="9"/>
    <x v="11"/>
    <n v="-0.61"/>
  </r>
  <r>
    <x v="0"/>
    <x v="0"/>
    <x v="0"/>
    <x v="4"/>
    <x v="5"/>
    <x v="10"/>
    <x v="0"/>
    <n v="-0.61"/>
  </r>
  <r>
    <x v="0"/>
    <x v="0"/>
    <x v="0"/>
    <x v="4"/>
    <x v="5"/>
    <x v="10"/>
    <x v="1"/>
    <n v="-0.61"/>
  </r>
  <r>
    <x v="0"/>
    <x v="0"/>
    <x v="0"/>
    <x v="4"/>
    <x v="5"/>
    <x v="10"/>
    <x v="2"/>
    <n v="-0.61"/>
  </r>
  <r>
    <x v="0"/>
    <x v="0"/>
    <x v="0"/>
    <x v="4"/>
    <x v="5"/>
    <x v="10"/>
    <x v="3"/>
    <n v="-0.61"/>
  </r>
  <r>
    <x v="0"/>
    <x v="0"/>
    <x v="0"/>
    <x v="4"/>
    <x v="5"/>
    <x v="10"/>
    <x v="4"/>
    <n v="-0.61"/>
  </r>
  <r>
    <x v="0"/>
    <x v="0"/>
    <x v="0"/>
    <x v="4"/>
    <x v="5"/>
    <x v="10"/>
    <x v="5"/>
    <n v="-0.61"/>
  </r>
  <r>
    <x v="0"/>
    <x v="0"/>
    <x v="0"/>
    <x v="4"/>
    <x v="5"/>
    <x v="10"/>
    <x v="6"/>
    <n v="-0.61"/>
  </r>
  <r>
    <x v="0"/>
    <x v="0"/>
    <x v="0"/>
    <x v="4"/>
    <x v="5"/>
    <x v="10"/>
    <x v="7"/>
    <n v="-0.61"/>
  </r>
  <r>
    <x v="0"/>
    <x v="0"/>
    <x v="0"/>
    <x v="4"/>
    <x v="5"/>
    <x v="10"/>
    <x v="8"/>
    <n v="-0.61"/>
  </r>
  <r>
    <x v="0"/>
    <x v="0"/>
    <x v="0"/>
    <x v="4"/>
    <x v="5"/>
    <x v="10"/>
    <x v="9"/>
    <n v="-0.61"/>
  </r>
  <r>
    <x v="0"/>
    <x v="0"/>
    <x v="0"/>
    <x v="4"/>
    <x v="5"/>
    <x v="10"/>
    <x v="10"/>
    <n v="-0.61"/>
  </r>
  <r>
    <x v="0"/>
    <x v="0"/>
    <x v="0"/>
    <x v="4"/>
    <x v="5"/>
    <x v="10"/>
    <x v="11"/>
    <n v="-0.61"/>
  </r>
  <r>
    <x v="0"/>
    <x v="0"/>
    <x v="0"/>
    <x v="4"/>
    <x v="5"/>
    <x v="11"/>
    <x v="0"/>
    <n v="-0.61"/>
  </r>
  <r>
    <x v="0"/>
    <x v="0"/>
    <x v="0"/>
    <x v="4"/>
    <x v="5"/>
    <x v="11"/>
    <x v="1"/>
    <n v="-0.61"/>
  </r>
  <r>
    <x v="0"/>
    <x v="0"/>
    <x v="0"/>
    <x v="4"/>
    <x v="5"/>
    <x v="11"/>
    <x v="2"/>
    <n v="-0.61"/>
  </r>
  <r>
    <x v="0"/>
    <x v="0"/>
    <x v="0"/>
    <x v="4"/>
    <x v="5"/>
    <x v="11"/>
    <x v="3"/>
    <n v="-0.61"/>
  </r>
  <r>
    <x v="0"/>
    <x v="0"/>
    <x v="0"/>
    <x v="4"/>
    <x v="5"/>
    <x v="11"/>
    <x v="4"/>
    <n v="-0.61"/>
  </r>
  <r>
    <x v="0"/>
    <x v="0"/>
    <x v="0"/>
    <x v="4"/>
    <x v="5"/>
    <x v="11"/>
    <x v="5"/>
    <n v="-0.61"/>
  </r>
  <r>
    <x v="0"/>
    <x v="0"/>
    <x v="0"/>
    <x v="4"/>
    <x v="5"/>
    <x v="11"/>
    <x v="6"/>
    <n v="-0.61"/>
  </r>
  <r>
    <x v="0"/>
    <x v="0"/>
    <x v="0"/>
    <x v="4"/>
    <x v="5"/>
    <x v="11"/>
    <x v="7"/>
    <n v="-0.61"/>
  </r>
  <r>
    <x v="0"/>
    <x v="0"/>
    <x v="0"/>
    <x v="4"/>
    <x v="5"/>
    <x v="11"/>
    <x v="8"/>
    <n v="-0.61"/>
  </r>
  <r>
    <x v="0"/>
    <x v="0"/>
    <x v="0"/>
    <x v="4"/>
    <x v="5"/>
    <x v="11"/>
    <x v="9"/>
    <n v="-0.61"/>
  </r>
  <r>
    <x v="0"/>
    <x v="0"/>
    <x v="0"/>
    <x v="4"/>
    <x v="5"/>
    <x v="11"/>
    <x v="10"/>
    <n v="-0.61"/>
  </r>
  <r>
    <x v="0"/>
    <x v="0"/>
    <x v="0"/>
    <x v="4"/>
    <x v="5"/>
    <x v="11"/>
    <x v="11"/>
    <n v="-0.61"/>
  </r>
  <r>
    <x v="0"/>
    <x v="0"/>
    <x v="0"/>
    <x v="5"/>
    <x v="7"/>
    <x v="0"/>
    <x v="0"/>
    <n v="-0.50878149827746699"/>
  </r>
  <r>
    <x v="0"/>
    <x v="0"/>
    <x v="0"/>
    <x v="5"/>
    <x v="7"/>
    <x v="0"/>
    <x v="1"/>
    <n v="-0.48842030871333802"/>
  </r>
  <r>
    <x v="0"/>
    <x v="0"/>
    <x v="0"/>
    <x v="5"/>
    <x v="7"/>
    <x v="0"/>
    <x v="2"/>
    <n v="-0.44866929685525597"/>
  </r>
  <r>
    <x v="0"/>
    <x v="0"/>
    <x v="0"/>
    <x v="5"/>
    <x v="7"/>
    <x v="0"/>
    <x v="3"/>
    <n v="-0.441023292398739"/>
  </r>
  <r>
    <x v="0"/>
    <x v="0"/>
    <x v="0"/>
    <x v="5"/>
    <x v="7"/>
    <x v="0"/>
    <x v="4"/>
    <n v="-0.45892764054518498"/>
  </r>
  <r>
    <x v="0"/>
    <x v="0"/>
    <x v="0"/>
    <x v="5"/>
    <x v="7"/>
    <x v="0"/>
    <x v="5"/>
    <n v="-0.47240853872663602"/>
  </r>
  <r>
    <x v="0"/>
    <x v="0"/>
    <x v="0"/>
    <x v="5"/>
    <x v="7"/>
    <x v="0"/>
    <x v="6"/>
    <n v="-0.44864059709653098"/>
  </r>
  <r>
    <x v="0"/>
    <x v="0"/>
    <x v="0"/>
    <x v="5"/>
    <x v="7"/>
    <x v="0"/>
    <x v="7"/>
    <n v="-0.47411828749502299"/>
  </r>
  <r>
    <x v="0"/>
    <x v="0"/>
    <x v="0"/>
    <x v="5"/>
    <x v="7"/>
    <x v="0"/>
    <x v="8"/>
    <n v="-0.47888606075630202"/>
  </r>
  <r>
    <x v="0"/>
    <x v="0"/>
    <x v="0"/>
    <x v="5"/>
    <x v="7"/>
    <x v="0"/>
    <x v="9"/>
    <n v="-0.48522171398241998"/>
  </r>
  <r>
    <x v="0"/>
    <x v="0"/>
    <x v="0"/>
    <x v="5"/>
    <x v="7"/>
    <x v="0"/>
    <x v="10"/>
    <n v="-0.46733109075235102"/>
  </r>
  <r>
    <x v="0"/>
    <x v="0"/>
    <x v="0"/>
    <x v="5"/>
    <x v="7"/>
    <x v="0"/>
    <x v="11"/>
    <n v="-0.42267155886187302"/>
  </r>
  <r>
    <x v="0"/>
    <x v="0"/>
    <x v="0"/>
    <x v="5"/>
    <x v="7"/>
    <x v="1"/>
    <x v="0"/>
    <n v="-0.45954900487960598"/>
  </r>
  <r>
    <x v="0"/>
    <x v="0"/>
    <x v="0"/>
    <x v="5"/>
    <x v="7"/>
    <x v="1"/>
    <x v="1"/>
    <n v="-0.44766302577727901"/>
  </r>
  <r>
    <x v="0"/>
    <x v="0"/>
    <x v="0"/>
    <x v="5"/>
    <x v="7"/>
    <x v="1"/>
    <x v="2"/>
    <n v="-0.44794273348983898"/>
  </r>
  <r>
    <x v="0"/>
    <x v="0"/>
    <x v="0"/>
    <x v="5"/>
    <x v="7"/>
    <x v="1"/>
    <x v="3"/>
    <n v="-0.465001756317304"/>
  </r>
  <r>
    <x v="0"/>
    <x v="0"/>
    <x v="0"/>
    <x v="5"/>
    <x v="7"/>
    <x v="1"/>
    <x v="4"/>
    <n v="-0.48915121254313099"/>
  </r>
  <r>
    <x v="0"/>
    <x v="0"/>
    <x v="0"/>
    <x v="5"/>
    <x v="7"/>
    <x v="1"/>
    <x v="5"/>
    <n v="-0.54157323001522994"/>
  </r>
  <r>
    <x v="0"/>
    <x v="0"/>
    <x v="0"/>
    <x v="5"/>
    <x v="7"/>
    <x v="1"/>
    <x v="6"/>
    <n v="-0.44946541393262901"/>
  </r>
  <r>
    <x v="0"/>
    <x v="0"/>
    <x v="0"/>
    <x v="5"/>
    <x v="7"/>
    <x v="1"/>
    <x v="7"/>
    <n v="-0.59931426147925104"/>
  </r>
  <r>
    <x v="0"/>
    <x v="0"/>
    <x v="0"/>
    <x v="5"/>
    <x v="7"/>
    <x v="1"/>
    <x v="8"/>
    <n v="-0.74646091882222299"/>
  </r>
  <r>
    <x v="0"/>
    <x v="0"/>
    <x v="0"/>
    <x v="5"/>
    <x v="7"/>
    <x v="1"/>
    <x v="9"/>
    <n v="-0.90145904899427898"/>
  </r>
  <r>
    <x v="0"/>
    <x v="0"/>
    <x v="0"/>
    <x v="5"/>
    <x v="7"/>
    <x v="1"/>
    <x v="10"/>
    <n v="-0.90103544804392699"/>
  </r>
  <r>
    <x v="0"/>
    <x v="0"/>
    <x v="0"/>
    <x v="5"/>
    <x v="7"/>
    <x v="1"/>
    <x v="11"/>
    <n v="-0.89810641116119905"/>
  </r>
  <r>
    <x v="0"/>
    <x v="0"/>
    <x v="0"/>
    <x v="5"/>
    <x v="7"/>
    <x v="2"/>
    <x v="0"/>
    <n v="-0.48104156017030097"/>
  </r>
  <r>
    <x v="0"/>
    <x v="0"/>
    <x v="0"/>
    <x v="5"/>
    <x v="7"/>
    <x v="2"/>
    <x v="1"/>
    <n v="-0.30030936180761503"/>
  </r>
  <r>
    <x v="0"/>
    <x v="0"/>
    <x v="0"/>
    <x v="5"/>
    <x v="7"/>
    <x v="2"/>
    <x v="2"/>
    <n v="-0.27403075539367"/>
  </r>
  <r>
    <x v="0"/>
    <x v="0"/>
    <x v="0"/>
    <x v="5"/>
    <x v="7"/>
    <x v="2"/>
    <x v="3"/>
    <n v="-0.44469850852056397"/>
  </r>
  <r>
    <x v="0"/>
    <x v="0"/>
    <x v="0"/>
    <x v="5"/>
    <x v="7"/>
    <x v="2"/>
    <x v="4"/>
    <n v="-0.45925572858804897"/>
  </r>
  <r>
    <x v="0"/>
    <x v="0"/>
    <x v="0"/>
    <x v="5"/>
    <x v="7"/>
    <x v="2"/>
    <x v="5"/>
    <n v="-0.404847132050345"/>
  </r>
  <r>
    <x v="0"/>
    <x v="0"/>
    <x v="0"/>
    <x v="5"/>
    <x v="7"/>
    <x v="2"/>
    <x v="6"/>
    <n v="-0.40073424853467099"/>
  </r>
  <r>
    <x v="0"/>
    <x v="0"/>
    <x v="0"/>
    <x v="5"/>
    <x v="7"/>
    <x v="2"/>
    <x v="7"/>
    <n v="-0.57107256809669604"/>
  </r>
  <r>
    <x v="0"/>
    <x v="0"/>
    <x v="0"/>
    <x v="5"/>
    <x v="7"/>
    <x v="2"/>
    <x v="8"/>
    <n v="-0.75336819388012599"/>
  </r>
  <r>
    <x v="0"/>
    <x v="0"/>
    <x v="0"/>
    <x v="5"/>
    <x v="7"/>
    <x v="2"/>
    <x v="9"/>
    <n v="-0.37367624100032598"/>
  </r>
  <r>
    <x v="0"/>
    <x v="0"/>
    <x v="0"/>
    <x v="5"/>
    <x v="7"/>
    <x v="2"/>
    <x v="10"/>
    <n v="-0.49083313645145799"/>
  </r>
  <r>
    <x v="0"/>
    <x v="0"/>
    <x v="0"/>
    <x v="5"/>
    <x v="7"/>
    <x v="2"/>
    <x v="11"/>
    <n v="-0.50016142942867403"/>
  </r>
  <r>
    <x v="0"/>
    <x v="0"/>
    <x v="0"/>
    <x v="5"/>
    <x v="7"/>
    <x v="3"/>
    <x v="0"/>
    <n v="-0.38740632154565402"/>
  </r>
  <r>
    <x v="0"/>
    <x v="0"/>
    <x v="0"/>
    <x v="5"/>
    <x v="7"/>
    <x v="3"/>
    <x v="1"/>
    <n v="-0.40161554779293301"/>
  </r>
  <r>
    <x v="0"/>
    <x v="0"/>
    <x v="0"/>
    <x v="5"/>
    <x v="7"/>
    <x v="3"/>
    <x v="2"/>
    <n v="-0.40671888520716998"/>
  </r>
  <r>
    <x v="0"/>
    <x v="0"/>
    <x v="0"/>
    <x v="5"/>
    <x v="7"/>
    <x v="3"/>
    <x v="3"/>
    <n v="-0.40129792158351901"/>
  </r>
  <r>
    <x v="0"/>
    <x v="0"/>
    <x v="0"/>
    <x v="5"/>
    <x v="7"/>
    <x v="3"/>
    <x v="4"/>
    <n v="-0.47075128359331803"/>
  </r>
  <r>
    <x v="0"/>
    <x v="0"/>
    <x v="0"/>
    <x v="5"/>
    <x v="7"/>
    <x v="3"/>
    <x v="5"/>
    <n v="-0.38239378538877"/>
  </r>
  <r>
    <x v="0"/>
    <x v="0"/>
    <x v="0"/>
    <x v="5"/>
    <x v="7"/>
    <x v="3"/>
    <x v="6"/>
    <n v="-0.45048844071514599"/>
  </r>
  <r>
    <x v="0"/>
    <x v="0"/>
    <x v="0"/>
    <x v="5"/>
    <x v="7"/>
    <x v="3"/>
    <x v="7"/>
    <n v="-0.52195082408044902"/>
  </r>
  <r>
    <x v="0"/>
    <x v="0"/>
    <x v="0"/>
    <x v="5"/>
    <x v="7"/>
    <x v="3"/>
    <x v="8"/>
    <n v="-0.80217649727402296"/>
  </r>
  <r>
    <x v="0"/>
    <x v="0"/>
    <x v="0"/>
    <x v="5"/>
    <x v="7"/>
    <x v="3"/>
    <x v="9"/>
    <n v="-0.60510881206097999"/>
  </r>
  <r>
    <x v="0"/>
    <x v="0"/>
    <x v="0"/>
    <x v="5"/>
    <x v="7"/>
    <x v="3"/>
    <x v="10"/>
    <n v="-0.63707798124131998"/>
  </r>
  <r>
    <x v="0"/>
    <x v="0"/>
    <x v="0"/>
    <x v="5"/>
    <x v="7"/>
    <x v="3"/>
    <x v="11"/>
    <n v="-0.63818676146668196"/>
  </r>
  <r>
    <x v="0"/>
    <x v="0"/>
    <x v="0"/>
    <x v="5"/>
    <x v="7"/>
    <x v="4"/>
    <x v="0"/>
    <n v="-0.31075668568064402"/>
  </r>
  <r>
    <x v="0"/>
    <x v="0"/>
    <x v="0"/>
    <x v="5"/>
    <x v="7"/>
    <x v="4"/>
    <x v="1"/>
    <n v="-0.31883611857479"/>
  </r>
  <r>
    <x v="0"/>
    <x v="0"/>
    <x v="0"/>
    <x v="5"/>
    <x v="7"/>
    <x v="4"/>
    <x v="2"/>
    <n v="-0.31490096360567299"/>
  </r>
  <r>
    <x v="0"/>
    <x v="0"/>
    <x v="0"/>
    <x v="5"/>
    <x v="7"/>
    <x v="4"/>
    <x v="3"/>
    <n v="-0.30962172648824698"/>
  </r>
  <r>
    <x v="0"/>
    <x v="0"/>
    <x v="0"/>
    <x v="5"/>
    <x v="7"/>
    <x v="4"/>
    <x v="4"/>
    <n v="-0.27560470797672498"/>
  </r>
  <r>
    <x v="0"/>
    <x v="0"/>
    <x v="0"/>
    <x v="5"/>
    <x v="7"/>
    <x v="4"/>
    <x v="5"/>
    <n v="-0.18481691312562901"/>
  </r>
  <r>
    <x v="0"/>
    <x v="0"/>
    <x v="0"/>
    <x v="5"/>
    <x v="7"/>
    <x v="4"/>
    <x v="6"/>
    <n v="-0.24811384002446199"/>
  </r>
  <r>
    <x v="0"/>
    <x v="0"/>
    <x v="0"/>
    <x v="5"/>
    <x v="7"/>
    <x v="4"/>
    <x v="7"/>
    <n v="-0.444180132877248"/>
  </r>
  <r>
    <x v="0"/>
    <x v="0"/>
    <x v="0"/>
    <x v="5"/>
    <x v="7"/>
    <x v="4"/>
    <x v="8"/>
    <n v="-0.64916116800234003"/>
  </r>
  <r>
    <x v="0"/>
    <x v="0"/>
    <x v="0"/>
    <x v="5"/>
    <x v="7"/>
    <x v="4"/>
    <x v="9"/>
    <n v="-0.74268128188122995"/>
  </r>
  <r>
    <x v="0"/>
    <x v="0"/>
    <x v="0"/>
    <x v="5"/>
    <x v="7"/>
    <x v="4"/>
    <x v="10"/>
    <n v="-0.76231211030231405"/>
  </r>
  <r>
    <x v="0"/>
    <x v="0"/>
    <x v="0"/>
    <x v="5"/>
    <x v="7"/>
    <x v="4"/>
    <x v="11"/>
    <n v="-0.74777994711121698"/>
  </r>
  <r>
    <x v="0"/>
    <x v="0"/>
    <x v="0"/>
    <x v="5"/>
    <x v="7"/>
    <x v="5"/>
    <x v="0"/>
    <n v="-0.23885421560244299"/>
  </r>
  <r>
    <x v="0"/>
    <x v="0"/>
    <x v="0"/>
    <x v="5"/>
    <x v="7"/>
    <x v="5"/>
    <x v="1"/>
    <n v="-0.17549671776055301"/>
  </r>
  <r>
    <x v="0"/>
    <x v="0"/>
    <x v="0"/>
    <x v="5"/>
    <x v="7"/>
    <x v="5"/>
    <x v="2"/>
    <n v="-0.28685301135223601"/>
  </r>
  <r>
    <x v="0"/>
    <x v="0"/>
    <x v="0"/>
    <x v="5"/>
    <x v="7"/>
    <x v="5"/>
    <x v="3"/>
    <n v="-0.30326331496075698"/>
  </r>
  <r>
    <x v="0"/>
    <x v="0"/>
    <x v="0"/>
    <x v="5"/>
    <x v="7"/>
    <x v="5"/>
    <x v="4"/>
    <n v="-0.26158605941115298"/>
  </r>
  <r>
    <x v="0"/>
    <x v="0"/>
    <x v="0"/>
    <x v="5"/>
    <x v="7"/>
    <x v="5"/>
    <x v="5"/>
    <n v="-0.164940556573311"/>
  </r>
  <r>
    <x v="0"/>
    <x v="0"/>
    <x v="0"/>
    <x v="5"/>
    <x v="7"/>
    <x v="5"/>
    <x v="6"/>
    <n v="-0.22679767027429201"/>
  </r>
  <r>
    <x v="0"/>
    <x v="0"/>
    <x v="0"/>
    <x v="5"/>
    <x v="7"/>
    <x v="5"/>
    <x v="7"/>
    <n v="-0.36572050026019398"/>
  </r>
  <r>
    <x v="0"/>
    <x v="0"/>
    <x v="0"/>
    <x v="5"/>
    <x v="7"/>
    <x v="5"/>
    <x v="8"/>
    <n v="-0.54640423559375595"/>
  </r>
  <r>
    <x v="0"/>
    <x v="0"/>
    <x v="0"/>
    <x v="5"/>
    <x v="7"/>
    <x v="5"/>
    <x v="9"/>
    <n v="-0.62121045325044699"/>
  </r>
  <r>
    <x v="0"/>
    <x v="0"/>
    <x v="0"/>
    <x v="5"/>
    <x v="7"/>
    <x v="5"/>
    <x v="10"/>
    <n v="-0.557538809956866"/>
  </r>
  <r>
    <x v="0"/>
    <x v="0"/>
    <x v="0"/>
    <x v="5"/>
    <x v="7"/>
    <x v="5"/>
    <x v="11"/>
    <n v="-0.68592564200000194"/>
  </r>
  <r>
    <x v="0"/>
    <x v="0"/>
    <x v="0"/>
    <x v="5"/>
    <x v="7"/>
    <x v="6"/>
    <x v="0"/>
    <n v="-0.299460758745966"/>
  </r>
  <r>
    <x v="0"/>
    <x v="0"/>
    <x v="0"/>
    <x v="5"/>
    <x v="7"/>
    <x v="6"/>
    <x v="1"/>
    <n v="-0.30863368693945598"/>
  </r>
  <r>
    <x v="0"/>
    <x v="0"/>
    <x v="0"/>
    <x v="5"/>
    <x v="7"/>
    <x v="6"/>
    <x v="2"/>
    <n v="-0.33151141486084401"/>
  </r>
  <r>
    <x v="0"/>
    <x v="0"/>
    <x v="0"/>
    <x v="5"/>
    <x v="7"/>
    <x v="6"/>
    <x v="3"/>
    <n v="-0.31892897102843898"/>
  </r>
  <r>
    <x v="0"/>
    <x v="0"/>
    <x v="0"/>
    <x v="5"/>
    <x v="7"/>
    <x v="6"/>
    <x v="4"/>
    <n v="-0.295326536268605"/>
  </r>
  <r>
    <x v="0"/>
    <x v="0"/>
    <x v="0"/>
    <x v="5"/>
    <x v="7"/>
    <x v="6"/>
    <x v="5"/>
    <n v="-0.26004564332873997"/>
  </r>
  <r>
    <x v="0"/>
    <x v="0"/>
    <x v="0"/>
    <x v="5"/>
    <x v="7"/>
    <x v="6"/>
    <x v="6"/>
    <n v="-0.31707139895146003"/>
  </r>
  <r>
    <x v="0"/>
    <x v="0"/>
    <x v="0"/>
    <x v="5"/>
    <x v="7"/>
    <x v="6"/>
    <x v="7"/>
    <n v="-0.43730519079014601"/>
  </r>
  <r>
    <x v="0"/>
    <x v="0"/>
    <x v="0"/>
    <x v="5"/>
    <x v="7"/>
    <x v="6"/>
    <x v="8"/>
    <n v="-0.52454928836895598"/>
  </r>
  <r>
    <x v="0"/>
    <x v="0"/>
    <x v="0"/>
    <x v="5"/>
    <x v="7"/>
    <x v="6"/>
    <x v="9"/>
    <n v="-0.66325067575732999"/>
  </r>
  <r>
    <x v="0"/>
    <x v="0"/>
    <x v="0"/>
    <x v="5"/>
    <x v="7"/>
    <x v="6"/>
    <x v="10"/>
    <n v="-0.69507113663957598"/>
  </r>
  <r>
    <x v="0"/>
    <x v="0"/>
    <x v="0"/>
    <x v="5"/>
    <x v="7"/>
    <x v="6"/>
    <x v="11"/>
    <n v="-0.70772540610419199"/>
  </r>
  <r>
    <x v="0"/>
    <x v="0"/>
    <x v="0"/>
    <x v="5"/>
    <x v="7"/>
    <x v="7"/>
    <x v="0"/>
    <n v="-0.41280763505900198"/>
  </r>
  <r>
    <x v="0"/>
    <x v="0"/>
    <x v="0"/>
    <x v="5"/>
    <x v="7"/>
    <x v="7"/>
    <x v="1"/>
    <n v="-0.43869758770671002"/>
  </r>
  <r>
    <x v="0"/>
    <x v="0"/>
    <x v="0"/>
    <x v="5"/>
    <x v="7"/>
    <x v="7"/>
    <x v="2"/>
    <n v="-0.43609802088624999"/>
  </r>
  <r>
    <x v="0"/>
    <x v="0"/>
    <x v="0"/>
    <x v="5"/>
    <x v="7"/>
    <x v="7"/>
    <x v="3"/>
    <n v="-0.430325257856221"/>
  </r>
  <r>
    <x v="0"/>
    <x v="0"/>
    <x v="0"/>
    <x v="5"/>
    <x v="7"/>
    <x v="7"/>
    <x v="4"/>
    <n v="-0.41603539454409899"/>
  </r>
  <r>
    <x v="0"/>
    <x v="0"/>
    <x v="0"/>
    <x v="5"/>
    <x v="7"/>
    <x v="7"/>
    <x v="5"/>
    <n v="-0.36278931976952999"/>
  </r>
  <r>
    <x v="0"/>
    <x v="0"/>
    <x v="0"/>
    <x v="5"/>
    <x v="7"/>
    <x v="7"/>
    <x v="6"/>
    <n v="-0.35742548258520701"/>
  </r>
  <r>
    <x v="0"/>
    <x v="0"/>
    <x v="0"/>
    <x v="5"/>
    <x v="7"/>
    <x v="7"/>
    <x v="7"/>
    <n v="-0.54470860105391905"/>
  </r>
  <r>
    <x v="0"/>
    <x v="0"/>
    <x v="0"/>
    <x v="5"/>
    <x v="7"/>
    <x v="7"/>
    <x v="8"/>
    <n v="-0.731822020406248"/>
  </r>
  <r>
    <x v="0"/>
    <x v="0"/>
    <x v="0"/>
    <x v="5"/>
    <x v="7"/>
    <x v="7"/>
    <x v="9"/>
    <n v="-0.83839195558813195"/>
  </r>
  <r>
    <x v="0"/>
    <x v="0"/>
    <x v="0"/>
    <x v="5"/>
    <x v="7"/>
    <x v="7"/>
    <x v="10"/>
    <n v="-0.92727396672493301"/>
  </r>
  <r>
    <x v="0"/>
    <x v="0"/>
    <x v="0"/>
    <x v="5"/>
    <x v="7"/>
    <x v="7"/>
    <x v="11"/>
    <n v="-0.92050128255153496"/>
  </r>
  <r>
    <x v="0"/>
    <x v="0"/>
    <x v="0"/>
    <x v="5"/>
    <x v="7"/>
    <x v="8"/>
    <x v="0"/>
    <n v="-0.45409746987814498"/>
  </r>
  <r>
    <x v="0"/>
    <x v="0"/>
    <x v="0"/>
    <x v="5"/>
    <x v="7"/>
    <x v="8"/>
    <x v="1"/>
    <n v="-0.42562147577876802"/>
  </r>
  <r>
    <x v="0"/>
    <x v="0"/>
    <x v="0"/>
    <x v="5"/>
    <x v="7"/>
    <x v="8"/>
    <x v="2"/>
    <n v="-0.62798650338004702"/>
  </r>
  <r>
    <x v="0"/>
    <x v="0"/>
    <x v="0"/>
    <x v="5"/>
    <x v="7"/>
    <x v="8"/>
    <x v="3"/>
    <n v="-0.59479645502467704"/>
  </r>
  <r>
    <x v="0"/>
    <x v="0"/>
    <x v="0"/>
    <x v="5"/>
    <x v="7"/>
    <x v="8"/>
    <x v="4"/>
    <n v="-0.64660665902871495"/>
  </r>
  <r>
    <x v="0"/>
    <x v="0"/>
    <x v="0"/>
    <x v="5"/>
    <x v="7"/>
    <x v="8"/>
    <x v="5"/>
    <n v="-0.60518210032834596"/>
  </r>
  <r>
    <x v="0"/>
    <x v="0"/>
    <x v="0"/>
    <x v="5"/>
    <x v="7"/>
    <x v="8"/>
    <x v="6"/>
    <n v="-0.585848663498865"/>
  </r>
  <r>
    <x v="0"/>
    <x v="0"/>
    <x v="0"/>
    <x v="5"/>
    <x v="7"/>
    <x v="8"/>
    <x v="7"/>
    <n v="-0.69779972522798595"/>
  </r>
  <r>
    <x v="0"/>
    <x v="0"/>
    <x v="0"/>
    <x v="5"/>
    <x v="7"/>
    <x v="8"/>
    <x v="8"/>
    <n v="-0.80720966655717596"/>
  </r>
  <r>
    <x v="0"/>
    <x v="0"/>
    <x v="0"/>
    <x v="5"/>
    <x v="7"/>
    <x v="8"/>
    <x v="9"/>
    <n v="-0.90345573211354901"/>
  </r>
  <r>
    <x v="0"/>
    <x v="0"/>
    <x v="0"/>
    <x v="5"/>
    <x v="7"/>
    <x v="8"/>
    <x v="10"/>
    <n v="-0.94197989637062096"/>
  </r>
  <r>
    <x v="0"/>
    <x v="0"/>
    <x v="0"/>
    <x v="5"/>
    <x v="7"/>
    <x v="8"/>
    <x v="11"/>
    <n v="-0.89392285586197195"/>
  </r>
  <r>
    <x v="0"/>
    <x v="0"/>
    <x v="0"/>
    <x v="5"/>
    <x v="7"/>
    <x v="9"/>
    <x v="0"/>
    <n v="-0.51375601933090398"/>
  </r>
  <r>
    <x v="0"/>
    <x v="0"/>
    <x v="0"/>
    <x v="5"/>
    <x v="7"/>
    <x v="9"/>
    <x v="1"/>
    <n v="-0.466992960843648"/>
  </r>
  <r>
    <x v="0"/>
    <x v="0"/>
    <x v="0"/>
    <x v="5"/>
    <x v="7"/>
    <x v="9"/>
    <x v="2"/>
    <n v="-0.53949313444761204"/>
  </r>
  <r>
    <x v="0"/>
    <x v="0"/>
    <x v="0"/>
    <x v="5"/>
    <x v="7"/>
    <x v="9"/>
    <x v="3"/>
    <n v="-0.482233433428227"/>
  </r>
  <r>
    <x v="0"/>
    <x v="0"/>
    <x v="0"/>
    <x v="5"/>
    <x v="7"/>
    <x v="9"/>
    <x v="4"/>
    <n v="-0.42649809086907298"/>
  </r>
  <r>
    <x v="0"/>
    <x v="0"/>
    <x v="0"/>
    <x v="5"/>
    <x v="7"/>
    <x v="9"/>
    <x v="5"/>
    <n v="-0.43290722918871899"/>
  </r>
  <r>
    <x v="0"/>
    <x v="0"/>
    <x v="0"/>
    <x v="5"/>
    <x v="7"/>
    <x v="9"/>
    <x v="6"/>
    <n v="-0.46321834980842702"/>
  </r>
  <r>
    <x v="0"/>
    <x v="0"/>
    <x v="0"/>
    <x v="5"/>
    <x v="7"/>
    <x v="9"/>
    <x v="7"/>
    <n v="-0.61304332164436304"/>
  </r>
  <r>
    <x v="0"/>
    <x v="0"/>
    <x v="0"/>
    <x v="5"/>
    <x v="7"/>
    <x v="9"/>
    <x v="8"/>
    <n v="-0.724668050579514"/>
  </r>
  <r>
    <x v="0"/>
    <x v="0"/>
    <x v="0"/>
    <x v="5"/>
    <x v="7"/>
    <x v="9"/>
    <x v="9"/>
    <n v="-0.84833287900999299"/>
  </r>
  <r>
    <x v="0"/>
    <x v="0"/>
    <x v="0"/>
    <x v="5"/>
    <x v="7"/>
    <x v="9"/>
    <x v="10"/>
    <n v="-0.89286556440265097"/>
  </r>
  <r>
    <x v="0"/>
    <x v="0"/>
    <x v="0"/>
    <x v="5"/>
    <x v="7"/>
    <x v="9"/>
    <x v="11"/>
    <n v="-0.80984909954798501"/>
  </r>
  <r>
    <x v="0"/>
    <x v="0"/>
    <x v="0"/>
    <x v="5"/>
    <x v="7"/>
    <x v="10"/>
    <x v="0"/>
    <n v="-0.47527307395506002"/>
  </r>
  <r>
    <x v="0"/>
    <x v="0"/>
    <x v="0"/>
    <x v="5"/>
    <x v="7"/>
    <x v="10"/>
    <x v="1"/>
    <n v="-0.48832261175687097"/>
  </r>
  <r>
    <x v="0"/>
    <x v="0"/>
    <x v="0"/>
    <x v="5"/>
    <x v="7"/>
    <x v="10"/>
    <x v="2"/>
    <n v="-0.541929384943865"/>
  </r>
  <r>
    <x v="0"/>
    <x v="0"/>
    <x v="0"/>
    <x v="5"/>
    <x v="7"/>
    <x v="10"/>
    <x v="3"/>
    <n v="-0.51660000837896103"/>
  </r>
  <r>
    <x v="0"/>
    <x v="0"/>
    <x v="0"/>
    <x v="5"/>
    <x v="7"/>
    <x v="10"/>
    <x v="4"/>
    <n v="-0.50731163402895096"/>
  </r>
  <r>
    <x v="0"/>
    <x v="0"/>
    <x v="0"/>
    <x v="5"/>
    <x v="7"/>
    <x v="10"/>
    <x v="5"/>
    <n v="-0.51914716746880196"/>
  </r>
  <r>
    <x v="0"/>
    <x v="0"/>
    <x v="0"/>
    <x v="5"/>
    <x v="7"/>
    <x v="10"/>
    <x v="6"/>
    <n v="-0.48058606453256603"/>
  </r>
  <r>
    <x v="0"/>
    <x v="0"/>
    <x v="0"/>
    <x v="5"/>
    <x v="7"/>
    <x v="10"/>
    <x v="7"/>
    <n v="-0.42510427975005599"/>
  </r>
  <r>
    <x v="0"/>
    <x v="0"/>
    <x v="0"/>
    <x v="5"/>
    <x v="7"/>
    <x v="10"/>
    <x v="8"/>
    <n v="-0.42422385325939399"/>
  </r>
  <r>
    <x v="0"/>
    <x v="0"/>
    <x v="0"/>
    <x v="5"/>
    <x v="7"/>
    <x v="10"/>
    <x v="9"/>
    <n v="-0.56939667584903897"/>
  </r>
  <r>
    <x v="0"/>
    <x v="0"/>
    <x v="0"/>
    <x v="5"/>
    <x v="7"/>
    <x v="10"/>
    <x v="10"/>
    <n v="-0.61996514700377603"/>
  </r>
  <r>
    <x v="0"/>
    <x v="0"/>
    <x v="0"/>
    <x v="5"/>
    <x v="7"/>
    <x v="10"/>
    <x v="11"/>
    <n v="-0.57782951875961397"/>
  </r>
  <r>
    <x v="0"/>
    <x v="0"/>
    <x v="0"/>
    <x v="5"/>
    <x v="7"/>
    <x v="11"/>
    <x v="0"/>
    <n v="-0.29647395609857102"/>
  </r>
  <r>
    <x v="0"/>
    <x v="0"/>
    <x v="0"/>
    <x v="5"/>
    <x v="7"/>
    <x v="11"/>
    <x v="1"/>
    <n v="-0.382011441196345"/>
  </r>
  <r>
    <x v="0"/>
    <x v="0"/>
    <x v="0"/>
    <x v="5"/>
    <x v="7"/>
    <x v="11"/>
    <x v="2"/>
    <n v="-0.29810983531512403"/>
  </r>
  <r>
    <x v="0"/>
    <x v="0"/>
    <x v="0"/>
    <x v="5"/>
    <x v="7"/>
    <x v="11"/>
    <x v="3"/>
    <n v="-0.53226201353165103"/>
  </r>
  <r>
    <x v="0"/>
    <x v="0"/>
    <x v="0"/>
    <x v="5"/>
    <x v="7"/>
    <x v="11"/>
    <x v="4"/>
    <n v="-0.51059646097542999"/>
  </r>
  <r>
    <x v="0"/>
    <x v="0"/>
    <x v="0"/>
    <x v="5"/>
    <x v="7"/>
    <x v="11"/>
    <x v="5"/>
    <n v="-0.42759898019932602"/>
  </r>
  <r>
    <x v="0"/>
    <x v="0"/>
    <x v="0"/>
    <x v="5"/>
    <x v="7"/>
    <x v="11"/>
    <x v="6"/>
    <n v="-0.41121063345098602"/>
  </r>
  <r>
    <x v="0"/>
    <x v="0"/>
    <x v="0"/>
    <x v="5"/>
    <x v="7"/>
    <x v="11"/>
    <x v="7"/>
    <n v="-0.46450174125994498"/>
  </r>
  <r>
    <x v="0"/>
    <x v="0"/>
    <x v="0"/>
    <x v="5"/>
    <x v="7"/>
    <x v="11"/>
    <x v="8"/>
    <n v="-0.64981163892043203"/>
  </r>
  <r>
    <x v="0"/>
    <x v="0"/>
    <x v="0"/>
    <x v="5"/>
    <x v="7"/>
    <x v="11"/>
    <x v="9"/>
    <n v="-0.79235377390561201"/>
  </r>
  <r>
    <x v="0"/>
    <x v="0"/>
    <x v="0"/>
    <x v="5"/>
    <x v="7"/>
    <x v="11"/>
    <x v="10"/>
    <n v="-0.84798577099054695"/>
  </r>
  <r>
    <x v="0"/>
    <x v="0"/>
    <x v="0"/>
    <x v="5"/>
    <x v="7"/>
    <x v="11"/>
    <x v="11"/>
    <n v="-0.75776638591263901"/>
  </r>
  <r>
    <x v="0"/>
    <x v="0"/>
    <x v="0"/>
    <x v="6"/>
    <x v="8"/>
    <x v="0"/>
    <x v="0"/>
    <n v="-0.8"/>
  </r>
  <r>
    <x v="0"/>
    <x v="0"/>
    <x v="0"/>
    <x v="6"/>
    <x v="8"/>
    <x v="0"/>
    <x v="1"/>
    <n v="-0.8"/>
  </r>
  <r>
    <x v="0"/>
    <x v="0"/>
    <x v="0"/>
    <x v="6"/>
    <x v="8"/>
    <x v="0"/>
    <x v="2"/>
    <n v="-0.8"/>
  </r>
  <r>
    <x v="0"/>
    <x v="0"/>
    <x v="0"/>
    <x v="6"/>
    <x v="8"/>
    <x v="0"/>
    <x v="3"/>
    <n v="-0.8"/>
  </r>
  <r>
    <x v="0"/>
    <x v="0"/>
    <x v="0"/>
    <x v="6"/>
    <x v="8"/>
    <x v="0"/>
    <x v="4"/>
    <n v="-0.8"/>
  </r>
  <r>
    <x v="0"/>
    <x v="0"/>
    <x v="0"/>
    <x v="6"/>
    <x v="8"/>
    <x v="0"/>
    <x v="5"/>
    <n v="-0.8"/>
  </r>
  <r>
    <x v="0"/>
    <x v="0"/>
    <x v="0"/>
    <x v="6"/>
    <x v="8"/>
    <x v="0"/>
    <x v="6"/>
    <n v="-0.8"/>
  </r>
  <r>
    <x v="0"/>
    <x v="0"/>
    <x v="0"/>
    <x v="6"/>
    <x v="8"/>
    <x v="0"/>
    <x v="7"/>
    <n v="-0.8"/>
  </r>
  <r>
    <x v="0"/>
    <x v="0"/>
    <x v="0"/>
    <x v="6"/>
    <x v="8"/>
    <x v="0"/>
    <x v="8"/>
    <n v="-0.8"/>
  </r>
  <r>
    <x v="0"/>
    <x v="0"/>
    <x v="0"/>
    <x v="6"/>
    <x v="8"/>
    <x v="0"/>
    <x v="9"/>
    <n v="-0.8"/>
  </r>
  <r>
    <x v="0"/>
    <x v="0"/>
    <x v="0"/>
    <x v="6"/>
    <x v="8"/>
    <x v="0"/>
    <x v="10"/>
    <n v="-0.8"/>
  </r>
  <r>
    <x v="0"/>
    <x v="0"/>
    <x v="0"/>
    <x v="6"/>
    <x v="8"/>
    <x v="0"/>
    <x v="11"/>
    <n v="-0.8"/>
  </r>
  <r>
    <x v="0"/>
    <x v="0"/>
    <x v="0"/>
    <x v="6"/>
    <x v="8"/>
    <x v="1"/>
    <x v="0"/>
    <n v="-0.8"/>
  </r>
  <r>
    <x v="0"/>
    <x v="0"/>
    <x v="0"/>
    <x v="6"/>
    <x v="8"/>
    <x v="1"/>
    <x v="1"/>
    <n v="-0.8"/>
  </r>
  <r>
    <x v="0"/>
    <x v="0"/>
    <x v="0"/>
    <x v="6"/>
    <x v="8"/>
    <x v="1"/>
    <x v="2"/>
    <n v="-0.8"/>
  </r>
  <r>
    <x v="0"/>
    <x v="0"/>
    <x v="0"/>
    <x v="6"/>
    <x v="8"/>
    <x v="1"/>
    <x v="3"/>
    <n v="-0.8"/>
  </r>
  <r>
    <x v="0"/>
    <x v="0"/>
    <x v="0"/>
    <x v="6"/>
    <x v="8"/>
    <x v="1"/>
    <x v="4"/>
    <n v="-0.8"/>
  </r>
  <r>
    <x v="0"/>
    <x v="0"/>
    <x v="0"/>
    <x v="6"/>
    <x v="8"/>
    <x v="1"/>
    <x v="5"/>
    <n v="-0.8"/>
  </r>
  <r>
    <x v="0"/>
    <x v="0"/>
    <x v="0"/>
    <x v="6"/>
    <x v="8"/>
    <x v="1"/>
    <x v="6"/>
    <n v="-0.8"/>
  </r>
  <r>
    <x v="0"/>
    <x v="0"/>
    <x v="0"/>
    <x v="6"/>
    <x v="8"/>
    <x v="1"/>
    <x v="7"/>
    <n v="-0.8"/>
  </r>
  <r>
    <x v="0"/>
    <x v="0"/>
    <x v="0"/>
    <x v="6"/>
    <x v="8"/>
    <x v="1"/>
    <x v="8"/>
    <n v="-0.8"/>
  </r>
  <r>
    <x v="0"/>
    <x v="0"/>
    <x v="0"/>
    <x v="6"/>
    <x v="8"/>
    <x v="1"/>
    <x v="9"/>
    <n v="-0.8"/>
  </r>
  <r>
    <x v="0"/>
    <x v="0"/>
    <x v="0"/>
    <x v="6"/>
    <x v="8"/>
    <x v="1"/>
    <x v="10"/>
    <n v="-0.8"/>
  </r>
  <r>
    <x v="0"/>
    <x v="0"/>
    <x v="0"/>
    <x v="6"/>
    <x v="8"/>
    <x v="1"/>
    <x v="11"/>
    <n v="-0.8"/>
  </r>
  <r>
    <x v="0"/>
    <x v="0"/>
    <x v="0"/>
    <x v="6"/>
    <x v="8"/>
    <x v="2"/>
    <x v="0"/>
    <n v="-0.8"/>
  </r>
  <r>
    <x v="0"/>
    <x v="0"/>
    <x v="0"/>
    <x v="6"/>
    <x v="8"/>
    <x v="2"/>
    <x v="1"/>
    <n v="-0.66601609621672297"/>
  </r>
  <r>
    <x v="0"/>
    <x v="0"/>
    <x v="0"/>
    <x v="6"/>
    <x v="8"/>
    <x v="2"/>
    <x v="2"/>
    <n v="-0.63526762696803896"/>
  </r>
  <r>
    <x v="0"/>
    <x v="0"/>
    <x v="0"/>
    <x v="6"/>
    <x v="8"/>
    <x v="2"/>
    <x v="3"/>
    <n v="-0.8"/>
  </r>
  <r>
    <x v="0"/>
    <x v="0"/>
    <x v="0"/>
    <x v="6"/>
    <x v="8"/>
    <x v="2"/>
    <x v="4"/>
    <n v="-0.8"/>
  </r>
  <r>
    <x v="0"/>
    <x v="0"/>
    <x v="0"/>
    <x v="6"/>
    <x v="8"/>
    <x v="2"/>
    <x v="5"/>
    <n v="-0.8"/>
  </r>
  <r>
    <x v="0"/>
    <x v="0"/>
    <x v="0"/>
    <x v="6"/>
    <x v="8"/>
    <x v="2"/>
    <x v="6"/>
    <n v="-0.8"/>
  </r>
  <r>
    <x v="0"/>
    <x v="0"/>
    <x v="0"/>
    <x v="6"/>
    <x v="8"/>
    <x v="2"/>
    <x v="7"/>
    <n v="-0.8"/>
  </r>
  <r>
    <x v="0"/>
    <x v="0"/>
    <x v="0"/>
    <x v="6"/>
    <x v="8"/>
    <x v="2"/>
    <x v="8"/>
    <n v="-0.8"/>
  </r>
  <r>
    <x v="0"/>
    <x v="0"/>
    <x v="0"/>
    <x v="6"/>
    <x v="8"/>
    <x v="2"/>
    <x v="9"/>
    <n v="-0.8"/>
  </r>
  <r>
    <x v="0"/>
    <x v="0"/>
    <x v="0"/>
    <x v="6"/>
    <x v="8"/>
    <x v="2"/>
    <x v="10"/>
    <n v="-0.8"/>
  </r>
  <r>
    <x v="0"/>
    <x v="0"/>
    <x v="0"/>
    <x v="6"/>
    <x v="8"/>
    <x v="2"/>
    <x v="11"/>
    <n v="-0.8"/>
  </r>
  <r>
    <x v="0"/>
    <x v="0"/>
    <x v="0"/>
    <x v="6"/>
    <x v="8"/>
    <x v="3"/>
    <x v="0"/>
    <n v="-0.8"/>
  </r>
  <r>
    <x v="0"/>
    <x v="0"/>
    <x v="0"/>
    <x v="6"/>
    <x v="8"/>
    <x v="3"/>
    <x v="1"/>
    <n v="-0.8"/>
  </r>
  <r>
    <x v="0"/>
    <x v="0"/>
    <x v="0"/>
    <x v="6"/>
    <x v="8"/>
    <x v="3"/>
    <x v="2"/>
    <n v="-0.8"/>
  </r>
  <r>
    <x v="0"/>
    <x v="0"/>
    <x v="0"/>
    <x v="6"/>
    <x v="8"/>
    <x v="3"/>
    <x v="3"/>
    <n v="-0.8"/>
  </r>
  <r>
    <x v="0"/>
    <x v="0"/>
    <x v="0"/>
    <x v="6"/>
    <x v="8"/>
    <x v="3"/>
    <x v="4"/>
    <n v="-0.8"/>
  </r>
  <r>
    <x v="0"/>
    <x v="0"/>
    <x v="0"/>
    <x v="6"/>
    <x v="8"/>
    <x v="3"/>
    <x v="5"/>
    <n v="-0.8"/>
  </r>
  <r>
    <x v="0"/>
    <x v="0"/>
    <x v="0"/>
    <x v="6"/>
    <x v="8"/>
    <x v="3"/>
    <x v="6"/>
    <n v="-0.8"/>
  </r>
  <r>
    <x v="0"/>
    <x v="0"/>
    <x v="0"/>
    <x v="6"/>
    <x v="8"/>
    <x v="3"/>
    <x v="7"/>
    <n v="-0.8"/>
  </r>
  <r>
    <x v="0"/>
    <x v="0"/>
    <x v="0"/>
    <x v="6"/>
    <x v="8"/>
    <x v="3"/>
    <x v="8"/>
    <n v="-0.8"/>
  </r>
  <r>
    <x v="0"/>
    <x v="0"/>
    <x v="0"/>
    <x v="6"/>
    <x v="8"/>
    <x v="3"/>
    <x v="9"/>
    <n v="-0.8"/>
  </r>
  <r>
    <x v="0"/>
    <x v="0"/>
    <x v="0"/>
    <x v="6"/>
    <x v="8"/>
    <x v="3"/>
    <x v="10"/>
    <n v="-0.8"/>
  </r>
  <r>
    <x v="0"/>
    <x v="0"/>
    <x v="0"/>
    <x v="6"/>
    <x v="8"/>
    <x v="3"/>
    <x v="11"/>
    <n v="-0.8"/>
  </r>
  <r>
    <x v="0"/>
    <x v="0"/>
    <x v="0"/>
    <x v="6"/>
    <x v="8"/>
    <x v="4"/>
    <x v="0"/>
    <n v="-0.8"/>
  </r>
  <r>
    <x v="0"/>
    <x v="0"/>
    <x v="0"/>
    <x v="6"/>
    <x v="8"/>
    <x v="4"/>
    <x v="1"/>
    <n v="-0.8"/>
  </r>
  <r>
    <x v="0"/>
    <x v="0"/>
    <x v="0"/>
    <x v="6"/>
    <x v="8"/>
    <x v="4"/>
    <x v="2"/>
    <n v="-0.8"/>
  </r>
  <r>
    <x v="0"/>
    <x v="0"/>
    <x v="0"/>
    <x v="6"/>
    <x v="8"/>
    <x v="4"/>
    <x v="3"/>
    <n v="-0.8"/>
  </r>
  <r>
    <x v="0"/>
    <x v="0"/>
    <x v="0"/>
    <x v="6"/>
    <x v="8"/>
    <x v="4"/>
    <x v="4"/>
    <n v="-0.8"/>
  </r>
  <r>
    <x v="0"/>
    <x v="0"/>
    <x v="0"/>
    <x v="6"/>
    <x v="8"/>
    <x v="4"/>
    <x v="5"/>
    <n v="-0.8"/>
  </r>
  <r>
    <x v="0"/>
    <x v="0"/>
    <x v="0"/>
    <x v="6"/>
    <x v="8"/>
    <x v="4"/>
    <x v="6"/>
    <n v="-0.8"/>
  </r>
  <r>
    <x v="0"/>
    <x v="0"/>
    <x v="0"/>
    <x v="6"/>
    <x v="8"/>
    <x v="4"/>
    <x v="7"/>
    <n v="-0.8"/>
  </r>
  <r>
    <x v="0"/>
    <x v="0"/>
    <x v="0"/>
    <x v="6"/>
    <x v="8"/>
    <x v="4"/>
    <x v="8"/>
    <n v="-0.8"/>
  </r>
  <r>
    <x v="0"/>
    <x v="0"/>
    <x v="0"/>
    <x v="6"/>
    <x v="8"/>
    <x v="4"/>
    <x v="9"/>
    <n v="-0.8"/>
  </r>
  <r>
    <x v="0"/>
    <x v="0"/>
    <x v="0"/>
    <x v="6"/>
    <x v="8"/>
    <x v="4"/>
    <x v="10"/>
    <n v="-0.8"/>
  </r>
  <r>
    <x v="0"/>
    <x v="0"/>
    <x v="0"/>
    <x v="6"/>
    <x v="8"/>
    <x v="4"/>
    <x v="11"/>
    <n v="-0.8"/>
  </r>
  <r>
    <x v="0"/>
    <x v="0"/>
    <x v="0"/>
    <x v="6"/>
    <x v="8"/>
    <x v="5"/>
    <x v="0"/>
    <n v="-0.74066319567127903"/>
  </r>
  <r>
    <x v="0"/>
    <x v="0"/>
    <x v="0"/>
    <x v="6"/>
    <x v="8"/>
    <x v="5"/>
    <x v="1"/>
    <n v="-0.65943464259310003"/>
  </r>
  <r>
    <x v="0"/>
    <x v="0"/>
    <x v="0"/>
    <x v="6"/>
    <x v="8"/>
    <x v="5"/>
    <x v="2"/>
    <n v="-0.76857017882069201"/>
  </r>
  <r>
    <x v="0"/>
    <x v="0"/>
    <x v="0"/>
    <x v="6"/>
    <x v="8"/>
    <x v="5"/>
    <x v="3"/>
    <n v="-0.8"/>
  </r>
  <r>
    <x v="0"/>
    <x v="0"/>
    <x v="0"/>
    <x v="6"/>
    <x v="8"/>
    <x v="5"/>
    <x v="4"/>
    <n v="-0.8"/>
  </r>
  <r>
    <x v="0"/>
    <x v="0"/>
    <x v="0"/>
    <x v="6"/>
    <x v="8"/>
    <x v="5"/>
    <x v="5"/>
    <n v="-0.8"/>
  </r>
  <r>
    <x v="0"/>
    <x v="0"/>
    <x v="0"/>
    <x v="6"/>
    <x v="8"/>
    <x v="5"/>
    <x v="6"/>
    <n v="-0.8"/>
  </r>
  <r>
    <x v="0"/>
    <x v="0"/>
    <x v="0"/>
    <x v="6"/>
    <x v="8"/>
    <x v="5"/>
    <x v="7"/>
    <n v="-0.8"/>
  </r>
  <r>
    <x v="0"/>
    <x v="0"/>
    <x v="0"/>
    <x v="6"/>
    <x v="8"/>
    <x v="5"/>
    <x v="8"/>
    <n v="-0.8"/>
  </r>
  <r>
    <x v="0"/>
    <x v="0"/>
    <x v="0"/>
    <x v="6"/>
    <x v="8"/>
    <x v="5"/>
    <x v="9"/>
    <n v="-0.8"/>
  </r>
  <r>
    <x v="0"/>
    <x v="0"/>
    <x v="0"/>
    <x v="6"/>
    <x v="8"/>
    <x v="5"/>
    <x v="10"/>
    <n v="-0.8"/>
  </r>
  <r>
    <x v="0"/>
    <x v="0"/>
    <x v="0"/>
    <x v="6"/>
    <x v="8"/>
    <x v="5"/>
    <x v="11"/>
    <n v="-0.8"/>
  </r>
  <r>
    <x v="0"/>
    <x v="0"/>
    <x v="0"/>
    <x v="6"/>
    <x v="8"/>
    <x v="6"/>
    <x v="0"/>
    <n v="-0.8"/>
  </r>
  <r>
    <x v="0"/>
    <x v="0"/>
    <x v="0"/>
    <x v="6"/>
    <x v="8"/>
    <x v="6"/>
    <x v="1"/>
    <n v="-0.79096677785648095"/>
  </r>
  <r>
    <x v="0"/>
    <x v="0"/>
    <x v="0"/>
    <x v="6"/>
    <x v="8"/>
    <x v="6"/>
    <x v="2"/>
    <n v="-0.8"/>
  </r>
  <r>
    <x v="0"/>
    <x v="0"/>
    <x v="0"/>
    <x v="6"/>
    <x v="8"/>
    <x v="6"/>
    <x v="3"/>
    <n v="-0.8"/>
  </r>
  <r>
    <x v="0"/>
    <x v="0"/>
    <x v="0"/>
    <x v="6"/>
    <x v="8"/>
    <x v="6"/>
    <x v="4"/>
    <n v="-0.8"/>
  </r>
  <r>
    <x v="0"/>
    <x v="0"/>
    <x v="0"/>
    <x v="6"/>
    <x v="8"/>
    <x v="6"/>
    <x v="5"/>
    <n v="-0.8"/>
  </r>
  <r>
    <x v="0"/>
    <x v="0"/>
    <x v="0"/>
    <x v="6"/>
    <x v="8"/>
    <x v="6"/>
    <x v="6"/>
    <n v="-0.8"/>
  </r>
  <r>
    <x v="0"/>
    <x v="0"/>
    <x v="0"/>
    <x v="6"/>
    <x v="8"/>
    <x v="6"/>
    <x v="7"/>
    <n v="-0.8"/>
  </r>
  <r>
    <x v="0"/>
    <x v="0"/>
    <x v="0"/>
    <x v="6"/>
    <x v="8"/>
    <x v="6"/>
    <x v="8"/>
    <n v="-0.8"/>
  </r>
  <r>
    <x v="0"/>
    <x v="0"/>
    <x v="0"/>
    <x v="6"/>
    <x v="8"/>
    <x v="6"/>
    <x v="9"/>
    <n v="-0.8"/>
  </r>
  <r>
    <x v="0"/>
    <x v="0"/>
    <x v="0"/>
    <x v="6"/>
    <x v="8"/>
    <x v="6"/>
    <x v="10"/>
    <n v="-0.8"/>
  </r>
  <r>
    <x v="0"/>
    <x v="0"/>
    <x v="0"/>
    <x v="6"/>
    <x v="8"/>
    <x v="6"/>
    <x v="11"/>
    <n v="-0.8"/>
  </r>
  <r>
    <x v="0"/>
    <x v="0"/>
    <x v="0"/>
    <x v="6"/>
    <x v="8"/>
    <x v="7"/>
    <x v="0"/>
    <n v="-0.8"/>
  </r>
  <r>
    <x v="0"/>
    <x v="0"/>
    <x v="0"/>
    <x v="6"/>
    <x v="8"/>
    <x v="7"/>
    <x v="1"/>
    <n v="-0.8"/>
  </r>
  <r>
    <x v="0"/>
    <x v="0"/>
    <x v="0"/>
    <x v="6"/>
    <x v="8"/>
    <x v="7"/>
    <x v="2"/>
    <n v="-0.8"/>
  </r>
  <r>
    <x v="0"/>
    <x v="0"/>
    <x v="0"/>
    <x v="6"/>
    <x v="8"/>
    <x v="7"/>
    <x v="3"/>
    <n v="-0.8"/>
  </r>
  <r>
    <x v="0"/>
    <x v="0"/>
    <x v="0"/>
    <x v="6"/>
    <x v="8"/>
    <x v="7"/>
    <x v="4"/>
    <n v="-0.8"/>
  </r>
  <r>
    <x v="0"/>
    <x v="0"/>
    <x v="0"/>
    <x v="6"/>
    <x v="8"/>
    <x v="7"/>
    <x v="5"/>
    <n v="-0.8"/>
  </r>
  <r>
    <x v="0"/>
    <x v="0"/>
    <x v="0"/>
    <x v="6"/>
    <x v="8"/>
    <x v="7"/>
    <x v="6"/>
    <n v="-0.8"/>
  </r>
  <r>
    <x v="0"/>
    <x v="0"/>
    <x v="0"/>
    <x v="6"/>
    <x v="8"/>
    <x v="7"/>
    <x v="7"/>
    <n v="-0.8"/>
  </r>
  <r>
    <x v="0"/>
    <x v="0"/>
    <x v="0"/>
    <x v="6"/>
    <x v="8"/>
    <x v="7"/>
    <x v="8"/>
    <n v="-0.8"/>
  </r>
  <r>
    <x v="0"/>
    <x v="0"/>
    <x v="0"/>
    <x v="6"/>
    <x v="8"/>
    <x v="7"/>
    <x v="9"/>
    <n v="-0.8"/>
  </r>
  <r>
    <x v="0"/>
    <x v="0"/>
    <x v="0"/>
    <x v="6"/>
    <x v="8"/>
    <x v="7"/>
    <x v="10"/>
    <n v="-0.8"/>
  </r>
  <r>
    <x v="0"/>
    <x v="0"/>
    <x v="0"/>
    <x v="6"/>
    <x v="8"/>
    <x v="7"/>
    <x v="11"/>
    <n v="-0.8"/>
  </r>
  <r>
    <x v="0"/>
    <x v="0"/>
    <x v="0"/>
    <x v="6"/>
    <x v="8"/>
    <x v="8"/>
    <x v="0"/>
    <n v="-0.8"/>
  </r>
  <r>
    <x v="0"/>
    <x v="0"/>
    <x v="0"/>
    <x v="6"/>
    <x v="8"/>
    <x v="8"/>
    <x v="1"/>
    <n v="-0.8"/>
  </r>
  <r>
    <x v="0"/>
    <x v="0"/>
    <x v="0"/>
    <x v="6"/>
    <x v="8"/>
    <x v="8"/>
    <x v="2"/>
    <n v="-0.8"/>
  </r>
  <r>
    <x v="0"/>
    <x v="0"/>
    <x v="0"/>
    <x v="6"/>
    <x v="8"/>
    <x v="8"/>
    <x v="3"/>
    <n v="-0.8"/>
  </r>
  <r>
    <x v="0"/>
    <x v="0"/>
    <x v="0"/>
    <x v="6"/>
    <x v="8"/>
    <x v="8"/>
    <x v="4"/>
    <n v="-0.8"/>
  </r>
  <r>
    <x v="0"/>
    <x v="0"/>
    <x v="0"/>
    <x v="6"/>
    <x v="8"/>
    <x v="8"/>
    <x v="5"/>
    <n v="-0.8"/>
  </r>
  <r>
    <x v="0"/>
    <x v="0"/>
    <x v="0"/>
    <x v="6"/>
    <x v="8"/>
    <x v="8"/>
    <x v="6"/>
    <n v="-0.8"/>
  </r>
  <r>
    <x v="0"/>
    <x v="0"/>
    <x v="0"/>
    <x v="6"/>
    <x v="8"/>
    <x v="8"/>
    <x v="7"/>
    <n v="-0.8"/>
  </r>
  <r>
    <x v="0"/>
    <x v="0"/>
    <x v="0"/>
    <x v="6"/>
    <x v="8"/>
    <x v="8"/>
    <x v="8"/>
    <n v="-0.8"/>
  </r>
  <r>
    <x v="0"/>
    <x v="0"/>
    <x v="0"/>
    <x v="6"/>
    <x v="8"/>
    <x v="8"/>
    <x v="9"/>
    <n v="-0.8"/>
  </r>
  <r>
    <x v="0"/>
    <x v="0"/>
    <x v="0"/>
    <x v="6"/>
    <x v="8"/>
    <x v="8"/>
    <x v="10"/>
    <n v="-0.8"/>
  </r>
  <r>
    <x v="0"/>
    <x v="0"/>
    <x v="0"/>
    <x v="6"/>
    <x v="8"/>
    <x v="8"/>
    <x v="11"/>
    <n v="-0.8"/>
  </r>
  <r>
    <x v="0"/>
    <x v="0"/>
    <x v="0"/>
    <x v="6"/>
    <x v="8"/>
    <x v="9"/>
    <x v="0"/>
    <n v="-0.8"/>
  </r>
  <r>
    <x v="0"/>
    <x v="0"/>
    <x v="0"/>
    <x v="6"/>
    <x v="8"/>
    <x v="9"/>
    <x v="1"/>
    <n v="-0.8"/>
  </r>
  <r>
    <x v="0"/>
    <x v="0"/>
    <x v="0"/>
    <x v="6"/>
    <x v="8"/>
    <x v="9"/>
    <x v="2"/>
    <n v="-0.8"/>
  </r>
  <r>
    <x v="0"/>
    <x v="0"/>
    <x v="0"/>
    <x v="6"/>
    <x v="8"/>
    <x v="9"/>
    <x v="3"/>
    <n v="-0.8"/>
  </r>
  <r>
    <x v="0"/>
    <x v="0"/>
    <x v="0"/>
    <x v="6"/>
    <x v="8"/>
    <x v="9"/>
    <x v="4"/>
    <n v="-0.8"/>
  </r>
  <r>
    <x v="0"/>
    <x v="0"/>
    <x v="0"/>
    <x v="6"/>
    <x v="8"/>
    <x v="9"/>
    <x v="5"/>
    <n v="-0.8"/>
  </r>
  <r>
    <x v="0"/>
    <x v="0"/>
    <x v="0"/>
    <x v="6"/>
    <x v="8"/>
    <x v="9"/>
    <x v="6"/>
    <n v="-0.8"/>
  </r>
  <r>
    <x v="0"/>
    <x v="0"/>
    <x v="0"/>
    <x v="6"/>
    <x v="8"/>
    <x v="9"/>
    <x v="7"/>
    <n v="-0.8"/>
  </r>
  <r>
    <x v="0"/>
    <x v="0"/>
    <x v="0"/>
    <x v="6"/>
    <x v="8"/>
    <x v="9"/>
    <x v="8"/>
    <n v="-0.8"/>
  </r>
  <r>
    <x v="0"/>
    <x v="0"/>
    <x v="0"/>
    <x v="6"/>
    <x v="8"/>
    <x v="9"/>
    <x v="9"/>
    <n v="-0.8"/>
  </r>
  <r>
    <x v="0"/>
    <x v="0"/>
    <x v="0"/>
    <x v="6"/>
    <x v="8"/>
    <x v="9"/>
    <x v="10"/>
    <n v="-0.8"/>
  </r>
  <r>
    <x v="0"/>
    <x v="0"/>
    <x v="0"/>
    <x v="6"/>
    <x v="8"/>
    <x v="9"/>
    <x v="11"/>
    <n v="-0.8"/>
  </r>
  <r>
    <x v="0"/>
    <x v="0"/>
    <x v="0"/>
    <x v="6"/>
    <x v="8"/>
    <x v="10"/>
    <x v="0"/>
    <n v="-0.8"/>
  </r>
  <r>
    <x v="0"/>
    <x v="0"/>
    <x v="0"/>
    <x v="6"/>
    <x v="8"/>
    <x v="10"/>
    <x v="1"/>
    <n v="-0.8"/>
  </r>
  <r>
    <x v="0"/>
    <x v="0"/>
    <x v="0"/>
    <x v="6"/>
    <x v="8"/>
    <x v="10"/>
    <x v="2"/>
    <n v="-0.8"/>
  </r>
  <r>
    <x v="0"/>
    <x v="0"/>
    <x v="0"/>
    <x v="6"/>
    <x v="8"/>
    <x v="10"/>
    <x v="3"/>
    <n v="-0.8"/>
  </r>
  <r>
    <x v="0"/>
    <x v="0"/>
    <x v="0"/>
    <x v="6"/>
    <x v="8"/>
    <x v="10"/>
    <x v="4"/>
    <n v="-0.8"/>
  </r>
  <r>
    <x v="0"/>
    <x v="0"/>
    <x v="0"/>
    <x v="6"/>
    <x v="8"/>
    <x v="10"/>
    <x v="5"/>
    <n v="-0.8"/>
  </r>
  <r>
    <x v="0"/>
    <x v="0"/>
    <x v="0"/>
    <x v="6"/>
    <x v="8"/>
    <x v="10"/>
    <x v="6"/>
    <n v="-0.8"/>
  </r>
  <r>
    <x v="0"/>
    <x v="0"/>
    <x v="0"/>
    <x v="6"/>
    <x v="8"/>
    <x v="10"/>
    <x v="7"/>
    <n v="-0.8"/>
  </r>
  <r>
    <x v="0"/>
    <x v="0"/>
    <x v="0"/>
    <x v="6"/>
    <x v="8"/>
    <x v="10"/>
    <x v="8"/>
    <n v="-0.8"/>
  </r>
  <r>
    <x v="0"/>
    <x v="0"/>
    <x v="0"/>
    <x v="6"/>
    <x v="8"/>
    <x v="10"/>
    <x v="9"/>
    <n v="-0.8"/>
  </r>
  <r>
    <x v="0"/>
    <x v="0"/>
    <x v="0"/>
    <x v="6"/>
    <x v="8"/>
    <x v="10"/>
    <x v="10"/>
    <n v="-0.8"/>
  </r>
  <r>
    <x v="0"/>
    <x v="0"/>
    <x v="0"/>
    <x v="6"/>
    <x v="8"/>
    <x v="10"/>
    <x v="11"/>
    <n v="-0.8"/>
  </r>
  <r>
    <x v="0"/>
    <x v="0"/>
    <x v="0"/>
    <x v="6"/>
    <x v="8"/>
    <x v="11"/>
    <x v="0"/>
    <n v="-0.58120872275859303"/>
  </r>
  <r>
    <x v="0"/>
    <x v="0"/>
    <x v="0"/>
    <x v="6"/>
    <x v="8"/>
    <x v="11"/>
    <x v="1"/>
    <n v="-0.64006237943577504"/>
  </r>
  <r>
    <x v="0"/>
    <x v="0"/>
    <x v="0"/>
    <x v="6"/>
    <x v="8"/>
    <x v="11"/>
    <x v="2"/>
    <n v="-0.53949628005435601"/>
  </r>
  <r>
    <x v="0"/>
    <x v="0"/>
    <x v="0"/>
    <x v="6"/>
    <x v="8"/>
    <x v="11"/>
    <x v="3"/>
    <n v="-0.78233078887268104"/>
  </r>
  <r>
    <x v="0"/>
    <x v="0"/>
    <x v="0"/>
    <x v="6"/>
    <x v="8"/>
    <x v="11"/>
    <x v="4"/>
    <n v="-0.8"/>
  </r>
  <r>
    <x v="0"/>
    <x v="0"/>
    <x v="0"/>
    <x v="6"/>
    <x v="8"/>
    <x v="11"/>
    <x v="5"/>
    <n v="-0.8"/>
  </r>
  <r>
    <x v="0"/>
    <x v="0"/>
    <x v="0"/>
    <x v="6"/>
    <x v="8"/>
    <x v="11"/>
    <x v="6"/>
    <n v="-0.8"/>
  </r>
  <r>
    <x v="0"/>
    <x v="0"/>
    <x v="0"/>
    <x v="6"/>
    <x v="8"/>
    <x v="11"/>
    <x v="7"/>
    <n v="-0.8"/>
  </r>
  <r>
    <x v="0"/>
    <x v="0"/>
    <x v="0"/>
    <x v="6"/>
    <x v="8"/>
    <x v="11"/>
    <x v="8"/>
    <n v="-0.8"/>
  </r>
  <r>
    <x v="0"/>
    <x v="0"/>
    <x v="0"/>
    <x v="6"/>
    <x v="8"/>
    <x v="11"/>
    <x v="9"/>
    <n v="-0.8"/>
  </r>
  <r>
    <x v="0"/>
    <x v="0"/>
    <x v="0"/>
    <x v="6"/>
    <x v="8"/>
    <x v="11"/>
    <x v="10"/>
    <n v="-0.8"/>
  </r>
  <r>
    <x v="0"/>
    <x v="0"/>
    <x v="0"/>
    <x v="6"/>
    <x v="8"/>
    <x v="11"/>
    <x v="11"/>
    <n v="-0.8"/>
  </r>
  <r>
    <x v="0"/>
    <x v="0"/>
    <x v="0"/>
    <x v="6"/>
    <x v="12"/>
    <x v="0"/>
    <x v="0"/>
    <n v="0.50878149827746699"/>
  </r>
  <r>
    <x v="0"/>
    <x v="0"/>
    <x v="0"/>
    <x v="6"/>
    <x v="12"/>
    <x v="0"/>
    <x v="1"/>
    <n v="0.48842030871333802"/>
  </r>
  <r>
    <x v="0"/>
    <x v="0"/>
    <x v="0"/>
    <x v="6"/>
    <x v="12"/>
    <x v="0"/>
    <x v="2"/>
    <n v="0.44866929685525597"/>
  </r>
  <r>
    <x v="0"/>
    <x v="0"/>
    <x v="0"/>
    <x v="6"/>
    <x v="12"/>
    <x v="0"/>
    <x v="3"/>
    <n v="0.441023292398739"/>
  </r>
  <r>
    <x v="0"/>
    <x v="0"/>
    <x v="0"/>
    <x v="6"/>
    <x v="12"/>
    <x v="0"/>
    <x v="4"/>
    <n v="0.45892764054518498"/>
  </r>
  <r>
    <x v="0"/>
    <x v="0"/>
    <x v="0"/>
    <x v="6"/>
    <x v="12"/>
    <x v="0"/>
    <x v="5"/>
    <n v="0.47240853872663602"/>
  </r>
  <r>
    <x v="0"/>
    <x v="0"/>
    <x v="0"/>
    <x v="6"/>
    <x v="12"/>
    <x v="0"/>
    <x v="6"/>
    <n v="0.44864059709653098"/>
  </r>
  <r>
    <x v="0"/>
    <x v="0"/>
    <x v="0"/>
    <x v="6"/>
    <x v="12"/>
    <x v="0"/>
    <x v="7"/>
    <n v="0.47411828749502299"/>
  </r>
  <r>
    <x v="0"/>
    <x v="0"/>
    <x v="0"/>
    <x v="6"/>
    <x v="12"/>
    <x v="0"/>
    <x v="8"/>
    <n v="0.47888606075630202"/>
  </r>
  <r>
    <x v="0"/>
    <x v="0"/>
    <x v="0"/>
    <x v="6"/>
    <x v="12"/>
    <x v="0"/>
    <x v="9"/>
    <n v="0.48522171398241998"/>
  </r>
  <r>
    <x v="0"/>
    <x v="0"/>
    <x v="0"/>
    <x v="6"/>
    <x v="12"/>
    <x v="0"/>
    <x v="10"/>
    <n v="0.46733109075235102"/>
  </r>
  <r>
    <x v="0"/>
    <x v="0"/>
    <x v="0"/>
    <x v="6"/>
    <x v="12"/>
    <x v="0"/>
    <x v="11"/>
    <n v="0.42267155886187302"/>
  </r>
  <r>
    <x v="0"/>
    <x v="0"/>
    <x v="0"/>
    <x v="6"/>
    <x v="12"/>
    <x v="1"/>
    <x v="0"/>
    <n v="0.45954900487960598"/>
  </r>
  <r>
    <x v="0"/>
    <x v="0"/>
    <x v="0"/>
    <x v="6"/>
    <x v="12"/>
    <x v="1"/>
    <x v="1"/>
    <n v="0.44766302577727901"/>
  </r>
  <r>
    <x v="0"/>
    <x v="0"/>
    <x v="0"/>
    <x v="6"/>
    <x v="12"/>
    <x v="1"/>
    <x v="2"/>
    <n v="0.44794273348983898"/>
  </r>
  <r>
    <x v="0"/>
    <x v="0"/>
    <x v="0"/>
    <x v="6"/>
    <x v="12"/>
    <x v="1"/>
    <x v="3"/>
    <n v="0.465001756317304"/>
  </r>
  <r>
    <x v="0"/>
    <x v="0"/>
    <x v="0"/>
    <x v="6"/>
    <x v="12"/>
    <x v="1"/>
    <x v="4"/>
    <n v="0.48915121254313099"/>
  </r>
  <r>
    <x v="0"/>
    <x v="0"/>
    <x v="0"/>
    <x v="6"/>
    <x v="12"/>
    <x v="1"/>
    <x v="5"/>
    <n v="0.54157323001522994"/>
  </r>
  <r>
    <x v="0"/>
    <x v="0"/>
    <x v="0"/>
    <x v="6"/>
    <x v="12"/>
    <x v="1"/>
    <x v="6"/>
    <n v="0.44946541393262901"/>
  </r>
  <r>
    <x v="0"/>
    <x v="0"/>
    <x v="0"/>
    <x v="6"/>
    <x v="12"/>
    <x v="1"/>
    <x v="7"/>
    <n v="0.59931426147925104"/>
  </r>
  <r>
    <x v="0"/>
    <x v="0"/>
    <x v="0"/>
    <x v="6"/>
    <x v="12"/>
    <x v="1"/>
    <x v="8"/>
    <n v="0.74646091882222299"/>
  </r>
  <r>
    <x v="0"/>
    <x v="0"/>
    <x v="0"/>
    <x v="6"/>
    <x v="12"/>
    <x v="1"/>
    <x v="9"/>
    <n v="0.90145904899427898"/>
  </r>
  <r>
    <x v="0"/>
    <x v="0"/>
    <x v="0"/>
    <x v="6"/>
    <x v="12"/>
    <x v="1"/>
    <x v="10"/>
    <n v="0.90103544804392699"/>
  </r>
  <r>
    <x v="0"/>
    <x v="0"/>
    <x v="0"/>
    <x v="6"/>
    <x v="12"/>
    <x v="1"/>
    <x v="11"/>
    <n v="0.89810641116119905"/>
  </r>
  <r>
    <x v="0"/>
    <x v="0"/>
    <x v="0"/>
    <x v="6"/>
    <x v="12"/>
    <x v="2"/>
    <x v="0"/>
    <n v="0.48104156017030097"/>
  </r>
  <r>
    <x v="0"/>
    <x v="0"/>
    <x v="0"/>
    <x v="6"/>
    <x v="12"/>
    <x v="2"/>
    <x v="1"/>
    <n v="0.30030936180761503"/>
  </r>
  <r>
    <x v="0"/>
    <x v="0"/>
    <x v="0"/>
    <x v="6"/>
    <x v="12"/>
    <x v="2"/>
    <x v="2"/>
    <n v="0.27403075539367"/>
  </r>
  <r>
    <x v="0"/>
    <x v="0"/>
    <x v="0"/>
    <x v="6"/>
    <x v="12"/>
    <x v="2"/>
    <x v="3"/>
    <n v="0.44469850852056397"/>
  </r>
  <r>
    <x v="0"/>
    <x v="0"/>
    <x v="0"/>
    <x v="6"/>
    <x v="12"/>
    <x v="2"/>
    <x v="4"/>
    <n v="0.45925572858804897"/>
  </r>
  <r>
    <x v="0"/>
    <x v="0"/>
    <x v="0"/>
    <x v="6"/>
    <x v="12"/>
    <x v="2"/>
    <x v="5"/>
    <n v="0.404847132050345"/>
  </r>
  <r>
    <x v="0"/>
    <x v="0"/>
    <x v="0"/>
    <x v="6"/>
    <x v="12"/>
    <x v="2"/>
    <x v="6"/>
    <n v="0.40073424853467099"/>
  </r>
  <r>
    <x v="0"/>
    <x v="0"/>
    <x v="0"/>
    <x v="6"/>
    <x v="12"/>
    <x v="2"/>
    <x v="7"/>
    <n v="0.57107256809669604"/>
  </r>
  <r>
    <x v="0"/>
    <x v="0"/>
    <x v="0"/>
    <x v="6"/>
    <x v="12"/>
    <x v="2"/>
    <x v="8"/>
    <n v="0.75336819388012599"/>
  </r>
  <r>
    <x v="0"/>
    <x v="0"/>
    <x v="0"/>
    <x v="6"/>
    <x v="12"/>
    <x v="2"/>
    <x v="9"/>
    <n v="0.37367624100032598"/>
  </r>
  <r>
    <x v="0"/>
    <x v="0"/>
    <x v="0"/>
    <x v="6"/>
    <x v="12"/>
    <x v="2"/>
    <x v="10"/>
    <n v="0.49083313645145799"/>
  </r>
  <r>
    <x v="0"/>
    <x v="0"/>
    <x v="0"/>
    <x v="6"/>
    <x v="12"/>
    <x v="2"/>
    <x v="11"/>
    <n v="0.50016142942867403"/>
  </r>
  <r>
    <x v="0"/>
    <x v="0"/>
    <x v="0"/>
    <x v="6"/>
    <x v="12"/>
    <x v="3"/>
    <x v="0"/>
    <n v="0.38740632154565402"/>
  </r>
  <r>
    <x v="0"/>
    <x v="0"/>
    <x v="0"/>
    <x v="6"/>
    <x v="12"/>
    <x v="3"/>
    <x v="1"/>
    <n v="0.40161554779293301"/>
  </r>
  <r>
    <x v="0"/>
    <x v="0"/>
    <x v="0"/>
    <x v="6"/>
    <x v="12"/>
    <x v="3"/>
    <x v="2"/>
    <n v="0.40671888520716998"/>
  </r>
  <r>
    <x v="0"/>
    <x v="0"/>
    <x v="0"/>
    <x v="6"/>
    <x v="12"/>
    <x v="3"/>
    <x v="3"/>
    <n v="0.40129792158351901"/>
  </r>
  <r>
    <x v="0"/>
    <x v="0"/>
    <x v="0"/>
    <x v="6"/>
    <x v="12"/>
    <x v="3"/>
    <x v="4"/>
    <n v="0.47075128359331803"/>
  </r>
  <r>
    <x v="0"/>
    <x v="0"/>
    <x v="0"/>
    <x v="6"/>
    <x v="12"/>
    <x v="3"/>
    <x v="5"/>
    <n v="0.38239378538877"/>
  </r>
  <r>
    <x v="0"/>
    <x v="0"/>
    <x v="0"/>
    <x v="6"/>
    <x v="12"/>
    <x v="3"/>
    <x v="6"/>
    <n v="0.45048844071514599"/>
  </r>
  <r>
    <x v="0"/>
    <x v="0"/>
    <x v="0"/>
    <x v="6"/>
    <x v="12"/>
    <x v="3"/>
    <x v="7"/>
    <n v="0.52195082408044902"/>
  </r>
  <r>
    <x v="0"/>
    <x v="0"/>
    <x v="0"/>
    <x v="6"/>
    <x v="12"/>
    <x v="3"/>
    <x v="8"/>
    <n v="0.80217649727402296"/>
  </r>
  <r>
    <x v="0"/>
    <x v="0"/>
    <x v="0"/>
    <x v="6"/>
    <x v="12"/>
    <x v="3"/>
    <x v="9"/>
    <n v="0.60510881206097999"/>
  </r>
  <r>
    <x v="0"/>
    <x v="0"/>
    <x v="0"/>
    <x v="6"/>
    <x v="12"/>
    <x v="3"/>
    <x v="10"/>
    <n v="0.63707798124131998"/>
  </r>
  <r>
    <x v="0"/>
    <x v="0"/>
    <x v="0"/>
    <x v="6"/>
    <x v="12"/>
    <x v="3"/>
    <x v="11"/>
    <n v="0.63818676146668196"/>
  </r>
  <r>
    <x v="0"/>
    <x v="0"/>
    <x v="0"/>
    <x v="6"/>
    <x v="12"/>
    <x v="4"/>
    <x v="0"/>
    <n v="0.31075668568064402"/>
  </r>
  <r>
    <x v="0"/>
    <x v="0"/>
    <x v="0"/>
    <x v="6"/>
    <x v="12"/>
    <x v="4"/>
    <x v="1"/>
    <n v="0.31883611857479"/>
  </r>
  <r>
    <x v="0"/>
    <x v="0"/>
    <x v="0"/>
    <x v="6"/>
    <x v="12"/>
    <x v="4"/>
    <x v="2"/>
    <n v="0.31490096360567299"/>
  </r>
  <r>
    <x v="0"/>
    <x v="0"/>
    <x v="0"/>
    <x v="6"/>
    <x v="12"/>
    <x v="4"/>
    <x v="3"/>
    <n v="0.30962172648824698"/>
  </r>
  <r>
    <x v="0"/>
    <x v="0"/>
    <x v="0"/>
    <x v="6"/>
    <x v="12"/>
    <x v="4"/>
    <x v="4"/>
    <n v="0.27560470797672498"/>
  </r>
  <r>
    <x v="0"/>
    <x v="0"/>
    <x v="0"/>
    <x v="6"/>
    <x v="12"/>
    <x v="4"/>
    <x v="5"/>
    <n v="0.18481691312562901"/>
  </r>
  <r>
    <x v="0"/>
    <x v="0"/>
    <x v="0"/>
    <x v="6"/>
    <x v="12"/>
    <x v="4"/>
    <x v="6"/>
    <n v="0.24811384002446199"/>
  </r>
  <r>
    <x v="0"/>
    <x v="0"/>
    <x v="0"/>
    <x v="6"/>
    <x v="12"/>
    <x v="4"/>
    <x v="7"/>
    <n v="0.444180132877248"/>
  </r>
  <r>
    <x v="0"/>
    <x v="0"/>
    <x v="0"/>
    <x v="6"/>
    <x v="12"/>
    <x v="4"/>
    <x v="8"/>
    <n v="0.64916116800234003"/>
  </r>
  <r>
    <x v="0"/>
    <x v="0"/>
    <x v="0"/>
    <x v="6"/>
    <x v="12"/>
    <x v="4"/>
    <x v="9"/>
    <n v="0.74268128188122995"/>
  </r>
  <r>
    <x v="0"/>
    <x v="0"/>
    <x v="0"/>
    <x v="6"/>
    <x v="12"/>
    <x v="4"/>
    <x v="10"/>
    <n v="0.76231211030231405"/>
  </r>
  <r>
    <x v="0"/>
    <x v="0"/>
    <x v="0"/>
    <x v="6"/>
    <x v="12"/>
    <x v="4"/>
    <x v="11"/>
    <n v="0.74777994711121698"/>
  </r>
  <r>
    <x v="0"/>
    <x v="0"/>
    <x v="0"/>
    <x v="6"/>
    <x v="12"/>
    <x v="5"/>
    <x v="0"/>
    <n v="0.23885421560244299"/>
  </r>
  <r>
    <x v="0"/>
    <x v="0"/>
    <x v="0"/>
    <x v="6"/>
    <x v="12"/>
    <x v="5"/>
    <x v="1"/>
    <n v="0.17549671776055301"/>
  </r>
  <r>
    <x v="0"/>
    <x v="0"/>
    <x v="0"/>
    <x v="6"/>
    <x v="12"/>
    <x v="5"/>
    <x v="2"/>
    <n v="0.28685301135223601"/>
  </r>
  <r>
    <x v="0"/>
    <x v="0"/>
    <x v="0"/>
    <x v="6"/>
    <x v="12"/>
    <x v="5"/>
    <x v="3"/>
    <n v="0.30326331496075698"/>
  </r>
  <r>
    <x v="0"/>
    <x v="0"/>
    <x v="0"/>
    <x v="6"/>
    <x v="12"/>
    <x v="5"/>
    <x v="4"/>
    <n v="0.26158605941115298"/>
  </r>
  <r>
    <x v="0"/>
    <x v="0"/>
    <x v="0"/>
    <x v="6"/>
    <x v="12"/>
    <x v="5"/>
    <x v="5"/>
    <n v="0.164940556573311"/>
  </r>
  <r>
    <x v="0"/>
    <x v="0"/>
    <x v="0"/>
    <x v="6"/>
    <x v="12"/>
    <x v="5"/>
    <x v="6"/>
    <n v="0.22679767027429201"/>
  </r>
  <r>
    <x v="0"/>
    <x v="0"/>
    <x v="0"/>
    <x v="6"/>
    <x v="12"/>
    <x v="5"/>
    <x v="7"/>
    <n v="0.36572050026019398"/>
  </r>
  <r>
    <x v="0"/>
    <x v="0"/>
    <x v="0"/>
    <x v="6"/>
    <x v="12"/>
    <x v="5"/>
    <x v="8"/>
    <n v="0.54640423559375595"/>
  </r>
  <r>
    <x v="0"/>
    <x v="0"/>
    <x v="0"/>
    <x v="6"/>
    <x v="12"/>
    <x v="5"/>
    <x v="9"/>
    <n v="0.62121045325044699"/>
  </r>
  <r>
    <x v="0"/>
    <x v="0"/>
    <x v="0"/>
    <x v="6"/>
    <x v="12"/>
    <x v="5"/>
    <x v="10"/>
    <n v="0.557538809956866"/>
  </r>
  <r>
    <x v="0"/>
    <x v="0"/>
    <x v="0"/>
    <x v="6"/>
    <x v="12"/>
    <x v="5"/>
    <x v="11"/>
    <n v="0.68592564200000194"/>
  </r>
  <r>
    <x v="0"/>
    <x v="0"/>
    <x v="0"/>
    <x v="6"/>
    <x v="12"/>
    <x v="6"/>
    <x v="0"/>
    <n v="0.299460758745966"/>
  </r>
  <r>
    <x v="0"/>
    <x v="0"/>
    <x v="0"/>
    <x v="6"/>
    <x v="12"/>
    <x v="6"/>
    <x v="1"/>
    <n v="0.30863368693945598"/>
  </r>
  <r>
    <x v="0"/>
    <x v="0"/>
    <x v="0"/>
    <x v="6"/>
    <x v="12"/>
    <x v="6"/>
    <x v="2"/>
    <n v="0.33151141486084401"/>
  </r>
  <r>
    <x v="0"/>
    <x v="0"/>
    <x v="0"/>
    <x v="6"/>
    <x v="12"/>
    <x v="6"/>
    <x v="3"/>
    <n v="0.31892897102843898"/>
  </r>
  <r>
    <x v="0"/>
    <x v="0"/>
    <x v="0"/>
    <x v="6"/>
    <x v="12"/>
    <x v="6"/>
    <x v="4"/>
    <n v="0.295326536268605"/>
  </r>
  <r>
    <x v="0"/>
    <x v="0"/>
    <x v="0"/>
    <x v="6"/>
    <x v="12"/>
    <x v="6"/>
    <x v="5"/>
    <n v="0.26004564332873997"/>
  </r>
  <r>
    <x v="0"/>
    <x v="0"/>
    <x v="0"/>
    <x v="6"/>
    <x v="12"/>
    <x v="6"/>
    <x v="6"/>
    <n v="0.31707139895146003"/>
  </r>
  <r>
    <x v="0"/>
    <x v="0"/>
    <x v="0"/>
    <x v="6"/>
    <x v="12"/>
    <x v="6"/>
    <x v="7"/>
    <n v="0.43730519079014601"/>
  </r>
  <r>
    <x v="0"/>
    <x v="0"/>
    <x v="0"/>
    <x v="6"/>
    <x v="12"/>
    <x v="6"/>
    <x v="8"/>
    <n v="0.52454928836895598"/>
  </r>
  <r>
    <x v="0"/>
    <x v="0"/>
    <x v="0"/>
    <x v="6"/>
    <x v="12"/>
    <x v="6"/>
    <x v="9"/>
    <n v="0.66325067575732999"/>
  </r>
  <r>
    <x v="0"/>
    <x v="0"/>
    <x v="0"/>
    <x v="6"/>
    <x v="12"/>
    <x v="6"/>
    <x v="10"/>
    <n v="0.69507113663957598"/>
  </r>
  <r>
    <x v="0"/>
    <x v="0"/>
    <x v="0"/>
    <x v="6"/>
    <x v="12"/>
    <x v="6"/>
    <x v="11"/>
    <n v="0.70772540610419199"/>
  </r>
  <r>
    <x v="0"/>
    <x v="0"/>
    <x v="0"/>
    <x v="6"/>
    <x v="12"/>
    <x v="7"/>
    <x v="0"/>
    <n v="0.41280763505900198"/>
  </r>
  <r>
    <x v="0"/>
    <x v="0"/>
    <x v="0"/>
    <x v="6"/>
    <x v="12"/>
    <x v="7"/>
    <x v="1"/>
    <n v="0.43869758770671002"/>
  </r>
  <r>
    <x v="0"/>
    <x v="0"/>
    <x v="0"/>
    <x v="6"/>
    <x v="12"/>
    <x v="7"/>
    <x v="2"/>
    <n v="0.43609802088624999"/>
  </r>
  <r>
    <x v="0"/>
    <x v="0"/>
    <x v="0"/>
    <x v="6"/>
    <x v="12"/>
    <x v="7"/>
    <x v="3"/>
    <n v="0.430325257856221"/>
  </r>
  <r>
    <x v="0"/>
    <x v="0"/>
    <x v="0"/>
    <x v="6"/>
    <x v="12"/>
    <x v="7"/>
    <x v="4"/>
    <n v="0.41603539454409899"/>
  </r>
  <r>
    <x v="0"/>
    <x v="0"/>
    <x v="0"/>
    <x v="6"/>
    <x v="12"/>
    <x v="7"/>
    <x v="5"/>
    <n v="0.36278931976952999"/>
  </r>
  <r>
    <x v="0"/>
    <x v="0"/>
    <x v="0"/>
    <x v="6"/>
    <x v="12"/>
    <x v="7"/>
    <x v="6"/>
    <n v="0.35742548258520701"/>
  </r>
  <r>
    <x v="0"/>
    <x v="0"/>
    <x v="0"/>
    <x v="6"/>
    <x v="12"/>
    <x v="7"/>
    <x v="7"/>
    <n v="0.54470860105391905"/>
  </r>
  <r>
    <x v="0"/>
    <x v="0"/>
    <x v="0"/>
    <x v="6"/>
    <x v="12"/>
    <x v="7"/>
    <x v="8"/>
    <n v="0.731822020406248"/>
  </r>
  <r>
    <x v="0"/>
    <x v="0"/>
    <x v="0"/>
    <x v="6"/>
    <x v="12"/>
    <x v="7"/>
    <x v="9"/>
    <n v="0.83839195558813195"/>
  </r>
  <r>
    <x v="0"/>
    <x v="0"/>
    <x v="0"/>
    <x v="6"/>
    <x v="12"/>
    <x v="7"/>
    <x v="10"/>
    <n v="0.92727396672493301"/>
  </r>
  <r>
    <x v="0"/>
    <x v="0"/>
    <x v="0"/>
    <x v="6"/>
    <x v="12"/>
    <x v="7"/>
    <x v="11"/>
    <n v="0.92050128255153496"/>
  </r>
  <r>
    <x v="0"/>
    <x v="0"/>
    <x v="0"/>
    <x v="6"/>
    <x v="12"/>
    <x v="8"/>
    <x v="0"/>
    <n v="0.45409746987814498"/>
  </r>
  <r>
    <x v="0"/>
    <x v="0"/>
    <x v="0"/>
    <x v="6"/>
    <x v="12"/>
    <x v="8"/>
    <x v="1"/>
    <n v="0.42562147577876802"/>
  </r>
  <r>
    <x v="0"/>
    <x v="0"/>
    <x v="0"/>
    <x v="6"/>
    <x v="12"/>
    <x v="8"/>
    <x v="2"/>
    <n v="0.62798650338004702"/>
  </r>
  <r>
    <x v="0"/>
    <x v="0"/>
    <x v="0"/>
    <x v="6"/>
    <x v="12"/>
    <x v="8"/>
    <x v="3"/>
    <n v="0.59479645502467704"/>
  </r>
  <r>
    <x v="0"/>
    <x v="0"/>
    <x v="0"/>
    <x v="6"/>
    <x v="12"/>
    <x v="8"/>
    <x v="4"/>
    <n v="0.64660665902871495"/>
  </r>
  <r>
    <x v="0"/>
    <x v="0"/>
    <x v="0"/>
    <x v="6"/>
    <x v="12"/>
    <x v="8"/>
    <x v="5"/>
    <n v="0.60518210032834596"/>
  </r>
  <r>
    <x v="0"/>
    <x v="0"/>
    <x v="0"/>
    <x v="6"/>
    <x v="12"/>
    <x v="8"/>
    <x v="6"/>
    <n v="0.585848663498865"/>
  </r>
  <r>
    <x v="0"/>
    <x v="0"/>
    <x v="0"/>
    <x v="6"/>
    <x v="12"/>
    <x v="8"/>
    <x v="7"/>
    <n v="0.69779972522798595"/>
  </r>
  <r>
    <x v="0"/>
    <x v="0"/>
    <x v="0"/>
    <x v="6"/>
    <x v="12"/>
    <x v="8"/>
    <x v="8"/>
    <n v="0.80720966655717596"/>
  </r>
  <r>
    <x v="0"/>
    <x v="0"/>
    <x v="0"/>
    <x v="6"/>
    <x v="12"/>
    <x v="8"/>
    <x v="9"/>
    <n v="0.90345573211354901"/>
  </r>
  <r>
    <x v="0"/>
    <x v="0"/>
    <x v="0"/>
    <x v="6"/>
    <x v="12"/>
    <x v="8"/>
    <x v="10"/>
    <n v="0.94197989637062096"/>
  </r>
  <r>
    <x v="0"/>
    <x v="0"/>
    <x v="0"/>
    <x v="6"/>
    <x v="12"/>
    <x v="8"/>
    <x v="11"/>
    <n v="0.89392285586197195"/>
  </r>
  <r>
    <x v="0"/>
    <x v="0"/>
    <x v="0"/>
    <x v="6"/>
    <x v="12"/>
    <x v="9"/>
    <x v="0"/>
    <n v="0.51375601933090398"/>
  </r>
  <r>
    <x v="0"/>
    <x v="0"/>
    <x v="0"/>
    <x v="6"/>
    <x v="12"/>
    <x v="9"/>
    <x v="1"/>
    <n v="0.466992960843648"/>
  </r>
  <r>
    <x v="0"/>
    <x v="0"/>
    <x v="0"/>
    <x v="6"/>
    <x v="12"/>
    <x v="9"/>
    <x v="2"/>
    <n v="0.53949313444761204"/>
  </r>
  <r>
    <x v="0"/>
    <x v="0"/>
    <x v="0"/>
    <x v="6"/>
    <x v="12"/>
    <x v="9"/>
    <x v="3"/>
    <n v="0.482233433428227"/>
  </r>
  <r>
    <x v="0"/>
    <x v="0"/>
    <x v="0"/>
    <x v="6"/>
    <x v="12"/>
    <x v="9"/>
    <x v="4"/>
    <n v="0.42649809086907298"/>
  </r>
  <r>
    <x v="0"/>
    <x v="0"/>
    <x v="0"/>
    <x v="6"/>
    <x v="12"/>
    <x v="9"/>
    <x v="5"/>
    <n v="0.43290722918871899"/>
  </r>
  <r>
    <x v="0"/>
    <x v="0"/>
    <x v="0"/>
    <x v="6"/>
    <x v="12"/>
    <x v="9"/>
    <x v="6"/>
    <n v="0.46321834980842702"/>
  </r>
  <r>
    <x v="0"/>
    <x v="0"/>
    <x v="0"/>
    <x v="6"/>
    <x v="12"/>
    <x v="9"/>
    <x v="7"/>
    <n v="0.61304332164436304"/>
  </r>
  <r>
    <x v="0"/>
    <x v="0"/>
    <x v="0"/>
    <x v="6"/>
    <x v="12"/>
    <x v="9"/>
    <x v="8"/>
    <n v="0.724668050579514"/>
  </r>
  <r>
    <x v="0"/>
    <x v="0"/>
    <x v="0"/>
    <x v="6"/>
    <x v="12"/>
    <x v="9"/>
    <x v="9"/>
    <n v="0.84833287900999299"/>
  </r>
  <r>
    <x v="0"/>
    <x v="0"/>
    <x v="0"/>
    <x v="6"/>
    <x v="12"/>
    <x v="9"/>
    <x v="10"/>
    <n v="0.89286556440265097"/>
  </r>
  <r>
    <x v="0"/>
    <x v="0"/>
    <x v="0"/>
    <x v="6"/>
    <x v="12"/>
    <x v="9"/>
    <x v="11"/>
    <n v="0.80984909954798501"/>
  </r>
  <r>
    <x v="0"/>
    <x v="0"/>
    <x v="0"/>
    <x v="6"/>
    <x v="12"/>
    <x v="10"/>
    <x v="0"/>
    <n v="0.47527307395506002"/>
  </r>
  <r>
    <x v="0"/>
    <x v="0"/>
    <x v="0"/>
    <x v="6"/>
    <x v="12"/>
    <x v="10"/>
    <x v="1"/>
    <n v="0.48832261175687097"/>
  </r>
  <r>
    <x v="0"/>
    <x v="0"/>
    <x v="0"/>
    <x v="6"/>
    <x v="12"/>
    <x v="10"/>
    <x v="2"/>
    <n v="0.541929384943865"/>
  </r>
  <r>
    <x v="0"/>
    <x v="0"/>
    <x v="0"/>
    <x v="6"/>
    <x v="12"/>
    <x v="10"/>
    <x v="3"/>
    <n v="0.51660000837896103"/>
  </r>
  <r>
    <x v="0"/>
    <x v="0"/>
    <x v="0"/>
    <x v="6"/>
    <x v="12"/>
    <x v="10"/>
    <x v="4"/>
    <n v="0.50731163402895096"/>
  </r>
  <r>
    <x v="0"/>
    <x v="0"/>
    <x v="0"/>
    <x v="6"/>
    <x v="12"/>
    <x v="10"/>
    <x v="5"/>
    <n v="0.51914716746880196"/>
  </r>
  <r>
    <x v="0"/>
    <x v="0"/>
    <x v="0"/>
    <x v="6"/>
    <x v="12"/>
    <x v="10"/>
    <x v="6"/>
    <n v="0.48058606453256603"/>
  </r>
  <r>
    <x v="0"/>
    <x v="0"/>
    <x v="0"/>
    <x v="6"/>
    <x v="12"/>
    <x v="10"/>
    <x v="7"/>
    <n v="0.42510427975005599"/>
  </r>
  <r>
    <x v="0"/>
    <x v="0"/>
    <x v="0"/>
    <x v="6"/>
    <x v="12"/>
    <x v="10"/>
    <x v="8"/>
    <n v="0.42422385325939399"/>
  </r>
  <r>
    <x v="0"/>
    <x v="0"/>
    <x v="0"/>
    <x v="6"/>
    <x v="12"/>
    <x v="10"/>
    <x v="9"/>
    <n v="0.56939667584903897"/>
  </r>
  <r>
    <x v="0"/>
    <x v="0"/>
    <x v="0"/>
    <x v="6"/>
    <x v="12"/>
    <x v="10"/>
    <x v="10"/>
    <n v="0.61996514700377603"/>
  </r>
  <r>
    <x v="0"/>
    <x v="0"/>
    <x v="0"/>
    <x v="6"/>
    <x v="12"/>
    <x v="10"/>
    <x v="11"/>
    <n v="0.57782951875961397"/>
  </r>
  <r>
    <x v="0"/>
    <x v="0"/>
    <x v="0"/>
    <x v="6"/>
    <x v="12"/>
    <x v="11"/>
    <x v="0"/>
    <n v="0.29647395609857102"/>
  </r>
  <r>
    <x v="0"/>
    <x v="0"/>
    <x v="0"/>
    <x v="6"/>
    <x v="12"/>
    <x v="11"/>
    <x v="1"/>
    <n v="0.382011441196345"/>
  </r>
  <r>
    <x v="0"/>
    <x v="0"/>
    <x v="0"/>
    <x v="6"/>
    <x v="12"/>
    <x v="11"/>
    <x v="2"/>
    <n v="0.29810983531512403"/>
  </r>
  <r>
    <x v="0"/>
    <x v="0"/>
    <x v="0"/>
    <x v="6"/>
    <x v="12"/>
    <x v="11"/>
    <x v="3"/>
    <n v="0.53226201353165103"/>
  </r>
  <r>
    <x v="0"/>
    <x v="0"/>
    <x v="0"/>
    <x v="6"/>
    <x v="12"/>
    <x v="11"/>
    <x v="4"/>
    <n v="0.51059646097542999"/>
  </r>
  <r>
    <x v="0"/>
    <x v="0"/>
    <x v="0"/>
    <x v="6"/>
    <x v="12"/>
    <x v="11"/>
    <x v="5"/>
    <n v="0.42759898019932602"/>
  </r>
  <r>
    <x v="0"/>
    <x v="0"/>
    <x v="0"/>
    <x v="6"/>
    <x v="12"/>
    <x v="11"/>
    <x v="6"/>
    <n v="0.41121063345098602"/>
  </r>
  <r>
    <x v="0"/>
    <x v="0"/>
    <x v="0"/>
    <x v="6"/>
    <x v="12"/>
    <x v="11"/>
    <x v="7"/>
    <n v="0.46450174125994498"/>
  </r>
  <r>
    <x v="0"/>
    <x v="0"/>
    <x v="0"/>
    <x v="6"/>
    <x v="12"/>
    <x v="11"/>
    <x v="8"/>
    <n v="0.64981163892043203"/>
  </r>
  <r>
    <x v="0"/>
    <x v="0"/>
    <x v="0"/>
    <x v="6"/>
    <x v="12"/>
    <x v="11"/>
    <x v="9"/>
    <n v="0.79235377390561201"/>
  </r>
  <r>
    <x v="0"/>
    <x v="0"/>
    <x v="0"/>
    <x v="6"/>
    <x v="12"/>
    <x v="11"/>
    <x v="10"/>
    <n v="0.84798577099054695"/>
  </r>
  <r>
    <x v="0"/>
    <x v="0"/>
    <x v="0"/>
    <x v="6"/>
    <x v="12"/>
    <x v="11"/>
    <x v="11"/>
    <n v="0.75776638591263901"/>
  </r>
  <r>
    <x v="0"/>
    <x v="0"/>
    <x v="0"/>
    <x v="7"/>
    <x v="1"/>
    <x v="0"/>
    <x v="0"/>
    <n v="0"/>
  </r>
  <r>
    <x v="0"/>
    <x v="0"/>
    <x v="0"/>
    <x v="7"/>
    <x v="1"/>
    <x v="0"/>
    <x v="1"/>
    <n v="0"/>
  </r>
  <r>
    <x v="0"/>
    <x v="0"/>
    <x v="0"/>
    <x v="7"/>
    <x v="1"/>
    <x v="0"/>
    <x v="2"/>
    <n v="0"/>
  </r>
  <r>
    <x v="0"/>
    <x v="0"/>
    <x v="0"/>
    <x v="7"/>
    <x v="1"/>
    <x v="0"/>
    <x v="3"/>
    <n v="0"/>
  </r>
  <r>
    <x v="0"/>
    <x v="0"/>
    <x v="0"/>
    <x v="7"/>
    <x v="1"/>
    <x v="0"/>
    <x v="4"/>
    <n v="0"/>
  </r>
  <r>
    <x v="0"/>
    <x v="0"/>
    <x v="0"/>
    <x v="7"/>
    <x v="1"/>
    <x v="0"/>
    <x v="5"/>
    <n v="0"/>
  </r>
  <r>
    <x v="0"/>
    <x v="0"/>
    <x v="0"/>
    <x v="7"/>
    <x v="1"/>
    <x v="0"/>
    <x v="6"/>
    <n v="0"/>
  </r>
  <r>
    <x v="0"/>
    <x v="0"/>
    <x v="0"/>
    <x v="7"/>
    <x v="1"/>
    <x v="0"/>
    <x v="7"/>
    <n v="0"/>
  </r>
  <r>
    <x v="0"/>
    <x v="0"/>
    <x v="0"/>
    <x v="7"/>
    <x v="1"/>
    <x v="0"/>
    <x v="8"/>
    <n v="0"/>
  </r>
  <r>
    <x v="0"/>
    <x v="0"/>
    <x v="0"/>
    <x v="7"/>
    <x v="1"/>
    <x v="0"/>
    <x v="9"/>
    <n v="0"/>
  </r>
  <r>
    <x v="0"/>
    <x v="0"/>
    <x v="0"/>
    <x v="7"/>
    <x v="1"/>
    <x v="0"/>
    <x v="10"/>
    <n v="0"/>
  </r>
  <r>
    <x v="0"/>
    <x v="0"/>
    <x v="0"/>
    <x v="7"/>
    <x v="1"/>
    <x v="0"/>
    <x v="11"/>
    <n v="0"/>
  </r>
  <r>
    <x v="0"/>
    <x v="0"/>
    <x v="0"/>
    <x v="7"/>
    <x v="1"/>
    <x v="1"/>
    <x v="0"/>
    <n v="0"/>
  </r>
  <r>
    <x v="0"/>
    <x v="0"/>
    <x v="0"/>
    <x v="7"/>
    <x v="1"/>
    <x v="1"/>
    <x v="1"/>
    <n v="0"/>
  </r>
  <r>
    <x v="0"/>
    <x v="0"/>
    <x v="0"/>
    <x v="7"/>
    <x v="1"/>
    <x v="1"/>
    <x v="2"/>
    <n v="0"/>
  </r>
  <r>
    <x v="0"/>
    <x v="0"/>
    <x v="0"/>
    <x v="7"/>
    <x v="1"/>
    <x v="1"/>
    <x v="3"/>
    <n v="0"/>
  </r>
  <r>
    <x v="0"/>
    <x v="0"/>
    <x v="0"/>
    <x v="7"/>
    <x v="1"/>
    <x v="1"/>
    <x v="4"/>
    <n v="0"/>
  </r>
  <r>
    <x v="0"/>
    <x v="0"/>
    <x v="0"/>
    <x v="7"/>
    <x v="1"/>
    <x v="1"/>
    <x v="5"/>
    <n v="0"/>
  </r>
  <r>
    <x v="0"/>
    <x v="0"/>
    <x v="0"/>
    <x v="7"/>
    <x v="1"/>
    <x v="1"/>
    <x v="6"/>
    <n v="0"/>
  </r>
  <r>
    <x v="0"/>
    <x v="0"/>
    <x v="0"/>
    <x v="7"/>
    <x v="1"/>
    <x v="1"/>
    <x v="7"/>
    <n v="0"/>
  </r>
  <r>
    <x v="0"/>
    <x v="0"/>
    <x v="0"/>
    <x v="7"/>
    <x v="1"/>
    <x v="1"/>
    <x v="8"/>
    <n v="0"/>
  </r>
  <r>
    <x v="0"/>
    <x v="0"/>
    <x v="0"/>
    <x v="7"/>
    <x v="1"/>
    <x v="1"/>
    <x v="9"/>
    <n v="0"/>
  </r>
  <r>
    <x v="0"/>
    <x v="0"/>
    <x v="0"/>
    <x v="7"/>
    <x v="1"/>
    <x v="1"/>
    <x v="10"/>
    <n v="0"/>
  </r>
  <r>
    <x v="0"/>
    <x v="0"/>
    <x v="0"/>
    <x v="7"/>
    <x v="1"/>
    <x v="1"/>
    <x v="11"/>
    <n v="0"/>
  </r>
  <r>
    <x v="0"/>
    <x v="0"/>
    <x v="0"/>
    <x v="7"/>
    <x v="1"/>
    <x v="2"/>
    <x v="0"/>
    <n v="0"/>
  </r>
  <r>
    <x v="0"/>
    <x v="0"/>
    <x v="0"/>
    <x v="7"/>
    <x v="1"/>
    <x v="2"/>
    <x v="1"/>
    <n v="0"/>
  </r>
  <r>
    <x v="0"/>
    <x v="0"/>
    <x v="0"/>
    <x v="7"/>
    <x v="1"/>
    <x v="2"/>
    <x v="2"/>
    <n v="0"/>
  </r>
  <r>
    <x v="0"/>
    <x v="0"/>
    <x v="0"/>
    <x v="7"/>
    <x v="1"/>
    <x v="2"/>
    <x v="3"/>
    <n v="0"/>
  </r>
  <r>
    <x v="0"/>
    <x v="0"/>
    <x v="0"/>
    <x v="7"/>
    <x v="1"/>
    <x v="2"/>
    <x v="4"/>
    <n v="0"/>
  </r>
  <r>
    <x v="0"/>
    <x v="0"/>
    <x v="0"/>
    <x v="7"/>
    <x v="1"/>
    <x v="2"/>
    <x v="5"/>
    <n v="0"/>
  </r>
  <r>
    <x v="0"/>
    <x v="0"/>
    <x v="0"/>
    <x v="7"/>
    <x v="1"/>
    <x v="2"/>
    <x v="6"/>
    <n v="0"/>
  </r>
  <r>
    <x v="0"/>
    <x v="0"/>
    <x v="0"/>
    <x v="7"/>
    <x v="1"/>
    <x v="2"/>
    <x v="7"/>
    <n v="0"/>
  </r>
  <r>
    <x v="0"/>
    <x v="0"/>
    <x v="0"/>
    <x v="7"/>
    <x v="1"/>
    <x v="2"/>
    <x v="8"/>
    <n v="0"/>
  </r>
  <r>
    <x v="0"/>
    <x v="0"/>
    <x v="0"/>
    <x v="7"/>
    <x v="1"/>
    <x v="2"/>
    <x v="9"/>
    <n v="0"/>
  </r>
  <r>
    <x v="0"/>
    <x v="0"/>
    <x v="0"/>
    <x v="7"/>
    <x v="1"/>
    <x v="2"/>
    <x v="10"/>
    <n v="0"/>
  </r>
  <r>
    <x v="0"/>
    <x v="0"/>
    <x v="0"/>
    <x v="7"/>
    <x v="1"/>
    <x v="2"/>
    <x v="11"/>
    <n v="0"/>
  </r>
  <r>
    <x v="0"/>
    <x v="0"/>
    <x v="0"/>
    <x v="7"/>
    <x v="1"/>
    <x v="3"/>
    <x v="0"/>
    <n v="0"/>
  </r>
  <r>
    <x v="0"/>
    <x v="0"/>
    <x v="0"/>
    <x v="7"/>
    <x v="1"/>
    <x v="3"/>
    <x v="1"/>
    <n v="0"/>
  </r>
  <r>
    <x v="0"/>
    <x v="0"/>
    <x v="0"/>
    <x v="7"/>
    <x v="1"/>
    <x v="3"/>
    <x v="2"/>
    <n v="0"/>
  </r>
  <r>
    <x v="0"/>
    <x v="0"/>
    <x v="0"/>
    <x v="7"/>
    <x v="1"/>
    <x v="3"/>
    <x v="3"/>
    <n v="0"/>
  </r>
  <r>
    <x v="0"/>
    <x v="0"/>
    <x v="0"/>
    <x v="7"/>
    <x v="1"/>
    <x v="3"/>
    <x v="4"/>
    <n v="0"/>
  </r>
  <r>
    <x v="0"/>
    <x v="0"/>
    <x v="0"/>
    <x v="7"/>
    <x v="1"/>
    <x v="3"/>
    <x v="5"/>
    <n v="0"/>
  </r>
  <r>
    <x v="0"/>
    <x v="0"/>
    <x v="0"/>
    <x v="7"/>
    <x v="1"/>
    <x v="3"/>
    <x v="6"/>
    <n v="0"/>
  </r>
  <r>
    <x v="0"/>
    <x v="0"/>
    <x v="0"/>
    <x v="7"/>
    <x v="1"/>
    <x v="3"/>
    <x v="7"/>
    <n v="0"/>
  </r>
  <r>
    <x v="0"/>
    <x v="0"/>
    <x v="0"/>
    <x v="7"/>
    <x v="1"/>
    <x v="3"/>
    <x v="8"/>
    <n v="0"/>
  </r>
  <r>
    <x v="0"/>
    <x v="0"/>
    <x v="0"/>
    <x v="7"/>
    <x v="1"/>
    <x v="3"/>
    <x v="9"/>
    <n v="0"/>
  </r>
  <r>
    <x v="0"/>
    <x v="0"/>
    <x v="0"/>
    <x v="7"/>
    <x v="1"/>
    <x v="3"/>
    <x v="10"/>
    <n v="0"/>
  </r>
  <r>
    <x v="0"/>
    <x v="0"/>
    <x v="0"/>
    <x v="7"/>
    <x v="1"/>
    <x v="3"/>
    <x v="11"/>
    <n v="0"/>
  </r>
  <r>
    <x v="0"/>
    <x v="0"/>
    <x v="0"/>
    <x v="7"/>
    <x v="1"/>
    <x v="4"/>
    <x v="0"/>
    <n v="0"/>
  </r>
  <r>
    <x v="0"/>
    <x v="0"/>
    <x v="0"/>
    <x v="7"/>
    <x v="1"/>
    <x v="4"/>
    <x v="1"/>
    <n v="0"/>
  </r>
  <r>
    <x v="0"/>
    <x v="0"/>
    <x v="0"/>
    <x v="7"/>
    <x v="1"/>
    <x v="4"/>
    <x v="2"/>
    <n v="0"/>
  </r>
  <r>
    <x v="0"/>
    <x v="0"/>
    <x v="0"/>
    <x v="7"/>
    <x v="1"/>
    <x v="4"/>
    <x v="3"/>
    <n v="0"/>
  </r>
  <r>
    <x v="0"/>
    <x v="0"/>
    <x v="0"/>
    <x v="7"/>
    <x v="1"/>
    <x v="4"/>
    <x v="4"/>
    <n v="0"/>
  </r>
  <r>
    <x v="0"/>
    <x v="0"/>
    <x v="0"/>
    <x v="7"/>
    <x v="1"/>
    <x v="4"/>
    <x v="5"/>
    <n v="0"/>
  </r>
  <r>
    <x v="0"/>
    <x v="0"/>
    <x v="0"/>
    <x v="7"/>
    <x v="1"/>
    <x v="4"/>
    <x v="6"/>
    <n v="0"/>
  </r>
  <r>
    <x v="0"/>
    <x v="0"/>
    <x v="0"/>
    <x v="7"/>
    <x v="1"/>
    <x v="4"/>
    <x v="7"/>
    <n v="0"/>
  </r>
  <r>
    <x v="0"/>
    <x v="0"/>
    <x v="0"/>
    <x v="7"/>
    <x v="1"/>
    <x v="4"/>
    <x v="8"/>
    <n v="0"/>
  </r>
  <r>
    <x v="0"/>
    <x v="0"/>
    <x v="0"/>
    <x v="7"/>
    <x v="1"/>
    <x v="4"/>
    <x v="9"/>
    <n v="0"/>
  </r>
  <r>
    <x v="0"/>
    <x v="0"/>
    <x v="0"/>
    <x v="7"/>
    <x v="1"/>
    <x v="4"/>
    <x v="10"/>
    <n v="0"/>
  </r>
  <r>
    <x v="0"/>
    <x v="0"/>
    <x v="0"/>
    <x v="7"/>
    <x v="1"/>
    <x v="4"/>
    <x v="11"/>
    <n v="0"/>
  </r>
  <r>
    <x v="0"/>
    <x v="0"/>
    <x v="0"/>
    <x v="7"/>
    <x v="1"/>
    <x v="5"/>
    <x v="0"/>
    <n v="0"/>
  </r>
  <r>
    <x v="0"/>
    <x v="0"/>
    <x v="0"/>
    <x v="7"/>
    <x v="1"/>
    <x v="5"/>
    <x v="1"/>
    <n v="0"/>
  </r>
  <r>
    <x v="0"/>
    <x v="0"/>
    <x v="0"/>
    <x v="7"/>
    <x v="1"/>
    <x v="5"/>
    <x v="2"/>
    <n v="0"/>
  </r>
  <r>
    <x v="0"/>
    <x v="0"/>
    <x v="0"/>
    <x v="7"/>
    <x v="1"/>
    <x v="5"/>
    <x v="3"/>
    <n v="0"/>
  </r>
  <r>
    <x v="0"/>
    <x v="0"/>
    <x v="0"/>
    <x v="7"/>
    <x v="1"/>
    <x v="5"/>
    <x v="4"/>
    <n v="0"/>
  </r>
  <r>
    <x v="0"/>
    <x v="0"/>
    <x v="0"/>
    <x v="7"/>
    <x v="1"/>
    <x v="5"/>
    <x v="5"/>
    <n v="0"/>
  </r>
  <r>
    <x v="0"/>
    <x v="0"/>
    <x v="0"/>
    <x v="7"/>
    <x v="1"/>
    <x v="5"/>
    <x v="6"/>
    <n v="0"/>
  </r>
  <r>
    <x v="0"/>
    <x v="0"/>
    <x v="0"/>
    <x v="7"/>
    <x v="1"/>
    <x v="5"/>
    <x v="7"/>
    <n v="0"/>
  </r>
  <r>
    <x v="0"/>
    <x v="0"/>
    <x v="0"/>
    <x v="7"/>
    <x v="1"/>
    <x v="5"/>
    <x v="8"/>
    <n v="0"/>
  </r>
  <r>
    <x v="0"/>
    <x v="0"/>
    <x v="0"/>
    <x v="7"/>
    <x v="1"/>
    <x v="5"/>
    <x v="9"/>
    <n v="0"/>
  </r>
  <r>
    <x v="0"/>
    <x v="0"/>
    <x v="0"/>
    <x v="7"/>
    <x v="1"/>
    <x v="5"/>
    <x v="10"/>
    <n v="0"/>
  </r>
  <r>
    <x v="0"/>
    <x v="0"/>
    <x v="0"/>
    <x v="7"/>
    <x v="1"/>
    <x v="5"/>
    <x v="11"/>
    <n v="0"/>
  </r>
  <r>
    <x v="0"/>
    <x v="0"/>
    <x v="0"/>
    <x v="7"/>
    <x v="1"/>
    <x v="6"/>
    <x v="0"/>
    <n v="0"/>
  </r>
  <r>
    <x v="0"/>
    <x v="0"/>
    <x v="0"/>
    <x v="7"/>
    <x v="1"/>
    <x v="6"/>
    <x v="1"/>
    <n v="0"/>
  </r>
  <r>
    <x v="0"/>
    <x v="0"/>
    <x v="0"/>
    <x v="7"/>
    <x v="1"/>
    <x v="6"/>
    <x v="2"/>
    <n v="0"/>
  </r>
  <r>
    <x v="0"/>
    <x v="0"/>
    <x v="0"/>
    <x v="7"/>
    <x v="1"/>
    <x v="6"/>
    <x v="3"/>
    <n v="0"/>
  </r>
  <r>
    <x v="0"/>
    <x v="0"/>
    <x v="0"/>
    <x v="7"/>
    <x v="1"/>
    <x v="6"/>
    <x v="4"/>
    <n v="0"/>
  </r>
  <r>
    <x v="0"/>
    <x v="0"/>
    <x v="0"/>
    <x v="7"/>
    <x v="1"/>
    <x v="6"/>
    <x v="5"/>
    <n v="0"/>
  </r>
  <r>
    <x v="0"/>
    <x v="0"/>
    <x v="0"/>
    <x v="7"/>
    <x v="1"/>
    <x v="6"/>
    <x v="6"/>
    <n v="0"/>
  </r>
  <r>
    <x v="0"/>
    <x v="0"/>
    <x v="0"/>
    <x v="7"/>
    <x v="1"/>
    <x v="6"/>
    <x v="7"/>
    <n v="0"/>
  </r>
  <r>
    <x v="0"/>
    <x v="0"/>
    <x v="0"/>
    <x v="7"/>
    <x v="1"/>
    <x v="6"/>
    <x v="8"/>
    <n v="0"/>
  </r>
  <r>
    <x v="0"/>
    <x v="0"/>
    <x v="0"/>
    <x v="7"/>
    <x v="1"/>
    <x v="6"/>
    <x v="9"/>
    <n v="0"/>
  </r>
  <r>
    <x v="0"/>
    <x v="0"/>
    <x v="0"/>
    <x v="7"/>
    <x v="1"/>
    <x v="6"/>
    <x v="10"/>
    <n v="0"/>
  </r>
  <r>
    <x v="0"/>
    <x v="0"/>
    <x v="0"/>
    <x v="7"/>
    <x v="1"/>
    <x v="6"/>
    <x v="11"/>
    <n v="0"/>
  </r>
  <r>
    <x v="0"/>
    <x v="0"/>
    <x v="0"/>
    <x v="7"/>
    <x v="1"/>
    <x v="7"/>
    <x v="0"/>
    <n v="0"/>
  </r>
  <r>
    <x v="0"/>
    <x v="0"/>
    <x v="0"/>
    <x v="7"/>
    <x v="1"/>
    <x v="7"/>
    <x v="1"/>
    <n v="0"/>
  </r>
  <r>
    <x v="0"/>
    <x v="0"/>
    <x v="0"/>
    <x v="7"/>
    <x v="1"/>
    <x v="7"/>
    <x v="2"/>
    <n v="0"/>
  </r>
  <r>
    <x v="0"/>
    <x v="0"/>
    <x v="0"/>
    <x v="7"/>
    <x v="1"/>
    <x v="7"/>
    <x v="3"/>
    <n v="0"/>
  </r>
  <r>
    <x v="0"/>
    <x v="0"/>
    <x v="0"/>
    <x v="7"/>
    <x v="1"/>
    <x v="7"/>
    <x v="4"/>
    <n v="0"/>
  </r>
  <r>
    <x v="0"/>
    <x v="0"/>
    <x v="0"/>
    <x v="7"/>
    <x v="1"/>
    <x v="7"/>
    <x v="5"/>
    <n v="0"/>
  </r>
  <r>
    <x v="0"/>
    <x v="0"/>
    <x v="0"/>
    <x v="7"/>
    <x v="1"/>
    <x v="7"/>
    <x v="6"/>
    <n v="0"/>
  </r>
  <r>
    <x v="0"/>
    <x v="0"/>
    <x v="0"/>
    <x v="7"/>
    <x v="1"/>
    <x v="7"/>
    <x v="7"/>
    <n v="0"/>
  </r>
  <r>
    <x v="0"/>
    <x v="0"/>
    <x v="0"/>
    <x v="7"/>
    <x v="1"/>
    <x v="7"/>
    <x v="8"/>
    <n v="0"/>
  </r>
  <r>
    <x v="0"/>
    <x v="0"/>
    <x v="0"/>
    <x v="7"/>
    <x v="1"/>
    <x v="7"/>
    <x v="9"/>
    <n v="0"/>
  </r>
  <r>
    <x v="0"/>
    <x v="0"/>
    <x v="0"/>
    <x v="7"/>
    <x v="1"/>
    <x v="7"/>
    <x v="10"/>
    <n v="0"/>
  </r>
  <r>
    <x v="0"/>
    <x v="0"/>
    <x v="0"/>
    <x v="7"/>
    <x v="1"/>
    <x v="7"/>
    <x v="11"/>
    <n v="0"/>
  </r>
  <r>
    <x v="0"/>
    <x v="0"/>
    <x v="0"/>
    <x v="7"/>
    <x v="1"/>
    <x v="8"/>
    <x v="0"/>
    <n v="0"/>
  </r>
  <r>
    <x v="0"/>
    <x v="0"/>
    <x v="0"/>
    <x v="7"/>
    <x v="1"/>
    <x v="8"/>
    <x v="1"/>
    <n v="0"/>
  </r>
  <r>
    <x v="0"/>
    <x v="0"/>
    <x v="0"/>
    <x v="7"/>
    <x v="1"/>
    <x v="8"/>
    <x v="2"/>
    <n v="0"/>
  </r>
  <r>
    <x v="0"/>
    <x v="0"/>
    <x v="0"/>
    <x v="7"/>
    <x v="1"/>
    <x v="8"/>
    <x v="3"/>
    <n v="0"/>
  </r>
  <r>
    <x v="0"/>
    <x v="0"/>
    <x v="0"/>
    <x v="7"/>
    <x v="1"/>
    <x v="8"/>
    <x v="4"/>
    <n v="0"/>
  </r>
  <r>
    <x v="0"/>
    <x v="0"/>
    <x v="0"/>
    <x v="7"/>
    <x v="1"/>
    <x v="8"/>
    <x v="5"/>
    <n v="0"/>
  </r>
  <r>
    <x v="0"/>
    <x v="0"/>
    <x v="0"/>
    <x v="7"/>
    <x v="1"/>
    <x v="8"/>
    <x v="6"/>
    <n v="0"/>
  </r>
  <r>
    <x v="0"/>
    <x v="0"/>
    <x v="0"/>
    <x v="7"/>
    <x v="1"/>
    <x v="8"/>
    <x v="7"/>
    <n v="0"/>
  </r>
  <r>
    <x v="0"/>
    <x v="0"/>
    <x v="0"/>
    <x v="7"/>
    <x v="1"/>
    <x v="8"/>
    <x v="8"/>
    <n v="0"/>
  </r>
  <r>
    <x v="0"/>
    <x v="0"/>
    <x v="0"/>
    <x v="7"/>
    <x v="1"/>
    <x v="8"/>
    <x v="9"/>
    <n v="0"/>
  </r>
  <r>
    <x v="0"/>
    <x v="0"/>
    <x v="0"/>
    <x v="7"/>
    <x v="1"/>
    <x v="8"/>
    <x v="10"/>
    <n v="0"/>
  </r>
  <r>
    <x v="0"/>
    <x v="0"/>
    <x v="0"/>
    <x v="7"/>
    <x v="1"/>
    <x v="8"/>
    <x v="11"/>
    <n v="0"/>
  </r>
  <r>
    <x v="0"/>
    <x v="0"/>
    <x v="0"/>
    <x v="7"/>
    <x v="1"/>
    <x v="9"/>
    <x v="0"/>
    <n v="0"/>
  </r>
  <r>
    <x v="0"/>
    <x v="0"/>
    <x v="0"/>
    <x v="7"/>
    <x v="1"/>
    <x v="9"/>
    <x v="1"/>
    <n v="0"/>
  </r>
  <r>
    <x v="0"/>
    <x v="0"/>
    <x v="0"/>
    <x v="7"/>
    <x v="1"/>
    <x v="9"/>
    <x v="2"/>
    <n v="0"/>
  </r>
  <r>
    <x v="0"/>
    <x v="0"/>
    <x v="0"/>
    <x v="7"/>
    <x v="1"/>
    <x v="9"/>
    <x v="3"/>
    <n v="0"/>
  </r>
  <r>
    <x v="0"/>
    <x v="0"/>
    <x v="0"/>
    <x v="7"/>
    <x v="1"/>
    <x v="9"/>
    <x v="4"/>
    <n v="0"/>
  </r>
  <r>
    <x v="0"/>
    <x v="0"/>
    <x v="0"/>
    <x v="7"/>
    <x v="1"/>
    <x v="9"/>
    <x v="5"/>
    <n v="0"/>
  </r>
  <r>
    <x v="0"/>
    <x v="0"/>
    <x v="0"/>
    <x v="7"/>
    <x v="1"/>
    <x v="9"/>
    <x v="6"/>
    <n v="0"/>
  </r>
  <r>
    <x v="0"/>
    <x v="0"/>
    <x v="0"/>
    <x v="7"/>
    <x v="1"/>
    <x v="9"/>
    <x v="7"/>
    <n v="0"/>
  </r>
  <r>
    <x v="0"/>
    <x v="0"/>
    <x v="0"/>
    <x v="7"/>
    <x v="1"/>
    <x v="9"/>
    <x v="8"/>
    <n v="0"/>
  </r>
  <r>
    <x v="0"/>
    <x v="0"/>
    <x v="0"/>
    <x v="7"/>
    <x v="1"/>
    <x v="9"/>
    <x v="9"/>
    <n v="0"/>
  </r>
  <r>
    <x v="0"/>
    <x v="0"/>
    <x v="0"/>
    <x v="7"/>
    <x v="1"/>
    <x v="9"/>
    <x v="10"/>
    <n v="0"/>
  </r>
  <r>
    <x v="0"/>
    <x v="0"/>
    <x v="0"/>
    <x v="7"/>
    <x v="1"/>
    <x v="9"/>
    <x v="11"/>
    <n v="0"/>
  </r>
  <r>
    <x v="0"/>
    <x v="0"/>
    <x v="0"/>
    <x v="7"/>
    <x v="1"/>
    <x v="10"/>
    <x v="0"/>
    <n v="0"/>
  </r>
  <r>
    <x v="0"/>
    <x v="0"/>
    <x v="0"/>
    <x v="7"/>
    <x v="1"/>
    <x v="10"/>
    <x v="1"/>
    <n v="0"/>
  </r>
  <r>
    <x v="0"/>
    <x v="0"/>
    <x v="0"/>
    <x v="7"/>
    <x v="1"/>
    <x v="10"/>
    <x v="2"/>
    <n v="0"/>
  </r>
  <r>
    <x v="0"/>
    <x v="0"/>
    <x v="0"/>
    <x v="7"/>
    <x v="1"/>
    <x v="10"/>
    <x v="3"/>
    <n v="0"/>
  </r>
  <r>
    <x v="0"/>
    <x v="0"/>
    <x v="0"/>
    <x v="7"/>
    <x v="1"/>
    <x v="10"/>
    <x v="4"/>
    <n v="0"/>
  </r>
  <r>
    <x v="0"/>
    <x v="0"/>
    <x v="0"/>
    <x v="7"/>
    <x v="1"/>
    <x v="10"/>
    <x v="5"/>
    <n v="0"/>
  </r>
  <r>
    <x v="0"/>
    <x v="0"/>
    <x v="0"/>
    <x v="7"/>
    <x v="1"/>
    <x v="10"/>
    <x v="6"/>
    <n v="0"/>
  </r>
  <r>
    <x v="0"/>
    <x v="0"/>
    <x v="0"/>
    <x v="7"/>
    <x v="1"/>
    <x v="10"/>
    <x v="7"/>
    <n v="0"/>
  </r>
  <r>
    <x v="0"/>
    <x v="0"/>
    <x v="0"/>
    <x v="7"/>
    <x v="1"/>
    <x v="10"/>
    <x v="8"/>
    <n v="0"/>
  </r>
  <r>
    <x v="0"/>
    <x v="0"/>
    <x v="0"/>
    <x v="7"/>
    <x v="1"/>
    <x v="10"/>
    <x v="9"/>
    <n v="0"/>
  </r>
  <r>
    <x v="0"/>
    <x v="0"/>
    <x v="0"/>
    <x v="7"/>
    <x v="1"/>
    <x v="10"/>
    <x v="10"/>
    <n v="0"/>
  </r>
  <r>
    <x v="0"/>
    <x v="0"/>
    <x v="0"/>
    <x v="7"/>
    <x v="1"/>
    <x v="10"/>
    <x v="11"/>
    <n v="0"/>
  </r>
  <r>
    <x v="0"/>
    <x v="0"/>
    <x v="0"/>
    <x v="7"/>
    <x v="1"/>
    <x v="11"/>
    <x v="0"/>
    <n v="0"/>
  </r>
  <r>
    <x v="0"/>
    <x v="0"/>
    <x v="0"/>
    <x v="7"/>
    <x v="1"/>
    <x v="11"/>
    <x v="1"/>
    <n v="0"/>
  </r>
  <r>
    <x v="0"/>
    <x v="0"/>
    <x v="0"/>
    <x v="7"/>
    <x v="1"/>
    <x v="11"/>
    <x v="2"/>
    <n v="0"/>
  </r>
  <r>
    <x v="0"/>
    <x v="0"/>
    <x v="0"/>
    <x v="7"/>
    <x v="1"/>
    <x v="11"/>
    <x v="3"/>
    <n v="0"/>
  </r>
  <r>
    <x v="0"/>
    <x v="0"/>
    <x v="0"/>
    <x v="7"/>
    <x v="1"/>
    <x v="11"/>
    <x v="4"/>
    <n v="0"/>
  </r>
  <r>
    <x v="0"/>
    <x v="0"/>
    <x v="0"/>
    <x v="7"/>
    <x v="1"/>
    <x v="11"/>
    <x v="5"/>
    <n v="0"/>
  </r>
  <r>
    <x v="0"/>
    <x v="0"/>
    <x v="0"/>
    <x v="7"/>
    <x v="1"/>
    <x v="11"/>
    <x v="6"/>
    <n v="0"/>
  </r>
  <r>
    <x v="0"/>
    <x v="0"/>
    <x v="0"/>
    <x v="7"/>
    <x v="1"/>
    <x v="11"/>
    <x v="7"/>
    <n v="0"/>
  </r>
  <r>
    <x v="0"/>
    <x v="0"/>
    <x v="0"/>
    <x v="7"/>
    <x v="1"/>
    <x v="11"/>
    <x v="8"/>
    <n v="0"/>
  </r>
  <r>
    <x v="0"/>
    <x v="0"/>
    <x v="0"/>
    <x v="7"/>
    <x v="1"/>
    <x v="11"/>
    <x v="9"/>
    <n v="0"/>
  </r>
  <r>
    <x v="0"/>
    <x v="0"/>
    <x v="0"/>
    <x v="7"/>
    <x v="1"/>
    <x v="11"/>
    <x v="10"/>
    <n v="0"/>
  </r>
  <r>
    <x v="0"/>
    <x v="0"/>
    <x v="0"/>
    <x v="7"/>
    <x v="1"/>
    <x v="11"/>
    <x v="11"/>
    <n v="0"/>
  </r>
  <r>
    <x v="0"/>
    <x v="0"/>
    <x v="0"/>
    <x v="7"/>
    <x v="2"/>
    <x v="0"/>
    <x v="0"/>
    <n v="-0.7"/>
  </r>
  <r>
    <x v="0"/>
    <x v="0"/>
    <x v="0"/>
    <x v="7"/>
    <x v="2"/>
    <x v="0"/>
    <x v="1"/>
    <n v="-0.7"/>
  </r>
  <r>
    <x v="0"/>
    <x v="0"/>
    <x v="0"/>
    <x v="7"/>
    <x v="2"/>
    <x v="0"/>
    <x v="2"/>
    <n v="-0.7"/>
  </r>
  <r>
    <x v="0"/>
    <x v="0"/>
    <x v="0"/>
    <x v="7"/>
    <x v="2"/>
    <x v="0"/>
    <x v="3"/>
    <n v="-0.7"/>
  </r>
  <r>
    <x v="0"/>
    <x v="0"/>
    <x v="0"/>
    <x v="7"/>
    <x v="2"/>
    <x v="0"/>
    <x v="4"/>
    <n v="-0.7"/>
  </r>
  <r>
    <x v="0"/>
    <x v="0"/>
    <x v="0"/>
    <x v="7"/>
    <x v="2"/>
    <x v="0"/>
    <x v="5"/>
    <n v="-0.7"/>
  </r>
  <r>
    <x v="0"/>
    <x v="0"/>
    <x v="0"/>
    <x v="7"/>
    <x v="2"/>
    <x v="0"/>
    <x v="6"/>
    <n v="-0.7"/>
  </r>
  <r>
    <x v="0"/>
    <x v="0"/>
    <x v="0"/>
    <x v="7"/>
    <x v="2"/>
    <x v="0"/>
    <x v="7"/>
    <n v="-0.7"/>
  </r>
  <r>
    <x v="0"/>
    <x v="0"/>
    <x v="0"/>
    <x v="7"/>
    <x v="2"/>
    <x v="0"/>
    <x v="8"/>
    <n v="-0.7"/>
  </r>
  <r>
    <x v="0"/>
    <x v="0"/>
    <x v="0"/>
    <x v="7"/>
    <x v="2"/>
    <x v="0"/>
    <x v="9"/>
    <n v="-0.7"/>
  </r>
  <r>
    <x v="0"/>
    <x v="0"/>
    <x v="0"/>
    <x v="7"/>
    <x v="2"/>
    <x v="0"/>
    <x v="10"/>
    <n v="-0.7"/>
  </r>
  <r>
    <x v="0"/>
    <x v="0"/>
    <x v="0"/>
    <x v="7"/>
    <x v="2"/>
    <x v="0"/>
    <x v="11"/>
    <n v="-0.7"/>
  </r>
  <r>
    <x v="0"/>
    <x v="0"/>
    <x v="0"/>
    <x v="7"/>
    <x v="2"/>
    <x v="1"/>
    <x v="0"/>
    <n v="-0.7"/>
  </r>
  <r>
    <x v="0"/>
    <x v="0"/>
    <x v="0"/>
    <x v="7"/>
    <x v="2"/>
    <x v="1"/>
    <x v="1"/>
    <n v="-0.7"/>
  </r>
  <r>
    <x v="0"/>
    <x v="0"/>
    <x v="0"/>
    <x v="7"/>
    <x v="2"/>
    <x v="1"/>
    <x v="2"/>
    <n v="-0.7"/>
  </r>
  <r>
    <x v="0"/>
    <x v="0"/>
    <x v="0"/>
    <x v="7"/>
    <x v="2"/>
    <x v="1"/>
    <x v="3"/>
    <n v="-0.7"/>
  </r>
  <r>
    <x v="0"/>
    <x v="0"/>
    <x v="0"/>
    <x v="7"/>
    <x v="2"/>
    <x v="1"/>
    <x v="4"/>
    <n v="-0.7"/>
  </r>
  <r>
    <x v="0"/>
    <x v="0"/>
    <x v="0"/>
    <x v="7"/>
    <x v="2"/>
    <x v="1"/>
    <x v="5"/>
    <n v="-0.7"/>
  </r>
  <r>
    <x v="0"/>
    <x v="0"/>
    <x v="0"/>
    <x v="7"/>
    <x v="2"/>
    <x v="1"/>
    <x v="6"/>
    <n v="-0.7"/>
  </r>
  <r>
    <x v="0"/>
    <x v="0"/>
    <x v="0"/>
    <x v="7"/>
    <x v="2"/>
    <x v="1"/>
    <x v="7"/>
    <n v="-0.7"/>
  </r>
  <r>
    <x v="0"/>
    <x v="0"/>
    <x v="0"/>
    <x v="7"/>
    <x v="2"/>
    <x v="1"/>
    <x v="8"/>
    <n v="-0.7"/>
  </r>
  <r>
    <x v="0"/>
    <x v="0"/>
    <x v="0"/>
    <x v="7"/>
    <x v="2"/>
    <x v="1"/>
    <x v="9"/>
    <n v="-0.7"/>
  </r>
  <r>
    <x v="0"/>
    <x v="0"/>
    <x v="0"/>
    <x v="7"/>
    <x v="2"/>
    <x v="1"/>
    <x v="10"/>
    <n v="-0.7"/>
  </r>
  <r>
    <x v="0"/>
    <x v="0"/>
    <x v="0"/>
    <x v="7"/>
    <x v="2"/>
    <x v="1"/>
    <x v="11"/>
    <n v="-0.7"/>
  </r>
  <r>
    <x v="0"/>
    <x v="0"/>
    <x v="0"/>
    <x v="7"/>
    <x v="2"/>
    <x v="2"/>
    <x v="0"/>
    <n v="-0.7"/>
  </r>
  <r>
    <x v="0"/>
    <x v="0"/>
    <x v="0"/>
    <x v="7"/>
    <x v="2"/>
    <x v="2"/>
    <x v="1"/>
    <n v="-0.7"/>
  </r>
  <r>
    <x v="0"/>
    <x v="0"/>
    <x v="0"/>
    <x v="7"/>
    <x v="2"/>
    <x v="2"/>
    <x v="2"/>
    <n v="-0.7"/>
  </r>
  <r>
    <x v="0"/>
    <x v="0"/>
    <x v="0"/>
    <x v="7"/>
    <x v="2"/>
    <x v="2"/>
    <x v="3"/>
    <n v="-0.7"/>
  </r>
  <r>
    <x v="0"/>
    <x v="0"/>
    <x v="0"/>
    <x v="7"/>
    <x v="2"/>
    <x v="2"/>
    <x v="4"/>
    <n v="-0.7"/>
  </r>
  <r>
    <x v="0"/>
    <x v="0"/>
    <x v="0"/>
    <x v="7"/>
    <x v="2"/>
    <x v="2"/>
    <x v="5"/>
    <n v="-0.7"/>
  </r>
  <r>
    <x v="0"/>
    <x v="0"/>
    <x v="0"/>
    <x v="7"/>
    <x v="2"/>
    <x v="2"/>
    <x v="6"/>
    <n v="-0.7"/>
  </r>
  <r>
    <x v="0"/>
    <x v="0"/>
    <x v="0"/>
    <x v="7"/>
    <x v="2"/>
    <x v="2"/>
    <x v="7"/>
    <n v="-0.7"/>
  </r>
  <r>
    <x v="0"/>
    <x v="0"/>
    <x v="0"/>
    <x v="7"/>
    <x v="2"/>
    <x v="2"/>
    <x v="8"/>
    <n v="-0.7"/>
  </r>
  <r>
    <x v="0"/>
    <x v="0"/>
    <x v="0"/>
    <x v="7"/>
    <x v="2"/>
    <x v="2"/>
    <x v="9"/>
    <n v="-0.7"/>
  </r>
  <r>
    <x v="0"/>
    <x v="0"/>
    <x v="0"/>
    <x v="7"/>
    <x v="2"/>
    <x v="2"/>
    <x v="10"/>
    <n v="-0.7"/>
  </r>
  <r>
    <x v="0"/>
    <x v="0"/>
    <x v="0"/>
    <x v="7"/>
    <x v="2"/>
    <x v="2"/>
    <x v="11"/>
    <n v="-0.7"/>
  </r>
  <r>
    <x v="0"/>
    <x v="0"/>
    <x v="0"/>
    <x v="7"/>
    <x v="2"/>
    <x v="3"/>
    <x v="0"/>
    <n v="-0.7"/>
  </r>
  <r>
    <x v="0"/>
    <x v="0"/>
    <x v="0"/>
    <x v="7"/>
    <x v="2"/>
    <x v="3"/>
    <x v="1"/>
    <n v="-0.7"/>
  </r>
  <r>
    <x v="0"/>
    <x v="0"/>
    <x v="0"/>
    <x v="7"/>
    <x v="2"/>
    <x v="3"/>
    <x v="2"/>
    <n v="-0.7"/>
  </r>
  <r>
    <x v="0"/>
    <x v="0"/>
    <x v="0"/>
    <x v="7"/>
    <x v="2"/>
    <x v="3"/>
    <x v="3"/>
    <n v="-0.7"/>
  </r>
  <r>
    <x v="0"/>
    <x v="0"/>
    <x v="0"/>
    <x v="7"/>
    <x v="2"/>
    <x v="3"/>
    <x v="4"/>
    <n v="-0.7"/>
  </r>
  <r>
    <x v="0"/>
    <x v="0"/>
    <x v="0"/>
    <x v="7"/>
    <x v="2"/>
    <x v="3"/>
    <x v="5"/>
    <n v="-0.7"/>
  </r>
  <r>
    <x v="0"/>
    <x v="0"/>
    <x v="0"/>
    <x v="7"/>
    <x v="2"/>
    <x v="3"/>
    <x v="6"/>
    <n v="-0.7"/>
  </r>
  <r>
    <x v="0"/>
    <x v="0"/>
    <x v="0"/>
    <x v="7"/>
    <x v="2"/>
    <x v="3"/>
    <x v="7"/>
    <n v="-0.7"/>
  </r>
  <r>
    <x v="0"/>
    <x v="0"/>
    <x v="0"/>
    <x v="7"/>
    <x v="2"/>
    <x v="3"/>
    <x v="8"/>
    <n v="-0.7"/>
  </r>
  <r>
    <x v="0"/>
    <x v="0"/>
    <x v="0"/>
    <x v="7"/>
    <x v="2"/>
    <x v="3"/>
    <x v="9"/>
    <n v="-0.7"/>
  </r>
  <r>
    <x v="0"/>
    <x v="0"/>
    <x v="0"/>
    <x v="7"/>
    <x v="2"/>
    <x v="3"/>
    <x v="10"/>
    <n v="-0.7"/>
  </r>
  <r>
    <x v="0"/>
    <x v="0"/>
    <x v="0"/>
    <x v="7"/>
    <x v="2"/>
    <x v="3"/>
    <x v="11"/>
    <n v="-0.7"/>
  </r>
  <r>
    <x v="0"/>
    <x v="0"/>
    <x v="0"/>
    <x v="7"/>
    <x v="2"/>
    <x v="4"/>
    <x v="0"/>
    <n v="-0.7"/>
  </r>
  <r>
    <x v="0"/>
    <x v="0"/>
    <x v="0"/>
    <x v="7"/>
    <x v="2"/>
    <x v="4"/>
    <x v="1"/>
    <n v="-0.7"/>
  </r>
  <r>
    <x v="0"/>
    <x v="0"/>
    <x v="0"/>
    <x v="7"/>
    <x v="2"/>
    <x v="4"/>
    <x v="2"/>
    <n v="-0.7"/>
  </r>
  <r>
    <x v="0"/>
    <x v="0"/>
    <x v="0"/>
    <x v="7"/>
    <x v="2"/>
    <x v="4"/>
    <x v="3"/>
    <n v="-0.7"/>
  </r>
  <r>
    <x v="0"/>
    <x v="0"/>
    <x v="0"/>
    <x v="7"/>
    <x v="2"/>
    <x v="4"/>
    <x v="4"/>
    <n v="-0.7"/>
  </r>
  <r>
    <x v="0"/>
    <x v="0"/>
    <x v="0"/>
    <x v="7"/>
    <x v="2"/>
    <x v="4"/>
    <x v="5"/>
    <n v="-0.7"/>
  </r>
  <r>
    <x v="0"/>
    <x v="0"/>
    <x v="0"/>
    <x v="7"/>
    <x v="2"/>
    <x v="4"/>
    <x v="6"/>
    <n v="-0.7"/>
  </r>
  <r>
    <x v="0"/>
    <x v="0"/>
    <x v="0"/>
    <x v="7"/>
    <x v="2"/>
    <x v="4"/>
    <x v="7"/>
    <n v="-0.7"/>
  </r>
  <r>
    <x v="0"/>
    <x v="0"/>
    <x v="0"/>
    <x v="7"/>
    <x v="2"/>
    <x v="4"/>
    <x v="8"/>
    <n v="-0.7"/>
  </r>
  <r>
    <x v="0"/>
    <x v="0"/>
    <x v="0"/>
    <x v="7"/>
    <x v="2"/>
    <x v="4"/>
    <x v="9"/>
    <n v="-0.7"/>
  </r>
  <r>
    <x v="0"/>
    <x v="0"/>
    <x v="0"/>
    <x v="7"/>
    <x v="2"/>
    <x v="4"/>
    <x v="10"/>
    <n v="-0.7"/>
  </r>
  <r>
    <x v="0"/>
    <x v="0"/>
    <x v="0"/>
    <x v="7"/>
    <x v="2"/>
    <x v="4"/>
    <x v="11"/>
    <n v="-0.7"/>
  </r>
  <r>
    <x v="0"/>
    <x v="0"/>
    <x v="0"/>
    <x v="7"/>
    <x v="2"/>
    <x v="5"/>
    <x v="0"/>
    <n v="-0.7"/>
  </r>
  <r>
    <x v="0"/>
    <x v="0"/>
    <x v="0"/>
    <x v="7"/>
    <x v="2"/>
    <x v="5"/>
    <x v="1"/>
    <n v="-0.7"/>
  </r>
  <r>
    <x v="0"/>
    <x v="0"/>
    <x v="0"/>
    <x v="7"/>
    <x v="2"/>
    <x v="5"/>
    <x v="2"/>
    <n v="-0.7"/>
  </r>
  <r>
    <x v="0"/>
    <x v="0"/>
    <x v="0"/>
    <x v="7"/>
    <x v="2"/>
    <x v="5"/>
    <x v="3"/>
    <n v="-0.7"/>
  </r>
  <r>
    <x v="0"/>
    <x v="0"/>
    <x v="0"/>
    <x v="7"/>
    <x v="2"/>
    <x v="5"/>
    <x v="4"/>
    <n v="-0.7"/>
  </r>
  <r>
    <x v="0"/>
    <x v="0"/>
    <x v="0"/>
    <x v="7"/>
    <x v="2"/>
    <x v="5"/>
    <x v="5"/>
    <n v="-0.7"/>
  </r>
  <r>
    <x v="0"/>
    <x v="0"/>
    <x v="0"/>
    <x v="7"/>
    <x v="2"/>
    <x v="5"/>
    <x v="6"/>
    <n v="-0.7"/>
  </r>
  <r>
    <x v="0"/>
    <x v="0"/>
    <x v="0"/>
    <x v="7"/>
    <x v="2"/>
    <x v="5"/>
    <x v="7"/>
    <n v="-0.7"/>
  </r>
  <r>
    <x v="0"/>
    <x v="0"/>
    <x v="0"/>
    <x v="7"/>
    <x v="2"/>
    <x v="5"/>
    <x v="8"/>
    <n v="-0.7"/>
  </r>
  <r>
    <x v="0"/>
    <x v="0"/>
    <x v="0"/>
    <x v="7"/>
    <x v="2"/>
    <x v="5"/>
    <x v="9"/>
    <n v="-0.7"/>
  </r>
  <r>
    <x v="0"/>
    <x v="0"/>
    <x v="0"/>
    <x v="7"/>
    <x v="2"/>
    <x v="5"/>
    <x v="10"/>
    <n v="-0.7"/>
  </r>
  <r>
    <x v="0"/>
    <x v="0"/>
    <x v="0"/>
    <x v="7"/>
    <x v="2"/>
    <x v="5"/>
    <x v="11"/>
    <n v="-0.7"/>
  </r>
  <r>
    <x v="0"/>
    <x v="0"/>
    <x v="0"/>
    <x v="7"/>
    <x v="2"/>
    <x v="6"/>
    <x v="0"/>
    <n v="-0.7"/>
  </r>
  <r>
    <x v="0"/>
    <x v="0"/>
    <x v="0"/>
    <x v="7"/>
    <x v="2"/>
    <x v="6"/>
    <x v="1"/>
    <n v="-0.7"/>
  </r>
  <r>
    <x v="0"/>
    <x v="0"/>
    <x v="0"/>
    <x v="7"/>
    <x v="2"/>
    <x v="6"/>
    <x v="2"/>
    <n v="-0.7"/>
  </r>
  <r>
    <x v="0"/>
    <x v="0"/>
    <x v="0"/>
    <x v="7"/>
    <x v="2"/>
    <x v="6"/>
    <x v="3"/>
    <n v="-0.7"/>
  </r>
  <r>
    <x v="0"/>
    <x v="0"/>
    <x v="0"/>
    <x v="7"/>
    <x v="2"/>
    <x v="6"/>
    <x v="4"/>
    <n v="-0.7"/>
  </r>
  <r>
    <x v="0"/>
    <x v="0"/>
    <x v="0"/>
    <x v="7"/>
    <x v="2"/>
    <x v="6"/>
    <x v="5"/>
    <n v="-0.7"/>
  </r>
  <r>
    <x v="0"/>
    <x v="0"/>
    <x v="0"/>
    <x v="7"/>
    <x v="2"/>
    <x v="6"/>
    <x v="6"/>
    <n v="-0.7"/>
  </r>
  <r>
    <x v="0"/>
    <x v="0"/>
    <x v="0"/>
    <x v="7"/>
    <x v="2"/>
    <x v="6"/>
    <x v="7"/>
    <n v="-0.7"/>
  </r>
  <r>
    <x v="0"/>
    <x v="0"/>
    <x v="0"/>
    <x v="7"/>
    <x v="2"/>
    <x v="6"/>
    <x v="8"/>
    <n v="-0.7"/>
  </r>
  <r>
    <x v="0"/>
    <x v="0"/>
    <x v="0"/>
    <x v="7"/>
    <x v="2"/>
    <x v="6"/>
    <x v="9"/>
    <n v="-0.7"/>
  </r>
  <r>
    <x v="0"/>
    <x v="0"/>
    <x v="0"/>
    <x v="7"/>
    <x v="2"/>
    <x v="6"/>
    <x v="10"/>
    <n v="-0.7"/>
  </r>
  <r>
    <x v="0"/>
    <x v="0"/>
    <x v="0"/>
    <x v="7"/>
    <x v="2"/>
    <x v="6"/>
    <x v="11"/>
    <n v="-0.7"/>
  </r>
  <r>
    <x v="0"/>
    <x v="0"/>
    <x v="0"/>
    <x v="7"/>
    <x v="2"/>
    <x v="7"/>
    <x v="0"/>
    <n v="-0.7"/>
  </r>
  <r>
    <x v="0"/>
    <x v="0"/>
    <x v="0"/>
    <x v="7"/>
    <x v="2"/>
    <x v="7"/>
    <x v="1"/>
    <n v="-0.7"/>
  </r>
  <r>
    <x v="0"/>
    <x v="0"/>
    <x v="0"/>
    <x v="7"/>
    <x v="2"/>
    <x v="7"/>
    <x v="2"/>
    <n v="-0.7"/>
  </r>
  <r>
    <x v="0"/>
    <x v="0"/>
    <x v="0"/>
    <x v="7"/>
    <x v="2"/>
    <x v="7"/>
    <x v="3"/>
    <n v="-0.7"/>
  </r>
  <r>
    <x v="0"/>
    <x v="0"/>
    <x v="0"/>
    <x v="7"/>
    <x v="2"/>
    <x v="7"/>
    <x v="4"/>
    <n v="-0.7"/>
  </r>
  <r>
    <x v="0"/>
    <x v="0"/>
    <x v="0"/>
    <x v="7"/>
    <x v="2"/>
    <x v="7"/>
    <x v="5"/>
    <n v="-0.7"/>
  </r>
  <r>
    <x v="0"/>
    <x v="0"/>
    <x v="0"/>
    <x v="7"/>
    <x v="2"/>
    <x v="7"/>
    <x v="6"/>
    <n v="-0.7"/>
  </r>
  <r>
    <x v="0"/>
    <x v="0"/>
    <x v="0"/>
    <x v="7"/>
    <x v="2"/>
    <x v="7"/>
    <x v="7"/>
    <n v="-0.7"/>
  </r>
  <r>
    <x v="0"/>
    <x v="0"/>
    <x v="0"/>
    <x v="7"/>
    <x v="2"/>
    <x v="7"/>
    <x v="8"/>
    <n v="-0.7"/>
  </r>
  <r>
    <x v="0"/>
    <x v="0"/>
    <x v="0"/>
    <x v="7"/>
    <x v="2"/>
    <x v="7"/>
    <x v="9"/>
    <n v="-0.7"/>
  </r>
  <r>
    <x v="0"/>
    <x v="0"/>
    <x v="0"/>
    <x v="7"/>
    <x v="2"/>
    <x v="7"/>
    <x v="10"/>
    <n v="-0.7"/>
  </r>
  <r>
    <x v="0"/>
    <x v="0"/>
    <x v="0"/>
    <x v="7"/>
    <x v="2"/>
    <x v="7"/>
    <x v="11"/>
    <n v="-0.7"/>
  </r>
  <r>
    <x v="0"/>
    <x v="0"/>
    <x v="0"/>
    <x v="7"/>
    <x v="2"/>
    <x v="8"/>
    <x v="0"/>
    <n v="-0.7"/>
  </r>
  <r>
    <x v="0"/>
    <x v="0"/>
    <x v="0"/>
    <x v="7"/>
    <x v="2"/>
    <x v="8"/>
    <x v="1"/>
    <n v="-0.7"/>
  </r>
  <r>
    <x v="0"/>
    <x v="0"/>
    <x v="0"/>
    <x v="7"/>
    <x v="2"/>
    <x v="8"/>
    <x v="2"/>
    <n v="-0.7"/>
  </r>
  <r>
    <x v="0"/>
    <x v="0"/>
    <x v="0"/>
    <x v="7"/>
    <x v="2"/>
    <x v="8"/>
    <x v="3"/>
    <n v="-0.7"/>
  </r>
  <r>
    <x v="0"/>
    <x v="0"/>
    <x v="0"/>
    <x v="7"/>
    <x v="2"/>
    <x v="8"/>
    <x v="4"/>
    <n v="-0.7"/>
  </r>
  <r>
    <x v="0"/>
    <x v="0"/>
    <x v="0"/>
    <x v="7"/>
    <x v="2"/>
    <x v="8"/>
    <x v="5"/>
    <n v="-0.7"/>
  </r>
  <r>
    <x v="0"/>
    <x v="0"/>
    <x v="0"/>
    <x v="7"/>
    <x v="2"/>
    <x v="8"/>
    <x v="6"/>
    <n v="-0.7"/>
  </r>
  <r>
    <x v="0"/>
    <x v="0"/>
    <x v="0"/>
    <x v="7"/>
    <x v="2"/>
    <x v="8"/>
    <x v="7"/>
    <n v="-0.7"/>
  </r>
  <r>
    <x v="0"/>
    <x v="0"/>
    <x v="0"/>
    <x v="7"/>
    <x v="2"/>
    <x v="8"/>
    <x v="8"/>
    <n v="-0.7"/>
  </r>
  <r>
    <x v="0"/>
    <x v="0"/>
    <x v="0"/>
    <x v="7"/>
    <x v="2"/>
    <x v="8"/>
    <x v="9"/>
    <n v="-0.7"/>
  </r>
  <r>
    <x v="0"/>
    <x v="0"/>
    <x v="0"/>
    <x v="7"/>
    <x v="2"/>
    <x v="8"/>
    <x v="10"/>
    <n v="-0.7"/>
  </r>
  <r>
    <x v="0"/>
    <x v="0"/>
    <x v="0"/>
    <x v="7"/>
    <x v="2"/>
    <x v="8"/>
    <x v="11"/>
    <n v="-0.7"/>
  </r>
  <r>
    <x v="0"/>
    <x v="0"/>
    <x v="0"/>
    <x v="7"/>
    <x v="2"/>
    <x v="9"/>
    <x v="0"/>
    <n v="-0.7"/>
  </r>
  <r>
    <x v="0"/>
    <x v="0"/>
    <x v="0"/>
    <x v="7"/>
    <x v="2"/>
    <x v="9"/>
    <x v="1"/>
    <n v="-0.7"/>
  </r>
  <r>
    <x v="0"/>
    <x v="0"/>
    <x v="0"/>
    <x v="7"/>
    <x v="2"/>
    <x v="9"/>
    <x v="2"/>
    <n v="-0.7"/>
  </r>
  <r>
    <x v="0"/>
    <x v="0"/>
    <x v="0"/>
    <x v="7"/>
    <x v="2"/>
    <x v="9"/>
    <x v="3"/>
    <n v="-0.7"/>
  </r>
  <r>
    <x v="0"/>
    <x v="0"/>
    <x v="0"/>
    <x v="7"/>
    <x v="2"/>
    <x v="9"/>
    <x v="4"/>
    <n v="-0.7"/>
  </r>
  <r>
    <x v="0"/>
    <x v="0"/>
    <x v="0"/>
    <x v="7"/>
    <x v="2"/>
    <x v="9"/>
    <x v="5"/>
    <n v="-0.7"/>
  </r>
  <r>
    <x v="0"/>
    <x v="0"/>
    <x v="0"/>
    <x v="7"/>
    <x v="2"/>
    <x v="9"/>
    <x v="6"/>
    <n v="-0.7"/>
  </r>
  <r>
    <x v="0"/>
    <x v="0"/>
    <x v="0"/>
    <x v="7"/>
    <x v="2"/>
    <x v="9"/>
    <x v="7"/>
    <n v="-0.7"/>
  </r>
  <r>
    <x v="0"/>
    <x v="0"/>
    <x v="0"/>
    <x v="7"/>
    <x v="2"/>
    <x v="9"/>
    <x v="8"/>
    <n v="-0.7"/>
  </r>
  <r>
    <x v="0"/>
    <x v="0"/>
    <x v="0"/>
    <x v="7"/>
    <x v="2"/>
    <x v="9"/>
    <x v="9"/>
    <n v="-0.7"/>
  </r>
  <r>
    <x v="0"/>
    <x v="0"/>
    <x v="0"/>
    <x v="7"/>
    <x v="2"/>
    <x v="9"/>
    <x v="10"/>
    <n v="-0.7"/>
  </r>
  <r>
    <x v="0"/>
    <x v="0"/>
    <x v="0"/>
    <x v="7"/>
    <x v="2"/>
    <x v="9"/>
    <x v="11"/>
    <n v="-0.7"/>
  </r>
  <r>
    <x v="0"/>
    <x v="0"/>
    <x v="0"/>
    <x v="7"/>
    <x v="2"/>
    <x v="10"/>
    <x v="0"/>
    <n v="-0.7"/>
  </r>
  <r>
    <x v="0"/>
    <x v="0"/>
    <x v="0"/>
    <x v="7"/>
    <x v="2"/>
    <x v="10"/>
    <x v="1"/>
    <n v="-0.7"/>
  </r>
  <r>
    <x v="0"/>
    <x v="0"/>
    <x v="0"/>
    <x v="7"/>
    <x v="2"/>
    <x v="10"/>
    <x v="2"/>
    <n v="-0.7"/>
  </r>
  <r>
    <x v="0"/>
    <x v="0"/>
    <x v="0"/>
    <x v="7"/>
    <x v="2"/>
    <x v="10"/>
    <x v="3"/>
    <n v="-0.7"/>
  </r>
  <r>
    <x v="0"/>
    <x v="0"/>
    <x v="0"/>
    <x v="7"/>
    <x v="2"/>
    <x v="10"/>
    <x v="4"/>
    <n v="-0.7"/>
  </r>
  <r>
    <x v="0"/>
    <x v="0"/>
    <x v="0"/>
    <x v="7"/>
    <x v="2"/>
    <x v="10"/>
    <x v="5"/>
    <n v="-0.7"/>
  </r>
  <r>
    <x v="0"/>
    <x v="0"/>
    <x v="0"/>
    <x v="7"/>
    <x v="2"/>
    <x v="10"/>
    <x v="6"/>
    <n v="-0.7"/>
  </r>
  <r>
    <x v="0"/>
    <x v="0"/>
    <x v="0"/>
    <x v="7"/>
    <x v="2"/>
    <x v="10"/>
    <x v="7"/>
    <n v="-0.7"/>
  </r>
  <r>
    <x v="0"/>
    <x v="0"/>
    <x v="0"/>
    <x v="7"/>
    <x v="2"/>
    <x v="10"/>
    <x v="8"/>
    <n v="-0.7"/>
  </r>
  <r>
    <x v="0"/>
    <x v="0"/>
    <x v="0"/>
    <x v="7"/>
    <x v="2"/>
    <x v="10"/>
    <x v="9"/>
    <n v="-0.7"/>
  </r>
  <r>
    <x v="0"/>
    <x v="0"/>
    <x v="0"/>
    <x v="7"/>
    <x v="2"/>
    <x v="10"/>
    <x v="10"/>
    <n v="-0.7"/>
  </r>
  <r>
    <x v="0"/>
    <x v="0"/>
    <x v="0"/>
    <x v="7"/>
    <x v="2"/>
    <x v="10"/>
    <x v="11"/>
    <n v="-0.7"/>
  </r>
  <r>
    <x v="0"/>
    <x v="0"/>
    <x v="0"/>
    <x v="7"/>
    <x v="2"/>
    <x v="11"/>
    <x v="0"/>
    <n v="-0.7"/>
  </r>
  <r>
    <x v="0"/>
    <x v="0"/>
    <x v="0"/>
    <x v="7"/>
    <x v="2"/>
    <x v="11"/>
    <x v="1"/>
    <n v="-0.7"/>
  </r>
  <r>
    <x v="0"/>
    <x v="0"/>
    <x v="0"/>
    <x v="7"/>
    <x v="2"/>
    <x v="11"/>
    <x v="2"/>
    <n v="-0.7"/>
  </r>
  <r>
    <x v="0"/>
    <x v="0"/>
    <x v="0"/>
    <x v="7"/>
    <x v="2"/>
    <x v="11"/>
    <x v="3"/>
    <n v="-0.7"/>
  </r>
  <r>
    <x v="0"/>
    <x v="0"/>
    <x v="0"/>
    <x v="7"/>
    <x v="2"/>
    <x v="11"/>
    <x v="4"/>
    <n v="-0.7"/>
  </r>
  <r>
    <x v="0"/>
    <x v="0"/>
    <x v="0"/>
    <x v="7"/>
    <x v="2"/>
    <x v="11"/>
    <x v="5"/>
    <n v="-0.7"/>
  </r>
  <r>
    <x v="0"/>
    <x v="0"/>
    <x v="0"/>
    <x v="7"/>
    <x v="2"/>
    <x v="11"/>
    <x v="6"/>
    <n v="-0.7"/>
  </r>
  <r>
    <x v="0"/>
    <x v="0"/>
    <x v="0"/>
    <x v="7"/>
    <x v="2"/>
    <x v="11"/>
    <x v="7"/>
    <n v="-0.7"/>
  </r>
  <r>
    <x v="0"/>
    <x v="0"/>
    <x v="0"/>
    <x v="7"/>
    <x v="2"/>
    <x v="11"/>
    <x v="8"/>
    <n v="-0.7"/>
  </r>
  <r>
    <x v="0"/>
    <x v="0"/>
    <x v="0"/>
    <x v="7"/>
    <x v="2"/>
    <x v="11"/>
    <x v="9"/>
    <n v="-0.7"/>
  </r>
  <r>
    <x v="0"/>
    <x v="0"/>
    <x v="0"/>
    <x v="7"/>
    <x v="2"/>
    <x v="11"/>
    <x v="10"/>
    <n v="-0.7"/>
  </r>
  <r>
    <x v="0"/>
    <x v="0"/>
    <x v="0"/>
    <x v="7"/>
    <x v="2"/>
    <x v="11"/>
    <x v="11"/>
    <n v="-0.7"/>
  </r>
  <r>
    <x v="0"/>
    <x v="0"/>
    <x v="0"/>
    <x v="7"/>
    <x v="13"/>
    <x v="0"/>
    <x v="0"/>
    <n v="0"/>
  </r>
  <r>
    <x v="0"/>
    <x v="0"/>
    <x v="0"/>
    <x v="7"/>
    <x v="13"/>
    <x v="0"/>
    <x v="1"/>
    <n v="0"/>
  </r>
  <r>
    <x v="0"/>
    <x v="0"/>
    <x v="0"/>
    <x v="7"/>
    <x v="13"/>
    <x v="0"/>
    <x v="2"/>
    <n v="0"/>
  </r>
  <r>
    <x v="0"/>
    <x v="0"/>
    <x v="0"/>
    <x v="7"/>
    <x v="13"/>
    <x v="0"/>
    <x v="3"/>
    <n v="0"/>
  </r>
  <r>
    <x v="0"/>
    <x v="0"/>
    <x v="0"/>
    <x v="7"/>
    <x v="13"/>
    <x v="0"/>
    <x v="4"/>
    <n v="0"/>
  </r>
  <r>
    <x v="0"/>
    <x v="0"/>
    <x v="0"/>
    <x v="7"/>
    <x v="13"/>
    <x v="0"/>
    <x v="5"/>
    <n v="0"/>
  </r>
  <r>
    <x v="0"/>
    <x v="0"/>
    <x v="0"/>
    <x v="7"/>
    <x v="13"/>
    <x v="0"/>
    <x v="6"/>
    <n v="0"/>
  </r>
  <r>
    <x v="0"/>
    <x v="0"/>
    <x v="0"/>
    <x v="7"/>
    <x v="13"/>
    <x v="0"/>
    <x v="7"/>
    <n v="0"/>
  </r>
  <r>
    <x v="0"/>
    <x v="0"/>
    <x v="0"/>
    <x v="7"/>
    <x v="13"/>
    <x v="0"/>
    <x v="8"/>
    <n v="0"/>
  </r>
  <r>
    <x v="0"/>
    <x v="0"/>
    <x v="0"/>
    <x v="7"/>
    <x v="13"/>
    <x v="0"/>
    <x v="9"/>
    <n v="0"/>
  </r>
  <r>
    <x v="0"/>
    <x v="0"/>
    <x v="0"/>
    <x v="7"/>
    <x v="13"/>
    <x v="0"/>
    <x v="10"/>
    <n v="0"/>
  </r>
  <r>
    <x v="0"/>
    <x v="0"/>
    <x v="0"/>
    <x v="7"/>
    <x v="13"/>
    <x v="0"/>
    <x v="11"/>
    <n v="0"/>
  </r>
  <r>
    <x v="0"/>
    <x v="0"/>
    <x v="0"/>
    <x v="7"/>
    <x v="13"/>
    <x v="1"/>
    <x v="0"/>
    <n v="0"/>
  </r>
  <r>
    <x v="0"/>
    <x v="0"/>
    <x v="0"/>
    <x v="7"/>
    <x v="13"/>
    <x v="1"/>
    <x v="1"/>
    <n v="0"/>
  </r>
  <r>
    <x v="0"/>
    <x v="0"/>
    <x v="0"/>
    <x v="7"/>
    <x v="13"/>
    <x v="1"/>
    <x v="2"/>
    <n v="0"/>
  </r>
  <r>
    <x v="0"/>
    <x v="0"/>
    <x v="0"/>
    <x v="7"/>
    <x v="13"/>
    <x v="1"/>
    <x v="3"/>
    <n v="0"/>
  </r>
  <r>
    <x v="0"/>
    <x v="0"/>
    <x v="0"/>
    <x v="7"/>
    <x v="13"/>
    <x v="1"/>
    <x v="4"/>
    <n v="0"/>
  </r>
  <r>
    <x v="0"/>
    <x v="0"/>
    <x v="0"/>
    <x v="7"/>
    <x v="13"/>
    <x v="1"/>
    <x v="5"/>
    <n v="0"/>
  </r>
  <r>
    <x v="0"/>
    <x v="0"/>
    <x v="0"/>
    <x v="7"/>
    <x v="13"/>
    <x v="1"/>
    <x v="6"/>
    <n v="0"/>
  </r>
  <r>
    <x v="0"/>
    <x v="0"/>
    <x v="0"/>
    <x v="7"/>
    <x v="13"/>
    <x v="1"/>
    <x v="7"/>
    <n v="0"/>
  </r>
  <r>
    <x v="0"/>
    <x v="0"/>
    <x v="0"/>
    <x v="7"/>
    <x v="13"/>
    <x v="1"/>
    <x v="8"/>
    <n v="0"/>
  </r>
  <r>
    <x v="0"/>
    <x v="0"/>
    <x v="0"/>
    <x v="7"/>
    <x v="13"/>
    <x v="1"/>
    <x v="9"/>
    <n v="0"/>
  </r>
  <r>
    <x v="0"/>
    <x v="0"/>
    <x v="0"/>
    <x v="7"/>
    <x v="13"/>
    <x v="1"/>
    <x v="10"/>
    <n v="0"/>
  </r>
  <r>
    <x v="0"/>
    <x v="0"/>
    <x v="0"/>
    <x v="7"/>
    <x v="13"/>
    <x v="1"/>
    <x v="11"/>
    <n v="0"/>
  </r>
  <r>
    <x v="0"/>
    <x v="0"/>
    <x v="0"/>
    <x v="7"/>
    <x v="13"/>
    <x v="2"/>
    <x v="0"/>
    <n v="0"/>
  </r>
  <r>
    <x v="0"/>
    <x v="0"/>
    <x v="0"/>
    <x v="7"/>
    <x v="13"/>
    <x v="2"/>
    <x v="1"/>
    <n v="0"/>
  </r>
  <r>
    <x v="0"/>
    <x v="0"/>
    <x v="0"/>
    <x v="7"/>
    <x v="13"/>
    <x v="2"/>
    <x v="2"/>
    <n v="0"/>
  </r>
  <r>
    <x v="0"/>
    <x v="0"/>
    <x v="0"/>
    <x v="7"/>
    <x v="13"/>
    <x v="2"/>
    <x v="3"/>
    <n v="0"/>
  </r>
  <r>
    <x v="0"/>
    <x v="0"/>
    <x v="0"/>
    <x v="7"/>
    <x v="13"/>
    <x v="2"/>
    <x v="4"/>
    <n v="0"/>
  </r>
  <r>
    <x v="0"/>
    <x v="0"/>
    <x v="0"/>
    <x v="7"/>
    <x v="13"/>
    <x v="2"/>
    <x v="5"/>
    <n v="0"/>
  </r>
  <r>
    <x v="0"/>
    <x v="0"/>
    <x v="0"/>
    <x v="7"/>
    <x v="13"/>
    <x v="2"/>
    <x v="6"/>
    <n v="0"/>
  </r>
  <r>
    <x v="0"/>
    <x v="0"/>
    <x v="0"/>
    <x v="7"/>
    <x v="13"/>
    <x v="2"/>
    <x v="7"/>
    <n v="0"/>
  </r>
  <r>
    <x v="0"/>
    <x v="0"/>
    <x v="0"/>
    <x v="7"/>
    <x v="13"/>
    <x v="2"/>
    <x v="8"/>
    <n v="0"/>
  </r>
  <r>
    <x v="0"/>
    <x v="0"/>
    <x v="0"/>
    <x v="7"/>
    <x v="13"/>
    <x v="2"/>
    <x v="9"/>
    <n v="0"/>
  </r>
  <r>
    <x v="0"/>
    <x v="0"/>
    <x v="0"/>
    <x v="7"/>
    <x v="13"/>
    <x v="2"/>
    <x v="10"/>
    <n v="0"/>
  </r>
  <r>
    <x v="0"/>
    <x v="0"/>
    <x v="0"/>
    <x v="7"/>
    <x v="13"/>
    <x v="2"/>
    <x v="11"/>
    <n v="0"/>
  </r>
  <r>
    <x v="0"/>
    <x v="0"/>
    <x v="0"/>
    <x v="7"/>
    <x v="13"/>
    <x v="3"/>
    <x v="0"/>
    <n v="0"/>
  </r>
  <r>
    <x v="0"/>
    <x v="0"/>
    <x v="0"/>
    <x v="7"/>
    <x v="13"/>
    <x v="3"/>
    <x v="1"/>
    <n v="0"/>
  </r>
  <r>
    <x v="0"/>
    <x v="0"/>
    <x v="0"/>
    <x v="7"/>
    <x v="13"/>
    <x v="3"/>
    <x v="2"/>
    <n v="0"/>
  </r>
  <r>
    <x v="0"/>
    <x v="0"/>
    <x v="0"/>
    <x v="7"/>
    <x v="13"/>
    <x v="3"/>
    <x v="3"/>
    <n v="0"/>
  </r>
  <r>
    <x v="0"/>
    <x v="0"/>
    <x v="0"/>
    <x v="7"/>
    <x v="13"/>
    <x v="3"/>
    <x v="4"/>
    <n v="0"/>
  </r>
  <r>
    <x v="0"/>
    <x v="0"/>
    <x v="0"/>
    <x v="7"/>
    <x v="13"/>
    <x v="3"/>
    <x v="5"/>
    <n v="0"/>
  </r>
  <r>
    <x v="0"/>
    <x v="0"/>
    <x v="0"/>
    <x v="7"/>
    <x v="13"/>
    <x v="3"/>
    <x v="6"/>
    <n v="0"/>
  </r>
  <r>
    <x v="0"/>
    <x v="0"/>
    <x v="0"/>
    <x v="7"/>
    <x v="13"/>
    <x v="3"/>
    <x v="7"/>
    <n v="0"/>
  </r>
  <r>
    <x v="0"/>
    <x v="0"/>
    <x v="0"/>
    <x v="7"/>
    <x v="13"/>
    <x v="3"/>
    <x v="8"/>
    <n v="0"/>
  </r>
  <r>
    <x v="0"/>
    <x v="0"/>
    <x v="0"/>
    <x v="7"/>
    <x v="13"/>
    <x v="3"/>
    <x v="9"/>
    <n v="0"/>
  </r>
  <r>
    <x v="0"/>
    <x v="0"/>
    <x v="0"/>
    <x v="7"/>
    <x v="13"/>
    <x v="3"/>
    <x v="10"/>
    <n v="0"/>
  </r>
  <r>
    <x v="0"/>
    <x v="0"/>
    <x v="0"/>
    <x v="7"/>
    <x v="13"/>
    <x v="3"/>
    <x v="11"/>
    <n v="0"/>
  </r>
  <r>
    <x v="0"/>
    <x v="0"/>
    <x v="0"/>
    <x v="7"/>
    <x v="13"/>
    <x v="4"/>
    <x v="0"/>
    <n v="0"/>
  </r>
  <r>
    <x v="0"/>
    <x v="0"/>
    <x v="0"/>
    <x v="7"/>
    <x v="13"/>
    <x v="4"/>
    <x v="1"/>
    <n v="0"/>
  </r>
  <r>
    <x v="0"/>
    <x v="0"/>
    <x v="0"/>
    <x v="7"/>
    <x v="13"/>
    <x v="4"/>
    <x v="2"/>
    <n v="0"/>
  </r>
  <r>
    <x v="0"/>
    <x v="0"/>
    <x v="0"/>
    <x v="7"/>
    <x v="13"/>
    <x v="4"/>
    <x v="3"/>
    <n v="0"/>
  </r>
  <r>
    <x v="0"/>
    <x v="0"/>
    <x v="0"/>
    <x v="7"/>
    <x v="13"/>
    <x v="4"/>
    <x v="4"/>
    <n v="0"/>
  </r>
  <r>
    <x v="0"/>
    <x v="0"/>
    <x v="0"/>
    <x v="7"/>
    <x v="13"/>
    <x v="4"/>
    <x v="5"/>
    <n v="0"/>
  </r>
  <r>
    <x v="0"/>
    <x v="0"/>
    <x v="0"/>
    <x v="7"/>
    <x v="13"/>
    <x v="4"/>
    <x v="6"/>
    <n v="0"/>
  </r>
  <r>
    <x v="0"/>
    <x v="0"/>
    <x v="0"/>
    <x v="7"/>
    <x v="13"/>
    <x v="4"/>
    <x v="7"/>
    <n v="0"/>
  </r>
  <r>
    <x v="0"/>
    <x v="0"/>
    <x v="0"/>
    <x v="7"/>
    <x v="13"/>
    <x v="4"/>
    <x v="8"/>
    <n v="0"/>
  </r>
  <r>
    <x v="0"/>
    <x v="0"/>
    <x v="0"/>
    <x v="7"/>
    <x v="13"/>
    <x v="4"/>
    <x v="9"/>
    <n v="0"/>
  </r>
  <r>
    <x v="0"/>
    <x v="0"/>
    <x v="0"/>
    <x v="7"/>
    <x v="13"/>
    <x v="4"/>
    <x v="10"/>
    <n v="0"/>
  </r>
  <r>
    <x v="0"/>
    <x v="0"/>
    <x v="0"/>
    <x v="7"/>
    <x v="13"/>
    <x v="4"/>
    <x v="11"/>
    <n v="0"/>
  </r>
  <r>
    <x v="0"/>
    <x v="0"/>
    <x v="0"/>
    <x v="7"/>
    <x v="13"/>
    <x v="5"/>
    <x v="0"/>
    <n v="0"/>
  </r>
  <r>
    <x v="0"/>
    <x v="0"/>
    <x v="0"/>
    <x v="7"/>
    <x v="13"/>
    <x v="5"/>
    <x v="1"/>
    <n v="0"/>
  </r>
  <r>
    <x v="0"/>
    <x v="0"/>
    <x v="0"/>
    <x v="7"/>
    <x v="13"/>
    <x v="5"/>
    <x v="2"/>
    <n v="0"/>
  </r>
  <r>
    <x v="0"/>
    <x v="0"/>
    <x v="0"/>
    <x v="7"/>
    <x v="13"/>
    <x v="5"/>
    <x v="3"/>
    <n v="0"/>
  </r>
  <r>
    <x v="0"/>
    <x v="0"/>
    <x v="0"/>
    <x v="7"/>
    <x v="13"/>
    <x v="5"/>
    <x v="4"/>
    <n v="0"/>
  </r>
  <r>
    <x v="0"/>
    <x v="0"/>
    <x v="0"/>
    <x v="7"/>
    <x v="13"/>
    <x v="5"/>
    <x v="5"/>
    <n v="0"/>
  </r>
  <r>
    <x v="0"/>
    <x v="0"/>
    <x v="0"/>
    <x v="7"/>
    <x v="13"/>
    <x v="5"/>
    <x v="6"/>
    <n v="0"/>
  </r>
  <r>
    <x v="0"/>
    <x v="0"/>
    <x v="0"/>
    <x v="7"/>
    <x v="13"/>
    <x v="5"/>
    <x v="7"/>
    <n v="0"/>
  </r>
  <r>
    <x v="0"/>
    <x v="0"/>
    <x v="0"/>
    <x v="7"/>
    <x v="13"/>
    <x v="5"/>
    <x v="8"/>
    <n v="0"/>
  </r>
  <r>
    <x v="0"/>
    <x v="0"/>
    <x v="0"/>
    <x v="7"/>
    <x v="13"/>
    <x v="5"/>
    <x v="9"/>
    <n v="0"/>
  </r>
  <r>
    <x v="0"/>
    <x v="0"/>
    <x v="0"/>
    <x v="7"/>
    <x v="13"/>
    <x v="5"/>
    <x v="10"/>
    <n v="0"/>
  </r>
  <r>
    <x v="0"/>
    <x v="0"/>
    <x v="0"/>
    <x v="7"/>
    <x v="13"/>
    <x v="5"/>
    <x v="11"/>
    <n v="0"/>
  </r>
  <r>
    <x v="0"/>
    <x v="0"/>
    <x v="0"/>
    <x v="7"/>
    <x v="13"/>
    <x v="6"/>
    <x v="0"/>
    <n v="0"/>
  </r>
  <r>
    <x v="0"/>
    <x v="0"/>
    <x v="0"/>
    <x v="7"/>
    <x v="13"/>
    <x v="6"/>
    <x v="1"/>
    <n v="0"/>
  </r>
  <r>
    <x v="0"/>
    <x v="0"/>
    <x v="0"/>
    <x v="7"/>
    <x v="13"/>
    <x v="6"/>
    <x v="2"/>
    <n v="0"/>
  </r>
  <r>
    <x v="0"/>
    <x v="0"/>
    <x v="0"/>
    <x v="7"/>
    <x v="13"/>
    <x v="6"/>
    <x v="3"/>
    <n v="0"/>
  </r>
  <r>
    <x v="0"/>
    <x v="0"/>
    <x v="0"/>
    <x v="7"/>
    <x v="13"/>
    <x v="6"/>
    <x v="4"/>
    <n v="0"/>
  </r>
  <r>
    <x v="0"/>
    <x v="0"/>
    <x v="0"/>
    <x v="7"/>
    <x v="13"/>
    <x v="6"/>
    <x v="5"/>
    <n v="0"/>
  </r>
  <r>
    <x v="0"/>
    <x v="0"/>
    <x v="0"/>
    <x v="7"/>
    <x v="13"/>
    <x v="6"/>
    <x v="6"/>
    <n v="0"/>
  </r>
  <r>
    <x v="0"/>
    <x v="0"/>
    <x v="0"/>
    <x v="7"/>
    <x v="13"/>
    <x v="6"/>
    <x v="7"/>
    <n v="0"/>
  </r>
  <r>
    <x v="0"/>
    <x v="0"/>
    <x v="0"/>
    <x v="7"/>
    <x v="13"/>
    <x v="6"/>
    <x v="8"/>
    <n v="0"/>
  </r>
  <r>
    <x v="0"/>
    <x v="0"/>
    <x v="0"/>
    <x v="7"/>
    <x v="13"/>
    <x v="6"/>
    <x v="9"/>
    <n v="0"/>
  </r>
  <r>
    <x v="0"/>
    <x v="0"/>
    <x v="0"/>
    <x v="7"/>
    <x v="13"/>
    <x v="6"/>
    <x v="10"/>
    <n v="0"/>
  </r>
  <r>
    <x v="0"/>
    <x v="0"/>
    <x v="0"/>
    <x v="7"/>
    <x v="13"/>
    <x v="6"/>
    <x v="11"/>
    <n v="0"/>
  </r>
  <r>
    <x v="0"/>
    <x v="0"/>
    <x v="0"/>
    <x v="7"/>
    <x v="13"/>
    <x v="7"/>
    <x v="0"/>
    <n v="0"/>
  </r>
  <r>
    <x v="0"/>
    <x v="0"/>
    <x v="0"/>
    <x v="7"/>
    <x v="13"/>
    <x v="7"/>
    <x v="1"/>
    <n v="0"/>
  </r>
  <r>
    <x v="0"/>
    <x v="0"/>
    <x v="0"/>
    <x v="7"/>
    <x v="13"/>
    <x v="7"/>
    <x v="2"/>
    <n v="0"/>
  </r>
  <r>
    <x v="0"/>
    <x v="0"/>
    <x v="0"/>
    <x v="7"/>
    <x v="13"/>
    <x v="7"/>
    <x v="3"/>
    <n v="0"/>
  </r>
  <r>
    <x v="0"/>
    <x v="0"/>
    <x v="0"/>
    <x v="7"/>
    <x v="13"/>
    <x v="7"/>
    <x v="4"/>
    <n v="0"/>
  </r>
  <r>
    <x v="0"/>
    <x v="0"/>
    <x v="0"/>
    <x v="7"/>
    <x v="13"/>
    <x v="7"/>
    <x v="5"/>
    <n v="0"/>
  </r>
  <r>
    <x v="0"/>
    <x v="0"/>
    <x v="0"/>
    <x v="7"/>
    <x v="13"/>
    <x v="7"/>
    <x v="6"/>
    <n v="0"/>
  </r>
  <r>
    <x v="0"/>
    <x v="0"/>
    <x v="0"/>
    <x v="7"/>
    <x v="13"/>
    <x v="7"/>
    <x v="7"/>
    <n v="0"/>
  </r>
  <r>
    <x v="0"/>
    <x v="0"/>
    <x v="0"/>
    <x v="7"/>
    <x v="13"/>
    <x v="7"/>
    <x v="8"/>
    <n v="0"/>
  </r>
  <r>
    <x v="0"/>
    <x v="0"/>
    <x v="0"/>
    <x v="7"/>
    <x v="13"/>
    <x v="7"/>
    <x v="9"/>
    <n v="0"/>
  </r>
  <r>
    <x v="0"/>
    <x v="0"/>
    <x v="0"/>
    <x v="7"/>
    <x v="13"/>
    <x v="7"/>
    <x v="10"/>
    <n v="0"/>
  </r>
  <r>
    <x v="0"/>
    <x v="0"/>
    <x v="0"/>
    <x v="7"/>
    <x v="13"/>
    <x v="7"/>
    <x v="11"/>
    <n v="0"/>
  </r>
  <r>
    <x v="0"/>
    <x v="0"/>
    <x v="0"/>
    <x v="7"/>
    <x v="13"/>
    <x v="8"/>
    <x v="0"/>
    <n v="0"/>
  </r>
  <r>
    <x v="0"/>
    <x v="0"/>
    <x v="0"/>
    <x v="7"/>
    <x v="13"/>
    <x v="8"/>
    <x v="1"/>
    <n v="0"/>
  </r>
  <r>
    <x v="0"/>
    <x v="0"/>
    <x v="0"/>
    <x v="7"/>
    <x v="13"/>
    <x v="8"/>
    <x v="2"/>
    <n v="0"/>
  </r>
  <r>
    <x v="0"/>
    <x v="0"/>
    <x v="0"/>
    <x v="7"/>
    <x v="13"/>
    <x v="8"/>
    <x v="3"/>
    <n v="0"/>
  </r>
  <r>
    <x v="0"/>
    <x v="0"/>
    <x v="0"/>
    <x v="7"/>
    <x v="13"/>
    <x v="8"/>
    <x v="4"/>
    <n v="0"/>
  </r>
  <r>
    <x v="0"/>
    <x v="0"/>
    <x v="0"/>
    <x v="7"/>
    <x v="13"/>
    <x v="8"/>
    <x v="5"/>
    <n v="0"/>
  </r>
  <r>
    <x v="0"/>
    <x v="0"/>
    <x v="0"/>
    <x v="7"/>
    <x v="13"/>
    <x v="8"/>
    <x v="6"/>
    <n v="0"/>
  </r>
  <r>
    <x v="0"/>
    <x v="0"/>
    <x v="0"/>
    <x v="7"/>
    <x v="13"/>
    <x v="8"/>
    <x v="7"/>
    <n v="0"/>
  </r>
  <r>
    <x v="0"/>
    <x v="0"/>
    <x v="0"/>
    <x v="7"/>
    <x v="13"/>
    <x v="8"/>
    <x v="8"/>
    <n v="0"/>
  </r>
  <r>
    <x v="0"/>
    <x v="0"/>
    <x v="0"/>
    <x v="7"/>
    <x v="13"/>
    <x v="8"/>
    <x v="9"/>
    <n v="0"/>
  </r>
  <r>
    <x v="0"/>
    <x v="0"/>
    <x v="0"/>
    <x v="7"/>
    <x v="13"/>
    <x v="8"/>
    <x v="10"/>
    <n v="0"/>
  </r>
  <r>
    <x v="0"/>
    <x v="0"/>
    <x v="0"/>
    <x v="7"/>
    <x v="13"/>
    <x v="8"/>
    <x v="11"/>
    <n v="0"/>
  </r>
  <r>
    <x v="0"/>
    <x v="0"/>
    <x v="0"/>
    <x v="7"/>
    <x v="13"/>
    <x v="9"/>
    <x v="0"/>
    <n v="0"/>
  </r>
  <r>
    <x v="0"/>
    <x v="0"/>
    <x v="0"/>
    <x v="7"/>
    <x v="13"/>
    <x v="9"/>
    <x v="1"/>
    <n v="0"/>
  </r>
  <r>
    <x v="0"/>
    <x v="0"/>
    <x v="0"/>
    <x v="7"/>
    <x v="13"/>
    <x v="9"/>
    <x v="2"/>
    <n v="0"/>
  </r>
  <r>
    <x v="0"/>
    <x v="0"/>
    <x v="0"/>
    <x v="7"/>
    <x v="13"/>
    <x v="9"/>
    <x v="3"/>
    <n v="0"/>
  </r>
  <r>
    <x v="0"/>
    <x v="0"/>
    <x v="0"/>
    <x v="7"/>
    <x v="13"/>
    <x v="9"/>
    <x v="4"/>
    <n v="0"/>
  </r>
  <r>
    <x v="0"/>
    <x v="0"/>
    <x v="0"/>
    <x v="7"/>
    <x v="13"/>
    <x v="9"/>
    <x v="5"/>
    <n v="0"/>
  </r>
  <r>
    <x v="0"/>
    <x v="0"/>
    <x v="0"/>
    <x v="7"/>
    <x v="13"/>
    <x v="9"/>
    <x v="6"/>
    <n v="0"/>
  </r>
  <r>
    <x v="0"/>
    <x v="0"/>
    <x v="0"/>
    <x v="7"/>
    <x v="13"/>
    <x v="9"/>
    <x v="7"/>
    <n v="0"/>
  </r>
  <r>
    <x v="0"/>
    <x v="0"/>
    <x v="0"/>
    <x v="7"/>
    <x v="13"/>
    <x v="9"/>
    <x v="8"/>
    <n v="0"/>
  </r>
  <r>
    <x v="0"/>
    <x v="0"/>
    <x v="0"/>
    <x v="7"/>
    <x v="13"/>
    <x v="9"/>
    <x v="9"/>
    <n v="0"/>
  </r>
  <r>
    <x v="0"/>
    <x v="0"/>
    <x v="0"/>
    <x v="7"/>
    <x v="13"/>
    <x v="9"/>
    <x v="10"/>
    <n v="0"/>
  </r>
  <r>
    <x v="0"/>
    <x v="0"/>
    <x v="0"/>
    <x v="7"/>
    <x v="13"/>
    <x v="9"/>
    <x v="11"/>
    <n v="0"/>
  </r>
  <r>
    <x v="0"/>
    <x v="0"/>
    <x v="0"/>
    <x v="7"/>
    <x v="13"/>
    <x v="10"/>
    <x v="0"/>
    <n v="0"/>
  </r>
  <r>
    <x v="0"/>
    <x v="0"/>
    <x v="0"/>
    <x v="7"/>
    <x v="13"/>
    <x v="10"/>
    <x v="1"/>
    <n v="0"/>
  </r>
  <r>
    <x v="0"/>
    <x v="0"/>
    <x v="0"/>
    <x v="7"/>
    <x v="13"/>
    <x v="10"/>
    <x v="2"/>
    <n v="0"/>
  </r>
  <r>
    <x v="0"/>
    <x v="0"/>
    <x v="0"/>
    <x v="7"/>
    <x v="13"/>
    <x v="10"/>
    <x v="3"/>
    <n v="0"/>
  </r>
  <r>
    <x v="0"/>
    <x v="0"/>
    <x v="0"/>
    <x v="7"/>
    <x v="13"/>
    <x v="10"/>
    <x v="4"/>
    <n v="0"/>
  </r>
  <r>
    <x v="0"/>
    <x v="0"/>
    <x v="0"/>
    <x v="7"/>
    <x v="13"/>
    <x v="10"/>
    <x v="5"/>
    <n v="0"/>
  </r>
  <r>
    <x v="0"/>
    <x v="0"/>
    <x v="0"/>
    <x v="7"/>
    <x v="13"/>
    <x v="10"/>
    <x v="6"/>
    <n v="0"/>
  </r>
  <r>
    <x v="0"/>
    <x v="0"/>
    <x v="0"/>
    <x v="7"/>
    <x v="13"/>
    <x v="10"/>
    <x v="7"/>
    <n v="0"/>
  </r>
  <r>
    <x v="0"/>
    <x v="0"/>
    <x v="0"/>
    <x v="7"/>
    <x v="13"/>
    <x v="10"/>
    <x v="8"/>
    <n v="0"/>
  </r>
  <r>
    <x v="0"/>
    <x v="0"/>
    <x v="0"/>
    <x v="7"/>
    <x v="13"/>
    <x v="10"/>
    <x v="9"/>
    <n v="0"/>
  </r>
  <r>
    <x v="0"/>
    <x v="0"/>
    <x v="0"/>
    <x v="7"/>
    <x v="13"/>
    <x v="10"/>
    <x v="10"/>
    <n v="0"/>
  </r>
  <r>
    <x v="0"/>
    <x v="0"/>
    <x v="0"/>
    <x v="7"/>
    <x v="13"/>
    <x v="10"/>
    <x v="11"/>
    <n v="0"/>
  </r>
  <r>
    <x v="0"/>
    <x v="0"/>
    <x v="0"/>
    <x v="7"/>
    <x v="13"/>
    <x v="11"/>
    <x v="0"/>
    <n v="0"/>
  </r>
  <r>
    <x v="0"/>
    <x v="0"/>
    <x v="0"/>
    <x v="7"/>
    <x v="13"/>
    <x v="11"/>
    <x v="1"/>
    <n v="0"/>
  </r>
  <r>
    <x v="0"/>
    <x v="0"/>
    <x v="0"/>
    <x v="7"/>
    <x v="13"/>
    <x v="11"/>
    <x v="2"/>
    <n v="0"/>
  </r>
  <r>
    <x v="0"/>
    <x v="0"/>
    <x v="0"/>
    <x v="7"/>
    <x v="13"/>
    <x v="11"/>
    <x v="3"/>
    <n v="0"/>
  </r>
  <r>
    <x v="0"/>
    <x v="0"/>
    <x v="0"/>
    <x v="7"/>
    <x v="13"/>
    <x v="11"/>
    <x v="4"/>
    <n v="0"/>
  </r>
  <r>
    <x v="0"/>
    <x v="0"/>
    <x v="0"/>
    <x v="7"/>
    <x v="13"/>
    <x v="11"/>
    <x v="5"/>
    <n v="0"/>
  </r>
  <r>
    <x v="0"/>
    <x v="0"/>
    <x v="0"/>
    <x v="7"/>
    <x v="13"/>
    <x v="11"/>
    <x v="6"/>
    <n v="0"/>
  </r>
  <r>
    <x v="0"/>
    <x v="0"/>
    <x v="0"/>
    <x v="7"/>
    <x v="13"/>
    <x v="11"/>
    <x v="7"/>
    <n v="0"/>
  </r>
  <r>
    <x v="0"/>
    <x v="0"/>
    <x v="0"/>
    <x v="7"/>
    <x v="13"/>
    <x v="11"/>
    <x v="8"/>
    <n v="0"/>
  </r>
  <r>
    <x v="0"/>
    <x v="0"/>
    <x v="0"/>
    <x v="7"/>
    <x v="13"/>
    <x v="11"/>
    <x v="9"/>
    <n v="0"/>
  </r>
  <r>
    <x v="0"/>
    <x v="0"/>
    <x v="0"/>
    <x v="7"/>
    <x v="13"/>
    <x v="11"/>
    <x v="10"/>
    <n v="0"/>
  </r>
  <r>
    <x v="0"/>
    <x v="0"/>
    <x v="0"/>
    <x v="7"/>
    <x v="13"/>
    <x v="11"/>
    <x v="11"/>
    <n v="0"/>
  </r>
  <r>
    <x v="0"/>
    <x v="0"/>
    <x v="0"/>
    <x v="8"/>
    <x v="2"/>
    <x v="0"/>
    <x v="0"/>
    <n v="0"/>
  </r>
  <r>
    <x v="0"/>
    <x v="0"/>
    <x v="0"/>
    <x v="8"/>
    <x v="2"/>
    <x v="0"/>
    <x v="1"/>
    <n v="0"/>
  </r>
  <r>
    <x v="0"/>
    <x v="0"/>
    <x v="0"/>
    <x v="8"/>
    <x v="2"/>
    <x v="0"/>
    <x v="2"/>
    <n v="0"/>
  </r>
  <r>
    <x v="0"/>
    <x v="0"/>
    <x v="0"/>
    <x v="8"/>
    <x v="2"/>
    <x v="0"/>
    <x v="3"/>
    <n v="0"/>
  </r>
  <r>
    <x v="0"/>
    <x v="0"/>
    <x v="0"/>
    <x v="8"/>
    <x v="2"/>
    <x v="0"/>
    <x v="4"/>
    <n v="0"/>
  </r>
  <r>
    <x v="0"/>
    <x v="0"/>
    <x v="0"/>
    <x v="8"/>
    <x v="2"/>
    <x v="0"/>
    <x v="5"/>
    <n v="0"/>
  </r>
  <r>
    <x v="0"/>
    <x v="0"/>
    <x v="0"/>
    <x v="8"/>
    <x v="2"/>
    <x v="0"/>
    <x v="6"/>
    <n v="0"/>
  </r>
  <r>
    <x v="0"/>
    <x v="0"/>
    <x v="0"/>
    <x v="8"/>
    <x v="2"/>
    <x v="0"/>
    <x v="7"/>
    <n v="0"/>
  </r>
  <r>
    <x v="0"/>
    <x v="0"/>
    <x v="0"/>
    <x v="8"/>
    <x v="2"/>
    <x v="0"/>
    <x v="8"/>
    <n v="0"/>
  </r>
  <r>
    <x v="0"/>
    <x v="0"/>
    <x v="0"/>
    <x v="8"/>
    <x v="2"/>
    <x v="0"/>
    <x v="9"/>
    <n v="0"/>
  </r>
  <r>
    <x v="0"/>
    <x v="0"/>
    <x v="0"/>
    <x v="8"/>
    <x v="2"/>
    <x v="0"/>
    <x v="10"/>
    <n v="0"/>
  </r>
  <r>
    <x v="0"/>
    <x v="0"/>
    <x v="0"/>
    <x v="8"/>
    <x v="2"/>
    <x v="0"/>
    <x v="11"/>
    <n v="0"/>
  </r>
  <r>
    <x v="0"/>
    <x v="0"/>
    <x v="0"/>
    <x v="8"/>
    <x v="2"/>
    <x v="1"/>
    <x v="0"/>
    <n v="0"/>
  </r>
  <r>
    <x v="0"/>
    <x v="0"/>
    <x v="0"/>
    <x v="8"/>
    <x v="2"/>
    <x v="1"/>
    <x v="1"/>
    <n v="0"/>
  </r>
  <r>
    <x v="0"/>
    <x v="0"/>
    <x v="0"/>
    <x v="8"/>
    <x v="2"/>
    <x v="1"/>
    <x v="2"/>
    <n v="0"/>
  </r>
  <r>
    <x v="0"/>
    <x v="0"/>
    <x v="0"/>
    <x v="8"/>
    <x v="2"/>
    <x v="1"/>
    <x v="3"/>
    <n v="0"/>
  </r>
  <r>
    <x v="0"/>
    <x v="0"/>
    <x v="0"/>
    <x v="8"/>
    <x v="2"/>
    <x v="1"/>
    <x v="4"/>
    <n v="0"/>
  </r>
  <r>
    <x v="0"/>
    <x v="0"/>
    <x v="0"/>
    <x v="8"/>
    <x v="2"/>
    <x v="1"/>
    <x v="5"/>
    <n v="0"/>
  </r>
  <r>
    <x v="0"/>
    <x v="0"/>
    <x v="0"/>
    <x v="8"/>
    <x v="2"/>
    <x v="1"/>
    <x v="6"/>
    <n v="0"/>
  </r>
  <r>
    <x v="0"/>
    <x v="0"/>
    <x v="0"/>
    <x v="8"/>
    <x v="2"/>
    <x v="1"/>
    <x v="7"/>
    <n v="0"/>
  </r>
  <r>
    <x v="0"/>
    <x v="0"/>
    <x v="0"/>
    <x v="8"/>
    <x v="2"/>
    <x v="1"/>
    <x v="8"/>
    <n v="0"/>
  </r>
  <r>
    <x v="0"/>
    <x v="0"/>
    <x v="0"/>
    <x v="8"/>
    <x v="2"/>
    <x v="1"/>
    <x v="9"/>
    <n v="0"/>
  </r>
  <r>
    <x v="0"/>
    <x v="0"/>
    <x v="0"/>
    <x v="8"/>
    <x v="2"/>
    <x v="1"/>
    <x v="10"/>
    <n v="0"/>
  </r>
  <r>
    <x v="0"/>
    <x v="0"/>
    <x v="0"/>
    <x v="8"/>
    <x v="2"/>
    <x v="1"/>
    <x v="11"/>
    <n v="0"/>
  </r>
  <r>
    <x v="0"/>
    <x v="0"/>
    <x v="0"/>
    <x v="8"/>
    <x v="2"/>
    <x v="2"/>
    <x v="0"/>
    <n v="0"/>
  </r>
  <r>
    <x v="0"/>
    <x v="0"/>
    <x v="0"/>
    <x v="8"/>
    <x v="2"/>
    <x v="2"/>
    <x v="1"/>
    <n v="0"/>
  </r>
  <r>
    <x v="0"/>
    <x v="0"/>
    <x v="0"/>
    <x v="8"/>
    <x v="2"/>
    <x v="2"/>
    <x v="2"/>
    <n v="0"/>
  </r>
  <r>
    <x v="0"/>
    <x v="0"/>
    <x v="0"/>
    <x v="8"/>
    <x v="2"/>
    <x v="2"/>
    <x v="3"/>
    <n v="0"/>
  </r>
  <r>
    <x v="0"/>
    <x v="0"/>
    <x v="0"/>
    <x v="8"/>
    <x v="2"/>
    <x v="2"/>
    <x v="4"/>
    <n v="0"/>
  </r>
  <r>
    <x v="0"/>
    <x v="0"/>
    <x v="0"/>
    <x v="8"/>
    <x v="2"/>
    <x v="2"/>
    <x v="5"/>
    <n v="0"/>
  </r>
  <r>
    <x v="0"/>
    <x v="0"/>
    <x v="0"/>
    <x v="8"/>
    <x v="2"/>
    <x v="2"/>
    <x v="6"/>
    <n v="0"/>
  </r>
  <r>
    <x v="0"/>
    <x v="0"/>
    <x v="0"/>
    <x v="8"/>
    <x v="2"/>
    <x v="2"/>
    <x v="7"/>
    <n v="0"/>
  </r>
  <r>
    <x v="0"/>
    <x v="0"/>
    <x v="0"/>
    <x v="8"/>
    <x v="2"/>
    <x v="2"/>
    <x v="8"/>
    <n v="0"/>
  </r>
  <r>
    <x v="0"/>
    <x v="0"/>
    <x v="0"/>
    <x v="8"/>
    <x v="2"/>
    <x v="2"/>
    <x v="9"/>
    <n v="0"/>
  </r>
  <r>
    <x v="0"/>
    <x v="0"/>
    <x v="0"/>
    <x v="8"/>
    <x v="2"/>
    <x v="2"/>
    <x v="10"/>
    <n v="0"/>
  </r>
  <r>
    <x v="0"/>
    <x v="0"/>
    <x v="0"/>
    <x v="8"/>
    <x v="2"/>
    <x v="2"/>
    <x v="11"/>
    <n v="0"/>
  </r>
  <r>
    <x v="0"/>
    <x v="0"/>
    <x v="0"/>
    <x v="8"/>
    <x v="2"/>
    <x v="3"/>
    <x v="0"/>
    <n v="1.8864440374189"/>
  </r>
  <r>
    <x v="0"/>
    <x v="0"/>
    <x v="0"/>
    <x v="8"/>
    <x v="2"/>
    <x v="3"/>
    <x v="1"/>
    <n v="1.8340377062515201"/>
  </r>
  <r>
    <x v="0"/>
    <x v="0"/>
    <x v="0"/>
    <x v="8"/>
    <x v="2"/>
    <x v="3"/>
    <x v="2"/>
    <n v="1.83159795410309"/>
  </r>
  <r>
    <x v="0"/>
    <x v="0"/>
    <x v="0"/>
    <x v="8"/>
    <x v="2"/>
    <x v="3"/>
    <x v="3"/>
    <n v="0"/>
  </r>
  <r>
    <x v="0"/>
    <x v="0"/>
    <x v="0"/>
    <x v="8"/>
    <x v="2"/>
    <x v="3"/>
    <x v="4"/>
    <n v="0"/>
  </r>
  <r>
    <x v="0"/>
    <x v="0"/>
    <x v="0"/>
    <x v="8"/>
    <x v="2"/>
    <x v="3"/>
    <x v="5"/>
    <n v="0"/>
  </r>
  <r>
    <x v="0"/>
    <x v="0"/>
    <x v="0"/>
    <x v="8"/>
    <x v="2"/>
    <x v="3"/>
    <x v="6"/>
    <n v="0"/>
  </r>
  <r>
    <x v="0"/>
    <x v="0"/>
    <x v="0"/>
    <x v="8"/>
    <x v="2"/>
    <x v="3"/>
    <x v="7"/>
    <n v="0"/>
  </r>
  <r>
    <x v="0"/>
    <x v="0"/>
    <x v="0"/>
    <x v="8"/>
    <x v="2"/>
    <x v="3"/>
    <x v="8"/>
    <n v="0"/>
  </r>
  <r>
    <x v="0"/>
    <x v="0"/>
    <x v="0"/>
    <x v="8"/>
    <x v="2"/>
    <x v="3"/>
    <x v="9"/>
    <n v="1.1247056506958999"/>
  </r>
  <r>
    <x v="0"/>
    <x v="0"/>
    <x v="0"/>
    <x v="8"/>
    <x v="2"/>
    <x v="3"/>
    <x v="10"/>
    <n v="1.4889965496380799"/>
  </r>
  <r>
    <x v="0"/>
    <x v="0"/>
    <x v="0"/>
    <x v="8"/>
    <x v="2"/>
    <x v="3"/>
    <x v="11"/>
    <n v="1.4453873560046"/>
  </r>
  <r>
    <x v="0"/>
    <x v="0"/>
    <x v="0"/>
    <x v="8"/>
    <x v="2"/>
    <x v="4"/>
    <x v="0"/>
    <n v="0"/>
  </r>
  <r>
    <x v="0"/>
    <x v="0"/>
    <x v="0"/>
    <x v="8"/>
    <x v="2"/>
    <x v="4"/>
    <x v="1"/>
    <n v="0"/>
  </r>
  <r>
    <x v="0"/>
    <x v="0"/>
    <x v="0"/>
    <x v="8"/>
    <x v="2"/>
    <x v="4"/>
    <x v="2"/>
    <n v="0"/>
  </r>
  <r>
    <x v="0"/>
    <x v="0"/>
    <x v="0"/>
    <x v="8"/>
    <x v="2"/>
    <x v="4"/>
    <x v="3"/>
    <n v="0"/>
  </r>
  <r>
    <x v="0"/>
    <x v="0"/>
    <x v="0"/>
    <x v="8"/>
    <x v="2"/>
    <x v="4"/>
    <x v="4"/>
    <n v="0"/>
  </r>
  <r>
    <x v="0"/>
    <x v="0"/>
    <x v="0"/>
    <x v="8"/>
    <x v="2"/>
    <x v="4"/>
    <x v="5"/>
    <n v="0"/>
  </r>
  <r>
    <x v="0"/>
    <x v="0"/>
    <x v="0"/>
    <x v="8"/>
    <x v="2"/>
    <x v="4"/>
    <x v="6"/>
    <n v="0"/>
  </r>
  <r>
    <x v="0"/>
    <x v="0"/>
    <x v="0"/>
    <x v="8"/>
    <x v="2"/>
    <x v="4"/>
    <x v="7"/>
    <n v="-0.50740819583282204"/>
  </r>
  <r>
    <x v="0"/>
    <x v="0"/>
    <x v="0"/>
    <x v="8"/>
    <x v="2"/>
    <x v="4"/>
    <x v="8"/>
    <n v="-0.69028881645141804"/>
  </r>
  <r>
    <x v="0"/>
    <x v="0"/>
    <x v="0"/>
    <x v="8"/>
    <x v="2"/>
    <x v="4"/>
    <x v="9"/>
    <n v="-0.640412283555437"/>
  </r>
  <r>
    <x v="0"/>
    <x v="0"/>
    <x v="0"/>
    <x v="8"/>
    <x v="2"/>
    <x v="4"/>
    <x v="10"/>
    <n v="-0.61666155360497099"/>
  </r>
  <r>
    <x v="0"/>
    <x v="0"/>
    <x v="0"/>
    <x v="8"/>
    <x v="2"/>
    <x v="4"/>
    <x v="11"/>
    <n v="-0.58182714967761895"/>
  </r>
  <r>
    <x v="0"/>
    <x v="0"/>
    <x v="0"/>
    <x v="8"/>
    <x v="2"/>
    <x v="5"/>
    <x v="0"/>
    <n v="0"/>
  </r>
  <r>
    <x v="0"/>
    <x v="0"/>
    <x v="0"/>
    <x v="8"/>
    <x v="2"/>
    <x v="5"/>
    <x v="1"/>
    <n v="0"/>
  </r>
  <r>
    <x v="0"/>
    <x v="0"/>
    <x v="0"/>
    <x v="8"/>
    <x v="2"/>
    <x v="5"/>
    <x v="2"/>
    <n v="0"/>
  </r>
  <r>
    <x v="0"/>
    <x v="0"/>
    <x v="0"/>
    <x v="8"/>
    <x v="2"/>
    <x v="5"/>
    <x v="3"/>
    <n v="0"/>
  </r>
  <r>
    <x v="0"/>
    <x v="0"/>
    <x v="0"/>
    <x v="8"/>
    <x v="2"/>
    <x v="5"/>
    <x v="4"/>
    <n v="0"/>
  </r>
  <r>
    <x v="0"/>
    <x v="0"/>
    <x v="0"/>
    <x v="8"/>
    <x v="2"/>
    <x v="5"/>
    <x v="5"/>
    <n v="0"/>
  </r>
  <r>
    <x v="0"/>
    <x v="0"/>
    <x v="0"/>
    <x v="8"/>
    <x v="2"/>
    <x v="5"/>
    <x v="6"/>
    <n v="-0.250079675301009"/>
  </r>
  <r>
    <x v="0"/>
    <x v="0"/>
    <x v="0"/>
    <x v="8"/>
    <x v="2"/>
    <x v="5"/>
    <x v="7"/>
    <n v="-0.82405564910395901"/>
  </r>
  <r>
    <x v="0"/>
    <x v="0"/>
    <x v="0"/>
    <x v="8"/>
    <x v="2"/>
    <x v="5"/>
    <x v="8"/>
    <n v="-0.88818261997021997"/>
  </r>
  <r>
    <x v="0"/>
    <x v="0"/>
    <x v="0"/>
    <x v="8"/>
    <x v="2"/>
    <x v="5"/>
    <x v="9"/>
    <n v="-0.85176483404616998"/>
  </r>
  <r>
    <x v="0"/>
    <x v="0"/>
    <x v="0"/>
    <x v="8"/>
    <x v="2"/>
    <x v="5"/>
    <x v="10"/>
    <n v="-0.81930550311386596"/>
  </r>
  <r>
    <x v="0"/>
    <x v="0"/>
    <x v="0"/>
    <x v="8"/>
    <x v="2"/>
    <x v="5"/>
    <x v="11"/>
    <n v="-0.77972095319642098"/>
  </r>
  <r>
    <x v="0"/>
    <x v="0"/>
    <x v="0"/>
    <x v="8"/>
    <x v="2"/>
    <x v="6"/>
    <x v="0"/>
    <n v="0"/>
  </r>
  <r>
    <x v="0"/>
    <x v="0"/>
    <x v="0"/>
    <x v="8"/>
    <x v="2"/>
    <x v="6"/>
    <x v="1"/>
    <n v="0"/>
  </r>
  <r>
    <x v="0"/>
    <x v="0"/>
    <x v="0"/>
    <x v="8"/>
    <x v="2"/>
    <x v="6"/>
    <x v="2"/>
    <n v="0"/>
  </r>
  <r>
    <x v="0"/>
    <x v="0"/>
    <x v="0"/>
    <x v="8"/>
    <x v="2"/>
    <x v="6"/>
    <x v="3"/>
    <n v="0"/>
  </r>
  <r>
    <x v="0"/>
    <x v="0"/>
    <x v="0"/>
    <x v="8"/>
    <x v="2"/>
    <x v="6"/>
    <x v="4"/>
    <n v="0"/>
  </r>
  <r>
    <x v="0"/>
    <x v="0"/>
    <x v="0"/>
    <x v="8"/>
    <x v="2"/>
    <x v="6"/>
    <x v="5"/>
    <n v="0"/>
  </r>
  <r>
    <x v="0"/>
    <x v="0"/>
    <x v="0"/>
    <x v="8"/>
    <x v="2"/>
    <x v="6"/>
    <x v="6"/>
    <n v="-0.16404154521354"/>
  </r>
  <r>
    <x v="0"/>
    <x v="0"/>
    <x v="0"/>
    <x v="8"/>
    <x v="2"/>
    <x v="6"/>
    <x v="7"/>
    <n v="-0.772060231945491"/>
  </r>
  <r>
    <x v="0"/>
    <x v="0"/>
    <x v="0"/>
    <x v="8"/>
    <x v="2"/>
    <x v="6"/>
    <x v="8"/>
    <n v="-0.79660265289430798"/>
  </r>
  <r>
    <x v="0"/>
    <x v="0"/>
    <x v="0"/>
    <x v="8"/>
    <x v="2"/>
    <x v="6"/>
    <x v="9"/>
    <n v="-0.78472728791907398"/>
  </r>
  <r>
    <x v="0"/>
    <x v="0"/>
    <x v="0"/>
    <x v="8"/>
    <x v="2"/>
    <x v="6"/>
    <x v="10"/>
    <n v="-0.730100609033"/>
  </r>
  <r>
    <x v="0"/>
    <x v="0"/>
    <x v="0"/>
    <x v="8"/>
    <x v="2"/>
    <x v="6"/>
    <x v="11"/>
    <n v="-0.64063952621957498"/>
  </r>
  <r>
    <x v="0"/>
    <x v="0"/>
    <x v="0"/>
    <x v="8"/>
    <x v="2"/>
    <x v="7"/>
    <x v="0"/>
    <n v="0"/>
  </r>
  <r>
    <x v="0"/>
    <x v="0"/>
    <x v="0"/>
    <x v="8"/>
    <x v="2"/>
    <x v="7"/>
    <x v="1"/>
    <n v="0"/>
  </r>
  <r>
    <x v="0"/>
    <x v="0"/>
    <x v="0"/>
    <x v="8"/>
    <x v="2"/>
    <x v="7"/>
    <x v="2"/>
    <n v="0"/>
  </r>
  <r>
    <x v="0"/>
    <x v="0"/>
    <x v="0"/>
    <x v="8"/>
    <x v="2"/>
    <x v="7"/>
    <x v="3"/>
    <n v="0"/>
  </r>
  <r>
    <x v="0"/>
    <x v="0"/>
    <x v="0"/>
    <x v="8"/>
    <x v="2"/>
    <x v="7"/>
    <x v="4"/>
    <n v="0"/>
  </r>
  <r>
    <x v="0"/>
    <x v="0"/>
    <x v="0"/>
    <x v="8"/>
    <x v="2"/>
    <x v="7"/>
    <x v="5"/>
    <n v="0"/>
  </r>
  <r>
    <x v="0"/>
    <x v="0"/>
    <x v="0"/>
    <x v="8"/>
    <x v="2"/>
    <x v="7"/>
    <x v="6"/>
    <n v="0"/>
  </r>
  <r>
    <x v="0"/>
    <x v="0"/>
    <x v="0"/>
    <x v="8"/>
    <x v="2"/>
    <x v="7"/>
    <x v="7"/>
    <n v="-0.114797499939591"/>
  </r>
  <r>
    <x v="0"/>
    <x v="0"/>
    <x v="0"/>
    <x v="8"/>
    <x v="2"/>
    <x v="7"/>
    <x v="8"/>
    <n v="-0.32538730550039802"/>
  </r>
  <r>
    <x v="0"/>
    <x v="0"/>
    <x v="0"/>
    <x v="8"/>
    <x v="2"/>
    <x v="7"/>
    <x v="9"/>
    <n v="-0.30401164854497698"/>
  </r>
  <r>
    <x v="0"/>
    <x v="0"/>
    <x v="0"/>
    <x v="8"/>
    <x v="2"/>
    <x v="7"/>
    <x v="10"/>
    <n v="-0.221675784716692"/>
  </r>
  <r>
    <x v="0"/>
    <x v="0"/>
    <x v="0"/>
    <x v="8"/>
    <x v="2"/>
    <x v="7"/>
    <x v="11"/>
    <n v="-0.12508948291812699"/>
  </r>
  <r>
    <x v="0"/>
    <x v="0"/>
    <x v="0"/>
    <x v="8"/>
    <x v="2"/>
    <x v="8"/>
    <x v="0"/>
    <n v="0"/>
  </r>
  <r>
    <x v="0"/>
    <x v="0"/>
    <x v="0"/>
    <x v="8"/>
    <x v="2"/>
    <x v="8"/>
    <x v="1"/>
    <n v="0"/>
  </r>
  <r>
    <x v="0"/>
    <x v="0"/>
    <x v="0"/>
    <x v="8"/>
    <x v="2"/>
    <x v="8"/>
    <x v="2"/>
    <n v="0"/>
  </r>
  <r>
    <x v="0"/>
    <x v="0"/>
    <x v="0"/>
    <x v="8"/>
    <x v="2"/>
    <x v="8"/>
    <x v="3"/>
    <n v="0"/>
  </r>
  <r>
    <x v="0"/>
    <x v="0"/>
    <x v="0"/>
    <x v="8"/>
    <x v="2"/>
    <x v="8"/>
    <x v="4"/>
    <n v="0"/>
  </r>
  <r>
    <x v="0"/>
    <x v="0"/>
    <x v="0"/>
    <x v="8"/>
    <x v="2"/>
    <x v="8"/>
    <x v="5"/>
    <n v="0"/>
  </r>
  <r>
    <x v="0"/>
    <x v="0"/>
    <x v="0"/>
    <x v="8"/>
    <x v="2"/>
    <x v="8"/>
    <x v="6"/>
    <n v="0"/>
  </r>
  <r>
    <x v="0"/>
    <x v="0"/>
    <x v="0"/>
    <x v="8"/>
    <x v="2"/>
    <x v="8"/>
    <x v="7"/>
    <n v="0"/>
  </r>
  <r>
    <x v="0"/>
    <x v="0"/>
    <x v="0"/>
    <x v="8"/>
    <x v="2"/>
    <x v="8"/>
    <x v="8"/>
    <n v="0"/>
  </r>
  <r>
    <x v="0"/>
    <x v="0"/>
    <x v="0"/>
    <x v="8"/>
    <x v="2"/>
    <x v="8"/>
    <x v="9"/>
    <n v="0"/>
  </r>
  <r>
    <x v="0"/>
    <x v="0"/>
    <x v="0"/>
    <x v="8"/>
    <x v="2"/>
    <x v="8"/>
    <x v="10"/>
    <n v="-2.8793667590310901"/>
  </r>
  <r>
    <x v="0"/>
    <x v="0"/>
    <x v="0"/>
    <x v="8"/>
    <x v="2"/>
    <x v="8"/>
    <x v="11"/>
    <n v="0"/>
  </r>
  <r>
    <x v="0"/>
    <x v="0"/>
    <x v="0"/>
    <x v="8"/>
    <x v="2"/>
    <x v="9"/>
    <x v="0"/>
    <n v="0"/>
  </r>
  <r>
    <x v="0"/>
    <x v="0"/>
    <x v="0"/>
    <x v="8"/>
    <x v="2"/>
    <x v="9"/>
    <x v="1"/>
    <n v="0"/>
  </r>
  <r>
    <x v="0"/>
    <x v="0"/>
    <x v="0"/>
    <x v="8"/>
    <x v="2"/>
    <x v="9"/>
    <x v="2"/>
    <n v="0"/>
  </r>
  <r>
    <x v="0"/>
    <x v="0"/>
    <x v="0"/>
    <x v="8"/>
    <x v="2"/>
    <x v="9"/>
    <x v="3"/>
    <n v="0"/>
  </r>
  <r>
    <x v="0"/>
    <x v="0"/>
    <x v="0"/>
    <x v="8"/>
    <x v="2"/>
    <x v="9"/>
    <x v="4"/>
    <n v="0"/>
  </r>
  <r>
    <x v="0"/>
    <x v="0"/>
    <x v="0"/>
    <x v="8"/>
    <x v="2"/>
    <x v="9"/>
    <x v="5"/>
    <n v="0"/>
  </r>
  <r>
    <x v="0"/>
    <x v="0"/>
    <x v="0"/>
    <x v="8"/>
    <x v="2"/>
    <x v="9"/>
    <x v="6"/>
    <n v="-1.7912054298237501"/>
  </r>
  <r>
    <x v="0"/>
    <x v="0"/>
    <x v="0"/>
    <x v="8"/>
    <x v="2"/>
    <x v="9"/>
    <x v="7"/>
    <n v="0"/>
  </r>
  <r>
    <x v="0"/>
    <x v="0"/>
    <x v="0"/>
    <x v="8"/>
    <x v="2"/>
    <x v="9"/>
    <x v="8"/>
    <n v="0"/>
  </r>
  <r>
    <x v="0"/>
    <x v="0"/>
    <x v="0"/>
    <x v="8"/>
    <x v="2"/>
    <x v="9"/>
    <x v="9"/>
    <n v="-1.5367232930432999"/>
  </r>
  <r>
    <x v="0"/>
    <x v="0"/>
    <x v="0"/>
    <x v="8"/>
    <x v="2"/>
    <x v="9"/>
    <x v="10"/>
    <n v="0"/>
  </r>
  <r>
    <x v="0"/>
    <x v="0"/>
    <x v="0"/>
    <x v="8"/>
    <x v="2"/>
    <x v="9"/>
    <x v="11"/>
    <n v="0"/>
  </r>
  <r>
    <x v="0"/>
    <x v="0"/>
    <x v="0"/>
    <x v="8"/>
    <x v="2"/>
    <x v="10"/>
    <x v="0"/>
    <n v="0"/>
  </r>
  <r>
    <x v="0"/>
    <x v="0"/>
    <x v="0"/>
    <x v="8"/>
    <x v="2"/>
    <x v="10"/>
    <x v="1"/>
    <n v="0"/>
  </r>
  <r>
    <x v="0"/>
    <x v="0"/>
    <x v="0"/>
    <x v="8"/>
    <x v="2"/>
    <x v="10"/>
    <x v="2"/>
    <n v="0"/>
  </r>
  <r>
    <x v="0"/>
    <x v="0"/>
    <x v="0"/>
    <x v="8"/>
    <x v="2"/>
    <x v="10"/>
    <x v="3"/>
    <n v="0"/>
  </r>
  <r>
    <x v="0"/>
    <x v="0"/>
    <x v="0"/>
    <x v="8"/>
    <x v="2"/>
    <x v="10"/>
    <x v="4"/>
    <n v="0"/>
  </r>
  <r>
    <x v="0"/>
    <x v="0"/>
    <x v="0"/>
    <x v="8"/>
    <x v="2"/>
    <x v="10"/>
    <x v="5"/>
    <n v="0"/>
  </r>
  <r>
    <x v="0"/>
    <x v="0"/>
    <x v="0"/>
    <x v="8"/>
    <x v="2"/>
    <x v="10"/>
    <x v="6"/>
    <n v="0"/>
  </r>
  <r>
    <x v="0"/>
    <x v="0"/>
    <x v="0"/>
    <x v="8"/>
    <x v="2"/>
    <x v="10"/>
    <x v="7"/>
    <n v="-3.2"/>
  </r>
  <r>
    <x v="0"/>
    <x v="0"/>
    <x v="0"/>
    <x v="8"/>
    <x v="2"/>
    <x v="10"/>
    <x v="8"/>
    <n v="-3.1850633389973901"/>
  </r>
  <r>
    <x v="0"/>
    <x v="0"/>
    <x v="0"/>
    <x v="8"/>
    <x v="2"/>
    <x v="10"/>
    <x v="9"/>
    <n v="0"/>
  </r>
  <r>
    <x v="0"/>
    <x v="0"/>
    <x v="0"/>
    <x v="8"/>
    <x v="2"/>
    <x v="10"/>
    <x v="10"/>
    <n v="0"/>
  </r>
  <r>
    <x v="0"/>
    <x v="0"/>
    <x v="0"/>
    <x v="8"/>
    <x v="2"/>
    <x v="10"/>
    <x v="11"/>
    <n v="0"/>
  </r>
  <r>
    <x v="0"/>
    <x v="0"/>
    <x v="0"/>
    <x v="8"/>
    <x v="2"/>
    <x v="11"/>
    <x v="0"/>
    <n v="0"/>
  </r>
  <r>
    <x v="0"/>
    <x v="0"/>
    <x v="0"/>
    <x v="8"/>
    <x v="2"/>
    <x v="11"/>
    <x v="1"/>
    <n v="0"/>
  </r>
  <r>
    <x v="0"/>
    <x v="0"/>
    <x v="0"/>
    <x v="8"/>
    <x v="2"/>
    <x v="11"/>
    <x v="2"/>
    <n v="0"/>
  </r>
  <r>
    <x v="0"/>
    <x v="0"/>
    <x v="0"/>
    <x v="8"/>
    <x v="2"/>
    <x v="11"/>
    <x v="3"/>
    <n v="0"/>
  </r>
  <r>
    <x v="0"/>
    <x v="0"/>
    <x v="0"/>
    <x v="8"/>
    <x v="2"/>
    <x v="11"/>
    <x v="4"/>
    <n v="0"/>
  </r>
  <r>
    <x v="0"/>
    <x v="0"/>
    <x v="0"/>
    <x v="8"/>
    <x v="2"/>
    <x v="11"/>
    <x v="5"/>
    <n v="0"/>
  </r>
  <r>
    <x v="0"/>
    <x v="0"/>
    <x v="0"/>
    <x v="8"/>
    <x v="2"/>
    <x v="11"/>
    <x v="6"/>
    <n v="0"/>
  </r>
  <r>
    <x v="0"/>
    <x v="0"/>
    <x v="0"/>
    <x v="8"/>
    <x v="2"/>
    <x v="11"/>
    <x v="7"/>
    <n v="0"/>
  </r>
  <r>
    <x v="0"/>
    <x v="0"/>
    <x v="0"/>
    <x v="8"/>
    <x v="2"/>
    <x v="11"/>
    <x v="8"/>
    <n v="0"/>
  </r>
  <r>
    <x v="0"/>
    <x v="0"/>
    <x v="0"/>
    <x v="8"/>
    <x v="2"/>
    <x v="11"/>
    <x v="9"/>
    <n v="0"/>
  </r>
  <r>
    <x v="0"/>
    <x v="0"/>
    <x v="0"/>
    <x v="8"/>
    <x v="2"/>
    <x v="11"/>
    <x v="10"/>
    <n v="0"/>
  </r>
  <r>
    <x v="0"/>
    <x v="0"/>
    <x v="0"/>
    <x v="8"/>
    <x v="2"/>
    <x v="11"/>
    <x v="11"/>
    <n v="0"/>
  </r>
  <r>
    <x v="0"/>
    <x v="0"/>
    <x v="0"/>
    <x v="8"/>
    <x v="14"/>
    <x v="0"/>
    <x v="0"/>
    <n v="0"/>
  </r>
  <r>
    <x v="0"/>
    <x v="0"/>
    <x v="0"/>
    <x v="8"/>
    <x v="14"/>
    <x v="0"/>
    <x v="1"/>
    <n v="0"/>
  </r>
  <r>
    <x v="0"/>
    <x v="0"/>
    <x v="0"/>
    <x v="8"/>
    <x v="14"/>
    <x v="0"/>
    <x v="2"/>
    <n v="0"/>
  </r>
  <r>
    <x v="0"/>
    <x v="0"/>
    <x v="0"/>
    <x v="8"/>
    <x v="14"/>
    <x v="0"/>
    <x v="3"/>
    <n v="0"/>
  </r>
  <r>
    <x v="0"/>
    <x v="0"/>
    <x v="0"/>
    <x v="8"/>
    <x v="14"/>
    <x v="0"/>
    <x v="4"/>
    <n v="0"/>
  </r>
  <r>
    <x v="0"/>
    <x v="0"/>
    <x v="0"/>
    <x v="8"/>
    <x v="14"/>
    <x v="0"/>
    <x v="5"/>
    <n v="0"/>
  </r>
  <r>
    <x v="0"/>
    <x v="0"/>
    <x v="0"/>
    <x v="8"/>
    <x v="14"/>
    <x v="0"/>
    <x v="6"/>
    <n v="0"/>
  </r>
  <r>
    <x v="0"/>
    <x v="0"/>
    <x v="0"/>
    <x v="8"/>
    <x v="14"/>
    <x v="0"/>
    <x v="7"/>
    <n v="0"/>
  </r>
  <r>
    <x v="0"/>
    <x v="0"/>
    <x v="0"/>
    <x v="8"/>
    <x v="14"/>
    <x v="0"/>
    <x v="8"/>
    <n v="0"/>
  </r>
  <r>
    <x v="0"/>
    <x v="0"/>
    <x v="0"/>
    <x v="8"/>
    <x v="14"/>
    <x v="0"/>
    <x v="9"/>
    <n v="0"/>
  </r>
  <r>
    <x v="0"/>
    <x v="0"/>
    <x v="0"/>
    <x v="8"/>
    <x v="14"/>
    <x v="0"/>
    <x v="10"/>
    <n v="0"/>
  </r>
  <r>
    <x v="0"/>
    <x v="0"/>
    <x v="0"/>
    <x v="8"/>
    <x v="14"/>
    <x v="0"/>
    <x v="11"/>
    <n v="0"/>
  </r>
  <r>
    <x v="0"/>
    <x v="0"/>
    <x v="0"/>
    <x v="8"/>
    <x v="14"/>
    <x v="1"/>
    <x v="0"/>
    <n v="0"/>
  </r>
  <r>
    <x v="0"/>
    <x v="0"/>
    <x v="0"/>
    <x v="8"/>
    <x v="14"/>
    <x v="1"/>
    <x v="1"/>
    <n v="0"/>
  </r>
  <r>
    <x v="0"/>
    <x v="0"/>
    <x v="0"/>
    <x v="8"/>
    <x v="14"/>
    <x v="1"/>
    <x v="2"/>
    <n v="0"/>
  </r>
  <r>
    <x v="0"/>
    <x v="0"/>
    <x v="0"/>
    <x v="8"/>
    <x v="14"/>
    <x v="1"/>
    <x v="3"/>
    <n v="0"/>
  </r>
  <r>
    <x v="0"/>
    <x v="0"/>
    <x v="0"/>
    <x v="8"/>
    <x v="14"/>
    <x v="1"/>
    <x v="4"/>
    <n v="0"/>
  </r>
  <r>
    <x v="0"/>
    <x v="0"/>
    <x v="0"/>
    <x v="8"/>
    <x v="14"/>
    <x v="1"/>
    <x v="5"/>
    <n v="0"/>
  </r>
  <r>
    <x v="0"/>
    <x v="0"/>
    <x v="0"/>
    <x v="8"/>
    <x v="14"/>
    <x v="1"/>
    <x v="6"/>
    <n v="0"/>
  </r>
  <r>
    <x v="0"/>
    <x v="0"/>
    <x v="0"/>
    <x v="8"/>
    <x v="14"/>
    <x v="1"/>
    <x v="7"/>
    <n v="0"/>
  </r>
  <r>
    <x v="0"/>
    <x v="0"/>
    <x v="0"/>
    <x v="8"/>
    <x v="14"/>
    <x v="1"/>
    <x v="8"/>
    <n v="0"/>
  </r>
  <r>
    <x v="0"/>
    <x v="0"/>
    <x v="0"/>
    <x v="8"/>
    <x v="14"/>
    <x v="1"/>
    <x v="9"/>
    <n v="0"/>
  </r>
  <r>
    <x v="0"/>
    <x v="0"/>
    <x v="0"/>
    <x v="8"/>
    <x v="14"/>
    <x v="1"/>
    <x v="10"/>
    <n v="0"/>
  </r>
  <r>
    <x v="0"/>
    <x v="0"/>
    <x v="0"/>
    <x v="8"/>
    <x v="14"/>
    <x v="1"/>
    <x v="11"/>
    <n v="0"/>
  </r>
  <r>
    <x v="0"/>
    <x v="0"/>
    <x v="0"/>
    <x v="8"/>
    <x v="14"/>
    <x v="2"/>
    <x v="0"/>
    <n v="0"/>
  </r>
  <r>
    <x v="0"/>
    <x v="0"/>
    <x v="0"/>
    <x v="8"/>
    <x v="14"/>
    <x v="2"/>
    <x v="1"/>
    <n v="0"/>
  </r>
  <r>
    <x v="0"/>
    <x v="0"/>
    <x v="0"/>
    <x v="8"/>
    <x v="14"/>
    <x v="2"/>
    <x v="2"/>
    <n v="0"/>
  </r>
  <r>
    <x v="0"/>
    <x v="0"/>
    <x v="0"/>
    <x v="8"/>
    <x v="14"/>
    <x v="2"/>
    <x v="3"/>
    <n v="0"/>
  </r>
  <r>
    <x v="0"/>
    <x v="0"/>
    <x v="0"/>
    <x v="8"/>
    <x v="14"/>
    <x v="2"/>
    <x v="4"/>
    <n v="0"/>
  </r>
  <r>
    <x v="0"/>
    <x v="0"/>
    <x v="0"/>
    <x v="8"/>
    <x v="14"/>
    <x v="2"/>
    <x v="5"/>
    <n v="0"/>
  </r>
  <r>
    <x v="0"/>
    <x v="0"/>
    <x v="0"/>
    <x v="8"/>
    <x v="14"/>
    <x v="2"/>
    <x v="6"/>
    <n v="0"/>
  </r>
  <r>
    <x v="0"/>
    <x v="0"/>
    <x v="0"/>
    <x v="8"/>
    <x v="14"/>
    <x v="2"/>
    <x v="7"/>
    <n v="0"/>
  </r>
  <r>
    <x v="0"/>
    <x v="0"/>
    <x v="0"/>
    <x v="8"/>
    <x v="14"/>
    <x v="2"/>
    <x v="8"/>
    <n v="0"/>
  </r>
  <r>
    <x v="0"/>
    <x v="0"/>
    <x v="0"/>
    <x v="8"/>
    <x v="14"/>
    <x v="2"/>
    <x v="9"/>
    <n v="0"/>
  </r>
  <r>
    <x v="0"/>
    <x v="0"/>
    <x v="0"/>
    <x v="8"/>
    <x v="14"/>
    <x v="2"/>
    <x v="10"/>
    <n v="0"/>
  </r>
  <r>
    <x v="0"/>
    <x v="0"/>
    <x v="0"/>
    <x v="8"/>
    <x v="14"/>
    <x v="2"/>
    <x v="11"/>
    <n v="0"/>
  </r>
  <r>
    <x v="0"/>
    <x v="0"/>
    <x v="0"/>
    <x v="8"/>
    <x v="14"/>
    <x v="3"/>
    <x v="0"/>
    <n v="0"/>
  </r>
  <r>
    <x v="0"/>
    <x v="0"/>
    <x v="0"/>
    <x v="8"/>
    <x v="14"/>
    <x v="3"/>
    <x v="1"/>
    <n v="0"/>
  </r>
  <r>
    <x v="0"/>
    <x v="0"/>
    <x v="0"/>
    <x v="8"/>
    <x v="14"/>
    <x v="3"/>
    <x v="2"/>
    <n v="0"/>
  </r>
  <r>
    <x v="0"/>
    <x v="0"/>
    <x v="0"/>
    <x v="8"/>
    <x v="14"/>
    <x v="3"/>
    <x v="3"/>
    <n v="0"/>
  </r>
  <r>
    <x v="0"/>
    <x v="0"/>
    <x v="0"/>
    <x v="8"/>
    <x v="14"/>
    <x v="3"/>
    <x v="4"/>
    <n v="0"/>
  </r>
  <r>
    <x v="0"/>
    <x v="0"/>
    <x v="0"/>
    <x v="8"/>
    <x v="14"/>
    <x v="3"/>
    <x v="5"/>
    <n v="0"/>
  </r>
  <r>
    <x v="0"/>
    <x v="0"/>
    <x v="0"/>
    <x v="8"/>
    <x v="14"/>
    <x v="3"/>
    <x v="6"/>
    <n v="0"/>
  </r>
  <r>
    <x v="0"/>
    <x v="0"/>
    <x v="0"/>
    <x v="8"/>
    <x v="14"/>
    <x v="3"/>
    <x v="7"/>
    <n v="0"/>
  </r>
  <r>
    <x v="0"/>
    <x v="0"/>
    <x v="0"/>
    <x v="8"/>
    <x v="14"/>
    <x v="3"/>
    <x v="8"/>
    <n v="0"/>
  </r>
  <r>
    <x v="0"/>
    <x v="0"/>
    <x v="0"/>
    <x v="8"/>
    <x v="14"/>
    <x v="3"/>
    <x v="9"/>
    <n v="0"/>
  </r>
  <r>
    <x v="0"/>
    <x v="0"/>
    <x v="0"/>
    <x v="8"/>
    <x v="14"/>
    <x v="3"/>
    <x v="10"/>
    <n v="0"/>
  </r>
  <r>
    <x v="0"/>
    <x v="0"/>
    <x v="0"/>
    <x v="8"/>
    <x v="14"/>
    <x v="3"/>
    <x v="11"/>
    <n v="0"/>
  </r>
  <r>
    <x v="0"/>
    <x v="0"/>
    <x v="0"/>
    <x v="8"/>
    <x v="14"/>
    <x v="4"/>
    <x v="0"/>
    <n v="0"/>
  </r>
  <r>
    <x v="0"/>
    <x v="0"/>
    <x v="0"/>
    <x v="8"/>
    <x v="14"/>
    <x v="4"/>
    <x v="1"/>
    <n v="0"/>
  </r>
  <r>
    <x v="0"/>
    <x v="0"/>
    <x v="0"/>
    <x v="8"/>
    <x v="14"/>
    <x v="4"/>
    <x v="2"/>
    <n v="0"/>
  </r>
  <r>
    <x v="0"/>
    <x v="0"/>
    <x v="0"/>
    <x v="8"/>
    <x v="14"/>
    <x v="4"/>
    <x v="3"/>
    <n v="0"/>
  </r>
  <r>
    <x v="0"/>
    <x v="0"/>
    <x v="0"/>
    <x v="8"/>
    <x v="14"/>
    <x v="4"/>
    <x v="4"/>
    <n v="0"/>
  </r>
  <r>
    <x v="0"/>
    <x v="0"/>
    <x v="0"/>
    <x v="8"/>
    <x v="14"/>
    <x v="4"/>
    <x v="5"/>
    <n v="0"/>
  </r>
  <r>
    <x v="0"/>
    <x v="0"/>
    <x v="0"/>
    <x v="8"/>
    <x v="14"/>
    <x v="4"/>
    <x v="6"/>
    <n v="0"/>
  </r>
  <r>
    <x v="0"/>
    <x v="0"/>
    <x v="0"/>
    <x v="8"/>
    <x v="14"/>
    <x v="4"/>
    <x v="7"/>
    <n v="0"/>
  </r>
  <r>
    <x v="0"/>
    <x v="0"/>
    <x v="0"/>
    <x v="8"/>
    <x v="14"/>
    <x v="4"/>
    <x v="8"/>
    <n v="0"/>
  </r>
  <r>
    <x v="0"/>
    <x v="0"/>
    <x v="0"/>
    <x v="8"/>
    <x v="14"/>
    <x v="4"/>
    <x v="9"/>
    <n v="0"/>
  </r>
  <r>
    <x v="0"/>
    <x v="0"/>
    <x v="0"/>
    <x v="8"/>
    <x v="14"/>
    <x v="4"/>
    <x v="10"/>
    <n v="0"/>
  </r>
  <r>
    <x v="0"/>
    <x v="0"/>
    <x v="0"/>
    <x v="8"/>
    <x v="14"/>
    <x v="4"/>
    <x v="11"/>
    <n v="0"/>
  </r>
  <r>
    <x v="0"/>
    <x v="0"/>
    <x v="0"/>
    <x v="8"/>
    <x v="14"/>
    <x v="5"/>
    <x v="0"/>
    <n v="0"/>
  </r>
  <r>
    <x v="0"/>
    <x v="0"/>
    <x v="0"/>
    <x v="8"/>
    <x v="14"/>
    <x v="5"/>
    <x v="1"/>
    <n v="0"/>
  </r>
  <r>
    <x v="0"/>
    <x v="0"/>
    <x v="0"/>
    <x v="8"/>
    <x v="14"/>
    <x v="5"/>
    <x v="2"/>
    <n v="0"/>
  </r>
  <r>
    <x v="0"/>
    <x v="0"/>
    <x v="0"/>
    <x v="8"/>
    <x v="14"/>
    <x v="5"/>
    <x v="3"/>
    <n v="0"/>
  </r>
  <r>
    <x v="0"/>
    <x v="0"/>
    <x v="0"/>
    <x v="8"/>
    <x v="14"/>
    <x v="5"/>
    <x v="4"/>
    <n v="0"/>
  </r>
  <r>
    <x v="0"/>
    <x v="0"/>
    <x v="0"/>
    <x v="8"/>
    <x v="14"/>
    <x v="5"/>
    <x v="5"/>
    <n v="0"/>
  </r>
  <r>
    <x v="0"/>
    <x v="0"/>
    <x v="0"/>
    <x v="8"/>
    <x v="14"/>
    <x v="5"/>
    <x v="6"/>
    <n v="0"/>
  </r>
  <r>
    <x v="0"/>
    <x v="0"/>
    <x v="0"/>
    <x v="8"/>
    <x v="14"/>
    <x v="5"/>
    <x v="7"/>
    <n v="0"/>
  </r>
  <r>
    <x v="0"/>
    <x v="0"/>
    <x v="0"/>
    <x v="8"/>
    <x v="14"/>
    <x v="5"/>
    <x v="8"/>
    <n v="0"/>
  </r>
  <r>
    <x v="0"/>
    <x v="0"/>
    <x v="0"/>
    <x v="8"/>
    <x v="14"/>
    <x v="5"/>
    <x v="9"/>
    <n v="0"/>
  </r>
  <r>
    <x v="0"/>
    <x v="0"/>
    <x v="0"/>
    <x v="8"/>
    <x v="14"/>
    <x v="5"/>
    <x v="10"/>
    <n v="0"/>
  </r>
  <r>
    <x v="0"/>
    <x v="0"/>
    <x v="0"/>
    <x v="8"/>
    <x v="14"/>
    <x v="5"/>
    <x v="11"/>
    <n v="0"/>
  </r>
  <r>
    <x v="0"/>
    <x v="0"/>
    <x v="0"/>
    <x v="8"/>
    <x v="14"/>
    <x v="6"/>
    <x v="0"/>
    <n v="0"/>
  </r>
  <r>
    <x v="0"/>
    <x v="0"/>
    <x v="0"/>
    <x v="8"/>
    <x v="14"/>
    <x v="6"/>
    <x v="1"/>
    <n v="0"/>
  </r>
  <r>
    <x v="0"/>
    <x v="0"/>
    <x v="0"/>
    <x v="8"/>
    <x v="14"/>
    <x v="6"/>
    <x v="2"/>
    <n v="0"/>
  </r>
  <r>
    <x v="0"/>
    <x v="0"/>
    <x v="0"/>
    <x v="8"/>
    <x v="14"/>
    <x v="6"/>
    <x v="3"/>
    <n v="0"/>
  </r>
  <r>
    <x v="0"/>
    <x v="0"/>
    <x v="0"/>
    <x v="8"/>
    <x v="14"/>
    <x v="6"/>
    <x v="4"/>
    <n v="0"/>
  </r>
  <r>
    <x v="0"/>
    <x v="0"/>
    <x v="0"/>
    <x v="8"/>
    <x v="14"/>
    <x v="6"/>
    <x v="5"/>
    <n v="0"/>
  </r>
  <r>
    <x v="0"/>
    <x v="0"/>
    <x v="0"/>
    <x v="8"/>
    <x v="14"/>
    <x v="6"/>
    <x v="6"/>
    <n v="0"/>
  </r>
  <r>
    <x v="0"/>
    <x v="0"/>
    <x v="0"/>
    <x v="8"/>
    <x v="14"/>
    <x v="6"/>
    <x v="7"/>
    <n v="0"/>
  </r>
  <r>
    <x v="0"/>
    <x v="0"/>
    <x v="0"/>
    <x v="8"/>
    <x v="14"/>
    <x v="6"/>
    <x v="8"/>
    <n v="0"/>
  </r>
  <r>
    <x v="0"/>
    <x v="0"/>
    <x v="0"/>
    <x v="8"/>
    <x v="14"/>
    <x v="6"/>
    <x v="9"/>
    <n v="0"/>
  </r>
  <r>
    <x v="0"/>
    <x v="0"/>
    <x v="0"/>
    <x v="8"/>
    <x v="14"/>
    <x v="6"/>
    <x v="10"/>
    <n v="0"/>
  </r>
  <r>
    <x v="0"/>
    <x v="0"/>
    <x v="0"/>
    <x v="8"/>
    <x v="14"/>
    <x v="6"/>
    <x v="11"/>
    <n v="0"/>
  </r>
  <r>
    <x v="0"/>
    <x v="0"/>
    <x v="0"/>
    <x v="8"/>
    <x v="14"/>
    <x v="7"/>
    <x v="0"/>
    <n v="0"/>
  </r>
  <r>
    <x v="0"/>
    <x v="0"/>
    <x v="0"/>
    <x v="8"/>
    <x v="14"/>
    <x v="7"/>
    <x v="1"/>
    <n v="0"/>
  </r>
  <r>
    <x v="0"/>
    <x v="0"/>
    <x v="0"/>
    <x v="8"/>
    <x v="14"/>
    <x v="7"/>
    <x v="2"/>
    <n v="0"/>
  </r>
  <r>
    <x v="0"/>
    <x v="0"/>
    <x v="0"/>
    <x v="8"/>
    <x v="14"/>
    <x v="7"/>
    <x v="3"/>
    <n v="0"/>
  </r>
  <r>
    <x v="0"/>
    <x v="0"/>
    <x v="0"/>
    <x v="8"/>
    <x v="14"/>
    <x v="7"/>
    <x v="4"/>
    <n v="0"/>
  </r>
  <r>
    <x v="0"/>
    <x v="0"/>
    <x v="0"/>
    <x v="8"/>
    <x v="14"/>
    <x v="7"/>
    <x v="5"/>
    <n v="0"/>
  </r>
  <r>
    <x v="0"/>
    <x v="0"/>
    <x v="0"/>
    <x v="8"/>
    <x v="14"/>
    <x v="7"/>
    <x v="6"/>
    <n v="0"/>
  </r>
  <r>
    <x v="0"/>
    <x v="0"/>
    <x v="0"/>
    <x v="8"/>
    <x v="14"/>
    <x v="7"/>
    <x v="7"/>
    <n v="0"/>
  </r>
  <r>
    <x v="0"/>
    <x v="0"/>
    <x v="0"/>
    <x v="8"/>
    <x v="14"/>
    <x v="7"/>
    <x v="8"/>
    <n v="0"/>
  </r>
  <r>
    <x v="0"/>
    <x v="0"/>
    <x v="0"/>
    <x v="8"/>
    <x v="14"/>
    <x v="7"/>
    <x v="9"/>
    <n v="0"/>
  </r>
  <r>
    <x v="0"/>
    <x v="0"/>
    <x v="0"/>
    <x v="8"/>
    <x v="14"/>
    <x v="7"/>
    <x v="10"/>
    <n v="0"/>
  </r>
  <r>
    <x v="0"/>
    <x v="0"/>
    <x v="0"/>
    <x v="8"/>
    <x v="14"/>
    <x v="7"/>
    <x v="11"/>
    <n v="0"/>
  </r>
  <r>
    <x v="0"/>
    <x v="0"/>
    <x v="0"/>
    <x v="8"/>
    <x v="14"/>
    <x v="8"/>
    <x v="0"/>
    <n v="0"/>
  </r>
  <r>
    <x v="0"/>
    <x v="0"/>
    <x v="0"/>
    <x v="8"/>
    <x v="14"/>
    <x v="8"/>
    <x v="1"/>
    <n v="0"/>
  </r>
  <r>
    <x v="0"/>
    <x v="0"/>
    <x v="0"/>
    <x v="8"/>
    <x v="14"/>
    <x v="8"/>
    <x v="2"/>
    <n v="0"/>
  </r>
  <r>
    <x v="0"/>
    <x v="0"/>
    <x v="0"/>
    <x v="8"/>
    <x v="14"/>
    <x v="8"/>
    <x v="3"/>
    <n v="0"/>
  </r>
  <r>
    <x v="0"/>
    <x v="0"/>
    <x v="0"/>
    <x v="8"/>
    <x v="14"/>
    <x v="8"/>
    <x v="4"/>
    <n v="0"/>
  </r>
  <r>
    <x v="0"/>
    <x v="0"/>
    <x v="0"/>
    <x v="8"/>
    <x v="14"/>
    <x v="8"/>
    <x v="5"/>
    <n v="0"/>
  </r>
  <r>
    <x v="0"/>
    <x v="0"/>
    <x v="0"/>
    <x v="8"/>
    <x v="14"/>
    <x v="8"/>
    <x v="6"/>
    <n v="0"/>
  </r>
  <r>
    <x v="0"/>
    <x v="0"/>
    <x v="0"/>
    <x v="8"/>
    <x v="14"/>
    <x v="8"/>
    <x v="7"/>
    <n v="0"/>
  </r>
  <r>
    <x v="0"/>
    <x v="0"/>
    <x v="0"/>
    <x v="8"/>
    <x v="14"/>
    <x v="8"/>
    <x v="8"/>
    <n v="0"/>
  </r>
  <r>
    <x v="0"/>
    <x v="0"/>
    <x v="0"/>
    <x v="8"/>
    <x v="14"/>
    <x v="8"/>
    <x v="9"/>
    <n v="0"/>
  </r>
  <r>
    <x v="0"/>
    <x v="0"/>
    <x v="0"/>
    <x v="8"/>
    <x v="14"/>
    <x v="8"/>
    <x v="10"/>
    <n v="0"/>
  </r>
  <r>
    <x v="0"/>
    <x v="0"/>
    <x v="0"/>
    <x v="8"/>
    <x v="14"/>
    <x v="8"/>
    <x v="11"/>
    <n v="0"/>
  </r>
  <r>
    <x v="0"/>
    <x v="0"/>
    <x v="0"/>
    <x v="8"/>
    <x v="14"/>
    <x v="9"/>
    <x v="0"/>
    <n v="1.1499999999999999"/>
  </r>
  <r>
    <x v="0"/>
    <x v="0"/>
    <x v="0"/>
    <x v="8"/>
    <x v="14"/>
    <x v="9"/>
    <x v="1"/>
    <n v="1.1499999999999999"/>
  </r>
  <r>
    <x v="0"/>
    <x v="0"/>
    <x v="0"/>
    <x v="8"/>
    <x v="14"/>
    <x v="9"/>
    <x v="2"/>
    <n v="1.1499999999999999"/>
  </r>
  <r>
    <x v="0"/>
    <x v="0"/>
    <x v="0"/>
    <x v="8"/>
    <x v="14"/>
    <x v="9"/>
    <x v="3"/>
    <n v="1.1499999999999999"/>
  </r>
  <r>
    <x v="0"/>
    <x v="0"/>
    <x v="0"/>
    <x v="8"/>
    <x v="14"/>
    <x v="9"/>
    <x v="4"/>
    <n v="1.1499999999999999"/>
  </r>
  <r>
    <x v="0"/>
    <x v="0"/>
    <x v="0"/>
    <x v="8"/>
    <x v="14"/>
    <x v="9"/>
    <x v="5"/>
    <n v="1.1499999999999999"/>
  </r>
  <r>
    <x v="0"/>
    <x v="0"/>
    <x v="0"/>
    <x v="8"/>
    <x v="14"/>
    <x v="9"/>
    <x v="6"/>
    <n v="0.71362867806178898"/>
  </r>
  <r>
    <x v="0"/>
    <x v="0"/>
    <x v="0"/>
    <x v="8"/>
    <x v="14"/>
    <x v="9"/>
    <x v="7"/>
    <n v="0.15120465028122099"/>
  </r>
  <r>
    <x v="0"/>
    <x v="0"/>
    <x v="0"/>
    <x v="8"/>
    <x v="14"/>
    <x v="9"/>
    <x v="8"/>
    <n v="0"/>
  </r>
  <r>
    <x v="0"/>
    <x v="0"/>
    <x v="0"/>
    <x v="8"/>
    <x v="14"/>
    <x v="9"/>
    <x v="9"/>
    <n v="1.1499999999999999"/>
  </r>
  <r>
    <x v="0"/>
    <x v="0"/>
    <x v="0"/>
    <x v="8"/>
    <x v="14"/>
    <x v="9"/>
    <x v="10"/>
    <n v="0.25056028719201001"/>
  </r>
  <r>
    <x v="0"/>
    <x v="0"/>
    <x v="0"/>
    <x v="8"/>
    <x v="14"/>
    <x v="9"/>
    <x v="11"/>
    <n v="0"/>
  </r>
  <r>
    <x v="0"/>
    <x v="0"/>
    <x v="0"/>
    <x v="8"/>
    <x v="14"/>
    <x v="10"/>
    <x v="0"/>
    <n v="0"/>
  </r>
  <r>
    <x v="0"/>
    <x v="0"/>
    <x v="0"/>
    <x v="8"/>
    <x v="14"/>
    <x v="10"/>
    <x v="1"/>
    <n v="0"/>
  </r>
  <r>
    <x v="0"/>
    <x v="0"/>
    <x v="0"/>
    <x v="8"/>
    <x v="14"/>
    <x v="10"/>
    <x v="2"/>
    <n v="0"/>
  </r>
  <r>
    <x v="0"/>
    <x v="0"/>
    <x v="0"/>
    <x v="8"/>
    <x v="14"/>
    <x v="10"/>
    <x v="3"/>
    <n v="0"/>
  </r>
  <r>
    <x v="0"/>
    <x v="0"/>
    <x v="0"/>
    <x v="8"/>
    <x v="14"/>
    <x v="10"/>
    <x v="4"/>
    <n v="0"/>
  </r>
  <r>
    <x v="0"/>
    <x v="0"/>
    <x v="0"/>
    <x v="8"/>
    <x v="14"/>
    <x v="10"/>
    <x v="5"/>
    <n v="1.1499999999999999"/>
  </r>
  <r>
    <x v="0"/>
    <x v="0"/>
    <x v="0"/>
    <x v="8"/>
    <x v="14"/>
    <x v="10"/>
    <x v="6"/>
    <n v="0"/>
  </r>
  <r>
    <x v="0"/>
    <x v="0"/>
    <x v="0"/>
    <x v="8"/>
    <x v="14"/>
    <x v="10"/>
    <x v="7"/>
    <n v="0"/>
  </r>
  <r>
    <x v="0"/>
    <x v="0"/>
    <x v="0"/>
    <x v="8"/>
    <x v="14"/>
    <x v="10"/>
    <x v="8"/>
    <n v="0"/>
  </r>
  <r>
    <x v="0"/>
    <x v="0"/>
    <x v="0"/>
    <x v="8"/>
    <x v="14"/>
    <x v="10"/>
    <x v="9"/>
    <n v="0"/>
  </r>
  <r>
    <x v="0"/>
    <x v="0"/>
    <x v="0"/>
    <x v="8"/>
    <x v="14"/>
    <x v="10"/>
    <x v="10"/>
    <n v="0"/>
  </r>
  <r>
    <x v="0"/>
    <x v="0"/>
    <x v="0"/>
    <x v="8"/>
    <x v="14"/>
    <x v="10"/>
    <x v="11"/>
    <n v="0.35284319295834998"/>
  </r>
  <r>
    <x v="0"/>
    <x v="0"/>
    <x v="0"/>
    <x v="8"/>
    <x v="14"/>
    <x v="11"/>
    <x v="0"/>
    <n v="0"/>
  </r>
  <r>
    <x v="0"/>
    <x v="0"/>
    <x v="0"/>
    <x v="8"/>
    <x v="14"/>
    <x v="11"/>
    <x v="1"/>
    <n v="0"/>
  </r>
  <r>
    <x v="0"/>
    <x v="0"/>
    <x v="0"/>
    <x v="8"/>
    <x v="14"/>
    <x v="11"/>
    <x v="2"/>
    <n v="0"/>
  </r>
  <r>
    <x v="0"/>
    <x v="0"/>
    <x v="0"/>
    <x v="8"/>
    <x v="14"/>
    <x v="11"/>
    <x v="3"/>
    <n v="0"/>
  </r>
  <r>
    <x v="0"/>
    <x v="0"/>
    <x v="0"/>
    <x v="8"/>
    <x v="14"/>
    <x v="11"/>
    <x v="4"/>
    <n v="0"/>
  </r>
  <r>
    <x v="0"/>
    <x v="0"/>
    <x v="0"/>
    <x v="8"/>
    <x v="14"/>
    <x v="11"/>
    <x v="5"/>
    <n v="0"/>
  </r>
  <r>
    <x v="0"/>
    <x v="0"/>
    <x v="0"/>
    <x v="8"/>
    <x v="14"/>
    <x v="11"/>
    <x v="6"/>
    <n v="0"/>
  </r>
  <r>
    <x v="0"/>
    <x v="0"/>
    <x v="0"/>
    <x v="8"/>
    <x v="14"/>
    <x v="11"/>
    <x v="7"/>
    <n v="0"/>
  </r>
  <r>
    <x v="0"/>
    <x v="0"/>
    <x v="0"/>
    <x v="8"/>
    <x v="14"/>
    <x v="11"/>
    <x v="8"/>
    <n v="0"/>
  </r>
  <r>
    <x v="0"/>
    <x v="0"/>
    <x v="0"/>
    <x v="8"/>
    <x v="14"/>
    <x v="11"/>
    <x v="9"/>
    <n v="0"/>
  </r>
  <r>
    <x v="0"/>
    <x v="0"/>
    <x v="0"/>
    <x v="8"/>
    <x v="14"/>
    <x v="11"/>
    <x v="10"/>
    <n v="0"/>
  </r>
  <r>
    <x v="0"/>
    <x v="0"/>
    <x v="0"/>
    <x v="8"/>
    <x v="14"/>
    <x v="11"/>
    <x v="11"/>
    <n v="0"/>
  </r>
  <r>
    <x v="0"/>
    <x v="0"/>
    <x v="0"/>
    <x v="8"/>
    <x v="3"/>
    <x v="0"/>
    <x v="0"/>
    <n v="0"/>
  </r>
  <r>
    <x v="0"/>
    <x v="0"/>
    <x v="0"/>
    <x v="8"/>
    <x v="3"/>
    <x v="0"/>
    <x v="1"/>
    <n v="0"/>
  </r>
  <r>
    <x v="0"/>
    <x v="0"/>
    <x v="0"/>
    <x v="8"/>
    <x v="3"/>
    <x v="0"/>
    <x v="2"/>
    <n v="0"/>
  </r>
  <r>
    <x v="0"/>
    <x v="0"/>
    <x v="0"/>
    <x v="8"/>
    <x v="3"/>
    <x v="0"/>
    <x v="3"/>
    <n v="0"/>
  </r>
  <r>
    <x v="0"/>
    <x v="0"/>
    <x v="0"/>
    <x v="8"/>
    <x v="3"/>
    <x v="0"/>
    <x v="4"/>
    <n v="0"/>
  </r>
  <r>
    <x v="0"/>
    <x v="0"/>
    <x v="0"/>
    <x v="8"/>
    <x v="3"/>
    <x v="0"/>
    <x v="5"/>
    <n v="0"/>
  </r>
  <r>
    <x v="0"/>
    <x v="0"/>
    <x v="0"/>
    <x v="8"/>
    <x v="3"/>
    <x v="0"/>
    <x v="6"/>
    <n v="0"/>
  </r>
  <r>
    <x v="0"/>
    <x v="0"/>
    <x v="0"/>
    <x v="8"/>
    <x v="3"/>
    <x v="0"/>
    <x v="7"/>
    <n v="0"/>
  </r>
  <r>
    <x v="0"/>
    <x v="0"/>
    <x v="0"/>
    <x v="8"/>
    <x v="3"/>
    <x v="0"/>
    <x v="8"/>
    <n v="0"/>
  </r>
  <r>
    <x v="0"/>
    <x v="0"/>
    <x v="0"/>
    <x v="8"/>
    <x v="3"/>
    <x v="0"/>
    <x v="9"/>
    <n v="0"/>
  </r>
  <r>
    <x v="0"/>
    <x v="0"/>
    <x v="0"/>
    <x v="8"/>
    <x v="3"/>
    <x v="0"/>
    <x v="10"/>
    <n v="0"/>
  </r>
  <r>
    <x v="0"/>
    <x v="0"/>
    <x v="0"/>
    <x v="8"/>
    <x v="3"/>
    <x v="0"/>
    <x v="11"/>
    <n v="0"/>
  </r>
  <r>
    <x v="0"/>
    <x v="0"/>
    <x v="0"/>
    <x v="8"/>
    <x v="3"/>
    <x v="1"/>
    <x v="0"/>
    <n v="0"/>
  </r>
  <r>
    <x v="0"/>
    <x v="0"/>
    <x v="0"/>
    <x v="8"/>
    <x v="3"/>
    <x v="1"/>
    <x v="1"/>
    <n v="0"/>
  </r>
  <r>
    <x v="0"/>
    <x v="0"/>
    <x v="0"/>
    <x v="8"/>
    <x v="3"/>
    <x v="1"/>
    <x v="2"/>
    <n v="0"/>
  </r>
  <r>
    <x v="0"/>
    <x v="0"/>
    <x v="0"/>
    <x v="8"/>
    <x v="3"/>
    <x v="1"/>
    <x v="3"/>
    <n v="0"/>
  </r>
  <r>
    <x v="0"/>
    <x v="0"/>
    <x v="0"/>
    <x v="8"/>
    <x v="3"/>
    <x v="1"/>
    <x v="4"/>
    <n v="0"/>
  </r>
  <r>
    <x v="0"/>
    <x v="0"/>
    <x v="0"/>
    <x v="8"/>
    <x v="3"/>
    <x v="1"/>
    <x v="5"/>
    <n v="0"/>
  </r>
  <r>
    <x v="0"/>
    <x v="0"/>
    <x v="0"/>
    <x v="8"/>
    <x v="3"/>
    <x v="1"/>
    <x v="6"/>
    <n v="0"/>
  </r>
  <r>
    <x v="0"/>
    <x v="0"/>
    <x v="0"/>
    <x v="8"/>
    <x v="3"/>
    <x v="1"/>
    <x v="7"/>
    <n v="0"/>
  </r>
  <r>
    <x v="0"/>
    <x v="0"/>
    <x v="0"/>
    <x v="8"/>
    <x v="3"/>
    <x v="1"/>
    <x v="8"/>
    <n v="0"/>
  </r>
  <r>
    <x v="0"/>
    <x v="0"/>
    <x v="0"/>
    <x v="8"/>
    <x v="3"/>
    <x v="1"/>
    <x v="9"/>
    <n v="0"/>
  </r>
  <r>
    <x v="0"/>
    <x v="0"/>
    <x v="0"/>
    <x v="8"/>
    <x v="3"/>
    <x v="1"/>
    <x v="10"/>
    <n v="0"/>
  </r>
  <r>
    <x v="0"/>
    <x v="0"/>
    <x v="0"/>
    <x v="8"/>
    <x v="3"/>
    <x v="1"/>
    <x v="11"/>
    <n v="0"/>
  </r>
  <r>
    <x v="0"/>
    <x v="0"/>
    <x v="0"/>
    <x v="8"/>
    <x v="3"/>
    <x v="2"/>
    <x v="0"/>
    <n v="0"/>
  </r>
  <r>
    <x v="0"/>
    <x v="0"/>
    <x v="0"/>
    <x v="8"/>
    <x v="3"/>
    <x v="2"/>
    <x v="1"/>
    <n v="0"/>
  </r>
  <r>
    <x v="0"/>
    <x v="0"/>
    <x v="0"/>
    <x v="8"/>
    <x v="3"/>
    <x v="2"/>
    <x v="2"/>
    <n v="0"/>
  </r>
  <r>
    <x v="0"/>
    <x v="0"/>
    <x v="0"/>
    <x v="8"/>
    <x v="3"/>
    <x v="2"/>
    <x v="3"/>
    <n v="0"/>
  </r>
  <r>
    <x v="0"/>
    <x v="0"/>
    <x v="0"/>
    <x v="8"/>
    <x v="3"/>
    <x v="2"/>
    <x v="4"/>
    <n v="0"/>
  </r>
  <r>
    <x v="0"/>
    <x v="0"/>
    <x v="0"/>
    <x v="8"/>
    <x v="3"/>
    <x v="2"/>
    <x v="5"/>
    <n v="0"/>
  </r>
  <r>
    <x v="0"/>
    <x v="0"/>
    <x v="0"/>
    <x v="8"/>
    <x v="3"/>
    <x v="2"/>
    <x v="6"/>
    <n v="0"/>
  </r>
  <r>
    <x v="0"/>
    <x v="0"/>
    <x v="0"/>
    <x v="8"/>
    <x v="3"/>
    <x v="2"/>
    <x v="7"/>
    <n v="0"/>
  </r>
  <r>
    <x v="0"/>
    <x v="0"/>
    <x v="0"/>
    <x v="8"/>
    <x v="3"/>
    <x v="2"/>
    <x v="8"/>
    <n v="0"/>
  </r>
  <r>
    <x v="0"/>
    <x v="0"/>
    <x v="0"/>
    <x v="8"/>
    <x v="3"/>
    <x v="2"/>
    <x v="9"/>
    <n v="0"/>
  </r>
  <r>
    <x v="0"/>
    <x v="0"/>
    <x v="0"/>
    <x v="8"/>
    <x v="3"/>
    <x v="2"/>
    <x v="10"/>
    <n v="0"/>
  </r>
  <r>
    <x v="0"/>
    <x v="0"/>
    <x v="0"/>
    <x v="8"/>
    <x v="3"/>
    <x v="2"/>
    <x v="11"/>
    <n v="0"/>
  </r>
  <r>
    <x v="0"/>
    <x v="0"/>
    <x v="0"/>
    <x v="8"/>
    <x v="3"/>
    <x v="3"/>
    <x v="0"/>
    <n v="0"/>
  </r>
  <r>
    <x v="0"/>
    <x v="0"/>
    <x v="0"/>
    <x v="8"/>
    <x v="3"/>
    <x v="3"/>
    <x v="1"/>
    <n v="0"/>
  </r>
  <r>
    <x v="0"/>
    <x v="0"/>
    <x v="0"/>
    <x v="8"/>
    <x v="3"/>
    <x v="3"/>
    <x v="2"/>
    <n v="0"/>
  </r>
  <r>
    <x v="0"/>
    <x v="0"/>
    <x v="0"/>
    <x v="8"/>
    <x v="3"/>
    <x v="3"/>
    <x v="3"/>
    <n v="0"/>
  </r>
  <r>
    <x v="0"/>
    <x v="0"/>
    <x v="0"/>
    <x v="8"/>
    <x v="3"/>
    <x v="3"/>
    <x v="4"/>
    <n v="0"/>
  </r>
  <r>
    <x v="0"/>
    <x v="0"/>
    <x v="0"/>
    <x v="8"/>
    <x v="3"/>
    <x v="3"/>
    <x v="5"/>
    <n v="0"/>
  </r>
  <r>
    <x v="0"/>
    <x v="0"/>
    <x v="0"/>
    <x v="8"/>
    <x v="3"/>
    <x v="3"/>
    <x v="6"/>
    <n v="0"/>
  </r>
  <r>
    <x v="0"/>
    <x v="0"/>
    <x v="0"/>
    <x v="8"/>
    <x v="3"/>
    <x v="3"/>
    <x v="7"/>
    <n v="0"/>
  </r>
  <r>
    <x v="0"/>
    <x v="0"/>
    <x v="0"/>
    <x v="8"/>
    <x v="3"/>
    <x v="3"/>
    <x v="8"/>
    <n v="0"/>
  </r>
  <r>
    <x v="0"/>
    <x v="0"/>
    <x v="0"/>
    <x v="8"/>
    <x v="3"/>
    <x v="3"/>
    <x v="9"/>
    <n v="0"/>
  </r>
  <r>
    <x v="0"/>
    <x v="0"/>
    <x v="0"/>
    <x v="8"/>
    <x v="3"/>
    <x v="3"/>
    <x v="10"/>
    <n v="0"/>
  </r>
  <r>
    <x v="0"/>
    <x v="0"/>
    <x v="0"/>
    <x v="8"/>
    <x v="3"/>
    <x v="3"/>
    <x v="11"/>
    <n v="0"/>
  </r>
  <r>
    <x v="0"/>
    <x v="0"/>
    <x v="0"/>
    <x v="8"/>
    <x v="3"/>
    <x v="4"/>
    <x v="0"/>
    <n v="2.145"/>
  </r>
  <r>
    <x v="0"/>
    <x v="0"/>
    <x v="0"/>
    <x v="8"/>
    <x v="3"/>
    <x v="4"/>
    <x v="1"/>
    <n v="2.145"/>
  </r>
  <r>
    <x v="0"/>
    <x v="0"/>
    <x v="0"/>
    <x v="8"/>
    <x v="3"/>
    <x v="4"/>
    <x v="2"/>
    <n v="2.145"/>
  </r>
  <r>
    <x v="0"/>
    <x v="0"/>
    <x v="0"/>
    <x v="8"/>
    <x v="3"/>
    <x v="4"/>
    <x v="3"/>
    <n v="2.145"/>
  </r>
  <r>
    <x v="0"/>
    <x v="0"/>
    <x v="0"/>
    <x v="8"/>
    <x v="3"/>
    <x v="4"/>
    <x v="4"/>
    <n v="2.145"/>
  </r>
  <r>
    <x v="0"/>
    <x v="0"/>
    <x v="0"/>
    <x v="8"/>
    <x v="3"/>
    <x v="4"/>
    <x v="5"/>
    <n v="2.145"/>
  </r>
  <r>
    <x v="0"/>
    <x v="0"/>
    <x v="0"/>
    <x v="8"/>
    <x v="3"/>
    <x v="4"/>
    <x v="6"/>
    <n v="2.145"/>
  </r>
  <r>
    <x v="0"/>
    <x v="0"/>
    <x v="0"/>
    <x v="8"/>
    <x v="3"/>
    <x v="4"/>
    <x v="7"/>
    <n v="2.145"/>
  </r>
  <r>
    <x v="0"/>
    <x v="0"/>
    <x v="0"/>
    <x v="8"/>
    <x v="3"/>
    <x v="4"/>
    <x v="8"/>
    <n v="2.145"/>
  </r>
  <r>
    <x v="0"/>
    <x v="0"/>
    <x v="0"/>
    <x v="8"/>
    <x v="3"/>
    <x v="4"/>
    <x v="9"/>
    <n v="2.145"/>
  </r>
  <r>
    <x v="0"/>
    <x v="0"/>
    <x v="0"/>
    <x v="8"/>
    <x v="3"/>
    <x v="4"/>
    <x v="10"/>
    <n v="2.145"/>
  </r>
  <r>
    <x v="0"/>
    <x v="0"/>
    <x v="0"/>
    <x v="8"/>
    <x v="3"/>
    <x v="4"/>
    <x v="11"/>
    <n v="2.145"/>
  </r>
  <r>
    <x v="0"/>
    <x v="0"/>
    <x v="0"/>
    <x v="8"/>
    <x v="3"/>
    <x v="5"/>
    <x v="0"/>
    <n v="2.145"/>
  </r>
  <r>
    <x v="0"/>
    <x v="0"/>
    <x v="0"/>
    <x v="8"/>
    <x v="3"/>
    <x v="5"/>
    <x v="1"/>
    <n v="2.145"/>
  </r>
  <r>
    <x v="0"/>
    <x v="0"/>
    <x v="0"/>
    <x v="8"/>
    <x v="3"/>
    <x v="5"/>
    <x v="2"/>
    <n v="2.145"/>
  </r>
  <r>
    <x v="0"/>
    <x v="0"/>
    <x v="0"/>
    <x v="8"/>
    <x v="3"/>
    <x v="5"/>
    <x v="3"/>
    <n v="2.145"/>
  </r>
  <r>
    <x v="0"/>
    <x v="0"/>
    <x v="0"/>
    <x v="8"/>
    <x v="3"/>
    <x v="5"/>
    <x v="4"/>
    <n v="2.145"/>
  </r>
  <r>
    <x v="0"/>
    <x v="0"/>
    <x v="0"/>
    <x v="8"/>
    <x v="3"/>
    <x v="5"/>
    <x v="5"/>
    <n v="2.145"/>
  </r>
  <r>
    <x v="0"/>
    <x v="0"/>
    <x v="0"/>
    <x v="8"/>
    <x v="3"/>
    <x v="5"/>
    <x v="6"/>
    <n v="2.145"/>
  </r>
  <r>
    <x v="0"/>
    <x v="0"/>
    <x v="0"/>
    <x v="8"/>
    <x v="3"/>
    <x v="5"/>
    <x v="7"/>
    <n v="2.145"/>
  </r>
  <r>
    <x v="0"/>
    <x v="0"/>
    <x v="0"/>
    <x v="8"/>
    <x v="3"/>
    <x v="5"/>
    <x v="8"/>
    <n v="2.145"/>
  </r>
  <r>
    <x v="0"/>
    <x v="0"/>
    <x v="0"/>
    <x v="8"/>
    <x v="3"/>
    <x v="5"/>
    <x v="9"/>
    <n v="2.145"/>
  </r>
  <r>
    <x v="0"/>
    <x v="0"/>
    <x v="0"/>
    <x v="8"/>
    <x v="3"/>
    <x v="5"/>
    <x v="10"/>
    <n v="2.145"/>
  </r>
  <r>
    <x v="0"/>
    <x v="0"/>
    <x v="0"/>
    <x v="8"/>
    <x v="3"/>
    <x v="5"/>
    <x v="11"/>
    <n v="2.145"/>
  </r>
  <r>
    <x v="0"/>
    <x v="0"/>
    <x v="0"/>
    <x v="8"/>
    <x v="3"/>
    <x v="6"/>
    <x v="0"/>
    <n v="2.145"/>
  </r>
  <r>
    <x v="0"/>
    <x v="0"/>
    <x v="0"/>
    <x v="8"/>
    <x v="3"/>
    <x v="6"/>
    <x v="1"/>
    <n v="2.145"/>
  </r>
  <r>
    <x v="0"/>
    <x v="0"/>
    <x v="0"/>
    <x v="8"/>
    <x v="3"/>
    <x v="6"/>
    <x v="2"/>
    <n v="2.145"/>
  </r>
  <r>
    <x v="0"/>
    <x v="0"/>
    <x v="0"/>
    <x v="8"/>
    <x v="3"/>
    <x v="6"/>
    <x v="3"/>
    <n v="2.145"/>
  </r>
  <r>
    <x v="0"/>
    <x v="0"/>
    <x v="0"/>
    <x v="8"/>
    <x v="3"/>
    <x v="6"/>
    <x v="4"/>
    <n v="2.145"/>
  </r>
  <r>
    <x v="0"/>
    <x v="0"/>
    <x v="0"/>
    <x v="8"/>
    <x v="3"/>
    <x v="6"/>
    <x v="5"/>
    <n v="2.145"/>
  </r>
  <r>
    <x v="0"/>
    <x v="0"/>
    <x v="0"/>
    <x v="8"/>
    <x v="3"/>
    <x v="6"/>
    <x v="6"/>
    <n v="2.145"/>
  </r>
  <r>
    <x v="0"/>
    <x v="0"/>
    <x v="0"/>
    <x v="8"/>
    <x v="3"/>
    <x v="6"/>
    <x v="7"/>
    <n v="2.145"/>
  </r>
  <r>
    <x v="0"/>
    <x v="0"/>
    <x v="0"/>
    <x v="8"/>
    <x v="3"/>
    <x v="6"/>
    <x v="8"/>
    <n v="2.145"/>
  </r>
  <r>
    <x v="0"/>
    <x v="0"/>
    <x v="0"/>
    <x v="8"/>
    <x v="3"/>
    <x v="6"/>
    <x v="9"/>
    <n v="2.145"/>
  </r>
  <r>
    <x v="0"/>
    <x v="0"/>
    <x v="0"/>
    <x v="8"/>
    <x v="3"/>
    <x v="6"/>
    <x v="10"/>
    <n v="2.145"/>
  </r>
  <r>
    <x v="0"/>
    <x v="0"/>
    <x v="0"/>
    <x v="8"/>
    <x v="3"/>
    <x v="6"/>
    <x v="11"/>
    <n v="2.145"/>
  </r>
  <r>
    <x v="0"/>
    <x v="0"/>
    <x v="0"/>
    <x v="8"/>
    <x v="3"/>
    <x v="7"/>
    <x v="0"/>
    <n v="2.145"/>
  </r>
  <r>
    <x v="0"/>
    <x v="0"/>
    <x v="0"/>
    <x v="8"/>
    <x v="3"/>
    <x v="7"/>
    <x v="1"/>
    <n v="2.145"/>
  </r>
  <r>
    <x v="0"/>
    <x v="0"/>
    <x v="0"/>
    <x v="8"/>
    <x v="3"/>
    <x v="7"/>
    <x v="2"/>
    <n v="2.145"/>
  </r>
  <r>
    <x v="0"/>
    <x v="0"/>
    <x v="0"/>
    <x v="8"/>
    <x v="3"/>
    <x v="7"/>
    <x v="3"/>
    <n v="2.145"/>
  </r>
  <r>
    <x v="0"/>
    <x v="0"/>
    <x v="0"/>
    <x v="8"/>
    <x v="3"/>
    <x v="7"/>
    <x v="4"/>
    <n v="2.145"/>
  </r>
  <r>
    <x v="0"/>
    <x v="0"/>
    <x v="0"/>
    <x v="8"/>
    <x v="3"/>
    <x v="7"/>
    <x v="5"/>
    <n v="2.145"/>
  </r>
  <r>
    <x v="0"/>
    <x v="0"/>
    <x v="0"/>
    <x v="8"/>
    <x v="3"/>
    <x v="7"/>
    <x v="6"/>
    <n v="2.145"/>
  </r>
  <r>
    <x v="0"/>
    <x v="0"/>
    <x v="0"/>
    <x v="8"/>
    <x v="3"/>
    <x v="7"/>
    <x v="7"/>
    <n v="2.145"/>
  </r>
  <r>
    <x v="0"/>
    <x v="0"/>
    <x v="0"/>
    <x v="8"/>
    <x v="3"/>
    <x v="7"/>
    <x v="8"/>
    <n v="2.145"/>
  </r>
  <r>
    <x v="0"/>
    <x v="0"/>
    <x v="0"/>
    <x v="8"/>
    <x v="3"/>
    <x v="7"/>
    <x v="9"/>
    <n v="2.145"/>
  </r>
  <r>
    <x v="0"/>
    <x v="0"/>
    <x v="0"/>
    <x v="8"/>
    <x v="3"/>
    <x v="7"/>
    <x v="10"/>
    <n v="2.145"/>
  </r>
  <r>
    <x v="0"/>
    <x v="0"/>
    <x v="0"/>
    <x v="8"/>
    <x v="3"/>
    <x v="7"/>
    <x v="11"/>
    <n v="2.145"/>
  </r>
  <r>
    <x v="0"/>
    <x v="0"/>
    <x v="0"/>
    <x v="8"/>
    <x v="3"/>
    <x v="8"/>
    <x v="0"/>
    <n v="2.145"/>
  </r>
  <r>
    <x v="0"/>
    <x v="0"/>
    <x v="0"/>
    <x v="8"/>
    <x v="3"/>
    <x v="8"/>
    <x v="1"/>
    <n v="2.145"/>
  </r>
  <r>
    <x v="0"/>
    <x v="0"/>
    <x v="0"/>
    <x v="8"/>
    <x v="3"/>
    <x v="8"/>
    <x v="2"/>
    <n v="2.145"/>
  </r>
  <r>
    <x v="0"/>
    <x v="0"/>
    <x v="0"/>
    <x v="8"/>
    <x v="3"/>
    <x v="8"/>
    <x v="3"/>
    <n v="2.145"/>
  </r>
  <r>
    <x v="0"/>
    <x v="0"/>
    <x v="0"/>
    <x v="8"/>
    <x v="3"/>
    <x v="8"/>
    <x v="4"/>
    <n v="2.145"/>
  </r>
  <r>
    <x v="0"/>
    <x v="0"/>
    <x v="0"/>
    <x v="8"/>
    <x v="3"/>
    <x v="8"/>
    <x v="5"/>
    <n v="2.145"/>
  </r>
  <r>
    <x v="0"/>
    <x v="0"/>
    <x v="0"/>
    <x v="8"/>
    <x v="3"/>
    <x v="8"/>
    <x v="6"/>
    <n v="2.145"/>
  </r>
  <r>
    <x v="0"/>
    <x v="0"/>
    <x v="0"/>
    <x v="8"/>
    <x v="3"/>
    <x v="8"/>
    <x v="7"/>
    <n v="2.145"/>
  </r>
  <r>
    <x v="0"/>
    <x v="0"/>
    <x v="0"/>
    <x v="8"/>
    <x v="3"/>
    <x v="8"/>
    <x v="8"/>
    <n v="2.145"/>
  </r>
  <r>
    <x v="0"/>
    <x v="0"/>
    <x v="0"/>
    <x v="8"/>
    <x v="3"/>
    <x v="8"/>
    <x v="9"/>
    <n v="2.145"/>
  </r>
  <r>
    <x v="0"/>
    <x v="0"/>
    <x v="0"/>
    <x v="8"/>
    <x v="3"/>
    <x v="8"/>
    <x v="10"/>
    <n v="2.145"/>
  </r>
  <r>
    <x v="0"/>
    <x v="0"/>
    <x v="0"/>
    <x v="8"/>
    <x v="3"/>
    <x v="8"/>
    <x v="11"/>
    <n v="2.145"/>
  </r>
  <r>
    <x v="0"/>
    <x v="0"/>
    <x v="0"/>
    <x v="8"/>
    <x v="3"/>
    <x v="9"/>
    <x v="0"/>
    <n v="2.145"/>
  </r>
  <r>
    <x v="0"/>
    <x v="0"/>
    <x v="0"/>
    <x v="8"/>
    <x v="3"/>
    <x v="9"/>
    <x v="1"/>
    <n v="2.145"/>
  </r>
  <r>
    <x v="0"/>
    <x v="0"/>
    <x v="0"/>
    <x v="8"/>
    <x v="3"/>
    <x v="9"/>
    <x v="2"/>
    <n v="2.145"/>
  </r>
  <r>
    <x v="0"/>
    <x v="0"/>
    <x v="0"/>
    <x v="8"/>
    <x v="3"/>
    <x v="9"/>
    <x v="3"/>
    <n v="2.145"/>
  </r>
  <r>
    <x v="0"/>
    <x v="0"/>
    <x v="0"/>
    <x v="8"/>
    <x v="3"/>
    <x v="9"/>
    <x v="4"/>
    <n v="2.145"/>
  </r>
  <r>
    <x v="0"/>
    <x v="0"/>
    <x v="0"/>
    <x v="8"/>
    <x v="3"/>
    <x v="9"/>
    <x v="5"/>
    <n v="2.145"/>
  </r>
  <r>
    <x v="0"/>
    <x v="0"/>
    <x v="0"/>
    <x v="8"/>
    <x v="3"/>
    <x v="9"/>
    <x v="6"/>
    <n v="2.145"/>
  </r>
  <r>
    <x v="0"/>
    <x v="0"/>
    <x v="0"/>
    <x v="8"/>
    <x v="3"/>
    <x v="9"/>
    <x v="7"/>
    <n v="2.145"/>
  </r>
  <r>
    <x v="0"/>
    <x v="0"/>
    <x v="0"/>
    <x v="8"/>
    <x v="3"/>
    <x v="9"/>
    <x v="8"/>
    <n v="2.145"/>
  </r>
  <r>
    <x v="0"/>
    <x v="0"/>
    <x v="0"/>
    <x v="8"/>
    <x v="3"/>
    <x v="9"/>
    <x v="9"/>
    <n v="2.145"/>
  </r>
  <r>
    <x v="0"/>
    <x v="0"/>
    <x v="0"/>
    <x v="8"/>
    <x v="3"/>
    <x v="9"/>
    <x v="10"/>
    <n v="2.145"/>
  </r>
  <r>
    <x v="0"/>
    <x v="0"/>
    <x v="0"/>
    <x v="8"/>
    <x v="3"/>
    <x v="9"/>
    <x v="11"/>
    <n v="2.145"/>
  </r>
  <r>
    <x v="0"/>
    <x v="0"/>
    <x v="0"/>
    <x v="8"/>
    <x v="3"/>
    <x v="10"/>
    <x v="0"/>
    <n v="2.145"/>
  </r>
  <r>
    <x v="0"/>
    <x v="0"/>
    <x v="0"/>
    <x v="8"/>
    <x v="3"/>
    <x v="10"/>
    <x v="1"/>
    <n v="2.145"/>
  </r>
  <r>
    <x v="0"/>
    <x v="0"/>
    <x v="0"/>
    <x v="8"/>
    <x v="3"/>
    <x v="10"/>
    <x v="2"/>
    <n v="2.145"/>
  </r>
  <r>
    <x v="0"/>
    <x v="0"/>
    <x v="0"/>
    <x v="8"/>
    <x v="3"/>
    <x v="10"/>
    <x v="3"/>
    <n v="2.145"/>
  </r>
  <r>
    <x v="0"/>
    <x v="0"/>
    <x v="0"/>
    <x v="8"/>
    <x v="3"/>
    <x v="10"/>
    <x v="4"/>
    <n v="2.145"/>
  </r>
  <r>
    <x v="0"/>
    <x v="0"/>
    <x v="0"/>
    <x v="8"/>
    <x v="3"/>
    <x v="10"/>
    <x v="5"/>
    <n v="2.145"/>
  </r>
  <r>
    <x v="0"/>
    <x v="0"/>
    <x v="0"/>
    <x v="8"/>
    <x v="3"/>
    <x v="10"/>
    <x v="6"/>
    <n v="2.145"/>
  </r>
  <r>
    <x v="0"/>
    <x v="0"/>
    <x v="0"/>
    <x v="8"/>
    <x v="3"/>
    <x v="10"/>
    <x v="7"/>
    <n v="2.145"/>
  </r>
  <r>
    <x v="0"/>
    <x v="0"/>
    <x v="0"/>
    <x v="8"/>
    <x v="3"/>
    <x v="10"/>
    <x v="8"/>
    <n v="2.145"/>
  </r>
  <r>
    <x v="0"/>
    <x v="0"/>
    <x v="0"/>
    <x v="8"/>
    <x v="3"/>
    <x v="10"/>
    <x v="9"/>
    <n v="2.145"/>
  </r>
  <r>
    <x v="0"/>
    <x v="0"/>
    <x v="0"/>
    <x v="8"/>
    <x v="3"/>
    <x v="10"/>
    <x v="10"/>
    <n v="2.145"/>
  </r>
  <r>
    <x v="0"/>
    <x v="0"/>
    <x v="0"/>
    <x v="8"/>
    <x v="3"/>
    <x v="10"/>
    <x v="11"/>
    <n v="2.145"/>
  </r>
  <r>
    <x v="0"/>
    <x v="0"/>
    <x v="0"/>
    <x v="8"/>
    <x v="3"/>
    <x v="11"/>
    <x v="0"/>
    <n v="2.145"/>
  </r>
  <r>
    <x v="0"/>
    <x v="0"/>
    <x v="0"/>
    <x v="8"/>
    <x v="3"/>
    <x v="11"/>
    <x v="1"/>
    <n v="2.145"/>
  </r>
  <r>
    <x v="0"/>
    <x v="0"/>
    <x v="0"/>
    <x v="8"/>
    <x v="3"/>
    <x v="11"/>
    <x v="2"/>
    <n v="2.145"/>
  </r>
  <r>
    <x v="0"/>
    <x v="0"/>
    <x v="0"/>
    <x v="8"/>
    <x v="3"/>
    <x v="11"/>
    <x v="3"/>
    <n v="2.145"/>
  </r>
  <r>
    <x v="0"/>
    <x v="0"/>
    <x v="0"/>
    <x v="8"/>
    <x v="3"/>
    <x v="11"/>
    <x v="4"/>
    <n v="2.145"/>
  </r>
  <r>
    <x v="0"/>
    <x v="0"/>
    <x v="0"/>
    <x v="8"/>
    <x v="3"/>
    <x v="11"/>
    <x v="5"/>
    <n v="2.145"/>
  </r>
  <r>
    <x v="0"/>
    <x v="0"/>
    <x v="0"/>
    <x v="8"/>
    <x v="3"/>
    <x v="11"/>
    <x v="6"/>
    <n v="2.145"/>
  </r>
  <r>
    <x v="0"/>
    <x v="0"/>
    <x v="0"/>
    <x v="8"/>
    <x v="3"/>
    <x v="11"/>
    <x v="7"/>
    <n v="2.145"/>
  </r>
  <r>
    <x v="0"/>
    <x v="0"/>
    <x v="0"/>
    <x v="8"/>
    <x v="3"/>
    <x v="11"/>
    <x v="8"/>
    <n v="2.145"/>
  </r>
  <r>
    <x v="0"/>
    <x v="0"/>
    <x v="0"/>
    <x v="8"/>
    <x v="3"/>
    <x v="11"/>
    <x v="9"/>
    <n v="2.145"/>
  </r>
  <r>
    <x v="0"/>
    <x v="0"/>
    <x v="0"/>
    <x v="8"/>
    <x v="3"/>
    <x v="11"/>
    <x v="10"/>
    <n v="2.145"/>
  </r>
  <r>
    <x v="0"/>
    <x v="0"/>
    <x v="0"/>
    <x v="8"/>
    <x v="3"/>
    <x v="11"/>
    <x v="11"/>
    <n v="2.145"/>
  </r>
  <r>
    <x v="0"/>
    <x v="0"/>
    <x v="0"/>
    <x v="9"/>
    <x v="4"/>
    <x v="0"/>
    <x v="0"/>
    <n v="0"/>
  </r>
  <r>
    <x v="0"/>
    <x v="0"/>
    <x v="0"/>
    <x v="9"/>
    <x v="4"/>
    <x v="0"/>
    <x v="1"/>
    <n v="0"/>
  </r>
  <r>
    <x v="0"/>
    <x v="0"/>
    <x v="0"/>
    <x v="9"/>
    <x v="4"/>
    <x v="0"/>
    <x v="2"/>
    <n v="0"/>
  </r>
  <r>
    <x v="0"/>
    <x v="0"/>
    <x v="0"/>
    <x v="9"/>
    <x v="4"/>
    <x v="0"/>
    <x v="3"/>
    <n v="0"/>
  </r>
  <r>
    <x v="0"/>
    <x v="0"/>
    <x v="0"/>
    <x v="9"/>
    <x v="4"/>
    <x v="0"/>
    <x v="4"/>
    <n v="0"/>
  </r>
  <r>
    <x v="0"/>
    <x v="0"/>
    <x v="0"/>
    <x v="9"/>
    <x v="4"/>
    <x v="0"/>
    <x v="5"/>
    <n v="0"/>
  </r>
  <r>
    <x v="0"/>
    <x v="0"/>
    <x v="0"/>
    <x v="9"/>
    <x v="4"/>
    <x v="0"/>
    <x v="6"/>
    <n v="0"/>
  </r>
  <r>
    <x v="0"/>
    <x v="0"/>
    <x v="0"/>
    <x v="9"/>
    <x v="4"/>
    <x v="0"/>
    <x v="7"/>
    <n v="0"/>
  </r>
  <r>
    <x v="0"/>
    <x v="0"/>
    <x v="0"/>
    <x v="9"/>
    <x v="4"/>
    <x v="0"/>
    <x v="8"/>
    <n v="0"/>
  </r>
  <r>
    <x v="0"/>
    <x v="0"/>
    <x v="0"/>
    <x v="9"/>
    <x v="4"/>
    <x v="0"/>
    <x v="9"/>
    <n v="0"/>
  </r>
  <r>
    <x v="0"/>
    <x v="0"/>
    <x v="0"/>
    <x v="9"/>
    <x v="4"/>
    <x v="0"/>
    <x v="10"/>
    <n v="0"/>
  </r>
  <r>
    <x v="0"/>
    <x v="0"/>
    <x v="0"/>
    <x v="9"/>
    <x v="4"/>
    <x v="0"/>
    <x v="11"/>
    <n v="0"/>
  </r>
  <r>
    <x v="0"/>
    <x v="0"/>
    <x v="0"/>
    <x v="9"/>
    <x v="4"/>
    <x v="1"/>
    <x v="0"/>
    <n v="0"/>
  </r>
  <r>
    <x v="0"/>
    <x v="0"/>
    <x v="0"/>
    <x v="9"/>
    <x v="4"/>
    <x v="1"/>
    <x v="1"/>
    <n v="0"/>
  </r>
  <r>
    <x v="0"/>
    <x v="0"/>
    <x v="0"/>
    <x v="9"/>
    <x v="4"/>
    <x v="1"/>
    <x v="2"/>
    <n v="0"/>
  </r>
  <r>
    <x v="0"/>
    <x v="0"/>
    <x v="0"/>
    <x v="9"/>
    <x v="4"/>
    <x v="1"/>
    <x v="3"/>
    <n v="0"/>
  </r>
  <r>
    <x v="0"/>
    <x v="0"/>
    <x v="0"/>
    <x v="9"/>
    <x v="4"/>
    <x v="1"/>
    <x v="4"/>
    <n v="0"/>
  </r>
  <r>
    <x v="0"/>
    <x v="0"/>
    <x v="0"/>
    <x v="9"/>
    <x v="4"/>
    <x v="1"/>
    <x v="5"/>
    <n v="0"/>
  </r>
  <r>
    <x v="0"/>
    <x v="0"/>
    <x v="0"/>
    <x v="9"/>
    <x v="4"/>
    <x v="1"/>
    <x v="6"/>
    <n v="0"/>
  </r>
  <r>
    <x v="0"/>
    <x v="0"/>
    <x v="0"/>
    <x v="9"/>
    <x v="4"/>
    <x v="1"/>
    <x v="7"/>
    <n v="0"/>
  </r>
  <r>
    <x v="0"/>
    <x v="0"/>
    <x v="0"/>
    <x v="9"/>
    <x v="4"/>
    <x v="1"/>
    <x v="8"/>
    <n v="0"/>
  </r>
  <r>
    <x v="0"/>
    <x v="0"/>
    <x v="0"/>
    <x v="9"/>
    <x v="4"/>
    <x v="1"/>
    <x v="9"/>
    <n v="0"/>
  </r>
  <r>
    <x v="0"/>
    <x v="0"/>
    <x v="0"/>
    <x v="9"/>
    <x v="4"/>
    <x v="1"/>
    <x v="10"/>
    <n v="0"/>
  </r>
  <r>
    <x v="0"/>
    <x v="0"/>
    <x v="0"/>
    <x v="9"/>
    <x v="4"/>
    <x v="1"/>
    <x v="11"/>
    <n v="0"/>
  </r>
  <r>
    <x v="0"/>
    <x v="0"/>
    <x v="0"/>
    <x v="9"/>
    <x v="4"/>
    <x v="2"/>
    <x v="0"/>
    <n v="0"/>
  </r>
  <r>
    <x v="0"/>
    <x v="0"/>
    <x v="0"/>
    <x v="9"/>
    <x v="4"/>
    <x v="2"/>
    <x v="1"/>
    <n v="0"/>
  </r>
  <r>
    <x v="0"/>
    <x v="0"/>
    <x v="0"/>
    <x v="9"/>
    <x v="4"/>
    <x v="2"/>
    <x v="2"/>
    <n v="0"/>
  </r>
  <r>
    <x v="0"/>
    <x v="0"/>
    <x v="0"/>
    <x v="9"/>
    <x v="4"/>
    <x v="2"/>
    <x v="3"/>
    <n v="0"/>
  </r>
  <r>
    <x v="0"/>
    <x v="0"/>
    <x v="0"/>
    <x v="9"/>
    <x v="4"/>
    <x v="2"/>
    <x v="4"/>
    <n v="0"/>
  </r>
  <r>
    <x v="0"/>
    <x v="0"/>
    <x v="0"/>
    <x v="9"/>
    <x v="4"/>
    <x v="2"/>
    <x v="5"/>
    <n v="0"/>
  </r>
  <r>
    <x v="0"/>
    <x v="0"/>
    <x v="0"/>
    <x v="9"/>
    <x v="4"/>
    <x v="2"/>
    <x v="6"/>
    <n v="0"/>
  </r>
  <r>
    <x v="0"/>
    <x v="0"/>
    <x v="0"/>
    <x v="9"/>
    <x v="4"/>
    <x v="2"/>
    <x v="7"/>
    <n v="0"/>
  </r>
  <r>
    <x v="0"/>
    <x v="0"/>
    <x v="0"/>
    <x v="9"/>
    <x v="4"/>
    <x v="2"/>
    <x v="8"/>
    <n v="0"/>
  </r>
  <r>
    <x v="0"/>
    <x v="0"/>
    <x v="0"/>
    <x v="9"/>
    <x v="4"/>
    <x v="2"/>
    <x v="9"/>
    <n v="0"/>
  </r>
  <r>
    <x v="0"/>
    <x v="0"/>
    <x v="0"/>
    <x v="9"/>
    <x v="4"/>
    <x v="2"/>
    <x v="10"/>
    <n v="0"/>
  </r>
  <r>
    <x v="0"/>
    <x v="0"/>
    <x v="0"/>
    <x v="9"/>
    <x v="4"/>
    <x v="2"/>
    <x v="11"/>
    <n v="0"/>
  </r>
  <r>
    <x v="0"/>
    <x v="0"/>
    <x v="0"/>
    <x v="9"/>
    <x v="4"/>
    <x v="3"/>
    <x v="0"/>
    <n v="0"/>
  </r>
  <r>
    <x v="0"/>
    <x v="0"/>
    <x v="0"/>
    <x v="9"/>
    <x v="4"/>
    <x v="3"/>
    <x v="1"/>
    <n v="0"/>
  </r>
  <r>
    <x v="0"/>
    <x v="0"/>
    <x v="0"/>
    <x v="9"/>
    <x v="4"/>
    <x v="3"/>
    <x v="2"/>
    <n v="0"/>
  </r>
  <r>
    <x v="0"/>
    <x v="0"/>
    <x v="0"/>
    <x v="9"/>
    <x v="4"/>
    <x v="3"/>
    <x v="3"/>
    <n v="0"/>
  </r>
  <r>
    <x v="0"/>
    <x v="0"/>
    <x v="0"/>
    <x v="9"/>
    <x v="4"/>
    <x v="3"/>
    <x v="4"/>
    <n v="0"/>
  </r>
  <r>
    <x v="0"/>
    <x v="0"/>
    <x v="0"/>
    <x v="9"/>
    <x v="4"/>
    <x v="3"/>
    <x v="5"/>
    <n v="0"/>
  </r>
  <r>
    <x v="0"/>
    <x v="0"/>
    <x v="0"/>
    <x v="9"/>
    <x v="4"/>
    <x v="3"/>
    <x v="6"/>
    <n v="0"/>
  </r>
  <r>
    <x v="0"/>
    <x v="0"/>
    <x v="0"/>
    <x v="9"/>
    <x v="4"/>
    <x v="3"/>
    <x v="7"/>
    <n v="0"/>
  </r>
  <r>
    <x v="0"/>
    <x v="0"/>
    <x v="0"/>
    <x v="9"/>
    <x v="4"/>
    <x v="3"/>
    <x v="8"/>
    <n v="0"/>
  </r>
  <r>
    <x v="0"/>
    <x v="0"/>
    <x v="0"/>
    <x v="9"/>
    <x v="4"/>
    <x v="3"/>
    <x v="9"/>
    <n v="-1"/>
  </r>
  <r>
    <x v="0"/>
    <x v="0"/>
    <x v="0"/>
    <x v="9"/>
    <x v="4"/>
    <x v="3"/>
    <x v="10"/>
    <n v="-1"/>
  </r>
  <r>
    <x v="0"/>
    <x v="0"/>
    <x v="0"/>
    <x v="9"/>
    <x v="4"/>
    <x v="3"/>
    <x v="11"/>
    <n v="-1"/>
  </r>
  <r>
    <x v="0"/>
    <x v="0"/>
    <x v="0"/>
    <x v="9"/>
    <x v="4"/>
    <x v="4"/>
    <x v="0"/>
    <n v="1"/>
  </r>
  <r>
    <x v="0"/>
    <x v="0"/>
    <x v="0"/>
    <x v="9"/>
    <x v="4"/>
    <x v="4"/>
    <x v="1"/>
    <n v="1"/>
  </r>
  <r>
    <x v="0"/>
    <x v="0"/>
    <x v="0"/>
    <x v="9"/>
    <x v="4"/>
    <x v="4"/>
    <x v="2"/>
    <n v="1"/>
  </r>
  <r>
    <x v="0"/>
    <x v="0"/>
    <x v="0"/>
    <x v="9"/>
    <x v="4"/>
    <x v="4"/>
    <x v="3"/>
    <n v="1"/>
  </r>
  <r>
    <x v="0"/>
    <x v="0"/>
    <x v="0"/>
    <x v="9"/>
    <x v="4"/>
    <x v="4"/>
    <x v="4"/>
    <n v="1"/>
  </r>
  <r>
    <x v="0"/>
    <x v="0"/>
    <x v="0"/>
    <x v="9"/>
    <x v="4"/>
    <x v="4"/>
    <x v="5"/>
    <n v="1"/>
  </r>
  <r>
    <x v="0"/>
    <x v="0"/>
    <x v="0"/>
    <x v="9"/>
    <x v="4"/>
    <x v="4"/>
    <x v="6"/>
    <n v="1"/>
  </r>
  <r>
    <x v="0"/>
    <x v="0"/>
    <x v="0"/>
    <x v="9"/>
    <x v="4"/>
    <x v="4"/>
    <x v="7"/>
    <n v="1"/>
  </r>
  <r>
    <x v="0"/>
    <x v="0"/>
    <x v="0"/>
    <x v="9"/>
    <x v="4"/>
    <x v="4"/>
    <x v="8"/>
    <n v="1"/>
  </r>
  <r>
    <x v="0"/>
    <x v="0"/>
    <x v="0"/>
    <x v="9"/>
    <x v="4"/>
    <x v="4"/>
    <x v="9"/>
    <n v="1"/>
  </r>
  <r>
    <x v="0"/>
    <x v="0"/>
    <x v="0"/>
    <x v="9"/>
    <x v="4"/>
    <x v="4"/>
    <x v="10"/>
    <n v="1"/>
  </r>
  <r>
    <x v="0"/>
    <x v="0"/>
    <x v="0"/>
    <x v="9"/>
    <x v="4"/>
    <x v="4"/>
    <x v="11"/>
    <n v="1"/>
  </r>
  <r>
    <x v="0"/>
    <x v="0"/>
    <x v="0"/>
    <x v="9"/>
    <x v="4"/>
    <x v="5"/>
    <x v="0"/>
    <n v="1"/>
  </r>
  <r>
    <x v="0"/>
    <x v="0"/>
    <x v="0"/>
    <x v="9"/>
    <x v="4"/>
    <x v="5"/>
    <x v="1"/>
    <n v="1"/>
  </r>
  <r>
    <x v="0"/>
    <x v="0"/>
    <x v="0"/>
    <x v="9"/>
    <x v="4"/>
    <x v="5"/>
    <x v="2"/>
    <n v="1"/>
  </r>
  <r>
    <x v="0"/>
    <x v="0"/>
    <x v="0"/>
    <x v="9"/>
    <x v="4"/>
    <x v="5"/>
    <x v="3"/>
    <n v="1"/>
  </r>
  <r>
    <x v="0"/>
    <x v="0"/>
    <x v="0"/>
    <x v="9"/>
    <x v="4"/>
    <x v="5"/>
    <x v="4"/>
    <n v="1"/>
  </r>
  <r>
    <x v="0"/>
    <x v="0"/>
    <x v="0"/>
    <x v="9"/>
    <x v="4"/>
    <x v="5"/>
    <x v="5"/>
    <n v="1"/>
  </r>
  <r>
    <x v="0"/>
    <x v="0"/>
    <x v="0"/>
    <x v="9"/>
    <x v="4"/>
    <x v="5"/>
    <x v="6"/>
    <n v="1"/>
  </r>
  <r>
    <x v="0"/>
    <x v="0"/>
    <x v="0"/>
    <x v="9"/>
    <x v="4"/>
    <x v="5"/>
    <x v="7"/>
    <n v="1"/>
  </r>
  <r>
    <x v="0"/>
    <x v="0"/>
    <x v="0"/>
    <x v="9"/>
    <x v="4"/>
    <x v="5"/>
    <x v="8"/>
    <n v="1"/>
  </r>
  <r>
    <x v="0"/>
    <x v="0"/>
    <x v="0"/>
    <x v="9"/>
    <x v="4"/>
    <x v="5"/>
    <x v="9"/>
    <n v="1"/>
  </r>
  <r>
    <x v="0"/>
    <x v="0"/>
    <x v="0"/>
    <x v="9"/>
    <x v="4"/>
    <x v="5"/>
    <x v="10"/>
    <n v="1"/>
  </r>
  <r>
    <x v="0"/>
    <x v="0"/>
    <x v="0"/>
    <x v="9"/>
    <x v="4"/>
    <x v="5"/>
    <x v="11"/>
    <n v="1"/>
  </r>
  <r>
    <x v="0"/>
    <x v="0"/>
    <x v="0"/>
    <x v="9"/>
    <x v="4"/>
    <x v="6"/>
    <x v="0"/>
    <n v="1"/>
  </r>
  <r>
    <x v="0"/>
    <x v="0"/>
    <x v="0"/>
    <x v="9"/>
    <x v="4"/>
    <x v="6"/>
    <x v="1"/>
    <n v="1"/>
  </r>
  <r>
    <x v="0"/>
    <x v="0"/>
    <x v="0"/>
    <x v="9"/>
    <x v="4"/>
    <x v="6"/>
    <x v="2"/>
    <n v="1"/>
  </r>
  <r>
    <x v="0"/>
    <x v="0"/>
    <x v="0"/>
    <x v="9"/>
    <x v="4"/>
    <x v="6"/>
    <x v="3"/>
    <n v="1"/>
  </r>
  <r>
    <x v="0"/>
    <x v="0"/>
    <x v="0"/>
    <x v="9"/>
    <x v="4"/>
    <x v="6"/>
    <x v="4"/>
    <n v="1"/>
  </r>
  <r>
    <x v="0"/>
    <x v="0"/>
    <x v="0"/>
    <x v="9"/>
    <x v="4"/>
    <x v="6"/>
    <x v="5"/>
    <n v="1"/>
  </r>
  <r>
    <x v="0"/>
    <x v="0"/>
    <x v="0"/>
    <x v="9"/>
    <x v="4"/>
    <x v="6"/>
    <x v="6"/>
    <n v="1"/>
  </r>
  <r>
    <x v="0"/>
    <x v="0"/>
    <x v="0"/>
    <x v="9"/>
    <x v="4"/>
    <x v="6"/>
    <x v="7"/>
    <n v="1"/>
  </r>
  <r>
    <x v="0"/>
    <x v="0"/>
    <x v="0"/>
    <x v="9"/>
    <x v="4"/>
    <x v="6"/>
    <x v="8"/>
    <n v="1"/>
  </r>
  <r>
    <x v="0"/>
    <x v="0"/>
    <x v="0"/>
    <x v="9"/>
    <x v="4"/>
    <x v="6"/>
    <x v="9"/>
    <n v="1"/>
  </r>
  <r>
    <x v="0"/>
    <x v="0"/>
    <x v="0"/>
    <x v="9"/>
    <x v="4"/>
    <x v="6"/>
    <x v="10"/>
    <n v="1"/>
  </r>
  <r>
    <x v="0"/>
    <x v="0"/>
    <x v="0"/>
    <x v="9"/>
    <x v="4"/>
    <x v="6"/>
    <x v="11"/>
    <n v="1"/>
  </r>
  <r>
    <x v="0"/>
    <x v="0"/>
    <x v="0"/>
    <x v="9"/>
    <x v="4"/>
    <x v="7"/>
    <x v="0"/>
    <n v="1"/>
  </r>
  <r>
    <x v="0"/>
    <x v="0"/>
    <x v="0"/>
    <x v="9"/>
    <x v="4"/>
    <x v="7"/>
    <x v="1"/>
    <n v="1"/>
  </r>
  <r>
    <x v="0"/>
    <x v="0"/>
    <x v="0"/>
    <x v="9"/>
    <x v="4"/>
    <x v="7"/>
    <x v="2"/>
    <n v="1"/>
  </r>
  <r>
    <x v="0"/>
    <x v="0"/>
    <x v="0"/>
    <x v="9"/>
    <x v="4"/>
    <x v="7"/>
    <x v="3"/>
    <n v="1"/>
  </r>
  <r>
    <x v="0"/>
    <x v="0"/>
    <x v="0"/>
    <x v="9"/>
    <x v="4"/>
    <x v="7"/>
    <x v="4"/>
    <n v="1"/>
  </r>
  <r>
    <x v="0"/>
    <x v="0"/>
    <x v="0"/>
    <x v="9"/>
    <x v="4"/>
    <x v="7"/>
    <x v="5"/>
    <n v="1"/>
  </r>
  <r>
    <x v="0"/>
    <x v="0"/>
    <x v="0"/>
    <x v="9"/>
    <x v="4"/>
    <x v="7"/>
    <x v="6"/>
    <n v="1"/>
  </r>
  <r>
    <x v="0"/>
    <x v="0"/>
    <x v="0"/>
    <x v="9"/>
    <x v="4"/>
    <x v="7"/>
    <x v="7"/>
    <n v="1"/>
  </r>
  <r>
    <x v="0"/>
    <x v="0"/>
    <x v="0"/>
    <x v="9"/>
    <x v="4"/>
    <x v="7"/>
    <x v="8"/>
    <n v="1"/>
  </r>
  <r>
    <x v="0"/>
    <x v="0"/>
    <x v="0"/>
    <x v="9"/>
    <x v="4"/>
    <x v="7"/>
    <x v="9"/>
    <n v="1"/>
  </r>
  <r>
    <x v="0"/>
    <x v="0"/>
    <x v="0"/>
    <x v="9"/>
    <x v="4"/>
    <x v="7"/>
    <x v="10"/>
    <n v="1"/>
  </r>
  <r>
    <x v="0"/>
    <x v="0"/>
    <x v="0"/>
    <x v="9"/>
    <x v="4"/>
    <x v="7"/>
    <x v="11"/>
    <n v="1"/>
  </r>
  <r>
    <x v="0"/>
    <x v="0"/>
    <x v="0"/>
    <x v="9"/>
    <x v="4"/>
    <x v="8"/>
    <x v="0"/>
    <n v="1"/>
  </r>
  <r>
    <x v="0"/>
    <x v="0"/>
    <x v="0"/>
    <x v="9"/>
    <x v="4"/>
    <x v="8"/>
    <x v="1"/>
    <n v="1"/>
  </r>
  <r>
    <x v="0"/>
    <x v="0"/>
    <x v="0"/>
    <x v="9"/>
    <x v="4"/>
    <x v="8"/>
    <x v="2"/>
    <n v="1"/>
  </r>
  <r>
    <x v="0"/>
    <x v="0"/>
    <x v="0"/>
    <x v="9"/>
    <x v="4"/>
    <x v="8"/>
    <x v="3"/>
    <n v="1"/>
  </r>
  <r>
    <x v="0"/>
    <x v="0"/>
    <x v="0"/>
    <x v="9"/>
    <x v="4"/>
    <x v="8"/>
    <x v="4"/>
    <n v="1"/>
  </r>
  <r>
    <x v="0"/>
    <x v="0"/>
    <x v="0"/>
    <x v="9"/>
    <x v="4"/>
    <x v="8"/>
    <x v="5"/>
    <n v="1"/>
  </r>
  <r>
    <x v="0"/>
    <x v="0"/>
    <x v="0"/>
    <x v="9"/>
    <x v="4"/>
    <x v="8"/>
    <x v="6"/>
    <n v="1"/>
  </r>
  <r>
    <x v="0"/>
    <x v="0"/>
    <x v="0"/>
    <x v="9"/>
    <x v="4"/>
    <x v="8"/>
    <x v="7"/>
    <n v="1"/>
  </r>
  <r>
    <x v="0"/>
    <x v="0"/>
    <x v="0"/>
    <x v="9"/>
    <x v="4"/>
    <x v="8"/>
    <x v="8"/>
    <n v="1"/>
  </r>
  <r>
    <x v="0"/>
    <x v="0"/>
    <x v="0"/>
    <x v="9"/>
    <x v="4"/>
    <x v="8"/>
    <x v="9"/>
    <n v="1"/>
  </r>
  <r>
    <x v="0"/>
    <x v="0"/>
    <x v="0"/>
    <x v="9"/>
    <x v="4"/>
    <x v="8"/>
    <x v="10"/>
    <n v="1"/>
  </r>
  <r>
    <x v="0"/>
    <x v="0"/>
    <x v="0"/>
    <x v="9"/>
    <x v="4"/>
    <x v="8"/>
    <x v="11"/>
    <n v="1"/>
  </r>
  <r>
    <x v="0"/>
    <x v="0"/>
    <x v="0"/>
    <x v="9"/>
    <x v="4"/>
    <x v="9"/>
    <x v="0"/>
    <n v="1"/>
  </r>
  <r>
    <x v="0"/>
    <x v="0"/>
    <x v="0"/>
    <x v="9"/>
    <x v="4"/>
    <x v="9"/>
    <x v="1"/>
    <n v="1"/>
  </r>
  <r>
    <x v="0"/>
    <x v="0"/>
    <x v="0"/>
    <x v="9"/>
    <x v="4"/>
    <x v="9"/>
    <x v="2"/>
    <n v="1"/>
  </r>
  <r>
    <x v="0"/>
    <x v="0"/>
    <x v="0"/>
    <x v="9"/>
    <x v="4"/>
    <x v="9"/>
    <x v="3"/>
    <n v="1"/>
  </r>
  <r>
    <x v="0"/>
    <x v="0"/>
    <x v="0"/>
    <x v="9"/>
    <x v="4"/>
    <x v="9"/>
    <x v="4"/>
    <n v="1"/>
  </r>
  <r>
    <x v="0"/>
    <x v="0"/>
    <x v="0"/>
    <x v="9"/>
    <x v="4"/>
    <x v="9"/>
    <x v="5"/>
    <n v="1"/>
  </r>
  <r>
    <x v="0"/>
    <x v="0"/>
    <x v="0"/>
    <x v="9"/>
    <x v="4"/>
    <x v="9"/>
    <x v="6"/>
    <n v="1"/>
  </r>
  <r>
    <x v="0"/>
    <x v="0"/>
    <x v="0"/>
    <x v="9"/>
    <x v="4"/>
    <x v="9"/>
    <x v="7"/>
    <n v="1"/>
  </r>
  <r>
    <x v="0"/>
    <x v="0"/>
    <x v="0"/>
    <x v="9"/>
    <x v="4"/>
    <x v="9"/>
    <x v="8"/>
    <n v="1"/>
  </r>
  <r>
    <x v="0"/>
    <x v="0"/>
    <x v="0"/>
    <x v="9"/>
    <x v="4"/>
    <x v="9"/>
    <x v="9"/>
    <n v="1"/>
  </r>
  <r>
    <x v="0"/>
    <x v="0"/>
    <x v="0"/>
    <x v="9"/>
    <x v="4"/>
    <x v="9"/>
    <x v="10"/>
    <n v="1"/>
  </r>
  <r>
    <x v="0"/>
    <x v="0"/>
    <x v="0"/>
    <x v="9"/>
    <x v="4"/>
    <x v="9"/>
    <x v="11"/>
    <n v="1"/>
  </r>
  <r>
    <x v="0"/>
    <x v="0"/>
    <x v="0"/>
    <x v="9"/>
    <x v="4"/>
    <x v="10"/>
    <x v="0"/>
    <n v="1"/>
  </r>
  <r>
    <x v="0"/>
    <x v="0"/>
    <x v="0"/>
    <x v="9"/>
    <x v="4"/>
    <x v="10"/>
    <x v="1"/>
    <n v="1"/>
  </r>
  <r>
    <x v="0"/>
    <x v="0"/>
    <x v="0"/>
    <x v="9"/>
    <x v="4"/>
    <x v="10"/>
    <x v="2"/>
    <n v="1"/>
  </r>
  <r>
    <x v="0"/>
    <x v="0"/>
    <x v="0"/>
    <x v="9"/>
    <x v="4"/>
    <x v="10"/>
    <x v="3"/>
    <n v="1"/>
  </r>
  <r>
    <x v="0"/>
    <x v="0"/>
    <x v="0"/>
    <x v="9"/>
    <x v="4"/>
    <x v="10"/>
    <x v="4"/>
    <n v="1"/>
  </r>
  <r>
    <x v="0"/>
    <x v="0"/>
    <x v="0"/>
    <x v="9"/>
    <x v="4"/>
    <x v="10"/>
    <x v="5"/>
    <n v="1"/>
  </r>
  <r>
    <x v="0"/>
    <x v="0"/>
    <x v="0"/>
    <x v="9"/>
    <x v="4"/>
    <x v="10"/>
    <x v="6"/>
    <n v="1"/>
  </r>
  <r>
    <x v="0"/>
    <x v="0"/>
    <x v="0"/>
    <x v="9"/>
    <x v="4"/>
    <x v="10"/>
    <x v="7"/>
    <n v="1"/>
  </r>
  <r>
    <x v="0"/>
    <x v="0"/>
    <x v="0"/>
    <x v="9"/>
    <x v="4"/>
    <x v="10"/>
    <x v="8"/>
    <n v="1"/>
  </r>
  <r>
    <x v="0"/>
    <x v="0"/>
    <x v="0"/>
    <x v="9"/>
    <x v="4"/>
    <x v="10"/>
    <x v="9"/>
    <n v="1"/>
  </r>
  <r>
    <x v="0"/>
    <x v="0"/>
    <x v="0"/>
    <x v="9"/>
    <x v="4"/>
    <x v="10"/>
    <x v="10"/>
    <n v="1"/>
  </r>
  <r>
    <x v="0"/>
    <x v="0"/>
    <x v="0"/>
    <x v="9"/>
    <x v="4"/>
    <x v="10"/>
    <x v="11"/>
    <n v="1"/>
  </r>
  <r>
    <x v="0"/>
    <x v="0"/>
    <x v="0"/>
    <x v="9"/>
    <x v="4"/>
    <x v="11"/>
    <x v="0"/>
    <n v="1"/>
  </r>
  <r>
    <x v="0"/>
    <x v="0"/>
    <x v="0"/>
    <x v="9"/>
    <x v="4"/>
    <x v="11"/>
    <x v="1"/>
    <n v="1"/>
  </r>
  <r>
    <x v="0"/>
    <x v="0"/>
    <x v="0"/>
    <x v="9"/>
    <x v="4"/>
    <x v="11"/>
    <x v="2"/>
    <n v="1"/>
  </r>
  <r>
    <x v="0"/>
    <x v="0"/>
    <x v="0"/>
    <x v="9"/>
    <x v="4"/>
    <x v="11"/>
    <x v="3"/>
    <n v="1"/>
  </r>
  <r>
    <x v="0"/>
    <x v="0"/>
    <x v="0"/>
    <x v="9"/>
    <x v="4"/>
    <x v="11"/>
    <x v="4"/>
    <n v="1"/>
  </r>
  <r>
    <x v="0"/>
    <x v="0"/>
    <x v="0"/>
    <x v="9"/>
    <x v="4"/>
    <x v="11"/>
    <x v="5"/>
    <n v="1"/>
  </r>
  <r>
    <x v="0"/>
    <x v="0"/>
    <x v="0"/>
    <x v="9"/>
    <x v="4"/>
    <x v="11"/>
    <x v="6"/>
    <n v="1"/>
  </r>
  <r>
    <x v="0"/>
    <x v="0"/>
    <x v="0"/>
    <x v="9"/>
    <x v="4"/>
    <x v="11"/>
    <x v="7"/>
    <n v="1"/>
  </r>
  <r>
    <x v="0"/>
    <x v="0"/>
    <x v="0"/>
    <x v="9"/>
    <x v="4"/>
    <x v="11"/>
    <x v="8"/>
    <n v="1"/>
  </r>
  <r>
    <x v="0"/>
    <x v="0"/>
    <x v="0"/>
    <x v="9"/>
    <x v="4"/>
    <x v="11"/>
    <x v="9"/>
    <n v="1"/>
  </r>
  <r>
    <x v="0"/>
    <x v="0"/>
    <x v="0"/>
    <x v="9"/>
    <x v="4"/>
    <x v="11"/>
    <x v="10"/>
    <n v="1"/>
  </r>
  <r>
    <x v="0"/>
    <x v="0"/>
    <x v="0"/>
    <x v="9"/>
    <x v="4"/>
    <x v="11"/>
    <x v="11"/>
    <n v="1"/>
  </r>
  <r>
    <x v="0"/>
    <x v="0"/>
    <x v="0"/>
    <x v="9"/>
    <x v="10"/>
    <x v="0"/>
    <x v="0"/>
    <n v="0.7"/>
  </r>
  <r>
    <x v="0"/>
    <x v="0"/>
    <x v="0"/>
    <x v="9"/>
    <x v="10"/>
    <x v="0"/>
    <x v="1"/>
    <n v="0.7"/>
  </r>
  <r>
    <x v="0"/>
    <x v="0"/>
    <x v="0"/>
    <x v="9"/>
    <x v="10"/>
    <x v="0"/>
    <x v="2"/>
    <n v="0.7"/>
  </r>
  <r>
    <x v="0"/>
    <x v="0"/>
    <x v="0"/>
    <x v="9"/>
    <x v="10"/>
    <x v="0"/>
    <x v="3"/>
    <n v="0.7"/>
  </r>
  <r>
    <x v="0"/>
    <x v="0"/>
    <x v="0"/>
    <x v="9"/>
    <x v="10"/>
    <x v="0"/>
    <x v="4"/>
    <n v="0.7"/>
  </r>
  <r>
    <x v="0"/>
    <x v="0"/>
    <x v="0"/>
    <x v="9"/>
    <x v="10"/>
    <x v="0"/>
    <x v="5"/>
    <n v="0.7"/>
  </r>
  <r>
    <x v="0"/>
    <x v="0"/>
    <x v="0"/>
    <x v="9"/>
    <x v="10"/>
    <x v="0"/>
    <x v="6"/>
    <n v="0.7"/>
  </r>
  <r>
    <x v="0"/>
    <x v="0"/>
    <x v="0"/>
    <x v="9"/>
    <x v="10"/>
    <x v="0"/>
    <x v="7"/>
    <n v="0.7"/>
  </r>
  <r>
    <x v="0"/>
    <x v="0"/>
    <x v="0"/>
    <x v="9"/>
    <x v="10"/>
    <x v="0"/>
    <x v="8"/>
    <n v="0.7"/>
  </r>
  <r>
    <x v="0"/>
    <x v="0"/>
    <x v="0"/>
    <x v="9"/>
    <x v="10"/>
    <x v="0"/>
    <x v="9"/>
    <n v="0.7"/>
  </r>
  <r>
    <x v="0"/>
    <x v="0"/>
    <x v="0"/>
    <x v="9"/>
    <x v="10"/>
    <x v="0"/>
    <x v="10"/>
    <n v="0.7"/>
  </r>
  <r>
    <x v="0"/>
    <x v="0"/>
    <x v="0"/>
    <x v="9"/>
    <x v="10"/>
    <x v="0"/>
    <x v="11"/>
    <n v="0.7"/>
  </r>
  <r>
    <x v="0"/>
    <x v="0"/>
    <x v="0"/>
    <x v="9"/>
    <x v="10"/>
    <x v="1"/>
    <x v="0"/>
    <n v="0.7"/>
  </r>
  <r>
    <x v="0"/>
    <x v="0"/>
    <x v="0"/>
    <x v="9"/>
    <x v="10"/>
    <x v="1"/>
    <x v="1"/>
    <n v="0.7"/>
  </r>
  <r>
    <x v="0"/>
    <x v="0"/>
    <x v="0"/>
    <x v="9"/>
    <x v="10"/>
    <x v="1"/>
    <x v="2"/>
    <n v="0.7"/>
  </r>
  <r>
    <x v="0"/>
    <x v="0"/>
    <x v="0"/>
    <x v="9"/>
    <x v="10"/>
    <x v="1"/>
    <x v="3"/>
    <n v="0.7"/>
  </r>
  <r>
    <x v="0"/>
    <x v="0"/>
    <x v="0"/>
    <x v="9"/>
    <x v="10"/>
    <x v="1"/>
    <x v="4"/>
    <n v="0.7"/>
  </r>
  <r>
    <x v="0"/>
    <x v="0"/>
    <x v="0"/>
    <x v="9"/>
    <x v="10"/>
    <x v="1"/>
    <x v="5"/>
    <n v="0.7"/>
  </r>
  <r>
    <x v="0"/>
    <x v="0"/>
    <x v="0"/>
    <x v="9"/>
    <x v="10"/>
    <x v="1"/>
    <x v="6"/>
    <n v="0.7"/>
  </r>
  <r>
    <x v="0"/>
    <x v="0"/>
    <x v="0"/>
    <x v="9"/>
    <x v="10"/>
    <x v="1"/>
    <x v="7"/>
    <n v="0.7"/>
  </r>
  <r>
    <x v="0"/>
    <x v="0"/>
    <x v="0"/>
    <x v="9"/>
    <x v="10"/>
    <x v="1"/>
    <x v="8"/>
    <n v="0.7"/>
  </r>
  <r>
    <x v="0"/>
    <x v="0"/>
    <x v="0"/>
    <x v="9"/>
    <x v="10"/>
    <x v="1"/>
    <x v="9"/>
    <n v="0.7"/>
  </r>
  <r>
    <x v="0"/>
    <x v="0"/>
    <x v="0"/>
    <x v="9"/>
    <x v="10"/>
    <x v="1"/>
    <x v="10"/>
    <n v="0.7"/>
  </r>
  <r>
    <x v="0"/>
    <x v="0"/>
    <x v="0"/>
    <x v="9"/>
    <x v="10"/>
    <x v="1"/>
    <x v="11"/>
    <n v="0.7"/>
  </r>
  <r>
    <x v="0"/>
    <x v="0"/>
    <x v="0"/>
    <x v="9"/>
    <x v="10"/>
    <x v="2"/>
    <x v="0"/>
    <n v="0.7"/>
  </r>
  <r>
    <x v="0"/>
    <x v="0"/>
    <x v="0"/>
    <x v="9"/>
    <x v="10"/>
    <x v="2"/>
    <x v="1"/>
    <n v="0.7"/>
  </r>
  <r>
    <x v="0"/>
    <x v="0"/>
    <x v="0"/>
    <x v="9"/>
    <x v="10"/>
    <x v="2"/>
    <x v="2"/>
    <n v="0.7"/>
  </r>
  <r>
    <x v="0"/>
    <x v="0"/>
    <x v="0"/>
    <x v="9"/>
    <x v="10"/>
    <x v="2"/>
    <x v="3"/>
    <n v="0.7"/>
  </r>
  <r>
    <x v="0"/>
    <x v="0"/>
    <x v="0"/>
    <x v="9"/>
    <x v="10"/>
    <x v="2"/>
    <x v="4"/>
    <n v="0.7"/>
  </r>
  <r>
    <x v="0"/>
    <x v="0"/>
    <x v="0"/>
    <x v="9"/>
    <x v="10"/>
    <x v="2"/>
    <x v="5"/>
    <n v="0.7"/>
  </r>
  <r>
    <x v="0"/>
    <x v="0"/>
    <x v="0"/>
    <x v="9"/>
    <x v="10"/>
    <x v="2"/>
    <x v="6"/>
    <n v="0.7"/>
  </r>
  <r>
    <x v="0"/>
    <x v="0"/>
    <x v="0"/>
    <x v="9"/>
    <x v="10"/>
    <x v="2"/>
    <x v="7"/>
    <n v="0.7"/>
  </r>
  <r>
    <x v="0"/>
    <x v="0"/>
    <x v="0"/>
    <x v="9"/>
    <x v="10"/>
    <x v="2"/>
    <x v="8"/>
    <n v="0.7"/>
  </r>
  <r>
    <x v="0"/>
    <x v="0"/>
    <x v="0"/>
    <x v="9"/>
    <x v="10"/>
    <x v="2"/>
    <x v="9"/>
    <n v="0.7"/>
  </r>
  <r>
    <x v="0"/>
    <x v="0"/>
    <x v="0"/>
    <x v="9"/>
    <x v="10"/>
    <x v="2"/>
    <x v="10"/>
    <n v="0.7"/>
  </r>
  <r>
    <x v="0"/>
    <x v="0"/>
    <x v="0"/>
    <x v="9"/>
    <x v="10"/>
    <x v="2"/>
    <x v="11"/>
    <n v="0.7"/>
  </r>
  <r>
    <x v="0"/>
    <x v="0"/>
    <x v="0"/>
    <x v="9"/>
    <x v="10"/>
    <x v="3"/>
    <x v="0"/>
    <n v="0.7"/>
  </r>
  <r>
    <x v="0"/>
    <x v="0"/>
    <x v="0"/>
    <x v="9"/>
    <x v="10"/>
    <x v="3"/>
    <x v="1"/>
    <n v="0.7"/>
  </r>
  <r>
    <x v="0"/>
    <x v="0"/>
    <x v="0"/>
    <x v="9"/>
    <x v="10"/>
    <x v="3"/>
    <x v="2"/>
    <n v="0.7"/>
  </r>
  <r>
    <x v="0"/>
    <x v="0"/>
    <x v="0"/>
    <x v="9"/>
    <x v="10"/>
    <x v="3"/>
    <x v="3"/>
    <n v="0.7"/>
  </r>
  <r>
    <x v="0"/>
    <x v="0"/>
    <x v="0"/>
    <x v="9"/>
    <x v="10"/>
    <x v="3"/>
    <x v="4"/>
    <n v="0.7"/>
  </r>
  <r>
    <x v="0"/>
    <x v="0"/>
    <x v="0"/>
    <x v="9"/>
    <x v="10"/>
    <x v="3"/>
    <x v="5"/>
    <n v="0.7"/>
  </r>
  <r>
    <x v="0"/>
    <x v="0"/>
    <x v="0"/>
    <x v="9"/>
    <x v="10"/>
    <x v="3"/>
    <x v="6"/>
    <n v="0.7"/>
  </r>
  <r>
    <x v="0"/>
    <x v="0"/>
    <x v="0"/>
    <x v="9"/>
    <x v="10"/>
    <x v="3"/>
    <x v="7"/>
    <n v="0.7"/>
  </r>
  <r>
    <x v="0"/>
    <x v="0"/>
    <x v="0"/>
    <x v="9"/>
    <x v="10"/>
    <x v="3"/>
    <x v="8"/>
    <n v="0.7"/>
  </r>
  <r>
    <x v="0"/>
    <x v="0"/>
    <x v="0"/>
    <x v="9"/>
    <x v="10"/>
    <x v="3"/>
    <x v="9"/>
    <n v="0.7"/>
  </r>
  <r>
    <x v="0"/>
    <x v="0"/>
    <x v="0"/>
    <x v="9"/>
    <x v="10"/>
    <x v="3"/>
    <x v="10"/>
    <n v="0.7"/>
  </r>
  <r>
    <x v="0"/>
    <x v="0"/>
    <x v="0"/>
    <x v="9"/>
    <x v="10"/>
    <x v="3"/>
    <x v="11"/>
    <n v="0.7"/>
  </r>
  <r>
    <x v="0"/>
    <x v="0"/>
    <x v="0"/>
    <x v="9"/>
    <x v="10"/>
    <x v="4"/>
    <x v="0"/>
    <n v="0.7"/>
  </r>
  <r>
    <x v="0"/>
    <x v="0"/>
    <x v="0"/>
    <x v="9"/>
    <x v="10"/>
    <x v="4"/>
    <x v="1"/>
    <n v="0.7"/>
  </r>
  <r>
    <x v="0"/>
    <x v="0"/>
    <x v="0"/>
    <x v="9"/>
    <x v="10"/>
    <x v="4"/>
    <x v="2"/>
    <n v="0.7"/>
  </r>
  <r>
    <x v="0"/>
    <x v="0"/>
    <x v="0"/>
    <x v="9"/>
    <x v="10"/>
    <x v="4"/>
    <x v="3"/>
    <n v="0.7"/>
  </r>
  <r>
    <x v="0"/>
    <x v="0"/>
    <x v="0"/>
    <x v="9"/>
    <x v="10"/>
    <x v="4"/>
    <x v="4"/>
    <n v="0.7"/>
  </r>
  <r>
    <x v="0"/>
    <x v="0"/>
    <x v="0"/>
    <x v="9"/>
    <x v="10"/>
    <x v="4"/>
    <x v="5"/>
    <n v="0.7"/>
  </r>
  <r>
    <x v="0"/>
    <x v="0"/>
    <x v="0"/>
    <x v="9"/>
    <x v="10"/>
    <x v="4"/>
    <x v="6"/>
    <n v="0.7"/>
  </r>
  <r>
    <x v="0"/>
    <x v="0"/>
    <x v="0"/>
    <x v="9"/>
    <x v="10"/>
    <x v="4"/>
    <x v="7"/>
    <n v="0.7"/>
  </r>
  <r>
    <x v="0"/>
    <x v="0"/>
    <x v="0"/>
    <x v="9"/>
    <x v="10"/>
    <x v="4"/>
    <x v="8"/>
    <n v="0.7"/>
  </r>
  <r>
    <x v="0"/>
    <x v="0"/>
    <x v="0"/>
    <x v="9"/>
    <x v="10"/>
    <x v="4"/>
    <x v="9"/>
    <n v="0.7"/>
  </r>
  <r>
    <x v="0"/>
    <x v="0"/>
    <x v="0"/>
    <x v="9"/>
    <x v="10"/>
    <x v="4"/>
    <x v="10"/>
    <n v="0.7"/>
  </r>
  <r>
    <x v="0"/>
    <x v="0"/>
    <x v="0"/>
    <x v="9"/>
    <x v="10"/>
    <x v="4"/>
    <x v="11"/>
    <n v="0.7"/>
  </r>
  <r>
    <x v="0"/>
    <x v="0"/>
    <x v="0"/>
    <x v="9"/>
    <x v="10"/>
    <x v="5"/>
    <x v="0"/>
    <n v="0.7"/>
  </r>
  <r>
    <x v="0"/>
    <x v="0"/>
    <x v="0"/>
    <x v="9"/>
    <x v="10"/>
    <x v="5"/>
    <x v="1"/>
    <n v="0.7"/>
  </r>
  <r>
    <x v="0"/>
    <x v="0"/>
    <x v="0"/>
    <x v="9"/>
    <x v="10"/>
    <x v="5"/>
    <x v="2"/>
    <n v="0.7"/>
  </r>
  <r>
    <x v="0"/>
    <x v="0"/>
    <x v="0"/>
    <x v="9"/>
    <x v="10"/>
    <x v="5"/>
    <x v="3"/>
    <n v="0.7"/>
  </r>
  <r>
    <x v="0"/>
    <x v="0"/>
    <x v="0"/>
    <x v="9"/>
    <x v="10"/>
    <x v="5"/>
    <x v="4"/>
    <n v="0.7"/>
  </r>
  <r>
    <x v="0"/>
    <x v="0"/>
    <x v="0"/>
    <x v="9"/>
    <x v="10"/>
    <x v="5"/>
    <x v="5"/>
    <n v="0.7"/>
  </r>
  <r>
    <x v="0"/>
    <x v="0"/>
    <x v="0"/>
    <x v="9"/>
    <x v="10"/>
    <x v="5"/>
    <x v="6"/>
    <n v="0.7"/>
  </r>
  <r>
    <x v="0"/>
    <x v="0"/>
    <x v="0"/>
    <x v="9"/>
    <x v="10"/>
    <x v="5"/>
    <x v="7"/>
    <n v="0.7"/>
  </r>
  <r>
    <x v="0"/>
    <x v="0"/>
    <x v="0"/>
    <x v="9"/>
    <x v="10"/>
    <x v="5"/>
    <x v="8"/>
    <n v="0.7"/>
  </r>
  <r>
    <x v="0"/>
    <x v="0"/>
    <x v="0"/>
    <x v="9"/>
    <x v="10"/>
    <x v="5"/>
    <x v="9"/>
    <n v="0.7"/>
  </r>
  <r>
    <x v="0"/>
    <x v="0"/>
    <x v="0"/>
    <x v="9"/>
    <x v="10"/>
    <x v="5"/>
    <x v="10"/>
    <n v="0.7"/>
  </r>
  <r>
    <x v="0"/>
    <x v="0"/>
    <x v="0"/>
    <x v="9"/>
    <x v="10"/>
    <x v="5"/>
    <x v="11"/>
    <n v="0.7"/>
  </r>
  <r>
    <x v="0"/>
    <x v="0"/>
    <x v="0"/>
    <x v="9"/>
    <x v="10"/>
    <x v="6"/>
    <x v="0"/>
    <n v="0.7"/>
  </r>
  <r>
    <x v="0"/>
    <x v="0"/>
    <x v="0"/>
    <x v="9"/>
    <x v="10"/>
    <x v="6"/>
    <x v="1"/>
    <n v="0.7"/>
  </r>
  <r>
    <x v="0"/>
    <x v="0"/>
    <x v="0"/>
    <x v="9"/>
    <x v="10"/>
    <x v="6"/>
    <x v="2"/>
    <n v="0.7"/>
  </r>
  <r>
    <x v="0"/>
    <x v="0"/>
    <x v="0"/>
    <x v="9"/>
    <x v="10"/>
    <x v="6"/>
    <x v="3"/>
    <n v="0.7"/>
  </r>
  <r>
    <x v="0"/>
    <x v="0"/>
    <x v="0"/>
    <x v="9"/>
    <x v="10"/>
    <x v="6"/>
    <x v="4"/>
    <n v="0.7"/>
  </r>
  <r>
    <x v="0"/>
    <x v="0"/>
    <x v="0"/>
    <x v="9"/>
    <x v="10"/>
    <x v="6"/>
    <x v="5"/>
    <n v="0.7"/>
  </r>
  <r>
    <x v="0"/>
    <x v="0"/>
    <x v="0"/>
    <x v="9"/>
    <x v="10"/>
    <x v="6"/>
    <x v="6"/>
    <n v="0.7"/>
  </r>
  <r>
    <x v="0"/>
    <x v="0"/>
    <x v="0"/>
    <x v="9"/>
    <x v="10"/>
    <x v="6"/>
    <x v="7"/>
    <n v="0.7"/>
  </r>
  <r>
    <x v="0"/>
    <x v="0"/>
    <x v="0"/>
    <x v="9"/>
    <x v="10"/>
    <x v="6"/>
    <x v="8"/>
    <n v="0.7"/>
  </r>
  <r>
    <x v="0"/>
    <x v="0"/>
    <x v="0"/>
    <x v="9"/>
    <x v="10"/>
    <x v="6"/>
    <x v="9"/>
    <n v="0.7"/>
  </r>
  <r>
    <x v="0"/>
    <x v="0"/>
    <x v="0"/>
    <x v="9"/>
    <x v="10"/>
    <x v="6"/>
    <x v="10"/>
    <n v="0.7"/>
  </r>
  <r>
    <x v="0"/>
    <x v="0"/>
    <x v="0"/>
    <x v="9"/>
    <x v="10"/>
    <x v="6"/>
    <x v="11"/>
    <n v="0.7"/>
  </r>
  <r>
    <x v="0"/>
    <x v="0"/>
    <x v="0"/>
    <x v="9"/>
    <x v="10"/>
    <x v="7"/>
    <x v="0"/>
    <n v="0.7"/>
  </r>
  <r>
    <x v="0"/>
    <x v="0"/>
    <x v="0"/>
    <x v="9"/>
    <x v="10"/>
    <x v="7"/>
    <x v="1"/>
    <n v="0.7"/>
  </r>
  <r>
    <x v="0"/>
    <x v="0"/>
    <x v="0"/>
    <x v="9"/>
    <x v="10"/>
    <x v="7"/>
    <x v="2"/>
    <n v="0.7"/>
  </r>
  <r>
    <x v="0"/>
    <x v="0"/>
    <x v="0"/>
    <x v="9"/>
    <x v="10"/>
    <x v="7"/>
    <x v="3"/>
    <n v="0.7"/>
  </r>
  <r>
    <x v="0"/>
    <x v="0"/>
    <x v="0"/>
    <x v="9"/>
    <x v="10"/>
    <x v="7"/>
    <x v="4"/>
    <n v="0.7"/>
  </r>
  <r>
    <x v="0"/>
    <x v="0"/>
    <x v="0"/>
    <x v="9"/>
    <x v="10"/>
    <x v="7"/>
    <x v="5"/>
    <n v="0.7"/>
  </r>
  <r>
    <x v="0"/>
    <x v="0"/>
    <x v="0"/>
    <x v="9"/>
    <x v="10"/>
    <x v="7"/>
    <x v="6"/>
    <n v="0.7"/>
  </r>
  <r>
    <x v="0"/>
    <x v="0"/>
    <x v="0"/>
    <x v="9"/>
    <x v="10"/>
    <x v="7"/>
    <x v="7"/>
    <n v="0.7"/>
  </r>
  <r>
    <x v="0"/>
    <x v="0"/>
    <x v="0"/>
    <x v="9"/>
    <x v="10"/>
    <x v="7"/>
    <x v="8"/>
    <n v="0.7"/>
  </r>
  <r>
    <x v="0"/>
    <x v="0"/>
    <x v="0"/>
    <x v="9"/>
    <x v="10"/>
    <x v="7"/>
    <x v="9"/>
    <n v="0.7"/>
  </r>
  <r>
    <x v="0"/>
    <x v="0"/>
    <x v="0"/>
    <x v="9"/>
    <x v="10"/>
    <x v="7"/>
    <x v="10"/>
    <n v="0.7"/>
  </r>
  <r>
    <x v="0"/>
    <x v="0"/>
    <x v="0"/>
    <x v="9"/>
    <x v="10"/>
    <x v="7"/>
    <x v="11"/>
    <n v="0.7"/>
  </r>
  <r>
    <x v="0"/>
    <x v="0"/>
    <x v="0"/>
    <x v="9"/>
    <x v="10"/>
    <x v="8"/>
    <x v="0"/>
    <n v="0.7"/>
  </r>
  <r>
    <x v="0"/>
    <x v="0"/>
    <x v="0"/>
    <x v="9"/>
    <x v="10"/>
    <x v="8"/>
    <x v="1"/>
    <n v="0.7"/>
  </r>
  <r>
    <x v="0"/>
    <x v="0"/>
    <x v="0"/>
    <x v="9"/>
    <x v="10"/>
    <x v="8"/>
    <x v="2"/>
    <n v="0.7"/>
  </r>
  <r>
    <x v="0"/>
    <x v="0"/>
    <x v="0"/>
    <x v="9"/>
    <x v="10"/>
    <x v="8"/>
    <x v="3"/>
    <n v="0.7"/>
  </r>
  <r>
    <x v="0"/>
    <x v="0"/>
    <x v="0"/>
    <x v="9"/>
    <x v="10"/>
    <x v="8"/>
    <x v="4"/>
    <n v="0.7"/>
  </r>
  <r>
    <x v="0"/>
    <x v="0"/>
    <x v="0"/>
    <x v="9"/>
    <x v="10"/>
    <x v="8"/>
    <x v="5"/>
    <n v="0.7"/>
  </r>
  <r>
    <x v="0"/>
    <x v="0"/>
    <x v="0"/>
    <x v="9"/>
    <x v="10"/>
    <x v="8"/>
    <x v="6"/>
    <n v="0.7"/>
  </r>
  <r>
    <x v="0"/>
    <x v="0"/>
    <x v="0"/>
    <x v="9"/>
    <x v="10"/>
    <x v="8"/>
    <x v="7"/>
    <n v="0.7"/>
  </r>
  <r>
    <x v="0"/>
    <x v="0"/>
    <x v="0"/>
    <x v="9"/>
    <x v="10"/>
    <x v="8"/>
    <x v="8"/>
    <n v="0.7"/>
  </r>
  <r>
    <x v="0"/>
    <x v="0"/>
    <x v="0"/>
    <x v="9"/>
    <x v="10"/>
    <x v="8"/>
    <x v="9"/>
    <n v="0.7"/>
  </r>
  <r>
    <x v="0"/>
    <x v="0"/>
    <x v="0"/>
    <x v="9"/>
    <x v="10"/>
    <x v="8"/>
    <x v="10"/>
    <n v="0.7"/>
  </r>
  <r>
    <x v="0"/>
    <x v="0"/>
    <x v="0"/>
    <x v="9"/>
    <x v="10"/>
    <x v="8"/>
    <x v="11"/>
    <n v="0.7"/>
  </r>
  <r>
    <x v="0"/>
    <x v="0"/>
    <x v="0"/>
    <x v="9"/>
    <x v="10"/>
    <x v="9"/>
    <x v="0"/>
    <n v="0.7"/>
  </r>
  <r>
    <x v="0"/>
    <x v="0"/>
    <x v="0"/>
    <x v="9"/>
    <x v="10"/>
    <x v="9"/>
    <x v="1"/>
    <n v="0.7"/>
  </r>
  <r>
    <x v="0"/>
    <x v="0"/>
    <x v="0"/>
    <x v="9"/>
    <x v="10"/>
    <x v="9"/>
    <x v="2"/>
    <n v="0.7"/>
  </r>
  <r>
    <x v="0"/>
    <x v="0"/>
    <x v="0"/>
    <x v="9"/>
    <x v="10"/>
    <x v="9"/>
    <x v="3"/>
    <n v="0.7"/>
  </r>
  <r>
    <x v="0"/>
    <x v="0"/>
    <x v="0"/>
    <x v="9"/>
    <x v="10"/>
    <x v="9"/>
    <x v="4"/>
    <n v="0.7"/>
  </r>
  <r>
    <x v="0"/>
    <x v="0"/>
    <x v="0"/>
    <x v="9"/>
    <x v="10"/>
    <x v="9"/>
    <x v="5"/>
    <n v="0.7"/>
  </r>
  <r>
    <x v="0"/>
    <x v="0"/>
    <x v="0"/>
    <x v="9"/>
    <x v="10"/>
    <x v="9"/>
    <x v="6"/>
    <n v="0.7"/>
  </r>
  <r>
    <x v="0"/>
    <x v="0"/>
    <x v="0"/>
    <x v="9"/>
    <x v="10"/>
    <x v="9"/>
    <x v="7"/>
    <n v="0.7"/>
  </r>
  <r>
    <x v="0"/>
    <x v="0"/>
    <x v="0"/>
    <x v="9"/>
    <x v="10"/>
    <x v="9"/>
    <x v="8"/>
    <n v="0.7"/>
  </r>
  <r>
    <x v="0"/>
    <x v="0"/>
    <x v="0"/>
    <x v="9"/>
    <x v="10"/>
    <x v="9"/>
    <x v="9"/>
    <n v="0.7"/>
  </r>
  <r>
    <x v="0"/>
    <x v="0"/>
    <x v="0"/>
    <x v="9"/>
    <x v="10"/>
    <x v="9"/>
    <x v="10"/>
    <n v="0.7"/>
  </r>
  <r>
    <x v="0"/>
    <x v="0"/>
    <x v="0"/>
    <x v="9"/>
    <x v="10"/>
    <x v="9"/>
    <x v="11"/>
    <n v="0.7"/>
  </r>
  <r>
    <x v="0"/>
    <x v="0"/>
    <x v="0"/>
    <x v="9"/>
    <x v="10"/>
    <x v="10"/>
    <x v="0"/>
    <n v="0.7"/>
  </r>
  <r>
    <x v="0"/>
    <x v="0"/>
    <x v="0"/>
    <x v="9"/>
    <x v="10"/>
    <x v="10"/>
    <x v="1"/>
    <n v="0.7"/>
  </r>
  <r>
    <x v="0"/>
    <x v="0"/>
    <x v="0"/>
    <x v="9"/>
    <x v="10"/>
    <x v="10"/>
    <x v="2"/>
    <n v="0.7"/>
  </r>
  <r>
    <x v="0"/>
    <x v="0"/>
    <x v="0"/>
    <x v="9"/>
    <x v="10"/>
    <x v="10"/>
    <x v="3"/>
    <n v="0.7"/>
  </r>
  <r>
    <x v="0"/>
    <x v="0"/>
    <x v="0"/>
    <x v="9"/>
    <x v="10"/>
    <x v="10"/>
    <x v="4"/>
    <n v="0.7"/>
  </r>
  <r>
    <x v="0"/>
    <x v="0"/>
    <x v="0"/>
    <x v="9"/>
    <x v="10"/>
    <x v="10"/>
    <x v="5"/>
    <n v="0.7"/>
  </r>
  <r>
    <x v="0"/>
    <x v="0"/>
    <x v="0"/>
    <x v="9"/>
    <x v="10"/>
    <x v="10"/>
    <x v="6"/>
    <n v="0.7"/>
  </r>
  <r>
    <x v="0"/>
    <x v="0"/>
    <x v="0"/>
    <x v="9"/>
    <x v="10"/>
    <x v="10"/>
    <x v="7"/>
    <n v="0.7"/>
  </r>
  <r>
    <x v="0"/>
    <x v="0"/>
    <x v="0"/>
    <x v="9"/>
    <x v="10"/>
    <x v="10"/>
    <x v="8"/>
    <n v="0.7"/>
  </r>
  <r>
    <x v="0"/>
    <x v="0"/>
    <x v="0"/>
    <x v="9"/>
    <x v="10"/>
    <x v="10"/>
    <x v="9"/>
    <n v="0.7"/>
  </r>
  <r>
    <x v="0"/>
    <x v="0"/>
    <x v="0"/>
    <x v="9"/>
    <x v="10"/>
    <x v="10"/>
    <x v="10"/>
    <n v="0.7"/>
  </r>
  <r>
    <x v="0"/>
    <x v="0"/>
    <x v="0"/>
    <x v="9"/>
    <x v="10"/>
    <x v="10"/>
    <x v="11"/>
    <n v="0.7"/>
  </r>
  <r>
    <x v="0"/>
    <x v="0"/>
    <x v="0"/>
    <x v="9"/>
    <x v="10"/>
    <x v="11"/>
    <x v="0"/>
    <n v="0.7"/>
  </r>
  <r>
    <x v="0"/>
    <x v="0"/>
    <x v="0"/>
    <x v="9"/>
    <x v="10"/>
    <x v="11"/>
    <x v="1"/>
    <n v="0.7"/>
  </r>
  <r>
    <x v="0"/>
    <x v="0"/>
    <x v="0"/>
    <x v="9"/>
    <x v="10"/>
    <x v="11"/>
    <x v="2"/>
    <n v="0.7"/>
  </r>
  <r>
    <x v="0"/>
    <x v="0"/>
    <x v="0"/>
    <x v="9"/>
    <x v="10"/>
    <x v="11"/>
    <x v="3"/>
    <n v="0.7"/>
  </r>
  <r>
    <x v="0"/>
    <x v="0"/>
    <x v="0"/>
    <x v="9"/>
    <x v="10"/>
    <x v="11"/>
    <x v="4"/>
    <n v="0.7"/>
  </r>
  <r>
    <x v="0"/>
    <x v="0"/>
    <x v="0"/>
    <x v="9"/>
    <x v="10"/>
    <x v="11"/>
    <x v="5"/>
    <n v="0.7"/>
  </r>
  <r>
    <x v="0"/>
    <x v="0"/>
    <x v="0"/>
    <x v="9"/>
    <x v="10"/>
    <x v="11"/>
    <x v="6"/>
    <n v="0.7"/>
  </r>
  <r>
    <x v="0"/>
    <x v="0"/>
    <x v="0"/>
    <x v="9"/>
    <x v="10"/>
    <x v="11"/>
    <x v="7"/>
    <n v="0.7"/>
  </r>
  <r>
    <x v="0"/>
    <x v="0"/>
    <x v="0"/>
    <x v="9"/>
    <x v="10"/>
    <x v="11"/>
    <x v="8"/>
    <n v="0.7"/>
  </r>
  <r>
    <x v="0"/>
    <x v="0"/>
    <x v="0"/>
    <x v="9"/>
    <x v="10"/>
    <x v="11"/>
    <x v="9"/>
    <n v="0.7"/>
  </r>
  <r>
    <x v="0"/>
    <x v="0"/>
    <x v="0"/>
    <x v="9"/>
    <x v="10"/>
    <x v="11"/>
    <x v="10"/>
    <n v="0.7"/>
  </r>
  <r>
    <x v="0"/>
    <x v="0"/>
    <x v="0"/>
    <x v="9"/>
    <x v="10"/>
    <x v="11"/>
    <x v="11"/>
    <n v="0.7"/>
  </r>
  <r>
    <x v="0"/>
    <x v="0"/>
    <x v="0"/>
    <x v="9"/>
    <x v="15"/>
    <x v="0"/>
    <x v="0"/>
    <n v="0"/>
  </r>
  <r>
    <x v="0"/>
    <x v="0"/>
    <x v="0"/>
    <x v="9"/>
    <x v="15"/>
    <x v="0"/>
    <x v="1"/>
    <n v="0"/>
  </r>
  <r>
    <x v="0"/>
    <x v="0"/>
    <x v="0"/>
    <x v="9"/>
    <x v="15"/>
    <x v="0"/>
    <x v="2"/>
    <n v="0"/>
  </r>
  <r>
    <x v="0"/>
    <x v="0"/>
    <x v="0"/>
    <x v="9"/>
    <x v="15"/>
    <x v="0"/>
    <x v="3"/>
    <n v="0"/>
  </r>
  <r>
    <x v="0"/>
    <x v="0"/>
    <x v="0"/>
    <x v="9"/>
    <x v="15"/>
    <x v="0"/>
    <x v="4"/>
    <n v="0"/>
  </r>
  <r>
    <x v="0"/>
    <x v="0"/>
    <x v="0"/>
    <x v="9"/>
    <x v="15"/>
    <x v="0"/>
    <x v="5"/>
    <n v="0"/>
  </r>
  <r>
    <x v="0"/>
    <x v="0"/>
    <x v="0"/>
    <x v="9"/>
    <x v="15"/>
    <x v="0"/>
    <x v="6"/>
    <n v="0"/>
  </r>
  <r>
    <x v="0"/>
    <x v="0"/>
    <x v="0"/>
    <x v="9"/>
    <x v="15"/>
    <x v="0"/>
    <x v="7"/>
    <n v="0"/>
  </r>
  <r>
    <x v="0"/>
    <x v="0"/>
    <x v="0"/>
    <x v="9"/>
    <x v="15"/>
    <x v="0"/>
    <x v="8"/>
    <n v="0"/>
  </r>
  <r>
    <x v="0"/>
    <x v="0"/>
    <x v="0"/>
    <x v="9"/>
    <x v="15"/>
    <x v="0"/>
    <x v="9"/>
    <n v="0"/>
  </r>
  <r>
    <x v="0"/>
    <x v="0"/>
    <x v="0"/>
    <x v="9"/>
    <x v="15"/>
    <x v="0"/>
    <x v="10"/>
    <n v="0"/>
  </r>
  <r>
    <x v="0"/>
    <x v="0"/>
    <x v="0"/>
    <x v="9"/>
    <x v="15"/>
    <x v="0"/>
    <x v="11"/>
    <n v="0"/>
  </r>
  <r>
    <x v="0"/>
    <x v="0"/>
    <x v="0"/>
    <x v="9"/>
    <x v="15"/>
    <x v="1"/>
    <x v="0"/>
    <n v="0"/>
  </r>
  <r>
    <x v="0"/>
    <x v="0"/>
    <x v="0"/>
    <x v="9"/>
    <x v="15"/>
    <x v="1"/>
    <x v="1"/>
    <n v="0"/>
  </r>
  <r>
    <x v="0"/>
    <x v="0"/>
    <x v="0"/>
    <x v="9"/>
    <x v="15"/>
    <x v="1"/>
    <x v="2"/>
    <n v="0"/>
  </r>
  <r>
    <x v="0"/>
    <x v="0"/>
    <x v="0"/>
    <x v="9"/>
    <x v="15"/>
    <x v="1"/>
    <x v="3"/>
    <n v="0"/>
  </r>
  <r>
    <x v="0"/>
    <x v="0"/>
    <x v="0"/>
    <x v="9"/>
    <x v="15"/>
    <x v="1"/>
    <x v="4"/>
    <n v="0"/>
  </r>
  <r>
    <x v="0"/>
    <x v="0"/>
    <x v="0"/>
    <x v="9"/>
    <x v="15"/>
    <x v="1"/>
    <x v="5"/>
    <n v="0"/>
  </r>
  <r>
    <x v="0"/>
    <x v="0"/>
    <x v="0"/>
    <x v="9"/>
    <x v="15"/>
    <x v="1"/>
    <x v="6"/>
    <n v="0"/>
  </r>
  <r>
    <x v="0"/>
    <x v="0"/>
    <x v="0"/>
    <x v="9"/>
    <x v="15"/>
    <x v="1"/>
    <x v="7"/>
    <n v="0"/>
  </r>
  <r>
    <x v="0"/>
    <x v="0"/>
    <x v="0"/>
    <x v="9"/>
    <x v="15"/>
    <x v="1"/>
    <x v="8"/>
    <n v="0"/>
  </r>
  <r>
    <x v="0"/>
    <x v="0"/>
    <x v="0"/>
    <x v="9"/>
    <x v="15"/>
    <x v="1"/>
    <x v="9"/>
    <n v="0"/>
  </r>
  <r>
    <x v="0"/>
    <x v="0"/>
    <x v="0"/>
    <x v="9"/>
    <x v="15"/>
    <x v="1"/>
    <x v="10"/>
    <n v="0"/>
  </r>
  <r>
    <x v="0"/>
    <x v="0"/>
    <x v="0"/>
    <x v="9"/>
    <x v="15"/>
    <x v="1"/>
    <x v="11"/>
    <n v="0"/>
  </r>
  <r>
    <x v="0"/>
    <x v="0"/>
    <x v="0"/>
    <x v="9"/>
    <x v="15"/>
    <x v="2"/>
    <x v="0"/>
    <n v="0"/>
  </r>
  <r>
    <x v="0"/>
    <x v="0"/>
    <x v="0"/>
    <x v="9"/>
    <x v="15"/>
    <x v="2"/>
    <x v="1"/>
    <n v="0"/>
  </r>
  <r>
    <x v="0"/>
    <x v="0"/>
    <x v="0"/>
    <x v="9"/>
    <x v="15"/>
    <x v="2"/>
    <x v="2"/>
    <n v="0"/>
  </r>
  <r>
    <x v="0"/>
    <x v="0"/>
    <x v="0"/>
    <x v="9"/>
    <x v="15"/>
    <x v="2"/>
    <x v="3"/>
    <n v="0"/>
  </r>
  <r>
    <x v="0"/>
    <x v="0"/>
    <x v="0"/>
    <x v="9"/>
    <x v="15"/>
    <x v="2"/>
    <x v="4"/>
    <n v="0"/>
  </r>
  <r>
    <x v="0"/>
    <x v="0"/>
    <x v="0"/>
    <x v="9"/>
    <x v="15"/>
    <x v="2"/>
    <x v="5"/>
    <n v="0"/>
  </r>
  <r>
    <x v="0"/>
    <x v="0"/>
    <x v="0"/>
    <x v="9"/>
    <x v="15"/>
    <x v="2"/>
    <x v="6"/>
    <n v="0"/>
  </r>
  <r>
    <x v="0"/>
    <x v="0"/>
    <x v="0"/>
    <x v="9"/>
    <x v="15"/>
    <x v="2"/>
    <x v="7"/>
    <n v="0"/>
  </r>
  <r>
    <x v="0"/>
    <x v="0"/>
    <x v="0"/>
    <x v="9"/>
    <x v="15"/>
    <x v="2"/>
    <x v="8"/>
    <n v="0"/>
  </r>
  <r>
    <x v="0"/>
    <x v="0"/>
    <x v="0"/>
    <x v="9"/>
    <x v="15"/>
    <x v="2"/>
    <x v="9"/>
    <n v="0"/>
  </r>
  <r>
    <x v="0"/>
    <x v="0"/>
    <x v="0"/>
    <x v="9"/>
    <x v="15"/>
    <x v="2"/>
    <x v="10"/>
    <n v="0"/>
  </r>
  <r>
    <x v="0"/>
    <x v="0"/>
    <x v="0"/>
    <x v="9"/>
    <x v="15"/>
    <x v="2"/>
    <x v="11"/>
    <n v="0"/>
  </r>
  <r>
    <x v="0"/>
    <x v="0"/>
    <x v="0"/>
    <x v="9"/>
    <x v="15"/>
    <x v="3"/>
    <x v="0"/>
    <n v="-1.8864440374189"/>
  </r>
  <r>
    <x v="0"/>
    <x v="0"/>
    <x v="0"/>
    <x v="9"/>
    <x v="15"/>
    <x v="3"/>
    <x v="1"/>
    <n v="-1.8340377062515201"/>
  </r>
  <r>
    <x v="0"/>
    <x v="0"/>
    <x v="0"/>
    <x v="9"/>
    <x v="15"/>
    <x v="3"/>
    <x v="2"/>
    <n v="-1.83159795410309"/>
  </r>
  <r>
    <x v="0"/>
    <x v="0"/>
    <x v="0"/>
    <x v="9"/>
    <x v="15"/>
    <x v="3"/>
    <x v="3"/>
    <n v="0"/>
  </r>
  <r>
    <x v="0"/>
    <x v="0"/>
    <x v="0"/>
    <x v="9"/>
    <x v="15"/>
    <x v="3"/>
    <x v="4"/>
    <n v="0"/>
  </r>
  <r>
    <x v="0"/>
    <x v="0"/>
    <x v="0"/>
    <x v="9"/>
    <x v="15"/>
    <x v="3"/>
    <x v="5"/>
    <n v="0"/>
  </r>
  <r>
    <x v="0"/>
    <x v="0"/>
    <x v="0"/>
    <x v="9"/>
    <x v="15"/>
    <x v="3"/>
    <x v="6"/>
    <n v="0"/>
  </r>
  <r>
    <x v="0"/>
    <x v="0"/>
    <x v="0"/>
    <x v="9"/>
    <x v="15"/>
    <x v="3"/>
    <x v="7"/>
    <n v="0"/>
  </r>
  <r>
    <x v="0"/>
    <x v="0"/>
    <x v="0"/>
    <x v="9"/>
    <x v="15"/>
    <x v="3"/>
    <x v="8"/>
    <n v="0"/>
  </r>
  <r>
    <x v="0"/>
    <x v="0"/>
    <x v="0"/>
    <x v="9"/>
    <x v="15"/>
    <x v="3"/>
    <x v="9"/>
    <n v="-1.1247056506958999"/>
  </r>
  <r>
    <x v="0"/>
    <x v="0"/>
    <x v="0"/>
    <x v="9"/>
    <x v="15"/>
    <x v="3"/>
    <x v="10"/>
    <n v="-1.4889965496380799"/>
  </r>
  <r>
    <x v="0"/>
    <x v="0"/>
    <x v="0"/>
    <x v="9"/>
    <x v="15"/>
    <x v="3"/>
    <x v="11"/>
    <n v="-1.4453873560046"/>
  </r>
  <r>
    <x v="0"/>
    <x v="0"/>
    <x v="0"/>
    <x v="9"/>
    <x v="15"/>
    <x v="4"/>
    <x v="0"/>
    <n v="0"/>
  </r>
  <r>
    <x v="0"/>
    <x v="0"/>
    <x v="0"/>
    <x v="9"/>
    <x v="15"/>
    <x v="4"/>
    <x v="1"/>
    <n v="0"/>
  </r>
  <r>
    <x v="0"/>
    <x v="0"/>
    <x v="0"/>
    <x v="9"/>
    <x v="15"/>
    <x v="4"/>
    <x v="2"/>
    <n v="0"/>
  </r>
  <r>
    <x v="0"/>
    <x v="0"/>
    <x v="0"/>
    <x v="9"/>
    <x v="15"/>
    <x v="4"/>
    <x v="3"/>
    <n v="0"/>
  </r>
  <r>
    <x v="0"/>
    <x v="0"/>
    <x v="0"/>
    <x v="9"/>
    <x v="15"/>
    <x v="4"/>
    <x v="4"/>
    <n v="0"/>
  </r>
  <r>
    <x v="0"/>
    <x v="0"/>
    <x v="0"/>
    <x v="9"/>
    <x v="15"/>
    <x v="4"/>
    <x v="5"/>
    <n v="0"/>
  </r>
  <r>
    <x v="0"/>
    <x v="0"/>
    <x v="0"/>
    <x v="9"/>
    <x v="15"/>
    <x v="4"/>
    <x v="6"/>
    <n v="0"/>
  </r>
  <r>
    <x v="0"/>
    <x v="0"/>
    <x v="0"/>
    <x v="9"/>
    <x v="15"/>
    <x v="4"/>
    <x v="7"/>
    <n v="0.50740819583282204"/>
  </r>
  <r>
    <x v="0"/>
    <x v="0"/>
    <x v="0"/>
    <x v="9"/>
    <x v="15"/>
    <x v="4"/>
    <x v="8"/>
    <n v="0.69028881645141804"/>
  </r>
  <r>
    <x v="0"/>
    <x v="0"/>
    <x v="0"/>
    <x v="9"/>
    <x v="15"/>
    <x v="4"/>
    <x v="9"/>
    <n v="0.640412283555437"/>
  </r>
  <r>
    <x v="0"/>
    <x v="0"/>
    <x v="0"/>
    <x v="9"/>
    <x v="15"/>
    <x v="4"/>
    <x v="10"/>
    <n v="0.61666155360497099"/>
  </r>
  <r>
    <x v="0"/>
    <x v="0"/>
    <x v="0"/>
    <x v="9"/>
    <x v="15"/>
    <x v="4"/>
    <x v="11"/>
    <n v="0.58182714967761895"/>
  </r>
  <r>
    <x v="0"/>
    <x v="0"/>
    <x v="0"/>
    <x v="9"/>
    <x v="15"/>
    <x v="5"/>
    <x v="0"/>
    <n v="0"/>
  </r>
  <r>
    <x v="0"/>
    <x v="0"/>
    <x v="0"/>
    <x v="9"/>
    <x v="15"/>
    <x v="5"/>
    <x v="1"/>
    <n v="0"/>
  </r>
  <r>
    <x v="0"/>
    <x v="0"/>
    <x v="0"/>
    <x v="9"/>
    <x v="15"/>
    <x v="5"/>
    <x v="2"/>
    <n v="0"/>
  </r>
  <r>
    <x v="0"/>
    <x v="0"/>
    <x v="0"/>
    <x v="9"/>
    <x v="15"/>
    <x v="5"/>
    <x v="3"/>
    <n v="0"/>
  </r>
  <r>
    <x v="0"/>
    <x v="0"/>
    <x v="0"/>
    <x v="9"/>
    <x v="15"/>
    <x v="5"/>
    <x v="4"/>
    <n v="0"/>
  </r>
  <r>
    <x v="0"/>
    <x v="0"/>
    <x v="0"/>
    <x v="9"/>
    <x v="15"/>
    <x v="5"/>
    <x v="5"/>
    <n v="0"/>
  </r>
  <r>
    <x v="0"/>
    <x v="0"/>
    <x v="0"/>
    <x v="9"/>
    <x v="15"/>
    <x v="5"/>
    <x v="6"/>
    <n v="0.250079675301009"/>
  </r>
  <r>
    <x v="0"/>
    <x v="0"/>
    <x v="0"/>
    <x v="9"/>
    <x v="15"/>
    <x v="5"/>
    <x v="7"/>
    <n v="0.82405564910395901"/>
  </r>
  <r>
    <x v="0"/>
    <x v="0"/>
    <x v="0"/>
    <x v="9"/>
    <x v="15"/>
    <x v="5"/>
    <x v="8"/>
    <n v="0.88818261997021997"/>
  </r>
  <r>
    <x v="0"/>
    <x v="0"/>
    <x v="0"/>
    <x v="9"/>
    <x v="15"/>
    <x v="5"/>
    <x v="9"/>
    <n v="0.85176483404616998"/>
  </r>
  <r>
    <x v="0"/>
    <x v="0"/>
    <x v="0"/>
    <x v="9"/>
    <x v="15"/>
    <x v="5"/>
    <x v="10"/>
    <n v="0.81930550311386596"/>
  </r>
  <r>
    <x v="0"/>
    <x v="0"/>
    <x v="0"/>
    <x v="9"/>
    <x v="15"/>
    <x v="5"/>
    <x v="11"/>
    <n v="0.77972095319642098"/>
  </r>
  <r>
    <x v="0"/>
    <x v="0"/>
    <x v="0"/>
    <x v="9"/>
    <x v="15"/>
    <x v="6"/>
    <x v="0"/>
    <n v="0"/>
  </r>
  <r>
    <x v="0"/>
    <x v="0"/>
    <x v="0"/>
    <x v="9"/>
    <x v="15"/>
    <x v="6"/>
    <x v="1"/>
    <n v="0"/>
  </r>
  <r>
    <x v="0"/>
    <x v="0"/>
    <x v="0"/>
    <x v="9"/>
    <x v="15"/>
    <x v="6"/>
    <x v="2"/>
    <n v="0"/>
  </r>
  <r>
    <x v="0"/>
    <x v="0"/>
    <x v="0"/>
    <x v="9"/>
    <x v="15"/>
    <x v="6"/>
    <x v="3"/>
    <n v="0"/>
  </r>
  <r>
    <x v="0"/>
    <x v="0"/>
    <x v="0"/>
    <x v="9"/>
    <x v="15"/>
    <x v="6"/>
    <x v="4"/>
    <n v="0"/>
  </r>
  <r>
    <x v="0"/>
    <x v="0"/>
    <x v="0"/>
    <x v="9"/>
    <x v="15"/>
    <x v="6"/>
    <x v="5"/>
    <n v="0"/>
  </r>
  <r>
    <x v="0"/>
    <x v="0"/>
    <x v="0"/>
    <x v="9"/>
    <x v="15"/>
    <x v="6"/>
    <x v="6"/>
    <n v="0.16404154521354"/>
  </r>
  <r>
    <x v="0"/>
    <x v="0"/>
    <x v="0"/>
    <x v="9"/>
    <x v="15"/>
    <x v="6"/>
    <x v="7"/>
    <n v="0.772060231945491"/>
  </r>
  <r>
    <x v="0"/>
    <x v="0"/>
    <x v="0"/>
    <x v="9"/>
    <x v="15"/>
    <x v="6"/>
    <x v="8"/>
    <n v="0.79660265289430798"/>
  </r>
  <r>
    <x v="0"/>
    <x v="0"/>
    <x v="0"/>
    <x v="9"/>
    <x v="15"/>
    <x v="6"/>
    <x v="9"/>
    <n v="0.78472728791907398"/>
  </r>
  <r>
    <x v="0"/>
    <x v="0"/>
    <x v="0"/>
    <x v="9"/>
    <x v="15"/>
    <x v="6"/>
    <x v="10"/>
    <n v="0.730100609033"/>
  </r>
  <r>
    <x v="0"/>
    <x v="0"/>
    <x v="0"/>
    <x v="9"/>
    <x v="15"/>
    <x v="6"/>
    <x v="11"/>
    <n v="0.64063952621957498"/>
  </r>
  <r>
    <x v="0"/>
    <x v="0"/>
    <x v="0"/>
    <x v="9"/>
    <x v="15"/>
    <x v="7"/>
    <x v="0"/>
    <n v="0"/>
  </r>
  <r>
    <x v="0"/>
    <x v="0"/>
    <x v="0"/>
    <x v="9"/>
    <x v="15"/>
    <x v="7"/>
    <x v="1"/>
    <n v="0"/>
  </r>
  <r>
    <x v="0"/>
    <x v="0"/>
    <x v="0"/>
    <x v="9"/>
    <x v="15"/>
    <x v="7"/>
    <x v="2"/>
    <n v="0"/>
  </r>
  <r>
    <x v="0"/>
    <x v="0"/>
    <x v="0"/>
    <x v="9"/>
    <x v="15"/>
    <x v="7"/>
    <x v="3"/>
    <n v="0"/>
  </r>
  <r>
    <x v="0"/>
    <x v="0"/>
    <x v="0"/>
    <x v="9"/>
    <x v="15"/>
    <x v="7"/>
    <x v="4"/>
    <n v="0"/>
  </r>
  <r>
    <x v="0"/>
    <x v="0"/>
    <x v="0"/>
    <x v="9"/>
    <x v="15"/>
    <x v="7"/>
    <x v="5"/>
    <n v="0"/>
  </r>
  <r>
    <x v="0"/>
    <x v="0"/>
    <x v="0"/>
    <x v="9"/>
    <x v="15"/>
    <x v="7"/>
    <x v="6"/>
    <n v="0"/>
  </r>
  <r>
    <x v="0"/>
    <x v="0"/>
    <x v="0"/>
    <x v="9"/>
    <x v="15"/>
    <x v="7"/>
    <x v="7"/>
    <n v="0.114797499939591"/>
  </r>
  <r>
    <x v="0"/>
    <x v="0"/>
    <x v="0"/>
    <x v="9"/>
    <x v="15"/>
    <x v="7"/>
    <x v="8"/>
    <n v="0.32538730550039802"/>
  </r>
  <r>
    <x v="0"/>
    <x v="0"/>
    <x v="0"/>
    <x v="9"/>
    <x v="15"/>
    <x v="7"/>
    <x v="9"/>
    <n v="0.30401164854497698"/>
  </r>
  <r>
    <x v="0"/>
    <x v="0"/>
    <x v="0"/>
    <x v="9"/>
    <x v="15"/>
    <x v="7"/>
    <x v="10"/>
    <n v="0.221675784716692"/>
  </r>
  <r>
    <x v="0"/>
    <x v="0"/>
    <x v="0"/>
    <x v="9"/>
    <x v="15"/>
    <x v="7"/>
    <x v="11"/>
    <n v="0.12508948291812699"/>
  </r>
  <r>
    <x v="0"/>
    <x v="0"/>
    <x v="0"/>
    <x v="9"/>
    <x v="15"/>
    <x v="8"/>
    <x v="0"/>
    <n v="0"/>
  </r>
  <r>
    <x v="0"/>
    <x v="0"/>
    <x v="0"/>
    <x v="9"/>
    <x v="15"/>
    <x v="8"/>
    <x v="1"/>
    <n v="0"/>
  </r>
  <r>
    <x v="0"/>
    <x v="0"/>
    <x v="0"/>
    <x v="9"/>
    <x v="15"/>
    <x v="8"/>
    <x v="2"/>
    <n v="0"/>
  </r>
  <r>
    <x v="0"/>
    <x v="0"/>
    <x v="0"/>
    <x v="9"/>
    <x v="15"/>
    <x v="8"/>
    <x v="3"/>
    <n v="0"/>
  </r>
  <r>
    <x v="0"/>
    <x v="0"/>
    <x v="0"/>
    <x v="9"/>
    <x v="15"/>
    <x v="8"/>
    <x v="4"/>
    <n v="0"/>
  </r>
  <r>
    <x v="0"/>
    <x v="0"/>
    <x v="0"/>
    <x v="9"/>
    <x v="15"/>
    <x v="8"/>
    <x v="5"/>
    <n v="0"/>
  </r>
  <r>
    <x v="0"/>
    <x v="0"/>
    <x v="0"/>
    <x v="9"/>
    <x v="15"/>
    <x v="8"/>
    <x v="6"/>
    <n v="0"/>
  </r>
  <r>
    <x v="0"/>
    <x v="0"/>
    <x v="0"/>
    <x v="9"/>
    <x v="15"/>
    <x v="8"/>
    <x v="7"/>
    <n v="0"/>
  </r>
  <r>
    <x v="0"/>
    <x v="0"/>
    <x v="0"/>
    <x v="9"/>
    <x v="15"/>
    <x v="8"/>
    <x v="8"/>
    <n v="0"/>
  </r>
  <r>
    <x v="0"/>
    <x v="0"/>
    <x v="0"/>
    <x v="9"/>
    <x v="15"/>
    <x v="8"/>
    <x v="9"/>
    <n v="0"/>
  </r>
  <r>
    <x v="0"/>
    <x v="0"/>
    <x v="0"/>
    <x v="9"/>
    <x v="15"/>
    <x v="8"/>
    <x v="10"/>
    <n v="2.8793667590310901"/>
  </r>
  <r>
    <x v="0"/>
    <x v="0"/>
    <x v="0"/>
    <x v="9"/>
    <x v="15"/>
    <x v="8"/>
    <x v="11"/>
    <n v="0"/>
  </r>
  <r>
    <x v="0"/>
    <x v="0"/>
    <x v="0"/>
    <x v="9"/>
    <x v="15"/>
    <x v="9"/>
    <x v="0"/>
    <n v="0"/>
  </r>
  <r>
    <x v="0"/>
    <x v="0"/>
    <x v="0"/>
    <x v="9"/>
    <x v="15"/>
    <x v="9"/>
    <x v="1"/>
    <n v="0"/>
  </r>
  <r>
    <x v="0"/>
    <x v="0"/>
    <x v="0"/>
    <x v="9"/>
    <x v="15"/>
    <x v="9"/>
    <x v="2"/>
    <n v="0"/>
  </r>
  <r>
    <x v="0"/>
    <x v="0"/>
    <x v="0"/>
    <x v="9"/>
    <x v="15"/>
    <x v="9"/>
    <x v="3"/>
    <n v="0"/>
  </r>
  <r>
    <x v="0"/>
    <x v="0"/>
    <x v="0"/>
    <x v="9"/>
    <x v="15"/>
    <x v="9"/>
    <x v="4"/>
    <n v="0"/>
  </r>
  <r>
    <x v="0"/>
    <x v="0"/>
    <x v="0"/>
    <x v="9"/>
    <x v="15"/>
    <x v="9"/>
    <x v="5"/>
    <n v="0"/>
  </r>
  <r>
    <x v="0"/>
    <x v="0"/>
    <x v="0"/>
    <x v="9"/>
    <x v="15"/>
    <x v="9"/>
    <x v="6"/>
    <n v="1.7912054298237501"/>
  </r>
  <r>
    <x v="0"/>
    <x v="0"/>
    <x v="0"/>
    <x v="9"/>
    <x v="15"/>
    <x v="9"/>
    <x v="7"/>
    <n v="0"/>
  </r>
  <r>
    <x v="0"/>
    <x v="0"/>
    <x v="0"/>
    <x v="9"/>
    <x v="15"/>
    <x v="9"/>
    <x v="8"/>
    <n v="0"/>
  </r>
  <r>
    <x v="0"/>
    <x v="0"/>
    <x v="0"/>
    <x v="9"/>
    <x v="15"/>
    <x v="9"/>
    <x v="9"/>
    <n v="1.5367232930432999"/>
  </r>
  <r>
    <x v="0"/>
    <x v="0"/>
    <x v="0"/>
    <x v="9"/>
    <x v="15"/>
    <x v="9"/>
    <x v="10"/>
    <n v="0"/>
  </r>
  <r>
    <x v="0"/>
    <x v="0"/>
    <x v="0"/>
    <x v="9"/>
    <x v="15"/>
    <x v="9"/>
    <x v="11"/>
    <n v="0"/>
  </r>
  <r>
    <x v="0"/>
    <x v="0"/>
    <x v="0"/>
    <x v="9"/>
    <x v="15"/>
    <x v="10"/>
    <x v="0"/>
    <n v="0"/>
  </r>
  <r>
    <x v="0"/>
    <x v="0"/>
    <x v="0"/>
    <x v="9"/>
    <x v="15"/>
    <x v="10"/>
    <x v="1"/>
    <n v="0"/>
  </r>
  <r>
    <x v="0"/>
    <x v="0"/>
    <x v="0"/>
    <x v="9"/>
    <x v="15"/>
    <x v="10"/>
    <x v="2"/>
    <n v="0"/>
  </r>
  <r>
    <x v="0"/>
    <x v="0"/>
    <x v="0"/>
    <x v="9"/>
    <x v="15"/>
    <x v="10"/>
    <x v="3"/>
    <n v="0"/>
  </r>
  <r>
    <x v="0"/>
    <x v="0"/>
    <x v="0"/>
    <x v="9"/>
    <x v="15"/>
    <x v="10"/>
    <x v="4"/>
    <n v="0"/>
  </r>
  <r>
    <x v="0"/>
    <x v="0"/>
    <x v="0"/>
    <x v="9"/>
    <x v="15"/>
    <x v="10"/>
    <x v="5"/>
    <n v="0"/>
  </r>
  <r>
    <x v="0"/>
    <x v="0"/>
    <x v="0"/>
    <x v="9"/>
    <x v="15"/>
    <x v="10"/>
    <x v="6"/>
    <n v="0"/>
  </r>
  <r>
    <x v="0"/>
    <x v="0"/>
    <x v="0"/>
    <x v="9"/>
    <x v="15"/>
    <x v="10"/>
    <x v="7"/>
    <n v="3.2"/>
  </r>
  <r>
    <x v="0"/>
    <x v="0"/>
    <x v="0"/>
    <x v="9"/>
    <x v="15"/>
    <x v="10"/>
    <x v="8"/>
    <n v="3.1850633389973901"/>
  </r>
  <r>
    <x v="0"/>
    <x v="0"/>
    <x v="0"/>
    <x v="9"/>
    <x v="15"/>
    <x v="10"/>
    <x v="9"/>
    <n v="0"/>
  </r>
  <r>
    <x v="0"/>
    <x v="0"/>
    <x v="0"/>
    <x v="9"/>
    <x v="15"/>
    <x v="10"/>
    <x v="10"/>
    <n v="0"/>
  </r>
  <r>
    <x v="0"/>
    <x v="0"/>
    <x v="0"/>
    <x v="9"/>
    <x v="15"/>
    <x v="10"/>
    <x v="11"/>
    <n v="0"/>
  </r>
  <r>
    <x v="0"/>
    <x v="0"/>
    <x v="0"/>
    <x v="9"/>
    <x v="15"/>
    <x v="11"/>
    <x v="0"/>
    <n v="0"/>
  </r>
  <r>
    <x v="0"/>
    <x v="0"/>
    <x v="0"/>
    <x v="9"/>
    <x v="15"/>
    <x v="11"/>
    <x v="1"/>
    <n v="0"/>
  </r>
  <r>
    <x v="0"/>
    <x v="0"/>
    <x v="0"/>
    <x v="9"/>
    <x v="15"/>
    <x v="11"/>
    <x v="2"/>
    <n v="0"/>
  </r>
  <r>
    <x v="0"/>
    <x v="0"/>
    <x v="0"/>
    <x v="9"/>
    <x v="15"/>
    <x v="11"/>
    <x v="3"/>
    <n v="0"/>
  </r>
  <r>
    <x v="0"/>
    <x v="0"/>
    <x v="0"/>
    <x v="9"/>
    <x v="15"/>
    <x v="11"/>
    <x v="4"/>
    <n v="0"/>
  </r>
  <r>
    <x v="0"/>
    <x v="0"/>
    <x v="0"/>
    <x v="9"/>
    <x v="15"/>
    <x v="11"/>
    <x v="5"/>
    <n v="0"/>
  </r>
  <r>
    <x v="0"/>
    <x v="0"/>
    <x v="0"/>
    <x v="9"/>
    <x v="15"/>
    <x v="11"/>
    <x v="6"/>
    <n v="0"/>
  </r>
  <r>
    <x v="0"/>
    <x v="0"/>
    <x v="0"/>
    <x v="9"/>
    <x v="15"/>
    <x v="11"/>
    <x v="7"/>
    <n v="0"/>
  </r>
  <r>
    <x v="0"/>
    <x v="0"/>
    <x v="0"/>
    <x v="9"/>
    <x v="15"/>
    <x v="11"/>
    <x v="8"/>
    <n v="0"/>
  </r>
  <r>
    <x v="0"/>
    <x v="0"/>
    <x v="0"/>
    <x v="9"/>
    <x v="15"/>
    <x v="11"/>
    <x v="9"/>
    <n v="0"/>
  </r>
  <r>
    <x v="0"/>
    <x v="0"/>
    <x v="0"/>
    <x v="9"/>
    <x v="15"/>
    <x v="11"/>
    <x v="10"/>
    <n v="0"/>
  </r>
  <r>
    <x v="0"/>
    <x v="0"/>
    <x v="0"/>
    <x v="9"/>
    <x v="15"/>
    <x v="11"/>
    <x v="11"/>
    <n v="0"/>
  </r>
  <r>
    <x v="0"/>
    <x v="0"/>
    <x v="0"/>
    <x v="9"/>
    <x v="16"/>
    <x v="0"/>
    <x v="0"/>
    <n v="0"/>
  </r>
  <r>
    <x v="0"/>
    <x v="0"/>
    <x v="0"/>
    <x v="9"/>
    <x v="16"/>
    <x v="0"/>
    <x v="1"/>
    <n v="0"/>
  </r>
  <r>
    <x v="0"/>
    <x v="0"/>
    <x v="0"/>
    <x v="9"/>
    <x v="16"/>
    <x v="0"/>
    <x v="2"/>
    <n v="0"/>
  </r>
  <r>
    <x v="0"/>
    <x v="0"/>
    <x v="0"/>
    <x v="9"/>
    <x v="16"/>
    <x v="0"/>
    <x v="3"/>
    <n v="0"/>
  </r>
  <r>
    <x v="0"/>
    <x v="0"/>
    <x v="0"/>
    <x v="9"/>
    <x v="16"/>
    <x v="0"/>
    <x v="4"/>
    <n v="0"/>
  </r>
  <r>
    <x v="0"/>
    <x v="0"/>
    <x v="0"/>
    <x v="9"/>
    <x v="16"/>
    <x v="0"/>
    <x v="5"/>
    <n v="0"/>
  </r>
  <r>
    <x v="0"/>
    <x v="0"/>
    <x v="0"/>
    <x v="9"/>
    <x v="16"/>
    <x v="0"/>
    <x v="6"/>
    <n v="0"/>
  </r>
  <r>
    <x v="0"/>
    <x v="0"/>
    <x v="0"/>
    <x v="9"/>
    <x v="16"/>
    <x v="0"/>
    <x v="7"/>
    <n v="0"/>
  </r>
  <r>
    <x v="0"/>
    <x v="0"/>
    <x v="0"/>
    <x v="9"/>
    <x v="16"/>
    <x v="0"/>
    <x v="8"/>
    <n v="0"/>
  </r>
  <r>
    <x v="0"/>
    <x v="0"/>
    <x v="0"/>
    <x v="9"/>
    <x v="16"/>
    <x v="0"/>
    <x v="9"/>
    <n v="0"/>
  </r>
  <r>
    <x v="0"/>
    <x v="0"/>
    <x v="0"/>
    <x v="9"/>
    <x v="16"/>
    <x v="0"/>
    <x v="10"/>
    <n v="0"/>
  </r>
  <r>
    <x v="0"/>
    <x v="0"/>
    <x v="0"/>
    <x v="9"/>
    <x v="16"/>
    <x v="0"/>
    <x v="11"/>
    <n v="0"/>
  </r>
  <r>
    <x v="0"/>
    <x v="0"/>
    <x v="0"/>
    <x v="9"/>
    <x v="16"/>
    <x v="1"/>
    <x v="0"/>
    <n v="0"/>
  </r>
  <r>
    <x v="0"/>
    <x v="0"/>
    <x v="0"/>
    <x v="9"/>
    <x v="16"/>
    <x v="1"/>
    <x v="1"/>
    <n v="0"/>
  </r>
  <r>
    <x v="0"/>
    <x v="0"/>
    <x v="0"/>
    <x v="9"/>
    <x v="16"/>
    <x v="1"/>
    <x v="2"/>
    <n v="0"/>
  </r>
  <r>
    <x v="0"/>
    <x v="0"/>
    <x v="0"/>
    <x v="9"/>
    <x v="16"/>
    <x v="1"/>
    <x v="3"/>
    <n v="0"/>
  </r>
  <r>
    <x v="0"/>
    <x v="0"/>
    <x v="0"/>
    <x v="9"/>
    <x v="16"/>
    <x v="1"/>
    <x v="4"/>
    <n v="0"/>
  </r>
  <r>
    <x v="0"/>
    <x v="0"/>
    <x v="0"/>
    <x v="9"/>
    <x v="16"/>
    <x v="1"/>
    <x v="5"/>
    <n v="0"/>
  </r>
  <r>
    <x v="0"/>
    <x v="0"/>
    <x v="0"/>
    <x v="9"/>
    <x v="16"/>
    <x v="1"/>
    <x v="6"/>
    <n v="0"/>
  </r>
  <r>
    <x v="0"/>
    <x v="0"/>
    <x v="0"/>
    <x v="9"/>
    <x v="16"/>
    <x v="1"/>
    <x v="7"/>
    <n v="0"/>
  </r>
  <r>
    <x v="0"/>
    <x v="0"/>
    <x v="0"/>
    <x v="9"/>
    <x v="16"/>
    <x v="1"/>
    <x v="8"/>
    <n v="0"/>
  </r>
  <r>
    <x v="0"/>
    <x v="0"/>
    <x v="0"/>
    <x v="9"/>
    <x v="16"/>
    <x v="1"/>
    <x v="9"/>
    <n v="0"/>
  </r>
  <r>
    <x v="0"/>
    <x v="0"/>
    <x v="0"/>
    <x v="9"/>
    <x v="16"/>
    <x v="1"/>
    <x v="10"/>
    <n v="0"/>
  </r>
  <r>
    <x v="0"/>
    <x v="0"/>
    <x v="0"/>
    <x v="9"/>
    <x v="16"/>
    <x v="1"/>
    <x v="11"/>
    <n v="0"/>
  </r>
  <r>
    <x v="0"/>
    <x v="0"/>
    <x v="0"/>
    <x v="9"/>
    <x v="16"/>
    <x v="2"/>
    <x v="0"/>
    <n v="0"/>
  </r>
  <r>
    <x v="0"/>
    <x v="0"/>
    <x v="0"/>
    <x v="9"/>
    <x v="16"/>
    <x v="2"/>
    <x v="1"/>
    <n v="0"/>
  </r>
  <r>
    <x v="0"/>
    <x v="0"/>
    <x v="0"/>
    <x v="9"/>
    <x v="16"/>
    <x v="2"/>
    <x v="2"/>
    <n v="0"/>
  </r>
  <r>
    <x v="0"/>
    <x v="0"/>
    <x v="0"/>
    <x v="9"/>
    <x v="16"/>
    <x v="2"/>
    <x v="3"/>
    <n v="0"/>
  </r>
  <r>
    <x v="0"/>
    <x v="0"/>
    <x v="0"/>
    <x v="9"/>
    <x v="16"/>
    <x v="2"/>
    <x v="4"/>
    <n v="0"/>
  </r>
  <r>
    <x v="0"/>
    <x v="0"/>
    <x v="0"/>
    <x v="9"/>
    <x v="16"/>
    <x v="2"/>
    <x v="5"/>
    <n v="0"/>
  </r>
  <r>
    <x v="0"/>
    <x v="0"/>
    <x v="0"/>
    <x v="9"/>
    <x v="16"/>
    <x v="2"/>
    <x v="6"/>
    <n v="0"/>
  </r>
  <r>
    <x v="0"/>
    <x v="0"/>
    <x v="0"/>
    <x v="9"/>
    <x v="16"/>
    <x v="2"/>
    <x v="7"/>
    <n v="0"/>
  </r>
  <r>
    <x v="0"/>
    <x v="0"/>
    <x v="0"/>
    <x v="9"/>
    <x v="16"/>
    <x v="2"/>
    <x v="8"/>
    <n v="0"/>
  </r>
  <r>
    <x v="0"/>
    <x v="0"/>
    <x v="0"/>
    <x v="9"/>
    <x v="16"/>
    <x v="2"/>
    <x v="9"/>
    <n v="0"/>
  </r>
  <r>
    <x v="0"/>
    <x v="0"/>
    <x v="0"/>
    <x v="9"/>
    <x v="16"/>
    <x v="2"/>
    <x v="10"/>
    <n v="0"/>
  </r>
  <r>
    <x v="0"/>
    <x v="0"/>
    <x v="0"/>
    <x v="9"/>
    <x v="16"/>
    <x v="2"/>
    <x v="11"/>
    <n v="0"/>
  </r>
  <r>
    <x v="0"/>
    <x v="0"/>
    <x v="0"/>
    <x v="9"/>
    <x v="16"/>
    <x v="3"/>
    <x v="0"/>
    <n v="0"/>
  </r>
  <r>
    <x v="0"/>
    <x v="0"/>
    <x v="0"/>
    <x v="9"/>
    <x v="16"/>
    <x v="3"/>
    <x v="1"/>
    <n v="0"/>
  </r>
  <r>
    <x v="0"/>
    <x v="0"/>
    <x v="0"/>
    <x v="9"/>
    <x v="16"/>
    <x v="3"/>
    <x v="2"/>
    <n v="0"/>
  </r>
  <r>
    <x v="0"/>
    <x v="0"/>
    <x v="0"/>
    <x v="9"/>
    <x v="16"/>
    <x v="3"/>
    <x v="3"/>
    <n v="0"/>
  </r>
  <r>
    <x v="0"/>
    <x v="0"/>
    <x v="0"/>
    <x v="9"/>
    <x v="16"/>
    <x v="3"/>
    <x v="4"/>
    <n v="0"/>
  </r>
  <r>
    <x v="0"/>
    <x v="0"/>
    <x v="0"/>
    <x v="9"/>
    <x v="16"/>
    <x v="3"/>
    <x v="5"/>
    <n v="0"/>
  </r>
  <r>
    <x v="0"/>
    <x v="0"/>
    <x v="0"/>
    <x v="9"/>
    <x v="16"/>
    <x v="3"/>
    <x v="6"/>
    <n v="0"/>
  </r>
  <r>
    <x v="0"/>
    <x v="0"/>
    <x v="0"/>
    <x v="9"/>
    <x v="16"/>
    <x v="3"/>
    <x v="7"/>
    <n v="0"/>
  </r>
  <r>
    <x v="0"/>
    <x v="0"/>
    <x v="0"/>
    <x v="9"/>
    <x v="16"/>
    <x v="3"/>
    <x v="8"/>
    <n v="0"/>
  </r>
  <r>
    <x v="0"/>
    <x v="0"/>
    <x v="0"/>
    <x v="9"/>
    <x v="16"/>
    <x v="3"/>
    <x v="9"/>
    <n v="0"/>
  </r>
  <r>
    <x v="0"/>
    <x v="0"/>
    <x v="0"/>
    <x v="9"/>
    <x v="16"/>
    <x v="3"/>
    <x v="10"/>
    <n v="0"/>
  </r>
  <r>
    <x v="0"/>
    <x v="0"/>
    <x v="0"/>
    <x v="9"/>
    <x v="16"/>
    <x v="3"/>
    <x v="11"/>
    <n v="0"/>
  </r>
  <r>
    <x v="0"/>
    <x v="0"/>
    <x v="0"/>
    <x v="9"/>
    <x v="16"/>
    <x v="4"/>
    <x v="0"/>
    <n v="0"/>
  </r>
  <r>
    <x v="0"/>
    <x v="0"/>
    <x v="0"/>
    <x v="9"/>
    <x v="16"/>
    <x v="4"/>
    <x v="1"/>
    <n v="0"/>
  </r>
  <r>
    <x v="0"/>
    <x v="0"/>
    <x v="0"/>
    <x v="9"/>
    <x v="16"/>
    <x v="4"/>
    <x v="2"/>
    <n v="0"/>
  </r>
  <r>
    <x v="0"/>
    <x v="0"/>
    <x v="0"/>
    <x v="9"/>
    <x v="16"/>
    <x v="4"/>
    <x v="3"/>
    <n v="0"/>
  </r>
  <r>
    <x v="0"/>
    <x v="0"/>
    <x v="0"/>
    <x v="9"/>
    <x v="16"/>
    <x v="4"/>
    <x v="4"/>
    <n v="0"/>
  </r>
  <r>
    <x v="0"/>
    <x v="0"/>
    <x v="0"/>
    <x v="9"/>
    <x v="16"/>
    <x v="4"/>
    <x v="5"/>
    <n v="0"/>
  </r>
  <r>
    <x v="0"/>
    <x v="0"/>
    <x v="0"/>
    <x v="9"/>
    <x v="16"/>
    <x v="4"/>
    <x v="6"/>
    <n v="0"/>
  </r>
  <r>
    <x v="0"/>
    <x v="0"/>
    <x v="0"/>
    <x v="9"/>
    <x v="16"/>
    <x v="4"/>
    <x v="7"/>
    <n v="0"/>
  </r>
  <r>
    <x v="0"/>
    <x v="0"/>
    <x v="0"/>
    <x v="9"/>
    <x v="16"/>
    <x v="4"/>
    <x v="8"/>
    <n v="0"/>
  </r>
  <r>
    <x v="0"/>
    <x v="0"/>
    <x v="0"/>
    <x v="9"/>
    <x v="16"/>
    <x v="4"/>
    <x v="9"/>
    <n v="0"/>
  </r>
  <r>
    <x v="0"/>
    <x v="0"/>
    <x v="0"/>
    <x v="9"/>
    <x v="16"/>
    <x v="4"/>
    <x v="10"/>
    <n v="0"/>
  </r>
  <r>
    <x v="0"/>
    <x v="0"/>
    <x v="0"/>
    <x v="9"/>
    <x v="16"/>
    <x v="4"/>
    <x v="11"/>
    <n v="0"/>
  </r>
  <r>
    <x v="0"/>
    <x v="0"/>
    <x v="0"/>
    <x v="9"/>
    <x v="16"/>
    <x v="5"/>
    <x v="0"/>
    <n v="0"/>
  </r>
  <r>
    <x v="0"/>
    <x v="0"/>
    <x v="0"/>
    <x v="9"/>
    <x v="16"/>
    <x v="5"/>
    <x v="1"/>
    <n v="0"/>
  </r>
  <r>
    <x v="0"/>
    <x v="0"/>
    <x v="0"/>
    <x v="9"/>
    <x v="16"/>
    <x v="5"/>
    <x v="2"/>
    <n v="0"/>
  </r>
  <r>
    <x v="0"/>
    <x v="0"/>
    <x v="0"/>
    <x v="9"/>
    <x v="16"/>
    <x v="5"/>
    <x v="3"/>
    <n v="0"/>
  </r>
  <r>
    <x v="0"/>
    <x v="0"/>
    <x v="0"/>
    <x v="9"/>
    <x v="16"/>
    <x v="5"/>
    <x v="4"/>
    <n v="0"/>
  </r>
  <r>
    <x v="0"/>
    <x v="0"/>
    <x v="0"/>
    <x v="9"/>
    <x v="16"/>
    <x v="5"/>
    <x v="5"/>
    <n v="0"/>
  </r>
  <r>
    <x v="0"/>
    <x v="0"/>
    <x v="0"/>
    <x v="9"/>
    <x v="16"/>
    <x v="5"/>
    <x v="6"/>
    <n v="0"/>
  </r>
  <r>
    <x v="0"/>
    <x v="0"/>
    <x v="0"/>
    <x v="9"/>
    <x v="16"/>
    <x v="5"/>
    <x v="7"/>
    <n v="2.6526822760697798E-3"/>
  </r>
  <r>
    <x v="0"/>
    <x v="0"/>
    <x v="0"/>
    <x v="9"/>
    <x v="16"/>
    <x v="5"/>
    <x v="8"/>
    <n v="5.4909807763364397E-2"/>
  </r>
  <r>
    <x v="0"/>
    <x v="0"/>
    <x v="0"/>
    <x v="9"/>
    <x v="16"/>
    <x v="5"/>
    <x v="9"/>
    <n v="0"/>
  </r>
  <r>
    <x v="0"/>
    <x v="0"/>
    <x v="0"/>
    <x v="9"/>
    <x v="16"/>
    <x v="5"/>
    <x v="10"/>
    <n v="0"/>
  </r>
  <r>
    <x v="0"/>
    <x v="0"/>
    <x v="0"/>
    <x v="9"/>
    <x v="16"/>
    <x v="5"/>
    <x v="11"/>
    <n v="0"/>
  </r>
  <r>
    <x v="0"/>
    <x v="0"/>
    <x v="0"/>
    <x v="9"/>
    <x v="16"/>
    <x v="6"/>
    <x v="0"/>
    <n v="0"/>
  </r>
  <r>
    <x v="0"/>
    <x v="0"/>
    <x v="0"/>
    <x v="9"/>
    <x v="16"/>
    <x v="6"/>
    <x v="1"/>
    <n v="0"/>
  </r>
  <r>
    <x v="0"/>
    <x v="0"/>
    <x v="0"/>
    <x v="9"/>
    <x v="16"/>
    <x v="6"/>
    <x v="2"/>
    <n v="0"/>
  </r>
  <r>
    <x v="0"/>
    <x v="0"/>
    <x v="0"/>
    <x v="9"/>
    <x v="16"/>
    <x v="6"/>
    <x v="3"/>
    <n v="0"/>
  </r>
  <r>
    <x v="0"/>
    <x v="0"/>
    <x v="0"/>
    <x v="9"/>
    <x v="16"/>
    <x v="6"/>
    <x v="4"/>
    <n v="0"/>
  </r>
  <r>
    <x v="0"/>
    <x v="0"/>
    <x v="0"/>
    <x v="9"/>
    <x v="16"/>
    <x v="6"/>
    <x v="5"/>
    <n v="0"/>
  </r>
  <r>
    <x v="0"/>
    <x v="0"/>
    <x v="0"/>
    <x v="9"/>
    <x v="16"/>
    <x v="6"/>
    <x v="6"/>
    <n v="0"/>
  </r>
  <r>
    <x v="0"/>
    <x v="0"/>
    <x v="0"/>
    <x v="9"/>
    <x v="16"/>
    <x v="6"/>
    <x v="7"/>
    <n v="0"/>
  </r>
  <r>
    <x v="0"/>
    <x v="0"/>
    <x v="0"/>
    <x v="9"/>
    <x v="16"/>
    <x v="6"/>
    <x v="8"/>
    <n v="0"/>
  </r>
  <r>
    <x v="0"/>
    <x v="0"/>
    <x v="0"/>
    <x v="9"/>
    <x v="16"/>
    <x v="6"/>
    <x v="9"/>
    <n v="0"/>
  </r>
  <r>
    <x v="0"/>
    <x v="0"/>
    <x v="0"/>
    <x v="9"/>
    <x v="16"/>
    <x v="6"/>
    <x v="10"/>
    <n v="0"/>
  </r>
  <r>
    <x v="0"/>
    <x v="0"/>
    <x v="0"/>
    <x v="9"/>
    <x v="16"/>
    <x v="6"/>
    <x v="11"/>
    <n v="0"/>
  </r>
  <r>
    <x v="0"/>
    <x v="0"/>
    <x v="0"/>
    <x v="9"/>
    <x v="16"/>
    <x v="7"/>
    <x v="0"/>
    <n v="0"/>
  </r>
  <r>
    <x v="0"/>
    <x v="0"/>
    <x v="0"/>
    <x v="9"/>
    <x v="16"/>
    <x v="7"/>
    <x v="1"/>
    <n v="0"/>
  </r>
  <r>
    <x v="0"/>
    <x v="0"/>
    <x v="0"/>
    <x v="9"/>
    <x v="16"/>
    <x v="7"/>
    <x v="2"/>
    <n v="0"/>
  </r>
  <r>
    <x v="0"/>
    <x v="0"/>
    <x v="0"/>
    <x v="9"/>
    <x v="16"/>
    <x v="7"/>
    <x v="3"/>
    <n v="0"/>
  </r>
  <r>
    <x v="0"/>
    <x v="0"/>
    <x v="0"/>
    <x v="9"/>
    <x v="16"/>
    <x v="7"/>
    <x v="4"/>
    <n v="0"/>
  </r>
  <r>
    <x v="0"/>
    <x v="0"/>
    <x v="0"/>
    <x v="9"/>
    <x v="16"/>
    <x v="7"/>
    <x v="5"/>
    <n v="0"/>
  </r>
  <r>
    <x v="0"/>
    <x v="0"/>
    <x v="0"/>
    <x v="9"/>
    <x v="16"/>
    <x v="7"/>
    <x v="6"/>
    <n v="0"/>
  </r>
  <r>
    <x v="0"/>
    <x v="0"/>
    <x v="0"/>
    <x v="9"/>
    <x v="16"/>
    <x v="7"/>
    <x v="7"/>
    <n v="0"/>
  </r>
  <r>
    <x v="0"/>
    <x v="0"/>
    <x v="0"/>
    <x v="9"/>
    <x v="16"/>
    <x v="7"/>
    <x v="8"/>
    <n v="0"/>
  </r>
  <r>
    <x v="0"/>
    <x v="0"/>
    <x v="0"/>
    <x v="9"/>
    <x v="16"/>
    <x v="7"/>
    <x v="9"/>
    <n v="0"/>
  </r>
  <r>
    <x v="0"/>
    <x v="0"/>
    <x v="0"/>
    <x v="9"/>
    <x v="16"/>
    <x v="7"/>
    <x v="10"/>
    <n v="0"/>
  </r>
  <r>
    <x v="0"/>
    <x v="0"/>
    <x v="0"/>
    <x v="9"/>
    <x v="16"/>
    <x v="7"/>
    <x v="11"/>
    <n v="0"/>
  </r>
  <r>
    <x v="0"/>
    <x v="0"/>
    <x v="0"/>
    <x v="9"/>
    <x v="16"/>
    <x v="8"/>
    <x v="0"/>
    <n v="1.2"/>
  </r>
  <r>
    <x v="0"/>
    <x v="0"/>
    <x v="0"/>
    <x v="9"/>
    <x v="16"/>
    <x v="8"/>
    <x v="1"/>
    <n v="1.2"/>
  </r>
  <r>
    <x v="0"/>
    <x v="0"/>
    <x v="0"/>
    <x v="9"/>
    <x v="16"/>
    <x v="8"/>
    <x v="2"/>
    <n v="1.2"/>
  </r>
  <r>
    <x v="0"/>
    <x v="0"/>
    <x v="0"/>
    <x v="9"/>
    <x v="16"/>
    <x v="8"/>
    <x v="3"/>
    <n v="1.2"/>
  </r>
  <r>
    <x v="0"/>
    <x v="0"/>
    <x v="0"/>
    <x v="9"/>
    <x v="16"/>
    <x v="8"/>
    <x v="4"/>
    <n v="1.2"/>
  </r>
  <r>
    <x v="0"/>
    <x v="0"/>
    <x v="0"/>
    <x v="9"/>
    <x v="16"/>
    <x v="8"/>
    <x v="5"/>
    <n v="1.2"/>
  </r>
  <r>
    <x v="0"/>
    <x v="0"/>
    <x v="0"/>
    <x v="9"/>
    <x v="16"/>
    <x v="8"/>
    <x v="6"/>
    <n v="0"/>
  </r>
  <r>
    <x v="0"/>
    <x v="0"/>
    <x v="0"/>
    <x v="9"/>
    <x v="16"/>
    <x v="8"/>
    <x v="7"/>
    <n v="0"/>
  </r>
  <r>
    <x v="0"/>
    <x v="0"/>
    <x v="0"/>
    <x v="9"/>
    <x v="16"/>
    <x v="8"/>
    <x v="8"/>
    <n v="0"/>
  </r>
  <r>
    <x v="0"/>
    <x v="0"/>
    <x v="0"/>
    <x v="9"/>
    <x v="16"/>
    <x v="8"/>
    <x v="9"/>
    <n v="0"/>
  </r>
  <r>
    <x v="0"/>
    <x v="0"/>
    <x v="0"/>
    <x v="9"/>
    <x v="16"/>
    <x v="8"/>
    <x v="10"/>
    <n v="0"/>
  </r>
  <r>
    <x v="0"/>
    <x v="0"/>
    <x v="0"/>
    <x v="9"/>
    <x v="16"/>
    <x v="8"/>
    <x v="11"/>
    <n v="0.38565695465372002"/>
  </r>
  <r>
    <x v="0"/>
    <x v="0"/>
    <x v="0"/>
    <x v="9"/>
    <x v="16"/>
    <x v="9"/>
    <x v="0"/>
    <n v="0"/>
  </r>
  <r>
    <x v="0"/>
    <x v="0"/>
    <x v="0"/>
    <x v="9"/>
    <x v="16"/>
    <x v="9"/>
    <x v="1"/>
    <n v="0"/>
  </r>
  <r>
    <x v="0"/>
    <x v="0"/>
    <x v="0"/>
    <x v="9"/>
    <x v="16"/>
    <x v="9"/>
    <x v="2"/>
    <n v="1.2"/>
  </r>
  <r>
    <x v="0"/>
    <x v="0"/>
    <x v="0"/>
    <x v="9"/>
    <x v="16"/>
    <x v="9"/>
    <x v="3"/>
    <n v="0"/>
  </r>
  <r>
    <x v="0"/>
    <x v="0"/>
    <x v="0"/>
    <x v="9"/>
    <x v="16"/>
    <x v="9"/>
    <x v="4"/>
    <n v="0"/>
  </r>
  <r>
    <x v="0"/>
    <x v="0"/>
    <x v="0"/>
    <x v="9"/>
    <x v="16"/>
    <x v="9"/>
    <x v="5"/>
    <n v="1.2"/>
  </r>
  <r>
    <x v="0"/>
    <x v="0"/>
    <x v="0"/>
    <x v="9"/>
    <x v="16"/>
    <x v="9"/>
    <x v="6"/>
    <n v="1.2"/>
  </r>
  <r>
    <x v="0"/>
    <x v="0"/>
    <x v="0"/>
    <x v="9"/>
    <x v="16"/>
    <x v="9"/>
    <x v="7"/>
    <n v="1.2"/>
  </r>
  <r>
    <x v="0"/>
    <x v="0"/>
    <x v="0"/>
    <x v="9"/>
    <x v="16"/>
    <x v="9"/>
    <x v="8"/>
    <n v="1.2"/>
  </r>
  <r>
    <x v="0"/>
    <x v="0"/>
    <x v="0"/>
    <x v="9"/>
    <x v="16"/>
    <x v="9"/>
    <x v="9"/>
    <n v="1.2"/>
  </r>
  <r>
    <x v="0"/>
    <x v="0"/>
    <x v="0"/>
    <x v="9"/>
    <x v="16"/>
    <x v="9"/>
    <x v="10"/>
    <n v="1.2"/>
  </r>
  <r>
    <x v="0"/>
    <x v="0"/>
    <x v="0"/>
    <x v="9"/>
    <x v="16"/>
    <x v="9"/>
    <x v="11"/>
    <n v="1.2"/>
  </r>
  <r>
    <x v="0"/>
    <x v="0"/>
    <x v="0"/>
    <x v="9"/>
    <x v="16"/>
    <x v="10"/>
    <x v="0"/>
    <n v="0"/>
  </r>
  <r>
    <x v="0"/>
    <x v="0"/>
    <x v="0"/>
    <x v="9"/>
    <x v="16"/>
    <x v="10"/>
    <x v="1"/>
    <n v="1.2"/>
  </r>
  <r>
    <x v="0"/>
    <x v="0"/>
    <x v="0"/>
    <x v="9"/>
    <x v="16"/>
    <x v="10"/>
    <x v="2"/>
    <n v="0"/>
  </r>
  <r>
    <x v="0"/>
    <x v="0"/>
    <x v="0"/>
    <x v="9"/>
    <x v="16"/>
    <x v="10"/>
    <x v="3"/>
    <n v="1.2"/>
  </r>
  <r>
    <x v="0"/>
    <x v="0"/>
    <x v="0"/>
    <x v="9"/>
    <x v="16"/>
    <x v="10"/>
    <x v="4"/>
    <n v="1.2"/>
  </r>
  <r>
    <x v="0"/>
    <x v="0"/>
    <x v="0"/>
    <x v="9"/>
    <x v="16"/>
    <x v="10"/>
    <x v="5"/>
    <n v="1.2"/>
  </r>
  <r>
    <x v="0"/>
    <x v="0"/>
    <x v="0"/>
    <x v="9"/>
    <x v="16"/>
    <x v="10"/>
    <x v="6"/>
    <n v="0"/>
  </r>
  <r>
    <x v="0"/>
    <x v="0"/>
    <x v="0"/>
    <x v="9"/>
    <x v="16"/>
    <x v="10"/>
    <x v="7"/>
    <n v="0"/>
  </r>
  <r>
    <x v="0"/>
    <x v="0"/>
    <x v="0"/>
    <x v="9"/>
    <x v="16"/>
    <x v="10"/>
    <x v="8"/>
    <n v="0"/>
  </r>
  <r>
    <x v="0"/>
    <x v="0"/>
    <x v="0"/>
    <x v="9"/>
    <x v="16"/>
    <x v="10"/>
    <x v="9"/>
    <n v="1.2"/>
  </r>
  <r>
    <x v="0"/>
    <x v="0"/>
    <x v="0"/>
    <x v="9"/>
    <x v="16"/>
    <x v="10"/>
    <x v="10"/>
    <n v="0"/>
  </r>
  <r>
    <x v="0"/>
    <x v="0"/>
    <x v="0"/>
    <x v="9"/>
    <x v="16"/>
    <x v="10"/>
    <x v="11"/>
    <n v="0.44708092403737099"/>
  </r>
  <r>
    <x v="0"/>
    <x v="0"/>
    <x v="0"/>
    <x v="9"/>
    <x v="16"/>
    <x v="11"/>
    <x v="0"/>
    <n v="0"/>
  </r>
  <r>
    <x v="0"/>
    <x v="0"/>
    <x v="0"/>
    <x v="9"/>
    <x v="16"/>
    <x v="11"/>
    <x v="1"/>
    <n v="0"/>
  </r>
  <r>
    <x v="0"/>
    <x v="0"/>
    <x v="0"/>
    <x v="9"/>
    <x v="16"/>
    <x v="11"/>
    <x v="2"/>
    <n v="0"/>
  </r>
  <r>
    <x v="0"/>
    <x v="0"/>
    <x v="0"/>
    <x v="9"/>
    <x v="16"/>
    <x v="11"/>
    <x v="3"/>
    <n v="0"/>
  </r>
  <r>
    <x v="0"/>
    <x v="0"/>
    <x v="0"/>
    <x v="9"/>
    <x v="16"/>
    <x v="11"/>
    <x v="4"/>
    <n v="0"/>
  </r>
  <r>
    <x v="0"/>
    <x v="0"/>
    <x v="0"/>
    <x v="9"/>
    <x v="16"/>
    <x v="11"/>
    <x v="5"/>
    <n v="0"/>
  </r>
  <r>
    <x v="0"/>
    <x v="0"/>
    <x v="0"/>
    <x v="9"/>
    <x v="16"/>
    <x v="11"/>
    <x v="6"/>
    <n v="0"/>
  </r>
  <r>
    <x v="0"/>
    <x v="0"/>
    <x v="0"/>
    <x v="9"/>
    <x v="16"/>
    <x v="11"/>
    <x v="7"/>
    <n v="0"/>
  </r>
  <r>
    <x v="0"/>
    <x v="0"/>
    <x v="0"/>
    <x v="9"/>
    <x v="16"/>
    <x v="11"/>
    <x v="8"/>
    <n v="0"/>
  </r>
  <r>
    <x v="0"/>
    <x v="0"/>
    <x v="0"/>
    <x v="9"/>
    <x v="16"/>
    <x v="11"/>
    <x v="9"/>
    <n v="0"/>
  </r>
  <r>
    <x v="0"/>
    <x v="0"/>
    <x v="0"/>
    <x v="9"/>
    <x v="16"/>
    <x v="11"/>
    <x v="10"/>
    <n v="0"/>
  </r>
  <r>
    <x v="0"/>
    <x v="0"/>
    <x v="0"/>
    <x v="9"/>
    <x v="16"/>
    <x v="11"/>
    <x v="11"/>
    <n v="0"/>
  </r>
  <r>
    <x v="0"/>
    <x v="0"/>
    <x v="0"/>
    <x v="10"/>
    <x v="15"/>
    <x v="0"/>
    <x v="0"/>
    <n v="0"/>
  </r>
  <r>
    <x v="0"/>
    <x v="0"/>
    <x v="0"/>
    <x v="10"/>
    <x v="15"/>
    <x v="0"/>
    <x v="1"/>
    <n v="0"/>
  </r>
  <r>
    <x v="0"/>
    <x v="0"/>
    <x v="0"/>
    <x v="10"/>
    <x v="15"/>
    <x v="0"/>
    <x v="2"/>
    <n v="0"/>
  </r>
  <r>
    <x v="0"/>
    <x v="0"/>
    <x v="0"/>
    <x v="10"/>
    <x v="15"/>
    <x v="0"/>
    <x v="3"/>
    <n v="0"/>
  </r>
  <r>
    <x v="0"/>
    <x v="0"/>
    <x v="0"/>
    <x v="10"/>
    <x v="15"/>
    <x v="0"/>
    <x v="4"/>
    <n v="0"/>
  </r>
  <r>
    <x v="0"/>
    <x v="0"/>
    <x v="0"/>
    <x v="10"/>
    <x v="15"/>
    <x v="0"/>
    <x v="5"/>
    <n v="0"/>
  </r>
  <r>
    <x v="0"/>
    <x v="0"/>
    <x v="0"/>
    <x v="10"/>
    <x v="15"/>
    <x v="0"/>
    <x v="6"/>
    <n v="0"/>
  </r>
  <r>
    <x v="0"/>
    <x v="0"/>
    <x v="0"/>
    <x v="10"/>
    <x v="15"/>
    <x v="0"/>
    <x v="7"/>
    <n v="0"/>
  </r>
  <r>
    <x v="0"/>
    <x v="0"/>
    <x v="0"/>
    <x v="10"/>
    <x v="15"/>
    <x v="0"/>
    <x v="8"/>
    <n v="0"/>
  </r>
  <r>
    <x v="0"/>
    <x v="0"/>
    <x v="0"/>
    <x v="10"/>
    <x v="15"/>
    <x v="0"/>
    <x v="9"/>
    <n v="0"/>
  </r>
  <r>
    <x v="0"/>
    <x v="0"/>
    <x v="0"/>
    <x v="10"/>
    <x v="15"/>
    <x v="0"/>
    <x v="10"/>
    <n v="0"/>
  </r>
  <r>
    <x v="0"/>
    <x v="0"/>
    <x v="0"/>
    <x v="10"/>
    <x v="15"/>
    <x v="0"/>
    <x v="11"/>
    <n v="0"/>
  </r>
  <r>
    <x v="0"/>
    <x v="0"/>
    <x v="0"/>
    <x v="10"/>
    <x v="15"/>
    <x v="1"/>
    <x v="0"/>
    <n v="0"/>
  </r>
  <r>
    <x v="0"/>
    <x v="0"/>
    <x v="0"/>
    <x v="10"/>
    <x v="15"/>
    <x v="1"/>
    <x v="1"/>
    <n v="0"/>
  </r>
  <r>
    <x v="0"/>
    <x v="0"/>
    <x v="0"/>
    <x v="10"/>
    <x v="15"/>
    <x v="1"/>
    <x v="2"/>
    <n v="0"/>
  </r>
  <r>
    <x v="0"/>
    <x v="0"/>
    <x v="0"/>
    <x v="10"/>
    <x v="15"/>
    <x v="1"/>
    <x v="3"/>
    <n v="0"/>
  </r>
  <r>
    <x v="0"/>
    <x v="0"/>
    <x v="0"/>
    <x v="10"/>
    <x v="15"/>
    <x v="1"/>
    <x v="4"/>
    <n v="0"/>
  </r>
  <r>
    <x v="0"/>
    <x v="0"/>
    <x v="0"/>
    <x v="10"/>
    <x v="15"/>
    <x v="1"/>
    <x v="5"/>
    <n v="0"/>
  </r>
  <r>
    <x v="0"/>
    <x v="0"/>
    <x v="0"/>
    <x v="10"/>
    <x v="15"/>
    <x v="1"/>
    <x v="6"/>
    <n v="0"/>
  </r>
  <r>
    <x v="0"/>
    <x v="0"/>
    <x v="0"/>
    <x v="10"/>
    <x v="15"/>
    <x v="1"/>
    <x v="7"/>
    <n v="0"/>
  </r>
  <r>
    <x v="0"/>
    <x v="0"/>
    <x v="0"/>
    <x v="10"/>
    <x v="15"/>
    <x v="1"/>
    <x v="8"/>
    <n v="0"/>
  </r>
  <r>
    <x v="0"/>
    <x v="0"/>
    <x v="0"/>
    <x v="10"/>
    <x v="15"/>
    <x v="1"/>
    <x v="9"/>
    <n v="0"/>
  </r>
  <r>
    <x v="0"/>
    <x v="0"/>
    <x v="0"/>
    <x v="10"/>
    <x v="15"/>
    <x v="1"/>
    <x v="10"/>
    <n v="0"/>
  </r>
  <r>
    <x v="0"/>
    <x v="0"/>
    <x v="0"/>
    <x v="10"/>
    <x v="15"/>
    <x v="1"/>
    <x v="11"/>
    <n v="0"/>
  </r>
  <r>
    <x v="0"/>
    <x v="0"/>
    <x v="0"/>
    <x v="10"/>
    <x v="15"/>
    <x v="2"/>
    <x v="0"/>
    <n v="0"/>
  </r>
  <r>
    <x v="0"/>
    <x v="0"/>
    <x v="0"/>
    <x v="10"/>
    <x v="15"/>
    <x v="2"/>
    <x v="1"/>
    <n v="0"/>
  </r>
  <r>
    <x v="0"/>
    <x v="0"/>
    <x v="0"/>
    <x v="10"/>
    <x v="15"/>
    <x v="2"/>
    <x v="2"/>
    <n v="0"/>
  </r>
  <r>
    <x v="0"/>
    <x v="0"/>
    <x v="0"/>
    <x v="10"/>
    <x v="15"/>
    <x v="2"/>
    <x v="3"/>
    <n v="0"/>
  </r>
  <r>
    <x v="0"/>
    <x v="0"/>
    <x v="0"/>
    <x v="10"/>
    <x v="15"/>
    <x v="2"/>
    <x v="4"/>
    <n v="0"/>
  </r>
  <r>
    <x v="0"/>
    <x v="0"/>
    <x v="0"/>
    <x v="10"/>
    <x v="15"/>
    <x v="2"/>
    <x v="5"/>
    <n v="0"/>
  </r>
  <r>
    <x v="0"/>
    <x v="0"/>
    <x v="0"/>
    <x v="10"/>
    <x v="15"/>
    <x v="2"/>
    <x v="6"/>
    <n v="0"/>
  </r>
  <r>
    <x v="0"/>
    <x v="0"/>
    <x v="0"/>
    <x v="10"/>
    <x v="15"/>
    <x v="2"/>
    <x v="7"/>
    <n v="0"/>
  </r>
  <r>
    <x v="0"/>
    <x v="0"/>
    <x v="0"/>
    <x v="10"/>
    <x v="15"/>
    <x v="2"/>
    <x v="8"/>
    <n v="0"/>
  </r>
  <r>
    <x v="0"/>
    <x v="0"/>
    <x v="0"/>
    <x v="10"/>
    <x v="15"/>
    <x v="2"/>
    <x v="9"/>
    <n v="0"/>
  </r>
  <r>
    <x v="0"/>
    <x v="0"/>
    <x v="0"/>
    <x v="10"/>
    <x v="15"/>
    <x v="2"/>
    <x v="10"/>
    <n v="0"/>
  </r>
  <r>
    <x v="0"/>
    <x v="0"/>
    <x v="0"/>
    <x v="10"/>
    <x v="15"/>
    <x v="2"/>
    <x v="11"/>
    <n v="0"/>
  </r>
  <r>
    <x v="0"/>
    <x v="0"/>
    <x v="0"/>
    <x v="10"/>
    <x v="15"/>
    <x v="3"/>
    <x v="0"/>
    <n v="0"/>
  </r>
  <r>
    <x v="0"/>
    <x v="0"/>
    <x v="0"/>
    <x v="10"/>
    <x v="15"/>
    <x v="3"/>
    <x v="1"/>
    <n v="0"/>
  </r>
  <r>
    <x v="0"/>
    <x v="0"/>
    <x v="0"/>
    <x v="10"/>
    <x v="15"/>
    <x v="3"/>
    <x v="2"/>
    <n v="0"/>
  </r>
  <r>
    <x v="0"/>
    <x v="0"/>
    <x v="0"/>
    <x v="10"/>
    <x v="15"/>
    <x v="3"/>
    <x v="3"/>
    <n v="0"/>
  </r>
  <r>
    <x v="0"/>
    <x v="0"/>
    <x v="0"/>
    <x v="10"/>
    <x v="15"/>
    <x v="3"/>
    <x v="4"/>
    <n v="0"/>
  </r>
  <r>
    <x v="0"/>
    <x v="0"/>
    <x v="0"/>
    <x v="10"/>
    <x v="15"/>
    <x v="3"/>
    <x v="5"/>
    <n v="0"/>
  </r>
  <r>
    <x v="0"/>
    <x v="0"/>
    <x v="0"/>
    <x v="10"/>
    <x v="15"/>
    <x v="3"/>
    <x v="6"/>
    <n v="0"/>
  </r>
  <r>
    <x v="0"/>
    <x v="0"/>
    <x v="0"/>
    <x v="10"/>
    <x v="15"/>
    <x v="3"/>
    <x v="7"/>
    <n v="0"/>
  </r>
  <r>
    <x v="0"/>
    <x v="0"/>
    <x v="0"/>
    <x v="10"/>
    <x v="15"/>
    <x v="3"/>
    <x v="8"/>
    <n v="0"/>
  </r>
  <r>
    <x v="0"/>
    <x v="0"/>
    <x v="0"/>
    <x v="10"/>
    <x v="15"/>
    <x v="3"/>
    <x v="9"/>
    <n v="0"/>
  </r>
  <r>
    <x v="0"/>
    <x v="0"/>
    <x v="0"/>
    <x v="10"/>
    <x v="15"/>
    <x v="3"/>
    <x v="10"/>
    <n v="0"/>
  </r>
  <r>
    <x v="0"/>
    <x v="0"/>
    <x v="0"/>
    <x v="10"/>
    <x v="15"/>
    <x v="3"/>
    <x v="11"/>
    <n v="0"/>
  </r>
  <r>
    <x v="0"/>
    <x v="0"/>
    <x v="0"/>
    <x v="10"/>
    <x v="15"/>
    <x v="4"/>
    <x v="0"/>
    <n v="0"/>
  </r>
  <r>
    <x v="0"/>
    <x v="0"/>
    <x v="0"/>
    <x v="10"/>
    <x v="15"/>
    <x v="4"/>
    <x v="1"/>
    <n v="0"/>
  </r>
  <r>
    <x v="0"/>
    <x v="0"/>
    <x v="0"/>
    <x v="10"/>
    <x v="15"/>
    <x v="4"/>
    <x v="2"/>
    <n v="0"/>
  </r>
  <r>
    <x v="0"/>
    <x v="0"/>
    <x v="0"/>
    <x v="10"/>
    <x v="15"/>
    <x v="4"/>
    <x v="3"/>
    <n v="0"/>
  </r>
  <r>
    <x v="0"/>
    <x v="0"/>
    <x v="0"/>
    <x v="10"/>
    <x v="15"/>
    <x v="4"/>
    <x v="4"/>
    <n v="0"/>
  </r>
  <r>
    <x v="0"/>
    <x v="0"/>
    <x v="0"/>
    <x v="10"/>
    <x v="15"/>
    <x v="4"/>
    <x v="5"/>
    <n v="0"/>
  </r>
  <r>
    <x v="0"/>
    <x v="0"/>
    <x v="0"/>
    <x v="10"/>
    <x v="15"/>
    <x v="4"/>
    <x v="6"/>
    <n v="0"/>
  </r>
  <r>
    <x v="0"/>
    <x v="0"/>
    <x v="0"/>
    <x v="10"/>
    <x v="15"/>
    <x v="4"/>
    <x v="7"/>
    <n v="0"/>
  </r>
  <r>
    <x v="0"/>
    <x v="0"/>
    <x v="0"/>
    <x v="10"/>
    <x v="15"/>
    <x v="4"/>
    <x v="8"/>
    <n v="0"/>
  </r>
  <r>
    <x v="0"/>
    <x v="0"/>
    <x v="0"/>
    <x v="10"/>
    <x v="15"/>
    <x v="4"/>
    <x v="9"/>
    <n v="0"/>
  </r>
  <r>
    <x v="0"/>
    <x v="0"/>
    <x v="0"/>
    <x v="10"/>
    <x v="15"/>
    <x v="4"/>
    <x v="10"/>
    <n v="0"/>
  </r>
  <r>
    <x v="0"/>
    <x v="0"/>
    <x v="0"/>
    <x v="10"/>
    <x v="15"/>
    <x v="4"/>
    <x v="11"/>
    <n v="0"/>
  </r>
  <r>
    <x v="0"/>
    <x v="0"/>
    <x v="0"/>
    <x v="10"/>
    <x v="15"/>
    <x v="5"/>
    <x v="0"/>
    <n v="0"/>
  </r>
  <r>
    <x v="0"/>
    <x v="0"/>
    <x v="0"/>
    <x v="10"/>
    <x v="15"/>
    <x v="5"/>
    <x v="1"/>
    <n v="0"/>
  </r>
  <r>
    <x v="0"/>
    <x v="0"/>
    <x v="0"/>
    <x v="10"/>
    <x v="15"/>
    <x v="5"/>
    <x v="2"/>
    <n v="0"/>
  </r>
  <r>
    <x v="0"/>
    <x v="0"/>
    <x v="0"/>
    <x v="10"/>
    <x v="15"/>
    <x v="5"/>
    <x v="3"/>
    <n v="0"/>
  </r>
  <r>
    <x v="0"/>
    <x v="0"/>
    <x v="0"/>
    <x v="10"/>
    <x v="15"/>
    <x v="5"/>
    <x v="4"/>
    <n v="0"/>
  </r>
  <r>
    <x v="0"/>
    <x v="0"/>
    <x v="0"/>
    <x v="10"/>
    <x v="15"/>
    <x v="5"/>
    <x v="5"/>
    <n v="0"/>
  </r>
  <r>
    <x v="0"/>
    <x v="0"/>
    <x v="0"/>
    <x v="10"/>
    <x v="15"/>
    <x v="5"/>
    <x v="6"/>
    <n v="0"/>
  </r>
  <r>
    <x v="0"/>
    <x v="0"/>
    <x v="0"/>
    <x v="10"/>
    <x v="15"/>
    <x v="5"/>
    <x v="7"/>
    <n v="0"/>
  </r>
  <r>
    <x v="0"/>
    <x v="0"/>
    <x v="0"/>
    <x v="10"/>
    <x v="15"/>
    <x v="5"/>
    <x v="8"/>
    <n v="0"/>
  </r>
  <r>
    <x v="0"/>
    <x v="0"/>
    <x v="0"/>
    <x v="10"/>
    <x v="15"/>
    <x v="5"/>
    <x v="9"/>
    <n v="0"/>
  </r>
  <r>
    <x v="0"/>
    <x v="0"/>
    <x v="0"/>
    <x v="10"/>
    <x v="15"/>
    <x v="5"/>
    <x v="10"/>
    <n v="0"/>
  </r>
  <r>
    <x v="0"/>
    <x v="0"/>
    <x v="0"/>
    <x v="10"/>
    <x v="15"/>
    <x v="5"/>
    <x v="11"/>
    <n v="0"/>
  </r>
  <r>
    <x v="0"/>
    <x v="0"/>
    <x v="0"/>
    <x v="10"/>
    <x v="15"/>
    <x v="6"/>
    <x v="0"/>
    <n v="0"/>
  </r>
  <r>
    <x v="0"/>
    <x v="0"/>
    <x v="0"/>
    <x v="10"/>
    <x v="15"/>
    <x v="6"/>
    <x v="1"/>
    <n v="0"/>
  </r>
  <r>
    <x v="0"/>
    <x v="0"/>
    <x v="0"/>
    <x v="10"/>
    <x v="15"/>
    <x v="6"/>
    <x v="2"/>
    <n v="0"/>
  </r>
  <r>
    <x v="0"/>
    <x v="0"/>
    <x v="0"/>
    <x v="10"/>
    <x v="15"/>
    <x v="6"/>
    <x v="3"/>
    <n v="0"/>
  </r>
  <r>
    <x v="0"/>
    <x v="0"/>
    <x v="0"/>
    <x v="10"/>
    <x v="15"/>
    <x v="6"/>
    <x v="4"/>
    <n v="0"/>
  </r>
  <r>
    <x v="0"/>
    <x v="0"/>
    <x v="0"/>
    <x v="10"/>
    <x v="15"/>
    <x v="6"/>
    <x v="5"/>
    <n v="0"/>
  </r>
  <r>
    <x v="0"/>
    <x v="0"/>
    <x v="0"/>
    <x v="10"/>
    <x v="15"/>
    <x v="6"/>
    <x v="6"/>
    <n v="0"/>
  </r>
  <r>
    <x v="0"/>
    <x v="0"/>
    <x v="0"/>
    <x v="10"/>
    <x v="15"/>
    <x v="6"/>
    <x v="7"/>
    <n v="0"/>
  </r>
  <r>
    <x v="0"/>
    <x v="0"/>
    <x v="0"/>
    <x v="10"/>
    <x v="15"/>
    <x v="6"/>
    <x v="8"/>
    <n v="0"/>
  </r>
  <r>
    <x v="0"/>
    <x v="0"/>
    <x v="0"/>
    <x v="10"/>
    <x v="15"/>
    <x v="6"/>
    <x v="9"/>
    <n v="0"/>
  </r>
  <r>
    <x v="0"/>
    <x v="0"/>
    <x v="0"/>
    <x v="10"/>
    <x v="15"/>
    <x v="6"/>
    <x v="10"/>
    <n v="0"/>
  </r>
  <r>
    <x v="0"/>
    <x v="0"/>
    <x v="0"/>
    <x v="10"/>
    <x v="15"/>
    <x v="6"/>
    <x v="11"/>
    <n v="0"/>
  </r>
  <r>
    <x v="0"/>
    <x v="0"/>
    <x v="0"/>
    <x v="10"/>
    <x v="15"/>
    <x v="7"/>
    <x v="0"/>
    <n v="0"/>
  </r>
  <r>
    <x v="0"/>
    <x v="0"/>
    <x v="0"/>
    <x v="10"/>
    <x v="15"/>
    <x v="7"/>
    <x v="1"/>
    <n v="0"/>
  </r>
  <r>
    <x v="0"/>
    <x v="0"/>
    <x v="0"/>
    <x v="10"/>
    <x v="15"/>
    <x v="7"/>
    <x v="2"/>
    <n v="0"/>
  </r>
  <r>
    <x v="0"/>
    <x v="0"/>
    <x v="0"/>
    <x v="10"/>
    <x v="15"/>
    <x v="7"/>
    <x v="3"/>
    <n v="0"/>
  </r>
  <r>
    <x v="0"/>
    <x v="0"/>
    <x v="0"/>
    <x v="10"/>
    <x v="15"/>
    <x v="7"/>
    <x v="4"/>
    <n v="0"/>
  </r>
  <r>
    <x v="0"/>
    <x v="0"/>
    <x v="0"/>
    <x v="10"/>
    <x v="15"/>
    <x v="7"/>
    <x v="5"/>
    <n v="0"/>
  </r>
  <r>
    <x v="0"/>
    <x v="0"/>
    <x v="0"/>
    <x v="10"/>
    <x v="15"/>
    <x v="7"/>
    <x v="6"/>
    <n v="0"/>
  </r>
  <r>
    <x v="0"/>
    <x v="0"/>
    <x v="0"/>
    <x v="10"/>
    <x v="15"/>
    <x v="7"/>
    <x v="7"/>
    <n v="0"/>
  </r>
  <r>
    <x v="0"/>
    <x v="0"/>
    <x v="0"/>
    <x v="10"/>
    <x v="15"/>
    <x v="7"/>
    <x v="8"/>
    <n v="0"/>
  </r>
  <r>
    <x v="0"/>
    <x v="0"/>
    <x v="0"/>
    <x v="10"/>
    <x v="15"/>
    <x v="7"/>
    <x v="9"/>
    <n v="0"/>
  </r>
  <r>
    <x v="0"/>
    <x v="0"/>
    <x v="0"/>
    <x v="10"/>
    <x v="15"/>
    <x v="7"/>
    <x v="10"/>
    <n v="0"/>
  </r>
  <r>
    <x v="0"/>
    <x v="0"/>
    <x v="0"/>
    <x v="10"/>
    <x v="15"/>
    <x v="7"/>
    <x v="11"/>
    <n v="0"/>
  </r>
  <r>
    <x v="0"/>
    <x v="0"/>
    <x v="0"/>
    <x v="10"/>
    <x v="15"/>
    <x v="8"/>
    <x v="0"/>
    <n v="0"/>
  </r>
  <r>
    <x v="0"/>
    <x v="0"/>
    <x v="0"/>
    <x v="10"/>
    <x v="15"/>
    <x v="8"/>
    <x v="1"/>
    <n v="0"/>
  </r>
  <r>
    <x v="0"/>
    <x v="0"/>
    <x v="0"/>
    <x v="10"/>
    <x v="15"/>
    <x v="8"/>
    <x v="2"/>
    <n v="0"/>
  </r>
  <r>
    <x v="0"/>
    <x v="0"/>
    <x v="0"/>
    <x v="10"/>
    <x v="15"/>
    <x v="8"/>
    <x v="3"/>
    <n v="0"/>
  </r>
  <r>
    <x v="0"/>
    <x v="0"/>
    <x v="0"/>
    <x v="10"/>
    <x v="15"/>
    <x v="8"/>
    <x v="4"/>
    <n v="0"/>
  </r>
  <r>
    <x v="0"/>
    <x v="0"/>
    <x v="0"/>
    <x v="10"/>
    <x v="15"/>
    <x v="8"/>
    <x v="5"/>
    <n v="0"/>
  </r>
  <r>
    <x v="0"/>
    <x v="0"/>
    <x v="0"/>
    <x v="10"/>
    <x v="15"/>
    <x v="8"/>
    <x v="6"/>
    <n v="0"/>
  </r>
  <r>
    <x v="0"/>
    <x v="0"/>
    <x v="0"/>
    <x v="10"/>
    <x v="15"/>
    <x v="8"/>
    <x v="7"/>
    <n v="0"/>
  </r>
  <r>
    <x v="0"/>
    <x v="0"/>
    <x v="0"/>
    <x v="10"/>
    <x v="15"/>
    <x v="8"/>
    <x v="8"/>
    <n v="0"/>
  </r>
  <r>
    <x v="0"/>
    <x v="0"/>
    <x v="0"/>
    <x v="10"/>
    <x v="15"/>
    <x v="8"/>
    <x v="9"/>
    <n v="0"/>
  </r>
  <r>
    <x v="0"/>
    <x v="0"/>
    <x v="0"/>
    <x v="10"/>
    <x v="15"/>
    <x v="8"/>
    <x v="10"/>
    <n v="0"/>
  </r>
  <r>
    <x v="0"/>
    <x v="0"/>
    <x v="0"/>
    <x v="10"/>
    <x v="15"/>
    <x v="8"/>
    <x v="11"/>
    <n v="0"/>
  </r>
  <r>
    <x v="0"/>
    <x v="0"/>
    <x v="0"/>
    <x v="10"/>
    <x v="15"/>
    <x v="9"/>
    <x v="0"/>
    <n v="-1.1499999999999999"/>
  </r>
  <r>
    <x v="0"/>
    <x v="0"/>
    <x v="0"/>
    <x v="10"/>
    <x v="15"/>
    <x v="9"/>
    <x v="1"/>
    <n v="-1.1499999999999999"/>
  </r>
  <r>
    <x v="0"/>
    <x v="0"/>
    <x v="0"/>
    <x v="10"/>
    <x v="15"/>
    <x v="9"/>
    <x v="2"/>
    <n v="-1.1499999999999999"/>
  </r>
  <r>
    <x v="0"/>
    <x v="0"/>
    <x v="0"/>
    <x v="10"/>
    <x v="15"/>
    <x v="9"/>
    <x v="3"/>
    <n v="-1.1499999999999999"/>
  </r>
  <r>
    <x v="0"/>
    <x v="0"/>
    <x v="0"/>
    <x v="10"/>
    <x v="15"/>
    <x v="9"/>
    <x v="4"/>
    <n v="-1.1499999999999999"/>
  </r>
  <r>
    <x v="0"/>
    <x v="0"/>
    <x v="0"/>
    <x v="10"/>
    <x v="15"/>
    <x v="9"/>
    <x v="5"/>
    <n v="-1.1499999999999999"/>
  </r>
  <r>
    <x v="0"/>
    <x v="0"/>
    <x v="0"/>
    <x v="10"/>
    <x v="15"/>
    <x v="9"/>
    <x v="6"/>
    <n v="-0.71362867806178898"/>
  </r>
  <r>
    <x v="0"/>
    <x v="0"/>
    <x v="0"/>
    <x v="10"/>
    <x v="15"/>
    <x v="9"/>
    <x v="7"/>
    <n v="-0.15120465028122099"/>
  </r>
  <r>
    <x v="0"/>
    <x v="0"/>
    <x v="0"/>
    <x v="10"/>
    <x v="15"/>
    <x v="9"/>
    <x v="8"/>
    <n v="0"/>
  </r>
  <r>
    <x v="0"/>
    <x v="0"/>
    <x v="0"/>
    <x v="10"/>
    <x v="15"/>
    <x v="9"/>
    <x v="9"/>
    <n v="-1.1499999999999999"/>
  </r>
  <r>
    <x v="0"/>
    <x v="0"/>
    <x v="0"/>
    <x v="10"/>
    <x v="15"/>
    <x v="9"/>
    <x v="10"/>
    <n v="-0.25056028719201001"/>
  </r>
  <r>
    <x v="0"/>
    <x v="0"/>
    <x v="0"/>
    <x v="10"/>
    <x v="15"/>
    <x v="9"/>
    <x v="11"/>
    <n v="0"/>
  </r>
  <r>
    <x v="0"/>
    <x v="0"/>
    <x v="0"/>
    <x v="10"/>
    <x v="15"/>
    <x v="10"/>
    <x v="0"/>
    <n v="0"/>
  </r>
  <r>
    <x v="0"/>
    <x v="0"/>
    <x v="0"/>
    <x v="10"/>
    <x v="15"/>
    <x v="10"/>
    <x v="1"/>
    <n v="0"/>
  </r>
  <r>
    <x v="0"/>
    <x v="0"/>
    <x v="0"/>
    <x v="10"/>
    <x v="15"/>
    <x v="10"/>
    <x v="2"/>
    <n v="0"/>
  </r>
  <r>
    <x v="0"/>
    <x v="0"/>
    <x v="0"/>
    <x v="10"/>
    <x v="15"/>
    <x v="10"/>
    <x v="3"/>
    <n v="0"/>
  </r>
  <r>
    <x v="0"/>
    <x v="0"/>
    <x v="0"/>
    <x v="10"/>
    <x v="15"/>
    <x v="10"/>
    <x v="4"/>
    <n v="0"/>
  </r>
  <r>
    <x v="0"/>
    <x v="0"/>
    <x v="0"/>
    <x v="10"/>
    <x v="15"/>
    <x v="10"/>
    <x v="5"/>
    <n v="-1.1499999999999999"/>
  </r>
  <r>
    <x v="0"/>
    <x v="0"/>
    <x v="0"/>
    <x v="10"/>
    <x v="15"/>
    <x v="10"/>
    <x v="6"/>
    <n v="0"/>
  </r>
  <r>
    <x v="0"/>
    <x v="0"/>
    <x v="0"/>
    <x v="10"/>
    <x v="15"/>
    <x v="10"/>
    <x v="7"/>
    <n v="0"/>
  </r>
  <r>
    <x v="0"/>
    <x v="0"/>
    <x v="0"/>
    <x v="10"/>
    <x v="15"/>
    <x v="10"/>
    <x v="8"/>
    <n v="0"/>
  </r>
  <r>
    <x v="0"/>
    <x v="0"/>
    <x v="0"/>
    <x v="10"/>
    <x v="15"/>
    <x v="10"/>
    <x v="9"/>
    <n v="0"/>
  </r>
  <r>
    <x v="0"/>
    <x v="0"/>
    <x v="0"/>
    <x v="10"/>
    <x v="15"/>
    <x v="10"/>
    <x v="10"/>
    <n v="0"/>
  </r>
  <r>
    <x v="0"/>
    <x v="0"/>
    <x v="0"/>
    <x v="10"/>
    <x v="15"/>
    <x v="10"/>
    <x v="11"/>
    <n v="-0.35284319295834998"/>
  </r>
  <r>
    <x v="0"/>
    <x v="0"/>
    <x v="0"/>
    <x v="10"/>
    <x v="15"/>
    <x v="11"/>
    <x v="0"/>
    <n v="0"/>
  </r>
  <r>
    <x v="0"/>
    <x v="0"/>
    <x v="0"/>
    <x v="10"/>
    <x v="15"/>
    <x v="11"/>
    <x v="1"/>
    <n v="0"/>
  </r>
  <r>
    <x v="0"/>
    <x v="0"/>
    <x v="0"/>
    <x v="10"/>
    <x v="15"/>
    <x v="11"/>
    <x v="2"/>
    <n v="0"/>
  </r>
  <r>
    <x v="0"/>
    <x v="0"/>
    <x v="0"/>
    <x v="10"/>
    <x v="15"/>
    <x v="11"/>
    <x v="3"/>
    <n v="0"/>
  </r>
  <r>
    <x v="0"/>
    <x v="0"/>
    <x v="0"/>
    <x v="10"/>
    <x v="15"/>
    <x v="11"/>
    <x v="4"/>
    <n v="0"/>
  </r>
  <r>
    <x v="0"/>
    <x v="0"/>
    <x v="0"/>
    <x v="10"/>
    <x v="15"/>
    <x v="11"/>
    <x v="5"/>
    <n v="0"/>
  </r>
  <r>
    <x v="0"/>
    <x v="0"/>
    <x v="0"/>
    <x v="10"/>
    <x v="15"/>
    <x v="11"/>
    <x v="6"/>
    <n v="0"/>
  </r>
  <r>
    <x v="0"/>
    <x v="0"/>
    <x v="0"/>
    <x v="10"/>
    <x v="15"/>
    <x v="11"/>
    <x v="7"/>
    <n v="0"/>
  </r>
  <r>
    <x v="0"/>
    <x v="0"/>
    <x v="0"/>
    <x v="10"/>
    <x v="15"/>
    <x v="11"/>
    <x v="8"/>
    <n v="0"/>
  </r>
  <r>
    <x v="0"/>
    <x v="0"/>
    <x v="0"/>
    <x v="10"/>
    <x v="15"/>
    <x v="11"/>
    <x v="9"/>
    <n v="0"/>
  </r>
  <r>
    <x v="0"/>
    <x v="0"/>
    <x v="0"/>
    <x v="10"/>
    <x v="15"/>
    <x v="11"/>
    <x v="10"/>
    <n v="0"/>
  </r>
  <r>
    <x v="0"/>
    <x v="0"/>
    <x v="0"/>
    <x v="10"/>
    <x v="15"/>
    <x v="11"/>
    <x v="11"/>
    <n v="0"/>
  </r>
  <r>
    <x v="0"/>
    <x v="0"/>
    <x v="0"/>
    <x v="10"/>
    <x v="17"/>
    <x v="0"/>
    <x v="0"/>
    <n v="0.2"/>
  </r>
  <r>
    <x v="0"/>
    <x v="0"/>
    <x v="0"/>
    <x v="10"/>
    <x v="17"/>
    <x v="0"/>
    <x v="1"/>
    <n v="0.2"/>
  </r>
  <r>
    <x v="0"/>
    <x v="0"/>
    <x v="0"/>
    <x v="10"/>
    <x v="17"/>
    <x v="0"/>
    <x v="2"/>
    <n v="0.2"/>
  </r>
  <r>
    <x v="0"/>
    <x v="0"/>
    <x v="0"/>
    <x v="10"/>
    <x v="17"/>
    <x v="0"/>
    <x v="3"/>
    <n v="0.2"/>
  </r>
  <r>
    <x v="0"/>
    <x v="0"/>
    <x v="0"/>
    <x v="10"/>
    <x v="17"/>
    <x v="0"/>
    <x v="4"/>
    <n v="0.2"/>
  </r>
  <r>
    <x v="0"/>
    <x v="0"/>
    <x v="0"/>
    <x v="10"/>
    <x v="17"/>
    <x v="0"/>
    <x v="5"/>
    <n v="0.2"/>
  </r>
  <r>
    <x v="0"/>
    <x v="0"/>
    <x v="0"/>
    <x v="10"/>
    <x v="17"/>
    <x v="0"/>
    <x v="6"/>
    <n v="0.2"/>
  </r>
  <r>
    <x v="0"/>
    <x v="0"/>
    <x v="0"/>
    <x v="10"/>
    <x v="17"/>
    <x v="0"/>
    <x v="7"/>
    <n v="7.6582192084136802E-2"/>
  </r>
  <r>
    <x v="0"/>
    <x v="0"/>
    <x v="0"/>
    <x v="10"/>
    <x v="17"/>
    <x v="0"/>
    <x v="8"/>
    <n v="7.4439104429604996E-2"/>
  </r>
  <r>
    <x v="0"/>
    <x v="0"/>
    <x v="0"/>
    <x v="10"/>
    <x v="17"/>
    <x v="0"/>
    <x v="9"/>
    <n v="0.2"/>
  </r>
  <r>
    <x v="0"/>
    <x v="0"/>
    <x v="0"/>
    <x v="10"/>
    <x v="17"/>
    <x v="0"/>
    <x v="10"/>
    <n v="0.2"/>
  </r>
  <r>
    <x v="0"/>
    <x v="0"/>
    <x v="0"/>
    <x v="10"/>
    <x v="17"/>
    <x v="0"/>
    <x v="11"/>
    <n v="0.17451417139324801"/>
  </r>
  <r>
    <x v="0"/>
    <x v="0"/>
    <x v="0"/>
    <x v="10"/>
    <x v="17"/>
    <x v="1"/>
    <x v="0"/>
    <n v="0.2"/>
  </r>
  <r>
    <x v="0"/>
    <x v="0"/>
    <x v="0"/>
    <x v="10"/>
    <x v="17"/>
    <x v="1"/>
    <x v="1"/>
    <n v="0.2"/>
  </r>
  <r>
    <x v="0"/>
    <x v="0"/>
    <x v="0"/>
    <x v="10"/>
    <x v="17"/>
    <x v="1"/>
    <x v="2"/>
    <n v="0.2"/>
  </r>
  <r>
    <x v="0"/>
    <x v="0"/>
    <x v="0"/>
    <x v="10"/>
    <x v="17"/>
    <x v="1"/>
    <x v="3"/>
    <n v="0.2"/>
  </r>
  <r>
    <x v="0"/>
    <x v="0"/>
    <x v="0"/>
    <x v="10"/>
    <x v="17"/>
    <x v="1"/>
    <x v="4"/>
    <n v="0.2"/>
  </r>
  <r>
    <x v="0"/>
    <x v="0"/>
    <x v="0"/>
    <x v="10"/>
    <x v="17"/>
    <x v="1"/>
    <x v="5"/>
    <n v="0.18298126708833501"/>
  </r>
  <r>
    <x v="0"/>
    <x v="0"/>
    <x v="0"/>
    <x v="10"/>
    <x v="17"/>
    <x v="1"/>
    <x v="6"/>
    <n v="0.2"/>
  </r>
  <r>
    <x v="0"/>
    <x v="0"/>
    <x v="0"/>
    <x v="10"/>
    <x v="17"/>
    <x v="1"/>
    <x v="7"/>
    <n v="0.2"/>
  </r>
  <r>
    <x v="0"/>
    <x v="0"/>
    <x v="0"/>
    <x v="10"/>
    <x v="17"/>
    <x v="1"/>
    <x v="8"/>
    <n v="0.2"/>
  </r>
  <r>
    <x v="0"/>
    <x v="0"/>
    <x v="0"/>
    <x v="10"/>
    <x v="17"/>
    <x v="1"/>
    <x v="9"/>
    <n v="0.2"/>
  </r>
  <r>
    <x v="0"/>
    <x v="0"/>
    <x v="0"/>
    <x v="10"/>
    <x v="17"/>
    <x v="1"/>
    <x v="10"/>
    <n v="0.2"/>
  </r>
  <r>
    <x v="0"/>
    <x v="0"/>
    <x v="0"/>
    <x v="10"/>
    <x v="17"/>
    <x v="1"/>
    <x v="11"/>
    <n v="0.2"/>
  </r>
  <r>
    <x v="0"/>
    <x v="0"/>
    <x v="0"/>
    <x v="10"/>
    <x v="17"/>
    <x v="2"/>
    <x v="0"/>
    <n v="0.2"/>
  </r>
  <r>
    <x v="0"/>
    <x v="0"/>
    <x v="0"/>
    <x v="10"/>
    <x v="17"/>
    <x v="2"/>
    <x v="1"/>
    <n v="0.2"/>
  </r>
  <r>
    <x v="0"/>
    <x v="0"/>
    <x v="0"/>
    <x v="10"/>
    <x v="17"/>
    <x v="2"/>
    <x v="2"/>
    <n v="0.2"/>
  </r>
  <r>
    <x v="0"/>
    <x v="0"/>
    <x v="0"/>
    <x v="10"/>
    <x v="17"/>
    <x v="2"/>
    <x v="3"/>
    <n v="0.2"/>
  </r>
  <r>
    <x v="0"/>
    <x v="0"/>
    <x v="0"/>
    <x v="10"/>
    <x v="17"/>
    <x v="2"/>
    <x v="4"/>
    <n v="0.2"/>
  </r>
  <r>
    <x v="0"/>
    <x v="0"/>
    <x v="0"/>
    <x v="10"/>
    <x v="17"/>
    <x v="2"/>
    <x v="5"/>
    <n v="0.2"/>
  </r>
  <r>
    <x v="0"/>
    <x v="0"/>
    <x v="0"/>
    <x v="10"/>
    <x v="17"/>
    <x v="2"/>
    <x v="6"/>
    <n v="9.6443864533619597E-2"/>
  </r>
  <r>
    <x v="0"/>
    <x v="0"/>
    <x v="0"/>
    <x v="10"/>
    <x v="17"/>
    <x v="2"/>
    <x v="7"/>
    <n v="0.17547016450141101"/>
  </r>
  <r>
    <x v="0"/>
    <x v="0"/>
    <x v="0"/>
    <x v="10"/>
    <x v="17"/>
    <x v="2"/>
    <x v="8"/>
    <n v="0.2"/>
  </r>
  <r>
    <x v="0"/>
    <x v="0"/>
    <x v="0"/>
    <x v="10"/>
    <x v="17"/>
    <x v="2"/>
    <x v="9"/>
    <n v="0.2"/>
  </r>
  <r>
    <x v="0"/>
    <x v="0"/>
    <x v="0"/>
    <x v="10"/>
    <x v="17"/>
    <x v="2"/>
    <x v="10"/>
    <n v="0.2"/>
  </r>
  <r>
    <x v="0"/>
    <x v="0"/>
    <x v="0"/>
    <x v="10"/>
    <x v="17"/>
    <x v="2"/>
    <x v="11"/>
    <n v="0.2"/>
  </r>
  <r>
    <x v="0"/>
    <x v="0"/>
    <x v="0"/>
    <x v="10"/>
    <x v="17"/>
    <x v="3"/>
    <x v="0"/>
    <n v="0.2"/>
  </r>
  <r>
    <x v="0"/>
    <x v="0"/>
    <x v="0"/>
    <x v="10"/>
    <x v="17"/>
    <x v="3"/>
    <x v="1"/>
    <n v="0.2"/>
  </r>
  <r>
    <x v="0"/>
    <x v="0"/>
    <x v="0"/>
    <x v="10"/>
    <x v="17"/>
    <x v="3"/>
    <x v="2"/>
    <n v="0.2"/>
  </r>
  <r>
    <x v="0"/>
    <x v="0"/>
    <x v="0"/>
    <x v="10"/>
    <x v="17"/>
    <x v="3"/>
    <x v="3"/>
    <n v="0.2"/>
  </r>
  <r>
    <x v="0"/>
    <x v="0"/>
    <x v="0"/>
    <x v="10"/>
    <x v="17"/>
    <x v="3"/>
    <x v="4"/>
    <n v="0.2"/>
  </r>
  <r>
    <x v="0"/>
    <x v="0"/>
    <x v="0"/>
    <x v="10"/>
    <x v="17"/>
    <x v="3"/>
    <x v="5"/>
    <n v="0.2"/>
  </r>
  <r>
    <x v="0"/>
    <x v="0"/>
    <x v="0"/>
    <x v="10"/>
    <x v="17"/>
    <x v="3"/>
    <x v="6"/>
    <n v="0.2"/>
  </r>
  <r>
    <x v="0"/>
    <x v="0"/>
    <x v="0"/>
    <x v="10"/>
    <x v="17"/>
    <x v="3"/>
    <x v="7"/>
    <n v="0.2"/>
  </r>
  <r>
    <x v="0"/>
    <x v="0"/>
    <x v="0"/>
    <x v="10"/>
    <x v="17"/>
    <x v="3"/>
    <x v="8"/>
    <n v="0.2"/>
  </r>
  <r>
    <x v="0"/>
    <x v="0"/>
    <x v="0"/>
    <x v="10"/>
    <x v="17"/>
    <x v="3"/>
    <x v="9"/>
    <n v="0.2"/>
  </r>
  <r>
    <x v="0"/>
    <x v="0"/>
    <x v="0"/>
    <x v="10"/>
    <x v="17"/>
    <x v="3"/>
    <x v="10"/>
    <n v="0.2"/>
  </r>
  <r>
    <x v="0"/>
    <x v="0"/>
    <x v="0"/>
    <x v="10"/>
    <x v="17"/>
    <x v="3"/>
    <x v="11"/>
    <n v="0.2"/>
  </r>
  <r>
    <x v="0"/>
    <x v="0"/>
    <x v="0"/>
    <x v="10"/>
    <x v="17"/>
    <x v="4"/>
    <x v="0"/>
    <n v="0"/>
  </r>
  <r>
    <x v="0"/>
    <x v="0"/>
    <x v="0"/>
    <x v="10"/>
    <x v="17"/>
    <x v="4"/>
    <x v="1"/>
    <n v="0"/>
  </r>
  <r>
    <x v="0"/>
    <x v="0"/>
    <x v="0"/>
    <x v="10"/>
    <x v="17"/>
    <x v="4"/>
    <x v="2"/>
    <n v="0"/>
  </r>
  <r>
    <x v="0"/>
    <x v="0"/>
    <x v="0"/>
    <x v="10"/>
    <x v="17"/>
    <x v="4"/>
    <x v="3"/>
    <n v="0"/>
  </r>
  <r>
    <x v="0"/>
    <x v="0"/>
    <x v="0"/>
    <x v="10"/>
    <x v="17"/>
    <x v="4"/>
    <x v="4"/>
    <n v="0"/>
  </r>
  <r>
    <x v="0"/>
    <x v="0"/>
    <x v="0"/>
    <x v="10"/>
    <x v="17"/>
    <x v="4"/>
    <x v="5"/>
    <n v="0"/>
  </r>
  <r>
    <x v="0"/>
    <x v="0"/>
    <x v="0"/>
    <x v="10"/>
    <x v="17"/>
    <x v="4"/>
    <x v="6"/>
    <n v="0"/>
  </r>
  <r>
    <x v="0"/>
    <x v="0"/>
    <x v="0"/>
    <x v="10"/>
    <x v="17"/>
    <x v="4"/>
    <x v="7"/>
    <n v="-0.107345975967705"/>
  </r>
  <r>
    <x v="0"/>
    <x v="0"/>
    <x v="0"/>
    <x v="10"/>
    <x v="17"/>
    <x v="4"/>
    <x v="8"/>
    <n v="-0.25210214032056899"/>
  </r>
  <r>
    <x v="0"/>
    <x v="0"/>
    <x v="0"/>
    <x v="10"/>
    <x v="17"/>
    <x v="4"/>
    <x v="9"/>
    <n v="-0.24332204577687899"/>
  </r>
  <r>
    <x v="0"/>
    <x v="0"/>
    <x v="0"/>
    <x v="10"/>
    <x v="17"/>
    <x v="4"/>
    <x v="10"/>
    <n v="-0.206364397103633"/>
  </r>
  <r>
    <x v="0"/>
    <x v="0"/>
    <x v="0"/>
    <x v="10"/>
    <x v="17"/>
    <x v="4"/>
    <x v="11"/>
    <n v="-0.16106630222415699"/>
  </r>
  <r>
    <x v="0"/>
    <x v="0"/>
    <x v="0"/>
    <x v="10"/>
    <x v="17"/>
    <x v="5"/>
    <x v="0"/>
    <n v="0"/>
  </r>
  <r>
    <x v="0"/>
    <x v="0"/>
    <x v="0"/>
    <x v="10"/>
    <x v="17"/>
    <x v="5"/>
    <x v="1"/>
    <n v="0"/>
  </r>
  <r>
    <x v="0"/>
    <x v="0"/>
    <x v="0"/>
    <x v="10"/>
    <x v="17"/>
    <x v="5"/>
    <x v="2"/>
    <n v="0"/>
  </r>
  <r>
    <x v="0"/>
    <x v="0"/>
    <x v="0"/>
    <x v="10"/>
    <x v="17"/>
    <x v="5"/>
    <x v="3"/>
    <n v="0"/>
  </r>
  <r>
    <x v="0"/>
    <x v="0"/>
    <x v="0"/>
    <x v="10"/>
    <x v="17"/>
    <x v="5"/>
    <x v="4"/>
    <n v="0"/>
  </r>
  <r>
    <x v="0"/>
    <x v="0"/>
    <x v="0"/>
    <x v="10"/>
    <x v="17"/>
    <x v="5"/>
    <x v="5"/>
    <n v="0"/>
  </r>
  <r>
    <x v="0"/>
    <x v="0"/>
    <x v="0"/>
    <x v="10"/>
    <x v="17"/>
    <x v="5"/>
    <x v="6"/>
    <n v="0"/>
  </r>
  <r>
    <x v="0"/>
    <x v="0"/>
    <x v="0"/>
    <x v="10"/>
    <x v="17"/>
    <x v="5"/>
    <x v="7"/>
    <n v="0"/>
  </r>
  <r>
    <x v="0"/>
    <x v="0"/>
    <x v="0"/>
    <x v="10"/>
    <x v="17"/>
    <x v="5"/>
    <x v="8"/>
    <n v="0"/>
  </r>
  <r>
    <x v="0"/>
    <x v="0"/>
    <x v="0"/>
    <x v="10"/>
    <x v="17"/>
    <x v="5"/>
    <x v="9"/>
    <n v="0"/>
  </r>
  <r>
    <x v="0"/>
    <x v="0"/>
    <x v="0"/>
    <x v="10"/>
    <x v="17"/>
    <x v="5"/>
    <x v="10"/>
    <n v="-1.21354032343863E-2"/>
  </r>
  <r>
    <x v="0"/>
    <x v="0"/>
    <x v="0"/>
    <x v="10"/>
    <x v="17"/>
    <x v="5"/>
    <x v="11"/>
    <n v="0"/>
  </r>
  <r>
    <x v="0"/>
    <x v="0"/>
    <x v="0"/>
    <x v="10"/>
    <x v="17"/>
    <x v="6"/>
    <x v="0"/>
    <n v="0"/>
  </r>
  <r>
    <x v="0"/>
    <x v="0"/>
    <x v="0"/>
    <x v="10"/>
    <x v="17"/>
    <x v="6"/>
    <x v="1"/>
    <n v="0"/>
  </r>
  <r>
    <x v="0"/>
    <x v="0"/>
    <x v="0"/>
    <x v="10"/>
    <x v="17"/>
    <x v="6"/>
    <x v="2"/>
    <n v="0"/>
  </r>
  <r>
    <x v="0"/>
    <x v="0"/>
    <x v="0"/>
    <x v="10"/>
    <x v="17"/>
    <x v="6"/>
    <x v="3"/>
    <n v="0"/>
  </r>
  <r>
    <x v="0"/>
    <x v="0"/>
    <x v="0"/>
    <x v="10"/>
    <x v="17"/>
    <x v="6"/>
    <x v="4"/>
    <n v="0"/>
  </r>
  <r>
    <x v="0"/>
    <x v="0"/>
    <x v="0"/>
    <x v="10"/>
    <x v="17"/>
    <x v="6"/>
    <x v="5"/>
    <n v="0"/>
  </r>
  <r>
    <x v="0"/>
    <x v="0"/>
    <x v="0"/>
    <x v="10"/>
    <x v="17"/>
    <x v="6"/>
    <x v="6"/>
    <n v="0"/>
  </r>
  <r>
    <x v="0"/>
    <x v="0"/>
    <x v="0"/>
    <x v="10"/>
    <x v="17"/>
    <x v="6"/>
    <x v="7"/>
    <n v="0"/>
  </r>
  <r>
    <x v="0"/>
    <x v="0"/>
    <x v="0"/>
    <x v="10"/>
    <x v="17"/>
    <x v="6"/>
    <x v="8"/>
    <n v="0"/>
  </r>
  <r>
    <x v="0"/>
    <x v="0"/>
    <x v="0"/>
    <x v="10"/>
    <x v="17"/>
    <x v="6"/>
    <x v="9"/>
    <n v="0"/>
  </r>
  <r>
    <x v="0"/>
    <x v="0"/>
    <x v="0"/>
    <x v="10"/>
    <x v="17"/>
    <x v="6"/>
    <x v="10"/>
    <n v="0"/>
  </r>
  <r>
    <x v="0"/>
    <x v="0"/>
    <x v="0"/>
    <x v="10"/>
    <x v="17"/>
    <x v="6"/>
    <x v="11"/>
    <n v="0"/>
  </r>
  <r>
    <x v="0"/>
    <x v="0"/>
    <x v="0"/>
    <x v="10"/>
    <x v="17"/>
    <x v="7"/>
    <x v="0"/>
    <n v="0"/>
  </r>
  <r>
    <x v="0"/>
    <x v="0"/>
    <x v="0"/>
    <x v="10"/>
    <x v="17"/>
    <x v="7"/>
    <x v="1"/>
    <n v="0"/>
  </r>
  <r>
    <x v="0"/>
    <x v="0"/>
    <x v="0"/>
    <x v="10"/>
    <x v="17"/>
    <x v="7"/>
    <x v="2"/>
    <n v="0"/>
  </r>
  <r>
    <x v="0"/>
    <x v="0"/>
    <x v="0"/>
    <x v="10"/>
    <x v="17"/>
    <x v="7"/>
    <x v="3"/>
    <n v="0"/>
  </r>
  <r>
    <x v="0"/>
    <x v="0"/>
    <x v="0"/>
    <x v="10"/>
    <x v="17"/>
    <x v="7"/>
    <x v="4"/>
    <n v="0"/>
  </r>
  <r>
    <x v="0"/>
    <x v="0"/>
    <x v="0"/>
    <x v="10"/>
    <x v="17"/>
    <x v="7"/>
    <x v="5"/>
    <n v="0"/>
  </r>
  <r>
    <x v="0"/>
    <x v="0"/>
    <x v="0"/>
    <x v="10"/>
    <x v="17"/>
    <x v="7"/>
    <x v="6"/>
    <n v="0"/>
  </r>
  <r>
    <x v="0"/>
    <x v="0"/>
    <x v="0"/>
    <x v="10"/>
    <x v="17"/>
    <x v="7"/>
    <x v="7"/>
    <n v="0"/>
  </r>
  <r>
    <x v="0"/>
    <x v="0"/>
    <x v="0"/>
    <x v="10"/>
    <x v="17"/>
    <x v="7"/>
    <x v="8"/>
    <n v="0"/>
  </r>
  <r>
    <x v="0"/>
    <x v="0"/>
    <x v="0"/>
    <x v="10"/>
    <x v="17"/>
    <x v="7"/>
    <x v="9"/>
    <n v="0"/>
  </r>
  <r>
    <x v="0"/>
    <x v="0"/>
    <x v="0"/>
    <x v="10"/>
    <x v="17"/>
    <x v="7"/>
    <x v="10"/>
    <n v="0"/>
  </r>
  <r>
    <x v="0"/>
    <x v="0"/>
    <x v="0"/>
    <x v="10"/>
    <x v="17"/>
    <x v="7"/>
    <x v="11"/>
    <n v="0"/>
  </r>
  <r>
    <x v="0"/>
    <x v="0"/>
    <x v="0"/>
    <x v="10"/>
    <x v="17"/>
    <x v="8"/>
    <x v="0"/>
    <n v="-1"/>
  </r>
  <r>
    <x v="0"/>
    <x v="0"/>
    <x v="0"/>
    <x v="10"/>
    <x v="17"/>
    <x v="8"/>
    <x v="1"/>
    <n v="-1"/>
  </r>
  <r>
    <x v="0"/>
    <x v="0"/>
    <x v="0"/>
    <x v="10"/>
    <x v="17"/>
    <x v="8"/>
    <x v="2"/>
    <n v="-1"/>
  </r>
  <r>
    <x v="0"/>
    <x v="0"/>
    <x v="0"/>
    <x v="10"/>
    <x v="17"/>
    <x v="8"/>
    <x v="3"/>
    <n v="-1"/>
  </r>
  <r>
    <x v="0"/>
    <x v="0"/>
    <x v="0"/>
    <x v="10"/>
    <x v="17"/>
    <x v="8"/>
    <x v="4"/>
    <n v="-1"/>
  </r>
  <r>
    <x v="0"/>
    <x v="0"/>
    <x v="0"/>
    <x v="10"/>
    <x v="17"/>
    <x v="8"/>
    <x v="5"/>
    <n v="-1"/>
  </r>
  <r>
    <x v="0"/>
    <x v="0"/>
    <x v="0"/>
    <x v="10"/>
    <x v="17"/>
    <x v="8"/>
    <x v="6"/>
    <n v="-1"/>
  </r>
  <r>
    <x v="0"/>
    <x v="0"/>
    <x v="0"/>
    <x v="10"/>
    <x v="17"/>
    <x v="8"/>
    <x v="7"/>
    <n v="-1"/>
  </r>
  <r>
    <x v="0"/>
    <x v="0"/>
    <x v="0"/>
    <x v="10"/>
    <x v="17"/>
    <x v="8"/>
    <x v="8"/>
    <n v="-1"/>
  </r>
  <r>
    <x v="0"/>
    <x v="0"/>
    <x v="0"/>
    <x v="10"/>
    <x v="17"/>
    <x v="8"/>
    <x v="9"/>
    <n v="-1"/>
  </r>
  <r>
    <x v="0"/>
    <x v="0"/>
    <x v="0"/>
    <x v="10"/>
    <x v="17"/>
    <x v="8"/>
    <x v="10"/>
    <n v="-1"/>
  </r>
  <r>
    <x v="0"/>
    <x v="0"/>
    <x v="0"/>
    <x v="10"/>
    <x v="17"/>
    <x v="8"/>
    <x v="11"/>
    <n v="-1"/>
  </r>
  <r>
    <x v="0"/>
    <x v="0"/>
    <x v="0"/>
    <x v="10"/>
    <x v="17"/>
    <x v="9"/>
    <x v="0"/>
    <n v="-1"/>
  </r>
  <r>
    <x v="0"/>
    <x v="0"/>
    <x v="0"/>
    <x v="10"/>
    <x v="17"/>
    <x v="9"/>
    <x v="1"/>
    <n v="-1"/>
  </r>
  <r>
    <x v="0"/>
    <x v="0"/>
    <x v="0"/>
    <x v="10"/>
    <x v="17"/>
    <x v="9"/>
    <x v="2"/>
    <n v="-1"/>
  </r>
  <r>
    <x v="0"/>
    <x v="0"/>
    <x v="0"/>
    <x v="10"/>
    <x v="17"/>
    <x v="9"/>
    <x v="3"/>
    <n v="-1"/>
  </r>
  <r>
    <x v="0"/>
    <x v="0"/>
    <x v="0"/>
    <x v="10"/>
    <x v="17"/>
    <x v="9"/>
    <x v="4"/>
    <n v="-1"/>
  </r>
  <r>
    <x v="0"/>
    <x v="0"/>
    <x v="0"/>
    <x v="10"/>
    <x v="17"/>
    <x v="9"/>
    <x v="5"/>
    <n v="-1"/>
  </r>
  <r>
    <x v="0"/>
    <x v="0"/>
    <x v="0"/>
    <x v="10"/>
    <x v="17"/>
    <x v="9"/>
    <x v="6"/>
    <n v="-1"/>
  </r>
  <r>
    <x v="0"/>
    <x v="0"/>
    <x v="0"/>
    <x v="10"/>
    <x v="17"/>
    <x v="9"/>
    <x v="7"/>
    <n v="-1"/>
  </r>
  <r>
    <x v="0"/>
    <x v="0"/>
    <x v="0"/>
    <x v="10"/>
    <x v="17"/>
    <x v="9"/>
    <x v="8"/>
    <n v="-1"/>
  </r>
  <r>
    <x v="0"/>
    <x v="0"/>
    <x v="0"/>
    <x v="10"/>
    <x v="17"/>
    <x v="9"/>
    <x v="9"/>
    <n v="-1"/>
  </r>
  <r>
    <x v="0"/>
    <x v="0"/>
    <x v="0"/>
    <x v="10"/>
    <x v="17"/>
    <x v="9"/>
    <x v="10"/>
    <n v="-1"/>
  </r>
  <r>
    <x v="0"/>
    <x v="0"/>
    <x v="0"/>
    <x v="10"/>
    <x v="17"/>
    <x v="9"/>
    <x v="11"/>
    <n v="-1"/>
  </r>
  <r>
    <x v="0"/>
    <x v="0"/>
    <x v="0"/>
    <x v="10"/>
    <x v="17"/>
    <x v="10"/>
    <x v="0"/>
    <n v="-1"/>
  </r>
  <r>
    <x v="0"/>
    <x v="0"/>
    <x v="0"/>
    <x v="10"/>
    <x v="17"/>
    <x v="10"/>
    <x v="1"/>
    <n v="-1"/>
  </r>
  <r>
    <x v="0"/>
    <x v="0"/>
    <x v="0"/>
    <x v="10"/>
    <x v="17"/>
    <x v="10"/>
    <x v="2"/>
    <n v="-1"/>
  </r>
  <r>
    <x v="0"/>
    <x v="0"/>
    <x v="0"/>
    <x v="10"/>
    <x v="17"/>
    <x v="10"/>
    <x v="3"/>
    <n v="-1"/>
  </r>
  <r>
    <x v="0"/>
    <x v="0"/>
    <x v="0"/>
    <x v="10"/>
    <x v="17"/>
    <x v="10"/>
    <x v="4"/>
    <n v="-1"/>
  </r>
  <r>
    <x v="0"/>
    <x v="0"/>
    <x v="0"/>
    <x v="10"/>
    <x v="17"/>
    <x v="10"/>
    <x v="5"/>
    <n v="-1"/>
  </r>
  <r>
    <x v="0"/>
    <x v="0"/>
    <x v="0"/>
    <x v="10"/>
    <x v="17"/>
    <x v="10"/>
    <x v="6"/>
    <n v="-1"/>
  </r>
  <r>
    <x v="0"/>
    <x v="0"/>
    <x v="0"/>
    <x v="10"/>
    <x v="17"/>
    <x v="10"/>
    <x v="7"/>
    <n v="-0.154172885882354"/>
  </r>
  <r>
    <x v="0"/>
    <x v="0"/>
    <x v="0"/>
    <x v="10"/>
    <x v="17"/>
    <x v="10"/>
    <x v="8"/>
    <n v="0"/>
  </r>
  <r>
    <x v="0"/>
    <x v="0"/>
    <x v="0"/>
    <x v="10"/>
    <x v="17"/>
    <x v="10"/>
    <x v="9"/>
    <n v="0"/>
  </r>
  <r>
    <x v="0"/>
    <x v="0"/>
    <x v="0"/>
    <x v="10"/>
    <x v="17"/>
    <x v="10"/>
    <x v="10"/>
    <n v="-1"/>
  </r>
  <r>
    <x v="0"/>
    <x v="0"/>
    <x v="0"/>
    <x v="10"/>
    <x v="17"/>
    <x v="10"/>
    <x v="11"/>
    <n v="0"/>
  </r>
  <r>
    <x v="0"/>
    <x v="0"/>
    <x v="0"/>
    <x v="10"/>
    <x v="17"/>
    <x v="11"/>
    <x v="0"/>
    <n v="0"/>
  </r>
  <r>
    <x v="0"/>
    <x v="0"/>
    <x v="0"/>
    <x v="10"/>
    <x v="17"/>
    <x v="11"/>
    <x v="1"/>
    <n v="0"/>
  </r>
  <r>
    <x v="0"/>
    <x v="0"/>
    <x v="0"/>
    <x v="10"/>
    <x v="17"/>
    <x v="11"/>
    <x v="2"/>
    <n v="0"/>
  </r>
  <r>
    <x v="0"/>
    <x v="0"/>
    <x v="0"/>
    <x v="10"/>
    <x v="17"/>
    <x v="11"/>
    <x v="3"/>
    <n v="-1"/>
  </r>
  <r>
    <x v="0"/>
    <x v="0"/>
    <x v="0"/>
    <x v="10"/>
    <x v="17"/>
    <x v="11"/>
    <x v="4"/>
    <n v="-1"/>
  </r>
  <r>
    <x v="0"/>
    <x v="0"/>
    <x v="0"/>
    <x v="10"/>
    <x v="17"/>
    <x v="11"/>
    <x v="5"/>
    <n v="-1"/>
  </r>
  <r>
    <x v="0"/>
    <x v="0"/>
    <x v="0"/>
    <x v="10"/>
    <x v="17"/>
    <x v="11"/>
    <x v="6"/>
    <n v="0"/>
  </r>
  <r>
    <x v="0"/>
    <x v="0"/>
    <x v="0"/>
    <x v="10"/>
    <x v="17"/>
    <x v="11"/>
    <x v="7"/>
    <n v="-1"/>
  </r>
  <r>
    <x v="0"/>
    <x v="0"/>
    <x v="0"/>
    <x v="10"/>
    <x v="17"/>
    <x v="11"/>
    <x v="8"/>
    <n v="-1"/>
  </r>
  <r>
    <x v="0"/>
    <x v="0"/>
    <x v="0"/>
    <x v="10"/>
    <x v="17"/>
    <x v="11"/>
    <x v="9"/>
    <n v="-6.9200733380288995E-2"/>
  </r>
  <r>
    <x v="0"/>
    <x v="0"/>
    <x v="0"/>
    <x v="10"/>
    <x v="17"/>
    <x v="11"/>
    <x v="10"/>
    <n v="-1"/>
  </r>
  <r>
    <x v="0"/>
    <x v="0"/>
    <x v="0"/>
    <x v="10"/>
    <x v="17"/>
    <x v="11"/>
    <x v="11"/>
    <n v="-1"/>
  </r>
  <r>
    <x v="0"/>
    <x v="0"/>
    <x v="0"/>
    <x v="10"/>
    <x v="16"/>
    <x v="0"/>
    <x v="0"/>
    <n v="1"/>
  </r>
  <r>
    <x v="0"/>
    <x v="0"/>
    <x v="0"/>
    <x v="10"/>
    <x v="16"/>
    <x v="0"/>
    <x v="1"/>
    <n v="1"/>
  </r>
  <r>
    <x v="0"/>
    <x v="0"/>
    <x v="0"/>
    <x v="10"/>
    <x v="16"/>
    <x v="0"/>
    <x v="2"/>
    <n v="1"/>
  </r>
  <r>
    <x v="0"/>
    <x v="0"/>
    <x v="0"/>
    <x v="10"/>
    <x v="16"/>
    <x v="0"/>
    <x v="3"/>
    <n v="1"/>
  </r>
  <r>
    <x v="0"/>
    <x v="0"/>
    <x v="0"/>
    <x v="10"/>
    <x v="16"/>
    <x v="0"/>
    <x v="4"/>
    <n v="1"/>
  </r>
  <r>
    <x v="0"/>
    <x v="0"/>
    <x v="0"/>
    <x v="10"/>
    <x v="16"/>
    <x v="0"/>
    <x v="5"/>
    <n v="1"/>
  </r>
  <r>
    <x v="0"/>
    <x v="0"/>
    <x v="0"/>
    <x v="10"/>
    <x v="16"/>
    <x v="0"/>
    <x v="6"/>
    <n v="1"/>
  </r>
  <r>
    <x v="0"/>
    <x v="0"/>
    <x v="0"/>
    <x v="10"/>
    <x v="16"/>
    <x v="0"/>
    <x v="7"/>
    <n v="1"/>
  </r>
  <r>
    <x v="0"/>
    <x v="0"/>
    <x v="0"/>
    <x v="10"/>
    <x v="16"/>
    <x v="0"/>
    <x v="8"/>
    <n v="1"/>
  </r>
  <r>
    <x v="0"/>
    <x v="0"/>
    <x v="0"/>
    <x v="10"/>
    <x v="16"/>
    <x v="0"/>
    <x v="9"/>
    <n v="1"/>
  </r>
  <r>
    <x v="0"/>
    <x v="0"/>
    <x v="0"/>
    <x v="10"/>
    <x v="16"/>
    <x v="0"/>
    <x v="10"/>
    <n v="1"/>
  </r>
  <r>
    <x v="0"/>
    <x v="0"/>
    <x v="0"/>
    <x v="10"/>
    <x v="16"/>
    <x v="0"/>
    <x v="11"/>
    <n v="1"/>
  </r>
  <r>
    <x v="0"/>
    <x v="0"/>
    <x v="0"/>
    <x v="10"/>
    <x v="16"/>
    <x v="1"/>
    <x v="0"/>
    <n v="1"/>
  </r>
  <r>
    <x v="0"/>
    <x v="0"/>
    <x v="0"/>
    <x v="10"/>
    <x v="16"/>
    <x v="1"/>
    <x v="1"/>
    <n v="1"/>
  </r>
  <r>
    <x v="0"/>
    <x v="0"/>
    <x v="0"/>
    <x v="10"/>
    <x v="16"/>
    <x v="1"/>
    <x v="2"/>
    <n v="1"/>
  </r>
  <r>
    <x v="0"/>
    <x v="0"/>
    <x v="0"/>
    <x v="10"/>
    <x v="16"/>
    <x v="1"/>
    <x v="3"/>
    <n v="1"/>
  </r>
  <r>
    <x v="0"/>
    <x v="0"/>
    <x v="0"/>
    <x v="10"/>
    <x v="16"/>
    <x v="1"/>
    <x v="4"/>
    <n v="1"/>
  </r>
  <r>
    <x v="0"/>
    <x v="0"/>
    <x v="0"/>
    <x v="10"/>
    <x v="16"/>
    <x v="1"/>
    <x v="5"/>
    <n v="1"/>
  </r>
  <r>
    <x v="0"/>
    <x v="0"/>
    <x v="0"/>
    <x v="10"/>
    <x v="16"/>
    <x v="1"/>
    <x v="6"/>
    <n v="1"/>
  </r>
  <r>
    <x v="0"/>
    <x v="0"/>
    <x v="0"/>
    <x v="10"/>
    <x v="16"/>
    <x v="1"/>
    <x v="7"/>
    <n v="1"/>
  </r>
  <r>
    <x v="0"/>
    <x v="0"/>
    <x v="0"/>
    <x v="10"/>
    <x v="16"/>
    <x v="1"/>
    <x v="8"/>
    <n v="1"/>
  </r>
  <r>
    <x v="0"/>
    <x v="0"/>
    <x v="0"/>
    <x v="10"/>
    <x v="16"/>
    <x v="1"/>
    <x v="9"/>
    <n v="1"/>
  </r>
  <r>
    <x v="0"/>
    <x v="0"/>
    <x v="0"/>
    <x v="10"/>
    <x v="16"/>
    <x v="1"/>
    <x v="10"/>
    <n v="1"/>
  </r>
  <r>
    <x v="0"/>
    <x v="0"/>
    <x v="0"/>
    <x v="10"/>
    <x v="16"/>
    <x v="1"/>
    <x v="11"/>
    <n v="1"/>
  </r>
  <r>
    <x v="0"/>
    <x v="0"/>
    <x v="0"/>
    <x v="10"/>
    <x v="16"/>
    <x v="2"/>
    <x v="0"/>
    <n v="1"/>
  </r>
  <r>
    <x v="0"/>
    <x v="0"/>
    <x v="0"/>
    <x v="10"/>
    <x v="16"/>
    <x v="2"/>
    <x v="1"/>
    <n v="1"/>
  </r>
  <r>
    <x v="0"/>
    <x v="0"/>
    <x v="0"/>
    <x v="10"/>
    <x v="16"/>
    <x v="2"/>
    <x v="2"/>
    <n v="1"/>
  </r>
  <r>
    <x v="0"/>
    <x v="0"/>
    <x v="0"/>
    <x v="10"/>
    <x v="16"/>
    <x v="2"/>
    <x v="3"/>
    <n v="1"/>
  </r>
  <r>
    <x v="0"/>
    <x v="0"/>
    <x v="0"/>
    <x v="10"/>
    <x v="16"/>
    <x v="2"/>
    <x v="4"/>
    <n v="1"/>
  </r>
  <r>
    <x v="0"/>
    <x v="0"/>
    <x v="0"/>
    <x v="10"/>
    <x v="16"/>
    <x v="2"/>
    <x v="5"/>
    <n v="1"/>
  </r>
  <r>
    <x v="0"/>
    <x v="0"/>
    <x v="0"/>
    <x v="10"/>
    <x v="16"/>
    <x v="2"/>
    <x v="6"/>
    <n v="1"/>
  </r>
  <r>
    <x v="0"/>
    <x v="0"/>
    <x v="0"/>
    <x v="10"/>
    <x v="16"/>
    <x v="2"/>
    <x v="7"/>
    <n v="1"/>
  </r>
  <r>
    <x v="0"/>
    <x v="0"/>
    <x v="0"/>
    <x v="10"/>
    <x v="16"/>
    <x v="2"/>
    <x v="8"/>
    <n v="1"/>
  </r>
  <r>
    <x v="0"/>
    <x v="0"/>
    <x v="0"/>
    <x v="10"/>
    <x v="16"/>
    <x v="2"/>
    <x v="9"/>
    <n v="1"/>
  </r>
  <r>
    <x v="0"/>
    <x v="0"/>
    <x v="0"/>
    <x v="10"/>
    <x v="16"/>
    <x v="2"/>
    <x v="10"/>
    <n v="1"/>
  </r>
  <r>
    <x v="0"/>
    <x v="0"/>
    <x v="0"/>
    <x v="10"/>
    <x v="16"/>
    <x v="2"/>
    <x v="11"/>
    <n v="1"/>
  </r>
  <r>
    <x v="0"/>
    <x v="0"/>
    <x v="0"/>
    <x v="10"/>
    <x v="16"/>
    <x v="3"/>
    <x v="0"/>
    <n v="1"/>
  </r>
  <r>
    <x v="0"/>
    <x v="0"/>
    <x v="0"/>
    <x v="10"/>
    <x v="16"/>
    <x v="3"/>
    <x v="1"/>
    <n v="1"/>
  </r>
  <r>
    <x v="0"/>
    <x v="0"/>
    <x v="0"/>
    <x v="10"/>
    <x v="16"/>
    <x v="3"/>
    <x v="2"/>
    <n v="1"/>
  </r>
  <r>
    <x v="0"/>
    <x v="0"/>
    <x v="0"/>
    <x v="10"/>
    <x v="16"/>
    <x v="3"/>
    <x v="3"/>
    <n v="1"/>
  </r>
  <r>
    <x v="0"/>
    <x v="0"/>
    <x v="0"/>
    <x v="10"/>
    <x v="16"/>
    <x v="3"/>
    <x v="4"/>
    <n v="1"/>
  </r>
  <r>
    <x v="0"/>
    <x v="0"/>
    <x v="0"/>
    <x v="10"/>
    <x v="16"/>
    <x v="3"/>
    <x v="5"/>
    <n v="1"/>
  </r>
  <r>
    <x v="0"/>
    <x v="0"/>
    <x v="0"/>
    <x v="10"/>
    <x v="16"/>
    <x v="3"/>
    <x v="6"/>
    <n v="1"/>
  </r>
  <r>
    <x v="0"/>
    <x v="0"/>
    <x v="0"/>
    <x v="10"/>
    <x v="16"/>
    <x v="3"/>
    <x v="7"/>
    <n v="1"/>
  </r>
  <r>
    <x v="0"/>
    <x v="0"/>
    <x v="0"/>
    <x v="10"/>
    <x v="16"/>
    <x v="3"/>
    <x v="8"/>
    <n v="1"/>
  </r>
  <r>
    <x v="0"/>
    <x v="0"/>
    <x v="0"/>
    <x v="10"/>
    <x v="16"/>
    <x v="3"/>
    <x v="9"/>
    <n v="1"/>
  </r>
  <r>
    <x v="0"/>
    <x v="0"/>
    <x v="0"/>
    <x v="10"/>
    <x v="16"/>
    <x v="3"/>
    <x v="10"/>
    <n v="1"/>
  </r>
  <r>
    <x v="0"/>
    <x v="0"/>
    <x v="0"/>
    <x v="10"/>
    <x v="16"/>
    <x v="3"/>
    <x v="11"/>
    <n v="1"/>
  </r>
  <r>
    <x v="0"/>
    <x v="0"/>
    <x v="0"/>
    <x v="10"/>
    <x v="16"/>
    <x v="4"/>
    <x v="0"/>
    <n v="0"/>
  </r>
  <r>
    <x v="0"/>
    <x v="0"/>
    <x v="0"/>
    <x v="10"/>
    <x v="16"/>
    <x v="4"/>
    <x v="1"/>
    <n v="0"/>
  </r>
  <r>
    <x v="0"/>
    <x v="0"/>
    <x v="0"/>
    <x v="10"/>
    <x v="16"/>
    <x v="4"/>
    <x v="2"/>
    <n v="0"/>
  </r>
  <r>
    <x v="0"/>
    <x v="0"/>
    <x v="0"/>
    <x v="10"/>
    <x v="16"/>
    <x v="4"/>
    <x v="3"/>
    <n v="0"/>
  </r>
  <r>
    <x v="0"/>
    <x v="0"/>
    <x v="0"/>
    <x v="10"/>
    <x v="16"/>
    <x v="4"/>
    <x v="4"/>
    <n v="0"/>
  </r>
  <r>
    <x v="0"/>
    <x v="0"/>
    <x v="0"/>
    <x v="10"/>
    <x v="16"/>
    <x v="4"/>
    <x v="5"/>
    <n v="0"/>
  </r>
  <r>
    <x v="0"/>
    <x v="0"/>
    <x v="0"/>
    <x v="10"/>
    <x v="16"/>
    <x v="4"/>
    <x v="6"/>
    <n v="0"/>
  </r>
  <r>
    <x v="0"/>
    <x v="0"/>
    <x v="0"/>
    <x v="10"/>
    <x v="16"/>
    <x v="4"/>
    <x v="7"/>
    <n v="0"/>
  </r>
  <r>
    <x v="0"/>
    <x v="0"/>
    <x v="0"/>
    <x v="10"/>
    <x v="16"/>
    <x v="4"/>
    <x v="8"/>
    <n v="0"/>
  </r>
  <r>
    <x v="0"/>
    <x v="0"/>
    <x v="0"/>
    <x v="10"/>
    <x v="16"/>
    <x v="4"/>
    <x v="9"/>
    <n v="0"/>
  </r>
  <r>
    <x v="0"/>
    <x v="0"/>
    <x v="0"/>
    <x v="10"/>
    <x v="16"/>
    <x v="4"/>
    <x v="10"/>
    <n v="0"/>
  </r>
  <r>
    <x v="0"/>
    <x v="0"/>
    <x v="0"/>
    <x v="10"/>
    <x v="16"/>
    <x v="4"/>
    <x v="11"/>
    <n v="0"/>
  </r>
  <r>
    <x v="0"/>
    <x v="0"/>
    <x v="0"/>
    <x v="10"/>
    <x v="16"/>
    <x v="5"/>
    <x v="0"/>
    <n v="0"/>
  </r>
  <r>
    <x v="0"/>
    <x v="0"/>
    <x v="0"/>
    <x v="10"/>
    <x v="16"/>
    <x v="5"/>
    <x v="1"/>
    <n v="0"/>
  </r>
  <r>
    <x v="0"/>
    <x v="0"/>
    <x v="0"/>
    <x v="10"/>
    <x v="16"/>
    <x v="5"/>
    <x v="2"/>
    <n v="0"/>
  </r>
  <r>
    <x v="0"/>
    <x v="0"/>
    <x v="0"/>
    <x v="10"/>
    <x v="16"/>
    <x v="5"/>
    <x v="3"/>
    <n v="0"/>
  </r>
  <r>
    <x v="0"/>
    <x v="0"/>
    <x v="0"/>
    <x v="10"/>
    <x v="16"/>
    <x v="5"/>
    <x v="4"/>
    <n v="0"/>
  </r>
  <r>
    <x v="0"/>
    <x v="0"/>
    <x v="0"/>
    <x v="10"/>
    <x v="16"/>
    <x v="5"/>
    <x v="5"/>
    <n v="0"/>
  </r>
  <r>
    <x v="0"/>
    <x v="0"/>
    <x v="0"/>
    <x v="10"/>
    <x v="16"/>
    <x v="5"/>
    <x v="6"/>
    <n v="0"/>
  </r>
  <r>
    <x v="0"/>
    <x v="0"/>
    <x v="0"/>
    <x v="10"/>
    <x v="16"/>
    <x v="5"/>
    <x v="7"/>
    <n v="0"/>
  </r>
  <r>
    <x v="0"/>
    <x v="0"/>
    <x v="0"/>
    <x v="10"/>
    <x v="16"/>
    <x v="5"/>
    <x v="8"/>
    <n v="0"/>
  </r>
  <r>
    <x v="0"/>
    <x v="0"/>
    <x v="0"/>
    <x v="10"/>
    <x v="16"/>
    <x v="5"/>
    <x v="9"/>
    <n v="0"/>
  </r>
  <r>
    <x v="0"/>
    <x v="0"/>
    <x v="0"/>
    <x v="10"/>
    <x v="16"/>
    <x v="5"/>
    <x v="10"/>
    <n v="0"/>
  </r>
  <r>
    <x v="0"/>
    <x v="0"/>
    <x v="0"/>
    <x v="10"/>
    <x v="16"/>
    <x v="5"/>
    <x v="11"/>
    <n v="0"/>
  </r>
  <r>
    <x v="0"/>
    <x v="0"/>
    <x v="0"/>
    <x v="10"/>
    <x v="16"/>
    <x v="6"/>
    <x v="0"/>
    <n v="0"/>
  </r>
  <r>
    <x v="0"/>
    <x v="0"/>
    <x v="0"/>
    <x v="10"/>
    <x v="16"/>
    <x v="6"/>
    <x v="1"/>
    <n v="0"/>
  </r>
  <r>
    <x v="0"/>
    <x v="0"/>
    <x v="0"/>
    <x v="10"/>
    <x v="16"/>
    <x v="6"/>
    <x v="2"/>
    <n v="0"/>
  </r>
  <r>
    <x v="0"/>
    <x v="0"/>
    <x v="0"/>
    <x v="10"/>
    <x v="16"/>
    <x v="6"/>
    <x v="3"/>
    <n v="0"/>
  </r>
  <r>
    <x v="0"/>
    <x v="0"/>
    <x v="0"/>
    <x v="10"/>
    <x v="16"/>
    <x v="6"/>
    <x v="4"/>
    <n v="0"/>
  </r>
  <r>
    <x v="0"/>
    <x v="0"/>
    <x v="0"/>
    <x v="10"/>
    <x v="16"/>
    <x v="6"/>
    <x v="5"/>
    <n v="0"/>
  </r>
  <r>
    <x v="0"/>
    <x v="0"/>
    <x v="0"/>
    <x v="10"/>
    <x v="16"/>
    <x v="6"/>
    <x v="6"/>
    <n v="0"/>
  </r>
  <r>
    <x v="0"/>
    <x v="0"/>
    <x v="0"/>
    <x v="10"/>
    <x v="16"/>
    <x v="6"/>
    <x v="7"/>
    <n v="0"/>
  </r>
  <r>
    <x v="0"/>
    <x v="0"/>
    <x v="0"/>
    <x v="10"/>
    <x v="16"/>
    <x v="6"/>
    <x v="8"/>
    <n v="0"/>
  </r>
  <r>
    <x v="0"/>
    <x v="0"/>
    <x v="0"/>
    <x v="10"/>
    <x v="16"/>
    <x v="6"/>
    <x v="9"/>
    <n v="0"/>
  </r>
  <r>
    <x v="0"/>
    <x v="0"/>
    <x v="0"/>
    <x v="10"/>
    <x v="16"/>
    <x v="6"/>
    <x v="10"/>
    <n v="0"/>
  </r>
  <r>
    <x v="0"/>
    <x v="0"/>
    <x v="0"/>
    <x v="10"/>
    <x v="16"/>
    <x v="6"/>
    <x v="11"/>
    <n v="0"/>
  </r>
  <r>
    <x v="0"/>
    <x v="0"/>
    <x v="0"/>
    <x v="10"/>
    <x v="16"/>
    <x v="7"/>
    <x v="0"/>
    <n v="0"/>
  </r>
  <r>
    <x v="0"/>
    <x v="0"/>
    <x v="0"/>
    <x v="10"/>
    <x v="16"/>
    <x v="7"/>
    <x v="1"/>
    <n v="0"/>
  </r>
  <r>
    <x v="0"/>
    <x v="0"/>
    <x v="0"/>
    <x v="10"/>
    <x v="16"/>
    <x v="7"/>
    <x v="2"/>
    <n v="0"/>
  </r>
  <r>
    <x v="0"/>
    <x v="0"/>
    <x v="0"/>
    <x v="10"/>
    <x v="16"/>
    <x v="7"/>
    <x v="3"/>
    <n v="0"/>
  </r>
  <r>
    <x v="0"/>
    <x v="0"/>
    <x v="0"/>
    <x v="10"/>
    <x v="16"/>
    <x v="7"/>
    <x v="4"/>
    <n v="0"/>
  </r>
  <r>
    <x v="0"/>
    <x v="0"/>
    <x v="0"/>
    <x v="10"/>
    <x v="16"/>
    <x v="7"/>
    <x v="5"/>
    <n v="0"/>
  </r>
  <r>
    <x v="0"/>
    <x v="0"/>
    <x v="0"/>
    <x v="10"/>
    <x v="16"/>
    <x v="7"/>
    <x v="6"/>
    <n v="0"/>
  </r>
  <r>
    <x v="0"/>
    <x v="0"/>
    <x v="0"/>
    <x v="10"/>
    <x v="16"/>
    <x v="7"/>
    <x v="7"/>
    <n v="0"/>
  </r>
  <r>
    <x v="0"/>
    <x v="0"/>
    <x v="0"/>
    <x v="10"/>
    <x v="16"/>
    <x v="7"/>
    <x v="8"/>
    <n v="0"/>
  </r>
  <r>
    <x v="0"/>
    <x v="0"/>
    <x v="0"/>
    <x v="10"/>
    <x v="16"/>
    <x v="7"/>
    <x v="9"/>
    <n v="0"/>
  </r>
  <r>
    <x v="0"/>
    <x v="0"/>
    <x v="0"/>
    <x v="10"/>
    <x v="16"/>
    <x v="7"/>
    <x v="10"/>
    <n v="0"/>
  </r>
  <r>
    <x v="0"/>
    <x v="0"/>
    <x v="0"/>
    <x v="10"/>
    <x v="16"/>
    <x v="7"/>
    <x v="11"/>
    <n v="0"/>
  </r>
  <r>
    <x v="0"/>
    <x v="0"/>
    <x v="0"/>
    <x v="10"/>
    <x v="16"/>
    <x v="8"/>
    <x v="0"/>
    <n v="0"/>
  </r>
  <r>
    <x v="0"/>
    <x v="0"/>
    <x v="0"/>
    <x v="10"/>
    <x v="16"/>
    <x v="8"/>
    <x v="1"/>
    <n v="0"/>
  </r>
  <r>
    <x v="0"/>
    <x v="0"/>
    <x v="0"/>
    <x v="10"/>
    <x v="16"/>
    <x v="8"/>
    <x v="2"/>
    <n v="0"/>
  </r>
  <r>
    <x v="0"/>
    <x v="0"/>
    <x v="0"/>
    <x v="10"/>
    <x v="16"/>
    <x v="8"/>
    <x v="3"/>
    <n v="0"/>
  </r>
  <r>
    <x v="0"/>
    <x v="0"/>
    <x v="0"/>
    <x v="10"/>
    <x v="16"/>
    <x v="8"/>
    <x v="4"/>
    <n v="0"/>
  </r>
  <r>
    <x v="0"/>
    <x v="0"/>
    <x v="0"/>
    <x v="10"/>
    <x v="16"/>
    <x v="8"/>
    <x v="5"/>
    <n v="0"/>
  </r>
  <r>
    <x v="0"/>
    <x v="0"/>
    <x v="0"/>
    <x v="10"/>
    <x v="16"/>
    <x v="8"/>
    <x v="6"/>
    <n v="0"/>
  </r>
  <r>
    <x v="0"/>
    <x v="0"/>
    <x v="0"/>
    <x v="10"/>
    <x v="16"/>
    <x v="8"/>
    <x v="7"/>
    <n v="0"/>
  </r>
  <r>
    <x v="0"/>
    <x v="0"/>
    <x v="0"/>
    <x v="10"/>
    <x v="16"/>
    <x v="8"/>
    <x v="8"/>
    <n v="0"/>
  </r>
  <r>
    <x v="0"/>
    <x v="0"/>
    <x v="0"/>
    <x v="10"/>
    <x v="16"/>
    <x v="8"/>
    <x v="9"/>
    <n v="0"/>
  </r>
  <r>
    <x v="0"/>
    <x v="0"/>
    <x v="0"/>
    <x v="10"/>
    <x v="16"/>
    <x v="8"/>
    <x v="10"/>
    <n v="0"/>
  </r>
  <r>
    <x v="0"/>
    <x v="0"/>
    <x v="0"/>
    <x v="10"/>
    <x v="16"/>
    <x v="8"/>
    <x v="11"/>
    <n v="0"/>
  </r>
  <r>
    <x v="0"/>
    <x v="0"/>
    <x v="0"/>
    <x v="10"/>
    <x v="16"/>
    <x v="9"/>
    <x v="0"/>
    <n v="0"/>
  </r>
  <r>
    <x v="0"/>
    <x v="0"/>
    <x v="0"/>
    <x v="10"/>
    <x v="16"/>
    <x v="9"/>
    <x v="1"/>
    <n v="0"/>
  </r>
  <r>
    <x v="0"/>
    <x v="0"/>
    <x v="0"/>
    <x v="10"/>
    <x v="16"/>
    <x v="9"/>
    <x v="2"/>
    <n v="0"/>
  </r>
  <r>
    <x v="0"/>
    <x v="0"/>
    <x v="0"/>
    <x v="10"/>
    <x v="16"/>
    <x v="9"/>
    <x v="3"/>
    <n v="0"/>
  </r>
  <r>
    <x v="0"/>
    <x v="0"/>
    <x v="0"/>
    <x v="10"/>
    <x v="16"/>
    <x v="9"/>
    <x v="4"/>
    <n v="0"/>
  </r>
  <r>
    <x v="0"/>
    <x v="0"/>
    <x v="0"/>
    <x v="10"/>
    <x v="16"/>
    <x v="9"/>
    <x v="5"/>
    <n v="0"/>
  </r>
  <r>
    <x v="0"/>
    <x v="0"/>
    <x v="0"/>
    <x v="10"/>
    <x v="16"/>
    <x v="9"/>
    <x v="6"/>
    <n v="0"/>
  </r>
  <r>
    <x v="0"/>
    <x v="0"/>
    <x v="0"/>
    <x v="10"/>
    <x v="16"/>
    <x v="9"/>
    <x v="7"/>
    <n v="0"/>
  </r>
  <r>
    <x v="0"/>
    <x v="0"/>
    <x v="0"/>
    <x v="10"/>
    <x v="16"/>
    <x v="9"/>
    <x v="8"/>
    <n v="0"/>
  </r>
  <r>
    <x v="0"/>
    <x v="0"/>
    <x v="0"/>
    <x v="10"/>
    <x v="16"/>
    <x v="9"/>
    <x v="9"/>
    <n v="-0.75604493961778596"/>
  </r>
  <r>
    <x v="0"/>
    <x v="0"/>
    <x v="0"/>
    <x v="10"/>
    <x v="16"/>
    <x v="9"/>
    <x v="10"/>
    <n v="0"/>
  </r>
  <r>
    <x v="0"/>
    <x v="0"/>
    <x v="0"/>
    <x v="10"/>
    <x v="16"/>
    <x v="9"/>
    <x v="11"/>
    <n v="0"/>
  </r>
  <r>
    <x v="0"/>
    <x v="0"/>
    <x v="0"/>
    <x v="10"/>
    <x v="16"/>
    <x v="10"/>
    <x v="0"/>
    <n v="0"/>
  </r>
  <r>
    <x v="0"/>
    <x v="0"/>
    <x v="0"/>
    <x v="10"/>
    <x v="16"/>
    <x v="10"/>
    <x v="1"/>
    <n v="0"/>
  </r>
  <r>
    <x v="0"/>
    <x v="0"/>
    <x v="0"/>
    <x v="10"/>
    <x v="16"/>
    <x v="10"/>
    <x v="2"/>
    <n v="0"/>
  </r>
  <r>
    <x v="0"/>
    <x v="0"/>
    <x v="0"/>
    <x v="10"/>
    <x v="16"/>
    <x v="10"/>
    <x v="3"/>
    <n v="0"/>
  </r>
  <r>
    <x v="0"/>
    <x v="0"/>
    <x v="0"/>
    <x v="10"/>
    <x v="16"/>
    <x v="10"/>
    <x v="4"/>
    <n v="-1"/>
  </r>
  <r>
    <x v="0"/>
    <x v="0"/>
    <x v="0"/>
    <x v="10"/>
    <x v="16"/>
    <x v="10"/>
    <x v="5"/>
    <n v="0"/>
  </r>
  <r>
    <x v="0"/>
    <x v="0"/>
    <x v="0"/>
    <x v="10"/>
    <x v="16"/>
    <x v="10"/>
    <x v="6"/>
    <n v="0"/>
  </r>
  <r>
    <x v="0"/>
    <x v="0"/>
    <x v="0"/>
    <x v="10"/>
    <x v="16"/>
    <x v="10"/>
    <x v="7"/>
    <n v="-0.58572133397397597"/>
  </r>
  <r>
    <x v="0"/>
    <x v="0"/>
    <x v="0"/>
    <x v="10"/>
    <x v="16"/>
    <x v="10"/>
    <x v="8"/>
    <n v="-0.56385032855678896"/>
  </r>
  <r>
    <x v="0"/>
    <x v="0"/>
    <x v="0"/>
    <x v="10"/>
    <x v="16"/>
    <x v="10"/>
    <x v="9"/>
    <n v="-1"/>
  </r>
  <r>
    <x v="0"/>
    <x v="0"/>
    <x v="0"/>
    <x v="10"/>
    <x v="16"/>
    <x v="10"/>
    <x v="10"/>
    <n v="-8.0915325015219003E-2"/>
  </r>
  <r>
    <x v="0"/>
    <x v="0"/>
    <x v="0"/>
    <x v="10"/>
    <x v="16"/>
    <x v="10"/>
    <x v="11"/>
    <n v="0"/>
  </r>
  <r>
    <x v="0"/>
    <x v="0"/>
    <x v="0"/>
    <x v="10"/>
    <x v="16"/>
    <x v="11"/>
    <x v="0"/>
    <n v="0"/>
  </r>
  <r>
    <x v="0"/>
    <x v="0"/>
    <x v="0"/>
    <x v="10"/>
    <x v="16"/>
    <x v="11"/>
    <x v="1"/>
    <n v="0"/>
  </r>
  <r>
    <x v="0"/>
    <x v="0"/>
    <x v="0"/>
    <x v="10"/>
    <x v="16"/>
    <x v="11"/>
    <x v="2"/>
    <n v="0"/>
  </r>
  <r>
    <x v="0"/>
    <x v="0"/>
    <x v="0"/>
    <x v="10"/>
    <x v="16"/>
    <x v="11"/>
    <x v="3"/>
    <n v="0"/>
  </r>
  <r>
    <x v="0"/>
    <x v="0"/>
    <x v="0"/>
    <x v="10"/>
    <x v="16"/>
    <x v="11"/>
    <x v="4"/>
    <n v="-6.9578803279849097E-2"/>
  </r>
  <r>
    <x v="0"/>
    <x v="0"/>
    <x v="0"/>
    <x v="10"/>
    <x v="16"/>
    <x v="11"/>
    <x v="5"/>
    <n v="-1"/>
  </r>
  <r>
    <x v="0"/>
    <x v="0"/>
    <x v="0"/>
    <x v="10"/>
    <x v="16"/>
    <x v="11"/>
    <x v="6"/>
    <n v="0"/>
  </r>
  <r>
    <x v="0"/>
    <x v="0"/>
    <x v="0"/>
    <x v="10"/>
    <x v="16"/>
    <x v="11"/>
    <x v="7"/>
    <n v="0"/>
  </r>
  <r>
    <x v="0"/>
    <x v="0"/>
    <x v="0"/>
    <x v="10"/>
    <x v="16"/>
    <x v="11"/>
    <x v="8"/>
    <n v="0"/>
  </r>
  <r>
    <x v="0"/>
    <x v="0"/>
    <x v="0"/>
    <x v="10"/>
    <x v="16"/>
    <x v="11"/>
    <x v="9"/>
    <n v="0"/>
  </r>
  <r>
    <x v="0"/>
    <x v="0"/>
    <x v="0"/>
    <x v="10"/>
    <x v="16"/>
    <x v="11"/>
    <x v="10"/>
    <n v="0"/>
  </r>
  <r>
    <x v="0"/>
    <x v="0"/>
    <x v="0"/>
    <x v="10"/>
    <x v="16"/>
    <x v="11"/>
    <x v="11"/>
    <n v="0"/>
  </r>
  <r>
    <x v="0"/>
    <x v="0"/>
    <x v="0"/>
    <x v="10"/>
    <x v="18"/>
    <x v="0"/>
    <x v="0"/>
    <n v="0"/>
  </r>
  <r>
    <x v="0"/>
    <x v="0"/>
    <x v="0"/>
    <x v="10"/>
    <x v="18"/>
    <x v="0"/>
    <x v="1"/>
    <n v="0"/>
  </r>
  <r>
    <x v="0"/>
    <x v="0"/>
    <x v="0"/>
    <x v="10"/>
    <x v="18"/>
    <x v="0"/>
    <x v="2"/>
    <n v="0"/>
  </r>
  <r>
    <x v="0"/>
    <x v="0"/>
    <x v="0"/>
    <x v="10"/>
    <x v="18"/>
    <x v="0"/>
    <x v="3"/>
    <n v="0"/>
  </r>
  <r>
    <x v="0"/>
    <x v="0"/>
    <x v="0"/>
    <x v="10"/>
    <x v="18"/>
    <x v="0"/>
    <x v="4"/>
    <n v="0"/>
  </r>
  <r>
    <x v="0"/>
    <x v="0"/>
    <x v="0"/>
    <x v="10"/>
    <x v="18"/>
    <x v="0"/>
    <x v="5"/>
    <n v="0"/>
  </r>
  <r>
    <x v="0"/>
    <x v="0"/>
    <x v="0"/>
    <x v="10"/>
    <x v="18"/>
    <x v="0"/>
    <x v="6"/>
    <n v="0"/>
  </r>
  <r>
    <x v="0"/>
    <x v="0"/>
    <x v="0"/>
    <x v="10"/>
    <x v="18"/>
    <x v="0"/>
    <x v="7"/>
    <n v="0"/>
  </r>
  <r>
    <x v="0"/>
    <x v="0"/>
    <x v="0"/>
    <x v="10"/>
    <x v="18"/>
    <x v="0"/>
    <x v="8"/>
    <n v="0"/>
  </r>
  <r>
    <x v="0"/>
    <x v="0"/>
    <x v="0"/>
    <x v="10"/>
    <x v="18"/>
    <x v="0"/>
    <x v="9"/>
    <n v="0"/>
  </r>
  <r>
    <x v="0"/>
    <x v="0"/>
    <x v="0"/>
    <x v="10"/>
    <x v="18"/>
    <x v="0"/>
    <x v="10"/>
    <n v="0"/>
  </r>
  <r>
    <x v="0"/>
    <x v="0"/>
    <x v="0"/>
    <x v="10"/>
    <x v="18"/>
    <x v="0"/>
    <x v="11"/>
    <n v="0"/>
  </r>
  <r>
    <x v="0"/>
    <x v="0"/>
    <x v="0"/>
    <x v="10"/>
    <x v="18"/>
    <x v="1"/>
    <x v="0"/>
    <n v="0"/>
  </r>
  <r>
    <x v="0"/>
    <x v="0"/>
    <x v="0"/>
    <x v="10"/>
    <x v="18"/>
    <x v="1"/>
    <x v="1"/>
    <n v="0"/>
  </r>
  <r>
    <x v="0"/>
    <x v="0"/>
    <x v="0"/>
    <x v="10"/>
    <x v="18"/>
    <x v="1"/>
    <x v="2"/>
    <n v="0"/>
  </r>
  <r>
    <x v="0"/>
    <x v="0"/>
    <x v="0"/>
    <x v="10"/>
    <x v="18"/>
    <x v="1"/>
    <x v="3"/>
    <n v="0"/>
  </r>
  <r>
    <x v="0"/>
    <x v="0"/>
    <x v="0"/>
    <x v="10"/>
    <x v="18"/>
    <x v="1"/>
    <x v="4"/>
    <n v="0"/>
  </r>
  <r>
    <x v="0"/>
    <x v="0"/>
    <x v="0"/>
    <x v="10"/>
    <x v="18"/>
    <x v="1"/>
    <x v="5"/>
    <n v="0"/>
  </r>
  <r>
    <x v="0"/>
    <x v="0"/>
    <x v="0"/>
    <x v="10"/>
    <x v="18"/>
    <x v="1"/>
    <x v="6"/>
    <n v="0"/>
  </r>
  <r>
    <x v="0"/>
    <x v="0"/>
    <x v="0"/>
    <x v="10"/>
    <x v="18"/>
    <x v="1"/>
    <x v="7"/>
    <n v="0"/>
  </r>
  <r>
    <x v="0"/>
    <x v="0"/>
    <x v="0"/>
    <x v="10"/>
    <x v="18"/>
    <x v="1"/>
    <x v="8"/>
    <n v="0"/>
  </r>
  <r>
    <x v="0"/>
    <x v="0"/>
    <x v="0"/>
    <x v="10"/>
    <x v="18"/>
    <x v="1"/>
    <x v="9"/>
    <n v="0"/>
  </r>
  <r>
    <x v="0"/>
    <x v="0"/>
    <x v="0"/>
    <x v="10"/>
    <x v="18"/>
    <x v="1"/>
    <x v="10"/>
    <n v="0"/>
  </r>
  <r>
    <x v="0"/>
    <x v="0"/>
    <x v="0"/>
    <x v="10"/>
    <x v="18"/>
    <x v="1"/>
    <x v="11"/>
    <n v="0"/>
  </r>
  <r>
    <x v="0"/>
    <x v="0"/>
    <x v="0"/>
    <x v="10"/>
    <x v="18"/>
    <x v="2"/>
    <x v="0"/>
    <n v="0"/>
  </r>
  <r>
    <x v="0"/>
    <x v="0"/>
    <x v="0"/>
    <x v="10"/>
    <x v="18"/>
    <x v="2"/>
    <x v="1"/>
    <n v="0"/>
  </r>
  <r>
    <x v="0"/>
    <x v="0"/>
    <x v="0"/>
    <x v="10"/>
    <x v="18"/>
    <x v="2"/>
    <x v="2"/>
    <n v="0"/>
  </r>
  <r>
    <x v="0"/>
    <x v="0"/>
    <x v="0"/>
    <x v="10"/>
    <x v="18"/>
    <x v="2"/>
    <x v="3"/>
    <n v="0"/>
  </r>
  <r>
    <x v="0"/>
    <x v="0"/>
    <x v="0"/>
    <x v="10"/>
    <x v="18"/>
    <x v="2"/>
    <x v="4"/>
    <n v="0"/>
  </r>
  <r>
    <x v="0"/>
    <x v="0"/>
    <x v="0"/>
    <x v="10"/>
    <x v="18"/>
    <x v="2"/>
    <x v="5"/>
    <n v="0"/>
  </r>
  <r>
    <x v="0"/>
    <x v="0"/>
    <x v="0"/>
    <x v="10"/>
    <x v="18"/>
    <x v="2"/>
    <x v="6"/>
    <n v="0"/>
  </r>
  <r>
    <x v="0"/>
    <x v="0"/>
    <x v="0"/>
    <x v="10"/>
    <x v="18"/>
    <x v="2"/>
    <x v="7"/>
    <n v="0"/>
  </r>
  <r>
    <x v="0"/>
    <x v="0"/>
    <x v="0"/>
    <x v="10"/>
    <x v="18"/>
    <x v="2"/>
    <x v="8"/>
    <n v="0"/>
  </r>
  <r>
    <x v="0"/>
    <x v="0"/>
    <x v="0"/>
    <x v="10"/>
    <x v="18"/>
    <x v="2"/>
    <x v="9"/>
    <n v="0"/>
  </r>
  <r>
    <x v="0"/>
    <x v="0"/>
    <x v="0"/>
    <x v="10"/>
    <x v="18"/>
    <x v="2"/>
    <x v="10"/>
    <n v="0"/>
  </r>
  <r>
    <x v="0"/>
    <x v="0"/>
    <x v="0"/>
    <x v="10"/>
    <x v="18"/>
    <x v="2"/>
    <x v="11"/>
    <n v="0"/>
  </r>
  <r>
    <x v="0"/>
    <x v="0"/>
    <x v="0"/>
    <x v="10"/>
    <x v="18"/>
    <x v="3"/>
    <x v="0"/>
    <n v="0"/>
  </r>
  <r>
    <x v="0"/>
    <x v="0"/>
    <x v="0"/>
    <x v="10"/>
    <x v="18"/>
    <x v="3"/>
    <x v="1"/>
    <n v="0"/>
  </r>
  <r>
    <x v="0"/>
    <x v="0"/>
    <x v="0"/>
    <x v="10"/>
    <x v="18"/>
    <x v="3"/>
    <x v="2"/>
    <n v="0"/>
  </r>
  <r>
    <x v="0"/>
    <x v="0"/>
    <x v="0"/>
    <x v="10"/>
    <x v="18"/>
    <x v="3"/>
    <x v="3"/>
    <n v="0"/>
  </r>
  <r>
    <x v="0"/>
    <x v="0"/>
    <x v="0"/>
    <x v="10"/>
    <x v="18"/>
    <x v="3"/>
    <x v="4"/>
    <n v="0"/>
  </r>
  <r>
    <x v="0"/>
    <x v="0"/>
    <x v="0"/>
    <x v="10"/>
    <x v="18"/>
    <x v="3"/>
    <x v="5"/>
    <n v="0"/>
  </r>
  <r>
    <x v="0"/>
    <x v="0"/>
    <x v="0"/>
    <x v="10"/>
    <x v="18"/>
    <x v="3"/>
    <x v="6"/>
    <n v="0"/>
  </r>
  <r>
    <x v="0"/>
    <x v="0"/>
    <x v="0"/>
    <x v="10"/>
    <x v="18"/>
    <x v="3"/>
    <x v="7"/>
    <n v="0"/>
  </r>
  <r>
    <x v="0"/>
    <x v="0"/>
    <x v="0"/>
    <x v="10"/>
    <x v="18"/>
    <x v="3"/>
    <x v="8"/>
    <n v="0"/>
  </r>
  <r>
    <x v="0"/>
    <x v="0"/>
    <x v="0"/>
    <x v="10"/>
    <x v="18"/>
    <x v="3"/>
    <x v="9"/>
    <n v="0"/>
  </r>
  <r>
    <x v="0"/>
    <x v="0"/>
    <x v="0"/>
    <x v="10"/>
    <x v="18"/>
    <x v="3"/>
    <x v="10"/>
    <n v="0"/>
  </r>
  <r>
    <x v="0"/>
    <x v="0"/>
    <x v="0"/>
    <x v="10"/>
    <x v="18"/>
    <x v="3"/>
    <x v="11"/>
    <n v="0"/>
  </r>
  <r>
    <x v="0"/>
    <x v="0"/>
    <x v="0"/>
    <x v="10"/>
    <x v="18"/>
    <x v="4"/>
    <x v="0"/>
    <n v="0.6"/>
  </r>
  <r>
    <x v="0"/>
    <x v="0"/>
    <x v="0"/>
    <x v="10"/>
    <x v="18"/>
    <x v="4"/>
    <x v="1"/>
    <n v="0.6"/>
  </r>
  <r>
    <x v="0"/>
    <x v="0"/>
    <x v="0"/>
    <x v="10"/>
    <x v="18"/>
    <x v="4"/>
    <x v="2"/>
    <n v="0.6"/>
  </r>
  <r>
    <x v="0"/>
    <x v="0"/>
    <x v="0"/>
    <x v="10"/>
    <x v="18"/>
    <x v="4"/>
    <x v="3"/>
    <n v="0.6"/>
  </r>
  <r>
    <x v="0"/>
    <x v="0"/>
    <x v="0"/>
    <x v="10"/>
    <x v="18"/>
    <x v="4"/>
    <x v="4"/>
    <n v="0.6"/>
  </r>
  <r>
    <x v="0"/>
    <x v="0"/>
    <x v="0"/>
    <x v="10"/>
    <x v="18"/>
    <x v="4"/>
    <x v="5"/>
    <n v="0.6"/>
  </r>
  <r>
    <x v="0"/>
    <x v="0"/>
    <x v="0"/>
    <x v="10"/>
    <x v="18"/>
    <x v="4"/>
    <x v="6"/>
    <n v="0.6"/>
  </r>
  <r>
    <x v="0"/>
    <x v="0"/>
    <x v="0"/>
    <x v="10"/>
    <x v="18"/>
    <x v="4"/>
    <x v="7"/>
    <n v="0.6"/>
  </r>
  <r>
    <x v="0"/>
    <x v="0"/>
    <x v="0"/>
    <x v="10"/>
    <x v="18"/>
    <x v="4"/>
    <x v="8"/>
    <n v="0.6"/>
  </r>
  <r>
    <x v="0"/>
    <x v="0"/>
    <x v="0"/>
    <x v="10"/>
    <x v="18"/>
    <x v="4"/>
    <x v="9"/>
    <n v="0.6"/>
  </r>
  <r>
    <x v="0"/>
    <x v="0"/>
    <x v="0"/>
    <x v="10"/>
    <x v="18"/>
    <x v="4"/>
    <x v="10"/>
    <n v="0.6"/>
  </r>
  <r>
    <x v="0"/>
    <x v="0"/>
    <x v="0"/>
    <x v="10"/>
    <x v="18"/>
    <x v="4"/>
    <x v="11"/>
    <n v="0.6"/>
  </r>
  <r>
    <x v="0"/>
    <x v="0"/>
    <x v="0"/>
    <x v="10"/>
    <x v="18"/>
    <x v="5"/>
    <x v="0"/>
    <n v="0.6"/>
  </r>
  <r>
    <x v="0"/>
    <x v="0"/>
    <x v="0"/>
    <x v="10"/>
    <x v="18"/>
    <x v="5"/>
    <x v="1"/>
    <n v="0.6"/>
  </r>
  <r>
    <x v="0"/>
    <x v="0"/>
    <x v="0"/>
    <x v="10"/>
    <x v="18"/>
    <x v="5"/>
    <x v="2"/>
    <n v="0.6"/>
  </r>
  <r>
    <x v="0"/>
    <x v="0"/>
    <x v="0"/>
    <x v="10"/>
    <x v="18"/>
    <x v="5"/>
    <x v="3"/>
    <n v="0.6"/>
  </r>
  <r>
    <x v="0"/>
    <x v="0"/>
    <x v="0"/>
    <x v="10"/>
    <x v="18"/>
    <x v="5"/>
    <x v="4"/>
    <n v="0.6"/>
  </r>
  <r>
    <x v="0"/>
    <x v="0"/>
    <x v="0"/>
    <x v="10"/>
    <x v="18"/>
    <x v="5"/>
    <x v="5"/>
    <n v="0.6"/>
  </r>
  <r>
    <x v="0"/>
    <x v="0"/>
    <x v="0"/>
    <x v="10"/>
    <x v="18"/>
    <x v="5"/>
    <x v="6"/>
    <n v="0.6"/>
  </r>
  <r>
    <x v="0"/>
    <x v="0"/>
    <x v="0"/>
    <x v="10"/>
    <x v="18"/>
    <x v="5"/>
    <x v="7"/>
    <n v="0.6"/>
  </r>
  <r>
    <x v="0"/>
    <x v="0"/>
    <x v="0"/>
    <x v="10"/>
    <x v="18"/>
    <x v="5"/>
    <x v="8"/>
    <n v="0.6"/>
  </r>
  <r>
    <x v="0"/>
    <x v="0"/>
    <x v="0"/>
    <x v="10"/>
    <x v="18"/>
    <x v="5"/>
    <x v="9"/>
    <n v="0.6"/>
  </r>
  <r>
    <x v="0"/>
    <x v="0"/>
    <x v="0"/>
    <x v="10"/>
    <x v="18"/>
    <x v="5"/>
    <x v="10"/>
    <n v="0.6"/>
  </r>
  <r>
    <x v="0"/>
    <x v="0"/>
    <x v="0"/>
    <x v="10"/>
    <x v="18"/>
    <x v="5"/>
    <x v="11"/>
    <n v="0.6"/>
  </r>
  <r>
    <x v="0"/>
    <x v="0"/>
    <x v="0"/>
    <x v="10"/>
    <x v="18"/>
    <x v="6"/>
    <x v="0"/>
    <n v="0.6"/>
  </r>
  <r>
    <x v="0"/>
    <x v="0"/>
    <x v="0"/>
    <x v="10"/>
    <x v="18"/>
    <x v="6"/>
    <x v="1"/>
    <n v="0.6"/>
  </r>
  <r>
    <x v="0"/>
    <x v="0"/>
    <x v="0"/>
    <x v="10"/>
    <x v="18"/>
    <x v="6"/>
    <x v="2"/>
    <n v="0.6"/>
  </r>
  <r>
    <x v="0"/>
    <x v="0"/>
    <x v="0"/>
    <x v="10"/>
    <x v="18"/>
    <x v="6"/>
    <x v="3"/>
    <n v="0.6"/>
  </r>
  <r>
    <x v="0"/>
    <x v="0"/>
    <x v="0"/>
    <x v="10"/>
    <x v="18"/>
    <x v="6"/>
    <x v="4"/>
    <n v="0.6"/>
  </r>
  <r>
    <x v="0"/>
    <x v="0"/>
    <x v="0"/>
    <x v="10"/>
    <x v="18"/>
    <x v="6"/>
    <x v="5"/>
    <n v="0.6"/>
  </r>
  <r>
    <x v="0"/>
    <x v="0"/>
    <x v="0"/>
    <x v="10"/>
    <x v="18"/>
    <x v="6"/>
    <x v="6"/>
    <n v="0.6"/>
  </r>
  <r>
    <x v="0"/>
    <x v="0"/>
    <x v="0"/>
    <x v="10"/>
    <x v="18"/>
    <x v="6"/>
    <x v="7"/>
    <n v="0.6"/>
  </r>
  <r>
    <x v="0"/>
    <x v="0"/>
    <x v="0"/>
    <x v="10"/>
    <x v="18"/>
    <x v="6"/>
    <x v="8"/>
    <n v="0.6"/>
  </r>
  <r>
    <x v="0"/>
    <x v="0"/>
    <x v="0"/>
    <x v="10"/>
    <x v="18"/>
    <x v="6"/>
    <x v="9"/>
    <n v="0.6"/>
  </r>
  <r>
    <x v="0"/>
    <x v="0"/>
    <x v="0"/>
    <x v="10"/>
    <x v="18"/>
    <x v="6"/>
    <x v="10"/>
    <n v="0.6"/>
  </r>
  <r>
    <x v="0"/>
    <x v="0"/>
    <x v="0"/>
    <x v="10"/>
    <x v="18"/>
    <x v="6"/>
    <x v="11"/>
    <n v="0.6"/>
  </r>
  <r>
    <x v="0"/>
    <x v="0"/>
    <x v="0"/>
    <x v="10"/>
    <x v="18"/>
    <x v="7"/>
    <x v="0"/>
    <n v="0.6"/>
  </r>
  <r>
    <x v="0"/>
    <x v="0"/>
    <x v="0"/>
    <x v="10"/>
    <x v="18"/>
    <x v="7"/>
    <x v="1"/>
    <n v="0.6"/>
  </r>
  <r>
    <x v="0"/>
    <x v="0"/>
    <x v="0"/>
    <x v="10"/>
    <x v="18"/>
    <x v="7"/>
    <x v="2"/>
    <n v="0.6"/>
  </r>
  <r>
    <x v="0"/>
    <x v="0"/>
    <x v="0"/>
    <x v="10"/>
    <x v="18"/>
    <x v="7"/>
    <x v="3"/>
    <n v="0.6"/>
  </r>
  <r>
    <x v="0"/>
    <x v="0"/>
    <x v="0"/>
    <x v="10"/>
    <x v="18"/>
    <x v="7"/>
    <x v="4"/>
    <n v="0.6"/>
  </r>
  <r>
    <x v="0"/>
    <x v="0"/>
    <x v="0"/>
    <x v="10"/>
    <x v="18"/>
    <x v="7"/>
    <x v="5"/>
    <n v="0.6"/>
  </r>
  <r>
    <x v="0"/>
    <x v="0"/>
    <x v="0"/>
    <x v="10"/>
    <x v="18"/>
    <x v="7"/>
    <x v="6"/>
    <n v="0.6"/>
  </r>
  <r>
    <x v="0"/>
    <x v="0"/>
    <x v="0"/>
    <x v="10"/>
    <x v="18"/>
    <x v="7"/>
    <x v="7"/>
    <n v="0.6"/>
  </r>
  <r>
    <x v="0"/>
    <x v="0"/>
    <x v="0"/>
    <x v="10"/>
    <x v="18"/>
    <x v="7"/>
    <x v="8"/>
    <n v="0.6"/>
  </r>
  <r>
    <x v="0"/>
    <x v="0"/>
    <x v="0"/>
    <x v="10"/>
    <x v="18"/>
    <x v="7"/>
    <x v="9"/>
    <n v="0.6"/>
  </r>
  <r>
    <x v="0"/>
    <x v="0"/>
    <x v="0"/>
    <x v="10"/>
    <x v="18"/>
    <x v="7"/>
    <x v="10"/>
    <n v="0.6"/>
  </r>
  <r>
    <x v="0"/>
    <x v="0"/>
    <x v="0"/>
    <x v="10"/>
    <x v="18"/>
    <x v="7"/>
    <x v="11"/>
    <n v="0.6"/>
  </r>
  <r>
    <x v="0"/>
    <x v="0"/>
    <x v="0"/>
    <x v="10"/>
    <x v="18"/>
    <x v="8"/>
    <x v="0"/>
    <n v="0.6"/>
  </r>
  <r>
    <x v="0"/>
    <x v="0"/>
    <x v="0"/>
    <x v="10"/>
    <x v="18"/>
    <x v="8"/>
    <x v="1"/>
    <n v="0.6"/>
  </r>
  <r>
    <x v="0"/>
    <x v="0"/>
    <x v="0"/>
    <x v="10"/>
    <x v="18"/>
    <x v="8"/>
    <x v="2"/>
    <n v="0.6"/>
  </r>
  <r>
    <x v="0"/>
    <x v="0"/>
    <x v="0"/>
    <x v="10"/>
    <x v="18"/>
    <x v="8"/>
    <x v="3"/>
    <n v="0.6"/>
  </r>
  <r>
    <x v="0"/>
    <x v="0"/>
    <x v="0"/>
    <x v="10"/>
    <x v="18"/>
    <x v="8"/>
    <x v="4"/>
    <n v="0.6"/>
  </r>
  <r>
    <x v="0"/>
    <x v="0"/>
    <x v="0"/>
    <x v="10"/>
    <x v="18"/>
    <x v="8"/>
    <x v="5"/>
    <n v="0.6"/>
  </r>
  <r>
    <x v="0"/>
    <x v="0"/>
    <x v="0"/>
    <x v="10"/>
    <x v="18"/>
    <x v="8"/>
    <x v="6"/>
    <n v="0.6"/>
  </r>
  <r>
    <x v="0"/>
    <x v="0"/>
    <x v="0"/>
    <x v="10"/>
    <x v="18"/>
    <x v="8"/>
    <x v="7"/>
    <n v="0.6"/>
  </r>
  <r>
    <x v="0"/>
    <x v="0"/>
    <x v="0"/>
    <x v="10"/>
    <x v="18"/>
    <x v="8"/>
    <x v="8"/>
    <n v="0.6"/>
  </r>
  <r>
    <x v="0"/>
    <x v="0"/>
    <x v="0"/>
    <x v="10"/>
    <x v="18"/>
    <x v="8"/>
    <x v="9"/>
    <n v="0.6"/>
  </r>
  <r>
    <x v="0"/>
    <x v="0"/>
    <x v="0"/>
    <x v="10"/>
    <x v="18"/>
    <x v="8"/>
    <x v="10"/>
    <n v="0.6"/>
  </r>
  <r>
    <x v="0"/>
    <x v="0"/>
    <x v="0"/>
    <x v="10"/>
    <x v="18"/>
    <x v="8"/>
    <x v="11"/>
    <n v="0.6"/>
  </r>
  <r>
    <x v="0"/>
    <x v="0"/>
    <x v="0"/>
    <x v="10"/>
    <x v="18"/>
    <x v="9"/>
    <x v="0"/>
    <n v="0.6"/>
  </r>
  <r>
    <x v="0"/>
    <x v="0"/>
    <x v="0"/>
    <x v="10"/>
    <x v="18"/>
    <x v="9"/>
    <x v="1"/>
    <n v="0.6"/>
  </r>
  <r>
    <x v="0"/>
    <x v="0"/>
    <x v="0"/>
    <x v="10"/>
    <x v="18"/>
    <x v="9"/>
    <x v="2"/>
    <n v="0.6"/>
  </r>
  <r>
    <x v="0"/>
    <x v="0"/>
    <x v="0"/>
    <x v="10"/>
    <x v="18"/>
    <x v="9"/>
    <x v="3"/>
    <n v="0.6"/>
  </r>
  <r>
    <x v="0"/>
    <x v="0"/>
    <x v="0"/>
    <x v="10"/>
    <x v="18"/>
    <x v="9"/>
    <x v="4"/>
    <n v="0.6"/>
  </r>
  <r>
    <x v="0"/>
    <x v="0"/>
    <x v="0"/>
    <x v="10"/>
    <x v="18"/>
    <x v="9"/>
    <x v="5"/>
    <n v="0.6"/>
  </r>
  <r>
    <x v="0"/>
    <x v="0"/>
    <x v="0"/>
    <x v="10"/>
    <x v="18"/>
    <x v="9"/>
    <x v="6"/>
    <n v="0.6"/>
  </r>
  <r>
    <x v="0"/>
    <x v="0"/>
    <x v="0"/>
    <x v="10"/>
    <x v="18"/>
    <x v="9"/>
    <x v="7"/>
    <n v="0.6"/>
  </r>
  <r>
    <x v="0"/>
    <x v="0"/>
    <x v="0"/>
    <x v="10"/>
    <x v="18"/>
    <x v="9"/>
    <x v="8"/>
    <n v="0.6"/>
  </r>
  <r>
    <x v="0"/>
    <x v="0"/>
    <x v="0"/>
    <x v="10"/>
    <x v="18"/>
    <x v="9"/>
    <x v="9"/>
    <n v="0.6"/>
  </r>
  <r>
    <x v="0"/>
    <x v="0"/>
    <x v="0"/>
    <x v="10"/>
    <x v="18"/>
    <x v="9"/>
    <x v="10"/>
    <n v="0.6"/>
  </r>
  <r>
    <x v="0"/>
    <x v="0"/>
    <x v="0"/>
    <x v="10"/>
    <x v="18"/>
    <x v="9"/>
    <x v="11"/>
    <n v="0.6"/>
  </r>
  <r>
    <x v="0"/>
    <x v="0"/>
    <x v="0"/>
    <x v="10"/>
    <x v="18"/>
    <x v="10"/>
    <x v="0"/>
    <n v="0.6"/>
  </r>
  <r>
    <x v="0"/>
    <x v="0"/>
    <x v="0"/>
    <x v="10"/>
    <x v="18"/>
    <x v="10"/>
    <x v="1"/>
    <n v="0.6"/>
  </r>
  <r>
    <x v="0"/>
    <x v="0"/>
    <x v="0"/>
    <x v="10"/>
    <x v="18"/>
    <x v="10"/>
    <x v="2"/>
    <n v="0.6"/>
  </r>
  <r>
    <x v="0"/>
    <x v="0"/>
    <x v="0"/>
    <x v="10"/>
    <x v="18"/>
    <x v="10"/>
    <x v="3"/>
    <n v="0.6"/>
  </r>
  <r>
    <x v="0"/>
    <x v="0"/>
    <x v="0"/>
    <x v="10"/>
    <x v="18"/>
    <x v="10"/>
    <x v="4"/>
    <n v="0.6"/>
  </r>
  <r>
    <x v="0"/>
    <x v="0"/>
    <x v="0"/>
    <x v="10"/>
    <x v="18"/>
    <x v="10"/>
    <x v="5"/>
    <n v="0.6"/>
  </r>
  <r>
    <x v="0"/>
    <x v="0"/>
    <x v="0"/>
    <x v="10"/>
    <x v="18"/>
    <x v="10"/>
    <x v="6"/>
    <n v="0.6"/>
  </r>
  <r>
    <x v="0"/>
    <x v="0"/>
    <x v="0"/>
    <x v="10"/>
    <x v="18"/>
    <x v="10"/>
    <x v="7"/>
    <n v="0.6"/>
  </r>
  <r>
    <x v="0"/>
    <x v="0"/>
    <x v="0"/>
    <x v="10"/>
    <x v="18"/>
    <x v="10"/>
    <x v="8"/>
    <n v="0.6"/>
  </r>
  <r>
    <x v="0"/>
    <x v="0"/>
    <x v="0"/>
    <x v="10"/>
    <x v="18"/>
    <x v="10"/>
    <x v="9"/>
    <n v="0.6"/>
  </r>
  <r>
    <x v="0"/>
    <x v="0"/>
    <x v="0"/>
    <x v="10"/>
    <x v="18"/>
    <x v="10"/>
    <x v="10"/>
    <n v="0.6"/>
  </r>
  <r>
    <x v="0"/>
    <x v="0"/>
    <x v="0"/>
    <x v="10"/>
    <x v="18"/>
    <x v="10"/>
    <x v="11"/>
    <n v="0.6"/>
  </r>
  <r>
    <x v="0"/>
    <x v="0"/>
    <x v="0"/>
    <x v="10"/>
    <x v="18"/>
    <x v="11"/>
    <x v="0"/>
    <n v="0.6"/>
  </r>
  <r>
    <x v="0"/>
    <x v="0"/>
    <x v="0"/>
    <x v="10"/>
    <x v="18"/>
    <x v="11"/>
    <x v="1"/>
    <n v="0.6"/>
  </r>
  <r>
    <x v="0"/>
    <x v="0"/>
    <x v="0"/>
    <x v="10"/>
    <x v="18"/>
    <x v="11"/>
    <x v="2"/>
    <n v="0.6"/>
  </r>
  <r>
    <x v="0"/>
    <x v="0"/>
    <x v="0"/>
    <x v="10"/>
    <x v="18"/>
    <x v="11"/>
    <x v="3"/>
    <n v="0.6"/>
  </r>
  <r>
    <x v="0"/>
    <x v="0"/>
    <x v="0"/>
    <x v="10"/>
    <x v="18"/>
    <x v="11"/>
    <x v="4"/>
    <n v="0.6"/>
  </r>
  <r>
    <x v="0"/>
    <x v="0"/>
    <x v="0"/>
    <x v="10"/>
    <x v="18"/>
    <x v="11"/>
    <x v="5"/>
    <n v="0.6"/>
  </r>
  <r>
    <x v="0"/>
    <x v="0"/>
    <x v="0"/>
    <x v="10"/>
    <x v="18"/>
    <x v="11"/>
    <x v="6"/>
    <n v="0.6"/>
  </r>
  <r>
    <x v="0"/>
    <x v="0"/>
    <x v="0"/>
    <x v="10"/>
    <x v="18"/>
    <x v="11"/>
    <x v="7"/>
    <n v="0.6"/>
  </r>
  <r>
    <x v="0"/>
    <x v="0"/>
    <x v="0"/>
    <x v="10"/>
    <x v="18"/>
    <x v="11"/>
    <x v="8"/>
    <n v="0.6"/>
  </r>
  <r>
    <x v="0"/>
    <x v="0"/>
    <x v="0"/>
    <x v="10"/>
    <x v="18"/>
    <x v="11"/>
    <x v="9"/>
    <n v="0.6"/>
  </r>
  <r>
    <x v="0"/>
    <x v="0"/>
    <x v="0"/>
    <x v="10"/>
    <x v="18"/>
    <x v="11"/>
    <x v="10"/>
    <n v="0.6"/>
  </r>
  <r>
    <x v="0"/>
    <x v="0"/>
    <x v="0"/>
    <x v="10"/>
    <x v="18"/>
    <x v="11"/>
    <x v="11"/>
    <n v="0.6"/>
  </r>
  <r>
    <x v="0"/>
    <x v="0"/>
    <x v="0"/>
    <x v="11"/>
    <x v="14"/>
    <x v="0"/>
    <x v="0"/>
    <n v="-0.2"/>
  </r>
  <r>
    <x v="0"/>
    <x v="0"/>
    <x v="0"/>
    <x v="11"/>
    <x v="14"/>
    <x v="0"/>
    <x v="1"/>
    <n v="-0.2"/>
  </r>
  <r>
    <x v="0"/>
    <x v="0"/>
    <x v="0"/>
    <x v="11"/>
    <x v="14"/>
    <x v="0"/>
    <x v="2"/>
    <n v="-0.2"/>
  </r>
  <r>
    <x v="0"/>
    <x v="0"/>
    <x v="0"/>
    <x v="11"/>
    <x v="14"/>
    <x v="0"/>
    <x v="3"/>
    <n v="-0.2"/>
  </r>
  <r>
    <x v="0"/>
    <x v="0"/>
    <x v="0"/>
    <x v="11"/>
    <x v="14"/>
    <x v="0"/>
    <x v="4"/>
    <n v="-0.2"/>
  </r>
  <r>
    <x v="0"/>
    <x v="0"/>
    <x v="0"/>
    <x v="11"/>
    <x v="14"/>
    <x v="0"/>
    <x v="5"/>
    <n v="-0.2"/>
  </r>
  <r>
    <x v="0"/>
    <x v="0"/>
    <x v="0"/>
    <x v="11"/>
    <x v="14"/>
    <x v="0"/>
    <x v="6"/>
    <n v="-0.2"/>
  </r>
  <r>
    <x v="0"/>
    <x v="0"/>
    <x v="0"/>
    <x v="11"/>
    <x v="14"/>
    <x v="0"/>
    <x v="7"/>
    <n v="-7.6582192084136802E-2"/>
  </r>
  <r>
    <x v="0"/>
    <x v="0"/>
    <x v="0"/>
    <x v="11"/>
    <x v="14"/>
    <x v="0"/>
    <x v="8"/>
    <n v="-7.4439104429604996E-2"/>
  </r>
  <r>
    <x v="0"/>
    <x v="0"/>
    <x v="0"/>
    <x v="11"/>
    <x v="14"/>
    <x v="0"/>
    <x v="9"/>
    <n v="-0.2"/>
  </r>
  <r>
    <x v="0"/>
    <x v="0"/>
    <x v="0"/>
    <x v="11"/>
    <x v="14"/>
    <x v="0"/>
    <x v="10"/>
    <n v="-0.2"/>
  </r>
  <r>
    <x v="0"/>
    <x v="0"/>
    <x v="0"/>
    <x v="11"/>
    <x v="14"/>
    <x v="0"/>
    <x v="11"/>
    <n v="-0.17451417139324801"/>
  </r>
  <r>
    <x v="0"/>
    <x v="0"/>
    <x v="0"/>
    <x v="11"/>
    <x v="14"/>
    <x v="1"/>
    <x v="0"/>
    <n v="-0.2"/>
  </r>
  <r>
    <x v="0"/>
    <x v="0"/>
    <x v="0"/>
    <x v="11"/>
    <x v="14"/>
    <x v="1"/>
    <x v="1"/>
    <n v="-0.2"/>
  </r>
  <r>
    <x v="0"/>
    <x v="0"/>
    <x v="0"/>
    <x v="11"/>
    <x v="14"/>
    <x v="1"/>
    <x v="2"/>
    <n v="-0.2"/>
  </r>
  <r>
    <x v="0"/>
    <x v="0"/>
    <x v="0"/>
    <x v="11"/>
    <x v="14"/>
    <x v="1"/>
    <x v="3"/>
    <n v="-0.2"/>
  </r>
  <r>
    <x v="0"/>
    <x v="0"/>
    <x v="0"/>
    <x v="11"/>
    <x v="14"/>
    <x v="1"/>
    <x v="4"/>
    <n v="-0.2"/>
  </r>
  <r>
    <x v="0"/>
    <x v="0"/>
    <x v="0"/>
    <x v="11"/>
    <x v="14"/>
    <x v="1"/>
    <x v="5"/>
    <n v="-0.18298126708833501"/>
  </r>
  <r>
    <x v="0"/>
    <x v="0"/>
    <x v="0"/>
    <x v="11"/>
    <x v="14"/>
    <x v="1"/>
    <x v="6"/>
    <n v="-0.2"/>
  </r>
  <r>
    <x v="0"/>
    <x v="0"/>
    <x v="0"/>
    <x v="11"/>
    <x v="14"/>
    <x v="1"/>
    <x v="7"/>
    <n v="-0.2"/>
  </r>
  <r>
    <x v="0"/>
    <x v="0"/>
    <x v="0"/>
    <x v="11"/>
    <x v="14"/>
    <x v="1"/>
    <x v="8"/>
    <n v="-0.2"/>
  </r>
  <r>
    <x v="0"/>
    <x v="0"/>
    <x v="0"/>
    <x v="11"/>
    <x v="14"/>
    <x v="1"/>
    <x v="9"/>
    <n v="-0.2"/>
  </r>
  <r>
    <x v="0"/>
    <x v="0"/>
    <x v="0"/>
    <x v="11"/>
    <x v="14"/>
    <x v="1"/>
    <x v="10"/>
    <n v="-0.2"/>
  </r>
  <r>
    <x v="0"/>
    <x v="0"/>
    <x v="0"/>
    <x v="11"/>
    <x v="14"/>
    <x v="1"/>
    <x v="11"/>
    <n v="-0.2"/>
  </r>
  <r>
    <x v="0"/>
    <x v="0"/>
    <x v="0"/>
    <x v="11"/>
    <x v="14"/>
    <x v="2"/>
    <x v="0"/>
    <n v="-0.2"/>
  </r>
  <r>
    <x v="0"/>
    <x v="0"/>
    <x v="0"/>
    <x v="11"/>
    <x v="14"/>
    <x v="2"/>
    <x v="1"/>
    <n v="-0.2"/>
  </r>
  <r>
    <x v="0"/>
    <x v="0"/>
    <x v="0"/>
    <x v="11"/>
    <x v="14"/>
    <x v="2"/>
    <x v="2"/>
    <n v="-0.2"/>
  </r>
  <r>
    <x v="0"/>
    <x v="0"/>
    <x v="0"/>
    <x v="11"/>
    <x v="14"/>
    <x v="2"/>
    <x v="3"/>
    <n v="-0.2"/>
  </r>
  <r>
    <x v="0"/>
    <x v="0"/>
    <x v="0"/>
    <x v="11"/>
    <x v="14"/>
    <x v="2"/>
    <x v="4"/>
    <n v="-0.2"/>
  </r>
  <r>
    <x v="0"/>
    <x v="0"/>
    <x v="0"/>
    <x v="11"/>
    <x v="14"/>
    <x v="2"/>
    <x v="5"/>
    <n v="-0.2"/>
  </r>
  <r>
    <x v="0"/>
    <x v="0"/>
    <x v="0"/>
    <x v="11"/>
    <x v="14"/>
    <x v="2"/>
    <x v="6"/>
    <n v="-9.6443864533619597E-2"/>
  </r>
  <r>
    <x v="0"/>
    <x v="0"/>
    <x v="0"/>
    <x v="11"/>
    <x v="14"/>
    <x v="2"/>
    <x v="7"/>
    <n v="-0.17547016450141101"/>
  </r>
  <r>
    <x v="0"/>
    <x v="0"/>
    <x v="0"/>
    <x v="11"/>
    <x v="14"/>
    <x v="2"/>
    <x v="8"/>
    <n v="-0.2"/>
  </r>
  <r>
    <x v="0"/>
    <x v="0"/>
    <x v="0"/>
    <x v="11"/>
    <x v="14"/>
    <x v="2"/>
    <x v="9"/>
    <n v="-0.2"/>
  </r>
  <r>
    <x v="0"/>
    <x v="0"/>
    <x v="0"/>
    <x v="11"/>
    <x v="14"/>
    <x v="2"/>
    <x v="10"/>
    <n v="-0.2"/>
  </r>
  <r>
    <x v="0"/>
    <x v="0"/>
    <x v="0"/>
    <x v="11"/>
    <x v="14"/>
    <x v="2"/>
    <x v="11"/>
    <n v="-0.2"/>
  </r>
  <r>
    <x v="0"/>
    <x v="0"/>
    <x v="0"/>
    <x v="11"/>
    <x v="14"/>
    <x v="3"/>
    <x v="0"/>
    <n v="-0.2"/>
  </r>
  <r>
    <x v="0"/>
    <x v="0"/>
    <x v="0"/>
    <x v="11"/>
    <x v="14"/>
    <x v="3"/>
    <x v="1"/>
    <n v="-0.2"/>
  </r>
  <r>
    <x v="0"/>
    <x v="0"/>
    <x v="0"/>
    <x v="11"/>
    <x v="14"/>
    <x v="3"/>
    <x v="2"/>
    <n v="-0.2"/>
  </r>
  <r>
    <x v="0"/>
    <x v="0"/>
    <x v="0"/>
    <x v="11"/>
    <x v="14"/>
    <x v="3"/>
    <x v="3"/>
    <n v="-0.2"/>
  </r>
  <r>
    <x v="0"/>
    <x v="0"/>
    <x v="0"/>
    <x v="11"/>
    <x v="14"/>
    <x v="3"/>
    <x v="4"/>
    <n v="-0.2"/>
  </r>
  <r>
    <x v="0"/>
    <x v="0"/>
    <x v="0"/>
    <x v="11"/>
    <x v="14"/>
    <x v="3"/>
    <x v="5"/>
    <n v="-0.2"/>
  </r>
  <r>
    <x v="0"/>
    <x v="0"/>
    <x v="0"/>
    <x v="11"/>
    <x v="14"/>
    <x v="3"/>
    <x v="6"/>
    <n v="-0.2"/>
  </r>
  <r>
    <x v="0"/>
    <x v="0"/>
    <x v="0"/>
    <x v="11"/>
    <x v="14"/>
    <x v="3"/>
    <x v="7"/>
    <n v="-0.2"/>
  </r>
  <r>
    <x v="0"/>
    <x v="0"/>
    <x v="0"/>
    <x v="11"/>
    <x v="14"/>
    <x v="3"/>
    <x v="8"/>
    <n v="-0.2"/>
  </r>
  <r>
    <x v="0"/>
    <x v="0"/>
    <x v="0"/>
    <x v="11"/>
    <x v="14"/>
    <x v="3"/>
    <x v="9"/>
    <n v="-0.2"/>
  </r>
  <r>
    <x v="0"/>
    <x v="0"/>
    <x v="0"/>
    <x v="11"/>
    <x v="14"/>
    <x v="3"/>
    <x v="10"/>
    <n v="-0.2"/>
  </r>
  <r>
    <x v="0"/>
    <x v="0"/>
    <x v="0"/>
    <x v="11"/>
    <x v="14"/>
    <x v="3"/>
    <x v="11"/>
    <n v="-0.2"/>
  </r>
  <r>
    <x v="0"/>
    <x v="0"/>
    <x v="0"/>
    <x v="11"/>
    <x v="14"/>
    <x v="4"/>
    <x v="0"/>
    <n v="0"/>
  </r>
  <r>
    <x v="0"/>
    <x v="0"/>
    <x v="0"/>
    <x v="11"/>
    <x v="14"/>
    <x v="4"/>
    <x v="1"/>
    <n v="0"/>
  </r>
  <r>
    <x v="0"/>
    <x v="0"/>
    <x v="0"/>
    <x v="11"/>
    <x v="14"/>
    <x v="4"/>
    <x v="2"/>
    <n v="0"/>
  </r>
  <r>
    <x v="0"/>
    <x v="0"/>
    <x v="0"/>
    <x v="11"/>
    <x v="14"/>
    <x v="4"/>
    <x v="3"/>
    <n v="0"/>
  </r>
  <r>
    <x v="0"/>
    <x v="0"/>
    <x v="0"/>
    <x v="11"/>
    <x v="14"/>
    <x v="4"/>
    <x v="4"/>
    <n v="0"/>
  </r>
  <r>
    <x v="0"/>
    <x v="0"/>
    <x v="0"/>
    <x v="11"/>
    <x v="14"/>
    <x v="4"/>
    <x v="5"/>
    <n v="0"/>
  </r>
  <r>
    <x v="0"/>
    <x v="0"/>
    <x v="0"/>
    <x v="11"/>
    <x v="14"/>
    <x v="4"/>
    <x v="6"/>
    <n v="0"/>
  </r>
  <r>
    <x v="0"/>
    <x v="0"/>
    <x v="0"/>
    <x v="11"/>
    <x v="14"/>
    <x v="4"/>
    <x v="7"/>
    <n v="0.107345975967705"/>
  </r>
  <r>
    <x v="0"/>
    <x v="0"/>
    <x v="0"/>
    <x v="11"/>
    <x v="14"/>
    <x v="4"/>
    <x v="8"/>
    <n v="0.25210214032056899"/>
  </r>
  <r>
    <x v="0"/>
    <x v="0"/>
    <x v="0"/>
    <x v="11"/>
    <x v="14"/>
    <x v="4"/>
    <x v="9"/>
    <n v="0.24332204577687899"/>
  </r>
  <r>
    <x v="0"/>
    <x v="0"/>
    <x v="0"/>
    <x v="11"/>
    <x v="14"/>
    <x v="4"/>
    <x v="10"/>
    <n v="0.206364397103633"/>
  </r>
  <r>
    <x v="0"/>
    <x v="0"/>
    <x v="0"/>
    <x v="11"/>
    <x v="14"/>
    <x v="4"/>
    <x v="11"/>
    <n v="0.16106630222415699"/>
  </r>
  <r>
    <x v="0"/>
    <x v="0"/>
    <x v="0"/>
    <x v="11"/>
    <x v="14"/>
    <x v="5"/>
    <x v="0"/>
    <n v="0"/>
  </r>
  <r>
    <x v="0"/>
    <x v="0"/>
    <x v="0"/>
    <x v="11"/>
    <x v="14"/>
    <x v="5"/>
    <x v="1"/>
    <n v="0"/>
  </r>
  <r>
    <x v="0"/>
    <x v="0"/>
    <x v="0"/>
    <x v="11"/>
    <x v="14"/>
    <x v="5"/>
    <x v="2"/>
    <n v="0"/>
  </r>
  <r>
    <x v="0"/>
    <x v="0"/>
    <x v="0"/>
    <x v="11"/>
    <x v="14"/>
    <x v="5"/>
    <x v="3"/>
    <n v="0"/>
  </r>
  <r>
    <x v="0"/>
    <x v="0"/>
    <x v="0"/>
    <x v="11"/>
    <x v="14"/>
    <x v="5"/>
    <x v="4"/>
    <n v="0"/>
  </r>
  <r>
    <x v="0"/>
    <x v="0"/>
    <x v="0"/>
    <x v="11"/>
    <x v="14"/>
    <x v="5"/>
    <x v="5"/>
    <n v="0"/>
  </r>
  <r>
    <x v="0"/>
    <x v="0"/>
    <x v="0"/>
    <x v="11"/>
    <x v="14"/>
    <x v="5"/>
    <x v="6"/>
    <n v="0"/>
  </r>
  <r>
    <x v="0"/>
    <x v="0"/>
    <x v="0"/>
    <x v="11"/>
    <x v="14"/>
    <x v="5"/>
    <x v="7"/>
    <n v="0"/>
  </r>
  <r>
    <x v="0"/>
    <x v="0"/>
    <x v="0"/>
    <x v="11"/>
    <x v="14"/>
    <x v="5"/>
    <x v="8"/>
    <n v="0"/>
  </r>
  <r>
    <x v="0"/>
    <x v="0"/>
    <x v="0"/>
    <x v="11"/>
    <x v="14"/>
    <x v="5"/>
    <x v="9"/>
    <n v="0"/>
  </r>
  <r>
    <x v="0"/>
    <x v="0"/>
    <x v="0"/>
    <x v="11"/>
    <x v="14"/>
    <x v="5"/>
    <x v="10"/>
    <n v="1.21354032343863E-2"/>
  </r>
  <r>
    <x v="0"/>
    <x v="0"/>
    <x v="0"/>
    <x v="11"/>
    <x v="14"/>
    <x v="5"/>
    <x v="11"/>
    <n v="0"/>
  </r>
  <r>
    <x v="0"/>
    <x v="0"/>
    <x v="0"/>
    <x v="11"/>
    <x v="14"/>
    <x v="6"/>
    <x v="0"/>
    <n v="0"/>
  </r>
  <r>
    <x v="0"/>
    <x v="0"/>
    <x v="0"/>
    <x v="11"/>
    <x v="14"/>
    <x v="6"/>
    <x v="1"/>
    <n v="0"/>
  </r>
  <r>
    <x v="0"/>
    <x v="0"/>
    <x v="0"/>
    <x v="11"/>
    <x v="14"/>
    <x v="6"/>
    <x v="2"/>
    <n v="0"/>
  </r>
  <r>
    <x v="0"/>
    <x v="0"/>
    <x v="0"/>
    <x v="11"/>
    <x v="14"/>
    <x v="6"/>
    <x v="3"/>
    <n v="0"/>
  </r>
  <r>
    <x v="0"/>
    <x v="0"/>
    <x v="0"/>
    <x v="11"/>
    <x v="14"/>
    <x v="6"/>
    <x v="4"/>
    <n v="0"/>
  </r>
  <r>
    <x v="0"/>
    <x v="0"/>
    <x v="0"/>
    <x v="11"/>
    <x v="14"/>
    <x v="6"/>
    <x v="5"/>
    <n v="0"/>
  </r>
  <r>
    <x v="0"/>
    <x v="0"/>
    <x v="0"/>
    <x v="11"/>
    <x v="14"/>
    <x v="6"/>
    <x v="6"/>
    <n v="0"/>
  </r>
  <r>
    <x v="0"/>
    <x v="0"/>
    <x v="0"/>
    <x v="11"/>
    <x v="14"/>
    <x v="6"/>
    <x v="7"/>
    <n v="0"/>
  </r>
  <r>
    <x v="0"/>
    <x v="0"/>
    <x v="0"/>
    <x v="11"/>
    <x v="14"/>
    <x v="6"/>
    <x v="8"/>
    <n v="0"/>
  </r>
  <r>
    <x v="0"/>
    <x v="0"/>
    <x v="0"/>
    <x v="11"/>
    <x v="14"/>
    <x v="6"/>
    <x v="9"/>
    <n v="0"/>
  </r>
  <r>
    <x v="0"/>
    <x v="0"/>
    <x v="0"/>
    <x v="11"/>
    <x v="14"/>
    <x v="6"/>
    <x v="10"/>
    <n v="0"/>
  </r>
  <r>
    <x v="0"/>
    <x v="0"/>
    <x v="0"/>
    <x v="11"/>
    <x v="14"/>
    <x v="6"/>
    <x v="11"/>
    <n v="0"/>
  </r>
  <r>
    <x v="0"/>
    <x v="0"/>
    <x v="0"/>
    <x v="11"/>
    <x v="14"/>
    <x v="7"/>
    <x v="0"/>
    <n v="0"/>
  </r>
  <r>
    <x v="0"/>
    <x v="0"/>
    <x v="0"/>
    <x v="11"/>
    <x v="14"/>
    <x v="7"/>
    <x v="1"/>
    <n v="0"/>
  </r>
  <r>
    <x v="0"/>
    <x v="0"/>
    <x v="0"/>
    <x v="11"/>
    <x v="14"/>
    <x v="7"/>
    <x v="2"/>
    <n v="0"/>
  </r>
  <r>
    <x v="0"/>
    <x v="0"/>
    <x v="0"/>
    <x v="11"/>
    <x v="14"/>
    <x v="7"/>
    <x v="3"/>
    <n v="0"/>
  </r>
  <r>
    <x v="0"/>
    <x v="0"/>
    <x v="0"/>
    <x v="11"/>
    <x v="14"/>
    <x v="7"/>
    <x v="4"/>
    <n v="0"/>
  </r>
  <r>
    <x v="0"/>
    <x v="0"/>
    <x v="0"/>
    <x v="11"/>
    <x v="14"/>
    <x v="7"/>
    <x v="5"/>
    <n v="0"/>
  </r>
  <r>
    <x v="0"/>
    <x v="0"/>
    <x v="0"/>
    <x v="11"/>
    <x v="14"/>
    <x v="7"/>
    <x v="6"/>
    <n v="0"/>
  </r>
  <r>
    <x v="0"/>
    <x v="0"/>
    <x v="0"/>
    <x v="11"/>
    <x v="14"/>
    <x v="7"/>
    <x v="7"/>
    <n v="0"/>
  </r>
  <r>
    <x v="0"/>
    <x v="0"/>
    <x v="0"/>
    <x v="11"/>
    <x v="14"/>
    <x v="7"/>
    <x v="8"/>
    <n v="0"/>
  </r>
  <r>
    <x v="0"/>
    <x v="0"/>
    <x v="0"/>
    <x v="11"/>
    <x v="14"/>
    <x v="7"/>
    <x v="9"/>
    <n v="0"/>
  </r>
  <r>
    <x v="0"/>
    <x v="0"/>
    <x v="0"/>
    <x v="11"/>
    <x v="14"/>
    <x v="7"/>
    <x v="10"/>
    <n v="0"/>
  </r>
  <r>
    <x v="0"/>
    <x v="0"/>
    <x v="0"/>
    <x v="11"/>
    <x v="14"/>
    <x v="7"/>
    <x v="11"/>
    <n v="0"/>
  </r>
  <r>
    <x v="0"/>
    <x v="0"/>
    <x v="0"/>
    <x v="11"/>
    <x v="14"/>
    <x v="8"/>
    <x v="0"/>
    <n v="1"/>
  </r>
  <r>
    <x v="0"/>
    <x v="0"/>
    <x v="0"/>
    <x v="11"/>
    <x v="14"/>
    <x v="8"/>
    <x v="1"/>
    <n v="1"/>
  </r>
  <r>
    <x v="0"/>
    <x v="0"/>
    <x v="0"/>
    <x v="11"/>
    <x v="14"/>
    <x v="8"/>
    <x v="2"/>
    <n v="1"/>
  </r>
  <r>
    <x v="0"/>
    <x v="0"/>
    <x v="0"/>
    <x v="11"/>
    <x v="14"/>
    <x v="8"/>
    <x v="3"/>
    <n v="1"/>
  </r>
  <r>
    <x v="0"/>
    <x v="0"/>
    <x v="0"/>
    <x v="11"/>
    <x v="14"/>
    <x v="8"/>
    <x v="4"/>
    <n v="1"/>
  </r>
  <r>
    <x v="0"/>
    <x v="0"/>
    <x v="0"/>
    <x v="11"/>
    <x v="14"/>
    <x v="8"/>
    <x v="5"/>
    <n v="1"/>
  </r>
  <r>
    <x v="0"/>
    <x v="0"/>
    <x v="0"/>
    <x v="11"/>
    <x v="14"/>
    <x v="8"/>
    <x v="6"/>
    <n v="1"/>
  </r>
  <r>
    <x v="0"/>
    <x v="0"/>
    <x v="0"/>
    <x v="11"/>
    <x v="14"/>
    <x v="8"/>
    <x v="7"/>
    <n v="1"/>
  </r>
  <r>
    <x v="0"/>
    <x v="0"/>
    <x v="0"/>
    <x v="11"/>
    <x v="14"/>
    <x v="8"/>
    <x v="8"/>
    <n v="1"/>
  </r>
  <r>
    <x v="0"/>
    <x v="0"/>
    <x v="0"/>
    <x v="11"/>
    <x v="14"/>
    <x v="8"/>
    <x v="9"/>
    <n v="1"/>
  </r>
  <r>
    <x v="0"/>
    <x v="0"/>
    <x v="0"/>
    <x v="11"/>
    <x v="14"/>
    <x v="8"/>
    <x v="10"/>
    <n v="1"/>
  </r>
  <r>
    <x v="0"/>
    <x v="0"/>
    <x v="0"/>
    <x v="11"/>
    <x v="14"/>
    <x v="8"/>
    <x v="11"/>
    <n v="1"/>
  </r>
  <r>
    <x v="0"/>
    <x v="0"/>
    <x v="0"/>
    <x v="11"/>
    <x v="14"/>
    <x v="9"/>
    <x v="0"/>
    <n v="1"/>
  </r>
  <r>
    <x v="0"/>
    <x v="0"/>
    <x v="0"/>
    <x v="11"/>
    <x v="14"/>
    <x v="9"/>
    <x v="1"/>
    <n v="1"/>
  </r>
  <r>
    <x v="0"/>
    <x v="0"/>
    <x v="0"/>
    <x v="11"/>
    <x v="14"/>
    <x v="9"/>
    <x v="2"/>
    <n v="1"/>
  </r>
  <r>
    <x v="0"/>
    <x v="0"/>
    <x v="0"/>
    <x v="11"/>
    <x v="14"/>
    <x v="9"/>
    <x v="3"/>
    <n v="1"/>
  </r>
  <r>
    <x v="0"/>
    <x v="0"/>
    <x v="0"/>
    <x v="11"/>
    <x v="14"/>
    <x v="9"/>
    <x v="4"/>
    <n v="1"/>
  </r>
  <r>
    <x v="0"/>
    <x v="0"/>
    <x v="0"/>
    <x v="11"/>
    <x v="14"/>
    <x v="9"/>
    <x v="5"/>
    <n v="1"/>
  </r>
  <r>
    <x v="0"/>
    <x v="0"/>
    <x v="0"/>
    <x v="11"/>
    <x v="14"/>
    <x v="9"/>
    <x v="6"/>
    <n v="1"/>
  </r>
  <r>
    <x v="0"/>
    <x v="0"/>
    <x v="0"/>
    <x v="11"/>
    <x v="14"/>
    <x v="9"/>
    <x v="7"/>
    <n v="1"/>
  </r>
  <r>
    <x v="0"/>
    <x v="0"/>
    <x v="0"/>
    <x v="11"/>
    <x v="14"/>
    <x v="9"/>
    <x v="8"/>
    <n v="1"/>
  </r>
  <r>
    <x v="0"/>
    <x v="0"/>
    <x v="0"/>
    <x v="11"/>
    <x v="14"/>
    <x v="9"/>
    <x v="9"/>
    <n v="1"/>
  </r>
  <r>
    <x v="0"/>
    <x v="0"/>
    <x v="0"/>
    <x v="11"/>
    <x v="14"/>
    <x v="9"/>
    <x v="10"/>
    <n v="1"/>
  </r>
  <r>
    <x v="0"/>
    <x v="0"/>
    <x v="0"/>
    <x v="11"/>
    <x v="14"/>
    <x v="9"/>
    <x v="11"/>
    <n v="1"/>
  </r>
  <r>
    <x v="0"/>
    <x v="0"/>
    <x v="0"/>
    <x v="11"/>
    <x v="14"/>
    <x v="10"/>
    <x v="0"/>
    <n v="1"/>
  </r>
  <r>
    <x v="0"/>
    <x v="0"/>
    <x v="0"/>
    <x v="11"/>
    <x v="14"/>
    <x v="10"/>
    <x v="1"/>
    <n v="1"/>
  </r>
  <r>
    <x v="0"/>
    <x v="0"/>
    <x v="0"/>
    <x v="11"/>
    <x v="14"/>
    <x v="10"/>
    <x v="2"/>
    <n v="1"/>
  </r>
  <r>
    <x v="0"/>
    <x v="0"/>
    <x v="0"/>
    <x v="11"/>
    <x v="14"/>
    <x v="10"/>
    <x v="3"/>
    <n v="1"/>
  </r>
  <r>
    <x v="0"/>
    <x v="0"/>
    <x v="0"/>
    <x v="11"/>
    <x v="14"/>
    <x v="10"/>
    <x v="4"/>
    <n v="1"/>
  </r>
  <r>
    <x v="0"/>
    <x v="0"/>
    <x v="0"/>
    <x v="11"/>
    <x v="14"/>
    <x v="10"/>
    <x v="5"/>
    <n v="1"/>
  </r>
  <r>
    <x v="0"/>
    <x v="0"/>
    <x v="0"/>
    <x v="11"/>
    <x v="14"/>
    <x v="10"/>
    <x v="6"/>
    <n v="1"/>
  </r>
  <r>
    <x v="0"/>
    <x v="0"/>
    <x v="0"/>
    <x v="11"/>
    <x v="14"/>
    <x v="10"/>
    <x v="7"/>
    <n v="0.154172885882354"/>
  </r>
  <r>
    <x v="0"/>
    <x v="0"/>
    <x v="0"/>
    <x v="11"/>
    <x v="14"/>
    <x v="10"/>
    <x v="8"/>
    <n v="0"/>
  </r>
  <r>
    <x v="0"/>
    <x v="0"/>
    <x v="0"/>
    <x v="11"/>
    <x v="14"/>
    <x v="10"/>
    <x v="9"/>
    <n v="0"/>
  </r>
  <r>
    <x v="0"/>
    <x v="0"/>
    <x v="0"/>
    <x v="11"/>
    <x v="14"/>
    <x v="10"/>
    <x v="10"/>
    <n v="1"/>
  </r>
  <r>
    <x v="0"/>
    <x v="0"/>
    <x v="0"/>
    <x v="11"/>
    <x v="14"/>
    <x v="10"/>
    <x v="11"/>
    <n v="0"/>
  </r>
  <r>
    <x v="0"/>
    <x v="0"/>
    <x v="0"/>
    <x v="11"/>
    <x v="14"/>
    <x v="11"/>
    <x v="0"/>
    <n v="0"/>
  </r>
  <r>
    <x v="0"/>
    <x v="0"/>
    <x v="0"/>
    <x v="11"/>
    <x v="14"/>
    <x v="11"/>
    <x v="1"/>
    <n v="0"/>
  </r>
  <r>
    <x v="0"/>
    <x v="0"/>
    <x v="0"/>
    <x v="11"/>
    <x v="14"/>
    <x v="11"/>
    <x v="2"/>
    <n v="0"/>
  </r>
  <r>
    <x v="0"/>
    <x v="0"/>
    <x v="0"/>
    <x v="11"/>
    <x v="14"/>
    <x v="11"/>
    <x v="3"/>
    <n v="1"/>
  </r>
  <r>
    <x v="0"/>
    <x v="0"/>
    <x v="0"/>
    <x v="11"/>
    <x v="14"/>
    <x v="11"/>
    <x v="4"/>
    <n v="1"/>
  </r>
  <r>
    <x v="0"/>
    <x v="0"/>
    <x v="0"/>
    <x v="11"/>
    <x v="14"/>
    <x v="11"/>
    <x v="5"/>
    <n v="1"/>
  </r>
  <r>
    <x v="0"/>
    <x v="0"/>
    <x v="0"/>
    <x v="11"/>
    <x v="14"/>
    <x v="11"/>
    <x v="6"/>
    <n v="0"/>
  </r>
  <r>
    <x v="0"/>
    <x v="0"/>
    <x v="0"/>
    <x v="11"/>
    <x v="14"/>
    <x v="11"/>
    <x v="7"/>
    <n v="1"/>
  </r>
  <r>
    <x v="0"/>
    <x v="0"/>
    <x v="0"/>
    <x v="11"/>
    <x v="14"/>
    <x v="11"/>
    <x v="8"/>
    <n v="1"/>
  </r>
  <r>
    <x v="0"/>
    <x v="0"/>
    <x v="0"/>
    <x v="11"/>
    <x v="14"/>
    <x v="11"/>
    <x v="9"/>
    <n v="6.9200733380288995E-2"/>
  </r>
  <r>
    <x v="0"/>
    <x v="0"/>
    <x v="0"/>
    <x v="11"/>
    <x v="14"/>
    <x v="11"/>
    <x v="10"/>
    <n v="1"/>
  </r>
  <r>
    <x v="0"/>
    <x v="0"/>
    <x v="0"/>
    <x v="11"/>
    <x v="14"/>
    <x v="11"/>
    <x v="11"/>
    <n v="1"/>
  </r>
  <r>
    <x v="0"/>
    <x v="0"/>
    <x v="0"/>
    <x v="11"/>
    <x v="18"/>
    <x v="0"/>
    <x v="0"/>
    <n v="-8.6911039406780494E-2"/>
  </r>
  <r>
    <x v="0"/>
    <x v="0"/>
    <x v="0"/>
    <x v="11"/>
    <x v="18"/>
    <x v="0"/>
    <x v="1"/>
    <n v="-0.108856588673202"/>
  </r>
  <r>
    <x v="0"/>
    <x v="0"/>
    <x v="0"/>
    <x v="11"/>
    <x v="18"/>
    <x v="0"/>
    <x v="2"/>
    <n v="-0.3"/>
  </r>
  <r>
    <x v="0"/>
    <x v="0"/>
    <x v="0"/>
    <x v="11"/>
    <x v="18"/>
    <x v="0"/>
    <x v="3"/>
    <n v="-0.3"/>
  </r>
  <r>
    <x v="0"/>
    <x v="0"/>
    <x v="0"/>
    <x v="11"/>
    <x v="18"/>
    <x v="0"/>
    <x v="4"/>
    <n v="-0.3"/>
  </r>
  <r>
    <x v="0"/>
    <x v="0"/>
    <x v="0"/>
    <x v="11"/>
    <x v="18"/>
    <x v="0"/>
    <x v="5"/>
    <n v="-8.0668461977990102E-2"/>
  </r>
  <r>
    <x v="0"/>
    <x v="0"/>
    <x v="0"/>
    <x v="11"/>
    <x v="18"/>
    <x v="0"/>
    <x v="6"/>
    <n v="-4.2864723244993901E-2"/>
  </r>
  <r>
    <x v="0"/>
    <x v="0"/>
    <x v="0"/>
    <x v="11"/>
    <x v="18"/>
    <x v="0"/>
    <x v="7"/>
    <n v="-0.3"/>
  </r>
  <r>
    <x v="0"/>
    <x v="0"/>
    <x v="0"/>
    <x v="11"/>
    <x v="18"/>
    <x v="0"/>
    <x v="8"/>
    <n v="-0.3"/>
  </r>
  <r>
    <x v="0"/>
    <x v="0"/>
    <x v="0"/>
    <x v="11"/>
    <x v="18"/>
    <x v="0"/>
    <x v="9"/>
    <n v="-0.3"/>
  </r>
  <r>
    <x v="0"/>
    <x v="0"/>
    <x v="0"/>
    <x v="11"/>
    <x v="18"/>
    <x v="0"/>
    <x v="10"/>
    <n v="-0.3"/>
  </r>
  <r>
    <x v="0"/>
    <x v="0"/>
    <x v="0"/>
    <x v="11"/>
    <x v="18"/>
    <x v="0"/>
    <x v="11"/>
    <n v="-0.3"/>
  </r>
  <r>
    <x v="0"/>
    <x v="0"/>
    <x v="0"/>
    <x v="11"/>
    <x v="18"/>
    <x v="1"/>
    <x v="0"/>
    <n v="-0.3"/>
  </r>
  <r>
    <x v="0"/>
    <x v="0"/>
    <x v="0"/>
    <x v="11"/>
    <x v="18"/>
    <x v="1"/>
    <x v="1"/>
    <n v="-0.3"/>
  </r>
  <r>
    <x v="0"/>
    <x v="0"/>
    <x v="0"/>
    <x v="11"/>
    <x v="18"/>
    <x v="1"/>
    <x v="2"/>
    <n v="-0.3"/>
  </r>
  <r>
    <x v="0"/>
    <x v="0"/>
    <x v="0"/>
    <x v="11"/>
    <x v="18"/>
    <x v="1"/>
    <x v="3"/>
    <n v="-0.3"/>
  </r>
  <r>
    <x v="0"/>
    <x v="0"/>
    <x v="0"/>
    <x v="11"/>
    <x v="18"/>
    <x v="1"/>
    <x v="4"/>
    <n v="-0.3"/>
  </r>
  <r>
    <x v="0"/>
    <x v="0"/>
    <x v="0"/>
    <x v="11"/>
    <x v="18"/>
    <x v="1"/>
    <x v="5"/>
    <n v="-0.3"/>
  </r>
  <r>
    <x v="0"/>
    <x v="0"/>
    <x v="0"/>
    <x v="11"/>
    <x v="18"/>
    <x v="1"/>
    <x v="6"/>
    <n v="-0.271895211971107"/>
  </r>
  <r>
    <x v="0"/>
    <x v="0"/>
    <x v="0"/>
    <x v="11"/>
    <x v="18"/>
    <x v="1"/>
    <x v="7"/>
    <n v="-0.3"/>
  </r>
  <r>
    <x v="0"/>
    <x v="0"/>
    <x v="0"/>
    <x v="11"/>
    <x v="18"/>
    <x v="1"/>
    <x v="8"/>
    <n v="-0.3"/>
  </r>
  <r>
    <x v="0"/>
    <x v="0"/>
    <x v="0"/>
    <x v="11"/>
    <x v="18"/>
    <x v="1"/>
    <x v="9"/>
    <n v="-0.3"/>
  </r>
  <r>
    <x v="0"/>
    <x v="0"/>
    <x v="0"/>
    <x v="11"/>
    <x v="18"/>
    <x v="1"/>
    <x v="10"/>
    <n v="-0.3"/>
  </r>
  <r>
    <x v="0"/>
    <x v="0"/>
    <x v="0"/>
    <x v="11"/>
    <x v="18"/>
    <x v="1"/>
    <x v="11"/>
    <n v="-0.3"/>
  </r>
  <r>
    <x v="0"/>
    <x v="0"/>
    <x v="0"/>
    <x v="11"/>
    <x v="18"/>
    <x v="2"/>
    <x v="0"/>
    <n v="-0.3"/>
  </r>
  <r>
    <x v="0"/>
    <x v="0"/>
    <x v="0"/>
    <x v="11"/>
    <x v="18"/>
    <x v="2"/>
    <x v="1"/>
    <n v="-0.3"/>
  </r>
  <r>
    <x v="0"/>
    <x v="0"/>
    <x v="0"/>
    <x v="11"/>
    <x v="18"/>
    <x v="2"/>
    <x v="2"/>
    <n v="-0.3"/>
  </r>
  <r>
    <x v="0"/>
    <x v="0"/>
    <x v="0"/>
    <x v="11"/>
    <x v="18"/>
    <x v="2"/>
    <x v="3"/>
    <n v="-0.3"/>
  </r>
  <r>
    <x v="0"/>
    <x v="0"/>
    <x v="0"/>
    <x v="11"/>
    <x v="18"/>
    <x v="2"/>
    <x v="4"/>
    <n v="-3.4639896059576597E-2"/>
  </r>
  <r>
    <x v="0"/>
    <x v="0"/>
    <x v="0"/>
    <x v="11"/>
    <x v="18"/>
    <x v="2"/>
    <x v="5"/>
    <n v="-3.4238347714794899E-2"/>
  </r>
  <r>
    <x v="0"/>
    <x v="0"/>
    <x v="0"/>
    <x v="11"/>
    <x v="18"/>
    <x v="2"/>
    <x v="6"/>
    <n v="-0.3"/>
  </r>
  <r>
    <x v="0"/>
    <x v="0"/>
    <x v="0"/>
    <x v="11"/>
    <x v="18"/>
    <x v="2"/>
    <x v="7"/>
    <n v="-0.3"/>
  </r>
  <r>
    <x v="0"/>
    <x v="0"/>
    <x v="0"/>
    <x v="11"/>
    <x v="18"/>
    <x v="2"/>
    <x v="8"/>
    <n v="-0.3"/>
  </r>
  <r>
    <x v="0"/>
    <x v="0"/>
    <x v="0"/>
    <x v="11"/>
    <x v="18"/>
    <x v="2"/>
    <x v="9"/>
    <n v="-0.3"/>
  </r>
  <r>
    <x v="0"/>
    <x v="0"/>
    <x v="0"/>
    <x v="11"/>
    <x v="18"/>
    <x v="2"/>
    <x v="10"/>
    <n v="-0.3"/>
  </r>
  <r>
    <x v="0"/>
    <x v="0"/>
    <x v="0"/>
    <x v="11"/>
    <x v="18"/>
    <x v="2"/>
    <x v="11"/>
    <n v="-0.3"/>
  </r>
  <r>
    <x v="0"/>
    <x v="0"/>
    <x v="0"/>
    <x v="11"/>
    <x v="18"/>
    <x v="3"/>
    <x v="0"/>
    <n v="-0.3"/>
  </r>
  <r>
    <x v="0"/>
    <x v="0"/>
    <x v="0"/>
    <x v="11"/>
    <x v="18"/>
    <x v="3"/>
    <x v="1"/>
    <n v="-0.28992694954044301"/>
  </r>
  <r>
    <x v="0"/>
    <x v="0"/>
    <x v="0"/>
    <x v="11"/>
    <x v="18"/>
    <x v="3"/>
    <x v="2"/>
    <n v="-0.28265341379300601"/>
  </r>
  <r>
    <x v="0"/>
    <x v="0"/>
    <x v="0"/>
    <x v="11"/>
    <x v="18"/>
    <x v="3"/>
    <x v="3"/>
    <n v="-0.28829779997702898"/>
  </r>
  <r>
    <x v="0"/>
    <x v="0"/>
    <x v="0"/>
    <x v="11"/>
    <x v="18"/>
    <x v="3"/>
    <x v="4"/>
    <n v="-0.3"/>
  </r>
  <r>
    <x v="0"/>
    <x v="0"/>
    <x v="0"/>
    <x v="11"/>
    <x v="18"/>
    <x v="3"/>
    <x v="5"/>
    <n v="-0.3"/>
  </r>
  <r>
    <x v="0"/>
    <x v="0"/>
    <x v="0"/>
    <x v="11"/>
    <x v="18"/>
    <x v="3"/>
    <x v="6"/>
    <n v="-0.3"/>
  </r>
  <r>
    <x v="0"/>
    <x v="0"/>
    <x v="0"/>
    <x v="11"/>
    <x v="18"/>
    <x v="3"/>
    <x v="7"/>
    <n v="-0.3"/>
  </r>
  <r>
    <x v="0"/>
    <x v="0"/>
    <x v="0"/>
    <x v="11"/>
    <x v="18"/>
    <x v="3"/>
    <x v="8"/>
    <n v="-0.3"/>
  </r>
  <r>
    <x v="0"/>
    <x v="0"/>
    <x v="0"/>
    <x v="11"/>
    <x v="18"/>
    <x v="3"/>
    <x v="9"/>
    <n v="-0.3"/>
  </r>
  <r>
    <x v="0"/>
    <x v="0"/>
    <x v="0"/>
    <x v="11"/>
    <x v="18"/>
    <x v="3"/>
    <x v="10"/>
    <n v="-0.3"/>
  </r>
  <r>
    <x v="0"/>
    <x v="0"/>
    <x v="0"/>
    <x v="11"/>
    <x v="18"/>
    <x v="3"/>
    <x v="11"/>
    <n v="-0.3"/>
  </r>
  <r>
    <x v="0"/>
    <x v="0"/>
    <x v="0"/>
    <x v="11"/>
    <x v="18"/>
    <x v="4"/>
    <x v="0"/>
    <n v="0.25"/>
  </r>
  <r>
    <x v="0"/>
    <x v="0"/>
    <x v="0"/>
    <x v="11"/>
    <x v="18"/>
    <x v="4"/>
    <x v="1"/>
    <n v="0.25"/>
  </r>
  <r>
    <x v="0"/>
    <x v="0"/>
    <x v="0"/>
    <x v="11"/>
    <x v="18"/>
    <x v="4"/>
    <x v="2"/>
    <n v="0.25"/>
  </r>
  <r>
    <x v="0"/>
    <x v="0"/>
    <x v="0"/>
    <x v="11"/>
    <x v="18"/>
    <x v="4"/>
    <x v="3"/>
    <n v="0.25"/>
  </r>
  <r>
    <x v="0"/>
    <x v="0"/>
    <x v="0"/>
    <x v="11"/>
    <x v="18"/>
    <x v="4"/>
    <x v="4"/>
    <n v="0.25"/>
  </r>
  <r>
    <x v="0"/>
    <x v="0"/>
    <x v="0"/>
    <x v="11"/>
    <x v="18"/>
    <x v="4"/>
    <x v="5"/>
    <n v="0.25"/>
  </r>
  <r>
    <x v="0"/>
    <x v="0"/>
    <x v="0"/>
    <x v="11"/>
    <x v="18"/>
    <x v="4"/>
    <x v="6"/>
    <n v="0.25"/>
  </r>
  <r>
    <x v="0"/>
    <x v="0"/>
    <x v="0"/>
    <x v="11"/>
    <x v="18"/>
    <x v="4"/>
    <x v="7"/>
    <n v="0.25"/>
  </r>
  <r>
    <x v="0"/>
    <x v="0"/>
    <x v="0"/>
    <x v="11"/>
    <x v="18"/>
    <x v="4"/>
    <x v="8"/>
    <n v="0.25"/>
  </r>
  <r>
    <x v="0"/>
    <x v="0"/>
    <x v="0"/>
    <x v="11"/>
    <x v="18"/>
    <x v="4"/>
    <x v="9"/>
    <n v="0.25"/>
  </r>
  <r>
    <x v="0"/>
    <x v="0"/>
    <x v="0"/>
    <x v="11"/>
    <x v="18"/>
    <x v="4"/>
    <x v="10"/>
    <n v="0.25"/>
  </r>
  <r>
    <x v="0"/>
    <x v="0"/>
    <x v="0"/>
    <x v="11"/>
    <x v="18"/>
    <x v="4"/>
    <x v="11"/>
    <n v="0.25"/>
  </r>
  <r>
    <x v="0"/>
    <x v="0"/>
    <x v="0"/>
    <x v="11"/>
    <x v="18"/>
    <x v="5"/>
    <x v="0"/>
    <n v="0.25"/>
  </r>
  <r>
    <x v="0"/>
    <x v="0"/>
    <x v="0"/>
    <x v="11"/>
    <x v="18"/>
    <x v="5"/>
    <x v="1"/>
    <n v="0.25"/>
  </r>
  <r>
    <x v="0"/>
    <x v="0"/>
    <x v="0"/>
    <x v="11"/>
    <x v="18"/>
    <x v="5"/>
    <x v="2"/>
    <n v="0.25"/>
  </r>
  <r>
    <x v="0"/>
    <x v="0"/>
    <x v="0"/>
    <x v="11"/>
    <x v="18"/>
    <x v="5"/>
    <x v="3"/>
    <n v="0.25"/>
  </r>
  <r>
    <x v="0"/>
    <x v="0"/>
    <x v="0"/>
    <x v="11"/>
    <x v="18"/>
    <x v="5"/>
    <x v="4"/>
    <n v="0.25"/>
  </r>
  <r>
    <x v="0"/>
    <x v="0"/>
    <x v="0"/>
    <x v="11"/>
    <x v="18"/>
    <x v="5"/>
    <x v="5"/>
    <n v="0.25"/>
  </r>
  <r>
    <x v="0"/>
    <x v="0"/>
    <x v="0"/>
    <x v="11"/>
    <x v="18"/>
    <x v="5"/>
    <x v="6"/>
    <n v="0.25"/>
  </r>
  <r>
    <x v="0"/>
    <x v="0"/>
    <x v="0"/>
    <x v="11"/>
    <x v="18"/>
    <x v="5"/>
    <x v="7"/>
    <n v="0.25"/>
  </r>
  <r>
    <x v="0"/>
    <x v="0"/>
    <x v="0"/>
    <x v="11"/>
    <x v="18"/>
    <x v="5"/>
    <x v="8"/>
    <n v="0.25"/>
  </r>
  <r>
    <x v="0"/>
    <x v="0"/>
    <x v="0"/>
    <x v="11"/>
    <x v="18"/>
    <x v="5"/>
    <x v="9"/>
    <n v="0.25"/>
  </r>
  <r>
    <x v="0"/>
    <x v="0"/>
    <x v="0"/>
    <x v="11"/>
    <x v="18"/>
    <x v="5"/>
    <x v="10"/>
    <n v="0.25"/>
  </r>
  <r>
    <x v="0"/>
    <x v="0"/>
    <x v="0"/>
    <x v="11"/>
    <x v="18"/>
    <x v="5"/>
    <x v="11"/>
    <n v="0.25"/>
  </r>
  <r>
    <x v="0"/>
    <x v="0"/>
    <x v="0"/>
    <x v="11"/>
    <x v="18"/>
    <x v="6"/>
    <x v="0"/>
    <n v="0.25"/>
  </r>
  <r>
    <x v="0"/>
    <x v="0"/>
    <x v="0"/>
    <x v="11"/>
    <x v="18"/>
    <x v="6"/>
    <x v="1"/>
    <n v="0.25"/>
  </r>
  <r>
    <x v="0"/>
    <x v="0"/>
    <x v="0"/>
    <x v="11"/>
    <x v="18"/>
    <x v="6"/>
    <x v="2"/>
    <n v="0.25"/>
  </r>
  <r>
    <x v="0"/>
    <x v="0"/>
    <x v="0"/>
    <x v="11"/>
    <x v="18"/>
    <x v="6"/>
    <x v="3"/>
    <n v="0.25"/>
  </r>
  <r>
    <x v="0"/>
    <x v="0"/>
    <x v="0"/>
    <x v="11"/>
    <x v="18"/>
    <x v="6"/>
    <x v="4"/>
    <n v="0.25"/>
  </r>
  <r>
    <x v="0"/>
    <x v="0"/>
    <x v="0"/>
    <x v="11"/>
    <x v="18"/>
    <x v="6"/>
    <x v="5"/>
    <n v="0.25"/>
  </r>
  <r>
    <x v="0"/>
    <x v="0"/>
    <x v="0"/>
    <x v="11"/>
    <x v="18"/>
    <x v="6"/>
    <x v="6"/>
    <n v="0.25"/>
  </r>
  <r>
    <x v="0"/>
    <x v="0"/>
    <x v="0"/>
    <x v="11"/>
    <x v="18"/>
    <x v="6"/>
    <x v="7"/>
    <n v="0.25"/>
  </r>
  <r>
    <x v="0"/>
    <x v="0"/>
    <x v="0"/>
    <x v="11"/>
    <x v="18"/>
    <x v="6"/>
    <x v="8"/>
    <n v="0.25"/>
  </r>
  <r>
    <x v="0"/>
    <x v="0"/>
    <x v="0"/>
    <x v="11"/>
    <x v="18"/>
    <x v="6"/>
    <x v="9"/>
    <n v="0.25"/>
  </r>
  <r>
    <x v="0"/>
    <x v="0"/>
    <x v="0"/>
    <x v="11"/>
    <x v="18"/>
    <x v="6"/>
    <x v="10"/>
    <n v="0.25"/>
  </r>
  <r>
    <x v="0"/>
    <x v="0"/>
    <x v="0"/>
    <x v="11"/>
    <x v="18"/>
    <x v="6"/>
    <x v="11"/>
    <n v="0.25"/>
  </r>
  <r>
    <x v="0"/>
    <x v="0"/>
    <x v="0"/>
    <x v="11"/>
    <x v="18"/>
    <x v="7"/>
    <x v="0"/>
    <n v="0.25"/>
  </r>
  <r>
    <x v="0"/>
    <x v="0"/>
    <x v="0"/>
    <x v="11"/>
    <x v="18"/>
    <x v="7"/>
    <x v="1"/>
    <n v="0.25"/>
  </r>
  <r>
    <x v="0"/>
    <x v="0"/>
    <x v="0"/>
    <x v="11"/>
    <x v="18"/>
    <x v="7"/>
    <x v="2"/>
    <n v="0.25"/>
  </r>
  <r>
    <x v="0"/>
    <x v="0"/>
    <x v="0"/>
    <x v="11"/>
    <x v="18"/>
    <x v="7"/>
    <x v="3"/>
    <n v="0.25"/>
  </r>
  <r>
    <x v="0"/>
    <x v="0"/>
    <x v="0"/>
    <x v="11"/>
    <x v="18"/>
    <x v="7"/>
    <x v="4"/>
    <n v="0.25"/>
  </r>
  <r>
    <x v="0"/>
    <x v="0"/>
    <x v="0"/>
    <x v="11"/>
    <x v="18"/>
    <x v="7"/>
    <x v="5"/>
    <n v="0.25"/>
  </r>
  <r>
    <x v="0"/>
    <x v="0"/>
    <x v="0"/>
    <x v="11"/>
    <x v="18"/>
    <x v="7"/>
    <x v="6"/>
    <n v="0.25"/>
  </r>
  <r>
    <x v="0"/>
    <x v="0"/>
    <x v="0"/>
    <x v="11"/>
    <x v="18"/>
    <x v="7"/>
    <x v="7"/>
    <n v="0.25"/>
  </r>
  <r>
    <x v="0"/>
    <x v="0"/>
    <x v="0"/>
    <x v="11"/>
    <x v="18"/>
    <x v="7"/>
    <x v="8"/>
    <n v="0.25"/>
  </r>
  <r>
    <x v="0"/>
    <x v="0"/>
    <x v="0"/>
    <x v="11"/>
    <x v="18"/>
    <x v="7"/>
    <x v="9"/>
    <n v="0.25"/>
  </r>
  <r>
    <x v="0"/>
    <x v="0"/>
    <x v="0"/>
    <x v="11"/>
    <x v="18"/>
    <x v="7"/>
    <x v="10"/>
    <n v="0.25"/>
  </r>
  <r>
    <x v="0"/>
    <x v="0"/>
    <x v="0"/>
    <x v="11"/>
    <x v="18"/>
    <x v="7"/>
    <x v="11"/>
    <n v="0.25"/>
  </r>
  <r>
    <x v="0"/>
    <x v="0"/>
    <x v="0"/>
    <x v="11"/>
    <x v="18"/>
    <x v="8"/>
    <x v="0"/>
    <n v="0.25"/>
  </r>
  <r>
    <x v="0"/>
    <x v="0"/>
    <x v="0"/>
    <x v="11"/>
    <x v="18"/>
    <x v="8"/>
    <x v="1"/>
    <n v="0.25"/>
  </r>
  <r>
    <x v="0"/>
    <x v="0"/>
    <x v="0"/>
    <x v="11"/>
    <x v="18"/>
    <x v="8"/>
    <x v="2"/>
    <n v="0.25"/>
  </r>
  <r>
    <x v="0"/>
    <x v="0"/>
    <x v="0"/>
    <x v="11"/>
    <x v="18"/>
    <x v="8"/>
    <x v="3"/>
    <n v="0.25"/>
  </r>
  <r>
    <x v="0"/>
    <x v="0"/>
    <x v="0"/>
    <x v="11"/>
    <x v="18"/>
    <x v="8"/>
    <x v="4"/>
    <n v="0.25"/>
  </r>
  <r>
    <x v="0"/>
    <x v="0"/>
    <x v="0"/>
    <x v="11"/>
    <x v="18"/>
    <x v="8"/>
    <x v="5"/>
    <n v="0.25"/>
  </r>
  <r>
    <x v="0"/>
    <x v="0"/>
    <x v="0"/>
    <x v="11"/>
    <x v="18"/>
    <x v="8"/>
    <x v="6"/>
    <n v="0.25"/>
  </r>
  <r>
    <x v="0"/>
    <x v="0"/>
    <x v="0"/>
    <x v="11"/>
    <x v="18"/>
    <x v="8"/>
    <x v="7"/>
    <n v="0.25"/>
  </r>
  <r>
    <x v="0"/>
    <x v="0"/>
    <x v="0"/>
    <x v="11"/>
    <x v="18"/>
    <x v="8"/>
    <x v="8"/>
    <n v="0.25"/>
  </r>
  <r>
    <x v="0"/>
    <x v="0"/>
    <x v="0"/>
    <x v="11"/>
    <x v="18"/>
    <x v="8"/>
    <x v="9"/>
    <n v="0.25"/>
  </r>
  <r>
    <x v="0"/>
    <x v="0"/>
    <x v="0"/>
    <x v="11"/>
    <x v="18"/>
    <x v="8"/>
    <x v="10"/>
    <n v="0.25"/>
  </r>
  <r>
    <x v="0"/>
    <x v="0"/>
    <x v="0"/>
    <x v="11"/>
    <x v="18"/>
    <x v="8"/>
    <x v="11"/>
    <n v="0.25"/>
  </r>
  <r>
    <x v="0"/>
    <x v="0"/>
    <x v="0"/>
    <x v="11"/>
    <x v="18"/>
    <x v="9"/>
    <x v="0"/>
    <n v="0.25"/>
  </r>
  <r>
    <x v="0"/>
    <x v="0"/>
    <x v="0"/>
    <x v="11"/>
    <x v="18"/>
    <x v="9"/>
    <x v="1"/>
    <n v="0.25"/>
  </r>
  <r>
    <x v="0"/>
    <x v="0"/>
    <x v="0"/>
    <x v="11"/>
    <x v="18"/>
    <x v="9"/>
    <x v="2"/>
    <n v="0.25"/>
  </r>
  <r>
    <x v="0"/>
    <x v="0"/>
    <x v="0"/>
    <x v="11"/>
    <x v="18"/>
    <x v="9"/>
    <x v="3"/>
    <n v="0.25"/>
  </r>
  <r>
    <x v="0"/>
    <x v="0"/>
    <x v="0"/>
    <x v="11"/>
    <x v="18"/>
    <x v="9"/>
    <x v="4"/>
    <n v="0.25"/>
  </r>
  <r>
    <x v="0"/>
    <x v="0"/>
    <x v="0"/>
    <x v="11"/>
    <x v="18"/>
    <x v="9"/>
    <x v="5"/>
    <n v="0.25"/>
  </r>
  <r>
    <x v="0"/>
    <x v="0"/>
    <x v="0"/>
    <x v="11"/>
    <x v="18"/>
    <x v="9"/>
    <x v="6"/>
    <n v="0.25"/>
  </r>
  <r>
    <x v="0"/>
    <x v="0"/>
    <x v="0"/>
    <x v="11"/>
    <x v="18"/>
    <x v="9"/>
    <x v="7"/>
    <n v="0.25"/>
  </r>
  <r>
    <x v="0"/>
    <x v="0"/>
    <x v="0"/>
    <x v="11"/>
    <x v="18"/>
    <x v="9"/>
    <x v="8"/>
    <n v="0.25"/>
  </r>
  <r>
    <x v="0"/>
    <x v="0"/>
    <x v="0"/>
    <x v="11"/>
    <x v="18"/>
    <x v="9"/>
    <x v="9"/>
    <n v="0.25"/>
  </r>
  <r>
    <x v="0"/>
    <x v="0"/>
    <x v="0"/>
    <x v="11"/>
    <x v="18"/>
    <x v="9"/>
    <x v="10"/>
    <n v="0.25"/>
  </r>
  <r>
    <x v="0"/>
    <x v="0"/>
    <x v="0"/>
    <x v="11"/>
    <x v="18"/>
    <x v="9"/>
    <x v="11"/>
    <n v="0.25"/>
  </r>
  <r>
    <x v="0"/>
    <x v="0"/>
    <x v="0"/>
    <x v="11"/>
    <x v="18"/>
    <x v="10"/>
    <x v="0"/>
    <n v="0.25"/>
  </r>
  <r>
    <x v="0"/>
    <x v="0"/>
    <x v="0"/>
    <x v="11"/>
    <x v="18"/>
    <x v="10"/>
    <x v="1"/>
    <n v="0.25"/>
  </r>
  <r>
    <x v="0"/>
    <x v="0"/>
    <x v="0"/>
    <x v="11"/>
    <x v="18"/>
    <x v="10"/>
    <x v="2"/>
    <n v="0.25"/>
  </r>
  <r>
    <x v="0"/>
    <x v="0"/>
    <x v="0"/>
    <x v="11"/>
    <x v="18"/>
    <x v="10"/>
    <x v="3"/>
    <n v="0.25"/>
  </r>
  <r>
    <x v="0"/>
    <x v="0"/>
    <x v="0"/>
    <x v="11"/>
    <x v="18"/>
    <x v="10"/>
    <x v="4"/>
    <n v="0.25"/>
  </r>
  <r>
    <x v="0"/>
    <x v="0"/>
    <x v="0"/>
    <x v="11"/>
    <x v="18"/>
    <x v="10"/>
    <x v="5"/>
    <n v="0.25"/>
  </r>
  <r>
    <x v="0"/>
    <x v="0"/>
    <x v="0"/>
    <x v="11"/>
    <x v="18"/>
    <x v="10"/>
    <x v="6"/>
    <n v="0.25"/>
  </r>
  <r>
    <x v="0"/>
    <x v="0"/>
    <x v="0"/>
    <x v="11"/>
    <x v="18"/>
    <x v="10"/>
    <x v="7"/>
    <n v="0.25"/>
  </r>
  <r>
    <x v="0"/>
    <x v="0"/>
    <x v="0"/>
    <x v="11"/>
    <x v="18"/>
    <x v="10"/>
    <x v="8"/>
    <n v="0.25"/>
  </r>
  <r>
    <x v="0"/>
    <x v="0"/>
    <x v="0"/>
    <x v="11"/>
    <x v="18"/>
    <x v="10"/>
    <x v="9"/>
    <n v="0.25"/>
  </r>
  <r>
    <x v="0"/>
    <x v="0"/>
    <x v="0"/>
    <x v="11"/>
    <x v="18"/>
    <x v="10"/>
    <x v="10"/>
    <n v="0.25"/>
  </r>
  <r>
    <x v="0"/>
    <x v="0"/>
    <x v="0"/>
    <x v="11"/>
    <x v="18"/>
    <x v="10"/>
    <x v="11"/>
    <n v="0.25"/>
  </r>
  <r>
    <x v="0"/>
    <x v="0"/>
    <x v="0"/>
    <x v="11"/>
    <x v="18"/>
    <x v="11"/>
    <x v="0"/>
    <n v="0.25"/>
  </r>
  <r>
    <x v="0"/>
    <x v="0"/>
    <x v="0"/>
    <x v="11"/>
    <x v="18"/>
    <x v="11"/>
    <x v="1"/>
    <n v="0.25"/>
  </r>
  <r>
    <x v="0"/>
    <x v="0"/>
    <x v="0"/>
    <x v="11"/>
    <x v="18"/>
    <x v="11"/>
    <x v="2"/>
    <n v="0.25"/>
  </r>
  <r>
    <x v="0"/>
    <x v="0"/>
    <x v="0"/>
    <x v="11"/>
    <x v="18"/>
    <x v="11"/>
    <x v="3"/>
    <n v="0.25"/>
  </r>
  <r>
    <x v="0"/>
    <x v="0"/>
    <x v="0"/>
    <x v="11"/>
    <x v="18"/>
    <x v="11"/>
    <x v="4"/>
    <n v="0.25"/>
  </r>
  <r>
    <x v="0"/>
    <x v="0"/>
    <x v="0"/>
    <x v="11"/>
    <x v="18"/>
    <x v="11"/>
    <x v="5"/>
    <n v="0.25"/>
  </r>
  <r>
    <x v="0"/>
    <x v="0"/>
    <x v="0"/>
    <x v="11"/>
    <x v="18"/>
    <x v="11"/>
    <x v="6"/>
    <n v="0.25"/>
  </r>
  <r>
    <x v="0"/>
    <x v="0"/>
    <x v="0"/>
    <x v="11"/>
    <x v="18"/>
    <x v="11"/>
    <x v="7"/>
    <n v="0.25"/>
  </r>
  <r>
    <x v="0"/>
    <x v="0"/>
    <x v="0"/>
    <x v="11"/>
    <x v="18"/>
    <x v="11"/>
    <x v="8"/>
    <n v="0.25"/>
  </r>
  <r>
    <x v="0"/>
    <x v="0"/>
    <x v="0"/>
    <x v="11"/>
    <x v="18"/>
    <x v="11"/>
    <x v="9"/>
    <n v="0.25"/>
  </r>
  <r>
    <x v="0"/>
    <x v="0"/>
    <x v="0"/>
    <x v="11"/>
    <x v="18"/>
    <x v="11"/>
    <x v="10"/>
    <n v="0.25"/>
  </r>
  <r>
    <x v="0"/>
    <x v="0"/>
    <x v="0"/>
    <x v="11"/>
    <x v="18"/>
    <x v="11"/>
    <x v="11"/>
    <n v="0.25"/>
  </r>
  <r>
    <x v="0"/>
    <x v="0"/>
    <x v="0"/>
    <x v="12"/>
    <x v="2"/>
    <x v="0"/>
    <x v="0"/>
    <n v="0"/>
  </r>
  <r>
    <x v="0"/>
    <x v="0"/>
    <x v="0"/>
    <x v="12"/>
    <x v="2"/>
    <x v="0"/>
    <x v="1"/>
    <n v="0"/>
  </r>
  <r>
    <x v="0"/>
    <x v="0"/>
    <x v="0"/>
    <x v="12"/>
    <x v="2"/>
    <x v="0"/>
    <x v="2"/>
    <n v="0"/>
  </r>
  <r>
    <x v="0"/>
    <x v="0"/>
    <x v="0"/>
    <x v="12"/>
    <x v="2"/>
    <x v="0"/>
    <x v="3"/>
    <n v="0"/>
  </r>
  <r>
    <x v="0"/>
    <x v="0"/>
    <x v="0"/>
    <x v="12"/>
    <x v="2"/>
    <x v="0"/>
    <x v="4"/>
    <n v="0"/>
  </r>
  <r>
    <x v="0"/>
    <x v="0"/>
    <x v="0"/>
    <x v="12"/>
    <x v="2"/>
    <x v="0"/>
    <x v="5"/>
    <n v="0"/>
  </r>
  <r>
    <x v="0"/>
    <x v="0"/>
    <x v="0"/>
    <x v="12"/>
    <x v="2"/>
    <x v="0"/>
    <x v="6"/>
    <n v="0"/>
  </r>
  <r>
    <x v="0"/>
    <x v="0"/>
    <x v="0"/>
    <x v="12"/>
    <x v="2"/>
    <x v="0"/>
    <x v="7"/>
    <n v="0"/>
  </r>
  <r>
    <x v="0"/>
    <x v="0"/>
    <x v="0"/>
    <x v="12"/>
    <x v="2"/>
    <x v="0"/>
    <x v="8"/>
    <n v="0"/>
  </r>
  <r>
    <x v="0"/>
    <x v="0"/>
    <x v="0"/>
    <x v="12"/>
    <x v="2"/>
    <x v="0"/>
    <x v="9"/>
    <n v="0"/>
  </r>
  <r>
    <x v="0"/>
    <x v="0"/>
    <x v="0"/>
    <x v="12"/>
    <x v="2"/>
    <x v="0"/>
    <x v="10"/>
    <n v="0"/>
  </r>
  <r>
    <x v="0"/>
    <x v="0"/>
    <x v="0"/>
    <x v="12"/>
    <x v="2"/>
    <x v="0"/>
    <x v="11"/>
    <n v="0"/>
  </r>
  <r>
    <x v="0"/>
    <x v="0"/>
    <x v="0"/>
    <x v="12"/>
    <x v="2"/>
    <x v="1"/>
    <x v="0"/>
    <n v="0"/>
  </r>
  <r>
    <x v="0"/>
    <x v="0"/>
    <x v="0"/>
    <x v="12"/>
    <x v="2"/>
    <x v="1"/>
    <x v="1"/>
    <n v="0"/>
  </r>
  <r>
    <x v="0"/>
    <x v="0"/>
    <x v="0"/>
    <x v="12"/>
    <x v="2"/>
    <x v="1"/>
    <x v="2"/>
    <n v="0"/>
  </r>
  <r>
    <x v="0"/>
    <x v="0"/>
    <x v="0"/>
    <x v="12"/>
    <x v="2"/>
    <x v="1"/>
    <x v="3"/>
    <n v="0"/>
  </r>
  <r>
    <x v="0"/>
    <x v="0"/>
    <x v="0"/>
    <x v="12"/>
    <x v="2"/>
    <x v="1"/>
    <x v="4"/>
    <n v="0"/>
  </r>
  <r>
    <x v="0"/>
    <x v="0"/>
    <x v="0"/>
    <x v="12"/>
    <x v="2"/>
    <x v="1"/>
    <x v="5"/>
    <n v="0"/>
  </r>
  <r>
    <x v="0"/>
    <x v="0"/>
    <x v="0"/>
    <x v="12"/>
    <x v="2"/>
    <x v="1"/>
    <x v="6"/>
    <n v="0"/>
  </r>
  <r>
    <x v="0"/>
    <x v="0"/>
    <x v="0"/>
    <x v="12"/>
    <x v="2"/>
    <x v="1"/>
    <x v="7"/>
    <n v="0"/>
  </r>
  <r>
    <x v="0"/>
    <x v="0"/>
    <x v="0"/>
    <x v="12"/>
    <x v="2"/>
    <x v="1"/>
    <x v="8"/>
    <n v="0"/>
  </r>
  <r>
    <x v="0"/>
    <x v="0"/>
    <x v="0"/>
    <x v="12"/>
    <x v="2"/>
    <x v="1"/>
    <x v="9"/>
    <n v="0"/>
  </r>
  <r>
    <x v="0"/>
    <x v="0"/>
    <x v="0"/>
    <x v="12"/>
    <x v="2"/>
    <x v="1"/>
    <x v="10"/>
    <n v="0"/>
  </r>
  <r>
    <x v="0"/>
    <x v="0"/>
    <x v="0"/>
    <x v="12"/>
    <x v="2"/>
    <x v="1"/>
    <x v="11"/>
    <n v="0"/>
  </r>
  <r>
    <x v="0"/>
    <x v="0"/>
    <x v="0"/>
    <x v="12"/>
    <x v="2"/>
    <x v="2"/>
    <x v="0"/>
    <n v="0"/>
  </r>
  <r>
    <x v="0"/>
    <x v="0"/>
    <x v="0"/>
    <x v="12"/>
    <x v="2"/>
    <x v="2"/>
    <x v="1"/>
    <n v="0"/>
  </r>
  <r>
    <x v="0"/>
    <x v="0"/>
    <x v="0"/>
    <x v="12"/>
    <x v="2"/>
    <x v="2"/>
    <x v="2"/>
    <n v="0"/>
  </r>
  <r>
    <x v="0"/>
    <x v="0"/>
    <x v="0"/>
    <x v="12"/>
    <x v="2"/>
    <x v="2"/>
    <x v="3"/>
    <n v="0"/>
  </r>
  <r>
    <x v="0"/>
    <x v="0"/>
    <x v="0"/>
    <x v="12"/>
    <x v="2"/>
    <x v="2"/>
    <x v="4"/>
    <n v="0"/>
  </r>
  <r>
    <x v="0"/>
    <x v="0"/>
    <x v="0"/>
    <x v="12"/>
    <x v="2"/>
    <x v="2"/>
    <x v="5"/>
    <n v="0"/>
  </r>
  <r>
    <x v="0"/>
    <x v="0"/>
    <x v="0"/>
    <x v="12"/>
    <x v="2"/>
    <x v="2"/>
    <x v="6"/>
    <n v="0"/>
  </r>
  <r>
    <x v="0"/>
    <x v="0"/>
    <x v="0"/>
    <x v="12"/>
    <x v="2"/>
    <x v="2"/>
    <x v="7"/>
    <n v="0"/>
  </r>
  <r>
    <x v="0"/>
    <x v="0"/>
    <x v="0"/>
    <x v="12"/>
    <x v="2"/>
    <x v="2"/>
    <x v="8"/>
    <n v="0"/>
  </r>
  <r>
    <x v="0"/>
    <x v="0"/>
    <x v="0"/>
    <x v="12"/>
    <x v="2"/>
    <x v="2"/>
    <x v="9"/>
    <n v="0"/>
  </r>
  <r>
    <x v="0"/>
    <x v="0"/>
    <x v="0"/>
    <x v="12"/>
    <x v="2"/>
    <x v="2"/>
    <x v="10"/>
    <n v="0"/>
  </r>
  <r>
    <x v="0"/>
    <x v="0"/>
    <x v="0"/>
    <x v="12"/>
    <x v="2"/>
    <x v="2"/>
    <x v="11"/>
    <n v="0"/>
  </r>
  <r>
    <x v="0"/>
    <x v="0"/>
    <x v="0"/>
    <x v="12"/>
    <x v="2"/>
    <x v="3"/>
    <x v="0"/>
    <n v="0"/>
  </r>
  <r>
    <x v="0"/>
    <x v="0"/>
    <x v="0"/>
    <x v="12"/>
    <x v="2"/>
    <x v="3"/>
    <x v="1"/>
    <n v="0"/>
  </r>
  <r>
    <x v="0"/>
    <x v="0"/>
    <x v="0"/>
    <x v="12"/>
    <x v="2"/>
    <x v="3"/>
    <x v="2"/>
    <n v="0"/>
  </r>
  <r>
    <x v="0"/>
    <x v="0"/>
    <x v="0"/>
    <x v="12"/>
    <x v="2"/>
    <x v="3"/>
    <x v="3"/>
    <n v="0"/>
  </r>
  <r>
    <x v="0"/>
    <x v="0"/>
    <x v="0"/>
    <x v="12"/>
    <x v="2"/>
    <x v="3"/>
    <x v="4"/>
    <n v="0"/>
  </r>
  <r>
    <x v="0"/>
    <x v="0"/>
    <x v="0"/>
    <x v="12"/>
    <x v="2"/>
    <x v="3"/>
    <x v="5"/>
    <n v="0"/>
  </r>
  <r>
    <x v="0"/>
    <x v="0"/>
    <x v="0"/>
    <x v="12"/>
    <x v="2"/>
    <x v="3"/>
    <x v="6"/>
    <n v="0"/>
  </r>
  <r>
    <x v="0"/>
    <x v="0"/>
    <x v="0"/>
    <x v="12"/>
    <x v="2"/>
    <x v="3"/>
    <x v="7"/>
    <n v="0"/>
  </r>
  <r>
    <x v="0"/>
    <x v="0"/>
    <x v="0"/>
    <x v="12"/>
    <x v="2"/>
    <x v="3"/>
    <x v="8"/>
    <n v="0"/>
  </r>
  <r>
    <x v="0"/>
    <x v="0"/>
    <x v="0"/>
    <x v="12"/>
    <x v="2"/>
    <x v="3"/>
    <x v="9"/>
    <n v="0"/>
  </r>
  <r>
    <x v="0"/>
    <x v="0"/>
    <x v="0"/>
    <x v="12"/>
    <x v="2"/>
    <x v="3"/>
    <x v="10"/>
    <n v="0"/>
  </r>
  <r>
    <x v="0"/>
    <x v="0"/>
    <x v="0"/>
    <x v="12"/>
    <x v="2"/>
    <x v="3"/>
    <x v="11"/>
    <n v="0"/>
  </r>
  <r>
    <x v="0"/>
    <x v="0"/>
    <x v="0"/>
    <x v="12"/>
    <x v="2"/>
    <x v="4"/>
    <x v="0"/>
    <n v="0"/>
  </r>
  <r>
    <x v="0"/>
    <x v="0"/>
    <x v="0"/>
    <x v="12"/>
    <x v="2"/>
    <x v="4"/>
    <x v="1"/>
    <n v="0"/>
  </r>
  <r>
    <x v="0"/>
    <x v="0"/>
    <x v="0"/>
    <x v="12"/>
    <x v="2"/>
    <x v="4"/>
    <x v="2"/>
    <n v="0"/>
  </r>
  <r>
    <x v="0"/>
    <x v="0"/>
    <x v="0"/>
    <x v="12"/>
    <x v="2"/>
    <x v="4"/>
    <x v="3"/>
    <n v="0"/>
  </r>
  <r>
    <x v="0"/>
    <x v="0"/>
    <x v="0"/>
    <x v="12"/>
    <x v="2"/>
    <x v="4"/>
    <x v="4"/>
    <n v="0"/>
  </r>
  <r>
    <x v="0"/>
    <x v="0"/>
    <x v="0"/>
    <x v="12"/>
    <x v="2"/>
    <x v="4"/>
    <x v="5"/>
    <n v="0"/>
  </r>
  <r>
    <x v="0"/>
    <x v="0"/>
    <x v="0"/>
    <x v="12"/>
    <x v="2"/>
    <x v="4"/>
    <x v="6"/>
    <n v="0"/>
  </r>
  <r>
    <x v="0"/>
    <x v="0"/>
    <x v="0"/>
    <x v="12"/>
    <x v="2"/>
    <x v="4"/>
    <x v="7"/>
    <n v="0"/>
  </r>
  <r>
    <x v="0"/>
    <x v="0"/>
    <x v="0"/>
    <x v="12"/>
    <x v="2"/>
    <x v="4"/>
    <x v="8"/>
    <n v="0"/>
  </r>
  <r>
    <x v="0"/>
    <x v="0"/>
    <x v="0"/>
    <x v="12"/>
    <x v="2"/>
    <x v="4"/>
    <x v="9"/>
    <n v="0"/>
  </r>
  <r>
    <x v="0"/>
    <x v="0"/>
    <x v="0"/>
    <x v="12"/>
    <x v="2"/>
    <x v="4"/>
    <x v="10"/>
    <n v="0"/>
  </r>
  <r>
    <x v="0"/>
    <x v="0"/>
    <x v="0"/>
    <x v="12"/>
    <x v="2"/>
    <x v="4"/>
    <x v="11"/>
    <n v="0"/>
  </r>
  <r>
    <x v="0"/>
    <x v="0"/>
    <x v="0"/>
    <x v="12"/>
    <x v="2"/>
    <x v="5"/>
    <x v="0"/>
    <n v="0"/>
  </r>
  <r>
    <x v="0"/>
    <x v="0"/>
    <x v="0"/>
    <x v="12"/>
    <x v="2"/>
    <x v="5"/>
    <x v="1"/>
    <n v="0"/>
  </r>
  <r>
    <x v="0"/>
    <x v="0"/>
    <x v="0"/>
    <x v="12"/>
    <x v="2"/>
    <x v="5"/>
    <x v="2"/>
    <n v="0"/>
  </r>
  <r>
    <x v="0"/>
    <x v="0"/>
    <x v="0"/>
    <x v="12"/>
    <x v="2"/>
    <x v="5"/>
    <x v="3"/>
    <n v="0"/>
  </r>
  <r>
    <x v="0"/>
    <x v="0"/>
    <x v="0"/>
    <x v="12"/>
    <x v="2"/>
    <x v="5"/>
    <x v="4"/>
    <n v="0"/>
  </r>
  <r>
    <x v="0"/>
    <x v="0"/>
    <x v="0"/>
    <x v="12"/>
    <x v="2"/>
    <x v="5"/>
    <x v="5"/>
    <n v="0"/>
  </r>
  <r>
    <x v="0"/>
    <x v="0"/>
    <x v="0"/>
    <x v="12"/>
    <x v="2"/>
    <x v="5"/>
    <x v="6"/>
    <n v="0"/>
  </r>
  <r>
    <x v="0"/>
    <x v="0"/>
    <x v="0"/>
    <x v="12"/>
    <x v="2"/>
    <x v="5"/>
    <x v="7"/>
    <n v="-2.6526822760697798E-3"/>
  </r>
  <r>
    <x v="0"/>
    <x v="0"/>
    <x v="0"/>
    <x v="12"/>
    <x v="2"/>
    <x v="5"/>
    <x v="8"/>
    <n v="-5.4909807763364397E-2"/>
  </r>
  <r>
    <x v="0"/>
    <x v="0"/>
    <x v="0"/>
    <x v="12"/>
    <x v="2"/>
    <x v="5"/>
    <x v="9"/>
    <n v="0"/>
  </r>
  <r>
    <x v="0"/>
    <x v="0"/>
    <x v="0"/>
    <x v="12"/>
    <x v="2"/>
    <x v="5"/>
    <x v="10"/>
    <n v="0"/>
  </r>
  <r>
    <x v="0"/>
    <x v="0"/>
    <x v="0"/>
    <x v="12"/>
    <x v="2"/>
    <x v="5"/>
    <x v="11"/>
    <n v="0"/>
  </r>
  <r>
    <x v="0"/>
    <x v="0"/>
    <x v="0"/>
    <x v="12"/>
    <x v="2"/>
    <x v="6"/>
    <x v="0"/>
    <n v="0"/>
  </r>
  <r>
    <x v="0"/>
    <x v="0"/>
    <x v="0"/>
    <x v="12"/>
    <x v="2"/>
    <x v="6"/>
    <x v="1"/>
    <n v="0"/>
  </r>
  <r>
    <x v="0"/>
    <x v="0"/>
    <x v="0"/>
    <x v="12"/>
    <x v="2"/>
    <x v="6"/>
    <x v="2"/>
    <n v="0"/>
  </r>
  <r>
    <x v="0"/>
    <x v="0"/>
    <x v="0"/>
    <x v="12"/>
    <x v="2"/>
    <x v="6"/>
    <x v="3"/>
    <n v="0"/>
  </r>
  <r>
    <x v="0"/>
    <x v="0"/>
    <x v="0"/>
    <x v="12"/>
    <x v="2"/>
    <x v="6"/>
    <x v="4"/>
    <n v="0"/>
  </r>
  <r>
    <x v="0"/>
    <x v="0"/>
    <x v="0"/>
    <x v="12"/>
    <x v="2"/>
    <x v="6"/>
    <x v="5"/>
    <n v="0"/>
  </r>
  <r>
    <x v="0"/>
    <x v="0"/>
    <x v="0"/>
    <x v="12"/>
    <x v="2"/>
    <x v="6"/>
    <x v="6"/>
    <n v="0"/>
  </r>
  <r>
    <x v="0"/>
    <x v="0"/>
    <x v="0"/>
    <x v="12"/>
    <x v="2"/>
    <x v="6"/>
    <x v="7"/>
    <n v="0"/>
  </r>
  <r>
    <x v="0"/>
    <x v="0"/>
    <x v="0"/>
    <x v="12"/>
    <x v="2"/>
    <x v="6"/>
    <x v="8"/>
    <n v="0"/>
  </r>
  <r>
    <x v="0"/>
    <x v="0"/>
    <x v="0"/>
    <x v="12"/>
    <x v="2"/>
    <x v="6"/>
    <x v="9"/>
    <n v="0"/>
  </r>
  <r>
    <x v="0"/>
    <x v="0"/>
    <x v="0"/>
    <x v="12"/>
    <x v="2"/>
    <x v="6"/>
    <x v="10"/>
    <n v="0"/>
  </r>
  <r>
    <x v="0"/>
    <x v="0"/>
    <x v="0"/>
    <x v="12"/>
    <x v="2"/>
    <x v="6"/>
    <x v="11"/>
    <n v="0"/>
  </r>
  <r>
    <x v="0"/>
    <x v="0"/>
    <x v="0"/>
    <x v="12"/>
    <x v="2"/>
    <x v="7"/>
    <x v="0"/>
    <n v="0"/>
  </r>
  <r>
    <x v="0"/>
    <x v="0"/>
    <x v="0"/>
    <x v="12"/>
    <x v="2"/>
    <x v="7"/>
    <x v="1"/>
    <n v="0"/>
  </r>
  <r>
    <x v="0"/>
    <x v="0"/>
    <x v="0"/>
    <x v="12"/>
    <x v="2"/>
    <x v="7"/>
    <x v="2"/>
    <n v="0"/>
  </r>
  <r>
    <x v="0"/>
    <x v="0"/>
    <x v="0"/>
    <x v="12"/>
    <x v="2"/>
    <x v="7"/>
    <x v="3"/>
    <n v="0"/>
  </r>
  <r>
    <x v="0"/>
    <x v="0"/>
    <x v="0"/>
    <x v="12"/>
    <x v="2"/>
    <x v="7"/>
    <x v="4"/>
    <n v="0"/>
  </r>
  <r>
    <x v="0"/>
    <x v="0"/>
    <x v="0"/>
    <x v="12"/>
    <x v="2"/>
    <x v="7"/>
    <x v="5"/>
    <n v="0"/>
  </r>
  <r>
    <x v="0"/>
    <x v="0"/>
    <x v="0"/>
    <x v="12"/>
    <x v="2"/>
    <x v="7"/>
    <x v="6"/>
    <n v="0"/>
  </r>
  <r>
    <x v="0"/>
    <x v="0"/>
    <x v="0"/>
    <x v="12"/>
    <x v="2"/>
    <x v="7"/>
    <x v="7"/>
    <n v="0"/>
  </r>
  <r>
    <x v="0"/>
    <x v="0"/>
    <x v="0"/>
    <x v="12"/>
    <x v="2"/>
    <x v="7"/>
    <x v="8"/>
    <n v="0"/>
  </r>
  <r>
    <x v="0"/>
    <x v="0"/>
    <x v="0"/>
    <x v="12"/>
    <x v="2"/>
    <x v="7"/>
    <x v="9"/>
    <n v="0"/>
  </r>
  <r>
    <x v="0"/>
    <x v="0"/>
    <x v="0"/>
    <x v="12"/>
    <x v="2"/>
    <x v="7"/>
    <x v="10"/>
    <n v="0"/>
  </r>
  <r>
    <x v="0"/>
    <x v="0"/>
    <x v="0"/>
    <x v="12"/>
    <x v="2"/>
    <x v="7"/>
    <x v="11"/>
    <n v="0"/>
  </r>
  <r>
    <x v="0"/>
    <x v="0"/>
    <x v="0"/>
    <x v="12"/>
    <x v="2"/>
    <x v="8"/>
    <x v="0"/>
    <n v="-1.2"/>
  </r>
  <r>
    <x v="0"/>
    <x v="0"/>
    <x v="0"/>
    <x v="12"/>
    <x v="2"/>
    <x v="8"/>
    <x v="1"/>
    <n v="-1.2"/>
  </r>
  <r>
    <x v="0"/>
    <x v="0"/>
    <x v="0"/>
    <x v="12"/>
    <x v="2"/>
    <x v="8"/>
    <x v="2"/>
    <n v="-1.2"/>
  </r>
  <r>
    <x v="0"/>
    <x v="0"/>
    <x v="0"/>
    <x v="12"/>
    <x v="2"/>
    <x v="8"/>
    <x v="3"/>
    <n v="-1.2"/>
  </r>
  <r>
    <x v="0"/>
    <x v="0"/>
    <x v="0"/>
    <x v="12"/>
    <x v="2"/>
    <x v="8"/>
    <x v="4"/>
    <n v="-1.2"/>
  </r>
  <r>
    <x v="0"/>
    <x v="0"/>
    <x v="0"/>
    <x v="12"/>
    <x v="2"/>
    <x v="8"/>
    <x v="5"/>
    <n v="-1.2"/>
  </r>
  <r>
    <x v="0"/>
    <x v="0"/>
    <x v="0"/>
    <x v="12"/>
    <x v="2"/>
    <x v="8"/>
    <x v="6"/>
    <n v="0"/>
  </r>
  <r>
    <x v="0"/>
    <x v="0"/>
    <x v="0"/>
    <x v="12"/>
    <x v="2"/>
    <x v="8"/>
    <x v="7"/>
    <n v="0"/>
  </r>
  <r>
    <x v="0"/>
    <x v="0"/>
    <x v="0"/>
    <x v="12"/>
    <x v="2"/>
    <x v="8"/>
    <x v="8"/>
    <n v="0"/>
  </r>
  <r>
    <x v="0"/>
    <x v="0"/>
    <x v="0"/>
    <x v="12"/>
    <x v="2"/>
    <x v="8"/>
    <x v="9"/>
    <n v="0"/>
  </r>
  <r>
    <x v="0"/>
    <x v="0"/>
    <x v="0"/>
    <x v="12"/>
    <x v="2"/>
    <x v="8"/>
    <x v="10"/>
    <n v="0"/>
  </r>
  <r>
    <x v="0"/>
    <x v="0"/>
    <x v="0"/>
    <x v="12"/>
    <x v="2"/>
    <x v="8"/>
    <x v="11"/>
    <n v="-0.38565695465372002"/>
  </r>
  <r>
    <x v="0"/>
    <x v="0"/>
    <x v="0"/>
    <x v="12"/>
    <x v="2"/>
    <x v="9"/>
    <x v="0"/>
    <n v="0"/>
  </r>
  <r>
    <x v="0"/>
    <x v="0"/>
    <x v="0"/>
    <x v="12"/>
    <x v="2"/>
    <x v="9"/>
    <x v="1"/>
    <n v="0"/>
  </r>
  <r>
    <x v="0"/>
    <x v="0"/>
    <x v="0"/>
    <x v="12"/>
    <x v="2"/>
    <x v="9"/>
    <x v="2"/>
    <n v="-1.2"/>
  </r>
  <r>
    <x v="0"/>
    <x v="0"/>
    <x v="0"/>
    <x v="12"/>
    <x v="2"/>
    <x v="9"/>
    <x v="3"/>
    <n v="0"/>
  </r>
  <r>
    <x v="0"/>
    <x v="0"/>
    <x v="0"/>
    <x v="12"/>
    <x v="2"/>
    <x v="9"/>
    <x v="4"/>
    <n v="0"/>
  </r>
  <r>
    <x v="0"/>
    <x v="0"/>
    <x v="0"/>
    <x v="12"/>
    <x v="2"/>
    <x v="9"/>
    <x v="5"/>
    <n v="-1.2"/>
  </r>
  <r>
    <x v="0"/>
    <x v="0"/>
    <x v="0"/>
    <x v="12"/>
    <x v="2"/>
    <x v="9"/>
    <x v="6"/>
    <n v="-1.2"/>
  </r>
  <r>
    <x v="0"/>
    <x v="0"/>
    <x v="0"/>
    <x v="12"/>
    <x v="2"/>
    <x v="9"/>
    <x v="7"/>
    <n v="-1.2"/>
  </r>
  <r>
    <x v="0"/>
    <x v="0"/>
    <x v="0"/>
    <x v="12"/>
    <x v="2"/>
    <x v="9"/>
    <x v="8"/>
    <n v="-1.2"/>
  </r>
  <r>
    <x v="0"/>
    <x v="0"/>
    <x v="0"/>
    <x v="12"/>
    <x v="2"/>
    <x v="9"/>
    <x v="9"/>
    <n v="-1.2"/>
  </r>
  <r>
    <x v="0"/>
    <x v="0"/>
    <x v="0"/>
    <x v="12"/>
    <x v="2"/>
    <x v="9"/>
    <x v="10"/>
    <n v="-1.2"/>
  </r>
  <r>
    <x v="0"/>
    <x v="0"/>
    <x v="0"/>
    <x v="12"/>
    <x v="2"/>
    <x v="9"/>
    <x v="11"/>
    <n v="-1.2"/>
  </r>
  <r>
    <x v="0"/>
    <x v="0"/>
    <x v="0"/>
    <x v="12"/>
    <x v="2"/>
    <x v="10"/>
    <x v="0"/>
    <n v="0"/>
  </r>
  <r>
    <x v="0"/>
    <x v="0"/>
    <x v="0"/>
    <x v="12"/>
    <x v="2"/>
    <x v="10"/>
    <x v="1"/>
    <n v="-1.2"/>
  </r>
  <r>
    <x v="0"/>
    <x v="0"/>
    <x v="0"/>
    <x v="12"/>
    <x v="2"/>
    <x v="10"/>
    <x v="2"/>
    <n v="0"/>
  </r>
  <r>
    <x v="0"/>
    <x v="0"/>
    <x v="0"/>
    <x v="12"/>
    <x v="2"/>
    <x v="10"/>
    <x v="3"/>
    <n v="-1.2"/>
  </r>
  <r>
    <x v="0"/>
    <x v="0"/>
    <x v="0"/>
    <x v="12"/>
    <x v="2"/>
    <x v="10"/>
    <x v="4"/>
    <n v="-1.2"/>
  </r>
  <r>
    <x v="0"/>
    <x v="0"/>
    <x v="0"/>
    <x v="12"/>
    <x v="2"/>
    <x v="10"/>
    <x v="5"/>
    <n v="-1.2"/>
  </r>
  <r>
    <x v="0"/>
    <x v="0"/>
    <x v="0"/>
    <x v="12"/>
    <x v="2"/>
    <x v="10"/>
    <x v="6"/>
    <n v="0"/>
  </r>
  <r>
    <x v="0"/>
    <x v="0"/>
    <x v="0"/>
    <x v="12"/>
    <x v="2"/>
    <x v="10"/>
    <x v="7"/>
    <n v="0"/>
  </r>
  <r>
    <x v="0"/>
    <x v="0"/>
    <x v="0"/>
    <x v="12"/>
    <x v="2"/>
    <x v="10"/>
    <x v="8"/>
    <n v="0"/>
  </r>
  <r>
    <x v="0"/>
    <x v="0"/>
    <x v="0"/>
    <x v="12"/>
    <x v="2"/>
    <x v="10"/>
    <x v="9"/>
    <n v="-1.2"/>
  </r>
  <r>
    <x v="0"/>
    <x v="0"/>
    <x v="0"/>
    <x v="12"/>
    <x v="2"/>
    <x v="10"/>
    <x v="10"/>
    <n v="0"/>
  </r>
  <r>
    <x v="0"/>
    <x v="0"/>
    <x v="0"/>
    <x v="12"/>
    <x v="2"/>
    <x v="10"/>
    <x v="11"/>
    <n v="-0.44708092403737099"/>
  </r>
  <r>
    <x v="0"/>
    <x v="0"/>
    <x v="0"/>
    <x v="12"/>
    <x v="2"/>
    <x v="11"/>
    <x v="0"/>
    <n v="0"/>
  </r>
  <r>
    <x v="0"/>
    <x v="0"/>
    <x v="0"/>
    <x v="12"/>
    <x v="2"/>
    <x v="11"/>
    <x v="1"/>
    <n v="0"/>
  </r>
  <r>
    <x v="0"/>
    <x v="0"/>
    <x v="0"/>
    <x v="12"/>
    <x v="2"/>
    <x v="11"/>
    <x v="2"/>
    <n v="0"/>
  </r>
  <r>
    <x v="0"/>
    <x v="0"/>
    <x v="0"/>
    <x v="12"/>
    <x v="2"/>
    <x v="11"/>
    <x v="3"/>
    <n v="0"/>
  </r>
  <r>
    <x v="0"/>
    <x v="0"/>
    <x v="0"/>
    <x v="12"/>
    <x v="2"/>
    <x v="11"/>
    <x v="4"/>
    <n v="0"/>
  </r>
  <r>
    <x v="0"/>
    <x v="0"/>
    <x v="0"/>
    <x v="12"/>
    <x v="2"/>
    <x v="11"/>
    <x v="5"/>
    <n v="0"/>
  </r>
  <r>
    <x v="0"/>
    <x v="0"/>
    <x v="0"/>
    <x v="12"/>
    <x v="2"/>
    <x v="11"/>
    <x v="6"/>
    <n v="0"/>
  </r>
  <r>
    <x v="0"/>
    <x v="0"/>
    <x v="0"/>
    <x v="12"/>
    <x v="2"/>
    <x v="11"/>
    <x v="7"/>
    <n v="0"/>
  </r>
  <r>
    <x v="0"/>
    <x v="0"/>
    <x v="0"/>
    <x v="12"/>
    <x v="2"/>
    <x v="11"/>
    <x v="8"/>
    <n v="0"/>
  </r>
  <r>
    <x v="0"/>
    <x v="0"/>
    <x v="0"/>
    <x v="12"/>
    <x v="2"/>
    <x v="11"/>
    <x v="9"/>
    <n v="0"/>
  </r>
  <r>
    <x v="0"/>
    <x v="0"/>
    <x v="0"/>
    <x v="12"/>
    <x v="2"/>
    <x v="11"/>
    <x v="10"/>
    <n v="0"/>
  </r>
  <r>
    <x v="0"/>
    <x v="0"/>
    <x v="0"/>
    <x v="12"/>
    <x v="2"/>
    <x v="11"/>
    <x v="11"/>
    <n v="0"/>
  </r>
  <r>
    <x v="0"/>
    <x v="0"/>
    <x v="0"/>
    <x v="12"/>
    <x v="14"/>
    <x v="0"/>
    <x v="0"/>
    <n v="-1"/>
  </r>
  <r>
    <x v="0"/>
    <x v="0"/>
    <x v="0"/>
    <x v="12"/>
    <x v="14"/>
    <x v="0"/>
    <x v="1"/>
    <n v="-1"/>
  </r>
  <r>
    <x v="0"/>
    <x v="0"/>
    <x v="0"/>
    <x v="12"/>
    <x v="14"/>
    <x v="0"/>
    <x v="2"/>
    <n v="-1"/>
  </r>
  <r>
    <x v="0"/>
    <x v="0"/>
    <x v="0"/>
    <x v="12"/>
    <x v="14"/>
    <x v="0"/>
    <x v="3"/>
    <n v="-1"/>
  </r>
  <r>
    <x v="0"/>
    <x v="0"/>
    <x v="0"/>
    <x v="12"/>
    <x v="14"/>
    <x v="0"/>
    <x v="4"/>
    <n v="-1"/>
  </r>
  <r>
    <x v="0"/>
    <x v="0"/>
    <x v="0"/>
    <x v="12"/>
    <x v="14"/>
    <x v="0"/>
    <x v="5"/>
    <n v="-1"/>
  </r>
  <r>
    <x v="0"/>
    <x v="0"/>
    <x v="0"/>
    <x v="12"/>
    <x v="14"/>
    <x v="0"/>
    <x v="6"/>
    <n v="-1"/>
  </r>
  <r>
    <x v="0"/>
    <x v="0"/>
    <x v="0"/>
    <x v="12"/>
    <x v="14"/>
    <x v="0"/>
    <x v="7"/>
    <n v="-1"/>
  </r>
  <r>
    <x v="0"/>
    <x v="0"/>
    <x v="0"/>
    <x v="12"/>
    <x v="14"/>
    <x v="0"/>
    <x v="8"/>
    <n v="-1"/>
  </r>
  <r>
    <x v="0"/>
    <x v="0"/>
    <x v="0"/>
    <x v="12"/>
    <x v="14"/>
    <x v="0"/>
    <x v="9"/>
    <n v="-1"/>
  </r>
  <r>
    <x v="0"/>
    <x v="0"/>
    <x v="0"/>
    <x v="12"/>
    <x v="14"/>
    <x v="0"/>
    <x v="10"/>
    <n v="-1"/>
  </r>
  <r>
    <x v="0"/>
    <x v="0"/>
    <x v="0"/>
    <x v="12"/>
    <x v="14"/>
    <x v="0"/>
    <x v="11"/>
    <n v="-1"/>
  </r>
  <r>
    <x v="0"/>
    <x v="0"/>
    <x v="0"/>
    <x v="12"/>
    <x v="14"/>
    <x v="1"/>
    <x v="0"/>
    <n v="-1"/>
  </r>
  <r>
    <x v="0"/>
    <x v="0"/>
    <x v="0"/>
    <x v="12"/>
    <x v="14"/>
    <x v="1"/>
    <x v="1"/>
    <n v="-1"/>
  </r>
  <r>
    <x v="0"/>
    <x v="0"/>
    <x v="0"/>
    <x v="12"/>
    <x v="14"/>
    <x v="1"/>
    <x v="2"/>
    <n v="-1"/>
  </r>
  <r>
    <x v="0"/>
    <x v="0"/>
    <x v="0"/>
    <x v="12"/>
    <x v="14"/>
    <x v="1"/>
    <x v="3"/>
    <n v="-1"/>
  </r>
  <r>
    <x v="0"/>
    <x v="0"/>
    <x v="0"/>
    <x v="12"/>
    <x v="14"/>
    <x v="1"/>
    <x v="4"/>
    <n v="-1"/>
  </r>
  <r>
    <x v="0"/>
    <x v="0"/>
    <x v="0"/>
    <x v="12"/>
    <x v="14"/>
    <x v="1"/>
    <x v="5"/>
    <n v="-1"/>
  </r>
  <r>
    <x v="0"/>
    <x v="0"/>
    <x v="0"/>
    <x v="12"/>
    <x v="14"/>
    <x v="1"/>
    <x v="6"/>
    <n v="-1"/>
  </r>
  <r>
    <x v="0"/>
    <x v="0"/>
    <x v="0"/>
    <x v="12"/>
    <x v="14"/>
    <x v="1"/>
    <x v="7"/>
    <n v="-1"/>
  </r>
  <r>
    <x v="0"/>
    <x v="0"/>
    <x v="0"/>
    <x v="12"/>
    <x v="14"/>
    <x v="1"/>
    <x v="8"/>
    <n v="-1"/>
  </r>
  <r>
    <x v="0"/>
    <x v="0"/>
    <x v="0"/>
    <x v="12"/>
    <x v="14"/>
    <x v="1"/>
    <x v="9"/>
    <n v="-1"/>
  </r>
  <r>
    <x v="0"/>
    <x v="0"/>
    <x v="0"/>
    <x v="12"/>
    <x v="14"/>
    <x v="1"/>
    <x v="10"/>
    <n v="-1"/>
  </r>
  <r>
    <x v="0"/>
    <x v="0"/>
    <x v="0"/>
    <x v="12"/>
    <x v="14"/>
    <x v="1"/>
    <x v="11"/>
    <n v="-1"/>
  </r>
  <r>
    <x v="0"/>
    <x v="0"/>
    <x v="0"/>
    <x v="12"/>
    <x v="14"/>
    <x v="2"/>
    <x v="0"/>
    <n v="-1"/>
  </r>
  <r>
    <x v="0"/>
    <x v="0"/>
    <x v="0"/>
    <x v="12"/>
    <x v="14"/>
    <x v="2"/>
    <x v="1"/>
    <n v="-1"/>
  </r>
  <r>
    <x v="0"/>
    <x v="0"/>
    <x v="0"/>
    <x v="12"/>
    <x v="14"/>
    <x v="2"/>
    <x v="2"/>
    <n v="-1"/>
  </r>
  <r>
    <x v="0"/>
    <x v="0"/>
    <x v="0"/>
    <x v="12"/>
    <x v="14"/>
    <x v="2"/>
    <x v="3"/>
    <n v="-1"/>
  </r>
  <r>
    <x v="0"/>
    <x v="0"/>
    <x v="0"/>
    <x v="12"/>
    <x v="14"/>
    <x v="2"/>
    <x v="4"/>
    <n v="-1"/>
  </r>
  <r>
    <x v="0"/>
    <x v="0"/>
    <x v="0"/>
    <x v="12"/>
    <x v="14"/>
    <x v="2"/>
    <x v="5"/>
    <n v="-1"/>
  </r>
  <r>
    <x v="0"/>
    <x v="0"/>
    <x v="0"/>
    <x v="12"/>
    <x v="14"/>
    <x v="2"/>
    <x v="6"/>
    <n v="-1"/>
  </r>
  <r>
    <x v="0"/>
    <x v="0"/>
    <x v="0"/>
    <x v="12"/>
    <x v="14"/>
    <x v="2"/>
    <x v="7"/>
    <n v="-1"/>
  </r>
  <r>
    <x v="0"/>
    <x v="0"/>
    <x v="0"/>
    <x v="12"/>
    <x v="14"/>
    <x v="2"/>
    <x v="8"/>
    <n v="-1"/>
  </r>
  <r>
    <x v="0"/>
    <x v="0"/>
    <x v="0"/>
    <x v="12"/>
    <x v="14"/>
    <x v="2"/>
    <x v="9"/>
    <n v="-1"/>
  </r>
  <r>
    <x v="0"/>
    <x v="0"/>
    <x v="0"/>
    <x v="12"/>
    <x v="14"/>
    <x v="2"/>
    <x v="10"/>
    <n v="-1"/>
  </r>
  <r>
    <x v="0"/>
    <x v="0"/>
    <x v="0"/>
    <x v="12"/>
    <x v="14"/>
    <x v="2"/>
    <x v="11"/>
    <n v="-1"/>
  </r>
  <r>
    <x v="0"/>
    <x v="0"/>
    <x v="0"/>
    <x v="12"/>
    <x v="14"/>
    <x v="3"/>
    <x v="0"/>
    <n v="-1"/>
  </r>
  <r>
    <x v="0"/>
    <x v="0"/>
    <x v="0"/>
    <x v="12"/>
    <x v="14"/>
    <x v="3"/>
    <x v="1"/>
    <n v="-1"/>
  </r>
  <r>
    <x v="0"/>
    <x v="0"/>
    <x v="0"/>
    <x v="12"/>
    <x v="14"/>
    <x v="3"/>
    <x v="2"/>
    <n v="-1"/>
  </r>
  <r>
    <x v="0"/>
    <x v="0"/>
    <x v="0"/>
    <x v="12"/>
    <x v="14"/>
    <x v="3"/>
    <x v="3"/>
    <n v="-1"/>
  </r>
  <r>
    <x v="0"/>
    <x v="0"/>
    <x v="0"/>
    <x v="12"/>
    <x v="14"/>
    <x v="3"/>
    <x v="4"/>
    <n v="-1"/>
  </r>
  <r>
    <x v="0"/>
    <x v="0"/>
    <x v="0"/>
    <x v="12"/>
    <x v="14"/>
    <x v="3"/>
    <x v="5"/>
    <n v="-1"/>
  </r>
  <r>
    <x v="0"/>
    <x v="0"/>
    <x v="0"/>
    <x v="12"/>
    <x v="14"/>
    <x v="3"/>
    <x v="6"/>
    <n v="-1"/>
  </r>
  <r>
    <x v="0"/>
    <x v="0"/>
    <x v="0"/>
    <x v="12"/>
    <x v="14"/>
    <x v="3"/>
    <x v="7"/>
    <n v="-1"/>
  </r>
  <r>
    <x v="0"/>
    <x v="0"/>
    <x v="0"/>
    <x v="12"/>
    <x v="14"/>
    <x v="3"/>
    <x v="8"/>
    <n v="-1"/>
  </r>
  <r>
    <x v="0"/>
    <x v="0"/>
    <x v="0"/>
    <x v="12"/>
    <x v="14"/>
    <x v="3"/>
    <x v="9"/>
    <n v="-1"/>
  </r>
  <r>
    <x v="0"/>
    <x v="0"/>
    <x v="0"/>
    <x v="12"/>
    <x v="14"/>
    <x v="3"/>
    <x v="10"/>
    <n v="-1"/>
  </r>
  <r>
    <x v="0"/>
    <x v="0"/>
    <x v="0"/>
    <x v="12"/>
    <x v="14"/>
    <x v="3"/>
    <x v="11"/>
    <n v="-1"/>
  </r>
  <r>
    <x v="0"/>
    <x v="0"/>
    <x v="0"/>
    <x v="12"/>
    <x v="14"/>
    <x v="4"/>
    <x v="0"/>
    <n v="0"/>
  </r>
  <r>
    <x v="0"/>
    <x v="0"/>
    <x v="0"/>
    <x v="12"/>
    <x v="14"/>
    <x v="4"/>
    <x v="1"/>
    <n v="0"/>
  </r>
  <r>
    <x v="0"/>
    <x v="0"/>
    <x v="0"/>
    <x v="12"/>
    <x v="14"/>
    <x v="4"/>
    <x v="2"/>
    <n v="0"/>
  </r>
  <r>
    <x v="0"/>
    <x v="0"/>
    <x v="0"/>
    <x v="12"/>
    <x v="14"/>
    <x v="4"/>
    <x v="3"/>
    <n v="0"/>
  </r>
  <r>
    <x v="0"/>
    <x v="0"/>
    <x v="0"/>
    <x v="12"/>
    <x v="14"/>
    <x v="4"/>
    <x v="4"/>
    <n v="0"/>
  </r>
  <r>
    <x v="0"/>
    <x v="0"/>
    <x v="0"/>
    <x v="12"/>
    <x v="14"/>
    <x v="4"/>
    <x v="5"/>
    <n v="0"/>
  </r>
  <r>
    <x v="0"/>
    <x v="0"/>
    <x v="0"/>
    <x v="12"/>
    <x v="14"/>
    <x v="4"/>
    <x v="6"/>
    <n v="0"/>
  </r>
  <r>
    <x v="0"/>
    <x v="0"/>
    <x v="0"/>
    <x v="12"/>
    <x v="14"/>
    <x v="4"/>
    <x v="7"/>
    <n v="0"/>
  </r>
  <r>
    <x v="0"/>
    <x v="0"/>
    <x v="0"/>
    <x v="12"/>
    <x v="14"/>
    <x v="4"/>
    <x v="8"/>
    <n v="0"/>
  </r>
  <r>
    <x v="0"/>
    <x v="0"/>
    <x v="0"/>
    <x v="12"/>
    <x v="14"/>
    <x v="4"/>
    <x v="9"/>
    <n v="0"/>
  </r>
  <r>
    <x v="0"/>
    <x v="0"/>
    <x v="0"/>
    <x v="12"/>
    <x v="14"/>
    <x v="4"/>
    <x v="10"/>
    <n v="0"/>
  </r>
  <r>
    <x v="0"/>
    <x v="0"/>
    <x v="0"/>
    <x v="12"/>
    <x v="14"/>
    <x v="4"/>
    <x v="11"/>
    <n v="0"/>
  </r>
  <r>
    <x v="0"/>
    <x v="0"/>
    <x v="0"/>
    <x v="12"/>
    <x v="14"/>
    <x v="5"/>
    <x v="0"/>
    <n v="0"/>
  </r>
  <r>
    <x v="0"/>
    <x v="0"/>
    <x v="0"/>
    <x v="12"/>
    <x v="14"/>
    <x v="5"/>
    <x v="1"/>
    <n v="0"/>
  </r>
  <r>
    <x v="0"/>
    <x v="0"/>
    <x v="0"/>
    <x v="12"/>
    <x v="14"/>
    <x v="5"/>
    <x v="2"/>
    <n v="0"/>
  </r>
  <r>
    <x v="0"/>
    <x v="0"/>
    <x v="0"/>
    <x v="12"/>
    <x v="14"/>
    <x v="5"/>
    <x v="3"/>
    <n v="0"/>
  </r>
  <r>
    <x v="0"/>
    <x v="0"/>
    <x v="0"/>
    <x v="12"/>
    <x v="14"/>
    <x v="5"/>
    <x v="4"/>
    <n v="0"/>
  </r>
  <r>
    <x v="0"/>
    <x v="0"/>
    <x v="0"/>
    <x v="12"/>
    <x v="14"/>
    <x v="5"/>
    <x v="5"/>
    <n v="0"/>
  </r>
  <r>
    <x v="0"/>
    <x v="0"/>
    <x v="0"/>
    <x v="12"/>
    <x v="14"/>
    <x v="5"/>
    <x v="6"/>
    <n v="0"/>
  </r>
  <r>
    <x v="0"/>
    <x v="0"/>
    <x v="0"/>
    <x v="12"/>
    <x v="14"/>
    <x v="5"/>
    <x v="7"/>
    <n v="0"/>
  </r>
  <r>
    <x v="0"/>
    <x v="0"/>
    <x v="0"/>
    <x v="12"/>
    <x v="14"/>
    <x v="5"/>
    <x v="8"/>
    <n v="0"/>
  </r>
  <r>
    <x v="0"/>
    <x v="0"/>
    <x v="0"/>
    <x v="12"/>
    <x v="14"/>
    <x v="5"/>
    <x v="9"/>
    <n v="0"/>
  </r>
  <r>
    <x v="0"/>
    <x v="0"/>
    <x v="0"/>
    <x v="12"/>
    <x v="14"/>
    <x v="5"/>
    <x v="10"/>
    <n v="0"/>
  </r>
  <r>
    <x v="0"/>
    <x v="0"/>
    <x v="0"/>
    <x v="12"/>
    <x v="14"/>
    <x v="5"/>
    <x v="11"/>
    <n v="0"/>
  </r>
  <r>
    <x v="0"/>
    <x v="0"/>
    <x v="0"/>
    <x v="12"/>
    <x v="14"/>
    <x v="6"/>
    <x v="0"/>
    <n v="0"/>
  </r>
  <r>
    <x v="0"/>
    <x v="0"/>
    <x v="0"/>
    <x v="12"/>
    <x v="14"/>
    <x v="6"/>
    <x v="1"/>
    <n v="0"/>
  </r>
  <r>
    <x v="0"/>
    <x v="0"/>
    <x v="0"/>
    <x v="12"/>
    <x v="14"/>
    <x v="6"/>
    <x v="2"/>
    <n v="0"/>
  </r>
  <r>
    <x v="0"/>
    <x v="0"/>
    <x v="0"/>
    <x v="12"/>
    <x v="14"/>
    <x v="6"/>
    <x v="3"/>
    <n v="0"/>
  </r>
  <r>
    <x v="0"/>
    <x v="0"/>
    <x v="0"/>
    <x v="12"/>
    <x v="14"/>
    <x v="6"/>
    <x v="4"/>
    <n v="0"/>
  </r>
  <r>
    <x v="0"/>
    <x v="0"/>
    <x v="0"/>
    <x v="12"/>
    <x v="14"/>
    <x v="6"/>
    <x v="5"/>
    <n v="0"/>
  </r>
  <r>
    <x v="0"/>
    <x v="0"/>
    <x v="0"/>
    <x v="12"/>
    <x v="14"/>
    <x v="6"/>
    <x v="6"/>
    <n v="0"/>
  </r>
  <r>
    <x v="0"/>
    <x v="0"/>
    <x v="0"/>
    <x v="12"/>
    <x v="14"/>
    <x v="6"/>
    <x v="7"/>
    <n v="0"/>
  </r>
  <r>
    <x v="0"/>
    <x v="0"/>
    <x v="0"/>
    <x v="12"/>
    <x v="14"/>
    <x v="6"/>
    <x v="8"/>
    <n v="0"/>
  </r>
  <r>
    <x v="0"/>
    <x v="0"/>
    <x v="0"/>
    <x v="12"/>
    <x v="14"/>
    <x v="6"/>
    <x v="9"/>
    <n v="0"/>
  </r>
  <r>
    <x v="0"/>
    <x v="0"/>
    <x v="0"/>
    <x v="12"/>
    <x v="14"/>
    <x v="6"/>
    <x v="10"/>
    <n v="0"/>
  </r>
  <r>
    <x v="0"/>
    <x v="0"/>
    <x v="0"/>
    <x v="12"/>
    <x v="14"/>
    <x v="6"/>
    <x v="11"/>
    <n v="0"/>
  </r>
  <r>
    <x v="0"/>
    <x v="0"/>
    <x v="0"/>
    <x v="12"/>
    <x v="14"/>
    <x v="7"/>
    <x v="0"/>
    <n v="0"/>
  </r>
  <r>
    <x v="0"/>
    <x v="0"/>
    <x v="0"/>
    <x v="12"/>
    <x v="14"/>
    <x v="7"/>
    <x v="1"/>
    <n v="0"/>
  </r>
  <r>
    <x v="0"/>
    <x v="0"/>
    <x v="0"/>
    <x v="12"/>
    <x v="14"/>
    <x v="7"/>
    <x v="2"/>
    <n v="0"/>
  </r>
  <r>
    <x v="0"/>
    <x v="0"/>
    <x v="0"/>
    <x v="12"/>
    <x v="14"/>
    <x v="7"/>
    <x v="3"/>
    <n v="0"/>
  </r>
  <r>
    <x v="0"/>
    <x v="0"/>
    <x v="0"/>
    <x v="12"/>
    <x v="14"/>
    <x v="7"/>
    <x v="4"/>
    <n v="0"/>
  </r>
  <r>
    <x v="0"/>
    <x v="0"/>
    <x v="0"/>
    <x v="12"/>
    <x v="14"/>
    <x v="7"/>
    <x v="5"/>
    <n v="0"/>
  </r>
  <r>
    <x v="0"/>
    <x v="0"/>
    <x v="0"/>
    <x v="12"/>
    <x v="14"/>
    <x v="7"/>
    <x v="6"/>
    <n v="0"/>
  </r>
  <r>
    <x v="0"/>
    <x v="0"/>
    <x v="0"/>
    <x v="12"/>
    <x v="14"/>
    <x v="7"/>
    <x v="7"/>
    <n v="0"/>
  </r>
  <r>
    <x v="0"/>
    <x v="0"/>
    <x v="0"/>
    <x v="12"/>
    <x v="14"/>
    <x v="7"/>
    <x v="8"/>
    <n v="0"/>
  </r>
  <r>
    <x v="0"/>
    <x v="0"/>
    <x v="0"/>
    <x v="12"/>
    <x v="14"/>
    <x v="7"/>
    <x v="9"/>
    <n v="0"/>
  </r>
  <r>
    <x v="0"/>
    <x v="0"/>
    <x v="0"/>
    <x v="12"/>
    <x v="14"/>
    <x v="7"/>
    <x v="10"/>
    <n v="0"/>
  </r>
  <r>
    <x v="0"/>
    <x v="0"/>
    <x v="0"/>
    <x v="12"/>
    <x v="14"/>
    <x v="7"/>
    <x v="11"/>
    <n v="0"/>
  </r>
  <r>
    <x v="0"/>
    <x v="0"/>
    <x v="0"/>
    <x v="12"/>
    <x v="14"/>
    <x v="8"/>
    <x v="0"/>
    <n v="0"/>
  </r>
  <r>
    <x v="0"/>
    <x v="0"/>
    <x v="0"/>
    <x v="12"/>
    <x v="14"/>
    <x v="8"/>
    <x v="1"/>
    <n v="0"/>
  </r>
  <r>
    <x v="0"/>
    <x v="0"/>
    <x v="0"/>
    <x v="12"/>
    <x v="14"/>
    <x v="8"/>
    <x v="2"/>
    <n v="0"/>
  </r>
  <r>
    <x v="0"/>
    <x v="0"/>
    <x v="0"/>
    <x v="12"/>
    <x v="14"/>
    <x v="8"/>
    <x v="3"/>
    <n v="0"/>
  </r>
  <r>
    <x v="0"/>
    <x v="0"/>
    <x v="0"/>
    <x v="12"/>
    <x v="14"/>
    <x v="8"/>
    <x v="4"/>
    <n v="0"/>
  </r>
  <r>
    <x v="0"/>
    <x v="0"/>
    <x v="0"/>
    <x v="12"/>
    <x v="14"/>
    <x v="8"/>
    <x v="5"/>
    <n v="0"/>
  </r>
  <r>
    <x v="0"/>
    <x v="0"/>
    <x v="0"/>
    <x v="12"/>
    <x v="14"/>
    <x v="8"/>
    <x v="6"/>
    <n v="0"/>
  </r>
  <r>
    <x v="0"/>
    <x v="0"/>
    <x v="0"/>
    <x v="12"/>
    <x v="14"/>
    <x v="8"/>
    <x v="7"/>
    <n v="0"/>
  </r>
  <r>
    <x v="0"/>
    <x v="0"/>
    <x v="0"/>
    <x v="12"/>
    <x v="14"/>
    <x v="8"/>
    <x v="8"/>
    <n v="0"/>
  </r>
  <r>
    <x v="0"/>
    <x v="0"/>
    <x v="0"/>
    <x v="12"/>
    <x v="14"/>
    <x v="8"/>
    <x v="9"/>
    <n v="0"/>
  </r>
  <r>
    <x v="0"/>
    <x v="0"/>
    <x v="0"/>
    <x v="12"/>
    <x v="14"/>
    <x v="8"/>
    <x v="10"/>
    <n v="0"/>
  </r>
  <r>
    <x v="0"/>
    <x v="0"/>
    <x v="0"/>
    <x v="12"/>
    <x v="14"/>
    <x v="8"/>
    <x v="11"/>
    <n v="0"/>
  </r>
  <r>
    <x v="0"/>
    <x v="0"/>
    <x v="0"/>
    <x v="12"/>
    <x v="14"/>
    <x v="9"/>
    <x v="0"/>
    <n v="0"/>
  </r>
  <r>
    <x v="0"/>
    <x v="0"/>
    <x v="0"/>
    <x v="12"/>
    <x v="14"/>
    <x v="9"/>
    <x v="1"/>
    <n v="0"/>
  </r>
  <r>
    <x v="0"/>
    <x v="0"/>
    <x v="0"/>
    <x v="12"/>
    <x v="14"/>
    <x v="9"/>
    <x v="2"/>
    <n v="0"/>
  </r>
  <r>
    <x v="0"/>
    <x v="0"/>
    <x v="0"/>
    <x v="12"/>
    <x v="14"/>
    <x v="9"/>
    <x v="3"/>
    <n v="0"/>
  </r>
  <r>
    <x v="0"/>
    <x v="0"/>
    <x v="0"/>
    <x v="12"/>
    <x v="14"/>
    <x v="9"/>
    <x v="4"/>
    <n v="0"/>
  </r>
  <r>
    <x v="0"/>
    <x v="0"/>
    <x v="0"/>
    <x v="12"/>
    <x v="14"/>
    <x v="9"/>
    <x v="5"/>
    <n v="0"/>
  </r>
  <r>
    <x v="0"/>
    <x v="0"/>
    <x v="0"/>
    <x v="12"/>
    <x v="14"/>
    <x v="9"/>
    <x v="6"/>
    <n v="0"/>
  </r>
  <r>
    <x v="0"/>
    <x v="0"/>
    <x v="0"/>
    <x v="12"/>
    <x v="14"/>
    <x v="9"/>
    <x v="7"/>
    <n v="0"/>
  </r>
  <r>
    <x v="0"/>
    <x v="0"/>
    <x v="0"/>
    <x v="12"/>
    <x v="14"/>
    <x v="9"/>
    <x v="8"/>
    <n v="0"/>
  </r>
  <r>
    <x v="0"/>
    <x v="0"/>
    <x v="0"/>
    <x v="12"/>
    <x v="14"/>
    <x v="9"/>
    <x v="9"/>
    <n v="0.75604493961778596"/>
  </r>
  <r>
    <x v="0"/>
    <x v="0"/>
    <x v="0"/>
    <x v="12"/>
    <x v="14"/>
    <x v="9"/>
    <x v="10"/>
    <n v="0"/>
  </r>
  <r>
    <x v="0"/>
    <x v="0"/>
    <x v="0"/>
    <x v="12"/>
    <x v="14"/>
    <x v="9"/>
    <x v="11"/>
    <n v="0"/>
  </r>
  <r>
    <x v="0"/>
    <x v="0"/>
    <x v="0"/>
    <x v="12"/>
    <x v="14"/>
    <x v="10"/>
    <x v="0"/>
    <n v="0"/>
  </r>
  <r>
    <x v="0"/>
    <x v="0"/>
    <x v="0"/>
    <x v="12"/>
    <x v="14"/>
    <x v="10"/>
    <x v="1"/>
    <n v="0"/>
  </r>
  <r>
    <x v="0"/>
    <x v="0"/>
    <x v="0"/>
    <x v="12"/>
    <x v="14"/>
    <x v="10"/>
    <x v="2"/>
    <n v="0"/>
  </r>
  <r>
    <x v="0"/>
    <x v="0"/>
    <x v="0"/>
    <x v="12"/>
    <x v="14"/>
    <x v="10"/>
    <x v="3"/>
    <n v="0"/>
  </r>
  <r>
    <x v="0"/>
    <x v="0"/>
    <x v="0"/>
    <x v="12"/>
    <x v="14"/>
    <x v="10"/>
    <x v="4"/>
    <n v="1"/>
  </r>
  <r>
    <x v="0"/>
    <x v="0"/>
    <x v="0"/>
    <x v="12"/>
    <x v="14"/>
    <x v="10"/>
    <x v="5"/>
    <n v="0"/>
  </r>
  <r>
    <x v="0"/>
    <x v="0"/>
    <x v="0"/>
    <x v="12"/>
    <x v="14"/>
    <x v="10"/>
    <x v="6"/>
    <n v="0"/>
  </r>
  <r>
    <x v="0"/>
    <x v="0"/>
    <x v="0"/>
    <x v="12"/>
    <x v="14"/>
    <x v="10"/>
    <x v="7"/>
    <n v="0.58572133397397597"/>
  </r>
  <r>
    <x v="0"/>
    <x v="0"/>
    <x v="0"/>
    <x v="12"/>
    <x v="14"/>
    <x v="10"/>
    <x v="8"/>
    <n v="0.56385032855678896"/>
  </r>
  <r>
    <x v="0"/>
    <x v="0"/>
    <x v="0"/>
    <x v="12"/>
    <x v="14"/>
    <x v="10"/>
    <x v="9"/>
    <n v="1"/>
  </r>
  <r>
    <x v="0"/>
    <x v="0"/>
    <x v="0"/>
    <x v="12"/>
    <x v="14"/>
    <x v="10"/>
    <x v="10"/>
    <n v="8.0915325015219003E-2"/>
  </r>
  <r>
    <x v="0"/>
    <x v="0"/>
    <x v="0"/>
    <x v="12"/>
    <x v="14"/>
    <x v="10"/>
    <x v="11"/>
    <n v="0"/>
  </r>
  <r>
    <x v="0"/>
    <x v="0"/>
    <x v="0"/>
    <x v="12"/>
    <x v="14"/>
    <x v="11"/>
    <x v="0"/>
    <n v="0"/>
  </r>
  <r>
    <x v="0"/>
    <x v="0"/>
    <x v="0"/>
    <x v="12"/>
    <x v="14"/>
    <x v="11"/>
    <x v="1"/>
    <n v="0"/>
  </r>
  <r>
    <x v="0"/>
    <x v="0"/>
    <x v="0"/>
    <x v="12"/>
    <x v="14"/>
    <x v="11"/>
    <x v="2"/>
    <n v="0"/>
  </r>
  <r>
    <x v="0"/>
    <x v="0"/>
    <x v="0"/>
    <x v="12"/>
    <x v="14"/>
    <x v="11"/>
    <x v="3"/>
    <n v="0"/>
  </r>
  <r>
    <x v="0"/>
    <x v="0"/>
    <x v="0"/>
    <x v="12"/>
    <x v="14"/>
    <x v="11"/>
    <x v="4"/>
    <n v="6.9578803279849097E-2"/>
  </r>
  <r>
    <x v="0"/>
    <x v="0"/>
    <x v="0"/>
    <x v="12"/>
    <x v="14"/>
    <x v="11"/>
    <x v="5"/>
    <n v="1"/>
  </r>
  <r>
    <x v="0"/>
    <x v="0"/>
    <x v="0"/>
    <x v="12"/>
    <x v="14"/>
    <x v="11"/>
    <x v="6"/>
    <n v="0"/>
  </r>
  <r>
    <x v="0"/>
    <x v="0"/>
    <x v="0"/>
    <x v="12"/>
    <x v="14"/>
    <x v="11"/>
    <x v="7"/>
    <n v="0"/>
  </r>
  <r>
    <x v="0"/>
    <x v="0"/>
    <x v="0"/>
    <x v="12"/>
    <x v="14"/>
    <x v="11"/>
    <x v="8"/>
    <n v="0"/>
  </r>
  <r>
    <x v="0"/>
    <x v="0"/>
    <x v="0"/>
    <x v="12"/>
    <x v="14"/>
    <x v="11"/>
    <x v="9"/>
    <n v="0"/>
  </r>
  <r>
    <x v="0"/>
    <x v="0"/>
    <x v="0"/>
    <x v="12"/>
    <x v="14"/>
    <x v="11"/>
    <x v="10"/>
    <n v="0"/>
  </r>
  <r>
    <x v="0"/>
    <x v="0"/>
    <x v="0"/>
    <x v="12"/>
    <x v="14"/>
    <x v="11"/>
    <x v="11"/>
    <n v="0"/>
  </r>
  <r>
    <x v="0"/>
    <x v="0"/>
    <x v="0"/>
    <x v="13"/>
    <x v="1"/>
    <x v="0"/>
    <x v="0"/>
    <n v="-2"/>
  </r>
  <r>
    <x v="0"/>
    <x v="0"/>
    <x v="0"/>
    <x v="13"/>
    <x v="1"/>
    <x v="0"/>
    <x v="1"/>
    <n v="-2"/>
  </r>
  <r>
    <x v="0"/>
    <x v="0"/>
    <x v="0"/>
    <x v="13"/>
    <x v="1"/>
    <x v="0"/>
    <x v="2"/>
    <n v="-2"/>
  </r>
  <r>
    <x v="0"/>
    <x v="0"/>
    <x v="0"/>
    <x v="13"/>
    <x v="1"/>
    <x v="0"/>
    <x v="3"/>
    <n v="-2"/>
  </r>
  <r>
    <x v="0"/>
    <x v="0"/>
    <x v="0"/>
    <x v="13"/>
    <x v="1"/>
    <x v="0"/>
    <x v="4"/>
    <n v="-2"/>
  </r>
  <r>
    <x v="0"/>
    <x v="0"/>
    <x v="0"/>
    <x v="13"/>
    <x v="1"/>
    <x v="0"/>
    <x v="5"/>
    <n v="-2"/>
  </r>
  <r>
    <x v="0"/>
    <x v="0"/>
    <x v="0"/>
    <x v="13"/>
    <x v="1"/>
    <x v="0"/>
    <x v="6"/>
    <n v="-2"/>
  </r>
  <r>
    <x v="0"/>
    <x v="0"/>
    <x v="0"/>
    <x v="13"/>
    <x v="1"/>
    <x v="0"/>
    <x v="7"/>
    <n v="-2"/>
  </r>
  <r>
    <x v="0"/>
    <x v="0"/>
    <x v="0"/>
    <x v="13"/>
    <x v="1"/>
    <x v="0"/>
    <x v="8"/>
    <n v="-2"/>
  </r>
  <r>
    <x v="0"/>
    <x v="0"/>
    <x v="0"/>
    <x v="13"/>
    <x v="1"/>
    <x v="0"/>
    <x v="9"/>
    <n v="-2"/>
  </r>
  <r>
    <x v="0"/>
    <x v="0"/>
    <x v="0"/>
    <x v="13"/>
    <x v="1"/>
    <x v="0"/>
    <x v="10"/>
    <n v="-2"/>
  </r>
  <r>
    <x v="0"/>
    <x v="0"/>
    <x v="0"/>
    <x v="13"/>
    <x v="1"/>
    <x v="0"/>
    <x v="11"/>
    <n v="-2"/>
  </r>
  <r>
    <x v="0"/>
    <x v="0"/>
    <x v="0"/>
    <x v="13"/>
    <x v="1"/>
    <x v="1"/>
    <x v="0"/>
    <n v="-2"/>
  </r>
  <r>
    <x v="0"/>
    <x v="0"/>
    <x v="0"/>
    <x v="13"/>
    <x v="1"/>
    <x v="1"/>
    <x v="1"/>
    <n v="-2"/>
  </r>
  <r>
    <x v="0"/>
    <x v="0"/>
    <x v="0"/>
    <x v="13"/>
    <x v="1"/>
    <x v="1"/>
    <x v="2"/>
    <n v="-2"/>
  </r>
  <r>
    <x v="0"/>
    <x v="0"/>
    <x v="0"/>
    <x v="13"/>
    <x v="1"/>
    <x v="1"/>
    <x v="3"/>
    <n v="-2"/>
  </r>
  <r>
    <x v="0"/>
    <x v="0"/>
    <x v="0"/>
    <x v="13"/>
    <x v="1"/>
    <x v="1"/>
    <x v="4"/>
    <n v="-2"/>
  </r>
  <r>
    <x v="0"/>
    <x v="0"/>
    <x v="0"/>
    <x v="13"/>
    <x v="1"/>
    <x v="1"/>
    <x v="5"/>
    <n v="-2"/>
  </r>
  <r>
    <x v="0"/>
    <x v="0"/>
    <x v="0"/>
    <x v="13"/>
    <x v="1"/>
    <x v="1"/>
    <x v="6"/>
    <n v="-2"/>
  </r>
  <r>
    <x v="0"/>
    <x v="0"/>
    <x v="0"/>
    <x v="13"/>
    <x v="1"/>
    <x v="1"/>
    <x v="7"/>
    <n v="-2"/>
  </r>
  <r>
    <x v="0"/>
    <x v="0"/>
    <x v="0"/>
    <x v="13"/>
    <x v="1"/>
    <x v="1"/>
    <x v="8"/>
    <n v="-2"/>
  </r>
  <r>
    <x v="0"/>
    <x v="0"/>
    <x v="0"/>
    <x v="13"/>
    <x v="1"/>
    <x v="1"/>
    <x v="9"/>
    <n v="-2"/>
  </r>
  <r>
    <x v="0"/>
    <x v="0"/>
    <x v="0"/>
    <x v="13"/>
    <x v="1"/>
    <x v="1"/>
    <x v="10"/>
    <n v="-2"/>
  </r>
  <r>
    <x v="0"/>
    <x v="0"/>
    <x v="0"/>
    <x v="13"/>
    <x v="1"/>
    <x v="1"/>
    <x v="11"/>
    <n v="-2"/>
  </r>
  <r>
    <x v="0"/>
    <x v="0"/>
    <x v="0"/>
    <x v="13"/>
    <x v="1"/>
    <x v="2"/>
    <x v="0"/>
    <n v="-2"/>
  </r>
  <r>
    <x v="0"/>
    <x v="0"/>
    <x v="0"/>
    <x v="13"/>
    <x v="1"/>
    <x v="2"/>
    <x v="1"/>
    <n v="-2"/>
  </r>
  <r>
    <x v="0"/>
    <x v="0"/>
    <x v="0"/>
    <x v="13"/>
    <x v="1"/>
    <x v="2"/>
    <x v="2"/>
    <n v="-2"/>
  </r>
  <r>
    <x v="0"/>
    <x v="0"/>
    <x v="0"/>
    <x v="13"/>
    <x v="1"/>
    <x v="2"/>
    <x v="3"/>
    <n v="-2"/>
  </r>
  <r>
    <x v="0"/>
    <x v="0"/>
    <x v="0"/>
    <x v="13"/>
    <x v="1"/>
    <x v="2"/>
    <x v="4"/>
    <n v="-2"/>
  </r>
  <r>
    <x v="0"/>
    <x v="0"/>
    <x v="0"/>
    <x v="13"/>
    <x v="1"/>
    <x v="2"/>
    <x v="5"/>
    <n v="-2"/>
  </r>
  <r>
    <x v="0"/>
    <x v="0"/>
    <x v="0"/>
    <x v="13"/>
    <x v="1"/>
    <x v="2"/>
    <x v="6"/>
    <n v="-2"/>
  </r>
  <r>
    <x v="0"/>
    <x v="0"/>
    <x v="0"/>
    <x v="13"/>
    <x v="1"/>
    <x v="2"/>
    <x v="7"/>
    <n v="-2"/>
  </r>
  <r>
    <x v="0"/>
    <x v="0"/>
    <x v="0"/>
    <x v="13"/>
    <x v="1"/>
    <x v="2"/>
    <x v="8"/>
    <n v="-2"/>
  </r>
  <r>
    <x v="0"/>
    <x v="0"/>
    <x v="0"/>
    <x v="13"/>
    <x v="1"/>
    <x v="2"/>
    <x v="9"/>
    <n v="-2"/>
  </r>
  <r>
    <x v="0"/>
    <x v="0"/>
    <x v="0"/>
    <x v="13"/>
    <x v="1"/>
    <x v="2"/>
    <x v="10"/>
    <n v="-2"/>
  </r>
  <r>
    <x v="0"/>
    <x v="0"/>
    <x v="0"/>
    <x v="13"/>
    <x v="1"/>
    <x v="2"/>
    <x v="11"/>
    <n v="-2"/>
  </r>
  <r>
    <x v="0"/>
    <x v="0"/>
    <x v="0"/>
    <x v="13"/>
    <x v="1"/>
    <x v="3"/>
    <x v="0"/>
    <n v="-2"/>
  </r>
  <r>
    <x v="0"/>
    <x v="0"/>
    <x v="0"/>
    <x v="13"/>
    <x v="1"/>
    <x v="3"/>
    <x v="1"/>
    <n v="-2"/>
  </r>
  <r>
    <x v="0"/>
    <x v="0"/>
    <x v="0"/>
    <x v="13"/>
    <x v="1"/>
    <x v="3"/>
    <x v="2"/>
    <n v="-2"/>
  </r>
  <r>
    <x v="0"/>
    <x v="0"/>
    <x v="0"/>
    <x v="13"/>
    <x v="1"/>
    <x v="3"/>
    <x v="3"/>
    <n v="-2"/>
  </r>
  <r>
    <x v="0"/>
    <x v="0"/>
    <x v="0"/>
    <x v="13"/>
    <x v="1"/>
    <x v="3"/>
    <x v="4"/>
    <n v="-2"/>
  </r>
  <r>
    <x v="0"/>
    <x v="0"/>
    <x v="0"/>
    <x v="13"/>
    <x v="1"/>
    <x v="3"/>
    <x v="5"/>
    <n v="-2"/>
  </r>
  <r>
    <x v="0"/>
    <x v="0"/>
    <x v="0"/>
    <x v="13"/>
    <x v="1"/>
    <x v="3"/>
    <x v="6"/>
    <n v="-2"/>
  </r>
  <r>
    <x v="0"/>
    <x v="0"/>
    <x v="0"/>
    <x v="13"/>
    <x v="1"/>
    <x v="3"/>
    <x v="7"/>
    <n v="-2"/>
  </r>
  <r>
    <x v="0"/>
    <x v="0"/>
    <x v="0"/>
    <x v="13"/>
    <x v="1"/>
    <x v="3"/>
    <x v="8"/>
    <n v="-2"/>
  </r>
  <r>
    <x v="0"/>
    <x v="0"/>
    <x v="0"/>
    <x v="13"/>
    <x v="1"/>
    <x v="3"/>
    <x v="9"/>
    <n v="-2"/>
  </r>
  <r>
    <x v="0"/>
    <x v="0"/>
    <x v="0"/>
    <x v="13"/>
    <x v="1"/>
    <x v="3"/>
    <x v="10"/>
    <n v="-2"/>
  </r>
  <r>
    <x v="0"/>
    <x v="0"/>
    <x v="0"/>
    <x v="13"/>
    <x v="1"/>
    <x v="3"/>
    <x v="11"/>
    <n v="-2"/>
  </r>
  <r>
    <x v="0"/>
    <x v="0"/>
    <x v="0"/>
    <x v="13"/>
    <x v="1"/>
    <x v="4"/>
    <x v="0"/>
    <n v="-2"/>
  </r>
  <r>
    <x v="0"/>
    <x v="0"/>
    <x v="0"/>
    <x v="13"/>
    <x v="1"/>
    <x v="4"/>
    <x v="1"/>
    <n v="-2"/>
  </r>
  <r>
    <x v="0"/>
    <x v="0"/>
    <x v="0"/>
    <x v="13"/>
    <x v="1"/>
    <x v="4"/>
    <x v="2"/>
    <n v="-2"/>
  </r>
  <r>
    <x v="0"/>
    <x v="0"/>
    <x v="0"/>
    <x v="13"/>
    <x v="1"/>
    <x v="4"/>
    <x v="3"/>
    <n v="-2"/>
  </r>
  <r>
    <x v="0"/>
    <x v="0"/>
    <x v="0"/>
    <x v="13"/>
    <x v="1"/>
    <x v="4"/>
    <x v="4"/>
    <n v="-2"/>
  </r>
  <r>
    <x v="0"/>
    <x v="0"/>
    <x v="0"/>
    <x v="13"/>
    <x v="1"/>
    <x v="4"/>
    <x v="5"/>
    <n v="-2"/>
  </r>
  <r>
    <x v="0"/>
    <x v="0"/>
    <x v="0"/>
    <x v="13"/>
    <x v="1"/>
    <x v="4"/>
    <x v="6"/>
    <n v="-2"/>
  </r>
  <r>
    <x v="0"/>
    <x v="0"/>
    <x v="0"/>
    <x v="13"/>
    <x v="1"/>
    <x v="4"/>
    <x v="7"/>
    <n v="-2"/>
  </r>
  <r>
    <x v="0"/>
    <x v="0"/>
    <x v="0"/>
    <x v="13"/>
    <x v="1"/>
    <x v="4"/>
    <x v="8"/>
    <n v="-2"/>
  </r>
  <r>
    <x v="0"/>
    <x v="0"/>
    <x v="0"/>
    <x v="13"/>
    <x v="1"/>
    <x v="4"/>
    <x v="9"/>
    <n v="-2"/>
  </r>
  <r>
    <x v="0"/>
    <x v="0"/>
    <x v="0"/>
    <x v="13"/>
    <x v="1"/>
    <x v="4"/>
    <x v="10"/>
    <n v="-2"/>
  </r>
  <r>
    <x v="0"/>
    <x v="0"/>
    <x v="0"/>
    <x v="13"/>
    <x v="1"/>
    <x v="4"/>
    <x v="11"/>
    <n v="-2"/>
  </r>
  <r>
    <x v="0"/>
    <x v="0"/>
    <x v="0"/>
    <x v="13"/>
    <x v="1"/>
    <x v="5"/>
    <x v="0"/>
    <n v="-2"/>
  </r>
  <r>
    <x v="0"/>
    <x v="0"/>
    <x v="0"/>
    <x v="13"/>
    <x v="1"/>
    <x v="5"/>
    <x v="1"/>
    <n v="-2"/>
  </r>
  <r>
    <x v="0"/>
    <x v="0"/>
    <x v="0"/>
    <x v="13"/>
    <x v="1"/>
    <x v="5"/>
    <x v="2"/>
    <n v="-2"/>
  </r>
  <r>
    <x v="0"/>
    <x v="0"/>
    <x v="0"/>
    <x v="13"/>
    <x v="1"/>
    <x v="5"/>
    <x v="3"/>
    <n v="-2"/>
  </r>
  <r>
    <x v="0"/>
    <x v="0"/>
    <x v="0"/>
    <x v="13"/>
    <x v="1"/>
    <x v="5"/>
    <x v="4"/>
    <n v="-2"/>
  </r>
  <r>
    <x v="0"/>
    <x v="0"/>
    <x v="0"/>
    <x v="13"/>
    <x v="1"/>
    <x v="5"/>
    <x v="5"/>
    <n v="-2"/>
  </r>
  <r>
    <x v="0"/>
    <x v="0"/>
    <x v="0"/>
    <x v="13"/>
    <x v="1"/>
    <x v="5"/>
    <x v="6"/>
    <n v="-2"/>
  </r>
  <r>
    <x v="0"/>
    <x v="0"/>
    <x v="0"/>
    <x v="13"/>
    <x v="1"/>
    <x v="5"/>
    <x v="7"/>
    <n v="-2"/>
  </r>
  <r>
    <x v="0"/>
    <x v="0"/>
    <x v="0"/>
    <x v="13"/>
    <x v="1"/>
    <x v="5"/>
    <x v="8"/>
    <n v="-2"/>
  </r>
  <r>
    <x v="0"/>
    <x v="0"/>
    <x v="0"/>
    <x v="13"/>
    <x v="1"/>
    <x v="5"/>
    <x v="9"/>
    <n v="-2"/>
  </r>
  <r>
    <x v="0"/>
    <x v="0"/>
    <x v="0"/>
    <x v="13"/>
    <x v="1"/>
    <x v="5"/>
    <x v="10"/>
    <n v="-2"/>
  </r>
  <r>
    <x v="0"/>
    <x v="0"/>
    <x v="0"/>
    <x v="13"/>
    <x v="1"/>
    <x v="5"/>
    <x v="11"/>
    <n v="-2"/>
  </r>
  <r>
    <x v="0"/>
    <x v="0"/>
    <x v="0"/>
    <x v="13"/>
    <x v="1"/>
    <x v="6"/>
    <x v="0"/>
    <n v="-2"/>
  </r>
  <r>
    <x v="0"/>
    <x v="0"/>
    <x v="0"/>
    <x v="13"/>
    <x v="1"/>
    <x v="6"/>
    <x v="1"/>
    <n v="-2"/>
  </r>
  <r>
    <x v="0"/>
    <x v="0"/>
    <x v="0"/>
    <x v="13"/>
    <x v="1"/>
    <x v="6"/>
    <x v="2"/>
    <n v="-2"/>
  </r>
  <r>
    <x v="0"/>
    <x v="0"/>
    <x v="0"/>
    <x v="13"/>
    <x v="1"/>
    <x v="6"/>
    <x v="3"/>
    <n v="-2"/>
  </r>
  <r>
    <x v="0"/>
    <x v="0"/>
    <x v="0"/>
    <x v="13"/>
    <x v="1"/>
    <x v="6"/>
    <x v="4"/>
    <n v="-2"/>
  </r>
  <r>
    <x v="0"/>
    <x v="0"/>
    <x v="0"/>
    <x v="13"/>
    <x v="1"/>
    <x v="6"/>
    <x v="5"/>
    <n v="-2"/>
  </r>
  <r>
    <x v="0"/>
    <x v="0"/>
    <x v="0"/>
    <x v="13"/>
    <x v="1"/>
    <x v="6"/>
    <x v="6"/>
    <n v="-2"/>
  </r>
  <r>
    <x v="0"/>
    <x v="0"/>
    <x v="0"/>
    <x v="13"/>
    <x v="1"/>
    <x v="6"/>
    <x v="7"/>
    <n v="-2"/>
  </r>
  <r>
    <x v="0"/>
    <x v="0"/>
    <x v="0"/>
    <x v="13"/>
    <x v="1"/>
    <x v="6"/>
    <x v="8"/>
    <n v="-2"/>
  </r>
  <r>
    <x v="0"/>
    <x v="0"/>
    <x v="0"/>
    <x v="13"/>
    <x v="1"/>
    <x v="6"/>
    <x v="9"/>
    <n v="-2"/>
  </r>
  <r>
    <x v="0"/>
    <x v="0"/>
    <x v="0"/>
    <x v="13"/>
    <x v="1"/>
    <x v="6"/>
    <x v="10"/>
    <n v="-2"/>
  </r>
  <r>
    <x v="0"/>
    <x v="0"/>
    <x v="0"/>
    <x v="13"/>
    <x v="1"/>
    <x v="6"/>
    <x v="11"/>
    <n v="-2"/>
  </r>
  <r>
    <x v="0"/>
    <x v="0"/>
    <x v="0"/>
    <x v="13"/>
    <x v="1"/>
    <x v="7"/>
    <x v="0"/>
    <n v="-2"/>
  </r>
  <r>
    <x v="0"/>
    <x v="0"/>
    <x v="0"/>
    <x v="13"/>
    <x v="1"/>
    <x v="7"/>
    <x v="1"/>
    <n v="-2"/>
  </r>
  <r>
    <x v="0"/>
    <x v="0"/>
    <x v="0"/>
    <x v="13"/>
    <x v="1"/>
    <x v="7"/>
    <x v="2"/>
    <n v="-2"/>
  </r>
  <r>
    <x v="0"/>
    <x v="0"/>
    <x v="0"/>
    <x v="13"/>
    <x v="1"/>
    <x v="7"/>
    <x v="3"/>
    <n v="-2"/>
  </r>
  <r>
    <x v="0"/>
    <x v="0"/>
    <x v="0"/>
    <x v="13"/>
    <x v="1"/>
    <x v="7"/>
    <x v="4"/>
    <n v="-2"/>
  </r>
  <r>
    <x v="0"/>
    <x v="0"/>
    <x v="0"/>
    <x v="13"/>
    <x v="1"/>
    <x v="7"/>
    <x v="5"/>
    <n v="-2"/>
  </r>
  <r>
    <x v="0"/>
    <x v="0"/>
    <x v="0"/>
    <x v="13"/>
    <x v="1"/>
    <x v="7"/>
    <x v="6"/>
    <n v="-2"/>
  </r>
  <r>
    <x v="0"/>
    <x v="0"/>
    <x v="0"/>
    <x v="13"/>
    <x v="1"/>
    <x v="7"/>
    <x v="7"/>
    <n v="-2"/>
  </r>
  <r>
    <x v="0"/>
    <x v="0"/>
    <x v="0"/>
    <x v="13"/>
    <x v="1"/>
    <x v="7"/>
    <x v="8"/>
    <n v="-2"/>
  </r>
  <r>
    <x v="0"/>
    <x v="0"/>
    <x v="0"/>
    <x v="13"/>
    <x v="1"/>
    <x v="7"/>
    <x v="9"/>
    <n v="-2"/>
  </r>
  <r>
    <x v="0"/>
    <x v="0"/>
    <x v="0"/>
    <x v="13"/>
    <x v="1"/>
    <x v="7"/>
    <x v="10"/>
    <n v="-2"/>
  </r>
  <r>
    <x v="0"/>
    <x v="0"/>
    <x v="0"/>
    <x v="13"/>
    <x v="1"/>
    <x v="7"/>
    <x v="11"/>
    <n v="-2"/>
  </r>
  <r>
    <x v="0"/>
    <x v="0"/>
    <x v="0"/>
    <x v="13"/>
    <x v="1"/>
    <x v="8"/>
    <x v="0"/>
    <n v="-2"/>
  </r>
  <r>
    <x v="0"/>
    <x v="0"/>
    <x v="0"/>
    <x v="13"/>
    <x v="1"/>
    <x v="8"/>
    <x v="1"/>
    <n v="-2"/>
  </r>
  <r>
    <x v="0"/>
    <x v="0"/>
    <x v="0"/>
    <x v="13"/>
    <x v="1"/>
    <x v="8"/>
    <x v="2"/>
    <n v="-2"/>
  </r>
  <r>
    <x v="0"/>
    <x v="0"/>
    <x v="0"/>
    <x v="13"/>
    <x v="1"/>
    <x v="8"/>
    <x v="3"/>
    <n v="-2"/>
  </r>
  <r>
    <x v="0"/>
    <x v="0"/>
    <x v="0"/>
    <x v="13"/>
    <x v="1"/>
    <x v="8"/>
    <x v="4"/>
    <n v="-2"/>
  </r>
  <r>
    <x v="0"/>
    <x v="0"/>
    <x v="0"/>
    <x v="13"/>
    <x v="1"/>
    <x v="8"/>
    <x v="5"/>
    <n v="-2"/>
  </r>
  <r>
    <x v="0"/>
    <x v="0"/>
    <x v="0"/>
    <x v="13"/>
    <x v="1"/>
    <x v="8"/>
    <x v="6"/>
    <n v="-2"/>
  </r>
  <r>
    <x v="0"/>
    <x v="0"/>
    <x v="0"/>
    <x v="13"/>
    <x v="1"/>
    <x v="8"/>
    <x v="7"/>
    <n v="-2"/>
  </r>
  <r>
    <x v="0"/>
    <x v="0"/>
    <x v="0"/>
    <x v="13"/>
    <x v="1"/>
    <x v="8"/>
    <x v="8"/>
    <n v="-2"/>
  </r>
  <r>
    <x v="0"/>
    <x v="0"/>
    <x v="0"/>
    <x v="13"/>
    <x v="1"/>
    <x v="8"/>
    <x v="9"/>
    <n v="-2"/>
  </r>
  <r>
    <x v="0"/>
    <x v="0"/>
    <x v="0"/>
    <x v="13"/>
    <x v="1"/>
    <x v="8"/>
    <x v="10"/>
    <n v="-2"/>
  </r>
  <r>
    <x v="0"/>
    <x v="0"/>
    <x v="0"/>
    <x v="13"/>
    <x v="1"/>
    <x v="8"/>
    <x v="11"/>
    <n v="-2"/>
  </r>
  <r>
    <x v="0"/>
    <x v="0"/>
    <x v="0"/>
    <x v="13"/>
    <x v="1"/>
    <x v="9"/>
    <x v="0"/>
    <n v="-2"/>
  </r>
  <r>
    <x v="0"/>
    <x v="0"/>
    <x v="0"/>
    <x v="13"/>
    <x v="1"/>
    <x v="9"/>
    <x v="1"/>
    <n v="-2"/>
  </r>
  <r>
    <x v="0"/>
    <x v="0"/>
    <x v="0"/>
    <x v="13"/>
    <x v="1"/>
    <x v="9"/>
    <x v="2"/>
    <n v="-2"/>
  </r>
  <r>
    <x v="0"/>
    <x v="0"/>
    <x v="0"/>
    <x v="13"/>
    <x v="1"/>
    <x v="9"/>
    <x v="3"/>
    <n v="-2"/>
  </r>
  <r>
    <x v="0"/>
    <x v="0"/>
    <x v="0"/>
    <x v="13"/>
    <x v="1"/>
    <x v="9"/>
    <x v="4"/>
    <n v="-2"/>
  </r>
  <r>
    <x v="0"/>
    <x v="0"/>
    <x v="0"/>
    <x v="13"/>
    <x v="1"/>
    <x v="9"/>
    <x v="5"/>
    <n v="-2"/>
  </r>
  <r>
    <x v="0"/>
    <x v="0"/>
    <x v="0"/>
    <x v="13"/>
    <x v="1"/>
    <x v="9"/>
    <x v="6"/>
    <n v="-2"/>
  </r>
  <r>
    <x v="0"/>
    <x v="0"/>
    <x v="0"/>
    <x v="13"/>
    <x v="1"/>
    <x v="9"/>
    <x v="7"/>
    <n v="-2"/>
  </r>
  <r>
    <x v="0"/>
    <x v="0"/>
    <x v="0"/>
    <x v="13"/>
    <x v="1"/>
    <x v="9"/>
    <x v="8"/>
    <n v="-2"/>
  </r>
  <r>
    <x v="0"/>
    <x v="0"/>
    <x v="0"/>
    <x v="13"/>
    <x v="1"/>
    <x v="9"/>
    <x v="9"/>
    <n v="-2"/>
  </r>
  <r>
    <x v="0"/>
    <x v="0"/>
    <x v="0"/>
    <x v="13"/>
    <x v="1"/>
    <x v="9"/>
    <x v="10"/>
    <n v="-2"/>
  </r>
  <r>
    <x v="0"/>
    <x v="0"/>
    <x v="0"/>
    <x v="13"/>
    <x v="1"/>
    <x v="9"/>
    <x v="11"/>
    <n v="-2"/>
  </r>
  <r>
    <x v="0"/>
    <x v="0"/>
    <x v="0"/>
    <x v="13"/>
    <x v="1"/>
    <x v="10"/>
    <x v="0"/>
    <n v="-2"/>
  </r>
  <r>
    <x v="0"/>
    <x v="0"/>
    <x v="0"/>
    <x v="13"/>
    <x v="1"/>
    <x v="10"/>
    <x v="1"/>
    <n v="-2"/>
  </r>
  <r>
    <x v="0"/>
    <x v="0"/>
    <x v="0"/>
    <x v="13"/>
    <x v="1"/>
    <x v="10"/>
    <x v="2"/>
    <n v="-2"/>
  </r>
  <r>
    <x v="0"/>
    <x v="0"/>
    <x v="0"/>
    <x v="13"/>
    <x v="1"/>
    <x v="10"/>
    <x v="3"/>
    <n v="-2"/>
  </r>
  <r>
    <x v="0"/>
    <x v="0"/>
    <x v="0"/>
    <x v="13"/>
    <x v="1"/>
    <x v="10"/>
    <x v="4"/>
    <n v="-2"/>
  </r>
  <r>
    <x v="0"/>
    <x v="0"/>
    <x v="0"/>
    <x v="13"/>
    <x v="1"/>
    <x v="10"/>
    <x v="5"/>
    <n v="-2"/>
  </r>
  <r>
    <x v="0"/>
    <x v="0"/>
    <x v="0"/>
    <x v="13"/>
    <x v="1"/>
    <x v="10"/>
    <x v="6"/>
    <n v="-2"/>
  </r>
  <r>
    <x v="0"/>
    <x v="0"/>
    <x v="0"/>
    <x v="13"/>
    <x v="1"/>
    <x v="10"/>
    <x v="7"/>
    <n v="-2"/>
  </r>
  <r>
    <x v="0"/>
    <x v="0"/>
    <x v="0"/>
    <x v="13"/>
    <x v="1"/>
    <x v="10"/>
    <x v="8"/>
    <n v="-2"/>
  </r>
  <r>
    <x v="0"/>
    <x v="0"/>
    <x v="0"/>
    <x v="13"/>
    <x v="1"/>
    <x v="10"/>
    <x v="9"/>
    <n v="-2"/>
  </r>
  <r>
    <x v="0"/>
    <x v="0"/>
    <x v="0"/>
    <x v="13"/>
    <x v="1"/>
    <x v="10"/>
    <x v="10"/>
    <n v="-2"/>
  </r>
  <r>
    <x v="0"/>
    <x v="0"/>
    <x v="0"/>
    <x v="13"/>
    <x v="1"/>
    <x v="10"/>
    <x v="11"/>
    <n v="-2"/>
  </r>
  <r>
    <x v="0"/>
    <x v="0"/>
    <x v="0"/>
    <x v="13"/>
    <x v="1"/>
    <x v="11"/>
    <x v="0"/>
    <n v="-2"/>
  </r>
  <r>
    <x v="0"/>
    <x v="0"/>
    <x v="0"/>
    <x v="13"/>
    <x v="1"/>
    <x v="11"/>
    <x v="1"/>
    <n v="-2"/>
  </r>
  <r>
    <x v="0"/>
    <x v="0"/>
    <x v="0"/>
    <x v="13"/>
    <x v="1"/>
    <x v="11"/>
    <x v="2"/>
    <n v="-2"/>
  </r>
  <r>
    <x v="0"/>
    <x v="0"/>
    <x v="0"/>
    <x v="13"/>
    <x v="1"/>
    <x v="11"/>
    <x v="3"/>
    <n v="-2"/>
  </r>
  <r>
    <x v="0"/>
    <x v="0"/>
    <x v="0"/>
    <x v="13"/>
    <x v="1"/>
    <x v="11"/>
    <x v="4"/>
    <n v="-2"/>
  </r>
  <r>
    <x v="0"/>
    <x v="0"/>
    <x v="0"/>
    <x v="13"/>
    <x v="1"/>
    <x v="11"/>
    <x v="5"/>
    <n v="-2"/>
  </r>
  <r>
    <x v="0"/>
    <x v="0"/>
    <x v="0"/>
    <x v="13"/>
    <x v="1"/>
    <x v="11"/>
    <x v="6"/>
    <n v="-2"/>
  </r>
  <r>
    <x v="0"/>
    <x v="0"/>
    <x v="0"/>
    <x v="13"/>
    <x v="1"/>
    <x v="11"/>
    <x v="7"/>
    <n v="-2"/>
  </r>
  <r>
    <x v="0"/>
    <x v="0"/>
    <x v="0"/>
    <x v="13"/>
    <x v="1"/>
    <x v="11"/>
    <x v="8"/>
    <n v="-2"/>
  </r>
  <r>
    <x v="0"/>
    <x v="0"/>
    <x v="0"/>
    <x v="13"/>
    <x v="1"/>
    <x v="11"/>
    <x v="9"/>
    <n v="-2"/>
  </r>
  <r>
    <x v="0"/>
    <x v="0"/>
    <x v="0"/>
    <x v="13"/>
    <x v="1"/>
    <x v="11"/>
    <x v="10"/>
    <n v="-2"/>
  </r>
  <r>
    <x v="0"/>
    <x v="0"/>
    <x v="0"/>
    <x v="13"/>
    <x v="1"/>
    <x v="11"/>
    <x v="11"/>
    <n v="-2"/>
  </r>
  <r>
    <x v="0"/>
    <x v="0"/>
    <x v="0"/>
    <x v="14"/>
    <x v="6"/>
    <x v="0"/>
    <x v="0"/>
    <n v="0"/>
  </r>
  <r>
    <x v="0"/>
    <x v="0"/>
    <x v="0"/>
    <x v="14"/>
    <x v="6"/>
    <x v="0"/>
    <x v="1"/>
    <n v="0"/>
  </r>
  <r>
    <x v="0"/>
    <x v="0"/>
    <x v="0"/>
    <x v="14"/>
    <x v="6"/>
    <x v="0"/>
    <x v="2"/>
    <n v="0"/>
  </r>
  <r>
    <x v="0"/>
    <x v="0"/>
    <x v="0"/>
    <x v="14"/>
    <x v="6"/>
    <x v="0"/>
    <x v="3"/>
    <n v="0"/>
  </r>
  <r>
    <x v="0"/>
    <x v="0"/>
    <x v="0"/>
    <x v="14"/>
    <x v="6"/>
    <x v="0"/>
    <x v="4"/>
    <n v="0"/>
  </r>
  <r>
    <x v="0"/>
    <x v="0"/>
    <x v="0"/>
    <x v="14"/>
    <x v="6"/>
    <x v="0"/>
    <x v="5"/>
    <n v="0"/>
  </r>
  <r>
    <x v="0"/>
    <x v="0"/>
    <x v="0"/>
    <x v="14"/>
    <x v="6"/>
    <x v="0"/>
    <x v="6"/>
    <n v="0"/>
  </r>
  <r>
    <x v="0"/>
    <x v="0"/>
    <x v="0"/>
    <x v="14"/>
    <x v="6"/>
    <x v="0"/>
    <x v="7"/>
    <n v="0"/>
  </r>
  <r>
    <x v="0"/>
    <x v="0"/>
    <x v="0"/>
    <x v="14"/>
    <x v="6"/>
    <x v="0"/>
    <x v="8"/>
    <n v="0"/>
  </r>
  <r>
    <x v="0"/>
    <x v="0"/>
    <x v="0"/>
    <x v="14"/>
    <x v="6"/>
    <x v="0"/>
    <x v="9"/>
    <n v="0"/>
  </r>
  <r>
    <x v="0"/>
    <x v="0"/>
    <x v="0"/>
    <x v="14"/>
    <x v="6"/>
    <x v="0"/>
    <x v="10"/>
    <n v="0"/>
  </r>
  <r>
    <x v="0"/>
    <x v="0"/>
    <x v="0"/>
    <x v="14"/>
    <x v="6"/>
    <x v="0"/>
    <x v="11"/>
    <n v="0"/>
  </r>
  <r>
    <x v="0"/>
    <x v="0"/>
    <x v="0"/>
    <x v="14"/>
    <x v="6"/>
    <x v="1"/>
    <x v="0"/>
    <n v="0"/>
  </r>
  <r>
    <x v="0"/>
    <x v="0"/>
    <x v="0"/>
    <x v="14"/>
    <x v="6"/>
    <x v="1"/>
    <x v="1"/>
    <n v="0"/>
  </r>
  <r>
    <x v="0"/>
    <x v="0"/>
    <x v="0"/>
    <x v="14"/>
    <x v="6"/>
    <x v="1"/>
    <x v="2"/>
    <n v="0"/>
  </r>
  <r>
    <x v="0"/>
    <x v="0"/>
    <x v="0"/>
    <x v="14"/>
    <x v="6"/>
    <x v="1"/>
    <x v="3"/>
    <n v="0"/>
  </r>
  <r>
    <x v="0"/>
    <x v="0"/>
    <x v="0"/>
    <x v="14"/>
    <x v="6"/>
    <x v="1"/>
    <x v="4"/>
    <n v="0"/>
  </r>
  <r>
    <x v="0"/>
    <x v="0"/>
    <x v="0"/>
    <x v="14"/>
    <x v="6"/>
    <x v="1"/>
    <x v="5"/>
    <n v="0"/>
  </r>
  <r>
    <x v="0"/>
    <x v="0"/>
    <x v="0"/>
    <x v="14"/>
    <x v="6"/>
    <x v="1"/>
    <x v="6"/>
    <n v="0"/>
  </r>
  <r>
    <x v="0"/>
    <x v="0"/>
    <x v="0"/>
    <x v="14"/>
    <x v="6"/>
    <x v="1"/>
    <x v="7"/>
    <n v="0"/>
  </r>
  <r>
    <x v="0"/>
    <x v="0"/>
    <x v="0"/>
    <x v="14"/>
    <x v="6"/>
    <x v="1"/>
    <x v="8"/>
    <n v="0"/>
  </r>
  <r>
    <x v="0"/>
    <x v="0"/>
    <x v="0"/>
    <x v="14"/>
    <x v="6"/>
    <x v="1"/>
    <x v="9"/>
    <n v="0"/>
  </r>
  <r>
    <x v="0"/>
    <x v="0"/>
    <x v="0"/>
    <x v="14"/>
    <x v="6"/>
    <x v="1"/>
    <x v="10"/>
    <n v="0"/>
  </r>
  <r>
    <x v="0"/>
    <x v="0"/>
    <x v="0"/>
    <x v="14"/>
    <x v="6"/>
    <x v="1"/>
    <x v="11"/>
    <n v="0"/>
  </r>
  <r>
    <x v="0"/>
    <x v="0"/>
    <x v="0"/>
    <x v="14"/>
    <x v="6"/>
    <x v="2"/>
    <x v="0"/>
    <n v="0"/>
  </r>
  <r>
    <x v="0"/>
    <x v="0"/>
    <x v="0"/>
    <x v="14"/>
    <x v="6"/>
    <x v="2"/>
    <x v="1"/>
    <n v="0"/>
  </r>
  <r>
    <x v="0"/>
    <x v="0"/>
    <x v="0"/>
    <x v="14"/>
    <x v="6"/>
    <x v="2"/>
    <x v="2"/>
    <n v="0"/>
  </r>
  <r>
    <x v="0"/>
    <x v="0"/>
    <x v="0"/>
    <x v="14"/>
    <x v="6"/>
    <x v="2"/>
    <x v="3"/>
    <n v="0"/>
  </r>
  <r>
    <x v="0"/>
    <x v="0"/>
    <x v="0"/>
    <x v="14"/>
    <x v="6"/>
    <x v="2"/>
    <x v="4"/>
    <n v="0"/>
  </r>
  <r>
    <x v="0"/>
    <x v="0"/>
    <x v="0"/>
    <x v="14"/>
    <x v="6"/>
    <x v="2"/>
    <x v="5"/>
    <n v="0"/>
  </r>
  <r>
    <x v="0"/>
    <x v="0"/>
    <x v="0"/>
    <x v="14"/>
    <x v="6"/>
    <x v="2"/>
    <x v="6"/>
    <n v="0"/>
  </r>
  <r>
    <x v="0"/>
    <x v="0"/>
    <x v="0"/>
    <x v="14"/>
    <x v="6"/>
    <x v="2"/>
    <x v="7"/>
    <n v="0"/>
  </r>
  <r>
    <x v="0"/>
    <x v="0"/>
    <x v="0"/>
    <x v="14"/>
    <x v="6"/>
    <x v="2"/>
    <x v="8"/>
    <n v="0"/>
  </r>
  <r>
    <x v="0"/>
    <x v="0"/>
    <x v="0"/>
    <x v="14"/>
    <x v="6"/>
    <x v="2"/>
    <x v="9"/>
    <n v="0"/>
  </r>
  <r>
    <x v="0"/>
    <x v="0"/>
    <x v="0"/>
    <x v="14"/>
    <x v="6"/>
    <x v="2"/>
    <x v="10"/>
    <n v="0"/>
  </r>
  <r>
    <x v="0"/>
    <x v="0"/>
    <x v="0"/>
    <x v="14"/>
    <x v="6"/>
    <x v="2"/>
    <x v="11"/>
    <n v="0"/>
  </r>
  <r>
    <x v="0"/>
    <x v="0"/>
    <x v="0"/>
    <x v="14"/>
    <x v="6"/>
    <x v="3"/>
    <x v="0"/>
    <n v="0"/>
  </r>
  <r>
    <x v="0"/>
    <x v="0"/>
    <x v="0"/>
    <x v="14"/>
    <x v="6"/>
    <x v="3"/>
    <x v="1"/>
    <n v="0"/>
  </r>
  <r>
    <x v="0"/>
    <x v="0"/>
    <x v="0"/>
    <x v="14"/>
    <x v="6"/>
    <x v="3"/>
    <x v="2"/>
    <n v="0"/>
  </r>
  <r>
    <x v="0"/>
    <x v="0"/>
    <x v="0"/>
    <x v="14"/>
    <x v="6"/>
    <x v="3"/>
    <x v="3"/>
    <n v="0"/>
  </r>
  <r>
    <x v="0"/>
    <x v="0"/>
    <x v="0"/>
    <x v="14"/>
    <x v="6"/>
    <x v="3"/>
    <x v="4"/>
    <n v="0"/>
  </r>
  <r>
    <x v="0"/>
    <x v="0"/>
    <x v="0"/>
    <x v="14"/>
    <x v="6"/>
    <x v="3"/>
    <x v="5"/>
    <n v="0"/>
  </r>
  <r>
    <x v="0"/>
    <x v="0"/>
    <x v="0"/>
    <x v="14"/>
    <x v="6"/>
    <x v="3"/>
    <x v="6"/>
    <n v="0"/>
  </r>
  <r>
    <x v="0"/>
    <x v="0"/>
    <x v="0"/>
    <x v="14"/>
    <x v="6"/>
    <x v="3"/>
    <x v="7"/>
    <n v="0"/>
  </r>
  <r>
    <x v="0"/>
    <x v="0"/>
    <x v="0"/>
    <x v="14"/>
    <x v="6"/>
    <x v="3"/>
    <x v="8"/>
    <n v="0"/>
  </r>
  <r>
    <x v="0"/>
    <x v="0"/>
    <x v="0"/>
    <x v="14"/>
    <x v="6"/>
    <x v="3"/>
    <x v="9"/>
    <n v="0"/>
  </r>
  <r>
    <x v="0"/>
    <x v="0"/>
    <x v="0"/>
    <x v="14"/>
    <x v="6"/>
    <x v="3"/>
    <x v="10"/>
    <n v="0"/>
  </r>
  <r>
    <x v="0"/>
    <x v="0"/>
    <x v="0"/>
    <x v="14"/>
    <x v="6"/>
    <x v="3"/>
    <x v="11"/>
    <n v="0"/>
  </r>
  <r>
    <x v="0"/>
    <x v="0"/>
    <x v="0"/>
    <x v="14"/>
    <x v="6"/>
    <x v="4"/>
    <x v="0"/>
    <n v="1.3"/>
  </r>
  <r>
    <x v="0"/>
    <x v="0"/>
    <x v="0"/>
    <x v="14"/>
    <x v="6"/>
    <x v="4"/>
    <x v="1"/>
    <n v="1.3"/>
  </r>
  <r>
    <x v="0"/>
    <x v="0"/>
    <x v="0"/>
    <x v="14"/>
    <x v="6"/>
    <x v="4"/>
    <x v="2"/>
    <n v="1.3"/>
  </r>
  <r>
    <x v="0"/>
    <x v="0"/>
    <x v="0"/>
    <x v="14"/>
    <x v="6"/>
    <x v="4"/>
    <x v="3"/>
    <n v="1.3"/>
  </r>
  <r>
    <x v="0"/>
    <x v="0"/>
    <x v="0"/>
    <x v="14"/>
    <x v="6"/>
    <x v="4"/>
    <x v="4"/>
    <n v="1.3"/>
  </r>
  <r>
    <x v="0"/>
    <x v="0"/>
    <x v="0"/>
    <x v="14"/>
    <x v="6"/>
    <x v="4"/>
    <x v="5"/>
    <n v="1.3"/>
  </r>
  <r>
    <x v="0"/>
    <x v="0"/>
    <x v="0"/>
    <x v="14"/>
    <x v="6"/>
    <x v="4"/>
    <x v="6"/>
    <n v="1.3"/>
  </r>
  <r>
    <x v="0"/>
    <x v="0"/>
    <x v="0"/>
    <x v="14"/>
    <x v="6"/>
    <x v="4"/>
    <x v="7"/>
    <n v="1.3"/>
  </r>
  <r>
    <x v="0"/>
    <x v="0"/>
    <x v="0"/>
    <x v="14"/>
    <x v="6"/>
    <x v="4"/>
    <x v="8"/>
    <n v="1.3"/>
  </r>
  <r>
    <x v="0"/>
    <x v="0"/>
    <x v="0"/>
    <x v="14"/>
    <x v="6"/>
    <x v="4"/>
    <x v="9"/>
    <n v="1.3"/>
  </r>
  <r>
    <x v="0"/>
    <x v="0"/>
    <x v="0"/>
    <x v="14"/>
    <x v="6"/>
    <x v="4"/>
    <x v="10"/>
    <n v="1.3"/>
  </r>
  <r>
    <x v="0"/>
    <x v="0"/>
    <x v="0"/>
    <x v="14"/>
    <x v="6"/>
    <x v="4"/>
    <x v="11"/>
    <n v="1.3"/>
  </r>
  <r>
    <x v="0"/>
    <x v="0"/>
    <x v="0"/>
    <x v="14"/>
    <x v="6"/>
    <x v="5"/>
    <x v="0"/>
    <n v="1.3"/>
  </r>
  <r>
    <x v="0"/>
    <x v="0"/>
    <x v="0"/>
    <x v="14"/>
    <x v="6"/>
    <x v="5"/>
    <x v="1"/>
    <n v="1.3"/>
  </r>
  <r>
    <x v="0"/>
    <x v="0"/>
    <x v="0"/>
    <x v="14"/>
    <x v="6"/>
    <x v="5"/>
    <x v="2"/>
    <n v="1.3"/>
  </r>
  <r>
    <x v="0"/>
    <x v="0"/>
    <x v="0"/>
    <x v="14"/>
    <x v="6"/>
    <x v="5"/>
    <x v="3"/>
    <n v="1.3"/>
  </r>
  <r>
    <x v="0"/>
    <x v="0"/>
    <x v="0"/>
    <x v="14"/>
    <x v="6"/>
    <x v="5"/>
    <x v="4"/>
    <n v="1.3"/>
  </r>
  <r>
    <x v="0"/>
    <x v="0"/>
    <x v="0"/>
    <x v="14"/>
    <x v="6"/>
    <x v="5"/>
    <x v="5"/>
    <n v="1.3"/>
  </r>
  <r>
    <x v="0"/>
    <x v="0"/>
    <x v="0"/>
    <x v="14"/>
    <x v="6"/>
    <x v="5"/>
    <x v="6"/>
    <n v="1.3"/>
  </r>
  <r>
    <x v="0"/>
    <x v="0"/>
    <x v="0"/>
    <x v="14"/>
    <x v="6"/>
    <x v="5"/>
    <x v="7"/>
    <n v="1.3"/>
  </r>
  <r>
    <x v="0"/>
    <x v="0"/>
    <x v="0"/>
    <x v="14"/>
    <x v="6"/>
    <x v="5"/>
    <x v="8"/>
    <n v="1.3"/>
  </r>
  <r>
    <x v="0"/>
    <x v="0"/>
    <x v="0"/>
    <x v="14"/>
    <x v="6"/>
    <x v="5"/>
    <x v="9"/>
    <n v="1.3"/>
  </r>
  <r>
    <x v="0"/>
    <x v="0"/>
    <x v="0"/>
    <x v="14"/>
    <x v="6"/>
    <x v="5"/>
    <x v="10"/>
    <n v="1.3"/>
  </r>
  <r>
    <x v="0"/>
    <x v="0"/>
    <x v="0"/>
    <x v="14"/>
    <x v="6"/>
    <x v="5"/>
    <x v="11"/>
    <n v="1.3"/>
  </r>
  <r>
    <x v="0"/>
    <x v="0"/>
    <x v="0"/>
    <x v="14"/>
    <x v="6"/>
    <x v="6"/>
    <x v="0"/>
    <n v="1.3"/>
  </r>
  <r>
    <x v="0"/>
    <x v="0"/>
    <x v="0"/>
    <x v="14"/>
    <x v="6"/>
    <x v="6"/>
    <x v="1"/>
    <n v="1.3"/>
  </r>
  <r>
    <x v="0"/>
    <x v="0"/>
    <x v="0"/>
    <x v="14"/>
    <x v="6"/>
    <x v="6"/>
    <x v="2"/>
    <n v="1.3"/>
  </r>
  <r>
    <x v="0"/>
    <x v="0"/>
    <x v="0"/>
    <x v="14"/>
    <x v="6"/>
    <x v="6"/>
    <x v="3"/>
    <n v="1.3"/>
  </r>
  <r>
    <x v="0"/>
    <x v="0"/>
    <x v="0"/>
    <x v="14"/>
    <x v="6"/>
    <x v="6"/>
    <x v="4"/>
    <n v="1.3"/>
  </r>
  <r>
    <x v="0"/>
    <x v="0"/>
    <x v="0"/>
    <x v="14"/>
    <x v="6"/>
    <x v="6"/>
    <x v="5"/>
    <n v="1.3"/>
  </r>
  <r>
    <x v="0"/>
    <x v="0"/>
    <x v="0"/>
    <x v="14"/>
    <x v="6"/>
    <x v="6"/>
    <x v="6"/>
    <n v="1.3"/>
  </r>
  <r>
    <x v="0"/>
    <x v="0"/>
    <x v="0"/>
    <x v="14"/>
    <x v="6"/>
    <x v="6"/>
    <x v="7"/>
    <n v="1.3"/>
  </r>
  <r>
    <x v="0"/>
    <x v="0"/>
    <x v="0"/>
    <x v="14"/>
    <x v="6"/>
    <x v="6"/>
    <x v="8"/>
    <n v="1.3"/>
  </r>
  <r>
    <x v="0"/>
    <x v="0"/>
    <x v="0"/>
    <x v="14"/>
    <x v="6"/>
    <x v="6"/>
    <x v="9"/>
    <n v="1.3"/>
  </r>
  <r>
    <x v="0"/>
    <x v="0"/>
    <x v="0"/>
    <x v="14"/>
    <x v="6"/>
    <x v="6"/>
    <x v="10"/>
    <n v="1.3"/>
  </r>
  <r>
    <x v="0"/>
    <x v="0"/>
    <x v="0"/>
    <x v="14"/>
    <x v="6"/>
    <x v="6"/>
    <x v="11"/>
    <n v="1.3"/>
  </r>
  <r>
    <x v="0"/>
    <x v="0"/>
    <x v="0"/>
    <x v="14"/>
    <x v="6"/>
    <x v="7"/>
    <x v="0"/>
    <n v="1.3"/>
  </r>
  <r>
    <x v="0"/>
    <x v="0"/>
    <x v="0"/>
    <x v="14"/>
    <x v="6"/>
    <x v="7"/>
    <x v="1"/>
    <n v="1.3"/>
  </r>
  <r>
    <x v="0"/>
    <x v="0"/>
    <x v="0"/>
    <x v="14"/>
    <x v="6"/>
    <x v="7"/>
    <x v="2"/>
    <n v="1.3"/>
  </r>
  <r>
    <x v="0"/>
    <x v="0"/>
    <x v="0"/>
    <x v="14"/>
    <x v="6"/>
    <x v="7"/>
    <x v="3"/>
    <n v="1.3"/>
  </r>
  <r>
    <x v="0"/>
    <x v="0"/>
    <x v="0"/>
    <x v="14"/>
    <x v="6"/>
    <x v="7"/>
    <x v="4"/>
    <n v="1.3"/>
  </r>
  <r>
    <x v="0"/>
    <x v="0"/>
    <x v="0"/>
    <x v="14"/>
    <x v="6"/>
    <x v="7"/>
    <x v="5"/>
    <n v="1.3"/>
  </r>
  <r>
    <x v="0"/>
    <x v="0"/>
    <x v="0"/>
    <x v="14"/>
    <x v="6"/>
    <x v="7"/>
    <x v="6"/>
    <n v="1.3"/>
  </r>
  <r>
    <x v="0"/>
    <x v="0"/>
    <x v="0"/>
    <x v="14"/>
    <x v="6"/>
    <x v="7"/>
    <x v="7"/>
    <n v="1.3"/>
  </r>
  <r>
    <x v="0"/>
    <x v="0"/>
    <x v="0"/>
    <x v="14"/>
    <x v="6"/>
    <x v="7"/>
    <x v="8"/>
    <n v="1.3"/>
  </r>
  <r>
    <x v="0"/>
    <x v="0"/>
    <x v="0"/>
    <x v="14"/>
    <x v="6"/>
    <x v="7"/>
    <x v="9"/>
    <n v="1.3"/>
  </r>
  <r>
    <x v="0"/>
    <x v="0"/>
    <x v="0"/>
    <x v="14"/>
    <x v="6"/>
    <x v="7"/>
    <x v="10"/>
    <n v="1.3"/>
  </r>
  <r>
    <x v="0"/>
    <x v="0"/>
    <x v="0"/>
    <x v="14"/>
    <x v="6"/>
    <x v="7"/>
    <x v="11"/>
    <n v="1.3"/>
  </r>
  <r>
    <x v="0"/>
    <x v="0"/>
    <x v="0"/>
    <x v="14"/>
    <x v="6"/>
    <x v="8"/>
    <x v="0"/>
    <n v="1.3"/>
  </r>
  <r>
    <x v="0"/>
    <x v="0"/>
    <x v="0"/>
    <x v="14"/>
    <x v="6"/>
    <x v="8"/>
    <x v="1"/>
    <n v="1.3"/>
  </r>
  <r>
    <x v="0"/>
    <x v="0"/>
    <x v="0"/>
    <x v="14"/>
    <x v="6"/>
    <x v="8"/>
    <x v="2"/>
    <n v="1.3"/>
  </r>
  <r>
    <x v="0"/>
    <x v="0"/>
    <x v="0"/>
    <x v="14"/>
    <x v="6"/>
    <x v="8"/>
    <x v="3"/>
    <n v="1.3"/>
  </r>
  <r>
    <x v="0"/>
    <x v="0"/>
    <x v="0"/>
    <x v="14"/>
    <x v="6"/>
    <x v="8"/>
    <x v="4"/>
    <n v="1.3"/>
  </r>
  <r>
    <x v="0"/>
    <x v="0"/>
    <x v="0"/>
    <x v="14"/>
    <x v="6"/>
    <x v="8"/>
    <x v="5"/>
    <n v="1.3"/>
  </r>
  <r>
    <x v="0"/>
    <x v="0"/>
    <x v="0"/>
    <x v="14"/>
    <x v="6"/>
    <x v="8"/>
    <x v="6"/>
    <n v="1.3"/>
  </r>
  <r>
    <x v="0"/>
    <x v="0"/>
    <x v="0"/>
    <x v="14"/>
    <x v="6"/>
    <x v="8"/>
    <x v="7"/>
    <n v="1.3"/>
  </r>
  <r>
    <x v="0"/>
    <x v="0"/>
    <x v="0"/>
    <x v="14"/>
    <x v="6"/>
    <x v="8"/>
    <x v="8"/>
    <n v="1.3"/>
  </r>
  <r>
    <x v="0"/>
    <x v="0"/>
    <x v="0"/>
    <x v="14"/>
    <x v="6"/>
    <x v="8"/>
    <x v="9"/>
    <n v="1.3"/>
  </r>
  <r>
    <x v="0"/>
    <x v="0"/>
    <x v="0"/>
    <x v="14"/>
    <x v="6"/>
    <x v="8"/>
    <x v="10"/>
    <n v="1.3"/>
  </r>
  <r>
    <x v="0"/>
    <x v="0"/>
    <x v="0"/>
    <x v="14"/>
    <x v="6"/>
    <x v="8"/>
    <x v="11"/>
    <n v="1.3"/>
  </r>
  <r>
    <x v="0"/>
    <x v="0"/>
    <x v="0"/>
    <x v="14"/>
    <x v="6"/>
    <x v="9"/>
    <x v="0"/>
    <n v="1.3"/>
  </r>
  <r>
    <x v="0"/>
    <x v="0"/>
    <x v="0"/>
    <x v="14"/>
    <x v="6"/>
    <x v="9"/>
    <x v="1"/>
    <n v="1.3"/>
  </r>
  <r>
    <x v="0"/>
    <x v="0"/>
    <x v="0"/>
    <x v="14"/>
    <x v="6"/>
    <x v="9"/>
    <x v="2"/>
    <n v="1.3"/>
  </r>
  <r>
    <x v="0"/>
    <x v="0"/>
    <x v="0"/>
    <x v="14"/>
    <x v="6"/>
    <x v="9"/>
    <x v="3"/>
    <n v="1.3"/>
  </r>
  <r>
    <x v="0"/>
    <x v="0"/>
    <x v="0"/>
    <x v="14"/>
    <x v="6"/>
    <x v="9"/>
    <x v="4"/>
    <n v="1.3"/>
  </r>
  <r>
    <x v="0"/>
    <x v="0"/>
    <x v="0"/>
    <x v="14"/>
    <x v="6"/>
    <x v="9"/>
    <x v="5"/>
    <n v="1.3"/>
  </r>
  <r>
    <x v="0"/>
    <x v="0"/>
    <x v="0"/>
    <x v="14"/>
    <x v="6"/>
    <x v="9"/>
    <x v="6"/>
    <n v="1.3"/>
  </r>
  <r>
    <x v="0"/>
    <x v="0"/>
    <x v="0"/>
    <x v="14"/>
    <x v="6"/>
    <x v="9"/>
    <x v="7"/>
    <n v="1.3"/>
  </r>
  <r>
    <x v="0"/>
    <x v="0"/>
    <x v="0"/>
    <x v="14"/>
    <x v="6"/>
    <x v="9"/>
    <x v="8"/>
    <n v="1.3"/>
  </r>
  <r>
    <x v="0"/>
    <x v="0"/>
    <x v="0"/>
    <x v="14"/>
    <x v="6"/>
    <x v="9"/>
    <x v="9"/>
    <n v="1.3"/>
  </r>
  <r>
    <x v="0"/>
    <x v="0"/>
    <x v="0"/>
    <x v="14"/>
    <x v="6"/>
    <x v="9"/>
    <x v="10"/>
    <n v="1.3"/>
  </r>
  <r>
    <x v="0"/>
    <x v="0"/>
    <x v="0"/>
    <x v="14"/>
    <x v="6"/>
    <x v="9"/>
    <x v="11"/>
    <n v="1.3"/>
  </r>
  <r>
    <x v="0"/>
    <x v="0"/>
    <x v="0"/>
    <x v="14"/>
    <x v="6"/>
    <x v="10"/>
    <x v="0"/>
    <n v="1.3"/>
  </r>
  <r>
    <x v="0"/>
    <x v="0"/>
    <x v="0"/>
    <x v="14"/>
    <x v="6"/>
    <x v="10"/>
    <x v="1"/>
    <n v="1.3"/>
  </r>
  <r>
    <x v="0"/>
    <x v="0"/>
    <x v="0"/>
    <x v="14"/>
    <x v="6"/>
    <x v="10"/>
    <x v="2"/>
    <n v="1.3"/>
  </r>
  <r>
    <x v="0"/>
    <x v="0"/>
    <x v="0"/>
    <x v="14"/>
    <x v="6"/>
    <x v="10"/>
    <x v="3"/>
    <n v="1.3"/>
  </r>
  <r>
    <x v="0"/>
    <x v="0"/>
    <x v="0"/>
    <x v="14"/>
    <x v="6"/>
    <x v="10"/>
    <x v="4"/>
    <n v="1.3"/>
  </r>
  <r>
    <x v="0"/>
    <x v="0"/>
    <x v="0"/>
    <x v="14"/>
    <x v="6"/>
    <x v="10"/>
    <x v="5"/>
    <n v="1.3"/>
  </r>
  <r>
    <x v="0"/>
    <x v="0"/>
    <x v="0"/>
    <x v="14"/>
    <x v="6"/>
    <x v="10"/>
    <x v="6"/>
    <n v="1.3"/>
  </r>
  <r>
    <x v="0"/>
    <x v="0"/>
    <x v="0"/>
    <x v="14"/>
    <x v="6"/>
    <x v="10"/>
    <x v="7"/>
    <n v="1.3"/>
  </r>
  <r>
    <x v="0"/>
    <x v="0"/>
    <x v="0"/>
    <x v="14"/>
    <x v="6"/>
    <x v="10"/>
    <x v="8"/>
    <n v="1.3"/>
  </r>
  <r>
    <x v="0"/>
    <x v="0"/>
    <x v="0"/>
    <x v="14"/>
    <x v="6"/>
    <x v="10"/>
    <x v="9"/>
    <n v="1.3"/>
  </r>
  <r>
    <x v="0"/>
    <x v="0"/>
    <x v="0"/>
    <x v="14"/>
    <x v="6"/>
    <x v="10"/>
    <x v="10"/>
    <n v="1.3"/>
  </r>
  <r>
    <x v="0"/>
    <x v="0"/>
    <x v="0"/>
    <x v="14"/>
    <x v="6"/>
    <x v="10"/>
    <x v="11"/>
    <n v="1.3"/>
  </r>
  <r>
    <x v="0"/>
    <x v="0"/>
    <x v="0"/>
    <x v="14"/>
    <x v="6"/>
    <x v="11"/>
    <x v="0"/>
    <n v="1.3"/>
  </r>
  <r>
    <x v="0"/>
    <x v="0"/>
    <x v="0"/>
    <x v="14"/>
    <x v="6"/>
    <x v="11"/>
    <x v="1"/>
    <n v="1.3"/>
  </r>
  <r>
    <x v="0"/>
    <x v="0"/>
    <x v="0"/>
    <x v="14"/>
    <x v="6"/>
    <x v="11"/>
    <x v="2"/>
    <n v="1.3"/>
  </r>
  <r>
    <x v="0"/>
    <x v="0"/>
    <x v="0"/>
    <x v="14"/>
    <x v="6"/>
    <x v="11"/>
    <x v="3"/>
    <n v="1.3"/>
  </r>
  <r>
    <x v="0"/>
    <x v="0"/>
    <x v="0"/>
    <x v="14"/>
    <x v="6"/>
    <x v="11"/>
    <x v="4"/>
    <n v="1.3"/>
  </r>
  <r>
    <x v="0"/>
    <x v="0"/>
    <x v="0"/>
    <x v="14"/>
    <x v="6"/>
    <x v="11"/>
    <x v="5"/>
    <n v="1.3"/>
  </r>
  <r>
    <x v="0"/>
    <x v="0"/>
    <x v="0"/>
    <x v="14"/>
    <x v="6"/>
    <x v="11"/>
    <x v="6"/>
    <n v="1.3"/>
  </r>
  <r>
    <x v="0"/>
    <x v="0"/>
    <x v="0"/>
    <x v="14"/>
    <x v="6"/>
    <x v="11"/>
    <x v="7"/>
    <n v="1.3"/>
  </r>
  <r>
    <x v="0"/>
    <x v="0"/>
    <x v="0"/>
    <x v="14"/>
    <x v="6"/>
    <x v="11"/>
    <x v="8"/>
    <n v="1.3"/>
  </r>
  <r>
    <x v="0"/>
    <x v="0"/>
    <x v="0"/>
    <x v="14"/>
    <x v="6"/>
    <x v="11"/>
    <x v="9"/>
    <n v="1.3"/>
  </r>
  <r>
    <x v="0"/>
    <x v="0"/>
    <x v="0"/>
    <x v="14"/>
    <x v="6"/>
    <x v="11"/>
    <x v="10"/>
    <n v="1.3"/>
  </r>
  <r>
    <x v="0"/>
    <x v="0"/>
    <x v="0"/>
    <x v="14"/>
    <x v="6"/>
    <x v="11"/>
    <x v="11"/>
    <n v="1.3"/>
  </r>
  <r>
    <x v="0"/>
    <x v="0"/>
    <x v="0"/>
    <x v="14"/>
    <x v="18"/>
    <x v="0"/>
    <x v="0"/>
    <n v="0"/>
  </r>
  <r>
    <x v="0"/>
    <x v="0"/>
    <x v="0"/>
    <x v="14"/>
    <x v="18"/>
    <x v="0"/>
    <x v="1"/>
    <n v="0"/>
  </r>
  <r>
    <x v="0"/>
    <x v="0"/>
    <x v="0"/>
    <x v="14"/>
    <x v="18"/>
    <x v="0"/>
    <x v="2"/>
    <n v="0"/>
  </r>
  <r>
    <x v="0"/>
    <x v="0"/>
    <x v="0"/>
    <x v="14"/>
    <x v="18"/>
    <x v="0"/>
    <x v="3"/>
    <n v="0"/>
  </r>
  <r>
    <x v="0"/>
    <x v="0"/>
    <x v="0"/>
    <x v="14"/>
    <x v="18"/>
    <x v="0"/>
    <x v="4"/>
    <n v="0"/>
  </r>
  <r>
    <x v="0"/>
    <x v="0"/>
    <x v="0"/>
    <x v="14"/>
    <x v="18"/>
    <x v="0"/>
    <x v="5"/>
    <n v="0"/>
  </r>
  <r>
    <x v="0"/>
    <x v="0"/>
    <x v="0"/>
    <x v="14"/>
    <x v="18"/>
    <x v="0"/>
    <x v="6"/>
    <n v="0"/>
  </r>
  <r>
    <x v="0"/>
    <x v="0"/>
    <x v="0"/>
    <x v="14"/>
    <x v="18"/>
    <x v="0"/>
    <x v="7"/>
    <n v="0"/>
  </r>
  <r>
    <x v="0"/>
    <x v="0"/>
    <x v="0"/>
    <x v="14"/>
    <x v="18"/>
    <x v="0"/>
    <x v="8"/>
    <n v="0"/>
  </r>
  <r>
    <x v="0"/>
    <x v="0"/>
    <x v="0"/>
    <x v="14"/>
    <x v="18"/>
    <x v="0"/>
    <x v="9"/>
    <n v="0"/>
  </r>
  <r>
    <x v="0"/>
    <x v="0"/>
    <x v="0"/>
    <x v="14"/>
    <x v="18"/>
    <x v="0"/>
    <x v="10"/>
    <n v="0"/>
  </r>
  <r>
    <x v="0"/>
    <x v="0"/>
    <x v="0"/>
    <x v="14"/>
    <x v="18"/>
    <x v="0"/>
    <x v="11"/>
    <n v="0"/>
  </r>
  <r>
    <x v="0"/>
    <x v="0"/>
    <x v="0"/>
    <x v="14"/>
    <x v="18"/>
    <x v="1"/>
    <x v="0"/>
    <n v="0"/>
  </r>
  <r>
    <x v="0"/>
    <x v="0"/>
    <x v="0"/>
    <x v="14"/>
    <x v="18"/>
    <x v="1"/>
    <x v="1"/>
    <n v="0"/>
  </r>
  <r>
    <x v="0"/>
    <x v="0"/>
    <x v="0"/>
    <x v="14"/>
    <x v="18"/>
    <x v="1"/>
    <x v="2"/>
    <n v="0"/>
  </r>
  <r>
    <x v="0"/>
    <x v="0"/>
    <x v="0"/>
    <x v="14"/>
    <x v="18"/>
    <x v="1"/>
    <x v="3"/>
    <n v="0"/>
  </r>
  <r>
    <x v="0"/>
    <x v="0"/>
    <x v="0"/>
    <x v="14"/>
    <x v="18"/>
    <x v="1"/>
    <x v="4"/>
    <n v="0"/>
  </r>
  <r>
    <x v="0"/>
    <x v="0"/>
    <x v="0"/>
    <x v="14"/>
    <x v="18"/>
    <x v="1"/>
    <x v="5"/>
    <n v="0"/>
  </r>
  <r>
    <x v="0"/>
    <x v="0"/>
    <x v="0"/>
    <x v="14"/>
    <x v="18"/>
    <x v="1"/>
    <x v="6"/>
    <n v="0"/>
  </r>
  <r>
    <x v="0"/>
    <x v="0"/>
    <x v="0"/>
    <x v="14"/>
    <x v="18"/>
    <x v="1"/>
    <x v="7"/>
    <n v="0"/>
  </r>
  <r>
    <x v="0"/>
    <x v="0"/>
    <x v="0"/>
    <x v="14"/>
    <x v="18"/>
    <x v="1"/>
    <x v="8"/>
    <n v="0"/>
  </r>
  <r>
    <x v="0"/>
    <x v="0"/>
    <x v="0"/>
    <x v="14"/>
    <x v="18"/>
    <x v="1"/>
    <x v="9"/>
    <n v="0"/>
  </r>
  <r>
    <x v="0"/>
    <x v="0"/>
    <x v="0"/>
    <x v="14"/>
    <x v="18"/>
    <x v="1"/>
    <x v="10"/>
    <n v="0"/>
  </r>
  <r>
    <x v="0"/>
    <x v="0"/>
    <x v="0"/>
    <x v="14"/>
    <x v="18"/>
    <x v="1"/>
    <x v="11"/>
    <n v="0"/>
  </r>
  <r>
    <x v="0"/>
    <x v="0"/>
    <x v="0"/>
    <x v="14"/>
    <x v="18"/>
    <x v="2"/>
    <x v="0"/>
    <n v="0"/>
  </r>
  <r>
    <x v="0"/>
    <x v="0"/>
    <x v="0"/>
    <x v="14"/>
    <x v="18"/>
    <x v="2"/>
    <x v="1"/>
    <n v="0"/>
  </r>
  <r>
    <x v="0"/>
    <x v="0"/>
    <x v="0"/>
    <x v="14"/>
    <x v="18"/>
    <x v="2"/>
    <x v="2"/>
    <n v="0"/>
  </r>
  <r>
    <x v="0"/>
    <x v="0"/>
    <x v="0"/>
    <x v="14"/>
    <x v="18"/>
    <x v="2"/>
    <x v="3"/>
    <n v="0"/>
  </r>
  <r>
    <x v="0"/>
    <x v="0"/>
    <x v="0"/>
    <x v="14"/>
    <x v="18"/>
    <x v="2"/>
    <x v="4"/>
    <n v="0"/>
  </r>
  <r>
    <x v="0"/>
    <x v="0"/>
    <x v="0"/>
    <x v="14"/>
    <x v="18"/>
    <x v="2"/>
    <x v="5"/>
    <n v="0"/>
  </r>
  <r>
    <x v="0"/>
    <x v="0"/>
    <x v="0"/>
    <x v="14"/>
    <x v="18"/>
    <x v="2"/>
    <x v="6"/>
    <n v="0"/>
  </r>
  <r>
    <x v="0"/>
    <x v="0"/>
    <x v="0"/>
    <x v="14"/>
    <x v="18"/>
    <x v="2"/>
    <x v="7"/>
    <n v="0"/>
  </r>
  <r>
    <x v="0"/>
    <x v="0"/>
    <x v="0"/>
    <x v="14"/>
    <x v="18"/>
    <x v="2"/>
    <x v="8"/>
    <n v="0"/>
  </r>
  <r>
    <x v="0"/>
    <x v="0"/>
    <x v="0"/>
    <x v="14"/>
    <x v="18"/>
    <x v="2"/>
    <x v="9"/>
    <n v="0"/>
  </r>
  <r>
    <x v="0"/>
    <x v="0"/>
    <x v="0"/>
    <x v="14"/>
    <x v="18"/>
    <x v="2"/>
    <x v="10"/>
    <n v="0"/>
  </r>
  <r>
    <x v="0"/>
    <x v="0"/>
    <x v="0"/>
    <x v="14"/>
    <x v="18"/>
    <x v="2"/>
    <x v="11"/>
    <n v="0"/>
  </r>
  <r>
    <x v="0"/>
    <x v="0"/>
    <x v="0"/>
    <x v="14"/>
    <x v="18"/>
    <x v="3"/>
    <x v="0"/>
    <n v="0"/>
  </r>
  <r>
    <x v="0"/>
    <x v="0"/>
    <x v="0"/>
    <x v="14"/>
    <x v="18"/>
    <x v="3"/>
    <x v="1"/>
    <n v="0"/>
  </r>
  <r>
    <x v="0"/>
    <x v="0"/>
    <x v="0"/>
    <x v="14"/>
    <x v="18"/>
    <x v="3"/>
    <x v="2"/>
    <n v="0"/>
  </r>
  <r>
    <x v="0"/>
    <x v="0"/>
    <x v="0"/>
    <x v="14"/>
    <x v="18"/>
    <x v="3"/>
    <x v="3"/>
    <n v="0"/>
  </r>
  <r>
    <x v="0"/>
    <x v="0"/>
    <x v="0"/>
    <x v="14"/>
    <x v="18"/>
    <x v="3"/>
    <x v="4"/>
    <n v="0"/>
  </r>
  <r>
    <x v="0"/>
    <x v="0"/>
    <x v="0"/>
    <x v="14"/>
    <x v="18"/>
    <x v="3"/>
    <x v="5"/>
    <n v="0"/>
  </r>
  <r>
    <x v="0"/>
    <x v="0"/>
    <x v="0"/>
    <x v="14"/>
    <x v="18"/>
    <x v="3"/>
    <x v="6"/>
    <n v="0"/>
  </r>
  <r>
    <x v="0"/>
    <x v="0"/>
    <x v="0"/>
    <x v="14"/>
    <x v="18"/>
    <x v="3"/>
    <x v="7"/>
    <n v="0"/>
  </r>
  <r>
    <x v="0"/>
    <x v="0"/>
    <x v="0"/>
    <x v="14"/>
    <x v="18"/>
    <x v="3"/>
    <x v="8"/>
    <n v="0"/>
  </r>
  <r>
    <x v="0"/>
    <x v="0"/>
    <x v="0"/>
    <x v="14"/>
    <x v="18"/>
    <x v="3"/>
    <x v="9"/>
    <n v="0"/>
  </r>
  <r>
    <x v="0"/>
    <x v="0"/>
    <x v="0"/>
    <x v="14"/>
    <x v="18"/>
    <x v="3"/>
    <x v="10"/>
    <n v="0"/>
  </r>
  <r>
    <x v="0"/>
    <x v="0"/>
    <x v="0"/>
    <x v="14"/>
    <x v="18"/>
    <x v="3"/>
    <x v="11"/>
    <n v="0"/>
  </r>
  <r>
    <x v="0"/>
    <x v="0"/>
    <x v="0"/>
    <x v="14"/>
    <x v="18"/>
    <x v="4"/>
    <x v="0"/>
    <n v="0"/>
  </r>
  <r>
    <x v="0"/>
    <x v="0"/>
    <x v="0"/>
    <x v="14"/>
    <x v="18"/>
    <x v="4"/>
    <x v="1"/>
    <n v="0"/>
  </r>
  <r>
    <x v="0"/>
    <x v="0"/>
    <x v="0"/>
    <x v="14"/>
    <x v="18"/>
    <x v="4"/>
    <x v="2"/>
    <n v="0"/>
  </r>
  <r>
    <x v="0"/>
    <x v="0"/>
    <x v="0"/>
    <x v="14"/>
    <x v="18"/>
    <x v="4"/>
    <x v="3"/>
    <n v="0"/>
  </r>
  <r>
    <x v="0"/>
    <x v="0"/>
    <x v="0"/>
    <x v="14"/>
    <x v="18"/>
    <x v="4"/>
    <x v="4"/>
    <n v="2.1346256741506702"/>
  </r>
  <r>
    <x v="0"/>
    <x v="0"/>
    <x v="0"/>
    <x v="14"/>
    <x v="18"/>
    <x v="4"/>
    <x v="5"/>
    <n v="2.1335493707177302"/>
  </r>
  <r>
    <x v="0"/>
    <x v="0"/>
    <x v="0"/>
    <x v="14"/>
    <x v="18"/>
    <x v="4"/>
    <x v="6"/>
    <n v="0"/>
  </r>
  <r>
    <x v="0"/>
    <x v="0"/>
    <x v="0"/>
    <x v="14"/>
    <x v="18"/>
    <x v="4"/>
    <x v="7"/>
    <n v="0"/>
  </r>
  <r>
    <x v="0"/>
    <x v="0"/>
    <x v="0"/>
    <x v="14"/>
    <x v="18"/>
    <x v="4"/>
    <x v="8"/>
    <n v="0"/>
  </r>
  <r>
    <x v="0"/>
    <x v="0"/>
    <x v="0"/>
    <x v="14"/>
    <x v="18"/>
    <x v="4"/>
    <x v="9"/>
    <n v="0"/>
  </r>
  <r>
    <x v="0"/>
    <x v="0"/>
    <x v="0"/>
    <x v="14"/>
    <x v="18"/>
    <x v="4"/>
    <x v="10"/>
    <n v="0"/>
  </r>
  <r>
    <x v="0"/>
    <x v="0"/>
    <x v="0"/>
    <x v="14"/>
    <x v="18"/>
    <x v="4"/>
    <x v="11"/>
    <n v="0"/>
  </r>
  <r>
    <x v="0"/>
    <x v="0"/>
    <x v="0"/>
    <x v="14"/>
    <x v="18"/>
    <x v="5"/>
    <x v="0"/>
    <n v="2.0372718803399201"/>
  </r>
  <r>
    <x v="0"/>
    <x v="0"/>
    <x v="0"/>
    <x v="14"/>
    <x v="18"/>
    <x v="5"/>
    <x v="1"/>
    <n v="0"/>
  </r>
  <r>
    <x v="0"/>
    <x v="0"/>
    <x v="0"/>
    <x v="14"/>
    <x v="18"/>
    <x v="5"/>
    <x v="2"/>
    <n v="0"/>
  </r>
  <r>
    <x v="0"/>
    <x v="0"/>
    <x v="0"/>
    <x v="14"/>
    <x v="18"/>
    <x v="5"/>
    <x v="3"/>
    <n v="0"/>
  </r>
  <r>
    <x v="0"/>
    <x v="0"/>
    <x v="0"/>
    <x v="14"/>
    <x v="18"/>
    <x v="5"/>
    <x v="4"/>
    <n v="0"/>
  </r>
  <r>
    <x v="0"/>
    <x v="0"/>
    <x v="0"/>
    <x v="14"/>
    <x v="18"/>
    <x v="5"/>
    <x v="5"/>
    <n v="0"/>
  </r>
  <r>
    <x v="0"/>
    <x v="0"/>
    <x v="0"/>
    <x v="14"/>
    <x v="18"/>
    <x v="5"/>
    <x v="6"/>
    <n v="0"/>
  </r>
  <r>
    <x v="0"/>
    <x v="0"/>
    <x v="0"/>
    <x v="14"/>
    <x v="18"/>
    <x v="5"/>
    <x v="7"/>
    <n v="0"/>
  </r>
  <r>
    <x v="0"/>
    <x v="0"/>
    <x v="0"/>
    <x v="14"/>
    <x v="18"/>
    <x v="5"/>
    <x v="8"/>
    <n v="1.23672462024108"/>
  </r>
  <r>
    <x v="0"/>
    <x v="0"/>
    <x v="0"/>
    <x v="14"/>
    <x v="18"/>
    <x v="5"/>
    <x v="9"/>
    <n v="1.3016017246924101"/>
  </r>
  <r>
    <x v="0"/>
    <x v="0"/>
    <x v="0"/>
    <x v="14"/>
    <x v="18"/>
    <x v="5"/>
    <x v="10"/>
    <n v="0.112230473218668"/>
  </r>
  <r>
    <x v="0"/>
    <x v="0"/>
    <x v="0"/>
    <x v="14"/>
    <x v="18"/>
    <x v="5"/>
    <x v="11"/>
    <n v="1.5926796875600999"/>
  </r>
  <r>
    <x v="0"/>
    <x v="0"/>
    <x v="0"/>
    <x v="14"/>
    <x v="18"/>
    <x v="6"/>
    <x v="0"/>
    <n v="0"/>
  </r>
  <r>
    <x v="0"/>
    <x v="0"/>
    <x v="0"/>
    <x v="14"/>
    <x v="18"/>
    <x v="6"/>
    <x v="1"/>
    <n v="0"/>
  </r>
  <r>
    <x v="0"/>
    <x v="0"/>
    <x v="0"/>
    <x v="14"/>
    <x v="18"/>
    <x v="6"/>
    <x v="2"/>
    <n v="0"/>
  </r>
  <r>
    <x v="0"/>
    <x v="0"/>
    <x v="0"/>
    <x v="14"/>
    <x v="18"/>
    <x v="6"/>
    <x v="3"/>
    <n v="0"/>
  </r>
  <r>
    <x v="0"/>
    <x v="0"/>
    <x v="0"/>
    <x v="14"/>
    <x v="18"/>
    <x v="6"/>
    <x v="4"/>
    <n v="0"/>
  </r>
  <r>
    <x v="0"/>
    <x v="0"/>
    <x v="0"/>
    <x v="14"/>
    <x v="18"/>
    <x v="6"/>
    <x v="5"/>
    <n v="0"/>
  </r>
  <r>
    <x v="0"/>
    <x v="0"/>
    <x v="0"/>
    <x v="14"/>
    <x v="18"/>
    <x v="6"/>
    <x v="6"/>
    <n v="1.1898530511337599"/>
  </r>
  <r>
    <x v="0"/>
    <x v="0"/>
    <x v="0"/>
    <x v="14"/>
    <x v="18"/>
    <x v="6"/>
    <x v="7"/>
    <n v="0"/>
  </r>
  <r>
    <x v="0"/>
    <x v="0"/>
    <x v="0"/>
    <x v="14"/>
    <x v="18"/>
    <x v="6"/>
    <x v="8"/>
    <n v="1.27280798493"/>
  </r>
  <r>
    <x v="0"/>
    <x v="0"/>
    <x v="0"/>
    <x v="14"/>
    <x v="18"/>
    <x v="6"/>
    <x v="9"/>
    <n v="0"/>
  </r>
  <r>
    <x v="0"/>
    <x v="0"/>
    <x v="0"/>
    <x v="14"/>
    <x v="18"/>
    <x v="6"/>
    <x v="10"/>
    <n v="0"/>
  </r>
  <r>
    <x v="0"/>
    <x v="0"/>
    <x v="0"/>
    <x v="14"/>
    <x v="18"/>
    <x v="6"/>
    <x v="11"/>
    <n v="0"/>
  </r>
  <r>
    <x v="0"/>
    <x v="0"/>
    <x v="0"/>
    <x v="14"/>
    <x v="18"/>
    <x v="7"/>
    <x v="0"/>
    <n v="0"/>
  </r>
  <r>
    <x v="0"/>
    <x v="0"/>
    <x v="0"/>
    <x v="14"/>
    <x v="18"/>
    <x v="7"/>
    <x v="1"/>
    <n v="0"/>
  </r>
  <r>
    <x v="0"/>
    <x v="0"/>
    <x v="0"/>
    <x v="14"/>
    <x v="18"/>
    <x v="7"/>
    <x v="2"/>
    <n v="2.48745268725831"/>
  </r>
  <r>
    <x v="0"/>
    <x v="0"/>
    <x v="0"/>
    <x v="14"/>
    <x v="18"/>
    <x v="7"/>
    <x v="3"/>
    <n v="0"/>
  </r>
  <r>
    <x v="0"/>
    <x v="0"/>
    <x v="0"/>
    <x v="14"/>
    <x v="18"/>
    <x v="7"/>
    <x v="4"/>
    <n v="0"/>
  </r>
  <r>
    <x v="0"/>
    <x v="0"/>
    <x v="0"/>
    <x v="14"/>
    <x v="18"/>
    <x v="7"/>
    <x v="5"/>
    <n v="2.2868377605680701"/>
  </r>
  <r>
    <x v="0"/>
    <x v="0"/>
    <x v="0"/>
    <x v="14"/>
    <x v="18"/>
    <x v="7"/>
    <x v="6"/>
    <n v="2.18071129454996"/>
  </r>
  <r>
    <x v="0"/>
    <x v="0"/>
    <x v="0"/>
    <x v="14"/>
    <x v="18"/>
    <x v="7"/>
    <x v="7"/>
    <n v="1.9370260646170001"/>
  </r>
  <r>
    <x v="0"/>
    <x v="0"/>
    <x v="0"/>
    <x v="14"/>
    <x v="18"/>
    <x v="7"/>
    <x v="8"/>
    <n v="0"/>
  </r>
  <r>
    <x v="0"/>
    <x v="0"/>
    <x v="0"/>
    <x v="14"/>
    <x v="18"/>
    <x v="7"/>
    <x v="9"/>
    <n v="1.8760888190039899"/>
  </r>
  <r>
    <x v="0"/>
    <x v="0"/>
    <x v="0"/>
    <x v="14"/>
    <x v="18"/>
    <x v="7"/>
    <x v="10"/>
    <n v="1.2950379455091301"/>
  </r>
  <r>
    <x v="0"/>
    <x v="0"/>
    <x v="0"/>
    <x v="14"/>
    <x v="18"/>
    <x v="7"/>
    <x v="11"/>
    <n v="0.97859814896821795"/>
  </r>
  <r>
    <x v="0"/>
    <x v="0"/>
    <x v="0"/>
    <x v="14"/>
    <x v="18"/>
    <x v="8"/>
    <x v="0"/>
    <n v="2.29328226461221"/>
  </r>
  <r>
    <x v="0"/>
    <x v="0"/>
    <x v="0"/>
    <x v="14"/>
    <x v="18"/>
    <x v="8"/>
    <x v="1"/>
    <n v="2.3035985040345301"/>
  </r>
  <r>
    <x v="0"/>
    <x v="0"/>
    <x v="0"/>
    <x v="14"/>
    <x v="18"/>
    <x v="8"/>
    <x v="2"/>
    <n v="2.2050619773820799"/>
  </r>
  <r>
    <x v="0"/>
    <x v="0"/>
    <x v="0"/>
    <x v="14"/>
    <x v="18"/>
    <x v="8"/>
    <x v="3"/>
    <n v="2.1939032085570802"/>
  </r>
  <r>
    <x v="0"/>
    <x v="0"/>
    <x v="0"/>
    <x v="14"/>
    <x v="18"/>
    <x v="8"/>
    <x v="4"/>
    <n v="2.2490080860884798"/>
  </r>
  <r>
    <x v="0"/>
    <x v="0"/>
    <x v="0"/>
    <x v="14"/>
    <x v="18"/>
    <x v="8"/>
    <x v="5"/>
    <n v="2.1373578350198099"/>
  </r>
  <r>
    <x v="0"/>
    <x v="0"/>
    <x v="0"/>
    <x v="14"/>
    <x v="18"/>
    <x v="8"/>
    <x v="6"/>
    <n v="1.89149457854463"/>
  </r>
  <r>
    <x v="0"/>
    <x v="0"/>
    <x v="0"/>
    <x v="14"/>
    <x v="18"/>
    <x v="8"/>
    <x v="7"/>
    <n v="1.83655011531132"/>
  </r>
  <r>
    <x v="0"/>
    <x v="0"/>
    <x v="0"/>
    <x v="14"/>
    <x v="18"/>
    <x v="8"/>
    <x v="8"/>
    <n v="1.8150696517510501"/>
  </r>
  <r>
    <x v="0"/>
    <x v="0"/>
    <x v="0"/>
    <x v="14"/>
    <x v="18"/>
    <x v="8"/>
    <x v="9"/>
    <n v="1.82179527687924"/>
  </r>
  <r>
    <x v="0"/>
    <x v="0"/>
    <x v="0"/>
    <x v="14"/>
    <x v="18"/>
    <x v="8"/>
    <x v="10"/>
    <n v="1.87195695781829"/>
  </r>
  <r>
    <x v="0"/>
    <x v="0"/>
    <x v="0"/>
    <x v="14"/>
    <x v="18"/>
    <x v="8"/>
    <x v="11"/>
    <n v="1.88440191601286"/>
  </r>
  <r>
    <x v="0"/>
    <x v="0"/>
    <x v="0"/>
    <x v="14"/>
    <x v="18"/>
    <x v="9"/>
    <x v="0"/>
    <n v="2.2986679570000099"/>
  </r>
  <r>
    <x v="0"/>
    <x v="0"/>
    <x v="0"/>
    <x v="14"/>
    <x v="18"/>
    <x v="9"/>
    <x v="1"/>
    <n v="2.29566485392436"/>
  </r>
  <r>
    <x v="0"/>
    <x v="0"/>
    <x v="0"/>
    <x v="14"/>
    <x v="18"/>
    <x v="9"/>
    <x v="2"/>
    <n v="2.2692340045867501"/>
  </r>
  <r>
    <x v="0"/>
    <x v="0"/>
    <x v="0"/>
    <x v="14"/>
    <x v="18"/>
    <x v="9"/>
    <x v="3"/>
    <n v="2.2673168072141099"/>
  </r>
  <r>
    <x v="0"/>
    <x v="0"/>
    <x v="0"/>
    <x v="14"/>
    <x v="18"/>
    <x v="9"/>
    <x v="4"/>
    <n v="2.2469823525269601"/>
  </r>
  <r>
    <x v="0"/>
    <x v="0"/>
    <x v="0"/>
    <x v="14"/>
    <x v="18"/>
    <x v="9"/>
    <x v="5"/>
    <n v="2.1361744831018701"/>
  </r>
  <r>
    <x v="0"/>
    <x v="0"/>
    <x v="0"/>
    <x v="14"/>
    <x v="18"/>
    <x v="9"/>
    <x v="6"/>
    <n v="2.0222641033987698"/>
  </r>
  <r>
    <x v="0"/>
    <x v="0"/>
    <x v="0"/>
    <x v="14"/>
    <x v="18"/>
    <x v="9"/>
    <x v="7"/>
    <n v="1.6893909610326101"/>
  </r>
  <r>
    <x v="0"/>
    <x v="0"/>
    <x v="0"/>
    <x v="14"/>
    <x v="18"/>
    <x v="9"/>
    <x v="8"/>
    <n v="1.76828729569947"/>
  </r>
  <r>
    <x v="0"/>
    <x v="0"/>
    <x v="0"/>
    <x v="14"/>
    <x v="18"/>
    <x v="9"/>
    <x v="9"/>
    <n v="1.6262895610700701"/>
  </r>
  <r>
    <x v="0"/>
    <x v="0"/>
    <x v="0"/>
    <x v="14"/>
    <x v="18"/>
    <x v="9"/>
    <x v="10"/>
    <n v="1.7729206384307601"/>
  </r>
  <r>
    <x v="0"/>
    <x v="0"/>
    <x v="0"/>
    <x v="14"/>
    <x v="18"/>
    <x v="9"/>
    <x v="11"/>
    <n v="1.82559478115794"/>
  </r>
  <r>
    <x v="0"/>
    <x v="0"/>
    <x v="0"/>
    <x v="14"/>
    <x v="18"/>
    <x v="10"/>
    <x v="0"/>
    <n v="2.5999819517471998"/>
  </r>
  <r>
    <x v="0"/>
    <x v="0"/>
    <x v="0"/>
    <x v="14"/>
    <x v="18"/>
    <x v="10"/>
    <x v="1"/>
    <n v="2.67145035427952"/>
  </r>
  <r>
    <x v="0"/>
    <x v="0"/>
    <x v="0"/>
    <x v="14"/>
    <x v="18"/>
    <x v="10"/>
    <x v="2"/>
    <n v="2.5807750488492598"/>
  </r>
  <r>
    <x v="0"/>
    <x v="0"/>
    <x v="0"/>
    <x v="14"/>
    <x v="18"/>
    <x v="10"/>
    <x v="3"/>
    <n v="2.59669184716302"/>
  </r>
  <r>
    <x v="0"/>
    <x v="0"/>
    <x v="0"/>
    <x v="14"/>
    <x v="18"/>
    <x v="10"/>
    <x v="4"/>
    <n v="2.5858383130720499"/>
  </r>
  <r>
    <x v="0"/>
    <x v="0"/>
    <x v="0"/>
    <x v="14"/>
    <x v="18"/>
    <x v="10"/>
    <x v="5"/>
    <n v="2.5340327071964102"/>
  </r>
  <r>
    <x v="0"/>
    <x v="0"/>
    <x v="0"/>
    <x v="14"/>
    <x v="18"/>
    <x v="10"/>
    <x v="6"/>
    <n v="2.2580696967292102"/>
  </r>
  <r>
    <x v="0"/>
    <x v="0"/>
    <x v="0"/>
    <x v="14"/>
    <x v="18"/>
    <x v="10"/>
    <x v="7"/>
    <n v="2.1237584728516299"/>
  </r>
  <r>
    <x v="0"/>
    <x v="0"/>
    <x v="0"/>
    <x v="14"/>
    <x v="18"/>
    <x v="10"/>
    <x v="8"/>
    <n v="1.9842104215910199"/>
  </r>
  <r>
    <x v="0"/>
    <x v="0"/>
    <x v="0"/>
    <x v="14"/>
    <x v="18"/>
    <x v="10"/>
    <x v="9"/>
    <n v="2.0174829733261102"/>
  </r>
  <r>
    <x v="0"/>
    <x v="0"/>
    <x v="0"/>
    <x v="14"/>
    <x v="18"/>
    <x v="10"/>
    <x v="10"/>
    <n v="2.0353658552983802"/>
  </r>
  <r>
    <x v="0"/>
    <x v="0"/>
    <x v="0"/>
    <x v="14"/>
    <x v="18"/>
    <x v="10"/>
    <x v="11"/>
    <n v="2.03464871740342"/>
  </r>
  <r>
    <x v="0"/>
    <x v="0"/>
    <x v="0"/>
    <x v="14"/>
    <x v="18"/>
    <x v="11"/>
    <x v="0"/>
    <n v="2.88479772699197"/>
  </r>
  <r>
    <x v="0"/>
    <x v="0"/>
    <x v="0"/>
    <x v="14"/>
    <x v="18"/>
    <x v="11"/>
    <x v="1"/>
    <n v="2.9809010609944901"/>
  </r>
  <r>
    <x v="0"/>
    <x v="0"/>
    <x v="0"/>
    <x v="14"/>
    <x v="18"/>
    <x v="11"/>
    <x v="2"/>
    <n v="2.8337662711957199"/>
  </r>
  <r>
    <x v="0"/>
    <x v="0"/>
    <x v="0"/>
    <x v="14"/>
    <x v="18"/>
    <x v="11"/>
    <x v="3"/>
    <n v="2.7908498287641401"/>
  </r>
  <r>
    <x v="0"/>
    <x v="0"/>
    <x v="0"/>
    <x v="14"/>
    <x v="18"/>
    <x v="11"/>
    <x v="4"/>
    <n v="2.8002868180072902"/>
  </r>
  <r>
    <x v="0"/>
    <x v="0"/>
    <x v="0"/>
    <x v="14"/>
    <x v="18"/>
    <x v="11"/>
    <x v="5"/>
    <n v="2.67832469523099"/>
  </r>
  <r>
    <x v="0"/>
    <x v="0"/>
    <x v="0"/>
    <x v="14"/>
    <x v="18"/>
    <x v="11"/>
    <x v="6"/>
    <n v="2.5393515325975899"/>
  </r>
  <r>
    <x v="0"/>
    <x v="0"/>
    <x v="0"/>
    <x v="14"/>
    <x v="18"/>
    <x v="11"/>
    <x v="7"/>
    <n v="2.1970086888767599"/>
  </r>
  <r>
    <x v="0"/>
    <x v="0"/>
    <x v="0"/>
    <x v="14"/>
    <x v="18"/>
    <x v="11"/>
    <x v="8"/>
    <n v="2.3218500784390601"/>
  </r>
  <r>
    <x v="0"/>
    <x v="0"/>
    <x v="0"/>
    <x v="14"/>
    <x v="18"/>
    <x v="11"/>
    <x v="9"/>
    <n v="2.3053720436898599"/>
  </r>
  <r>
    <x v="0"/>
    <x v="0"/>
    <x v="0"/>
    <x v="14"/>
    <x v="18"/>
    <x v="11"/>
    <x v="10"/>
    <n v="2.2965253844638802"/>
  </r>
  <r>
    <x v="0"/>
    <x v="0"/>
    <x v="0"/>
    <x v="14"/>
    <x v="18"/>
    <x v="11"/>
    <x v="11"/>
    <n v="2.2860081213427201"/>
  </r>
  <r>
    <x v="0"/>
    <x v="0"/>
    <x v="0"/>
    <x v="15"/>
    <x v="14"/>
    <x v="0"/>
    <x v="0"/>
    <n v="0"/>
  </r>
  <r>
    <x v="0"/>
    <x v="0"/>
    <x v="0"/>
    <x v="15"/>
    <x v="14"/>
    <x v="0"/>
    <x v="1"/>
    <n v="0"/>
  </r>
  <r>
    <x v="0"/>
    <x v="0"/>
    <x v="0"/>
    <x v="15"/>
    <x v="14"/>
    <x v="0"/>
    <x v="2"/>
    <n v="0"/>
  </r>
  <r>
    <x v="0"/>
    <x v="0"/>
    <x v="0"/>
    <x v="15"/>
    <x v="14"/>
    <x v="0"/>
    <x v="3"/>
    <n v="0"/>
  </r>
  <r>
    <x v="0"/>
    <x v="0"/>
    <x v="0"/>
    <x v="15"/>
    <x v="14"/>
    <x v="0"/>
    <x v="4"/>
    <n v="0"/>
  </r>
  <r>
    <x v="0"/>
    <x v="0"/>
    <x v="0"/>
    <x v="15"/>
    <x v="14"/>
    <x v="0"/>
    <x v="5"/>
    <n v="0"/>
  </r>
  <r>
    <x v="0"/>
    <x v="0"/>
    <x v="0"/>
    <x v="15"/>
    <x v="14"/>
    <x v="0"/>
    <x v="6"/>
    <n v="0"/>
  </r>
  <r>
    <x v="0"/>
    <x v="0"/>
    <x v="0"/>
    <x v="15"/>
    <x v="14"/>
    <x v="0"/>
    <x v="7"/>
    <n v="0"/>
  </r>
  <r>
    <x v="0"/>
    <x v="0"/>
    <x v="0"/>
    <x v="15"/>
    <x v="14"/>
    <x v="0"/>
    <x v="8"/>
    <n v="0"/>
  </r>
  <r>
    <x v="0"/>
    <x v="0"/>
    <x v="0"/>
    <x v="15"/>
    <x v="14"/>
    <x v="0"/>
    <x v="9"/>
    <n v="0"/>
  </r>
  <r>
    <x v="0"/>
    <x v="0"/>
    <x v="0"/>
    <x v="15"/>
    <x v="14"/>
    <x v="0"/>
    <x v="10"/>
    <n v="0"/>
  </r>
  <r>
    <x v="0"/>
    <x v="0"/>
    <x v="0"/>
    <x v="15"/>
    <x v="14"/>
    <x v="0"/>
    <x v="11"/>
    <n v="0"/>
  </r>
  <r>
    <x v="0"/>
    <x v="0"/>
    <x v="0"/>
    <x v="15"/>
    <x v="14"/>
    <x v="1"/>
    <x v="0"/>
    <n v="0"/>
  </r>
  <r>
    <x v="0"/>
    <x v="0"/>
    <x v="0"/>
    <x v="15"/>
    <x v="14"/>
    <x v="1"/>
    <x v="1"/>
    <n v="0"/>
  </r>
  <r>
    <x v="0"/>
    <x v="0"/>
    <x v="0"/>
    <x v="15"/>
    <x v="14"/>
    <x v="1"/>
    <x v="2"/>
    <n v="0"/>
  </r>
  <r>
    <x v="0"/>
    <x v="0"/>
    <x v="0"/>
    <x v="15"/>
    <x v="14"/>
    <x v="1"/>
    <x v="3"/>
    <n v="0"/>
  </r>
  <r>
    <x v="0"/>
    <x v="0"/>
    <x v="0"/>
    <x v="15"/>
    <x v="14"/>
    <x v="1"/>
    <x v="4"/>
    <n v="0"/>
  </r>
  <r>
    <x v="0"/>
    <x v="0"/>
    <x v="0"/>
    <x v="15"/>
    <x v="14"/>
    <x v="1"/>
    <x v="5"/>
    <n v="0"/>
  </r>
  <r>
    <x v="0"/>
    <x v="0"/>
    <x v="0"/>
    <x v="15"/>
    <x v="14"/>
    <x v="1"/>
    <x v="6"/>
    <n v="0"/>
  </r>
  <r>
    <x v="0"/>
    <x v="0"/>
    <x v="0"/>
    <x v="15"/>
    <x v="14"/>
    <x v="1"/>
    <x v="7"/>
    <n v="0"/>
  </r>
  <r>
    <x v="0"/>
    <x v="0"/>
    <x v="0"/>
    <x v="15"/>
    <x v="14"/>
    <x v="1"/>
    <x v="8"/>
    <n v="0"/>
  </r>
  <r>
    <x v="0"/>
    <x v="0"/>
    <x v="0"/>
    <x v="15"/>
    <x v="14"/>
    <x v="1"/>
    <x v="9"/>
    <n v="0"/>
  </r>
  <r>
    <x v="0"/>
    <x v="0"/>
    <x v="0"/>
    <x v="15"/>
    <x v="14"/>
    <x v="1"/>
    <x v="10"/>
    <n v="0"/>
  </r>
  <r>
    <x v="0"/>
    <x v="0"/>
    <x v="0"/>
    <x v="15"/>
    <x v="14"/>
    <x v="1"/>
    <x v="11"/>
    <n v="0"/>
  </r>
  <r>
    <x v="0"/>
    <x v="0"/>
    <x v="0"/>
    <x v="15"/>
    <x v="14"/>
    <x v="2"/>
    <x v="0"/>
    <n v="0"/>
  </r>
  <r>
    <x v="0"/>
    <x v="0"/>
    <x v="0"/>
    <x v="15"/>
    <x v="14"/>
    <x v="2"/>
    <x v="1"/>
    <n v="0"/>
  </r>
  <r>
    <x v="0"/>
    <x v="0"/>
    <x v="0"/>
    <x v="15"/>
    <x v="14"/>
    <x v="2"/>
    <x v="2"/>
    <n v="0"/>
  </r>
  <r>
    <x v="0"/>
    <x v="0"/>
    <x v="0"/>
    <x v="15"/>
    <x v="14"/>
    <x v="2"/>
    <x v="3"/>
    <n v="0"/>
  </r>
  <r>
    <x v="0"/>
    <x v="0"/>
    <x v="0"/>
    <x v="15"/>
    <x v="14"/>
    <x v="2"/>
    <x v="4"/>
    <n v="0"/>
  </r>
  <r>
    <x v="0"/>
    <x v="0"/>
    <x v="0"/>
    <x v="15"/>
    <x v="14"/>
    <x v="2"/>
    <x v="5"/>
    <n v="0"/>
  </r>
  <r>
    <x v="0"/>
    <x v="0"/>
    <x v="0"/>
    <x v="15"/>
    <x v="14"/>
    <x v="2"/>
    <x v="6"/>
    <n v="0"/>
  </r>
  <r>
    <x v="0"/>
    <x v="0"/>
    <x v="0"/>
    <x v="15"/>
    <x v="14"/>
    <x v="2"/>
    <x v="7"/>
    <n v="0"/>
  </r>
  <r>
    <x v="0"/>
    <x v="0"/>
    <x v="0"/>
    <x v="15"/>
    <x v="14"/>
    <x v="2"/>
    <x v="8"/>
    <n v="0"/>
  </r>
  <r>
    <x v="0"/>
    <x v="0"/>
    <x v="0"/>
    <x v="15"/>
    <x v="14"/>
    <x v="2"/>
    <x v="9"/>
    <n v="0"/>
  </r>
  <r>
    <x v="0"/>
    <x v="0"/>
    <x v="0"/>
    <x v="15"/>
    <x v="14"/>
    <x v="2"/>
    <x v="10"/>
    <n v="0"/>
  </r>
  <r>
    <x v="0"/>
    <x v="0"/>
    <x v="0"/>
    <x v="15"/>
    <x v="14"/>
    <x v="2"/>
    <x v="11"/>
    <n v="0"/>
  </r>
  <r>
    <x v="0"/>
    <x v="0"/>
    <x v="0"/>
    <x v="15"/>
    <x v="14"/>
    <x v="3"/>
    <x v="0"/>
    <n v="0"/>
  </r>
  <r>
    <x v="0"/>
    <x v="0"/>
    <x v="0"/>
    <x v="15"/>
    <x v="14"/>
    <x v="3"/>
    <x v="1"/>
    <n v="0"/>
  </r>
  <r>
    <x v="0"/>
    <x v="0"/>
    <x v="0"/>
    <x v="15"/>
    <x v="14"/>
    <x v="3"/>
    <x v="2"/>
    <n v="0"/>
  </r>
  <r>
    <x v="0"/>
    <x v="0"/>
    <x v="0"/>
    <x v="15"/>
    <x v="14"/>
    <x v="3"/>
    <x v="3"/>
    <n v="0"/>
  </r>
  <r>
    <x v="0"/>
    <x v="0"/>
    <x v="0"/>
    <x v="15"/>
    <x v="14"/>
    <x v="3"/>
    <x v="4"/>
    <n v="0"/>
  </r>
  <r>
    <x v="0"/>
    <x v="0"/>
    <x v="0"/>
    <x v="15"/>
    <x v="14"/>
    <x v="3"/>
    <x v="5"/>
    <n v="0"/>
  </r>
  <r>
    <x v="0"/>
    <x v="0"/>
    <x v="0"/>
    <x v="15"/>
    <x v="14"/>
    <x v="3"/>
    <x v="6"/>
    <n v="0"/>
  </r>
  <r>
    <x v="0"/>
    <x v="0"/>
    <x v="0"/>
    <x v="15"/>
    <x v="14"/>
    <x v="3"/>
    <x v="7"/>
    <n v="0"/>
  </r>
  <r>
    <x v="0"/>
    <x v="0"/>
    <x v="0"/>
    <x v="15"/>
    <x v="14"/>
    <x v="3"/>
    <x v="8"/>
    <n v="0"/>
  </r>
  <r>
    <x v="0"/>
    <x v="0"/>
    <x v="0"/>
    <x v="15"/>
    <x v="14"/>
    <x v="3"/>
    <x v="9"/>
    <n v="0"/>
  </r>
  <r>
    <x v="0"/>
    <x v="0"/>
    <x v="0"/>
    <x v="15"/>
    <x v="14"/>
    <x v="3"/>
    <x v="10"/>
    <n v="0"/>
  </r>
  <r>
    <x v="0"/>
    <x v="0"/>
    <x v="0"/>
    <x v="15"/>
    <x v="14"/>
    <x v="3"/>
    <x v="11"/>
    <n v="0"/>
  </r>
  <r>
    <x v="0"/>
    <x v="0"/>
    <x v="0"/>
    <x v="15"/>
    <x v="14"/>
    <x v="4"/>
    <x v="0"/>
    <n v="-0.6"/>
  </r>
  <r>
    <x v="0"/>
    <x v="0"/>
    <x v="0"/>
    <x v="15"/>
    <x v="14"/>
    <x v="4"/>
    <x v="1"/>
    <n v="-0.6"/>
  </r>
  <r>
    <x v="0"/>
    <x v="0"/>
    <x v="0"/>
    <x v="15"/>
    <x v="14"/>
    <x v="4"/>
    <x v="2"/>
    <n v="-0.6"/>
  </r>
  <r>
    <x v="0"/>
    <x v="0"/>
    <x v="0"/>
    <x v="15"/>
    <x v="14"/>
    <x v="4"/>
    <x v="3"/>
    <n v="-0.6"/>
  </r>
  <r>
    <x v="0"/>
    <x v="0"/>
    <x v="0"/>
    <x v="15"/>
    <x v="14"/>
    <x v="4"/>
    <x v="4"/>
    <n v="-0.6"/>
  </r>
  <r>
    <x v="0"/>
    <x v="0"/>
    <x v="0"/>
    <x v="15"/>
    <x v="14"/>
    <x v="4"/>
    <x v="5"/>
    <n v="-0.6"/>
  </r>
  <r>
    <x v="0"/>
    <x v="0"/>
    <x v="0"/>
    <x v="15"/>
    <x v="14"/>
    <x v="4"/>
    <x v="6"/>
    <n v="-0.6"/>
  </r>
  <r>
    <x v="0"/>
    <x v="0"/>
    <x v="0"/>
    <x v="15"/>
    <x v="14"/>
    <x v="4"/>
    <x v="7"/>
    <n v="-0.6"/>
  </r>
  <r>
    <x v="0"/>
    <x v="0"/>
    <x v="0"/>
    <x v="15"/>
    <x v="14"/>
    <x v="4"/>
    <x v="8"/>
    <n v="-0.6"/>
  </r>
  <r>
    <x v="0"/>
    <x v="0"/>
    <x v="0"/>
    <x v="15"/>
    <x v="14"/>
    <x v="4"/>
    <x v="9"/>
    <n v="-0.6"/>
  </r>
  <r>
    <x v="0"/>
    <x v="0"/>
    <x v="0"/>
    <x v="15"/>
    <x v="14"/>
    <x v="4"/>
    <x v="10"/>
    <n v="-0.6"/>
  </r>
  <r>
    <x v="0"/>
    <x v="0"/>
    <x v="0"/>
    <x v="15"/>
    <x v="14"/>
    <x v="4"/>
    <x v="11"/>
    <n v="-0.6"/>
  </r>
  <r>
    <x v="0"/>
    <x v="0"/>
    <x v="0"/>
    <x v="15"/>
    <x v="14"/>
    <x v="5"/>
    <x v="0"/>
    <n v="-0.6"/>
  </r>
  <r>
    <x v="0"/>
    <x v="0"/>
    <x v="0"/>
    <x v="15"/>
    <x v="14"/>
    <x v="5"/>
    <x v="1"/>
    <n v="-0.6"/>
  </r>
  <r>
    <x v="0"/>
    <x v="0"/>
    <x v="0"/>
    <x v="15"/>
    <x v="14"/>
    <x v="5"/>
    <x v="2"/>
    <n v="-0.6"/>
  </r>
  <r>
    <x v="0"/>
    <x v="0"/>
    <x v="0"/>
    <x v="15"/>
    <x v="14"/>
    <x v="5"/>
    <x v="3"/>
    <n v="-0.6"/>
  </r>
  <r>
    <x v="0"/>
    <x v="0"/>
    <x v="0"/>
    <x v="15"/>
    <x v="14"/>
    <x v="5"/>
    <x v="4"/>
    <n v="-0.6"/>
  </r>
  <r>
    <x v="0"/>
    <x v="0"/>
    <x v="0"/>
    <x v="15"/>
    <x v="14"/>
    <x v="5"/>
    <x v="5"/>
    <n v="-0.6"/>
  </r>
  <r>
    <x v="0"/>
    <x v="0"/>
    <x v="0"/>
    <x v="15"/>
    <x v="14"/>
    <x v="5"/>
    <x v="6"/>
    <n v="-0.6"/>
  </r>
  <r>
    <x v="0"/>
    <x v="0"/>
    <x v="0"/>
    <x v="15"/>
    <x v="14"/>
    <x v="5"/>
    <x v="7"/>
    <n v="-0.6"/>
  </r>
  <r>
    <x v="0"/>
    <x v="0"/>
    <x v="0"/>
    <x v="15"/>
    <x v="14"/>
    <x v="5"/>
    <x v="8"/>
    <n v="-0.6"/>
  </r>
  <r>
    <x v="0"/>
    <x v="0"/>
    <x v="0"/>
    <x v="15"/>
    <x v="14"/>
    <x v="5"/>
    <x v="9"/>
    <n v="-0.6"/>
  </r>
  <r>
    <x v="0"/>
    <x v="0"/>
    <x v="0"/>
    <x v="15"/>
    <x v="14"/>
    <x v="5"/>
    <x v="10"/>
    <n v="-0.6"/>
  </r>
  <r>
    <x v="0"/>
    <x v="0"/>
    <x v="0"/>
    <x v="15"/>
    <x v="14"/>
    <x v="5"/>
    <x v="11"/>
    <n v="-0.6"/>
  </r>
  <r>
    <x v="0"/>
    <x v="0"/>
    <x v="0"/>
    <x v="15"/>
    <x v="14"/>
    <x v="6"/>
    <x v="0"/>
    <n v="-0.6"/>
  </r>
  <r>
    <x v="0"/>
    <x v="0"/>
    <x v="0"/>
    <x v="15"/>
    <x v="14"/>
    <x v="6"/>
    <x v="1"/>
    <n v="-0.6"/>
  </r>
  <r>
    <x v="0"/>
    <x v="0"/>
    <x v="0"/>
    <x v="15"/>
    <x v="14"/>
    <x v="6"/>
    <x v="2"/>
    <n v="-0.6"/>
  </r>
  <r>
    <x v="0"/>
    <x v="0"/>
    <x v="0"/>
    <x v="15"/>
    <x v="14"/>
    <x v="6"/>
    <x v="3"/>
    <n v="-0.6"/>
  </r>
  <r>
    <x v="0"/>
    <x v="0"/>
    <x v="0"/>
    <x v="15"/>
    <x v="14"/>
    <x v="6"/>
    <x v="4"/>
    <n v="-0.6"/>
  </r>
  <r>
    <x v="0"/>
    <x v="0"/>
    <x v="0"/>
    <x v="15"/>
    <x v="14"/>
    <x v="6"/>
    <x v="5"/>
    <n v="-0.6"/>
  </r>
  <r>
    <x v="0"/>
    <x v="0"/>
    <x v="0"/>
    <x v="15"/>
    <x v="14"/>
    <x v="6"/>
    <x v="6"/>
    <n v="-0.6"/>
  </r>
  <r>
    <x v="0"/>
    <x v="0"/>
    <x v="0"/>
    <x v="15"/>
    <x v="14"/>
    <x v="6"/>
    <x v="7"/>
    <n v="-0.6"/>
  </r>
  <r>
    <x v="0"/>
    <x v="0"/>
    <x v="0"/>
    <x v="15"/>
    <x v="14"/>
    <x v="6"/>
    <x v="8"/>
    <n v="-0.6"/>
  </r>
  <r>
    <x v="0"/>
    <x v="0"/>
    <x v="0"/>
    <x v="15"/>
    <x v="14"/>
    <x v="6"/>
    <x v="9"/>
    <n v="-0.6"/>
  </r>
  <r>
    <x v="0"/>
    <x v="0"/>
    <x v="0"/>
    <x v="15"/>
    <x v="14"/>
    <x v="6"/>
    <x v="10"/>
    <n v="-0.6"/>
  </r>
  <r>
    <x v="0"/>
    <x v="0"/>
    <x v="0"/>
    <x v="15"/>
    <x v="14"/>
    <x v="6"/>
    <x v="11"/>
    <n v="-0.6"/>
  </r>
  <r>
    <x v="0"/>
    <x v="0"/>
    <x v="0"/>
    <x v="15"/>
    <x v="14"/>
    <x v="7"/>
    <x v="0"/>
    <n v="-0.6"/>
  </r>
  <r>
    <x v="0"/>
    <x v="0"/>
    <x v="0"/>
    <x v="15"/>
    <x v="14"/>
    <x v="7"/>
    <x v="1"/>
    <n v="-0.6"/>
  </r>
  <r>
    <x v="0"/>
    <x v="0"/>
    <x v="0"/>
    <x v="15"/>
    <x v="14"/>
    <x v="7"/>
    <x v="2"/>
    <n v="-0.6"/>
  </r>
  <r>
    <x v="0"/>
    <x v="0"/>
    <x v="0"/>
    <x v="15"/>
    <x v="14"/>
    <x v="7"/>
    <x v="3"/>
    <n v="-0.6"/>
  </r>
  <r>
    <x v="0"/>
    <x v="0"/>
    <x v="0"/>
    <x v="15"/>
    <x v="14"/>
    <x v="7"/>
    <x v="4"/>
    <n v="-0.6"/>
  </r>
  <r>
    <x v="0"/>
    <x v="0"/>
    <x v="0"/>
    <x v="15"/>
    <x v="14"/>
    <x v="7"/>
    <x v="5"/>
    <n v="-0.6"/>
  </r>
  <r>
    <x v="0"/>
    <x v="0"/>
    <x v="0"/>
    <x v="15"/>
    <x v="14"/>
    <x v="7"/>
    <x v="6"/>
    <n v="-0.6"/>
  </r>
  <r>
    <x v="0"/>
    <x v="0"/>
    <x v="0"/>
    <x v="15"/>
    <x v="14"/>
    <x v="7"/>
    <x v="7"/>
    <n v="-0.6"/>
  </r>
  <r>
    <x v="0"/>
    <x v="0"/>
    <x v="0"/>
    <x v="15"/>
    <x v="14"/>
    <x v="7"/>
    <x v="8"/>
    <n v="-0.6"/>
  </r>
  <r>
    <x v="0"/>
    <x v="0"/>
    <x v="0"/>
    <x v="15"/>
    <x v="14"/>
    <x v="7"/>
    <x v="9"/>
    <n v="-0.6"/>
  </r>
  <r>
    <x v="0"/>
    <x v="0"/>
    <x v="0"/>
    <x v="15"/>
    <x v="14"/>
    <x v="7"/>
    <x v="10"/>
    <n v="-0.6"/>
  </r>
  <r>
    <x v="0"/>
    <x v="0"/>
    <x v="0"/>
    <x v="15"/>
    <x v="14"/>
    <x v="7"/>
    <x v="11"/>
    <n v="-0.6"/>
  </r>
  <r>
    <x v="0"/>
    <x v="0"/>
    <x v="0"/>
    <x v="15"/>
    <x v="14"/>
    <x v="8"/>
    <x v="0"/>
    <n v="-0.6"/>
  </r>
  <r>
    <x v="0"/>
    <x v="0"/>
    <x v="0"/>
    <x v="15"/>
    <x v="14"/>
    <x v="8"/>
    <x v="1"/>
    <n v="-0.6"/>
  </r>
  <r>
    <x v="0"/>
    <x v="0"/>
    <x v="0"/>
    <x v="15"/>
    <x v="14"/>
    <x v="8"/>
    <x v="2"/>
    <n v="-0.6"/>
  </r>
  <r>
    <x v="0"/>
    <x v="0"/>
    <x v="0"/>
    <x v="15"/>
    <x v="14"/>
    <x v="8"/>
    <x v="3"/>
    <n v="-0.6"/>
  </r>
  <r>
    <x v="0"/>
    <x v="0"/>
    <x v="0"/>
    <x v="15"/>
    <x v="14"/>
    <x v="8"/>
    <x v="4"/>
    <n v="-0.6"/>
  </r>
  <r>
    <x v="0"/>
    <x v="0"/>
    <x v="0"/>
    <x v="15"/>
    <x v="14"/>
    <x v="8"/>
    <x v="5"/>
    <n v="-0.6"/>
  </r>
  <r>
    <x v="0"/>
    <x v="0"/>
    <x v="0"/>
    <x v="15"/>
    <x v="14"/>
    <x v="8"/>
    <x v="6"/>
    <n v="-0.6"/>
  </r>
  <r>
    <x v="0"/>
    <x v="0"/>
    <x v="0"/>
    <x v="15"/>
    <x v="14"/>
    <x v="8"/>
    <x v="7"/>
    <n v="-0.6"/>
  </r>
  <r>
    <x v="0"/>
    <x v="0"/>
    <x v="0"/>
    <x v="15"/>
    <x v="14"/>
    <x v="8"/>
    <x v="8"/>
    <n v="-0.6"/>
  </r>
  <r>
    <x v="0"/>
    <x v="0"/>
    <x v="0"/>
    <x v="15"/>
    <x v="14"/>
    <x v="8"/>
    <x v="9"/>
    <n v="-0.6"/>
  </r>
  <r>
    <x v="0"/>
    <x v="0"/>
    <x v="0"/>
    <x v="15"/>
    <x v="14"/>
    <x v="8"/>
    <x v="10"/>
    <n v="-0.6"/>
  </r>
  <r>
    <x v="0"/>
    <x v="0"/>
    <x v="0"/>
    <x v="15"/>
    <x v="14"/>
    <x v="8"/>
    <x v="11"/>
    <n v="-0.6"/>
  </r>
  <r>
    <x v="0"/>
    <x v="0"/>
    <x v="0"/>
    <x v="15"/>
    <x v="14"/>
    <x v="9"/>
    <x v="0"/>
    <n v="-0.6"/>
  </r>
  <r>
    <x v="0"/>
    <x v="0"/>
    <x v="0"/>
    <x v="15"/>
    <x v="14"/>
    <x v="9"/>
    <x v="1"/>
    <n v="-0.6"/>
  </r>
  <r>
    <x v="0"/>
    <x v="0"/>
    <x v="0"/>
    <x v="15"/>
    <x v="14"/>
    <x v="9"/>
    <x v="2"/>
    <n v="-0.6"/>
  </r>
  <r>
    <x v="0"/>
    <x v="0"/>
    <x v="0"/>
    <x v="15"/>
    <x v="14"/>
    <x v="9"/>
    <x v="3"/>
    <n v="-0.6"/>
  </r>
  <r>
    <x v="0"/>
    <x v="0"/>
    <x v="0"/>
    <x v="15"/>
    <x v="14"/>
    <x v="9"/>
    <x v="4"/>
    <n v="-0.6"/>
  </r>
  <r>
    <x v="0"/>
    <x v="0"/>
    <x v="0"/>
    <x v="15"/>
    <x v="14"/>
    <x v="9"/>
    <x v="5"/>
    <n v="-0.6"/>
  </r>
  <r>
    <x v="0"/>
    <x v="0"/>
    <x v="0"/>
    <x v="15"/>
    <x v="14"/>
    <x v="9"/>
    <x v="6"/>
    <n v="-0.6"/>
  </r>
  <r>
    <x v="0"/>
    <x v="0"/>
    <x v="0"/>
    <x v="15"/>
    <x v="14"/>
    <x v="9"/>
    <x v="7"/>
    <n v="-0.6"/>
  </r>
  <r>
    <x v="0"/>
    <x v="0"/>
    <x v="0"/>
    <x v="15"/>
    <x v="14"/>
    <x v="9"/>
    <x v="8"/>
    <n v="-0.6"/>
  </r>
  <r>
    <x v="0"/>
    <x v="0"/>
    <x v="0"/>
    <x v="15"/>
    <x v="14"/>
    <x v="9"/>
    <x v="9"/>
    <n v="-0.6"/>
  </r>
  <r>
    <x v="0"/>
    <x v="0"/>
    <x v="0"/>
    <x v="15"/>
    <x v="14"/>
    <x v="9"/>
    <x v="10"/>
    <n v="-0.6"/>
  </r>
  <r>
    <x v="0"/>
    <x v="0"/>
    <x v="0"/>
    <x v="15"/>
    <x v="14"/>
    <x v="9"/>
    <x v="11"/>
    <n v="-0.6"/>
  </r>
  <r>
    <x v="0"/>
    <x v="0"/>
    <x v="0"/>
    <x v="15"/>
    <x v="14"/>
    <x v="10"/>
    <x v="0"/>
    <n v="-0.6"/>
  </r>
  <r>
    <x v="0"/>
    <x v="0"/>
    <x v="0"/>
    <x v="15"/>
    <x v="14"/>
    <x v="10"/>
    <x v="1"/>
    <n v="-0.6"/>
  </r>
  <r>
    <x v="0"/>
    <x v="0"/>
    <x v="0"/>
    <x v="15"/>
    <x v="14"/>
    <x v="10"/>
    <x v="2"/>
    <n v="-0.6"/>
  </r>
  <r>
    <x v="0"/>
    <x v="0"/>
    <x v="0"/>
    <x v="15"/>
    <x v="14"/>
    <x v="10"/>
    <x v="3"/>
    <n v="-0.6"/>
  </r>
  <r>
    <x v="0"/>
    <x v="0"/>
    <x v="0"/>
    <x v="15"/>
    <x v="14"/>
    <x v="10"/>
    <x v="4"/>
    <n v="-0.6"/>
  </r>
  <r>
    <x v="0"/>
    <x v="0"/>
    <x v="0"/>
    <x v="15"/>
    <x v="14"/>
    <x v="10"/>
    <x v="5"/>
    <n v="-0.6"/>
  </r>
  <r>
    <x v="0"/>
    <x v="0"/>
    <x v="0"/>
    <x v="15"/>
    <x v="14"/>
    <x v="10"/>
    <x v="6"/>
    <n v="-0.6"/>
  </r>
  <r>
    <x v="0"/>
    <x v="0"/>
    <x v="0"/>
    <x v="15"/>
    <x v="14"/>
    <x v="10"/>
    <x v="7"/>
    <n v="-0.6"/>
  </r>
  <r>
    <x v="0"/>
    <x v="0"/>
    <x v="0"/>
    <x v="15"/>
    <x v="14"/>
    <x v="10"/>
    <x v="8"/>
    <n v="-0.6"/>
  </r>
  <r>
    <x v="0"/>
    <x v="0"/>
    <x v="0"/>
    <x v="15"/>
    <x v="14"/>
    <x v="10"/>
    <x v="9"/>
    <n v="-0.6"/>
  </r>
  <r>
    <x v="0"/>
    <x v="0"/>
    <x v="0"/>
    <x v="15"/>
    <x v="14"/>
    <x v="10"/>
    <x v="10"/>
    <n v="-0.6"/>
  </r>
  <r>
    <x v="0"/>
    <x v="0"/>
    <x v="0"/>
    <x v="15"/>
    <x v="14"/>
    <x v="10"/>
    <x v="11"/>
    <n v="-0.6"/>
  </r>
  <r>
    <x v="0"/>
    <x v="0"/>
    <x v="0"/>
    <x v="15"/>
    <x v="14"/>
    <x v="11"/>
    <x v="0"/>
    <n v="-0.6"/>
  </r>
  <r>
    <x v="0"/>
    <x v="0"/>
    <x v="0"/>
    <x v="15"/>
    <x v="14"/>
    <x v="11"/>
    <x v="1"/>
    <n v="-0.6"/>
  </r>
  <r>
    <x v="0"/>
    <x v="0"/>
    <x v="0"/>
    <x v="15"/>
    <x v="14"/>
    <x v="11"/>
    <x v="2"/>
    <n v="-0.6"/>
  </r>
  <r>
    <x v="0"/>
    <x v="0"/>
    <x v="0"/>
    <x v="15"/>
    <x v="14"/>
    <x v="11"/>
    <x v="3"/>
    <n v="-0.6"/>
  </r>
  <r>
    <x v="0"/>
    <x v="0"/>
    <x v="0"/>
    <x v="15"/>
    <x v="14"/>
    <x v="11"/>
    <x v="4"/>
    <n v="-0.6"/>
  </r>
  <r>
    <x v="0"/>
    <x v="0"/>
    <x v="0"/>
    <x v="15"/>
    <x v="14"/>
    <x v="11"/>
    <x v="5"/>
    <n v="-0.6"/>
  </r>
  <r>
    <x v="0"/>
    <x v="0"/>
    <x v="0"/>
    <x v="15"/>
    <x v="14"/>
    <x v="11"/>
    <x v="6"/>
    <n v="-0.6"/>
  </r>
  <r>
    <x v="0"/>
    <x v="0"/>
    <x v="0"/>
    <x v="15"/>
    <x v="14"/>
    <x v="11"/>
    <x v="7"/>
    <n v="-0.6"/>
  </r>
  <r>
    <x v="0"/>
    <x v="0"/>
    <x v="0"/>
    <x v="15"/>
    <x v="14"/>
    <x v="11"/>
    <x v="8"/>
    <n v="-0.6"/>
  </r>
  <r>
    <x v="0"/>
    <x v="0"/>
    <x v="0"/>
    <x v="15"/>
    <x v="14"/>
    <x v="11"/>
    <x v="9"/>
    <n v="-0.6"/>
  </r>
  <r>
    <x v="0"/>
    <x v="0"/>
    <x v="0"/>
    <x v="15"/>
    <x v="14"/>
    <x v="11"/>
    <x v="10"/>
    <n v="-0.6"/>
  </r>
  <r>
    <x v="0"/>
    <x v="0"/>
    <x v="0"/>
    <x v="15"/>
    <x v="14"/>
    <x v="11"/>
    <x v="11"/>
    <n v="-0.6"/>
  </r>
  <r>
    <x v="0"/>
    <x v="0"/>
    <x v="0"/>
    <x v="15"/>
    <x v="17"/>
    <x v="0"/>
    <x v="0"/>
    <n v="8.6911039406780494E-2"/>
  </r>
  <r>
    <x v="0"/>
    <x v="0"/>
    <x v="0"/>
    <x v="15"/>
    <x v="17"/>
    <x v="0"/>
    <x v="1"/>
    <n v="0.108856588673202"/>
  </r>
  <r>
    <x v="0"/>
    <x v="0"/>
    <x v="0"/>
    <x v="15"/>
    <x v="17"/>
    <x v="0"/>
    <x v="2"/>
    <n v="0.3"/>
  </r>
  <r>
    <x v="0"/>
    <x v="0"/>
    <x v="0"/>
    <x v="15"/>
    <x v="17"/>
    <x v="0"/>
    <x v="3"/>
    <n v="0.3"/>
  </r>
  <r>
    <x v="0"/>
    <x v="0"/>
    <x v="0"/>
    <x v="15"/>
    <x v="17"/>
    <x v="0"/>
    <x v="4"/>
    <n v="0.3"/>
  </r>
  <r>
    <x v="0"/>
    <x v="0"/>
    <x v="0"/>
    <x v="15"/>
    <x v="17"/>
    <x v="0"/>
    <x v="5"/>
    <n v="8.0668461977990102E-2"/>
  </r>
  <r>
    <x v="0"/>
    <x v="0"/>
    <x v="0"/>
    <x v="15"/>
    <x v="17"/>
    <x v="0"/>
    <x v="6"/>
    <n v="4.2864723244993901E-2"/>
  </r>
  <r>
    <x v="0"/>
    <x v="0"/>
    <x v="0"/>
    <x v="15"/>
    <x v="17"/>
    <x v="0"/>
    <x v="7"/>
    <n v="0.3"/>
  </r>
  <r>
    <x v="0"/>
    <x v="0"/>
    <x v="0"/>
    <x v="15"/>
    <x v="17"/>
    <x v="0"/>
    <x v="8"/>
    <n v="0.3"/>
  </r>
  <r>
    <x v="0"/>
    <x v="0"/>
    <x v="0"/>
    <x v="15"/>
    <x v="17"/>
    <x v="0"/>
    <x v="9"/>
    <n v="0.3"/>
  </r>
  <r>
    <x v="0"/>
    <x v="0"/>
    <x v="0"/>
    <x v="15"/>
    <x v="17"/>
    <x v="0"/>
    <x v="10"/>
    <n v="0.3"/>
  </r>
  <r>
    <x v="0"/>
    <x v="0"/>
    <x v="0"/>
    <x v="15"/>
    <x v="17"/>
    <x v="0"/>
    <x v="11"/>
    <n v="0.3"/>
  </r>
  <r>
    <x v="0"/>
    <x v="0"/>
    <x v="0"/>
    <x v="15"/>
    <x v="17"/>
    <x v="1"/>
    <x v="0"/>
    <n v="0.3"/>
  </r>
  <r>
    <x v="0"/>
    <x v="0"/>
    <x v="0"/>
    <x v="15"/>
    <x v="17"/>
    <x v="1"/>
    <x v="1"/>
    <n v="0.3"/>
  </r>
  <r>
    <x v="0"/>
    <x v="0"/>
    <x v="0"/>
    <x v="15"/>
    <x v="17"/>
    <x v="1"/>
    <x v="2"/>
    <n v="0.3"/>
  </r>
  <r>
    <x v="0"/>
    <x v="0"/>
    <x v="0"/>
    <x v="15"/>
    <x v="17"/>
    <x v="1"/>
    <x v="3"/>
    <n v="0.3"/>
  </r>
  <r>
    <x v="0"/>
    <x v="0"/>
    <x v="0"/>
    <x v="15"/>
    <x v="17"/>
    <x v="1"/>
    <x v="4"/>
    <n v="0.3"/>
  </r>
  <r>
    <x v="0"/>
    <x v="0"/>
    <x v="0"/>
    <x v="15"/>
    <x v="17"/>
    <x v="1"/>
    <x v="5"/>
    <n v="0.3"/>
  </r>
  <r>
    <x v="0"/>
    <x v="0"/>
    <x v="0"/>
    <x v="15"/>
    <x v="17"/>
    <x v="1"/>
    <x v="6"/>
    <n v="0.271895211971107"/>
  </r>
  <r>
    <x v="0"/>
    <x v="0"/>
    <x v="0"/>
    <x v="15"/>
    <x v="17"/>
    <x v="1"/>
    <x v="7"/>
    <n v="0.3"/>
  </r>
  <r>
    <x v="0"/>
    <x v="0"/>
    <x v="0"/>
    <x v="15"/>
    <x v="17"/>
    <x v="1"/>
    <x v="8"/>
    <n v="0.3"/>
  </r>
  <r>
    <x v="0"/>
    <x v="0"/>
    <x v="0"/>
    <x v="15"/>
    <x v="17"/>
    <x v="1"/>
    <x v="9"/>
    <n v="0.3"/>
  </r>
  <r>
    <x v="0"/>
    <x v="0"/>
    <x v="0"/>
    <x v="15"/>
    <x v="17"/>
    <x v="1"/>
    <x v="10"/>
    <n v="0.3"/>
  </r>
  <r>
    <x v="0"/>
    <x v="0"/>
    <x v="0"/>
    <x v="15"/>
    <x v="17"/>
    <x v="1"/>
    <x v="11"/>
    <n v="0.3"/>
  </r>
  <r>
    <x v="0"/>
    <x v="0"/>
    <x v="0"/>
    <x v="15"/>
    <x v="17"/>
    <x v="2"/>
    <x v="0"/>
    <n v="0.3"/>
  </r>
  <r>
    <x v="0"/>
    <x v="0"/>
    <x v="0"/>
    <x v="15"/>
    <x v="17"/>
    <x v="2"/>
    <x v="1"/>
    <n v="0.3"/>
  </r>
  <r>
    <x v="0"/>
    <x v="0"/>
    <x v="0"/>
    <x v="15"/>
    <x v="17"/>
    <x v="2"/>
    <x v="2"/>
    <n v="0.3"/>
  </r>
  <r>
    <x v="0"/>
    <x v="0"/>
    <x v="0"/>
    <x v="15"/>
    <x v="17"/>
    <x v="2"/>
    <x v="3"/>
    <n v="0.3"/>
  </r>
  <r>
    <x v="0"/>
    <x v="0"/>
    <x v="0"/>
    <x v="15"/>
    <x v="17"/>
    <x v="2"/>
    <x v="4"/>
    <n v="3.4639896059576597E-2"/>
  </r>
  <r>
    <x v="0"/>
    <x v="0"/>
    <x v="0"/>
    <x v="15"/>
    <x v="17"/>
    <x v="2"/>
    <x v="5"/>
    <n v="3.4238347714794899E-2"/>
  </r>
  <r>
    <x v="0"/>
    <x v="0"/>
    <x v="0"/>
    <x v="15"/>
    <x v="17"/>
    <x v="2"/>
    <x v="6"/>
    <n v="0.3"/>
  </r>
  <r>
    <x v="0"/>
    <x v="0"/>
    <x v="0"/>
    <x v="15"/>
    <x v="17"/>
    <x v="2"/>
    <x v="7"/>
    <n v="0.3"/>
  </r>
  <r>
    <x v="0"/>
    <x v="0"/>
    <x v="0"/>
    <x v="15"/>
    <x v="17"/>
    <x v="2"/>
    <x v="8"/>
    <n v="0.3"/>
  </r>
  <r>
    <x v="0"/>
    <x v="0"/>
    <x v="0"/>
    <x v="15"/>
    <x v="17"/>
    <x v="2"/>
    <x v="9"/>
    <n v="0.3"/>
  </r>
  <r>
    <x v="0"/>
    <x v="0"/>
    <x v="0"/>
    <x v="15"/>
    <x v="17"/>
    <x v="2"/>
    <x v="10"/>
    <n v="0.3"/>
  </r>
  <r>
    <x v="0"/>
    <x v="0"/>
    <x v="0"/>
    <x v="15"/>
    <x v="17"/>
    <x v="2"/>
    <x v="11"/>
    <n v="0.3"/>
  </r>
  <r>
    <x v="0"/>
    <x v="0"/>
    <x v="0"/>
    <x v="15"/>
    <x v="17"/>
    <x v="3"/>
    <x v="0"/>
    <n v="0.3"/>
  </r>
  <r>
    <x v="0"/>
    <x v="0"/>
    <x v="0"/>
    <x v="15"/>
    <x v="17"/>
    <x v="3"/>
    <x v="1"/>
    <n v="0.28992694954044301"/>
  </r>
  <r>
    <x v="0"/>
    <x v="0"/>
    <x v="0"/>
    <x v="15"/>
    <x v="17"/>
    <x v="3"/>
    <x v="2"/>
    <n v="0.28265341379300601"/>
  </r>
  <r>
    <x v="0"/>
    <x v="0"/>
    <x v="0"/>
    <x v="15"/>
    <x v="17"/>
    <x v="3"/>
    <x v="3"/>
    <n v="0.28829779997702898"/>
  </r>
  <r>
    <x v="0"/>
    <x v="0"/>
    <x v="0"/>
    <x v="15"/>
    <x v="17"/>
    <x v="3"/>
    <x v="4"/>
    <n v="0.3"/>
  </r>
  <r>
    <x v="0"/>
    <x v="0"/>
    <x v="0"/>
    <x v="15"/>
    <x v="17"/>
    <x v="3"/>
    <x v="5"/>
    <n v="0.3"/>
  </r>
  <r>
    <x v="0"/>
    <x v="0"/>
    <x v="0"/>
    <x v="15"/>
    <x v="17"/>
    <x v="3"/>
    <x v="6"/>
    <n v="0.3"/>
  </r>
  <r>
    <x v="0"/>
    <x v="0"/>
    <x v="0"/>
    <x v="15"/>
    <x v="17"/>
    <x v="3"/>
    <x v="7"/>
    <n v="0.3"/>
  </r>
  <r>
    <x v="0"/>
    <x v="0"/>
    <x v="0"/>
    <x v="15"/>
    <x v="17"/>
    <x v="3"/>
    <x v="8"/>
    <n v="0.3"/>
  </r>
  <r>
    <x v="0"/>
    <x v="0"/>
    <x v="0"/>
    <x v="15"/>
    <x v="17"/>
    <x v="3"/>
    <x v="9"/>
    <n v="0.3"/>
  </r>
  <r>
    <x v="0"/>
    <x v="0"/>
    <x v="0"/>
    <x v="15"/>
    <x v="17"/>
    <x v="3"/>
    <x v="10"/>
    <n v="0.3"/>
  </r>
  <r>
    <x v="0"/>
    <x v="0"/>
    <x v="0"/>
    <x v="15"/>
    <x v="17"/>
    <x v="3"/>
    <x v="11"/>
    <n v="0.3"/>
  </r>
  <r>
    <x v="0"/>
    <x v="0"/>
    <x v="0"/>
    <x v="15"/>
    <x v="17"/>
    <x v="4"/>
    <x v="0"/>
    <n v="-0.25"/>
  </r>
  <r>
    <x v="0"/>
    <x v="0"/>
    <x v="0"/>
    <x v="15"/>
    <x v="17"/>
    <x v="4"/>
    <x v="1"/>
    <n v="-0.25"/>
  </r>
  <r>
    <x v="0"/>
    <x v="0"/>
    <x v="0"/>
    <x v="15"/>
    <x v="17"/>
    <x v="4"/>
    <x v="2"/>
    <n v="-0.25"/>
  </r>
  <r>
    <x v="0"/>
    <x v="0"/>
    <x v="0"/>
    <x v="15"/>
    <x v="17"/>
    <x v="4"/>
    <x v="3"/>
    <n v="-0.25"/>
  </r>
  <r>
    <x v="0"/>
    <x v="0"/>
    <x v="0"/>
    <x v="15"/>
    <x v="17"/>
    <x v="4"/>
    <x v="4"/>
    <n v="-0.25"/>
  </r>
  <r>
    <x v="0"/>
    <x v="0"/>
    <x v="0"/>
    <x v="15"/>
    <x v="17"/>
    <x v="4"/>
    <x v="5"/>
    <n v="-0.25"/>
  </r>
  <r>
    <x v="0"/>
    <x v="0"/>
    <x v="0"/>
    <x v="15"/>
    <x v="17"/>
    <x v="4"/>
    <x v="6"/>
    <n v="-0.25"/>
  </r>
  <r>
    <x v="0"/>
    <x v="0"/>
    <x v="0"/>
    <x v="15"/>
    <x v="17"/>
    <x v="4"/>
    <x v="7"/>
    <n v="-0.25"/>
  </r>
  <r>
    <x v="0"/>
    <x v="0"/>
    <x v="0"/>
    <x v="15"/>
    <x v="17"/>
    <x v="4"/>
    <x v="8"/>
    <n v="-0.25"/>
  </r>
  <r>
    <x v="0"/>
    <x v="0"/>
    <x v="0"/>
    <x v="15"/>
    <x v="17"/>
    <x v="4"/>
    <x v="9"/>
    <n v="-0.25"/>
  </r>
  <r>
    <x v="0"/>
    <x v="0"/>
    <x v="0"/>
    <x v="15"/>
    <x v="17"/>
    <x v="4"/>
    <x v="10"/>
    <n v="-0.25"/>
  </r>
  <r>
    <x v="0"/>
    <x v="0"/>
    <x v="0"/>
    <x v="15"/>
    <x v="17"/>
    <x v="4"/>
    <x v="11"/>
    <n v="-0.25"/>
  </r>
  <r>
    <x v="0"/>
    <x v="0"/>
    <x v="0"/>
    <x v="15"/>
    <x v="17"/>
    <x v="5"/>
    <x v="0"/>
    <n v="-0.25"/>
  </r>
  <r>
    <x v="0"/>
    <x v="0"/>
    <x v="0"/>
    <x v="15"/>
    <x v="17"/>
    <x v="5"/>
    <x v="1"/>
    <n v="-0.25"/>
  </r>
  <r>
    <x v="0"/>
    <x v="0"/>
    <x v="0"/>
    <x v="15"/>
    <x v="17"/>
    <x v="5"/>
    <x v="2"/>
    <n v="-0.25"/>
  </r>
  <r>
    <x v="0"/>
    <x v="0"/>
    <x v="0"/>
    <x v="15"/>
    <x v="17"/>
    <x v="5"/>
    <x v="3"/>
    <n v="-0.25"/>
  </r>
  <r>
    <x v="0"/>
    <x v="0"/>
    <x v="0"/>
    <x v="15"/>
    <x v="17"/>
    <x v="5"/>
    <x v="4"/>
    <n v="-0.25"/>
  </r>
  <r>
    <x v="0"/>
    <x v="0"/>
    <x v="0"/>
    <x v="15"/>
    <x v="17"/>
    <x v="5"/>
    <x v="5"/>
    <n v="-0.25"/>
  </r>
  <r>
    <x v="0"/>
    <x v="0"/>
    <x v="0"/>
    <x v="15"/>
    <x v="17"/>
    <x v="5"/>
    <x v="6"/>
    <n v="-0.25"/>
  </r>
  <r>
    <x v="0"/>
    <x v="0"/>
    <x v="0"/>
    <x v="15"/>
    <x v="17"/>
    <x v="5"/>
    <x v="7"/>
    <n v="-0.25"/>
  </r>
  <r>
    <x v="0"/>
    <x v="0"/>
    <x v="0"/>
    <x v="15"/>
    <x v="17"/>
    <x v="5"/>
    <x v="8"/>
    <n v="-0.25"/>
  </r>
  <r>
    <x v="0"/>
    <x v="0"/>
    <x v="0"/>
    <x v="15"/>
    <x v="17"/>
    <x v="5"/>
    <x v="9"/>
    <n v="-0.25"/>
  </r>
  <r>
    <x v="0"/>
    <x v="0"/>
    <x v="0"/>
    <x v="15"/>
    <x v="17"/>
    <x v="5"/>
    <x v="10"/>
    <n v="-0.25"/>
  </r>
  <r>
    <x v="0"/>
    <x v="0"/>
    <x v="0"/>
    <x v="15"/>
    <x v="17"/>
    <x v="5"/>
    <x v="11"/>
    <n v="-0.25"/>
  </r>
  <r>
    <x v="0"/>
    <x v="0"/>
    <x v="0"/>
    <x v="15"/>
    <x v="17"/>
    <x v="6"/>
    <x v="0"/>
    <n v="-0.25"/>
  </r>
  <r>
    <x v="0"/>
    <x v="0"/>
    <x v="0"/>
    <x v="15"/>
    <x v="17"/>
    <x v="6"/>
    <x v="1"/>
    <n v="-0.25"/>
  </r>
  <r>
    <x v="0"/>
    <x v="0"/>
    <x v="0"/>
    <x v="15"/>
    <x v="17"/>
    <x v="6"/>
    <x v="2"/>
    <n v="-0.25"/>
  </r>
  <r>
    <x v="0"/>
    <x v="0"/>
    <x v="0"/>
    <x v="15"/>
    <x v="17"/>
    <x v="6"/>
    <x v="3"/>
    <n v="-0.25"/>
  </r>
  <r>
    <x v="0"/>
    <x v="0"/>
    <x v="0"/>
    <x v="15"/>
    <x v="17"/>
    <x v="6"/>
    <x v="4"/>
    <n v="-0.25"/>
  </r>
  <r>
    <x v="0"/>
    <x v="0"/>
    <x v="0"/>
    <x v="15"/>
    <x v="17"/>
    <x v="6"/>
    <x v="5"/>
    <n v="-0.25"/>
  </r>
  <r>
    <x v="0"/>
    <x v="0"/>
    <x v="0"/>
    <x v="15"/>
    <x v="17"/>
    <x v="6"/>
    <x v="6"/>
    <n v="-0.25"/>
  </r>
  <r>
    <x v="0"/>
    <x v="0"/>
    <x v="0"/>
    <x v="15"/>
    <x v="17"/>
    <x v="6"/>
    <x v="7"/>
    <n v="-0.25"/>
  </r>
  <r>
    <x v="0"/>
    <x v="0"/>
    <x v="0"/>
    <x v="15"/>
    <x v="17"/>
    <x v="6"/>
    <x v="8"/>
    <n v="-0.25"/>
  </r>
  <r>
    <x v="0"/>
    <x v="0"/>
    <x v="0"/>
    <x v="15"/>
    <x v="17"/>
    <x v="6"/>
    <x v="9"/>
    <n v="-0.25"/>
  </r>
  <r>
    <x v="0"/>
    <x v="0"/>
    <x v="0"/>
    <x v="15"/>
    <x v="17"/>
    <x v="6"/>
    <x v="10"/>
    <n v="-0.25"/>
  </r>
  <r>
    <x v="0"/>
    <x v="0"/>
    <x v="0"/>
    <x v="15"/>
    <x v="17"/>
    <x v="6"/>
    <x v="11"/>
    <n v="-0.25"/>
  </r>
  <r>
    <x v="0"/>
    <x v="0"/>
    <x v="0"/>
    <x v="15"/>
    <x v="17"/>
    <x v="7"/>
    <x v="0"/>
    <n v="-0.25"/>
  </r>
  <r>
    <x v="0"/>
    <x v="0"/>
    <x v="0"/>
    <x v="15"/>
    <x v="17"/>
    <x v="7"/>
    <x v="1"/>
    <n v="-0.25"/>
  </r>
  <r>
    <x v="0"/>
    <x v="0"/>
    <x v="0"/>
    <x v="15"/>
    <x v="17"/>
    <x v="7"/>
    <x v="2"/>
    <n v="-0.25"/>
  </r>
  <r>
    <x v="0"/>
    <x v="0"/>
    <x v="0"/>
    <x v="15"/>
    <x v="17"/>
    <x v="7"/>
    <x v="3"/>
    <n v="-0.25"/>
  </r>
  <r>
    <x v="0"/>
    <x v="0"/>
    <x v="0"/>
    <x v="15"/>
    <x v="17"/>
    <x v="7"/>
    <x v="4"/>
    <n v="-0.25"/>
  </r>
  <r>
    <x v="0"/>
    <x v="0"/>
    <x v="0"/>
    <x v="15"/>
    <x v="17"/>
    <x v="7"/>
    <x v="5"/>
    <n v="-0.25"/>
  </r>
  <r>
    <x v="0"/>
    <x v="0"/>
    <x v="0"/>
    <x v="15"/>
    <x v="17"/>
    <x v="7"/>
    <x v="6"/>
    <n v="-0.25"/>
  </r>
  <r>
    <x v="0"/>
    <x v="0"/>
    <x v="0"/>
    <x v="15"/>
    <x v="17"/>
    <x v="7"/>
    <x v="7"/>
    <n v="-0.25"/>
  </r>
  <r>
    <x v="0"/>
    <x v="0"/>
    <x v="0"/>
    <x v="15"/>
    <x v="17"/>
    <x v="7"/>
    <x v="8"/>
    <n v="-0.25"/>
  </r>
  <r>
    <x v="0"/>
    <x v="0"/>
    <x v="0"/>
    <x v="15"/>
    <x v="17"/>
    <x v="7"/>
    <x v="9"/>
    <n v="-0.25"/>
  </r>
  <r>
    <x v="0"/>
    <x v="0"/>
    <x v="0"/>
    <x v="15"/>
    <x v="17"/>
    <x v="7"/>
    <x v="10"/>
    <n v="-0.25"/>
  </r>
  <r>
    <x v="0"/>
    <x v="0"/>
    <x v="0"/>
    <x v="15"/>
    <x v="17"/>
    <x v="7"/>
    <x v="11"/>
    <n v="-0.25"/>
  </r>
  <r>
    <x v="0"/>
    <x v="0"/>
    <x v="0"/>
    <x v="15"/>
    <x v="17"/>
    <x v="8"/>
    <x v="0"/>
    <n v="-0.25"/>
  </r>
  <r>
    <x v="0"/>
    <x v="0"/>
    <x v="0"/>
    <x v="15"/>
    <x v="17"/>
    <x v="8"/>
    <x v="1"/>
    <n v="-0.25"/>
  </r>
  <r>
    <x v="0"/>
    <x v="0"/>
    <x v="0"/>
    <x v="15"/>
    <x v="17"/>
    <x v="8"/>
    <x v="2"/>
    <n v="-0.25"/>
  </r>
  <r>
    <x v="0"/>
    <x v="0"/>
    <x v="0"/>
    <x v="15"/>
    <x v="17"/>
    <x v="8"/>
    <x v="3"/>
    <n v="-0.25"/>
  </r>
  <r>
    <x v="0"/>
    <x v="0"/>
    <x v="0"/>
    <x v="15"/>
    <x v="17"/>
    <x v="8"/>
    <x v="4"/>
    <n v="-0.25"/>
  </r>
  <r>
    <x v="0"/>
    <x v="0"/>
    <x v="0"/>
    <x v="15"/>
    <x v="17"/>
    <x v="8"/>
    <x v="5"/>
    <n v="-0.25"/>
  </r>
  <r>
    <x v="0"/>
    <x v="0"/>
    <x v="0"/>
    <x v="15"/>
    <x v="17"/>
    <x v="8"/>
    <x v="6"/>
    <n v="-0.25"/>
  </r>
  <r>
    <x v="0"/>
    <x v="0"/>
    <x v="0"/>
    <x v="15"/>
    <x v="17"/>
    <x v="8"/>
    <x v="7"/>
    <n v="-0.25"/>
  </r>
  <r>
    <x v="0"/>
    <x v="0"/>
    <x v="0"/>
    <x v="15"/>
    <x v="17"/>
    <x v="8"/>
    <x v="8"/>
    <n v="-0.25"/>
  </r>
  <r>
    <x v="0"/>
    <x v="0"/>
    <x v="0"/>
    <x v="15"/>
    <x v="17"/>
    <x v="8"/>
    <x v="9"/>
    <n v="-0.25"/>
  </r>
  <r>
    <x v="0"/>
    <x v="0"/>
    <x v="0"/>
    <x v="15"/>
    <x v="17"/>
    <x v="8"/>
    <x v="10"/>
    <n v="-0.25"/>
  </r>
  <r>
    <x v="0"/>
    <x v="0"/>
    <x v="0"/>
    <x v="15"/>
    <x v="17"/>
    <x v="8"/>
    <x v="11"/>
    <n v="-0.25"/>
  </r>
  <r>
    <x v="0"/>
    <x v="0"/>
    <x v="0"/>
    <x v="15"/>
    <x v="17"/>
    <x v="9"/>
    <x v="0"/>
    <n v="-0.25"/>
  </r>
  <r>
    <x v="0"/>
    <x v="0"/>
    <x v="0"/>
    <x v="15"/>
    <x v="17"/>
    <x v="9"/>
    <x v="1"/>
    <n v="-0.25"/>
  </r>
  <r>
    <x v="0"/>
    <x v="0"/>
    <x v="0"/>
    <x v="15"/>
    <x v="17"/>
    <x v="9"/>
    <x v="2"/>
    <n v="-0.25"/>
  </r>
  <r>
    <x v="0"/>
    <x v="0"/>
    <x v="0"/>
    <x v="15"/>
    <x v="17"/>
    <x v="9"/>
    <x v="3"/>
    <n v="-0.25"/>
  </r>
  <r>
    <x v="0"/>
    <x v="0"/>
    <x v="0"/>
    <x v="15"/>
    <x v="17"/>
    <x v="9"/>
    <x v="4"/>
    <n v="-0.25"/>
  </r>
  <r>
    <x v="0"/>
    <x v="0"/>
    <x v="0"/>
    <x v="15"/>
    <x v="17"/>
    <x v="9"/>
    <x v="5"/>
    <n v="-0.25"/>
  </r>
  <r>
    <x v="0"/>
    <x v="0"/>
    <x v="0"/>
    <x v="15"/>
    <x v="17"/>
    <x v="9"/>
    <x v="6"/>
    <n v="-0.25"/>
  </r>
  <r>
    <x v="0"/>
    <x v="0"/>
    <x v="0"/>
    <x v="15"/>
    <x v="17"/>
    <x v="9"/>
    <x v="7"/>
    <n v="-0.25"/>
  </r>
  <r>
    <x v="0"/>
    <x v="0"/>
    <x v="0"/>
    <x v="15"/>
    <x v="17"/>
    <x v="9"/>
    <x v="8"/>
    <n v="-0.25"/>
  </r>
  <r>
    <x v="0"/>
    <x v="0"/>
    <x v="0"/>
    <x v="15"/>
    <x v="17"/>
    <x v="9"/>
    <x v="9"/>
    <n v="-0.25"/>
  </r>
  <r>
    <x v="0"/>
    <x v="0"/>
    <x v="0"/>
    <x v="15"/>
    <x v="17"/>
    <x v="9"/>
    <x v="10"/>
    <n v="-0.25"/>
  </r>
  <r>
    <x v="0"/>
    <x v="0"/>
    <x v="0"/>
    <x v="15"/>
    <x v="17"/>
    <x v="9"/>
    <x v="11"/>
    <n v="-0.25"/>
  </r>
  <r>
    <x v="0"/>
    <x v="0"/>
    <x v="0"/>
    <x v="15"/>
    <x v="17"/>
    <x v="10"/>
    <x v="0"/>
    <n v="-0.25"/>
  </r>
  <r>
    <x v="0"/>
    <x v="0"/>
    <x v="0"/>
    <x v="15"/>
    <x v="17"/>
    <x v="10"/>
    <x v="1"/>
    <n v="-0.25"/>
  </r>
  <r>
    <x v="0"/>
    <x v="0"/>
    <x v="0"/>
    <x v="15"/>
    <x v="17"/>
    <x v="10"/>
    <x v="2"/>
    <n v="-0.25"/>
  </r>
  <r>
    <x v="0"/>
    <x v="0"/>
    <x v="0"/>
    <x v="15"/>
    <x v="17"/>
    <x v="10"/>
    <x v="3"/>
    <n v="-0.25"/>
  </r>
  <r>
    <x v="0"/>
    <x v="0"/>
    <x v="0"/>
    <x v="15"/>
    <x v="17"/>
    <x v="10"/>
    <x v="4"/>
    <n v="-0.25"/>
  </r>
  <r>
    <x v="0"/>
    <x v="0"/>
    <x v="0"/>
    <x v="15"/>
    <x v="17"/>
    <x v="10"/>
    <x v="5"/>
    <n v="-0.25"/>
  </r>
  <r>
    <x v="0"/>
    <x v="0"/>
    <x v="0"/>
    <x v="15"/>
    <x v="17"/>
    <x v="10"/>
    <x v="6"/>
    <n v="-0.25"/>
  </r>
  <r>
    <x v="0"/>
    <x v="0"/>
    <x v="0"/>
    <x v="15"/>
    <x v="17"/>
    <x v="10"/>
    <x v="7"/>
    <n v="-0.25"/>
  </r>
  <r>
    <x v="0"/>
    <x v="0"/>
    <x v="0"/>
    <x v="15"/>
    <x v="17"/>
    <x v="10"/>
    <x v="8"/>
    <n v="-0.25"/>
  </r>
  <r>
    <x v="0"/>
    <x v="0"/>
    <x v="0"/>
    <x v="15"/>
    <x v="17"/>
    <x v="10"/>
    <x v="9"/>
    <n v="-0.25"/>
  </r>
  <r>
    <x v="0"/>
    <x v="0"/>
    <x v="0"/>
    <x v="15"/>
    <x v="17"/>
    <x v="10"/>
    <x v="10"/>
    <n v="-0.25"/>
  </r>
  <r>
    <x v="0"/>
    <x v="0"/>
    <x v="0"/>
    <x v="15"/>
    <x v="17"/>
    <x v="10"/>
    <x v="11"/>
    <n v="-0.25"/>
  </r>
  <r>
    <x v="0"/>
    <x v="0"/>
    <x v="0"/>
    <x v="15"/>
    <x v="17"/>
    <x v="11"/>
    <x v="0"/>
    <n v="-0.25"/>
  </r>
  <r>
    <x v="0"/>
    <x v="0"/>
    <x v="0"/>
    <x v="15"/>
    <x v="17"/>
    <x v="11"/>
    <x v="1"/>
    <n v="-0.25"/>
  </r>
  <r>
    <x v="0"/>
    <x v="0"/>
    <x v="0"/>
    <x v="15"/>
    <x v="17"/>
    <x v="11"/>
    <x v="2"/>
    <n v="-0.25"/>
  </r>
  <r>
    <x v="0"/>
    <x v="0"/>
    <x v="0"/>
    <x v="15"/>
    <x v="17"/>
    <x v="11"/>
    <x v="3"/>
    <n v="-0.25"/>
  </r>
  <r>
    <x v="0"/>
    <x v="0"/>
    <x v="0"/>
    <x v="15"/>
    <x v="17"/>
    <x v="11"/>
    <x v="4"/>
    <n v="-0.25"/>
  </r>
  <r>
    <x v="0"/>
    <x v="0"/>
    <x v="0"/>
    <x v="15"/>
    <x v="17"/>
    <x v="11"/>
    <x v="5"/>
    <n v="-0.25"/>
  </r>
  <r>
    <x v="0"/>
    <x v="0"/>
    <x v="0"/>
    <x v="15"/>
    <x v="17"/>
    <x v="11"/>
    <x v="6"/>
    <n v="-0.25"/>
  </r>
  <r>
    <x v="0"/>
    <x v="0"/>
    <x v="0"/>
    <x v="15"/>
    <x v="17"/>
    <x v="11"/>
    <x v="7"/>
    <n v="-0.25"/>
  </r>
  <r>
    <x v="0"/>
    <x v="0"/>
    <x v="0"/>
    <x v="15"/>
    <x v="17"/>
    <x v="11"/>
    <x v="8"/>
    <n v="-0.25"/>
  </r>
  <r>
    <x v="0"/>
    <x v="0"/>
    <x v="0"/>
    <x v="15"/>
    <x v="17"/>
    <x v="11"/>
    <x v="9"/>
    <n v="-0.25"/>
  </r>
  <r>
    <x v="0"/>
    <x v="0"/>
    <x v="0"/>
    <x v="15"/>
    <x v="17"/>
    <x v="11"/>
    <x v="10"/>
    <n v="-0.25"/>
  </r>
  <r>
    <x v="0"/>
    <x v="0"/>
    <x v="0"/>
    <x v="15"/>
    <x v="17"/>
    <x v="11"/>
    <x v="11"/>
    <n v="-0.25"/>
  </r>
  <r>
    <x v="0"/>
    <x v="0"/>
    <x v="0"/>
    <x v="15"/>
    <x v="9"/>
    <x v="0"/>
    <x v="0"/>
    <n v="0"/>
  </r>
  <r>
    <x v="0"/>
    <x v="0"/>
    <x v="0"/>
    <x v="15"/>
    <x v="9"/>
    <x v="0"/>
    <x v="1"/>
    <n v="0"/>
  </r>
  <r>
    <x v="0"/>
    <x v="0"/>
    <x v="0"/>
    <x v="15"/>
    <x v="9"/>
    <x v="0"/>
    <x v="2"/>
    <n v="0"/>
  </r>
  <r>
    <x v="0"/>
    <x v="0"/>
    <x v="0"/>
    <x v="15"/>
    <x v="9"/>
    <x v="0"/>
    <x v="3"/>
    <n v="0"/>
  </r>
  <r>
    <x v="0"/>
    <x v="0"/>
    <x v="0"/>
    <x v="15"/>
    <x v="9"/>
    <x v="0"/>
    <x v="4"/>
    <n v="0"/>
  </r>
  <r>
    <x v="0"/>
    <x v="0"/>
    <x v="0"/>
    <x v="15"/>
    <x v="9"/>
    <x v="0"/>
    <x v="5"/>
    <n v="0"/>
  </r>
  <r>
    <x v="0"/>
    <x v="0"/>
    <x v="0"/>
    <x v="15"/>
    <x v="9"/>
    <x v="0"/>
    <x v="6"/>
    <n v="0"/>
  </r>
  <r>
    <x v="0"/>
    <x v="0"/>
    <x v="0"/>
    <x v="15"/>
    <x v="9"/>
    <x v="0"/>
    <x v="7"/>
    <n v="0"/>
  </r>
  <r>
    <x v="0"/>
    <x v="0"/>
    <x v="0"/>
    <x v="15"/>
    <x v="9"/>
    <x v="0"/>
    <x v="8"/>
    <n v="0"/>
  </r>
  <r>
    <x v="0"/>
    <x v="0"/>
    <x v="0"/>
    <x v="15"/>
    <x v="9"/>
    <x v="0"/>
    <x v="9"/>
    <n v="0"/>
  </r>
  <r>
    <x v="0"/>
    <x v="0"/>
    <x v="0"/>
    <x v="15"/>
    <x v="9"/>
    <x v="0"/>
    <x v="10"/>
    <n v="0"/>
  </r>
  <r>
    <x v="0"/>
    <x v="0"/>
    <x v="0"/>
    <x v="15"/>
    <x v="9"/>
    <x v="0"/>
    <x v="11"/>
    <n v="0"/>
  </r>
  <r>
    <x v="0"/>
    <x v="0"/>
    <x v="0"/>
    <x v="15"/>
    <x v="9"/>
    <x v="1"/>
    <x v="0"/>
    <n v="0"/>
  </r>
  <r>
    <x v="0"/>
    <x v="0"/>
    <x v="0"/>
    <x v="15"/>
    <x v="9"/>
    <x v="1"/>
    <x v="1"/>
    <n v="0"/>
  </r>
  <r>
    <x v="0"/>
    <x v="0"/>
    <x v="0"/>
    <x v="15"/>
    <x v="9"/>
    <x v="1"/>
    <x v="2"/>
    <n v="0"/>
  </r>
  <r>
    <x v="0"/>
    <x v="0"/>
    <x v="0"/>
    <x v="15"/>
    <x v="9"/>
    <x v="1"/>
    <x v="3"/>
    <n v="0"/>
  </r>
  <r>
    <x v="0"/>
    <x v="0"/>
    <x v="0"/>
    <x v="15"/>
    <x v="9"/>
    <x v="1"/>
    <x v="4"/>
    <n v="0"/>
  </r>
  <r>
    <x v="0"/>
    <x v="0"/>
    <x v="0"/>
    <x v="15"/>
    <x v="9"/>
    <x v="1"/>
    <x v="5"/>
    <n v="0"/>
  </r>
  <r>
    <x v="0"/>
    <x v="0"/>
    <x v="0"/>
    <x v="15"/>
    <x v="9"/>
    <x v="1"/>
    <x v="6"/>
    <n v="0"/>
  </r>
  <r>
    <x v="0"/>
    <x v="0"/>
    <x v="0"/>
    <x v="15"/>
    <x v="9"/>
    <x v="1"/>
    <x v="7"/>
    <n v="0"/>
  </r>
  <r>
    <x v="0"/>
    <x v="0"/>
    <x v="0"/>
    <x v="15"/>
    <x v="9"/>
    <x v="1"/>
    <x v="8"/>
    <n v="0"/>
  </r>
  <r>
    <x v="0"/>
    <x v="0"/>
    <x v="0"/>
    <x v="15"/>
    <x v="9"/>
    <x v="1"/>
    <x v="9"/>
    <n v="0"/>
  </r>
  <r>
    <x v="0"/>
    <x v="0"/>
    <x v="0"/>
    <x v="15"/>
    <x v="9"/>
    <x v="1"/>
    <x v="10"/>
    <n v="0"/>
  </r>
  <r>
    <x v="0"/>
    <x v="0"/>
    <x v="0"/>
    <x v="15"/>
    <x v="9"/>
    <x v="1"/>
    <x v="11"/>
    <n v="0"/>
  </r>
  <r>
    <x v="0"/>
    <x v="0"/>
    <x v="0"/>
    <x v="15"/>
    <x v="9"/>
    <x v="2"/>
    <x v="0"/>
    <n v="0"/>
  </r>
  <r>
    <x v="0"/>
    <x v="0"/>
    <x v="0"/>
    <x v="15"/>
    <x v="9"/>
    <x v="2"/>
    <x v="1"/>
    <n v="0"/>
  </r>
  <r>
    <x v="0"/>
    <x v="0"/>
    <x v="0"/>
    <x v="15"/>
    <x v="9"/>
    <x v="2"/>
    <x v="2"/>
    <n v="0"/>
  </r>
  <r>
    <x v="0"/>
    <x v="0"/>
    <x v="0"/>
    <x v="15"/>
    <x v="9"/>
    <x v="2"/>
    <x v="3"/>
    <n v="0"/>
  </r>
  <r>
    <x v="0"/>
    <x v="0"/>
    <x v="0"/>
    <x v="15"/>
    <x v="9"/>
    <x v="2"/>
    <x v="4"/>
    <n v="0"/>
  </r>
  <r>
    <x v="0"/>
    <x v="0"/>
    <x v="0"/>
    <x v="15"/>
    <x v="9"/>
    <x v="2"/>
    <x v="5"/>
    <n v="0"/>
  </r>
  <r>
    <x v="0"/>
    <x v="0"/>
    <x v="0"/>
    <x v="15"/>
    <x v="9"/>
    <x v="2"/>
    <x v="6"/>
    <n v="0"/>
  </r>
  <r>
    <x v="0"/>
    <x v="0"/>
    <x v="0"/>
    <x v="15"/>
    <x v="9"/>
    <x v="2"/>
    <x v="7"/>
    <n v="0"/>
  </r>
  <r>
    <x v="0"/>
    <x v="0"/>
    <x v="0"/>
    <x v="15"/>
    <x v="9"/>
    <x v="2"/>
    <x v="8"/>
    <n v="0"/>
  </r>
  <r>
    <x v="0"/>
    <x v="0"/>
    <x v="0"/>
    <x v="15"/>
    <x v="9"/>
    <x v="2"/>
    <x v="9"/>
    <n v="0"/>
  </r>
  <r>
    <x v="0"/>
    <x v="0"/>
    <x v="0"/>
    <x v="15"/>
    <x v="9"/>
    <x v="2"/>
    <x v="10"/>
    <n v="0"/>
  </r>
  <r>
    <x v="0"/>
    <x v="0"/>
    <x v="0"/>
    <x v="15"/>
    <x v="9"/>
    <x v="2"/>
    <x v="11"/>
    <n v="0"/>
  </r>
  <r>
    <x v="0"/>
    <x v="0"/>
    <x v="0"/>
    <x v="15"/>
    <x v="9"/>
    <x v="3"/>
    <x v="0"/>
    <n v="0"/>
  </r>
  <r>
    <x v="0"/>
    <x v="0"/>
    <x v="0"/>
    <x v="15"/>
    <x v="9"/>
    <x v="3"/>
    <x v="1"/>
    <n v="0"/>
  </r>
  <r>
    <x v="0"/>
    <x v="0"/>
    <x v="0"/>
    <x v="15"/>
    <x v="9"/>
    <x v="3"/>
    <x v="2"/>
    <n v="0"/>
  </r>
  <r>
    <x v="0"/>
    <x v="0"/>
    <x v="0"/>
    <x v="15"/>
    <x v="9"/>
    <x v="3"/>
    <x v="3"/>
    <n v="0"/>
  </r>
  <r>
    <x v="0"/>
    <x v="0"/>
    <x v="0"/>
    <x v="15"/>
    <x v="9"/>
    <x v="3"/>
    <x v="4"/>
    <n v="0"/>
  </r>
  <r>
    <x v="0"/>
    <x v="0"/>
    <x v="0"/>
    <x v="15"/>
    <x v="9"/>
    <x v="3"/>
    <x v="5"/>
    <n v="0"/>
  </r>
  <r>
    <x v="0"/>
    <x v="0"/>
    <x v="0"/>
    <x v="15"/>
    <x v="9"/>
    <x v="3"/>
    <x v="6"/>
    <n v="0"/>
  </r>
  <r>
    <x v="0"/>
    <x v="0"/>
    <x v="0"/>
    <x v="15"/>
    <x v="9"/>
    <x v="3"/>
    <x v="7"/>
    <n v="0"/>
  </r>
  <r>
    <x v="0"/>
    <x v="0"/>
    <x v="0"/>
    <x v="15"/>
    <x v="9"/>
    <x v="3"/>
    <x v="8"/>
    <n v="0"/>
  </r>
  <r>
    <x v="0"/>
    <x v="0"/>
    <x v="0"/>
    <x v="15"/>
    <x v="9"/>
    <x v="3"/>
    <x v="9"/>
    <n v="0"/>
  </r>
  <r>
    <x v="0"/>
    <x v="0"/>
    <x v="0"/>
    <x v="15"/>
    <x v="9"/>
    <x v="3"/>
    <x v="10"/>
    <n v="0"/>
  </r>
  <r>
    <x v="0"/>
    <x v="0"/>
    <x v="0"/>
    <x v="15"/>
    <x v="9"/>
    <x v="3"/>
    <x v="11"/>
    <n v="0"/>
  </r>
  <r>
    <x v="0"/>
    <x v="0"/>
    <x v="0"/>
    <x v="15"/>
    <x v="9"/>
    <x v="4"/>
    <x v="0"/>
    <n v="0"/>
  </r>
  <r>
    <x v="0"/>
    <x v="0"/>
    <x v="0"/>
    <x v="15"/>
    <x v="9"/>
    <x v="4"/>
    <x v="1"/>
    <n v="0"/>
  </r>
  <r>
    <x v="0"/>
    <x v="0"/>
    <x v="0"/>
    <x v="15"/>
    <x v="9"/>
    <x v="4"/>
    <x v="2"/>
    <n v="0"/>
  </r>
  <r>
    <x v="0"/>
    <x v="0"/>
    <x v="0"/>
    <x v="15"/>
    <x v="9"/>
    <x v="4"/>
    <x v="3"/>
    <n v="0"/>
  </r>
  <r>
    <x v="0"/>
    <x v="0"/>
    <x v="0"/>
    <x v="15"/>
    <x v="9"/>
    <x v="4"/>
    <x v="4"/>
    <n v="-2.1346256741506702"/>
  </r>
  <r>
    <x v="0"/>
    <x v="0"/>
    <x v="0"/>
    <x v="15"/>
    <x v="9"/>
    <x v="4"/>
    <x v="5"/>
    <n v="-2.1335493707177302"/>
  </r>
  <r>
    <x v="0"/>
    <x v="0"/>
    <x v="0"/>
    <x v="15"/>
    <x v="9"/>
    <x v="4"/>
    <x v="6"/>
    <n v="0"/>
  </r>
  <r>
    <x v="0"/>
    <x v="0"/>
    <x v="0"/>
    <x v="15"/>
    <x v="9"/>
    <x v="4"/>
    <x v="7"/>
    <n v="0"/>
  </r>
  <r>
    <x v="0"/>
    <x v="0"/>
    <x v="0"/>
    <x v="15"/>
    <x v="9"/>
    <x v="4"/>
    <x v="8"/>
    <n v="0"/>
  </r>
  <r>
    <x v="0"/>
    <x v="0"/>
    <x v="0"/>
    <x v="15"/>
    <x v="9"/>
    <x v="4"/>
    <x v="9"/>
    <n v="0"/>
  </r>
  <r>
    <x v="0"/>
    <x v="0"/>
    <x v="0"/>
    <x v="15"/>
    <x v="9"/>
    <x v="4"/>
    <x v="10"/>
    <n v="0"/>
  </r>
  <r>
    <x v="0"/>
    <x v="0"/>
    <x v="0"/>
    <x v="15"/>
    <x v="9"/>
    <x v="4"/>
    <x v="11"/>
    <n v="0"/>
  </r>
  <r>
    <x v="0"/>
    <x v="0"/>
    <x v="0"/>
    <x v="15"/>
    <x v="9"/>
    <x v="5"/>
    <x v="0"/>
    <n v="-2.0372718803399201"/>
  </r>
  <r>
    <x v="0"/>
    <x v="0"/>
    <x v="0"/>
    <x v="15"/>
    <x v="9"/>
    <x v="5"/>
    <x v="1"/>
    <n v="0"/>
  </r>
  <r>
    <x v="0"/>
    <x v="0"/>
    <x v="0"/>
    <x v="15"/>
    <x v="9"/>
    <x v="5"/>
    <x v="2"/>
    <n v="0"/>
  </r>
  <r>
    <x v="0"/>
    <x v="0"/>
    <x v="0"/>
    <x v="15"/>
    <x v="9"/>
    <x v="5"/>
    <x v="3"/>
    <n v="0"/>
  </r>
  <r>
    <x v="0"/>
    <x v="0"/>
    <x v="0"/>
    <x v="15"/>
    <x v="9"/>
    <x v="5"/>
    <x v="4"/>
    <n v="0"/>
  </r>
  <r>
    <x v="0"/>
    <x v="0"/>
    <x v="0"/>
    <x v="15"/>
    <x v="9"/>
    <x v="5"/>
    <x v="5"/>
    <n v="0"/>
  </r>
  <r>
    <x v="0"/>
    <x v="0"/>
    <x v="0"/>
    <x v="15"/>
    <x v="9"/>
    <x v="5"/>
    <x v="6"/>
    <n v="0"/>
  </r>
  <r>
    <x v="0"/>
    <x v="0"/>
    <x v="0"/>
    <x v="15"/>
    <x v="9"/>
    <x v="5"/>
    <x v="7"/>
    <n v="0"/>
  </r>
  <r>
    <x v="0"/>
    <x v="0"/>
    <x v="0"/>
    <x v="15"/>
    <x v="9"/>
    <x v="5"/>
    <x v="8"/>
    <n v="-1.23672462024108"/>
  </r>
  <r>
    <x v="0"/>
    <x v="0"/>
    <x v="0"/>
    <x v="15"/>
    <x v="9"/>
    <x v="5"/>
    <x v="9"/>
    <n v="-1.3016017246924101"/>
  </r>
  <r>
    <x v="0"/>
    <x v="0"/>
    <x v="0"/>
    <x v="15"/>
    <x v="9"/>
    <x v="5"/>
    <x v="10"/>
    <n v="-0.112230473218668"/>
  </r>
  <r>
    <x v="0"/>
    <x v="0"/>
    <x v="0"/>
    <x v="15"/>
    <x v="9"/>
    <x v="5"/>
    <x v="11"/>
    <n v="-1.5926796875600999"/>
  </r>
  <r>
    <x v="0"/>
    <x v="0"/>
    <x v="0"/>
    <x v="15"/>
    <x v="9"/>
    <x v="6"/>
    <x v="0"/>
    <n v="0"/>
  </r>
  <r>
    <x v="0"/>
    <x v="0"/>
    <x v="0"/>
    <x v="15"/>
    <x v="9"/>
    <x v="6"/>
    <x v="1"/>
    <n v="0"/>
  </r>
  <r>
    <x v="0"/>
    <x v="0"/>
    <x v="0"/>
    <x v="15"/>
    <x v="9"/>
    <x v="6"/>
    <x v="2"/>
    <n v="0"/>
  </r>
  <r>
    <x v="0"/>
    <x v="0"/>
    <x v="0"/>
    <x v="15"/>
    <x v="9"/>
    <x v="6"/>
    <x v="3"/>
    <n v="0"/>
  </r>
  <r>
    <x v="0"/>
    <x v="0"/>
    <x v="0"/>
    <x v="15"/>
    <x v="9"/>
    <x v="6"/>
    <x v="4"/>
    <n v="0"/>
  </r>
  <r>
    <x v="0"/>
    <x v="0"/>
    <x v="0"/>
    <x v="15"/>
    <x v="9"/>
    <x v="6"/>
    <x v="5"/>
    <n v="0"/>
  </r>
  <r>
    <x v="0"/>
    <x v="0"/>
    <x v="0"/>
    <x v="15"/>
    <x v="9"/>
    <x v="6"/>
    <x v="6"/>
    <n v="-1.1898530511337599"/>
  </r>
  <r>
    <x v="0"/>
    <x v="0"/>
    <x v="0"/>
    <x v="15"/>
    <x v="9"/>
    <x v="6"/>
    <x v="7"/>
    <n v="0"/>
  </r>
  <r>
    <x v="0"/>
    <x v="0"/>
    <x v="0"/>
    <x v="15"/>
    <x v="9"/>
    <x v="6"/>
    <x v="8"/>
    <n v="-1.27280798493"/>
  </r>
  <r>
    <x v="0"/>
    <x v="0"/>
    <x v="0"/>
    <x v="15"/>
    <x v="9"/>
    <x v="6"/>
    <x v="9"/>
    <n v="0"/>
  </r>
  <r>
    <x v="0"/>
    <x v="0"/>
    <x v="0"/>
    <x v="15"/>
    <x v="9"/>
    <x v="6"/>
    <x v="10"/>
    <n v="0"/>
  </r>
  <r>
    <x v="0"/>
    <x v="0"/>
    <x v="0"/>
    <x v="15"/>
    <x v="9"/>
    <x v="6"/>
    <x v="11"/>
    <n v="0"/>
  </r>
  <r>
    <x v="0"/>
    <x v="0"/>
    <x v="0"/>
    <x v="15"/>
    <x v="9"/>
    <x v="7"/>
    <x v="0"/>
    <n v="0"/>
  </r>
  <r>
    <x v="0"/>
    <x v="0"/>
    <x v="0"/>
    <x v="15"/>
    <x v="9"/>
    <x v="7"/>
    <x v="1"/>
    <n v="0"/>
  </r>
  <r>
    <x v="0"/>
    <x v="0"/>
    <x v="0"/>
    <x v="15"/>
    <x v="9"/>
    <x v="7"/>
    <x v="2"/>
    <n v="-2.48745268725831"/>
  </r>
  <r>
    <x v="0"/>
    <x v="0"/>
    <x v="0"/>
    <x v="15"/>
    <x v="9"/>
    <x v="7"/>
    <x v="3"/>
    <n v="0"/>
  </r>
  <r>
    <x v="0"/>
    <x v="0"/>
    <x v="0"/>
    <x v="15"/>
    <x v="9"/>
    <x v="7"/>
    <x v="4"/>
    <n v="0"/>
  </r>
  <r>
    <x v="0"/>
    <x v="0"/>
    <x v="0"/>
    <x v="15"/>
    <x v="9"/>
    <x v="7"/>
    <x v="5"/>
    <n v="-2.2868377605680701"/>
  </r>
  <r>
    <x v="0"/>
    <x v="0"/>
    <x v="0"/>
    <x v="15"/>
    <x v="9"/>
    <x v="7"/>
    <x v="6"/>
    <n v="-2.18071129454996"/>
  </r>
  <r>
    <x v="0"/>
    <x v="0"/>
    <x v="0"/>
    <x v="15"/>
    <x v="9"/>
    <x v="7"/>
    <x v="7"/>
    <n v="-1.9370260646170001"/>
  </r>
  <r>
    <x v="0"/>
    <x v="0"/>
    <x v="0"/>
    <x v="15"/>
    <x v="9"/>
    <x v="7"/>
    <x v="8"/>
    <n v="0"/>
  </r>
  <r>
    <x v="0"/>
    <x v="0"/>
    <x v="0"/>
    <x v="15"/>
    <x v="9"/>
    <x v="7"/>
    <x v="9"/>
    <n v="-1.8760888190039899"/>
  </r>
  <r>
    <x v="0"/>
    <x v="0"/>
    <x v="0"/>
    <x v="15"/>
    <x v="9"/>
    <x v="7"/>
    <x v="10"/>
    <n v="-1.2950379455091301"/>
  </r>
  <r>
    <x v="0"/>
    <x v="0"/>
    <x v="0"/>
    <x v="15"/>
    <x v="9"/>
    <x v="7"/>
    <x v="11"/>
    <n v="-0.97859814896821795"/>
  </r>
  <r>
    <x v="0"/>
    <x v="0"/>
    <x v="0"/>
    <x v="15"/>
    <x v="9"/>
    <x v="8"/>
    <x v="0"/>
    <n v="-2.29328226461221"/>
  </r>
  <r>
    <x v="0"/>
    <x v="0"/>
    <x v="0"/>
    <x v="15"/>
    <x v="9"/>
    <x v="8"/>
    <x v="1"/>
    <n v="-2.3035985040345301"/>
  </r>
  <r>
    <x v="0"/>
    <x v="0"/>
    <x v="0"/>
    <x v="15"/>
    <x v="9"/>
    <x v="8"/>
    <x v="2"/>
    <n v="-2.2050619773820799"/>
  </r>
  <r>
    <x v="0"/>
    <x v="0"/>
    <x v="0"/>
    <x v="15"/>
    <x v="9"/>
    <x v="8"/>
    <x v="3"/>
    <n v="-2.1939032085570802"/>
  </r>
  <r>
    <x v="0"/>
    <x v="0"/>
    <x v="0"/>
    <x v="15"/>
    <x v="9"/>
    <x v="8"/>
    <x v="4"/>
    <n v="-2.2490080860884798"/>
  </r>
  <r>
    <x v="0"/>
    <x v="0"/>
    <x v="0"/>
    <x v="15"/>
    <x v="9"/>
    <x v="8"/>
    <x v="5"/>
    <n v="-2.1373578350198099"/>
  </r>
  <r>
    <x v="0"/>
    <x v="0"/>
    <x v="0"/>
    <x v="15"/>
    <x v="9"/>
    <x v="8"/>
    <x v="6"/>
    <n v="-1.89149457854463"/>
  </r>
  <r>
    <x v="0"/>
    <x v="0"/>
    <x v="0"/>
    <x v="15"/>
    <x v="9"/>
    <x v="8"/>
    <x v="7"/>
    <n v="-1.83655011531132"/>
  </r>
  <r>
    <x v="0"/>
    <x v="0"/>
    <x v="0"/>
    <x v="15"/>
    <x v="9"/>
    <x v="8"/>
    <x v="8"/>
    <n v="-1.8150696517510501"/>
  </r>
  <r>
    <x v="0"/>
    <x v="0"/>
    <x v="0"/>
    <x v="15"/>
    <x v="9"/>
    <x v="8"/>
    <x v="9"/>
    <n v="-1.82179527687924"/>
  </r>
  <r>
    <x v="0"/>
    <x v="0"/>
    <x v="0"/>
    <x v="15"/>
    <x v="9"/>
    <x v="8"/>
    <x v="10"/>
    <n v="-1.87195695781829"/>
  </r>
  <r>
    <x v="0"/>
    <x v="0"/>
    <x v="0"/>
    <x v="15"/>
    <x v="9"/>
    <x v="8"/>
    <x v="11"/>
    <n v="-1.88440191601286"/>
  </r>
  <r>
    <x v="0"/>
    <x v="0"/>
    <x v="0"/>
    <x v="15"/>
    <x v="9"/>
    <x v="9"/>
    <x v="0"/>
    <n v="-2.2986679570000099"/>
  </r>
  <r>
    <x v="0"/>
    <x v="0"/>
    <x v="0"/>
    <x v="15"/>
    <x v="9"/>
    <x v="9"/>
    <x v="1"/>
    <n v="-2.29566485392436"/>
  </r>
  <r>
    <x v="0"/>
    <x v="0"/>
    <x v="0"/>
    <x v="15"/>
    <x v="9"/>
    <x v="9"/>
    <x v="2"/>
    <n v="-2.2692340045867501"/>
  </r>
  <r>
    <x v="0"/>
    <x v="0"/>
    <x v="0"/>
    <x v="15"/>
    <x v="9"/>
    <x v="9"/>
    <x v="3"/>
    <n v="-2.2673168072141099"/>
  </r>
  <r>
    <x v="0"/>
    <x v="0"/>
    <x v="0"/>
    <x v="15"/>
    <x v="9"/>
    <x v="9"/>
    <x v="4"/>
    <n v="-2.2469823525269601"/>
  </r>
  <r>
    <x v="0"/>
    <x v="0"/>
    <x v="0"/>
    <x v="15"/>
    <x v="9"/>
    <x v="9"/>
    <x v="5"/>
    <n v="-2.1361744831018701"/>
  </r>
  <r>
    <x v="0"/>
    <x v="0"/>
    <x v="0"/>
    <x v="15"/>
    <x v="9"/>
    <x v="9"/>
    <x v="6"/>
    <n v="-2.0222641033987698"/>
  </r>
  <r>
    <x v="0"/>
    <x v="0"/>
    <x v="0"/>
    <x v="15"/>
    <x v="9"/>
    <x v="9"/>
    <x v="7"/>
    <n v="-1.6893909610326101"/>
  </r>
  <r>
    <x v="0"/>
    <x v="0"/>
    <x v="0"/>
    <x v="15"/>
    <x v="9"/>
    <x v="9"/>
    <x v="8"/>
    <n v="-1.76828729569947"/>
  </r>
  <r>
    <x v="0"/>
    <x v="0"/>
    <x v="0"/>
    <x v="15"/>
    <x v="9"/>
    <x v="9"/>
    <x v="9"/>
    <n v="-1.6262895610700701"/>
  </r>
  <r>
    <x v="0"/>
    <x v="0"/>
    <x v="0"/>
    <x v="15"/>
    <x v="9"/>
    <x v="9"/>
    <x v="10"/>
    <n v="-1.7729206384307601"/>
  </r>
  <r>
    <x v="0"/>
    <x v="0"/>
    <x v="0"/>
    <x v="15"/>
    <x v="9"/>
    <x v="9"/>
    <x v="11"/>
    <n v="-1.82559478115794"/>
  </r>
  <r>
    <x v="0"/>
    <x v="0"/>
    <x v="0"/>
    <x v="15"/>
    <x v="9"/>
    <x v="10"/>
    <x v="0"/>
    <n v="-2.5999819517471998"/>
  </r>
  <r>
    <x v="0"/>
    <x v="0"/>
    <x v="0"/>
    <x v="15"/>
    <x v="9"/>
    <x v="10"/>
    <x v="1"/>
    <n v="-2.67145035427952"/>
  </r>
  <r>
    <x v="0"/>
    <x v="0"/>
    <x v="0"/>
    <x v="15"/>
    <x v="9"/>
    <x v="10"/>
    <x v="2"/>
    <n v="-2.5807750488492598"/>
  </r>
  <r>
    <x v="0"/>
    <x v="0"/>
    <x v="0"/>
    <x v="15"/>
    <x v="9"/>
    <x v="10"/>
    <x v="3"/>
    <n v="-2.59669184716302"/>
  </r>
  <r>
    <x v="0"/>
    <x v="0"/>
    <x v="0"/>
    <x v="15"/>
    <x v="9"/>
    <x v="10"/>
    <x v="4"/>
    <n v="-2.5858383130720499"/>
  </r>
  <r>
    <x v="0"/>
    <x v="0"/>
    <x v="0"/>
    <x v="15"/>
    <x v="9"/>
    <x v="10"/>
    <x v="5"/>
    <n v="-2.5340327071964102"/>
  </r>
  <r>
    <x v="0"/>
    <x v="0"/>
    <x v="0"/>
    <x v="15"/>
    <x v="9"/>
    <x v="10"/>
    <x v="6"/>
    <n v="-2.2580696967292102"/>
  </r>
  <r>
    <x v="0"/>
    <x v="0"/>
    <x v="0"/>
    <x v="15"/>
    <x v="9"/>
    <x v="10"/>
    <x v="7"/>
    <n v="-2.1237584728516299"/>
  </r>
  <r>
    <x v="0"/>
    <x v="0"/>
    <x v="0"/>
    <x v="15"/>
    <x v="9"/>
    <x v="10"/>
    <x v="8"/>
    <n v="-1.9842104215910199"/>
  </r>
  <r>
    <x v="0"/>
    <x v="0"/>
    <x v="0"/>
    <x v="15"/>
    <x v="9"/>
    <x v="10"/>
    <x v="9"/>
    <n v="-2.0174829733261102"/>
  </r>
  <r>
    <x v="0"/>
    <x v="0"/>
    <x v="0"/>
    <x v="15"/>
    <x v="9"/>
    <x v="10"/>
    <x v="10"/>
    <n v="-2.0353658552983802"/>
  </r>
  <r>
    <x v="0"/>
    <x v="0"/>
    <x v="0"/>
    <x v="15"/>
    <x v="9"/>
    <x v="10"/>
    <x v="11"/>
    <n v="-2.03464871740342"/>
  </r>
  <r>
    <x v="0"/>
    <x v="0"/>
    <x v="0"/>
    <x v="15"/>
    <x v="9"/>
    <x v="11"/>
    <x v="0"/>
    <n v="-2.88479772699197"/>
  </r>
  <r>
    <x v="0"/>
    <x v="0"/>
    <x v="0"/>
    <x v="15"/>
    <x v="9"/>
    <x v="11"/>
    <x v="1"/>
    <n v="-2.9809010609944901"/>
  </r>
  <r>
    <x v="0"/>
    <x v="0"/>
    <x v="0"/>
    <x v="15"/>
    <x v="9"/>
    <x v="11"/>
    <x v="2"/>
    <n v="-2.8337662711957199"/>
  </r>
  <r>
    <x v="0"/>
    <x v="0"/>
    <x v="0"/>
    <x v="15"/>
    <x v="9"/>
    <x v="11"/>
    <x v="3"/>
    <n v="-2.7908498287641401"/>
  </r>
  <r>
    <x v="0"/>
    <x v="0"/>
    <x v="0"/>
    <x v="15"/>
    <x v="9"/>
    <x v="11"/>
    <x v="4"/>
    <n v="-2.8002868180072902"/>
  </r>
  <r>
    <x v="0"/>
    <x v="0"/>
    <x v="0"/>
    <x v="15"/>
    <x v="9"/>
    <x v="11"/>
    <x v="5"/>
    <n v="-2.67832469523099"/>
  </r>
  <r>
    <x v="0"/>
    <x v="0"/>
    <x v="0"/>
    <x v="15"/>
    <x v="9"/>
    <x v="11"/>
    <x v="6"/>
    <n v="-2.5393515325975899"/>
  </r>
  <r>
    <x v="0"/>
    <x v="0"/>
    <x v="0"/>
    <x v="15"/>
    <x v="9"/>
    <x v="11"/>
    <x v="7"/>
    <n v="-2.1970086888767599"/>
  </r>
  <r>
    <x v="0"/>
    <x v="0"/>
    <x v="0"/>
    <x v="15"/>
    <x v="9"/>
    <x v="11"/>
    <x v="8"/>
    <n v="-2.3218500784390601"/>
  </r>
  <r>
    <x v="0"/>
    <x v="0"/>
    <x v="0"/>
    <x v="15"/>
    <x v="9"/>
    <x v="11"/>
    <x v="9"/>
    <n v="-2.3053720436898599"/>
  </r>
  <r>
    <x v="0"/>
    <x v="0"/>
    <x v="0"/>
    <x v="15"/>
    <x v="9"/>
    <x v="11"/>
    <x v="10"/>
    <n v="-2.2965253844638802"/>
  </r>
  <r>
    <x v="0"/>
    <x v="0"/>
    <x v="0"/>
    <x v="15"/>
    <x v="9"/>
    <x v="11"/>
    <x v="11"/>
    <n v="-2.2860081213427201"/>
  </r>
  <r>
    <x v="0"/>
    <x v="0"/>
    <x v="0"/>
    <x v="15"/>
    <x v="3"/>
    <x v="0"/>
    <x v="0"/>
    <n v="0"/>
  </r>
  <r>
    <x v="0"/>
    <x v="0"/>
    <x v="0"/>
    <x v="15"/>
    <x v="3"/>
    <x v="0"/>
    <x v="1"/>
    <n v="0"/>
  </r>
  <r>
    <x v="0"/>
    <x v="0"/>
    <x v="0"/>
    <x v="15"/>
    <x v="3"/>
    <x v="0"/>
    <x v="2"/>
    <n v="0"/>
  </r>
  <r>
    <x v="0"/>
    <x v="0"/>
    <x v="0"/>
    <x v="15"/>
    <x v="3"/>
    <x v="0"/>
    <x v="3"/>
    <n v="0"/>
  </r>
  <r>
    <x v="0"/>
    <x v="0"/>
    <x v="0"/>
    <x v="15"/>
    <x v="3"/>
    <x v="0"/>
    <x v="4"/>
    <n v="0"/>
  </r>
  <r>
    <x v="0"/>
    <x v="0"/>
    <x v="0"/>
    <x v="15"/>
    <x v="3"/>
    <x v="0"/>
    <x v="5"/>
    <n v="0"/>
  </r>
  <r>
    <x v="0"/>
    <x v="0"/>
    <x v="0"/>
    <x v="15"/>
    <x v="3"/>
    <x v="0"/>
    <x v="6"/>
    <n v="0"/>
  </r>
  <r>
    <x v="0"/>
    <x v="0"/>
    <x v="0"/>
    <x v="15"/>
    <x v="3"/>
    <x v="0"/>
    <x v="7"/>
    <n v="0"/>
  </r>
  <r>
    <x v="0"/>
    <x v="0"/>
    <x v="0"/>
    <x v="15"/>
    <x v="3"/>
    <x v="0"/>
    <x v="8"/>
    <n v="0"/>
  </r>
  <r>
    <x v="0"/>
    <x v="0"/>
    <x v="0"/>
    <x v="15"/>
    <x v="3"/>
    <x v="0"/>
    <x v="9"/>
    <n v="0"/>
  </r>
  <r>
    <x v="0"/>
    <x v="0"/>
    <x v="0"/>
    <x v="15"/>
    <x v="3"/>
    <x v="0"/>
    <x v="10"/>
    <n v="0"/>
  </r>
  <r>
    <x v="0"/>
    <x v="0"/>
    <x v="0"/>
    <x v="15"/>
    <x v="3"/>
    <x v="0"/>
    <x v="11"/>
    <n v="0"/>
  </r>
  <r>
    <x v="0"/>
    <x v="0"/>
    <x v="0"/>
    <x v="15"/>
    <x v="3"/>
    <x v="1"/>
    <x v="0"/>
    <n v="0"/>
  </r>
  <r>
    <x v="0"/>
    <x v="0"/>
    <x v="0"/>
    <x v="15"/>
    <x v="3"/>
    <x v="1"/>
    <x v="1"/>
    <n v="0"/>
  </r>
  <r>
    <x v="0"/>
    <x v="0"/>
    <x v="0"/>
    <x v="15"/>
    <x v="3"/>
    <x v="1"/>
    <x v="2"/>
    <n v="0"/>
  </r>
  <r>
    <x v="0"/>
    <x v="0"/>
    <x v="0"/>
    <x v="15"/>
    <x v="3"/>
    <x v="1"/>
    <x v="3"/>
    <n v="0"/>
  </r>
  <r>
    <x v="0"/>
    <x v="0"/>
    <x v="0"/>
    <x v="15"/>
    <x v="3"/>
    <x v="1"/>
    <x v="4"/>
    <n v="0"/>
  </r>
  <r>
    <x v="0"/>
    <x v="0"/>
    <x v="0"/>
    <x v="15"/>
    <x v="3"/>
    <x v="1"/>
    <x v="5"/>
    <n v="0"/>
  </r>
  <r>
    <x v="0"/>
    <x v="0"/>
    <x v="0"/>
    <x v="15"/>
    <x v="3"/>
    <x v="1"/>
    <x v="6"/>
    <n v="0"/>
  </r>
  <r>
    <x v="0"/>
    <x v="0"/>
    <x v="0"/>
    <x v="15"/>
    <x v="3"/>
    <x v="1"/>
    <x v="7"/>
    <n v="0"/>
  </r>
  <r>
    <x v="0"/>
    <x v="0"/>
    <x v="0"/>
    <x v="15"/>
    <x v="3"/>
    <x v="1"/>
    <x v="8"/>
    <n v="0"/>
  </r>
  <r>
    <x v="0"/>
    <x v="0"/>
    <x v="0"/>
    <x v="15"/>
    <x v="3"/>
    <x v="1"/>
    <x v="9"/>
    <n v="0"/>
  </r>
  <r>
    <x v="0"/>
    <x v="0"/>
    <x v="0"/>
    <x v="15"/>
    <x v="3"/>
    <x v="1"/>
    <x v="10"/>
    <n v="0"/>
  </r>
  <r>
    <x v="0"/>
    <x v="0"/>
    <x v="0"/>
    <x v="15"/>
    <x v="3"/>
    <x v="1"/>
    <x v="11"/>
    <n v="0"/>
  </r>
  <r>
    <x v="0"/>
    <x v="0"/>
    <x v="0"/>
    <x v="15"/>
    <x v="3"/>
    <x v="2"/>
    <x v="0"/>
    <n v="0"/>
  </r>
  <r>
    <x v="0"/>
    <x v="0"/>
    <x v="0"/>
    <x v="15"/>
    <x v="3"/>
    <x v="2"/>
    <x v="1"/>
    <n v="0"/>
  </r>
  <r>
    <x v="0"/>
    <x v="0"/>
    <x v="0"/>
    <x v="15"/>
    <x v="3"/>
    <x v="2"/>
    <x v="2"/>
    <n v="0"/>
  </r>
  <r>
    <x v="0"/>
    <x v="0"/>
    <x v="0"/>
    <x v="15"/>
    <x v="3"/>
    <x v="2"/>
    <x v="3"/>
    <n v="0"/>
  </r>
  <r>
    <x v="0"/>
    <x v="0"/>
    <x v="0"/>
    <x v="15"/>
    <x v="3"/>
    <x v="2"/>
    <x v="4"/>
    <n v="0"/>
  </r>
  <r>
    <x v="0"/>
    <x v="0"/>
    <x v="0"/>
    <x v="15"/>
    <x v="3"/>
    <x v="2"/>
    <x v="5"/>
    <n v="0"/>
  </r>
  <r>
    <x v="0"/>
    <x v="0"/>
    <x v="0"/>
    <x v="15"/>
    <x v="3"/>
    <x v="2"/>
    <x v="6"/>
    <n v="0"/>
  </r>
  <r>
    <x v="0"/>
    <x v="0"/>
    <x v="0"/>
    <x v="15"/>
    <x v="3"/>
    <x v="2"/>
    <x v="7"/>
    <n v="0"/>
  </r>
  <r>
    <x v="0"/>
    <x v="0"/>
    <x v="0"/>
    <x v="15"/>
    <x v="3"/>
    <x v="2"/>
    <x v="8"/>
    <n v="0"/>
  </r>
  <r>
    <x v="0"/>
    <x v="0"/>
    <x v="0"/>
    <x v="15"/>
    <x v="3"/>
    <x v="2"/>
    <x v="9"/>
    <n v="0"/>
  </r>
  <r>
    <x v="0"/>
    <x v="0"/>
    <x v="0"/>
    <x v="15"/>
    <x v="3"/>
    <x v="2"/>
    <x v="10"/>
    <n v="0"/>
  </r>
  <r>
    <x v="0"/>
    <x v="0"/>
    <x v="0"/>
    <x v="15"/>
    <x v="3"/>
    <x v="2"/>
    <x v="11"/>
    <n v="0"/>
  </r>
  <r>
    <x v="0"/>
    <x v="0"/>
    <x v="0"/>
    <x v="15"/>
    <x v="3"/>
    <x v="3"/>
    <x v="0"/>
    <n v="0"/>
  </r>
  <r>
    <x v="0"/>
    <x v="0"/>
    <x v="0"/>
    <x v="15"/>
    <x v="3"/>
    <x v="3"/>
    <x v="1"/>
    <n v="0"/>
  </r>
  <r>
    <x v="0"/>
    <x v="0"/>
    <x v="0"/>
    <x v="15"/>
    <x v="3"/>
    <x v="3"/>
    <x v="2"/>
    <n v="0"/>
  </r>
  <r>
    <x v="0"/>
    <x v="0"/>
    <x v="0"/>
    <x v="15"/>
    <x v="3"/>
    <x v="3"/>
    <x v="3"/>
    <n v="0"/>
  </r>
  <r>
    <x v="0"/>
    <x v="0"/>
    <x v="0"/>
    <x v="15"/>
    <x v="3"/>
    <x v="3"/>
    <x v="4"/>
    <n v="0"/>
  </r>
  <r>
    <x v="0"/>
    <x v="0"/>
    <x v="0"/>
    <x v="15"/>
    <x v="3"/>
    <x v="3"/>
    <x v="5"/>
    <n v="0"/>
  </r>
  <r>
    <x v="0"/>
    <x v="0"/>
    <x v="0"/>
    <x v="15"/>
    <x v="3"/>
    <x v="3"/>
    <x v="6"/>
    <n v="0"/>
  </r>
  <r>
    <x v="0"/>
    <x v="0"/>
    <x v="0"/>
    <x v="15"/>
    <x v="3"/>
    <x v="3"/>
    <x v="7"/>
    <n v="0"/>
  </r>
  <r>
    <x v="0"/>
    <x v="0"/>
    <x v="0"/>
    <x v="15"/>
    <x v="3"/>
    <x v="3"/>
    <x v="8"/>
    <n v="0"/>
  </r>
  <r>
    <x v="0"/>
    <x v="0"/>
    <x v="0"/>
    <x v="15"/>
    <x v="3"/>
    <x v="3"/>
    <x v="9"/>
    <n v="0"/>
  </r>
  <r>
    <x v="0"/>
    <x v="0"/>
    <x v="0"/>
    <x v="15"/>
    <x v="3"/>
    <x v="3"/>
    <x v="10"/>
    <n v="0"/>
  </r>
  <r>
    <x v="0"/>
    <x v="0"/>
    <x v="0"/>
    <x v="15"/>
    <x v="3"/>
    <x v="3"/>
    <x v="11"/>
    <n v="0"/>
  </r>
  <r>
    <x v="0"/>
    <x v="0"/>
    <x v="0"/>
    <x v="15"/>
    <x v="3"/>
    <x v="4"/>
    <x v="0"/>
    <n v="6.1286634395808601"/>
  </r>
  <r>
    <x v="0"/>
    <x v="0"/>
    <x v="0"/>
    <x v="15"/>
    <x v="3"/>
    <x v="4"/>
    <x v="1"/>
    <n v="6.1840780495920704"/>
  </r>
  <r>
    <x v="0"/>
    <x v="0"/>
    <x v="0"/>
    <x v="15"/>
    <x v="3"/>
    <x v="4"/>
    <x v="2"/>
    <n v="6.2296197464752403"/>
  </r>
  <r>
    <x v="0"/>
    <x v="0"/>
    <x v="0"/>
    <x v="15"/>
    <x v="3"/>
    <x v="4"/>
    <x v="3"/>
    <n v="6.1913719388466397"/>
  </r>
  <r>
    <x v="0"/>
    <x v="0"/>
    <x v="0"/>
    <x v="15"/>
    <x v="3"/>
    <x v="4"/>
    <x v="4"/>
    <n v="7.1999821297215298"/>
  </r>
  <r>
    <x v="0"/>
    <x v="0"/>
    <x v="0"/>
    <x v="15"/>
    <x v="3"/>
    <x v="4"/>
    <x v="5"/>
    <n v="7.3"/>
  </r>
  <r>
    <x v="0"/>
    <x v="0"/>
    <x v="0"/>
    <x v="15"/>
    <x v="3"/>
    <x v="4"/>
    <x v="6"/>
    <n v="6.1137961414767199"/>
  </r>
  <r>
    <x v="0"/>
    <x v="0"/>
    <x v="0"/>
    <x v="15"/>
    <x v="3"/>
    <x v="4"/>
    <x v="7"/>
    <n v="5.9092794929208097"/>
  </r>
  <r>
    <x v="0"/>
    <x v="0"/>
    <x v="0"/>
    <x v="15"/>
    <x v="3"/>
    <x v="4"/>
    <x v="8"/>
    <n v="6.0822509077321998"/>
  </r>
  <r>
    <x v="0"/>
    <x v="0"/>
    <x v="0"/>
    <x v="15"/>
    <x v="3"/>
    <x v="4"/>
    <x v="9"/>
    <n v="6.08434829989364"/>
  </r>
  <r>
    <x v="0"/>
    <x v="0"/>
    <x v="0"/>
    <x v="15"/>
    <x v="3"/>
    <x v="4"/>
    <x v="10"/>
    <n v="5.9614951955640496"/>
  </r>
  <r>
    <x v="0"/>
    <x v="0"/>
    <x v="0"/>
    <x v="15"/>
    <x v="3"/>
    <x v="4"/>
    <x v="11"/>
    <n v="5.9373904680956402"/>
  </r>
  <r>
    <x v="0"/>
    <x v="0"/>
    <x v="0"/>
    <x v="15"/>
    <x v="3"/>
    <x v="5"/>
    <x v="0"/>
    <n v="5.6599436727999404"/>
  </r>
  <r>
    <x v="0"/>
    <x v="0"/>
    <x v="0"/>
    <x v="15"/>
    <x v="3"/>
    <x v="5"/>
    <x v="1"/>
    <n v="6.0427127359702597"/>
  </r>
  <r>
    <x v="0"/>
    <x v="0"/>
    <x v="0"/>
    <x v="15"/>
    <x v="3"/>
    <x v="5"/>
    <x v="2"/>
    <n v="5.8768976436791096"/>
  </r>
  <r>
    <x v="0"/>
    <x v="0"/>
    <x v="0"/>
    <x v="15"/>
    <x v="3"/>
    <x v="5"/>
    <x v="3"/>
    <n v="5.8751866760106299"/>
  </r>
  <r>
    <x v="0"/>
    <x v="0"/>
    <x v="0"/>
    <x v="15"/>
    <x v="3"/>
    <x v="5"/>
    <x v="4"/>
    <n v="5.9297615915193198"/>
  </r>
  <r>
    <x v="0"/>
    <x v="0"/>
    <x v="0"/>
    <x v="15"/>
    <x v="3"/>
    <x v="5"/>
    <x v="5"/>
    <n v="5.9070499019741103"/>
  </r>
  <r>
    <x v="0"/>
    <x v="0"/>
    <x v="0"/>
    <x v="15"/>
    <x v="3"/>
    <x v="5"/>
    <x v="6"/>
    <n v="5.9888834492913903"/>
  </r>
  <r>
    <x v="0"/>
    <x v="0"/>
    <x v="0"/>
    <x v="15"/>
    <x v="3"/>
    <x v="5"/>
    <x v="7"/>
    <n v="6.1093397285832296"/>
  </r>
  <r>
    <x v="0"/>
    <x v="0"/>
    <x v="0"/>
    <x v="15"/>
    <x v="3"/>
    <x v="5"/>
    <x v="8"/>
    <n v="7.3"/>
  </r>
  <r>
    <x v="0"/>
    <x v="0"/>
    <x v="0"/>
    <x v="15"/>
    <x v="3"/>
    <x v="5"/>
    <x v="9"/>
    <n v="7.3"/>
  </r>
  <r>
    <x v="0"/>
    <x v="0"/>
    <x v="0"/>
    <x v="15"/>
    <x v="3"/>
    <x v="5"/>
    <x v="10"/>
    <n v="6.1502728396026303"/>
  </r>
  <r>
    <x v="0"/>
    <x v="0"/>
    <x v="0"/>
    <x v="15"/>
    <x v="3"/>
    <x v="5"/>
    <x v="11"/>
    <n v="7.3"/>
  </r>
  <r>
    <x v="0"/>
    <x v="0"/>
    <x v="0"/>
    <x v="15"/>
    <x v="3"/>
    <x v="6"/>
    <x v="0"/>
    <n v="6.5284878181806301"/>
  </r>
  <r>
    <x v="0"/>
    <x v="0"/>
    <x v="0"/>
    <x v="15"/>
    <x v="3"/>
    <x v="6"/>
    <x v="1"/>
    <n v="6.4915398310779997"/>
  </r>
  <r>
    <x v="0"/>
    <x v="0"/>
    <x v="0"/>
    <x v="15"/>
    <x v="3"/>
    <x v="6"/>
    <x v="2"/>
    <n v="6.4949321307466903"/>
  </r>
  <r>
    <x v="0"/>
    <x v="0"/>
    <x v="0"/>
    <x v="15"/>
    <x v="3"/>
    <x v="6"/>
    <x v="3"/>
    <n v="6.3977050109131"/>
  </r>
  <r>
    <x v="0"/>
    <x v="0"/>
    <x v="0"/>
    <x v="15"/>
    <x v="3"/>
    <x v="6"/>
    <x v="4"/>
    <n v="6.32673821615146"/>
  </r>
  <r>
    <x v="0"/>
    <x v="0"/>
    <x v="0"/>
    <x v="15"/>
    <x v="3"/>
    <x v="6"/>
    <x v="5"/>
    <n v="6.2243068686788101"/>
  </r>
  <r>
    <x v="0"/>
    <x v="0"/>
    <x v="0"/>
    <x v="15"/>
    <x v="3"/>
    <x v="6"/>
    <x v="6"/>
    <n v="7.3"/>
  </r>
  <r>
    <x v="0"/>
    <x v="0"/>
    <x v="0"/>
    <x v="15"/>
    <x v="3"/>
    <x v="6"/>
    <x v="7"/>
    <n v="6.0384129340418804"/>
  </r>
  <r>
    <x v="0"/>
    <x v="0"/>
    <x v="0"/>
    <x v="15"/>
    <x v="3"/>
    <x v="6"/>
    <x v="8"/>
    <n v="7.3"/>
  </r>
  <r>
    <x v="0"/>
    <x v="0"/>
    <x v="0"/>
    <x v="15"/>
    <x v="3"/>
    <x v="6"/>
    <x v="9"/>
    <n v="6.1034543775227101"/>
  </r>
  <r>
    <x v="0"/>
    <x v="0"/>
    <x v="0"/>
    <x v="15"/>
    <x v="3"/>
    <x v="6"/>
    <x v="10"/>
    <n v="6.0864260498729097"/>
  </r>
  <r>
    <x v="0"/>
    <x v="0"/>
    <x v="0"/>
    <x v="15"/>
    <x v="3"/>
    <x v="6"/>
    <x v="11"/>
    <n v="6.1480215401043203"/>
  </r>
  <r>
    <x v="0"/>
    <x v="0"/>
    <x v="0"/>
    <x v="15"/>
    <x v="3"/>
    <x v="7"/>
    <x v="0"/>
    <n v="6.1114007532630303"/>
  </r>
  <r>
    <x v="0"/>
    <x v="0"/>
    <x v="0"/>
    <x v="15"/>
    <x v="3"/>
    <x v="7"/>
    <x v="1"/>
    <n v="6.0707081392538296"/>
  </r>
  <r>
    <x v="0"/>
    <x v="0"/>
    <x v="0"/>
    <x v="15"/>
    <x v="3"/>
    <x v="7"/>
    <x v="2"/>
    <n v="6.0693241654340904"/>
  </r>
  <r>
    <x v="0"/>
    <x v="0"/>
    <x v="0"/>
    <x v="15"/>
    <x v="3"/>
    <x v="7"/>
    <x v="3"/>
    <n v="4.13771914130872"/>
  </r>
  <r>
    <x v="0"/>
    <x v="0"/>
    <x v="0"/>
    <x v="15"/>
    <x v="3"/>
    <x v="7"/>
    <x v="4"/>
    <n v="4.2832568230578003"/>
  </r>
  <r>
    <x v="0"/>
    <x v="0"/>
    <x v="0"/>
    <x v="15"/>
    <x v="3"/>
    <x v="7"/>
    <x v="5"/>
    <n v="6.8731932335963801"/>
  </r>
  <r>
    <x v="0"/>
    <x v="0"/>
    <x v="0"/>
    <x v="15"/>
    <x v="3"/>
    <x v="7"/>
    <x v="6"/>
    <n v="7.3"/>
  </r>
  <r>
    <x v="0"/>
    <x v="0"/>
    <x v="0"/>
    <x v="15"/>
    <x v="3"/>
    <x v="7"/>
    <x v="7"/>
    <n v="7.3"/>
  </r>
  <r>
    <x v="0"/>
    <x v="0"/>
    <x v="0"/>
    <x v="15"/>
    <x v="3"/>
    <x v="7"/>
    <x v="8"/>
    <n v="6.3334734532631298"/>
  </r>
  <r>
    <x v="0"/>
    <x v="0"/>
    <x v="0"/>
    <x v="15"/>
    <x v="3"/>
    <x v="7"/>
    <x v="9"/>
    <n v="7.3"/>
  </r>
  <r>
    <x v="0"/>
    <x v="0"/>
    <x v="0"/>
    <x v="15"/>
    <x v="3"/>
    <x v="7"/>
    <x v="10"/>
    <n v="6.4127420769978398"/>
  </r>
  <r>
    <x v="0"/>
    <x v="0"/>
    <x v="0"/>
    <x v="15"/>
    <x v="3"/>
    <x v="7"/>
    <x v="11"/>
    <n v="7.3"/>
  </r>
  <r>
    <x v="0"/>
    <x v="0"/>
    <x v="0"/>
    <x v="15"/>
    <x v="3"/>
    <x v="8"/>
    <x v="0"/>
    <n v="7.3"/>
  </r>
  <r>
    <x v="0"/>
    <x v="0"/>
    <x v="0"/>
    <x v="15"/>
    <x v="3"/>
    <x v="8"/>
    <x v="1"/>
    <n v="7.3"/>
  </r>
  <r>
    <x v="0"/>
    <x v="0"/>
    <x v="0"/>
    <x v="15"/>
    <x v="3"/>
    <x v="8"/>
    <x v="2"/>
    <n v="7.3"/>
  </r>
  <r>
    <x v="0"/>
    <x v="0"/>
    <x v="0"/>
    <x v="15"/>
    <x v="3"/>
    <x v="8"/>
    <x v="3"/>
    <n v="7.3"/>
  </r>
  <r>
    <x v="0"/>
    <x v="0"/>
    <x v="0"/>
    <x v="15"/>
    <x v="3"/>
    <x v="8"/>
    <x v="4"/>
    <n v="7.3"/>
  </r>
  <r>
    <x v="0"/>
    <x v="0"/>
    <x v="0"/>
    <x v="15"/>
    <x v="3"/>
    <x v="8"/>
    <x v="5"/>
    <n v="7.3"/>
  </r>
  <r>
    <x v="0"/>
    <x v="0"/>
    <x v="0"/>
    <x v="15"/>
    <x v="3"/>
    <x v="8"/>
    <x v="6"/>
    <n v="7.3"/>
  </r>
  <r>
    <x v="0"/>
    <x v="0"/>
    <x v="0"/>
    <x v="15"/>
    <x v="3"/>
    <x v="8"/>
    <x v="7"/>
    <n v="7.3"/>
  </r>
  <r>
    <x v="0"/>
    <x v="0"/>
    <x v="0"/>
    <x v="15"/>
    <x v="3"/>
    <x v="8"/>
    <x v="8"/>
    <n v="7.3"/>
  </r>
  <r>
    <x v="0"/>
    <x v="0"/>
    <x v="0"/>
    <x v="15"/>
    <x v="3"/>
    <x v="8"/>
    <x v="9"/>
    <n v="7.3"/>
  </r>
  <r>
    <x v="0"/>
    <x v="0"/>
    <x v="0"/>
    <x v="15"/>
    <x v="3"/>
    <x v="8"/>
    <x v="10"/>
    <n v="7.3"/>
  </r>
  <r>
    <x v="0"/>
    <x v="0"/>
    <x v="0"/>
    <x v="15"/>
    <x v="3"/>
    <x v="8"/>
    <x v="11"/>
    <n v="7.3"/>
  </r>
  <r>
    <x v="0"/>
    <x v="0"/>
    <x v="0"/>
    <x v="15"/>
    <x v="3"/>
    <x v="9"/>
    <x v="0"/>
    <n v="7.3"/>
  </r>
  <r>
    <x v="0"/>
    <x v="0"/>
    <x v="0"/>
    <x v="15"/>
    <x v="3"/>
    <x v="9"/>
    <x v="1"/>
    <n v="7.3"/>
  </r>
  <r>
    <x v="0"/>
    <x v="0"/>
    <x v="0"/>
    <x v="15"/>
    <x v="3"/>
    <x v="9"/>
    <x v="2"/>
    <n v="7.3"/>
  </r>
  <r>
    <x v="0"/>
    <x v="0"/>
    <x v="0"/>
    <x v="15"/>
    <x v="3"/>
    <x v="9"/>
    <x v="3"/>
    <n v="7.3"/>
  </r>
  <r>
    <x v="0"/>
    <x v="0"/>
    <x v="0"/>
    <x v="15"/>
    <x v="3"/>
    <x v="9"/>
    <x v="4"/>
    <n v="7.3"/>
  </r>
  <r>
    <x v="0"/>
    <x v="0"/>
    <x v="0"/>
    <x v="15"/>
    <x v="3"/>
    <x v="9"/>
    <x v="5"/>
    <n v="7.3"/>
  </r>
  <r>
    <x v="0"/>
    <x v="0"/>
    <x v="0"/>
    <x v="15"/>
    <x v="3"/>
    <x v="9"/>
    <x v="6"/>
    <n v="7.3"/>
  </r>
  <r>
    <x v="0"/>
    <x v="0"/>
    <x v="0"/>
    <x v="15"/>
    <x v="3"/>
    <x v="9"/>
    <x v="7"/>
    <n v="7.3"/>
  </r>
  <r>
    <x v="0"/>
    <x v="0"/>
    <x v="0"/>
    <x v="15"/>
    <x v="3"/>
    <x v="9"/>
    <x v="8"/>
    <n v="7.3"/>
  </r>
  <r>
    <x v="0"/>
    <x v="0"/>
    <x v="0"/>
    <x v="15"/>
    <x v="3"/>
    <x v="9"/>
    <x v="9"/>
    <n v="7.3"/>
  </r>
  <r>
    <x v="0"/>
    <x v="0"/>
    <x v="0"/>
    <x v="15"/>
    <x v="3"/>
    <x v="9"/>
    <x v="10"/>
    <n v="7.3"/>
  </r>
  <r>
    <x v="0"/>
    <x v="0"/>
    <x v="0"/>
    <x v="15"/>
    <x v="3"/>
    <x v="9"/>
    <x v="11"/>
    <n v="7.3"/>
  </r>
  <r>
    <x v="0"/>
    <x v="0"/>
    <x v="0"/>
    <x v="15"/>
    <x v="3"/>
    <x v="10"/>
    <x v="0"/>
    <n v="7.3"/>
  </r>
  <r>
    <x v="0"/>
    <x v="0"/>
    <x v="0"/>
    <x v="15"/>
    <x v="3"/>
    <x v="10"/>
    <x v="1"/>
    <n v="7.3"/>
  </r>
  <r>
    <x v="0"/>
    <x v="0"/>
    <x v="0"/>
    <x v="15"/>
    <x v="3"/>
    <x v="10"/>
    <x v="2"/>
    <n v="7.3"/>
  </r>
  <r>
    <x v="0"/>
    <x v="0"/>
    <x v="0"/>
    <x v="15"/>
    <x v="3"/>
    <x v="10"/>
    <x v="3"/>
    <n v="7.3"/>
  </r>
  <r>
    <x v="0"/>
    <x v="0"/>
    <x v="0"/>
    <x v="15"/>
    <x v="3"/>
    <x v="10"/>
    <x v="4"/>
    <n v="7.3"/>
  </r>
  <r>
    <x v="0"/>
    <x v="0"/>
    <x v="0"/>
    <x v="15"/>
    <x v="3"/>
    <x v="10"/>
    <x v="5"/>
    <n v="7.3"/>
  </r>
  <r>
    <x v="0"/>
    <x v="0"/>
    <x v="0"/>
    <x v="15"/>
    <x v="3"/>
    <x v="10"/>
    <x v="6"/>
    <n v="7.3"/>
  </r>
  <r>
    <x v="0"/>
    <x v="0"/>
    <x v="0"/>
    <x v="15"/>
    <x v="3"/>
    <x v="10"/>
    <x v="7"/>
    <n v="7.3"/>
  </r>
  <r>
    <x v="0"/>
    <x v="0"/>
    <x v="0"/>
    <x v="15"/>
    <x v="3"/>
    <x v="10"/>
    <x v="8"/>
    <n v="7.3"/>
  </r>
  <r>
    <x v="0"/>
    <x v="0"/>
    <x v="0"/>
    <x v="15"/>
    <x v="3"/>
    <x v="10"/>
    <x v="9"/>
    <n v="7.3"/>
  </r>
  <r>
    <x v="0"/>
    <x v="0"/>
    <x v="0"/>
    <x v="15"/>
    <x v="3"/>
    <x v="10"/>
    <x v="10"/>
    <n v="7.3"/>
  </r>
  <r>
    <x v="0"/>
    <x v="0"/>
    <x v="0"/>
    <x v="15"/>
    <x v="3"/>
    <x v="10"/>
    <x v="11"/>
    <n v="7.3"/>
  </r>
  <r>
    <x v="0"/>
    <x v="0"/>
    <x v="0"/>
    <x v="15"/>
    <x v="3"/>
    <x v="11"/>
    <x v="0"/>
    <n v="7.3"/>
  </r>
  <r>
    <x v="0"/>
    <x v="0"/>
    <x v="0"/>
    <x v="15"/>
    <x v="3"/>
    <x v="11"/>
    <x v="1"/>
    <n v="7.3"/>
  </r>
  <r>
    <x v="0"/>
    <x v="0"/>
    <x v="0"/>
    <x v="15"/>
    <x v="3"/>
    <x v="11"/>
    <x v="2"/>
    <n v="7.3"/>
  </r>
  <r>
    <x v="0"/>
    <x v="0"/>
    <x v="0"/>
    <x v="15"/>
    <x v="3"/>
    <x v="11"/>
    <x v="3"/>
    <n v="7.3"/>
  </r>
  <r>
    <x v="0"/>
    <x v="0"/>
    <x v="0"/>
    <x v="15"/>
    <x v="3"/>
    <x v="11"/>
    <x v="4"/>
    <n v="7.3"/>
  </r>
  <r>
    <x v="0"/>
    <x v="0"/>
    <x v="0"/>
    <x v="15"/>
    <x v="3"/>
    <x v="11"/>
    <x v="5"/>
    <n v="7.3"/>
  </r>
  <r>
    <x v="0"/>
    <x v="0"/>
    <x v="0"/>
    <x v="15"/>
    <x v="3"/>
    <x v="11"/>
    <x v="6"/>
    <n v="7.3"/>
  </r>
  <r>
    <x v="0"/>
    <x v="0"/>
    <x v="0"/>
    <x v="15"/>
    <x v="3"/>
    <x v="11"/>
    <x v="7"/>
    <n v="7.3"/>
  </r>
  <r>
    <x v="0"/>
    <x v="0"/>
    <x v="0"/>
    <x v="15"/>
    <x v="3"/>
    <x v="11"/>
    <x v="8"/>
    <n v="7.3"/>
  </r>
  <r>
    <x v="0"/>
    <x v="0"/>
    <x v="0"/>
    <x v="15"/>
    <x v="3"/>
    <x v="11"/>
    <x v="9"/>
    <n v="7.3"/>
  </r>
  <r>
    <x v="0"/>
    <x v="0"/>
    <x v="0"/>
    <x v="15"/>
    <x v="3"/>
    <x v="11"/>
    <x v="10"/>
    <n v="7.3"/>
  </r>
  <r>
    <x v="0"/>
    <x v="0"/>
    <x v="0"/>
    <x v="15"/>
    <x v="3"/>
    <x v="11"/>
    <x v="11"/>
    <n v="7.3"/>
  </r>
  <r>
    <x v="0"/>
    <x v="0"/>
    <x v="0"/>
    <x v="16"/>
    <x v="4"/>
    <x v="0"/>
    <x v="0"/>
    <n v="0"/>
  </r>
  <r>
    <x v="0"/>
    <x v="0"/>
    <x v="0"/>
    <x v="16"/>
    <x v="4"/>
    <x v="0"/>
    <x v="1"/>
    <n v="0"/>
  </r>
  <r>
    <x v="0"/>
    <x v="0"/>
    <x v="0"/>
    <x v="16"/>
    <x v="4"/>
    <x v="0"/>
    <x v="2"/>
    <n v="0"/>
  </r>
  <r>
    <x v="0"/>
    <x v="0"/>
    <x v="0"/>
    <x v="16"/>
    <x v="4"/>
    <x v="0"/>
    <x v="3"/>
    <n v="0"/>
  </r>
  <r>
    <x v="0"/>
    <x v="0"/>
    <x v="0"/>
    <x v="16"/>
    <x v="4"/>
    <x v="0"/>
    <x v="4"/>
    <n v="0"/>
  </r>
  <r>
    <x v="0"/>
    <x v="0"/>
    <x v="0"/>
    <x v="16"/>
    <x v="4"/>
    <x v="0"/>
    <x v="5"/>
    <n v="0"/>
  </r>
  <r>
    <x v="0"/>
    <x v="0"/>
    <x v="0"/>
    <x v="16"/>
    <x v="4"/>
    <x v="0"/>
    <x v="6"/>
    <n v="0"/>
  </r>
  <r>
    <x v="0"/>
    <x v="0"/>
    <x v="0"/>
    <x v="16"/>
    <x v="4"/>
    <x v="0"/>
    <x v="7"/>
    <n v="0"/>
  </r>
  <r>
    <x v="0"/>
    <x v="0"/>
    <x v="0"/>
    <x v="16"/>
    <x v="4"/>
    <x v="0"/>
    <x v="8"/>
    <n v="0"/>
  </r>
  <r>
    <x v="0"/>
    <x v="0"/>
    <x v="0"/>
    <x v="16"/>
    <x v="4"/>
    <x v="0"/>
    <x v="9"/>
    <n v="0"/>
  </r>
  <r>
    <x v="0"/>
    <x v="0"/>
    <x v="0"/>
    <x v="16"/>
    <x v="4"/>
    <x v="0"/>
    <x v="10"/>
    <n v="0"/>
  </r>
  <r>
    <x v="0"/>
    <x v="0"/>
    <x v="0"/>
    <x v="16"/>
    <x v="4"/>
    <x v="0"/>
    <x v="11"/>
    <n v="0"/>
  </r>
  <r>
    <x v="0"/>
    <x v="0"/>
    <x v="0"/>
    <x v="16"/>
    <x v="4"/>
    <x v="1"/>
    <x v="0"/>
    <n v="0"/>
  </r>
  <r>
    <x v="0"/>
    <x v="0"/>
    <x v="0"/>
    <x v="16"/>
    <x v="4"/>
    <x v="1"/>
    <x v="1"/>
    <n v="0"/>
  </r>
  <r>
    <x v="0"/>
    <x v="0"/>
    <x v="0"/>
    <x v="16"/>
    <x v="4"/>
    <x v="1"/>
    <x v="2"/>
    <n v="0"/>
  </r>
  <r>
    <x v="0"/>
    <x v="0"/>
    <x v="0"/>
    <x v="16"/>
    <x v="4"/>
    <x v="1"/>
    <x v="3"/>
    <n v="0"/>
  </r>
  <r>
    <x v="0"/>
    <x v="0"/>
    <x v="0"/>
    <x v="16"/>
    <x v="4"/>
    <x v="1"/>
    <x v="4"/>
    <n v="0"/>
  </r>
  <r>
    <x v="0"/>
    <x v="0"/>
    <x v="0"/>
    <x v="16"/>
    <x v="4"/>
    <x v="1"/>
    <x v="5"/>
    <n v="0"/>
  </r>
  <r>
    <x v="0"/>
    <x v="0"/>
    <x v="0"/>
    <x v="16"/>
    <x v="4"/>
    <x v="1"/>
    <x v="6"/>
    <n v="0"/>
  </r>
  <r>
    <x v="0"/>
    <x v="0"/>
    <x v="0"/>
    <x v="16"/>
    <x v="4"/>
    <x v="1"/>
    <x v="7"/>
    <n v="0"/>
  </r>
  <r>
    <x v="0"/>
    <x v="0"/>
    <x v="0"/>
    <x v="16"/>
    <x v="4"/>
    <x v="1"/>
    <x v="8"/>
    <n v="0"/>
  </r>
  <r>
    <x v="0"/>
    <x v="0"/>
    <x v="0"/>
    <x v="16"/>
    <x v="4"/>
    <x v="1"/>
    <x v="9"/>
    <n v="0"/>
  </r>
  <r>
    <x v="0"/>
    <x v="0"/>
    <x v="0"/>
    <x v="16"/>
    <x v="4"/>
    <x v="1"/>
    <x v="10"/>
    <n v="0"/>
  </r>
  <r>
    <x v="0"/>
    <x v="0"/>
    <x v="0"/>
    <x v="16"/>
    <x v="4"/>
    <x v="1"/>
    <x v="11"/>
    <n v="0"/>
  </r>
  <r>
    <x v="0"/>
    <x v="0"/>
    <x v="0"/>
    <x v="16"/>
    <x v="4"/>
    <x v="2"/>
    <x v="0"/>
    <n v="0"/>
  </r>
  <r>
    <x v="0"/>
    <x v="0"/>
    <x v="0"/>
    <x v="16"/>
    <x v="4"/>
    <x v="2"/>
    <x v="1"/>
    <n v="0"/>
  </r>
  <r>
    <x v="0"/>
    <x v="0"/>
    <x v="0"/>
    <x v="16"/>
    <x v="4"/>
    <x v="2"/>
    <x v="2"/>
    <n v="0"/>
  </r>
  <r>
    <x v="0"/>
    <x v="0"/>
    <x v="0"/>
    <x v="16"/>
    <x v="4"/>
    <x v="2"/>
    <x v="3"/>
    <n v="0"/>
  </r>
  <r>
    <x v="0"/>
    <x v="0"/>
    <x v="0"/>
    <x v="16"/>
    <x v="4"/>
    <x v="2"/>
    <x v="4"/>
    <n v="0"/>
  </r>
  <r>
    <x v="0"/>
    <x v="0"/>
    <x v="0"/>
    <x v="16"/>
    <x v="4"/>
    <x v="2"/>
    <x v="5"/>
    <n v="0"/>
  </r>
  <r>
    <x v="0"/>
    <x v="0"/>
    <x v="0"/>
    <x v="16"/>
    <x v="4"/>
    <x v="2"/>
    <x v="6"/>
    <n v="0"/>
  </r>
  <r>
    <x v="0"/>
    <x v="0"/>
    <x v="0"/>
    <x v="16"/>
    <x v="4"/>
    <x v="2"/>
    <x v="7"/>
    <n v="0"/>
  </r>
  <r>
    <x v="0"/>
    <x v="0"/>
    <x v="0"/>
    <x v="16"/>
    <x v="4"/>
    <x v="2"/>
    <x v="8"/>
    <n v="0"/>
  </r>
  <r>
    <x v="0"/>
    <x v="0"/>
    <x v="0"/>
    <x v="16"/>
    <x v="4"/>
    <x v="2"/>
    <x v="9"/>
    <n v="0"/>
  </r>
  <r>
    <x v="0"/>
    <x v="0"/>
    <x v="0"/>
    <x v="16"/>
    <x v="4"/>
    <x v="2"/>
    <x v="10"/>
    <n v="0"/>
  </r>
  <r>
    <x v="0"/>
    <x v="0"/>
    <x v="0"/>
    <x v="16"/>
    <x v="4"/>
    <x v="2"/>
    <x v="11"/>
    <n v="0"/>
  </r>
  <r>
    <x v="0"/>
    <x v="0"/>
    <x v="0"/>
    <x v="16"/>
    <x v="4"/>
    <x v="3"/>
    <x v="0"/>
    <n v="0"/>
  </r>
  <r>
    <x v="0"/>
    <x v="0"/>
    <x v="0"/>
    <x v="16"/>
    <x v="4"/>
    <x v="3"/>
    <x v="1"/>
    <n v="0"/>
  </r>
  <r>
    <x v="0"/>
    <x v="0"/>
    <x v="0"/>
    <x v="16"/>
    <x v="4"/>
    <x v="3"/>
    <x v="2"/>
    <n v="0"/>
  </r>
  <r>
    <x v="0"/>
    <x v="0"/>
    <x v="0"/>
    <x v="16"/>
    <x v="4"/>
    <x v="3"/>
    <x v="3"/>
    <n v="0"/>
  </r>
  <r>
    <x v="0"/>
    <x v="0"/>
    <x v="0"/>
    <x v="16"/>
    <x v="4"/>
    <x v="3"/>
    <x v="4"/>
    <n v="0"/>
  </r>
  <r>
    <x v="0"/>
    <x v="0"/>
    <x v="0"/>
    <x v="16"/>
    <x v="4"/>
    <x v="3"/>
    <x v="5"/>
    <n v="0"/>
  </r>
  <r>
    <x v="0"/>
    <x v="0"/>
    <x v="0"/>
    <x v="16"/>
    <x v="4"/>
    <x v="3"/>
    <x v="6"/>
    <n v="0"/>
  </r>
  <r>
    <x v="0"/>
    <x v="0"/>
    <x v="0"/>
    <x v="16"/>
    <x v="4"/>
    <x v="3"/>
    <x v="7"/>
    <n v="0"/>
  </r>
  <r>
    <x v="0"/>
    <x v="0"/>
    <x v="0"/>
    <x v="16"/>
    <x v="4"/>
    <x v="3"/>
    <x v="8"/>
    <n v="0"/>
  </r>
  <r>
    <x v="0"/>
    <x v="0"/>
    <x v="0"/>
    <x v="16"/>
    <x v="4"/>
    <x v="3"/>
    <x v="9"/>
    <n v="0"/>
  </r>
  <r>
    <x v="0"/>
    <x v="0"/>
    <x v="0"/>
    <x v="16"/>
    <x v="4"/>
    <x v="3"/>
    <x v="10"/>
    <n v="0"/>
  </r>
  <r>
    <x v="0"/>
    <x v="0"/>
    <x v="0"/>
    <x v="16"/>
    <x v="4"/>
    <x v="3"/>
    <x v="11"/>
    <n v="0"/>
  </r>
  <r>
    <x v="0"/>
    <x v="0"/>
    <x v="0"/>
    <x v="16"/>
    <x v="4"/>
    <x v="4"/>
    <x v="0"/>
    <n v="0"/>
  </r>
  <r>
    <x v="0"/>
    <x v="0"/>
    <x v="0"/>
    <x v="16"/>
    <x v="4"/>
    <x v="4"/>
    <x v="1"/>
    <n v="0"/>
  </r>
  <r>
    <x v="0"/>
    <x v="0"/>
    <x v="0"/>
    <x v="16"/>
    <x v="4"/>
    <x v="4"/>
    <x v="2"/>
    <n v="0"/>
  </r>
  <r>
    <x v="0"/>
    <x v="0"/>
    <x v="0"/>
    <x v="16"/>
    <x v="4"/>
    <x v="4"/>
    <x v="3"/>
    <n v="0"/>
  </r>
  <r>
    <x v="0"/>
    <x v="0"/>
    <x v="0"/>
    <x v="16"/>
    <x v="4"/>
    <x v="4"/>
    <x v="4"/>
    <n v="0"/>
  </r>
  <r>
    <x v="0"/>
    <x v="0"/>
    <x v="0"/>
    <x v="16"/>
    <x v="4"/>
    <x v="4"/>
    <x v="5"/>
    <n v="0"/>
  </r>
  <r>
    <x v="0"/>
    <x v="0"/>
    <x v="0"/>
    <x v="16"/>
    <x v="4"/>
    <x v="4"/>
    <x v="6"/>
    <n v="0"/>
  </r>
  <r>
    <x v="0"/>
    <x v="0"/>
    <x v="0"/>
    <x v="16"/>
    <x v="4"/>
    <x v="4"/>
    <x v="7"/>
    <n v="0"/>
  </r>
  <r>
    <x v="0"/>
    <x v="0"/>
    <x v="0"/>
    <x v="16"/>
    <x v="4"/>
    <x v="4"/>
    <x v="8"/>
    <n v="0"/>
  </r>
  <r>
    <x v="0"/>
    <x v="0"/>
    <x v="0"/>
    <x v="16"/>
    <x v="4"/>
    <x v="4"/>
    <x v="9"/>
    <n v="0"/>
  </r>
  <r>
    <x v="0"/>
    <x v="0"/>
    <x v="0"/>
    <x v="16"/>
    <x v="4"/>
    <x v="4"/>
    <x v="10"/>
    <n v="0"/>
  </r>
  <r>
    <x v="0"/>
    <x v="0"/>
    <x v="0"/>
    <x v="16"/>
    <x v="4"/>
    <x v="4"/>
    <x v="11"/>
    <n v="0"/>
  </r>
  <r>
    <x v="0"/>
    <x v="0"/>
    <x v="0"/>
    <x v="16"/>
    <x v="4"/>
    <x v="5"/>
    <x v="0"/>
    <n v="0"/>
  </r>
  <r>
    <x v="0"/>
    <x v="0"/>
    <x v="0"/>
    <x v="16"/>
    <x v="4"/>
    <x v="5"/>
    <x v="1"/>
    <n v="0"/>
  </r>
  <r>
    <x v="0"/>
    <x v="0"/>
    <x v="0"/>
    <x v="16"/>
    <x v="4"/>
    <x v="5"/>
    <x v="2"/>
    <n v="0"/>
  </r>
  <r>
    <x v="0"/>
    <x v="0"/>
    <x v="0"/>
    <x v="16"/>
    <x v="4"/>
    <x v="5"/>
    <x v="3"/>
    <n v="0"/>
  </r>
  <r>
    <x v="0"/>
    <x v="0"/>
    <x v="0"/>
    <x v="16"/>
    <x v="4"/>
    <x v="5"/>
    <x v="4"/>
    <n v="0"/>
  </r>
  <r>
    <x v="0"/>
    <x v="0"/>
    <x v="0"/>
    <x v="16"/>
    <x v="4"/>
    <x v="5"/>
    <x v="5"/>
    <n v="0"/>
  </r>
  <r>
    <x v="0"/>
    <x v="0"/>
    <x v="0"/>
    <x v="16"/>
    <x v="4"/>
    <x v="5"/>
    <x v="6"/>
    <n v="0"/>
  </r>
  <r>
    <x v="0"/>
    <x v="0"/>
    <x v="0"/>
    <x v="16"/>
    <x v="4"/>
    <x v="5"/>
    <x v="7"/>
    <n v="0"/>
  </r>
  <r>
    <x v="0"/>
    <x v="0"/>
    <x v="0"/>
    <x v="16"/>
    <x v="4"/>
    <x v="5"/>
    <x v="8"/>
    <n v="0"/>
  </r>
  <r>
    <x v="0"/>
    <x v="0"/>
    <x v="0"/>
    <x v="16"/>
    <x v="4"/>
    <x v="5"/>
    <x v="9"/>
    <n v="0"/>
  </r>
  <r>
    <x v="0"/>
    <x v="0"/>
    <x v="0"/>
    <x v="16"/>
    <x v="4"/>
    <x v="5"/>
    <x v="10"/>
    <n v="0"/>
  </r>
  <r>
    <x v="0"/>
    <x v="0"/>
    <x v="0"/>
    <x v="16"/>
    <x v="4"/>
    <x v="5"/>
    <x v="11"/>
    <n v="0"/>
  </r>
  <r>
    <x v="0"/>
    <x v="0"/>
    <x v="0"/>
    <x v="16"/>
    <x v="4"/>
    <x v="6"/>
    <x v="0"/>
    <n v="0"/>
  </r>
  <r>
    <x v="0"/>
    <x v="0"/>
    <x v="0"/>
    <x v="16"/>
    <x v="4"/>
    <x v="6"/>
    <x v="1"/>
    <n v="0"/>
  </r>
  <r>
    <x v="0"/>
    <x v="0"/>
    <x v="0"/>
    <x v="16"/>
    <x v="4"/>
    <x v="6"/>
    <x v="2"/>
    <n v="0"/>
  </r>
  <r>
    <x v="0"/>
    <x v="0"/>
    <x v="0"/>
    <x v="16"/>
    <x v="4"/>
    <x v="6"/>
    <x v="3"/>
    <n v="0"/>
  </r>
  <r>
    <x v="0"/>
    <x v="0"/>
    <x v="0"/>
    <x v="16"/>
    <x v="4"/>
    <x v="6"/>
    <x v="4"/>
    <n v="0"/>
  </r>
  <r>
    <x v="0"/>
    <x v="0"/>
    <x v="0"/>
    <x v="16"/>
    <x v="4"/>
    <x v="6"/>
    <x v="5"/>
    <n v="0"/>
  </r>
  <r>
    <x v="0"/>
    <x v="0"/>
    <x v="0"/>
    <x v="16"/>
    <x v="4"/>
    <x v="6"/>
    <x v="6"/>
    <n v="0"/>
  </r>
  <r>
    <x v="0"/>
    <x v="0"/>
    <x v="0"/>
    <x v="16"/>
    <x v="4"/>
    <x v="6"/>
    <x v="7"/>
    <n v="0"/>
  </r>
  <r>
    <x v="0"/>
    <x v="0"/>
    <x v="0"/>
    <x v="16"/>
    <x v="4"/>
    <x v="6"/>
    <x v="8"/>
    <n v="0"/>
  </r>
  <r>
    <x v="0"/>
    <x v="0"/>
    <x v="0"/>
    <x v="16"/>
    <x v="4"/>
    <x v="6"/>
    <x v="9"/>
    <n v="0"/>
  </r>
  <r>
    <x v="0"/>
    <x v="0"/>
    <x v="0"/>
    <x v="16"/>
    <x v="4"/>
    <x v="6"/>
    <x v="10"/>
    <n v="0"/>
  </r>
  <r>
    <x v="0"/>
    <x v="0"/>
    <x v="0"/>
    <x v="16"/>
    <x v="4"/>
    <x v="6"/>
    <x v="11"/>
    <n v="0"/>
  </r>
  <r>
    <x v="0"/>
    <x v="0"/>
    <x v="0"/>
    <x v="16"/>
    <x v="4"/>
    <x v="7"/>
    <x v="0"/>
    <n v="0"/>
  </r>
  <r>
    <x v="0"/>
    <x v="0"/>
    <x v="0"/>
    <x v="16"/>
    <x v="4"/>
    <x v="7"/>
    <x v="1"/>
    <n v="0"/>
  </r>
  <r>
    <x v="0"/>
    <x v="0"/>
    <x v="0"/>
    <x v="16"/>
    <x v="4"/>
    <x v="7"/>
    <x v="2"/>
    <n v="0"/>
  </r>
  <r>
    <x v="0"/>
    <x v="0"/>
    <x v="0"/>
    <x v="16"/>
    <x v="4"/>
    <x v="7"/>
    <x v="3"/>
    <n v="0"/>
  </r>
  <r>
    <x v="0"/>
    <x v="0"/>
    <x v="0"/>
    <x v="16"/>
    <x v="4"/>
    <x v="7"/>
    <x v="4"/>
    <n v="0"/>
  </r>
  <r>
    <x v="0"/>
    <x v="0"/>
    <x v="0"/>
    <x v="16"/>
    <x v="4"/>
    <x v="7"/>
    <x v="5"/>
    <n v="0"/>
  </r>
  <r>
    <x v="0"/>
    <x v="0"/>
    <x v="0"/>
    <x v="16"/>
    <x v="4"/>
    <x v="7"/>
    <x v="6"/>
    <n v="0"/>
  </r>
  <r>
    <x v="0"/>
    <x v="0"/>
    <x v="0"/>
    <x v="16"/>
    <x v="4"/>
    <x v="7"/>
    <x v="7"/>
    <n v="0"/>
  </r>
  <r>
    <x v="0"/>
    <x v="0"/>
    <x v="0"/>
    <x v="16"/>
    <x v="4"/>
    <x v="7"/>
    <x v="8"/>
    <n v="0"/>
  </r>
  <r>
    <x v="0"/>
    <x v="0"/>
    <x v="0"/>
    <x v="16"/>
    <x v="4"/>
    <x v="7"/>
    <x v="9"/>
    <n v="0"/>
  </r>
  <r>
    <x v="0"/>
    <x v="0"/>
    <x v="0"/>
    <x v="16"/>
    <x v="4"/>
    <x v="7"/>
    <x v="10"/>
    <n v="0"/>
  </r>
  <r>
    <x v="0"/>
    <x v="0"/>
    <x v="0"/>
    <x v="16"/>
    <x v="4"/>
    <x v="7"/>
    <x v="11"/>
    <n v="0"/>
  </r>
  <r>
    <x v="0"/>
    <x v="0"/>
    <x v="0"/>
    <x v="16"/>
    <x v="4"/>
    <x v="8"/>
    <x v="0"/>
    <n v="0"/>
  </r>
  <r>
    <x v="0"/>
    <x v="0"/>
    <x v="0"/>
    <x v="16"/>
    <x v="4"/>
    <x v="8"/>
    <x v="1"/>
    <n v="0"/>
  </r>
  <r>
    <x v="0"/>
    <x v="0"/>
    <x v="0"/>
    <x v="16"/>
    <x v="4"/>
    <x v="8"/>
    <x v="2"/>
    <n v="0"/>
  </r>
  <r>
    <x v="0"/>
    <x v="0"/>
    <x v="0"/>
    <x v="16"/>
    <x v="4"/>
    <x v="8"/>
    <x v="3"/>
    <n v="0"/>
  </r>
  <r>
    <x v="0"/>
    <x v="0"/>
    <x v="0"/>
    <x v="16"/>
    <x v="4"/>
    <x v="8"/>
    <x v="4"/>
    <n v="0"/>
  </r>
  <r>
    <x v="0"/>
    <x v="0"/>
    <x v="0"/>
    <x v="16"/>
    <x v="4"/>
    <x v="8"/>
    <x v="5"/>
    <n v="0.68"/>
  </r>
  <r>
    <x v="0"/>
    <x v="0"/>
    <x v="0"/>
    <x v="16"/>
    <x v="4"/>
    <x v="8"/>
    <x v="6"/>
    <n v="0"/>
  </r>
  <r>
    <x v="0"/>
    <x v="0"/>
    <x v="0"/>
    <x v="16"/>
    <x v="4"/>
    <x v="8"/>
    <x v="7"/>
    <n v="0"/>
  </r>
  <r>
    <x v="0"/>
    <x v="0"/>
    <x v="0"/>
    <x v="16"/>
    <x v="4"/>
    <x v="8"/>
    <x v="8"/>
    <n v="0"/>
  </r>
  <r>
    <x v="0"/>
    <x v="0"/>
    <x v="0"/>
    <x v="16"/>
    <x v="4"/>
    <x v="8"/>
    <x v="9"/>
    <n v="0"/>
  </r>
  <r>
    <x v="0"/>
    <x v="0"/>
    <x v="0"/>
    <x v="16"/>
    <x v="4"/>
    <x v="8"/>
    <x v="10"/>
    <n v="0"/>
  </r>
  <r>
    <x v="0"/>
    <x v="0"/>
    <x v="0"/>
    <x v="16"/>
    <x v="4"/>
    <x v="8"/>
    <x v="11"/>
    <n v="0"/>
  </r>
  <r>
    <x v="0"/>
    <x v="0"/>
    <x v="0"/>
    <x v="16"/>
    <x v="4"/>
    <x v="9"/>
    <x v="0"/>
    <n v="0"/>
  </r>
  <r>
    <x v="0"/>
    <x v="0"/>
    <x v="0"/>
    <x v="16"/>
    <x v="4"/>
    <x v="9"/>
    <x v="1"/>
    <n v="0"/>
  </r>
  <r>
    <x v="0"/>
    <x v="0"/>
    <x v="0"/>
    <x v="16"/>
    <x v="4"/>
    <x v="9"/>
    <x v="2"/>
    <n v="0"/>
  </r>
  <r>
    <x v="0"/>
    <x v="0"/>
    <x v="0"/>
    <x v="16"/>
    <x v="4"/>
    <x v="9"/>
    <x v="3"/>
    <n v="0"/>
  </r>
  <r>
    <x v="0"/>
    <x v="0"/>
    <x v="0"/>
    <x v="16"/>
    <x v="4"/>
    <x v="9"/>
    <x v="4"/>
    <n v="0"/>
  </r>
  <r>
    <x v="0"/>
    <x v="0"/>
    <x v="0"/>
    <x v="16"/>
    <x v="4"/>
    <x v="9"/>
    <x v="5"/>
    <n v="0.68"/>
  </r>
  <r>
    <x v="0"/>
    <x v="0"/>
    <x v="0"/>
    <x v="16"/>
    <x v="4"/>
    <x v="9"/>
    <x v="6"/>
    <n v="0.68"/>
  </r>
  <r>
    <x v="0"/>
    <x v="0"/>
    <x v="0"/>
    <x v="16"/>
    <x v="4"/>
    <x v="9"/>
    <x v="7"/>
    <n v="0.131132507791517"/>
  </r>
  <r>
    <x v="0"/>
    <x v="0"/>
    <x v="0"/>
    <x v="16"/>
    <x v="4"/>
    <x v="9"/>
    <x v="8"/>
    <n v="0"/>
  </r>
  <r>
    <x v="0"/>
    <x v="0"/>
    <x v="0"/>
    <x v="16"/>
    <x v="4"/>
    <x v="9"/>
    <x v="9"/>
    <n v="0"/>
  </r>
  <r>
    <x v="0"/>
    <x v="0"/>
    <x v="0"/>
    <x v="16"/>
    <x v="4"/>
    <x v="9"/>
    <x v="10"/>
    <n v="0"/>
  </r>
  <r>
    <x v="0"/>
    <x v="0"/>
    <x v="0"/>
    <x v="16"/>
    <x v="4"/>
    <x v="9"/>
    <x v="11"/>
    <n v="0"/>
  </r>
  <r>
    <x v="0"/>
    <x v="0"/>
    <x v="0"/>
    <x v="16"/>
    <x v="4"/>
    <x v="10"/>
    <x v="0"/>
    <n v="0.68"/>
  </r>
  <r>
    <x v="0"/>
    <x v="0"/>
    <x v="0"/>
    <x v="16"/>
    <x v="4"/>
    <x v="10"/>
    <x v="1"/>
    <n v="0.68"/>
  </r>
  <r>
    <x v="0"/>
    <x v="0"/>
    <x v="0"/>
    <x v="16"/>
    <x v="4"/>
    <x v="10"/>
    <x v="2"/>
    <n v="0.68"/>
  </r>
  <r>
    <x v="0"/>
    <x v="0"/>
    <x v="0"/>
    <x v="16"/>
    <x v="4"/>
    <x v="10"/>
    <x v="3"/>
    <n v="0.68"/>
  </r>
  <r>
    <x v="0"/>
    <x v="0"/>
    <x v="0"/>
    <x v="16"/>
    <x v="4"/>
    <x v="10"/>
    <x v="4"/>
    <n v="0.68"/>
  </r>
  <r>
    <x v="0"/>
    <x v="0"/>
    <x v="0"/>
    <x v="16"/>
    <x v="4"/>
    <x v="10"/>
    <x v="5"/>
    <n v="0.68"/>
  </r>
  <r>
    <x v="0"/>
    <x v="0"/>
    <x v="0"/>
    <x v="16"/>
    <x v="4"/>
    <x v="10"/>
    <x v="6"/>
    <n v="0"/>
  </r>
  <r>
    <x v="0"/>
    <x v="0"/>
    <x v="0"/>
    <x v="16"/>
    <x v="4"/>
    <x v="10"/>
    <x v="7"/>
    <n v="0"/>
  </r>
  <r>
    <x v="0"/>
    <x v="0"/>
    <x v="0"/>
    <x v="16"/>
    <x v="4"/>
    <x v="10"/>
    <x v="8"/>
    <n v="0"/>
  </r>
  <r>
    <x v="0"/>
    <x v="0"/>
    <x v="0"/>
    <x v="16"/>
    <x v="4"/>
    <x v="10"/>
    <x v="9"/>
    <n v="0"/>
  </r>
  <r>
    <x v="0"/>
    <x v="0"/>
    <x v="0"/>
    <x v="16"/>
    <x v="4"/>
    <x v="10"/>
    <x v="10"/>
    <n v="0"/>
  </r>
  <r>
    <x v="0"/>
    <x v="0"/>
    <x v="0"/>
    <x v="16"/>
    <x v="4"/>
    <x v="10"/>
    <x v="11"/>
    <n v="0.68"/>
  </r>
  <r>
    <x v="0"/>
    <x v="0"/>
    <x v="0"/>
    <x v="16"/>
    <x v="4"/>
    <x v="11"/>
    <x v="0"/>
    <n v="0.68"/>
  </r>
  <r>
    <x v="0"/>
    <x v="0"/>
    <x v="0"/>
    <x v="16"/>
    <x v="4"/>
    <x v="11"/>
    <x v="1"/>
    <n v="0.68"/>
  </r>
  <r>
    <x v="0"/>
    <x v="0"/>
    <x v="0"/>
    <x v="16"/>
    <x v="4"/>
    <x v="11"/>
    <x v="2"/>
    <n v="0.68"/>
  </r>
  <r>
    <x v="0"/>
    <x v="0"/>
    <x v="0"/>
    <x v="16"/>
    <x v="4"/>
    <x v="11"/>
    <x v="3"/>
    <n v="0.68"/>
  </r>
  <r>
    <x v="0"/>
    <x v="0"/>
    <x v="0"/>
    <x v="16"/>
    <x v="4"/>
    <x v="11"/>
    <x v="4"/>
    <n v="0.68"/>
  </r>
  <r>
    <x v="0"/>
    <x v="0"/>
    <x v="0"/>
    <x v="16"/>
    <x v="4"/>
    <x v="11"/>
    <x v="5"/>
    <n v="0.68"/>
  </r>
  <r>
    <x v="0"/>
    <x v="0"/>
    <x v="0"/>
    <x v="16"/>
    <x v="4"/>
    <x v="11"/>
    <x v="6"/>
    <n v="0"/>
  </r>
  <r>
    <x v="0"/>
    <x v="0"/>
    <x v="0"/>
    <x v="16"/>
    <x v="4"/>
    <x v="11"/>
    <x v="7"/>
    <n v="0.68"/>
  </r>
  <r>
    <x v="0"/>
    <x v="0"/>
    <x v="0"/>
    <x v="16"/>
    <x v="4"/>
    <x v="11"/>
    <x v="8"/>
    <n v="0.68"/>
  </r>
  <r>
    <x v="0"/>
    <x v="0"/>
    <x v="0"/>
    <x v="16"/>
    <x v="4"/>
    <x v="11"/>
    <x v="9"/>
    <n v="0.68"/>
  </r>
  <r>
    <x v="0"/>
    <x v="0"/>
    <x v="0"/>
    <x v="16"/>
    <x v="4"/>
    <x v="11"/>
    <x v="10"/>
    <n v="0.68"/>
  </r>
  <r>
    <x v="0"/>
    <x v="0"/>
    <x v="0"/>
    <x v="16"/>
    <x v="4"/>
    <x v="11"/>
    <x v="11"/>
    <n v="0.68"/>
  </r>
  <r>
    <x v="0"/>
    <x v="0"/>
    <x v="0"/>
    <x v="16"/>
    <x v="6"/>
    <x v="0"/>
    <x v="0"/>
    <n v="0"/>
  </r>
  <r>
    <x v="0"/>
    <x v="0"/>
    <x v="0"/>
    <x v="16"/>
    <x v="6"/>
    <x v="0"/>
    <x v="1"/>
    <n v="0"/>
  </r>
  <r>
    <x v="0"/>
    <x v="0"/>
    <x v="0"/>
    <x v="16"/>
    <x v="6"/>
    <x v="0"/>
    <x v="2"/>
    <n v="0"/>
  </r>
  <r>
    <x v="0"/>
    <x v="0"/>
    <x v="0"/>
    <x v="16"/>
    <x v="6"/>
    <x v="0"/>
    <x v="3"/>
    <n v="0"/>
  </r>
  <r>
    <x v="0"/>
    <x v="0"/>
    <x v="0"/>
    <x v="16"/>
    <x v="6"/>
    <x v="0"/>
    <x v="4"/>
    <n v="0"/>
  </r>
  <r>
    <x v="0"/>
    <x v="0"/>
    <x v="0"/>
    <x v="16"/>
    <x v="6"/>
    <x v="0"/>
    <x v="5"/>
    <n v="0"/>
  </r>
  <r>
    <x v="0"/>
    <x v="0"/>
    <x v="0"/>
    <x v="16"/>
    <x v="6"/>
    <x v="0"/>
    <x v="6"/>
    <n v="0"/>
  </r>
  <r>
    <x v="0"/>
    <x v="0"/>
    <x v="0"/>
    <x v="16"/>
    <x v="6"/>
    <x v="0"/>
    <x v="7"/>
    <n v="0"/>
  </r>
  <r>
    <x v="0"/>
    <x v="0"/>
    <x v="0"/>
    <x v="16"/>
    <x v="6"/>
    <x v="0"/>
    <x v="8"/>
    <n v="0"/>
  </r>
  <r>
    <x v="0"/>
    <x v="0"/>
    <x v="0"/>
    <x v="16"/>
    <x v="6"/>
    <x v="0"/>
    <x v="9"/>
    <n v="0"/>
  </r>
  <r>
    <x v="0"/>
    <x v="0"/>
    <x v="0"/>
    <x v="16"/>
    <x v="6"/>
    <x v="0"/>
    <x v="10"/>
    <n v="0"/>
  </r>
  <r>
    <x v="0"/>
    <x v="0"/>
    <x v="0"/>
    <x v="16"/>
    <x v="6"/>
    <x v="0"/>
    <x v="11"/>
    <n v="0"/>
  </r>
  <r>
    <x v="0"/>
    <x v="0"/>
    <x v="0"/>
    <x v="16"/>
    <x v="6"/>
    <x v="1"/>
    <x v="0"/>
    <n v="0"/>
  </r>
  <r>
    <x v="0"/>
    <x v="0"/>
    <x v="0"/>
    <x v="16"/>
    <x v="6"/>
    <x v="1"/>
    <x v="1"/>
    <n v="0"/>
  </r>
  <r>
    <x v="0"/>
    <x v="0"/>
    <x v="0"/>
    <x v="16"/>
    <x v="6"/>
    <x v="1"/>
    <x v="2"/>
    <n v="0"/>
  </r>
  <r>
    <x v="0"/>
    <x v="0"/>
    <x v="0"/>
    <x v="16"/>
    <x v="6"/>
    <x v="1"/>
    <x v="3"/>
    <n v="0"/>
  </r>
  <r>
    <x v="0"/>
    <x v="0"/>
    <x v="0"/>
    <x v="16"/>
    <x v="6"/>
    <x v="1"/>
    <x v="4"/>
    <n v="0"/>
  </r>
  <r>
    <x v="0"/>
    <x v="0"/>
    <x v="0"/>
    <x v="16"/>
    <x v="6"/>
    <x v="1"/>
    <x v="5"/>
    <n v="0"/>
  </r>
  <r>
    <x v="0"/>
    <x v="0"/>
    <x v="0"/>
    <x v="16"/>
    <x v="6"/>
    <x v="1"/>
    <x v="6"/>
    <n v="0"/>
  </r>
  <r>
    <x v="0"/>
    <x v="0"/>
    <x v="0"/>
    <x v="16"/>
    <x v="6"/>
    <x v="1"/>
    <x v="7"/>
    <n v="0"/>
  </r>
  <r>
    <x v="0"/>
    <x v="0"/>
    <x v="0"/>
    <x v="16"/>
    <x v="6"/>
    <x v="1"/>
    <x v="8"/>
    <n v="0"/>
  </r>
  <r>
    <x v="0"/>
    <x v="0"/>
    <x v="0"/>
    <x v="16"/>
    <x v="6"/>
    <x v="1"/>
    <x v="9"/>
    <n v="0"/>
  </r>
  <r>
    <x v="0"/>
    <x v="0"/>
    <x v="0"/>
    <x v="16"/>
    <x v="6"/>
    <x v="1"/>
    <x v="10"/>
    <n v="0"/>
  </r>
  <r>
    <x v="0"/>
    <x v="0"/>
    <x v="0"/>
    <x v="16"/>
    <x v="6"/>
    <x v="1"/>
    <x v="11"/>
    <n v="0"/>
  </r>
  <r>
    <x v="0"/>
    <x v="0"/>
    <x v="0"/>
    <x v="16"/>
    <x v="6"/>
    <x v="2"/>
    <x v="0"/>
    <n v="0"/>
  </r>
  <r>
    <x v="0"/>
    <x v="0"/>
    <x v="0"/>
    <x v="16"/>
    <x v="6"/>
    <x v="2"/>
    <x v="1"/>
    <n v="0"/>
  </r>
  <r>
    <x v="0"/>
    <x v="0"/>
    <x v="0"/>
    <x v="16"/>
    <x v="6"/>
    <x v="2"/>
    <x v="2"/>
    <n v="0"/>
  </r>
  <r>
    <x v="0"/>
    <x v="0"/>
    <x v="0"/>
    <x v="16"/>
    <x v="6"/>
    <x v="2"/>
    <x v="3"/>
    <n v="0"/>
  </r>
  <r>
    <x v="0"/>
    <x v="0"/>
    <x v="0"/>
    <x v="16"/>
    <x v="6"/>
    <x v="2"/>
    <x v="4"/>
    <n v="0"/>
  </r>
  <r>
    <x v="0"/>
    <x v="0"/>
    <x v="0"/>
    <x v="16"/>
    <x v="6"/>
    <x v="2"/>
    <x v="5"/>
    <n v="0"/>
  </r>
  <r>
    <x v="0"/>
    <x v="0"/>
    <x v="0"/>
    <x v="16"/>
    <x v="6"/>
    <x v="2"/>
    <x v="6"/>
    <n v="0"/>
  </r>
  <r>
    <x v="0"/>
    <x v="0"/>
    <x v="0"/>
    <x v="16"/>
    <x v="6"/>
    <x v="2"/>
    <x v="7"/>
    <n v="0"/>
  </r>
  <r>
    <x v="0"/>
    <x v="0"/>
    <x v="0"/>
    <x v="16"/>
    <x v="6"/>
    <x v="2"/>
    <x v="8"/>
    <n v="0"/>
  </r>
  <r>
    <x v="0"/>
    <x v="0"/>
    <x v="0"/>
    <x v="16"/>
    <x v="6"/>
    <x v="2"/>
    <x v="9"/>
    <n v="0"/>
  </r>
  <r>
    <x v="0"/>
    <x v="0"/>
    <x v="0"/>
    <x v="16"/>
    <x v="6"/>
    <x v="2"/>
    <x v="10"/>
    <n v="0"/>
  </r>
  <r>
    <x v="0"/>
    <x v="0"/>
    <x v="0"/>
    <x v="16"/>
    <x v="6"/>
    <x v="2"/>
    <x v="11"/>
    <n v="0"/>
  </r>
  <r>
    <x v="0"/>
    <x v="0"/>
    <x v="0"/>
    <x v="16"/>
    <x v="6"/>
    <x v="3"/>
    <x v="0"/>
    <n v="0"/>
  </r>
  <r>
    <x v="0"/>
    <x v="0"/>
    <x v="0"/>
    <x v="16"/>
    <x v="6"/>
    <x v="3"/>
    <x v="1"/>
    <n v="0"/>
  </r>
  <r>
    <x v="0"/>
    <x v="0"/>
    <x v="0"/>
    <x v="16"/>
    <x v="6"/>
    <x v="3"/>
    <x v="2"/>
    <n v="0"/>
  </r>
  <r>
    <x v="0"/>
    <x v="0"/>
    <x v="0"/>
    <x v="16"/>
    <x v="6"/>
    <x v="3"/>
    <x v="3"/>
    <n v="0"/>
  </r>
  <r>
    <x v="0"/>
    <x v="0"/>
    <x v="0"/>
    <x v="16"/>
    <x v="6"/>
    <x v="3"/>
    <x v="4"/>
    <n v="0"/>
  </r>
  <r>
    <x v="0"/>
    <x v="0"/>
    <x v="0"/>
    <x v="16"/>
    <x v="6"/>
    <x v="3"/>
    <x v="5"/>
    <n v="0"/>
  </r>
  <r>
    <x v="0"/>
    <x v="0"/>
    <x v="0"/>
    <x v="16"/>
    <x v="6"/>
    <x v="3"/>
    <x v="6"/>
    <n v="0"/>
  </r>
  <r>
    <x v="0"/>
    <x v="0"/>
    <x v="0"/>
    <x v="16"/>
    <x v="6"/>
    <x v="3"/>
    <x v="7"/>
    <n v="0"/>
  </r>
  <r>
    <x v="0"/>
    <x v="0"/>
    <x v="0"/>
    <x v="16"/>
    <x v="6"/>
    <x v="3"/>
    <x v="8"/>
    <n v="0"/>
  </r>
  <r>
    <x v="0"/>
    <x v="0"/>
    <x v="0"/>
    <x v="16"/>
    <x v="6"/>
    <x v="3"/>
    <x v="9"/>
    <n v="0"/>
  </r>
  <r>
    <x v="0"/>
    <x v="0"/>
    <x v="0"/>
    <x v="16"/>
    <x v="6"/>
    <x v="3"/>
    <x v="10"/>
    <n v="0"/>
  </r>
  <r>
    <x v="0"/>
    <x v="0"/>
    <x v="0"/>
    <x v="16"/>
    <x v="6"/>
    <x v="3"/>
    <x v="11"/>
    <n v="0"/>
  </r>
  <r>
    <x v="0"/>
    <x v="0"/>
    <x v="0"/>
    <x v="16"/>
    <x v="6"/>
    <x v="4"/>
    <x v="0"/>
    <n v="0"/>
  </r>
  <r>
    <x v="0"/>
    <x v="0"/>
    <x v="0"/>
    <x v="16"/>
    <x v="6"/>
    <x v="4"/>
    <x v="1"/>
    <n v="0"/>
  </r>
  <r>
    <x v="0"/>
    <x v="0"/>
    <x v="0"/>
    <x v="16"/>
    <x v="6"/>
    <x v="4"/>
    <x v="2"/>
    <n v="0"/>
  </r>
  <r>
    <x v="0"/>
    <x v="0"/>
    <x v="0"/>
    <x v="16"/>
    <x v="6"/>
    <x v="4"/>
    <x v="3"/>
    <n v="0"/>
  </r>
  <r>
    <x v="0"/>
    <x v="0"/>
    <x v="0"/>
    <x v="16"/>
    <x v="6"/>
    <x v="4"/>
    <x v="4"/>
    <n v="0"/>
  </r>
  <r>
    <x v="0"/>
    <x v="0"/>
    <x v="0"/>
    <x v="16"/>
    <x v="6"/>
    <x v="4"/>
    <x v="5"/>
    <n v="0"/>
  </r>
  <r>
    <x v="0"/>
    <x v="0"/>
    <x v="0"/>
    <x v="16"/>
    <x v="6"/>
    <x v="4"/>
    <x v="6"/>
    <n v="0"/>
  </r>
  <r>
    <x v="0"/>
    <x v="0"/>
    <x v="0"/>
    <x v="16"/>
    <x v="6"/>
    <x v="4"/>
    <x v="7"/>
    <n v="0"/>
  </r>
  <r>
    <x v="0"/>
    <x v="0"/>
    <x v="0"/>
    <x v="16"/>
    <x v="6"/>
    <x v="4"/>
    <x v="8"/>
    <n v="0"/>
  </r>
  <r>
    <x v="0"/>
    <x v="0"/>
    <x v="0"/>
    <x v="16"/>
    <x v="6"/>
    <x v="4"/>
    <x v="9"/>
    <n v="0"/>
  </r>
  <r>
    <x v="0"/>
    <x v="0"/>
    <x v="0"/>
    <x v="16"/>
    <x v="6"/>
    <x v="4"/>
    <x v="10"/>
    <n v="0"/>
  </r>
  <r>
    <x v="0"/>
    <x v="0"/>
    <x v="0"/>
    <x v="16"/>
    <x v="6"/>
    <x v="4"/>
    <x v="11"/>
    <n v="0"/>
  </r>
  <r>
    <x v="0"/>
    <x v="0"/>
    <x v="0"/>
    <x v="16"/>
    <x v="6"/>
    <x v="5"/>
    <x v="0"/>
    <n v="0"/>
  </r>
  <r>
    <x v="0"/>
    <x v="0"/>
    <x v="0"/>
    <x v="16"/>
    <x v="6"/>
    <x v="5"/>
    <x v="1"/>
    <n v="0"/>
  </r>
  <r>
    <x v="0"/>
    <x v="0"/>
    <x v="0"/>
    <x v="16"/>
    <x v="6"/>
    <x v="5"/>
    <x v="2"/>
    <n v="0"/>
  </r>
  <r>
    <x v="0"/>
    <x v="0"/>
    <x v="0"/>
    <x v="16"/>
    <x v="6"/>
    <x v="5"/>
    <x v="3"/>
    <n v="0"/>
  </r>
  <r>
    <x v="0"/>
    <x v="0"/>
    <x v="0"/>
    <x v="16"/>
    <x v="6"/>
    <x v="5"/>
    <x v="4"/>
    <n v="0"/>
  </r>
  <r>
    <x v="0"/>
    <x v="0"/>
    <x v="0"/>
    <x v="16"/>
    <x v="6"/>
    <x v="5"/>
    <x v="5"/>
    <n v="0"/>
  </r>
  <r>
    <x v="0"/>
    <x v="0"/>
    <x v="0"/>
    <x v="16"/>
    <x v="6"/>
    <x v="5"/>
    <x v="6"/>
    <n v="0"/>
  </r>
  <r>
    <x v="0"/>
    <x v="0"/>
    <x v="0"/>
    <x v="16"/>
    <x v="6"/>
    <x v="5"/>
    <x v="7"/>
    <n v="0"/>
  </r>
  <r>
    <x v="0"/>
    <x v="0"/>
    <x v="0"/>
    <x v="16"/>
    <x v="6"/>
    <x v="5"/>
    <x v="8"/>
    <n v="0"/>
  </r>
  <r>
    <x v="0"/>
    <x v="0"/>
    <x v="0"/>
    <x v="16"/>
    <x v="6"/>
    <x v="5"/>
    <x v="9"/>
    <n v="0"/>
  </r>
  <r>
    <x v="0"/>
    <x v="0"/>
    <x v="0"/>
    <x v="16"/>
    <x v="6"/>
    <x v="5"/>
    <x v="10"/>
    <n v="0"/>
  </r>
  <r>
    <x v="0"/>
    <x v="0"/>
    <x v="0"/>
    <x v="16"/>
    <x v="6"/>
    <x v="5"/>
    <x v="11"/>
    <n v="0"/>
  </r>
  <r>
    <x v="0"/>
    <x v="0"/>
    <x v="0"/>
    <x v="16"/>
    <x v="6"/>
    <x v="6"/>
    <x v="0"/>
    <n v="0"/>
  </r>
  <r>
    <x v="0"/>
    <x v="0"/>
    <x v="0"/>
    <x v="16"/>
    <x v="6"/>
    <x v="6"/>
    <x v="1"/>
    <n v="0"/>
  </r>
  <r>
    <x v="0"/>
    <x v="0"/>
    <x v="0"/>
    <x v="16"/>
    <x v="6"/>
    <x v="6"/>
    <x v="2"/>
    <n v="0"/>
  </r>
  <r>
    <x v="0"/>
    <x v="0"/>
    <x v="0"/>
    <x v="16"/>
    <x v="6"/>
    <x v="6"/>
    <x v="3"/>
    <n v="0"/>
  </r>
  <r>
    <x v="0"/>
    <x v="0"/>
    <x v="0"/>
    <x v="16"/>
    <x v="6"/>
    <x v="6"/>
    <x v="4"/>
    <n v="0"/>
  </r>
  <r>
    <x v="0"/>
    <x v="0"/>
    <x v="0"/>
    <x v="16"/>
    <x v="6"/>
    <x v="6"/>
    <x v="5"/>
    <n v="0"/>
  </r>
  <r>
    <x v="0"/>
    <x v="0"/>
    <x v="0"/>
    <x v="16"/>
    <x v="6"/>
    <x v="6"/>
    <x v="6"/>
    <n v="0"/>
  </r>
  <r>
    <x v="0"/>
    <x v="0"/>
    <x v="0"/>
    <x v="16"/>
    <x v="6"/>
    <x v="6"/>
    <x v="7"/>
    <n v="0"/>
  </r>
  <r>
    <x v="0"/>
    <x v="0"/>
    <x v="0"/>
    <x v="16"/>
    <x v="6"/>
    <x v="6"/>
    <x v="8"/>
    <n v="0"/>
  </r>
  <r>
    <x v="0"/>
    <x v="0"/>
    <x v="0"/>
    <x v="16"/>
    <x v="6"/>
    <x v="6"/>
    <x v="9"/>
    <n v="0"/>
  </r>
  <r>
    <x v="0"/>
    <x v="0"/>
    <x v="0"/>
    <x v="16"/>
    <x v="6"/>
    <x v="6"/>
    <x v="10"/>
    <n v="0"/>
  </r>
  <r>
    <x v="0"/>
    <x v="0"/>
    <x v="0"/>
    <x v="16"/>
    <x v="6"/>
    <x v="6"/>
    <x v="11"/>
    <n v="0"/>
  </r>
  <r>
    <x v="0"/>
    <x v="0"/>
    <x v="0"/>
    <x v="16"/>
    <x v="6"/>
    <x v="7"/>
    <x v="0"/>
    <n v="0"/>
  </r>
  <r>
    <x v="0"/>
    <x v="0"/>
    <x v="0"/>
    <x v="16"/>
    <x v="6"/>
    <x v="7"/>
    <x v="1"/>
    <n v="0"/>
  </r>
  <r>
    <x v="0"/>
    <x v="0"/>
    <x v="0"/>
    <x v="16"/>
    <x v="6"/>
    <x v="7"/>
    <x v="2"/>
    <n v="0"/>
  </r>
  <r>
    <x v="0"/>
    <x v="0"/>
    <x v="0"/>
    <x v="16"/>
    <x v="6"/>
    <x v="7"/>
    <x v="3"/>
    <n v="0"/>
  </r>
  <r>
    <x v="0"/>
    <x v="0"/>
    <x v="0"/>
    <x v="16"/>
    <x v="6"/>
    <x v="7"/>
    <x v="4"/>
    <n v="0"/>
  </r>
  <r>
    <x v="0"/>
    <x v="0"/>
    <x v="0"/>
    <x v="16"/>
    <x v="6"/>
    <x v="7"/>
    <x v="5"/>
    <n v="0"/>
  </r>
  <r>
    <x v="0"/>
    <x v="0"/>
    <x v="0"/>
    <x v="16"/>
    <x v="6"/>
    <x v="7"/>
    <x v="6"/>
    <n v="0"/>
  </r>
  <r>
    <x v="0"/>
    <x v="0"/>
    <x v="0"/>
    <x v="16"/>
    <x v="6"/>
    <x v="7"/>
    <x v="7"/>
    <n v="0"/>
  </r>
  <r>
    <x v="0"/>
    <x v="0"/>
    <x v="0"/>
    <x v="16"/>
    <x v="6"/>
    <x v="7"/>
    <x v="8"/>
    <n v="0"/>
  </r>
  <r>
    <x v="0"/>
    <x v="0"/>
    <x v="0"/>
    <x v="16"/>
    <x v="6"/>
    <x v="7"/>
    <x v="9"/>
    <n v="0"/>
  </r>
  <r>
    <x v="0"/>
    <x v="0"/>
    <x v="0"/>
    <x v="16"/>
    <x v="6"/>
    <x v="7"/>
    <x v="10"/>
    <n v="0"/>
  </r>
  <r>
    <x v="0"/>
    <x v="0"/>
    <x v="0"/>
    <x v="16"/>
    <x v="6"/>
    <x v="7"/>
    <x v="11"/>
    <n v="0"/>
  </r>
  <r>
    <x v="0"/>
    <x v="0"/>
    <x v="0"/>
    <x v="16"/>
    <x v="6"/>
    <x v="8"/>
    <x v="0"/>
    <n v="1.35"/>
  </r>
  <r>
    <x v="0"/>
    <x v="0"/>
    <x v="0"/>
    <x v="16"/>
    <x v="6"/>
    <x v="8"/>
    <x v="1"/>
    <n v="1.35"/>
  </r>
  <r>
    <x v="0"/>
    <x v="0"/>
    <x v="0"/>
    <x v="16"/>
    <x v="6"/>
    <x v="8"/>
    <x v="2"/>
    <n v="1.35"/>
  </r>
  <r>
    <x v="0"/>
    <x v="0"/>
    <x v="0"/>
    <x v="16"/>
    <x v="6"/>
    <x v="8"/>
    <x v="3"/>
    <n v="1.35"/>
  </r>
  <r>
    <x v="0"/>
    <x v="0"/>
    <x v="0"/>
    <x v="16"/>
    <x v="6"/>
    <x v="8"/>
    <x v="4"/>
    <n v="1.35"/>
  </r>
  <r>
    <x v="0"/>
    <x v="0"/>
    <x v="0"/>
    <x v="16"/>
    <x v="6"/>
    <x v="8"/>
    <x v="5"/>
    <n v="1.35"/>
  </r>
  <r>
    <x v="0"/>
    <x v="0"/>
    <x v="0"/>
    <x v="16"/>
    <x v="6"/>
    <x v="8"/>
    <x v="6"/>
    <n v="0"/>
  </r>
  <r>
    <x v="0"/>
    <x v="0"/>
    <x v="0"/>
    <x v="16"/>
    <x v="6"/>
    <x v="8"/>
    <x v="7"/>
    <n v="0.41778001564408601"/>
  </r>
  <r>
    <x v="0"/>
    <x v="0"/>
    <x v="0"/>
    <x v="16"/>
    <x v="6"/>
    <x v="8"/>
    <x v="8"/>
    <n v="0.37238322220918801"/>
  </r>
  <r>
    <x v="0"/>
    <x v="0"/>
    <x v="0"/>
    <x v="16"/>
    <x v="6"/>
    <x v="8"/>
    <x v="9"/>
    <n v="0.483462523347929"/>
  </r>
  <r>
    <x v="0"/>
    <x v="0"/>
    <x v="0"/>
    <x v="16"/>
    <x v="6"/>
    <x v="8"/>
    <x v="10"/>
    <n v="0"/>
  </r>
  <r>
    <x v="0"/>
    <x v="0"/>
    <x v="0"/>
    <x v="16"/>
    <x v="6"/>
    <x v="8"/>
    <x v="11"/>
    <n v="0"/>
  </r>
  <r>
    <x v="0"/>
    <x v="0"/>
    <x v="0"/>
    <x v="16"/>
    <x v="6"/>
    <x v="9"/>
    <x v="0"/>
    <n v="1.35"/>
  </r>
  <r>
    <x v="0"/>
    <x v="0"/>
    <x v="0"/>
    <x v="16"/>
    <x v="6"/>
    <x v="9"/>
    <x v="1"/>
    <n v="1.35"/>
  </r>
  <r>
    <x v="0"/>
    <x v="0"/>
    <x v="0"/>
    <x v="16"/>
    <x v="6"/>
    <x v="9"/>
    <x v="2"/>
    <n v="1.35"/>
  </r>
  <r>
    <x v="0"/>
    <x v="0"/>
    <x v="0"/>
    <x v="16"/>
    <x v="6"/>
    <x v="9"/>
    <x v="3"/>
    <n v="1.35"/>
  </r>
  <r>
    <x v="0"/>
    <x v="0"/>
    <x v="0"/>
    <x v="16"/>
    <x v="6"/>
    <x v="9"/>
    <x v="4"/>
    <n v="1.35"/>
  </r>
  <r>
    <x v="0"/>
    <x v="0"/>
    <x v="0"/>
    <x v="16"/>
    <x v="6"/>
    <x v="9"/>
    <x v="5"/>
    <n v="1.35"/>
  </r>
  <r>
    <x v="0"/>
    <x v="0"/>
    <x v="0"/>
    <x v="16"/>
    <x v="6"/>
    <x v="9"/>
    <x v="6"/>
    <n v="0.29062092441916998"/>
  </r>
  <r>
    <x v="0"/>
    <x v="0"/>
    <x v="0"/>
    <x v="16"/>
    <x v="6"/>
    <x v="9"/>
    <x v="7"/>
    <n v="0"/>
  </r>
  <r>
    <x v="0"/>
    <x v="0"/>
    <x v="0"/>
    <x v="16"/>
    <x v="6"/>
    <x v="9"/>
    <x v="8"/>
    <n v="0"/>
  </r>
  <r>
    <x v="0"/>
    <x v="0"/>
    <x v="0"/>
    <x v="16"/>
    <x v="6"/>
    <x v="9"/>
    <x v="9"/>
    <n v="0.138963581259091"/>
  </r>
  <r>
    <x v="0"/>
    <x v="0"/>
    <x v="0"/>
    <x v="16"/>
    <x v="6"/>
    <x v="9"/>
    <x v="10"/>
    <n v="0"/>
  </r>
  <r>
    <x v="0"/>
    <x v="0"/>
    <x v="0"/>
    <x v="16"/>
    <x v="6"/>
    <x v="9"/>
    <x v="11"/>
    <n v="0"/>
  </r>
  <r>
    <x v="0"/>
    <x v="0"/>
    <x v="0"/>
    <x v="16"/>
    <x v="6"/>
    <x v="10"/>
    <x v="0"/>
    <n v="1.35"/>
  </r>
  <r>
    <x v="0"/>
    <x v="0"/>
    <x v="0"/>
    <x v="16"/>
    <x v="6"/>
    <x v="10"/>
    <x v="1"/>
    <n v="1.35"/>
  </r>
  <r>
    <x v="0"/>
    <x v="0"/>
    <x v="0"/>
    <x v="16"/>
    <x v="6"/>
    <x v="10"/>
    <x v="2"/>
    <n v="1.35"/>
  </r>
  <r>
    <x v="0"/>
    <x v="0"/>
    <x v="0"/>
    <x v="16"/>
    <x v="6"/>
    <x v="10"/>
    <x v="3"/>
    <n v="1.35"/>
  </r>
  <r>
    <x v="0"/>
    <x v="0"/>
    <x v="0"/>
    <x v="16"/>
    <x v="6"/>
    <x v="10"/>
    <x v="4"/>
    <n v="1.35"/>
  </r>
  <r>
    <x v="0"/>
    <x v="0"/>
    <x v="0"/>
    <x v="16"/>
    <x v="6"/>
    <x v="10"/>
    <x v="5"/>
    <n v="1.35"/>
  </r>
  <r>
    <x v="0"/>
    <x v="0"/>
    <x v="0"/>
    <x v="16"/>
    <x v="6"/>
    <x v="10"/>
    <x v="6"/>
    <n v="0"/>
  </r>
  <r>
    <x v="0"/>
    <x v="0"/>
    <x v="0"/>
    <x v="16"/>
    <x v="6"/>
    <x v="10"/>
    <x v="7"/>
    <n v="1.35"/>
  </r>
  <r>
    <x v="0"/>
    <x v="0"/>
    <x v="0"/>
    <x v="16"/>
    <x v="6"/>
    <x v="10"/>
    <x v="8"/>
    <n v="1.35"/>
  </r>
  <r>
    <x v="0"/>
    <x v="0"/>
    <x v="0"/>
    <x v="16"/>
    <x v="6"/>
    <x v="10"/>
    <x v="9"/>
    <n v="1.35"/>
  </r>
  <r>
    <x v="0"/>
    <x v="0"/>
    <x v="0"/>
    <x v="16"/>
    <x v="6"/>
    <x v="10"/>
    <x v="10"/>
    <n v="1.35"/>
  </r>
  <r>
    <x v="0"/>
    <x v="0"/>
    <x v="0"/>
    <x v="16"/>
    <x v="6"/>
    <x v="10"/>
    <x v="11"/>
    <n v="1.35"/>
  </r>
  <r>
    <x v="0"/>
    <x v="0"/>
    <x v="0"/>
    <x v="16"/>
    <x v="6"/>
    <x v="11"/>
    <x v="0"/>
    <n v="1.35"/>
  </r>
  <r>
    <x v="0"/>
    <x v="0"/>
    <x v="0"/>
    <x v="16"/>
    <x v="6"/>
    <x v="11"/>
    <x v="1"/>
    <n v="1.35"/>
  </r>
  <r>
    <x v="0"/>
    <x v="0"/>
    <x v="0"/>
    <x v="16"/>
    <x v="6"/>
    <x v="11"/>
    <x v="2"/>
    <n v="1.35"/>
  </r>
  <r>
    <x v="0"/>
    <x v="0"/>
    <x v="0"/>
    <x v="16"/>
    <x v="6"/>
    <x v="11"/>
    <x v="3"/>
    <n v="1.35"/>
  </r>
  <r>
    <x v="0"/>
    <x v="0"/>
    <x v="0"/>
    <x v="16"/>
    <x v="6"/>
    <x v="11"/>
    <x v="4"/>
    <n v="1.35"/>
  </r>
  <r>
    <x v="0"/>
    <x v="0"/>
    <x v="0"/>
    <x v="16"/>
    <x v="6"/>
    <x v="11"/>
    <x v="5"/>
    <n v="1.35"/>
  </r>
  <r>
    <x v="0"/>
    <x v="0"/>
    <x v="0"/>
    <x v="16"/>
    <x v="6"/>
    <x v="11"/>
    <x v="6"/>
    <n v="1.35"/>
  </r>
  <r>
    <x v="0"/>
    <x v="0"/>
    <x v="0"/>
    <x v="16"/>
    <x v="6"/>
    <x v="11"/>
    <x v="7"/>
    <n v="1.35"/>
  </r>
  <r>
    <x v="0"/>
    <x v="0"/>
    <x v="0"/>
    <x v="16"/>
    <x v="6"/>
    <x v="11"/>
    <x v="8"/>
    <n v="1.35"/>
  </r>
  <r>
    <x v="0"/>
    <x v="0"/>
    <x v="0"/>
    <x v="16"/>
    <x v="6"/>
    <x v="11"/>
    <x v="9"/>
    <n v="1.35"/>
  </r>
  <r>
    <x v="0"/>
    <x v="0"/>
    <x v="0"/>
    <x v="16"/>
    <x v="6"/>
    <x v="11"/>
    <x v="10"/>
    <n v="1.35"/>
  </r>
  <r>
    <x v="0"/>
    <x v="0"/>
    <x v="0"/>
    <x v="16"/>
    <x v="6"/>
    <x v="11"/>
    <x v="11"/>
    <n v="1.35"/>
  </r>
  <r>
    <x v="0"/>
    <x v="0"/>
    <x v="0"/>
    <x v="16"/>
    <x v="15"/>
    <x v="0"/>
    <x v="0"/>
    <n v="0"/>
  </r>
  <r>
    <x v="0"/>
    <x v="0"/>
    <x v="0"/>
    <x v="16"/>
    <x v="15"/>
    <x v="0"/>
    <x v="1"/>
    <n v="0"/>
  </r>
  <r>
    <x v="0"/>
    <x v="0"/>
    <x v="0"/>
    <x v="16"/>
    <x v="15"/>
    <x v="0"/>
    <x v="2"/>
    <n v="0"/>
  </r>
  <r>
    <x v="0"/>
    <x v="0"/>
    <x v="0"/>
    <x v="16"/>
    <x v="15"/>
    <x v="0"/>
    <x v="3"/>
    <n v="0"/>
  </r>
  <r>
    <x v="0"/>
    <x v="0"/>
    <x v="0"/>
    <x v="16"/>
    <x v="15"/>
    <x v="0"/>
    <x v="4"/>
    <n v="0"/>
  </r>
  <r>
    <x v="0"/>
    <x v="0"/>
    <x v="0"/>
    <x v="16"/>
    <x v="15"/>
    <x v="0"/>
    <x v="5"/>
    <n v="0"/>
  </r>
  <r>
    <x v="0"/>
    <x v="0"/>
    <x v="0"/>
    <x v="16"/>
    <x v="15"/>
    <x v="0"/>
    <x v="6"/>
    <n v="0"/>
  </r>
  <r>
    <x v="0"/>
    <x v="0"/>
    <x v="0"/>
    <x v="16"/>
    <x v="15"/>
    <x v="0"/>
    <x v="7"/>
    <n v="0"/>
  </r>
  <r>
    <x v="0"/>
    <x v="0"/>
    <x v="0"/>
    <x v="16"/>
    <x v="15"/>
    <x v="0"/>
    <x v="8"/>
    <n v="0"/>
  </r>
  <r>
    <x v="0"/>
    <x v="0"/>
    <x v="0"/>
    <x v="16"/>
    <x v="15"/>
    <x v="0"/>
    <x v="9"/>
    <n v="0"/>
  </r>
  <r>
    <x v="0"/>
    <x v="0"/>
    <x v="0"/>
    <x v="16"/>
    <x v="15"/>
    <x v="0"/>
    <x v="10"/>
    <n v="0"/>
  </r>
  <r>
    <x v="0"/>
    <x v="0"/>
    <x v="0"/>
    <x v="16"/>
    <x v="15"/>
    <x v="0"/>
    <x v="11"/>
    <n v="0"/>
  </r>
  <r>
    <x v="0"/>
    <x v="0"/>
    <x v="0"/>
    <x v="16"/>
    <x v="15"/>
    <x v="1"/>
    <x v="0"/>
    <n v="0"/>
  </r>
  <r>
    <x v="0"/>
    <x v="0"/>
    <x v="0"/>
    <x v="16"/>
    <x v="15"/>
    <x v="1"/>
    <x v="1"/>
    <n v="0"/>
  </r>
  <r>
    <x v="0"/>
    <x v="0"/>
    <x v="0"/>
    <x v="16"/>
    <x v="15"/>
    <x v="1"/>
    <x v="2"/>
    <n v="0"/>
  </r>
  <r>
    <x v="0"/>
    <x v="0"/>
    <x v="0"/>
    <x v="16"/>
    <x v="15"/>
    <x v="1"/>
    <x v="3"/>
    <n v="0"/>
  </r>
  <r>
    <x v="0"/>
    <x v="0"/>
    <x v="0"/>
    <x v="16"/>
    <x v="15"/>
    <x v="1"/>
    <x v="4"/>
    <n v="0"/>
  </r>
  <r>
    <x v="0"/>
    <x v="0"/>
    <x v="0"/>
    <x v="16"/>
    <x v="15"/>
    <x v="1"/>
    <x v="5"/>
    <n v="0"/>
  </r>
  <r>
    <x v="0"/>
    <x v="0"/>
    <x v="0"/>
    <x v="16"/>
    <x v="15"/>
    <x v="1"/>
    <x v="6"/>
    <n v="0"/>
  </r>
  <r>
    <x v="0"/>
    <x v="0"/>
    <x v="0"/>
    <x v="16"/>
    <x v="15"/>
    <x v="1"/>
    <x v="7"/>
    <n v="0"/>
  </r>
  <r>
    <x v="0"/>
    <x v="0"/>
    <x v="0"/>
    <x v="16"/>
    <x v="15"/>
    <x v="1"/>
    <x v="8"/>
    <n v="0"/>
  </r>
  <r>
    <x v="0"/>
    <x v="0"/>
    <x v="0"/>
    <x v="16"/>
    <x v="15"/>
    <x v="1"/>
    <x v="9"/>
    <n v="0"/>
  </r>
  <r>
    <x v="0"/>
    <x v="0"/>
    <x v="0"/>
    <x v="16"/>
    <x v="15"/>
    <x v="1"/>
    <x v="10"/>
    <n v="0"/>
  </r>
  <r>
    <x v="0"/>
    <x v="0"/>
    <x v="0"/>
    <x v="16"/>
    <x v="15"/>
    <x v="1"/>
    <x v="11"/>
    <n v="0"/>
  </r>
  <r>
    <x v="0"/>
    <x v="0"/>
    <x v="0"/>
    <x v="16"/>
    <x v="15"/>
    <x v="2"/>
    <x v="0"/>
    <n v="0"/>
  </r>
  <r>
    <x v="0"/>
    <x v="0"/>
    <x v="0"/>
    <x v="16"/>
    <x v="15"/>
    <x v="2"/>
    <x v="1"/>
    <n v="0"/>
  </r>
  <r>
    <x v="0"/>
    <x v="0"/>
    <x v="0"/>
    <x v="16"/>
    <x v="15"/>
    <x v="2"/>
    <x v="2"/>
    <n v="0"/>
  </r>
  <r>
    <x v="0"/>
    <x v="0"/>
    <x v="0"/>
    <x v="16"/>
    <x v="15"/>
    <x v="2"/>
    <x v="3"/>
    <n v="0"/>
  </r>
  <r>
    <x v="0"/>
    <x v="0"/>
    <x v="0"/>
    <x v="16"/>
    <x v="15"/>
    <x v="2"/>
    <x v="4"/>
    <n v="0"/>
  </r>
  <r>
    <x v="0"/>
    <x v="0"/>
    <x v="0"/>
    <x v="16"/>
    <x v="15"/>
    <x v="2"/>
    <x v="5"/>
    <n v="0"/>
  </r>
  <r>
    <x v="0"/>
    <x v="0"/>
    <x v="0"/>
    <x v="16"/>
    <x v="15"/>
    <x v="2"/>
    <x v="6"/>
    <n v="0"/>
  </r>
  <r>
    <x v="0"/>
    <x v="0"/>
    <x v="0"/>
    <x v="16"/>
    <x v="15"/>
    <x v="2"/>
    <x v="7"/>
    <n v="0"/>
  </r>
  <r>
    <x v="0"/>
    <x v="0"/>
    <x v="0"/>
    <x v="16"/>
    <x v="15"/>
    <x v="2"/>
    <x v="8"/>
    <n v="0"/>
  </r>
  <r>
    <x v="0"/>
    <x v="0"/>
    <x v="0"/>
    <x v="16"/>
    <x v="15"/>
    <x v="2"/>
    <x v="9"/>
    <n v="0"/>
  </r>
  <r>
    <x v="0"/>
    <x v="0"/>
    <x v="0"/>
    <x v="16"/>
    <x v="15"/>
    <x v="2"/>
    <x v="10"/>
    <n v="0"/>
  </r>
  <r>
    <x v="0"/>
    <x v="0"/>
    <x v="0"/>
    <x v="16"/>
    <x v="15"/>
    <x v="2"/>
    <x v="11"/>
    <n v="0"/>
  </r>
  <r>
    <x v="0"/>
    <x v="0"/>
    <x v="0"/>
    <x v="16"/>
    <x v="15"/>
    <x v="3"/>
    <x v="0"/>
    <n v="0"/>
  </r>
  <r>
    <x v="0"/>
    <x v="0"/>
    <x v="0"/>
    <x v="16"/>
    <x v="15"/>
    <x v="3"/>
    <x v="1"/>
    <n v="0"/>
  </r>
  <r>
    <x v="0"/>
    <x v="0"/>
    <x v="0"/>
    <x v="16"/>
    <x v="15"/>
    <x v="3"/>
    <x v="2"/>
    <n v="0"/>
  </r>
  <r>
    <x v="0"/>
    <x v="0"/>
    <x v="0"/>
    <x v="16"/>
    <x v="15"/>
    <x v="3"/>
    <x v="3"/>
    <n v="0"/>
  </r>
  <r>
    <x v="0"/>
    <x v="0"/>
    <x v="0"/>
    <x v="16"/>
    <x v="15"/>
    <x v="3"/>
    <x v="4"/>
    <n v="0"/>
  </r>
  <r>
    <x v="0"/>
    <x v="0"/>
    <x v="0"/>
    <x v="16"/>
    <x v="15"/>
    <x v="3"/>
    <x v="5"/>
    <n v="0"/>
  </r>
  <r>
    <x v="0"/>
    <x v="0"/>
    <x v="0"/>
    <x v="16"/>
    <x v="15"/>
    <x v="3"/>
    <x v="6"/>
    <n v="0"/>
  </r>
  <r>
    <x v="0"/>
    <x v="0"/>
    <x v="0"/>
    <x v="16"/>
    <x v="15"/>
    <x v="3"/>
    <x v="7"/>
    <n v="0"/>
  </r>
  <r>
    <x v="0"/>
    <x v="0"/>
    <x v="0"/>
    <x v="16"/>
    <x v="15"/>
    <x v="3"/>
    <x v="8"/>
    <n v="0"/>
  </r>
  <r>
    <x v="0"/>
    <x v="0"/>
    <x v="0"/>
    <x v="16"/>
    <x v="15"/>
    <x v="3"/>
    <x v="9"/>
    <n v="0"/>
  </r>
  <r>
    <x v="0"/>
    <x v="0"/>
    <x v="0"/>
    <x v="16"/>
    <x v="15"/>
    <x v="3"/>
    <x v="10"/>
    <n v="0"/>
  </r>
  <r>
    <x v="0"/>
    <x v="0"/>
    <x v="0"/>
    <x v="16"/>
    <x v="15"/>
    <x v="3"/>
    <x v="11"/>
    <n v="0"/>
  </r>
  <r>
    <x v="0"/>
    <x v="0"/>
    <x v="0"/>
    <x v="16"/>
    <x v="15"/>
    <x v="4"/>
    <x v="0"/>
    <n v="-2.145"/>
  </r>
  <r>
    <x v="0"/>
    <x v="0"/>
    <x v="0"/>
    <x v="16"/>
    <x v="15"/>
    <x v="4"/>
    <x v="1"/>
    <n v="-2.145"/>
  </r>
  <r>
    <x v="0"/>
    <x v="0"/>
    <x v="0"/>
    <x v="16"/>
    <x v="15"/>
    <x v="4"/>
    <x v="2"/>
    <n v="-2.145"/>
  </r>
  <r>
    <x v="0"/>
    <x v="0"/>
    <x v="0"/>
    <x v="16"/>
    <x v="15"/>
    <x v="4"/>
    <x v="3"/>
    <n v="-2.145"/>
  </r>
  <r>
    <x v="0"/>
    <x v="0"/>
    <x v="0"/>
    <x v="16"/>
    <x v="15"/>
    <x v="4"/>
    <x v="4"/>
    <n v="-2.145"/>
  </r>
  <r>
    <x v="0"/>
    <x v="0"/>
    <x v="0"/>
    <x v="16"/>
    <x v="15"/>
    <x v="4"/>
    <x v="5"/>
    <n v="-2.145"/>
  </r>
  <r>
    <x v="0"/>
    <x v="0"/>
    <x v="0"/>
    <x v="16"/>
    <x v="15"/>
    <x v="4"/>
    <x v="6"/>
    <n v="-2.145"/>
  </r>
  <r>
    <x v="0"/>
    <x v="0"/>
    <x v="0"/>
    <x v="16"/>
    <x v="15"/>
    <x v="4"/>
    <x v="7"/>
    <n v="-2.145"/>
  </r>
  <r>
    <x v="0"/>
    <x v="0"/>
    <x v="0"/>
    <x v="16"/>
    <x v="15"/>
    <x v="4"/>
    <x v="8"/>
    <n v="-2.145"/>
  </r>
  <r>
    <x v="0"/>
    <x v="0"/>
    <x v="0"/>
    <x v="16"/>
    <x v="15"/>
    <x v="4"/>
    <x v="9"/>
    <n v="-2.145"/>
  </r>
  <r>
    <x v="0"/>
    <x v="0"/>
    <x v="0"/>
    <x v="16"/>
    <x v="15"/>
    <x v="4"/>
    <x v="10"/>
    <n v="-2.145"/>
  </r>
  <r>
    <x v="0"/>
    <x v="0"/>
    <x v="0"/>
    <x v="16"/>
    <x v="15"/>
    <x v="4"/>
    <x v="11"/>
    <n v="-2.145"/>
  </r>
  <r>
    <x v="0"/>
    <x v="0"/>
    <x v="0"/>
    <x v="16"/>
    <x v="15"/>
    <x v="5"/>
    <x v="0"/>
    <n v="-2.145"/>
  </r>
  <r>
    <x v="0"/>
    <x v="0"/>
    <x v="0"/>
    <x v="16"/>
    <x v="15"/>
    <x v="5"/>
    <x v="1"/>
    <n v="-2.145"/>
  </r>
  <r>
    <x v="0"/>
    <x v="0"/>
    <x v="0"/>
    <x v="16"/>
    <x v="15"/>
    <x v="5"/>
    <x v="2"/>
    <n v="-2.145"/>
  </r>
  <r>
    <x v="0"/>
    <x v="0"/>
    <x v="0"/>
    <x v="16"/>
    <x v="15"/>
    <x v="5"/>
    <x v="3"/>
    <n v="-2.145"/>
  </r>
  <r>
    <x v="0"/>
    <x v="0"/>
    <x v="0"/>
    <x v="16"/>
    <x v="15"/>
    <x v="5"/>
    <x v="4"/>
    <n v="-2.145"/>
  </r>
  <r>
    <x v="0"/>
    <x v="0"/>
    <x v="0"/>
    <x v="16"/>
    <x v="15"/>
    <x v="5"/>
    <x v="5"/>
    <n v="-2.145"/>
  </r>
  <r>
    <x v="0"/>
    <x v="0"/>
    <x v="0"/>
    <x v="16"/>
    <x v="15"/>
    <x v="5"/>
    <x v="6"/>
    <n v="-2.145"/>
  </r>
  <r>
    <x v="0"/>
    <x v="0"/>
    <x v="0"/>
    <x v="16"/>
    <x v="15"/>
    <x v="5"/>
    <x v="7"/>
    <n v="-2.145"/>
  </r>
  <r>
    <x v="0"/>
    <x v="0"/>
    <x v="0"/>
    <x v="16"/>
    <x v="15"/>
    <x v="5"/>
    <x v="8"/>
    <n v="-2.145"/>
  </r>
  <r>
    <x v="0"/>
    <x v="0"/>
    <x v="0"/>
    <x v="16"/>
    <x v="15"/>
    <x v="5"/>
    <x v="9"/>
    <n v="-2.145"/>
  </r>
  <r>
    <x v="0"/>
    <x v="0"/>
    <x v="0"/>
    <x v="16"/>
    <x v="15"/>
    <x v="5"/>
    <x v="10"/>
    <n v="-2.145"/>
  </r>
  <r>
    <x v="0"/>
    <x v="0"/>
    <x v="0"/>
    <x v="16"/>
    <x v="15"/>
    <x v="5"/>
    <x v="11"/>
    <n v="-2.145"/>
  </r>
  <r>
    <x v="0"/>
    <x v="0"/>
    <x v="0"/>
    <x v="16"/>
    <x v="15"/>
    <x v="6"/>
    <x v="0"/>
    <n v="-2.145"/>
  </r>
  <r>
    <x v="0"/>
    <x v="0"/>
    <x v="0"/>
    <x v="16"/>
    <x v="15"/>
    <x v="6"/>
    <x v="1"/>
    <n v="-2.145"/>
  </r>
  <r>
    <x v="0"/>
    <x v="0"/>
    <x v="0"/>
    <x v="16"/>
    <x v="15"/>
    <x v="6"/>
    <x v="2"/>
    <n v="-2.145"/>
  </r>
  <r>
    <x v="0"/>
    <x v="0"/>
    <x v="0"/>
    <x v="16"/>
    <x v="15"/>
    <x v="6"/>
    <x v="3"/>
    <n v="-2.145"/>
  </r>
  <r>
    <x v="0"/>
    <x v="0"/>
    <x v="0"/>
    <x v="16"/>
    <x v="15"/>
    <x v="6"/>
    <x v="4"/>
    <n v="-2.145"/>
  </r>
  <r>
    <x v="0"/>
    <x v="0"/>
    <x v="0"/>
    <x v="16"/>
    <x v="15"/>
    <x v="6"/>
    <x v="5"/>
    <n v="-2.145"/>
  </r>
  <r>
    <x v="0"/>
    <x v="0"/>
    <x v="0"/>
    <x v="16"/>
    <x v="15"/>
    <x v="6"/>
    <x v="6"/>
    <n v="-2.145"/>
  </r>
  <r>
    <x v="0"/>
    <x v="0"/>
    <x v="0"/>
    <x v="16"/>
    <x v="15"/>
    <x v="6"/>
    <x v="7"/>
    <n v="-2.145"/>
  </r>
  <r>
    <x v="0"/>
    <x v="0"/>
    <x v="0"/>
    <x v="16"/>
    <x v="15"/>
    <x v="6"/>
    <x v="8"/>
    <n v="-2.145"/>
  </r>
  <r>
    <x v="0"/>
    <x v="0"/>
    <x v="0"/>
    <x v="16"/>
    <x v="15"/>
    <x v="6"/>
    <x v="9"/>
    <n v="-2.145"/>
  </r>
  <r>
    <x v="0"/>
    <x v="0"/>
    <x v="0"/>
    <x v="16"/>
    <x v="15"/>
    <x v="6"/>
    <x v="10"/>
    <n v="-2.145"/>
  </r>
  <r>
    <x v="0"/>
    <x v="0"/>
    <x v="0"/>
    <x v="16"/>
    <x v="15"/>
    <x v="6"/>
    <x v="11"/>
    <n v="-2.145"/>
  </r>
  <r>
    <x v="0"/>
    <x v="0"/>
    <x v="0"/>
    <x v="16"/>
    <x v="15"/>
    <x v="7"/>
    <x v="0"/>
    <n v="-2.145"/>
  </r>
  <r>
    <x v="0"/>
    <x v="0"/>
    <x v="0"/>
    <x v="16"/>
    <x v="15"/>
    <x v="7"/>
    <x v="1"/>
    <n v="-2.145"/>
  </r>
  <r>
    <x v="0"/>
    <x v="0"/>
    <x v="0"/>
    <x v="16"/>
    <x v="15"/>
    <x v="7"/>
    <x v="2"/>
    <n v="-2.145"/>
  </r>
  <r>
    <x v="0"/>
    <x v="0"/>
    <x v="0"/>
    <x v="16"/>
    <x v="15"/>
    <x v="7"/>
    <x v="3"/>
    <n v="-2.145"/>
  </r>
  <r>
    <x v="0"/>
    <x v="0"/>
    <x v="0"/>
    <x v="16"/>
    <x v="15"/>
    <x v="7"/>
    <x v="4"/>
    <n v="-2.145"/>
  </r>
  <r>
    <x v="0"/>
    <x v="0"/>
    <x v="0"/>
    <x v="16"/>
    <x v="15"/>
    <x v="7"/>
    <x v="5"/>
    <n v="-2.145"/>
  </r>
  <r>
    <x v="0"/>
    <x v="0"/>
    <x v="0"/>
    <x v="16"/>
    <x v="15"/>
    <x v="7"/>
    <x v="6"/>
    <n v="-2.145"/>
  </r>
  <r>
    <x v="0"/>
    <x v="0"/>
    <x v="0"/>
    <x v="16"/>
    <x v="15"/>
    <x v="7"/>
    <x v="7"/>
    <n v="-2.145"/>
  </r>
  <r>
    <x v="0"/>
    <x v="0"/>
    <x v="0"/>
    <x v="16"/>
    <x v="15"/>
    <x v="7"/>
    <x v="8"/>
    <n v="-2.145"/>
  </r>
  <r>
    <x v="0"/>
    <x v="0"/>
    <x v="0"/>
    <x v="16"/>
    <x v="15"/>
    <x v="7"/>
    <x v="9"/>
    <n v="-2.145"/>
  </r>
  <r>
    <x v="0"/>
    <x v="0"/>
    <x v="0"/>
    <x v="16"/>
    <x v="15"/>
    <x v="7"/>
    <x v="10"/>
    <n v="-2.145"/>
  </r>
  <r>
    <x v="0"/>
    <x v="0"/>
    <x v="0"/>
    <x v="16"/>
    <x v="15"/>
    <x v="7"/>
    <x v="11"/>
    <n v="-2.145"/>
  </r>
  <r>
    <x v="0"/>
    <x v="0"/>
    <x v="0"/>
    <x v="16"/>
    <x v="15"/>
    <x v="8"/>
    <x v="0"/>
    <n v="-2.145"/>
  </r>
  <r>
    <x v="0"/>
    <x v="0"/>
    <x v="0"/>
    <x v="16"/>
    <x v="15"/>
    <x v="8"/>
    <x v="1"/>
    <n v="-2.145"/>
  </r>
  <r>
    <x v="0"/>
    <x v="0"/>
    <x v="0"/>
    <x v="16"/>
    <x v="15"/>
    <x v="8"/>
    <x v="2"/>
    <n v="-2.145"/>
  </r>
  <r>
    <x v="0"/>
    <x v="0"/>
    <x v="0"/>
    <x v="16"/>
    <x v="15"/>
    <x v="8"/>
    <x v="3"/>
    <n v="-2.145"/>
  </r>
  <r>
    <x v="0"/>
    <x v="0"/>
    <x v="0"/>
    <x v="16"/>
    <x v="15"/>
    <x v="8"/>
    <x v="4"/>
    <n v="-2.145"/>
  </r>
  <r>
    <x v="0"/>
    <x v="0"/>
    <x v="0"/>
    <x v="16"/>
    <x v="15"/>
    <x v="8"/>
    <x v="5"/>
    <n v="-2.145"/>
  </r>
  <r>
    <x v="0"/>
    <x v="0"/>
    <x v="0"/>
    <x v="16"/>
    <x v="15"/>
    <x v="8"/>
    <x v="6"/>
    <n v="-2.145"/>
  </r>
  <r>
    <x v="0"/>
    <x v="0"/>
    <x v="0"/>
    <x v="16"/>
    <x v="15"/>
    <x v="8"/>
    <x v="7"/>
    <n v="-2.145"/>
  </r>
  <r>
    <x v="0"/>
    <x v="0"/>
    <x v="0"/>
    <x v="16"/>
    <x v="15"/>
    <x v="8"/>
    <x v="8"/>
    <n v="-2.145"/>
  </r>
  <r>
    <x v="0"/>
    <x v="0"/>
    <x v="0"/>
    <x v="16"/>
    <x v="15"/>
    <x v="8"/>
    <x v="9"/>
    <n v="-2.145"/>
  </r>
  <r>
    <x v="0"/>
    <x v="0"/>
    <x v="0"/>
    <x v="16"/>
    <x v="15"/>
    <x v="8"/>
    <x v="10"/>
    <n v="-2.145"/>
  </r>
  <r>
    <x v="0"/>
    <x v="0"/>
    <x v="0"/>
    <x v="16"/>
    <x v="15"/>
    <x v="8"/>
    <x v="11"/>
    <n v="-2.145"/>
  </r>
  <r>
    <x v="0"/>
    <x v="0"/>
    <x v="0"/>
    <x v="16"/>
    <x v="15"/>
    <x v="9"/>
    <x v="0"/>
    <n v="-2.145"/>
  </r>
  <r>
    <x v="0"/>
    <x v="0"/>
    <x v="0"/>
    <x v="16"/>
    <x v="15"/>
    <x v="9"/>
    <x v="1"/>
    <n v="-2.145"/>
  </r>
  <r>
    <x v="0"/>
    <x v="0"/>
    <x v="0"/>
    <x v="16"/>
    <x v="15"/>
    <x v="9"/>
    <x v="2"/>
    <n v="-2.145"/>
  </r>
  <r>
    <x v="0"/>
    <x v="0"/>
    <x v="0"/>
    <x v="16"/>
    <x v="15"/>
    <x v="9"/>
    <x v="3"/>
    <n v="-2.145"/>
  </r>
  <r>
    <x v="0"/>
    <x v="0"/>
    <x v="0"/>
    <x v="16"/>
    <x v="15"/>
    <x v="9"/>
    <x v="4"/>
    <n v="-2.145"/>
  </r>
  <r>
    <x v="0"/>
    <x v="0"/>
    <x v="0"/>
    <x v="16"/>
    <x v="15"/>
    <x v="9"/>
    <x v="5"/>
    <n v="-2.145"/>
  </r>
  <r>
    <x v="0"/>
    <x v="0"/>
    <x v="0"/>
    <x v="16"/>
    <x v="15"/>
    <x v="9"/>
    <x v="6"/>
    <n v="-2.145"/>
  </r>
  <r>
    <x v="0"/>
    <x v="0"/>
    <x v="0"/>
    <x v="16"/>
    <x v="15"/>
    <x v="9"/>
    <x v="7"/>
    <n v="-2.145"/>
  </r>
  <r>
    <x v="0"/>
    <x v="0"/>
    <x v="0"/>
    <x v="16"/>
    <x v="15"/>
    <x v="9"/>
    <x v="8"/>
    <n v="-2.145"/>
  </r>
  <r>
    <x v="0"/>
    <x v="0"/>
    <x v="0"/>
    <x v="16"/>
    <x v="15"/>
    <x v="9"/>
    <x v="9"/>
    <n v="-2.145"/>
  </r>
  <r>
    <x v="0"/>
    <x v="0"/>
    <x v="0"/>
    <x v="16"/>
    <x v="15"/>
    <x v="9"/>
    <x v="10"/>
    <n v="-2.145"/>
  </r>
  <r>
    <x v="0"/>
    <x v="0"/>
    <x v="0"/>
    <x v="16"/>
    <x v="15"/>
    <x v="9"/>
    <x v="11"/>
    <n v="-2.145"/>
  </r>
  <r>
    <x v="0"/>
    <x v="0"/>
    <x v="0"/>
    <x v="16"/>
    <x v="15"/>
    <x v="10"/>
    <x v="0"/>
    <n v="-2.145"/>
  </r>
  <r>
    <x v="0"/>
    <x v="0"/>
    <x v="0"/>
    <x v="16"/>
    <x v="15"/>
    <x v="10"/>
    <x v="1"/>
    <n v="-2.145"/>
  </r>
  <r>
    <x v="0"/>
    <x v="0"/>
    <x v="0"/>
    <x v="16"/>
    <x v="15"/>
    <x v="10"/>
    <x v="2"/>
    <n v="-2.145"/>
  </r>
  <r>
    <x v="0"/>
    <x v="0"/>
    <x v="0"/>
    <x v="16"/>
    <x v="15"/>
    <x v="10"/>
    <x v="3"/>
    <n v="-2.145"/>
  </r>
  <r>
    <x v="0"/>
    <x v="0"/>
    <x v="0"/>
    <x v="16"/>
    <x v="15"/>
    <x v="10"/>
    <x v="4"/>
    <n v="-2.145"/>
  </r>
  <r>
    <x v="0"/>
    <x v="0"/>
    <x v="0"/>
    <x v="16"/>
    <x v="15"/>
    <x v="10"/>
    <x v="5"/>
    <n v="-2.145"/>
  </r>
  <r>
    <x v="0"/>
    <x v="0"/>
    <x v="0"/>
    <x v="16"/>
    <x v="15"/>
    <x v="10"/>
    <x v="6"/>
    <n v="-2.145"/>
  </r>
  <r>
    <x v="0"/>
    <x v="0"/>
    <x v="0"/>
    <x v="16"/>
    <x v="15"/>
    <x v="10"/>
    <x v="7"/>
    <n v="-2.145"/>
  </r>
  <r>
    <x v="0"/>
    <x v="0"/>
    <x v="0"/>
    <x v="16"/>
    <x v="15"/>
    <x v="10"/>
    <x v="8"/>
    <n v="-2.145"/>
  </r>
  <r>
    <x v="0"/>
    <x v="0"/>
    <x v="0"/>
    <x v="16"/>
    <x v="15"/>
    <x v="10"/>
    <x v="9"/>
    <n v="-2.145"/>
  </r>
  <r>
    <x v="0"/>
    <x v="0"/>
    <x v="0"/>
    <x v="16"/>
    <x v="15"/>
    <x v="10"/>
    <x v="10"/>
    <n v="-2.145"/>
  </r>
  <r>
    <x v="0"/>
    <x v="0"/>
    <x v="0"/>
    <x v="16"/>
    <x v="15"/>
    <x v="10"/>
    <x v="11"/>
    <n v="-2.145"/>
  </r>
  <r>
    <x v="0"/>
    <x v="0"/>
    <x v="0"/>
    <x v="16"/>
    <x v="15"/>
    <x v="11"/>
    <x v="0"/>
    <n v="-2.145"/>
  </r>
  <r>
    <x v="0"/>
    <x v="0"/>
    <x v="0"/>
    <x v="16"/>
    <x v="15"/>
    <x v="11"/>
    <x v="1"/>
    <n v="-2.145"/>
  </r>
  <r>
    <x v="0"/>
    <x v="0"/>
    <x v="0"/>
    <x v="16"/>
    <x v="15"/>
    <x v="11"/>
    <x v="2"/>
    <n v="-2.145"/>
  </r>
  <r>
    <x v="0"/>
    <x v="0"/>
    <x v="0"/>
    <x v="16"/>
    <x v="15"/>
    <x v="11"/>
    <x v="3"/>
    <n v="-2.145"/>
  </r>
  <r>
    <x v="0"/>
    <x v="0"/>
    <x v="0"/>
    <x v="16"/>
    <x v="15"/>
    <x v="11"/>
    <x v="4"/>
    <n v="-2.145"/>
  </r>
  <r>
    <x v="0"/>
    <x v="0"/>
    <x v="0"/>
    <x v="16"/>
    <x v="15"/>
    <x v="11"/>
    <x v="5"/>
    <n v="-2.145"/>
  </r>
  <r>
    <x v="0"/>
    <x v="0"/>
    <x v="0"/>
    <x v="16"/>
    <x v="15"/>
    <x v="11"/>
    <x v="6"/>
    <n v="-2.145"/>
  </r>
  <r>
    <x v="0"/>
    <x v="0"/>
    <x v="0"/>
    <x v="16"/>
    <x v="15"/>
    <x v="11"/>
    <x v="7"/>
    <n v="-2.145"/>
  </r>
  <r>
    <x v="0"/>
    <x v="0"/>
    <x v="0"/>
    <x v="16"/>
    <x v="15"/>
    <x v="11"/>
    <x v="8"/>
    <n v="-2.145"/>
  </r>
  <r>
    <x v="0"/>
    <x v="0"/>
    <x v="0"/>
    <x v="16"/>
    <x v="15"/>
    <x v="11"/>
    <x v="9"/>
    <n v="-2.145"/>
  </r>
  <r>
    <x v="0"/>
    <x v="0"/>
    <x v="0"/>
    <x v="16"/>
    <x v="15"/>
    <x v="11"/>
    <x v="10"/>
    <n v="-2.145"/>
  </r>
  <r>
    <x v="0"/>
    <x v="0"/>
    <x v="0"/>
    <x v="16"/>
    <x v="15"/>
    <x v="11"/>
    <x v="11"/>
    <n v="-2.145"/>
  </r>
  <r>
    <x v="0"/>
    <x v="0"/>
    <x v="0"/>
    <x v="16"/>
    <x v="18"/>
    <x v="0"/>
    <x v="0"/>
    <n v="0"/>
  </r>
  <r>
    <x v="0"/>
    <x v="0"/>
    <x v="0"/>
    <x v="16"/>
    <x v="18"/>
    <x v="0"/>
    <x v="1"/>
    <n v="0"/>
  </r>
  <r>
    <x v="0"/>
    <x v="0"/>
    <x v="0"/>
    <x v="16"/>
    <x v="18"/>
    <x v="0"/>
    <x v="2"/>
    <n v="0"/>
  </r>
  <r>
    <x v="0"/>
    <x v="0"/>
    <x v="0"/>
    <x v="16"/>
    <x v="18"/>
    <x v="0"/>
    <x v="3"/>
    <n v="0"/>
  </r>
  <r>
    <x v="0"/>
    <x v="0"/>
    <x v="0"/>
    <x v="16"/>
    <x v="18"/>
    <x v="0"/>
    <x v="4"/>
    <n v="0"/>
  </r>
  <r>
    <x v="0"/>
    <x v="0"/>
    <x v="0"/>
    <x v="16"/>
    <x v="18"/>
    <x v="0"/>
    <x v="5"/>
    <n v="0"/>
  </r>
  <r>
    <x v="0"/>
    <x v="0"/>
    <x v="0"/>
    <x v="16"/>
    <x v="18"/>
    <x v="0"/>
    <x v="6"/>
    <n v="0"/>
  </r>
  <r>
    <x v="0"/>
    <x v="0"/>
    <x v="0"/>
    <x v="16"/>
    <x v="18"/>
    <x v="0"/>
    <x v="7"/>
    <n v="0"/>
  </r>
  <r>
    <x v="0"/>
    <x v="0"/>
    <x v="0"/>
    <x v="16"/>
    <x v="18"/>
    <x v="0"/>
    <x v="8"/>
    <n v="0"/>
  </r>
  <r>
    <x v="0"/>
    <x v="0"/>
    <x v="0"/>
    <x v="16"/>
    <x v="18"/>
    <x v="0"/>
    <x v="9"/>
    <n v="0"/>
  </r>
  <r>
    <x v="0"/>
    <x v="0"/>
    <x v="0"/>
    <x v="16"/>
    <x v="18"/>
    <x v="0"/>
    <x v="10"/>
    <n v="0"/>
  </r>
  <r>
    <x v="0"/>
    <x v="0"/>
    <x v="0"/>
    <x v="16"/>
    <x v="18"/>
    <x v="0"/>
    <x v="11"/>
    <n v="0"/>
  </r>
  <r>
    <x v="0"/>
    <x v="0"/>
    <x v="0"/>
    <x v="16"/>
    <x v="18"/>
    <x v="1"/>
    <x v="0"/>
    <n v="0"/>
  </r>
  <r>
    <x v="0"/>
    <x v="0"/>
    <x v="0"/>
    <x v="16"/>
    <x v="18"/>
    <x v="1"/>
    <x v="1"/>
    <n v="0"/>
  </r>
  <r>
    <x v="0"/>
    <x v="0"/>
    <x v="0"/>
    <x v="16"/>
    <x v="18"/>
    <x v="1"/>
    <x v="2"/>
    <n v="0"/>
  </r>
  <r>
    <x v="0"/>
    <x v="0"/>
    <x v="0"/>
    <x v="16"/>
    <x v="18"/>
    <x v="1"/>
    <x v="3"/>
    <n v="0"/>
  </r>
  <r>
    <x v="0"/>
    <x v="0"/>
    <x v="0"/>
    <x v="16"/>
    <x v="18"/>
    <x v="1"/>
    <x v="4"/>
    <n v="0"/>
  </r>
  <r>
    <x v="0"/>
    <x v="0"/>
    <x v="0"/>
    <x v="16"/>
    <x v="18"/>
    <x v="1"/>
    <x v="5"/>
    <n v="0"/>
  </r>
  <r>
    <x v="0"/>
    <x v="0"/>
    <x v="0"/>
    <x v="16"/>
    <x v="18"/>
    <x v="1"/>
    <x v="6"/>
    <n v="0"/>
  </r>
  <r>
    <x v="0"/>
    <x v="0"/>
    <x v="0"/>
    <x v="16"/>
    <x v="18"/>
    <x v="1"/>
    <x v="7"/>
    <n v="0"/>
  </r>
  <r>
    <x v="0"/>
    <x v="0"/>
    <x v="0"/>
    <x v="16"/>
    <x v="18"/>
    <x v="1"/>
    <x v="8"/>
    <n v="0"/>
  </r>
  <r>
    <x v="0"/>
    <x v="0"/>
    <x v="0"/>
    <x v="16"/>
    <x v="18"/>
    <x v="1"/>
    <x v="9"/>
    <n v="0"/>
  </r>
  <r>
    <x v="0"/>
    <x v="0"/>
    <x v="0"/>
    <x v="16"/>
    <x v="18"/>
    <x v="1"/>
    <x v="10"/>
    <n v="0"/>
  </r>
  <r>
    <x v="0"/>
    <x v="0"/>
    <x v="0"/>
    <x v="16"/>
    <x v="18"/>
    <x v="1"/>
    <x v="11"/>
    <n v="0"/>
  </r>
  <r>
    <x v="0"/>
    <x v="0"/>
    <x v="0"/>
    <x v="16"/>
    <x v="18"/>
    <x v="2"/>
    <x v="0"/>
    <n v="0"/>
  </r>
  <r>
    <x v="0"/>
    <x v="0"/>
    <x v="0"/>
    <x v="16"/>
    <x v="18"/>
    <x v="2"/>
    <x v="1"/>
    <n v="0"/>
  </r>
  <r>
    <x v="0"/>
    <x v="0"/>
    <x v="0"/>
    <x v="16"/>
    <x v="18"/>
    <x v="2"/>
    <x v="2"/>
    <n v="0"/>
  </r>
  <r>
    <x v="0"/>
    <x v="0"/>
    <x v="0"/>
    <x v="16"/>
    <x v="18"/>
    <x v="2"/>
    <x v="3"/>
    <n v="0"/>
  </r>
  <r>
    <x v="0"/>
    <x v="0"/>
    <x v="0"/>
    <x v="16"/>
    <x v="18"/>
    <x v="2"/>
    <x v="4"/>
    <n v="0"/>
  </r>
  <r>
    <x v="0"/>
    <x v="0"/>
    <x v="0"/>
    <x v="16"/>
    <x v="18"/>
    <x v="2"/>
    <x v="5"/>
    <n v="0"/>
  </r>
  <r>
    <x v="0"/>
    <x v="0"/>
    <x v="0"/>
    <x v="16"/>
    <x v="18"/>
    <x v="2"/>
    <x v="6"/>
    <n v="0"/>
  </r>
  <r>
    <x v="0"/>
    <x v="0"/>
    <x v="0"/>
    <x v="16"/>
    <x v="18"/>
    <x v="2"/>
    <x v="7"/>
    <n v="0"/>
  </r>
  <r>
    <x v="0"/>
    <x v="0"/>
    <x v="0"/>
    <x v="16"/>
    <x v="18"/>
    <x v="2"/>
    <x v="8"/>
    <n v="0"/>
  </r>
  <r>
    <x v="0"/>
    <x v="0"/>
    <x v="0"/>
    <x v="16"/>
    <x v="18"/>
    <x v="2"/>
    <x v="9"/>
    <n v="0"/>
  </r>
  <r>
    <x v="0"/>
    <x v="0"/>
    <x v="0"/>
    <x v="16"/>
    <x v="18"/>
    <x v="2"/>
    <x v="10"/>
    <n v="0"/>
  </r>
  <r>
    <x v="0"/>
    <x v="0"/>
    <x v="0"/>
    <x v="16"/>
    <x v="18"/>
    <x v="2"/>
    <x v="11"/>
    <n v="0"/>
  </r>
  <r>
    <x v="0"/>
    <x v="0"/>
    <x v="0"/>
    <x v="16"/>
    <x v="18"/>
    <x v="3"/>
    <x v="0"/>
    <n v="0"/>
  </r>
  <r>
    <x v="0"/>
    <x v="0"/>
    <x v="0"/>
    <x v="16"/>
    <x v="18"/>
    <x v="3"/>
    <x v="1"/>
    <n v="0"/>
  </r>
  <r>
    <x v="0"/>
    <x v="0"/>
    <x v="0"/>
    <x v="16"/>
    <x v="18"/>
    <x v="3"/>
    <x v="2"/>
    <n v="0"/>
  </r>
  <r>
    <x v="0"/>
    <x v="0"/>
    <x v="0"/>
    <x v="16"/>
    <x v="18"/>
    <x v="3"/>
    <x v="3"/>
    <n v="0"/>
  </r>
  <r>
    <x v="0"/>
    <x v="0"/>
    <x v="0"/>
    <x v="16"/>
    <x v="18"/>
    <x v="3"/>
    <x v="4"/>
    <n v="0"/>
  </r>
  <r>
    <x v="0"/>
    <x v="0"/>
    <x v="0"/>
    <x v="16"/>
    <x v="18"/>
    <x v="3"/>
    <x v="5"/>
    <n v="0"/>
  </r>
  <r>
    <x v="0"/>
    <x v="0"/>
    <x v="0"/>
    <x v="16"/>
    <x v="18"/>
    <x v="3"/>
    <x v="6"/>
    <n v="0"/>
  </r>
  <r>
    <x v="0"/>
    <x v="0"/>
    <x v="0"/>
    <x v="16"/>
    <x v="18"/>
    <x v="3"/>
    <x v="7"/>
    <n v="0"/>
  </r>
  <r>
    <x v="0"/>
    <x v="0"/>
    <x v="0"/>
    <x v="16"/>
    <x v="18"/>
    <x v="3"/>
    <x v="8"/>
    <n v="0"/>
  </r>
  <r>
    <x v="0"/>
    <x v="0"/>
    <x v="0"/>
    <x v="16"/>
    <x v="18"/>
    <x v="3"/>
    <x v="9"/>
    <n v="0"/>
  </r>
  <r>
    <x v="0"/>
    <x v="0"/>
    <x v="0"/>
    <x v="16"/>
    <x v="18"/>
    <x v="3"/>
    <x v="10"/>
    <n v="0"/>
  </r>
  <r>
    <x v="0"/>
    <x v="0"/>
    <x v="0"/>
    <x v="16"/>
    <x v="18"/>
    <x v="3"/>
    <x v="11"/>
    <n v="0"/>
  </r>
  <r>
    <x v="0"/>
    <x v="0"/>
    <x v="0"/>
    <x v="16"/>
    <x v="18"/>
    <x v="4"/>
    <x v="0"/>
    <n v="-6.1286634395808601"/>
  </r>
  <r>
    <x v="0"/>
    <x v="0"/>
    <x v="0"/>
    <x v="16"/>
    <x v="18"/>
    <x v="4"/>
    <x v="1"/>
    <n v="-6.1840780495920704"/>
  </r>
  <r>
    <x v="0"/>
    <x v="0"/>
    <x v="0"/>
    <x v="16"/>
    <x v="18"/>
    <x v="4"/>
    <x v="2"/>
    <n v="-6.2296197464752403"/>
  </r>
  <r>
    <x v="0"/>
    <x v="0"/>
    <x v="0"/>
    <x v="16"/>
    <x v="18"/>
    <x v="4"/>
    <x v="3"/>
    <n v="-6.1913719388466397"/>
  </r>
  <r>
    <x v="0"/>
    <x v="0"/>
    <x v="0"/>
    <x v="16"/>
    <x v="18"/>
    <x v="4"/>
    <x v="4"/>
    <n v="-7.1999821297215298"/>
  </r>
  <r>
    <x v="0"/>
    <x v="0"/>
    <x v="0"/>
    <x v="16"/>
    <x v="18"/>
    <x v="4"/>
    <x v="5"/>
    <n v="-7.3"/>
  </r>
  <r>
    <x v="0"/>
    <x v="0"/>
    <x v="0"/>
    <x v="16"/>
    <x v="18"/>
    <x v="4"/>
    <x v="6"/>
    <n v="-6.1137961414767199"/>
  </r>
  <r>
    <x v="0"/>
    <x v="0"/>
    <x v="0"/>
    <x v="16"/>
    <x v="18"/>
    <x v="4"/>
    <x v="7"/>
    <n v="-5.9092794929208097"/>
  </r>
  <r>
    <x v="0"/>
    <x v="0"/>
    <x v="0"/>
    <x v="16"/>
    <x v="18"/>
    <x v="4"/>
    <x v="8"/>
    <n v="-6.0822509077321998"/>
  </r>
  <r>
    <x v="0"/>
    <x v="0"/>
    <x v="0"/>
    <x v="16"/>
    <x v="18"/>
    <x v="4"/>
    <x v="9"/>
    <n v="-6.08434829989364"/>
  </r>
  <r>
    <x v="0"/>
    <x v="0"/>
    <x v="0"/>
    <x v="16"/>
    <x v="18"/>
    <x v="4"/>
    <x v="10"/>
    <n v="-5.9614951955640496"/>
  </r>
  <r>
    <x v="0"/>
    <x v="0"/>
    <x v="0"/>
    <x v="16"/>
    <x v="18"/>
    <x v="4"/>
    <x v="11"/>
    <n v="-5.9373904680956402"/>
  </r>
  <r>
    <x v="0"/>
    <x v="0"/>
    <x v="0"/>
    <x v="16"/>
    <x v="18"/>
    <x v="5"/>
    <x v="0"/>
    <n v="-5.6599436727999404"/>
  </r>
  <r>
    <x v="0"/>
    <x v="0"/>
    <x v="0"/>
    <x v="16"/>
    <x v="18"/>
    <x v="5"/>
    <x v="1"/>
    <n v="-6.0427127359702597"/>
  </r>
  <r>
    <x v="0"/>
    <x v="0"/>
    <x v="0"/>
    <x v="16"/>
    <x v="18"/>
    <x v="5"/>
    <x v="2"/>
    <n v="-5.8768976436791096"/>
  </r>
  <r>
    <x v="0"/>
    <x v="0"/>
    <x v="0"/>
    <x v="16"/>
    <x v="18"/>
    <x v="5"/>
    <x v="3"/>
    <n v="-5.8751866760106299"/>
  </r>
  <r>
    <x v="0"/>
    <x v="0"/>
    <x v="0"/>
    <x v="16"/>
    <x v="18"/>
    <x v="5"/>
    <x v="4"/>
    <n v="-5.9297615915193198"/>
  </r>
  <r>
    <x v="0"/>
    <x v="0"/>
    <x v="0"/>
    <x v="16"/>
    <x v="18"/>
    <x v="5"/>
    <x v="5"/>
    <n v="-5.9070499019741103"/>
  </r>
  <r>
    <x v="0"/>
    <x v="0"/>
    <x v="0"/>
    <x v="16"/>
    <x v="18"/>
    <x v="5"/>
    <x v="6"/>
    <n v="-5.9888834492913903"/>
  </r>
  <r>
    <x v="0"/>
    <x v="0"/>
    <x v="0"/>
    <x v="16"/>
    <x v="18"/>
    <x v="5"/>
    <x v="7"/>
    <n v="-6.1093397285832296"/>
  </r>
  <r>
    <x v="0"/>
    <x v="0"/>
    <x v="0"/>
    <x v="16"/>
    <x v="18"/>
    <x v="5"/>
    <x v="8"/>
    <n v="-7.3"/>
  </r>
  <r>
    <x v="0"/>
    <x v="0"/>
    <x v="0"/>
    <x v="16"/>
    <x v="18"/>
    <x v="5"/>
    <x v="9"/>
    <n v="-7.3"/>
  </r>
  <r>
    <x v="0"/>
    <x v="0"/>
    <x v="0"/>
    <x v="16"/>
    <x v="18"/>
    <x v="5"/>
    <x v="10"/>
    <n v="-6.1502728396026303"/>
  </r>
  <r>
    <x v="0"/>
    <x v="0"/>
    <x v="0"/>
    <x v="16"/>
    <x v="18"/>
    <x v="5"/>
    <x v="11"/>
    <n v="-7.3"/>
  </r>
  <r>
    <x v="0"/>
    <x v="0"/>
    <x v="0"/>
    <x v="16"/>
    <x v="18"/>
    <x v="6"/>
    <x v="0"/>
    <n v="-6.5284878181806301"/>
  </r>
  <r>
    <x v="0"/>
    <x v="0"/>
    <x v="0"/>
    <x v="16"/>
    <x v="18"/>
    <x v="6"/>
    <x v="1"/>
    <n v="-6.4915398310779997"/>
  </r>
  <r>
    <x v="0"/>
    <x v="0"/>
    <x v="0"/>
    <x v="16"/>
    <x v="18"/>
    <x v="6"/>
    <x v="2"/>
    <n v="-6.4949321307466903"/>
  </r>
  <r>
    <x v="0"/>
    <x v="0"/>
    <x v="0"/>
    <x v="16"/>
    <x v="18"/>
    <x v="6"/>
    <x v="3"/>
    <n v="-6.3977050109131"/>
  </r>
  <r>
    <x v="0"/>
    <x v="0"/>
    <x v="0"/>
    <x v="16"/>
    <x v="18"/>
    <x v="6"/>
    <x v="4"/>
    <n v="-6.32673821615146"/>
  </r>
  <r>
    <x v="0"/>
    <x v="0"/>
    <x v="0"/>
    <x v="16"/>
    <x v="18"/>
    <x v="6"/>
    <x v="5"/>
    <n v="-6.2243068686788101"/>
  </r>
  <r>
    <x v="0"/>
    <x v="0"/>
    <x v="0"/>
    <x v="16"/>
    <x v="18"/>
    <x v="6"/>
    <x v="6"/>
    <n v="-7.3"/>
  </r>
  <r>
    <x v="0"/>
    <x v="0"/>
    <x v="0"/>
    <x v="16"/>
    <x v="18"/>
    <x v="6"/>
    <x v="7"/>
    <n v="-6.0384129340418804"/>
  </r>
  <r>
    <x v="0"/>
    <x v="0"/>
    <x v="0"/>
    <x v="16"/>
    <x v="18"/>
    <x v="6"/>
    <x v="8"/>
    <n v="-7.3"/>
  </r>
  <r>
    <x v="0"/>
    <x v="0"/>
    <x v="0"/>
    <x v="16"/>
    <x v="18"/>
    <x v="6"/>
    <x v="9"/>
    <n v="-6.1034543775227101"/>
  </r>
  <r>
    <x v="0"/>
    <x v="0"/>
    <x v="0"/>
    <x v="16"/>
    <x v="18"/>
    <x v="6"/>
    <x v="10"/>
    <n v="-6.0864260498729097"/>
  </r>
  <r>
    <x v="0"/>
    <x v="0"/>
    <x v="0"/>
    <x v="16"/>
    <x v="18"/>
    <x v="6"/>
    <x v="11"/>
    <n v="-6.1480215401043203"/>
  </r>
  <r>
    <x v="0"/>
    <x v="0"/>
    <x v="0"/>
    <x v="16"/>
    <x v="18"/>
    <x v="7"/>
    <x v="0"/>
    <n v="-6.1114007532630303"/>
  </r>
  <r>
    <x v="0"/>
    <x v="0"/>
    <x v="0"/>
    <x v="16"/>
    <x v="18"/>
    <x v="7"/>
    <x v="1"/>
    <n v="-6.0707081392538296"/>
  </r>
  <r>
    <x v="0"/>
    <x v="0"/>
    <x v="0"/>
    <x v="16"/>
    <x v="18"/>
    <x v="7"/>
    <x v="2"/>
    <n v="-6.0693241654340904"/>
  </r>
  <r>
    <x v="0"/>
    <x v="0"/>
    <x v="0"/>
    <x v="16"/>
    <x v="18"/>
    <x v="7"/>
    <x v="3"/>
    <n v="-4.13771914130872"/>
  </r>
  <r>
    <x v="0"/>
    <x v="0"/>
    <x v="0"/>
    <x v="16"/>
    <x v="18"/>
    <x v="7"/>
    <x v="4"/>
    <n v="-4.2832568230578003"/>
  </r>
  <r>
    <x v="0"/>
    <x v="0"/>
    <x v="0"/>
    <x v="16"/>
    <x v="18"/>
    <x v="7"/>
    <x v="5"/>
    <n v="-6.8731932335963801"/>
  </r>
  <r>
    <x v="0"/>
    <x v="0"/>
    <x v="0"/>
    <x v="16"/>
    <x v="18"/>
    <x v="7"/>
    <x v="6"/>
    <n v="-7.3"/>
  </r>
  <r>
    <x v="0"/>
    <x v="0"/>
    <x v="0"/>
    <x v="16"/>
    <x v="18"/>
    <x v="7"/>
    <x v="7"/>
    <n v="-7.3"/>
  </r>
  <r>
    <x v="0"/>
    <x v="0"/>
    <x v="0"/>
    <x v="16"/>
    <x v="18"/>
    <x v="7"/>
    <x v="8"/>
    <n v="-6.3334734532631298"/>
  </r>
  <r>
    <x v="0"/>
    <x v="0"/>
    <x v="0"/>
    <x v="16"/>
    <x v="18"/>
    <x v="7"/>
    <x v="9"/>
    <n v="-7.3"/>
  </r>
  <r>
    <x v="0"/>
    <x v="0"/>
    <x v="0"/>
    <x v="16"/>
    <x v="18"/>
    <x v="7"/>
    <x v="10"/>
    <n v="-6.4127420769978398"/>
  </r>
  <r>
    <x v="0"/>
    <x v="0"/>
    <x v="0"/>
    <x v="16"/>
    <x v="18"/>
    <x v="7"/>
    <x v="11"/>
    <n v="-7.3"/>
  </r>
  <r>
    <x v="0"/>
    <x v="0"/>
    <x v="0"/>
    <x v="16"/>
    <x v="18"/>
    <x v="8"/>
    <x v="0"/>
    <n v="-7.3"/>
  </r>
  <r>
    <x v="0"/>
    <x v="0"/>
    <x v="0"/>
    <x v="16"/>
    <x v="18"/>
    <x v="8"/>
    <x v="1"/>
    <n v="-7.3"/>
  </r>
  <r>
    <x v="0"/>
    <x v="0"/>
    <x v="0"/>
    <x v="16"/>
    <x v="18"/>
    <x v="8"/>
    <x v="2"/>
    <n v="-7.3"/>
  </r>
  <r>
    <x v="0"/>
    <x v="0"/>
    <x v="0"/>
    <x v="16"/>
    <x v="18"/>
    <x v="8"/>
    <x v="3"/>
    <n v="-7.3"/>
  </r>
  <r>
    <x v="0"/>
    <x v="0"/>
    <x v="0"/>
    <x v="16"/>
    <x v="18"/>
    <x v="8"/>
    <x v="4"/>
    <n v="-7.3"/>
  </r>
  <r>
    <x v="0"/>
    <x v="0"/>
    <x v="0"/>
    <x v="16"/>
    <x v="18"/>
    <x v="8"/>
    <x v="5"/>
    <n v="-7.3"/>
  </r>
  <r>
    <x v="0"/>
    <x v="0"/>
    <x v="0"/>
    <x v="16"/>
    <x v="18"/>
    <x v="8"/>
    <x v="6"/>
    <n v="-7.3"/>
  </r>
  <r>
    <x v="0"/>
    <x v="0"/>
    <x v="0"/>
    <x v="16"/>
    <x v="18"/>
    <x v="8"/>
    <x v="7"/>
    <n v="-7.3"/>
  </r>
  <r>
    <x v="0"/>
    <x v="0"/>
    <x v="0"/>
    <x v="16"/>
    <x v="18"/>
    <x v="8"/>
    <x v="8"/>
    <n v="-7.3"/>
  </r>
  <r>
    <x v="0"/>
    <x v="0"/>
    <x v="0"/>
    <x v="16"/>
    <x v="18"/>
    <x v="8"/>
    <x v="9"/>
    <n v="-7.3"/>
  </r>
  <r>
    <x v="0"/>
    <x v="0"/>
    <x v="0"/>
    <x v="16"/>
    <x v="18"/>
    <x v="8"/>
    <x v="10"/>
    <n v="-7.3"/>
  </r>
  <r>
    <x v="0"/>
    <x v="0"/>
    <x v="0"/>
    <x v="16"/>
    <x v="18"/>
    <x v="8"/>
    <x v="11"/>
    <n v="-7.3"/>
  </r>
  <r>
    <x v="0"/>
    <x v="0"/>
    <x v="0"/>
    <x v="16"/>
    <x v="18"/>
    <x v="9"/>
    <x v="0"/>
    <n v="-7.3"/>
  </r>
  <r>
    <x v="0"/>
    <x v="0"/>
    <x v="0"/>
    <x v="16"/>
    <x v="18"/>
    <x v="9"/>
    <x v="1"/>
    <n v="-7.3"/>
  </r>
  <r>
    <x v="0"/>
    <x v="0"/>
    <x v="0"/>
    <x v="16"/>
    <x v="18"/>
    <x v="9"/>
    <x v="2"/>
    <n v="-7.3"/>
  </r>
  <r>
    <x v="0"/>
    <x v="0"/>
    <x v="0"/>
    <x v="16"/>
    <x v="18"/>
    <x v="9"/>
    <x v="3"/>
    <n v="-7.3"/>
  </r>
  <r>
    <x v="0"/>
    <x v="0"/>
    <x v="0"/>
    <x v="16"/>
    <x v="18"/>
    <x v="9"/>
    <x v="4"/>
    <n v="-7.3"/>
  </r>
  <r>
    <x v="0"/>
    <x v="0"/>
    <x v="0"/>
    <x v="16"/>
    <x v="18"/>
    <x v="9"/>
    <x v="5"/>
    <n v="-7.3"/>
  </r>
  <r>
    <x v="0"/>
    <x v="0"/>
    <x v="0"/>
    <x v="16"/>
    <x v="18"/>
    <x v="9"/>
    <x v="6"/>
    <n v="-7.3"/>
  </r>
  <r>
    <x v="0"/>
    <x v="0"/>
    <x v="0"/>
    <x v="16"/>
    <x v="18"/>
    <x v="9"/>
    <x v="7"/>
    <n v="-7.3"/>
  </r>
  <r>
    <x v="0"/>
    <x v="0"/>
    <x v="0"/>
    <x v="16"/>
    <x v="18"/>
    <x v="9"/>
    <x v="8"/>
    <n v="-7.3"/>
  </r>
  <r>
    <x v="0"/>
    <x v="0"/>
    <x v="0"/>
    <x v="16"/>
    <x v="18"/>
    <x v="9"/>
    <x v="9"/>
    <n v="-7.3"/>
  </r>
  <r>
    <x v="0"/>
    <x v="0"/>
    <x v="0"/>
    <x v="16"/>
    <x v="18"/>
    <x v="9"/>
    <x v="10"/>
    <n v="-7.3"/>
  </r>
  <r>
    <x v="0"/>
    <x v="0"/>
    <x v="0"/>
    <x v="16"/>
    <x v="18"/>
    <x v="9"/>
    <x v="11"/>
    <n v="-7.3"/>
  </r>
  <r>
    <x v="0"/>
    <x v="0"/>
    <x v="0"/>
    <x v="16"/>
    <x v="18"/>
    <x v="10"/>
    <x v="0"/>
    <n v="-7.3"/>
  </r>
  <r>
    <x v="0"/>
    <x v="0"/>
    <x v="0"/>
    <x v="16"/>
    <x v="18"/>
    <x v="10"/>
    <x v="1"/>
    <n v="-7.3"/>
  </r>
  <r>
    <x v="0"/>
    <x v="0"/>
    <x v="0"/>
    <x v="16"/>
    <x v="18"/>
    <x v="10"/>
    <x v="2"/>
    <n v="-7.3"/>
  </r>
  <r>
    <x v="0"/>
    <x v="0"/>
    <x v="0"/>
    <x v="16"/>
    <x v="18"/>
    <x v="10"/>
    <x v="3"/>
    <n v="-7.3"/>
  </r>
  <r>
    <x v="0"/>
    <x v="0"/>
    <x v="0"/>
    <x v="16"/>
    <x v="18"/>
    <x v="10"/>
    <x v="4"/>
    <n v="-7.3"/>
  </r>
  <r>
    <x v="0"/>
    <x v="0"/>
    <x v="0"/>
    <x v="16"/>
    <x v="18"/>
    <x v="10"/>
    <x v="5"/>
    <n v="-7.3"/>
  </r>
  <r>
    <x v="0"/>
    <x v="0"/>
    <x v="0"/>
    <x v="16"/>
    <x v="18"/>
    <x v="10"/>
    <x v="6"/>
    <n v="-7.3"/>
  </r>
  <r>
    <x v="0"/>
    <x v="0"/>
    <x v="0"/>
    <x v="16"/>
    <x v="18"/>
    <x v="10"/>
    <x v="7"/>
    <n v="-7.3"/>
  </r>
  <r>
    <x v="0"/>
    <x v="0"/>
    <x v="0"/>
    <x v="16"/>
    <x v="18"/>
    <x v="10"/>
    <x v="8"/>
    <n v="-7.3"/>
  </r>
  <r>
    <x v="0"/>
    <x v="0"/>
    <x v="0"/>
    <x v="16"/>
    <x v="18"/>
    <x v="10"/>
    <x v="9"/>
    <n v="-7.3"/>
  </r>
  <r>
    <x v="0"/>
    <x v="0"/>
    <x v="0"/>
    <x v="16"/>
    <x v="18"/>
    <x v="10"/>
    <x v="10"/>
    <n v="-7.3"/>
  </r>
  <r>
    <x v="0"/>
    <x v="0"/>
    <x v="0"/>
    <x v="16"/>
    <x v="18"/>
    <x v="10"/>
    <x v="11"/>
    <n v="-7.3"/>
  </r>
  <r>
    <x v="0"/>
    <x v="0"/>
    <x v="0"/>
    <x v="16"/>
    <x v="18"/>
    <x v="11"/>
    <x v="0"/>
    <n v="-7.3"/>
  </r>
  <r>
    <x v="0"/>
    <x v="0"/>
    <x v="0"/>
    <x v="16"/>
    <x v="18"/>
    <x v="11"/>
    <x v="1"/>
    <n v="-7.3"/>
  </r>
  <r>
    <x v="0"/>
    <x v="0"/>
    <x v="0"/>
    <x v="16"/>
    <x v="18"/>
    <x v="11"/>
    <x v="2"/>
    <n v="-7.3"/>
  </r>
  <r>
    <x v="0"/>
    <x v="0"/>
    <x v="0"/>
    <x v="16"/>
    <x v="18"/>
    <x v="11"/>
    <x v="3"/>
    <n v="-7.3"/>
  </r>
  <r>
    <x v="0"/>
    <x v="0"/>
    <x v="0"/>
    <x v="16"/>
    <x v="18"/>
    <x v="11"/>
    <x v="4"/>
    <n v="-7.3"/>
  </r>
  <r>
    <x v="0"/>
    <x v="0"/>
    <x v="0"/>
    <x v="16"/>
    <x v="18"/>
    <x v="11"/>
    <x v="5"/>
    <n v="-7.3"/>
  </r>
  <r>
    <x v="0"/>
    <x v="0"/>
    <x v="0"/>
    <x v="16"/>
    <x v="18"/>
    <x v="11"/>
    <x v="6"/>
    <n v="-7.3"/>
  </r>
  <r>
    <x v="0"/>
    <x v="0"/>
    <x v="0"/>
    <x v="16"/>
    <x v="18"/>
    <x v="11"/>
    <x v="7"/>
    <n v="-7.3"/>
  </r>
  <r>
    <x v="0"/>
    <x v="0"/>
    <x v="0"/>
    <x v="16"/>
    <x v="18"/>
    <x v="11"/>
    <x v="8"/>
    <n v="-7.3"/>
  </r>
  <r>
    <x v="0"/>
    <x v="0"/>
    <x v="0"/>
    <x v="16"/>
    <x v="18"/>
    <x v="11"/>
    <x v="9"/>
    <n v="-7.3"/>
  </r>
  <r>
    <x v="0"/>
    <x v="0"/>
    <x v="0"/>
    <x v="16"/>
    <x v="18"/>
    <x v="11"/>
    <x v="10"/>
    <n v="-7.3"/>
  </r>
  <r>
    <x v="0"/>
    <x v="0"/>
    <x v="0"/>
    <x v="16"/>
    <x v="18"/>
    <x v="11"/>
    <x v="11"/>
    <n v="-7.3"/>
  </r>
  <r>
    <x v="0"/>
    <x v="0"/>
    <x v="0"/>
    <x v="16"/>
    <x v="5"/>
    <x v="0"/>
    <x v="0"/>
    <n v="0"/>
  </r>
  <r>
    <x v="0"/>
    <x v="0"/>
    <x v="0"/>
    <x v="16"/>
    <x v="5"/>
    <x v="0"/>
    <x v="1"/>
    <n v="0"/>
  </r>
  <r>
    <x v="0"/>
    <x v="0"/>
    <x v="0"/>
    <x v="16"/>
    <x v="5"/>
    <x v="0"/>
    <x v="2"/>
    <n v="0"/>
  </r>
  <r>
    <x v="0"/>
    <x v="0"/>
    <x v="0"/>
    <x v="16"/>
    <x v="5"/>
    <x v="0"/>
    <x v="3"/>
    <n v="0"/>
  </r>
  <r>
    <x v="0"/>
    <x v="0"/>
    <x v="0"/>
    <x v="16"/>
    <x v="5"/>
    <x v="0"/>
    <x v="4"/>
    <n v="0"/>
  </r>
  <r>
    <x v="0"/>
    <x v="0"/>
    <x v="0"/>
    <x v="16"/>
    <x v="5"/>
    <x v="0"/>
    <x v="5"/>
    <n v="0"/>
  </r>
  <r>
    <x v="0"/>
    <x v="0"/>
    <x v="0"/>
    <x v="16"/>
    <x v="5"/>
    <x v="0"/>
    <x v="6"/>
    <n v="0"/>
  </r>
  <r>
    <x v="0"/>
    <x v="0"/>
    <x v="0"/>
    <x v="16"/>
    <x v="5"/>
    <x v="0"/>
    <x v="7"/>
    <n v="0"/>
  </r>
  <r>
    <x v="0"/>
    <x v="0"/>
    <x v="0"/>
    <x v="16"/>
    <x v="5"/>
    <x v="0"/>
    <x v="8"/>
    <n v="0"/>
  </r>
  <r>
    <x v="0"/>
    <x v="0"/>
    <x v="0"/>
    <x v="16"/>
    <x v="5"/>
    <x v="0"/>
    <x v="9"/>
    <n v="0"/>
  </r>
  <r>
    <x v="0"/>
    <x v="0"/>
    <x v="0"/>
    <x v="16"/>
    <x v="5"/>
    <x v="0"/>
    <x v="10"/>
    <n v="0"/>
  </r>
  <r>
    <x v="0"/>
    <x v="0"/>
    <x v="0"/>
    <x v="16"/>
    <x v="5"/>
    <x v="0"/>
    <x v="11"/>
    <n v="0"/>
  </r>
  <r>
    <x v="0"/>
    <x v="0"/>
    <x v="0"/>
    <x v="16"/>
    <x v="5"/>
    <x v="1"/>
    <x v="0"/>
    <n v="0"/>
  </r>
  <r>
    <x v="0"/>
    <x v="0"/>
    <x v="0"/>
    <x v="16"/>
    <x v="5"/>
    <x v="1"/>
    <x v="1"/>
    <n v="0"/>
  </r>
  <r>
    <x v="0"/>
    <x v="0"/>
    <x v="0"/>
    <x v="16"/>
    <x v="5"/>
    <x v="1"/>
    <x v="2"/>
    <n v="0"/>
  </r>
  <r>
    <x v="0"/>
    <x v="0"/>
    <x v="0"/>
    <x v="16"/>
    <x v="5"/>
    <x v="1"/>
    <x v="3"/>
    <n v="0"/>
  </r>
  <r>
    <x v="0"/>
    <x v="0"/>
    <x v="0"/>
    <x v="16"/>
    <x v="5"/>
    <x v="1"/>
    <x v="4"/>
    <n v="0"/>
  </r>
  <r>
    <x v="0"/>
    <x v="0"/>
    <x v="0"/>
    <x v="16"/>
    <x v="5"/>
    <x v="1"/>
    <x v="5"/>
    <n v="0"/>
  </r>
  <r>
    <x v="0"/>
    <x v="0"/>
    <x v="0"/>
    <x v="16"/>
    <x v="5"/>
    <x v="1"/>
    <x v="6"/>
    <n v="0"/>
  </r>
  <r>
    <x v="0"/>
    <x v="0"/>
    <x v="0"/>
    <x v="16"/>
    <x v="5"/>
    <x v="1"/>
    <x v="7"/>
    <n v="0"/>
  </r>
  <r>
    <x v="0"/>
    <x v="0"/>
    <x v="0"/>
    <x v="16"/>
    <x v="5"/>
    <x v="1"/>
    <x v="8"/>
    <n v="0"/>
  </r>
  <r>
    <x v="0"/>
    <x v="0"/>
    <x v="0"/>
    <x v="16"/>
    <x v="5"/>
    <x v="1"/>
    <x v="9"/>
    <n v="0"/>
  </r>
  <r>
    <x v="0"/>
    <x v="0"/>
    <x v="0"/>
    <x v="16"/>
    <x v="5"/>
    <x v="1"/>
    <x v="10"/>
    <n v="0"/>
  </r>
  <r>
    <x v="0"/>
    <x v="0"/>
    <x v="0"/>
    <x v="16"/>
    <x v="5"/>
    <x v="1"/>
    <x v="11"/>
    <n v="0"/>
  </r>
  <r>
    <x v="0"/>
    <x v="0"/>
    <x v="0"/>
    <x v="16"/>
    <x v="5"/>
    <x v="2"/>
    <x v="0"/>
    <n v="0"/>
  </r>
  <r>
    <x v="0"/>
    <x v="0"/>
    <x v="0"/>
    <x v="16"/>
    <x v="5"/>
    <x v="2"/>
    <x v="1"/>
    <n v="0"/>
  </r>
  <r>
    <x v="0"/>
    <x v="0"/>
    <x v="0"/>
    <x v="16"/>
    <x v="5"/>
    <x v="2"/>
    <x v="2"/>
    <n v="0"/>
  </r>
  <r>
    <x v="0"/>
    <x v="0"/>
    <x v="0"/>
    <x v="16"/>
    <x v="5"/>
    <x v="2"/>
    <x v="3"/>
    <n v="0"/>
  </r>
  <r>
    <x v="0"/>
    <x v="0"/>
    <x v="0"/>
    <x v="16"/>
    <x v="5"/>
    <x v="2"/>
    <x v="4"/>
    <n v="0"/>
  </r>
  <r>
    <x v="0"/>
    <x v="0"/>
    <x v="0"/>
    <x v="16"/>
    <x v="5"/>
    <x v="2"/>
    <x v="5"/>
    <n v="0"/>
  </r>
  <r>
    <x v="0"/>
    <x v="0"/>
    <x v="0"/>
    <x v="16"/>
    <x v="5"/>
    <x v="2"/>
    <x v="6"/>
    <n v="0"/>
  </r>
  <r>
    <x v="0"/>
    <x v="0"/>
    <x v="0"/>
    <x v="16"/>
    <x v="5"/>
    <x v="2"/>
    <x v="7"/>
    <n v="0"/>
  </r>
  <r>
    <x v="0"/>
    <x v="0"/>
    <x v="0"/>
    <x v="16"/>
    <x v="5"/>
    <x v="2"/>
    <x v="8"/>
    <n v="0"/>
  </r>
  <r>
    <x v="0"/>
    <x v="0"/>
    <x v="0"/>
    <x v="16"/>
    <x v="5"/>
    <x v="2"/>
    <x v="9"/>
    <n v="0"/>
  </r>
  <r>
    <x v="0"/>
    <x v="0"/>
    <x v="0"/>
    <x v="16"/>
    <x v="5"/>
    <x v="2"/>
    <x v="10"/>
    <n v="0"/>
  </r>
  <r>
    <x v="0"/>
    <x v="0"/>
    <x v="0"/>
    <x v="16"/>
    <x v="5"/>
    <x v="2"/>
    <x v="11"/>
    <n v="0"/>
  </r>
  <r>
    <x v="0"/>
    <x v="0"/>
    <x v="0"/>
    <x v="16"/>
    <x v="5"/>
    <x v="3"/>
    <x v="0"/>
    <n v="0"/>
  </r>
  <r>
    <x v="0"/>
    <x v="0"/>
    <x v="0"/>
    <x v="16"/>
    <x v="5"/>
    <x v="3"/>
    <x v="1"/>
    <n v="0"/>
  </r>
  <r>
    <x v="0"/>
    <x v="0"/>
    <x v="0"/>
    <x v="16"/>
    <x v="5"/>
    <x v="3"/>
    <x v="2"/>
    <n v="0"/>
  </r>
  <r>
    <x v="0"/>
    <x v="0"/>
    <x v="0"/>
    <x v="16"/>
    <x v="5"/>
    <x v="3"/>
    <x v="3"/>
    <n v="0"/>
  </r>
  <r>
    <x v="0"/>
    <x v="0"/>
    <x v="0"/>
    <x v="16"/>
    <x v="5"/>
    <x v="3"/>
    <x v="4"/>
    <n v="0"/>
  </r>
  <r>
    <x v="0"/>
    <x v="0"/>
    <x v="0"/>
    <x v="16"/>
    <x v="5"/>
    <x v="3"/>
    <x v="5"/>
    <n v="0"/>
  </r>
  <r>
    <x v="0"/>
    <x v="0"/>
    <x v="0"/>
    <x v="16"/>
    <x v="5"/>
    <x v="3"/>
    <x v="6"/>
    <n v="0"/>
  </r>
  <r>
    <x v="0"/>
    <x v="0"/>
    <x v="0"/>
    <x v="16"/>
    <x v="5"/>
    <x v="3"/>
    <x v="7"/>
    <n v="0"/>
  </r>
  <r>
    <x v="0"/>
    <x v="0"/>
    <x v="0"/>
    <x v="16"/>
    <x v="5"/>
    <x v="3"/>
    <x v="8"/>
    <n v="0"/>
  </r>
  <r>
    <x v="0"/>
    <x v="0"/>
    <x v="0"/>
    <x v="16"/>
    <x v="5"/>
    <x v="3"/>
    <x v="9"/>
    <n v="0"/>
  </r>
  <r>
    <x v="0"/>
    <x v="0"/>
    <x v="0"/>
    <x v="16"/>
    <x v="5"/>
    <x v="3"/>
    <x v="10"/>
    <n v="0"/>
  </r>
  <r>
    <x v="0"/>
    <x v="0"/>
    <x v="0"/>
    <x v="16"/>
    <x v="5"/>
    <x v="3"/>
    <x v="11"/>
    <n v="0"/>
  </r>
  <r>
    <x v="0"/>
    <x v="0"/>
    <x v="0"/>
    <x v="16"/>
    <x v="5"/>
    <x v="4"/>
    <x v="0"/>
    <n v="0"/>
  </r>
  <r>
    <x v="0"/>
    <x v="0"/>
    <x v="0"/>
    <x v="16"/>
    <x v="5"/>
    <x v="4"/>
    <x v="1"/>
    <n v="0"/>
  </r>
  <r>
    <x v="0"/>
    <x v="0"/>
    <x v="0"/>
    <x v="16"/>
    <x v="5"/>
    <x v="4"/>
    <x v="2"/>
    <n v="0"/>
  </r>
  <r>
    <x v="0"/>
    <x v="0"/>
    <x v="0"/>
    <x v="16"/>
    <x v="5"/>
    <x v="4"/>
    <x v="3"/>
    <n v="0"/>
  </r>
  <r>
    <x v="0"/>
    <x v="0"/>
    <x v="0"/>
    <x v="16"/>
    <x v="5"/>
    <x v="4"/>
    <x v="4"/>
    <n v="0"/>
  </r>
  <r>
    <x v="0"/>
    <x v="0"/>
    <x v="0"/>
    <x v="16"/>
    <x v="5"/>
    <x v="4"/>
    <x v="5"/>
    <n v="0"/>
  </r>
  <r>
    <x v="0"/>
    <x v="0"/>
    <x v="0"/>
    <x v="16"/>
    <x v="5"/>
    <x v="4"/>
    <x v="6"/>
    <n v="0"/>
  </r>
  <r>
    <x v="0"/>
    <x v="0"/>
    <x v="0"/>
    <x v="16"/>
    <x v="5"/>
    <x v="4"/>
    <x v="7"/>
    <n v="0"/>
  </r>
  <r>
    <x v="0"/>
    <x v="0"/>
    <x v="0"/>
    <x v="16"/>
    <x v="5"/>
    <x v="4"/>
    <x v="8"/>
    <n v="0"/>
  </r>
  <r>
    <x v="0"/>
    <x v="0"/>
    <x v="0"/>
    <x v="16"/>
    <x v="5"/>
    <x v="4"/>
    <x v="9"/>
    <n v="0"/>
  </r>
  <r>
    <x v="0"/>
    <x v="0"/>
    <x v="0"/>
    <x v="16"/>
    <x v="5"/>
    <x v="4"/>
    <x v="10"/>
    <n v="0"/>
  </r>
  <r>
    <x v="0"/>
    <x v="0"/>
    <x v="0"/>
    <x v="16"/>
    <x v="5"/>
    <x v="4"/>
    <x v="11"/>
    <n v="0"/>
  </r>
  <r>
    <x v="0"/>
    <x v="0"/>
    <x v="0"/>
    <x v="16"/>
    <x v="5"/>
    <x v="5"/>
    <x v="0"/>
    <n v="0"/>
  </r>
  <r>
    <x v="0"/>
    <x v="0"/>
    <x v="0"/>
    <x v="16"/>
    <x v="5"/>
    <x v="5"/>
    <x v="1"/>
    <n v="0"/>
  </r>
  <r>
    <x v="0"/>
    <x v="0"/>
    <x v="0"/>
    <x v="16"/>
    <x v="5"/>
    <x v="5"/>
    <x v="2"/>
    <n v="0"/>
  </r>
  <r>
    <x v="0"/>
    <x v="0"/>
    <x v="0"/>
    <x v="16"/>
    <x v="5"/>
    <x v="5"/>
    <x v="3"/>
    <n v="0"/>
  </r>
  <r>
    <x v="0"/>
    <x v="0"/>
    <x v="0"/>
    <x v="16"/>
    <x v="5"/>
    <x v="5"/>
    <x v="4"/>
    <n v="0"/>
  </r>
  <r>
    <x v="0"/>
    <x v="0"/>
    <x v="0"/>
    <x v="16"/>
    <x v="5"/>
    <x v="5"/>
    <x v="5"/>
    <n v="0"/>
  </r>
  <r>
    <x v="0"/>
    <x v="0"/>
    <x v="0"/>
    <x v="16"/>
    <x v="5"/>
    <x v="5"/>
    <x v="6"/>
    <n v="0"/>
  </r>
  <r>
    <x v="0"/>
    <x v="0"/>
    <x v="0"/>
    <x v="16"/>
    <x v="5"/>
    <x v="5"/>
    <x v="7"/>
    <n v="0"/>
  </r>
  <r>
    <x v="0"/>
    <x v="0"/>
    <x v="0"/>
    <x v="16"/>
    <x v="5"/>
    <x v="5"/>
    <x v="8"/>
    <n v="0"/>
  </r>
  <r>
    <x v="0"/>
    <x v="0"/>
    <x v="0"/>
    <x v="16"/>
    <x v="5"/>
    <x v="5"/>
    <x v="9"/>
    <n v="0"/>
  </r>
  <r>
    <x v="0"/>
    <x v="0"/>
    <x v="0"/>
    <x v="16"/>
    <x v="5"/>
    <x v="5"/>
    <x v="10"/>
    <n v="0"/>
  </r>
  <r>
    <x v="0"/>
    <x v="0"/>
    <x v="0"/>
    <x v="16"/>
    <x v="5"/>
    <x v="5"/>
    <x v="11"/>
    <n v="0"/>
  </r>
  <r>
    <x v="0"/>
    <x v="0"/>
    <x v="0"/>
    <x v="16"/>
    <x v="5"/>
    <x v="6"/>
    <x v="0"/>
    <n v="0"/>
  </r>
  <r>
    <x v="0"/>
    <x v="0"/>
    <x v="0"/>
    <x v="16"/>
    <x v="5"/>
    <x v="6"/>
    <x v="1"/>
    <n v="0"/>
  </r>
  <r>
    <x v="0"/>
    <x v="0"/>
    <x v="0"/>
    <x v="16"/>
    <x v="5"/>
    <x v="6"/>
    <x v="2"/>
    <n v="0"/>
  </r>
  <r>
    <x v="0"/>
    <x v="0"/>
    <x v="0"/>
    <x v="16"/>
    <x v="5"/>
    <x v="6"/>
    <x v="3"/>
    <n v="0"/>
  </r>
  <r>
    <x v="0"/>
    <x v="0"/>
    <x v="0"/>
    <x v="16"/>
    <x v="5"/>
    <x v="6"/>
    <x v="4"/>
    <n v="0"/>
  </r>
  <r>
    <x v="0"/>
    <x v="0"/>
    <x v="0"/>
    <x v="16"/>
    <x v="5"/>
    <x v="6"/>
    <x v="5"/>
    <n v="0"/>
  </r>
  <r>
    <x v="0"/>
    <x v="0"/>
    <x v="0"/>
    <x v="16"/>
    <x v="5"/>
    <x v="6"/>
    <x v="6"/>
    <n v="0"/>
  </r>
  <r>
    <x v="0"/>
    <x v="0"/>
    <x v="0"/>
    <x v="16"/>
    <x v="5"/>
    <x v="6"/>
    <x v="7"/>
    <n v="0"/>
  </r>
  <r>
    <x v="0"/>
    <x v="0"/>
    <x v="0"/>
    <x v="16"/>
    <x v="5"/>
    <x v="6"/>
    <x v="8"/>
    <n v="0"/>
  </r>
  <r>
    <x v="0"/>
    <x v="0"/>
    <x v="0"/>
    <x v="16"/>
    <x v="5"/>
    <x v="6"/>
    <x v="9"/>
    <n v="0"/>
  </r>
  <r>
    <x v="0"/>
    <x v="0"/>
    <x v="0"/>
    <x v="16"/>
    <x v="5"/>
    <x v="6"/>
    <x v="10"/>
    <n v="0"/>
  </r>
  <r>
    <x v="0"/>
    <x v="0"/>
    <x v="0"/>
    <x v="16"/>
    <x v="5"/>
    <x v="6"/>
    <x v="11"/>
    <n v="0"/>
  </r>
  <r>
    <x v="0"/>
    <x v="0"/>
    <x v="0"/>
    <x v="16"/>
    <x v="5"/>
    <x v="7"/>
    <x v="0"/>
    <n v="0"/>
  </r>
  <r>
    <x v="0"/>
    <x v="0"/>
    <x v="0"/>
    <x v="16"/>
    <x v="5"/>
    <x v="7"/>
    <x v="1"/>
    <n v="0"/>
  </r>
  <r>
    <x v="0"/>
    <x v="0"/>
    <x v="0"/>
    <x v="16"/>
    <x v="5"/>
    <x v="7"/>
    <x v="2"/>
    <n v="0"/>
  </r>
  <r>
    <x v="0"/>
    <x v="0"/>
    <x v="0"/>
    <x v="16"/>
    <x v="5"/>
    <x v="7"/>
    <x v="3"/>
    <n v="0"/>
  </r>
  <r>
    <x v="0"/>
    <x v="0"/>
    <x v="0"/>
    <x v="16"/>
    <x v="5"/>
    <x v="7"/>
    <x v="4"/>
    <n v="0"/>
  </r>
  <r>
    <x v="0"/>
    <x v="0"/>
    <x v="0"/>
    <x v="16"/>
    <x v="5"/>
    <x v="7"/>
    <x v="5"/>
    <n v="0"/>
  </r>
  <r>
    <x v="0"/>
    <x v="0"/>
    <x v="0"/>
    <x v="16"/>
    <x v="5"/>
    <x v="7"/>
    <x v="6"/>
    <n v="0"/>
  </r>
  <r>
    <x v="0"/>
    <x v="0"/>
    <x v="0"/>
    <x v="16"/>
    <x v="5"/>
    <x v="7"/>
    <x v="7"/>
    <n v="0"/>
  </r>
  <r>
    <x v="0"/>
    <x v="0"/>
    <x v="0"/>
    <x v="16"/>
    <x v="5"/>
    <x v="7"/>
    <x v="8"/>
    <n v="0"/>
  </r>
  <r>
    <x v="0"/>
    <x v="0"/>
    <x v="0"/>
    <x v="16"/>
    <x v="5"/>
    <x v="7"/>
    <x v="9"/>
    <n v="0"/>
  </r>
  <r>
    <x v="0"/>
    <x v="0"/>
    <x v="0"/>
    <x v="16"/>
    <x v="5"/>
    <x v="7"/>
    <x v="10"/>
    <n v="0"/>
  </r>
  <r>
    <x v="0"/>
    <x v="0"/>
    <x v="0"/>
    <x v="16"/>
    <x v="5"/>
    <x v="7"/>
    <x v="11"/>
    <n v="0"/>
  </r>
  <r>
    <x v="0"/>
    <x v="0"/>
    <x v="0"/>
    <x v="16"/>
    <x v="5"/>
    <x v="8"/>
    <x v="0"/>
    <n v="1.2837149284451199"/>
  </r>
  <r>
    <x v="0"/>
    <x v="0"/>
    <x v="0"/>
    <x v="16"/>
    <x v="5"/>
    <x v="8"/>
    <x v="1"/>
    <n v="1.27160793103964"/>
  </r>
  <r>
    <x v="0"/>
    <x v="0"/>
    <x v="0"/>
    <x v="16"/>
    <x v="5"/>
    <x v="8"/>
    <x v="2"/>
    <n v="1.34357395594024"/>
  </r>
  <r>
    <x v="0"/>
    <x v="0"/>
    <x v="0"/>
    <x v="16"/>
    <x v="5"/>
    <x v="8"/>
    <x v="3"/>
    <n v="1.2645201861654001"/>
  </r>
  <r>
    <x v="0"/>
    <x v="0"/>
    <x v="0"/>
    <x v="16"/>
    <x v="5"/>
    <x v="8"/>
    <x v="4"/>
    <n v="1.2136622267556001"/>
  </r>
  <r>
    <x v="0"/>
    <x v="0"/>
    <x v="0"/>
    <x v="16"/>
    <x v="5"/>
    <x v="8"/>
    <x v="5"/>
    <n v="5.5787160795289302E-2"/>
  </r>
  <r>
    <x v="0"/>
    <x v="0"/>
    <x v="0"/>
    <x v="16"/>
    <x v="5"/>
    <x v="8"/>
    <x v="6"/>
    <n v="1.0682246504381301"/>
  </r>
  <r>
    <x v="0"/>
    <x v="0"/>
    <x v="0"/>
    <x v="16"/>
    <x v="5"/>
    <x v="8"/>
    <x v="7"/>
    <n v="0"/>
  </r>
  <r>
    <x v="0"/>
    <x v="0"/>
    <x v="0"/>
    <x v="16"/>
    <x v="5"/>
    <x v="8"/>
    <x v="8"/>
    <n v="0"/>
  </r>
  <r>
    <x v="0"/>
    <x v="0"/>
    <x v="0"/>
    <x v="16"/>
    <x v="5"/>
    <x v="8"/>
    <x v="9"/>
    <n v="0"/>
  </r>
  <r>
    <x v="0"/>
    <x v="0"/>
    <x v="0"/>
    <x v="16"/>
    <x v="5"/>
    <x v="8"/>
    <x v="10"/>
    <n v="0.51125277540199798"/>
  </r>
  <r>
    <x v="0"/>
    <x v="0"/>
    <x v="0"/>
    <x v="16"/>
    <x v="5"/>
    <x v="8"/>
    <x v="11"/>
    <n v="0.59874024294726602"/>
  </r>
  <r>
    <x v="0"/>
    <x v="0"/>
    <x v="0"/>
    <x v="16"/>
    <x v="5"/>
    <x v="9"/>
    <x v="0"/>
    <n v="1.5782113304793299"/>
  </r>
  <r>
    <x v="0"/>
    <x v="0"/>
    <x v="0"/>
    <x v="16"/>
    <x v="5"/>
    <x v="9"/>
    <x v="1"/>
    <n v="1.60008665289744"/>
  </r>
  <r>
    <x v="0"/>
    <x v="0"/>
    <x v="0"/>
    <x v="16"/>
    <x v="5"/>
    <x v="9"/>
    <x v="2"/>
    <n v="1.55260648639531"/>
  </r>
  <r>
    <x v="0"/>
    <x v="0"/>
    <x v="0"/>
    <x v="16"/>
    <x v="5"/>
    <x v="9"/>
    <x v="3"/>
    <n v="1.46909317889133"/>
  </r>
  <r>
    <x v="0"/>
    <x v="0"/>
    <x v="0"/>
    <x v="16"/>
    <x v="5"/>
    <x v="9"/>
    <x v="4"/>
    <n v="1.25505602877931"/>
  </r>
  <r>
    <x v="0"/>
    <x v="0"/>
    <x v="0"/>
    <x v="16"/>
    <x v="5"/>
    <x v="9"/>
    <x v="5"/>
    <n v="1.69750629638456E-2"/>
  </r>
  <r>
    <x v="0"/>
    <x v="0"/>
    <x v="0"/>
    <x v="16"/>
    <x v="5"/>
    <x v="9"/>
    <x v="6"/>
    <n v="0"/>
  </r>
  <r>
    <x v="0"/>
    <x v="0"/>
    <x v="0"/>
    <x v="16"/>
    <x v="5"/>
    <x v="9"/>
    <x v="7"/>
    <n v="0"/>
  </r>
  <r>
    <x v="0"/>
    <x v="0"/>
    <x v="0"/>
    <x v="16"/>
    <x v="5"/>
    <x v="9"/>
    <x v="8"/>
    <n v="0"/>
  </r>
  <r>
    <x v="0"/>
    <x v="0"/>
    <x v="0"/>
    <x v="16"/>
    <x v="5"/>
    <x v="9"/>
    <x v="9"/>
    <n v="0"/>
  </r>
  <r>
    <x v="0"/>
    <x v="0"/>
    <x v="0"/>
    <x v="16"/>
    <x v="5"/>
    <x v="9"/>
    <x v="10"/>
    <n v="0.28422105040666401"/>
  </r>
  <r>
    <x v="0"/>
    <x v="0"/>
    <x v="0"/>
    <x v="16"/>
    <x v="5"/>
    <x v="9"/>
    <x v="11"/>
    <n v="0.50003461259519999"/>
  </r>
  <r>
    <x v="0"/>
    <x v="0"/>
    <x v="0"/>
    <x v="16"/>
    <x v="5"/>
    <x v="10"/>
    <x v="0"/>
    <n v="2.7762043194889801"/>
  </r>
  <r>
    <x v="0"/>
    <x v="0"/>
    <x v="0"/>
    <x v="16"/>
    <x v="5"/>
    <x v="10"/>
    <x v="1"/>
    <n v="2.7629077607416899"/>
  </r>
  <r>
    <x v="0"/>
    <x v="0"/>
    <x v="0"/>
    <x v="16"/>
    <x v="5"/>
    <x v="10"/>
    <x v="2"/>
    <n v="2.6427214741946501"/>
  </r>
  <r>
    <x v="0"/>
    <x v="0"/>
    <x v="0"/>
    <x v="16"/>
    <x v="5"/>
    <x v="10"/>
    <x v="3"/>
    <n v="2.6255571581413499"/>
  </r>
  <r>
    <x v="0"/>
    <x v="0"/>
    <x v="0"/>
    <x v="16"/>
    <x v="5"/>
    <x v="10"/>
    <x v="4"/>
    <n v="2.4722553259579598"/>
  </r>
  <r>
    <x v="0"/>
    <x v="0"/>
    <x v="0"/>
    <x v="16"/>
    <x v="5"/>
    <x v="10"/>
    <x v="5"/>
    <n v="1.9691977004048"/>
  </r>
  <r>
    <x v="0"/>
    <x v="0"/>
    <x v="0"/>
    <x v="16"/>
    <x v="5"/>
    <x v="10"/>
    <x v="6"/>
    <n v="3.0040193475625201"/>
  </r>
  <r>
    <x v="0"/>
    <x v="0"/>
    <x v="0"/>
    <x v="16"/>
    <x v="5"/>
    <x v="10"/>
    <x v="7"/>
    <n v="0.75991337527548197"/>
  </r>
  <r>
    <x v="0"/>
    <x v="0"/>
    <x v="0"/>
    <x v="16"/>
    <x v="5"/>
    <x v="10"/>
    <x v="8"/>
    <n v="0.57623604229247405"/>
  </r>
  <r>
    <x v="0"/>
    <x v="0"/>
    <x v="0"/>
    <x v="16"/>
    <x v="5"/>
    <x v="10"/>
    <x v="9"/>
    <n v="0.60796791756435098"/>
  </r>
  <r>
    <x v="0"/>
    <x v="0"/>
    <x v="0"/>
    <x v="16"/>
    <x v="5"/>
    <x v="10"/>
    <x v="10"/>
    <n v="0.71761410878164"/>
  </r>
  <r>
    <x v="0"/>
    <x v="0"/>
    <x v="0"/>
    <x v="16"/>
    <x v="5"/>
    <x v="10"/>
    <x v="11"/>
    <n v="0.247040238183827"/>
  </r>
  <r>
    <x v="0"/>
    <x v="0"/>
    <x v="0"/>
    <x v="16"/>
    <x v="5"/>
    <x v="11"/>
    <x v="0"/>
    <n v="2.6971456529989499"/>
  </r>
  <r>
    <x v="0"/>
    <x v="0"/>
    <x v="0"/>
    <x v="16"/>
    <x v="5"/>
    <x v="11"/>
    <x v="1"/>
    <n v="2.9185612192508601"/>
  </r>
  <r>
    <x v="0"/>
    <x v="0"/>
    <x v="0"/>
    <x v="16"/>
    <x v="5"/>
    <x v="11"/>
    <x v="2"/>
    <n v="2.343438325108"/>
  </r>
  <r>
    <x v="0"/>
    <x v="0"/>
    <x v="0"/>
    <x v="16"/>
    <x v="5"/>
    <x v="11"/>
    <x v="3"/>
    <n v="1.92852207135109"/>
  </r>
  <r>
    <x v="0"/>
    <x v="0"/>
    <x v="0"/>
    <x v="16"/>
    <x v="5"/>
    <x v="11"/>
    <x v="4"/>
    <n v="2.84097997254722"/>
  </r>
  <r>
    <x v="0"/>
    <x v="0"/>
    <x v="0"/>
    <x v="16"/>
    <x v="5"/>
    <x v="11"/>
    <x v="5"/>
    <n v="2.7154367113129299"/>
  </r>
  <r>
    <x v="0"/>
    <x v="0"/>
    <x v="0"/>
    <x v="16"/>
    <x v="5"/>
    <x v="11"/>
    <x v="6"/>
    <n v="2.46423968030915"/>
  </r>
  <r>
    <x v="0"/>
    <x v="0"/>
    <x v="0"/>
    <x v="16"/>
    <x v="5"/>
    <x v="11"/>
    <x v="7"/>
    <n v="0.810143479176612"/>
  </r>
  <r>
    <x v="0"/>
    <x v="0"/>
    <x v="0"/>
    <x v="16"/>
    <x v="5"/>
    <x v="11"/>
    <x v="8"/>
    <n v="0.49950144277172298"/>
  </r>
  <r>
    <x v="0"/>
    <x v="0"/>
    <x v="0"/>
    <x v="16"/>
    <x v="5"/>
    <x v="11"/>
    <x v="9"/>
    <n v="0.34990793212689802"/>
  </r>
  <r>
    <x v="0"/>
    <x v="0"/>
    <x v="0"/>
    <x v="16"/>
    <x v="5"/>
    <x v="11"/>
    <x v="10"/>
    <n v="0.348001268410422"/>
  </r>
  <r>
    <x v="0"/>
    <x v="0"/>
    <x v="0"/>
    <x v="16"/>
    <x v="5"/>
    <x v="11"/>
    <x v="11"/>
    <n v="0.31187041688740103"/>
  </r>
  <r>
    <x v="0"/>
    <x v="0"/>
    <x v="0"/>
    <x v="17"/>
    <x v="0"/>
    <x v="0"/>
    <x v="0"/>
    <n v="0"/>
  </r>
  <r>
    <x v="0"/>
    <x v="0"/>
    <x v="0"/>
    <x v="17"/>
    <x v="0"/>
    <x v="0"/>
    <x v="1"/>
    <n v="0"/>
  </r>
  <r>
    <x v="0"/>
    <x v="0"/>
    <x v="0"/>
    <x v="17"/>
    <x v="0"/>
    <x v="0"/>
    <x v="2"/>
    <n v="0"/>
  </r>
  <r>
    <x v="0"/>
    <x v="0"/>
    <x v="0"/>
    <x v="17"/>
    <x v="0"/>
    <x v="0"/>
    <x v="3"/>
    <n v="0"/>
  </r>
  <r>
    <x v="0"/>
    <x v="0"/>
    <x v="0"/>
    <x v="17"/>
    <x v="0"/>
    <x v="0"/>
    <x v="4"/>
    <n v="0"/>
  </r>
  <r>
    <x v="0"/>
    <x v="0"/>
    <x v="0"/>
    <x v="17"/>
    <x v="0"/>
    <x v="0"/>
    <x v="5"/>
    <n v="0"/>
  </r>
  <r>
    <x v="0"/>
    <x v="0"/>
    <x v="0"/>
    <x v="17"/>
    <x v="0"/>
    <x v="0"/>
    <x v="6"/>
    <n v="0"/>
  </r>
  <r>
    <x v="0"/>
    <x v="0"/>
    <x v="0"/>
    <x v="17"/>
    <x v="0"/>
    <x v="0"/>
    <x v="7"/>
    <n v="0"/>
  </r>
  <r>
    <x v="0"/>
    <x v="0"/>
    <x v="0"/>
    <x v="17"/>
    <x v="0"/>
    <x v="0"/>
    <x v="8"/>
    <n v="0"/>
  </r>
  <r>
    <x v="0"/>
    <x v="0"/>
    <x v="0"/>
    <x v="17"/>
    <x v="0"/>
    <x v="0"/>
    <x v="9"/>
    <n v="0"/>
  </r>
  <r>
    <x v="0"/>
    <x v="0"/>
    <x v="0"/>
    <x v="17"/>
    <x v="0"/>
    <x v="0"/>
    <x v="10"/>
    <n v="0"/>
  </r>
  <r>
    <x v="0"/>
    <x v="0"/>
    <x v="0"/>
    <x v="17"/>
    <x v="0"/>
    <x v="0"/>
    <x v="11"/>
    <n v="0"/>
  </r>
  <r>
    <x v="0"/>
    <x v="0"/>
    <x v="0"/>
    <x v="17"/>
    <x v="0"/>
    <x v="1"/>
    <x v="0"/>
    <n v="0"/>
  </r>
  <r>
    <x v="0"/>
    <x v="0"/>
    <x v="0"/>
    <x v="17"/>
    <x v="0"/>
    <x v="1"/>
    <x v="1"/>
    <n v="0"/>
  </r>
  <r>
    <x v="0"/>
    <x v="0"/>
    <x v="0"/>
    <x v="17"/>
    <x v="0"/>
    <x v="1"/>
    <x v="2"/>
    <n v="0"/>
  </r>
  <r>
    <x v="0"/>
    <x v="0"/>
    <x v="0"/>
    <x v="17"/>
    <x v="0"/>
    <x v="1"/>
    <x v="3"/>
    <n v="0"/>
  </r>
  <r>
    <x v="0"/>
    <x v="0"/>
    <x v="0"/>
    <x v="17"/>
    <x v="0"/>
    <x v="1"/>
    <x v="4"/>
    <n v="0"/>
  </r>
  <r>
    <x v="0"/>
    <x v="0"/>
    <x v="0"/>
    <x v="17"/>
    <x v="0"/>
    <x v="1"/>
    <x v="5"/>
    <n v="0"/>
  </r>
  <r>
    <x v="0"/>
    <x v="0"/>
    <x v="0"/>
    <x v="17"/>
    <x v="0"/>
    <x v="1"/>
    <x v="6"/>
    <n v="0"/>
  </r>
  <r>
    <x v="0"/>
    <x v="0"/>
    <x v="0"/>
    <x v="17"/>
    <x v="0"/>
    <x v="1"/>
    <x v="7"/>
    <n v="0"/>
  </r>
  <r>
    <x v="0"/>
    <x v="0"/>
    <x v="0"/>
    <x v="17"/>
    <x v="0"/>
    <x v="1"/>
    <x v="8"/>
    <n v="0"/>
  </r>
  <r>
    <x v="0"/>
    <x v="0"/>
    <x v="0"/>
    <x v="17"/>
    <x v="0"/>
    <x v="1"/>
    <x v="9"/>
    <n v="0"/>
  </r>
  <r>
    <x v="0"/>
    <x v="0"/>
    <x v="0"/>
    <x v="17"/>
    <x v="0"/>
    <x v="1"/>
    <x v="10"/>
    <n v="0"/>
  </r>
  <r>
    <x v="0"/>
    <x v="0"/>
    <x v="0"/>
    <x v="17"/>
    <x v="0"/>
    <x v="1"/>
    <x v="11"/>
    <n v="0"/>
  </r>
  <r>
    <x v="0"/>
    <x v="0"/>
    <x v="0"/>
    <x v="17"/>
    <x v="0"/>
    <x v="2"/>
    <x v="0"/>
    <n v="0"/>
  </r>
  <r>
    <x v="0"/>
    <x v="0"/>
    <x v="0"/>
    <x v="17"/>
    <x v="0"/>
    <x v="2"/>
    <x v="1"/>
    <n v="0"/>
  </r>
  <r>
    <x v="0"/>
    <x v="0"/>
    <x v="0"/>
    <x v="17"/>
    <x v="0"/>
    <x v="2"/>
    <x v="2"/>
    <n v="0"/>
  </r>
  <r>
    <x v="0"/>
    <x v="0"/>
    <x v="0"/>
    <x v="17"/>
    <x v="0"/>
    <x v="2"/>
    <x v="3"/>
    <n v="0"/>
  </r>
  <r>
    <x v="0"/>
    <x v="0"/>
    <x v="0"/>
    <x v="17"/>
    <x v="0"/>
    <x v="2"/>
    <x v="4"/>
    <n v="0"/>
  </r>
  <r>
    <x v="0"/>
    <x v="0"/>
    <x v="0"/>
    <x v="17"/>
    <x v="0"/>
    <x v="2"/>
    <x v="5"/>
    <n v="0"/>
  </r>
  <r>
    <x v="0"/>
    <x v="0"/>
    <x v="0"/>
    <x v="17"/>
    <x v="0"/>
    <x v="2"/>
    <x v="6"/>
    <n v="0"/>
  </r>
  <r>
    <x v="0"/>
    <x v="0"/>
    <x v="0"/>
    <x v="17"/>
    <x v="0"/>
    <x v="2"/>
    <x v="7"/>
    <n v="0"/>
  </r>
  <r>
    <x v="0"/>
    <x v="0"/>
    <x v="0"/>
    <x v="17"/>
    <x v="0"/>
    <x v="2"/>
    <x v="8"/>
    <n v="0"/>
  </r>
  <r>
    <x v="0"/>
    <x v="0"/>
    <x v="0"/>
    <x v="17"/>
    <x v="0"/>
    <x v="2"/>
    <x v="9"/>
    <n v="0"/>
  </r>
  <r>
    <x v="0"/>
    <x v="0"/>
    <x v="0"/>
    <x v="17"/>
    <x v="0"/>
    <x v="2"/>
    <x v="10"/>
    <n v="0"/>
  </r>
  <r>
    <x v="0"/>
    <x v="0"/>
    <x v="0"/>
    <x v="17"/>
    <x v="0"/>
    <x v="2"/>
    <x v="11"/>
    <n v="0"/>
  </r>
  <r>
    <x v="0"/>
    <x v="0"/>
    <x v="0"/>
    <x v="17"/>
    <x v="0"/>
    <x v="3"/>
    <x v="0"/>
    <n v="0"/>
  </r>
  <r>
    <x v="0"/>
    <x v="0"/>
    <x v="0"/>
    <x v="17"/>
    <x v="0"/>
    <x v="3"/>
    <x v="1"/>
    <n v="0"/>
  </r>
  <r>
    <x v="0"/>
    <x v="0"/>
    <x v="0"/>
    <x v="17"/>
    <x v="0"/>
    <x v="3"/>
    <x v="2"/>
    <n v="0"/>
  </r>
  <r>
    <x v="0"/>
    <x v="0"/>
    <x v="0"/>
    <x v="17"/>
    <x v="0"/>
    <x v="3"/>
    <x v="3"/>
    <n v="0"/>
  </r>
  <r>
    <x v="0"/>
    <x v="0"/>
    <x v="0"/>
    <x v="17"/>
    <x v="0"/>
    <x v="3"/>
    <x v="4"/>
    <n v="0"/>
  </r>
  <r>
    <x v="0"/>
    <x v="0"/>
    <x v="0"/>
    <x v="17"/>
    <x v="0"/>
    <x v="3"/>
    <x v="5"/>
    <n v="0"/>
  </r>
  <r>
    <x v="0"/>
    <x v="0"/>
    <x v="0"/>
    <x v="17"/>
    <x v="0"/>
    <x v="3"/>
    <x v="6"/>
    <n v="0"/>
  </r>
  <r>
    <x v="0"/>
    <x v="0"/>
    <x v="0"/>
    <x v="17"/>
    <x v="0"/>
    <x v="3"/>
    <x v="7"/>
    <n v="0"/>
  </r>
  <r>
    <x v="0"/>
    <x v="0"/>
    <x v="0"/>
    <x v="17"/>
    <x v="0"/>
    <x v="3"/>
    <x v="8"/>
    <n v="0"/>
  </r>
  <r>
    <x v="0"/>
    <x v="0"/>
    <x v="0"/>
    <x v="17"/>
    <x v="0"/>
    <x v="3"/>
    <x v="9"/>
    <n v="0"/>
  </r>
  <r>
    <x v="0"/>
    <x v="0"/>
    <x v="0"/>
    <x v="17"/>
    <x v="0"/>
    <x v="3"/>
    <x v="10"/>
    <n v="0"/>
  </r>
  <r>
    <x v="0"/>
    <x v="0"/>
    <x v="0"/>
    <x v="17"/>
    <x v="0"/>
    <x v="3"/>
    <x v="11"/>
    <n v="0"/>
  </r>
  <r>
    <x v="0"/>
    <x v="0"/>
    <x v="0"/>
    <x v="17"/>
    <x v="0"/>
    <x v="4"/>
    <x v="0"/>
    <n v="0"/>
  </r>
  <r>
    <x v="0"/>
    <x v="0"/>
    <x v="0"/>
    <x v="17"/>
    <x v="0"/>
    <x v="4"/>
    <x v="1"/>
    <n v="0"/>
  </r>
  <r>
    <x v="0"/>
    <x v="0"/>
    <x v="0"/>
    <x v="17"/>
    <x v="0"/>
    <x v="4"/>
    <x v="2"/>
    <n v="0"/>
  </r>
  <r>
    <x v="0"/>
    <x v="0"/>
    <x v="0"/>
    <x v="17"/>
    <x v="0"/>
    <x v="4"/>
    <x v="3"/>
    <n v="0"/>
  </r>
  <r>
    <x v="0"/>
    <x v="0"/>
    <x v="0"/>
    <x v="17"/>
    <x v="0"/>
    <x v="4"/>
    <x v="4"/>
    <n v="0"/>
  </r>
  <r>
    <x v="0"/>
    <x v="0"/>
    <x v="0"/>
    <x v="17"/>
    <x v="0"/>
    <x v="4"/>
    <x v="5"/>
    <n v="0"/>
  </r>
  <r>
    <x v="0"/>
    <x v="0"/>
    <x v="0"/>
    <x v="17"/>
    <x v="0"/>
    <x v="4"/>
    <x v="6"/>
    <n v="0"/>
  </r>
  <r>
    <x v="0"/>
    <x v="0"/>
    <x v="0"/>
    <x v="17"/>
    <x v="0"/>
    <x v="4"/>
    <x v="7"/>
    <n v="0"/>
  </r>
  <r>
    <x v="0"/>
    <x v="0"/>
    <x v="0"/>
    <x v="17"/>
    <x v="0"/>
    <x v="4"/>
    <x v="8"/>
    <n v="0"/>
  </r>
  <r>
    <x v="0"/>
    <x v="0"/>
    <x v="0"/>
    <x v="17"/>
    <x v="0"/>
    <x v="4"/>
    <x v="9"/>
    <n v="0"/>
  </r>
  <r>
    <x v="0"/>
    <x v="0"/>
    <x v="0"/>
    <x v="17"/>
    <x v="0"/>
    <x v="4"/>
    <x v="10"/>
    <n v="0"/>
  </r>
  <r>
    <x v="0"/>
    <x v="0"/>
    <x v="0"/>
    <x v="17"/>
    <x v="0"/>
    <x v="4"/>
    <x v="11"/>
    <n v="0"/>
  </r>
  <r>
    <x v="0"/>
    <x v="0"/>
    <x v="0"/>
    <x v="17"/>
    <x v="0"/>
    <x v="5"/>
    <x v="0"/>
    <n v="0"/>
  </r>
  <r>
    <x v="0"/>
    <x v="0"/>
    <x v="0"/>
    <x v="17"/>
    <x v="0"/>
    <x v="5"/>
    <x v="1"/>
    <n v="0"/>
  </r>
  <r>
    <x v="0"/>
    <x v="0"/>
    <x v="0"/>
    <x v="17"/>
    <x v="0"/>
    <x v="5"/>
    <x v="2"/>
    <n v="0"/>
  </r>
  <r>
    <x v="0"/>
    <x v="0"/>
    <x v="0"/>
    <x v="17"/>
    <x v="0"/>
    <x v="5"/>
    <x v="3"/>
    <n v="0"/>
  </r>
  <r>
    <x v="0"/>
    <x v="0"/>
    <x v="0"/>
    <x v="17"/>
    <x v="0"/>
    <x v="5"/>
    <x v="4"/>
    <n v="0"/>
  </r>
  <r>
    <x v="0"/>
    <x v="0"/>
    <x v="0"/>
    <x v="17"/>
    <x v="0"/>
    <x v="5"/>
    <x v="5"/>
    <n v="0"/>
  </r>
  <r>
    <x v="0"/>
    <x v="0"/>
    <x v="0"/>
    <x v="17"/>
    <x v="0"/>
    <x v="5"/>
    <x v="6"/>
    <n v="0"/>
  </r>
  <r>
    <x v="0"/>
    <x v="0"/>
    <x v="0"/>
    <x v="17"/>
    <x v="0"/>
    <x v="5"/>
    <x v="7"/>
    <n v="0"/>
  </r>
  <r>
    <x v="0"/>
    <x v="0"/>
    <x v="0"/>
    <x v="17"/>
    <x v="0"/>
    <x v="5"/>
    <x v="8"/>
    <n v="0"/>
  </r>
  <r>
    <x v="0"/>
    <x v="0"/>
    <x v="0"/>
    <x v="17"/>
    <x v="0"/>
    <x v="5"/>
    <x v="9"/>
    <n v="0"/>
  </r>
  <r>
    <x v="0"/>
    <x v="0"/>
    <x v="0"/>
    <x v="17"/>
    <x v="0"/>
    <x v="5"/>
    <x v="10"/>
    <n v="0"/>
  </r>
  <r>
    <x v="0"/>
    <x v="0"/>
    <x v="0"/>
    <x v="17"/>
    <x v="0"/>
    <x v="5"/>
    <x v="11"/>
    <n v="0"/>
  </r>
  <r>
    <x v="0"/>
    <x v="0"/>
    <x v="0"/>
    <x v="17"/>
    <x v="0"/>
    <x v="6"/>
    <x v="0"/>
    <n v="0"/>
  </r>
  <r>
    <x v="0"/>
    <x v="0"/>
    <x v="0"/>
    <x v="17"/>
    <x v="0"/>
    <x v="6"/>
    <x v="1"/>
    <n v="0"/>
  </r>
  <r>
    <x v="0"/>
    <x v="0"/>
    <x v="0"/>
    <x v="17"/>
    <x v="0"/>
    <x v="6"/>
    <x v="2"/>
    <n v="0"/>
  </r>
  <r>
    <x v="0"/>
    <x v="0"/>
    <x v="0"/>
    <x v="17"/>
    <x v="0"/>
    <x v="6"/>
    <x v="3"/>
    <n v="0"/>
  </r>
  <r>
    <x v="0"/>
    <x v="0"/>
    <x v="0"/>
    <x v="17"/>
    <x v="0"/>
    <x v="6"/>
    <x v="4"/>
    <n v="0"/>
  </r>
  <r>
    <x v="0"/>
    <x v="0"/>
    <x v="0"/>
    <x v="17"/>
    <x v="0"/>
    <x v="6"/>
    <x v="5"/>
    <n v="0"/>
  </r>
  <r>
    <x v="0"/>
    <x v="0"/>
    <x v="0"/>
    <x v="17"/>
    <x v="0"/>
    <x v="6"/>
    <x v="6"/>
    <n v="0"/>
  </r>
  <r>
    <x v="0"/>
    <x v="0"/>
    <x v="0"/>
    <x v="17"/>
    <x v="0"/>
    <x v="6"/>
    <x v="7"/>
    <n v="0"/>
  </r>
  <r>
    <x v="0"/>
    <x v="0"/>
    <x v="0"/>
    <x v="17"/>
    <x v="0"/>
    <x v="6"/>
    <x v="8"/>
    <n v="0"/>
  </r>
  <r>
    <x v="0"/>
    <x v="0"/>
    <x v="0"/>
    <x v="17"/>
    <x v="0"/>
    <x v="6"/>
    <x v="9"/>
    <n v="0"/>
  </r>
  <r>
    <x v="0"/>
    <x v="0"/>
    <x v="0"/>
    <x v="17"/>
    <x v="0"/>
    <x v="6"/>
    <x v="10"/>
    <n v="0"/>
  </r>
  <r>
    <x v="0"/>
    <x v="0"/>
    <x v="0"/>
    <x v="17"/>
    <x v="0"/>
    <x v="6"/>
    <x v="11"/>
    <n v="0"/>
  </r>
  <r>
    <x v="0"/>
    <x v="0"/>
    <x v="0"/>
    <x v="17"/>
    <x v="0"/>
    <x v="7"/>
    <x v="0"/>
    <n v="0"/>
  </r>
  <r>
    <x v="0"/>
    <x v="0"/>
    <x v="0"/>
    <x v="17"/>
    <x v="0"/>
    <x v="7"/>
    <x v="1"/>
    <n v="0"/>
  </r>
  <r>
    <x v="0"/>
    <x v="0"/>
    <x v="0"/>
    <x v="17"/>
    <x v="0"/>
    <x v="7"/>
    <x v="2"/>
    <n v="0"/>
  </r>
  <r>
    <x v="0"/>
    <x v="0"/>
    <x v="0"/>
    <x v="17"/>
    <x v="0"/>
    <x v="7"/>
    <x v="3"/>
    <n v="0"/>
  </r>
  <r>
    <x v="0"/>
    <x v="0"/>
    <x v="0"/>
    <x v="17"/>
    <x v="0"/>
    <x v="7"/>
    <x v="4"/>
    <n v="0"/>
  </r>
  <r>
    <x v="0"/>
    <x v="0"/>
    <x v="0"/>
    <x v="17"/>
    <x v="0"/>
    <x v="7"/>
    <x v="5"/>
    <n v="0"/>
  </r>
  <r>
    <x v="0"/>
    <x v="0"/>
    <x v="0"/>
    <x v="17"/>
    <x v="0"/>
    <x v="7"/>
    <x v="6"/>
    <n v="0"/>
  </r>
  <r>
    <x v="0"/>
    <x v="0"/>
    <x v="0"/>
    <x v="17"/>
    <x v="0"/>
    <x v="7"/>
    <x v="7"/>
    <n v="0"/>
  </r>
  <r>
    <x v="0"/>
    <x v="0"/>
    <x v="0"/>
    <x v="17"/>
    <x v="0"/>
    <x v="7"/>
    <x v="8"/>
    <n v="0"/>
  </r>
  <r>
    <x v="0"/>
    <x v="0"/>
    <x v="0"/>
    <x v="17"/>
    <x v="0"/>
    <x v="7"/>
    <x v="9"/>
    <n v="0"/>
  </r>
  <r>
    <x v="0"/>
    <x v="0"/>
    <x v="0"/>
    <x v="17"/>
    <x v="0"/>
    <x v="7"/>
    <x v="10"/>
    <n v="0"/>
  </r>
  <r>
    <x v="0"/>
    <x v="0"/>
    <x v="0"/>
    <x v="17"/>
    <x v="0"/>
    <x v="7"/>
    <x v="11"/>
    <n v="0"/>
  </r>
  <r>
    <x v="0"/>
    <x v="0"/>
    <x v="0"/>
    <x v="17"/>
    <x v="0"/>
    <x v="8"/>
    <x v="0"/>
    <n v="0"/>
  </r>
  <r>
    <x v="0"/>
    <x v="0"/>
    <x v="0"/>
    <x v="17"/>
    <x v="0"/>
    <x v="8"/>
    <x v="1"/>
    <n v="0"/>
  </r>
  <r>
    <x v="0"/>
    <x v="0"/>
    <x v="0"/>
    <x v="17"/>
    <x v="0"/>
    <x v="8"/>
    <x v="2"/>
    <n v="0"/>
  </r>
  <r>
    <x v="0"/>
    <x v="0"/>
    <x v="0"/>
    <x v="17"/>
    <x v="0"/>
    <x v="8"/>
    <x v="3"/>
    <n v="0"/>
  </r>
  <r>
    <x v="0"/>
    <x v="0"/>
    <x v="0"/>
    <x v="17"/>
    <x v="0"/>
    <x v="8"/>
    <x v="4"/>
    <n v="0"/>
  </r>
  <r>
    <x v="0"/>
    <x v="0"/>
    <x v="0"/>
    <x v="17"/>
    <x v="0"/>
    <x v="8"/>
    <x v="5"/>
    <n v="0"/>
  </r>
  <r>
    <x v="0"/>
    <x v="0"/>
    <x v="0"/>
    <x v="17"/>
    <x v="0"/>
    <x v="8"/>
    <x v="6"/>
    <n v="0"/>
  </r>
  <r>
    <x v="0"/>
    <x v="0"/>
    <x v="0"/>
    <x v="17"/>
    <x v="0"/>
    <x v="8"/>
    <x v="7"/>
    <n v="0"/>
  </r>
  <r>
    <x v="0"/>
    <x v="0"/>
    <x v="0"/>
    <x v="17"/>
    <x v="0"/>
    <x v="8"/>
    <x v="8"/>
    <n v="0"/>
  </r>
  <r>
    <x v="0"/>
    <x v="0"/>
    <x v="0"/>
    <x v="17"/>
    <x v="0"/>
    <x v="8"/>
    <x v="9"/>
    <n v="0"/>
  </r>
  <r>
    <x v="0"/>
    <x v="0"/>
    <x v="0"/>
    <x v="17"/>
    <x v="0"/>
    <x v="8"/>
    <x v="10"/>
    <n v="0"/>
  </r>
  <r>
    <x v="0"/>
    <x v="0"/>
    <x v="0"/>
    <x v="17"/>
    <x v="0"/>
    <x v="8"/>
    <x v="11"/>
    <n v="0"/>
  </r>
  <r>
    <x v="0"/>
    <x v="0"/>
    <x v="0"/>
    <x v="17"/>
    <x v="0"/>
    <x v="9"/>
    <x v="0"/>
    <n v="0"/>
  </r>
  <r>
    <x v="0"/>
    <x v="0"/>
    <x v="0"/>
    <x v="17"/>
    <x v="0"/>
    <x v="9"/>
    <x v="1"/>
    <n v="0"/>
  </r>
  <r>
    <x v="0"/>
    <x v="0"/>
    <x v="0"/>
    <x v="17"/>
    <x v="0"/>
    <x v="9"/>
    <x v="2"/>
    <n v="0"/>
  </r>
  <r>
    <x v="0"/>
    <x v="0"/>
    <x v="0"/>
    <x v="17"/>
    <x v="0"/>
    <x v="9"/>
    <x v="3"/>
    <n v="0"/>
  </r>
  <r>
    <x v="0"/>
    <x v="0"/>
    <x v="0"/>
    <x v="17"/>
    <x v="0"/>
    <x v="9"/>
    <x v="4"/>
    <n v="0"/>
  </r>
  <r>
    <x v="0"/>
    <x v="0"/>
    <x v="0"/>
    <x v="17"/>
    <x v="0"/>
    <x v="9"/>
    <x v="5"/>
    <n v="0"/>
  </r>
  <r>
    <x v="0"/>
    <x v="0"/>
    <x v="0"/>
    <x v="17"/>
    <x v="0"/>
    <x v="9"/>
    <x v="6"/>
    <n v="0"/>
  </r>
  <r>
    <x v="0"/>
    <x v="0"/>
    <x v="0"/>
    <x v="17"/>
    <x v="0"/>
    <x v="9"/>
    <x v="7"/>
    <n v="0"/>
  </r>
  <r>
    <x v="0"/>
    <x v="0"/>
    <x v="0"/>
    <x v="17"/>
    <x v="0"/>
    <x v="9"/>
    <x v="8"/>
    <n v="0"/>
  </r>
  <r>
    <x v="0"/>
    <x v="0"/>
    <x v="0"/>
    <x v="17"/>
    <x v="0"/>
    <x v="9"/>
    <x v="9"/>
    <n v="0"/>
  </r>
  <r>
    <x v="0"/>
    <x v="0"/>
    <x v="0"/>
    <x v="17"/>
    <x v="0"/>
    <x v="9"/>
    <x v="10"/>
    <n v="0"/>
  </r>
  <r>
    <x v="0"/>
    <x v="0"/>
    <x v="0"/>
    <x v="17"/>
    <x v="0"/>
    <x v="9"/>
    <x v="11"/>
    <n v="0"/>
  </r>
  <r>
    <x v="0"/>
    <x v="0"/>
    <x v="0"/>
    <x v="17"/>
    <x v="0"/>
    <x v="10"/>
    <x v="0"/>
    <n v="0.93572615056664699"/>
  </r>
  <r>
    <x v="0"/>
    <x v="0"/>
    <x v="0"/>
    <x v="17"/>
    <x v="0"/>
    <x v="10"/>
    <x v="1"/>
    <n v="0.89730809249100196"/>
  </r>
  <r>
    <x v="0"/>
    <x v="0"/>
    <x v="0"/>
    <x v="17"/>
    <x v="0"/>
    <x v="10"/>
    <x v="2"/>
    <n v="0.74750668842124102"/>
  </r>
  <r>
    <x v="0"/>
    <x v="0"/>
    <x v="0"/>
    <x v="17"/>
    <x v="0"/>
    <x v="10"/>
    <x v="3"/>
    <n v="0.70663374505891496"/>
  </r>
  <r>
    <x v="0"/>
    <x v="0"/>
    <x v="0"/>
    <x v="17"/>
    <x v="0"/>
    <x v="10"/>
    <x v="4"/>
    <n v="0.51902882996562505"/>
  </r>
  <r>
    <x v="0"/>
    <x v="0"/>
    <x v="0"/>
    <x v="17"/>
    <x v="0"/>
    <x v="10"/>
    <x v="5"/>
    <n v="0"/>
  </r>
  <r>
    <x v="0"/>
    <x v="0"/>
    <x v="0"/>
    <x v="17"/>
    <x v="0"/>
    <x v="10"/>
    <x v="6"/>
    <n v="0"/>
  </r>
  <r>
    <x v="0"/>
    <x v="0"/>
    <x v="0"/>
    <x v="17"/>
    <x v="0"/>
    <x v="10"/>
    <x v="7"/>
    <n v="0"/>
  </r>
  <r>
    <x v="0"/>
    <x v="0"/>
    <x v="0"/>
    <x v="17"/>
    <x v="0"/>
    <x v="10"/>
    <x v="8"/>
    <n v="0"/>
  </r>
  <r>
    <x v="0"/>
    <x v="0"/>
    <x v="0"/>
    <x v="17"/>
    <x v="0"/>
    <x v="10"/>
    <x v="9"/>
    <n v="0"/>
  </r>
  <r>
    <x v="0"/>
    <x v="0"/>
    <x v="0"/>
    <x v="17"/>
    <x v="0"/>
    <x v="10"/>
    <x v="10"/>
    <n v="0"/>
  </r>
  <r>
    <x v="0"/>
    <x v="0"/>
    <x v="0"/>
    <x v="17"/>
    <x v="0"/>
    <x v="10"/>
    <x v="11"/>
    <n v="0"/>
  </r>
  <r>
    <x v="0"/>
    <x v="0"/>
    <x v="0"/>
    <x v="17"/>
    <x v="0"/>
    <x v="11"/>
    <x v="0"/>
    <n v="0.63232682468093704"/>
  </r>
  <r>
    <x v="0"/>
    <x v="0"/>
    <x v="0"/>
    <x v="17"/>
    <x v="0"/>
    <x v="11"/>
    <x v="1"/>
    <n v="1.19345335103839"/>
  </r>
  <r>
    <x v="0"/>
    <x v="0"/>
    <x v="0"/>
    <x v="17"/>
    <x v="0"/>
    <x v="11"/>
    <x v="2"/>
    <n v="1.3"/>
  </r>
  <r>
    <x v="0"/>
    <x v="0"/>
    <x v="0"/>
    <x v="17"/>
    <x v="0"/>
    <x v="11"/>
    <x v="3"/>
    <n v="1.3"/>
  </r>
  <r>
    <x v="0"/>
    <x v="0"/>
    <x v="0"/>
    <x v="17"/>
    <x v="0"/>
    <x v="11"/>
    <x v="4"/>
    <n v="1.3"/>
  </r>
  <r>
    <x v="0"/>
    <x v="0"/>
    <x v="0"/>
    <x v="17"/>
    <x v="0"/>
    <x v="11"/>
    <x v="5"/>
    <n v="1.0390975269217599"/>
  </r>
  <r>
    <x v="0"/>
    <x v="0"/>
    <x v="0"/>
    <x v="17"/>
    <x v="0"/>
    <x v="11"/>
    <x v="6"/>
    <n v="0"/>
  </r>
  <r>
    <x v="0"/>
    <x v="0"/>
    <x v="0"/>
    <x v="17"/>
    <x v="0"/>
    <x v="11"/>
    <x v="7"/>
    <n v="0"/>
  </r>
  <r>
    <x v="0"/>
    <x v="0"/>
    <x v="0"/>
    <x v="17"/>
    <x v="0"/>
    <x v="11"/>
    <x v="8"/>
    <n v="0"/>
  </r>
  <r>
    <x v="0"/>
    <x v="0"/>
    <x v="0"/>
    <x v="17"/>
    <x v="0"/>
    <x v="11"/>
    <x v="9"/>
    <n v="0"/>
  </r>
  <r>
    <x v="0"/>
    <x v="0"/>
    <x v="0"/>
    <x v="17"/>
    <x v="0"/>
    <x v="11"/>
    <x v="10"/>
    <n v="0"/>
  </r>
  <r>
    <x v="0"/>
    <x v="0"/>
    <x v="0"/>
    <x v="17"/>
    <x v="0"/>
    <x v="11"/>
    <x v="11"/>
    <n v="0"/>
  </r>
  <r>
    <x v="0"/>
    <x v="0"/>
    <x v="0"/>
    <x v="17"/>
    <x v="1"/>
    <x v="0"/>
    <x v="0"/>
    <n v="0.61"/>
  </r>
  <r>
    <x v="0"/>
    <x v="0"/>
    <x v="0"/>
    <x v="17"/>
    <x v="1"/>
    <x v="0"/>
    <x v="1"/>
    <n v="0.61"/>
  </r>
  <r>
    <x v="0"/>
    <x v="0"/>
    <x v="0"/>
    <x v="17"/>
    <x v="1"/>
    <x v="0"/>
    <x v="2"/>
    <n v="0.61"/>
  </r>
  <r>
    <x v="0"/>
    <x v="0"/>
    <x v="0"/>
    <x v="17"/>
    <x v="1"/>
    <x v="0"/>
    <x v="3"/>
    <n v="0.61"/>
  </r>
  <r>
    <x v="0"/>
    <x v="0"/>
    <x v="0"/>
    <x v="17"/>
    <x v="1"/>
    <x v="0"/>
    <x v="4"/>
    <n v="0.61"/>
  </r>
  <r>
    <x v="0"/>
    <x v="0"/>
    <x v="0"/>
    <x v="17"/>
    <x v="1"/>
    <x v="0"/>
    <x v="5"/>
    <n v="0.61"/>
  </r>
  <r>
    <x v="0"/>
    <x v="0"/>
    <x v="0"/>
    <x v="17"/>
    <x v="1"/>
    <x v="0"/>
    <x v="6"/>
    <n v="0.61"/>
  </r>
  <r>
    <x v="0"/>
    <x v="0"/>
    <x v="0"/>
    <x v="17"/>
    <x v="1"/>
    <x v="0"/>
    <x v="7"/>
    <n v="0.61"/>
  </r>
  <r>
    <x v="0"/>
    <x v="0"/>
    <x v="0"/>
    <x v="17"/>
    <x v="1"/>
    <x v="0"/>
    <x v="8"/>
    <n v="0.61"/>
  </r>
  <r>
    <x v="0"/>
    <x v="0"/>
    <x v="0"/>
    <x v="17"/>
    <x v="1"/>
    <x v="0"/>
    <x v="9"/>
    <n v="0.61"/>
  </r>
  <r>
    <x v="0"/>
    <x v="0"/>
    <x v="0"/>
    <x v="17"/>
    <x v="1"/>
    <x v="0"/>
    <x v="10"/>
    <n v="0.61"/>
  </r>
  <r>
    <x v="0"/>
    <x v="0"/>
    <x v="0"/>
    <x v="17"/>
    <x v="1"/>
    <x v="0"/>
    <x v="11"/>
    <n v="0.61"/>
  </r>
  <r>
    <x v="0"/>
    <x v="0"/>
    <x v="0"/>
    <x v="17"/>
    <x v="1"/>
    <x v="1"/>
    <x v="0"/>
    <n v="0.61"/>
  </r>
  <r>
    <x v="0"/>
    <x v="0"/>
    <x v="0"/>
    <x v="17"/>
    <x v="1"/>
    <x v="1"/>
    <x v="1"/>
    <n v="0.61"/>
  </r>
  <r>
    <x v="0"/>
    <x v="0"/>
    <x v="0"/>
    <x v="17"/>
    <x v="1"/>
    <x v="1"/>
    <x v="2"/>
    <n v="0.61"/>
  </r>
  <r>
    <x v="0"/>
    <x v="0"/>
    <x v="0"/>
    <x v="17"/>
    <x v="1"/>
    <x v="1"/>
    <x v="3"/>
    <n v="0.61"/>
  </r>
  <r>
    <x v="0"/>
    <x v="0"/>
    <x v="0"/>
    <x v="17"/>
    <x v="1"/>
    <x v="1"/>
    <x v="4"/>
    <n v="0.61"/>
  </r>
  <r>
    <x v="0"/>
    <x v="0"/>
    <x v="0"/>
    <x v="17"/>
    <x v="1"/>
    <x v="1"/>
    <x v="5"/>
    <n v="0.61"/>
  </r>
  <r>
    <x v="0"/>
    <x v="0"/>
    <x v="0"/>
    <x v="17"/>
    <x v="1"/>
    <x v="1"/>
    <x v="6"/>
    <n v="0.61"/>
  </r>
  <r>
    <x v="0"/>
    <x v="0"/>
    <x v="0"/>
    <x v="17"/>
    <x v="1"/>
    <x v="1"/>
    <x v="7"/>
    <n v="0.61"/>
  </r>
  <r>
    <x v="0"/>
    <x v="0"/>
    <x v="0"/>
    <x v="17"/>
    <x v="1"/>
    <x v="1"/>
    <x v="8"/>
    <n v="0.61"/>
  </r>
  <r>
    <x v="0"/>
    <x v="0"/>
    <x v="0"/>
    <x v="17"/>
    <x v="1"/>
    <x v="1"/>
    <x v="9"/>
    <n v="0.61"/>
  </r>
  <r>
    <x v="0"/>
    <x v="0"/>
    <x v="0"/>
    <x v="17"/>
    <x v="1"/>
    <x v="1"/>
    <x v="10"/>
    <n v="0.61"/>
  </r>
  <r>
    <x v="0"/>
    <x v="0"/>
    <x v="0"/>
    <x v="17"/>
    <x v="1"/>
    <x v="1"/>
    <x v="11"/>
    <n v="0.61"/>
  </r>
  <r>
    <x v="0"/>
    <x v="0"/>
    <x v="0"/>
    <x v="17"/>
    <x v="1"/>
    <x v="2"/>
    <x v="0"/>
    <n v="0.61"/>
  </r>
  <r>
    <x v="0"/>
    <x v="0"/>
    <x v="0"/>
    <x v="17"/>
    <x v="1"/>
    <x v="2"/>
    <x v="1"/>
    <n v="0.61"/>
  </r>
  <r>
    <x v="0"/>
    <x v="0"/>
    <x v="0"/>
    <x v="17"/>
    <x v="1"/>
    <x v="2"/>
    <x v="2"/>
    <n v="0.61"/>
  </r>
  <r>
    <x v="0"/>
    <x v="0"/>
    <x v="0"/>
    <x v="17"/>
    <x v="1"/>
    <x v="2"/>
    <x v="3"/>
    <n v="0.61"/>
  </r>
  <r>
    <x v="0"/>
    <x v="0"/>
    <x v="0"/>
    <x v="17"/>
    <x v="1"/>
    <x v="2"/>
    <x v="4"/>
    <n v="0.61"/>
  </r>
  <r>
    <x v="0"/>
    <x v="0"/>
    <x v="0"/>
    <x v="17"/>
    <x v="1"/>
    <x v="2"/>
    <x v="5"/>
    <n v="0.61"/>
  </r>
  <r>
    <x v="0"/>
    <x v="0"/>
    <x v="0"/>
    <x v="17"/>
    <x v="1"/>
    <x v="2"/>
    <x v="6"/>
    <n v="0.61"/>
  </r>
  <r>
    <x v="0"/>
    <x v="0"/>
    <x v="0"/>
    <x v="17"/>
    <x v="1"/>
    <x v="2"/>
    <x v="7"/>
    <n v="0.61"/>
  </r>
  <r>
    <x v="0"/>
    <x v="0"/>
    <x v="0"/>
    <x v="17"/>
    <x v="1"/>
    <x v="2"/>
    <x v="8"/>
    <n v="0.61"/>
  </r>
  <r>
    <x v="0"/>
    <x v="0"/>
    <x v="0"/>
    <x v="17"/>
    <x v="1"/>
    <x v="2"/>
    <x v="9"/>
    <n v="0.61"/>
  </r>
  <r>
    <x v="0"/>
    <x v="0"/>
    <x v="0"/>
    <x v="17"/>
    <x v="1"/>
    <x v="2"/>
    <x v="10"/>
    <n v="0.61"/>
  </r>
  <r>
    <x v="0"/>
    <x v="0"/>
    <x v="0"/>
    <x v="17"/>
    <x v="1"/>
    <x v="2"/>
    <x v="11"/>
    <n v="0.61"/>
  </r>
  <r>
    <x v="0"/>
    <x v="0"/>
    <x v="0"/>
    <x v="17"/>
    <x v="1"/>
    <x v="3"/>
    <x v="0"/>
    <n v="0.61"/>
  </r>
  <r>
    <x v="0"/>
    <x v="0"/>
    <x v="0"/>
    <x v="17"/>
    <x v="1"/>
    <x v="3"/>
    <x v="1"/>
    <n v="0.61"/>
  </r>
  <r>
    <x v="0"/>
    <x v="0"/>
    <x v="0"/>
    <x v="17"/>
    <x v="1"/>
    <x v="3"/>
    <x v="2"/>
    <n v="0.61"/>
  </r>
  <r>
    <x v="0"/>
    <x v="0"/>
    <x v="0"/>
    <x v="17"/>
    <x v="1"/>
    <x v="3"/>
    <x v="3"/>
    <n v="0.61"/>
  </r>
  <r>
    <x v="0"/>
    <x v="0"/>
    <x v="0"/>
    <x v="17"/>
    <x v="1"/>
    <x v="3"/>
    <x v="4"/>
    <n v="0.61"/>
  </r>
  <r>
    <x v="0"/>
    <x v="0"/>
    <x v="0"/>
    <x v="17"/>
    <x v="1"/>
    <x v="3"/>
    <x v="5"/>
    <n v="0.61"/>
  </r>
  <r>
    <x v="0"/>
    <x v="0"/>
    <x v="0"/>
    <x v="17"/>
    <x v="1"/>
    <x v="3"/>
    <x v="6"/>
    <n v="0.61"/>
  </r>
  <r>
    <x v="0"/>
    <x v="0"/>
    <x v="0"/>
    <x v="17"/>
    <x v="1"/>
    <x v="3"/>
    <x v="7"/>
    <n v="0.61"/>
  </r>
  <r>
    <x v="0"/>
    <x v="0"/>
    <x v="0"/>
    <x v="17"/>
    <x v="1"/>
    <x v="3"/>
    <x v="8"/>
    <n v="0.61"/>
  </r>
  <r>
    <x v="0"/>
    <x v="0"/>
    <x v="0"/>
    <x v="17"/>
    <x v="1"/>
    <x v="3"/>
    <x v="9"/>
    <n v="0.61"/>
  </r>
  <r>
    <x v="0"/>
    <x v="0"/>
    <x v="0"/>
    <x v="17"/>
    <x v="1"/>
    <x v="3"/>
    <x v="10"/>
    <n v="0.61"/>
  </r>
  <r>
    <x v="0"/>
    <x v="0"/>
    <x v="0"/>
    <x v="17"/>
    <x v="1"/>
    <x v="3"/>
    <x v="11"/>
    <n v="0.61"/>
  </r>
  <r>
    <x v="0"/>
    <x v="0"/>
    <x v="0"/>
    <x v="17"/>
    <x v="1"/>
    <x v="4"/>
    <x v="0"/>
    <n v="0.61"/>
  </r>
  <r>
    <x v="0"/>
    <x v="0"/>
    <x v="0"/>
    <x v="17"/>
    <x v="1"/>
    <x v="4"/>
    <x v="1"/>
    <n v="0.61"/>
  </r>
  <r>
    <x v="0"/>
    <x v="0"/>
    <x v="0"/>
    <x v="17"/>
    <x v="1"/>
    <x v="4"/>
    <x v="2"/>
    <n v="0.61"/>
  </r>
  <r>
    <x v="0"/>
    <x v="0"/>
    <x v="0"/>
    <x v="17"/>
    <x v="1"/>
    <x v="4"/>
    <x v="3"/>
    <n v="0.61"/>
  </r>
  <r>
    <x v="0"/>
    <x v="0"/>
    <x v="0"/>
    <x v="17"/>
    <x v="1"/>
    <x v="4"/>
    <x v="4"/>
    <n v="0.61"/>
  </r>
  <r>
    <x v="0"/>
    <x v="0"/>
    <x v="0"/>
    <x v="17"/>
    <x v="1"/>
    <x v="4"/>
    <x v="5"/>
    <n v="0.61"/>
  </r>
  <r>
    <x v="0"/>
    <x v="0"/>
    <x v="0"/>
    <x v="17"/>
    <x v="1"/>
    <x v="4"/>
    <x v="6"/>
    <n v="0.61"/>
  </r>
  <r>
    <x v="0"/>
    <x v="0"/>
    <x v="0"/>
    <x v="17"/>
    <x v="1"/>
    <x v="4"/>
    <x v="7"/>
    <n v="0.61"/>
  </r>
  <r>
    <x v="0"/>
    <x v="0"/>
    <x v="0"/>
    <x v="17"/>
    <x v="1"/>
    <x v="4"/>
    <x v="8"/>
    <n v="0.61"/>
  </r>
  <r>
    <x v="0"/>
    <x v="0"/>
    <x v="0"/>
    <x v="17"/>
    <x v="1"/>
    <x v="4"/>
    <x v="9"/>
    <n v="0.61"/>
  </r>
  <r>
    <x v="0"/>
    <x v="0"/>
    <x v="0"/>
    <x v="17"/>
    <x v="1"/>
    <x v="4"/>
    <x v="10"/>
    <n v="0.61"/>
  </r>
  <r>
    <x v="0"/>
    <x v="0"/>
    <x v="0"/>
    <x v="17"/>
    <x v="1"/>
    <x v="4"/>
    <x v="11"/>
    <n v="0.61"/>
  </r>
  <r>
    <x v="0"/>
    <x v="0"/>
    <x v="0"/>
    <x v="17"/>
    <x v="1"/>
    <x v="5"/>
    <x v="0"/>
    <n v="0.61"/>
  </r>
  <r>
    <x v="0"/>
    <x v="0"/>
    <x v="0"/>
    <x v="17"/>
    <x v="1"/>
    <x v="5"/>
    <x v="1"/>
    <n v="0.61"/>
  </r>
  <r>
    <x v="0"/>
    <x v="0"/>
    <x v="0"/>
    <x v="17"/>
    <x v="1"/>
    <x v="5"/>
    <x v="2"/>
    <n v="0.61"/>
  </r>
  <r>
    <x v="0"/>
    <x v="0"/>
    <x v="0"/>
    <x v="17"/>
    <x v="1"/>
    <x v="5"/>
    <x v="3"/>
    <n v="0.61"/>
  </r>
  <r>
    <x v="0"/>
    <x v="0"/>
    <x v="0"/>
    <x v="17"/>
    <x v="1"/>
    <x v="5"/>
    <x v="4"/>
    <n v="0.61"/>
  </r>
  <r>
    <x v="0"/>
    <x v="0"/>
    <x v="0"/>
    <x v="17"/>
    <x v="1"/>
    <x v="5"/>
    <x v="5"/>
    <n v="0.61"/>
  </r>
  <r>
    <x v="0"/>
    <x v="0"/>
    <x v="0"/>
    <x v="17"/>
    <x v="1"/>
    <x v="5"/>
    <x v="6"/>
    <n v="0.61"/>
  </r>
  <r>
    <x v="0"/>
    <x v="0"/>
    <x v="0"/>
    <x v="17"/>
    <x v="1"/>
    <x v="5"/>
    <x v="7"/>
    <n v="0.61"/>
  </r>
  <r>
    <x v="0"/>
    <x v="0"/>
    <x v="0"/>
    <x v="17"/>
    <x v="1"/>
    <x v="5"/>
    <x v="8"/>
    <n v="0.61"/>
  </r>
  <r>
    <x v="0"/>
    <x v="0"/>
    <x v="0"/>
    <x v="17"/>
    <x v="1"/>
    <x v="5"/>
    <x v="9"/>
    <n v="0.61"/>
  </r>
  <r>
    <x v="0"/>
    <x v="0"/>
    <x v="0"/>
    <x v="17"/>
    <x v="1"/>
    <x v="5"/>
    <x v="10"/>
    <n v="0.61"/>
  </r>
  <r>
    <x v="0"/>
    <x v="0"/>
    <x v="0"/>
    <x v="17"/>
    <x v="1"/>
    <x v="5"/>
    <x v="11"/>
    <n v="0.61"/>
  </r>
  <r>
    <x v="0"/>
    <x v="0"/>
    <x v="0"/>
    <x v="17"/>
    <x v="1"/>
    <x v="6"/>
    <x v="0"/>
    <n v="0.61"/>
  </r>
  <r>
    <x v="0"/>
    <x v="0"/>
    <x v="0"/>
    <x v="17"/>
    <x v="1"/>
    <x v="6"/>
    <x v="1"/>
    <n v="0.61"/>
  </r>
  <r>
    <x v="0"/>
    <x v="0"/>
    <x v="0"/>
    <x v="17"/>
    <x v="1"/>
    <x v="6"/>
    <x v="2"/>
    <n v="0.61"/>
  </r>
  <r>
    <x v="0"/>
    <x v="0"/>
    <x v="0"/>
    <x v="17"/>
    <x v="1"/>
    <x v="6"/>
    <x v="3"/>
    <n v="0.61"/>
  </r>
  <r>
    <x v="0"/>
    <x v="0"/>
    <x v="0"/>
    <x v="17"/>
    <x v="1"/>
    <x v="6"/>
    <x v="4"/>
    <n v="0.61"/>
  </r>
  <r>
    <x v="0"/>
    <x v="0"/>
    <x v="0"/>
    <x v="17"/>
    <x v="1"/>
    <x v="6"/>
    <x v="5"/>
    <n v="0.61"/>
  </r>
  <r>
    <x v="0"/>
    <x v="0"/>
    <x v="0"/>
    <x v="17"/>
    <x v="1"/>
    <x v="6"/>
    <x v="6"/>
    <n v="0.61"/>
  </r>
  <r>
    <x v="0"/>
    <x v="0"/>
    <x v="0"/>
    <x v="17"/>
    <x v="1"/>
    <x v="6"/>
    <x v="7"/>
    <n v="0.61"/>
  </r>
  <r>
    <x v="0"/>
    <x v="0"/>
    <x v="0"/>
    <x v="17"/>
    <x v="1"/>
    <x v="6"/>
    <x v="8"/>
    <n v="0.61"/>
  </r>
  <r>
    <x v="0"/>
    <x v="0"/>
    <x v="0"/>
    <x v="17"/>
    <x v="1"/>
    <x v="6"/>
    <x v="9"/>
    <n v="0.61"/>
  </r>
  <r>
    <x v="0"/>
    <x v="0"/>
    <x v="0"/>
    <x v="17"/>
    <x v="1"/>
    <x v="6"/>
    <x v="10"/>
    <n v="0.61"/>
  </r>
  <r>
    <x v="0"/>
    <x v="0"/>
    <x v="0"/>
    <x v="17"/>
    <x v="1"/>
    <x v="6"/>
    <x v="11"/>
    <n v="0.61"/>
  </r>
  <r>
    <x v="0"/>
    <x v="0"/>
    <x v="0"/>
    <x v="17"/>
    <x v="1"/>
    <x v="7"/>
    <x v="0"/>
    <n v="0.61"/>
  </r>
  <r>
    <x v="0"/>
    <x v="0"/>
    <x v="0"/>
    <x v="17"/>
    <x v="1"/>
    <x v="7"/>
    <x v="1"/>
    <n v="0.61"/>
  </r>
  <r>
    <x v="0"/>
    <x v="0"/>
    <x v="0"/>
    <x v="17"/>
    <x v="1"/>
    <x v="7"/>
    <x v="2"/>
    <n v="0.61"/>
  </r>
  <r>
    <x v="0"/>
    <x v="0"/>
    <x v="0"/>
    <x v="17"/>
    <x v="1"/>
    <x v="7"/>
    <x v="3"/>
    <n v="0.61"/>
  </r>
  <r>
    <x v="0"/>
    <x v="0"/>
    <x v="0"/>
    <x v="17"/>
    <x v="1"/>
    <x v="7"/>
    <x v="4"/>
    <n v="0.61"/>
  </r>
  <r>
    <x v="0"/>
    <x v="0"/>
    <x v="0"/>
    <x v="17"/>
    <x v="1"/>
    <x v="7"/>
    <x v="5"/>
    <n v="0.61"/>
  </r>
  <r>
    <x v="0"/>
    <x v="0"/>
    <x v="0"/>
    <x v="17"/>
    <x v="1"/>
    <x v="7"/>
    <x v="6"/>
    <n v="0.61"/>
  </r>
  <r>
    <x v="0"/>
    <x v="0"/>
    <x v="0"/>
    <x v="17"/>
    <x v="1"/>
    <x v="7"/>
    <x v="7"/>
    <n v="0.61"/>
  </r>
  <r>
    <x v="0"/>
    <x v="0"/>
    <x v="0"/>
    <x v="17"/>
    <x v="1"/>
    <x v="7"/>
    <x v="8"/>
    <n v="0.61"/>
  </r>
  <r>
    <x v="0"/>
    <x v="0"/>
    <x v="0"/>
    <x v="17"/>
    <x v="1"/>
    <x v="7"/>
    <x v="9"/>
    <n v="0.61"/>
  </r>
  <r>
    <x v="0"/>
    <x v="0"/>
    <x v="0"/>
    <x v="17"/>
    <x v="1"/>
    <x v="7"/>
    <x v="10"/>
    <n v="0.61"/>
  </r>
  <r>
    <x v="0"/>
    <x v="0"/>
    <x v="0"/>
    <x v="17"/>
    <x v="1"/>
    <x v="7"/>
    <x v="11"/>
    <n v="0.61"/>
  </r>
  <r>
    <x v="0"/>
    <x v="0"/>
    <x v="0"/>
    <x v="17"/>
    <x v="1"/>
    <x v="8"/>
    <x v="0"/>
    <n v="0.61"/>
  </r>
  <r>
    <x v="0"/>
    <x v="0"/>
    <x v="0"/>
    <x v="17"/>
    <x v="1"/>
    <x v="8"/>
    <x v="1"/>
    <n v="0.61"/>
  </r>
  <r>
    <x v="0"/>
    <x v="0"/>
    <x v="0"/>
    <x v="17"/>
    <x v="1"/>
    <x v="8"/>
    <x v="2"/>
    <n v="0.61"/>
  </r>
  <r>
    <x v="0"/>
    <x v="0"/>
    <x v="0"/>
    <x v="17"/>
    <x v="1"/>
    <x v="8"/>
    <x v="3"/>
    <n v="0.61"/>
  </r>
  <r>
    <x v="0"/>
    <x v="0"/>
    <x v="0"/>
    <x v="17"/>
    <x v="1"/>
    <x v="8"/>
    <x v="4"/>
    <n v="0.61"/>
  </r>
  <r>
    <x v="0"/>
    <x v="0"/>
    <x v="0"/>
    <x v="17"/>
    <x v="1"/>
    <x v="8"/>
    <x v="5"/>
    <n v="0.61"/>
  </r>
  <r>
    <x v="0"/>
    <x v="0"/>
    <x v="0"/>
    <x v="17"/>
    <x v="1"/>
    <x v="8"/>
    <x v="6"/>
    <n v="0.61"/>
  </r>
  <r>
    <x v="0"/>
    <x v="0"/>
    <x v="0"/>
    <x v="17"/>
    <x v="1"/>
    <x v="8"/>
    <x v="7"/>
    <n v="0.61"/>
  </r>
  <r>
    <x v="0"/>
    <x v="0"/>
    <x v="0"/>
    <x v="17"/>
    <x v="1"/>
    <x v="8"/>
    <x v="8"/>
    <n v="0.61"/>
  </r>
  <r>
    <x v="0"/>
    <x v="0"/>
    <x v="0"/>
    <x v="17"/>
    <x v="1"/>
    <x v="8"/>
    <x v="9"/>
    <n v="0.61"/>
  </r>
  <r>
    <x v="0"/>
    <x v="0"/>
    <x v="0"/>
    <x v="17"/>
    <x v="1"/>
    <x v="8"/>
    <x v="10"/>
    <n v="0.61"/>
  </r>
  <r>
    <x v="0"/>
    <x v="0"/>
    <x v="0"/>
    <x v="17"/>
    <x v="1"/>
    <x v="8"/>
    <x v="11"/>
    <n v="0.61"/>
  </r>
  <r>
    <x v="0"/>
    <x v="0"/>
    <x v="0"/>
    <x v="17"/>
    <x v="1"/>
    <x v="9"/>
    <x v="0"/>
    <n v="0.61"/>
  </r>
  <r>
    <x v="0"/>
    <x v="0"/>
    <x v="0"/>
    <x v="17"/>
    <x v="1"/>
    <x v="9"/>
    <x v="1"/>
    <n v="0.61"/>
  </r>
  <r>
    <x v="0"/>
    <x v="0"/>
    <x v="0"/>
    <x v="17"/>
    <x v="1"/>
    <x v="9"/>
    <x v="2"/>
    <n v="0.61"/>
  </r>
  <r>
    <x v="0"/>
    <x v="0"/>
    <x v="0"/>
    <x v="17"/>
    <x v="1"/>
    <x v="9"/>
    <x v="3"/>
    <n v="0.61"/>
  </r>
  <r>
    <x v="0"/>
    <x v="0"/>
    <x v="0"/>
    <x v="17"/>
    <x v="1"/>
    <x v="9"/>
    <x v="4"/>
    <n v="0.61"/>
  </r>
  <r>
    <x v="0"/>
    <x v="0"/>
    <x v="0"/>
    <x v="17"/>
    <x v="1"/>
    <x v="9"/>
    <x v="5"/>
    <n v="0.61"/>
  </r>
  <r>
    <x v="0"/>
    <x v="0"/>
    <x v="0"/>
    <x v="17"/>
    <x v="1"/>
    <x v="9"/>
    <x v="6"/>
    <n v="0.61"/>
  </r>
  <r>
    <x v="0"/>
    <x v="0"/>
    <x v="0"/>
    <x v="17"/>
    <x v="1"/>
    <x v="9"/>
    <x v="7"/>
    <n v="0.61"/>
  </r>
  <r>
    <x v="0"/>
    <x v="0"/>
    <x v="0"/>
    <x v="17"/>
    <x v="1"/>
    <x v="9"/>
    <x v="8"/>
    <n v="0.61"/>
  </r>
  <r>
    <x v="0"/>
    <x v="0"/>
    <x v="0"/>
    <x v="17"/>
    <x v="1"/>
    <x v="9"/>
    <x v="9"/>
    <n v="0.61"/>
  </r>
  <r>
    <x v="0"/>
    <x v="0"/>
    <x v="0"/>
    <x v="17"/>
    <x v="1"/>
    <x v="9"/>
    <x v="10"/>
    <n v="0.61"/>
  </r>
  <r>
    <x v="0"/>
    <x v="0"/>
    <x v="0"/>
    <x v="17"/>
    <x v="1"/>
    <x v="9"/>
    <x v="11"/>
    <n v="0.61"/>
  </r>
  <r>
    <x v="0"/>
    <x v="0"/>
    <x v="0"/>
    <x v="17"/>
    <x v="1"/>
    <x v="10"/>
    <x v="0"/>
    <n v="0.61"/>
  </r>
  <r>
    <x v="0"/>
    <x v="0"/>
    <x v="0"/>
    <x v="17"/>
    <x v="1"/>
    <x v="10"/>
    <x v="1"/>
    <n v="0.61"/>
  </r>
  <r>
    <x v="0"/>
    <x v="0"/>
    <x v="0"/>
    <x v="17"/>
    <x v="1"/>
    <x v="10"/>
    <x v="2"/>
    <n v="0.61"/>
  </r>
  <r>
    <x v="0"/>
    <x v="0"/>
    <x v="0"/>
    <x v="17"/>
    <x v="1"/>
    <x v="10"/>
    <x v="3"/>
    <n v="0.61"/>
  </r>
  <r>
    <x v="0"/>
    <x v="0"/>
    <x v="0"/>
    <x v="17"/>
    <x v="1"/>
    <x v="10"/>
    <x v="4"/>
    <n v="0.61"/>
  </r>
  <r>
    <x v="0"/>
    <x v="0"/>
    <x v="0"/>
    <x v="17"/>
    <x v="1"/>
    <x v="10"/>
    <x v="5"/>
    <n v="0.61"/>
  </r>
  <r>
    <x v="0"/>
    <x v="0"/>
    <x v="0"/>
    <x v="17"/>
    <x v="1"/>
    <x v="10"/>
    <x v="6"/>
    <n v="0.61"/>
  </r>
  <r>
    <x v="0"/>
    <x v="0"/>
    <x v="0"/>
    <x v="17"/>
    <x v="1"/>
    <x v="10"/>
    <x v="7"/>
    <n v="0.61"/>
  </r>
  <r>
    <x v="0"/>
    <x v="0"/>
    <x v="0"/>
    <x v="17"/>
    <x v="1"/>
    <x v="10"/>
    <x v="8"/>
    <n v="0.61"/>
  </r>
  <r>
    <x v="0"/>
    <x v="0"/>
    <x v="0"/>
    <x v="17"/>
    <x v="1"/>
    <x v="10"/>
    <x v="9"/>
    <n v="0.61"/>
  </r>
  <r>
    <x v="0"/>
    <x v="0"/>
    <x v="0"/>
    <x v="17"/>
    <x v="1"/>
    <x v="10"/>
    <x v="10"/>
    <n v="0.61"/>
  </r>
  <r>
    <x v="0"/>
    <x v="0"/>
    <x v="0"/>
    <x v="17"/>
    <x v="1"/>
    <x v="10"/>
    <x v="11"/>
    <n v="0.61"/>
  </r>
  <r>
    <x v="0"/>
    <x v="0"/>
    <x v="0"/>
    <x v="17"/>
    <x v="1"/>
    <x v="11"/>
    <x v="0"/>
    <n v="0.61"/>
  </r>
  <r>
    <x v="0"/>
    <x v="0"/>
    <x v="0"/>
    <x v="17"/>
    <x v="1"/>
    <x v="11"/>
    <x v="1"/>
    <n v="0.61"/>
  </r>
  <r>
    <x v="0"/>
    <x v="0"/>
    <x v="0"/>
    <x v="17"/>
    <x v="1"/>
    <x v="11"/>
    <x v="2"/>
    <n v="0.61"/>
  </r>
  <r>
    <x v="0"/>
    <x v="0"/>
    <x v="0"/>
    <x v="17"/>
    <x v="1"/>
    <x v="11"/>
    <x v="3"/>
    <n v="0.61"/>
  </r>
  <r>
    <x v="0"/>
    <x v="0"/>
    <x v="0"/>
    <x v="17"/>
    <x v="1"/>
    <x v="11"/>
    <x v="4"/>
    <n v="0.61"/>
  </r>
  <r>
    <x v="0"/>
    <x v="0"/>
    <x v="0"/>
    <x v="17"/>
    <x v="1"/>
    <x v="11"/>
    <x v="5"/>
    <n v="0.61"/>
  </r>
  <r>
    <x v="0"/>
    <x v="0"/>
    <x v="0"/>
    <x v="17"/>
    <x v="1"/>
    <x v="11"/>
    <x v="6"/>
    <n v="0.61"/>
  </r>
  <r>
    <x v="0"/>
    <x v="0"/>
    <x v="0"/>
    <x v="17"/>
    <x v="1"/>
    <x v="11"/>
    <x v="7"/>
    <n v="0.61"/>
  </r>
  <r>
    <x v="0"/>
    <x v="0"/>
    <x v="0"/>
    <x v="17"/>
    <x v="1"/>
    <x v="11"/>
    <x v="8"/>
    <n v="0.61"/>
  </r>
  <r>
    <x v="0"/>
    <x v="0"/>
    <x v="0"/>
    <x v="17"/>
    <x v="1"/>
    <x v="11"/>
    <x v="9"/>
    <n v="0.61"/>
  </r>
  <r>
    <x v="0"/>
    <x v="0"/>
    <x v="0"/>
    <x v="17"/>
    <x v="1"/>
    <x v="11"/>
    <x v="10"/>
    <n v="0.61"/>
  </r>
  <r>
    <x v="0"/>
    <x v="0"/>
    <x v="0"/>
    <x v="17"/>
    <x v="1"/>
    <x v="11"/>
    <x v="11"/>
    <n v="0.61"/>
  </r>
  <r>
    <x v="0"/>
    <x v="0"/>
    <x v="0"/>
    <x v="17"/>
    <x v="3"/>
    <x v="0"/>
    <x v="0"/>
    <n v="0"/>
  </r>
  <r>
    <x v="0"/>
    <x v="0"/>
    <x v="0"/>
    <x v="17"/>
    <x v="3"/>
    <x v="0"/>
    <x v="1"/>
    <n v="0"/>
  </r>
  <r>
    <x v="0"/>
    <x v="0"/>
    <x v="0"/>
    <x v="17"/>
    <x v="3"/>
    <x v="0"/>
    <x v="2"/>
    <n v="0"/>
  </r>
  <r>
    <x v="0"/>
    <x v="0"/>
    <x v="0"/>
    <x v="17"/>
    <x v="3"/>
    <x v="0"/>
    <x v="3"/>
    <n v="0"/>
  </r>
  <r>
    <x v="0"/>
    <x v="0"/>
    <x v="0"/>
    <x v="17"/>
    <x v="3"/>
    <x v="0"/>
    <x v="4"/>
    <n v="0"/>
  </r>
  <r>
    <x v="0"/>
    <x v="0"/>
    <x v="0"/>
    <x v="17"/>
    <x v="3"/>
    <x v="0"/>
    <x v="5"/>
    <n v="0"/>
  </r>
  <r>
    <x v="0"/>
    <x v="0"/>
    <x v="0"/>
    <x v="17"/>
    <x v="3"/>
    <x v="0"/>
    <x v="6"/>
    <n v="0"/>
  </r>
  <r>
    <x v="0"/>
    <x v="0"/>
    <x v="0"/>
    <x v="17"/>
    <x v="3"/>
    <x v="0"/>
    <x v="7"/>
    <n v="0"/>
  </r>
  <r>
    <x v="0"/>
    <x v="0"/>
    <x v="0"/>
    <x v="17"/>
    <x v="3"/>
    <x v="0"/>
    <x v="8"/>
    <n v="0"/>
  </r>
  <r>
    <x v="0"/>
    <x v="0"/>
    <x v="0"/>
    <x v="17"/>
    <x v="3"/>
    <x v="0"/>
    <x v="9"/>
    <n v="0"/>
  </r>
  <r>
    <x v="0"/>
    <x v="0"/>
    <x v="0"/>
    <x v="17"/>
    <x v="3"/>
    <x v="0"/>
    <x v="10"/>
    <n v="0"/>
  </r>
  <r>
    <x v="0"/>
    <x v="0"/>
    <x v="0"/>
    <x v="17"/>
    <x v="3"/>
    <x v="0"/>
    <x v="11"/>
    <n v="0"/>
  </r>
  <r>
    <x v="0"/>
    <x v="0"/>
    <x v="0"/>
    <x v="17"/>
    <x v="3"/>
    <x v="1"/>
    <x v="0"/>
    <n v="0"/>
  </r>
  <r>
    <x v="0"/>
    <x v="0"/>
    <x v="0"/>
    <x v="17"/>
    <x v="3"/>
    <x v="1"/>
    <x v="1"/>
    <n v="0"/>
  </r>
  <r>
    <x v="0"/>
    <x v="0"/>
    <x v="0"/>
    <x v="17"/>
    <x v="3"/>
    <x v="1"/>
    <x v="2"/>
    <n v="0"/>
  </r>
  <r>
    <x v="0"/>
    <x v="0"/>
    <x v="0"/>
    <x v="17"/>
    <x v="3"/>
    <x v="1"/>
    <x v="3"/>
    <n v="0"/>
  </r>
  <r>
    <x v="0"/>
    <x v="0"/>
    <x v="0"/>
    <x v="17"/>
    <x v="3"/>
    <x v="1"/>
    <x v="4"/>
    <n v="0"/>
  </r>
  <r>
    <x v="0"/>
    <x v="0"/>
    <x v="0"/>
    <x v="17"/>
    <x v="3"/>
    <x v="1"/>
    <x v="5"/>
    <n v="0"/>
  </r>
  <r>
    <x v="0"/>
    <x v="0"/>
    <x v="0"/>
    <x v="17"/>
    <x v="3"/>
    <x v="1"/>
    <x v="6"/>
    <n v="0"/>
  </r>
  <r>
    <x v="0"/>
    <x v="0"/>
    <x v="0"/>
    <x v="17"/>
    <x v="3"/>
    <x v="1"/>
    <x v="7"/>
    <n v="0"/>
  </r>
  <r>
    <x v="0"/>
    <x v="0"/>
    <x v="0"/>
    <x v="17"/>
    <x v="3"/>
    <x v="1"/>
    <x v="8"/>
    <n v="0"/>
  </r>
  <r>
    <x v="0"/>
    <x v="0"/>
    <x v="0"/>
    <x v="17"/>
    <x v="3"/>
    <x v="1"/>
    <x v="9"/>
    <n v="0"/>
  </r>
  <r>
    <x v="0"/>
    <x v="0"/>
    <x v="0"/>
    <x v="17"/>
    <x v="3"/>
    <x v="1"/>
    <x v="10"/>
    <n v="0"/>
  </r>
  <r>
    <x v="0"/>
    <x v="0"/>
    <x v="0"/>
    <x v="17"/>
    <x v="3"/>
    <x v="1"/>
    <x v="11"/>
    <n v="0"/>
  </r>
  <r>
    <x v="0"/>
    <x v="0"/>
    <x v="0"/>
    <x v="17"/>
    <x v="3"/>
    <x v="2"/>
    <x v="0"/>
    <n v="0"/>
  </r>
  <r>
    <x v="0"/>
    <x v="0"/>
    <x v="0"/>
    <x v="17"/>
    <x v="3"/>
    <x v="2"/>
    <x v="1"/>
    <n v="0"/>
  </r>
  <r>
    <x v="0"/>
    <x v="0"/>
    <x v="0"/>
    <x v="17"/>
    <x v="3"/>
    <x v="2"/>
    <x v="2"/>
    <n v="0"/>
  </r>
  <r>
    <x v="0"/>
    <x v="0"/>
    <x v="0"/>
    <x v="17"/>
    <x v="3"/>
    <x v="2"/>
    <x v="3"/>
    <n v="0"/>
  </r>
  <r>
    <x v="0"/>
    <x v="0"/>
    <x v="0"/>
    <x v="17"/>
    <x v="3"/>
    <x v="2"/>
    <x v="4"/>
    <n v="0"/>
  </r>
  <r>
    <x v="0"/>
    <x v="0"/>
    <x v="0"/>
    <x v="17"/>
    <x v="3"/>
    <x v="2"/>
    <x v="5"/>
    <n v="0"/>
  </r>
  <r>
    <x v="0"/>
    <x v="0"/>
    <x v="0"/>
    <x v="17"/>
    <x v="3"/>
    <x v="2"/>
    <x v="6"/>
    <n v="0"/>
  </r>
  <r>
    <x v="0"/>
    <x v="0"/>
    <x v="0"/>
    <x v="17"/>
    <x v="3"/>
    <x v="2"/>
    <x v="7"/>
    <n v="0"/>
  </r>
  <r>
    <x v="0"/>
    <x v="0"/>
    <x v="0"/>
    <x v="17"/>
    <x v="3"/>
    <x v="2"/>
    <x v="8"/>
    <n v="0"/>
  </r>
  <r>
    <x v="0"/>
    <x v="0"/>
    <x v="0"/>
    <x v="17"/>
    <x v="3"/>
    <x v="2"/>
    <x v="9"/>
    <n v="0"/>
  </r>
  <r>
    <x v="0"/>
    <x v="0"/>
    <x v="0"/>
    <x v="17"/>
    <x v="3"/>
    <x v="2"/>
    <x v="10"/>
    <n v="0"/>
  </r>
  <r>
    <x v="0"/>
    <x v="0"/>
    <x v="0"/>
    <x v="17"/>
    <x v="3"/>
    <x v="2"/>
    <x v="11"/>
    <n v="0"/>
  </r>
  <r>
    <x v="0"/>
    <x v="0"/>
    <x v="0"/>
    <x v="17"/>
    <x v="3"/>
    <x v="3"/>
    <x v="0"/>
    <n v="0"/>
  </r>
  <r>
    <x v="0"/>
    <x v="0"/>
    <x v="0"/>
    <x v="17"/>
    <x v="3"/>
    <x v="3"/>
    <x v="1"/>
    <n v="0"/>
  </r>
  <r>
    <x v="0"/>
    <x v="0"/>
    <x v="0"/>
    <x v="17"/>
    <x v="3"/>
    <x v="3"/>
    <x v="2"/>
    <n v="0"/>
  </r>
  <r>
    <x v="0"/>
    <x v="0"/>
    <x v="0"/>
    <x v="17"/>
    <x v="3"/>
    <x v="3"/>
    <x v="3"/>
    <n v="0"/>
  </r>
  <r>
    <x v="0"/>
    <x v="0"/>
    <x v="0"/>
    <x v="17"/>
    <x v="3"/>
    <x v="3"/>
    <x v="4"/>
    <n v="0"/>
  </r>
  <r>
    <x v="0"/>
    <x v="0"/>
    <x v="0"/>
    <x v="17"/>
    <x v="3"/>
    <x v="3"/>
    <x v="5"/>
    <n v="0"/>
  </r>
  <r>
    <x v="0"/>
    <x v="0"/>
    <x v="0"/>
    <x v="17"/>
    <x v="3"/>
    <x v="3"/>
    <x v="6"/>
    <n v="0"/>
  </r>
  <r>
    <x v="0"/>
    <x v="0"/>
    <x v="0"/>
    <x v="17"/>
    <x v="3"/>
    <x v="3"/>
    <x v="7"/>
    <n v="0"/>
  </r>
  <r>
    <x v="0"/>
    <x v="0"/>
    <x v="0"/>
    <x v="17"/>
    <x v="3"/>
    <x v="3"/>
    <x v="8"/>
    <n v="0"/>
  </r>
  <r>
    <x v="0"/>
    <x v="0"/>
    <x v="0"/>
    <x v="17"/>
    <x v="3"/>
    <x v="3"/>
    <x v="9"/>
    <n v="0"/>
  </r>
  <r>
    <x v="0"/>
    <x v="0"/>
    <x v="0"/>
    <x v="17"/>
    <x v="3"/>
    <x v="3"/>
    <x v="10"/>
    <n v="0"/>
  </r>
  <r>
    <x v="0"/>
    <x v="0"/>
    <x v="0"/>
    <x v="17"/>
    <x v="3"/>
    <x v="3"/>
    <x v="11"/>
    <n v="0"/>
  </r>
  <r>
    <x v="0"/>
    <x v="0"/>
    <x v="0"/>
    <x v="17"/>
    <x v="3"/>
    <x v="4"/>
    <x v="0"/>
    <n v="0"/>
  </r>
  <r>
    <x v="0"/>
    <x v="0"/>
    <x v="0"/>
    <x v="17"/>
    <x v="3"/>
    <x v="4"/>
    <x v="1"/>
    <n v="0"/>
  </r>
  <r>
    <x v="0"/>
    <x v="0"/>
    <x v="0"/>
    <x v="17"/>
    <x v="3"/>
    <x v="4"/>
    <x v="2"/>
    <n v="0"/>
  </r>
  <r>
    <x v="0"/>
    <x v="0"/>
    <x v="0"/>
    <x v="17"/>
    <x v="3"/>
    <x v="4"/>
    <x v="3"/>
    <n v="0"/>
  </r>
  <r>
    <x v="0"/>
    <x v="0"/>
    <x v="0"/>
    <x v="17"/>
    <x v="3"/>
    <x v="4"/>
    <x v="4"/>
    <n v="0"/>
  </r>
  <r>
    <x v="0"/>
    <x v="0"/>
    <x v="0"/>
    <x v="17"/>
    <x v="3"/>
    <x v="4"/>
    <x v="5"/>
    <n v="0"/>
  </r>
  <r>
    <x v="0"/>
    <x v="0"/>
    <x v="0"/>
    <x v="17"/>
    <x v="3"/>
    <x v="4"/>
    <x v="6"/>
    <n v="0"/>
  </r>
  <r>
    <x v="0"/>
    <x v="0"/>
    <x v="0"/>
    <x v="17"/>
    <x v="3"/>
    <x v="4"/>
    <x v="7"/>
    <n v="0"/>
  </r>
  <r>
    <x v="0"/>
    <x v="0"/>
    <x v="0"/>
    <x v="17"/>
    <x v="3"/>
    <x v="4"/>
    <x v="8"/>
    <n v="0"/>
  </r>
  <r>
    <x v="0"/>
    <x v="0"/>
    <x v="0"/>
    <x v="17"/>
    <x v="3"/>
    <x v="4"/>
    <x v="9"/>
    <n v="0"/>
  </r>
  <r>
    <x v="0"/>
    <x v="0"/>
    <x v="0"/>
    <x v="17"/>
    <x v="3"/>
    <x v="4"/>
    <x v="10"/>
    <n v="0"/>
  </r>
  <r>
    <x v="0"/>
    <x v="0"/>
    <x v="0"/>
    <x v="17"/>
    <x v="3"/>
    <x v="4"/>
    <x v="11"/>
    <n v="0"/>
  </r>
  <r>
    <x v="0"/>
    <x v="0"/>
    <x v="0"/>
    <x v="17"/>
    <x v="3"/>
    <x v="5"/>
    <x v="0"/>
    <n v="0"/>
  </r>
  <r>
    <x v="0"/>
    <x v="0"/>
    <x v="0"/>
    <x v="17"/>
    <x v="3"/>
    <x v="5"/>
    <x v="1"/>
    <n v="0"/>
  </r>
  <r>
    <x v="0"/>
    <x v="0"/>
    <x v="0"/>
    <x v="17"/>
    <x v="3"/>
    <x v="5"/>
    <x v="2"/>
    <n v="0"/>
  </r>
  <r>
    <x v="0"/>
    <x v="0"/>
    <x v="0"/>
    <x v="17"/>
    <x v="3"/>
    <x v="5"/>
    <x v="3"/>
    <n v="0"/>
  </r>
  <r>
    <x v="0"/>
    <x v="0"/>
    <x v="0"/>
    <x v="17"/>
    <x v="3"/>
    <x v="5"/>
    <x v="4"/>
    <n v="0"/>
  </r>
  <r>
    <x v="0"/>
    <x v="0"/>
    <x v="0"/>
    <x v="17"/>
    <x v="3"/>
    <x v="5"/>
    <x v="5"/>
    <n v="0"/>
  </r>
  <r>
    <x v="0"/>
    <x v="0"/>
    <x v="0"/>
    <x v="17"/>
    <x v="3"/>
    <x v="5"/>
    <x v="6"/>
    <n v="0"/>
  </r>
  <r>
    <x v="0"/>
    <x v="0"/>
    <x v="0"/>
    <x v="17"/>
    <x v="3"/>
    <x v="5"/>
    <x v="7"/>
    <n v="0"/>
  </r>
  <r>
    <x v="0"/>
    <x v="0"/>
    <x v="0"/>
    <x v="17"/>
    <x v="3"/>
    <x v="5"/>
    <x v="8"/>
    <n v="0"/>
  </r>
  <r>
    <x v="0"/>
    <x v="0"/>
    <x v="0"/>
    <x v="17"/>
    <x v="3"/>
    <x v="5"/>
    <x v="9"/>
    <n v="0"/>
  </r>
  <r>
    <x v="0"/>
    <x v="0"/>
    <x v="0"/>
    <x v="17"/>
    <x v="3"/>
    <x v="5"/>
    <x v="10"/>
    <n v="0"/>
  </r>
  <r>
    <x v="0"/>
    <x v="0"/>
    <x v="0"/>
    <x v="17"/>
    <x v="3"/>
    <x v="5"/>
    <x v="11"/>
    <n v="0"/>
  </r>
  <r>
    <x v="0"/>
    <x v="0"/>
    <x v="0"/>
    <x v="17"/>
    <x v="3"/>
    <x v="6"/>
    <x v="0"/>
    <n v="0"/>
  </r>
  <r>
    <x v="0"/>
    <x v="0"/>
    <x v="0"/>
    <x v="17"/>
    <x v="3"/>
    <x v="6"/>
    <x v="1"/>
    <n v="0"/>
  </r>
  <r>
    <x v="0"/>
    <x v="0"/>
    <x v="0"/>
    <x v="17"/>
    <x v="3"/>
    <x v="6"/>
    <x v="2"/>
    <n v="0"/>
  </r>
  <r>
    <x v="0"/>
    <x v="0"/>
    <x v="0"/>
    <x v="17"/>
    <x v="3"/>
    <x v="6"/>
    <x v="3"/>
    <n v="0"/>
  </r>
  <r>
    <x v="0"/>
    <x v="0"/>
    <x v="0"/>
    <x v="17"/>
    <x v="3"/>
    <x v="6"/>
    <x v="4"/>
    <n v="0"/>
  </r>
  <r>
    <x v="0"/>
    <x v="0"/>
    <x v="0"/>
    <x v="17"/>
    <x v="3"/>
    <x v="6"/>
    <x v="5"/>
    <n v="0"/>
  </r>
  <r>
    <x v="0"/>
    <x v="0"/>
    <x v="0"/>
    <x v="17"/>
    <x v="3"/>
    <x v="6"/>
    <x v="6"/>
    <n v="0"/>
  </r>
  <r>
    <x v="0"/>
    <x v="0"/>
    <x v="0"/>
    <x v="17"/>
    <x v="3"/>
    <x v="6"/>
    <x v="7"/>
    <n v="0"/>
  </r>
  <r>
    <x v="0"/>
    <x v="0"/>
    <x v="0"/>
    <x v="17"/>
    <x v="3"/>
    <x v="6"/>
    <x v="8"/>
    <n v="0"/>
  </r>
  <r>
    <x v="0"/>
    <x v="0"/>
    <x v="0"/>
    <x v="17"/>
    <x v="3"/>
    <x v="6"/>
    <x v="9"/>
    <n v="0"/>
  </r>
  <r>
    <x v="0"/>
    <x v="0"/>
    <x v="0"/>
    <x v="17"/>
    <x v="3"/>
    <x v="6"/>
    <x v="10"/>
    <n v="0"/>
  </r>
  <r>
    <x v="0"/>
    <x v="0"/>
    <x v="0"/>
    <x v="17"/>
    <x v="3"/>
    <x v="6"/>
    <x v="11"/>
    <n v="0"/>
  </r>
  <r>
    <x v="0"/>
    <x v="0"/>
    <x v="0"/>
    <x v="17"/>
    <x v="3"/>
    <x v="7"/>
    <x v="0"/>
    <n v="0"/>
  </r>
  <r>
    <x v="0"/>
    <x v="0"/>
    <x v="0"/>
    <x v="17"/>
    <x v="3"/>
    <x v="7"/>
    <x v="1"/>
    <n v="0"/>
  </r>
  <r>
    <x v="0"/>
    <x v="0"/>
    <x v="0"/>
    <x v="17"/>
    <x v="3"/>
    <x v="7"/>
    <x v="2"/>
    <n v="0"/>
  </r>
  <r>
    <x v="0"/>
    <x v="0"/>
    <x v="0"/>
    <x v="17"/>
    <x v="3"/>
    <x v="7"/>
    <x v="3"/>
    <n v="0"/>
  </r>
  <r>
    <x v="0"/>
    <x v="0"/>
    <x v="0"/>
    <x v="17"/>
    <x v="3"/>
    <x v="7"/>
    <x v="4"/>
    <n v="0"/>
  </r>
  <r>
    <x v="0"/>
    <x v="0"/>
    <x v="0"/>
    <x v="17"/>
    <x v="3"/>
    <x v="7"/>
    <x v="5"/>
    <n v="0"/>
  </r>
  <r>
    <x v="0"/>
    <x v="0"/>
    <x v="0"/>
    <x v="17"/>
    <x v="3"/>
    <x v="7"/>
    <x v="6"/>
    <n v="0"/>
  </r>
  <r>
    <x v="0"/>
    <x v="0"/>
    <x v="0"/>
    <x v="17"/>
    <x v="3"/>
    <x v="7"/>
    <x v="7"/>
    <n v="0"/>
  </r>
  <r>
    <x v="0"/>
    <x v="0"/>
    <x v="0"/>
    <x v="17"/>
    <x v="3"/>
    <x v="7"/>
    <x v="8"/>
    <n v="0"/>
  </r>
  <r>
    <x v="0"/>
    <x v="0"/>
    <x v="0"/>
    <x v="17"/>
    <x v="3"/>
    <x v="7"/>
    <x v="9"/>
    <n v="0"/>
  </r>
  <r>
    <x v="0"/>
    <x v="0"/>
    <x v="0"/>
    <x v="17"/>
    <x v="3"/>
    <x v="7"/>
    <x v="10"/>
    <n v="0"/>
  </r>
  <r>
    <x v="0"/>
    <x v="0"/>
    <x v="0"/>
    <x v="17"/>
    <x v="3"/>
    <x v="7"/>
    <x v="11"/>
    <n v="0"/>
  </r>
  <r>
    <x v="0"/>
    <x v="0"/>
    <x v="0"/>
    <x v="17"/>
    <x v="3"/>
    <x v="8"/>
    <x v="0"/>
    <n v="-1.2837149284451199"/>
  </r>
  <r>
    <x v="0"/>
    <x v="0"/>
    <x v="0"/>
    <x v="17"/>
    <x v="3"/>
    <x v="8"/>
    <x v="1"/>
    <n v="-1.27160793103964"/>
  </r>
  <r>
    <x v="0"/>
    <x v="0"/>
    <x v="0"/>
    <x v="17"/>
    <x v="3"/>
    <x v="8"/>
    <x v="2"/>
    <n v="-1.34357395594024"/>
  </r>
  <r>
    <x v="0"/>
    <x v="0"/>
    <x v="0"/>
    <x v="17"/>
    <x v="3"/>
    <x v="8"/>
    <x v="3"/>
    <n v="-1.2645201861654001"/>
  </r>
  <r>
    <x v="0"/>
    <x v="0"/>
    <x v="0"/>
    <x v="17"/>
    <x v="3"/>
    <x v="8"/>
    <x v="4"/>
    <n v="-1.2136622267556001"/>
  </r>
  <r>
    <x v="0"/>
    <x v="0"/>
    <x v="0"/>
    <x v="17"/>
    <x v="3"/>
    <x v="8"/>
    <x v="5"/>
    <n v="-5.5787160795289302E-2"/>
  </r>
  <r>
    <x v="0"/>
    <x v="0"/>
    <x v="0"/>
    <x v="17"/>
    <x v="3"/>
    <x v="8"/>
    <x v="6"/>
    <n v="-1.0682246504381301"/>
  </r>
  <r>
    <x v="0"/>
    <x v="0"/>
    <x v="0"/>
    <x v="17"/>
    <x v="3"/>
    <x v="8"/>
    <x v="7"/>
    <n v="0"/>
  </r>
  <r>
    <x v="0"/>
    <x v="0"/>
    <x v="0"/>
    <x v="17"/>
    <x v="3"/>
    <x v="8"/>
    <x v="8"/>
    <n v="0"/>
  </r>
  <r>
    <x v="0"/>
    <x v="0"/>
    <x v="0"/>
    <x v="17"/>
    <x v="3"/>
    <x v="8"/>
    <x v="9"/>
    <n v="0"/>
  </r>
  <r>
    <x v="0"/>
    <x v="0"/>
    <x v="0"/>
    <x v="17"/>
    <x v="3"/>
    <x v="8"/>
    <x v="10"/>
    <n v="-0.51125277540199798"/>
  </r>
  <r>
    <x v="0"/>
    <x v="0"/>
    <x v="0"/>
    <x v="17"/>
    <x v="3"/>
    <x v="8"/>
    <x v="11"/>
    <n v="-0.59874024294726602"/>
  </r>
  <r>
    <x v="0"/>
    <x v="0"/>
    <x v="0"/>
    <x v="17"/>
    <x v="3"/>
    <x v="9"/>
    <x v="0"/>
    <n v="-1.5782113304793299"/>
  </r>
  <r>
    <x v="0"/>
    <x v="0"/>
    <x v="0"/>
    <x v="17"/>
    <x v="3"/>
    <x v="9"/>
    <x v="1"/>
    <n v="-1.60008665289744"/>
  </r>
  <r>
    <x v="0"/>
    <x v="0"/>
    <x v="0"/>
    <x v="17"/>
    <x v="3"/>
    <x v="9"/>
    <x v="2"/>
    <n v="-1.55260648639531"/>
  </r>
  <r>
    <x v="0"/>
    <x v="0"/>
    <x v="0"/>
    <x v="17"/>
    <x v="3"/>
    <x v="9"/>
    <x v="3"/>
    <n v="-1.46909317889133"/>
  </r>
  <r>
    <x v="0"/>
    <x v="0"/>
    <x v="0"/>
    <x v="17"/>
    <x v="3"/>
    <x v="9"/>
    <x v="4"/>
    <n v="-1.25505602877931"/>
  </r>
  <r>
    <x v="0"/>
    <x v="0"/>
    <x v="0"/>
    <x v="17"/>
    <x v="3"/>
    <x v="9"/>
    <x v="5"/>
    <n v="-1.69750629638456E-2"/>
  </r>
  <r>
    <x v="0"/>
    <x v="0"/>
    <x v="0"/>
    <x v="17"/>
    <x v="3"/>
    <x v="9"/>
    <x v="6"/>
    <n v="0"/>
  </r>
  <r>
    <x v="0"/>
    <x v="0"/>
    <x v="0"/>
    <x v="17"/>
    <x v="3"/>
    <x v="9"/>
    <x v="7"/>
    <n v="0"/>
  </r>
  <r>
    <x v="0"/>
    <x v="0"/>
    <x v="0"/>
    <x v="17"/>
    <x v="3"/>
    <x v="9"/>
    <x v="8"/>
    <n v="0"/>
  </r>
  <r>
    <x v="0"/>
    <x v="0"/>
    <x v="0"/>
    <x v="17"/>
    <x v="3"/>
    <x v="9"/>
    <x v="9"/>
    <n v="0"/>
  </r>
  <r>
    <x v="0"/>
    <x v="0"/>
    <x v="0"/>
    <x v="17"/>
    <x v="3"/>
    <x v="9"/>
    <x v="10"/>
    <n v="-0.28422105040666401"/>
  </r>
  <r>
    <x v="0"/>
    <x v="0"/>
    <x v="0"/>
    <x v="17"/>
    <x v="3"/>
    <x v="9"/>
    <x v="11"/>
    <n v="-0.50003461259519999"/>
  </r>
  <r>
    <x v="0"/>
    <x v="0"/>
    <x v="0"/>
    <x v="17"/>
    <x v="3"/>
    <x v="10"/>
    <x v="0"/>
    <n v="-2.7762043194889801"/>
  </r>
  <r>
    <x v="0"/>
    <x v="0"/>
    <x v="0"/>
    <x v="17"/>
    <x v="3"/>
    <x v="10"/>
    <x v="1"/>
    <n v="-2.7629077607416899"/>
  </r>
  <r>
    <x v="0"/>
    <x v="0"/>
    <x v="0"/>
    <x v="17"/>
    <x v="3"/>
    <x v="10"/>
    <x v="2"/>
    <n v="-2.6427214741946501"/>
  </r>
  <r>
    <x v="0"/>
    <x v="0"/>
    <x v="0"/>
    <x v="17"/>
    <x v="3"/>
    <x v="10"/>
    <x v="3"/>
    <n v="-2.6255571581413499"/>
  </r>
  <r>
    <x v="0"/>
    <x v="0"/>
    <x v="0"/>
    <x v="17"/>
    <x v="3"/>
    <x v="10"/>
    <x v="4"/>
    <n v="-2.4722553259579598"/>
  </r>
  <r>
    <x v="0"/>
    <x v="0"/>
    <x v="0"/>
    <x v="17"/>
    <x v="3"/>
    <x v="10"/>
    <x v="5"/>
    <n v="-1.9691977004048"/>
  </r>
  <r>
    <x v="0"/>
    <x v="0"/>
    <x v="0"/>
    <x v="17"/>
    <x v="3"/>
    <x v="10"/>
    <x v="6"/>
    <n v="-3.0040193475625201"/>
  </r>
  <r>
    <x v="0"/>
    <x v="0"/>
    <x v="0"/>
    <x v="17"/>
    <x v="3"/>
    <x v="10"/>
    <x v="7"/>
    <n v="-0.75991337527548197"/>
  </r>
  <r>
    <x v="0"/>
    <x v="0"/>
    <x v="0"/>
    <x v="17"/>
    <x v="3"/>
    <x v="10"/>
    <x v="8"/>
    <n v="-0.57623604229247405"/>
  </r>
  <r>
    <x v="0"/>
    <x v="0"/>
    <x v="0"/>
    <x v="17"/>
    <x v="3"/>
    <x v="10"/>
    <x v="9"/>
    <n v="-0.60796791756435098"/>
  </r>
  <r>
    <x v="0"/>
    <x v="0"/>
    <x v="0"/>
    <x v="17"/>
    <x v="3"/>
    <x v="10"/>
    <x v="10"/>
    <n v="-0.71761410878164"/>
  </r>
  <r>
    <x v="0"/>
    <x v="0"/>
    <x v="0"/>
    <x v="17"/>
    <x v="3"/>
    <x v="10"/>
    <x v="11"/>
    <n v="-0.247040238183827"/>
  </r>
  <r>
    <x v="0"/>
    <x v="0"/>
    <x v="0"/>
    <x v="17"/>
    <x v="3"/>
    <x v="11"/>
    <x v="0"/>
    <n v="-2.6971456529989499"/>
  </r>
  <r>
    <x v="0"/>
    <x v="0"/>
    <x v="0"/>
    <x v="17"/>
    <x v="3"/>
    <x v="11"/>
    <x v="1"/>
    <n v="-2.9185612192508601"/>
  </r>
  <r>
    <x v="0"/>
    <x v="0"/>
    <x v="0"/>
    <x v="17"/>
    <x v="3"/>
    <x v="11"/>
    <x v="2"/>
    <n v="-2.343438325108"/>
  </r>
  <r>
    <x v="0"/>
    <x v="0"/>
    <x v="0"/>
    <x v="17"/>
    <x v="3"/>
    <x v="11"/>
    <x v="3"/>
    <n v="-1.92852207135109"/>
  </r>
  <r>
    <x v="0"/>
    <x v="0"/>
    <x v="0"/>
    <x v="17"/>
    <x v="3"/>
    <x v="11"/>
    <x v="4"/>
    <n v="-2.84097997254722"/>
  </r>
  <r>
    <x v="0"/>
    <x v="0"/>
    <x v="0"/>
    <x v="17"/>
    <x v="3"/>
    <x v="11"/>
    <x v="5"/>
    <n v="-2.7154367113129299"/>
  </r>
  <r>
    <x v="0"/>
    <x v="0"/>
    <x v="0"/>
    <x v="17"/>
    <x v="3"/>
    <x v="11"/>
    <x v="6"/>
    <n v="-2.46423968030915"/>
  </r>
  <r>
    <x v="0"/>
    <x v="0"/>
    <x v="0"/>
    <x v="17"/>
    <x v="3"/>
    <x v="11"/>
    <x v="7"/>
    <n v="-0.810143479176612"/>
  </r>
  <r>
    <x v="0"/>
    <x v="0"/>
    <x v="0"/>
    <x v="17"/>
    <x v="3"/>
    <x v="11"/>
    <x v="8"/>
    <n v="-0.49950144277172298"/>
  </r>
  <r>
    <x v="0"/>
    <x v="0"/>
    <x v="0"/>
    <x v="17"/>
    <x v="3"/>
    <x v="11"/>
    <x v="9"/>
    <n v="-0.34990793212689802"/>
  </r>
  <r>
    <x v="0"/>
    <x v="0"/>
    <x v="0"/>
    <x v="17"/>
    <x v="3"/>
    <x v="11"/>
    <x v="10"/>
    <n v="-0.348001268410422"/>
  </r>
  <r>
    <x v="0"/>
    <x v="0"/>
    <x v="0"/>
    <x v="17"/>
    <x v="3"/>
    <x v="11"/>
    <x v="11"/>
    <n v="-0.31187041688740103"/>
  </r>
  <r>
    <x v="0"/>
    <x v="0"/>
    <x v="0"/>
    <x v="18"/>
    <x v="10"/>
    <x v="0"/>
    <x v="0"/>
    <n v="0"/>
  </r>
  <r>
    <x v="0"/>
    <x v="0"/>
    <x v="0"/>
    <x v="18"/>
    <x v="10"/>
    <x v="0"/>
    <x v="1"/>
    <n v="0"/>
  </r>
  <r>
    <x v="0"/>
    <x v="0"/>
    <x v="0"/>
    <x v="18"/>
    <x v="10"/>
    <x v="0"/>
    <x v="2"/>
    <n v="0"/>
  </r>
  <r>
    <x v="0"/>
    <x v="0"/>
    <x v="0"/>
    <x v="18"/>
    <x v="10"/>
    <x v="0"/>
    <x v="3"/>
    <n v="0"/>
  </r>
  <r>
    <x v="0"/>
    <x v="0"/>
    <x v="0"/>
    <x v="18"/>
    <x v="10"/>
    <x v="0"/>
    <x v="4"/>
    <n v="0"/>
  </r>
  <r>
    <x v="0"/>
    <x v="0"/>
    <x v="0"/>
    <x v="18"/>
    <x v="10"/>
    <x v="0"/>
    <x v="5"/>
    <n v="0"/>
  </r>
  <r>
    <x v="0"/>
    <x v="0"/>
    <x v="0"/>
    <x v="18"/>
    <x v="10"/>
    <x v="0"/>
    <x v="6"/>
    <n v="0"/>
  </r>
  <r>
    <x v="0"/>
    <x v="0"/>
    <x v="0"/>
    <x v="18"/>
    <x v="10"/>
    <x v="0"/>
    <x v="7"/>
    <n v="0"/>
  </r>
  <r>
    <x v="0"/>
    <x v="0"/>
    <x v="0"/>
    <x v="18"/>
    <x v="10"/>
    <x v="0"/>
    <x v="8"/>
    <n v="0"/>
  </r>
  <r>
    <x v="0"/>
    <x v="0"/>
    <x v="0"/>
    <x v="18"/>
    <x v="10"/>
    <x v="0"/>
    <x v="9"/>
    <n v="0"/>
  </r>
  <r>
    <x v="0"/>
    <x v="0"/>
    <x v="0"/>
    <x v="18"/>
    <x v="10"/>
    <x v="0"/>
    <x v="10"/>
    <n v="0"/>
  </r>
  <r>
    <x v="0"/>
    <x v="0"/>
    <x v="0"/>
    <x v="18"/>
    <x v="10"/>
    <x v="0"/>
    <x v="11"/>
    <n v="0"/>
  </r>
  <r>
    <x v="0"/>
    <x v="0"/>
    <x v="0"/>
    <x v="18"/>
    <x v="10"/>
    <x v="1"/>
    <x v="0"/>
    <n v="0"/>
  </r>
  <r>
    <x v="0"/>
    <x v="0"/>
    <x v="0"/>
    <x v="18"/>
    <x v="10"/>
    <x v="1"/>
    <x v="1"/>
    <n v="0"/>
  </r>
  <r>
    <x v="0"/>
    <x v="0"/>
    <x v="0"/>
    <x v="18"/>
    <x v="10"/>
    <x v="1"/>
    <x v="2"/>
    <n v="0"/>
  </r>
  <r>
    <x v="0"/>
    <x v="0"/>
    <x v="0"/>
    <x v="18"/>
    <x v="10"/>
    <x v="1"/>
    <x v="3"/>
    <n v="0"/>
  </r>
  <r>
    <x v="0"/>
    <x v="0"/>
    <x v="0"/>
    <x v="18"/>
    <x v="10"/>
    <x v="1"/>
    <x v="4"/>
    <n v="0"/>
  </r>
  <r>
    <x v="0"/>
    <x v="0"/>
    <x v="0"/>
    <x v="18"/>
    <x v="10"/>
    <x v="1"/>
    <x v="5"/>
    <n v="0"/>
  </r>
  <r>
    <x v="0"/>
    <x v="0"/>
    <x v="0"/>
    <x v="18"/>
    <x v="10"/>
    <x v="1"/>
    <x v="6"/>
    <n v="0"/>
  </r>
  <r>
    <x v="0"/>
    <x v="0"/>
    <x v="0"/>
    <x v="18"/>
    <x v="10"/>
    <x v="1"/>
    <x v="7"/>
    <n v="0"/>
  </r>
  <r>
    <x v="0"/>
    <x v="0"/>
    <x v="0"/>
    <x v="18"/>
    <x v="10"/>
    <x v="1"/>
    <x v="8"/>
    <n v="0"/>
  </r>
  <r>
    <x v="0"/>
    <x v="0"/>
    <x v="0"/>
    <x v="18"/>
    <x v="10"/>
    <x v="1"/>
    <x v="9"/>
    <n v="0"/>
  </r>
  <r>
    <x v="0"/>
    <x v="0"/>
    <x v="0"/>
    <x v="18"/>
    <x v="10"/>
    <x v="1"/>
    <x v="10"/>
    <n v="0"/>
  </r>
  <r>
    <x v="0"/>
    <x v="0"/>
    <x v="0"/>
    <x v="18"/>
    <x v="10"/>
    <x v="1"/>
    <x v="11"/>
    <n v="0"/>
  </r>
  <r>
    <x v="0"/>
    <x v="0"/>
    <x v="0"/>
    <x v="18"/>
    <x v="10"/>
    <x v="2"/>
    <x v="0"/>
    <n v="0"/>
  </r>
  <r>
    <x v="0"/>
    <x v="0"/>
    <x v="0"/>
    <x v="18"/>
    <x v="10"/>
    <x v="2"/>
    <x v="1"/>
    <n v="0"/>
  </r>
  <r>
    <x v="0"/>
    <x v="0"/>
    <x v="0"/>
    <x v="18"/>
    <x v="10"/>
    <x v="2"/>
    <x v="2"/>
    <n v="0"/>
  </r>
  <r>
    <x v="0"/>
    <x v="0"/>
    <x v="0"/>
    <x v="18"/>
    <x v="10"/>
    <x v="2"/>
    <x v="3"/>
    <n v="0"/>
  </r>
  <r>
    <x v="0"/>
    <x v="0"/>
    <x v="0"/>
    <x v="18"/>
    <x v="10"/>
    <x v="2"/>
    <x v="4"/>
    <n v="0"/>
  </r>
  <r>
    <x v="0"/>
    <x v="0"/>
    <x v="0"/>
    <x v="18"/>
    <x v="10"/>
    <x v="2"/>
    <x v="5"/>
    <n v="0"/>
  </r>
  <r>
    <x v="0"/>
    <x v="0"/>
    <x v="0"/>
    <x v="18"/>
    <x v="10"/>
    <x v="2"/>
    <x v="6"/>
    <n v="0"/>
  </r>
  <r>
    <x v="0"/>
    <x v="0"/>
    <x v="0"/>
    <x v="18"/>
    <x v="10"/>
    <x v="2"/>
    <x v="7"/>
    <n v="0"/>
  </r>
  <r>
    <x v="0"/>
    <x v="0"/>
    <x v="0"/>
    <x v="18"/>
    <x v="10"/>
    <x v="2"/>
    <x v="8"/>
    <n v="0"/>
  </r>
  <r>
    <x v="0"/>
    <x v="0"/>
    <x v="0"/>
    <x v="18"/>
    <x v="10"/>
    <x v="2"/>
    <x v="9"/>
    <n v="0"/>
  </r>
  <r>
    <x v="0"/>
    <x v="0"/>
    <x v="0"/>
    <x v="18"/>
    <x v="10"/>
    <x v="2"/>
    <x v="10"/>
    <n v="0"/>
  </r>
  <r>
    <x v="0"/>
    <x v="0"/>
    <x v="0"/>
    <x v="18"/>
    <x v="10"/>
    <x v="2"/>
    <x v="11"/>
    <n v="0"/>
  </r>
  <r>
    <x v="0"/>
    <x v="0"/>
    <x v="0"/>
    <x v="18"/>
    <x v="10"/>
    <x v="3"/>
    <x v="0"/>
    <n v="0"/>
  </r>
  <r>
    <x v="0"/>
    <x v="0"/>
    <x v="0"/>
    <x v="18"/>
    <x v="10"/>
    <x v="3"/>
    <x v="1"/>
    <n v="0"/>
  </r>
  <r>
    <x v="0"/>
    <x v="0"/>
    <x v="0"/>
    <x v="18"/>
    <x v="10"/>
    <x v="3"/>
    <x v="2"/>
    <n v="0"/>
  </r>
  <r>
    <x v="0"/>
    <x v="0"/>
    <x v="0"/>
    <x v="18"/>
    <x v="10"/>
    <x v="3"/>
    <x v="3"/>
    <n v="0"/>
  </r>
  <r>
    <x v="0"/>
    <x v="0"/>
    <x v="0"/>
    <x v="18"/>
    <x v="10"/>
    <x v="3"/>
    <x v="4"/>
    <n v="0"/>
  </r>
  <r>
    <x v="0"/>
    <x v="0"/>
    <x v="0"/>
    <x v="18"/>
    <x v="10"/>
    <x v="3"/>
    <x v="5"/>
    <n v="0"/>
  </r>
  <r>
    <x v="0"/>
    <x v="0"/>
    <x v="0"/>
    <x v="18"/>
    <x v="10"/>
    <x v="3"/>
    <x v="6"/>
    <n v="0"/>
  </r>
  <r>
    <x v="0"/>
    <x v="0"/>
    <x v="0"/>
    <x v="18"/>
    <x v="10"/>
    <x v="3"/>
    <x v="7"/>
    <n v="0"/>
  </r>
  <r>
    <x v="0"/>
    <x v="0"/>
    <x v="0"/>
    <x v="18"/>
    <x v="10"/>
    <x v="3"/>
    <x v="8"/>
    <n v="0"/>
  </r>
  <r>
    <x v="0"/>
    <x v="0"/>
    <x v="0"/>
    <x v="18"/>
    <x v="10"/>
    <x v="3"/>
    <x v="9"/>
    <n v="0"/>
  </r>
  <r>
    <x v="0"/>
    <x v="0"/>
    <x v="0"/>
    <x v="18"/>
    <x v="10"/>
    <x v="3"/>
    <x v="10"/>
    <n v="0"/>
  </r>
  <r>
    <x v="0"/>
    <x v="0"/>
    <x v="0"/>
    <x v="18"/>
    <x v="10"/>
    <x v="3"/>
    <x v="11"/>
    <n v="0"/>
  </r>
  <r>
    <x v="0"/>
    <x v="0"/>
    <x v="0"/>
    <x v="18"/>
    <x v="10"/>
    <x v="4"/>
    <x v="0"/>
    <n v="0"/>
  </r>
  <r>
    <x v="0"/>
    <x v="0"/>
    <x v="0"/>
    <x v="18"/>
    <x v="10"/>
    <x v="4"/>
    <x v="1"/>
    <n v="0"/>
  </r>
  <r>
    <x v="0"/>
    <x v="0"/>
    <x v="0"/>
    <x v="18"/>
    <x v="10"/>
    <x v="4"/>
    <x v="2"/>
    <n v="0"/>
  </r>
  <r>
    <x v="0"/>
    <x v="0"/>
    <x v="0"/>
    <x v="18"/>
    <x v="10"/>
    <x v="4"/>
    <x v="3"/>
    <n v="0"/>
  </r>
  <r>
    <x v="0"/>
    <x v="0"/>
    <x v="0"/>
    <x v="18"/>
    <x v="10"/>
    <x v="4"/>
    <x v="4"/>
    <n v="0"/>
  </r>
  <r>
    <x v="0"/>
    <x v="0"/>
    <x v="0"/>
    <x v="18"/>
    <x v="10"/>
    <x v="4"/>
    <x v="5"/>
    <n v="0"/>
  </r>
  <r>
    <x v="0"/>
    <x v="0"/>
    <x v="0"/>
    <x v="18"/>
    <x v="10"/>
    <x v="4"/>
    <x v="6"/>
    <n v="0"/>
  </r>
  <r>
    <x v="0"/>
    <x v="0"/>
    <x v="0"/>
    <x v="18"/>
    <x v="10"/>
    <x v="4"/>
    <x v="7"/>
    <n v="0"/>
  </r>
  <r>
    <x v="0"/>
    <x v="0"/>
    <x v="0"/>
    <x v="18"/>
    <x v="10"/>
    <x v="4"/>
    <x v="8"/>
    <n v="0"/>
  </r>
  <r>
    <x v="0"/>
    <x v="0"/>
    <x v="0"/>
    <x v="18"/>
    <x v="10"/>
    <x v="4"/>
    <x v="9"/>
    <n v="0"/>
  </r>
  <r>
    <x v="0"/>
    <x v="0"/>
    <x v="0"/>
    <x v="18"/>
    <x v="10"/>
    <x v="4"/>
    <x v="10"/>
    <n v="0"/>
  </r>
  <r>
    <x v="0"/>
    <x v="0"/>
    <x v="0"/>
    <x v="18"/>
    <x v="10"/>
    <x v="4"/>
    <x v="11"/>
    <n v="0"/>
  </r>
  <r>
    <x v="0"/>
    <x v="0"/>
    <x v="0"/>
    <x v="18"/>
    <x v="10"/>
    <x v="5"/>
    <x v="0"/>
    <n v="0"/>
  </r>
  <r>
    <x v="0"/>
    <x v="0"/>
    <x v="0"/>
    <x v="18"/>
    <x v="10"/>
    <x v="5"/>
    <x v="1"/>
    <n v="0"/>
  </r>
  <r>
    <x v="0"/>
    <x v="0"/>
    <x v="0"/>
    <x v="18"/>
    <x v="10"/>
    <x v="5"/>
    <x v="2"/>
    <n v="0"/>
  </r>
  <r>
    <x v="0"/>
    <x v="0"/>
    <x v="0"/>
    <x v="18"/>
    <x v="10"/>
    <x v="5"/>
    <x v="3"/>
    <n v="0"/>
  </r>
  <r>
    <x v="0"/>
    <x v="0"/>
    <x v="0"/>
    <x v="18"/>
    <x v="10"/>
    <x v="5"/>
    <x v="4"/>
    <n v="0"/>
  </r>
  <r>
    <x v="0"/>
    <x v="0"/>
    <x v="0"/>
    <x v="18"/>
    <x v="10"/>
    <x v="5"/>
    <x v="5"/>
    <n v="0"/>
  </r>
  <r>
    <x v="0"/>
    <x v="0"/>
    <x v="0"/>
    <x v="18"/>
    <x v="10"/>
    <x v="5"/>
    <x v="6"/>
    <n v="0"/>
  </r>
  <r>
    <x v="0"/>
    <x v="0"/>
    <x v="0"/>
    <x v="18"/>
    <x v="10"/>
    <x v="5"/>
    <x v="7"/>
    <n v="0"/>
  </r>
  <r>
    <x v="0"/>
    <x v="0"/>
    <x v="0"/>
    <x v="18"/>
    <x v="10"/>
    <x v="5"/>
    <x v="8"/>
    <n v="0"/>
  </r>
  <r>
    <x v="0"/>
    <x v="0"/>
    <x v="0"/>
    <x v="18"/>
    <x v="10"/>
    <x v="5"/>
    <x v="9"/>
    <n v="0"/>
  </r>
  <r>
    <x v="0"/>
    <x v="0"/>
    <x v="0"/>
    <x v="18"/>
    <x v="10"/>
    <x v="5"/>
    <x v="10"/>
    <n v="0"/>
  </r>
  <r>
    <x v="0"/>
    <x v="0"/>
    <x v="0"/>
    <x v="18"/>
    <x v="10"/>
    <x v="5"/>
    <x v="11"/>
    <n v="0"/>
  </r>
  <r>
    <x v="0"/>
    <x v="0"/>
    <x v="0"/>
    <x v="18"/>
    <x v="10"/>
    <x v="6"/>
    <x v="0"/>
    <n v="0"/>
  </r>
  <r>
    <x v="0"/>
    <x v="0"/>
    <x v="0"/>
    <x v="18"/>
    <x v="10"/>
    <x v="6"/>
    <x v="1"/>
    <n v="0"/>
  </r>
  <r>
    <x v="0"/>
    <x v="0"/>
    <x v="0"/>
    <x v="18"/>
    <x v="10"/>
    <x v="6"/>
    <x v="2"/>
    <n v="0"/>
  </r>
  <r>
    <x v="0"/>
    <x v="0"/>
    <x v="0"/>
    <x v="18"/>
    <x v="10"/>
    <x v="6"/>
    <x v="3"/>
    <n v="0"/>
  </r>
  <r>
    <x v="0"/>
    <x v="0"/>
    <x v="0"/>
    <x v="18"/>
    <x v="10"/>
    <x v="6"/>
    <x v="4"/>
    <n v="0"/>
  </r>
  <r>
    <x v="0"/>
    <x v="0"/>
    <x v="0"/>
    <x v="18"/>
    <x v="10"/>
    <x v="6"/>
    <x v="5"/>
    <n v="0"/>
  </r>
  <r>
    <x v="0"/>
    <x v="0"/>
    <x v="0"/>
    <x v="18"/>
    <x v="10"/>
    <x v="6"/>
    <x v="6"/>
    <n v="0"/>
  </r>
  <r>
    <x v="0"/>
    <x v="0"/>
    <x v="0"/>
    <x v="18"/>
    <x v="10"/>
    <x v="6"/>
    <x v="7"/>
    <n v="0"/>
  </r>
  <r>
    <x v="0"/>
    <x v="0"/>
    <x v="0"/>
    <x v="18"/>
    <x v="10"/>
    <x v="6"/>
    <x v="8"/>
    <n v="0"/>
  </r>
  <r>
    <x v="0"/>
    <x v="0"/>
    <x v="0"/>
    <x v="18"/>
    <x v="10"/>
    <x v="6"/>
    <x v="9"/>
    <n v="0"/>
  </r>
  <r>
    <x v="0"/>
    <x v="0"/>
    <x v="0"/>
    <x v="18"/>
    <x v="10"/>
    <x v="6"/>
    <x v="10"/>
    <n v="0"/>
  </r>
  <r>
    <x v="0"/>
    <x v="0"/>
    <x v="0"/>
    <x v="18"/>
    <x v="10"/>
    <x v="6"/>
    <x v="11"/>
    <n v="0"/>
  </r>
  <r>
    <x v="0"/>
    <x v="0"/>
    <x v="0"/>
    <x v="18"/>
    <x v="10"/>
    <x v="7"/>
    <x v="0"/>
    <n v="0"/>
  </r>
  <r>
    <x v="0"/>
    <x v="0"/>
    <x v="0"/>
    <x v="18"/>
    <x v="10"/>
    <x v="7"/>
    <x v="1"/>
    <n v="0"/>
  </r>
  <r>
    <x v="0"/>
    <x v="0"/>
    <x v="0"/>
    <x v="18"/>
    <x v="10"/>
    <x v="7"/>
    <x v="2"/>
    <n v="0"/>
  </r>
  <r>
    <x v="0"/>
    <x v="0"/>
    <x v="0"/>
    <x v="18"/>
    <x v="10"/>
    <x v="7"/>
    <x v="3"/>
    <n v="0"/>
  </r>
  <r>
    <x v="0"/>
    <x v="0"/>
    <x v="0"/>
    <x v="18"/>
    <x v="10"/>
    <x v="7"/>
    <x v="4"/>
    <n v="0"/>
  </r>
  <r>
    <x v="0"/>
    <x v="0"/>
    <x v="0"/>
    <x v="18"/>
    <x v="10"/>
    <x v="7"/>
    <x v="5"/>
    <n v="0"/>
  </r>
  <r>
    <x v="0"/>
    <x v="0"/>
    <x v="0"/>
    <x v="18"/>
    <x v="10"/>
    <x v="7"/>
    <x v="6"/>
    <n v="0"/>
  </r>
  <r>
    <x v="0"/>
    <x v="0"/>
    <x v="0"/>
    <x v="18"/>
    <x v="10"/>
    <x v="7"/>
    <x v="7"/>
    <n v="0"/>
  </r>
  <r>
    <x v="0"/>
    <x v="0"/>
    <x v="0"/>
    <x v="18"/>
    <x v="10"/>
    <x v="7"/>
    <x v="8"/>
    <n v="0"/>
  </r>
  <r>
    <x v="0"/>
    <x v="0"/>
    <x v="0"/>
    <x v="18"/>
    <x v="10"/>
    <x v="7"/>
    <x v="9"/>
    <n v="0"/>
  </r>
  <r>
    <x v="0"/>
    <x v="0"/>
    <x v="0"/>
    <x v="18"/>
    <x v="10"/>
    <x v="7"/>
    <x v="10"/>
    <n v="0"/>
  </r>
  <r>
    <x v="0"/>
    <x v="0"/>
    <x v="0"/>
    <x v="18"/>
    <x v="10"/>
    <x v="7"/>
    <x v="11"/>
    <n v="0"/>
  </r>
  <r>
    <x v="0"/>
    <x v="0"/>
    <x v="0"/>
    <x v="18"/>
    <x v="10"/>
    <x v="8"/>
    <x v="0"/>
    <n v="0"/>
  </r>
  <r>
    <x v="0"/>
    <x v="0"/>
    <x v="0"/>
    <x v="18"/>
    <x v="10"/>
    <x v="8"/>
    <x v="1"/>
    <n v="0"/>
  </r>
  <r>
    <x v="0"/>
    <x v="0"/>
    <x v="0"/>
    <x v="18"/>
    <x v="10"/>
    <x v="8"/>
    <x v="2"/>
    <n v="0"/>
  </r>
  <r>
    <x v="0"/>
    <x v="0"/>
    <x v="0"/>
    <x v="18"/>
    <x v="10"/>
    <x v="8"/>
    <x v="3"/>
    <n v="0"/>
  </r>
  <r>
    <x v="0"/>
    <x v="0"/>
    <x v="0"/>
    <x v="18"/>
    <x v="10"/>
    <x v="8"/>
    <x v="4"/>
    <n v="0"/>
  </r>
  <r>
    <x v="0"/>
    <x v="0"/>
    <x v="0"/>
    <x v="18"/>
    <x v="10"/>
    <x v="8"/>
    <x v="5"/>
    <n v="0"/>
  </r>
  <r>
    <x v="0"/>
    <x v="0"/>
    <x v="0"/>
    <x v="18"/>
    <x v="10"/>
    <x v="8"/>
    <x v="6"/>
    <n v="0"/>
  </r>
  <r>
    <x v="0"/>
    <x v="0"/>
    <x v="0"/>
    <x v="18"/>
    <x v="10"/>
    <x v="8"/>
    <x v="7"/>
    <n v="0"/>
  </r>
  <r>
    <x v="0"/>
    <x v="0"/>
    <x v="0"/>
    <x v="18"/>
    <x v="10"/>
    <x v="8"/>
    <x v="8"/>
    <n v="0"/>
  </r>
  <r>
    <x v="0"/>
    <x v="0"/>
    <x v="0"/>
    <x v="18"/>
    <x v="10"/>
    <x v="8"/>
    <x v="9"/>
    <n v="0"/>
  </r>
  <r>
    <x v="0"/>
    <x v="0"/>
    <x v="0"/>
    <x v="18"/>
    <x v="10"/>
    <x v="8"/>
    <x v="10"/>
    <n v="0"/>
  </r>
  <r>
    <x v="0"/>
    <x v="0"/>
    <x v="0"/>
    <x v="18"/>
    <x v="10"/>
    <x v="8"/>
    <x v="11"/>
    <n v="0"/>
  </r>
  <r>
    <x v="0"/>
    <x v="0"/>
    <x v="0"/>
    <x v="18"/>
    <x v="10"/>
    <x v="9"/>
    <x v="0"/>
    <n v="0"/>
  </r>
  <r>
    <x v="0"/>
    <x v="0"/>
    <x v="0"/>
    <x v="18"/>
    <x v="10"/>
    <x v="9"/>
    <x v="1"/>
    <n v="0"/>
  </r>
  <r>
    <x v="0"/>
    <x v="0"/>
    <x v="0"/>
    <x v="18"/>
    <x v="10"/>
    <x v="9"/>
    <x v="2"/>
    <n v="0"/>
  </r>
  <r>
    <x v="0"/>
    <x v="0"/>
    <x v="0"/>
    <x v="18"/>
    <x v="10"/>
    <x v="9"/>
    <x v="3"/>
    <n v="0"/>
  </r>
  <r>
    <x v="0"/>
    <x v="0"/>
    <x v="0"/>
    <x v="18"/>
    <x v="10"/>
    <x v="9"/>
    <x v="4"/>
    <n v="0"/>
  </r>
  <r>
    <x v="0"/>
    <x v="0"/>
    <x v="0"/>
    <x v="18"/>
    <x v="10"/>
    <x v="9"/>
    <x v="5"/>
    <n v="0"/>
  </r>
  <r>
    <x v="0"/>
    <x v="0"/>
    <x v="0"/>
    <x v="18"/>
    <x v="10"/>
    <x v="9"/>
    <x v="6"/>
    <n v="0"/>
  </r>
  <r>
    <x v="0"/>
    <x v="0"/>
    <x v="0"/>
    <x v="18"/>
    <x v="10"/>
    <x v="9"/>
    <x v="7"/>
    <n v="0"/>
  </r>
  <r>
    <x v="0"/>
    <x v="0"/>
    <x v="0"/>
    <x v="18"/>
    <x v="10"/>
    <x v="9"/>
    <x v="8"/>
    <n v="0"/>
  </r>
  <r>
    <x v="0"/>
    <x v="0"/>
    <x v="0"/>
    <x v="18"/>
    <x v="10"/>
    <x v="9"/>
    <x v="9"/>
    <n v="0"/>
  </r>
  <r>
    <x v="0"/>
    <x v="0"/>
    <x v="0"/>
    <x v="18"/>
    <x v="10"/>
    <x v="9"/>
    <x v="10"/>
    <n v="0"/>
  </r>
  <r>
    <x v="0"/>
    <x v="0"/>
    <x v="0"/>
    <x v="18"/>
    <x v="10"/>
    <x v="9"/>
    <x v="11"/>
    <n v="0"/>
  </r>
  <r>
    <x v="0"/>
    <x v="0"/>
    <x v="0"/>
    <x v="18"/>
    <x v="10"/>
    <x v="10"/>
    <x v="0"/>
    <n v="0"/>
  </r>
  <r>
    <x v="0"/>
    <x v="0"/>
    <x v="0"/>
    <x v="18"/>
    <x v="10"/>
    <x v="10"/>
    <x v="1"/>
    <n v="0"/>
  </r>
  <r>
    <x v="0"/>
    <x v="0"/>
    <x v="0"/>
    <x v="18"/>
    <x v="10"/>
    <x v="10"/>
    <x v="2"/>
    <n v="0"/>
  </r>
  <r>
    <x v="0"/>
    <x v="0"/>
    <x v="0"/>
    <x v="18"/>
    <x v="10"/>
    <x v="10"/>
    <x v="3"/>
    <n v="0"/>
  </r>
  <r>
    <x v="0"/>
    <x v="0"/>
    <x v="0"/>
    <x v="18"/>
    <x v="10"/>
    <x v="10"/>
    <x v="4"/>
    <n v="0"/>
  </r>
  <r>
    <x v="0"/>
    <x v="0"/>
    <x v="0"/>
    <x v="18"/>
    <x v="10"/>
    <x v="10"/>
    <x v="5"/>
    <n v="0"/>
  </r>
  <r>
    <x v="0"/>
    <x v="0"/>
    <x v="0"/>
    <x v="18"/>
    <x v="10"/>
    <x v="10"/>
    <x v="6"/>
    <n v="0"/>
  </r>
  <r>
    <x v="0"/>
    <x v="0"/>
    <x v="0"/>
    <x v="18"/>
    <x v="10"/>
    <x v="10"/>
    <x v="7"/>
    <n v="0"/>
  </r>
  <r>
    <x v="0"/>
    <x v="0"/>
    <x v="0"/>
    <x v="18"/>
    <x v="10"/>
    <x v="10"/>
    <x v="8"/>
    <n v="0"/>
  </r>
  <r>
    <x v="0"/>
    <x v="0"/>
    <x v="0"/>
    <x v="18"/>
    <x v="10"/>
    <x v="10"/>
    <x v="9"/>
    <n v="0"/>
  </r>
  <r>
    <x v="0"/>
    <x v="0"/>
    <x v="0"/>
    <x v="18"/>
    <x v="10"/>
    <x v="10"/>
    <x v="10"/>
    <n v="0"/>
  </r>
  <r>
    <x v="0"/>
    <x v="0"/>
    <x v="0"/>
    <x v="18"/>
    <x v="10"/>
    <x v="10"/>
    <x v="11"/>
    <n v="0"/>
  </r>
  <r>
    <x v="0"/>
    <x v="0"/>
    <x v="0"/>
    <x v="18"/>
    <x v="10"/>
    <x v="11"/>
    <x v="0"/>
    <n v="0"/>
  </r>
  <r>
    <x v="0"/>
    <x v="0"/>
    <x v="0"/>
    <x v="18"/>
    <x v="10"/>
    <x v="11"/>
    <x v="1"/>
    <n v="0"/>
  </r>
  <r>
    <x v="0"/>
    <x v="0"/>
    <x v="0"/>
    <x v="18"/>
    <x v="10"/>
    <x v="11"/>
    <x v="2"/>
    <n v="0"/>
  </r>
  <r>
    <x v="0"/>
    <x v="0"/>
    <x v="0"/>
    <x v="18"/>
    <x v="10"/>
    <x v="11"/>
    <x v="3"/>
    <n v="0"/>
  </r>
  <r>
    <x v="0"/>
    <x v="0"/>
    <x v="0"/>
    <x v="18"/>
    <x v="10"/>
    <x v="11"/>
    <x v="4"/>
    <n v="0"/>
  </r>
  <r>
    <x v="0"/>
    <x v="0"/>
    <x v="0"/>
    <x v="18"/>
    <x v="10"/>
    <x v="11"/>
    <x v="5"/>
    <n v="0"/>
  </r>
  <r>
    <x v="0"/>
    <x v="0"/>
    <x v="0"/>
    <x v="18"/>
    <x v="10"/>
    <x v="11"/>
    <x v="6"/>
    <n v="0"/>
  </r>
  <r>
    <x v="0"/>
    <x v="0"/>
    <x v="0"/>
    <x v="18"/>
    <x v="10"/>
    <x v="11"/>
    <x v="7"/>
    <n v="0"/>
  </r>
  <r>
    <x v="0"/>
    <x v="0"/>
    <x v="0"/>
    <x v="18"/>
    <x v="10"/>
    <x v="11"/>
    <x v="8"/>
    <n v="0"/>
  </r>
  <r>
    <x v="0"/>
    <x v="0"/>
    <x v="0"/>
    <x v="18"/>
    <x v="10"/>
    <x v="11"/>
    <x v="9"/>
    <n v="0"/>
  </r>
  <r>
    <x v="0"/>
    <x v="0"/>
    <x v="0"/>
    <x v="18"/>
    <x v="10"/>
    <x v="11"/>
    <x v="10"/>
    <n v="0"/>
  </r>
  <r>
    <x v="0"/>
    <x v="0"/>
    <x v="0"/>
    <x v="18"/>
    <x v="10"/>
    <x v="11"/>
    <x v="11"/>
    <n v="0"/>
  </r>
</pivotCacheRecords>
</file>

<file path=xl/pivotCache/pivotCacheRecords11.xml><?xml version="1.0" encoding="utf-8"?>
<pivotCacheRecords xmlns="http://schemas.openxmlformats.org/spreadsheetml/2006/main" xmlns:r="http://schemas.openxmlformats.org/officeDocument/2006/relationships" count="56">
  <r>
    <x v="0"/>
    <x v="0"/>
    <x v="0"/>
    <x v="0"/>
    <x v="0"/>
    <x v="0"/>
    <x v="0"/>
    <n v="0"/>
  </r>
  <r>
    <x v="0"/>
    <x v="0"/>
    <x v="0"/>
    <x v="0"/>
    <x v="0"/>
    <x v="1"/>
    <x v="1"/>
    <n v="15592.8"/>
  </r>
  <r>
    <x v="0"/>
    <x v="0"/>
    <x v="0"/>
    <x v="0"/>
    <x v="0"/>
    <x v="2"/>
    <x v="2"/>
    <n v="182.5"/>
  </r>
  <r>
    <x v="0"/>
    <x v="0"/>
    <x v="0"/>
    <x v="0"/>
    <x v="0"/>
    <x v="3"/>
    <x v="3"/>
    <n v="0"/>
  </r>
  <r>
    <x v="0"/>
    <x v="0"/>
    <x v="0"/>
    <x v="0"/>
    <x v="1"/>
    <x v="0"/>
    <x v="4"/>
    <n v="0"/>
  </r>
  <r>
    <x v="0"/>
    <x v="0"/>
    <x v="0"/>
    <x v="0"/>
    <x v="1"/>
    <x v="1"/>
    <x v="1"/>
    <n v="5124.6000000000004"/>
  </r>
  <r>
    <x v="0"/>
    <x v="0"/>
    <x v="0"/>
    <x v="0"/>
    <x v="1"/>
    <x v="3"/>
    <x v="5"/>
    <n v="0"/>
  </r>
  <r>
    <x v="0"/>
    <x v="0"/>
    <x v="0"/>
    <x v="1"/>
    <x v="2"/>
    <x v="4"/>
    <x v="6"/>
    <n v="0"/>
  </r>
  <r>
    <x v="0"/>
    <x v="0"/>
    <x v="0"/>
    <x v="1"/>
    <x v="2"/>
    <x v="5"/>
    <x v="7"/>
    <n v="6935.2443485959202"/>
  </r>
  <r>
    <x v="0"/>
    <x v="0"/>
    <x v="0"/>
    <x v="2"/>
    <x v="3"/>
    <x v="6"/>
    <x v="8"/>
    <n v="3066"/>
  </r>
  <r>
    <x v="0"/>
    <x v="0"/>
    <x v="0"/>
    <x v="2"/>
    <x v="3"/>
    <x v="2"/>
    <x v="9"/>
    <n v="253.78519921922901"/>
  </r>
  <r>
    <x v="0"/>
    <x v="0"/>
    <x v="0"/>
    <x v="2"/>
    <x v="3"/>
    <x v="3"/>
    <x v="10"/>
    <n v="0"/>
  </r>
  <r>
    <x v="0"/>
    <x v="0"/>
    <x v="0"/>
    <x v="2"/>
    <x v="3"/>
    <x v="3"/>
    <x v="3"/>
    <n v="0"/>
  </r>
  <r>
    <x v="0"/>
    <x v="0"/>
    <x v="0"/>
    <x v="3"/>
    <x v="4"/>
    <x v="0"/>
    <x v="4"/>
    <n v="0"/>
  </r>
  <r>
    <x v="0"/>
    <x v="0"/>
    <x v="0"/>
    <x v="3"/>
    <x v="4"/>
    <x v="0"/>
    <x v="0"/>
    <n v="0"/>
  </r>
  <r>
    <x v="0"/>
    <x v="0"/>
    <x v="0"/>
    <x v="3"/>
    <x v="4"/>
    <x v="7"/>
    <x v="11"/>
    <n v="0"/>
  </r>
  <r>
    <x v="0"/>
    <x v="0"/>
    <x v="0"/>
    <x v="3"/>
    <x v="4"/>
    <x v="8"/>
    <x v="12"/>
    <n v="17520"/>
  </r>
  <r>
    <x v="0"/>
    <x v="0"/>
    <x v="0"/>
    <x v="3"/>
    <x v="4"/>
    <x v="3"/>
    <x v="5"/>
    <n v="0"/>
  </r>
  <r>
    <x v="0"/>
    <x v="0"/>
    <x v="0"/>
    <x v="4"/>
    <x v="5"/>
    <x v="6"/>
    <x v="8"/>
    <n v="0"/>
  </r>
  <r>
    <x v="0"/>
    <x v="0"/>
    <x v="0"/>
    <x v="4"/>
    <x v="5"/>
    <x v="9"/>
    <x v="13"/>
    <n v="4509.87156727816"/>
  </r>
  <r>
    <x v="0"/>
    <x v="0"/>
    <x v="0"/>
    <x v="5"/>
    <x v="6"/>
    <x v="5"/>
    <x v="7"/>
    <n v="0"/>
  </r>
  <r>
    <x v="0"/>
    <x v="0"/>
    <x v="0"/>
    <x v="6"/>
    <x v="7"/>
    <x v="1"/>
    <x v="1"/>
    <n v="0"/>
  </r>
  <r>
    <x v="0"/>
    <x v="0"/>
    <x v="0"/>
    <x v="6"/>
    <x v="7"/>
    <x v="2"/>
    <x v="2"/>
    <n v="0"/>
  </r>
  <r>
    <x v="0"/>
    <x v="0"/>
    <x v="0"/>
    <x v="6"/>
    <x v="7"/>
    <x v="10"/>
    <x v="14"/>
    <n v="0"/>
  </r>
  <r>
    <x v="0"/>
    <x v="0"/>
    <x v="0"/>
    <x v="7"/>
    <x v="8"/>
    <x v="2"/>
    <x v="2"/>
    <n v="584.67946295848503"/>
  </r>
  <r>
    <x v="0"/>
    <x v="0"/>
    <x v="0"/>
    <x v="7"/>
    <x v="8"/>
    <x v="2"/>
    <x v="15"/>
    <n v="648.98440585001299"/>
  </r>
  <r>
    <x v="0"/>
    <x v="0"/>
    <x v="0"/>
    <x v="7"/>
    <x v="8"/>
    <x v="3"/>
    <x v="3"/>
    <n v="12526.8"/>
  </r>
  <r>
    <x v="0"/>
    <x v="0"/>
    <x v="0"/>
    <x v="7"/>
    <x v="9"/>
    <x v="0"/>
    <x v="4"/>
    <n v="5840"/>
  </r>
  <r>
    <x v="0"/>
    <x v="0"/>
    <x v="0"/>
    <x v="7"/>
    <x v="9"/>
    <x v="7"/>
    <x v="11"/>
    <n v="6131.99999999999"/>
  </r>
  <r>
    <x v="0"/>
    <x v="0"/>
    <x v="0"/>
    <x v="7"/>
    <x v="9"/>
    <x v="2"/>
    <x v="16"/>
    <n v="1522.12297746698"/>
  </r>
  <r>
    <x v="0"/>
    <x v="0"/>
    <x v="0"/>
    <x v="7"/>
    <x v="9"/>
    <x v="2"/>
    <x v="17"/>
    <n v="1441.1599390977699"/>
  </r>
  <r>
    <x v="0"/>
    <x v="0"/>
    <x v="0"/>
    <x v="7"/>
    <x v="10"/>
    <x v="2"/>
    <x v="16"/>
    <n v="0"/>
  </r>
  <r>
    <x v="0"/>
    <x v="0"/>
    <x v="0"/>
    <x v="7"/>
    <x v="10"/>
    <x v="2"/>
    <x v="9"/>
    <n v="558.47620481184697"/>
  </r>
  <r>
    <x v="0"/>
    <x v="0"/>
    <x v="0"/>
    <x v="7"/>
    <x v="10"/>
    <x v="2"/>
    <x v="17"/>
    <n v="2920"/>
  </r>
  <r>
    <x v="0"/>
    <x v="0"/>
    <x v="0"/>
    <x v="7"/>
    <x v="10"/>
    <x v="3"/>
    <x v="18"/>
    <n v="3504"/>
  </r>
  <r>
    <x v="0"/>
    <x v="0"/>
    <x v="0"/>
    <x v="7"/>
    <x v="11"/>
    <x v="2"/>
    <x v="15"/>
    <n v="2445.8473512699702"/>
  </r>
  <r>
    <x v="0"/>
    <x v="0"/>
    <x v="0"/>
    <x v="7"/>
    <x v="11"/>
    <x v="3"/>
    <x v="18"/>
    <n v="1460"/>
  </r>
  <r>
    <x v="0"/>
    <x v="0"/>
    <x v="0"/>
    <x v="7"/>
    <x v="12"/>
    <x v="2"/>
    <x v="2"/>
    <n v="0"/>
  </r>
  <r>
    <x v="0"/>
    <x v="0"/>
    <x v="0"/>
    <x v="7"/>
    <x v="12"/>
    <x v="2"/>
    <x v="15"/>
    <n v="307.58006943532001"/>
  </r>
  <r>
    <x v="0"/>
    <x v="0"/>
    <x v="0"/>
    <x v="8"/>
    <x v="13"/>
    <x v="1"/>
    <x v="1"/>
    <n v="0"/>
  </r>
  <r>
    <x v="0"/>
    <x v="0"/>
    <x v="0"/>
    <x v="9"/>
    <x v="14"/>
    <x v="4"/>
    <x v="6"/>
    <n v="7591.99999999999"/>
  </r>
  <r>
    <x v="0"/>
    <x v="0"/>
    <x v="0"/>
    <x v="9"/>
    <x v="14"/>
    <x v="2"/>
    <x v="9"/>
    <n v="1464.59407101785"/>
  </r>
  <r>
    <x v="0"/>
    <x v="0"/>
    <x v="0"/>
    <x v="9"/>
    <x v="14"/>
    <x v="3"/>
    <x v="18"/>
    <n v="8134.1900997635603"/>
  </r>
  <r>
    <x v="0"/>
    <x v="0"/>
    <x v="0"/>
    <x v="9"/>
    <x v="15"/>
    <x v="2"/>
    <x v="15"/>
    <n v="0"/>
  </r>
  <r>
    <x v="0"/>
    <x v="0"/>
    <x v="0"/>
    <x v="9"/>
    <x v="15"/>
    <x v="2"/>
    <x v="9"/>
    <n v="786.02460630183498"/>
  </r>
  <r>
    <x v="0"/>
    <x v="0"/>
    <x v="0"/>
    <x v="9"/>
    <x v="15"/>
    <x v="3"/>
    <x v="10"/>
    <n v="0"/>
  </r>
  <r>
    <x v="0"/>
    <x v="0"/>
    <x v="0"/>
    <x v="9"/>
    <x v="15"/>
    <x v="3"/>
    <x v="3"/>
    <n v="39790.728468945003"/>
  </r>
  <r>
    <x v="0"/>
    <x v="0"/>
    <x v="0"/>
    <x v="9"/>
    <x v="16"/>
    <x v="0"/>
    <x v="4"/>
    <n v="876.677227557317"/>
  </r>
  <r>
    <x v="0"/>
    <x v="0"/>
    <x v="0"/>
    <x v="9"/>
    <x v="16"/>
    <x v="4"/>
    <x v="6"/>
    <n v="2977.98695790183"/>
  </r>
  <r>
    <x v="0"/>
    <x v="0"/>
    <x v="0"/>
    <x v="9"/>
    <x v="16"/>
    <x v="2"/>
    <x v="16"/>
    <n v="0"/>
  </r>
  <r>
    <x v="0"/>
    <x v="0"/>
    <x v="0"/>
    <x v="9"/>
    <x v="16"/>
    <x v="3"/>
    <x v="18"/>
    <n v="0"/>
  </r>
  <r>
    <x v="0"/>
    <x v="0"/>
    <x v="0"/>
    <x v="9"/>
    <x v="16"/>
    <x v="3"/>
    <x v="5"/>
    <n v="3543.9523769658299"/>
  </r>
  <r>
    <x v="0"/>
    <x v="0"/>
    <x v="0"/>
    <x v="9"/>
    <x v="17"/>
    <x v="0"/>
    <x v="0"/>
    <n v="643.074106889625"/>
  </r>
  <r>
    <x v="0"/>
    <x v="0"/>
    <x v="0"/>
    <x v="9"/>
    <x v="17"/>
    <x v="1"/>
    <x v="1"/>
    <n v="5343.6"/>
  </r>
  <r>
    <x v="0"/>
    <x v="0"/>
    <x v="0"/>
    <x v="9"/>
    <x v="17"/>
    <x v="3"/>
    <x v="3"/>
    <n v="0"/>
  </r>
  <r>
    <x v="0"/>
    <x v="0"/>
    <x v="0"/>
    <x v="10"/>
    <x v="18"/>
    <x v="7"/>
    <x v="1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name="PivotTable5" cacheId="7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6" fieldListSortAscending="1">
  <location ref="B3:P16" firstHeaderRow="1" firstDataRow="2" firstDataCol="1"/>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5">
        <item x="0"/>
        <item x="7"/>
        <item x="9"/>
        <item x="1"/>
        <item m="1" x="14"/>
        <item x="2"/>
        <item m="1" x="11"/>
        <item x="3"/>
        <item m="1" x="13"/>
        <item m="1" x="12"/>
        <item x="4"/>
        <item x="5"/>
        <item x="8"/>
        <item x="6"/>
        <item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x="1"/>
        <item m="1" x="23"/>
        <item x="2"/>
        <item m="1" x="13"/>
        <item m="1" x="17"/>
        <item m="1" x="15"/>
        <item m="1" x="16"/>
        <item x="7"/>
        <item x="0"/>
        <item m="1" x="21"/>
        <item m="1" x="24"/>
        <item m="1" x="20"/>
        <item m="1" x="14"/>
        <item x="8"/>
        <item m="1" x="18"/>
        <item m="1" x="22"/>
        <item x="11"/>
        <item m="1" x="19"/>
        <item x="3"/>
        <item x="4"/>
        <item x="5"/>
        <item x="6"/>
        <item x="9"/>
        <item x="10"/>
        <item x="1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12">
    <i>
      <x/>
    </i>
    <i>
      <x v="1"/>
    </i>
    <i>
      <x v="2"/>
    </i>
    <i>
      <x v="3"/>
    </i>
    <i>
      <x v="5"/>
    </i>
    <i>
      <x v="7"/>
    </i>
    <i>
      <x v="10"/>
    </i>
    <i>
      <x v="11"/>
    </i>
    <i>
      <x v="12"/>
    </i>
    <i>
      <x v="13"/>
    </i>
    <i>
      <x v="14"/>
    </i>
    <i t="grand">
      <x/>
    </i>
  </rowItems>
  <colFields count="1">
    <field x="6"/>
  </colFields>
  <colItems count="14">
    <i>
      <x/>
    </i>
    <i>
      <x v="2"/>
    </i>
    <i>
      <x v="7"/>
    </i>
    <i>
      <x v="8"/>
    </i>
    <i>
      <x v="13"/>
    </i>
    <i>
      <x v="16"/>
    </i>
    <i>
      <x v="18"/>
    </i>
    <i>
      <x v="19"/>
    </i>
    <i>
      <x v="20"/>
    </i>
    <i>
      <x v="21"/>
    </i>
    <i>
      <x v="22"/>
    </i>
    <i>
      <x v="23"/>
    </i>
    <i>
      <x v="24"/>
    </i>
    <i t="grand">
      <x/>
    </i>
  </colItems>
  <dataFields count="1">
    <dataField name="Sum of TWh" fld="9" baseField="0" baseItem="0"/>
  </dataFields>
  <formats count="11">
    <format dxfId="12">
      <pivotArea collapsedLevelsAreSubtotals="1" fieldPosition="0">
        <references count="1">
          <reference field="6" count="1">
            <x v="0"/>
          </reference>
        </references>
      </pivotArea>
    </format>
    <format dxfId="11">
      <pivotArea collapsedLevelsAreSubtotals="1" fieldPosition="0">
        <references count="1">
          <reference field="6" count="1">
            <x v="1"/>
          </reference>
        </references>
      </pivotArea>
    </format>
    <format dxfId="10">
      <pivotArea collapsedLevelsAreSubtotals="1" fieldPosition="0">
        <references count="1">
          <reference field="6" count="1">
            <x v="2"/>
          </reference>
        </references>
      </pivotArea>
    </format>
    <format dxfId="9">
      <pivotArea collapsedLevelsAreSubtotals="1" fieldPosition="0">
        <references count="1">
          <reference field="6" count="1">
            <x v="3"/>
          </reference>
        </references>
      </pivotArea>
    </format>
    <format dxfId="8">
      <pivotArea collapsedLevelsAreSubtotals="1" fieldPosition="0">
        <references count="1">
          <reference field="6" count="1">
            <x v="4"/>
          </reference>
        </references>
      </pivotArea>
    </format>
    <format dxfId="7">
      <pivotArea collapsedLevelsAreSubtotals="1" fieldPosition="0">
        <references count="1">
          <reference field="6" count="1">
            <x v="5"/>
          </reference>
        </references>
      </pivotArea>
    </format>
    <format dxfId="6">
      <pivotArea collapsedLevelsAreSubtotals="1" fieldPosition="0">
        <references count="1">
          <reference field="6" count="1">
            <x v="6"/>
          </reference>
        </references>
      </pivotArea>
    </format>
    <format dxfId="5">
      <pivotArea collapsedLevelsAreSubtotals="1" fieldPosition="0">
        <references count="1">
          <reference field="6" count="1">
            <x v="7"/>
          </reference>
        </references>
      </pivotArea>
    </format>
    <format dxfId="4">
      <pivotArea collapsedLevelsAreSubtotals="1" fieldPosition="0">
        <references count="1">
          <reference field="6" count="1">
            <x v="8"/>
          </reference>
        </references>
      </pivotArea>
    </format>
    <format dxfId="3">
      <pivotArea collapsedLevelsAreSubtotals="1" fieldPosition="0">
        <references count="1">
          <reference field="6" count="1">
            <x v="9"/>
          </reference>
        </references>
      </pivotArea>
    </format>
    <format dxfId="2">
      <pivotArea collapsedLevelsAreSubtotals="1" fieldPosition="0">
        <references count="1">
          <reference field="6" count="1">
            <x v="10"/>
          </reference>
        </references>
      </pivotArea>
    </format>
  </format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2" cacheId="72"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3" fieldListSortAscending="1">
  <location ref="B4:D6" firstHeaderRow="1" firstDataRow="2" firstDataCol="2" rowPageCount="1" colPageCount="1"/>
  <pivotFields count="1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44">
        <item h="1" m="1" x="33"/>
        <item h="1" m="1" x="43"/>
        <item h="1" m="1" x="23"/>
        <item h="1" m="1" x="22"/>
        <item h="1" m="1" x="30"/>
        <item h="1" m="1" x="38"/>
        <item h="1" m="1" x="31"/>
        <item m="1" x="42"/>
        <item h="1" m="1" x="39"/>
        <item h="1" m="1" x="28"/>
        <item h="1" m="1" x="41"/>
        <item h="1" m="1" x="20"/>
        <item h="1" m="1" x="35"/>
        <item h="1" m="1" x="36"/>
        <item h="1" m="1" x="26"/>
        <item h="1" m="1" x="29"/>
        <item h="1" m="1" x="40"/>
        <item h="1" m="1" x="24"/>
        <item h="1" m="1" x="19"/>
        <item h="1" m="1" x="27"/>
        <item h="1" m="1" x="21"/>
        <item h="1" m="1" x="25"/>
        <item h="1" m="1" x="34"/>
        <item h="1" m="1" x="32"/>
        <item h="1" m="1" x="37"/>
        <item h="1" x="0"/>
        <item h="1" x="1"/>
        <item h="1" x="2"/>
        <item h="1" x="3"/>
        <item h="1" x="4"/>
        <item h="1" x="5"/>
        <item h="1" x="6"/>
        <item h="1" x="7"/>
        <item h="1" x="8"/>
        <item h="1" x="9"/>
        <item h="1" x="10"/>
        <item h="1" x="11"/>
        <item h="1" x="12"/>
        <item h="1" x="13"/>
        <item h="1" x="14"/>
        <item h="1" x="15"/>
        <item h="1" x="16"/>
        <item h="1" x="17"/>
        <item h="1" x="1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25">
        <item x="1"/>
        <item m="1" x="23"/>
        <item m="1" x="18"/>
        <item x="11"/>
        <item m="1" x="19"/>
        <item x="2"/>
        <item m="1" x="22"/>
        <item m="1" x="13"/>
        <item m="1" x="17"/>
        <item m="1" x="15"/>
        <item x="8"/>
        <item m="1" x="16"/>
        <item x="7"/>
        <item x="0"/>
        <item m="1" x="20"/>
        <item m="1" x="14"/>
        <item m="1" x="21"/>
        <item m="1" x="24"/>
        <item x="3"/>
        <item x="4"/>
        <item x="5"/>
        <item x="6"/>
        <item x="9"/>
        <item x="10"/>
        <item x="1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62"/>
        <item m="1" x="92"/>
        <item m="1" x="79"/>
        <item m="1" x="104"/>
        <item m="1" x="156"/>
        <item m="1" x="31"/>
        <item m="1" x="69"/>
        <item m="1" x="96"/>
        <item m="1" x="152"/>
        <item m="1" x="27"/>
        <item m="1" x="58"/>
        <item m="1" x="89"/>
        <item m="1" x="46"/>
        <item m="1" x="77"/>
        <item m="1" x="102"/>
        <item m="1" x="124"/>
        <item m="1" x="142"/>
        <item m="1" x="17"/>
        <item m="1" x="48"/>
        <item m="1" x="127"/>
        <item m="1" x="158"/>
        <item m="1" x="33"/>
        <item m="1" x="64"/>
        <item m="1" x="116"/>
        <item m="1" x="144"/>
        <item m="1" x="19"/>
        <item m="1" x="50"/>
        <item m="1" x="66"/>
        <item m="1" x="131"/>
        <item m="1" x="162"/>
        <item m="1" x="37"/>
        <item m="1" x="68"/>
        <item m="1" x="120"/>
        <item m="1" x="150"/>
        <item m="1" x="25"/>
        <item m="1" x="56"/>
        <item m="1" x="95"/>
        <item m="1" x="149"/>
        <item m="1" x="24"/>
        <item m="1" x="55"/>
        <item m="1" x="86"/>
        <item m="1" x="109"/>
        <item m="1" x="132"/>
        <item m="1" x="163"/>
        <item m="1" x="38"/>
        <item m="1" x="59"/>
        <item m="1" x="41"/>
        <item m="1" x="72"/>
        <item m="1" x="125"/>
        <item m="1" x="113"/>
        <item m="1" x="136"/>
        <item m="1" x="167"/>
        <item m="1" x="42"/>
        <item m="1" x="111"/>
        <item m="1" x="134"/>
        <item m="1" x="165"/>
        <item m="1" x="40"/>
        <item m="1" x="71"/>
        <item m="1" x="140"/>
        <item m="1" x="15"/>
        <item m="1" x="155"/>
        <item m="1" x="30"/>
        <item m="1" x="61"/>
        <item m="1" x="115"/>
        <item m="1" x="83"/>
        <item m="1" x="107"/>
        <item m="1" x="130"/>
        <item m="1" x="161"/>
        <item m="1" x="36"/>
        <item m="1" x="67"/>
        <item m="1" x="97"/>
        <item m="1" x="114"/>
        <item m="1" x="81"/>
        <item m="1" x="106"/>
        <item m="1" x="129"/>
        <item m="1" x="160"/>
        <item m="1" x="35"/>
        <item m="1" x="118"/>
        <item m="1" x="147"/>
        <item m="1" x="22"/>
        <item m="1" x="53"/>
        <item m="1" x="84"/>
        <item m="1" x="108"/>
        <item m="1" x="87"/>
        <item m="1" x="110"/>
        <item m="1" x="133"/>
        <item m="1" x="164"/>
        <item m="1" x="39"/>
        <item m="1" x="70"/>
        <item m="1" x="122"/>
        <item m="1" x="153"/>
        <item m="1" x="28"/>
        <item m="1" x="90"/>
        <item m="1" x="112"/>
        <item m="1" x="135"/>
        <item m="1" x="16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9"/>
    <field x="10"/>
  </rowFields>
  <rowItems count="1">
    <i t="grand">
      <x/>
    </i>
  </rowItems>
  <colFields count="1">
    <field x="6"/>
  </colFields>
  <colItems count="1">
    <i t="grand">
      <x/>
    </i>
  </colItems>
  <pageFields count="1">
    <pageField fld="4" hier="-1"/>
  </pageFields>
  <dataFields count="1">
    <dataField name="Sum of MWh" fld="12" baseField="0" baseItem="0"/>
  </dataFields>
  <chartFormats count="9">
    <chartFormat chart="2" format="194" series="1">
      <pivotArea type="data" outline="0" fieldPosition="0">
        <references count="1">
          <reference field="4294967294" count="1" selected="0">
            <x v="0"/>
          </reference>
        </references>
      </pivotArea>
    </chartFormat>
    <chartFormat chart="2" format="220" series="1">
      <pivotArea type="data" outline="0" fieldPosition="0">
        <references count="2">
          <reference field="4294967294" count="1" selected="0">
            <x v="0"/>
          </reference>
          <reference field="6" count="1" selected="0">
            <x v="5"/>
          </reference>
        </references>
      </pivotArea>
    </chartFormat>
    <chartFormat chart="2" format="221" series="1">
      <pivotArea type="data" outline="0" fieldPosition="0">
        <references count="2">
          <reference field="4294967294" count="1" selected="0">
            <x v="0"/>
          </reference>
          <reference field="6" count="1" selected="0">
            <x v="7"/>
          </reference>
        </references>
      </pivotArea>
    </chartFormat>
    <chartFormat chart="2" format="222" series="1">
      <pivotArea type="data" outline="0" fieldPosition="0">
        <references count="2">
          <reference field="4294967294" count="1" selected="0">
            <x v="0"/>
          </reference>
          <reference field="6" count="1" selected="0">
            <x v="8"/>
          </reference>
        </references>
      </pivotArea>
    </chartFormat>
    <chartFormat chart="2" format="223" series="1">
      <pivotArea type="data" outline="0" fieldPosition="0">
        <references count="2">
          <reference field="4294967294" count="1" selected="0">
            <x v="0"/>
          </reference>
          <reference field="6" count="1" selected="0">
            <x v="9"/>
          </reference>
        </references>
      </pivotArea>
    </chartFormat>
    <chartFormat chart="2" format="224" series="1">
      <pivotArea type="data" outline="0" fieldPosition="0">
        <references count="2">
          <reference field="4294967294" count="1" selected="0">
            <x v="0"/>
          </reference>
          <reference field="6" count="1" selected="0">
            <x v="11"/>
          </reference>
        </references>
      </pivotArea>
    </chartFormat>
    <chartFormat chart="2" format="225" series="1">
      <pivotArea type="data" outline="0" fieldPosition="0">
        <references count="2">
          <reference field="4294967294" count="1" selected="0">
            <x v="0"/>
          </reference>
          <reference field="6" count="1" selected="0">
            <x v="15"/>
          </reference>
        </references>
      </pivotArea>
    </chartFormat>
    <chartFormat chart="2" format="226" series="1">
      <pivotArea type="data" outline="0" fieldPosition="0">
        <references count="2">
          <reference field="4294967294" count="1" selected="0">
            <x v="0"/>
          </reference>
          <reference field="6" count="1" selected="0">
            <x v="13"/>
          </reference>
        </references>
      </pivotArea>
    </chartFormat>
    <chartFormat chart="2" format="227"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73"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B4:D6" firstHeaderRow="1" firstDataRow="2" firstDataCol="2"/>
  <pivotFields count="8">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93">
        <item h="1" m="1" x="47"/>
        <item h="1" m="1" x="58"/>
        <item h="1" m="1" x="34"/>
        <item m="1" x="21"/>
        <item h="1" m="1" x="56"/>
        <item h="1" m="1" x="77"/>
        <item h="1" m="1" x="86"/>
        <item h="1" m="1" x="41"/>
        <item h="1" m="1" x="66"/>
        <item h="1" m="1" x="22"/>
        <item h="1" m="1" x="57"/>
        <item h="1" m="1" x="80"/>
        <item h="1" m="1" x="87"/>
        <item h="1" m="1" x="42"/>
        <item h="1" m="1" x="67"/>
        <item m="1" x="75"/>
        <item h="1" m="1" x="85"/>
        <item h="1" m="1" x="61"/>
        <item h="1" m="1" x="30"/>
        <item m="1" x="82"/>
        <item h="1" m="1" x="91"/>
        <item h="1" m="1" x="70"/>
        <item m="1" x="68"/>
        <item h="1" m="1" x="76"/>
        <item h="1" m="1" x="55"/>
        <item m="1" x="78"/>
        <item h="1" m="1" x="88"/>
        <item h="1" m="1" x="63"/>
        <item h="1" m="1" x="53"/>
        <item h="1" m="1" x="59"/>
        <item h="1" m="1" x="36"/>
        <item h="1" m="1" x="60"/>
        <item h="1" m="1" x="73"/>
        <item h="1" m="1" x="46"/>
        <item m="1" x="62"/>
        <item h="1" m="1" x="74"/>
        <item h="1" m="1" x="50"/>
        <item m="1" x="39"/>
        <item h="1" m="1" x="52"/>
        <item h="1" m="1" x="28"/>
        <item h="1" m="1" x="38"/>
        <item h="1" m="1" x="49"/>
        <item h="1" m="1" x="27"/>
        <item m="1" x="19"/>
        <item h="1" m="1" x="26"/>
        <item h="1" m="1" x="81"/>
        <item m="1" x="71"/>
        <item h="1" m="1" x="25"/>
        <item h="1" m="1" x="48"/>
        <item m="1" x="31"/>
        <item h="1" m="1" x="37"/>
        <item h="1" m="1" x="92"/>
        <item m="1" x="84"/>
        <item h="1" m="1" x="40"/>
        <item h="1" m="1" x="65"/>
        <item m="1" x="72"/>
        <item h="1" m="1" x="29"/>
        <item h="1" m="1" x="54"/>
        <item h="1" m="1" x="24"/>
        <item h="1" m="1" x="79"/>
        <item h="1" m="1" x="89"/>
        <item h="1" m="1" x="64"/>
        <item m="1" x="33"/>
        <item h="1" m="1" x="43"/>
        <item h="1" m="1" x="20"/>
        <item m="1" x="51"/>
        <item h="1" m="1" x="83"/>
        <item h="1" m="1" x="32"/>
        <item m="1" x="90"/>
        <item h="1" m="1" x="44"/>
        <item h="1" m="1" x="69"/>
        <item m="1" x="35"/>
        <item h="1" m="1" x="45"/>
        <item h="1" m="1" x="23"/>
        <item h="1" x="0"/>
        <item h="1" x="1"/>
        <item h="1" x="2"/>
        <item h="1" x="3"/>
        <item h="1" x="4"/>
        <item h="1" x="5"/>
        <item h="1" x="6"/>
        <item h="1" x="7"/>
        <item h="1" x="8"/>
        <item h="1" x="9"/>
        <item h="1" x="10"/>
        <item h="1" x="11"/>
        <item h="1" x="12"/>
        <item h="1" x="13"/>
        <item h="1" x="14"/>
        <item h="1" x="15"/>
        <item h="1" x="16"/>
        <item h="1" x="17"/>
        <item h="1" x="18"/>
      </items>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pivotField>
    <pivotField dataField="1" compact="0" outline="0" showAll="0" defaultSubtotal="0"/>
  </pivotFields>
  <rowFields count="2">
    <field x="5"/>
    <field x="6"/>
  </rowFields>
  <rowItems count="1">
    <i t="grand">
      <x/>
    </i>
  </rowItems>
  <colFields count="1">
    <field x="4"/>
  </colFields>
  <colItems count="1">
    <i t="grand">
      <x/>
    </i>
  </colItems>
  <dataFields count="1">
    <dataField name="Average of OMONEY/MWh" fld="7" subtotal="average" baseField="4" baseItem="0"/>
  </dataFields>
  <chartFormats count="78">
    <chartFormat chart="1" format="0" series="1">
      <pivotArea type="data" outline="0" fieldPosition="0">
        <references count="2">
          <reference field="4294967294" count="1" selected="0">
            <x v="0"/>
          </reference>
          <reference field="4" count="1" selected="0">
            <x v="0"/>
          </reference>
        </references>
      </pivotArea>
    </chartFormat>
    <chartFormat chart="1" format="1" series="1">
      <pivotArea type="data" outline="0" fieldPosition="0">
        <references count="2">
          <reference field="4294967294" count="1" selected="0">
            <x v="0"/>
          </reference>
          <reference field="4" count="1" selected="0">
            <x v="22"/>
          </reference>
        </references>
      </pivotArea>
    </chartFormat>
    <chartFormat chart="1" format="2" series="1">
      <pivotArea type="data" outline="0" fieldPosition="0">
        <references count="2">
          <reference field="4294967294" count="1" selected="0">
            <x v="0"/>
          </reference>
          <reference field="4" count="1" selected="0">
            <x v="15"/>
          </reference>
        </references>
      </pivotArea>
    </chartFormat>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2">
          <reference field="4294967294" count="1" selected="0">
            <x v="0"/>
          </reference>
          <reference field="4" count="1" selected="0">
            <x v="75"/>
          </reference>
        </references>
      </pivotArea>
    </chartFormat>
    <chartFormat chart="1" format="5" series="1">
      <pivotArea type="data" outline="0" fieldPosition="0">
        <references count="2">
          <reference field="4294967294" count="1" selected="0">
            <x v="0"/>
          </reference>
          <reference field="4" count="1" selected="0">
            <x v="76"/>
          </reference>
        </references>
      </pivotArea>
    </chartFormat>
    <chartFormat chart="1" format="6" series="1">
      <pivotArea type="data" outline="0" fieldPosition="0">
        <references count="2">
          <reference field="4294967294" count="1" selected="0">
            <x v="0"/>
          </reference>
          <reference field="4" count="1" selected="0">
            <x v="77"/>
          </reference>
        </references>
      </pivotArea>
    </chartFormat>
    <chartFormat chart="1" format="7" series="1">
      <pivotArea type="data" outline="0" fieldPosition="0">
        <references count="2">
          <reference field="4294967294" count="1" selected="0">
            <x v="0"/>
          </reference>
          <reference field="4" count="1" selected="0">
            <x v="78"/>
          </reference>
        </references>
      </pivotArea>
    </chartFormat>
    <chartFormat chart="1" format="8" series="1">
      <pivotArea type="data" outline="0" fieldPosition="0">
        <references count="2">
          <reference field="4294967294" count="1" selected="0">
            <x v="0"/>
          </reference>
          <reference field="4" count="1" selected="0">
            <x v="79"/>
          </reference>
        </references>
      </pivotArea>
    </chartFormat>
    <chartFormat chart="1" format="9" series="1">
      <pivotArea type="data" outline="0" fieldPosition="0">
        <references count="2">
          <reference field="4294967294" count="1" selected="0">
            <x v="0"/>
          </reference>
          <reference field="4" count="1" selected="0">
            <x v="80"/>
          </reference>
        </references>
      </pivotArea>
    </chartFormat>
    <chartFormat chart="1" format="10" series="1">
      <pivotArea type="data" outline="0" fieldPosition="0">
        <references count="2">
          <reference field="4294967294" count="1" selected="0">
            <x v="0"/>
          </reference>
          <reference field="4" count="1" selected="0">
            <x v="81"/>
          </reference>
        </references>
      </pivotArea>
    </chartFormat>
    <chartFormat chart="1" format="11" series="1">
      <pivotArea type="data" outline="0" fieldPosition="0">
        <references count="2">
          <reference field="4294967294" count="1" selected="0">
            <x v="0"/>
          </reference>
          <reference field="4" count="1" selected="0">
            <x v="82"/>
          </reference>
        </references>
      </pivotArea>
    </chartFormat>
    <chartFormat chart="1" format="12" series="1">
      <pivotArea type="data" outline="0" fieldPosition="0">
        <references count="2">
          <reference field="4294967294" count="1" selected="0">
            <x v="0"/>
          </reference>
          <reference field="4" count="1" selected="0">
            <x v="83"/>
          </reference>
        </references>
      </pivotArea>
    </chartFormat>
    <chartFormat chart="1" format="13" series="1">
      <pivotArea type="data" outline="0" fieldPosition="0">
        <references count="2">
          <reference field="4294967294" count="1" selected="0">
            <x v="0"/>
          </reference>
          <reference field="4" count="1" selected="0">
            <x v="84"/>
          </reference>
        </references>
      </pivotArea>
    </chartFormat>
    <chartFormat chart="1" format="14" series="1">
      <pivotArea type="data" outline="0" fieldPosition="0">
        <references count="2">
          <reference field="4294967294" count="1" selected="0">
            <x v="0"/>
          </reference>
          <reference field="4" count="1" selected="0">
            <x v="85"/>
          </reference>
        </references>
      </pivotArea>
    </chartFormat>
    <chartFormat chart="1" format="15" series="1">
      <pivotArea type="data" outline="0" fieldPosition="0">
        <references count="2">
          <reference field="4294967294" count="1" selected="0">
            <x v="0"/>
          </reference>
          <reference field="4" count="1" selected="0">
            <x v="86"/>
          </reference>
        </references>
      </pivotArea>
    </chartFormat>
    <chartFormat chart="1" format="16" series="1">
      <pivotArea type="data" outline="0" fieldPosition="0">
        <references count="2">
          <reference field="4294967294" count="1" selected="0">
            <x v="0"/>
          </reference>
          <reference field="4" count="1" selected="0">
            <x v="87"/>
          </reference>
        </references>
      </pivotArea>
    </chartFormat>
    <chartFormat chart="1" format="17" series="1">
      <pivotArea type="data" outline="0" fieldPosition="0">
        <references count="2">
          <reference field="4294967294" count="1" selected="0">
            <x v="0"/>
          </reference>
          <reference field="4" count="1" selected="0">
            <x v="88"/>
          </reference>
        </references>
      </pivotArea>
    </chartFormat>
    <chartFormat chart="1" format="18" series="1">
      <pivotArea type="data" outline="0" fieldPosition="0">
        <references count="2">
          <reference field="4294967294" count="1" selected="0">
            <x v="0"/>
          </reference>
          <reference field="4" count="1" selected="0">
            <x v="89"/>
          </reference>
        </references>
      </pivotArea>
    </chartFormat>
    <chartFormat chart="1" format="19" series="1">
      <pivotArea type="data" outline="0" fieldPosition="0">
        <references count="2">
          <reference field="4294967294" count="1" selected="0">
            <x v="0"/>
          </reference>
          <reference field="4" count="1" selected="0">
            <x v="90"/>
          </reference>
        </references>
      </pivotArea>
    </chartFormat>
    <chartFormat chart="1" format="20" series="1">
      <pivotArea type="data" outline="0" fieldPosition="0">
        <references count="2">
          <reference field="4294967294" count="1" selected="0">
            <x v="0"/>
          </reference>
          <reference field="4" count="1" selected="0">
            <x v="91"/>
          </reference>
        </references>
      </pivotArea>
    </chartFormat>
    <chartFormat chart="1" format="21" series="1">
      <pivotArea type="data" outline="0" fieldPosition="0">
        <references count="2">
          <reference field="4294967294" count="1" selected="0">
            <x v="0"/>
          </reference>
          <reference field="4" count="1" selected="0">
            <x v="92"/>
          </reference>
        </references>
      </pivotArea>
    </chartFormat>
    <chartFormat chart="1" format="22" series="1">
      <pivotArea type="data" outline="0" fieldPosition="0">
        <references count="2">
          <reference field="4294967294" count="1" selected="0">
            <x v="0"/>
          </reference>
          <reference field="4" count="1" selected="0">
            <x v="74"/>
          </reference>
        </references>
      </pivotArea>
    </chartFormat>
    <chartFormat chart="1" format="23" series="1">
      <pivotArea type="data" outline="0" fieldPosition="0">
        <references count="2">
          <reference field="4294967294" count="1" selected="0">
            <x v="0"/>
          </reference>
          <reference field="4" count="1" selected="0">
            <x v="19"/>
          </reference>
        </references>
      </pivotArea>
    </chartFormat>
    <chartFormat chart="1" format="24" series="1">
      <pivotArea type="data" outline="0" fieldPosition="0">
        <references count="2">
          <reference field="4294967294" count="1" selected="0">
            <x v="0"/>
          </reference>
          <reference field="4" count="1" selected="0">
            <x v="20"/>
          </reference>
        </references>
      </pivotArea>
    </chartFormat>
    <chartFormat chart="1" format="25" series="1">
      <pivotArea type="data" outline="0" fieldPosition="0">
        <references count="2">
          <reference field="4294967294" count="1" selected="0">
            <x v="0"/>
          </reference>
          <reference field="4" count="1" selected="0">
            <x v="21"/>
          </reference>
        </references>
      </pivotArea>
    </chartFormat>
    <chartFormat chart="1" format="26" series="1">
      <pivotArea type="data" outline="0" fieldPosition="0">
        <references count="2">
          <reference field="4294967294" count="1" selected="0">
            <x v="0"/>
          </reference>
          <reference field="4" count="1" selected="0">
            <x v="23"/>
          </reference>
        </references>
      </pivotArea>
    </chartFormat>
    <chartFormat chart="1" format="27" series="1">
      <pivotArea type="data" outline="0" fieldPosition="0">
        <references count="2">
          <reference field="4294967294" count="1" selected="0">
            <x v="0"/>
          </reference>
          <reference field="4" count="1" selected="0">
            <x v="24"/>
          </reference>
        </references>
      </pivotArea>
    </chartFormat>
    <chartFormat chart="1" format="28" series="1">
      <pivotArea type="data" outline="0" fieldPosition="0">
        <references count="2">
          <reference field="4294967294" count="1" selected="0">
            <x v="0"/>
          </reference>
          <reference field="4" count="1" selected="0">
            <x v="25"/>
          </reference>
        </references>
      </pivotArea>
    </chartFormat>
    <chartFormat chart="1" format="29" series="1">
      <pivotArea type="data" outline="0" fieldPosition="0">
        <references count="2">
          <reference field="4294967294" count="1" selected="0">
            <x v="0"/>
          </reference>
          <reference field="4" count="1" selected="0">
            <x v="26"/>
          </reference>
        </references>
      </pivotArea>
    </chartFormat>
    <chartFormat chart="1" format="30" series="1">
      <pivotArea type="data" outline="0" fieldPosition="0">
        <references count="2">
          <reference field="4294967294" count="1" selected="0">
            <x v="0"/>
          </reference>
          <reference field="4" count="1" selected="0">
            <x v="27"/>
          </reference>
        </references>
      </pivotArea>
    </chartFormat>
    <chartFormat chart="1" format="31" series="1">
      <pivotArea type="data" outline="0" fieldPosition="0">
        <references count="2">
          <reference field="4294967294" count="1" selected="0">
            <x v="0"/>
          </reference>
          <reference field="4" count="1" selected="0">
            <x v="28"/>
          </reference>
        </references>
      </pivotArea>
    </chartFormat>
    <chartFormat chart="1" format="32" series="1">
      <pivotArea type="data" outline="0" fieldPosition="0">
        <references count="2">
          <reference field="4294967294" count="1" selected="0">
            <x v="0"/>
          </reference>
          <reference field="4" count="1" selected="0">
            <x v="29"/>
          </reference>
        </references>
      </pivotArea>
    </chartFormat>
    <chartFormat chart="1" format="33" series="1">
      <pivotArea type="data" outline="0" fieldPosition="0">
        <references count="2">
          <reference field="4294967294" count="1" selected="0">
            <x v="0"/>
          </reference>
          <reference field="4" count="1" selected="0">
            <x v="30"/>
          </reference>
        </references>
      </pivotArea>
    </chartFormat>
    <chartFormat chart="1" format="34" series="1">
      <pivotArea type="data" outline="0" fieldPosition="0">
        <references count="2">
          <reference field="4294967294" count="1" selected="0">
            <x v="0"/>
          </reference>
          <reference field="4" count="1" selected="0">
            <x v="31"/>
          </reference>
        </references>
      </pivotArea>
    </chartFormat>
    <chartFormat chart="1" format="35" series="1">
      <pivotArea type="data" outline="0" fieldPosition="0">
        <references count="2">
          <reference field="4294967294" count="1" selected="0">
            <x v="0"/>
          </reference>
          <reference field="4" count="1" selected="0">
            <x v="32"/>
          </reference>
        </references>
      </pivotArea>
    </chartFormat>
    <chartFormat chart="1" format="36" series="1">
      <pivotArea type="data" outline="0" fieldPosition="0">
        <references count="2">
          <reference field="4294967294" count="1" selected="0">
            <x v="0"/>
          </reference>
          <reference field="4" count="1" selected="0">
            <x v="33"/>
          </reference>
        </references>
      </pivotArea>
    </chartFormat>
    <chartFormat chart="1" format="37" series="1">
      <pivotArea type="data" outline="0" fieldPosition="0">
        <references count="2">
          <reference field="4294967294" count="1" selected="0">
            <x v="0"/>
          </reference>
          <reference field="4" count="1" selected="0">
            <x v="34"/>
          </reference>
        </references>
      </pivotArea>
    </chartFormat>
    <chartFormat chart="1" format="38" series="1">
      <pivotArea type="data" outline="0" fieldPosition="0">
        <references count="2">
          <reference field="4294967294" count="1" selected="0">
            <x v="0"/>
          </reference>
          <reference field="4" count="1" selected="0">
            <x v="35"/>
          </reference>
        </references>
      </pivotArea>
    </chartFormat>
    <chartFormat chart="1" format="39" series="1">
      <pivotArea type="data" outline="0" fieldPosition="0">
        <references count="2">
          <reference field="4294967294" count="1" selected="0">
            <x v="0"/>
          </reference>
          <reference field="4" count="1" selected="0">
            <x v="36"/>
          </reference>
        </references>
      </pivotArea>
    </chartFormat>
    <chartFormat chart="1" format="40" series="1">
      <pivotArea type="data" outline="0" fieldPosition="0">
        <references count="2">
          <reference field="4294967294" count="1" selected="0">
            <x v="0"/>
          </reference>
          <reference field="4" count="1" selected="0">
            <x v="37"/>
          </reference>
        </references>
      </pivotArea>
    </chartFormat>
    <chartFormat chart="1" format="41" series="1">
      <pivotArea type="data" outline="0" fieldPosition="0">
        <references count="2">
          <reference field="4294967294" count="1" selected="0">
            <x v="0"/>
          </reference>
          <reference field="4" count="1" selected="0">
            <x v="38"/>
          </reference>
        </references>
      </pivotArea>
    </chartFormat>
    <chartFormat chart="1" format="42" series="1">
      <pivotArea type="data" outline="0" fieldPosition="0">
        <references count="2">
          <reference field="4294967294" count="1" selected="0">
            <x v="0"/>
          </reference>
          <reference field="4" count="1" selected="0">
            <x v="39"/>
          </reference>
        </references>
      </pivotArea>
    </chartFormat>
    <chartFormat chart="1" format="43" series="1">
      <pivotArea type="data" outline="0" fieldPosition="0">
        <references count="2">
          <reference field="4294967294" count="1" selected="0">
            <x v="0"/>
          </reference>
          <reference field="4" count="1" selected="0">
            <x v="40"/>
          </reference>
        </references>
      </pivotArea>
    </chartFormat>
    <chartFormat chart="1" format="44" series="1">
      <pivotArea type="data" outline="0" fieldPosition="0">
        <references count="2">
          <reference field="4294967294" count="1" selected="0">
            <x v="0"/>
          </reference>
          <reference field="4" count="1" selected="0">
            <x v="41"/>
          </reference>
        </references>
      </pivotArea>
    </chartFormat>
    <chartFormat chart="1" format="45" series="1">
      <pivotArea type="data" outline="0" fieldPosition="0">
        <references count="2">
          <reference field="4294967294" count="1" selected="0">
            <x v="0"/>
          </reference>
          <reference field="4" count="1" selected="0">
            <x v="42"/>
          </reference>
        </references>
      </pivotArea>
    </chartFormat>
    <chartFormat chart="1" format="46" series="1">
      <pivotArea type="data" outline="0" fieldPosition="0">
        <references count="2">
          <reference field="4294967294" count="1" selected="0">
            <x v="0"/>
          </reference>
          <reference field="4" count="1" selected="0">
            <x v="43"/>
          </reference>
        </references>
      </pivotArea>
    </chartFormat>
    <chartFormat chart="1" format="47" series="1">
      <pivotArea type="data" outline="0" fieldPosition="0">
        <references count="2">
          <reference field="4294967294" count="1" selected="0">
            <x v="0"/>
          </reference>
          <reference field="4" count="1" selected="0">
            <x v="44"/>
          </reference>
        </references>
      </pivotArea>
    </chartFormat>
    <chartFormat chart="1" format="48" series="1">
      <pivotArea type="data" outline="0" fieldPosition="0">
        <references count="2">
          <reference field="4294967294" count="1" selected="0">
            <x v="0"/>
          </reference>
          <reference field="4" count="1" selected="0">
            <x v="45"/>
          </reference>
        </references>
      </pivotArea>
    </chartFormat>
    <chartFormat chart="1" format="49" series="1">
      <pivotArea type="data" outline="0" fieldPosition="0">
        <references count="2">
          <reference field="4294967294" count="1" selected="0">
            <x v="0"/>
          </reference>
          <reference field="4" count="1" selected="0">
            <x v="46"/>
          </reference>
        </references>
      </pivotArea>
    </chartFormat>
    <chartFormat chart="1" format="50" series="1">
      <pivotArea type="data" outline="0" fieldPosition="0">
        <references count="2">
          <reference field="4294967294" count="1" selected="0">
            <x v="0"/>
          </reference>
          <reference field="4" count="1" selected="0">
            <x v="47"/>
          </reference>
        </references>
      </pivotArea>
    </chartFormat>
    <chartFormat chart="1" format="51" series="1">
      <pivotArea type="data" outline="0" fieldPosition="0">
        <references count="2">
          <reference field="4294967294" count="1" selected="0">
            <x v="0"/>
          </reference>
          <reference field="4" count="1" selected="0">
            <x v="48"/>
          </reference>
        </references>
      </pivotArea>
    </chartFormat>
    <chartFormat chart="1" format="52" series="1">
      <pivotArea type="data" outline="0" fieldPosition="0">
        <references count="2">
          <reference field="4294967294" count="1" selected="0">
            <x v="0"/>
          </reference>
          <reference field="4" count="1" selected="0">
            <x v="49"/>
          </reference>
        </references>
      </pivotArea>
    </chartFormat>
    <chartFormat chart="1" format="53" series="1">
      <pivotArea type="data" outline="0" fieldPosition="0">
        <references count="2">
          <reference field="4294967294" count="1" selected="0">
            <x v="0"/>
          </reference>
          <reference field="4" count="1" selected="0">
            <x v="50"/>
          </reference>
        </references>
      </pivotArea>
    </chartFormat>
    <chartFormat chart="1" format="54" series="1">
      <pivotArea type="data" outline="0" fieldPosition="0">
        <references count="2">
          <reference field="4294967294" count="1" selected="0">
            <x v="0"/>
          </reference>
          <reference field="4" count="1" selected="0">
            <x v="51"/>
          </reference>
        </references>
      </pivotArea>
    </chartFormat>
    <chartFormat chart="1" format="55" series="1">
      <pivotArea type="data" outline="0" fieldPosition="0">
        <references count="2">
          <reference field="4294967294" count="1" selected="0">
            <x v="0"/>
          </reference>
          <reference field="4" count="1" selected="0">
            <x v="52"/>
          </reference>
        </references>
      </pivotArea>
    </chartFormat>
    <chartFormat chart="1" format="56" series="1">
      <pivotArea type="data" outline="0" fieldPosition="0">
        <references count="2">
          <reference field="4294967294" count="1" selected="0">
            <x v="0"/>
          </reference>
          <reference field="4" count="1" selected="0">
            <x v="53"/>
          </reference>
        </references>
      </pivotArea>
    </chartFormat>
    <chartFormat chart="1" format="57" series="1">
      <pivotArea type="data" outline="0" fieldPosition="0">
        <references count="2">
          <reference field="4294967294" count="1" selected="0">
            <x v="0"/>
          </reference>
          <reference field="4" count="1" selected="0">
            <x v="54"/>
          </reference>
        </references>
      </pivotArea>
    </chartFormat>
    <chartFormat chart="1" format="58" series="1">
      <pivotArea type="data" outline="0" fieldPosition="0">
        <references count="2">
          <reference field="4294967294" count="1" selected="0">
            <x v="0"/>
          </reference>
          <reference field="4" count="1" selected="0">
            <x v="55"/>
          </reference>
        </references>
      </pivotArea>
    </chartFormat>
    <chartFormat chart="1" format="59" series="1">
      <pivotArea type="data" outline="0" fieldPosition="0">
        <references count="2">
          <reference field="4294967294" count="1" selected="0">
            <x v="0"/>
          </reference>
          <reference field="4" count="1" selected="0">
            <x v="56"/>
          </reference>
        </references>
      </pivotArea>
    </chartFormat>
    <chartFormat chart="1" format="60" series="1">
      <pivotArea type="data" outline="0" fieldPosition="0">
        <references count="2">
          <reference field="4294967294" count="1" selected="0">
            <x v="0"/>
          </reference>
          <reference field="4" count="1" selected="0">
            <x v="57"/>
          </reference>
        </references>
      </pivotArea>
    </chartFormat>
    <chartFormat chart="1" format="61" series="1">
      <pivotArea type="data" outline="0" fieldPosition="0">
        <references count="2">
          <reference field="4294967294" count="1" selected="0">
            <x v="0"/>
          </reference>
          <reference field="4" count="1" selected="0">
            <x v="58"/>
          </reference>
        </references>
      </pivotArea>
    </chartFormat>
    <chartFormat chart="1" format="62" series="1">
      <pivotArea type="data" outline="0" fieldPosition="0">
        <references count="2">
          <reference field="4294967294" count="1" selected="0">
            <x v="0"/>
          </reference>
          <reference field="4" count="1" selected="0">
            <x v="59"/>
          </reference>
        </references>
      </pivotArea>
    </chartFormat>
    <chartFormat chart="1" format="63" series="1">
      <pivotArea type="data" outline="0" fieldPosition="0">
        <references count="2">
          <reference field="4294967294" count="1" selected="0">
            <x v="0"/>
          </reference>
          <reference field="4" count="1" selected="0">
            <x v="60"/>
          </reference>
        </references>
      </pivotArea>
    </chartFormat>
    <chartFormat chart="1" format="64" series="1">
      <pivotArea type="data" outline="0" fieldPosition="0">
        <references count="2">
          <reference field="4294967294" count="1" selected="0">
            <x v="0"/>
          </reference>
          <reference field="4" count="1" selected="0">
            <x v="61"/>
          </reference>
        </references>
      </pivotArea>
    </chartFormat>
    <chartFormat chart="1" format="65" series="1">
      <pivotArea type="data" outline="0" fieldPosition="0">
        <references count="2">
          <reference field="4294967294" count="1" selected="0">
            <x v="0"/>
          </reference>
          <reference field="4" count="1" selected="0">
            <x v="62"/>
          </reference>
        </references>
      </pivotArea>
    </chartFormat>
    <chartFormat chart="1" format="66" series="1">
      <pivotArea type="data" outline="0" fieldPosition="0">
        <references count="2">
          <reference field="4294967294" count="1" selected="0">
            <x v="0"/>
          </reference>
          <reference field="4" count="1" selected="0">
            <x v="63"/>
          </reference>
        </references>
      </pivotArea>
    </chartFormat>
    <chartFormat chart="1" format="67" series="1">
      <pivotArea type="data" outline="0" fieldPosition="0">
        <references count="2">
          <reference field="4294967294" count="1" selected="0">
            <x v="0"/>
          </reference>
          <reference field="4" count="1" selected="0">
            <x v="64"/>
          </reference>
        </references>
      </pivotArea>
    </chartFormat>
    <chartFormat chart="1" format="68" series="1">
      <pivotArea type="data" outline="0" fieldPosition="0">
        <references count="2">
          <reference field="4294967294" count="1" selected="0">
            <x v="0"/>
          </reference>
          <reference field="4" count="1" selected="0">
            <x v="65"/>
          </reference>
        </references>
      </pivotArea>
    </chartFormat>
    <chartFormat chart="1" format="69" series="1">
      <pivotArea type="data" outline="0" fieldPosition="0">
        <references count="2">
          <reference field="4294967294" count="1" selected="0">
            <x v="0"/>
          </reference>
          <reference field="4" count="1" selected="0">
            <x v="66"/>
          </reference>
        </references>
      </pivotArea>
    </chartFormat>
    <chartFormat chart="1" format="70" series="1">
      <pivotArea type="data" outline="0" fieldPosition="0">
        <references count="2">
          <reference field="4294967294" count="1" selected="0">
            <x v="0"/>
          </reference>
          <reference field="4" count="1" selected="0">
            <x v="67"/>
          </reference>
        </references>
      </pivotArea>
    </chartFormat>
    <chartFormat chart="1" format="71" series="1">
      <pivotArea type="data" outline="0" fieldPosition="0">
        <references count="2">
          <reference field="4294967294" count="1" selected="0">
            <x v="0"/>
          </reference>
          <reference field="4" count="1" selected="0">
            <x v="68"/>
          </reference>
        </references>
      </pivotArea>
    </chartFormat>
    <chartFormat chart="1" format="72" series="1">
      <pivotArea type="data" outline="0" fieldPosition="0">
        <references count="2">
          <reference field="4294967294" count="1" selected="0">
            <x v="0"/>
          </reference>
          <reference field="4" count="1" selected="0">
            <x v="69"/>
          </reference>
        </references>
      </pivotArea>
    </chartFormat>
    <chartFormat chart="1" format="73" series="1">
      <pivotArea type="data" outline="0" fieldPosition="0">
        <references count="2">
          <reference field="4294967294" count="1" selected="0">
            <x v="0"/>
          </reference>
          <reference field="4" count="1" selected="0">
            <x v="70"/>
          </reference>
        </references>
      </pivotArea>
    </chartFormat>
    <chartFormat chart="1" format="74" series="1">
      <pivotArea type="data" outline="0" fieldPosition="0">
        <references count="2">
          <reference field="4294967294" count="1" selected="0">
            <x v="0"/>
          </reference>
          <reference field="4" count="1" selected="0">
            <x v="71"/>
          </reference>
        </references>
      </pivotArea>
    </chartFormat>
    <chartFormat chart="1" format="75" series="1">
      <pivotArea type="data" outline="0" fieldPosition="0">
        <references count="2">
          <reference field="4294967294" count="1" selected="0">
            <x v="0"/>
          </reference>
          <reference field="4" count="1" selected="0">
            <x v="72"/>
          </reference>
        </references>
      </pivotArea>
    </chartFormat>
    <chartFormat chart="1" format="76" series="1">
      <pivotArea type="data" outline="0" fieldPosition="0">
        <references count="2">
          <reference field="4294967294" count="1" selected="0">
            <x v="0"/>
          </reference>
          <reference field="4" count="1" selected="0">
            <x v="73"/>
          </reference>
        </references>
      </pivotArea>
    </chartFormat>
    <chartFormat chart="1" format="77"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7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B2:R13" firstHeaderRow="1" firstDataRow="2" firstDataCol="1"/>
  <pivotFields count="10">
    <pivotField showAll="0"/>
    <pivotField showAll="0"/>
    <pivotField showAll="0" defaultSubtotal="0"/>
    <pivotField axis="axisRow" showAll="0">
      <items count="11">
        <item x="0"/>
        <item x="1"/>
        <item x="2"/>
        <item m="1" x="9"/>
        <item x="3"/>
        <item x="4"/>
        <item x="6"/>
        <item x="7"/>
        <item x="8"/>
        <item x="5"/>
        <item t="default"/>
      </items>
    </pivotField>
    <pivotField showAll="0"/>
    <pivotField showAll="0"/>
    <pivotField axis="axisCol" showAll="0">
      <items count="30">
        <item m="1" x="26"/>
        <item m="1" x="21"/>
        <item m="1" x="18"/>
        <item x="11"/>
        <item m="1" x="22"/>
        <item x="1"/>
        <item x="2"/>
        <item m="1" x="28"/>
        <item m="1" x="15"/>
        <item m="1" x="19"/>
        <item m="1" x="17"/>
        <item x="12"/>
        <item m="1" x="20"/>
        <item m="1" x="23"/>
        <item m="1" x="16"/>
        <item m="1" x="25"/>
        <item m="1" x="27"/>
        <item x="0"/>
        <item x="3"/>
        <item x="4"/>
        <item x="5"/>
        <item x="6"/>
        <item x="7"/>
        <item x="8"/>
        <item x="9"/>
        <item x="10"/>
        <item x="13"/>
        <item x="14"/>
        <item m="1" x="24"/>
        <item t="default"/>
      </items>
    </pivotField>
    <pivotField showAll="0"/>
    <pivotField showAll="0"/>
    <pivotField dataField="1" showAll="0"/>
  </pivotFields>
  <rowFields count="1">
    <field x="3"/>
  </rowFields>
  <rowItems count="10">
    <i>
      <x/>
    </i>
    <i>
      <x v="1"/>
    </i>
    <i>
      <x v="2"/>
    </i>
    <i>
      <x v="4"/>
    </i>
    <i>
      <x v="5"/>
    </i>
    <i>
      <x v="6"/>
    </i>
    <i>
      <x v="7"/>
    </i>
    <i>
      <x v="8"/>
    </i>
    <i>
      <x v="9"/>
    </i>
    <i t="grand">
      <x/>
    </i>
  </rowItems>
  <colFields count="1">
    <field x="6"/>
  </colFields>
  <colItems count="16">
    <i>
      <x v="3"/>
    </i>
    <i>
      <x v="5"/>
    </i>
    <i>
      <x v="6"/>
    </i>
    <i>
      <x v="11"/>
    </i>
    <i>
      <x v="17"/>
    </i>
    <i>
      <x v="18"/>
    </i>
    <i>
      <x v="19"/>
    </i>
    <i>
      <x v="20"/>
    </i>
    <i>
      <x v="21"/>
    </i>
    <i>
      <x v="22"/>
    </i>
    <i>
      <x v="23"/>
    </i>
    <i>
      <x v="24"/>
    </i>
    <i>
      <x v="25"/>
    </i>
    <i>
      <x v="26"/>
    </i>
    <i>
      <x v="27"/>
    </i>
    <i t="grand">
      <x/>
    </i>
  </colItems>
  <dataFields count="1">
    <dataField name="Sum of PJ" fld="9" baseField="0" baseItem="0"/>
  </dataFields>
  <chartFormats count="29">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77"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B3:D5" firstHeaderRow="1" firstDataRow="2" firstDataCol="2" rowPageCount="1" colPageCount="1"/>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7">
        <item m="1" x="36"/>
        <item m="1" x="20"/>
        <item m="1" x="19"/>
        <item m="1" x="26"/>
        <item m="1" x="32"/>
        <item m="1" x="35"/>
        <item m="1" x="33"/>
        <item m="1" x="24"/>
        <item m="1" x="29"/>
        <item m="1" x="30"/>
        <item m="1" x="25"/>
        <item m="1" x="34"/>
        <item m="1" x="21"/>
        <item m="1" x="17"/>
        <item m="1" x="23"/>
        <item m="1" x="18"/>
        <item m="1" x="22"/>
        <item m="1" x="28"/>
        <item m="1" x="27"/>
        <item m="1" x="31"/>
        <item x="0"/>
        <item x="1"/>
        <item x="2"/>
        <item x="3"/>
        <item x="4"/>
        <item x="5"/>
        <item x="6"/>
        <item x="7"/>
        <item x="8"/>
        <item x="9"/>
        <item x="10"/>
        <item x="11"/>
        <item x="12"/>
        <item x="13"/>
        <item x="14"/>
        <item x="15"/>
        <item x="1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44">
        <item h="1" m="1" x="130"/>
        <item h="1" m="1" x="134"/>
        <item h="1" m="1" x="71"/>
        <item h="1" m="1" x="77"/>
        <item h="1" m="1" x="139"/>
        <item h="1" m="1" x="80"/>
        <item h="1" m="1" x="82"/>
        <item h="1" m="1" x="31"/>
        <item h="1" m="1" x="124"/>
        <item h="1" m="1" x="69"/>
        <item h="1" m="1" x="132"/>
        <item h="1" m="1" x="78"/>
        <item h="1" m="1" x="32"/>
        <item h="1" m="1" x="131"/>
        <item h="1" m="1" x="91"/>
        <item h="1" m="1" x="122"/>
        <item h="1" m="1" x="30"/>
        <item h="1" m="1" x="81"/>
        <item h="1" m="1" x="85"/>
        <item h="1" m="1" x="42"/>
        <item h="1" m="1" x="106"/>
        <item h="1" m="1" x="54"/>
        <item h="1" m="1" x="112"/>
        <item h="1" m="1" x="44"/>
        <item h="1" m="1" x="138"/>
        <item h="1" m="1" x="118"/>
        <item h="1" m="1" x="135"/>
        <item h="1" m="1" x="65"/>
        <item h="1" m="1" x="63"/>
        <item h="1" m="1" x="119"/>
        <item h="1" m="1" x="73"/>
        <item h="1" m="1" x="136"/>
        <item h="1" m="1" x="66"/>
        <item h="1" m="1" x="137"/>
        <item h="1" m="1" x="61"/>
        <item h="1" m="1" x="48"/>
        <item h="1" m="1" x="33"/>
        <item h="1" m="1" x="90"/>
        <item h="1" m="1" x="70"/>
        <item h="1" m="1" x="49"/>
        <item h="1" m="1" x="62"/>
        <item h="1" m="1" x="116"/>
        <item h="1" m="1" x="43"/>
        <item h="1" m="1" x="64"/>
        <item h="1" m="1" x="104"/>
        <item h="1" m="1" x="76"/>
        <item h="1" m="1" x="105"/>
        <item h="1" m="1" x="143"/>
        <item h="1" m="1" x="117"/>
        <item h="1" m="1" x="89"/>
        <item h="1" m="1" x="59"/>
        <item h="1" m="1" x="111"/>
        <item h="1" m="1" x="58"/>
        <item h="1" m="1" x="101"/>
        <item h="1" m="1" x="95"/>
        <item h="1" m="1" x="51"/>
        <item h="1" m="1" x="52"/>
        <item h="1" m="1" x="126"/>
        <item h="1" m="1" x="115"/>
        <item h="1" m="1" x="97"/>
        <item h="1" m="1" x="41"/>
        <item h="1" m="1" x="86"/>
        <item h="1" m="1" x="72"/>
        <item h="1" m="1" x="79"/>
        <item h="1" m="1" x="100"/>
        <item h="1" m="1" x="57"/>
        <item h="1" m="1" x="34"/>
        <item h="1" m="1" x="47"/>
        <item h="1" m="1" x="38"/>
        <item h="1" m="1" x="83"/>
        <item h="1" m="1" x="129"/>
        <item h="1" m="1" x="107"/>
        <item m="1" x="141"/>
        <item m="1" x="110"/>
        <item h="1" m="1" x="55"/>
        <item h="1" m="1" x="127"/>
        <item h="1" m="1" x="114"/>
        <item h="1" m="1" x="40"/>
        <item h="1" m="1" x="123"/>
        <item h="1" m="1" x="88"/>
        <item h="1" m="1" x="94"/>
        <item h="1" m="1" x="56"/>
        <item h="1" m="1" x="140"/>
        <item h="1" m="1" x="68"/>
        <item h="1" m="1" x="142"/>
        <item h="1" m="1" x="39"/>
        <item h="1" m="1" x="37"/>
        <item h="1" m="1" x="120"/>
        <item h="1" m="1" x="121"/>
        <item h="1" m="1" x="102"/>
        <item h="1" m="1" x="99"/>
        <item h="1" m="1" x="93"/>
        <item h="1" m="1" x="50"/>
        <item h="1" m="1" x="45"/>
        <item h="1" m="1" x="92"/>
        <item h="1" m="1" x="53"/>
        <item h="1" m="1" x="84"/>
        <item h="1" m="1" x="113"/>
        <item h="1" m="1" x="46"/>
        <item h="1" m="1" x="35"/>
        <item h="1" m="1" x="128"/>
        <item h="1" m="1" x="125"/>
        <item h="1" m="1" x="60"/>
        <item h="1" m="1" x="36"/>
        <item h="1" m="1" x="96"/>
        <item h="1" m="1" x="108"/>
        <item h="1" m="1" x="103"/>
        <item h="1" m="1" x="74"/>
        <item h="1" m="1" x="98"/>
        <item h="1" m="1" x="133"/>
        <item h="1" m="1" x="109"/>
        <item h="1" m="1" x="75"/>
        <item h="1" m="1" x="87"/>
        <item h="1" m="1" x="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s>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8"/>
    <field x="9"/>
  </rowFields>
  <rowItems count="1">
    <i t="grand">
      <x/>
    </i>
  </rowItems>
  <colFields count="1">
    <field x="4"/>
  </colFields>
  <colItems count="1">
    <i t="grand">
      <x/>
    </i>
  </colItems>
  <pageFields count="1">
    <pageField fld="7" hier="-1"/>
  </pageFields>
  <dataFields count="1">
    <dataField name="Sum of MW" fld="10" baseField="0" baseItem="0"/>
  </dataFields>
  <chartFormats count="22">
    <chartFormat chart="1" format="91" series="1">
      <pivotArea type="data" outline="0" fieldPosition="0">
        <references count="2">
          <reference field="4294967294" count="1" selected="0">
            <x v="0"/>
          </reference>
          <reference field="7" count="1" selected="0">
            <x v="72"/>
          </reference>
        </references>
      </pivotArea>
    </chartFormat>
    <chartFormat chart="1" format="92" series="1">
      <pivotArea type="data" outline="0" fieldPosition="0">
        <references count="2">
          <reference field="4294967294" count="1" selected="0">
            <x v="0"/>
          </reference>
          <reference field="7" count="1" selected="0">
            <x v="73"/>
          </reference>
        </references>
      </pivotArea>
    </chartFormat>
    <chartFormat chart="1" format="93" series="1">
      <pivotArea type="data" outline="0" fieldPosition="0">
        <references count="1">
          <reference field="4294967294" count="1" selected="0">
            <x v="0"/>
          </reference>
        </references>
      </pivotArea>
    </chartFormat>
    <chartFormat chart="1" format="94" series="1">
      <pivotArea type="data" outline="0" fieldPosition="0">
        <references count="2">
          <reference field="4294967294" count="1" selected="0">
            <x v="0"/>
          </reference>
          <reference field="4" count="1" selected="0">
            <x v="1"/>
          </reference>
        </references>
      </pivotArea>
    </chartFormat>
    <chartFormat chart="1" format="95" series="1">
      <pivotArea type="data" outline="0" fieldPosition="0">
        <references count="2">
          <reference field="4294967294" count="1" selected="0">
            <x v="0"/>
          </reference>
          <reference field="4" count="1" selected="0">
            <x v="4"/>
          </reference>
        </references>
      </pivotArea>
    </chartFormat>
    <chartFormat chart="1" format="96" series="1">
      <pivotArea type="data" outline="0" fieldPosition="0">
        <references count="2">
          <reference field="4294967294" count="1" selected="0">
            <x v="0"/>
          </reference>
          <reference field="4" count="1" selected="0">
            <x v="5"/>
          </reference>
        </references>
      </pivotArea>
    </chartFormat>
    <chartFormat chart="1" format="97" series="1">
      <pivotArea type="data" outline="0" fieldPosition="0">
        <references count="2">
          <reference field="4294967294" count="1" selected="0">
            <x v="0"/>
          </reference>
          <reference field="4" count="1" selected="0">
            <x v="15"/>
          </reference>
        </references>
      </pivotArea>
    </chartFormat>
    <chartFormat chart="1" format="98" series="1">
      <pivotArea type="data" outline="0" fieldPosition="0">
        <references count="2">
          <reference field="4294967294" count="1" selected="0">
            <x v="0"/>
          </reference>
          <reference field="4" count="1" selected="0">
            <x v="6"/>
          </reference>
        </references>
      </pivotArea>
    </chartFormat>
    <chartFormat chart="1" format="99" series="1">
      <pivotArea type="data" outline="0" fieldPosition="0">
        <references count="2">
          <reference field="4294967294" count="1" selected="0">
            <x v="0"/>
          </reference>
          <reference field="4" count="1" selected="0">
            <x v="7"/>
          </reference>
        </references>
      </pivotArea>
    </chartFormat>
    <chartFormat chart="1" format="100" series="1">
      <pivotArea type="data" outline="0" fieldPosition="0">
        <references count="2">
          <reference field="4294967294" count="1" selected="0">
            <x v="0"/>
          </reference>
          <reference field="4" count="1" selected="0">
            <x v="8"/>
          </reference>
        </references>
      </pivotArea>
    </chartFormat>
    <chartFormat chart="1" format="101" series="1">
      <pivotArea type="data" outline="0" fieldPosition="0">
        <references count="2">
          <reference field="4294967294" count="1" selected="0">
            <x v="0"/>
          </reference>
          <reference field="4" count="1" selected="0">
            <x v="9"/>
          </reference>
        </references>
      </pivotArea>
    </chartFormat>
    <chartFormat chart="1" format="102" series="1">
      <pivotArea type="data" outline="0" fieldPosition="0">
        <references count="2">
          <reference field="4294967294" count="1" selected="0">
            <x v="0"/>
          </reference>
          <reference field="4" count="1" selected="0">
            <x v="10"/>
          </reference>
        </references>
      </pivotArea>
    </chartFormat>
    <chartFormat chart="1" format="103" series="1">
      <pivotArea type="data" outline="0" fieldPosition="0">
        <references count="2">
          <reference field="4294967294" count="1" selected="0">
            <x v="0"/>
          </reference>
          <reference field="4" count="1" selected="0">
            <x v="11"/>
          </reference>
        </references>
      </pivotArea>
    </chartFormat>
    <chartFormat chart="1" format="104" series="1">
      <pivotArea type="data" outline="0" fieldPosition="0">
        <references count="2">
          <reference field="4294967294" count="1" selected="0">
            <x v="0"/>
          </reference>
          <reference field="4" count="1" selected="0">
            <x v="12"/>
          </reference>
        </references>
      </pivotArea>
    </chartFormat>
    <chartFormat chart="1" format="105" series="1">
      <pivotArea type="data" outline="0" fieldPosition="0">
        <references count="2">
          <reference field="4294967294" count="1" selected="0">
            <x v="0"/>
          </reference>
          <reference field="4" count="1" selected="0">
            <x v="13"/>
          </reference>
        </references>
      </pivotArea>
    </chartFormat>
    <chartFormat chart="1" format="106" series="1">
      <pivotArea type="data" outline="0" fieldPosition="0">
        <references count="2">
          <reference field="4294967294" count="1" selected="0">
            <x v="0"/>
          </reference>
          <reference field="4" count="1" selected="0">
            <x v="14"/>
          </reference>
        </references>
      </pivotArea>
    </chartFormat>
    <chartFormat chart="1" format="107" series="1">
      <pivotArea type="data" outline="0" fieldPosition="0">
        <references count="2">
          <reference field="4294967294" count="1" selected="0">
            <x v="0"/>
          </reference>
          <reference field="4" count="1" selected="0">
            <x v="16"/>
          </reference>
        </references>
      </pivotArea>
    </chartFormat>
    <chartFormat chart="1" format="108" series="1">
      <pivotArea type="data" outline="0" fieldPosition="0">
        <references count="2">
          <reference field="4294967294" count="1" selected="0">
            <x v="0"/>
          </reference>
          <reference field="4" count="1" selected="0">
            <x v="19"/>
          </reference>
        </references>
      </pivotArea>
    </chartFormat>
    <chartFormat chart="1" format="109" series="1">
      <pivotArea type="data" outline="0" fieldPosition="0">
        <references count="2">
          <reference field="4294967294" count="1" selected="0">
            <x v="0"/>
          </reference>
          <reference field="4" count="1" selected="0">
            <x v="18"/>
          </reference>
        </references>
      </pivotArea>
    </chartFormat>
    <chartFormat chart="1" format="110" series="1">
      <pivotArea type="data" outline="0" fieldPosition="0">
        <references count="2">
          <reference field="4294967294" count="1" selected="0">
            <x v="0"/>
          </reference>
          <reference field="4" count="1" selected="0">
            <x v="2"/>
          </reference>
        </references>
      </pivotArea>
    </chartFormat>
    <chartFormat chart="1" format="111" series="1">
      <pivotArea type="data" outline="0" fieldPosition="0">
        <references count="2">
          <reference field="4294967294" count="1" selected="0">
            <x v="0"/>
          </reference>
          <reference field="4" count="1" selected="0">
            <x v="3"/>
          </reference>
        </references>
      </pivotArea>
    </chartFormat>
    <chartFormat chart="1" format="112" series="1">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1" cacheId="7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B3:U16" firstHeaderRow="1" firstDataRow="2" firstDataCol="1"/>
  <pivotFields count="10">
    <pivotField showAll="0"/>
    <pivotField showAll="0"/>
    <pivotField showAll="0" defaultSubtotal="0"/>
    <pivotField axis="axisRow" showAll="0">
      <items count="16">
        <item m="1" x="14"/>
        <item x="0"/>
        <item x="1"/>
        <item x="2"/>
        <item m="1" x="11"/>
        <item x="3"/>
        <item m="1" x="13"/>
        <item m="1" x="12"/>
        <item x="4"/>
        <item x="5"/>
        <item x="7"/>
        <item x="8"/>
        <item x="9"/>
        <item x="6"/>
        <item x="10"/>
        <item t="default"/>
      </items>
    </pivotField>
    <pivotField showAll="0"/>
    <pivotField showAll="0"/>
    <pivotField axis="axisCol" showAll="0">
      <items count="33">
        <item x="0"/>
        <item m="1" x="30"/>
        <item m="1" x="24"/>
        <item m="1" x="21"/>
        <item x="14"/>
        <item m="1" x="25"/>
        <item x="2"/>
        <item x="3"/>
        <item m="1" x="29"/>
        <item m="1" x="18"/>
        <item m="1" x="22"/>
        <item m="1" x="20"/>
        <item x="9"/>
        <item x="15"/>
        <item m="1" x="23"/>
        <item x="8"/>
        <item x="1"/>
        <item m="1" x="26"/>
        <item m="1" x="19"/>
        <item m="1" x="28"/>
        <item m="1" x="31"/>
        <item x="4"/>
        <item x="5"/>
        <item x="6"/>
        <item x="7"/>
        <item x="10"/>
        <item x="11"/>
        <item x="12"/>
        <item x="13"/>
        <item x="16"/>
        <item x="17"/>
        <item m="1" x="27"/>
        <item t="default"/>
      </items>
    </pivotField>
    <pivotField showAll="0"/>
    <pivotField dataField="1" showAll="0"/>
    <pivotField showAll="0"/>
  </pivotFields>
  <rowFields count="1">
    <field x="3"/>
  </rowFields>
  <rowItems count="12">
    <i>
      <x v="1"/>
    </i>
    <i>
      <x v="2"/>
    </i>
    <i>
      <x v="3"/>
    </i>
    <i>
      <x v="5"/>
    </i>
    <i>
      <x v="8"/>
    </i>
    <i>
      <x v="9"/>
    </i>
    <i>
      <x v="10"/>
    </i>
    <i>
      <x v="11"/>
    </i>
    <i>
      <x v="12"/>
    </i>
    <i>
      <x v="13"/>
    </i>
    <i>
      <x v="14"/>
    </i>
    <i t="grand">
      <x/>
    </i>
  </rowItems>
  <colFields count="1">
    <field x="6"/>
  </colFields>
  <colItems count="19">
    <i>
      <x/>
    </i>
    <i>
      <x v="4"/>
    </i>
    <i>
      <x v="6"/>
    </i>
    <i>
      <x v="7"/>
    </i>
    <i>
      <x v="12"/>
    </i>
    <i>
      <x v="13"/>
    </i>
    <i>
      <x v="15"/>
    </i>
    <i>
      <x v="16"/>
    </i>
    <i>
      <x v="21"/>
    </i>
    <i>
      <x v="22"/>
    </i>
    <i>
      <x v="23"/>
    </i>
    <i>
      <x v="24"/>
    </i>
    <i>
      <x v="25"/>
    </i>
    <i>
      <x v="26"/>
    </i>
    <i>
      <x v="27"/>
    </i>
    <i>
      <x v="28"/>
    </i>
    <i>
      <x v="29"/>
    </i>
    <i>
      <x v="30"/>
    </i>
    <i t="grand">
      <x/>
    </i>
  </colItems>
  <dataFields count="1">
    <dataField name="Sum of TWh" fld="8" baseField="0" baseItem="0"/>
  </dataFields>
  <chartFormats count="51">
    <chartFormat chart="0" format="21" series="1">
      <pivotArea type="data" outline="0" fieldPosition="0">
        <references count="1">
          <reference field="6" count="1" selected="0">
            <x v="0"/>
          </reference>
        </references>
      </pivotArea>
    </chartFormat>
    <chartFormat chart="0" format="22" series="1">
      <pivotArea type="data" outline="0" fieldPosition="0">
        <references count="1">
          <reference field="6" count="1" selected="0">
            <x v="1"/>
          </reference>
        </references>
      </pivotArea>
    </chartFormat>
    <chartFormat chart="0" format="23" series="1">
      <pivotArea type="data" outline="0" fieldPosition="0">
        <references count="1">
          <reference field="6" count="1" selected="0">
            <x v="2"/>
          </reference>
        </references>
      </pivotArea>
    </chartFormat>
    <chartFormat chart="0" format="24" series="1">
      <pivotArea type="data" outline="0" fieldPosition="0">
        <references count="1">
          <reference field="6" count="1" selected="0">
            <x v="3"/>
          </reference>
        </references>
      </pivotArea>
    </chartFormat>
    <chartFormat chart="0" format="25" series="1">
      <pivotArea type="data" outline="0" fieldPosition="0">
        <references count="1">
          <reference field="6" count="1" selected="0">
            <x v="4"/>
          </reference>
        </references>
      </pivotArea>
    </chartFormat>
    <chartFormat chart="0" format="26" series="1">
      <pivotArea type="data" outline="0" fieldPosition="0">
        <references count="1">
          <reference field="6" count="1" selected="0">
            <x v="5"/>
          </reference>
        </references>
      </pivotArea>
    </chartFormat>
    <chartFormat chart="0" format="27" series="1">
      <pivotArea type="data" outline="0" fieldPosition="0">
        <references count="1">
          <reference field="6" count="1" selected="0">
            <x v="6"/>
          </reference>
        </references>
      </pivotArea>
    </chartFormat>
    <chartFormat chart="0" format="28" series="1">
      <pivotArea type="data" outline="0" fieldPosition="0">
        <references count="1">
          <reference field="6" count="1" selected="0">
            <x v="7"/>
          </reference>
        </references>
      </pivotArea>
    </chartFormat>
    <chartFormat chart="0" format="29" series="1">
      <pivotArea type="data" outline="0" fieldPosition="0">
        <references count="1">
          <reference field="6" count="1" selected="0">
            <x v="8"/>
          </reference>
        </references>
      </pivotArea>
    </chartFormat>
    <chartFormat chart="0" format="30" series="1">
      <pivotArea type="data" outline="0" fieldPosition="0">
        <references count="1">
          <reference field="6" count="1" selected="0">
            <x v="9"/>
          </reference>
        </references>
      </pivotArea>
    </chartFormat>
    <chartFormat chart="0" format="31" series="1">
      <pivotArea type="data" outline="0" fieldPosition="0">
        <references count="1">
          <reference field="6" count="1" selected="0">
            <x v="10"/>
          </reference>
        </references>
      </pivotArea>
    </chartFormat>
    <chartFormat chart="0" format="32" series="1">
      <pivotArea type="data" outline="0" fieldPosition="0">
        <references count="1">
          <reference field="6" count="1" selected="0">
            <x v="11"/>
          </reference>
        </references>
      </pivotArea>
    </chartFormat>
    <chartFormat chart="0" format="33" series="1">
      <pivotArea type="data" outline="0" fieldPosition="0">
        <references count="1">
          <reference field="6" count="1" selected="0">
            <x v="12"/>
          </reference>
        </references>
      </pivotArea>
    </chartFormat>
    <chartFormat chart="0" format="34" series="1">
      <pivotArea type="data" outline="0" fieldPosition="0">
        <references count="1">
          <reference field="6" count="1" selected="0">
            <x v="13"/>
          </reference>
        </references>
      </pivotArea>
    </chartFormat>
    <chartFormat chart="0" format="35" series="1">
      <pivotArea type="data" outline="0" fieldPosition="0">
        <references count="1">
          <reference field="6" count="1" selected="0">
            <x v="14"/>
          </reference>
        </references>
      </pivotArea>
    </chartFormat>
    <chartFormat chart="0" format="36" series="1">
      <pivotArea type="data" outline="0" fieldPosition="0">
        <references count="1">
          <reference field="6" count="1" selected="0">
            <x v="15"/>
          </reference>
        </references>
      </pivotArea>
    </chartFormat>
    <chartFormat chart="0" format="37" series="1">
      <pivotArea type="data" outline="0" fieldPosition="0">
        <references count="1">
          <reference field="6" count="1" selected="0">
            <x v="16"/>
          </reference>
        </references>
      </pivotArea>
    </chartFormat>
    <chartFormat chart="0" format="38" series="1">
      <pivotArea type="data" outline="0" fieldPosition="0">
        <references count="1">
          <reference field="6" count="1" selected="0">
            <x v="17"/>
          </reference>
        </references>
      </pivotArea>
    </chartFormat>
    <chartFormat chart="0" format="39" series="1">
      <pivotArea type="data" outline="0" fieldPosition="0">
        <references count="1">
          <reference field="6" count="1" selected="0">
            <x v="18"/>
          </reference>
        </references>
      </pivotArea>
    </chartFormat>
    <chartFormat chart="0" format="40" series="1">
      <pivotArea type="data" outline="0" fieldPosition="0">
        <references count="1">
          <reference field="6" count="1" selected="0">
            <x v="19"/>
          </reference>
        </references>
      </pivotArea>
    </chartFormat>
    <chartFormat chart="0" format="41" series="1">
      <pivotArea type="data" outline="0" fieldPosition="0">
        <references count="1">
          <reference field="6" count="1" selected="0">
            <x v="20"/>
          </reference>
        </references>
      </pivotArea>
    </chartFormat>
    <chartFormat chart="0" format="60" series="1">
      <pivotArea type="data" outline="0" fieldPosition="0">
        <references count="2">
          <reference field="4294967294" count="1" selected="0">
            <x v="0"/>
          </reference>
          <reference field="6" count="1" selected="0">
            <x v="1"/>
          </reference>
        </references>
      </pivotArea>
    </chartFormat>
    <chartFormat chart="0" format="61" series="1">
      <pivotArea type="data" outline="0" fieldPosition="0">
        <references count="2">
          <reference field="4294967294" count="1" selected="0">
            <x v="0"/>
          </reference>
          <reference field="6" count="1" selected="0">
            <x v="4"/>
          </reference>
        </references>
      </pivotArea>
    </chartFormat>
    <chartFormat chart="0" format="62" series="1">
      <pivotArea type="data" outline="0" fieldPosition="0">
        <references count="2">
          <reference field="4294967294" count="1" selected="0">
            <x v="0"/>
          </reference>
          <reference field="6" count="1" selected="0">
            <x v="5"/>
          </reference>
        </references>
      </pivotArea>
    </chartFormat>
    <chartFormat chart="0" format="63" series="1">
      <pivotArea type="data" outline="0" fieldPosition="0">
        <references count="2">
          <reference field="4294967294" count="1" selected="0">
            <x v="0"/>
          </reference>
          <reference field="6" count="1" selected="0">
            <x v="6"/>
          </reference>
        </references>
      </pivotArea>
    </chartFormat>
    <chartFormat chart="0" format="64" series="1">
      <pivotArea type="data" outline="0" fieldPosition="0">
        <references count="2">
          <reference field="4294967294" count="1" selected="0">
            <x v="0"/>
          </reference>
          <reference field="6" count="1" selected="0">
            <x v="7"/>
          </reference>
        </references>
      </pivotArea>
    </chartFormat>
    <chartFormat chart="0" format="65" series="1">
      <pivotArea type="data" outline="0" fieldPosition="0">
        <references count="2">
          <reference field="4294967294" count="1" selected="0">
            <x v="0"/>
          </reference>
          <reference field="6" count="1" selected="0">
            <x v="8"/>
          </reference>
        </references>
      </pivotArea>
    </chartFormat>
    <chartFormat chart="0" format="66" series="1">
      <pivotArea type="data" outline="0" fieldPosition="0">
        <references count="2">
          <reference field="4294967294" count="1" selected="0">
            <x v="0"/>
          </reference>
          <reference field="6" count="1" selected="0">
            <x v="9"/>
          </reference>
        </references>
      </pivotArea>
    </chartFormat>
    <chartFormat chart="0" format="67" series="1">
      <pivotArea type="data" outline="0" fieldPosition="0">
        <references count="2">
          <reference field="4294967294" count="1" selected="0">
            <x v="0"/>
          </reference>
          <reference field="6" count="1" selected="0">
            <x v="10"/>
          </reference>
        </references>
      </pivotArea>
    </chartFormat>
    <chartFormat chart="0" format="68" series="1">
      <pivotArea type="data" outline="0" fieldPosition="0">
        <references count="2">
          <reference field="4294967294" count="1" selected="0">
            <x v="0"/>
          </reference>
          <reference field="6" count="1" selected="0">
            <x v="11"/>
          </reference>
        </references>
      </pivotArea>
    </chartFormat>
    <chartFormat chart="0" format="69" series="1">
      <pivotArea type="data" outline="0" fieldPosition="0">
        <references count="2">
          <reference field="4294967294" count="1" selected="0">
            <x v="0"/>
          </reference>
          <reference field="6" count="1" selected="0">
            <x v="12"/>
          </reference>
        </references>
      </pivotArea>
    </chartFormat>
    <chartFormat chart="0" format="70" series="1">
      <pivotArea type="data" outline="0" fieldPosition="0">
        <references count="2">
          <reference field="4294967294" count="1" selected="0">
            <x v="0"/>
          </reference>
          <reference field="6" count="1" selected="0">
            <x v="13"/>
          </reference>
        </references>
      </pivotArea>
    </chartFormat>
    <chartFormat chart="0" format="71" series="1">
      <pivotArea type="data" outline="0" fieldPosition="0">
        <references count="2">
          <reference field="4294967294" count="1" selected="0">
            <x v="0"/>
          </reference>
          <reference field="6" count="1" selected="0">
            <x v="14"/>
          </reference>
        </references>
      </pivotArea>
    </chartFormat>
    <chartFormat chart="0" format="72" series="1">
      <pivotArea type="data" outline="0" fieldPosition="0">
        <references count="2">
          <reference field="4294967294" count="1" selected="0">
            <x v="0"/>
          </reference>
          <reference field="6" count="1" selected="0">
            <x v="15"/>
          </reference>
        </references>
      </pivotArea>
    </chartFormat>
    <chartFormat chart="0" format="73" series="1">
      <pivotArea type="data" outline="0" fieldPosition="0">
        <references count="2">
          <reference field="4294967294" count="1" selected="0">
            <x v="0"/>
          </reference>
          <reference field="6" count="1" selected="0">
            <x v="16"/>
          </reference>
        </references>
      </pivotArea>
    </chartFormat>
    <chartFormat chart="0" format="74" series="1">
      <pivotArea type="data" outline="0" fieldPosition="0">
        <references count="2">
          <reference field="4294967294" count="1" selected="0">
            <x v="0"/>
          </reference>
          <reference field="6" count="1" selected="0">
            <x v="17"/>
          </reference>
        </references>
      </pivotArea>
    </chartFormat>
    <chartFormat chart="0" format="75" series="1">
      <pivotArea type="data" outline="0" fieldPosition="0">
        <references count="2">
          <reference field="4294967294" count="1" selected="0">
            <x v="0"/>
          </reference>
          <reference field="6" count="1" selected="0">
            <x v="18"/>
          </reference>
        </references>
      </pivotArea>
    </chartFormat>
    <chartFormat chart="0" format="76" series="1">
      <pivotArea type="data" outline="0" fieldPosition="0">
        <references count="2">
          <reference field="4294967294" count="1" selected="0">
            <x v="0"/>
          </reference>
          <reference field="6" count="1" selected="0">
            <x v="19"/>
          </reference>
        </references>
      </pivotArea>
    </chartFormat>
    <chartFormat chart="0" format="77" series="1">
      <pivotArea type="data" outline="0" fieldPosition="0">
        <references count="2">
          <reference field="4294967294" count="1" selected="0">
            <x v="0"/>
          </reference>
          <reference field="6" count="1" selected="0">
            <x v="20"/>
          </reference>
        </references>
      </pivotArea>
    </chartFormat>
    <chartFormat chart="0" format="78" series="1">
      <pivotArea type="data" outline="0" fieldPosition="0">
        <references count="2">
          <reference field="4294967294" count="1" selected="0">
            <x v="0"/>
          </reference>
          <reference field="6" count="1" selected="0">
            <x v="21"/>
          </reference>
        </references>
      </pivotArea>
    </chartFormat>
    <chartFormat chart="0" format="79" series="1">
      <pivotArea type="data" outline="0" fieldPosition="0">
        <references count="2">
          <reference field="4294967294" count="1" selected="0">
            <x v="0"/>
          </reference>
          <reference field="6" count="1" selected="0">
            <x v="22"/>
          </reference>
        </references>
      </pivotArea>
    </chartFormat>
    <chartFormat chart="0" format="80" series="1">
      <pivotArea type="data" outline="0" fieldPosition="0">
        <references count="2">
          <reference field="4294967294" count="1" selected="0">
            <x v="0"/>
          </reference>
          <reference field="6" count="1" selected="0">
            <x v="23"/>
          </reference>
        </references>
      </pivotArea>
    </chartFormat>
    <chartFormat chart="0" format="81" series="1">
      <pivotArea type="data" outline="0" fieldPosition="0">
        <references count="2">
          <reference field="4294967294" count="1" selected="0">
            <x v="0"/>
          </reference>
          <reference field="6" count="1" selected="0">
            <x v="24"/>
          </reference>
        </references>
      </pivotArea>
    </chartFormat>
    <chartFormat chart="0" format="82" series="1">
      <pivotArea type="data" outline="0" fieldPosition="0">
        <references count="2">
          <reference field="4294967294" count="1" selected="0">
            <x v="0"/>
          </reference>
          <reference field="6" count="1" selected="0">
            <x v="25"/>
          </reference>
        </references>
      </pivotArea>
    </chartFormat>
    <chartFormat chart="0" format="83" series="1">
      <pivotArea type="data" outline="0" fieldPosition="0">
        <references count="2">
          <reference field="4294967294" count="1" selected="0">
            <x v="0"/>
          </reference>
          <reference field="6" count="1" selected="0">
            <x v="26"/>
          </reference>
        </references>
      </pivotArea>
    </chartFormat>
    <chartFormat chart="0" format="84" series="1">
      <pivotArea type="data" outline="0" fieldPosition="0">
        <references count="2">
          <reference field="4294967294" count="1" selected="0">
            <x v="0"/>
          </reference>
          <reference field="6" count="1" selected="0">
            <x v="27"/>
          </reference>
        </references>
      </pivotArea>
    </chartFormat>
    <chartFormat chart="0" format="85" series="1">
      <pivotArea type="data" outline="0" fieldPosition="0">
        <references count="2">
          <reference field="4294967294" count="1" selected="0">
            <x v="0"/>
          </reference>
          <reference field="6" count="1" selected="0">
            <x v="28"/>
          </reference>
        </references>
      </pivotArea>
    </chartFormat>
    <chartFormat chart="0" format="86" series="1">
      <pivotArea type="data" outline="0" fieldPosition="0">
        <references count="2">
          <reference field="4294967294" count="1" selected="0">
            <x v="0"/>
          </reference>
          <reference field="6" count="1" selected="0">
            <x v="29"/>
          </reference>
        </references>
      </pivotArea>
    </chartFormat>
    <chartFormat chart="0" format="87" series="1">
      <pivotArea type="data" outline="0" fieldPosition="0">
        <references count="2">
          <reference field="4294967294" count="1" selected="0">
            <x v="0"/>
          </reference>
          <reference field="6" count="1" selected="0">
            <x v="30"/>
          </reference>
        </references>
      </pivotArea>
    </chartFormat>
    <chartFormat chart="0" format="88" series="1">
      <pivotArea type="data" outline="0" fieldPosition="0">
        <references count="2">
          <reference field="4294967294" count="1" selected="0">
            <x v="0"/>
          </reference>
          <reference field="6" count="1" selected="0">
            <x v="31"/>
          </reference>
        </references>
      </pivotArea>
    </chartFormat>
    <chartFormat chart="0" format="89"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7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B3:E8" firstHeaderRow="0" firstDataRow="1" firstDataCol="1"/>
  <pivotFields count="14">
    <pivotField showAll="0"/>
    <pivotField showAll="0"/>
    <pivotField showAll="0" defaultSubtotal="0"/>
    <pivotField axis="axisRow" showAll="0">
      <items count="14">
        <item m="1" x="12"/>
        <item x="0"/>
        <item m="1" x="5"/>
        <item m="1" x="11"/>
        <item m="1" x="8"/>
        <item x="1"/>
        <item x="2"/>
        <item m="1" x="10"/>
        <item x="3"/>
        <item m="1" x="7"/>
        <item m="1" x="4"/>
        <item m="1" x="9"/>
        <item m="1" x="6"/>
        <item t="default"/>
      </items>
    </pivotField>
    <pivotField showAll="0"/>
    <pivotField showAll="0"/>
    <pivotField showAll="0"/>
    <pivotField showAll="0"/>
    <pivotField showAll="0"/>
    <pivotField dataField="1" showAll="0"/>
    <pivotField dataField="1" showAll="0"/>
    <pivotField showAll="0"/>
    <pivotField dataField="1" showAll="0"/>
    <pivotField showAll="0"/>
  </pivotFields>
  <rowFields count="1">
    <field x="3"/>
  </rowFields>
  <rowItems count="5">
    <i>
      <x v="1"/>
    </i>
    <i>
      <x v="5"/>
    </i>
    <i>
      <x v="6"/>
    </i>
    <i>
      <x v="8"/>
    </i>
    <i t="grand">
      <x/>
    </i>
  </rowItems>
  <colFields count="1">
    <field x="-2"/>
  </colFields>
  <colItems count="3">
    <i>
      <x/>
    </i>
    <i i="1">
      <x v="1"/>
    </i>
    <i i="2">
      <x v="2"/>
    </i>
  </colItem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7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C5:D7" firstHeaderRow="1" firstDataRow="2" firstDataCol="1"/>
  <pivotFields count="10">
    <pivotField showAll="0"/>
    <pivotField showAll="0" defaultSubtotal="0"/>
    <pivotField showAll="0" defaultSubtotal="0"/>
    <pivotField showAll="0"/>
    <pivotField axis="axisCol" showAll="0">
      <items count="36">
        <item h="1" m="1" x="34"/>
        <item h="1" m="1" x="18"/>
        <item h="1" m="1" x="17"/>
        <item h="1" m="1" x="24"/>
        <item h="1" m="1" x="30"/>
        <item m="1" x="33"/>
        <item h="1" m="1" x="31"/>
        <item h="1" m="1" x="22"/>
        <item h="1" m="1" x="27"/>
        <item h="1" m="1" x="28"/>
        <item h="1" m="1" x="23"/>
        <item h="1" m="1" x="32"/>
        <item h="1" m="1" x="19"/>
        <item h="1" m="1" x="15"/>
        <item h="1" m="1" x="21"/>
        <item h="1" m="1" x="16"/>
        <item h="1" m="1" x="20"/>
        <item h="1" m="1" x="26"/>
        <item h="1" m="1" x="25"/>
        <item h="1" m="1" x="29"/>
        <item h="1" x="0"/>
        <item h="1" x="1"/>
        <item h="1" x="2"/>
        <item h="1" x="3"/>
        <item h="1" x="4"/>
        <item h="1" x="5"/>
        <item h="1" x="6"/>
        <item h="1" x="7"/>
        <item h="1" x="8"/>
        <item h="1" x="9"/>
        <item h="1" x="10"/>
        <item h="1" x="11"/>
        <item h="1" x="12"/>
        <item h="1" x="13"/>
        <item h="1" x="14"/>
        <item t="default"/>
      </items>
    </pivotField>
    <pivotField showAll="0"/>
    <pivotField axis="axisRow" showAll="0">
      <items count="53">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 t="default"/>
      </items>
    </pivotField>
    <pivotField axis="axisRow" showAll="0">
      <items count="169">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 t="default"/>
      </items>
    </pivotField>
    <pivotField dataField="1" showAll="0"/>
    <pivotField showAll="0"/>
  </pivotFields>
  <rowFields count="2">
    <field x="6"/>
    <field x="7"/>
  </rowFields>
  <rowItems count="1">
    <i t="grand">
      <x/>
    </i>
  </rowItems>
  <colFields count="1">
    <field x="4"/>
  </colFields>
  <colItems count="1">
    <i t="grand">
      <x/>
    </i>
  </colItems>
  <dataFields count="1">
    <dataField name="Sum of MWh" fld="8" baseField="0" baseItem="0"/>
  </dataFields>
  <chartFormats count="20">
    <chartFormat chart="1" format="9" series="1">
      <pivotArea type="data" outline="0" fieldPosition="0">
        <references count="1">
          <reference field="4294967294" count="1" selected="0">
            <x v="0"/>
          </reference>
        </references>
      </pivotArea>
    </chartFormat>
    <chartFormat chart="1" format="10" series="1">
      <pivotArea type="data" outline="0" fieldPosition="0">
        <references count="2">
          <reference field="4294967294" count="1" selected="0">
            <x v="0"/>
          </reference>
          <reference field="4" count="1" selected="0">
            <x v="1"/>
          </reference>
        </references>
      </pivotArea>
    </chartFormat>
    <chartFormat chart="1" format="11" series="1">
      <pivotArea type="data" outline="0" fieldPosition="0">
        <references count="2">
          <reference field="4294967294" count="1" selected="0">
            <x v="0"/>
          </reference>
          <reference field="4" count="1" selected="0">
            <x v="2"/>
          </reference>
        </references>
      </pivotArea>
    </chartFormat>
    <chartFormat chart="1" format="12" series="1">
      <pivotArea type="data" outline="0" fieldPosition="0">
        <references count="2">
          <reference field="4294967294" count="1" selected="0">
            <x v="0"/>
          </reference>
          <reference field="4" count="1" selected="0">
            <x v="3"/>
          </reference>
        </references>
      </pivotArea>
    </chartFormat>
    <chartFormat chart="1" format="13" series="1">
      <pivotArea type="data" outline="0" fieldPosition="0">
        <references count="2">
          <reference field="4294967294" count="1" selected="0">
            <x v="0"/>
          </reference>
          <reference field="4" count="1" selected="0">
            <x v="4"/>
          </reference>
        </references>
      </pivotArea>
    </chartFormat>
    <chartFormat chart="1" format="14" series="1">
      <pivotArea type="data" outline="0" fieldPosition="0">
        <references count="2">
          <reference field="4294967294" count="1" selected="0">
            <x v="0"/>
          </reference>
          <reference field="4" count="1" selected="0">
            <x v="5"/>
          </reference>
        </references>
      </pivotArea>
    </chartFormat>
    <chartFormat chart="1" format="15" series="1">
      <pivotArea type="data" outline="0" fieldPosition="0">
        <references count="2">
          <reference field="4294967294" count="1" selected="0">
            <x v="0"/>
          </reference>
          <reference field="4" count="1" selected="0">
            <x v="6"/>
          </reference>
        </references>
      </pivotArea>
    </chartFormat>
    <chartFormat chart="1" format="16" series="1">
      <pivotArea type="data" outline="0" fieldPosition="0">
        <references count="2">
          <reference field="4294967294" count="1" selected="0">
            <x v="0"/>
          </reference>
          <reference field="4" count="1" selected="0">
            <x v="7"/>
          </reference>
        </references>
      </pivotArea>
    </chartFormat>
    <chartFormat chart="1" format="17" series="1">
      <pivotArea type="data" outline="0" fieldPosition="0">
        <references count="2">
          <reference field="4294967294" count="1" selected="0">
            <x v="0"/>
          </reference>
          <reference field="4" count="1" selected="0">
            <x v="8"/>
          </reference>
        </references>
      </pivotArea>
    </chartFormat>
    <chartFormat chart="1" format="18" series="1">
      <pivotArea type="data" outline="0" fieldPosition="0">
        <references count="2">
          <reference field="4294967294" count="1" selected="0">
            <x v="0"/>
          </reference>
          <reference field="4" count="1" selected="0">
            <x v="9"/>
          </reference>
        </references>
      </pivotArea>
    </chartFormat>
    <chartFormat chart="1" format="19" series="1">
      <pivotArea type="data" outline="0" fieldPosition="0">
        <references count="2">
          <reference field="4294967294" count="1" selected="0">
            <x v="0"/>
          </reference>
          <reference field="4" count="1" selected="0">
            <x v="10"/>
          </reference>
        </references>
      </pivotArea>
    </chartFormat>
    <chartFormat chart="1" format="20" series="1">
      <pivotArea type="data" outline="0" fieldPosition="0">
        <references count="2">
          <reference field="4294967294" count="1" selected="0">
            <x v="0"/>
          </reference>
          <reference field="4" count="1" selected="0">
            <x v="11"/>
          </reference>
        </references>
      </pivotArea>
    </chartFormat>
    <chartFormat chart="1" format="21" series="1">
      <pivotArea type="data" outline="0" fieldPosition="0">
        <references count="2">
          <reference field="4294967294" count="1" selected="0">
            <x v="0"/>
          </reference>
          <reference field="4" count="1" selected="0">
            <x v="12"/>
          </reference>
        </references>
      </pivotArea>
    </chartFormat>
    <chartFormat chart="1" format="22" series="1">
      <pivotArea type="data" outline="0" fieldPosition="0">
        <references count="2">
          <reference field="4294967294" count="1" selected="0">
            <x v="0"/>
          </reference>
          <reference field="4" count="1" selected="0">
            <x v="13"/>
          </reference>
        </references>
      </pivotArea>
    </chartFormat>
    <chartFormat chart="1" format="23" series="1">
      <pivotArea type="data" outline="0" fieldPosition="0">
        <references count="2">
          <reference field="4294967294" count="1" selected="0">
            <x v="0"/>
          </reference>
          <reference field="4" count="1" selected="0">
            <x v="14"/>
          </reference>
        </references>
      </pivotArea>
    </chartFormat>
    <chartFormat chart="1" format="24" series="1">
      <pivotArea type="data" outline="0" fieldPosition="0">
        <references count="2">
          <reference field="4294967294" count="1" selected="0">
            <x v="0"/>
          </reference>
          <reference field="4" count="1" selected="0">
            <x v="15"/>
          </reference>
        </references>
      </pivotArea>
    </chartFormat>
    <chartFormat chart="1" format="25" series="1">
      <pivotArea type="data" outline="0" fieldPosition="0">
        <references count="2">
          <reference field="4294967294" count="1" selected="0">
            <x v="0"/>
          </reference>
          <reference field="4" count="1" selected="0">
            <x v="16"/>
          </reference>
        </references>
      </pivotArea>
    </chartFormat>
    <chartFormat chart="1" format="26" series="1">
      <pivotArea type="data" outline="0" fieldPosition="0">
        <references count="2">
          <reference field="4294967294" count="1" selected="0">
            <x v="0"/>
          </reference>
          <reference field="4" count="1" selected="0">
            <x v="17"/>
          </reference>
        </references>
      </pivotArea>
    </chartFormat>
    <chartFormat chart="1" format="27" series="1">
      <pivotArea type="data" outline="0" fieldPosition="0">
        <references count="2">
          <reference field="4294967294" count="1" selected="0">
            <x v="0"/>
          </reference>
          <reference field="4" count="1" selected="0">
            <x v="18"/>
          </reference>
        </references>
      </pivotArea>
    </chartFormat>
    <chartFormat chart="1" format="28" series="1">
      <pivotArea type="data" outline="0" fieldPosition="0">
        <references count="2">
          <reference field="4294967294" count="1" selected="0">
            <x v="0"/>
          </reference>
          <reference field="4"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7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C4:J18" firstHeaderRow="1" firstDataRow="2" firstDataCol="1"/>
  <pivotFields count="8">
    <pivotField showAll="0"/>
    <pivotField showAll="0" defaultSubtotal="0"/>
    <pivotField showAll="0" defaultSubtotal="0"/>
    <pivotField axis="axisCol" showAll="0">
      <items count="9">
        <item x="0"/>
        <item m="1" x="7"/>
        <item x="1"/>
        <item m="1" x="6"/>
        <item x="4"/>
        <item x="5"/>
        <item x="2"/>
        <item x="3"/>
        <item t="default"/>
      </items>
    </pivotField>
    <pivotField showAll="0"/>
    <pivotField showAll="0"/>
    <pivotField axis="axisRow" showAll="0">
      <items count="13">
        <item x="0"/>
        <item x="1"/>
        <item x="2"/>
        <item x="3"/>
        <item x="4"/>
        <item x="5"/>
        <item x="6"/>
        <item x="7"/>
        <item x="8"/>
        <item x="9"/>
        <item x="10"/>
        <item x="11"/>
        <item t="default"/>
      </items>
    </pivotField>
    <pivotField dataField="1" showAll="0"/>
  </pivotFields>
  <rowFields count="1">
    <field x="6"/>
  </rowFields>
  <rowItems count="13">
    <i>
      <x/>
    </i>
    <i>
      <x v="1"/>
    </i>
    <i>
      <x v="2"/>
    </i>
    <i>
      <x v="3"/>
    </i>
    <i>
      <x v="4"/>
    </i>
    <i>
      <x v="5"/>
    </i>
    <i>
      <x v="6"/>
    </i>
    <i>
      <x v="7"/>
    </i>
    <i>
      <x v="8"/>
    </i>
    <i>
      <x v="9"/>
    </i>
    <i>
      <x v="10"/>
    </i>
    <i>
      <x v="11"/>
    </i>
    <i t="grand">
      <x/>
    </i>
  </rowItems>
  <colFields count="1">
    <field x="3"/>
  </colFields>
  <colItems count="7">
    <i>
      <x/>
    </i>
    <i>
      <x v="2"/>
    </i>
    <i>
      <x v="4"/>
    </i>
    <i>
      <x v="5"/>
    </i>
    <i>
      <x v="6"/>
    </i>
    <i>
      <x v="7"/>
    </i>
    <i t="grand">
      <x/>
    </i>
  </colItems>
  <dataFields count="1">
    <dataField name="Sum of MWh" fld="7" baseField="0" baseItem="0"/>
  </dataFields>
  <chartFormats count="8">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1" format="6" series="1">
      <pivotArea type="data" outline="0" fieldPosition="0">
        <references count="2">
          <reference field="4294967294" count="1" selected="0">
            <x v="0"/>
          </reference>
          <reference field="3" count="1" selected="0">
            <x v="6"/>
          </reference>
        </references>
      </pivotArea>
    </chartFormat>
    <chartFormat chart="1" format="7" series="1">
      <pivotArea type="data" outline="0" fieldPosition="0">
        <references count="2">
          <reference field="4294967294" count="1" selected="0">
            <x v="0"/>
          </reference>
          <reference field="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fieldListSortAscending="1">
  <location ref="C4:T151" firstHeaderRow="1" firstDataRow="3" firstDataCol="2" rowPageCount="1" colPageCount="1"/>
  <pivotFields count="8">
    <pivotField compact="0" outline="0" showAll="0" defaultSubtotal="0"/>
    <pivotField axis="axisPage" compact="0" outline="0" showAll="0" defaultSubtotal="0">
      <items count="1">
        <item x="0"/>
      </items>
    </pivotField>
    <pivotField compact="0" outline="0" showAll="0" defaultSubtotal="0"/>
    <pivotField axis="axisCol" compact="0" outline="0" showAll="0" defaultSubtotal="0">
      <items count="19">
        <item h="1" x="0"/>
        <item h="1" x="1"/>
        <item h="1" x="2"/>
        <item h="1" x="3"/>
        <item h="1" x="4"/>
        <item h="1" x="5"/>
        <item h="1" x="6"/>
        <item h="1" x="7"/>
        <item x="8"/>
        <item x="9"/>
        <item x="10"/>
        <item x="11"/>
        <item x="12"/>
        <item h="1" x="13"/>
        <item h="1" x="14"/>
        <item h="1" x="15"/>
        <item h="1" x="16"/>
        <item h="1" x="17"/>
        <item h="1" x="18"/>
      </items>
    </pivotField>
    <pivotField axis="axisCol" compact="0" outline="0" showAll="0" defaultSubtotal="0">
      <items count="19">
        <item x="4"/>
        <item x="0"/>
        <item x="8"/>
        <item x="6"/>
        <item x="1"/>
        <item x="12"/>
        <item x="7"/>
        <item x="10"/>
        <item x="15"/>
        <item x="2"/>
        <item x="14"/>
        <item x="17"/>
        <item x="16"/>
        <item x="11"/>
        <item x="9"/>
        <item x="18"/>
        <item x="3"/>
        <item x="5"/>
        <item x="13"/>
      </items>
    </pivotField>
    <pivotField axis="axisRow" compact="0" outline="0" showAll="0" defaultSubtotal="0">
      <items count="12">
        <item x="0"/>
        <item x="1"/>
        <item x="2"/>
        <item x="3"/>
        <item x="4"/>
        <item x="5"/>
        <item x="6"/>
        <item x="7"/>
        <item x="8"/>
        <item x="9"/>
        <item x="10"/>
        <item x="11"/>
      </items>
    </pivotField>
    <pivotField axis="axisRow" compact="0" outline="0" showAll="0" defaultSubtotal="0">
      <items count="12">
        <item x="0"/>
        <item x="1"/>
        <item x="2"/>
        <item x="3"/>
        <item x="4"/>
        <item x="5"/>
        <item x="6"/>
        <item x="7"/>
        <item x="8"/>
        <item x="9"/>
        <item x="10"/>
        <item x="11"/>
      </items>
    </pivotField>
    <pivotField dataField="1" compact="0" outline="0" showAll="0" defaultSubtotal="0"/>
  </pivotFields>
  <rowFields count="2">
    <field x="5"/>
    <field x="6"/>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2">
    <field x="3"/>
    <field x="4"/>
  </colFields>
  <colItems count="16">
    <i>
      <x v="8"/>
      <x v="9"/>
    </i>
    <i r="1">
      <x v="10"/>
    </i>
    <i r="1">
      <x v="16"/>
    </i>
    <i>
      <x v="9"/>
      <x/>
    </i>
    <i r="1">
      <x v="7"/>
    </i>
    <i r="1">
      <x v="8"/>
    </i>
    <i r="1">
      <x v="12"/>
    </i>
    <i>
      <x v="10"/>
      <x v="8"/>
    </i>
    <i r="1">
      <x v="11"/>
    </i>
    <i r="1">
      <x v="12"/>
    </i>
    <i r="1">
      <x v="15"/>
    </i>
    <i>
      <x v="11"/>
      <x v="10"/>
    </i>
    <i r="1">
      <x v="15"/>
    </i>
    <i>
      <x v="12"/>
      <x v="9"/>
    </i>
    <i r="1">
      <x v="10"/>
    </i>
    <i t="grand">
      <x/>
    </i>
  </colItems>
  <pageFields count="1">
    <pageField fld="1" hier="-1"/>
  </pageField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6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C5:O18" firstHeaderRow="1" firstDataRow="2" firstDataCol="1"/>
  <pivotFields count="8">
    <pivotField showAll="0"/>
    <pivotField showAll="0"/>
    <pivotField showAll="0"/>
    <pivotField axis="axisCol" showAll="0">
      <items count="12">
        <item x="0"/>
        <item x="1"/>
        <item x="2"/>
        <item x="3"/>
        <item x="4"/>
        <item x="5"/>
        <item x="6"/>
        <item x="7"/>
        <item x="8"/>
        <item x="9"/>
        <item x="10"/>
        <item t="default"/>
      </items>
    </pivotField>
    <pivotField showAll="0"/>
    <pivotField axis="axisRow" showAll="0">
      <items count="12">
        <item x="0"/>
        <item x="6"/>
        <item x="4"/>
        <item x="1"/>
        <item x="5"/>
        <item x="9"/>
        <item x="7"/>
        <item x="2"/>
        <item x="8"/>
        <item x="3"/>
        <item x="10"/>
        <item t="default"/>
      </items>
    </pivotField>
    <pivotField showAll="0"/>
    <pivotField dataField="1" showAll="0"/>
  </pivotFields>
  <rowFields count="1">
    <field x="5"/>
  </rowFields>
  <rowItems count="12">
    <i>
      <x/>
    </i>
    <i>
      <x v="1"/>
    </i>
    <i>
      <x v="2"/>
    </i>
    <i>
      <x v="3"/>
    </i>
    <i>
      <x v="4"/>
    </i>
    <i>
      <x v="5"/>
    </i>
    <i>
      <x v="6"/>
    </i>
    <i>
      <x v="7"/>
    </i>
    <i>
      <x v="8"/>
    </i>
    <i>
      <x v="9"/>
    </i>
    <i>
      <x v="10"/>
    </i>
    <i t="grand">
      <x/>
    </i>
  </rowItems>
  <colFields count="1">
    <field x="3"/>
  </colFields>
  <colItems count="12">
    <i>
      <x/>
    </i>
    <i>
      <x v="1"/>
    </i>
    <i>
      <x v="2"/>
    </i>
    <i>
      <x v="3"/>
    </i>
    <i>
      <x v="4"/>
    </i>
    <i>
      <x v="5"/>
    </i>
    <i>
      <x v="6"/>
    </i>
    <i>
      <x v="7"/>
    </i>
    <i>
      <x v="8"/>
    </i>
    <i>
      <x v="9"/>
    </i>
    <i>
      <x v="10"/>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4"/>
  <sheetViews>
    <sheetView tabSelected="1" zoomScaleNormal="100" workbookViewId="0">
      <selection activeCell="N10" sqref="N10"/>
    </sheetView>
  </sheetViews>
  <sheetFormatPr defaultRowHeight="15" x14ac:dyDescent="0.25"/>
  <cols>
    <col min="1" max="1" width="13.7109375" customWidth="1"/>
    <col min="4" max="4" width="2.85546875" customWidth="1"/>
    <col min="5" max="5" width="27.28515625" customWidth="1"/>
    <col min="6" max="6" width="2.42578125" customWidth="1"/>
  </cols>
  <sheetData>
    <row r="1" spans="1:5" x14ac:dyDescent="0.25">
      <c r="A1" t="s">
        <v>209</v>
      </c>
    </row>
    <row r="2" spans="1:5" x14ac:dyDescent="0.25">
      <c r="A2">
        <v>14</v>
      </c>
    </row>
    <row r="13" spans="1:5" x14ac:dyDescent="0.25">
      <c r="D13">
        <v>1</v>
      </c>
      <c r="E13" t="s">
        <v>196</v>
      </c>
    </row>
    <row r="14" spans="1:5" x14ac:dyDescent="0.25">
      <c r="E14" t="s">
        <v>197</v>
      </c>
    </row>
    <row r="16" spans="1:5" x14ac:dyDescent="0.25">
      <c r="D16" t="b">
        <v>1</v>
      </c>
      <c r="E16" t="s">
        <v>186</v>
      </c>
    </row>
    <row r="17" spans="4:5" x14ac:dyDescent="0.25">
      <c r="D17" t="b">
        <v>1</v>
      </c>
      <c r="E17" t="s">
        <v>187</v>
      </c>
    </row>
    <row r="18" spans="4:5" x14ac:dyDescent="0.25">
      <c r="D18" t="b">
        <v>1</v>
      </c>
      <c r="E18" t="s">
        <v>188</v>
      </c>
    </row>
    <row r="19" spans="4:5" x14ac:dyDescent="0.25">
      <c r="D19" t="b">
        <v>1</v>
      </c>
      <c r="E19" t="s">
        <v>189</v>
      </c>
    </row>
    <row r="20" spans="4:5" x14ac:dyDescent="0.25">
      <c r="D20" t="b">
        <v>1</v>
      </c>
      <c r="E20" t="s">
        <v>190</v>
      </c>
    </row>
    <row r="21" spans="4:5" x14ac:dyDescent="0.25">
      <c r="D21" t="b">
        <v>1</v>
      </c>
      <c r="E21" t="s">
        <v>191</v>
      </c>
    </row>
    <row r="22" spans="4:5" x14ac:dyDescent="0.25">
      <c r="D22" t="b">
        <v>1</v>
      </c>
      <c r="E22" t="s">
        <v>192</v>
      </c>
    </row>
    <row r="23" spans="4:5" x14ac:dyDescent="0.25">
      <c r="D23" t="b">
        <v>1</v>
      </c>
      <c r="E23" t="s">
        <v>193</v>
      </c>
    </row>
    <row r="24" spans="4:5" x14ac:dyDescent="0.25">
      <c r="D24" t="b">
        <v>1</v>
      </c>
      <c r="E24" t="s">
        <v>194</v>
      </c>
    </row>
  </sheetData>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Do_Everything">
                <anchor moveWithCells="1" sizeWithCells="1">
                  <from>
                    <xdr:col>2</xdr:col>
                    <xdr:colOff>9525</xdr:colOff>
                    <xdr:row>1</xdr:row>
                    <xdr:rowOff>180975</xdr:rowOff>
                  </from>
                  <to>
                    <xdr:col>5</xdr:col>
                    <xdr:colOff>9525</xdr:colOff>
                    <xdr:row>4</xdr:row>
                    <xdr:rowOff>180975</xdr:rowOff>
                  </to>
                </anchor>
              </controlPr>
            </control>
          </mc:Choice>
        </mc:AlternateContent>
        <mc:AlternateContent xmlns:mc="http://schemas.openxmlformats.org/markup-compatibility/2006">
          <mc:Choice Requires="x14">
            <control shapeId="2067" r:id="rId5" name="Check Box 19">
              <controlPr defaultSize="0" autoFill="0" autoLine="0" autoPict="0">
                <anchor moveWithCells="1">
                  <from>
                    <xdr:col>3</xdr:col>
                    <xdr:colOff>0</xdr:colOff>
                    <xdr:row>14</xdr:row>
                    <xdr:rowOff>171450</xdr:rowOff>
                  </from>
                  <to>
                    <xdr:col>4</xdr:col>
                    <xdr:colOff>123825</xdr:colOff>
                    <xdr:row>16</xdr:row>
                    <xdr:rowOff>28575</xdr:rowOff>
                  </to>
                </anchor>
              </controlPr>
            </control>
          </mc:Choice>
        </mc:AlternateContent>
        <mc:AlternateContent xmlns:mc="http://schemas.openxmlformats.org/markup-compatibility/2006">
          <mc:Choice Requires="x14">
            <control shapeId="2068" r:id="rId6" name="Check Box 20">
              <controlPr defaultSize="0" autoFill="0" autoLine="0" autoPict="0">
                <anchor moveWithCells="1">
                  <from>
                    <xdr:col>3</xdr:col>
                    <xdr:colOff>0</xdr:colOff>
                    <xdr:row>15</xdr:row>
                    <xdr:rowOff>171450</xdr:rowOff>
                  </from>
                  <to>
                    <xdr:col>4</xdr:col>
                    <xdr:colOff>123825</xdr:colOff>
                    <xdr:row>17</xdr:row>
                    <xdr:rowOff>28575</xdr:rowOff>
                  </to>
                </anchor>
              </controlPr>
            </control>
          </mc:Choice>
        </mc:AlternateContent>
        <mc:AlternateContent xmlns:mc="http://schemas.openxmlformats.org/markup-compatibility/2006">
          <mc:Choice Requires="x14">
            <control shapeId="2069" r:id="rId7" name="Check Box 21">
              <controlPr defaultSize="0" autoFill="0" autoLine="0" autoPict="0">
                <anchor moveWithCells="1">
                  <from>
                    <xdr:col>3</xdr:col>
                    <xdr:colOff>0</xdr:colOff>
                    <xdr:row>16</xdr:row>
                    <xdr:rowOff>171450</xdr:rowOff>
                  </from>
                  <to>
                    <xdr:col>4</xdr:col>
                    <xdr:colOff>123825</xdr:colOff>
                    <xdr:row>18</xdr:row>
                    <xdr:rowOff>28575</xdr:rowOff>
                  </to>
                </anchor>
              </controlPr>
            </control>
          </mc:Choice>
        </mc:AlternateContent>
        <mc:AlternateContent xmlns:mc="http://schemas.openxmlformats.org/markup-compatibility/2006">
          <mc:Choice Requires="x14">
            <control shapeId="2070" r:id="rId8" name="Check Box 22">
              <controlPr defaultSize="0" autoFill="0" autoLine="0" autoPict="0">
                <anchor moveWithCells="1">
                  <from>
                    <xdr:col>3</xdr:col>
                    <xdr:colOff>0</xdr:colOff>
                    <xdr:row>17</xdr:row>
                    <xdr:rowOff>171450</xdr:rowOff>
                  </from>
                  <to>
                    <xdr:col>4</xdr:col>
                    <xdr:colOff>123825</xdr:colOff>
                    <xdr:row>19</xdr:row>
                    <xdr:rowOff>28575</xdr:rowOff>
                  </to>
                </anchor>
              </controlPr>
            </control>
          </mc:Choice>
        </mc:AlternateContent>
        <mc:AlternateContent xmlns:mc="http://schemas.openxmlformats.org/markup-compatibility/2006">
          <mc:Choice Requires="x14">
            <control shapeId="2071" r:id="rId9" name="Check Box 23">
              <controlPr defaultSize="0" autoFill="0" autoLine="0" autoPict="0">
                <anchor moveWithCells="1">
                  <from>
                    <xdr:col>3</xdr:col>
                    <xdr:colOff>0</xdr:colOff>
                    <xdr:row>18</xdr:row>
                    <xdr:rowOff>171450</xdr:rowOff>
                  </from>
                  <to>
                    <xdr:col>4</xdr:col>
                    <xdr:colOff>123825</xdr:colOff>
                    <xdr:row>20</xdr:row>
                    <xdr:rowOff>28575</xdr:rowOff>
                  </to>
                </anchor>
              </controlPr>
            </control>
          </mc:Choice>
        </mc:AlternateContent>
        <mc:AlternateContent xmlns:mc="http://schemas.openxmlformats.org/markup-compatibility/2006">
          <mc:Choice Requires="x14">
            <control shapeId="2072" r:id="rId10" name="Check Box 24">
              <controlPr defaultSize="0" autoFill="0" autoLine="0" autoPict="0">
                <anchor moveWithCells="1">
                  <from>
                    <xdr:col>3</xdr:col>
                    <xdr:colOff>0</xdr:colOff>
                    <xdr:row>19</xdr:row>
                    <xdr:rowOff>171450</xdr:rowOff>
                  </from>
                  <to>
                    <xdr:col>4</xdr:col>
                    <xdr:colOff>123825</xdr:colOff>
                    <xdr:row>21</xdr:row>
                    <xdr:rowOff>28575</xdr:rowOff>
                  </to>
                </anchor>
              </controlPr>
            </control>
          </mc:Choice>
        </mc:AlternateContent>
        <mc:AlternateContent xmlns:mc="http://schemas.openxmlformats.org/markup-compatibility/2006">
          <mc:Choice Requires="x14">
            <control shapeId="2073" r:id="rId11" name="Check Box 25">
              <controlPr defaultSize="0" autoFill="0" autoLine="0" autoPict="0">
                <anchor moveWithCells="1">
                  <from>
                    <xdr:col>3</xdr:col>
                    <xdr:colOff>0</xdr:colOff>
                    <xdr:row>20</xdr:row>
                    <xdr:rowOff>171450</xdr:rowOff>
                  </from>
                  <to>
                    <xdr:col>4</xdr:col>
                    <xdr:colOff>123825</xdr:colOff>
                    <xdr:row>22</xdr:row>
                    <xdr:rowOff>28575</xdr:rowOff>
                  </to>
                </anchor>
              </controlPr>
            </control>
          </mc:Choice>
        </mc:AlternateContent>
        <mc:AlternateContent xmlns:mc="http://schemas.openxmlformats.org/markup-compatibility/2006">
          <mc:Choice Requires="x14">
            <control shapeId="2074" r:id="rId12" name="Check Box 26">
              <controlPr defaultSize="0" autoFill="0" autoLine="0" autoPict="0">
                <anchor moveWithCells="1">
                  <from>
                    <xdr:col>3</xdr:col>
                    <xdr:colOff>0</xdr:colOff>
                    <xdr:row>21</xdr:row>
                    <xdr:rowOff>171450</xdr:rowOff>
                  </from>
                  <to>
                    <xdr:col>4</xdr:col>
                    <xdr:colOff>123825</xdr:colOff>
                    <xdr:row>23</xdr:row>
                    <xdr:rowOff>28575</xdr:rowOff>
                  </to>
                </anchor>
              </controlPr>
            </control>
          </mc:Choice>
        </mc:AlternateContent>
        <mc:AlternateContent xmlns:mc="http://schemas.openxmlformats.org/markup-compatibility/2006">
          <mc:Choice Requires="x14">
            <control shapeId="2075" r:id="rId13" name="Check Box 27">
              <controlPr defaultSize="0" autoFill="0" autoLine="0" autoPict="0">
                <anchor moveWithCells="1">
                  <from>
                    <xdr:col>3</xdr:col>
                    <xdr:colOff>0</xdr:colOff>
                    <xdr:row>22</xdr:row>
                    <xdr:rowOff>171450</xdr:rowOff>
                  </from>
                  <to>
                    <xdr:col>4</xdr:col>
                    <xdr:colOff>123825</xdr:colOff>
                    <xdr:row>24</xdr:row>
                    <xdr:rowOff>28575</xdr:rowOff>
                  </to>
                </anchor>
              </controlPr>
            </control>
          </mc:Choice>
        </mc:AlternateContent>
        <mc:AlternateContent xmlns:mc="http://schemas.openxmlformats.org/markup-compatibility/2006">
          <mc:Choice Requires="x14">
            <control shapeId="2082" r:id="rId14" name="Button 34">
              <controlPr defaultSize="0" print="0" autoFill="0" autoPict="0" macro="[0]!Sheet2.Choose_database">
                <anchor moveWithCells="1" sizeWithCells="1">
                  <from>
                    <xdr:col>2</xdr:col>
                    <xdr:colOff>0</xdr:colOff>
                    <xdr:row>6</xdr:row>
                    <xdr:rowOff>9525</xdr:rowOff>
                  </from>
                  <to>
                    <xdr:col>4</xdr:col>
                    <xdr:colOff>504825</xdr:colOff>
                    <xdr:row>9</xdr:row>
                    <xdr:rowOff>0</xdr:rowOff>
                  </to>
                </anchor>
              </controlPr>
            </control>
          </mc:Choice>
        </mc:AlternateContent>
        <mc:AlternateContent xmlns:mc="http://schemas.openxmlformats.org/markup-compatibility/2006">
          <mc:Choice Requires="x14">
            <control shapeId="2083" r:id="rId15" name="Button 35">
              <controlPr defaultSize="0" print="0" autoFill="0" autoPict="0" macro="[0]!Sheet2.RunSQLiteQueries">
                <anchor moveWithCells="1" sizeWithCells="1">
                  <from>
                    <xdr:col>4</xdr:col>
                    <xdr:colOff>495300</xdr:colOff>
                    <xdr:row>6</xdr:row>
                    <xdr:rowOff>0</xdr:rowOff>
                  </from>
                  <to>
                    <xdr:col>5</xdr:col>
                    <xdr:colOff>9525</xdr:colOff>
                    <xdr:row>8</xdr:row>
                    <xdr:rowOff>180975</xdr:rowOff>
                  </to>
                </anchor>
              </controlPr>
            </control>
          </mc:Choice>
        </mc:AlternateContent>
        <mc:AlternateContent xmlns:mc="http://schemas.openxmlformats.org/markup-compatibility/2006">
          <mc:Choice Requires="x14">
            <control shapeId="2086" r:id="rId16" name="Option Button 38">
              <controlPr defaultSize="0" autoFill="0" autoLine="0" autoPict="0">
                <anchor moveWithCells="1">
                  <from>
                    <xdr:col>2</xdr:col>
                    <xdr:colOff>600075</xdr:colOff>
                    <xdr:row>12</xdr:row>
                    <xdr:rowOff>0</xdr:rowOff>
                  </from>
                  <to>
                    <xdr:col>3</xdr:col>
                    <xdr:colOff>180975</xdr:colOff>
                    <xdr:row>13</xdr:row>
                    <xdr:rowOff>0</xdr:rowOff>
                  </to>
                </anchor>
              </controlPr>
            </control>
          </mc:Choice>
        </mc:AlternateContent>
        <mc:AlternateContent xmlns:mc="http://schemas.openxmlformats.org/markup-compatibility/2006">
          <mc:Choice Requires="x14">
            <control shapeId="2087" r:id="rId17" name="Option Button 39">
              <controlPr defaultSize="0" autoFill="0" autoLine="0" autoPict="0">
                <anchor moveWithCells="1">
                  <from>
                    <xdr:col>2</xdr:col>
                    <xdr:colOff>600075</xdr:colOff>
                    <xdr:row>13</xdr:row>
                    <xdr:rowOff>0</xdr:rowOff>
                  </from>
                  <to>
                    <xdr:col>3</xdr:col>
                    <xdr:colOff>180975</xdr:colOff>
                    <xdr:row>14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66"/>
  <sheetViews>
    <sheetView topLeftCell="A58" zoomScaleNormal="100" workbookViewId="0">
      <selection activeCell="E64" sqref="E64:E66"/>
    </sheetView>
  </sheetViews>
  <sheetFormatPr defaultRowHeight="15" x14ac:dyDescent="0.25"/>
  <cols>
    <col min="4" max="4" width="37.140625" customWidth="1"/>
  </cols>
  <sheetData>
    <row r="1" spans="1:5" x14ac:dyDescent="0.25">
      <c r="A1">
        <v>0.14000000059604645</v>
      </c>
      <c r="B1" t="s">
        <v>3</v>
      </c>
      <c r="C1" t="b">
        <f t="shared" ref="C1:C9" si="0">VGE_T</f>
        <v>1</v>
      </c>
      <c r="D1" t="s">
        <v>5</v>
      </c>
      <c r="E1" t="s">
        <v>30</v>
      </c>
    </row>
    <row r="2" spans="1:5" x14ac:dyDescent="0.25">
      <c r="A2">
        <v>0.20000000298023224</v>
      </c>
      <c r="B2" t="s">
        <v>2</v>
      </c>
      <c r="C2" t="b">
        <f t="shared" si="0"/>
        <v>1</v>
      </c>
      <c r="D2" t="s">
        <v>5</v>
      </c>
      <c r="E2" t="s">
        <v>85</v>
      </c>
    </row>
    <row r="3" spans="1:5" x14ac:dyDescent="0.25">
      <c r="A3">
        <v>0.82999998331069946</v>
      </c>
      <c r="B3" t="s">
        <v>4</v>
      </c>
      <c r="C3" t="b">
        <f t="shared" si="0"/>
        <v>1</v>
      </c>
      <c r="D3" t="s">
        <v>5</v>
      </c>
      <c r="E3" t="s">
        <v>86</v>
      </c>
    </row>
    <row r="4" spans="1:5" x14ac:dyDescent="0.25">
      <c r="A4">
        <v>1.0299999713897705</v>
      </c>
      <c r="B4" t="s">
        <v>3</v>
      </c>
      <c r="C4" t="b">
        <f t="shared" si="0"/>
        <v>1</v>
      </c>
      <c r="D4" t="s">
        <v>44</v>
      </c>
      <c r="E4" t="s">
        <v>35</v>
      </c>
    </row>
    <row r="5" spans="1:5" x14ac:dyDescent="0.25">
      <c r="A5">
        <v>1.0900000333786011</v>
      </c>
      <c r="B5" t="s">
        <v>2</v>
      </c>
      <c r="C5" t="b">
        <f t="shared" si="0"/>
        <v>1</v>
      </c>
      <c r="D5" t="s">
        <v>44</v>
      </c>
      <c r="E5" t="s">
        <v>171</v>
      </c>
    </row>
    <row r="6" spans="1:5" x14ac:dyDescent="0.25">
      <c r="A6">
        <v>5.9600000381469727</v>
      </c>
      <c r="B6" t="s">
        <v>4</v>
      </c>
      <c r="C6" t="b">
        <f t="shared" si="0"/>
        <v>1</v>
      </c>
      <c r="D6" t="s">
        <v>44</v>
      </c>
      <c r="E6" t="s">
        <v>173</v>
      </c>
    </row>
    <row r="7" spans="1:5" x14ac:dyDescent="0.25">
      <c r="A7">
        <v>6.0100002288818359</v>
      </c>
      <c r="B7" t="s">
        <v>3</v>
      </c>
      <c r="C7" t="b">
        <f t="shared" si="0"/>
        <v>1</v>
      </c>
      <c r="D7" t="s">
        <v>6</v>
      </c>
      <c r="E7" t="s">
        <v>31</v>
      </c>
    </row>
    <row r="8" spans="1:5" x14ac:dyDescent="0.25">
      <c r="A8">
        <v>6.0500001907348633</v>
      </c>
      <c r="B8" t="s">
        <v>2</v>
      </c>
      <c r="C8" t="b">
        <f t="shared" si="0"/>
        <v>1</v>
      </c>
      <c r="D8" t="s">
        <v>6</v>
      </c>
      <c r="E8" t="s">
        <v>172</v>
      </c>
    </row>
    <row r="9" spans="1:5" x14ac:dyDescent="0.25">
      <c r="A9">
        <v>7.4200000762939453</v>
      </c>
      <c r="B9" t="s">
        <v>4</v>
      </c>
      <c r="C9" t="b">
        <f t="shared" si="0"/>
        <v>1</v>
      </c>
      <c r="D9" t="s">
        <v>6</v>
      </c>
      <c r="E9" t="s">
        <v>178</v>
      </c>
    </row>
    <row r="10" spans="1:5" x14ac:dyDescent="0.25">
      <c r="A10">
        <v>7.4800000190734863</v>
      </c>
      <c r="B10" t="s">
        <v>3</v>
      </c>
      <c r="C10" t="b">
        <f>QEEQ</f>
        <v>1</v>
      </c>
      <c r="D10" t="s">
        <v>28</v>
      </c>
      <c r="E10" t="s">
        <v>32</v>
      </c>
    </row>
    <row r="11" spans="1:5" x14ac:dyDescent="0.25">
      <c r="A11">
        <v>7.5399999618530273</v>
      </c>
      <c r="B11" t="s">
        <v>2</v>
      </c>
      <c r="C11" t="b">
        <f>QEEQ</f>
        <v>1</v>
      </c>
      <c r="D11" t="s">
        <v>28</v>
      </c>
      <c r="E11" t="s">
        <v>154</v>
      </c>
    </row>
    <row r="12" spans="1:5" x14ac:dyDescent="0.25">
      <c r="A12">
        <v>8.1999998092651367</v>
      </c>
      <c r="B12" t="s">
        <v>4</v>
      </c>
      <c r="C12" t="b">
        <f>QEEQ</f>
        <v>1</v>
      </c>
      <c r="D12" t="s">
        <v>28</v>
      </c>
      <c r="E12" t="s">
        <v>155</v>
      </c>
    </row>
    <row r="13" spans="1:5" x14ac:dyDescent="0.25">
      <c r="A13">
        <v>8.3199996948242187</v>
      </c>
      <c r="B13" t="s">
        <v>3</v>
      </c>
      <c r="C13" t="b">
        <f t="shared" ref="C13:C21" si="1">VGH_T</f>
        <v>1</v>
      </c>
      <c r="D13" t="s">
        <v>36</v>
      </c>
      <c r="E13" t="s">
        <v>37</v>
      </c>
    </row>
    <row r="14" spans="1:5" x14ac:dyDescent="0.25">
      <c r="A14">
        <v>8.380000114440918</v>
      </c>
      <c r="B14" t="s">
        <v>2</v>
      </c>
      <c r="C14" t="b">
        <f t="shared" si="1"/>
        <v>1</v>
      </c>
      <c r="D14" t="s">
        <v>36</v>
      </c>
      <c r="E14" t="s">
        <v>87</v>
      </c>
    </row>
    <row r="15" spans="1:5" x14ac:dyDescent="0.25">
      <c r="A15">
        <v>9.1000003814697266</v>
      </c>
      <c r="B15" t="s">
        <v>4</v>
      </c>
      <c r="C15" t="b">
        <f t="shared" si="1"/>
        <v>1</v>
      </c>
      <c r="D15" t="s">
        <v>36</v>
      </c>
      <c r="E15" t="s">
        <v>88</v>
      </c>
    </row>
    <row r="16" spans="1:5" x14ac:dyDescent="0.25">
      <c r="A16">
        <v>9.2799997329711914</v>
      </c>
      <c r="B16" t="s">
        <v>3</v>
      </c>
      <c r="C16" t="b">
        <f t="shared" si="1"/>
        <v>1</v>
      </c>
      <c r="D16" t="s">
        <v>40</v>
      </c>
      <c r="E16" t="s">
        <v>42</v>
      </c>
    </row>
    <row r="17" spans="1:5" x14ac:dyDescent="0.25">
      <c r="A17">
        <v>9.380000114440918</v>
      </c>
      <c r="B17" t="s">
        <v>2</v>
      </c>
      <c r="C17" t="b">
        <f t="shared" si="1"/>
        <v>1</v>
      </c>
      <c r="D17" t="s">
        <v>40</v>
      </c>
      <c r="E17" t="s">
        <v>90</v>
      </c>
    </row>
    <row r="18" spans="1:5" x14ac:dyDescent="0.25">
      <c r="A18">
        <v>19.639999389648437</v>
      </c>
      <c r="B18" t="s">
        <v>4</v>
      </c>
      <c r="C18" t="b">
        <f t="shared" si="1"/>
        <v>1</v>
      </c>
      <c r="D18" t="s">
        <v>40</v>
      </c>
      <c r="E18" t="s">
        <v>91</v>
      </c>
    </row>
    <row r="19" spans="1:5" x14ac:dyDescent="0.25">
      <c r="A19">
        <v>19.690000534057617</v>
      </c>
      <c r="B19" t="s">
        <v>3</v>
      </c>
      <c r="C19" t="b">
        <f t="shared" si="1"/>
        <v>1</v>
      </c>
      <c r="D19" t="s">
        <v>41</v>
      </c>
      <c r="E19" t="s">
        <v>46</v>
      </c>
    </row>
    <row r="20" spans="1:5" x14ac:dyDescent="0.25">
      <c r="A20">
        <v>19.739999771118164</v>
      </c>
      <c r="B20" t="s">
        <v>2</v>
      </c>
      <c r="C20" t="b">
        <f t="shared" si="1"/>
        <v>1</v>
      </c>
      <c r="D20" t="s">
        <v>41</v>
      </c>
      <c r="E20" t="s">
        <v>92</v>
      </c>
    </row>
    <row r="21" spans="1:5" x14ac:dyDescent="0.25">
      <c r="A21">
        <v>21.200000762939453</v>
      </c>
      <c r="B21" t="s">
        <v>4</v>
      </c>
      <c r="C21" t="b">
        <f t="shared" si="1"/>
        <v>1</v>
      </c>
      <c r="D21" t="s">
        <v>41</v>
      </c>
      <c r="E21" t="s">
        <v>103</v>
      </c>
    </row>
    <row r="22" spans="1:5" x14ac:dyDescent="0.25">
      <c r="A22">
        <v>21.329999923706055</v>
      </c>
      <c r="B22" t="s">
        <v>3</v>
      </c>
      <c r="C22" t="b">
        <f t="shared" ref="C22:C36" si="2">VGF_T</f>
        <v>1</v>
      </c>
      <c r="D22" t="s">
        <v>64</v>
      </c>
      <c r="E22" t="s">
        <v>65</v>
      </c>
    </row>
    <row r="23" spans="1:5" x14ac:dyDescent="0.25">
      <c r="A23">
        <v>21.379999160766602</v>
      </c>
      <c r="B23" t="s">
        <v>2</v>
      </c>
      <c r="C23" t="b">
        <f t="shared" si="2"/>
        <v>1</v>
      </c>
      <c r="D23" t="s">
        <v>64</v>
      </c>
      <c r="E23" t="s">
        <v>93</v>
      </c>
    </row>
    <row r="24" spans="1:5" x14ac:dyDescent="0.25">
      <c r="A24">
        <v>22.159999847412109</v>
      </c>
      <c r="B24" t="s">
        <v>4</v>
      </c>
      <c r="C24" t="b">
        <f t="shared" si="2"/>
        <v>1</v>
      </c>
      <c r="D24" t="s">
        <v>64</v>
      </c>
      <c r="E24" t="s">
        <v>94</v>
      </c>
    </row>
    <row r="25" spans="1:5" x14ac:dyDescent="0.25">
      <c r="A25">
        <v>22.329999923706055</v>
      </c>
      <c r="B25" t="s">
        <v>3</v>
      </c>
      <c r="C25" t="b">
        <f t="shared" si="2"/>
        <v>1</v>
      </c>
      <c r="D25" t="s">
        <v>66</v>
      </c>
      <c r="E25" t="s">
        <v>68</v>
      </c>
    </row>
    <row r="26" spans="1:5" x14ac:dyDescent="0.25">
      <c r="A26">
        <v>22.379999160766602</v>
      </c>
      <c r="B26" t="s">
        <v>2</v>
      </c>
      <c r="C26" t="b">
        <f t="shared" si="2"/>
        <v>1</v>
      </c>
      <c r="D26" t="s">
        <v>66</v>
      </c>
      <c r="E26" t="s">
        <v>95</v>
      </c>
    </row>
    <row r="27" spans="1:5" x14ac:dyDescent="0.25">
      <c r="A27">
        <v>27.159999847412109</v>
      </c>
      <c r="B27" t="s">
        <v>4</v>
      </c>
      <c r="C27" t="b">
        <f t="shared" si="2"/>
        <v>1</v>
      </c>
      <c r="D27" t="s">
        <v>66</v>
      </c>
      <c r="E27" t="s">
        <v>96</v>
      </c>
    </row>
    <row r="28" spans="1:5" x14ac:dyDescent="0.25">
      <c r="A28">
        <v>27.209999084472656</v>
      </c>
      <c r="B28" t="s">
        <v>3</v>
      </c>
      <c r="C28" t="b">
        <f t="shared" si="2"/>
        <v>1</v>
      </c>
      <c r="D28" t="s">
        <v>67</v>
      </c>
      <c r="E28" t="s">
        <v>70</v>
      </c>
    </row>
    <row r="29" spans="1:5" x14ac:dyDescent="0.25">
      <c r="A29">
        <v>27.270000457763672</v>
      </c>
      <c r="B29" t="s">
        <v>2</v>
      </c>
      <c r="C29" t="b">
        <f t="shared" si="2"/>
        <v>1</v>
      </c>
      <c r="D29" t="s">
        <v>67</v>
      </c>
      <c r="E29" t="s">
        <v>97</v>
      </c>
    </row>
    <row r="30" spans="1:5" x14ac:dyDescent="0.25">
      <c r="A30">
        <v>28.719999313354492</v>
      </c>
      <c r="B30" t="s">
        <v>4</v>
      </c>
      <c r="C30" t="b">
        <f t="shared" si="2"/>
        <v>1</v>
      </c>
      <c r="D30" t="s">
        <v>67</v>
      </c>
      <c r="E30" t="s">
        <v>98</v>
      </c>
    </row>
    <row r="31" spans="1:5" x14ac:dyDescent="0.25">
      <c r="A31">
        <v>28.819999694824219</v>
      </c>
      <c r="B31" t="s">
        <v>3</v>
      </c>
      <c r="C31" t="b">
        <f t="shared" si="2"/>
        <v>1</v>
      </c>
      <c r="D31" t="s">
        <v>74</v>
      </c>
      <c r="E31" t="s">
        <v>73</v>
      </c>
    </row>
    <row r="32" spans="1:5" x14ac:dyDescent="0.25">
      <c r="A32">
        <v>28.860000610351562</v>
      </c>
      <c r="B32" t="s">
        <v>2</v>
      </c>
      <c r="C32" t="b">
        <f t="shared" si="2"/>
        <v>1</v>
      </c>
      <c r="D32" t="s">
        <v>74</v>
      </c>
      <c r="E32" t="s">
        <v>99</v>
      </c>
    </row>
    <row r="33" spans="1:5" x14ac:dyDescent="0.25">
      <c r="A33">
        <v>31.719999313354492</v>
      </c>
      <c r="B33" t="s">
        <v>4</v>
      </c>
      <c r="C33" t="b">
        <f t="shared" si="2"/>
        <v>1</v>
      </c>
      <c r="D33" t="s">
        <v>74</v>
      </c>
      <c r="E33" t="s">
        <v>100</v>
      </c>
    </row>
    <row r="34" spans="1:5" x14ac:dyDescent="0.25">
      <c r="A34">
        <v>31.780000686645508</v>
      </c>
      <c r="B34" t="s">
        <v>3</v>
      </c>
      <c r="C34" t="b">
        <f t="shared" si="2"/>
        <v>1</v>
      </c>
      <c r="D34" t="s">
        <v>80</v>
      </c>
      <c r="E34" t="s">
        <v>81</v>
      </c>
    </row>
    <row r="35" spans="1:5" x14ac:dyDescent="0.25">
      <c r="A35">
        <v>31.819999694824219</v>
      </c>
      <c r="B35" t="s">
        <v>2</v>
      </c>
      <c r="C35" t="b">
        <f t="shared" si="2"/>
        <v>1</v>
      </c>
      <c r="D35" t="s">
        <v>80</v>
      </c>
      <c r="E35" t="s">
        <v>101</v>
      </c>
    </row>
    <row r="36" spans="1:5" x14ac:dyDescent="0.25">
      <c r="A36">
        <v>32.459999084472656</v>
      </c>
      <c r="B36" t="s">
        <v>4</v>
      </c>
      <c r="C36" t="b">
        <f t="shared" si="2"/>
        <v>1</v>
      </c>
      <c r="D36" t="s">
        <v>80</v>
      </c>
      <c r="E36" t="s">
        <v>102</v>
      </c>
    </row>
    <row r="37" spans="1:5" x14ac:dyDescent="0.25">
      <c r="A37">
        <v>32.569999694824219</v>
      </c>
      <c r="B37" t="s">
        <v>3</v>
      </c>
      <c r="C37" t="b">
        <f t="shared" ref="C37:C42" si="3">STO</f>
        <v>1</v>
      </c>
      <c r="D37" t="s">
        <v>106</v>
      </c>
      <c r="E37" t="s">
        <v>107</v>
      </c>
    </row>
    <row r="38" spans="1:5" x14ac:dyDescent="0.25">
      <c r="A38">
        <v>32.619998931884766</v>
      </c>
      <c r="B38" t="s">
        <v>2</v>
      </c>
      <c r="C38" t="b">
        <f t="shared" si="3"/>
        <v>1</v>
      </c>
      <c r="D38" t="s">
        <v>106</v>
      </c>
      <c r="E38" t="s">
        <v>113</v>
      </c>
    </row>
    <row r="39" spans="1:5" x14ac:dyDescent="0.25">
      <c r="A39">
        <v>33.909999847412109</v>
      </c>
      <c r="B39" t="s">
        <v>4</v>
      </c>
      <c r="C39" t="b">
        <f t="shared" si="3"/>
        <v>1</v>
      </c>
      <c r="D39" t="s">
        <v>106</v>
      </c>
      <c r="E39" s="6" t="s">
        <v>114</v>
      </c>
    </row>
    <row r="40" spans="1:5" x14ac:dyDescent="0.25">
      <c r="A40">
        <v>33.979999542236328</v>
      </c>
      <c r="B40" t="s">
        <v>3</v>
      </c>
      <c r="C40" t="b">
        <f t="shared" si="3"/>
        <v>1</v>
      </c>
      <c r="D40" t="s">
        <v>108</v>
      </c>
      <c r="E40" t="s">
        <v>109</v>
      </c>
    </row>
    <row r="41" spans="1:5" x14ac:dyDescent="0.25">
      <c r="A41">
        <v>34.029998779296875</v>
      </c>
      <c r="B41" t="s">
        <v>2</v>
      </c>
      <c r="C41" t="b">
        <f t="shared" si="3"/>
        <v>1</v>
      </c>
      <c r="D41" t="s">
        <v>108</v>
      </c>
      <c r="E41" t="s">
        <v>115</v>
      </c>
    </row>
    <row r="42" spans="1:5" x14ac:dyDescent="0.25">
      <c r="A42">
        <v>34.069999694824219</v>
      </c>
      <c r="B42" t="s">
        <v>4</v>
      </c>
      <c r="C42" t="b">
        <f t="shared" si="3"/>
        <v>1</v>
      </c>
      <c r="D42" t="s">
        <v>108</v>
      </c>
      <c r="E42" s="6" t="s">
        <v>116</v>
      </c>
    </row>
    <row r="43" spans="1:5" x14ac:dyDescent="0.25">
      <c r="A43">
        <v>34.119998931884766</v>
      </c>
      <c r="B43" t="s">
        <v>3</v>
      </c>
      <c r="C43" t="b">
        <f t="shared" ref="C43:C48" si="4">IGK</f>
        <v>1</v>
      </c>
      <c r="D43" t="s">
        <v>156</v>
      </c>
      <c r="E43" s="6" t="s">
        <v>157</v>
      </c>
    </row>
    <row r="44" spans="1:5" x14ac:dyDescent="0.25">
      <c r="A44">
        <v>34.169998168945313</v>
      </c>
      <c r="B44" t="s">
        <v>2</v>
      </c>
      <c r="C44" t="b">
        <f t="shared" si="4"/>
        <v>1</v>
      </c>
      <c r="D44" t="s">
        <v>156</v>
      </c>
      <c r="E44" s="6" t="s">
        <v>158</v>
      </c>
    </row>
    <row r="45" spans="1:5" x14ac:dyDescent="0.25">
      <c r="A45">
        <v>34.259998321533203</v>
      </c>
      <c r="B45" t="s">
        <v>4</v>
      </c>
      <c r="C45" t="b">
        <f t="shared" si="4"/>
        <v>1</v>
      </c>
      <c r="D45" t="s">
        <v>156</v>
      </c>
      <c r="E45" s="6" t="s">
        <v>159</v>
      </c>
    </row>
    <row r="46" spans="1:5" x14ac:dyDescent="0.25">
      <c r="A46">
        <v>34.299999237060547</v>
      </c>
      <c r="B46" t="s">
        <v>3</v>
      </c>
      <c r="C46" t="b">
        <f t="shared" si="4"/>
        <v>1</v>
      </c>
      <c r="D46" t="s">
        <v>160</v>
      </c>
      <c r="E46" s="6" t="s">
        <v>161</v>
      </c>
    </row>
    <row r="47" spans="1:5" x14ac:dyDescent="0.25">
      <c r="A47">
        <v>34.349998474121094</v>
      </c>
      <c r="B47" t="s">
        <v>2</v>
      </c>
      <c r="C47" t="b">
        <f t="shared" si="4"/>
        <v>1</v>
      </c>
      <c r="D47" t="s">
        <v>160</v>
      </c>
      <c r="E47" s="6" t="s">
        <v>162</v>
      </c>
    </row>
    <row r="48" spans="1:5" x14ac:dyDescent="0.25">
      <c r="A48">
        <v>34.400001525878906</v>
      </c>
      <c r="B48" t="s">
        <v>4</v>
      </c>
      <c r="C48" t="b">
        <f t="shared" si="4"/>
        <v>1</v>
      </c>
      <c r="D48" t="s">
        <v>160</v>
      </c>
      <c r="E48" s="6" t="s">
        <v>163</v>
      </c>
    </row>
    <row r="49" spans="1:5" x14ac:dyDescent="0.25">
      <c r="A49">
        <v>34.459999084472656</v>
      </c>
      <c r="B49" t="s">
        <v>3</v>
      </c>
      <c r="C49" t="b">
        <f t="shared" ref="C49:C60" si="5">DE</f>
        <v>1</v>
      </c>
      <c r="D49" t="s">
        <v>122</v>
      </c>
      <c r="E49" s="6" t="s">
        <v>118</v>
      </c>
    </row>
    <row r="50" spans="1:5" x14ac:dyDescent="0.25">
      <c r="A50">
        <v>34.509998321533203</v>
      </c>
      <c r="B50" t="s">
        <v>2</v>
      </c>
      <c r="C50" t="b">
        <f t="shared" si="5"/>
        <v>1</v>
      </c>
      <c r="D50" t="s">
        <v>122</v>
      </c>
      <c r="E50" s="6" t="s">
        <v>119</v>
      </c>
    </row>
    <row r="51" spans="1:5" x14ac:dyDescent="0.25">
      <c r="A51">
        <v>35.490001678466797</v>
      </c>
      <c r="B51" t="s">
        <v>4</v>
      </c>
      <c r="C51" t="b">
        <f t="shared" si="5"/>
        <v>1</v>
      </c>
      <c r="D51" t="s">
        <v>122</v>
      </c>
      <c r="E51" s="6" t="s">
        <v>120</v>
      </c>
    </row>
    <row r="52" spans="1:5" x14ac:dyDescent="0.25">
      <c r="A52">
        <v>35.529998779296875</v>
      </c>
      <c r="B52" t="s">
        <v>3</v>
      </c>
      <c r="C52" t="b">
        <f t="shared" si="5"/>
        <v>1</v>
      </c>
      <c r="D52" t="s">
        <v>124</v>
      </c>
      <c r="E52" s="6" t="s">
        <v>127</v>
      </c>
    </row>
    <row r="53" spans="1:5" x14ac:dyDescent="0.25">
      <c r="A53">
        <v>35.580001831054688</v>
      </c>
      <c r="B53" t="s">
        <v>2</v>
      </c>
      <c r="C53" t="b">
        <f t="shared" si="5"/>
        <v>1</v>
      </c>
      <c r="D53" t="s">
        <v>124</v>
      </c>
      <c r="E53" s="6" t="s">
        <v>128</v>
      </c>
    </row>
    <row r="54" spans="1:5" x14ac:dyDescent="0.25">
      <c r="A54">
        <v>35.770000457763672</v>
      </c>
      <c r="B54" t="s">
        <v>4</v>
      </c>
      <c r="C54" t="b">
        <f t="shared" si="5"/>
        <v>1</v>
      </c>
      <c r="D54" t="s">
        <v>124</v>
      </c>
      <c r="E54" s="6" t="s">
        <v>129</v>
      </c>
    </row>
    <row r="55" spans="1:5" x14ac:dyDescent="0.25">
      <c r="A55">
        <v>35.810001373291016</v>
      </c>
      <c r="B55" t="s">
        <v>3</v>
      </c>
      <c r="C55" t="b">
        <f t="shared" si="5"/>
        <v>1</v>
      </c>
      <c r="D55" t="s">
        <v>121</v>
      </c>
      <c r="E55" s="6" t="s">
        <v>123</v>
      </c>
    </row>
    <row r="56" spans="1:5" x14ac:dyDescent="0.25">
      <c r="A56">
        <v>35.860000610351563</v>
      </c>
      <c r="B56" t="s">
        <v>2</v>
      </c>
      <c r="C56" t="b">
        <f t="shared" si="5"/>
        <v>1</v>
      </c>
      <c r="D56" t="s">
        <v>121</v>
      </c>
      <c r="E56" s="6" t="s">
        <v>132</v>
      </c>
    </row>
    <row r="57" spans="1:5" x14ac:dyDescent="0.25">
      <c r="A57">
        <v>38.950000762939453</v>
      </c>
      <c r="B57" t="s">
        <v>4</v>
      </c>
      <c r="C57" t="b">
        <f t="shared" si="5"/>
        <v>1</v>
      </c>
      <c r="D57" t="s">
        <v>121</v>
      </c>
      <c r="E57" s="6" t="s">
        <v>133</v>
      </c>
    </row>
    <row r="58" spans="1:5" x14ac:dyDescent="0.25">
      <c r="A58">
        <v>39</v>
      </c>
      <c r="B58" t="s">
        <v>3</v>
      </c>
      <c r="C58" t="b">
        <f t="shared" si="5"/>
        <v>1</v>
      </c>
      <c r="D58" t="s">
        <v>125</v>
      </c>
      <c r="E58" s="6" t="s">
        <v>126</v>
      </c>
    </row>
    <row r="59" spans="1:5" x14ac:dyDescent="0.25">
      <c r="A59">
        <v>39.040000915527344</v>
      </c>
      <c r="B59" t="s">
        <v>2</v>
      </c>
      <c r="C59" t="b">
        <f t="shared" si="5"/>
        <v>1</v>
      </c>
      <c r="D59" t="s">
        <v>125</v>
      </c>
      <c r="E59" s="6" t="s">
        <v>130</v>
      </c>
    </row>
    <row r="60" spans="1:5" x14ac:dyDescent="0.25">
      <c r="A60">
        <v>39.090000152587891</v>
      </c>
      <c r="B60" t="s">
        <v>4</v>
      </c>
      <c r="C60" t="b">
        <f t="shared" si="5"/>
        <v>1</v>
      </c>
      <c r="D60" t="s">
        <v>125</v>
      </c>
      <c r="E60" s="6" t="s">
        <v>131</v>
      </c>
    </row>
    <row r="61" spans="1:5" x14ac:dyDescent="0.25">
      <c r="A61">
        <v>39.150001525878906</v>
      </c>
      <c r="B61" t="s">
        <v>3</v>
      </c>
      <c r="C61" t="b">
        <f t="shared" ref="C61:C66" si="6">VX_T</f>
        <v>1</v>
      </c>
      <c r="D61" t="s">
        <v>164</v>
      </c>
      <c r="E61" s="6" t="s">
        <v>167</v>
      </c>
    </row>
    <row r="62" spans="1:5" x14ac:dyDescent="0.25">
      <c r="A62">
        <v>39.200000762939453</v>
      </c>
      <c r="B62" t="s">
        <v>2</v>
      </c>
      <c r="C62" t="b">
        <f t="shared" si="6"/>
        <v>1</v>
      </c>
      <c r="D62" t="s">
        <v>164</v>
      </c>
      <c r="E62" s="6" t="s">
        <v>168</v>
      </c>
    </row>
    <row r="63" spans="1:5" x14ac:dyDescent="0.25">
      <c r="A63">
        <v>40.560001373291016</v>
      </c>
      <c r="B63" t="s">
        <v>4</v>
      </c>
      <c r="C63" t="b">
        <f t="shared" si="6"/>
        <v>1</v>
      </c>
      <c r="D63" t="s">
        <v>164</v>
      </c>
      <c r="E63" s="6" t="s">
        <v>169</v>
      </c>
    </row>
    <row r="64" spans="1:5" x14ac:dyDescent="0.25">
      <c r="A64">
        <v>40.599998474121094</v>
      </c>
      <c r="B64" t="s">
        <v>3</v>
      </c>
      <c r="C64" t="b">
        <f t="shared" si="6"/>
        <v>1</v>
      </c>
      <c r="D64" t="s">
        <v>165</v>
      </c>
      <c r="E64" s="6" t="s">
        <v>166</v>
      </c>
    </row>
    <row r="65" spans="1:5" x14ac:dyDescent="0.25">
      <c r="A65">
        <v>40.650001525878906</v>
      </c>
      <c r="B65" t="s">
        <v>2</v>
      </c>
      <c r="C65" t="b">
        <f t="shared" si="6"/>
        <v>1</v>
      </c>
      <c r="D65" t="s">
        <v>165</v>
      </c>
      <c r="E65" s="6" t="s">
        <v>170</v>
      </c>
    </row>
    <row r="66" spans="1:5" x14ac:dyDescent="0.25">
      <c r="A66">
        <v>41.909999847412109</v>
      </c>
      <c r="B66" t="s">
        <v>4</v>
      </c>
      <c r="C66" t="b">
        <f t="shared" si="6"/>
        <v>1</v>
      </c>
      <c r="D66" t="s">
        <v>165</v>
      </c>
      <c r="E66" s="6" t="s">
        <v>212</v>
      </c>
    </row>
  </sheetData>
  <conditionalFormatting sqref="C1:C66">
    <cfRule type="containsText" dxfId="1" priority="1" operator="containsText" text="TRUE">
      <formula>NOT(ISERROR(SEARCH("TRUE",C1)))</formula>
    </cfRule>
    <cfRule type="colorScale" priority="2">
      <colorScale>
        <cfvo type="min"/>
        <cfvo type="percentile" val="50"/>
        <cfvo type="max"/>
        <color rgb="FFF8696B"/>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F105"/>
  <sheetViews>
    <sheetView topLeftCell="A55" zoomScaleNormal="100" workbookViewId="0">
      <selection activeCell="D69" sqref="D69"/>
    </sheetView>
  </sheetViews>
  <sheetFormatPr defaultRowHeight="15" x14ac:dyDescent="0.25"/>
  <cols>
    <col min="3" max="3" width="6.140625" bestFit="1" customWidth="1"/>
    <col min="4" max="4" width="47.140625" bestFit="1" customWidth="1"/>
  </cols>
  <sheetData>
    <row r="1" spans="2:5" x14ac:dyDescent="0.25">
      <c r="B1" t="s">
        <v>3</v>
      </c>
      <c r="C1" t="b">
        <f t="shared" ref="C1:C9" si="0">VGE_T</f>
        <v>1</v>
      </c>
      <c r="D1" t="s">
        <v>5</v>
      </c>
      <c r="E1" t="s">
        <v>30</v>
      </c>
    </row>
    <row r="2" spans="2:5" x14ac:dyDescent="0.25">
      <c r="B2" t="s">
        <v>2</v>
      </c>
      <c r="C2" t="b">
        <f t="shared" si="0"/>
        <v>1</v>
      </c>
      <c r="D2" t="s">
        <v>5</v>
      </c>
      <c r="E2" t="s">
        <v>33</v>
      </c>
    </row>
    <row r="3" spans="2:5" x14ac:dyDescent="0.25">
      <c r="B3" t="s">
        <v>4</v>
      </c>
      <c r="C3" t="b">
        <f t="shared" si="0"/>
        <v>1</v>
      </c>
      <c r="D3" t="s">
        <v>5</v>
      </c>
      <c r="E3" t="s">
        <v>34</v>
      </c>
    </row>
    <row r="4" spans="2:5" x14ac:dyDescent="0.25">
      <c r="B4" t="s">
        <v>3</v>
      </c>
      <c r="C4" t="b">
        <f t="shared" si="0"/>
        <v>1</v>
      </c>
      <c r="D4" t="s">
        <v>44</v>
      </c>
      <c r="E4" t="s">
        <v>35</v>
      </c>
    </row>
    <row r="5" spans="2:5" x14ac:dyDescent="0.25">
      <c r="B5" t="s">
        <v>2</v>
      </c>
      <c r="C5" t="b">
        <f t="shared" si="0"/>
        <v>1</v>
      </c>
      <c r="D5" t="s">
        <v>44</v>
      </c>
      <c r="E5" t="s">
        <v>176</v>
      </c>
    </row>
    <row r="6" spans="2:5" x14ac:dyDescent="0.25">
      <c r="B6" t="s">
        <v>4</v>
      </c>
      <c r="C6" t="b">
        <f t="shared" si="0"/>
        <v>1</v>
      </c>
      <c r="D6" t="s">
        <v>44</v>
      </c>
      <c r="E6" t="s">
        <v>177</v>
      </c>
    </row>
    <row r="7" spans="2:5" x14ac:dyDescent="0.25">
      <c r="B7" t="s">
        <v>3</v>
      </c>
      <c r="C7" t="b">
        <f t="shared" si="0"/>
        <v>1</v>
      </c>
      <c r="D7" t="s">
        <v>6</v>
      </c>
      <c r="E7" t="s">
        <v>31</v>
      </c>
    </row>
    <row r="8" spans="2:5" x14ac:dyDescent="0.25">
      <c r="B8" t="s">
        <v>2</v>
      </c>
      <c r="C8" t="b">
        <f t="shared" si="0"/>
        <v>1</v>
      </c>
      <c r="D8" t="s">
        <v>6</v>
      </c>
      <c r="E8" t="s">
        <v>174</v>
      </c>
    </row>
    <row r="9" spans="2:5" x14ac:dyDescent="0.25">
      <c r="B9" t="s">
        <v>4</v>
      </c>
      <c r="C9" t="b">
        <f t="shared" si="0"/>
        <v>1</v>
      </c>
      <c r="D9" t="s">
        <v>6</v>
      </c>
      <c r="E9" t="s">
        <v>175</v>
      </c>
    </row>
    <row r="10" spans="2:5" x14ac:dyDescent="0.25">
      <c r="B10" t="s">
        <v>3</v>
      </c>
      <c r="C10" t="b">
        <f>QEEQ</f>
        <v>1</v>
      </c>
      <c r="D10" t="s">
        <v>28</v>
      </c>
      <c r="E10" t="s">
        <v>32</v>
      </c>
    </row>
    <row r="11" spans="2:5" x14ac:dyDescent="0.25">
      <c r="B11" t="s">
        <v>2</v>
      </c>
      <c r="C11" t="b">
        <f>QEEQ</f>
        <v>1</v>
      </c>
      <c r="D11" t="s">
        <v>28</v>
      </c>
      <c r="E11" t="s">
        <v>29</v>
      </c>
    </row>
    <row r="12" spans="2:5" x14ac:dyDescent="0.25">
      <c r="B12" t="s">
        <v>4</v>
      </c>
      <c r="C12" t="b">
        <f>QEEQ</f>
        <v>1</v>
      </c>
      <c r="D12" t="s">
        <v>28</v>
      </c>
      <c r="E12" t="s">
        <v>89</v>
      </c>
    </row>
    <row r="13" spans="2:5" x14ac:dyDescent="0.25">
      <c r="B13" t="s">
        <v>3</v>
      </c>
      <c r="C13" t="b">
        <f t="shared" ref="C13:C21" si="1">VGH_T</f>
        <v>1</v>
      </c>
      <c r="D13" t="s">
        <v>36</v>
      </c>
      <c r="E13" t="s">
        <v>37</v>
      </c>
    </row>
    <row r="14" spans="2:5" x14ac:dyDescent="0.25">
      <c r="B14" t="s">
        <v>2</v>
      </c>
      <c r="C14" t="b">
        <f t="shared" si="1"/>
        <v>1</v>
      </c>
      <c r="D14" t="s">
        <v>36</v>
      </c>
      <c r="E14" t="s">
        <v>39</v>
      </c>
    </row>
    <row r="15" spans="2:5" x14ac:dyDescent="0.25">
      <c r="B15" t="s">
        <v>4</v>
      </c>
      <c r="C15" t="b">
        <f t="shared" si="1"/>
        <v>1</v>
      </c>
      <c r="D15" t="s">
        <v>36</v>
      </c>
      <c r="E15" t="s">
        <v>38</v>
      </c>
    </row>
    <row r="16" spans="2:5" x14ac:dyDescent="0.25">
      <c r="B16" t="s">
        <v>3</v>
      </c>
      <c r="C16" t="b">
        <f t="shared" si="1"/>
        <v>1</v>
      </c>
      <c r="D16" t="s">
        <v>40</v>
      </c>
      <c r="E16" t="s">
        <v>42</v>
      </c>
    </row>
    <row r="17" spans="2:5" x14ac:dyDescent="0.25">
      <c r="B17" t="s">
        <v>2</v>
      </c>
      <c r="C17" t="b">
        <f t="shared" si="1"/>
        <v>1</v>
      </c>
      <c r="D17" t="s">
        <v>40</v>
      </c>
      <c r="E17" t="s">
        <v>43</v>
      </c>
    </row>
    <row r="18" spans="2:5" x14ac:dyDescent="0.25">
      <c r="B18" t="s">
        <v>4</v>
      </c>
      <c r="C18" t="b">
        <f t="shared" si="1"/>
        <v>1</v>
      </c>
      <c r="D18" t="s">
        <v>40</v>
      </c>
      <c r="E18" t="s">
        <v>45</v>
      </c>
    </row>
    <row r="19" spans="2:5" x14ac:dyDescent="0.25">
      <c r="B19" t="s">
        <v>3</v>
      </c>
      <c r="C19" t="b">
        <f t="shared" si="1"/>
        <v>1</v>
      </c>
      <c r="D19" t="s">
        <v>41</v>
      </c>
      <c r="E19" t="s">
        <v>46</v>
      </c>
    </row>
    <row r="20" spans="2:5" x14ac:dyDescent="0.25">
      <c r="B20" t="s">
        <v>2</v>
      </c>
      <c r="C20" t="b">
        <f t="shared" si="1"/>
        <v>1</v>
      </c>
      <c r="D20" t="s">
        <v>41</v>
      </c>
      <c r="E20" t="s">
        <v>47</v>
      </c>
    </row>
    <row r="21" spans="2:5" x14ac:dyDescent="0.25">
      <c r="B21" t="s">
        <v>4</v>
      </c>
      <c r="C21" t="b">
        <f t="shared" si="1"/>
        <v>1</v>
      </c>
      <c r="D21" t="s">
        <v>41</v>
      </c>
      <c r="E21" t="s">
        <v>48</v>
      </c>
    </row>
    <row r="22" spans="2:5" x14ac:dyDescent="0.25">
      <c r="B22" t="s">
        <v>3</v>
      </c>
      <c r="C22" t="b">
        <f t="shared" ref="C22:C36" si="2">VGF_T</f>
        <v>1</v>
      </c>
      <c r="D22" t="s">
        <v>64</v>
      </c>
      <c r="E22" t="s">
        <v>65</v>
      </c>
    </row>
    <row r="23" spans="2:5" x14ac:dyDescent="0.25">
      <c r="B23" t="s">
        <v>2</v>
      </c>
      <c r="C23" t="b">
        <f t="shared" si="2"/>
        <v>1</v>
      </c>
      <c r="D23" t="s">
        <v>64</v>
      </c>
      <c r="E23" t="s">
        <v>75</v>
      </c>
    </row>
    <row r="24" spans="2:5" x14ac:dyDescent="0.25">
      <c r="B24" t="s">
        <v>4</v>
      </c>
      <c r="C24" t="b">
        <f t="shared" si="2"/>
        <v>1</v>
      </c>
      <c r="D24" t="s">
        <v>64</v>
      </c>
      <c r="E24" t="s">
        <v>76</v>
      </c>
    </row>
    <row r="25" spans="2:5" x14ac:dyDescent="0.25">
      <c r="B25" t="s">
        <v>3</v>
      </c>
      <c r="C25" t="b">
        <f t="shared" si="2"/>
        <v>1</v>
      </c>
      <c r="D25" t="s">
        <v>66</v>
      </c>
      <c r="E25" t="s">
        <v>68</v>
      </c>
    </row>
    <row r="26" spans="2:5" x14ac:dyDescent="0.25">
      <c r="B26" t="s">
        <v>2</v>
      </c>
      <c r="C26" t="b">
        <f t="shared" si="2"/>
        <v>1</v>
      </c>
      <c r="D26" t="s">
        <v>66</v>
      </c>
      <c r="E26" t="s">
        <v>69</v>
      </c>
    </row>
    <row r="27" spans="2:5" x14ac:dyDescent="0.25">
      <c r="B27" t="s">
        <v>4</v>
      </c>
      <c r="C27" t="b">
        <f t="shared" si="2"/>
        <v>1</v>
      </c>
      <c r="D27" t="s">
        <v>66</v>
      </c>
      <c r="E27" t="s">
        <v>77</v>
      </c>
    </row>
    <row r="28" spans="2:5" x14ac:dyDescent="0.25">
      <c r="B28" t="s">
        <v>3</v>
      </c>
      <c r="C28" t="b">
        <f t="shared" si="2"/>
        <v>1</v>
      </c>
      <c r="D28" t="s">
        <v>67</v>
      </c>
      <c r="E28" t="s">
        <v>70</v>
      </c>
    </row>
    <row r="29" spans="2:5" x14ac:dyDescent="0.25">
      <c r="B29" t="s">
        <v>2</v>
      </c>
      <c r="C29" t="b">
        <f t="shared" si="2"/>
        <v>1</v>
      </c>
      <c r="D29" t="s">
        <v>67</v>
      </c>
      <c r="E29" t="s">
        <v>71</v>
      </c>
    </row>
    <row r="30" spans="2:5" x14ac:dyDescent="0.25">
      <c r="B30" t="s">
        <v>4</v>
      </c>
      <c r="C30" t="b">
        <f t="shared" si="2"/>
        <v>1</v>
      </c>
      <c r="D30" t="s">
        <v>67</v>
      </c>
      <c r="E30" t="s">
        <v>72</v>
      </c>
    </row>
    <row r="31" spans="2:5" x14ac:dyDescent="0.25">
      <c r="B31" t="s">
        <v>3</v>
      </c>
      <c r="C31" t="b">
        <f t="shared" si="2"/>
        <v>1</v>
      </c>
      <c r="D31" t="s">
        <v>74</v>
      </c>
      <c r="E31" t="s">
        <v>73</v>
      </c>
    </row>
    <row r="32" spans="2:5" x14ac:dyDescent="0.25">
      <c r="B32" t="s">
        <v>2</v>
      </c>
      <c r="C32" t="b">
        <f t="shared" si="2"/>
        <v>1</v>
      </c>
      <c r="D32" t="s">
        <v>74</v>
      </c>
      <c r="E32" t="s">
        <v>78</v>
      </c>
    </row>
    <row r="33" spans="2:5" x14ac:dyDescent="0.25">
      <c r="B33" t="s">
        <v>4</v>
      </c>
      <c r="C33" t="b">
        <f t="shared" si="2"/>
        <v>1</v>
      </c>
      <c r="D33" t="s">
        <v>74</v>
      </c>
      <c r="E33" t="s">
        <v>79</v>
      </c>
    </row>
    <row r="34" spans="2:5" x14ac:dyDescent="0.25">
      <c r="B34" t="s">
        <v>3</v>
      </c>
      <c r="C34" t="b">
        <f t="shared" si="2"/>
        <v>1</v>
      </c>
      <c r="D34" t="s">
        <v>80</v>
      </c>
      <c r="E34" t="s">
        <v>81</v>
      </c>
    </row>
    <row r="35" spans="2:5" x14ac:dyDescent="0.25">
      <c r="B35" t="s">
        <v>2</v>
      </c>
      <c r="C35" t="b">
        <f t="shared" si="2"/>
        <v>1</v>
      </c>
      <c r="D35" t="s">
        <v>80</v>
      </c>
      <c r="E35" t="s">
        <v>82</v>
      </c>
    </row>
    <row r="36" spans="2:5" x14ac:dyDescent="0.25">
      <c r="B36" t="s">
        <v>4</v>
      </c>
      <c r="C36" t="b">
        <f t="shared" si="2"/>
        <v>1</v>
      </c>
      <c r="D36" t="s">
        <v>80</v>
      </c>
      <c r="E36" t="s">
        <v>83</v>
      </c>
    </row>
    <row r="37" spans="2:5" x14ac:dyDescent="0.25">
      <c r="B37" t="s">
        <v>3</v>
      </c>
      <c r="C37" t="b">
        <f t="shared" ref="C37:C42" si="3">STO</f>
        <v>1</v>
      </c>
      <c r="D37" t="s">
        <v>106</v>
      </c>
      <c r="E37" t="s">
        <v>107</v>
      </c>
    </row>
    <row r="38" spans="2:5" x14ac:dyDescent="0.25">
      <c r="B38" t="s">
        <v>2</v>
      </c>
      <c r="C38" t="b">
        <f t="shared" si="3"/>
        <v>1</v>
      </c>
      <c r="D38" t="s">
        <v>106</v>
      </c>
      <c r="E38" t="s">
        <v>110</v>
      </c>
    </row>
    <row r="39" spans="2:5" x14ac:dyDescent="0.25">
      <c r="B39" t="s">
        <v>4</v>
      </c>
      <c r="C39" t="b">
        <f t="shared" si="3"/>
        <v>1</v>
      </c>
      <c r="D39" t="s">
        <v>106</v>
      </c>
      <c r="E39" s="6" t="s">
        <v>111</v>
      </c>
    </row>
    <row r="40" spans="2:5" x14ac:dyDescent="0.25">
      <c r="B40" t="s">
        <v>3</v>
      </c>
      <c r="C40" t="b">
        <f t="shared" si="3"/>
        <v>1</v>
      </c>
      <c r="D40" t="s">
        <v>108</v>
      </c>
      <c r="E40" t="s">
        <v>109</v>
      </c>
    </row>
    <row r="41" spans="2:5" x14ac:dyDescent="0.25">
      <c r="B41" t="s">
        <v>2</v>
      </c>
      <c r="C41" t="b">
        <f t="shared" si="3"/>
        <v>1</v>
      </c>
      <c r="D41" t="s">
        <v>108</v>
      </c>
      <c r="E41" t="s">
        <v>112</v>
      </c>
    </row>
    <row r="42" spans="2:5" x14ac:dyDescent="0.25">
      <c r="B42" t="s">
        <v>4</v>
      </c>
      <c r="C42" t="b">
        <f t="shared" si="3"/>
        <v>1</v>
      </c>
      <c r="D42" t="s">
        <v>108</v>
      </c>
      <c r="E42" s="6" t="s">
        <v>117</v>
      </c>
    </row>
    <row r="43" spans="2:5" x14ac:dyDescent="0.25">
      <c r="B43" t="s">
        <v>3</v>
      </c>
      <c r="C43" t="b">
        <f t="shared" ref="C43:C48" si="4">IGK</f>
        <v>1</v>
      </c>
      <c r="D43" t="s">
        <v>156</v>
      </c>
      <c r="E43" s="6" t="s">
        <v>157</v>
      </c>
    </row>
    <row r="44" spans="2:5" x14ac:dyDescent="0.25">
      <c r="B44" t="s">
        <v>2</v>
      </c>
      <c r="C44" t="b">
        <f t="shared" si="4"/>
        <v>1</v>
      </c>
      <c r="D44" t="s">
        <v>156</v>
      </c>
      <c r="E44" s="6" t="s">
        <v>158</v>
      </c>
    </row>
    <row r="45" spans="2:5" x14ac:dyDescent="0.25">
      <c r="B45" t="s">
        <v>4</v>
      </c>
      <c r="C45" t="b">
        <f t="shared" si="4"/>
        <v>1</v>
      </c>
      <c r="D45" t="s">
        <v>156</v>
      </c>
      <c r="E45" s="6" t="s">
        <v>159</v>
      </c>
    </row>
    <row r="46" spans="2:5" x14ac:dyDescent="0.25">
      <c r="B46" t="s">
        <v>3</v>
      </c>
      <c r="C46" t="b">
        <f t="shared" si="4"/>
        <v>1</v>
      </c>
      <c r="D46" t="s">
        <v>160</v>
      </c>
      <c r="E46" s="6" t="s">
        <v>161</v>
      </c>
    </row>
    <row r="47" spans="2:5" x14ac:dyDescent="0.25">
      <c r="B47" t="s">
        <v>2</v>
      </c>
      <c r="C47" t="b">
        <f t="shared" si="4"/>
        <v>1</v>
      </c>
      <c r="D47" t="s">
        <v>160</v>
      </c>
      <c r="E47" s="6" t="s">
        <v>162</v>
      </c>
    </row>
    <row r="48" spans="2:5" x14ac:dyDescent="0.25">
      <c r="B48" t="s">
        <v>4</v>
      </c>
      <c r="C48" t="b">
        <f t="shared" si="4"/>
        <v>1</v>
      </c>
      <c r="D48" t="s">
        <v>160</v>
      </c>
      <c r="E48" s="6" t="s">
        <v>163</v>
      </c>
    </row>
    <row r="49" spans="2:5" x14ac:dyDescent="0.25">
      <c r="B49" t="s">
        <v>3</v>
      </c>
      <c r="C49" t="b">
        <f t="shared" ref="C49:C60" si="5">DE</f>
        <v>1</v>
      </c>
      <c r="D49" t="s">
        <v>122</v>
      </c>
      <c r="E49" s="6" t="s">
        <v>118</v>
      </c>
    </row>
    <row r="50" spans="2:5" x14ac:dyDescent="0.25">
      <c r="B50" t="s">
        <v>2</v>
      </c>
      <c r="C50" t="b">
        <f t="shared" si="5"/>
        <v>1</v>
      </c>
      <c r="D50" t="s">
        <v>122</v>
      </c>
      <c r="E50" s="6" t="s">
        <v>119</v>
      </c>
    </row>
    <row r="51" spans="2:5" x14ac:dyDescent="0.25">
      <c r="B51" t="s">
        <v>4</v>
      </c>
      <c r="C51" t="b">
        <f t="shared" si="5"/>
        <v>1</v>
      </c>
      <c r="D51" t="s">
        <v>122</v>
      </c>
      <c r="E51" s="6" t="s">
        <v>120</v>
      </c>
    </row>
    <row r="52" spans="2:5" x14ac:dyDescent="0.25">
      <c r="B52" t="s">
        <v>3</v>
      </c>
      <c r="C52" t="b">
        <f t="shared" si="5"/>
        <v>1</v>
      </c>
      <c r="D52" t="s">
        <v>124</v>
      </c>
      <c r="E52" s="6" t="s">
        <v>127</v>
      </c>
    </row>
    <row r="53" spans="2:5" x14ac:dyDescent="0.25">
      <c r="B53" t="s">
        <v>2</v>
      </c>
      <c r="C53" t="b">
        <f t="shared" si="5"/>
        <v>1</v>
      </c>
      <c r="D53" t="s">
        <v>124</v>
      </c>
      <c r="E53" s="6" t="s">
        <v>128</v>
      </c>
    </row>
    <row r="54" spans="2:5" x14ac:dyDescent="0.25">
      <c r="B54" t="s">
        <v>4</v>
      </c>
      <c r="C54" t="b">
        <f t="shared" si="5"/>
        <v>1</v>
      </c>
      <c r="D54" t="s">
        <v>124</v>
      </c>
      <c r="E54" s="6" t="s">
        <v>129</v>
      </c>
    </row>
    <row r="55" spans="2:5" x14ac:dyDescent="0.25">
      <c r="B55" t="s">
        <v>3</v>
      </c>
      <c r="C55" t="b">
        <f t="shared" si="5"/>
        <v>1</v>
      </c>
      <c r="D55" t="s">
        <v>121</v>
      </c>
      <c r="E55" s="6" t="s">
        <v>123</v>
      </c>
    </row>
    <row r="56" spans="2:5" x14ac:dyDescent="0.25">
      <c r="B56" t="s">
        <v>2</v>
      </c>
      <c r="C56" t="b">
        <f t="shared" si="5"/>
        <v>1</v>
      </c>
      <c r="D56" t="s">
        <v>121</v>
      </c>
      <c r="E56" s="6" t="s">
        <v>132</v>
      </c>
    </row>
    <row r="57" spans="2:5" x14ac:dyDescent="0.25">
      <c r="B57" t="s">
        <v>4</v>
      </c>
      <c r="C57" t="b">
        <f t="shared" si="5"/>
        <v>1</v>
      </c>
      <c r="D57" t="s">
        <v>121</v>
      </c>
      <c r="E57" s="6" t="s">
        <v>133</v>
      </c>
    </row>
    <row r="58" spans="2:5" x14ac:dyDescent="0.25">
      <c r="B58" t="s">
        <v>3</v>
      </c>
      <c r="C58" t="b">
        <f t="shared" si="5"/>
        <v>1</v>
      </c>
      <c r="D58" t="s">
        <v>125</v>
      </c>
      <c r="E58" s="6" t="s">
        <v>126</v>
      </c>
    </row>
    <row r="59" spans="2:5" x14ac:dyDescent="0.25">
      <c r="B59" t="s">
        <v>2</v>
      </c>
      <c r="C59" t="b">
        <f t="shared" si="5"/>
        <v>1</v>
      </c>
      <c r="D59" t="s">
        <v>125</v>
      </c>
      <c r="E59" s="6" t="s">
        <v>130</v>
      </c>
    </row>
    <row r="60" spans="2:5" x14ac:dyDescent="0.25">
      <c r="B60" t="s">
        <v>4</v>
      </c>
      <c r="C60" t="b">
        <f t="shared" si="5"/>
        <v>1</v>
      </c>
      <c r="D60" t="s">
        <v>125</v>
      </c>
      <c r="E60" s="6" t="s">
        <v>131</v>
      </c>
    </row>
    <row r="61" spans="2:5" x14ac:dyDescent="0.25">
      <c r="B61" t="s">
        <v>3</v>
      </c>
      <c r="C61" t="b">
        <f>VX_T</f>
        <v>1</v>
      </c>
      <c r="D61" t="s">
        <v>164</v>
      </c>
      <c r="E61" s="6" t="s">
        <v>167</v>
      </c>
    </row>
    <row r="62" spans="2:5" x14ac:dyDescent="0.25">
      <c r="B62" t="s">
        <v>2</v>
      </c>
      <c r="C62" t="b">
        <f>VX_T</f>
        <v>1</v>
      </c>
      <c r="D62" t="s">
        <v>164</v>
      </c>
      <c r="E62" s="6" t="s">
        <v>210</v>
      </c>
    </row>
    <row r="63" spans="2:5" x14ac:dyDescent="0.25">
      <c r="B63" t="s">
        <v>4</v>
      </c>
      <c r="C63" t="b">
        <f>VX_T</f>
        <v>1</v>
      </c>
      <c r="D63" t="s">
        <v>164</v>
      </c>
      <c r="E63" s="6" t="s">
        <v>211</v>
      </c>
    </row>
    <row r="64" spans="2:5" x14ac:dyDescent="0.25">
      <c r="B64" t="s">
        <v>3</v>
      </c>
      <c r="C64" t="b">
        <f>VX_T</f>
        <v>1</v>
      </c>
      <c r="D64" t="s">
        <v>165</v>
      </c>
      <c r="E64" s="6" t="s">
        <v>166</v>
      </c>
    </row>
    <row r="65" spans="2:6" x14ac:dyDescent="0.25">
      <c r="B65" t="s">
        <v>2</v>
      </c>
      <c r="C65" t="b">
        <f>VX_T</f>
        <v>1</v>
      </c>
      <c r="D65" t="s">
        <v>165</v>
      </c>
      <c r="E65" s="6" t="s">
        <v>213</v>
      </c>
    </row>
    <row r="66" spans="2:6" x14ac:dyDescent="0.25">
      <c r="B66" t="s">
        <v>4</v>
      </c>
      <c r="C66" t="b">
        <f>VX_T</f>
        <v>1</v>
      </c>
      <c r="D66" t="s">
        <v>165</v>
      </c>
      <c r="E66" s="6" t="s">
        <v>214</v>
      </c>
    </row>
    <row r="68" spans="2:6" x14ac:dyDescent="0.25">
      <c r="E68" s="6"/>
    </row>
    <row r="69" spans="2:6" x14ac:dyDescent="0.25">
      <c r="E69" s="6"/>
    </row>
    <row r="70" spans="2:6" x14ac:dyDescent="0.25">
      <c r="E70" s="6"/>
    </row>
    <row r="71" spans="2:6" x14ac:dyDescent="0.25">
      <c r="E71" s="6"/>
    </row>
    <row r="72" spans="2:6" x14ac:dyDescent="0.25">
      <c r="E72" s="6"/>
    </row>
    <row r="73" spans="2:6" x14ac:dyDescent="0.25">
      <c r="B73" t="s">
        <v>3</v>
      </c>
      <c r="D73" t="s">
        <v>134</v>
      </c>
      <c r="E73" s="6" t="s">
        <v>135</v>
      </c>
    </row>
    <row r="74" spans="2:6" x14ac:dyDescent="0.25">
      <c r="B74" t="s">
        <v>2</v>
      </c>
      <c r="D74" t="s">
        <v>134</v>
      </c>
      <c r="E74" s="6" t="s">
        <v>136</v>
      </c>
    </row>
    <row r="75" spans="2:6" x14ac:dyDescent="0.25">
      <c r="B75" t="s">
        <v>4</v>
      </c>
      <c r="D75" t="s">
        <v>134</v>
      </c>
      <c r="E75" s="6" t="s">
        <v>137</v>
      </c>
    </row>
    <row r="76" spans="2:6" x14ac:dyDescent="0.25">
      <c r="E76" s="6" t="s">
        <v>138</v>
      </c>
    </row>
    <row r="77" spans="2:6" x14ac:dyDescent="0.25">
      <c r="E77" s="6" t="s">
        <v>139</v>
      </c>
    </row>
    <row r="78" spans="2:6" x14ac:dyDescent="0.25">
      <c r="E78" s="6"/>
      <c r="F78" t="s">
        <v>140</v>
      </c>
    </row>
    <row r="79" spans="2:6" x14ac:dyDescent="0.25">
      <c r="E79" s="6" t="s">
        <v>141</v>
      </c>
    </row>
    <row r="80" spans="2:6" x14ac:dyDescent="0.25">
      <c r="E80" s="6" t="s">
        <v>142</v>
      </c>
    </row>
    <row r="81" spans="5:5" x14ac:dyDescent="0.25">
      <c r="E81" s="6"/>
    </row>
    <row r="82" spans="5:5" x14ac:dyDescent="0.25">
      <c r="E82" s="6"/>
    </row>
    <row r="83" spans="5:5" x14ac:dyDescent="0.25">
      <c r="E83" s="6"/>
    </row>
    <row r="84" spans="5:5" x14ac:dyDescent="0.25">
      <c r="E84" s="6"/>
    </row>
    <row r="85" spans="5:5" x14ac:dyDescent="0.25">
      <c r="E85" s="6"/>
    </row>
    <row r="86" spans="5:5" x14ac:dyDescent="0.25">
      <c r="E86" s="6"/>
    </row>
    <row r="87" spans="5:5" x14ac:dyDescent="0.25">
      <c r="E87" s="6"/>
    </row>
    <row r="88" spans="5:5" x14ac:dyDescent="0.25">
      <c r="E88" s="6"/>
    </row>
    <row r="89" spans="5:5" x14ac:dyDescent="0.25">
      <c r="E89" s="6"/>
    </row>
    <row r="90" spans="5:5" x14ac:dyDescent="0.25">
      <c r="E90" s="6"/>
    </row>
    <row r="91" spans="5:5" x14ac:dyDescent="0.25">
      <c r="E91" s="6"/>
    </row>
    <row r="92" spans="5:5" x14ac:dyDescent="0.25">
      <c r="E92" s="6"/>
    </row>
    <row r="93" spans="5:5" x14ac:dyDescent="0.25">
      <c r="E93" s="6"/>
    </row>
    <row r="94" spans="5:5" x14ac:dyDescent="0.25">
      <c r="E94" s="6"/>
    </row>
    <row r="95" spans="5:5" x14ac:dyDescent="0.25">
      <c r="E95" s="6"/>
    </row>
    <row r="96" spans="5: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sheetData>
  <conditionalFormatting sqref="C1:C66">
    <cfRule type="containsText" dxfId="0" priority="1" operator="containsText" text="TRUE">
      <formula>NOT(ISERROR(SEARCH("TRUE",C1)))</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P182"/>
  <sheetViews>
    <sheetView topLeftCell="H1" workbookViewId="0">
      <selection activeCell="C7" sqref="C7"/>
    </sheetView>
  </sheetViews>
  <sheetFormatPr defaultRowHeight="15" x14ac:dyDescent="0.25"/>
  <cols>
    <col min="2" max="2" width="17.7109375" customWidth="1"/>
    <col min="3" max="15" width="13.5703125" customWidth="1"/>
    <col min="16" max="16" width="12" customWidth="1"/>
    <col min="17" max="19" width="15.140625" bestFit="1" customWidth="1"/>
    <col min="20" max="20" width="12" customWidth="1"/>
    <col min="21" max="21" width="12" bestFit="1" customWidth="1"/>
  </cols>
  <sheetData>
    <row r="3" spans="2:16" x14ac:dyDescent="0.25">
      <c r="B3" s="1" t="s">
        <v>17</v>
      </c>
      <c r="C3" s="1" t="s">
        <v>16</v>
      </c>
    </row>
    <row r="4" spans="2:16" x14ac:dyDescent="0.25">
      <c r="B4" s="1" t="s">
        <v>15</v>
      </c>
      <c r="C4" t="s">
        <v>10</v>
      </c>
      <c r="D4" t="s">
        <v>11</v>
      </c>
      <c r="E4" t="s">
        <v>13</v>
      </c>
      <c r="F4" t="s">
        <v>14</v>
      </c>
      <c r="G4" t="s">
        <v>20</v>
      </c>
      <c r="H4" t="s">
        <v>21</v>
      </c>
      <c r="I4" t="s">
        <v>198</v>
      </c>
      <c r="J4" t="s">
        <v>199</v>
      </c>
      <c r="K4" t="s">
        <v>200</v>
      </c>
      <c r="L4" t="s">
        <v>201</v>
      </c>
      <c r="M4" t="s">
        <v>202</v>
      </c>
      <c r="N4" t="s">
        <v>203</v>
      </c>
      <c r="O4" t="s">
        <v>204</v>
      </c>
      <c r="P4" t="s">
        <v>0</v>
      </c>
    </row>
    <row r="5" spans="2:16" x14ac:dyDescent="0.25">
      <c r="B5" t="s">
        <v>7</v>
      </c>
      <c r="C5" s="5">
        <v>46.178989812620401</v>
      </c>
      <c r="D5" s="5">
        <v>3.4303632500000001</v>
      </c>
      <c r="E5" s="5"/>
      <c r="F5" s="5">
        <v>6.7024476999999996</v>
      </c>
      <c r="G5" s="3"/>
      <c r="H5" s="3"/>
      <c r="I5" s="3"/>
      <c r="J5" s="3"/>
      <c r="K5" s="3"/>
      <c r="L5" s="3"/>
      <c r="M5" s="3"/>
      <c r="N5" s="3"/>
      <c r="O5" s="3"/>
      <c r="P5" s="3">
        <v>56.3118007626204</v>
      </c>
    </row>
    <row r="6" spans="2:16" x14ac:dyDescent="0.25">
      <c r="B6" t="s">
        <v>8</v>
      </c>
      <c r="C6" s="5">
        <v>19.636471559039869</v>
      </c>
      <c r="D6" s="5"/>
      <c r="E6" s="5">
        <v>128.03684101989825</v>
      </c>
      <c r="F6" s="5">
        <v>1.4274821948060454</v>
      </c>
      <c r="G6" s="3"/>
      <c r="H6" s="3"/>
      <c r="I6" s="3"/>
      <c r="J6" s="3"/>
      <c r="K6" s="3"/>
      <c r="L6" s="3"/>
      <c r="M6" s="3"/>
      <c r="N6" s="3"/>
      <c r="O6" s="3"/>
      <c r="P6" s="3">
        <v>149.10079477374416</v>
      </c>
    </row>
    <row r="7" spans="2:16" x14ac:dyDescent="0.25">
      <c r="B7" t="s">
        <v>9</v>
      </c>
      <c r="C7" s="5">
        <v>58.893862466485842</v>
      </c>
      <c r="D7" s="5"/>
      <c r="E7" s="5">
        <v>79.112340271493167</v>
      </c>
      <c r="F7" s="5">
        <v>7.5495799999999997</v>
      </c>
      <c r="G7" s="3"/>
      <c r="H7" s="3"/>
      <c r="I7" s="3"/>
      <c r="J7" s="3"/>
      <c r="K7" s="3"/>
      <c r="L7" s="3"/>
      <c r="M7" s="3"/>
      <c r="N7" s="3"/>
      <c r="O7" s="3"/>
      <c r="P7" s="3">
        <v>145.555782737979</v>
      </c>
    </row>
    <row r="8" spans="2:16" x14ac:dyDescent="0.25">
      <c r="B8" t="s">
        <v>22</v>
      </c>
      <c r="C8" s="5"/>
      <c r="D8" s="5"/>
      <c r="E8" s="5"/>
      <c r="F8" s="5">
        <v>0.66047999999999996</v>
      </c>
      <c r="G8" s="3"/>
      <c r="H8" s="3"/>
      <c r="I8" s="3">
        <v>0.138028167531103</v>
      </c>
      <c r="J8" s="3">
        <v>0.51526099680360815</v>
      </c>
      <c r="K8" s="3">
        <v>0.13139999999999999</v>
      </c>
      <c r="L8" s="3">
        <v>10.267821921103302</v>
      </c>
      <c r="M8" s="3"/>
      <c r="N8" s="3"/>
      <c r="O8" s="3"/>
      <c r="P8" s="3">
        <v>11.712991085438013</v>
      </c>
    </row>
    <row r="9" spans="2:16" x14ac:dyDescent="0.25">
      <c r="B9" t="s">
        <v>23</v>
      </c>
      <c r="C9" s="5">
        <v>56.409332050095593</v>
      </c>
      <c r="D9" s="5"/>
      <c r="E9" s="5">
        <v>16.777955000000009</v>
      </c>
      <c r="F9" s="5">
        <v>0.42531999999999998</v>
      </c>
      <c r="G9" s="3"/>
      <c r="H9" s="3"/>
      <c r="I9" s="3"/>
      <c r="J9" s="3"/>
      <c r="K9" s="3"/>
      <c r="L9" s="3"/>
      <c r="M9" s="3"/>
      <c r="N9" s="3"/>
      <c r="O9" s="3"/>
      <c r="P9" s="3">
        <v>73.612607050095605</v>
      </c>
    </row>
    <row r="10" spans="2:16" x14ac:dyDescent="0.25">
      <c r="B10" t="s">
        <v>24</v>
      </c>
      <c r="C10" s="5">
        <v>32.801769</v>
      </c>
      <c r="D10" s="5"/>
      <c r="E10" s="5">
        <v>47.956654222715102</v>
      </c>
      <c r="F10" s="5">
        <v>68.427627999999999</v>
      </c>
      <c r="G10" s="3">
        <v>104.64208130476899</v>
      </c>
      <c r="H10" s="3"/>
      <c r="I10" s="3"/>
      <c r="J10" s="3"/>
      <c r="K10" s="3"/>
      <c r="L10" s="3"/>
      <c r="M10" s="3"/>
      <c r="N10" s="3"/>
      <c r="O10" s="3"/>
      <c r="P10" s="3">
        <v>253.82813252748409</v>
      </c>
    </row>
    <row r="11" spans="2:16" x14ac:dyDescent="0.25">
      <c r="B11" t="s">
        <v>25</v>
      </c>
      <c r="C11" s="5"/>
      <c r="D11" s="5"/>
      <c r="E11" s="5">
        <v>3.1671950000000013</v>
      </c>
      <c r="F11" s="5">
        <v>0.23753400000000002</v>
      </c>
      <c r="G11" s="3"/>
      <c r="H11" s="3">
        <v>2.6279999999999901E-2</v>
      </c>
      <c r="I11" s="3">
        <v>0.78617330630113746</v>
      </c>
      <c r="J11" s="3">
        <v>0.1118454045566207</v>
      </c>
      <c r="K11" s="3"/>
      <c r="L11" s="3"/>
      <c r="M11" s="3">
        <v>0.13139999999999999</v>
      </c>
      <c r="N11" s="3">
        <v>0.26105871783394324</v>
      </c>
      <c r="O11" s="3"/>
      <c r="P11" s="3">
        <v>4.7214864286917031</v>
      </c>
    </row>
    <row r="12" spans="2:16" x14ac:dyDescent="0.25">
      <c r="B12" t="s">
        <v>26</v>
      </c>
      <c r="C12" s="5"/>
      <c r="D12" s="5">
        <v>9.2971899357745899E-2</v>
      </c>
      <c r="E12" s="5">
        <v>0.52273774403363593</v>
      </c>
      <c r="F12" s="5">
        <v>0.197379</v>
      </c>
      <c r="G12" s="3"/>
      <c r="H12" s="3"/>
      <c r="I12" s="3"/>
      <c r="J12" s="3"/>
      <c r="K12" s="3"/>
      <c r="L12" s="3"/>
      <c r="M12" s="3"/>
      <c r="N12" s="3">
        <v>2.3736071892399999</v>
      </c>
      <c r="O12" s="3"/>
      <c r="P12" s="3">
        <v>3.1866958326313819</v>
      </c>
    </row>
    <row r="13" spans="2:16" x14ac:dyDescent="0.25">
      <c r="B13" t="s">
        <v>27</v>
      </c>
      <c r="C13" s="5"/>
      <c r="D13" s="5"/>
      <c r="E13" s="5">
        <v>2.3110249999999999</v>
      </c>
      <c r="F13" s="5">
        <v>2.3858999999999999</v>
      </c>
      <c r="G13" s="3"/>
      <c r="H13" s="3">
        <v>108.57152152965992</v>
      </c>
      <c r="I13" s="3"/>
      <c r="J13" s="3"/>
      <c r="K13" s="3"/>
      <c r="L13" s="3"/>
      <c r="M13" s="3">
        <v>0.29784000000000099</v>
      </c>
      <c r="N13" s="3"/>
      <c r="O13" s="3">
        <v>22.512753470340026</v>
      </c>
      <c r="P13" s="3">
        <v>136.07903999999994</v>
      </c>
    </row>
    <row r="14" spans="2:16" x14ac:dyDescent="0.25">
      <c r="B14" t="s">
        <v>205</v>
      </c>
      <c r="C14" s="5">
        <v>0.36244500000000002</v>
      </c>
      <c r="D14" s="5"/>
      <c r="E14" s="5">
        <v>0.15540000000000001</v>
      </c>
      <c r="F14" s="5">
        <v>5.1874800000000008</v>
      </c>
      <c r="G14" s="3">
        <v>4.33635701765993</v>
      </c>
      <c r="H14" s="3"/>
      <c r="I14" s="3"/>
      <c r="J14" s="3"/>
      <c r="K14" s="3"/>
      <c r="L14" s="3"/>
      <c r="M14" s="3"/>
      <c r="N14" s="3"/>
      <c r="O14" s="3"/>
      <c r="P14" s="3">
        <v>10.04168201765993</v>
      </c>
    </row>
    <row r="15" spans="2:16" x14ac:dyDescent="0.25">
      <c r="B15" t="s">
        <v>195</v>
      </c>
      <c r="C15" s="5">
        <v>1.682248</v>
      </c>
      <c r="D15" s="5"/>
      <c r="E15" s="5">
        <v>5.1395607069672202</v>
      </c>
      <c r="F15" s="5">
        <v>23.971475999999999</v>
      </c>
      <c r="G15" s="3">
        <v>65.045349120033194</v>
      </c>
      <c r="H15" s="3"/>
      <c r="I15" s="3"/>
      <c r="J15" s="3"/>
      <c r="K15" s="3"/>
      <c r="L15" s="3"/>
      <c r="M15" s="3"/>
      <c r="N15" s="3"/>
      <c r="O15" s="3"/>
      <c r="P15" s="3">
        <v>95.838633827000422</v>
      </c>
    </row>
    <row r="16" spans="2:16" x14ac:dyDescent="0.25">
      <c r="B16" t="s">
        <v>0</v>
      </c>
      <c r="C16" s="5">
        <v>215.96511788824171</v>
      </c>
      <c r="D16" s="5">
        <v>3.5233351493577461</v>
      </c>
      <c r="E16" s="5">
        <v>283.17970896510735</v>
      </c>
      <c r="F16" s="5">
        <v>117.17270689480605</v>
      </c>
      <c r="G16" s="3">
        <v>174.02378744246212</v>
      </c>
      <c r="H16" s="3">
        <v>108.59780152965992</v>
      </c>
      <c r="I16" s="3">
        <v>0.92420147383224049</v>
      </c>
      <c r="J16" s="3">
        <v>0.62710640136022888</v>
      </c>
      <c r="K16" s="3">
        <v>0.13139999999999999</v>
      </c>
      <c r="L16" s="3">
        <v>10.267821921103302</v>
      </c>
      <c r="M16" s="3">
        <v>0.42924000000000095</v>
      </c>
      <c r="N16" s="3">
        <v>2.6346659070739431</v>
      </c>
      <c r="O16" s="3">
        <v>22.512753470340026</v>
      </c>
      <c r="P16" s="3">
        <v>939.98964704334469</v>
      </c>
    </row>
    <row r="29" spans="2:3" x14ac:dyDescent="0.25">
      <c r="B29" s="4"/>
      <c r="C29" s="3"/>
    </row>
    <row r="30" spans="2:3" x14ac:dyDescent="0.25">
      <c r="B30" s="2"/>
      <c r="C30" s="3"/>
    </row>
    <row r="31" spans="2:3" x14ac:dyDescent="0.25">
      <c r="B31" s="4"/>
      <c r="C31" s="3"/>
    </row>
    <row r="32" spans="2:3" x14ac:dyDescent="0.25">
      <c r="B32" s="2"/>
      <c r="C32" s="3"/>
    </row>
    <row r="33" spans="2:3" x14ac:dyDescent="0.25">
      <c r="B33" s="4"/>
      <c r="C33" s="3"/>
    </row>
    <row r="34" spans="2:3" x14ac:dyDescent="0.25">
      <c r="B34" s="2"/>
      <c r="C34" s="3"/>
    </row>
    <row r="35" spans="2:3" x14ac:dyDescent="0.25">
      <c r="B35" s="4"/>
      <c r="C35" s="3"/>
    </row>
    <row r="36" spans="2:3" x14ac:dyDescent="0.25">
      <c r="B36" s="2"/>
      <c r="C36" s="3"/>
    </row>
    <row r="37" spans="2:3" x14ac:dyDescent="0.25">
      <c r="B37" s="4"/>
      <c r="C37" s="3"/>
    </row>
    <row r="38" spans="2:3" x14ac:dyDescent="0.25">
      <c r="B38" s="2"/>
      <c r="C38" s="3"/>
    </row>
    <row r="39" spans="2:3" x14ac:dyDescent="0.25">
      <c r="B39" s="4"/>
      <c r="C39" s="3"/>
    </row>
    <row r="40" spans="2:3" x14ac:dyDescent="0.25">
      <c r="B40" s="2"/>
      <c r="C40" s="3"/>
    </row>
    <row r="41" spans="2:3" x14ac:dyDescent="0.25">
      <c r="B41" s="4"/>
      <c r="C41" s="3"/>
    </row>
    <row r="42" spans="2:3" x14ac:dyDescent="0.25">
      <c r="B42" s="2"/>
      <c r="C42" s="3"/>
    </row>
    <row r="43" spans="2:3" x14ac:dyDescent="0.25">
      <c r="B43" s="4"/>
      <c r="C43" s="3"/>
    </row>
    <row r="44" spans="2:3" x14ac:dyDescent="0.25">
      <c r="B44" s="2"/>
      <c r="C44" s="3"/>
    </row>
    <row r="45" spans="2:3" x14ac:dyDescent="0.25">
      <c r="B45" s="4"/>
      <c r="C45" s="3"/>
    </row>
    <row r="46" spans="2:3" x14ac:dyDescent="0.25">
      <c r="B46" s="2"/>
      <c r="C46" s="3"/>
    </row>
    <row r="47" spans="2:3" x14ac:dyDescent="0.25">
      <c r="B47" s="4"/>
      <c r="C47" s="3"/>
    </row>
    <row r="48" spans="2:3" x14ac:dyDescent="0.25">
      <c r="B48" s="2"/>
      <c r="C48" s="3"/>
    </row>
    <row r="49" spans="2:3" x14ac:dyDescent="0.25">
      <c r="B49" s="4"/>
      <c r="C49" s="3"/>
    </row>
    <row r="50" spans="2:3" x14ac:dyDescent="0.25">
      <c r="B50" s="2"/>
      <c r="C50" s="3"/>
    </row>
    <row r="51" spans="2:3" x14ac:dyDescent="0.25">
      <c r="B51" s="4"/>
      <c r="C51" s="3"/>
    </row>
    <row r="52" spans="2:3" x14ac:dyDescent="0.25">
      <c r="B52" s="2"/>
      <c r="C52" s="3"/>
    </row>
    <row r="53" spans="2:3" x14ac:dyDescent="0.25">
      <c r="B53" s="4"/>
      <c r="C53" s="3"/>
    </row>
    <row r="54" spans="2:3" x14ac:dyDescent="0.25">
      <c r="B54" s="2"/>
      <c r="C54" s="3"/>
    </row>
    <row r="55" spans="2:3" x14ac:dyDescent="0.25">
      <c r="B55" s="4"/>
      <c r="C55" s="3"/>
    </row>
    <row r="56" spans="2:3" x14ac:dyDescent="0.25">
      <c r="B56" s="2"/>
      <c r="C56" s="3"/>
    </row>
    <row r="57" spans="2:3" x14ac:dyDescent="0.25">
      <c r="B57" s="4"/>
      <c r="C57" s="3"/>
    </row>
    <row r="58" spans="2:3" x14ac:dyDescent="0.25">
      <c r="B58" s="2"/>
      <c r="C58" s="3"/>
    </row>
    <row r="59" spans="2:3" x14ac:dyDescent="0.25">
      <c r="B59" s="4"/>
      <c r="C59" s="3"/>
    </row>
    <row r="60" spans="2:3" x14ac:dyDescent="0.25">
      <c r="B60" s="2"/>
      <c r="C60" s="3"/>
    </row>
    <row r="61" spans="2:3" x14ac:dyDescent="0.25">
      <c r="B61" s="4"/>
      <c r="C61" s="3"/>
    </row>
    <row r="62" spans="2:3" x14ac:dyDescent="0.25">
      <c r="B62" s="2"/>
      <c r="C62" s="3"/>
    </row>
    <row r="63" spans="2:3" x14ac:dyDescent="0.25">
      <c r="B63" s="4"/>
      <c r="C63" s="3"/>
    </row>
    <row r="64" spans="2:3" x14ac:dyDescent="0.25">
      <c r="B64" s="2"/>
      <c r="C64" s="3"/>
    </row>
    <row r="65" spans="2:3" x14ac:dyDescent="0.25">
      <c r="B65" s="4"/>
      <c r="C65" s="3"/>
    </row>
    <row r="66" spans="2:3" x14ac:dyDescent="0.25">
      <c r="B66" s="2"/>
      <c r="C66" s="3"/>
    </row>
    <row r="67" spans="2:3" x14ac:dyDescent="0.25">
      <c r="B67" s="4"/>
      <c r="C67" s="3"/>
    </row>
    <row r="68" spans="2:3" x14ac:dyDescent="0.25">
      <c r="B68" s="2"/>
      <c r="C68" s="3"/>
    </row>
    <row r="69" spans="2:3" x14ac:dyDescent="0.25">
      <c r="B69" s="4"/>
      <c r="C69" s="3"/>
    </row>
    <row r="70" spans="2:3" x14ac:dyDescent="0.25">
      <c r="B70" s="2"/>
      <c r="C70" s="3"/>
    </row>
    <row r="71" spans="2:3" x14ac:dyDescent="0.25">
      <c r="B71" s="4"/>
      <c r="C71" s="3"/>
    </row>
    <row r="72" spans="2:3" x14ac:dyDescent="0.25">
      <c r="B72" s="2"/>
      <c r="C72" s="3"/>
    </row>
    <row r="73" spans="2:3" x14ac:dyDescent="0.25">
      <c r="B73" s="4"/>
      <c r="C73" s="3"/>
    </row>
    <row r="74" spans="2:3" x14ac:dyDescent="0.25">
      <c r="B74" s="2"/>
      <c r="C74" s="3"/>
    </row>
    <row r="75" spans="2:3" x14ac:dyDescent="0.25">
      <c r="B75" s="4"/>
      <c r="C75" s="3"/>
    </row>
    <row r="76" spans="2:3" x14ac:dyDescent="0.25">
      <c r="B76" s="2"/>
      <c r="C76" s="3"/>
    </row>
    <row r="77" spans="2:3" x14ac:dyDescent="0.25">
      <c r="B77" s="4"/>
      <c r="C77" s="3"/>
    </row>
    <row r="78" spans="2:3" x14ac:dyDescent="0.25">
      <c r="B78" s="2"/>
      <c r="C78" s="3"/>
    </row>
    <row r="79" spans="2:3" x14ac:dyDescent="0.25">
      <c r="B79" s="4"/>
      <c r="C79" s="3"/>
    </row>
    <row r="80" spans="2:3" x14ac:dyDescent="0.25">
      <c r="B80" s="2"/>
      <c r="C80" s="3"/>
    </row>
    <row r="81" spans="2:3" x14ac:dyDescent="0.25">
      <c r="B81" s="4"/>
      <c r="C81" s="3"/>
    </row>
    <row r="82" spans="2:3" x14ac:dyDescent="0.25">
      <c r="B82" s="2"/>
      <c r="C82" s="3"/>
    </row>
    <row r="83" spans="2:3" x14ac:dyDescent="0.25">
      <c r="B83" s="4"/>
      <c r="C83" s="3"/>
    </row>
    <row r="84" spans="2:3" x14ac:dyDescent="0.25">
      <c r="B84" s="2"/>
      <c r="C84" s="3"/>
    </row>
    <row r="85" spans="2:3" x14ac:dyDescent="0.25">
      <c r="B85" s="4"/>
      <c r="C85" s="3"/>
    </row>
    <row r="86" spans="2:3" x14ac:dyDescent="0.25">
      <c r="B86" s="2"/>
      <c r="C86" s="3"/>
    </row>
    <row r="87" spans="2:3" x14ac:dyDescent="0.25">
      <c r="B87" s="4"/>
      <c r="C87" s="3"/>
    </row>
    <row r="88" spans="2:3" x14ac:dyDescent="0.25">
      <c r="B88" s="2"/>
      <c r="C88" s="3"/>
    </row>
    <row r="89" spans="2:3" x14ac:dyDescent="0.25">
      <c r="B89" s="4"/>
      <c r="C89" s="3"/>
    </row>
    <row r="90" spans="2:3" x14ac:dyDescent="0.25">
      <c r="B90" s="2"/>
      <c r="C90" s="3"/>
    </row>
    <row r="91" spans="2:3" x14ac:dyDescent="0.25">
      <c r="B91" s="4"/>
      <c r="C91" s="3"/>
    </row>
    <row r="92" spans="2:3" x14ac:dyDescent="0.25">
      <c r="B92" s="2"/>
      <c r="C92" s="3"/>
    </row>
    <row r="93" spans="2:3" x14ac:dyDescent="0.25">
      <c r="B93" s="4"/>
      <c r="C93" s="3"/>
    </row>
    <row r="94" spans="2:3" x14ac:dyDescent="0.25">
      <c r="B94" s="2"/>
      <c r="C94" s="3"/>
    </row>
    <row r="95" spans="2:3" x14ac:dyDescent="0.25">
      <c r="B95" s="4"/>
      <c r="C95" s="3"/>
    </row>
    <row r="96" spans="2:3" x14ac:dyDescent="0.25">
      <c r="B96" s="2"/>
      <c r="C96" s="3"/>
    </row>
    <row r="97" spans="2:3" x14ac:dyDescent="0.25">
      <c r="B97" s="4"/>
      <c r="C97" s="3"/>
    </row>
    <row r="98" spans="2:3" x14ac:dyDescent="0.25">
      <c r="B98" s="2"/>
      <c r="C98" s="3"/>
    </row>
    <row r="99" spans="2:3" x14ac:dyDescent="0.25">
      <c r="B99" s="4"/>
      <c r="C99" s="3"/>
    </row>
    <row r="100" spans="2:3" x14ac:dyDescent="0.25">
      <c r="B100" s="2"/>
      <c r="C100" s="3"/>
    </row>
    <row r="101" spans="2:3" x14ac:dyDescent="0.25">
      <c r="B101" s="4"/>
      <c r="C101" s="3"/>
    </row>
    <row r="102" spans="2:3" x14ac:dyDescent="0.25">
      <c r="B102" s="2"/>
      <c r="C102" s="3"/>
    </row>
    <row r="103" spans="2:3" x14ac:dyDescent="0.25">
      <c r="B103" s="4"/>
      <c r="C103" s="3"/>
    </row>
    <row r="104" spans="2:3" x14ac:dyDescent="0.25">
      <c r="B104" s="2"/>
      <c r="C104" s="3"/>
    </row>
    <row r="105" spans="2:3" x14ac:dyDescent="0.25">
      <c r="B105" s="4"/>
      <c r="C105" s="3"/>
    </row>
    <row r="106" spans="2:3" x14ac:dyDescent="0.25">
      <c r="B106" s="2"/>
      <c r="C106" s="3"/>
    </row>
    <row r="107" spans="2:3" x14ac:dyDescent="0.25">
      <c r="B107" s="4"/>
      <c r="C107" s="3"/>
    </row>
    <row r="108" spans="2:3" x14ac:dyDescent="0.25">
      <c r="B108" s="2"/>
      <c r="C108" s="3"/>
    </row>
    <row r="109" spans="2:3" x14ac:dyDescent="0.25">
      <c r="B109" s="4"/>
      <c r="C109" s="3"/>
    </row>
    <row r="110" spans="2:3" x14ac:dyDescent="0.25">
      <c r="B110" s="2"/>
      <c r="C110" s="3"/>
    </row>
    <row r="111" spans="2:3" x14ac:dyDescent="0.25">
      <c r="B111" s="4"/>
      <c r="C111" s="3"/>
    </row>
    <row r="112" spans="2:3" x14ac:dyDescent="0.25">
      <c r="B112" s="2"/>
      <c r="C112" s="3"/>
    </row>
    <row r="113" spans="2:3" x14ac:dyDescent="0.25">
      <c r="B113" s="4"/>
      <c r="C113" s="3"/>
    </row>
    <row r="114" spans="2:3" x14ac:dyDescent="0.25">
      <c r="B114" s="2"/>
      <c r="C114" s="3"/>
    </row>
    <row r="115" spans="2:3" x14ac:dyDescent="0.25">
      <c r="B115" s="4"/>
      <c r="C115" s="3"/>
    </row>
    <row r="116" spans="2:3" x14ac:dyDescent="0.25">
      <c r="B116" s="2"/>
      <c r="C116" s="3"/>
    </row>
    <row r="117" spans="2:3" x14ac:dyDescent="0.25">
      <c r="B117" s="4"/>
      <c r="C117" s="3"/>
    </row>
    <row r="118" spans="2:3" x14ac:dyDescent="0.25">
      <c r="B118" s="2"/>
      <c r="C118" s="3"/>
    </row>
    <row r="119" spans="2:3" x14ac:dyDescent="0.25">
      <c r="B119" s="4"/>
      <c r="C119" s="3"/>
    </row>
    <row r="120" spans="2:3" x14ac:dyDescent="0.25">
      <c r="B120" s="2"/>
      <c r="C120" s="3"/>
    </row>
    <row r="121" spans="2:3" x14ac:dyDescent="0.25">
      <c r="B121" s="4"/>
      <c r="C121" s="3"/>
    </row>
    <row r="122" spans="2:3" x14ac:dyDescent="0.25">
      <c r="B122" s="2"/>
      <c r="C122" s="3"/>
    </row>
    <row r="123" spans="2:3" x14ac:dyDescent="0.25">
      <c r="B123" s="4"/>
      <c r="C123" s="3"/>
    </row>
    <row r="124" spans="2:3" x14ac:dyDescent="0.25">
      <c r="B124" s="2"/>
      <c r="C124" s="3"/>
    </row>
    <row r="125" spans="2:3" x14ac:dyDescent="0.25">
      <c r="B125" s="4"/>
      <c r="C125" s="3"/>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row r="145" spans="2:3" x14ac:dyDescent="0.25">
      <c r="B145" s="4"/>
      <c r="C145" s="3"/>
    </row>
    <row r="146" spans="2:3" x14ac:dyDescent="0.25">
      <c r="B146" s="2"/>
      <c r="C146" s="3"/>
    </row>
    <row r="147" spans="2:3" x14ac:dyDescent="0.25">
      <c r="B147" s="4"/>
      <c r="C147" s="3"/>
    </row>
    <row r="148" spans="2:3" x14ac:dyDescent="0.25">
      <c r="B148" s="2"/>
      <c r="C148" s="3"/>
    </row>
    <row r="149" spans="2:3" x14ac:dyDescent="0.25">
      <c r="B149" s="4"/>
      <c r="C149" s="3"/>
    </row>
    <row r="150" spans="2:3" x14ac:dyDescent="0.25">
      <c r="B150" s="2"/>
      <c r="C150" s="3"/>
    </row>
    <row r="151" spans="2:3" x14ac:dyDescent="0.25">
      <c r="B151" s="4"/>
      <c r="C151" s="3"/>
    </row>
    <row r="152" spans="2:3" x14ac:dyDescent="0.25">
      <c r="B152" s="2"/>
      <c r="C152" s="3"/>
    </row>
    <row r="153" spans="2:3" x14ac:dyDescent="0.25">
      <c r="B153" s="4"/>
      <c r="C153" s="3"/>
    </row>
    <row r="154" spans="2:3" x14ac:dyDescent="0.25">
      <c r="B154" s="2"/>
      <c r="C154" s="3"/>
    </row>
    <row r="155" spans="2:3" x14ac:dyDescent="0.25">
      <c r="B155" s="4"/>
      <c r="C155" s="3"/>
    </row>
    <row r="156" spans="2:3" x14ac:dyDescent="0.25">
      <c r="B156" s="2"/>
      <c r="C156" s="3"/>
    </row>
    <row r="157" spans="2:3" x14ac:dyDescent="0.25">
      <c r="B157" s="4"/>
      <c r="C157" s="3"/>
    </row>
    <row r="158" spans="2:3" x14ac:dyDescent="0.25">
      <c r="B158" s="2"/>
      <c r="C158" s="3"/>
    </row>
    <row r="159" spans="2:3" x14ac:dyDescent="0.25">
      <c r="B159" s="4"/>
      <c r="C159" s="3"/>
    </row>
    <row r="160" spans="2:3" x14ac:dyDescent="0.25">
      <c r="B160" s="2"/>
      <c r="C160" s="3"/>
    </row>
    <row r="161" spans="2:3" x14ac:dyDescent="0.25">
      <c r="B161" s="4"/>
      <c r="C161" s="3"/>
    </row>
    <row r="162" spans="2:3" x14ac:dyDescent="0.25">
      <c r="B162" s="2"/>
      <c r="C162" s="3"/>
    </row>
    <row r="163" spans="2:3" x14ac:dyDescent="0.25">
      <c r="B163" s="4"/>
      <c r="C163" s="3"/>
    </row>
    <row r="164" spans="2:3" x14ac:dyDescent="0.25">
      <c r="B164" s="2"/>
      <c r="C164" s="3"/>
    </row>
    <row r="165" spans="2:3" x14ac:dyDescent="0.25">
      <c r="B165" s="4"/>
      <c r="C165" s="3"/>
    </row>
    <row r="166" spans="2:3" x14ac:dyDescent="0.25">
      <c r="B166" s="2"/>
      <c r="C166" s="3"/>
    </row>
    <row r="167" spans="2:3" x14ac:dyDescent="0.25">
      <c r="B167" s="4"/>
      <c r="C167" s="3"/>
    </row>
    <row r="168" spans="2:3" x14ac:dyDescent="0.25">
      <c r="B168" s="2"/>
      <c r="C168" s="3"/>
    </row>
    <row r="169" spans="2:3" x14ac:dyDescent="0.25">
      <c r="B169" s="4"/>
      <c r="C169" s="3"/>
    </row>
    <row r="170" spans="2:3" x14ac:dyDescent="0.25">
      <c r="B170" s="2"/>
      <c r="C170" s="3"/>
    </row>
    <row r="171" spans="2:3" x14ac:dyDescent="0.25">
      <c r="B171" s="4"/>
      <c r="C171" s="3"/>
    </row>
    <row r="172" spans="2:3" x14ac:dyDescent="0.25">
      <c r="B172" s="2"/>
      <c r="C172" s="3"/>
    </row>
    <row r="173" spans="2:3" x14ac:dyDescent="0.25">
      <c r="B173" s="4"/>
      <c r="C173" s="3"/>
    </row>
    <row r="174" spans="2:3" x14ac:dyDescent="0.25">
      <c r="B174" s="2"/>
      <c r="C174" s="3"/>
    </row>
    <row r="175" spans="2:3" x14ac:dyDescent="0.25">
      <c r="B175" s="4"/>
      <c r="C175" s="3"/>
    </row>
    <row r="176" spans="2:3" x14ac:dyDescent="0.25">
      <c r="B176" s="2"/>
      <c r="C176" s="3"/>
    </row>
    <row r="177" spans="2:3" x14ac:dyDescent="0.25">
      <c r="B177" s="4"/>
      <c r="C177" s="3"/>
    </row>
    <row r="178" spans="2:3" x14ac:dyDescent="0.25">
      <c r="B178" s="2"/>
      <c r="C178" s="3"/>
    </row>
    <row r="179" spans="2:3" x14ac:dyDescent="0.25">
      <c r="B179" s="4"/>
      <c r="C179" s="3"/>
    </row>
    <row r="180" spans="2:3" x14ac:dyDescent="0.25">
      <c r="B180" s="2"/>
      <c r="C180" s="3"/>
    </row>
    <row r="181" spans="2:3" x14ac:dyDescent="0.25">
      <c r="B181" s="4"/>
      <c r="C181" s="3"/>
    </row>
    <row r="182" spans="2:3" x14ac:dyDescent="0.25">
      <c r="B182" s="2"/>
      <c r="C182" s="3"/>
    </row>
  </sheetData>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6"/>
  <sheetViews>
    <sheetView zoomScale="70" zoomScaleNormal="70" workbookViewId="0">
      <selection activeCell="C5" sqref="C5"/>
    </sheetView>
  </sheetViews>
  <sheetFormatPr defaultRowHeight="15" x14ac:dyDescent="0.25"/>
  <cols>
    <col min="2" max="2" width="13.140625" bestFit="1" customWidth="1"/>
    <col min="3" max="3" width="17.85546875" bestFit="1" customWidth="1"/>
    <col min="4" max="4" width="11.28515625" customWidth="1"/>
    <col min="5" max="12" width="15.28515625" customWidth="1"/>
    <col min="13" max="13" width="12.5703125" customWidth="1"/>
    <col min="14" max="15" width="28.85546875" bestFit="1" customWidth="1"/>
    <col min="16" max="16" width="28.85546875" customWidth="1"/>
    <col min="17" max="18" width="28.85546875" bestFit="1" customWidth="1"/>
    <col min="19" max="19" width="28.85546875" customWidth="1"/>
    <col min="20" max="21" width="12.5703125" customWidth="1"/>
    <col min="22" max="29" width="28.85546875" bestFit="1" customWidth="1"/>
    <col min="30" max="30" width="12.5703125" bestFit="1" customWidth="1"/>
    <col min="31" max="31" width="12" bestFit="1" customWidth="1"/>
    <col min="32" max="32" width="15.140625" bestFit="1" customWidth="1"/>
    <col min="33" max="38" width="12" bestFit="1" customWidth="1"/>
    <col min="39" max="39" width="12.28515625" bestFit="1" customWidth="1"/>
    <col min="40" max="45" width="12" bestFit="1" customWidth="1"/>
    <col min="46" max="46" width="15.140625" bestFit="1" customWidth="1"/>
    <col min="47" max="58" width="12" bestFit="1" customWidth="1"/>
    <col min="59" max="59" width="15.140625" bestFit="1" customWidth="1"/>
    <col min="60" max="63" width="12" bestFit="1" customWidth="1"/>
    <col min="64" max="64" width="17" bestFit="1" customWidth="1"/>
    <col min="65" max="65" width="20.140625" bestFit="1" customWidth="1"/>
    <col min="66" max="66" width="16.42578125" bestFit="1" customWidth="1"/>
    <col min="67" max="68" width="12" bestFit="1" customWidth="1"/>
    <col min="69" max="69" width="19.5703125" bestFit="1" customWidth="1"/>
    <col min="70" max="71" width="12" bestFit="1" customWidth="1"/>
    <col min="72" max="72" width="10" bestFit="1" customWidth="1"/>
    <col min="73" max="73" width="12" bestFit="1" customWidth="1"/>
    <col min="74" max="74" width="15.140625" bestFit="1" customWidth="1"/>
    <col min="75" max="79" width="12" bestFit="1" customWidth="1"/>
    <col min="80" max="80" width="13.42578125" bestFit="1" customWidth="1"/>
    <col min="81" max="81" width="12" bestFit="1" customWidth="1"/>
  </cols>
  <sheetData>
    <row r="2" spans="2:4" x14ac:dyDescent="0.25">
      <c r="B2" s="1" t="s">
        <v>104</v>
      </c>
      <c r="C2" t="s">
        <v>153</v>
      </c>
    </row>
    <row r="4" spans="2:4" x14ac:dyDescent="0.25">
      <c r="B4" s="1" t="s">
        <v>148</v>
      </c>
      <c r="D4" s="1" t="s">
        <v>16</v>
      </c>
    </row>
    <row r="5" spans="2:4" x14ac:dyDescent="0.25">
      <c r="B5" s="1" t="s">
        <v>19</v>
      </c>
      <c r="C5" s="1" t="s">
        <v>105</v>
      </c>
      <c r="D5" t="s">
        <v>0</v>
      </c>
    </row>
    <row r="6" spans="2:4" x14ac:dyDescent="0.25">
      <c r="B6" t="s">
        <v>0</v>
      </c>
      <c r="D6" s="3"/>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4:D6"/>
  <sheetViews>
    <sheetView zoomScale="70" zoomScaleNormal="70" workbookViewId="0">
      <selection activeCell="E39" sqref="E39"/>
    </sheetView>
  </sheetViews>
  <sheetFormatPr defaultRowHeight="15" x14ac:dyDescent="0.25"/>
  <cols>
    <col min="2" max="2" width="22.140625" bestFit="1" customWidth="1"/>
    <col min="3" max="3" width="9.140625" customWidth="1"/>
    <col min="4" max="4" width="11.28515625" customWidth="1"/>
    <col min="5" max="20" width="13.140625" bestFit="1" customWidth="1"/>
    <col min="21" max="77" width="13.28515625" bestFit="1" customWidth="1"/>
    <col min="78" max="78" width="12.5703125" bestFit="1" customWidth="1"/>
  </cols>
  <sheetData>
    <row r="4" spans="2:4" x14ac:dyDescent="0.25">
      <c r="B4" s="1" t="s">
        <v>151</v>
      </c>
      <c r="D4" s="1" t="s">
        <v>104</v>
      </c>
    </row>
    <row r="5" spans="2:4" x14ac:dyDescent="0.25">
      <c r="B5" s="1" t="s">
        <v>19</v>
      </c>
      <c r="C5" s="1" t="s">
        <v>105</v>
      </c>
      <c r="D5" t="s">
        <v>0</v>
      </c>
    </row>
    <row r="6" spans="2:4" x14ac:dyDescent="0.25">
      <c r="B6" t="s">
        <v>0</v>
      </c>
      <c r="D6" s="3"/>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R13"/>
  <sheetViews>
    <sheetView workbookViewId="0">
      <selection activeCell="B5" sqref="B5"/>
    </sheetView>
  </sheetViews>
  <sheetFormatPr defaultRowHeight="15" x14ac:dyDescent="0.25"/>
  <cols>
    <col min="2" max="2" width="13.85546875" bestFit="1" customWidth="1"/>
    <col min="3" max="3" width="16.28515625" bestFit="1" customWidth="1"/>
    <col min="4" max="5" width="12" bestFit="1" customWidth="1"/>
    <col min="6" max="6" width="10" bestFit="1" customWidth="1"/>
    <col min="7" max="8" width="12" bestFit="1" customWidth="1"/>
    <col min="9" max="9" width="12.28515625" bestFit="1" customWidth="1"/>
    <col min="10" max="11" width="12" bestFit="1" customWidth="1"/>
    <col min="12" max="12" width="12.5703125" bestFit="1" customWidth="1"/>
    <col min="13" max="13" width="14.7109375" bestFit="1" customWidth="1"/>
    <col min="14" max="14" width="13.5703125" bestFit="1" customWidth="1"/>
    <col min="15" max="15" width="11.85546875" bestFit="1" customWidth="1"/>
    <col min="16" max="16" width="8" bestFit="1" customWidth="1"/>
    <col min="17" max="18" width="12" bestFit="1" customWidth="1"/>
    <col min="19" max="19" width="12" customWidth="1"/>
    <col min="20" max="20" width="12" bestFit="1" customWidth="1"/>
  </cols>
  <sheetData>
    <row r="2" spans="2:18" x14ac:dyDescent="0.25">
      <c r="B2" s="1" t="s">
        <v>63</v>
      </c>
      <c r="C2" s="1" t="s">
        <v>49</v>
      </c>
    </row>
    <row r="3" spans="2:18" x14ac:dyDescent="0.25">
      <c r="B3" s="1" t="s">
        <v>50</v>
      </c>
      <c r="C3" t="s">
        <v>21</v>
      </c>
      <c r="D3" t="s">
        <v>11</v>
      </c>
      <c r="E3" t="s">
        <v>147</v>
      </c>
      <c r="F3" t="s">
        <v>12</v>
      </c>
      <c r="G3" t="s">
        <v>10</v>
      </c>
      <c r="H3" t="s">
        <v>198</v>
      </c>
      <c r="I3" t="s">
        <v>199</v>
      </c>
      <c r="J3" t="s">
        <v>200</v>
      </c>
      <c r="K3" t="s">
        <v>201</v>
      </c>
      <c r="L3" t="s">
        <v>202</v>
      </c>
      <c r="M3" t="s">
        <v>206</v>
      </c>
      <c r="N3" t="s">
        <v>203</v>
      </c>
      <c r="O3" t="s">
        <v>207</v>
      </c>
      <c r="P3" t="s">
        <v>208</v>
      </c>
      <c r="Q3" t="s">
        <v>204</v>
      </c>
      <c r="R3" t="s">
        <v>0</v>
      </c>
    </row>
    <row r="4" spans="2:18" x14ac:dyDescent="0.25">
      <c r="B4" s="2" t="s">
        <v>7</v>
      </c>
      <c r="C4" s="3"/>
      <c r="D4" s="3">
        <v>34.578061560000002</v>
      </c>
      <c r="E4" s="3"/>
      <c r="F4" s="3"/>
      <c r="G4" s="3">
        <v>101.69688744</v>
      </c>
      <c r="H4" s="3"/>
      <c r="I4" s="3"/>
      <c r="J4" s="3"/>
      <c r="K4" s="3"/>
      <c r="L4" s="3"/>
      <c r="M4" s="3"/>
      <c r="N4" s="3"/>
      <c r="O4" s="3"/>
      <c r="P4" s="3"/>
      <c r="Q4" s="3"/>
      <c r="R4" s="3">
        <v>136.27494899999999</v>
      </c>
    </row>
    <row r="5" spans="2:18" x14ac:dyDescent="0.25">
      <c r="B5" s="2" t="s">
        <v>22</v>
      </c>
      <c r="C5" s="3"/>
      <c r="D5" s="3"/>
      <c r="E5" s="3">
        <v>9.5387364336974298E-2</v>
      </c>
      <c r="F5" s="3"/>
      <c r="G5" s="3"/>
      <c r="H5" s="3">
        <v>6.5362516876714079</v>
      </c>
      <c r="I5" s="3">
        <v>3.9991285479916181</v>
      </c>
      <c r="J5" s="3">
        <v>3.5734583583077697</v>
      </c>
      <c r="K5" s="3">
        <v>1.6431000416922306</v>
      </c>
      <c r="L5" s="3"/>
      <c r="M5" s="3"/>
      <c r="N5" s="3"/>
      <c r="O5" s="3"/>
      <c r="P5" s="3"/>
      <c r="Q5" s="3"/>
      <c r="R5" s="3">
        <v>15.847326000000001</v>
      </c>
    </row>
    <row r="6" spans="2:18" x14ac:dyDescent="0.25">
      <c r="B6" s="2" t="s">
        <v>23</v>
      </c>
      <c r="C6" s="3"/>
      <c r="D6" s="3"/>
      <c r="E6" s="3"/>
      <c r="F6" s="3"/>
      <c r="G6" s="3">
        <v>133.66548</v>
      </c>
      <c r="H6" s="3"/>
      <c r="I6" s="3"/>
      <c r="J6" s="3"/>
      <c r="K6" s="3"/>
      <c r="L6" s="3"/>
      <c r="M6" s="3"/>
      <c r="N6" s="3"/>
      <c r="O6" s="3"/>
      <c r="P6" s="3"/>
      <c r="Q6" s="3"/>
      <c r="R6" s="3">
        <v>133.66548</v>
      </c>
    </row>
    <row r="7" spans="2:18" x14ac:dyDescent="0.25">
      <c r="B7" s="2" t="s">
        <v>25</v>
      </c>
      <c r="C7" s="3">
        <v>0.215018181818182</v>
      </c>
      <c r="D7" s="3"/>
      <c r="E7" s="3"/>
      <c r="F7" s="3">
        <v>5.3238899999999902E-2</v>
      </c>
      <c r="G7" s="3"/>
      <c r="H7" s="3">
        <v>8.8858680153540881</v>
      </c>
      <c r="I7" s="3">
        <v>2.541798767904401</v>
      </c>
      <c r="J7" s="3"/>
      <c r="K7" s="3"/>
      <c r="L7" s="3">
        <v>0.94607999999999803</v>
      </c>
      <c r="M7" s="3">
        <v>1.17792776536721</v>
      </c>
      <c r="N7" s="3">
        <v>7.8923235695561056</v>
      </c>
      <c r="O7" s="3">
        <v>0.28382399999999997</v>
      </c>
      <c r="P7" s="3"/>
      <c r="Q7" s="3"/>
      <c r="R7" s="3">
        <v>21.996079199999986</v>
      </c>
    </row>
    <row r="8" spans="2:18" x14ac:dyDescent="0.25">
      <c r="B8" s="2" t="s">
        <v>26</v>
      </c>
      <c r="C8" s="3"/>
      <c r="D8" s="3">
        <v>0.90368686175729096</v>
      </c>
      <c r="E8" s="3"/>
      <c r="F8" s="3"/>
      <c r="G8" s="3"/>
      <c r="H8" s="3"/>
      <c r="I8" s="3"/>
      <c r="J8" s="3"/>
      <c r="K8" s="3"/>
      <c r="L8" s="3"/>
      <c r="M8" s="3"/>
      <c r="N8" s="3">
        <v>25.064553138242758</v>
      </c>
      <c r="O8" s="3">
        <v>0.63072000000000095</v>
      </c>
      <c r="P8" s="3">
        <v>0.47303999999999902</v>
      </c>
      <c r="Q8" s="3"/>
      <c r="R8" s="3">
        <v>27.072000000000045</v>
      </c>
    </row>
    <row r="9" spans="2:18" x14ac:dyDescent="0.25">
      <c r="B9" s="2" t="s">
        <v>8</v>
      </c>
      <c r="C9" s="3"/>
      <c r="D9" s="3"/>
      <c r="E9" s="3"/>
      <c r="F9" s="3"/>
      <c r="G9" s="3">
        <v>16.999131599999998</v>
      </c>
      <c r="H9" s="3"/>
      <c r="I9" s="3"/>
      <c r="J9" s="3"/>
      <c r="K9" s="3"/>
      <c r="L9" s="3"/>
      <c r="M9" s="3"/>
      <c r="N9" s="3"/>
      <c r="O9" s="3"/>
      <c r="P9" s="3"/>
      <c r="Q9" s="3"/>
      <c r="R9" s="3">
        <v>16.999131599999998</v>
      </c>
    </row>
    <row r="10" spans="2:18" x14ac:dyDescent="0.25">
      <c r="B10" s="2" t="s">
        <v>27</v>
      </c>
      <c r="C10" s="3">
        <v>310.5116734874083</v>
      </c>
      <c r="D10" s="3"/>
      <c r="E10" s="3"/>
      <c r="F10" s="3"/>
      <c r="G10" s="3"/>
      <c r="H10" s="3"/>
      <c r="I10" s="3"/>
      <c r="J10" s="3"/>
      <c r="K10" s="3"/>
      <c r="L10" s="3">
        <v>4.9411244239631502</v>
      </c>
      <c r="M10" s="3"/>
      <c r="N10" s="3"/>
      <c r="O10" s="3"/>
      <c r="P10" s="3"/>
      <c r="Q10" s="3">
        <v>7.4563444886270798</v>
      </c>
      <c r="R10" s="3">
        <v>322.90914239999853</v>
      </c>
    </row>
    <row r="11" spans="2:18" x14ac:dyDescent="0.25">
      <c r="B11" s="2" t="s">
        <v>9</v>
      </c>
      <c r="C11" s="3"/>
      <c r="D11" s="3"/>
      <c r="E11" s="3"/>
      <c r="F11" s="3"/>
      <c r="G11" s="3">
        <v>200.22623999999996</v>
      </c>
      <c r="H11" s="3"/>
      <c r="I11" s="3"/>
      <c r="J11" s="3"/>
      <c r="K11" s="3"/>
      <c r="L11" s="3"/>
      <c r="M11" s="3"/>
      <c r="N11" s="3"/>
      <c r="O11" s="3"/>
      <c r="P11" s="3"/>
      <c r="Q11" s="3"/>
      <c r="R11" s="3">
        <v>200.22623999999996</v>
      </c>
    </row>
    <row r="12" spans="2:18" x14ac:dyDescent="0.25">
      <c r="B12" s="2" t="s">
        <v>205</v>
      </c>
      <c r="C12" s="3"/>
      <c r="D12" s="3"/>
      <c r="E12" s="3"/>
      <c r="F12" s="3"/>
      <c r="G12" s="3">
        <v>3.6</v>
      </c>
      <c r="H12" s="3"/>
      <c r="I12" s="3"/>
      <c r="J12" s="3"/>
      <c r="K12" s="3"/>
      <c r="L12" s="3"/>
      <c r="M12" s="3"/>
      <c r="N12" s="3"/>
      <c r="O12" s="3"/>
      <c r="P12" s="3"/>
      <c r="Q12" s="3"/>
      <c r="R12" s="3">
        <v>3.6</v>
      </c>
    </row>
    <row r="13" spans="2:18" x14ac:dyDescent="0.25">
      <c r="B13" s="2" t="s">
        <v>0</v>
      </c>
      <c r="C13" s="3">
        <v>310.72669166922651</v>
      </c>
      <c r="D13" s="3">
        <v>35.481748421757295</v>
      </c>
      <c r="E13" s="3">
        <v>9.5387364336974298E-2</v>
      </c>
      <c r="F13" s="3">
        <v>5.3238899999999902E-2</v>
      </c>
      <c r="G13" s="3">
        <v>456.18773904</v>
      </c>
      <c r="H13" s="3">
        <v>15.422119703025496</v>
      </c>
      <c r="I13" s="3">
        <v>6.5409273158960186</v>
      </c>
      <c r="J13" s="3">
        <v>3.5734583583077697</v>
      </c>
      <c r="K13" s="3">
        <v>1.6431000416922306</v>
      </c>
      <c r="L13" s="3">
        <v>5.8872044239631478</v>
      </c>
      <c r="M13" s="3">
        <v>1.17792776536721</v>
      </c>
      <c r="N13" s="3">
        <v>32.956876707798862</v>
      </c>
      <c r="O13" s="3">
        <v>0.91454400000000091</v>
      </c>
      <c r="P13" s="3">
        <v>0.47303999999999902</v>
      </c>
      <c r="Q13" s="3">
        <v>7.4563444886270798</v>
      </c>
      <c r="R13" s="3">
        <v>878.59034819999863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D5"/>
  <sheetViews>
    <sheetView zoomScale="85" zoomScaleNormal="85" workbookViewId="0">
      <selection activeCell="F1" sqref="F1"/>
    </sheetView>
  </sheetViews>
  <sheetFormatPr defaultRowHeight="15" x14ac:dyDescent="0.25"/>
  <cols>
    <col min="2" max="2" width="13.28515625" bestFit="1" customWidth="1"/>
    <col min="3" max="3" width="19" customWidth="1"/>
    <col min="4" max="4" width="11.28515625" customWidth="1"/>
    <col min="5" max="22" width="12.28515625" customWidth="1"/>
    <col min="23" max="24" width="12.28515625" bestFit="1" customWidth="1"/>
    <col min="25" max="25" width="29.7109375" bestFit="1" customWidth="1"/>
    <col min="26" max="26" width="29.42578125" bestFit="1" customWidth="1"/>
    <col min="27" max="27" width="15.28515625" customWidth="1"/>
    <col min="28" max="28" width="17.85546875" customWidth="1"/>
    <col min="29" max="29" width="18" customWidth="1"/>
    <col min="30" max="30" width="19.140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1" spans="2:4" x14ac:dyDescent="0.25">
      <c r="B1" s="1" t="s">
        <v>152</v>
      </c>
      <c r="C1" t="s">
        <v>153</v>
      </c>
    </row>
    <row r="3" spans="2:4" x14ac:dyDescent="0.25">
      <c r="B3" s="1" t="s">
        <v>18</v>
      </c>
      <c r="D3" s="1" t="s">
        <v>104</v>
      </c>
    </row>
    <row r="4" spans="2:4" x14ac:dyDescent="0.25">
      <c r="B4" s="1" t="s">
        <v>19</v>
      </c>
      <c r="C4" s="1" t="s">
        <v>105</v>
      </c>
      <c r="D4" t="s">
        <v>0</v>
      </c>
    </row>
    <row r="5" spans="2:4" x14ac:dyDescent="0.25">
      <c r="B5" t="s">
        <v>0</v>
      </c>
      <c r="D5" s="3"/>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U16"/>
  <sheetViews>
    <sheetView workbookViewId="0">
      <selection activeCell="B9" sqref="B9"/>
    </sheetView>
  </sheetViews>
  <sheetFormatPr defaultRowHeight="15" x14ac:dyDescent="0.25"/>
  <cols>
    <col min="2" max="2" width="17.7109375" bestFit="1" customWidth="1"/>
    <col min="3" max="3" width="16.28515625" bestFit="1" customWidth="1"/>
    <col min="4" max="4" width="12" customWidth="1"/>
    <col min="5" max="5" width="11" customWidth="1"/>
    <col min="6" max="6" width="12" customWidth="1"/>
    <col min="7" max="7" width="12" bestFit="1" customWidth="1"/>
    <col min="8" max="9" width="12" customWidth="1"/>
    <col min="10" max="10" width="12" bestFit="1" customWidth="1"/>
    <col min="11" max="11" width="12" customWidth="1"/>
    <col min="12" max="12" width="12.28515625" bestFit="1" customWidth="1"/>
    <col min="13" max="13" width="12" customWidth="1"/>
    <col min="14" max="14" width="12" bestFit="1" customWidth="1"/>
    <col min="15" max="15" width="12.5703125" bestFit="1" customWidth="1"/>
    <col min="16" max="16" width="14.7109375" bestFit="1" customWidth="1"/>
    <col min="17" max="17" width="13.5703125" bestFit="1" customWidth="1"/>
    <col min="18" max="18" width="11.85546875" customWidth="1"/>
    <col min="19" max="19" width="8" customWidth="1"/>
    <col min="20" max="21" width="12" customWidth="1"/>
    <col min="22" max="22" width="12" bestFit="1" customWidth="1"/>
    <col min="23" max="24" width="12" customWidth="1"/>
  </cols>
  <sheetData>
    <row r="3" spans="2:21" x14ac:dyDescent="0.25">
      <c r="B3" s="1" t="s">
        <v>17</v>
      </c>
      <c r="C3" s="1" t="s">
        <v>49</v>
      </c>
    </row>
    <row r="4" spans="2:21" x14ac:dyDescent="0.25">
      <c r="B4" s="1" t="s">
        <v>50</v>
      </c>
      <c r="C4" t="s">
        <v>10</v>
      </c>
      <c r="D4" t="s">
        <v>21</v>
      </c>
      <c r="E4" t="s">
        <v>11</v>
      </c>
      <c r="F4" t="s">
        <v>147</v>
      </c>
      <c r="G4" t="s">
        <v>20</v>
      </c>
      <c r="H4" t="s">
        <v>12</v>
      </c>
      <c r="I4" t="s">
        <v>13</v>
      </c>
      <c r="J4" t="s">
        <v>14</v>
      </c>
      <c r="K4" t="s">
        <v>198</v>
      </c>
      <c r="L4" t="s">
        <v>199</v>
      </c>
      <c r="M4" t="s">
        <v>200</v>
      </c>
      <c r="N4" t="s">
        <v>201</v>
      </c>
      <c r="O4" t="s">
        <v>202</v>
      </c>
      <c r="P4" t="s">
        <v>206</v>
      </c>
      <c r="Q4" t="s">
        <v>203</v>
      </c>
      <c r="R4" t="s">
        <v>207</v>
      </c>
      <c r="S4" t="s">
        <v>208</v>
      </c>
      <c r="T4" t="s">
        <v>204</v>
      </c>
      <c r="U4" t="s">
        <v>0</v>
      </c>
    </row>
    <row r="5" spans="2:21" x14ac:dyDescent="0.25">
      <c r="B5" s="2" t="s">
        <v>7</v>
      </c>
      <c r="C5" s="3">
        <v>74.428125212620387</v>
      </c>
      <c r="D5" s="3"/>
      <c r="E5" s="3">
        <v>3.4303632500000001</v>
      </c>
      <c r="F5" s="3"/>
      <c r="G5" s="3"/>
      <c r="H5" s="3"/>
      <c r="I5" s="3"/>
      <c r="J5" s="3">
        <v>6.7024476999999996</v>
      </c>
      <c r="K5" s="3"/>
      <c r="L5" s="3"/>
      <c r="M5" s="3"/>
      <c r="N5" s="3"/>
      <c r="O5" s="3"/>
      <c r="P5" s="3"/>
      <c r="Q5" s="3"/>
      <c r="R5" s="3"/>
      <c r="S5" s="3"/>
      <c r="T5" s="3"/>
      <c r="U5" s="3">
        <v>84.560936162620379</v>
      </c>
    </row>
    <row r="6" spans="2:21" x14ac:dyDescent="0.25">
      <c r="B6" s="2" t="s">
        <v>22</v>
      </c>
      <c r="C6" s="3"/>
      <c r="D6" s="3"/>
      <c r="E6" s="3"/>
      <c r="F6" s="3">
        <v>3.1172341286592901E-2</v>
      </c>
      <c r="G6" s="3"/>
      <c r="H6" s="3"/>
      <c r="I6" s="3"/>
      <c r="J6" s="3">
        <v>0.66047999999999996</v>
      </c>
      <c r="K6" s="3">
        <v>2.2777077430173973</v>
      </c>
      <c r="L6" s="3">
        <v>1.7763351842108319</v>
      </c>
      <c r="M6" s="3">
        <v>1.6370825634059001</v>
      </c>
      <c r="N6" s="3">
        <v>33.154005056340715</v>
      </c>
      <c r="O6" s="3"/>
      <c r="P6" s="3"/>
      <c r="Q6" s="3"/>
      <c r="R6" s="3"/>
      <c r="S6" s="3"/>
      <c r="T6" s="3"/>
      <c r="U6" s="3">
        <v>39.536782888261435</v>
      </c>
    </row>
    <row r="7" spans="2:21" x14ac:dyDescent="0.25">
      <c r="B7" s="2" t="s">
        <v>23</v>
      </c>
      <c r="C7" s="3">
        <v>93.5386320500956</v>
      </c>
      <c r="D7" s="3"/>
      <c r="E7" s="3"/>
      <c r="F7" s="3"/>
      <c r="G7" s="3"/>
      <c r="H7" s="3"/>
      <c r="I7" s="3">
        <v>16.777955000000009</v>
      </c>
      <c r="J7" s="3">
        <v>0.42531999999999998</v>
      </c>
      <c r="K7" s="3"/>
      <c r="L7" s="3"/>
      <c r="M7" s="3"/>
      <c r="N7" s="3"/>
      <c r="O7" s="3"/>
      <c r="P7" s="3"/>
      <c r="Q7" s="3"/>
      <c r="R7" s="3"/>
      <c r="S7" s="3"/>
      <c r="T7" s="3"/>
      <c r="U7" s="3">
        <v>110.74190705009561</v>
      </c>
    </row>
    <row r="8" spans="2:21" x14ac:dyDescent="0.25">
      <c r="B8" s="2" t="s">
        <v>24</v>
      </c>
      <c r="C8" s="3">
        <v>32.801769</v>
      </c>
      <c r="D8" s="3"/>
      <c r="E8" s="3"/>
      <c r="F8" s="3"/>
      <c r="G8" s="3">
        <v>298.97737515648299</v>
      </c>
      <c r="H8" s="3"/>
      <c r="I8" s="3">
        <v>47.956654222715102</v>
      </c>
      <c r="J8" s="3">
        <v>68.427627999999999</v>
      </c>
      <c r="K8" s="3"/>
      <c r="L8" s="3"/>
      <c r="M8" s="3"/>
      <c r="N8" s="3"/>
      <c r="O8" s="3"/>
      <c r="P8" s="3"/>
      <c r="Q8" s="3"/>
      <c r="R8" s="3"/>
      <c r="S8" s="3"/>
      <c r="T8" s="3"/>
      <c r="U8" s="3">
        <v>448.16342637919809</v>
      </c>
    </row>
    <row r="9" spans="2:21" x14ac:dyDescent="0.25">
      <c r="B9" s="2" t="s">
        <v>25</v>
      </c>
      <c r="C9" s="3"/>
      <c r="D9" s="3">
        <v>9.6637385086823499E-2</v>
      </c>
      <c r="E9" s="3"/>
      <c r="F9" s="3"/>
      <c r="G9" s="3"/>
      <c r="H9" s="3">
        <v>1.7398333333333401E-2</v>
      </c>
      <c r="I9" s="3">
        <v>3.1671950000000013</v>
      </c>
      <c r="J9" s="3">
        <v>0.23753400000000002</v>
      </c>
      <c r="K9" s="3">
        <v>3.7178112727015282</v>
      </c>
      <c r="L9" s="3">
        <v>0.91783139433193706</v>
      </c>
      <c r="M9" s="3"/>
      <c r="N9" s="3"/>
      <c r="O9" s="3">
        <v>0.438</v>
      </c>
      <c r="P9" s="3">
        <v>0.38494371417229201</v>
      </c>
      <c r="Q9" s="3">
        <v>2.8539693808105033</v>
      </c>
      <c r="R9" s="3">
        <v>9.855000000000011E-2</v>
      </c>
      <c r="S9" s="3"/>
      <c r="T9" s="3"/>
      <c r="U9" s="3">
        <v>11.929870480436421</v>
      </c>
    </row>
    <row r="10" spans="2:21" x14ac:dyDescent="0.25">
      <c r="B10" s="2" t="s">
        <v>26</v>
      </c>
      <c r="C10" s="3"/>
      <c r="D10" s="3"/>
      <c r="E10" s="3"/>
      <c r="F10" s="3"/>
      <c r="G10" s="3"/>
      <c r="H10" s="3"/>
      <c r="I10" s="3">
        <v>0.53749131115782767</v>
      </c>
      <c r="J10" s="3">
        <v>0.197379</v>
      </c>
      <c r="K10" s="3"/>
      <c r="L10" s="3"/>
      <c r="M10" s="3"/>
      <c r="N10" s="3"/>
      <c r="O10" s="3"/>
      <c r="P10" s="3"/>
      <c r="Q10" s="3">
        <v>10.70258980996878</v>
      </c>
      <c r="R10" s="3">
        <v>0.219</v>
      </c>
      <c r="S10" s="3">
        <v>0.16425000000000101</v>
      </c>
      <c r="T10" s="3"/>
      <c r="U10" s="3">
        <v>11.820710121126607</v>
      </c>
    </row>
    <row r="11" spans="2:21" x14ac:dyDescent="0.25">
      <c r="B11" s="2" t="s">
        <v>8</v>
      </c>
      <c r="C11" s="3">
        <v>24.358452559039868</v>
      </c>
      <c r="D11" s="3"/>
      <c r="E11" s="3"/>
      <c r="F11" s="3"/>
      <c r="G11" s="3"/>
      <c r="H11" s="3"/>
      <c r="I11" s="3">
        <v>128.03684101989825</v>
      </c>
      <c r="J11" s="3">
        <v>1.4274821948060454</v>
      </c>
      <c r="K11" s="3"/>
      <c r="L11" s="3"/>
      <c r="M11" s="3"/>
      <c r="N11" s="3"/>
      <c r="O11" s="3"/>
      <c r="P11" s="3"/>
      <c r="Q11" s="3"/>
      <c r="R11" s="3"/>
      <c r="S11" s="3"/>
      <c r="T11" s="3"/>
      <c r="U11" s="3">
        <v>153.82277577374416</v>
      </c>
    </row>
    <row r="12" spans="2:21" x14ac:dyDescent="0.25">
      <c r="B12" s="2" t="s">
        <v>27</v>
      </c>
      <c r="C12" s="3"/>
      <c r="D12" s="3">
        <v>315.87478248767053</v>
      </c>
      <c r="E12" s="3"/>
      <c r="F12" s="3"/>
      <c r="G12" s="3"/>
      <c r="H12" s="3"/>
      <c r="I12" s="3">
        <v>2.3110249999999999</v>
      </c>
      <c r="J12" s="3">
        <v>2.3858999999999999</v>
      </c>
      <c r="K12" s="3"/>
      <c r="L12" s="3"/>
      <c r="M12" s="3"/>
      <c r="N12" s="3"/>
      <c r="O12" s="3">
        <v>1.8981529116045299</v>
      </c>
      <c r="P12" s="3"/>
      <c r="Q12" s="3"/>
      <c r="R12" s="3"/>
      <c r="S12" s="3"/>
      <c r="T12" s="3">
        <v>63.756099778022673</v>
      </c>
      <c r="U12" s="3">
        <v>386.22596017729768</v>
      </c>
    </row>
    <row r="13" spans="2:21" x14ac:dyDescent="0.25">
      <c r="B13" s="2" t="s">
        <v>9</v>
      </c>
      <c r="C13" s="3">
        <v>114.51226246648584</v>
      </c>
      <c r="D13" s="3"/>
      <c r="E13" s="3"/>
      <c r="F13" s="3"/>
      <c r="G13" s="3"/>
      <c r="H13" s="3"/>
      <c r="I13" s="3">
        <v>79.112340271493167</v>
      </c>
      <c r="J13" s="3">
        <v>7.5495799999999997</v>
      </c>
      <c r="K13" s="3"/>
      <c r="L13" s="3"/>
      <c r="M13" s="3"/>
      <c r="N13" s="3"/>
      <c r="O13" s="3"/>
      <c r="P13" s="3"/>
      <c r="Q13" s="3"/>
      <c r="R13" s="3"/>
      <c r="S13" s="3"/>
      <c r="T13" s="3"/>
      <c r="U13" s="3">
        <v>201.17418273797898</v>
      </c>
    </row>
    <row r="14" spans="2:21" x14ac:dyDescent="0.25">
      <c r="B14" s="2" t="s">
        <v>205</v>
      </c>
      <c r="C14" s="3">
        <v>1.362444999999999</v>
      </c>
      <c r="D14" s="3"/>
      <c r="E14" s="3"/>
      <c r="F14" s="3"/>
      <c r="G14" s="3">
        <v>12.3895914790284</v>
      </c>
      <c r="H14" s="3"/>
      <c r="I14" s="3">
        <v>0.15540000000000001</v>
      </c>
      <c r="J14" s="3">
        <v>5.1874800000000008</v>
      </c>
      <c r="K14" s="3"/>
      <c r="L14" s="3"/>
      <c r="M14" s="3"/>
      <c r="N14" s="3"/>
      <c r="O14" s="3"/>
      <c r="P14" s="3"/>
      <c r="Q14" s="3"/>
      <c r="R14" s="3"/>
      <c r="S14" s="3"/>
      <c r="T14" s="3"/>
      <c r="U14" s="3">
        <v>19.094916479028399</v>
      </c>
    </row>
    <row r="15" spans="2:21" x14ac:dyDescent="0.25">
      <c r="B15" s="2" t="s">
        <v>195</v>
      </c>
      <c r="C15" s="3">
        <v>1.682248</v>
      </c>
      <c r="D15" s="3"/>
      <c r="E15" s="3"/>
      <c r="F15" s="3"/>
      <c r="G15" s="3">
        <v>185.84385462866601</v>
      </c>
      <c r="H15" s="3"/>
      <c r="I15" s="3">
        <v>5.1395607069672202</v>
      </c>
      <c r="J15" s="3">
        <v>23.971475999999999</v>
      </c>
      <c r="K15" s="3"/>
      <c r="L15" s="3"/>
      <c r="M15" s="3"/>
      <c r="N15" s="3"/>
      <c r="O15" s="3"/>
      <c r="P15" s="3"/>
      <c r="Q15" s="3"/>
      <c r="R15" s="3"/>
      <c r="S15" s="3"/>
      <c r="T15" s="3"/>
      <c r="U15" s="3">
        <v>216.63713933563321</v>
      </c>
    </row>
    <row r="16" spans="2:21" x14ac:dyDescent="0.25">
      <c r="B16" s="2" t="s">
        <v>0</v>
      </c>
      <c r="C16" s="3">
        <v>342.68393428824169</v>
      </c>
      <c r="D16" s="3">
        <v>315.97141987275734</v>
      </c>
      <c r="E16" s="3">
        <v>3.4303632500000001</v>
      </c>
      <c r="F16" s="3">
        <v>3.1172341286592901E-2</v>
      </c>
      <c r="G16" s="3">
        <v>497.21082126417741</v>
      </c>
      <c r="H16" s="3">
        <v>1.7398333333333401E-2</v>
      </c>
      <c r="I16" s="3">
        <v>283.19446253223157</v>
      </c>
      <c r="J16" s="3">
        <v>117.17270689480605</v>
      </c>
      <c r="K16" s="3">
        <v>5.9955190157189255</v>
      </c>
      <c r="L16" s="3">
        <v>2.6941665785427689</v>
      </c>
      <c r="M16" s="3">
        <v>1.6370825634059001</v>
      </c>
      <c r="N16" s="3">
        <v>33.154005056340715</v>
      </c>
      <c r="O16" s="3">
        <v>2.3361529116045299</v>
      </c>
      <c r="P16" s="3">
        <v>0.38494371417229201</v>
      </c>
      <c r="Q16" s="3">
        <v>13.556559190779282</v>
      </c>
      <c r="R16" s="3">
        <v>0.31755000000000011</v>
      </c>
      <c r="S16" s="3">
        <v>0.16425000000000101</v>
      </c>
      <c r="T16" s="3">
        <v>63.756099778022673</v>
      </c>
      <c r="U16" s="3">
        <v>1683.7086075854211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E8"/>
  <sheetViews>
    <sheetView workbookViewId="0">
      <selection activeCell="F28" sqref="F28"/>
    </sheetView>
  </sheetViews>
  <sheetFormatPr defaultRowHeight="15" x14ac:dyDescent="0.25"/>
  <cols>
    <col min="2" max="2" width="13.140625" customWidth="1"/>
    <col min="3" max="3" width="20.5703125" customWidth="1"/>
    <col min="4" max="4" width="18.85546875" bestFit="1" customWidth="1"/>
    <col min="5" max="5" width="19.28515625" bestFit="1" customWidth="1"/>
    <col min="6" max="6" width="20.85546875" customWidth="1"/>
    <col min="7" max="7" width="20.5703125" customWidth="1"/>
    <col min="8" max="8" width="20.85546875" customWidth="1"/>
    <col min="9" max="9" width="20.5703125" customWidth="1"/>
    <col min="10" max="10" width="20.85546875" customWidth="1"/>
    <col min="11" max="11" width="20.5703125" customWidth="1"/>
    <col min="12" max="12" width="20.85546875" customWidth="1"/>
    <col min="13" max="13" width="20.5703125" customWidth="1"/>
    <col min="14" max="14" width="20.85546875" customWidth="1"/>
    <col min="15" max="15" width="20.5703125" customWidth="1"/>
    <col min="16" max="16" width="20.85546875" customWidth="1"/>
    <col min="17" max="17" width="20.5703125" customWidth="1"/>
    <col min="18" max="18" width="20.85546875" customWidth="1"/>
    <col min="19" max="19" width="20.5703125" customWidth="1"/>
    <col min="20" max="20" width="20.85546875" customWidth="1"/>
    <col min="21" max="21" width="20.5703125" customWidth="1"/>
    <col min="22" max="22" width="20.85546875" customWidth="1"/>
    <col min="23" max="23" width="20.5703125" customWidth="1"/>
    <col min="24" max="24" width="20.85546875" customWidth="1"/>
    <col min="25" max="25" width="20.5703125" customWidth="1"/>
    <col min="26" max="26" width="20.85546875" customWidth="1"/>
    <col min="27" max="27" width="20.5703125" customWidth="1"/>
    <col min="28" max="28" width="20.85546875" customWidth="1"/>
    <col min="29" max="29" width="20.5703125" customWidth="1"/>
    <col min="30" max="30" width="20.85546875" customWidth="1"/>
    <col min="31" max="31" width="20.5703125" customWidth="1"/>
    <col min="32" max="32" width="20.85546875" customWidth="1"/>
    <col min="33" max="33" width="20.5703125" bestFit="1" customWidth="1"/>
    <col min="34" max="34" width="20.85546875" customWidth="1"/>
    <col min="35" max="35" width="20.5703125" customWidth="1"/>
    <col min="36" max="36" width="20.85546875" customWidth="1"/>
    <col min="37" max="37" width="20.5703125" customWidth="1"/>
    <col min="38" max="38" width="20.85546875" customWidth="1"/>
    <col min="39" max="39" width="20.5703125" bestFit="1" customWidth="1"/>
    <col min="40" max="40" width="20.85546875" customWidth="1"/>
    <col min="41" max="41" width="20.5703125"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5" x14ac:dyDescent="0.25">
      <c r="B3" s="1" t="s">
        <v>50</v>
      </c>
      <c r="C3" t="s">
        <v>84</v>
      </c>
      <c r="D3" t="s">
        <v>149</v>
      </c>
      <c r="E3" t="s">
        <v>150</v>
      </c>
    </row>
    <row r="4" spans="2:5" x14ac:dyDescent="0.25">
      <c r="B4" s="2" t="s">
        <v>22</v>
      </c>
      <c r="C4" s="3">
        <v>10.291441732043427</v>
      </c>
      <c r="D4" s="3">
        <v>27.49547680965653</v>
      </c>
      <c r="E4" s="3">
        <v>0.30266965910210725</v>
      </c>
    </row>
    <row r="5" spans="2:5" x14ac:dyDescent="0.25">
      <c r="B5" s="2" t="s">
        <v>25</v>
      </c>
      <c r="C5" s="3">
        <v>3.29108278651686E-2</v>
      </c>
      <c r="D5" s="3">
        <v>0.24839673462717199</v>
      </c>
      <c r="E5" s="3">
        <v>1.0436837589376899E-3</v>
      </c>
    </row>
    <row r="6" spans="2:5" x14ac:dyDescent="0.25">
      <c r="B6" s="2" t="s">
        <v>26</v>
      </c>
      <c r="C6" s="3">
        <v>6.3269100000000106E-2</v>
      </c>
      <c r="D6" s="3">
        <v>0.14191200000000001</v>
      </c>
      <c r="E6" s="3">
        <v>1.7738999999999999E-3</v>
      </c>
    </row>
    <row r="7" spans="2:5" x14ac:dyDescent="0.25">
      <c r="B7" s="2" t="s">
        <v>27</v>
      </c>
      <c r="C7" s="3">
        <v>133.07420559121863</v>
      </c>
      <c r="D7" s="3">
        <v>75.492409011610789</v>
      </c>
      <c r="E7" s="3">
        <v>4.1000135284694812</v>
      </c>
    </row>
    <row r="8" spans="2:5" x14ac:dyDescent="0.25">
      <c r="B8" s="2" t="s">
        <v>0</v>
      </c>
      <c r="C8" s="3">
        <v>143.46182725112723</v>
      </c>
      <c r="D8" s="3">
        <v>103.3781945558945</v>
      </c>
      <c r="E8" s="3">
        <v>4.4055007713305265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D7"/>
  <sheetViews>
    <sheetView workbookViewId="0">
      <selection activeCell="D15" sqref="D15"/>
    </sheetView>
  </sheetViews>
  <sheetFormatPr defaultRowHeight="15" x14ac:dyDescent="0.25"/>
  <cols>
    <col min="3" max="3" width="13.140625" bestFit="1" customWidth="1"/>
    <col min="4" max="4" width="16.28515625" bestFit="1" customWidth="1"/>
    <col min="5" max="24" width="12" bestFit="1" customWidth="1"/>
  </cols>
  <sheetData>
    <row r="5" spans="3:4" x14ac:dyDescent="0.25">
      <c r="C5" s="1" t="s">
        <v>148</v>
      </c>
      <c r="D5" s="1" t="s">
        <v>49</v>
      </c>
    </row>
    <row r="6" spans="3:4" x14ac:dyDescent="0.25">
      <c r="C6" s="1" t="s">
        <v>50</v>
      </c>
      <c r="D6" t="s">
        <v>0</v>
      </c>
    </row>
    <row r="7" spans="3:4" x14ac:dyDescent="0.25">
      <c r="C7" s="2" t="s">
        <v>0</v>
      </c>
      <c r="D7" s="3"/>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J18"/>
  <sheetViews>
    <sheetView workbookViewId="0">
      <selection activeCell="L28" sqref="K28:L30"/>
    </sheetView>
  </sheetViews>
  <sheetFormatPr defaultRowHeight="15" x14ac:dyDescent="0.25"/>
  <cols>
    <col min="3" max="3" width="13.140625" customWidth="1"/>
    <col min="4" max="4" width="16.28515625" bestFit="1" customWidth="1"/>
    <col min="5" max="6" width="12" customWidth="1"/>
    <col min="7" max="7" width="12" bestFit="1" customWidth="1"/>
    <col min="8" max="8" width="12" customWidth="1"/>
    <col min="9" max="9" width="18.140625" bestFit="1" customWidth="1"/>
    <col min="10" max="10" width="12" customWidth="1"/>
    <col min="11" max="11" width="12" bestFit="1" customWidth="1"/>
  </cols>
  <sheetData>
    <row r="4" spans="3:10" x14ac:dyDescent="0.25">
      <c r="C4" s="1" t="s">
        <v>148</v>
      </c>
      <c r="D4" s="1" t="s">
        <v>49</v>
      </c>
    </row>
    <row r="5" spans="3:10" x14ac:dyDescent="0.25">
      <c r="C5" s="1" t="s">
        <v>50</v>
      </c>
      <c r="D5" t="s">
        <v>23</v>
      </c>
      <c r="E5" t="s">
        <v>24</v>
      </c>
      <c r="F5" t="s">
        <v>25</v>
      </c>
      <c r="G5" t="s">
        <v>8</v>
      </c>
      <c r="H5" t="s">
        <v>9</v>
      </c>
      <c r="I5" t="s">
        <v>195</v>
      </c>
      <c r="J5" t="s">
        <v>0</v>
      </c>
    </row>
    <row r="6" spans="3:10" x14ac:dyDescent="0.25">
      <c r="C6" s="2" t="s">
        <v>1</v>
      </c>
      <c r="D6" s="3">
        <v>0</v>
      </c>
      <c r="E6" s="3">
        <v>0</v>
      </c>
      <c r="F6" s="3">
        <v>0</v>
      </c>
      <c r="G6" s="3">
        <v>5245721.2028937191</v>
      </c>
      <c r="H6" s="3">
        <v>1660969.3669154758</v>
      </c>
      <c r="I6" s="3">
        <v>0</v>
      </c>
      <c r="J6" s="3">
        <v>6906690.5698091947</v>
      </c>
    </row>
    <row r="7" spans="3:10" x14ac:dyDescent="0.25">
      <c r="C7" s="2" t="s">
        <v>143</v>
      </c>
      <c r="D7" s="3">
        <v>866297.29420252796</v>
      </c>
      <c r="E7" s="3">
        <v>2467608.3010840002</v>
      </c>
      <c r="F7" s="3">
        <v>296360.10125672701</v>
      </c>
      <c r="G7" s="3">
        <v>15293949.381459892</v>
      </c>
      <c r="H7" s="3">
        <v>9297028.6056698021</v>
      </c>
      <c r="I7" s="3">
        <v>0</v>
      </c>
      <c r="J7" s="3">
        <v>28221243.68367295</v>
      </c>
    </row>
    <row r="8" spans="3:10" x14ac:dyDescent="0.25">
      <c r="C8" s="2" t="s">
        <v>144</v>
      </c>
      <c r="D8" s="3">
        <v>1691857.08544988</v>
      </c>
      <c r="E8" s="3">
        <v>5004472.4033087203</v>
      </c>
      <c r="F8" s="3">
        <v>370689.29599008599</v>
      </c>
      <c r="G8" s="3">
        <v>22993323.381400853</v>
      </c>
      <c r="H8" s="3">
        <v>15768614.573197082</v>
      </c>
      <c r="I8" s="3">
        <v>0</v>
      </c>
      <c r="J8" s="3">
        <v>45828956.739346623</v>
      </c>
    </row>
    <row r="9" spans="3:10" x14ac:dyDescent="0.25">
      <c r="C9" s="2" t="s">
        <v>145</v>
      </c>
      <c r="D9" s="3">
        <v>2491777.26409167</v>
      </c>
      <c r="E9" s="3">
        <v>7580002.3563597398</v>
      </c>
      <c r="F9" s="3">
        <v>463892.41578081797</v>
      </c>
      <c r="G9" s="3">
        <v>30543166.786181178</v>
      </c>
      <c r="H9" s="3">
        <v>22085624.442773879</v>
      </c>
      <c r="I9" s="3">
        <v>0</v>
      </c>
      <c r="J9" s="3">
        <v>63164463.265187286</v>
      </c>
    </row>
    <row r="10" spans="3:10" x14ac:dyDescent="0.25">
      <c r="C10" s="2" t="s">
        <v>146</v>
      </c>
      <c r="D10" s="3">
        <v>3239882.1977466098</v>
      </c>
      <c r="E10" s="3">
        <v>10182950.5624392</v>
      </c>
      <c r="F10" s="3">
        <v>446406.305941795</v>
      </c>
      <c r="G10" s="3">
        <v>35861383.495611973</v>
      </c>
      <c r="H10" s="3">
        <v>26764127.674075469</v>
      </c>
      <c r="I10" s="3">
        <v>0</v>
      </c>
      <c r="J10" s="3">
        <v>76494750.235815048</v>
      </c>
    </row>
    <row r="11" spans="3:10" x14ac:dyDescent="0.25">
      <c r="C11" s="2" t="s">
        <v>179</v>
      </c>
      <c r="D11" s="3">
        <v>2791687.5992247299</v>
      </c>
      <c r="E11" s="3">
        <v>8122776.3459598701</v>
      </c>
      <c r="F11" s="3">
        <v>364543.131862109</v>
      </c>
      <c r="G11" s="3">
        <v>28875220.960648686</v>
      </c>
      <c r="H11" s="3">
        <v>22658038.213291731</v>
      </c>
      <c r="I11" s="3">
        <v>0</v>
      </c>
      <c r="J11" s="3">
        <v>62812266.250987127</v>
      </c>
    </row>
    <row r="12" spans="3:10" x14ac:dyDescent="0.25">
      <c r="C12" s="2" t="s">
        <v>180</v>
      </c>
      <c r="D12" s="3">
        <v>2367167.2074640798</v>
      </c>
      <c r="E12" s="3">
        <v>6079919.1988840699</v>
      </c>
      <c r="F12" s="3">
        <v>332341.40650222398</v>
      </c>
      <c r="G12" s="3">
        <v>21571906.837930571</v>
      </c>
      <c r="H12" s="3">
        <v>18173799.698084045</v>
      </c>
      <c r="I12" s="3">
        <v>0</v>
      </c>
      <c r="J12" s="3">
        <v>48525134.348864987</v>
      </c>
    </row>
    <row r="13" spans="3:10" x14ac:dyDescent="0.25">
      <c r="C13" s="2" t="s">
        <v>181</v>
      </c>
      <c r="D13" s="3">
        <v>1904768.0848854701</v>
      </c>
      <c r="E13" s="3">
        <v>5887254.7357525704</v>
      </c>
      <c r="F13" s="3">
        <v>287513.97071891901</v>
      </c>
      <c r="G13" s="3">
        <v>15571326.753917105</v>
      </c>
      <c r="H13" s="3">
        <v>14529720.524286915</v>
      </c>
      <c r="I13" s="3">
        <v>0</v>
      </c>
      <c r="J13" s="3">
        <v>38180584.069560975</v>
      </c>
    </row>
    <row r="14" spans="3:10" x14ac:dyDescent="0.25">
      <c r="C14" s="2" t="s">
        <v>182</v>
      </c>
      <c r="D14" s="3">
        <v>2178891.3058688198</v>
      </c>
      <c r="E14" s="3">
        <v>8480006.4083699305</v>
      </c>
      <c r="F14" s="3">
        <v>235877.18327888101</v>
      </c>
      <c r="G14" s="3">
        <v>10134085.917273404</v>
      </c>
      <c r="H14" s="3">
        <v>11541336.051322717</v>
      </c>
      <c r="I14" s="3">
        <v>0</v>
      </c>
      <c r="J14" s="3">
        <v>32570196.866113752</v>
      </c>
    </row>
    <row r="15" spans="3:10" x14ac:dyDescent="0.25">
      <c r="C15" s="2" t="s">
        <v>183</v>
      </c>
      <c r="D15" s="3">
        <v>1651455.11716878</v>
      </c>
      <c r="E15" s="3">
        <v>6346271.8896259703</v>
      </c>
      <c r="F15" s="3">
        <v>114832.235239225</v>
      </c>
      <c r="G15" s="3">
        <v>6205408.3440648103</v>
      </c>
      <c r="H15" s="3">
        <v>7538328.1758574825</v>
      </c>
      <c r="I15" s="3">
        <v>0</v>
      </c>
      <c r="J15" s="3">
        <v>21856295.761956267</v>
      </c>
    </row>
    <row r="16" spans="3:10" x14ac:dyDescent="0.25">
      <c r="C16" s="2" t="s">
        <v>184</v>
      </c>
      <c r="D16" s="3">
        <v>1111243.7904806</v>
      </c>
      <c r="E16" s="3">
        <v>4209175.5511090299</v>
      </c>
      <c r="F16" s="3">
        <v>36232.4094899954</v>
      </c>
      <c r="G16" s="3">
        <v>1644674.4807452923</v>
      </c>
      <c r="H16" s="3">
        <v>3102365.0169748086</v>
      </c>
      <c r="I16" s="3">
        <v>0</v>
      </c>
      <c r="J16" s="3">
        <v>10103691.248799726</v>
      </c>
    </row>
    <row r="17" spans="3:10" x14ac:dyDescent="0.25">
      <c r="C17" s="2" t="s">
        <v>185</v>
      </c>
      <c r="D17" s="3">
        <v>559061.35546787595</v>
      </c>
      <c r="E17" s="3">
        <v>2092162.8198104701</v>
      </c>
      <c r="F17" s="3">
        <v>24314.965418974702</v>
      </c>
      <c r="G17" s="3">
        <v>0</v>
      </c>
      <c r="H17" s="3">
        <v>240282.99174874008</v>
      </c>
      <c r="I17" s="3">
        <v>0</v>
      </c>
      <c r="J17" s="3">
        <v>2915822.1324460609</v>
      </c>
    </row>
    <row r="18" spans="3:10" x14ac:dyDescent="0.25">
      <c r="C18" s="2" t="s">
        <v>0</v>
      </c>
      <c r="D18" s="3">
        <v>20854088.302051041</v>
      </c>
      <c r="E18" s="3">
        <v>66452600.572703563</v>
      </c>
      <c r="F18" s="3">
        <v>2973003.4214797541</v>
      </c>
      <c r="G18" s="3">
        <v>193940167.54212746</v>
      </c>
      <c r="H18" s="3">
        <v>153360235.33419815</v>
      </c>
      <c r="I18" s="3">
        <v>0</v>
      </c>
      <c r="J18" s="3">
        <v>437580095.17255998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2:T151"/>
  <sheetViews>
    <sheetView workbookViewId="0">
      <selection activeCell="F15" sqref="F15"/>
    </sheetView>
  </sheetViews>
  <sheetFormatPr defaultRowHeight="15" x14ac:dyDescent="0.25"/>
  <cols>
    <col min="3" max="3" width="13.140625" customWidth="1"/>
    <col min="4" max="4" width="7.85546875" bestFit="1" customWidth="1"/>
    <col min="5" max="19" width="13.5703125" bestFit="1" customWidth="1"/>
    <col min="20" max="20" width="12" customWidth="1"/>
    <col min="21" max="24" width="12.7109375" bestFit="1" customWidth="1"/>
    <col min="25" max="25" width="12" bestFit="1" customWidth="1"/>
    <col min="26" max="28" width="12.7109375" bestFit="1" customWidth="1"/>
    <col min="29" max="29" width="12" bestFit="1" customWidth="1"/>
    <col min="30" max="30" width="12.7109375" bestFit="1" customWidth="1"/>
    <col min="31" max="31" width="5.2851562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2" spans="3:20" x14ac:dyDescent="0.25">
      <c r="C2" s="1" t="s">
        <v>227</v>
      </c>
      <c r="D2" t="s">
        <v>228</v>
      </c>
    </row>
    <row r="4" spans="3:20" x14ac:dyDescent="0.25">
      <c r="C4" s="1" t="s">
        <v>224</v>
      </c>
      <c r="E4" s="1" t="s">
        <v>225</v>
      </c>
      <c r="F4" s="1" t="s">
        <v>226</v>
      </c>
    </row>
    <row r="5" spans="3:20" x14ac:dyDescent="0.25">
      <c r="E5" t="s">
        <v>217</v>
      </c>
      <c r="H5" t="s">
        <v>218</v>
      </c>
      <c r="L5" t="s">
        <v>219</v>
      </c>
      <c r="P5" t="s">
        <v>220</v>
      </c>
      <c r="R5" t="s">
        <v>221</v>
      </c>
      <c r="T5" t="s">
        <v>0</v>
      </c>
    </row>
    <row r="6" spans="3:20" x14ac:dyDescent="0.25">
      <c r="C6" s="1" t="s">
        <v>19</v>
      </c>
      <c r="D6" s="1" t="s">
        <v>105</v>
      </c>
      <c r="E6" t="s">
        <v>218</v>
      </c>
      <c r="F6" t="s">
        <v>219</v>
      </c>
      <c r="G6" t="s">
        <v>223</v>
      </c>
      <c r="H6" t="s">
        <v>215</v>
      </c>
      <c r="I6" t="s">
        <v>216</v>
      </c>
      <c r="J6" t="s">
        <v>217</v>
      </c>
      <c r="K6" t="s">
        <v>221</v>
      </c>
      <c r="L6" t="s">
        <v>217</v>
      </c>
      <c r="M6" t="s">
        <v>220</v>
      </c>
      <c r="N6" t="s">
        <v>221</v>
      </c>
      <c r="O6" t="s">
        <v>222</v>
      </c>
      <c r="P6" t="s">
        <v>219</v>
      </c>
      <c r="Q6" t="s">
        <v>222</v>
      </c>
      <c r="R6" t="s">
        <v>218</v>
      </c>
      <c r="S6" t="s">
        <v>219</v>
      </c>
    </row>
    <row r="7" spans="3:20" x14ac:dyDescent="0.25">
      <c r="C7" t="s">
        <v>1</v>
      </c>
      <c r="D7" t="s">
        <v>51</v>
      </c>
      <c r="E7" s="3">
        <v>0</v>
      </c>
      <c r="F7" s="3">
        <v>0</v>
      </c>
      <c r="G7" s="3">
        <v>0</v>
      </c>
      <c r="H7" s="3">
        <v>0</v>
      </c>
      <c r="I7" s="3">
        <v>0.7</v>
      </c>
      <c r="J7" s="3">
        <v>0</v>
      </c>
      <c r="K7" s="3">
        <v>0</v>
      </c>
      <c r="L7" s="3">
        <v>0</v>
      </c>
      <c r="M7" s="3">
        <v>0.2</v>
      </c>
      <c r="N7" s="3">
        <v>1</v>
      </c>
      <c r="O7" s="3">
        <v>0</v>
      </c>
      <c r="P7" s="3">
        <v>-0.2</v>
      </c>
      <c r="Q7" s="3">
        <v>-8.6911039406780494E-2</v>
      </c>
      <c r="R7" s="3">
        <v>0</v>
      </c>
      <c r="S7" s="3">
        <v>-1</v>
      </c>
      <c r="T7" s="3">
        <v>0.61308896059321949</v>
      </c>
    </row>
    <row r="8" spans="3:20" x14ac:dyDescent="0.25">
      <c r="D8" t="s">
        <v>52</v>
      </c>
      <c r="E8" s="3">
        <v>0</v>
      </c>
      <c r="F8" s="3">
        <v>0</v>
      </c>
      <c r="G8" s="3">
        <v>0</v>
      </c>
      <c r="H8" s="3">
        <v>0</v>
      </c>
      <c r="I8" s="3">
        <v>0.7</v>
      </c>
      <c r="J8" s="3">
        <v>0</v>
      </c>
      <c r="K8" s="3">
        <v>0</v>
      </c>
      <c r="L8" s="3">
        <v>0</v>
      </c>
      <c r="M8" s="3">
        <v>0.2</v>
      </c>
      <c r="N8" s="3">
        <v>1</v>
      </c>
      <c r="O8" s="3">
        <v>0</v>
      </c>
      <c r="P8" s="3">
        <v>-0.2</v>
      </c>
      <c r="Q8" s="3">
        <v>-0.108856588673202</v>
      </c>
      <c r="R8" s="3">
        <v>0</v>
      </c>
      <c r="S8" s="3">
        <v>-1</v>
      </c>
      <c r="T8" s="3">
        <v>0.59114341132679793</v>
      </c>
    </row>
    <row r="9" spans="3:20" x14ac:dyDescent="0.25">
      <c r="D9" t="s">
        <v>53</v>
      </c>
      <c r="E9" s="3">
        <v>0</v>
      </c>
      <c r="F9" s="3">
        <v>0</v>
      </c>
      <c r="G9" s="3">
        <v>0</v>
      </c>
      <c r="H9" s="3">
        <v>0</v>
      </c>
      <c r="I9" s="3">
        <v>0.7</v>
      </c>
      <c r="J9" s="3">
        <v>0</v>
      </c>
      <c r="K9" s="3">
        <v>0</v>
      </c>
      <c r="L9" s="3">
        <v>0</v>
      </c>
      <c r="M9" s="3">
        <v>0.2</v>
      </c>
      <c r="N9" s="3">
        <v>1</v>
      </c>
      <c r="O9" s="3">
        <v>0</v>
      </c>
      <c r="P9" s="3">
        <v>-0.2</v>
      </c>
      <c r="Q9" s="3">
        <v>-0.3</v>
      </c>
      <c r="R9" s="3">
        <v>0</v>
      </c>
      <c r="S9" s="3">
        <v>-1</v>
      </c>
      <c r="T9" s="3">
        <v>0.39999999999999991</v>
      </c>
    </row>
    <row r="10" spans="3:20" x14ac:dyDescent="0.25">
      <c r="D10" t="s">
        <v>54</v>
      </c>
      <c r="E10" s="3">
        <v>0</v>
      </c>
      <c r="F10" s="3">
        <v>0</v>
      </c>
      <c r="G10" s="3">
        <v>0</v>
      </c>
      <c r="H10" s="3">
        <v>0</v>
      </c>
      <c r="I10" s="3">
        <v>0.7</v>
      </c>
      <c r="J10" s="3">
        <v>0</v>
      </c>
      <c r="K10" s="3">
        <v>0</v>
      </c>
      <c r="L10" s="3">
        <v>0</v>
      </c>
      <c r="M10" s="3">
        <v>0.2</v>
      </c>
      <c r="N10" s="3">
        <v>1</v>
      </c>
      <c r="O10" s="3">
        <v>0</v>
      </c>
      <c r="P10" s="3">
        <v>-0.2</v>
      </c>
      <c r="Q10" s="3">
        <v>-0.3</v>
      </c>
      <c r="R10" s="3">
        <v>0</v>
      </c>
      <c r="S10" s="3">
        <v>-1</v>
      </c>
      <c r="T10" s="3">
        <v>0.39999999999999991</v>
      </c>
    </row>
    <row r="11" spans="3:20" x14ac:dyDescent="0.25">
      <c r="D11" t="s">
        <v>55</v>
      </c>
      <c r="E11" s="3">
        <v>0</v>
      </c>
      <c r="F11" s="3">
        <v>0</v>
      </c>
      <c r="G11" s="3">
        <v>0</v>
      </c>
      <c r="H11" s="3">
        <v>0</v>
      </c>
      <c r="I11" s="3">
        <v>0.7</v>
      </c>
      <c r="J11" s="3">
        <v>0</v>
      </c>
      <c r="K11" s="3">
        <v>0</v>
      </c>
      <c r="L11" s="3">
        <v>0</v>
      </c>
      <c r="M11" s="3">
        <v>0.2</v>
      </c>
      <c r="N11" s="3">
        <v>1</v>
      </c>
      <c r="O11" s="3">
        <v>0</v>
      </c>
      <c r="P11" s="3">
        <v>-0.2</v>
      </c>
      <c r="Q11" s="3">
        <v>-0.3</v>
      </c>
      <c r="R11" s="3">
        <v>0</v>
      </c>
      <c r="S11" s="3">
        <v>-1</v>
      </c>
      <c r="T11" s="3">
        <v>0.39999999999999991</v>
      </c>
    </row>
    <row r="12" spans="3:20" x14ac:dyDescent="0.25">
      <c r="D12" t="s">
        <v>56</v>
      </c>
      <c r="E12" s="3">
        <v>0</v>
      </c>
      <c r="F12" s="3">
        <v>0</v>
      </c>
      <c r="G12" s="3">
        <v>0</v>
      </c>
      <c r="H12" s="3">
        <v>0</v>
      </c>
      <c r="I12" s="3">
        <v>0.7</v>
      </c>
      <c r="J12" s="3">
        <v>0</v>
      </c>
      <c r="K12" s="3">
        <v>0</v>
      </c>
      <c r="L12" s="3">
        <v>0</v>
      </c>
      <c r="M12" s="3">
        <v>0.2</v>
      </c>
      <c r="N12" s="3">
        <v>1</v>
      </c>
      <c r="O12" s="3">
        <v>0</v>
      </c>
      <c r="P12" s="3">
        <v>-0.2</v>
      </c>
      <c r="Q12" s="3">
        <v>-8.0668461977990102E-2</v>
      </c>
      <c r="R12" s="3">
        <v>0</v>
      </c>
      <c r="S12" s="3">
        <v>-1</v>
      </c>
      <c r="T12" s="3">
        <v>0.61933153802200991</v>
      </c>
    </row>
    <row r="13" spans="3:20" x14ac:dyDescent="0.25">
      <c r="D13" t="s">
        <v>57</v>
      </c>
      <c r="E13" s="3">
        <v>0</v>
      </c>
      <c r="F13" s="3">
        <v>0</v>
      </c>
      <c r="G13" s="3">
        <v>0</v>
      </c>
      <c r="H13" s="3">
        <v>0</v>
      </c>
      <c r="I13" s="3">
        <v>0.7</v>
      </c>
      <c r="J13" s="3">
        <v>0</v>
      </c>
      <c r="K13" s="3">
        <v>0</v>
      </c>
      <c r="L13" s="3">
        <v>0</v>
      </c>
      <c r="M13" s="3">
        <v>0.2</v>
      </c>
      <c r="N13" s="3">
        <v>1</v>
      </c>
      <c r="O13" s="3">
        <v>0</v>
      </c>
      <c r="P13" s="3">
        <v>-0.2</v>
      </c>
      <c r="Q13" s="3">
        <v>-4.2864723244993901E-2</v>
      </c>
      <c r="R13" s="3">
        <v>0</v>
      </c>
      <c r="S13" s="3">
        <v>-1</v>
      </c>
      <c r="T13" s="3">
        <v>0.65713527675500605</v>
      </c>
    </row>
    <row r="14" spans="3:20" x14ac:dyDescent="0.25">
      <c r="D14" t="s">
        <v>58</v>
      </c>
      <c r="E14" s="3">
        <v>0</v>
      </c>
      <c r="F14" s="3">
        <v>0</v>
      </c>
      <c r="G14" s="3">
        <v>0</v>
      </c>
      <c r="H14" s="3">
        <v>0</v>
      </c>
      <c r="I14" s="3">
        <v>0.7</v>
      </c>
      <c r="J14" s="3">
        <v>0</v>
      </c>
      <c r="K14" s="3">
        <v>0</v>
      </c>
      <c r="L14" s="3">
        <v>0</v>
      </c>
      <c r="M14" s="3">
        <v>7.6582192084136802E-2</v>
      </c>
      <c r="N14" s="3">
        <v>1</v>
      </c>
      <c r="O14" s="3">
        <v>0</v>
      </c>
      <c r="P14" s="3">
        <v>-7.6582192084136802E-2</v>
      </c>
      <c r="Q14" s="3">
        <v>-0.3</v>
      </c>
      <c r="R14" s="3">
        <v>0</v>
      </c>
      <c r="S14" s="3">
        <v>-1</v>
      </c>
      <c r="T14" s="3">
        <v>0.39999999999999991</v>
      </c>
    </row>
    <row r="15" spans="3:20" x14ac:dyDescent="0.25">
      <c r="D15" t="s">
        <v>59</v>
      </c>
      <c r="E15" s="3">
        <v>0</v>
      </c>
      <c r="F15" s="3">
        <v>0</v>
      </c>
      <c r="G15" s="3">
        <v>0</v>
      </c>
      <c r="H15" s="3">
        <v>0</v>
      </c>
      <c r="I15" s="3">
        <v>0.7</v>
      </c>
      <c r="J15" s="3">
        <v>0</v>
      </c>
      <c r="K15" s="3">
        <v>0</v>
      </c>
      <c r="L15" s="3">
        <v>0</v>
      </c>
      <c r="M15" s="3">
        <v>7.4439104429604996E-2</v>
      </c>
      <c r="N15" s="3">
        <v>1</v>
      </c>
      <c r="O15" s="3">
        <v>0</v>
      </c>
      <c r="P15" s="3">
        <v>-7.4439104429604996E-2</v>
      </c>
      <c r="Q15" s="3">
        <v>-0.3</v>
      </c>
      <c r="R15" s="3">
        <v>0</v>
      </c>
      <c r="S15" s="3">
        <v>-1</v>
      </c>
      <c r="T15" s="3">
        <v>0.40000000000000013</v>
      </c>
    </row>
    <row r="16" spans="3:20" x14ac:dyDescent="0.25">
      <c r="D16" t="s">
        <v>60</v>
      </c>
      <c r="E16" s="3">
        <v>0</v>
      </c>
      <c r="F16" s="3">
        <v>0</v>
      </c>
      <c r="G16" s="3">
        <v>0</v>
      </c>
      <c r="H16" s="3">
        <v>0</v>
      </c>
      <c r="I16" s="3">
        <v>0.7</v>
      </c>
      <c r="J16" s="3">
        <v>0</v>
      </c>
      <c r="K16" s="3">
        <v>0</v>
      </c>
      <c r="L16" s="3">
        <v>0</v>
      </c>
      <c r="M16" s="3">
        <v>0.2</v>
      </c>
      <c r="N16" s="3">
        <v>1</v>
      </c>
      <c r="O16" s="3">
        <v>0</v>
      </c>
      <c r="P16" s="3">
        <v>-0.2</v>
      </c>
      <c r="Q16" s="3">
        <v>-0.3</v>
      </c>
      <c r="R16" s="3">
        <v>0</v>
      </c>
      <c r="S16" s="3">
        <v>-1</v>
      </c>
      <c r="T16" s="3">
        <v>0.39999999999999991</v>
      </c>
    </row>
    <row r="17" spans="3:20" x14ac:dyDescent="0.25">
      <c r="D17" t="s">
        <v>61</v>
      </c>
      <c r="E17" s="3">
        <v>0</v>
      </c>
      <c r="F17" s="3">
        <v>0</v>
      </c>
      <c r="G17" s="3">
        <v>0</v>
      </c>
      <c r="H17" s="3">
        <v>0</v>
      </c>
      <c r="I17" s="3">
        <v>0.7</v>
      </c>
      <c r="J17" s="3">
        <v>0</v>
      </c>
      <c r="K17" s="3">
        <v>0</v>
      </c>
      <c r="L17" s="3">
        <v>0</v>
      </c>
      <c r="M17" s="3">
        <v>0.2</v>
      </c>
      <c r="N17" s="3">
        <v>1</v>
      </c>
      <c r="O17" s="3">
        <v>0</v>
      </c>
      <c r="P17" s="3">
        <v>-0.2</v>
      </c>
      <c r="Q17" s="3">
        <v>-0.3</v>
      </c>
      <c r="R17" s="3">
        <v>0</v>
      </c>
      <c r="S17" s="3">
        <v>-1</v>
      </c>
      <c r="T17" s="3">
        <v>0.39999999999999991</v>
      </c>
    </row>
    <row r="18" spans="3:20" x14ac:dyDescent="0.25">
      <c r="D18" t="s">
        <v>62</v>
      </c>
      <c r="E18" s="3">
        <v>0</v>
      </c>
      <c r="F18" s="3">
        <v>0</v>
      </c>
      <c r="G18" s="3">
        <v>0</v>
      </c>
      <c r="H18" s="3">
        <v>0</v>
      </c>
      <c r="I18" s="3">
        <v>0.7</v>
      </c>
      <c r="J18" s="3">
        <v>0</v>
      </c>
      <c r="K18" s="3">
        <v>0</v>
      </c>
      <c r="L18" s="3">
        <v>0</v>
      </c>
      <c r="M18" s="3">
        <v>0.17451417139324801</v>
      </c>
      <c r="N18" s="3">
        <v>1</v>
      </c>
      <c r="O18" s="3">
        <v>0</v>
      </c>
      <c r="P18" s="3">
        <v>-0.17451417139324801</v>
      </c>
      <c r="Q18" s="3">
        <v>-0.3</v>
      </c>
      <c r="R18" s="3">
        <v>0</v>
      </c>
      <c r="S18" s="3">
        <v>-1</v>
      </c>
      <c r="T18" s="3">
        <v>0.39999999999999991</v>
      </c>
    </row>
    <row r="19" spans="3:20" x14ac:dyDescent="0.25">
      <c r="C19" t="s">
        <v>143</v>
      </c>
      <c r="D19" t="s">
        <v>51</v>
      </c>
      <c r="E19" s="3">
        <v>0</v>
      </c>
      <c r="F19" s="3">
        <v>0</v>
      </c>
      <c r="G19" s="3">
        <v>0</v>
      </c>
      <c r="H19" s="3">
        <v>0</v>
      </c>
      <c r="I19" s="3">
        <v>0.7</v>
      </c>
      <c r="J19" s="3">
        <v>0</v>
      </c>
      <c r="K19" s="3">
        <v>0</v>
      </c>
      <c r="L19" s="3">
        <v>0</v>
      </c>
      <c r="M19" s="3">
        <v>0.2</v>
      </c>
      <c r="N19" s="3">
        <v>1</v>
      </c>
      <c r="O19" s="3">
        <v>0</v>
      </c>
      <c r="P19" s="3">
        <v>-0.2</v>
      </c>
      <c r="Q19" s="3">
        <v>-0.3</v>
      </c>
      <c r="R19" s="3">
        <v>0</v>
      </c>
      <c r="S19" s="3">
        <v>-1</v>
      </c>
      <c r="T19" s="3">
        <v>0.39999999999999991</v>
      </c>
    </row>
    <row r="20" spans="3:20" x14ac:dyDescent="0.25">
      <c r="D20" t="s">
        <v>52</v>
      </c>
      <c r="E20" s="3">
        <v>0</v>
      </c>
      <c r="F20" s="3">
        <v>0</v>
      </c>
      <c r="G20" s="3">
        <v>0</v>
      </c>
      <c r="H20" s="3">
        <v>0</v>
      </c>
      <c r="I20" s="3">
        <v>0.7</v>
      </c>
      <c r="J20" s="3">
        <v>0</v>
      </c>
      <c r="K20" s="3">
        <v>0</v>
      </c>
      <c r="L20" s="3">
        <v>0</v>
      </c>
      <c r="M20" s="3">
        <v>0.2</v>
      </c>
      <c r="N20" s="3">
        <v>1</v>
      </c>
      <c r="O20" s="3">
        <v>0</v>
      </c>
      <c r="P20" s="3">
        <v>-0.2</v>
      </c>
      <c r="Q20" s="3">
        <v>-0.3</v>
      </c>
      <c r="R20" s="3">
        <v>0</v>
      </c>
      <c r="S20" s="3">
        <v>-1</v>
      </c>
      <c r="T20" s="3">
        <v>0.39999999999999991</v>
      </c>
    </row>
    <row r="21" spans="3:20" x14ac:dyDescent="0.25">
      <c r="D21" t="s">
        <v>53</v>
      </c>
      <c r="E21" s="3">
        <v>0</v>
      </c>
      <c r="F21" s="3">
        <v>0</v>
      </c>
      <c r="G21" s="3">
        <v>0</v>
      </c>
      <c r="H21" s="3">
        <v>0</v>
      </c>
      <c r="I21" s="3">
        <v>0.7</v>
      </c>
      <c r="J21" s="3">
        <v>0</v>
      </c>
      <c r="K21" s="3">
        <v>0</v>
      </c>
      <c r="L21" s="3">
        <v>0</v>
      </c>
      <c r="M21" s="3">
        <v>0.2</v>
      </c>
      <c r="N21" s="3">
        <v>1</v>
      </c>
      <c r="O21" s="3">
        <v>0</v>
      </c>
      <c r="P21" s="3">
        <v>-0.2</v>
      </c>
      <c r="Q21" s="3">
        <v>-0.3</v>
      </c>
      <c r="R21" s="3">
        <v>0</v>
      </c>
      <c r="S21" s="3">
        <v>-1</v>
      </c>
      <c r="T21" s="3">
        <v>0.39999999999999991</v>
      </c>
    </row>
    <row r="22" spans="3:20" x14ac:dyDescent="0.25">
      <c r="D22" t="s">
        <v>54</v>
      </c>
      <c r="E22" s="3">
        <v>0</v>
      </c>
      <c r="F22" s="3">
        <v>0</v>
      </c>
      <c r="G22" s="3">
        <v>0</v>
      </c>
      <c r="H22" s="3">
        <v>0</v>
      </c>
      <c r="I22" s="3">
        <v>0.7</v>
      </c>
      <c r="J22" s="3">
        <v>0</v>
      </c>
      <c r="K22" s="3">
        <v>0</v>
      </c>
      <c r="L22" s="3">
        <v>0</v>
      </c>
      <c r="M22" s="3">
        <v>0.2</v>
      </c>
      <c r="N22" s="3">
        <v>1</v>
      </c>
      <c r="O22" s="3">
        <v>0</v>
      </c>
      <c r="P22" s="3">
        <v>-0.2</v>
      </c>
      <c r="Q22" s="3">
        <v>-0.3</v>
      </c>
      <c r="R22" s="3">
        <v>0</v>
      </c>
      <c r="S22" s="3">
        <v>-1</v>
      </c>
      <c r="T22" s="3">
        <v>0.39999999999999991</v>
      </c>
    </row>
    <row r="23" spans="3:20" x14ac:dyDescent="0.25">
      <c r="D23" t="s">
        <v>55</v>
      </c>
      <c r="E23" s="3">
        <v>0</v>
      </c>
      <c r="F23" s="3">
        <v>0</v>
      </c>
      <c r="G23" s="3">
        <v>0</v>
      </c>
      <c r="H23" s="3">
        <v>0</v>
      </c>
      <c r="I23" s="3">
        <v>0.7</v>
      </c>
      <c r="J23" s="3">
        <v>0</v>
      </c>
      <c r="K23" s="3">
        <v>0</v>
      </c>
      <c r="L23" s="3">
        <v>0</v>
      </c>
      <c r="M23" s="3">
        <v>0.2</v>
      </c>
      <c r="N23" s="3">
        <v>1</v>
      </c>
      <c r="O23" s="3">
        <v>0</v>
      </c>
      <c r="P23" s="3">
        <v>-0.2</v>
      </c>
      <c r="Q23" s="3">
        <v>-0.3</v>
      </c>
      <c r="R23" s="3">
        <v>0</v>
      </c>
      <c r="S23" s="3">
        <v>-1</v>
      </c>
      <c r="T23" s="3">
        <v>0.39999999999999991</v>
      </c>
    </row>
    <row r="24" spans="3:20" x14ac:dyDescent="0.25">
      <c r="D24" t="s">
        <v>56</v>
      </c>
      <c r="E24" s="3">
        <v>0</v>
      </c>
      <c r="F24" s="3">
        <v>0</v>
      </c>
      <c r="G24" s="3">
        <v>0</v>
      </c>
      <c r="H24" s="3">
        <v>0</v>
      </c>
      <c r="I24" s="3">
        <v>0.7</v>
      </c>
      <c r="J24" s="3">
        <v>0</v>
      </c>
      <c r="K24" s="3">
        <v>0</v>
      </c>
      <c r="L24" s="3">
        <v>0</v>
      </c>
      <c r="M24" s="3">
        <v>0.18298126708833501</v>
      </c>
      <c r="N24" s="3">
        <v>1</v>
      </c>
      <c r="O24" s="3">
        <v>0</v>
      </c>
      <c r="P24" s="3">
        <v>-0.18298126708833501</v>
      </c>
      <c r="Q24" s="3">
        <v>-0.3</v>
      </c>
      <c r="R24" s="3">
        <v>0</v>
      </c>
      <c r="S24" s="3">
        <v>-1</v>
      </c>
      <c r="T24" s="3">
        <v>0.39999999999999991</v>
      </c>
    </row>
    <row r="25" spans="3:20" x14ac:dyDescent="0.25">
      <c r="D25" t="s">
        <v>57</v>
      </c>
      <c r="E25" s="3">
        <v>0</v>
      </c>
      <c r="F25" s="3">
        <v>0</v>
      </c>
      <c r="G25" s="3">
        <v>0</v>
      </c>
      <c r="H25" s="3">
        <v>0</v>
      </c>
      <c r="I25" s="3">
        <v>0.7</v>
      </c>
      <c r="J25" s="3">
        <v>0</v>
      </c>
      <c r="K25" s="3">
        <v>0</v>
      </c>
      <c r="L25" s="3">
        <v>0</v>
      </c>
      <c r="M25" s="3">
        <v>0.2</v>
      </c>
      <c r="N25" s="3">
        <v>1</v>
      </c>
      <c r="O25" s="3">
        <v>0</v>
      </c>
      <c r="P25" s="3">
        <v>-0.2</v>
      </c>
      <c r="Q25" s="3">
        <v>-0.271895211971107</v>
      </c>
      <c r="R25" s="3">
        <v>0</v>
      </c>
      <c r="S25" s="3">
        <v>-1</v>
      </c>
      <c r="T25" s="3">
        <v>0.42810478802889307</v>
      </c>
    </row>
    <row r="26" spans="3:20" x14ac:dyDescent="0.25">
      <c r="D26" t="s">
        <v>58</v>
      </c>
      <c r="E26" s="3">
        <v>0</v>
      </c>
      <c r="F26" s="3">
        <v>0</v>
      </c>
      <c r="G26" s="3">
        <v>0</v>
      </c>
      <c r="H26" s="3">
        <v>0</v>
      </c>
      <c r="I26" s="3">
        <v>0.7</v>
      </c>
      <c r="J26" s="3">
        <v>0</v>
      </c>
      <c r="K26" s="3">
        <v>0</v>
      </c>
      <c r="L26" s="3">
        <v>0</v>
      </c>
      <c r="M26" s="3">
        <v>0.2</v>
      </c>
      <c r="N26" s="3">
        <v>1</v>
      </c>
      <c r="O26" s="3">
        <v>0</v>
      </c>
      <c r="P26" s="3">
        <v>-0.2</v>
      </c>
      <c r="Q26" s="3">
        <v>-0.3</v>
      </c>
      <c r="R26" s="3">
        <v>0</v>
      </c>
      <c r="S26" s="3">
        <v>-1</v>
      </c>
      <c r="T26" s="3">
        <v>0.39999999999999991</v>
      </c>
    </row>
    <row r="27" spans="3:20" x14ac:dyDescent="0.25">
      <c r="D27" t="s">
        <v>59</v>
      </c>
      <c r="E27" s="3">
        <v>0</v>
      </c>
      <c r="F27" s="3">
        <v>0</v>
      </c>
      <c r="G27" s="3">
        <v>0</v>
      </c>
      <c r="H27" s="3">
        <v>0</v>
      </c>
      <c r="I27" s="3">
        <v>0.7</v>
      </c>
      <c r="J27" s="3">
        <v>0</v>
      </c>
      <c r="K27" s="3">
        <v>0</v>
      </c>
      <c r="L27" s="3">
        <v>0</v>
      </c>
      <c r="M27" s="3">
        <v>0.2</v>
      </c>
      <c r="N27" s="3">
        <v>1</v>
      </c>
      <c r="O27" s="3">
        <v>0</v>
      </c>
      <c r="P27" s="3">
        <v>-0.2</v>
      </c>
      <c r="Q27" s="3">
        <v>-0.3</v>
      </c>
      <c r="R27" s="3">
        <v>0</v>
      </c>
      <c r="S27" s="3">
        <v>-1</v>
      </c>
      <c r="T27" s="3">
        <v>0.39999999999999991</v>
      </c>
    </row>
    <row r="28" spans="3:20" x14ac:dyDescent="0.25">
      <c r="D28" t="s">
        <v>60</v>
      </c>
      <c r="E28" s="3">
        <v>0</v>
      </c>
      <c r="F28" s="3">
        <v>0</v>
      </c>
      <c r="G28" s="3">
        <v>0</v>
      </c>
      <c r="H28" s="3">
        <v>0</v>
      </c>
      <c r="I28" s="3">
        <v>0.7</v>
      </c>
      <c r="J28" s="3">
        <v>0</v>
      </c>
      <c r="K28" s="3">
        <v>0</v>
      </c>
      <c r="L28" s="3">
        <v>0</v>
      </c>
      <c r="M28" s="3">
        <v>0.2</v>
      </c>
      <c r="N28" s="3">
        <v>1</v>
      </c>
      <c r="O28" s="3">
        <v>0</v>
      </c>
      <c r="P28" s="3">
        <v>-0.2</v>
      </c>
      <c r="Q28" s="3">
        <v>-0.3</v>
      </c>
      <c r="R28" s="3">
        <v>0</v>
      </c>
      <c r="S28" s="3">
        <v>-1</v>
      </c>
      <c r="T28" s="3">
        <v>0.39999999999999991</v>
      </c>
    </row>
    <row r="29" spans="3:20" x14ac:dyDescent="0.25">
      <c r="D29" t="s">
        <v>61</v>
      </c>
      <c r="E29" s="3">
        <v>0</v>
      </c>
      <c r="F29" s="3">
        <v>0</v>
      </c>
      <c r="G29" s="3">
        <v>0</v>
      </c>
      <c r="H29" s="3">
        <v>0</v>
      </c>
      <c r="I29" s="3">
        <v>0.7</v>
      </c>
      <c r="J29" s="3">
        <v>0</v>
      </c>
      <c r="K29" s="3">
        <v>0</v>
      </c>
      <c r="L29" s="3">
        <v>0</v>
      </c>
      <c r="M29" s="3">
        <v>0.2</v>
      </c>
      <c r="N29" s="3">
        <v>1</v>
      </c>
      <c r="O29" s="3">
        <v>0</v>
      </c>
      <c r="P29" s="3">
        <v>-0.2</v>
      </c>
      <c r="Q29" s="3">
        <v>-0.3</v>
      </c>
      <c r="R29" s="3">
        <v>0</v>
      </c>
      <c r="S29" s="3">
        <v>-1</v>
      </c>
      <c r="T29" s="3">
        <v>0.39999999999999991</v>
      </c>
    </row>
    <row r="30" spans="3:20" x14ac:dyDescent="0.25">
      <c r="D30" t="s">
        <v>62</v>
      </c>
      <c r="E30" s="3">
        <v>0</v>
      </c>
      <c r="F30" s="3">
        <v>0</v>
      </c>
      <c r="G30" s="3">
        <v>0</v>
      </c>
      <c r="H30" s="3">
        <v>0</v>
      </c>
      <c r="I30" s="3">
        <v>0.7</v>
      </c>
      <c r="J30" s="3">
        <v>0</v>
      </c>
      <c r="K30" s="3">
        <v>0</v>
      </c>
      <c r="L30" s="3">
        <v>0</v>
      </c>
      <c r="M30" s="3">
        <v>0.2</v>
      </c>
      <c r="N30" s="3">
        <v>1</v>
      </c>
      <c r="O30" s="3">
        <v>0</v>
      </c>
      <c r="P30" s="3">
        <v>-0.2</v>
      </c>
      <c r="Q30" s="3">
        <v>-0.3</v>
      </c>
      <c r="R30" s="3">
        <v>0</v>
      </c>
      <c r="S30" s="3">
        <v>-1</v>
      </c>
      <c r="T30" s="3">
        <v>0.39999999999999991</v>
      </c>
    </row>
    <row r="31" spans="3:20" x14ac:dyDescent="0.25">
      <c r="C31" t="s">
        <v>144</v>
      </c>
      <c r="D31" t="s">
        <v>51</v>
      </c>
      <c r="E31" s="3">
        <v>0</v>
      </c>
      <c r="F31" s="3">
        <v>0</v>
      </c>
      <c r="G31" s="3">
        <v>0</v>
      </c>
      <c r="H31" s="3">
        <v>0</v>
      </c>
      <c r="I31" s="3">
        <v>0.7</v>
      </c>
      <c r="J31" s="3">
        <v>0</v>
      </c>
      <c r="K31" s="3">
        <v>0</v>
      </c>
      <c r="L31" s="3">
        <v>0</v>
      </c>
      <c r="M31" s="3">
        <v>0.2</v>
      </c>
      <c r="N31" s="3">
        <v>1</v>
      </c>
      <c r="O31" s="3">
        <v>0</v>
      </c>
      <c r="P31" s="3">
        <v>-0.2</v>
      </c>
      <c r="Q31" s="3">
        <v>-0.3</v>
      </c>
      <c r="R31" s="3">
        <v>0</v>
      </c>
      <c r="S31" s="3">
        <v>-1</v>
      </c>
      <c r="T31" s="3">
        <v>0.39999999999999991</v>
      </c>
    </row>
    <row r="32" spans="3:20" x14ac:dyDescent="0.25">
      <c r="D32" t="s">
        <v>52</v>
      </c>
      <c r="E32" s="3">
        <v>0</v>
      </c>
      <c r="F32" s="3">
        <v>0</v>
      </c>
      <c r="G32" s="3">
        <v>0</v>
      </c>
      <c r="H32" s="3">
        <v>0</v>
      </c>
      <c r="I32" s="3">
        <v>0.7</v>
      </c>
      <c r="J32" s="3">
        <v>0</v>
      </c>
      <c r="K32" s="3">
        <v>0</v>
      </c>
      <c r="L32" s="3">
        <v>0</v>
      </c>
      <c r="M32" s="3">
        <v>0.2</v>
      </c>
      <c r="N32" s="3">
        <v>1</v>
      </c>
      <c r="O32" s="3">
        <v>0</v>
      </c>
      <c r="P32" s="3">
        <v>-0.2</v>
      </c>
      <c r="Q32" s="3">
        <v>-0.3</v>
      </c>
      <c r="R32" s="3">
        <v>0</v>
      </c>
      <c r="S32" s="3">
        <v>-1</v>
      </c>
      <c r="T32" s="3">
        <v>0.39999999999999991</v>
      </c>
    </row>
    <row r="33" spans="3:20" x14ac:dyDescent="0.25">
      <c r="D33" t="s">
        <v>53</v>
      </c>
      <c r="E33" s="3">
        <v>0</v>
      </c>
      <c r="F33" s="3">
        <v>0</v>
      </c>
      <c r="G33" s="3">
        <v>0</v>
      </c>
      <c r="H33" s="3">
        <v>0</v>
      </c>
      <c r="I33" s="3">
        <v>0.7</v>
      </c>
      <c r="J33" s="3">
        <v>0</v>
      </c>
      <c r="K33" s="3">
        <v>0</v>
      </c>
      <c r="L33" s="3">
        <v>0</v>
      </c>
      <c r="M33" s="3">
        <v>0.2</v>
      </c>
      <c r="N33" s="3">
        <v>1</v>
      </c>
      <c r="O33" s="3">
        <v>0</v>
      </c>
      <c r="P33" s="3">
        <v>-0.2</v>
      </c>
      <c r="Q33" s="3">
        <v>-0.3</v>
      </c>
      <c r="R33" s="3">
        <v>0</v>
      </c>
      <c r="S33" s="3">
        <v>-1</v>
      </c>
      <c r="T33" s="3">
        <v>0.39999999999999991</v>
      </c>
    </row>
    <row r="34" spans="3:20" x14ac:dyDescent="0.25">
      <c r="D34" t="s">
        <v>54</v>
      </c>
      <c r="E34" s="3">
        <v>0</v>
      </c>
      <c r="F34" s="3">
        <v>0</v>
      </c>
      <c r="G34" s="3">
        <v>0</v>
      </c>
      <c r="H34" s="3">
        <v>0</v>
      </c>
      <c r="I34" s="3">
        <v>0.7</v>
      </c>
      <c r="J34" s="3">
        <v>0</v>
      </c>
      <c r="K34" s="3">
        <v>0</v>
      </c>
      <c r="L34" s="3">
        <v>0</v>
      </c>
      <c r="M34" s="3">
        <v>0.2</v>
      </c>
      <c r="N34" s="3">
        <v>1</v>
      </c>
      <c r="O34" s="3">
        <v>0</v>
      </c>
      <c r="P34" s="3">
        <v>-0.2</v>
      </c>
      <c r="Q34" s="3">
        <v>-0.3</v>
      </c>
      <c r="R34" s="3">
        <v>0</v>
      </c>
      <c r="S34" s="3">
        <v>-1</v>
      </c>
      <c r="T34" s="3">
        <v>0.39999999999999991</v>
      </c>
    </row>
    <row r="35" spans="3:20" x14ac:dyDescent="0.25">
      <c r="D35" t="s">
        <v>55</v>
      </c>
      <c r="E35" s="3">
        <v>0</v>
      </c>
      <c r="F35" s="3">
        <v>0</v>
      </c>
      <c r="G35" s="3">
        <v>0</v>
      </c>
      <c r="H35" s="3">
        <v>0</v>
      </c>
      <c r="I35" s="3">
        <v>0.7</v>
      </c>
      <c r="J35" s="3">
        <v>0</v>
      </c>
      <c r="K35" s="3">
        <v>0</v>
      </c>
      <c r="L35" s="3">
        <v>0</v>
      </c>
      <c r="M35" s="3">
        <v>0.2</v>
      </c>
      <c r="N35" s="3">
        <v>1</v>
      </c>
      <c r="O35" s="3">
        <v>0</v>
      </c>
      <c r="P35" s="3">
        <v>-0.2</v>
      </c>
      <c r="Q35" s="3">
        <v>-3.4639896059576597E-2</v>
      </c>
      <c r="R35" s="3">
        <v>0</v>
      </c>
      <c r="S35" s="3">
        <v>-1</v>
      </c>
      <c r="T35" s="3">
        <v>0.66536010394042333</v>
      </c>
    </row>
    <row r="36" spans="3:20" x14ac:dyDescent="0.25">
      <c r="D36" t="s">
        <v>56</v>
      </c>
      <c r="E36" s="3">
        <v>0</v>
      </c>
      <c r="F36" s="3">
        <v>0</v>
      </c>
      <c r="G36" s="3">
        <v>0</v>
      </c>
      <c r="H36" s="3">
        <v>0</v>
      </c>
      <c r="I36" s="3">
        <v>0.7</v>
      </c>
      <c r="J36" s="3">
        <v>0</v>
      </c>
      <c r="K36" s="3">
        <v>0</v>
      </c>
      <c r="L36" s="3">
        <v>0</v>
      </c>
      <c r="M36" s="3">
        <v>0.2</v>
      </c>
      <c r="N36" s="3">
        <v>1</v>
      </c>
      <c r="O36" s="3">
        <v>0</v>
      </c>
      <c r="P36" s="3">
        <v>-0.2</v>
      </c>
      <c r="Q36" s="3">
        <v>-3.4238347714794899E-2</v>
      </c>
      <c r="R36" s="3">
        <v>0</v>
      </c>
      <c r="S36" s="3">
        <v>-1</v>
      </c>
      <c r="T36" s="3">
        <v>0.66576165228520501</v>
      </c>
    </row>
    <row r="37" spans="3:20" x14ac:dyDescent="0.25">
      <c r="D37" t="s">
        <v>57</v>
      </c>
      <c r="E37" s="3">
        <v>0</v>
      </c>
      <c r="F37" s="3">
        <v>0</v>
      </c>
      <c r="G37" s="3">
        <v>0</v>
      </c>
      <c r="H37" s="3">
        <v>0</v>
      </c>
      <c r="I37" s="3">
        <v>0.7</v>
      </c>
      <c r="J37" s="3">
        <v>0</v>
      </c>
      <c r="K37" s="3">
        <v>0</v>
      </c>
      <c r="L37" s="3">
        <v>0</v>
      </c>
      <c r="M37" s="3">
        <v>9.6443864533619597E-2</v>
      </c>
      <c r="N37" s="3">
        <v>1</v>
      </c>
      <c r="O37" s="3">
        <v>0</v>
      </c>
      <c r="P37" s="3">
        <v>-9.6443864533619597E-2</v>
      </c>
      <c r="Q37" s="3">
        <v>-0.3</v>
      </c>
      <c r="R37" s="3">
        <v>0</v>
      </c>
      <c r="S37" s="3">
        <v>-1</v>
      </c>
      <c r="T37" s="3">
        <v>0.39999999999999991</v>
      </c>
    </row>
    <row r="38" spans="3:20" x14ac:dyDescent="0.25">
      <c r="D38" t="s">
        <v>58</v>
      </c>
      <c r="E38" s="3">
        <v>0</v>
      </c>
      <c r="F38" s="3">
        <v>0</v>
      </c>
      <c r="G38" s="3">
        <v>0</v>
      </c>
      <c r="H38" s="3">
        <v>0</v>
      </c>
      <c r="I38" s="3">
        <v>0.7</v>
      </c>
      <c r="J38" s="3">
        <v>0</v>
      </c>
      <c r="K38" s="3">
        <v>0</v>
      </c>
      <c r="L38" s="3">
        <v>0</v>
      </c>
      <c r="M38" s="3">
        <v>0.17547016450141101</v>
      </c>
      <c r="N38" s="3">
        <v>1</v>
      </c>
      <c r="O38" s="3">
        <v>0</v>
      </c>
      <c r="P38" s="3">
        <v>-0.17547016450141101</v>
      </c>
      <c r="Q38" s="3">
        <v>-0.3</v>
      </c>
      <c r="R38" s="3">
        <v>0</v>
      </c>
      <c r="S38" s="3">
        <v>-1</v>
      </c>
      <c r="T38" s="3">
        <v>0.39999999999999991</v>
      </c>
    </row>
    <row r="39" spans="3:20" x14ac:dyDescent="0.25">
      <c r="D39" t="s">
        <v>59</v>
      </c>
      <c r="E39" s="3">
        <v>0</v>
      </c>
      <c r="F39" s="3">
        <v>0</v>
      </c>
      <c r="G39" s="3">
        <v>0</v>
      </c>
      <c r="H39" s="3">
        <v>0</v>
      </c>
      <c r="I39" s="3">
        <v>0.7</v>
      </c>
      <c r="J39" s="3">
        <v>0</v>
      </c>
      <c r="K39" s="3">
        <v>0</v>
      </c>
      <c r="L39" s="3">
        <v>0</v>
      </c>
      <c r="M39" s="3">
        <v>0.2</v>
      </c>
      <c r="N39" s="3">
        <v>1</v>
      </c>
      <c r="O39" s="3">
        <v>0</v>
      </c>
      <c r="P39" s="3">
        <v>-0.2</v>
      </c>
      <c r="Q39" s="3">
        <v>-0.3</v>
      </c>
      <c r="R39" s="3">
        <v>0</v>
      </c>
      <c r="S39" s="3">
        <v>-1</v>
      </c>
      <c r="T39" s="3">
        <v>0.39999999999999991</v>
      </c>
    </row>
    <row r="40" spans="3:20" x14ac:dyDescent="0.25">
      <c r="D40" t="s">
        <v>60</v>
      </c>
      <c r="E40" s="3">
        <v>0</v>
      </c>
      <c r="F40" s="3">
        <v>0</v>
      </c>
      <c r="G40" s="3">
        <v>0</v>
      </c>
      <c r="H40" s="3">
        <v>0</v>
      </c>
      <c r="I40" s="3">
        <v>0.7</v>
      </c>
      <c r="J40" s="3">
        <v>0</v>
      </c>
      <c r="K40" s="3">
        <v>0</v>
      </c>
      <c r="L40" s="3">
        <v>0</v>
      </c>
      <c r="M40" s="3">
        <v>0.2</v>
      </c>
      <c r="N40" s="3">
        <v>1</v>
      </c>
      <c r="O40" s="3">
        <v>0</v>
      </c>
      <c r="P40" s="3">
        <v>-0.2</v>
      </c>
      <c r="Q40" s="3">
        <v>-0.3</v>
      </c>
      <c r="R40" s="3">
        <v>0</v>
      </c>
      <c r="S40" s="3">
        <v>-1</v>
      </c>
      <c r="T40" s="3">
        <v>0.39999999999999991</v>
      </c>
    </row>
    <row r="41" spans="3:20" x14ac:dyDescent="0.25">
      <c r="D41" t="s">
        <v>61</v>
      </c>
      <c r="E41" s="3">
        <v>0</v>
      </c>
      <c r="F41" s="3">
        <v>0</v>
      </c>
      <c r="G41" s="3">
        <v>0</v>
      </c>
      <c r="H41" s="3">
        <v>0</v>
      </c>
      <c r="I41" s="3">
        <v>0.7</v>
      </c>
      <c r="J41" s="3">
        <v>0</v>
      </c>
      <c r="K41" s="3">
        <v>0</v>
      </c>
      <c r="L41" s="3">
        <v>0</v>
      </c>
      <c r="M41" s="3">
        <v>0.2</v>
      </c>
      <c r="N41" s="3">
        <v>1</v>
      </c>
      <c r="O41" s="3">
        <v>0</v>
      </c>
      <c r="P41" s="3">
        <v>-0.2</v>
      </c>
      <c r="Q41" s="3">
        <v>-0.3</v>
      </c>
      <c r="R41" s="3">
        <v>0</v>
      </c>
      <c r="S41" s="3">
        <v>-1</v>
      </c>
      <c r="T41" s="3">
        <v>0.39999999999999991</v>
      </c>
    </row>
    <row r="42" spans="3:20" x14ac:dyDescent="0.25">
      <c r="D42" t="s">
        <v>62</v>
      </c>
      <c r="E42" s="3">
        <v>0</v>
      </c>
      <c r="F42" s="3">
        <v>0</v>
      </c>
      <c r="G42" s="3">
        <v>0</v>
      </c>
      <c r="H42" s="3">
        <v>0</v>
      </c>
      <c r="I42" s="3">
        <v>0.7</v>
      </c>
      <c r="J42" s="3">
        <v>0</v>
      </c>
      <c r="K42" s="3">
        <v>0</v>
      </c>
      <c r="L42" s="3">
        <v>0</v>
      </c>
      <c r="M42" s="3">
        <v>0.2</v>
      </c>
      <c r="N42" s="3">
        <v>1</v>
      </c>
      <c r="O42" s="3">
        <v>0</v>
      </c>
      <c r="P42" s="3">
        <v>-0.2</v>
      </c>
      <c r="Q42" s="3">
        <v>-0.3</v>
      </c>
      <c r="R42" s="3">
        <v>0</v>
      </c>
      <c r="S42" s="3">
        <v>-1</v>
      </c>
      <c r="T42" s="3">
        <v>0.39999999999999991</v>
      </c>
    </row>
    <row r="43" spans="3:20" x14ac:dyDescent="0.25">
      <c r="C43" t="s">
        <v>145</v>
      </c>
      <c r="D43" t="s">
        <v>51</v>
      </c>
      <c r="E43" s="3">
        <v>1.8864440374189</v>
      </c>
      <c r="F43" s="3">
        <v>0</v>
      </c>
      <c r="G43" s="3">
        <v>0</v>
      </c>
      <c r="H43" s="3">
        <v>0</v>
      </c>
      <c r="I43" s="3">
        <v>0.7</v>
      </c>
      <c r="J43" s="3">
        <v>-1.8864440374189</v>
      </c>
      <c r="K43" s="3">
        <v>0</v>
      </c>
      <c r="L43" s="3">
        <v>0</v>
      </c>
      <c r="M43" s="3">
        <v>0.2</v>
      </c>
      <c r="N43" s="3">
        <v>1</v>
      </c>
      <c r="O43" s="3">
        <v>0</v>
      </c>
      <c r="P43" s="3">
        <v>-0.2</v>
      </c>
      <c r="Q43" s="3">
        <v>-0.3</v>
      </c>
      <c r="R43" s="3">
        <v>0</v>
      </c>
      <c r="S43" s="3">
        <v>-1</v>
      </c>
      <c r="T43" s="3">
        <v>0.40000000000000013</v>
      </c>
    </row>
    <row r="44" spans="3:20" x14ac:dyDescent="0.25">
      <c r="D44" t="s">
        <v>52</v>
      </c>
      <c r="E44" s="3">
        <v>1.8340377062515201</v>
      </c>
      <c r="F44" s="3">
        <v>0</v>
      </c>
      <c r="G44" s="3">
        <v>0</v>
      </c>
      <c r="H44" s="3">
        <v>0</v>
      </c>
      <c r="I44" s="3">
        <v>0.7</v>
      </c>
      <c r="J44" s="3">
        <v>-1.8340377062515201</v>
      </c>
      <c r="K44" s="3">
        <v>0</v>
      </c>
      <c r="L44" s="3">
        <v>0</v>
      </c>
      <c r="M44" s="3">
        <v>0.2</v>
      </c>
      <c r="N44" s="3">
        <v>1</v>
      </c>
      <c r="O44" s="3">
        <v>0</v>
      </c>
      <c r="P44" s="3">
        <v>-0.2</v>
      </c>
      <c r="Q44" s="3">
        <v>-0.28992694954044301</v>
      </c>
      <c r="R44" s="3">
        <v>0</v>
      </c>
      <c r="S44" s="3">
        <v>-1</v>
      </c>
      <c r="T44" s="3">
        <v>0.41007305045955689</v>
      </c>
    </row>
    <row r="45" spans="3:20" x14ac:dyDescent="0.25">
      <c r="D45" t="s">
        <v>53</v>
      </c>
      <c r="E45" s="3">
        <v>1.83159795410309</v>
      </c>
      <c r="F45" s="3">
        <v>0</v>
      </c>
      <c r="G45" s="3">
        <v>0</v>
      </c>
      <c r="H45" s="3">
        <v>0</v>
      </c>
      <c r="I45" s="3">
        <v>0.7</v>
      </c>
      <c r="J45" s="3">
        <v>-1.83159795410309</v>
      </c>
      <c r="K45" s="3">
        <v>0</v>
      </c>
      <c r="L45" s="3">
        <v>0</v>
      </c>
      <c r="M45" s="3">
        <v>0.2</v>
      </c>
      <c r="N45" s="3">
        <v>1</v>
      </c>
      <c r="O45" s="3">
        <v>0</v>
      </c>
      <c r="P45" s="3">
        <v>-0.2</v>
      </c>
      <c r="Q45" s="3">
        <v>-0.28265341379300601</v>
      </c>
      <c r="R45" s="3">
        <v>0</v>
      </c>
      <c r="S45" s="3">
        <v>-1</v>
      </c>
      <c r="T45" s="3">
        <v>0.41734658620699383</v>
      </c>
    </row>
    <row r="46" spans="3:20" x14ac:dyDescent="0.25">
      <c r="D46" t="s">
        <v>54</v>
      </c>
      <c r="E46" s="3">
        <v>0</v>
      </c>
      <c r="F46" s="3">
        <v>0</v>
      </c>
      <c r="G46" s="3">
        <v>0</v>
      </c>
      <c r="H46" s="3">
        <v>0</v>
      </c>
      <c r="I46" s="3">
        <v>0.7</v>
      </c>
      <c r="J46" s="3">
        <v>0</v>
      </c>
      <c r="K46" s="3">
        <v>0</v>
      </c>
      <c r="L46" s="3">
        <v>0</v>
      </c>
      <c r="M46" s="3">
        <v>0.2</v>
      </c>
      <c r="N46" s="3">
        <v>1</v>
      </c>
      <c r="O46" s="3">
        <v>0</v>
      </c>
      <c r="P46" s="3">
        <v>-0.2</v>
      </c>
      <c r="Q46" s="3">
        <v>-0.28829779997702898</v>
      </c>
      <c r="R46" s="3">
        <v>0</v>
      </c>
      <c r="S46" s="3">
        <v>-1</v>
      </c>
      <c r="T46" s="3">
        <v>0.41170220002297109</v>
      </c>
    </row>
    <row r="47" spans="3:20" x14ac:dyDescent="0.25">
      <c r="D47" t="s">
        <v>55</v>
      </c>
      <c r="E47" s="3">
        <v>0</v>
      </c>
      <c r="F47" s="3">
        <v>0</v>
      </c>
      <c r="G47" s="3">
        <v>0</v>
      </c>
      <c r="H47" s="3">
        <v>0</v>
      </c>
      <c r="I47" s="3">
        <v>0.7</v>
      </c>
      <c r="J47" s="3">
        <v>0</v>
      </c>
      <c r="K47" s="3">
        <v>0</v>
      </c>
      <c r="L47" s="3">
        <v>0</v>
      </c>
      <c r="M47" s="3">
        <v>0.2</v>
      </c>
      <c r="N47" s="3">
        <v>1</v>
      </c>
      <c r="O47" s="3">
        <v>0</v>
      </c>
      <c r="P47" s="3">
        <v>-0.2</v>
      </c>
      <c r="Q47" s="3">
        <v>-0.3</v>
      </c>
      <c r="R47" s="3">
        <v>0</v>
      </c>
      <c r="S47" s="3">
        <v>-1</v>
      </c>
      <c r="T47" s="3">
        <v>0.39999999999999991</v>
      </c>
    </row>
    <row r="48" spans="3:20" x14ac:dyDescent="0.25">
      <c r="D48" t="s">
        <v>56</v>
      </c>
      <c r="E48" s="3">
        <v>0</v>
      </c>
      <c r="F48" s="3">
        <v>0</v>
      </c>
      <c r="G48" s="3">
        <v>0</v>
      </c>
      <c r="H48" s="3">
        <v>0</v>
      </c>
      <c r="I48" s="3">
        <v>0.7</v>
      </c>
      <c r="J48" s="3">
        <v>0</v>
      </c>
      <c r="K48" s="3">
        <v>0</v>
      </c>
      <c r="L48" s="3">
        <v>0</v>
      </c>
      <c r="M48" s="3">
        <v>0.2</v>
      </c>
      <c r="N48" s="3">
        <v>1</v>
      </c>
      <c r="O48" s="3">
        <v>0</v>
      </c>
      <c r="P48" s="3">
        <v>-0.2</v>
      </c>
      <c r="Q48" s="3">
        <v>-0.3</v>
      </c>
      <c r="R48" s="3">
        <v>0</v>
      </c>
      <c r="S48" s="3">
        <v>-1</v>
      </c>
      <c r="T48" s="3">
        <v>0.39999999999999991</v>
      </c>
    </row>
    <row r="49" spans="3:20" x14ac:dyDescent="0.25">
      <c r="D49" t="s">
        <v>57</v>
      </c>
      <c r="E49" s="3">
        <v>0</v>
      </c>
      <c r="F49" s="3">
        <v>0</v>
      </c>
      <c r="G49" s="3">
        <v>0</v>
      </c>
      <c r="H49" s="3">
        <v>0</v>
      </c>
      <c r="I49" s="3">
        <v>0.7</v>
      </c>
      <c r="J49" s="3">
        <v>0</v>
      </c>
      <c r="K49" s="3">
        <v>0</v>
      </c>
      <c r="L49" s="3">
        <v>0</v>
      </c>
      <c r="M49" s="3">
        <v>0.2</v>
      </c>
      <c r="N49" s="3">
        <v>1</v>
      </c>
      <c r="O49" s="3">
        <v>0</v>
      </c>
      <c r="P49" s="3">
        <v>-0.2</v>
      </c>
      <c r="Q49" s="3">
        <v>-0.3</v>
      </c>
      <c r="R49" s="3">
        <v>0</v>
      </c>
      <c r="S49" s="3">
        <v>-1</v>
      </c>
      <c r="T49" s="3">
        <v>0.39999999999999991</v>
      </c>
    </row>
    <row r="50" spans="3:20" x14ac:dyDescent="0.25">
      <c r="D50" t="s">
        <v>58</v>
      </c>
      <c r="E50" s="3">
        <v>0</v>
      </c>
      <c r="F50" s="3">
        <v>0</v>
      </c>
      <c r="G50" s="3">
        <v>0</v>
      </c>
      <c r="H50" s="3">
        <v>0</v>
      </c>
      <c r="I50" s="3">
        <v>0.7</v>
      </c>
      <c r="J50" s="3">
        <v>0</v>
      </c>
      <c r="K50" s="3">
        <v>0</v>
      </c>
      <c r="L50" s="3">
        <v>0</v>
      </c>
      <c r="M50" s="3">
        <v>0.2</v>
      </c>
      <c r="N50" s="3">
        <v>1</v>
      </c>
      <c r="O50" s="3">
        <v>0</v>
      </c>
      <c r="P50" s="3">
        <v>-0.2</v>
      </c>
      <c r="Q50" s="3">
        <v>-0.3</v>
      </c>
      <c r="R50" s="3">
        <v>0</v>
      </c>
      <c r="S50" s="3">
        <v>-1</v>
      </c>
      <c r="T50" s="3">
        <v>0.39999999999999991</v>
      </c>
    </row>
    <row r="51" spans="3:20" x14ac:dyDescent="0.25">
      <c r="D51" t="s">
        <v>59</v>
      </c>
      <c r="E51" s="3">
        <v>0</v>
      </c>
      <c r="F51" s="3">
        <v>0</v>
      </c>
      <c r="G51" s="3">
        <v>0</v>
      </c>
      <c r="H51" s="3">
        <v>0</v>
      </c>
      <c r="I51" s="3">
        <v>0.7</v>
      </c>
      <c r="J51" s="3">
        <v>0</v>
      </c>
      <c r="K51" s="3">
        <v>0</v>
      </c>
      <c r="L51" s="3">
        <v>0</v>
      </c>
      <c r="M51" s="3">
        <v>0.2</v>
      </c>
      <c r="N51" s="3">
        <v>1</v>
      </c>
      <c r="O51" s="3">
        <v>0</v>
      </c>
      <c r="P51" s="3">
        <v>-0.2</v>
      </c>
      <c r="Q51" s="3">
        <v>-0.3</v>
      </c>
      <c r="R51" s="3">
        <v>0</v>
      </c>
      <c r="S51" s="3">
        <v>-1</v>
      </c>
      <c r="T51" s="3">
        <v>0.39999999999999991</v>
      </c>
    </row>
    <row r="52" spans="3:20" x14ac:dyDescent="0.25">
      <c r="D52" t="s">
        <v>60</v>
      </c>
      <c r="E52" s="3">
        <v>1.1247056506958999</v>
      </c>
      <c r="F52" s="3">
        <v>0</v>
      </c>
      <c r="G52" s="3">
        <v>0</v>
      </c>
      <c r="H52" s="3">
        <v>-1</v>
      </c>
      <c r="I52" s="3">
        <v>0.7</v>
      </c>
      <c r="J52" s="3">
        <v>-1.1247056506958999</v>
      </c>
      <c r="K52" s="3">
        <v>0</v>
      </c>
      <c r="L52" s="3">
        <v>0</v>
      </c>
      <c r="M52" s="3">
        <v>0.2</v>
      </c>
      <c r="N52" s="3">
        <v>1</v>
      </c>
      <c r="O52" s="3">
        <v>0</v>
      </c>
      <c r="P52" s="3">
        <v>-0.2</v>
      </c>
      <c r="Q52" s="3">
        <v>-0.3</v>
      </c>
      <c r="R52" s="3">
        <v>0</v>
      </c>
      <c r="S52" s="3">
        <v>-1</v>
      </c>
      <c r="T52" s="3">
        <v>-0.60000000000000009</v>
      </c>
    </row>
    <row r="53" spans="3:20" x14ac:dyDescent="0.25">
      <c r="D53" t="s">
        <v>61</v>
      </c>
      <c r="E53" s="3">
        <v>1.4889965496380799</v>
      </c>
      <c r="F53" s="3">
        <v>0</v>
      </c>
      <c r="G53" s="3">
        <v>0</v>
      </c>
      <c r="H53" s="3">
        <v>-1</v>
      </c>
      <c r="I53" s="3">
        <v>0.7</v>
      </c>
      <c r="J53" s="3">
        <v>-1.4889965496380799</v>
      </c>
      <c r="K53" s="3">
        <v>0</v>
      </c>
      <c r="L53" s="3">
        <v>0</v>
      </c>
      <c r="M53" s="3">
        <v>0.2</v>
      </c>
      <c r="N53" s="3">
        <v>1</v>
      </c>
      <c r="O53" s="3">
        <v>0</v>
      </c>
      <c r="P53" s="3">
        <v>-0.2</v>
      </c>
      <c r="Q53" s="3">
        <v>-0.3</v>
      </c>
      <c r="R53" s="3">
        <v>0</v>
      </c>
      <c r="S53" s="3">
        <v>-1</v>
      </c>
      <c r="T53" s="3">
        <v>-0.60000000000000009</v>
      </c>
    </row>
    <row r="54" spans="3:20" x14ac:dyDescent="0.25">
      <c r="D54" t="s">
        <v>62</v>
      </c>
      <c r="E54" s="3">
        <v>1.4453873560046</v>
      </c>
      <c r="F54" s="3">
        <v>0</v>
      </c>
      <c r="G54" s="3">
        <v>0</v>
      </c>
      <c r="H54" s="3">
        <v>-1</v>
      </c>
      <c r="I54" s="3">
        <v>0.7</v>
      </c>
      <c r="J54" s="3">
        <v>-1.4453873560046</v>
      </c>
      <c r="K54" s="3">
        <v>0</v>
      </c>
      <c r="L54" s="3">
        <v>0</v>
      </c>
      <c r="M54" s="3">
        <v>0.2</v>
      </c>
      <c r="N54" s="3">
        <v>1</v>
      </c>
      <c r="O54" s="3">
        <v>0</v>
      </c>
      <c r="P54" s="3">
        <v>-0.2</v>
      </c>
      <c r="Q54" s="3">
        <v>-0.3</v>
      </c>
      <c r="R54" s="3">
        <v>0</v>
      </c>
      <c r="S54" s="3">
        <v>-1</v>
      </c>
      <c r="T54" s="3">
        <v>-0.60000000000000009</v>
      </c>
    </row>
    <row r="55" spans="3:20" x14ac:dyDescent="0.25">
      <c r="C55" t="s">
        <v>146</v>
      </c>
      <c r="D55" t="s">
        <v>51</v>
      </c>
      <c r="E55" s="3">
        <v>0</v>
      </c>
      <c r="F55" s="3">
        <v>0</v>
      </c>
      <c r="G55" s="3">
        <v>2.145</v>
      </c>
      <c r="H55" s="3">
        <v>1</v>
      </c>
      <c r="I55" s="3">
        <v>0.7</v>
      </c>
      <c r="J55" s="3">
        <v>0</v>
      </c>
      <c r="K55" s="3">
        <v>0</v>
      </c>
      <c r="L55" s="3">
        <v>0</v>
      </c>
      <c r="M55" s="3">
        <v>0</v>
      </c>
      <c r="N55" s="3">
        <v>0</v>
      </c>
      <c r="O55" s="3">
        <v>0.6</v>
      </c>
      <c r="P55" s="3">
        <v>0</v>
      </c>
      <c r="Q55" s="3">
        <v>0.25</v>
      </c>
      <c r="R55" s="3">
        <v>0</v>
      </c>
      <c r="S55" s="3">
        <v>0</v>
      </c>
      <c r="T55" s="3">
        <v>4.6949999999999994</v>
      </c>
    </row>
    <row r="56" spans="3:20" x14ac:dyDescent="0.25">
      <c r="D56" t="s">
        <v>52</v>
      </c>
      <c r="E56" s="3">
        <v>0</v>
      </c>
      <c r="F56" s="3">
        <v>0</v>
      </c>
      <c r="G56" s="3">
        <v>2.145</v>
      </c>
      <c r="H56" s="3">
        <v>1</v>
      </c>
      <c r="I56" s="3">
        <v>0.7</v>
      </c>
      <c r="J56" s="3">
        <v>0</v>
      </c>
      <c r="K56" s="3">
        <v>0</v>
      </c>
      <c r="L56" s="3">
        <v>0</v>
      </c>
      <c r="M56" s="3">
        <v>0</v>
      </c>
      <c r="N56" s="3">
        <v>0</v>
      </c>
      <c r="O56" s="3">
        <v>0.6</v>
      </c>
      <c r="P56" s="3">
        <v>0</v>
      </c>
      <c r="Q56" s="3">
        <v>0.25</v>
      </c>
      <c r="R56" s="3">
        <v>0</v>
      </c>
      <c r="S56" s="3">
        <v>0</v>
      </c>
      <c r="T56" s="3">
        <v>4.6949999999999994</v>
      </c>
    </row>
    <row r="57" spans="3:20" x14ac:dyDescent="0.25">
      <c r="D57" t="s">
        <v>53</v>
      </c>
      <c r="E57" s="3">
        <v>0</v>
      </c>
      <c r="F57" s="3">
        <v>0</v>
      </c>
      <c r="G57" s="3">
        <v>2.145</v>
      </c>
      <c r="H57" s="3">
        <v>1</v>
      </c>
      <c r="I57" s="3">
        <v>0.7</v>
      </c>
      <c r="J57" s="3">
        <v>0</v>
      </c>
      <c r="K57" s="3">
        <v>0</v>
      </c>
      <c r="L57" s="3">
        <v>0</v>
      </c>
      <c r="M57" s="3">
        <v>0</v>
      </c>
      <c r="N57" s="3">
        <v>0</v>
      </c>
      <c r="O57" s="3">
        <v>0.6</v>
      </c>
      <c r="P57" s="3">
        <v>0</v>
      </c>
      <c r="Q57" s="3">
        <v>0.25</v>
      </c>
      <c r="R57" s="3">
        <v>0</v>
      </c>
      <c r="S57" s="3">
        <v>0</v>
      </c>
      <c r="T57" s="3">
        <v>4.6949999999999994</v>
      </c>
    </row>
    <row r="58" spans="3:20" x14ac:dyDescent="0.25">
      <c r="D58" t="s">
        <v>54</v>
      </c>
      <c r="E58" s="3">
        <v>0</v>
      </c>
      <c r="F58" s="3">
        <v>0</v>
      </c>
      <c r="G58" s="3">
        <v>2.145</v>
      </c>
      <c r="H58" s="3">
        <v>1</v>
      </c>
      <c r="I58" s="3">
        <v>0.7</v>
      </c>
      <c r="J58" s="3">
        <v>0</v>
      </c>
      <c r="K58" s="3">
        <v>0</v>
      </c>
      <c r="L58" s="3">
        <v>0</v>
      </c>
      <c r="M58" s="3">
        <v>0</v>
      </c>
      <c r="N58" s="3">
        <v>0</v>
      </c>
      <c r="O58" s="3">
        <v>0.6</v>
      </c>
      <c r="P58" s="3">
        <v>0</v>
      </c>
      <c r="Q58" s="3">
        <v>0.25</v>
      </c>
      <c r="R58" s="3">
        <v>0</v>
      </c>
      <c r="S58" s="3">
        <v>0</v>
      </c>
      <c r="T58" s="3">
        <v>4.6949999999999994</v>
      </c>
    </row>
    <row r="59" spans="3:20" x14ac:dyDescent="0.25">
      <c r="D59" t="s">
        <v>55</v>
      </c>
      <c r="E59" s="3">
        <v>0</v>
      </c>
      <c r="F59" s="3">
        <v>0</v>
      </c>
      <c r="G59" s="3">
        <v>2.145</v>
      </c>
      <c r="H59" s="3">
        <v>1</v>
      </c>
      <c r="I59" s="3">
        <v>0.7</v>
      </c>
      <c r="J59" s="3">
        <v>0</v>
      </c>
      <c r="K59" s="3">
        <v>0</v>
      </c>
      <c r="L59" s="3">
        <v>0</v>
      </c>
      <c r="M59" s="3">
        <v>0</v>
      </c>
      <c r="N59" s="3">
        <v>0</v>
      </c>
      <c r="O59" s="3">
        <v>0.6</v>
      </c>
      <c r="P59" s="3">
        <v>0</v>
      </c>
      <c r="Q59" s="3">
        <v>0.25</v>
      </c>
      <c r="R59" s="3">
        <v>0</v>
      </c>
      <c r="S59" s="3">
        <v>0</v>
      </c>
      <c r="T59" s="3">
        <v>4.6949999999999994</v>
      </c>
    </row>
    <row r="60" spans="3:20" x14ac:dyDescent="0.25">
      <c r="D60" t="s">
        <v>56</v>
      </c>
      <c r="E60" s="3">
        <v>0</v>
      </c>
      <c r="F60" s="3">
        <v>0</v>
      </c>
      <c r="G60" s="3">
        <v>2.145</v>
      </c>
      <c r="H60" s="3">
        <v>1</v>
      </c>
      <c r="I60" s="3">
        <v>0.7</v>
      </c>
      <c r="J60" s="3">
        <v>0</v>
      </c>
      <c r="K60" s="3">
        <v>0</v>
      </c>
      <c r="L60" s="3">
        <v>0</v>
      </c>
      <c r="M60" s="3">
        <v>0</v>
      </c>
      <c r="N60" s="3">
        <v>0</v>
      </c>
      <c r="O60" s="3">
        <v>0.6</v>
      </c>
      <c r="P60" s="3">
        <v>0</v>
      </c>
      <c r="Q60" s="3">
        <v>0.25</v>
      </c>
      <c r="R60" s="3">
        <v>0</v>
      </c>
      <c r="S60" s="3">
        <v>0</v>
      </c>
      <c r="T60" s="3">
        <v>4.6949999999999994</v>
      </c>
    </row>
    <row r="61" spans="3:20" x14ac:dyDescent="0.25">
      <c r="D61" t="s">
        <v>57</v>
      </c>
      <c r="E61" s="3">
        <v>0</v>
      </c>
      <c r="F61" s="3">
        <v>0</v>
      </c>
      <c r="G61" s="3">
        <v>2.145</v>
      </c>
      <c r="H61" s="3">
        <v>1</v>
      </c>
      <c r="I61" s="3">
        <v>0.7</v>
      </c>
      <c r="J61" s="3">
        <v>0</v>
      </c>
      <c r="K61" s="3">
        <v>0</v>
      </c>
      <c r="L61" s="3">
        <v>0</v>
      </c>
      <c r="M61" s="3">
        <v>0</v>
      </c>
      <c r="N61" s="3">
        <v>0</v>
      </c>
      <c r="O61" s="3">
        <v>0.6</v>
      </c>
      <c r="P61" s="3">
        <v>0</v>
      </c>
      <c r="Q61" s="3">
        <v>0.25</v>
      </c>
      <c r="R61" s="3">
        <v>0</v>
      </c>
      <c r="S61" s="3">
        <v>0</v>
      </c>
      <c r="T61" s="3">
        <v>4.6949999999999994</v>
      </c>
    </row>
    <row r="62" spans="3:20" x14ac:dyDescent="0.25">
      <c r="D62" t="s">
        <v>58</v>
      </c>
      <c r="E62" s="3">
        <v>-0.50740819583282204</v>
      </c>
      <c r="F62" s="3">
        <v>0</v>
      </c>
      <c r="G62" s="3">
        <v>2.145</v>
      </c>
      <c r="H62" s="3">
        <v>1</v>
      </c>
      <c r="I62" s="3">
        <v>0.7</v>
      </c>
      <c r="J62" s="3">
        <v>0.50740819583282204</v>
      </c>
      <c r="K62" s="3">
        <v>0</v>
      </c>
      <c r="L62" s="3">
        <v>0</v>
      </c>
      <c r="M62" s="3">
        <v>-0.107345975967705</v>
      </c>
      <c r="N62" s="3">
        <v>0</v>
      </c>
      <c r="O62" s="3">
        <v>0.6</v>
      </c>
      <c r="P62" s="3">
        <v>0.107345975967705</v>
      </c>
      <c r="Q62" s="3">
        <v>0.25</v>
      </c>
      <c r="R62" s="3">
        <v>0</v>
      </c>
      <c r="S62" s="3">
        <v>0</v>
      </c>
      <c r="T62" s="3">
        <v>4.6950000000000003</v>
      </c>
    </row>
    <row r="63" spans="3:20" x14ac:dyDescent="0.25">
      <c r="D63" t="s">
        <v>59</v>
      </c>
      <c r="E63" s="3">
        <v>-0.69028881645141804</v>
      </c>
      <c r="F63" s="3">
        <v>0</v>
      </c>
      <c r="G63" s="3">
        <v>2.145</v>
      </c>
      <c r="H63" s="3">
        <v>1</v>
      </c>
      <c r="I63" s="3">
        <v>0.7</v>
      </c>
      <c r="J63" s="3">
        <v>0.69028881645141804</v>
      </c>
      <c r="K63" s="3">
        <v>0</v>
      </c>
      <c r="L63" s="3">
        <v>0</v>
      </c>
      <c r="M63" s="3">
        <v>-0.25210214032056899</v>
      </c>
      <c r="N63" s="3">
        <v>0</v>
      </c>
      <c r="O63" s="3">
        <v>0.6</v>
      </c>
      <c r="P63" s="3">
        <v>0.25210214032056899</v>
      </c>
      <c r="Q63" s="3">
        <v>0.25</v>
      </c>
      <c r="R63" s="3">
        <v>0</v>
      </c>
      <c r="S63" s="3">
        <v>0</v>
      </c>
      <c r="T63" s="3">
        <v>4.6950000000000003</v>
      </c>
    </row>
    <row r="64" spans="3:20" x14ac:dyDescent="0.25">
      <c r="D64" t="s">
        <v>60</v>
      </c>
      <c r="E64" s="3">
        <v>-0.640412283555437</v>
      </c>
      <c r="F64" s="3">
        <v>0</v>
      </c>
      <c r="G64" s="3">
        <v>2.145</v>
      </c>
      <c r="H64" s="3">
        <v>1</v>
      </c>
      <c r="I64" s="3">
        <v>0.7</v>
      </c>
      <c r="J64" s="3">
        <v>0.640412283555437</v>
      </c>
      <c r="K64" s="3">
        <v>0</v>
      </c>
      <c r="L64" s="3">
        <v>0</v>
      </c>
      <c r="M64" s="3">
        <v>-0.24332204577687899</v>
      </c>
      <c r="N64" s="3">
        <v>0</v>
      </c>
      <c r="O64" s="3">
        <v>0.6</v>
      </c>
      <c r="P64" s="3">
        <v>0.24332204577687899</v>
      </c>
      <c r="Q64" s="3">
        <v>0.25</v>
      </c>
      <c r="R64" s="3">
        <v>0</v>
      </c>
      <c r="S64" s="3">
        <v>0</v>
      </c>
      <c r="T64" s="3">
        <v>4.6950000000000003</v>
      </c>
    </row>
    <row r="65" spans="3:20" x14ac:dyDescent="0.25">
      <c r="D65" t="s">
        <v>61</v>
      </c>
      <c r="E65" s="3">
        <v>-0.61666155360497099</v>
      </c>
      <c r="F65" s="3">
        <v>0</v>
      </c>
      <c r="G65" s="3">
        <v>2.145</v>
      </c>
      <c r="H65" s="3">
        <v>1</v>
      </c>
      <c r="I65" s="3">
        <v>0.7</v>
      </c>
      <c r="J65" s="3">
        <v>0.61666155360497099</v>
      </c>
      <c r="K65" s="3">
        <v>0</v>
      </c>
      <c r="L65" s="3">
        <v>0</v>
      </c>
      <c r="M65" s="3">
        <v>-0.206364397103633</v>
      </c>
      <c r="N65" s="3">
        <v>0</v>
      </c>
      <c r="O65" s="3">
        <v>0.6</v>
      </c>
      <c r="P65" s="3">
        <v>0.206364397103633</v>
      </c>
      <c r="Q65" s="3">
        <v>0.25</v>
      </c>
      <c r="R65" s="3">
        <v>0</v>
      </c>
      <c r="S65" s="3">
        <v>0</v>
      </c>
      <c r="T65" s="3">
        <v>4.6950000000000003</v>
      </c>
    </row>
    <row r="66" spans="3:20" x14ac:dyDescent="0.25">
      <c r="D66" t="s">
        <v>62</v>
      </c>
      <c r="E66" s="3">
        <v>-0.58182714967761895</v>
      </c>
      <c r="F66" s="3">
        <v>0</v>
      </c>
      <c r="G66" s="3">
        <v>2.145</v>
      </c>
      <c r="H66" s="3">
        <v>1</v>
      </c>
      <c r="I66" s="3">
        <v>0.7</v>
      </c>
      <c r="J66" s="3">
        <v>0.58182714967761895</v>
      </c>
      <c r="K66" s="3">
        <v>0</v>
      </c>
      <c r="L66" s="3">
        <v>0</v>
      </c>
      <c r="M66" s="3">
        <v>-0.16106630222415699</v>
      </c>
      <c r="N66" s="3">
        <v>0</v>
      </c>
      <c r="O66" s="3">
        <v>0.6</v>
      </c>
      <c r="P66" s="3">
        <v>0.16106630222415699</v>
      </c>
      <c r="Q66" s="3">
        <v>0.25</v>
      </c>
      <c r="R66" s="3">
        <v>0</v>
      </c>
      <c r="S66" s="3">
        <v>0</v>
      </c>
      <c r="T66" s="3">
        <v>4.6949999999999994</v>
      </c>
    </row>
    <row r="67" spans="3:20" x14ac:dyDescent="0.25">
      <c r="C67" t="s">
        <v>179</v>
      </c>
      <c r="D67" t="s">
        <v>51</v>
      </c>
      <c r="E67" s="3">
        <v>0</v>
      </c>
      <c r="F67" s="3">
        <v>0</v>
      </c>
      <c r="G67" s="3">
        <v>2.145</v>
      </c>
      <c r="H67" s="3">
        <v>1</v>
      </c>
      <c r="I67" s="3">
        <v>0.7</v>
      </c>
      <c r="J67" s="3">
        <v>0</v>
      </c>
      <c r="K67" s="3">
        <v>0</v>
      </c>
      <c r="L67" s="3">
        <v>0</v>
      </c>
      <c r="M67" s="3">
        <v>0</v>
      </c>
      <c r="N67" s="3">
        <v>0</v>
      </c>
      <c r="O67" s="3">
        <v>0.6</v>
      </c>
      <c r="P67" s="3">
        <v>0</v>
      </c>
      <c r="Q67" s="3">
        <v>0.25</v>
      </c>
      <c r="R67" s="3">
        <v>0</v>
      </c>
      <c r="S67" s="3">
        <v>0</v>
      </c>
      <c r="T67" s="3">
        <v>4.6949999999999994</v>
      </c>
    </row>
    <row r="68" spans="3:20" x14ac:dyDescent="0.25">
      <c r="D68" t="s">
        <v>52</v>
      </c>
      <c r="E68" s="3">
        <v>0</v>
      </c>
      <c r="F68" s="3">
        <v>0</v>
      </c>
      <c r="G68" s="3">
        <v>2.145</v>
      </c>
      <c r="H68" s="3">
        <v>1</v>
      </c>
      <c r="I68" s="3">
        <v>0.7</v>
      </c>
      <c r="J68" s="3">
        <v>0</v>
      </c>
      <c r="K68" s="3">
        <v>0</v>
      </c>
      <c r="L68" s="3">
        <v>0</v>
      </c>
      <c r="M68" s="3">
        <v>0</v>
      </c>
      <c r="N68" s="3">
        <v>0</v>
      </c>
      <c r="O68" s="3">
        <v>0.6</v>
      </c>
      <c r="P68" s="3">
        <v>0</v>
      </c>
      <c r="Q68" s="3">
        <v>0.25</v>
      </c>
      <c r="R68" s="3">
        <v>0</v>
      </c>
      <c r="S68" s="3">
        <v>0</v>
      </c>
      <c r="T68" s="3">
        <v>4.6949999999999994</v>
      </c>
    </row>
    <row r="69" spans="3:20" x14ac:dyDescent="0.25">
      <c r="D69" t="s">
        <v>53</v>
      </c>
      <c r="E69" s="3">
        <v>0</v>
      </c>
      <c r="F69" s="3">
        <v>0</v>
      </c>
      <c r="G69" s="3">
        <v>2.145</v>
      </c>
      <c r="H69" s="3">
        <v>1</v>
      </c>
      <c r="I69" s="3">
        <v>0.7</v>
      </c>
      <c r="J69" s="3">
        <v>0</v>
      </c>
      <c r="K69" s="3">
        <v>0</v>
      </c>
      <c r="L69" s="3">
        <v>0</v>
      </c>
      <c r="M69" s="3">
        <v>0</v>
      </c>
      <c r="N69" s="3">
        <v>0</v>
      </c>
      <c r="O69" s="3">
        <v>0.6</v>
      </c>
      <c r="P69" s="3">
        <v>0</v>
      </c>
      <c r="Q69" s="3">
        <v>0.25</v>
      </c>
      <c r="R69" s="3">
        <v>0</v>
      </c>
      <c r="S69" s="3">
        <v>0</v>
      </c>
      <c r="T69" s="3">
        <v>4.6949999999999994</v>
      </c>
    </row>
    <row r="70" spans="3:20" x14ac:dyDescent="0.25">
      <c r="D70" t="s">
        <v>54</v>
      </c>
      <c r="E70" s="3">
        <v>0</v>
      </c>
      <c r="F70" s="3">
        <v>0</v>
      </c>
      <c r="G70" s="3">
        <v>2.145</v>
      </c>
      <c r="H70" s="3">
        <v>1</v>
      </c>
      <c r="I70" s="3">
        <v>0.7</v>
      </c>
      <c r="J70" s="3">
        <v>0</v>
      </c>
      <c r="K70" s="3">
        <v>0</v>
      </c>
      <c r="L70" s="3">
        <v>0</v>
      </c>
      <c r="M70" s="3">
        <v>0</v>
      </c>
      <c r="N70" s="3">
        <v>0</v>
      </c>
      <c r="O70" s="3">
        <v>0.6</v>
      </c>
      <c r="P70" s="3">
        <v>0</v>
      </c>
      <c r="Q70" s="3">
        <v>0.25</v>
      </c>
      <c r="R70" s="3">
        <v>0</v>
      </c>
      <c r="S70" s="3">
        <v>0</v>
      </c>
      <c r="T70" s="3">
        <v>4.6949999999999994</v>
      </c>
    </row>
    <row r="71" spans="3:20" x14ac:dyDescent="0.25">
      <c r="D71" t="s">
        <v>55</v>
      </c>
      <c r="E71" s="3">
        <v>0</v>
      </c>
      <c r="F71" s="3">
        <v>0</v>
      </c>
      <c r="G71" s="3">
        <v>2.145</v>
      </c>
      <c r="H71" s="3">
        <v>1</v>
      </c>
      <c r="I71" s="3">
        <v>0.7</v>
      </c>
      <c r="J71" s="3">
        <v>0</v>
      </c>
      <c r="K71" s="3">
        <v>0</v>
      </c>
      <c r="L71" s="3">
        <v>0</v>
      </c>
      <c r="M71" s="3">
        <v>0</v>
      </c>
      <c r="N71" s="3">
        <v>0</v>
      </c>
      <c r="O71" s="3">
        <v>0.6</v>
      </c>
      <c r="P71" s="3">
        <v>0</v>
      </c>
      <c r="Q71" s="3">
        <v>0.25</v>
      </c>
      <c r="R71" s="3">
        <v>0</v>
      </c>
      <c r="S71" s="3">
        <v>0</v>
      </c>
      <c r="T71" s="3">
        <v>4.6949999999999994</v>
      </c>
    </row>
    <row r="72" spans="3:20" x14ac:dyDescent="0.25">
      <c r="D72" t="s">
        <v>56</v>
      </c>
      <c r="E72" s="3">
        <v>0</v>
      </c>
      <c r="F72" s="3">
        <v>0</v>
      </c>
      <c r="G72" s="3">
        <v>2.145</v>
      </c>
      <c r="H72" s="3">
        <v>1</v>
      </c>
      <c r="I72" s="3">
        <v>0.7</v>
      </c>
      <c r="J72" s="3">
        <v>0</v>
      </c>
      <c r="K72" s="3">
        <v>0</v>
      </c>
      <c r="L72" s="3">
        <v>0</v>
      </c>
      <c r="M72" s="3">
        <v>0</v>
      </c>
      <c r="N72" s="3">
        <v>0</v>
      </c>
      <c r="O72" s="3">
        <v>0.6</v>
      </c>
      <c r="P72" s="3">
        <v>0</v>
      </c>
      <c r="Q72" s="3">
        <v>0.25</v>
      </c>
      <c r="R72" s="3">
        <v>0</v>
      </c>
      <c r="S72" s="3">
        <v>0</v>
      </c>
      <c r="T72" s="3">
        <v>4.6949999999999994</v>
      </c>
    </row>
    <row r="73" spans="3:20" x14ac:dyDescent="0.25">
      <c r="D73" t="s">
        <v>57</v>
      </c>
      <c r="E73" s="3">
        <v>-0.250079675301009</v>
      </c>
      <c r="F73" s="3">
        <v>0</v>
      </c>
      <c r="G73" s="3">
        <v>2.145</v>
      </c>
      <c r="H73" s="3">
        <v>1</v>
      </c>
      <c r="I73" s="3">
        <v>0.7</v>
      </c>
      <c r="J73" s="3">
        <v>0.250079675301009</v>
      </c>
      <c r="K73" s="3">
        <v>0</v>
      </c>
      <c r="L73" s="3">
        <v>0</v>
      </c>
      <c r="M73" s="3">
        <v>0</v>
      </c>
      <c r="N73" s="3">
        <v>0</v>
      </c>
      <c r="O73" s="3">
        <v>0.6</v>
      </c>
      <c r="P73" s="3">
        <v>0</v>
      </c>
      <c r="Q73" s="3">
        <v>0.25</v>
      </c>
      <c r="R73" s="3">
        <v>0</v>
      </c>
      <c r="S73" s="3">
        <v>0</v>
      </c>
      <c r="T73" s="3">
        <v>4.6950000000000003</v>
      </c>
    </row>
    <row r="74" spans="3:20" x14ac:dyDescent="0.25">
      <c r="D74" t="s">
        <v>58</v>
      </c>
      <c r="E74" s="3">
        <v>-0.82405564910395901</v>
      </c>
      <c r="F74" s="3">
        <v>0</v>
      </c>
      <c r="G74" s="3">
        <v>2.145</v>
      </c>
      <c r="H74" s="3">
        <v>1</v>
      </c>
      <c r="I74" s="3">
        <v>0.7</v>
      </c>
      <c r="J74" s="3">
        <v>0.82405564910395901</v>
      </c>
      <c r="K74" s="3">
        <v>2.6526822760697798E-3</v>
      </c>
      <c r="L74" s="3">
        <v>0</v>
      </c>
      <c r="M74" s="3">
        <v>0</v>
      </c>
      <c r="N74" s="3">
        <v>0</v>
      </c>
      <c r="O74" s="3">
        <v>0.6</v>
      </c>
      <c r="P74" s="3">
        <v>0</v>
      </c>
      <c r="Q74" s="3">
        <v>0.25</v>
      </c>
      <c r="R74" s="3">
        <v>-2.6526822760697798E-3</v>
      </c>
      <c r="S74" s="3">
        <v>0</v>
      </c>
      <c r="T74" s="3">
        <v>4.6950000000000003</v>
      </c>
    </row>
    <row r="75" spans="3:20" x14ac:dyDescent="0.25">
      <c r="D75" t="s">
        <v>59</v>
      </c>
      <c r="E75" s="3">
        <v>-0.88818261997021997</v>
      </c>
      <c r="F75" s="3">
        <v>0</v>
      </c>
      <c r="G75" s="3">
        <v>2.145</v>
      </c>
      <c r="H75" s="3">
        <v>1</v>
      </c>
      <c r="I75" s="3">
        <v>0.7</v>
      </c>
      <c r="J75" s="3">
        <v>0.88818261997021997</v>
      </c>
      <c r="K75" s="3">
        <v>5.4909807763364397E-2</v>
      </c>
      <c r="L75" s="3">
        <v>0</v>
      </c>
      <c r="M75" s="3">
        <v>0</v>
      </c>
      <c r="N75" s="3">
        <v>0</v>
      </c>
      <c r="O75" s="3">
        <v>0.6</v>
      </c>
      <c r="P75" s="3">
        <v>0</v>
      </c>
      <c r="Q75" s="3">
        <v>0.25</v>
      </c>
      <c r="R75" s="3">
        <v>-5.4909807763364397E-2</v>
      </c>
      <c r="S75" s="3">
        <v>0</v>
      </c>
      <c r="T75" s="3">
        <v>4.6950000000000003</v>
      </c>
    </row>
    <row r="76" spans="3:20" x14ac:dyDescent="0.25">
      <c r="D76" t="s">
        <v>60</v>
      </c>
      <c r="E76" s="3">
        <v>-0.85176483404616998</v>
      </c>
      <c r="F76" s="3">
        <v>0</v>
      </c>
      <c r="G76" s="3">
        <v>2.145</v>
      </c>
      <c r="H76" s="3">
        <v>1</v>
      </c>
      <c r="I76" s="3">
        <v>0.7</v>
      </c>
      <c r="J76" s="3">
        <v>0.85176483404616998</v>
      </c>
      <c r="K76" s="3">
        <v>0</v>
      </c>
      <c r="L76" s="3">
        <v>0</v>
      </c>
      <c r="M76" s="3">
        <v>0</v>
      </c>
      <c r="N76" s="3">
        <v>0</v>
      </c>
      <c r="O76" s="3">
        <v>0.6</v>
      </c>
      <c r="P76" s="3">
        <v>0</v>
      </c>
      <c r="Q76" s="3">
        <v>0.25</v>
      </c>
      <c r="R76" s="3">
        <v>0</v>
      </c>
      <c r="S76" s="3">
        <v>0</v>
      </c>
      <c r="T76" s="3">
        <v>4.6949999999999994</v>
      </c>
    </row>
    <row r="77" spans="3:20" x14ac:dyDescent="0.25">
      <c r="D77" t="s">
        <v>61</v>
      </c>
      <c r="E77" s="3">
        <v>-0.81930550311386596</v>
      </c>
      <c r="F77" s="3">
        <v>0</v>
      </c>
      <c r="G77" s="3">
        <v>2.145</v>
      </c>
      <c r="H77" s="3">
        <v>1</v>
      </c>
      <c r="I77" s="3">
        <v>0.7</v>
      </c>
      <c r="J77" s="3">
        <v>0.81930550311386596</v>
      </c>
      <c r="K77" s="3">
        <v>0</v>
      </c>
      <c r="L77" s="3">
        <v>0</v>
      </c>
      <c r="M77" s="3">
        <v>-1.21354032343863E-2</v>
      </c>
      <c r="N77" s="3">
        <v>0</v>
      </c>
      <c r="O77" s="3">
        <v>0.6</v>
      </c>
      <c r="P77" s="3">
        <v>1.21354032343863E-2</v>
      </c>
      <c r="Q77" s="3">
        <v>0.25</v>
      </c>
      <c r="R77" s="3">
        <v>0</v>
      </c>
      <c r="S77" s="3">
        <v>0</v>
      </c>
      <c r="T77" s="3">
        <v>4.6949999999999994</v>
      </c>
    </row>
    <row r="78" spans="3:20" x14ac:dyDescent="0.25">
      <c r="D78" t="s">
        <v>62</v>
      </c>
      <c r="E78" s="3">
        <v>-0.77972095319642098</v>
      </c>
      <c r="F78" s="3">
        <v>0</v>
      </c>
      <c r="G78" s="3">
        <v>2.145</v>
      </c>
      <c r="H78" s="3">
        <v>1</v>
      </c>
      <c r="I78" s="3">
        <v>0.7</v>
      </c>
      <c r="J78" s="3">
        <v>0.77972095319642098</v>
      </c>
      <c r="K78" s="3">
        <v>0</v>
      </c>
      <c r="L78" s="3">
        <v>0</v>
      </c>
      <c r="M78" s="3">
        <v>0</v>
      </c>
      <c r="N78" s="3">
        <v>0</v>
      </c>
      <c r="O78" s="3">
        <v>0.6</v>
      </c>
      <c r="P78" s="3">
        <v>0</v>
      </c>
      <c r="Q78" s="3">
        <v>0.25</v>
      </c>
      <c r="R78" s="3">
        <v>0</v>
      </c>
      <c r="S78" s="3">
        <v>0</v>
      </c>
      <c r="T78" s="3">
        <v>4.6950000000000003</v>
      </c>
    </row>
    <row r="79" spans="3:20" x14ac:dyDescent="0.25">
      <c r="C79" t="s">
        <v>180</v>
      </c>
      <c r="D79" t="s">
        <v>51</v>
      </c>
      <c r="E79" s="3">
        <v>0</v>
      </c>
      <c r="F79" s="3">
        <v>0</v>
      </c>
      <c r="G79" s="3">
        <v>2.145</v>
      </c>
      <c r="H79" s="3">
        <v>1</v>
      </c>
      <c r="I79" s="3">
        <v>0.7</v>
      </c>
      <c r="J79" s="3">
        <v>0</v>
      </c>
      <c r="K79" s="3">
        <v>0</v>
      </c>
      <c r="L79" s="3">
        <v>0</v>
      </c>
      <c r="M79" s="3">
        <v>0</v>
      </c>
      <c r="N79" s="3">
        <v>0</v>
      </c>
      <c r="O79" s="3">
        <v>0.6</v>
      </c>
      <c r="P79" s="3">
        <v>0</v>
      </c>
      <c r="Q79" s="3">
        <v>0.25</v>
      </c>
      <c r="R79" s="3">
        <v>0</v>
      </c>
      <c r="S79" s="3">
        <v>0</v>
      </c>
      <c r="T79" s="3">
        <v>4.6949999999999994</v>
      </c>
    </row>
    <row r="80" spans="3:20" x14ac:dyDescent="0.25">
      <c r="D80" t="s">
        <v>52</v>
      </c>
      <c r="E80" s="3">
        <v>0</v>
      </c>
      <c r="F80" s="3">
        <v>0</v>
      </c>
      <c r="G80" s="3">
        <v>2.145</v>
      </c>
      <c r="H80" s="3">
        <v>1</v>
      </c>
      <c r="I80" s="3">
        <v>0.7</v>
      </c>
      <c r="J80" s="3">
        <v>0</v>
      </c>
      <c r="K80" s="3">
        <v>0</v>
      </c>
      <c r="L80" s="3">
        <v>0</v>
      </c>
      <c r="M80" s="3">
        <v>0</v>
      </c>
      <c r="N80" s="3">
        <v>0</v>
      </c>
      <c r="O80" s="3">
        <v>0.6</v>
      </c>
      <c r="P80" s="3">
        <v>0</v>
      </c>
      <c r="Q80" s="3">
        <v>0.25</v>
      </c>
      <c r="R80" s="3">
        <v>0</v>
      </c>
      <c r="S80" s="3">
        <v>0</v>
      </c>
      <c r="T80" s="3">
        <v>4.6949999999999994</v>
      </c>
    </row>
    <row r="81" spans="3:20" x14ac:dyDescent="0.25">
      <c r="D81" t="s">
        <v>53</v>
      </c>
      <c r="E81" s="3">
        <v>0</v>
      </c>
      <c r="F81" s="3">
        <v>0</v>
      </c>
      <c r="G81" s="3">
        <v>2.145</v>
      </c>
      <c r="H81" s="3">
        <v>1</v>
      </c>
      <c r="I81" s="3">
        <v>0.7</v>
      </c>
      <c r="J81" s="3">
        <v>0</v>
      </c>
      <c r="K81" s="3">
        <v>0</v>
      </c>
      <c r="L81" s="3">
        <v>0</v>
      </c>
      <c r="M81" s="3">
        <v>0</v>
      </c>
      <c r="N81" s="3">
        <v>0</v>
      </c>
      <c r="O81" s="3">
        <v>0.6</v>
      </c>
      <c r="P81" s="3">
        <v>0</v>
      </c>
      <c r="Q81" s="3">
        <v>0.25</v>
      </c>
      <c r="R81" s="3">
        <v>0</v>
      </c>
      <c r="S81" s="3">
        <v>0</v>
      </c>
      <c r="T81" s="3">
        <v>4.6949999999999994</v>
      </c>
    </row>
    <row r="82" spans="3:20" x14ac:dyDescent="0.25">
      <c r="D82" t="s">
        <v>54</v>
      </c>
      <c r="E82" s="3">
        <v>0</v>
      </c>
      <c r="F82" s="3">
        <v>0</v>
      </c>
      <c r="G82" s="3">
        <v>2.145</v>
      </c>
      <c r="H82" s="3">
        <v>1</v>
      </c>
      <c r="I82" s="3">
        <v>0.7</v>
      </c>
      <c r="J82" s="3">
        <v>0</v>
      </c>
      <c r="K82" s="3">
        <v>0</v>
      </c>
      <c r="L82" s="3">
        <v>0</v>
      </c>
      <c r="M82" s="3">
        <v>0</v>
      </c>
      <c r="N82" s="3">
        <v>0</v>
      </c>
      <c r="O82" s="3">
        <v>0.6</v>
      </c>
      <c r="P82" s="3">
        <v>0</v>
      </c>
      <c r="Q82" s="3">
        <v>0.25</v>
      </c>
      <c r="R82" s="3">
        <v>0</v>
      </c>
      <c r="S82" s="3">
        <v>0</v>
      </c>
      <c r="T82" s="3">
        <v>4.6949999999999994</v>
      </c>
    </row>
    <row r="83" spans="3:20" x14ac:dyDescent="0.25">
      <c r="D83" t="s">
        <v>55</v>
      </c>
      <c r="E83" s="3">
        <v>0</v>
      </c>
      <c r="F83" s="3">
        <v>0</v>
      </c>
      <c r="G83" s="3">
        <v>2.145</v>
      </c>
      <c r="H83" s="3">
        <v>1</v>
      </c>
      <c r="I83" s="3">
        <v>0.7</v>
      </c>
      <c r="J83" s="3">
        <v>0</v>
      </c>
      <c r="K83" s="3">
        <v>0</v>
      </c>
      <c r="L83" s="3">
        <v>0</v>
      </c>
      <c r="M83" s="3">
        <v>0</v>
      </c>
      <c r="N83" s="3">
        <v>0</v>
      </c>
      <c r="O83" s="3">
        <v>0.6</v>
      </c>
      <c r="P83" s="3">
        <v>0</v>
      </c>
      <c r="Q83" s="3">
        <v>0.25</v>
      </c>
      <c r="R83" s="3">
        <v>0</v>
      </c>
      <c r="S83" s="3">
        <v>0</v>
      </c>
      <c r="T83" s="3">
        <v>4.6949999999999994</v>
      </c>
    </row>
    <row r="84" spans="3:20" x14ac:dyDescent="0.25">
      <c r="D84" t="s">
        <v>56</v>
      </c>
      <c r="E84" s="3">
        <v>0</v>
      </c>
      <c r="F84" s="3">
        <v>0</v>
      </c>
      <c r="G84" s="3">
        <v>2.145</v>
      </c>
      <c r="H84" s="3">
        <v>1</v>
      </c>
      <c r="I84" s="3">
        <v>0.7</v>
      </c>
      <c r="J84" s="3">
        <v>0</v>
      </c>
      <c r="K84" s="3">
        <v>0</v>
      </c>
      <c r="L84" s="3">
        <v>0</v>
      </c>
      <c r="M84" s="3">
        <v>0</v>
      </c>
      <c r="N84" s="3">
        <v>0</v>
      </c>
      <c r="O84" s="3">
        <v>0.6</v>
      </c>
      <c r="P84" s="3">
        <v>0</v>
      </c>
      <c r="Q84" s="3">
        <v>0.25</v>
      </c>
      <c r="R84" s="3">
        <v>0</v>
      </c>
      <c r="S84" s="3">
        <v>0</v>
      </c>
      <c r="T84" s="3">
        <v>4.6949999999999994</v>
      </c>
    </row>
    <row r="85" spans="3:20" x14ac:dyDescent="0.25">
      <c r="D85" t="s">
        <v>57</v>
      </c>
      <c r="E85" s="3">
        <v>-0.16404154521354</v>
      </c>
      <c r="F85" s="3">
        <v>0</v>
      </c>
      <c r="G85" s="3">
        <v>2.145</v>
      </c>
      <c r="H85" s="3">
        <v>1</v>
      </c>
      <c r="I85" s="3">
        <v>0.7</v>
      </c>
      <c r="J85" s="3">
        <v>0.16404154521354</v>
      </c>
      <c r="K85" s="3">
        <v>0</v>
      </c>
      <c r="L85" s="3">
        <v>0</v>
      </c>
      <c r="M85" s="3">
        <v>0</v>
      </c>
      <c r="N85" s="3">
        <v>0</v>
      </c>
      <c r="O85" s="3">
        <v>0.6</v>
      </c>
      <c r="P85" s="3">
        <v>0</v>
      </c>
      <c r="Q85" s="3">
        <v>0.25</v>
      </c>
      <c r="R85" s="3">
        <v>0</v>
      </c>
      <c r="S85" s="3">
        <v>0</v>
      </c>
      <c r="T85" s="3">
        <v>4.6950000000000003</v>
      </c>
    </row>
    <row r="86" spans="3:20" x14ac:dyDescent="0.25">
      <c r="D86" t="s">
        <v>58</v>
      </c>
      <c r="E86" s="3">
        <v>-0.772060231945491</v>
      </c>
      <c r="F86" s="3">
        <v>0</v>
      </c>
      <c r="G86" s="3">
        <v>2.145</v>
      </c>
      <c r="H86" s="3">
        <v>1</v>
      </c>
      <c r="I86" s="3">
        <v>0.7</v>
      </c>
      <c r="J86" s="3">
        <v>0.772060231945491</v>
      </c>
      <c r="K86" s="3">
        <v>0</v>
      </c>
      <c r="L86" s="3">
        <v>0</v>
      </c>
      <c r="M86" s="3">
        <v>0</v>
      </c>
      <c r="N86" s="3">
        <v>0</v>
      </c>
      <c r="O86" s="3">
        <v>0.6</v>
      </c>
      <c r="P86" s="3">
        <v>0</v>
      </c>
      <c r="Q86" s="3">
        <v>0.25</v>
      </c>
      <c r="R86" s="3">
        <v>0</v>
      </c>
      <c r="S86" s="3">
        <v>0</v>
      </c>
      <c r="T86" s="3">
        <v>4.6949999999999994</v>
      </c>
    </row>
    <row r="87" spans="3:20" x14ac:dyDescent="0.25">
      <c r="D87" t="s">
        <v>59</v>
      </c>
      <c r="E87" s="3">
        <v>-0.79660265289430798</v>
      </c>
      <c r="F87" s="3">
        <v>0</v>
      </c>
      <c r="G87" s="3">
        <v>2.145</v>
      </c>
      <c r="H87" s="3">
        <v>1</v>
      </c>
      <c r="I87" s="3">
        <v>0.7</v>
      </c>
      <c r="J87" s="3">
        <v>0.79660265289430798</v>
      </c>
      <c r="K87" s="3">
        <v>0</v>
      </c>
      <c r="L87" s="3">
        <v>0</v>
      </c>
      <c r="M87" s="3">
        <v>0</v>
      </c>
      <c r="N87" s="3">
        <v>0</v>
      </c>
      <c r="O87" s="3">
        <v>0.6</v>
      </c>
      <c r="P87" s="3">
        <v>0</v>
      </c>
      <c r="Q87" s="3">
        <v>0.25</v>
      </c>
      <c r="R87" s="3">
        <v>0</v>
      </c>
      <c r="S87" s="3">
        <v>0</v>
      </c>
      <c r="T87" s="3">
        <v>4.6950000000000003</v>
      </c>
    </row>
    <row r="88" spans="3:20" x14ac:dyDescent="0.25">
      <c r="D88" t="s">
        <v>60</v>
      </c>
      <c r="E88" s="3">
        <v>-0.78472728791907398</v>
      </c>
      <c r="F88" s="3">
        <v>0</v>
      </c>
      <c r="G88" s="3">
        <v>2.145</v>
      </c>
      <c r="H88" s="3">
        <v>1</v>
      </c>
      <c r="I88" s="3">
        <v>0.7</v>
      </c>
      <c r="J88" s="3">
        <v>0.78472728791907398</v>
      </c>
      <c r="K88" s="3">
        <v>0</v>
      </c>
      <c r="L88" s="3">
        <v>0</v>
      </c>
      <c r="M88" s="3">
        <v>0</v>
      </c>
      <c r="N88" s="3">
        <v>0</v>
      </c>
      <c r="O88" s="3">
        <v>0.6</v>
      </c>
      <c r="P88" s="3">
        <v>0</v>
      </c>
      <c r="Q88" s="3">
        <v>0.25</v>
      </c>
      <c r="R88" s="3">
        <v>0</v>
      </c>
      <c r="S88" s="3">
        <v>0</v>
      </c>
      <c r="T88" s="3">
        <v>4.6950000000000003</v>
      </c>
    </row>
    <row r="89" spans="3:20" x14ac:dyDescent="0.25">
      <c r="D89" t="s">
        <v>61</v>
      </c>
      <c r="E89" s="3">
        <v>-0.730100609033</v>
      </c>
      <c r="F89" s="3">
        <v>0</v>
      </c>
      <c r="G89" s="3">
        <v>2.145</v>
      </c>
      <c r="H89" s="3">
        <v>1</v>
      </c>
      <c r="I89" s="3">
        <v>0.7</v>
      </c>
      <c r="J89" s="3">
        <v>0.730100609033</v>
      </c>
      <c r="K89" s="3">
        <v>0</v>
      </c>
      <c r="L89" s="3">
        <v>0</v>
      </c>
      <c r="M89" s="3">
        <v>0</v>
      </c>
      <c r="N89" s="3">
        <v>0</v>
      </c>
      <c r="O89" s="3">
        <v>0.6</v>
      </c>
      <c r="P89" s="3">
        <v>0</v>
      </c>
      <c r="Q89" s="3">
        <v>0.25</v>
      </c>
      <c r="R89" s="3">
        <v>0</v>
      </c>
      <c r="S89" s="3">
        <v>0</v>
      </c>
      <c r="T89" s="3">
        <v>4.6950000000000003</v>
      </c>
    </row>
    <row r="90" spans="3:20" x14ac:dyDescent="0.25">
      <c r="D90" t="s">
        <v>62</v>
      </c>
      <c r="E90" s="3">
        <v>-0.64063952621957498</v>
      </c>
      <c r="F90" s="3">
        <v>0</v>
      </c>
      <c r="G90" s="3">
        <v>2.145</v>
      </c>
      <c r="H90" s="3">
        <v>1</v>
      </c>
      <c r="I90" s="3">
        <v>0.7</v>
      </c>
      <c r="J90" s="3">
        <v>0.64063952621957498</v>
      </c>
      <c r="K90" s="3">
        <v>0</v>
      </c>
      <c r="L90" s="3">
        <v>0</v>
      </c>
      <c r="M90" s="3">
        <v>0</v>
      </c>
      <c r="N90" s="3">
        <v>0</v>
      </c>
      <c r="O90" s="3">
        <v>0.6</v>
      </c>
      <c r="P90" s="3">
        <v>0</v>
      </c>
      <c r="Q90" s="3">
        <v>0.25</v>
      </c>
      <c r="R90" s="3">
        <v>0</v>
      </c>
      <c r="S90" s="3">
        <v>0</v>
      </c>
      <c r="T90" s="3">
        <v>4.6949999999999994</v>
      </c>
    </row>
    <row r="91" spans="3:20" x14ac:dyDescent="0.25">
      <c r="C91" t="s">
        <v>181</v>
      </c>
      <c r="D91" t="s">
        <v>51</v>
      </c>
      <c r="E91" s="3">
        <v>0</v>
      </c>
      <c r="F91" s="3">
        <v>0</v>
      </c>
      <c r="G91" s="3">
        <v>2.145</v>
      </c>
      <c r="H91" s="3">
        <v>1</v>
      </c>
      <c r="I91" s="3">
        <v>0.7</v>
      </c>
      <c r="J91" s="3">
        <v>0</v>
      </c>
      <c r="K91" s="3">
        <v>0</v>
      </c>
      <c r="L91" s="3">
        <v>0</v>
      </c>
      <c r="M91" s="3">
        <v>0</v>
      </c>
      <c r="N91" s="3">
        <v>0</v>
      </c>
      <c r="O91" s="3">
        <v>0.6</v>
      </c>
      <c r="P91" s="3">
        <v>0</v>
      </c>
      <c r="Q91" s="3">
        <v>0.25</v>
      </c>
      <c r="R91" s="3">
        <v>0</v>
      </c>
      <c r="S91" s="3">
        <v>0</v>
      </c>
      <c r="T91" s="3">
        <v>4.6949999999999994</v>
      </c>
    </row>
    <row r="92" spans="3:20" x14ac:dyDescent="0.25">
      <c r="D92" t="s">
        <v>52</v>
      </c>
      <c r="E92" s="3">
        <v>0</v>
      </c>
      <c r="F92" s="3">
        <v>0</v>
      </c>
      <c r="G92" s="3">
        <v>2.145</v>
      </c>
      <c r="H92" s="3">
        <v>1</v>
      </c>
      <c r="I92" s="3">
        <v>0.7</v>
      </c>
      <c r="J92" s="3">
        <v>0</v>
      </c>
      <c r="K92" s="3">
        <v>0</v>
      </c>
      <c r="L92" s="3">
        <v>0</v>
      </c>
      <c r="M92" s="3">
        <v>0</v>
      </c>
      <c r="N92" s="3">
        <v>0</v>
      </c>
      <c r="O92" s="3">
        <v>0.6</v>
      </c>
      <c r="P92" s="3">
        <v>0</v>
      </c>
      <c r="Q92" s="3">
        <v>0.25</v>
      </c>
      <c r="R92" s="3">
        <v>0</v>
      </c>
      <c r="S92" s="3">
        <v>0</v>
      </c>
      <c r="T92" s="3">
        <v>4.6949999999999994</v>
      </c>
    </row>
    <row r="93" spans="3:20" x14ac:dyDescent="0.25">
      <c r="D93" t="s">
        <v>53</v>
      </c>
      <c r="E93" s="3">
        <v>0</v>
      </c>
      <c r="F93" s="3">
        <v>0</v>
      </c>
      <c r="G93" s="3">
        <v>2.145</v>
      </c>
      <c r="H93" s="3">
        <v>1</v>
      </c>
      <c r="I93" s="3">
        <v>0.7</v>
      </c>
      <c r="J93" s="3">
        <v>0</v>
      </c>
      <c r="K93" s="3">
        <v>0</v>
      </c>
      <c r="L93" s="3">
        <v>0</v>
      </c>
      <c r="M93" s="3">
        <v>0</v>
      </c>
      <c r="N93" s="3">
        <v>0</v>
      </c>
      <c r="O93" s="3">
        <v>0.6</v>
      </c>
      <c r="P93" s="3">
        <v>0</v>
      </c>
      <c r="Q93" s="3">
        <v>0.25</v>
      </c>
      <c r="R93" s="3">
        <v>0</v>
      </c>
      <c r="S93" s="3">
        <v>0</v>
      </c>
      <c r="T93" s="3">
        <v>4.6949999999999994</v>
      </c>
    </row>
    <row r="94" spans="3:20" x14ac:dyDescent="0.25">
      <c r="D94" t="s">
        <v>54</v>
      </c>
      <c r="E94" s="3">
        <v>0</v>
      </c>
      <c r="F94" s="3">
        <v>0</v>
      </c>
      <c r="G94" s="3">
        <v>2.145</v>
      </c>
      <c r="H94" s="3">
        <v>1</v>
      </c>
      <c r="I94" s="3">
        <v>0.7</v>
      </c>
      <c r="J94" s="3">
        <v>0</v>
      </c>
      <c r="K94" s="3">
        <v>0</v>
      </c>
      <c r="L94" s="3">
        <v>0</v>
      </c>
      <c r="M94" s="3">
        <v>0</v>
      </c>
      <c r="N94" s="3">
        <v>0</v>
      </c>
      <c r="O94" s="3">
        <v>0.6</v>
      </c>
      <c r="P94" s="3">
        <v>0</v>
      </c>
      <c r="Q94" s="3">
        <v>0.25</v>
      </c>
      <c r="R94" s="3">
        <v>0</v>
      </c>
      <c r="S94" s="3">
        <v>0</v>
      </c>
      <c r="T94" s="3">
        <v>4.6949999999999994</v>
      </c>
    </row>
    <row r="95" spans="3:20" x14ac:dyDescent="0.25">
      <c r="D95" t="s">
        <v>55</v>
      </c>
      <c r="E95" s="3">
        <v>0</v>
      </c>
      <c r="F95" s="3">
        <v>0</v>
      </c>
      <c r="G95" s="3">
        <v>2.145</v>
      </c>
      <c r="H95" s="3">
        <v>1</v>
      </c>
      <c r="I95" s="3">
        <v>0.7</v>
      </c>
      <c r="J95" s="3">
        <v>0</v>
      </c>
      <c r="K95" s="3">
        <v>0</v>
      </c>
      <c r="L95" s="3">
        <v>0</v>
      </c>
      <c r="M95" s="3">
        <v>0</v>
      </c>
      <c r="N95" s="3">
        <v>0</v>
      </c>
      <c r="O95" s="3">
        <v>0.6</v>
      </c>
      <c r="P95" s="3">
        <v>0</v>
      </c>
      <c r="Q95" s="3">
        <v>0.25</v>
      </c>
      <c r="R95" s="3">
        <v>0</v>
      </c>
      <c r="S95" s="3">
        <v>0</v>
      </c>
      <c r="T95" s="3">
        <v>4.6949999999999994</v>
      </c>
    </row>
    <row r="96" spans="3:20" x14ac:dyDescent="0.25">
      <c r="D96" t="s">
        <v>56</v>
      </c>
      <c r="E96" s="3">
        <v>0</v>
      </c>
      <c r="F96" s="3">
        <v>0</v>
      </c>
      <c r="G96" s="3">
        <v>2.145</v>
      </c>
      <c r="H96" s="3">
        <v>1</v>
      </c>
      <c r="I96" s="3">
        <v>0.7</v>
      </c>
      <c r="J96" s="3">
        <v>0</v>
      </c>
      <c r="K96" s="3">
        <v>0</v>
      </c>
      <c r="L96" s="3">
        <v>0</v>
      </c>
      <c r="M96" s="3">
        <v>0</v>
      </c>
      <c r="N96" s="3">
        <v>0</v>
      </c>
      <c r="O96" s="3">
        <v>0.6</v>
      </c>
      <c r="P96" s="3">
        <v>0</v>
      </c>
      <c r="Q96" s="3">
        <v>0.25</v>
      </c>
      <c r="R96" s="3">
        <v>0</v>
      </c>
      <c r="S96" s="3">
        <v>0</v>
      </c>
      <c r="T96" s="3">
        <v>4.6949999999999994</v>
      </c>
    </row>
    <row r="97" spans="3:20" x14ac:dyDescent="0.25">
      <c r="D97" t="s">
        <v>57</v>
      </c>
      <c r="E97" s="3">
        <v>0</v>
      </c>
      <c r="F97" s="3">
        <v>0</v>
      </c>
      <c r="G97" s="3">
        <v>2.145</v>
      </c>
      <c r="H97" s="3">
        <v>1</v>
      </c>
      <c r="I97" s="3">
        <v>0.7</v>
      </c>
      <c r="J97" s="3">
        <v>0</v>
      </c>
      <c r="K97" s="3">
        <v>0</v>
      </c>
      <c r="L97" s="3">
        <v>0</v>
      </c>
      <c r="M97" s="3">
        <v>0</v>
      </c>
      <c r="N97" s="3">
        <v>0</v>
      </c>
      <c r="O97" s="3">
        <v>0.6</v>
      </c>
      <c r="P97" s="3">
        <v>0</v>
      </c>
      <c r="Q97" s="3">
        <v>0.25</v>
      </c>
      <c r="R97" s="3">
        <v>0</v>
      </c>
      <c r="S97" s="3">
        <v>0</v>
      </c>
      <c r="T97" s="3">
        <v>4.6949999999999994</v>
      </c>
    </row>
    <row r="98" spans="3:20" x14ac:dyDescent="0.25">
      <c r="D98" t="s">
        <v>58</v>
      </c>
      <c r="E98" s="3">
        <v>-0.114797499939591</v>
      </c>
      <c r="F98" s="3">
        <v>0</v>
      </c>
      <c r="G98" s="3">
        <v>2.145</v>
      </c>
      <c r="H98" s="3">
        <v>1</v>
      </c>
      <c r="I98" s="3">
        <v>0.7</v>
      </c>
      <c r="J98" s="3">
        <v>0.114797499939591</v>
      </c>
      <c r="K98" s="3">
        <v>0</v>
      </c>
      <c r="L98" s="3">
        <v>0</v>
      </c>
      <c r="M98" s="3">
        <v>0</v>
      </c>
      <c r="N98" s="3">
        <v>0</v>
      </c>
      <c r="O98" s="3">
        <v>0.6</v>
      </c>
      <c r="P98" s="3">
        <v>0</v>
      </c>
      <c r="Q98" s="3">
        <v>0.25</v>
      </c>
      <c r="R98" s="3">
        <v>0</v>
      </c>
      <c r="S98" s="3">
        <v>0</v>
      </c>
      <c r="T98" s="3">
        <v>4.6950000000000003</v>
      </c>
    </row>
    <row r="99" spans="3:20" x14ac:dyDescent="0.25">
      <c r="D99" t="s">
        <v>59</v>
      </c>
      <c r="E99" s="3">
        <v>-0.32538730550039802</v>
      </c>
      <c r="F99" s="3">
        <v>0</v>
      </c>
      <c r="G99" s="3">
        <v>2.145</v>
      </c>
      <c r="H99" s="3">
        <v>1</v>
      </c>
      <c r="I99" s="3">
        <v>0.7</v>
      </c>
      <c r="J99" s="3">
        <v>0.32538730550039802</v>
      </c>
      <c r="K99" s="3">
        <v>0</v>
      </c>
      <c r="L99" s="3">
        <v>0</v>
      </c>
      <c r="M99" s="3">
        <v>0</v>
      </c>
      <c r="N99" s="3">
        <v>0</v>
      </c>
      <c r="O99" s="3">
        <v>0.6</v>
      </c>
      <c r="P99" s="3">
        <v>0</v>
      </c>
      <c r="Q99" s="3">
        <v>0.25</v>
      </c>
      <c r="R99" s="3">
        <v>0</v>
      </c>
      <c r="S99" s="3">
        <v>0</v>
      </c>
      <c r="T99" s="3">
        <v>4.6950000000000003</v>
      </c>
    </row>
    <row r="100" spans="3:20" x14ac:dyDescent="0.25">
      <c r="D100" t="s">
        <v>60</v>
      </c>
      <c r="E100" s="3">
        <v>-0.30401164854497698</v>
      </c>
      <c r="F100" s="3">
        <v>0</v>
      </c>
      <c r="G100" s="3">
        <v>2.145</v>
      </c>
      <c r="H100" s="3">
        <v>1</v>
      </c>
      <c r="I100" s="3">
        <v>0.7</v>
      </c>
      <c r="J100" s="3">
        <v>0.30401164854497698</v>
      </c>
      <c r="K100" s="3">
        <v>0</v>
      </c>
      <c r="L100" s="3">
        <v>0</v>
      </c>
      <c r="M100" s="3">
        <v>0</v>
      </c>
      <c r="N100" s="3">
        <v>0</v>
      </c>
      <c r="O100" s="3">
        <v>0.6</v>
      </c>
      <c r="P100" s="3">
        <v>0</v>
      </c>
      <c r="Q100" s="3">
        <v>0.25</v>
      </c>
      <c r="R100" s="3">
        <v>0</v>
      </c>
      <c r="S100" s="3">
        <v>0</v>
      </c>
      <c r="T100" s="3">
        <v>4.6949999999999994</v>
      </c>
    </row>
    <row r="101" spans="3:20" x14ac:dyDescent="0.25">
      <c r="D101" t="s">
        <v>61</v>
      </c>
      <c r="E101" s="3">
        <v>-0.221675784716692</v>
      </c>
      <c r="F101" s="3">
        <v>0</v>
      </c>
      <c r="G101" s="3">
        <v>2.145</v>
      </c>
      <c r="H101" s="3">
        <v>1</v>
      </c>
      <c r="I101" s="3">
        <v>0.7</v>
      </c>
      <c r="J101" s="3">
        <v>0.221675784716692</v>
      </c>
      <c r="K101" s="3">
        <v>0</v>
      </c>
      <c r="L101" s="3">
        <v>0</v>
      </c>
      <c r="M101" s="3">
        <v>0</v>
      </c>
      <c r="N101" s="3">
        <v>0</v>
      </c>
      <c r="O101" s="3">
        <v>0.6</v>
      </c>
      <c r="P101" s="3">
        <v>0</v>
      </c>
      <c r="Q101" s="3">
        <v>0.25</v>
      </c>
      <c r="R101" s="3">
        <v>0</v>
      </c>
      <c r="S101" s="3">
        <v>0</v>
      </c>
      <c r="T101" s="3">
        <v>4.6949999999999994</v>
      </c>
    </row>
    <row r="102" spans="3:20" x14ac:dyDescent="0.25">
      <c r="D102" t="s">
        <v>62</v>
      </c>
      <c r="E102" s="3">
        <v>-0.12508948291812699</v>
      </c>
      <c r="F102" s="3">
        <v>0</v>
      </c>
      <c r="G102" s="3">
        <v>2.145</v>
      </c>
      <c r="H102" s="3">
        <v>1</v>
      </c>
      <c r="I102" s="3">
        <v>0.7</v>
      </c>
      <c r="J102" s="3">
        <v>0.12508948291812699</v>
      </c>
      <c r="K102" s="3">
        <v>0</v>
      </c>
      <c r="L102" s="3">
        <v>0</v>
      </c>
      <c r="M102" s="3">
        <v>0</v>
      </c>
      <c r="N102" s="3">
        <v>0</v>
      </c>
      <c r="O102" s="3">
        <v>0.6</v>
      </c>
      <c r="P102" s="3">
        <v>0</v>
      </c>
      <c r="Q102" s="3">
        <v>0.25</v>
      </c>
      <c r="R102" s="3">
        <v>0</v>
      </c>
      <c r="S102" s="3">
        <v>0</v>
      </c>
      <c r="T102" s="3">
        <v>4.6949999999999994</v>
      </c>
    </row>
    <row r="103" spans="3:20" x14ac:dyDescent="0.25">
      <c r="C103" t="s">
        <v>182</v>
      </c>
      <c r="D103" t="s">
        <v>51</v>
      </c>
      <c r="E103" s="3">
        <v>0</v>
      </c>
      <c r="F103" s="3">
        <v>0</v>
      </c>
      <c r="G103" s="3">
        <v>2.145</v>
      </c>
      <c r="H103" s="3">
        <v>1</v>
      </c>
      <c r="I103" s="3">
        <v>0.7</v>
      </c>
      <c r="J103" s="3">
        <v>0</v>
      </c>
      <c r="K103" s="3">
        <v>1.2</v>
      </c>
      <c r="L103" s="3">
        <v>0</v>
      </c>
      <c r="M103" s="3">
        <v>-1</v>
      </c>
      <c r="N103" s="3">
        <v>0</v>
      </c>
      <c r="O103" s="3">
        <v>0.6</v>
      </c>
      <c r="P103" s="3">
        <v>1</v>
      </c>
      <c r="Q103" s="3">
        <v>0.25</v>
      </c>
      <c r="R103" s="3">
        <v>-1.2</v>
      </c>
      <c r="S103" s="3">
        <v>0</v>
      </c>
      <c r="T103" s="3">
        <v>4.6949999999999994</v>
      </c>
    </row>
    <row r="104" spans="3:20" x14ac:dyDescent="0.25">
      <c r="D104" t="s">
        <v>52</v>
      </c>
      <c r="E104" s="3">
        <v>0</v>
      </c>
      <c r="F104" s="3">
        <v>0</v>
      </c>
      <c r="G104" s="3">
        <v>2.145</v>
      </c>
      <c r="H104" s="3">
        <v>1</v>
      </c>
      <c r="I104" s="3">
        <v>0.7</v>
      </c>
      <c r="J104" s="3">
        <v>0</v>
      </c>
      <c r="K104" s="3">
        <v>1.2</v>
      </c>
      <c r="L104" s="3">
        <v>0</v>
      </c>
      <c r="M104" s="3">
        <v>-1</v>
      </c>
      <c r="N104" s="3">
        <v>0</v>
      </c>
      <c r="O104" s="3">
        <v>0.6</v>
      </c>
      <c r="P104" s="3">
        <v>1</v>
      </c>
      <c r="Q104" s="3">
        <v>0.25</v>
      </c>
      <c r="R104" s="3">
        <v>-1.2</v>
      </c>
      <c r="S104" s="3">
        <v>0</v>
      </c>
      <c r="T104" s="3">
        <v>4.6949999999999994</v>
      </c>
    </row>
    <row r="105" spans="3:20" x14ac:dyDescent="0.25">
      <c r="D105" t="s">
        <v>53</v>
      </c>
      <c r="E105" s="3">
        <v>0</v>
      </c>
      <c r="F105" s="3">
        <v>0</v>
      </c>
      <c r="G105" s="3">
        <v>2.145</v>
      </c>
      <c r="H105" s="3">
        <v>1</v>
      </c>
      <c r="I105" s="3">
        <v>0.7</v>
      </c>
      <c r="J105" s="3">
        <v>0</v>
      </c>
      <c r="K105" s="3">
        <v>1.2</v>
      </c>
      <c r="L105" s="3">
        <v>0</v>
      </c>
      <c r="M105" s="3">
        <v>-1</v>
      </c>
      <c r="N105" s="3">
        <v>0</v>
      </c>
      <c r="O105" s="3">
        <v>0.6</v>
      </c>
      <c r="P105" s="3">
        <v>1</v>
      </c>
      <c r="Q105" s="3">
        <v>0.25</v>
      </c>
      <c r="R105" s="3">
        <v>-1.2</v>
      </c>
      <c r="S105" s="3">
        <v>0</v>
      </c>
      <c r="T105" s="3">
        <v>4.6949999999999994</v>
      </c>
    </row>
    <row r="106" spans="3:20" x14ac:dyDescent="0.25">
      <c r="D106" t="s">
        <v>54</v>
      </c>
      <c r="E106" s="3">
        <v>0</v>
      </c>
      <c r="F106" s="3">
        <v>0</v>
      </c>
      <c r="G106" s="3">
        <v>2.145</v>
      </c>
      <c r="H106" s="3">
        <v>1</v>
      </c>
      <c r="I106" s="3">
        <v>0.7</v>
      </c>
      <c r="J106" s="3">
        <v>0</v>
      </c>
      <c r="K106" s="3">
        <v>1.2</v>
      </c>
      <c r="L106" s="3">
        <v>0</v>
      </c>
      <c r="M106" s="3">
        <v>-1</v>
      </c>
      <c r="N106" s="3">
        <v>0</v>
      </c>
      <c r="O106" s="3">
        <v>0.6</v>
      </c>
      <c r="P106" s="3">
        <v>1</v>
      </c>
      <c r="Q106" s="3">
        <v>0.25</v>
      </c>
      <c r="R106" s="3">
        <v>-1.2</v>
      </c>
      <c r="S106" s="3">
        <v>0</v>
      </c>
      <c r="T106" s="3">
        <v>4.6949999999999994</v>
      </c>
    </row>
    <row r="107" spans="3:20" x14ac:dyDescent="0.25">
      <c r="D107" t="s">
        <v>55</v>
      </c>
      <c r="E107" s="3">
        <v>0</v>
      </c>
      <c r="F107" s="3">
        <v>0</v>
      </c>
      <c r="G107" s="3">
        <v>2.145</v>
      </c>
      <c r="H107" s="3">
        <v>1</v>
      </c>
      <c r="I107" s="3">
        <v>0.7</v>
      </c>
      <c r="J107" s="3">
        <v>0</v>
      </c>
      <c r="K107" s="3">
        <v>1.2</v>
      </c>
      <c r="L107" s="3">
        <v>0</v>
      </c>
      <c r="M107" s="3">
        <v>-1</v>
      </c>
      <c r="N107" s="3">
        <v>0</v>
      </c>
      <c r="O107" s="3">
        <v>0.6</v>
      </c>
      <c r="P107" s="3">
        <v>1</v>
      </c>
      <c r="Q107" s="3">
        <v>0.25</v>
      </c>
      <c r="R107" s="3">
        <v>-1.2</v>
      </c>
      <c r="S107" s="3">
        <v>0</v>
      </c>
      <c r="T107" s="3">
        <v>4.6949999999999994</v>
      </c>
    </row>
    <row r="108" spans="3:20" x14ac:dyDescent="0.25">
      <c r="D108" t="s">
        <v>56</v>
      </c>
      <c r="E108" s="3">
        <v>0</v>
      </c>
      <c r="F108" s="3">
        <v>0</v>
      </c>
      <c r="G108" s="3">
        <v>2.145</v>
      </c>
      <c r="H108" s="3">
        <v>1</v>
      </c>
      <c r="I108" s="3">
        <v>0.7</v>
      </c>
      <c r="J108" s="3">
        <v>0</v>
      </c>
      <c r="K108" s="3">
        <v>1.2</v>
      </c>
      <c r="L108" s="3">
        <v>0</v>
      </c>
      <c r="M108" s="3">
        <v>-1</v>
      </c>
      <c r="N108" s="3">
        <v>0</v>
      </c>
      <c r="O108" s="3">
        <v>0.6</v>
      </c>
      <c r="P108" s="3">
        <v>1</v>
      </c>
      <c r="Q108" s="3">
        <v>0.25</v>
      </c>
      <c r="R108" s="3">
        <v>-1.2</v>
      </c>
      <c r="S108" s="3">
        <v>0</v>
      </c>
      <c r="T108" s="3">
        <v>4.6949999999999994</v>
      </c>
    </row>
    <row r="109" spans="3:20" x14ac:dyDescent="0.25">
      <c r="D109" t="s">
        <v>57</v>
      </c>
      <c r="E109" s="3">
        <v>0</v>
      </c>
      <c r="F109" s="3">
        <v>0</v>
      </c>
      <c r="G109" s="3">
        <v>2.145</v>
      </c>
      <c r="H109" s="3">
        <v>1</v>
      </c>
      <c r="I109" s="3">
        <v>0.7</v>
      </c>
      <c r="J109" s="3">
        <v>0</v>
      </c>
      <c r="K109" s="3">
        <v>0</v>
      </c>
      <c r="L109" s="3">
        <v>0</v>
      </c>
      <c r="M109" s="3">
        <v>-1</v>
      </c>
      <c r="N109" s="3">
        <v>0</v>
      </c>
      <c r="O109" s="3">
        <v>0.6</v>
      </c>
      <c r="P109" s="3">
        <v>1</v>
      </c>
      <c r="Q109" s="3">
        <v>0.25</v>
      </c>
      <c r="R109" s="3">
        <v>0</v>
      </c>
      <c r="S109" s="3">
        <v>0</v>
      </c>
      <c r="T109" s="3">
        <v>4.6950000000000003</v>
      </c>
    </row>
    <row r="110" spans="3:20" x14ac:dyDescent="0.25">
      <c r="D110" t="s">
        <v>58</v>
      </c>
      <c r="E110" s="3">
        <v>0</v>
      </c>
      <c r="F110" s="3">
        <v>0</v>
      </c>
      <c r="G110" s="3">
        <v>2.145</v>
      </c>
      <c r="H110" s="3">
        <v>1</v>
      </c>
      <c r="I110" s="3">
        <v>0.7</v>
      </c>
      <c r="J110" s="3">
        <v>0</v>
      </c>
      <c r="K110" s="3">
        <v>0</v>
      </c>
      <c r="L110" s="3">
        <v>0</v>
      </c>
      <c r="M110" s="3">
        <v>-1</v>
      </c>
      <c r="N110" s="3">
        <v>0</v>
      </c>
      <c r="O110" s="3">
        <v>0.6</v>
      </c>
      <c r="P110" s="3">
        <v>1</v>
      </c>
      <c r="Q110" s="3">
        <v>0.25</v>
      </c>
      <c r="R110" s="3">
        <v>0</v>
      </c>
      <c r="S110" s="3">
        <v>0</v>
      </c>
      <c r="T110" s="3">
        <v>4.6950000000000003</v>
      </c>
    </row>
    <row r="111" spans="3:20" x14ac:dyDescent="0.25">
      <c r="D111" t="s">
        <v>59</v>
      </c>
      <c r="E111" s="3">
        <v>0</v>
      </c>
      <c r="F111" s="3">
        <v>0</v>
      </c>
      <c r="G111" s="3">
        <v>2.145</v>
      </c>
      <c r="H111" s="3">
        <v>1</v>
      </c>
      <c r="I111" s="3">
        <v>0.7</v>
      </c>
      <c r="J111" s="3">
        <v>0</v>
      </c>
      <c r="K111" s="3">
        <v>0</v>
      </c>
      <c r="L111" s="3">
        <v>0</v>
      </c>
      <c r="M111" s="3">
        <v>-1</v>
      </c>
      <c r="N111" s="3">
        <v>0</v>
      </c>
      <c r="O111" s="3">
        <v>0.6</v>
      </c>
      <c r="P111" s="3">
        <v>1</v>
      </c>
      <c r="Q111" s="3">
        <v>0.25</v>
      </c>
      <c r="R111" s="3">
        <v>0</v>
      </c>
      <c r="S111" s="3">
        <v>0</v>
      </c>
      <c r="T111" s="3">
        <v>4.6950000000000003</v>
      </c>
    </row>
    <row r="112" spans="3:20" x14ac:dyDescent="0.25">
      <c r="D112" t="s">
        <v>60</v>
      </c>
      <c r="E112" s="3">
        <v>0</v>
      </c>
      <c r="F112" s="3">
        <v>0</v>
      </c>
      <c r="G112" s="3">
        <v>2.145</v>
      </c>
      <c r="H112" s="3">
        <v>1</v>
      </c>
      <c r="I112" s="3">
        <v>0.7</v>
      </c>
      <c r="J112" s="3">
        <v>0</v>
      </c>
      <c r="K112" s="3">
        <v>0</v>
      </c>
      <c r="L112" s="3">
        <v>0</v>
      </c>
      <c r="M112" s="3">
        <v>-1</v>
      </c>
      <c r="N112" s="3">
        <v>0</v>
      </c>
      <c r="O112" s="3">
        <v>0.6</v>
      </c>
      <c r="P112" s="3">
        <v>1</v>
      </c>
      <c r="Q112" s="3">
        <v>0.25</v>
      </c>
      <c r="R112" s="3">
        <v>0</v>
      </c>
      <c r="S112" s="3">
        <v>0</v>
      </c>
      <c r="T112" s="3">
        <v>4.6950000000000003</v>
      </c>
    </row>
    <row r="113" spans="3:20" x14ac:dyDescent="0.25">
      <c r="D113" t="s">
        <v>61</v>
      </c>
      <c r="E113" s="3">
        <v>-2.8793667590310901</v>
      </c>
      <c r="F113" s="3">
        <v>0</v>
      </c>
      <c r="G113" s="3">
        <v>2.145</v>
      </c>
      <c r="H113" s="3">
        <v>1</v>
      </c>
      <c r="I113" s="3">
        <v>0.7</v>
      </c>
      <c r="J113" s="3">
        <v>2.8793667590310901</v>
      </c>
      <c r="K113" s="3">
        <v>0</v>
      </c>
      <c r="L113" s="3">
        <v>0</v>
      </c>
      <c r="M113" s="3">
        <v>-1</v>
      </c>
      <c r="N113" s="3">
        <v>0</v>
      </c>
      <c r="O113" s="3">
        <v>0.6</v>
      </c>
      <c r="P113" s="3">
        <v>1</v>
      </c>
      <c r="Q113" s="3">
        <v>0.25</v>
      </c>
      <c r="R113" s="3">
        <v>0</v>
      </c>
      <c r="S113" s="3">
        <v>0</v>
      </c>
      <c r="T113" s="3">
        <v>4.6950000000000003</v>
      </c>
    </row>
    <row r="114" spans="3:20" x14ac:dyDescent="0.25">
      <c r="D114" t="s">
        <v>62</v>
      </c>
      <c r="E114" s="3">
        <v>0</v>
      </c>
      <c r="F114" s="3">
        <v>0</v>
      </c>
      <c r="G114" s="3">
        <v>2.145</v>
      </c>
      <c r="H114" s="3">
        <v>1</v>
      </c>
      <c r="I114" s="3">
        <v>0.7</v>
      </c>
      <c r="J114" s="3">
        <v>0</v>
      </c>
      <c r="K114" s="3">
        <v>0.38565695465372002</v>
      </c>
      <c r="L114" s="3">
        <v>0</v>
      </c>
      <c r="M114" s="3">
        <v>-1</v>
      </c>
      <c r="N114" s="3">
        <v>0</v>
      </c>
      <c r="O114" s="3">
        <v>0.6</v>
      </c>
      <c r="P114" s="3">
        <v>1</v>
      </c>
      <c r="Q114" s="3">
        <v>0.25</v>
      </c>
      <c r="R114" s="3">
        <v>-0.38565695465372002</v>
      </c>
      <c r="S114" s="3">
        <v>0</v>
      </c>
      <c r="T114" s="3">
        <v>4.6949999999999994</v>
      </c>
    </row>
    <row r="115" spans="3:20" x14ac:dyDescent="0.25">
      <c r="C115" t="s">
        <v>183</v>
      </c>
      <c r="D115" t="s">
        <v>51</v>
      </c>
      <c r="E115" s="3">
        <v>0</v>
      </c>
      <c r="F115" s="3">
        <v>1.1499999999999999</v>
      </c>
      <c r="G115" s="3">
        <v>2.145</v>
      </c>
      <c r="H115" s="3">
        <v>1</v>
      </c>
      <c r="I115" s="3">
        <v>0.7</v>
      </c>
      <c r="J115" s="3">
        <v>0</v>
      </c>
      <c r="K115" s="3">
        <v>0</v>
      </c>
      <c r="L115" s="3">
        <v>-1.1499999999999999</v>
      </c>
      <c r="M115" s="3">
        <v>-1</v>
      </c>
      <c r="N115" s="3">
        <v>0</v>
      </c>
      <c r="O115" s="3">
        <v>0.6</v>
      </c>
      <c r="P115" s="3">
        <v>1</v>
      </c>
      <c r="Q115" s="3">
        <v>0.25</v>
      </c>
      <c r="R115" s="3">
        <v>0</v>
      </c>
      <c r="S115" s="3">
        <v>0</v>
      </c>
      <c r="T115" s="3">
        <v>4.6950000000000003</v>
      </c>
    </row>
    <row r="116" spans="3:20" x14ac:dyDescent="0.25">
      <c r="D116" t="s">
        <v>52</v>
      </c>
      <c r="E116" s="3">
        <v>0</v>
      </c>
      <c r="F116" s="3">
        <v>1.1499999999999999</v>
      </c>
      <c r="G116" s="3">
        <v>2.145</v>
      </c>
      <c r="H116" s="3">
        <v>1</v>
      </c>
      <c r="I116" s="3">
        <v>0.7</v>
      </c>
      <c r="J116" s="3">
        <v>0</v>
      </c>
      <c r="K116" s="3">
        <v>0</v>
      </c>
      <c r="L116" s="3">
        <v>-1.1499999999999999</v>
      </c>
      <c r="M116" s="3">
        <v>-1</v>
      </c>
      <c r="N116" s="3">
        <v>0</v>
      </c>
      <c r="O116" s="3">
        <v>0.6</v>
      </c>
      <c r="P116" s="3">
        <v>1</v>
      </c>
      <c r="Q116" s="3">
        <v>0.25</v>
      </c>
      <c r="R116" s="3">
        <v>0</v>
      </c>
      <c r="S116" s="3">
        <v>0</v>
      </c>
      <c r="T116" s="3">
        <v>4.6950000000000003</v>
      </c>
    </row>
    <row r="117" spans="3:20" x14ac:dyDescent="0.25">
      <c r="D117" t="s">
        <v>53</v>
      </c>
      <c r="E117" s="3">
        <v>0</v>
      </c>
      <c r="F117" s="3">
        <v>1.1499999999999999</v>
      </c>
      <c r="G117" s="3">
        <v>2.145</v>
      </c>
      <c r="H117" s="3">
        <v>1</v>
      </c>
      <c r="I117" s="3">
        <v>0.7</v>
      </c>
      <c r="J117" s="3">
        <v>0</v>
      </c>
      <c r="K117" s="3">
        <v>1.2</v>
      </c>
      <c r="L117" s="3">
        <v>-1.1499999999999999</v>
      </c>
      <c r="M117" s="3">
        <v>-1</v>
      </c>
      <c r="N117" s="3">
        <v>0</v>
      </c>
      <c r="O117" s="3">
        <v>0.6</v>
      </c>
      <c r="P117" s="3">
        <v>1</v>
      </c>
      <c r="Q117" s="3">
        <v>0.25</v>
      </c>
      <c r="R117" s="3">
        <v>-1.2</v>
      </c>
      <c r="S117" s="3">
        <v>0</v>
      </c>
      <c r="T117" s="3">
        <v>4.6949999999999994</v>
      </c>
    </row>
    <row r="118" spans="3:20" x14ac:dyDescent="0.25">
      <c r="D118" t="s">
        <v>54</v>
      </c>
      <c r="E118" s="3">
        <v>0</v>
      </c>
      <c r="F118" s="3">
        <v>1.1499999999999999</v>
      </c>
      <c r="G118" s="3">
        <v>2.145</v>
      </c>
      <c r="H118" s="3">
        <v>1</v>
      </c>
      <c r="I118" s="3">
        <v>0.7</v>
      </c>
      <c r="J118" s="3">
        <v>0</v>
      </c>
      <c r="K118" s="3">
        <v>0</v>
      </c>
      <c r="L118" s="3">
        <v>-1.1499999999999999</v>
      </c>
      <c r="M118" s="3">
        <v>-1</v>
      </c>
      <c r="N118" s="3">
        <v>0</v>
      </c>
      <c r="O118" s="3">
        <v>0.6</v>
      </c>
      <c r="P118" s="3">
        <v>1</v>
      </c>
      <c r="Q118" s="3">
        <v>0.25</v>
      </c>
      <c r="R118" s="3">
        <v>0</v>
      </c>
      <c r="S118" s="3">
        <v>0</v>
      </c>
      <c r="T118" s="3">
        <v>4.6950000000000003</v>
      </c>
    </row>
    <row r="119" spans="3:20" x14ac:dyDescent="0.25">
      <c r="D119" t="s">
        <v>55</v>
      </c>
      <c r="E119" s="3">
        <v>0</v>
      </c>
      <c r="F119" s="3">
        <v>1.1499999999999999</v>
      </c>
      <c r="G119" s="3">
        <v>2.145</v>
      </c>
      <c r="H119" s="3">
        <v>1</v>
      </c>
      <c r="I119" s="3">
        <v>0.7</v>
      </c>
      <c r="J119" s="3">
        <v>0</v>
      </c>
      <c r="K119" s="3">
        <v>0</v>
      </c>
      <c r="L119" s="3">
        <v>-1.1499999999999999</v>
      </c>
      <c r="M119" s="3">
        <v>-1</v>
      </c>
      <c r="N119" s="3">
        <v>0</v>
      </c>
      <c r="O119" s="3">
        <v>0.6</v>
      </c>
      <c r="P119" s="3">
        <v>1</v>
      </c>
      <c r="Q119" s="3">
        <v>0.25</v>
      </c>
      <c r="R119" s="3">
        <v>0</v>
      </c>
      <c r="S119" s="3">
        <v>0</v>
      </c>
      <c r="T119" s="3">
        <v>4.6950000000000003</v>
      </c>
    </row>
    <row r="120" spans="3:20" x14ac:dyDescent="0.25">
      <c r="D120" t="s">
        <v>56</v>
      </c>
      <c r="E120" s="3">
        <v>0</v>
      </c>
      <c r="F120" s="3">
        <v>1.1499999999999999</v>
      </c>
      <c r="G120" s="3">
        <v>2.145</v>
      </c>
      <c r="H120" s="3">
        <v>1</v>
      </c>
      <c r="I120" s="3">
        <v>0.7</v>
      </c>
      <c r="J120" s="3">
        <v>0</v>
      </c>
      <c r="K120" s="3">
        <v>1.2</v>
      </c>
      <c r="L120" s="3">
        <v>-1.1499999999999999</v>
      </c>
      <c r="M120" s="3">
        <v>-1</v>
      </c>
      <c r="N120" s="3">
        <v>0</v>
      </c>
      <c r="O120" s="3">
        <v>0.6</v>
      </c>
      <c r="P120" s="3">
        <v>1</v>
      </c>
      <c r="Q120" s="3">
        <v>0.25</v>
      </c>
      <c r="R120" s="3">
        <v>-1.2</v>
      </c>
      <c r="S120" s="3">
        <v>0</v>
      </c>
      <c r="T120" s="3">
        <v>4.6949999999999994</v>
      </c>
    </row>
    <row r="121" spans="3:20" x14ac:dyDescent="0.25">
      <c r="D121" t="s">
        <v>57</v>
      </c>
      <c r="E121" s="3">
        <v>-1.7912054298237501</v>
      </c>
      <c r="F121" s="3">
        <v>0.71362867806178898</v>
      </c>
      <c r="G121" s="3">
        <v>2.145</v>
      </c>
      <c r="H121" s="3">
        <v>1</v>
      </c>
      <c r="I121" s="3">
        <v>0.7</v>
      </c>
      <c r="J121" s="3">
        <v>1.7912054298237501</v>
      </c>
      <c r="K121" s="3">
        <v>1.2</v>
      </c>
      <c r="L121" s="3">
        <v>-0.71362867806178898</v>
      </c>
      <c r="M121" s="3">
        <v>-1</v>
      </c>
      <c r="N121" s="3">
        <v>0</v>
      </c>
      <c r="O121" s="3">
        <v>0.6</v>
      </c>
      <c r="P121" s="3">
        <v>1</v>
      </c>
      <c r="Q121" s="3">
        <v>0.25</v>
      </c>
      <c r="R121" s="3">
        <v>-1.2</v>
      </c>
      <c r="S121" s="3">
        <v>0</v>
      </c>
      <c r="T121" s="3">
        <v>4.6949999999999994</v>
      </c>
    </row>
    <row r="122" spans="3:20" x14ac:dyDescent="0.25">
      <c r="D122" t="s">
        <v>58</v>
      </c>
      <c r="E122" s="3">
        <v>0</v>
      </c>
      <c r="F122" s="3">
        <v>0.15120465028122099</v>
      </c>
      <c r="G122" s="3">
        <v>2.145</v>
      </c>
      <c r="H122" s="3">
        <v>1</v>
      </c>
      <c r="I122" s="3">
        <v>0.7</v>
      </c>
      <c r="J122" s="3">
        <v>0</v>
      </c>
      <c r="K122" s="3">
        <v>1.2</v>
      </c>
      <c r="L122" s="3">
        <v>-0.15120465028122099</v>
      </c>
      <c r="M122" s="3">
        <v>-1</v>
      </c>
      <c r="N122" s="3">
        <v>0</v>
      </c>
      <c r="O122" s="3">
        <v>0.6</v>
      </c>
      <c r="P122" s="3">
        <v>1</v>
      </c>
      <c r="Q122" s="3">
        <v>0.25</v>
      </c>
      <c r="R122" s="3">
        <v>-1.2</v>
      </c>
      <c r="S122" s="3">
        <v>0</v>
      </c>
      <c r="T122" s="3">
        <v>4.6950000000000003</v>
      </c>
    </row>
    <row r="123" spans="3:20" x14ac:dyDescent="0.25">
      <c r="D123" t="s">
        <v>59</v>
      </c>
      <c r="E123" s="3">
        <v>0</v>
      </c>
      <c r="F123" s="3">
        <v>0</v>
      </c>
      <c r="G123" s="3">
        <v>2.145</v>
      </c>
      <c r="H123" s="3">
        <v>1</v>
      </c>
      <c r="I123" s="3">
        <v>0.7</v>
      </c>
      <c r="J123" s="3">
        <v>0</v>
      </c>
      <c r="K123" s="3">
        <v>1.2</v>
      </c>
      <c r="L123" s="3">
        <v>0</v>
      </c>
      <c r="M123" s="3">
        <v>-1</v>
      </c>
      <c r="N123" s="3">
        <v>0</v>
      </c>
      <c r="O123" s="3">
        <v>0.6</v>
      </c>
      <c r="P123" s="3">
        <v>1</v>
      </c>
      <c r="Q123" s="3">
        <v>0.25</v>
      </c>
      <c r="R123" s="3">
        <v>-1.2</v>
      </c>
      <c r="S123" s="3">
        <v>0</v>
      </c>
      <c r="T123" s="3">
        <v>4.6949999999999994</v>
      </c>
    </row>
    <row r="124" spans="3:20" x14ac:dyDescent="0.25">
      <c r="D124" t="s">
        <v>60</v>
      </c>
      <c r="E124" s="3">
        <v>-1.5367232930432999</v>
      </c>
      <c r="F124" s="3">
        <v>1.1499999999999999</v>
      </c>
      <c r="G124" s="3">
        <v>2.145</v>
      </c>
      <c r="H124" s="3">
        <v>1</v>
      </c>
      <c r="I124" s="3">
        <v>0.7</v>
      </c>
      <c r="J124" s="3">
        <v>1.5367232930432999</v>
      </c>
      <c r="K124" s="3">
        <v>1.2</v>
      </c>
      <c r="L124" s="3">
        <v>-1.1499999999999999</v>
      </c>
      <c r="M124" s="3">
        <v>-1</v>
      </c>
      <c r="N124" s="3">
        <v>-0.75604493961778596</v>
      </c>
      <c r="O124" s="3">
        <v>0.6</v>
      </c>
      <c r="P124" s="3">
        <v>1</v>
      </c>
      <c r="Q124" s="3">
        <v>0.25</v>
      </c>
      <c r="R124" s="3">
        <v>-1.2</v>
      </c>
      <c r="S124" s="3">
        <v>0.75604493961778596</v>
      </c>
      <c r="T124" s="3">
        <v>4.6950000000000003</v>
      </c>
    </row>
    <row r="125" spans="3:20" x14ac:dyDescent="0.25">
      <c r="D125" t="s">
        <v>61</v>
      </c>
      <c r="E125" s="3">
        <v>0</v>
      </c>
      <c r="F125" s="3">
        <v>0.25056028719201001</v>
      </c>
      <c r="G125" s="3">
        <v>2.145</v>
      </c>
      <c r="H125" s="3">
        <v>1</v>
      </c>
      <c r="I125" s="3">
        <v>0.7</v>
      </c>
      <c r="J125" s="3">
        <v>0</v>
      </c>
      <c r="K125" s="3">
        <v>1.2</v>
      </c>
      <c r="L125" s="3">
        <v>-0.25056028719201001</v>
      </c>
      <c r="M125" s="3">
        <v>-1</v>
      </c>
      <c r="N125" s="3">
        <v>0</v>
      </c>
      <c r="O125" s="3">
        <v>0.6</v>
      </c>
      <c r="P125" s="3">
        <v>1</v>
      </c>
      <c r="Q125" s="3">
        <v>0.25</v>
      </c>
      <c r="R125" s="3">
        <v>-1.2</v>
      </c>
      <c r="S125" s="3">
        <v>0</v>
      </c>
      <c r="T125" s="3">
        <v>4.6949999999999994</v>
      </c>
    </row>
    <row r="126" spans="3:20" x14ac:dyDescent="0.25">
      <c r="D126" t="s">
        <v>62</v>
      </c>
      <c r="E126" s="3">
        <v>0</v>
      </c>
      <c r="F126" s="3">
        <v>0</v>
      </c>
      <c r="G126" s="3">
        <v>2.145</v>
      </c>
      <c r="H126" s="3">
        <v>1</v>
      </c>
      <c r="I126" s="3">
        <v>0.7</v>
      </c>
      <c r="J126" s="3">
        <v>0</v>
      </c>
      <c r="K126" s="3">
        <v>1.2</v>
      </c>
      <c r="L126" s="3">
        <v>0</v>
      </c>
      <c r="M126" s="3">
        <v>-1</v>
      </c>
      <c r="N126" s="3">
        <v>0</v>
      </c>
      <c r="O126" s="3">
        <v>0.6</v>
      </c>
      <c r="P126" s="3">
        <v>1</v>
      </c>
      <c r="Q126" s="3">
        <v>0.25</v>
      </c>
      <c r="R126" s="3">
        <v>-1.2</v>
      </c>
      <c r="S126" s="3">
        <v>0</v>
      </c>
      <c r="T126" s="3">
        <v>4.6949999999999994</v>
      </c>
    </row>
    <row r="127" spans="3:20" x14ac:dyDescent="0.25">
      <c r="C127" t="s">
        <v>184</v>
      </c>
      <c r="D127" t="s">
        <v>51</v>
      </c>
      <c r="E127" s="3">
        <v>0</v>
      </c>
      <c r="F127" s="3">
        <v>0</v>
      </c>
      <c r="G127" s="3">
        <v>2.145</v>
      </c>
      <c r="H127" s="3">
        <v>1</v>
      </c>
      <c r="I127" s="3">
        <v>0.7</v>
      </c>
      <c r="J127" s="3">
        <v>0</v>
      </c>
      <c r="K127" s="3">
        <v>0</v>
      </c>
      <c r="L127" s="3">
        <v>0</v>
      </c>
      <c r="M127" s="3">
        <v>-1</v>
      </c>
      <c r="N127" s="3">
        <v>0</v>
      </c>
      <c r="O127" s="3">
        <v>0.6</v>
      </c>
      <c r="P127" s="3">
        <v>1</v>
      </c>
      <c r="Q127" s="3">
        <v>0.25</v>
      </c>
      <c r="R127" s="3">
        <v>0</v>
      </c>
      <c r="S127" s="3">
        <v>0</v>
      </c>
      <c r="T127" s="3">
        <v>4.6950000000000003</v>
      </c>
    </row>
    <row r="128" spans="3:20" x14ac:dyDescent="0.25">
      <c r="D128" t="s">
        <v>52</v>
      </c>
      <c r="E128" s="3">
        <v>0</v>
      </c>
      <c r="F128" s="3">
        <v>0</v>
      </c>
      <c r="G128" s="3">
        <v>2.145</v>
      </c>
      <c r="H128" s="3">
        <v>1</v>
      </c>
      <c r="I128" s="3">
        <v>0.7</v>
      </c>
      <c r="J128" s="3">
        <v>0</v>
      </c>
      <c r="K128" s="3">
        <v>1.2</v>
      </c>
      <c r="L128" s="3">
        <v>0</v>
      </c>
      <c r="M128" s="3">
        <v>-1</v>
      </c>
      <c r="N128" s="3">
        <v>0</v>
      </c>
      <c r="O128" s="3">
        <v>0.6</v>
      </c>
      <c r="P128" s="3">
        <v>1</v>
      </c>
      <c r="Q128" s="3">
        <v>0.25</v>
      </c>
      <c r="R128" s="3">
        <v>-1.2</v>
      </c>
      <c r="S128" s="3">
        <v>0</v>
      </c>
      <c r="T128" s="3">
        <v>4.6949999999999994</v>
      </c>
    </row>
    <row r="129" spans="3:20" x14ac:dyDescent="0.25">
      <c r="D129" t="s">
        <v>53</v>
      </c>
      <c r="E129" s="3">
        <v>0</v>
      </c>
      <c r="F129" s="3">
        <v>0</v>
      </c>
      <c r="G129" s="3">
        <v>2.145</v>
      </c>
      <c r="H129" s="3">
        <v>1</v>
      </c>
      <c r="I129" s="3">
        <v>0.7</v>
      </c>
      <c r="J129" s="3">
        <v>0</v>
      </c>
      <c r="K129" s="3">
        <v>0</v>
      </c>
      <c r="L129" s="3">
        <v>0</v>
      </c>
      <c r="M129" s="3">
        <v>-1</v>
      </c>
      <c r="N129" s="3">
        <v>0</v>
      </c>
      <c r="O129" s="3">
        <v>0.6</v>
      </c>
      <c r="P129" s="3">
        <v>1</v>
      </c>
      <c r="Q129" s="3">
        <v>0.25</v>
      </c>
      <c r="R129" s="3">
        <v>0</v>
      </c>
      <c r="S129" s="3">
        <v>0</v>
      </c>
      <c r="T129" s="3">
        <v>4.6950000000000003</v>
      </c>
    </row>
    <row r="130" spans="3:20" x14ac:dyDescent="0.25">
      <c r="D130" t="s">
        <v>54</v>
      </c>
      <c r="E130" s="3">
        <v>0</v>
      </c>
      <c r="F130" s="3">
        <v>0</v>
      </c>
      <c r="G130" s="3">
        <v>2.145</v>
      </c>
      <c r="H130" s="3">
        <v>1</v>
      </c>
      <c r="I130" s="3">
        <v>0.7</v>
      </c>
      <c r="J130" s="3">
        <v>0</v>
      </c>
      <c r="K130" s="3">
        <v>1.2</v>
      </c>
      <c r="L130" s="3">
        <v>0</v>
      </c>
      <c r="M130" s="3">
        <v>-1</v>
      </c>
      <c r="N130" s="3">
        <v>0</v>
      </c>
      <c r="O130" s="3">
        <v>0.6</v>
      </c>
      <c r="P130" s="3">
        <v>1</v>
      </c>
      <c r="Q130" s="3">
        <v>0.25</v>
      </c>
      <c r="R130" s="3">
        <v>-1.2</v>
      </c>
      <c r="S130" s="3">
        <v>0</v>
      </c>
      <c r="T130" s="3">
        <v>4.6949999999999994</v>
      </c>
    </row>
    <row r="131" spans="3:20" x14ac:dyDescent="0.25">
      <c r="D131" t="s">
        <v>55</v>
      </c>
      <c r="E131" s="3">
        <v>0</v>
      </c>
      <c r="F131" s="3">
        <v>0</v>
      </c>
      <c r="G131" s="3">
        <v>2.145</v>
      </c>
      <c r="H131" s="3">
        <v>1</v>
      </c>
      <c r="I131" s="3">
        <v>0.7</v>
      </c>
      <c r="J131" s="3">
        <v>0</v>
      </c>
      <c r="K131" s="3">
        <v>1.2</v>
      </c>
      <c r="L131" s="3">
        <v>0</v>
      </c>
      <c r="M131" s="3">
        <v>-1</v>
      </c>
      <c r="N131" s="3">
        <v>-1</v>
      </c>
      <c r="O131" s="3">
        <v>0.6</v>
      </c>
      <c r="P131" s="3">
        <v>1</v>
      </c>
      <c r="Q131" s="3">
        <v>0.25</v>
      </c>
      <c r="R131" s="3">
        <v>-1.2</v>
      </c>
      <c r="S131" s="3">
        <v>1</v>
      </c>
      <c r="T131" s="3">
        <v>4.6949999999999994</v>
      </c>
    </row>
    <row r="132" spans="3:20" x14ac:dyDescent="0.25">
      <c r="D132" t="s">
        <v>56</v>
      </c>
      <c r="E132" s="3">
        <v>0</v>
      </c>
      <c r="F132" s="3">
        <v>1.1499999999999999</v>
      </c>
      <c r="G132" s="3">
        <v>2.145</v>
      </c>
      <c r="H132" s="3">
        <v>1</v>
      </c>
      <c r="I132" s="3">
        <v>0.7</v>
      </c>
      <c r="J132" s="3">
        <v>0</v>
      </c>
      <c r="K132" s="3">
        <v>1.2</v>
      </c>
      <c r="L132" s="3">
        <v>-1.1499999999999999</v>
      </c>
      <c r="M132" s="3">
        <v>-1</v>
      </c>
      <c r="N132" s="3">
        <v>0</v>
      </c>
      <c r="O132" s="3">
        <v>0.6</v>
      </c>
      <c r="P132" s="3">
        <v>1</v>
      </c>
      <c r="Q132" s="3">
        <v>0.25</v>
      </c>
      <c r="R132" s="3">
        <v>-1.2</v>
      </c>
      <c r="S132" s="3">
        <v>0</v>
      </c>
      <c r="T132" s="3">
        <v>4.6949999999999994</v>
      </c>
    </row>
    <row r="133" spans="3:20" x14ac:dyDescent="0.25">
      <c r="D133" t="s">
        <v>57</v>
      </c>
      <c r="E133" s="3">
        <v>0</v>
      </c>
      <c r="F133" s="3">
        <v>0</v>
      </c>
      <c r="G133" s="3">
        <v>2.145</v>
      </c>
      <c r="H133" s="3">
        <v>1</v>
      </c>
      <c r="I133" s="3">
        <v>0.7</v>
      </c>
      <c r="J133" s="3">
        <v>0</v>
      </c>
      <c r="K133" s="3">
        <v>0</v>
      </c>
      <c r="L133" s="3">
        <v>0</v>
      </c>
      <c r="M133" s="3">
        <v>-1</v>
      </c>
      <c r="N133" s="3">
        <v>0</v>
      </c>
      <c r="O133" s="3">
        <v>0.6</v>
      </c>
      <c r="P133" s="3">
        <v>1</v>
      </c>
      <c r="Q133" s="3">
        <v>0.25</v>
      </c>
      <c r="R133" s="3">
        <v>0</v>
      </c>
      <c r="S133" s="3">
        <v>0</v>
      </c>
      <c r="T133" s="3">
        <v>4.6950000000000003</v>
      </c>
    </row>
    <row r="134" spans="3:20" x14ac:dyDescent="0.25">
      <c r="D134" t="s">
        <v>58</v>
      </c>
      <c r="E134" s="3">
        <v>-3.2</v>
      </c>
      <c r="F134" s="3">
        <v>0</v>
      </c>
      <c r="G134" s="3">
        <v>2.145</v>
      </c>
      <c r="H134" s="3">
        <v>1</v>
      </c>
      <c r="I134" s="3">
        <v>0.7</v>
      </c>
      <c r="J134" s="3">
        <v>3.2</v>
      </c>
      <c r="K134" s="3">
        <v>0</v>
      </c>
      <c r="L134" s="3">
        <v>0</v>
      </c>
      <c r="M134" s="3">
        <v>-0.154172885882354</v>
      </c>
      <c r="N134" s="3">
        <v>-0.58572133397397597</v>
      </c>
      <c r="O134" s="3">
        <v>0.6</v>
      </c>
      <c r="P134" s="3">
        <v>0.154172885882354</v>
      </c>
      <c r="Q134" s="3">
        <v>0.25</v>
      </c>
      <c r="R134" s="3">
        <v>0</v>
      </c>
      <c r="S134" s="3">
        <v>0.58572133397397597</v>
      </c>
      <c r="T134" s="3">
        <v>4.6949999999999994</v>
      </c>
    </row>
    <row r="135" spans="3:20" x14ac:dyDescent="0.25">
      <c r="D135" t="s">
        <v>59</v>
      </c>
      <c r="E135" s="3">
        <v>-3.1850633389973901</v>
      </c>
      <c r="F135" s="3">
        <v>0</v>
      </c>
      <c r="G135" s="3">
        <v>2.145</v>
      </c>
      <c r="H135" s="3">
        <v>1</v>
      </c>
      <c r="I135" s="3">
        <v>0.7</v>
      </c>
      <c r="J135" s="3">
        <v>3.1850633389973901</v>
      </c>
      <c r="K135" s="3">
        <v>0</v>
      </c>
      <c r="L135" s="3">
        <v>0</v>
      </c>
      <c r="M135" s="3">
        <v>0</v>
      </c>
      <c r="N135" s="3">
        <v>-0.56385032855678896</v>
      </c>
      <c r="O135" s="3">
        <v>0.6</v>
      </c>
      <c r="P135" s="3">
        <v>0</v>
      </c>
      <c r="Q135" s="3">
        <v>0.25</v>
      </c>
      <c r="R135" s="3">
        <v>0</v>
      </c>
      <c r="S135" s="3">
        <v>0.56385032855678896</v>
      </c>
      <c r="T135" s="3">
        <v>4.6950000000000003</v>
      </c>
    </row>
    <row r="136" spans="3:20" x14ac:dyDescent="0.25">
      <c r="D136" t="s">
        <v>60</v>
      </c>
      <c r="E136" s="3">
        <v>0</v>
      </c>
      <c r="F136" s="3">
        <v>0</v>
      </c>
      <c r="G136" s="3">
        <v>2.145</v>
      </c>
      <c r="H136" s="3">
        <v>1</v>
      </c>
      <c r="I136" s="3">
        <v>0.7</v>
      </c>
      <c r="J136" s="3">
        <v>0</v>
      </c>
      <c r="K136" s="3">
        <v>1.2</v>
      </c>
      <c r="L136" s="3">
        <v>0</v>
      </c>
      <c r="M136" s="3">
        <v>0</v>
      </c>
      <c r="N136" s="3">
        <v>-1</v>
      </c>
      <c r="O136" s="3">
        <v>0.6</v>
      </c>
      <c r="P136" s="3">
        <v>0</v>
      </c>
      <c r="Q136" s="3">
        <v>0.25</v>
      </c>
      <c r="R136" s="3">
        <v>-1.2</v>
      </c>
      <c r="S136" s="3">
        <v>1</v>
      </c>
      <c r="T136" s="3">
        <v>4.6949999999999994</v>
      </c>
    </row>
    <row r="137" spans="3:20" x14ac:dyDescent="0.25">
      <c r="D137" t="s">
        <v>61</v>
      </c>
      <c r="E137" s="3">
        <v>0</v>
      </c>
      <c r="F137" s="3">
        <v>0</v>
      </c>
      <c r="G137" s="3">
        <v>2.145</v>
      </c>
      <c r="H137" s="3">
        <v>1</v>
      </c>
      <c r="I137" s="3">
        <v>0.7</v>
      </c>
      <c r="J137" s="3">
        <v>0</v>
      </c>
      <c r="K137" s="3">
        <v>0</v>
      </c>
      <c r="L137" s="3">
        <v>0</v>
      </c>
      <c r="M137" s="3">
        <v>-1</v>
      </c>
      <c r="N137" s="3">
        <v>-8.0915325015219003E-2</v>
      </c>
      <c r="O137" s="3">
        <v>0.6</v>
      </c>
      <c r="P137" s="3">
        <v>1</v>
      </c>
      <c r="Q137" s="3">
        <v>0.25</v>
      </c>
      <c r="R137" s="3">
        <v>0</v>
      </c>
      <c r="S137" s="3">
        <v>8.0915325015219003E-2</v>
      </c>
      <c r="T137" s="3">
        <v>4.6950000000000003</v>
      </c>
    </row>
    <row r="138" spans="3:20" x14ac:dyDescent="0.25">
      <c r="D138" t="s">
        <v>62</v>
      </c>
      <c r="E138" s="3">
        <v>0</v>
      </c>
      <c r="F138" s="3">
        <v>0.35284319295834998</v>
      </c>
      <c r="G138" s="3">
        <v>2.145</v>
      </c>
      <c r="H138" s="3">
        <v>1</v>
      </c>
      <c r="I138" s="3">
        <v>0.7</v>
      </c>
      <c r="J138" s="3">
        <v>0</v>
      </c>
      <c r="K138" s="3">
        <v>0.44708092403737099</v>
      </c>
      <c r="L138" s="3">
        <v>-0.35284319295834998</v>
      </c>
      <c r="M138" s="3">
        <v>0</v>
      </c>
      <c r="N138" s="3">
        <v>0</v>
      </c>
      <c r="O138" s="3">
        <v>0.6</v>
      </c>
      <c r="P138" s="3">
        <v>0</v>
      </c>
      <c r="Q138" s="3">
        <v>0.25</v>
      </c>
      <c r="R138" s="3">
        <v>-0.44708092403737099</v>
      </c>
      <c r="S138" s="3">
        <v>0</v>
      </c>
      <c r="T138" s="3">
        <v>4.6950000000000003</v>
      </c>
    </row>
    <row r="139" spans="3:20" x14ac:dyDescent="0.25">
      <c r="C139" t="s">
        <v>185</v>
      </c>
      <c r="D139" t="s">
        <v>51</v>
      </c>
      <c r="E139" s="3">
        <v>0</v>
      </c>
      <c r="F139" s="3">
        <v>0</v>
      </c>
      <c r="G139" s="3">
        <v>2.145</v>
      </c>
      <c r="H139" s="3">
        <v>1</v>
      </c>
      <c r="I139" s="3">
        <v>0.7</v>
      </c>
      <c r="J139" s="3">
        <v>0</v>
      </c>
      <c r="K139" s="3">
        <v>0</v>
      </c>
      <c r="L139" s="3">
        <v>0</v>
      </c>
      <c r="M139" s="3">
        <v>0</v>
      </c>
      <c r="N139" s="3">
        <v>0</v>
      </c>
      <c r="O139" s="3">
        <v>0.6</v>
      </c>
      <c r="P139" s="3">
        <v>0</v>
      </c>
      <c r="Q139" s="3">
        <v>0.25</v>
      </c>
      <c r="R139" s="3">
        <v>0</v>
      </c>
      <c r="S139" s="3">
        <v>0</v>
      </c>
      <c r="T139" s="3">
        <v>4.6949999999999994</v>
      </c>
    </row>
    <row r="140" spans="3:20" x14ac:dyDescent="0.25">
      <c r="D140" t="s">
        <v>52</v>
      </c>
      <c r="E140" s="3">
        <v>0</v>
      </c>
      <c r="F140" s="3">
        <v>0</v>
      </c>
      <c r="G140" s="3">
        <v>2.145</v>
      </c>
      <c r="H140" s="3">
        <v>1</v>
      </c>
      <c r="I140" s="3">
        <v>0.7</v>
      </c>
      <c r="J140" s="3">
        <v>0</v>
      </c>
      <c r="K140" s="3">
        <v>0</v>
      </c>
      <c r="L140" s="3">
        <v>0</v>
      </c>
      <c r="M140" s="3">
        <v>0</v>
      </c>
      <c r="N140" s="3">
        <v>0</v>
      </c>
      <c r="O140" s="3">
        <v>0.6</v>
      </c>
      <c r="P140" s="3">
        <v>0</v>
      </c>
      <c r="Q140" s="3">
        <v>0.25</v>
      </c>
      <c r="R140" s="3">
        <v>0</v>
      </c>
      <c r="S140" s="3">
        <v>0</v>
      </c>
      <c r="T140" s="3">
        <v>4.6949999999999994</v>
      </c>
    </row>
    <row r="141" spans="3:20" x14ac:dyDescent="0.25">
      <c r="D141" t="s">
        <v>53</v>
      </c>
      <c r="E141" s="3">
        <v>0</v>
      </c>
      <c r="F141" s="3">
        <v>0</v>
      </c>
      <c r="G141" s="3">
        <v>2.145</v>
      </c>
      <c r="H141" s="3">
        <v>1</v>
      </c>
      <c r="I141" s="3">
        <v>0.7</v>
      </c>
      <c r="J141" s="3">
        <v>0</v>
      </c>
      <c r="K141" s="3">
        <v>0</v>
      </c>
      <c r="L141" s="3">
        <v>0</v>
      </c>
      <c r="M141" s="3">
        <v>0</v>
      </c>
      <c r="N141" s="3">
        <v>0</v>
      </c>
      <c r="O141" s="3">
        <v>0.6</v>
      </c>
      <c r="P141" s="3">
        <v>0</v>
      </c>
      <c r="Q141" s="3">
        <v>0.25</v>
      </c>
      <c r="R141" s="3">
        <v>0</v>
      </c>
      <c r="S141" s="3">
        <v>0</v>
      </c>
      <c r="T141" s="3">
        <v>4.6949999999999994</v>
      </c>
    </row>
    <row r="142" spans="3:20" x14ac:dyDescent="0.25">
      <c r="D142" t="s">
        <v>54</v>
      </c>
      <c r="E142" s="3">
        <v>0</v>
      </c>
      <c r="F142" s="3">
        <v>0</v>
      </c>
      <c r="G142" s="3">
        <v>2.145</v>
      </c>
      <c r="H142" s="3">
        <v>1</v>
      </c>
      <c r="I142" s="3">
        <v>0.7</v>
      </c>
      <c r="J142" s="3">
        <v>0</v>
      </c>
      <c r="K142" s="3">
        <v>0</v>
      </c>
      <c r="L142" s="3">
        <v>0</v>
      </c>
      <c r="M142" s="3">
        <v>-1</v>
      </c>
      <c r="N142" s="3">
        <v>0</v>
      </c>
      <c r="O142" s="3">
        <v>0.6</v>
      </c>
      <c r="P142" s="3">
        <v>1</v>
      </c>
      <c r="Q142" s="3">
        <v>0.25</v>
      </c>
      <c r="R142" s="3">
        <v>0</v>
      </c>
      <c r="S142" s="3">
        <v>0</v>
      </c>
      <c r="T142" s="3">
        <v>4.6950000000000003</v>
      </c>
    </row>
    <row r="143" spans="3:20" x14ac:dyDescent="0.25">
      <c r="D143" t="s">
        <v>55</v>
      </c>
      <c r="E143" s="3">
        <v>0</v>
      </c>
      <c r="F143" s="3">
        <v>0</v>
      </c>
      <c r="G143" s="3">
        <v>2.145</v>
      </c>
      <c r="H143" s="3">
        <v>1</v>
      </c>
      <c r="I143" s="3">
        <v>0.7</v>
      </c>
      <c r="J143" s="3">
        <v>0</v>
      </c>
      <c r="K143" s="3">
        <v>0</v>
      </c>
      <c r="L143" s="3">
        <v>0</v>
      </c>
      <c r="M143" s="3">
        <v>-1</v>
      </c>
      <c r="N143" s="3">
        <v>-6.9578803279849097E-2</v>
      </c>
      <c r="O143" s="3">
        <v>0.6</v>
      </c>
      <c r="P143" s="3">
        <v>1</v>
      </c>
      <c r="Q143" s="3">
        <v>0.25</v>
      </c>
      <c r="R143" s="3">
        <v>0</v>
      </c>
      <c r="S143" s="3">
        <v>6.9578803279849097E-2</v>
      </c>
      <c r="T143" s="3">
        <v>4.6949999999999994</v>
      </c>
    </row>
    <row r="144" spans="3:20" x14ac:dyDescent="0.25">
      <c r="D144" t="s">
        <v>56</v>
      </c>
      <c r="E144" s="3">
        <v>0</v>
      </c>
      <c r="F144" s="3">
        <v>0</v>
      </c>
      <c r="G144" s="3">
        <v>2.145</v>
      </c>
      <c r="H144" s="3">
        <v>1</v>
      </c>
      <c r="I144" s="3">
        <v>0.7</v>
      </c>
      <c r="J144" s="3">
        <v>0</v>
      </c>
      <c r="K144" s="3">
        <v>0</v>
      </c>
      <c r="L144" s="3">
        <v>0</v>
      </c>
      <c r="M144" s="3">
        <v>-1</v>
      </c>
      <c r="N144" s="3">
        <v>-1</v>
      </c>
      <c r="O144" s="3">
        <v>0.6</v>
      </c>
      <c r="P144" s="3">
        <v>1</v>
      </c>
      <c r="Q144" s="3">
        <v>0.25</v>
      </c>
      <c r="R144" s="3">
        <v>0</v>
      </c>
      <c r="S144" s="3">
        <v>1</v>
      </c>
      <c r="T144" s="3">
        <v>4.6950000000000003</v>
      </c>
    </row>
    <row r="145" spans="3:20" x14ac:dyDescent="0.25">
      <c r="D145" t="s">
        <v>57</v>
      </c>
      <c r="E145" s="3">
        <v>0</v>
      </c>
      <c r="F145" s="3">
        <v>0</v>
      </c>
      <c r="G145" s="3">
        <v>2.145</v>
      </c>
      <c r="H145" s="3">
        <v>1</v>
      </c>
      <c r="I145" s="3">
        <v>0.7</v>
      </c>
      <c r="J145" s="3">
        <v>0</v>
      </c>
      <c r="K145" s="3">
        <v>0</v>
      </c>
      <c r="L145" s="3">
        <v>0</v>
      </c>
      <c r="M145" s="3">
        <v>0</v>
      </c>
      <c r="N145" s="3">
        <v>0</v>
      </c>
      <c r="O145" s="3">
        <v>0.6</v>
      </c>
      <c r="P145" s="3">
        <v>0</v>
      </c>
      <c r="Q145" s="3">
        <v>0.25</v>
      </c>
      <c r="R145" s="3">
        <v>0</v>
      </c>
      <c r="S145" s="3">
        <v>0</v>
      </c>
      <c r="T145" s="3">
        <v>4.6949999999999994</v>
      </c>
    </row>
    <row r="146" spans="3:20" x14ac:dyDescent="0.25">
      <c r="D146" t="s">
        <v>58</v>
      </c>
      <c r="E146" s="3">
        <v>0</v>
      </c>
      <c r="F146" s="3">
        <v>0</v>
      </c>
      <c r="G146" s="3">
        <v>2.145</v>
      </c>
      <c r="H146" s="3">
        <v>1</v>
      </c>
      <c r="I146" s="3">
        <v>0.7</v>
      </c>
      <c r="J146" s="3">
        <v>0</v>
      </c>
      <c r="K146" s="3">
        <v>0</v>
      </c>
      <c r="L146" s="3">
        <v>0</v>
      </c>
      <c r="M146" s="3">
        <v>-1</v>
      </c>
      <c r="N146" s="3">
        <v>0</v>
      </c>
      <c r="O146" s="3">
        <v>0.6</v>
      </c>
      <c r="P146" s="3">
        <v>1</v>
      </c>
      <c r="Q146" s="3">
        <v>0.25</v>
      </c>
      <c r="R146" s="3">
        <v>0</v>
      </c>
      <c r="S146" s="3">
        <v>0</v>
      </c>
      <c r="T146" s="3">
        <v>4.6950000000000003</v>
      </c>
    </row>
    <row r="147" spans="3:20" x14ac:dyDescent="0.25">
      <c r="D147" t="s">
        <v>59</v>
      </c>
      <c r="E147" s="3">
        <v>0</v>
      </c>
      <c r="F147" s="3">
        <v>0</v>
      </c>
      <c r="G147" s="3">
        <v>2.145</v>
      </c>
      <c r="H147" s="3">
        <v>1</v>
      </c>
      <c r="I147" s="3">
        <v>0.7</v>
      </c>
      <c r="J147" s="3">
        <v>0</v>
      </c>
      <c r="K147" s="3">
        <v>0</v>
      </c>
      <c r="L147" s="3">
        <v>0</v>
      </c>
      <c r="M147" s="3">
        <v>-1</v>
      </c>
      <c r="N147" s="3">
        <v>0</v>
      </c>
      <c r="O147" s="3">
        <v>0.6</v>
      </c>
      <c r="P147" s="3">
        <v>1</v>
      </c>
      <c r="Q147" s="3">
        <v>0.25</v>
      </c>
      <c r="R147" s="3">
        <v>0</v>
      </c>
      <c r="S147" s="3">
        <v>0</v>
      </c>
      <c r="T147" s="3">
        <v>4.6950000000000003</v>
      </c>
    </row>
    <row r="148" spans="3:20" x14ac:dyDescent="0.25">
      <c r="D148" t="s">
        <v>60</v>
      </c>
      <c r="E148" s="3">
        <v>0</v>
      </c>
      <c r="F148" s="3">
        <v>0</v>
      </c>
      <c r="G148" s="3">
        <v>2.145</v>
      </c>
      <c r="H148" s="3">
        <v>1</v>
      </c>
      <c r="I148" s="3">
        <v>0.7</v>
      </c>
      <c r="J148" s="3">
        <v>0</v>
      </c>
      <c r="K148" s="3">
        <v>0</v>
      </c>
      <c r="L148" s="3">
        <v>0</v>
      </c>
      <c r="M148" s="3">
        <v>-6.9200733380288995E-2</v>
      </c>
      <c r="N148" s="3">
        <v>0</v>
      </c>
      <c r="O148" s="3">
        <v>0.6</v>
      </c>
      <c r="P148" s="3">
        <v>6.9200733380288995E-2</v>
      </c>
      <c r="Q148" s="3">
        <v>0.25</v>
      </c>
      <c r="R148" s="3">
        <v>0</v>
      </c>
      <c r="S148" s="3">
        <v>0</v>
      </c>
      <c r="T148" s="3">
        <v>4.6950000000000003</v>
      </c>
    </row>
    <row r="149" spans="3:20" x14ac:dyDescent="0.25">
      <c r="D149" t="s">
        <v>61</v>
      </c>
      <c r="E149" s="3">
        <v>0</v>
      </c>
      <c r="F149" s="3">
        <v>0</v>
      </c>
      <c r="G149" s="3">
        <v>2.145</v>
      </c>
      <c r="H149" s="3">
        <v>1</v>
      </c>
      <c r="I149" s="3">
        <v>0.7</v>
      </c>
      <c r="J149" s="3">
        <v>0</v>
      </c>
      <c r="K149" s="3">
        <v>0</v>
      </c>
      <c r="L149" s="3">
        <v>0</v>
      </c>
      <c r="M149" s="3">
        <v>-1</v>
      </c>
      <c r="N149" s="3">
        <v>0</v>
      </c>
      <c r="O149" s="3">
        <v>0.6</v>
      </c>
      <c r="P149" s="3">
        <v>1</v>
      </c>
      <c r="Q149" s="3">
        <v>0.25</v>
      </c>
      <c r="R149" s="3">
        <v>0</v>
      </c>
      <c r="S149" s="3">
        <v>0</v>
      </c>
      <c r="T149" s="3">
        <v>4.6950000000000003</v>
      </c>
    </row>
    <row r="150" spans="3:20" x14ac:dyDescent="0.25">
      <c r="D150" t="s">
        <v>62</v>
      </c>
      <c r="E150" s="3">
        <v>0</v>
      </c>
      <c r="F150" s="3">
        <v>0</v>
      </c>
      <c r="G150" s="3">
        <v>2.145</v>
      </c>
      <c r="H150" s="3">
        <v>1</v>
      </c>
      <c r="I150" s="3">
        <v>0.7</v>
      </c>
      <c r="J150" s="3">
        <v>0</v>
      </c>
      <c r="K150" s="3">
        <v>0</v>
      </c>
      <c r="L150" s="3">
        <v>0</v>
      </c>
      <c r="M150" s="3">
        <v>-1</v>
      </c>
      <c r="N150" s="3">
        <v>0</v>
      </c>
      <c r="O150" s="3">
        <v>0.6</v>
      </c>
      <c r="P150" s="3">
        <v>1</v>
      </c>
      <c r="Q150" s="3">
        <v>0.25</v>
      </c>
      <c r="R150" s="3">
        <v>0</v>
      </c>
      <c r="S150" s="3">
        <v>0</v>
      </c>
      <c r="T150" s="3">
        <v>4.6950000000000003</v>
      </c>
    </row>
    <row r="151" spans="3:20" x14ac:dyDescent="0.25">
      <c r="C151" t="s">
        <v>0</v>
      </c>
      <c r="E151" s="3">
        <v>-15.410030375482124</v>
      </c>
      <c r="F151" s="3">
        <v>10.66823680849337</v>
      </c>
      <c r="G151" s="3">
        <v>205.9200000000003</v>
      </c>
      <c r="H151" s="3">
        <v>93</v>
      </c>
      <c r="I151" s="3">
        <v>100.80000000000025</v>
      </c>
      <c r="J151" s="3">
        <v>15.410030375482124</v>
      </c>
      <c r="K151" s="3">
        <v>23.690300368730519</v>
      </c>
      <c r="L151" s="3">
        <v>-10.66823680849337</v>
      </c>
      <c r="M151" s="3">
        <v>-31.025279119859615</v>
      </c>
      <c r="N151" s="3">
        <v>42.943889269556379</v>
      </c>
      <c r="O151" s="3">
        <v>57.600000000000094</v>
      </c>
      <c r="P151" s="3">
        <v>31.025279119859615</v>
      </c>
      <c r="Q151" s="3">
        <v>11.079047567641071</v>
      </c>
      <c r="R151" s="3">
        <v>-23.690300368730519</v>
      </c>
      <c r="S151" s="3">
        <v>-42.943889269556379</v>
      </c>
      <c r="T151" s="3">
        <v>468.39904756764048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O18"/>
  <sheetViews>
    <sheetView workbookViewId="0">
      <selection activeCell="H27" sqref="H27"/>
    </sheetView>
  </sheetViews>
  <sheetFormatPr defaultRowHeight="15" x14ac:dyDescent="0.25"/>
  <cols>
    <col min="3" max="3" width="17.7109375" customWidth="1"/>
    <col min="4" max="4" width="16.28515625" customWidth="1"/>
    <col min="5" max="6" width="12" customWidth="1"/>
    <col min="7" max="7" width="10.28515625" customWidth="1"/>
    <col min="8" max="8" width="12" customWidth="1"/>
    <col min="9" max="9" width="10.7109375" customWidth="1"/>
    <col min="10" max="10" width="13.85546875" customWidth="1"/>
    <col min="11" max="11" width="12" customWidth="1"/>
    <col min="12" max="12" width="8.42578125" customWidth="1"/>
    <col min="13" max="13" width="12" customWidth="1"/>
    <col min="14" max="14" width="18.140625" customWidth="1"/>
    <col min="15" max="15" width="12" customWidth="1"/>
    <col min="16" max="16" width="12.140625" customWidth="1"/>
    <col min="17" max="17" width="13.85546875" bestFit="1" customWidth="1"/>
    <col min="18" max="18" width="8.42578125" customWidth="1"/>
    <col min="19" max="19" width="8.7109375" customWidth="1"/>
    <col min="20" max="20" width="15.28515625" bestFit="1" customWidth="1"/>
    <col min="21" max="21" width="9.140625" customWidth="1"/>
    <col min="22" max="22" width="12" customWidth="1"/>
    <col min="23" max="23" width="12.140625" customWidth="1"/>
    <col min="24" max="24" width="12.5703125" customWidth="1"/>
    <col min="25"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15" x14ac:dyDescent="0.25">
      <c r="C5" s="1" t="s">
        <v>229</v>
      </c>
      <c r="D5" s="1" t="s">
        <v>49</v>
      </c>
    </row>
    <row r="6" spans="3:15" x14ac:dyDescent="0.25">
      <c r="C6" s="1" t="s">
        <v>50</v>
      </c>
      <c r="D6" t="s">
        <v>7</v>
      </c>
      <c r="E6" t="s">
        <v>22</v>
      </c>
      <c r="F6" t="s">
        <v>23</v>
      </c>
      <c r="G6" t="s">
        <v>24</v>
      </c>
      <c r="H6" t="s">
        <v>25</v>
      </c>
      <c r="I6" t="s">
        <v>26</v>
      </c>
      <c r="J6" t="s">
        <v>205</v>
      </c>
      <c r="K6" t="s">
        <v>8</v>
      </c>
      <c r="L6" t="s">
        <v>27</v>
      </c>
      <c r="M6" t="s">
        <v>9</v>
      </c>
      <c r="N6" t="s">
        <v>195</v>
      </c>
      <c r="O6" t="s">
        <v>0</v>
      </c>
    </row>
    <row r="7" spans="3:15" x14ac:dyDescent="0.25">
      <c r="C7" s="2" t="s">
        <v>7</v>
      </c>
      <c r="D7" s="3">
        <v>0</v>
      </c>
      <c r="E7" s="3"/>
      <c r="F7" s="3"/>
      <c r="G7" s="3">
        <v>0</v>
      </c>
      <c r="H7" s="3"/>
      <c r="I7" s="3"/>
      <c r="J7" s="3"/>
      <c r="K7" s="3">
        <v>5840</v>
      </c>
      <c r="L7" s="3"/>
      <c r="M7" s="3">
        <v>1519.7513344469421</v>
      </c>
      <c r="N7" s="3"/>
      <c r="O7" s="3">
        <v>7359.7513344469426</v>
      </c>
    </row>
    <row r="8" spans="3:15" x14ac:dyDescent="0.25">
      <c r="C8" s="2" t="s">
        <v>22</v>
      </c>
      <c r="D8" s="3"/>
      <c r="E8" s="3"/>
      <c r="F8" s="3">
        <v>3066</v>
      </c>
      <c r="G8" s="3"/>
      <c r="H8" s="3">
        <v>0</v>
      </c>
      <c r="I8" s="3"/>
      <c r="J8" s="3"/>
      <c r="K8" s="3"/>
      <c r="L8" s="3"/>
      <c r="M8" s="3"/>
      <c r="N8" s="3"/>
      <c r="O8" s="3">
        <v>3066</v>
      </c>
    </row>
    <row r="9" spans="3:15" x14ac:dyDescent="0.25">
      <c r="C9" s="2" t="s">
        <v>23</v>
      </c>
      <c r="D9" s="3"/>
      <c r="E9" s="3">
        <v>0</v>
      </c>
      <c r="F9" s="3"/>
      <c r="G9" s="3"/>
      <c r="H9" s="3"/>
      <c r="I9" s="3"/>
      <c r="J9" s="3"/>
      <c r="K9" s="3"/>
      <c r="L9" s="3"/>
      <c r="M9" s="3">
        <v>10569.98695790182</v>
      </c>
      <c r="N9" s="3"/>
      <c r="O9" s="3">
        <v>10569.98695790182</v>
      </c>
    </row>
    <row r="10" spans="3:15" x14ac:dyDescent="0.25">
      <c r="C10" s="2" t="s">
        <v>24</v>
      </c>
      <c r="D10" s="3">
        <v>20717.400000000001</v>
      </c>
      <c r="E10" s="3"/>
      <c r="F10" s="3"/>
      <c r="G10" s="3"/>
      <c r="H10" s="3"/>
      <c r="I10" s="3"/>
      <c r="J10" s="3">
        <v>0</v>
      </c>
      <c r="K10" s="3"/>
      <c r="L10" s="3">
        <v>0</v>
      </c>
      <c r="M10" s="3">
        <v>5343.6</v>
      </c>
      <c r="N10" s="3"/>
      <c r="O10" s="3">
        <v>26061</v>
      </c>
    </row>
    <row r="11" spans="3:15" x14ac:dyDescent="0.25">
      <c r="C11" s="2" t="s">
        <v>25</v>
      </c>
      <c r="D11" s="3"/>
      <c r="E11" s="3">
        <v>6935.2443485959202</v>
      </c>
      <c r="F11" s="3"/>
      <c r="G11" s="3"/>
      <c r="H11" s="3"/>
      <c r="I11" s="3">
        <v>0</v>
      </c>
      <c r="J11" s="3"/>
      <c r="K11" s="3"/>
      <c r="L11" s="3"/>
      <c r="M11" s="3"/>
      <c r="N11" s="3"/>
      <c r="O11" s="3">
        <v>6935.2443485959202</v>
      </c>
    </row>
    <row r="12" spans="3:15" x14ac:dyDescent="0.25">
      <c r="C12" s="2" t="s">
        <v>26</v>
      </c>
      <c r="D12" s="3"/>
      <c r="E12" s="3"/>
      <c r="F12" s="3"/>
      <c r="G12" s="3"/>
      <c r="H12" s="3">
        <v>4509.87156727816</v>
      </c>
      <c r="I12" s="3"/>
      <c r="J12" s="3"/>
      <c r="K12" s="3"/>
      <c r="L12" s="3"/>
      <c r="M12" s="3"/>
      <c r="N12" s="3"/>
      <c r="O12" s="3">
        <v>4509.87156727816</v>
      </c>
    </row>
    <row r="13" spans="3:15" x14ac:dyDescent="0.25">
      <c r="C13" s="2" t="s">
        <v>205</v>
      </c>
      <c r="D13" s="3"/>
      <c r="E13" s="3"/>
      <c r="F13" s="3"/>
      <c r="G13" s="3">
        <v>0</v>
      </c>
      <c r="H13" s="3"/>
      <c r="I13" s="3"/>
      <c r="J13" s="3"/>
      <c r="K13" s="3">
        <v>6131.99999999999</v>
      </c>
      <c r="L13" s="3"/>
      <c r="M13" s="3"/>
      <c r="N13" s="3">
        <v>0</v>
      </c>
      <c r="O13" s="3">
        <v>6131.99999999999</v>
      </c>
    </row>
    <row r="14" spans="3:15" x14ac:dyDescent="0.25">
      <c r="C14" s="2" t="s">
        <v>8</v>
      </c>
      <c r="D14" s="3">
        <v>182.5</v>
      </c>
      <c r="E14" s="3"/>
      <c r="F14" s="3">
        <v>253.78519921922901</v>
      </c>
      <c r="G14" s="3"/>
      <c r="H14" s="3"/>
      <c r="I14" s="3"/>
      <c r="J14" s="3">
        <v>0</v>
      </c>
      <c r="K14" s="3">
        <v>10428.850410890385</v>
      </c>
      <c r="L14" s="3"/>
      <c r="M14" s="3">
        <v>2250.618677319685</v>
      </c>
      <c r="N14" s="3"/>
      <c r="O14" s="3">
        <v>13115.754287429299</v>
      </c>
    </row>
    <row r="15" spans="3:15" x14ac:dyDescent="0.25">
      <c r="C15" s="2" t="s">
        <v>27</v>
      </c>
      <c r="D15" s="3"/>
      <c r="E15" s="3"/>
      <c r="F15" s="3"/>
      <c r="G15" s="3">
        <v>17520</v>
      </c>
      <c r="H15" s="3"/>
      <c r="I15" s="3"/>
      <c r="J15" s="3"/>
      <c r="K15" s="3"/>
      <c r="L15" s="3"/>
      <c r="M15" s="3"/>
      <c r="N15" s="3"/>
      <c r="O15" s="3">
        <v>17520</v>
      </c>
    </row>
    <row r="16" spans="3:15" x14ac:dyDescent="0.25">
      <c r="C16" s="2" t="s">
        <v>9</v>
      </c>
      <c r="D16" s="3">
        <v>0</v>
      </c>
      <c r="E16" s="3"/>
      <c r="F16" s="3">
        <v>0</v>
      </c>
      <c r="G16" s="3">
        <v>0</v>
      </c>
      <c r="H16" s="3"/>
      <c r="I16" s="3"/>
      <c r="J16" s="3"/>
      <c r="K16" s="3">
        <v>17490.8</v>
      </c>
      <c r="L16" s="3"/>
      <c r="M16" s="3">
        <v>51468.870945674396</v>
      </c>
      <c r="N16" s="3"/>
      <c r="O16" s="3">
        <v>68959.670945674399</v>
      </c>
    </row>
    <row r="17" spans="3:15" x14ac:dyDescent="0.25">
      <c r="C17" s="2" t="s">
        <v>195</v>
      </c>
      <c r="D17" s="3"/>
      <c r="E17" s="3"/>
      <c r="F17" s="3"/>
      <c r="G17" s="3"/>
      <c r="H17" s="3"/>
      <c r="I17" s="3"/>
      <c r="J17" s="3">
        <v>0</v>
      </c>
      <c r="K17" s="3"/>
      <c r="L17" s="3"/>
      <c r="M17" s="3"/>
      <c r="N17" s="3"/>
      <c r="O17" s="3">
        <v>0</v>
      </c>
    </row>
    <row r="18" spans="3:15" x14ac:dyDescent="0.25">
      <c r="C18" s="2" t="s">
        <v>0</v>
      </c>
      <c r="D18" s="3">
        <v>20899.900000000001</v>
      </c>
      <c r="E18" s="3">
        <v>6935.2443485959202</v>
      </c>
      <c r="F18" s="3">
        <v>3319.7851992192291</v>
      </c>
      <c r="G18" s="3">
        <v>17520</v>
      </c>
      <c r="H18" s="3">
        <v>4509.87156727816</v>
      </c>
      <c r="I18" s="3">
        <v>0</v>
      </c>
      <c r="J18" s="3">
        <v>0</v>
      </c>
      <c r="K18" s="3">
        <v>39891.650410890375</v>
      </c>
      <c r="L18" s="3">
        <v>0</v>
      </c>
      <c r="M18" s="3">
        <v>71152.827915342845</v>
      </c>
      <c r="N18" s="3">
        <v>0</v>
      </c>
      <c r="O18" s="3">
        <v>164229.27944132654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10</vt:i4>
      </vt:variant>
    </vt:vector>
  </HeadingPairs>
  <TitlesOfParts>
    <vt:vector size="24" baseType="lpstr">
      <vt:lpstr>Choose database</vt:lpstr>
      <vt:lpstr>Queries_BB3</vt:lpstr>
      <vt:lpstr>Queries_BB4</vt:lpstr>
      <vt:lpstr>Electricity generation - Annual</vt:lpstr>
      <vt:lpstr>Electricity generation - Time</vt:lpstr>
      <vt:lpstr>Electricity prices</vt:lpstr>
      <vt:lpstr>Heat Generation - Annual</vt:lpstr>
      <vt:lpstr>Heat Generation - Time</vt:lpstr>
      <vt:lpstr>Fuel Consumption - Annual</vt:lpstr>
      <vt:lpstr>Emissions</vt:lpstr>
      <vt:lpstr>Heat Storage - Time</vt:lpstr>
      <vt:lpstr>Hydro storage - Time</vt:lpstr>
      <vt:lpstr>Electricity transmission - Time</vt:lpstr>
      <vt:lpstr>El transmission - Annual</vt:lpstr>
      <vt:lpstr>DE</vt:lpstr>
      <vt:lpstr>IGK</vt:lpstr>
      <vt:lpstr>O_Model</vt:lpstr>
      <vt:lpstr>QEEQ</vt:lpstr>
      <vt:lpstr>QHEQ</vt:lpstr>
      <vt:lpstr>STO</vt:lpstr>
      <vt:lpstr>VGE_T</vt:lpstr>
      <vt:lpstr>VGF_T</vt:lpstr>
      <vt:lpstr>VGH_T</vt:lpstr>
      <vt:lpstr>VX_T</vt:lpstr>
    </vt:vector>
  </TitlesOfParts>
  <Company>Tallinn University of Technology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2017-02-28T11:56:33Z</dcterms:modified>
</cp:coreProperties>
</file>